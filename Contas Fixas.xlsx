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2025" sheetId="2" r:id="rId6"/>
    <sheet state="visible" name="2024" sheetId="3" r:id="rId7"/>
    <sheet state="visible" name="2023" sheetId="4" r:id="rId8"/>
    <sheet state="visible" name="2022" sheetId="5" r:id="rId9"/>
    <sheet state="visible" name="2021" sheetId="6" r:id="rId10"/>
    <sheet state="visible" name="2020" sheetId="7" r:id="rId11"/>
    <sheet state="visible" name="Patrimônio" sheetId="8" r:id="rId12"/>
    <sheet state="visible" name="Reforma (qto Júlia, jard de inv" sheetId="9" r:id="rId13"/>
    <sheet state="visible" name="Sheet12" sheetId="10" r:id="rId14"/>
    <sheet state="visible" name="LANCAMENTOS" sheetId="11" r:id="rId15"/>
    <sheet state="visible" name="CONTAS_FIXAS" sheetId="12" r:id="rId16"/>
    <sheet state="visible" name="CALENDARIO_ANUAL" sheetId="13" r:id="rId17"/>
    <sheet state="visible" name="RECEITAS_REGRAS" sheetId="14" r:id="rId18"/>
    <sheet state="visible" name="CARTOES" sheetId="15" r:id="rId19"/>
    <sheet state="visible" name="CARTAO_MOVIMENTOS" sheetId="16" r:id="rId20"/>
    <sheet state="visible" name="CARTAO_ALOCACOES" sheetId="17" r:id="rId21"/>
    <sheet state="visible" name="CATEGORIAS"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5">
      <text>
        <t xml:space="preserve">Déa pediu pra não pagar pois estava apertada.</t>
      </text>
    </comment>
    <comment authorId="0" ref="AM5">
      <text>
        <t xml:space="preserve">3.889,19 - 3016,21(PARTE DELA DA RESTITUIÇÃO DO IRPF) = 872,98</t>
      </text>
    </comment>
    <comment authorId="0" ref="AS5">
      <text>
        <t xml:space="preserve">Descontar R$ 2.000,00 que Déa transferiu pra mim dia 12/08/2025</t>
      </text>
    </comment>
    <comment authorId="0" ref="AY5">
      <text>
        <t xml:space="preserve">- R$ 185,49 DEA tem um saldo de oriundo do acerto do mês passado (08/2025)
- R$ 455,50 é parte de Déa oriunda da venda dos pontos C6 átomos.
Total pra abater do acerto: 185,49 + 455,50 = 640,98</t>
      </text>
    </comment>
    <comment authorId="0" ref="AG6">
      <text>
        <t xml:space="preserve">Fórmula alterada pra corresponder ao não pagamento de Déa</t>
      </text>
    </comment>
    <comment authorId="0" ref="AA14">
      <text>
        <t xml:space="preserve">
</t>
      </text>
    </comment>
    <comment authorId="0" ref="C27">
      <text>
        <t xml:space="preserve">1.207,04 - 420,00 (ingressos Thiaguinho show) = 787,04</t>
      </text>
    </comment>
    <comment authorId="0" ref="C29">
      <text>
        <t xml:space="preserve">445,76 (referente a jan 26)
625,85 (referente a dez 25)
_______
1.071,61
</t>
      </text>
    </comment>
    <comment authorId="0" ref="AA39">
      <text>
        <t xml:space="preserve">Coloquei 50,00 a mais por engano.
Walber devolveu depois</t>
      </text>
    </comment>
    <comment authorId="0" ref="AY43">
      <text>
        <t xml:space="preserve">Já descontei o depósito que os irmãos fizeram</t>
      </text>
    </comment>
    <comment authorId="0" ref="N51">
      <text>
        <t xml:space="preserve">TECLADO</t>
      </text>
    </comment>
    <comment authorId="0" ref="C65">
      <text>
        <t xml:space="preserve">WALBER PAGOU A OUTRA METADE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5">
      <text>
        <t xml:space="preserve">Déa pediu pra não pagar pois estava apertada.</t>
      </text>
    </comment>
    <comment authorId="0" ref="AM5">
      <text>
        <t xml:space="preserve">3.889,19 - 3016,21(PARTE DELA DA RESTITUIÇÃO DO IRPF) = 872,98</t>
      </text>
    </comment>
    <comment authorId="0" ref="AS5">
      <text>
        <t xml:space="preserve">Descontar R$ 2.000,00 que Déa transferiu pra mim dia 12/08/2025</t>
      </text>
    </comment>
    <comment authorId="0" ref="AY5">
      <text>
        <t xml:space="preserve">- R$ 185,49 DEA tem um saldo de oriundo do acerto do mês passado (08/2025)
- R$ 455,50 é parte de Déa oriunda da venda dos pontos C6 átomos.
Total pra abater do acerto: 185,49 + 455,50 = 640,98</t>
      </text>
    </comment>
    <comment authorId="0" ref="AG6">
      <text>
        <t xml:space="preserve">Fórmula alterada pra corresponder ao não pagamento de Déa</t>
      </text>
    </comment>
    <comment authorId="0" ref="AS13">
      <text>
        <t xml:space="preserve">    12.718,38
-     6,685.96 (IRPF DEA)
     -------------------
       6.032,42--&gt;/2 = 3.016,21
   12.718,38
-    3.016,21
   -----------------
     9.702,17
</t>
      </text>
    </comment>
    <comment authorId="0" ref="AY13">
      <text>
        <t xml:space="preserve">8.258,23 ABONO
1.255,57 REEMBOLSO (FOTOTERAPIA)
_________
9.513,80
</t>
      </text>
    </comment>
    <comment authorId="0" ref="BE13">
      <text>
        <t xml:space="preserve">-1563.80 
- 455,50 (FOI ABATIDO DO ACERTO)
-185,49 (FOI ABATIDO DO ACERTO)
-----------------
- 
</t>
      </text>
    </comment>
    <comment authorId="0" ref="I14">
      <text>
        <t xml:space="preserve">850,00 este mês
900,00 em dinheiro este mês
10.000,00 mês passado
</t>
      </text>
    </comment>
    <comment authorId="0" ref="AA14">
      <text>
        <t xml:space="preserve">Retornou os 50,00 que eu tinha depositado a mais para o condomínio do Liverpool
</t>
      </text>
    </comment>
    <comment authorId="0" ref="AS14">
      <text>
        <t xml:space="preserve">TRANSFERIU 1.000 PARA MIM E EU ENVIEI 5.000 PARA TIO TOTA.
OS 4.000 RESTANTE VOU TRANSFERIR DA CONTA DELA EM BTC PARA A MINHA.
DEA TRANSFERIU 2.000,00 DIA 12/08
WALBER LIVERPOOL 920,00</t>
      </text>
    </comment>
    <comment authorId="0" ref="AY14">
      <text>
        <t xml:space="preserve">R$ 8.000,00 (emprestado Dea):R$ 3.000,00 foram abatidos no acerto do mês passado e R$ 5.000,00 eu paguei a ela convertendo BTC para real.
R$ 517,96 (minha poupança)
R$ 1.000,00 (mãe): transferi o valor correspondente em BTC da minha carteira para a dela.
R$ 1.207,04 (Walber prestação Liverpool)
R$ 679,05 oriundo venda BTC
</t>
      </text>
    </comment>
    <comment authorId="0" ref="BE14">
      <text>
        <t xml:space="preserve">R$ 1207.04 (LIVERPOOL)
R$ 1207.09 (VIAG. CAUEIRA) recebido em 29/09</t>
      </text>
    </comment>
    <comment authorId="0" ref="BQ14">
      <text>
        <t xml:space="preserve">R$ 12.208,83 - R$ 5.000,00 (transferido pra BIPA) = R$ 7.208,83</t>
      </text>
    </comment>
    <comment authorId="0" ref="C15">
      <text>
        <t xml:space="preserve">PIX recebido na Queimada 162,00
PIX CELULAR LU 500,00
PIX CELULAR MAE 710,00
PIX CELULAR LU 500,00
PIX JU (AMAZON) 99,00
ADIANT. PPP 19.486,96
PIX WALTINHO 130,00
PIX WALBER 850,00
ACERTO 73,24
</t>
      </text>
    </comment>
    <comment authorId="0" ref="AG15">
      <text>
        <t xml:space="preserve">-2152,57 (saldo) + 920,10 (Walber: parcela Liverpool dia 29/05 não lançado mês passado e referente a este mês de junho) = - 1242,37
+ 19.33 (pix LU) = - 1.223,04
+ 104.15 (PIX MAE LUZ) = </t>
      </text>
    </comment>
    <comment authorId="0" ref="AY15">
      <text>
        <t xml:space="preserve">Somando saldo após acerto do mês passado com o acerto (que Déa não pagou, pois eu tinha empréstimo a devolver a ela). 4.814,51 + 5282,54 = 10097.05</t>
      </text>
    </comment>
    <comment authorId="0" ref="BE15">
      <text>
        <t xml:space="preserve">FGTS ANIVERSARIO = 2.577,00
BTC = 423,19
DONA FRANCISCA VIAG. BH: 4.800,00 - 3.141,00 (TRANSFERIDO PRA DEA) = 1.659,00
REMEDIO MAE = 112,00 (PAGUEI NO CARTAO E ELA DEVOLVEU NA CONTA)
BTC BIPA = 3.424,47</t>
      </text>
    </comment>
    <comment authorId="0" ref="BK15">
      <text>
        <t xml:space="preserve">681.25 CAPTUR
1774.40 ADIANTAMENTO DÉCIMO (OS 10.000 restantes transferi para a BIPA)
13.293,66 VENDA BTC</t>
      </text>
    </comment>
    <comment authorId="0" ref="O25">
      <text>
        <t xml:space="preserve">07/04/2025 - PROBLEMA NO BOLETO, AGUARDANDO DÉA RESOLVER.</t>
      </text>
    </comment>
    <comment authorId="0" ref="U25">
      <text>
        <t xml:space="preserve">Paguei março/abril 2025 pois os boletos do talão estavam com defeito no código de barras.
Déa trouxe dois boletos novos.</t>
      </text>
    </comment>
    <comment authorId="0" ref="AG27">
      <text>
        <t xml:space="preserve">Pago dia 29-05</t>
      </text>
    </comment>
    <comment authorId="0" ref="AY28">
      <text>
        <t xml:space="preserve">Abatidos R$ 100,00 que foram adiantados</t>
      </text>
    </comment>
    <comment authorId="0" ref="BK28">
      <text>
        <t xml:space="preserve">O décimo foi descontado do empréstimo restando como saldo devedor: 2.289,75
</t>
      </text>
    </comment>
    <comment authorId="0" ref="AA39">
      <text>
        <t xml:space="preserve">Coloquei 50,00 a mais por engano.
Walber devolveu depois</t>
      </text>
    </comment>
    <comment authorId="0" ref="D43">
      <text>
        <t xml:space="preserve">No dia 9 entrou 406,76 da Captur e dia 14 enviei 500,00 para a Spike2spike</t>
      </text>
    </comment>
    <comment authorId="0" ref="AY43">
      <text>
        <t xml:space="preserve">Já descontei o depósito que os irmãos fizeram</t>
      </text>
    </comment>
    <comment authorId="0" ref="H51">
      <text>
        <t xml:space="preserve">LANCEI ASSIM PARA REPASSAR A DEA A PARTE DELA DO DINHEIRO QUE O G8 DEVOLVEU.</t>
      </text>
    </comment>
    <comment authorId="0" ref="N51">
      <text>
        <t xml:space="preserve">TECLADO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K7">
      <text>
        <t xml:space="preserve">EM 18/11 14.798,56 + 250,00 (GACC MÊS PASSADO JÁ CONTABILIZADO NO SALDO DEVEDOR DE 4.573,06) - 1.500,00 (DEA DEPOSITOU PARA OS PNEUS)</t>
      </text>
    </comment>
    <comment authorId="0" ref="AL13">
      <text>
        <t xml:space="preserve">WALBER: parcelas do terreno no Liverpool Julho/Agosto</t>
      </text>
    </comment>
    <comment authorId="0" ref="BK13">
      <text>
        <t xml:space="preserve">Pagamento empréstimo CRETA.
Saldo devedor = 9.346,00
</t>
      </text>
    </comment>
    <comment authorId="0" ref="AL14">
      <text>
        <t xml:space="preserve">2.51 (TROCO MAE 22/07)
299 (FIRE STICK MAE 23/07)
1250 (PARTE WALTINHO TABLET WALBER)</t>
      </text>
    </comment>
    <comment authorId="0" ref="AY14">
      <text>
        <t xml:space="preserve">850 DIA 13
850 DIA 30 (PARA O MES DE OUTUBRO)</t>
      </text>
    </comment>
    <comment authorId="0" ref="Z15">
      <text>
        <t xml:space="preserve">WALBER 850,00
WALTINHO 625,00 (BARRIS)
RECEBI AO PAGAR CONTA DE BAR NO CARTÃO 271,00
</t>
      </text>
    </comment>
    <comment authorId="0" ref="AM15">
      <text>
        <t xml:space="preserve">Valor ajustado para zerar o balanço</t>
      </text>
    </comment>
    <comment authorId="0" ref="AY15">
      <text>
        <t xml:space="preserve">
5000 (DEA EMPRESTADO)
396,48 (DEVOLUÇÃO CAMISAS)</t>
      </text>
    </comment>
    <comment authorId="0" ref="BE15">
      <text>
        <t xml:space="preserve">BRINQUEDO 210
DEA 1000 (DIVIDA DO CARRO)</t>
      </text>
    </comment>
    <comment authorId="0" ref="BQ15">
      <text>
        <t xml:space="preserve">FÉRIAS R$ 26.776,20
DÉA EMPRESTIMO DO CARRO R$ 5.000,00
13 SAL R$ 8.624,50
MAX MILHAS R$ 686,88
WALBER (MATERIAIS OBRA) R$ 294.77</t>
      </text>
    </comment>
    <comment authorId="0" ref="O18">
      <text>
        <t xml:space="preserve">Pago em atraso 06/03
</t>
      </text>
    </comment>
    <comment authorId="0" ref="AM19">
      <text>
        <t xml:space="preserve">Desconto da conta paga dobrada mês passado.
</t>
      </text>
    </comment>
    <comment authorId="0" ref="BE19">
      <text>
        <t xml:space="preserve">405,95: valor do mês passado em atraso.</t>
      </text>
    </comment>
    <comment authorId="0" ref="BK19">
      <text>
        <t xml:space="preserve">Cartão Elo R$ 367,40</t>
      </text>
    </comment>
    <comment authorId="0" ref="AS20">
      <text>
        <t xml:space="preserve">Foi pago em Julho por engano.</t>
      </text>
    </comment>
    <comment authorId="0" ref="BE25">
      <text>
        <t xml:space="preserve">Pago via cartão Elo</t>
      </text>
    </comment>
    <comment authorId="0" ref="BK25">
      <text>
        <t xml:space="preserve">Cartão Elo R$ 50,00</t>
      </text>
    </comment>
    <comment authorId="0" ref="C27">
      <text>
        <t xml:space="preserve">Pago em atraso: 05/02/2024</t>
      </text>
    </comment>
    <comment authorId="0" ref="I27">
      <text>
        <t xml:space="preserve">Pago em atraso 05/03</t>
      </text>
    </comment>
    <comment authorId="0" ref="BK28">
      <text>
        <t xml:space="preserve">SALARIO NOVEMBRO + SALARIO DEZEMBRO + TERCO DE FERIAS</t>
      </text>
    </comment>
    <comment authorId="0" ref="BQ28">
      <text>
        <t xml:space="preserve">PAGO MÊS PASSADO (FÉRIAS)
</t>
      </text>
    </comment>
    <comment authorId="0" ref="AG29">
      <text>
        <t xml:space="preserve">pago dia 05/07</t>
      </text>
    </comment>
    <comment authorId="0" ref="AY29">
      <text>
        <t xml:space="preserve">Pago via cartão ELO</t>
      </text>
    </comment>
    <comment authorId="0" ref="BE29">
      <text>
        <t xml:space="preserve">Pago via cartão Elo</t>
      </text>
    </comment>
    <comment authorId="0" ref="I30">
      <text>
        <t xml:space="preserve">Pago em atraso 05/03</t>
      </text>
    </comment>
    <comment authorId="0" ref="O30">
      <text>
        <t xml:space="preserve">Pago em atraso 03/04</t>
      </text>
    </comment>
    <comment authorId="0" ref="BE30">
      <text>
        <t xml:space="preserve">Pago via cartão Elo</t>
      </text>
    </comment>
    <comment authorId="0" ref="BK30">
      <text>
        <t xml:space="preserve">Cartão Elo R$ 2041,07</t>
      </text>
    </comment>
    <comment authorId="0" ref="BK31">
      <text>
        <t xml:space="preserve">4486,04 + 87,02 (não cobrei de Déa) = 4.573,06</t>
      </text>
    </comment>
    <comment authorId="0" ref="BD32">
      <text>
        <t xml:space="preserve">Paguei o acerto porque devia 5 mil a Déa, que peguei com ela mês passado. O restante do valor, 1.254, mais 1.000 que ela depositou esse mês, ficaram pra abater a dívida dela comigo: 19600 (complemento do Creta) - 2254 = 17.346</t>
      </text>
    </comment>
    <comment authorId="0" ref="BJ59">
      <text>
        <t xml:space="preserve">ACERTO COLEGAS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P12">
      <text>
        <t xml:space="preserve">Seg. parcela 13 salário R$6,039.27
Petro D-25 R$6,256.53
Abono R$16,159.46
Saldo AF, saldo HC, banco de horas R$19,516.23
Prim. parcela 13 salário R$11,559.42
PIX (irmaos ceia natal) R$ 591,15
---------------------------------------------------------------------
TOTAL:  R$ 60.122,06
</t>
      </text>
    </comment>
    <comment authorId="0" ref="O13">
      <text>
        <t xml:space="preserve">10.812,06 (08/03) + 4.000,00 (30/03)</t>
      </text>
    </comment>
    <comment authorId="0" ref="AS13">
      <text>
        <t xml:space="preserve">2.649,38 - 1.546,10 (IGREJA) = 1.103,28</t>
      </text>
    </comment>
    <comment authorId="0" ref="BQ13">
      <text>
        <t xml:space="preserve">7.076,67 (Adiantamento)
31.126,75 (Férias)</t>
      </text>
    </comment>
    <comment authorId="0" ref="AL14">
      <text>
        <t xml:space="preserve">Conta restaurante Orla (encontro com Cortes)</t>
      </text>
    </comment>
    <comment authorId="0" ref="AS14">
      <text>
        <t xml:space="preserve">499.33 (ACERTO) + 306 (DIARIAS)</t>
      </text>
    </comment>
    <comment authorId="0" ref="BE14">
      <text>
        <t xml:space="preserve">Ajuste</t>
      </text>
    </comment>
    <comment authorId="0" ref="C15">
      <text>
        <t xml:space="preserve">102 PETROBRAS
900 PAULA</t>
      </text>
    </comment>
    <comment authorId="0" ref="O15">
      <text>
        <t xml:space="preserve">100 + 822,47(30/03)</t>
      </text>
    </comment>
    <comment authorId="0" ref="V15">
      <text>
        <t xml:space="preserve">Dia 2 do mês seguinte
</t>
      </text>
    </comment>
    <comment authorId="0" ref="AS15">
      <text>
        <t xml:space="preserve">
5000 + 820(WALBER)
</t>
      </text>
    </comment>
    <comment authorId="0" ref="BE15">
      <text>
        <t xml:space="preserve">3910.12 (10) + 1282 (11) + 822.47 (WALBER)
</t>
      </text>
    </comment>
    <comment authorId="0" ref="BK28">
      <text>
        <t xml:space="preserve">Terço de férias = 400,40
Salário de novembro = 1.221,00
Restante do décimo (descontado 1.000,00 de Andréia) = 221,00
_________________________________
                         TOTAL = 1.842,40
</t>
      </text>
    </comment>
    <comment authorId="0" ref="BQ28">
      <text>
        <t xml:space="preserve">38,75 a mais, de acordo com o esocial
</t>
      </text>
    </comment>
    <comment authorId="0" ref="I29">
      <text>
        <t xml:space="preserve">   1.204,35
+       83,25 (DIF. JAN)
_______________________
    1.287,60</t>
      </text>
    </comment>
    <comment authorId="0" ref="AS29">
      <text>
        <t xml:space="preserve">Falta pagar</t>
      </text>
    </comment>
    <comment authorId="0" ref="I30">
      <text>
        <t xml:space="preserve">     358,04 
  +   27,07 (DIF. JAN DEV. REAJ. SAL.)
________________________________
     385,11</t>
      </text>
    </comment>
    <comment authorId="0" ref="BJ80">
      <text>
        <t xml:space="preserve">Referente aos 1.000 que foram descontados e que eram de Déa
</t>
      </text>
    </comment>
    <comment authorId="0" ref="BJ82">
      <text>
        <t xml:space="preserve">ME ENGANEI E ACABEI DEVOLVENDO 400 A DÉA DE FORMA INDEVIDA.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9">
      <text>
        <t xml:space="preserve">paguei duas contas: abril e maio
obs.(aviso de corte por falta de pagamento)</t>
      </text>
    </comment>
    <comment authorId="0" ref="AG19">
      <text>
        <t xml:space="preserve">Pago com o saldo que ficou na DESO devido a pagamento duplo mês passado.</t>
      </text>
    </comment>
    <comment authorId="0" ref="AY20">
      <text>
        <t xml:space="preserve">Agendado para 12/09</t>
      </text>
    </comment>
    <comment authorId="0" ref="AA24">
      <text>
        <t xml:space="preserve">VAI SER PAGO PELO APLICATIVO IQ E SERA COBRADO NA FATURA DO CARTAO C6 DO PROXIMO MES
</t>
      </text>
    </comment>
    <comment authorId="0" ref="AG24">
      <text>
        <t xml:space="preserve">Pago no cartão C6</t>
      </text>
    </comment>
    <comment authorId="0" ref="AM24">
      <text>
        <t xml:space="preserve">Pago 15/07</t>
      </text>
    </comment>
    <comment authorId="0" ref="AY24">
      <text>
        <t xml:space="preserve">Agendado para 12/09</t>
      </text>
    </comment>
    <comment authorId="0" ref="O26">
      <text>
        <t xml:space="preserve">PAGO DIA 04/04
</t>
      </text>
    </comment>
    <comment authorId="0" ref="BQ26">
      <text>
        <t xml:space="preserve">pago dia 09/01</t>
      </text>
    </comment>
    <comment authorId="0" ref="I27">
      <text>
        <t xml:space="preserve">Dia 01 tem uma transferência de R$ 200,00. Destes, R$ 100,00 foram contabilizados mês passado e R$ 100,00 este mês.</t>
      </text>
    </comment>
    <comment authorId="0" ref="O27">
      <text>
        <t xml:space="preserve">DOAÇÃO REALIZADA EM ABRIL
</t>
      </text>
    </comment>
    <comment authorId="0" ref="O28">
      <text>
        <t xml:space="preserve">Pago no cartão C6</t>
      </text>
    </comment>
    <comment authorId="0" ref="AA28">
      <text>
        <t xml:space="preserve">Pago no cartão C6</t>
      </text>
    </comment>
    <comment authorId="0" ref="AG28">
      <text>
        <t xml:space="preserve">Pago via cartão C6</t>
      </text>
    </comment>
    <comment authorId="0" ref="AS28">
      <text>
        <t xml:space="preserve">FOI COBRADA DIA 30/07 VAI APARECER NA FATURA DO MES QUE VEM.</t>
      </text>
    </comment>
    <comment authorId="0" ref="AA29">
      <text>
        <t xml:space="preserve">1.121,10 (salário) - 400,00 (empréstimo Déa) = 721,10
721,10 + 90 (passagens duas semanas) = 811,10</t>
      </text>
    </comment>
    <comment authorId="0" ref="BK29">
      <text>
        <t xml:space="preserve">SALÁRIO + TERÇO DE FÉRIAS
</t>
      </text>
    </comment>
    <comment authorId="0" ref="O30">
      <text>
        <t xml:space="preserve">PAGO EM ABRIL
</t>
      </text>
    </comment>
    <comment authorId="0" ref="AG30">
      <text>
        <t xml:space="preserve">Pago em 18/07</t>
      </text>
    </comment>
    <comment authorId="0" ref="AM30">
      <text>
        <t xml:space="preserve">Pago em 18/08</t>
      </text>
    </comment>
    <comment authorId="0" ref="AS30">
      <text>
        <t xml:space="preserve">Pago 21/09</t>
      </text>
    </comment>
    <comment authorId="0" ref="BQ30">
      <text>
        <t xml:space="preserve">198,18 (SOBRE DEC TER)
497,89 (SOBRE SAL)
</t>
      </text>
    </comment>
    <comment authorId="0" ref="I31">
      <text>
        <t xml:space="preserve">Pagamento agendado</t>
      </text>
    </comment>
    <comment authorId="0" ref="O31">
      <text>
        <t xml:space="preserve">PAGO EM ABRIL
</t>
      </text>
    </comment>
    <comment authorId="0" ref="AG31">
      <text>
        <t xml:space="preserve">Pago em 15/07</t>
      </text>
    </comment>
    <comment authorId="0" ref="AM31">
      <text>
        <t xml:space="preserve">Agendado para 01/08/22
</t>
      </text>
    </comment>
    <comment authorId="0" ref="AL41">
      <text>
        <t xml:space="preserve">Pago com dinheiro da poupança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Walker pagou (é este valor que vai gerar o acerto com Déa no fim do mês)
</t>
      </text>
    </comment>
    <comment authorId="0" ref="I2">
      <text>
        <t xml:space="preserve">Walker pagou (é este valor que vai gerar o acerto com Déa no fim do mês)
</t>
      </text>
    </comment>
    <comment authorId="0" ref="O2">
      <text>
        <t xml:space="preserve">Walker pagou (é este valor que vai gerar o acerto com Déa no fim do mês)
</t>
      </text>
    </comment>
    <comment authorId="0" ref="U2">
      <text>
        <t xml:space="preserve">Walker pagou (é este valor que vai gerar o acerto com Déa no fim do mês)
</t>
      </text>
    </comment>
    <comment authorId="0" ref="AG2">
      <text>
        <t xml:space="preserve">Walker pagou (é este valor que vai gerar o acerto com Déa no fim do mês)
</t>
      </text>
    </comment>
    <comment authorId="0" ref="E3">
      <text>
        <t xml:space="preserve">BALANÇO (SALDOREAL - SALDOSISTEMA):
= 51.87 ESTÁ OK (DINHEIRO DE DEA QUE SOBROU NA CONTA) LEMBRAR DE ABATER DO VALOR QUE DEA VAI TER A PAGAR
</t>
      </text>
    </comment>
    <comment authorId="0" ref="Q3">
      <text>
        <t xml:space="preserve">BALANÇO (SALDOREAL - SALDOSISTEMA):
= 51.87 ESTÁ OK (DINHEIRO DE DEA QUE SOBROU NA CONTA) LEMBRAR DE ABATER DO VALOR QUE DEA VAI TER A PAGAR
</t>
      </text>
    </comment>
    <comment authorId="0" ref="T5">
      <text>
        <t xml:space="preserve">Desse valor ela já me passou 500,00 (então devo descontar 500) da primeira parcela do computador de Davi.
Esse dinheiro, coloquei na poupança variação 51.</t>
      </text>
    </comment>
    <comment authorId="0" ref="AF5">
      <text>
        <t xml:space="preserve">Desse valor ela já me passou 500,00 (então devo descontar 500) da primeira parcela do computador de Davi.
Esse dinheiro, coloquei na poupança variação 51.</t>
      </text>
    </comment>
    <comment authorId="0" ref="AL5">
      <text>
        <t xml:space="preserve">Déa tinha saldo (dos 6.000,00 que faltava do terreno na Queimada) de 2.130,14 (depois de ter descontado o acerto do mês passado [4.369,86 - 500 [que ela já tinha pago do note de Davi] = 3.869,86. Então 6.000 - 3.869,86 = 2.130,14 (Saldo que ainda devia do terreno). Acerto deste mês = 4.618,71 - 2.130,14 = 2.488,57. E não devo mais nada do terreno.</t>
      </text>
    </comment>
    <comment authorId="0" ref="B7">
      <text>
        <t xml:space="preserve">4036.60
4189.68
3808.27</t>
      </text>
    </comment>
    <comment authorId="0" ref="N7">
      <text>
        <t xml:space="preserve">2494.51</t>
      </text>
    </comment>
    <comment authorId="0" ref="T7">
      <text>
        <t xml:space="preserve">3921.20
8680.63
870.84
-34.80</t>
      </text>
    </comment>
    <comment authorId="0" ref="Z7">
      <text>
        <t xml:space="preserve">-2.308,65
319.61
-3.690,89</t>
      </text>
    </comment>
    <comment authorId="0" ref="AF7">
      <text>
        <t xml:space="preserve">7892.19
8586.24
7803.30
616.85
229.83</t>
      </text>
    </comment>
    <comment authorId="0" ref="AL7">
      <text>
        <t xml:space="preserve">-4.516,31</t>
      </text>
    </comment>
    <comment authorId="0" ref="AR7">
      <text>
        <t xml:space="preserve">6712
-359.62
-3232.84
-3535.34</t>
      </text>
    </comment>
    <comment authorId="0" ref="AX7">
      <text>
        <t xml:space="preserve">-4.516,31
4641.70
</t>
      </text>
    </comment>
    <comment authorId="0" ref="BD7">
      <text>
        <t xml:space="preserve">5002.90
0
</t>
      </text>
    </comment>
    <comment authorId="0" ref="BJ7">
      <text>
        <t xml:space="preserve">-13876.02</t>
      </text>
    </comment>
    <comment authorId="0" ref="BP7">
      <text>
        <t xml:space="preserve">1033,60
</t>
      </text>
    </comment>
    <comment authorId="0" ref="B8">
      <text>
        <t xml:space="preserve">646.10
147.10</t>
      </text>
    </comment>
    <comment authorId="0" ref="H8">
      <text>
        <t xml:space="preserve">1026</t>
      </text>
    </comment>
    <comment authorId="0" ref="T8">
      <text>
        <t xml:space="preserve">1026
74</t>
      </text>
    </comment>
    <comment authorId="0" ref="AR8">
      <text>
        <t xml:space="preserve">76.35</t>
      </text>
    </comment>
    <comment authorId="0" ref="BP8">
      <text>
        <t xml:space="preserve">480
</t>
      </text>
    </comment>
    <comment authorId="0" ref="BP11">
      <text>
        <t xml:space="preserve">6525.03 + 5017.10 = 11542.13</t>
      </text>
    </comment>
    <comment authorId="0" ref="T12">
      <text>
        <t xml:space="preserve">Paguei 82.5 a mais no salário dela mês passado. Ela me deu 100 e eu dei 10 em dinheiro e 7.5 via banco, de troco.</t>
      </text>
    </comment>
    <comment authorId="0" ref="AR12">
      <text>
        <t xml:space="preserve">4618.71 (Valor total do acerto de Déa, mas vou receber dela apenas 2.488,57 - ver comentário no acerto do mês passado.) + 2.116.75 (saldo negativo julho). Fiz essa transferência para zerar o saldo inicial de Agosto. Não consta como entrada de capital, por isso está em branco.
</t>
      </text>
    </comment>
    <comment authorId="0" ref="BJ12">
      <text>
        <t xml:space="preserve">Déa depositou R$ 6095.59 (do acerto) e me deu R$ 1000.00 em dinheiro (paguei ao motorista da mudança)</t>
      </text>
    </comment>
    <comment authorId="0" ref="AX13">
      <text>
        <t xml:space="preserve"> 116,00 dia 6
 116,00 dia 13
2200,00 dia 24</t>
      </text>
    </comment>
    <comment authorId="0" ref="BP13">
      <text>
        <t xml:space="preserve">8,995.92 + 4,842.26</t>
      </text>
    </comment>
    <comment authorId="0" ref="BP14">
      <text>
        <t xml:space="preserve">884.95 + 1.600 + 1000 = 3.484,95
+ 600 (da poupança direto para a conta do C6 para pagar o cartão) = 4.084,95
</t>
      </text>
    </comment>
    <comment authorId="0" ref="AQ15">
      <text>
        <t xml:space="preserve">1.500,00 (POUPANÇA)
   800,00 (REEMBOLSO ANESTESISTA)
  500,00 (PAULA NOTE DAV)
   500,00 (AUX. DOENC. INSS)
_________
3.300,00</t>
      </text>
    </comment>
    <comment authorId="0" ref="BO15">
      <text>
        <t xml:space="preserve">MÊS PASSADO, NOVEMBRO, O CARTÃO C6 FOI PAGO COM DINHEIRO DA POUPANÇA. ESTE VALOR DEVERIA TER SIDO DEVOLVIOD O QUE ACARRETARIA UM SALDO NEGATIVO CORRESPONDENTE NO SALDO DA CONTA CORRENTE. PARA NÃO GERAR UM SALDO MUITO NEGATIVO NA CONTA CORRENTE, QUE ESTÁ ZERADA NO MOMENTO, ESTOU LANÇANDO AQUI COMO ENTRADA. (LEMBRE, O CORRETO SERIA TER AGORA UM SALDO EM TORNO DE -16.178,57 NA CONTA CORRENTE)</t>
      </text>
    </comment>
    <comment authorId="0" ref="C18">
      <text>
        <t xml:space="preserve">Pago dia 19/01
</t>
      </text>
    </comment>
    <comment authorId="0" ref="BD18">
      <text>
        <t xml:space="preserve">Condomínio Setembro pago via 99pay</t>
      </text>
    </comment>
    <comment authorId="0" ref="BJ18">
      <text>
        <t xml:space="preserve">Condomínio outubro pago via 99 pay
</t>
      </text>
    </comment>
    <comment authorId="0" ref="N19">
      <text>
        <t xml:space="preserve">PAGO DIA 12</t>
      </text>
    </comment>
    <comment authorId="0" ref="AL19">
      <text>
        <t xml:space="preserve">PAGO EM 28/07
</t>
      </text>
    </comment>
    <comment authorId="0" ref="BD19">
      <text>
        <t xml:space="preserve">Taxa de Setembro pago via RecargaPay
</t>
      </text>
    </comment>
    <comment authorId="0" ref="BJ19">
      <text>
        <t xml:space="preserve">taxa outubro paga via RecargaPay</t>
      </text>
    </comment>
    <comment authorId="0" ref="AA20">
      <text>
        <t xml:space="preserve">Pago em atraso dia 11, lancei diferença, 588.98,  apenas para mim.
Verificar DIF ESCOLA MENINAS ATRASO PAG.</t>
      </text>
    </comment>
    <comment authorId="0" ref="AF20">
      <text>
        <t xml:space="preserve">FIZ O PAGAMENTO VIA TRANSFERÊNCIA, POIS MÊS PASSADO PAGUEI 588,98 A MAIS DEVIDO AO ATRASO DE 1 DIA. ACERTEI COM O FINANCEIRO DA ESCOLA QUE DESCONTARIA ESSE VALOR NAS MENSALIDADES DESSE MÊS. POR ISSO, AGENDEI UMA TRANSFERÊNCIA PARA A ESCOLA NO VALOR DE 2.203,78 JÁ COM OS 588,98 DESCONTADOS. VER EMAIL ENVIADO DIA 12/05/2021 PARA A SECRETARIA DA ESCOLA
</t>
      </text>
    </comment>
    <comment authorId="0" ref="BD20">
      <text>
        <t xml:space="preserve"> pago via 99pay</t>
      </text>
    </comment>
    <comment authorId="0" ref="BJ20">
      <text>
        <t xml:space="preserve">As mensalidades de novembro foram pagas na escola via débito bancário</t>
      </text>
    </comment>
    <comment authorId="0" ref="BD21">
      <text>
        <t xml:space="preserve"> pago via 99pay</t>
      </text>
    </comment>
    <comment authorId="0" ref="BD22">
      <text>
        <t xml:space="preserve">Mensalidade de Setembro pago via 99pay
</t>
      </text>
    </comment>
    <comment authorId="0" ref="BD24">
      <text>
        <t xml:space="preserve">Taxa Setembro pago via IQ
</t>
      </text>
    </comment>
    <comment authorId="0" ref="BJ24">
      <text>
        <t xml:space="preserve">taxa outubro paga via iq</t>
      </text>
    </comment>
    <comment authorId="0" ref="B25">
      <text>
        <t xml:space="preserve">PAGO DIA 19</t>
      </text>
    </comment>
    <comment authorId="0" ref="BD25">
      <text>
        <t xml:space="preserve">Conta de Setembro
Houve estorno no cartão C6, aguardar pra ver se vai aparecer na fatura do mês que vem. Por enquanto a conta segue como tendo sido paga pela Mastercard pois não conta como em aberto na SergipeWeb.</t>
      </text>
    </comment>
    <comment authorId="0" ref="BJ25">
      <text>
        <t xml:space="preserve">mensalidade outubro paga via 99pay</t>
      </text>
    </comment>
    <comment authorId="0" ref="BD27">
      <text>
        <t xml:space="preserve">Taxa de Setembro paga via 99pay
</t>
      </text>
    </comment>
    <comment authorId="0" ref="BP29">
      <text>
        <t xml:space="preserve">Pago na fatura C6 dia 10 (R$ 108,00)</t>
      </text>
    </comment>
    <comment authorId="0" ref="B30">
      <text>
        <t xml:space="preserve">1.045,00 SALÁRIO NOVEMBRO
1.045,00 DÉCIMO
349 TERÇO DE FÉRIAS
___________________________
   2439,00 TOTAL
- 1000,00 *
___________________________
1439,00
* Parte do pagamento dos 5.000 que pegou emprestado com Déa (Nete ainda deve 4.000)</t>
      </text>
    </comment>
    <comment authorId="0" ref="H30">
      <text>
        <t xml:space="preserve">Foi acrescentado ao salário (de 1017.50) o valor de 200,00 referente ao combustível</t>
      </text>
    </comment>
    <comment authorId="0" ref="BJ30">
      <text>
        <t xml:space="preserve">Ela recebeu férias e 13º, houve um desconto de R$ 1.000,00 (dinheiro que ela devia a Déa), portanto devo a Déa 600,00. Vou colocar como acerto lá embaixo.</t>
      </text>
    </comment>
    <comment authorId="0" ref="O31">
      <text>
        <t xml:space="preserve">Pago 06/04</t>
      </text>
    </comment>
    <comment authorId="0" ref="AR31">
      <text>
        <t xml:space="preserve">Cartão C6</t>
      </text>
    </comment>
    <comment authorId="0" ref="BD31">
      <text>
        <t xml:space="preserve">Setembro pago via RecargaPay
</t>
      </text>
    </comment>
    <comment authorId="0" ref="A32">
      <text>
        <t xml:space="preserve">Cartão: 1846004001395004</t>
      </text>
    </comment>
    <comment authorId="0" ref="G32">
      <text>
        <t xml:space="preserve">Cartão: 1846004001395004</t>
      </text>
    </comment>
    <comment authorId="0" ref="M32">
      <text>
        <t xml:space="preserve">Cartão: 1846004001395004</t>
      </text>
    </comment>
    <comment authorId="0" ref="S32">
      <text>
        <t xml:space="preserve">Cartão: 1846004001395004</t>
      </text>
    </comment>
    <comment authorId="0" ref="AE32">
      <text>
        <t xml:space="preserve">Cartão: 1846004001395004</t>
      </text>
    </comment>
    <comment authorId="0" ref="BD32">
      <text>
        <t xml:space="preserve">Setembro pago via 99pay</t>
      </text>
    </comment>
    <comment authorId="0" ref="AW37">
      <text>
        <t xml:space="preserve">Foram cobrados no mês passado os 40% do pagamento dos encargos de Nete (40% de 302,50 = 121,00). Como esta dívida foi jogada para este mês de setembro (foi paga com o Cartão C6) Déa adiantou o pagamento, logo tem 121,00 de saldo. Perceba que Déa devia ter transferido 3.551,40 mas transferiu 3.672,40, ou seja, R$ 121,00 a mais.
</t>
      </text>
    </comment>
    <comment authorId="0" ref="BJ46">
      <text>
        <t xml:space="preserve">99,99 foram pagos com o cartão mas lançados na linha da CONTA TIM dos gastos fixos.</t>
      </text>
    </comment>
    <comment authorId="0" ref="BJ47">
      <text>
        <t xml:space="preserve">Valores que foram lançados por fora (nas contas fixas):
159.64 (Deso)
88.89 (SeripeWeb)
226.40 (Condomínio)
489.89 (Energia)
___________________
1.123,81
O valor acima somado com os 99,99 da Conta Tim mais os valores C_C6-Ambos/Walker Totalizam 16.178,57 (valor da fatura mês de novembro)</t>
      </text>
    </comment>
    <comment authorId="0" ref="AW68">
      <text>
        <t xml:space="preserve">5 Faustão
140 van Farol/Rio
14 chaves
12 salgadinhos
5 refri
11 chocolates
4 esmola
17 queijo e presunto
12 Luiza
6 sabão em pó
8 pão e doces</t>
      </text>
    </comment>
    <comment authorId="0" ref="BI71">
      <text>
        <t xml:space="preserve">Devido ao desconto de 1.000,00 realizado no valor total que Nete tinha a receber. Este desconto foi um abatimento na dívida que ela tem com Andréia.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Walker pagou (é este valor que vai gerar o acerto com Déa no fim do mês, uma vez que Walker paga quase todas as contas)
</t>
      </text>
    </comment>
    <comment authorId="0" ref="J2">
      <text>
        <t xml:space="preserve">Walker pagou (é este valor que vai gerar o acerto com Déa no fim do mês, uma vez que Walker paga quase todas as contas)
</t>
      </text>
    </comment>
    <comment authorId="0" ref="P2">
      <text>
        <t xml:space="preserve">Walker pagou (é este valor que vai gerar o acerto com Déa no fim do mês, uma vez que Walker paga quase todas as contas)
</t>
      </text>
    </comment>
    <comment authorId="0" ref="AB2">
      <text>
        <t xml:space="preserve">Walker pagou (é este valor que vai gerar o acerto com Déa no fim do mês, uma vez que Walker paga quase todas as contas)
</t>
      </text>
    </comment>
    <comment authorId="0" ref="F3">
      <text>
        <t xml:space="preserve">BALANÇO:
= 0 ESTÁ OK
</t>
      </text>
    </comment>
    <comment authorId="0" ref="L3">
      <text>
        <t xml:space="preserve">BALANÇO:
= 0 ESTÁ OK
</t>
      </text>
    </comment>
    <comment authorId="0" ref="R3">
      <text>
        <t xml:space="preserve">BALANÇO (SALDOREAL - SALDOSISTEMA):
= 51.87 ESTÁ OK (DINHEIRO DE DEA QUE SOBROU NA CONTA) LEMBRAR DE ABATER DO VALOR QUE DEA VAI TER A PAGAR
</t>
      </text>
    </comment>
    <comment authorId="0" ref="AD3">
      <text>
        <t xml:space="preserve">BALANÇO (SALDOREAL - SALDOSISTEMA):
= 51.87 ESTÁ OK (DINHEIRO DE DEA QUE SOBROU NA CONTA) LEMBRAR DE ABATER DO VALOR QUE DEA VAI TER A PAGAR
</t>
      </text>
    </comment>
    <comment authorId="0" ref="B5">
      <text>
        <t xml:space="preserve">+ receber
- pagar</t>
      </text>
    </comment>
    <comment authorId="0" ref="H5">
      <text>
        <t xml:space="preserve">+ receber
- pagar</t>
      </text>
    </comment>
    <comment authorId="0" ref="O7">
      <text>
        <t xml:space="preserve">- 5.235,39</t>
      </text>
    </comment>
    <comment authorId="0" ref="AA7">
      <text>
        <t xml:space="preserve">4036.60</t>
      </text>
    </comment>
    <comment authorId="0" ref="AG7">
      <text>
        <t xml:space="preserve">10529.22
- 3862.32</t>
      </text>
    </comment>
    <comment authorId="0" ref="I8">
      <text>
        <t xml:space="preserve">148</t>
      </text>
    </comment>
    <comment authorId="0" ref="AA8">
      <text>
        <t xml:space="preserve">1076
</t>
      </text>
    </comment>
    <comment authorId="0" ref="AG8">
      <text>
        <t xml:space="preserve">604
</t>
      </text>
    </comment>
    <comment authorId="0" ref="D10">
      <text>
        <t xml:space="preserve">"-" mês anterior</t>
      </text>
    </comment>
    <comment authorId="0" ref="J10">
      <text>
        <t xml:space="preserve">"-" MÊS ANTERIOR</t>
      </text>
    </comment>
    <comment authorId="0" ref="AG12">
      <text>
        <t xml:space="preserve">1.585,22 dia 02
    800,00 dia 07
6.000,00 dia 10
3.362.59 dia 10
_________________
11.747,81
</t>
      </text>
    </comment>
    <comment authorId="0" ref="O13">
      <text>
        <t xml:space="preserve">Saquei 300 da poupança dia 12</t>
      </text>
    </comment>
    <comment authorId="0" ref="AA13">
      <text>
        <t xml:space="preserve">Saquei 300 da poupança dia 12</t>
      </text>
    </comment>
    <comment authorId="0" ref="H14">
      <text>
        <t xml:space="preserve">CIRURGIA DEA (SALPINGECTOMIA)
- ANESTESISTA: 2.000,00 07/08
- MÉDICA AUXILIAR: 800,00 17/08
- Instrumentadora: 300,00 24/08
</t>
      </text>
    </comment>
    <comment authorId="0" ref="P18">
      <text>
        <t xml:space="preserve">Agendado para 09/09</t>
      </text>
    </comment>
    <comment authorId="0" ref="AB18">
      <text>
        <t xml:space="preserve">Agendado para 09/09</t>
      </text>
    </comment>
    <comment authorId="0" ref="AA19">
      <text>
        <t xml:space="preserve">Pago dia 18
</t>
      </text>
    </comment>
    <comment authorId="0" ref="B20">
      <text>
        <t xml:space="preserve">760,35 (Petro) + 959,77 (Ambos)</t>
      </text>
    </comment>
    <comment authorId="0" ref="H20">
      <text>
        <t xml:space="preserve">760,35 (Petro) + 959,77 (Ambos)</t>
      </text>
    </comment>
    <comment authorId="0" ref="N20">
      <text>
        <t xml:space="preserve">760,35 (Petro) + 959,77 (Ambos)</t>
      </text>
    </comment>
    <comment authorId="0" ref="T20">
      <text>
        <t xml:space="preserve">760,35 (Petro) + 959,77 (Ambos)</t>
      </text>
    </comment>
    <comment authorId="0" ref="Z20">
      <text>
        <t xml:space="preserve">760,35 (Petro) + 959,77 (Ambos)</t>
      </text>
    </comment>
    <comment authorId="0" ref="AF20">
      <text>
        <t xml:space="preserve">760,35 (Petro) + 959,77 (Ambos)</t>
      </text>
    </comment>
    <comment authorId="0" ref="B22">
      <text>
        <t xml:space="preserve">760,35(Petrobras) + 222,22 (Ambos)
</t>
      </text>
    </comment>
    <comment authorId="0" ref="H22">
      <text>
        <t xml:space="preserve">760,35(Petrobras) + 222,22 (Ambos)
</t>
      </text>
    </comment>
    <comment authorId="0" ref="N22">
      <text>
        <t xml:space="preserve">760,35(Petrobras) + 222,22 (Ambos)
</t>
      </text>
    </comment>
    <comment authorId="0" ref="T22">
      <text>
        <t xml:space="preserve">760,35(Petrobras) + 222,22 (Ambos)
</t>
      </text>
    </comment>
    <comment authorId="0" ref="Z22">
      <text>
        <t xml:space="preserve">760,35(Petrobras) + 222,22 (Ambos)
</t>
      </text>
    </comment>
    <comment authorId="0" ref="AF22">
      <text>
        <t xml:space="preserve">760,35(Petrobras) + 222,22 (Ambos)
</t>
      </text>
    </comment>
    <comment authorId="0" ref="I30">
      <text>
        <t xml:space="preserve">SALARIO + GASOLINA + ACERTO (DINHEIRO EMPRESTADO)
</t>
      </text>
    </comment>
    <comment authorId="0" ref="AA30">
      <text>
        <t xml:space="preserve">1.045,00 SALÁRIO NOVEMBRO
1.045,00 DÉCIMO
349 TERÇO DE FÉRIAS
___________________________
   2439,00 TOTAL
- 1000,00 *
___________________________
1439,00
* Parte do pagamento dos 5.000 que pegou emprestado com Déa (Nete ainda deve 4.000)</t>
      </text>
    </comment>
    <comment authorId="0" ref="B32">
      <text>
        <t xml:space="preserve">Cartão: 1846004001395004</t>
      </text>
    </comment>
    <comment authorId="0" ref="H32">
      <text>
        <t xml:space="preserve">Cartão: 1846004001395004</t>
      </text>
    </comment>
    <comment authorId="0" ref="N32">
      <text>
        <t xml:space="preserve">Cartão: 1846004001395004</t>
      </text>
    </comment>
    <comment authorId="0" ref="T32">
      <text>
        <t xml:space="preserve">Cartão: 1846004001395004</t>
      </text>
    </comment>
    <comment authorId="0" ref="Z32">
      <text>
        <t xml:space="preserve">Cartão: 1846004001395004</t>
      </text>
    </comment>
    <comment authorId="0" ref="AF32">
      <text>
        <t xml:space="preserve">Cartão: 1846004001395004</t>
      </text>
    </comment>
    <comment authorId="0" ref="I39">
      <text>
        <t xml:space="preserve">CARTAO DEBITO
</t>
      </text>
    </comment>
    <comment authorId="0" ref="O45">
      <text>
        <t xml:space="preserve">Luiza recebeu 50,00 = 30,00 que Déa pegou emprestado + 20,00 mesada</t>
      </text>
    </comment>
    <comment authorId="0" ref="O60">
      <text>
        <t xml:space="preserve">Havia transferido da poupança para Paula, portanto, transferi da conta para a poupança para registrar
</t>
      </text>
    </comment>
    <comment authorId="0" ref="AF65">
      <text>
        <t xml:space="preserve">ENTREGUEI A WALBER</t>
      </text>
    </comment>
    <comment authorId="0" ref="B82">
      <text>
        <t xml:space="preserve">MEU, LUIZA E WALBER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Valor total do Terreno na data da compra: R$ 246.741,48
----------------------------------------------
Entrada:
R$ 39.959,18 (TEMA: CONSTRUTORA)
R$ 12.986,40 (LH IC: CORRETORA)
_______________
R$ 51.945,58 (PARA DIVIDIR ENTRE MIM E WALBER)
R$ 25.972,79 para cada
---------------------------------------------
Walber pagou R$ 5.972,79 em 02/04/2023 (restam R$ 20.000,00)
Walber pagou R$ 20.000,00 em maio de 2023 com três transferências: 3.000,00/7.000,00/10.000,00</t>
      </text>
    </comment>
    <comment authorId="0" ref="A6">
      <text>
        <t xml:space="preserve">Pagamento móveis farmácia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TODOS OS MATERIAIS + ENTRADA BRUNO + ENTRADA MÓVEIS + SEGUNDA PARCELA BRUNO + CAMA + MÃO DE OBRA SALA E CORREDOR</t>
      </text>
    </comment>
    <comment authorId="0" ref="C20">
      <text>
        <t xml:space="preserve">01/10 - 1254 (SALDO DO ACERTO MÊS DE SETEMBRO)
09/10 - 1000
04/11 - 8000</t>
      </text>
    </comment>
  </commentList>
</comments>
</file>

<file path=xl/sharedStrings.xml><?xml version="1.0" encoding="utf-8"?>
<sst xmlns="http://schemas.openxmlformats.org/spreadsheetml/2006/main" count="80613" uniqueCount="9834">
  <si>
    <t>JANEIRO</t>
  </si>
  <si>
    <t>FEVEREIRO</t>
  </si>
  <si>
    <t>MARÇO</t>
  </si>
  <si>
    <t>ABRIL</t>
  </si>
  <si>
    <t>MAIO</t>
  </si>
  <si>
    <t>JUNHO</t>
  </si>
  <si>
    <t>JULHO</t>
  </si>
  <si>
    <t>AGOSTO</t>
  </si>
  <si>
    <t>SETEMBRO</t>
  </si>
  <si>
    <t>OUTUBRO</t>
  </si>
  <si>
    <t>NOVEMBRO</t>
  </si>
  <si>
    <t>DEZEMBRO</t>
  </si>
  <si>
    <t>VALOR</t>
  </si>
  <si>
    <t>Wpg</t>
  </si>
  <si>
    <t>ATRIBUICAO</t>
  </si>
  <si>
    <r>
      <rPr>
        <rFont val="Arial"/>
        <b/>
        <color theme="1"/>
      </rPr>
      <t>BALANCO (</t>
    </r>
    <r>
      <rPr>
        <rFont val="Arial"/>
        <b/>
        <color theme="1"/>
        <sz val="6.0"/>
      </rPr>
      <t>SALDO REAL - SISTEMA</t>
    </r>
    <r>
      <rPr>
        <rFont val="Arial"/>
        <b/>
        <color theme="1"/>
      </rPr>
      <t>)</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</si>
  <si>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</si>
  <si>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</si>
  <si>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</si>
  <si>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</si>
  <si>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BALANCO</t>
    </r>
    <r>
      <rPr>
        <rFont val="Arial"/>
        <b/>
        <color theme="1"/>
        <sz val="7.0"/>
      </rPr>
      <t xml:space="preserve"> (SALDO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</si>
  <si>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</si>
  <si>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</si>
  <si>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</si>
  <si>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</si>
  <si>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</si>
  <si>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</si>
  <si>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t>DESP. EXCLUSIVAS:</t>
  </si>
  <si>
    <t>AMBOS</t>
  </si>
  <si>
    <t>TOTAL DESPESAS:</t>
  </si>
  <si>
    <t>AMBOS_I</t>
  </si>
  <si>
    <t>RECEBER/PAGAR DEA:</t>
  </si>
  <si>
    <t>WALKER</t>
  </si>
  <si>
    <t>SALDO APÓS ACERTO:</t>
  </si>
  <si>
    <t>DEA</t>
  </si>
  <si>
    <t>SALDO BANCO(BB + C6):</t>
  </si>
  <si>
    <t>SALDO BANCO:</t>
  </si>
  <si>
    <t>SALDO BANCO (BB e C6):</t>
  </si>
  <si>
    <t>CARTEIRA:</t>
  </si>
  <si>
    <t>RECEITAS</t>
  </si>
  <si>
    <t>DIA</t>
  </si>
  <si>
    <t>PETRO D-19</t>
  </si>
  <si>
    <t>2025:
Receitas: 76.069,61
Despesas: 85.951,73 (30k para Walber comprar o terreno de Walmer)
Despesas exclus.: 62.114,94</t>
  </si>
  <si>
    <t>PETRO D-25</t>
  </si>
  <si>
    <t>2025:
Receitas: 42.551,69
Despesas: 43.611,63
Desp. Excl: 17.183,49</t>
  </si>
  <si>
    <t>2025:
Receitas: 27.501,42
Despesas: 30.946,34
Desp. Excl.: 15.679,05</t>
  </si>
  <si>
    <t>2025:
Receitas: 38.480,54
Despesas: 40.954,02
Desp. Excl.: 22.420,00</t>
  </si>
  <si>
    <t>2025:
Receitas: 24.160,74
Despesas: 33.920,35
Desp. Excl.: 14.902,76</t>
  </si>
  <si>
    <t>2025: 
Receitas: 60.594,96
Despesas: 39.315,46
Desp. Excl.: 19.316,28</t>
  </si>
  <si>
    <t>2025:
Receitas: 53.219,57
Despesas: 63.478,85
Desp. Excl.: 42.641,42</t>
  </si>
  <si>
    <t>2025:
Receitas:26.769,34
Despesas: 40.009,98
Desp. Excl.: 20.114,73</t>
  </si>
  <si>
    <t>2025:
Receitas: 27.892,74
Despesas: 38.039,34
Desp. Excl.: 16.582,34</t>
  </si>
  <si>
    <t>2025:
Receitas: 28.722,21
Despesas: 38.691,38
Desp. Excl.: 15.409,10</t>
  </si>
  <si>
    <t>2025:
Receitas: 30.969.47
Despesas: 38.528,95
Desp. Excl.: 14.962.17</t>
  </si>
  <si>
    <t>2025:
Receitas: 28.656,82
Despesas: 37.758,72
Desp. Excl.: 15.004,40</t>
  </si>
  <si>
    <t>PETRO D-10</t>
  </si>
  <si>
    <t>RETROATIVO REAJUSTE</t>
  </si>
  <si>
    <t>ADIANTAMENTO PPP</t>
  </si>
  <si>
    <t>ADIANTAMENTO PLR</t>
  </si>
  <si>
    <t>SALDO NEG. MES ANT.</t>
  </si>
  <si>
    <t>SALDO MES ANTERIOR</t>
  </si>
  <si>
    <t>DESPESAS</t>
  </si>
  <si>
    <t>QUEM</t>
  </si>
  <si>
    <t>APARTAMENTO</t>
  </si>
  <si>
    <t>CONDOMÍNIO</t>
  </si>
  <si>
    <t>IGUÁ</t>
  </si>
  <si>
    <t>DESO</t>
  </si>
  <si>
    <t>IGUA</t>
  </si>
  <si>
    <t>ESCOLA LU</t>
  </si>
  <si>
    <t>PAGO NA MATRICULA</t>
  </si>
  <si>
    <t>CONDOMINIO(LIVERPOOL)</t>
  </si>
  <si>
    <t>ESCOLA JU (PETRO)</t>
  </si>
  <si>
    <t>DESATIVADA</t>
  </si>
  <si>
    <t>ESCOLA JU (AMBOS)</t>
  </si>
  <si>
    <t>ESCOLA LU (PETRO)</t>
  </si>
  <si>
    <t>ESCOLA LU (AMBOS)</t>
  </si>
  <si>
    <t>ENERGIA</t>
  </si>
  <si>
    <t>SINDICATO DOS ENFERM</t>
  </si>
  <si>
    <t>GACC</t>
  </si>
  <si>
    <t>TEMA (LIVERPOOL)</t>
  </si>
  <si>
    <t>TEMA(LIVERPOOL)</t>
  </si>
  <si>
    <t>SALARIO NETE</t>
  </si>
  <si>
    <t>SALARIO NETE + FÉRIAS + 1/3</t>
  </si>
  <si>
    <t>ENCARGOS NETE</t>
  </si>
  <si>
    <t>PLANO DE SAÚDE MÃE</t>
  </si>
  <si>
    <t>AMS GR</t>
  </si>
  <si>
    <t>NIVER JU (PARC II LUCIANO)</t>
  </si>
  <si>
    <t>ASSIST. SUP. MED.</t>
  </si>
  <si>
    <t>DOACAO</t>
  </si>
  <si>
    <t>PIX JULIA</t>
  </si>
  <si>
    <t>PIX LU</t>
  </si>
  <si>
    <t>MESADA LU</t>
  </si>
  <si>
    <t>PIX</t>
  </si>
  <si>
    <t>MESADA JU</t>
  </si>
  <si>
    <t>RECARGA CEL LU</t>
  </si>
  <si>
    <t>PIX QUEIMADA</t>
  </si>
  <si>
    <t>GASOLINA ARTUR</t>
  </si>
  <si>
    <t>Kit Squishy LU</t>
  </si>
  <si>
    <t>PIX DAVI (ANIVERSARIO)</t>
  </si>
  <si>
    <t>C6_WALKER</t>
  </si>
  <si>
    <t>IGREJA</t>
  </si>
  <si>
    <t>C6_AMBOS</t>
  </si>
  <si>
    <t>LAVAGEM CRETA</t>
  </si>
  <si>
    <t>C6_DEA</t>
  </si>
  <si>
    <t>LAVAGEM OUTLANDER</t>
  </si>
  <si>
    <t>LANCHE SEMANAL LU</t>
  </si>
  <si>
    <t>CURSO  SISTEMA LUCRATIVO</t>
  </si>
  <si>
    <t>ESPETINHO CARNAVAL VIVENDAS</t>
  </si>
  <si>
    <t>ESTACIONAMENTO SHOPPING</t>
  </si>
  <si>
    <t>PASSAGENS NETE</t>
  </si>
  <si>
    <t>LANCHE LU</t>
  </si>
  <si>
    <t>REBIMENTO FOTOTERAPIA PETROBRAS</t>
  </si>
  <si>
    <t>TENIS PEDRO (TIA TEREZA)</t>
  </si>
  <si>
    <t>MENTORIA SISTEMA LUCRATIVO</t>
  </si>
  <si>
    <t>C_ELO-GRAFITE-ESTILO</t>
  </si>
  <si>
    <t>C_PLATINUM-ESTILO-VISA</t>
  </si>
  <si>
    <t>PIX LUIZA</t>
  </si>
  <si>
    <t>PELICULAS LU</t>
  </si>
  <si>
    <t>PELICULA GE</t>
  </si>
  <si>
    <t>CAPA CEL LU</t>
  </si>
  <si>
    <t>PIX 1ª PARC. NIVER JU</t>
  </si>
  <si>
    <t>IPTU CASA</t>
  </si>
  <si>
    <t>IPTU APT</t>
  </si>
  <si>
    <t>IPTU TERRENO LIVERPOOL</t>
  </si>
  <si>
    <t>ACERTO</t>
  </si>
  <si>
    <t>CALÇA LU</t>
  </si>
  <si>
    <t>BTC</t>
  </si>
  <si>
    <t>PIX LUIZA FARDA</t>
  </si>
  <si>
    <t>PASSEIO SÃO MIGUEL DOS MILAGRES</t>
  </si>
  <si>
    <t>PIX SALGADOS JU</t>
  </si>
  <si>
    <t>TIA WALDINA</t>
  </si>
  <si>
    <t>PIX NIVER JU (SALGADOS, ORNAMENTOS)</t>
  </si>
  <si>
    <t>PIX NIVER JU (BEBIDAS)</t>
  </si>
  <si>
    <t>DEVOLUCAO</t>
  </si>
  <si>
    <r>
      <rPr>
        <rFont val="Arial"/>
        <b/>
        <color theme="1"/>
      </rPr>
      <t>BALANCO (</t>
    </r>
    <r>
      <rPr>
        <rFont val="Arial"/>
        <b/>
        <color theme="1"/>
        <sz val="6.0"/>
      </rPr>
      <t>SALDO REAL - SISTEMA</t>
    </r>
    <r>
      <rPr>
        <rFont val="Arial"/>
        <b/>
        <color theme="1"/>
      </rPr>
      <t>)</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</si>
  <si>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</si>
  <si>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</si>
  <si>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</si>
  <si>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</si>
  <si>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BALANCO</t>
    </r>
    <r>
      <rPr>
        <rFont val="Arial"/>
        <b/>
        <color theme="1"/>
        <sz val="7.0"/>
      </rPr>
      <t xml:space="preserve"> (SALDO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</si>
  <si>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</si>
  <si>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</si>
  <si>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</si>
  <si>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</si>
  <si>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</si>
  <si>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r>
      <rPr>
        <rFont val="Arial"/>
        <b/>
        <color theme="1"/>
      </rPr>
      <t xml:space="preserve">BALANCO </t>
    </r>
    <r>
      <rPr>
        <rFont val="Arial"/>
        <b/>
        <color theme="1"/>
        <sz val="7.0"/>
      </rPr>
      <t>(SALDO REAL - SISTEMA)</t>
    </r>
  </si>
  <si>
    <t>Parcelamentos 8.500,00</t>
  </si>
  <si>
    <t>Despesas ano passado 32241,38    Receitas 22700,39</t>
  </si>
  <si>
    <t>Em 2024: 
Receitas = 26156,42
Despesas Total= 31324.72</t>
  </si>
  <si>
    <t>PETROS D-25</t>
  </si>
  <si>
    <t>2024:
Receitas Walker = 22.820,13
Despesas Walker = 20.326,15
Despesas Total= 29.778,21</t>
  </si>
  <si>
    <t>2024:
Receitas Walker = 35.504,75
Despesas Walker = 17.925,14
Despesas Total= 45.141,92</t>
  </si>
  <si>
    <t>2024:
Receitas Walker = 51.063,34
Despesas Walker = 15.671.39
Despesas Total= 37.277,51</t>
  </si>
  <si>
    <t>2024:
Receitas Walker = 42.709,42
Despesas Walker = 24.347,45
Despesas Total= 42.099,90</t>
  </si>
  <si>
    <t>2024:
Receitas Walker = 31.771,16
Despesas Walker = 21.787,54
Despesas Total= 37.065,81</t>
  </si>
  <si>
    <t>2024:
Receitas Walker = 25.298.51
Despesas Walker = 17.946,76
Despesas Total= 35.038,57</t>
  </si>
  <si>
    <t>2024:
Receitas Walker = 22.249,26
Despesas Walker = 23.737,56
Despesas Total= 29.288,82</t>
  </si>
  <si>
    <t>2024:
Receitas Walker = 52.337,28
Despesas Walker = 21.391,27
Despesas Total= 46.108,56</t>
  </si>
  <si>
    <t>SALDO MES PASSADO</t>
  </si>
  <si>
    <t>2024:
Receitas Walker = 72.192,55
Despesas Walker = 33.022,43
Despesas Total= 63.789,04</t>
  </si>
  <si>
    <t>EXTORNO G8</t>
  </si>
  <si>
    <t>WALBER</t>
  </si>
  <si>
    <t>PETROS D-10</t>
  </si>
  <si>
    <t>SALDO MES ANT</t>
  </si>
  <si>
    <t>2ª PARC. PPP</t>
  </si>
  <si>
    <t>ABONO 1ª PARC.</t>
  </si>
  <si>
    <t>REST. IRPF</t>
  </si>
  <si>
    <t>PETRO DIVERSOS</t>
  </si>
  <si>
    <t>SALDO MÊS PASSADO</t>
  </si>
  <si>
    <t>ADIANT. PPP</t>
  </si>
  <si>
    <t>DO PPP para devolução</t>
  </si>
  <si>
    <t>15-05</t>
  </si>
  <si>
    <t>WALBER (LIVERPOOL)</t>
  </si>
  <si>
    <t>FÉRIAS + GRAT. FÉRIAS</t>
  </si>
  <si>
    <t>SALDO MÊS ANT.</t>
  </si>
  <si>
    <t>MÃE + DEA + WALBER</t>
  </si>
  <si>
    <t>DEA + POUPACA + MAE + WALBER + BTC</t>
  </si>
  <si>
    <t xml:space="preserve">WALBER LIVERPOOL + PAG. VIAG. CAUEIRA </t>
  </si>
  <si>
    <t>WALBER LIVERPOOL</t>
  </si>
  <si>
    <t>2ª PARC. 13º</t>
  </si>
  <si>
    <t>OUTROS</t>
  </si>
  <si>
    <t>MAE</t>
  </si>
  <si>
    <t>SAL. MÊS ANT./WALBER</t>
  </si>
  <si>
    <t>SALDO MÊS ANTERIOR</t>
  </si>
  <si>
    <t>SALDO MÊS ANT</t>
  </si>
  <si>
    <t>FGTS ANIVERSARIO + VENDA BTC + TRANSF. VALOR VIAGEM BH</t>
  </si>
  <si>
    <t>CAPTUR + PARTE 13º + VENDA BTC</t>
  </si>
  <si>
    <t>FERIAS</t>
  </si>
  <si>
    <t>PIX WALBER</t>
  </si>
  <si>
    <t>TRANSF. BTC</t>
  </si>
  <si>
    <t>ASSIST. SUP MEDICA</t>
  </si>
  <si>
    <t>RECARGA LU</t>
  </si>
  <si>
    <t>ASSIST SUP ODONT</t>
  </si>
  <si>
    <t>ASSIST. SUP MED</t>
  </si>
  <si>
    <t>ASSIST. SUP ODONTO</t>
  </si>
  <si>
    <t>CANTOR FORMATURA GESSICA</t>
  </si>
  <si>
    <t>MINHA RECARGA</t>
  </si>
  <si>
    <t>TA (RESIDENCIA EDU)</t>
  </si>
  <si>
    <t>GUARDA ROUPA TIO WALDIR</t>
  </si>
  <si>
    <t>EQUAC AMS</t>
  </si>
  <si>
    <t>MESADA LU, ALIMENTACAO ESCOLA</t>
  </si>
  <si>
    <t>FARMACIA</t>
  </si>
  <si>
    <t>CURSO TA</t>
  </si>
  <si>
    <t>UNIVERSO NARRADO</t>
  </si>
  <si>
    <t>CONDOMÍNIO LIVERPOOL</t>
  </si>
  <si>
    <t>CONDOMINIO LIVERPOOL</t>
  </si>
  <si>
    <t>ACERTO MES PASS DEA</t>
  </si>
  <si>
    <t>PSI JU</t>
  </si>
  <si>
    <t>ACADEMIA JU</t>
  </si>
  <si>
    <t>CARNE</t>
  </si>
  <si>
    <t>PIX JU</t>
  </si>
  <si>
    <t>PIX PARA PEDRO</t>
  </si>
  <si>
    <t>PIX PAINHO</t>
  </si>
  <si>
    <t>NIVER ESCOLA (LU)</t>
  </si>
  <si>
    <t>PIZZA</t>
  </si>
  <si>
    <t>PIX UBER JU</t>
  </si>
  <si>
    <t>PIX NIVER CAIO</t>
  </si>
  <si>
    <t>LIVROS ELETRICA ESTANTE VIRTUAL</t>
  </si>
  <si>
    <t>CORTE MEU CABELO</t>
  </si>
  <si>
    <t>PAGAMENTO PETROS</t>
  </si>
  <si>
    <t>C_C6-AMBOS</t>
  </si>
  <si>
    <t>LEMBRANÇA PROF LU</t>
  </si>
  <si>
    <t>QUENTINHA JU E LU</t>
  </si>
  <si>
    <t>PIX ANIVERSARIO FONSECA</t>
  </si>
  <si>
    <t>GASOLINA</t>
  </si>
  <si>
    <t>PIX CONTA C6</t>
  </si>
  <si>
    <t>C_C6-WALKER</t>
  </si>
  <si>
    <t>MAQUIAGEM LU</t>
  </si>
  <si>
    <t>SUTIÃ JU</t>
  </si>
  <si>
    <t>PIX JU CONSULTA DERMATO</t>
  </si>
  <si>
    <t>ALMOÇO E LANCHE LU</t>
  </si>
  <si>
    <t>PRESENTE TIA TEREZA</t>
  </si>
  <si>
    <t>FAXINA NETE</t>
  </si>
  <si>
    <t>PIZZA, REFRI</t>
  </si>
  <si>
    <t>PIX DEA</t>
  </si>
  <si>
    <t>QUENTINHAS</t>
  </si>
  <si>
    <t xml:space="preserve"> AMBOS</t>
  </si>
  <si>
    <t>LIVRO TOPOGRAFIA</t>
  </si>
  <si>
    <t>CORTE CABELO</t>
  </si>
  <si>
    <t>PRAIA</t>
  </si>
  <si>
    <t>LIEIDE</t>
  </si>
  <si>
    <t>SAPATILHA LU</t>
  </si>
  <si>
    <t>Livros digitais</t>
  </si>
  <si>
    <t>SAIA DE JU</t>
  </si>
  <si>
    <t>COMIDA KYRA</t>
  </si>
  <si>
    <t>PIX LU (INCLUINDO MESADA)</t>
  </si>
  <si>
    <t>PSICÓLOGA JU</t>
  </si>
  <si>
    <t>LANCHE FOOD PARK BARRA DOS COQUEIROS</t>
  </si>
  <si>
    <t>REMEDIOS JU</t>
  </si>
  <si>
    <t>PIX (TIA CELIA)</t>
  </si>
  <si>
    <t>MULTA VIAGEM QUEIMADA</t>
  </si>
  <si>
    <t>PAGAMENTO CURSO ONLINE JU</t>
  </si>
  <si>
    <t>IMPOSTO DEA</t>
  </si>
  <si>
    <t>CURSO DE CALIGRAFIA</t>
  </si>
  <si>
    <t>CARNE DE PORCO</t>
  </si>
  <si>
    <t>GASTOS CASA DINHEIRO</t>
  </si>
  <si>
    <t>LIVRO MAT. BASICA</t>
  </si>
  <si>
    <t>SALDO ENVIADO PARA BTC</t>
  </si>
  <si>
    <t>PIX GÉSSICA</t>
  </si>
  <si>
    <t>P/ CONTA C6</t>
  </si>
  <si>
    <t>CONSERTO FILTRO</t>
  </si>
  <si>
    <t>CAPA JU</t>
  </si>
  <si>
    <t>AIRBNB CASA CAUEIRA</t>
  </si>
  <si>
    <t xml:space="preserve">FRUTAS E VERDURAS </t>
  </si>
  <si>
    <t>DOCUMENTAÇÃO COMPRA TERRENO QUEIMADA</t>
  </si>
  <si>
    <t>CONSERTO ROUPAS</t>
  </si>
  <si>
    <t>PIX FORMATURA JU</t>
  </si>
  <si>
    <t>MATEC (VASO LU)</t>
  </si>
  <si>
    <t>PLAMEV (CANCELAMENTO)</t>
  </si>
  <si>
    <t>C_PLATINUM-ESTIVO-VISA</t>
  </si>
  <si>
    <t>C-C6-WALKER</t>
  </si>
  <si>
    <t>C&amp;A</t>
  </si>
  <si>
    <t>CURSO MAT BASICA JU</t>
  </si>
  <si>
    <t>BRINCO LU</t>
  </si>
  <si>
    <t>ROUPAS JU</t>
  </si>
  <si>
    <t>TROCO ENERGIA MAE</t>
  </si>
  <si>
    <t>ESTOJO LU</t>
  </si>
  <si>
    <t>LAVAGEM CARRO</t>
  </si>
  <si>
    <t>SUSHI</t>
  </si>
  <si>
    <t>ENERGIA MAE</t>
  </si>
  <si>
    <t>COMPRA TERRENO QUEIMADA</t>
  </si>
  <si>
    <t>C_C6-DEA</t>
  </si>
  <si>
    <t>CALCINHAS JU E LU</t>
  </si>
  <si>
    <t>JANTAR LU</t>
  </si>
  <si>
    <t>GALETO, CINEMA LU</t>
  </si>
  <si>
    <t>PIZZA LU</t>
  </si>
  <si>
    <t xml:space="preserve">PIX </t>
  </si>
  <si>
    <t>CREATINA</t>
  </si>
  <si>
    <t>TIA TEREZA</t>
  </si>
  <si>
    <t>CORTE JU E LU</t>
  </si>
  <si>
    <t>CAPA CELULAR MAE</t>
  </si>
  <si>
    <t>DEA G8</t>
  </si>
  <si>
    <t>CURSO MAT JU</t>
  </si>
  <si>
    <t>CASA</t>
  </si>
  <si>
    <t>BEBIDAS</t>
  </si>
  <si>
    <t>ESTACIONAMENTO</t>
  </si>
  <si>
    <t>TV PAI</t>
  </si>
  <si>
    <t>SAPATO DEA E LU</t>
  </si>
  <si>
    <t>PIX GESSICA</t>
  </si>
  <si>
    <t>FRUTAS</t>
  </si>
  <si>
    <t>TELA KYRA QUEIMADA</t>
  </si>
  <si>
    <t>CASTANHAS</t>
  </si>
  <si>
    <t>AULAS MAT JU</t>
  </si>
  <si>
    <t>FOTOS JU</t>
  </si>
  <si>
    <t>CONCERTO ROUPAS JU</t>
  </si>
  <si>
    <t>RECARGA MEU VIVO</t>
  </si>
  <si>
    <t>CONSERTO OCULOS, ESTACIONAMENTO, PAO</t>
  </si>
  <si>
    <t>OVO PASCOA, UBER</t>
  </si>
  <si>
    <t>LUIZA BOA LUZ</t>
  </si>
  <si>
    <t>FAXINA MARIA</t>
  </si>
  <si>
    <t>MERCADINHO</t>
  </si>
  <si>
    <t>PIX TIA TEREZA</t>
  </si>
  <si>
    <t>SHOW (CANCELADO)</t>
  </si>
  <si>
    <t>ESMOLA</t>
  </si>
  <si>
    <t>PIZZA MENINAS</t>
  </si>
  <si>
    <t>DECOR NIVER LU</t>
  </si>
  <si>
    <t>COMPLEMENTO BTC MAE</t>
  </si>
  <si>
    <t>QUENTINHA, BISCOITO</t>
  </si>
  <si>
    <t>MAINHA (BTC)</t>
  </si>
  <si>
    <t>PASSAGEM TINA</t>
  </si>
  <si>
    <t>EMPRESTADO A MORINGA</t>
  </si>
  <si>
    <t>RIFA GOIABA</t>
  </si>
  <si>
    <t>TOTAL PEDAGIOS</t>
  </si>
  <si>
    <t>NIVER LU</t>
  </si>
  <si>
    <t>CONSERTO CORRENTE DEA</t>
  </si>
  <si>
    <t>BTC  MAE</t>
  </si>
  <si>
    <t>PIX IGREJA</t>
  </si>
  <si>
    <t>CONSERTO PULSEIRA T-REX2</t>
  </si>
  <si>
    <t>IMAGEM NOSSA SENHORA DE FATIMA + ESPIRITO  SANTO</t>
  </si>
  <si>
    <t>QUEIJO</t>
  </si>
  <si>
    <t>PIX JU PRES. PEDRO</t>
  </si>
  <si>
    <t>FOTOS FORMATURA JU</t>
  </si>
  <si>
    <t>LUIZA SHOPPING</t>
  </si>
  <si>
    <t>PIX (02 SACOS DE CARVÃO)</t>
  </si>
  <si>
    <t>SHOPPING</t>
  </si>
  <si>
    <t>ENTRADAS COLACAO JU</t>
  </si>
  <si>
    <t>COMPRA SATS (ACRESCIDOS AO VALOR QUE SAQUEI DA CAPTURTECH)</t>
  </si>
  <si>
    <t>WALESKA</t>
  </si>
  <si>
    <t>CADERNO LU, LIVRO ALICE</t>
  </si>
  <si>
    <t>LANCHE MENINAS</t>
  </si>
  <si>
    <t>CARNE MOIDA, LASANHA, PICANHA</t>
  </si>
  <si>
    <t>NIVER LAURINHA</t>
  </si>
  <si>
    <t>LIVRO CAMPBELL</t>
  </si>
  <si>
    <t>ALMOÇO LU</t>
  </si>
  <si>
    <t>ESTACIONAMENTO RIO MAR</t>
  </si>
  <si>
    <t>PIX ESMOLA</t>
  </si>
  <si>
    <t>IPTU AP</t>
  </si>
  <si>
    <t>GELO</t>
  </si>
  <si>
    <t>TAXA GNSS (AGRIMENSURA)</t>
  </si>
  <si>
    <t>DOAÇÃO IGREJA (TAPETES CORPUS CHRISTI)</t>
  </si>
  <si>
    <t>CAMISETA LU CATEQUESE</t>
  </si>
  <si>
    <t>CURSO CALISTENIA MILITAR</t>
  </si>
  <si>
    <t>WALBER (PARA CASA WALMER)</t>
  </si>
  <si>
    <t>DEDETIZAÇÃO</t>
  </si>
  <si>
    <t>PRESENTE LU</t>
  </si>
  <si>
    <t>MEU CABELO</t>
  </si>
  <si>
    <t>DEVOLUÇÃO</t>
  </si>
  <si>
    <t>REMEDIO DEA</t>
  </si>
  <si>
    <t>PASSGENS NETE</t>
  </si>
  <si>
    <t>AMIGO SECRETO LU</t>
  </si>
  <si>
    <t>IPVA DEA</t>
  </si>
  <si>
    <t>SUPLEMENTOS</t>
  </si>
  <si>
    <t>CONSERTO CARRO TERCEIRO</t>
  </si>
  <si>
    <t>CONSERTO VENTILADORES</t>
  </si>
  <si>
    <t>QUEIJO, OVOS</t>
  </si>
  <si>
    <t>ADIANTAMENTO NETE</t>
  </si>
  <si>
    <t>CONSERTO CRETA VIAGEM QUEIMADA</t>
  </si>
  <si>
    <t>NIVER DE MARINA</t>
  </si>
  <si>
    <t>PADARIA</t>
  </si>
  <si>
    <t>PAGAR.ME</t>
  </si>
  <si>
    <t>LIMPEZA CASA CAUEIRA</t>
  </si>
  <si>
    <t>GASTOS WALKER DINHEIRO</t>
  </si>
  <si>
    <t>PIX LU (LANCHE ESCOLA)</t>
  </si>
  <si>
    <t>IPVA OUTLANDER + 03 MULTAS</t>
  </si>
  <si>
    <t>MERCADINO</t>
  </si>
  <si>
    <t>PIX DEA E JU</t>
  </si>
  <si>
    <t>PIX PAULA</t>
  </si>
  <si>
    <t>JOGOS JOIA</t>
  </si>
  <si>
    <t>SALDO NEG. C6</t>
  </si>
  <si>
    <t>TESTE DEPIX</t>
  </si>
  <si>
    <t>PIX ANIVERSARIO NETE</t>
  </si>
  <si>
    <t>GALETO</t>
  </si>
  <si>
    <t>PIX ROUPA JU</t>
  </si>
  <si>
    <t>PIX NIVER JU</t>
  </si>
  <si>
    <t>FOGOS LU</t>
  </si>
  <si>
    <t>PIX BANHO E TOSA KYRA</t>
  </si>
  <si>
    <t>OVOS CAIPIRAS</t>
  </si>
  <si>
    <t>PIX SAIDA ANO NOVO JU</t>
  </si>
  <si>
    <t>PIX  FAXINA MARIA</t>
  </si>
  <si>
    <t>PIX ENTRADAS SHOW</t>
  </si>
  <si>
    <t>ASSINATURA GYMAST BUDDY</t>
  </si>
  <si>
    <t>REQUEIJAO,QUEIJO,TAPIOCA, BOLACHAS</t>
  </si>
  <si>
    <t>PIX TIO TOTA</t>
  </si>
  <si>
    <t>COSTELAS DE PORCO</t>
  </si>
  <si>
    <t>PIX ROBLOX LU</t>
  </si>
  <si>
    <t>PIX YAKISOBA</t>
  </si>
  <si>
    <t xml:space="preserve">PIX LU  </t>
  </si>
  <si>
    <t>QUEIJOS PRAIA</t>
  </si>
  <si>
    <t>QUENTINHA, COOKIES JU E LU</t>
  </si>
  <si>
    <t>ESTACIONAMENTO RIOMAR</t>
  </si>
  <si>
    <t>CARTAO DEA LU</t>
  </si>
  <si>
    <t>PIX FESTA</t>
  </si>
  <si>
    <t>COREN</t>
  </si>
  <si>
    <t>ARTHUR PIX (TRANSPORTE)</t>
  </si>
  <si>
    <t>MEDIDOR CETOSE</t>
  </si>
  <si>
    <t>CARNE HAMBURGUER</t>
  </si>
  <si>
    <t>PIX NIVER PEDRO</t>
  </si>
  <si>
    <t>MORANGOS</t>
  </si>
  <si>
    <t>MEDIC. ALERGIA, UBER: JU</t>
  </si>
  <si>
    <t>LU: LANCHE, ALMOÇO</t>
  </si>
  <si>
    <t>JU: UBER</t>
  </si>
  <si>
    <t>WALKR</t>
  </si>
  <si>
    <t>BALANCO</t>
  </si>
  <si>
    <t xml:space="preserve">Minha mãe depositou mil reais dia 16 e eu comprei os Satochis dia 02/10 </t>
  </si>
  <si>
    <t>IAN</t>
  </si>
  <si>
    <t>REEMBOLSO PETRO</t>
  </si>
  <si>
    <t>MAXMILHAS</t>
  </si>
  <si>
    <t>DEPOSITO ONLINE</t>
  </si>
  <si>
    <t>PPP</t>
  </si>
  <si>
    <t>MILHAS</t>
  </si>
  <si>
    <t>ENTRADAS</t>
  </si>
  <si>
    <t>SALDO FGTS</t>
  </si>
  <si>
    <t>POUPANCA + WALBER + WENDELL</t>
  </si>
  <si>
    <t>PIX DEVOLVIDO</t>
  </si>
  <si>
    <t>WALBER + WALTINHO + DINH. RECEBIDO</t>
  </si>
  <si>
    <t>PLR</t>
  </si>
  <si>
    <t>PRESENTE DIA DOS PAIS</t>
  </si>
  <si>
    <t>DEA + INSIDER</t>
  </si>
  <si>
    <t>PIX LU BRINQUEDO + DEA</t>
  </si>
  <si>
    <t>ADIANT. 13</t>
  </si>
  <si>
    <t>FÉRIAS, DÉA, 13 SAL, MAX MILHAS, WALBER</t>
  </si>
  <si>
    <t>NO CARTÃO</t>
  </si>
  <si>
    <t>CARTÃO</t>
  </si>
  <si>
    <t>CARNA PEDRO LINO</t>
  </si>
  <si>
    <t>SALDO NEGATIVO MÊS PASSADO</t>
  </si>
  <si>
    <t>LIMPEZA PEDRO LINO</t>
  </si>
  <si>
    <t>ASSIST. SUP. ODONT.</t>
  </si>
  <si>
    <t>EQUAC. AMS</t>
  </si>
  <si>
    <t>ASSIST. SUP ODONT</t>
  </si>
  <si>
    <t>ASSIST SUP MED</t>
  </si>
  <si>
    <t>BINGO</t>
  </si>
  <si>
    <t>ASSIT SUP MED</t>
  </si>
  <si>
    <t>ACERTO DEA MES PASSADO</t>
  </si>
  <si>
    <t>ASSIST. SUP. MED</t>
  </si>
  <si>
    <t>PIX DAVI BINGO</t>
  </si>
  <si>
    <t>ICARO</t>
  </si>
  <si>
    <t>SALDO NEG. MES PASSADO</t>
  </si>
  <si>
    <t>PIX RAFAEL</t>
  </si>
  <si>
    <t>PIX JU UBER</t>
  </si>
  <si>
    <t>CUSTEIO AMS</t>
  </si>
  <si>
    <t>YAKISOBA</t>
  </si>
  <si>
    <t>ASSIST. SUP MED.</t>
  </si>
  <si>
    <t>PIX PRAIA</t>
  </si>
  <si>
    <t>LANCHE JULIA</t>
  </si>
  <si>
    <t>CARNES QUEIMADA</t>
  </si>
  <si>
    <t>CABELO SR. SOUZA</t>
  </si>
  <si>
    <t>PIX BAR BARRA REVEILLON</t>
  </si>
  <si>
    <t>DRa FABIOLA</t>
  </si>
  <si>
    <t>ESPORTE JU</t>
  </si>
  <si>
    <t>SUPORTE CEL</t>
  </si>
  <si>
    <t xml:space="preserve">PIX BANHO KYRA </t>
  </si>
  <si>
    <t>PIX ANIVERSARIO JU</t>
  </si>
  <si>
    <t>PASSAGENS, DIARIA NETE</t>
  </si>
  <si>
    <t>BUFFET LUIZA</t>
  </si>
  <si>
    <t>ANESTESISTA LU</t>
  </si>
  <si>
    <t>PIX GASOLINA PAULA IRECE</t>
  </si>
  <si>
    <t>PIX BRINQUEDO LU</t>
  </si>
  <si>
    <t>ALMOCO DE JU E LU</t>
  </si>
  <si>
    <t>COMPRA DE BTC LU</t>
  </si>
  <si>
    <t>PERSONALIZADO LU</t>
  </si>
  <si>
    <t>ALMOCO WALESKA</t>
  </si>
  <si>
    <t>DENTISTA LU</t>
  </si>
  <si>
    <t>PIX PINTURA OUTLANDER</t>
  </si>
  <si>
    <t>REFRI WALESKA</t>
  </si>
  <si>
    <t>PIX JULIA (99 POP)</t>
  </si>
  <si>
    <t>BANHO KYRA</t>
  </si>
  <si>
    <t>PIX CEASA</t>
  </si>
  <si>
    <t>LANCHE LU E COISAS CASA</t>
  </si>
  <si>
    <t>PIX DAVI ANIVERSARIO</t>
  </si>
  <si>
    <t>AVALIAC. MED. CNH</t>
  </si>
  <si>
    <t>GASTOS DA CASA</t>
  </si>
  <si>
    <t>DOACAO RS VIA PADRE PAULO</t>
  </si>
  <si>
    <t>PIX AGUA</t>
  </si>
  <si>
    <t>03 CAMISAS TACTICA</t>
  </si>
  <si>
    <t>PIX CAIO</t>
  </si>
  <si>
    <t>LED QUARTO JU</t>
  </si>
  <si>
    <t>PEIXE</t>
  </si>
  <si>
    <t>DRa FABÍOLA</t>
  </si>
  <si>
    <t>CASINHA KYRA</t>
  </si>
  <si>
    <t>CURSO PANANTUKAN</t>
  </si>
  <si>
    <t>EMPRESTIMO NETE</t>
  </si>
  <si>
    <t>COMPRA DE BITCOIN</t>
  </si>
  <si>
    <t>LAVAGEM HB20</t>
  </si>
  <si>
    <t>PIX FEIRA</t>
  </si>
  <si>
    <t>PARQUE LU</t>
  </si>
  <si>
    <t>DESPESAS CASA</t>
  </si>
  <si>
    <t>CURSO KARAMBITI</t>
  </si>
  <si>
    <t>DOACAO CESTA BASICA QUEIMADA</t>
  </si>
  <si>
    <t>JOGOS JU</t>
  </si>
  <si>
    <t>DOACAO TIA HILDA</t>
  </si>
  <si>
    <t>PIX SHOPEE</t>
  </si>
  <si>
    <t xml:space="preserve">BERMUDA </t>
  </si>
  <si>
    <t>C_ELO-WALKER</t>
  </si>
  <si>
    <t>PRAÇA LU</t>
  </si>
  <si>
    <t>GARRAFA E CINTO</t>
  </si>
  <si>
    <t>C_ELO-DEA</t>
  </si>
  <si>
    <t>CHURROS</t>
  </si>
  <si>
    <t>REMEDIO NETE</t>
  </si>
  <si>
    <t>PAGAMENTO BARRIS</t>
  </si>
  <si>
    <t>PIX OKTO</t>
  </si>
  <si>
    <t>03 CAMISAS INSIDER</t>
  </si>
  <si>
    <t>C_ELO-AMBOS</t>
  </si>
  <si>
    <t>BOLO</t>
  </si>
  <si>
    <t>DEVOLUCAO MES PASS.</t>
  </si>
  <si>
    <t>PELICULAS LU E JU</t>
  </si>
  <si>
    <t>LANCHE LU, MERCADINHO, FRUTAS</t>
  </si>
  <si>
    <t>BANCADA</t>
  </si>
  <si>
    <t>DECORACAO</t>
  </si>
  <si>
    <t>Case e pulseira relógio trex</t>
  </si>
  <si>
    <t>SUSHI LU</t>
  </si>
  <si>
    <t>LIMPEZA SOFAS, CADEIRAS</t>
  </si>
  <si>
    <t>PE NA AREIA</t>
  </si>
  <si>
    <t>MESADA JULIA</t>
  </si>
  <si>
    <t>VAKINHA CDB</t>
  </si>
  <si>
    <t>PIX ARTHUR</t>
  </si>
  <si>
    <t>CONTAS DA CASA</t>
  </si>
  <si>
    <t>BASCULANTE BANHEIRO SALA</t>
  </si>
  <si>
    <t>1 PARCELA COBERTURA</t>
  </si>
  <si>
    <t>PRESENTES ANIVERSARIO</t>
  </si>
  <si>
    <t>PIX VAQUEIRO QUEIMADA</t>
  </si>
  <si>
    <t>ANIV. LU</t>
  </si>
  <si>
    <t>PRESENTE MAINHA</t>
  </si>
  <si>
    <t>QUENTINHA, LANCHE LU E CARANGUEJO</t>
  </si>
  <si>
    <t>MERCADO</t>
  </si>
  <si>
    <t>PIX LANCHE JU E LU</t>
  </si>
  <si>
    <t>BANCO C6</t>
  </si>
  <si>
    <t>TAXA TED</t>
  </si>
  <si>
    <t>COMPRA BTC LU</t>
  </si>
  <si>
    <t>PISOLAR</t>
  </si>
  <si>
    <t>GARAGEM APTO</t>
  </si>
  <si>
    <t>PIX GESSICA (ARTHUR CARRO)</t>
  </si>
  <si>
    <t>PRESENTE MAE</t>
  </si>
  <si>
    <t>McDonald's</t>
  </si>
  <si>
    <t>AJUDA CELIO</t>
  </si>
  <si>
    <t>JARDINAGEM</t>
  </si>
  <si>
    <t>DOACAO IGREJA</t>
  </si>
  <si>
    <t>DEVOLUÇÃO JUNHO/JULHO</t>
  </si>
  <si>
    <t>GAS COZINHA</t>
  </si>
  <si>
    <t>CROCS JU</t>
  </si>
  <si>
    <t>LANCHE LU E UBER</t>
  </si>
  <si>
    <t>TRANSF. C6 PRA COMPRA BTC</t>
  </si>
  <si>
    <t>ICARO PSI</t>
  </si>
  <si>
    <t>ALMOCO</t>
  </si>
  <si>
    <t>ATRASO CONDOMINIO</t>
  </si>
  <si>
    <t>PIX WALMER (OUTLANDER)</t>
  </si>
  <si>
    <t>PIX FARMACIA</t>
  </si>
  <si>
    <t>QUENTINHA LU</t>
  </si>
  <si>
    <t>PASSEIO LU (BOA LUZ)</t>
  </si>
  <si>
    <t>2 PARCELA COBERTURA</t>
  </si>
  <si>
    <t>LENTES JU</t>
  </si>
  <si>
    <t>PIX WALMER</t>
  </si>
  <si>
    <t>YAKISOBA LU</t>
  </si>
  <si>
    <t>COXINHA, LANCHE LU</t>
  </si>
  <si>
    <t>COMPRA BTC JU</t>
  </si>
  <si>
    <t>TRANSF. C6</t>
  </si>
  <si>
    <t>PELICULAS TABLETS</t>
  </si>
  <si>
    <t>CURSO D3DECOR</t>
  </si>
  <si>
    <t>SANDALIA LU</t>
  </si>
  <si>
    <t xml:space="preserve">PIX JULIA </t>
  </si>
  <si>
    <t>DESMONTAR MOVEL</t>
  </si>
  <si>
    <t>STACK WALLET</t>
  </si>
  <si>
    <t>IPTU APTO</t>
  </si>
  <si>
    <t>RELOGIO TREX 2</t>
  </si>
  <si>
    <t>PIX ESTACIONAMENTO</t>
  </si>
  <si>
    <t>LARA MODA INFANTIL</t>
  </si>
  <si>
    <t>REMEDIOS NETE</t>
  </si>
  <si>
    <t>UBER JU</t>
  </si>
  <si>
    <t>PIX LANCHE LU</t>
  </si>
  <si>
    <t>CONSELHO REGIONAL DE ENF</t>
  </si>
  <si>
    <t>PIX FRUTAS</t>
  </si>
  <si>
    <t>PEIXE QUEIMADA</t>
  </si>
  <si>
    <t>QUENTINHA JU E LU, LANCHE JU E LU</t>
  </si>
  <si>
    <t>PAO</t>
  </si>
  <si>
    <t>CINEMA LU, TRAVESSEIROS E TOALHAS</t>
  </si>
  <si>
    <t>IPVA HB20</t>
  </si>
  <si>
    <t>RACAO KYRA</t>
  </si>
  <si>
    <t>PILATES JU</t>
  </si>
  <si>
    <t>PIX PRESENTE TEIA</t>
  </si>
  <si>
    <t>RESTANTE PNEUS DEA</t>
  </si>
  <si>
    <t>CERVEJAS NATAL</t>
  </si>
  <si>
    <t>CAMISA LU</t>
  </si>
  <si>
    <t>IPVA OUTLANDER</t>
  </si>
  <si>
    <t>CLIMATIZADOR</t>
  </si>
  <si>
    <t>DOACAO CELIO</t>
  </si>
  <si>
    <t>GALINHA</t>
  </si>
  <si>
    <t>SAIDA FORMATURA LU</t>
  </si>
  <si>
    <t>MATEC</t>
  </si>
  <si>
    <t>BRINQUEDO DE ESPUMA</t>
  </si>
  <si>
    <t>PIX ROUPAS LU</t>
  </si>
  <si>
    <t>PIX MEU CABELO</t>
  </si>
  <si>
    <t>ALMOCO LU</t>
  </si>
  <si>
    <t>COISAS DA CASA</t>
  </si>
  <si>
    <t>CAMISA ESPORTE JU E LU</t>
  </si>
  <si>
    <t>PIX QUENTINHA LU</t>
  </si>
  <si>
    <t>PIX QUENTINHAS</t>
  </si>
  <si>
    <t xml:space="preserve">BANHO KYRA </t>
  </si>
  <si>
    <t>PRESENTE PROFSSORAS</t>
  </si>
  <si>
    <t>UBER</t>
  </si>
  <si>
    <t>CARNE CHURRASCO COND. DANI</t>
  </si>
  <si>
    <t>PIX GALETO</t>
  </si>
  <si>
    <t>FRUTAS E LANCHE LU</t>
  </si>
  <si>
    <t>ROUPA JU</t>
  </si>
  <si>
    <t>CREME PELE</t>
  </si>
  <si>
    <t>PRESENTE NETE</t>
  </si>
  <si>
    <t>FARDAS LU</t>
  </si>
  <si>
    <t>COMPRAS RAFAEL</t>
  </si>
  <si>
    <t>LANCHE LU E MERCADINHO</t>
  </si>
  <si>
    <t>CONCERTO VENTILADOR E SANDUICHEIRA</t>
  </si>
  <si>
    <t>QUENTINHA</t>
  </si>
  <si>
    <t>Consultoria Lorena</t>
  </si>
  <si>
    <t>PIX PCM9</t>
  </si>
  <si>
    <t>G8 JULIA</t>
  </si>
  <si>
    <t>IPHONE JU</t>
  </si>
  <si>
    <t>CAMISA JU</t>
  </si>
  <si>
    <t>MILHO</t>
  </si>
  <si>
    <t>CAFETEIRA OSTER</t>
  </si>
  <si>
    <t>EVENTO ESCOLA LU</t>
  </si>
  <si>
    <t>PASSAGENS DE NETE</t>
  </si>
  <si>
    <t>PIX C6</t>
  </si>
  <si>
    <t>PARTE DEA TATAME</t>
  </si>
  <si>
    <t>DESO PAGO EM DUPLICIDADE</t>
  </si>
  <si>
    <t>FISIO MARILENE</t>
  </si>
  <si>
    <t>CHAPARIA HB20</t>
  </si>
  <si>
    <t>CASTANHA</t>
  </si>
  <si>
    <t>LAMPADAS OUTLANDER</t>
  </si>
  <si>
    <t>PIX DEA (PASSEIO IRECE)</t>
  </si>
  <si>
    <t>FEIRA ATACADAO CARTAO DEA</t>
  </si>
  <si>
    <t>PÃO</t>
  </si>
  <si>
    <t xml:space="preserve">DOACAO </t>
  </si>
  <si>
    <t>MESA MADEIRA COM 02 BANCOS, MESA REDONDA 04 BANCOS</t>
  </si>
  <si>
    <t>YAKSOBA</t>
  </si>
  <si>
    <t>VESTIDO LU</t>
  </si>
  <si>
    <t>RECARGA JULIA</t>
  </si>
  <si>
    <t>CONSERTO LIQUIDIFICADOR</t>
  </si>
  <si>
    <t>ESCOLA JU (PETRO) AGOSTO</t>
  </si>
  <si>
    <t>MERCADINHO PAO</t>
  </si>
  <si>
    <t>PRESENTE AMIGA JU</t>
  </si>
  <si>
    <t>AJUDA TIA TEREZA</t>
  </si>
  <si>
    <t>ENTRADA BANCO COM SAPATEIRA, MOVEL CERVEJEIRA, SAPATEIRA</t>
  </si>
  <si>
    <t>IRECE FESTA</t>
  </si>
  <si>
    <t>ESCOLA JU (AMBOS) AGOSTO</t>
  </si>
  <si>
    <t>PIX MOTOBOY IMPRESSORA</t>
  </si>
  <si>
    <t>COSTELINHAS PORCO</t>
  </si>
  <si>
    <t>CONTAS CASA</t>
  </si>
  <si>
    <t>BARRIS DE MADEIRA</t>
  </si>
  <si>
    <t>FRUTA</t>
  </si>
  <si>
    <t>ESCOLA LU (PETRO) AGOSTO</t>
  </si>
  <si>
    <t>CONSERTO IMPRESSORA</t>
  </si>
  <si>
    <t>ATACADAO</t>
  </si>
  <si>
    <t>EXAME MARILENE</t>
  </si>
  <si>
    <t>BOLO LU</t>
  </si>
  <si>
    <t>ESCOLA LU (AMBOS) AGOSTO</t>
  </si>
  <si>
    <t>PRESENTE BIA</t>
  </si>
  <si>
    <t>ROUPAS LU</t>
  </si>
  <si>
    <t>PARQUE JU</t>
  </si>
  <si>
    <t>OCULUS LU</t>
  </si>
  <si>
    <t>COMPRA CARTÃO</t>
  </si>
  <si>
    <t>CARNE CHURRASCO</t>
  </si>
  <si>
    <t>PELICULA MEU CELULAR</t>
  </si>
  <si>
    <t>CORTE CABELO LU</t>
  </si>
  <si>
    <t>CURCUMA</t>
  </si>
  <si>
    <t>EMPRESTADO DEA</t>
  </si>
  <si>
    <t xml:space="preserve">TRANSF. DEA </t>
  </si>
  <si>
    <t>PASSAGENS RIO VERDE</t>
  </si>
  <si>
    <t>GARRAFA LU</t>
  </si>
  <si>
    <t>FRANGO A PASSARINHA, ENTRADA PARQUE AQUATICO</t>
  </si>
  <si>
    <t>PRESENTE ANINHA</t>
  </si>
  <si>
    <t>SHOPEE</t>
  </si>
  <si>
    <t>CABELO LU, PULA PULA LU SHOPPING</t>
  </si>
  <si>
    <t>MAGNESIO</t>
  </si>
  <si>
    <t>DEVOLUÇÃO MAIO</t>
  </si>
  <si>
    <t xml:space="preserve">DEVOLUÇÃO  </t>
  </si>
  <si>
    <t>PRESENTE (PERFUMES)</t>
  </si>
  <si>
    <t>ADIANTAMENTO MOVEIS</t>
  </si>
  <si>
    <t>GAS</t>
  </si>
  <si>
    <t>COISAS CASA</t>
  </si>
  <si>
    <t>ENEM JU</t>
  </si>
  <si>
    <t>DETRAN CNH</t>
  </si>
  <si>
    <t>CONSERTO PLACA AR</t>
  </si>
  <si>
    <t>FEIRA</t>
  </si>
  <si>
    <t>PIX CASTANHAS</t>
  </si>
  <si>
    <t>REMEDIOS TIA TEREZA</t>
  </si>
  <si>
    <t>PIX JULA</t>
  </si>
  <si>
    <t>PIX AR CONDICIONADO</t>
  </si>
  <si>
    <t>G8 JU(MATRICULA + MATERIAL)</t>
  </si>
  <si>
    <t>GASTOS CASA</t>
  </si>
  <si>
    <t>RESTANTE MOVEIS</t>
  </si>
  <si>
    <t>Os 700 referentes aos PIX para Caio, Walber e Tia Teresa foram cobertos com dinheiro da poupança transferidos dia 7. Escolhi não lançar aqui por se tratarem de gastos com o saldo da poupança. Assim como os 1.630 que Walber depositou e que foram referentes ao presente de Waltinho (Torre de Som) e às compras do churrasco, também não lancei aqui (serão gastos da poupança)</t>
  </si>
  <si>
    <t>SEG PARC 13 SAL</t>
  </si>
  <si>
    <t>PIX DIEGO (UBER)</t>
  </si>
  <si>
    <t>EXTRAS</t>
  </si>
  <si>
    <t>POUPANCA</t>
  </si>
  <si>
    <t>ADIANT. PLR</t>
  </si>
  <si>
    <t>DIF PIX NETE</t>
  </si>
  <si>
    <t>JONATAS</t>
  </si>
  <si>
    <t>PETRO</t>
  </si>
  <si>
    <t>TINA</t>
  </si>
  <si>
    <t>DIF PAGA PETROBRAS + DEPOSITO PAULA (VIAGEM LENCOIS)</t>
  </si>
  <si>
    <t>"+"2</t>
  </si>
  <si>
    <t>POUPANCA/WALKER</t>
  </si>
  <si>
    <t>POUPANCA/WALBER</t>
  </si>
  <si>
    <t xml:space="preserve"> </t>
  </si>
  <si>
    <t>MOB TELECOM</t>
  </si>
  <si>
    <t>10o</t>
  </si>
  <si>
    <t>TIM</t>
  </si>
  <si>
    <t>ABRIL: CINEMA JU E LU</t>
  </si>
  <si>
    <t>ABRIL: BRILHO LABIAL</t>
  </si>
  <si>
    <t>ASSIST. SUP. ODO</t>
  </si>
  <si>
    <t>DIF AMS GR</t>
  </si>
  <si>
    <t>ASSIT SUP ODONT</t>
  </si>
  <si>
    <t>PIX CURSO ONLINE JU</t>
  </si>
  <si>
    <t>GASOLINA PAULA</t>
  </si>
  <si>
    <t>CONSERTO BLINDEX BANHEIROS</t>
  </si>
  <si>
    <t>MERCADINHO, SORVETE</t>
  </si>
  <si>
    <t>MAO DE OBRA SERV. OUTLANDER</t>
  </si>
  <si>
    <t>PIX BINGO QUEIMADA</t>
  </si>
  <si>
    <t>FARDA DAS MENINAS</t>
  </si>
  <si>
    <t>SITE VAKINHA</t>
  </si>
  <si>
    <t>ASSIST. SUP ODONT.</t>
  </si>
  <si>
    <t>KYRA: COMIDA E MEDICAMENTO</t>
  </si>
  <si>
    <t>PIX MULTIMIDIA DO CARRO</t>
  </si>
  <si>
    <t>PIX ACADEMIA JU</t>
  </si>
  <si>
    <t>TENIS NETE</t>
  </si>
  <si>
    <t>PIX DAVI (DEA PAGOU 100 PRA MIM)</t>
  </si>
  <si>
    <t>IPTU APARTAMENTO</t>
  </si>
  <si>
    <t>ABRIL: PEIXE</t>
  </si>
  <si>
    <t>FOGOS</t>
  </si>
  <si>
    <t>JULIA</t>
  </si>
  <si>
    <t>PIX ARAME E PREGO ROCA QUEIMADA</t>
  </si>
  <si>
    <t>ABRIL: PAO</t>
  </si>
  <si>
    <t>LAIANE</t>
  </si>
  <si>
    <t>ALMOCO JU</t>
  </si>
  <si>
    <t>QUEIJO, BISCOITO</t>
  </si>
  <si>
    <t>PIX CERCAS ROCA(MAO DE OBRA, ARAME, POSTE, GRAMPO</t>
  </si>
  <si>
    <t>RECOMPOSICAO POUPANCA JU</t>
  </si>
  <si>
    <t>FILTRO COZINHA</t>
  </si>
  <si>
    <t>ABRIL: CAMISA JOGOS JU</t>
  </si>
  <si>
    <t>PIX START/STOP/ALARME E RABICHO ANTENA</t>
  </si>
  <si>
    <t>RECOMPOSICAO POUPANCA LU</t>
  </si>
  <si>
    <t>PASSAGENS NETE MES</t>
  </si>
  <si>
    <t>ABRIL: LANCHE LU</t>
  </si>
  <si>
    <t>ABERTURA OUTLANDER</t>
  </si>
  <si>
    <t>PIX LAGOA DOS TAMBAQUIS</t>
  </si>
  <si>
    <t>ABRIL: PEIXE E COCO</t>
  </si>
  <si>
    <t>UBER PARA NETE</t>
  </si>
  <si>
    <t>CARNE CARNEIRO</t>
  </si>
  <si>
    <t>ABRIL: PRESENTES PASCOA</t>
  </si>
  <si>
    <t>TORNOZELEIRA JU, POMADA LU</t>
  </si>
  <si>
    <t>HIDRATANTE LU</t>
  </si>
  <si>
    <t>LIMPEZA 02 AR(200,00) + CONSERTO NOSSO AR (150,00)</t>
  </si>
  <si>
    <t>BUFFET LU</t>
  </si>
  <si>
    <t>HOTEL CAMPOS PLAZA</t>
  </si>
  <si>
    <t>ABRIL: PASSAGEM NETE</t>
  </si>
  <si>
    <t>POSTES PARA CERCAR TERRENO QUEIMADA</t>
  </si>
  <si>
    <t>ABRIL: COSTURA BIQUINI JU</t>
  </si>
  <si>
    <t>LANCHES VIAGEM</t>
  </si>
  <si>
    <t>COBERTURA GARAG. AP</t>
  </si>
  <si>
    <t>COBERTURA GARAGEM</t>
  </si>
  <si>
    <t>ABRIL: COXINHAS JU E LU</t>
  </si>
  <si>
    <t xml:space="preserve">UNINTER </t>
  </si>
  <si>
    <t>BANHO/TOSA KYRA</t>
  </si>
  <si>
    <t>INEP (JULIA)</t>
  </si>
  <si>
    <t>DENTE LUIZA</t>
  </si>
  <si>
    <t>CONSELHO ENFERMAGEM</t>
  </si>
  <si>
    <t>ESPOSA ALAN DOS SANTOS</t>
  </si>
  <si>
    <t>UNINTER</t>
  </si>
  <si>
    <t>SOBRANCELHA JU</t>
  </si>
  <si>
    <t>SHORT JU</t>
  </si>
  <si>
    <t>COMBUSTÍVEL</t>
  </si>
  <si>
    <t>PRESENTE AMIGO JU</t>
  </si>
  <si>
    <t>JUROS ENGARGOS NETE MES PASSADO</t>
  </si>
  <si>
    <t>AVOADOR AJU</t>
  </si>
  <si>
    <t>VIAGEM MACAE/RIO</t>
  </si>
  <si>
    <t>ESPETINHO JU</t>
  </si>
  <si>
    <t>PIX PATRICIA (ROUPAS JULIA)</t>
  </si>
  <si>
    <t>ENTRADAS SHOW HENRIQUE E JULINO</t>
  </si>
  <si>
    <t>BRINQUEDOS</t>
  </si>
  <si>
    <t>MERCADINHO II</t>
  </si>
  <si>
    <t>FRANJA LU</t>
  </si>
  <si>
    <t>MULTA WALMER</t>
  </si>
  <si>
    <t>PIX LANCHE JU</t>
  </si>
  <si>
    <t>PIX WALBER SHOW</t>
  </si>
  <si>
    <t>GALINHA CAIPIRA</t>
  </si>
  <si>
    <t>VALE PRESENTE LU</t>
  </si>
  <si>
    <t>IGREJA (LU)</t>
  </si>
  <si>
    <t>PAO E OVO</t>
  </si>
  <si>
    <t>MARIA (LIMPEZA DA CASA)</t>
  </si>
  <si>
    <t>CORTE  MEU CABELO</t>
  </si>
  <si>
    <t>BOLO NIVER PAI</t>
  </si>
  <si>
    <t>TRANSFERENCIA C6</t>
  </si>
  <si>
    <t>LIMPEZA CADEIRAS</t>
  </si>
  <si>
    <t>PASTEL ALMOCO</t>
  </si>
  <si>
    <t>MALA (PRESENTE DEA)</t>
  </si>
  <si>
    <t>PIX  ANDERSON (UBER)</t>
  </si>
  <si>
    <t>REUNIAO MCF (WALBER PARTICIPOU)</t>
  </si>
  <si>
    <t>LANCHE JU</t>
  </si>
  <si>
    <t xml:space="preserve">PELICULA MULTIMIDIA </t>
  </si>
  <si>
    <t>ROUPAS TORITAMA</t>
  </si>
  <si>
    <t>PASSAGEM JU</t>
  </si>
  <si>
    <t>PIX (ALUGUEL CASA ANIV PAI)</t>
  </si>
  <si>
    <t>MULTA OUTLANDER</t>
  </si>
  <si>
    <t>MENSALIDADE UNINTER</t>
  </si>
  <si>
    <t>CARTAO PRESENTE JOGO LU</t>
  </si>
  <si>
    <t>CHURRASCO</t>
  </si>
  <si>
    <t>ZUPPER</t>
  </si>
  <si>
    <t>PRESENTE GESSICA</t>
  </si>
  <si>
    <t>QUEIJO E PAO</t>
  </si>
  <si>
    <t>PAO SEMANA</t>
  </si>
  <si>
    <t xml:space="preserve">GAS </t>
  </si>
  <si>
    <t>RECARGA CEL JU</t>
  </si>
  <si>
    <t>DOAÇÃO TIA TEREZA</t>
  </si>
  <si>
    <t>PIX PEIXE</t>
  </si>
  <si>
    <t>AJUDA VIAGEM (SENHORA RESTAURANTE MACAE)</t>
  </si>
  <si>
    <t>GAS DE COZINHA</t>
  </si>
  <si>
    <t>MULTIFERRAMENTA OSCILANTE DEWALT</t>
  </si>
  <si>
    <t>POUSADA DEL REY</t>
  </si>
  <si>
    <t>LANCHE LU E COMPRAS DA CASA</t>
  </si>
  <si>
    <t>PASSAGEM FEIRA/AJU</t>
  </si>
  <si>
    <t>TRANSF. TIA WALDINA</t>
  </si>
  <si>
    <t>DESPESAS DA CASA</t>
  </si>
  <si>
    <t>TERRANO QUEIMADA CERCA - MAO DE OBRA</t>
  </si>
  <si>
    <t>BOLETO EBCT</t>
  </si>
  <si>
    <t>AGUA MINERAL</t>
  </si>
  <si>
    <t>QUENTINHAS WALESKA</t>
  </si>
  <si>
    <t>VAN FAROL/RIO</t>
  </si>
  <si>
    <t>PIX PRES. PROF. LU</t>
  </si>
  <si>
    <t>BLA BLA CAR AJU/SSA</t>
  </si>
  <si>
    <t>C_PLATINUM-ESTILO-VISA-WALKER</t>
  </si>
  <si>
    <t>PASSEIO BARRA DOS COQUEIROS</t>
  </si>
  <si>
    <t>EDJANIO</t>
  </si>
  <si>
    <t>CONSERTO PNEU HB20</t>
  </si>
  <si>
    <t>LAVAGEM CARRO DEA</t>
  </si>
  <si>
    <t>MINHA RECARGA VIVO</t>
  </si>
  <si>
    <t>C_PLATINUM-ESTILO-VISA-AMBOS</t>
  </si>
  <si>
    <t>PRESENTE CASAM. QUIMICA</t>
  </si>
  <si>
    <t>PICOLE LU</t>
  </si>
  <si>
    <t>LIMPA FOSSA</t>
  </si>
  <si>
    <t>ALMOCO SHOPPING ESTRADA</t>
  </si>
  <si>
    <t>CABELO LU</t>
  </si>
  <si>
    <t>FILTRO ENTRADA CASA</t>
  </si>
  <si>
    <t>QUENTINHA LU/JU</t>
  </si>
  <si>
    <t>PASSAGEM LATAM AJU/RIO</t>
  </si>
  <si>
    <t>PIX BLA BLA CAR JU</t>
  </si>
  <si>
    <t>PAO, SAL, SALGADINHA</t>
  </si>
  <si>
    <t>LANCHE</t>
  </si>
  <si>
    <t>PARADIDATICOS LUIZA</t>
  </si>
  <si>
    <t>MAQUIAGEM JU</t>
  </si>
  <si>
    <t>DOAÇÃO DANIELA</t>
  </si>
  <si>
    <t>LUIZA</t>
  </si>
  <si>
    <t>ANIVERSARIO LU (PIX)</t>
  </si>
  <si>
    <t>BANANA E AMENDOIM</t>
  </si>
  <si>
    <t>PIX FESTA WALBER</t>
  </si>
  <si>
    <t>CABELO JU</t>
  </si>
  <si>
    <t>AGUA E VANISH</t>
  </si>
  <si>
    <t>Devolução</t>
  </si>
  <si>
    <t>BOLO LU QUEIMADA</t>
  </si>
  <si>
    <t>GARRAFAS JU</t>
  </si>
  <si>
    <t>PAES CACHORRO QUENTE NIVER LU</t>
  </si>
  <si>
    <t>VOO AZUL PARA O RIO</t>
  </si>
  <si>
    <t>REMEDIOS</t>
  </si>
  <si>
    <t>FRUTAS E VERDURAS</t>
  </si>
  <si>
    <t>LANCHE COLETIVO JU</t>
  </si>
  <si>
    <t>TOPO BOLO LU</t>
  </si>
  <si>
    <t>MOB</t>
  </si>
  <si>
    <t>CREME E SHAMPOO JU</t>
  </si>
  <si>
    <t>COXINHAS</t>
  </si>
  <si>
    <t>CORTE CABELO MENINAS</t>
  </si>
  <si>
    <t>POSTES CERCAR ROCA</t>
  </si>
  <si>
    <t>PASSAGEM RIO/AJU</t>
  </si>
  <si>
    <t>CONFRATERNIZACAO OFFSHORE</t>
  </si>
  <si>
    <t>PRESENTE COLEGA JU</t>
  </si>
  <si>
    <t>UBER JU, DEPILACAO A LASER</t>
  </si>
  <si>
    <t>DOACAO (PIX)</t>
  </si>
  <si>
    <t>FOTOS ANIV. JU</t>
  </si>
  <si>
    <t>VESTIDO JU</t>
  </si>
  <si>
    <t>DOCES</t>
  </si>
  <si>
    <t>CONSULTA LU</t>
  </si>
  <si>
    <t>CROPED JU</t>
  </si>
  <si>
    <t>GARRAFINHA DE LU</t>
  </si>
  <si>
    <t>NETE (LIMPEZA CASA)</t>
  </si>
  <si>
    <t>PIX PRES. ANIV. JU</t>
  </si>
  <si>
    <t>DECIMO TERCEIRO NETE (PARTE QUE DÉA PAGOU)</t>
  </si>
  <si>
    <t>EPISOL E POS SOL</t>
  </si>
  <si>
    <t>SORVETE</t>
  </si>
  <si>
    <t>TRANSP. ARTHUR (JULIA: AMADEUS/CASA)</t>
  </si>
  <si>
    <t>FALTOU NO ACERTO DE DEA</t>
  </si>
  <si>
    <t>BOLAO</t>
  </si>
  <si>
    <t>PRESENTES AMIGO SECRETO QUEIMADA</t>
  </si>
  <si>
    <t>PANO DE CHAO</t>
  </si>
  <si>
    <t>TRANCAMENTO UNINTER</t>
  </si>
  <si>
    <t>DEPILACAO LASER BUCO JU</t>
  </si>
  <si>
    <t>RECARGA JU</t>
  </si>
  <si>
    <t>WALBER (SAIDA IRMAOS)</t>
  </si>
  <si>
    <t>BODE</t>
  </si>
  <si>
    <t>RENOVACAO MCF</t>
  </si>
  <si>
    <t>PETROBRAS D-25</t>
  </si>
  <si>
    <t>PETROBRAS D-10</t>
  </si>
  <si>
    <t>C_C6-ALLAN</t>
  </si>
  <si>
    <t>WALTINHO(REMEDIO)</t>
  </si>
  <si>
    <t>POUPANÇA</t>
  </si>
  <si>
    <t>SALDO MES ANT. SEM ACERTO</t>
  </si>
  <si>
    <t>WALBER P/ JU</t>
  </si>
  <si>
    <t>PIX IURY (FAROL/RIO)</t>
  </si>
  <si>
    <t>PIX DIVISAO UBER</t>
  </si>
  <si>
    <t>AJUSTE</t>
  </si>
  <si>
    <t>PR PARC DEC TERC</t>
  </si>
  <si>
    <t xml:space="preserve">POUPANCA </t>
  </si>
  <si>
    <t>DESPESAS (AMBOS)</t>
  </si>
  <si>
    <t>Pago IQ</t>
  </si>
  <si>
    <t>SERGIPEWEB</t>
  </si>
  <si>
    <t>Pago C6</t>
  </si>
  <si>
    <t>AMS</t>
  </si>
  <si>
    <t>ASM</t>
  </si>
  <si>
    <t>C_OUROCARD-VISA</t>
  </si>
  <si>
    <t>ASSIST SUP. MEDICA</t>
  </si>
  <si>
    <t>ASO</t>
  </si>
  <si>
    <t>CONSULTA JU</t>
  </si>
  <si>
    <t>ASSIT. SUP. ODONT</t>
  </si>
  <si>
    <t>PRESTACAO AP MARCO</t>
  </si>
  <si>
    <t>ASSIST. ODONTOLOGICA</t>
  </si>
  <si>
    <t>DOACAO PIX</t>
  </si>
  <si>
    <t>INSVETIMENTO CRIPTO</t>
  </si>
  <si>
    <t>SALDO NEGAT MES ANT</t>
  </si>
  <si>
    <t>SOFA MAE</t>
  </si>
  <si>
    <t>PAGAMENTO MOTO BOY</t>
  </si>
  <si>
    <t>PRESENTE CAIO</t>
  </si>
  <si>
    <t>FRUTAS, LANCHE, PAO</t>
  </si>
  <si>
    <t>PAO, SUCO, TEMPERO, FRUTA</t>
  </si>
  <si>
    <t>SINDIC. ENF MES ANT.</t>
  </si>
  <si>
    <t>PIX ESCOLA JU</t>
  </si>
  <si>
    <t>IOF BB</t>
  </si>
  <si>
    <t>DOCUMENTOS JU</t>
  </si>
  <si>
    <t>TRANSF. P CONTA C6</t>
  </si>
  <si>
    <t>DOACAO RUA</t>
  </si>
  <si>
    <t>CONSERTO ROUPAS JU</t>
  </si>
  <si>
    <t>AMENDOIM</t>
  </si>
  <si>
    <t>NETE (PAO E SORVETE)</t>
  </si>
  <si>
    <t>DINHEIRO JULIA</t>
  </si>
  <si>
    <t>SABONETE LU, PORTA PAO</t>
  </si>
  <si>
    <t>PERFUME JU E LU</t>
  </si>
  <si>
    <t>BOLAO JOGO</t>
  </si>
  <si>
    <t>ACAI</t>
  </si>
  <si>
    <t>CAPA MAQUINA</t>
  </si>
  <si>
    <t>ROUPAS JU E LU</t>
  </si>
  <si>
    <t>BOTA SR. GILDASIO</t>
  </si>
  <si>
    <t>TIO TOTA</t>
  </si>
  <si>
    <t>PAO, LANCHE LU</t>
  </si>
  <si>
    <t>LANCHE ESCOLA MENINAS</t>
  </si>
  <si>
    <t>PERFUME JU</t>
  </si>
  <si>
    <t>CRIPTO</t>
  </si>
  <si>
    <t>JULIA (CARTEIRINHA)</t>
  </si>
  <si>
    <t>PASSGENS NETE (SEM. PASS.)</t>
  </si>
  <si>
    <t>PLANO DE SAÚDE MÃE (MARÇO)</t>
  </si>
  <si>
    <t>ROUPA LU</t>
  </si>
  <si>
    <t>CONSERTO OCULOS JU</t>
  </si>
  <si>
    <t>VIAGEM FAROL/RIO</t>
  </si>
  <si>
    <t>MERCEARIA</t>
  </si>
  <si>
    <t>RODO</t>
  </si>
  <si>
    <t>ENCARGOS NETE MARCO</t>
  </si>
  <si>
    <t>CUSCUZEIRO</t>
  </si>
  <si>
    <t>SOLUCAO LENTES JU</t>
  </si>
  <si>
    <t>CAFE, COTONETES</t>
  </si>
  <si>
    <t>CABELO</t>
  </si>
  <si>
    <t>DESP. CASA</t>
  </si>
  <si>
    <t>C_VISA-PLATINUM</t>
  </si>
  <si>
    <t>RECARGA TIM LU</t>
  </si>
  <si>
    <t>NOVA RECARGA MEU VIVO</t>
  </si>
  <si>
    <t>CINEMA MENINAS</t>
  </si>
  <si>
    <t>C_VISA-INTERNACIONAL</t>
  </si>
  <si>
    <t>C_ELO-GRAFITE</t>
  </si>
  <si>
    <t>UNO(JULIA)</t>
  </si>
  <si>
    <t>C6-AMBOS</t>
  </si>
  <si>
    <t>PAO, EXTRATO, ACUCAR</t>
  </si>
  <si>
    <t>C_ELO</t>
  </si>
  <si>
    <t>DOCE, CARURU</t>
  </si>
  <si>
    <t>VIAGEM JULIA</t>
  </si>
  <si>
    <t>C6-WALKER</t>
  </si>
  <si>
    <t>DOACAO TIA TEREZA</t>
  </si>
  <si>
    <t>GRELHA CHURRASQUEIRA</t>
  </si>
  <si>
    <t>C_PLATINUM-VISA</t>
  </si>
  <si>
    <t>ANDREIA</t>
  </si>
  <si>
    <t>02 CACHAÇAS BANANINHA</t>
  </si>
  <si>
    <t>SERASA</t>
  </si>
  <si>
    <t>PRAIA PIX</t>
  </si>
  <si>
    <t>ANTIALERGICO</t>
  </si>
  <si>
    <t>PIX BOLAO COPA P48</t>
  </si>
  <si>
    <t>POWER BANK PRAIA</t>
  </si>
  <si>
    <t>PASTEIS, PAO, REFRI</t>
  </si>
  <si>
    <t>LANCHE LU, DESPESAS CASA</t>
  </si>
  <si>
    <t>C_C6-A_I</t>
  </si>
  <si>
    <t>PASSAGENS 2 SEMAN. NETE</t>
  </si>
  <si>
    <t>CURSO OS MALES DA ESCOLA</t>
  </si>
  <si>
    <t>UBER AEROPORTO/PETROBRAS (DIVISAO COM ANDERSON)</t>
  </si>
  <si>
    <t>PRESENTE PROF LU</t>
  </si>
  <si>
    <t>CORTE CABELO JU E LU</t>
  </si>
  <si>
    <t>C_6-AMBOS</t>
  </si>
  <si>
    <t>GALETO, LANCHE MENINAS</t>
  </si>
  <si>
    <t>C_6-WALKER</t>
  </si>
  <si>
    <t>GAME STATION LUIZA</t>
  </si>
  <si>
    <t>PAO DA CASA</t>
  </si>
  <si>
    <t>MASSA PASTEL, OLEO</t>
  </si>
  <si>
    <t>MISSA</t>
  </si>
  <si>
    <t>FERREIRA COSTA</t>
  </si>
  <si>
    <t>COISAS PARA A CASA</t>
  </si>
  <si>
    <t>DESODORANTE LUIZA</t>
  </si>
  <si>
    <t>PNEUS OUTLANDER</t>
  </si>
  <si>
    <t>PASSAGEM AEREA</t>
  </si>
  <si>
    <t>ROUPA LUIZA</t>
  </si>
  <si>
    <t>AJUDA TIA WALDINA</t>
  </si>
  <si>
    <t>LAVAGEM CARROS</t>
  </si>
  <si>
    <t>CROA</t>
  </si>
  <si>
    <t>CONSERTO SAPATO</t>
  </si>
  <si>
    <t>PIX meu Pai</t>
  </si>
  <si>
    <t>PATE KYRA</t>
  </si>
  <si>
    <t>PINTURA RODAS OUTLANDER</t>
  </si>
  <si>
    <t>CONSERTO VENTILADOR</t>
  </si>
  <si>
    <t>TORTALETES</t>
  </si>
  <si>
    <t>PRESENTE NIVER JU</t>
  </si>
  <si>
    <t>PIX RIO</t>
  </si>
  <si>
    <t>OVOS</t>
  </si>
  <si>
    <t>CONSERTO SANDUICHEIRA</t>
  </si>
  <si>
    <t>ESTACION. SHOPPING</t>
  </si>
  <si>
    <t>PRESENTE COLEGUINHA LU</t>
  </si>
  <si>
    <t>SALGADINHOS</t>
  </si>
  <si>
    <t>SEMANA DA CRIANCA</t>
  </si>
  <si>
    <t>GRU TRE (REGULARIZ. TITULO)</t>
  </si>
  <si>
    <t>FECHO TERCO/PULSEIRA</t>
  </si>
  <si>
    <t>PRESENTES ESCOLA LU</t>
  </si>
  <si>
    <t>PIX (DOACAO)</t>
  </si>
  <si>
    <t>PIX RIO (DOACAO GAROTINHO)</t>
  </si>
  <si>
    <t>PAO, LANCHE LU, COISAS DA CASA</t>
  </si>
  <si>
    <t>PASSAGEM AEREA RIO/AJU</t>
  </si>
  <si>
    <t>PINO PANELA</t>
  </si>
  <si>
    <t>PASSAGENS DE NETE E PAO</t>
  </si>
  <si>
    <t>PIX RIO (QUIOSQUE)</t>
  </si>
  <si>
    <t xml:space="preserve">TORTALETES </t>
  </si>
  <si>
    <t>CARRO FAROL/MACAE</t>
  </si>
  <si>
    <t>CABELO, CACHACA</t>
  </si>
  <si>
    <t>UBER JULIA</t>
  </si>
  <si>
    <t>BANANA</t>
  </si>
  <si>
    <t>UNHAS JU E LU</t>
  </si>
  <si>
    <t>ADIANT. DEC. TER. NETE</t>
  </si>
  <si>
    <t>BOLO E SALGADOS LU</t>
  </si>
  <si>
    <t>ABAST. OUTLANDER</t>
  </si>
  <si>
    <t>DESP CASA</t>
  </si>
  <si>
    <t>ROBERT (AJUDA)</t>
  </si>
  <si>
    <t>PASSAGENS MAE (AJU/RIO VERDE)</t>
  </si>
  <si>
    <t>CONSERTO TANQUINHO</t>
  </si>
  <si>
    <t>CARNES</t>
  </si>
  <si>
    <t>PAO, DANONE, PRESUNTO</t>
  </si>
  <si>
    <t>ANESTESISTA DEA</t>
  </si>
  <si>
    <t>FESTA SÃO JOÃO</t>
  </si>
  <si>
    <t>LANCHE DE LU</t>
  </si>
  <si>
    <t>HIDRATANTE JU</t>
  </si>
  <si>
    <t>UNHA JU</t>
  </si>
  <si>
    <t>02 COCA-COLA</t>
  </si>
  <si>
    <t>DOACAO (GAROTINHO QUEIMADA)</t>
  </si>
  <si>
    <t>FARDA LUIZA</t>
  </si>
  <si>
    <t>PRESUNTO</t>
  </si>
  <si>
    <t>CALABRESA</t>
  </si>
  <si>
    <t>LUIZA LANCHE</t>
  </si>
  <si>
    <t>WALBER(PNEUS OUTLANDER)</t>
  </si>
  <si>
    <t>CEL JU</t>
  </si>
  <si>
    <t>FESTA DIA DAS MAES RIO VERDE</t>
  </si>
  <si>
    <t>GARRAFINHA LU</t>
  </si>
  <si>
    <t>COLAR DE LUIZA</t>
  </si>
  <si>
    <t>INGRED. LASANHA</t>
  </si>
  <si>
    <t>CAMISA JULIA</t>
  </si>
  <si>
    <t>BANHO KIRA</t>
  </si>
  <si>
    <t>CESTA JU</t>
  </si>
  <si>
    <t>Passagens Nete</t>
  </si>
  <si>
    <t>CARNE BODE</t>
  </si>
  <si>
    <t>PIX TINA</t>
  </si>
  <si>
    <t>ESTACIONAMENTO RODOVIARIA</t>
  </si>
  <si>
    <t xml:space="preserve">WALKER </t>
  </si>
  <si>
    <t>BLUSA JULIA</t>
  </si>
  <si>
    <t>QUEIJO, ABSORVENTE, SALGADINHOS, PADARIA</t>
  </si>
  <si>
    <t>GESSICA</t>
  </si>
  <si>
    <t>CONSERTO GELADEIRA</t>
  </si>
  <si>
    <t>DEIXEI 10 NA PLATAFORMA</t>
  </si>
  <si>
    <t>DINHEIRA PARA AS MENINAS</t>
  </si>
  <si>
    <t>DOACAO (JULIANA)</t>
  </si>
  <si>
    <t>REFRIGERANTE E SUCO</t>
  </si>
  <si>
    <t>G BARBOSA</t>
  </si>
  <si>
    <t>PETRO D-21</t>
  </si>
  <si>
    <t>Obs: número do protocolo clonagem cartão VISA PLATINUM: 47410608. Ligar para acompanhar dia 12/03.</t>
  </si>
  <si>
    <t>PETRO D-25/D-10</t>
  </si>
  <si>
    <t>13º FECHAMENTO</t>
  </si>
  <si>
    <t>NETE</t>
  </si>
  <si>
    <t>SOBRA MES PASS.</t>
  </si>
  <si>
    <t>SALDO MES PASS</t>
  </si>
  <si>
    <t>SALDO MÊS PASS.</t>
  </si>
  <si>
    <t>REEMB. PETRO</t>
  </si>
  <si>
    <t>13º</t>
  </si>
  <si>
    <t>DEPOSITO PAULA</t>
  </si>
  <si>
    <t>PARTE PPP</t>
  </si>
  <si>
    <t>PARC. NOTE DAVI</t>
  </si>
  <si>
    <t>POUP</t>
  </si>
  <si>
    <t>DIVERSOS</t>
  </si>
  <si>
    <t>POUP C6 MES PASSADO</t>
  </si>
  <si>
    <t>DESPESA</t>
  </si>
  <si>
    <t>PAGO NO CARTÃO DE CRÉDITO EM DEZEMBRO/20</t>
  </si>
  <si>
    <t>ESCOLA MENINAS AMBOS</t>
  </si>
  <si>
    <t>ESCOLA MENINAS PETRO</t>
  </si>
  <si>
    <t>99pay</t>
  </si>
  <si>
    <t>ALUGUEL MÃE</t>
  </si>
  <si>
    <t>AMS GRANDE RISCO</t>
  </si>
  <si>
    <t>CARVAO</t>
  </si>
  <si>
    <t>ASSIST. SUP. MEDICA</t>
  </si>
  <si>
    <t>ASSISTENCIA SUP. MEDICA</t>
  </si>
  <si>
    <t>ASSIT. SUP. MEDICA</t>
  </si>
  <si>
    <t>DIF. AMS GRANDE RISCO</t>
  </si>
  <si>
    <t>ASSIT. SUP. ODONT.</t>
  </si>
  <si>
    <t>ANTENA OUTLANDER</t>
  </si>
  <si>
    <t>DIF AMS</t>
  </si>
  <si>
    <t>EQUAC. CUST. AMS</t>
  </si>
  <si>
    <t>LAVAGEM OUTLANDER (COM POLIMENTO)</t>
  </si>
  <si>
    <t>CASA DOS PARAFUSOS</t>
  </si>
  <si>
    <t>I.O.F. BB</t>
  </si>
  <si>
    <t>ENCARGOS BB</t>
  </si>
  <si>
    <t>C_OUROCARD VISA</t>
  </si>
  <si>
    <t>IOF-BB</t>
  </si>
  <si>
    <t>RECARGA CEL JULIA</t>
  </si>
  <si>
    <t>C_VISA</t>
  </si>
  <si>
    <t>YAKISOBA, TORTALETES</t>
  </si>
  <si>
    <t>PRESENTE PAI (CANECA)</t>
  </si>
  <si>
    <t>SALDO DÉA MÊS PASS.</t>
  </si>
  <si>
    <t>GAME STATION</t>
  </si>
  <si>
    <t>PAGAMENTOS DEA MES PASSADO</t>
  </si>
  <si>
    <t>AGUA</t>
  </si>
  <si>
    <t>CALIGRAFIA LU</t>
  </si>
  <si>
    <t>NAO IDENTIFICADO</t>
  </si>
  <si>
    <t>EXAMES JU</t>
  </si>
  <si>
    <t>PIX ALINE</t>
  </si>
  <si>
    <t>CARRO FAROL/RIO</t>
  </si>
  <si>
    <t>BOMBA P/ BICICLETA</t>
  </si>
  <si>
    <t>PASSAGEM AJU/RIO</t>
  </si>
  <si>
    <t>TAXI AEROPORTO/CASA</t>
  </si>
  <si>
    <t>IPTU</t>
  </si>
  <si>
    <t>MEDICACAO JU</t>
  </si>
  <si>
    <t>COMPRAS JU MERCADINHO</t>
  </si>
  <si>
    <t>MARKET PLACE</t>
  </si>
  <si>
    <t>ASS. SUP MED</t>
  </si>
  <si>
    <t>LANCHE FAUSTAO</t>
  </si>
  <si>
    <t>ROUPAS PRES. DEA</t>
  </si>
  <si>
    <t>MERCADO LIVRE</t>
  </si>
  <si>
    <t>COMBUSTIVEL</t>
  </si>
  <si>
    <t>ESMOLAS</t>
  </si>
  <si>
    <t>ENFEITES CHURRASQU. + SUPORTES E VASOS DE PLANTAS</t>
  </si>
  <si>
    <t>DORMIDA NETE</t>
  </si>
  <si>
    <t>CONSULTA JULIA ENDROCRINO</t>
  </si>
  <si>
    <t>SUPORTE PLANTAS</t>
  </si>
  <si>
    <t>SALGADOS</t>
  </si>
  <si>
    <t>TAPIOCAS E FRUTAS</t>
  </si>
  <si>
    <t>ALCOOL LIQUIDO</t>
  </si>
  <si>
    <t>MOTO TAXI</t>
  </si>
  <si>
    <t>BOLO LUIZA</t>
  </si>
  <si>
    <t>ESTACIONAMENTO CENTRO</t>
  </si>
  <si>
    <t>SALGADOS ANIV. PAI</t>
  </si>
  <si>
    <t xml:space="preserve">LAVAGEM CARRO DEA </t>
  </si>
  <si>
    <t>C-ELO-GRAFITE-ESTILO-WALKER</t>
  </si>
  <si>
    <t>MERCADINHO INGRED. LASANHA</t>
  </si>
  <si>
    <t>COLEG. AMADEUS (BERNOULLI)</t>
  </si>
  <si>
    <t>MATERIAL FORRO LIVROS</t>
  </si>
  <si>
    <t>C-ELO-GRAFITE-ESTILO-DEA</t>
  </si>
  <si>
    <t>COCA COLA</t>
  </si>
  <si>
    <t>PLANTAS</t>
  </si>
  <si>
    <t>TRANSF. PARA O C6</t>
  </si>
  <si>
    <t>MUDANCA MAE</t>
  </si>
  <si>
    <t>TROCO NETE BANCO</t>
  </si>
  <si>
    <t>C-ELO-GRAFITE-ESTILO-AMBOS</t>
  </si>
  <si>
    <t>TELAS APT MAE</t>
  </si>
  <si>
    <t>COMPRA CRO (CRYPTO)</t>
  </si>
  <si>
    <t>CARRO</t>
  </si>
  <si>
    <t>PARCELA IPTU</t>
  </si>
  <si>
    <t>I.O.F BB</t>
  </si>
  <si>
    <t>1,86</t>
  </si>
  <si>
    <t>BARBEADOR</t>
  </si>
  <si>
    <t>TROCO NETE DINHEIRO</t>
  </si>
  <si>
    <t>INGRED. BOLO DE CHOC.</t>
  </si>
  <si>
    <t>DOACAO (ESPOSO COLEGA DEA)</t>
  </si>
  <si>
    <t>IFOOD</t>
  </si>
  <si>
    <t>SALAO LUIZA</t>
  </si>
  <si>
    <t>ENERG. CASA PEDRO LINO</t>
  </si>
  <si>
    <t>PREGADOR</t>
  </si>
  <si>
    <t>ROSARIO</t>
  </si>
  <si>
    <t>SOUZPORTODIGITAL(CONTAS NAO CANCELADAS)</t>
  </si>
  <si>
    <t>PAO E DORITOS</t>
  </si>
  <si>
    <t>AGUA DE COCO</t>
  </si>
  <si>
    <t>TANGERINA E AMENDOIM</t>
  </si>
  <si>
    <t>RIFA QUEIMADA</t>
  </si>
  <si>
    <t>ESCOLA JU PETRO OUT</t>
  </si>
  <si>
    <t>CERVEJAS IAN</t>
  </si>
  <si>
    <t>CHOCOLATE</t>
  </si>
  <si>
    <t>ESTACIONAMENTO JARDINS</t>
  </si>
  <si>
    <t>COCA-COLA</t>
  </si>
  <si>
    <t>BISCOITO E PASTA DE ALHO</t>
  </si>
  <si>
    <t>CALCINHAS LUIZA</t>
  </si>
  <si>
    <t>ESCOLA JU AMBOS OUT</t>
  </si>
  <si>
    <t>PRESENTE DEA</t>
  </si>
  <si>
    <t>LANCHE VIAGEM</t>
  </si>
  <si>
    <t>SABONETE MENINAS</t>
  </si>
  <si>
    <t>MASCARA JU</t>
  </si>
  <si>
    <t>CAMARAO</t>
  </si>
  <si>
    <t>TROCA TERMINAL BATERIA OUTLANDER</t>
  </si>
  <si>
    <t>QUEIJO, MANTEIGA</t>
  </si>
  <si>
    <t>WALTINHO</t>
  </si>
  <si>
    <t>DESO (DÉA PAGOU TAMBÉM)</t>
  </si>
  <si>
    <t>CONTA POÇO TANQUE PEDRO LINO</t>
  </si>
  <si>
    <t>CARNE CHURRASCO PAI</t>
  </si>
  <si>
    <t>MCDONALD</t>
  </si>
  <si>
    <t>OCULOS DE PROTECAO</t>
  </si>
  <si>
    <t>C_VISA-PLATINUM-WALKER</t>
  </si>
  <si>
    <t>PAO E QUEIJO</t>
  </si>
  <si>
    <t>GELADINHO</t>
  </si>
  <si>
    <t>CONSULTA JULIA</t>
  </si>
  <si>
    <t>C_VISA-PLATINUM-AMBOS</t>
  </si>
  <si>
    <t>FUME JANELAS AP MAE</t>
  </si>
  <si>
    <t>Jantar Queimada</t>
  </si>
  <si>
    <t>MC DONALDS</t>
  </si>
  <si>
    <t>FOTOS POUSADA</t>
  </si>
  <si>
    <t>C_VISA_PLATINUM-AMBOS</t>
  </si>
  <si>
    <t>CARRO MACAE/RIO</t>
  </si>
  <si>
    <t>C_ELO-AMBOS-INVERTIDO</t>
  </si>
  <si>
    <t>GASOLINA OUTLANDER</t>
  </si>
  <si>
    <t>C_VISA_PLATINUM-WALKER</t>
  </si>
  <si>
    <t>FARDAS MENINAS</t>
  </si>
  <si>
    <t>VARAL AP MAE</t>
  </si>
  <si>
    <t>LAVAG. OUTLANDER</t>
  </si>
  <si>
    <t>DIF ESCOLA MENINAS ATRASO PAG.</t>
  </si>
  <si>
    <t>C_ELO-GRAFITE-ESTILO-AMBOS</t>
  </si>
  <si>
    <t>C-ELO-AMBOS</t>
  </si>
  <si>
    <t>BOX AP MAE</t>
  </si>
  <si>
    <t>IPTU PRIM. PARC</t>
  </si>
  <si>
    <t>ESTACIONAMENTO SALVADOR</t>
  </si>
  <si>
    <t>FARMACIA EDSON</t>
  </si>
  <si>
    <t>QUEIJO, PRESUNTO, PAO</t>
  </si>
  <si>
    <t>C_ELO-GRAFITE-ESTILO-DEA</t>
  </si>
  <si>
    <t>ESTACIONAMENTO OFTALMOLOGISTA JULIA</t>
  </si>
  <si>
    <t>COMBUSTIVEL NETE</t>
  </si>
  <si>
    <t>CARTORIO WALBER</t>
  </si>
  <si>
    <t>INGREDIENTES LAZANHA</t>
  </si>
  <si>
    <t>C_ELO-GRAFITE-ESTILO-WALKER</t>
  </si>
  <si>
    <t>DORMIDA MARIA</t>
  </si>
  <si>
    <t>PSICOLOGA MARI</t>
  </si>
  <si>
    <t>CAMISA FORMAT LU</t>
  </si>
  <si>
    <t>MC DONALD'S</t>
  </si>
  <si>
    <t>ALMOCO SALVADOR</t>
  </si>
  <si>
    <t>FRONHAS</t>
  </si>
  <si>
    <t>ROUPAS JULIA E LUIZA</t>
  </si>
  <si>
    <t>C_ELO-GRAFITE-ESTILO-AMBOS_I</t>
  </si>
  <si>
    <t>BOLA LU</t>
  </si>
  <si>
    <t>SORVETERIA MODERNA</t>
  </si>
  <si>
    <t>LANCHE MERCADINHO</t>
  </si>
  <si>
    <t>C_VISA-PLATINUM-ESTILO-WALKER</t>
  </si>
  <si>
    <t>ROUPAS MINHAS</t>
  </si>
  <si>
    <t>PIX CARLOS DIAS (TERCA LIVRE)</t>
  </si>
  <si>
    <t>BORRACHARIA</t>
  </si>
  <si>
    <t>C_VISA-PLATINUM-ESTILO-DEA</t>
  </si>
  <si>
    <t xml:space="preserve">PIX SUPORTES SILICONE </t>
  </si>
  <si>
    <t>PIZZA QUEIMADA</t>
  </si>
  <si>
    <t>LARANJAS</t>
  </si>
  <si>
    <t>SORVETES</t>
  </si>
  <si>
    <t>C_VISA-PLATINUM-ESTILO-AMBOS</t>
  </si>
  <si>
    <t>COLEIRA KIRA</t>
  </si>
  <si>
    <t>PIX BINANCE (SANDBOX)</t>
  </si>
  <si>
    <t>MERCADO QUEIMADA</t>
  </si>
  <si>
    <t>CONSERTO CHAVE/PORTA OUTLANDER</t>
  </si>
  <si>
    <t>PIX BINANCE (BITCOIN)</t>
  </si>
  <si>
    <t>CANECA IGREJA</t>
  </si>
  <si>
    <t>ARAME E GRAMPOS</t>
  </si>
  <si>
    <t>FEIRA DE FRUTAS</t>
  </si>
  <si>
    <t>C_ITAU</t>
  </si>
  <si>
    <t>CREMOSINHO</t>
  </si>
  <si>
    <t>TAPIOCA</t>
  </si>
  <si>
    <t>RACAO E TAPETE</t>
  </si>
  <si>
    <t>PIX (IARA)</t>
  </si>
  <si>
    <t>DESPESAS DINHEIRO QUEIMADA</t>
  </si>
  <si>
    <t>VASSOURA</t>
  </si>
  <si>
    <t>MATERIAL ESCRITORIO</t>
  </si>
  <si>
    <t>COPOS MENINAS</t>
  </si>
  <si>
    <t xml:space="preserve">PAO E SALGADINHOS </t>
  </si>
  <si>
    <t>ENCARGOS NETE (OUTUBRO)</t>
  </si>
  <si>
    <t>CALCA JU</t>
  </si>
  <si>
    <t>PICOLE PRAIA</t>
  </si>
  <si>
    <t>VIAGEM RIO/MACAE</t>
  </si>
  <si>
    <t>GASTOS EM DINHEIRO</t>
  </si>
  <si>
    <t>PIX (PAYMEE)</t>
  </si>
  <si>
    <t>PASSAGEM BARRA/FEIRA</t>
  </si>
  <si>
    <t>TRUFAS</t>
  </si>
  <si>
    <t>INTERNET PEDRO LINO</t>
  </si>
  <si>
    <t>FARMACIA DROGASIL</t>
  </si>
  <si>
    <t>TAXI DEA</t>
  </si>
  <si>
    <t>ALMOCO PATROPI</t>
  </si>
  <si>
    <t>PAGAMENTO SR. GILDASIO</t>
  </si>
  <si>
    <t>LIMPADORES HB20</t>
  </si>
  <si>
    <t>PRESILHAS OUTLANDER</t>
  </si>
  <si>
    <t>NETE (DEA DEVIA)</t>
  </si>
  <si>
    <t>BOLO E SALGADOS</t>
  </si>
  <si>
    <t>PASSAGEM NETE</t>
  </si>
  <si>
    <t>SORVETES MODERNA</t>
  </si>
  <si>
    <t>PERFUME LUIZA</t>
  </si>
  <si>
    <t>BATATA</t>
  </si>
  <si>
    <t>ACERTO DE NETE</t>
  </si>
  <si>
    <t>PULA-PULA</t>
  </si>
  <si>
    <t>CORREIOS (CARTAO UNIMED MAE)</t>
  </si>
  <si>
    <t>CORTE CABELO DEA</t>
  </si>
  <si>
    <t>GARRAFA CAFE</t>
  </si>
  <si>
    <t>ACAI E OUTRAS COISAS</t>
  </si>
  <si>
    <t>CONSULTA DEA</t>
  </si>
  <si>
    <t>CUPCAKES</t>
  </si>
  <si>
    <t>PRESILHAS PARACHOQUE OUTLANDER</t>
  </si>
  <si>
    <t>ROUPAS CHINA JU E LU</t>
  </si>
  <si>
    <t>CORTE CABELO LUIZA</t>
  </si>
  <si>
    <t>DORITOS, PAO</t>
  </si>
  <si>
    <t>REFRIGERANTES</t>
  </si>
  <si>
    <t>COMPRAS MERCEARIA</t>
  </si>
  <si>
    <t>TRANSPORTE FAROL/RIO</t>
  </si>
  <si>
    <t>PAO, DORITOS, CORANTE</t>
  </si>
  <si>
    <t>UBER AEROPORTO/CASA</t>
  </si>
  <si>
    <t>BOLO JULIA</t>
  </si>
  <si>
    <t>CAPPUCINO BOM PRECO</t>
  </si>
  <si>
    <t>PAO DE QUEIJO</t>
  </si>
  <si>
    <t>FRANGO E QUEIJO</t>
  </si>
  <si>
    <t>ALMOCO RODOV. RIO</t>
  </si>
  <si>
    <t>LARANJA</t>
  </si>
  <si>
    <t>DEDETIZACAO</t>
  </si>
  <si>
    <t>PRESENTES LU</t>
  </si>
  <si>
    <t>PRESEENTE JULIA(DEI A LUIZA)</t>
  </si>
  <si>
    <t>BOLETO MAGALU (PRESENTE GRECIA)</t>
  </si>
  <si>
    <t>BANHA, MACARRAO</t>
  </si>
  <si>
    <t>MINHAS CAMISAS</t>
  </si>
  <si>
    <t>PIPOCAS SHOPPING</t>
  </si>
  <si>
    <t>AGUA PEDRO LINO</t>
  </si>
  <si>
    <t>MULTA TSE DEA</t>
  </si>
  <si>
    <t>GORJETA PNEU OUTLANDER</t>
  </si>
  <si>
    <t>LANCHES E CARNE</t>
  </si>
  <si>
    <t>BB CREDITO SALARIO</t>
  </si>
  <si>
    <t>CARNES CHURRASCO COLEGIO</t>
  </si>
  <si>
    <t>BALAS SEMAFORO</t>
  </si>
  <si>
    <t>EMPREST. DEA</t>
  </si>
  <si>
    <t>DENTES LU</t>
  </si>
  <si>
    <t>REMEDIOS JU E FRALDAS LU</t>
  </si>
  <si>
    <t>MERCEARIA (02 SACOS DE GELO)</t>
  </si>
  <si>
    <t>4 KG CARNE PORCO</t>
  </si>
  <si>
    <t>SALGADINHO</t>
  </si>
  <si>
    <t>FAIXA WALMER</t>
  </si>
  <si>
    <t>TORTALETE</t>
  </si>
  <si>
    <t>REFORMA CASA RIO VERDE</t>
  </si>
  <si>
    <t>DINHEIRO DEA</t>
  </si>
  <si>
    <t>COMPRA CARTAO</t>
  </si>
  <si>
    <t>CARDOSO ACESS. (VIDRO RETROV. HB20)</t>
  </si>
  <si>
    <t>CABELO MEU E LU</t>
  </si>
  <si>
    <t>FOTOS JU E LU</t>
  </si>
  <si>
    <t>NETE MERCEARIA</t>
  </si>
  <si>
    <t>PELICULAS HB20</t>
  </si>
  <si>
    <t>BB CREDITO SAL</t>
  </si>
  <si>
    <t>JEFFERSON CABELO(MEU E LU)</t>
  </si>
  <si>
    <t>DENTE LU</t>
  </si>
  <si>
    <t>DOACAO KOMBI RUSSO</t>
  </si>
  <si>
    <t>AJUDA CARRO TINA</t>
  </si>
  <si>
    <t>SORVETE, CHOCOLATE</t>
  </si>
  <si>
    <t>RECARG. CEL DEA</t>
  </si>
  <si>
    <t>RECARG. CEL JU</t>
  </si>
  <si>
    <t>PILOMBETAS</t>
  </si>
  <si>
    <t>PINHA, TAPIOCA</t>
  </si>
  <si>
    <t>JULIA (MESADA)</t>
  </si>
  <si>
    <t>BOMBRIL</t>
  </si>
  <si>
    <t>AGUA AEROP. GRU</t>
  </si>
  <si>
    <t>JABUTICABEIRA</t>
  </si>
  <si>
    <t>CORRENTE JU</t>
  </si>
  <si>
    <t>BURGER KING</t>
  </si>
  <si>
    <t>VERDURAS E FRUTAS</t>
  </si>
  <si>
    <t>CURSO HOME-OFFICE</t>
  </si>
  <si>
    <t>KIRA(banho, hidratação, vacina anti-rábica, 2 kg de ração)</t>
  </si>
  <si>
    <t>REVELAÇÃO FOTOS</t>
  </si>
  <si>
    <t>GASTOS CASA (DIFERENCA)</t>
  </si>
  <si>
    <t>SALDO VR:</t>
  </si>
  <si>
    <t>Obs.: Dia 10 a Petro colocou parte das férias que estavam faltando (contigência financeira crise Corona)</t>
  </si>
  <si>
    <t>obs.: dia 25 de julho a Petrobras colocou o restante das férias, que foram gozadas em junho (pago em atraso devido contigência Pandemia Covid)</t>
  </si>
  <si>
    <t>PETRO AJUSTE D-30</t>
  </si>
  <si>
    <t>MES PAS.(CRTR + VR)</t>
  </si>
  <si>
    <t>DEPOSITO WALBER BOIA LU</t>
  </si>
  <si>
    <t>REEMBOLSO</t>
  </si>
  <si>
    <t>DEPST VR</t>
  </si>
  <si>
    <t>DINHEIR VENDA FLUENCE</t>
  </si>
  <si>
    <t>TOTAL</t>
  </si>
  <si>
    <t>FIXAS</t>
  </si>
  <si>
    <t xml:space="preserve">AGUA </t>
  </si>
  <si>
    <t>EMPRESTIMO PETROS</t>
  </si>
  <si>
    <t>PICOLE</t>
  </si>
  <si>
    <t>DIFERENCA AMS</t>
  </si>
  <si>
    <t>RECARGA CEL LUIZA</t>
  </si>
  <si>
    <t>BRASILEIRINHO</t>
  </si>
  <si>
    <t>C_OUCARD-VISA</t>
  </si>
  <si>
    <t>CARTAO EFL</t>
  </si>
  <si>
    <t>CHINA IN BOX</t>
  </si>
  <si>
    <t>ASSIST. SUP. ODONTOL.</t>
  </si>
  <si>
    <t>C_OUROCARD</t>
  </si>
  <si>
    <t>MIMOS</t>
  </si>
  <si>
    <t>PRESENTE SR. GILDASIO</t>
  </si>
  <si>
    <t>PAO, AGUA, QUEIJO</t>
  </si>
  <si>
    <t>CAPA MEU CELULAR</t>
  </si>
  <si>
    <t>CHINA BOX</t>
  </si>
  <si>
    <t>PRESENTE WALBER (JOGO)</t>
  </si>
  <si>
    <t>MERCEARIA(NESCAU, DETERGENTE)</t>
  </si>
  <si>
    <t>BERNOULLI JU E LU</t>
  </si>
  <si>
    <t>LARANJA, TAPIOCA, INHAME</t>
  </si>
  <si>
    <t>CHURRASC RIO</t>
  </si>
  <si>
    <t>BANCA MARMORE CHURRASQUEIRA</t>
  </si>
  <si>
    <t>PORTA MOEDAS</t>
  </si>
  <si>
    <t>MEECADINHO</t>
  </si>
  <si>
    <t>COMBUSTIVEL HB20</t>
  </si>
  <si>
    <t>MESADA JU E LU</t>
  </si>
  <si>
    <t>FISIOTERAPIA PAI</t>
  </si>
  <si>
    <t>MASCARAS</t>
  </si>
  <si>
    <t>DIFERENCA AMS GR</t>
  </si>
  <si>
    <t>MESADA LUIZA</t>
  </si>
  <si>
    <t>NUGGET</t>
  </si>
  <si>
    <t>RECARGA CELULAR JU</t>
  </si>
  <si>
    <t>MAMAO</t>
  </si>
  <si>
    <t>GASOLINA NETE</t>
  </si>
  <si>
    <t>BISCOITO</t>
  </si>
  <si>
    <t>FEIRA FRUTAS</t>
  </si>
  <si>
    <t>ENVELOPES CARTA(5)</t>
  </si>
  <si>
    <t>PILHA RELOGIO ZENBLAZE</t>
  </si>
  <si>
    <t>ENVIO CARTAO MAE</t>
  </si>
  <si>
    <t>1 PARC. TOLDO ILDEFONSO</t>
  </si>
  <si>
    <t>CABELO MEU, JU E LU</t>
  </si>
  <si>
    <t>C_PLATINUM-VISA-DEA</t>
  </si>
  <si>
    <t>LANTERNAS OUTLANDER</t>
  </si>
  <si>
    <t>CHURRASCO DIA DOS PAIS</t>
  </si>
  <si>
    <t>C_PLATINUM-VISA-AMBOS</t>
  </si>
  <si>
    <t>CONSERTO VALV. PNEU</t>
  </si>
  <si>
    <t>MANO CARNES</t>
  </si>
  <si>
    <t>C_OUROCARD-VISA-INTERNACIONAL-WALKER</t>
  </si>
  <si>
    <t>C_PLATINUM-VISA-WALKER</t>
  </si>
  <si>
    <t>ADIANT.SERV.FILTRO_BANCADA</t>
  </si>
  <si>
    <t>LUIZA (FADA DO DENTE)</t>
  </si>
  <si>
    <t>C_VISA-INTERNACIONAL-DEA</t>
  </si>
  <si>
    <t>DOACAO NA RUA</t>
  </si>
  <si>
    <t>C_ELO_WALKER</t>
  </si>
  <si>
    <t>PRESENTE PAULA</t>
  </si>
  <si>
    <t>C_ELO_AMBOS</t>
  </si>
  <si>
    <t>LANCHE FAROL</t>
  </si>
  <si>
    <t>C_VISA-ESTILO-WALKER</t>
  </si>
  <si>
    <t xml:space="preserve">FRUTAS </t>
  </si>
  <si>
    <t>AUTENTIC/RECONHEC. FIRMA VENDA FLUENCE</t>
  </si>
  <si>
    <t>LIVROS FTD</t>
  </si>
  <si>
    <t>C_VISA-ESTILO-AMBOS</t>
  </si>
  <si>
    <t>AGUA HOTEL</t>
  </si>
  <si>
    <t>PANOS DE CHAO</t>
  </si>
  <si>
    <t>TRANSF. PAULA</t>
  </si>
  <si>
    <t>TRANSF. ARMENIA</t>
  </si>
  <si>
    <t>FRUTAS E MERCEARIA</t>
  </si>
  <si>
    <t xml:space="preserve">RESTANTE INSTAL. FILTRO/BANCADA </t>
  </si>
  <si>
    <t>BUCHADA</t>
  </si>
  <si>
    <t>FAXINA (NETE)</t>
  </si>
  <si>
    <t>PEIXE E CAMARAO</t>
  </si>
  <si>
    <t>ALCOOL</t>
  </si>
  <si>
    <t xml:space="preserve">VISITA MAQUINA </t>
  </si>
  <si>
    <t>HIDRATANTE JULIA</t>
  </si>
  <si>
    <t>PES DE MANGA</t>
  </si>
  <si>
    <t>AGUA MINERAL (2)</t>
  </si>
  <si>
    <t>CHAVEIRO</t>
  </si>
  <si>
    <t>SABONETE JULIA</t>
  </si>
  <si>
    <t>QUENTINHAS (4)</t>
  </si>
  <si>
    <t>FRUTAS + CALABRESA</t>
  </si>
  <si>
    <t>LANCHES (MERCADINHO)</t>
  </si>
  <si>
    <t>VACINA MAE</t>
  </si>
  <si>
    <t>GORJETA PRO ESCAPE</t>
  </si>
  <si>
    <t>VISTORIA</t>
  </si>
  <si>
    <t>PIZZA (JOAQUINA)</t>
  </si>
  <si>
    <t>AGUA DE COCO, AGUA SANITARIA</t>
  </si>
  <si>
    <t>IPVA ARMENIA</t>
  </si>
  <si>
    <t>PROESCAPE(TROCA DE OLEO, PROTETOR DE CARTER, SERVICO REBOQUE)</t>
  </si>
  <si>
    <t>C_ELO-AMBOS_I</t>
  </si>
  <si>
    <t>QUEIJO, PRESUNTO E PAO</t>
  </si>
  <si>
    <t>LIMAO, MAMAO</t>
  </si>
  <si>
    <t>TRANSF. OUTLANDER, COMUNIC. VENDA FLUENCE</t>
  </si>
  <si>
    <t>PADARIA UNIAO</t>
  </si>
  <si>
    <t>CAMISETA JULIA</t>
  </si>
  <si>
    <t>FLORATIL</t>
  </si>
  <si>
    <t>AGUA MINERAL(02)</t>
  </si>
  <si>
    <t>LAVAGEM FLUENCE</t>
  </si>
  <si>
    <t>CHOCOLATE MENINAS</t>
  </si>
  <si>
    <t>FARMACIA PAGUE MENOS</t>
  </si>
  <si>
    <t>VR_ESQUINA DA CARNE</t>
  </si>
  <si>
    <t>CADERNINHOS (AJUDA)</t>
  </si>
  <si>
    <t>COMPLEM. INSTAL. FILTRO/BANCADA</t>
  </si>
  <si>
    <t>QUENTINHAS (02)</t>
  </si>
  <si>
    <t>MORANGO E LARANJAS</t>
  </si>
  <si>
    <t>REST. BLUSA FAU</t>
  </si>
  <si>
    <t>PIPOCA DE MICROONDAS</t>
  </si>
  <si>
    <t>ROUPAS JU, LU, DEA</t>
  </si>
  <si>
    <t>CORTE DE CABELO</t>
  </si>
  <si>
    <t>CHOCOLATES MENINAS</t>
  </si>
  <si>
    <t>DEPYROLL DEA</t>
  </si>
  <si>
    <t>BB CRED SAL</t>
  </si>
  <si>
    <t>COMPRAS NICANOR</t>
  </si>
  <si>
    <t>FARMÁCIA</t>
  </si>
  <si>
    <t>PARAFUSOS FERREIRA COSTA</t>
  </si>
  <si>
    <t>CONSERTO TUBULACAO PISCINA</t>
  </si>
  <si>
    <t>TV PARC. WALBER</t>
  </si>
  <si>
    <t>AGUA MINERAL ROD. NOVO RIO</t>
  </si>
  <si>
    <t>CABO HDMI</t>
  </si>
  <si>
    <t>PANO DE PRATO E VAS. CAFE</t>
  </si>
  <si>
    <t>BOLO, SALGADO</t>
  </si>
  <si>
    <t>BALA LUIZA</t>
  </si>
  <si>
    <t>SILICONE</t>
  </si>
  <si>
    <t>CALIBRAGEM PNEU</t>
  </si>
  <si>
    <t>PAG. EMBASA</t>
  </si>
  <si>
    <t>ILDEFONSO SEG. PARC.</t>
  </si>
  <si>
    <t>REMENDO PNEU</t>
  </si>
  <si>
    <t>SILIBRIL (LIMPEZA CARRO)</t>
  </si>
  <si>
    <t>CHAVEIRO OUTLANDER</t>
  </si>
  <si>
    <t>POMADA LU</t>
  </si>
  <si>
    <t>RECARGA RIOCARD</t>
  </si>
  <si>
    <t>PISCINA</t>
  </si>
  <si>
    <t>FOTOS DEA</t>
  </si>
  <si>
    <t>INSTRUMENTADORA CIR. DEA</t>
  </si>
  <si>
    <t>VR_MANO CARNES</t>
  </si>
  <si>
    <t>DORITOS E QUEIJO</t>
  </si>
  <si>
    <t>VASOS PLANTAS</t>
  </si>
  <si>
    <t>MEDICA CIR. DE DEA</t>
  </si>
  <si>
    <t>SORVETES PRAIA</t>
  </si>
  <si>
    <t>PIZZA CASA DE PAI</t>
  </si>
  <si>
    <t>FEIRA VIAJ. QUEIMADA</t>
  </si>
  <si>
    <t>MELANCIA</t>
  </si>
  <si>
    <t>PAO E CALABRESA</t>
  </si>
  <si>
    <t>DISCABOS</t>
  </si>
  <si>
    <t>ESTACIONAMENTO PRAIA</t>
  </si>
  <si>
    <t>BB CRED. SALAR.</t>
  </si>
  <si>
    <t>FORMULA DE LANC. (MASTERMIND JUNIOR)</t>
  </si>
  <si>
    <t>RETIRADA PROTETOR CARTER</t>
  </si>
  <si>
    <t>TERRA PRETA</t>
  </si>
  <si>
    <t xml:space="preserve">JOELHEIRA </t>
  </si>
  <si>
    <t>GAS E FARINHA DE TRIGO</t>
  </si>
  <si>
    <t>PAES</t>
  </si>
  <si>
    <t>CERVEJAS</t>
  </si>
  <si>
    <t>ANESTESISTA CIR. DEA</t>
  </si>
  <si>
    <t>PEGA DO BOI</t>
  </si>
  <si>
    <t>BALDE, SALGADINHO JULIA</t>
  </si>
  <si>
    <t>BIQUINI JULIA</t>
  </si>
  <si>
    <t>DOACAO (OLAVO DE CARVALHO)</t>
  </si>
  <si>
    <t>ABAT. DO BODE</t>
  </si>
  <si>
    <t>COMBUSTIVEL OUTLANDER</t>
  </si>
  <si>
    <t>PRESENTE JU</t>
  </si>
  <si>
    <t>CONTA AGUA QUEIMADA</t>
  </si>
  <si>
    <t>PRESENTE BABA</t>
  </si>
  <si>
    <t>COMBUSTIVEL WENDEL</t>
  </si>
  <si>
    <t>MEU VIVO</t>
  </si>
  <si>
    <t>TOALHA MESA</t>
  </si>
  <si>
    <t>ROUPAS DEA</t>
  </si>
  <si>
    <t>RELIGACAO ENERGIA</t>
  </si>
  <si>
    <t>ABATIMENTO DO PAGAMENTO DE NETE(1000 DE ACERTO DOS 5000 QUE ELA PEGOU COM DÉA</t>
  </si>
  <si>
    <t>FARMACIA (POMADA MEU PAI)</t>
  </si>
  <si>
    <t>LANCHE VIAGEM, AVOADOR</t>
  </si>
  <si>
    <t>HIGIENIZACAO OUTLANDER</t>
  </si>
  <si>
    <t>LANCHE RODOV. RIO</t>
  </si>
  <si>
    <t>AGUA MINERAL HOTEL</t>
  </si>
  <si>
    <t>DINHEIRO PARA WALBER</t>
  </si>
  <si>
    <t>DATA AQUISIÇÃO</t>
  </si>
  <si>
    <t>ÁREA</t>
  </si>
  <si>
    <t>TERRENO HENRIQUE</t>
  </si>
  <si>
    <t>02 TAREFAS</t>
  </si>
  <si>
    <t>pago</t>
  </si>
  <si>
    <t>TERRENO PAULA</t>
  </si>
  <si>
    <t>19/10/2022</t>
  </si>
  <si>
    <t>10 x 20 (m)  = 200 m2</t>
  </si>
  <si>
    <t>TERRENO ALBA</t>
  </si>
  <si>
    <t>19/04/2023</t>
  </si>
  <si>
    <t>10 x 20 (m) = 200 m2</t>
  </si>
  <si>
    <t>TERRENO LIVERPOOL</t>
  </si>
  <si>
    <t>14,30 x 25 (m) = 357,50 m2</t>
  </si>
  <si>
    <t>pagando</t>
  </si>
  <si>
    <t>RECEBI EM MAIO 2024</t>
  </si>
  <si>
    <t>CUSTO TOTAL</t>
  </si>
  <si>
    <t>PAGAMENTOS</t>
  </si>
  <si>
    <t>SALDO DEVEDOR</t>
  </si>
  <si>
    <t>SALDO RECEITAS</t>
  </si>
  <si>
    <t>LIVRE PARA ALOCAR</t>
  </si>
  <si>
    <t>Gasto total com a obra</t>
  </si>
  <si>
    <t>MATERIAIS</t>
  </si>
  <si>
    <t>MÃO DE OBRA E EQPMTOS</t>
  </si>
  <si>
    <t>QUARTO DE JÚLIA</t>
  </si>
  <si>
    <t>Valor unitário</t>
  </si>
  <si>
    <t>Quantidade</t>
  </si>
  <si>
    <t>Total</t>
  </si>
  <si>
    <t>Valor final</t>
  </si>
  <si>
    <t>Entrada</t>
  </si>
  <si>
    <t>IRPF</t>
  </si>
  <si>
    <t>Pedras área de ventilação (m2)</t>
  </si>
  <si>
    <t>Após 30 dias</t>
  </si>
  <si>
    <t>Parcela intermediária</t>
  </si>
  <si>
    <t>Revestimento externo (m2)</t>
  </si>
  <si>
    <t>Após 60 dias</t>
  </si>
  <si>
    <t>Parcela final</t>
  </si>
  <si>
    <t>PETROS</t>
  </si>
  <si>
    <t>Argamassa AC3</t>
  </si>
  <si>
    <t>Material ligação ar condicionado</t>
  </si>
  <si>
    <t>Rejunte quartzolit (pct 5kg)</t>
  </si>
  <si>
    <t>FGTS</t>
  </si>
  <si>
    <t>MÃO DE OBRA SALA E CORREDOR</t>
  </si>
  <si>
    <t>Massa corrida coral (25 kg)</t>
  </si>
  <si>
    <t>Tinta parede branco gatinho (galão)</t>
  </si>
  <si>
    <t>Tinta teto branco (galão)</t>
  </si>
  <si>
    <t>CAMAS (01 QUEEN e 01 CASAL)</t>
  </si>
  <si>
    <t>AR CONDICIONADO JU</t>
  </si>
  <si>
    <t>Complementos pedras área ventilação + impermeabilizante</t>
  </si>
  <si>
    <t>Tinta parede complemento</t>
  </si>
  <si>
    <t>Complemento mateirais de pintura</t>
  </si>
  <si>
    <t>Espelhos sala e banheiro</t>
  </si>
  <si>
    <t>INSTALAÇÃO DO AR</t>
  </si>
  <si>
    <t>PAGO</t>
  </si>
  <si>
    <t>SALDO RESTANTE</t>
  </si>
  <si>
    <t>Na entrega</t>
  </si>
  <si>
    <t>CARRO DEA</t>
  </si>
  <si>
    <t>Janela Ju, instalação basculantes, cantoneira, conserto box Ju</t>
  </si>
  <si>
    <t>2ª Parcela</t>
  </si>
  <si>
    <t>Porta de vidro da sala</t>
  </si>
  <si>
    <t>Tomadas, tampas, luminária (Elétrica Aracaju)</t>
  </si>
  <si>
    <t>Compras Déa e Ju (quarto)</t>
  </si>
  <si>
    <t>Nilsinho</t>
  </si>
  <si>
    <t>INSTALAÇÃO TOMADAS, LUMINÁRIAS, ETC.</t>
  </si>
  <si>
    <t>CASA DA ELETRICIDADE (luminárias)</t>
  </si>
  <si>
    <t>NÃO CONTABILIZADOS</t>
  </si>
  <si>
    <t>id</t>
  </si>
  <si>
    <t>data</t>
  </si>
  <si>
    <t>tipo</t>
  </si>
  <si>
    <t>descricao</t>
  </si>
  <si>
    <t>categoria</t>
  </si>
  <si>
    <t>valor</t>
  </si>
  <si>
    <t>atribuicao</t>
  </si>
  <si>
    <t>metodo</t>
  </si>
  <si>
    <t>parcela_total</t>
  </si>
  <si>
    <t>parcela_numero</t>
  </si>
  <si>
    <t>observacao</t>
  </si>
  <si>
    <t>created_at</t>
  </si>
  <si>
    <t>updated_at</t>
  </si>
  <si>
    <t>quem_pagou</t>
  </si>
  <si>
    <t>1ddbfdb3-9cd5-4f3d-873b-a199e331c8af</t>
  </si>
  <si>
    <t>2020-07-01</t>
  </si>
  <si>
    <t>receita</t>
  </si>
  <si>
    <t>5710.59</t>
  </si>
  <si>
    <t>outro</t>
  </si>
  <si>
    <t/>
  </si>
  <si>
    <t>Importado da planilha legada (linha 11) [LEGADO:SKIPPED]</t>
  </si>
  <si>
    <t>2026-02-06T23:16:51.878Z</t>
  </si>
  <si>
    <t>5b28f262-188e-4903-b83d-1adc255891a8</t>
  </si>
  <si>
    <t>702.21</t>
  </si>
  <si>
    <t>Importado da planilha legada (linha 12) [LEGADO:SKIPPED]</t>
  </si>
  <si>
    <t>cd4d4a75-4f81-4cca-8b86-d656b24049c4</t>
  </si>
  <si>
    <t>17400.45</t>
  </si>
  <si>
    <t>Importado da planilha legada (linha 15) [LEGADO:SKIPPED]</t>
  </si>
  <si>
    <t>744aec79-fb4a-4405-b422-9f39ce2c3a9f</t>
  </si>
  <si>
    <t>despesa</t>
  </si>
  <si>
    <t>199.52</t>
  </si>
  <si>
    <t>Importado da planilha legada (linha 33) [LEGADO:OK]</t>
  </si>
  <si>
    <t>2026-02-06T23:16:55.592Z</t>
  </si>
  <si>
    <t>ab84c5d7-8b2a-42a2-ac10-4e737e1761f4</t>
  </si>
  <si>
    <t>853.29</t>
  </si>
  <si>
    <t>Importado da planilha legada (linha 34) [LEGADO:OK]</t>
  </si>
  <si>
    <t>8c676612-a03f-4a3d-86d6-00f7386e2800</t>
  </si>
  <si>
    <t>53.08</t>
  </si>
  <si>
    <t>Importado da planilha legada (linha 35) [LEGADO:OK]</t>
  </si>
  <si>
    <t>30b40b9a-437f-479a-a8d7-12bb93ffb9bb</t>
  </si>
  <si>
    <t>90.96</t>
  </si>
  <si>
    <t>Importado da planilha legada (linha 36) [LEGADO:OK]</t>
  </si>
  <si>
    <t>9496fe20-768b-42e9-8b44-170a140c7b3e</t>
  </si>
  <si>
    <t>73.43</t>
  </si>
  <si>
    <t>Importado da planilha legada (linha 37) [LEGADO:OK]</t>
  </si>
  <si>
    <t>abdd8f59-d9b2-43e9-bed0-fe817ee43efd</t>
  </si>
  <si>
    <t>3</t>
  </si>
  <si>
    <t>Importado da planilha legada (linha 38) [LEGADO:OK]</t>
  </si>
  <si>
    <t>7587f267-21c0-42b0-9126-fe6437686f65</t>
  </si>
  <si>
    <t>30</t>
  </si>
  <si>
    <t>Importado da planilha legada (linha 107) [LEGADO:SKIPPED]</t>
  </si>
  <si>
    <t>df6ab6ef-6404-4444-a7af-f8588d680e6b</t>
  </si>
  <si>
    <t>2020-07-02</t>
  </si>
  <si>
    <t>135</t>
  </si>
  <si>
    <t>Importado da planilha legada (linha 39) [LEGADO:OK]</t>
  </si>
  <si>
    <t>59a51f98-2e39-40af-a2fa-e221b67d6851</t>
  </si>
  <si>
    <t>2020-07-03</t>
  </si>
  <si>
    <t>24</t>
  </si>
  <si>
    <t>Importado da planilha legada (linha 40) [LEGADO:OK]</t>
  </si>
  <si>
    <t>3f860df2-20de-4bf0-85f9-488db8af8917</t>
  </si>
  <si>
    <t>53</t>
  </si>
  <si>
    <t>Importado da planilha legada (linha 41) [LEGADO:OK]</t>
  </si>
  <si>
    <t>95c84431-5086-44bf-8847-dbf1857bff6c</t>
  </si>
  <si>
    <t>53.24</t>
  </si>
  <si>
    <t>Importado da planilha legada (linha 42) [LEGADO:OK]</t>
  </si>
  <si>
    <t>6d07c298-8cbe-4ae6-825b-2ec7877a4c7e</t>
  </si>
  <si>
    <t>173.7</t>
  </si>
  <si>
    <t>Importado da planilha legada (linha 43) [LEGADO:OK]</t>
  </si>
  <si>
    <t>62634f78-c0c0-43a0-bed6-f922dda802e1</t>
  </si>
  <si>
    <t>2020-07-05</t>
  </si>
  <si>
    <t>226.4</t>
  </si>
  <si>
    <t>Importado da planilha legada (linha 18) [LEGADO:OK]</t>
  </si>
  <si>
    <t>0b80e65b-b2ca-47b8-a038-1d5752b9af0a</t>
  </si>
  <si>
    <t>63</t>
  </si>
  <si>
    <t>Importado da planilha legada (linha 44) [LEGADO:OK]</t>
  </si>
  <si>
    <t>77ea3431-065c-481a-a05d-b283027bc09f</t>
  </si>
  <si>
    <t>2020-07-07</t>
  </si>
  <si>
    <t>17</t>
  </si>
  <si>
    <t>Importado da planilha legada (linha 45) [LEGADO:OK]</t>
  </si>
  <si>
    <t>8fe4e51b-558d-4858-bab6-3c211d840314</t>
  </si>
  <si>
    <t>Importado da planilha legada (linha 46) [LEGADO:OK]</t>
  </si>
  <si>
    <t>1f2791f8-52d8-4318-9c78-906d2e26c84e</t>
  </si>
  <si>
    <t>2020-07-08</t>
  </si>
  <si>
    <t>146.72</t>
  </si>
  <si>
    <t>Importado da planilha legada (linha 19) [LEGADO:OK]</t>
  </si>
  <si>
    <t>60b1bfb7-5e7f-447c-9921-bf4ae81749ca</t>
  </si>
  <si>
    <t>36</t>
  </si>
  <si>
    <t>Importado da planilha legada (linha 47) [LEGADO:OK]</t>
  </si>
  <si>
    <t>bc0eaafe-e116-420a-8c71-5d79691a8c9f</t>
  </si>
  <si>
    <t>17.5</t>
  </si>
  <si>
    <t>Importado da planilha legada (linha 48) [LEGADO:OK]</t>
  </si>
  <si>
    <t>7fe7a730-a0fc-48c3-87ad-85c8a399c1bb</t>
  </si>
  <si>
    <t>15</t>
  </si>
  <si>
    <t>Importado da planilha legada (linha 49) [LEGADO:OK]</t>
  </si>
  <si>
    <t>dea53f15-731b-4a2e-8214-fb666be9c6c3</t>
  </si>
  <si>
    <t>Importado da planilha legada (linha 50) [LEGADO:OK]</t>
  </si>
  <si>
    <t>a4d6c11b-3a80-4742-bb33-17834a88d0d6</t>
  </si>
  <si>
    <t>2020-07-09</t>
  </si>
  <si>
    <t>1</t>
  </si>
  <si>
    <t>Importado da planilha legada (linha 51) [LEGADO:OK]</t>
  </si>
  <si>
    <t>f0bf6849-9e55-4fee-8541-900ac3893798</t>
  </si>
  <si>
    <t>8.6</t>
  </si>
  <si>
    <t>Importado da planilha legada (linha 52) [LEGADO:OK]</t>
  </si>
  <si>
    <t>4177026a-9eba-4a3a-ac02-3dbf7432d403</t>
  </si>
  <si>
    <t>2.25</t>
  </si>
  <si>
    <t>Importado da planilha legada (linha 53) [LEGADO:OK]</t>
  </si>
  <si>
    <t>714f233f-7cb2-4afc-8908-a81947962d61</t>
  </si>
  <si>
    <t>22</t>
  </si>
  <si>
    <t>Importado da planilha legada (linha 54) [LEGADO:OK]</t>
  </si>
  <si>
    <t>66369722-100b-4926-948e-f26bfae3d12e</t>
  </si>
  <si>
    <t>2020-07-10</t>
  </si>
  <si>
    <t>10987.65</t>
  </si>
  <si>
    <t>Importado da planilha legada (linha 13) [LEGADO:OK]</t>
  </si>
  <si>
    <t>fbae4d37-f901-41a9-9a47-8b5e54f59ca1</t>
  </si>
  <si>
    <t>760.35</t>
  </si>
  <si>
    <t>Importado da planilha legada (linha 20) [LEGADO:OK]</t>
  </si>
  <si>
    <t>9b14d80e-5d6d-4995-8f5e-b83e41891fdf</t>
  </si>
  <si>
    <t>959.77</t>
  </si>
  <si>
    <t>Importado da planilha legada (linha 21) [LEGADO:OK]</t>
  </si>
  <si>
    <t>eb078e63-1c48-4172-ab7a-32d2c836a953</t>
  </si>
  <si>
    <t>Importado da planilha legada (linha 22) [LEGADO:OK]</t>
  </si>
  <si>
    <t>e8648722-5c27-4db6-9376-e2cab62e2dde</t>
  </si>
  <si>
    <t>222.22</t>
  </si>
  <si>
    <t>Importado da planilha legada (linha 23) [LEGADO:OK]</t>
  </si>
  <si>
    <t>685b7da0-2e9e-40cb-9a00-88d67bc0adcf</t>
  </si>
  <si>
    <t>451.34</t>
  </si>
  <si>
    <t>Importado da planilha legada (linha 24) [LEGADO:OK]</t>
  </si>
  <si>
    <t>ea36f296-fe87-4fd9-a1ac-70b937efcbe2</t>
  </si>
  <si>
    <t>79.9</t>
  </si>
  <si>
    <t>Importado da planilha legada (linha 25) [LEGADO:OK]</t>
  </si>
  <si>
    <t>2855a8ce-71bb-48d3-8d4c-aa6129dddb85</t>
  </si>
  <si>
    <t>50</t>
  </si>
  <si>
    <t>Importado da planilha legada (linha 27) [LEGADO:OK]</t>
  </si>
  <si>
    <t>1388d2d6-c597-4167-a115-3bc29e24b999</t>
  </si>
  <si>
    <t>2020-07-11</t>
  </si>
  <si>
    <t>107</t>
  </si>
  <si>
    <t>Importado da planilha legada (linha 55) [LEGADO:OK]</t>
  </si>
  <si>
    <t>34c2a244-11ec-48c1-ae5f-f31b3bc810a8</t>
  </si>
  <si>
    <t>-100</t>
  </si>
  <si>
    <t>Importado da planilha legada (linha 56) [LEGADO:OK]</t>
  </si>
  <si>
    <t>717ffb86-eb09-46f3-8ef5-24c26609a4b6</t>
  </si>
  <si>
    <t>18</t>
  </si>
  <si>
    <t>Importado da planilha legada (linha 57) [LEGADO:OK]</t>
  </si>
  <si>
    <t>55454a1f-0f04-447b-928b-19aaa2248a7b</t>
  </si>
  <si>
    <t>21</t>
  </si>
  <si>
    <t>Importado da planilha legada (linha 58) [LEGADO:OK]</t>
  </si>
  <si>
    <t>207eb8e1-cbaa-4ba7-9daf-f75ba721dbcd</t>
  </si>
  <si>
    <t>Importado da planilha legada (linha 59) [LEGADO:OK]</t>
  </si>
  <si>
    <t>b8bc4f08-ac0e-47fc-a041-2e0bdcda4775</t>
  </si>
  <si>
    <t>364</t>
  </si>
  <si>
    <t>Importado da planilha legada (linha 60) [LEGADO:OK]</t>
  </si>
  <si>
    <t>72f5690f-26f0-49c1-9444-04a70f1dbe76</t>
  </si>
  <si>
    <t>1388.01</t>
  </si>
  <si>
    <t>Importado da planilha legada (linha 61) [LEGADO:OK]</t>
  </si>
  <si>
    <t>62cbe9d6-96ac-40e7-8d8c-9197c0450332</t>
  </si>
  <si>
    <t>463.56</t>
  </si>
  <si>
    <t>Importado da planilha legada (linha 62) [LEGADO:OK]</t>
  </si>
  <si>
    <t>72d6cb8f-687a-4004-be32-68c51059d533</t>
  </si>
  <si>
    <t>634.75</t>
  </si>
  <si>
    <t>Importado da planilha legada (linha 63) [LEGADO:OK]</t>
  </si>
  <si>
    <t>176bfd80-1e42-43c2-89a4-520956060950</t>
  </si>
  <si>
    <t>2020-07-12</t>
  </si>
  <si>
    <t>6</t>
  </si>
  <si>
    <t>Importado da planilha legada (linha 64) [LEGADO:OK]</t>
  </si>
  <si>
    <t>789f54aa-093e-4dba-a278-601dcb4c675a</t>
  </si>
  <si>
    <t>112.95</t>
  </si>
  <si>
    <t>Importado da planilha legada (linha 65) [LEGADO:OK]</t>
  </si>
  <si>
    <t>77a8aa65-2b91-40ec-8c46-0b7d08cdef68</t>
  </si>
  <si>
    <t>2020-07-13</t>
  </si>
  <si>
    <t>10</t>
  </si>
  <si>
    <t>Importado da planilha legada (linha 66) [LEGADO:OK]</t>
  </si>
  <si>
    <t>79fa1caa-e5ca-434b-a1f3-a7c8f0b46f9d</t>
  </si>
  <si>
    <t>2020-07-14</t>
  </si>
  <si>
    <t>100</t>
  </si>
  <si>
    <t>Importado da planilha legada (linha 28) [LEGADO:OK]</t>
  </si>
  <si>
    <t>357814a4-b178-47ba-a2a1-1c85fa3b0b70</t>
  </si>
  <si>
    <t>95</t>
  </si>
  <si>
    <t>Importado da planilha legada (linha 67) [LEGADO:OK]</t>
  </si>
  <si>
    <t>6a6bf81c-2b53-4cf6-8c49-69f5f745e790</t>
  </si>
  <si>
    <t>20</t>
  </si>
  <si>
    <t>Importado da planilha legada (linha 68) [LEGADO:OK]</t>
  </si>
  <si>
    <t>f447497a-b046-4854-a12f-9c20e9502de2</t>
  </si>
  <si>
    <t>2020-07-15</t>
  </si>
  <si>
    <t>Importado da planilha legada (linha 69) [LEGADO:OK]</t>
  </si>
  <si>
    <t>792b960a-aed3-4dcb-9d3c-f38e182178e3</t>
  </si>
  <si>
    <t>48</t>
  </si>
  <si>
    <t>Importado da planilha legada (linha 70) [LEGADO:OK]</t>
  </si>
  <si>
    <t>1b474d51-ed5c-4797-b9c0-28ffb8a4e4d5</t>
  </si>
  <si>
    <t>12.5</t>
  </si>
  <si>
    <t>Importado da planilha legada (linha 71) [LEGADO:OK]</t>
  </si>
  <si>
    <t>9b9fd9de-b3bd-4a81-96e8-fa571df2a733</t>
  </si>
  <si>
    <t>2020-07-17</t>
  </si>
  <si>
    <t>69</t>
  </si>
  <si>
    <t>Importado da planilha legada (linha 72) [LEGADO:OK]</t>
  </si>
  <si>
    <t>e5800efa-1525-4f2b-8758-b2195964f355</t>
  </si>
  <si>
    <t>25</t>
  </si>
  <si>
    <t>Importado da planilha legada (linha 73) [LEGADO:OK]</t>
  </si>
  <si>
    <t>fb77e673-9851-4714-8855-128f92b93183</t>
  </si>
  <si>
    <t>35.5</t>
  </si>
  <si>
    <t>Importado da planilha legada (linha 74) [LEGADO:OK]</t>
  </si>
  <si>
    <t>7e32cc11-5517-410e-b69b-d635c4a3e444</t>
  </si>
  <si>
    <t>28.75</t>
  </si>
  <si>
    <t>Importado da planilha legada (linha 75) [LEGADO:OK]</t>
  </si>
  <si>
    <t>c4587b20-4aa0-4462-85ba-d27b1d631b3c</t>
  </si>
  <si>
    <t>104.26</t>
  </si>
  <si>
    <t>Importado da planilha legada (linha 76) [LEGADO:OK]</t>
  </si>
  <si>
    <t>c2e97242-8d71-4ec1-9c02-8df2f7f48009</t>
  </si>
  <si>
    <t>2020-07-20</t>
  </si>
  <si>
    <t>Importado da planilha legada (linha 77) [LEGADO:OK]</t>
  </si>
  <si>
    <t>4e2db04f-53c2-4623-9cae-b041293cd4c8</t>
  </si>
  <si>
    <t>63.37</t>
  </si>
  <si>
    <t>Importado da planilha legada (linha 78) [LEGADO:OK]</t>
  </si>
  <si>
    <t>fafa1e25-9352-41c7-a01b-b36d56b3bd19</t>
  </si>
  <si>
    <t>2020-07-21</t>
  </si>
  <si>
    <t>Importado da planilha legada (linha 79) [LEGADO:OK]</t>
  </si>
  <si>
    <t>25b65a16-ddc2-4b1d-9644-8a5d595f8705</t>
  </si>
  <si>
    <t>9</t>
  </si>
  <si>
    <t>Importado da planilha legada (linha 80) [LEGADO:OK]</t>
  </si>
  <si>
    <t>1326d971-25cb-474c-8c52-7afc8e2e238e</t>
  </si>
  <si>
    <t>20.08</t>
  </si>
  <si>
    <t>Importado da planilha legada (linha 81) [LEGADO:OK]</t>
  </si>
  <si>
    <t>8c4c39c1-4119-4923-a8cb-2b94bce22a35</t>
  </si>
  <si>
    <t>70</t>
  </si>
  <si>
    <t>Importado da planilha legada (linha 82) [LEGADO:OK]</t>
  </si>
  <si>
    <t>0726f975-a4e6-435b-b942-cbda0c05420e</t>
  </si>
  <si>
    <t>2020-07-22</t>
  </si>
  <si>
    <t>Importado da planilha legada (linha 83) [LEGADO:OK]</t>
  </si>
  <si>
    <t>2050c32d-0587-47bc-9a41-b5673dbc4269</t>
  </si>
  <si>
    <t>28.45</t>
  </si>
  <si>
    <t>Importado da planilha legada (linha 84) [LEGADO:OK]</t>
  </si>
  <si>
    <t>7c28d60c-0da8-4404-a289-4b55d7257154</t>
  </si>
  <si>
    <t>55</t>
  </si>
  <si>
    <t>Importado da planilha legada (linha 85) [LEGADO:OK]</t>
  </si>
  <si>
    <t>05e7f2d8-0b5a-414b-9846-0a392075d88d</t>
  </si>
  <si>
    <t>130</t>
  </si>
  <si>
    <t>Importado da planilha legada (linha 86) [LEGADO:OK]</t>
  </si>
  <si>
    <t>e5b65f02-3740-4914-9597-377befef63bd</t>
  </si>
  <si>
    <t>8</t>
  </si>
  <si>
    <t>Importado da planilha legada (linha 87) [LEGADO:OK]</t>
  </si>
  <si>
    <t>86391781-7587-41b9-b812-b0d5adeeb69a</t>
  </si>
  <si>
    <t>2020-07-23</t>
  </si>
  <si>
    <t>Importado da planilha legada (linha 88) [LEGADO:OK]</t>
  </si>
  <si>
    <t>c8ffc107-9bd0-496f-9e4f-993f4a30c7a6</t>
  </si>
  <si>
    <t>2020-07-24</t>
  </si>
  <si>
    <t>Importado da planilha legada (linha 89) [LEGADO:OK]</t>
  </si>
  <si>
    <t>074ed6a3-def4-4bf1-b09d-ede3873a9a79</t>
  </si>
  <si>
    <t>29.9</t>
  </si>
  <si>
    <t>Importado da planilha legada (linha 90) [LEGADO:OK]</t>
  </si>
  <si>
    <t>54b35050-0ee2-47d5-a21d-841c67c7e9fb</t>
  </si>
  <si>
    <t>111.95</t>
  </si>
  <si>
    <t>Importado da planilha legada (linha 91) [LEGADO:OK]</t>
  </si>
  <si>
    <t>a32f2c14-5162-410f-a15b-01f4efb516d5</t>
  </si>
  <si>
    <t>2020-07-25</t>
  </si>
  <si>
    <t>108.25</t>
  </si>
  <si>
    <t>Importado da planilha legada (linha 29) [LEGADO:OK]</t>
  </si>
  <si>
    <t>ce12a701-42c5-4c1a-8504-463ab978d1d5</t>
  </si>
  <si>
    <t>2020-07-27</t>
  </si>
  <si>
    <t>Importado da planilha legada (linha 92) [LEGADO:OK]</t>
  </si>
  <si>
    <t>053cf03e-c1e5-48e1-b14c-f9bf799b1028</t>
  </si>
  <si>
    <t>2020-07-28</t>
  </si>
  <si>
    <t>Importado da planilha legada (linha 93) [LEGADO:OK]</t>
  </si>
  <si>
    <t>6f907cac-e25e-4d8f-9b11-994b2dbe8722</t>
  </si>
  <si>
    <t>300</t>
  </si>
  <si>
    <t>Importado da planilha legada (linha 94) [LEGADO:OK]</t>
  </si>
  <si>
    <t>8eb43311-7170-4e1f-bc2d-656115e23e64</t>
  </si>
  <si>
    <t>800</t>
  </si>
  <si>
    <t>Importado da planilha legada (linha 95) [LEGADO:OK]</t>
  </si>
  <si>
    <t>dca25bde-280f-46bd-8592-ea34f476acab</t>
  </si>
  <si>
    <t>2020-07-29</t>
  </si>
  <si>
    <t>Importado da planilha legada (linha 96) [LEGADO:OK]</t>
  </si>
  <si>
    <t>035db7a3-d356-4c66-9e43-3ce6424a2888</t>
  </si>
  <si>
    <t>106</t>
  </si>
  <si>
    <t>Importado da planilha legada (linha 97) [LEGADO:OK]</t>
  </si>
  <si>
    <t>34063a3d-29db-4c21-90fa-c1f9d42423a7</t>
  </si>
  <si>
    <t>80.25</t>
  </si>
  <si>
    <t>Importado da planilha legada (linha 98) [LEGADO:OK]</t>
  </si>
  <si>
    <t>6998ae9e-7f19-4a1e-957b-17f667ffd465</t>
  </si>
  <si>
    <t>Importado da planilha legada (linha 99) [LEGADO:OK]</t>
  </si>
  <si>
    <t>e4f35082-d72a-4082-809e-f99a3f45a7ee</t>
  </si>
  <si>
    <t>2000</t>
  </si>
  <si>
    <t>Importado da planilha legada (linha 100) [LEGADO:OK]</t>
  </si>
  <si>
    <t>111f8844-e6d5-4e9c-906d-2dc62d55ded4</t>
  </si>
  <si>
    <t>2020-07-30</t>
  </si>
  <si>
    <t>1045</t>
  </si>
  <si>
    <t>Importado da planilha legada (linha 30) [LEGADO:OK]</t>
  </si>
  <si>
    <t>f13c36ee-5d5f-4587-850e-708bd9931871</t>
  </si>
  <si>
    <t>1623.56</t>
  </si>
  <si>
    <t>Importado da planilha legada (linha 32) [LEGADO:OK]</t>
  </si>
  <si>
    <t>5bd0df6b-0397-4ed5-b91c-ecdbaa7ce386</t>
  </si>
  <si>
    <t>16</t>
  </si>
  <si>
    <t>Importado da planilha legada (linha 101) [LEGADO:OK]</t>
  </si>
  <si>
    <t>ffc8e6bf-b222-42ee-85ae-c46fd6bd61ed</t>
  </si>
  <si>
    <t>2</t>
  </si>
  <si>
    <t>Importado da planilha legada (linha 102) [LEGADO:OK]</t>
  </si>
  <si>
    <t>2f7c1dd6-0842-4247-aa32-b45210acefff</t>
  </si>
  <si>
    <t>11</t>
  </si>
  <si>
    <t>Importado da planilha legada (linha 103) [LEGADO:OK]</t>
  </si>
  <si>
    <t>ed27b8f4-0c76-4d80-8a42-ed04fc5b19bf</t>
  </si>
  <si>
    <t>2020-07-31</t>
  </si>
  <si>
    <t>Importado da planilha legada (linha 104) [LEGADO:OK]</t>
  </si>
  <si>
    <t>c74cbef4-f28b-4735-a1ba-8c6d028ccf79</t>
  </si>
  <si>
    <t>Importado da planilha legada (linha 105) [LEGADO:OK]</t>
  </si>
  <si>
    <t>797a3a48-58b0-4ead-ad12-7a1aaf175231</t>
  </si>
  <si>
    <t>Importado da planilha legada (linha 106) [LEGADO:OK]</t>
  </si>
  <si>
    <t>4f814f1d-607d-4018-ae70-1e6fb51de52f</t>
  </si>
  <si>
    <t>2020-08-01</t>
  </si>
  <si>
    <t>15039.23</t>
  </si>
  <si>
    <t>2026-02-06T23:16:51.879Z</t>
  </si>
  <si>
    <t>b12d0c82-b716-4532-81ce-d32400676fdf</t>
  </si>
  <si>
    <t>1659.83</t>
  </si>
  <si>
    <t>27b61928-d49b-44b7-b739-27d290fc5ad1</t>
  </si>
  <si>
    <t>24767.379999999997</t>
  </si>
  <si>
    <t>28ffddfa-7fe2-4498-b37c-622b657d79bf</t>
  </si>
  <si>
    <t>280</t>
  </si>
  <si>
    <t>09f2bc39-5e17-417e-be87-4ebf5d134236</t>
  </si>
  <si>
    <t>149.02</t>
  </si>
  <si>
    <t>7cb4bce0-cb0a-4ed9-8b7c-0629613b64ca</t>
  </si>
  <si>
    <t>2020-08-03</t>
  </si>
  <si>
    <t>14.9</t>
  </si>
  <si>
    <t>0f2bf0c2-69b1-4bc8-a4aa-91bdf10a9517</t>
  </si>
  <si>
    <t>a37d6267-3c76-48e6-8a9b-089171258f77</t>
  </si>
  <si>
    <t>2020-08-04</t>
  </si>
  <si>
    <t>40</t>
  </si>
  <si>
    <t>39ace695-7bc6-497e-8cfa-61eae67bf2f0</t>
  </si>
  <si>
    <t>158</t>
  </si>
  <si>
    <t>9e27dbf0-018a-442d-a651-8db3c806478b</t>
  </si>
  <si>
    <t>36.5</t>
  </si>
  <si>
    <t>bc2eb6aa-5ac4-431d-a6a4-59ca8db7a587</t>
  </si>
  <si>
    <t>18455eda-423d-4261-897f-3e30d9482818</t>
  </si>
  <si>
    <t>72</t>
  </si>
  <si>
    <t>c240ed91-55f5-42f5-aa39-2935977cb28c</t>
  </si>
  <si>
    <t>2020-08-05</t>
  </si>
  <si>
    <t>2db35b82-aa1f-451a-94d4-c0ff553e33a5</t>
  </si>
  <si>
    <t>2020-08-06</t>
  </si>
  <si>
    <t>13</t>
  </si>
  <si>
    <t>a7fa39d3-a1a8-4a3f-8b1a-02ef04adc76e</t>
  </si>
  <si>
    <t>33</t>
  </si>
  <si>
    <t>3ee9a2fc-9fe8-4560-92e8-ef5a0a88d4fd</t>
  </si>
  <si>
    <t>d32f7cbf-11b0-4353-aacc-edd2ac6b67d5</t>
  </si>
  <si>
    <t>2020-08-07</t>
  </si>
  <si>
    <t>3100</t>
  </si>
  <si>
    <t>Importado da planilha legada (linha 14) [LEGADO:OK]</t>
  </si>
  <si>
    <t>37287b5a-2de0-44e2-8289-32b1a5dfda4f</t>
  </si>
  <si>
    <t>42</t>
  </si>
  <si>
    <t>37236892-bf01-41ba-bff9-629d95821ba0</t>
  </si>
  <si>
    <t>f5c6923c-c8d6-4bcd-b5cc-7b1a60c4ccf5</t>
  </si>
  <si>
    <t>2020-08-08</t>
  </si>
  <si>
    <t>162.13</t>
  </si>
  <si>
    <t>e8ce6cd7-313c-4f3e-82db-c44e009324d8</t>
  </si>
  <si>
    <t>f6b986da-983f-4854-ba98-09e2ebaa9435</t>
  </si>
  <si>
    <t>2020-08-10</t>
  </si>
  <si>
    <t>4968.32</t>
  </si>
  <si>
    <t>Importado da planilha legada (linha 12) [LEGADO:OK]</t>
  </si>
  <si>
    <t>dbc65628-87e2-486f-aa3c-d7077924e7bd</t>
  </si>
  <si>
    <t>058de1c5-b459-4483-b947-4722c3e32cad</t>
  </si>
  <si>
    <t>7b230998-b59c-4b39-8fbe-5c0307964ca4</t>
  </si>
  <si>
    <t>0ad6fefb-25e7-44c7-bbb7-2183380cc0aa</t>
  </si>
  <si>
    <t>1e19811f-2247-48a6-85e9-77c5b527edec</t>
  </si>
  <si>
    <t>378.73</t>
  </si>
  <si>
    <t>9c4cf6f9-0615-48fe-9464-1d19f184bc5d</t>
  </si>
  <si>
    <t>81.53</t>
  </si>
  <si>
    <t>d4604753-760b-49e6-b86e-cd551707ecd7</t>
  </si>
  <si>
    <t>c1a23774-6e79-4966-8055-f5caec5dcc66</t>
  </si>
  <si>
    <t>0e152341-0178-4213-bb43-b4b208d53bb9</t>
  </si>
  <si>
    <t>9c217d49-2ccd-40db-90df-def3328685d2</t>
  </si>
  <si>
    <t>c783244b-8ead-4e9a-88af-80dc511c5e7a</t>
  </si>
  <si>
    <t>4a4b45fe-d74b-460d-941b-2138eaf99c01</t>
  </si>
  <si>
    <t>450</t>
  </si>
  <si>
    <t>78746458-044a-4383-8dc0-386131f08eea</t>
  </si>
  <si>
    <t>150</t>
  </si>
  <si>
    <t>943c93f9-6b33-4b4e-9dc6-92145676f876</t>
  </si>
  <si>
    <t>a251f202-be22-44ef-8ae7-a054ec69e883</t>
  </si>
  <si>
    <t>2459.54</t>
  </si>
  <si>
    <t>e3bc6cfd-8bc0-4e00-978d-95f5d89417ab</t>
  </si>
  <si>
    <t>2109.67</t>
  </si>
  <si>
    <t>9aab58ec-f980-4a7c-9cf1-865d0cb9c175</t>
  </si>
  <si>
    <t>1573.22</t>
  </si>
  <si>
    <t>a7f3ea4f-1c4f-4670-9f6f-348caf0a5c94</t>
  </si>
  <si>
    <t>637.96</t>
  </si>
  <si>
    <t>3a548194-fced-45e9-8640-f033f46727a3</t>
  </si>
  <si>
    <t>48.9</t>
  </si>
  <si>
    <t>75fb2f3e-16e8-4fbc-adbf-dcd0c905a6a5</t>
  </si>
  <si>
    <t>2020-08-11</t>
  </si>
  <si>
    <t>d7cb79ce-bbdb-430a-ab22-b8c15cc5408b</t>
  </si>
  <si>
    <t>4</t>
  </si>
  <si>
    <t>000d62be-608f-4e63-afe4-387ba7302b6c</t>
  </si>
  <si>
    <t>2020-08-12</t>
  </si>
  <si>
    <t>67bf0960-e8ad-4038-80df-23734f4a0b43</t>
  </si>
  <si>
    <t>5</t>
  </si>
  <si>
    <t>13a4fdbd-2302-4f3e-94e0-a3252c1bf649</t>
  </si>
  <si>
    <t>250</t>
  </si>
  <si>
    <t>fe375596-e1d3-45a7-9f7d-36a92e5433fb</t>
  </si>
  <si>
    <t>500</t>
  </si>
  <si>
    <t>37a97c4d-e23d-4a06-896b-f971ded7b4b1</t>
  </si>
  <si>
    <t>2020-08-13</t>
  </si>
  <si>
    <t>a7209ad3-f5ac-4d51-ab0d-a8cb93d98b08</t>
  </si>
  <si>
    <t>4e3a6d81-a034-40f5-9489-b140fc3bce70</t>
  </si>
  <si>
    <t>3f981922-d9b9-48a7-adf6-b16fc914ec0e</t>
  </si>
  <si>
    <t>31</t>
  </si>
  <si>
    <t>eb45d8d6-3f3f-42db-8534-31a370ce2090</t>
  </si>
  <si>
    <t>2020-08-14</t>
  </si>
  <si>
    <t>1f355fd4-5ab4-41cb-a43d-da4132b92e20</t>
  </si>
  <si>
    <t>35</t>
  </si>
  <si>
    <t>75735f88-997e-4936-ba36-800242f6614a</t>
  </si>
  <si>
    <t>810a54a1-41de-4634-9765-8de314692396</t>
  </si>
  <si>
    <t>118</t>
  </si>
  <si>
    <t>0a03ffa8-0241-40e3-9b1e-5b2c714d3d7a</t>
  </si>
  <si>
    <t>14</t>
  </si>
  <si>
    <t>13b66880-d5b9-449e-9980-e40130976472</t>
  </si>
  <si>
    <t>7.8</t>
  </si>
  <si>
    <t>63e154e3-b9c0-4e78-804b-bc0ffcf1d3b9</t>
  </si>
  <si>
    <t>7a7ce529-25a0-478f-bf70-830f86af453b</t>
  </si>
  <si>
    <t>45</t>
  </si>
  <si>
    <t>c843318a-2914-4b63-ba88-65f77aa43658</t>
  </si>
  <si>
    <t>2020-08-15</t>
  </si>
  <si>
    <t>68d756d1-6c72-4aa5-8cbf-743b13e08b5a</t>
  </si>
  <si>
    <t>117.08</t>
  </si>
  <si>
    <t>bd7eb6ca-8d18-4d48-b08c-44b609645172</t>
  </si>
  <si>
    <t>2020-08-17</t>
  </si>
  <si>
    <t>3e2e6ef2-005c-4c3c-87b0-d2a73284d86b</t>
  </si>
  <si>
    <t>2020-08-18</t>
  </si>
  <si>
    <t>f523745c-7292-499b-85a2-26b02b2fc790</t>
  </si>
  <si>
    <t>2020-08-19</t>
  </si>
  <si>
    <t>a497ca54-97a5-451d-b7d1-9c8b7223db7d</t>
  </si>
  <si>
    <t>11.99</t>
  </si>
  <si>
    <t>d826f0ba-1017-4456-a4cf-92c5c54da822</t>
  </si>
  <si>
    <t>26.78</t>
  </si>
  <si>
    <t>e1535bed-b60d-4b7a-89d5-75be000779a3</t>
  </si>
  <si>
    <t>b8e004df-7c7b-4d54-ac2a-c498f7051b25</t>
  </si>
  <si>
    <t>19.8</t>
  </si>
  <si>
    <t>c582bdcf-702b-4388-9bc9-cc9e6ea259d6</t>
  </si>
  <si>
    <t>3000</t>
  </si>
  <si>
    <t>d9fb90ce-7257-4f42-96d0-96f27568b016</t>
  </si>
  <si>
    <t>607e9e4f-6fac-4b5c-84ad-0ecc5fb63ffa</t>
  </si>
  <si>
    <t>2020-08-20</t>
  </si>
  <si>
    <t>71ada844-c4c4-4c3b-be56-71225ee30720</t>
  </si>
  <si>
    <t>a61ce9a9-90d7-4cfd-8546-353fa0430b82</t>
  </si>
  <si>
    <t>2020-08-21</t>
  </si>
  <si>
    <t>e591fdc3-6701-4df7-a784-8e1c825f28b0</t>
  </si>
  <si>
    <t>a46ff687-5b39-408e-be04-63a07f443cb6</t>
  </si>
  <si>
    <t>1dfc5974-1db8-4c2e-b176-cefe13de1359</t>
  </si>
  <si>
    <t>37412cf6-cc05-4cc5-80a3-be124a8183e2</t>
  </si>
  <si>
    <t>54</t>
  </si>
  <si>
    <t>c7c4ea23-a53f-4007-b2a0-a9ea3048e616</t>
  </si>
  <si>
    <t>2020-08-24</t>
  </si>
  <si>
    <t>19</t>
  </si>
  <si>
    <t>e9102f81-7a03-4109-a00b-d2984b004fa0</t>
  </si>
  <si>
    <t>e7d60be4-e078-4fa7-ad29-4ad9f7e5367b</t>
  </si>
  <si>
    <t>12</t>
  </si>
  <si>
    <t>df98d251-8246-4004-a7a0-eea5b52f71df</t>
  </si>
  <si>
    <t>102</t>
  </si>
  <si>
    <t>9d16578f-2cf1-4392-adf9-cb289749084f</t>
  </si>
  <si>
    <t>2020-08-25</t>
  </si>
  <si>
    <t>108</t>
  </si>
  <si>
    <t>445160cc-7891-48db-bfb9-106750ffbf51</t>
  </si>
  <si>
    <t>35.1</t>
  </si>
  <si>
    <t>1b181ba3-162b-487d-a772-1a88f574f3de</t>
  </si>
  <si>
    <t>112.03</t>
  </si>
  <si>
    <t>0ee6a16b-e59b-48ea-82f3-dc23e0985a63</t>
  </si>
  <si>
    <t>2020-08-26</t>
  </si>
  <si>
    <t>8be0b585-20fd-403d-bbfd-21467ccedbde</t>
  </si>
  <si>
    <t>100.2</t>
  </si>
  <si>
    <t>9e01d455-4cf0-4f20-9e5b-85d664086e4e</t>
  </si>
  <si>
    <t>2020-08-28</t>
  </si>
  <si>
    <t>38.95</t>
  </si>
  <si>
    <t>cf820e20-403b-4cc3-80f3-9b3c839cbd81</t>
  </si>
  <si>
    <t>196</t>
  </si>
  <si>
    <t>a29beed6-510a-45a4-a614-69700fa55013</t>
  </si>
  <si>
    <t>2020-08-30</t>
  </si>
  <si>
    <t>1104</t>
  </si>
  <si>
    <t>d5780cab-6243-4734-a672-786dcea48e22</t>
  </si>
  <si>
    <t>461ed781-0609-4a14-9bef-8d615260cf0b</t>
  </si>
  <si>
    <t>2020-08-31</t>
  </si>
  <si>
    <t>8.5</t>
  </si>
  <si>
    <t>7dd476c0-8d87-4b96-b98c-ad3da26192f9</t>
  </si>
  <si>
    <t>f489eaa3-3058-48f6-8abe-85031856bd32</t>
  </si>
  <si>
    <t>Importado da planilha legada (linha 107) [LEGADO:OK]</t>
  </si>
  <si>
    <t>33d85b22-c99c-4f17-8120-806b47e78c3b</t>
  </si>
  <si>
    <t>Importado da planilha legada (linha 108) [LEGADO:OK]</t>
  </si>
  <si>
    <t>eebf1a7e-c7d1-4701-add5-fa45ba294c7c</t>
  </si>
  <si>
    <t>14.99</t>
  </si>
  <si>
    <t>Importado da planilha legada (linha 109) [LEGADO:OK]</t>
  </si>
  <si>
    <t>26239ad3-6121-43a3-8f0a-63b3d8585b96</t>
  </si>
  <si>
    <t>-26.8</t>
  </si>
  <si>
    <t>Importado da planilha legada (linha 110) [LEGADO:OK]</t>
  </si>
  <si>
    <t>e4b51b60-e80c-412c-a9d8-724ff349cb3f</t>
  </si>
  <si>
    <t>2020-09-01</t>
  </si>
  <si>
    <t>7102.85</t>
  </si>
  <si>
    <t>8e1bc943-b8b6-4d13-a3b4-63b944d597a6</t>
  </si>
  <si>
    <t>15905.44</t>
  </si>
  <si>
    <t>2794a3cf-359c-4f10-89bf-efc2a962d576</t>
  </si>
  <si>
    <t>c5093baa-9704-4652-92d4-13f93727e47a</t>
  </si>
  <si>
    <t>9019c359-f06c-4b9e-ad6e-dccae83a66ed</t>
  </si>
  <si>
    <t>5e84b0df-552e-4ce0-bd36-6b9ea3eb5064</t>
  </si>
  <si>
    <t>eb7f4044-8a99-4a9a-8e94-6a915d26e638</t>
  </si>
  <si>
    <t>359.96</t>
  </si>
  <si>
    <t>c9777146-2a44-43ee-ad3b-29e82c746525</t>
  </si>
  <si>
    <t>60051d37-2034-4939-85ca-8e7bf55c7952</t>
  </si>
  <si>
    <t>2020-09-03</t>
  </si>
  <si>
    <t>39</t>
  </si>
  <si>
    <t>b4e3ae33-7e56-4ea7-83af-a860b0377b84</t>
  </si>
  <si>
    <t>3ae4dbc2-a8e4-497f-8ac1-33e4f601bcec</t>
  </si>
  <si>
    <t>2020-09-04</t>
  </si>
  <si>
    <t>3f018d07-5b20-465f-801f-64734adcf9e5</t>
  </si>
  <si>
    <t>62.9</t>
  </si>
  <si>
    <t>8155a98b-bb8b-4514-bca7-b4f85e5b6ff1</t>
  </si>
  <si>
    <t>2020-09-05</t>
  </si>
  <si>
    <t>9b8485d0-4c8e-453f-9a40-96498dba8f13</t>
  </si>
  <si>
    <t>2020-09-06</t>
  </si>
  <si>
    <t>f2fcfbd2-e3d3-457a-939c-7c447410482c</t>
  </si>
  <si>
    <t>5.3</t>
  </si>
  <si>
    <t>d9c2fc19-bf3b-41e4-ba13-accc6ad7b952</t>
  </si>
  <si>
    <t>2020-09-07</t>
  </si>
  <si>
    <t>ce9946e8-e194-4f6a-89e5-6410bbf80452</t>
  </si>
  <si>
    <t>2020-09-08</t>
  </si>
  <si>
    <t>144.41</t>
  </si>
  <si>
    <t>dd83650f-9bcf-4377-9a05-b45118a22d95</t>
  </si>
  <si>
    <t>65.3</t>
  </si>
  <si>
    <t>9860dd7d-5b5c-4739-b2d8-feda2d7d13bc</t>
  </si>
  <si>
    <t>60</t>
  </si>
  <si>
    <t>481cb3d7-d198-4e0c-8a58-f161e0e388f9</t>
  </si>
  <si>
    <t>76873c82-af84-4f04-ab98-8bdd6f7e839a</t>
  </si>
  <si>
    <t>5002afad-4c83-4404-b983-e8f434ec76b4</t>
  </si>
  <si>
    <t>57.3</t>
  </si>
  <si>
    <t>56fc0b68-2b08-4742-af81-ba8036567bd5</t>
  </si>
  <si>
    <t>2020-09-09</t>
  </si>
  <si>
    <t>80</t>
  </si>
  <si>
    <t>12004f12-0f61-4af0-875d-1511062817fc</t>
  </si>
  <si>
    <t>6bdce1af-732c-41f2-a2b9-44de4e34bab8</t>
  </si>
  <si>
    <t>65.48</t>
  </si>
  <si>
    <t>dfdb8e86-31de-4a71-9a4e-3aca2fab1277</t>
  </si>
  <si>
    <t>2020-09-10</t>
  </si>
  <si>
    <t>5302.59</t>
  </si>
  <si>
    <t>984db3a0-ce8f-4b83-916b-62a2b1f496aa</t>
  </si>
  <si>
    <t>0370a78f-4db6-40f1-9ef9-4e1017d42716</t>
  </si>
  <si>
    <t>690097ec-aadd-4f13-bffb-5a921b223334</t>
  </si>
  <si>
    <t>356af0ac-cca4-4366-8a3a-3eda731268bc</t>
  </si>
  <si>
    <t>e7203634-b954-4802-9b9c-4e25f935852a</t>
  </si>
  <si>
    <t>313.52</t>
  </si>
  <si>
    <t>6a7f959a-4619-493a-a84f-2038b0025c76</t>
  </si>
  <si>
    <t>cc07d0da-3579-4b33-9cdf-ec3e2e910031</t>
  </si>
  <si>
    <t>ad7cf19b-e8c8-43e8-8235-0bbfec705308</t>
  </si>
  <si>
    <t>124.5</t>
  </si>
  <si>
    <t>cfc22ecd-19e4-47d4-aab3-842d4471f533</t>
  </si>
  <si>
    <t>169.83</t>
  </si>
  <si>
    <t>4f1ce1af-942d-4431-8f3d-b56d8917bdec</t>
  </si>
  <si>
    <t>2284.64</t>
  </si>
  <si>
    <t>b9514c36-cd5a-46f6-817b-3d0240d8d072</t>
  </si>
  <si>
    <t>4432.01</t>
  </si>
  <si>
    <t>c9334033-ae6e-468e-9f1a-3c2daab08ac6</t>
  </si>
  <si>
    <t>234.6</t>
  </si>
  <si>
    <t>4bc2baf6-3595-41e6-8520-47e64c724bd4</t>
  </si>
  <si>
    <t>375.1</t>
  </si>
  <si>
    <t>7e7761f5-75a0-4763-a62d-85861b9ec24f</t>
  </si>
  <si>
    <t>2020-09-13</t>
  </si>
  <si>
    <t>3500</t>
  </si>
  <si>
    <t>47f1c14b-c65b-4fa9-849f-d45aea508e85</t>
  </si>
  <si>
    <t>a8aa37d8-5b74-46c8-90e6-13799aa3e2b7</t>
  </si>
  <si>
    <t>182.33</t>
  </si>
  <si>
    <t>107a9cea-cf29-460a-9b5d-69d9fe689c5b</t>
  </si>
  <si>
    <t>2020-09-14</t>
  </si>
  <si>
    <t>01792740-ca4d-45d3-9beb-1700ee1aa836</t>
  </si>
  <si>
    <t>081edb9e-9f7a-4eaa-93bc-1914d0f6c3c3</t>
  </si>
  <si>
    <t>30b0a11a-5fae-41ae-8967-5413d5340edd</t>
  </si>
  <si>
    <t>0406238d-f429-4983-8ffb-8c53f363878f</t>
  </si>
  <si>
    <t>28.97</t>
  </si>
  <si>
    <t>c553c9c4-7043-42e4-aca2-9e94a5573a70</t>
  </si>
  <si>
    <t>069255c6-cbc9-49f5-93cc-17c3b3ac4ae1</t>
  </si>
  <si>
    <t>c671e0c8-2063-4474-8c1f-06584eeccc79</t>
  </si>
  <si>
    <t>2020-09-15</t>
  </si>
  <si>
    <t>VISITA MAQUINA</t>
  </si>
  <si>
    <t>930496b1-1205-4fb3-8821-b3c84b1b8c65</t>
  </si>
  <si>
    <t>2020-09-17</t>
  </si>
  <si>
    <t>b62be75f-d211-4fcf-bee3-7e7a7228df18</t>
  </si>
  <si>
    <t>a9239e29-c405-4cbf-b334-f06778c4f292</t>
  </si>
  <si>
    <t>48c55cf1-5d2d-4a1e-bba4-02ed9b3d0ea4</t>
  </si>
  <si>
    <t>89f4a9de-2aca-4c83-9f6d-2d371f3d7ef3</t>
  </si>
  <si>
    <t>357.96</t>
  </si>
  <si>
    <t>a68c720e-07a3-4fc9-a550-b4fedec8f3ab</t>
  </si>
  <si>
    <t>2020-09-18</t>
  </si>
  <si>
    <t>51</t>
  </si>
  <si>
    <t>a3493bf9-9c8b-4197-8c00-32bc9fd90ebf</t>
  </si>
  <si>
    <t>1007bb4a-ff2b-453b-8332-76cfdc28b123</t>
  </si>
  <si>
    <t>34</t>
  </si>
  <si>
    <t>152ceaa0-2c40-4e4d-9635-f7f7822ca1a2</t>
  </si>
  <si>
    <t>10.99</t>
  </si>
  <si>
    <t>733319e9-5685-46a6-bfe6-558e98c2a2ed</t>
  </si>
  <si>
    <t>5302ed0a-7156-4dee-aafa-886cf488d6e1</t>
  </si>
  <si>
    <t>2020-09-19</t>
  </si>
  <si>
    <t>9e0daf20-70e9-4387-b28a-f0bd70aff186</t>
  </si>
  <si>
    <t>4.5</t>
  </si>
  <si>
    <t>2eede46b-2994-40ea-8fd7-a120c65a463d</t>
  </si>
  <si>
    <t>2020-09-21</t>
  </si>
  <si>
    <t>dad59e8e-8c9c-4d1c-9a5e-bbac82262de3</t>
  </si>
  <si>
    <t>fbeb3c62-8d16-4e67-a362-390a387f980c</t>
  </si>
  <si>
    <t>138412bb-7f0c-4f27-b4ff-25c6516218f9</t>
  </si>
  <si>
    <t>4f8551d8-fdef-432d-b6dd-044c6557be22</t>
  </si>
  <si>
    <t>c444c480-ec27-47ad-b33a-464f5f7f9a75</t>
  </si>
  <si>
    <t>2020-09-22</t>
  </si>
  <si>
    <t>dd28fbd4-2bb8-4eaa-aaa0-c7a1073f0619</t>
  </si>
  <si>
    <t>2020-09-23</t>
  </si>
  <si>
    <t>6385be31-3297-4501-a1b2-66de43075368</t>
  </si>
  <si>
    <t>09064e3f-346a-45ac-a99d-247dd1e17db3</t>
  </si>
  <si>
    <t>2020-09-24</t>
  </si>
  <si>
    <t>0d47ece1-ed5b-4510-a9bb-9074a568c1bb</t>
  </si>
  <si>
    <t>2020-09-25</t>
  </si>
  <si>
    <t>5f6281a0-2a36-464b-926c-b8b0af5be9f6</t>
  </si>
  <si>
    <t>2695fa70-3590-4956-b00f-ad701412138e</t>
  </si>
  <si>
    <t>11.37</t>
  </si>
  <si>
    <t>4d4e8487-c535-4d9e-ba44-868ea042c8c8</t>
  </si>
  <si>
    <t>dc4aabab-03f0-43ad-9ba1-83457e593238</t>
  </si>
  <si>
    <t>395a29ec-9ede-4b9c-a32d-8835086f433e</t>
  </si>
  <si>
    <t>52</t>
  </si>
  <si>
    <t>f22a5c35-4d50-434f-8e3f-7554799b14e4</t>
  </si>
  <si>
    <t>2020-09-26</t>
  </si>
  <si>
    <t>0f46913f-5851-4cdd-8223-8509ee12b68f</t>
  </si>
  <si>
    <t>a32b7518-a627-4118-ac35-e99c9cfd50f7</t>
  </si>
  <si>
    <t>2020-09-28</t>
  </si>
  <si>
    <t>a35ba00d-7364-4e60-885b-5e68eb9dd4e5</t>
  </si>
  <si>
    <t>1.8</t>
  </si>
  <si>
    <t>4854740c-cc84-424e-a09a-5409d7f7453d</t>
  </si>
  <si>
    <t>2020-09-30</t>
  </si>
  <si>
    <t>edee461b-6890-4799-976e-cea64d99fbfb</t>
  </si>
  <si>
    <t>a186b62e-9721-4de5-b34d-0d1372fe8d1e</t>
  </si>
  <si>
    <t>2020-10-01</t>
  </si>
  <si>
    <t>8463.41</t>
  </si>
  <si>
    <t>6e46c796-57e6-411a-83fa-7750509ae56b</t>
  </si>
  <si>
    <t>1217.8200000000002</t>
  </si>
  <si>
    <t>Importado da planilha legada (linha 14) [LEGADO:SKIPPED]</t>
  </si>
  <si>
    <t>8613ab2a-66b8-4627-a1de-682212bc62d3</t>
  </si>
  <si>
    <t>20327.19</t>
  </si>
  <si>
    <t>5bf81aaa-28a1-446e-961f-74a3e4a55bed</t>
  </si>
  <si>
    <t>38</t>
  </si>
  <si>
    <t>b92d52f0-25f8-4f54-adb1-19da4eb5a6b2</t>
  </si>
  <si>
    <t>990f7d47-b530-4f03-8e97-c91bb6567d67</t>
  </si>
  <si>
    <t>1f78ee66-d265-421b-ada1-e9ffc57199d4</t>
  </si>
  <si>
    <t>dc4c46a3-6fa8-41d8-961f-c5422b15927c</t>
  </si>
  <si>
    <t>46.5</t>
  </si>
  <si>
    <t>f09cbe9c-95ae-4357-bd8a-06debe629d4b</t>
  </si>
  <si>
    <t>21.3</t>
  </si>
  <si>
    <t>7cc396e0-fbe9-41ba-89f0-b632d65fd19d</t>
  </si>
  <si>
    <t>10.05</t>
  </si>
  <si>
    <t>41452a69-0683-4202-a914-6493a8515d28</t>
  </si>
  <si>
    <t>5d661b96-8ce2-4e95-887a-49dbe57a1467</t>
  </si>
  <si>
    <t>e3441fa6-4d63-43c7-b684-9b1a60fa924e</t>
  </si>
  <si>
    <t>b8e2ff32-6399-43f8-9d8e-97c153f195a8</t>
  </si>
  <si>
    <t>191e4835-7015-466e-aa20-7b7abe183c6b</t>
  </si>
  <si>
    <t>16.5</t>
  </si>
  <si>
    <t>b3fa6705-e885-4bb8-9559-ba505e8ec52e</t>
  </si>
  <si>
    <t>4b0af37e-5eaa-4805-9653-e627ffefbc1f</t>
  </si>
  <si>
    <t>767cb017-e1dd-43ba-941b-272f6cb78c3f</t>
  </si>
  <si>
    <t>ce815dac-131d-4304-b584-f88225da4d13</t>
  </si>
  <si>
    <t>2020-10-05</t>
  </si>
  <si>
    <t>597d0089-1a38-4b40-b55a-2794c850c020</t>
  </si>
  <si>
    <t>2020-10-08</t>
  </si>
  <si>
    <t>5000</t>
  </si>
  <si>
    <t>34ca6d76-1922-42f8-b201-49da6089da56</t>
  </si>
  <si>
    <t>192.53</t>
  </si>
  <si>
    <t>60749cb9-095f-4884-bc18-bf0bc660087e</t>
  </si>
  <si>
    <t>50000d26-5766-4d18-bab4-277cd008476d</t>
  </si>
  <si>
    <t>2020-10-10</t>
  </si>
  <si>
    <t>5645.96</t>
  </si>
  <si>
    <t>9605995f-5661-4084-a062-2cc1b4f0a4b1</t>
  </si>
  <si>
    <t>756bd528-b6a5-47f8-ad88-9b2825f8748a</t>
  </si>
  <si>
    <t>c799dd6f-c8db-40ef-b458-9c5509b3da1d</t>
  </si>
  <si>
    <t>24d4b193-2776-4c78-8a77-fe552a6dca6a</t>
  </si>
  <si>
    <t>329a1083-b276-456b-b3a3-8fe56dc8966b</t>
  </si>
  <si>
    <t>396.78</t>
  </si>
  <si>
    <t>c670cf7c-1418-44df-a02a-3ba467efe36d</t>
  </si>
  <si>
    <t>db1cc950-70c5-4758-b5af-5245541321a2</t>
  </si>
  <si>
    <t>d6ffd4a0-0eb0-4167-b1f9-f590f20a116b</t>
  </si>
  <si>
    <t>a65eb0a7-d887-4a07-b011-39ece796ca90</t>
  </si>
  <si>
    <t>b603b8b9-5dbe-4b4e-a64e-259512b4cae3</t>
  </si>
  <si>
    <t>7f0eecab-5f2c-45eb-85c7-fcd3b8d527a8</t>
  </si>
  <si>
    <t>22b3775c-165e-465c-87f4-4ca349b367ba</t>
  </si>
  <si>
    <t>1125.94</t>
  </si>
  <si>
    <t>f0ab9eb4-958b-4669-a31a-576aae88b322</t>
  </si>
  <si>
    <t>56.699999999999996</t>
  </si>
  <si>
    <t>f3348733-5e44-44fc-a8ab-96e73dbb39ba</t>
  </si>
  <si>
    <t>93e3f9af-da15-47f7-9209-07cd01f2f5f5</t>
  </si>
  <si>
    <t>1186.9700000000003</t>
  </si>
  <si>
    <t>fd68d531-cebd-498e-8e50-7e09a9d59cb3</t>
  </si>
  <si>
    <t>8567.95</t>
  </si>
  <si>
    <t>2832bc79-d92e-4159-aee2-bfc1b3d95e62</t>
  </si>
  <si>
    <t>2020-10-12</t>
  </si>
  <si>
    <t>112.6</t>
  </si>
  <si>
    <t>39d1094e-ca95-4394-9654-d12526d59694</t>
  </si>
  <si>
    <t>2020-10-14</t>
  </si>
  <si>
    <t>200</t>
  </si>
  <si>
    <t>12b873d6-b95c-46fc-82a9-be6618a1fd4e</t>
  </si>
  <si>
    <t>2020-10-15</t>
  </si>
  <si>
    <t>4c761ded-03ac-49f9-9159-51187f60100e</t>
  </si>
  <si>
    <t>92324a78-19fe-437f-ba59-ab8a96c22f8a</t>
  </si>
  <si>
    <t>d8956892-f0ea-4e71-8541-fc1ebe011fa3</t>
  </si>
  <si>
    <t>2020-10-16</t>
  </si>
  <si>
    <t>0746ec9f-cd3a-4b98-b8a0-2d803018b3f7</t>
  </si>
  <si>
    <t>3b52b558-8921-4c9a-ac48-0a361f62f7d4</t>
  </si>
  <si>
    <t>871b939d-20df-4c1b-88a4-f5ccedcc167d</t>
  </si>
  <si>
    <t>93</t>
  </si>
  <si>
    <t>4d5fc36c-5442-48ee-9cee-19815ec0b98d</t>
  </si>
  <si>
    <t>2020-10-17</t>
  </si>
  <si>
    <t>ce370f96-8f68-477e-89b8-a1b56cdd4801</t>
  </si>
  <si>
    <t>2020-10-18</t>
  </si>
  <si>
    <t>54cd2598-930b-4656-a327-66bbc64bb730</t>
  </si>
  <si>
    <t>e08ee7ac-c10e-4cc4-aebb-08b58ecc05a1</t>
  </si>
  <si>
    <t>52d8e6bf-eef3-473d-9652-6d01c88602ea</t>
  </si>
  <si>
    <t>2020-10-19</t>
  </si>
  <si>
    <t>84.68</t>
  </si>
  <si>
    <t>d8eee4fa-ee25-4139-8f10-8a455392f31f</t>
  </si>
  <si>
    <t>600</t>
  </si>
  <si>
    <t>41dc0254-6f49-4a89-a69b-a49b002696d9</t>
  </si>
  <si>
    <t>8aa43577-34f4-474c-a6f6-b0b8f888eb6c</t>
  </si>
  <si>
    <t>f5774c35-53b0-442c-8cd4-2765dee2787b</t>
  </si>
  <si>
    <t>2020-10-20</t>
  </si>
  <si>
    <t>61e1975c-ed3c-4eee-b353-c0a10deb0957</t>
  </si>
  <si>
    <t>9e2c2fca-e674-49fa-a7f2-0a065e3967db</t>
  </si>
  <si>
    <t>e190125c-a636-4719-9d84-db0b170ea471</t>
  </si>
  <si>
    <t>74</t>
  </si>
  <si>
    <t>256d8392-7d6f-4484-9d2b-bcd3b31c620e</t>
  </si>
  <si>
    <t>2020-10-22</t>
  </si>
  <si>
    <t>e10bb5ed-8016-465f-bdbd-2403740984e3</t>
  </si>
  <si>
    <t>2020-10-23</t>
  </si>
  <si>
    <t>d2e34d4e-bf15-4bdd-8038-0b13d90fec15</t>
  </si>
  <si>
    <t>188</t>
  </si>
  <si>
    <t>dc2d7fc4-a3ad-40bb-a3de-e1166e591d7a</t>
  </si>
  <si>
    <t>57</t>
  </si>
  <si>
    <t>ad2250b1-7e8c-49a6-967f-10c00dc7d164</t>
  </si>
  <si>
    <t>f4c70186-0e43-44d6-b93b-ade13ea8b0cd</t>
  </si>
  <si>
    <t>2020-10-24</t>
  </si>
  <si>
    <t>c814edba-d587-430b-b58f-acd0e82b16dd</t>
  </si>
  <si>
    <t>2020-10-25</t>
  </si>
  <si>
    <t>f46ad6e6-99ae-484c-a2e9-1959223d3a4a</t>
  </si>
  <si>
    <t>2020-10-26</t>
  </si>
  <si>
    <t>2b505ccf-67e7-44da-9cf3-4d607941590f</t>
  </si>
  <si>
    <t>205.05</t>
  </si>
  <si>
    <t>75bf03a4-188d-48f2-81fc-4ba2bf6888aa</t>
  </si>
  <si>
    <t>ab97a4fa-1a70-4274-bb94-48b2f9504590</t>
  </si>
  <si>
    <t>224e7945-4919-4e87-968a-2873411e1289</t>
  </si>
  <si>
    <t>59998241-a0d5-45c4-9197-5055ba13bd97</t>
  </si>
  <si>
    <t>2020-10-28</t>
  </si>
  <si>
    <t>5d38be68-8065-4073-b4e4-dbc1626ce787</t>
  </si>
  <si>
    <t>32</t>
  </si>
  <si>
    <t>0eda41a3-3c47-456c-8ac4-a53234ca2c79</t>
  </si>
  <si>
    <t>6.5</t>
  </si>
  <si>
    <t>afd7f750-c566-4f71-9275-b7d798cc3cd8</t>
  </si>
  <si>
    <t>2020-10-30</t>
  </si>
  <si>
    <t>1145</t>
  </si>
  <si>
    <t>08c40212-7cd8-4d85-a1a4-43c3078eb5bf</t>
  </si>
  <si>
    <t>1790.24</t>
  </si>
  <si>
    <t>8d55123a-c102-4ca0-9860-34192279c234</t>
  </si>
  <si>
    <t>b5309502-ee5e-4406-bd4e-035f35b5fcd4</t>
  </si>
  <si>
    <t>37</t>
  </si>
  <si>
    <t>19731a9a-f767-41c0-8d9b-1e229a3963db</t>
  </si>
  <si>
    <t>9ad24aaf-148a-42b5-9ea4-8e602f7614ad</t>
  </si>
  <si>
    <t>1000</t>
  </si>
  <si>
    <t>246b1a7c-1957-41f8-ae1c-6bbcd60a628b</t>
  </si>
  <si>
    <t>2020-10-31</t>
  </si>
  <si>
    <t>26.6</t>
  </si>
  <si>
    <t>4ad44dd8-66df-41eb-b766-eb835d253fa4</t>
  </si>
  <si>
    <t>173</t>
  </si>
  <si>
    <t>7d8eb2a7-d56c-41f5-8af8-fc21a6ce8cdf</t>
  </si>
  <si>
    <t>2020-11-01</t>
  </si>
  <si>
    <t>6519.46</t>
  </si>
  <si>
    <t>221f1396-5de7-45c4-8ef4-d497c11ef0f7</t>
  </si>
  <si>
    <t>19510.86</t>
  </si>
  <si>
    <t>33c30037-bdfe-4124-94c7-b9d8d8d95d23</t>
  </si>
  <si>
    <t>7e2dbb90-3631-4b6d-b503-d6867361f248</t>
  </si>
  <si>
    <t>eec6cb57-9d01-488d-83f3-3224144dc350</t>
  </si>
  <si>
    <t>89921ed8-1bef-4666-813c-edb72d9d3e7a</t>
  </si>
  <si>
    <t>269.19</t>
  </si>
  <si>
    <t>f293ba3e-f257-4d4a-8c39-4c19e66fff8a</t>
  </si>
  <si>
    <t>45.48</t>
  </si>
  <si>
    <t>2718a63b-133b-41a8-8cc7-b9afddf93c06</t>
  </si>
  <si>
    <t>cd6fd745-3bb7-4e89-81c9-363e4f63f4b5</t>
  </si>
  <si>
    <t>2020-11-02</t>
  </si>
  <si>
    <t>60.45</t>
  </si>
  <si>
    <t>62f01604-8b6c-4c95-8c31-272f69abda00</t>
  </si>
  <si>
    <t>82d7687a-a5af-4134-9ab2-680d5454bace</t>
  </si>
  <si>
    <t>74a8ac47-3b71-426e-bf04-f994c5d9e028</t>
  </si>
  <si>
    <t>2020-11-03</t>
  </si>
  <si>
    <t>8f0293a1-6ace-40a5-9947-81e0a85729cb</t>
  </si>
  <si>
    <t>2020-11-04</t>
  </si>
  <si>
    <t>ea779542-4ea2-4aec-9e5d-b2d3081c6877</t>
  </si>
  <si>
    <t>178.49</t>
  </si>
  <si>
    <t>3ba75f9b-fb71-4244-a783-d8fccf44e7be</t>
  </si>
  <si>
    <t>2020-11-05</t>
  </si>
  <si>
    <t>283</t>
  </si>
  <si>
    <t>be11a7ea-948e-4348-960e-7e081872b456</t>
  </si>
  <si>
    <t>bca2e294-cac1-404f-9b97-08e58301be57</t>
  </si>
  <si>
    <t>2020-11-06</t>
  </si>
  <si>
    <t>e31e15fe-3652-4d91-bfa2-e40ecd6cf611</t>
  </si>
  <si>
    <t>23f7f692-8a79-48d0-90f6-3ebdcce80a90</t>
  </si>
  <si>
    <t>446647ee-3542-42a7-aeca-904942913c0e</t>
  </si>
  <si>
    <t>7c0d8c77-3d67-4559-a6c0-3fcfac1e750b</t>
  </si>
  <si>
    <t>2020-11-07</t>
  </si>
  <si>
    <t>27</t>
  </si>
  <si>
    <t>b0b11b37-f864-4b1a-b600-c1e1611ddadc</t>
  </si>
  <si>
    <t>92b97413-22f6-41c4-a72f-33af865c0fd9</t>
  </si>
  <si>
    <t>2020-11-08</t>
  </si>
  <si>
    <t>177.97</t>
  </si>
  <si>
    <t>d121a067-244e-4f0d-b74a-a8a06a0c48a0</t>
  </si>
  <si>
    <t>2020-11-09</t>
  </si>
  <si>
    <t>b138b6d6-207b-431a-a1cc-cce1521fb1b1</t>
  </si>
  <si>
    <t>2020-11-10</t>
  </si>
  <si>
    <t>5657.4</t>
  </si>
  <si>
    <t>c14c6cb4-efec-46e8-b4ed-c8a958db862d</t>
  </si>
  <si>
    <t>3fc63ff3-577e-4022-9941-163c94229338</t>
  </si>
  <si>
    <t>9ca07a2c-4f90-4250-b684-a089b6cfbbde</t>
  </si>
  <si>
    <t>fb212c84-2d7c-4aac-aef1-ce038c576e2e</t>
  </si>
  <si>
    <t>c3421c66-6fc6-4f80-bac6-afcbde0b15c0</t>
  </si>
  <si>
    <t>395.32</t>
  </si>
  <si>
    <t>c9898455-fb36-4e54-9b19-2f54cb46ecce</t>
  </si>
  <si>
    <t>73.23</t>
  </si>
  <si>
    <t>71a0e91d-66bb-4504-9b3b-13f29b75ec3f</t>
  </si>
  <si>
    <t>d8bba4b9-6577-4feb-a75e-2d2e70b009f4</t>
  </si>
  <si>
    <t>1181.5</t>
  </si>
  <si>
    <t>6686f62b-6e8e-4ae6-8570-5f0d9e40482a</t>
  </si>
  <si>
    <t>1816.61</t>
  </si>
  <si>
    <t>95c607b4-eca2-432d-8f8f-6573863dbfe2</t>
  </si>
  <si>
    <t>3823.89</t>
  </si>
  <si>
    <t>dde5da64-0eda-483d-be53-922875854253</t>
  </si>
  <si>
    <t>102.9</t>
  </si>
  <si>
    <t>680a7235-c025-46c9-8f53-496fcd003d68</t>
  </si>
  <si>
    <t>21.7</t>
  </si>
  <si>
    <t>5cfe58d4-431d-41d6-b00a-ab43bb5cf702</t>
  </si>
  <si>
    <t>8d3fe7ab-948a-4fbd-aa39-87e7d3cb39da</t>
  </si>
  <si>
    <t>b841372b-0d2c-4225-8c26-a75d6a0baadf</t>
  </si>
  <si>
    <t>Importado da planilha legada (linha 120) [LEGADO:OK]</t>
  </si>
  <si>
    <t>ae2e73f9-51b9-486d-ba2f-7cb68fd33a8b</t>
  </si>
  <si>
    <t>Importado da planilha legada (linha 121) [LEGADO:OK]</t>
  </si>
  <si>
    <t>1bb97bf6-1dc7-498d-b1c6-eb2f920bc8c6</t>
  </si>
  <si>
    <t>2020-11-11</t>
  </si>
  <si>
    <t>Importado da planilha legada (linha 122) [LEGADO:OK]</t>
  </si>
  <si>
    <t>d9a5c369-0997-4574-8b5f-2aa2c20e9e32</t>
  </si>
  <si>
    <t>Importado da planilha legada (linha 123) [LEGADO:OK]</t>
  </si>
  <si>
    <t>b91a7609-e126-4848-8bfc-222f3a09e267</t>
  </si>
  <si>
    <t>2020-11-12</t>
  </si>
  <si>
    <t>4d41e836-b9e5-447f-9d73-d32f29ddcb25</t>
  </si>
  <si>
    <t>f52e0b88-0540-4b31-ba05-04be66d8616a</t>
  </si>
  <si>
    <t>2020-11-13</t>
  </si>
  <si>
    <t>1334</t>
  </si>
  <si>
    <t>a4e7b5a2-4d35-4c9a-9d93-1800d2e1fc69</t>
  </si>
  <si>
    <t>12.84</t>
  </si>
  <si>
    <t>073c45c6-1ce2-405b-8896-a8c60c3252bc</t>
  </si>
  <si>
    <t>5a8b0443-1fc4-4321-ba88-35366a8f5e01</t>
  </si>
  <si>
    <t>288</t>
  </si>
  <si>
    <t>2851549a-0e98-41f8-8dbe-06d4cea217e8</t>
  </si>
  <si>
    <t>a17a883d-ad17-4a88-878a-a1a95ca554e3</t>
  </si>
  <si>
    <t>dad3f5c9-37eb-475e-99ca-c24e318fb2a9</t>
  </si>
  <si>
    <t>62c14032-71ff-4588-b4ad-a1d480485fc8</t>
  </si>
  <si>
    <t>6084d328-6aef-40a6-a189-079ab5f8f263</t>
  </si>
  <si>
    <t>314f1876-7048-4603-84b6-f704d875a908</t>
  </si>
  <si>
    <t>2020-11-14</t>
  </si>
  <si>
    <t>c48eb00f-ceba-42ce-8bab-8cf2afe4cf3f</t>
  </si>
  <si>
    <t>Importado da planilha legada (linha 124) [LEGADO:OK]</t>
  </si>
  <si>
    <t>a857a881-2d63-452a-87d5-28579d036e70</t>
  </si>
  <si>
    <t>3.9</t>
  </si>
  <si>
    <t>Importado da planilha legada (linha 125) [LEGADO:OK]</t>
  </si>
  <si>
    <t>ef11fe0b-3d4e-4e61-9357-2528a1775dc4</t>
  </si>
  <si>
    <t>2020-11-15</t>
  </si>
  <si>
    <t>d1bc7d86-c401-4773-b0a7-f43c757f8787</t>
  </si>
  <si>
    <t>Importado da planilha legada (linha 126) [LEGADO:OK]</t>
  </si>
  <si>
    <t>6490d995-885f-4af4-a7a3-0516c41ce309</t>
  </si>
  <si>
    <t>2020-11-16</t>
  </si>
  <si>
    <t>4f9e03fb-6afa-43bc-a1dc-8029ce4e24b5</t>
  </si>
  <si>
    <t>122</t>
  </si>
  <si>
    <t>eade6358-dceb-4f18-91c0-4215f839ecfd</t>
  </si>
  <si>
    <t>375</t>
  </si>
  <si>
    <t>f8d80c3c-7a88-4912-9423-f953bfa9000e</t>
  </si>
  <si>
    <t>630</t>
  </si>
  <si>
    <t>2c6b36da-a785-4cc5-bca7-327ba5909eec</t>
  </si>
  <si>
    <t>28</t>
  </si>
  <si>
    <t>0f7b1a3d-d031-41b0-9b79-c63b5a4de356</t>
  </si>
  <si>
    <t>044126cd-8508-458d-a256-9bf1cd80da6b</t>
  </si>
  <si>
    <t>623892fd-6d98-4555-a03e-214141b42cc4</t>
  </si>
  <si>
    <t>Importado da planilha legada (linha 127) [LEGADO:OK]</t>
  </si>
  <si>
    <t>5227ef6f-16a9-49f2-a4f2-682fbb38fea5</t>
  </si>
  <si>
    <t>68</t>
  </si>
  <si>
    <t>Importado da planilha legada (linha 128) [LEGADO:OK]</t>
  </si>
  <si>
    <t>45544fb9-d646-480f-a913-4ab780760218</t>
  </si>
  <si>
    <t>56</t>
  </si>
  <si>
    <t>Importado da planilha legada (linha 129) [LEGADO:OK]</t>
  </si>
  <si>
    <t>110ab1ad-ecdf-4666-a368-79734502b0c4</t>
  </si>
  <si>
    <t>2020-11-17</t>
  </si>
  <si>
    <t>c1139054-3e61-44e7-9a88-807efeac406a</t>
  </si>
  <si>
    <t>26</t>
  </si>
  <si>
    <t>10a4a20e-be66-4dc2-86e0-bf16be05aa8c</t>
  </si>
  <si>
    <t>2020-11-18</t>
  </si>
  <si>
    <t>6000</t>
  </si>
  <si>
    <t>709ba5fc-8808-4873-a7ce-15a5a5238345</t>
  </si>
  <si>
    <t>0ac093e5-0bcc-4ee7-9bc2-dc0dd9ffaf83</t>
  </si>
  <si>
    <t>170.9</t>
  </si>
  <si>
    <t>2a527d6b-9620-40f8-b78c-cd63d8668dfb</t>
  </si>
  <si>
    <t>2020-11-19</t>
  </si>
  <si>
    <t>29.99</t>
  </si>
  <si>
    <t>6b6a6b73-50ee-488b-8365-6fde80fa6ac1</t>
  </si>
  <si>
    <t>111.57</t>
  </si>
  <si>
    <t>2c37fcec-3097-4f53-a952-df8a8fd11791</t>
  </si>
  <si>
    <t>2020-11-20</t>
  </si>
  <si>
    <t>58.25</t>
  </si>
  <si>
    <t>085b6839-bb48-4604-b979-0570669c6338</t>
  </si>
  <si>
    <t>2020-11-22</t>
  </si>
  <si>
    <t>39848dc8-2315-4df9-afae-d9d9015d0daf</t>
  </si>
  <si>
    <t>2020-11-23</t>
  </si>
  <si>
    <t>9.91</t>
  </si>
  <si>
    <t>9f892b47-45fc-42bb-beb8-2b5989561ee8</t>
  </si>
  <si>
    <t>03e07eab-3bf1-4c5b-89c4-75c3f785ce21</t>
  </si>
  <si>
    <t>44ed4a9a-2b40-43ec-aaa9-65c40667f7ce</t>
  </si>
  <si>
    <t>688970d1-25db-481d-bb22-cf9873fb78bd</t>
  </si>
  <si>
    <t>41</t>
  </si>
  <si>
    <t>313a5a31-58e8-44cb-a095-dbef20b9cfac</t>
  </si>
  <si>
    <t>31.7</t>
  </si>
  <si>
    <t>9fb829c8-1f3d-4993-9bd0-174a6d534cbd</t>
  </si>
  <si>
    <t>7a5c1cb4-d8d5-40c5-8c63-3cf52455f9be</t>
  </si>
  <si>
    <t>d0b168d8-8cc9-4214-bc08-71eacec86be7</t>
  </si>
  <si>
    <t>74c11f6c-0bf0-47dd-b9b1-5d94e9cbd156</t>
  </si>
  <si>
    <t>400</t>
  </si>
  <si>
    <t>f061fb3e-f7e3-45b3-8950-1295186d2a92</t>
  </si>
  <si>
    <t>170</t>
  </si>
  <si>
    <t>21a735f9-ce21-4b7a-8f0e-ecb83fdbbbaf</t>
  </si>
  <si>
    <t>2020-11-24</t>
  </si>
  <si>
    <t>5.99</t>
  </si>
  <si>
    <t>f61bbbf7-0097-4106-9b24-50b30e327b12</t>
  </si>
  <si>
    <t>8bd472d4-a2ef-4522-9d13-26292e43ff94</t>
  </si>
  <si>
    <t>2020-11-25</t>
  </si>
  <si>
    <t>179.99</t>
  </si>
  <si>
    <t>f7e398b7-9f6e-4ee1-a2ad-f9ed404ed276</t>
  </si>
  <si>
    <t>2020-11-27</t>
  </si>
  <si>
    <t>b8ed5c07-fe33-4c02-bc6b-809a870d06d2</t>
  </si>
  <si>
    <t>2020-11-29</t>
  </si>
  <si>
    <t>6d51548f-356c-4a0a-8795-6e6e0ec5d8c9</t>
  </si>
  <si>
    <t>2020-11-30</t>
  </si>
  <si>
    <t>1439</t>
  </si>
  <si>
    <t>8ef8abfc-655f-45c3-a969-6efb4a682756</t>
  </si>
  <si>
    <t>ed233942-76ba-42b7-b09f-96018152c4e2</t>
  </si>
  <si>
    <t>ba4569ef-851d-4376-9f9a-fb18169d2f3d</t>
  </si>
  <si>
    <t>188.92</t>
  </si>
  <si>
    <t>b8914dec-b9d4-4243-8ced-c3af723c6353</t>
  </si>
  <si>
    <t>15.9</t>
  </si>
  <si>
    <t>5d14830c-3f3e-4811-97c3-c884d778ccaf</t>
  </si>
  <si>
    <t>156</t>
  </si>
  <si>
    <t>99563d69-670d-4272-ad28-362da18a62fe</t>
  </si>
  <si>
    <t>c2b2d112-3bcf-4f60-9e3c-21fa0d498501</t>
  </si>
  <si>
    <t>249</t>
  </si>
  <si>
    <t>cb664dfd-d117-47b6-9a5d-9df35b78f06e</t>
  </si>
  <si>
    <t>80868ff0-1d30-4726-a7a8-ab4e3f53d162</t>
  </si>
  <si>
    <t>cf735e1d-02ac-44e3-a7e3-d1a06882a91c</t>
  </si>
  <si>
    <t>2020-12-01</t>
  </si>
  <si>
    <t>6337.58</t>
  </si>
  <si>
    <t>3509f80d-bda6-4852-9182-b1b17df44da3</t>
  </si>
  <si>
    <t>f685854a-31eb-4d60-bc5a-f43fd54891be</t>
  </si>
  <si>
    <t>23872.79</t>
  </si>
  <si>
    <t>2b495f2f-e0ed-4718-a856-d16ee8f43e53</t>
  </si>
  <si>
    <t>2026-02-06T23:16:55.593Z</t>
  </si>
  <si>
    <t>eef31117-055b-4aba-be25-b9e0b42007e3</t>
  </si>
  <si>
    <t>2.4</t>
  </si>
  <si>
    <t>04ed0487-0c0e-4968-9bb8-dacd530d112b</t>
  </si>
  <si>
    <t>5fc8bb4b-c286-4cd3-9a18-35985c2a03a6</t>
  </si>
  <si>
    <t>512.4</t>
  </si>
  <si>
    <t>ff2c8379-572d-4a12-bc40-6b2c9d7a7ca9</t>
  </si>
  <si>
    <t>508.98</t>
  </si>
  <si>
    <t>14dde91e-d706-4282-a1f5-0d99d24545e8</t>
  </si>
  <si>
    <t>16ade1f7-f966-42b5-83a4-835c99bc1aab</t>
  </si>
  <si>
    <t>e0e34608-cc08-4138-a0e6-1349dea24958</t>
  </si>
  <si>
    <t>9df09498-488c-4f70-8330-0b88f23045c0</t>
  </si>
  <si>
    <t>0e275fc9-b6e0-40e8-a955-06c8299a9f14</t>
  </si>
  <si>
    <t>2727</t>
  </si>
  <si>
    <t>b5c501c7-6446-499b-9ba6-a3de883f1960</t>
  </si>
  <si>
    <t>148</t>
  </si>
  <si>
    <t>16ba9854-7722-479e-8755-52271644fb26</t>
  </si>
  <si>
    <t>862a8190-e7bf-40fb-9789-6ec57e89d69d</t>
  </si>
  <si>
    <t>2020-12-02</t>
  </si>
  <si>
    <t>11747.81</t>
  </si>
  <si>
    <t>613ccd25-fd66-4ab8-828f-b62e18a81a80</t>
  </si>
  <si>
    <t>a28b0bac-f9ad-48dc-98d0-33d09ebfa22d</t>
  </si>
  <si>
    <t>2020-12-03</t>
  </si>
  <si>
    <t>44.9</t>
  </si>
  <si>
    <t>ba89bd68-3cc4-4f0f-9f74-842d483e990c</t>
  </si>
  <si>
    <t>2020-12-04</t>
  </si>
  <si>
    <t>67432615-53a7-4e96-ada3-53e4c19ef349</t>
  </si>
  <si>
    <t>44</t>
  </si>
  <si>
    <t>a5f78c33-f373-4520-9f09-1c3ca13a09eb</t>
  </si>
  <si>
    <t>0f8c9770-93e3-485e-a7ca-2b4dc876e19c</t>
  </si>
  <si>
    <t>26.67</t>
  </si>
  <si>
    <t>6558e483-ce17-424d-b2bf-78e7b9b10ae2</t>
  </si>
  <si>
    <t>12.35</t>
  </si>
  <si>
    <t>50679912-4a1b-4a29-8b06-c582644e787e</t>
  </si>
  <si>
    <t>f60aab41-b660-4225-9375-28b4f01b6e9d</t>
  </si>
  <si>
    <t>2020-12-05</t>
  </si>
  <si>
    <t>68d9cee9-e8a4-4b57-870b-1b6896fa21bb</t>
  </si>
  <si>
    <t>47bbe040-d12c-47ac-a055-698b550372fd</t>
  </si>
  <si>
    <t>b8c2833b-74af-405f-82bb-51e84b030474</t>
  </si>
  <si>
    <t>7e9d02a4-facc-46d6-885a-67422ae5a831</t>
  </si>
  <si>
    <t>26db95a4-d6b4-4a49-b68e-c03d37bff97a</t>
  </si>
  <si>
    <t>3524a00e-e2ec-4911-8622-01dddd3d7f46</t>
  </si>
  <si>
    <t>2020-12-06</t>
  </si>
  <si>
    <t>c68e5679-d425-42f5-8855-42af07128c68</t>
  </si>
  <si>
    <t>2020-12-07</t>
  </si>
  <si>
    <t>04ec58e7-51bf-48ce-98f4-3f7c35491ff8</t>
  </si>
  <si>
    <t>47.1</t>
  </si>
  <si>
    <t>768f80d9-f36d-44d2-a0ca-3eb9e9ea3778</t>
  </si>
  <si>
    <t>20.54</t>
  </si>
  <si>
    <t>a4cfd94a-4816-4081-9320-85f45733d3e6</t>
  </si>
  <si>
    <t>386</t>
  </si>
  <si>
    <t>785d0e4d-68f6-4600-b044-37f3f32fe5b5</t>
  </si>
  <si>
    <t>26407bab-6a05-4ef2-902a-f48a59624ffc</t>
  </si>
  <si>
    <t>bd5bbe93-6519-432a-ba1b-81d24602eca3</t>
  </si>
  <si>
    <t>RESTANTE INSTAL. FILTRO/BANCADA</t>
  </si>
  <si>
    <t>b5795e18-c21d-446c-861d-4f6e6115183f</t>
  </si>
  <si>
    <t>2020-12-08</t>
  </si>
  <si>
    <t>152.31</t>
  </si>
  <si>
    <t>a1510291-6efe-4543-b1a6-59d7b0ef4f96</t>
  </si>
  <si>
    <t>31481cf1-3c8c-40a2-acc8-f3424e44a6f2</t>
  </si>
  <si>
    <t>2020-12-09</t>
  </si>
  <si>
    <t>077f5176-3ff3-46e9-ba57-d44a90b16973</t>
  </si>
  <si>
    <t>657025a4-aefd-4b56-b50a-f3cbe0c9be25</t>
  </si>
  <si>
    <t>2020-12-10</t>
  </si>
  <si>
    <t>0db28037-ff3b-4da1-9e01-df036e587d2d</t>
  </si>
  <si>
    <t>a67d038a-3b8f-43d6-9609-2ca639628f28</t>
  </si>
  <si>
    <t>49ff3d29-890e-477e-b804-331fb1eed105</t>
  </si>
  <si>
    <t>81039558-e9ee-432e-9881-7216cd7f00fe</t>
  </si>
  <si>
    <t>6ba01d5f-34ab-44bc-8cae-b02e7befaaf0</t>
  </si>
  <si>
    <t>429.43</t>
  </si>
  <si>
    <t>fc29aec5-3f36-4029-8494-d43b9cf9b1b8</t>
  </si>
  <si>
    <t>b5e94f40-bddf-464a-8720-25cf71f50252</t>
  </si>
  <si>
    <t>da9b131b-d103-40b6-9ecc-daa793164522</t>
  </si>
  <si>
    <t>88.5</t>
  </si>
  <si>
    <t>9184b96e-8fbd-4382-8cec-670ceb9197d2</t>
  </si>
  <si>
    <t>4596.16</t>
  </si>
  <si>
    <t>e6869a4b-2c89-44ff-9630-6480d6792322</t>
  </si>
  <si>
    <t>1846.55</t>
  </si>
  <si>
    <t>1cc9365f-6dec-4d65-a6f7-815a9d800e39</t>
  </si>
  <si>
    <t>1533.25</t>
  </si>
  <si>
    <t>36f376a8-3b98-4635-9406-6cd33d9d30a5</t>
  </si>
  <si>
    <t>530</t>
  </si>
  <si>
    <t>8ba9f629-ce85-47aa-b601-643f42d6ef86</t>
  </si>
  <si>
    <t>4782.71</t>
  </si>
  <si>
    <t>46a5d09d-9afe-4f93-9234-bb4edf459cb5</t>
  </si>
  <si>
    <t>868ef437-dfad-4bb6-b46d-04259b506d4b</t>
  </si>
  <si>
    <t>2.2</t>
  </si>
  <si>
    <t>28cfb002-5220-4caf-99b7-7e60afe82da7</t>
  </si>
  <si>
    <t>009a6d54-dfc8-4a8a-9d9e-8dd7711554b4</t>
  </si>
  <si>
    <t>bd16f3fb-756b-48e6-b6b5-a4437546dfb8</t>
  </si>
  <si>
    <t>2020-12-13</t>
  </si>
  <si>
    <t>072beae3-8dc4-4990-bb70-dca29c4bbd9a</t>
  </si>
  <si>
    <t>2020-12-14</t>
  </si>
  <si>
    <t>02f60d38-aa40-44ba-b87a-98ec4873e1fd</t>
  </si>
  <si>
    <t>2020-12-15</t>
  </si>
  <si>
    <t>b57ff056-4c9e-4252-87f6-e45f59a85e51</t>
  </si>
  <si>
    <t>183</t>
  </si>
  <si>
    <t>5c2ce1d2-a3fd-45fc-ac29-5357e4f221cf</t>
  </si>
  <si>
    <t>427</t>
  </si>
  <si>
    <t>3a87ffb9-5e37-4101-b664-2cf89be03292</t>
  </si>
  <si>
    <t>160</t>
  </si>
  <si>
    <t>89c80734-fccb-4695-87ab-119bb8775ddd</t>
  </si>
  <si>
    <t>2020-12-16</t>
  </si>
  <si>
    <t>23</t>
  </si>
  <si>
    <t>843adfe1-6ecc-4264-be3b-516187b530ee</t>
  </si>
  <si>
    <t>f2481c2a-7894-41af-9de0-ec91d61b9b5a</t>
  </si>
  <si>
    <t>afaf3e73-9f4e-4112-9b1d-e4c27337f3d4</t>
  </si>
  <si>
    <t>229</t>
  </si>
  <si>
    <t>d391918c-519f-4123-8327-12a7085a01d0</t>
  </si>
  <si>
    <t>2020-12-17</t>
  </si>
  <si>
    <t>7a0be4c6-0202-434f-95b5-36574c5f6e6f</t>
  </si>
  <si>
    <t>2020-12-19</t>
  </si>
  <si>
    <t>399fb8ca-94a5-445d-81bc-e420e18f48f7</t>
  </si>
  <si>
    <t>f8d11745-a7ca-409b-a708-85e8683c4041</t>
  </si>
  <si>
    <t>94</t>
  </si>
  <si>
    <t>ddb39b33-f769-4922-9e8d-b76633a9d175</t>
  </si>
  <si>
    <t>2020-12-21</t>
  </si>
  <si>
    <t>265769b4-b9cf-48a9-9c31-f29b9bd88420</t>
  </si>
  <si>
    <t>176.51</t>
  </si>
  <si>
    <t>8d353994-5695-4e7d-97d7-9d115a11cec7</t>
  </si>
  <si>
    <t>c7119218-de3f-45b0-ab0c-8dcfca0516f2</t>
  </si>
  <si>
    <t>577ab281-5c62-496a-994d-9f793dba4cad</t>
  </si>
  <si>
    <t>2020-12-22</t>
  </si>
  <si>
    <t>1bc7e984-d1f4-4069-bc88-600536ee3f15</t>
  </si>
  <si>
    <t>JOELHEIRA</t>
  </si>
  <si>
    <t>48eb62bc-82c7-4acd-ac78-f704536154ff</t>
  </si>
  <si>
    <t>2020-12-23</t>
  </si>
  <si>
    <t>4557b1c3-fdab-4ac2-948e-6b11567a4836</t>
  </si>
  <si>
    <t>2020-12-24</t>
  </si>
  <si>
    <t>64</t>
  </si>
  <si>
    <t>5dc15eae-3863-4ddc-9b95-0e50c51b187a</t>
  </si>
  <si>
    <t>7d38a2ee-163b-412b-8e21-e15b8f613d37</t>
  </si>
  <si>
    <t>1b345cb1-e1d8-459e-acec-6e9355a5344d</t>
  </si>
  <si>
    <t>352cde09-af70-4269-9e11-1fc84765df92</t>
  </si>
  <si>
    <t>82</t>
  </si>
  <si>
    <t>5bbdd0b8-e308-48ca-bd89-85ab3e591bba</t>
  </si>
  <si>
    <t>4414848b-c588-4073-8849-6cec7fe92fcd</t>
  </si>
  <si>
    <t>c45daeea-5030-4f2f-99fe-a883aa28eaad</t>
  </si>
  <si>
    <t>120</t>
  </si>
  <si>
    <t>c455e0a7-f31a-44d1-8248-299f8ede2003</t>
  </si>
  <si>
    <t>46</t>
  </si>
  <si>
    <t>bcae86e7-5608-435b-95f5-a7c6c5262162</t>
  </si>
  <si>
    <t>2020-12-25</t>
  </si>
  <si>
    <t>5b61d88e-bf14-4e44-a3fd-c2646eed0629</t>
  </si>
  <si>
    <t>2020-12-26</t>
  </si>
  <si>
    <t>8649b6ee-e1dc-403a-b018-0305ab5b9399</t>
  </si>
  <si>
    <t>46.8</t>
  </si>
  <si>
    <t>5f2818e3-6374-45a3-94fe-3888b4280247</t>
  </si>
  <si>
    <t>bfaf6d04-4d08-4678-9fa2-a1fc6bec7685</t>
  </si>
  <si>
    <t>2020-12-28</t>
  </si>
  <si>
    <t>23.23</t>
  </si>
  <si>
    <t>Importado da planilha legada (linha 111) [LEGADO:OK]</t>
  </si>
  <si>
    <t>68dc9807-9971-4f61-9278-696b15f16b0f</t>
  </si>
  <si>
    <t>72.2</t>
  </si>
  <si>
    <t>Importado da planilha legada (linha 112) [LEGADO:OK]</t>
  </si>
  <si>
    <t>18630185-d301-433b-803d-a064275ad945</t>
  </si>
  <si>
    <t>Importado da planilha legada (linha 113) [LEGADO:OK]</t>
  </si>
  <si>
    <t>6edc6b1b-b1b2-44e5-b613-933c2e6107a3</t>
  </si>
  <si>
    <t>Importado da planilha legada (linha 114) [LEGADO:OK]</t>
  </si>
  <si>
    <t>0dcf9609-d8e8-42aa-85ec-a6252e01b994</t>
  </si>
  <si>
    <t>Importado da planilha legada (linha 115) [LEGADO:OK]</t>
  </si>
  <si>
    <t>b66454ea-f35a-4a99-929b-bc0f1f624576</t>
  </si>
  <si>
    <t>Importado da planilha legada (linha 116) [LEGADO:OK]</t>
  </si>
  <si>
    <t>963204df-f4e4-4b0b-977c-74ad0e8ad76c</t>
  </si>
  <si>
    <t>2020-12-29</t>
  </si>
  <si>
    <t>15.5</t>
  </si>
  <si>
    <t>Importado da planilha legada (linha 117) [LEGADO:OK]</t>
  </si>
  <si>
    <t>11067e86-46eb-4f23-ab37-988934480e4d</t>
  </si>
  <si>
    <t>2020-12-30</t>
  </si>
  <si>
    <t>a015523a-95f5-4741-b238-82964c865036</t>
  </si>
  <si>
    <t>1673.56</t>
  </si>
  <si>
    <t>703a9e67-e8a9-49c7-8b38-8bf7f93d27fe</t>
  </si>
  <si>
    <t>2020-12-31</t>
  </si>
  <si>
    <t>5.5</t>
  </si>
  <si>
    <t>Importado da planilha legada (linha 118) [LEGADO:OK]</t>
  </si>
  <si>
    <t>16451a5e-dc23-4da3-aeb1-c3c6acbd1806</t>
  </si>
  <si>
    <t>162.75</t>
  </si>
  <si>
    <t>Importado da planilha legada (linha 119) [LEGADO:OK]</t>
  </si>
  <si>
    <t>64dd8e81-7172-49c2-9fdd-0367d2346078</t>
  </si>
  <si>
    <t>2021-01-01</t>
  </si>
  <si>
    <t>7419.65</t>
  </si>
  <si>
    <t>2026-02-06T23:17:00.080Z</t>
  </si>
  <si>
    <t>a99b5578-ef06-431e-b8d6-e0858c14434b</t>
  </si>
  <si>
    <t>4052.38</t>
  </si>
  <si>
    <t>684624ff-065d-4420-b2cf-27b19b5e90f1</t>
  </si>
  <si>
    <t>Importado da planilha legada (linha 33) [LEGADO:SKIPPED]</t>
  </si>
  <si>
    <t>2026-02-06T23:17:01.543Z</t>
  </si>
  <si>
    <t>002181d3-d67c-4115-9256-ad865be00087</t>
  </si>
  <si>
    <t>117.6</t>
  </si>
  <si>
    <t>Importado da planilha legada (linha 34) [LEGADO:SKIPPED]</t>
  </si>
  <si>
    <t>442e0981-3d8c-4a2d-933f-7c99e1fd7024</t>
  </si>
  <si>
    <t>Importado da planilha legada (linha 35) [LEGADO:SKIPPED]</t>
  </si>
  <si>
    <t>70ebfecf-1bd5-4430-a091-7a1c750ed2eb</t>
  </si>
  <si>
    <t>2021-01-04</t>
  </si>
  <si>
    <t>2fcb876f-575e-457f-89bd-753c1e00d072</t>
  </si>
  <si>
    <t>2021-01-05</t>
  </si>
  <si>
    <t>289.92</t>
  </si>
  <si>
    <t>d37d9ad2-957d-4f59-a1af-9f1ea41cd1b1</t>
  </si>
  <si>
    <t>2021-01-07</t>
  </si>
  <si>
    <t>c913ebfe-fc5e-4821-b556-fb8201d40bcd</t>
  </si>
  <si>
    <t>2021-01-08</t>
  </si>
  <si>
    <t>88.81</t>
  </si>
  <si>
    <t>f9c31582-00da-4d33-866e-3fddbd70808e</t>
  </si>
  <si>
    <t>2021-01-10</t>
  </si>
  <si>
    <t>316cd037-b0e0-4082-8042-7dd606e0ab42</t>
  </si>
  <si>
    <t>223.97</t>
  </si>
  <si>
    <t>a65315ad-ba6f-4b26-88f5-a15d478a15e4</t>
  </si>
  <si>
    <t>91.93</t>
  </si>
  <si>
    <t>85756c4c-250a-4c60-b9c5-acbdf19d2c15</t>
  </si>
  <si>
    <t>d7703e6a-4e51-4b94-b32d-f6934fd312e9</t>
  </si>
  <si>
    <t>bbb6922c-4967-4cd9-9a8a-63f08a0a9f50</t>
  </si>
  <si>
    <t>43bd2a62-9773-4350-b461-052d27ca997d</t>
  </si>
  <si>
    <t>1999.63</t>
  </si>
  <si>
    <t>6e21146b-f3fe-4bf3-ab23-6b401b4ea59f</t>
  </si>
  <si>
    <t>6174.46</t>
  </si>
  <si>
    <t>c483f527-8b23-4dec-b923-e9aa88f899dd</t>
  </si>
  <si>
    <t>2094.29</t>
  </si>
  <si>
    <t>41e72e16-584c-4128-a4dc-da0ed1405442</t>
  </si>
  <si>
    <t>2021-01-11</t>
  </si>
  <si>
    <t>5790.1</t>
  </si>
  <si>
    <t>9f4d5702-a9ff-4344-8b9f-1fef4689a8ea</t>
  </si>
  <si>
    <t>d1b65a74-2a6e-4c0f-acdc-431450c0ee34</t>
  </si>
  <si>
    <t>d29682bd-e1fa-4770-baf7-b18ba7348f92</t>
  </si>
  <si>
    <t>35480b26-fbd9-4625-8f3b-6ea9b3272cfd</t>
  </si>
  <si>
    <t>2021-01-14</t>
  </si>
  <si>
    <t>3bfc695e-f2e6-4dec-bc8b-3d3da5a26071</t>
  </si>
  <si>
    <t>1df88ac3-be80-493c-962a-ce28dd30f37a</t>
  </si>
  <si>
    <t>62cfb6e5-7854-4679-bd29-c8ede31a569f</t>
  </si>
  <si>
    <t>199.44</t>
  </si>
  <si>
    <t>63cd9cd9-5b90-4c67-8c9a-ffd6e9b91950</t>
  </si>
  <si>
    <t>2021-01-15</t>
  </si>
  <si>
    <t>cc2a6299-7028-41f7-a532-80aea0435cfa</t>
  </si>
  <si>
    <t>2021-01-16</t>
  </si>
  <si>
    <t>7aed6610-6da0-4555-85fd-56c368cd43d0</t>
  </si>
  <si>
    <t>a144b785-e2ee-4e0d-9408-667e32f88801</t>
  </si>
  <si>
    <t>41029212-a06d-4e8b-ba4e-642533bb6081</t>
  </si>
  <si>
    <t>2021-01-18</t>
  </si>
  <si>
    <t>045c53a6-1e12-46ee-9534-0a36392e863c</t>
  </si>
  <si>
    <t>71</t>
  </si>
  <si>
    <t>b6a71e0d-f427-4750-91a7-b5bff0df25b6</t>
  </si>
  <si>
    <t>114.48</t>
  </si>
  <si>
    <t>9622fb41-88a7-4781-8244-1c499512ddb8</t>
  </si>
  <si>
    <t>7ee3cd7c-9b4c-4ee2-82ee-cea3a31f3f11</t>
  </si>
  <si>
    <t>2c812b0e-ee0a-4ff1-aa5d-2db360b3d6e3</t>
  </si>
  <si>
    <t>2021-01-19</t>
  </si>
  <si>
    <t>78</t>
  </si>
  <si>
    <t>b445c3c9-26ed-4592-aedc-a12806d49db7</t>
  </si>
  <si>
    <t>2021-01-20</t>
  </si>
  <si>
    <t>271.42</t>
  </si>
  <si>
    <t>dfe68c1e-cdca-4cbf-819a-46269b574bc7</t>
  </si>
  <si>
    <t>74b2d5ca-ec0d-48c1-9e0c-fd0812fb852c</t>
  </si>
  <si>
    <t>6.9</t>
  </si>
  <si>
    <t>26387a6e-c85e-4aac-8e64-1e64d6669f59</t>
  </si>
  <si>
    <t>2021-01-21</t>
  </si>
  <si>
    <t>a7f5755d-bc71-456c-96cc-639a3e45c076</t>
  </si>
  <si>
    <t>830fd8b2-fe65-4ac9-8709-73c07f5530c2</t>
  </si>
  <si>
    <t>2021-01-22</t>
  </si>
  <si>
    <t>159</t>
  </si>
  <si>
    <t>Importado da planilha legada (linha 15) [LEGADO:OK]</t>
  </si>
  <si>
    <t>7602f076-55e5-4e21-9c19-872a48247088</t>
  </si>
  <si>
    <t>b199bd3f-fbc9-4964-887e-61e7f6576dcf</t>
  </si>
  <si>
    <t>88d41582-8b9a-4a47-a0e4-21c96f7839eb</t>
  </si>
  <si>
    <t>97365e5f-24a8-46be-975e-78a51afcfd79</t>
  </si>
  <si>
    <t>4cf66c96-9d54-411f-8611-7a560303e5c0</t>
  </si>
  <si>
    <t>4c553d8c-8799-4123-bb6c-29de3d0cbc4c</t>
  </si>
  <si>
    <t>d694f486-b955-40c4-a97a-324b8f9d6727</t>
  </si>
  <si>
    <t>b769a45e-d60e-4bb9-a410-2abe92a098cc</t>
  </si>
  <si>
    <t>16e43957-b1e0-496c-a27a-b631f46a9d0a</t>
  </si>
  <si>
    <t>17.14</t>
  </si>
  <si>
    <t>df4f3c04-12b8-4ebf-b748-8e74a39d1205</t>
  </si>
  <si>
    <t>210e5ef7-6246-4404-b35a-9201f4383b36</t>
  </si>
  <si>
    <t>d9a6a793-03c2-442d-b4b6-f7dbfb77347d</t>
  </si>
  <si>
    <t>2021-01-23</t>
  </si>
  <si>
    <t>a566344f-a4f8-42ed-a1c4-fd6b89cce44b</t>
  </si>
  <si>
    <t>2021-01-24</t>
  </si>
  <si>
    <t>1a061cee-fdcd-4910-aa14-f1ee4b7cb203</t>
  </si>
  <si>
    <t>2021-01-25</t>
  </si>
  <si>
    <t>99.99</t>
  </si>
  <si>
    <t>7f57bb81-e601-434f-aac7-433b135f82e8</t>
  </si>
  <si>
    <t>6e0c2be7-0f96-416c-90a8-2bdc72e26470</t>
  </si>
  <si>
    <t>136</t>
  </si>
  <si>
    <t>d1d5bc4d-b769-46a8-a697-2c6fa298387a</t>
  </si>
  <si>
    <t>22d7a809-4e31-499a-b76f-e23c3d91ca42</t>
  </si>
  <si>
    <t>10e51cf7-68d3-4f13-bc28-22a6a358f660</t>
  </si>
  <si>
    <t>ebe11134-0a94-4644-bd2a-7f17d558e86c</t>
  </si>
  <si>
    <t>e6185426-80f7-4d18-8aca-95a63cf3c1ea</t>
  </si>
  <si>
    <t>afa4e343-f5db-4095-b1a2-be4970863bda</t>
  </si>
  <si>
    <t>2021-01-27</t>
  </si>
  <si>
    <t>adb8b942-ffc9-4d70-963d-bca44af28372</t>
  </si>
  <si>
    <t>7e08138d-b332-4e69-b1cb-a3a4470e5287</t>
  </si>
  <si>
    <t>2021-01-28</t>
  </si>
  <si>
    <t>89c2d5bf-752e-46dd-849a-ed0c10733742</t>
  </si>
  <si>
    <t>2021-01-30</t>
  </si>
  <si>
    <t>1200</t>
  </si>
  <si>
    <t>28d08b6b-e91d-4e65-b9f3-148737bc74e6</t>
  </si>
  <si>
    <t>1693.6</t>
  </si>
  <si>
    <t>3ed108b4-de87-40cb-8246-b9997bf4c71a</t>
  </si>
  <si>
    <t>68e8b210-1a4e-41da-9d11-33dff509628c</t>
  </si>
  <si>
    <t>163.5</t>
  </si>
  <si>
    <t>abaed48d-00c8-4c08-a6ff-cc713ca9e7e7</t>
  </si>
  <si>
    <t>975f2b99-e9ec-486b-ae3e-cf7f54f8996c</t>
  </si>
  <si>
    <t>fafe1728-b83c-4325-9c9d-816495181ac8</t>
  </si>
  <si>
    <t>2021-02-01</t>
  </si>
  <si>
    <t>9081.48</t>
  </si>
  <si>
    <t>357d8dc5-841b-4b34-9766-48c0c7c7ab67</t>
  </si>
  <si>
    <t>573.08</t>
  </si>
  <si>
    <t>23b2b08c-a146-473a-8e02-4ba2db94810c</t>
  </si>
  <si>
    <t>429.78</t>
  </si>
  <si>
    <t>a9bac594-cd11-4968-b922-a2a1c5cb293d</t>
  </si>
  <si>
    <t>396.89</t>
  </si>
  <si>
    <t>021689cd-2011-44cd-ad95-31d2c61827e7</t>
  </si>
  <si>
    <t>4.96</t>
  </si>
  <si>
    <t>42bd1043-1ec7-4082-bff8-31abf2cf0947</t>
  </si>
  <si>
    <t>29.04</t>
  </si>
  <si>
    <t>519ca706-9079-4d5e-bf69-b714748669fd</t>
  </si>
  <si>
    <t>1a55d03a-1a8f-4e10-84ea-167fda773e94</t>
  </si>
  <si>
    <t>56.05</t>
  </si>
  <si>
    <t>31a580d4-65a7-41b9-8dac-c63521782f16</t>
  </si>
  <si>
    <t>34.2</t>
  </si>
  <si>
    <t>131cbf04-b385-45c0-b438-5b8478bdceac</t>
  </si>
  <si>
    <t>d6b61db6-934d-4eb9-a90c-32a81346c2f2</t>
  </si>
  <si>
    <t>65</t>
  </si>
  <si>
    <t>08a1497b-ecbe-45f6-855a-e7d935f9d221</t>
  </si>
  <si>
    <t>c1034924-9c6c-47df-9631-37086eeb10b2</t>
  </si>
  <si>
    <t>dcecb983-bfad-4289-9df1-05160d8fe63a</t>
  </si>
  <si>
    <t>50.4</t>
  </si>
  <si>
    <t>c77165eb-e7af-443e-969a-a999c857a41d</t>
  </si>
  <si>
    <t>ab50f3c9-4f90-4c5c-b0ea-b965f1098508</t>
  </si>
  <si>
    <t>1fec5252-d840-4bae-82f5-7624250aa187</t>
  </si>
  <si>
    <t>2021-02-02</t>
  </si>
  <si>
    <t>7</t>
  </si>
  <si>
    <t>5f990de2-17c4-4cb1-868d-622119da0dc1</t>
  </si>
  <si>
    <t>43</t>
  </si>
  <si>
    <t>c7e079a4-21bb-4aba-9914-18a480ee6072</t>
  </si>
  <si>
    <t>2ae48770-b900-4df1-8310-6bc4cbd9eb07</t>
  </si>
  <si>
    <t>2021-02-03</t>
  </si>
  <si>
    <t>8cf4bf9f-0d47-4acf-93fc-5de5f722e1a3</t>
  </si>
  <si>
    <t>44aeab37-c119-4b6a-a844-f8c42cb82682</t>
  </si>
  <si>
    <t>2021-02-04</t>
  </si>
  <si>
    <t>08c294c8-c15f-451a-baf7-387b9c174121</t>
  </si>
  <si>
    <t>110</t>
  </si>
  <si>
    <t>0194b8ae-2edc-4e9f-8a74-0236dfdaa44b</t>
  </si>
  <si>
    <t>2021-02-05</t>
  </si>
  <si>
    <t>7449.86</t>
  </si>
  <si>
    <t>6428a13c-b517-4ca7-b586-30a5b9762c00</t>
  </si>
  <si>
    <t>fbb7c3b3-b11e-4e36-a726-ea469f14a73e</t>
  </si>
  <si>
    <t>27.8</t>
  </si>
  <si>
    <t>3a9a511b-5532-442a-9421-9fcc3e3cb05c</t>
  </si>
  <si>
    <t>dce487f0-f2d4-477d-a78f-72392a18fbfc</t>
  </si>
  <si>
    <t>8e1c0a67-cc43-4472-800f-f99b05641e02</t>
  </si>
  <si>
    <t>193.65</t>
  </si>
  <si>
    <t>0403e143-cd98-43ca-9301-58eae5080281</t>
  </si>
  <si>
    <t>98adff8d-8142-4082-a0ed-5536d9fb528d</t>
  </si>
  <si>
    <t>ff7227c7-a2d3-4529-8b1f-0650b42a6ef6</t>
  </si>
  <si>
    <t>2021-02-06</t>
  </si>
  <si>
    <t>5d7dfab7-af40-49b7-b46a-3d9d163c28eb</t>
  </si>
  <si>
    <t>16.08</t>
  </si>
  <si>
    <t>27deb64a-5283-4f99-999d-285b8145397c</t>
  </si>
  <si>
    <t>0531d791-e8a5-409f-bca5-5acdc0c3a479</t>
  </si>
  <si>
    <t>2021-02-07</t>
  </si>
  <si>
    <t>80a887e8-2e44-4c86-a132-729968297546</t>
  </si>
  <si>
    <t>-38.27</t>
  </si>
  <si>
    <t>27fee5f0-6ffa-4ed5-ad51-bc59548266b9</t>
  </si>
  <si>
    <t>2021-02-08</t>
  </si>
  <si>
    <t>236.69</t>
  </si>
  <si>
    <t>596daf9e-3660-4a8a-a049-ead62b1b0954</t>
  </si>
  <si>
    <t>75.66</t>
  </si>
  <si>
    <t>648bf5f3-707e-4fb9-953c-333b42949106</t>
  </si>
  <si>
    <t>69acc25d-1252-4f71-beb5-114fba8e3370</t>
  </si>
  <si>
    <t>2021-02-09</t>
  </si>
  <si>
    <t>47a94b9c-9b84-4dee-8f99-4149f1f89939</t>
  </si>
  <si>
    <t>2021-02-10</t>
  </si>
  <si>
    <t>6042.62</t>
  </si>
  <si>
    <t>853b0803-8aa7-4af0-b4b8-81ac0a08a957</t>
  </si>
  <si>
    <t>783.75</t>
  </si>
  <si>
    <t>9751eba2-3510-4538-9b99-86cae83e5568</t>
  </si>
  <si>
    <t>1026.44</t>
  </si>
  <si>
    <t>400368c0-2d21-49a6-aa6a-2dfdd4e8e7c7</t>
  </si>
  <si>
    <t>736.93</t>
  </si>
  <si>
    <t>6c3d4ea6-80a6-43ef-b356-1c61fb6ce6bf</t>
  </si>
  <si>
    <t>245.64</t>
  </si>
  <si>
    <t>4132d45e-dbfc-4f84-9230-f8a1cbfaabfa</t>
  </si>
  <si>
    <t>285.16</t>
  </si>
  <si>
    <t>2340b8ad-0e03-49f4-820f-a80c7d473af4</t>
  </si>
  <si>
    <t>fb6abdbf-3ba2-4546-92a3-2ad746418a26</t>
  </si>
  <si>
    <t>ef6e0447-d807-4a69-9a02-517b65704f96</t>
  </si>
  <si>
    <t>a6cc7202-d7a2-40cc-a7f1-ec7fcfdbe57a</t>
  </si>
  <si>
    <t>02a21245-355f-46fd-876b-33a4a8ef6e88</t>
  </si>
  <si>
    <t>42f888cc-6b34-46f7-aad0-0e6a46d1fcd3</t>
  </si>
  <si>
    <t>545.32</t>
  </si>
  <si>
    <t>34b1cb6d-cf6f-4385-96ca-e1573b4d1abe</t>
  </si>
  <si>
    <t>26.9</t>
  </si>
  <si>
    <t>f445e223-97f7-421f-9e23-1b1fb1b800a3</t>
  </si>
  <si>
    <t>933.27</t>
  </si>
  <si>
    <t>a1cdce83-e49a-4868-881e-de22b5a8a994</t>
  </si>
  <si>
    <t>8922.31</t>
  </si>
  <si>
    <t>978fc158-a995-497c-828c-ea73cf899966</t>
  </si>
  <si>
    <t>964f6393-8c36-4ff8-9756-e1d2756d1aaf</t>
  </si>
  <si>
    <t>2021-02-12</t>
  </si>
  <si>
    <t>73</t>
  </si>
  <si>
    <t>05a7aeaf-0f45-453b-9693-55259f3829c3</t>
  </si>
  <si>
    <t>a5865ec0-d6ca-4de0-a6b1-a0ab4927cff2</t>
  </si>
  <si>
    <t>0e914411-a026-461c-af6c-697d386ffd73</t>
  </si>
  <si>
    <t>2021-02-13</t>
  </si>
  <si>
    <t>f38d72b0-ef74-44c0-b3b5-023531641347</t>
  </si>
  <si>
    <t>2021-02-14</t>
  </si>
  <si>
    <t>916faf3e-fd1a-4cf2-a697-f0ffcabd8b7c</t>
  </si>
  <si>
    <t>2021-02-15</t>
  </si>
  <si>
    <t>b93aa688-f5e4-4f94-8f3f-c3198a7857df</t>
  </si>
  <si>
    <t>8e3de1be-375f-421b-8f14-26636ae61304</t>
  </si>
  <si>
    <t>0f95e29f-4b0d-4ce1-bb1f-82382db5ed45</t>
  </si>
  <si>
    <t>831ee3f7-feb3-4143-a53c-191f5cd95448</t>
  </si>
  <si>
    <t>2021-02-16</t>
  </si>
  <si>
    <t>350132f1-6a20-4877-bc95-4d1613715f72</t>
  </si>
  <si>
    <t>2021-02-17</t>
  </si>
  <si>
    <t>aa5e752d-711f-4efe-b42c-01b6d4aaeee8</t>
  </si>
  <si>
    <t>24e4d9cf-c36e-4c3b-9210-52b14335ec29</t>
  </si>
  <si>
    <t>46355afa-7043-42a7-96f6-aa41f415fb6a</t>
  </si>
  <si>
    <t>2021-02-19</t>
  </si>
  <si>
    <t>1119fc4c-d5a9-41d0-8123-7119a24559dc</t>
  </si>
  <si>
    <t>135.53</t>
  </si>
  <si>
    <t>06192ee9-346e-4fec-aa89-cff96e8fc4d5</t>
  </si>
  <si>
    <t>1fabafe7-1f67-4041-bf38-6f04fd84c053</t>
  </si>
  <si>
    <t>a52a8ec2-e507-4bdf-853c-1d4f18235348</t>
  </si>
  <si>
    <t>2021-02-25</t>
  </si>
  <si>
    <t>100.51</t>
  </si>
  <si>
    <t>cfc9af27-0279-4928-be9a-3a3412106bef</t>
  </si>
  <si>
    <t>90</t>
  </si>
  <si>
    <t>4d80b0f1-df04-4a59-a13e-8fd4fed3175a</t>
  </si>
  <si>
    <t>ce2a3139-1d70-484b-97fa-e9f0e1f8773d</t>
  </si>
  <si>
    <t>675d2d5e-ca33-437e-8edf-b1fc26893a63</t>
  </si>
  <si>
    <t>30.4</t>
  </si>
  <si>
    <t>6cf56b53-223b-4a4d-8b5b-13269c767561</t>
  </si>
  <si>
    <t>6906a4d2-75aa-40f2-b350-5fba1e85eca4</t>
  </si>
  <si>
    <t>2021-02-26</t>
  </si>
  <si>
    <t>37.6</t>
  </si>
  <si>
    <t>f0dd4bed-494a-443a-9ebe-d620a83fdc10</t>
  </si>
  <si>
    <t>f2ee0f03-08d1-4639-a5ad-eed9611ace44</t>
  </si>
  <si>
    <t>67</t>
  </si>
  <si>
    <t>b4915f51-a9af-4e61-b475-7a17590281fd</t>
  </si>
  <si>
    <t>2021-02-28</t>
  </si>
  <si>
    <t>1217.5</t>
  </si>
  <si>
    <t>Importado da planilha legada (linha 30) [LEGADO:SKIPPED]</t>
  </si>
  <si>
    <t>3146ca10-5e3f-45a1-9f66-d8e0360f5cec</t>
  </si>
  <si>
    <t>302.5</t>
  </si>
  <si>
    <t>Importado da planilha legada (linha 31) [LEGADO:SKIPPED]</t>
  </si>
  <si>
    <t>49ef914c-be1f-45c4-8eac-31e6ae030e65</t>
  </si>
  <si>
    <t>1712.05</t>
  </si>
  <si>
    <t>Importado da planilha legada (linha 32) [LEGADO:SKIPPED]</t>
  </si>
  <si>
    <t>038a8b72-2592-42c8-a292-89a86ea5bd98</t>
  </si>
  <si>
    <t>08f98ef3-f942-445d-b69a-0c9155078d15</t>
  </si>
  <si>
    <t>39cfcb23-90aa-467e-b987-f0c80e3ea24d</t>
  </si>
  <si>
    <t>fea18c57-7a8e-401c-b8fb-3b0dfc02838a</t>
  </si>
  <si>
    <t>2021-03-01</t>
  </si>
  <si>
    <t>7385.42</t>
  </si>
  <si>
    <t>4ebcbd73-f691-441d-8d26-9ddf6c9154a8</t>
  </si>
  <si>
    <t>15.25</t>
  </si>
  <si>
    <t>b93fb749-5793-4424-b34e-75919b8e860a</t>
  </si>
  <si>
    <t>946bbdd9-171f-4a24-b544-f52efa35a5a7</t>
  </si>
  <si>
    <t>79</t>
  </si>
  <si>
    <t>a8c8b637-eced-445f-859f-63b1a4a7d5da</t>
  </si>
  <si>
    <t>74e3a4f8-ed7b-40a0-9b9d-7300ce5f3d40</t>
  </si>
  <si>
    <t>5a7626f9-dc1f-4e88-bc18-3d37a5a56b97</t>
  </si>
  <si>
    <t>2021-03-04</t>
  </si>
  <si>
    <t>239.88</t>
  </si>
  <si>
    <t>094fa7db-d224-48d0-a777-ed6d35c0c35f</t>
  </si>
  <si>
    <t>470.82</t>
  </si>
  <si>
    <t>d847c1d3-4bbd-4dc9-bf8d-8d589726290e</t>
  </si>
  <si>
    <t>2021-03-05</t>
  </si>
  <si>
    <t>b81304b2-4a0a-4bc9-be6c-8dda3ca1ab89</t>
  </si>
  <si>
    <t>3f50d4eb-b01b-46b6-b74b-d5193210de83</t>
  </si>
  <si>
    <t>3ec21e17-db40-4b23-b686-99ac627c33a3</t>
  </si>
  <si>
    <t>47</t>
  </si>
  <si>
    <t>97c4f925-ea23-4193-8568-9af61f6fdbe0</t>
  </si>
  <si>
    <t>330</t>
  </si>
  <si>
    <t>0d8558d6-d7d3-46a0-8523-ff395b7b6320</t>
  </si>
  <si>
    <t>b846ef0e-36a2-4727-b847-1e6eecda8f2f</t>
  </si>
  <si>
    <t>127</t>
  </si>
  <si>
    <t>fe43965a-de0a-4aeb-b217-18f1c068fd98</t>
  </si>
  <si>
    <t>8316d123-ce1a-4df6-b932-6a843a7df691</t>
  </si>
  <si>
    <t>0345d8de-a659-4180-a2c5-90d808728a09</t>
  </si>
  <si>
    <t>2021-03-06</t>
  </si>
  <si>
    <t>f1d2257b-1819-44df-b337-a5c3461906ec</t>
  </si>
  <si>
    <t>2021-03-07</t>
  </si>
  <si>
    <t>43.52</t>
  </si>
  <si>
    <t>eab1ac34-1202-43c2-b339-244297361a6a</t>
  </si>
  <si>
    <t>2021-03-08</t>
  </si>
  <si>
    <t>187.21</t>
  </si>
  <si>
    <t>bd73ef64-91a4-4811-9dc9-f182d47f05ab</t>
  </si>
  <si>
    <t>337b0d37-16db-4e08-beed-abc085c151b0</t>
  </si>
  <si>
    <t>fd2dab7c-81a3-4c9a-9f2e-c1924be03326</t>
  </si>
  <si>
    <t>914ab56c-ab15-4ab6-8c4c-89d0751c2276</t>
  </si>
  <si>
    <t>16122114-edd1-443e-9a93-497f9694761c</t>
  </si>
  <si>
    <t>10.45</t>
  </si>
  <si>
    <t>804652a8-9418-4387-966f-3efb162f60ee</t>
  </si>
  <si>
    <t>39a39a12-aab8-4267-a631-89b5351ecc8c</t>
  </si>
  <si>
    <t>2021-03-09</t>
  </si>
  <si>
    <t>db479f12-f13b-4ffe-a3d0-5e3b6666fc04</t>
  </si>
  <si>
    <t>2b5f2d6f-7f2a-46af-9973-db7be1095306</t>
  </si>
  <si>
    <t>2021-03-10</t>
  </si>
  <si>
    <t>6081.03</t>
  </si>
  <si>
    <t>d41535b8-e363-4db1-b816-40a518148d7e</t>
  </si>
  <si>
    <t>9f5916c0-875d-42ad-a84c-0e95835debef</t>
  </si>
  <si>
    <t>2ac92c4b-2f3e-4b63-bb19-2237e16aa4e7</t>
  </si>
  <si>
    <t>2c0d49d2-3141-44d7-84e4-df4461ee0c5c</t>
  </si>
  <si>
    <t>1986af29-2e43-4c05-b466-9307c98f5aa2</t>
  </si>
  <si>
    <t>478.05</t>
  </si>
  <si>
    <t>dcd69d75-46e2-42d0-9592-e07315dde576</t>
  </si>
  <si>
    <t>9000d204-7431-4285-bf87-cd8b02cc53ce</t>
  </si>
  <si>
    <t>158bbbd2-14df-4ad0-a7e4-943f86edd57d</t>
  </si>
  <si>
    <t>dd1e6bec-14a1-46ad-91ed-f95ecd1e541e</t>
  </si>
  <si>
    <t>eaa7011a-e4fb-46fa-a74f-292a40bf8001</t>
  </si>
  <si>
    <t>988cf988-a1e7-4d3c-a799-4630db5f65cf</t>
  </si>
  <si>
    <t>55ea7d21-cb48-4567-b39c-1ceb5e5f6592</t>
  </si>
  <si>
    <t>468.56</t>
  </si>
  <si>
    <t>f490d77b-beb2-43f7-b100-4966e9d056c5</t>
  </si>
  <si>
    <t>702.1</t>
  </si>
  <si>
    <t>eb9c1800-fcb9-40b6-bdfa-0ceb3d2c2d2f</t>
  </si>
  <si>
    <t>2580.11</t>
  </si>
  <si>
    <t>f5303550-fa35-4813-9740-22f175221d47</t>
  </si>
  <si>
    <t>86.42</t>
  </si>
  <si>
    <t>874368f1-3afc-4a4e-aac6-700f6924852f</t>
  </si>
  <si>
    <t>66faaca3-ef7b-4ebb-bb0f-cd6cf3693416</t>
  </si>
  <si>
    <t>13.5</t>
  </si>
  <si>
    <t>c3504bf3-8fb3-4adb-a0fc-11a00317651c</t>
  </si>
  <si>
    <t>16e0efd9-d183-4447-bd4a-6512f66fd0d6</t>
  </si>
  <si>
    <t>2021-03-11</t>
  </si>
  <si>
    <t>155</t>
  </si>
  <si>
    <t>edc058a3-e0fd-47be-ad65-6b4c1b5cc884</t>
  </si>
  <si>
    <t>2021-03-12</t>
  </si>
  <si>
    <t>c78ec45e-c421-4851-90b1-4001a9e373d6</t>
  </si>
  <si>
    <t>8fa5e07a-57c6-4b75-9f03-8cfe5ed2de8b</t>
  </si>
  <si>
    <t>33f63dcb-41bd-4a2c-82e2-0fec8ed3b4eb</t>
  </si>
  <si>
    <t>5a72bfb7-f987-4486-a8ee-1dde6ef7393f</t>
  </si>
  <si>
    <t>2021-03-13</t>
  </si>
  <si>
    <t>25.95</t>
  </si>
  <si>
    <t>89c3dbc9-a946-4adb-bb5d-3e6716e1c35a</t>
  </si>
  <si>
    <t>817ea3b9-cff4-4984-a2ee-526fd68cba10</t>
  </si>
  <si>
    <t>2021-03-14</t>
  </si>
  <si>
    <t>a94a3913-2fb7-47da-ba9d-62401f9ce329</t>
  </si>
  <si>
    <t>2021-03-15</t>
  </si>
  <si>
    <t>ee51032e-2325-419c-a6eb-889a54abd1cd</t>
  </si>
  <si>
    <t>44.5</t>
  </si>
  <si>
    <t>ad95f8e2-79b1-4362-b50e-b945fa7e1850</t>
  </si>
  <si>
    <t>2021-03-16</t>
  </si>
  <si>
    <t>9d184de8-aee8-45fd-bfa6-5d294493d739</t>
  </si>
  <si>
    <t>2021-03-18</t>
  </si>
  <si>
    <t>af5c5a92-c0fd-454c-8388-594b063301c4</t>
  </si>
  <si>
    <t>2021-03-19</t>
  </si>
  <si>
    <t>92</t>
  </si>
  <si>
    <t>006e5797-ebd8-4b36-85e4-18294fb79871</t>
  </si>
  <si>
    <t>4ae76da2-933f-4b88-999d-8fe9f13b9540</t>
  </si>
  <si>
    <t>32.97</t>
  </si>
  <si>
    <t>39353d8d-5e02-4945-ae04-6100cdae9ce4</t>
  </si>
  <si>
    <t>31.2</t>
  </si>
  <si>
    <t>aa43b494-2fd6-4488-a373-b98d4d6a4a46</t>
  </si>
  <si>
    <t>2021-03-20</t>
  </si>
  <si>
    <t>82dec7f8-b2b2-4125-a984-7ff2998d034b</t>
  </si>
  <si>
    <t>116</t>
  </si>
  <si>
    <t>ba1d4295-c6f3-4430-9d28-a88c1fa55973</t>
  </si>
  <si>
    <t>2021-03-24</t>
  </si>
  <si>
    <t>25.5</t>
  </si>
  <si>
    <t>c459fc88-0176-4adc-855c-0f78f65e359c</t>
  </si>
  <si>
    <t>00eb3505-6698-4abf-88a5-6277e0e386aa</t>
  </si>
  <si>
    <t>3956f9c9-58a0-42da-88d2-372b5f9f4085</t>
  </si>
  <si>
    <t>2021-03-25</t>
  </si>
  <si>
    <t>110.52</t>
  </si>
  <si>
    <t>f21db6cc-efd9-41a2-9c0b-db09872da161</t>
  </si>
  <si>
    <t>76</t>
  </si>
  <si>
    <t>d235d795-88f9-4282-b04f-b3bcde828188</t>
  </si>
  <si>
    <t>5a84f4eb-3906-47ca-9a92-79a08618a01d</t>
  </si>
  <si>
    <t>e3d0e42b-94e2-40e8-b5ac-073a6a9f4459</t>
  </si>
  <si>
    <t>2021-03-26</t>
  </si>
  <si>
    <t>59b62901-ab2c-452b-b497-c59bf602d724</t>
  </si>
  <si>
    <t>2021-03-30</t>
  </si>
  <si>
    <t>3294c4bf-79f2-44fe-afc5-c1d68506c55b</t>
  </si>
  <si>
    <t>Importado da planilha legada (linha 31) [LEGADO:OK]</t>
  </si>
  <si>
    <t>ba45c103-a5e4-4954-a99a-22ff7c817ac6</t>
  </si>
  <si>
    <t>1825.9</t>
  </si>
  <si>
    <t>e2a3c8c7-07f9-488f-9d85-accfcb28020f</t>
  </si>
  <si>
    <t>66e16bcf-c5df-458d-b466-0cf301220c15</t>
  </si>
  <si>
    <t>26d76aa7-cfcc-409c-837f-8161acd980e8</t>
  </si>
  <si>
    <t>1cd40d24-1ead-4fa0-9e29-3d1bc8034cbf</t>
  </si>
  <si>
    <t>9df6c1bf-4538-4353-a184-ef0d2db19d06</t>
  </si>
  <si>
    <t>2021-03-31</t>
  </si>
  <si>
    <t>-3</t>
  </si>
  <si>
    <t>eddb10d1-e98c-40ed-a254-3abe726c0896</t>
  </si>
  <si>
    <t>2021-04-01</t>
  </si>
  <si>
    <t>8146.25</t>
  </si>
  <si>
    <t>334890c9-891e-4fee-b30a-660a0cdeaf26</t>
  </si>
  <si>
    <t>644.72</t>
  </si>
  <si>
    <t>9e68376e-54fd-49e4-9b19-b8ef46d2e979</t>
  </si>
  <si>
    <t>c79a3cf4-e0a5-4c0d-b820-86df8732497a</t>
  </si>
  <si>
    <t>2021-04-03</t>
  </si>
  <si>
    <t>133</t>
  </si>
  <si>
    <t>69e96a1c-b760-4e01-9a17-388380e3ef0f</t>
  </si>
  <si>
    <t>57ab3b23-3472-4ff2-b622-dfaaf1f50f59</t>
  </si>
  <si>
    <t>8e7493ba-9abe-43d7-866a-f0bf18cfd6c6</t>
  </si>
  <si>
    <t>2021-04-04</t>
  </si>
  <si>
    <t>2393e4f1-71b0-47cc-9189-b3e147f35f1f</t>
  </si>
  <si>
    <t>491c1e12-ec9f-4cfa-bfe2-b9656358df11</t>
  </si>
  <si>
    <t>1d79d2c4-ee91-4ff6-8a0f-33d12d70959b</t>
  </si>
  <si>
    <t>e7bc2c1d-1adf-4420-bea2-e09e815861de</t>
  </si>
  <si>
    <t>d3d3d82a-bae0-402d-8d77-2d878d77a4d8</t>
  </si>
  <si>
    <t>2021-04-05</t>
  </si>
  <si>
    <t>c5613395-ad56-48ae-becf-d42a5f84f21e</t>
  </si>
  <si>
    <t>288.75</t>
  </si>
  <si>
    <t>5d499703-65e8-4bb6-a31b-4d4337addf8e</t>
  </si>
  <si>
    <t>92aaa5e1-23a5-4031-8c7d-8d7a5532e3d1</t>
  </si>
  <si>
    <t>4013feed-2324-47c4-97ab-11e0ce833224</t>
  </si>
  <si>
    <t>7.5</t>
  </si>
  <si>
    <t>16271fc6-29d4-4154-92aa-9ef246b1faa3</t>
  </si>
  <si>
    <t>06269c23-fb79-4696-bffc-01b50610f282</t>
  </si>
  <si>
    <t>b236ca72-2c75-48d1-a4cf-326e80778fe6</t>
  </si>
  <si>
    <t>2021-04-06</t>
  </si>
  <si>
    <t>c421cb12-c8eb-410a-b2dd-337474586950</t>
  </si>
  <si>
    <t>05320af5-06f5-49da-af0d-670946f1b68a</t>
  </si>
  <si>
    <t>e993c317-c3ec-4884-bb41-046eecaa254a</t>
  </si>
  <si>
    <t>9e007660-1eb3-494c-87ca-37003565e444</t>
  </si>
  <si>
    <t>440521da-a553-43c5-b6df-5ba26311a7eb</t>
  </si>
  <si>
    <t>2021-04-08</t>
  </si>
  <si>
    <t>141.15</t>
  </si>
  <si>
    <t>668636f1-390c-4bd7-a8c9-c166e61faafb</t>
  </si>
  <si>
    <t>52945267-bd36-4d74-891d-e25a66b2041d</t>
  </si>
  <si>
    <t>2021-04-09</t>
  </si>
  <si>
    <t>1f2ef14f-0dac-4ad3-bf84-f044d3c2b9a0</t>
  </si>
  <si>
    <t>b2d37b96-7cb0-4202-a050-f325dd3ac5d7</t>
  </si>
  <si>
    <t>2021-04-10</t>
  </si>
  <si>
    <t>5987.75</t>
  </si>
  <si>
    <t>1767d5b6-f3a7-4d02-a3e0-cc6e2de2a36c</t>
  </si>
  <si>
    <t>54ec4916-719f-4103-8b45-218c122233d6</t>
  </si>
  <si>
    <t>010b8a60-4056-4032-b776-0d01c6d3e182</t>
  </si>
  <si>
    <t>a4bb1010-5974-47ab-be4b-38a8e437306b</t>
  </si>
  <si>
    <t>97d82232-db65-4feb-bf36-3c1544cbb6c5</t>
  </si>
  <si>
    <t>467.59</t>
  </si>
  <si>
    <t>d4084b2e-aad8-49cd-a004-5fe216be15d6</t>
  </si>
  <si>
    <t>afa16321-e4dd-481d-a04a-d8a4696228b4</t>
  </si>
  <si>
    <t>5413f8c0-b3e1-4063-bcaa-c0825d6461e5</t>
  </si>
  <si>
    <t>135.73</t>
  </si>
  <si>
    <t>bf212360-cdee-4cdd-b583-ea5d6366f5d5</t>
  </si>
  <si>
    <t>2021-04-11</t>
  </si>
  <si>
    <t>ebc87d7b-fb81-406b-9d11-032237185950</t>
  </si>
  <si>
    <t>2021-04-12</t>
  </si>
  <si>
    <t>34.62</t>
  </si>
  <si>
    <t>cba50ac2-cd49-4417-a6bf-451d61da71b6</t>
  </si>
  <si>
    <t>efc89a6e-c665-4955-8201-105c8dc85d02</t>
  </si>
  <si>
    <t>ebcd375a-8e87-44a5-93c9-2435389962c9</t>
  </si>
  <si>
    <t>1005.87</t>
  </si>
  <si>
    <t>1c139a69-b7b6-4f4c-bf81-25ca715a1abc</t>
  </si>
  <si>
    <t>500.02</t>
  </si>
  <si>
    <t>b8268f56-27d9-4043-af72-40171f22acc2</t>
  </si>
  <si>
    <t>7087.43</t>
  </si>
  <si>
    <t>c5adadb2-d67a-4dc9-98cb-439bb83074ea</t>
  </si>
  <si>
    <t>278.61</t>
  </si>
  <si>
    <t>ca74693b-82fb-4d0c-ba7c-9b0ba18d79e9</t>
  </si>
  <si>
    <t>69a08325-8860-46cc-bee4-6b62ca73c280</t>
  </si>
  <si>
    <t>2021-04-13</t>
  </si>
  <si>
    <t>fa28575a-9216-4821-bd7f-feda09214b85</t>
  </si>
  <si>
    <t>29.17</t>
  </si>
  <si>
    <t>e7eb1331-70f4-4ff9-8e7a-97e556113aec</t>
  </si>
  <si>
    <t>2021-04-14</t>
  </si>
  <si>
    <t>1343.96</t>
  </si>
  <si>
    <t>50220d74-21c6-44a6-a911-ce87b31200d8</t>
  </si>
  <si>
    <t>c69f4f4b-67ec-4d7a-a60a-7afcc80c055a</t>
  </si>
  <si>
    <t>46b9138f-c47a-4123-91af-4f96dbfe1b0b</t>
  </si>
  <si>
    <t>231e8bf8-0253-4729-b25b-b9d2e49efc0e</t>
  </si>
  <si>
    <t>41.65</t>
  </si>
  <si>
    <t>6a0f2f6f-2268-4f90-932d-814e73fbf5d6</t>
  </si>
  <si>
    <t>2021-04-15</t>
  </si>
  <si>
    <t>a23ea571-66e9-4cfa-84d2-54f3a7b8fe3a</t>
  </si>
  <si>
    <t>400ff38e-abe8-4fd8-a551-05b15a1391ae</t>
  </si>
  <si>
    <t>208</t>
  </si>
  <si>
    <t>21e9a943-712c-4c4f-ac99-c60e9001e9b7</t>
  </si>
  <si>
    <t>2021-04-16</t>
  </si>
  <si>
    <t>10428676-6978-430c-9717-3c145acdb29b</t>
  </si>
  <si>
    <t>e8995306-6a97-46e3-9809-f30ac6f0700e</t>
  </si>
  <si>
    <t>2b5547de-35dc-45e9-9c17-7f126e22cedc</t>
  </si>
  <si>
    <t>fbf1e593-e05d-40b8-ac95-3114110c8387</t>
  </si>
  <si>
    <t>1b58c7bb-5842-499e-820f-2df47d84e9c2</t>
  </si>
  <si>
    <t>8f4af68d-57ec-4bd3-b294-1ebd6609639d</t>
  </si>
  <si>
    <t>2021-04-19</t>
  </si>
  <si>
    <t>81cfa4f4-ea4f-4141-9a4b-dee73cf2f00d</t>
  </si>
  <si>
    <t>2021-04-20</t>
  </si>
  <si>
    <t>76b45d46-004c-4b60-8fda-061dc01b046b</t>
  </si>
  <si>
    <t>59ac9641-ca18-42a4-ac3c-a6347a440059</t>
  </si>
  <si>
    <t>e9e91753-ebca-4527-8364-0cf4d2e45837</t>
  </si>
  <si>
    <t>2021-04-22</t>
  </si>
  <si>
    <t>8c1ea3eb-3400-4145-8825-1a5cff651263</t>
  </si>
  <si>
    <t>2021-04-23</t>
  </si>
  <si>
    <t>75</t>
  </si>
  <si>
    <t>efdda4d0-3012-42e3-b650-b646deb9e0bc</t>
  </si>
  <si>
    <t>2021-04-25</t>
  </si>
  <si>
    <t>100.8</t>
  </si>
  <si>
    <t>579e0e06-38ba-4d83-9538-ffe1d73d8201</t>
  </si>
  <si>
    <t>2021-04-26</t>
  </si>
  <si>
    <t>92.81</t>
  </si>
  <si>
    <t>a2b84d43-fe6f-48b4-8308-e9697a8141f1</t>
  </si>
  <si>
    <t>bff00940-c855-4528-b1be-f26a448c5b76</t>
  </si>
  <si>
    <t>ba3bafb2-ddb3-47f8-a7cd-e5af06f66919</t>
  </si>
  <si>
    <t>2021-04-27</t>
  </si>
  <si>
    <t>5de4d8e7-3aac-4aa9-9fdb-b1001db577b2</t>
  </si>
  <si>
    <t>5f33246c-a982-40c0-8571-4eb61f6de023</t>
  </si>
  <si>
    <t>2021-04-29</t>
  </si>
  <si>
    <t>29.8</t>
  </si>
  <si>
    <t>3a06b698-5327-404a-8dc8-c6f6553841a4</t>
  </si>
  <si>
    <t>2021-04-30</t>
  </si>
  <si>
    <t>1017.5</t>
  </si>
  <si>
    <t>b14b14fa-519b-4d92-b485-2797c6ef7384</t>
  </si>
  <si>
    <t>44d4528f-66b1-454f-88fb-a1c806230fe4</t>
  </si>
  <si>
    <t>1855.37</t>
  </si>
  <si>
    <t>b1b959db-763c-420d-9fe8-ff2775664ac1</t>
  </si>
  <si>
    <t>07b9cad0-4ce9-4981-a863-d7864a6c7fdb</t>
  </si>
  <si>
    <t>71968a4c-040a-4a36-9bf7-296089da7839</t>
  </si>
  <si>
    <t>bc457ba0-e1ed-4c87-9a8f-d03c4194c39b</t>
  </si>
  <si>
    <t>2021-05-01</t>
  </si>
  <si>
    <t>6396.88</t>
  </si>
  <si>
    <t>3a73479e-c166-4d3e-8aab-f12687617097</t>
  </si>
  <si>
    <t>1184.68</t>
  </si>
  <si>
    <t>d0b5cd43-97a1-4acb-bd65-ae3fc76fedc0</t>
  </si>
  <si>
    <t>fb54f318-843d-47d2-a1db-22dfbeff0084</t>
  </si>
  <si>
    <t>77.3</t>
  </si>
  <si>
    <t>8cd2de28-752b-4576-b994-c16d2b363ac5</t>
  </si>
  <si>
    <t>2021-05-03</t>
  </si>
  <si>
    <t>f33ea9e6-53b1-432d-a4f1-626064d23b27</t>
  </si>
  <si>
    <t>0.76</t>
  </si>
  <si>
    <t>73364c71-bc69-4b05-9512-db418c8122bb</t>
  </si>
  <si>
    <t>2021-05-04</t>
  </si>
  <si>
    <t>88.9</t>
  </si>
  <si>
    <t>63cc3e29-9eca-4d8f-909c-52754c45ffb3</t>
  </si>
  <si>
    <t>2021-05-05</t>
  </si>
  <si>
    <t>fb0782d7-fa9f-4f80-882e-8ece64122f42</t>
  </si>
  <si>
    <t>cd1ee4c3-80d2-42c5-aa51-556ef0c6d79e</t>
  </si>
  <si>
    <t>afce7be3-52cb-440c-b700-24dfefafbb23</t>
  </si>
  <si>
    <t>2021-05-06</t>
  </si>
  <si>
    <t>350</t>
  </si>
  <si>
    <t>dd1be785-9923-4c33-9243-37793fe38006</t>
  </si>
  <si>
    <t>aa52cb6d-5784-4657-b526-18a3f6dd6a1c</t>
  </si>
  <si>
    <t>2021-05-07</t>
  </si>
  <si>
    <t>d3c9bb3a-5418-4e13-b101-51289e95da53</t>
  </si>
  <si>
    <t>de58a899-879d-4aa8-a712-ab663c7f4079</t>
  </si>
  <si>
    <t>c7a073bd-7d2e-4415-a7e0-92717c96e7dd</t>
  </si>
  <si>
    <t>2021-05-08</t>
  </si>
  <si>
    <t>125.04</t>
  </si>
  <si>
    <t>9e258f00-1b1d-45b9-a9fa-08f6aca1051c</t>
  </si>
  <si>
    <t>2021-05-10</t>
  </si>
  <si>
    <t>5744.76</t>
  </si>
  <si>
    <t>e532ae73-63cd-4804-98e7-860e290ec332</t>
  </si>
  <si>
    <t>77fdf5ce-8726-4009-bc96-6c919d5b9b73</t>
  </si>
  <si>
    <t>61a051d2-3ec8-4346-8f0b-5ecc718c86ba</t>
  </si>
  <si>
    <t>90d4fc34-e70b-4d57-82ff-32298681c9b2</t>
  </si>
  <si>
    <t>4572fe68-74c4-4921-822f-0c6ac739bed3</t>
  </si>
  <si>
    <t>413.17</t>
  </si>
  <si>
    <t>371287f6-f0f1-4e2d-830c-6e4c81f1a2f9</t>
  </si>
  <si>
    <t>91.74</t>
  </si>
  <si>
    <t>a3f74119-693b-4d15-9138-83a4e62fa900</t>
  </si>
  <si>
    <t>b7f2a9e8-5cee-4fdf-b3d7-b65422370177</t>
  </si>
  <si>
    <t>c72e772d-e5ee-437f-a052-1571288af876</t>
  </si>
  <si>
    <t>a8d8f938-de5f-4e02-865e-ec18b2e9ab4a</t>
  </si>
  <si>
    <t>d3b92521-8c48-4934-9b30-3f6ea6b339e4</t>
  </si>
  <si>
    <t>ff12d27a-69dc-4324-9068-6c212de0f685</t>
  </si>
  <si>
    <t>a51eeeba-9be7-49da-aa83-8286f39964d9</t>
  </si>
  <si>
    <t>1fe40708-5aa5-4a05-83d9-36092182e2f8</t>
  </si>
  <si>
    <t>27.9</t>
  </si>
  <si>
    <t>8e046abe-44e1-44cd-962d-cd6e940c28a5</t>
  </si>
  <si>
    <t>6558.27</t>
  </si>
  <si>
    <t>2e118091-6158-4f57-9346-694b322d5a0b</t>
  </si>
  <si>
    <t>896.25</t>
  </si>
  <si>
    <t>2d6c5cbc-a800-4b04-8f14-b358d34d1c63</t>
  </si>
  <si>
    <t>545.89</t>
  </si>
  <si>
    <t>9cf40829-3390-42b8-8895-77ddea6b6886</t>
  </si>
  <si>
    <t>43.8</t>
  </si>
  <si>
    <t>76a1588d-48a6-4671-bc07-2081ae5c8871</t>
  </si>
  <si>
    <t>1851.08</t>
  </si>
  <si>
    <t>c8a12e5f-eac8-45fd-b198-f29ba78d3f2d</t>
  </si>
  <si>
    <t>2021-05-11</t>
  </si>
  <si>
    <t>13f9a883-c7ef-41bb-ab45-33522d626830</t>
  </si>
  <si>
    <t>588.98</t>
  </si>
  <si>
    <t>767f224b-68b8-41bc-b489-d1d0119d34ef</t>
  </si>
  <si>
    <t>21.9</t>
  </si>
  <si>
    <t>3aac4c79-9212-44a5-8373-75ae80deb34b</t>
  </si>
  <si>
    <t>2021-05-12</t>
  </si>
  <si>
    <t>2529a3e3-e489-4c11-b1f8-6a6b67862788</t>
  </si>
  <si>
    <t>2021-05-13</t>
  </si>
  <si>
    <t>6949f49d-9122-4618-ba9b-c940b29b910a</t>
  </si>
  <si>
    <t>de5c280b-e211-4e8c-8fc6-4694bc557a7b</t>
  </si>
  <si>
    <t>2021-05-14</t>
  </si>
  <si>
    <t>3f6d26b5-001d-4a9e-9c01-25452e8f3a00</t>
  </si>
  <si>
    <t>30.64</t>
  </si>
  <si>
    <t>724ed6b7-662d-4b87-a2da-23fafaef5091</t>
  </si>
  <si>
    <t>2021-05-15</t>
  </si>
  <si>
    <t>145ad3f0-df9d-459b-9d37-ddc64b80b8ee</t>
  </si>
  <si>
    <t>2021-05-17</t>
  </si>
  <si>
    <t>356b5cea-dd13-4142-9766-63dabb1a4484</t>
  </si>
  <si>
    <t>b2211140-234c-430e-bd01-fad2a8c186ad</t>
  </si>
  <si>
    <t>2021-05-18</t>
  </si>
  <si>
    <t>05c05154-f358-4ca4-ba69-f3316570f128</t>
  </si>
  <si>
    <t>ed64545c-dec4-4cc6-a1ff-966040444d0c</t>
  </si>
  <si>
    <t>2021-05-20</t>
  </si>
  <si>
    <t>15f1dac4-8874-462d-a062-cdfda22e00a1</t>
  </si>
  <si>
    <t>b6d1a812-4d60-4cb8-8b50-7a4ded49e874</t>
  </si>
  <si>
    <t>2021-05-21</t>
  </si>
  <si>
    <t>fcff864c-24fb-4263-be90-34bc2d0795aa</t>
  </si>
  <si>
    <t>a4d4b4e2-b526-4580-a02f-d8e135bbf4c0</t>
  </si>
  <si>
    <t>0bee4fe9-87d3-406e-a16f-d8478410ec0b</t>
  </si>
  <si>
    <t>0a3688c8-ea63-4484-9d39-31bf43593b61</t>
  </si>
  <si>
    <t>12.6</t>
  </si>
  <si>
    <t>e00cdbd7-8943-474c-bce2-a316f50b6bc7</t>
  </si>
  <si>
    <t>340b8ce5-2719-4056-b802-6568ee29eef7</t>
  </si>
  <si>
    <t>647a5d97-d99c-4df2-b20c-e6fb943928c3</t>
  </si>
  <si>
    <t>ef98c746-cf08-44da-88bb-f64ec272073f</t>
  </si>
  <si>
    <t>2021-05-24</t>
  </si>
  <si>
    <t>116.68</t>
  </si>
  <si>
    <t>0c4c6a94-7d16-42f4-9448-904970e2f213</t>
  </si>
  <si>
    <t>2021-05-25</t>
  </si>
  <si>
    <t>586deb3e-2a0c-4e74-8c38-028c6da00937</t>
  </si>
  <si>
    <t>3.5</t>
  </si>
  <si>
    <t>1c166a96-a90b-4ac8-8d92-81b3d100ffaa</t>
  </si>
  <si>
    <t>61b2d3ad-e2bd-4ac9-a005-f675d947f485</t>
  </si>
  <si>
    <t>0d192e0a-4591-48ba-bc4d-afa7b4b4d27c</t>
  </si>
  <si>
    <t>f1941905-a973-4e40-8320-6cf257fe27b0</t>
  </si>
  <si>
    <t>2021-05-26</t>
  </si>
  <si>
    <t>5d9be0c5-6ca7-4a90-b4aa-2f49e35f6b59</t>
  </si>
  <si>
    <t>c7a803ce-0fe9-447e-a5e4-7da25577bd7e</t>
  </si>
  <si>
    <t>2021-05-28</t>
  </si>
  <si>
    <t>16c23763-759d-4cdf-b667-e01cd463cd08</t>
  </si>
  <si>
    <t>1600</t>
  </si>
  <si>
    <t>2a384e83-8b39-46a3-bb6e-9a3a2e48110a</t>
  </si>
  <si>
    <t>7ce31a75-da5b-46de-a482-9841c27a0905</t>
  </si>
  <si>
    <t>2021-05-30</t>
  </si>
  <si>
    <t>ff404842-310b-4964-a0e5-b64135c0ac68</t>
  </si>
  <si>
    <t>e6086f7a-e5a6-4d56-b9ec-8855a0ad3d3a</t>
  </si>
  <si>
    <t>1798.73</t>
  </si>
  <si>
    <t>e72c3eca-2516-4901-a450-ee56868b5510</t>
  </si>
  <si>
    <t>6c6942a5-af59-4f06-92ed-8bc3d6407371</t>
  </si>
  <si>
    <t>2021-05-31</t>
  </si>
  <si>
    <t>1107006d-c12d-43a8-b854-0d134a671f64</t>
  </si>
  <si>
    <t>bee10685-3c86-4c99-938a-d1dd70c004f0</t>
  </si>
  <si>
    <t>75a7977a-3264-4415-9db9-eb34c9e48b43</t>
  </si>
  <si>
    <t>46480695-b99f-4c91-a1bc-deabedcdadd0</t>
  </si>
  <si>
    <t>72.8</t>
  </si>
  <si>
    <t>d4de19a6-7d41-43d8-99e2-71250a113072</t>
  </si>
  <si>
    <t>1c19e4cd-68cb-448c-92c7-af86c5a74401</t>
  </si>
  <si>
    <t>12e42578-1798-4629-bd04-3097ea1a261e</t>
  </si>
  <si>
    <t>2021-06-01</t>
  </si>
  <si>
    <t>8868.13</t>
  </si>
  <si>
    <t>b3a46d32-0243-4d5c-a85c-6d958cb57004</t>
  </si>
  <si>
    <t>1245.59</t>
  </si>
  <si>
    <t>abb70594-c095-4fc4-9a1d-234d1fc696ff</t>
  </si>
  <si>
    <t>20b177cd-6d9f-4d40-877a-aa28aaf9770c</t>
  </si>
  <si>
    <t>1c77b8d5-ae86-48e9-aa1c-10e1451553e3</t>
  </si>
  <si>
    <t>63.89</t>
  </si>
  <si>
    <t>2a424736-02ed-46c1-a60d-c199f4ec5ecd</t>
  </si>
  <si>
    <t>ae9edbff-5827-470b-b1e0-9c5ecaed05b3</t>
  </si>
  <si>
    <t>1.42</t>
  </si>
  <si>
    <t>dc819ee1-04e8-48e0-b9b4-307c7421d931</t>
  </si>
  <si>
    <t>2021-06-02</t>
  </si>
  <si>
    <t>13b02caa-95c5-4fac-832f-4f5bc01b3b52</t>
  </si>
  <si>
    <t>2021-06-03</t>
  </si>
  <si>
    <t>bca271a0-50c2-44f4-aff0-4680acc4cca9</t>
  </si>
  <si>
    <t>2021-06-04</t>
  </si>
  <si>
    <t>5d274e9d-833a-4e13-8d56-6fcf2ab994a6</t>
  </si>
  <si>
    <t>14.4</t>
  </si>
  <si>
    <t>32dfb14e-8c32-4593-9608-1f049885830a</t>
  </si>
  <si>
    <t>16b4530a-5413-438e-b50b-943834fff0d9</t>
  </si>
  <si>
    <t>2021-06-05</t>
  </si>
  <si>
    <t>fa2bf117-d8ed-4019-ab1f-507cddc3595e</t>
  </si>
  <si>
    <t>2021-06-06</t>
  </si>
  <si>
    <t>66bbb3c8-1b72-4be8-89da-1e1ff3c95587</t>
  </si>
  <si>
    <t>2021-06-07</t>
  </si>
  <si>
    <t>67a7e722-1c29-47ef-b827-3699138e89ae</t>
  </si>
  <si>
    <t>ad425a1a-c375-49e0-b7ba-224fad71d3b6</t>
  </si>
  <si>
    <t>62</t>
  </si>
  <si>
    <t>d27c91f6-83ad-4f24-a85e-2d099bb9cd56</t>
  </si>
  <si>
    <t>2021-06-08</t>
  </si>
  <si>
    <t>123.03</t>
  </si>
  <si>
    <t>c64d5d5d-e8a1-4231-b1d4-ca9274b4bd8c</t>
  </si>
  <si>
    <t>0b8e3dc4-a7ab-4c2e-9110-d3fbc1cb376c</t>
  </si>
  <si>
    <t>2021-06-09</t>
  </si>
  <si>
    <t>20897296-db88-49fb-969f-d7b028d679fe</t>
  </si>
  <si>
    <t>44c2f00a-be58-4463-94a9-adc0d192df7b</t>
  </si>
  <si>
    <t>33af2774-4721-4250-ae72-4dc5260aca3e</t>
  </si>
  <si>
    <t>2021-06-10</t>
  </si>
  <si>
    <t>2782.76</t>
  </si>
  <si>
    <t>aa25f5e0-0f68-48f2-977c-7384e9026902</t>
  </si>
  <si>
    <t>1272.08</t>
  </si>
  <si>
    <t>2884ea3f-6c95-4b7d-a95c-0f939a88b28c</t>
  </si>
  <si>
    <t>931.7</t>
  </si>
  <si>
    <t>79e2dbc4-2077-4600-80f2-57540787e49a</t>
  </si>
  <si>
    <t>521.02</t>
  </si>
  <si>
    <t>18a14a07-3ec4-4461-a6ed-e920ca885311</t>
  </si>
  <si>
    <t>88.89</t>
  </si>
  <si>
    <t>fb235892-6e07-48a0-8525-6dddbef19003</t>
  </si>
  <si>
    <t>db9d3b80-b1b9-439c-af8e-9bb828b92d03</t>
  </si>
  <si>
    <t>67a14bed-ca52-4238-a9ff-ff278fdcb6d0</t>
  </si>
  <si>
    <t>b2a069dd-ae53-46b7-839c-522b9ffb8c26</t>
  </si>
  <si>
    <t>4904.6</t>
  </si>
  <si>
    <t>a6c8e6e0-2f3c-441a-bb4e-ff5ef3dd2659</t>
  </si>
  <si>
    <t>949.68</t>
  </si>
  <si>
    <t>19235a20-adf6-4138-9967-fb1dfc887e99</t>
  </si>
  <si>
    <t>548.89</t>
  </si>
  <si>
    <t>2284ac61-7896-473d-a55e-b06c203cb3ea</t>
  </si>
  <si>
    <t>165.08</t>
  </si>
  <si>
    <t>96bef090-08c1-4e42-be6c-e69170ef535b</t>
  </si>
  <si>
    <t>408.69</t>
  </si>
  <si>
    <t>365bf8e9-813a-4cd8-8a98-409f79786e14</t>
  </si>
  <si>
    <t>a7caeea6-63a2-477f-969f-c7aa7fa44547</t>
  </si>
  <si>
    <t>2021-06-11</t>
  </si>
  <si>
    <t>119</t>
  </si>
  <si>
    <t>cea671eb-d6a0-4e12-aed0-3863f37ee758</t>
  </si>
  <si>
    <t>8a892792-5f81-4856-a9f9-e2445e5a6b77</t>
  </si>
  <si>
    <t>d8dee036-95e7-4478-a69a-39f58ca503a3</t>
  </si>
  <si>
    <t>4484b071-1169-4b5b-b82a-dde7983bda49</t>
  </si>
  <si>
    <t>2021-06-14</t>
  </si>
  <si>
    <t>a7a03ca4-9378-460e-ae1f-827c44f51a8c</t>
  </si>
  <si>
    <t>8b25ade4-3c82-4543-81c7-e6f10fc82c0e</t>
  </si>
  <si>
    <t>9e5bd44b-169b-447b-94d0-9221f5164f78</t>
  </si>
  <si>
    <t>1cbad8c9-b64b-4428-8cf2-c498f2d4b4f6</t>
  </si>
  <si>
    <t>2021-06-15</t>
  </si>
  <si>
    <t>e264d11b-fa5f-450e-8414-21bd9b3759e2</t>
  </si>
  <si>
    <t>52.9</t>
  </si>
  <si>
    <t>47bfa5ca-edf4-4334-9262-a634246ab0bc</t>
  </si>
  <si>
    <t>2021-06-16</t>
  </si>
  <si>
    <t>62.5</t>
  </si>
  <si>
    <t>8141600c-4dd9-45a3-ae30-49bc4cb6f403</t>
  </si>
  <si>
    <t>2021-06-17</t>
  </si>
  <si>
    <t>1090ae14-5cbb-4944-acac-45af244afeb9</t>
  </si>
  <si>
    <t>2021-06-18</t>
  </si>
  <si>
    <t>f28ab0e0-f1e4-4b69-ba60-a32b2b751d3c</t>
  </si>
  <si>
    <t>2021-06-19</t>
  </si>
  <si>
    <t>92cc201e-11ab-4ab5-96c8-44b50b0a672d</t>
  </si>
  <si>
    <t>e1b43d82-9c9a-466f-a65b-c019b4d5f772</t>
  </si>
  <si>
    <t>10f008ab-114f-4b89-b685-de8ebdcbb038</t>
  </si>
  <si>
    <t>2021-06-20</t>
  </si>
  <si>
    <t>2269b07a-cdad-460a-a07a-96baf8c72b69</t>
  </si>
  <si>
    <t>170a346c-12d1-47d3-a1c9-9d25e6f44b3a</t>
  </si>
  <si>
    <t>02954ca6-2eac-4b13-9b88-4508c269b8cf</t>
  </si>
  <si>
    <t>2021-06-21</t>
  </si>
  <si>
    <t>23.99</t>
  </si>
  <si>
    <t>c9e83783-8bf4-4ee7-9e95-a603859bdd80</t>
  </si>
  <si>
    <t>b9623c74-4692-4384-9cd3-06959cca4b54</t>
  </si>
  <si>
    <t>d18228e1-fb52-45cd-a0aa-4bc10fcf9908</t>
  </si>
  <si>
    <t>a31c7c51-f5a0-4dfd-8c95-56aa5cfe7d89</t>
  </si>
  <si>
    <t>2021-06-22</t>
  </si>
  <si>
    <t>5671d066-5b37-4b4c-b881-b85c51c08c78</t>
  </si>
  <si>
    <t>2021-06-23</t>
  </si>
  <si>
    <t>520ce40d-0e8e-4d2b-bbf1-6ded0feb14b2</t>
  </si>
  <si>
    <t>e6796453-22c9-4dcd-8e1b-daa5758c2d3b</t>
  </si>
  <si>
    <t>2021-06-24</t>
  </si>
  <si>
    <t>78ba54ff-9383-455b-87a6-e255bc057e8c</t>
  </si>
  <si>
    <t>6030e371-9750-4887-8f4b-b5d6421efcc6</t>
  </si>
  <si>
    <t>40.55</t>
  </si>
  <si>
    <t>a6f3cbc7-916b-4822-be09-34ec5ed330a6</t>
  </si>
  <si>
    <t>db320010-f945-4f73-90b1-ab7b24fe7c8e</t>
  </si>
  <si>
    <t>2021-06-25</t>
  </si>
  <si>
    <t>69b8e355-50a3-4924-9b87-75d06c842b57</t>
  </si>
  <si>
    <t>66293cfb-7b82-4335-80c6-caf73238a5dc</t>
  </si>
  <si>
    <t>0c543583-fcbe-47af-bd05-0aafb91e1903</t>
  </si>
  <si>
    <t>d0da0584-cf2c-4321-a3d0-b8050aa77fc3</t>
  </si>
  <si>
    <t>2021-06-26</t>
  </si>
  <si>
    <t>69fd52be-c6f5-45bb-9f8e-9821f15fa129</t>
  </si>
  <si>
    <t>286</t>
  </si>
  <si>
    <t>fa704f53-4eba-4eec-9493-596cb3eb317a</t>
  </si>
  <si>
    <t>b82e62a2-4bcb-4203-9cce-8f470223f039</t>
  </si>
  <si>
    <t>2021-06-30</t>
  </si>
  <si>
    <t>b02df1f6-6210-4f92-9e03-99a356210d0b</t>
  </si>
  <si>
    <t>c69ee7fa-449f-44e8-b662-169b89654459</t>
  </si>
  <si>
    <t>1755.72</t>
  </si>
  <si>
    <t>668e7a0c-befb-493e-9d1b-8516de827956</t>
  </si>
  <si>
    <t>3a0bf21c-88b6-4b52-af64-832ac56319c9</t>
  </si>
  <si>
    <t>2021-07-01</t>
  </si>
  <si>
    <t>4179.37</t>
  </si>
  <si>
    <t>180f9f57-98d9-4ef2-91c3-f9535ab4c8b5</t>
  </si>
  <si>
    <t>1928.42</t>
  </si>
  <si>
    <t>d8d58a8b-4d8c-4d36-9225-d2975364ee8f</t>
  </si>
  <si>
    <t>3b6e4dab-cfe2-405c-86fe-27d9c92f51fa</t>
  </si>
  <si>
    <t>817.44</t>
  </si>
  <si>
    <t>a2a70792-520d-4c92-b1b4-038073f5be8f</t>
  </si>
  <si>
    <t>f7bea3ca-d13f-4e63-931e-311ed724c102</t>
  </si>
  <si>
    <t>0.69</t>
  </si>
  <si>
    <t>09b643fd-092b-4003-bee5-6995349110bb</t>
  </si>
  <si>
    <t>2021-07-05</t>
  </si>
  <si>
    <t>27e25629-4790-4f9b-85b1-8a0b8e06bd5b</t>
  </si>
  <si>
    <t>e0f1e280-6374-4121-8b22-d69128f8c2e3</t>
  </si>
  <si>
    <t>2021-07-07</t>
  </si>
  <si>
    <t>fb59e027-956e-4db2-a7a0-3954782d4e52</t>
  </si>
  <si>
    <t>118714e9-f52d-4400-a095-347ae1be7753</t>
  </si>
  <si>
    <t>1dd5f0ac-ca03-43d8-9af5-0871151322fb</t>
  </si>
  <si>
    <t>2021-07-08</t>
  </si>
  <si>
    <t>102.83</t>
  </si>
  <si>
    <t>ae561867-e76a-4595-90a1-0044c9493ce2</t>
  </si>
  <si>
    <t>2021-07-10</t>
  </si>
  <si>
    <t>6056.78</t>
  </si>
  <si>
    <t>1e87cac6-998b-4ec4-802e-353950009639</t>
  </si>
  <si>
    <t>c25258f2-5ab1-474f-9ab6-2a470a0f5303</t>
  </si>
  <si>
    <t>ead2f8a4-2265-4425-a251-8dba7804f61c</t>
  </si>
  <si>
    <t>f434db84-e48a-437f-969a-0af91f8d80b9</t>
  </si>
  <si>
    <t>43d14818-b103-4b67-8584-029e9d6aa904</t>
  </si>
  <si>
    <t>465.38</t>
  </si>
  <si>
    <t>dfea5e6c-a129-40de-a358-5ddd4ce19278</t>
  </si>
  <si>
    <t>afe2a7e4-55e0-4349-b875-4fefe70927ff</t>
  </si>
  <si>
    <t>ec83b5f4-622b-4001-be72-b23c96af7ba1</t>
  </si>
  <si>
    <t>807.89</t>
  </si>
  <si>
    <t>93474f28-2b6e-4274-91be-506b5165dce5</t>
  </si>
  <si>
    <t>2231.31</t>
  </si>
  <si>
    <t>684a9bda-6966-4267-8e15-a9a4a01995dc</t>
  </si>
  <si>
    <t>2358.23</t>
  </si>
  <si>
    <t>d1da42e2-148f-4aef-a2f7-457543f1a5b1</t>
  </si>
  <si>
    <t>525</t>
  </si>
  <si>
    <t>5ffc3ce8-38a5-456a-b2d4-db123fcca57d</t>
  </si>
  <si>
    <t>4483.94</t>
  </si>
  <si>
    <t>089bf94d-b5be-4caf-9c1c-d8767a6b0026</t>
  </si>
  <si>
    <t>2021-07-11</t>
  </si>
  <si>
    <t>226</t>
  </si>
  <si>
    <t>d169207c-b689-4e16-8fa3-c29c5bc6724b</t>
  </si>
  <si>
    <t>2021-07-12</t>
  </si>
  <si>
    <t>71ccf636-513a-4e8a-8132-5695b8756d4b</t>
  </si>
  <si>
    <t>42edee3d-3bd6-4832-acd7-ca1d7ef48c50</t>
  </si>
  <si>
    <t>575b726b-3cc4-4a4e-a70a-1a336f436600</t>
  </si>
  <si>
    <t>150acbda-10e3-40cb-915d-bfcfbb71db69</t>
  </si>
  <si>
    <t>212f4fc1-71f1-48af-bb4b-39dc6d387993</t>
  </si>
  <si>
    <t>6b53eb62-ade1-42a6-a59c-bb642fc16451</t>
  </si>
  <si>
    <t>57.4</t>
  </si>
  <si>
    <t>90f7c1e0-bbdd-4eea-9e59-a58abc829036</t>
  </si>
  <si>
    <t>2021-07-13</t>
  </si>
  <si>
    <t>9e3ac091-fe96-4898-8a21-51b2fbb2ab4f</t>
  </si>
  <si>
    <t>2021-07-14</t>
  </si>
  <si>
    <t>bf31e8bc-add7-4187-a922-daad1e335b31</t>
  </si>
  <si>
    <t>2021-07-15</t>
  </si>
  <si>
    <t>8499da98-dd81-40a3-a707-7cd7bf4af034</t>
  </si>
  <si>
    <t>0b71b4e8-f5e3-4ab8-8d15-6e0881fd7024</t>
  </si>
  <si>
    <t>166</t>
  </si>
  <si>
    <t>94a96f43-e744-40de-b3d8-bc71bac94fa4</t>
  </si>
  <si>
    <t>111</t>
  </si>
  <si>
    <t>bcfd95d9-47ae-49e2-8c26-65bfb9da28f6</t>
  </si>
  <si>
    <t>36.87</t>
  </si>
  <si>
    <t>a2a1d175-bb2a-4f36-9fe9-1155cdc99c99</t>
  </si>
  <si>
    <t>2021-07-18</t>
  </si>
  <si>
    <t>c0168758-886a-4d19-bd73-87e2dafd9012</t>
  </si>
  <si>
    <t>81.9</t>
  </si>
  <si>
    <t>275e0d8c-3c73-4a6e-a5a3-6c28d3f7ebee</t>
  </si>
  <si>
    <t>2021-07-19</t>
  </si>
  <si>
    <t>26.18</t>
  </si>
  <si>
    <t>eebe56db-150e-4be8-bee2-cadd3827faf8</t>
  </si>
  <si>
    <t>44310dea-5305-4db2-a96c-e97cd3e39b5b</t>
  </si>
  <si>
    <t>fb8472df-e087-4205-8f95-7d799fc24037</t>
  </si>
  <si>
    <t>2021-07-22</t>
  </si>
  <si>
    <t>6214b9f9-4d8e-480d-9b08-1c492e3911b0</t>
  </si>
  <si>
    <t>ec9681d5-e6e3-4caf-91d9-f87e87c10bd4</t>
  </si>
  <si>
    <t>13bab231-1ef4-4ebf-a239-4835286043cf</t>
  </si>
  <si>
    <t>15.78</t>
  </si>
  <si>
    <t>cac61e14-9ec7-4fd2-8887-4a06bde9e697</t>
  </si>
  <si>
    <t>315187c2-2dae-4ede-b231-ed27e227b43c</t>
  </si>
  <si>
    <t>2021-07-23</t>
  </si>
  <si>
    <t>31.31</t>
  </si>
  <si>
    <t>38503261-1b82-4947-840a-2e3ce7c5c275</t>
  </si>
  <si>
    <t>d48502e0-658a-4ac1-9365-e8da1bb14c01</t>
  </si>
  <si>
    <t>2306a1b7-36f7-4187-8c75-507875ada1ee</t>
  </si>
  <si>
    <t>2021-07-24</t>
  </si>
  <si>
    <t>90f74f19-d265-4bd4-9beb-77605b25aab7</t>
  </si>
  <si>
    <t>2021-07-25</t>
  </si>
  <si>
    <t>e5a080e6-fa8e-461d-8c8c-d999ef46917e</t>
  </si>
  <si>
    <t>2b604613-cdd4-406e-ad82-71306b2063ed</t>
  </si>
  <si>
    <t>c3fd85fe-901e-439d-9895-75c235b4d962</t>
  </si>
  <si>
    <t>0a09b64f-07dc-4d6b-a3db-db0bb37838a0</t>
  </si>
  <si>
    <t>2021-07-27</t>
  </si>
  <si>
    <t>12646552-f8f8-4d00-822e-1b5fcefc7a1c</t>
  </si>
  <si>
    <t>118231d6-024d-485c-8536-b1076f89f4d5</t>
  </si>
  <si>
    <t>33.32</t>
  </si>
  <si>
    <t>0578258f-72b5-4c27-817a-69e0c7a8049a</t>
  </si>
  <si>
    <t>9ff6cb1c-0e26-427f-b298-2ae91dff2db6</t>
  </si>
  <si>
    <t>2021-07-28</t>
  </si>
  <si>
    <t>3f258755-08d4-440b-bc6c-456c23b11c67</t>
  </si>
  <si>
    <t>70.45</t>
  </si>
  <si>
    <t>5f6b4b5e-d15b-420c-83fb-af3138d2ac16</t>
  </si>
  <si>
    <t>2021-07-30</t>
  </si>
  <si>
    <t>58782b64-0aef-4feb-a2ca-5e535f4fd8bf</t>
  </si>
  <si>
    <t>8703a232-9b9a-4288-ae48-39dcedd61643</t>
  </si>
  <si>
    <t>0e5329ec-c2ac-4e1c-ac92-2738c500c980</t>
  </si>
  <si>
    <t>1804.15</t>
  </si>
  <si>
    <t>385b335f-ff22-4105-833b-fc076c61e1bb</t>
  </si>
  <si>
    <t>21e443b6-91ab-430d-8f17-a96bb122a399</t>
  </si>
  <si>
    <t>e5b67602-d92f-4ad8-8ebf-069a29abd6b3</t>
  </si>
  <si>
    <t>2021-08-01</t>
  </si>
  <si>
    <t>8299.55</t>
  </si>
  <si>
    <t>cdbf3a97-67bb-4987-92c5-a42a89f87ebc</t>
  </si>
  <si>
    <t>3300</t>
  </si>
  <si>
    <t>a5516fcb-b3cb-4b9c-9ed0-f8ae3d9eed3b</t>
  </si>
  <si>
    <t>1bbb285f-41f8-4312-a7f1-854cbaa7ade2</t>
  </si>
  <si>
    <t>c6705619-d4f1-4af3-b696-c0c9c1210626</t>
  </si>
  <si>
    <t>378.47</t>
  </si>
  <si>
    <t>1db561cf-db20-442e-b5f3-10ba3abec35b</t>
  </si>
  <si>
    <t>1.86</t>
  </si>
  <si>
    <t>47510919-476d-492d-99f6-0878919ed242</t>
  </si>
  <si>
    <t>92.5</t>
  </si>
  <si>
    <t>6a6d66a2-5407-4ea9-98d5-7da638ba73c8</t>
  </si>
  <si>
    <t>60a52252-d97a-469b-8509-c6d4d9e0e62b</t>
  </si>
  <si>
    <t>331a047e-50aa-48fb-aa0a-fd716d9cf115</t>
  </si>
  <si>
    <t>3e86d9cc-378d-43ca-96e6-5594e978b59c</t>
  </si>
  <si>
    <t>dea0515a-739e-4d4d-bded-8d4f751b367f</t>
  </si>
  <si>
    <t>7537e850-3511-42a8-a8af-007450842eaa</t>
  </si>
  <si>
    <t>2021-08-02</t>
  </si>
  <si>
    <t>4488.57</t>
  </si>
  <si>
    <t>46d8ee47-f00f-4415-b0a9-bce1b87a9296</t>
  </si>
  <si>
    <t>19.75</t>
  </si>
  <si>
    <t>9579db67-55c8-49b3-99f9-42a74b47e730</t>
  </si>
  <si>
    <t>f84b89d2-c7ad-4aa3-ad68-73b6215f980d</t>
  </si>
  <si>
    <t>9b1d35cb-d400-4278-8fa8-30e7289479d1</t>
  </si>
  <si>
    <t>3b8a0683-bae7-48ee-9683-968cf3c07685</t>
  </si>
  <si>
    <t>2021-08-04</t>
  </si>
  <si>
    <t>36.4</t>
  </si>
  <si>
    <t>f1117f16-6ecc-4ad5-a7e7-f7157ff9b441</t>
  </si>
  <si>
    <t>c2995966-68c8-4c96-8a72-853783f71cf9</t>
  </si>
  <si>
    <t>3c168c31-cee9-4f7c-a843-09f49fc54823</t>
  </si>
  <si>
    <t>2021-08-05</t>
  </si>
  <si>
    <t>ef7b4208-8120-4bf6-820b-983e2e0981ae</t>
  </si>
  <si>
    <t>2021-08-06</t>
  </si>
  <si>
    <t>3395eedb-4cd5-4dbe-b275-87d49558c9f9</t>
  </si>
  <si>
    <t>dc6d9206-fd77-4623-85eb-d2cd4b8e2a69</t>
  </si>
  <si>
    <t>2021-08-08</t>
  </si>
  <si>
    <t>93.16</t>
  </si>
  <si>
    <t>320dd3fd-9b86-4e1a-bb30-63a22f12c6ec</t>
  </si>
  <si>
    <t>2021-08-09</t>
  </si>
  <si>
    <t>ef649c22-a5fc-4d1b-a86c-c6d85921c6af</t>
  </si>
  <si>
    <t>2252f1f6-ad0b-408c-9657-c8d467a2d7e0</t>
  </si>
  <si>
    <t>e4f8d216-b7c1-4847-9131-af38a47d4114</t>
  </si>
  <si>
    <t>ba9a6317-9049-4157-98b1-7ec130ce598d</t>
  </si>
  <si>
    <t>2021-08-10</t>
  </si>
  <si>
    <t>5415.31</t>
  </si>
  <si>
    <t>bd708bce-aeff-476e-bb9c-9c4e73345bd5</t>
  </si>
  <si>
    <t>c402002f-e0d8-4874-a18b-b1bcc369a6b3</t>
  </si>
  <si>
    <t>73380314-2a70-4c15-9d2f-2c5de5ee5feb</t>
  </si>
  <si>
    <t>d16951ed-f5c9-4663-8da4-c420a49660df</t>
  </si>
  <si>
    <t>2fbfa31b-4f31-4b39-a134-084fdd6c58c5</t>
  </si>
  <si>
    <t>298.44</t>
  </si>
  <si>
    <t>3d900999-f2e9-4cc0-950c-0caf6d323024</t>
  </si>
  <si>
    <t>d5b690d7-e450-4315-a077-c273faf9367b</t>
  </si>
  <si>
    <t>400c30e9-1099-441c-b8c3-8d30470fd8b8</t>
  </si>
  <si>
    <t>67941842-7cac-4998-897f-5ec4999f1ffd</t>
  </si>
  <si>
    <t>2817.88</t>
  </si>
  <si>
    <t>62139c4e-7116-480d-9c5f-c790fd72811d</t>
  </si>
  <si>
    <t>986.94</t>
  </si>
  <si>
    <t>bd7b9d94-3e63-4ffe-9ea8-d70c344fcf7d</t>
  </si>
  <si>
    <t>7650.7</t>
  </si>
  <si>
    <t>548fcf75-8ea8-4cd7-8f34-2a0efdba1686</t>
  </si>
  <si>
    <t>1113.57</t>
  </si>
  <si>
    <t>eb0f330b-71e9-4231-a29c-093ddd3d7f97</t>
  </si>
  <si>
    <t>2146.59</t>
  </si>
  <si>
    <t>cbebc55c-df80-4a70-b1ad-ec8183f7d8b3</t>
  </si>
  <si>
    <t>59.99</t>
  </si>
  <si>
    <t>b0adaf8d-20d9-42cd-9817-f93ad6568d6d</t>
  </si>
  <si>
    <t>341.79</t>
  </si>
  <si>
    <t>d00ff19f-4da8-40d1-a03b-8afa29309806</t>
  </si>
  <si>
    <t>2021-08-13</t>
  </si>
  <si>
    <t>516.21</t>
  </si>
  <si>
    <t>47e6e677-dfc5-4fcf-87aa-ef2b6453d534</t>
  </si>
  <si>
    <t>165.7</t>
  </si>
  <si>
    <t>f1f9b9c9-e4e3-4b30-89c9-de3a14ac0364</t>
  </si>
  <si>
    <t>96.8</t>
  </si>
  <si>
    <t>24915ed2-e2a3-4d47-919a-6276bf0c95aa</t>
  </si>
  <si>
    <t>PAO E SALGADINHOS</t>
  </si>
  <si>
    <t>8483e7c8-9f53-4106-980a-0c719a7da098</t>
  </si>
  <si>
    <t>2021-08-14</t>
  </si>
  <si>
    <t>35f33fff-219f-46a5-872a-26eb971e2552</t>
  </si>
  <si>
    <t>2021-08-15</t>
  </si>
  <si>
    <t>860366f3-79ae-4b1a-a467-9b3606004820</t>
  </si>
  <si>
    <t>2021-08-16</t>
  </si>
  <si>
    <t>105</t>
  </si>
  <si>
    <t>3c148b7b-fe8a-4e8c-92bf-4bf3690edbc6</t>
  </si>
  <si>
    <t>201dfb18-d0f1-4803-a035-e0e29309e0c3</t>
  </si>
  <si>
    <t>2021-08-17</t>
  </si>
  <si>
    <t>0f041784-4d9f-45a5-af44-8193f1b2fc91</t>
  </si>
  <si>
    <t>6d64280a-25eb-452b-9302-bbaacd7c9343</t>
  </si>
  <si>
    <t>90a2ee81-7e07-4515-97d7-33880a459434</t>
  </si>
  <si>
    <t>2021-08-19</t>
  </si>
  <si>
    <t>6cf4e8c8-7623-4b39-a6b6-4c59c13bd314</t>
  </si>
  <si>
    <t>2021-08-20</t>
  </si>
  <si>
    <t>35f13cbe-de6f-41bb-986a-f7e7f5c442b6</t>
  </si>
  <si>
    <t>73.5</t>
  </si>
  <si>
    <t>302c8437-a77c-419f-b23e-68a6e7e8da40</t>
  </si>
  <si>
    <t>12.8</t>
  </si>
  <si>
    <t>610c5a9b-3c17-4741-9b22-aadc820d8dac</t>
  </si>
  <si>
    <t>a6811473-3cc7-4e73-a5d2-b8971476b50d</t>
  </si>
  <si>
    <t>2021-08-21</t>
  </si>
  <si>
    <t>5607d474-6982-41a6-8075-b71c6026b7ae</t>
  </si>
  <si>
    <t>2021-08-24</t>
  </si>
  <si>
    <t>404e8de5-6482-49df-8339-8c404c552987</t>
  </si>
  <si>
    <t>80a25218-b3e3-441c-9dbb-4a939cecf3f2</t>
  </si>
  <si>
    <t>2021-08-25</t>
  </si>
  <si>
    <t>35e9f413-c9c4-440a-83bf-1519c2975f34</t>
  </si>
  <si>
    <t>657</t>
  </si>
  <si>
    <t>83cdbb98-cc3e-430b-a674-e0583f3dc5f0</t>
  </si>
  <si>
    <t>7a852245-c98c-423d-a9c6-f073734f24c4</t>
  </si>
  <si>
    <t>8b97c026-d9b1-4f15-91c4-f41273989f6f</t>
  </si>
  <si>
    <t>2021-08-26</t>
  </si>
  <si>
    <t>64a739f1-76fe-4aad-9765-6f6a4f5fbdc3</t>
  </si>
  <si>
    <t>29.65</t>
  </si>
  <si>
    <t>6a523c13-8efe-4618-8207-335566b41b3c</t>
  </si>
  <si>
    <t>c88d13af-8dd4-4df0-a99e-7e4fe091fbcc</t>
  </si>
  <si>
    <t>c596082b-1be3-4635-a51d-0b892b137493</t>
  </si>
  <si>
    <t>6b747cc6-ee0a-4c9b-a361-a16edbddc790</t>
  </si>
  <si>
    <t>644f2240-9f74-45a3-bfdc-097a70d6714a</t>
  </si>
  <si>
    <t>1.25</t>
  </si>
  <si>
    <t>748680ae-1818-4c92-b9d4-244d853745c6</t>
  </si>
  <si>
    <t>2021-08-30</t>
  </si>
  <si>
    <t>671c0572-13bd-4c16-894b-f75644594d3f</t>
  </si>
  <si>
    <t>0147ea54-c9fe-441b-89da-bc757f26d388</t>
  </si>
  <si>
    <t>c31e7bf8-d715-4b96-ad29-fc299c7ff122</t>
  </si>
  <si>
    <t>2021-08-31</t>
  </si>
  <si>
    <t>258</t>
  </si>
  <si>
    <t>6f25ea2e-fc11-48ec-8c2d-672ce8684ceb</t>
  </si>
  <si>
    <t>217</t>
  </si>
  <si>
    <t>25f13d31-0b6b-4bd4-88b5-0abe496ae307</t>
  </si>
  <si>
    <t>91.35</t>
  </si>
  <si>
    <t>c3f8f051-ad23-4226-bd4b-e3dcd4402fb1</t>
  </si>
  <si>
    <t>2021-09-01</t>
  </si>
  <si>
    <t>6458.46</t>
  </si>
  <si>
    <t>c0a00618-009f-49b1-a0cb-6ced70a22e94</t>
  </si>
  <si>
    <t>328.56</t>
  </si>
  <si>
    <t>7e2bf242-8ce3-4902-8382-05162fe8fdb2</t>
  </si>
  <si>
    <t>186900a6-7219-4a10-81d1-404e18ea75c1</t>
  </si>
  <si>
    <t>145.4</t>
  </si>
  <si>
    <t>43a3ad61-2745-436c-86d3-8e745f38f730</t>
  </si>
  <si>
    <t>120.6</t>
  </si>
  <si>
    <t>7e9e63e2-5280-4c98-ad67-0fdaae6d90a8</t>
  </si>
  <si>
    <t>c3c653d3-763e-494d-a05e-7b6d9fe73ecf</t>
  </si>
  <si>
    <t>121</t>
  </si>
  <si>
    <t>4e9be879-5a26-4066-98a5-9f523d384eae</t>
  </si>
  <si>
    <t>2021-09-02</t>
  </si>
  <si>
    <t>17fa57af-200e-47fc-a608-5af71745799f</t>
  </si>
  <si>
    <t>f0da4399-e25d-45e6-a8cf-98d8a502db25</t>
  </si>
  <si>
    <t>125</t>
  </si>
  <si>
    <t>19699fbd-3d3a-4510-a95a-e30dfd66735f</t>
  </si>
  <si>
    <t>2021-09-03</t>
  </si>
  <si>
    <t>380</t>
  </si>
  <si>
    <t>75f57b99-cad3-434d-b297-3d16628775fa</t>
  </si>
  <si>
    <t>77237c93-afbc-4549-8360-85b0a9746682</t>
  </si>
  <si>
    <t>5efbc15c-07da-4880-af72-ce1f58c04c7c</t>
  </si>
  <si>
    <t>fd4555e9-099f-4f3b-aca5-6289fb30c434</t>
  </si>
  <si>
    <t>2021-09-05</t>
  </si>
  <si>
    <t>0a79e011-1fea-4149-9740-d183817270d5</t>
  </si>
  <si>
    <t>4326441d-6113-41ca-978e-aa12c931d9c8</t>
  </si>
  <si>
    <t>2021-09-06</t>
  </si>
  <si>
    <t>2432</t>
  </si>
  <si>
    <t>9cccf6d8-3e38-46c5-b9ca-935702dcc3b5</t>
  </si>
  <si>
    <t>10e3eb3a-3fd7-49aa-b2b9-54bc68f9fe6f</t>
  </si>
  <si>
    <t>33bed4fc-bca2-4510-b381-60cc68fcc836</t>
  </si>
  <si>
    <t>8ba1a7f7-526c-4dc1-adf2-f0ad7abc5b29</t>
  </si>
  <si>
    <t>dfa8d46e-fb47-4a5a-9ccb-28004a596b1d</t>
  </si>
  <si>
    <t>140</t>
  </si>
  <si>
    <t>fc32772c-2660-4e9a-bfca-07311c1d9685</t>
  </si>
  <si>
    <t>2021-09-08</t>
  </si>
  <si>
    <t>56.47</t>
  </si>
  <si>
    <t>fd8e16b2-b25e-4cfc-84b6-279358617473</t>
  </si>
  <si>
    <t>2021-09-10</t>
  </si>
  <si>
    <t>5923.17</t>
  </si>
  <si>
    <t>53fb0ebf-28b4-4844-861f-86cf0bcac6cf</t>
  </si>
  <si>
    <t>9f2e34cc-a358-4ae3-a8fe-0e93824ee66d</t>
  </si>
  <si>
    <t>a8fa8d9f-0a45-4416-b8b4-46c205b2533e</t>
  </si>
  <si>
    <t>6f6fcce4-0e88-449c-9ed9-633d4b05e618</t>
  </si>
  <si>
    <t>a28af318-9400-44a0-a380-f9858a8e94a2</t>
  </si>
  <si>
    <t>411.26</t>
  </si>
  <si>
    <t>8dfb7922-a8c8-4007-8cc8-189f4107ff98</t>
  </si>
  <si>
    <t>101</t>
  </si>
  <si>
    <t>99fadd59-5262-486a-ba64-f202dc1bdbcd</t>
  </si>
  <si>
    <t>0d8c036b-fecf-4b77-938c-9dfdcbea6059</t>
  </si>
  <si>
    <t>1557.36</t>
  </si>
  <si>
    <t>e03d3ffe-0fb6-4128-90af-41c328045271</t>
  </si>
  <si>
    <t>4006.22</t>
  </si>
  <si>
    <t>5400ed89-c0ae-45ef-9f58-4a6d72c30382</t>
  </si>
  <si>
    <t>172.88</t>
  </si>
  <si>
    <t>09694087-22c1-4432-950c-45c740143131</t>
  </si>
  <si>
    <t>564.78</t>
  </si>
  <si>
    <t>024875aa-38c2-4b2a-a779-dfc7eaa9619c</t>
  </si>
  <si>
    <t>713.24</t>
  </si>
  <si>
    <t>222ef7b6-af5b-40e9-9819-f507c2af40aa</t>
  </si>
  <si>
    <t>2021-09-14</t>
  </si>
  <si>
    <t>0c28c2da-ea21-410f-aff4-446342483db2</t>
  </si>
  <si>
    <t>252</t>
  </si>
  <si>
    <t>1e6e5073-7a54-414a-9cea-4ed066e51044</t>
  </si>
  <si>
    <t>baad7f90-07ba-480b-a0ba-96a78e11ccf5</t>
  </si>
  <si>
    <t>2021-09-20</t>
  </si>
  <si>
    <t>cccf0de8-659a-4502-bff1-54a5ea231642</t>
  </si>
  <si>
    <t>2021-09-21</t>
  </si>
  <si>
    <t>be91cfe1-abd5-45ba-836b-04bedb8a106e</t>
  </si>
  <si>
    <t>8883a638-bc52-4fb0-a523-98df127f8fb9</t>
  </si>
  <si>
    <t>2021-09-22</t>
  </si>
  <si>
    <t>305</t>
  </si>
  <si>
    <t>23cfa9ad-6f84-4aec-9828-9d38d5bbe757</t>
  </si>
  <si>
    <t>2021-09-23</t>
  </si>
  <si>
    <t>df98021c-7d1e-46d1-9f2c-9bd383e620ea</t>
  </si>
  <si>
    <t>22.5</t>
  </si>
  <si>
    <t>98828f44-1974-4319-9a87-55f9cade5619</t>
  </si>
  <si>
    <t>f453bce8-8393-4722-b228-53e36abdcf6a</t>
  </si>
  <si>
    <t>2021-09-25</t>
  </si>
  <si>
    <t>b6e11006-8bfd-461d-a46b-c595f8afb5e2</t>
  </si>
  <si>
    <t>2021-09-26</t>
  </si>
  <si>
    <t>e1197b3c-ca7b-4f76-81a3-d60859d659a5</t>
  </si>
  <si>
    <t>2021-09-27</t>
  </si>
  <si>
    <t>87eaae9a-e38b-4bdf-b7cc-7b1585d0a3f4</t>
  </si>
  <si>
    <t>2021-09-30</t>
  </si>
  <si>
    <t>33e81291-ae27-41a8-95ea-be496c08ae0c</t>
  </si>
  <si>
    <t>7c8c7521-b83d-4a07-abef-dc0effc03e8a</t>
  </si>
  <si>
    <t>1755.12</t>
  </si>
  <si>
    <t>23e573cb-57e9-4132-b2da-d9f570ea2977</t>
  </si>
  <si>
    <t>3faf5d96-bc3c-4112-a03b-d556d09b9de6</t>
  </si>
  <si>
    <t>234</t>
  </si>
  <si>
    <t>804a39b3-97e2-46b0-9d89-eea7002e4ebc</t>
  </si>
  <si>
    <t>19d30121-7deb-4fe3-9a80-5ce2a64dcdc6</t>
  </si>
  <si>
    <t>123</t>
  </si>
  <si>
    <t>908b5590-51f3-466b-adf4-653c06bfb24c</t>
  </si>
  <si>
    <t>2021-10-01</t>
  </si>
  <si>
    <t>8392.26</t>
  </si>
  <si>
    <t>7fd5520b-b29e-43a5-a3d8-53140dbac600</t>
  </si>
  <si>
    <t>6548.73</t>
  </si>
  <si>
    <t>bd3bc74b-78d1-400c-97ba-8807a179e968</t>
  </si>
  <si>
    <t>f0ca1b02-3543-4b4b-a176-1850bbf49a95</t>
  </si>
  <si>
    <t>131.61</t>
  </si>
  <si>
    <t>5452e6ad-892b-4e1b-8cc1-bda5bf4cd55c</t>
  </si>
  <si>
    <t>115dfb9b-49a0-42aa-8150-61ebc550b7ba</t>
  </si>
  <si>
    <t>535302fb-3a8e-47ab-8faa-c64b9ecc8ab2</t>
  </si>
  <si>
    <t>2021-10-02</t>
  </si>
  <si>
    <t>bc36b8ef-2f42-4261-89ce-a632bb0c58d6</t>
  </si>
  <si>
    <t>808fd976-9ccc-4aef-8814-79045536ae69</t>
  </si>
  <si>
    <t>2021-10-04</t>
  </si>
  <si>
    <t>9411a09b-6312-4308-bf9f-620e79f058a3</t>
  </si>
  <si>
    <t>2021-10-05</t>
  </si>
  <si>
    <t>50d2f992-7ca4-47af-9156-90aa9eb43176</t>
  </si>
  <si>
    <t>2e6e06e3-45ab-4abf-97c7-ce59bf977df1</t>
  </si>
  <si>
    <t>1999.21</t>
  </si>
  <si>
    <t>bbbe3f1d-d2ee-40aa-850d-7b399e1bfd04</t>
  </si>
  <si>
    <t>775.84</t>
  </si>
  <si>
    <t>1c273998-74dd-489c-8a75-2bf7d7416a0b</t>
  </si>
  <si>
    <t>586cfcfe-8635-4c4b-8f8b-a4d7751fc38e</t>
  </si>
  <si>
    <t>791bbcf0-a64a-41ae-b0dc-bd0296742fd7</t>
  </si>
  <si>
    <t>2021-10-06</t>
  </si>
  <si>
    <t>85b89304-f0b6-4f97-bd18-21d5df678662</t>
  </si>
  <si>
    <t>1f2d720b-c901-459e-a76f-de0355825275</t>
  </si>
  <si>
    <t>2021-10-08</t>
  </si>
  <si>
    <t>d1f3642b-8636-47b5-8592-e36dcde23cfa</t>
  </si>
  <si>
    <t>2021-10-10</t>
  </si>
  <si>
    <t>6184.26</t>
  </si>
  <si>
    <t>43212262-4e5a-4d59-befb-b2a6e983fc6c</t>
  </si>
  <si>
    <t>8c3fcf6a-2a4c-4e03-81cf-9d762fb87746</t>
  </si>
  <si>
    <t>d832600d-e475-405b-b6c9-a3ac80a85a28</t>
  </si>
  <si>
    <t>86baf104-4bf9-4aa8-8e0d-8fddbf0b9143</t>
  </si>
  <si>
    <t>93d6bd91-3d97-4772-b777-2aecbe21ee34</t>
  </si>
  <si>
    <t>631c3922-6766-4488-8b9d-2c78b5f151f4</t>
  </si>
  <si>
    <t>1b1df665-3f67-4956-a399-c5dab3dcf067</t>
  </si>
  <si>
    <t>d247706c-45a5-49ba-93e7-9d5c08ae2644</t>
  </si>
  <si>
    <t>4dd7e56c-557c-4b2b-9ae9-d9acaab76243</t>
  </si>
  <si>
    <t>679e5433-c848-40c7-81c5-fc8eec85e0a3</t>
  </si>
  <si>
    <t>2021-10-11</t>
  </si>
  <si>
    <t>4724.51</t>
  </si>
  <si>
    <t>281fc501-4c53-47dd-8584-a0fcd7d72c7c</t>
  </si>
  <si>
    <t>944c81d5-86f8-4e75-a851-87f1cefd3c84</t>
  </si>
  <si>
    <t>94dc2ec4-08b0-45ca-8481-f9469d7c7af1</t>
  </si>
  <si>
    <t>6d12d6d8-3567-4352-8f9c-0f5a644cf975</t>
  </si>
  <si>
    <t>c69655be-c48c-4c4f-9ed7-1fb4573b058d</t>
  </si>
  <si>
    <t>5136b6f1-a680-410b-8553-eaced45e20ec</t>
  </si>
  <si>
    <t>4514.86</t>
  </si>
  <si>
    <t>eabf3f3d-97d4-47c3-aea1-e62771f4ec18</t>
  </si>
  <si>
    <t>82.8</t>
  </si>
  <si>
    <t>ef955c23-340b-48a5-abc4-e3d2fe73f8c7</t>
  </si>
  <si>
    <t>1275</t>
  </si>
  <si>
    <t>56d6b48d-efc1-458e-930e-a30c1cef7c4f</t>
  </si>
  <si>
    <t>7916.82</t>
  </si>
  <si>
    <t>6639860f-b5a8-4f75-95b6-b411166ab2d2</t>
  </si>
  <si>
    <t>40cdba90-c59c-4c4c-8e9e-ba44a453568e</t>
  </si>
  <si>
    <t>2021-10-13</t>
  </si>
  <si>
    <t>24376b45-60c4-42ff-a360-4225e4d41614</t>
  </si>
  <si>
    <t>2021-10-16</t>
  </si>
  <si>
    <t>5ce66c02-5c1c-4e0b-a40c-cd9ff0097005</t>
  </si>
  <si>
    <t>8d9ffb71-a0c2-4fb8-bb05-02aeb3f117ae</t>
  </si>
  <si>
    <t>55f9f16f-e704-432c-98e8-d3fcc6edcf02</t>
  </si>
  <si>
    <t>2021-10-19</t>
  </si>
  <si>
    <t>78.99</t>
  </si>
  <si>
    <t>f2c28eda-7e0d-42ec-8687-a92f15ceece9</t>
  </si>
  <si>
    <t>f998290f-b056-4ecf-be98-65c34581c7cd</t>
  </si>
  <si>
    <t>2021-10-22</t>
  </si>
  <si>
    <t>43cf8a9e-a30b-4f7f-a6d1-1a6782e5b364</t>
  </si>
  <si>
    <t>b2e47717-6662-4d2f-a76b-bed79a5c52d4</t>
  </si>
  <si>
    <t>2021-10-28</t>
  </si>
  <si>
    <t>180</t>
  </si>
  <si>
    <t>fe56838a-dc83-4d33-8fff-8b7bed8c663d</t>
  </si>
  <si>
    <t>ad6f38b6-4104-4823-898c-e3f572875773</t>
  </si>
  <si>
    <t>963cdd7b-fe05-4e85-9484-5fcdc205e958</t>
  </si>
  <si>
    <t>2021-10-29</t>
  </si>
  <si>
    <t>0c218033-0296-40c4-8dae-3cbc324733a8</t>
  </si>
  <si>
    <t>2021-10-30</t>
  </si>
  <si>
    <t>1d55afdb-b0a3-470c-8824-c0b31056a9c6</t>
  </si>
  <si>
    <t>3ea100eb-3b7f-4e2f-9438-c105b36ab68c</t>
  </si>
  <si>
    <t>d985fe2d-097f-45c8-8e11-330e3346d28c</t>
  </si>
  <si>
    <t>2021-10-31</t>
  </si>
  <si>
    <t>0d5efdcb-2f79-4be2-836f-9c4a78287fe2</t>
  </si>
  <si>
    <t>2021-11-01</t>
  </si>
  <si>
    <t>8387.38</t>
  </si>
  <si>
    <t>5459ad67-febc-4d41-aca8-f956b90cec57</t>
  </si>
  <si>
    <t>6150.09</t>
  </si>
  <si>
    <t>ffc654bf-ade4-42f5-a80b-ce38ecf49e4c</t>
  </si>
  <si>
    <t>30a12341-5818-4c59-9563-6220be5ce1d5</t>
  </si>
  <si>
    <t>353.79</t>
  </si>
  <si>
    <t>a03c4c73-c6b7-49e3-9f5e-3ec318cffc4b</t>
  </si>
  <si>
    <t>2935e343-88dc-4836-be4a-9624f92a5aec</t>
  </si>
  <si>
    <t>37e71738-e3f4-4d93-bfb6-27654c2b0094</t>
  </si>
  <si>
    <t>2021-11-03</t>
  </si>
  <si>
    <t>225.04</t>
  </si>
  <si>
    <t>605dd981-10c4-4d91-b151-1cdb02bb4e1f</t>
  </si>
  <si>
    <t>2021-11-04</t>
  </si>
  <si>
    <t>4547396f-49d3-4177-9f5b-d466d28868f5</t>
  </si>
  <si>
    <t>219.18</t>
  </si>
  <si>
    <t>6652812b-701c-422d-ba86-33d47a6d6bac</t>
  </si>
  <si>
    <t>2021-11-05</t>
  </si>
  <si>
    <t>b53da9c5-0f9c-4948-8bdc-33fac8007ce4</t>
  </si>
  <si>
    <t>2021-11-07</t>
  </si>
  <si>
    <t>ecff4947-d82c-454d-b258-a29f19fb8a8d</t>
  </si>
  <si>
    <t>2021-11-08</t>
  </si>
  <si>
    <t>159.64</t>
  </si>
  <si>
    <t>300e47ec-7cac-4b12-86a9-b3c0acf03dc9</t>
  </si>
  <si>
    <t>5d6cc5cc-d3ed-42c1-b79d-94fc434ac729</t>
  </si>
  <si>
    <t>cb9cdf0b-6ccb-472b-9f74-de3810b4ded0</t>
  </si>
  <si>
    <t>2941</t>
  </si>
  <si>
    <t>5f69a6a9-c15c-4d3a-ad6c-c9f81e29d204</t>
  </si>
  <si>
    <t>2021-11-09</t>
  </si>
  <si>
    <t>1500</t>
  </si>
  <si>
    <t>a1055a57-9459-4d46-b94a-208020a5eed0</t>
  </si>
  <si>
    <t>540</t>
  </si>
  <si>
    <t>956cda56-3bce-459d-86ec-ded38a9a4b68</t>
  </si>
  <si>
    <t>2021-11-10</t>
  </si>
  <si>
    <t>5046.25</t>
  </si>
  <si>
    <t>1f32a5ce-99b8-474d-a61b-5032e30b5c98</t>
  </si>
  <si>
    <t>536d5780-9925-43a1-9d10-bf5dff435b7b</t>
  </si>
  <si>
    <t>c3c8c258-4168-48e3-b409-570c13032beb</t>
  </si>
  <si>
    <t>df54d6e5-6f22-45a9-afaa-f8f3ca195b44</t>
  </si>
  <si>
    <t>f58a0dde-d2cd-4574-b62f-4e7d8a980797</t>
  </si>
  <si>
    <t>498.89</t>
  </si>
  <si>
    <t>d25027df-2215-4e8d-996a-60a61dcce09c</t>
  </si>
  <si>
    <t>890d41d3-aa59-44fb-a01f-352d4e5b9700</t>
  </si>
  <si>
    <t>eed8a2fa-9ce8-4976-8ae5-5853faa00b63</t>
  </si>
  <si>
    <t>4062.51</t>
  </si>
  <si>
    <t>4cdaed76-5e33-4450-ab2c-42173218076e</t>
  </si>
  <si>
    <t>10992.25</t>
  </si>
  <si>
    <t>52b93933-fd4c-402b-bcf2-8fbaaf843147</t>
  </si>
  <si>
    <t>c1385221-7f7f-4a0b-b257-ba841d1592d0</t>
  </si>
  <si>
    <t>5adeeaf1-83a4-46bc-9598-8312707b67dc</t>
  </si>
  <si>
    <t>2296.5</t>
  </si>
  <si>
    <t>54e8792e-2dff-40dd-b4f5-ba56eb145a98</t>
  </si>
  <si>
    <t>2021-11-12</t>
  </si>
  <si>
    <t>114</t>
  </si>
  <si>
    <t>c3bdbbb6-3cda-434a-a01e-95621c5550d5</t>
  </si>
  <si>
    <t>2021-11-14</t>
  </si>
  <si>
    <t>5fdfd05e-eaaf-4d54-97dc-2fed8e3d010c</t>
  </si>
  <si>
    <t>296cf2ad-ea2e-4bd7-8f75-1aef033f5a13</t>
  </si>
  <si>
    <t>2021-11-16</t>
  </si>
  <si>
    <t>b4fdb353-17f2-4c91-9654-a7da7b19ebfe</t>
  </si>
  <si>
    <t>2021-11-17</t>
  </si>
  <si>
    <t>210</t>
  </si>
  <si>
    <t>63b24efb-dcb7-41a6-bd30-6f993bd6a868</t>
  </si>
  <si>
    <t>f7fbe798-4c48-4a5c-8189-082f4d4e1227</t>
  </si>
  <si>
    <t>2021-11-18</t>
  </si>
  <si>
    <t>c90f5629-9415-4f63-ac53-cf75aaa279dc</t>
  </si>
  <si>
    <t>2021-11-19</t>
  </si>
  <si>
    <t>980</t>
  </si>
  <si>
    <t>b4118668-0eef-4391-ae94-2915409f78c8</t>
  </si>
  <si>
    <t>2021-11-21</t>
  </si>
  <si>
    <t>f08947e8-ff6a-4512-acf0-e8f275b1853a</t>
  </si>
  <si>
    <t>2021-11-22</t>
  </si>
  <si>
    <t>236</t>
  </si>
  <si>
    <t>cef56cd1-de5d-4f38-816a-218d9062bc9b</t>
  </si>
  <si>
    <t>6a4b3c37-68a6-4038-8e3c-54302076ce3c</t>
  </si>
  <si>
    <t>2021-11-24</t>
  </si>
  <si>
    <t>59007422-ddf0-47da-ad5c-bcb8c06a7e24</t>
  </si>
  <si>
    <t>PIX SUPORTES SILICONE</t>
  </si>
  <si>
    <t>28e43aed-a4cd-491c-a2e2-01d6bd57fb9b</t>
  </si>
  <si>
    <t>b989381e-f3d2-4d8b-8073-a79d15853c58</t>
  </si>
  <si>
    <t>2021-11-25</t>
  </si>
  <si>
    <t>7e881b80-984a-449c-9025-0c9fd40840a9</t>
  </si>
  <si>
    <t>2021-11-27</t>
  </si>
  <si>
    <t>58be9d7c-3f1b-4596-ba3a-7de8583b3f3b</t>
  </si>
  <si>
    <t>2021-11-28</t>
  </si>
  <si>
    <t>e939b59b-bb2b-4aec-90eb-d874cd8eeb93</t>
  </si>
  <si>
    <t>2021-11-29</t>
  </si>
  <si>
    <t>4def44dd-3cf9-47ed-aee7-b4d1a538ecd3</t>
  </si>
  <si>
    <t>2021-11-30</t>
  </si>
  <si>
    <t>1872.84</t>
  </si>
  <si>
    <t>197ade05-4395-4cc7-99e0-986d2ccc4e6c</t>
  </si>
  <si>
    <t>358.96</t>
  </si>
  <si>
    <t>6622dca6-e230-48a7-8a98-539944d042b7</t>
  </si>
  <si>
    <t>3f713283-dd0f-474c-bc35-cf01e0c3d1a9</t>
  </si>
  <si>
    <t>322.86</t>
  </si>
  <si>
    <t>434f7956-333d-4309-85dd-5bf8389160b7</t>
  </si>
  <si>
    <t>93.6</t>
  </si>
  <si>
    <t>4ebedce4-75dd-4788-861a-1eb565a7c0e5</t>
  </si>
  <si>
    <t>9c2e3e71-d057-4293-aeca-346dc4816f4f</t>
  </si>
  <si>
    <t>-371</t>
  </si>
  <si>
    <t>8089267f-da02-46c5-ab50-5a033235d522</t>
  </si>
  <si>
    <t>483c0f3e-7b17-4061-9165-264f223dcac3</t>
  </si>
  <si>
    <t>2021-12-01</t>
  </si>
  <si>
    <t>11542.13</t>
  </si>
  <si>
    <t>7858c9a3-fc46-44b3-803d-8026efca355e</t>
  </si>
  <si>
    <t>-8454.68</t>
  </si>
  <si>
    <t>a31591ea-e1bd-4b80-a33c-0f53e1609f7b</t>
  </si>
  <si>
    <t>13838.18</t>
  </si>
  <si>
    <t>Importado da planilha legada (linha 13) [LEGADO:SKIPPED]</t>
  </si>
  <si>
    <t>1f7b718e-ff5b-44be-aecb-1eacdd9520f9</t>
  </si>
  <si>
    <t>16178.57</t>
  </si>
  <si>
    <t>ab626199-68c3-423f-ab0d-8ab9d8cfe27a</t>
  </si>
  <si>
    <t>2.5</t>
  </si>
  <si>
    <t>2026-02-06T23:17:01.544Z</t>
  </si>
  <si>
    <t>a203d71b-5a77-4b8b-baa7-5d624c0b1b44</t>
  </si>
  <si>
    <t>fc01862e-5984-41f0-b929-e6fc18b808ea</t>
  </si>
  <si>
    <t>efed8c15-f389-4900-a6ed-58a9ff65773a</t>
  </si>
  <si>
    <t>7aef7d6a-f9f4-4188-b365-e83a293a8e8a</t>
  </si>
  <si>
    <t>486.9</t>
  </si>
  <si>
    <t>82532b2f-fe80-4069-86bc-5adf0178aa33</t>
  </si>
  <si>
    <t>eed9b09e-2194-4d5c-b41d-cfe216d58d60</t>
  </si>
  <si>
    <t>237.62</t>
  </si>
  <si>
    <t>ccaa2e77-ab5c-45b3-9a89-d9dd2c206b75</t>
  </si>
  <si>
    <t>2021-12-02</t>
  </si>
  <si>
    <t>920da71c-03ba-45a9-bb88-61233aaa6cda</t>
  </si>
  <si>
    <t>4595534f-9fc3-4d3d-a428-df6d874a078e</t>
  </si>
  <si>
    <t>2b87ca53-f77b-49a9-a1f0-b6372c5de26d</t>
  </si>
  <si>
    <t>40.6</t>
  </si>
  <si>
    <t>39d91410-f6bf-4c5f-addd-ad68af9afab4</t>
  </si>
  <si>
    <t>2021-12-03</t>
  </si>
  <si>
    <t>a33127bf-acfe-4d1d-8d05-5142e8abaa64</t>
  </si>
  <si>
    <t>94b07704-d533-4774-bb19-b71030839ecc</t>
  </si>
  <si>
    <t>2021-12-04</t>
  </si>
  <si>
    <t>11a75ff4-7181-4d6a-9924-85bffb9a8aad</t>
  </si>
  <si>
    <t>52fedcf2-a44c-44a1-81bc-aca0bb7c89f5</t>
  </si>
  <si>
    <t>2021-12-05</t>
  </si>
  <si>
    <t>34e832d3-f34b-4cfe-9897-8e6036f1429a</t>
  </si>
  <si>
    <t>2021-12-06</t>
  </si>
  <si>
    <t>972c25b2-f2dd-4607-9259-317d8fd7a4c0</t>
  </si>
  <si>
    <t>179aa191-8b63-4fb7-998b-4a64a4c90c11</t>
  </si>
  <si>
    <t>2021-12-07</t>
  </si>
  <si>
    <t>4084.95</t>
  </si>
  <si>
    <t>8cce9fcf-66fd-408c-9f85-06188483bc7d</t>
  </si>
  <si>
    <t>4360.6</t>
  </si>
  <si>
    <t>a5bea607-b9fb-4da0-93fb-9cde7c731e7e</t>
  </si>
  <si>
    <t>14238.46</t>
  </si>
  <si>
    <t>4109f6b3-7d8b-44f5-9ce1-121be1a0cc1c</t>
  </si>
  <si>
    <t>7c7e7151-e216-4e08-9742-f3ba57f5d9cb</t>
  </si>
  <si>
    <t>2021-12-08</t>
  </si>
  <si>
    <t>311.99</t>
  </si>
  <si>
    <t>448ff513-ddc2-4bd2-9a9c-583a9314c61d</t>
  </si>
  <si>
    <t>08ab3e9d-e7b6-4a19-8ca2-ff2e729887d8</t>
  </si>
  <si>
    <t>433941b1-69ea-4690-a1dd-a105dc364981</t>
  </si>
  <si>
    <t>2021-12-10</t>
  </si>
  <si>
    <t>4dac92c1-991e-48cd-b176-9d386e47055e</t>
  </si>
  <si>
    <t>2ef700ae-af69-48a4-b4ac-f5dde824adb7</t>
  </si>
  <si>
    <t>199a581e-2625-49aa-9398-c7943d84b26e</t>
  </si>
  <si>
    <t>07ad1b62-01a9-4f29-98b2-94188339a401</t>
  </si>
  <si>
    <t>658.74</t>
  </si>
  <si>
    <t>8d21cbf9-a780-464a-bcf2-c127104087e2</t>
  </si>
  <si>
    <t>99</t>
  </si>
  <si>
    <t>f3b14b8e-0afc-49f8-99f9-dc8c19f2c63d</t>
  </si>
  <si>
    <t>3e021ab9-e527-41bf-ae70-ee0a796d9af7</t>
  </si>
  <si>
    <t>2021-12-12</t>
  </si>
  <si>
    <t>131.88</t>
  </si>
  <si>
    <t>e96e1e15-8bfc-409f-89ea-52d412e2e68c</t>
  </si>
  <si>
    <t>868261ef-ceac-4b21-b72c-e164d5e5941f</t>
  </si>
  <si>
    <t>2775.72</t>
  </si>
  <si>
    <t>2bcb47e8-cba6-42cc-97c3-65dda03098a2</t>
  </si>
  <si>
    <t>464.7</t>
  </si>
  <si>
    <t>edec9190-1f00-4ea4-942a-08231fb89c0a</t>
  </si>
  <si>
    <t>1978.4</t>
  </si>
  <si>
    <t>3412022b-1157-4393-a074-649996b9db70</t>
  </si>
  <si>
    <t>232.8</t>
  </si>
  <si>
    <t>4c076315-f221-4599-92da-5696b9e75a18</t>
  </si>
  <si>
    <t>2021-12-13</t>
  </si>
  <si>
    <t>8c7110bb-a5da-4ed0-8542-094c2f98d167</t>
  </si>
  <si>
    <t>036fb679-7f56-4c49-8282-ec5ce381b731</t>
  </si>
  <si>
    <t>227b82af-3f7c-4929-a694-2390dd44e51a</t>
  </si>
  <si>
    <t>e136be2b-f72c-4cb1-afcf-72d5c33ec38f</t>
  </si>
  <si>
    <t>2021-12-14</t>
  </si>
  <si>
    <t>920</t>
  </si>
  <si>
    <t>c10e9004-3642-4ece-9134-144b3ef3fd02</t>
  </si>
  <si>
    <t>dde7b3c1-4ab6-4a75-b818-10916054ec14</t>
  </si>
  <si>
    <t>2021-12-15</t>
  </si>
  <si>
    <t>d2efdf62-770b-4359-b53d-ea6c7e50c93f</t>
  </si>
  <si>
    <t>2021-12-16</t>
  </si>
  <si>
    <t>dae19632-eed2-45c0-bb72-5463d6bb6d2e</t>
  </si>
  <si>
    <t>2021-12-17</t>
  </si>
  <si>
    <t>d9e9ce92-5709-4b0b-8361-3ea4ea730d6c</t>
  </si>
  <si>
    <t>290</t>
  </si>
  <si>
    <t>e7478492-5b21-4630-acc1-62c54a2cf982</t>
  </si>
  <si>
    <t>78968d69-bc84-4a57-9a69-d34bfd843036</t>
  </si>
  <si>
    <t>c2efdd28-01bb-4a7b-987c-929bd8e207b4</t>
  </si>
  <si>
    <t>090366a0-dbc4-4459-9f46-29de90dbc9ea</t>
  </si>
  <si>
    <t>2021-12-18</t>
  </si>
  <si>
    <t>200767b1-d681-437f-8e3f-96f66c93a766</t>
  </si>
  <si>
    <t>2021-12-19</t>
  </si>
  <si>
    <t>f10d393f-6587-4e8a-a538-f999e8ff4ff4</t>
  </si>
  <si>
    <t>2021-12-20</t>
  </si>
  <si>
    <t>d741061b-9f8a-4d3e-8733-33d973472551</t>
  </si>
  <si>
    <t>2021-12-25</t>
  </si>
  <si>
    <t>124</t>
  </si>
  <si>
    <t>ac861646-74e4-4a95-8010-1990a4a595c5</t>
  </si>
  <si>
    <t>e432897a-8a59-4612-88bf-82dcf4609140</t>
  </si>
  <si>
    <t>440</t>
  </si>
  <si>
    <t>04de6e23-9d17-4d05-a304-5e62fe75fb03</t>
  </si>
  <si>
    <t>2021-12-28</t>
  </si>
  <si>
    <t>8f44ec9e-ca71-4b1d-a0c9-9e17e323cbbf</t>
  </si>
  <si>
    <t>dd5dd4cc-e290-4dcb-9eb1-27dc47b46b59</t>
  </si>
  <si>
    <t>2021-12-29</t>
  </si>
  <si>
    <t>1899.36</t>
  </si>
  <si>
    <t>Importado da planilha legada (linha 17) [LEGADO:OK]</t>
  </si>
  <si>
    <t>7c2e1da3-2b75-4105-b252-58e87dd68b02</t>
  </si>
  <si>
    <t>8426b408-0020-4293-b517-9107f9d9b808</t>
  </si>
  <si>
    <t>2021-12-30</t>
  </si>
  <si>
    <t>520</t>
  </si>
  <si>
    <t>441cedf6-8356-4c28-9b1e-122c41311cd6</t>
  </si>
  <si>
    <t>675.59</t>
  </si>
  <si>
    <t>e9084739-50db-4df0-917e-6bea77801e3f</t>
  </si>
  <si>
    <t>1819.79</t>
  </si>
  <si>
    <t>15118f84-0808-48ce-9114-74c4bd67207f</t>
  </si>
  <si>
    <t>9015532c-3539-4bfc-91c1-1d4d3759dd8f</t>
  </si>
  <si>
    <t>c7710afb-afbf-42c6-8801-fee194520af9</t>
  </si>
  <si>
    <t>-90</t>
  </si>
  <si>
    <t>03b1aa7a-2769-4915-afaf-4bcef38e7766</t>
  </si>
  <si>
    <t>2022-01-01</t>
  </si>
  <si>
    <t>6753.01</t>
  </si>
  <si>
    <t>2026-02-06T23:17:04.406Z</t>
  </si>
  <si>
    <t>2f5f0cc8-117c-4392-8a94-2ee6917481ea</t>
  </si>
  <si>
    <t>2026-02-06T23:17:05.836Z</t>
  </si>
  <si>
    <t>45a1dbbe-2f16-4780-a4ff-77c1bd56157e</t>
  </si>
  <si>
    <t>101.41</t>
  </si>
  <si>
    <t>4cd0cab3-1f01-4d79-a455-4042abc029b9</t>
  </si>
  <si>
    <t>43.36</t>
  </si>
  <si>
    <t>cd785027-ba30-4afb-9ee0-ff2a9a179334</t>
  </si>
  <si>
    <t>2022-01-02</t>
  </si>
  <si>
    <t>1893.81</t>
  </si>
  <si>
    <t>58006d40-fe24-4657-99f0-c85ed1143738</t>
  </si>
  <si>
    <t>2022-01-03</t>
  </si>
  <si>
    <t>8e2352a0-3d2d-4fde-9622-06df72b6e8e6</t>
  </si>
  <si>
    <t>2022-01-04</t>
  </si>
  <si>
    <t>94766c4c-ffd5-4c34-af4c-0f2487c66d0a</t>
  </si>
  <si>
    <t>c73f6882-2a74-4aa5-972b-8f5f9ac1e8d5</t>
  </si>
  <si>
    <t>98</t>
  </si>
  <si>
    <t>edb877e4-4e75-4842-b731-f0d01c9bce52</t>
  </si>
  <si>
    <t>1e6e149f-c9a1-4387-9cf0-2230f404b397</t>
  </si>
  <si>
    <t>c97c9752-ac6b-4d49-942f-76ca88c88b3f</t>
  </si>
  <si>
    <t>2022-01-05</t>
  </si>
  <si>
    <t>309.56</t>
  </si>
  <si>
    <t>c0bc5d5b-e402-4f4e-818a-b0334a7bd483</t>
  </si>
  <si>
    <t>c0ea78b1-12f2-4437-a036-ad3509bc684c</t>
  </si>
  <si>
    <t>2022-01-06</t>
  </si>
  <si>
    <t>65188110-377b-4fab-9a31-8ebd5ea9bcd4</t>
  </si>
  <si>
    <t>2022-01-07</t>
  </si>
  <si>
    <t>8325587d-050d-41e1-8421-85b879a9d9b6</t>
  </si>
  <si>
    <t>3ea4d326-fd2a-4960-9169-ec1ea8798b1f</t>
  </si>
  <si>
    <t>2022-01-08</t>
  </si>
  <si>
    <t>127.97</t>
  </si>
  <si>
    <t>0256ae1e-159b-4b4e-92bb-f9cc7bcbb95f</t>
  </si>
  <si>
    <t>2022-01-10</t>
  </si>
  <si>
    <t>11112.89</t>
  </si>
  <si>
    <t>4af5676b-23fb-453d-9454-ece510d857e8</t>
  </si>
  <si>
    <t>4c88a259-4b79-41e3-84a8-7e32b1d3a8b7</t>
  </si>
  <si>
    <t>Importado da planilha legada (linha 26) [LEGADO:OK]</t>
  </si>
  <si>
    <t>d0ba37a0-7ff1-47d4-8020-489b9cec5077</t>
  </si>
  <si>
    <t>95.95</t>
  </si>
  <si>
    <t>d79e44ed-f7a3-4764-a863-7b784eae0f0b</t>
  </si>
  <si>
    <t>1982.12</t>
  </si>
  <si>
    <t>855b2e6c-82fb-45c1-8f21-701ff2ca0144</t>
  </si>
  <si>
    <t>1182.77</t>
  </si>
  <si>
    <t>a6207f36-54ca-472f-9ed5-fd014eafae8a</t>
  </si>
  <si>
    <t>1459.6</t>
  </si>
  <si>
    <t>088e6213-1cab-436e-beb6-02f1b1c7e05a</t>
  </si>
  <si>
    <t>f23d5f88-48d1-4ead-aa45-cf8b9b27e76a</t>
  </si>
  <si>
    <t>3ee5b9e8-7417-41a3-90b4-e7583be15458</t>
  </si>
  <si>
    <t>4541.89</t>
  </si>
  <si>
    <t>cbb98122-ba82-422b-8c55-e1e1c7f51570</t>
  </si>
  <si>
    <t>251.05</t>
  </si>
  <si>
    <t>e56f0d1d-95e2-4e31-b7f2-dcac4cbbee79</t>
  </si>
  <si>
    <t>2022-01-12</t>
  </si>
  <si>
    <t>7b20b459-bb36-4144-a063-78b197828a46</t>
  </si>
  <si>
    <t>7b1fbe95-8306-4da4-a92f-23bbc55fd5f4</t>
  </si>
  <si>
    <t>2022-01-13</t>
  </si>
  <si>
    <t>b8b9596b-d5c2-4554-a8bd-7bce94ffd61e</t>
  </si>
  <si>
    <t>2022-01-14</t>
  </si>
  <si>
    <t>6054.58</t>
  </si>
  <si>
    <t>2b148fb2-fc4b-47fe-affa-1cedf4f604e0</t>
  </si>
  <si>
    <t>81999cca-cdc2-4d09-86ab-922ccdcb3e85</t>
  </si>
  <si>
    <t>2022-01-17</t>
  </si>
  <si>
    <t>f6e85d59-7b4c-4a72-910d-ec72fa04ed28</t>
  </si>
  <si>
    <t>36433fe2-1ccf-4519-b093-c30df4820ce2</t>
  </si>
  <si>
    <t>0cc6a1fd-93cf-44e2-ad47-0b7e45e57d81</t>
  </si>
  <si>
    <t>d682aa4e-0354-4c7a-8f56-2b5222759ed7</t>
  </si>
  <si>
    <t>2022-01-19</t>
  </si>
  <si>
    <t>cc9f5758-eb0f-4c79-9d59-1dc9afb21ded</t>
  </si>
  <si>
    <t>efaa7e19-6633-4781-8ae8-7eefc77692c0</t>
  </si>
  <si>
    <t>c50f856b-0ba4-43a5-80a7-00b558363d77</t>
  </si>
  <si>
    <t>2022-01-20</t>
  </si>
  <si>
    <t>387f8b58-72e5-4ecd-83c6-8abaca8cc1e9</t>
  </si>
  <si>
    <t>04acd025-e61e-4073-9f14-672be66839e8</t>
  </si>
  <si>
    <t>2022-01-21</t>
  </si>
  <si>
    <t>2e68748b-df20-48ec-b7cc-dbf4e8e0916d</t>
  </si>
  <si>
    <t>213.8</t>
  </si>
  <si>
    <t>5365cfc3-5a1a-4de9-920b-06e6b15682cd</t>
  </si>
  <si>
    <t>050aa052-f3ae-4d35-b618-034c173b3d53</t>
  </si>
  <si>
    <t>2022-01-24</t>
  </si>
  <si>
    <t>842cbe1d-8a9f-4c17-b28b-ffa336d0504d</t>
  </si>
  <si>
    <t>2022-01-25</t>
  </si>
  <si>
    <t>4e224cb2-a6fd-4aec-af7d-4c057e37fae2</t>
  </si>
  <si>
    <t>1fa0d255-0c7e-40cc-b2f5-7e71cf891cf0</t>
  </si>
  <si>
    <t>2022-01-26</t>
  </si>
  <si>
    <t>149</t>
  </si>
  <si>
    <t>ba8b020e-daff-4d2c-b0f9-07fbfe5dc9a4</t>
  </si>
  <si>
    <t>2022-01-27</t>
  </si>
  <si>
    <t>3a0b8b66-d1fc-4786-8bef-53d7a1fdc572</t>
  </si>
  <si>
    <t>3dcb7670-07b3-4874-a747-ce570e12de48</t>
  </si>
  <si>
    <t>216d145f-bb77-46d2-916d-f856c23e5397</t>
  </si>
  <si>
    <t>2022-01-29</t>
  </si>
  <si>
    <t>f6794b6f-9554-47d7-8092-51e5358a980b</t>
  </si>
  <si>
    <t>2022-01-30</t>
  </si>
  <si>
    <t>1121.1</t>
  </si>
  <si>
    <t>46ee9607-990f-4020-a4f6-e55b2a26e01c</t>
  </si>
  <si>
    <t>333.29</t>
  </si>
  <si>
    <t>5a1a5c59-0400-422b-8151-c681645fa921</t>
  </si>
  <si>
    <t>90a13b08-d18e-4063-b5d7-3c82bff61b3c</t>
  </si>
  <si>
    <t>79c8fcb8-109e-4f72-abd7-6491b566df6c</t>
  </si>
  <si>
    <t>2022-01-31</t>
  </si>
  <si>
    <t>de6b8853-64d6-41a1-b8a8-62b45832ee58</t>
  </si>
  <si>
    <t>2022-02-01</t>
  </si>
  <si>
    <t>16958.86</t>
  </si>
  <si>
    <t>e5715404-1f0b-48d7-9daf-d5e525298784</t>
  </si>
  <si>
    <t>204dbf29-e754-48ed-a19c-76cfc390149e</t>
  </si>
  <si>
    <t>46c67ac3-e60f-43fd-972e-bed1bed82e32</t>
  </si>
  <si>
    <t>a7679d38-1f52-4a80-b458-7ee6135920ab</t>
  </si>
  <si>
    <t>2022-02-03</t>
  </si>
  <si>
    <t>23911cf4-5e14-4dc2-b9bf-ebead06b16dc</t>
  </si>
  <si>
    <t>2022-02-04</t>
  </si>
  <si>
    <t>81dd4967-5393-4345-b42d-66a2843218bf</t>
  </si>
  <si>
    <t>8e172b4b-bf77-4263-bf78-5b9f6bcf26d1</t>
  </si>
  <si>
    <t>2022-02-05</t>
  </si>
  <si>
    <t>efd8f5ad-5802-49e3-a2b9-1ff09e30a1de</t>
  </si>
  <si>
    <t>8a23d0b0-0d5b-41f8-bf93-a5d8e16c98d9</t>
  </si>
  <si>
    <t>2022-02-06</t>
  </si>
  <si>
    <t>222849f3-bf92-4dc2-ab3f-378e0f71b25e</t>
  </si>
  <si>
    <t>2022-02-08</t>
  </si>
  <si>
    <t>304.91</t>
  </si>
  <si>
    <t>041bab15-284d-4063-afcb-fea9086d1e71</t>
  </si>
  <si>
    <t>01ae73cc-189e-497a-bfd9-0e5c09d12ed0</t>
  </si>
  <si>
    <t>2022-02-09</t>
  </si>
  <si>
    <t>2aadbec0-e10e-4fe4-a5de-ee1589a1572e</t>
  </si>
  <si>
    <t>3.7</t>
  </si>
  <si>
    <t>d5167b6a-b558-4983-b6b8-43d89f92b47a</t>
  </si>
  <si>
    <t>593fbd96-3cb0-4191-a103-6e04c42c51d8</t>
  </si>
  <si>
    <t>320</t>
  </si>
  <si>
    <t>b57bb042-eadf-45cc-84e9-103c849634a1</t>
  </si>
  <si>
    <t>688fe4ff-70a7-42d4-9d00-5f7481bf9518</t>
  </si>
  <si>
    <t>2022-02-10</t>
  </si>
  <si>
    <t>7053.18</t>
  </si>
  <si>
    <t>eacebae0-9b1c-4e8f-8912-1342957e156c</t>
  </si>
  <si>
    <t>0e173194-dfdd-495d-aed4-96d87ef539ab</t>
  </si>
  <si>
    <t>1026.31</t>
  </si>
  <si>
    <t>b52e70a4-7f33-4874-a5cd-fb0c2deaeefe</t>
  </si>
  <si>
    <t>4cf28709-6688-45d3-b2cc-269fbc15b61d</t>
  </si>
  <si>
    <t>554.2800000000001</t>
  </si>
  <si>
    <t>79202bfe-00b9-424c-b4ce-78e38237634d</t>
  </si>
  <si>
    <t>438.21</t>
  </si>
  <si>
    <t>d738600f-b1db-4b7f-b1c2-1c3b75100e8e</t>
  </si>
  <si>
    <t>428df39c-aa38-409e-8105-8817d935dd71</t>
  </si>
  <si>
    <t>758dcceb-acb0-4c9a-b1e2-b3912b40f269</t>
  </si>
  <si>
    <t>3b460d8d-aab7-41bd-a450-d7608eaa8151</t>
  </si>
  <si>
    <t>119.8</t>
  </si>
  <si>
    <t>e8a80382-f482-49e0-a14b-3fbe484667ac</t>
  </si>
  <si>
    <t>2422.08</t>
  </si>
  <si>
    <t>49ecc279-55ac-46c3-a7c8-cb703411b484</t>
  </si>
  <si>
    <t>286.89</t>
  </si>
  <si>
    <t>67edd9d3-9c43-4c14-885a-6a17b00cb98e</t>
  </si>
  <si>
    <t>826.8</t>
  </si>
  <si>
    <t>81b922b1-ccb2-469e-9446-54d3cdb37c10</t>
  </si>
  <si>
    <t>9996.26</t>
  </si>
  <si>
    <t>5e2e2582-a9ce-4f58-8347-17c234f49a20</t>
  </si>
  <si>
    <t>3aa99ef8-9def-41bb-b222-20cbbe5acd7d</t>
  </si>
  <si>
    <t>2022-02-12</t>
  </si>
  <si>
    <t>98a89e8f-5829-452d-9173-aef7c164aed4</t>
  </si>
  <si>
    <t>2022-02-13</t>
  </si>
  <si>
    <t>8d754bd7-08e5-4036-b49a-7f37a912a5dc</t>
  </si>
  <si>
    <t>2a17f135-4ec6-46d3-9bcd-78dc3396597c</t>
  </si>
  <si>
    <t>2022-02-14</t>
  </si>
  <si>
    <t>1151a05d-7565-4f49-8374-5b11db5391d0</t>
  </si>
  <si>
    <t>2022-02-15</t>
  </si>
  <si>
    <t>b0abbd75-cf00-48b9-949c-3af325e0dcc8</t>
  </si>
  <si>
    <t>3a49a963-fa0f-4184-99a9-54339a8fa889</t>
  </si>
  <si>
    <t>f1f464d5-d851-4d13-95ca-25d238c88428</t>
  </si>
  <si>
    <t>2022-02-16</t>
  </si>
  <si>
    <t>100.86</t>
  </si>
  <si>
    <t>f19cfd29-6a80-48bb-92ad-6bac9adfb0de</t>
  </si>
  <si>
    <t>16.3</t>
  </si>
  <si>
    <t>65a0683e-d6b9-41e9-b273-78c318690a7b</t>
  </si>
  <si>
    <t>238fbf1e-1d45-4414-9cb7-451edc01252f</t>
  </si>
  <si>
    <t>2022-02-17</t>
  </si>
  <si>
    <t>377485a2-9d2b-43ec-8e34-61073b79ee6e</t>
  </si>
  <si>
    <t>a9f68a51-5615-4f6a-a6dd-db5e40bc86b4</t>
  </si>
  <si>
    <t>2022-02-18</t>
  </si>
  <si>
    <t>41.75</t>
  </si>
  <si>
    <t>e087985f-62b3-4d21-a0a0-ea3d83bafa5b</t>
  </si>
  <si>
    <t>1d979726-9549-472e-9c6a-0e79e24dbbdc</t>
  </si>
  <si>
    <t>2022-02-19</t>
  </si>
  <si>
    <t>a957ab2a-3293-44d7-9002-f7cfdb32d173</t>
  </si>
  <si>
    <t>2022-02-20</t>
  </si>
  <si>
    <t>66e2f61f-9c73-44ea-8a8c-c36ee9e23a56</t>
  </si>
  <si>
    <t>dd81a874-d6ac-4ba4-8315-37d55c5236fe</t>
  </si>
  <si>
    <t>2022-02-21</t>
  </si>
  <si>
    <t>1ba461b5-894c-405e-8ae5-32db152c1f5d</t>
  </si>
  <si>
    <t>cd526d07-72d9-488f-9bbe-3325d768e03b</t>
  </si>
  <si>
    <t>2022-02-22</t>
  </si>
  <si>
    <t>61bd126d-b569-4916-b800-51c9a1e7891b</t>
  </si>
  <si>
    <t>493faab3-dcc4-4d46-9262-c34a24fe364c</t>
  </si>
  <si>
    <t>2022-02-26</t>
  </si>
  <si>
    <t>868a5905-ade1-427d-b4b9-63316b09dce1</t>
  </si>
  <si>
    <t>ce46e92c-e76a-482f-bf0b-910e23fc11ae</t>
  </si>
  <si>
    <t>2022-02-28</t>
  </si>
  <si>
    <t>1880.77</t>
  </si>
  <si>
    <t>Importado da planilha legada (linha 17) [LEGADO:SKIPPED]</t>
  </si>
  <si>
    <t>88c13f17-d09c-4b52-9f70-3d49a9b76edb</t>
  </si>
  <si>
    <t>Importado da planilha legada (linha 29) [LEGADO:SKIPPED]</t>
  </si>
  <si>
    <t>6fde1f9e-555f-44e9-8ec7-fa32e07d418a</t>
  </si>
  <si>
    <t>6461d64e-71dc-4a38-bbfe-5ad607b2a933</t>
  </si>
  <si>
    <t>4b7b086e-be31-4836-afa5-84085a7700b4</t>
  </si>
  <si>
    <t>5facd77f-f710-423c-b762-6d2c2e0c9798</t>
  </si>
  <si>
    <t>daa6472d-e8c5-4ad5-ba47-45a4bdd8502d</t>
  </si>
  <si>
    <t>2022-03-01</t>
  </si>
  <si>
    <t>8801.42</t>
  </si>
  <si>
    <t>78afb3d0-59a9-49e1-a752-8d74c7ebab1a</t>
  </si>
  <si>
    <t>912142d7-dc82-4dc4-8f94-c239438ae176</t>
  </si>
  <si>
    <t>37.24</t>
  </si>
  <si>
    <t>c2e6d42f-a259-46f9-8c4c-ee07ef1973cd</t>
  </si>
  <si>
    <t>471.74</t>
  </si>
  <si>
    <t>2531b7d4-9216-4a1d-92ba-413dc5ddca9c</t>
  </si>
  <si>
    <t>2022-03-02</t>
  </si>
  <si>
    <t>3632d27c-ac42-4af2-a3ac-59bb6f96c4d1</t>
  </si>
  <si>
    <t>e12f1694-40c2-40ee-b2d5-88300cbf8047</t>
  </si>
  <si>
    <t>2022-03-03</t>
  </si>
  <si>
    <t>ca9431d9-5496-4f1a-b79c-5431a18077a5</t>
  </si>
  <si>
    <t>2022-03-04</t>
  </si>
  <si>
    <t>8523.43</t>
  </si>
  <si>
    <t>e0013987-5100-438e-a6fb-b22d6a21e38b</t>
  </si>
  <si>
    <t>2022-03-05</t>
  </si>
  <si>
    <t>240</t>
  </si>
  <si>
    <t>aa98610f-e090-4b00-8587-888317cf8b26</t>
  </si>
  <si>
    <t>b4ba2cda-8462-4b61-b234-9f1868c275d3</t>
  </si>
  <si>
    <t>2022-03-08</t>
  </si>
  <si>
    <t>300.76</t>
  </si>
  <si>
    <t>5111667f-c758-4f6e-a75b-ace1044e078c</t>
  </si>
  <si>
    <t>231aa9ef-aba9-47a5-849a-902472408570</t>
  </si>
  <si>
    <t>4dd4bf37-d22f-43fa-a174-f73a9e3c3f60</t>
  </si>
  <si>
    <t>60477cc1-0e87-4daa-8d92-3e095fa26f56</t>
  </si>
  <si>
    <t>6b3953bd-c13f-4fb1-b5b8-75e65c06e57f</t>
  </si>
  <si>
    <t>f621fcbf-5916-4702-bfd3-f6fabc47caa7</t>
  </si>
  <si>
    <t>2022-03-09</t>
  </si>
  <si>
    <t>201756e3-b122-4833-baa1-f00253f9bb22</t>
  </si>
  <si>
    <t>e07adfd0-cce1-4f28-aea1-65b8ebfc4458</t>
  </si>
  <si>
    <t>2022-03-10</t>
  </si>
  <si>
    <t>6019.12</t>
  </si>
  <si>
    <t>ecbc18e3-807b-4943-9ee6-2a252356866a</t>
  </si>
  <si>
    <t>865.5</t>
  </si>
  <si>
    <t>d711b7b7-d5b5-45e4-80e3-ccb5f641136f</t>
  </si>
  <si>
    <t>425.71</t>
  </si>
  <si>
    <t>1149e7ec-5050-434d-ae51-d14dd2b6e8f2</t>
  </si>
  <si>
    <t>f0d1837e-4fba-4497-b596-9980da48bc56</t>
  </si>
  <si>
    <t>39.55</t>
  </si>
  <si>
    <t>ec03928b-b8ba-44c7-9a22-f51fc7d82dfe</t>
  </si>
  <si>
    <t>690.78</t>
  </si>
  <si>
    <t>bef9d963-35ce-46c7-9f41-9b6b4a7c2120</t>
  </si>
  <si>
    <t>81ec625d-1743-4760-a45f-ee6f5b8eac6a</t>
  </si>
  <si>
    <t>5c01146e-db52-41ae-9467-a8e57d9abaeb</t>
  </si>
  <si>
    <t>3619.14</t>
  </si>
  <si>
    <t>4482d946-6fea-4b8b-9d2b-414406f7a884</t>
  </si>
  <si>
    <t>3458.89</t>
  </si>
  <si>
    <t>f3c73b37-dd1c-4275-bbce-6a3c3b1f752e</t>
  </si>
  <si>
    <t>5795b0a7-1cd4-4c27-a529-89a8ebf0f8bb</t>
  </si>
  <si>
    <t>e8f075c3-27d3-429e-8e75-1ae77701c692</t>
  </si>
  <si>
    <t>65.9</t>
  </si>
  <si>
    <t>c740cf63-7192-4306-894b-1e321545725d</t>
  </si>
  <si>
    <t>2022-03-11</t>
  </si>
  <si>
    <t>9fbb5387-465b-4da6-9908-ad3cc6bc950e</t>
  </si>
  <si>
    <t>2022-03-14</t>
  </si>
  <si>
    <t>273d9d4b-6767-43e2-8d36-10316375268e</t>
  </si>
  <si>
    <t>2022-03-16</t>
  </si>
  <si>
    <t>4da61594-90b8-4c1d-b21f-5ad79b02340d</t>
  </si>
  <si>
    <t>2022-03-17</t>
  </si>
  <si>
    <t>b24243cf-b2d0-474b-8cab-63c4d6b32f95</t>
  </si>
  <si>
    <t>48dc4038-925e-4499-a805-1a806aa66e1a</t>
  </si>
  <si>
    <t>2022-03-19</t>
  </si>
  <si>
    <t>475535e3-fd36-4e39-b506-5beb88f195fd</t>
  </si>
  <si>
    <t>84</t>
  </si>
  <si>
    <t>346ea603-8c1f-4050-87c1-7f54755cf44c</t>
  </si>
  <si>
    <t>a242898a-4ae8-4f6e-9c57-84371670554d</t>
  </si>
  <si>
    <t>a4491bf5-79d2-40f0-82be-db2ebcaa99f5</t>
  </si>
  <si>
    <t>2022-03-21</t>
  </si>
  <si>
    <t>2484.15</t>
  </si>
  <si>
    <t>2413bcdd-5363-4dbd-9d73-682be5b22d76</t>
  </si>
  <si>
    <t>d1f386e1-6529-4dd2-a449-031e7c165d13</t>
  </si>
  <si>
    <t>2022-03-23</t>
  </si>
  <si>
    <t>36237b75-1605-4cc3-91dc-0e701cd04d1a</t>
  </si>
  <si>
    <t>f908b4b1-6b35-4d74-aecd-5425fdac2afa</t>
  </si>
  <si>
    <t>a7c00b15-a5aa-49b1-a269-d96a0032e181</t>
  </si>
  <si>
    <t>faa6840a-26ea-44ce-9252-3cb9fa2d2f3b</t>
  </si>
  <si>
    <t>ae470ba7-ecad-4f68-8aff-2410488b18ef</t>
  </si>
  <si>
    <t>2022-03-27</t>
  </si>
  <si>
    <t>4ba35b97-f953-4af7-88ce-17742a84a09a</t>
  </si>
  <si>
    <t>2022-03-29</t>
  </si>
  <si>
    <t>14aa6866-b00a-4a06-b441-78d05ee7fb7e</t>
  </si>
  <si>
    <t>2022-03-30</t>
  </si>
  <si>
    <t>37d8dd18-70fe-4788-9ebf-b39714d9b322</t>
  </si>
  <si>
    <t>b7aefe00-8c57-4f76-bd55-33e85094a7a3</t>
  </si>
  <si>
    <t>194.25</t>
  </si>
  <si>
    <t>33bf700e-4690-4b7c-ae29-5202f099fd2a</t>
  </si>
  <si>
    <t>2022-04-01</t>
  </si>
  <si>
    <t>13727.48</t>
  </si>
  <si>
    <t>9f247cd9-8f72-4668-9a25-33f24b6c522f</t>
  </si>
  <si>
    <t>649.22</t>
  </si>
  <si>
    <t>aa888a71-61b2-4b14-944f-5362a478272c</t>
  </si>
  <si>
    <t>182.56</t>
  </si>
  <si>
    <t>488671e3-f376-4bd4-bdb7-cfbb9746df09</t>
  </si>
  <si>
    <t>591daa5b-420f-4e86-a8ae-db1e826d656d</t>
  </si>
  <si>
    <t>19.5</t>
  </si>
  <si>
    <t>2e12b971-523b-4bc2-8dc3-a48e927b29c2</t>
  </si>
  <si>
    <t>2022-04-03</t>
  </si>
  <si>
    <t>829f405a-fad2-4050-8e61-f5571a0a754b</t>
  </si>
  <si>
    <t>09e8c1fb-de17-4c74-9f72-d307c7c7bb3f</t>
  </si>
  <si>
    <t>2a01ea5c-4629-4f6e-b403-3e9efd9e1155</t>
  </si>
  <si>
    <t>e93bb7fd-81fe-4da9-9e12-ffd8d689732e</t>
  </si>
  <si>
    <t>ba9f5c86-d324-4130-ad65-cfc2b557c63b</t>
  </si>
  <si>
    <t>66c52bf6-d76a-445f-8679-bd37a5234d9c</t>
  </si>
  <si>
    <t>f5f855c3-372b-425f-b6aa-12a4c9ab1bbf</t>
  </si>
  <si>
    <t>1803.99</t>
  </si>
  <si>
    <t>43297654-0f06-4d59-b359-4dc7857a6a33</t>
  </si>
  <si>
    <t>5709181b-70e7-41eb-a538-350c10a74890</t>
  </si>
  <si>
    <t>10074d2e-b3b4-41b2-884e-214fe8153458</t>
  </si>
  <si>
    <t>921139ab-fde3-4b69-83b6-6c5d0a0d9c33</t>
  </si>
  <si>
    <t>d97af3d4-c174-4663-809a-19ea4dd45d5a</t>
  </si>
  <si>
    <t>2022-04-04</t>
  </si>
  <si>
    <t>1879.89</t>
  </si>
  <si>
    <t>7867f9cb-4286-4c2d-9f5e-17ef0116bacb</t>
  </si>
  <si>
    <t>188cb381-4d21-48cd-b0f4-e83ee70678c5</t>
  </si>
  <si>
    <t>878fcbeb-3815-4802-9ea6-5b1b8a7828b0</t>
  </si>
  <si>
    <t>554b8a3b-24ae-4702-b543-675d478f28d0</t>
  </si>
  <si>
    <t>2022-04-05</t>
  </si>
  <si>
    <t>e5a43619-002c-4076-817f-e75ef772b069</t>
  </si>
  <si>
    <t>2022-04-08</t>
  </si>
  <si>
    <t>7ea01790-e868-478f-b534-8db094c7e30f</t>
  </si>
  <si>
    <t>2022-04-09</t>
  </si>
  <si>
    <t>238.94</t>
  </si>
  <si>
    <t>fb7b79df-645d-493e-8c1e-6990b9dea120</t>
  </si>
  <si>
    <t>2d0d1d93-a4e6-4fba-919d-3caf70e577cd</t>
  </si>
  <si>
    <t>2057086c-ca11-4a6b-a094-529bdf65e439</t>
  </si>
  <si>
    <t>2022-04-10</t>
  </si>
  <si>
    <t>6433.79</t>
  </si>
  <si>
    <t>65851f02-abfd-47ab-a28c-0cf08d0bf22b</t>
  </si>
  <si>
    <t>95106e1f-09cb-4e7f-bbae-cc8b15243243</t>
  </si>
  <si>
    <t>944.56</t>
  </si>
  <si>
    <t>4b699dc3-be13-40b9-ac19-f355ee9f4682</t>
  </si>
  <si>
    <t>82d6839d-4f06-4d1d-bf0b-4661c9c24fa2</t>
  </si>
  <si>
    <t>b9bbfd89-0612-4eca-8493-2862c57633d5</t>
  </si>
  <si>
    <t>623.42</t>
  </si>
  <si>
    <t>2a0fceb1-921b-48fc-91d5-2c0ddf49fa89</t>
  </si>
  <si>
    <t>785bc3f9-09c8-47f0-bde6-eb682cbb0343</t>
  </si>
  <si>
    <t>7854.45</t>
  </si>
  <si>
    <t>0a5ef15a-34e0-4894-9eaa-e95339191d3b</t>
  </si>
  <si>
    <t>1745.33</t>
  </si>
  <si>
    <t>b66839b0-77a7-4846-af5a-f86f2f70b924</t>
  </si>
  <si>
    <t>2022-04-11</t>
  </si>
  <si>
    <t>60af6373-914e-4a27-b8bb-cd96239dee1e</t>
  </si>
  <si>
    <t>b4e3fdbd-9a24-41a4-aebf-eb44d6b67725</t>
  </si>
  <si>
    <t>e0163521-4067-4c77-8610-ca04a444aae4</t>
  </si>
  <si>
    <t>60ffc2ff-4eaf-4120-bf0f-667f9d62a84e</t>
  </si>
  <si>
    <t>82617c8e-cbce-4d81-ad37-e9e48c97906d</t>
  </si>
  <si>
    <t>f76782f4-9230-4793-aeb7-4d467db0e60f</t>
  </si>
  <si>
    <t>c85e8ad5-dd7e-4e05-8f2c-246de751c7f9</t>
  </si>
  <si>
    <t>9729183f-8037-4049-93be-3997b44642c1</t>
  </si>
  <si>
    <t>2022-04-16</t>
  </si>
  <si>
    <t>d19088a1-5b05-4723-ad43-55963a6b2552</t>
  </si>
  <si>
    <t>2022-04-17</t>
  </si>
  <si>
    <t>ec76cf27-c254-4fa1-b3fe-2d428c927d61</t>
  </si>
  <si>
    <t>2022-04-22</t>
  </si>
  <si>
    <t>d0b8b0a0-cbd8-44e5-a427-2791fbf6078b</t>
  </si>
  <si>
    <t>bd552771-5507-4cde-9901-daea57af39f2</t>
  </si>
  <si>
    <t>2022-04-24</t>
  </si>
  <si>
    <t>cbd4afca-a3a5-467c-a642-66c187f2f870</t>
  </si>
  <si>
    <t>2022-04-25</t>
  </si>
  <si>
    <t>bf56af43-b952-4cf2-83ce-47763a27c81a</t>
  </si>
  <si>
    <t>2022-04-26</t>
  </si>
  <si>
    <t>22c06bd4-6647-4d28-8cd8-b1d9efeeea38</t>
  </si>
  <si>
    <t>2022-04-27</t>
  </si>
  <si>
    <t>da02c636-543d-486b-93c0-a896d27896ac</t>
  </si>
  <si>
    <t>2022-04-28</t>
  </si>
  <si>
    <t>af1dd769-f7d6-40e5-b13c-f4e547e3beff</t>
  </si>
  <si>
    <t>2022-04-29</t>
  </si>
  <si>
    <t>42fc7d39-aaeb-4784-86a4-d7522956167f</t>
  </si>
  <si>
    <t>2022-04-30</t>
  </si>
  <si>
    <t>1201.1</t>
  </si>
  <si>
    <t>a6ca615a-95cd-4815-be7f-cbba239ce695</t>
  </si>
  <si>
    <t>341.36</t>
  </si>
  <si>
    <t>242dd9d6-e19b-45f2-a867-a8452b8433c3</t>
  </si>
  <si>
    <t>1611.93</t>
  </si>
  <si>
    <t>7e6e9aa4-014c-47b7-b37d-164aa8dc00d4</t>
  </si>
  <si>
    <t>2022-05-01</t>
  </si>
  <si>
    <t>17607.9</t>
  </si>
  <si>
    <t>2a4e3332-1d8f-4217-a6ec-fab90586d838</t>
  </si>
  <si>
    <t>8321cd46-3216-4668-be91-aada996944c7</t>
  </si>
  <si>
    <t>663.77</t>
  </si>
  <si>
    <t>0747fe95-0ef1-4581-aacb-63f5cc456ce0</t>
  </si>
  <si>
    <t>730.95</t>
  </si>
  <si>
    <t>6fb17383-04ab-4760-80c9-a8a21c9a1148</t>
  </si>
  <si>
    <t>3314.43</t>
  </si>
  <si>
    <t>437590ba-434b-46ea-add4-96012a41ce7a</t>
  </si>
  <si>
    <t>ce83cccc-f89a-4fed-8428-07f9deb61452</t>
  </si>
  <si>
    <t>2022-05-02</t>
  </si>
  <si>
    <t>f34f4b73-64bc-4518-986a-09188fbae841</t>
  </si>
  <si>
    <t>6a837213-8bcd-4603-9a0f-74d8dc6f5cea</t>
  </si>
  <si>
    <t>2022-05-03</t>
  </si>
  <si>
    <t>7dc371e9-4aa0-4d59-afb8-0eeb7e46784d</t>
  </si>
  <si>
    <t>2022-05-04</t>
  </si>
  <si>
    <t>1877.22</t>
  </si>
  <si>
    <t>bf6f0d86-9cc5-4b20-8537-5fb3b77c5bba</t>
  </si>
  <si>
    <t>2022-05-05</t>
  </si>
  <si>
    <t>fd9706f2-713f-4e2a-a5b0-49f5932244e3</t>
  </si>
  <si>
    <t>18e7413e-864f-4550-92dc-06c254ef66b8</t>
  </si>
  <si>
    <t>cb80239e-cdd4-4e2e-ba74-f6a580a8f35d</t>
  </si>
  <si>
    <t>61854b77-8800-4965-bfaa-937fcaf61c0e</t>
  </si>
  <si>
    <t>2022-05-06</t>
  </si>
  <si>
    <t>194256ed-37f1-4e7c-8f9d-9630a244230e</t>
  </si>
  <si>
    <t>2022-05-08</t>
  </si>
  <si>
    <t>386.52</t>
  </si>
  <si>
    <t>90c0b861-55eb-4ef5-bddd-8ecf43aec125</t>
  </si>
  <si>
    <t>68731912-ead2-46c7-aa6c-729ad897f67c</t>
  </si>
  <si>
    <t>2022-05-09</t>
  </si>
  <si>
    <t>3732.34</t>
  </si>
  <si>
    <t>87925ebe-b147-4519-bbd8-468b9fac1c7c</t>
  </si>
  <si>
    <t>3675643b-4dc1-47b1-9e72-000409aaf5d5</t>
  </si>
  <si>
    <t>c78a3e6a-3898-4f3f-87c0-de12d105214d</t>
  </si>
  <si>
    <t>232</t>
  </si>
  <si>
    <t>9f638331-7b02-4fad-8156-9d9ebd340630</t>
  </si>
  <si>
    <t>5ad078ea-06f5-4a7a-824e-83c2dac93b35</t>
  </si>
  <si>
    <t>889b7d0e-51f0-42c8-9c65-9623658d7478</t>
  </si>
  <si>
    <t>81ef367b-4077-4ea2-95b6-5792cdcf761e</t>
  </si>
  <si>
    <t>2022-05-10</t>
  </si>
  <si>
    <t>6549.12</t>
  </si>
  <si>
    <t>7b141350-8229-499e-b1e6-a4b92cf4fc0c</t>
  </si>
  <si>
    <t>72b59eb3-7c6f-4af0-89b3-6dbfeb11a5b1</t>
  </si>
  <si>
    <t>4aa89e76-af74-4341-8723-4e6bee80bb78</t>
  </si>
  <si>
    <t>5784f4e1-f6d6-45a3-94b3-9c4d0fc98ea4</t>
  </si>
  <si>
    <t>7d89e663-d5c8-4ae3-aba8-18ed6390e090</t>
  </si>
  <si>
    <t>cd5b8f23-6175-4960-a84a-6a4535eb1423</t>
  </si>
  <si>
    <t>1638.51</t>
  </si>
  <si>
    <t>ebada9c0-4a70-433a-93d5-568cf7670950</t>
  </si>
  <si>
    <t>6746.21</t>
  </si>
  <si>
    <t>45b9a0f1-dcd6-44ad-9fab-d5643ec1f4ab</t>
  </si>
  <si>
    <t>ef6d2d88-4fe6-468f-b0d8-28525282a161</t>
  </si>
  <si>
    <t>2fa35757-a679-4716-8fee-26867ebb55b6</t>
  </si>
  <si>
    <t>bc1aade0-a13d-42ae-97d5-e3dd0734da70</t>
  </si>
  <si>
    <t>4cb36d77-9e40-47e6-9468-f0d1e4966e44</t>
  </si>
  <si>
    <t>202df6d0-9792-4b8f-9361-8c18e11959c9</t>
  </si>
  <si>
    <t>ccbb1a86-da04-47d3-8731-c2400942393b</t>
  </si>
  <si>
    <t>2022-05-11</t>
  </si>
  <si>
    <t>48c6932b-a4f1-4824-9d84-b1cbb752124e</t>
  </si>
  <si>
    <t>2022-05-12</t>
  </si>
  <si>
    <t>e1973f41-7efc-496e-a72f-a8ef9c60c711</t>
  </si>
  <si>
    <t>2022-05-15</t>
  </si>
  <si>
    <t>a1423e16-8792-4c56-ae33-4ce26a6cecd7</t>
  </si>
  <si>
    <t>2022-05-16</t>
  </si>
  <si>
    <t>7827744c-4c8b-4fd6-af99-26f967b41cc7</t>
  </si>
  <si>
    <t>2022-05-17</t>
  </si>
  <si>
    <t>12bf0e2c-5668-4ccc-ab5e-44ee92e51790</t>
  </si>
  <si>
    <t>eba3a26d-370d-4995-b196-f39d337f13b4</t>
  </si>
  <si>
    <t>11c9bbc8-ab00-43b0-a24d-4d5156777615</t>
  </si>
  <si>
    <t>2997824d-6763-49de-a308-47ccaa775cdd</t>
  </si>
  <si>
    <t>2022-05-19</t>
  </si>
  <si>
    <t>29dfdb37-d529-4d2b-a110-dbe7d3beb0e7</t>
  </si>
  <si>
    <t>6b78e014-dd7f-44e9-bc75-12a440ddffb8</t>
  </si>
  <si>
    <t>4ddbd0f2-23c9-4ac6-82b2-92fc93e6d21b</t>
  </si>
  <si>
    <t>2022-05-20</t>
  </si>
  <si>
    <t>52b2e1e5-e766-4569-be07-e2be46ce14e7</t>
  </si>
  <si>
    <t>af617aa9-344c-4447-b513-03c5411114c2</t>
  </si>
  <si>
    <t>2022-05-23</t>
  </si>
  <si>
    <t>09e01788-525f-4222-81b1-02eb101cb8f0</t>
  </si>
  <si>
    <t>956d33cb-6f3d-42a2-b5c1-02b46d33a94e</t>
  </si>
  <si>
    <t>2022-05-26</t>
  </si>
  <si>
    <t>d39d418e-6f58-466d-80e8-8d48e12e93bf</t>
  </si>
  <si>
    <t>2022-05-27</t>
  </si>
  <si>
    <t>1109eaf6-26f2-4f0e-b372-e5770fbd1145</t>
  </si>
  <si>
    <t>2022-05-29</t>
  </si>
  <si>
    <t>122213b7-0e00-4801-81ac-45681c0cdaa1</t>
  </si>
  <si>
    <t>2022-05-30</t>
  </si>
  <si>
    <t>811.1</t>
  </si>
  <si>
    <t>59ae3a0d-239f-4f9c-ab8e-3506c9f328fc</t>
  </si>
  <si>
    <t>324ea383-addd-452a-9f49-679974b45696</t>
  </si>
  <si>
    <t>b1f08dae-f5f5-4b94-986f-5a07f5a946e9</t>
  </si>
  <si>
    <t>2022-06-01</t>
  </si>
  <si>
    <t>8883.21</t>
  </si>
  <si>
    <t>ce092e8b-5c8a-418f-a99b-0718b9e319e8</t>
  </si>
  <si>
    <t>14ea37f4-b17f-42b0-adba-d309d060daf3</t>
  </si>
  <si>
    <t>145.86</t>
  </si>
  <si>
    <t>16f8c038-a7c0-47ce-9ab7-3b2c618e3a2f</t>
  </si>
  <si>
    <t>51.04</t>
  </si>
  <si>
    <t>78f57990-50eb-4eed-b391-e272173013dc</t>
  </si>
  <si>
    <t>a471066c-bc2a-4ba4-b3af-ca5b312250f3</t>
  </si>
  <si>
    <t>2022-06-02</t>
  </si>
  <si>
    <t>649656c3-c3b5-41f7-b6ad-4ed047729ff4</t>
  </si>
  <si>
    <t>2022-06-03</t>
  </si>
  <si>
    <t>49d02984-a3e6-49e5-8991-029313ed0c63</t>
  </si>
  <si>
    <t>2022-06-04</t>
  </si>
  <si>
    <t>1877.54</t>
  </si>
  <si>
    <t>8d81d204-658b-43bf-ad9f-e8c2474ab09c</t>
  </si>
  <si>
    <t>2022-06-05</t>
  </si>
  <si>
    <t>278.45</t>
  </si>
  <si>
    <t>2926eb10-1827-4660-a91e-008200f19d90</t>
  </si>
  <si>
    <t>68944855-db13-426c-b72c-b6efd98879f3</t>
  </si>
  <si>
    <t>2022-06-06</t>
  </si>
  <si>
    <t>e1ad2e3d-37cd-4535-8cc3-1c6fb4835e8e</t>
  </si>
  <si>
    <t>320542a1-ac56-400e-8ef0-aca1b2691201</t>
  </si>
  <si>
    <t>2022-06-10</t>
  </si>
  <si>
    <t>9429bd12-afd6-4c5c-bfaf-d1447210c940</t>
  </si>
  <si>
    <t>c90ed628-6b38-4cab-8ccb-d4e7674499e8</t>
  </si>
  <si>
    <t>cdc7281f-58aa-493b-9405-87ff39fc074e</t>
  </si>
  <si>
    <t>9f95b0ce-30cf-45c6-9a6e-4edf937e5d30</t>
  </si>
  <si>
    <t>3cbd28b0-c627-4d43-bdf8-38aff1c0d0ef</t>
  </si>
  <si>
    <t>43e66962-a8ac-4422-ba38-9d7ce5a2abe7</t>
  </si>
  <si>
    <t>6d6232db-54b1-4751-a815-17817150e0b1</t>
  </si>
  <si>
    <t>9159.84</t>
  </si>
  <si>
    <t>0dbdc610-c252-4431-adbd-2c7bd28c2ce4</t>
  </si>
  <si>
    <t>3001.95</t>
  </si>
  <si>
    <t>bbc50a22-ed76-4185-ad10-d67772f74653</t>
  </si>
  <si>
    <t>defe2826-13e9-44d6-a25e-8b16d5f78b52</t>
  </si>
  <si>
    <t>53cce5b0-fc0a-4592-8f2d-2930e91937f4</t>
  </si>
  <si>
    <t>9a828625-cf67-4584-a3ac-716d64cdabda</t>
  </si>
  <si>
    <t>76.8</t>
  </si>
  <si>
    <t>ca69c9e4-82fd-471d-be7c-563f35c9faac</t>
  </si>
  <si>
    <t>2022-06-11</t>
  </si>
  <si>
    <t>a8b297c2-e759-4fc8-9916-f26f9f6d1f77</t>
  </si>
  <si>
    <t>4c44b5c9-13a1-4e8a-aa2d-09f5d49378ab</t>
  </si>
  <si>
    <t>2022-06-12</t>
  </si>
  <si>
    <t>739.32</t>
  </si>
  <si>
    <t>3805d1f3-902b-4e5c-80fa-948510ece8ed</t>
  </si>
  <si>
    <t>c46b9f5a-718c-4f03-838f-4ecb95c78c71</t>
  </si>
  <si>
    <t>a5522cf7-f24b-41ea-8ff7-253633a5c379</t>
  </si>
  <si>
    <t>2022-06-13</t>
  </si>
  <si>
    <t>eeb582f5-2a69-4cca-a161-58e852d96833</t>
  </si>
  <si>
    <t>182.3</t>
  </si>
  <si>
    <t>decb0d5c-837a-48ac-b627-4b0e5fd10aeb</t>
  </si>
  <si>
    <t>2022-06-15</t>
  </si>
  <si>
    <t>399.19</t>
  </si>
  <si>
    <t>3299a281-13cf-4464-8a95-e9b7a6a68a3d</t>
  </si>
  <si>
    <t>b1296308-8996-4a24-8201-6c70a4f73577</t>
  </si>
  <si>
    <t>2022-06-16</t>
  </si>
  <si>
    <t>e97bacca-998a-4564-a6c2-9622296309bf</t>
  </si>
  <si>
    <t>2022-06-30</t>
  </si>
  <si>
    <t>21aa2a1b-60b0-4062-8580-a135cfce4568</t>
  </si>
  <si>
    <t>346.01</t>
  </si>
  <si>
    <t>78fd9935-4026-4bfe-b47f-2645dd0025f8</t>
  </si>
  <si>
    <t>1680.42</t>
  </si>
  <si>
    <t>5f63795b-546f-4c1f-acee-a9e2d133bcd6</t>
  </si>
  <si>
    <t>2022-07-01</t>
  </si>
  <si>
    <t>8742.25</t>
  </si>
  <si>
    <t>d5b28357-9081-42f9-bdaa-ffbe24289c57</t>
  </si>
  <si>
    <t>82568fe6-5817-4e33-a5ef-6517e1885226</t>
  </si>
  <si>
    <t>97.15</t>
  </si>
  <si>
    <t>5342144b-08b4-4516-bafd-509faefa2f61</t>
  </si>
  <si>
    <t>8dccd474-61aa-4f05-aaec-72726d5ff6bd</t>
  </si>
  <si>
    <t>2480.64</t>
  </si>
  <si>
    <t>4836d0cd-419e-45a1-9770-6c0bd7e522f3</t>
  </si>
  <si>
    <t>fbbd325d-764f-4c9b-9841-f0823008db42</t>
  </si>
  <si>
    <t>0.66</t>
  </si>
  <si>
    <t>99f68382-4040-44e9-a8c6-1e22267387a4</t>
  </si>
  <si>
    <t>2022-07-03</t>
  </si>
  <si>
    <t>27056892-0de7-4454-8fe5-731dffaaa2a5</t>
  </si>
  <si>
    <t>e389799b-2db7-4f56-97fa-beb8e7da59ea</t>
  </si>
  <si>
    <t>2022-07-04</t>
  </si>
  <si>
    <t>1877.04</t>
  </si>
  <si>
    <t>46523e9a-a630-4c13-82d5-af96049dc07c</t>
  </si>
  <si>
    <t>4d2a8e18-9aa1-45cc-8c01-d0b65c908b46</t>
  </si>
  <si>
    <t>2022-07-05</t>
  </si>
  <si>
    <t>306.3</t>
  </si>
  <si>
    <t>792485ea-2658-4bba-93d5-ab1e2e7e9df0</t>
  </si>
  <si>
    <t>2022-07-08</t>
  </si>
  <si>
    <t>276.6</t>
  </si>
  <si>
    <t>92eb4066-4ae1-49f4-a33a-edff5359db4d</t>
  </si>
  <si>
    <t>59.68</t>
  </si>
  <si>
    <t>61142940-7f3b-41f1-bb57-305b66463f46</t>
  </si>
  <si>
    <t>2022-07-10</t>
  </si>
  <si>
    <t>6347.91</t>
  </si>
  <si>
    <t>4915fcbe-4292-4b7a-af06-47afc4f889e2</t>
  </si>
  <si>
    <t>13959.35</t>
  </si>
  <si>
    <t>6c68e224-901c-4cf4-9791-62c414729556</t>
  </si>
  <si>
    <t>4afe0a22-8cf3-474c-aaa0-91bb2acde1a0</t>
  </si>
  <si>
    <t>8ab79a26-ff03-465e-8524-a4b7216fc347</t>
  </si>
  <si>
    <t>a4754e26-85b9-4e62-bdef-f2a5d2baac87</t>
  </si>
  <si>
    <t>358bc04d-d899-4449-a1de-0e4c6a66e581</t>
  </si>
  <si>
    <t>403.47</t>
  </si>
  <si>
    <t>e45403a1-a9e4-41d8-98e8-151d55759cb2</t>
  </si>
  <si>
    <t>3b5a158f-00cf-4630-be93-de907bed4168</t>
  </si>
  <si>
    <t>8eff7995-a531-48ee-8ee2-2afd8e030622</t>
  </si>
  <si>
    <t>2768.37</t>
  </si>
  <si>
    <t>9f7fe68e-9030-44ee-8ba2-f6a5669bea19</t>
  </si>
  <si>
    <t>11190.98</t>
  </si>
  <si>
    <t>f8c6c7b6-20a4-4700-86e9-0cd4e533c734</t>
  </si>
  <si>
    <t>2022-07-11</t>
  </si>
  <si>
    <t>49</t>
  </si>
  <si>
    <t>8a80c722-6c1d-4b1d-8822-ae431ad54945</t>
  </si>
  <si>
    <t>a619c05f-6db1-4127-aa59-b7f30d892ee0</t>
  </si>
  <si>
    <t>2022-07-12</t>
  </si>
  <si>
    <t>6df8df3c-3eb1-467d-948c-733fd73409a0</t>
  </si>
  <si>
    <t>2022-07-14</t>
  </si>
  <si>
    <t>390</t>
  </si>
  <si>
    <t>e57e8973-fcc1-40be-a15f-bd297e8de084</t>
  </si>
  <si>
    <t>2022-07-16</t>
  </si>
  <si>
    <t>c8649d3f-c5e3-44a6-97ee-64fa19769506</t>
  </si>
  <si>
    <t>2022-07-17</t>
  </si>
  <si>
    <t>5ebe7660-0afa-4b19-97a1-726fa237f2d7</t>
  </si>
  <si>
    <t>2022-07-18</t>
  </si>
  <si>
    <t>3.91</t>
  </si>
  <si>
    <t>fb3750f9-e355-4e71-81a6-df77fdba3064</t>
  </si>
  <si>
    <t>2022-07-19</t>
  </si>
  <si>
    <t>3963dffa-410e-44d8-8530-a48f17dea96d</t>
  </si>
  <si>
    <t>c21cb2ab-ddad-4888-b264-f5da9fcf9032</t>
  </si>
  <si>
    <t>2022-07-20</t>
  </si>
  <si>
    <t>f2ea0eb5-ed79-4f1b-bda1-41b4dc894c19</t>
  </si>
  <si>
    <t>2022-07-30</t>
  </si>
  <si>
    <t>b3542472-e84e-462e-9198-4cddbf15edd9</t>
  </si>
  <si>
    <t>348.01</t>
  </si>
  <si>
    <t>d80b032f-b183-4d8a-a54c-915374b7e83f</t>
  </si>
  <si>
    <t>1847.7</t>
  </si>
  <si>
    <t>03f4b925-7961-4ce7-b2f7-5d2e3b59f2b4</t>
  </si>
  <si>
    <t>54937a02-a7c5-4692-9ec9-9c518c14e2e6</t>
  </si>
  <si>
    <t>7d648fd7-ed65-4818-ba73-619d263912de</t>
  </si>
  <si>
    <t>671f8589-8ca0-43a3-b8ea-e4e52650cb90</t>
  </si>
  <si>
    <t>424dca3b-7824-48ab-bc32-20f7a08aa272</t>
  </si>
  <si>
    <t>8c35d064-2f92-424e-b2b3-97052bb05954</t>
  </si>
  <si>
    <t>e1cae541-14bc-4ff9-9b72-b8e50c870a25</t>
  </si>
  <si>
    <t>487c0853-2944-4157-b912-98c58758ed9f</t>
  </si>
  <si>
    <t>371557c4-8e90-4f5f-a493-4dad7cc6078a</t>
  </si>
  <si>
    <t>71.6</t>
  </si>
  <si>
    <t>25392304-6b64-4c87-b247-fbe96ec0301a</t>
  </si>
  <si>
    <t>2022-08-01</t>
  </si>
  <si>
    <t>9516.02</t>
  </si>
  <si>
    <t>3e3713ed-f9f4-4d58-b7e8-f2bd0c161603</t>
  </si>
  <si>
    <t>9068.85</t>
  </si>
  <si>
    <t>3b7a63a2-d30b-446f-a825-7202dbea506d</t>
  </si>
  <si>
    <t>d0534a94-a2a9-4fa9-bdfa-e347dcf20ed8</t>
  </si>
  <si>
    <t>43.26</t>
  </si>
  <si>
    <t>689908f5-0203-4939-9e54-893ee3d8722e</t>
  </si>
  <si>
    <t>46276330-3479-4c5c-8099-031d7e82a17f</t>
  </si>
  <si>
    <t>2022-08-03</t>
  </si>
  <si>
    <t>70b40e66-342e-497c-bca2-d541d4f0bb23</t>
  </si>
  <si>
    <t>2022-08-04</t>
  </si>
  <si>
    <t>1876.94</t>
  </si>
  <si>
    <t>a4b8f60a-6f54-4f02-8b20-4456f01d6a1c</t>
  </si>
  <si>
    <t>1a02aa17-4a17-4486-8765-e8221c75ef2f</t>
  </si>
  <si>
    <t>2022-08-05</t>
  </si>
  <si>
    <t>91290073-9011-49e2-97a4-9e9b83f89810</t>
  </si>
  <si>
    <t>2022-08-07</t>
  </si>
  <si>
    <t>011ebcc0-cd11-4318-8852-4478266546e2</t>
  </si>
  <si>
    <t>2022-08-08</t>
  </si>
  <si>
    <t>177.6</t>
  </si>
  <si>
    <t>505355ca-18a1-480b-95e0-acc70d7b0595</t>
  </si>
  <si>
    <t>2022-08-09</t>
  </si>
  <si>
    <t>a8729fee-c7f9-4f4d-898c-d3e6533727db</t>
  </si>
  <si>
    <t>01806a74-81ca-40f3-b79a-c8f7f9d9ef37</t>
  </si>
  <si>
    <t>44539f68-b16d-42eb-855d-635c8c4e4242</t>
  </si>
  <si>
    <t>2022-08-10</t>
  </si>
  <si>
    <t>6376.82</t>
  </si>
  <si>
    <t>bf700b5e-19d7-4385-9db7-0d76b445731d</t>
  </si>
  <si>
    <t>30e0f4d7-fa19-41fe-a37c-a10f8e046713</t>
  </si>
  <si>
    <t>d778af71-f8f8-4464-a301-9010021746bf</t>
  </si>
  <si>
    <t>e365c024-80c5-4d02-bf15-ef237b8f355f</t>
  </si>
  <si>
    <t>592f0b0f-47f0-4c57-bbf4-2117f173342e</t>
  </si>
  <si>
    <t>353.23</t>
  </si>
  <si>
    <t>fc691a7b-c619-4c7d-96ed-acf96fb3088c</t>
  </si>
  <si>
    <t>229e63ba-258c-42e3-9f84-53039ad36850</t>
  </si>
  <si>
    <t>6285.8</t>
  </si>
  <si>
    <t>ac58b65f-dcdf-452d-ae61-4e310c6984ef</t>
  </si>
  <si>
    <t>1739.4</t>
  </si>
  <si>
    <t>67409d87-a704-4c36-99a7-e1b2bd66a9e2</t>
  </si>
  <si>
    <t>3655.8</t>
  </si>
  <si>
    <t>ddc2fe24-13db-4ada-a729-f5b58fc7fefb</t>
  </si>
  <si>
    <t>3d5e3bdb-349f-4070-8305-08aecb9fc960</t>
  </si>
  <si>
    <t>64.69</t>
  </si>
  <si>
    <t>3bb19e89-0b8e-4d98-98eb-feddc2a4cb7d</t>
  </si>
  <si>
    <t>3be4a715-f3a5-4576-9426-e10676210499</t>
  </si>
  <si>
    <t>2022-08-12</t>
  </si>
  <si>
    <t>5dc0f10a-0581-4399-be8c-13e9bbaebc60</t>
  </si>
  <si>
    <t>2022-08-14</t>
  </si>
  <si>
    <t>82d1db56-fa41-4ede-8190-8e8d6c325a4b</t>
  </si>
  <si>
    <t>2022-08-15</t>
  </si>
  <si>
    <t>6ffcf696-a34e-4073-b0be-bc8ef1076981</t>
  </si>
  <si>
    <t>7f17dcd0-a879-4ec5-b4f3-1c137f593d8b</t>
  </si>
  <si>
    <t>389006a8-571e-435b-b676-4bda04f27c5b</t>
  </si>
  <si>
    <t>3831e330-8d96-4b52-8046-2188e2970e8b</t>
  </si>
  <si>
    <t>5466f7b7-e612-4c41-a113-ee91aabac04e</t>
  </si>
  <si>
    <t>66f3283f-be59-4899-a3a8-9e79b8b6474a</t>
  </si>
  <si>
    <t>2022-08-16</t>
  </si>
  <si>
    <t>108.9</t>
  </si>
  <si>
    <t>403e02be-cf72-432b-a733-432d129a4815</t>
  </si>
  <si>
    <t>2022-08-17</t>
  </si>
  <si>
    <t>4bab9f89-f2c8-4683-978f-1a8bd5807b79</t>
  </si>
  <si>
    <t>e273cdec-47e8-45ac-9cf8-52c5f084d0c2</t>
  </si>
  <si>
    <t>6d24ff78-656a-4308-ba49-63d4605c0b4d</t>
  </si>
  <si>
    <t>2022-08-18</t>
  </si>
  <si>
    <t>1506.84</t>
  </si>
  <si>
    <t>9c828e88-9ba3-4496-81e6-79844db94d99</t>
  </si>
  <si>
    <t>7af7ead5-ecb5-4691-9872-8b3e6d69c03c</t>
  </si>
  <si>
    <t>2022-08-22</t>
  </si>
  <si>
    <t>570cf78e-650e-4a1c-9704-dd1abb853c5c</t>
  </si>
  <si>
    <t>434f79df-2181-415a-9ee5-fc8873af42a3</t>
  </si>
  <si>
    <t>c808d89b-d3ea-489f-9cfc-bc3bc8f757e9</t>
  </si>
  <si>
    <t>2022-08-23</t>
  </si>
  <si>
    <t>07ca496e-24e4-477c-8b61-8f76bc2b47f2</t>
  </si>
  <si>
    <t>02496d99-26cb-480d-a128-bf3a9d45475f</t>
  </si>
  <si>
    <t>2022-08-24</t>
  </si>
  <si>
    <t>a2b19ee6-7f56-4a16-bf90-40cfdcf870d8</t>
  </si>
  <si>
    <t>2022-08-25</t>
  </si>
  <si>
    <t>68.2</t>
  </si>
  <si>
    <t>89071613-1834-4828-9570-b5e247e53d2d</t>
  </si>
  <si>
    <t>8dcbbc0a-4e98-4611-897a-a350b2b15d64</t>
  </si>
  <si>
    <t>2022-08-29</t>
  </si>
  <si>
    <t>b5523256-e151-4583-98de-37d414284295</t>
  </si>
  <si>
    <t>45500921-32bb-48cd-a8f6-d1413d1c2683</t>
  </si>
  <si>
    <t>704ad12a-c231-4a8b-839c-3b2dd56d008f</t>
  </si>
  <si>
    <t>d6293fb4-f38d-42ca-80b3-d3b182b3acab</t>
  </si>
  <si>
    <t>2022-08-30</t>
  </si>
  <si>
    <t>397e48b7-edb6-4758-aa90-f5fe47e05ce6</t>
  </si>
  <si>
    <t>349.97</t>
  </si>
  <si>
    <t>d166d704-04f9-4900-818d-23cdcfde0d8e</t>
  </si>
  <si>
    <t>e6660161-85c5-43fd-88c5-974b529bbfbf</t>
  </si>
  <si>
    <t>2022-09-01</t>
  </si>
  <si>
    <t>7793.9</t>
  </si>
  <si>
    <t>6abd7f0e-619a-4d9f-8a21-5f533c1b76c9</t>
  </si>
  <si>
    <t>7537.91</t>
  </si>
  <si>
    <t>8bb85ef5-d111-4ad7-a234-6720a24b8520</t>
  </si>
  <si>
    <t>8a361b92-f27d-4add-840a-a06c5f921ea3</t>
  </si>
  <si>
    <t>4.03</t>
  </si>
  <si>
    <t>d10843e7-9c29-4b41-b367-9e2071401295</t>
  </si>
  <si>
    <t>80df1df8-c83c-46ab-a7f3-7b7ce50badf4</t>
  </si>
  <si>
    <t>9ac6625e-b2b8-4a07-96f9-ed1e0d1ee92a</t>
  </si>
  <si>
    <t>2022-09-02</t>
  </si>
  <si>
    <t>2abb11e8-1817-46ad-97d6-912d4456ee97</t>
  </si>
  <si>
    <t>e5c819ce-dcd7-4cdf-aa36-64aaee63b513</t>
  </si>
  <si>
    <t>58.69</t>
  </si>
  <si>
    <t>fde4ea2d-7d6d-4ca9-9080-07c0a438fb39</t>
  </si>
  <si>
    <t>ddf57ff2-5181-442b-a5cd-b0d57b1aea2a</t>
  </si>
  <si>
    <t>2022-09-03</t>
  </si>
  <si>
    <t>e0459a0c-c488-45e9-9e8e-5fa523e98237</t>
  </si>
  <si>
    <t>2022-09-04</t>
  </si>
  <si>
    <t>1878.18</t>
  </si>
  <si>
    <t>36d465bc-975f-4fb2-b403-a08ef57a9982</t>
  </si>
  <si>
    <t>2022-09-05</t>
  </si>
  <si>
    <t>686f59c8-f988-49e9-b3b1-a47f256a3525</t>
  </si>
  <si>
    <t>2022-09-06</t>
  </si>
  <si>
    <t>13170.5</t>
  </si>
  <si>
    <t>eb8ce2b9-ee5c-4ec4-b585-3f3e2b0032b4</t>
  </si>
  <si>
    <t>2022-09-08</t>
  </si>
  <si>
    <t>197.01</t>
  </si>
  <si>
    <t>1297c335-c158-4f56-a8bb-99d6c108d76a</t>
  </si>
  <si>
    <t>2022-09-09</t>
  </si>
  <si>
    <t>81</t>
  </si>
  <si>
    <t>277eccd0-55f8-4e7b-bbe2-248bc07bf350</t>
  </si>
  <si>
    <t>eb0d9466-6689-4767-9d5f-62e41d23d1c0</t>
  </si>
  <si>
    <t>6d93ebee-1776-45af-a530-e89fd2de531e</t>
  </si>
  <si>
    <t>2022-09-10</t>
  </si>
  <si>
    <t>6338e01b-9ce7-479f-b96c-a9fe30ede567</t>
  </si>
  <si>
    <t>bcaa1e10-29e0-45a5-9476-b0c655d70f53</t>
  </si>
  <si>
    <t>36e2ce82-373e-440d-83f7-06227aaaeb91</t>
  </si>
  <si>
    <t>6f75a9a6-cb3d-48da-bf84-aa168346304f</t>
  </si>
  <si>
    <t>b81c78fd-de1e-4f50-bba1-f19fb820ebed</t>
  </si>
  <si>
    <t>330.25</t>
  </si>
  <si>
    <t>032a38eb-4598-4775-861f-2a33ffed1da9</t>
  </si>
  <si>
    <t>ca20b035-6c85-41ae-8242-d3acf50257b9</t>
  </si>
  <si>
    <t>7ce0e931-464f-4aa5-9181-ef4d687f2c81</t>
  </si>
  <si>
    <t>de1f1403-9eef-4499-8dfa-fc1f560f9979</t>
  </si>
  <si>
    <t>d2195e63-fb6f-4064-b8c5-80985a0a0ec3</t>
  </si>
  <si>
    <t>5460.85</t>
  </si>
  <si>
    <t>da39246e-d68b-400b-bc9c-7fc0f0acad79</t>
  </si>
  <si>
    <t>8709.65</t>
  </si>
  <si>
    <t>d5c4382e-c2cd-4028-8007-ba68aac4f8ba</t>
  </si>
  <si>
    <t>47863b67-35c2-46ff-842d-a69b47be315e</t>
  </si>
  <si>
    <t>bacc9932-c053-44a2-ae9a-4e6507d717ba</t>
  </si>
  <si>
    <t>2022-09-12</t>
  </si>
  <si>
    <t>6e54865e-5ec4-4e61-8d38-0d586c12a2a7</t>
  </si>
  <si>
    <t>2022-09-13</t>
  </si>
  <si>
    <t>3cf5a885-7c4e-49c6-b8ca-1cc86afccbe6</t>
  </si>
  <si>
    <t>2022-09-14</t>
  </si>
  <si>
    <t>7a561c46-fa7d-4a05-8de8-cda5aa5af94f</t>
  </si>
  <si>
    <t>0a8200e3-f903-4c28-ac4b-bb0463578917</t>
  </si>
  <si>
    <t>a55f9f84-e81d-4c94-87ec-a33bb9d853eb</t>
  </si>
  <si>
    <t>2022-09-15</t>
  </si>
  <si>
    <t>3c36bd12-212b-49cf-8a1f-ef59483cf1d8</t>
  </si>
  <si>
    <t>2022-09-16</t>
  </si>
  <si>
    <t>20fc88e0-0e71-48e2-b570-ecf14058a50d</t>
  </si>
  <si>
    <t>2022-09-18</t>
  </si>
  <si>
    <t>2fb07f83-80d6-4929-999c-2f3f2d53e22e</t>
  </si>
  <si>
    <t>2022-09-19</t>
  </si>
  <si>
    <t>5b51d025-f16b-4787-9963-2349467e1786</t>
  </si>
  <si>
    <t>8a483d82-3b68-48d4-9c32-7df89dc0feaa</t>
  </si>
  <si>
    <t>ddf2243f-c810-4a73-bd3a-7be0758607e4</t>
  </si>
  <si>
    <t>2f37a266-43ab-4b1f-bc58-9db048d8f0ef</t>
  </si>
  <si>
    <t>f16d448a-352b-4268-a7e7-68ee7fc20c36</t>
  </si>
  <si>
    <t>2022-09-20</t>
  </si>
  <si>
    <t>25de1b6d-58f6-4dc7-96b2-066193e280b2</t>
  </si>
  <si>
    <t>087108ea-7306-4cd0-8562-499a0f243a2d</t>
  </si>
  <si>
    <t>3156f7c7-90f6-4a91-9738-9183d20e1000</t>
  </si>
  <si>
    <t>2022-09-21</t>
  </si>
  <si>
    <t>2153b129-3736-41ba-834c-6fd74a7d2d87</t>
  </si>
  <si>
    <t>58aca241-3f8e-4a3b-b8c9-e952cbebe3a0</t>
  </si>
  <si>
    <t>0fbe2cfe-6e5e-468f-ba86-0f422fc9ea97</t>
  </si>
  <si>
    <t>92562e4d-0dbc-4f62-a7d4-3aca16c8b3d5</t>
  </si>
  <si>
    <t>2022-09-23</t>
  </si>
  <si>
    <t>70583c9b-22ed-4584-879d-8a06ea3077f6</t>
  </si>
  <si>
    <t>2022-09-26</t>
  </si>
  <si>
    <t>beabea6d-46fa-47e6-829c-216dee101409</t>
  </si>
  <si>
    <t>aba407eb-088d-47dc-8104-c113ce64df77</t>
  </si>
  <si>
    <t>55d57471-ab22-4948-90ee-2c16a41d6517</t>
  </si>
  <si>
    <t>85</t>
  </si>
  <si>
    <t>2b9cd254-f6ba-432f-9057-6e20f82b7015</t>
  </si>
  <si>
    <t>2022-09-28</t>
  </si>
  <si>
    <t>db36a2c6-33e2-4484-8575-c9a24987bdd7</t>
  </si>
  <si>
    <t>2022-09-29</t>
  </si>
  <si>
    <t>7.55</t>
  </si>
  <si>
    <t>3402422f-73a6-452a-8a9b-aba2d217e026</t>
  </si>
  <si>
    <t>2022-09-30</t>
  </si>
  <si>
    <t>4c3dbe61-fb71-45b6-8ea6-29aa1a7851b3</t>
  </si>
  <si>
    <t>621e6748-bdd2-496a-be3d-d41695fd3551</t>
  </si>
  <si>
    <t>1666.93</t>
  </si>
  <si>
    <t>73c15130-f384-415a-a86e-eb9368afb055</t>
  </si>
  <si>
    <t>83</t>
  </si>
  <si>
    <t>14492b02-c548-4120-8a27-9a6c86a79771</t>
  </si>
  <si>
    <t>317.25</t>
  </si>
  <si>
    <t>a8784a78-3869-499f-81b9-9443a8a90b03</t>
  </si>
  <si>
    <t>-5</t>
  </si>
  <si>
    <t>9e9c5501-befd-478f-a727-ec655855347a</t>
  </si>
  <si>
    <t>2022-10-01</t>
  </si>
  <si>
    <t>7855.06</t>
  </si>
  <si>
    <t>135575ea-9f5c-4124-8d6d-8872193ed4f8</t>
  </si>
  <si>
    <t>11784.19</t>
  </si>
  <si>
    <t>f11e7d4a-4ac7-4113-9526-e28706eea71c</t>
  </si>
  <si>
    <t>1110.15</t>
  </si>
  <si>
    <t>90cc0196-08cf-4c52-8b19-b999077e21f7</t>
  </si>
  <si>
    <t>811.54</t>
  </si>
  <si>
    <t>2026-02-06T23:17:05.837Z</t>
  </si>
  <si>
    <t>2f9fe36d-0f99-4a2c-9c16-6eecdaa1f245</t>
  </si>
  <si>
    <t>259.59</t>
  </si>
  <si>
    <t>b66c8255-be95-42de-b253-4ba18e902d40</t>
  </si>
  <si>
    <t>434038de-1206-4893-ad91-b75e8a82af62</t>
  </si>
  <si>
    <t>dc6a0a44-efde-4fe2-9732-504007d930d0</t>
  </si>
  <si>
    <t>42ef1f18-cbf6-47b8-bdd2-dcdee4f1a0fc</t>
  </si>
  <si>
    <t>2022-10-03</t>
  </si>
  <si>
    <t>c32bcb3b-abdc-41a3-a707-4b795a714935</t>
  </si>
  <si>
    <t>2022-10-04</t>
  </si>
  <si>
    <t>1877.49</t>
  </si>
  <si>
    <t>c39d909c-6d0e-42ff-bd9d-ae769ada061b</t>
  </si>
  <si>
    <t>2022-10-05</t>
  </si>
  <si>
    <t>18e8d5a8-64e3-4eae-b677-5f20ec4f64f6</t>
  </si>
  <si>
    <t>2022-10-06</t>
  </si>
  <si>
    <t>6bdc700f-e75a-4882-aec6-400af181fcce</t>
  </si>
  <si>
    <t>2022-10-08</t>
  </si>
  <si>
    <t>401.6</t>
  </si>
  <si>
    <t>e8dbb386-058e-485c-ad35-a0657cf4cec0</t>
  </si>
  <si>
    <t>93.7</t>
  </si>
  <si>
    <t>221bf8ba-d044-451b-ba7e-dacaa6676c64</t>
  </si>
  <si>
    <t>2022-10-10</t>
  </si>
  <si>
    <t>7147.22</t>
  </si>
  <si>
    <t>8face130-84fc-4e97-b680-512575bfcadb</t>
  </si>
  <si>
    <t>a4a9b393-fbfd-43cb-92a4-982108ee2091</t>
  </si>
  <si>
    <t>4be1fa92-072f-46c2-a325-8afe83b183b5</t>
  </si>
  <si>
    <t>bfb471e9-eed4-4dc6-a863-8f6cc95e86df</t>
  </si>
  <si>
    <t>1357cee5-69e1-4fc5-9ef4-3e3fc36325c6</t>
  </si>
  <si>
    <t>329.94</t>
  </si>
  <si>
    <t>5df44c70-2b51-46de-9a34-b78137aa0c1b</t>
  </si>
  <si>
    <t>675fd0e0-47b5-4d3b-868c-4feaf90df275</t>
  </si>
  <si>
    <t>f673677b-22a8-444c-afbb-55081e1cd533</t>
  </si>
  <si>
    <t>2060.36</t>
  </si>
  <si>
    <t>4bb871c7-f603-42df-b1cd-40bae50805fb</t>
  </si>
  <si>
    <t>1531.85</t>
  </si>
  <si>
    <t>90559fe1-5732-41ab-96e9-420b7ce4e32a</t>
  </si>
  <si>
    <t>4845.45</t>
  </si>
  <si>
    <t>4939b79e-15f4-426f-a0ca-5e4d4c63c3bd</t>
  </si>
  <si>
    <t>6575ad5b-455c-47d7-b8a4-cc93053b5b06</t>
  </si>
  <si>
    <t>679efda7-3a87-405e-bb7d-8b4b29aaa870</t>
  </si>
  <si>
    <t>5c3e7450-a176-4c6b-84c8-360ab19eb2df</t>
  </si>
  <si>
    <t>49c0dfd0-5a8b-407d-9ac3-718d26fdc3df</t>
  </si>
  <si>
    <t>ada1f665-af4d-4b3c-8adc-4857e289de6e</t>
  </si>
  <si>
    <t>2022-10-11</t>
  </si>
  <si>
    <t>15.99</t>
  </si>
  <si>
    <t>0b65dba1-58b6-4104-befc-f6c7d6d556ef</t>
  </si>
  <si>
    <t>15aa2ca2-d116-4831-8560-d1edb4af6655</t>
  </si>
  <si>
    <t>2022-10-13</t>
  </si>
  <si>
    <t>b9bf9e39-5707-4e5a-8f73-f43790254b07</t>
  </si>
  <si>
    <t>2022-10-14</t>
  </si>
  <si>
    <t>56e73a9e-6192-4ff4-9cec-2634bd50cf09</t>
  </si>
  <si>
    <t>d05c307f-b13f-428d-851c-dcaf268206f6</t>
  </si>
  <si>
    <t>2022-10-16</t>
  </si>
  <si>
    <t>96.77</t>
  </si>
  <si>
    <t>8544dccf-656c-497f-b386-b0fe00657bdd</t>
  </si>
  <si>
    <t>313ae0cb-aca2-4d6e-a984-abe843f342eb</t>
  </si>
  <si>
    <t>2022-10-17</t>
  </si>
  <si>
    <t>090dcf1f-1940-4326-88d9-84df3dbf556f</t>
  </si>
  <si>
    <t>bb848914-476a-41f0-a24f-635600b25e28</t>
  </si>
  <si>
    <t>d354b8e8-0c53-48f7-891e-163d33664dff</t>
  </si>
  <si>
    <t>2022-10-19</t>
  </si>
  <si>
    <t>94fa0bde-a021-4e28-9349-12100d4d8d8a</t>
  </si>
  <si>
    <t>8a08f502-11ef-4c02-8fef-f394f7b7ef96</t>
  </si>
  <si>
    <t>2022-10-20</t>
  </si>
  <si>
    <t>3.51</t>
  </si>
  <si>
    <t>9391e698-fce1-4636-9908-1050684cd095</t>
  </si>
  <si>
    <t>2022-10-23</t>
  </si>
  <si>
    <t>b2081ac9-881b-4787-8cba-f7275aeae568</t>
  </si>
  <si>
    <t>2022-10-28</t>
  </si>
  <si>
    <t>0edde94d-3eeb-4810-b9b6-f0a08434d32b</t>
  </si>
  <si>
    <t>5da1f481-b392-4384-a0c2-5cdcd0a80a93</t>
  </si>
  <si>
    <t>2022-10-30</t>
  </si>
  <si>
    <t>e10700c5-1987-4d55-b26a-0b33f0d3d716</t>
  </si>
  <si>
    <t>f0a2c1c3-dfa1-4a3e-9ba4-8d3158e72189</t>
  </si>
  <si>
    <t>1647.56</t>
  </si>
  <si>
    <t>36c4f05a-627a-4bcf-92dc-0d387316a9df</t>
  </si>
  <si>
    <t>b41135eb-3060-4058-bed6-c06c467e80b1</t>
  </si>
  <si>
    <t>2022-10-31</t>
  </si>
  <si>
    <t>230</t>
  </si>
  <si>
    <t>d89b1c9e-d47b-464f-8660-439c16ce5069</t>
  </si>
  <si>
    <t>93e05616-8e8c-46ce-810c-040edbd83e78</t>
  </si>
  <si>
    <t>59</t>
  </si>
  <si>
    <t>2693d0c2-2ae7-401b-9948-ae4bfe1ff523</t>
  </si>
  <si>
    <t>2022-11-01</t>
  </si>
  <si>
    <t>8243.29</t>
  </si>
  <si>
    <t>c0ca92a5-6422-4eff-98dd-34cf6a12d1d9</t>
  </si>
  <si>
    <t>11755.77</t>
  </si>
  <si>
    <t>3bde69fd-d892-4933-a6ca-4fd1378df746</t>
  </si>
  <si>
    <t>f0568891-21d8-4346-a2da-ca402eead38f</t>
  </si>
  <si>
    <t>147.42</t>
  </si>
  <si>
    <t>4b5bc361-2536-4b03-801d-8cf9053c5edc</t>
  </si>
  <si>
    <t>72.72</t>
  </si>
  <si>
    <t>2fc6381b-c009-43d9-9a1f-4bb3fede4489</t>
  </si>
  <si>
    <t>db550984-7507-409e-8496-8039b45e3d45</t>
  </si>
  <si>
    <t>f4e6c125-59f3-45cb-ac6f-38d9d1b86a87</t>
  </si>
  <si>
    <t>2022-11-03</t>
  </si>
  <si>
    <t>622430ca-6504-4268-aabf-d04be4cc01c8</t>
  </si>
  <si>
    <t>5af92949-35b7-43e5-b5a5-fe8d9ddd91a5</t>
  </si>
  <si>
    <t>2022-11-04</t>
  </si>
  <si>
    <t>1877.61</t>
  </si>
  <si>
    <t>47938aae-2e6a-4601-a06d-1637c1f4747d</t>
  </si>
  <si>
    <t>00ec4f1a-964c-462e-b070-1621c9893dab</t>
  </si>
  <si>
    <t>2022-11-05</t>
  </si>
  <si>
    <t>597c8abb-1287-4a39-8227-110494b06dab</t>
  </si>
  <si>
    <t>6b0bbe85-d15b-4257-a4a0-56a67a7d599f</t>
  </si>
  <si>
    <t>2022-11-06</t>
  </si>
  <si>
    <t>c1ff0f27-8d6f-488a-9b09-93570a5fb76c</t>
  </si>
  <si>
    <t>2022-11-07</t>
  </si>
  <si>
    <t>76ecc918-4985-4f9b-a414-88d9b1c1a952</t>
  </si>
  <si>
    <t>433fc01e-2299-4225-9647-2747b178a037</t>
  </si>
  <si>
    <t>6f35df4a-9a81-474d-b393-429e076a8712</t>
  </si>
  <si>
    <t>6eeecffd-d01f-48ba-9c22-a6d79362d915</t>
  </si>
  <si>
    <t>4a9e276f-8362-46bf-9d55-f3ba5a415a3c</t>
  </si>
  <si>
    <t>2022-11-08</t>
  </si>
  <si>
    <t>269.94</t>
  </si>
  <si>
    <t>107022ac-1438-4903-8b1e-fa759994ef30</t>
  </si>
  <si>
    <t>3a2ee085-2783-4001-a33d-83c11c0d14dd</t>
  </si>
  <si>
    <t>2022-11-09</t>
  </si>
  <si>
    <t>10000</t>
  </si>
  <si>
    <t>76f2b32b-fe6c-44c4-b630-9fdd087b6feb</t>
  </si>
  <si>
    <t>2022-11-10</t>
  </si>
  <si>
    <t>6680.49</t>
  </si>
  <si>
    <t>29bb6f69-c4f1-40a2-ad3c-38960175055c</t>
  </si>
  <si>
    <t>6553bd76-3b1a-415f-a3b3-f2e37b20578d</t>
  </si>
  <si>
    <t>3b5dca18-cd1b-4249-8057-fefb39c8869e</t>
  </si>
  <si>
    <t>c4669055-e697-4a58-b42d-a64997787c56</t>
  </si>
  <si>
    <t>18909708-1f5f-444c-8f26-7f671c4f64fb</t>
  </si>
  <si>
    <t>348.12</t>
  </si>
  <si>
    <t>3958a25e-1347-42a8-8262-6a181598aa71</t>
  </si>
  <si>
    <t>283d577c-b5a5-400d-af94-5bb68b61b0cf</t>
  </si>
  <si>
    <t>0646c489-bc04-40f3-8b45-46da02c261b8</t>
  </si>
  <si>
    <t>c40f4250-11a2-45a9-9070-27d706b6c545</t>
  </si>
  <si>
    <t>ed38c9db-d4d6-4af5-b2b6-43fd90454aff</t>
  </si>
  <si>
    <t>4f834db8-e1da-4d9d-a0ff-0c61202b691b</t>
  </si>
  <si>
    <t>7036.47</t>
  </si>
  <si>
    <t>a9dd155c-7bb2-41db-ac98-ddce25ee5a39</t>
  </si>
  <si>
    <t>3461.08</t>
  </si>
  <si>
    <t>935f7bd4-2293-4276-829e-b3c16f4ed6d7</t>
  </si>
  <si>
    <t>4730.21</t>
  </si>
  <si>
    <t>68da8adf-7abd-4ef6-a888-692fdb239f8b</t>
  </si>
  <si>
    <t>2022-11-11</t>
  </si>
  <si>
    <t>32.38</t>
  </si>
  <si>
    <t>7f6672d1-ec75-4037-b2ba-eb3ac58edbab</t>
  </si>
  <si>
    <t>2022-11-13</t>
  </si>
  <si>
    <t>57a81de2-e878-4c4a-98e5-f28d38890dfe</t>
  </si>
  <si>
    <t>2022-11-14</t>
  </si>
  <si>
    <t>1a9187e5-d206-459f-9cad-fe25d2ab9620</t>
  </si>
  <si>
    <t>bf1faccc-9cbb-430c-829b-2484a8dfe61e</t>
  </si>
  <si>
    <t>4bc69ade-bd84-48d1-95ed-5360d6a9ebdb</t>
  </si>
  <si>
    <t>f3cc86ab-45a5-4aa2-8b8a-baf45b6ad369</t>
  </si>
  <si>
    <t>92c63c67-8f85-41f4-aeca-9c2ad28b7140</t>
  </si>
  <si>
    <t>2022-11-16</t>
  </si>
  <si>
    <t>bed37f5a-e0dd-4a73-a17b-258d3b5d772c</t>
  </si>
  <si>
    <t>55b20b0f-4317-49b3-a6ff-9e7a85303b6d</t>
  </si>
  <si>
    <t>6925d436-0937-4ca4-97fe-9bf33d6be281</t>
  </si>
  <si>
    <t>2022-11-18</t>
  </si>
  <si>
    <t>82157cec-e8ad-442a-81af-83ef83666892</t>
  </si>
  <si>
    <t>b0e8fe85-ff88-4997-b876-2c52328c0744</t>
  </si>
  <si>
    <t>2022-11-20</t>
  </si>
  <si>
    <t>9c131783-e3a0-475c-9448-c1d54f1fa4d8</t>
  </si>
  <si>
    <t>2022-11-21</t>
  </si>
  <si>
    <t>230a346c-230f-4dd1-a7a0-77fc75955b68</t>
  </si>
  <si>
    <t>eeeaaa72-d5d5-4fe0-b175-52641c45e575</t>
  </si>
  <si>
    <t>2022-11-23</t>
  </si>
  <si>
    <t>2d85222f-c846-456b-bd8a-4918a21f954d</t>
  </si>
  <si>
    <t>5099b3b9-5789-452a-8b8f-b79e60d1ae47</t>
  </si>
  <si>
    <t>2022-11-24</t>
  </si>
  <si>
    <t>df9fb1ff-35cf-427e-8bc1-a85138a961d4</t>
  </si>
  <si>
    <t>2022-11-25</t>
  </si>
  <si>
    <t>fa27aad0-c4ae-4e81-b9b7-820d54fba058</t>
  </si>
  <si>
    <t>de5e4e68-70fc-495e-afa3-43e087859ab1</t>
  </si>
  <si>
    <t>2022-11-28</t>
  </si>
  <si>
    <t>c78faeae-ab5e-417f-9037-6b4aec2d72b6</t>
  </si>
  <si>
    <t>0a5f1beb-ff4b-4d12-a9af-897440f799f0</t>
  </si>
  <si>
    <t>a5714079-e4e3-472e-ab17-2257630ae991</t>
  </si>
  <si>
    <t>132e659f-6a28-4d3d-aeee-d6d2cb556f8f</t>
  </si>
  <si>
    <t>2022-11-29</t>
  </si>
  <si>
    <t>e6e4eb48-f945-478c-8f8a-339ba110f176</t>
  </si>
  <si>
    <t>2022-11-30</t>
  </si>
  <si>
    <t>1488.74</t>
  </si>
  <si>
    <t>decadd2c-25ba-4dfa-8e99-ec4f0ade84a9</t>
  </si>
  <si>
    <t>445.29</t>
  </si>
  <si>
    <t>2340de8b-5bae-4bd7-8032-69a7a09f40ce</t>
  </si>
  <si>
    <t>1646.57</t>
  </si>
  <si>
    <t>51d932ef-2dd1-41cf-92c4-d573d7a705b2</t>
  </si>
  <si>
    <t>132</t>
  </si>
  <si>
    <t>f2ca981a-5731-458c-89cf-038aef331f9b</t>
  </si>
  <si>
    <t>decf32d1-6ade-416c-9312-dd01436344e1</t>
  </si>
  <si>
    <t>0616c968-fca2-4231-94a5-93cf7d98e1a7</t>
  </si>
  <si>
    <t>2022-12-01</t>
  </si>
  <si>
    <t>7982.55</t>
  </si>
  <si>
    <t>d49b7770-8a1e-4131-b993-f5f7a7f70cbe</t>
  </si>
  <si>
    <t>14364.62</t>
  </si>
  <si>
    <t>16aa5c2a-3c1e-4dad-8ccf-320fbed5b60a</t>
  </si>
  <si>
    <t>10301.52</t>
  </si>
  <si>
    <t>9da53480-6ad7-4d63-96a5-ce79e27df6eb</t>
  </si>
  <si>
    <t>694.98</t>
  </si>
  <si>
    <t>554f60a4-c74d-40d9-b619-21fd58f4537f</t>
  </si>
  <si>
    <t>246.27</t>
  </si>
  <si>
    <t>da898ab8-f6df-49c2-93d6-0ce1d4dea2a2</t>
  </si>
  <si>
    <t>9522c609-d308-410d-be53-407f12e91654</t>
  </si>
  <si>
    <t>bb958a45-f0ad-485d-8412-74ebdcbd2bf2</t>
  </si>
  <si>
    <t>10.5</t>
  </si>
  <si>
    <t>ee8f98ac-1657-49db-8f1b-0385a91e37b4</t>
  </si>
  <si>
    <t>151.08</t>
  </si>
  <si>
    <t>f99c53ee-abd8-4f76-a405-f09c52245ff8</t>
  </si>
  <si>
    <t>2022-12-02</t>
  </si>
  <si>
    <t>26393998-1b94-4f46-9be0-b82dbfad986b</t>
  </si>
  <si>
    <t>2022-12-03</t>
  </si>
  <si>
    <t>25dc4e81-3de4-4fed-ab3a-db0655c34d6c</t>
  </si>
  <si>
    <t>cdb3849e-d60d-49de-8886-89f819991ed0</t>
  </si>
  <si>
    <t>2022-12-04</t>
  </si>
  <si>
    <t>1877.16</t>
  </si>
  <si>
    <t>51bd8153-6567-42fd-a8f2-adcfd122401d</t>
  </si>
  <si>
    <t>4fe3a287-1537-405b-adde-80e8ba56d34d</t>
  </si>
  <si>
    <t>2022-12-05</t>
  </si>
  <si>
    <t>eb579a39-80bc-4663-9851-834dd21d81de</t>
  </si>
  <si>
    <t>211dbcb3-e509-47e5-ae7d-b6620671d9c8</t>
  </si>
  <si>
    <t>d3593cb6-88d6-446b-a692-00b79416ac6c</t>
  </si>
  <si>
    <t>b55e5b83-4df0-4adc-9c54-22d068c54206</t>
  </si>
  <si>
    <t>7e5ab9ba-537e-4fd2-8864-3344fd8a750d</t>
  </si>
  <si>
    <t>2022-12-06</t>
  </si>
  <si>
    <t>22100</t>
  </si>
  <si>
    <t>dc093edf-0116-4afa-b0ef-bd4437efaeaf</t>
  </si>
  <si>
    <t>2022-12-08</t>
  </si>
  <si>
    <t>226.96</t>
  </si>
  <si>
    <t>f4c5d954-fa4b-449a-bdcc-dc08c1fe6c69</t>
  </si>
  <si>
    <t>2022-12-09</t>
  </si>
  <si>
    <t>2516cd36-8e4d-4eee-ae5e-c08dd018c5c5</t>
  </si>
  <si>
    <t>2022-12-10</t>
  </si>
  <si>
    <t>6811.07</t>
  </si>
  <si>
    <t>6d64202a-915b-419b-9e8a-7cbcef778b9b</t>
  </si>
  <si>
    <t>b18800f7-8b3b-42c3-9136-db9ed013a829</t>
  </si>
  <si>
    <t>6c6946d5-798e-4a5a-97cc-085d51f11ad5</t>
  </si>
  <si>
    <t>39290da1-8515-48e6-8b41-b3740983698b</t>
  </si>
  <si>
    <t>c73307d1-6375-411b-81cc-510cc47669ac</t>
  </si>
  <si>
    <t>426.54</t>
  </si>
  <si>
    <t>9a96c76b-b859-4db8-8ca1-679f1681e5db</t>
  </si>
  <si>
    <t>e5b79ec3-82ce-455a-9149-143c20a65bf2</t>
  </si>
  <si>
    <t>4465.4</t>
  </si>
  <si>
    <t>fe231f26-632a-4282-94cc-e3745236c79d</t>
  </si>
  <si>
    <t>1410.74</t>
  </si>
  <si>
    <t>51a73f6e-eafa-4b8b-9ac0-e2f4878be6cd</t>
  </si>
  <si>
    <t>16161.15</t>
  </si>
  <si>
    <t>c20f3865-c479-4b39-96f9-64745ab6a995</t>
  </si>
  <si>
    <t>91485daa-38ae-459f-9697-f4efb71ce67b</t>
  </si>
  <si>
    <t>710.7</t>
  </si>
  <si>
    <t>21803a45-fe5c-40f0-8f34-c2220bb175a3</t>
  </si>
  <si>
    <t>2022-12-13</t>
  </si>
  <si>
    <t>a5898654-1d2e-43b0-bcbf-4f95421516d0</t>
  </si>
  <si>
    <t>2022-12-16</t>
  </si>
  <si>
    <t>105.27</t>
  </si>
  <si>
    <t>0f3ef24e-0126-4e73-8bfe-3eb4768caf07</t>
  </si>
  <si>
    <t>cbad06b5-4d8b-4684-a3e9-8b7a85dd8201</t>
  </si>
  <si>
    <t>2022-12-17</t>
  </si>
  <si>
    <t>49bd6e14-1ecf-406f-9767-628179c8771d</t>
  </si>
  <si>
    <t>2022-12-21</t>
  </si>
  <si>
    <t>c42da64c-bf8e-4154-af67-6bff92e0f5e3</t>
  </si>
  <si>
    <t>2022-12-24</t>
  </si>
  <si>
    <t>ac2f14b6-600f-4044-afae-9f9bd94c7494</t>
  </si>
  <si>
    <t>d944c231-69e7-4a3c-8cfe-7b72035a7cc6</t>
  </si>
  <si>
    <t>2022-12-25</t>
  </si>
  <si>
    <t>483d7937-8199-40a2-8210-926947c79c26</t>
  </si>
  <si>
    <t>124491be-641b-4d85-b967-980eaf45aeca</t>
  </si>
  <si>
    <t>2022-12-26</t>
  </si>
  <si>
    <t>645.5</t>
  </si>
  <si>
    <t>f0f2dc5f-cb9d-4d9f-8922-11af4b5a6251</t>
  </si>
  <si>
    <t>477.62</t>
  </si>
  <si>
    <t>70216f01-e0e3-462e-a436-05af458701f9</t>
  </si>
  <si>
    <t>2022-12-27</t>
  </si>
  <si>
    <t>22dd1238-a471-4c59-93ca-322cff356530</t>
  </si>
  <si>
    <t>2022-12-28</t>
  </si>
  <si>
    <t>ac81f2af-bed4-4005-8991-0d8e1b3ffb1a</t>
  </si>
  <si>
    <t>2022-12-30</t>
  </si>
  <si>
    <t>e151085e-3aeb-4b9d-9921-8921680a8ca1</t>
  </si>
  <si>
    <t>696.07</t>
  </si>
  <si>
    <t>d6e1e06d-8cd1-4410-8b25-2be6f2428df8</t>
  </si>
  <si>
    <t>3b0a8380-aceb-4fe4-b202-cbc93ecf90e8</t>
  </si>
  <si>
    <t>e2392209-7c26-4921-93e9-a4d25dc555a7</t>
  </si>
  <si>
    <t>02885e4e-fad7-447d-afae-78f0c880f3f2</t>
  </si>
  <si>
    <t>fbddc7f8-8042-411d-b122-45608f7169dc</t>
  </si>
  <si>
    <t>fa1f447f-6771-44c9-a94f-9a4bc64b0b35</t>
  </si>
  <si>
    <t>b4b39fb3-9026-4fe7-b7cb-d5d229083d70</t>
  </si>
  <si>
    <t>6ee6c428-c0a1-4335-b579-f74cc5f30ce7</t>
  </si>
  <si>
    <t>2022-12-31</t>
  </si>
  <si>
    <t>62.71</t>
  </si>
  <si>
    <t>d773d3ef-9861-443a-830f-6c81269ad321</t>
  </si>
  <si>
    <t>4450f5f2-764e-4beb-9d90-16c4abd7c962</t>
  </si>
  <si>
    <t>2023-01-01</t>
  </si>
  <si>
    <t>8133.02</t>
  </si>
  <si>
    <t>2026-02-06T23:17:08.692Z</t>
  </si>
  <si>
    <t>0ad3e9ae-b0ef-4085-8ab8-d39ed56e4ee1</t>
  </si>
  <si>
    <t>9506.05</t>
  </si>
  <si>
    <t>f8b9a92c-4a57-46c1-8bcc-e08d804cec81</t>
  </si>
  <si>
    <t>2026-02-06T23:17:10.145Z</t>
  </si>
  <si>
    <t>2a452951-276e-4a30-b1fe-c50e95d3459d</t>
  </si>
  <si>
    <t>59.37</t>
  </si>
  <si>
    <t>11f406ec-28ee-4799-b871-2cdbaa96aa13</t>
  </si>
  <si>
    <t>b880d6b0-b40e-4ea8-a2d0-25125f5725b9</t>
  </si>
  <si>
    <t>69a05ee1-e59a-4a87-a07b-09de53a3fc35</t>
  </si>
  <si>
    <t>2023-01-03</t>
  </si>
  <si>
    <t>dbfabe57-61b1-4ada-a518-75e90ea1fcbc</t>
  </si>
  <si>
    <t>ddeff858-7487-40e1-8531-be5c3facae72</t>
  </si>
  <si>
    <t>2023-01-04</t>
  </si>
  <si>
    <t>2367e917-c575-4d3d-ba6a-a15dd4f0f161</t>
  </si>
  <si>
    <t>92f98a41-d33f-4ff5-8ea6-0721854f786a</t>
  </si>
  <si>
    <t>9705fe52-505a-486b-8821-057623f56b90</t>
  </si>
  <si>
    <t>2023-01-05</t>
  </si>
  <si>
    <t>98d5f477-ffc4-4d68-97ff-8b62d043e226</t>
  </si>
  <si>
    <t>11.5</t>
  </si>
  <si>
    <t>8040af6e-7e0b-4c85-9ee8-d1b8f7e24e8f</t>
  </si>
  <si>
    <t>032095b8-121f-4c84-beec-919443878277</t>
  </si>
  <si>
    <t>2023-01-08</t>
  </si>
  <si>
    <t>75.33</t>
  </si>
  <si>
    <t>746a9632-e907-4796-8dc1-be246fdb7446</t>
  </si>
  <si>
    <t>d6454efc-7679-4de0-812c-1693d5a4d00d</t>
  </si>
  <si>
    <t>2023-01-09</t>
  </si>
  <si>
    <t>60800cf2-8e1d-4aec-bd12-251b308af8ca</t>
  </si>
  <si>
    <t>5557119f-232e-4396-907f-6a4745d44f4d</t>
  </si>
  <si>
    <t>f81c1b77-24f4-42c8-9d52-c81b722dbd09</t>
  </si>
  <si>
    <t>6481.18</t>
  </si>
  <si>
    <t>0d02a525-d42b-4980-b782-d35c7fca9f7b</t>
  </si>
  <si>
    <t>5811.49</t>
  </si>
  <si>
    <t>6c5a7843-6729-4a08-aab5-5cff9b5779fc</t>
  </si>
  <si>
    <t>447.52</t>
  </si>
  <si>
    <t>c0df6dd9-8777-4c6f-a5e2-073073c23c09</t>
  </si>
  <si>
    <t>300.5</t>
  </si>
  <si>
    <t>f506ae03-45c0-4e94-8041-6c91cdb94667</t>
  </si>
  <si>
    <t>0cb4ff9c-a854-4477-8123-d7a55920e822</t>
  </si>
  <si>
    <t>248</t>
  </si>
  <si>
    <t>823eb5f5-9097-476c-8043-e8414539ab16</t>
  </si>
  <si>
    <t>2023-01-10</t>
  </si>
  <si>
    <t>9962.91</t>
  </si>
  <si>
    <t>63679611-df96-4471-8c23-d7e855df88a5</t>
  </si>
  <si>
    <t>235.94</t>
  </si>
  <si>
    <t>3b7f5a26-a0ef-4e93-a3c7-153310e7493f</t>
  </si>
  <si>
    <t>54e8b09b-44d7-44df-99f8-2bb9bb74fa20</t>
  </si>
  <si>
    <t>f21d6286-b638-4521-b113-41d98b1fa105</t>
  </si>
  <si>
    <t>1579.2</t>
  </si>
  <si>
    <t>2aa98f4a-7cf3-4a41-90c8-a60f97ed3e72</t>
  </si>
  <si>
    <t>cca6e6ca-4bee-4891-b7ac-4eff285d7226</t>
  </si>
  <si>
    <t>33175e8f-22a7-46f1-83ec-c6b545b14931</t>
  </si>
  <si>
    <t>47c23f3a-9edd-4a43-8472-6632afe435c0</t>
  </si>
  <si>
    <t>2023-01-11</t>
  </si>
  <si>
    <t>11287a68-a11e-492f-bc9d-20424712a1cd</t>
  </si>
  <si>
    <t>2023-01-13</t>
  </si>
  <si>
    <t>6853.43</t>
  </si>
  <si>
    <t>bb1c1b28-7284-48ec-b7ec-da30acc67346</t>
  </si>
  <si>
    <t>1002</t>
  </si>
  <si>
    <t>c65f3c80-8edf-4913-a56e-192a10a37936</t>
  </si>
  <si>
    <t>2023-01-17</t>
  </si>
  <si>
    <t>327598f0-d5ab-4a07-91aa-50d8fd8bb2cf</t>
  </si>
  <si>
    <t>2023-01-20</t>
  </si>
  <si>
    <t>45d6ed52-8309-4b2f-8d2d-2366d98fc558</t>
  </si>
  <si>
    <t>a7381100-72b0-456a-85db-d1ca627f42c2</t>
  </si>
  <si>
    <t>faa1823f-2019-4fa0-8dbb-d384d0218047</t>
  </si>
  <si>
    <t>ad9359a1-3428-44b0-973c-80dafb5dc8a7</t>
  </si>
  <si>
    <t>af2ff991-31e1-4746-9598-86f76f92f153</t>
  </si>
  <si>
    <t>2023-01-23</t>
  </si>
  <si>
    <t>580.55</t>
  </si>
  <si>
    <t>3a525550-5eed-4b0b-a177-43059a4f9c9d</t>
  </si>
  <si>
    <t>485.01</t>
  </si>
  <si>
    <t>c6233668-d881-455f-ad6c-ab1caed662d9</t>
  </si>
  <si>
    <t>2023-01-24</t>
  </si>
  <si>
    <t>2a37b304-3491-4b67-8ffb-011048b75a35</t>
  </si>
  <si>
    <t>2023-01-26</t>
  </si>
  <si>
    <t>f2b875e1-0a7d-418d-be2a-ea71349ae905</t>
  </si>
  <si>
    <t>2023-01-27</t>
  </si>
  <si>
    <t>1a8d80d4-f31c-400d-b3ce-e899b9a372e6</t>
  </si>
  <si>
    <t>2023-01-28</t>
  </si>
  <si>
    <t>9d5c650e-c024-40c7-b166-e8a10eb2d8c1</t>
  </si>
  <si>
    <t>ee4db234-ced0-4130-80b4-3373beae4cb0</t>
  </si>
  <si>
    <t>75fe57c3-93ed-406d-93b1-c42a1fc20164</t>
  </si>
  <si>
    <t>72756581-fea4-4fc1-ac37-37eb3b7ab8fa</t>
  </si>
  <si>
    <t>310</t>
  </si>
  <si>
    <t>7dac028f-2fa4-4e49-b3fe-b02bd9c1e2ec</t>
  </si>
  <si>
    <t>220</t>
  </si>
  <si>
    <t>919cdc7c-c449-48a1-a1ca-d7de2ad73cb1</t>
  </si>
  <si>
    <t>2023-01-30</t>
  </si>
  <si>
    <t>ecdd6347-e2ed-4de0-88a4-61088b0b5723</t>
  </si>
  <si>
    <t>fe17bf36-c312-44ef-9670-604d5d13d202</t>
  </si>
  <si>
    <t>1665.92</t>
  </si>
  <si>
    <t>4079a88f-39c6-4aa1-b6ae-3e5bce2529b8</t>
  </si>
  <si>
    <t>2494aa18-2a8f-458e-a038-8b9f294d01f2</t>
  </si>
  <si>
    <t>8ce0503b-7680-41e5-aa27-04367fe7afb0</t>
  </si>
  <si>
    <t>bf96bf4e-e1f4-4c39-8973-8460f93bb1b3</t>
  </si>
  <si>
    <t>7fcbf5db-f1a9-4ca5-9f2e-8f1f724701e6</t>
  </si>
  <si>
    <t>739edfd0-5385-40da-9761-99485d06d0f4</t>
  </si>
  <si>
    <t>685adaf0-609b-4a60-b1d4-a5f296b4012a</t>
  </si>
  <si>
    <t>302</t>
  </si>
  <si>
    <t>717096b6-bdb4-429c-a7d9-1f323c3a1409</t>
  </si>
  <si>
    <t>67.5</t>
  </si>
  <si>
    <t>21ea8d13-85d2-4e18-bf20-e60a28991af9</t>
  </si>
  <si>
    <t>2023-02-01</t>
  </si>
  <si>
    <t>14693</t>
  </si>
  <si>
    <t>b5f52253-7744-4512-9195-cec8cfdc77b0</t>
  </si>
  <si>
    <t>2bccd59b-aa56-4bde-a9a0-60a098e12fe8</t>
  </si>
  <si>
    <t>2878f1c9-80b9-4aa4-864f-41f4112ee7d4</t>
  </si>
  <si>
    <t>2023-02-02</t>
  </si>
  <si>
    <t>162</t>
  </si>
  <si>
    <t>b86f378e-bd2c-479e-bef1-99c50576973f</t>
  </si>
  <si>
    <t>2023-02-03</t>
  </si>
  <si>
    <t>1df213b7-1b3b-4d5c-90cc-ff0187aa2d21</t>
  </si>
  <si>
    <t>bbc79c42-b35b-4733-961f-64cd6c1b4ee7</t>
  </si>
  <si>
    <t>2023-02-04</t>
  </si>
  <si>
    <t>1878.35</t>
  </si>
  <si>
    <t>6a5e2922-ff13-4dd3-9cf3-d40b4b1ca4c2</t>
  </si>
  <si>
    <t>2023-02-05</t>
  </si>
  <si>
    <t>ab443f21-5a6e-4b2b-b30f-d129d776ac05</t>
  </si>
  <si>
    <t>d8404d01-f1b9-48bb-8654-51aa21d8d840</t>
  </si>
  <si>
    <t>2023-02-06</t>
  </si>
  <si>
    <t>54.75</t>
  </si>
  <si>
    <t>6f65fc0f-acc5-43f2-8aad-61700445335a</t>
  </si>
  <si>
    <t>29815bb7-0c6b-4d89-abe1-95017d8c07ff</t>
  </si>
  <si>
    <t>9ba2a648-deac-4c0c-9bc9-7dcb42372779</t>
  </si>
  <si>
    <t>2023-02-07</t>
  </si>
  <si>
    <t>e379867d-fa6d-4a17-ae8c-3f26b568c3e8</t>
  </si>
  <si>
    <t>2023-02-08</t>
  </si>
  <si>
    <t>1fd85085-d581-4b94-a2b3-1b0d733b62d7</t>
  </si>
  <si>
    <t>247.13</t>
  </si>
  <si>
    <t>246c4bd7-e5fe-4f16-a500-1efc8c3c7387</t>
  </si>
  <si>
    <t>231.58</t>
  </si>
  <si>
    <t>7e0643c4-1b4d-4395-b8a6-58fe1187d263</t>
  </si>
  <si>
    <t>2023-02-09</t>
  </si>
  <si>
    <t>234.35</t>
  </si>
  <si>
    <t>bdb83920-95b3-4da4-bc84-f17300d3b621</t>
  </si>
  <si>
    <t>2023-02-10</t>
  </si>
  <si>
    <t>6944.19</t>
  </si>
  <si>
    <t>cd4ada95-94c2-4639-b596-2231f9b46362</t>
  </si>
  <si>
    <t>690.2</t>
  </si>
  <si>
    <t>c3208a9a-15c5-4cc4-9085-5a9f6888e63d</t>
  </si>
  <si>
    <t>1290.88</t>
  </si>
  <si>
    <t>d3fa4132-e16a-4520-b1d0-4e8ebd83a7eb</t>
  </si>
  <si>
    <t>705.94</t>
  </si>
  <si>
    <t>ab4840f4-f58c-49f8-9aca-49decddc7738</t>
  </si>
  <si>
    <t>759.1</t>
  </si>
  <si>
    <t>1434f8fa-d93c-45ca-b0aa-6a47debe06ce</t>
  </si>
  <si>
    <t>371.26</t>
  </si>
  <si>
    <t>7e9c24f4-0eca-462f-9b7b-8bde6be1e02e</t>
  </si>
  <si>
    <t>105.26</t>
  </si>
  <si>
    <t>628ec298-e382-4413-a578-4e59b8a30595</t>
  </si>
  <si>
    <t>729ddaaa-3a19-4261-b747-fd84e873a5e9</t>
  </si>
  <si>
    <t>68e08337-7234-41a3-ba42-e90c602d95fa</t>
  </si>
  <si>
    <t>a5e57bfa-1a78-4377-ab8f-2c20446e87f7</t>
  </si>
  <si>
    <t>116.16</t>
  </si>
  <si>
    <t>fb4a3464-d47c-4e65-b73b-232c06a8363b</t>
  </si>
  <si>
    <t>5631.61</t>
  </si>
  <si>
    <t>df5f4e5b-0c0b-4bc0-b853-3dd7ba18d168</t>
  </si>
  <si>
    <t>12213.7</t>
  </si>
  <si>
    <t>9705dc78-a1c8-4fe8-be3b-dc330b8d8ec3</t>
  </si>
  <si>
    <t>2023-02-11</t>
  </si>
  <si>
    <t>0202e0bd-fd3a-491e-928e-aa8842bcf368</t>
  </si>
  <si>
    <t>da217536-605e-424e-a248-16bb6e292c38</t>
  </si>
  <si>
    <t>2023-02-13</t>
  </si>
  <si>
    <t>9506.92</t>
  </si>
  <si>
    <t>ffdcc9d8-a06a-4508-88e4-38695ae53aef</t>
  </si>
  <si>
    <t>87b5286e-15f7-47ec-94e5-1de26a5c5a0b</t>
  </si>
  <si>
    <t>5f0913d5-1cb6-43f3-b182-58a7532eadf9</t>
  </si>
  <si>
    <t>b27bcaf5-5098-4f19-8e42-229e7bf55c63</t>
  </si>
  <si>
    <t>2023-02-15</t>
  </si>
  <si>
    <t>247.5</t>
  </si>
  <si>
    <t>52be2839-c0bf-4052-9743-6dcb86edd74f</t>
  </si>
  <si>
    <t>2023-02-20</t>
  </si>
  <si>
    <t>7485fcae-7321-4b26-9513-1d321bd242f9</t>
  </si>
  <si>
    <t>b9e83fb0-d109-47dc-b610-8fe33923407c</t>
  </si>
  <si>
    <t>0f0f4af1-36d9-4fe2-ad0d-0fb6ccf6e2b3</t>
  </si>
  <si>
    <t>2023-02-22</t>
  </si>
  <si>
    <t>436e70d7-a110-4de0-b183-f4397321816c</t>
  </si>
  <si>
    <t>cccc0dfd-45c1-4d5c-9268-273a2e760223</t>
  </si>
  <si>
    <t>2023-02-23</t>
  </si>
  <si>
    <t>876.11</t>
  </si>
  <si>
    <t>e3a39a18-22f6-4c5f-8e4c-fa094f730a5b</t>
  </si>
  <si>
    <t>43906a28-0d75-4afe-8a2e-ef6b867935da</t>
  </si>
  <si>
    <t>2023-02-24</t>
  </si>
  <si>
    <t>89ed883e-12b0-40c2-acaa-9f22318806a9</t>
  </si>
  <si>
    <t>2023-02-28</t>
  </si>
  <si>
    <t>1287.6</t>
  </si>
  <si>
    <t>9d0367d7-0ead-4ff2-8076-f7e71d0f4587</t>
  </si>
  <si>
    <t>385.11</t>
  </si>
  <si>
    <t>18faa206-723b-489b-8d16-8ee58741286b</t>
  </si>
  <si>
    <t>1651.41</t>
  </si>
  <si>
    <t>3fa47595-2c06-4d43-be9a-80b050432e68</t>
  </si>
  <si>
    <t>8e15e732-af15-43ae-a4e7-92fa4ee41329</t>
  </si>
  <si>
    <t>1d5a2f4e-fdd2-4d9d-9bb1-45fce06dc1d3</t>
  </si>
  <si>
    <t>2023-03-01</t>
  </si>
  <si>
    <t>4878fe05-49d8-49b7-8871-d80ba0c08260</t>
  </si>
  <si>
    <t>f5195348-9db5-49cc-8793-950fc7f9721f</t>
  </si>
  <si>
    <t>d43f95d2-1db9-4ed5-b00d-f090537452c9</t>
  </si>
  <si>
    <t>2023-03-02</t>
  </si>
  <si>
    <t>24bedec5-94e1-4d43-9e6e-bc7da61f2454</t>
  </si>
  <si>
    <t>2023-03-03</t>
  </si>
  <si>
    <t>99700e38-9654-4c85-97dc-2d5818a6271c</t>
  </si>
  <si>
    <t>2023-03-04</t>
  </si>
  <si>
    <t>1876.66</t>
  </si>
  <si>
    <t>849acb97-1d18-41ac-b5b4-a3268da98cb4</t>
  </si>
  <si>
    <t>2023-03-05</t>
  </si>
  <si>
    <t>e82973dc-76a1-4a2d-90b4-ca828aece74b</t>
  </si>
  <si>
    <t>e73fee63-c619-4ebf-b13e-d0db2ad19773</t>
  </si>
  <si>
    <t>2023-03-06</t>
  </si>
  <si>
    <t>245.51</t>
  </si>
  <si>
    <t>93454dc2-94bd-4b96-b081-a0ec93bd5f1f</t>
  </si>
  <si>
    <t>230.07</t>
  </si>
  <si>
    <t>20d4e84a-46b5-45d8-9113-5918b71c6408</t>
  </si>
  <si>
    <t>25b69f90-f32d-467d-939b-4cbfcb453419</t>
  </si>
  <si>
    <t>2023-03-07</t>
  </si>
  <si>
    <t>198</t>
  </si>
  <si>
    <t>196e8ee8-21df-4d27-b0d0-4358ba46aed2</t>
  </si>
  <si>
    <t>d08f6b9b-7fc5-4b7e-bdc2-9b5571495e19</t>
  </si>
  <si>
    <t>2023-03-08</t>
  </si>
  <si>
    <t>14812.06</t>
  </si>
  <si>
    <t>48beb1a4-f1ea-451d-8cd0-b8e8045bb577</t>
  </si>
  <si>
    <t>269.42</t>
  </si>
  <si>
    <t>cbb91889-f9a9-4e4f-bb31-29d221d0c7f2</t>
  </si>
  <si>
    <t>3537.56</t>
  </si>
  <si>
    <t>050578ec-1073-44db-ac80-15148b0a66f9</t>
  </si>
  <si>
    <t>7229.6</t>
  </si>
  <si>
    <t>3cda7bf8-9229-43ae-8551-e6b973d45559</t>
  </si>
  <si>
    <t>862cda0c-5df7-49ab-845c-363c5645e7d2</t>
  </si>
  <si>
    <t>cff21318-8669-4381-a1a0-f059474e5eff</t>
  </si>
  <si>
    <t>2023-03-09</t>
  </si>
  <si>
    <t>a8c4cfa6-5ab8-4036-a572-5ec8e5a835c1</t>
  </si>
  <si>
    <t>2023-03-10</t>
  </si>
  <si>
    <t>7376.31</t>
  </si>
  <si>
    <t>ad98ae39-0f7c-4cd0-b551-db27ac7a643a</t>
  </si>
  <si>
    <t>878.5</t>
  </si>
  <si>
    <t>bad9cf02-b7b5-459d-9ebc-581eb8d44234</t>
  </si>
  <si>
    <t>1102.58</t>
  </si>
  <si>
    <t>6dfa65e6-c86b-4ffe-9c16-6af056194f1e</t>
  </si>
  <si>
    <t>941.25</t>
  </si>
  <si>
    <t>a6776c34-cc0f-4719-8bba-537200604efc</t>
  </si>
  <si>
    <t>523.79</t>
  </si>
  <si>
    <t>f3c48ddc-3826-4117-8ec7-62e3457457e3</t>
  </si>
  <si>
    <t>436.56</t>
  </si>
  <si>
    <t>6e9b41c9-7f85-4856-89a1-3efc5d33938f</t>
  </si>
  <si>
    <t>9bb84328-998b-45b6-903d-dce0260afcff</t>
  </si>
  <si>
    <t>af275661-42e6-4f1d-8bed-4be184eb0efc</t>
  </si>
  <si>
    <t>6d9936e8-62b2-41ad-b589-46769cdd560e</t>
  </si>
  <si>
    <t>622ddcdd-bb7d-45af-a04e-ff88d93e68b7</t>
  </si>
  <si>
    <t>2023-03-12</t>
  </si>
  <si>
    <t>d1810404-7b5a-4b85-8c0a-559e98b660aa</t>
  </si>
  <si>
    <t>2023-03-14</t>
  </si>
  <si>
    <t>208cd2ee-8705-435f-a7b2-40e832b103e6</t>
  </si>
  <si>
    <t>2023-03-16</t>
  </si>
  <si>
    <t>922.47</t>
  </si>
  <si>
    <t>cf0831c4-45b6-4f2a-b1a7-bd3ed9145368</t>
  </si>
  <si>
    <t>c6244f26-2275-40bc-aac1-6d314e16e0fb</t>
  </si>
  <si>
    <t>2023-03-17</t>
  </si>
  <si>
    <t>edc77cf8-f561-4e61-921c-91a3511d3bef</t>
  </si>
  <si>
    <t>97441649-1923-428f-be9d-9f2bee2f0b00</t>
  </si>
  <si>
    <t>2023-03-19</t>
  </si>
  <si>
    <t>f9aadace-7cad-4ff7-a68f-fe9f30116ce4</t>
  </si>
  <si>
    <t>2023-03-20</t>
  </si>
  <si>
    <t>117.14</t>
  </si>
  <si>
    <t>41c9d9a0-dd71-4842-8298-95b1306b9ca6</t>
  </si>
  <si>
    <t>6368d5ff-1a59-44e4-9126-5e24f5d96c9f</t>
  </si>
  <si>
    <t>2e35810e-1339-44a3-be00-511c41952d3d</t>
  </si>
  <si>
    <t>3250d3bd-9294-4c1c-82c4-c3840caf9e22</t>
  </si>
  <si>
    <t>1485.69</t>
  </si>
  <si>
    <t>82b72642-ca18-43b2-a72c-1bd5950ddd6f</t>
  </si>
  <si>
    <t>1491.01</t>
  </si>
  <si>
    <t>dacd9d7a-1670-40ec-874b-b5a7908bdb02</t>
  </si>
  <si>
    <t>de4e470a-3f63-44ff-853b-aeba0c1f669e</t>
  </si>
  <si>
    <t>f75ae019-a49d-40e2-88af-5fd97a4831d8</t>
  </si>
  <si>
    <t>e36e6510-0025-499a-baf5-8b728679d9da</t>
  </si>
  <si>
    <t>2023-03-21</t>
  </si>
  <si>
    <t>ca4dcd9a-7e6a-4edb-9d40-089f3a12b421</t>
  </si>
  <si>
    <t>2023-03-25</t>
  </si>
  <si>
    <t>7740.9</t>
  </si>
  <si>
    <t>Importado da planilha legada (linha 11) [LEGADO:OK]</t>
  </si>
  <si>
    <t>322b759b-e2e9-43a8-89d1-9be0d4ecf23c</t>
  </si>
  <si>
    <t>2023-03-27</t>
  </si>
  <si>
    <t>78ef9ad3-cdbc-4fd3-b174-90f1b594b97f</t>
  </si>
  <si>
    <t>2023-03-28</t>
  </si>
  <si>
    <t>e3449757-f7c6-4dcd-a741-6165e78db119</t>
  </si>
  <si>
    <t>2023-03-30</t>
  </si>
  <si>
    <t>1644.94</t>
  </si>
  <si>
    <t>9d7d1131-d346-47c4-88e7-7210b9bc25c2</t>
  </si>
  <si>
    <t>1204.35</t>
  </si>
  <si>
    <t>1d9df9bd-c005-4d07-b746-34f0b086e04d</t>
  </si>
  <si>
    <t>366.74</t>
  </si>
  <si>
    <t>9f8d008b-ee47-4581-886a-810eb7b1368d</t>
  </si>
  <si>
    <t>34b0b7e5-0720-48f5-a45e-f8b43c808296</t>
  </si>
  <si>
    <t>2023-04-01</t>
  </si>
  <si>
    <t>9691.5</t>
  </si>
  <si>
    <t>0ab88f57-6605-43ce-b0e0-168ba6b0c8e1</t>
  </si>
  <si>
    <t>4402.41</t>
  </si>
  <si>
    <t>46ed8bf1-c7f8-4a7a-bebf-52a0fb8fb699</t>
  </si>
  <si>
    <t>99c9cf52-c72c-4b20-bcf9-627def98dd3f</t>
  </si>
  <si>
    <t>46.2</t>
  </si>
  <si>
    <t>dd38f4ce-04ee-4796-b6c1-5fc3d517fbc8</t>
  </si>
  <si>
    <t>2023-04-02</t>
  </si>
  <si>
    <t>822.47</t>
  </si>
  <si>
    <t>cc56c20b-465a-4fe9-b2a3-34d6f74eb657</t>
  </si>
  <si>
    <t>2023-04-03</t>
  </si>
  <si>
    <t>5972.79</t>
  </si>
  <si>
    <t>063f88d7-6733-45d8-b3a4-470897a53900</t>
  </si>
  <si>
    <t>dfa87d7d-d7cf-4934-b1bd-b46143f503c8</t>
  </si>
  <si>
    <t>2023-04-04</t>
  </si>
  <si>
    <t>80dad57c-02a1-4f09-960b-3dcbceca143c</t>
  </si>
  <si>
    <t>2023-04-05</t>
  </si>
  <si>
    <t>306.5</t>
  </si>
  <si>
    <t>0120bb76-14ba-42e3-a8a8-0a3c762ae304</t>
  </si>
  <si>
    <t>17960b22-36f7-4d4a-a20a-6f704f32593b</t>
  </si>
  <si>
    <t>2ff8f3e3-7a40-46a2-ba64-afbed696204b</t>
  </si>
  <si>
    <t>99ace28c-3724-4925-bc05-f6caa8238867</t>
  </si>
  <si>
    <t>2023-04-06</t>
  </si>
  <si>
    <t>a13b87fe-0f1e-431c-9473-2a3146d109c8</t>
  </si>
  <si>
    <t>07fac82d-c5e1-41b7-bdb3-5d964d3ce9b4</t>
  </si>
  <si>
    <t>2023-04-08</t>
  </si>
  <si>
    <t>921b35eb-b95f-4359-a229-a0d3a702bff2</t>
  </si>
  <si>
    <t>c2c0a58c-e18a-40d7-8993-98c89c8c50d8</t>
  </si>
  <si>
    <t>2023-04-09</t>
  </si>
  <si>
    <t>e06458d5-7dff-45ce-8129-3674385f9bc7</t>
  </si>
  <si>
    <t>2023-04-10</t>
  </si>
  <si>
    <t>7023.88</t>
  </si>
  <si>
    <t>51bef921-c00e-45b7-a48b-4dabcbdb8a0c</t>
  </si>
  <si>
    <t>153e0810-2f23-4b33-a42f-53ff3d389918</t>
  </si>
  <si>
    <t>f98ddf26-cd3e-44e0-805e-1283c96658c8</t>
  </si>
  <si>
    <t>31955f48-63ad-4fe5-9124-2efa71a22c02</t>
  </si>
  <si>
    <t>3f71fefb-ddfc-41a0-a10c-fb3ce5f7a970</t>
  </si>
  <si>
    <t>579.98</t>
  </si>
  <si>
    <t>01151ef7-22d0-49be-9c76-70fcb1663143</t>
  </si>
  <si>
    <t>044bf9ef-f9d7-43a2-b510-06b39de384dd</t>
  </si>
  <si>
    <t>85384d2a-4857-4ce5-ba63-8a74559837bb</t>
  </si>
  <si>
    <t>113.98</t>
  </si>
  <si>
    <t>07eeec2f-5626-45b2-b558-a8379f4fe992</t>
  </si>
  <si>
    <t>6be2e730-b69e-4c4e-8478-ac92f1bc14c6</t>
  </si>
  <si>
    <t>470036a6-3b67-4544-b7e8-89932223b2c4</t>
  </si>
  <si>
    <t>6698.37</t>
  </si>
  <si>
    <t>58fcda0d-868a-494a-bb92-8c5f95f3504a</t>
  </si>
  <si>
    <t>6721.59</t>
  </si>
  <si>
    <t>3dbefe8b-e9d3-4706-a30f-d07bd27dbfdf</t>
  </si>
  <si>
    <t>2023-04-11</t>
  </si>
  <si>
    <t>a4c26437-07fb-4ab4-b954-b0f20f5e0330</t>
  </si>
  <si>
    <t>2023-04-12</t>
  </si>
  <si>
    <t>17e311cf-db12-4b9f-84d0-de21e1b3b1d4</t>
  </si>
  <si>
    <t>5a135fbc-6623-49c6-be37-4337f11781b3</t>
  </si>
  <si>
    <t>8eb2c71a-0018-4a7a-8b61-850060e82614</t>
  </si>
  <si>
    <t>2023-04-13</t>
  </si>
  <si>
    <t>e182057d-31bd-425e-8bd4-69dba70a10f2</t>
  </si>
  <si>
    <t>2023-04-14</t>
  </si>
  <si>
    <t>6d52d416-9802-4b1f-bee6-7bf2a9cf419e</t>
  </si>
  <si>
    <t>2023-04-19</t>
  </si>
  <si>
    <t>220.39</t>
  </si>
  <si>
    <t>a4e0fbca-7c54-49da-9424-1c16a34ddd01</t>
  </si>
  <si>
    <t>2023-04-24</t>
  </si>
  <si>
    <t>65703fd8-df14-4633-afdb-eda2c6a09cb9</t>
  </si>
  <si>
    <t>354.43</t>
  </si>
  <si>
    <t>2dced98b-ba4e-47ec-bb30-127ff9a68163</t>
  </si>
  <si>
    <t>1f13cb9a-960c-455b-83e5-99f76200360c</t>
  </si>
  <si>
    <t>1bc8e1e4-60c4-458f-b2a9-9eaf5b873af3</t>
  </si>
  <si>
    <t>5245e2c7-b3ef-441a-bce0-1fd434059dfc</t>
  </si>
  <si>
    <t>091232ec-5097-44d3-9461-c1a1e2e8a210</t>
  </si>
  <si>
    <t>35a0918e-5ce3-4d2c-9bae-c94033e74358</t>
  </si>
  <si>
    <t>2023-04-25</t>
  </si>
  <si>
    <t>60d79036-09e9-4d5f-84e2-efb1c911a709</t>
  </si>
  <si>
    <t>2023-04-28</t>
  </si>
  <si>
    <t>d1466adc-48cf-4f60-9a33-3044bc6c3f52</t>
  </si>
  <si>
    <t>2023-04-30</t>
  </si>
  <si>
    <t>efa382df-0415-4dcf-831c-fda1b92e3b75</t>
  </si>
  <si>
    <t>366.73</t>
  </si>
  <si>
    <t>7fd8485a-06a2-4eb0-a6a7-ddcfb8a52380</t>
  </si>
  <si>
    <t>1861.78</t>
  </si>
  <si>
    <t>356f0376-1a33-4416-9ca8-4d3c4576d086</t>
  </si>
  <si>
    <t>2023-05-01</t>
  </si>
  <si>
    <t>23416.05</t>
  </si>
  <si>
    <t>08fc534a-5171-43a7-8d4b-79b44dc2a295</t>
  </si>
  <si>
    <t>5576.46</t>
  </si>
  <si>
    <t>832c8a5b-4835-493d-ad52-e085c69af7ea</t>
  </si>
  <si>
    <t>36.48</t>
  </si>
  <si>
    <t>79b6f03d-4b2c-4a3f-9da3-69fded3f92a1</t>
  </si>
  <si>
    <t>31.98</t>
  </si>
  <si>
    <t>08504eac-462d-4816-8306-081f99a37574</t>
  </si>
  <si>
    <t>789.29</t>
  </si>
  <si>
    <t>6cb3748c-3a00-4478-aafd-83991c4cd2f1</t>
  </si>
  <si>
    <t>487.62</t>
  </si>
  <si>
    <t>fd265532-61fb-479e-bb41-1e265c99d28b</t>
  </si>
  <si>
    <t>efaf53d6-e13d-488b-b59b-ca35be809cb6</t>
  </si>
  <si>
    <t>Importado da planilha legada (linha 36) [LEGADO:SKIPPED]</t>
  </si>
  <si>
    <t>782dc0ed-abdd-483f-b420-8b6060d64f40</t>
  </si>
  <si>
    <t>Importado da planilha legada (linha 37) [LEGADO:SKIPPED]</t>
  </si>
  <si>
    <t>ed7b4888-b9e9-4011-96ca-c653c79e51a0</t>
  </si>
  <si>
    <t>Importado da planilha legada (linha 38) [LEGADO:SKIPPED]</t>
  </si>
  <si>
    <t>1e8224a5-f010-4c9e-bd9c-be312b159e32</t>
  </si>
  <si>
    <t>Importado da planilha legada (linha 39) [LEGADO:SKIPPED]</t>
  </si>
  <si>
    <t>9807f24f-8112-4fb9-b990-de72ce384ca2</t>
  </si>
  <si>
    <t>Importado da planilha legada (linha 40) [LEGADO:SKIPPED]</t>
  </si>
  <si>
    <t>41df7aa2-fa70-44a2-93ac-3bfd35729c92</t>
  </si>
  <si>
    <t>Importado da planilha legada (linha 41) [LEGADO:SKIPPED]</t>
  </si>
  <si>
    <t>28b19ee2-a828-432a-a24c-00016bef3e13</t>
  </si>
  <si>
    <t>Importado da planilha legada (linha 42) [LEGADO:SKIPPED]</t>
  </si>
  <si>
    <t>62211c9b-39df-44e8-b771-f7641f996fe7</t>
  </si>
  <si>
    <t>Importado da planilha legada (linha 43) [LEGADO:SKIPPED]</t>
  </si>
  <si>
    <t>bb0a829e-e6d8-4392-874e-d0a809e63720</t>
  </si>
  <si>
    <t>Importado da planilha legada (linha 44) [LEGADO:SKIPPED]</t>
  </si>
  <si>
    <t>9cdb7a01-a5c9-451c-bc05-6ac6607d2194</t>
  </si>
  <si>
    <t>2023-05-02</t>
  </si>
  <si>
    <t>19536881-3408-45ef-979a-544ebf639b35</t>
  </si>
  <si>
    <t>2023-05-03</t>
  </si>
  <si>
    <t>5141b147-b0f0-49f1-9768-1f383ccb0677</t>
  </si>
  <si>
    <t>df58411d-2464-4f56-bf02-5f5dd663bc94</t>
  </si>
  <si>
    <t>2023-05-04</t>
  </si>
  <si>
    <t>1875.56</t>
  </si>
  <si>
    <t>9d8f1ed6-3a9a-4849-a299-477f1079c173</t>
  </si>
  <si>
    <t>193.67</t>
  </si>
  <si>
    <t>2e5de73f-c809-4fd7-b3ff-c79047cf6543</t>
  </si>
  <si>
    <t>2023-05-05</t>
  </si>
  <si>
    <t>b6fdc7b8-ea6d-454d-8344-43c3e4dc90b4</t>
  </si>
  <si>
    <t>d5b210da-ae36-4c3e-a08b-4cf2391514a2</t>
  </si>
  <si>
    <t>15e4f8dc-58cf-4f3b-9fa5-57679fbd1e9f</t>
  </si>
  <si>
    <t>2023-05-08</t>
  </si>
  <si>
    <t>220.44</t>
  </si>
  <si>
    <t>5fede8db-5226-4046-af28-208680190d89</t>
  </si>
  <si>
    <t>5d98e27c-b843-4fbe-9263-e5e324e66c6a</t>
  </si>
  <si>
    <t>ebd502d9-1daa-495e-927f-996d1bec4852</t>
  </si>
  <si>
    <t>2023-05-09</t>
  </si>
  <si>
    <t>da9ba58c-b33a-42bc-9912-f11e380e1b31</t>
  </si>
  <si>
    <t>2023-05-10</t>
  </si>
  <si>
    <t>7119.67</t>
  </si>
  <si>
    <t>78dfcced-5c60-4355-9fca-e32ff6706f78</t>
  </si>
  <si>
    <t>de726802-6854-4778-8feb-43cba0ce53f0</t>
  </si>
  <si>
    <t>50e7c729-e60d-4b0b-a9b9-14b3dfaded53</t>
  </si>
  <si>
    <t>c0168845-7371-4e1c-a511-be0870840c80</t>
  </si>
  <si>
    <t>8d46da6a-7780-4d6c-98e3-d42f9bed10a9</t>
  </si>
  <si>
    <t>480.44</t>
  </si>
  <si>
    <t>d3d37811-4f5b-4e2e-bdd5-c561ddeb658c</t>
  </si>
  <si>
    <t>040b98d6-ce2c-4510-ab98-45fe0b835891</t>
  </si>
  <si>
    <t>4956.94</t>
  </si>
  <si>
    <t>5d04a963-31dc-4ea8-bd08-c7e1e1d60e87</t>
  </si>
  <si>
    <t>6192.04</t>
  </si>
  <si>
    <t>3a2975ac-d0fd-485f-8799-5aa373e84471</t>
  </si>
  <si>
    <t>393a6ae0-ceec-4fc0-b7e0-6cd58c829b31</t>
  </si>
  <si>
    <t>58706b00-47d3-4789-9c11-455f4a7f812d</t>
  </si>
  <si>
    <t>a8516e5e-7867-433e-b96e-27286a190dcb</t>
  </si>
  <si>
    <t>2023-05-12</t>
  </si>
  <si>
    <t>a2f15a77-321d-4ed6-90a8-08da330f33e7</t>
  </si>
  <si>
    <t>2023-05-14</t>
  </si>
  <si>
    <t>cd3ff971-e50e-432b-a3a1-d22348ba3d59</t>
  </si>
  <si>
    <t>2023-05-15</t>
  </si>
  <si>
    <t>5723c4f9-f626-4a64-868e-6f47afb9b552</t>
  </si>
  <si>
    <t>19c509e4-5328-48ad-ad8d-0d58a1d1776e</t>
  </si>
  <si>
    <t>2023-05-16</t>
  </si>
  <si>
    <t>58711925-5960-4ad8-8acc-fe2a60ed0448</t>
  </si>
  <si>
    <t>aa83778b-0726-4567-b944-51b97dcb9306</t>
  </si>
  <si>
    <t>2023-05-17</t>
  </si>
  <si>
    <t>a5eb14a9-f6fc-47a6-bd4e-43e676bef711</t>
  </si>
  <si>
    <t>2023-05-19</t>
  </si>
  <si>
    <t>822</t>
  </si>
  <si>
    <t>a0b25bf8-fc93-41ca-b5ab-79cd2ef322d7</t>
  </si>
  <si>
    <t>bb02f515-9245-4054-a305-4b4ebd51e557</t>
  </si>
  <si>
    <t>de25f41a-ccdf-40f7-97f2-ecbc55eb22a9</t>
  </si>
  <si>
    <t>2023-05-21</t>
  </si>
  <si>
    <t>7f939bae-3c18-4395-9ef7-8c3aa7d749a2</t>
  </si>
  <si>
    <t>2023-05-22</t>
  </si>
  <si>
    <t>374</t>
  </si>
  <si>
    <t>da272061-1a20-498f-972c-99d7a8506e99</t>
  </si>
  <si>
    <t>28eaf330-396a-4c63-a9c6-bc7cedd416e1</t>
  </si>
  <si>
    <t>653.99</t>
  </si>
  <si>
    <t>65081698-c681-4c3d-a6ec-8a3d3c259598</t>
  </si>
  <si>
    <t>21.77</t>
  </si>
  <si>
    <t>27474b6d-8de6-478a-b2a0-8d9c72c6f65f</t>
  </si>
  <si>
    <t>180fb0d9-fb6c-4148-9718-e12788a27892</t>
  </si>
  <si>
    <t>2023-05-25</t>
  </si>
  <si>
    <t>9690.11</t>
  </si>
  <si>
    <t>f18cf52a-dbdc-4f3a-9416-016ed6a83671</t>
  </si>
  <si>
    <t>2023-05-27</t>
  </si>
  <si>
    <t>c01bc1ef-3b7a-4ec7-a925-4cb872e4e0d1</t>
  </si>
  <si>
    <t>a87a8433-08f5-4e5b-8112-1c03b0c4fc5a</t>
  </si>
  <si>
    <t>ae06131f-9675-40b4-b221-71274b87f669</t>
  </si>
  <si>
    <t>2023-05-28</t>
  </si>
  <si>
    <t>170.25</t>
  </si>
  <si>
    <t>62a63516-1108-4197-b82c-239de224d9e1</t>
  </si>
  <si>
    <t>2023-05-29</t>
  </si>
  <si>
    <t>693434fe-ae4d-4fe2-8c8f-38cf8e68c603</t>
  </si>
  <si>
    <t>2023-05-30</t>
  </si>
  <si>
    <t>9409661d-2d2e-4d92-a561-1cc93c8bad01</t>
  </si>
  <si>
    <t>1221</t>
  </si>
  <si>
    <t>166a03b8-4428-422b-8353-005872c12bb2</t>
  </si>
  <si>
    <t>363</t>
  </si>
  <si>
    <t>9752c165-993c-4255-8690-ba4d3f043b3b</t>
  </si>
  <si>
    <t>973dc6cf-d660-4419-884e-20b936aefe09</t>
  </si>
  <si>
    <t>67515569-4455-436d-bcfa-7887fe7bf251</t>
  </si>
  <si>
    <t>2023-05-31</t>
  </si>
  <si>
    <t>103</t>
  </si>
  <si>
    <t>830cb83f-3105-4515-adfc-9ae19c6c0a53</t>
  </si>
  <si>
    <t>e886eb78-f571-4d87-bcc3-1c4b71b94636</t>
  </si>
  <si>
    <t>2023-06-01</t>
  </si>
  <si>
    <t>62370b20-074c-451b-9107-ba8d6c90990d</t>
  </si>
  <si>
    <t>24786.26</t>
  </si>
  <si>
    <t>d398a1d4-1131-457c-9fee-b599092fb52c</t>
  </si>
  <si>
    <t>789</t>
  </si>
  <si>
    <t>86cc6a87-51c3-41d2-a5ed-aed426722c05</t>
  </si>
  <si>
    <t>b9f3ff02-0ace-45e0-8426-d02dbe8c533f</t>
  </si>
  <si>
    <t>10b07be7-72be-4e5c-8822-b63bcf3bd5d4</t>
  </si>
  <si>
    <t>e4334cf3-b308-4040-b7be-ac105805c98e</t>
  </si>
  <si>
    <t>2023-06-03</t>
  </si>
  <si>
    <t>e0d69368-a352-47cf-87bc-d571144db1e6</t>
  </si>
  <si>
    <t>9043bfb5-ffbb-4380-a422-0b86d6745512</t>
  </si>
  <si>
    <t>9a99550d-f31a-4263-9f65-702120bfe272</t>
  </si>
  <si>
    <t>034ce577-bac2-4f50-a9f2-314bcc7885cf</t>
  </si>
  <si>
    <t>2023-06-04</t>
  </si>
  <si>
    <t>1876.77</t>
  </si>
  <si>
    <t>78441a77-8b2e-4d49-9ff5-795ba8835d94</t>
  </si>
  <si>
    <t>2023-06-05</t>
  </si>
  <si>
    <t>825</t>
  </si>
  <si>
    <t>4457b26e-e620-45a4-bea7-446294ff6a9f</t>
  </si>
  <si>
    <t>e57fe1e5-d68c-4219-b579-6ac80da3ca12</t>
  </si>
  <si>
    <t>ce9e0b88-d046-4df0-80ec-a919a85b00a5</t>
  </si>
  <si>
    <t>9334d787-bb7a-426d-b287-09bd651b87b8</t>
  </si>
  <si>
    <t>2023-06-07</t>
  </si>
  <si>
    <t>7452e83a-dfa6-4081-b72c-390e59077750</t>
  </si>
  <si>
    <t>2023-06-08</t>
  </si>
  <si>
    <t>417.04</t>
  </si>
  <si>
    <t>f97d56ae-50d9-41a6-a229-0901e5e4c2fa</t>
  </si>
  <si>
    <t>2023-06-10</t>
  </si>
  <si>
    <t>7359.66</t>
  </si>
  <si>
    <t>8eedc491-4892-4a3e-8453-135be3aa7011</t>
  </si>
  <si>
    <t>9cbc9b9d-619d-4570-b200-82478b3f1900</t>
  </si>
  <si>
    <t>3489b9c8-f861-47bf-97d4-6255c4f2c340</t>
  </si>
  <si>
    <t>be28be7a-d983-4cc5-aff8-356103b71ae0</t>
  </si>
  <si>
    <t>faeb0a33-a266-45b8-8428-04db092bdafb</t>
  </si>
  <si>
    <t>519.66</t>
  </si>
  <si>
    <t>0daa84e6-2de6-4214-8586-a3f9fd0676df</t>
  </si>
  <si>
    <t>b9a07688-fe27-4326-a3cf-296be338b2a0</t>
  </si>
  <si>
    <t>163.66</t>
  </si>
  <si>
    <t>b9e9bbbe-a290-4720-aaf6-21c290bb4932</t>
  </si>
  <si>
    <t>3458.96</t>
  </si>
  <si>
    <t>5e29e8ad-a62e-417e-a5da-7423cf79256e</t>
  </si>
  <si>
    <t>8826.25</t>
  </si>
  <si>
    <t>f5c1b212-4b03-47c3-a9f8-6ec70911aa73</t>
  </si>
  <si>
    <t>50.5</t>
  </si>
  <si>
    <t>b03ab5a0-d1b9-49bd-93b7-1a019db53cae</t>
  </si>
  <si>
    <t>2023-06-12</t>
  </si>
  <si>
    <t>1d915616-7fd3-4523-a673-7efafca113eb</t>
  </si>
  <si>
    <t>53a1c1ed-ec2d-4342-b2f9-87ea93557f58</t>
  </si>
  <si>
    <t>ce25b0af-e9bd-4073-84cc-5ced30da52ae</t>
  </si>
  <si>
    <t>2023-06-13</t>
  </si>
  <si>
    <t>cc0a0566-d298-43af-a6a2-9fa8b562b14a</t>
  </si>
  <si>
    <t>2023-06-14</t>
  </si>
  <si>
    <t>22578d88-41fe-42e8-86c7-08c9f2accd1a</t>
  </si>
  <si>
    <t>c2ebb083-e599-4d27-bbef-cbcb46673471</t>
  </si>
  <si>
    <t>2023-06-15</t>
  </si>
  <si>
    <t>2ecdf484-c311-447b-a610-34ee7c12c67e</t>
  </si>
  <si>
    <t>115</t>
  </si>
  <si>
    <t>c35212ae-7020-4cbb-a6de-6c6580e66657</t>
  </si>
  <si>
    <t>69081b95-5151-438f-9443-95f2eae712b0</t>
  </si>
  <si>
    <t>d6004953-6f0e-4f0b-8466-542a87e7afc7</t>
  </si>
  <si>
    <t>2023-06-16</t>
  </si>
  <si>
    <t>c14eba6b-bc69-4cc9-a7f6-2de6c85be024</t>
  </si>
  <si>
    <t>2023-06-18</t>
  </si>
  <si>
    <t>0a257392-2774-40fb-a0c1-a8c161b98778</t>
  </si>
  <si>
    <t>2023-06-19</t>
  </si>
  <si>
    <t>435e81fb-e979-4fb2-b929-c23cee1f4def</t>
  </si>
  <si>
    <t>eb38dec1-1c59-4c68-9265-a3549fe9fd37</t>
  </si>
  <si>
    <t>e7b5f250-7137-48c7-b6b7-02d9e0837e46</t>
  </si>
  <si>
    <t>2023-06-20</t>
  </si>
  <si>
    <t>129.67</t>
  </si>
  <si>
    <t>c8d20b3d-27d6-4cf1-b408-3cea12f69ccf</t>
  </si>
  <si>
    <t>2023-06-21</t>
  </si>
  <si>
    <t>d7c9d621-e1ae-43e5-a4b3-f08bd3fada83</t>
  </si>
  <si>
    <t>2023-06-25</t>
  </si>
  <si>
    <t>c25f2012-227c-4eea-a826-2ffb7b5b0a46</t>
  </si>
  <si>
    <t>95726e83-b311-450a-bfc8-fb3c27fb8354</t>
  </si>
  <si>
    <t>2023-06-26</t>
  </si>
  <si>
    <t>4f874e3a-7dfa-44a2-934a-a9429587d513</t>
  </si>
  <si>
    <t>177</t>
  </si>
  <si>
    <t>0d0a47bd-0d69-4577-b212-00e6ebd43f3d</t>
  </si>
  <si>
    <t>40061512-e078-46b1-a162-d26a7a0ea9db</t>
  </si>
  <si>
    <t>e1dd4a63-6730-4c2c-8909-4eab4cbe9ab3</t>
  </si>
  <si>
    <t>2023-06-27</t>
  </si>
  <si>
    <t>9eea7b54-f9b7-4873-9257-5360aa56f9fc</t>
  </si>
  <si>
    <t>7c61a051-9fc9-48ca-ae51-22c1178a254f</t>
  </si>
  <si>
    <t>2023-06-28</t>
  </si>
  <si>
    <t>d6f19be5-3484-468f-9586-01acdaef3764</t>
  </si>
  <si>
    <t>184.89</t>
  </si>
  <si>
    <t>0b1f0e60-59f9-4793-8602-85475b63c284</t>
  </si>
  <si>
    <t>a033a1e5-3a8b-42b0-a869-39217cefe751</t>
  </si>
  <si>
    <t>9f350c3c-0083-4573-ac4a-2012810730c6</t>
  </si>
  <si>
    <t>2023-06-30</t>
  </si>
  <si>
    <t>c3bb57c0-00f2-40ab-8d59-d1678a550606</t>
  </si>
  <si>
    <t>fcfb2842-31f6-4489-9535-24d2769cd9cc</t>
  </si>
  <si>
    <t>5fc5cffa-a030-4768-a29d-9110ec23c78f</t>
  </si>
  <si>
    <t>2efa0a6e-555d-4595-94a7-eefefa9aa51c</t>
  </si>
  <si>
    <t>32.29</t>
  </si>
  <si>
    <t>656aa7a0-29ad-4007-adad-bc3acb06799c</t>
  </si>
  <si>
    <t>2023-07-01</t>
  </si>
  <si>
    <t>6ec2be6b-986e-4a57-b57b-7a8e3b62289b</t>
  </si>
  <si>
    <t>272.35</t>
  </si>
  <si>
    <t>052b808a-dae6-43f5-bf4e-a22db31571f7</t>
  </si>
  <si>
    <t>fd326277-54ce-4890-a962-25155414dda8</t>
  </si>
  <si>
    <t>ff182ab6-7841-4693-9a32-eb2fd28c5ab5</t>
  </si>
  <si>
    <t>a13b6248-0d69-4e30-8b3a-5ed2a1f559a7</t>
  </si>
  <si>
    <t>2023-07-02</t>
  </si>
  <si>
    <t>3c31f106-ad4e-4d35-919c-8f494c6a1a49</t>
  </si>
  <si>
    <t>4790370a-cf06-4461-bc6f-a3a90705290a</t>
  </si>
  <si>
    <t>821e303b-bd1f-400e-a133-396f7ef9ae62</t>
  </si>
  <si>
    <t>368318ff-b52f-4c31-802c-69922bbd614a</t>
  </si>
  <si>
    <t>2023-07-03</t>
  </si>
  <si>
    <t>f5741a70-a039-4423-ab2f-4f6f6bc31012</t>
  </si>
  <si>
    <t>be82e506-9801-4950-9d39-d143652a6bb5</t>
  </si>
  <si>
    <t>4787b168-30d9-46c3-aa1f-812b87144af5</t>
  </si>
  <si>
    <t>2023-07-04</t>
  </si>
  <si>
    <t>1876.04</t>
  </si>
  <si>
    <t>1bd93a56-bc84-46b3-825c-fe26829242cc</t>
  </si>
  <si>
    <t>2023-07-05</t>
  </si>
  <si>
    <t>8e067103-b8be-4661-8129-921435a983ec</t>
  </si>
  <si>
    <t>53c539a0-5de9-4ba5-a7f1-b21966565917</t>
  </si>
  <si>
    <t>605f521e-94b9-4cef-83dc-03ae3d7f5534</t>
  </si>
  <si>
    <t>f1e1bdae-a1b0-4eb3-b02f-caa725fc856c</t>
  </si>
  <si>
    <t>2004603e-a593-4123-84cd-8bb4ae639add</t>
  </si>
  <si>
    <t>2023-07-07</t>
  </si>
  <si>
    <t>777dfead-2f9f-49c5-8dd3-8eeb17cf531f</t>
  </si>
  <si>
    <t>2023-07-08</t>
  </si>
  <si>
    <t>5f96cf81-8d21-4147-bb6d-e94c48da45df</t>
  </si>
  <si>
    <t>60e55b59-163a-4811-a236-e3d92a8ec10e</t>
  </si>
  <si>
    <t>2023-07-10</t>
  </si>
  <si>
    <t>7144.39</t>
  </si>
  <si>
    <t>cdb9a8b5-1b23-4094-b040-82b0ed94feb0</t>
  </si>
  <si>
    <t>c4fdd441-d211-4b94-b7b2-f7f64f410135</t>
  </si>
  <si>
    <t>9f428cfb-a22f-442a-a1f2-9903f8d5aabe</t>
  </si>
  <si>
    <t>bfeb193b-5d4b-4925-b58b-8da954bdca46</t>
  </si>
  <si>
    <t>f63ff791-6381-476e-bcbe-3b084255c2b4</t>
  </si>
  <si>
    <t>395.97</t>
  </si>
  <si>
    <t>72c0254a-8edd-419a-afbf-a07c5a6cf673</t>
  </si>
  <si>
    <t>9553b645-5a4d-4443-99c1-ada1ee3aba81</t>
  </si>
  <si>
    <t>b35a99e8-a3d0-4828-ad5a-bdc0f3ba1fe2</t>
  </si>
  <si>
    <t>1ec870a9-ef3c-4f10-b343-faba5843ed87</t>
  </si>
  <si>
    <t>189</t>
  </si>
  <si>
    <t>91951261-6817-41d3-9fea-da122489d2c4</t>
  </si>
  <si>
    <t>3964.07</t>
  </si>
  <si>
    <t>921408f1-0241-47a3-a6d3-52201e185481</t>
  </si>
  <si>
    <t>956.8</t>
  </si>
  <si>
    <t>4e7e2162-c8c1-4bba-b65b-4169f935c77d</t>
  </si>
  <si>
    <t>5652.27</t>
  </si>
  <si>
    <t>921512e3-d501-4060-96e3-28e6e73867a5</t>
  </si>
  <si>
    <t>703d0c90-cf8e-475a-8279-693e754b7a8f</t>
  </si>
  <si>
    <t>67d00bfa-6fc5-411e-89c3-a0246ff78cac</t>
  </si>
  <si>
    <t>b08dcaf5-ab55-4cad-992b-f84acb041476</t>
  </si>
  <si>
    <t>2023-07-12</t>
  </si>
  <si>
    <t>2c059171-f0f9-4ea0-80a1-a783d8e17b90</t>
  </si>
  <si>
    <t>2023-07-15</t>
  </si>
  <si>
    <t>83.52</t>
  </si>
  <si>
    <t>39df3abb-c832-42a0-996b-097ead2c93cf</t>
  </si>
  <si>
    <t>4071243b-4bbb-4795-80ac-a6932b1fcc70</t>
  </si>
  <si>
    <t>2023-07-18</t>
  </si>
  <si>
    <t>2988b844-9c22-473a-8c62-624393b0ca17</t>
  </si>
  <si>
    <t>2023-07-19</t>
  </si>
  <si>
    <t>fc2d624d-0791-460d-82f4-28caf52cf0ea</t>
  </si>
  <si>
    <t>69dd225f-5105-4f46-a147-2aa14200ac37</t>
  </si>
  <si>
    <t>143</t>
  </si>
  <si>
    <t>cdde7873-1d6a-47b6-94cf-123dae9c1df1</t>
  </si>
  <si>
    <t>2023-07-21</t>
  </si>
  <si>
    <t>4654.82</t>
  </si>
  <si>
    <t>b8b87082-ab21-4c07-9620-cf47ffd0ae61</t>
  </si>
  <si>
    <t>2023-07-22</t>
  </si>
  <si>
    <t>974b99e9-ab5f-4bdc-84e1-046b3de9a173</t>
  </si>
  <si>
    <t>2023-07-23</t>
  </si>
  <si>
    <t>67dfe023-136a-4784-8409-3ed717aae86d</t>
  </si>
  <si>
    <t>2023-07-24</t>
  </si>
  <si>
    <t>266</t>
  </si>
  <si>
    <t>86814f93-6a11-4046-a242-0fb2ccf407b9</t>
  </si>
  <si>
    <t>aa5ff4c9-b7c8-445c-8cd3-b6728a920ea8</t>
  </si>
  <si>
    <t>2023-07-25</t>
  </si>
  <si>
    <t>10316.53</t>
  </si>
  <si>
    <t>92f869ba-e2cd-4674-a88b-978b68c885e3</t>
  </si>
  <si>
    <t>2023-07-26</t>
  </si>
  <si>
    <t>c52a6801-83ea-440b-ba75-4d687c15293d</t>
  </si>
  <si>
    <t>18c8e1d5-25c4-4c23-93b2-6656788943f0</t>
  </si>
  <si>
    <t>04d2667c-d3df-4e60-97fe-c8c879ef00c2</t>
  </si>
  <si>
    <t>2023-07-27</t>
  </si>
  <si>
    <t>144</t>
  </si>
  <si>
    <t>bc000cfe-ccef-4f32-956f-3d591e267d0c</t>
  </si>
  <si>
    <t>2023-07-28</t>
  </si>
  <si>
    <t>e6bb2114-27b4-4511-b366-91588c866276</t>
  </si>
  <si>
    <t>ddc2142b-8d2a-4b31-acc9-3a92754700fb</t>
  </si>
  <si>
    <t>ceae9802-3bef-41df-aa63-883790eab942</t>
  </si>
  <si>
    <t>b37fab4b-8654-4946-9034-d7ece69f80d0</t>
  </si>
  <si>
    <t>2023-07-30</t>
  </si>
  <si>
    <t>e35fec67-67fa-4ef9-90ac-8e376279d4c3</t>
  </si>
  <si>
    <t>2cbc25fc-76ad-40c3-b7c3-5d4a6195927f</t>
  </si>
  <si>
    <t>7c60fcd3-4752-434e-b67c-dd25b055fd29</t>
  </si>
  <si>
    <t>f20bbac2-034a-4950-b62c-28fbf6447005</t>
  </si>
  <si>
    <t>62129258-62bf-40ee-b0ad-dcb9d8448ccf</t>
  </si>
  <si>
    <t>2023-07-31</t>
  </si>
  <si>
    <t>a34e9f17-bd3f-4f80-bd6e-a37f4344d27f</t>
  </si>
  <si>
    <t>006cbaae-4a4f-4d46-b4b8-09766e624f68</t>
  </si>
  <si>
    <t>71.84</t>
  </si>
  <si>
    <t>45a3f9b1-679b-4c3a-9054-d2f4bcd786de</t>
  </si>
  <si>
    <t>175</t>
  </si>
  <si>
    <t>54bee1eb-cc5b-4ae1-ba96-7b6c0bdc66a3</t>
  </si>
  <si>
    <t>2023-08-01</t>
  </si>
  <si>
    <t>9494.119999999999</t>
  </si>
  <si>
    <t>997a6eb5-ba93-4aa8-a26e-9748d7c4a5a7</t>
  </si>
  <si>
    <t>1103.28</t>
  </si>
  <si>
    <t>c5ad3ddb-18e3-4ab8-b8e9-fb480ced7f24</t>
  </si>
  <si>
    <t>1a46fabb-fb6d-4cd8-a6ab-c11bef989f2a</t>
  </si>
  <si>
    <t>483.64</t>
  </si>
  <si>
    <t>962db6b0-eec4-4a41-b181-cf6bd8463424</t>
  </si>
  <si>
    <t>298.49</t>
  </si>
  <si>
    <t>e0b60612-1bcb-4094-9570-c8163ef0da79</t>
  </si>
  <si>
    <t>2023-08-02</t>
  </si>
  <si>
    <t>085b8e92-d638-429a-956c-f97e29e0501b</t>
  </si>
  <si>
    <t>2023-08-03</t>
  </si>
  <si>
    <t>805.33</t>
  </si>
  <si>
    <t>564313d8-c973-4f64-a4e9-3b18224446b6</t>
  </si>
  <si>
    <t>515f6465-2715-46c3-9cfb-d344b6ca0516</t>
  </si>
  <si>
    <t>2023-08-04</t>
  </si>
  <si>
    <t>1876.26</t>
  </si>
  <si>
    <t>9efd8e7e-67e3-4920-8d51-7d2dd4a97bcd</t>
  </si>
  <si>
    <t>0cfd1fdd-af88-4fe4-a6da-8c753f1583ad</t>
  </si>
  <si>
    <t>207</t>
  </si>
  <si>
    <t>3eee6af1-f420-444b-a9aa-a42ce28c098f</t>
  </si>
  <si>
    <t>2023-08-05</t>
  </si>
  <si>
    <t>d55cb05a-6745-4cb4-b175-7d37ee12e29e</t>
  </si>
  <si>
    <t>2023-08-07</t>
  </si>
  <si>
    <t>5820</t>
  </si>
  <si>
    <t>90c5893f-aa39-4d7d-99b4-51bf6f065e4f</t>
  </si>
  <si>
    <t>8eaa5a2d-a042-4712-adef-d1378c2f72da</t>
  </si>
  <si>
    <t>10e40e55-0c23-4874-a191-2ed294cbd055</t>
  </si>
  <si>
    <t>2023-08-08</t>
  </si>
  <si>
    <t>282.67</t>
  </si>
  <si>
    <t>f8a631b5-3e59-4686-b7ac-ca4e11d3894e</t>
  </si>
  <si>
    <t>2023-08-10</t>
  </si>
  <si>
    <t>7337.96</t>
  </si>
  <si>
    <t>41712351-cd20-4b05-955d-51b8fe8b6990</t>
  </si>
  <si>
    <t>430fa9b8-a11a-4474-ace1-09e14f6cfc79</t>
  </si>
  <si>
    <t>2ece455e-e950-453e-bf9d-c03c3cd893e6</t>
  </si>
  <si>
    <t>dc8ecc07-5e70-4a9e-b215-d30546385dfe</t>
  </si>
  <si>
    <t>1872842e-e048-42b6-a215-5e962f46be22</t>
  </si>
  <si>
    <t>322.19</t>
  </si>
  <si>
    <t>3e5f5f64-3e21-4e0e-941d-0108de74b360</t>
  </si>
  <si>
    <t>d77222b8-56f2-4fe7-a5ef-4889057d07a9</t>
  </si>
  <si>
    <t>2138.19</t>
  </si>
  <si>
    <t>f6405a11-55c4-436b-b11b-c045abc4fbd4</t>
  </si>
  <si>
    <t>306.99</t>
  </si>
  <si>
    <t>853b032f-c323-4a2e-b0f6-204ad1d85c0d</t>
  </si>
  <si>
    <t>11788.13</t>
  </si>
  <si>
    <t>40c067ac-6a9f-4918-9b02-328eb7bb41a4</t>
  </si>
  <si>
    <t>13ba4296-49e6-4147-b30e-c7b63c04e46b</t>
  </si>
  <si>
    <t>152</t>
  </si>
  <si>
    <t>8901ca6f-f8d4-49fc-996a-1b4d4376c664</t>
  </si>
  <si>
    <t>45982090-9433-4708-bcf4-fafa8663509b</t>
  </si>
  <si>
    <t>989.19</t>
  </si>
  <si>
    <t>31e19464-6eed-4245-a6b4-424aa9d311d9</t>
  </si>
  <si>
    <t>f73393cd-54cf-4b0d-b506-7d9484c44e6e</t>
  </si>
  <si>
    <t>2023-08-11</t>
  </si>
  <si>
    <t>c909de0f-178b-47f4-970f-bd6fb53df8fa</t>
  </si>
  <si>
    <t>e901b3d4-a969-4837-a49e-699acc814839</t>
  </si>
  <si>
    <t>300326bf-5cc5-4ace-bb27-e9bf2e8b0232</t>
  </si>
  <si>
    <t>2023-08-12</t>
  </si>
  <si>
    <t>58</t>
  </si>
  <si>
    <t>ab2900de-3cce-49a1-bc8f-7e527a6de6b3</t>
  </si>
  <si>
    <t>2023-08-18</t>
  </si>
  <si>
    <t>119df8ec-044a-4012-8aa0-de8a202a5df2</t>
  </si>
  <si>
    <t>2023-08-21</t>
  </si>
  <si>
    <t>6a6aceff-909e-47a8-a004-4b55d7e711da</t>
  </si>
  <si>
    <t>4dada6a0-1dce-4fa0-ac44-df7f2a2e22df</t>
  </si>
  <si>
    <t>2023-08-22</t>
  </si>
  <si>
    <t>9af9b740-8e37-4437-99c7-f09c696acd5c</t>
  </si>
  <si>
    <t>2023-08-23</t>
  </si>
  <si>
    <t>2ddb9e64-1668-4a81-a75c-bca938036b83</t>
  </si>
  <si>
    <t>4b2e8e07-d23a-4627-8edc-174decc95a4b</t>
  </si>
  <si>
    <t>2023-08-25</t>
  </si>
  <si>
    <t>61e1bbd3-5231-4999-8860-d0eca0d1e9d6</t>
  </si>
  <si>
    <t>e760dd5a-764f-4002-8588-ffb6ec045110</t>
  </si>
  <si>
    <t>2023-08-26</t>
  </si>
  <si>
    <t>8ea12130-7f01-44c5-9784-afcb3a5bb1aa</t>
  </si>
  <si>
    <t>2023-08-27</t>
  </si>
  <si>
    <t>17287dd8-fda3-473a-bca5-1d258aa6b054</t>
  </si>
  <si>
    <t>99653661-7c52-4c67-9637-a2ac3be302f3</t>
  </si>
  <si>
    <t>2023-08-28</t>
  </si>
  <si>
    <t>adec6496-0bfc-4878-aa23-d6d77393cbe3</t>
  </si>
  <si>
    <t>1897cd3c-d827-4270-8cab-81c56e7d908d</t>
  </si>
  <si>
    <t>2023-08-29</t>
  </si>
  <si>
    <t>40833bf5-d9b7-4ebe-a638-14bba2b1b6d1</t>
  </si>
  <si>
    <t>429ab06c-70e9-4bb4-a48d-1b1c59121a69</t>
  </si>
  <si>
    <t>2023-08-30</t>
  </si>
  <si>
    <t>6c845d9b-93a4-44a1-827f-dbdf8967570e</t>
  </si>
  <si>
    <t>9669db80-f4ad-4674-96f2-78c47251d77b</t>
  </si>
  <si>
    <t>052709e2-306a-45f1-9e48-73f1e3c5796f</t>
  </si>
  <si>
    <t>2023-08-31</t>
  </si>
  <si>
    <t>f4eb49d7-fe7a-4de1-bed2-3d8ca82426ac</t>
  </si>
  <si>
    <t>5f78752b-76e5-4c00-80b6-a1c4e5c06dd4</t>
  </si>
  <si>
    <t>4460fe0e-f12a-490e-994a-24a9fb683d09</t>
  </si>
  <si>
    <t>1526</t>
  </si>
  <si>
    <t>e7e6341c-2719-4241-b1ba-25a5ef4a144f</t>
  </si>
  <si>
    <t>2023-09-01</t>
  </si>
  <si>
    <t>10879.13</t>
  </si>
  <si>
    <t>9edd478f-2785-4595-ada9-370754079585</t>
  </si>
  <si>
    <t>1003.79</t>
  </si>
  <si>
    <t>da61cf30-cc94-4485-9d02-2f6a1c18fcc2</t>
  </si>
  <si>
    <t>87c87a59-ca7e-4468-be07-9c63e94ee2bd</t>
  </si>
  <si>
    <t>155.73</t>
  </si>
  <si>
    <t>1293c03e-a174-46f1-9177-bde4dd3c9025</t>
  </si>
  <si>
    <t>5a905199-4614-48d9-bad8-f6c28e7c2e57</t>
  </si>
  <si>
    <t>27.4</t>
  </si>
  <si>
    <t>3f9c828d-a6f5-4886-9286-084618bbd61f</t>
  </si>
  <si>
    <t>22.02</t>
  </si>
  <si>
    <t>5ead0037-1472-4c74-9e17-943327dd2318</t>
  </si>
  <si>
    <t>2023-09-02</t>
  </si>
  <si>
    <t>aea6c41f-045b-4c3f-8cb1-aeba5575535a</t>
  </si>
  <si>
    <t>2023-09-03</t>
  </si>
  <si>
    <t>185115ef-d986-481a-be5f-e3e8f7dc9d5e</t>
  </si>
  <si>
    <t>2023-09-04</t>
  </si>
  <si>
    <t>1876.97</t>
  </si>
  <si>
    <t>b2a7d3f1-f3d2-4b9d-8b89-28f5c7309071</t>
  </si>
  <si>
    <t>2023-09-05</t>
  </si>
  <si>
    <t>272</t>
  </si>
  <si>
    <t>0d9b6c29-b346-4282-a711-71f2ff869ea9</t>
  </si>
  <si>
    <t>85ee19ef-8fc8-4824-980a-7333b7a2c244</t>
  </si>
  <si>
    <t>2023-09-06</t>
  </si>
  <si>
    <t>8d7cb9e3-2175-4366-8d4a-02a7652a2f79</t>
  </si>
  <si>
    <t>2023-09-08</t>
  </si>
  <si>
    <t>86.5</t>
  </si>
  <si>
    <t>4f080720-1b3f-41bb-9664-5045756921a6</t>
  </si>
  <si>
    <t>904cd1ca-d1c7-4aad-be28-fa8bc9bf0586</t>
  </si>
  <si>
    <t>2023-09-09</t>
  </si>
  <si>
    <t>89dd133a-24f6-4b93-8ab9-8ba77114b385</t>
  </si>
  <si>
    <t>2023-09-10</t>
  </si>
  <si>
    <t>50f5f37d-74a4-40ff-bcf6-da3ba2c78677</t>
  </si>
  <si>
    <t>50e38c93-63fc-43d1-8231-3a8d2d3acf11</t>
  </si>
  <si>
    <t>d35380bf-6eab-4763-9070-822e55544867</t>
  </si>
  <si>
    <t>2ef180c2-4533-4402-832a-b7dd022a65ef</t>
  </si>
  <si>
    <t>d3d200e7-c42e-4990-8455-ba990a0910d7</t>
  </si>
  <si>
    <t>369.79</t>
  </si>
  <si>
    <t>8e20a55a-8db9-4dab-8b99-6d16e214e640</t>
  </si>
  <si>
    <t>efb3b5f4-5638-4744-88e0-aca6bd77c4fd</t>
  </si>
  <si>
    <t>a1fd2c6c-4fb0-4d56-9b93-616a5ac0770e</t>
  </si>
  <si>
    <t>2023-09-11</t>
  </si>
  <si>
    <t>5530.7</t>
  </si>
  <si>
    <t>bdb79cd9-4886-4281-abf5-6e1c10dc01f2</t>
  </si>
  <si>
    <t>2847.67</t>
  </si>
  <si>
    <t>18dadde2-d23a-47e6-8d9c-27ef4e07ac53</t>
  </si>
  <si>
    <t>ebacafeb-23e8-49af-b891-bc86858fbe30</t>
  </si>
  <si>
    <t>9d0546bf-4aae-497e-b5b4-c56fd8ed926f</t>
  </si>
  <si>
    <t>fd860085-aada-4ede-b2cc-fb0d434e2575</t>
  </si>
  <si>
    <t>10.96</t>
  </si>
  <si>
    <t>44f90982-88f6-4699-b00f-a7ebddb2346a</t>
  </si>
  <si>
    <t>7223a166-c7c8-40e6-9129-f0c07e82b25a</t>
  </si>
  <si>
    <t>94cc636f-6c9a-4695-82cf-25a8efae9c10</t>
  </si>
  <si>
    <t>2023-09-14</t>
  </si>
  <si>
    <t>070991dd-ba22-4711-a6a2-cfbcd2ea3d56</t>
  </si>
  <si>
    <t>5e482442-e158-4426-8918-91b284fa5980</t>
  </si>
  <si>
    <t>4b959d68-b264-4230-be35-d8206cdbdbcd</t>
  </si>
  <si>
    <t>2023-09-16</t>
  </si>
  <si>
    <t>3fba9923-390f-4545-bab4-49e9bde05902</t>
  </si>
  <si>
    <t>2023-09-19</t>
  </si>
  <si>
    <t>cfd88642-0420-4249-adf8-e8cd1cbff8af</t>
  </si>
  <si>
    <t>2023-09-20</t>
  </si>
  <si>
    <t>56b2e470-a7dc-4c0b-91bd-cd297fe4ad5e</t>
  </si>
  <si>
    <t>2023-09-23</t>
  </si>
  <si>
    <t>bb526ebb-4d6b-4574-94fa-cbd906f01f35</t>
  </si>
  <si>
    <t>cc6448f2-9ef3-45ea-b958-80b50f40d577</t>
  </si>
  <si>
    <t>2023-09-25</t>
  </si>
  <si>
    <t>272.11</t>
  </si>
  <si>
    <t>dc48795c-34f7-4182-b6e2-27e2d8550dd8</t>
  </si>
  <si>
    <t>b8228c8c-6790-43fe-a0a5-dc6bf08782cb</t>
  </si>
  <si>
    <t>2023-09-28</t>
  </si>
  <si>
    <t>71a8f217-22c2-436e-8210-1698b47efffd</t>
  </si>
  <si>
    <t>9.1</t>
  </si>
  <si>
    <t>242dbab1-b6ad-4f38-90c0-bfde73d082d6</t>
  </si>
  <si>
    <t>2023-09-30</t>
  </si>
  <si>
    <t>d891b9b7-5584-4d86-a702-40a205c361b8</t>
  </si>
  <si>
    <t>88b9a8e8-3807-48c3-b3fc-6345af531157</t>
  </si>
  <si>
    <t>376.81</t>
  </si>
  <si>
    <t>de1d41ec-67c3-4a1d-a6f2-cba3b9b61b7b</t>
  </si>
  <si>
    <t>16b33b6a-9799-448f-a210-57550e05d82a</t>
  </si>
  <si>
    <t>32.73</t>
  </si>
  <si>
    <t>ea06d9b7-59fb-40c2-b430-f0baad65a479</t>
  </si>
  <si>
    <t>a8d06a6c-fc10-47a0-8616-6710cd0fcac3</t>
  </si>
  <si>
    <t>1d9044c3-f079-4508-bf54-490771e586b7</t>
  </si>
  <si>
    <t>f708765c-24e4-44ae-90a8-e6c475e2e0f3</t>
  </si>
  <si>
    <t>1722.1</t>
  </si>
  <si>
    <t>37928981-224b-4261-aa3d-3a1e52a3c455</t>
  </si>
  <si>
    <t>2023-10-01</t>
  </si>
  <si>
    <t>11046.32</t>
  </si>
  <si>
    <t>51938c74-be8a-40c1-af76-42917c18e3a9</t>
  </si>
  <si>
    <t>39.42</t>
  </si>
  <si>
    <t>1beaa975-f75e-44e4-bd57-04497d659c65</t>
  </si>
  <si>
    <t>742.3</t>
  </si>
  <si>
    <t>a9dc7b53-ad96-49a7-b74d-7adc7aea2c10</t>
  </si>
  <si>
    <t>945a1f36-3c8a-4df3-8c30-a97ea23bfad3</t>
  </si>
  <si>
    <t>400.08</t>
  </si>
  <si>
    <t>d47f6d8a-f1dd-4d87-b194-ff09be1047b1</t>
  </si>
  <si>
    <t>a60d6eab-042e-40b3-83c0-9212cbb6c070</t>
  </si>
  <si>
    <t>2023-10-02</t>
  </si>
  <si>
    <t>132.91</t>
  </si>
  <si>
    <t>df68ee8e-ff5e-4735-a755-6f888dfc1b1f</t>
  </si>
  <si>
    <t>1800</t>
  </si>
  <si>
    <t>8b1fc5de-e23e-4d5f-a9f7-1ca10d42e666</t>
  </si>
  <si>
    <t>d2f18570-4f47-4e55-a506-d8f0672f44b6</t>
  </si>
  <si>
    <t>f79b9005-deef-4445-9b87-c4d5fdcedbd2</t>
  </si>
  <si>
    <t>2023-10-03</t>
  </si>
  <si>
    <t>14d3c5c7-6cf4-4717-91b7-a44997c7f823</t>
  </si>
  <si>
    <t>b6868370-aff9-4edb-b784-a776491302a7</t>
  </si>
  <si>
    <t>f9faaee4-1372-40bd-aff7-0d39ddf50757</t>
  </si>
  <si>
    <t>242</t>
  </si>
  <si>
    <t>81cfba51-c9ed-4ae5-b93f-f66cfdd01766</t>
  </si>
  <si>
    <t>cdbf245f-1be7-403f-a3e2-7a5495e16712</t>
  </si>
  <si>
    <t>2023-10-04</t>
  </si>
  <si>
    <t>1875.23</t>
  </si>
  <si>
    <t>b4f6c2ce-843b-490a-ad43-3a3f15f7d45d</t>
  </si>
  <si>
    <t>3dd8fd98-2e93-403f-88c0-a8f1a4f91540</t>
  </si>
  <si>
    <t>00802765-f97c-4ffb-b1e4-b44976baf679</t>
  </si>
  <si>
    <t>6b084c6a-ffce-4334-9601-702ae97b9f75</t>
  </si>
  <si>
    <t>2023-10-05</t>
  </si>
  <si>
    <t>6de69773-bab2-40bf-86ff-5d1ba873a9fd</t>
  </si>
  <si>
    <t>1900</t>
  </si>
  <si>
    <t>d399c875-8afd-49d0-aa74-94ceb6660e8c</t>
  </si>
  <si>
    <t>2023-10-06</t>
  </si>
  <si>
    <t>86145631-ce54-4b58-895d-e7bc90a9b917</t>
  </si>
  <si>
    <t>605fada3-45a4-4b13-81fb-d4926d1e2e80</t>
  </si>
  <si>
    <t>23.5</t>
  </si>
  <si>
    <t>98f12a86-6f59-44bb-bf47-58455ba5e412</t>
  </si>
  <si>
    <t>2023-10-07</t>
  </si>
  <si>
    <t>0c356316-279a-4b4e-bddc-c97be181e20a</t>
  </si>
  <si>
    <t>2023-10-08</t>
  </si>
  <si>
    <t>185.09</t>
  </si>
  <si>
    <t>c3746dd5-348a-4031-9630-f938a459f49b</t>
  </si>
  <si>
    <t>6536eeed-e478-48a0-8c66-c963f0b18090</t>
  </si>
  <si>
    <t>13859d44-c04c-40f9-a8d2-82811b1a6014</t>
  </si>
  <si>
    <t>2023-10-09</t>
  </si>
  <si>
    <t>448</t>
  </si>
  <si>
    <t>f070e47b-72ca-48bc-be35-c80a4e014941</t>
  </si>
  <si>
    <t>PELICULA MULTIMIDIA</t>
  </si>
  <si>
    <t>e18f0047-dcec-4fcc-bd35-abb7bcd610d7</t>
  </si>
  <si>
    <t>eaa13a36-448f-49ee-8368-8fdf077af59d</t>
  </si>
  <si>
    <t>1.5</t>
  </si>
  <si>
    <t>9c5e5060-25ba-4601-9013-f8049093b88c</t>
  </si>
  <si>
    <t>7984be00-1cb7-40ec-99a3-bfe881fc5547</t>
  </si>
  <si>
    <t>2396ddf8-3b29-4fbb-b6fb-226de43327b7</t>
  </si>
  <si>
    <t>2023-10-10</t>
  </si>
  <si>
    <t>7630.43</t>
  </si>
  <si>
    <t>8e2c7747-a5ba-481f-be88-86b30f0c22ba</t>
  </si>
  <si>
    <t>6014.59</t>
  </si>
  <si>
    <t>e1bcee50-5560-4645-9d3b-378b00ba7333</t>
  </si>
  <si>
    <t>9290d491-29a4-49a5-a587-86f864ef68ad</t>
  </si>
  <si>
    <t>ec7a4f96-4f50-409d-862e-529ad5235442</t>
  </si>
  <si>
    <t>5985cdfb-239d-42da-afb5-875c68056f96</t>
  </si>
  <si>
    <t>2fff3270-f827-4322-b73d-ec3b273c5123</t>
  </si>
  <si>
    <t>228.91</t>
  </si>
  <si>
    <t>a76e3195-ba55-4b6c-a664-8625049ecaea</t>
  </si>
  <si>
    <t>0e5453f1-2e1a-490a-9c9f-712df83a430c</t>
  </si>
  <si>
    <t>e677729a-bd81-4841-807c-5a914f7b0d42</t>
  </si>
  <si>
    <t>419.12</t>
  </si>
  <si>
    <t>f6665cd6-fd8a-4548-970f-46aeea55094e</t>
  </si>
  <si>
    <t>686cca33-b297-4b1d-af56-bf710ef0da1a</t>
  </si>
  <si>
    <t>7564.62</t>
  </si>
  <si>
    <t>769bdc6e-7337-48e9-8a89-e4db341f6d12</t>
  </si>
  <si>
    <t>3351.57</t>
  </si>
  <si>
    <t>1048f9e4-47dc-44ba-8d7e-69f356b068c7</t>
  </si>
  <si>
    <t>6a17776a-68b4-477d-ab54-e57867976e89</t>
  </si>
  <si>
    <t>2023-10-11</t>
  </si>
  <si>
    <t>a1485887-43cd-41f2-a606-31905e33785d</t>
  </si>
  <si>
    <t>1282</t>
  </si>
  <si>
    <t>9b11980f-3ca0-4e49-9f04-58c37e4f828c</t>
  </si>
  <si>
    <t>2023-10-13</t>
  </si>
  <si>
    <t>7251fb05-1125-4d88-879f-a861b6310b49</t>
  </si>
  <si>
    <t>2023-10-14</t>
  </si>
  <si>
    <t>d70b7265-7609-4492-a1bc-e5691b100177</t>
  </si>
  <si>
    <t>988faad1-bc31-44c8-9b52-f2b18113c193</t>
  </si>
  <si>
    <t>2023-10-15</t>
  </si>
  <si>
    <t>3e4a3b86-94b2-4077-9f23-a736df6b1a97</t>
  </si>
  <si>
    <t>429e201e-07c6-4fc3-b4f4-60b57aabe478</t>
  </si>
  <si>
    <t>e6ec3b46-9fdc-4e2e-a0a8-d7f030a73758</t>
  </si>
  <si>
    <t>2023-10-18</t>
  </si>
  <si>
    <t>f2f97ea9-aeb7-4f61-8b78-bd2a039eb62a</t>
  </si>
  <si>
    <t>2023-10-20</t>
  </si>
  <si>
    <t>572bd5f1-d844-474b-b36d-99f17e6177e3</t>
  </si>
  <si>
    <t>30.43</t>
  </si>
  <si>
    <t>9fca96c2-fd9a-4942-882c-45dcececafc4</t>
  </si>
  <si>
    <t>af7c3aad-7eb5-4531-ba3e-92a89e4ff7a9</t>
  </si>
  <si>
    <t>267fc517-2869-4761-b9ad-0ea273dcc3e0</t>
  </si>
  <si>
    <t>2023-10-22</t>
  </si>
  <si>
    <t>65f2e7da-2529-407b-be32-716a798ef2aa</t>
  </si>
  <si>
    <t>2023-10-24</t>
  </si>
  <si>
    <t>cdef4808-5b01-42ef-a9b6-f3fc2fd74078</t>
  </si>
  <si>
    <t>2023-10-25</t>
  </si>
  <si>
    <t>1585d04f-edd0-467e-9525-d19760fcf25c</t>
  </si>
  <si>
    <t>a4747ec3-a1cc-4e7b-b915-3fab5dcd86bf</t>
  </si>
  <si>
    <t>dd3397e8-06b4-47c6-a326-0044aa0c899a</t>
  </si>
  <si>
    <t>10e78005-70ce-43c8-8510-12e48698a6af</t>
  </si>
  <si>
    <t>cd93e51a-b9ba-41d9-83aa-4deed6b8a79f</t>
  </si>
  <si>
    <t>2023-10-26</t>
  </si>
  <si>
    <t>8bc12055-3c43-4d95-9619-717b20ee837f</t>
  </si>
  <si>
    <t>cbab3660-6ffd-4567-85d4-d42a0e04e9ed</t>
  </si>
  <si>
    <t>cd8d0260-eb29-4a1e-9ba0-6193b28798ae</t>
  </si>
  <si>
    <t>2023-10-28</t>
  </si>
  <si>
    <t>1784b8dd-caf6-4c6e-b578-d354cc8780cd</t>
  </si>
  <si>
    <t>4e03bc04-ad15-44a6-b5e7-6e43001a809a</t>
  </si>
  <si>
    <t>2023-10-30</t>
  </si>
  <si>
    <t>dd696e48-a4ad-48d4-9e59-788bc701ed33</t>
  </si>
  <si>
    <t>373.25</t>
  </si>
  <si>
    <t>52db4085-17be-4397-b1e9-698021079b07</t>
  </si>
  <si>
    <t>d14b22b2-9ae1-45b6-bdcd-f40163434de3</t>
  </si>
  <si>
    <t>d7c60051-48bf-4cd2-b481-fd8f5d2c6906</t>
  </si>
  <si>
    <t>38df14f0-93b0-44aa-81fe-16e9b8bc6c81</t>
  </si>
  <si>
    <t>2023-10-31</t>
  </si>
  <si>
    <t>b2286d90-b7e7-4251-ba66-bcf82cbe8328</t>
  </si>
  <si>
    <t>04ef2678-bdb1-4f23-a915-8288daab9f99</t>
  </si>
  <si>
    <t>165</t>
  </si>
  <si>
    <t>9e39d8ed-e3f9-462f-95d3-34d5fbc524b5</t>
  </si>
  <si>
    <t>1667.68</t>
  </si>
  <si>
    <t>9d1966f9-2c21-49d4-b6a4-bf5d43a26354</t>
  </si>
  <si>
    <t>2023-11-01</t>
  </si>
  <si>
    <t>12177.71</t>
  </si>
  <si>
    <t>5c79bf0d-31c4-41ae-be6d-ce7d5e245bdd</t>
  </si>
  <si>
    <t>-1569.03</t>
  </si>
  <si>
    <t>1be1373a-12a9-45bc-a7f1-517624559cce</t>
  </si>
  <si>
    <t>850</t>
  </si>
  <si>
    <t>7036d2ad-de6b-49f9-9a90-1f0a7a7f3247</t>
  </si>
  <si>
    <t>d48a6d24-19dc-4255-8da9-b25b56b9b6cf</t>
  </si>
  <si>
    <t>453.65</t>
  </si>
  <si>
    <t>07a869be-caa2-46dc-ab54-712990a89aa1</t>
  </si>
  <si>
    <t>2023-11-03</t>
  </si>
  <si>
    <t>a0fcc4f6-5eba-4170-86a3-e7e1ce5c9e12</t>
  </si>
  <si>
    <t>393.43</t>
  </si>
  <si>
    <t>d3b61b28-f694-4aba-a11f-ddae0ed85f22</t>
  </si>
  <si>
    <t>dbf0cbff-2409-4acb-af1b-0b38673722fa</t>
  </si>
  <si>
    <t>99.9</t>
  </si>
  <si>
    <t>14eb6038-4fa3-4679-bd38-989f0d182595</t>
  </si>
  <si>
    <t>a7527fcc-0635-41e9-8ed7-8fa805a4554e</t>
  </si>
  <si>
    <t>2023-11-04</t>
  </si>
  <si>
    <t>1874.56</t>
  </si>
  <si>
    <t>d968be70-ada6-408c-86c0-14fee7fb9c87</t>
  </si>
  <si>
    <t>2023-11-05</t>
  </si>
  <si>
    <t>fedce9f4-79f7-4eb8-8937-56f57ec699ef</t>
  </si>
  <si>
    <t>2023-11-07</t>
  </si>
  <si>
    <t>815</t>
  </si>
  <si>
    <t>c0f3087a-f46e-4a93-852f-d036cfa5547d</t>
  </si>
  <si>
    <t>2023-11-08</t>
  </si>
  <si>
    <t>363.29</t>
  </si>
  <si>
    <t>64a92bab-83a2-4cac-a904-08bc34060b0d</t>
  </si>
  <si>
    <t>2201d2e6-80c1-48e0-babb-96ac3c753919</t>
  </si>
  <si>
    <t>8d38b5a7-a764-474e-b70d-cbcbe907fdd6</t>
  </si>
  <si>
    <t>2023-11-09</t>
  </si>
  <si>
    <t>bf071be1-e443-4ca3-8f0e-e2060c64a182</t>
  </si>
  <si>
    <t>dd84d29d-1a78-4d81-8a39-3e7562974e3d</t>
  </si>
  <si>
    <t>2023-11-10</t>
  </si>
  <si>
    <t>7397.04</t>
  </si>
  <si>
    <t>9d2daaf3-ff69-4ce1-b8ed-a9aad76c6705</t>
  </si>
  <si>
    <t>21931.39</t>
  </si>
  <si>
    <t>867ac95a-c31c-4adf-a7b1-e76a32638208</t>
  </si>
  <si>
    <t>06e5fb37-1a6b-4e7f-9ba8-b1537bf4d40e</t>
  </si>
  <si>
    <t>d13aa9b9-dd0d-4d3e-9f54-588c289003e3</t>
  </si>
  <si>
    <t>5a7e573c-9a26-48b1-82e1-264f49988de8</t>
  </si>
  <si>
    <t>9640d78f-f362-4251-a853-94b98661dd54</t>
  </si>
  <si>
    <t>96.15</t>
  </si>
  <si>
    <t>806b1eec-e98a-4a22-8b6d-6e8c70131733</t>
  </si>
  <si>
    <t>e7a9d4f1-715b-444d-99bc-e6815e72d2c8</t>
  </si>
  <si>
    <t>60d329d4-56f7-49a4-9706-2d4043354fb1</t>
  </si>
  <si>
    <t>16d4debc-facb-4f44-884c-b58d0b2c2efa</t>
  </si>
  <si>
    <t>e86fee7d-cab0-41a1-b740-e412c4c9971b</t>
  </si>
  <si>
    <t>241.02</t>
  </si>
  <si>
    <t>9acc5326-07ad-4dce-b0b6-d1fe75d4c628</t>
  </si>
  <si>
    <t>6d450308-fc29-496e-99b2-de338806118e</t>
  </si>
  <si>
    <t>1835.41</t>
  </si>
  <si>
    <t>25973c35-8d2a-41ff-a2fe-46c1653e0c08</t>
  </si>
  <si>
    <t>18747.52</t>
  </si>
  <si>
    <t>a4722a8d-baa6-4139-9852-d6b08e8fc25d</t>
  </si>
  <si>
    <t>1348.46</t>
  </si>
  <si>
    <t>4cd12d97-c620-423a-8d14-c351dbfa12d9</t>
  </si>
  <si>
    <t>2023-11-11</t>
  </si>
  <si>
    <t>6554ce13-f490-4d67-8e00-9ae5b81f8d6a</t>
  </si>
  <si>
    <t>68a8d421-12b1-450e-ab30-81e29da0218d</t>
  </si>
  <si>
    <t>2023-11-13</t>
  </si>
  <si>
    <t>01f48514-c408-4cea-96a6-f60f50c22514</t>
  </si>
  <si>
    <t>2023-11-16</t>
  </si>
  <si>
    <t>bcf653af-57c8-439a-ba3c-8191b05df815</t>
  </si>
  <si>
    <t>fae60e7a-992c-44a8-aa80-eebb8b0b060d</t>
  </si>
  <si>
    <t>2023-11-17</t>
  </si>
  <si>
    <t>69770ffe-3475-4f3b-8710-d2d2d013a65b</t>
  </si>
  <si>
    <t>8a772a91-79a2-4689-89c2-c25ba072ce36</t>
  </si>
  <si>
    <t>a1a5ecc5-3cd5-402e-8819-63a313cf5842</t>
  </si>
  <si>
    <t>2023-11-18</t>
  </si>
  <si>
    <t>768d9a47-af6c-4863-8d07-972ab37597e1</t>
  </si>
  <si>
    <t>204ebf37-80ea-483e-9a68-680d7db9d0ff</t>
  </si>
  <si>
    <t>2023-11-19</t>
  </si>
  <si>
    <t>2c640e0b-6b61-4278-9c0c-3246b6f27671</t>
  </si>
  <si>
    <t>69b5800e-f216-4419-8ce4-1f20ce18f26b</t>
  </si>
  <si>
    <t>9944e8fd-aa1c-4c51-a5d9-a0282ae2f8a1</t>
  </si>
  <si>
    <t>2023-11-20</t>
  </si>
  <si>
    <t>887c5b07-0cda-4492-bf4a-4e8080d8d205</t>
  </si>
  <si>
    <t>58ac185e-fda3-4804-a681-de68a4778305</t>
  </si>
  <si>
    <t>2023-11-21</t>
  </si>
  <si>
    <t>e029d32e-59a8-4609-86ae-152ddaaf1a59</t>
  </si>
  <si>
    <t>fa4df125-dc7f-4218-9a09-07780b8366b9</t>
  </si>
  <si>
    <t>29b495ac-dfea-47d8-a5b5-c5937309488f</t>
  </si>
  <si>
    <t>a9365ba8-d41b-4718-8efc-063336ebeac3</t>
  </si>
  <si>
    <t>2023-11-22</t>
  </si>
  <si>
    <t>0970e5d9-5b44-4e80-868f-35488d30ee0f</t>
  </si>
  <si>
    <t>2023-11-23</t>
  </si>
  <si>
    <t>bc3e9f7b-50e3-4257-96c2-2448e365afa0</t>
  </si>
  <si>
    <t>771e01bd-c2b6-45e9-a095-a2f3dde6c3cd</t>
  </si>
  <si>
    <t>950</t>
  </si>
  <si>
    <t>bebb2931-b79f-44d0-939b-f188f66910f4</t>
  </si>
  <si>
    <t>2023-11-24</t>
  </si>
  <si>
    <t>de3ac66f-f881-49b0-8882-83afd1facbaf</t>
  </si>
  <si>
    <t>2023-11-28</t>
  </si>
  <si>
    <t>122da612-d67b-454d-93f9-c66e794c1fc1</t>
  </si>
  <si>
    <t>79ef5952-1bb1-4e6c-b0ad-03cd5db2f034</t>
  </si>
  <si>
    <t>25b1736c-fffc-442f-9668-423b5810e024</t>
  </si>
  <si>
    <t>2023-11-29</t>
  </si>
  <si>
    <t>0ccab3cf-eade-4962-a846-4cd3a755493b</t>
  </si>
  <si>
    <t>2023-11-30</t>
  </si>
  <si>
    <t>a5ffc3b4-a55e-4108-9e46-c0aee6786e14</t>
  </si>
  <si>
    <t>1842.4</t>
  </si>
  <si>
    <t>e13d8fe7-b2f0-467e-b2c9-9b3a2c2ca16d</t>
  </si>
  <si>
    <t>510.84</t>
  </si>
  <si>
    <t>11a59f97-4f4f-4962-8fc6-77d0d7e6186c</t>
  </si>
  <si>
    <t>e7fe7844-526d-4f43-9a56-e6fdb5396163</t>
  </si>
  <si>
    <t>d56b3afd-f97f-4bed-adc9-4856fdb0952a</t>
  </si>
  <si>
    <t>76.5</t>
  </si>
  <si>
    <t>d2c4e756-7212-4b66-816d-080f24cc8e71</t>
  </si>
  <si>
    <t>4a6d624b-3747-4559-a4be-6c6b47a2813b</t>
  </si>
  <si>
    <t>1967.5</t>
  </si>
  <si>
    <t>4c460a30-adde-448d-8ffe-50dfb8be8b58</t>
  </si>
  <si>
    <t>f56f6034-c6d3-4c4f-8f32-0bb313b36870</t>
  </si>
  <si>
    <t>2023-12-01</t>
  </si>
  <si>
    <t>9746.63</t>
  </si>
  <si>
    <t>78b469f3-7916-4d92-8658-b35fba688909</t>
  </si>
  <si>
    <t>60122.06</t>
  </si>
  <si>
    <t>6bfedde6-8b55-495d-98eb-84f7a6653257</t>
  </si>
  <si>
    <t>2109513b-2926-41cd-ba6d-50cf0351dfa3</t>
  </si>
  <si>
    <t>e0f47951-0b37-47c2-ade3-3acca90018ec</t>
  </si>
  <si>
    <t>2023-12-02</t>
  </si>
  <si>
    <t>73884ffe-c205-46fd-b355-1d63aa22c2b1</t>
  </si>
  <si>
    <t>035804f6-b858-402b-8bf8-46effb306f3e</t>
  </si>
  <si>
    <t>149cd3a5-f566-4d83-a764-b3b29d4d683d</t>
  </si>
  <si>
    <t>2023-12-03</t>
  </si>
  <si>
    <t>f36e7287-9801-40d8-b344-a9b7d81880ab</t>
  </si>
  <si>
    <t>656179ee-5f7d-4963-9b9c-f9556f0bf05a</t>
  </si>
  <si>
    <t>2023-12-04</t>
  </si>
  <si>
    <t>0.07</t>
  </si>
  <si>
    <t>9ae55e67-8291-4840-be1e-9bb48367bf0a</t>
  </si>
  <si>
    <t>1872.65</t>
  </si>
  <si>
    <t>9bc7efd7-4e1a-437e-bad5-44417697fe63</t>
  </si>
  <si>
    <t>6050</t>
  </si>
  <si>
    <t>c6adf1b0-7d3d-47c7-9fba-f08c102c7bee</t>
  </si>
  <si>
    <t>33eb865f-5748-48a0-9914-6aa34e851df2</t>
  </si>
  <si>
    <t>9b5d903b-82d7-4b4f-9647-4d361fa085e3</t>
  </si>
  <si>
    <t>4ed9190b-33d8-45b8-b2fa-98c9639ff5d2</t>
  </si>
  <si>
    <t>1060</t>
  </si>
  <si>
    <t>3d97456a-3c5f-4308-8ed3-770ecf4962a2</t>
  </si>
  <si>
    <t>2023-12-05</t>
  </si>
  <si>
    <t>4271c7a8-476e-4082-bc40-da2cf0477277</t>
  </si>
  <si>
    <t>aef350c8-be71-480e-a517-2419dcaafd9d</t>
  </si>
  <si>
    <t>7fbdf4d9-c490-4f2e-a8f5-e6c2fc3c9985</t>
  </si>
  <si>
    <t>2023-12-06</t>
  </si>
  <si>
    <t>d7bb2ec4-9af1-40dc-b18f-aa3798f20740</t>
  </si>
  <si>
    <t>75d30dfc-914d-4fc8-8753-1f8dbca29984</t>
  </si>
  <si>
    <t>21fbcca2-06dc-454c-828e-bb97cc434eda</t>
  </si>
  <si>
    <t>4a9db4e1-ddc0-41a2-b7d2-5b82d61bd927</t>
  </si>
  <si>
    <t>2023-12-07</t>
  </si>
  <si>
    <t>bce8cd5a-2865-4ca0-9e19-ae87b0f45b27</t>
  </si>
  <si>
    <t>cef29cee-31bd-44f5-a302-fa3fd304d4b3</t>
  </si>
  <si>
    <t>ca411e46-4bd1-4151-a43e-f0b0af29bf26</t>
  </si>
  <si>
    <t>2023-12-08</t>
  </si>
  <si>
    <t>202.77</t>
  </si>
  <si>
    <t>9e4e79b7-108c-400c-afae-03c52820f647</t>
  </si>
  <si>
    <t>eb60cba3-4624-49e8-b929-6b32a2532bb0</t>
  </si>
  <si>
    <t>8f559e6f-385b-45c5-8230-76d0d3f5d6e0</t>
  </si>
  <si>
    <t>2023-12-09</t>
  </si>
  <si>
    <t>1a964c5c-9919-4524-8318-b753b82b4ecc</t>
  </si>
  <si>
    <t>2023-12-10</t>
  </si>
  <si>
    <t>38203.42</t>
  </si>
  <si>
    <t>6cfed822-ee47-4b28-a9b0-df3a240095cc</t>
  </si>
  <si>
    <t>ee21f1e3-1048-4802-9434-ca83147e4c1d</t>
  </si>
  <si>
    <t>82aeff32-3745-42a4-af44-5261019f67bf</t>
  </si>
  <si>
    <t>a1415e30-42c4-4090-aa4b-7478add2c20f</t>
  </si>
  <si>
    <t>92dfb4c7-70ac-4686-8b74-85bb73ac572e</t>
  </si>
  <si>
    <t>120.22</t>
  </si>
  <si>
    <t>f80b707b-9439-4d4f-8786-1a6fb76ead7c</t>
  </si>
  <si>
    <t>78675348-9a56-4a44-87c1-cb663932670b</t>
  </si>
  <si>
    <t>7354.1</t>
  </si>
  <si>
    <t>6660ae55-7ae3-4c9c-97d1-8f98487660aa</t>
  </si>
  <si>
    <t>329.99</t>
  </si>
  <si>
    <t>f6f55768-5e10-4452-ab86-4c9347e4cc18</t>
  </si>
  <si>
    <t>9282.2</t>
  </si>
  <si>
    <t>352b1381-98dd-4bb0-b1d5-55ff4e8a1e50</t>
  </si>
  <si>
    <t>2023-12-11</t>
  </si>
  <si>
    <t>a5e925d6-3007-4411-9f40-ebd9d2c4ed6d</t>
  </si>
  <si>
    <t>5a3c1e24-6bc8-4c32-8183-a23d145209ec</t>
  </si>
  <si>
    <t>fec87052-81bc-443b-95e0-c4a3166e3663</t>
  </si>
  <si>
    <t>346e20aa-73ea-4a7d-b565-43f62766f3d4</t>
  </si>
  <si>
    <t>2c28748b-cec2-487a-b53c-9cbd8e1384ca</t>
  </si>
  <si>
    <t>941.81</t>
  </si>
  <si>
    <t>5e4ff035-45a2-4e72-844f-702fcb14c60c</t>
  </si>
  <si>
    <t>f0b8c826-43ff-49ce-b975-eeffb67bfb1e</t>
  </si>
  <si>
    <t>ff78a9b0-fa24-452f-ae7e-f341511c85ed</t>
  </si>
  <si>
    <t>452e636e-8d80-449c-8f2d-e0fb6d14c94a</t>
  </si>
  <si>
    <t>2023-12-14</t>
  </si>
  <si>
    <t>66ec0552-3a4b-4f31-b163-a72531921cc0</t>
  </si>
  <si>
    <t>2023-12-15</t>
  </si>
  <si>
    <t>12bb68a3-591c-4ce8-ac75-b73ac943e5b4</t>
  </si>
  <si>
    <t>7d6de657-ca3a-4ce9-b53b-4e2d243885bb</t>
  </si>
  <si>
    <t>106360a4-d524-48ec-af53-70e01d6983fd</t>
  </si>
  <si>
    <t>4b8407de-159c-45f6-930d-8cb87f2800c6</t>
  </si>
  <si>
    <t>5635aa68-7821-4367-92ae-117af9c7c394</t>
  </si>
  <si>
    <t>2023-12-16</t>
  </si>
  <si>
    <t>fbbcf8a8-114a-4cd9-b935-ef105af6d451</t>
  </si>
  <si>
    <t>2023-12-18</t>
  </si>
  <si>
    <t>d2a76323-2237-40e7-a61a-1e6ac1deda12</t>
  </si>
  <si>
    <t>ec0ba31c-e5d1-4727-9ba3-994b8249dfb5</t>
  </si>
  <si>
    <t>375a4f00-4e43-4223-9c3e-a391c47b6270</t>
  </si>
  <si>
    <t>60b4caa0-d09a-4ba3-b4fe-9c590259678a</t>
  </si>
  <si>
    <t>84a53cd3-4625-4cfd-8481-f2f62e951ce0</t>
  </si>
  <si>
    <t>7d75be7c-f510-4774-b9c4-65b1a70c9b09</t>
  </si>
  <si>
    <t>1a221fcc-b285-48dc-8014-aeade6e90a23</t>
  </si>
  <si>
    <t>2023-12-19</t>
  </si>
  <si>
    <t>02c3cad0-162e-4784-84c3-01fb1a861cbb</t>
  </si>
  <si>
    <t>78.5</t>
  </si>
  <si>
    <t>efcdbbe4-80aa-4c02-aa6b-8941fc75e67e</t>
  </si>
  <si>
    <t>2023-12-21</t>
  </si>
  <si>
    <t>4e43753c-c6bb-4a45-9433-8615ba9211d1</t>
  </si>
  <si>
    <t>2023-12-22</t>
  </si>
  <si>
    <t>a46e0053-fd8c-45fe-b4ea-287e7a3df45a</t>
  </si>
  <si>
    <t>1804d39a-f1cb-4cf3-82c6-7274bd494a21</t>
  </si>
  <si>
    <t>2023-12-25</t>
  </si>
  <si>
    <t>e9250cc3-ac93-43b6-8aeb-feda4aaccdcd</t>
  </si>
  <si>
    <t>2023-12-26</t>
  </si>
  <si>
    <t>4038b995-f9df-494b-893b-00076343b85d</t>
  </si>
  <si>
    <t>9bd650f2-02b4-4b35-ad3d-5f751f25b305</t>
  </si>
  <si>
    <t>af314583-f316-4685-b0dc-b98df562ad2e</t>
  </si>
  <si>
    <t>63103213-00b4-4f26-a80b-99c7fef3bc6c</t>
  </si>
  <si>
    <t>2023-12-27</t>
  </si>
  <si>
    <t>fec78d8a-83b2-498d-b157-1eca59120c47</t>
  </si>
  <si>
    <t>2023-12-28</t>
  </si>
  <si>
    <t>2528bc56-5bb8-4261-897f-c3263a05fa36</t>
  </si>
  <si>
    <t>89be8400-0508-4563-a500-10c81e5e8930</t>
  </si>
  <si>
    <t>fdb19cf7-5418-4285-a85d-7adaaa1538a4</t>
  </si>
  <si>
    <t>39331407-bcb1-4671-bb29-867b30f554de</t>
  </si>
  <si>
    <t>10807.21</t>
  </si>
  <si>
    <t>8245a856-7315-47a3-85b2-96b3695112c5</t>
  </si>
  <si>
    <t>87539186-b2c3-4ef0-8bea-98e16fa36f37</t>
  </si>
  <si>
    <t>2023-12-29</t>
  </si>
  <si>
    <t>fb1f1bfc-8629-4c9f-aaac-3bfc50dc402a</t>
  </si>
  <si>
    <t>2023-12-30</t>
  </si>
  <si>
    <t>1259.75</t>
  </si>
  <si>
    <t>ef2e4f21-56b7-4b75-94b2-6e039bf20fad</t>
  </si>
  <si>
    <t>718.09</t>
  </si>
  <si>
    <t>1336a4a2-175c-459e-9987-1db3844d31f9</t>
  </si>
  <si>
    <t>1914.46</t>
  </si>
  <si>
    <t>b2f0a6c8-5890-463f-89f6-12e172659992</t>
  </si>
  <si>
    <t>1228a870-269d-4d83-94e2-1580c2464a18</t>
  </si>
  <si>
    <t>86c7ca75-cb77-4402-9b68-bb7e48c983e0</t>
  </si>
  <si>
    <t>7971fa11-6f7d-486f-8ad2-d23e996e0804</t>
  </si>
  <si>
    <t>2023-12-31</t>
  </si>
  <si>
    <t>9253fc75-0455-4f46-8a57-a89185dde5ca</t>
  </si>
  <si>
    <t>2358b196-6760-422f-889a-745ccea51e49</t>
  </si>
  <si>
    <t>2024-01-01</t>
  </si>
  <si>
    <t>12423.8</t>
  </si>
  <si>
    <t>2026-02-06T23:17:13.416Z</t>
  </si>
  <si>
    <t>9e4f19a9-a4f1-4adb-ad15-e8d4416f0e61</t>
  </si>
  <si>
    <t>2026-02-06T23:17:14.912Z</t>
  </si>
  <si>
    <t>a396ce27-70a3-49f7-90d1-ff35271cb6d2</t>
  </si>
  <si>
    <t>c32eeda2-f8de-43d2-a13d-94fc8086ac01</t>
  </si>
  <si>
    <t>2024-01-02</t>
  </si>
  <si>
    <t>f965f874-cff5-4516-bc34-5534576cbc82</t>
  </si>
  <si>
    <t>b569193e-1dc3-4a5f-afa8-8c7455fc0f7a</t>
  </si>
  <si>
    <t>134</t>
  </si>
  <si>
    <t>13c6a11f-5b53-48fe-8f51-ce56aa0fa9d0</t>
  </si>
  <si>
    <t>2024-01-03</t>
  </si>
  <si>
    <t>eaa49265-4a93-42d1-83c7-ed47d172a02c</t>
  </si>
  <si>
    <t>ce899c8e-5aff-44c3-ad12-1a190f663c6b</t>
  </si>
  <si>
    <t>31f489e6-d7f2-4d5c-bf07-18da237881ff</t>
  </si>
  <si>
    <t>2024-01-04</t>
  </si>
  <si>
    <t>1870.09</t>
  </si>
  <si>
    <t>62364af8-c52e-440c-98d2-871458ddd8b9</t>
  </si>
  <si>
    <t>1ac4388d-115f-4371-ad60-85fa5d5398df</t>
  </si>
  <si>
    <t>d3b99a9a-e4bb-49d5-a0ee-eefea1fa3354</t>
  </si>
  <si>
    <t>8e8ebd22-8af7-4d4c-8189-7210b0fa747f</t>
  </si>
  <si>
    <t>0e4be479-f4f1-4178-8271-4709a6583b96</t>
  </si>
  <si>
    <t>91e5c431-82ad-4da6-9847-39c2f0a08ae6</t>
  </si>
  <si>
    <t>2024-01-05</t>
  </si>
  <si>
    <t>09044913-22a0-4066-a92f-cd458ad6460f</t>
  </si>
  <si>
    <t>ccd35656-4e9d-48f3-9155-db706a13dd51</t>
  </si>
  <si>
    <t>ca11d013-ba89-443d-ae74-69cc773b15b1</t>
  </si>
  <si>
    <t>bb8a761e-4839-4056-8988-58e7476b7767</t>
  </si>
  <si>
    <t>2024-01-06</t>
  </si>
  <si>
    <t>9f71c840-a142-4fbc-a5c3-9715c2afabe8</t>
  </si>
  <si>
    <t>3a40c0cb-612a-4cc0-a7d5-21c01b594df9</t>
  </si>
  <si>
    <t>2024-01-08</t>
  </si>
  <si>
    <t>e35b7e51-99fe-41c1-b620-8e6ed56fdbf9</t>
  </si>
  <si>
    <t>79.03</t>
  </si>
  <si>
    <t>fbb43a5f-697c-4516-8e4b-520006c141d2</t>
  </si>
  <si>
    <t>7486dd0b-6ff7-4e7f-b623-3d8654edbd4b</t>
  </si>
  <si>
    <t>2024-01-09</t>
  </si>
  <si>
    <t>6db8ef21-5ed6-4003-8a49-38c4de0299b5</t>
  </si>
  <si>
    <t>2024-01-10</t>
  </si>
  <si>
    <t>9475.75</t>
  </si>
  <si>
    <t>d840d18c-85cb-4bb8-a304-14577cd54588</t>
  </si>
  <si>
    <t>01b05e88-e209-4a4b-98a7-c2032b638b1e</t>
  </si>
  <si>
    <t>d3aeadc5-e820-4f2a-a74e-436669b45595</t>
  </si>
  <si>
    <t>f0298096-49d1-4282-ac5d-26f49a72b1c6</t>
  </si>
  <si>
    <t>9f04e5b8-d012-4374-87d7-bdfc48e06312</t>
  </si>
  <si>
    <t>66206fa9-c831-497e-b515-2e9dee8c0831</t>
  </si>
  <si>
    <t>f2a91e1d-0e5c-4567-8898-9900ecdcea1d</t>
  </si>
  <si>
    <t>2105.61</t>
  </si>
  <si>
    <t>b71ebcb9-f8a8-418d-9c75-f38f5b4e1d03</t>
  </si>
  <si>
    <t>7806.56</t>
  </si>
  <si>
    <t>d27c2958-26b5-4d9a-b373-daff3074fa74</t>
  </si>
  <si>
    <t>2024-01-12</t>
  </si>
  <si>
    <t>87c314eb-fc80-43eb-8e02-54b2bba63f74</t>
  </si>
  <si>
    <t>1430.68</t>
  </si>
  <si>
    <t>950bf0c6-cda9-4e83-a5b2-49b4f5e6313e</t>
  </si>
  <si>
    <t>1340.72</t>
  </si>
  <si>
    <t>8faff371-7a48-4b15-94a3-5416ff595312</t>
  </si>
  <si>
    <t>292.78</t>
  </si>
  <si>
    <t>2abda853-4a06-45d3-8a82-312472ca23f1</t>
  </si>
  <si>
    <t>de37e5a0-9af6-4d48-9181-b036a20d9bdf</t>
  </si>
  <si>
    <t>02bac42b-a2a3-4926-8bf0-0f885fe0b6df</t>
  </si>
  <si>
    <t>eb3bd7f5-0ea9-4dce-a63e-cb14fbe353e8</t>
  </si>
  <si>
    <t>105766e7-8322-4c95-a410-0a48116f322f</t>
  </si>
  <si>
    <t>bfd31e2c-f2fe-4aae-bf01-5dc496bdc349</t>
  </si>
  <si>
    <t>559e2024-adb2-4dd3-981d-8f916049ab2c</t>
  </si>
  <si>
    <t>2024-01-15</t>
  </si>
  <si>
    <t>4050</t>
  </si>
  <si>
    <t>dc58ab01-db18-4465-a575-6d1d805776a2</t>
  </si>
  <si>
    <t>821a2faa-5958-4177-9c72-56d3873eaca5</t>
  </si>
  <si>
    <t>0590492e-5613-490e-88a0-5fe22070867a</t>
  </si>
  <si>
    <t>2024-01-16</t>
  </si>
  <si>
    <t>b7b2487b-2c93-4303-a9b2-b18b5cd63b9a</t>
  </si>
  <si>
    <t>2024-01-17</t>
  </si>
  <si>
    <t>43c2ef04-1e48-4985-9e6d-23f20ad14023</t>
  </si>
  <si>
    <t>2024-01-18</t>
  </si>
  <si>
    <t>820</t>
  </si>
  <si>
    <t>cd3327b1-3647-4602-bd33-adc23a6a5e8b</t>
  </si>
  <si>
    <t>2024-01-19</t>
  </si>
  <si>
    <t>b47911b2-af62-49aa-b573-27e4a2baecee</t>
  </si>
  <si>
    <t>2024-01-20</t>
  </si>
  <si>
    <t>1e9e9137-0506-44b2-9291-f3f43f395c3d</t>
  </si>
  <si>
    <t>9fcfd6f9-fad4-40f2-9b99-1111e2253f9f</t>
  </si>
  <si>
    <t>e757239f-a37b-4b04-93f6-393b68e8812b</t>
  </si>
  <si>
    <t>1bcdf03b-553c-4c8a-b3bc-dd6c9dc6de5a</t>
  </si>
  <si>
    <t>cb5fc60d-a08d-4c82-b997-61b7fd44a344</t>
  </si>
  <si>
    <t>2024-01-23</t>
  </si>
  <si>
    <t>247e598b-cdf2-4f43-827d-7cfbea8e1b70</t>
  </si>
  <si>
    <t>af3b7758-ea53-4579-ab26-e3da2c733615</t>
  </si>
  <si>
    <t>b683bd60-2603-45ec-aa62-7de762e5968f</t>
  </si>
  <si>
    <t>2024-01-25</t>
  </si>
  <si>
    <t>1681.07</t>
  </si>
  <si>
    <t>29dd6618-8264-4fed-8c24-633e4723fcbd</t>
  </si>
  <si>
    <t>2024-01-27</t>
  </si>
  <si>
    <t>4be77fda-6616-4987-8227-23a64435f79d</t>
  </si>
  <si>
    <t>2024-01-29</t>
  </si>
  <si>
    <t>d0cb2ba7-75ab-4bdc-a5e4-a722b3974ff4</t>
  </si>
  <si>
    <t>60c7e9d7-d2ee-4989-98ce-868470b71843</t>
  </si>
  <si>
    <t>2024-01-30</t>
  </si>
  <si>
    <t>1306.1</t>
  </si>
  <si>
    <t>8e0ca51b-2160-4d78-ad15-f1717dc8a2e0</t>
  </si>
  <si>
    <t>388.29</t>
  </si>
  <si>
    <t>9498b718-9572-42e8-8440-f65169a4fac0</t>
  </si>
  <si>
    <t>1915.76</t>
  </si>
  <si>
    <t>2ace766b-4f62-43fa-9592-5abf57bcca90</t>
  </si>
  <si>
    <t>a54ccf46-44a2-4a60-b6dc-922b6e09f51f</t>
  </si>
  <si>
    <t>280.58</t>
  </si>
  <si>
    <t>fe68cdbc-1bb3-421b-baea-c1872b402901</t>
  </si>
  <si>
    <t>3ab9600e-00f3-4016-ae42-f051db824857</t>
  </si>
  <si>
    <t>2024-01-31</t>
  </si>
  <si>
    <t>88755515-28e6-4a90-a32d-59e6cb00baa5</t>
  </si>
  <si>
    <t>460</t>
  </si>
  <si>
    <t>f276021c-7473-4a4f-8a41-38e28c01eb01</t>
  </si>
  <si>
    <t>0d2a8316-4f92-479d-869c-b71599a8ec7e</t>
  </si>
  <si>
    <t>2024-02-01</t>
  </si>
  <si>
    <t>14112.89</t>
  </si>
  <si>
    <t>6204466c-ae4e-442b-bd46-8d8758504556</t>
  </si>
  <si>
    <t>443.18</t>
  </si>
  <si>
    <t>efe9e4ab-b228-4fc5-8949-814d440ee9a5</t>
  </si>
  <si>
    <t>841.26</t>
  </si>
  <si>
    <t>edd63623-347d-4127-887c-bb81f92cd469</t>
  </si>
  <si>
    <t>51b24423-702d-499d-ba8a-2268c80aa174</t>
  </si>
  <si>
    <t>040ddb5a-06c4-4930-96c5-07a992c5f6c3</t>
  </si>
  <si>
    <t>2024-02-02</t>
  </si>
  <si>
    <t>b68fc254-657c-4773-a2b4-c9a68dcb596a</t>
  </si>
  <si>
    <t>7e9e2e65-546e-4e0a-a530-67b4557808d4</t>
  </si>
  <si>
    <t>2024-02-03</t>
  </si>
  <si>
    <t>345c94d8-7675-49d8-b268-e3d235d79e43</t>
  </si>
  <si>
    <t>2024-02-04</t>
  </si>
  <si>
    <t>1869.02</t>
  </si>
  <si>
    <t>ebf459b1-6d71-47a4-917e-104c3b0675c4</t>
  </si>
  <si>
    <t>4e7a18ec-fe95-4e96-a077-97338e8116d8</t>
  </si>
  <si>
    <t>2024-02-05</t>
  </si>
  <si>
    <t>41b8f9ef-8d9c-4df8-b6f1-b740994a0cfa</t>
  </si>
  <si>
    <t>9f9b6a30-67c7-4598-ac54-01bebe25f20b</t>
  </si>
  <si>
    <t>97e620eb-482a-446c-ac9e-420af661b5ff</t>
  </si>
  <si>
    <t>53540c6e-922d-4489-806f-899758f195fb</t>
  </si>
  <si>
    <t>30fd1b9d-8fa5-48a5-984b-2fdd312ddd95</t>
  </si>
  <si>
    <t>2024-02-06</t>
  </si>
  <si>
    <t>ac3126c3-b74c-4b9d-8d0c-99af14a01705</t>
  </si>
  <si>
    <t>a9e0dc60-9b18-4852-baa6-6420e160a543</t>
  </si>
  <si>
    <t>2024-02-07</t>
  </si>
  <si>
    <t>30e3a07d-4242-4c8f-96a8-1d3f9b06305a</t>
  </si>
  <si>
    <t>7fc97056-5f53-4c99-94e6-d5111747d1d4</t>
  </si>
  <si>
    <t>2024-02-08</t>
  </si>
  <si>
    <t>9a220b00-d847-4212-aa69-e392f8612638</t>
  </si>
  <si>
    <t>309.54</t>
  </si>
  <si>
    <t>6547b64a-23be-4ed3-a5d8-4c125769076b</t>
  </si>
  <si>
    <t>2024-02-09</t>
  </si>
  <si>
    <t>25136352-3c32-4b9a-bc7d-c1df116d3e4c</t>
  </si>
  <si>
    <t>2024-02-10</t>
  </si>
  <si>
    <t>4203.32</t>
  </si>
  <si>
    <t>096c59cc-746b-473f-ab95-0b298f08c75c</t>
  </si>
  <si>
    <t>3825</t>
  </si>
  <si>
    <t>d96959f5-7c78-416d-acf8-410c58e75a95</t>
  </si>
  <si>
    <t>952.7</t>
  </si>
  <si>
    <t>49604392-91b0-4681-8de5-f3f88e7c5a68</t>
  </si>
  <si>
    <t>1327.28</t>
  </si>
  <si>
    <t>cae3d1e4-7b7f-468e-b20a-50bab36e1f83</t>
  </si>
  <si>
    <t>1020.75</t>
  </si>
  <si>
    <t>39446f30-1330-4e66-b0e3-0df1b6979829</t>
  </si>
  <si>
    <t>541.27</t>
  </si>
  <si>
    <t>cd911941-5513-47f3-877e-66a9ae6b67a6</t>
  </si>
  <si>
    <t>103.02</t>
  </si>
  <si>
    <t>0e0fdf91-4ac4-414c-94e9-625c066bcdb5</t>
  </si>
  <si>
    <t>a8bf0650-085b-4fab-b9db-d227a9402d83</t>
  </si>
  <si>
    <t>948</t>
  </si>
  <si>
    <t>e025f12c-6795-4f55-b634-cd2c70cff409</t>
  </si>
  <si>
    <t>b895c2b3-8ba5-4573-bd4c-b098b750b13a</t>
  </si>
  <si>
    <t>1570.86</t>
  </si>
  <si>
    <t>32c28e1a-001f-487d-a4e1-5df4eb3e2a1c</t>
  </si>
  <si>
    <t>10394.13</t>
  </si>
  <si>
    <t>e7f1af61-c27a-4ac8-bf13-483f992a7939</t>
  </si>
  <si>
    <t>2024-02-11</t>
  </si>
  <si>
    <t>592d86d6-bed8-4e97-b946-3d753c338548</t>
  </si>
  <si>
    <t>2024-02-14</t>
  </si>
  <si>
    <t>3e7c2a28-46a7-4e6d-99de-a3377a3c5eed</t>
  </si>
  <si>
    <t>38f78c6e-b280-4efc-a020-cfc803b8b72d</t>
  </si>
  <si>
    <t>af767fd8-a624-47e1-92dd-799364eab358</t>
  </si>
  <si>
    <t>6b46e929-bc5f-40bb-a251-cd7bfa0ddfcc</t>
  </si>
  <si>
    <t>38014d0b-a34d-4ea4-98af-ebe64ebf196f</t>
  </si>
  <si>
    <t>91d5b4ba-bcc3-4546-bd46-6003326b24fc</t>
  </si>
  <si>
    <t>f6b724a5-82d9-4f1d-870c-8bfc1856ce41</t>
  </si>
  <si>
    <t>60d4df77-0e02-4d4a-86db-42d2409d6c9a</t>
  </si>
  <si>
    <t>6b169699-d300-405e-9ac2-0eaed3424f90</t>
  </si>
  <si>
    <t>2024-02-15</t>
  </si>
  <si>
    <t>400aabb1-90f5-4300-9138-c5477de6ee3e</t>
  </si>
  <si>
    <t>2024-02-16</t>
  </si>
  <si>
    <t>82e42e5d-9e87-422f-8e82-81d76711365a</t>
  </si>
  <si>
    <t>8e4b4ef2-33c8-441f-aff7-3fe6e04ba53a</t>
  </si>
  <si>
    <t>2024-02-18</t>
  </si>
  <si>
    <t>4e48a996-afa5-439c-8d36-bf5eb84e6f9f</t>
  </si>
  <si>
    <t>03f2555f-f3e5-4975-a52f-04c4144eb77f</t>
  </si>
  <si>
    <t>2024-02-19</t>
  </si>
  <si>
    <t>25fea4f4-6d6d-40c2-bf5f-7a518180abf1</t>
  </si>
  <si>
    <t>2024-02-21</t>
  </si>
  <si>
    <t>2e7781eb-d872-46f4-a3a5-2335ba37623a</t>
  </si>
  <si>
    <t>2024-02-22</t>
  </si>
  <si>
    <t>96a41bcb-2521-425a-b2ee-4539fe1b9dfb</t>
  </si>
  <si>
    <t>2024-02-23</t>
  </si>
  <si>
    <t>41.72</t>
  </si>
  <si>
    <t>36c0ae0a-ef40-47ff-9857-93283fd1aa39</t>
  </si>
  <si>
    <t>2024-02-25</t>
  </si>
  <si>
    <t>537b6aa6-5a8b-448a-ac07-b54335af1783</t>
  </si>
  <si>
    <t>f26b16e4-e07d-44c1-99c6-02b0f26b9dce</t>
  </si>
  <si>
    <t>2024-02-26</t>
  </si>
  <si>
    <t>2401bb7c-856c-45f8-af73-06d116bfd25a</t>
  </si>
  <si>
    <t>ac3be40e-2b01-43d7-80ca-66ec9d751877</t>
  </si>
  <si>
    <t>2024-02-28</t>
  </si>
  <si>
    <t>9d5e669a-06f2-4b5b-9ac3-3a94cc40c5a7</t>
  </si>
  <si>
    <t>2a809f7c-db7c-49de-af65-bf7b2232b28a</t>
  </si>
  <si>
    <t>2024-02-29</t>
  </si>
  <si>
    <t>Importado da planilha legada (linha 28) [LEGADO:SKIPPED]</t>
  </si>
  <si>
    <t>5f0d454f-6522-4507-bbdb-8040d521c4e1</t>
  </si>
  <si>
    <t>338a8c9d-30d7-4d66-a7a6-10e4d705c1cd</t>
  </si>
  <si>
    <t>1912.97</t>
  </si>
  <si>
    <t>9fe64505-f1b0-4d21-bee2-4bc1db5b8314</t>
  </si>
  <si>
    <t>504.68</t>
  </si>
  <si>
    <t>acc4a0f4-9d09-4bb1-99dc-f73152c9dcca</t>
  </si>
  <si>
    <t>0ef84ecc-d4cd-4e2b-be70-81e5eba94e83</t>
  </si>
  <si>
    <t>89618b9b-34e0-40c9-bbb0-65a59f632432</t>
  </si>
  <si>
    <t>267.76</t>
  </si>
  <si>
    <t>435b8698-0ebc-44ae-b670-dd76ddd8c985</t>
  </si>
  <si>
    <t>055d94de-6c38-4fe3-a0d7-8e6184b4ed13</t>
  </si>
  <si>
    <t>160.04</t>
  </si>
  <si>
    <t>6a34d25c-225a-494a-a9d1-e91d0a57912f</t>
  </si>
  <si>
    <t>43.3</t>
  </si>
  <si>
    <t>e34fe98d-4160-4c65-89b6-372c0bab63bd</t>
  </si>
  <si>
    <t>166.8</t>
  </si>
  <si>
    <t>9ebff79d-f068-42e8-9e40-9848effd721c</t>
  </si>
  <si>
    <t>1831.62</t>
  </si>
  <si>
    <t>a1911c9f-7933-440b-822f-890705deb5e7</t>
  </si>
  <si>
    <t>2024-03-01</t>
  </si>
  <si>
    <t>9668.9</t>
  </si>
  <si>
    <t>d18b68f0-15a7-4563-8ebe-e4e1dfe9a63e</t>
  </si>
  <si>
    <t>fa781a7d-5ea3-4c2e-aab4-9fa1ee89c716</t>
  </si>
  <si>
    <t>29.79</t>
  </si>
  <si>
    <t>41f7c6d5-565b-444e-a107-4321700c03a9</t>
  </si>
  <si>
    <t>1498.91</t>
  </si>
  <si>
    <t>1a11ab7c-b6f3-4820-a857-8210c5b36c37</t>
  </si>
  <si>
    <t>2024-03-03</t>
  </si>
  <si>
    <t>4342432c-b615-4bf3-9f7d-1fcb30dc43a0</t>
  </si>
  <si>
    <t>2024-03-04</t>
  </si>
  <si>
    <t>1865.86</t>
  </si>
  <si>
    <t>a41c5677-e8f6-432c-96a5-7e27448e3ce6</t>
  </si>
  <si>
    <t>8a494bcf-3261-4d0e-95df-a7d242437ec6</t>
  </si>
  <si>
    <t>45d79976-8e49-4df3-8e76-04e74491f519</t>
  </si>
  <si>
    <t>2024-03-05</t>
  </si>
  <si>
    <t>321.4</t>
  </si>
  <si>
    <t>f8ce0a05-4895-425f-96fa-b76502d4221b</t>
  </si>
  <si>
    <t>296ad169-efd4-49e6-8ca6-1e63bba68da6</t>
  </si>
  <si>
    <t>456d5c98-48e1-4776-8e93-f2846ed47042</t>
  </si>
  <si>
    <t>2024-03-07</t>
  </si>
  <si>
    <t>13.2</t>
  </si>
  <si>
    <t>77fe1824-5ed9-4b7a-9f2a-f63f42cf6cd3</t>
  </si>
  <si>
    <t>59dd3869-5d8b-433e-843c-d3f3ada30da0</t>
  </si>
  <si>
    <t>d65acb46-458f-4508-ac21-2a6d6f609a21</t>
  </si>
  <si>
    <t>d6465e5e-c5be-45bf-acfe-ddc9a52dcbda</t>
  </si>
  <si>
    <t>0.7</t>
  </si>
  <si>
    <t>e9e2ab6a-8882-4cd3-bdb1-4df7813fbd4b</t>
  </si>
  <si>
    <t>2024-03-08</t>
  </si>
  <si>
    <t>322.09</t>
  </si>
  <si>
    <t>ddd4bda7-a1cf-4f1a-964e-b691ed42ca10</t>
  </si>
  <si>
    <t>2024-03-10</t>
  </si>
  <si>
    <t>dd50f27f-6e71-43cc-bbe3-2133cbac2d26</t>
  </si>
  <si>
    <t>77c070d2-d8fd-43f9-bcbf-3330aa755756</t>
  </si>
  <si>
    <t>0d1f5a52-2b23-4342-ace9-388d4d0410ad</t>
  </si>
  <si>
    <t>2f526150-69b1-445a-9f83-6bb915bcdc7f</t>
  </si>
  <si>
    <t>191.4</t>
  </si>
  <si>
    <t>e452781f-42ff-4bea-b5e2-74621db171e5</t>
  </si>
  <si>
    <t>87204a22-48c1-4346-8e43-0c6a725a7e24</t>
  </si>
  <si>
    <t>2024-03-11</t>
  </si>
  <si>
    <t>9795.89</t>
  </si>
  <si>
    <t>f9e91e15-61e4-49ef-b411-60e4e90d0b25</t>
  </si>
  <si>
    <t>5828.63</t>
  </si>
  <si>
    <t>4d1d224a-bf52-4e82-9dbf-b38b66ad8abe</t>
  </si>
  <si>
    <t>ecdae47b-d962-4381-a508-2c8e94ee55a6</t>
  </si>
  <si>
    <t>954.93</t>
  </si>
  <si>
    <t>f8b5e54b-d18e-4522-a526-77ead3ffe087</t>
  </si>
  <si>
    <t>7849.03</t>
  </si>
  <si>
    <t>a85bdd18-6936-4117-bbf3-8ac4611cd5af</t>
  </si>
  <si>
    <t>5bbd4672-addb-4e99-8433-dd35d0bbbc66</t>
  </si>
  <si>
    <t>debf7dd1-0578-426f-9961-6520f6086338</t>
  </si>
  <si>
    <t>2024-03-12</t>
  </si>
  <si>
    <t>48ebc84a-2446-4270-81df-b975e6fd60a0</t>
  </si>
  <si>
    <t>256a8963-f5e8-4ea3-a50d-b749c8e00312</t>
  </si>
  <si>
    <t>2024-03-13</t>
  </si>
  <si>
    <t>d71a1e48-3526-4bc8-82ff-03c82df9ecaf</t>
  </si>
  <si>
    <t>13d0beba-2d6b-4f9c-9f7e-53d10868c808</t>
  </si>
  <si>
    <t>2024-03-15</t>
  </si>
  <si>
    <t>09ea68f2-35ef-495c-93ce-205788c25d08</t>
  </si>
  <si>
    <t>be9441be-7327-47e6-82d3-1b84b98193f9</t>
  </si>
  <si>
    <t>2024-03-18</t>
  </si>
  <si>
    <t>1028a28c-202b-4fa9-860d-29ea1942e81b</t>
  </si>
  <si>
    <t>9f8db4bc-a9b7-4e91-bac9-41464bcb76cf</t>
  </si>
  <si>
    <t>d8d59f1b-03ee-4916-af4f-aec3a175aa91</t>
  </si>
  <si>
    <t>3f74f387-e578-42dc-a90d-aeb9d41e2662</t>
  </si>
  <si>
    <t>2024-03-19</t>
  </si>
  <si>
    <t>fd0ac901-b165-4a1c-aa24-7f738c7bf1a8</t>
  </si>
  <si>
    <t>20bec57c-451e-400c-b114-f3841ba55f7d</t>
  </si>
  <si>
    <t>2024-03-21</t>
  </si>
  <si>
    <t>9e128348-5d1e-4822-978d-d567c7e75b20</t>
  </si>
  <si>
    <t>267</t>
  </si>
  <si>
    <t>07cf72cd-85e0-4756-9024-97c4c7e2f98e</t>
  </si>
  <si>
    <t>1292.32</t>
  </si>
  <si>
    <t>c606bff2-4736-4531-b1d0-393ca6a5c79a</t>
  </si>
  <si>
    <t>1438.14</t>
  </si>
  <si>
    <t>a63e4812-db2f-45cb-83ff-b205255d7791</t>
  </si>
  <si>
    <t>2024-03-22</t>
  </si>
  <si>
    <t>e4cb2bea-b64e-47db-b4f9-07d16b34e30f</t>
  </si>
  <si>
    <t>2522e4cd-2f36-48a1-8baa-23f5370c9bd3</t>
  </si>
  <si>
    <t>81.56</t>
  </si>
  <si>
    <t>1372a81c-4c41-4f85-af2e-f07f438c2c99</t>
  </si>
  <si>
    <t>2024-03-25</t>
  </si>
  <si>
    <t>7e962a77-08b9-4f71-8caa-8dad77ac543e</t>
  </si>
  <si>
    <t>6780c94e-fc35-49d4-a8b5-fc892fb1fb2c</t>
  </si>
  <si>
    <t>47cb9e94-4798-473e-829c-d7c96cd71bd1</t>
  </si>
  <si>
    <t>2024-03-26</t>
  </si>
  <si>
    <t>9385eeb4-964e-4eb5-81bf-6920a1e371eb</t>
  </si>
  <si>
    <t>87b389e2-788a-4707-972e-9e2194aa6a4e</t>
  </si>
  <si>
    <t>d716c5e8-46dd-47c8-961a-9cf95030fc7b</t>
  </si>
  <si>
    <t>12.2</t>
  </si>
  <si>
    <t>9c092a4a-7abd-4e2c-bcb3-c44ce576902b</t>
  </si>
  <si>
    <t>2024-03-27</t>
  </si>
  <si>
    <t>806ced6c-bd7e-4c0f-bea5-398af847ac7f</t>
  </si>
  <si>
    <t>99ebca30-27f3-4aec-bf27-a495fd11e270</t>
  </si>
  <si>
    <t>228.14</t>
  </si>
  <si>
    <t>094a6fb7-bb9f-40a9-83fc-2e67eec4c489</t>
  </si>
  <si>
    <t>2024-03-28</t>
  </si>
  <si>
    <t>c2213e4f-e62f-4649-9ab7-d110727408c7</t>
  </si>
  <si>
    <t>2024-03-30</t>
  </si>
  <si>
    <t>1699.22</t>
  </si>
  <si>
    <t>b7ab6cd4-3cf4-4981-9fc8-b9c4c45701e9</t>
  </si>
  <si>
    <t>020c062b-89a5-45a8-9a91-84b2bc97bd8c</t>
  </si>
  <si>
    <t>b63ac4bf-9a8f-4f8b-b003-c173186df08d</t>
  </si>
  <si>
    <t>1910.18</t>
  </si>
  <si>
    <t>3a27c4a0-253d-45cf-9794-7a5f84634146</t>
  </si>
  <si>
    <t>d39c97a0-1109-4ee1-862e-eea43b5b7dd1</t>
  </si>
  <si>
    <t>1946.5</t>
  </si>
  <si>
    <t>d6de459f-8165-4060-84c2-19153084e029</t>
  </si>
  <si>
    <t>2024-04-01</t>
  </si>
  <si>
    <t>12695.54</t>
  </si>
  <si>
    <t>4b37c210-09b3-47f9-9f23-770a507c9414</t>
  </si>
  <si>
    <t>2207.1</t>
  </si>
  <si>
    <t>ba4545d9-82e4-4023-bed8-a61ec9396c29</t>
  </si>
  <si>
    <t>880.94</t>
  </si>
  <si>
    <t>7f5afca8-7d1b-4a22-9697-5fe1f9d418bb</t>
  </si>
  <si>
    <t>106.64</t>
  </si>
  <si>
    <t>71bcc08b-60c5-4584-a456-7c09ac8bffa2</t>
  </si>
  <si>
    <t>92632f48-e378-47cc-bc45-7e8e8b86af48</t>
  </si>
  <si>
    <t>2024-04-03</t>
  </si>
  <si>
    <t>31542680-c6b3-4c29-8d18-86c3e9756d21</t>
  </si>
  <si>
    <t>8167a9ea-e557-41da-997a-61e16519a49d</t>
  </si>
  <si>
    <t>390b87b3-0588-47cb-9e24-2613730524c8</t>
  </si>
  <si>
    <t>2024-04-04</t>
  </si>
  <si>
    <t>1863.01</t>
  </si>
  <si>
    <t>c38b8424-a11c-4304-bfc3-8c633309851a</t>
  </si>
  <si>
    <t>cd7b2696-f7d7-47e1-8188-25f97c20fa3a</t>
  </si>
  <si>
    <t>9a1a3db8-ccbe-4074-9bab-7e7d7d0e26d3</t>
  </si>
  <si>
    <t>2024-04-05</t>
  </si>
  <si>
    <t>e7999cf7-b9be-4eae-9272-42a30ddf954b</t>
  </si>
  <si>
    <t>2024-04-08</t>
  </si>
  <si>
    <t>247.78</t>
  </si>
  <si>
    <t>bd584c25-e7cc-44c6-834f-c805070f5b58</t>
  </si>
  <si>
    <t>b00c832c-7624-4ed7-876c-8df3da677b03</t>
  </si>
  <si>
    <t>321b9e42-afd7-43a5-b65e-2b7547a1c827</t>
  </si>
  <si>
    <t>2024-04-09</t>
  </si>
  <si>
    <t>b98cc9c2-1da4-418a-a1f8-1faa1cdeabf5</t>
  </si>
  <si>
    <t>355.49</t>
  </si>
  <si>
    <t>e8b6b836-c0d7-4771-8ff4-a3d9a51d3276</t>
  </si>
  <si>
    <t>379fd6c5-f32c-4467-aff9-d0753f4b9e28</t>
  </si>
  <si>
    <t>152.64</t>
  </si>
  <si>
    <t>5c29170d-e2d3-42ed-adee-1548e0e38a71</t>
  </si>
  <si>
    <t>273001ab-1737-4c94-8a24-9c7c0238af7b</t>
  </si>
  <si>
    <t>714d71c0-f8e3-4f2f-90e3-95fa95d45c25</t>
  </si>
  <si>
    <t>2024-04-10</t>
  </si>
  <si>
    <t>6242.49</t>
  </si>
  <si>
    <t>9f9ca17c-9444-40e4-8e1d-5e3e6c58758d</t>
  </si>
  <si>
    <t>392.18</t>
  </si>
  <si>
    <t>a111b8d5-9a46-4d91-89f4-9647d029d5c3</t>
  </si>
  <si>
    <t>1ac5fb6c-b77e-423c-ac65-3be5800af6db</t>
  </si>
  <si>
    <t>7b2a3bac-2f2a-411e-873d-843b514610da</t>
  </si>
  <si>
    <t>02c3d3cf-9f38-41cf-9f20-9941532caa89</t>
  </si>
  <si>
    <t>994.67</t>
  </si>
  <si>
    <t>81d7775a-346d-481e-9b7a-ef6680e061e4</t>
  </si>
  <si>
    <t>9543.85</t>
  </si>
  <si>
    <t>3675b99d-99ea-4df9-83d5-4de646dfe98b</t>
  </si>
  <si>
    <t>2024-04-11</t>
  </si>
  <si>
    <t>c5fd927f-1920-44e0-83b8-d9c2b8c2ca06</t>
  </si>
  <si>
    <t>2024-04-12</t>
  </si>
  <si>
    <t>65710579-89e7-42e7-9ee6-cc788c48d1dc</t>
  </si>
  <si>
    <t>2024-04-14</t>
  </si>
  <si>
    <t>0d5767a5-c107-462c-8b42-83b890d1ce43</t>
  </si>
  <si>
    <t>109</t>
  </si>
  <si>
    <t>8bbba6a9-3a90-4169-9e0a-a934374ca961</t>
  </si>
  <si>
    <t>2024-04-15</t>
  </si>
  <si>
    <t>7199cbf3-fbc3-41b7-bc58-c1fcd2650f1f</t>
  </si>
  <si>
    <t>71.3</t>
  </si>
  <si>
    <t>1b9e5ab6-d698-4410-bc6e-e047221adc4f</t>
  </si>
  <si>
    <t>2024-04-16</t>
  </si>
  <si>
    <t>1065</t>
  </si>
  <si>
    <t>ed2c6f95-62f8-4e39-a571-b26014edcc3c</t>
  </si>
  <si>
    <t>2684e8c3-8613-4742-ad9d-bc5f2add367e</t>
  </si>
  <si>
    <t>2024-04-17</t>
  </si>
  <si>
    <t>8fc4d6b7-26f3-4921-94d3-80bad21177be</t>
  </si>
  <si>
    <t>2024-04-18</t>
  </si>
  <si>
    <t>54.1</t>
  </si>
  <si>
    <t>b51a4dfa-8881-41e7-b3d9-9a2710ac3370</t>
  </si>
  <si>
    <t>296.5</t>
  </si>
  <si>
    <t>641f71f8-ed21-4446-9aab-953608e009bf</t>
  </si>
  <si>
    <t>fe35cd62-4982-4561-87e0-53656f6b54ca</t>
  </si>
  <si>
    <t>681347f1-4c5a-4d36-94c9-c50552568471</t>
  </si>
  <si>
    <t>2024-04-19</t>
  </si>
  <si>
    <t>556.55</t>
  </si>
  <si>
    <t>c8df6ed1-0efe-4a3a-bb21-0500e0b45af0</t>
  </si>
  <si>
    <t>2024-04-21</t>
  </si>
  <si>
    <t>240.48</t>
  </si>
  <si>
    <t>87719683-826b-4fe8-9d80-8b3590477988</t>
  </si>
  <si>
    <t>96514311-bd3c-43c1-b7a0-3391af5a6b72</t>
  </si>
  <si>
    <t>48328af4-d945-457e-a4f5-6c66711a9b8e</t>
  </si>
  <si>
    <t>2113024b-4ea8-4151-9bce-45f698b69e11</t>
  </si>
  <si>
    <t>2024-04-22</t>
  </si>
  <si>
    <t>379ff0be-4836-47fb-81f9-ec184c69b79d</t>
  </si>
  <si>
    <t>3f49b76d-bd8f-4dbf-b9e0-99b388f09149</t>
  </si>
  <si>
    <t>67dd4f50-6b1d-418a-81c4-20084bc79ebc</t>
  </si>
  <si>
    <t>2024-04-24</t>
  </si>
  <si>
    <t>0602b0b1-7ffb-4d49-bae3-fa7182f8ddc3</t>
  </si>
  <si>
    <t>b6cca5c8-723c-45fe-8cba-54d4d46f0e0b</t>
  </si>
  <si>
    <t>620bae4d-b09e-4c92-af6e-a21052c52739</t>
  </si>
  <si>
    <t>2024-04-25</t>
  </si>
  <si>
    <t>06580601-4a77-40e5-aa8f-7cbfe639f8c9</t>
  </si>
  <si>
    <t>153</t>
  </si>
  <si>
    <t>38e5dec5-4faa-4471-b61c-4c2ddbd8a098</t>
  </si>
  <si>
    <t>abd0272d-c898-4b98-9543-62f60c068990</t>
  </si>
  <si>
    <t>7b027d12-47f7-41c9-9596-5f92002bc5b6</t>
  </si>
  <si>
    <t>2024-04-26</t>
  </si>
  <si>
    <t>078f5c1f-a11a-4c4c-9212-a10ab913b5d4</t>
  </si>
  <si>
    <t>2024-04-28</t>
  </si>
  <si>
    <t>9bf89c2d-f27a-4ae0-b189-719222b5e5de</t>
  </si>
  <si>
    <t>2024-04-29</t>
  </si>
  <si>
    <t>739bf94c-3ef4-46ce-b5c9-05f248f1d6f1</t>
  </si>
  <si>
    <t>641a9026-cea5-4ad6-91e8-aedbcfcacd21</t>
  </si>
  <si>
    <t>2024-04-30</t>
  </si>
  <si>
    <t>c7834899-b60d-4eba-9143-22dd99a0d97f</t>
  </si>
  <si>
    <t>bf571d00-31bb-4757-aedc-54d9e5df4b48</t>
  </si>
  <si>
    <t>7866686e-86c7-4746-9025-74c8c028c40b</t>
  </si>
  <si>
    <t>2041.07</t>
  </si>
  <si>
    <t>ff0f402b-3d4c-417f-b24b-ec247ed0af9d</t>
  </si>
  <si>
    <t>1894</t>
  </si>
  <si>
    <t>c428aebc-7214-4a43-bf66-e4db3502adc5</t>
  </si>
  <si>
    <t>2024-05-01</t>
  </si>
  <si>
    <t>8686.11</t>
  </si>
  <si>
    <t>f5fd261f-aae5-4361-af5e-4939f836bf27</t>
  </si>
  <si>
    <t>2493.98</t>
  </si>
  <si>
    <t>d7c4bdf6-8a18-4082-ac17-3cc6acc73b7e</t>
  </si>
  <si>
    <t>15563.77</t>
  </si>
  <si>
    <t>2d402a56-7df9-4129-b282-86b233df8fbf</t>
  </si>
  <si>
    <t>1746</t>
  </si>
  <si>
    <t>9cb2855f-92ea-478e-bcde-2865dac749da</t>
  </si>
  <si>
    <t>939.58</t>
  </si>
  <si>
    <t>751d55f8-982e-414a-99ed-61da13b41af2</t>
  </si>
  <si>
    <t>163.2</t>
  </si>
  <si>
    <t>ce0b1fc4-4ca3-4aa0-bb7c-47a18df31d64</t>
  </si>
  <si>
    <t>6c2d3a6c-d701-45ba-9a99-c212ed3a4ccd</t>
  </si>
  <si>
    <t>f62eb607-3268-4b1e-b2bb-5ba09d797be9</t>
  </si>
  <si>
    <t>2024-05-02</t>
  </si>
  <si>
    <t>6221a079-1a5d-4a2c-97a2-8f08b1bf2f59</t>
  </si>
  <si>
    <t>6e47ff6f-696d-4e01-8474-165eed703aee</t>
  </si>
  <si>
    <t>2300</t>
  </si>
  <si>
    <t>4301a6ec-7415-497a-8a32-05a62de343ef</t>
  </si>
  <si>
    <t>2024-05-03</t>
  </si>
  <si>
    <t>d1d7d988-b056-4bd2-9a02-36f7cb05833f</t>
  </si>
  <si>
    <t>c92f2d8e-caf1-4947-a581-55b182a0e397</t>
  </si>
  <si>
    <t>2024-05-04</t>
  </si>
  <si>
    <t>1861.37</t>
  </si>
  <si>
    <t>3461d458-bc7f-4296-b5ef-78a64b12cc5d</t>
  </si>
  <si>
    <t>2024-05-05</t>
  </si>
  <si>
    <t>587b6de5-0b72-4b71-9313-28e00ba73f93</t>
  </si>
  <si>
    <t>2024-05-06</t>
  </si>
  <si>
    <t>4b4226c6-a929-453c-86fc-40660a5d18e8</t>
  </si>
  <si>
    <t>2024-05-07</t>
  </si>
  <si>
    <t>1300</t>
  </si>
  <si>
    <t>a5f3cf10-0758-43d8-a782-35c4861fca6c</t>
  </si>
  <si>
    <t>2024-05-08</t>
  </si>
  <si>
    <t>294.13</t>
  </si>
  <si>
    <t>e6ac8ac9-326e-4d21-9631-d3ae853967e5</t>
  </si>
  <si>
    <t>2024-05-09</t>
  </si>
  <si>
    <t>94b83b84-2e30-46e7-b470-7967cef47559</t>
  </si>
  <si>
    <t>81ebedf8-e2fe-4970-90e5-59a37f1ca558</t>
  </si>
  <si>
    <t>2024-05-10</t>
  </si>
  <si>
    <t>7014.89</t>
  </si>
  <si>
    <t>c2c7fe01-479e-42db-8f29-15ebab6a0562</t>
  </si>
  <si>
    <t>2183419d-1719-45a1-a268-5a33e4d4ac15</t>
  </si>
  <si>
    <t>bf8d9404-0412-4643-9998-45af7448ec63</t>
  </si>
  <si>
    <t>f8900ad7-3670-4244-981c-d67796aba9e6</t>
  </si>
  <si>
    <t>f8ba7800-d512-4027-8d97-bba295f36f15</t>
  </si>
  <si>
    <t>403.12</t>
  </si>
  <si>
    <t>4db1fd4f-d84b-4eca-b1e3-8123727d4c1f</t>
  </si>
  <si>
    <t>4db37562-9375-45d0-bc1a-65c043b55292</t>
  </si>
  <si>
    <t>679696e1-5297-403d-a433-10bbc95cfd3d</t>
  </si>
  <si>
    <t>7360ad2e-6bb6-4b4d-98c6-1003eadc7c28</t>
  </si>
  <si>
    <t>1f07fcde-3f97-4aaa-bd10-9970d989910c</t>
  </si>
  <si>
    <t>deb2e722-e51d-4707-99dd-4601c92cb9a9</t>
  </si>
  <si>
    <t>15085.37</t>
  </si>
  <si>
    <t>b060cde8-3bfc-4684-9aa9-f45b2572bb06</t>
  </si>
  <si>
    <t>1234.96</t>
  </si>
  <si>
    <t>98e7d854-5264-45bb-8096-b590aa749778</t>
  </si>
  <si>
    <t>2024-05-11</t>
  </si>
  <si>
    <t>ac2844d1-57bb-4dd6-bb00-7929db62dde1</t>
  </si>
  <si>
    <t>2024-05-12</t>
  </si>
  <si>
    <t>dfd66960-cd30-419f-bc04-ee70ada65ee4</t>
  </si>
  <si>
    <t>2024-05-13</t>
  </si>
  <si>
    <t>cd9a0556-822b-4e89-b348-81d502c25202</t>
  </si>
  <si>
    <t>3ce52a52-c348-41d1-96bb-d16c2480cb27</t>
  </si>
  <si>
    <t>a3fd9baa-44dd-40e4-ba14-7503066e8e84</t>
  </si>
  <si>
    <t>8085e0e0-fe01-4485-85d9-93de9c93c0d7</t>
  </si>
  <si>
    <t>97e9f095-f3fe-4318-b4a5-9147ccd42308</t>
  </si>
  <si>
    <t>4fb2fbeb-88c0-4beb-b386-f0bfcfbec0f4</t>
  </si>
  <si>
    <t>2024-05-15</t>
  </si>
  <si>
    <t>ba3c5fbd-f0e9-4c37-9199-98b546c3f75a</t>
  </si>
  <si>
    <t>634a7f67-bcf7-42a2-aded-25419d2dcf3e</t>
  </si>
  <si>
    <t>2024-05-16</t>
  </si>
  <si>
    <t>d3e88418-faeb-4f59-97d7-390d7a2f4693</t>
  </si>
  <si>
    <t>52.99</t>
  </si>
  <si>
    <t>6bdb6618-75f3-47b5-a14b-9fdd439305f1</t>
  </si>
  <si>
    <t>87</t>
  </si>
  <si>
    <t>647f511f-a952-4e19-a915-323ab65f83e2</t>
  </si>
  <si>
    <t>2024-05-17</t>
  </si>
  <si>
    <t>7280a15f-9d8a-44e7-ab15-e84f65bdafee</t>
  </si>
  <si>
    <t>2024-05-18</t>
  </si>
  <si>
    <t>44e794cf-d3e4-45ea-a4ab-881d4f44f6dd</t>
  </si>
  <si>
    <t>2024-05-19</t>
  </si>
  <si>
    <t>bba4baa8-8f35-4ae6-a578-819cc335d60d</t>
  </si>
  <si>
    <t>c5c4a826-25da-405f-88c7-c5eb6ad85495</t>
  </si>
  <si>
    <t>2024-05-20</t>
  </si>
  <si>
    <t>9a9ee412-465a-4825-82eb-882e11276e94</t>
  </si>
  <si>
    <t>2024-05-21</t>
  </si>
  <si>
    <t>de440c5a-5e13-44ce-9dfc-1de05b6e6b33</t>
  </si>
  <si>
    <t>111.84</t>
  </si>
  <si>
    <t>b4be8c55-0ec0-4575-bb4e-58642aca2ab4</t>
  </si>
  <si>
    <t>132.47</t>
  </si>
  <si>
    <t>4d96d3ed-fd74-450c-8a29-b16245eeb4d0</t>
  </si>
  <si>
    <t>2024-05-22</t>
  </si>
  <si>
    <t>3200</t>
  </si>
  <si>
    <t>fe2cf513-0ca1-47ac-9924-3e8925565338</t>
  </si>
  <si>
    <t>b1e9539f-b542-4878-9fdf-b4db522ef331</t>
  </si>
  <si>
    <t>750</t>
  </si>
  <si>
    <t>0c52378a-f9b1-403e-be5a-d5f9bc164f1a</t>
  </si>
  <si>
    <t>2024-05-23</t>
  </si>
  <si>
    <t>c05a0691-7bcd-483e-acfd-bc177b8d6129</t>
  </si>
  <si>
    <t>2024-05-24</t>
  </si>
  <si>
    <t>ca665cd6-454d-400b-b7df-b3210c44df3d</t>
  </si>
  <si>
    <t>2024-05-25</t>
  </si>
  <si>
    <t>13ecea01-d3c5-4472-98eb-2a1804da7122</t>
  </si>
  <si>
    <t>2024-05-26</t>
  </si>
  <si>
    <t>5c2d59dd-015c-4afc-a6e0-d8e82927967d</t>
  </si>
  <si>
    <t>TRANSF. DEA</t>
  </si>
  <si>
    <t>260</t>
  </si>
  <si>
    <t>f55dc9fe-0e85-44ca-a32b-7b1bd435de8c</t>
  </si>
  <si>
    <t>2024-05-27</t>
  </si>
  <si>
    <t>52.38</t>
  </si>
  <si>
    <t>c3f2e89d-8395-4ae6-97ff-62dd0411619d</t>
  </si>
  <si>
    <t>68.38</t>
  </si>
  <si>
    <t>f807df07-562e-4d6e-93b4-87fbfaa30961</t>
  </si>
  <si>
    <t>5c4ea70a-c94e-454b-b823-7c8834b11203</t>
  </si>
  <si>
    <t>25ff49d8-1b83-449f-9e15-b24ee5d17400</t>
  </si>
  <si>
    <t>2024-05-28</t>
  </si>
  <si>
    <t>047e3e85-c905-4ee6-aec7-452efbc15c53</t>
  </si>
  <si>
    <t>7dc78d09-ca79-4a07-a995-f19a36f5d3d7</t>
  </si>
  <si>
    <t>2024-05-29</t>
  </si>
  <si>
    <t>6449ca5b-b2e8-4634-94fd-112f92472dce</t>
  </si>
  <si>
    <t>8bcacc8a-b247-4840-baa1-11e00d0ed326</t>
  </si>
  <si>
    <t>fab05696-5d89-408f-bd59-9bf45381637b</t>
  </si>
  <si>
    <t>2024-05-30</t>
  </si>
  <si>
    <t>d7eb18c1-8ef4-44d2-8636-40cbba26cac2</t>
  </si>
  <si>
    <t>f5b9e83f-ad1a-47f8-a0cd-a953e83f00a3</t>
  </si>
  <si>
    <t>400.74</t>
  </si>
  <si>
    <t>6ed53c50-aeb2-4668-9ebf-2108018d82b6</t>
  </si>
  <si>
    <t>7e149be5-0f6a-4f0f-b55d-f721223f5dca</t>
  </si>
  <si>
    <t>2024-05-31</t>
  </si>
  <si>
    <t>2897a54f-8fd0-48c7-b2b3-357286579612</t>
  </si>
  <si>
    <t>b2db7f60-2812-4a05-b28c-849cd8d6ca77</t>
  </si>
  <si>
    <t>2024-06-01</t>
  </si>
  <si>
    <t>9423.73</t>
  </si>
  <si>
    <t>f7cc658d-7ebd-4fa4-812a-eb7ee94757d4</t>
  </si>
  <si>
    <t>29218.83</t>
  </si>
  <si>
    <t>949fbc05-8f4a-4bdd-86ca-4fcd7e9e7c4c</t>
  </si>
  <si>
    <t>5c86e60e-d208-4239-95de-2e6e445fef4e</t>
  </si>
  <si>
    <t>160.03</t>
  </si>
  <si>
    <t>413cd498-f75b-4c4c-81a7-74d64fb31d92</t>
  </si>
  <si>
    <t>c9e3b71a-1714-4dbe-922c-03c3e2781e6a</t>
  </si>
  <si>
    <t>2024-06-03</t>
  </si>
  <si>
    <t>4f92432d-ef46-42b5-b07b-705cc6f7609d</t>
  </si>
  <si>
    <t>af948b7c-4f72-4df7-8fa0-24573060eebe</t>
  </si>
  <si>
    <t>62a8d330-0876-4a6a-9314-7f545b3ff658</t>
  </si>
  <si>
    <t>b33452dd-54b5-4bbf-84e6-b537779a6953</t>
  </si>
  <si>
    <t>900</t>
  </si>
  <si>
    <t>304ba97c-ec60-4f80-af4a-55044dcd2b7d</t>
  </si>
  <si>
    <t>2024-06-04</t>
  </si>
  <si>
    <t>1859.64</t>
  </si>
  <si>
    <t>b2502769-dc59-4d62-95db-cb192056c412</t>
  </si>
  <si>
    <t>2024-06-05</t>
  </si>
  <si>
    <t>03e1389a-99e7-4890-98ac-bb70b1f86f71</t>
  </si>
  <si>
    <t>7efddf11-92a8-4d72-bed5-b9edbf5f3c4b</t>
  </si>
  <si>
    <t>12b7a7de-6a94-4ff9-8666-0408c8b6fd9f</t>
  </si>
  <si>
    <t>b029821e-043c-426a-9975-511e7adaf8a9</t>
  </si>
  <si>
    <t>147.9</t>
  </si>
  <si>
    <t>bf735c2f-a3e8-4d78-a9f6-a3ce62597f4c</t>
  </si>
  <si>
    <t>5a7b70f5-c971-454c-a226-adebc48911b4</t>
  </si>
  <si>
    <t>d1c15f43-3a38-4751-a506-c66439b1a5f4</t>
  </si>
  <si>
    <t>405</t>
  </si>
  <si>
    <t>702e1eba-96ef-4719-af1b-4298576ef8c2</t>
  </si>
  <si>
    <t>63ce38ff-ad39-4267-b09a-d6079c2d92fc</t>
  </si>
  <si>
    <t>2024-06-06</t>
  </si>
  <si>
    <t>3795</t>
  </si>
  <si>
    <t>77f23723-5a42-4b85-9beb-0f6a1cbba0e6</t>
  </si>
  <si>
    <t>e64ee958-72ba-4f7e-80e1-d93ff4ba6cbc</t>
  </si>
  <si>
    <t>56005c30-07c1-460a-b4c0-bdac0b2deb0a</t>
  </si>
  <si>
    <t>2024-06-07</t>
  </si>
  <si>
    <t>5f8bd51b-d761-4554-8f93-c58eaaa443a8</t>
  </si>
  <si>
    <t>0771e2eb-aad5-4ec4-bb34-68049baaa848</t>
  </si>
  <si>
    <t>2024-06-08</t>
  </si>
  <si>
    <t>7385e4d0-548d-4248-9da0-fc4f51d49f35</t>
  </si>
  <si>
    <t>2024-06-10</t>
  </si>
  <si>
    <t>7775.78</t>
  </si>
  <si>
    <t>79be6128-2aaf-4075-aeac-cde8b7300ee2</t>
  </si>
  <si>
    <t>f5822b97-f526-429f-b972-da745762d674</t>
  </si>
  <si>
    <t>844a3f9e-e4b2-41d0-92e9-3740a784a80e</t>
  </si>
  <si>
    <t>49e61982-3b2b-4ea7-a614-7d2969e7b039</t>
  </si>
  <si>
    <t>25b6bc96-17ca-4cb2-8819-ce4301171038</t>
  </si>
  <si>
    <t>337.28</t>
  </si>
  <si>
    <t>fb86c0cd-7c4c-4284-9824-57d422852215</t>
  </si>
  <si>
    <t>e4e6ad6c-631a-4181-b439-56d03f177292</t>
  </si>
  <si>
    <t>14025.59</t>
  </si>
  <si>
    <t>c0b945a4-2c30-470c-b0a1-c8271f6f29c0</t>
  </si>
  <si>
    <t>4ec0cd19-6932-4809-8d75-7c2bcc0178ab</t>
  </si>
  <si>
    <t>1bf78f48-6450-4b54-853e-8cb7db121031</t>
  </si>
  <si>
    <t>313.42</t>
  </si>
  <si>
    <t>4241339f-7001-461d-9008-f94c90e2210a</t>
  </si>
  <si>
    <t>2024-06-12</t>
  </si>
  <si>
    <t>2c074599-fba5-46bc-a57a-935b6dcba632</t>
  </si>
  <si>
    <t>102cc2ec-a11d-4f4a-95d7-1257b22fd0e5</t>
  </si>
  <si>
    <t>179</t>
  </si>
  <si>
    <t>d3ccf9e3-b2a3-4454-94f2-9cd6fe1cbc08</t>
  </si>
  <si>
    <t>1312</t>
  </si>
  <si>
    <t>094d4a89-16df-43ca-93fa-4ca688f3bd6f</t>
  </si>
  <si>
    <t>2024-06-14</t>
  </si>
  <si>
    <t>7b86dea1-84a1-4a7a-a787-18cd02652971</t>
  </si>
  <si>
    <t>199</t>
  </si>
  <si>
    <t>f4d8019b-45db-4c4b-be9c-13b4d2746508</t>
  </si>
  <si>
    <t>95aa3158-0f9f-4814-87d7-a365232fa92a</t>
  </si>
  <si>
    <t>04354641-12eb-465d-bf45-0186084f73f8</t>
  </si>
  <si>
    <t>f74d145a-c5f0-4971-bc08-b04e342b1911</t>
  </si>
  <si>
    <t>2024-06-17</t>
  </si>
  <si>
    <t>e34a0bba-c697-4f09-9223-349b927d7ec7</t>
  </si>
  <si>
    <t>2b620655-8176-4857-8a38-4f558e821240</t>
  </si>
  <si>
    <t>2024-06-18</t>
  </si>
  <si>
    <t>49c9a411-1701-45ad-aac5-5db9547d7c69</t>
  </si>
  <si>
    <t>5d491c58-eaf3-4673-b04b-3f64d4fdc635</t>
  </si>
  <si>
    <t>2830b387-a7ab-4c00-a24c-1c1c138b759b</t>
  </si>
  <si>
    <t>fa98bb16-4450-4add-ad4a-cd5e5f7c0d00</t>
  </si>
  <si>
    <t>2024-06-19</t>
  </si>
  <si>
    <t>5ec92e8d-6d03-4e87-a503-6e5f99289361</t>
  </si>
  <si>
    <t>b37b229b-dbe2-430c-aada-9cdc56f4b1bb</t>
  </si>
  <si>
    <t>2024-06-21</t>
  </si>
  <si>
    <t>a9e5b0f3-6a62-44f2-a239-2e6327fd1162</t>
  </si>
  <si>
    <t>56162ebb-d18b-4fc2-926d-6dcb36fd2bf0</t>
  </si>
  <si>
    <t>2024-06-23</t>
  </si>
  <si>
    <t>1d4bc695-6f1f-4dc9-97d5-14d67dece88d</t>
  </si>
  <si>
    <t>126</t>
  </si>
  <si>
    <t>c9609be7-30b0-47b9-b4a8-77577e2e9256</t>
  </si>
  <si>
    <t>2024-06-24</t>
  </si>
  <si>
    <t>4e1c5cfa-3931-4190-b773-3f6dcc068bcc</t>
  </si>
  <si>
    <t>d7234ee4-2ada-43a2-a455-98a4f2056164</t>
  </si>
  <si>
    <t>9cbf810b-05f1-4592-9be6-2b21852ffe7f</t>
  </si>
  <si>
    <t>563.43</t>
  </si>
  <si>
    <t>d09ef365-e869-44b0-82ec-912b68de26bf</t>
  </si>
  <si>
    <t>f5538aaa-4259-4e07-971c-a84a0adefeb3</t>
  </si>
  <si>
    <t>3126.5</t>
  </si>
  <si>
    <t>94e5d4e1-e2bc-476f-aa32-64e6704b37f3</t>
  </si>
  <si>
    <t>2024-06-25</t>
  </si>
  <si>
    <t>e4ab3a26-9d4f-4da2-9bfb-f83ef9983124</t>
  </si>
  <si>
    <t>2024-06-27</t>
  </si>
  <si>
    <t>238.8</t>
  </si>
  <si>
    <t>922ac42d-173e-47c1-9190-d89000dc54c4</t>
  </si>
  <si>
    <t>2024-06-28</t>
  </si>
  <si>
    <t>e5ee70a7-c0b0-48c4-bfc7-fb31c3fe2eaf</t>
  </si>
  <si>
    <t>2024-06-30</t>
  </si>
  <si>
    <t>d5f5a711-ca07-4e0e-9955-90e1e1513c3c</t>
  </si>
  <si>
    <t>fe4561c7-a8f9-4f81-b10d-a7403ef17a6c</t>
  </si>
  <si>
    <t>ca516e41-9901-446b-bab4-8aab15a1cb6e</t>
  </si>
  <si>
    <t>-973.24</t>
  </si>
  <si>
    <t>Importado da planilha legada (linha 82) [LEGADO:SKIPPED]</t>
  </si>
  <si>
    <t>31a9354c-cde2-4ac6-9e1b-9792366baca5</t>
  </si>
  <si>
    <t>2024-07-01</t>
  </si>
  <si>
    <t>16355.47</t>
  </si>
  <si>
    <t>60865095-ed05-40a2-819c-1d0906c520ef</t>
  </si>
  <si>
    <t>44976fee-55c2-4529-89f8-70117ddfb4c0</t>
  </si>
  <si>
    <t>a8960a7f-7e2b-45c3-92d5-1930662f5f71</t>
  </si>
  <si>
    <t>776a7596-5db8-49be-9913-5bb01cd97e30</t>
  </si>
  <si>
    <t>937ea308-c31f-4e31-8a83-57248eb0d8e5</t>
  </si>
  <si>
    <t>PIX BANHO KYRA</t>
  </si>
  <si>
    <t>3787e70f-c324-43bd-b10d-561972bb662f</t>
  </si>
  <si>
    <t>c7a803a1-76e9-4617-9358-82f0306d86f7</t>
  </si>
  <si>
    <t>a1829595-6722-4d25-b6dc-8b703142e505</t>
  </si>
  <si>
    <t>305.5</t>
  </si>
  <si>
    <t>ff948ee7-3f4c-488c-98f4-0ad6dd77fafe</t>
  </si>
  <si>
    <t>79.42</t>
  </si>
  <si>
    <t>56f37f4e-0048-46d4-9391-eb1c758d8c35</t>
  </si>
  <si>
    <t>882c5dad-a1c5-42f5-8a37-323507bdb611</t>
  </si>
  <si>
    <t>8c2f813f-d5d1-471f-80dc-bc51d0d4ad2e</t>
  </si>
  <si>
    <t>477acda3-f768-4b57-bc9e-e50a25d11f34</t>
  </si>
  <si>
    <t>95fc70e4-7900-4a26-ad96-477c80d3a41e</t>
  </si>
  <si>
    <t>a02e4915-8877-4c99-9212-86356c142326</t>
  </si>
  <si>
    <t>5a825aff-5784-4fe5-a0a9-43f567e728ce</t>
  </si>
  <si>
    <t>2024-07-02</t>
  </si>
  <si>
    <t>9.99</t>
  </si>
  <si>
    <t>6168561f-f40f-411e-8327-180a53c97e85</t>
  </si>
  <si>
    <t>ed81ca07-cf8e-428b-8aab-b980dec5b94a</t>
  </si>
  <si>
    <t>09cd6e67-f618-4e9d-939e-5480cbfea0e1</t>
  </si>
  <si>
    <t>2024-07-03</t>
  </si>
  <si>
    <t>1742efd4-e611-462a-9bde-b2c8bdf5a1e3</t>
  </si>
  <si>
    <t>2024-07-04</t>
  </si>
  <si>
    <t>1857.39</t>
  </si>
  <si>
    <t>859bf78f-c6e2-4a45-b4ac-b5d32da6aef2</t>
  </si>
  <si>
    <t>26c2a555-87e5-479e-b8a4-76cfae638bd1</t>
  </si>
  <si>
    <t>783caf65-0f93-4c72-8317-741729df71f6</t>
  </si>
  <si>
    <t>2024-07-05</t>
  </si>
  <si>
    <t>0a78f210-4f1c-4eac-bb60-f530b42fd39f</t>
  </si>
  <si>
    <t>6630.05</t>
  </si>
  <si>
    <t>80d09b1f-2972-4629-8bd5-cdc754ca9568</t>
  </si>
  <si>
    <t>6099.3</t>
  </si>
  <si>
    <t>8ef81d49-d131-4018-a57f-0dd0c234e4cc</t>
  </si>
  <si>
    <t>664a90c0-c2c1-462d-977e-a6a6b2c888df</t>
  </si>
  <si>
    <t>820.65</t>
  </si>
  <si>
    <t>cf595f2a-a3f0-401c-a10c-7c7f601361c1</t>
  </si>
  <si>
    <t>2024-07-07</t>
  </si>
  <si>
    <t>6f053bfe-1b3b-4159-b581-237d5af47b39</t>
  </si>
  <si>
    <t>834dc85e-9d80-4d0b-9331-ff1ecdbdabfc</t>
  </si>
  <si>
    <t>b0fb68d5-1f1f-4675-89ec-d860bdeef3fa</t>
  </si>
  <si>
    <t>2024-07-08</t>
  </si>
  <si>
    <t>190</t>
  </si>
  <si>
    <t>487809ec-9d38-4058-a217-2bfeec9cbed0</t>
  </si>
  <si>
    <t>9f3b8ee3-56a4-449b-a04a-1e8d8f4a8dd0</t>
  </si>
  <si>
    <t>2024-07-09</t>
  </si>
  <si>
    <t>142</t>
  </si>
  <si>
    <t>2f3e76c4-0230-45d6-8d6f-1cb508b95f8f</t>
  </si>
  <si>
    <t>3cc5a5b6-8ce3-4746-9631-bd5d9c1a3509</t>
  </si>
  <si>
    <t>fd535af8-d7de-46e5-812d-05557ce368c9</t>
  </si>
  <si>
    <t>4e0fd062-e5ad-4269-9fee-0c4e7c4d4363</t>
  </si>
  <si>
    <t>2024-07-10</t>
  </si>
  <si>
    <t>6968.25</t>
  </si>
  <si>
    <t>2f2a559c-9c70-4157-991b-a7a5d61bba2c</t>
  </si>
  <si>
    <t>5c89dd9a-b00d-46b6-bf61-0d36e42a70ba</t>
  </si>
  <si>
    <t>29eda133-0335-49d3-a3fb-6397372c0448</t>
  </si>
  <si>
    <t>06ebd77e-64bd-4b2f-9547-487855c41115</t>
  </si>
  <si>
    <t>9b7e08a3-c943-492c-885d-a0628735af41</t>
  </si>
  <si>
    <t>238.96</t>
  </si>
  <si>
    <t>2aef0367-a35d-4a00-ade3-9276e3dacf6d</t>
  </si>
  <si>
    <t>e3d45d16-7a8d-4fb5-9ee2-3aad13ea7902</t>
  </si>
  <si>
    <t>315.34</t>
  </si>
  <si>
    <t>8fecbb52-2c8f-4592-8ba1-7c18716cc30d</t>
  </si>
  <si>
    <t>4c099dcc-d170-48bb-8d61-866b993368e7</t>
  </si>
  <si>
    <t>142dc462-3d88-4954-82c2-77edd35d5e41</t>
  </si>
  <si>
    <t>2024-07-11</t>
  </si>
  <si>
    <t>1700</t>
  </si>
  <si>
    <t>3efc17f1-6ee5-466d-834d-1fd11fa1ba0e</t>
  </si>
  <si>
    <t>1029</t>
  </si>
  <si>
    <t>9e7e6c69-b90c-4181-87ee-9308ee61eb08</t>
  </si>
  <si>
    <t>2024-07-12</t>
  </si>
  <si>
    <t>54a6acb7-5ffd-4c7e-baad-20a32d7ef49a</t>
  </si>
  <si>
    <t>b911e7e2-978e-4d8c-b29d-542143107b96</t>
  </si>
  <si>
    <t>2024-07-14</t>
  </si>
  <si>
    <t>d0a80f33-2ea7-41f8-8929-480b98d07935</t>
  </si>
  <si>
    <t>2024-07-15</t>
  </si>
  <si>
    <t>ce23b103-88ed-418b-8032-5b031bef1238</t>
  </si>
  <si>
    <t>ef589589-4278-4d88-8c2c-78d4b95822a0</t>
  </si>
  <si>
    <t>49a26ece-23d6-4ed6-8c01-79df2129b17e</t>
  </si>
  <si>
    <t>6f14241b-3e1f-4e50-9599-b2ba23204870</t>
  </si>
  <si>
    <t>8521660e-8a4b-40c9-8da8-171598f829e5</t>
  </si>
  <si>
    <t>1c62b722-98f7-4dc6-af66-09d5efe52dea</t>
  </si>
  <si>
    <t>114.8</t>
  </si>
  <si>
    <t>c8bebe34-b054-4a87-af43-bed2ff6cb470</t>
  </si>
  <si>
    <t>2024-07-16</t>
  </si>
  <si>
    <t>aee47d70-0a71-457e-bbbe-6aa04ec84b42</t>
  </si>
  <si>
    <t>2024-07-18</t>
  </si>
  <si>
    <t>1551.51</t>
  </si>
  <si>
    <t>98ef7806-1d4c-43b6-911e-d1425ff226ac</t>
  </si>
  <si>
    <t>3f6e5ada-466c-4b45-a609-ecf4f44aa7a4</t>
  </si>
  <si>
    <t>02f427e2-6a4e-4166-943c-0a2d1b8d81bc</t>
  </si>
  <si>
    <t>a43d935f-e2df-4e6a-8de2-b272050e77ef</t>
  </si>
  <si>
    <t>9faef5da-0400-452f-a1db-fef475debf21</t>
  </si>
  <si>
    <t>2024-07-19</t>
  </si>
  <si>
    <t>34a2edb2-6cc7-44ef-8e1e-63452120a899</t>
  </si>
  <si>
    <t>2024-07-22</t>
  </si>
  <si>
    <t>4e13a7bf-fbc7-44bc-9da3-f37a5543081b</t>
  </si>
  <si>
    <t>560c3382-0a95-41f3-89d3-3b901b553b44</t>
  </si>
  <si>
    <t>e61238fb-8fdb-4872-8ee8-5ace0603e246</t>
  </si>
  <si>
    <t>2024-07-24</t>
  </si>
  <si>
    <t>8bff7b29-b85a-4955-8ad5-f3c5d136efb4</t>
  </si>
  <si>
    <t>2024-07-25</t>
  </si>
  <si>
    <t>16134.19</t>
  </si>
  <si>
    <t>2afe646b-ea27-46f8-9175-0fb6c8fc2b8a</t>
  </si>
  <si>
    <t>368</t>
  </si>
  <si>
    <t>d06ad501-cfb8-4751-a2e8-a77902c5d715</t>
  </si>
  <si>
    <t>2024-07-26</t>
  </si>
  <si>
    <t>4b874a96-303a-48e2-a843-4ab852fb04db</t>
  </si>
  <si>
    <t>2024-07-29</t>
  </si>
  <si>
    <t>651ed454-cf81-48d6-ae30-f35631c03dc6</t>
  </si>
  <si>
    <t>9ceca935-b866-4d9b-99a6-b8460d779784</t>
  </si>
  <si>
    <t>2024-07-30</t>
  </si>
  <si>
    <t>6a1932fb-5ff3-400d-a6ec-fee200e54d9e</t>
  </si>
  <si>
    <t>240f87d0-0808-462e-8b8e-00a532cd4eda</t>
  </si>
  <si>
    <t>2c27a570-6e8a-4650-9284-17f1dd3959f1</t>
  </si>
  <si>
    <t>2103.32</t>
  </si>
  <si>
    <t>15edaf23-7360-4b9b-9f2c-2d871c03689e</t>
  </si>
  <si>
    <t>2024-07-31</t>
  </si>
  <si>
    <t>cec5bcc6-e2bb-4cfe-bb9a-b432e1aa029e</t>
  </si>
  <si>
    <t>2024-08-01</t>
  </si>
  <si>
    <t>10628.38</t>
  </si>
  <si>
    <t>8c28e5c0-4133-49d6-aea5-6f6e26de8df1</t>
  </si>
  <si>
    <t>13593.31</t>
  </si>
  <si>
    <t>761ac991-c0c7-4c61-8b15-00b259067493</t>
  </si>
  <si>
    <t>256.5</t>
  </si>
  <si>
    <t>4af90bdd-fe15-4402-98cb-7cb9510c9044</t>
  </si>
  <si>
    <t>788.46</t>
  </si>
  <si>
    <t>a47eff50-0230-49d6-8af8-4070795d2eba</t>
  </si>
  <si>
    <t>160.87</t>
  </si>
  <si>
    <t>1e5383da-ef7c-4e63-87e7-7e9c2451102c</t>
  </si>
  <si>
    <t>340.24</t>
  </si>
  <si>
    <t>a5b9387b-e96b-4d06-9377-e724811ed302</t>
  </si>
  <si>
    <t>2024-08-02</t>
  </si>
  <si>
    <t>3af0b232-43c7-43ee-9671-afa3a43bf16e</t>
  </si>
  <si>
    <t>2024-08-03</t>
  </si>
  <si>
    <t>00e11e74-8171-416c-ac5e-478dab3d276a</t>
  </si>
  <si>
    <t>0df8198f-c240-4e3f-996b-5b3bbc8c6b9f</t>
  </si>
  <si>
    <t>4fadf213-9448-4005-a450-3d8dd60731e1</t>
  </si>
  <si>
    <t>2024-08-04</t>
  </si>
  <si>
    <t>1855.51</t>
  </si>
  <si>
    <t>c406140b-f912-4097-8823-0d9aeb3d0173</t>
  </si>
  <si>
    <t>2024-08-05</t>
  </si>
  <si>
    <t>968fc63e-fa7d-467b-971a-9fb1cb2781ac</t>
  </si>
  <si>
    <t>3c1ac4cb-022c-4f21-a3e9-d74624205499</t>
  </si>
  <si>
    <t>450fb76e-bf25-40c9-8efc-67387cf9ccce</t>
  </si>
  <si>
    <t>f2f697fa-6823-4f9d-9b43-9a2441f771c2</t>
  </si>
  <si>
    <t>d7121e8b-efdc-4222-a4fa-ad8b48aad8b4</t>
  </si>
  <si>
    <t>201.41</t>
  </si>
  <si>
    <t>cba219e5-703f-4e16-8f33-dc0f3f8780a4</t>
  </si>
  <si>
    <t>2024-08-06</t>
  </si>
  <si>
    <t>31933c3f-2aaa-41d8-a3e8-85ca592aedcb</t>
  </si>
  <si>
    <t>fcb7d5a3-2148-4861-b8cf-752e99464362</t>
  </si>
  <si>
    <t>BERMUDA</t>
  </si>
  <si>
    <t>137.28</t>
  </si>
  <si>
    <t>f69b8720-9243-43cd-aa73-1004bd569f7c</t>
  </si>
  <si>
    <t>268.94</t>
  </si>
  <si>
    <t>1b14d192-a365-4048-8d9f-1bc807e953fb</t>
  </si>
  <si>
    <t>2024-08-07</t>
  </si>
  <si>
    <t>396.48</t>
  </si>
  <si>
    <t>1b2921b1-14a5-4480-9ebf-44e10358b131</t>
  </si>
  <si>
    <t>104</t>
  </si>
  <si>
    <t>fd4654fc-d90e-4c6f-b603-12f8cbd55634</t>
  </si>
  <si>
    <t>2024-08-08</t>
  </si>
  <si>
    <t>596.18</t>
  </si>
  <si>
    <t>58c63398-6b0f-45d4-9176-618a02b641c2</t>
  </si>
  <si>
    <t>bd29430b-4a30-4aec-841f-e754bddb8918</t>
  </si>
  <si>
    <t>2024-08-09</t>
  </si>
  <si>
    <t>9fbff62a-84af-4e48-a935-b5cd130c956e</t>
  </si>
  <si>
    <t>2024-08-10</t>
  </si>
  <si>
    <t>7109.97</t>
  </si>
  <si>
    <t>56e29c82-f0a9-441c-b828-ff9d10e7fe67</t>
  </si>
  <si>
    <t>128.48</t>
  </si>
  <si>
    <t>8e676417-dec2-4c9d-a1e9-9d3133afd928</t>
  </si>
  <si>
    <t>f3f9545e-1a7c-4621-856a-8c438947df7e</t>
  </si>
  <si>
    <t>4729.5</t>
  </si>
  <si>
    <t>cc3ed615-f1fd-481e-9149-83759dce3164</t>
  </si>
  <si>
    <t>9070.5</t>
  </si>
  <si>
    <t>187cfef2-2c2b-4a50-b4ea-527a298e12ca</t>
  </si>
  <si>
    <t>b55ffd6f-06d7-4d8a-a87b-b508277204c0</t>
  </si>
  <si>
    <t>2024-08-11</t>
  </si>
  <si>
    <t>6952</t>
  </si>
  <si>
    <t>d1e0bf3e-226c-42fb-9f8a-8bf5e086d28c</t>
  </si>
  <si>
    <t>81f26bba-80d8-44aa-a3a1-17cd1df2bc05</t>
  </si>
  <si>
    <t>2024-08-12</t>
  </si>
  <si>
    <t>129.37</t>
  </si>
  <si>
    <t>d4f87211-52a6-4ce5-b7b8-9334cc42cd02</t>
  </si>
  <si>
    <t>2024-08-13</t>
  </si>
  <si>
    <t>405d8a96-d2fc-4880-bcf2-dcc2a65ed1e9</t>
  </si>
  <si>
    <t>2024-08-15</t>
  </si>
  <si>
    <t>e949c9a0-414e-4e61-8a35-038c88d386d1</t>
  </si>
  <si>
    <t>10408351-702b-490c-a051-b6b748fad045</t>
  </si>
  <si>
    <t>2024-08-16</t>
  </si>
  <si>
    <t>b1e302b4-7b11-4657-bc31-00c560311ace</t>
  </si>
  <si>
    <t>2024-08-18</t>
  </si>
  <si>
    <t>6d6099e2-6dd4-4e20-8d4d-42dfb77e8e05</t>
  </si>
  <si>
    <t>2024-08-19</t>
  </si>
  <si>
    <t>b043a594-eef7-4879-a651-d5ad69f0771b</t>
  </si>
  <si>
    <t>2024-08-21</t>
  </si>
  <si>
    <t>473ce4b9-aa17-4a2c-a550-e54d34ba7563</t>
  </si>
  <si>
    <t>738dfcb5-0b53-4180-a038-ec8a1b60fa2e</t>
  </si>
  <si>
    <t>2024-08-23</t>
  </si>
  <si>
    <t>581ae7bc-9e11-4f31-950c-a457af0a5d42</t>
  </si>
  <si>
    <t>2024-08-24</t>
  </si>
  <si>
    <t>414eff89-8270-4d12-8ac3-303d73633ebf</t>
  </si>
  <si>
    <t>2024-08-25</t>
  </si>
  <si>
    <t>08751fd8-8c96-4134-ab63-7d42cfdad686</t>
  </si>
  <si>
    <t>2024-08-26</t>
  </si>
  <si>
    <t>22f11a27-afa6-447b-bc7a-585a7da1e1b9</t>
  </si>
  <si>
    <t>71748398-35fa-425b-80b9-7ffac9d015e2</t>
  </si>
  <si>
    <t>0860f23b-8510-4bb2-a277-40cec19a4826</t>
  </si>
  <si>
    <t>2024-08-27</t>
  </si>
  <si>
    <t>e3c314ff-eac6-41ee-9c05-cfe46e8af6ba</t>
  </si>
  <si>
    <t>2024-08-28</t>
  </si>
  <si>
    <t>f9c24545-ddcb-4d0c-8b65-a5f458d49bc3</t>
  </si>
  <si>
    <t>286.15</t>
  </si>
  <si>
    <t>5e09def6-5788-47fa-bad1-8768d6d46f2a</t>
  </si>
  <si>
    <t>3eb802b6-c2bb-4b6a-b51f-e0f18e62c365</t>
  </si>
  <si>
    <t>dbb5cbf7-a109-4c8b-99f0-fe5549a2d081</t>
  </si>
  <si>
    <t>2024-08-29</t>
  </si>
  <si>
    <t>5140fa1f-21ae-496b-bc06-016fad9c4739</t>
  </si>
  <si>
    <t>b909c12e-610a-479b-96d1-2eb4ed11fc47</t>
  </si>
  <si>
    <t>2024-08-30</t>
  </si>
  <si>
    <t>1a317c23-b976-47a8-b1c4-2280767a08e8</t>
  </si>
  <si>
    <t>ca182718-d6f7-4e1f-913e-f9f9d7c98664</t>
  </si>
  <si>
    <t>2094.13</t>
  </si>
  <si>
    <t>c353e5ab-f1eb-4913-8aa5-52a0401d4ba6</t>
  </si>
  <si>
    <t>6.75</t>
  </si>
  <si>
    <t>e94da8b4-a31d-4222-9e35-7969018d8eb0</t>
  </si>
  <si>
    <t>1cd5c9ca-c672-4daf-b406-a808645cdc8c</t>
  </si>
  <si>
    <t>2024-08-31</t>
  </si>
  <si>
    <t>11.05</t>
  </si>
  <si>
    <t>91aee82f-23b8-43cb-9282-148a278208fd</t>
  </si>
  <si>
    <t>d74a2a3d-48d2-474b-b6a9-6e01d855ea55</t>
  </si>
  <si>
    <t>1774</t>
  </si>
  <si>
    <t>0f7c1430-11fa-49d7-9004-c5058284ddf8</t>
  </si>
  <si>
    <t>2024-09-01</t>
  </si>
  <si>
    <t>10350.2</t>
  </si>
  <si>
    <t>784bc5ef-d027-400d-b1a5-889f64d33f69</t>
  </si>
  <si>
    <t>846.66</t>
  </si>
  <si>
    <t>7b79b9a9-7a05-4cc8-817a-11c1c81dd31f</t>
  </si>
  <si>
    <t>586126af-b48e-4019-a5ad-5708488c2b09</t>
  </si>
  <si>
    <t>506.03</t>
  </si>
  <si>
    <t>3b249272-3172-4434-8106-4ea6120c6e4c</t>
  </si>
  <si>
    <t>2024-09-02</t>
  </si>
  <si>
    <t>a0d2630c-db8f-4683-8c07-d4f0b7169d8a</t>
  </si>
  <si>
    <t>d6790717-dccd-47af-a265-bbc66d58e0bb</t>
  </si>
  <si>
    <t>3b4c9993-6672-4dcd-8960-e9e3a9e15605</t>
  </si>
  <si>
    <t>cc3f5e25-9e74-4aa7-bcc8-d75445a9814c</t>
  </si>
  <si>
    <t>1adf83f6-f934-4b0c-aa57-228e2f196e65</t>
  </si>
  <si>
    <t>87780258-df1f-4d15-bac9-36e8237322b3</t>
  </si>
  <si>
    <t>66cb8a15-649a-42e8-b835-5ba4ac679150</t>
  </si>
  <si>
    <t>e1f0f888-c1a4-4339-a201-0bf8b0dcff9e</t>
  </si>
  <si>
    <t>2024-09-03</t>
  </si>
  <si>
    <t>9357421f-c463-4618-a26a-431d122f1839</t>
  </si>
  <si>
    <t>442f8cb3-33c1-40b5-b020-93d224c1bfe6</t>
  </si>
  <si>
    <t>a81c3a4e-e1bb-40d1-9e2d-9799f8d03282</t>
  </si>
  <si>
    <t>2024-09-04</t>
  </si>
  <si>
    <t>1853.41</t>
  </si>
  <si>
    <t>a506f07b-b867-4006-9063-0828acfceb99</t>
  </si>
  <si>
    <t>2024-09-05</t>
  </si>
  <si>
    <t>2c8c65ba-1ddf-42d8-ae15-43427ae99015</t>
  </si>
  <si>
    <t>5c38dafd-e36e-4e76-af5b-600b883aa4a2</t>
  </si>
  <si>
    <t>5ef2d246-8219-494b-be68-91d10dfb6a9c</t>
  </si>
  <si>
    <t>98f2a7ca-067b-4ad6-b326-3fcc80ab1940</t>
  </si>
  <si>
    <t>2024-09-06</t>
  </si>
  <si>
    <t>11d26808-b6cf-49e4-87ae-32b16b606447</t>
  </si>
  <si>
    <t>30.37</t>
  </si>
  <si>
    <t>ac9fce27-1ed0-4837-a69c-4e9c3656f200</t>
  </si>
  <si>
    <t>0e8d5342-f709-4e13-b251-b95fa2238db8</t>
  </si>
  <si>
    <t>2024-09-07</t>
  </si>
  <si>
    <t>62.31</t>
  </si>
  <si>
    <t>7f71e591-2856-4b67-bf79-ae42bcab7c64</t>
  </si>
  <si>
    <t>2024-09-08</t>
  </si>
  <si>
    <t>70cb05ad-c9ce-4541-b057-1c5e8e68aab6</t>
  </si>
  <si>
    <t>2024-09-09</t>
  </si>
  <si>
    <t>0.54</t>
  </si>
  <si>
    <t>f3582b83-0efe-4cf6-8351-29092c093159</t>
  </si>
  <si>
    <t>a3dadde3-2271-4033-ace7-5166e757e759</t>
  </si>
  <si>
    <t>2024-09-10</t>
  </si>
  <si>
    <t>7005.17</t>
  </si>
  <si>
    <t>e7789d66-4f19-4666-9571-b0f06896336b</t>
  </si>
  <si>
    <t>6cab76e2-b82a-40d5-8f5f-35ee2f1332a2</t>
  </si>
  <si>
    <t>656d9a5e-de56-4bc7-a3d8-4bfbd763c3ec</t>
  </si>
  <si>
    <t>4530e633-23cf-4890-930b-87c272256271</t>
  </si>
  <si>
    <t>d5d566dc-9043-4e6a-8766-56fb66db014e</t>
  </si>
  <si>
    <t>185.46</t>
  </si>
  <si>
    <t>56a67124-a88b-4d00-954d-bf12c7da4677</t>
  </si>
  <si>
    <t>12219af6-d13b-4b5e-aeae-8fbe72ba908d</t>
  </si>
  <si>
    <t>241.12</t>
  </si>
  <si>
    <t>76d0cbd0-f2fa-4f98-99b3-713a240b00ba</t>
  </si>
  <si>
    <t>29703afb-67c7-4010-85f4-39c8bbdf6786</t>
  </si>
  <si>
    <t>6877.5199999999995</t>
  </si>
  <si>
    <t>a4b460f4-882d-4a31-affd-1a0ef7d8f32c</t>
  </si>
  <si>
    <t>7999.49</t>
  </si>
  <si>
    <t>d6687fef-21e1-424a-af74-4a4ad922aa0c</t>
  </si>
  <si>
    <t>cfdc3bfa-12f0-454d-9dd6-0f6aba627c0e</t>
  </si>
  <si>
    <t>46b45f0b-ce41-48c6-9364-33c814207910</t>
  </si>
  <si>
    <t>2024-09-13</t>
  </si>
  <si>
    <t>2fcd1996-ff23-47ef-b001-4051b2d7af9a</t>
  </si>
  <si>
    <t>182b15b2-cfb2-49f0-81a7-c0ad1e96ef7e</t>
  </si>
  <si>
    <t>95ea01af-d8cb-49d9-b7ef-81f89b5bf3a2</t>
  </si>
  <si>
    <t>48125ad7-a90c-497a-a83d-9e8e90ca92bd</t>
  </si>
  <si>
    <t>a9866fa2-06f5-4101-90d2-8c43254d1c18</t>
  </si>
  <si>
    <t>d7b25e1d-1516-42b3-a075-1d256b1f60d6</t>
  </si>
  <si>
    <t>b8aaaadb-d20c-43d8-b649-2e89bf20aafa</t>
  </si>
  <si>
    <t>2024-09-14</t>
  </si>
  <si>
    <t>02c8a9af-8ca6-46be-a856-a775b6b172b2</t>
  </si>
  <si>
    <t>95a154ff-d402-4adf-9e09-b35949c666b0</t>
  </si>
  <si>
    <t>2024-09-16</t>
  </si>
  <si>
    <t>5396.48</t>
  </si>
  <si>
    <t>9e90145f-d93d-411c-9908-55c7c4321464</t>
  </si>
  <si>
    <t>24.9</t>
  </si>
  <si>
    <t>46efc924-1df4-484a-9b1b-e26e7ecca25f</t>
  </si>
  <si>
    <t>2024-09-17</t>
  </si>
  <si>
    <t>faf22e6e-3705-4541-8983-da01f15717e9</t>
  </si>
  <si>
    <t>2024-09-18</t>
  </si>
  <si>
    <t>9a2d5017-100c-4721-a071-d08ad403254b</t>
  </si>
  <si>
    <t>709.91</t>
  </si>
  <si>
    <t>bb12ecb3-1cbd-496a-950e-ab01aea66e97</t>
  </si>
  <si>
    <t>d102f148-2411-4596-a3f2-d8c43c542b7d</t>
  </si>
  <si>
    <t>b76f17b5-be8a-4092-9526-1420dd51e4ee</t>
  </si>
  <si>
    <t>84c9fdce-802f-472d-a716-ee827a8fa64f</t>
  </si>
  <si>
    <t>2024-09-19</t>
  </si>
  <si>
    <t>163</t>
  </si>
  <si>
    <t>a04504a3-0837-4993-835c-06a6dffec294</t>
  </si>
  <si>
    <t>2024-09-20</t>
  </si>
  <si>
    <t>82c7bfa4-cbaf-4d0c-832f-4557617dae0f</t>
  </si>
  <si>
    <t>cea20950-de79-4c52-b62e-fbb341f047ef</t>
  </si>
  <si>
    <t>2024-09-23</t>
  </si>
  <si>
    <t>64063c21-df39-4e36-82f6-2f52c81462a7</t>
  </si>
  <si>
    <t>2024-09-26</t>
  </si>
  <si>
    <t>a3555ccc-b083-4554-873f-7f2500466cb0</t>
  </si>
  <si>
    <t>104.71</t>
  </si>
  <si>
    <t>603de374-aee0-41aa-8df4-adcbee77ccf5</t>
  </si>
  <si>
    <t>2024-09-27</t>
  </si>
  <si>
    <t>10a7fa40-712a-4169-9abe-4ffef28a1b99</t>
  </si>
  <si>
    <t>01814ff8-e920-42ae-8118-1d9d9a0fa6e4</t>
  </si>
  <si>
    <t>2024-09-29</t>
  </si>
  <si>
    <t>6e1cb04f-e553-4e5c-881a-a0b7eb0c8b44</t>
  </si>
  <si>
    <t>2024-09-30</t>
  </si>
  <si>
    <t>e657ab2e-4b0e-428e-bd5c-6136016daaeb</t>
  </si>
  <si>
    <t>fea555ba-78f7-4726-b75b-0ad116671640</t>
  </si>
  <si>
    <t>2084.95</t>
  </si>
  <si>
    <t>e5008bbe-be6e-40e1-a1f7-738960b31d3d</t>
  </si>
  <si>
    <t>e330ab5f-326f-4121-bcbe-0240cb4bde63</t>
  </si>
  <si>
    <t>a004d5af-5e03-4ba7-ab60-2e82a02de6a5</t>
  </si>
  <si>
    <t>a85867af-f30c-49ae-a528-1030fb584d06</t>
  </si>
  <si>
    <t>11.52</t>
  </si>
  <si>
    <t>c0dab1bf-8942-41f4-ab3a-c82af9c12eff</t>
  </si>
  <si>
    <t>1735.37</t>
  </si>
  <si>
    <t>2a2bd31f-7e3f-49e0-be9f-f67594d0ec77</t>
  </si>
  <si>
    <t>2024-10-01</t>
  </si>
  <si>
    <t>15064.12</t>
  </si>
  <si>
    <t>462f72e1-b046-428d-a0c1-45c475410f79</t>
  </si>
  <si>
    <t>-2675.34</t>
  </si>
  <si>
    <t>2eeb602d-91e9-47d4-bee2-7f0113c77579</t>
  </si>
  <si>
    <t>6c7c76d3-3737-4d23-9fdb-59a44273a8c6</t>
  </si>
  <si>
    <t>3746</t>
  </si>
  <si>
    <t>831b3d06-5ab6-4cc4-9362-7de4de55b919</t>
  </si>
  <si>
    <t>2024-10-02</t>
  </si>
  <si>
    <t>ebb7c6e3-0993-42c4-a78f-a4868cd3fb4a</t>
  </si>
  <si>
    <t>3f3037e1-2e50-4144-bd58-8b58bc91a6ed</t>
  </si>
  <si>
    <t>2024-10-03</t>
  </si>
  <si>
    <t>706669e3-4332-45e1-ac9a-ff50a1ab063d</t>
  </si>
  <si>
    <t>2024-10-04</t>
  </si>
  <si>
    <t>1851.3</t>
  </si>
  <si>
    <t>9aa2a389-1a1b-4321-82f6-a6fde580609d</t>
  </si>
  <si>
    <t>2024-10-05</t>
  </si>
  <si>
    <t>276</t>
  </si>
  <si>
    <t>d5e7fcd7-5edf-405e-b583-748c4ac6a3c2</t>
  </si>
  <si>
    <t>adedeae4-6c2a-4061-ab53-b196277132db</t>
  </si>
  <si>
    <t>a88b278a-8841-440e-8256-3ae43a7b68fc</t>
  </si>
  <si>
    <t>2024-10-08</t>
  </si>
  <si>
    <t>405.95</t>
  </si>
  <si>
    <t>f750a5e3-8eae-4e4c-961a-0b9e12b8bc87</t>
  </si>
  <si>
    <t>9d62dfb8-d9eb-4787-b8c4-2eb6a6d7a8b7</t>
  </si>
  <si>
    <t>b0415bf2-3163-4828-860d-e6feac08cb7f</t>
  </si>
  <si>
    <t>29</t>
  </si>
  <si>
    <t>e45ea7ef-0319-4c57-a364-d7f947852f57</t>
  </si>
  <si>
    <t>2024-10-10</t>
  </si>
  <si>
    <t>7800.48</t>
  </si>
  <si>
    <t>ba44428c-e95a-4c09-8b64-07cf7bc18265</t>
  </si>
  <si>
    <t>8217fec2-44ea-4e4b-bfd3-0f6ed7b9e04e</t>
  </si>
  <si>
    <t>be509d5c-0f86-41b7-af2b-75b99ae4186d</t>
  </si>
  <si>
    <t>991a31c4-a168-43f5-975e-a69c147a7946</t>
  </si>
  <si>
    <t>159.86</t>
  </si>
  <si>
    <t>6b964cad-05a1-4690-9319-b39ab5cb2e71</t>
  </si>
  <si>
    <t>c7662a88-3a5d-41cb-832b-2b418d564905</t>
  </si>
  <si>
    <t>2860.74</t>
  </si>
  <si>
    <t>24413032-c54c-41ad-bfbd-1bc29b697d30</t>
  </si>
  <si>
    <t>69200006-4724-4787-aabe-3b8aef625d3e</t>
  </si>
  <si>
    <t>493.95</t>
  </si>
  <si>
    <t>7a02d4e8-9511-4b77-81f9-00a87e119b11</t>
  </si>
  <si>
    <t>2693.53</t>
  </si>
  <si>
    <t>2b0ca68e-be53-4fed-8218-979d8bff08bb</t>
  </si>
  <si>
    <t>6052.48</t>
  </si>
  <si>
    <t>8092e75e-481e-4636-8879-62614e195821</t>
  </si>
  <si>
    <t>2024-10-11</t>
  </si>
  <si>
    <t>1210</t>
  </si>
  <si>
    <t>f085c863-2b56-45e6-8b3d-02e62693077c</t>
  </si>
  <si>
    <t>2024-10-12</t>
  </si>
  <si>
    <t>183.21</t>
  </si>
  <si>
    <t>b603eaae-1294-47a4-bbbc-de8fb90ccfee</t>
  </si>
  <si>
    <t>e5892ff1-a992-46f7-846b-80322a2214e0</t>
  </si>
  <si>
    <t>2024-10-13</t>
  </si>
  <si>
    <t>232.26</t>
  </si>
  <si>
    <t>77a3cd64-fc32-4ca7-b800-f33b3355d588</t>
  </si>
  <si>
    <t>75.9</t>
  </si>
  <si>
    <t>2b1636d9-df2a-43ad-83cd-4ad13c75d8fa</t>
  </si>
  <si>
    <t>68.8</t>
  </si>
  <si>
    <t>b2921ed4-f5b4-45a2-b6d7-c3c7acf990ae</t>
  </si>
  <si>
    <t>2024-10-14</t>
  </si>
  <si>
    <t>2404c7a3-4411-4fbc-b46a-46f08143c3f2</t>
  </si>
  <si>
    <t>2024-10-17</t>
  </si>
  <si>
    <t>f1d6bfea-3083-4ba2-9180-959b7797eacb</t>
  </si>
  <si>
    <t>2024-10-18</t>
  </si>
  <si>
    <t>61</t>
  </si>
  <si>
    <t>9a4f237e-4188-44a4-a84a-a5cb7252cf70</t>
  </si>
  <si>
    <t>2024-10-19</t>
  </si>
  <si>
    <t>33879159-d078-455a-8d99-e43f533164b7</t>
  </si>
  <si>
    <t>2024-10-21</t>
  </si>
  <si>
    <t>65a89240-1bb0-434c-9a65-75a9b5f654da</t>
  </si>
  <si>
    <t>2024-10-24</t>
  </si>
  <si>
    <t>7cfc9c0b-e28d-4e72-ac23-e685caf97503</t>
  </si>
  <si>
    <t>2024-10-25</t>
  </si>
  <si>
    <t>76c5faa3-5138-4788-a095-0282d962daee</t>
  </si>
  <si>
    <t>2024-10-28</t>
  </si>
  <si>
    <t>f5a25ad2-2c7d-4d5c-abc9-b672c2be5b43</t>
  </si>
  <si>
    <t>58ace1a9-d1bc-4660-abc3-254c8dc02581</t>
  </si>
  <si>
    <t>43a234e9-6a70-4e70-a01b-7204a5bf19cf</t>
  </si>
  <si>
    <t>360</t>
  </si>
  <si>
    <t>dfe18f13-76b8-41d4-8b1d-08afd5741b09</t>
  </si>
  <si>
    <t>108.54</t>
  </si>
  <si>
    <t>53fde425-7b2b-4a34-be7e-6e5165e62d91</t>
  </si>
  <si>
    <t>2024-10-29</t>
  </si>
  <si>
    <t>fca82afd-e808-4759-ba8b-bda5908c5d6b</t>
  </si>
  <si>
    <t>f85ca8d2-80c8-497c-994b-56e653dd8d9c</t>
  </si>
  <si>
    <t>887477e9-e255-4b1c-b96b-07fa2011fa37</t>
  </si>
  <si>
    <t>2024-10-30</t>
  </si>
  <si>
    <t>3eeb5a11-b8ad-47e1-9fc5-fbbe4790cb5d</t>
  </si>
  <si>
    <t>ea55d4cc-cfc6-4174-820f-82a418df9c3e</t>
  </si>
  <si>
    <t>2024-10-31</t>
  </si>
  <si>
    <t>5a683d7f-629a-41da-9119-d13b37c20ca2</t>
  </si>
  <si>
    <t>2286</t>
  </si>
  <si>
    <t>c6770a5b-f444-4202-92ba-c5c66e554b0f</t>
  </si>
  <si>
    <t>2024-11-01</t>
  </si>
  <si>
    <t>12390.42</t>
  </si>
  <si>
    <t>81f8f082-ade7-4ff5-98af-3ef9ab068340</t>
  </si>
  <si>
    <t>8000</t>
  </si>
  <si>
    <t>096ac5cb-c1f0-45f1-a425-800ffc84208c</t>
  </si>
  <si>
    <t>11284.98</t>
  </si>
  <si>
    <t>58c8d988-3d41-4639-9fa5-cbf38df62198</t>
  </si>
  <si>
    <t>4573.060000000001</t>
  </si>
  <si>
    <t>8aa47352-d5ef-4b38-9c23-6beeaf6ed567</t>
  </si>
  <si>
    <t>5bca4ef9-29c2-4307-9ac5-e639482fd9ea</t>
  </si>
  <si>
    <t>474.75</t>
  </si>
  <si>
    <t>4b7a2121-2ad0-4bcf-89e2-a1566366e72e</t>
  </si>
  <si>
    <t>98be9523-e8d8-4b56-8a43-3341e62eb066</t>
  </si>
  <si>
    <t>16ef6dda-aa75-4a37-adbb-4f8e6ade6581</t>
  </si>
  <si>
    <t>d98e174b-527d-48fb-be70-7a862996ae9d</t>
  </si>
  <si>
    <t>2024-11-03</t>
  </si>
  <si>
    <t>0c4b079a-b636-41f3-a144-37d79a56d856</t>
  </si>
  <si>
    <t>2024-11-04</t>
  </si>
  <si>
    <t>1865.45</t>
  </si>
  <si>
    <t>79a72ce2-f2ce-42bc-a0e6-4cc5898a506c</t>
  </si>
  <si>
    <t>b7899516-72d5-4957-a7f3-d62c0c80b285</t>
  </si>
  <si>
    <t>2024-11-05</t>
  </si>
  <si>
    <t>8cc6ed85-e966-4e07-833d-4d05d5608f54</t>
  </si>
  <si>
    <t>2024-11-06</t>
  </si>
  <si>
    <t>54865e93-72a4-40bd-8629-682c96df4c17</t>
  </si>
  <si>
    <t>2024-11-07</t>
  </si>
  <si>
    <t>f5cce711-e4d3-471b-8ecf-775ed648ca8a</t>
  </si>
  <si>
    <t>5ce8dee7-6483-43cd-8a0e-efbf9b75a8d4</t>
  </si>
  <si>
    <t>7c9d2ed6-e567-4de2-ad18-f6f38aa5c07c</t>
  </si>
  <si>
    <t>2024-11-08</t>
  </si>
  <si>
    <t>80d79910-1be2-4379-888a-87d6d1159785</t>
  </si>
  <si>
    <t>7aa48dbc-336d-4fe0-9c43-408dfb5937a0</t>
  </si>
  <si>
    <t>2024-11-10</t>
  </si>
  <si>
    <t>6876.9</t>
  </si>
  <si>
    <t>a6563bc0-6cc1-4e4b-99cf-3f88b8a37169</t>
  </si>
  <si>
    <t>13784.98</t>
  </si>
  <si>
    <t>71fdb54a-4024-47bc-b2e1-0f81737f17e7</t>
  </si>
  <si>
    <t>175.65</t>
  </si>
  <si>
    <t>ac9ad3a6-593d-479b-893c-dee3088f73ca</t>
  </si>
  <si>
    <t>2024-11-11</t>
  </si>
  <si>
    <t>a9ff8aac-0a48-4070-a41f-bfafd4b4db14</t>
  </si>
  <si>
    <t>16693.8</t>
  </si>
  <si>
    <t>1fca780a-acdf-4609-8510-0295f0ae4235</t>
  </si>
  <si>
    <t>bae2d924-2cbb-4d58-879a-3949c2766e00</t>
  </si>
  <si>
    <t>cc9421ec-4919-44f9-bb23-4e0e2d936d07</t>
  </si>
  <si>
    <t>8d27a2ca-6002-4912-a6a6-ea430afc82f5</t>
  </si>
  <si>
    <t>2876.82</t>
  </si>
  <si>
    <t>551f16ad-3354-49bc-9a3c-4116d8ed139a</t>
  </si>
  <si>
    <t>381dab9f-99cb-434a-9a0d-ff388a4da407</t>
  </si>
  <si>
    <t>2024-11-12</t>
  </si>
  <si>
    <t>bcb391ab-1dab-457a-bf09-2b80fd2c03d6</t>
  </si>
  <si>
    <t>2024-11-13</t>
  </si>
  <si>
    <t>988ae133-b2c9-440d-8f8f-90c454076ae8</t>
  </si>
  <si>
    <t>2024-11-16</t>
  </si>
  <si>
    <t>b42e255b-0fe6-4fe6-9fc9-31b582d0196b</t>
  </si>
  <si>
    <t>2024-11-18</t>
  </si>
  <si>
    <t>1f980de2-bf81-4b81-9162-4b77bc480ab3</t>
  </si>
  <si>
    <t>496585d4-1c9f-44d9-b9be-fb8967174511</t>
  </si>
  <si>
    <t>31499fc2-4b2a-44cd-9470-806571234f7f</t>
  </si>
  <si>
    <t>0.2</t>
  </si>
  <si>
    <t>d1761246-40f4-404f-b1c2-e28fe3643382</t>
  </si>
  <si>
    <t>10392.01</t>
  </si>
  <si>
    <t>f24873e5-581f-4af8-a3ee-fe28cac49b87</t>
  </si>
  <si>
    <t>b82c4776-dc57-4aca-b8da-f1fa9766d82d</t>
  </si>
  <si>
    <t>fbc1727c-8a6b-4a63-b16f-bb94c9def0fe</t>
  </si>
  <si>
    <t>2024-11-19</t>
  </si>
  <si>
    <t>6.57</t>
  </si>
  <si>
    <t>fee602bb-f72b-4997-b70e-0d800542f7cf</t>
  </si>
  <si>
    <t>4b35d020-2ae2-484c-9088-9fc724c1769e</t>
  </si>
  <si>
    <t>-51</t>
  </si>
  <si>
    <t>626d0204-fcc3-4553-b738-05f9c1461aaa</t>
  </si>
  <si>
    <t>2024-11-21</t>
  </si>
  <si>
    <t>ec9af1f2-9e9f-40ed-8d75-bd9d6172fe17</t>
  </si>
  <si>
    <t>264cb9f7-03aa-4c7f-b213-9efd8a364c49</t>
  </si>
  <si>
    <t>2024-11-23</t>
  </si>
  <si>
    <t>5d63c3dd-7520-493c-8bc4-5aa936e2bd1b</t>
  </si>
  <si>
    <t>2024-11-25</t>
  </si>
  <si>
    <t>399</t>
  </si>
  <si>
    <t>0d98a2dc-591b-4752-a125-531b250cc458</t>
  </si>
  <si>
    <t>8af19e84-ae80-48c0-810c-03e0c6fd3b7e</t>
  </si>
  <si>
    <t>103.76</t>
  </si>
  <si>
    <t>c7627a14-3572-42ac-b97a-c505f9ac31fd</t>
  </si>
  <si>
    <t>2024-11-26</t>
  </si>
  <si>
    <t>57c3f882-d0e7-475a-b803-4c393299a547</t>
  </si>
  <si>
    <t>6710cdb7-40e9-4c68-b1a0-0983618c1bf0</t>
  </si>
  <si>
    <t>7a0f52bc-0c58-4d7e-bb88-b1befa939f4e</t>
  </si>
  <si>
    <t>2024-11-28</t>
  </si>
  <si>
    <t>96457f77-6cf0-413b-8331-95863595cf9b</t>
  </si>
  <si>
    <t>2024-11-30</t>
  </si>
  <si>
    <t>4ae84601-da22-4a5d-a802-e7a5fee08e26</t>
  </si>
  <si>
    <t>3040.51</t>
  </si>
  <si>
    <t>d4ebb0e7-354d-4b61-8bf1-60373586ae6f</t>
  </si>
  <si>
    <t>467.36</t>
  </si>
  <si>
    <t>4569dd37-d975-4c50-a9db-d868033806ff</t>
  </si>
  <si>
    <t>3056</t>
  </si>
  <si>
    <t>3d974b88-43c2-4f38-b171-ce186a19a0fc</t>
  </si>
  <si>
    <t>2024-12-01</t>
  </si>
  <si>
    <t>11542.58</t>
  </si>
  <si>
    <t>a2695d01-52f0-40a6-a874-c86fd9c4b0a8</t>
  </si>
  <si>
    <t>12023.57</t>
  </si>
  <si>
    <t>ca0eede2-03ae-4436-a114-e9d952eadcd9</t>
  </si>
  <si>
    <t>41372.35</t>
  </si>
  <si>
    <t>826b0ba8-ff5c-4758-a7f0-daf80d429a30</t>
  </si>
  <si>
    <t>ba198290-ecc1-4c46-b72e-6b9786221796</t>
  </si>
  <si>
    <t>94.08</t>
  </si>
  <si>
    <t>f3b76dee-6106-4384-9837-bf48cbd4b3b2</t>
  </si>
  <si>
    <t>2024-12-02</t>
  </si>
  <si>
    <t>f44b2246-b577-4f67-9389-06518973252f</t>
  </si>
  <si>
    <t>d72bda6f-0e29-4826-a0fa-8240237df618</t>
  </si>
  <si>
    <t>2024-12-03</t>
  </si>
  <si>
    <t>257f3e12-e05f-460b-a817-2e37b33efcc6</t>
  </si>
  <si>
    <t>3700e00d-be3d-4554-a3aa-cebd95c1f653</t>
  </si>
  <si>
    <t>c46fe706-91e3-4d3f-a365-2db82450a800</t>
  </si>
  <si>
    <t>2024-12-04</t>
  </si>
  <si>
    <t>1862.98</t>
  </si>
  <si>
    <t>6c893aeb-88b9-4bae-8c6f-4c2703258272</t>
  </si>
  <si>
    <t>2024-12-05</t>
  </si>
  <si>
    <t>ff8a4a53-d84f-4d59-9910-178e35faf3c7</t>
  </si>
  <si>
    <t>335.78</t>
  </si>
  <si>
    <t>e5368333-0312-485f-8a09-83be092c5904</t>
  </si>
  <si>
    <t>1ebf56dd-76ff-4340-a6ea-cf4f72b96df1</t>
  </si>
  <si>
    <t>06e5d541-1e1e-4cbf-ad2d-a57699083917</t>
  </si>
  <si>
    <t>2024-12-08</t>
  </si>
  <si>
    <t>442.11</t>
  </si>
  <si>
    <t>8b65d2aa-d7e6-4c43-a02d-e95d505d35f8</t>
  </si>
  <si>
    <t>2024-12-09</t>
  </si>
  <si>
    <t>129</t>
  </si>
  <si>
    <t>e2efae50-fa1e-43a6-810c-18156ea1d8a4</t>
  </si>
  <si>
    <t>b68d9f9e-4cca-4e90-bd1b-9546403ab037</t>
  </si>
  <si>
    <t>969f218a-f265-418c-8790-7423199dcdf6</t>
  </si>
  <si>
    <t>e69532c6-e878-4e61-8af2-117a0c8aff64</t>
  </si>
  <si>
    <t>39ed9d48-992a-4291-96e6-1cb963d77094</t>
  </si>
  <si>
    <t>2024-12-10</t>
  </si>
  <si>
    <t>6404.05</t>
  </si>
  <si>
    <t>ea632c69-10c4-4b61-8779-49b91de6ee5e</t>
  </si>
  <si>
    <t>f91df56c-9ad2-4402-be77-55c618e318d1</t>
  </si>
  <si>
    <t>465e0e7a-d047-4c94-a08d-a251b7a8d46e</t>
  </si>
  <si>
    <t>90edd663-4689-4b24-b3d7-3cd92233341f</t>
  </si>
  <si>
    <t>af0993bc-ffb6-4a82-8440-2041a14d2229</t>
  </si>
  <si>
    <t>244.28</t>
  </si>
  <si>
    <t>08620241-2170-43b7-b965-841f18c46f85</t>
  </si>
  <si>
    <t>01a6e291-54c6-40fa-9c56-7472578e3208</t>
  </si>
  <si>
    <t>18964.38</t>
  </si>
  <si>
    <t>59ba06bc-5de4-4c56-8c53-20ea945bb1b8</t>
  </si>
  <si>
    <t>6358.34</t>
  </si>
  <si>
    <t>ea444140-be22-4e53-a63c-65148e694286</t>
  </si>
  <si>
    <t>da5790d8-3952-4573-a037-75a24c00b0a4</t>
  </si>
  <si>
    <t>65bfc1c7-f50f-48e5-b286-a34ddca209f1</t>
  </si>
  <si>
    <t>4591.16</t>
  </si>
  <si>
    <t>3e0cf787-1d1b-40cd-b999-f4e676abc9ee</t>
  </si>
  <si>
    <t>f2cf43dc-7be8-4c0d-9ecb-077f78313e45</t>
  </si>
  <si>
    <t>4617.69</t>
  </si>
  <si>
    <t>d578f7a8-d6f1-4dab-9682-c0e47df4e12f</t>
  </si>
  <si>
    <t>880</t>
  </si>
  <si>
    <t>0aef1812-8782-42d5-9f83-93fd0d77bd17</t>
  </si>
  <si>
    <t>2024-12-11</t>
  </si>
  <si>
    <t>19df91ff-8381-4ca0-8ca7-cf935110fea7</t>
  </si>
  <si>
    <t>2024-12-16</t>
  </si>
  <si>
    <t>06e493fa-6edb-4064-bcd0-930454dab928</t>
  </si>
  <si>
    <t>2024-12-17</t>
  </si>
  <si>
    <t>79da8d62-b8dc-4055-9b2d-7a1136219dc8</t>
  </si>
  <si>
    <t>450.6</t>
  </si>
  <si>
    <t>57cccda7-a18c-4948-8a1a-fd0b96183572</t>
  </si>
  <si>
    <t>86</t>
  </si>
  <si>
    <t>ab7bd8e5-e472-4c0b-bef1-8481d69ad062</t>
  </si>
  <si>
    <t>2024-12-18</t>
  </si>
  <si>
    <t>225.11</t>
  </si>
  <si>
    <t>4102ab85-e481-452e-a517-b738611994c3</t>
  </si>
  <si>
    <t>224</t>
  </si>
  <si>
    <t>2b1a6a64-eb20-44be-baf0-497c4c85a1ab</t>
  </si>
  <si>
    <t>bd12f490-c6c1-4e7e-9730-adb17ce9d44e</t>
  </si>
  <si>
    <t>2024-12-19</t>
  </si>
  <si>
    <t>3f21939a-0dd9-4207-b39d-7322362dcb3c</t>
  </si>
  <si>
    <t>332.8</t>
  </si>
  <si>
    <t>9d9ad55c-086f-460d-93ff-85b654f97919</t>
  </si>
  <si>
    <t>96</t>
  </si>
  <si>
    <t>8c6dbad8-0da3-49cd-ae60-2b5129a827c5</t>
  </si>
  <si>
    <t>9f6b2a16-f887-474e-a314-fcc29a777ce5</t>
  </si>
  <si>
    <t>2024-12-20</t>
  </si>
  <si>
    <t>a19064d7-e145-4ae4-bca3-0f9257801cbe</t>
  </si>
  <si>
    <t>2024-12-23</t>
  </si>
  <si>
    <t>c3c92214-139c-4bb7-996d-f891bb4abc23</t>
  </si>
  <si>
    <t>9841416e-0131-48b2-8b8b-a7f9571f974d</t>
  </si>
  <si>
    <t>5a424cef-96c9-479b-97d0-758fb8142a2b</t>
  </si>
  <si>
    <t>57fa4cf4-1623-409e-8c6e-6ae5138ad1c0</t>
  </si>
  <si>
    <t>89</t>
  </si>
  <si>
    <t>d32ecd49-6869-4f2d-8a62-20b3518a8830</t>
  </si>
  <si>
    <t>2024-12-25</t>
  </si>
  <si>
    <t>9b4bab4e-a701-48a0-9842-a4b07eccf222</t>
  </si>
  <si>
    <t>2024-12-26</t>
  </si>
  <si>
    <t>8a1252e5-8e3b-4583-8f62-f654239b644b</t>
  </si>
  <si>
    <t>ff42e317-cb65-4d05-a033-fe045c5e6f86</t>
  </si>
  <si>
    <t>55527b9d-68d7-4021-b49b-1695e19f5a0c</t>
  </si>
  <si>
    <t>2024-12-30</t>
  </si>
  <si>
    <t>230.15</t>
  </si>
  <si>
    <t>5e6e6260-e1fb-47fc-a40e-4f926561dda3</t>
  </si>
  <si>
    <t>b1908a93-feff-4182-bbdb-38aa41899141</t>
  </si>
  <si>
    <t>d9058377-6dd2-46f5-be2d-b81a30762303</t>
  </si>
  <si>
    <t>9e94e09b-5196-4760-ab04-3de55603ddd9</t>
  </si>
  <si>
    <t>b01e60dc-4cf5-44c7-a51d-859e4aab9a91</t>
  </si>
  <si>
    <t>270.33</t>
  </si>
  <si>
    <t>50674119-706c-49a3-b002-3532e5d7f285</t>
  </si>
  <si>
    <t>5982</t>
  </si>
  <si>
    <t>684002de-3fcb-41ae-8d2a-fc21d7147e31</t>
  </si>
  <si>
    <t>2024-12-31</t>
  </si>
  <si>
    <t>5383</t>
  </si>
  <si>
    <t>55b4023c-f130-49a8-944f-e4b570511e0a</t>
  </si>
  <si>
    <t>2025-01-01</t>
  </si>
  <si>
    <t>20800.15</t>
  </si>
  <si>
    <t>2026-02-06T23:17:18.615Z</t>
  </si>
  <si>
    <t>e41a3d7a-eb94-4a94-956b-aebf29d77be0</t>
  </si>
  <si>
    <t>10010.26</t>
  </si>
  <si>
    <t>232f3256-1426-451b-9254-39bd77b3482d</t>
  </si>
  <si>
    <t>7097.77</t>
  </si>
  <si>
    <t>e8688fa6-bf4c-4c4b-b484-1ddf8bd15b10</t>
  </si>
  <si>
    <t>22511.2</t>
  </si>
  <si>
    <t>44b57c43-54c5-4c6a-a8df-13d1345e53f0</t>
  </si>
  <si>
    <t>2026-02-06T23:17:20.170Z</t>
  </si>
  <si>
    <t>f76d4c66-f7c1-4c87-81fc-cdf745621fe8</t>
  </si>
  <si>
    <t>181.07</t>
  </si>
  <si>
    <t>a3a8dc10-7c0b-4e2c-be09-793b6ba9674f</t>
  </si>
  <si>
    <t>51.08</t>
  </si>
  <si>
    <t>4341cedb-d405-4017-a962-cc7f7622cc95</t>
  </si>
  <si>
    <t>83.86</t>
  </si>
  <si>
    <t>b01341ec-bfba-4def-a919-53fa86321ebd</t>
  </si>
  <si>
    <t>383.08</t>
  </si>
  <si>
    <t>391ea8fa-8565-4899-80a8-0e1a55a3c396</t>
  </si>
  <si>
    <t>2025-01-02</t>
  </si>
  <si>
    <t>474389a8-e5d7-4554-9f6e-1ecc60ccf888</t>
  </si>
  <si>
    <t>2025-01-03</t>
  </si>
  <si>
    <t>2955cf62-907f-4d61-9e21-a73be0d106ee</t>
  </si>
  <si>
    <t>9725.14</t>
  </si>
  <si>
    <t>29d1ce11-f93c-4f19-b33f-19ff20b44d2a</t>
  </si>
  <si>
    <t>296</t>
  </si>
  <si>
    <t>77012158-0c3d-4fc8-bcfc-7882690dd31d</t>
  </si>
  <si>
    <t>9c336ee2-3dfa-4bfc-b74f-bcfc3e6abb1a</t>
  </si>
  <si>
    <t>2025-01-04</t>
  </si>
  <si>
    <t>1861.01</t>
  </si>
  <si>
    <t>dd726028-cb08-43f0-919a-131ac00c9a92</t>
  </si>
  <si>
    <t>2025-01-05</t>
  </si>
  <si>
    <t>171b7a4f-2bfb-4506-a782-4dc59dca1ef3</t>
  </si>
  <si>
    <t>c2cd6568-7795-4057-985d-051a277a5fb6</t>
  </si>
  <si>
    <t>2025-01-06</t>
  </si>
  <si>
    <t>555</t>
  </si>
  <si>
    <t>06f2a1e1-43d7-438f-9fa6-fb67d1628863</t>
  </si>
  <si>
    <t>2025-01-08</t>
  </si>
  <si>
    <t>275.17</t>
  </si>
  <si>
    <t>493e9421-550a-441f-b99e-942e05704db4</t>
  </si>
  <si>
    <t>424.86</t>
  </si>
  <si>
    <t>e532674f-9e6b-4cce-b3ce-a56a10b7cf30</t>
  </si>
  <si>
    <t>2025-01-09</t>
  </si>
  <si>
    <t>93.24</t>
  </si>
  <si>
    <t>0476a9ef-1220-4b73-9c7d-3108144be41b</t>
  </si>
  <si>
    <t>3e36ad0e-1a7e-446e-bc28-21642b21484e</t>
  </si>
  <si>
    <t>2025-01-10</t>
  </si>
  <si>
    <t>15650.23</t>
  </si>
  <si>
    <t>a913f53e-95d6-4a05-b5c1-4a493a61d26f</t>
  </si>
  <si>
    <t>246.6</t>
  </si>
  <si>
    <t>008e1a84-08b8-4fdd-87c8-2eeb0a6cf56a</t>
  </si>
  <si>
    <t>ede04867-0042-4afa-a38a-dfa125a7357e</t>
  </si>
  <si>
    <t>745</t>
  </si>
  <si>
    <t>ad2fb5a8-2275-4569-bd3b-d9f45af802f6</t>
  </si>
  <si>
    <t>4163.54</t>
  </si>
  <si>
    <t>f66e2da6-2917-4622-818d-7a37315660df</t>
  </si>
  <si>
    <t>191</t>
  </si>
  <si>
    <t>d10c328e-c2a6-4882-b6bc-ff212fb9049f</t>
  </si>
  <si>
    <t>8f2ff122-7054-42bd-9d1a-0e2abf917457</t>
  </si>
  <si>
    <t>711.02</t>
  </si>
  <si>
    <t>00b7f987-0041-41d3-9551-373289275c79</t>
  </si>
  <si>
    <t>13645.11</t>
  </si>
  <si>
    <t>6b53cc4c-c003-47c5-a76f-013288cebc58</t>
  </si>
  <si>
    <t>2025-01-13</t>
  </si>
  <si>
    <t>8b64d2b1-13e9-4d7f-ae6e-97f88d251721</t>
  </si>
  <si>
    <t>6.6</t>
  </si>
  <si>
    <t>38c2c3a4-fef2-49ca-b104-4192c203b16a</t>
  </si>
  <si>
    <t>9c687b8c-6c25-4d43-82cb-5b35fbc25377</t>
  </si>
  <si>
    <t>42666b25-a395-498c-8830-dc6f66d72e04</t>
  </si>
  <si>
    <t>b8dffece-0390-4816-997b-f4951b7c63a8</t>
  </si>
  <si>
    <t>198ade6a-d3d8-469e-845f-6af6f5b4e56f</t>
  </si>
  <si>
    <t>1bec4d95-0a12-471a-a685-8db2a7de6536</t>
  </si>
  <si>
    <t>6fbd5a47-f71c-4b1d-9b9d-47dfdf4c437f</t>
  </si>
  <si>
    <t>44610ba5-0ff4-469b-81df-6fd7003b888b</t>
  </si>
  <si>
    <t>2580</t>
  </si>
  <si>
    <t>adc301d4-eab0-4e39-8ed3-e4364eb6cdba</t>
  </si>
  <si>
    <t>83cfea42-cfb7-4ccf-9f02-a303266fe9df</t>
  </si>
  <si>
    <t>2025-01-14</t>
  </si>
  <si>
    <t>6dd058ed-aa66-4ade-a16c-55b4280d3525</t>
  </si>
  <si>
    <t>dcab3861-b74c-4ebd-b10e-f6c4e6f6790f</t>
  </si>
  <si>
    <t>23a17779-a34f-4ac5-ac67-aa78bb85ef9f</t>
  </si>
  <si>
    <t>2025-01-15</t>
  </si>
  <si>
    <t>30000</t>
  </si>
  <si>
    <t>98b99e5a-d0c9-452c-b183-a1fd9c7d95b0</t>
  </si>
  <si>
    <t>e206f98e-abfd-4b4a-b3cf-4ca8ba343c96</t>
  </si>
  <si>
    <t>2025-01-17</t>
  </si>
  <si>
    <t>291.2</t>
  </si>
  <si>
    <t>76f5470b-c4a2-44d9-b4e5-0893f2a2191c</t>
  </si>
  <si>
    <t>2025-01-18</t>
  </si>
  <si>
    <t>39ca9481-546b-4626-9ec5-856a7588a5e2</t>
  </si>
  <si>
    <t>2025-01-20</t>
  </si>
  <si>
    <t>4f60a0cb-ee63-4ad1-8487-d393ee830937</t>
  </si>
  <si>
    <t>461a4d4e-a4d5-493b-9d2f-75732a33ab06</t>
  </si>
  <si>
    <t>2025-01-23</t>
  </si>
  <si>
    <t>92404e46-d023-476e-bcf6-b3ea645160a4</t>
  </si>
  <si>
    <t>82416686-6608-4a08-aac0-546795d7e0c8</t>
  </si>
  <si>
    <t>2025-01-25</t>
  </si>
  <si>
    <t>7ca936ff-f2d5-4626-8f18-4434d30449b7</t>
  </si>
  <si>
    <t>97</t>
  </si>
  <si>
    <t>a1868f4a-4642-4129-aaae-36acd4c01eb9</t>
  </si>
  <si>
    <t>2025-01-27</t>
  </si>
  <si>
    <t>63.5</t>
  </si>
  <si>
    <t>c53bc311-e6dd-4c41-be84-d02cfa08415e</t>
  </si>
  <si>
    <t>f88fedb9-4cc8-4cff-a67b-12fa103bfdca</t>
  </si>
  <si>
    <t>e53bc8be-b5d6-4351-b011-e88f88c01041</t>
  </si>
  <si>
    <t>a62a0552-7ae2-4089-a8b3-a7aafc17f9b4</t>
  </si>
  <si>
    <t>7e03204c-ea57-472a-a1e5-d785ebdea266</t>
  </si>
  <si>
    <t>5fc0fabb-6d54-4a9a-bb2d-a2c2a24a19b5</t>
  </si>
  <si>
    <t>4870d4b2-85a1-41f1-a014-fc24331fa796</t>
  </si>
  <si>
    <t>883b8048-f28c-4bf5-8c3d-05a94b78bddf</t>
  </si>
  <si>
    <t>6221cc83-7517-4708-947e-b08c0e692a45</t>
  </si>
  <si>
    <t>322.62</t>
  </si>
  <si>
    <t>d4e4df67-6ea9-432c-8e37-bd505d48217c</t>
  </si>
  <si>
    <t>2025-01-28</t>
  </si>
  <si>
    <t>52d2ecb2-f77e-476b-aa5c-5d4238714a09</t>
  </si>
  <si>
    <t>2025-01-29</t>
  </si>
  <si>
    <t>c9dd7b5c-166e-4782-97a5-5ce97ea8b033</t>
  </si>
  <si>
    <t>1aae7d78-ec63-4673-b2d6-1ff0cb3a9cb5</t>
  </si>
  <si>
    <t>2025-01-30</t>
  </si>
  <si>
    <t>1404.15</t>
  </si>
  <si>
    <t>76bd5538-9991-4492-a08a-6cc4d772649e</t>
  </si>
  <si>
    <t>1061.49</t>
  </si>
  <si>
    <t>31c1dd12-95b9-4c8f-b5ac-b0ed74bf9e6b</t>
  </si>
  <si>
    <t>2171.07</t>
  </si>
  <si>
    <t>8687ef46-4c58-44ed-b41a-c41a6e379d76</t>
  </si>
  <si>
    <t>5225</t>
  </si>
  <si>
    <t>33dacc37-2b8b-4097-b3f0-0d5849af6d48</t>
  </si>
  <si>
    <t>2025-02-01</t>
  </si>
  <si>
    <t>21166.79</t>
  </si>
  <si>
    <t>51ef35e7-f5e5-4afc-9929-4110b772b655</t>
  </si>
  <si>
    <t>11750</t>
  </si>
  <si>
    <t>2beedef4-6b56-484a-b249-f12d4d3661d7</t>
  </si>
  <si>
    <t>69336b73-0486-4ca4-8867-f15bdd0ce4f7</t>
  </si>
  <si>
    <t>2025-02-03</t>
  </si>
  <si>
    <t>116328ac-dba5-4505-b0a2-3861f9542928</t>
  </si>
  <si>
    <t>391e29aa-c95b-4c91-b6fb-8f8670d61a50</t>
  </si>
  <si>
    <t>3e278102-49d7-4554-8b15-bc57bf5564b8</t>
  </si>
  <si>
    <t>1025a3ed-60df-42b0-8fa1-867136baf68e</t>
  </si>
  <si>
    <t>8743c704-589e-427b-b9bd-b684c3e177cf</t>
  </si>
  <si>
    <t>2025-02-04</t>
  </si>
  <si>
    <t>1860.83</t>
  </si>
  <si>
    <t>34f77c30-3c77-4d31-8708-0213fd3dc6d2</t>
  </si>
  <si>
    <t>bd30536f-7ad1-4739-8d52-0190d49eba6b</t>
  </si>
  <si>
    <t>2025-02-05</t>
  </si>
  <si>
    <t>e97a44ad-fc7b-4b10-a63f-027b1cdbdafe</t>
  </si>
  <si>
    <t>2025-02-06</t>
  </si>
  <si>
    <t>16898.08</t>
  </si>
  <si>
    <t>3ff7fb02-0c22-4fcf-9893-f0750b453952</t>
  </si>
  <si>
    <t>4531.07</t>
  </si>
  <si>
    <t>5e3bb235-3cff-4cc6-a5d5-83c8af786014</t>
  </si>
  <si>
    <t>a6fcaaff-0f75-49ae-a004-0d82e57ff3b8</t>
  </si>
  <si>
    <t>2025-02-08</t>
  </si>
  <si>
    <t>517.77</t>
  </si>
  <si>
    <t>4c08201a-ea01-4feb-96d6-8f4febaec0c0</t>
  </si>
  <si>
    <t>d88a5043-9384-464b-9635-9a532dba4df7</t>
  </si>
  <si>
    <t>2025-02-10</t>
  </si>
  <si>
    <t>7644.9</t>
  </si>
  <si>
    <t>9bc15105-4771-4002-a37b-3cdf4450e96f</t>
  </si>
  <si>
    <t>1019.2</t>
  </si>
  <si>
    <t>4077d199-a4ea-434c-b156-72a1770c135b</t>
  </si>
  <si>
    <t>1480.9</t>
  </si>
  <si>
    <t>99cd6cef-c001-480b-a6ba-a2518ee361dd</t>
  </si>
  <si>
    <t>1092</t>
  </si>
  <si>
    <t>dad2f9f0-c97e-4a62-84a3-6c4858a910dd</t>
  </si>
  <si>
    <t>693.08</t>
  </si>
  <si>
    <t>13b92e73-8e08-41ff-9729-05abd9428e63</t>
  </si>
  <si>
    <t>368.44</t>
  </si>
  <si>
    <t>87d0f001-dbe3-49c6-93a0-2b67a8809f7e</t>
  </si>
  <si>
    <t>a4407f78-776a-4b26-be4d-e44b6dbda520</t>
  </si>
  <si>
    <t>e156d4a8-74c0-4367-a49f-28dda45736b5</t>
  </si>
  <si>
    <t>7f6563d9-5c79-47fd-854d-1033fd07b5be</t>
  </si>
  <si>
    <t>d873417e-2da1-4aa9-9305-89385ced61d5</t>
  </si>
  <si>
    <t>2025-02-13</t>
  </si>
  <si>
    <t>9b319f6a-70b0-4be0-a9ef-9141fc05ceb0</t>
  </si>
  <si>
    <t>0feff519-2fed-4257-a498-c8501e32249b</t>
  </si>
  <si>
    <t>2025-02-14</t>
  </si>
  <si>
    <t>4768280d-ef6f-4740-b46e-bb73a8dbc59d</t>
  </si>
  <si>
    <t>dd33a5be-7b95-4c96-88e8-0e454e02b7a7</t>
  </si>
  <si>
    <t>2025-02-17</t>
  </si>
  <si>
    <t>-0.47</t>
  </si>
  <si>
    <t>b4eb1f42-f6bf-4c84-9bd3-83506fd3ba29</t>
  </si>
  <si>
    <t>125.36</t>
  </si>
  <si>
    <t>f2815c89-b9ea-4687-a01a-56e4cccec881</t>
  </si>
  <si>
    <t>5a404f43-1677-4c97-a50e-72a78e5ec9ac</t>
  </si>
  <si>
    <t>02656745-9123-4a21-9e0e-78ffc11e543e</t>
  </si>
  <si>
    <t>2025-02-19</t>
  </si>
  <si>
    <t>1990</t>
  </si>
  <si>
    <t>911f127e-d537-4e71-b933-a60c86f0b4ce</t>
  </si>
  <si>
    <t>796</t>
  </si>
  <si>
    <t>07aad3fe-152b-4cdf-a954-38fb85d29609</t>
  </si>
  <si>
    <t>e2d04bef-511e-4fa4-89c2-a89926e70b0d</t>
  </si>
  <si>
    <t>2025-02-21</t>
  </si>
  <si>
    <t>89971561-c35f-4835-b098-b327fb927b3a</t>
  </si>
  <si>
    <t>2025-02-24</t>
  </si>
  <si>
    <t>480f3fd6-3bfc-4871-aa37-bc93805e845b</t>
  </si>
  <si>
    <t>1c11c3e4-7eea-4ce5-b345-6b21992b3294</t>
  </si>
  <si>
    <t>2025-02-25</t>
  </si>
  <si>
    <t>ede77784-4e24-41fa-818c-9087486266ca</t>
  </si>
  <si>
    <t>8d65a95b-2bab-4a72-9e04-c4f12af1165f</t>
  </si>
  <si>
    <t>b7a44579-86ae-4c6b-96e6-547e2232ce5e</t>
  </si>
  <si>
    <t>82df12be-c665-4fde-a4e0-18d85bce7e61</t>
  </si>
  <si>
    <t>2025-02-26</t>
  </si>
  <si>
    <t>3dfd4136-64c8-49b4-87dc-dbbb9c2d8baf</t>
  </si>
  <si>
    <t>a07f9cc4-2c37-49b7-a484-cd406fc435b4</t>
  </si>
  <si>
    <t>2025-02-27</t>
  </si>
  <si>
    <t>5b9cf139-c529-44bb-bd12-e3fc533cff6a</t>
  </si>
  <si>
    <t>64.38</t>
  </si>
  <si>
    <t>bed32b2c-b875-4751-9f1d-5d3e9e016af2</t>
  </si>
  <si>
    <t>91fa2ee0-4c38-4c85-af2e-9717de1222a0</t>
  </si>
  <si>
    <t>c06f93f1-ff10-4075-81aa-6aec0a4d086a</t>
  </si>
  <si>
    <t>2025-02-28</t>
  </si>
  <si>
    <t>97da1882-7d80-4f25-addb-839a25f21f31</t>
  </si>
  <si>
    <t>414.44</t>
  </si>
  <si>
    <t>e3f32662-edbe-4e1c-94b1-5726cfb030f6</t>
  </si>
  <si>
    <t>2511.9</t>
  </si>
  <si>
    <t>bd6ac82e-6876-4d91-8d36-c4ce03bd9fa5</t>
  </si>
  <si>
    <t>39d893c2-635a-4ca0-96f7-0864e2f9ab74</t>
  </si>
  <si>
    <t>7a33a386-1f8e-484e-8aae-1d129fbabe90</t>
  </si>
  <si>
    <t>4cabec49-8a9e-4975-9c73-7e1d0d69118d</t>
  </si>
  <si>
    <t>afed6299-8c09-4d52-b655-edd61b3dcb79</t>
  </si>
  <si>
    <t>128.83</t>
  </si>
  <si>
    <t>92b67f83-9d6f-45c1-89f6-13b3cea9016a</t>
  </si>
  <si>
    <t>520f4f33-fd62-4ef0-a71d-a980ed204f0d</t>
  </si>
  <si>
    <t>6a7b5a73-cdd9-4f40-9d18-68ef7870d059</t>
  </si>
  <si>
    <t>2882</t>
  </si>
  <si>
    <t>5e17f7e4-6066-4cfb-bbd2-736471916e10</t>
  </si>
  <si>
    <t>2025-03-01</t>
  </si>
  <si>
    <t>9630.44</t>
  </si>
  <si>
    <t>bab7728c-4e9d-4972-afd5-79631f26f072</t>
  </si>
  <si>
    <t>781.12</t>
  </si>
  <si>
    <t>2ce071bc-c7b9-406a-820e-57974b16db76</t>
  </si>
  <si>
    <t>2025-03-03</t>
  </si>
  <si>
    <t>f62bc3d6-991d-49d1-b6a4-6d56c6dede3c</t>
  </si>
  <si>
    <t>2025-03-04</t>
  </si>
  <si>
    <t>1859.87</t>
  </si>
  <si>
    <t>e33c45bf-2742-46fd-89e9-77192d8e27cd</t>
  </si>
  <si>
    <t>2025-03-05</t>
  </si>
  <si>
    <t>7e611f8c-7d66-4e28-ba6b-8a3b87f0e5f8</t>
  </si>
  <si>
    <t>f7e24a8c-d7cd-4cc1-bf93-a80ba13c6dc7</t>
  </si>
  <si>
    <t>49492b7a-9ea3-48d9-bc59-7861729b641b</t>
  </si>
  <si>
    <t>86d44e2d-3805-4400-bef6-c62930f787e6</t>
  </si>
  <si>
    <t>eab54a6b-c338-4b9a-b941-4e3ed3b80fa5</t>
  </si>
  <si>
    <t>56c9d0d3-363d-4f9d-880f-fa4420dd00de</t>
  </si>
  <si>
    <t>f59f827e-f917-40e0-83d7-e19362cf2927</t>
  </si>
  <si>
    <t>2025-03-06</t>
  </si>
  <si>
    <t>7794a19b-1b51-4a52-b6f4-844bed6dde8c</t>
  </si>
  <si>
    <t>2025-03-07</t>
  </si>
  <si>
    <t>b1459cbc-2e80-49d7-91e7-94378eea5836</t>
  </si>
  <si>
    <t>22.6</t>
  </si>
  <si>
    <t>8a355b3c-d839-4f2c-b21f-8f89182133d6</t>
  </si>
  <si>
    <t>57311402-1452-495c-b09d-3c5a7440d87e</t>
  </si>
  <si>
    <t>2025-03-08</t>
  </si>
  <si>
    <t>307.42</t>
  </si>
  <si>
    <t>6238d2b3-5b43-462f-99a8-774725ddc302</t>
  </si>
  <si>
    <t>2025-03-10</t>
  </si>
  <si>
    <t>503ce816-0035-4712-b443-13b03a354204</t>
  </si>
  <si>
    <t>c0fe355a-3b1a-437e-b834-8944310fc29b</t>
  </si>
  <si>
    <t>72e75b93-d9d4-4ad7-8d56-c786b46082fc</t>
  </si>
  <si>
    <t>3576d8d8-21e9-49b5-b99c-6121f35a3059</t>
  </si>
  <si>
    <t>417.95</t>
  </si>
  <si>
    <t>01e9249e-5a60-45af-b37d-9069cca4d23b</t>
  </si>
  <si>
    <t>171</t>
  </si>
  <si>
    <t>6404d466-386a-42b9-8794-7608c07bede6</t>
  </si>
  <si>
    <t>f11959f0-8c7a-4eb8-82b8-4eea18ef62f3</t>
  </si>
  <si>
    <t>6ed1c837-cfd7-497f-a68c-002616564ff7</t>
  </si>
  <si>
    <t>d9c68ba9-144e-4353-8a34-bf17906f4454</t>
  </si>
  <si>
    <t>6927.68</t>
  </si>
  <si>
    <t>0a249287-e9fb-41b6-b847-b6973041cd13</t>
  </si>
  <si>
    <t>2289.94</t>
  </si>
  <si>
    <t>3b189f75-aa48-46ba-af69-a0ec5e87a23c</t>
  </si>
  <si>
    <t>2025-03-11</t>
  </si>
  <si>
    <t>7429.66</t>
  </si>
  <si>
    <t>01aff5da-3b38-48aa-b98c-c6bfe7b623be</t>
  </si>
  <si>
    <t>e1f36b23-8c7e-4188-b12f-32ee798c22d1</t>
  </si>
  <si>
    <t>6e2c3bcd-bdd8-439f-ba62-a98728f58567</t>
  </si>
  <si>
    <t>e5690149-de98-467c-bd52-dbf8775efa8e</t>
  </si>
  <si>
    <t>2025-03-12</t>
  </si>
  <si>
    <t>218.95</t>
  </si>
  <si>
    <t>1bbb9c6a-ad1e-4249-8e19-2c0d70b0a6c5</t>
  </si>
  <si>
    <t>24b1d588-4763-4977-84db-8f8044462dfa</t>
  </si>
  <si>
    <t>2025-03-13</t>
  </si>
  <si>
    <t>727</t>
  </si>
  <si>
    <t>4681faaf-e426-4c27-b4c1-27d81eb506bd</t>
  </si>
  <si>
    <t>2025-03-14</t>
  </si>
  <si>
    <t>10f76baf-6c07-4966-8466-5561c5c3159a</t>
  </si>
  <si>
    <t>b33e3adf-b7e3-452f-9f31-996cddd38926</t>
  </si>
  <si>
    <t>a66dffb6-50ca-4b38-856f-817a01db52c9</t>
  </si>
  <si>
    <t>2025-03-15</t>
  </si>
  <si>
    <t>9541.32</t>
  </si>
  <si>
    <t>0d51a6df-84b2-4858-96f1-0ae0746169c1</t>
  </si>
  <si>
    <t>19c1cbc3-367a-4a72-ae5c-e61dd4561403</t>
  </si>
  <si>
    <t>2025-03-17</t>
  </si>
  <si>
    <t>56e850c2-95b3-4431-8bee-062410332fc4</t>
  </si>
  <si>
    <t>2025-03-19</t>
  </si>
  <si>
    <t>640.77</t>
  </si>
  <si>
    <t>2aa59282-2dad-4f01-989d-b203491a0a36</t>
  </si>
  <si>
    <t>2025-03-21</t>
  </si>
  <si>
    <t>3b6aa621-eec5-4efe-9739-963a00430d1e</t>
  </si>
  <si>
    <t>2025-03-22</t>
  </si>
  <si>
    <t>59083b4a-5fde-40ec-956b-b8ed113ee9d5</t>
  </si>
  <si>
    <t>2025-03-24</t>
  </si>
  <si>
    <t>0d68290d-f4ae-4141-b619-715741133f93</t>
  </si>
  <si>
    <t>2025-03-25</t>
  </si>
  <si>
    <t>67.77</t>
  </si>
  <si>
    <t>37a00395-dd1d-484b-b537-7a02a0c63101</t>
  </si>
  <si>
    <t>1ce89695-2302-4a12-bd3f-9de32a6b6bae</t>
  </si>
  <si>
    <t>2025-03-26</t>
  </si>
  <si>
    <t>d0ec554c-3881-4b73-aa4a-78d5e3f78c4c</t>
  </si>
  <si>
    <t>2025-03-27</t>
  </si>
  <si>
    <t>7f0a2745-c3d1-4443-b797-efbecfe93e73</t>
  </si>
  <si>
    <t>49e33385-565c-46b7-8aad-b6d7f2949e45</t>
  </si>
  <si>
    <t>2025-03-28</t>
  </si>
  <si>
    <t>5608255d-1bef-4267-9459-e4628ec98e95</t>
  </si>
  <si>
    <t>2025-03-30</t>
  </si>
  <si>
    <t>1820.55</t>
  </si>
  <si>
    <t>345ee0b8-74b0-4b90-9469-96a4e96ca8c0</t>
  </si>
  <si>
    <t>64864975-9eaa-4851-9032-70fe93e3d71c</t>
  </si>
  <si>
    <t>417.44</t>
  </si>
  <si>
    <t>a1688e46-889e-403e-a0d3-4f876c80d4e2</t>
  </si>
  <si>
    <t>2091.07</t>
  </si>
  <si>
    <t>d33d0470-fbc7-4760-9b6c-66fe53261c65</t>
  </si>
  <si>
    <t>2025-03-31</t>
  </si>
  <si>
    <t>08a4c5a3-bee5-46d5-b206-969519e5e066</t>
  </si>
  <si>
    <t>567dd559-5ee4-4e2d-b3be-676561dd6fd4</t>
  </si>
  <si>
    <t>21beb83a-3586-4811-89fd-732b26798c31</t>
  </si>
  <si>
    <t>11e93285-6e61-4cf9-9b4e-d2dd2961d1df</t>
  </si>
  <si>
    <t>1706</t>
  </si>
  <si>
    <t>272efb6a-4c82-4594-a5fd-5a89be6c8bf4</t>
  </si>
  <si>
    <t>744.88</t>
  </si>
  <si>
    <t>ce9ffca1-d406-4a81-b332-e0de3408a345</t>
  </si>
  <si>
    <t>2025-04-01</t>
  </si>
  <si>
    <t>25404.83</t>
  </si>
  <si>
    <t>e5ac3781-529b-4d6b-a811-3a22bd2387db</t>
  </si>
  <si>
    <t>2662</t>
  </si>
  <si>
    <t>e6020327-00a7-4b04-a4b6-a9634f97e465</t>
  </si>
  <si>
    <t>7156.71</t>
  </si>
  <si>
    <t>69672292-252c-4011-ae76-cad13b5dd210</t>
  </si>
  <si>
    <t>3257</t>
  </si>
  <si>
    <t>446bcc44-3236-47ad-b4fd-0cfdd94d058a</t>
  </si>
  <si>
    <t>795.8</t>
  </si>
  <si>
    <t>d902bfad-f67c-4f20-ab23-6643ec04c113</t>
  </si>
  <si>
    <t>2025-04-02</t>
  </si>
  <si>
    <t>cb180b35-f593-4167-aff2-8eb30d7a9059</t>
  </si>
  <si>
    <t>5e85e34a-9a68-4647-909d-812c3b03a9b3</t>
  </si>
  <si>
    <t>2025-04-03</t>
  </si>
  <si>
    <t>db4f3ffb-1c36-4a63-827c-e17b0b550e3c</t>
  </si>
  <si>
    <t>2025-04-04</t>
  </si>
  <si>
    <t>1859.1</t>
  </si>
  <si>
    <t>e7e4e0f1-273f-4da3-8e89-40e746e05126</t>
  </si>
  <si>
    <t>6db9991a-f419-4875-a3bc-3208cd0959fa</t>
  </si>
  <si>
    <t>3c894131-2c4a-4754-a3f9-5df1b37a4a02</t>
  </si>
  <si>
    <t>92d49dda-5b74-441e-b25d-c3744cbec705</t>
  </si>
  <si>
    <t>15.61</t>
  </si>
  <si>
    <t>96574410-d637-4fa2-965c-3aa8310b7b49</t>
  </si>
  <si>
    <t>70a54034-2045-4a7d-8006-f9326dda62d3</t>
  </si>
  <si>
    <t>2025-04-05</t>
  </si>
  <si>
    <t>e4dfa8dc-916c-4050-afb5-46db3cb6625d</t>
  </si>
  <si>
    <t>2025-04-07</t>
  </si>
  <si>
    <t>7639ee9b-9dcc-4125-bb24-78274433d1e8</t>
  </si>
  <si>
    <t>2af0ecd2-a070-443d-b92e-01b8e30b5c59</t>
  </si>
  <si>
    <t>3fc3e611-0fef-48e8-974a-567c0d7b7de5</t>
  </si>
  <si>
    <t>6685.96</t>
  </si>
  <si>
    <t>bdc40176-d1c1-427c-861c-3acfce5a43d1</t>
  </si>
  <si>
    <t>52ffc5c4-89b6-464e-9ce5-b9c3e4967cc6</t>
  </si>
  <si>
    <t>2025-04-08</t>
  </si>
  <si>
    <t>272.74</t>
  </si>
  <si>
    <t>8cdf52f9-3545-4c72-ba77-07711aa57de0</t>
  </si>
  <si>
    <t>2025-04-09</t>
  </si>
  <si>
    <t>10458.37</t>
  </si>
  <si>
    <t>2e7734e6-81bc-4cce-9105-4113edcb75fb</t>
  </si>
  <si>
    <t>2736.31</t>
  </si>
  <si>
    <t>de818ac6-e301-4e63-b571-0c248292a123</t>
  </si>
  <si>
    <t>2025-04-10</t>
  </si>
  <si>
    <t>04495016-7b7f-466c-8123-a6119fa42138</t>
  </si>
  <si>
    <t>05652df8-8442-4bec-b1c7-f41d700c31fe</t>
  </si>
  <si>
    <t>1f1e2324-2316-4eb7-a413-8cccbb09173c</t>
  </si>
  <si>
    <t>25d3af45-0d4b-4f05-a362-e5634543408f</t>
  </si>
  <si>
    <t>396.84</t>
  </si>
  <si>
    <t>79db6f29-131b-438d-829e-40c1bc1407da</t>
  </si>
  <si>
    <t>ece4f130-18c9-450c-b1fb-21611ffe96bf</t>
  </si>
  <si>
    <t>57ee2874-6435-482a-b4d5-a2270aa4e07e</t>
  </si>
  <si>
    <t>8077d6bc-a2f4-48c9-b3f1-26962e0d6245</t>
  </si>
  <si>
    <t>2025-04-11</t>
  </si>
  <si>
    <t>c2f33737-5782-423c-830f-bf003fcab966</t>
  </si>
  <si>
    <t>2025-04-12</t>
  </si>
  <si>
    <t>ff6eb93c-05a8-4e24-9865-f0ce69fec76b</t>
  </si>
  <si>
    <t>f2202a3a-9a95-45a6-8e25-d073b129a96a</t>
  </si>
  <si>
    <t>2025-04-14</t>
  </si>
  <si>
    <t>480</t>
  </si>
  <si>
    <t>cd65ebf7-b96c-49bf-b36f-0f92833d1011</t>
  </si>
  <si>
    <t>2025-04-16</t>
  </si>
  <si>
    <t>7db519bc-2659-4fb7-b0be-c97ac2642b51</t>
  </si>
  <si>
    <t>016a8d38-6b68-4851-93d6-e355b8a530e2</t>
  </si>
  <si>
    <t>2025-04-17</t>
  </si>
  <si>
    <t>ab2d50dc-b7ce-44d6-95d3-4f8eb3b4eb28</t>
  </si>
  <si>
    <t>2025-04-18</t>
  </si>
  <si>
    <t>2dc3221c-29ed-46ab-8643-655816e380f0</t>
  </si>
  <si>
    <t>2025-04-22</t>
  </si>
  <si>
    <t>270</t>
  </si>
  <si>
    <t>63ff88c4-27df-40a0-b7f6-f1a874c60d29</t>
  </si>
  <si>
    <t>9e4c5238-1cbd-4dc3-9363-ae5f1db67327</t>
  </si>
  <si>
    <t>25d188a4-62e7-43a5-b6fa-b17199c2a70c</t>
  </si>
  <si>
    <t>d7890834-f0fe-4164-9ad3-9629f23f9ba7</t>
  </si>
  <si>
    <t>2025-04-23</t>
  </si>
  <si>
    <t>17.09</t>
  </si>
  <si>
    <t>ace37fdd-4e60-4af4-ad2f-a7fa7bc2e429</t>
  </si>
  <si>
    <t>2025-04-25</t>
  </si>
  <si>
    <t>bd5f9f99-79f7-4a61-a0cd-ba87ddc3b13b</t>
  </si>
  <si>
    <t>d32d133f-5aae-49e0-b010-4daee3c35512</t>
  </si>
  <si>
    <t>5a9a8f15-6837-45c4-becc-47e9d35d7669</t>
  </si>
  <si>
    <t>2025-04-28</t>
  </si>
  <si>
    <t>8047a2bc-164e-4bb9-af2d-4bbecdd5d29e</t>
  </si>
  <si>
    <t>9aca8c5e-88c8-48ed-b424-d7c96be8d27e</t>
  </si>
  <si>
    <t>d3b272cc-ffb0-4fb2-b606-360cb4f4dee2</t>
  </si>
  <si>
    <t>bb4011e3-990c-4d27-b672-43757a73ccd5</t>
  </si>
  <si>
    <t>2025-04-29</t>
  </si>
  <si>
    <t>33fef30e-56b5-4f29-90e5-079d816e511d</t>
  </si>
  <si>
    <t>2025-04-30</t>
  </si>
  <si>
    <t>b3b8a154-3ac3-4c20-bcec-33f81f4fd382</t>
  </si>
  <si>
    <t>6f669ad6-e7ef-4d0c-a6ba-dfce1b15859c</t>
  </si>
  <si>
    <t>ef1d94be-7713-42e5-b0e1-c9e8471da7da</t>
  </si>
  <si>
    <t>2242.11</t>
  </si>
  <si>
    <t>928734fd-ebdd-46ad-8433-b9c79ad482a5</t>
  </si>
  <si>
    <t>011888e8-e23b-4688-b248-e367ad11977d</t>
  </si>
  <si>
    <t>2025-05-01</t>
  </si>
  <si>
    <t>11194.39</t>
  </si>
  <si>
    <t>d8949af9-a0d2-461f-aea1-1c23fde7f293</t>
  </si>
  <si>
    <t>5000.13</t>
  </si>
  <si>
    <t>ce09c625-8e59-42f6-902f-3304153587de</t>
  </si>
  <si>
    <t>879.58</t>
  </si>
  <si>
    <t>2026-02-06T23:17:20.171Z</t>
  </si>
  <si>
    <t>2560a126-b7fe-4de5-a889-047f3aae53b0</t>
  </si>
  <si>
    <t>2025-05-02</t>
  </si>
  <si>
    <t>b145401a-ee9f-4231-a7ff-ae1a2ec219ea</t>
  </si>
  <si>
    <t>a2ef99b4-a3bb-4377-8a08-a823de7de59d</t>
  </si>
  <si>
    <t>122.01</t>
  </si>
  <si>
    <t>6ede7b0b-d419-4ded-afd2-58d88f8510d6</t>
  </si>
  <si>
    <t>972f1351-5748-4343-a983-a4ab1adf44b7</t>
  </si>
  <si>
    <t>dfcfc9a9-f5cc-4cd7-9934-79b1591adb10</t>
  </si>
  <si>
    <t>2025-05-03</t>
  </si>
  <si>
    <t>d81d4811-bc9b-41f8-9871-0c53da1a6b29</t>
  </si>
  <si>
    <t>2025-05-04</t>
  </si>
  <si>
    <t>1858.22</t>
  </si>
  <si>
    <t>b52af83e-258a-4f2a-a660-b9d51d424bf6</t>
  </si>
  <si>
    <t>b06511a8-648e-4609-852a-c5ab5ba747b1</t>
  </si>
  <si>
    <t>2025-05-05</t>
  </si>
  <si>
    <t>eb3cbee3-cb9a-4f56-9f61-753bf12d9cb5</t>
  </si>
  <si>
    <t>a291d1e6-8891-44d6-9b8e-78cbe9811cb5</t>
  </si>
  <si>
    <t>2025-05-07</t>
  </si>
  <si>
    <t>960.2</t>
  </si>
  <si>
    <t>760ef68a-0b94-4b54-a604-69cb9452fcb0</t>
  </si>
  <si>
    <t>85c475af-5004-446f-8549-e3369691c049</t>
  </si>
  <si>
    <t>94d9c542-c688-4d1e-8bbe-095559502ada</t>
  </si>
  <si>
    <t>2025-05-08</t>
  </si>
  <si>
    <t>37e811c8-93d3-49e7-809b-8df12400e3e6</t>
  </si>
  <si>
    <t>870b2460-6d11-47bd-9489-69932bfe961f</t>
  </si>
  <si>
    <t>2025-05-09</t>
  </si>
  <si>
    <t>080368a6-7cff-4573-a6d9-05fa2ba0bc95</t>
  </si>
  <si>
    <t>2025-05-10</t>
  </si>
  <si>
    <t>6959.02</t>
  </si>
  <si>
    <t>00ae9eb5-b2a2-4f30-bad2-1cc9857d8e80</t>
  </si>
  <si>
    <t>6347d239-08f4-4f30-a8d6-82a7b0f6ce91</t>
  </si>
  <si>
    <t>e4218b4f-379c-42bb-ad0d-261a3ed60178</t>
  </si>
  <si>
    <t>f69b6960-ff90-41e3-857c-34f7619284c1</t>
  </si>
  <si>
    <t>31c29fbe-47a6-4566-92c7-fb9257a917c5</t>
  </si>
  <si>
    <t>458.55</t>
  </si>
  <si>
    <t>96067394-c8b9-4477-83da-24eab6c5ff91</t>
  </si>
  <si>
    <t>2025-05-11</t>
  </si>
  <si>
    <t>d3bfc845-e1cf-4211-a01c-3304eff7f308</t>
  </si>
  <si>
    <t>2025-05-12</t>
  </si>
  <si>
    <t>28f0f603-c410-4923-bce9-13c4157a115f</t>
  </si>
  <si>
    <t>11268.37</t>
  </si>
  <si>
    <t>a1f27592-b5ec-4af2-9df5-979220ac0094</t>
  </si>
  <si>
    <t>8116caa5-9faa-425d-83b1-6df4136f600b</t>
  </si>
  <si>
    <t>9ec7024b-3625-44a8-86d4-ab769c087e77</t>
  </si>
  <si>
    <t>11710b6d-e6d7-46e5-87ad-aa413211a1fb</t>
  </si>
  <si>
    <t>2269.29</t>
  </si>
  <si>
    <t>0e6f5e75-e384-4e4b-9083-b4888c664803</t>
  </si>
  <si>
    <t>2025-05-13</t>
  </si>
  <si>
    <t>cc7b3a0c-864e-4ab5-b4e6-263d902d0342</t>
  </si>
  <si>
    <t>2025-05-14</t>
  </si>
  <si>
    <t>dc0ab852-7620-4bda-a245-8dc3a96e7cf9</t>
  </si>
  <si>
    <t>2025-05-15</t>
  </si>
  <si>
    <t>-0.41</t>
  </si>
  <si>
    <t>a6a2b45d-e5ea-4389-8046-b019076c7a37</t>
  </si>
  <si>
    <t>2025-05-16</t>
  </si>
  <si>
    <t>45a5ae87-c867-4b84-a05c-f38b58a5b9ef</t>
  </si>
  <si>
    <t>4702c9a1-64bd-494f-bdd2-6af5602ca24e</t>
  </si>
  <si>
    <t>2025-05-19</t>
  </si>
  <si>
    <t>f2c24da6-6d19-46d7-855c-6674e5fd4c17</t>
  </si>
  <si>
    <t>2025-05-20</t>
  </si>
  <si>
    <t>12f43116-d7ec-4dce-b269-f8f2313ede6a</t>
  </si>
  <si>
    <t>2025-05-21</t>
  </si>
  <si>
    <t>274071ac-2a37-4178-a911-513abe1b1a05</t>
  </si>
  <si>
    <t>97f558da-cf92-4ba6-806f-17e464490f9c</t>
  </si>
  <si>
    <t>2025-05-23</t>
  </si>
  <si>
    <t>98c89114-45d0-4721-9c6a-0fb7adbdc430</t>
  </si>
  <si>
    <t>2025-05-24</t>
  </si>
  <si>
    <t>03ed4a13-96e1-411e-a671-071633531936</t>
  </si>
  <si>
    <t>2025-05-25</t>
  </si>
  <si>
    <t>d5af9c58-68e8-4042-b739-bd919a71ab78</t>
  </si>
  <si>
    <t>2025-05-27</t>
  </si>
  <si>
    <t>7369f6db-496e-4281-b0d8-d746784d8ec9</t>
  </si>
  <si>
    <t>2025-05-28</t>
  </si>
  <si>
    <t>c506ffb3-363a-4c3e-86f4-eb6d18ba882e</t>
  </si>
  <si>
    <t>23f9e18a-80cb-472a-a8fb-ea54d368b610</t>
  </si>
  <si>
    <t>2025-05-29</t>
  </si>
  <si>
    <t>997</t>
  </si>
  <si>
    <t>b25152c8-361d-4884-9a9d-1144bd772125</t>
  </si>
  <si>
    <t>2025-05-30</t>
  </si>
  <si>
    <t>0d18aae9-0d81-46b2-90fd-6251587175f4</t>
  </si>
  <si>
    <t>8276d5f1-ce00-4e35-a555-4e369a69fbbe</t>
  </si>
  <si>
    <t>cbc5b041-6b14-4a6f-9fd6-a5d235a2fc76</t>
  </si>
  <si>
    <t>2235.56</t>
  </si>
  <si>
    <t>72894b7e-d59b-4f30-b950-417b2dab7e57</t>
  </si>
  <si>
    <t>2025-05-31</t>
  </si>
  <si>
    <t>5603f1b5-41b1-4329-818a-5d4e1a34876c</t>
  </si>
  <si>
    <t>1815</t>
  </si>
  <si>
    <t>4ae30966-ad18-4ec3-b662-ba0487859a15</t>
  </si>
  <si>
    <t>2025-06-01</t>
  </si>
  <si>
    <t>10286.53</t>
  </si>
  <si>
    <t>2026-02-06T23:17:18.616Z</t>
  </si>
  <si>
    <t>82e5634b-ad00-4035-8efc-d4c0e5fb8ed5</t>
  </si>
  <si>
    <t>16686.1</t>
  </si>
  <si>
    <t>b3810725-d36a-4d89-a244-600e774fc68f</t>
  </si>
  <si>
    <t>-1118.89</t>
  </si>
  <si>
    <t>72cbfa2c-8034-4b3b-9328-12545e9d42eb</t>
  </si>
  <si>
    <t>fed47fb0-1064-4517-b68f-c6cafd92fdcf</t>
  </si>
  <si>
    <t>834.02</t>
  </si>
  <si>
    <t>02aceb25-a10d-4102-9368-ca36cf537484</t>
  </si>
  <si>
    <t>2025-06-02</t>
  </si>
  <si>
    <t>5a968265-4fac-430f-8fd2-a03e61084d93</t>
  </si>
  <si>
    <t>39c62034-43fd-4d2f-981e-2711d470df36</t>
  </si>
  <si>
    <t>692d0c30-ff93-4242-84b7-975f6a3c3d2b</t>
  </si>
  <si>
    <t>65efb6ca-7b5e-488e-98ba-58a35bd334fd</t>
  </si>
  <si>
    <t>5bc0e7c2-0aa2-4fee-8505-8d449ee46c84</t>
  </si>
  <si>
    <t>2025-06-03</t>
  </si>
  <si>
    <t>9ed68d6b-144c-454f-bd10-43f6b103b15c</t>
  </si>
  <si>
    <t>9e37a539-c1e6-432d-b1f6-106f5f23c26c</t>
  </si>
  <si>
    <t>6c1cc73f-35f0-46ad-8613-988aed94e6dd</t>
  </si>
  <si>
    <t>2025-06-04</t>
  </si>
  <si>
    <t>1858.03</t>
  </si>
  <si>
    <t>ebac5f2a-0113-4c24-b553-ec6331f4f378</t>
  </si>
  <si>
    <t>91</t>
  </si>
  <si>
    <t>66385d41-4d52-4ba9-9185-707b65a954e9</t>
  </si>
  <si>
    <t>2025-06-05</t>
  </si>
  <si>
    <t>f20c7a6e-fa14-46a3-8855-d737ab271948</t>
  </si>
  <si>
    <t>2025-06-06</t>
  </si>
  <si>
    <t>d0bdd3b7-cb2f-4d1b-a4f9-ace47b66ebb7</t>
  </si>
  <si>
    <t>02813783-ec80-4bfa-9a8b-22ce428d3f5f</t>
  </si>
  <si>
    <t>2025-06-08</t>
  </si>
  <si>
    <t>266.18</t>
  </si>
  <si>
    <t>9cb01f12-83bf-48ca-bac8-395d2feabf3e</t>
  </si>
  <si>
    <t>2025-06-09</t>
  </si>
  <si>
    <t>8c5eb38f-dfc6-45b0-bd3d-71cf7f25e483</t>
  </si>
  <si>
    <t>612ffd3f-89ce-4009-b851-0dabd13a8868</t>
  </si>
  <si>
    <t>83.24</t>
  </si>
  <si>
    <t>e5125b9c-ff3a-4d6e-b533-6eddf8adf1fb</t>
  </si>
  <si>
    <t>eaffced7-2e9e-47b2-b80d-20ca98b155f9</t>
  </si>
  <si>
    <t>2025-06-10</t>
  </si>
  <si>
    <t>6975.33</t>
  </si>
  <si>
    <t>28201149-cd16-4d7e-91f7-eda8c9b9c158</t>
  </si>
  <si>
    <t>27765.89</t>
  </si>
  <si>
    <t>d4b337e6-92ab-41a0-94c0-48e3d2666f21</t>
  </si>
  <si>
    <t>92216d6b-5ba4-4226-9285-15aebadae9f2</t>
  </si>
  <si>
    <t>6299d15e-29e0-49d0-a8c3-f9d1b1701dad</t>
  </si>
  <si>
    <t>d3c3214b-76f2-451f-9847-873730b6ea67</t>
  </si>
  <si>
    <t>60e9dc93-d1aa-42c1-8888-1351b0607049</t>
  </si>
  <si>
    <t>211.38</t>
  </si>
  <si>
    <t>a1025f4a-59b6-4a91-973b-6b5b24deb438</t>
  </si>
  <si>
    <t>572811e5-cc16-472b-b8e5-b51aa0cf4ee4</t>
  </si>
  <si>
    <t>121.39</t>
  </si>
  <si>
    <t>f07a0f2e-2664-4d8f-81ff-77ce4e8814da</t>
  </si>
  <si>
    <t>11412.63</t>
  </si>
  <si>
    <t>13ef723b-2d7b-4a74-aefa-d4cdc6fb373f</t>
  </si>
  <si>
    <t>e53e8bcf-3119-43a3-96b8-10a30bc8f914</t>
  </si>
  <si>
    <t>83858179-6950-45ea-beb7-d5d8d63ed1c2</t>
  </si>
  <si>
    <t>2002.95</t>
  </si>
  <si>
    <t>78f923de-d7fb-4c3d-bdca-3d4273b35722</t>
  </si>
  <si>
    <t>0f7dce25-5927-44ab-abde-2c443795bf67</t>
  </si>
  <si>
    <t>2025-06-11</t>
  </si>
  <si>
    <t>6e28845b-17aa-4d5c-9609-141e68ee20d3</t>
  </si>
  <si>
    <t>85.4</t>
  </si>
  <si>
    <t>796537c5-a735-4355-8937-633bb53fb53a</t>
  </si>
  <si>
    <t>ab357f1e-d1da-4f3f-9565-310249ba7f54</t>
  </si>
  <si>
    <t>2b2d16a8-06f8-4b21-bc1a-3fcf4a18b9e0</t>
  </si>
  <si>
    <t>6e5c7600-0828-420a-b8c3-41f4bd1b6d9a</t>
  </si>
  <si>
    <t>2025-06-12</t>
  </si>
  <si>
    <t>dc7470b7-6823-4195-8c3b-fe5e1516effb</t>
  </si>
  <si>
    <t>2025-06-13</t>
  </si>
  <si>
    <t>6dff1e0e-a9e6-49d0-b553-0911e4924043</t>
  </si>
  <si>
    <t>2025-06-14</t>
  </si>
  <si>
    <t>bc38d2d4-34c1-43c9-b124-d53fd4ed1dea</t>
  </si>
  <si>
    <t>303cdf42-ee08-47f1-b740-e416109f9d18</t>
  </si>
  <si>
    <t>2025-06-16</t>
  </si>
  <si>
    <t>302.64</t>
  </si>
  <si>
    <t>72880e38-4878-4a87-9f94-34d92306d24a</t>
  </si>
  <si>
    <t>2025-06-18</t>
  </si>
  <si>
    <t>05e6da29-0bf0-4fda-9cf8-59b9cc438388</t>
  </si>
  <si>
    <t>2025-06-20</t>
  </si>
  <si>
    <t>e678c85d-bd43-4ecd-a1f4-a6db42051f09</t>
  </si>
  <si>
    <t>98a38112-6f47-4819-b86b-d76c5e447d7d</t>
  </si>
  <si>
    <t>ab16db54-7208-493b-bc66-d96796818cab</t>
  </si>
  <si>
    <t>2025-06-21</t>
  </si>
  <si>
    <t>a53557f9-0c63-4ef3-b6c4-369bb6b0f175</t>
  </si>
  <si>
    <t>2025-06-23</t>
  </si>
  <si>
    <t>55968651-2964-4e84-9214-79dfedc0d6a6</t>
  </si>
  <si>
    <t>2025-06-24</t>
  </si>
  <si>
    <t>65969e68-cf71-4dc4-a6c3-9b57fa3a388f</t>
  </si>
  <si>
    <t>a89ba7c1-7f3e-40cc-bb60-1452dff7e8ac</t>
  </si>
  <si>
    <t>2025-06-25</t>
  </si>
  <si>
    <t>61f34a7c-e6e0-4eb3-9541-ce09956c2c24</t>
  </si>
  <si>
    <t>2025-06-26</t>
  </si>
  <si>
    <t>36.89</t>
  </si>
  <si>
    <t>a88262c7-a8e5-4cbc-b19d-c13a6ebcf6be</t>
  </si>
  <si>
    <t>4a7d004a-e716-4b41-91e8-a26199c9a6d7</t>
  </si>
  <si>
    <t>9f9b80be-d067-435e-aa7d-18213f4833f3</t>
  </si>
  <si>
    <t>6caac42c-382b-47c7-a8a9-de5e0d3a64b4</t>
  </si>
  <si>
    <t>2025-06-27</t>
  </si>
  <si>
    <t>8c2bcd31-6ae5-474b-b5a0-e4629d699b0f</t>
  </si>
  <si>
    <t>2025-06-28</t>
  </si>
  <si>
    <t>6171</t>
  </si>
  <si>
    <t>c4fac823-2fed-4e88-af29-e00185725ff4</t>
  </si>
  <si>
    <t>2025-06-29</t>
  </si>
  <si>
    <t>25f2e844-d483-43da-9203-299fe85577b9</t>
  </si>
  <si>
    <t>2025-06-30</t>
  </si>
  <si>
    <t>b743efd7-f7b6-497e-a5f3-75963edd74be</t>
  </si>
  <si>
    <t>f08a2def-8c50-40f6-b091-2df07d4f5736</t>
  </si>
  <si>
    <t>2182.11</t>
  </si>
  <si>
    <t>b6e6cbd1-a83d-47eb-adb6-b25209372a82</t>
  </si>
  <si>
    <t>f9e0073d-74ce-4e5a-9036-b01e5ce7a411</t>
  </si>
  <si>
    <t>27c4968a-b54e-4926-b150-d422214c1fef</t>
  </si>
  <si>
    <t>257.3</t>
  </si>
  <si>
    <t>02adb1d4-918e-45e9-9430-7d8b783bdfc1</t>
  </si>
  <si>
    <t>6b76bb19-308c-4c59-8a4f-bcab84c6c189</t>
  </si>
  <si>
    <t>b3778e84-4b48-48e7-8c93-69688b30f2e8</t>
  </si>
  <si>
    <t>199.4</t>
  </si>
  <si>
    <t>Importado da planilha legada (linha 84) [LEGADO:SKIPPED]</t>
  </si>
  <si>
    <t>b91dcd10-e426-430c-ba2c-49e69017c80e</t>
  </si>
  <si>
    <t>2025-07-01</t>
  </si>
  <si>
    <t>11847.84</t>
  </si>
  <si>
    <t>07a01a16-caea-468f-b7cd-4af4a99287a3</t>
  </si>
  <si>
    <t>8258.23</t>
  </si>
  <si>
    <t>484eefa9-d11c-4782-b9d9-5cdcae2bbdc0</t>
  </si>
  <si>
    <t>24229.93</t>
  </si>
  <si>
    <t>06fce667-8651-4f4f-931d-f193b00602ac</t>
  </si>
  <si>
    <t>910.2</t>
  </si>
  <si>
    <t>0902f46f-3131-4635-8707-f18e6a8d9ace</t>
  </si>
  <si>
    <t>4d20b589-2fd1-400e-9896-359931c2e0d7</t>
  </si>
  <si>
    <t>1bd07558-f965-490e-9cc1-c3fcb9b87f43</t>
  </si>
  <si>
    <t>028608e2-a723-4309-8eb4-5c76930cbeb5</t>
  </si>
  <si>
    <t>2025-07-02</t>
  </si>
  <si>
    <t>16137561-8f01-4f4a-8f98-432bb82992e1</t>
  </si>
  <si>
    <t>04cc5213-e7ac-4429-8821-99f08288ccf3</t>
  </si>
  <si>
    <t>02968c30-b620-45f8-a18e-295098531c20</t>
  </si>
  <si>
    <t>2025-07-03</t>
  </si>
  <si>
    <t>bebf88a5-4ac2-4c8a-9c63-e341aa09b90b</t>
  </si>
  <si>
    <t>ec6408a1-25a9-4b64-8321-4678fce44ef1</t>
  </si>
  <si>
    <t>2d30f8d6-deee-41b8-a16c-d0b66f730547</t>
  </si>
  <si>
    <t>6ac40b71-5cb6-4c34-b9db-8d16763b664f</t>
  </si>
  <si>
    <t>2025-07-04</t>
  </si>
  <si>
    <t>1857.78</t>
  </si>
  <si>
    <t>68180dff-2463-41ac-920c-7acd6d25c062</t>
  </si>
  <si>
    <t>32.5</t>
  </si>
  <si>
    <t>be919d8a-8025-4f53-b8b1-95b3c0ff8b67</t>
  </si>
  <si>
    <t>2025-07-05</t>
  </si>
  <si>
    <t>313</t>
  </si>
  <si>
    <t>b3d1a6cb-6804-4c58-a196-d4dbc271dacd</t>
  </si>
  <si>
    <t>688</t>
  </si>
  <si>
    <t>a929aa24-1e14-4842-b488-ea72640e9864</t>
  </si>
  <si>
    <t>0deeea55-0974-460e-b597-80591bb9ec6e</t>
  </si>
  <si>
    <t>2025-07-06</t>
  </si>
  <si>
    <t>2a099eb7-b394-49cf-9d8a-170051959357</t>
  </si>
  <si>
    <t>2025-07-07</t>
  </si>
  <si>
    <t>20.7</t>
  </si>
  <si>
    <t>394b8aec-1b48-4056-a30d-111b7dd7ff6d</t>
  </si>
  <si>
    <t>730</t>
  </si>
  <si>
    <t>3d712938-a35e-4c60-b27e-b0db18ed570f</t>
  </si>
  <si>
    <t>e08e94c0-3927-41f7-9e90-ac92e9dc3182</t>
  </si>
  <si>
    <t>8898bfb7-7867-4554-be76-7c79ab6179d1</t>
  </si>
  <si>
    <t>2025-07-08</t>
  </si>
  <si>
    <t>247.79</t>
  </si>
  <si>
    <t>4e66317d-f4b7-4ac0-97cd-6f6f4fad1221</t>
  </si>
  <si>
    <t>2cfb813b-86c0-43d8-82d4-025e1be30e35</t>
  </si>
  <si>
    <t>1edb7784-f5dd-48b0-aff7-15ec9f2e3856</t>
  </si>
  <si>
    <t>2025-07-09</t>
  </si>
  <si>
    <t>f8977d73-fac6-47ea-8fc1-4c14628b7236</t>
  </si>
  <si>
    <t>2025-07-10</t>
  </si>
  <si>
    <t>7973.37</t>
  </si>
  <si>
    <t>9a0e119e-6f9b-4f05-9133-893460d442a0</t>
  </si>
  <si>
    <t>570f86cc-18f9-4626-9c0e-c862156df814</t>
  </si>
  <si>
    <t>a42258ce-4d88-4bc7-91e3-d15a86063c2f</t>
  </si>
  <si>
    <t>afec236f-6c5a-461f-8a08-33266d947915</t>
  </si>
  <si>
    <t>3dc5adac-b17c-4469-b3e8-2c06e26fe073</t>
  </si>
  <si>
    <t>517.04</t>
  </si>
  <si>
    <t>78285180-7060-4bf9-81b7-87f632e4c791</t>
  </si>
  <si>
    <t>a9018fb6-c6bb-4722-8480-9e5eb3de161e</t>
  </si>
  <si>
    <t>d7a97f31-6c71-4ccf-81bb-751866beb15d</t>
  </si>
  <si>
    <t>88899b9c-b490-4726-beca-314c05ac6990</t>
  </si>
  <si>
    <t>5526.19</t>
  </si>
  <si>
    <t>d4eb7674-6fb3-4d1f-9154-196171e4bfc0</t>
  </si>
  <si>
    <t>9612.11</t>
  </si>
  <si>
    <t>4f898401-202e-4efd-8446-c5db953ddec6</t>
  </si>
  <si>
    <t>2025-07-11</t>
  </si>
  <si>
    <t>21e49e7b-492b-4f3a-81e1-db47b7b9a68e</t>
  </si>
  <si>
    <t>847363fc-a9b7-4650-ada5-7416b1c233e8</t>
  </si>
  <si>
    <t>266e44c7-ddab-4e5c-b07a-509b2f5e2ad1</t>
  </si>
  <si>
    <t>ec4534eb-e96e-4cc4-9043-c7ff7a01d5c5</t>
  </si>
  <si>
    <t>2025-07-12</t>
  </si>
  <si>
    <t>6a7d3840-7203-4a1b-8a6f-bf0fd7287130</t>
  </si>
  <si>
    <t>2025-07-13</t>
  </si>
  <si>
    <t>58fa8fc2-ef22-43d9-8af9-9e509c37161d</t>
  </si>
  <si>
    <t>664d8450-a068-4015-84d7-0073b11617ca</t>
  </si>
  <si>
    <t>2025-07-14</t>
  </si>
  <si>
    <t>43a350f8-58a0-4da3-aa13-7579d5c8d810</t>
  </si>
  <si>
    <t>fa59f21a-aa38-4e31-9090-3fcd08bd1946</t>
  </si>
  <si>
    <t>62b9ea75-a482-4869-84a3-cb9ae9ee5d0e</t>
  </si>
  <si>
    <t>5fe942a5-e561-4049-b23b-f37fc17dbe57</t>
  </si>
  <si>
    <t>04b3d1d3-d21c-4e30-aa56-1688cbb8ce6f</t>
  </si>
  <si>
    <t>6c73edf9-e06f-49ad-9944-08901ff4952b</t>
  </si>
  <si>
    <t>2025-07-15</t>
  </si>
  <si>
    <t>cd0fb13b-5365-440c-8a2b-c7d3a0725d15</t>
  </si>
  <si>
    <t>2025-07-16</t>
  </si>
  <si>
    <t>2193.99</t>
  </si>
  <si>
    <t>af96cccb-fc88-478e-8c66-52f42847eba8</t>
  </si>
  <si>
    <t>91f42631-ab8c-4143-bcb2-966a98142ac0</t>
  </si>
  <si>
    <t>524bdfd9-f9c5-45d5-a832-ee88b75668e8</t>
  </si>
  <si>
    <t>2025-07-17</t>
  </si>
  <si>
    <t>e8a67d2e-db4d-4fcf-84f9-4c47e6441a72</t>
  </si>
  <si>
    <t>b5a8da6d-3545-48e7-8c83-effe974ae6b5</t>
  </si>
  <si>
    <t>9d69d1bf-de6e-4f86-a8ee-bb0b546c427f</t>
  </si>
  <si>
    <t>7bd1a1b9-6dae-4b56-857f-e9b57c1114a9</t>
  </si>
  <si>
    <t>120.14</t>
  </si>
  <si>
    <t>c06832ee-25c1-4a9a-b9ce-90c5768f9ba8</t>
  </si>
  <si>
    <t>812c85bc-3c3a-4758-9f62-0ddf49ae63f8</t>
  </si>
  <si>
    <t>44b2736c-1bf0-42ab-8ae1-858d39c032ef</t>
  </si>
  <si>
    <t>2025-07-18</t>
  </si>
  <si>
    <t>774c303b-7ae6-4081-94fa-7da7a7642757</t>
  </si>
  <si>
    <t>2025-07-19</t>
  </si>
  <si>
    <t>590</t>
  </si>
  <si>
    <t>20588c77-4280-4d3c-98b9-1b0984d6cf11</t>
  </si>
  <si>
    <t>2025-07-20</t>
  </si>
  <si>
    <t>38a00172-f34e-4484-b335-b629fd147623</t>
  </si>
  <si>
    <t>2025-07-21</t>
  </si>
  <si>
    <t>1a417ab0-edab-49bc-943c-14cd6c3e3ab3</t>
  </si>
  <si>
    <t>2025-07-23</t>
  </si>
  <si>
    <t>f0373369-a125-4d43-b5ec-e2ea3b2e438b</t>
  </si>
  <si>
    <t>57f985da-3457-4046-95dd-bc538bc976fd</t>
  </si>
  <si>
    <t>2025-07-24</t>
  </si>
  <si>
    <t>4dec99a0-850b-496d-99b1-2ed864067411</t>
  </si>
  <si>
    <t>74a57597-4416-4452-abbb-5a5a13477398</t>
  </si>
  <si>
    <t>1c8824dd-68a4-4228-9139-d0ffeccef3d7</t>
  </si>
  <si>
    <t>2025-07-26</t>
  </si>
  <si>
    <t>bf979ce7-7af0-4805-8648-b0c564c7a015</t>
  </si>
  <si>
    <t>0a9ef981-fe58-45af-b049-caf3520ef441</t>
  </si>
  <si>
    <t>f3092c68-4c00-4f1a-b6dd-2d65a561f061</t>
  </si>
  <si>
    <t>2025-07-27</t>
  </si>
  <si>
    <t>f294d8a2-9a35-484f-ab14-ef37eefbc821</t>
  </si>
  <si>
    <t>aa519bc4-5f59-436c-9a87-712ef58ba518</t>
  </si>
  <si>
    <t>2025-07-28</t>
  </si>
  <si>
    <t>646d612c-8e07-474d-9caf-b5b95ba86a5e</t>
  </si>
  <si>
    <t>b0dd8ab3-1ee3-4a76-97be-fc949cf204e2</t>
  </si>
  <si>
    <t>2025-07-29</t>
  </si>
  <si>
    <t>bc50044e-e4c9-4306-93bc-bd1854ceb4bd</t>
  </si>
  <si>
    <t>2025-07-30</t>
  </si>
  <si>
    <t>a97816ab-eae8-4421-96ee-1e9d9d9f76f5</t>
  </si>
  <si>
    <t>ba2fc52e-5694-491e-8702-9b14dd1c02c4</t>
  </si>
  <si>
    <t>f24eae85-0074-494f-be96-63b15e943bbc</t>
  </si>
  <si>
    <t>2268.3</t>
  </si>
  <si>
    <t>89f21ee2-551e-4e7e-8a1d-32c6f5c34e66</t>
  </si>
  <si>
    <t>2025-07-31</t>
  </si>
  <si>
    <t>2333be5f-0f1f-4a4f-a4af-8fe5ef825e42</t>
  </si>
  <si>
    <t>2808</t>
  </si>
  <si>
    <t>2cacd517-bdbe-43c1-9056-f6aba117f7cb</t>
  </si>
  <si>
    <t>2025-08-01</t>
  </si>
  <si>
    <t>8476.85</t>
  </si>
  <si>
    <t>2e5d6c4a-729e-465d-bf94-508f09ce33f4</t>
  </si>
  <si>
    <t>9702.17</t>
  </si>
  <si>
    <t>01537cf8-c878-4d74-a6eb-fbfd00acc23a</t>
  </si>
  <si>
    <t>-1840.31</t>
  </si>
  <si>
    <t>61e59e52-9d40-4a53-88ae-bc6a4bfe41f1</t>
  </si>
  <si>
    <t>9accc619-46b1-4db6-89d6-6ea09d9324d7</t>
  </si>
  <si>
    <t>449.4</t>
  </si>
  <si>
    <t>07c622ea-cb57-477c-9040-886fae806e33</t>
  </si>
  <si>
    <t>f7fb141d-d307-4e85-b332-cf3db73f1f11</t>
  </si>
  <si>
    <t>2394.8</t>
  </si>
  <si>
    <t>607523b5-f62d-431a-9371-ad80208ab002</t>
  </si>
  <si>
    <t>c0f82676-2915-4cd3-af3d-76d2215c5e0a</t>
  </si>
  <si>
    <t>a8d8985d-7d86-4167-9a11-0bca81ef0379</t>
  </si>
  <si>
    <t>2025-08-02</t>
  </si>
  <si>
    <t>709c67b9-2d29-497c-b8db-0fcf535bd2fa</t>
  </si>
  <si>
    <t>2025-08-03</t>
  </si>
  <si>
    <t>accbd2ae-b816-4511-be21-fd177d3f7e89</t>
  </si>
  <si>
    <t>2760b6ea-a067-47e9-b75f-f22f50d4b80f</t>
  </si>
  <si>
    <t>2025-08-04</t>
  </si>
  <si>
    <t>1857.59</t>
  </si>
  <si>
    <t>3cba51a4-d63b-441a-8ee3-96286cb471ca</t>
  </si>
  <si>
    <t>5fd72c13-03b4-4cba-84f0-7560046a0ff0</t>
  </si>
  <si>
    <t>2025-08-05</t>
  </si>
  <si>
    <t>371.1</t>
  </si>
  <si>
    <t>48f9309f-a50c-4c53-b4da-a83a33c18dc9</t>
  </si>
  <si>
    <t>ae3f6e3a-b528-4bd6-b7e8-cd6e0e8740aa</t>
  </si>
  <si>
    <t>2025-08-06</t>
  </si>
  <si>
    <t>8ea7636e-a661-4da3-a08b-29ca2d98a365</t>
  </si>
  <si>
    <t>2025-08-08</t>
  </si>
  <si>
    <t>294.14</t>
  </si>
  <si>
    <t>88b3a7e9-24f7-49d2-a32d-1547f14c25a8</t>
  </si>
  <si>
    <t>dc446a0b-7233-4070-834b-a20785dbf527</t>
  </si>
  <si>
    <t>0f1da82d-1dff-4ee4-ac17-87f2ba5a1303</t>
  </si>
  <si>
    <t>4a82b5a9-8706-4d8c-938f-7928e96afd55</t>
  </si>
  <si>
    <t>3ced18b1-cccf-425e-8dd7-e74d87019dfd</t>
  </si>
  <si>
    <t>2025-08-09</t>
  </si>
  <si>
    <t>6b52fb4a-3461-4154-a2e9-cc594ff8c56b</t>
  </si>
  <si>
    <t>2025-08-10</t>
  </si>
  <si>
    <t>6510.63</t>
  </si>
  <si>
    <t>bebf6d28-ee03-4264-b999-a0bf87b12028</t>
  </si>
  <si>
    <t>3690e696-b358-408a-b512-d703323a6dd7</t>
  </si>
  <si>
    <t>04034698-8077-45e0-a3ae-0e994d4272f8</t>
  </si>
  <si>
    <t>0a616a7e-9783-4746-9ed8-8c01683611cd</t>
  </si>
  <si>
    <t>f489bc00-f071-4a7f-9812-0f01cb3ef4ad</t>
  </si>
  <si>
    <t>402.78</t>
  </si>
  <si>
    <t>20c8aa5d-945b-48d7-b5e3-12ef24196a70</t>
  </si>
  <si>
    <t>10705.1</t>
  </si>
  <si>
    <t>9dcfb439-bdf6-4ca3-927b-75399acfa02f</t>
  </si>
  <si>
    <t>1695.57</t>
  </si>
  <si>
    <t>92622750-384e-48c6-a088-c6f93bce2498</t>
  </si>
  <si>
    <t>2025-08-11</t>
  </si>
  <si>
    <t>3920</t>
  </si>
  <si>
    <t>28aa7961-78a3-4f70-af16-b5d836ab76fd</t>
  </si>
  <si>
    <t>f29142a9-43b7-4ea2-9e0b-a364f2a4b366</t>
  </si>
  <si>
    <t>fec5e9d8-ef0a-4b80-8e0c-8f340c4fbab6</t>
  </si>
  <si>
    <t>263.61</t>
  </si>
  <si>
    <t>9e037006-c146-4de0-bf54-60972085b9ee</t>
  </si>
  <si>
    <t>98be0b78-ce57-4cad-8e0b-bd18b303b390</t>
  </si>
  <si>
    <t>2025-08-12</t>
  </si>
  <si>
    <t>1d3a6c63-0cc9-4986-8835-2b2deb530af2</t>
  </si>
  <si>
    <t>ac35e0cc-559d-4922-953f-fa1ec01d7b6e</t>
  </si>
  <si>
    <t>2025-08-13</t>
  </si>
  <si>
    <t>4ca613bf-9929-4af6-96a1-02f35749cff1</t>
  </si>
  <si>
    <t>e949e4a8-5edd-4a47-b9a6-b87b893a3710</t>
  </si>
  <si>
    <t>2025-08-14</t>
  </si>
  <si>
    <t>793cff7c-dead-4c83-b260-2213356b7843</t>
  </si>
  <si>
    <t>2025-08-16</t>
  </si>
  <si>
    <t>7caa925d-de4c-47ad-b248-d3edc4c16439</t>
  </si>
  <si>
    <t>2025-08-17</t>
  </si>
  <si>
    <t>f534dc28-858e-45e2-9110-6baa2a61b434</t>
  </si>
  <si>
    <t>7ddfb823-93a7-4633-ae04-aa2bdde88e8e</t>
  </si>
  <si>
    <t>32da18bd-172b-4e47-9e41-ffd9bf4562fb</t>
  </si>
  <si>
    <t>2025-08-18</t>
  </si>
  <si>
    <t>a2010b3a-cd2c-4bfa-978f-6bc8370afa4f</t>
  </si>
  <si>
    <t>24e61f3d-a072-4325-83e4-6117fe54811a</t>
  </si>
  <si>
    <t>96.9</t>
  </si>
  <si>
    <t>0c9782e3-b569-4b81-9fd1-de5b026ec00c</t>
  </si>
  <si>
    <t>9e1dc2ea-54e1-4cac-aab0-fdd1d3982d08</t>
  </si>
  <si>
    <t>1aae198c-7405-4184-83e3-9f9ef81376e4</t>
  </si>
  <si>
    <t>2025-08-22</t>
  </si>
  <si>
    <t>21fdeb1d-89c8-4001-9565-08ab87bc7d8b</t>
  </si>
  <si>
    <t>27bac855-a34c-445e-9d4b-23fb2305fa0d</t>
  </si>
  <si>
    <t>a031d35c-3d64-41f3-bbd0-dec0f00bb08d</t>
  </si>
  <si>
    <t>2025-08-23</t>
  </si>
  <si>
    <t>376a39c2-3a7d-40f8-824c-777aaf26135e</t>
  </si>
  <si>
    <t>2025-08-24</t>
  </si>
  <si>
    <t>3fa5104d-8f13-497c-a87a-2924fa8915d2</t>
  </si>
  <si>
    <t>2025-08-25</t>
  </si>
  <si>
    <t>0290ae5c-2f3e-47d6-a35c-5105c0f8767f</t>
  </si>
  <si>
    <t>2fe6973d-d0c3-4344-93fa-4f91f15c601c</t>
  </si>
  <si>
    <t>2025-08-27</t>
  </si>
  <si>
    <t>c7a6ab17-5f09-4851-81fd-998fb0e67023</t>
  </si>
  <si>
    <t>277</t>
  </si>
  <si>
    <t>17faaea2-c1c0-47d9-80d8-f68d8c0069e1</t>
  </si>
  <si>
    <t>24bfac7d-05a1-46ab-a6b8-59d6afdc6abc</t>
  </si>
  <si>
    <t>2a8505f5-c790-4932-b190-8be19a37cefb</t>
  </si>
  <si>
    <t>2025-08-28</t>
  </si>
  <si>
    <t>03fc4bc4-182d-40b7-8e12-f4ca98cc927a</t>
  </si>
  <si>
    <t>2025-08-29</t>
  </si>
  <si>
    <t>056b0e7d-b797-44b2-9f40-ff742a11a507</t>
  </si>
  <si>
    <t>2025-08-30</t>
  </si>
  <si>
    <t>7bdcef24-7bd5-434e-ba5f-bc348445f10c</t>
  </si>
  <si>
    <t>427.58</t>
  </si>
  <si>
    <t>01d69bc4-531e-4778-b167-dd864a8371ce</t>
  </si>
  <si>
    <t>72bbfaf5-f825-41a8-96cf-b6790f8f2c3e</t>
  </si>
  <si>
    <t>ddfcddf2-62b8-42a9-9835-ef2fec368122</t>
  </si>
  <si>
    <t>66</t>
  </si>
  <si>
    <t>346f0b26-a2a4-4169-9d0b-618cc0160023</t>
  </si>
  <si>
    <t>2025-08-31</t>
  </si>
  <si>
    <t>5671f7df-7e01-48ee-8658-f3f090d650b9</t>
  </si>
  <si>
    <t>f12cf697-8abf-47e4-9127-328c2c631361</t>
  </si>
  <si>
    <t>df480b76-1db1-4d3b-9cd7-94d2c2f81adf</t>
  </si>
  <si>
    <t>2025-09-01</t>
  </si>
  <si>
    <t>9537.34</t>
  </si>
  <si>
    <t>066e4993-c640-42e9-b63d-8db9f9b89c26</t>
  </si>
  <si>
    <t>9513.8</t>
  </si>
  <si>
    <t>3a3876a1-e909-4a7b-95a8-3e0dc071d829</t>
  </si>
  <si>
    <t>11404.05</t>
  </si>
  <si>
    <t>5eb71a47-191e-43fe-ab50-77acbccd48a9</t>
  </si>
  <si>
    <t>-10097.05</t>
  </si>
  <si>
    <t>4a0325bb-cc85-4200-a8f7-ca8721e98846</t>
  </si>
  <si>
    <t>d7cbda9a-57cd-4565-b6bd-e3e3d7156a0f</t>
  </si>
  <si>
    <t>279.15</t>
  </si>
  <si>
    <t>38448c90-95fc-47a7-9899-67a62cc5b4a6</t>
  </si>
  <si>
    <t>6edb81f1-90b6-4df7-bd1d-4600ffe44575</t>
  </si>
  <si>
    <t>2025-09-02</t>
  </si>
  <si>
    <t>53311769-8553-47e4-ab3a-a6e34d5bc860</t>
  </si>
  <si>
    <t>2025-09-03</t>
  </si>
  <si>
    <t>dcae0b2f-1bd5-4415-bb7e-2fa87a241462</t>
  </si>
  <si>
    <t>2025-09-04</t>
  </si>
  <si>
    <t>1857.33</t>
  </si>
  <si>
    <t>690cf868-43d0-45e4-ba5d-0ab23572a229</t>
  </si>
  <si>
    <t>2025-09-05</t>
  </si>
  <si>
    <t>370.86</t>
  </si>
  <si>
    <t>6ff29c92-8e31-4c30-8e74-8393b15666db</t>
  </si>
  <si>
    <t>055a4bcd-2a08-4977-9ff0-770764332745</t>
  </si>
  <si>
    <t>5f5b0843-aaaa-48c3-b4f6-330302d2dc29</t>
  </si>
  <si>
    <t>2025-09-06</t>
  </si>
  <si>
    <t>24155f34-70ef-42ea-8531-37c467722257</t>
  </si>
  <si>
    <t>2025-09-08</t>
  </si>
  <si>
    <t>317.19</t>
  </si>
  <si>
    <t>a94fa22c-9016-49f6-874f-86ca9e3477b4</t>
  </si>
  <si>
    <t>4cc52ca1-6be5-4dd2-9994-b28ae3d2edee</t>
  </si>
  <si>
    <t>127.64</t>
  </si>
  <si>
    <t>442b5967-b9e2-42ab-8dd5-40fea055539b</t>
  </si>
  <si>
    <t>32.24</t>
  </si>
  <si>
    <t>561c31c0-2c04-4287-bad9-124470baaf29</t>
  </si>
  <si>
    <t>14d1f1aa-fdfe-4bd4-87c1-27855f625160</t>
  </si>
  <si>
    <t>430</t>
  </si>
  <si>
    <t>83c5ed0f-1ab9-4a19-bfd1-2d7197ec5c8f</t>
  </si>
  <si>
    <t>2025-09-09</t>
  </si>
  <si>
    <t>501.24</t>
  </si>
  <si>
    <t>88adcec6-7164-4989-a630-e484330dd553</t>
  </si>
  <si>
    <t>2025-09-10</t>
  </si>
  <si>
    <t>7534.6</t>
  </si>
  <si>
    <t>dead9082-408e-4f81-905b-3d8068aaf0f5</t>
  </si>
  <si>
    <t>b6df3b6d-1eb4-4ed5-bef6-cd9ecd6d561e</t>
  </si>
  <si>
    <t>9343b9da-b7d5-4139-8ad6-6b2343c05fb3</t>
  </si>
  <si>
    <t>3d80215f-5171-49a1-9b93-561074eb4164</t>
  </si>
  <si>
    <t>21b77758-7220-400e-a374-36787c37af5b</t>
  </si>
  <si>
    <t>380.11</t>
  </si>
  <si>
    <t>9d406b51-7526-4fab-9fc9-7cd6c58add15</t>
  </si>
  <si>
    <t>e09ec543-e0a3-4112-9e96-9135d936085b</t>
  </si>
  <si>
    <t>394.2</t>
  </si>
  <si>
    <t>1c998887-45da-4176-a20a-f3c771808ad5</t>
  </si>
  <si>
    <t>043b1501-3f9f-45e9-96d0-5649cf22abec</t>
  </si>
  <si>
    <t>ed5bb77b-cad3-4517-8113-cab09bc10e72</t>
  </si>
  <si>
    <t>12402.86</t>
  </si>
  <si>
    <t>7017dd36-24bd-4346-999c-781b18d1225f</t>
  </si>
  <si>
    <t>3060.95</t>
  </si>
  <si>
    <t>0f9d8da3-4cdc-4383-9766-1370393c97f6</t>
  </si>
  <si>
    <t>588.82</t>
  </si>
  <si>
    <t>9b0399ad-5d2d-4707-b366-2cb0e43c3369</t>
  </si>
  <si>
    <t>2025-09-12</t>
  </si>
  <si>
    <t>9e10fea1-5398-4822-a67e-0388470f86f3</t>
  </si>
  <si>
    <t>2025-09-13</t>
  </si>
  <si>
    <t>341a5078-6d83-45eb-9b50-860a64b95bb1</t>
  </si>
  <si>
    <t>2025-09-16</t>
  </si>
  <si>
    <t>a28a196a-d730-4285-b6d8-42502251c0d1</t>
  </si>
  <si>
    <t>e6b4c10e-3d95-484a-bddb-dcae9c56aff6</t>
  </si>
  <si>
    <t>2025-09-22</t>
  </si>
  <si>
    <t>a38f3c44-2cf3-4e19-bb1d-8aec8923d050</t>
  </si>
  <si>
    <t>61a90cca-36ff-48a1-bfc1-e90af7449213</t>
  </si>
  <si>
    <t>6f5f4f15-f6f8-4424-af03-e6f02e771979</t>
  </si>
  <si>
    <t>44b4757a-d8e2-444d-a07c-1c5bf19cac50</t>
  </si>
  <si>
    <t>d5200111-71bc-450d-b59e-a49891a67bc8</t>
  </si>
  <si>
    <t>47.2</t>
  </si>
  <si>
    <t>9fb21359-c0fb-48da-8147-698b4562831d</t>
  </si>
  <si>
    <t>2025-09-24</t>
  </si>
  <si>
    <t>73836593-67a1-4dda-862d-2385dd36a82c</t>
  </si>
  <si>
    <t>2025-09-29</t>
  </si>
  <si>
    <t>d8d80f87-dfb9-43e4-a133-0f282c060bcf</t>
  </si>
  <si>
    <t>f06c2c1e-9684-458a-9475-553f1126e84e</t>
  </si>
  <si>
    <t>342.07</t>
  </si>
  <si>
    <t>a7a0ea4b-1346-4526-927b-1e526f138d17</t>
  </si>
  <si>
    <t>c7f7a9da-690c-4a0a-b6bf-b0d804ed49dd</t>
  </si>
  <si>
    <t>233.6</t>
  </si>
  <si>
    <t>12235c50-7b22-4d89-9d02-ce8602b89a6e</t>
  </si>
  <si>
    <t>2025-09-30</t>
  </si>
  <si>
    <t>2414.08</t>
  </si>
  <si>
    <t>88e82190-9779-4c84-94fd-b79d60540905</t>
  </si>
  <si>
    <t>1304.15</t>
  </si>
  <si>
    <t>2f7f6712-c78a-4022-8d14-9c2ccc75a02f</t>
  </si>
  <si>
    <t>e61ce9e1-ac0d-4f5c-a9bf-82ce4b698e31</t>
  </si>
  <si>
    <t>f6b33d84-d369-4553-9e09-3402916384bd</t>
  </si>
  <si>
    <t>9266ed19-70a6-4c8f-9e3d-f934d83f5a29</t>
  </si>
  <si>
    <t>2535</t>
  </si>
  <si>
    <t>acfbe648-4911-4d32-8c8f-6741052b4f1a</t>
  </si>
  <si>
    <t>3b93a0e7-d5c3-497d-bfbb-b67acddd9005</t>
  </si>
  <si>
    <t>2025-10-01</t>
  </si>
  <si>
    <t>12706.46</t>
  </si>
  <si>
    <t>b2b0d738-4a52-48ea-8356-a442ac506ef7</t>
  </si>
  <si>
    <t>-2204.79</t>
  </si>
  <si>
    <t>a7728fca-f33b-482d-ab3a-d7cbc1de92e4</t>
  </si>
  <si>
    <t>WALBER LIVERPOOL + PAG. VIAG. CAUEIRA</t>
  </si>
  <si>
    <t>2414.13</t>
  </si>
  <si>
    <t>e6ee8927-77c0-4fae-a88d-9153c1b1b318</t>
  </si>
  <si>
    <t>8195.66</t>
  </si>
  <si>
    <t>6e5f946b-8882-4552-98b6-1f37263fdd94</t>
  </si>
  <si>
    <t>78c7d271-3f9f-4d9c-bdfa-d46f6a5f5a38</t>
  </si>
  <si>
    <t>a9fc7ced-76cf-45fc-9ec3-8407e16c0fef</t>
  </si>
  <si>
    <t>36bef5fb-8136-4a90-a40f-942aabd7aa13</t>
  </si>
  <si>
    <t>255.8</t>
  </si>
  <si>
    <t>11c36c24-f947-4c29-9e5b-45ea085fcce5</t>
  </si>
  <si>
    <t>8d6973c2-801d-4867-855b-09c3dd008eb1</t>
  </si>
  <si>
    <t>2025-10-02</t>
  </si>
  <si>
    <t>397.79</t>
  </si>
  <si>
    <t>ebb1f3a8-507f-407e-92c9-f78d2c2669d3</t>
  </si>
  <si>
    <t>a2d5e167-6cc5-4ebf-ab1d-110e4cb9733f</t>
  </si>
  <si>
    <t>2025-10-03</t>
  </si>
  <si>
    <t>8e16252f-780a-4ea3-b537-9ce4be15f101</t>
  </si>
  <si>
    <t>37.25</t>
  </si>
  <si>
    <t>9244908d-db3e-4d69-afcb-e5d6a2673648</t>
  </si>
  <si>
    <t>2025-10-04</t>
  </si>
  <si>
    <t>1857</t>
  </si>
  <si>
    <t>007d7437-6aae-400f-bf7c-25ddf240113b</t>
  </si>
  <si>
    <t>2025-10-05</t>
  </si>
  <si>
    <t>9e17cef3-0319-4002-af3f-d44b3b6efdbf</t>
  </si>
  <si>
    <t>2025-10-06</t>
  </si>
  <si>
    <t>046db0c1-1e1a-4ca2-85e0-b94368abbb4a</t>
  </si>
  <si>
    <t>2025-10-08</t>
  </si>
  <si>
    <t>22f549cc-c6dc-49f8-8d31-5283613e0294</t>
  </si>
  <si>
    <t>7d42a9e7-5623-45b9-86e5-c5e08ab44b85</t>
  </si>
  <si>
    <t>2025-10-10</t>
  </si>
  <si>
    <t>7610.75</t>
  </si>
  <si>
    <t>a1b3bf74-ceae-46b7-8913-784ff9119c81</t>
  </si>
  <si>
    <t>b60ad97b-0cb2-4792-a4ed-79c8f01a4822</t>
  </si>
  <si>
    <t>f1ef1090-8bb7-4923-ad93-96c26fd1cf27</t>
  </si>
  <si>
    <t>01577ee0-9eba-4a02-9fa1-4c2192955ebb</t>
  </si>
  <si>
    <t>87b3d392-fc6e-40df-9ecb-0ff25589450e</t>
  </si>
  <si>
    <t>394.79</t>
  </si>
  <si>
    <t>d4129220-a4b5-452e-b57e-2442aafc4f34</t>
  </si>
  <si>
    <t>382d997c-e94a-4f0a-bb54-e0541a979277</t>
  </si>
  <si>
    <t>b6639653-8df1-4f54-a5a1-e976eb69f475</t>
  </si>
  <si>
    <t>f6f5c311-5f8a-4a3c-b747-96ae76e082eb</t>
  </si>
  <si>
    <t>15151.11</t>
  </si>
  <si>
    <t>bb86d89b-6657-43f4-9930-8be3802b5347</t>
  </si>
  <si>
    <t>2534.33</t>
  </si>
  <si>
    <t>324987bb-2e48-4225-9c4b-16825020abda</t>
  </si>
  <si>
    <t>2025-10-13</t>
  </si>
  <si>
    <t>3721edb5-d6fb-4448-b85a-1f187929957b</t>
  </si>
  <si>
    <t>2025-10-15</t>
  </si>
  <si>
    <t>61c3160b-07dc-4058-b96c-78eabf49a1fd</t>
  </si>
  <si>
    <t>2025-10-16</t>
  </si>
  <si>
    <t>6cbbdc12-5a85-4569-a013-68c1ebb69904</t>
  </si>
  <si>
    <t>9943fc37-386c-4b20-adbd-32919d0762bc</t>
  </si>
  <si>
    <t>2025-10-17</t>
  </si>
  <si>
    <t>f99eb2c1-811e-49b7-bf51-8c315dea3ff7</t>
  </si>
  <si>
    <t>2025-10-19</t>
  </si>
  <si>
    <t>29bccf11-a435-4bdc-a058-cbf18b70ece5</t>
  </si>
  <si>
    <t>2025-10-20</t>
  </si>
  <si>
    <t>dcda5a74-2e47-47dd-a8a2-d44f63bdc8b7</t>
  </si>
  <si>
    <t>2025-10-21</t>
  </si>
  <si>
    <t>0c6e6eba-e26e-4d51-8f33-db8d8ba89d77</t>
  </si>
  <si>
    <t>2025-10-22</t>
  </si>
  <si>
    <t>82c2a56d-28c5-480d-9e37-e7cc06e1ac40</t>
  </si>
  <si>
    <t>870fe0fd-9315-4a8b-bb90-5a9f44e9731f</t>
  </si>
  <si>
    <t>8daa3116-d3ac-44df-991c-b2fe676cd49f</t>
  </si>
  <si>
    <t>2025-10-25</t>
  </si>
  <si>
    <t>2463.16</t>
  </si>
  <si>
    <t>0df22063-cdd1-428a-b596-dbe88ea263c5</t>
  </si>
  <si>
    <t>2025-10-26</t>
  </si>
  <si>
    <t>9b80b518-e4d8-44c1-b906-1adfb7a5af8c</t>
  </si>
  <si>
    <t>2025-10-27</t>
  </si>
  <si>
    <t>199.8</t>
  </si>
  <si>
    <t>333ca09d-4331-4ff4-ad4d-7f6fb60b0ded</t>
  </si>
  <si>
    <t>30.35</t>
  </si>
  <si>
    <t>682dff17-c499-4954-92d4-14e631c6f59d</t>
  </si>
  <si>
    <t>68834a4d-97d7-40be-8f22-0629520f61ca</t>
  </si>
  <si>
    <t>8806aafc-c494-470b-bc06-76af4aa08f23</t>
  </si>
  <si>
    <t>67a435cd-d24e-4cde-839b-869cdf45a273</t>
  </si>
  <si>
    <t>2025-10-28</t>
  </si>
  <si>
    <t>9e423279-f1ad-43fd-b7f5-3a859123c78a</t>
  </si>
  <si>
    <t>572cae8e-7352-413c-9af1-38f61f06dc37</t>
  </si>
  <si>
    <t>3cea78c4-f16c-4d13-ac83-6e32071268f6</t>
  </si>
  <si>
    <t>2025-10-30</t>
  </si>
  <si>
    <t>5db7c6c2-0bbd-4016-be5b-d27f7dde2883</t>
  </si>
  <si>
    <t>d89e57f2-e908-4a8a-8f2b-9259850e243a</t>
  </si>
  <si>
    <t>2229.02</t>
  </si>
  <si>
    <t>0f72aced-af79-4909-9207-c6c04327f9dc</t>
  </si>
  <si>
    <t>2025-10-31</t>
  </si>
  <si>
    <t>89fdaa8a-6a5a-4d70-87cf-5effd54dca50</t>
  </si>
  <si>
    <t>dfbc634c-f25f-4fe0-a608-6727cc16c8d9</t>
  </si>
  <si>
    <t>275</t>
  </si>
  <si>
    <t>a60515b9-7690-4ada-af48-942204ebc7ef</t>
  </si>
  <si>
    <t>e59fc5b6-9c79-4634-84e3-4a48e6d3308a</t>
  </si>
  <si>
    <t>2320</t>
  </si>
  <si>
    <t>1a4e9153-347f-429e-a558-d0e0d95646ab</t>
  </si>
  <si>
    <t>2025-11-01</t>
  </si>
  <si>
    <t>7721.41</t>
  </si>
  <si>
    <t>c5cd8fbd-e15b-4273-993b-446ff8bcfe6d</t>
  </si>
  <si>
    <t>-635.26</t>
  </si>
  <si>
    <t>e0228c51-ad90-4ddf-b579-f68f8c9c8df4</t>
  </si>
  <si>
    <t>14425232-76d1-4ccc-9863-cabe7afa84af</t>
  </si>
  <si>
    <t>255.39</t>
  </si>
  <si>
    <t>479d8626-af54-416d-9211-c9ce20aa65d3</t>
  </si>
  <si>
    <t>2025-11-03</t>
  </si>
  <si>
    <t>1207.04</t>
  </si>
  <si>
    <t>452572fd-17dc-48d1-9d95-aefc4266bfdc</t>
  </si>
  <si>
    <t>384adb8e-0b77-462c-a2f4-8387d908701d</t>
  </si>
  <si>
    <t>96db1750-89ba-45b8-ba44-e555dd2dc096</t>
  </si>
  <si>
    <t>1881faa6-b9de-4d33-84d5-77ee530524c3</t>
  </si>
  <si>
    <t>efac3939-fb6b-47f3-b01d-c15c76f3ccf8</t>
  </si>
  <si>
    <t>06276b60-c6e3-4208-9868-4dbeeb069c99</t>
  </si>
  <si>
    <t>567134de-aef4-4bda-9a43-f35704b2608b</t>
  </si>
  <si>
    <t>a7e17176-1fd4-4cad-afb0-036c73cdb3e5</t>
  </si>
  <si>
    <t>2025-11-04</t>
  </si>
  <si>
    <t>1856.86</t>
  </si>
  <si>
    <t>6fb7a5ad-f3a0-4eb6-aa7d-2fe8b181ab4b</t>
  </si>
  <si>
    <t>32bf2338-33e7-465b-9628-d5b21feb7192</t>
  </si>
  <si>
    <t>4e469e73-cbf7-49dc-9976-dafbbe4b8165</t>
  </si>
  <si>
    <t>2025-11-05</t>
  </si>
  <si>
    <t>15749.31</t>
  </si>
  <si>
    <t>9610f9a4-8806-45b0-ad62-ba0d06bd7197</t>
  </si>
  <si>
    <t>290.4</t>
  </si>
  <si>
    <t>de86cf55-4f36-48b9-8c93-02f82670f0c0</t>
  </si>
  <si>
    <t>78.1</t>
  </si>
  <si>
    <t>4151066b-ee01-46e6-9b77-60b471fba92a</t>
  </si>
  <si>
    <t>9f10c701-b1f1-4b0f-bb0e-2d18ad3deca6</t>
  </si>
  <si>
    <t>2025-11-07</t>
  </si>
  <si>
    <t>66b28774-b3ae-4a19-b4ee-b8fe77edcc19</t>
  </si>
  <si>
    <t>2025-11-08</t>
  </si>
  <si>
    <t>267.21</t>
  </si>
  <si>
    <t>c7d3407b-51a4-4518-8719-9ec8aea823b0</t>
  </si>
  <si>
    <t>2025-11-10</t>
  </si>
  <si>
    <t>6926.97</t>
  </si>
  <si>
    <t>c926f54e-82b2-4373-98a0-f9beea7b096a</t>
  </si>
  <si>
    <t>e6acabc0-35bf-410b-996b-0f2f45265547</t>
  </si>
  <si>
    <t>d27c352e-c1ea-4a8f-8dce-9c045d6a2b7f</t>
  </si>
  <si>
    <t>f98b9a45-db69-4b00-8334-39bced58698a</t>
  </si>
  <si>
    <t>96d4942a-780d-46cf-985f-4fa49bb9d9ee</t>
  </si>
  <si>
    <t>394.06</t>
  </si>
  <si>
    <t>49729f76-b9a2-4ef5-af0c-f7bb8a23a1ab</t>
  </si>
  <si>
    <t>8db6576f-4498-416d-a553-597aee1f568c</t>
  </si>
  <si>
    <t>52d0bc72-1ad5-439b-a6d1-d0fd7bf36911</t>
  </si>
  <si>
    <t>e1e879d2-8bec-4c53-94f8-44e87c8ca996</t>
  </si>
  <si>
    <t>5c77bbab-6bbe-4701-a6ee-779e327e252e</t>
  </si>
  <si>
    <t>2405.76</t>
  </si>
  <si>
    <t>93372644-f76b-4c49-b6e6-aa3983b47724</t>
  </si>
  <si>
    <t>3936.9</t>
  </si>
  <si>
    <t>30916c10-4ccd-4525-b94a-c53e89851510</t>
  </si>
  <si>
    <t>7651</t>
  </si>
  <si>
    <t>0537cf59-5a04-4078-8a45-bc3bf4e11e06</t>
  </si>
  <si>
    <t>2025-11-13</t>
  </si>
  <si>
    <t>bffffa4f-7c00-43f8-a249-b6b309aa2abc</t>
  </si>
  <si>
    <t>2025-11-14</t>
  </si>
  <si>
    <t>25de7080-c3c4-4d9b-a3ea-191dd4b5ea6a</t>
  </si>
  <si>
    <t>c995e6cd-1e29-4575-b7bc-f19a789f31e8</t>
  </si>
  <si>
    <t>2bdb7ba9-4fbf-4f78-9754-8e8437fcee6c</t>
  </si>
  <si>
    <t>2025-11-15</t>
  </si>
  <si>
    <t>6523ad37-470b-4ffe-83d7-dc5a9b2b2346</t>
  </si>
  <si>
    <t>d95fe07b-5472-4e08-bdd7-1798d8e043ee</t>
  </si>
  <si>
    <t>2025-11-19</t>
  </si>
  <si>
    <t>373.84</t>
  </si>
  <si>
    <t>11d0d309-f00f-4fa5-a6ca-7fb9cee6e688</t>
  </si>
  <si>
    <t>2025-11-21</t>
  </si>
  <si>
    <t>10ce394f-45d5-4dd4-9b32-58f8cfb66619</t>
  </si>
  <si>
    <t>78.08</t>
  </si>
  <si>
    <t>d082addb-7b13-4d7f-b663-29013e4f38a0</t>
  </si>
  <si>
    <t>df2433ec-e3f7-41d7-b305-23a3f00d8539</t>
  </si>
  <si>
    <t>b8b6d53e-c263-49e0-8e07-25c1332dc892</t>
  </si>
  <si>
    <t>2025-11-22</t>
  </si>
  <si>
    <t>680</t>
  </si>
  <si>
    <t>f376de9a-4df5-4660-a626-06cb0187bc44</t>
  </si>
  <si>
    <t>2025-11-23</t>
  </si>
  <si>
    <t>8de39a56-b7ce-4292-9d92-594e9fd7301a</t>
  </si>
  <si>
    <t>2025-11-24</t>
  </si>
  <si>
    <t>8e35d106-af64-4e0a-86c8-e9f8eb9870ba</t>
  </si>
  <si>
    <t>eeb29811-7977-4c3d-a01d-ab99f990e122</t>
  </si>
  <si>
    <t>116.5</t>
  </si>
  <si>
    <t>a271c44b-470d-44f1-af3f-2ea5b620949f</t>
  </si>
  <si>
    <t>3c0151fc-bd2b-4379-a1be-3178c9319e7b</t>
  </si>
  <si>
    <t>650412ee-293f-423b-a750-9866c1cc971a</t>
  </si>
  <si>
    <t>2025-11-25</t>
  </si>
  <si>
    <t>b4b2e2ed-cb8b-4ba0-adbb-ba6baef7d04f</t>
  </si>
  <si>
    <t>69.46</t>
  </si>
  <si>
    <t>a5ba67a1-0232-4d5c-b61b-49f2fed10658</t>
  </si>
  <si>
    <t>c6a52d40-bf8f-4526-af40-41ffdd173da6</t>
  </si>
  <si>
    <t>2025-11-27</t>
  </si>
  <si>
    <t>9c4f6ba2-fe85-40cd-b020-64b5a9bea0c4</t>
  </si>
  <si>
    <t>2025-11-28</t>
  </si>
  <si>
    <t>4ec58929-7e64-4ad3-8401-99b78dbfd10c</t>
  </si>
  <si>
    <t>313d5132-051f-4776-8744-5f7df24a877d</t>
  </si>
  <si>
    <t>2025-11-30</t>
  </si>
  <si>
    <t>2468.79</t>
  </si>
  <si>
    <t>de797772-705f-415d-b5b1-2269d3392727</t>
  </si>
  <si>
    <t>3218.76</t>
  </si>
  <si>
    <t>9068db42-48fd-4548-a76d-e99d66e315e6</t>
  </si>
  <si>
    <t>587.46</t>
  </si>
  <si>
    <t>69ecfed5-01e8-4935-8648-d8ecb8c4cc1c</t>
  </si>
  <si>
    <t>e791e6ce-5c96-45cd-ac8a-b9220c65639a</t>
  </si>
  <si>
    <t>207.39</t>
  </si>
  <si>
    <t>933d5274-ee49-4c30-a765-dd8ca59b3145</t>
  </si>
  <si>
    <t>2645</t>
  </si>
  <si>
    <t>1381b425-9c83-4eec-8c13-d316fc090cd1</t>
  </si>
  <si>
    <t>2025-12-01</t>
  </si>
  <si>
    <t>4456.61</t>
  </si>
  <si>
    <t>b5e80cc2-2a4d-4d63-a184-046da891348d</t>
  </si>
  <si>
    <t>9968.37</t>
  </si>
  <si>
    <t>c4c00146-77d9-438c-bf99-f314ffbaeafc</t>
  </si>
  <si>
    <t>7208.83</t>
  </si>
  <si>
    <t>bda1b620-e416-497e-99ab-acbbd55a05d0</t>
  </si>
  <si>
    <t>bd4e64f5-2409-40a0-b4a4-51d0b8a9d9b4</t>
  </si>
  <si>
    <t>3cd77008-8e7e-462f-be8a-8736af5b6884</t>
  </si>
  <si>
    <t>131</t>
  </si>
  <si>
    <t>df9588b8-9701-48d7-ab28-2152db2dcbb1</t>
  </si>
  <si>
    <t>2025-12-02</t>
  </si>
  <si>
    <t>4f91085d-7909-4d38-9e97-9a04bf781707</t>
  </si>
  <si>
    <t>0cccdacd-e331-431b-97a2-4cacc7ed0f34</t>
  </si>
  <si>
    <t>b4f7d0d3-c406-4be3-b9fd-363442f6ca11</t>
  </si>
  <si>
    <t>2025-12-03</t>
  </si>
  <si>
    <t>dd6c97ec-7a1a-4e26-bda1-f06206971193</t>
  </si>
  <si>
    <t>2025-12-04</t>
  </si>
  <si>
    <t>1864.64</t>
  </si>
  <si>
    <t>94b1fd14-8401-4c3b-a04b-dd6a5eb590ea</t>
  </si>
  <si>
    <t>2025-12-05</t>
  </si>
  <si>
    <t>9388319f-3709-4f80-aa01-130c66b038a2</t>
  </si>
  <si>
    <t>988c4d42-e5c1-43f9-8686-7ceb65843bd8</t>
  </si>
  <si>
    <t>94d0ecec-51e6-4dfb-96b7-d2b06088ba31</t>
  </si>
  <si>
    <t>da841b95-1451-41aa-b7e1-fdaa2ec97522</t>
  </si>
  <si>
    <t>2025-12-08</t>
  </si>
  <si>
    <t>377.48</t>
  </si>
  <si>
    <t>a6a87fcf-3741-4770-942a-526b9dd2c083</t>
  </si>
  <si>
    <t>dd86a18a-467e-425a-896c-347250596da9</t>
  </si>
  <si>
    <t>2025-12-10</t>
  </si>
  <si>
    <t>7023.01</t>
  </si>
  <si>
    <t>cbfec267-fa45-4727-8f7d-0fdafa6922f7</t>
  </si>
  <si>
    <t>35902143-4303-4414-acea-4e50adbc3496</t>
  </si>
  <si>
    <t>c0164867-f035-45ef-840c-53ace2769b31</t>
  </si>
  <si>
    <t>a6bda3cc-f22e-430e-8237-9b73d5f8d8f8</t>
  </si>
  <si>
    <t>eabe36c2-a57b-4a69-a284-03ffac48fcec</t>
  </si>
  <si>
    <t>336.03</t>
  </si>
  <si>
    <t>80edc400-6db8-463a-9fa1-5604b9fb5610</t>
  </si>
  <si>
    <t>10341.52</t>
  </si>
  <si>
    <t>699813b5-acd9-4a70-9ad0-8df32b700981</t>
  </si>
  <si>
    <t>187.15</t>
  </si>
  <si>
    <t>04b41b06-94b7-4ae0-8e57-88b15ee70e3f</t>
  </si>
  <si>
    <t>0fcd3b30-dd7e-4e37-8f40-16c8fb56de3d</t>
  </si>
  <si>
    <t>823d10be-c48c-48df-a89e-a56bb5244c48</t>
  </si>
  <si>
    <t>3306.26</t>
  </si>
  <si>
    <t>e9afc19e-f0cd-4cb2-8420-4b98a60201d3</t>
  </si>
  <si>
    <t>2025-12-12</t>
  </si>
  <si>
    <t>370</t>
  </si>
  <si>
    <t>f83765c9-345a-4aff-aa6e-fa16216351ad</t>
  </si>
  <si>
    <t>83744a85-5d5d-4cb2-b86e-88e5d2bbb37c</t>
  </si>
  <si>
    <t>c91bb0dc-9612-4d10-8932-376b9355ceae</t>
  </si>
  <si>
    <t>1c3b77eb-c6b4-4fad-b8c0-c3e169a95edd</t>
  </si>
  <si>
    <t>56d7e13b-942a-4aaa-ac83-017b67770ad4</t>
  </si>
  <si>
    <t>2025-12-16</t>
  </si>
  <si>
    <t>e623e625-edf9-472e-9164-2e1d30959318</t>
  </si>
  <si>
    <t>2cebf1ff-960e-4982-9474-09b5da9c12ae</t>
  </si>
  <si>
    <t>95e55ae4-464a-49ed-b896-e390d6a560cd</t>
  </si>
  <si>
    <t>2025-12-17</t>
  </si>
  <si>
    <t>97ac66ce-25de-4772-9013-feada3d6ca13</t>
  </si>
  <si>
    <t>37a50ec9-1bd9-4828-86d7-03f64504258f</t>
  </si>
  <si>
    <t>2025-12-18</t>
  </si>
  <si>
    <t>9cacd4f4-05b6-46b5-8169-fa5b67964de1</t>
  </si>
  <si>
    <t>2025-12-19</t>
  </si>
  <si>
    <t>808</t>
  </si>
  <si>
    <t>81adfb17-3cbf-4bc1-a19f-5e2ee526f545</t>
  </si>
  <si>
    <t>7749bb14-f6db-4e6a-9078-ddecac7e5c17</t>
  </si>
  <si>
    <t>2025-12-22</t>
  </si>
  <si>
    <t>8a1af3bc-e928-4a14-9fbc-5179380f86e4</t>
  </si>
  <si>
    <t>2025-12-23</t>
  </si>
  <si>
    <t>084ae5c4-f6a4-4af7-9e4e-7a7f61d17c34</t>
  </si>
  <si>
    <t>f548dd9d-93eb-40d4-b4f1-e59b0c465847</t>
  </si>
  <si>
    <t>2025-12-24</t>
  </si>
  <si>
    <t>1a07bdbe-a8e1-4898-8d3a-4af21d699482</t>
  </si>
  <si>
    <t>2025-12-25</t>
  </si>
  <si>
    <t>e6f00a70-521a-46ac-96be-a0a6288181b7</t>
  </si>
  <si>
    <t>92308c75-dbb6-4f8f-969e-49e2c050a00c</t>
  </si>
  <si>
    <t>384.95</t>
  </si>
  <si>
    <t>0c53b270-29d9-45de-aeca-e55d95899268</t>
  </si>
  <si>
    <t>2025-12-26</t>
  </si>
  <si>
    <t>3260.46</t>
  </si>
  <si>
    <t>0fd1880b-72ca-4803-b2e7-573c31bcfb02</t>
  </si>
  <si>
    <t>0ddcb4f9-02e0-4324-b02a-4d1a8b6c49fb</t>
  </si>
  <si>
    <t>2025-12-28</t>
  </si>
  <si>
    <t>55341310-b306-44a4-ac3e-633ded08f6bd</t>
  </si>
  <si>
    <t>2025-12-29</t>
  </si>
  <si>
    <t>52b3dd4a-f10d-4496-9367-107dee6d0159</t>
  </si>
  <si>
    <t>dbf0b190-a9e2-43a3-a743-5b478a6f6a1c</t>
  </si>
  <si>
    <t>d780a2d1-ab4f-40b0-a892-3887ce45c35f</t>
  </si>
  <si>
    <t>cd84d709-2183-4c4c-ae40-db8d5d373eaa</t>
  </si>
  <si>
    <t>3d6464b8-b052-4073-ae0e-b119e458d6f4</t>
  </si>
  <si>
    <t>cab3c721-da6e-4f2c-aa87-e6ddb8392f0b</t>
  </si>
  <si>
    <t>52ef51c3-a82f-47c6-9b0a-d1cc90a262a8</t>
  </si>
  <si>
    <t>2025-12-30</t>
  </si>
  <si>
    <t>247.43</t>
  </si>
  <si>
    <t>859e55eb-ef29-4a0b-a8ce-a49302074486</t>
  </si>
  <si>
    <t>2247.11</t>
  </si>
  <si>
    <t>624edaf8-07de-4e13-8f03-d442353bdccf</t>
  </si>
  <si>
    <t>8207862f-8490-48dc-ba1e-6056997a7637</t>
  </si>
  <si>
    <t>2025-12-31</t>
  </si>
  <si>
    <t>2920.05</t>
  </si>
  <si>
    <t>1986d5ee-df47-4563-b369-9c99744703fc</t>
  </si>
  <si>
    <t>ebd86059-abb5-40b0-9a48-4896acb8274a</t>
  </si>
  <si>
    <t>6d0ec0b6-80ec-4712-b808-cc59b2a623ba</t>
  </si>
  <si>
    <t>2026-01-01</t>
  </si>
  <si>
    <t>12751.5</t>
  </si>
  <si>
    <t>2026-02-06T23:17:23.390Z</t>
  </si>
  <si>
    <t>59b1d87d-1ecf-435c-b650-f72634671f34</t>
  </si>
  <si>
    <t>1996.1</t>
  </si>
  <si>
    <t>f0e0e918-9289-4fbe-8ef9-af2492783b95</t>
  </si>
  <si>
    <t>2026-02-06T23:17:24.972Z</t>
  </si>
  <si>
    <t>f172adcf-0252-4160-9b47-4b4ef55f569a</t>
  </si>
  <si>
    <t>599.28</t>
  </si>
  <si>
    <t>e8b9650d-b07b-437e-a07d-19cd04a12e15</t>
  </si>
  <si>
    <t>fa63be81-997a-4494-8d1a-2e24118695a0</t>
  </si>
  <si>
    <t>2026-01-02</t>
  </si>
  <si>
    <t>fb4ac3c9-95f3-4e2e-ad96-1ae7adfcd557</t>
  </si>
  <si>
    <t>ffb7718e-b576-48f7-b73e-92d7c6db965c</t>
  </si>
  <si>
    <t>25bffaf0-4354-4794-ad79-7d916a648a53</t>
  </si>
  <si>
    <t>2026-01-03</t>
  </si>
  <si>
    <t>19a799dc-74c2-442a-8bda-0f2da87b833d</t>
  </si>
  <si>
    <t>2026-01-04</t>
  </si>
  <si>
    <t>1864.36</t>
  </si>
  <si>
    <t>2854ddc5-8b99-463a-9411-8a271974f508</t>
  </si>
  <si>
    <t>2026-01-05</t>
  </si>
  <si>
    <t>02cb68ef-6990-4b47-97f0-38df7cecc0c0</t>
  </si>
  <si>
    <t>2213f52f-3ee0-45ee-b1f7-685d4c2f7621</t>
  </si>
  <si>
    <t>6074ee87-afe7-4bb7-a70a-330f1a389230</t>
  </si>
  <si>
    <t>8c908b26-0c07-412b-869e-7f318b6aac76</t>
  </si>
  <si>
    <t>2026-01-06</t>
  </si>
  <si>
    <t>8b60c5eb-d34c-4fac-953f-3d86ef237410</t>
  </si>
  <si>
    <t>caf7d6ed-dc5b-43a8-8ef5-6a38b6875f69</t>
  </si>
  <si>
    <t>2026-01-07</t>
  </si>
  <si>
    <t>71.99</t>
  </si>
  <si>
    <t>2122503d-257d-467a-a2e4-1c51204a6d0e</t>
  </si>
  <si>
    <t>178</t>
  </si>
  <si>
    <t>e031d724-b73c-4772-ad88-519bdd71572c</t>
  </si>
  <si>
    <t>eddeaa90-238b-4106-b662-3678bbfee6a4</t>
  </si>
  <si>
    <t>ea6e6ff1-ee6d-4f03-b49b-6bd58563e0bc</t>
  </si>
  <si>
    <t>04f0ce74-b839-48a0-bd58-2e332e8099bf</t>
  </si>
  <si>
    <t>2026-01-08</t>
  </si>
  <si>
    <t>128.34</t>
  </si>
  <si>
    <t>6310928e-890b-4d9c-ac16-a79f20a34079</t>
  </si>
  <si>
    <t>-1255.57</t>
  </si>
  <si>
    <t>b85282ef-76a0-4913-b22c-7fc2df99af82</t>
  </si>
  <si>
    <t>242a0657-7cf9-4eb9-a064-6308a06cb1c0</t>
  </si>
  <si>
    <t>297</t>
  </si>
  <si>
    <t>4b732970-9753-451a-a40f-5705cee51639</t>
  </si>
  <si>
    <t>2026-01-09</t>
  </si>
  <si>
    <t>a03094cf-3dc6-46e1-9b44-e1cb4e87d547</t>
  </si>
  <si>
    <t>b4e4eab6-d8de-42e7-83c9-649f489a059e</t>
  </si>
  <si>
    <t>2026-01-10</t>
  </si>
  <si>
    <t>12427.96</t>
  </si>
  <si>
    <t>7e1e11ff-26c5-4205-b028-74fea6957a50</t>
  </si>
  <si>
    <t>281.79</t>
  </si>
  <si>
    <t>ee9b2f15-5a40-4989-8b51-a83f79333625</t>
  </si>
  <si>
    <t>330.73</t>
  </si>
  <si>
    <t>30b30c3d-387a-40f2-a58e-d30aa62e84e5</t>
  </si>
  <si>
    <t>08a732c5-ffbd-436f-bc5b-2a798a2a4c16</t>
  </si>
  <si>
    <t>2737.06</t>
  </si>
  <si>
    <t>2dcbc34c-af05-41d4-bec6-983d4abd9dfa</t>
  </si>
  <si>
    <t>2026-01-12</t>
  </si>
  <si>
    <t>789df34a-f250-45d5-a6fd-7bc180fcf565</t>
  </si>
  <si>
    <t>1e787cf1-1532-4711-ab48-42c69f423cff</t>
  </si>
  <si>
    <t>9baba882-5a0a-4791-8e38-bd68c989432a</t>
  </si>
  <si>
    <t>16608.46</t>
  </si>
  <si>
    <t>6423dba1-b7f3-47cc-b162-32016501bae0</t>
  </si>
  <si>
    <t>2026-01-13</t>
  </si>
  <si>
    <t>11544.01</t>
  </si>
  <si>
    <t>fc2c3c82-2ba0-4df7-9d62-75b7f874eb75</t>
  </si>
  <si>
    <t>20239.68</t>
  </si>
  <si>
    <t>eee2c1cc-c645-4c38-bff1-215b8eafe368</t>
  </si>
  <si>
    <t>f74f4c69-edd4-4600-a001-a4e26cf180c9</t>
  </si>
  <si>
    <t>098d4f37-ef86-4e07-8a56-3085e9d8474e</t>
  </si>
  <si>
    <t>8f5345d4-e6d7-4737-b630-59e6d6a0cd27</t>
  </si>
  <si>
    <t>fd29464b-6044-4cbe-a9f3-2996570debc3</t>
  </si>
  <si>
    <t>2026-01-14</t>
  </si>
  <si>
    <t>c7c16b28-807f-4fd0-b594-da1a4a7ed260</t>
  </si>
  <si>
    <t>1430.72</t>
  </si>
  <si>
    <t>5e8d2810-a514-4126-8cf9-a8b94abb9972</t>
  </si>
  <si>
    <t>704.85</t>
  </si>
  <si>
    <t>610a6436-c75f-4991-8294-e673e1b9b97a</t>
  </si>
  <si>
    <t>30.15</t>
  </si>
  <si>
    <t>84c4a2db-7021-4c3f-b225-5e8cd9f4dc8e</t>
  </si>
  <si>
    <t>2026-01-15</t>
  </si>
  <si>
    <t>5ef925fb-ffd7-4830-b57d-772e3854dd14</t>
  </si>
  <si>
    <t>6500</t>
  </si>
  <si>
    <t>10ae6317-abf6-4795-ade4-8adeac0de4ed</t>
  </si>
  <si>
    <t>17000</t>
  </si>
  <si>
    <t>44748f4b-1d68-4b79-a978-927a39d0e6ab</t>
  </si>
  <si>
    <t>2026-01-16</t>
  </si>
  <si>
    <t>7ec7bc62-195e-459e-b55c-3cde1fccac46</t>
  </si>
  <si>
    <t>2026-01-18</t>
  </si>
  <si>
    <t>80.5</t>
  </si>
  <si>
    <t>dbf91852-b7fa-410b-9023-4fd7170ee07d</t>
  </si>
  <si>
    <t>2026-01-19</t>
  </si>
  <si>
    <t>425c28f6-a5f3-4fd9-85dc-12ec917f9622</t>
  </si>
  <si>
    <t>470</t>
  </si>
  <si>
    <t>fdbfb961-ab3e-42d9-9ec5-333e224ca253</t>
  </si>
  <si>
    <t>2026-01-20</t>
  </si>
  <si>
    <t>1c23c240-e946-4b4f-9307-d52571cec2d7</t>
  </si>
  <si>
    <t>2026-01-21</t>
  </si>
  <si>
    <t>0f9bd219-f39b-4727-b59b-1f09c7169915</t>
  </si>
  <si>
    <t>2026-01-25</t>
  </si>
  <si>
    <t>787.04</t>
  </si>
  <si>
    <t>d44bb74f-d753-4667-9324-832ac12e9002</t>
  </si>
  <si>
    <t>7d7cb68e-8bf1-491e-92df-b7e9af2c3344</t>
  </si>
  <si>
    <t>2026-01-26</t>
  </si>
  <si>
    <t>508b0ed5-4a96-4099-8554-6548ecf5e5f9</t>
  </si>
  <si>
    <t>7796dac7-4d12-4af2-b609-197e05fd21ce</t>
  </si>
  <si>
    <t>d9df25e5-ba3f-4ffd-8f73-db6a1b78b10f</t>
  </si>
  <si>
    <t>2026-01-27</t>
  </si>
  <si>
    <t>73.9</t>
  </si>
  <si>
    <t>eb6274d4-5a8b-4166-9a72-231ac32e63ec</t>
  </si>
  <si>
    <t>2026-01-28</t>
  </si>
  <si>
    <t>89404155-46dd-463d-96b9-af25c9c0a12b</t>
  </si>
  <si>
    <t>713fc1d7-38b4-4d7d-b7c3-a41fa7568f86</t>
  </si>
  <si>
    <t>2026-01-29</t>
  </si>
  <si>
    <t>640</t>
  </si>
  <si>
    <t>617830d4-a89c-4289-a194-5146163fd7e1</t>
  </si>
  <si>
    <t>702</t>
  </si>
  <si>
    <t>d2217b84-0baa-4111-8060-f5470ec2e241</t>
  </si>
  <si>
    <t>2026-01-30</t>
  </si>
  <si>
    <t>6dfd11f6-5362-4ea9-8742-765fb45a004c</t>
  </si>
  <si>
    <t>1071.61</t>
  </si>
  <si>
    <t>625,85 (MES DE DEZ/25) + 445,76 (MES JAN/26)</t>
  </si>
  <si>
    <t>2026-02-07T10:49:07.168Z</t>
  </si>
  <si>
    <t>52aff605-3f23-4e78-afdf-b955cb3e39a3</t>
  </si>
  <si>
    <t>2400.57</t>
  </si>
  <si>
    <t>e55dc8d5-af8d-429e-8f8d-e816c35dc2db</t>
  </si>
  <si>
    <t>2026-01-31</t>
  </si>
  <si>
    <t>-8.8</t>
  </si>
  <si>
    <t>1fed32f7-1271-4203-8cad-7fa23eb34e31</t>
  </si>
  <si>
    <t>5700</t>
  </si>
  <si>
    <t>pix</t>
  </si>
  <si>
    <t>[LEGADO:NO_SPACE] (Nao ha linhas livres no bloco legado para este mes.)</t>
  </si>
  <si>
    <t>2026-02-09T17:37:17.608Z</t>
  </si>
  <si>
    <t>2026-02-09T17:37:20.197Z</t>
  </si>
  <si>
    <t>2d45888e-8d1a-4cc4-b0bb-a47fb9925fa4</t>
  </si>
  <si>
    <t>2026-02-01</t>
  </si>
  <si>
    <t>8971.55</t>
  </si>
  <si>
    <t>RECEBIDO EM 26/01/2026 [LEGADO:OK] (range 2026!H11:J11)</t>
  </si>
  <si>
    <t>2026-02-07T02:55:45.390Z</t>
  </si>
  <si>
    <t>2026-02-07T02:55:49.773Z</t>
  </si>
  <si>
    <t>94cab73b-0728-4f08-820c-db7bc66460bd</t>
  </si>
  <si>
    <t>2026-02-02</t>
  </si>
  <si>
    <t>Lazer</t>
  </si>
  <si>
    <t>[LEGADO:OK]</t>
  </si>
  <si>
    <t>2026-02-07T00:48:06.334Z</t>
  </si>
  <si>
    <t>2026-02-07T00:48:09.651Z</t>
  </si>
  <si>
    <t>a5992257-2422-46cd-be57-ef86cff50708</t>
  </si>
  <si>
    <t>2026-02-07T00:52:37.446Z</t>
  </si>
  <si>
    <t>2026-02-07T00:52:40.136Z</t>
  </si>
  <si>
    <t>8a6c4770-77cc-4ce1-b1d9-53a4b649ed43</t>
  </si>
  <si>
    <t>FILHAS</t>
  </si>
  <si>
    <t>Mesada 50
Lanche 50 [LEGADO:OK]</t>
  </si>
  <si>
    <t>2026-02-07T00:53:50.716Z</t>
  </si>
  <si>
    <t>2026-02-07T00:53:53.508Z</t>
  </si>
  <si>
    <t>0498e630-a8b9-4b7b-860f-77b9c9a80700</t>
  </si>
  <si>
    <t>NID</t>
  </si>
  <si>
    <t>Não identificado  [LEGADO:OK]</t>
  </si>
  <si>
    <t>2026-02-07T00:55:19.147Z</t>
  </si>
  <si>
    <t>2026-02-07T00:55:21.815Z</t>
  </si>
  <si>
    <t>d5b51377-64e5-4f20-a378-6ef6ec45cd29</t>
  </si>
  <si>
    <t>9209.02</t>
  </si>
  <si>
    <t>RECEBIDO 27/01/2026 [LEGADO:OK] (range 2026!H12:J12)</t>
  </si>
  <si>
    <t>2026-02-07T02:56:48.070Z</t>
  </si>
  <si>
    <t>2026-02-07T02:56:52.599Z</t>
  </si>
  <si>
    <t>90aa7327-0b68-44be-9640-1963c58db2c8</t>
  </si>
  <si>
    <t>2026-02-04</t>
  </si>
  <si>
    <t>CUSTO PATRIMONIO</t>
  </si>
  <si>
    <t>429.05</t>
  </si>
  <si>
    <t>[CONTA_FIXA:0bacdbef-a510-491c-af5d-187b2fd4ea6d] [LEGADO:OK] (range 2026!H20:L20)</t>
  </si>
  <si>
    <t>2026-02-07T02:08:59.708Z</t>
  </si>
  <si>
    <t>2026-02-07T02:09:03.692Z</t>
  </si>
  <si>
    <t>7ce3e3a4-00d6-418f-b045-23953c9e5e74</t>
  </si>
  <si>
    <t>2026-02-05</t>
  </si>
  <si>
    <t>Celular [LEGADO:OK]</t>
  </si>
  <si>
    <t>2026-02-07T00:57:26.846Z</t>
  </si>
  <si>
    <t>2026-02-07T00:57:29.585Z</t>
  </si>
  <si>
    <t>e2ddbfaa-4ac4-4111-802f-3f5ac5421af4</t>
  </si>
  <si>
    <t>MORADIA</t>
  </si>
  <si>
    <t>[CONTA_FIXA:62fb44a8-d50f-4430-937a-6c85c3cd6b48] [LEGADO:OK] (range 2026!H18:L18)</t>
  </si>
  <si>
    <t>2026-02-07T10:51:50.996Z</t>
  </si>
  <si>
    <t>2026-02-07T10:51:55.196Z</t>
  </si>
  <si>
    <t>8a41e4fb-2198-464e-bf79-eda554c11c5a</t>
  </si>
  <si>
    <t>2026-02-06</t>
  </si>
  <si>
    <t>TRANSPORTE CURSINHO/CASA [LEGADO:OK] (range 2026!H37:L37)</t>
  </si>
  <si>
    <t>2026-02-07T02:03:21.557Z</t>
  </si>
  <si>
    <t>2026-02-07T02:03:24.722Z</t>
  </si>
  <si>
    <t>d9bcb253-4056-49b5-91e6-5ac43e10410f</t>
  </si>
  <si>
    <t>2026-02-07</t>
  </si>
  <si>
    <t>1863.96</t>
  </si>
  <si>
    <t>[CONTA_FIXA:e1dad879-db22-4ddc-aa69-9a9504012e83] Lancado pelo quadro de contas fixas [LEGADO:OK] (range 2026!H17:L17)</t>
  </si>
  <si>
    <t>2026-02-08T13:11:22.396Z</t>
  </si>
  <si>
    <t>229c0f38-74e9-4e64-a120-031f80b1bc34</t>
  </si>
  <si>
    <t>2026-02-08</t>
  </si>
  <si>
    <t>24.15</t>
  </si>
  <si>
    <t>[LEGADO:OK] (range 2026!H40:L40)</t>
  </si>
  <si>
    <t>2026-02-08T15:19:47.877Z</t>
  </si>
  <si>
    <t>2026-02-08T15:19:52.133Z</t>
  </si>
  <si>
    <t>bf74713f-3047-4af2-ab15-ec5eca9ff06b</t>
  </si>
  <si>
    <t>[LEGADO:OK] (range 2026!H41:L41)</t>
  </si>
  <si>
    <t>2026-02-09T16:54:01.955Z</t>
  </si>
  <si>
    <t>2026-02-09T16:54:06.569Z</t>
  </si>
  <si>
    <t>ed4a2b89-dce2-4705-9d15-02d82ac2a63b</t>
  </si>
  <si>
    <t>[LEGADO:OK] (range 2026!H42:L42)</t>
  </si>
  <si>
    <t>2026-02-09T17:02:05.865Z</t>
  </si>
  <si>
    <t>2026-02-09T17:02:09.372Z</t>
  </si>
  <si>
    <t>36ffb68c-6a53-4aca-8c08-b777bf781751</t>
  </si>
  <si>
    <t>2026-02-10</t>
  </si>
  <si>
    <t>CARTAO_CREDITO</t>
  </si>
  <si>
    <t>2127.74</t>
  </si>
  <si>
    <t>cartao</t>
  </si>
  <si>
    <t>[CARTAO_TOTALIZADOR:C6:2026-02] [LEGADO:OK] (range 2026!H38:L38)</t>
  </si>
  <si>
    <t>2026-02-09T16:35:30.346Z</t>
  </si>
  <si>
    <t>2026-02-09T16:35:36.673Z</t>
  </si>
  <si>
    <t>81174916-771b-4e5d-8739-aa5e1f2a2d62</t>
  </si>
  <si>
    <t>11822.41</t>
  </si>
  <si>
    <t>[CARTAO_TOTALIZADOR:C6:2026-02] [LEGADO:OK] (range 2026!H39:L39)</t>
  </si>
  <si>
    <t>2026-02-09T16:35:40.112Z</t>
  </si>
  <si>
    <t>148403f1-6939-403a-adf5-36475843686f</t>
  </si>
  <si>
    <t>89.9</t>
  </si>
  <si>
    <t>[CARTAO_TOTALIZADOR:C6:2026-02] [LEGADO:OK] (range 2026!H40:L40)</t>
  </si>
  <si>
    <t>2026-02-09T16:35:43.666Z</t>
  </si>
  <si>
    <t>e47e9ca1-62df-4e9c-9464-a6028a9b06f5</t>
  </si>
  <si>
    <t>2026-02-09</t>
  </si>
  <si>
    <t>LAZER</t>
  </si>
  <si>
    <t>[LEGADO:OK] (range 2026!H43:L43)</t>
  </si>
  <si>
    <t>2026-02-10T12:05:48.641Z</t>
  </si>
  <si>
    <t>2026-02-10T12:05:55.441Z</t>
  </si>
  <si>
    <t>04096a6b-5669-48bc-bd72-b620c6973ba7</t>
  </si>
  <si>
    <t>6243.55</t>
  </si>
  <si>
    <t>[LEGADO:OK] (range 2026!H13:J13)</t>
  </si>
  <si>
    <t>2026-02-10T12:06:50.621Z</t>
  </si>
  <si>
    <t>2026-02-10T12:06:53.808Z</t>
  </si>
  <si>
    <t>44f7e3ff-1f2c-4265-8867-b54815423f8d</t>
  </si>
  <si>
    <t>2009.7</t>
  </si>
  <si>
    <t>[CONTA_FIXA:28835fbe-38f0-42a8-8e33-737bdfebb560] Lançado pelo quadro de contas fixas [LEGADO:OK] (range 2026!H23:L23)</t>
  </si>
  <si>
    <t>2026-02-10T12:08:40.895Z</t>
  </si>
  <si>
    <t>2026-02-10T12:08:45.792Z</t>
  </si>
  <si>
    <t>0a15465e-4395-4ffb-ae3f-102301fb60c9</t>
  </si>
  <si>
    <t>-1279.45</t>
  </si>
  <si>
    <t>[LEGADO:OK] (range 2026!H14:J14)</t>
  </si>
  <si>
    <t>2026-02-10T12:11:38.062Z</t>
  </si>
  <si>
    <t>2026-02-10T12:11:42.834Z</t>
  </si>
  <si>
    <t>e3027443-f703-46f1-ae28-4677d2b84cb6</t>
  </si>
  <si>
    <t>425.88</t>
  </si>
  <si>
    <t>[CONTA_FIXA:e4929075-7d41-4bc8-bc06-f3223624d6bf] Lançado pelo quadro de contas fixas [LEGADO:OK] (range 2026!H24:L24)</t>
  </si>
  <si>
    <t>2026-02-10T12:41:36.095Z</t>
  </si>
  <si>
    <t>2026-02-10T12:44:44.604Z</t>
  </si>
  <si>
    <t>nome</t>
  </si>
  <si>
    <t>dia_vencimento</t>
  </si>
  <si>
    <t>valor_previsto</t>
  </si>
  <si>
    <t>avisar_dias_antes</t>
  </si>
  <si>
    <t>ativo</t>
  </si>
  <si>
    <t>e1dad879-db22-4ddc-aa69-9a9504012e83</t>
  </si>
  <si>
    <t>5,2</t>
  </si>
  <si>
    <t>true</t>
  </si>
  <si>
    <t>62fb44a8-d50f-4430-937a-6c85c3cd6b48</t>
  </si>
  <si>
    <t>fbf98bc2-a241-4894-8640-775774bdecd8</t>
  </si>
  <si>
    <t>c5d711fa-0968-4d79-ac0f-ad719cb5d842</t>
  </si>
  <si>
    <t>28835fbe-38f0-42a8-8e33-737bdfebb560</t>
  </si>
  <si>
    <t>e4929075-7d41-4bc8-bc06-f3223624d6bf</t>
  </si>
  <si>
    <t>04b15837-0cba-4180-9062-65851b08f522</t>
  </si>
  <si>
    <t>SINDICATO</t>
  </si>
  <si>
    <t>0c1fc2c8-673c-4390-8750-5ad365e64bf9</t>
  </si>
  <si>
    <t>274e8e8b-ea78-4ebb-bc28-0f6e32f513a8</t>
  </si>
  <si>
    <t>938ac025-d374-4eaf-ac90-466da4db4909</t>
  </si>
  <si>
    <t>FUNCIONARIA</t>
  </si>
  <si>
    <t>df917086-df0e-4c6f-96f4-91cd3efee185</t>
  </si>
  <si>
    <t>0bacdbef-a510-491c-af5d-187b2fd4ea6d</t>
  </si>
  <si>
    <t>mes</t>
  </si>
  <si>
    <t>evento</t>
  </si>
  <si>
    <t>valor_estimado</t>
  </si>
  <si>
    <t>dia_mes</t>
  </si>
  <si>
    <t>chave</t>
  </si>
  <si>
    <t>banco</t>
  </si>
  <si>
    <t>titular</t>
  </si>
  <si>
    <t>final_cartao</t>
  </si>
  <si>
    <t>padrao_atribuicao</t>
  </si>
  <si>
    <t>a7a10a8f-3fd2-4d01-be59-a9f92fa91569</t>
  </si>
  <si>
    <t>C6 - VIRTUAL - WALKER</t>
  </si>
  <si>
    <t>C6</t>
  </si>
  <si>
    <t>3028</t>
  </si>
  <si>
    <t>2026-02-07T12:46:38.069Z</t>
  </si>
  <si>
    <t>2026-02-07T14:09:32.943Z</t>
  </si>
  <si>
    <t>bc72a8a5-1a63-4c2d-b56a-6f074ccd0b40</t>
  </si>
  <si>
    <t>C6 - FISICO - WALKER</t>
  </si>
  <si>
    <t>5684</t>
  </si>
  <si>
    <t>2026-02-07T12:46:58.325Z</t>
  </si>
  <si>
    <t>2026-02-07T14:09:19.784Z</t>
  </si>
  <si>
    <t>d9be8fdc-437b-4d98-b1bc-af461c0fab19</t>
  </si>
  <si>
    <t>C6 - FISICO - DEA</t>
  </si>
  <si>
    <t>4689</t>
  </si>
  <si>
    <t>2026-02-07T12:47:23.888Z</t>
  </si>
  <si>
    <t>2026-02-07T14:08:53.532Z</t>
  </si>
  <si>
    <t>6ef3fad2-b330-45c3-840a-6bc74fe6d18b</t>
  </si>
  <si>
    <t>C6 - FISICO - JULIA</t>
  </si>
  <si>
    <t>4985</t>
  </si>
  <si>
    <t>2026-02-07T12:47:41.012Z</t>
  </si>
  <si>
    <t>2026-02-07T14:09:08.887Z</t>
  </si>
  <si>
    <t>cartao_id</t>
  </si>
  <si>
    <t>tx_key</t>
  </si>
  <si>
    <t>origem</t>
  </si>
  <si>
    <t>status</t>
  </si>
  <si>
    <t>mes_ref</t>
  </si>
  <si>
    <t>8c505bf0-2dc8-4bca-9d50-64e2c1007bdc</t>
  </si>
  <si>
    <t>COMERCIAL TH</t>
  </si>
  <si>
    <t>42.3</t>
  </si>
  <si>
    <t>d9be8fdc-437b-4d98-b1bc-af461c0fab19|2026-01-02|COMERCIAL TH|42.30|1/1</t>
  </si>
  <si>
    <t>fatura</t>
  </si>
  <si>
    <t>conciliado</t>
  </si>
  <si>
    <t>2026-01</t>
  </si>
  <si>
    <t>[IMPORT_FATURA]</t>
  </si>
  <si>
    <t>2026-02-07T14:10:09.486Z</t>
  </si>
  <si>
    <t>2026-02-07T14:56:48.023Z</t>
  </si>
  <si>
    <t>0268821f-1903-45c0-bec8-525d068d074f</t>
  </si>
  <si>
    <t>MERCADINHO VIVENDAS</t>
  </si>
  <si>
    <t>43.5</t>
  </si>
  <si>
    <t>d9be8fdc-437b-4d98-b1bc-af461c0fab19|2026-01-03|MERCADINHO VIVENDAS|43.50|1/1</t>
  </si>
  <si>
    <t>2026-02-07T14:56:45.289Z</t>
  </si>
  <si>
    <t>2d94584a-35e0-4364-a80f-fded5e661653</t>
  </si>
  <si>
    <t>KALUNGA SHOPPING ARACA</t>
  </si>
  <si>
    <t>226.5</t>
  </si>
  <si>
    <t>d9be8fdc-437b-4d98-b1bc-af461c0fab19|2026-01-07|KALUNGA SHOPPING ARACA|226.50|1/1</t>
  </si>
  <si>
    <t>2026-02-07T14:39:58.266Z</t>
  </si>
  <si>
    <t>c4c239a9-c79d-4510-a355-dd4794f889d1</t>
  </si>
  <si>
    <t>CENTAURO CE124</t>
  </si>
  <si>
    <t>399.98</t>
  </si>
  <si>
    <t>d9be8fdc-437b-4d98-b1bc-af461c0fab19|2026-01-07|CENTAURO CE124|399.98|1/1</t>
  </si>
  <si>
    <t>2026-02-07T14:56:32.776Z</t>
  </si>
  <si>
    <t>dbce709c-2433-4b94-9086-b4d3fe499ded</t>
  </si>
  <si>
    <t>LIVRARIALEITURA</t>
  </si>
  <si>
    <t>354.7</t>
  </si>
  <si>
    <t>d9be8fdc-437b-4d98-b1bc-af461c0fab19|2026-01-07|LIVRARIALEITURA|354.70|1/1</t>
  </si>
  <si>
    <t>2026-02-07T14:56:36.737Z</t>
  </si>
  <si>
    <t>581042e7-cefc-49fc-8594-5da696ae082b</t>
  </si>
  <si>
    <t>SHOPPING RIOMAR</t>
  </si>
  <si>
    <t>92.3</t>
  </si>
  <si>
    <t>d9be8fdc-437b-4d98-b1bc-af461c0fab19|2026-01-07|SHOPPING RIOMAR|92.30|1/1</t>
  </si>
  <si>
    <t>2026-02-07T14:56:39.508Z</t>
  </si>
  <si>
    <t>a099da65-556d-43f8-8fe6-bd414fdef85c</t>
  </si>
  <si>
    <t>SAPOREGRILL PIZZA E CH</t>
  </si>
  <si>
    <t>d9be8fdc-437b-4d98-b1bc-af461c0fab19|2026-01-07|SAPOREGRILL PIZZA E CH|5.00|1/1</t>
  </si>
  <si>
    <t>2026-02-07T14:56:42.244Z</t>
  </si>
  <si>
    <t>d0ce3c46-8382-4318-b5c1-0ca719aa65a6</t>
  </si>
  <si>
    <t>40.62</t>
  </si>
  <si>
    <t>d9be8fdc-437b-4d98-b1bc-af461c0fab19|2026-01-08|MERCADINHO VIVENDAS|40.62|1/1</t>
  </si>
  <si>
    <t>2026-02-07T14:39:48.108Z</t>
  </si>
  <si>
    <t>a11c967d-74ad-4af9-9fc8-292089dc91d7</t>
  </si>
  <si>
    <t>JIM.COM* 62141243 BEA</t>
  </si>
  <si>
    <t>12.42</t>
  </si>
  <si>
    <t>d9be8fdc-437b-4d98-b1bc-af461c0fab19|2026-01-08|JIM.COM* 62141243 BEA|12.42|1/1</t>
  </si>
  <si>
    <t>2026-02-07T14:39:51.538Z</t>
  </si>
  <si>
    <t>7b573f33-47a2-4088-b44c-11c0440c1d50</t>
  </si>
  <si>
    <t>28.7</t>
  </si>
  <si>
    <t>d9be8fdc-437b-4d98-b1bc-af461c0fab19|2026-01-08|MERCADINHO VIVENDAS|28.70|1/1</t>
  </si>
  <si>
    <t>2026-02-07T14:39:54.888Z</t>
  </si>
  <si>
    <t>560e5bb1-c530-4221-bffa-34b5bad72f6d</t>
  </si>
  <si>
    <t>d9be8fdc-437b-4d98-b1bc-af461c0fab19|2026-01-09|MERCADINHO VIVENDAS|8.50|1/1</t>
  </si>
  <si>
    <t>2026-02-07T14:39:37.995Z</t>
  </si>
  <si>
    <t>f4a5b3a3-e290-424e-91c4-0215967132fa</t>
  </si>
  <si>
    <t>65.43</t>
  </si>
  <si>
    <t>d9be8fdc-437b-4d98-b1bc-af461c0fab19|2026-01-09|MERCADINHO VIVENDAS|65.43|1/1</t>
  </si>
  <si>
    <t>2026-02-07T14:39:41.363Z</t>
  </si>
  <si>
    <t>446ae574-123b-4486-af04-ae3c584f4868</t>
  </si>
  <si>
    <t>FILIAL MAIS QUERIDO</t>
  </si>
  <si>
    <t>285.12</t>
  </si>
  <si>
    <t>d9be8fdc-437b-4d98-b1bc-af461c0fab19|2026-01-09|FILIAL MAIS QUERIDO|285.12|1/1</t>
  </si>
  <si>
    <t>2026-02-07T14:39:44.743Z</t>
  </si>
  <si>
    <t>847a1f5e-a8cc-41a7-98b4-96a34d157fe4</t>
  </si>
  <si>
    <t>RIACHUELO</t>
  </si>
  <si>
    <t>d9be8fdc-437b-4d98-b1bc-af461c0fab19|2026-01-12|RIACHUELO|59.99|1/1</t>
  </si>
  <si>
    <t>2026-02-07T14:39:19.718Z</t>
  </si>
  <si>
    <t>0562558a-73e9-4059-a1a6-f64a3a5911e1</t>
  </si>
  <si>
    <t>115.98</t>
  </si>
  <si>
    <t>d9be8fdc-437b-4d98-b1bc-af461c0fab19|2026-01-12|RIACHUELO|115.98|1/1</t>
  </si>
  <si>
    <t>2026-02-07T14:39:23.062Z</t>
  </si>
  <si>
    <t>bd6bae7e-cf1c-4d05-b0f7-1034eb24e938</t>
  </si>
  <si>
    <t>PAIXAO E ABILIO COMER</t>
  </si>
  <si>
    <t>36.99</t>
  </si>
  <si>
    <t>d9be8fdc-437b-4d98-b1bc-af461c0fab19|2026-01-12|PAIXAO E ABILIO COMER|36.99|1/1</t>
  </si>
  <si>
    <t>2026-02-07T14:39:26.512Z</t>
  </si>
  <si>
    <t>a676de60-ff81-4c4a-939f-672d6a8361b9</t>
  </si>
  <si>
    <t>d9be8fdc-437b-4d98-b1bc-af461c0fab19|2026-01-12|PAIXAO E ABILIO COMER|29.99|1/1</t>
  </si>
  <si>
    <t>2026-02-07T14:39:31.125Z</t>
  </si>
  <si>
    <t>67d5f1d1-61c1-4fb6-8574-b7086a497be5</t>
  </si>
  <si>
    <t>ARACAJU ADM SHOP CENTE</t>
  </si>
  <si>
    <t>d9be8fdc-437b-4d98-b1bc-af461c0fab19|2026-01-12|ARACAJU ADM SHOP CENTE|11.00|1/1</t>
  </si>
  <si>
    <t>2026-02-07T14:39:34.566Z</t>
  </si>
  <si>
    <t>1cbb2dd7-afc6-4f10-b1ee-3514f4bba362</t>
  </si>
  <si>
    <t>20.59</t>
  </si>
  <si>
    <t>d9be8fdc-437b-4d98-b1bc-af461c0fab19|2026-01-15|MERCADINHO VIVENDAS|20.59|1/1</t>
  </si>
  <si>
    <t>2026-02-07T14:39:16.360Z</t>
  </si>
  <si>
    <t>b5e5d9ee-3862-4883-8669-451ffae5c6b2</t>
  </si>
  <si>
    <t>GONZAGA HIPERMERCADO</t>
  </si>
  <si>
    <t>816.6</t>
  </si>
  <si>
    <t>d9be8fdc-437b-4d98-b1bc-af461c0fab19|2026-01-16|GONZAGA HIPERMERCADO|816.60|1/1</t>
  </si>
  <si>
    <t>2026-02-07T14:39:12.866Z</t>
  </si>
  <si>
    <t>859a759c-017c-4e4d-b436-4d4ee7357e09</t>
  </si>
  <si>
    <t>ANTONIOGILSONDE</t>
  </si>
  <si>
    <t>d9be8fdc-437b-4d98-b1bc-af461c0fab19|2026-01-18|ANTONIOGILSONDE|199.00|1/1</t>
  </si>
  <si>
    <t>2026-02-07T14:39:05.950Z</t>
  </si>
  <si>
    <t>6e0c3f08-ed67-4b80-91ae-f0ade04460d5</t>
  </si>
  <si>
    <t>GK ALIMENTACAO</t>
  </si>
  <si>
    <t>40.96</t>
  </si>
  <si>
    <t>d9be8fdc-437b-4d98-b1bc-af461c0fab19|2026-01-18|GK ALIMENTACAO|40.96|1/1</t>
  </si>
  <si>
    <t>2026-02-07T14:39:09.487Z</t>
  </si>
  <si>
    <t>9e4a0ebb-4d94-4f24-af9d-77b58d29639c</t>
  </si>
  <si>
    <t>POSTO SERRANO</t>
  </si>
  <si>
    <t>273.16</t>
  </si>
  <si>
    <t>d9be8fdc-437b-4d98-b1bc-af461c0fab19|2026-01-19|POSTO SERRANO|273.16|1/1</t>
  </si>
  <si>
    <t>2026-02-07T14:34:47.432Z</t>
  </si>
  <si>
    <t>6872aa70-b95f-428c-9762-ed582e67e86a</t>
  </si>
  <si>
    <t>7.2</t>
  </si>
  <si>
    <t>d9be8fdc-437b-4d98-b1bc-af461c0fab19|2026-01-19|MERCADINHO VIVENDAS|7.20|1/1</t>
  </si>
  <si>
    <t>2026-02-07T14:34:47.727Z</t>
  </si>
  <si>
    <t>08b47ff6-7733-4feb-af4d-ab020a422a08</t>
  </si>
  <si>
    <t>BIO FIT ACADEMIA</t>
  </si>
  <si>
    <t>d9be8fdc-437b-4d98-b1bc-af461c0fab19|2026-01-19|BIO FIT ACADEMIA|89.90|1/12</t>
  </si>
  <si>
    <t>2026-02-07T14:34:45.051Z</t>
  </si>
  <si>
    <t>96ef0d82-54be-4939-a546-2b3894de32bc</t>
  </si>
  <si>
    <t>J V N FRUTAS LTDA</t>
  </si>
  <si>
    <t>d9be8fdc-437b-4d98-b1bc-af461c0fab19|2026-01-20|J V N FRUTAS LTDA|41.00|1/1</t>
  </si>
  <si>
    <t>2026-02-07T14:34:30.920Z</t>
  </si>
  <si>
    <t>9103ed6c-8d81-4a82-a109-2d27c104dded</t>
  </si>
  <si>
    <t>PORTAL HORTIFRUT</t>
  </si>
  <si>
    <t>23.75</t>
  </si>
  <si>
    <t>d9be8fdc-437b-4d98-b1bc-af461c0fab19|2026-01-20|PORTAL HORTIFRUT|23.75|1/1</t>
  </si>
  <si>
    <t>2026-02-07T14:34:32.429Z</t>
  </si>
  <si>
    <t>4d51ee04-4b84-4846-9f43-d586eea97720</t>
  </si>
  <si>
    <t>d9be8fdc-437b-4d98-b1bc-af461c0fab19|2026-01-20|BIO FIT ACADEMIA|89.90|1/12</t>
  </si>
  <si>
    <t>2026-02-07T14:34:46.661Z</t>
  </si>
  <si>
    <t>53378be3-eb5c-4e44-a953-3fedc5505e20</t>
  </si>
  <si>
    <t>20.1</t>
  </si>
  <si>
    <t>d9be8fdc-437b-4d98-b1bc-af461c0fab19|2026-01-21|MERCADINHO VIVENDAS|20.10|1/1</t>
  </si>
  <si>
    <t>2026-02-07T14:33:35.462Z</t>
  </si>
  <si>
    <t>73baae2b-5dd5-4ce5-90b0-04ef64efb182</t>
  </si>
  <si>
    <t>2026-01-23</t>
  </si>
  <si>
    <t>174.92</t>
  </si>
  <si>
    <t>d9be8fdc-437b-4d98-b1bc-af461c0fab19|2026-01-23|GONZAGA HIPERMERCADO|174.92|1/1</t>
  </si>
  <si>
    <t>2026-02-07T14:33:29.825Z</t>
  </si>
  <si>
    <t>331e9dd0-a4d2-4478-a4f3-15fc28d6f0f9</t>
  </si>
  <si>
    <t>2026-01-24</t>
  </si>
  <si>
    <t>26.85</t>
  </si>
  <si>
    <t>d9be8fdc-437b-4d98-b1bc-af461c0fab19|2026-01-24|MERCADINHO VIVENDAS|26.85|1/1</t>
  </si>
  <si>
    <t>2026-02-07T14:33:22.244Z</t>
  </si>
  <si>
    <t>6a1d2de4-ec7d-4739-8e73-9db95571f9a5</t>
  </si>
  <si>
    <t>d9be8fdc-437b-4d98-b1bc-af461c0fab19|2026-01-25|MERCADINHO VIVENDAS|11.00|1/1</t>
  </si>
  <si>
    <t>2026-02-07T14:24:35.104Z</t>
  </si>
  <si>
    <t>624d57b6-5807-4724-a21f-3fd3d34c9b9d</t>
  </si>
  <si>
    <t>237.91</t>
  </si>
  <si>
    <t>d9be8fdc-437b-4d98-b1bc-af461c0fab19|2026-01-26|POSTO SERRANO|237.91|1/1</t>
  </si>
  <si>
    <t>2026-02-07T14:24:32.603Z</t>
  </si>
  <si>
    <t>53a2c168-8c85-4782-a8c3-2fdd64ababe2</t>
  </si>
  <si>
    <t>M S REFEICOES LTDA</t>
  </si>
  <si>
    <t>d9be8fdc-437b-4d98-b1bc-af461c0fab19|2026-01-26|M S REFEICOES LTDA|80.00|1/1</t>
  </si>
  <si>
    <t>2026-02-07T14:24:33.379Z</t>
  </si>
  <si>
    <t>ed4ab249-43c5-43d8-8d50-fa861c5bb855</t>
  </si>
  <si>
    <t>23.74</t>
  </si>
  <si>
    <t>d9be8fdc-437b-4d98-b1bc-af461c0fab19|2026-01-26|MERCADINHO VIVENDAS|23.74|1/1</t>
  </si>
  <si>
    <t>2026-02-07T14:24:34.325Z</t>
  </si>
  <si>
    <t>82ddbcf9-f141-4751-8e91-15ca46fbff6c</t>
  </si>
  <si>
    <t>d9be8fdc-437b-4d98-b1bc-af461c0fab19|2026-01-27|M S REFEICOES LTDA|40.00|1/1</t>
  </si>
  <si>
    <t>2026-02-07T14:24:31.745Z</t>
  </si>
  <si>
    <t>fa676c53-4c9c-4fb9-ab71-e368734f152c</t>
  </si>
  <si>
    <t>60.74</t>
  </si>
  <si>
    <t>d9be8fdc-437b-4d98-b1bc-af461c0fab19|2026-01-28|M S REFEICOES LTDA|60.74|1/1</t>
  </si>
  <si>
    <t>2026-02-07T14:21:04.259Z</t>
  </si>
  <si>
    <t>c88b0575-dcaf-4f36-bb48-c8d89d872041</t>
  </si>
  <si>
    <t>MP *MERCEARIAITAB</t>
  </si>
  <si>
    <t>d9be8fdc-437b-4d98-b1bc-af461c0fab19|2026-01-28|MP *MERCEARIAITAB|33.00|1/1</t>
  </si>
  <si>
    <t>2026-02-07T14:21:11.420Z</t>
  </si>
  <si>
    <t>357e3ff1-5a8b-4957-88f6-141064640f04</t>
  </si>
  <si>
    <t>MILKY MOO</t>
  </si>
  <si>
    <t>d9be8fdc-437b-4d98-b1bc-af461c0fab19|2026-01-28|MILKY MOO|26.00|1/1</t>
  </si>
  <si>
    <t>2026-02-07T14:21:16.943Z</t>
  </si>
  <si>
    <t>ed5c19c4-8f95-41e6-80cc-de6acb30249b</t>
  </si>
  <si>
    <t>PGZ*BEBELLA</t>
  </si>
  <si>
    <t>169.9</t>
  </si>
  <si>
    <t>d9be8fdc-437b-4d98-b1bc-af461c0fab19|2026-01-28|PGZ*BEBELLA|169.90|1/1</t>
  </si>
  <si>
    <t>2026-02-07T14:21:28.827Z</t>
  </si>
  <si>
    <t>491cf3cd-5850-4a35-a5a8-4f14a478d33f</t>
  </si>
  <si>
    <t>CEA AJU 660 ECPC</t>
  </si>
  <si>
    <t>d9be8fdc-437b-4d98-b1bc-af461c0fab19|2026-01-28|CEA AJU 660 ECPC|59.99|1/1</t>
  </si>
  <si>
    <t>2026-02-07T14:24:20.455Z</t>
  </si>
  <si>
    <t>4b265d01-de1e-4db0-81f2-b70469a987ee</t>
  </si>
  <si>
    <t>d9be8fdc-437b-4d98-b1bc-af461c0fab19|2026-01-28|ARACAJU ADM SHOP CENTE|11.00|1/1</t>
  </si>
  <si>
    <t>2026-02-07T14:24:25.738Z</t>
  </si>
  <si>
    <t>cbf5daa4-23ba-4204-8868-e6fea088c6bf</t>
  </si>
  <si>
    <t>d9be8fdc-437b-4d98-b1bc-af461c0fab19|2026-01-29|M S REFEICOES LTDA|40.00|1/1</t>
  </si>
  <si>
    <t>2026-02-07T14:20:27.861Z</t>
  </si>
  <si>
    <t>a0c7d0c2-879e-495a-8ee0-9de8be9f1f50</t>
  </si>
  <si>
    <t>26.39</t>
  </si>
  <si>
    <t>d9be8fdc-437b-4d98-b1bc-af461c0fab19|2026-01-29|MERCADINHO VIVENDAS|26.39|1/1</t>
  </si>
  <si>
    <t>2026-02-07T14:20:45.849Z</t>
  </si>
  <si>
    <t>movimento_id</t>
  </si>
  <si>
    <t>e8da86db-2b31-4977-8287-75b7355182c5</t>
  </si>
  <si>
    <t>149e0501-d209-4bb2-b38f-d766bd734463</t>
  </si>
  <si>
    <t>2326e1c8-9607-463a-a95c-7beaec729aef</t>
  </si>
  <si>
    <t>02fcf114-971e-4d2d-906c-5f6360ce137b</t>
  </si>
  <si>
    <t>1f23111a-cbba-4177-8bb0-ae34855632c3</t>
  </si>
  <si>
    <t>19828c15-ed6e-414a-8fc0-5aad073db430</t>
  </si>
  <si>
    <t>2a114433-8d19-4d03-91cb-469fdca80911</t>
  </si>
  <si>
    <t>6a3e1e65-59d2-4651-ac94-6668af763dd1</t>
  </si>
  <si>
    <t>b409dcd9-b011-4255-949d-e0b05e5e2335</t>
  </si>
  <si>
    <t>89d4cf49-3ed4-4c49-a256-0ce0cf55eb7b</t>
  </si>
  <si>
    <t>5e2c7d4d-4e06-4e8f-a3c3-949220dd0a03</t>
  </si>
  <si>
    <t>68697c83-2c71-45da-83aa-17eca34f6ef5</t>
  </si>
  <si>
    <t>0cd91e4d-34ae-4705-ae7e-80e97a42733b</t>
  </si>
  <si>
    <t>7f32ea61-40ae-40b5-a9a4-2af8c1cecb90</t>
  </si>
  <si>
    <t>8c913a12-1e27-4bb2-b833-829d870ada7c</t>
  </si>
  <si>
    <t>85553aa3-42f6-40ed-a6c5-a2d05aab39b2</t>
  </si>
  <si>
    <t>b3ebbafa-19e7-4dff-b954-85be53baabd3</t>
  </si>
  <si>
    <t>52b27192-a1aa-46f6-b988-7170e5c896d9</t>
  </si>
  <si>
    <t>84f0c07b-5a9d-4d2c-bec1-dee1558f05e7</t>
  </si>
  <si>
    <t>758c07ba-81f0-44b5-a9f5-503653abadb2</t>
  </si>
  <si>
    <t>83193872-6e3d-4df7-9c44-796c8ef45caf</t>
  </si>
  <si>
    <t>097826f4-d393-42af-a821-0bd264cebf0f</t>
  </si>
  <si>
    <t>f0238689-d1c0-4b4d-b378-5f7522e14c7f</t>
  </si>
  <si>
    <t>3af5d27d-a52f-470b-90c6-dbcd6e921896</t>
  </si>
  <si>
    <t>1c808d7b-5838-4234-b6e4-5f0ed93f96f0</t>
  </si>
  <si>
    <t>b43fbc4c-595f-444c-9e60-02d8da99fecf</t>
  </si>
  <si>
    <t>85c218ac-b485-4ac7-90f1-99f743c5be6a</t>
  </si>
  <si>
    <t>2b88b992-a988-4f34-adbb-ec030c64b158</t>
  </si>
  <si>
    <t>336eafe0-67a6-4b62-9aff-b2a9eb0dbc39</t>
  </si>
  <si>
    <t>01994b5a-feaf-4310-a1c2-5a0927a5c1f7</t>
  </si>
  <si>
    <t>00d5535f-43ed-4004-902a-c85ee084e647</t>
  </si>
  <si>
    <t>slug</t>
  </si>
  <si>
    <t>ativa</t>
  </si>
  <si>
    <t>ordem</t>
  </si>
  <si>
    <t>cor</t>
  </si>
  <si>
    <t>22226ac6-8def-42fe-bc3c-44cdd5959c48</t>
  </si>
  <si>
    <t>false</t>
  </si>
  <si>
    <t>2026-02-08T17:18:50.511Z</t>
  </si>
  <si>
    <t>2026-02-08T17:29:38.461Z</t>
  </si>
  <si>
    <t>12fe3b3e-34ad-4df3-97f1-5aa5d4313f91</t>
  </si>
  <si>
    <t>CONDOMINIO</t>
  </si>
  <si>
    <t>30e17905-a10e-477b-98af-f6cb87387563</t>
  </si>
  <si>
    <t>9230f7dc-52a5-4ba3-9571-06eb936900b0</t>
  </si>
  <si>
    <t>5bc18310-6a8c-4a62-9f8a-9842e73b30b5</t>
  </si>
  <si>
    <t>4d7a1e15-d663-442f-bbfd-ca316887f5f6</t>
  </si>
  <si>
    <t>34dca8b1-d45c-4e81-bec5-b0215788590e</t>
  </si>
  <si>
    <t>c0e0e76e-cff4-42b6-8e12-505e1ee04430</t>
  </si>
  <si>
    <t>ab8bd831-d12a-476a-9e3b-91fd466ab80b</t>
  </si>
  <si>
    <t>d53959c4-ed5b-4b21-96a2-2392bed7b4aa</t>
  </si>
  <si>
    <t>220d4663-b17b-45da-9967-43d08b0ce6e3</t>
  </si>
  <si>
    <t>f6a2ce6a-f400-420c-988e-6d3629de6956</t>
  </si>
  <si>
    <t>c296f360-ccaf-469a-b537-0eedf7529873</t>
  </si>
  <si>
    <t>118445a6-fb48-46b8-8eb6-45b402803f3d</t>
  </si>
  <si>
    <t>PLANO DE SAUDE MAE</t>
  </si>
  <si>
    <t>d6342a0b-5b8c-471a-bff7-c412b1200eb6</t>
  </si>
  <si>
    <t>91b8d2be-815d-4ca9-acd9-f6272db8551a</t>
  </si>
  <si>
    <t>d14efd3e-a84b-4a7c-9f41-0f529b70dcdf</t>
  </si>
  <si>
    <t>9beac113-0e7e-4ecb-855c-a5d2d6742a44</t>
  </si>
  <si>
    <t>bce3b2aa-ddb8-4e16-843c-ddb3fb625da0</t>
  </si>
  <si>
    <t>62ba144f-06c5-4f2f-812a-de1243058cca</t>
  </si>
  <si>
    <t>ba85480f-bc3a-4b24-9835-16d7cd9d25ed</t>
  </si>
  <si>
    <t>04dff3b4-5a17-456f-b3d0-b1fd2f5ed7fc</t>
  </si>
  <si>
    <t>f4a09089-7506-4355-b793-1739831fd54e</t>
  </si>
  <si>
    <t>e3cbf6c5-dcbf-401c-91d2-c8cacad0c91b</t>
  </si>
  <si>
    <t>37ad8d7b-6259-4b19-ac87-b4a6a6eb8500</t>
  </si>
  <si>
    <t>9e95c994-c75e-41ef-8804-4d385ce9b62d</t>
  </si>
  <si>
    <t>39abf914-edc2-4b89-8298-ea6ec61ef5ee</t>
  </si>
  <si>
    <t>6246373a-3888-4dde-a9be-8acd073fbcdb</t>
  </si>
  <si>
    <t>d93aa9a5-1cad-4fb1-9674-32ad3a74a7b0</t>
  </si>
  <si>
    <t>a964d55a-f09e-4c37-b067-be9b049b0eb9</t>
  </si>
  <si>
    <t>b9030e09-1938-4e64-b739-efedc4d858c9</t>
  </si>
  <si>
    <t>3a6d8692-a475-4bcf-ab62-21dcc125689d</t>
  </si>
  <si>
    <t>9b3b953e-fee7-4c2e-9ea5-92fd1743a2af</t>
  </si>
  <si>
    <t>d6045c77-e3cf-421d-886b-e0735f795f33</t>
  </si>
  <si>
    <t>e32aa3f3-8448-49b2-b5ad-e7752942bcd0</t>
  </si>
  <si>
    <t>5f6d6c31-ba82-4dc0-a6e7-68b2adf8706a</t>
  </si>
  <si>
    <t>7584cf36-f75d-402f-ac19-6a9eb339a974</t>
  </si>
  <si>
    <t>a8ad970b-4edc-49f4-81f1-567e2544185d</t>
  </si>
  <si>
    <t>22db52c3-bc77-492f-a0c6-37bf30836743</t>
  </si>
  <si>
    <t>fa3de785-4784-4ba5-b29a-16c3da80a393</t>
  </si>
  <si>
    <t>ae8b4ed7-df9f-4c7f-a2a2-366fa06a7e34</t>
  </si>
  <si>
    <t>f2ad8a9d-20bc-42cb-9e6f-c88cfb36ffbe</t>
  </si>
  <si>
    <t>506ee997-b81c-4c65-9c5d-a22542b317ab</t>
  </si>
  <si>
    <t>2f95e3a2-3190-4f48-a339-e1f38f1622c2</t>
  </si>
  <si>
    <t>c8058d7b-694c-4a1c-9ac0-9033f6bea838</t>
  </si>
  <si>
    <t>186a6e36-c78d-448c-b0a8-bf7314fdf240</t>
  </si>
  <si>
    <t>5d832aae-f44e-4259-add3-bea28b80d61b</t>
  </si>
  <si>
    <t>aad6ec1e-34be-4481-9177-39f2c2ff0a3d</t>
  </si>
  <si>
    <t>28c4b89e-6910-4a8e-a13e-b64a7b61d420</t>
  </si>
  <si>
    <t>252ae9df-1506-4cc8-9839-fa9137e0cb18</t>
  </si>
  <si>
    <t>d82caf1f-09b5-4f70-89d1-dd8a48dea978</t>
  </si>
  <si>
    <t>a461b9e7-c1a0-4d7e-9d27-942ea9b34b2d</t>
  </si>
  <si>
    <t>15b3d223-b4b8-450f-b443-42973ca4cfce</t>
  </si>
  <si>
    <t>ff5ccecc-d716-4e77-b25d-bd1583c170b4</t>
  </si>
  <si>
    <t>6e36caa7-63a7-447f-aaa5-0723b066cc4f</t>
  </si>
  <si>
    <t>f85e5545-6d34-4c9a-8315-026d997f0080</t>
  </si>
  <si>
    <t>324ea2c9-0803-4923-89f4-b428e773d95a</t>
  </si>
  <si>
    <t>6893fa00-5c2d-4d2b-91f9-e6ab9173bcf1</t>
  </si>
  <si>
    <t>587215d5-7d00-49b0-9c06-bb952e66325e</t>
  </si>
  <si>
    <t>e20541fe-a32a-406a-90e4-e4fdac2328c3</t>
  </si>
  <si>
    <t>2026-02-08T17:30:13.114Z</t>
  </si>
  <si>
    <t>3f8910e8-039a-4776-b0e5-64fc8d1810ce</t>
  </si>
  <si>
    <t>2026-02-08T17:30:31.215Z</t>
  </si>
  <si>
    <t>6428e9d5-9259-4386-b748-352fa3ec76b6</t>
  </si>
  <si>
    <t>#0EA5E9</t>
  </si>
  <si>
    <t>2026-02-08T17:30:46.066Z</t>
  </si>
  <si>
    <t>2026-02-09T11:41:35.907Z</t>
  </si>
  <si>
    <t>b0bbdaa4-38dd-48c7-9dc0-7ed8160c68c2</t>
  </si>
  <si>
    <t>2026-02-08T17:30:58.837Z</t>
  </si>
  <si>
    <t>c49f323e-b297-49e5-829d-a8fb161c426e</t>
  </si>
  <si>
    <t>2026-02-09T16:53:44.914Z</t>
  </si>
  <si>
    <t>050f78f5-d4b2-4719-b713-1bd6c01a5039</t>
  </si>
  <si>
    <t>2026-02-10T12:03:28.731Z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</si>
</sst>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0.00"/>
    <numFmt numFmtId="165" formatCode="m/d/yyyy"/>
    <numFmt numFmtId="166" formatCode="mm/dd/yyyy"/>
  </numFmts>
  <fonts count="17">
    <font>
      <sz val="10.0"/>
      <color rgb="FF000000"/>
      <name val="Arial"/>
      <scheme val="minor"/>
    </font>
    <font>
      <color theme="1"/>
      <name val="Arial"/>
      <scheme val="minor"/>
    </font>
    <font>
      <b/>
      <color theme="1"/>
      <name val="Arial"/>
      <scheme val="minor"/>
    </font>
    <font>
      <color theme="1"/>
      <name val="Arial"/>
    </font>
    <font>
      <b/>
      <i/>
      <color theme="1"/>
      <name val="Arial"/>
      <scheme val="minor"/>
    </font>
    <font>
      <b/>
      <sz val="14.0"/>
      <color theme="1"/>
      <name val="Arial"/>
      <scheme val="minor"/>
    </font>
    <font>
      <b/>
      <i/>
      <color rgb="FF38761D"/>
      <name val="Arial"/>
      <scheme val="minor"/>
    </font>
    <font>
      <b/>
      <color rgb="FF38761D"/>
      <name val="Arial"/>
      <scheme val="minor"/>
    </font>
    <font>
      <sz val="10.0"/>
      <color theme="1"/>
      <name val="Arial"/>
      <scheme val="minor"/>
    </font>
    <font>
      <u/>
      <color rgb="FF0000FF"/>
    </font>
    <font>
      <color rgb="FFFF0000"/>
      <name val="Arial"/>
      <scheme val="minor"/>
    </font>
    <font>
      <sz val="14.0"/>
      <color theme="1"/>
      <name val="Arial"/>
      <scheme val="minor"/>
    </font>
    <font>
      <sz val="9.0"/>
      <color theme="1"/>
      <name val="Arial"/>
      <scheme val="minor"/>
    </font>
    <font>
      <strike/>
      <color theme="1"/>
      <name val="Arial"/>
      <scheme val="minor"/>
    </font>
    <font>
      <b/>
      <strike/>
      <color theme="1"/>
      <name val="Arial"/>
      <scheme val="minor"/>
    </font>
    <font/>
    <font>
      <u/>
      <color rgb="FF0000FF"/>
    </font>
  </fonts>
  <fills count="27">
    <fill>
      <patternFill patternType="none"/>
    </fill>
    <fill>
      <patternFill patternType="lightGray"/>
    </fill>
    <fill>
      <patternFill patternType="solid">
        <fgColor rgb="FF999999"/>
        <bgColor rgb="FF999999"/>
      </patternFill>
    </fill>
    <fill>
      <patternFill patternType="solid">
        <fgColor rgb="FFF1C232"/>
        <bgColor rgb="FFF1C232"/>
      </patternFill>
    </fill>
    <fill>
      <patternFill patternType="solid">
        <fgColor rgb="FFB6D7A8"/>
        <bgColor rgb="FFB6D7A8"/>
      </patternFill>
    </fill>
    <fill>
      <patternFill patternType="solid">
        <fgColor rgb="FFA4C2F4"/>
        <bgColor rgb="FFA4C2F4"/>
      </patternFill>
    </fill>
    <fill>
      <patternFill patternType="solid">
        <fgColor rgb="FFEA9999"/>
        <bgColor rgb="FFEA9999"/>
      </patternFill>
    </fill>
    <fill>
      <patternFill patternType="solid">
        <fgColor rgb="FFC9DAF8"/>
        <bgColor rgb="FFC9DAF8"/>
      </patternFill>
    </fill>
    <fill>
      <patternFill patternType="solid">
        <fgColor theme="6"/>
        <bgColor theme="6"/>
      </patternFill>
    </fill>
    <fill>
      <patternFill patternType="solid">
        <fgColor rgb="FFE2EEEA"/>
        <bgColor rgb="FFE2EEEA"/>
      </patternFill>
    </fill>
    <fill>
      <patternFill patternType="solid">
        <fgColor rgb="FFFFE599"/>
        <bgColor rgb="FFFFE599"/>
      </patternFill>
    </fill>
    <fill>
      <patternFill patternType="solid">
        <fgColor rgb="FFF9CB9C"/>
        <bgColor rgb="FFF9CB9C"/>
      </patternFill>
    </fill>
    <fill>
      <patternFill patternType="solid">
        <fgColor rgb="FFB7E1CD"/>
        <bgColor rgb="FFB7E1CD"/>
      </patternFill>
    </fill>
    <fill>
      <patternFill patternType="solid">
        <fgColor rgb="FFFF9900"/>
        <bgColor rgb="FFFF9900"/>
      </patternFill>
    </fill>
    <fill>
      <patternFill patternType="solid">
        <fgColor theme="0"/>
        <bgColor theme="0"/>
      </patternFill>
    </fill>
    <fill>
      <patternFill patternType="solid">
        <fgColor rgb="FFF4CCCC"/>
        <bgColor rgb="FFF4CCCC"/>
      </patternFill>
    </fill>
    <fill>
      <patternFill patternType="solid">
        <fgColor rgb="FFFF0000"/>
        <bgColor rgb="FFFF0000"/>
      </patternFill>
    </fill>
    <fill>
      <patternFill patternType="solid">
        <fgColor rgb="FF93C47D"/>
        <bgColor rgb="FF93C47D"/>
      </patternFill>
    </fill>
    <fill>
      <patternFill patternType="solid">
        <fgColor rgb="FF00FF00"/>
        <bgColor rgb="FF00FF00"/>
      </patternFill>
    </fill>
    <fill>
      <patternFill patternType="solid">
        <fgColor rgb="FFCFE2F3"/>
        <bgColor rgb="FFCFE2F3"/>
      </patternFill>
    </fill>
    <fill>
      <patternFill patternType="solid">
        <fgColor rgb="FF00FFFF"/>
        <bgColor rgb="FF00FFFF"/>
      </patternFill>
    </fill>
    <fill>
      <patternFill patternType="solid">
        <fgColor rgb="FFE06666"/>
        <bgColor rgb="FFE06666"/>
      </patternFill>
    </fill>
    <fill>
      <patternFill patternType="solid">
        <fgColor rgb="FF38761D"/>
        <bgColor rgb="FF38761D"/>
      </patternFill>
    </fill>
    <fill>
      <patternFill patternType="solid">
        <fgColor rgb="FFFFFF00"/>
        <bgColor rgb="FFFFFF00"/>
      </patternFill>
    </fill>
    <fill>
      <patternFill patternType="solid">
        <fgColor rgb="FFEAD1DC"/>
        <bgColor rgb="FFEAD1DC"/>
      </patternFill>
    </fill>
    <fill>
      <patternFill patternType="solid">
        <fgColor rgb="FFCCCCCC"/>
        <bgColor rgb="FFCCCCCC"/>
      </patternFill>
    </fill>
    <fill>
      <patternFill patternType="solid">
        <fgColor rgb="FFD5A6BD"/>
        <bgColor rgb="FFD5A6BD"/>
      </patternFill>
    </fill>
  </fills>
  <borders count="11">
    <border/>
    <border>
      <bottom style="thick">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top style="thin">
        <color rgb="FF000000"/>
      </top>
      <bottom style="medium">
        <color rgb="FFFF0000"/>
      </bottom>
    </border>
    <border>
      <bottom style="medium">
        <color rgb="FFFF0000"/>
      </bottom>
    </border>
    <border>
      <top style="thin">
        <color rgb="FF000000"/>
      </top>
      <bottom style="thick">
        <color rgb="FFFF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xf>
    <xf borderId="0" fillId="4" fontId="2" numFmtId="0" xfId="0" applyAlignment="1" applyFill="1" applyFont="1">
      <alignment horizontal="center" readingOrder="0"/>
    </xf>
    <xf borderId="0" fillId="2" fontId="3" numFmtId="0" xfId="0" applyAlignment="1" applyFont="1">
      <alignment vertical="bottom"/>
    </xf>
    <xf borderId="0" fillId="3" fontId="2" numFmtId="1" xfId="0" applyAlignment="1" applyFont="1" applyNumberFormat="1">
      <alignment horizontal="center" readingOrder="0"/>
    </xf>
    <xf borderId="0" fillId="3" fontId="2" numFmtId="0" xfId="0" applyAlignment="1" applyFont="1">
      <alignment horizontal="center" readingOrder="0" shrinkToFit="0" wrapText="1"/>
    </xf>
    <xf borderId="0" fillId="4" fontId="2" numFmtId="1" xfId="0" applyAlignment="1" applyFont="1" applyNumberFormat="1">
      <alignment horizontal="center" readingOrder="0"/>
    </xf>
    <xf borderId="0" fillId="4" fontId="2" numFmtId="0" xfId="0" applyAlignment="1" applyFont="1">
      <alignment horizontal="center" readingOrder="0" shrinkToFit="0" wrapText="1"/>
    </xf>
    <xf borderId="0" fillId="5" fontId="4" numFmtId="0" xfId="0" applyAlignment="1" applyFill="1" applyFont="1">
      <alignment horizontal="center" readingOrder="0"/>
    </xf>
    <xf borderId="0" fillId="5" fontId="1" numFmtId="164" xfId="0" applyAlignment="1" applyFont="1" applyNumberFormat="1">
      <alignment horizontal="left"/>
    </xf>
    <xf borderId="0" fillId="0" fontId="5" numFmtId="164" xfId="0" applyAlignment="1" applyFont="1" applyNumberFormat="1">
      <alignment horizontal="center" readingOrder="0" shrinkToFit="0" textRotation="90" vertical="center" wrapText="0"/>
    </xf>
    <xf borderId="0" fillId="6" fontId="1" numFmtId="0" xfId="0" applyAlignment="1" applyFill="1" applyFont="1">
      <alignment horizontal="center" readingOrder="0"/>
    </xf>
    <xf borderId="0" fillId="0" fontId="5" numFmtId="164" xfId="0" applyAlignment="1" applyFont="1" applyNumberFormat="1">
      <alignment horizontal="center" textRotation="90" vertical="center"/>
    </xf>
    <xf borderId="0" fillId="7" fontId="1" numFmtId="0" xfId="0" applyAlignment="1" applyFill="1" applyFont="1">
      <alignment horizontal="center" readingOrder="0"/>
    </xf>
    <xf borderId="0" fillId="5" fontId="1" numFmtId="164" xfId="0" applyAlignment="1" applyFont="1" applyNumberFormat="1">
      <alignment horizontal="left" readingOrder="0"/>
    </xf>
    <xf borderId="0" fillId="5" fontId="6" numFmtId="0" xfId="0" applyAlignment="1" applyFont="1">
      <alignment horizontal="center" readingOrder="0"/>
    </xf>
    <xf borderId="0" fillId="5" fontId="7" numFmtId="164" xfId="0" applyAlignment="1" applyFont="1" applyNumberFormat="1">
      <alignment horizontal="left"/>
    </xf>
    <xf borderId="0" fillId="5" fontId="7" numFmtId="164" xfId="0" applyAlignment="1" applyFont="1" applyNumberFormat="1">
      <alignment horizontal="left" readingOrder="0"/>
    </xf>
    <xf borderId="0" fillId="5" fontId="2" numFmtId="164" xfId="0" applyAlignment="1" applyFont="1" applyNumberFormat="1">
      <alignment horizontal="left"/>
    </xf>
    <xf borderId="0" fillId="7" fontId="4" numFmtId="0" xfId="0" applyAlignment="1" applyFont="1">
      <alignment horizontal="center" readingOrder="0"/>
    </xf>
    <xf borderId="0" fillId="7" fontId="1" numFmtId="164" xfId="0" applyAlignment="1" applyFont="1" applyNumberFormat="1">
      <alignment horizontal="left" readingOrder="0"/>
    </xf>
    <xf borderId="0" fillId="6" fontId="1" numFmtId="0" xfId="0" applyFont="1"/>
    <xf borderId="0" fillId="7" fontId="1" numFmtId="0" xfId="0" applyAlignment="1" applyFont="1">
      <alignment horizontal="center"/>
    </xf>
    <xf borderId="0" fillId="8" fontId="2" numFmtId="0" xfId="0" applyAlignment="1" applyFill="1" applyFont="1">
      <alignment horizontal="center" readingOrder="0"/>
    </xf>
    <xf borderId="0" fillId="8" fontId="2" numFmtId="164" xfId="0" applyAlignment="1" applyFont="1" applyNumberFormat="1">
      <alignment horizontal="center" readingOrder="0"/>
    </xf>
    <xf borderId="0" fillId="4" fontId="2" numFmtId="164" xfId="0" applyAlignment="1" applyFont="1" applyNumberFormat="1">
      <alignment horizontal="center" readingOrder="0"/>
    </xf>
    <xf borderId="0" fillId="9" fontId="1" numFmtId="0" xfId="0" applyAlignment="1" applyFill="1" applyFont="1">
      <alignment horizontal="center" readingOrder="0"/>
    </xf>
    <xf borderId="0" fillId="9" fontId="1" numFmtId="164" xfId="0" applyAlignment="1" applyFont="1" applyNumberFormat="1">
      <alignment horizontal="center" readingOrder="0"/>
    </xf>
    <xf borderId="0" fillId="9" fontId="1" numFmtId="1" xfId="0" applyAlignment="1" applyFont="1" applyNumberFormat="1">
      <alignment horizontal="center" readingOrder="0"/>
    </xf>
    <xf borderId="0" fillId="9" fontId="8" numFmtId="0" xfId="0" applyAlignment="1" applyFont="1">
      <alignment horizontal="left" readingOrder="0" shrinkToFit="0" textRotation="0" vertical="center" wrapText="1"/>
    </xf>
    <xf borderId="0" fillId="8" fontId="1" numFmtId="1" xfId="0" applyAlignment="1" applyFont="1" applyNumberFormat="1">
      <alignment horizontal="center"/>
    </xf>
    <xf borderId="0" fillId="10" fontId="1" numFmtId="0" xfId="0" applyAlignment="1" applyFill="1" applyFont="1">
      <alignment horizontal="center" readingOrder="0"/>
    </xf>
    <xf borderId="0" fillId="4" fontId="1" numFmtId="164" xfId="0" applyAlignment="1" applyFont="1" applyNumberFormat="1">
      <alignment horizontal="center" readingOrder="0"/>
    </xf>
    <xf borderId="0" fillId="11" fontId="1" numFmtId="1" xfId="0" applyAlignment="1" applyFill="1" applyFont="1" applyNumberFormat="1">
      <alignment horizontal="center" readingOrder="0"/>
    </xf>
    <xf borderId="0" fillId="0" fontId="1" numFmtId="2" xfId="0" applyAlignment="1" applyFont="1" applyNumberFormat="1">
      <alignment horizontal="center" readingOrder="0"/>
    </xf>
    <xf borderId="0" fillId="0" fontId="1" numFmtId="0" xfId="0" applyAlignment="1" applyFont="1">
      <alignment readingOrder="0"/>
    </xf>
    <xf borderId="0" fillId="4" fontId="1" numFmtId="0" xfId="0" applyAlignment="1" applyFont="1">
      <alignment horizontal="center" readingOrder="0"/>
    </xf>
    <xf borderId="0" fillId="11" fontId="1" numFmtId="0" xfId="0" applyAlignment="1" applyFont="1">
      <alignment horizontal="center" readingOrder="0"/>
    </xf>
    <xf borderId="0" fillId="0" fontId="1" numFmtId="0" xfId="0" applyAlignment="1" applyFont="1">
      <alignment horizontal="center" readingOrder="0"/>
    </xf>
    <xf borderId="0" fillId="10" fontId="1" numFmtId="0" xfId="0" applyAlignment="1" applyFont="1">
      <alignment horizontal="center" readingOrder="0" vertical="center"/>
    </xf>
    <xf borderId="0" fillId="12" fontId="3" numFmtId="164" xfId="0" applyAlignment="1" applyFill="1" applyFont="1" applyNumberFormat="1">
      <alignment horizontal="center" readingOrder="0" shrinkToFit="0" wrapText="1"/>
    </xf>
    <xf borderId="0" fillId="12" fontId="3" numFmtId="164" xfId="0" applyAlignment="1" applyFont="1" applyNumberFormat="1">
      <alignment horizontal="center" readingOrder="0" vertical="center"/>
    </xf>
    <xf borderId="0" fillId="11" fontId="1" numFmtId="1" xfId="0" applyAlignment="1" applyFont="1" applyNumberForma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0" fillId="12" fontId="3" numFmtId="164" xfId="0" applyAlignment="1" applyFont="1" applyNumberFormat="1">
      <alignment horizontal="center" readingOrder="0"/>
    </xf>
    <xf borderId="0" fillId="2" fontId="1" numFmtId="0" xfId="0" applyAlignment="1" applyFont="1">
      <alignment horizontal="center" readingOrder="0" vertical="center"/>
    </xf>
    <xf borderId="0" fillId="2" fontId="3" numFmtId="164" xfId="0" applyAlignment="1" applyFont="1" applyNumberFormat="1">
      <alignment horizontal="center" readingOrder="0" vertical="center"/>
    </xf>
    <xf borderId="0" fillId="2" fontId="1" numFmtId="1" xfId="0" applyAlignment="1" applyFont="1" applyNumberFormat="1">
      <alignment horizontal="center" readingOrder="0" vertical="center"/>
    </xf>
    <xf borderId="0" fillId="2" fontId="1" numFmtId="2" xfId="0" applyAlignment="1" applyFont="1" applyNumberFormat="1">
      <alignment horizontal="center" readingOrder="0" vertical="center"/>
    </xf>
    <xf borderId="0" fillId="2" fontId="1" numFmtId="0" xfId="0" applyAlignment="1" applyFont="1">
      <alignment readingOrder="0" vertical="center"/>
    </xf>
    <xf borderId="0" fillId="4" fontId="1" numFmtId="164" xfId="0" applyAlignment="1" applyFont="1" applyNumberFormat="1">
      <alignment horizontal="center" readingOrder="0" vertical="center"/>
    </xf>
    <xf borderId="0" fillId="13" fontId="1" numFmtId="2" xfId="0" applyAlignment="1" applyFill="1" applyFont="1" applyNumberFormat="1">
      <alignment horizontal="center" readingOrder="0"/>
    </xf>
    <xf borderId="0" fillId="0" fontId="1" numFmtId="164" xfId="0" applyAlignment="1" applyFont="1" applyNumberFormat="1">
      <alignment horizontal="left" readingOrder="0"/>
    </xf>
    <xf borderId="1" fillId="10" fontId="1" numFmtId="0" xfId="0" applyAlignment="1" applyBorder="1" applyFont="1">
      <alignment horizontal="center" readingOrder="0"/>
    </xf>
    <xf borderId="1" fillId="4" fontId="1" numFmtId="164" xfId="0" applyAlignment="1" applyBorder="1" applyFont="1" applyNumberFormat="1">
      <alignment horizontal="center" readingOrder="0"/>
    </xf>
    <xf borderId="1" fillId="0" fontId="1" numFmtId="2" xfId="0" applyAlignment="1" applyBorder="1" applyFont="1" applyNumberFormat="1">
      <alignment horizontal="center" readingOrder="0"/>
    </xf>
    <xf borderId="1" fillId="0" fontId="1" numFmtId="0" xfId="0" applyAlignment="1" applyBorder="1" applyFont="1">
      <alignment readingOrder="0"/>
    </xf>
    <xf borderId="0" fillId="0" fontId="1" numFmtId="164" xfId="0" applyAlignment="1" applyFont="1" applyNumberFormat="1">
      <alignment readingOrder="0"/>
    </xf>
    <xf borderId="0" fillId="0" fontId="1" numFmtId="0" xfId="0" applyAlignment="1" applyFont="1">
      <alignment horizontal="left" readingOrder="0"/>
    </xf>
    <xf borderId="0" fillId="14" fontId="1" numFmtId="0" xfId="0" applyAlignment="1" applyFill="1" applyFont="1">
      <alignment readingOrder="0"/>
    </xf>
    <xf borderId="0" fillId="15" fontId="1" numFmtId="0" xfId="0" applyAlignment="1" applyFill="1" applyFont="1">
      <alignment readingOrder="0"/>
    </xf>
    <xf borderId="0" fillId="15" fontId="1" numFmtId="164" xfId="0" applyAlignment="1" applyFont="1" applyNumberFormat="1">
      <alignment horizontal="left" readingOrder="0"/>
    </xf>
    <xf borderId="0" fillId="0" fontId="1" numFmtId="0" xfId="0" applyFont="1"/>
    <xf borderId="0" fillId="0" fontId="1" numFmtId="0" xfId="0" applyAlignment="1" applyFont="1">
      <alignment readingOrder="0"/>
    </xf>
    <xf borderId="0" fillId="2" fontId="1" numFmtId="0" xfId="0" applyAlignment="1" applyFont="1">
      <alignment readingOrder="0"/>
    </xf>
    <xf borderId="0" fillId="0" fontId="9" numFmtId="0" xfId="0" applyAlignment="1" applyFont="1">
      <alignment readingOrder="0"/>
    </xf>
    <xf borderId="0" fillId="12" fontId="3" numFmtId="164" xfId="0" applyAlignment="1" applyFont="1" applyNumberFormat="1">
      <alignment horizontal="center"/>
    </xf>
    <xf borderId="0" fillId="16" fontId="10" numFmtId="164" xfId="0" applyAlignment="1" applyFill="1" applyFont="1" applyNumberFormat="1">
      <alignment horizontal="center" readingOrder="0"/>
    </xf>
    <xf borderId="0" fillId="0" fontId="1" numFmtId="0" xfId="0" applyAlignment="1" applyFont="1">
      <alignment horizontal="center"/>
    </xf>
    <xf borderId="0" fillId="9" fontId="4" numFmtId="0" xfId="0" applyAlignment="1" applyFont="1">
      <alignment horizontal="center" readingOrder="0"/>
    </xf>
    <xf borderId="0" fillId="9" fontId="2" numFmtId="164" xfId="0" applyAlignment="1" applyFont="1" applyNumberFormat="1">
      <alignment horizontal="center"/>
    </xf>
    <xf borderId="0" fillId="9" fontId="11" numFmtId="0" xfId="0" applyAlignment="1" applyFont="1">
      <alignment horizontal="left" readingOrder="0" textRotation="90" vertical="center"/>
    </xf>
    <xf borderId="0" fillId="4" fontId="12" numFmtId="164" xfId="0" applyAlignment="1" applyFont="1" applyNumberFormat="1">
      <alignment horizontal="left" readingOrder="0" shrinkToFit="0" vertical="center" wrapText="1"/>
    </xf>
    <xf borderId="0" fillId="0" fontId="1" numFmtId="2" xfId="0" applyAlignment="1" applyFont="1" applyNumberFormat="1">
      <alignment horizontal="center" readingOrder="0" vertical="center"/>
    </xf>
    <xf borderId="0" fillId="4" fontId="2" numFmtId="164" xfId="0" applyAlignment="1" applyFont="1" applyNumberFormat="1">
      <alignment horizontal="center" readingOrder="0" vertical="center"/>
    </xf>
    <xf borderId="0" fillId="17" fontId="1" numFmtId="164" xfId="0" applyAlignment="1" applyFill="1" applyFont="1" applyNumberFormat="1">
      <alignment horizontal="center" readingOrder="0" vertical="center"/>
    </xf>
    <xf borderId="0" fillId="18" fontId="1" numFmtId="164" xfId="0" applyAlignment="1" applyFill="1" applyFont="1" applyNumberFormat="1">
      <alignment horizontal="center" readingOrder="0" textRotation="45"/>
    </xf>
    <xf borderId="1" fillId="11" fontId="1" numFmtId="1" xfId="0" applyAlignment="1" applyBorder="1" applyFont="1" applyNumberFormat="1">
      <alignment horizontal="center" readingOrder="0"/>
    </xf>
    <xf borderId="1" fillId="2" fontId="1" numFmtId="0" xfId="0" applyBorder="1" applyFont="1"/>
    <xf borderId="1" fillId="4" fontId="2" numFmtId="164" xfId="0" applyAlignment="1" applyBorder="1" applyFont="1" applyNumberFormat="1">
      <alignment horizontal="center" readingOrder="0"/>
    </xf>
    <xf borderId="0" fillId="0" fontId="1" numFmtId="0" xfId="0" applyAlignment="1" applyFont="1">
      <alignment horizontal="right" readingOrder="0"/>
    </xf>
    <xf borderId="0" fillId="0" fontId="1" numFmtId="164" xfId="0" applyAlignment="1" applyFont="1" applyNumberFormat="1">
      <alignment horizontal="center" readingOrder="0"/>
    </xf>
    <xf borderId="0" fillId="0" fontId="2" numFmtId="164" xfId="0" applyAlignment="1" applyFont="1" applyNumberFormat="1">
      <alignment horizontal="left" readingOrder="0"/>
    </xf>
    <xf borderId="0" fillId="0" fontId="2" numFmtId="0" xfId="0" applyFont="1"/>
    <xf borderId="0" fillId="0" fontId="3" numFmtId="164" xfId="0" applyFont="1" applyNumberFormat="1"/>
    <xf borderId="0" fillId="0" fontId="1" numFmtId="0" xfId="0" applyAlignment="1" applyFont="1">
      <alignment horizontal="left"/>
    </xf>
    <xf borderId="0" fillId="0" fontId="1" numFmtId="1" xfId="0" applyAlignment="1" applyFont="1" applyNumberFormat="1">
      <alignment horizontal="center" readingOrder="0"/>
    </xf>
    <xf borderId="0" fillId="0" fontId="1" numFmtId="0" xfId="0" applyAlignment="1" applyFont="1">
      <alignment horizontal="right"/>
    </xf>
    <xf borderId="0" fillId="0" fontId="1" numFmtId="1" xfId="0" applyAlignment="1" applyFont="1" applyNumberFormat="1">
      <alignment horizontal="center"/>
    </xf>
    <xf borderId="0" fillId="19" fontId="2" numFmtId="0" xfId="0" applyAlignment="1" applyFill="1" applyFont="1">
      <alignment readingOrder="0" textRotation="90" vertical="center"/>
    </xf>
    <xf borderId="0" fillId="5" fontId="4" numFmtId="0" xfId="0" applyAlignment="1" applyFont="1">
      <alignment horizontal="right" readingOrder="0"/>
    </xf>
    <xf borderId="0" fillId="5" fontId="6" numFmtId="0" xfId="0" applyAlignment="1" applyFont="1">
      <alignment horizontal="right" readingOrder="0"/>
    </xf>
    <xf borderId="0" fillId="7" fontId="4" numFmtId="0" xfId="0" applyAlignment="1" applyFont="1">
      <alignment horizontal="right" readingOrder="0"/>
    </xf>
    <xf borderId="0" fillId="9" fontId="1" numFmtId="0" xfId="0" applyAlignment="1" applyFont="1">
      <alignment horizontal="right" readingOrder="0"/>
    </xf>
    <xf borderId="0" fillId="9" fontId="1" numFmtId="0" xfId="0" applyAlignment="1" applyFont="1">
      <alignment horizontal="right"/>
    </xf>
    <xf borderId="0" fillId="9" fontId="1" numFmtId="164" xfId="0" applyAlignment="1" applyFont="1" applyNumberFormat="1">
      <alignment horizontal="center"/>
    </xf>
    <xf borderId="0" fillId="9" fontId="1" numFmtId="0" xfId="0" applyAlignment="1" applyFont="1">
      <alignment horizontal="center"/>
    </xf>
    <xf borderId="0" fillId="9" fontId="4" numFmtId="0" xfId="0" applyAlignment="1" applyFont="1">
      <alignment horizontal="right" readingOrder="0"/>
    </xf>
    <xf borderId="0" fillId="9" fontId="1" numFmtId="1" xfId="0" applyAlignment="1" applyFont="1" applyNumberFormat="1">
      <alignment horizontal="center"/>
    </xf>
    <xf borderId="0" fillId="10" fontId="2" numFmtId="0" xfId="0" applyAlignment="1" applyFont="1">
      <alignment horizontal="center" readingOrder="0" textRotation="255" vertical="center"/>
    </xf>
    <xf borderId="1" fillId="0" fontId="1" numFmtId="0" xfId="0" applyAlignment="1" applyBorder="1" applyFont="1">
      <alignment horizontal="center" readingOrder="0"/>
    </xf>
    <xf borderId="0" fillId="0" fontId="1" numFmtId="2" xfId="0" applyAlignment="1" applyFont="1" applyNumberFormat="1">
      <alignment readingOrder="0"/>
    </xf>
    <xf borderId="0" fillId="0" fontId="1" numFmtId="164" xfId="0" applyAlignment="1" applyFont="1" applyNumberFormat="1">
      <alignment horizontal="center"/>
    </xf>
    <xf borderId="0" fillId="0" fontId="2" numFmtId="0" xfId="0" applyAlignment="1" applyFont="1">
      <alignment horizontal="center" readingOrder="0"/>
    </xf>
    <xf borderId="0" fillId="0" fontId="2" numFmtId="0" xfId="0" applyAlignment="1" applyFont="1">
      <alignment readingOrder="0"/>
    </xf>
    <xf borderId="0" fillId="0" fontId="1" numFmtId="165" xfId="0" applyAlignment="1" applyFont="1" applyNumberFormat="1">
      <alignment horizontal="center" readingOrder="0"/>
    </xf>
    <xf borderId="0" fillId="0" fontId="1" numFmtId="164" xfId="0" applyAlignment="1" applyFont="1" applyNumberFormat="1">
      <alignment horizontal="center"/>
    </xf>
    <xf borderId="0" fillId="0" fontId="1" numFmtId="164" xfId="0" applyAlignment="1" applyFont="1" applyNumberFormat="1">
      <alignment horizontal="center" readingOrder="0"/>
    </xf>
    <xf borderId="0" fillId="0" fontId="1" numFmtId="166" xfId="0" applyAlignment="1" applyFont="1" applyNumberFormat="1">
      <alignment horizontal="center" readingOrder="0"/>
    </xf>
    <xf borderId="0" fillId="0" fontId="13" numFmtId="0" xfId="0" applyAlignment="1" applyFont="1">
      <alignment readingOrder="0"/>
    </xf>
    <xf borderId="0" fillId="0" fontId="13" numFmtId="166" xfId="0" applyAlignment="1" applyFont="1" applyNumberFormat="1">
      <alignment horizontal="center" readingOrder="0"/>
    </xf>
    <xf borderId="0" fillId="0" fontId="13" numFmtId="164" xfId="0" applyAlignment="1" applyFont="1" applyNumberFormat="1">
      <alignment horizontal="center" readingOrder="0"/>
    </xf>
    <xf borderId="0" fillId="0" fontId="13" numFmtId="0" xfId="0" applyFont="1"/>
    <xf borderId="2" fillId="0" fontId="4" numFmtId="0" xfId="0" applyAlignment="1" applyBorder="1" applyFont="1">
      <alignment horizontal="center" readingOrder="0"/>
    </xf>
    <xf borderId="0" fillId="20" fontId="1" numFmtId="0" xfId="0" applyFill="1" applyFont="1"/>
    <xf borderId="2" fillId="0" fontId="2" numFmtId="164" xfId="0" applyBorder="1" applyFont="1" applyNumberFormat="1"/>
    <xf borderId="2" fillId="0" fontId="2" numFmtId="164" xfId="0" applyAlignment="1" applyBorder="1" applyFont="1" applyNumberFormat="1">
      <alignment horizontal="center"/>
    </xf>
    <xf borderId="2" fillId="21" fontId="2" numFmtId="164" xfId="0" applyAlignment="1" applyBorder="1" applyFill="1" applyFont="1" applyNumberFormat="1">
      <alignment horizontal="center"/>
    </xf>
    <xf borderId="2" fillId="22" fontId="2" numFmtId="164" xfId="0" applyAlignment="1" applyBorder="1" applyFill="1" applyFont="1" applyNumberFormat="1">
      <alignment horizontal="center"/>
    </xf>
    <xf borderId="0" fillId="23" fontId="4" numFmtId="164" xfId="0" applyFill="1" applyFont="1" applyNumberFormat="1"/>
    <xf borderId="0" fillId="0" fontId="2" numFmtId="164" xfId="0" applyFont="1" applyNumberFormat="1"/>
    <xf borderId="2" fillId="18" fontId="13" numFmtId="164" xfId="0" applyBorder="1" applyFont="1" applyNumberFormat="1"/>
    <xf borderId="3" fillId="4" fontId="2" numFmtId="164" xfId="0" applyBorder="1" applyFont="1" applyNumberFormat="1"/>
    <xf borderId="3" fillId="24" fontId="2" numFmtId="164" xfId="0" applyAlignment="1" applyBorder="1" applyFill="1" applyFont="1" applyNumberFormat="1">
      <alignment readingOrder="0"/>
    </xf>
    <xf borderId="0" fillId="25" fontId="2" numFmtId="0" xfId="0" applyAlignment="1" applyFill="1" applyFont="1">
      <alignment horizontal="center" readingOrder="0"/>
    </xf>
    <xf borderId="0" fillId="17" fontId="2" numFmtId="0" xfId="0" applyAlignment="1" applyFont="1">
      <alignment readingOrder="0"/>
    </xf>
    <xf borderId="0" fillId="26" fontId="2" numFmtId="0" xfId="0" applyAlignment="1" applyFill="1" applyFont="1">
      <alignment horizontal="center" readingOrder="0"/>
    </xf>
    <xf borderId="2" fillId="0" fontId="2" numFmtId="164" xfId="0" applyAlignment="1" applyBorder="1" applyFont="1" applyNumberFormat="1">
      <alignment readingOrder="0"/>
    </xf>
    <xf borderId="2" fillId="0" fontId="1" numFmtId="0" xfId="0" applyAlignment="1" applyBorder="1" applyFont="1">
      <alignment readingOrder="0"/>
    </xf>
    <xf borderId="2" fillId="0" fontId="1" numFmtId="164" xfId="0" applyBorder="1" applyFont="1" applyNumberFormat="1"/>
    <xf borderId="2" fillId="0" fontId="2" numFmtId="0" xfId="0" applyAlignment="1" applyBorder="1" applyFont="1">
      <alignment readingOrder="0"/>
    </xf>
    <xf borderId="2" fillId="0" fontId="1" numFmtId="164" xfId="0" applyAlignment="1" applyBorder="1" applyFont="1" applyNumberFormat="1">
      <alignment readingOrder="0"/>
    </xf>
    <xf borderId="2" fillId="0" fontId="1" numFmtId="0" xfId="0" applyAlignment="1" applyBorder="1" applyFont="1">
      <alignment horizontal="center" readingOrder="0"/>
    </xf>
    <xf borderId="4" fillId="0" fontId="2" numFmtId="0" xfId="0" applyAlignment="1" applyBorder="1" applyFont="1">
      <alignment readingOrder="0" shrinkToFit="0" wrapText="1"/>
    </xf>
    <xf borderId="2" fillId="0" fontId="13" numFmtId="164" xfId="0" applyBorder="1" applyFont="1" applyNumberFormat="1"/>
    <xf borderId="3" fillId="4" fontId="14" numFmtId="164" xfId="0" applyBorder="1" applyFont="1" applyNumberFormat="1"/>
    <xf borderId="5" fillId="0" fontId="15" numFmtId="0" xfId="0" applyBorder="1" applyFont="1"/>
    <xf borderId="0" fillId="0" fontId="1" numFmtId="164" xfId="0" applyAlignment="1" applyFont="1" applyNumberFormat="1">
      <alignment readingOrder="0"/>
    </xf>
    <xf borderId="6" fillId="0" fontId="15" numFmtId="0" xfId="0" applyBorder="1" applyFont="1"/>
    <xf borderId="3" fillId="4" fontId="14" numFmtId="164" xfId="0" applyAlignment="1" applyBorder="1" applyFont="1" applyNumberFormat="1">
      <alignment readingOrder="0"/>
    </xf>
    <xf borderId="3" fillId="24" fontId="14" numFmtId="164" xfId="0" applyAlignment="1" applyBorder="1" applyFont="1" applyNumberFormat="1">
      <alignment readingOrder="0"/>
    </xf>
    <xf borderId="0" fillId="0" fontId="2" numFmtId="0" xfId="0" applyAlignment="1" applyFont="1">
      <alignment horizontal="right" readingOrder="0"/>
    </xf>
    <xf borderId="0" fillId="0" fontId="4" numFmtId="0" xfId="0" applyAlignment="1" applyFont="1">
      <alignment readingOrder="0"/>
    </xf>
    <xf borderId="0" fillId="17" fontId="2" numFmtId="0" xfId="0" applyAlignment="1" applyFont="1">
      <alignment readingOrder="0" shrinkToFit="0" vertical="center" wrapText="1"/>
    </xf>
    <xf borderId="2" fillId="18" fontId="13" numFmtId="164" xfId="0" applyAlignment="1" applyBorder="1" applyFont="1" applyNumberFormat="1">
      <alignment readingOrder="0"/>
    </xf>
    <xf borderId="0" fillId="16" fontId="2" numFmtId="0" xfId="0" applyAlignment="1" applyFont="1">
      <alignment readingOrder="0"/>
    </xf>
    <xf borderId="0" fillId="0" fontId="4" numFmtId="0" xfId="0" applyAlignment="1" applyFont="1">
      <alignment horizontal="center" readingOrder="0"/>
    </xf>
    <xf borderId="7" fillId="0" fontId="1" numFmtId="0" xfId="0" applyBorder="1" applyFont="1"/>
    <xf borderId="3" fillId="0" fontId="1" numFmtId="0" xfId="0" applyBorder="1" applyFont="1"/>
    <xf borderId="8" fillId="0" fontId="1" numFmtId="0" xfId="0" applyBorder="1" applyFont="1"/>
    <xf borderId="9" fillId="0" fontId="1" numFmtId="0" xfId="0" applyBorder="1" applyFont="1"/>
    <xf borderId="10" fillId="0" fontId="1" numFmtId="0" xfId="0" applyBorder="1" applyFont="1"/>
    <xf quotePrefix="1" borderId="0" fillId="0" fontId="1" numFmtId="0" xfId="0" applyAlignment="1" applyFont="1">
      <alignment readingOrder="0"/>
    </xf>
    <xf borderId="0" fillId="0" fontId="16" numFmtId="0" xfId="0" applyAlignment="1" applyFont="1">
      <alignment readingOrder="0"/>
    </xf>
  </cellXfs>
  <cellStyles count="1">
    <cellStyle xfId="0" name="Normal" builtinId="0"/>
  </cellStyles>
  <dxfs count="6">
    <dxf>
      <font/>
      <fill>
        <patternFill patternType="solid">
          <fgColor rgb="FFB7E1CD"/>
          <bgColor rgb="FFB7E1CD"/>
        </patternFill>
      </fill>
      <border/>
    </dxf>
    <dxf>
      <font/>
      <fill>
        <patternFill patternType="solid">
          <fgColor rgb="FFEFEFEF"/>
          <bgColor rgb="FFEFEFEF"/>
        </patternFill>
      </fill>
      <border/>
    </dxf>
    <dxf>
      <font>
        <color rgb="FFFF6D01"/>
      </font>
      <fill>
        <patternFill patternType="solid">
          <fgColor rgb="FFB7E1CD"/>
          <bgColor rgb="FFB7E1CD"/>
        </patternFill>
      </fill>
      <border/>
    </dxf>
    <dxf>
      <font/>
      <fill>
        <patternFill patternType="solid">
          <fgColor rgb="FF00FFFF"/>
          <bgColor rgb="FF00FFFF"/>
        </patternFill>
      </fill>
      <border/>
    </dxf>
    <dxf>
      <font/>
      <fill>
        <patternFill patternType="solid">
          <fgColor theme="5"/>
          <bgColor theme="5"/>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1</xdr:row>
      <xdr:rowOff>409575</xdr:rowOff>
    </xdr:from>
    <xdr:ext cx="209550" cy="409575"/>
    <xdr:grpSp>
      <xdr:nvGrpSpPr>
        <xdr:cNvPr id="2" name="Shape 2" title="Drawing"/>
        <xdr:cNvGrpSpPr/>
      </xdr:nvGrpSpPr>
      <xdr:grpSpPr>
        <a:xfrm>
          <a:off x="-90075" y="-100"/>
          <a:ext cx="9827100" cy="7025100"/>
          <a:chOff x="-90075" y="-100"/>
          <a:chExt cx="9827100" cy="7025100"/>
        </a:xfrm>
      </xdr:grpSpPr>
      <xdr:cxnSp>
        <xdr:nvCxnSpPr>
          <xdr:cNvPr id="3" name="Shape 3"/>
          <xdr:cNvCxnSpPr/>
        </xdr:nvCxnSpPr>
        <xdr:spPr>
          <a:xfrm flipH="1" rot="10800000">
            <a:off x="-90075" y="-100"/>
            <a:ext cx="9827100" cy="7025100"/>
          </a:xfrm>
          <a:prstGeom prst="straightConnector1">
            <a:avLst/>
          </a:prstGeom>
          <a:noFill/>
          <a:ln cap="flat" cmpd="sng" w="228600">
            <a:solidFill>
              <a:srgbClr val="00FFFF"/>
            </a:solidFill>
            <a:prstDash val="dot"/>
            <a:round/>
            <a:headEnd len="med" w="med" type="none"/>
            <a:tailEnd len="med" w="med" type="none"/>
          </a:ln>
        </xdr:spPr>
      </xdr:cxnSp>
    </xdr:grpSp>
    <xdr:clientData fLocksWithSheet="0"/>
  </xdr:oneCellAnchor>
  <xdr:oneCellAnchor>
    <xdr:from>
      <xdr:col>3</xdr:col>
      <xdr:colOff>9525</xdr:colOff>
      <xdr:row>1</xdr:row>
      <xdr:rowOff>409575</xdr:rowOff>
    </xdr:from>
    <xdr:ext cx="209550" cy="409575"/>
    <xdr:grpSp>
      <xdr:nvGrpSpPr>
        <xdr:cNvPr id="2" name="Shape 2" title="Drawing"/>
        <xdr:cNvGrpSpPr/>
      </xdr:nvGrpSpPr>
      <xdr:grpSpPr>
        <a:xfrm>
          <a:off x="-90075" y="-100"/>
          <a:ext cx="9827100" cy="7025100"/>
          <a:chOff x="-90075" y="-100"/>
          <a:chExt cx="9827100" cy="7025100"/>
        </a:xfrm>
      </xdr:grpSpPr>
      <xdr:cxnSp>
        <xdr:nvCxnSpPr>
          <xdr:cNvPr id="4" name="Shape 4"/>
          <xdr:cNvCxnSpPr/>
        </xdr:nvCxnSpPr>
        <xdr:spPr>
          <a:xfrm flipH="1" rot="10800000">
            <a:off x="-90075" y="-100"/>
            <a:ext cx="9827100" cy="7025100"/>
          </a:xfrm>
          <a:prstGeom prst="straightConnector1">
            <a:avLst/>
          </a:prstGeom>
          <a:noFill/>
          <a:ln cap="flat" cmpd="sng" w="228600">
            <a:solidFill>
              <a:srgbClr val="00FFFF"/>
            </a:solidFill>
            <a:prstDash val="dot"/>
            <a:round/>
            <a:headEnd len="med" w="med" type="none"/>
            <a:tailEnd len="med" w="med" type="none"/>
          </a:ln>
        </xdr:spPr>
      </xdr:cxnSp>
    </xdr:grpSp>
    <xdr:clientData fLocksWithSheet="0"/>
  </xdr:oneCellAnchor>
  <xdr:oneCellAnchor>
    <xdr:from>
      <xdr:col>6</xdr:col>
      <xdr:colOff>9525</xdr:colOff>
      <xdr:row>1</xdr:row>
      <xdr:rowOff>409575</xdr:rowOff>
    </xdr:from>
    <xdr:ext cx="209550" cy="428625"/>
    <xdr:grpSp>
      <xdr:nvGrpSpPr>
        <xdr:cNvPr id="2" name="Shape 2" title="Drawing"/>
        <xdr:cNvGrpSpPr/>
      </xdr:nvGrpSpPr>
      <xdr:grpSpPr>
        <a:xfrm>
          <a:off x="-90075" y="-100"/>
          <a:ext cx="9827100" cy="7025100"/>
          <a:chOff x="-90075" y="-100"/>
          <a:chExt cx="9827100" cy="7025100"/>
        </a:xfrm>
      </xdr:grpSpPr>
      <xdr:cxnSp>
        <xdr:nvCxnSpPr>
          <xdr:cNvPr id="5" name="Shape 5"/>
          <xdr:cNvCxnSpPr/>
        </xdr:nvCxnSpPr>
        <xdr:spPr>
          <a:xfrm flipH="1" rot="10800000">
            <a:off x="-90075" y="-100"/>
            <a:ext cx="9827100" cy="7025100"/>
          </a:xfrm>
          <a:prstGeom prst="straightConnector1">
            <a:avLst/>
          </a:prstGeom>
          <a:noFill/>
          <a:ln cap="flat" cmpd="sng" w="228600">
            <a:solidFill>
              <a:srgbClr val="00FFFF"/>
            </a:solidFill>
            <a:prstDash val="dot"/>
            <a:round/>
            <a:headEnd len="med" w="med" type="none"/>
            <a:tailEnd len="med" w="med" type="none"/>
          </a:ln>
        </xdr:spPr>
      </xdr:cxnSp>
    </xdr:grpSp>
    <xdr:clientData fLocksWithSheet="0"/>
  </xdr:oneCellAnchor>
  <xdr:oneCellAnchor>
    <xdr:from>
      <xdr:col>9</xdr:col>
      <xdr:colOff>9525</xdr:colOff>
      <xdr:row>1</xdr:row>
      <xdr:rowOff>419100</xdr:rowOff>
    </xdr:from>
    <xdr:ext cx="209550" cy="409575"/>
    <xdr:grpSp>
      <xdr:nvGrpSpPr>
        <xdr:cNvPr id="2" name="Shape 2" title="Drawing"/>
        <xdr:cNvGrpSpPr/>
      </xdr:nvGrpSpPr>
      <xdr:grpSpPr>
        <a:xfrm>
          <a:off x="-90075" y="-100"/>
          <a:ext cx="9827100" cy="7025100"/>
          <a:chOff x="-90075" y="-100"/>
          <a:chExt cx="9827100" cy="7025100"/>
        </a:xfrm>
      </xdr:grpSpPr>
      <xdr:cxnSp>
        <xdr:nvCxnSpPr>
          <xdr:cNvPr id="6" name="Shape 6"/>
          <xdr:cNvCxnSpPr/>
        </xdr:nvCxnSpPr>
        <xdr:spPr>
          <a:xfrm flipH="1" rot="10800000">
            <a:off x="-90075" y="-100"/>
            <a:ext cx="9827100" cy="7025100"/>
          </a:xfrm>
          <a:prstGeom prst="straightConnector1">
            <a:avLst/>
          </a:prstGeom>
          <a:noFill/>
          <a:ln cap="flat" cmpd="sng" w="228600">
            <a:solidFill>
              <a:srgbClr val="00FFFF"/>
            </a:solidFill>
            <a:prstDash val="dot"/>
            <a:round/>
            <a:headEnd len="med" w="med" type="none"/>
            <a:tailEnd len="med" w="med" type="none"/>
          </a:ln>
        </xdr:spPr>
      </xdr:cxnSp>
    </xdr:grpSp>
    <xdr:clientData fLocksWithSheet="0"/>
  </xdr:oneCellAnchor>
  <xdr:oneCellAnchor>
    <xdr:from>
      <xdr:col>12</xdr:col>
      <xdr:colOff>9525</xdr:colOff>
      <xdr:row>1</xdr:row>
      <xdr:rowOff>409575</xdr:rowOff>
    </xdr:from>
    <xdr:ext cx="209550" cy="428625"/>
    <xdr:grpSp>
      <xdr:nvGrpSpPr>
        <xdr:cNvPr id="2" name="Shape 2" title="Drawing"/>
        <xdr:cNvGrpSpPr/>
      </xdr:nvGrpSpPr>
      <xdr:grpSpPr>
        <a:xfrm>
          <a:off x="-90075" y="-100"/>
          <a:ext cx="9827100" cy="7025100"/>
          <a:chOff x="-90075" y="-100"/>
          <a:chExt cx="9827100" cy="7025100"/>
        </a:xfrm>
      </xdr:grpSpPr>
      <xdr:cxnSp>
        <xdr:nvCxnSpPr>
          <xdr:cNvPr id="7" name="Shape 7"/>
          <xdr:cNvCxnSpPr/>
        </xdr:nvCxnSpPr>
        <xdr:spPr>
          <a:xfrm flipH="1" rot="10800000">
            <a:off x="-90075" y="-100"/>
            <a:ext cx="9827100" cy="7025100"/>
          </a:xfrm>
          <a:prstGeom prst="straightConnector1">
            <a:avLst/>
          </a:prstGeom>
          <a:noFill/>
          <a:ln cap="flat" cmpd="sng" w="228600">
            <a:solidFill>
              <a:srgbClr val="00FFFF"/>
            </a:solidFill>
            <a:prstDash val="dot"/>
            <a:round/>
            <a:headEnd len="med" w="med" type="none"/>
            <a:tailEnd len="med" w="med" type="none"/>
          </a:ln>
        </xdr:spPr>
      </xdr:cxn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pagar.me/"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pagar.me" TargetMode="External"/><Relationship Id="rId2" Type="http://schemas.openxmlformats.org/officeDocument/2006/relationships/hyperlink" Target="http://pagar.me"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3.38"/>
    <col customWidth="1" min="3" max="3" width="10.25"/>
    <col customWidth="1" min="4" max="4" width="5.13"/>
    <col customWidth="1" min="5" max="5" width="14.13"/>
    <col customWidth="1" min="6" max="6" width="10.25"/>
    <col customWidth="1" min="7" max="7" width="6.5"/>
    <col customWidth="1" min="8" max="8" width="21.0"/>
    <col customWidth="1" min="9" max="9" width="10.25"/>
    <col customWidth="1" min="10" max="10" width="5.13"/>
    <col customWidth="1" min="11" max="11" width="14.13"/>
    <col customWidth="1" min="12" max="12" width="10.25"/>
    <col customWidth="1" min="13" max="13" width="6.5"/>
    <col customWidth="1" min="14" max="14" width="24.5"/>
    <col customWidth="1" min="15" max="15" width="10.25"/>
    <col customWidth="1" min="16" max="16" width="11.75"/>
    <col customWidth="1" min="17" max="17" width="14.13"/>
    <col customWidth="1" min="18" max="18" width="10.25"/>
    <col customWidth="1" min="19" max="19" width="6.5"/>
    <col customWidth="1" min="20" max="20" width="21.0"/>
    <col customWidth="1" min="21" max="21" width="10.25"/>
    <col customWidth="1" min="22" max="22" width="5.13"/>
    <col customWidth="1" min="23" max="23" width="14.13"/>
    <col customWidth="1" min="24" max="24" width="10.25"/>
    <col customWidth="1" min="25" max="25" width="6.5"/>
    <col customWidth="1" min="26" max="26" width="21.63"/>
    <col customWidth="1" min="27" max="27" width="10.25"/>
    <col customWidth="1" min="28" max="28" width="4.63"/>
    <col customWidth="1" min="29" max="29" width="14.13"/>
    <col customWidth="1" min="30" max="30" width="10.25"/>
    <col customWidth="1" min="31" max="31" width="6.5"/>
    <col customWidth="1" min="32" max="32" width="21.0"/>
    <col customWidth="1" min="33" max="33" width="10.25"/>
    <col customWidth="1" min="34" max="34" width="5.13"/>
    <col customWidth="1" min="35" max="35" width="14.13"/>
    <col customWidth="1" min="36" max="36" width="10.25"/>
    <col customWidth="1" min="37" max="37" width="6.5"/>
    <col customWidth="1" min="38" max="38" width="21.63"/>
    <col customWidth="1" min="39" max="39" width="10.25"/>
    <col customWidth="1" min="40" max="40" width="4.63"/>
    <col customWidth="1" min="41" max="41" width="14.13"/>
    <col customWidth="1" min="42" max="42" width="10.25"/>
    <col customWidth="1" min="43" max="43" width="6.5"/>
    <col customWidth="1" min="44" max="44" width="21.0"/>
    <col customWidth="1" min="45" max="45" width="10.25"/>
    <col customWidth="1" min="46" max="46" width="5.13"/>
    <col customWidth="1" min="47" max="47" width="14.13"/>
    <col customWidth="1" min="48" max="48" width="10.25"/>
    <col customWidth="1" min="49" max="49" width="6.5"/>
    <col customWidth="1" min="50" max="50" width="21.63"/>
    <col customWidth="1" min="51" max="51" width="10.25"/>
    <col customWidth="1" min="52" max="52" width="4.63"/>
    <col customWidth="1" min="53" max="53" width="14.13"/>
    <col customWidth="1" min="54" max="54" width="10.25"/>
    <col customWidth="1" min="55" max="55" width="6.5"/>
    <col customWidth="1" min="56" max="56" width="21.0"/>
    <col customWidth="1" min="57" max="57" width="10.25"/>
    <col customWidth="1" min="58" max="58" width="5.13"/>
    <col customWidth="1" min="59" max="59" width="14.13"/>
    <col customWidth="1" min="60" max="60" width="10.25"/>
    <col customWidth="1" min="61" max="61" width="6.5"/>
    <col customWidth="1" min="62" max="62" width="21.63"/>
    <col customWidth="1" min="63" max="63" width="10.25"/>
    <col customWidth="1" min="64" max="64" width="4.63"/>
    <col customWidth="1" min="65" max="65" width="14.13"/>
    <col customWidth="1" min="66" max="66" width="10.25"/>
    <col customWidth="1" min="67" max="67" width="6.5"/>
    <col customWidth="1" min="68" max="68" width="21.0"/>
    <col customWidth="1" min="69" max="69" width="10.25"/>
    <col customWidth="1" min="70" max="70" width="5.13"/>
    <col customWidth="1" min="71" max="71" width="14.13"/>
    <col customWidth="1" min="72" max="72" width="10.25"/>
    <col customWidth="1" min="73" max="73" width="6.5"/>
  </cols>
  <sheetData>
    <row r="1">
      <c r="A1" s="1"/>
      <c r="B1" s="2" t="s">
        <v>0</v>
      </c>
      <c r="G1" s="1"/>
      <c r="H1" s="3" t="s">
        <v>1</v>
      </c>
      <c r="M1" s="1"/>
      <c r="N1" s="2" t="s">
        <v>2</v>
      </c>
      <c r="S1" s="1"/>
      <c r="T1" s="3" t="s">
        <v>3</v>
      </c>
      <c r="Y1" s="1"/>
      <c r="Z1" s="2" t="s">
        <v>4</v>
      </c>
      <c r="AE1" s="1"/>
      <c r="AF1" s="3" t="s">
        <v>5</v>
      </c>
      <c r="AK1" s="1"/>
      <c r="AL1" s="2" t="s">
        <v>6</v>
      </c>
      <c r="AQ1" s="1"/>
      <c r="AR1" s="3" t="s">
        <v>7</v>
      </c>
      <c r="AW1" s="1"/>
      <c r="AX1" s="2" t="s">
        <v>8</v>
      </c>
      <c r="BC1" s="1"/>
      <c r="BD1" s="3" t="s">
        <v>9</v>
      </c>
      <c r="BI1" s="1"/>
      <c r="BJ1" s="2" t="s">
        <v>10</v>
      </c>
      <c r="BO1" s="1"/>
      <c r="BP1" s="3" t="s">
        <v>11</v>
      </c>
      <c r="BU1" s="4"/>
    </row>
    <row r="2" ht="38.25" customHeight="1">
      <c r="A2" s="1"/>
      <c r="B2" s="2"/>
      <c r="C2" s="2" t="s">
        <v>12</v>
      </c>
      <c r="D2" s="5" t="s">
        <v>13</v>
      </c>
      <c r="E2" s="2" t="s">
        <v>14</v>
      </c>
      <c r="F2" s="6" t="s">
        <v>15</v>
      </c>
      <c r="G2" s="1"/>
      <c r="H2" s="3"/>
      <c r="I2" s="3" t="s">
        <v>12</v>
      </c>
      <c r="J2" s="7" t="s">
        <v>13</v>
      </c>
      <c r="K2" s="3" t="s">
        <v>14</v>
      </c>
      <c r="L2" s="8" t="s">
        <v>16</v>
      </c>
      <c r="M2" s="1"/>
      <c r="N2" s="2"/>
      <c r="O2" s="2" t="s">
        <v>12</v>
      </c>
      <c r="P2" s="5" t="s">
        <v>13</v>
      </c>
      <c r="Q2" s="2" t="s">
        <v>14</v>
      </c>
      <c r="R2" s="6" t="s">
        <v>17</v>
      </c>
      <c r="S2" s="1"/>
      <c r="T2" s="3"/>
      <c r="U2" s="3" t="s">
        <v>12</v>
      </c>
      <c r="V2" s="7" t="s">
        <v>13</v>
      </c>
      <c r="W2" s="3" t="s">
        <v>14</v>
      </c>
      <c r="X2" s="8" t="s">
        <v>18</v>
      </c>
      <c r="Y2" s="1"/>
      <c r="Z2" s="2"/>
      <c r="AA2" s="2" t="s">
        <v>12</v>
      </c>
      <c r="AB2" s="5" t="s">
        <v>13</v>
      </c>
      <c r="AC2" s="2" t="s">
        <v>14</v>
      </c>
      <c r="AD2" s="6" t="s">
        <v>19</v>
      </c>
      <c r="AE2" s="1"/>
      <c r="AF2" s="3"/>
      <c r="AG2" s="3" t="s">
        <v>12</v>
      </c>
      <c r="AH2" s="7" t="s">
        <v>13</v>
      </c>
      <c r="AI2" s="3" t="s">
        <v>14</v>
      </c>
      <c r="AJ2" s="8" t="s">
        <v>20</v>
      </c>
      <c r="AK2" s="1"/>
      <c r="AL2" s="2"/>
      <c r="AM2" s="2" t="s">
        <v>12</v>
      </c>
      <c r="AN2" s="5" t="s">
        <v>13</v>
      </c>
      <c r="AO2" s="2" t="s">
        <v>14</v>
      </c>
      <c r="AP2" s="6" t="s">
        <v>21</v>
      </c>
      <c r="AQ2" s="1"/>
      <c r="AR2" s="3"/>
      <c r="AS2" s="3" t="s">
        <v>12</v>
      </c>
      <c r="AT2" s="7" t="s">
        <v>13</v>
      </c>
      <c r="AU2" s="3" t="s">
        <v>14</v>
      </c>
      <c r="AV2" s="8" t="s">
        <v>22</v>
      </c>
      <c r="AW2" s="1"/>
      <c r="AX2" s="2"/>
      <c r="AY2" s="2" t="s">
        <v>12</v>
      </c>
      <c r="AZ2" s="5" t="s">
        <v>13</v>
      </c>
      <c r="BA2" s="2" t="s">
        <v>14</v>
      </c>
      <c r="BB2" s="6" t="s">
        <v>23</v>
      </c>
      <c r="BC2" s="1"/>
      <c r="BD2" s="3"/>
      <c r="BE2" s="3" t="s">
        <v>12</v>
      </c>
      <c r="BF2" s="7" t="s">
        <v>13</v>
      </c>
      <c r="BG2" s="3" t="s">
        <v>14</v>
      </c>
      <c r="BH2" s="8" t="s">
        <v>24</v>
      </c>
      <c r="BI2" s="1"/>
      <c r="BJ2" s="2"/>
      <c r="BK2" s="2" t="s">
        <v>12</v>
      </c>
      <c r="BL2" s="5" t="s">
        <v>13</v>
      </c>
      <c r="BM2" s="2" t="s">
        <v>14</v>
      </c>
      <c r="BN2" s="6" t="s">
        <v>25</v>
      </c>
      <c r="BO2" s="1"/>
      <c r="BP2" s="3"/>
      <c r="BQ2" s="3" t="s">
        <v>12</v>
      </c>
      <c r="BR2" s="7" t="s">
        <v>13</v>
      </c>
      <c r="BS2" s="3" t="s">
        <v>14</v>
      </c>
      <c r="BT2" s="8" t="s">
        <v>26</v>
      </c>
      <c r="BU2" s="4"/>
    </row>
    <row r="3">
      <c r="A3" s="1"/>
      <c r="B3" s="9" t="s">
        <v>27</v>
      </c>
      <c r="C3" s="10">
        <f>SUMIF(E17:E100,"WALKER",C17:C100)</f>
        <v>45632.57</v>
      </c>
      <c r="D3" s="11">
        <f>sumif(F17:F100, "WALKER", C17:C100)</f>
        <v>65323.26</v>
      </c>
      <c r="E3" s="12" t="s">
        <v>28</v>
      </c>
      <c r="F3" s="13">
        <f>C7+C8- (C10 - D3)</f>
        <v>0</v>
      </c>
      <c r="G3" s="1"/>
      <c r="H3" s="9" t="s">
        <v>27</v>
      </c>
      <c r="I3" s="10">
        <f>SUMIF(K17:K110,"WALKER",I17:I110)</f>
        <v>5967.8</v>
      </c>
      <c r="J3" s="11">
        <f>sumif(L17:L110, "WALKER", I17:I110)</f>
        <v>19102.13</v>
      </c>
      <c r="K3" s="14" t="s">
        <v>28</v>
      </c>
      <c r="L3" s="13">
        <f>I7+I8- (I10 - J3)</f>
        <v>0</v>
      </c>
      <c r="M3" s="1"/>
      <c r="N3" s="9" t="s">
        <v>27</v>
      </c>
      <c r="O3" s="10">
        <f>SUMIF(Q17:Q79,"WALKER",O17:O79)</f>
        <v>0</v>
      </c>
      <c r="P3" s="11">
        <f>sumif(R17:R79, "WALKER", O17:O79)</f>
        <v>0</v>
      </c>
      <c r="Q3" s="12" t="s">
        <v>28</v>
      </c>
      <c r="R3" s="13">
        <f>O7+O8- (O10 - P3)</f>
        <v>0</v>
      </c>
      <c r="S3" s="1"/>
      <c r="T3" s="9" t="s">
        <v>27</v>
      </c>
      <c r="U3" s="10">
        <f>SUMIF(W17:W115,"WALKER",U17:U115)</f>
        <v>0</v>
      </c>
      <c r="V3" s="11">
        <f>sumif(X17:X115, "WALKER", U17:U115)</f>
        <v>0</v>
      </c>
      <c r="W3" s="14" t="s">
        <v>28</v>
      </c>
      <c r="X3" s="13">
        <f>U7+U8- (U10 - V3)</f>
        <v>0</v>
      </c>
      <c r="Y3" s="1"/>
      <c r="Z3" s="9" t="s">
        <v>27</v>
      </c>
      <c r="AA3" s="10">
        <f>SUMIF(AC17:AC100,"WALKER",AA17:AA100)</f>
        <v>0</v>
      </c>
      <c r="AB3" s="11">
        <f>sumif(AD17:AD100, "WALKER", AA17:AA100)</f>
        <v>0</v>
      </c>
      <c r="AC3" s="12" t="s">
        <v>28</v>
      </c>
      <c r="AD3" s="13">
        <f>AA7+AA8- (AA10 - AB3)</f>
        <v>0</v>
      </c>
      <c r="AE3" s="1"/>
      <c r="AF3" s="9" t="s">
        <v>27</v>
      </c>
      <c r="AG3" s="10">
        <f>SUMIF(AI17:AI114,"WALKER",AG17:AG114)</f>
        <v>0</v>
      </c>
      <c r="AH3" s="11">
        <f>sumif(AJ17:AJ114, "WALKER", AG17:AG114)</f>
        <v>0</v>
      </c>
      <c r="AI3" s="14" t="s">
        <v>28</v>
      </c>
      <c r="AJ3" s="13">
        <f>AG7+AG8- (AG10 - AH3)</f>
        <v>0</v>
      </c>
      <c r="AK3" s="1"/>
      <c r="AL3" s="9" t="s">
        <v>27</v>
      </c>
      <c r="AM3" s="10">
        <f>SUMIF(AO17:AO149,"WALKER",AM17:AM149)</f>
        <v>0</v>
      </c>
      <c r="AN3" s="11">
        <f>sumif(AP17:AP149, "WALKER", AM17:AM149)</f>
        <v>0</v>
      </c>
      <c r="AO3" s="12" t="s">
        <v>28</v>
      </c>
      <c r="AP3" s="13">
        <f>AM7+AM8- (AM10 - AN3)</f>
        <v>0</v>
      </c>
      <c r="AQ3" s="1"/>
      <c r="AR3" s="9" t="s">
        <v>27</v>
      </c>
      <c r="AS3" s="10">
        <f>SUMIF(AU17:AU113,"WALKER",AS17:AS113)</f>
        <v>0</v>
      </c>
      <c r="AT3" s="11">
        <f>sumif(AV17:AV113, "WALKER", AS17:AS113)</f>
        <v>0</v>
      </c>
      <c r="AU3" s="14" t="s">
        <v>28</v>
      </c>
      <c r="AV3" s="13">
        <f>AS7+AS8- (AS10 - AT3)</f>
        <v>0</v>
      </c>
      <c r="AW3" s="1"/>
      <c r="AX3" s="9" t="s">
        <v>27</v>
      </c>
      <c r="AY3" s="10">
        <f>SUMIF(BA17:BA100,"WALKER",AY17:AY100)</f>
        <v>0</v>
      </c>
      <c r="AZ3" s="11">
        <f>sumif(BB17:BB100, "WALKER", AY17:AY100)</f>
        <v>0</v>
      </c>
      <c r="BA3" s="12" t="s">
        <v>28</v>
      </c>
      <c r="BB3" s="13">
        <f>AY7+AY8- (AY10 - AZ3)</f>
        <v>0</v>
      </c>
      <c r="BC3" s="1"/>
      <c r="BD3" s="9" t="s">
        <v>27</v>
      </c>
      <c r="BE3" s="10">
        <f>SUMIF(BG17:BG114,"WALKER",BE17:BE114)</f>
        <v>0</v>
      </c>
      <c r="BF3" s="11">
        <f>sumif(BH17:BH114, "WALKER", BE17:BE114)</f>
        <v>0</v>
      </c>
      <c r="BG3" s="14" t="s">
        <v>28</v>
      </c>
      <c r="BH3" s="13">
        <f>BE7+BE8- (BE10 - BF3)</f>
        <v>0</v>
      </c>
      <c r="BI3" s="1"/>
      <c r="BJ3" s="9" t="s">
        <v>27</v>
      </c>
      <c r="BK3" s="10">
        <f>SUMIF(BM17:BM79,"WALKER",BK17:BK79)</f>
        <v>0</v>
      </c>
      <c r="BL3" s="11">
        <f>sumif(BN17:BN120, "WALKER", BK17:BK120)</f>
        <v>0</v>
      </c>
      <c r="BM3" s="12" t="s">
        <v>28</v>
      </c>
      <c r="BN3" s="13">
        <f>BK7+BK8- (BK10 - BL3)</f>
        <v>0</v>
      </c>
      <c r="BO3" s="1"/>
      <c r="BP3" s="9" t="s">
        <v>27</v>
      </c>
      <c r="BQ3" s="10">
        <f>SUMIF(BS17:BS111,"WALKER",BQ17:BQ111)</f>
        <v>0</v>
      </c>
      <c r="BR3" s="11">
        <f>sumif(BT17:BT111, "WALKER", BQ17:BQ111)</f>
        <v>0</v>
      </c>
      <c r="BS3" s="14" t="s">
        <v>28</v>
      </c>
      <c r="BT3" s="13">
        <f>BQ7+BQ8- (BQ10 - BR3)</f>
        <v>0</v>
      </c>
      <c r="BU3" s="4"/>
    </row>
    <row r="4">
      <c r="A4" s="1"/>
      <c r="B4" s="9" t="s">
        <v>29</v>
      </c>
      <c r="C4" s="15">
        <f>SUMIF(E17:E100, "WALKER",C17:C100) + 0.6 * SUMIF(E17:E100, "AMBOS",C17:C100) + 0.4 * SUMIF(E17:E100, "AMBOS_I",C17:C100) </f>
        <v>60238.7</v>
      </c>
      <c r="E4" s="12" t="s">
        <v>30</v>
      </c>
      <c r="G4" s="1"/>
      <c r="H4" s="9" t="s">
        <v>29</v>
      </c>
      <c r="I4" s="15">
        <f>SUMIF(K17:K110, "WALKER",I17:I110) + 0.6 * SUMIF(K17:K110, "AMBOS",I17:I110) + 0.4 * SUMIF(K17:K110, "AMBOS_I",I17:I110) </f>
        <v>14912.834</v>
      </c>
      <c r="K4" s="14" t="s">
        <v>30</v>
      </c>
      <c r="M4" s="1"/>
      <c r="N4" s="9" t="s">
        <v>29</v>
      </c>
      <c r="O4" s="15">
        <f>SUMIF(Q17:Q79, "WALKER",O17:O79) + 0.6 * SUMIF(Q17:Q79, "AMBOS",O17:O79) + 0.4 * SUMIF(Q17:Q79, "AMBOS_I",O17:O79) </f>
        <v>0</v>
      </c>
      <c r="Q4" s="12" t="s">
        <v>30</v>
      </c>
      <c r="S4" s="1"/>
      <c r="T4" s="9" t="s">
        <v>29</v>
      </c>
      <c r="U4" s="15">
        <f>SUMIF(W17:W115, "WALKER",U17:U115) + 0.6 * SUMIF(W17:W115, "AMBOS",U17:U115) + 0.4 * SUMIF(W17:W115, "AMBOS_I",U17:U115) </f>
        <v>0</v>
      </c>
      <c r="W4" s="14" t="s">
        <v>30</v>
      </c>
      <c r="Y4" s="1"/>
      <c r="Z4" s="9" t="s">
        <v>29</v>
      </c>
      <c r="AA4" s="15">
        <f>SUMIF(AC17:AC100, "WALKER",AA17:AA100) + 0.6 * SUMIF(AC17:AC100, "AMBOS",AA17:AA100) + 0.4 * SUMIF(AC17:AC100, "AMBOS_I",AA17:AA100) </f>
        <v>0</v>
      </c>
      <c r="AC4" s="12" t="s">
        <v>30</v>
      </c>
      <c r="AE4" s="1"/>
      <c r="AF4" s="9" t="s">
        <v>29</v>
      </c>
      <c r="AG4" s="15">
        <f>SUMIF(AI17:AI114, "WALKER",AG17:AG114) + 0.6 * SUMIF(AI17:AI114, "AMBOS",AG17:AG114) + 0.4 * SUMIF(AI17:AI114, "AMBOS_I",AG17:AG114) </f>
        <v>0</v>
      </c>
      <c r="AI4" s="14" t="s">
        <v>30</v>
      </c>
      <c r="AK4" s="1"/>
      <c r="AL4" s="9" t="s">
        <v>29</v>
      </c>
      <c r="AM4" s="15">
        <f>SUMIF(AO17:AO149, "WALKER",AM17:AM149) + 0.6 * SUMIF(AO17:AO149, "AMBOS",AM17:AM149) + 0.4 * SUMIF(AO17:AO149, "AMBOS_I",AM17:AM149) </f>
        <v>0</v>
      </c>
      <c r="AO4" s="12" t="s">
        <v>30</v>
      </c>
      <c r="AQ4" s="1"/>
      <c r="AR4" s="9" t="s">
        <v>29</v>
      </c>
      <c r="AS4" s="15">
        <f>SUMIF(AU17:AU113, "WALKER",AS17:AS113) + 0.6 * SUMIF(AU17:AU113, "AMBOS",AS17:AS113) + 0.4 * SUMIF(AU17:AU113, "AMBOS_I",AS17:AS113) </f>
        <v>0</v>
      </c>
      <c r="AU4" s="14" t="s">
        <v>30</v>
      </c>
      <c r="AW4" s="1"/>
      <c r="AX4" s="9" t="s">
        <v>29</v>
      </c>
      <c r="AY4" s="15">
        <f>SUMIF(BA17:BA100, "WALKER",AY17:AY100) + 0.6 * SUMIF(BA17:BA100, "AMBOS",AY17:AY100) + 0.4 * SUMIF(BA17:BA100, "AMBOS_I",AY17:AY100) </f>
        <v>0</v>
      </c>
      <c r="BA4" s="12" t="s">
        <v>30</v>
      </c>
      <c r="BC4" s="1"/>
      <c r="BD4" s="9" t="s">
        <v>29</v>
      </c>
      <c r="BE4" s="15">
        <f>SUMIF(BG17:BG114, "WALKER",BE17:BE114) + 0.6 * SUMIF(BG17:BG114, "AMBOS",BE17:BE114) + 0.4 * SUMIF(BG17:BG114, "AMBOS_I",BE17:BE114) </f>
        <v>0</v>
      </c>
      <c r="BG4" s="14" t="s">
        <v>30</v>
      </c>
      <c r="BI4" s="1"/>
      <c r="BJ4" s="9" t="s">
        <v>29</v>
      </c>
      <c r="BK4" s="15">
        <f>SUMIF(BM17:BM120, "WALKER",BK17:BK120) + 0.6 * SUMIF(BM17:BM120, "AMBOS",BK17:BK120) + 0.4 * SUMIF(BM17:BM120, "AMBOS_I",BK17:BK120) </f>
        <v>0</v>
      </c>
      <c r="BM4" s="12" t="s">
        <v>30</v>
      </c>
      <c r="BO4" s="1"/>
      <c r="BP4" s="9" t="s">
        <v>29</v>
      </c>
      <c r="BQ4" s="15">
        <f>SUMIF(BS17:BS111, "WALKER",BQ17:BQ111) + 0.6 * SUMIF(BS17:BS111, "AMBOS",BQ17:BQ111) + 0.4 * SUMIF(BS17:BS111, "AMBOS_I",BQ17:BQ111) </f>
        <v>0</v>
      </c>
      <c r="BS4" s="14" t="s">
        <v>30</v>
      </c>
      <c r="BU4" s="4"/>
    </row>
    <row r="5">
      <c r="A5" s="1"/>
      <c r="B5" s="16" t="s">
        <v>31</v>
      </c>
      <c r="C5" s="17">
        <f>SUMIFS(C17:C100,E17:E100, "DEA",F17:F100, "WALKER") + 0.4*SUMIFS(C17:C100,E17:E100,"AMBOS",F17:F100, "WALKER") + 0.6*SUMIFS(C17:C100,E17:E100,"AMBOS_I",F17:F100, "WALKER") - (SUMIFS(C17:C100,E17:E100,"WALKER",F17:F100, "DEA") + 0.6*SUMIFS(C17:C100,E17:E100,"AMBOS",F17:F100, "DEA") + 0.4*SUMIFS(C17:C100,E17:E100,"AMBOS_I",F17:F100, "DEA"))</f>
        <v>5084.56</v>
      </c>
      <c r="E5" s="12" t="s">
        <v>32</v>
      </c>
      <c r="G5" s="1"/>
      <c r="H5" s="16" t="s">
        <v>31</v>
      </c>
      <c r="I5" s="17">
        <f>SUMIFS(I17:I110,K17:K110, "DEA",L17:L110, "WALKER") + 0.4*SUMIFS(I17:I110,K17:K110,"AMBOS",L17:L110, "WALKER") + 0.6*SUMIFS(I17:I110,K17:K110,"AMBOS_I",L17:L110, "WALKER") - (SUMIFS(I17:I110,K17:K110,"WALKER",L17:L110, "DEA") + 0.6*SUMIFS(I17:I110,K17:K110,"AMBOS",L17:L110, "DEA") + 0.4*SUMIFS(I17:I110,K17:K110,"AMBOS_I",L17:L110, "DEA"))</f>
        <v>4189.296</v>
      </c>
      <c r="K5" s="14" t="s">
        <v>32</v>
      </c>
      <c r="M5" s="1"/>
      <c r="N5" s="16" t="s">
        <v>31</v>
      </c>
      <c r="O5" s="17">
        <f>SUMIFS(O17:O79,Q17:Q79, "DEA",R17:R79, "WALKER") + 0.4*SUMIFS(O17:O79,Q17:Q79,"AMBOS",R17:R79, "WALKER") + 0.6*SUMIFS(O17:O79,Q17:Q79,"AMBOS_I",R17:R79, "WALKER") - (SUMIFS(O17:O79,Q17:Q79,"WALKER",R17:R79, "DEA") + 0.6*SUMIFS(O17:O79,Q17:Q79,"AMBOS",R17:R79, "DEA") + 0.4*SUMIFS(O17:O79,Q17:Q79,"AMBOS_I",R17:R79, "DEA"))</f>
        <v>0</v>
      </c>
      <c r="Q5" s="12" t="s">
        <v>32</v>
      </c>
      <c r="S5" s="1"/>
      <c r="T5" s="16" t="s">
        <v>31</v>
      </c>
      <c r="U5" s="17">
        <f>SUMIFS(U17:U115,W17:W115, "DEA",X17:X115, "WALKER") + 0.4*SUMIFS(U17:U115,W17:W115,"AMBOS",X17:X115, "WALKER") + 0.6*SUMIFS(U17:U115,W17:W115,"AMBOS_I",X17:X115, "WALKER") - (SUMIFS(U17:U115,W17:W115,"WALKER",X17:X115, "DEA") + 0.6*SUMIFS(U17:U115,W17:W115,"AMBOS",X17:X115, "DEA") + 0.4*SUMIFS(U17:U115,W17:W115,"AMBOS_I",X17:X115, "DEA"))</f>
        <v>0</v>
      </c>
      <c r="W5" s="14" t="s">
        <v>32</v>
      </c>
      <c r="Y5" s="1"/>
      <c r="Z5" s="16" t="s">
        <v>31</v>
      </c>
      <c r="AA5" s="17">
        <f>SUMIFS(AA17:AA100,AC17:AC100, "DEA",AD17:AD100, "WALKER") + 0.4*SUMIFS(AA17:AA100,AC17:AC100,"AMBOS",AD17:AD100, "WALKER") + 0.6*SUMIFS(AA17:AA100,AC17:AC100,"AMBOS_I",AD17:AD100, "WALKER") - (SUMIFS(AA17:AA100,AC17:AC100,"WALKER",AD17:AD100, "DEA") + 0.6*SUMIFS(AA17:AA100,AC17:AC100,"AMBOS",AD17:AD100, "DEA") + 0.4*SUMIFS(AA17:AA100,AC17:AC100,"AMBOS_I",AD17:AD100, "DEA"))</f>
        <v>0</v>
      </c>
      <c r="AC5" s="12" t="s">
        <v>32</v>
      </c>
      <c r="AE5" s="1"/>
      <c r="AF5" s="16" t="s">
        <v>31</v>
      </c>
      <c r="AG5" s="17">
        <f>SUMIFS(AG17:AG114,AI17:AI114, "DEA",AJ17:AJ114, "WALKER") + 0.4*SUMIFS(AG17:AG114,AI17:AI114,"AMBOS",AJ17:AJ114, "WALKER") + 0.6*SUMIFS(AG17:AG114,AI17:AI114,"AMBOS_I",AJ17:AJ114, "WALKER") - (SUMIFS(AG17:AG114,AI17:AI114,"WALKER",AJ17:AJ114, "DEA") + 0.6*SUMIFS(AG17:AG114,AI17:AI114,"AMBOS",AJ17:AJ114, "DEA") + 0.4*SUMIFS(AG17:AG114,AI17:AI114,"AMBOS_I",AJ17:AJ114, "DEA"))</f>
        <v>0</v>
      </c>
      <c r="AI5" s="14" t="s">
        <v>32</v>
      </c>
      <c r="AK5" s="1"/>
      <c r="AL5" s="16" t="s">
        <v>31</v>
      </c>
      <c r="AM5" s="17">
        <f>SUMIFS(AM17:AM149,AO17:AO149, "DEA",AP17:AP149, "WALKER") + 0.4*SUMIFS(AM17:AM149,AO17:AO149,"AMBOS",AP17:AP149, "WALKER") + 0.6*SUMIFS(AM17:AM149,AO17:AO149,"AMBOS_I",AP17:AP149, "WALKER") - (SUMIFS(AM17:AM149,AO17:AO149,"WALKER",AP17:AP149, "DEA") + 0.6*SUMIFS(AM17:AM149,AO17:AO149,"AMBOS",AP17:AP149, "DEA") + 0.4*SUMIFS(AM17:AM149,AO17:AO149,"AMBOS_I",AP17:AP149, "DEA"))</f>
        <v>0</v>
      </c>
      <c r="AO5" s="12" t="s">
        <v>32</v>
      </c>
      <c r="AQ5" s="1"/>
      <c r="AR5" s="16" t="s">
        <v>31</v>
      </c>
      <c r="AS5" s="17">
        <f>SUMIFS(AS17:AS113,AU17:AU113, "DEA",AV17:AV113, "WALKER") + 0.4*SUMIFS(AS17:AS113,AU17:AU113,"AMBOS",AV17:AV113, "WALKER") + 0.6*SUMIFS(AS17:AS113,AU17:AU113,"AMBOS_I",AV17:AV113, "WALKER") - (SUMIFS(AS17:AS113,AU17:AU113,"WALKER",AV17:AV113, "DEA") + 0.6*SUMIFS(AS17:AS113,AU17:AU113,"AMBOS",AV17:AV113, "DEA") + 0.4*SUMIFS(AS17:AS113,AU17:AU113,"AMBOS_I",AV17:AV113, "DEA"))</f>
        <v>0</v>
      </c>
      <c r="AU5" s="14" t="s">
        <v>32</v>
      </c>
      <c r="AW5" s="1"/>
      <c r="AX5" s="16" t="s">
        <v>31</v>
      </c>
      <c r="AY5" s="17">
        <f>SUMIFS(AY17:AY100,BA17:BA100, "DEA",BB17:BB100, "WALKER") + 0.4*SUMIFS(AY17:AY100,BA17:BA100,"AMBOS",BB17:BB100, "WALKER") + 0.6*SUMIFS(AY17:AY100,BA17:BA100,"AMBOS_I",BB17:BB100, "WALKER") - (SUMIFS(AY17:AY100,BA17:BA100,"WALKER",BB17:BB100, "DEA") + 0.6*SUMIFS(AY17:AY100,BA17:BA100,"AMBOS",BB17:BB100, "DEA") + 0.4*SUMIFS(AY17:AY79,BA17:BA79,"AMBOS_I",BB17:BB79, "DEA"))</f>
        <v>0</v>
      </c>
      <c r="BA5" s="12" t="s">
        <v>32</v>
      </c>
      <c r="BC5" s="1"/>
      <c r="BD5" s="16" t="s">
        <v>31</v>
      </c>
      <c r="BE5" s="17">
        <f>SUMIFS(BE17:BE114,BG17:BG114, "DEA",BH17:BH114, "WALKER") + 0.4*SUMIFS(BE17:BE114,BG17:BG114,"AMBOS",BH17:BH114, "WALKER") + 0.6*SUMIFS(BE17:BE114,BG17:BG114,"AMBOS_I",BH17:BH114, "WALKER") - (SUMIFS(BE17:BE114,BG17:BG114,"WALKER",BH17:BH114, "DEA") + 0.6*SUMIFS(BE17:BE114,BG17:BG114,"AMBOS",BH17:BH114, "DEA") + 0.4*SUMIFS(BE17:BE114,BG17:BG114,"AMBOS_I",BH17:BH114, "DEA"))</f>
        <v>0</v>
      </c>
      <c r="BG5" s="14" t="s">
        <v>32</v>
      </c>
      <c r="BI5" s="1"/>
      <c r="BJ5" s="16" t="s">
        <v>31</v>
      </c>
      <c r="BK5" s="18">
        <f>SUMIFS(BK17:BK113,BM17:BM113, "DEA",BN17:BN113, "WALKER") + 0.4*SUMIFS(BK17:BK113,BM17:BM113,"AMBOS",BN17:BN113, "WALKER") + 0.6*SUMIFS(BK17:BK113,BM17:BM113,"AMBOS_I",BN17:BN113, "WALKER") - (SUMIFS(BK17:BK113,BM17:BM113,"WALKER",BN17:BN113, "DEA") + 0.6*SUMIFS(BK17:BK113,BM17:BM113,"AMBOS",BN17:BN113, "DEA") + 0.4*SUMIFS(BK17:BK113,BM17:BM113,"AMBOS_I",BN17:BN113, "DEA"))</f>
        <v>0</v>
      </c>
      <c r="BM5" s="12" t="s">
        <v>32</v>
      </c>
      <c r="BO5" s="1"/>
      <c r="BP5" s="16" t="s">
        <v>31</v>
      </c>
      <c r="BQ5" s="17">
        <f>SUMIFS(BQ17:BQ111,BS17:BS111, "DEA",BT17:BT111, "WALKER") + 0.4*SUMIFS(BQ17:BQ111,BS17:BS111,"AMBOS",BT17:BT111, "WALKER") + 0.6*SUMIFS(BQ17:BQ111,BS17:BS111,"AMBOS_I",BT17:BT111, "WALKER") - (SUMIFS(BQ17:BQ111,BS17:BS111,"WALKER",BT17:BT111, "DEA") + 0.6*SUMIFS(BQ17:BQ111,BS17:BS111,"AMBOS",BT17:BT111, "DEA") + 0.4*SUMIFS(BQ17:BQ111,BS17:BS111,"AMBOS_I",BT17:BT111, "DEA"))</f>
        <v>0</v>
      </c>
      <c r="BS5" s="14" t="s">
        <v>32</v>
      </c>
      <c r="BU5" s="4"/>
    </row>
    <row r="6">
      <c r="A6" s="1"/>
      <c r="B6" s="9" t="s">
        <v>33</v>
      </c>
      <c r="C6" s="19">
        <f>C10-C4</f>
        <v>-1279.45</v>
      </c>
      <c r="E6" s="12" t="s">
        <v>34</v>
      </c>
      <c r="G6" s="1"/>
      <c r="H6" s="9" t="s">
        <v>33</v>
      </c>
      <c r="I6" s="19">
        <f>I10-I4</f>
        <v>8231.836</v>
      </c>
      <c r="K6" s="14" t="s">
        <v>34</v>
      </c>
      <c r="M6" s="1"/>
      <c r="N6" s="9" t="s">
        <v>33</v>
      </c>
      <c r="O6" s="19">
        <f>O10-O4</f>
        <v>0</v>
      </c>
      <c r="Q6" s="12" t="s">
        <v>34</v>
      </c>
      <c r="S6" s="1"/>
      <c r="T6" s="9" t="s">
        <v>33</v>
      </c>
      <c r="U6" s="19">
        <f>U10-U4</f>
        <v>0</v>
      </c>
      <c r="W6" s="14" t="s">
        <v>34</v>
      </c>
      <c r="Y6" s="1"/>
      <c r="Z6" s="9" t="s">
        <v>33</v>
      </c>
      <c r="AA6" s="19">
        <f>AA10-AA4</f>
        <v>0</v>
      </c>
      <c r="AC6" s="12" t="s">
        <v>34</v>
      </c>
      <c r="AE6" s="1"/>
      <c r="AF6" s="9" t="s">
        <v>33</v>
      </c>
      <c r="AG6" s="19">
        <f>AG10-AG4-AG5</f>
        <v>0</v>
      </c>
      <c r="AI6" s="14" t="s">
        <v>34</v>
      </c>
      <c r="AK6" s="1"/>
      <c r="AL6" s="9" t="s">
        <v>33</v>
      </c>
      <c r="AM6" s="19">
        <f>AM10-AM4</f>
        <v>0</v>
      </c>
      <c r="AO6" s="12" t="s">
        <v>34</v>
      </c>
      <c r="AQ6" s="1"/>
      <c r="AR6" s="9" t="s">
        <v>33</v>
      </c>
      <c r="AS6" s="19">
        <f>AS10-AS4</f>
        <v>0</v>
      </c>
      <c r="AU6" s="14" t="s">
        <v>34</v>
      </c>
      <c r="AW6" s="1"/>
      <c r="AX6" s="9" t="s">
        <v>33</v>
      </c>
      <c r="AY6" s="19">
        <f>AY10-AY4</f>
        <v>0</v>
      </c>
      <c r="BA6" s="12" t="s">
        <v>34</v>
      </c>
      <c r="BC6" s="1"/>
      <c r="BD6" s="9" t="s">
        <v>33</v>
      </c>
      <c r="BE6" s="19">
        <f>BE10-BE4</f>
        <v>0</v>
      </c>
      <c r="BG6" s="14" t="s">
        <v>34</v>
      </c>
      <c r="BI6" s="1"/>
      <c r="BJ6" s="9" t="s">
        <v>33</v>
      </c>
      <c r="BK6" s="19">
        <f>BK10-BK4</f>
        <v>0</v>
      </c>
      <c r="BM6" s="12" t="s">
        <v>34</v>
      </c>
      <c r="BO6" s="1"/>
      <c r="BP6" s="9" t="s">
        <v>33</v>
      </c>
      <c r="BQ6" s="19">
        <f>BQ10-BQ4</f>
        <v>0</v>
      </c>
      <c r="BS6" s="14" t="s">
        <v>34</v>
      </c>
      <c r="BU6" s="4"/>
    </row>
    <row r="7">
      <c r="A7" s="1"/>
      <c r="B7" s="20" t="s">
        <v>35</v>
      </c>
      <c r="C7" s="21">
        <v>-6364.009999999999</v>
      </c>
      <c r="E7" s="22"/>
      <c r="G7" s="1"/>
      <c r="H7" s="20" t="s">
        <v>35</v>
      </c>
      <c r="I7" s="21">
        <v>4042.54</v>
      </c>
      <c r="K7" s="23"/>
      <c r="M7" s="1"/>
      <c r="N7" s="20" t="s">
        <v>36</v>
      </c>
      <c r="O7" s="21"/>
      <c r="Q7" s="22"/>
      <c r="S7" s="1"/>
      <c r="T7" s="20" t="s">
        <v>36</v>
      </c>
      <c r="U7" s="21"/>
      <c r="W7" s="23"/>
      <c r="Y7" s="1"/>
      <c r="Z7" s="20" t="s">
        <v>36</v>
      </c>
      <c r="AA7" s="21"/>
      <c r="AC7" s="22"/>
      <c r="AE7" s="1"/>
      <c r="AF7" s="20" t="s">
        <v>37</v>
      </c>
      <c r="AG7" s="21"/>
      <c r="AI7" s="23"/>
      <c r="AK7" s="1"/>
      <c r="AL7" s="20" t="s">
        <v>35</v>
      </c>
      <c r="AM7" s="21"/>
      <c r="AO7" s="22"/>
      <c r="AQ7" s="1"/>
      <c r="AR7" s="20" t="s">
        <v>35</v>
      </c>
      <c r="AS7" s="21"/>
      <c r="AU7" s="23"/>
      <c r="AW7" s="1"/>
      <c r="AX7" s="20" t="s">
        <v>35</v>
      </c>
      <c r="AY7" s="21"/>
      <c r="BA7" s="22"/>
      <c r="BC7" s="1"/>
      <c r="BD7" s="20" t="s">
        <v>35</v>
      </c>
      <c r="BE7" s="21"/>
      <c r="BG7" s="23"/>
      <c r="BI7" s="1"/>
      <c r="BJ7" s="20" t="s">
        <v>35</v>
      </c>
      <c r="BK7" s="21"/>
      <c r="BM7" s="22"/>
      <c r="BO7" s="1"/>
      <c r="BP7" s="20" t="s">
        <v>35</v>
      </c>
      <c r="BQ7" s="21"/>
      <c r="BS7" s="23"/>
      <c r="BU7" s="4"/>
    </row>
    <row r="8">
      <c r="A8" s="1"/>
      <c r="B8" s="20" t="s">
        <v>38</v>
      </c>
      <c r="C8" s="21">
        <v>0.0</v>
      </c>
      <c r="E8" s="22"/>
      <c r="G8" s="1"/>
      <c r="H8" s="20" t="s">
        <v>38</v>
      </c>
      <c r="I8" s="21">
        <v>0.0</v>
      </c>
      <c r="K8" s="23"/>
      <c r="M8" s="1"/>
      <c r="N8" s="20" t="s">
        <v>38</v>
      </c>
      <c r="O8" s="21"/>
      <c r="Q8" s="22"/>
      <c r="S8" s="1"/>
      <c r="T8" s="20" t="s">
        <v>38</v>
      </c>
      <c r="U8" s="21"/>
      <c r="W8" s="23"/>
      <c r="Y8" s="1"/>
      <c r="Z8" s="20" t="s">
        <v>38</v>
      </c>
      <c r="AA8" s="21"/>
      <c r="AC8" s="22"/>
      <c r="AE8" s="1"/>
      <c r="AF8" s="20" t="s">
        <v>38</v>
      </c>
      <c r="AG8" s="21"/>
      <c r="AI8" s="23"/>
      <c r="AK8" s="1"/>
      <c r="AL8" s="20" t="s">
        <v>38</v>
      </c>
      <c r="AM8" s="21"/>
      <c r="AO8" s="22"/>
      <c r="AQ8" s="1"/>
      <c r="AR8" s="20" t="s">
        <v>38</v>
      </c>
      <c r="AS8" s="21"/>
      <c r="AU8" s="23"/>
      <c r="AW8" s="1"/>
      <c r="AX8" s="20" t="s">
        <v>38</v>
      </c>
      <c r="AY8" s="21"/>
      <c r="BA8" s="22"/>
      <c r="BC8" s="1"/>
      <c r="BD8" s="20" t="s">
        <v>38</v>
      </c>
      <c r="BE8" s="21"/>
      <c r="BG8" s="23"/>
      <c r="BI8" s="1"/>
      <c r="BJ8" s="20" t="s">
        <v>38</v>
      </c>
      <c r="BK8" s="21"/>
      <c r="BM8" s="22"/>
      <c r="BO8" s="1"/>
      <c r="BP8" s="20" t="s">
        <v>38</v>
      </c>
      <c r="BQ8" s="21"/>
      <c r="BS8" s="23"/>
      <c r="BU8" s="4"/>
    </row>
    <row r="9">
      <c r="A9" s="1"/>
      <c r="B9" s="20"/>
      <c r="C9" s="21"/>
      <c r="E9" s="22"/>
      <c r="G9" s="1"/>
      <c r="H9" s="20"/>
      <c r="I9" s="21"/>
      <c r="K9" s="23"/>
      <c r="M9" s="1"/>
      <c r="N9" s="20"/>
      <c r="O9" s="21"/>
      <c r="Q9" s="22"/>
      <c r="S9" s="1"/>
      <c r="T9" s="20"/>
      <c r="U9" s="21"/>
      <c r="W9" s="23"/>
      <c r="Y9" s="1"/>
      <c r="Z9" s="20"/>
      <c r="AA9" s="21"/>
      <c r="AC9" s="22"/>
      <c r="AE9" s="1"/>
      <c r="AF9" s="20"/>
      <c r="AG9" s="21"/>
      <c r="AI9" s="23"/>
      <c r="AK9" s="1"/>
      <c r="AL9" s="20"/>
      <c r="AM9" s="21"/>
      <c r="AO9" s="22"/>
      <c r="AQ9" s="1"/>
      <c r="AR9" s="20"/>
      <c r="AS9" s="21"/>
      <c r="AU9" s="23"/>
      <c r="AW9" s="1"/>
      <c r="AX9" s="20"/>
      <c r="AY9" s="21"/>
      <c r="BA9" s="22"/>
      <c r="BC9" s="1"/>
      <c r="BD9" s="20"/>
      <c r="BE9" s="21"/>
      <c r="BG9" s="23"/>
      <c r="BI9" s="1"/>
      <c r="BJ9" s="20"/>
      <c r="BK9" s="21"/>
      <c r="BM9" s="22"/>
      <c r="BO9" s="1"/>
      <c r="BP9" s="20"/>
      <c r="BQ9" s="21"/>
      <c r="BS9" s="23"/>
      <c r="BU9" s="4"/>
    </row>
    <row r="10">
      <c r="A10" s="1"/>
      <c r="B10" s="24" t="s">
        <v>39</v>
      </c>
      <c r="C10" s="25">
        <f>sum(C11:C15)</f>
        <v>58959.25</v>
      </c>
      <c r="D10" s="24" t="s">
        <v>40</v>
      </c>
      <c r="E10" s="24"/>
      <c r="F10" s="24"/>
      <c r="G10" s="1"/>
      <c r="H10" s="3" t="s">
        <v>39</v>
      </c>
      <c r="I10" s="26">
        <f>sum(I11:I15)</f>
        <v>23144.67</v>
      </c>
      <c r="J10" s="7" t="s">
        <v>40</v>
      </c>
      <c r="K10" s="3"/>
      <c r="L10" s="3"/>
      <c r="M10" s="1"/>
      <c r="N10" s="24" t="s">
        <v>39</v>
      </c>
      <c r="O10" s="25">
        <f>sum(O11:O15)</f>
        <v>0</v>
      </c>
      <c r="P10" s="24" t="s">
        <v>40</v>
      </c>
      <c r="Q10" s="24"/>
      <c r="R10" s="24"/>
      <c r="S10" s="1"/>
      <c r="T10" s="3" t="s">
        <v>39</v>
      </c>
      <c r="U10" s="26">
        <f>sum(U11:U15)</f>
        <v>0</v>
      </c>
      <c r="V10" s="7" t="s">
        <v>40</v>
      </c>
      <c r="W10" s="3"/>
      <c r="X10" s="3"/>
      <c r="Y10" s="1"/>
      <c r="Z10" s="24" t="s">
        <v>39</v>
      </c>
      <c r="AA10" s="25">
        <f>sum(AA11:AA15)</f>
        <v>0</v>
      </c>
      <c r="AB10" s="24" t="s">
        <v>40</v>
      </c>
      <c r="AC10" s="24"/>
      <c r="AD10" s="24"/>
      <c r="AE10" s="1"/>
      <c r="AF10" s="3" t="s">
        <v>39</v>
      </c>
      <c r="AG10" s="26">
        <f>sum(AG11:AG15)</f>
        <v>0</v>
      </c>
      <c r="AH10" s="7" t="s">
        <v>40</v>
      </c>
      <c r="AI10" s="3"/>
      <c r="AJ10" s="3"/>
      <c r="AK10" s="1"/>
      <c r="AL10" s="24" t="s">
        <v>39</v>
      </c>
      <c r="AM10" s="25">
        <f>sum(AM11:AM15)</f>
        <v>0</v>
      </c>
      <c r="AN10" s="24" t="s">
        <v>40</v>
      </c>
      <c r="AO10" s="24"/>
      <c r="AP10" s="24"/>
      <c r="AQ10" s="1"/>
      <c r="AR10" s="3" t="s">
        <v>39</v>
      </c>
      <c r="AS10" s="26">
        <f>sum(AS11:AS15)</f>
        <v>0</v>
      </c>
      <c r="AT10" s="7" t="s">
        <v>40</v>
      </c>
      <c r="AU10" s="3"/>
      <c r="AV10" s="3"/>
      <c r="AW10" s="1"/>
      <c r="AX10" s="24" t="s">
        <v>39</v>
      </c>
      <c r="AY10" s="25">
        <f>sum(AY11:AY15)</f>
        <v>0</v>
      </c>
      <c r="AZ10" s="24" t="s">
        <v>40</v>
      </c>
      <c r="BA10" s="24"/>
      <c r="BB10" s="24"/>
      <c r="BC10" s="1"/>
      <c r="BD10" s="3" t="s">
        <v>39</v>
      </c>
      <c r="BE10" s="26">
        <f>sum(BE11:BE15)</f>
        <v>0</v>
      </c>
      <c r="BF10" s="7" t="s">
        <v>40</v>
      </c>
      <c r="BG10" s="3"/>
      <c r="BH10" s="3"/>
      <c r="BI10" s="1"/>
      <c r="BJ10" s="24" t="s">
        <v>39</v>
      </c>
      <c r="BK10" s="25">
        <f>sum(BK11:BK15)</f>
        <v>0</v>
      </c>
      <c r="BL10" s="24" t="s">
        <v>40</v>
      </c>
      <c r="BM10" s="24"/>
      <c r="BN10" s="24"/>
      <c r="BO10" s="1"/>
      <c r="BP10" s="3" t="s">
        <v>39</v>
      </c>
      <c r="BQ10" s="26">
        <f>sum(BQ11:BQ15)</f>
        <v>0</v>
      </c>
      <c r="BR10" s="7" t="s">
        <v>40</v>
      </c>
      <c r="BS10" s="3"/>
      <c r="BT10" s="3"/>
      <c r="BU10" s="4"/>
    </row>
    <row r="11">
      <c r="A11" s="1"/>
      <c r="B11" s="27" t="s">
        <v>41</v>
      </c>
      <c r="C11" s="28">
        <v>12751.5</v>
      </c>
      <c r="D11" s="29">
        <v>-19.0</v>
      </c>
      <c r="E11" s="30" t="s">
        <v>42</v>
      </c>
      <c r="G11" s="1"/>
      <c r="H11" s="27" t="s">
        <v>43</v>
      </c>
      <c r="I11" s="28">
        <v>8971.55</v>
      </c>
      <c r="J11" s="29">
        <v>1.0</v>
      </c>
      <c r="K11" s="30" t="s">
        <v>44</v>
      </c>
      <c r="M11" s="1"/>
      <c r="N11" s="27"/>
      <c r="O11" s="28"/>
      <c r="P11" s="29"/>
      <c r="Q11" s="30" t="s">
        <v>45</v>
      </c>
      <c r="S11" s="1"/>
      <c r="T11" s="27"/>
      <c r="U11" s="28"/>
      <c r="V11" s="29"/>
      <c r="W11" s="30" t="s">
        <v>46</v>
      </c>
      <c r="Y11" s="1"/>
      <c r="Z11" s="27"/>
      <c r="AA11" s="28"/>
      <c r="AB11" s="29"/>
      <c r="AC11" s="30" t="s">
        <v>47</v>
      </c>
      <c r="AE11" s="1"/>
      <c r="AF11" s="27"/>
      <c r="AG11" s="28"/>
      <c r="AH11" s="29"/>
      <c r="AI11" s="30" t="s">
        <v>48</v>
      </c>
      <c r="AK11" s="1"/>
      <c r="AL11" s="27"/>
      <c r="AM11" s="28"/>
      <c r="AN11" s="29"/>
      <c r="AO11" s="30" t="s">
        <v>49</v>
      </c>
      <c r="AQ11" s="1"/>
      <c r="AR11" s="27"/>
      <c r="AS11" s="28"/>
      <c r="AT11" s="29"/>
      <c r="AU11" s="30" t="s">
        <v>50</v>
      </c>
      <c r="AW11" s="1"/>
      <c r="AX11" s="27"/>
      <c r="AY11" s="28"/>
      <c r="AZ11" s="29"/>
      <c r="BA11" s="30" t="s">
        <v>51</v>
      </c>
      <c r="BC11" s="1"/>
      <c r="BD11" s="27"/>
      <c r="BE11" s="28"/>
      <c r="BF11" s="29"/>
      <c r="BG11" s="30" t="s">
        <v>52</v>
      </c>
      <c r="BI11" s="1"/>
      <c r="BJ11" s="27"/>
      <c r="BK11" s="28"/>
      <c r="BL11" s="29"/>
      <c r="BM11" s="30" t="s">
        <v>53</v>
      </c>
      <c r="BO11" s="1"/>
      <c r="BP11" s="27"/>
      <c r="BQ11" s="28"/>
      <c r="BR11" s="29"/>
      <c r="BS11" s="30" t="s">
        <v>54</v>
      </c>
      <c r="BU11" s="4"/>
    </row>
    <row r="12">
      <c r="A12" s="1"/>
      <c r="B12" s="27" t="s">
        <v>55</v>
      </c>
      <c r="C12" s="28">
        <v>12427.96</v>
      </c>
      <c r="D12" s="29">
        <v>10.0</v>
      </c>
      <c r="G12" s="1"/>
      <c r="H12" s="27" t="s">
        <v>56</v>
      </c>
      <c r="I12" s="28">
        <v>9209.02</v>
      </c>
      <c r="J12" s="29">
        <v>2.0</v>
      </c>
      <c r="M12" s="1"/>
      <c r="N12" s="27"/>
      <c r="O12" s="28"/>
      <c r="P12" s="29"/>
      <c r="S12" s="1"/>
      <c r="T12" s="27"/>
      <c r="U12" s="28"/>
      <c r="V12" s="29"/>
      <c r="Y12" s="1"/>
      <c r="Z12" s="27"/>
      <c r="AA12" s="28"/>
      <c r="AB12" s="29"/>
      <c r="AE12" s="1"/>
      <c r="AF12" s="27"/>
      <c r="AG12" s="28"/>
      <c r="AH12" s="29"/>
      <c r="AK12" s="1"/>
      <c r="AL12" s="27"/>
      <c r="AM12" s="28"/>
      <c r="AN12" s="29"/>
      <c r="AQ12" s="1"/>
      <c r="AR12" s="27"/>
      <c r="AS12" s="28"/>
      <c r="AT12" s="29"/>
      <c r="AW12" s="1"/>
      <c r="AX12" s="27"/>
      <c r="AY12" s="28"/>
      <c r="AZ12" s="29"/>
      <c r="BC12" s="1"/>
      <c r="BD12" s="27"/>
      <c r="BE12" s="28"/>
      <c r="BF12" s="29"/>
      <c r="BI12" s="1"/>
      <c r="BJ12" s="27"/>
      <c r="BK12" s="28"/>
      <c r="BL12" s="29"/>
      <c r="BO12" s="1"/>
      <c r="BP12" s="27"/>
      <c r="BQ12" s="28"/>
      <c r="BR12" s="29"/>
      <c r="BU12" s="4"/>
    </row>
    <row r="13">
      <c r="A13" s="1"/>
      <c r="B13" s="27" t="s">
        <v>57</v>
      </c>
      <c r="C13" s="28">
        <v>11544.01</v>
      </c>
      <c r="D13" s="29">
        <v>13.0</v>
      </c>
      <c r="G13" s="1"/>
      <c r="H13" s="27" t="s">
        <v>55</v>
      </c>
      <c r="I13" s="28">
        <v>6243.55</v>
      </c>
      <c r="J13" s="27">
        <v>10.0</v>
      </c>
      <c r="M13" s="1"/>
      <c r="N13" s="27"/>
      <c r="O13" s="28"/>
      <c r="P13" s="29"/>
      <c r="S13" s="1"/>
      <c r="T13" s="27"/>
      <c r="U13" s="28"/>
      <c r="V13" s="29"/>
      <c r="Y13" s="1"/>
      <c r="Z13" s="27"/>
      <c r="AA13" s="28"/>
      <c r="AB13" s="29"/>
      <c r="AE13" s="1"/>
      <c r="AF13" s="27"/>
      <c r="AG13" s="28"/>
      <c r="AH13" s="29"/>
      <c r="AK13" s="1"/>
      <c r="AL13" s="27"/>
      <c r="AM13" s="28"/>
      <c r="AN13" s="29"/>
      <c r="AQ13" s="1"/>
      <c r="AR13" s="27"/>
      <c r="AS13" s="28"/>
      <c r="AT13" s="29"/>
      <c r="AW13" s="1"/>
      <c r="AX13" s="27"/>
      <c r="AY13" s="28"/>
      <c r="AZ13" s="29"/>
      <c r="BC13" s="1"/>
      <c r="BD13" s="27"/>
      <c r="BE13" s="28"/>
      <c r="BF13" s="29"/>
      <c r="BI13" s="1"/>
      <c r="BJ13" s="27"/>
      <c r="BK13" s="28"/>
      <c r="BL13" s="29"/>
      <c r="BO13" s="1"/>
      <c r="BP13" s="27"/>
      <c r="BQ13" s="28"/>
      <c r="BR13" s="29"/>
      <c r="BU13" s="4"/>
    </row>
    <row r="14">
      <c r="A14" s="1"/>
      <c r="B14" s="27" t="s">
        <v>58</v>
      </c>
      <c r="C14" s="28">
        <v>20239.68</v>
      </c>
      <c r="D14" s="29">
        <v>13.0</v>
      </c>
      <c r="G14" s="1"/>
      <c r="H14" s="27" t="s">
        <v>59</v>
      </c>
      <c r="I14" s="28">
        <v>-1279.45</v>
      </c>
      <c r="J14" s="29">
        <v>1.0</v>
      </c>
      <c r="M14" s="1"/>
      <c r="N14" s="27"/>
      <c r="O14" s="28"/>
      <c r="P14" s="29"/>
      <c r="S14" s="1"/>
      <c r="T14" s="27"/>
      <c r="U14" s="28"/>
      <c r="V14" s="29"/>
      <c r="Y14" s="1"/>
      <c r="Z14" s="27"/>
      <c r="AA14" s="28"/>
      <c r="AB14" s="29"/>
      <c r="AE14" s="1"/>
      <c r="AF14" s="27"/>
      <c r="AG14" s="28"/>
      <c r="AH14" s="29"/>
      <c r="AK14" s="1"/>
      <c r="AL14" s="27"/>
      <c r="AM14" s="28"/>
      <c r="AN14" s="29"/>
      <c r="AQ14" s="1"/>
      <c r="AR14" s="27"/>
      <c r="AS14" s="28"/>
      <c r="AT14" s="29"/>
      <c r="AW14" s="1"/>
      <c r="AX14" s="27"/>
      <c r="AY14" s="28"/>
      <c r="AZ14" s="29"/>
      <c r="BC14" s="1"/>
      <c r="BD14" s="27"/>
      <c r="BE14" s="28"/>
      <c r="BF14" s="29"/>
      <c r="BI14" s="1"/>
      <c r="BJ14" s="27"/>
      <c r="BK14" s="28"/>
      <c r="BL14" s="29"/>
      <c r="BO14" s="1"/>
      <c r="BP14" s="27"/>
      <c r="BQ14" s="28"/>
      <c r="BR14" s="29"/>
      <c r="BU14" s="4"/>
    </row>
    <row r="15">
      <c r="A15" s="1"/>
      <c r="B15" s="27" t="s">
        <v>60</v>
      </c>
      <c r="C15" s="28">
        <v>1996.1</v>
      </c>
      <c r="D15" s="29">
        <v>1.0</v>
      </c>
      <c r="G15" s="1"/>
      <c r="H15" s="27"/>
      <c r="I15" s="28"/>
      <c r="J15" s="29"/>
      <c r="M15" s="1"/>
      <c r="N15" s="27"/>
      <c r="O15" s="28"/>
      <c r="P15" s="29"/>
      <c r="S15" s="1"/>
      <c r="T15" s="27"/>
      <c r="U15" s="28"/>
      <c r="V15" s="29"/>
      <c r="Y15" s="1"/>
      <c r="Z15" s="27"/>
      <c r="AA15" s="28"/>
      <c r="AB15" s="29"/>
      <c r="AE15" s="1"/>
      <c r="AF15" s="27"/>
      <c r="AG15" s="28"/>
      <c r="AH15" s="29"/>
      <c r="AK15" s="1"/>
      <c r="AL15" s="27"/>
      <c r="AM15" s="28"/>
      <c r="AN15" s="29"/>
      <c r="AQ15" s="1"/>
      <c r="AR15" s="27"/>
      <c r="AS15" s="28"/>
      <c r="AT15" s="29"/>
      <c r="AW15" s="1"/>
      <c r="AX15" s="27"/>
      <c r="AY15" s="28"/>
      <c r="AZ15" s="29"/>
      <c r="BC15" s="1"/>
      <c r="BD15" s="27"/>
      <c r="BE15" s="28"/>
      <c r="BF15" s="29"/>
      <c r="BI15" s="1"/>
      <c r="BJ15" s="27"/>
      <c r="BK15" s="28"/>
      <c r="BL15" s="29"/>
      <c r="BO15" s="1"/>
      <c r="BP15" s="27"/>
      <c r="BQ15" s="28"/>
      <c r="BR15" s="29"/>
      <c r="BU15" s="4"/>
    </row>
    <row r="16">
      <c r="A16" s="1"/>
      <c r="B16" s="24" t="s">
        <v>61</v>
      </c>
      <c r="C16" s="25">
        <f>SUM(C17:C115)</f>
        <v>70011.12</v>
      </c>
      <c r="D16" s="31"/>
      <c r="E16" s="24" t="s">
        <v>14</v>
      </c>
      <c r="F16" s="24" t="s">
        <v>62</v>
      </c>
      <c r="G16" s="1"/>
      <c r="H16" s="3" t="s">
        <v>61</v>
      </c>
      <c r="I16" s="26">
        <f>SUM(I17:I110)</f>
        <v>20966.09</v>
      </c>
      <c r="J16" s="3"/>
      <c r="K16" s="3" t="s">
        <v>14</v>
      </c>
      <c r="L16" s="3" t="s">
        <v>62</v>
      </c>
      <c r="M16" s="1"/>
      <c r="N16" s="24" t="s">
        <v>61</v>
      </c>
      <c r="O16" s="25">
        <f>SUM(O17:O79)</f>
        <v>0</v>
      </c>
      <c r="P16" s="31"/>
      <c r="Q16" s="24" t="s">
        <v>14</v>
      </c>
      <c r="R16" s="24" t="s">
        <v>62</v>
      </c>
      <c r="S16" s="1"/>
      <c r="T16" s="3" t="s">
        <v>61</v>
      </c>
      <c r="U16" s="26">
        <f>SUM(U17:U115)</f>
        <v>0</v>
      </c>
      <c r="V16" s="3"/>
      <c r="W16" s="3" t="s">
        <v>14</v>
      </c>
      <c r="X16" s="3" t="s">
        <v>62</v>
      </c>
      <c r="Y16" s="1"/>
      <c r="Z16" s="24" t="s">
        <v>61</v>
      </c>
      <c r="AA16" s="25">
        <f>SUM(AA17:AA100)</f>
        <v>0</v>
      </c>
      <c r="AB16" s="31"/>
      <c r="AC16" s="24" t="s">
        <v>14</v>
      </c>
      <c r="AD16" s="24" t="s">
        <v>62</v>
      </c>
      <c r="AE16" s="1"/>
      <c r="AF16" s="3" t="s">
        <v>61</v>
      </c>
      <c r="AG16" s="26">
        <f>SUM(AG17:AG114)</f>
        <v>0</v>
      </c>
      <c r="AH16" s="3"/>
      <c r="AI16" s="3" t="s">
        <v>14</v>
      </c>
      <c r="AJ16" s="3" t="s">
        <v>62</v>
      </c>
      <c r="AK16" s="1"/>
      <c r="AL16" s="24" t="s">
        <v>61</v>
      </c>
      <c r="AM16" s="25">
        <f>SUM(AM17:AM149)</f>
        <v>0</v>
      </c>
      <c r="AN16" s="31"/>
      <c r="AO16" s="24" t="s">
        <v>14</v>
      </c>
      <c r="AP16" s="24" t="s">
        <v>62</v>
      </c>
      <c r="AQ16" s="1"/>
      <c r="AR16" s="3" t="s">
        <v>61</v>
      </c>
      <c r="AS16" s="26">
        <f>SUM(AS17:AS113)</f>
        <v>0</v>
      </c>
      <c r="AT16" s="3"/>
      <c r="AU16" s="3" t="s">
        <v>14</v>
      </c>
      <c r="AV16" s="3" t="s">
        <v>62</v>
      </c>
      <c r="AW16" s="1"/>
      <c r="AX16" s="24" t="s">
        <v>61</v>
      </c>
      <c r="AY16" s="25">
        <f>SUM(AY17:AY100)</f>
        <v>0</v>
      </c>
      <c r="AZ16" s="31"/>
      <c r="BA16" s="24" t="s">
        <v>14</v>
      </c>
      <c r="BB16" s="24" t="s">
        <v>62</v>
      </c>
      <c r="BC16" s="1"/>
      <c r="BD16" s="3" t="s">
        <v>61</v>
      </c>
      <c r="BE16" s="26">
        <f>SUM(BE17:BE114)</f>
        <v>0</v>
      </c>
      <c r="BF16" s="3"/>
      <c r="BG16" s="3" t="s">
        <v>14</v>
      </c>
      <c r="BH16" s="3" t="s">
        <v>62</v>
      </c>
      <c r="BI16" s="1"/>
      <c r="BJ16" s="24" t="s">
        <v>61</v>
      </c>
      <c r="BK16" s="25">
        <f>SUM(BK17:BK96)</f>
        <v>0</v>
      </c>
      <c r="BL16" s="31"/>
      <c r="BM16" s="24" t="s">
        <v>14</v>
      </c>
      <c r="BN16" s="24" t="s">
        <v>62</v>
      </c>
      <c r="BO16" s="1"/>
      <c r="BP16" s="3" t="s">
        <v>61</v>
      </c>
      <c r="BQ16" s="26">
        <f>SUM(BQ17:BQ111)</f>
        <v>0</v>
      </c>
      <c r="BR16" s="3"/>
      <c r="BS16" s="3" t="s">
        <v>14</v>
      </c>
      <c r="BT16" s="3" t="s">
        <v>62</v>
      </c>
      <c r="BU16" s="4"/>
    </row>
    <row r="17">
      <c r="A17" s="1"/>
      <c r="B17" s="32" t="s">
        <v>63</v>
      </c>
      <c r="C17" s="33">
        <v>1864.36</v>
      </c>
      <c r="D17" s="34">
        <v>4.0</v>
      </c>
      <c r="E17" s="35" t="s">
        <v>32</v>
      </c>
      <c r="F17" s="36" t="s">
        <v>34</v>
      </c>
      <c r="G17" s="1"/>
      <c r="H17" s="32" t="s">
        <v>63</v>
      </c>
      <c r="I17" s="37">
        <v>1863.96</v>
      </c>
      <c r="J17" s="38">
        <v>7.0</v>
      </c>
      <c r="K17" s="39" t="s">
        <v>32</v>
      </c>
      <c r="L17" s="36" t="s">
        <v>34</v>
      </c>
      <c r="M17" s="1"/>
      <c r="N17" s="32" t="s">
        <v>63</v>
      </c>
      <c r="O17" s="33"/>
      <c r="P17" s="34">
        <v>4.0</v>
      </c>
      <c r="Q17" s="35" t="s">
        <v>32</v>
      </c>
      <c r="R17" s="36" t="s">
        <v>34</v>
      </c>
      <c r="S17" s="1"/>
      <c r="T17" s="32" t="s">
        <v>63</v>
      </c>
      <c r="U17" s="33"/>
      <c r="V17" s="34">
        <v>4.0</v>
      </c>
      <c r="W17" s="35" t="s">
        <v>32</v>
      </c>
      <c r="X17" s="36" t="s">
        <v>34</v>
      </c>
      <c r="Y17" s="1"/>
      <c r="Z17" s="32" t="s">
        <v>63</v>
      </c>
      <c r="AA17" s="33"/>
      <c r="AB17" s="34">
        <v>4.0</v>
      </c>
      <c r="AC17" s="35" t="s">
        <v>32</v>
      </c>
      <c r="AD17" s="36" t="s">
        <v>34</v>
      </c>
      <c r="AE17" s="1"/>
      <c r="AF17" s="32" t="s">
        <v>63</v>
      </c>
      <c r="AG17" s="33"/>
      <c r="AH17" s="34">
        <v>4.0</v>
      </c>
      <c r="AI17" s="35" t="s">
        <v>32</v>
      </c>
      <c r="AJ17" s="36" t="s">
        <v>34</v>
      </c>
      <c r="AK17" s="1"/>
      <c r="AL17" s="32" t="s">
        <v>63</v>
      </c>
      <c r="AM17" s="33"/>
      <c r="AN17" s="34">
        <v>4.0</v>
      </c>
      <c r="AO17" s="35" t="s">
        <v>32</v>
      </c>
      <c r="AP17" s="36" t="s">
        <v>34</v>
      </c>
      <c r="AQ17" s="1"/>
      <c r="AR17" s="32" t="s">
        <v>63</v>
      </c>
      <c r="AS17" s="33"/>
      <c r="AT17" s="34">
        <v>4.0</v>
      </c>
      <c r="AU17" s="35" t="s">
        <v>32</v>
      </c>
      <c r="AV17" s="36" t="s">
        <v>34</v>
      </c>
      <c r="AW17" s="1"/>
      <c r="AX17" s="32" t="s">
        <v>63</v>
      </c>
      <c r="AY17" s="33"/>
      <c r="AZ17" s="34">
        <v>4.0</v>
      </c>
      <c r="BA17" s="35" t="s">
        <v>32</v>
      </c>
      <c r="BB17" s="36" t="s">
        <v>34</v>
      </c>
      <c r="BC17" s="1"/>
      <c r="BD17" s="32" t="s">
        <v>63</v>
      </c>
      <c r="BE17" s="33"/>
      <c r="BF17" s="34">
        <v>4.0</v>
      </c>
      <c r="BG17" s="35" t="s">
        <v>32</v>
      </c>
      <c r="BH17" s="36" t="s">
        <v>34</v>
      </c>
      <c r="BI17" s="1"/>
      <c r="BJ17" s="32" t="s">
        <v>63</v>
      </c>
      <c r="BK17" s="33"/>
      <c r="BL17" s="34">
        <v>4.0</v>
      </c>
      <c r="BM17" s="35" t="s">
        <v>32</v>
      </c>
      <c r="BN17" s="36" t="s">
        <v>34</v>
      </c>
      <c r="BO17" s="1"/>
      <c r="BP17" s="32" t="s">
        <v>63</v>
      </c>
      <c r="BQ17" s="33"/>
      <c r="BR17" s="34">
        <v>4.0</v>
      </c>
      <c r="BS17" s="35" t="s">
        <v>32</v>
      </c>
      <c r="BT17" s="36" t="s">
        <v>34</v>
      </c>
      <c r="BU17" s="4"/>
    </row>
    <row r="18">
      <c r="A18" s="1"/>
      <c r="B18" s="32" t="s">
        <v>64</v>
      </c>
      <c r="C18" s="33">
        <v>290.4</v>
      </c>
      <c r="D18" s="34">
        <v>5.0</v>
      </c>
      <c r="E18" s="35" t="s">
        <v>28</v>
      </c>
      <c r="F18" s="36" t="s">
        <v>32</v>
      </c>
      <c r="G18" s="1"/>
      <c r="H18" s="32" t="s">
        <v>64</v>
      </c>
      <c r="I18" s="33">
        <v>290.4</v>
      </c>
      <c r="J18" s="34">
        <v>5.0</v>
      </c>
      <c r="K18" s="39" t="s">
        <v>28</v>
      </c>
      <c r="L18" s="36" t="s">
        <v>32</v>
      </c>
      <c r="M18" s="1"/>
      <c r="N18" s="32" t="s">
        <v>64</v>
      </c>
      <c r="O18" s="33"/>
      <c r="P18" s="34">
        <v>5.0</v>
      </c>
      <c r="Q18" s="35" t="s">
        <v>28</v>
      </c>
      <c r="R18" s="36" t="s">
        <v>32</v>
      </c>
      <c r="S18" s="1"/>
      <c r="T18" s="32" t="s">
        <v>64</v>
      </c>
      <c r="U18" s="33"/>
      <c r="V18" s="34">
        <v>5.0</v>
      </c>
      <c r="W18" s="35" t="s">
        <v>28</v>
      </c>
      <c r="X18" s="36" t="s">
        <v>32</v>
      </c>
      <c r="Y18" s="1"/>
      <c r="Z18" s="32" t="s">
        <v>64</v>
      </c>
      <c r="AA18" s="33"/>
      <c r="AB18" s="34">
        <v>5.0</v>
      </c>
      <c r="AC18" s="35" t="s">
        <v>28</v>
      </c>
      <c r="AD18" s="36" t="s">
        <v>32</v>
      </c>
      <c r="AE18" s="1"/>
      <c r="AF18" s="32" t="s">
        <v>64</v>
      </c>
      <c r="AG18" s="33"/>
      <c r="AH18" s="34">
        <v>5.0</v>
      </c>
      <c r="AI18" s="35" t="s">
        <v>28</v>
      </c>
      <c r="AJ18" s="36" t="s">
        <v>32</v>
      </c>
      <c r="AK18" s="1"/>
      <c r="AL18" s="32" t="s">
        <v>64</v>
      </c>
      <c r="AM18" s="33"/>
      <c r="AN18" s="34">
        <v>5.0</v>
      </c>
      <c r="AO18" s="35" t="s">
        <v>28</v>
      </c>
      <c r="AP18" s="36" t="s">
        <v>32</v>
      </c>
      <c r="AQ18" s="1"/>
      <c r="AR18" s="32" t="s">
        <v>64</v>
      </c>
      <c r="AS18" s="33"/>
      <c r="AT18" s="34">
        <v>5.0</v>
      </c>
      <c r="AU18" s="35" t="s">
        <v>28</v>
      </c>
      <c r="AV18" s="36" t="s">
        <v>32</v>
      </c>
      <c r="AW18" s="1"/>
      <c r="AX18" s="32" t="s">
        <v>64</v>
      </c>
      <c r="AY18" s="33"/>
      <c r="AZ18" s="34">
        <v>5.0</v>
      </c>
      <c r="BA18" s="35" t="s">
        <v>28</v>
      </c>
      <c r="BB18" s="36" t="s">
        <v>32</v>
      </c>
      <c r="BC18" s="1"/>
      <c r="BD18" s="32" t="s">
        <v>64</v>
      </c>
      <c r="BE18" s="33"/>
      <c r="BF18" s="34">
        <v>5.0</v>
      </c>
      <c r="BG18" s="35" t="s">
        <v>28</v>
      </c>
      <c r="BH18" s="36" t="s">
        <v>32</v>
      </c>
      <c r="BI18" s="1"/>
      <c r="BJ18" s="32" t="s">
        <v>64</v>
      </c>
      <c r="BK18" s="33"/>
      <c r="BL18" s="34">
        <v>5.0</v>
      </c>
      <c r="BM18" s="35" t="s">
        <v>28</v>
      </c>
      <c r="BN18" s="36" t="s">
        <v>32</v>
      </c>
      <c r="BO18" s="1"/>
      <c r="BP18" s="32" t="s">
        <v>64</v>
      </c>
      <c r="BQ18" s="33"/>
      <c r="BR18" s="34">
        <v>5.0</v>
      </c>
      <c r="BS18" s="35" t="s">
        <v>28</v>
      </c>
      <c r="BT18" s="36" t="s">
        <v>32</v>
      </c>
      <c r="BU18" s="4"/>
    </row>
    <row r="19">
      <c r="A19" s="1"/>
      <c r="B19" s="32" t="s">
        <v>65</v>
      </c>
      <c r="C19" s="33">
        <v>128.34</v>
      </c>
      <c r="D19" s="34">
        <v>8.0</v>
      </c>
      <c r="E19" s="35" t="s">
        <v>28</v>
      </c>
      <c r="F19" s="36" t="s">
        <v>32</v>
      </c>
      <c r="G19" s="1"/>
      <c r="H19" s="32" t="s">
        <v>65</v>
      </c>
      <c r="I19" s="33"/>
      <c r="J19" s="34">
        <v>8.0</v>
      </c>
      <c r="K19" s="35" t="s">
        <v>28</v>
      </c>
      <c r="L19" s="36" t="s">
        <v>32</v>
      </c>
      <c r="M19" s="1"/>
      <c r="N19" s="32" t="s">
        <v>66</v>
      </c>
      <c r="O19" s="33"/>
      <c r="P19" s="34">
        <v>8.0</v>
      </c>
      <c r="Q19" s="35" t="s">
        <v>28</v>
      </c>
      <c r="R19" s="36" t="s">
        <v>32</v>
      </c>
      <c r="S19" s="1"/>
      <c r="T19" s="32" t="s">
        <v>66</v>
      </c>
      <c r="U19" s="33"/>
      <c r="V19" s="34">
        <v>8.0</v>
      </c>
      <c r="W19" s="35" t="s">
        <v>28</v>
      </c>
      <c r="X19" s="36" t="s">
        <v>32</v>
      </c>
      <c r="Y19" s="1"/>
      <c r="Z19" s="32" t="s">
        <v>66</v>
      </c>
      <c r="AA19" s="33"/>
      <c r="AB19" s="34">
        <v>8.0</v>
      </c>
      <c r="AC19" s="35" t="s">
        <v>28</v>
      </c>
      <c r="AD19" s="36" t="s">
        <v>32</v>
      </c>
      <c r="AE19" s="1"/>
      <c r="AF19" s="32" t="s">
        <v>66</v>
      </c>
      <c r="AG19" s="33"/>
      <c r="AH19" s="34">
        <v>8.0</v>
      </c>
      <c r="AI19" s="35" t="s">
        <v>28</v>
      </c>
      <c r="AJ19" s="36" t="s">
        <v>32</v>
      </c>
      <c r="AK19" s="1"/>
      <c r="AL19" s="32" t="s">
        <v>67</v>
      </c>
      <c r="AM19" s="33"/>
      <c r="AN19" s="34">
        <v>8.0</v>
      </c>
      <c r="AO19" s="35" t="s">
        <v>28</v>
      </c>
      <c r="AP19" s="36" t="s">
        <v>32</v>
      </c>
      <c r="AQ19" s="1"/>
      <c r="AR19" s="32" t="s">
        <v>67</v>
      </c>
      <c r="AS19" s="33"/>
      <c r="AT19" s="34">
        <v>8.0</v>
      </c>
      <c r="AU19" s="35" t="s">
        <v>28</v>
      </c>
      <c r="AV19" s="36" t="s">
        <v>32</v>
      </c>
      <c r="AW19" s="1"/>
      <c r="AX19" s="32" t="s">
        <v>67</v>
      </c>
      <c r="AY19" s="33"/>
      <c r="AZ19" s="34">
        <v>8.0</v>
      </c>
      <c r="BA19" s="35" t="s">
        <v>28</v>
      </c>
      <c r="BB19" s="36" t="s">
        <v>32</v>
      </c>
      <c r="BC19" s="1"/>
      <c r="BD19" s="32" t="s">
        <v>67</v>
      </c>
      <c r="BE19" s="33"/>
      <c r="BF19" s="34">
        <v>8.0</v>
      </c>
      <c r="BG19" s="35" t="s">
        <v>28</v>
      </c>
      <c r="BH19" s="36" t="s">
        <v>32</v>
      </c>
      <c r="BI19" s="1"/>
      <c r="BJ19" s="32" t="s">
        <v>67</v>
      </c>
      <c r="BK19" s="33"/>
      <c r="BL19" s="34">
        <v>8.0</v>
      </c>
      <c r="BM19" s="35" t="s">
        <v>28</v>
      </c>
      <c r="BN19" s="36" t="s">
        <v>32</v>
      </c>
      <c r="BO19" s="1"/>
      <c r="BP19" s="32" t="s">
        <v>66</v>
      </c>
      <c r="BQ19" s="33"/>
      <c r="BR19" s="34">
        <v>8.0</v>
      </c>
      <c r="BS19" s="35" t="s">
        <v>28</v>
      </c>
      <c r="BT19" s="36" t="s">
        <v>32</v>
      </c>
      <c r="BU19" s="4"/>
    </row>
    <row r="20">
      <c r="A20" s="1"/>
      <c r="B20" s="40" t="s">
        <v>68</v>
      </c>
      <c r="C20" s="41" t="s">
        <v>69</v>
      </c>
      <c r="D20" s="34">
        <v>10.0</v>
      </c>
      <c r="E20" s="35" t="s">
        <v>32</v>
      </c>
      <c r="G20" s="1"/>
      <c r="H20" s="40" t="s">
        <v>70</v>
      </c>
      <c r="I20" s="42">
        <v>429.05</v>
      </c>
      <c r="J20" s="43">
        <v>4.0</v>
      </c>
      <c r="K20" s="44" t="s">
        <v>32</v>
      </c>
      <c r="L20" s="45" t="s">
        <v>32</v>
      </c>
      <c r="M20" s="1"/>
      <c r="N20" s="32" t="s">
        <v>71</v>
      </c>
      <c r="O20" s="46"/>
      <c r="P20" s="34">
        <v>10.0</v>
      </c>
      <c r="Q20" s="35" t="s">
        <v>32</v>
      </c>
      <c r="R20" s="36" t="s">
        <v>32</v>
      </c>
      <c r="S20" s="1"/>
      <c r="T20" s="32" t="s">
        <v>71</v>
      </c>
      <c r="U20" s="46"/>
      <c r="V20" s="34">
        <v>10.0</v>
      </c>
      <c r="W20" s="35" t="s">
        <v>32</v>
      </c>
      <c r="X20" s="36" t="s">
        <v>32</v>
      </c>
      <c r="Y20" s="1"/>
      <c r="Z20" s="32" t="s">
        <v>71</v>
      </c>
      <c r="AA20" s="46"/>
      <c r="AB20" s="34">
        <v>10.0</v>
      </c>
      <c r="AC20" s="35" t="s">
        <v>32</v>
      </c>
      <c r="AD20" s="36" t="s">
        <v>32</v>
      </c>
      <c r="AE20" s="1"/>
      <c r="AF20" s="32" t="s">
        <v>71</v>
      </c>
      <c r="AG20" s="46"/>
      <c r="AH20" s="34">
        <v>10.0</v>
      </c>
      <c r="AI20" s="35" t="s">
        <v>32</v>
      </c>
      <c r="AJ20" s="36" t="s">
        <v>32</v>
      </c>
      <c r="AK20" s="1"/>
      <c r="AL20" s="32" t="s">
        <v>71</v>
      </c>
      <c r="AM20" s="46"/>
      <c r="AN20" s="34">
        <v>10.0</v>
      </c>
      <c r="AO20" s="35" t="s">
        <v>32</v>
      </c>
      <c r="AP20" s="36" t="s">
        <v>32</v>
      </c>
      <c r="AQ20" s="1"/>
      <c r="AR20" s="32" t="s">
        <v>71</v>
      </c>
      <c r="AS20" s="46"/>
      <c r="AT20" s="34">
        <v>10.0</v>
      </c>
      <c r="AU20" s="35" t="s">
        <v>32</v>
      </c>
      <c r="AV20" s="36" t="s">
        <v>32</v>
      </c>
      <c r="AW20" s="1"/>
      <c r="AX20" s="32" t="s">
        <v>71</v>
      </c>
      <c r="AY20" s="46"/>
      <c r="AZ20" s="34">
        <v>10.0</v>
      </c>
      <c r="BA20" s="35" t="s">
        <v>32</v>
      </c>
      <c r="BB20" s="36" t="s">
        <v>32</v>
      </c>
      <c r="BC20" s="1"/>
      <c r="BD20" s="32" t="s">
        <v>71</v>
      </c>
      <c r="BE20" s="46"/>
      <c r="BF20" s="34">
        <v>10.0</v>
      </c>
      <c r="BG20" s="35" t="s">
        <v>32</v>
      </c>
      <c r="BH20" s="36" t="s">
        <v>32</v>
      </c>
      <c r="BI20" s="1"/>
      <c r="BJ20" s="32" t="s">
        <v>71</v>
      </c>
      <c r="BK20" s="46"/>
      <c r="BL20" s="34">
        <v>10.0</v>
      </c>
      <c r="BM20" s="35" t="s">
        <v>32</v>
      </c>
      <c r="BN20" s="36" t="s">
        <v>32</v>
      </c>
      <c r="BO20" s="1"/>
      <c r="BP20" s="32" t="s">
        <v>71</v>
      </c>
      <c r="BQ20" s="46"/>
      <c r="BR20" s="34">
        <v>10.0</v>
      </c>
      <c r="BS20" s="35" t="s">
        <v>32</v>
      </c>
      <c r="BT20" s="36" t="s">
        <v>32</v>
      </c>
      <c r="BU20" s="4"/>
    </row>
    <row r="21">
      <c r="A21" s="1"/>
      <c r="D21" s="34">
        <v>31.0</v>
      </c>
      <c r="E21" s="39" t="s">
        <v>32</v>
      </c>
      <c r="F21" s="36" t="s">
        <v>32</v>
      </c>
      <c r="G21" s="1"/>
      <c r="H21" s="47" t="s">
        <v>72</v>
      </c>
      <c r="I21" s="48"/>
      <c r="J21" s="49"/>
      <c r="K21" s="50"/>
      <c r="L21" s="51"/>
      <c r="M21" s="1"/>
      <c r="N21" s="32" t="s">
        <v>73</v>
      </c>
      <c r="O21" s="46"/>
      <c r="P21" s="34">
        <v>10.0</v>
      </c>
      <c r="Q21" s="35" t="s">
        <v>28</v>
      </c>
      <c r="R21" s="36" t="s">
        <v>32</v>
      </c>
      <c r="S21" s="1"/>
      <c r="T21" s="32" t="s">
        <v>73</v>
      </c>
      <c r="U21" s="46"/>
      <c r="V21" s="34">
        <v>10.0</v>
      </c>
      <c r="W21" s="35" t="s">
        <v>28</v>
      </c>
      <c r="X21" s="36" t="s">
        <v>32</v>
      </c>
      <c r="Y21" s="1"/>
      <c r="Z21" s="32" t="s">
        <v>73</v>
      </c>
      <c r="AA21" s="46"/>
      <c r="AB21" s="34">
        <v>10.0</v>
      </c>
      <c r="AC21" s="35" t="s">
        <v>28</v>
      </c>
      <c r="AD21" s="36" t="s">
        <v>32</v>
      </c>
      <c r="AE21" s="1"/>
      <c r="AF21" s="32" t="s">
        <v>73</v>
      </c>
      <c r="AG21" s="46"/>
      <c r="AH21" s="34">
        <v>10.0</v>
      </c>
      <c r="AI21" s="35" t="s">
        <v>28</v>
      </c>
      <c r="AJ21" s="36" t="s">
        <v>32</v>
      </c>
      <c r="AK21" s="1"/>
      <c r="AL21" s="32" t="s">
        <v>73</v>
      </c>
      <c r="AM21" s="46"/>
      <c r="AN21" s="34">
        <v>10.0</v>
      </c>
      <c r="AO21" s="35" t="s">
        <v>28</v>
      </c>
      <c r="AP21" s="36" t="s">
        <v>32</v>
      </c>
      <c r="AQ21" s="1"/>
      <c r="AR21" s="32" t="s">
        <v>73</v>
      </c>
      <c r="AS21" s="46"/>
      <c r="AT21" s="34">
        <v>10.0</v>
      </c>
      <c r="AU21" s="35" t="s">
        <v>28</v>
      </c>
      <c r="AV21" s="36" t="s">
        <v>32</v>
      </c>
      <c r="AW21" s="1"/>
      <c r="AX21" s="32" t="s">
        <v>73</v>
      </c>
      <c r="AY21" s="46"/>
      <c r="AZ21" s="34">
        <v>10.0</v>
      </c>
      <c r="BA21" s="35" t="s">
        <v>28</v>
      </c>
      <c r="BB21" s="36" t="s">
        <v>32</v>
      </c>
      <c r="BC21" s="1"/>
      <c r="BD21" s="32" t="s">
        <v>73</v>
      </c>
      <c r="BE21" s="46"/>
      <c r="BF21" s="34">
        <v>10.0</v>
      </c>
      <c r="BG21" s="35" t="s">
        <v>28</v>
      </c>
      <c r="BH21" s="36" t="s">
        <v>32</v>
      </c>
      <c r="BI21" s="1"/>
      <c r="BJ21" s="32" t="s">
        <v>73</v>
      </c>
      <c r="BK21" s="46"/>
      <c r="BL21" s="34">
        <v>10.0</v>
      </c>
      <c r="BM21" s="35" t="s">
        <v>28</v>
      </c>
      <c r="BN21" s="36" t="s">
        <v>32</v>
      </c>
      <c r="BO21" s="1"/>
      <c r="BP21" s="32" t="s">
        <v>73</v>
      </c>
      <c r="BQ21" s="46"/>
      <c r="BR21" s="34">
        <v>10.0</v>
      </c>
      <c r="BS21" s="35" t="s">
        <v>28</v>
      </c>
      <c r="BT21" s="36" t="s">
        <v>32</v>
      </c>
      <c r="BU21" s="4"/>
    </row>
    <row r="22">
      <c r="A22" s="1"/>
      <c r="D22" s="34">
        <v>10.0</v>
      </c>
      <c r="E22" s="35" t="s">
        <v>32</v>
      </c>
      <c r="G22" s="1"/>
      <c r="H22" s="32" t="s">
        <v>74</v>
      </c>
      <c r="I22" s="46"/>
      <c r="J22" s="34">
        <v>10.0</v>
      </c>
      <c r="K22" s="35" t="s">
        <v>32</v>
      </c>
      <c r="L22" s="36" t="s">
        <v>32</v>
      </c>
      <c r="M22" s="1"/>
      <c r="N22" s="32" t="s">
        <v>74</v>
      </c>
      <c r="O22" s="46"/>
      <c r="P22" s="34">
        <v>10.0</v>
      </c>
      <c r="Q22" s="35" t="s">
        <v>32</v>
      </c>
      <c r="R22" s="36" t="s">
        <v>32</v>
      </c>
      <c r="S22" s="1"/>
      <c r="T22" s="32" t="s">
        <v>74</v>
      </c>
      <c r="U22" s="46"/>
      <c r="V22" s="34">
        <v>10.0</v>
      </c>
      <c r="W22" s="35" t="s">
        <v>32</v>
      </c>
      <c r="X22" s="36" t="s">
        <v>32</v>
      </c>
      <c r="Y22" s="1"/>
      <c r="Z22" s="32" t="s">
        <v>74</v>
      </c>
      <c r="AA22" s="46"/>
      <c r="AB22" s="34">
        <v>10.0</v>
      </c>
      <c r="AC22" s="35" t="s">
        <v>32</v>
      </c>
      <c r="AD22" s="36" t="s">
        <v>32</v>
      </c>
      <c r="AE22" s="1"/>
      <c r="AF22" s="32" t="s">
        <v>74</v>
      </c>
      <c r="AG22" s="46"/>
      <c r="AH22" s="34">
        <v>10.0</v>
      </c>
      <c r="AI22" s="35" t="s">
        <v>32</v>
      </c>
      <c r="AJ22" s="36" t="s">
        <v>32</v>
      </c>
      <c r="AK22" s="1"/>
      <c r="AL22" s="32" t="s">
        <v>74</v>
      </c>
      <c r="AM22" s="46"/>
      <c r="AN22" s="34">
        <v>10.0</v>
      </c>
      <c r="AO22" s="35" t="s">
        <v>32</v>
      </c>
      <c r="AP22" s="36" t="s">
        <v>32</v>
      </c>
      <c r="AQ22" s="1"/>
      <c r="AR22" s="32" t="s">
        <v>74</v>
      </c>
      <c r="AS22" s="46"/>
      <c r="AT22" s="34">
        <v>10.0</v>
      </c>
      <c r="AU22" s="35" t="s">
        <v>32</v>
      </c>
      <c r="AV22" s="36" t="s">
        <v>32</v>
      </c>
      <c r="AW22" s="1"/>
      <c r="AX22" s="32" t="s">
        <v>74</v>
      </c>
      <c r="AY22" s="46"/>
      <c r="AZ22" s="34">
        <v>10.0</v>
      </c>
      <c r="BA22" s="35" t="s">
        <v>32</v>
      </c>
      <c r="BB22" s="36" t="s">
        <v>32</v>
      </c>
      <c r="BC22" s="1"/>
      <c r="BD22" s="32" t="s">
        <v>74</v>
      </c>
      <c r="BE22" s="46"/>
      <c r="BF22" s="34">
        <v>10.0</v>
      </c>
      <c r="BG22" s="35" t="s">
        <v>32</v>
      </c>
      <c r="BH22" s="36" t="s">
        <v>32</v>
      </c>
      <c r="BI22" s="1"/>
      <c r="BJ22" s="32" t="s">
        <v>74</v>
      </c>
      <c r="BK22" s="46"/>
      <c r="BL22" s="34">
        <v>10.0</v>
      </c>
      <c r="BM22" s="35" t="s">
        <v>32</v>
      </c>
      <c r="BN22" s="36" t="s">
        <v>32</v>
      </c>
      <c r="BO22" s="1"/>
      <c r="BP22" s="32" t="s">
        <v>74</v>
      </c>
      <c r="BQ22" s="46"/>
      <c r="BR22" s="34">
        <v>10.0</v>
      </c>
      <c r="BS22" s="35" t="s">
        <v>32</v>
      </c>
      <c r="BT22" s="36" t="s">
        <v>32</v>
      </c>
      <c r="BU22" s="4"/>
    </row>
    <row r="23">
      <c r="A23" s="1"/>
      <c r="D23" s="34">
        <v>10.0</v>
      </c>
      <c r="E23" s="35" t="s">
        <v>28</v>
      </c>
      <c r="G23" s="1"/>
      <c r="H23" s="32" t="s">
        <v>75</v>
      </c>
      <c r="I23" s="46">
        <v>2009.7</v>
      </c>
      <c r="J23" s="34">
        <v>10.0</v>
      </c>
      <c r="K23" s="39" t="s">
        <v>28</v>
      </c>
      <c r="L23" s="36" t="s">
        <v>32</v>
      </c>
      <c r="M23" s="1"/>
      <c r="N23" s="32" t="s">
        <v>75</v>
      </c>
      <c r="O23" s="46"/>
      <c r="P23" s="34">
        <v>10.0</v>
      </c>
      <c r="Q23" s="35" t="s">
        <v>28</v>
      </c>
      <c r="R23" s="36" t="s">
        <v>32</v>
      </c>
      <c r="S23" s="1"/>
      <c r="T23" s="32" t="s">
        <v>75</v>
      </c>
      <c r="U23" s="46"/>
      <c r="V23" s="34">
        <v>10.0</v>
      </c>
      <c r="W23" s="35" t="s">
        <v>28</v>
      </c>
      <c r="X23" s="36" t="s">
        <v>32</v>
      </c>
      <c r="Y23" s="1"/>
      <c r="Z23" s="32" t="s">
        <v>75</v>
      </c>
      <c r="AA23" s="46"/>
      <c r="AB23" s="34">
        <v>10.0</v>
      </c>
      <c r="AC23" s="35" t="s">
        <v>28</v>
      </c>
      <c r="AD23" s="36" t="s">
        <v>32</v>
      </c>
      <c r="AE23" s="1"/>
      <c r="AF23" s="32" t="s">
        <v>75</v>
      </c>
      <c r="AG23" s="46"/>
      <c r="AH23" s="34">
        <v>10.0</v>
      </c>
      <c r="AI23" s="35" t="s">
        <v>28</v>
      </c>
      <c r="AJ23" s="36" t="s">
        <v>32</v>
      </c>
      <c r="AK23" s="1"/>
      <c r="AL23" s="32" t="s">
        <v>75</v>
      </c>
      <c r="AM23" s="46"/>
      <c r="AN23" s="34">
        <v>10.0</v>
      </c>
      <c r="AO23" s="35" t="s">
        <v>28</v>
      </c>
      <c r="AP23" s="36" t="s">
        <v>32</v>
      </c>
      <c r="AQ23" s="1"/>
      <c r="AR23" s="32" t="s">
        <v>75</v>
      </c>
      <c r="AS23" s="46"/>
      <c r="AT23" s="34">
        <v>10.0</v>
      </c>
      <c r="AU23" s="35" t="s">
        <v>28</v>
      </c>
      <c r="AV23" s="36" t="s">
        <v>32</v>
      </c>
      <c r="AW23" s="1"/>
      <c r="AX23" s="32" t="s">
        <v>75</v>
      </c>
      <c r="AY23" s="46"/>
      <c r="AZ23" s="34">
        <v>10.0</v>
      </c>
      <c r="BA23" s="35" t="s">
        <v>28</v>
      </c>
      <c r="BB23" s="36" t="s">
        <v>32</v>
      </c>
      <c r="BC23" s="1"/>
      <c r="BD23" s="32" t="s">
        <v>75</v>
      </c>
      <c r="BE23" s="46"/>
      <c r="BF23" s="34">
        <v>10.0</v>
      </c>
      <c r="BG23" s="35" t="s">
        <v>28</v>
      </c>
      <c r="BH23" s="36" t="s">
        <v>32</v>
      </c>
      <c r="BI23" s="1"/>
      <c r="BJ23" s="32" t="s">
        <v>75</v>
      </c>
      <c r="BK23" s="46"/>
      <c r="BL23" s="34">
        <v>10.0</v>
      </c>
      <c r="BM23" s="35" t="s">
        <v>28</v>
      </c>
      <c r="BN23" s="36" t="s">
        <v>32</v>
      </c>
      <c r="BO23" s="1"/>
      <c r="BP23" s="32" t="s">
        <v>75</v>
      </c>
      <c r="BQ23" s="46"/>
      <c r="BR23" s="34">
        <v>10.0</v>
      </c>
      <c r="BS23" s="35" t="s">
        <v>28</v>
      </c>
      <c r="BT23" s="36" t="s">
        <v>32</v>
      </c>
      <c r="BU23" s="4"/>
    </row>
    <row r="24">
      <c r="A24" s="1"/>
      <c r="B24" s="32" t="s">
        <v>76</v>
      </c>
      <c r="C24" s="52">
        <v>281.79</v>
      </c>
      <c r="D24" s="34">
        <v>10.0</v>
      </c>
      <c r="E24" s="35" t="s">
        <v>28</v>
      </c>
      <c r="F24" s="36" t="s">
        <v>32</v>
      </c>
      <c r="G24" s="1"/>
      <c r="H24" s="32" t="s">
        <v>76</v>
      </c>
      <c r="I24" s="46">
        <v>425.88</v>
      </c>
      <c r="J24" s="38">
        <v>10.0</v>
      </c>
      <c r="K24" s="39" t="s">
        <v>28</v>
      </c>
      <c r="L24" s="36" t="s">
        <v>32</v>
      </c>
      <c r="M24" s="1"/>
      <c r="N24" s="32" t="s">
        <v>76</v>
      </c>
      <c r="O24" s="52"/>
      <c r="P24" s="34">
        <v>10.0</v>
      </c>
      <c r="Q24" s="35" t="s">
        <v>28</v>
      </c>
      <c r="R24" s="36" t="s">
        <v>32</v>
      </c>
      <c r="S24" s="1"/>
      <c r="T24" s="32" t="s">
        <v>76</v>
      </c>
      <c r="U24" s="33"/>
      <c r="V24" s="34">
        <v>10.0</v>
      </c>
      <c r="W24" s="35" t="s">
        <v>28</v>
      </c>
      <c r="X24" s="36" t="s">
        <v>32</v>
      </c>
      <c r="Y24" s="1"/>
      <c r="Z24" s="32" t="s">
        <v>76</v>
      </c>
      <c r="AA24" s="52"/>
      <c r="AB24" s="34">
        <v>10.0</v>
      </c>
      <c r="AC24" s="35" t="s">
        <v>28</v>
      </c>
      <c r="AD24" s="36" t="s">
        <v>32</v>
      </c>
      <c r="AE24" s="1"/>
      <c r="AF24" s="32" t="s">
        <v>76</v>
      </c>
      <c r="AG24" s="33"/>
      <c r="AH24" s="34">
        <v>10.0</v>
      </c>
      <c r="AI24" s="35" t="s">
        <v>28</v>
      </c>
      <c r="AJ24" s="36" t="s">
        <v>32</v>
      </c>
      <c r="AK24" s="1"/>
      <c r="AL24" s="32" t="s">
        <v>76</v>
      </c>
      <c r="AM24" s="52"/>
      <c r="AN24" s="34">
        <v>10.0</v>
      </c>
      <c r="AO24" s="35" t="s">
        <v>28</v>
      </c>
      <c r="AP24" s="36" t="s">
        <v>32</v>
      </c>
      <c r="AQ24" s="1"/>
      <c r="AR24" s="32" t="s">
        <v>76</v>
      </c>
      <c r="AS24" s="33"/>
      <c r="AT24" s="34">
        <v>10.0</v>
      </c>
      <c r="AU24" s="35" t="s">
        <v>28</v>
      </c>
      <c r="AV24" s="36" t="s">
        <v>32</v>
      </c>
      <c r="AW24" s="1"/>
      <c r="AX24" s="32" t="s">
        <v>76</v>
      </c>
      <c r="AY24" s="52"/>
      <c r="AZ24" s="34">
        <v>10.0</v>
      </c>
      <c r="BA24" s="35" t="s">
        <v>28</v>
      </c>
      <c r="BB24" s="36" t="s">
        <v>32</v>
      </c>
      <c r="BC24" s="1"/>
      <c r="BD24" s="32" t="s">
        <v>76</v>
      </c>
      <c r="BE24" s="33"/>
      <c r="BF24" s="34">
        <v>10.0</v>
      </c>
      <c r="BG24" s="35" t="s">
        <v>28</v>
      </c>
      <c r="BH24" s="36" t="s">
        <v>32</v>
      </c>
      <c r="BI24" s="1"/>
      <c r="BJ24" s="32" t="s">
        <v>76</v>
      </c>
      <c r="BK24" s="52"/>
      <c r="BL24" s="34">
        <v>10.0</v>
      </c>
      <c r="BM24" s="35" t="s">
        <v>28</v>
      </c>
      <c r="BN24" s="36" t="s">
        <v>32</v>
      </c>
      <c r="BO24" s="1"/>
      <c r="BP24" s="32" t="s">
        <v>76</v>
      </c>
      <c r="BQ24" s="33"/>
      <c r="BR24" s="34">
        <v>10.0</v>
      </c>
      <c r="BS24" s="35" t="s">
        <v>28</v>
      </c>
      <c r="BT24" s="36" t="s">
        <v>32</v>
      </c>
      <c r="BU24" s="4"/>
    </row>
    <row r="25">
      <c r="A25" s="1"/>
      <c r="B25" s="32" t="s">
        <v>77</v>
      </c>
      <c r="C25" s="33"/>
      <c r="D25" s="34">
        <v>10.0</v>
      </c>
      <c r="E25" s="35" t="s">
        <v>34</v>
      </c>
      <c r="F25" s="36" t="s">
        <v>32</v>
      </c>
      <c r="G25" s="1"/>
      <c r="H25" s="32" t="s">
        <v>77</v>
      </c>
      <c r="I25" s="33"/>
      <c r="J25" s="34">
        <v>10.0</v>
      </c>
      <c r="K25" s="35" t="s">
        <v>34</v>
      </c>
      <c r="L25" s="36" t="s">
        <v>32</v>
      </c>
      <c r="M25" s="1"/>
      <c r="N25" s="32" t="s">
        <v>77</v>
      </c>
      <c r="O25" s="33"/>
      <c r="P25" s="34">
        <v>10.0</v>
      </c>
      <c r="Q25" s="35" t="s">
        <v>34</v>
      </c>
      <c r="R25" s="36" t="s">
        <v>32</v>
      </c>
      <c r="S25" s="1"/>
      <c r="T25" s="32" t="s">
        <v>77</v>
      </c>
      <c r="U25" s="33"/>
      <c r="V25" s="34">
        <v>10.0</v>
      </c>
      <c r="W25" s="35" t="s">
        <v>34</v>
      </c>
      <c r="X25" s="36" t="s">
        <v>32</v>
      </c>
      <c r="Y25" s="1"/>
      <c r="Z25" s="32" t="s">
        <v>77</v>
      </c>
      <c r="AA25" s="33"/>
      <c r="AB25" s="34">
        <v>10.0</v>
      </c>
      <c r="AC25" s="35" t="s">
        <v>34</v>
      </c>
      <c r="AD25" s="36" t="s">
        <v>32</v>
      </c>
      <c r="AE25" s="1"/>
      <c r="AF25" s="32" t="s">
        <v>77</v>
      </c>
      <c r="AG25" s="33"/>
      <c r="AH25" s="34">
        <v>10.0</v>
      </c>
      <c r="AI25" s="35" t="s">
        <v>34</v>
      </c>
      <c r="AJ25" s="36" t="s">
        <v>32</v>
      </c>
      <c r="AK25" s="1"/>
      <c r="AL25" s="32" t="s">
        <v>77</v>
      </c>
      <c r="AM25" s="33"/>
      <c r="AN25" s="34">
        <v>10.0</v>
      </c>
      <c r="AO25" s="35" t="s">
        <v>34</v>
      </c>
      <c r="AP25" s="36" t="s">
        <v>32</v>
      </c>
      <c r="AQ25" s="1"/>
      <c r="AR25" s="32" t="s">
        <v>77</v>
      </c>
      <c r="AS25" s="33"/>
      <c r="AT25" s="34">
        <v>10.0</v>
      </c>
      <c r="AU25" s="35" t="s">
        <v>34</v>
      </c>
      <c r="AV25" s="36" t="s">
        <v>32</v>
      </c>
      <c r="AW25" s="1"/>
      <c r="AX25" s="32" t="s">
        <v>77</v>
      </c>
      <c r="AY25" s="33"/>
      <c r="AZ25" s="34">
        <v>10.0</v>
      </c>
      <c r="BA25" s="35" t="s">
        <v>34</v>
      </c>
      <c r="BB25" s="36" t="s">
        <v>32</v>
      </c>
      <c r="BC25" s="1"/>
      <c r="BD25" s="32" t="s">
        <v>77</v>
      </c>
      <c r="BE25" s="33"/>
      <c r="BF25" s="34">
        <v>10.0</v>
      </c>
      <c r="BG25" s="35" t="s">
        <v>34</v>
      </c>
      <c r="BH25" s="36" t="s">
        <v>32</v>
      </c>
      <c r="BI25" s="1"/>
      <c r="BJ25" s="32" t="s">
        <v>77</v>
      </c>
      <c r="BK25" s="33"/>
      <c r="BL25" s="34">
        <v>10.0</v>
      </c>
      <c r="BM25" s="35" t="s">
        <v>34</v>
      </c>
      <c r="BN25" s="36" t="s">
        <v>32</v>
      </c>
      <c r="BO25" s="1"/>
      <c r="BP25" s="32" t="s">
        <v>77</v>
      </c>
      <c r="BQ25" s="33"/>
      <c r="BR25" s="34">
        <v>10.0</v>
      </c>
      <c r="BS25" s="35" t="s">
        <v>34</v>
      </c>
      <c r="BT25" s="36" t="s">
        <v>32</v>
      </c>
      <c r="BU25" s="4"/>
    </row>
    <row r="26">
      <c r="A26" s="1"/>
      <c r="B26" s="32" t="s">
        <v>78</v>
      </c>
      <c r="C26" s="33">
        <v>300.0</v>
      </c>
      <c r="D26" s="34">
        <v>3.0</v>
      </c>
      <c r="E26" s="35" t="s">
        <v>28</v>
      </c>
      <c r="F26" s="36" t="s">
        <v>32</v>
      </c>
      <c r="G26" s="1"/>
      <c r="H26" s="32" t="s">
        <v>78</v>
      </c>
      <c r="I26" s="33"/>
      <c r="J26" s="34">
        <v>3.0</v>
      </c>
      <c r="K26" s="35" t="s">
        <v>28</v>
      </c>
      <c r="L26" s="36" t="s">
        <v>32</v>
      </c>
      <c r="M26" s="1"/>
      <c r="N26" s="32" t="s">
        <v>78</v>
      </c>
      <c r="O26" s="33"/>
      <c r="P26" s="34">
        <v>3.0</v>
      </c>
      <c r="Q26" s="35" t="s">
        <v>28</v>
      </c>
      <c r="R26" s="36" t="s">
        <v>32</v>
      </c>
      <c r="S26" s="1"/>
      <c r="T26" s="32" t="s">
        <v>78</v>
      </c>
      <c r="U26" s="33"/>
      <c r="V26" s="34">
        <v>3.0</v>
      </c>
      <c r="W26" s="35" t="s">
        <v>28</v>
      </c>
      <c r="X26" s="36" t="s">
        <v>32</v>
      </c>
      <c r="Y26" s="1"/>
      <c r="Z26" s="32" t="s">
        <v>78</v>
      </c>
      <c r="AA26" s="33"/>
      <c r="AB26" s="34">
        <v>3.0</v>
      </c>
      <c r="AC26" s="35" t="s">
        <v>28</v>
      </c>
      <c r="AD26" s="36" t="s">
        <v>32</v>
      </c>
      <c r="AE26" s="1"/>
      <c r="AF26" s="32" t="s">
        <v>78</v>
      </c>
      <c r="AG26" s="33"/>
      <c r="AH26" s="34">
        <v>3.0</v>
      </c>
      <c r="AI26" s="53" t="s">
        <v>32</v>
      </c>
      <c r="AJ26" s="36" t="s">
        <v>32</v>
      </c>
      <c r="AK26" s="1"/>
      <c r="AL26" s="32" t="s">
        <v>78</v>
      </c>
      <c r="AM26" s="33"/>
      <c r="AN26" s="34">
        <v>3.0</v>
      </c>
      <c r="AO26" s="35" t="s">
        <v>28</v>
      </c>
      <c r="AP26" s="36" t="s">
        <v>32</v>
      </c>
      <c r="AQ26" s="1"/>
      <c r="AR26" s="32" t="s">
        <v>78</v>
      </c>
      <c r="AS26" s="33"/>
      <c r="AT26" s="34">
        <v>3.0</v>
      </c>
      <c r="AU26" s="35" t="s">
        <v>28</v>
      </c>
      <c r="AV26" s="36" t="s">
        <v>32</v>
      </c>
      <c r="AW26" s="1"/>
      <c r="AX26" s="32" t="s">
        <v>78</v>
      </c>
      <c r="AY26" s="33"/>
      <c r="AZ26" s="34">
        <v>3.0</v>
      </c>
      <c r="BA26" s="35" t="s">
        <v>28</v>
      </c>
      <c r="BB26" s="36" t="s">
        <v>32</v>
      </c>
      <c r="BC26" s="1"/>
      <c r="BD26" s="32" t="s">
        <v>78</v>
      </c>
      <c r="BE26" s="33"/>
      <c r="BF26" s="34">
        <v>3.0</v>
      </c>
      <c r="BG26" s="35" t="s">
        <v>28</v>
      </c>
      <c r="BH26" s="36" t="s">
        <v>32</v>
      </c>
      <c r="BI26" s="1"/>
      <c r="BJ26" s="32" t="s">
        <v>78</v>
      </c>
      <c r="BK26" s="33"/>
      <c r="BL26" s="34">
        <v>3.0</v>
      </c>
      <c r="BM26" s="35" t="s">
        <v>28</v>
      </c>
      <c r="BN26" s="36" t="s">
        <v>32</v>
      </c>
      <c r="BO26" s="1"/>
      <c r="BP26" s="32" t="s">
        <v>78</v>
      </c>
      <c r="BQ26" s="33"/>
      <c r="BR26" s="34">
        <v>3.0</v>
      </c>
      <c r="BS26" s="35" t="s">
        <v>28</v>
      </c>
      <c r="BT26" s="36" t="s">
        <v>32</v>
      </c>
      <c r="BU26" s="4"/>
    </row>
    <row r="27">
      <c r="A27" s="1"/>
      <c r="B27" s="32" t="s">
        <v>79</v>
      </c>
      <c r="C27" s="33">
        <v>787.04</v>
      </c>
      <c r="D27" s="34">
        <v>25.0</v>
      </c>
      <c r="E27" s="35" t="s">
        <v>32</v>
      </c>
      <c r="F27" s="36" t="s">
        <v>32</v>
      </c>
      <c r="G27" s="1"/>
      <c r="H27" s="32" t="s">
        <v>80</v>
      </c>
      <c r="I27" s="33"/>
      <c r="J27" s="34">
        <v>25.0</v>
      </c>
      <c r="K27" s="35" t="s">
        <v>32</v>
      </c>
      <c r="L27" s="36" t="s">
        <v>32</v>
      </c>
      <c r="M27" s="1"/>
      <c r="N27" s="32" t="s">
        <v>79</v>
      </c>
      <c r="O27" s="33"/>
      <c r="P27" s="34">
        <v>30.0</v>
      </c>
      <c r="Q27" s="35" t="s">
        <v>32</v>
      </c>
      <c r="R27" s="36" t="s">
        <v>32</v>
      </c>
      <c r="S27" s="1"/>
      <c r="T27" s="32" t="s">
        <v>79</v>
      </c>
      <c r="U27" s="33"/>
      <c r="V27" s="34">
        <v>30.0</v>
      </c>
      <c r="W27" s="35" t="s">
        <v>32</v>
      </c>
      <c r="X27" s="36" t="s">
        <v>32</v>
      </c>
      <c r="Y27" s="1"/>
      <c r="Z27" s="32" t="s">
        <v>79</v>
      </c>
      <c r="AA27" s="33"/>
      <c r="AB27" s="34">
        <v>30.0</v>
      </c>
      <c r="AC27" s="35" t="s">
        <v>32</v>
      </c>
      <c r="AD27" s="36" t="s">
        <v>32</v>
      </c>
      <c r="AE27" s="1"/>
      <c r="AF27" s="32" t="s">
        <v>79</v>
      </c>
      <c r="AG27" s="33"/>
      <c r="AH27" s="34">
        <v>25.0</v>
      </c>
      <c r="AI27" s="35" t="s">
        <v>32</v>
      </c>
      <c r="AJ27" s="36" t="s">
        <v>32</v>
      </c>
      <c r="AK27" s="1"/>
      <c r="AL27" s="32" t="s">
        <v>79</v>
      </c>
      <c r="AM27" s="33"/>
      <c r="AN27" s="34">
        <v>30.0</v>
      </c>
      <c r="AO27" s="35" t="s">
        <v>32</v>
      </c>
      <c r="AP27" s="36" t="s">
        <v>32</v>
      </c>
      <c r="AQ27" s="1"/>
      <c r="AR27" s="32" t="s">
        <v>79</v>
      </c>
      <c r="AS27" s="33"/>
      <c r="AT27" s="34">
        <v>25.0</v>
      </c>
      <c r="AU27" s="35" t="s">
        <v>32</v>
      </c>
      <c r="AV27" s="36" t="s">
        <v>32</v>
      </c>
      <c r="AW27" s="1"/>
      <c r="AX27" s="32" t="s">
        <v>79</v>
      </c>
      <c r="AY27" s="33"/>
      <c r="AZ27" s="34">
        <v>30.0</v>
      </c>
      <c r="BA27" s="35" t="s">
        <v>32</v>
      </c>
      <c r="BB27" s="36" t="s">
        <v>32</v>
      </c>
      <c r="BC27" s="1"/>
      <c r="BD27" s="32" t="s">
        <v>79</v>
      </c>
      <c r="BE27" s="33"/>
      <c r="BF27" s="34">
        <v>25.0</v>
      </c>
      <c r="BG27" s="35" t="s">
        <v>32</v>
      </c>
      <c r="BH27" s="36" t="s">
        <v>32</v>
      </c>
      <c r="BI27" s="1"/>
      <c r="BJ27" s="32" t="s">
        <v>79</v>
      </c>
      <c r="BK27" s="33"/>
      <c r="BL27" s="34">
        <v>30.0</v>
      </c>
      <c r="BM27" s="35" t="s">
        <v>32</v>
      </c>
      <c r="BN27" s="36" t="s">
        <v>32</v>
      </c>
      <c r="BO27" s="1"/>
      <c r="BP27" s="32" t="s">
        <v>79</v>
      </c>
      <c r="BQ27" s="54"/>
      <c r="BR27" s="34">
        <v>25.0</v>
      </c>
      <c r="BS27" s="35" t="s">
        <v>32</v>
      </c>
      <c r="BT27" s="36" t="s">
        <v>32</v>
      </c>
      <c r="BU27" s="4"/>
    </row>
    <row r="28">
      <c r="A28" s="1"/>
      <c r="B28" s="32" t="s">
        <v>81</v>
      </c>
      <c r="C28" s="33">
        <v>1500.0</v>
      </c>
      <c r="D28" s="34">
        <v>30.0</v>
      </c>
      <c r="E28" s="35" t="s">
        <v>28</v>
      </c>
      <c r="F28" s="36" t="s">
        <v>32</v>
      </c>
      <c r="G28" s="1"/>
      <c r="H28" s="32" t="s">
        <v>81</v>
      </c>
      <c r="I28" s="33"/>
      <c r="J28" s="34">
        <v>30.0</v>
      </c>
      <c r="K28" s="35" t="s">
        <v>28</v>
      </c>
      <c r="L28" s="36" t="s">
        <v>32</v>
      </c>
      <c r="M28" s="1"/>
      <c r="N28" s="32" t="s">
        <v>81</v>
      </c>
      <c r="O28" s="33"/>
      <c r="P28" s="34">
        <v>30.0</v>
      </c>
      <c r="Q28" s="35" t="s">
        <v>28</v>
      </c>
      <c r="R28" s="36" t="s">
        <v>32</v>
      </c>
      <c r="S28" s="1"/>
      <c r="T28" s="32" t="s">
        <v>81</v>
      </c>
      <c r="U28" s="33"/>
      <c r="V28" s="34">
        <v>30.0</v>
      </c>
      <c r="W28" s="35" t="s">
        <v>28</v>
      </c>
      <c r="X28" s="36" t="s">
        <v>32</v>
      </c>
      <c r="Y28" s="1"/>
      <c r="Z28" s="32" t="s">
        <v>81</v>
      </c>
      <c r="AA28" s="33"/>
      <c r="AB28" s="34">
        <v>30.0</v>
      </c>
      <c r="AC28" s="35" t="s">
        <v>28</v>
      </c>
      <c r="AD28" s="36" t="s">
        <v>32</v>
      </c>
      <c r="AE28" s="1"/>
      <c r="AF28" s="32" t="s">
        <v>81</v>
      </c>
      <c r="AG28" s="33"/>
      <c r="AH28" s="34">
        <v>30.0</v>
      </c>
      <c r="AI28" s="35" t="s">
        <v>28</v>
      </c>
      <c r="AJ28" s="36" t="s">
        <v>32</v>
      </c>
      <c r="AK28" s="1"/>
      <c r="AL28" s="32" t="s">
        <v>81</v>
      </c>
      <c r="AM28" s="33"/>
      <c r="AN28" s="34">
        <v>30.0</v>
      </c>
      <c r="AO28" s="35" t="s">
        <v>28</v>
      </c>
      <c r="AP28" s="36" t="s">
        <v>32</v>
      </c>
      <c r="AQ28" s="1"/>
      <c r="AR28" s="32" t="s">
        <v>81</v>
      </c>
      <c r="AS28" s="33"/>
      <c r="AT28" s="34">
        <v>30.0</v>
      </c>
      <c r="AU28" s="35" t="s">
        <v>28</v>
      </c>
      <c r="AV28" s="36" t="s">
        <v>32</v>
      </c>
      <c r="AW28" s="1"/>
      <c r="AX28" s="32" t="s">
        <v>81</v>
      </c>
      <c r="AY28" s="33"/>
      <c r="AZ28" s="34">
        <v>30.0</v>
      </c>
      <c r="BA28" s="35" t="s">
        <v>28</v>
      </c>
      <c r="BB28" s="36" t="s">
        <v>32</v>
      </c>
      <c r="BC28" s="1"/>
      <c r="BD28" s="32" t="s">
        <v>81</v>
      </c>
      <c r="BE28" s="33"/>
      <c r="BF28" s="34">
        <v>30.0</v>
      </c>
      <c r="BG28" s="35" t="s">
        <v>28</v>
      </c>
      <c r="BH28" s="36" t="s">
        <v>32</v>
      </c>
      <c r="BI28" s="1"/>
      <c r="BJ28" s="32" t="s">
        <v>82</v>
      </c>
      <c r="BK28" s="33"/>
      <c r="BL28" s="34">
        <v>30.0</v>
      </c>
      <c r="BM28" s="35" t="s">
        <v>28</v>
      </c>
      <c r="BN28" s="36" t="s">
        <v>32</v>
      </c>
      <c r="BO28" s="1"/>
      <c r="BP28" s="32" t="s">
        <v>81</v>
      </c>
      <c r="BQ28" s="33"/>
      <c r="BR28" s="34">
        <v>30.0</v>
      </c>
      <c r="BS28" s="35" t="s">
        <v>28</v>
      </c>
      <c r="BT28" s="36" t="s">
        <v>32</v>
      </c>
      <c r="BU28" s="4"/>
    </row>
    <row r="29">
      <c r="A29" s="1"/>
      <c r="B29" s="32" t="s">
        <v>83</v>
      </c>
      <c r="C29" s="33">
        <v>1071.61</v>
      </c>
      <c r="D29" s="34">
        <v>30.0</v>
      </c>
      <c r="E29" s="35" t="s">
        <v>28</v>
      </c>
      <c r="F29" s="36" t="s">
        <v>32</v>
      </c>
      <c r="G29" s="1"/>
      <c r="H29" s="32" t="s">
        <v>83</v>
      </c>
      <c r="I29" s="33"/>
      <c r="J29" s="34">
        <v>30.0</v>
      </c>
      <c r="K29" s="35" t="s">
        <v>28</v>
      </c>
      <c r="L29" s="36" t="s">
        <v>32</v>
      </c>
      <c r="M29" s="1"/>
      <c r="N29" s="32" t="s">
        <v>83</v>
      </c>
      <c r="O29" s="33"/>
      <c r="P29" s="34">
        <v>30.0</v>
      </c>
      <c r="Q29" s="35" t="s">
        <v>28</v>
      </c>
      <c r="R29" s="36" t="s">
        <v>32</v>
      </c>
      <c r="S29" s="1"/>
      <c r="T29" s="32" t="s">
        <v>83</v>
      </c>
      <c r="U29" s="33"/>
      <c r="V29" s="34">
        <v>30.0</v>
      </c>
      <c r="W29" s="35" t="s">
        <v>28</v>
      </c>
      <c r="X29" s="36" t="s">
        <v>32</v>
      </c>
      <c r="Y29" s="1"/>
      <c r="Z29" s="32" t="s">
        <v>83</v>
      </c>
      <c r="AA29" s="33"/>
      <c r="AB29" s="34">
        <v>30.0</v>
      </c>
      <c r="AC29" s="35" t="s">
        <v>28</v>
      </c>
      <c r="AD29" s="36" t="s">
        <v>32</v>
      </c>
      <c r="AE29" s="1"/>
      <c r="AF29" s="32" t="s">
        <v>83</v>
      </c>
      <c r="AG29" s="33"/>
      <c r="AH29" s="34">
        <v>30.0</v>
      </c>
      <c r="AI29" s="35" t="s">
        <v>28</v>
      </c>
      <c r="AJ29" s="36" t="s">
        <v>32</v>
      </c>
      <c r="AK29" s="1"/>
      <c r="AL29" s="32" t="s">
        <v>83</v>
      </c>
      <c r="AM29" s="33"/>
      <c r="AN29" s="34">
        <v>30.0</v>
      </c>
      <c r="AO29" s="35" t="s">
        <v>28</v>
      </c>
      <c r="AP29" s="36" t="s">
        <v>32</v>
      </c>
      <c r="AQ29" s="1"/>
      <c r="AR29" s="32" t="s">
        <v>83</v>
      </c>
      <c r="AS29" s="33"/>
      <c r="AT29" s="34">
        <v>30.0</v>
      </c>
      <c r="AU29" s="35" t="s">
        <v>28</v>
      </c>
      <c r="AV29" s="36" t="s">
        <v>32</v>
      </c>
      <c r="AW29" s="1"/>
      <c r="AX29" s="32" t="s">
        <v>83</v>
      </c>
      <c r="AY29" s="33"/>
      <c r="AZ29" s="34">
        <v>30.0</v>
      </c>
      <c r="BA29" s="35" t="s">
        <v>28</v>
      </c>
      <c r="BB29" s="36" t="s">
        <v>32</v>
      </c>
      <c r="BC29" s="1"/>
      <c r="BD29" s="32" t="s">
        <v>83</v>
      </c>
      <c r="BE29" s="33"/>
      <c r="BF29" s="34">
        <v>30.0</v>
      </c>
      <c r="BG29" s="35" t="s">
        <v>28</v>
      </c>
      <c r="BH29" s="36" t="s">
        <v>32</v>
      </c>
      <c r="BI29" s="1"/>
      <c r="BJ29" s="32" t="s">
        <v>83</v>
      </c>
      <c r="BK29" s="33"/>
      <c r="BL29" s="34">
        <v>30.0</v>
      </c>
      <c r="BM29" s="35" t="s">
        <v>28</v>
      </c>
      <c r="BN29" s="36" t="s">
        <v>32</v>
      </c>
      <c r="BO29" s="1"/>
      <c r="BP29" s="32" t="s">
        <v>83</v>
      </c>
      <c r="BQ29" s="33"/>
      <c r="BR29" s="34">
        <v>30.0</v>
      </c>
      <c r="BS29" s="35" t="s">
        <v>28</v>
      </c>
      <c r="BT29" s="36" t="s">
        <v>32</v>
      </c>
      <c r="BU29" s="4"/>
    </row>
    <row r="30">
      <c r="A30" s="1"/>
      <c r="B30" s="55" t="s">
        <v>84</v>
      </c>
      <c r="C30" s="56">
        <v>2400.57</v>
      </c>
      <c r="D30" s="34">
        <v>30.0</v>
      </c>
      <c r="E30" s="57" t="s">
        <v>32</v>
      </c>
      <c r="F30" s="58" t="s">
        <v>32</v>
      </c>
      <c r="G30" s="1"/>
      <c r="H30" s="55" t="s">
        <v>84</v>
      </c>
      <c r="I30" s="56"/>
      <c r="J30" s="34">
        <v>30.0</v>
      </c>
      <c r="K30" s="57" t="s">
        <v>32</v>
      </c>
      <c r="L30" s="58" t="s">
        <v>32</v>
      </c>
      <c r="M30" s="1"/>
      <c r="N30" s="55" t="s">
        <v>84</v>
      </c>
      <c r="O30" s="56"/>
      <c r="P30" s="34">
        <v>30.0</v>
      </c>
      <c r="Q30" s="57" t="s">
        <v>32</v>
      </c>
      <c r="R30" s="58" t="s">
        <v>32</v>
      </c>
      <c r="S30" s="1"/>
      <c r="T30" s="55" t="s">
        <v>84</v>
      </c>
      <c r="U30" s="56"/>
      <c r="V30" s="34">
        <v>30.0</v>
      </c>
      <c r="W30" s="57" t="s">
        <v>32</v>
      </c>
      <c r="X30" s="58" t="s">
        <v>32</v>
      </c>
      <c r="Y30" s="1"/>
      <c r="Z30" s="55" t="s">
        <v>84</v>
      </c>
      <c r="AA30" s="56"/>
      <c r="AB30" s="34">
        <v>30.0</v>
      </c>
      <c r="AC30" s="57" t="s">
        <v>32</v>
      </c>
      <c r="AD30" s="58" t="s">
        <v>32</v>
      </c>
      <c r="AE30" s="1"/>
      <c r="AF30" s="55" t="s">
        <v>84</v>
      </c>
      <c r="AG30" s="56"/>
      <c r="AH30" s="34">
        <v>30.0</v>
      </c>
      <c r="AI30" s="57" t="s">
        <v>32</v>
      </c>
      <c r="AJ30" s="58" t="s">
        <v>32</v>
      </c>
      <c r="AK30" s="1"/>
      <c r="AL30" s="55" t="s">
        <v>84</v>
      </c>
      <c r="AM30" s="56"/>
      <c r="AN30" s="34">
        <v>30.0</v>
      </c>
      <c r="AO30" s="57" t="s">
        <v>32</v>
      </c>
      <c r="AP30" s="58" t="s">
        <v>32</v>
      </c>
      <c r="AQ30" s="1"/>
      <c r="AR30" s="55" t="s">
        <v>84</v>
      </c>
      <c r="AS30" s="56"/>
      <c r="AT30" s="34">
        <v>30.0</v>
      </c>
      <c r="AU30" s="57" t="s">
        <v>32</v>
      </c>
      <c r="AV30" s="58" t="s">
        <v>32</v>
      </c>
      <c r="AW30" s="1"/>
      <c r="AX30" s="55" t="s">
        <v>84</v>
      </c>
      <c r="AY30" s="56"/>
      <c r="AZ30" s="34">
        <v>30.0</v>
      </c>
      <c r="BA30" s="57" t="s">
        <v>32</v>
      </c>
      <c r="BB30" s="58" t="s">
        <v>32</v>
      </c>
      <c r="BC30" s="1"/>
      <c r="BD30" s="55" t="s">
        <v>84</v>
      </c>
      <c r="BE30" s="56"/>
      <c r="BF30" s="34">
        <v>30.0</v>
      </c>
      <c r="BG30" s="57" t="s">
        <v>32</v>
      </c>
      <c r="BH30" s="58" t="s">
        <v>32</v>
      </c>
      <c r="BI30" s="1"/>
      <c r="BJ30" s="55" t="s">
        <v>84</v>
      </c>
      <c r="BK30" s="56"/>
      <c r="BL30" s="34">
        <v>30.0</v>
      </c>
      <c r="BM30" s="57" t="s">
        <v>32</v>
      </c>
      <c r="BN30" s="58" t="s">
        <v>32</v>
      </c>
      <c r="BO30" s="1"/>
      <c r="BP30" s="55" t="s">
        <v>84</v>
      </c>
      <c r="BQ30" s="56"/>
      <c r="BR30" s="34">
        <v>30.0</v>
      </c>
      <c r="BS30" s="57" t="s">
        <v>32</v>
      </c>
      <c r="BT30" s="58" t="s">
        <v>32</v>
      </c>
      <c r="BU30" s="4"/>
    </row>
    <row r="31">
      <c r="A31" s="1"/>
      <c r="B31" s="36" t="s">
        <v>85</v>
      </c>
      <c r="C31" s="54">
        <v>834.02</v>
      </c>
      <c r="D31" s="39">
        <v>-19.0</v>
      </c>
      <c r="E31" s="35" t="s">
        <v>28</v>
      </c>
      <c r="F31" s="36" t="s">
        <v>32</v>
      </c>
      <c r="G31" s="1"/>
      <c r="H31" s="36" t="s">
        <v>86</v>
      </c>
      <c r="I31" s="54">
        <v>1300.0</v>
      </c>
      <c r="J31" s="39">
        <v>2.0</v>
      </c>
      <c r="K31" s="39" t="s">
        <v>32</v>
      </c>
      <c r="L31" s="36" t="s">
        <v>32</v>
      </c>
      <c r="M31" s="1"/>
      <c r="O31" s="54"/>
      <c r="P31" s="39"/>
      <c r="Q31" s="35"/>
      <c r="S31" s="1"/>
      <c r="U31" s="54"/>
      <c r="V31" s="39"/>
      <c r="W31" s="35"/>
      <c r="Y31" s="1"/>
      <c r="AA31" s="54"/>
      <c r="AB31" s="39"/>
      <c r="AC31" s="35"/>
      <c r="AE31" s="1"/>
      <c r="AG31" s="54"/>
      <c r="AH31" s="39"/>
      <c r="AI31" s="35"/>
      <c r="AK31" s="1"/>
      <c r="AM31" s="54"/>
      <c r="AN31" s="39"/>
      <c r="AO31" s="35"/>
      <c r="AQ31" s="1"/>
      <c r="AS31" s="54"/>
      <c r="AT31" s="39"/>
      <c r="AU31" s="35"/>
      <c r="AW31" s="1"/>
      <c r="AY31" s="54"/>
      <c r="AZ31" s="39"/>
      <c r="BA31" s="35"/>
      <c r="BC31" s="1"/>
      <c r="BE31" s="54"/>
      <c r="BF31" s="39"/>
      <c r="BG31" s="35"/>
      <c r="BI31" s="1"/>
      <c r="BK31" s="54"/>
      <c r="BL31" s="39"/>
      <c r="BM31" s="35"/>
      <c r="BO31" s="1"/>
      <c r="BQ31" s="54"/>
      <c r="BR31" s="39"/>
      <c r="BS31" s="35"/>
      <c r="BU31" s="4"/>
    </row>
    <row r="32">
      <c r="A32" s="1"/>
      <c r="B32" s="36" t="s">
        <v>87</v>
      </c>
      <c r="C32" s="54">
        <v>599.28</v>
      </c>
      <c r="D32" s="39">
        <v>-19.0</v>
      </c>
      <c r="E32" s="35" t="s">
        <v>28</v>
      </c>
      <c r="F32" s="36" t="s">
        <v>32</v>
      </c>
      <c r="G32" s="1"/>
      <c r="H32" s="36" t="s">
        <v>88</v>
      </c>
      <c r="I32" s="54">
        <v>30.0</v>
      </c>
      <c r="J32" s="39">
        <v>2.0</v>
      </c>
      <c r="K32" s="39" t="s">
        <v>32</v>
      </c>
      <c r="L32" s="36" t="s">
        <v>32</v>
      </c>
      <c r="M32" s="1"/>
      <c r="O32" s="54"/>
      <c r="P32" s="39"/>
      <c r="Q32" s="35"/>
      <c r="S32" s="1"/>
      <c r="U32" s="54"/>
      <c r="V32" s="39"/>
      <c r="W32" s="35"/>
      <c r="Y32" s="1"/>
      <c r="AA32" s="54"/>
      <c r="AB32" s="39"/>
      <c r="AC32" s="35"/>
      <c r="AE32" s="1"/>
      <c r="AG32" s="54"/>
      <c r="AH32" s="39"/>
      <c r="AI32" s="35"/>
      <c r="AK32" s="1"/>
      <c r="AM32" s="54"/>
      <c r="AN32" s="39"/>
      <c r="AO32" s="35"/>
      <c r="AQ32" s="1"/>
      <c r="AS32" s="54"/>
      <c r="AT32" s="39"/>
      <c r="AU32" s="35"/>
      <c r="AW32" s="1"/>
      <c r="AY32" s="54"/>
      <c r="AZ32" s="39"/>
      <c r="BA32" s="35"/>
      <c r="BC32" s="1"/>
      <c r="BE32" s="54"/>
      <c r="BF32" s="39"/>
      <c r="BG32" s="35"/>
      <c r="BI32" s="1"/>
      <c r="BK32" s="59"/>
      <c r="BL32" s="39"/>
      <c r="BM32" s="35"/>
      <c r="BO32" s="1"/>
      <c r="BQ32" s="54"/>
      <c r="BR32" s="39"/>
      <c r="BS32" s="35"/>
      <c r="BU32" s="4"/>
    </row>
    <row r="33">
      <c r="A33" s="1"/>
      <c r="B33" s="36" t="s">
        <v>89</v>
      </c>
      <c r="C33" s="54">
        <v>100.0</v>
      </c>
      <c r="D33" s="39">
        <v>1.0</v>
      </c>
      <c r="E33" s="35" t="s">
        <v>28</v>
      </c>
      <c r="F33" s="36" t="s">
        <v>34</v>
      </c>
      <c r="G33" s="1"/>
      <c r="H33" s="36" t="s">
        <v>90</v>
      </c>
      <c r="I33" s="54">
        <v>90.0</v>
      </c>
      <c r="J33" s="39">
        <v>2.0</v>
      </c>
      <c r="K33" s="39" t="s">
        <v>28</v>
      </c>
      <c r="L33" s="36" t="s">
        <v>32</v>
      </c>
      <c r="M33" s="1"/>
      <c r="O33" s="54"/>
      <c r="P33" s="39"/>
      <c r="Q33" s="35"/>
      <c r="S33" s="1"/>
      <c r="U33" s="54"/>
      <c r="V33" s="39"/>
      <c r="W33" s="35"/>
      <c r="Y33" s="1"/>
      <c r="AA33" s="54"/>
      <c r="AB33" s="39"/>
      <c r="AC33" s="35"/>
      <c r="AE33" s="1"/>
      <c r="AG33" s="54"/>
      <c r="AH33" s="39"/>
      <c r="AI33" s="35"/>
      <c r="AK33" s="1"/>
      <c r="AM33" s="54"/>
      <c r="AN33" s="39"/>
      <c r="AO33" s="35"/>
      <c r="AQ33" s="1"/>
      <c r="AS33" s="54"/>
      <c r="AT33" s="39"/>
      <c r="AU33" s="35"/>
      <c r="AW33" s="1"/>
      <c r="AY33" s="54"/>
      <c r="AZ33" s="39"/>
      <c r="BA33" s="35"/>
      <c r="BC33" s="1"/>
      <c r="BE33" s="54"/>
      <c r="BF33" s="39"/>
      <c r="BG33" s="35"/>
      <c r="BI33" s="1"/>
      <c r="BK33" s="59"/>
      <c r="BL33" s="39"/>
      <c r="BM33" s="35"/>
      <c r="BO33" s="1"/>
      <c r="BQ33" s="54"/>
      <c r="BR33" s="39"/>
      <c r="BS33" s="35"/>
      <c r="BU33" s="4"/>
    </row>
    <row r="34">
      <c r="A34" s="1"/>
      <c r="B34" s="36" t="s">
        <v>91</v>
      </c>
      <c r="C34" s="54">
        <v>50.0</v>
      </c>
      <c r="D34" s="39">
        <v>2.0</v>
      </c>
      <c r="E34" s="35" t="s">
        <v>28</v>
      </c>
      <c r="F34" s="36" t="s">
        <v>32</v>
      </c>
      <c r="G34" s="1"/>
      <c r="H34" s="36" t="s">
        <v>92</v>
      </c>
      <c r="I34" s="54">
        <v>99.9</v>
      </c>
      <c r="J34" s="39">
        <v>2.0</v>
      </c>
      <c r="K34" s="39" t="s">
        <v>32</v>
      </c>
      <c r="L34" s="36" t="s">
        <v>32</v>
      </c>
      <c r="M34" s="1"/>
      <c r="O34" s="54"/>
      <c r="P34" s="39"/>
      <c r="Q34" s="35"/>
      <c r="S34" s="1"/>
      <c r="U34" s="54"/>
      <c r="V34" s="39"/>
      <c r="W34" s="35"/>
      <c r="Y34" s="1"/>
      <c r="AA34" s="54"/>
      <c r="AB34" s="39"/>
      <c r="AC34" s="35"/>
      <c r="AE34" s="1"/>
      <c r="AG34" s="54"/>
      <c r="AH34" s="39"/>
      <c r="AI34" s="35"/>
      <c r="AK34" s="1"/>
      <c r="AM34" s="54"/>
      <c r="AN34" s="39"/>
      <c r="AO34" s="35"/>
      <c r="AQ34" s="1"/>
      <c r="AS34" s="54"/>
      <c r="AT34" s="39"/>
      <c r="AU34" s="35"/>
      <c r="AW34" s="1"/>
      <c r="AY34" s="54"/>
      <c r="AZ34" s="39"/>
      <c r="BA34" s="35"/>
      <c r="BC34" s="1"/>
      <c r="BE34" s="54"/>
      <c r="BF34" s="39"/>
      <c r="BG34" s="35"/>
      <c r="BI34" s="1"/>
      <c r="BK34" s="59"/>
      <c r="BL34" s="39"/>
      <c r="BM34" s="35"/>
      <c r="BO34" s="1"/>
      <c r="BQ34" s="54"/>
      <c r="BR34" s="39"/>
      <c r="BS34" s="35"/>
      <c r="BU34" s="4"/>
    </row>
    <row r="35">
      <c r="A35" s="1"/>
      <c r="B35" s="36" t="s">
        <v>93</v>
      </c>
      <c r="C35" s="54">
        <v>300.0</v>
      </c>
      <c r="D35" s="39">
        <v>2.0</v>
      </c>
      <c r="E35" s="35" t="s">
        <v>28</v>
      </c>
      <c r="F35" s="36" t="s">
        <v>32</v>
      </c>
      <c r="G35" s="1"/>
      <c r="H35" s="36" t="s">
        <v>94</v>
      </c>
      <c r="I35" s="54">
        <v>30.0</v>
      </c>
      <c r="J35" s="39">
        <v>5.0</v>
      </c>
      <c r="K35" s="39" t="s">
        <v>28</v>
      </c>
      <c r="L35" s="36" t="s">
        <v>32</v>
      </c>
      <c r="M35" s="1"/>
      <c r="O35" s="54"/>
      <c r="P35" s="39"/>
      <c r="Q35" s="35"/>
      <c r="S35" s="1"/>
      <c r="U35" s="54"/>
      <c r="V35" s="39"/>
      <c r="W35" s="35"/>
      <c r="Y35" s="1"/>
      <c r="AA35" s="54"/>
      <c r="AB35" s="39"/>
      <c r="AC35" s="35"/>
      <c r="AE35" s="1"/>
      <c r="AG35" s="54"/>
      <c r="AH35" s="39"/>
      <c r="AI35" s="35"/>
      <c r="AK35" s="1"/>
      <c r="AM35" s="54"/>
      <c r="AN35" s="39"/>
      <c r="AO35" s="35"/>
      <c r="AQ35" s="1"/>
      <c r="AS35" s="54"/>
      <c r="AT35" s="39"/>
      <c r="AU35" s="35"/>
      <c r="AW35" s="1"/>
      <c r="AY35" s="54"/>
      <c r="AZ35" s="39"/>
      <c r="BA35" s="35"/>
      <c r="BC35" s="1"/>
      <c r="BE35" s="54"/>
      <c r="BF35" s="39"/>
      <c r="BG35" s="35"/>
      <c r="BI35" s="1"/>
      <c r="BK35" s="59"/>
      <c r="BL35" s="39"/>
      <c r="BM35" s="35"/>
      <c r="BO35" s="1"/>
      <c r="BQ35" s="54"/>
      <c r="BR35" s="39"/>
      <c r="BS35" s="35"/>
      <c r="BU35" s="4"/>
    </row>
    <row r="36">
      <c r="A36" s="1"/>
      <c r="B36" s="36" t="s">
        <v>95</v>
      </c>
      <c r="C36" s="54">
        <v>50.0</v>
      </c>
      <c r="D36" s="39">
        <v>2.0</v>
      </c>
      <c r="E36" s="35" t="s">
        <v>28</v>
      </c>
      <c r="F36" s="36" t="s">
        <v>32</v>
      </c>
      <c r="G36" s="1"/>
      <c r="H36" s="36" t="s">
        <v>96</v>
      </c>
      <c r="I36" s="60">
        <v>200.0</v>
      </c>
      <c r="J36" s="39">
        <v>6.0</v>
      </c>
      <c r="K36" s="39" t="s">
        <v>28</v>
      </c>
      <c r="L36" s="36" t="s">
        <v>32</v>
      </c>
      <c r="M36" s="1"/>
      <c r="N36" s="61"/>
      <c r="O36" s="54"/>
      <c r="P36" s="39"/>
      <c r="Q36" s="35"/>
      <c r="S36" s="1"/>
      <c r="U36" s="54"/>
      <c r="V36" s="39"/>
      <c r="W36" s="35"/>
      <c r="Y36" s="1"/>
      <c r="AA36" s="54"/>
      <c r="AB36" s="39"/>
      <c r="AC36" s="35"/>
      <c r="AE36" s="1"/>
      <c r="AG36" s="54"/>
      <c r="AH36" s="39"/>
      <c r="AI36" s="35"/>
      <c r="AK36" s="1"/>
      <c r="AM36" s="54"/>
      <c r="AN36" s="39"/>
      <c r="AO36" s="35"/>
      <c r="AQ36" s="1"/>
      <c r="AS36" s="54"/>
      <c r="AT36" s="39"/>
      <c r="AU36" s="35"/>
      <c r="AW36" s="1"/>
      <c r="AY36" s="54"/>
      <c r="AZ36" s="39"/>
      <c r="BA36" s="35"/>
      <c r="BC36" s="1"/>
      <c r="BE36" s="54"/>
      <c r="BF36" s="39"/>
      <c r="BG36" s="35"/>
      <c r="BI36" s="1"/>
      <c r="BK36" s="59"/>
      <c r="BL36" s="39"/>
      <c r="BM36" s="35"/>
      <c r="BO36" s="1"/>
      <c r="BQ36" s="54"/>
      <c r="BR36" s="39"/>
      <c r="BS36" s="35"/>
      <c r="BU36" s="4"/>
    </row>
    <row r="37">
      <c r="A37" s="1"/>
      <c r="B37" s="36" t="s">
        <v>92</v>
      </c>
      <c r="C37" s="54">
        <v>15.0</v>
      </c>
      <c r="D37" s="39">
        <v>5.0</v>
      </c>
      <c r="E37" s="35" t="s">
        <v>32</v>
      </c>
      <c r="F37" s="36" t="s">
        <v>32</v>
      </c>
      <c r="G37" s="1"/>
      <c r="H37" s="36" t="s">
        <v>97</v>
      </c>
      <c r="I37" s="54">
        <v>24.15</v>
      </c>
      <c r="J37" s="39">
        <v>8.0</v>
      </c>
      <c r="K37" s="39" t="s">
        <v>32</v>
      </c>
      <c r="L37" s="36" t="s">
        <v>32</v>
      </c>
      <c r="M37" s="1"/>
      <c r="O37" s="54"/>
      <c r="P37" s="39"/>
      <c r="Q37" s="35"/>
      <c r="S37" s="1"/>
      <c r="U37" s="54"/>
      <c r="V37" s="39"/>
      <c r="W37" s="35"/>
      <c r="Y37" s="1"/>
      <c r="AA37" s="54"/>
      <c r="AB37" s="39"/>
      <c r="AC37" s="35"/>
      <c r="AE37" s="1"/>
      <c r="AG37" s="54"/>
      <c r="AH37" s="39"/>
      <c r="AI37" s="35"/>
      <c r="AK37" s="1"/>
      <c r="AM37" s="54"/>
      <c r="AN37" s="39"/>
      <c r="AO37" s="35"/>
      <c r="AQ37" s="1"/>
      <c r="AS37" s="54"/>
      <c r="AT37" s="39"/>
      <c r="AU37" s="35"/>
      <c r="AW37" s="1"/>
      <c r="AY37" s="54"/>
      <c r="AZ37" s="39"/>
      <c r="BA37" s="35"/>
      <c r="BC37" s="1"/>
      <c r="BE37" s="54"/>
      <c r="BF37" s="39"/>
      <c r="BG37" s="35"/>
      <c r="BI37" s="1"/>
      <c r="BK37" s="59"/>
      <c r="BL37" s="39"/>
      <c r="BM37" s="35"/>
      <c r="BO37" s="1"/>
      <c r="BQ37" s="54"/>
      <c r="BR37" s="39"/>
      <c r="BS37" s="35"/>
      <c r="BU37" s="4"/>
    </row>
    <row r="38">
      <c r="A38" s="1"/>
      <c r="B38" s="36" t="s">
        <v>98</v>
      </c>
      <c r="C38" s="54">
        <v>300.0</v>
      </c>
      <c r="D38" s="39">
        <v>5.0</v>
      </c>
      <c r="E38" s="35" t="s">
        <v>32</v>
      </c>
      <c r="F38" s="36" t="s">
        <v>32</v>
      </c>
      <c r="G38" s="1"/>
      <c r="H38" s="36" t="s">
        <v>99</v>
      </c>
      <c r="I38" s="54">
        <v>2127.74</v>
      </c>
      <c r="J38" s="39">
        <v>10.0</v>
      </c>
      <c r="K38" s="39" t="s">
        <v>32</v>
      </c>
      <c r="L38" s="36" t="s">
        <v>32</v>
      </c>
      <c r="M38" s="1"/>
      <c r="O38" s="54"/>
      <c r="P38" s="39"/>
      <c r="Q38" s="35"/>
      <c r="S38" s="1"/>
      <c r="U38" s="54"/>
      <c r="V38" s="39"/>
      <c r="W38" s="35"/>
      <c r="Y38" s="1"/>
      <c r="AA38" s="54"/>
      <c r="AB38" s="39"/>
      <c r="AC38" s="35"/>
      <c r="AE38" s="1"/>
      <c r="AG38" s="54"/>
      <c r="AH38" s="39"/>
      <c r="AI38" s="35"/>
      <c r="AK38" s="1"/>
      <c r="AM38" s="54"/>
      <c r="AN38" s="39"/>
      <c r="AO38" s="35"/>
      <c r="AQ38" s="1"/>
      <c r="AS38" s="54"/>
      <c r="AT38" s="39"/>
      <c r="AU38" s="35"/>
      <c r="AW38" s="1"/>
      <c r="AY38" s="54"/>
      <c r="AZ38" s="39"/>
      <c r="BA38" s="35"/>
      <c r="BC38" s="1"/>
      <c r="BE38" s="54"/>
      <c r="BF38" s="39"/>
      <c r="BG38" s="35"/>
      <c r="BI38" s="1"/>
      <c r="BK38" s="59"/>
      <c r="BL38" s="39"/>
      <c r="BM38" s="35"/>
      <c r="BO38" s="1"/>
      <c r="BQ38" s="54"/>
      <c r="BR38" s="39"/>
      <c r="BS38" s="35"/>
      <c r="BU38" s="4"/>
    </row>
    <row r="39">
      <c r="A39" s="1"/>
      <c r="B39" s="36" t="s">
        <v>100</v>
      </c>
      <c r="C39" s="54">
        <v>30.0</v>
      </c>
      <c r="D39" s="39">
        <v>5.0</v>
      </c>
      <c r="E39" s="35" t="s">
        <v>32</v>
      </c>
      <c r="F39" s="36" t="s">
        <v>32</v>
      </c>
      <c r="G39" s="1"/>
      <c r="H39" s="36" t="s">
        <v>101</v>
      </c>
      <c r="I39" s="54">
        <v>11822.41</v>
      </c>
      <c r="J39" s="39">
        <v>10.0</v>
      </c>
      <c r="K39" s="39" t="s">
        <v>28</v>
      </c>
      <c r="L39" s="36" t="s">
        <v>32</v>
      </c>
      <c r="M39" s="1"/>
      <c r="O39" s="54"/>
      <c r="P39" s="39"/>
      <c r="Q39" s="35"/>
      <c r="S39" s="1"/>
      <c r="U39" s="54"/>
      <c r="V39" s="39"/>
      <c r="W39" s="35"/>
      <c r="Y39" s="1"/>
      <c r="AA39" s="54"/>
      <c r="AB39" s="39"/>
      <c r="AC39" s="35"/>
      <c r="AE39" s="1"/>
      <c r="AG39" s="54"/>
      <c r="AH39" s="39"/>
      <c r="AI39" s="35"/>
      <c r="AK39" s="1"/>
      <c r="AM39" s="54"/>
      <c r="AN39" s="39"/>
      <c r="AO39" s="35"/>
      <c r="AQ39" s="1"/>
      <c r="AS39" s="54"/>
      <c r="AT39" s="39"/>
      <c r="AU39" s="35"/>
      <c r="AW39" s="1"/>
      <c r="AY39" s="54"/>
      <c r="AZ39" s="39"/>
      <c r="BA39" s="35"/>
      <c r="BC39" s="1"/>
      <c r="BE39" s="54"/>
      <c r="BF39" s="39"/>
      <c r="BG39" s="35"/>
      <c r="BI39" s="1"/>
      <c r="BK39" s="59"/>
      <c r="BL39" s="39"/>
      <c r="BM39" s="35"/>
      <c r="BO39" s="1"/>
      <c r="BQ39" s="54"/>
      <c r="BR39" s="39"/>
      <c r="BS39" s="35"/>
      <c r="BU39" s="4"/>
    </row>
    <row r="40">
      <c r="A40" s="1"/>
      <c r="B40" s="36" t="s">
        <v>102</v>
      </c>
      <c r="C40" s="54">
        <v>35.0</v>
      </c>
      <c r="D40" s="39">
        <v>6.0</v>
      </c>
      <c r="E40" s="35" t="s">
        <v>34</v>
      </c>
      <c r="F40" s="36" t="s">
        <v>32</v>
      </c>
      <c r="G40" s="1"/>
      <c r="H40" s="36" t="s">
        <v>103</v>
      </c>
      <c r="I40" s="54">
        <v>89.9</v>
      </c>
      <c r="J40" s="39">
        <v>10.0</v>
      </c>
      <c r="K40" s="39" t="s">
        <v>34</v>
      </c>
      <c r="L40" s="36" t="s">
        <v>32</v>
      </c>
      <c r="M40" s="1"/>
      <c r="O40" s="54"/>
      <c r="P40" s="39"/>
      <c r="Q40" s="35"/>
      <c r="S40" s="1"/>
      <c r="U40" s="54"/>
      <c r="V40" s="39"/>
      <c r="W40" s="35"/>
      <c r="Y40" s="1"/>
      <c r="AA40" s="54"/>
      <c r="AB40" s="39"/>
      <c r="AC40" s="35"/>
      <c r="AE40" s="1"/>
      <c r="AG40" s="54"/>
      <c r="AH40" s="39"/>
      <c r="AI40" s="35"/>
      <c r="AK40" s="1"/>
      <c r="AM40" s="54"/>
      <c r="AN40" s="39"/>
      <c r="AO40" s="35"/>
      <c r="AQ40" s="1"/>
      <c r="AS40" s="54"/>
      <c r="AT40" s="39"/>
      <c r="AU40" s="35"/>
      <c r="AW40" s="1"/>
      <c r="AY40" s="54"/>
      <c r="AZ40" s="39"/>
      <c r="BA40" s="35"/>
      <c r="BC40" s="1"/>
      <c r="BE40" s="54"/>
      <c r="BF40" s="39"/>
      <c r="BG40" s="35"/>
      <c r="BI40" s="1"/>
      <c r="BK40" s="59"/>
      <c r="BL40" s="39"/>
      <c r="BM40" s="35"/>
      <c r="BO40" s="1"/>
      <c r="BQ40" s="54"/>
      <c r="BR40" s="39"/>
      <c r="BS40" s="35"/>
      <c r="BU40" s="4"/>
    </row>
    <row r="41">
      <c r="A41" s="1"/>
      <c r="B41" s="36" t="s">
        <v>104</v>
      </c>
      <c r="C41" s="54">
        <v>35.0</v>
      </c>
      <c r="D41" s="39">
        <v>6.0</v>
      </c>
      <c r="E41" s="35" t="s">
        <v>32</v>
      </c>
      <c r="F41" s="36" t="s">
        <v>32</v>
      </c>
      <c r="G41" s="1"/>
      <c r="H41" s="36" t="s">
        <v>88</v>
      </c>
      <c r="I41" s="54">
        <v>33.0</v>
      </c>
      <c r="J41" s="39">
        <v>8.0</v>
      </c>
      <c r="K41" s="39" t="s">
        <v>32</v>
      </c>
      <c r="L41" s="36" t="s">
        <v>32</v>
      </c>
      <c r="M41" s="1"/>
      <c r="O41" s="54"/>
      <c r="P41" s="39"/>
      <c r="Q41" s="35"/>
      <c r="S41" s="1"/>
      <c r="U41" s="54"/>
      <c r="V41" s="39"/>
      <c r="W41" s="35"/>
      <c r="Y41" s="1"/>
      <c r="AA41" s="54"/>
      <c r="AB41" s="39"/>
      <c r="AC41" s="35"/>
      <c r="AE41" s="1"/>
      <c r="AG41" s="54"/>
      <c r="AH41" s="39"/>
      <c r="AI41" s="35"/>
      <c r="AK41" s="1"/>
      <c r="AM41" s="54"/>
      <c r="AN41" s="39"/>
      <c r="AO41" s="35"/>
      <c r="AQ41" s="1"/>
      <c r="AS41" s="54"/>
      <c r="AT41" s="39"/>
      <c r="AU41" s="35"/>
      <c r="AW41" s="1"/>
      <c r="AY41" s="54"/>
      <c r="AZ41" s="39"/>
      <c r="BA41" s="35"/>
      <c r="BC41" s="1"/>
      <c r="BE41" s="54"/>
      <c r="BF41" s="39"/>
      <c r="BG41" s="35"/>
      <c r="BI41" s="1"/>
      <c r="BK41" s="59"/>
      <c r="BL41" s="39"/>
      <c r="BM41" s="35"/>
      <c r="BO41" s="1"/>
      <c r="BQ41" s="54"/>
      <c r="BR41" s="39"/>
      <c r="BS41" s="35"/>
      <c r="BU41" s="4"/>
    </row>
    <row r="42">
      <c r="A42" s="1"/>
      <c r="B42" s="61" t="s">
        <v>92</v>
      </c>
      <c r="C42" s="54">
        <v>71.99</v>
      </c>
      <c r="D42" s="39">
        <v>7.0</v>
      </c>
      <c r="E42" s="35" t="s">
        <v>32</v>
      </c>
      <c r="F42" s="36" t="s">
        <v>32</v>
      </c>
      <c r="G42" s="1"/>
      <c r="H42" s="36" t="s">
        <v>105</v>
      </c>
      <c r="I42" s="54">
        <v>40.0</v>
      </c>
      <c r="J42" s="39">
        <v>8.0</v>
      </c>
      <c r="K42" s="39" t="s">
        <v>28</v>
      </c>
      <c r="L42" s="36" t="s">
        <v>32</v>
      </c>
      <c r="M42" s="1"/>
      <c r="O42" s="54"/>
      <c r="P42" s="39"/>
      <c r="Q42" s="35"/>
      <c r="S42" s="1"/>
      <c r="T42" s="62"/>
      <c r="U42" s="63"/>
      <c r="V42" s="39"/>
      <c r="W42" s="35"/>
      <c r="Y42" s="1"/>
      <c r="AA42" s="54"/>
      <c r="AB42" s="39"/>
      <c r="AC42" s="35"/>
      <c r="AE42" s="1"/>
      <c r="AG42" s="54"/>
      <c r="AH42" s="39"/>
      <c r="AI42" s="35"/>
      <c r="AK42" s="1"/>
      <c r="AM42" s="54"/>
      <c r="AN42" s="39"/>
      <c r="AO42" s="35"/>
      <c r="AQ42" s="1"/>
      <c r="AS42" s="54"/>
      <c r="AT42" s="39"/>
      <c r="AU42" s="35"/>
      <c r="AW42" s="1"/>
      <c r="AY42" s="54"/>
      <c r="AZ42" s="39"/>
      <c r="BA42" s="35"/>
      <c r="BC42" s="1"/>
      <c r="BE42" s="54"/>
      <c r="BF42" s="39"/>
      <c r="BG42" s="35"/>
      <c r="BI42" s="1"/>
      <c r="BK42" s="59"/>
      <c r="BL42" s="39"/>
      <c r="BM42" s="35"/>
      <c r="BO42" s="1"/>
      <c r="BQ42" s="54"/>
      <c r="BR42" s="39"/>
      <c r="BS42" s="35"/>
      <c r="BU42" s="4"/>
    </row>
    <row r="43">
      <c r="A43" s="1"/>
      <c r="B43" s="36" t="s">
        <v>106</v>
      </c>
      <c r="C43" s="54">
        <v>178.0</v>
      </c>
      <c r="D43" s="39">
        <v>7.0</v>
      </c>
      <c r="E43" s="35" t="s">
        <v>32</v>
      </c>
      <c r="F43" s="36" t="s">
        <v>32</v>
      </c>
      <c r="G43" s="1"/>
      <c r="H43" s="36" t="s">
        <v>107</v>
      </c>
      <c r="I43" s="54">
        <v>60.0</v>
      </c>
      <c r="J43" s="39">
        <v>9.0</v>
      </c>
      <c r="K43" s="39" t="s">
        <v>32</v>
      </c>
      <c r="L43" s="36" t="s">
        <v>32</v>
      </c>
      <c r="M43" s="1"/>
      <c r="O43" s="54"/>
      <c r="P43" s="39"/>
      <c r="Q43" s="35"/>
      <c r="S43" s="1"/>
      <c r="U43" s="54"/>
      <c r="V43" s="39"/>
      <c r="W43" s="35"/>
      <c r="Y43" s="1"/>
      <c r="AA43" s="54"/>
      <c r="AB43" s="39"/>
      <c r="AC43" s="35"/>
      <c r="AE43" s="1"/>
      <c r="AG43" s="54"/>
      <c r="AH43" s="39"/>
      <c r="AI43" s="35"/>
      <c r="AK43" s="1"/>
      <c r="AM43" s="54"/>
      <c r="AN43" s="39"/>
      <c r="AO43" s="35"/>
      <c r="AQ43" s="1"/>
      <c r="AS43" s="54"/>
      <c r="AT43" s="39"/>
      <c r="AU43" s="35"/>
      <c r="AW43" s="1"/>
      <c r="AY43" s="54"/>
      <c r="AZ43" s="39"/>
      <c r="BA43" s="35"/>
      <c r="BC43" s="1"/>
      <c r="BE43" s="54"/>
      <c r="BF43" s="39"/>
      <c r="BG43" s="35"/>
      <c r="BI43" s="1"/>
      <c r="BK43" s="59"/>
      <c r="BL43" s="39"/>
      <c r="BM43" s="35"/>
      <c r="BO43" s="1"/>
      <c r="BQ43" s="54"/>
      <c r="BR43" s="39"/>
      <c r="BS43" s="35"/>
      <c r="BU43" s="4"/>
    </row>
    <row r="44">
      <c r="A44" s="1"/>
      <c r="B44" s="36" t="s">
        <v>108</v>
      </c>
      <c r="C44" s="54">
        <v>11.0</v>
      </c>
      <c r="D44" s="39">
        <v>7.0</v>
      </c>
      <c r="E44" s="35" t="s">
        <v>28</v>
      </c>
      <c r="F44" s="36" t="s">
        <v>32</v>
      </c>
      <c r="G44" s="1"/>
      <c r="I44" s="54"/>
      <c r="J44" s="39"/>
      <c r="K44" s="39"/>
      <c r="M44" s="1"/>
      <c r="O44" s="54"/>
      <c r="P44" s="39"/>
      <c r="Q44" s="35"/>
      <c r="S44" s="1"/>
      <c r="U44" s="54"/>
      <c r="V44" s="39"/>
      <c r="W44" s="35"/>
      <c r="Y44" s="1"/>
      <c r="AA44" s="54"/>
      <c r="AB44" s="39"/>
      <c r="AC44" s="35"/>
      <c r="AE44" s="1"/>
      <c r="AG44" s="54"/>
      <c r="AH44" s="39"/>
      <c r="AI44" s="35"/>
      <c r="AK44" s="1"/>
      <c r="AM44" s="54"/>
      <c r="AN44" s="39"/>
      <c r="AO44" s="35"/>
      <c r="AQ44" s="1"/>
      <c r="AS44" s="54"/>
      <c r="AT44" s="39"/>
      <c r="AU44" s="35"/>
      <c r="AW44" s="1"/>
      <c r="AY44" s="54"/>
      <c r="AZ44" s="39"/>
      <c r="BA44" s="35"/>
      <c r="BC44" s="1"/>
      <c r="BE44" s="54"/>
      <c r="BF44" s="39"/>
      <c r="BG44" s="35"/>
      <c r="BI44" s="1"/>
      <c r="BK44" s="59"/>
      <c r="BL44" s="39"/>
      <c r="BM44" s="35"/>
      <c r="BO44" s="1"/>
      <c r="BQ44" s="54"/>
      <c r="BR44" s="39"/>
      <c r="BS44" s="35"/>
      <c r="BU44" s="4"/>
    </row>
    <row r="45">
      <c r="A45" s="1"/>
      <c r="B45" s="36" t="s">
        <v>109</v>
      </c>
      <c r="C45" s="54">
        <v>189.0</v>
      </c>
      <c r="D45" s="39">
        <v>7.0</v>
      </c>
      <c r="E45" s="35" t="s">
        <v>28</v>
      </c>
      <c r="F45" s="36" t="s">
        <v>34</v>
      </c>
      <c r="G45" s="1"/>
      <c r="I45" s="54"/>
      <c r="J45" s="39"/>
      <c r="K45" s="35"/>
      <c r="M45" s="1"/>
      <c r="O45" s="54"/>
      <c r="P45" s="39"/>
      <c r="Q45" s="35"/>
      <c r="S45" s="1"/>
      <c r="U45" s="54"/>
      <c r="V45" s="39"/>
      <c r="W45" s="35"/>
      <c r="Y45" s="1"/>
      <c r="AA45" s="54"/>
      <c r="AB45" s="39"/>
      <c r="AC45" s="35"/>
      <c r="AE45" s="1"/>
      <c r="AG45" s="54"/>
      <c r="AH45" s="39"/>
      <c r="AI45" s="35"/>
      <c r="AK45" s="1"/>
      <c r="AM45" s="54"/>
      <c r="AN45" s="39"/>
      <c r="AO45" s="35"/>
      <c r="AQ45" s="1"/>
      <c r="AS45" s="54"/>
      <c r="AT45" s="39"/>
      <c r="AU45" s="35"/>
      <c r="AW45" s="1"/>
      <c r="AY45" s="54"/>
      <c r="AZ45" s="39"/>
      <c r="BA45" s="35"/>
      <c r="BC45" s="1"/>
      <c r="BE45" s="54"/>
      <c r="BF45" s="39"/>
      <c r="BG45" s="35"/>
      <c r="BI45" s="1"/>
      <c r="BK45" s="59"/>
      <c r="BL45" s="39"/>
      <c r="BM45" s="35"/>
      <c r="BO45" s="1"/>
      <c r="BQ45" s="54"/>
      <c r="BR45" s="39"/>
      <c r="BS45" s="35"/>
      <c r="BU45" s="4"/>
    </row>
    <row r="46">
      <c r="A46" s="1"/>
      <c r="B46" s="36" t="s">
        <v>110</v>
      </c>
      <c r="C46" s="54">
        <v>44.0</v>
      </c>
      <c r="D46" s="39">
        <v>7.0</v>
      </c>
      <c r="E46" s="35" t="s">
        <v>28</v>
      </c>
      <c r="F46" s="36" t="s">
        <v>34</v>
      </c>
      <c r="G46" s="1"/>
      <c r="I46" s="54"/>
      <c r="J46" s="39"/>
      <c r="K46" s="35"/>
      <c r="M46" s="1"/>
      <c r="O46" s="54"/>
      <c r="P46" s="39"/>
      <c r="Q46" s="35"/>
      <c r="S46" s="1"/>
      <c r="U46" s="54"/>
      <c r="V46" s="39"/>
      <c r="W46" s="35"/>
      <c r="Y46" s="1"/>
      <c r="AA46" s="54"/>
      <c r="AB46" s="39"/>
      <c r="AC46" s="35"/>
      <c r="AE46" s="1"/>
      <c r="AG46" s="54"/>
      <c r="AH46" s="39"/>
      <c r="AI46" s="35"/>
      <c r="AK46" s="1"/>
      <c r="AM46" s="54"/>
      <c r="AN46" s="39"/>
      <c r="AO46" s="35"/>
      <c r="AQ46" s="1"/>
      <c r="AS46" s="54"/>
      <c r="AT46" s="39"/>
      <c r="AU46" s="35"/>
      <c r="AW46" s="1"/>
      <c r="AY46" s="54"/>
      <c r="AZ46" s="39"/>
      <c r="BA46" s="35"/>
      <c r="BC46" s="1"/>
      <c r="BE46" s="54"/>
      <c r="BF46" s="39"/>
      <c r="BG46" s="35"/>
      <c r="BI46" s="1"/>
      <c r="BK46" s="59"/>
      <c r="BL46" s="39"/>
      <c r="BM46" s="35"/>
      <c r="BO46" s="1"/>
      <c r="BQ46" s="54"/>
      <c r="BR46" s="39"/>
      <c r="BS46" s="35"/>
      <c r="BU46" s="4"/>
    </row>
    <row r="47">
      <c r="A47" s="1"/>
      <c r="B47" s="36" t="s">
        <v>111</v>
      </c>
      <c r="C47" s="54">
        <v>-1255.57</v>
      </c>
      <c r="D47" s="39">
        <v>8.0</v>
      </c>
      <c r="E47" s="35" t="s">
        <v>28</v>
      </c>
      <c r="F47" s="36" t="s">
        <v>32</v>
      </c>
      <c r="G47" s="1"/>
      <c r="I47" s="54"/>
      <c r="J47" s="39"/>
      <c r="K47" s="35"/>
      <c r="M47" s="1"/>
      <c r="O47" s="54"/>
      <c r="P47" s="39"/>
      <c r="Q47" s="35"/>
      <c r="S47" s="1"/>
      <c r="U47" s="54"/>
      <c r="V47" s="39"/>
      <c r="W47" s="35"/>
      <c r="Y47" s="1"/>
      <c r="AA47" s="54"/>
      <c r="AB47" s="39"/>
      <c r="AC47" s="35"/>
      <c r="AE47" s="1"/>
      <c r="AG47" s="54"/>
      <c r="AH47" s="39"/>
      <c r="AI47" s="35"/>
      <c r="AK47" s="1"/>
      <c r="AM47" s="54"/>
      <c r="AN47" s="39"/>
      <c r="AO47" s="35"/>
      <c r="AQ47" s="1"/>
      <c r="AS47" s="54"/>
      <c r="AT47" s="39"/>
      <c r="AU47" s="35"/>
      <c r="AW47" s="1"/>
      <c r="AY47" s="54"/>
      <c r="AZ47" s="39"/>
      <c r="BA47" s="35"/>
      <c r="BC47" s="1"/>
      <c r="BE47" s="54"/>
      <c r="BF47" s="39"/>
      <c r="BG47" s="35"/>
      <c r="BI47" s="1"/>
      <c r="BK47" s="59"/>
      <c r="BL47" s="39"/>
      <c r="BM47" s="35"/>
      <c r="BO47" s="1"/>
      <c r="BQ47" s="54"/>
      <c r="BR47" s="39"/>
      <c r="BS47" s="35"/>
      <c r="BU47" s="4"/>
    </row>
    <row r="48">
      <c r="A48" s="1"/>
      <c r="B48" s="36" t="s">
        <v>112</v>
      </c>
      <c r="C48" s="54">
        <v>300.0</v>
      </c>
      <c r="D48" s="39">
        <v>8.0</v>
      </c>
      <c r="E48" s="35" t="s">
        <v>32</v>
      </c>
      <c r="F48" s="36" t="s">
        <v>32</v>
      </c>
      <c r="G48" s="1"/>
      <c r="I48" s="54"/>
      <c r="J48" s="39"/>
      <c r="K48" s="35"/>
      <c r="M48" s="1"/>
      <c r="O48" s="54"/>
      <c r="P48" s="39"/>
      <c r="Q48" s="35"/>
      <c r="S48" s="1"/>
      <c r="U48" s="54"/>
      <c r="V48" s="39"/>
      <c r="W48" s="35"/>
      <c r="Y48" s="1"/>
      <c r="AA48" s="54"/>
      <c r="AB48" s="39"/>
      <c r="AC48" s="35"/>
      <c r="AE48" s="1"/>
      <c r="AG48" s="54"/>
      <c r="AH48" s="39"/>
      <c r="AI48" s="35"/>
      <c r="AK48" s="1"/>
      <c r="AM48" s="54"/>
      <c r="AN48" s="39"/>
      <c r="AO48" s="35"/>
      <c r="AQ48" s="1"/>
      <c r="AS48" s="54"/>
      <c r="AT48" s="39"/>
      <c r="AU48" s="35"/>
      <c r="AW48" s="1"/>
      <c r="AY48" s="54"/>
      <c r="AZ48" s="39"/>
      <c r="BA48" s="35"/>
      <c r="BC48" s="1"/>
      <c r="BE48" s="54"/>
      <c r="BF48" s="39"/>
      <c r="BG48" s="35"/>
      <c r="BI48" s="1"/>
      <c r="BK48" s="59"/>
      <c r="BL48" s="39"/>
      <c r="BM48" s="35"/>
      <c r="BO48" s="1"/>
      <c r="BQ48" s="54"/>
      <c r="BR48" s="39"/>
      <c r="BS48" s="35"/>
      <c r="BU48" s="4"/>
    </row>
    <row r="49">
      <c r="A49" s="1"/>
      <c r="B49" s="36" t="s">
        <v>113</v>
      </c>
      <c r="C49" s="54">
        <v>297.0</v>
      </c>
      <c r="D49" s="39">
        <v>8.0</v>
      </c>
      <c r="E49" s="35" t="s">
        <v>32</v>
      </c>
      <c r="F49" s="36" t="s">
        <v>32</v>
      </c>
      <c r="G49" s="1"/>
      <c r="I49" s="54"/>
      <c r="J49" s="39"/>
      <c r="K49" s="35"/>
      <c r="M49" s="1"/>
      <c r="O49" s="54"/>
      <c r="P49" s="39"/>
      <c r="Q49" s="35"/>
      <c r="S49" s="1"/>
      <c r="U49" s="54"/>
      <c r="V49" s="39"/>
      <c r="W49" s="35"/>
      <c r="Y49" s="1"/>
      <c r="AA49" s="54"/>
      <c r="AB49" s="39"/>
      <c r="AC49" s="35"/>
      <c r="AE49" s="1"/>
      <c r="AG49" s="54"/>
      <c r="AH49" s="39"/>
      <c r="AI49" s="35"/>
      <c r="AK49" s="1"/>
      <c r="AM49" s="54"/>
      <c r="AN49" s="39"/>
      <c r="AO49" s="35"/>
      <c r="AQ49" s="1"/>
      <c r="AS49" s="54"/>
      <c r="AT49" s="39"/>
      <c r="AU49" s="35"/>
      <c r="AW49" s="1"/>
      <c r="AY49" s="54"/>
      <c r="AZ49" s="39"/>
      <c r="BA49" s="35"/>
      <c r="BC49" s="1"/>
      <c r="BE49" s="54"/>
      <c r="BF49" s="39"/>
      <c r="BG49" s="35"/>
      <c r="BI49" s="1"/>
      <c r="BK49" s="59"/>
      <c r="BL49" s="39"/>
      <c r="BM49" s="35"/>
      <c r="BO49" s="1"/>
      <c r="BQ49" s="54"/>
      <c r="BR49" s="39"/>
      <c r="BS49" s="35"/>
      <c r="BU49" s="4"/>
    </row>
    <row r="50">
      <c r="A50" s="1"/>
      <c r="B50" s="36" t="s">
        <v>89</v>
      </c>
      <c r="C50" s="54">
        <v>300.0</v>
      </c>
      <c r="D50" s="39">
        <v>9.0</v>
      </c>
      <c r="E50" s="35" t="s">
        <v>28</v>
      </c>
      <c r="F50" s="36" t="s">
        <v>32</v>
      </c>
      <c r="G50" s="1"/>
      <c r="I50" s="54"/>
      <c r="J50" s="39"/>
      <c r="K50" s="35"/>
      <c r="M50" s="1"/>
      <c r="O50" s="54"/>
      <c r="P50" s="39"/>
      <c r="Q50" s="35"/>
      <c r="S50" s="1"/>
      <c r="U50" s="54"/>
      <c r="V50" s="39"/>
      <c r="W50" s="35"/>
      <c r="Y50" s="1"/>
      <c r="AA50" s="54"/>
      <c r="AB50" s="39"/>
      <c r="AC50" s="35"/>
      <c r="AE50" s="1"/>
      <c r="AG50" s="54"/>
      <c r="AH50" s="39"/>
      <c r="AI50" s="35"/>
      <c r="AK50" s="1"/>
      <c r="AM50" s="54"/>
      <c r="AN50" s="39"/>
      <c r="AO50" s="35"/>
      <c r="AQ50" s="1"/>
      <c r="AS50" s="54"/>
      <c r="AT50" s="39"/>
      <c r="AU50" s="35"/>
      <c r="AW50" s="1"/>
      <c r="AY50" s="54"/>
      <c r="AZ50" s="39"/>
      <c r="BA50" s="35"/>
      <c r="BC50" s="1"/>
      <c r="BE50" s="54"/>
      <c r="BF50" s="39"/>
      <c r="BG50" s="35"/>
      <c r="BI50" s="1"/>
      <c r="BK50" s="59"/>
      <c r="BL50" s="39"/>
      <c r="BM50" s="35"/>
      <c r="BO50" s="1"/>
      <c r="BQ50" s="54"/>
      <c r="BR50" s="39"/>
      <c r="BS50" s="35"/>
      <c r="BU50" s="4"/>
    </row>
    <row r="51">
      <c r="A51" s="1"/>
      <c r="B51" s="36" t="s">
        <v>92</v>
      </c>
      <c r="C51" s="54">
        <v>10.0</v>
      </c>
      <c r="D51" s="39">
        <v>9.0</v>
      </c>
      <c r="E51" s="35" t="s">
        <v>32</v>
      </c>
      <c r="F51" s="36" t="s">
        <v>32</v>
      </c>
      <c r="G51" s="1"/>
      <c r="I51" s="54"/>
      <c r="J51" s="39"/>
      <c r="K51" s="35"/>
      <c r="M51" s="1"/>
      <c r="N51" s="64"/>
      <c r="O51" s="54"/>
      <c r="P51" s="39"/>
      <c r="Q51" s="35"/>
      <c r="S51" s="1"/>
      <c r="U51" s="54"/>
      <c r="V51" s="39"/>
      <c r="W51" s="35"/>
      <c r="Y51" s="1"/>
      <c r="AA51" s="54"/>
      <c r="AB51" s="39"/>
      <c r="AC51" s="35"/>
      <c r="AE51" s="1"/>
      <c r="AG51" s="54"/>
      <c r="AH51" s="39"/>
      <c r="AI51" s="35"/>
      <c r="AK51" s="1"/>
      <c r="AM51" s="54"/>
      <c r="AN51" s="39"/>
      <c r="AO51" s="35"/>
      <c r="AQ51" s="1"/>
      <c r="AS51" s="54"/>
      <c r="AT51" s="39"/>
      <c r="AU51" s="35"/>
      <c r="AW51" s="1"/>
      <c r="AY51" s="54"/>
      <c r="AZ51" s="39"/>
      <c r="BA51" s="35"/>
      <c r="BC51" s="1"/>
      <c r="BE51" s="54"/>
      <c r="BF51" s="39"/>
      <c r="BG51" s="35"/>
      <c r="BI51" s="1"/>
      <c r="BK51" s="59"/>
      <c r="BL51" s="39"/>
      <c r="BM51" s="35"/>
      <c r="BO51" s="1"/>
      <c r="BQ51" s="54"/>
      <c r="BR51" s="39"/>
      <c r="BS51" s="35"/>
      <c r="BU51" s="4"/>
    </row>
    <row r="52">
      <c r="A52" s="1"/>
      <c r="B52" s="36" t="s">
        <v>114</v>
      </c>
      <c r="C52" s="54">
        <v>330.73</v>
      </c>
      <c r="D52" s="39">
        <v>10.0</v>
      </c>
      <c r="E52" s="35" t="s">
        <v>32</v>
      </c>
      <c r="F52" s="36" t="s">
        <v>32</v>
      </c>
      <c r="G52" s="1"/>
      <c r="I52" s="54"/>
      <c r="J52" s="39"/>
      <c r="K52" s="35"/>
      <c r="M52" s="1"/>
      <c r="O52" s="54"/>
      <c r="P52" s="39"/>
      <c r="Q52" s="35"/>
      <c r="S52" s="1"/>
      <c r="U52" s="54"/>
      <c r="V52" s="39"/>
      <c r="W52" s="35"/>
      <c r="Y52" s="1"/>
      <c r="AA52" s="54"/>
      <c r="AB52" s="39"/>
      <c r="AC52" s="35"/>
      <c r="AE52" s="1"/>
      <c r="AG52" s="54"/>
      <c r="AH52" s="39"/>
      <c r="AI52" s="35"/>
      <c r="AK52" s="1"/>
      <c r="AM52" s="54"/>
      <c r="AN52" s="39"/>
      <c r="AO52" s="35"/>
      <c r="AQ52" s="1"/>
      <c r="AS52" s="54"/>
      <c r="AT52" s="39"/>
      <c r="AU52" s="35"/>
      <c r="AW52" s="1"/>
      <c r="AY52" s="54"/>
      <c r="AZ52" s="39"/>
      <c r="BA52" s="35"/>
      <c r="BC52" s="1"/>
      <c r="BE52" s="54"/>
      <c r="BF52" s="39"/>
      <c r="BG52" s="35"/>
      <c r="BI52" s="1"/>
      <c r="BK52" s="59"/>
      <c r="BL52" s="39"/>
      <c r="BM52" s="35"/>
      <c r="BO52" s="1"/>
      <c r="BQ52" s="54"/>
      <c r="BR52" s="39"/>
      <c r="BS52" s="35"/>
      <c r="BU52" s="4"/>
    </row>
    <row r="53">
      <c r="A53" s="1"/>
      <c r="B53" s="36" t="s">
        <v>115</v>
      </c>
      <c r="C53" s="54">
        <v>3.0</v>
      </c>
      <c r="D53" s="39">
        <v>10.0</v>
      </c>
      <c r="E53" s="35" t="s">
        <v>32</v>
      </c>
      <c r="F53" s="36" t="s">
        <v>32</v>
      </c>
      <c r="G53" s="1"/>
      <c r="I53" s="54"/>
      <c r="J53" s="39"/>
      <c r="K53" s="35"/>
      <c r="M53" s="1"/>
      <c r="O53" s="54"/>
      <c r="P53" s="39"/>
      <c r="Q53" s="35"/>
      <c r="S53" s="1"/>
      <c r="U53" s="54"/>
      <c r="V53" s="39"/>
      <c r="W53" s="35"/>
      <c r="Y53" s="1"/>
      <c r="AA53" s="54"/>
      <c r="AB53" s="39"/>
      <c r="AC53" s="35"/>
      <c r="AE53" s="1"/>
      <c r="AG53" s="54"/>
      <c r="AH53" s="39"/>
      <c r="AI53" s="35"/>
      <c r="AK53" s="1"/>
      <c r="AM53" s="54"/>
      <c r="AN53" s="39"/>
      <c r="AO53" s="35"/>
      <c r="AQ53" s="1"/>
      <c r="AS53" s="54"/>
      <c r="AT53" s="39"/>
      <c r="AU53" s="35"/>
      <c r="AW53" s="1"/>
      <c r="AY53" s="54"/>
      <c r="AZ53" s="39"/>
      <c r="BA53" s="35"/>
      <c r="BC53" s="1"/>
      <c r="BE53" s="54"/>
      <c r="BF53" s="39"/>
      <c r="BG53" s="35"/>
      <c r="BI53" s="1"/>
      <c r="BK53" s="59"/>
      <c r="BL53" s="39"/>
      <c r="BM53" s="35"/>
      <c r="BO53" s="1"/>
      <c r="BQ53" s="54"/>
      <c r="BR53" s="39"/>
      <c r="BS53" s="35"/>
      <c r="BU53" s="4"/>
    </row>
    <row r="54">
      <c r="A54" s="1"/>
      <c r="B54" s="36" t="s">
        <v>99</v>
      </c>
      <c r="C54" s="54">
        <v>2737.06</v>
      </c>
      <c r="D54" s="39">
        <v>10.0</v>
      </c>
      <c r="E54" s="35" t="s">
        <v>32</v>
      </c>
      <c r="F54" s="36" t="s">
        <v>32</v>
      </c>
      <c r="G54" s="1"/>
      <c r="I54" s="54"/>
      <c r="J54" s="39"/>
      <c r="K54" s="35"/>
      <c r="M54" s="1"/>
      <c r="O54" s="54"/>
      <c r="P54" s="39"/>
      <c r="Q54" s="35"/>
      <c r="S54" s="1"/>
      <c r="U54" s="54"/>
      <c r="V54" s="39"/>
      <c r="W54" s="35"/>
      <c r="Y54" s="1"/>
      <c r="AA54" s="54"/>
      <c r="AB54" s="39"/>
      <c r="AC54" s="35"/>
      <c r="AE54" s="1"/>
      <c r="AG54" s="54"/>
      <c r="AH54" s="39"/>
      <c r="AI54" s="35"/>
      <c r="AK54" s="1"/>
      <c r="AM54" s="54"/>
      <c r="AN54" s="39"/>
      <c r="AO54" s="35"/>
      <c r="AQ54" s="1"/>
      <c r="AS54" s="54"/>
      <c r="AT54" s="39"/>
      <c r="AU54" s="35"/>
      <c r="AW54" s="1"/>
      <c r="AY54" s="54"/>
      <c r="AZ54" s="39"/>
      <c r="BA54" s="35"/>
      <c r="BC54" s="1"/>
      <c r="BE54" s="54"/>
      <c r="BF54" s="39"/>
      <c r="BG54" s="35"/>
      <c r="BI54" s="1"/>
      <c r="BK54" s="59"/>
      <c r="BL54" s="39"/>
      <c r="BM54" s="35"/>
      <c r="BO54" s="1"/>
      <c r="BQ54" s="54"/>
      <c r="BR54" s="39"/>
      <c r="BS54" s="35"/>
      <c r="BU54" s="4"/>
    </row>
    <row r="55">
      <c r="A55" s="1"/>
      <c r="B55" s="36" t="s">
        <v>116</v>
      </c>
      <c r="C55" s="54">
        <v>35.0</v>
      </c>
      <c r="D55" s="39">
        <v>12.0</v>
      </c>
      <c r="E55" s="35" t="s">
        <v>28</v>
      </c>
      <c r="F55" s="36" t="s">
        <v>32</v>
      </c>
      <c r="G55" s="1"/>
      <c r="I55" s="54"/>
      <c r="J55" s="39"/>
      <c r="K55" s="35"/>
      <c r="M55" s="1"/>
      <c r="O55" s="54"/>
      <c r="P55" s="39"/>
      <c r="Q55" s="35"/>
      <c r="S55" s="1"/>
      <c r="U55" s="54"/>
      <c r="V55" s="39"/>
      <c r="W55" s="35"/>
      <c r="Y55" s="1"/>
      <c r="AA55" s="54"/>
      <c r="AB55" s="39"/>
      <c r="AC55" s="35"/>
      <c r="AE55" s="1"/>
      <c r="AG55" s="54"/>
      <c r="AH55" s="39"/>
      <c r="AI55" s="35"/>
      <c r="AK55" s="1"/>
      <c r="AM55" s="54"/>
      <c r="AN55" s="39"/>
      <c r="AO55" s="35"/>
      <c r="AQ55" s="1"/>
      <c r="AS55" s="54"/>
      <c r="AT55" s="39"/>
      <c r="AU55" s="35"/>
      <c r="AW55" s="1"/>
      <c r="AY55" s="54"/>
      <c r="AZ55" s="39"/>
      <c r="BA55" s="35"/>
      <c r="BC55" s="1"/>
      <c r="BE55" s="54"/>
      <c r="BF55" s="39"/>
      <c r="BG55" s="35"/>
      <c r="BI55" s="1"/>
      <c r="BK55" s="59"/>
      <c r="BL55" s="39"/>
      <c r="BM55" s="35"/>
      <c r="BO55" s="1"/>
      <c r="BQ55" s="54"/>
      <c r="BR55" s="39"/>
      <c r="BS55" s="35"/>
      <c r="BU55" s="4"/>
    </row>
    <row r="56">
      <c r="A56" s="1"/>
      <c r="B56" s="36" t="s">
        <v>92</v>
      </c>
      <c r="C56" s="54">
        <v>20.0</v>
      </c>
      <c r="D56" s="39">
        <v>12.0</v>
      </c>
      <c r="E56" s="35" t="s">
        <v>32</v>
      </c>
      <c r="F56" s="36" t="s">
        <v>32</v>
      </c>
      <c r="G56" s="1"/>
      <c r="I56" s="54"/>
      <c r="J56" s="39"/>
      <c r="K56" s="35"/>
      <c r="M56" s="1"/>
      <c r="O56" s="54"/>
      <c r="P56" s="39"/>
      <c r="Q56" s="35"/>
      <c r="S56" s="1"/>
      <c r="U56" s="54"/>
      <c r="V56" s="39"/>
      <c r="W56" s="35"/>
      <c r="Y56" s="1"/>
      <c r="AA56" s="54"/>
      <c r="AB56" s="39"/>
      <c r="AC56" s="35"/>
      <c r="AE56" s="1"/>
      <c r="AG56" s="54"/>
      <c r="AH56" s="39"/>
      <c r="AI56" s="35"/>
      <c r="AK56" s="1"/>
      <c r="AM56" s="54"/>
      <c r="AN56" s="39"/>
      <c r="AO56" s="35"/>
      <c r="AQ56" s="1"/>
      <c r="AS56" s="54"/>
      <c r="AT56" s="39"/>
      <c r="AU56" s="35"/>
      <c r="AW56" s="1"/>
      <c r="AY56" s="54"/>
      <c r="AZ56" s="39"/>
      <c r="BA56" s="35"/>
      <c r="BC56" s="1"/>
      <c r="BE56" s="54"/>
      <c r="BF56" s="39"/>
      <c r="BG56" s="35"/>
      <c r="BI56" s="1"/>
      <c r="BK56" s="59"/>
      <c r="BL56" s="39"/>
      <c r="BM56" s="35"/>
      <c r="BO56" s="1"/>
      <c r="BQ56" s="54"/>
      <c r="BR56" s="39"/>
      <c r="BS56" s="35"/>
      <c r="BU56" s="4"/>
    </row>
    <row r="57">
      <c r="A57" s="1"/>
      <c r="B57" s="36" t="s">
        <v>100</v>
      </c>
      <c r="C57" s="54">
        <v>30.0</v>
      </c>
      <c r="D57" s="39">
        <v>12.0</v>
      </c>
      <c r="E57" s="35" t="s">
        <v>32</v>
      </c>
      <c r="F57" s="36" t="s">
        <v>32</v>
      </c>
      <c r="G57" s="1"/>
      <c r="I57" s="54"/>
      <c r="J57" s="39"/>
      <c r="K57" s="35"/>
      <c r="M57" s="1"/>
      <c r="O57" s="54"/>
      <c r="P57" s="39"/>
      <c r="Q57" s="35"/>
      <c r="S57" s="1"/>
      <c r="U57" s="54"/>
      <c r="V57" s="39"/>
      <c r="W57" s="35"/>
      <c r="Y57" s="1"/>
      <c r="AA57" s="54"/>
      <c r="AB57" s="39"/>
      <c r="AC57" s="35"/>
      <c r="AE57" s="1"/>
      <c r="AG57" s="54"/>
      <c r="AH57" s="39"/>
      <c r="AI57" s="35"/>
      <c r="AK57" s="1"/>
      <c r="AM57" s="54"/>
      <c r="AN57" s="39"/>
      <c r="AO57" s="35"/>
      <c r="AQ57" s="1"/>
      <c r="AS57" s="54"/>
      <c r="AT57" s="39"/>
      <c r="AU57" s="35"/>
      <c r="AW57" s="1"/>
      <c r="AY57" s="54"/>
      <c r="AZ57" s="39"/>
      <c r="BA57" s="35"/>
      <c r="BC57" s="1"/>
      <c r="BE57" s="54"/>
      <c r="BF57" s="39"/>
      <c r="BG57" s="35"/>
      <c r="BI57" s="1"/>
      <c r="BK57" s="59"/>
      <c r="BL57" s="39"/>
      <c r="BM57" s="35"/>
      <c r="BO57" s="1"/>
      <c r="BQ57" s="54"/>
      <c r="BR57" s="39"/>
      <c r="BS57" s="35"/>
      <c r="BU57" s="4"/>
    </row>
    <row r="58">
      <c r="A58" s="1"/>
      <c r="B58" s="36" t="s">
        <v>101</v>
      </c>
      <c r="C58" s="54">
        <v>16608.46</v>
      </c>
      <c r="D58" s="39">
        <v>12.0</v>
      </c>
      <c r="E58" s="35" t="s">
        <v>28</v>
      </c>
      <c r="F58" s="36" t="s">
        <v>32</v>
      </c>
      <c r="G58" s="1"/>
      <c r="I58" s="54"/>
      <c r="J58" s="39"/>
      <c r="K58" s="35"/>
      <c r="M58" s="1"/>
      <c r="O58" s="54"/>
      <c r="P58" s="39"/>
      <c r="Q58" s="35"/>
      <c r="S58" s="1"/>
      <c r="U58" s="54"/>
      <c r="V58" s="39"/>
      <c r="W58" s="35"/>
      <c r="Y58" s="1"/>
      <c r="AA58" s="54"/>
      <c r="AB58" s="39"/>
      <c r="AC58" s="35"/>
      <c r="AE58" s="1"/>
      <c r="AG58" s="54"/>
      <c r="AH58" s="39"/>
      <c r="AI58" s="35"/>
      <c r="AK58" s="1"/>
      <c r="AM58" s="54"/>
      <c r="AN58" s="39"/>
      <c r="AO58" s="35"/>
      <c r="AQ58" s="1"/>
      <c r="AS58" s="54"/>
      <c r="AT58" s="39"/>
      <c r="AU58" s="35"/>
      <c r="AW58" s="1"/>
      <c r="AY58" s="54"/>
      <c r="AZ58" s="39"/>
      <c r="BA58" s="35"/>
      <c r="BC58" s="1"/>
      <c r="BE58" s="54"/>
      <c r="BF58" s="39"/>
      <c r="BG58" s="35"/>
      <c r="BI58" s="1"/>
      <c r="BK58" s="59"/>
      <c r="BL58" s="39"/>
      <c r="BM58" s="35"/>
      <c r="BO58" s="1"/>
      <c r="BQ58" s="54"/>
      <c r="BR58" s="39"/>
      <c r="BS58" s="35"/>
      <c r="BU58" s="4"/>
    </row>
    <row r="59">
      <c r="A59" s="1"/>
      <c r="B59" s="36" t="s">
        <v>117</v>
      </c>
      <c r="C59" s="54">
        <v>75.0</v>
      </c>
      <c r="D59" s="39">
        <v>13.0</v>
      </c>
      <c r="E59" s="35" t="s">
        <v>28</v>
      </c>
      <c r="F59" s="36" t="s">
        <v>32</v>
      </c>
      <c r="G59" s="1"/>
      <c r="I59" s="54"/>
      <c r="J59" s="39"/>
      <c r="K59" s="35"/>
      <c r="M59" s="1"/>
      <c r="O59" s="54"/>
      <c r="P59" s="39"/>
      <c r="Q59" s="35"/>
      <c r="S59" s="1"/>
      <c r="U59" s="54"/>
      <c r="V59" s="39"/>
      <c r="W59" s="35"/>
      <c r="Y59" s="1"/>
      <c r="AA59" s="54"/>
      <c r="AB59" s="39"/>
      <c r="AC59" s="35"/>
      <c r="AE59" s="1"/>
      <c r="AG59" s="54"/>
      <c r="AH59" s="39"/>
      <c r="AI59" s="35"/>
      <c r="AK59" s="1"/>
      <c r="AM59" s="54"/>
      <c r="AN59" s="39"/>
      <c r="AO59" s="35"/>
      <c r="AQ59" s="1"/>
      <c r="AS59" s="54"/>
      <c r="AT59" s="39"/>
      <c r="AU59" s="35"/>
      <c r="AW59" s="1"/>
      <c r="AY59" s="54"/>
      <c r="AZ59" s="39"/>
      <c r="BA59" s="35"/>
      <c r="BC59" s="1"/>
      <c r="BE59" s="54"/>
      <c r="BF59" s="39"/>
      <c r="BG59" s="35"/>
      <c r="BI59" s="1"/>
      <c r="BK59" s="59"/>
      <c r="BL59" s="39"/>
      <c r="BM59" s="35"/>
      <c r="BO59" s="1"/>
      <c r="BQ59" s="54"/>
      <c r="BR59" s="39"/>
      <c r="BS59" s="35"/>
      <c r="BU59" s="4"/>
    </row>
    <row r="60">
      <c r="A60" s="1"/>
      <c r="B60" s="36" t="s">
        <v>118</v>
      </c>
      <c r="C60" s="54">
        <v>50.0</v>
      </c>
      <c r="D60" s="39">
        <v>13.0</v>
      </c>
      <c r="E60" s="35" t="s">
        <v>32</v>
      </c>
      <c r="F60" s="36" t="s">
        <v>32</v>
      </c>
      <c r="G60" s="1"/>
      <c r="I60" s="54"/>
      <c r="J60" s="39"/>
      <c r="K60" s="35"/>
      <c r="M60" s="1"/>
      <c r="O60" s="54"/>
      <c r="P60" s="39"/>
      <c r="Q60" s="35"/>
      <c r="S60" s="1"/>
      <c r="U60" s="54"/>
      <c r="V60" s="39"/>
      <c r="W60" s="35"/>
      <c r="Y60" s="1"/>
      <c r="AA60" s="54"/>
      <c r="AB60" s="39"/>
      <c r="AC60" s="35"/>
      <c r="AE60" s="1"/>
      <c r="AG60" s="54"/>
      <c r="AH60" s="39"/>
      <c r="AI60" s="35"/>
      <c r="AK60" s="1"/>
      <c r="AM60" s="54"/>
      <c r="AN60" s="39"/>
      <c r="AO60" s="35"/>
      <c r="AQ60" s="1"/>
      <c r="AS60" s="54"/>
      <c r="AT60" s="39"/>
      <c r="AU60" s="35"/>
      <c r="AW60" s="1"/>
      <c r="AY60" s="54"/>
      <c r="AZ60" s="39"/>
      <c r="BA60" s="35"/>
      <c r="BC60" s="1"/>
      <c r="BE60" s="54"/>
      <c r="BF60" s="39"/>
      <c r="BG60" s="35"/>
      <c r="BI60" s="1"/>
      <c r="BK60" s="59"/>
      <c r="BL60" s="39"/>
      <c r="BM60" s="35"/>
      <c r="BO60" s="1"/>
      <c r="BQ60" s="54"/>
      <c r="BR60" s="39"/>
      <c r="BS60" s="35"/>
      <c r="BU60" s="4"/>
    </row>
    <row r="61">
      <c r="A61" s="1"/>
      <c r="B61" s="36" t="s">
        <v>119</v>
      </c>
      <c r="C61" s="54">
        <v>30.0</v>
      </c>
      <c r="D61" s="39">
        <v>13.0</v>
      </c>
      <c r="E61" s="35" t="s">
        <v>28</v>
      </c>
      <c r="F61" s="36" t="s">
        <v>32</v>
      </c>
      <c r="G61" s="1"/>
      <c r="I61" s="54"/>
      <c r="J61" s="39"/>
      <c r="K61" s="35"/>
      <c r="M61" s="1"/>
      <c r="O61" s="54"/>
      <c r="P61" s="39"/>
      <c r="Q61" s="35"/>
      <c r="S61" s="1"/>
      <c r="U61" s="54"/>
      <c r="V61" s="39"/>
      <c r="W61" s="35"/>
      <c r="Y61" s="1"/>
      <c r="AA61" s="54"/>
      <c r="AB61" s="39"/>
      <c r="AC61" s="35"/>
      <c r="AE61" s="1"/>
      <c r="AG61" s="54"/>
      <c r="AH61" s="39"/>
      <c r="AI61" s="35"/>
      <c r="AK61" s="1"/>
      <c r="AM61" s="54"/>
      <c r="AN61" s="39"/>
      <c r="AO61" s="35"/>
      <c r="AQ61" s="1"/>
      <c r="AS61" s="54"/>
      <c r="AT61" s="39"/>
      <c r="AU61" s="35"/>
      <c r="AW61" s="1"/>
      <c r="AY61" s="54"/>
      <c r="AZ61" s="39"/>
      <c r="BA61" s="35"/>
      <c r="BC61" s="1"/>
      <c r="BE61" s="54"/>
      <c r="BF61" s="39"/>
      <c r="BG61" s="35"/>
      <c r="BI61" s="1"/>
      <c r="BK61" s="59"/>
      <c r="BL61" s="39"/>
      <c r="BM61" s="35"/>
      <c r="BO61" s="1"/>
      <c r="BQ61" s="54"/>
      <c r="BR61" s="39"/>
      <c r="BS61" s="35"/>
      <c r="BU61" s="4"/>
    </row>
    <row r="62">
      <c r="A62" s="1"/>
      <c r="B62" s="36" t="s">
        <v>120</v>
      </c>
      <c r="C62" s="54">
        <v>1300.0</v>
      </c>
      <c r="D62" s="39">
        <v>13.0</v>
      </c>
      <c r="E62" s="35" t="s">
        <v>32</v>
      </c>
      <c r="F62" s="36" t="s">
        <v>32</v>
      </c>
      <c r="G62" s="1"/>
      <c r="I62" s="54"/>
      <c r="J62" s="39"/>
      <c r="K62" s="35"/>
      <c r="M62" s="1"/>
      <c r="O62" s="54"/>
      <c r="P62" s="39"/>
      <c r="Q62" s="35"/>
      <c r="S62" s="1"/>
      <c r="U62" s="54"/>
      <c r="V62" s="39"/>
      <c r="W62" s="35"/>
      <c r="Y62" s="1"/>
      <c r="AA62" s="54"/>
      <c r="AB62" s="39"/>
      <c r="AC62" s="35"/>
      <c r="AE62" s="1"/>
      <c r="AG62" s="54"/>
      <c r="AH62" s="39"/>
      <c r="AI62" s="35"/>
      <c r="AK62" s="1"/>
      <c r="AM62" s="54"/>
      <c r="AN62" s="39"/>
      <c r="AO62" s="35"/>
      <c r="AQ62" s="1"/>
      <c r="AS62" s="54"/>
      <c r="AT62" s="39"/>
      <c r="AU62" s="35"/>
      <c r="AW62" s="1"/>
      <c r="AY62" s="54"/>
      <c r="AZ62" s="39"/>
      <c r="BA62" s="35"/>
      <c r="BC62" s="1"/>
      <c r="BE62" s="54"/>
      <c r="BF62" s="39"/>
      <c r="BG62" s="35"/>
      <c r="BI62" s="1"/>
      <c r="BK62" s="59"/>
      <c r="BL62" s="39"/>
      <c r="BM62" s="35"/>
      <c r="BO62" s="1"/>
      <c r="BQ62" s="54"/>
      <c r="BR62" s="39"/>
      <c r="BS62" s="35"/>
      <c r="BU62" s="4"/>
    </row>
    <row r="63">
      <c r="A63" s="1"/>
      <c r="B63" s="36" t="s">
        <v>121</v>
      </c>
      <c r="C63" s="54">
        <v>1340.72</v>
      </c>
      <c r="D63" s="39">
        <v>14.0</v>
      </c>
      <c r="E63" s="35" t="s">
        <v>28</v>
      </c>
      <c r="F63" s="36" t="s">
        <v>32</v>
      </c>
      <c r="G63" s="1"/>
      <c r="I63" s="54"/>
      <c r="J63" s="39"/>
      <c r="K63" s="35"/>
      <c r="M63" s="1"/>
      <c r="O63" s="54"/>
      <c r="P63" s="39"/>
      <c r="Q63" s="35"/>
      <c r="S63" s="1"/>
      <c r="U63" s="54"/>
      <c r="V63" s="39"/>
      <c r="W63" s="35"/>
      <c r="Y63" s="1"/>
      <c r="AA63" s="54"/>
      <c r="AB63" s="39"/>
      <c r="AC63" s="35"/>
      <c r="AE63" s="1"/>
      <c r="AG63" s="54"/>
      <c r="AH63" s="39"/>
      <c r="AI63" s="35"/>
      <c r="AK63" s="1"/>
      <c r="AM63" s="54"/>
      <c r="AN63" s="39"/>
      <c r="AO63" s="35"/>
      <c r="AQ63" s="1"/>
      <c r="AS63" s="54"/>
      <c r="AT63" s="39"/>
      <c r="AU63" s="35"/>
      <c r="AW63" s="1"/>
      <c r="AY63" s="54"/>
      <c r="AZ63" s="39"/>
      <c r="BA63" s="35"/>
      <c r="BC63" s="1"/>
      <c r="BE63" s="54"/>
      <c r="BF63" s="39"/>
      <c r="BG63" s="35"/>
      <c r="BI63" s="1"/>
      <c r="BK63" s="59"/>
      <c r="BL63" s="39"/>
      <c r="BM63" s="35"/>
      <c r="BO63" s="1"/>
      <c r="BQ63" s="54"/>
      <c r="BR63" s="39"/>
      <c r="BS63" s="35"/>
      <c r="BU63" s="4"/>
    </row>
    <row r="64">
      <c r="A64" s="1"/>
      <c r="B64" s="36" t="s">
        <v>122</v>
      </c>
      <c r="C64" s="54">
        <v>1430.72</v>
      </c>
      <c r="D64" s="39">
        <v>14.0</v>
      </c>
      <c r="E64" s="35" t="s">
        <v>32</v>
      </c>
      <c r="F64" s="36" t="s">
        <v>32</v>
      </c>
      <c r="G64" s="1"/>
      <c r="I64" s="54"/>
      <c r="J64" s="39"/>
      <c r="K64" s="35"/>
      <c r="M64" s="1"/>
      <c r="O64" s="54"/>
      <c r="P64" s="39"/>
      <c r="Q64" s="35"/>
      <c r="S64" s="1"/>
      <c r="U64" s="54"/>
      <c r="V64" s="39"/>
      <c r="W64" s="35"/>
      <c r="Y64" s="1"/>
      <c r="AA64" s="54"/>
      <c r="AB64" s="39"/>
      <c r="AC64" s="35"/>
      <c r="AE64" s="1"/>
      <c r="AG64" s="54"/>
      <c r="AH64" s="39"/>
      <c r="AI64" s="35"/>
      <c r="AK64" s="1"/>
      <c r="AM64" s="54"/>
      <c r="AN64" s="39"/>
      <c r="AO64" s="35"/>
      <c r="AQ64" s="1"/>
      <c r="AS64" s="54"/>
      <c r="AT64" s="39"/>
      <c r="AU64" s="35"/>
      <c r="AW64" s="1"/>
      <c r="AY64" s="54"/>
      <c r="AZ64" s="39"/>
      <c r="BA64" s="35"/>
      <c r="BC64" s="1"/>
      <c r="BE64" s="54"/>
      <c r="BF64" s="39"/>
      <c r="BG64" s="35"/>
      <c r="BI64" s="1"/>
      <c r="BK64" s="59"/>
      <c r="BL64" s="39"/>
      <c r="BM64" s="35"/>
      <c r="BO64" s="1"/>
      <c r="BQ64" s="54"/>
      <c r="BR64" s="39"/>
      <c r="BS64" s="35"/>
      <c r="BU64" s="4"/>
    </row>
    <row r="65">
      <c r="A65" s="1"/>
      <c r="B65" s="36" t="s">
        <v>123</v>
      </c>
      <c r="C65" s="54">
        <v>704.85</v>
      </c>
      <c r="D65" s="39">
        <v>14.0</v>
      </c>
      <c r="E65" s="35" t="s">
        <v>32</v>
      </c>
      <c r="F65" s="36" t="s">
        <v>32</v>
      </c>
      <c r="G65" s="1"/>
      <c r="I65" s="54"/>
      <c r="J65" s="39"/>
      <c r="K65" s="35"/>
      <c r="M65" s="1"/>
      <c r="O65" s="54"/>
      <c r="P65" s="39"/>
      <c r="Q65" s="35"/>
      <c r="S65" s="1"/>
      <c r="U65" s="54"/>
      <c r="V65" s="39"/>
      <c r="W65" s="35"/>
      <c r="Y65" s="1"/>
      <c r="AA65" s="54"/>
      <c r="AB65" s="39"/>
      <c r="AC65" s="35"/>
      <c r="AE65" s="1"/>
      <c r="AG65" s="54"/>
      <c r="AH65" s="39"/>
      <c r="AI65" s="35"/>
      <c r="AK65" s="1"/>
      <c r="AM65" s="54"/>
      <c r="AN65" s="39"/>
      <c r="AO65" s="35"/>
      <c r="AQ65" s="1"/>
      <c r="AS65" s="54"/>
      <c r="AT65" s="39"/>
      <c r="AU65" s="35"/>
      <c r="AW65" s="1"/>
      <c r="AY65" s="54"/>
      <c r="AZ65" s="39"/>
      <c r="BA65" s="35"/>
      <c r="BC65" s="1"/>
      <c r="BE65" s="54"/>
      <c r="BF65" s="39"/>
      <c r="BG65" s="35"/>
      <c r="BI65" s="1"/>
      <c r="BK65" s="59"/>
      <c r="BL65" s="39"/>
      <c r="BM65" s="35"/>
      <c r="BO65" s="1"/>
      <c r="BQ65" s="54"/>
      <c r="BR65" s="39"/>
      <c r="BS65" s="35"/>
      <c r="BU65" s="4"/>
    </row>
    <row r="66">
      <c r="A66" s="1"/>
      <c r="B66" s="36" t="s">
        <v>124</v>
      </c>
      <c r="C66" s="54">
        <v>30.15</v>
      </c>
      <c r="D66" s="39">
        <v>14.0</v>
      </c>
      <c r="E66" s="35" t="s">
        <v>32</v>
      </c>
      <c r="F66" s="36" t="s">
        <v>32</v>
      </c>
      <c r="G66" s="1"/>
      <c r="I66" s="54"/>
      <c r="J66" s="39"/>
      <c r="K66" s="35"/>
      <c r="M66" s="1"/>
      <c r="O66" s="54"/>
      <c r="P66" s="39"/>
      <c r="Q66" s="35"/>
      <c r="S66" s="1"/>
      <c r="U66" s="54"/>
      <c r="V66" s="39"/>
      <c r="W66" s="35"/>
      <c r="Y66" s="1"/>
      <c r="AA66" s="54"/>
      <c r="AB66" s="39"/>
      <c r="AC66" s="35"/>
      <c r="AE66" s="1"/>
      <c r="AG66" s="54"/>
      <c r="AH66" s="39"/>
      <c r="AI66" s="35"/>
      <c r="AK66" s="1"/>
      <c r="AM66" s="54"/>
      <c r="AN66" s="39"/>
      <c r="AO66" s="35"/>
      <c r="AQ66" s="1"/>
      <c r="AS66" s="54"/>
      <c r="AT66" s="39"/>
      <c r="AU66" s="35"/>
      <c r="AW66" s="1"/>
      <c r="AY66" s="54"/>
      <c r="AZ66" s="39"/>
      <c r="BA66" s="35"/>
      <c r="BC66" s="1"/>
      <c r="BE66" s="54"/>
      <c r="BF66" s="39"/>
      <c r="BG66" s="35"/>
      <c r="BI66" s="1"/>
      <c r="BK66" s="59"/>
      <c r="BL66" s="39"/>
      <c r="BM66" s="35"/>
      <c r="BO66" s="1"/>
      <c r="BQ66" s="54"/>
      <c r="BR66" s="39"/>
      <c r="BS66" s="35"/>
      <c r="BU66" s="4"/>
    </row>
    <row r="67">
      <c r="A67" s="1"/>
      <c r="B67" s="36" t="s">
        <v>125</v>
      </c>
      <c r="C67" s="54">
        <v>120.0</v>
      </c>
      <c r="D67" s="39">
        <v>15.0</v>
      </c>
      <c r="E67" s="35" t="s">
        <v>28</v>
      </c>
      <c r="F67" s="36" t="s">
        <v>32</v>
      </c>
      <c r="G67" s="1"/>
      <c r="I67" s="54"/>
      <c r="J67" s="39"/>
      <c r="K67" s="35"/>
      <c r="M67" s="1"/>
      <c r="O67" s="54"/>
      <c r="P67" s="39"/>
      <c r="Q67" s="35"/>
      <c r="S67" s="1"/>
      <c r="U67" s="54"/>
      <c r="V67" s="39"/>
      <c r="W67" s="35"/>
      <c r="Y67" s="1"/>
      <c r="AA67" s="54"/>
      <c r="AB67" s="39"/>
      <c r="AC67" s="35"/>
      <c r="AE67" s="1"/>
      <c r="AG67" s="54"/>
      <c r="AH67" s="39"/>
      <c r="AI67" s="35"/>
      <c r="AK67" s="1"/>
      <c r="AM67" s="54"/>
      <c r="AN67" s="39"/>
      <c r="AO67" s="35"/>
      <c r="AQ67" s="1"/>
      <c r="AS67" s="54"/>
      <c r="AT67" s="39"/>
      <c r="AU67" s="35"/>
      <c r="AW67" s="1"/>
      <c r="AY67" s="54"/>
      <c r="AZ67" s="39"/>
      <c r="BA67" s="35"/>
      <c r="BC67" s="1"/>
      <c r="BE67" s="54"/>
      <c r="BF67" s="39"/>
      <c r="BG67" s="35"/>
      <c r="BI67" s="1"/>
      <c r="BK67" s="59"/>
      <c r="BL67" s="39"/>
      <c r="BM67" s="35"/>
      <c r="BO67" s="1"/>
      <c r="BQ67" s="54"/>
      <c r="BR67" s="39"/>
      <c r="BS67" s="35"/>
      <c r="BU67" s="4"/>
    </row>
    <row r="68">
      <c r="A68" s="1"/>
      <c r="B68" s="36" t="s">
        <v>126</v>
      </c>
      <c r="C68" s="54">
        <v>6500.0</v>
      </c>
      <c r="D68" s="39">
        <v>15.0</v>
      </c>
      <c r="E68" s="35" t="s">
        <v>32</v>
      </c>
      <c r="F68" s="36" t="s">
        <v>32</v>
      </c>
      <c r="G68" s="1"/>
      <c r="I68" s="54"/>
      <c r="J68" s="39"/>
      <c r="K68" s="35"/>
      <c r="M68" s="1"/>
      <c r="O68" s="54"/>
      <c r="P68" s="39"/>
      <c r="Q68" s="35"/>
      <c r="S68" s="1"/>
      <c r="U68" s="54"/>
      <c r="V68" s="39"/>
      <c r="W68" s="35"/>
      <c r="Y68" s="1"/>
      <c r="AA68" s="54"/>
      <c r="AB68" s="39"/>
      <c r="AC68" s="35"/>
      <c r="AE68" s="1"/>
      <c r="AG68" s="54"/>
      <c r="AH68" s="39"/>
      <c r="AI68" s="35"/>
      <c r="AK68" s="1"/>
      <c r="AM68" s="54"/>
      <c r="AN68" s="39"/>
      <c r="AO68" s="35"/>
      <c r="AQ68" s="1"/>
      <c r="AS68" s="54"/>
      <c r="AT68" s="39"/>
      <c r="AU68" s="35"/>
      <c r="AW68" s="1"/>
      <c r="AY68" s="54"/>
      <c r="AZ68" s="39"/>
      <c r="BA68" s="35"/>
      <c r="BC68" s="1"/>
      <c r="BE68" s="54"/>
      <c r="BF68" s="39"/>
      <c r="BG68" s="35"/>
      <c r="BI68" s="1"/>
      <c r="BJ68" s="65"/>
      <c r="BK68" s="59"/>
      <c r="BL68" s="39"/>
      <c r="BM68" s="35"/>
      <c r="BO68" s="1"/>
      <c r="BQ68" s="54"/>
      <c r="BR68" s="39"/>
      <c r="BS68" s="35"/>
      <c r="BU68" s="4"/>
    </row>
    <row r="69">
      <c r="A69" s="1"/>
      <c r="B69" s="36" t="s">
        <v>126</v>
      </c>
      <c r="C69" s="54">
        <v>17000.0</v>
      </c>
      <c r="D69" s="39">
        <v>15.0</v>
      </c>
      <c r="E69" s="35" t="s">
        <v>32</v>
      </c>
      <c r="F69" s="36" t="s">
        <v>32</v>
      </c>
      <c r="G69" s="1"/>
      <c r="I69" s="54"/>
      <c r="J69" s="39"/>
      <c r="K69" s="35"/>
      <c r="M69" s="1"/>
      <c r="O69" s="54"/>
      <c r="P69" s="39"/>
      <c r="Q69" s="35"/>
      <c r="S69" s="1"/>
      <c r="U69" s="54"/>
      <c r="V69" s="39"/>
      <c r="W69" s="35"/>
      <c r="Y69" s="1"/>
      <c r="AA69" s="54"/>
      <c r="AB69" s="39"/>
      <c r="AC69" s="35"/>
      <c r="AE69" s="1"/>
      <c r="AG69" s="54"/>
      <c r="AH69" s="39"/>
      <c r="AI69" s="35"/>
      <c r="AK69" s="1"/>
      <c r="AM69" s="54"/>
      <c r="AN69" s="39"/>
      <c r="AO69" s="35"/>
      <c r="AQ69" s="1"/>
      <c r="AS69" s="54"/>
      <c r="AT69" s="39"/>
      <c r="AU69" s="35"/>
      <c r="AW69" s="1"/>
      <c r="AY69" s="54"/>
      <c r="AZ69" s="39"/>
      <c r="BA69" s="35"/>
      <c r="BC69" s="1"/>
      <c r="BE69" s="54"/>
      <c r="BF69" s="39"/>
      <c r="BG69" s="35"/>
      <c r="BI69" s="1"/>
      <c r="BK69" s="59"/>
      <c r="BL69" s="39"/>
      <c r="BM69" s="35"/>
      <c r="BO69" s="1"/>
      <c r="BQ69" s="54"/>
      <c r="BR69" s="39"/>
      <c r="BS69" s="35"/>
      <c r="BU69" s="4"/>
    </row>
    <row r="70">
      <c r="A70" s="1"/>
      <c r="B70" s="36" t="s">
        <v>127</v>
      </c>
      <c r="C70" s="54">
        <v>120.0</v>
      </c>
      <c r="D70" s="39">
        <v>16.0</v>
      </c>
      <c r="E70" s="35" t="s">
        <v>28</v>
      </c>
      <c r="F70" s="36" t="s">
        <v>34</v>
      </c>
      <c r="G70" s="1"/>
      <c r="I70" s="54"/>
      <c r="J70" s="39"/>
      <c r="K70" s="35"/>
      <c r="M70" s="1"/>
      <c r="O70" s="54"/>
      <c r="P70" s="39"/>
      <c r="Q70" s="35"/>
      <c r="S70" s="1"/>
      <c r="U70" s="54"/>
      <c r="V70" s="39"/>
      <c r="W70" s="35"/>
      <c r="Y70" s="1"/>
      <c r="AA70" s="54"/>
      <c r="AB70" s="39"/>
      <c r="AC70" s="35"/>
      <c r="AE70" s="1"/>
      <c r="AG70" s="54"/>
      <c r="AH70" s="39"/>
      <c r="AI70" s="35"/>
      <c r="AK70" s="1"/>
      <c r="AM70" s="54"/>
      <c r="AN70" s="39"/>
      <c r="AO70" s="35"/>
      <c r="AQ70" s="1"/>
      <c r="AS70" s="54"/>
      <c r="AT70" s="39"/>
      <c r="AU70" s="35"/>
      <c r="AW70" s="1"/>
      <c r="AY70" s="54"/>
      <c r="AZ70" s="39"/>
      <c r="BA70" s="35"/>
      <c r="BC70" s="1"/>
      <c r="BE70" s="54"/>
      <c r="BF70" s="39"/>
      <c r="BG70" s="35"/>
      <c r="BI70" s="1"/>
      <c r="BK70" s="59"/>
      <c r="BL70" s="39"/>
      <c r="BM70" s="35"/>
      <c r="BO70" s="1"/>
      <c r="BQ70" s="54"/>
      <c r="BR70" s="39"/>
      <c r="BS70" s="35"/>
      <c r="BU70" s="4"/>
    </row>
    <row r="71">
      <c r="A71" s="1"/>
      <c r="B71" s="36" t="s">
        <v>89</v>
      </c>
      <c r="C71" s="54">
        <v>80.5</v>
      </c>
      <c r="D71" s="39">
        <v>18.0</v>
      </c>
      <c r="E71" s="35" t="s">
        <v>28</v>
      </c>
      <c r="F71" s="36" t="s">
        <v>34</v>
      </c>
      <c r="G71" s="1"/>
      <c r="I71" s="54"/>
      <c r="J71" s="39"/>
      <c r="K71" s="35"/>
      <c r="M71" s="1"/>
      <c r="O71" s="54"/>
      <c r="P71" s="39"/>
      <c r="Q71" s="35"/>
      <c r="S71" s="1"/>
      <c r="U71" s="54"/>
      <c r="V71" s="39"/>
      <c r="W71" s="35"/>
      <c r="Y71" s="1"/>
      <c r="AA71" s="54"/>
      <c r="AB71" s="39"/>
      <c r="AC71" s="35"/>
      <c r="AE71" s="1"/>
      <c r="AG71" s="54"/>
      <c r="AH71" s="39"/>
      <c r="AI71" s="35"/>
      <c r="AK71" s="1"/>
      <c r="AM71" s="54"/>
      <c r="AN71" s="39"/>
      <c r="AO71" s="35"/>
      <c r="AQ71" s="1"/>
      <c r="AS71" s="54"/>
      <c r="AT71" s="39"/>
      <c r="AU71" s="35"/>
      <c r="AW71" s="1"/>
      <c r="AY71" s="54"/>
      <c r="AZ71" s="39"/>
      <c r="BA71" s="35"/>
      <c r="BC71" s="1"/>
      <c r="BE71" s="54"/>
      <c r="BF71" s="39"/>
      <c r="BG71" s="35"/>
      <c r="BI71" s="1"/>
      <c r="BK71" s="59"/>
      <c r="BL71" s="39"/>
      <c r="BM71" s="35"/>
      <c r="BO71" s="1"/>
      <c r="BQ71" s="54"/>
      <c r="BR71" s="39"/>
      <c r="BS71" s="35"/>
      <c r="BU71" s="4"/>
    </row>
    <row r="72">
      <c r="A72" s="1"/>
      <c r="B72" s="36" t="s">
        <v>94</v>
      </c>
      <c r="C72" s="54">
        <v>30.0</v>
      </c>
      <c r="D72" s="39">
        <v>19.0</v>
      </c>
      <c r="E72" s="35" t="s">
        <v>28</v>
      </c>
      <c r="F72" s="36" t="s">
        <v>32</v>
      </c>
      <c r="G72" s="1"/>
      <c r="I72" s="54"/>
      <c r="J72" s="39"/>
      <c r="K72" s="35"/>
      <c r="M72" s="1"/>
      <c r="O72" s="54"/>
      <c r="P72" s="39"/>
      <c r="Q72" s="35"/>
      <c r="S72" s="1"/>
      <c r="U72" s="54"/>
      <c r="V72" s="39"/>
      <c r="W72" s="35"/>
      <c r="Y72" s="1"/>
      <c r="AA72" s="54"/>
      <c r="AB72" s="39"/>
      <c r="AC72" s="35"/>
      <c r="AE72" s="1"/>
      <c r="AG72" s="54"/>
      <c r="AH72" s="39"/>
      <c r="AI72" s="35"/>
      <c r="AK72" s="1"/>
      <c r="AM72" s="54"/>
      <c r="AN72" s="39"/>
      <c r="AO72" s="35"/>
      <c r="AQ72" s="1"/>
      <c r="AS72" s="54"/>
      <c r="AT72" s="39"/>
      <c r="AU72" s="35"/>
      <c r="AW72" s="1"/>
      <c r="AY72" s="54"/>
      <c r="AZ72" s="39"/>
      <c r="BA72" s="35"/>
      <c r="BC72" s="1"/>
      <c r="BE72" s="54"/>
      <c r="BF72" s="39"/>
      <c r="BG72" s="35"/>
      <c r="BI72" s="1"/>
      <c r="BK72" s="59"/>
      <c r="BL72" s="39"/>
      <c r="BM72" s="35"/>
      <c r="BO72" s="1"/>
      <c r="BQ72" s="54"/>
      <c r="BR72" s="39"/>
      <c r="BS72" s="35"/>
      <c r="BU72" s="4"/>
    </row>
    <row r="73">
      <c r="A73" s="1"/>
      <c r="B73" s="36" t="s">
        <v>89</v>
      </c>
      <c r="C73" s="54">
        <v>470.0</v>
      </c>
      <c r="D73" s="39">
        <v>19.0</v>
      </c>
      <c r="E73" s="35" t="s">
        <v>28</v>
      </c>
      <c r="F73" s="36" t="s">
        <v>32</v>
      </c>
      <c r="G73" s="1"/>
      <c r="I73" s="54"/>
      <c r="J73" s="39"/>
      <c r="K73" s="35"/>
      <c r="M73" s="1"/>
      <c r="O73" s="54"/>
      <c r="P73" s="39"/>
      <c r="Q73" s="35"/>
      <c r="S73" s="1"/>
      <c r="U73" s="54"/>
      <c r="V73" s="39"/>
      <c r="W73" s="35"/>
      <c r="Y73" s="1"/>
      <c r="AA73" s="54"/>
      <c r="AB73" s="39"/>
      <c r="AC73" s="35"/>
      <c r="AE73" s="1"/>
      <c r="AG73" s="54"/>
      <c r="AH73" s="39"/>
      <c r="AI73" s="35"/>
      <c r="AK73" s="1"/>
      <c r="AM73" s="54"/>
      <c r="AN73" s="39"/>
      <c r="AO73" s="35"/>
      <c r="AQ73" s="1"/>
      <c r="AS73" s="54"/>
      <c r="AT73" s="39"/>
      <c r="AU73" s="35"/>
      <c r="AW73" s="1"/>
      <c r="AY73" s="54"/>
      <c r="AZ73" s="39"/>
      <c r="BA73" s="35"/>
      <c r="BC73" s="1"/>
      <c r="BE73" s="54"/>
      <c r="BF73" s="39"/>
      <c r="BG73" s="35"/>
      <c r="BI73" s="1"/>
      <c r="BK73" s="59"/>
      <c r="BL73" s="39"/>
      <c r="BM73" s="35"/>
      <c r="BO73" s="1"/>
      <c r="BQ73" s="54"/>
      <c r="BR73" s="39"/>
      <c r="BS73" s="35"/>
      <c r="BU73" s="4"/>
    </row>
    <row r="74">
      <c r="A74" s="1"/>
      <c r="B74" s="36" t="s">
        <v>110</v>
      </c>
      <c r="C74" s="54">
        <v>50.0</v>
      </c>
      <c r="D74" s="39">
        <v>20.0</v>
      </c>
      <c r="E74" s="35" t="s">
        <v>28</v>
      </c>
      <c r="F74" s="36" t="s">
        <v>34</v>
      </c>
      <c r="G74" s="1"/>
      <c r="I74" s="54"/>
      <c r="J74" s="39"/>
      <c r="K74" s="35"/>
      <c r="M74" s="1"/>
      <c r="O74" s="54"/>
      <c r="P74" s="39"/>
      <c r="Q74" s="35"/>
      <c r="S74" s="1"/>
      <c r="U74" s="54"/>
      <c r="V74" s="39"/>
      <c r="W74" s="35"/>
      <c r="Y74" s="1"/>
      <c r="AA74" s="54"/>
      <c r="AB74" s="39"/>
      <c r="AC74" s="35"/>
      <c r="AE74" s="1"/>
      <c r="AG74" s="54"/>
      <c r="AH74" s="39"/>
      <c r="AI74" s="35"/>
      <c r="AK74" s="1"/>
      <c r="AM74" s="54"/>
      <c r="AN74" s="39"/>
      <c r="AO74" s="35"/>
      <c r="AQ74" s="1"/>
      <c r="AS74" s="54"/>
      <c r="AT74" s="39"/>
      <c r="AU74" s="35"/>
      <c r="AW74" s="1"/>
      <c r="AY74" s="54"/>
      <c r="AZ74" s="39"/>
      <c r="BA74" s="35"/>
      <c r="BC74" s="1"/>
      <c r="BE74" s="54"/>
      <c r="BF74" s="39"/>
      <c r="BG74" s="35"/>
      <c r="BI74" s="1"/>
      <c r="BK74" s="59"/>
      <c r="BL74" s="39"/>
      <c r="BM74" s="35"/>
      <c r="BO74" s="1"/>
      <c r="BQ74" s="54"/>
      <c r="BR74" s="39"/>
      <c r="BS74" s="35"/>
      <c r="BU74" s="4"/>
    </row>
    <row r="75">
      <c r="A75" s="1"/>
      <c r="B75" s="36" t="s">
        <v>128</v>
      </c>
      <c r="C75" s="54">
        <v>2000.0</v>
      </c>
      <c r="D75" s="39">
        <v>21.0</v>
      </c>
      <c r="E75" s="35" t="s">
        <v>32</v>
      </c>
      <c r="F75" s="36" t="s">
        <v>34</v>
      </c>
      <c r="G75" s="1"/>
      <c r="I75" s="54"/>
      <c r="J75" s="39"/>
      <c r="K75" s="35"/>
      <c r="M75" s="1"/>
      <c r="O75" s="54"/>
      <c r="P75" s="39"/>
      <c r="Q75" s="35"/>
      <c r="S75" s="1"/>
      <c r="U75" s="54"/>
      <c r="V75" s="39"/>
      <c r="W75" s="35"/>
      <c r="Y75" s="1"/>
      <c r="AA75" s="54"/>
      <c r="AB75" s="39"/>
      <c r="AC75" s="35"/>
      <c r="AE75" s="1"/>
      <c r="AG75" s="54"/>
      <c r="AH75" s="39"/>
      <c r="AI75" s="35"/>
      <c r="AK75" s="1"/>
      <c r="AM75" s="54"/>
      <c r="AN75" s="39"/>
      <c r="AO75" s="35"/>
      <c r="AQ75" s="1"/>
      <c r="AS75" s="54"/>
      <c r="AT75" s="39"/>
      <c r="AU75" s="35"/>
      <c r="AW75" s="1"/>
      <c r="AY75" s="54"/>
      <c r="AZ75" s="39"/>
      <c r="BA75" s="35"/>
      <c r="BC75" s="1"/>
      <c r="BE75" s="54"/>
      <c r="BF75" s="39"/>
      <c r="BG75" s="35"/>
      <c r="BI75" s="1"/>
      <c r="BK75" s="59"/>
      <c r="BL75" s="39"/>
      <c r="BM75" s="35"/>
      <c r="BO75" s="1"/>
      <c r="BQ75" s="54"/>
      <c r="BR75" s="39"/>
      <c r="BS75" s="35"/>
      <c r="BU75" s="4"/>
    </row>
    <row r="76">
      <c r="A76" s="1"/>
      <c r="B76" s="36" t="s">
        <v>129</v>
      </c>
      <c r="C76" s="54">
        <v>200.0</v>
      </c>
      <c r="D76" s="39">
        <v>25.0</v>
      </c>
      <c r="E76" s="35" t="s">
        <v>28</v>
      </c>
      <c r="F76" s="36" t="s">
        <v>34</v>
      </c>
      <c r="G76" s="1"/>
      <c r="I76" s="54"/>
      <c r="J76" s="39"/>
      <c r="K76" s="35"/>
      <c r="M76" s="1"/>
      <c r="O76" s="54"/>
      <c r="P76" s="39"/>
      <c r="Q76" s="35"/>
      <c r="S76" s="1"/>
      <c r="U76" s="54"/>
      <c r="V76" s="39"/>
      <c r="W76" s="35"/>
      <c r="Y76" s="1"/>
      <c r="AA76" s="54"/>
      <c r="AB76" s="39"/>
      <c r="AC76" s="35"/>
      <c r="AE76" s="1"/>
      <c r="AG76" s="54"/>
      <c r="AH76" s="39"/>
      <c r="AI76" s="35"/>
      <c r="AK76" s="1"/>
      <c r="AM76" s="54"/>
      <c r="AN76" s="39"/>
      <c r="AO76" s="35"/>
      <c r="AQ76" s="1"/>
      <c r="AS76" s="54"/>
      <c r="AT76" s="39"/>
      <c r="AU76" s="35"/>
      <c r="AW76" s="1"/>
      <c r="AY76" s="54"/>
      <c r="AZ76" s="39"/>
      <c r="BA76" s="35"/>
      <c r="BC76" s="1"/>
      <c r="BE76" s="54"/>
      <c r="BF76" s="39"/>
      <c r="BG76" s="35"/>
      <c r="BI76" s="1"/>
      <c r="BK76" s="59"/>
      <c r="BL76" s="39"/>
      <c r="BM76" s="35"/>
      <c r="BO76" s="1"/>
      <c r="BQ76" s="54"/>
      <c r="BR76" s="39"/>
      <c r="BS76" s="35"/>
      <c r="BU76" s="4"/>
    </row>
    <row r="77">
      <c r="A77" s="1"/>
      <c r="B77" s="36" t="s">
        <v>110</v>
      </c>
      <c r="C77" s="54">
        <v>40.0</v>
      </c>
      <c r="D77" s="39">
        <v>26.0</v>
      </c>
      <c r="E77" s="35" t="s">
        <v>28</v>
      </c>
      <c r="F77" s="36" t="s">
        <v>34</v>
      </c>
      <c r="G77" s="1"/>
      <c r="I77" s="54"/>
      <c r="J77" s="39"/>
      <c r="K77" s="35"/>
      <c r="M77" s="1"/>
      <c r="O77" s="54"/>
      <c r="P77" s="39"/>
      <c r="Q77" s="35"/>
      <c r="S77" s="1"/>
      <c r="U77" s="54"/>
      <c r="V77" s="39"/>
      <c r="W77" s="35"/>
      <c r="Y77" s="1"/>
      <c r="AA77" s="54"/>
      <c r="AB77" s="39"/>
      <c r="AC77" s="35"/>
      <c r="AE77" s="1"/>
      <c r="AG77" s="54"/>
      <c r="AH77" s="39"/>
      <c r="AI77" s="35"/>
      <c r="AK77" s="1"/>
      <c r="AM77" s="54"/>
      <c r="AN77" s="39"/>
      <c r="AO77" s="35"/>
      <c r="AQ77" s="1"/>
      <c r="AS77" s="54"/>
      <c r="AT77" s="39"/>
      <c r="AU77" s="35"/>
      <c r="AW77" s="1"/>
      <c r="AY77" s="54"/>
      <c r="AZ77" s="39"/>
      <c r="BA77" s="35"/>
      <c r="BC77" s="1"/>
      <c r="BE77" s="54"/>
      <c r="BF77" s="39"/>
      <c r="BG77" s="35"/>
      <c r="BI77" s="1"/>
      <c r="BK77" s="59"/>
      <c r="BL77" s="39"/>
      <c r="BM77" s="35"/>
      <c r="BO77" s="1"/>
      <c r="BQ77" s="54"/>
      <c r="BR77" s="39"/>
      <c r="BS77" s="35"/>
      <c r="BU77" s="4"/>
    </row>
    <row r="78">
      <c r="A78" s="1"/>
      <c r="B78" s="36" t="s">
        <v>94</v>
      </c>
      <c r="C78" s="54">
        <v>30.0</v>
      </c>
      <c r="D78" s="39">
        <v>26.0</v>
      </c>
      <c r="E78" s="35" t="s">
        <v>28</v>
      </c>
      <c r="F78" s="36" t="s">
        <v>32</v>
      </c>
      <c r="G78" s="1"/>
      <c r="I78" s="54"/>
      <c r="J78" s="39"/>
      <c r="K78" s="35"/>
      <c r="M78" s="1"/>
      <c r="O78" s="54"/>
      <c r="P78" s="39"/>
      <c r="Q78" s="35"/>
      <c r="S78" s="1"/>
      <c r="U78" s="54"/>
      <c r="V78" s="39"/>
      <c r="W78" s="35"/>
      <c r="Y78" s="1"/>
      <c r="AA78" s="54"/>
      <c r="AB78" s="39"/>
      <c r="AC78" s="35"/>
      <c r="AE78" s="1"/>
      <c r="AG78" s="54"/>
      <c r="AH78" s="39"/>
      <c r="AI78" s="35"/>
      <c r="AK78" s="1"/>
      <c r="AM78" s="54"/>
      <c r="AN78" s="39"/>
      <c r="AO78" s="35"/>
      <c r="AQ78" s="1"/>
      <c r="AS78" s="54"/>
      <c r="AT78" s="39"/>
      <c r="AU78" s="35"/>
      <c r="AW78" s="1"/>
      <c r="AY78" s="54"/>
      <c r="AZ78" s="39"/>
      <c r="BA78" s="35"/>
      <c r="BC78" s="1"/>
      <c r="BE78" s="54"/>
      <c r="BF78" s="39"/>
      <c r="BG78" s="35"/>
      <c r="BI78" s="1"/>
      <c r="BK78" s="59"/>
      <c r="BL78" s="39"/>
      <c r="BM78" s="35"/>
      <c r="BO78" s="1"/>
      <c r="BQ78" s="54"/>
      <c r="BR78" s="39"/>
      <c r="BS78" s="35"/>
      <c r="BU78" s="4"/>
    </row>
    <row r="79">
      <c r="A79" s="1"/>
      <c r="B79" s="36" t="s">
        <v>89</v>
      </c>
      <c r="C79" s="54">
        <v>20.0</v>
      </c>
      <c r="D79" s="39">
        <v>26.0</v>
      </c>
      <c r="E79" s="35" t="s">
        <v>28</v>
      </c>
      <c r="F79" s="36" t="s">
        <v>32</v>
      </c>
      <c r="G79" s="1"/>
      <c r="I79" s="54"/>
      <c r="J79" s="39"/>
      <c r="K79" s="35"/>
      <c r="M79" s="1"/>
      <c r="O79" s="54"/>
      <c r="P79" s="39"/>
      <c r="Q79" s="35"/>
      <c r="S79" s="1"/>
      <c r="U79" s="54"/>
      <c r="V79" s="39"/>
      <c r="W79" s="35"/>
      <c r="Y79" s="1"/>
      <c r="AA79" s="54"/>
      <c r="AB79" s="39"/>
      <c r="AC79" s="35"/>
      <c r="AE79" s="1"/>
      <c r="AG79" s="54"/>
      <c r="AH79" s="39"/>
      <c r="AI79" s="35"/>
      <c r="AK79" s="1"/>
      <c r="AM79" s="54"/>
      <c r="AN79" s="39"/>
      <c r="AO79" s="35"/>
      <c r="AQ79" s="1"/>
      <c r="AS79" s="54"/>
      <c r="AT79" s="39"/>
      <c r="AU79" s="35"/>
      <c r="AW79" s="1"/>
      <c r="AY79" s="54"/>
      <c r="AZ79" s="39"/>
      <c r="BA79" s="35"/>
      <c r="BC79" s="1"/>
      <c r="BE79" s="54"/>
      <c r="BF79" s="39"/>
      <c r="BG79" s="35"/>
      <c r="BI79" s="1"/>
      <c r="BK79" s="59"/>
      <c r="BL79" s="39"/>
      <c r="BM79" s="35"/>
      <c r="BO79" s="1"/>
      <c r="BQ79" s="54"/>
      <c r="BR79" s="39"/>
      <c r="BS79" s="35"/>
      <c r="BU79" s="4"/>
    </row>
    <row r="80">
      <c r="A80" s="1"/>
      <c r="B80" s="36" t="s">
        <v>92</v>
      </c>
      <c r="C80" s="54">
        <v>73.9</v>
      </c>
      <c r="D80" s="39">
        <v>27.0</v>
      </c>
      <c r="E80" s="35" t="s">
        <v>32</v>
      </c>
      <c r="F80" s="36" t="s">
        <v>32</v>
      </c>
      <c r="G80" s="1"/>
      <c r="I80" s="54"/>
      <c r="J80" s="39"/>
      <c r="K80" s="35"/>
      <c r="M80" s="1"/>
      <c r="S80" s="1"/>
      <c r="U80" s="54"/>
      <c r="V80" s="39"/>
      <c r="W80" s="35"/>
      <c r="Y80" s="1"/>
      <c r="AA80" s="54"/>
      <c r="AB80" s="39"/>
      <c r="AC80" s="35"/>
      <c r="AE80" s="1"/>
      <c r="AG80" s="54"/>
      <c r="AH80" s="39"/>
      <c r="AI80" s="35"/>
      <c r="AK80" s="1"/>
      <c r="AM80" s="54"/>
      <c r="AN80" s="39"/>
      <c r="AO80" s="35"/>
      <c r="AQ80" s="1"/>
      <c r="AS80" s="54"/>
      <c r="AT80" s="39"/>
      <c r="AU80" s="35"/>
      <c r="AW80" s="1"/>
      <c r="AY80" s="54"/>
      <c r="AZ80" s="39"/>
      <c r="BA80" s="35"/>
      <c r="BC80" s="1"/>
      <c r="BE80" s="54"/>
      <c r="BF80" s="39"/>
      <c r="BG80" s="35"/>
      <c r="BI80" s="1"/>
      <c r="BK80" s="59"/>
      <c r="BL80" s="39"/>
      <c r="BM80" s="35"/>
      <c r="BO80" s="1"/>
      <c r="BQ80" s="54"/>
      <c r="BR80" s="39"/>
      <c r="BS80" s="35"/>
      <c r="BU80" s="4"/>
    </row>
    <row r="81">
      <c r="A81" s="1"/>
      <c r="B81" s="36" t="s">
        <v>130</v>
      </c>
      <c r="C81" s="54">
        <v>100.0</v>
      </c>
      <c r="D81" s="39">
        <v>28.0</v>
      </c>
      <c r="E81" s="35" t="s">
        <v>32</v>
      </c>
      <c r="F81" s="36" t="s">
        <v>32</v>
      </c>
      <c r="G81" s="1"/>
      <c r="I81" s="54"/>
      <c r="J81" s="39"/>
      <c r="K81" s="35"/>
      <c r="M81" s="1"/>
      <c r="S81" s="1"/>
      <c r="U81" s="54"/>
      <c r="V81" s="39"/>
      <c r="W81" s="35"/>
      <c r="Y81" s="1"/>
      <c r="AA81" s="54"/>
      <c r="AB81" s="39"/>
      <c r="AC81" s="35"/>
      <c r="AE81" s="1"/>
      <c r="AG81" s="54"/>
      <c r="AH81" s="39"/>
      <c r="AI81" s="35"/>
      <c r="AK81" s="1"/>
      <c r="AM81" s="54"/>
      <c r="AN81" s="39"/>
      <c r="AO81" s="35"/>
      <c r="AQ81" s="1"/>
      <c r="AS81" s="54"/>
      <c r="AT81" s="39"/>
      <c r="AU81" s="35"/>
      <c r="AW81" s="1"/>
      <c r="AY81" s="54"/>
      <c r="AZ81" s="39"/>
      <c r="BA81" s="35"/>
      <c r="BC81" s="1"/>
      <c r="BE81" s="54"/>
      <c r="BF81" s="39"/>
      <c r="BG81" s="35"/>
      <c r="BI81" s="1"/>
      <c r="BK81" s="59"/>
      <c r="BL81" s="39"/>
      <c r="BM81" s="35"/>
      <c r="BO81" s="1"/>
      <c r="BQ81" s="54"/>
      <c r="BR81" s="39"/>
      <c r="BS81" s="35"/>
      <c r="BU81" s="4"/>
    </row>
    <row r="82">
      <c r="A82" s="1"/>
      <c r="B82" s="36" t="s">
        <v>89</v>
      </c>
      <c r="C82" s="54">
        <v>300.0</v>
      </c>
      <c r="D82" s="39">
        <v>28.0</v>
      </c>
      <c r="E82" s="35" t="s">
        <v>28</v>
      </c>
      <c r="F82" s="36" t="s">
        <v>32</v>
      </c>
      <c r="G82" s="1"/>
      <c r="I82" s="54"/>
      <c r="J82" s="39"/>
      <c r="K82" s="35"/>
      <c r="M82" s="1"/>
      <c r="S82" s="1"/>
      <c r="U82" s="54"/>
      <c r="V82" s="39"/>
      <c r="W82" s="35"/>
      <c r="Y82" s="1"/>
      <c r="AA82" s="54"/>
      <c r="AB82" s="39"/>
      <c r="AC82" s="35"/>
      <c r="AE82" s="1"/>
      <c r="AG82" s="54"/>
      <c r="AH82" s="39"/>
      <c r="AI82" s="35"/>
      <c r="AK82" s="1"/>
      <c r="AM82" s="54"/>
      <c r="AN82" s="39"/>
      <c r="AO82" s="35"/>
      <c r="AQ82" s="1"/>
      <c r="AS82" s="54"/>
      <c r="AT82" s="39"/>
      <c r="AU82" s="35"/>
      <c r="AW82" s="1"/>
      <c r="AY82" s="54"/>
      <c r="AZ82" s="39"/>
      <c r="BA82" s="35"/>
      <c r="BC82" s="1"/>
      <c r="BE82" s="54"/>
      <c r="BF82" s="39"/>
      <c r="BG82" s="35"/>
      <c r="BI82" s="1"/>
      <c r="BK82" s="59"/>
      <c r="BL82" s="39"/>
      <c r="BM82" s="35"/>
      <c r="BO82" s="1"/>
      <c r="BQ82" s="54"/>
      <c r="BR82" s="39"/>
      <c r="BS82" s="35"/>
      <c r="BU82" s="4"/>
    </row>
    <row r="83">
      <c r="A83" s="1"/>
      <c r="B83" s="36" t="s">
        <v>131</v>
      </c>
      <c r="C83" s="54">
        <v>640.0</v>
      </c>
      <c r="D83" s="39">
        <v>29.0</v>
      </c>
      <c r="E83" s="35" t="s">
        <v>32</v>
      </c>
      <c r="F83" s="36" t="s">
        <v>32</v>
      </c>
      <c r="G83" s="1"/>
      <c r="I83" s="54"/>
      <c r="J83" s="39"/>
      <c r="K83" s="35"/>
      <c r="M83" s="1"/>
      <c r="S83" s="1"/>
      <c r="U83" s="54"/>
      <c r="V83" s="39"/>
      <c r="W83" s="35"/>
      <c r="Y83" s="1"/>
      <c r="AA83" s="54"/>
      <c r="AB83" s="39"/>
      <c r="AC83" s="35"/>
      <c r="AE83" s="1"/>
      <c r="AG83" s="54"/>
      <c r="AH83" s="39"/>
      <c r="AI83" s="35"/>
      <c r="AK83" s="1"/>
      <c r="AM83" s="54"/>
      <c r="AN83" s="39"/>
      <c r="AO83" s="35"/>
      <c r="AQ83" s="1"/>
      <c r="AS83" s="54"/>
      <c r="AT83" s="39"/>
      <c r="AU83" s="35"/>
      <c r="AW83" s="1"/>
      <c r="AY83" s="54"/>
      <c r="AZ83" s="39"/>
      <c r="BA83" s="35"/>
      <c r="BC83" s="1"/>
      <c r="BE83" s="54"/>
      <c r="BF83" s="39"/>
      <c r="BG83" s="35"/>
      <c r="BI83" s="1"/>
      <c r="BK83" s="59"/>
      <c r="BL83" s="39"/>
      <c r="BM83" s="35"/>
      <c r="BO83" s="1"/>
      <c r="BQ83" s="54"/>
      <c r="BR83" s="39"/>
      <c r="BS83" s="35"/>
      <c r="BU83" s="4"/>
    </row>
    <row r="84">
      <c r="A84" s="1"/>
      <c r="B84" s="36" t="s">
        <v>132</v>
      </c>
      <c r="C84" s="54">
        <v>702.0</v>
      </c>
      <c r="D84" s="39">
        <v>29.0</v>
      </c>
      <c r="E84" s="35" t="s">
        <v>32</v>
      </c>
      <c r="F84" s="36" t="s">
        <v>32</v>
      </c>
      <c r="G84" s="1"/>
      <c r="I84" s="54"/>
      <c r="J84" s="39"/>
      <c r="K84" s="35"/>
      <c r="M84" s="1"/>
      <c r="S84" s="1"/>
      <c r="U84" s="54"/>
      <c r="V84" s="39"/>
      <c r="W84" s="35"/>
      <c r="Y84" s="1"/>
      <c r="AA84" s="54"/>
      <c r="AB84" s="39"/>
      <c r="AC84" s="35"/>
      <c r="AE84" s="1"/>
      <c r="AG84" s="54"/>
      <c r="AH84" s="39"/>
      <c r="AI84" s="35"/>
      <c r="AK84" s="1"/>
      <c r="AM84" s="54"/>
      <c r="AN84" s="39"/>
      <c r="AO84" s="35"/>
      <c r="AQ84" s="1"/>
      <c r="AS84" s="54"/>
      <c r="AT84" s="39"/>
      <c r="AU84" s="35"/>
      <c r="AW84" s="66"/>
      <c r="AY84" s="54"/>
      <c r="AZ84" s="39"/>
      <c r="BA84" s="35"/>
      <c r="BC84" s="1"/>
      <c r="BE84" s="54"/>
      <c r="BF84" s="39"/>
      <c r="BG84" s="35"/>
      <c r="BI84" s="1"/>
      <c r="BK84" s="59"/>
      <c r="BL84" s="39"/>
      <c r="BM84" s="35"/>
      <c r="BO84" s="1"/>
      <c r="BQ84" s="54"/>
      <c r="BR84" s="39"/>
      <c r="BS84" s="35"/>
      <c r="BU84" s="4"/>
    </row>
    <row r="85">
      <c r="A85" s="1"/>
      <c r="B85" s="36" t="s">
        <v>124</v>
      </c>
      <c r="C85" s="54">
        <v>-8.8</v>
      </c>
      <c r="D85" s="39">
        <v>31.0</v>
      </c>
      <c r="E85" s="35" t="s">
        <v>32</v>
      </c>
      <c r="F85" s="36" t="s">
        <v>32</v>
      </c>
      <c r="G85" s="1"/>
      <c r="I85" s="54"/>
      <c r="J85" s="39"/>
      <c r="K85" s="35"/>
      <c r="M85" s="1"/>
      <c r="S85" s="1"/>
      <c r="U85" s="54"/>
      <c r="V85" s="39"/>
      <c r="W85" s="35"/>
      <c r="Y85" s="1"/>
      <c r="AA85" s="54"/>
      <c r="AB85" s="39"/>
      <c r="AC85" s="35"/>
      <c r="AE85" s="1"/>
      <c r="AG85" s="54"/>
      <c r="AH85" s="39"/>
      <c r="AI85" s="35"/>
      <c r="AK85" s="1"/>
      <c r="AM85" s="54"/>
      <c r="AN85" s="39"/>
      <c r="AO85" s="35"/>
      <c r="AQ85" s="1"/>
      <c r="AS85" s="54"/>
      <c r="AT85" s="39"/>
      <c r="AU85" s="35"/>
      <c r="AW85" s="1"/>
      <c r="AY85" s="54"/>
      <c r="AZ85" s="39"/>
      <c r="BA85" s="35"/>
      <c r="BC85" s="1"/>
      <c r="BE85" s="54"/>
      <c r="BF85" s="39"/>
      <c r="BG85" s="35"/>
      <c r="BI85" s="1"/>
      <c r="BK85" s="59"/>
      <c r="BL85" s="39"/>
      <c r="BM85" s="35"/>
      <c r="BO85" s="1"/>
      <c r="BQ85" s="54"/>
      <c r="BR85" s="39"/>
      <c r="BS85" s="35"/>
      <c r="BU85" s="4"/>
    </row>
    <row r="86">
      <c r="A86" s="1"/>
      <c r="B86" s="36" t="s">
        <v>133</v>
      </c>
      <c r="C86" s="54">
        <v>5700.0</v>
      </c>
      <c r="D86" s="39">
        <v>31.0</v>
      </c>
      <c r="E86" s="35" t="s">
        <v>32</v>
      </c>
      <c r="F86" s="36" t="s">
        <v>32</v>
      </c>
      <c r="G86" s="1"/>
      <c r="I86" s="54"/>
      <c r="J86" s="39"/>
      <c r="K86" s="35"/>
      <c r="M86" s="1"/>
      <c r="S86" s="1"/>
      <c r="U86" s="54"/>
      <c r="V86" s="39"/>
      <c r="W86" s="35"/>
      <c r="Y86" s="1"/>
      <c r="AA86" s="54"/>
      <c r="AB86" s="39"/>
      <c r="AC86" s="35"/>
      <c r="AE86" s="1"/>
      <c r="AG86" s="54"/>
      <c r="AH86" s="39"/>
      <c r="AI86" s="35"/>
      <c r="AK86" s="1"/>
      <c r="AM86" s="54"/>
      <c r="AN86" s="39"/>
      <c r="AO86" s="35"/>
      <c r="AQ86" s="1"/>
      <c r="AS86" s="54"/>
      <c r="AT86" s="39"/>
      <c r="AU86" s="35"/>
      <c r="AW86" s="1"/>
      <c r="AY86" s="54"/>
      <c r="AZ86" s="39"/>
      <c r="BA86" s="35"/>
      <c r="BC86" s="1"/>
      <c r="BE86" s="54"/>
      <c r="BF86" s="39"/>
      <c r="BG86" s="35"/>
      <c r="BI86" s="1"/>
      <c r="BK86" s="59"/>
      <c r="BL86" s="39"/>
      <c r="BM86" s="35"/>
      <c r="BO86" s="1"/>
      <c r="BQ86" s="54"/>
      <c r="BR86" s="39"/>
      <c r="BS86" s="35"/>
      <c r="BU86" s="4"/>
    </row>
    <row r="87">
      <c r="A87" s="1"/>
      <c r="C87" s="54"/>
      <c r="D87" s="39"/>
      <c r="E87" s="35"/>
      <c r="G87" s="1"/>
      <c r="I87" s="54"/>
      <c r="J87" s="39"/>
      <c r="K87" s="35"/>
      <c r="M87" s="1"/>
      <c r="S87" s="1"/>
      <c r="U87" s="54"/>
      <c r="V87" s="39"/>
      <c r="W87" s="35"/>
      <c r="Y87" s="1"/>
      <c r="AA87" s="54"/>
      <c r="AB87" s="39"/>
      <c r="AC87" s="35"/>
      <c r="AE87" s="1"/>
      <c r="AG87" s="54"/>
      <c r="AH87" s="39"/>
      <c r="AI87" s="35"/>
      <c r="AK87" s="1"/>
      <c r="AM87" s="54"/>
      <c r="AN87" s="39"/>
      <c r="AO87" s="35"/>
      <c r="AQ87" s="1"/>
      <c r="AS87" s="54"/>
      <c r="AT87" s="39"/>
      <c r="AU87" s="35"/>
      <c r="AW87" s="1"/>
      <c r="AY87" s="54"/>
      <c r="AZ87" s="39"/>
      <c r="BA87" s="35"/>
      <c r="BC87" s="1"/>
      <c r="BE87" s="54"/>
      <c r="BF87" s="39"/>
      <c r="BG87" s="35"/>
      <c r="BI87" s="1"/>
      <c r="BK87" s="59"/>
      <c r="BL87" s="39"/>
      <c r="BM87" s="35"/>
      <c r="BO87" s="1"/>
      <c r="BQ87" s="54"/>
      <c r="BR87" s="39"/>
      <c r="BS87" s="35"/>
      <c r="BU87" s="4"/>
    </row>
    <row r="88">
      <c r="A88" s="1"/>
      <c r="C88" s="54"/>
      <c r="D88" s="39"/>
      <c r="E88" s="35"/>
      <c r="G88" s="1"/>
      <c r="I88" s="54"/>
      <c r="J88" s="39"/>
      <c r="K88" s="35"/>
      <c r="M88" s="1"/>
      <c r="S88" s="1"/>
      <c r="U88" s="54"/>
      <c r="V88" s="39"/>
      <c r="W88" s="35"/>
      <c r="Y88" s="1"/>
      <c r="AA88" s="54"/>
      <c r="AB88" s="39"/>
      <c r="AC88" s="35"/>
      <c r="AE88" s="1"/>
      <c r="AG88" s="54"/>
      <c r="AH88" s="39"/>
      <c r="AI88" s="35"/>
      <c r="AK88" s="1"/>
      <c r="AM88" s="54"/>
      <c r="AN88" s="39"/>
      <c r="AO88" s="35"/>
      <c r="AQ88" s="1"/>
      <c r="AS88" s="54"/>
      <c r="AT88" s="39"/>
      <c r="AU88" s="35"/>
      <c r="AW88" s="1"/>
      <c r="AY88" s="54"/>
      <c r="AZ88" s="39"/>
      <c r="BA88" s="35"/>
      <c r="BC88" s="1"/>
      <c r="BE88" s="54"/>
      <c r="BF88" s="39"/>
      <c r="BG88" s="35"/>
      <c r="BI88" s="1"/>
      <c r="BK88" s="59"/>
      <c r="BL88" s="39"/>
      <c r="BM88" s="35"/>
      <c r="BO88" s="1"/>
      <c r="BQ88" s="54"/>
      <c r="BR88" s="39"/>
      <c r="BS88" s="35"/>
      <c r="BU88" s="4"/>
    </row>
    <row r="89">
      <c r="A89" s="1"/>
      <c r="G89" s="1"/>
      <c r="I89" s="54"/>
      <c r="J89" s="39"/>
      <c r="K89" s="35"/>
      <c r="M89" s="1"/>
      <c r="S89" s="1"/>
      <c r="U89" s="54"/>
      <c r="V89" s="39"/>
      <c r="W89" s="35"/>
      <c r="Y89" s="1"/>
      <c r="AA89" s="54"/>
      <c r="AB89" s="39"/>
      <c r="AC89" s="35"/>
      <c r="AE89" s="1"/>
      <c r="AG89" s="54"/>
      <c r="AH89" s="39"/>
      <c r="AI89" s="35"/>
      <c r="AK89" s="1"/>
      <c r="AM89" s="54"/>
      <c r="AN89" s="39"/>
      <c r="AO89" s="35"/>
      <c r="AQ89" s="1"/>
      <c r="AS89" s="54"/>
      <c r="AT89" s="39"/>
      <c r="AU89" s="35"/>
      <c r="AW89" s="1"/>
      <c r="AY89" s="54"/>
      <c r="AZ89" s="39"/>
      <c r="BA89" s="35"/>
      <c r="BC89" s="1"/>
      <c r="BE89" s="54"/>
      <c r="BF89" s="39"/>
      <c r="BG89" s="35"/>
      <c r="BI89" s="1"/>
      <c r="BK89" s="59"/>
      <c r="BL89" s="39"/>
      <c r="BM89" s="35"/>
      <c r="BO89" s="1"/>
      <c r="BQ89" s="54"/>
      <c r="BR89" s="39"/>
      <c r="BS89" s="35"/>
      <c r="BU89" s="4"/>
    </row>
    <row r="90">
      <c r="A90" s="1"/>
      <c r="G90" s="1"/>
      <c r="I90" s="54"/>
      <c r="J90" s="39"/>
      <c r="K90" s="35"/>
      <c r="M90" s="1"/>
      <c r="S90" s="1"/>
      <c r="U90" s="54"/>
      <c r="V90" s="39"/>
      <c r="W90" s="35"/>
      <c r="Y90" s="1"/>
      <c r="AE90" s="1"/>
      <c r="AG90" s="54"/>
      <c r="AH90" s="39"/>
      <c r="AI90" s="35"/>
      <c r="AK90" s="1"/>
      <c r="AM90" s="54"/>
      <c r="AN90" s="39"/>
      <c r="AO90" s="35"/>
      <c r="AQ90" s="1"/>
      <c r="AS90" s="54"/>
      <c r="AT90" s="39"/>
      <c r="AU90" s="35"/>
      <c r="AW90" s="1"/>
      <c r="AY90" s="54"/>
      <c r="AZ90" s="39"/>
      <c r="BA90" s="35"/>
      <c r="BC90" s="1"/>
      <c r="BE90" s="54"/>
      <c r="BF90" s="39"/>
      <c r="BG90" s="35"/>
      <c r="BI90" s="1"/>
      <c r="BK90" s="59"/>
      <c r="BL90" s="39"/>
      <c r="BM90" s="35"/>
      <c r="BO90" s="1"/>
      <c r="BQ90" s="54"/>
      <c r="BR90" s="39"/>
      <c r="BS90" s="35"/>
      <c r="BU90" s="4"/>
    </row>
    <row r="91">
      <c r="A91" s="1"/>
      <c r="G91" s="1"/>
      <c r="I91" s="54"/>
      <c r="J91" s="39"/>
      <c r="K91" s="35"/>
      <c r="M91" s="1"/>
      <c r="S91" s="1"/>
      <c r="U91" s="54"/>
      <c r="V91" s="39"/>
      <c r="W91" s="35"/>
      <c r="Y91" s="1"/>
      <c r="AE91" s="1"/>
      <c r="AG91" s="54"/>
      <c r="AH91" s="39"/>
      <c r="AI91" s="35"/>
      <c r="AK91" s="1"/>
      <c r="AM91" s="54"/>
      <c r="AN91" s="39"/>
      <c r="AO91" s="35"/>
      <c r="AQ91" s="1"/>
      <c r="AS91" s="54"/>
      <c r="AT91" s="39"/>
      <c r="AU91" s="35"/>
      <c r="AW91" s="1"/>
      <c r="AY91" s="54"/>
      <c r="AZ91" s="39"/>
      <c r="BA91" s="35"/>
      <c r="BC91" s="1"/>
      <c r="BE91" s="54"/>
      <c r="BF91" s="39"/>
      <c r="BG91" s="35"/>
      <c r="BI91" s="1"/>
      <c r="BK91" s="59"/>
      <c r="BL91" s="39"/>
      <c r="BM91" s="35"/>
      <c r="BO91" s="1"/>
      <c r="BQ91" s="54"/>
      <c r="BR91" s="39"/>
      <c r="BS91" s="35"/>
      <c r="BU91" s="4"/>
    </row>
    <row r="92">
      <c r="A92" s="1"/>
      <c r="G92" s="1"/>
      <c r="I92" s="54"/>
      <c r="J92" s="39"/>
      <c r="K92" s="35"/>
      <c r="M92" s="1"/>
      <c r="S92" s="1"/>
      <c r="U92" s="54"/>
      <c r="V92" s="39"/>
      <c r="W92" s="35"/>
      <c r="Y92" s="1"/>
      <c r="AE92" s="1"/>
      <c r="AG92" s="54"/>
      <c r="AH92" s="39"/>
      <c r="AI92" s="35"/>
      <c r="AK92" s="1"/>
      <c r="AM92" s="54"/>
      <c r="AN92" s="39"/>
      <c r="AO92" s="35"/>
      <c r="AQ92" s="1"/>
      <c r="AS92" s="54"/>
      <c r="AT92" s="39"/>
      <c r="AU92" s="35"/>
      <c r="AW92" s="1"/>
      <c r="AY92" s="54"/>
      <c r="AZ92" s="39"/>
      <c r="BA92" s="35"/>
      <c r="BC92" s="1"/>
      <c r="BE92" s="54"/>
      <c r="BF92" s="39"/>
      <c r="BG92" s="35"/>
      <c r="BI92" s="1"/>
      <c r="BK92" s="59"/>
      <c r="BL92" s="39"/>
      <c r="BM92" s="35"/>
      <c r="BO92" s="1"/>
      <c r="BQ92" s="54"/>
      <c r="BR92" s="39"/>
      <c r="BS92" s="35"/>
      <c r="BU92" s="4"/>
    </row>
    <row r="93">
      <c r="A93" s="1"/>
      <c r="G93" s="1"/>
      <c r="I93" s="54"/>
      <c r="J93" s="39"/>
      <c r="K93" s="35"/>
      <c r="M93" s="1"/>
      <c r="S93" s="1"/>
      <c r="U93" s="54"/>
      <c r="V93" s="39"/>
      <c r="W93" s="35"/>
      <c r="Y93" s="1"/>
      <c r="AE93" s="1"/>
      <c r="AG93" s="54"/>
      <c r="AH93" s="39"/>
      <c r="AI93" s="35"/>
      <c r="AK93" s="1"/>
      <c r="AM93" s="54"/>
      <c r="AN93" s="39"/>
      <c r="AO93" s="35"/>
      <c r="AQ93" s="1"/>
      <c r="AS93" s="54"/>
      <c r="AT93" s="39"/>
      <c r="AU93" s="35"/>
      <c r="AW93" s="1"/>
      <c r="AY93" s="54"/>
      <c r="AZ93" s="39"/>
      <c r="BA93" s="35"/>
      <c r="BC93" s="1"/>
      <c r="BE93" s="54"/>
      <c r="BF93" s="39"/>
      <c r="BG93" s="35"/>
      <c r="BI93" s="1"/>
      <c r="BK93" s="59"/>
      <c r="BL93" s="39"/>
      <c r="BM93" s="35"/>
      <c r="BO93" s="1"/>
      <c r="BQ93" s="54"/>
      <c r="BR93" s="39"/>
      <c r="BS93" s="35"/>
      <c r="BU93" s="4"/>
    </row>
    <row r="94">
      <c r="A94" s="1"/>
      <c r="G94" s="1"/>
      <c r="I94" s="54"/>
      <c r="J94" s="39"/>
      <c r="K94" s="35"/>
      <c r="M94" s="1"/>
      <c r="S94" s="1"/>
      <c r="U94" s="54"/>
      <c r="V94" s="39"/>
      <c r="W94" s="35"/>
      <c r="Y94" s="1"/>
      <c r="AE94" s="1"/>
      <c r="AG94" s="54"/>
      <c r="AH94" s="39"/>
      <c r="AI94" s="35"/>
      <c r="AK94" s="1"/>
      <c r="AM94" s="54"/>
      <c r="AN94" s="39"/>
      <c r="AO94" s="35"/>
      <c r="AQ94" s="1"/>
      <c r="AS94" s="54"/>
      <c r="AT94" s="39"/>
      <c r="AU94" s="35"/>
      <c r="AW94" s="1"/>
      <c r="AY94" s="54"/>
      <c r="AZ94" s="39"/>
      <c r="BA94" s="35"/>
      <c r="BC94" s="1"/>
      <c r="BE94" s="54"/>
      <c r="BF94" s="39"/>
      <c r="BG94" s="35"/>
      <c r="BI94" s="1"/>
      <c r="BK94" s="59"/>
      <c r="BL94" s="39"/>
      <c r="BM94" s="35"/>
      <c r="BO94" s="1"/>
      <c r="BQ94" s="54"/>
      <c r="BR94" s="39"/>
      <c r="BS94" s="35"/>
      <c r="BU94" s="4"/>
    </row>
    <row r="95">
      <c r="A95" s="1"/>
      <c r="G95" s="1"/>
      <c r="I95" s="54"/>
      <c r="M95" s="1"/>
      <c r="S95" s="1"/>
      <c r="U95" s="54"/>
      <c r="V95" s="39"/>
      <c r="W95" s="35"/>
      <c r="Y95" s="1"/>
      <c r="AE95" s="1"/>
      <c r="AG95" s="54"/>
      <c r="AH95" s="39"/>
      <c r="AI95" s="35"/>
      <c r="AK95" s="1"/>
      <c r="AM95" s="54"/>
      <c r="AN95" s="39"/>
      <c r="AO95" s="35"/>
      <c r="AQ95" s="1"/>
      <c r="AS95" s="54"/>
      <c r="AT95" s="39"/>
      <c r="AU95" s="35"/>
      <c r="AW95" s="1"/>
      <c r="AY95" s="54"/>
      <c r="AZ95" s="39"/>
      <c r="BA95" s="35"/>
      <c r="BC95" s="1"/>
      <c r="BE95" s="54"/>
      <c r="BF95" s="39"/>
      <c r="BG95" s="35"/>
      <c r="BI95" s="1"/>
      <c r="BK95" s="59"/>
      <c r="BL95" s="39"/>
      <c r="BM95" s="35"/>
      <c r="BO95" s="1"/>
      <c r="BQ95" s="54"/>
      <c r="BR95" s="39"/>
      <c r="BS95" s="35"/>
      <c r="BU95" s="4"/>
    </row>
    <row r="96">
      <c r="A96" s="1"/>
      <c r="G96" s="1"/>
      <c r="I96" s="54"/>
      <c r="M96" s="1"/>
      <c r="S96" s="1"/>
      <c r="U96" s="54"/>
      <c r="V96" s="39"/>
      <c r="W96" s="35"/>
      <c r="Y96" s="1"/>
      <c r="AE96" s="1"/>
      <c r="AG96" s="54"/>
      <c r="AH96" s="39"/>
      <c r="AI96" s="35"/>
      <c r="AK96" s="1"/>
      <c r="AM96" s="54"/>
      <c r="AN96" s="39"/>
      <c r="AO96" s="35"/>
      <c r="AQ96" s="1"/>
      <c r="AS96" s="54"/>
      <c r="AT96" s="39"/>
      <c r="AU96" s="35"/>
      <c r="AW96" s="1"/>
      <c r="AY96" s="54"/>
      <c r="AZ96" s="39"/>
      <c r="BA96" s="35"/>
      <c r="BC96" s="1"/>
      <c r="BE96" s="54"/>
      <c r="BF96" s="39"/>
      <c r="BG96" s="35"/>
      <c r="BI96" s="1"/>
      <c r="BK96" s="59"/>
      <c r="BL96" s="39"/>
      <c r="BM96" s="35"/>
      <c r="BO96" s="1"/>
      <c r="BQ96" s="54"/>
      <c r="BR96" s="39"/>
      <c r="BS96" s="35"/>
      <c r="BU96" s="4"/>
    </row>
    <row r="97">
      <c r="A97" s="1"/>
      <c r="G97" s="1"/>
      <c r="I97" s="54"/>
      <c r="M97" s="1"/>
      <c r="S97" s="1"/>
      <c r="U97" s="54"/>
      <c r="V97" s="39"/>
      <c r="W97" s="35"/>
      <c r="Y97" s="1"/>
      <c r="AE97" s="1"/>
      <c r="AG97" s="54"/>
      <c r="AH97" s="39"/>
      <c r="AI97" s="35"/>
      <c r="AK97" s="1"/>
      <c r="AM97" s="54"/>
      <c r="AN97" s="39"/>
      <c r="AO97" s="35"/>
      <c r="AQ97" s="1"/>
      <c r="AS97" s="54"/>
      <c r="AT97" s="39"/>
      <c r="AU97" s="35"/>
      <c r="AW97" s="1"/>
      <c r="AY97" s="54"/>
      <c r="AZ97" s="39"/>
      <c r="BA97" s="35"/>
      <c r="BC97" s="1"/>
      <c r="BE97" s="54"/>
      <c r="BF97" s="39"/>
      <c r="BG97" s="35"/>
      <c r="BI97" s="1"/>
      <c r="BK97" s="59"/>
      <c r="BL97" s="39"/>
      <c r="BM97" s="35"/>
      <c r="BO97" s="1"/>
      <c r="BQ97" s="54"/>
      <c r="BR97" s="39"/>
      <c r="BS97" s="35"/>
      <c r="BU97" s="4"/>
    </row>
    <row r="98">
      <c r="A98" s="1"/>
      <c r="G98" s="1"/>
      <c r="I98" s="54"/>
      <c r="M98" s="1"/>
      <c r="S98" s="1"/>
      <c r="U98" s="54"/>
      <c r="V98" s="39"/>
      <c r="W98" s="35"/>
      <c r="Y98" s="1"/>
      <c r="AE98" s="1"/>
      <c r="AG98" s="54"/>
      <c r="AH98" s="39"/>
      <c r="AI98" s="35"/>
      <c r="AK98" s="1"/>
      <c r="AM98" s="54"/>
      <c r="AN98" s="39"/>
      <c r="AO98" s="35"/>
      <c r="AQ98" s="1"/>
      <c r="AW98" s="1"/>
      <c r="AY98" s="54"/>
      <c r="AZ98" s="39"/>
      <c r="BA98" s="35"/>
      <c r="BC98" s="1"/>
      <c r="BE98" s="54"/>
      <c r="BF98" s="39"/>
      <c r="BG98" s="35"/>
      <c r="BI98" s="1"/>
      <c r="BK98" s="59"/>
      <c r="BL98" s="39"/>
      <c r="BM98" s="35"/>
      <c r="BO98" s="1"/>
      <c r="BQ98" s="54"/>
      <c r="BR98" s="39"/>
      <c r="BS98" s="35"/>
      <c r="BU98" s="4"/>
    </row>
    <row r="99">
      <c r="A99" s="1"/>
      <c r="G99" s="1"/>
      <c r="M99" s="1"/>
      <c r="S99" s="1"/>
      <c r="U99" s="54"/>
      <c r="V99" s="39"/>
      <c r="W99" s="35"/>
      <c r="Y99" s="1"/>
      <c r="AE99" s="1"/>
      <c r="AK99" s="1"/>
      <c r="AM99" s="54"/>
      <c r="AN99" s="39"/>
      <c r="AO99" s="35"/>
      <c r="AQ99" s="1"/>
      <c r="AW99" s="1"/>
      <c r="AY99" s="54"/>
      <c r="AZ99" s="39"/>
      <c r="BA99" s="35"/>
      <c r="BC99" s="1"/>
      <c r="BE99" s="54"/>
      <c r="BF99" s="39"/>
      <c r="BG99" s="35"/>
      <c r="BI99" s="1"/>
      <c r="BK99" s="59"/>
      <c r="BL99" s="39"/>
      <c r="BM99" s="35"/>
      <c r="BO99" s="1"/>
      <c r="BQ99" s="54"/>
      <c r="BR99" s="39"/>
      <c r="BS99" s="35"/>
      <c r="BU99" s="4"/>
    </row>
    <row r="100">
      <c r="A100" s="1"/>
      <c r="G100" s="1"/>
      <c r="M100" s="1"/>
      <c r="S100" s="1"/>
      <c r="Y100" s="1"/>
      <c r="AE100" s="1"/>
      <c r="AK100" s="1"/>
      <c r="AM100" s="54"/>
      <c r="AN100" s="39"/>
      <c r="AO100" s="35"/>
      <c r="AQ100" s="1"/>
      <c r="AW100" s="1"/>
      <c r="AY100" s="54"/>
      <c r="AZ100" s="39"/>
      <c r="BA100" s="35"/>
      <c r="BC100" s="1"/>
      <c r="BE100" s="54"/>
      <c r="BF100" s="39"/>
      <c r="BG100" s="35"/>
      <c r="BI100" s="1"/>
      <c r="BK100" s="59"/>
      <c r="BL100" s="39"/>
      <c r="BM100" s="35"/>
      <c r="BO100" s="1"/>
      <c r="BQ100" s="54"/>
      <c r="BR100" s="39"/>
      <c r="BS100" s="35"/>
      <c r="BU100" s="4"/>
    </row>
    <row r="101">
      <c r="A101" s="1"/>
      <c r="G101" s="1"/>
      <c r="M101" s="1"/>
      <c r="S101" s="1"/>
      <c r="Y101" s="1"/>
      <c r="AE101" s="1"/>
      <c r="AK101" s="1"/>
      <c r="AM101" s="54"/>
      <c r="AN101" s="39"/>
      <c r="AO101" s="35"/>
      <c r="AQ101" s="1"/>
      <c r="AW101" s="1"/>
      <c r="AY101" s="54"/>
      <c r="AZ101" s="39"/>
      <c r="BA101" s="35"/>
      <c r="BC101" s="1"/>
      <c r="BE101" s="54"/>
      <c r="BF101" s="39"/>
      <c r="BG101" s="35"/>
      <c r="BI101" s="1"/>
      <c r="BK101" s="59"/>
      <c r="BL101" s="39"/>
      <c r="BM101" s="35"/>
      <c r="BO101" s="1"/>
      <c r="BQ101" s="54"/>
      <c r="BR101" s="39"/>
      <c r="BS101" s="35"/>
      <c r="BU101" s="4"/>
    </row>
    <row r="102">
      <c r="A102" s="1"/>
      <c r="G102" s="1"/>
      <c r="M102" s="1"/>
      <c r="S102" s="1"/>
      <c r="Y102" s="1"/>
      <c r="AE102" s="1"/>
      <c r="AK102" s="1"/>
      <c r="AM102" s="54"/>
      <c r="AN102" s="39"/>
      <c r="AO102" s="35"/>
      <c r="AQ102" s="1"/>
      <c r="AW102" s="1"/>
      <c r="AY102" s="54"/>
      <c r="AZ102" s="39"/>
      <c r="BA102" s="35"/>
      <c r="BC102" s="1"/>
      <c r="BE102" s="54"/>
      <c r="BF102" s="39"/>
      <c r="BG102" s="35"/>
      <c r="BI102" s="1"/>
      <c r="BK102" s="59"/>
      <c r="BL102" s="39"/>
      <c r="BM102" s="35"/>
      <c r="BO102" s="1"/>
      <c r="BQ102" s="54"/>
      <c r="BR102" s="39"/>
      <c r="BS102" s="35"/>
      <c r="BU102" s="4"/>
    </row>
    <row r="103">
      <c r="A103" s="1"/>
      <c r="G103" s="1"/>
      <c r="M103" s="1"/>
      <c r="S103" s="1"/>
      <c r="Y103" s="1"/>
      <c r="AE103" s="1"/>
      <c r="AK103" s="1"/>
      <c r="AM103" s="54"/>
      <c r="AN103" s="39"/>
      <c r="AO103" s="35"/>
      <c r="AQ103" s="1"/>
      <c r="AW103" s="1"/>
      <c r="AY103" s="54"/>
      <c r="AZ103" s="39"/>
      <c r="BA103" s="35"/>
      <c r="BC103" s="1"/>
      <c r="BE103" s="54"/>
      <c r="BF103" s="39"/>
      <c r="BG103" s="35"/>
      <c r="BI103" s="1"/>
      <c r="BK103" s="59"/>
      <c r="BL103" s="39"/>
      <c r="BM103" s="35"/>
      <c r="BO103" s="1"/>
      <c r="BQ103" s="54"/>
      <c r="BR103" s="39"/>
      <c r="BS103" s="35"/>
      <c r="BU103" s="4"/>
    </row>
    <row r="104">
      <c r="A104" s="1"/>
      <c r="G104" s="1"/>
      <c r="M104" s="1"/>
      <c r="S104" s="1"/>
      <c r="Y104" s="1"/>
      <c r="AE104" s="1"/>
      <c r="AK104" s="1"/>
      <c r="AM104" s="54"/>
      <c r="AN104" s="39"/>
      <c r="AO104" s="35"/>
      <c r="AQ104" s="1"/>
      <c r="AW104" s="1"/>
      <c r="AY104" s="54"/>
      <c r="AZ104" s="39"/>
      <c r="BA104" s="35"/>
      <c r="BC104" s="1"/>
      <c r="BE104" s="54"/>
      <c r="BF104" s="39"/>
      <c r="BG104" s="35"/>
      <c r="BI104" s="1"/>
      <c r="BK104" s="59"/>
      <c r="BL104" s="39"/>
      <c r="BM104" s="35"/>
      <c r="BO104" s="1"/>
      <c r="BQ104" s="54"/>
      <c r="BR104" s="39"/>
      <c r="BS104" s="35"/>
      <c r="BU104" s="4"/>
    </row>
    <row r="105">
      <c r="A105" s="1"/>
      <c r="G105" s="1"/>
      <c r="M105" s="1"/>
      <c r="S105" s="1"/>
      <c r="Y105" s="1"/>
      <c r="AE105" s="1"/>
      <c r="AK105" s="1"/>
      <c r="AQ105" s="1"/>
      <c r="AW105" s="1"/>
      <c r="AY105" s="54"/>
      <c r="AZ105" s="39"/>
      <c r="BA105" s="35"/>
      <c r="BC105" s="1"/>
      <c r="BE105" s="54"/>
      <c r="BF105" s="39"/>
      <c r="BG105" s="35"/>
      <c r="BI105" s="1"/>
      <c r="BK105" s="59"/>
      <c r="BL105" s="39"/>
      <c r="BM105" s="35"/>
      <c r="BO105" s="1"/>
      <c r="BQ105" s="54"/>
      <c r="BR105" s="39"/>
      <c r="BS105" s="35"/>
      <c r="BU105" s="4"/>
    </row>
    <row r="106">
      <c r="A106" s="1"/>
      <c r="G106" s="1"/>
      <c r="M106" s="1"/>
      <c r="S106" s="1"/>
      <c r="Y106" s="1"/>
      <c r="AE106" s="1"/>
      <c r="AK106" s="1"/>
      <c r="AQ106" s="1"/>
      <c r="AW106" s="1"/>
      <c r="BC106" s="1"/>
      <c r="BE106" s="54"/>
      <c r="BF106" s="39"/>
      <c r="BG106" s="35"/>
      <c r="BI106" s="1"/>
      <c r="BK106" s="59"/>
      <c r="BO106" s="1"/>
      <c r="BQ106" s="54"/>
      <c r="BR106" s="39"/>
      <c r="BS106" s="35"/>
      <c r="BU106" s="4"/>
    </row>
    <row r="107">
      <c r="A107" s="1"/>
      <c r="G107" s="1"/>
      <c r="M107" s="1"/>
      <c r="S107" s="1"/>
      <c r="Y107" s="1"/>
      <c r="AE107" s="1"/>
      <c r="AK107" s="1"/>
      <c r="AQ107" s="1"/>
      <c r="AW107" s="1"/>
      <c r="BC107" s="1"/>
      <c r="BE107" s="54"/>
      <c r="BF107" s="39"/>
      <c r="BG107" s="35"/>
      <c r="BI107" s="1"/>
      <c r="BK107" s="59"/>
      <c r="BO107" s="1"/>
      <c r="BQ107" s="54"/>
      <c r="BR107" s="39"/>
      <c r="BS107" s="35"/>
      <c r="BU107" s="4"/>
    </row>
    <row r="108">
      <c r="A108" s="1"/>
      <c r="G108" s="1"/>
      <c r="M108" s="1"/>
      <c r="S108" s="1"/>
      <c r="Y108" s="1"/>
      <c r="AE108" s="1"/>
      <c r="AK108" s="1"/>
      <c r="AQ108" s="1"/>
      <c r="AW108" s="1"/>
      <c r="BC108" s="1"/>
      <c r="BE108" s="54"/>
      <c r="BF108" s="39"/>
      <c r="BG108" s="35"/>
      <c r="BI108" s="1"/>
      <c r="BK108" s="59"/>
      <c r="BO108" s="1"/>
      <c r="BQ108" s="54"/>
      <c r="BR108" s="39"/>
      <c r="BS108" s="35"/>
      <c r="BU108" s="4"/>
    </row>
    <row r="109">
      <c r="A109" s="1"/>
      <c r="G109" s="1"/>
      <c r="M109" s="1"/>
      <c r="S109" s="1"/>
      <c r="Y109" s="1"/>
      <c r="AE109" s="1"/>
      <c r="AK109" s="1"/>
      <c r="AQ109" s="1"/>
      <c r="AW109" s="1"/>
      <c r="BC109" s="1"/>
      <c r="BE109" s="54"/>
      <c r="BF109" s="39"/>
      <c r="BG109" s="35"/>
      <c r="BI109" s="1"/>
      <c r="BK109" s="59"/>
      <c r="BO109" s="1"/>
      <c r="BQ109" s="54"/>
      <c r="BR109" s="39"/>
      <c r="BS109" s="35"/>
      <c r="BU109" s="4"/>
    </row>
    <row r="110">
      <c r="A110" s="1"/>
      <c r="G110" s="1"/>
      <c r="M110" s="1"/>
      <c r="S110" s="1"/>
      <c r="Y110" s="1"/>
      <c r="AE110" s="1"/>
      <c r="AK110" s="1"/>
      <c r="AQ110" s="1"/>
      <c r="AW110" s="1"/>
      <c r="BC110" s="1"/>
      <c r="BE110" s="54"/>
      <c r="BF110" s="39"/>
      <c r="BG110" s="35"/>
      <c r="BI110" s="1"/>
      <c r="BK110" s="59"/>
      <c r="BO110" s="1"/>
      <c r="BQ110" s="54"/>
      <c r="BR110" s="39"/>
      <c r="BS110" s="35"/>
      <c r="BU110" s="4"/>
    </row>
    <row r="111">
      <c r="A111" s="1"/>
      <c r="G111" s="1"/>
      <c r="M111" s="1"/>
      <c r="S111" s="1"/>
      <c r="Y111" s="1"/>
      <c r="AE111" s="1"/>
      <c r="AK111" s="1"/>
      <c r="AQ111" s="1"/>
      <c r="AW111" s="1"/>
      <c r="BC111" s="1"/>
      <c r="BE111" s="54"/>
      <c r="BF111" s="39"/>
      <c r="BG111" s="35"/>
      <c r="BI111" s="1"/>
      <c r="BK111" s="59"/>
      <c r="BO111" s="1"/>
      <c r="BQ111" s="54"/>
      <c r="BR111" s="39"/>
      <c r="BS111" s="35"/>
      <c r="BU111" s="4"/>
    </row>
    <row r="112">
      <c r="A112" s="1"/>
      <c r="G112" s="1"/>
      <c r="M112" s="1"/>
      <c r="S112" s="1"/>
      <c r="Y112" s="1"/>
      <c r="AE112" s="1"/>
      <c r="AK112" s="1"/>
      <c r="AQ112" s="1"/>
      <c r="AW112" s="1"/>
      <c r="BC112" s="1"/>
      <c r="BE112" s="54"/>
      <c r="BF112" s="39"/>
      <c r="BG112" s="35"/>
      <c r="BI112" s="1"/>
      <c r="BK112" s="59"/>
      <c r="BO112" s="1"/>
      <c r="BQ112" s="54"/>
      <c r="BR112" s="39"/>
      <c r="BS112" s="35"/>
      <c r="BU112" s="4"/>
    </row>
    <row r="113">
      <c r="A113" s="1"/>
      <c r="G113" s="1"/>
      <c r="M113" s="1"/>
      <c r="S113" s="1"/>
      <c r="Y113" s="1"/>
      <c r="AE113" s="1"/>
      <c r="AK113" s="1"/>
      <c r="AQ113" s="1"/>
      <c r="AW113" s="1"/>
      <c r="BC113" s="1"/>
      <c r="BE113" s="54"/>
      <c r="BF113" s="39"/>
      <c r="BG113" s="35"/>
      <c r="BI113" s="1"/>
      <c r="BK113" s="59"/>
      <c r="BO113" s="1"/>
      <c r="BQ113" s="54"/>
      <c r="BR113" s="39"/>
      <c r="BS113" s="35"/>
      <c r="BU113" s="4"/>
    </row>
    <row r="114">
      <c r="A114" s="1"/>
      <c r="G114" s="1"/>
      <c r="M114" s="1"/>
      <c r="S114" s="1"/>
      <c r="Y114" s="1"/>
      <c r="AE114" s="1"/>
      <c r="AK114" s="1"/>
      <c r="AQ114" s="1"/>
      <c r="AW114" s="1"/>
      <c r="BC114" s="1"/>
      <c r="BE114" s="54"/>
      <c r="BF114" s="39"/>
      <c r="BG114" s="35"/>
      <c r="BI114" s="1"/>
      <c r="BK114" s="59"/>
      <c r="BO114" s="1"/>
      <c r="BQ114" s="54"/>
      <c r="BR114" s="39"/>
      <c r="BS114" s="35"/>
      <c r="BU114" s="4"/>
    </row>
    <row r="115">
      <c r="A115" s="1"/>
      <c r="M115" s="1"/>
      <c r="Y115" s="1"/>
      <c r="AE115" s="1"/>
      <c r="AK115" s="1"/>
      <c r="AQ115" s="1"/>
      <c r="AW115" s="1"/>
      <c r="BC115" s="1"/>
      <c r="BE115" s="54"/>
      <c r="BF115" s="39"/>
      <c r="BG115" s="35"/>
      <c r="BI115" s="1"/>
      <c r="BK115" s="59"/>
      <c r="BO115" s="1"/>
      <c r="BQ115" s="54"/>
      <c r="BR115" s="39"/>
      <c r="BS115" s="35"/>
      <c r="BU115" s="4"/>
    </row>
    <row r="116">
      <c r="A116" s="1"/>
      <c r="M116" s="1"/>
      <c r="Y116" s="1"/>
      <c r="AK116" s="1"/>
      <c r="AQ116" s="1"/>
      <c r="AW116" s="1"/>
      <c r="BC116" s="1"/>
      <c r="BE116" s="54"/>
      <c r="BF116" s="39"/>
      <c r="BG116" s="35"/>
      <c r="BI116" s="1"/>
      <c r="BK116" s="59"/>
      <c r="BO116" s="1"/>
      <c r="BQ116" s="54"/>
      <c r="BR116" s="39"/>
      <c r="BS116" s="35"/>
      <c r="BU116" s="4"/>
    </row>
    <row r="117">
      <c r="A117" s="1"/>
      <c r="M117" s="1"/>
      <c r="Y117" s="1"/>
      <c r="AK117" s="1"/>
      <c r="AQ117" s="1"/>
      <c r="AW117" s="1"/>
      <c r="BC117" s="1"/>
      <c r="BE117" s="54"/>
      <c r="BF117" s="39"/>
      <c r="BG117" s="35"/>
      <c r="BI117" s="1"/>
      <c r="BK117" s="59"/>
      <c r="BO117" s="1"/>
      <c r="BQ117" s="54"/>
      <c r="BR117" s="39"/>
      <c r="BS117" s="35"/>
      <c r="BU117" s="4"/>
    </row>
    <row r="118">
      <c r="A118" s="1"/>
      <c r="M118" s="1"/>
      <c r="Y118" s="1"/>
      <c r="AK118" s="1"/>
      <c r="AQ118" s="1"/>
      <c r="AW118" s="1"/>
      <c r="BC118" s="1"/>
      <c r="BE118" s="54"/>
      <c r="BF118" s="39"/>
      <c r="BG118" s="35"/>
      <c r="BI118" s="1"/>
      <c r="BK118" s="59"/>
      <c r="BO118" s="1"/>
      <c r="BQ118" s="54"/>
      <c r="BR118" s="39"/>
      <c r="BS118" s="35"/>
      <c r="BU118" s="4"/>
    </row>
    <row r="119">
      <c r="A119" s="1"/>
      <c r="M119" s="1"/>
      <c r="Y119" s="1"/>
      <c r="AK119" s="1"/>
      <c r="AQ119" s="1"/>
      <c r="AW119" s="1"/>
      <c r="BC119" s="1"/>
      <c r="BE119" s="54"/>
      <c r="BF119" s="39"/>
      <c r="BG119" s="35"/>
      <c r="BI119" s="1"/>
      <c r="BK119" s="59"/>
      <c r="BO119" s="1"/>
      <c r="BQ119" s="54"/>
      <c r="BR119" s="39"/>
      <c r="BS119" s="35"/>
      <c r="BU119" s="4"/>
    </row>
    <row r="120">
      <c r="A120" s="1"/>
      <c r="M120" s="1"/>
      <c r="Y120" s="1"/>
      <c r="AK120" s="1"/>
      <c r="AQ120" s="1"/>
      <c r="AW120" s="1"/>
      <c r="BC120" s="1"/>
      <c r="BE120" s="54"/>
      <c r="BF120" s="39"/>
      <c r="BG120" s="35"/>
      <c r="BI120" s="1"/>
      <c r="BK120" s="59"/>
      <c r="BO120" s="1"/>
      <c r="BQ120" s="54"/>
      <c r="BR120" s="39"/>
      <c r="BS120" s="35"/>
      <c r="BU120" s="4"/>
    </row>
    <row r="121">
      <c r="A121" s="1"/>
      <c r="M121" s="1"/>
      <c r="Y121" s="1"/>
      <c r="AK121" s="1"/>
      <c r="AQ121" s="1"/>
      <c r="AW121" s="1"/>
      <c r="BC121" s="1"/>
      <c r="BE121" s="54"/>
      <c r="BF121" s="39"/>
      <c r="BG121" s="35"/>
      <c r="BI121" s="1"/>
      <c r="BK121" s="59"/>
      <c r="BO121" s="1"/>
      <c r="BQ121" s="54"/>
      <c r="BR121" s="39"/>
      <c r="BS121" s="35"/>
      <c r="BU121" s="4"/>
    </row>
    <row r="122">
      <c r="A122" s="1"/>
      <c r="M122" s="1"/>
      <c r="Y122" s="1"/>
      <c r="AK122" s="1"/>
      <c r="AQ122" s="1"/>
      <c r="AW122" s="1"/>
      <c r="BC122" s="1"/>
      <c r="BE122" s="54"/>
      <c r="BF122" s="39"/>
      <c r="BG122" s="35"/>
      <c r="BI122" s="1"/>
      <c r="BK122" s="59"/>
      <c r="BO122" s="1"/>
      <c r="BQ122" s="54"/>
      <c r="BR122" s="39"/>
      <c r="BS122" s="35"/>
      <c r="BU122" s="4"/>
    </row>
    <row r="123">
      <c r="A123" s="1"/>
      <c r="M123" s="1"/>
      <c r="Y123" s="1"/>
      <c r="AK123" s="1"/>
      <c r="AQ123" s="1"/>
      <c r="AW123" s="1"/>
      <c r="BC123" s="1"/>
      <c r="BE123" s="54"/>
      <c r="BF123" s="39"/>
      <c r="BG123" s="35"/>
      <c r="BI123" s="1"/>
      <c r="BK123" s="59"/>
      <c r="BO123" s="1"/>
      <c r="BQ123" s="54"/>
      <c r="BR123" s="39"/>
      <c r="BS123" s="35"/>
      <c r="BU123" s="4"/>
    </row>
    <row r="124">
      <c r="A124" s="1"/>
      <c r="M124" s="1"/>
      <c r="Y124" s="1"/>
      <c r="AK124" s="1"/>
      <c r="AQ124" s="1"/>
      <c r="AW124" s="1"/>
      <c r="BC124" s="1"/>
      <c r="BE124" s="54"/>
      <c r="BF124" s="39"/>
      <c r="BG124" s="35"/>
      <c r="BI124" s="1"/>
      <c r="BK124" s="59"/>
      <c r="BO124" s="1"/>
      <c r="BQ124" s="54"/>
      <c r="BR124" s="39"/>
      <c r="BS124" s="35"/>
      <c r="BU124" s="4"/>
    </row>
    <row r="125">
      <c r="A125" s="1"/>
      <c r="M125" s="1"/>
      <c r="Y125" s="1"/>
      <c r="AK125" s="1"/>
      <c r="AQ125" s="1"/>
      <c r="AW125" s="1"/>
      <c r="BC125" s="1"/>
      <c r="BE125" s="54"/>
      <c r="BF125" s="39"/>
      <c r="BG125" s="35"/>
      <c r="BI125" s="1"/>
      <c r="BK125" s="59"/>
      <c r="BO125" s="1"/>
      <c r="BQ125" s="54"/>
      <c r="BR125" s="39"/>
      <c r="BS125" s="35"/>
      <c r="BU125" s="4"/>
    </row>
    <row r="126">
      <c r="A126" s="1"/>
      <c r="M126" s="1"/>
      <c r="Y126" s="1"/>
      <c r="AK126" s="1"/>
      <c r="AQ126" s="1"/>
      <c r="AW126" s="1"/>
      <c r="BC126" s="1"/>
      <c r="BE126" s="54"/>
      <c r="BF126" s="39"/>
      <c r="BG126" s="35"/>
      <c r="BI126" s="1"/>
      <c r="BK126" s="59"/>
      <c r="BO126" s="1"/>
      <c r="BQ126" s="54"/>
      <c r="BR126" s="39"/>
      <c r="BS126" s="35"/>
      <c r="BU126" s="4"/>
    </row>
    <row r="127">
      <c r="A127" s="1"/>
      <c r="M127" s="1"/>
      <c r="Y127" s="1"/>
      <c r="AK127" s="1"/>
      <c r="AQ127" s="1"/>
      <c r="AW127" s="1"/>
      <c r="BC127" s="1"/>
      <c r="BE127" s="54"/>
      <c r="BF127" s="39"/>
      <c r="BG127" s="35"/>
      <c r="BI127" s="1"/>
      <c r="BK127" s="59"/>
      <c r="BO127" s="1"/>
      <c r="BP127" s="1"/>
      <c r="BQ127" s="1"/>
      <c r="BR127" s="1"/>
      <c r="BS127" s="1"/>
      <c r="BT127" s="1"/>
      <c r="BU127" s="4"/>
    </row>
    <row r="128">
      <c r="A128" s="1"/>
      <c r="M128" s="1"/>
      <c r="Y128" s="1"/>
      <c r="AK128" s="1"/>
      <c r="AQ128" s="1"/>
      <c r="AW128" s="1"/>
      <c r="BC128" s="1"/>
      <c r="BE128" s="54"/>
      <c r="BF128" s="39"/>
      <c r="BG128" s="35"/>
      <c r="BI128" s="1"/>
      <c r="BK128" s="59"/>
      <c r="BO128" s="1"/>
      <c r="BP128" s="1"/>
      <c r="BQ128" s="1"/>
      <c r="BR128" s="1"/>
      <c r="BS128" s="1"/>
      <c r="BT128" s="1"/>
      <c r="BU128" s="4"/>
    </row>
    <row r="129">
      <c r="A129" s="1"/>
      <c r="M129" s="1"/>
      <c r="Y129" s="1"/>
      <c r="AK129" s="1"/>
      <c r="AQ129" s="1"/>
      <c r="AW129" s="1"/>
      <c r="BC129" s="1"/>
      <c r="BE129" s="54"/>
      <c r="BF129" s="39"/>
      <c r="BG129" s="35"/>
      <c r="BI129" s="1"/>
      <c r="BK129" s="59"/>
      <c r="BO129" s="1"/>
      <c r="BP129" s="1"/>
      <c r="BQ129" s="1"/>
      <c r="BR129" s="1"/>
      <c r="BS129" s="1"/>
      <c r="BT129" s="1"/>
      <c r="BU129" s="4"/>
    </row>
    <row r="130">
      <c r="A130" s="1"/>
      <c r="M130" s="1"/>
      <c r="Y130" s="1"/>
      <c r="AK130" s="1"/>
      <c r="AQ130" s="1"/>
      <c r="AW130" s="1"/>
      <c r="BC130" s="1"/>
      <c r="BD130" s="1"/>
      <c r="BE130" s="1"/>
      <c r="BF130" s="1"/>
      <c r="BG130" s="1"/>
      <c r="BH130" s="1"/>
      <c r="BI130" s="1"/>
      <c r="BK130" s="59"/>
      <c r="BO130" s="1"/>
      <c r="BP130" s="1"/>
      <c r="BQ130" s="1"/>
      <c r="BR130" s="1"/>
      <c r="BS130" s="1"/>
      <c r="BT130" s="1"/>
      <c r="BU130" s="4"/>
    </row>
    <row r="131">
      <c r="A131" s="1"/>
      <c r="M131" s="1"/>
      <c r="Y131" s="1"/>
      <c r="AK131" s="1"/>
      <c r="AQ131" s="1"/>
      <c r="AW131" s="1"/>
      <c r="BC131" s="1"/>
      <c r="BD131" s="1"/>
      <c r="BE131" s="1"/>
      <c r="BF131" s="1"/>
      <c r="BG131" s="1"/>
      <c r="BH131" s="1"/>
      <c r="BI131" s="1"/>
      <c r="BK131" s="59"/>
      <c r="BO131" s="1"/>
      <c r="BP131" s="1"/>
      <c r="BQ131" s="1"/>
      <c r="BR131" s="1"/>
      <c r="BS131" s="1"/>
      <c r="BT131" s="1"/>
      <c r="BU131" s="4"/>
    </row>
    <row r="132">
      <c r="A132" s="1"/>
      <c r="M132" s="1"/>
      <c r="Y132" s="1"/>
      <c r="AK132" s="1"/>
      <c r="AQ132" s="1"/>
      <c r="AW132" s="1"/>
      <c r="BC132" s="1"/>
      <c r="BD132" s="1"/>
      <c r="BE132" s="1"/>
      <c r="BF132" s="1"/>
      <c r="BG132" s="1"/>
      <c r="BH132" s="1"/>
      <c r="BI132" s="1"/>
      <c r="BK132" s="59"/>
      <c r="BO132" s="1"/>
      <c r="BP132" s="1"/>
      <c r="BQ132" s="1"/>
      <c r="BR132" s="1"/>
      <c r="BS132" s="1"/>
      <c r="BT132" s="1"/>
      <c r="BU132" s="4"/>
    </row>
    <row r="133">
      <c r="A133" s="1"/>
      <c r="M133" s="1"/>
      <c r="Y133" s="1"/>
      <c r="AK133" s="1"/>
      <c r="AQ133" s="1"/>
      <c r="AW133" s="1"/>
      <c r="BC133" s="1"/>
      <c r="BD133" s="1"/>
      <c r="BE133" s="1"/>
      <c r="BF133" s="1"/>
      <c r="BG133" s="1"/>
      <c r="BH133" s="1"/>
      <c r="BI133" s="1"/>
      <c r="BK133" s="59"/>
      <c r="BO133" s="1"/>
      <c r="BP133" s="1"/>
      <c r="BQ133" s="1"/>
      <c r="BR133" s="1"/>
      <c r="BS133" s="1"/>
      <c r="BT133" s="1"/>
      <c r="BU133" s="4"/>
    </row>
    <row r="134">
      <c r="A134" s="1"/>
      <c r="M134" s="1"/>
      <c r="Y134" s="1"/>
      <c r="AK134" s="1"/>
      <c r="AQ134" s="1"/>
      <c r="AW134" s="1"/>
      <c r="BC134" s="1"/>
      <c r="BD134" s="1"/>
      <c r="BE134" s="1"/>
      <c r="BF134" s="1"/>
      <c r="BG134" s="1"/>
      <c r="BH134" s="1"/>
      <c r="BI134" s="1"/>
      <c r="BK134" s="59"/>
      <c r="BO134" s="1"/>
      <c r="BP134" s="1"/>
      <c r="BQ134" s="1"/>
      <c r="BR134" s="1"/>
      <c r="BS134" s="1"/>
      <c r="BT134" s="1"/>
      <c r="BU134" s="4"/>
    </row>
    <row r="135">
      <c r="A135" s="1"/>
      <c r="M135" s="1"/>
      <c r="Y135" s="1"/>
      <c r="AK135" s="1"/>
      <c r="AQ135" s="1"/>
      <c r="AW135" s="1"/>
      <c r="BC135" s="1"/>
      <c r="BD135" s="1"/>
      <c r="BE135" s="1"/>
      <c r="BF135" s="1"/>
      <c r="BG135" s="1"/>
      <c r="BH135" s="1"/>
      <c r="BI135" s="1"/>
      <c r="BK135" s="59"/>
      <c r="BO135" s="1"/>
      <c r="BP135" s="1"/>
      <c r="BQ135" s="1"/>
      <c r="BR135" s="1"/>
      <c r="BS135" s="1"/>
      <c r="BT135" s="1"/>
      <c r="BU135" s="4"/>
    </row>
    <row r="136">
      <c r="A136" s="1"/>
      <c r="M136" s="1"/>
      <c r="Y136" s="1"/>
      <c r="AK136" s="1"/>
      <c r="AQ136" s="1"/>
      <c r="AW136" s="1"/>
      <c r="BC136" s="1"/>
      <c r="BD136" s="1"/>
      <c r="BE136" s="1"/>
      <c r="BF136" s="1"/>
      <c r="BG136" s="1"/>
      <c r="BH136" s="1"/>
      <c r="BI136" s="1"/>
      <c r="BK136" s="59"/>
      <c r="BO136" s="1"/>
      <c r="BP136" s="1"/>
      <c r="BQ136" s="1"/>
      <c r="BR136" s="1"/>
      <c r="BS136" s="1"/>
      <c r="BT136" s="1"/>
      <c r="BU136" s="4"/>
    </row>
    <row r="137">
      <c r="A137" s="1"/>
      <c r="M137" s="1"/>
      <c r="Y137" s="1"/>
      <c r="AK137" s="1"/>
      <c r="AQ137" s="1"/>
      <c r="AW137" s="1"/>
      <c r="BC137" s="1"/>
      <c r="BD137" s="1"/>
      <c r="BE137" s="1"/>
      <c r="BF137" s="1"/>
      <c r="BG137" s="1"/>
      <c r="BH137" s="1"/>
      <c r="BI137" s="1"/>
      <c r="BK137" s="59"/>
      <c r="BO137" s="1"/>
      <c r="BP137" s="1"/>
      <c r="BQ137" s="1"/>
      <c r="BR137" s="1"/>
      <c r="BS137" s="1"/>
      <c r="BT137" s="1"/>
      <c r="BU137" s="4"/>
    </row>
    <row r="138">
      <c r="A138" s="1"/>
      <c r="M138" s="1"/>
      <c r="Y138" s="1"/>
      <c r="AK138" s="1"/>
      <c r="AQ138" s="1"/>
      <c r="AW138" s="1"/>
      <c r="BC138" s="1"/>
      <c r="BD138" s="1"/>
      <c r="BE138" s="1"/>
      <c r="BF138" s="1"/>
      <c r="BG138" s="1"/>
      <c r="BH138" s="1"/>
      <c r="BI138" s="1"/>
      <c r="BK138" s="59"/>
      <c r="BO138" s="1"/>
      <c r="BP138" s="1"/>
      <c r="BQ138" s="1"/>
      <c r="BR138" s="1"/>
      <c r="BS138" s="1"/>
      <c r="BT138" s="1"/>
      <c r="BU138" s="4"/>
    </row>
    <row r="139">
      <c r="A139" s="1"/>
      <c r="M139" s="1"/>
      <c r="Y139" s="1"/>
      <c r="AK139" s="1"/>
      <c r="AQ139" s="1"/>
      <c r="AW139" s="1"/>
      <c r="BC139" s="1"/>
      <c r="BD139" s="1"/>
      <c r="BE139" s="1"/>
      <c r="BF139" s="1"/>
      <c r="BG139" s="1"/>
      <c r="BH139" s="1"/>
      <c r="BI139" s="1"/>
      <c r="BK139" s="59"/>
      <c r="BO139" s="1"/>
      <c r="BP139" s="1"/>
      <c r="BQ139" s="1"/>
      <c r="BR139" s="1"/>
      <c r="BS139" s="1"/>
      <c r="BT139" s="1"/>
      <c r="BU139" s="4"/>
    </row>
    <row r="140">
      <c r="A140" s="1"/>
      <c r="M140" s="1"/>
      <c r="Y140" s="1"/>
      <c r="AK140" s="1"/>
      <c r="AQ140" s="1"/>
      <c r="AW140" s="1"/>
      <c r="BC140" s="1"/>
      <c r="BD140" s="1"/>
      <c r="BE140" s="1"/>
      <c r="BF140" s="1"/>
      <c r="BG140" s="1"/>
      <c r="BH140" s="1"/>
      <c r="BI140" s="1"/>
      <c r="BK140" s="59"/>
      <c r="BO140" s="1"/>
      <c r="BP140" s="1"/>
      <c r="BQ140" s="1"/>
      <c r="BR140" s="1"/>
      <c r="BS140" s="1"/>
      <c r="BT140" s="1"/>
      <c r="BU140" s="4"/>
    </row>
    <row r="141">
      <c r="A141" s="1"/>
      <c r="M141" s="1"/>
      <c r="Y141" s="1"/>
      <c r="AK141" s="1"/>
      <c r="AQ141" s="1"/>
      <c r="AW141" s="1"/>
      <c r="BC141" s="1"/>
      <c r="BD141" s="1"/>
      <c r="BE141" s="1"/>
      <c r="BF141" s="1"/>
      <c r="BG141" s="1"/>
      <c r="BH141" s="1"/>
      <c r="BI141" s="1"/>
      <c r="BK141" s="59"/>
      <c r="BO141" s="1"/>
      <c r="BP141" s="1"/>
      <c r="BQ141" s="1"/>
      <c r="BR141" s="1"/>
      <c r="BS141" s="1"/>
      <c r="BT141" s="1"/>
      <c r="BU141" s="4"/>
    </row>
    <row r="142">
      <c r="A142" s="1"/>
      <c r="M142" s="1"/>
      <c r="Y142" s="1"/>
      <c r="AK142" s="1"/>
      <c r="AQ142" s="1"/>
      <c r="AW142" s="1"/>
      <c r="BC142" s="1"/>
      <c r="BD142" s="1"/>
      <c r="BE142" s="1"/>
      <c r="BF142" s="1"/>
      <c r="BG142" s="1"/>
      <c r="BH142" s="1"/>
      <c r="BI142" s="1"/>
      <c r="BK142" s="59"/>
      <c r="BO142" s="1"/>
      <c r="BP142" s="1"/>
      <c r="BQ142" s="1"/>
      <c r="BR142" s="1"/>
      <c r="BS142" s="1"/>
      <c r="BT142" s="1"/>
      <c r="BU142" s="4"/>
    </row>
    <row r="143">
      <c r="A143" s="1"/>
      <c r="M143" s="1"/>
      <c r="Y143" s="1"/>
      <c r="AK143" s="1"/>
      <c r="AQ143" s="1"/>
      <c r="AW143" s="1"/>
      <c r="BC143" s="1"/>
      <c r="BD143" s="1"/>
      <c r="BE143" s="1"/>
      <c r="BF143" s="1"/>
      <c r="BG143" s="1"/>
      <c r="BH143" s="1"/>
      <c r="BI143" s="1"/>
      <c r="BK143" s="59"/>
      <c r="BO143" s="1"/>
      <c r="BP143" s="1"/>
      <c r="BQ143" s="1"/>
      <c r="BR143" s="1"/>
      <c r="BS143" s="1"/>
      <c r="BT143" s="1"/>
      <c r="BU143" s="4"/>
    </row>
    <row r="144">
      <c r="A144" s="1"/>
      <c r="M144" s="1"/>
      <c r="Y144" s="1"/>
      <c r="AK144" s="1"/>
      <c r="AQ144" s="1"/>
      <c r="AW144" s="1"/>
      <c r="BC144" s="1"/>
      <c r="BD144" s="1"/>
      <c r="BE144" s="1"/>
      <c r="BF144" s="1"/>
      <c r="BG144" s="1"/>
      <c r="BH144" s="1"/>
      <c r="BI144" s="1"/>
      <c r="BK144" s="59"/>
      <c r="BO144" s="1"/>
      <c r="BP144" s="1"/>
      <c r="BQ144" s="1"/>
      <c r="BR144" s="1"/>
      <c r="BS144" s="1"/>
      <c r="BT144" s="1"/>
      <c r="BU144" s="4"/>
    </row>
    <row r="145">
      <c r="A145" s="1"/>
      <c r="M145" s="1"/>
      <c r="Y145" s="1"/>
      <c r="AK145" s="1"/>
      <c r="AQ145" s="1"/>
      <c r="AW145" s="1"/>
      <c r="BC145" s="1"/>
      <c r="BD145" s="1"/>
      <c r="BE145" s="1"/>
      <c r="BF145" s="1"/>
      <c r="BG145" s="1"/>
      <c r="BH145" s="1"/>
      <c r="BI145" s="1"/>
      <c r="BK145" s="59"/>
      <c r="BO145" s="1"/>
      <c r="BP145" s="1"/>
      <c r="BQ145" s="1"/>
      <c r="BR145" s="1"/>
      <c r="BS145" s="1"/>
      <c r="BT145" s="1"/>
      <c r="BU145" s="4"/>
    </row>
    <row r="146">
      <c r="A146" s="1"/>
      <c r="M146" s="1"/>
      <c r="Y146" s="1"/>
      <c r="AK146" s="1"/>
      <c r="AQ146" s="1"/>
      <c r="AW146" s="1"/>
      <c r="BC146" s="1"/>
      <c r="BD146" s="1"/>
      <c r="BE146" s="1"/>
      <c r="BF146" s="1"/>
      <c r="BG146" s="1"/>
      <c r="BH146" s="1"/>
      <c r="BI146" s="1"/>
      <c r="BK146" s="59"/>
      <c r="BO146" s="1"/>
      <c r="BP146" s="1"/>
      <c r="BQ146" s="1"/>
      <c r="BR146" s="1"/>
      <c r="BS146" s="1"/>
      <c r="BT146" s="1"/>
      <c r="BU146" s="4"/>
    </row>
    <row r="147">
      <c r="A147" s="1"/>
      <c r="M147" s="1"/>
      <c r="Y147" s="1"/>
      <c r="AK147" s="1"/>
      <c r="AQ147" s="1"/>
      <c r="AW147" s="1"/>
      <c r="BC147" s="1"/>
      <c r="BD147" s="1"/>
      <c r="BE147" s="1"/>
      <c r="BF147" s="1"/>
      <c r="BG147" s="1"/>
      <c r="BH147" s="1"/>
      <c r="BI147" s="1"/>
      <c r="BK147" s="59"/>
      <c r="BO147" s="1"/>
      <c r="BP147" s="1"/>
      <c r="BQ147" s="1"/>
      <c r="BR147" s="1"/>
      <c r="BS147" s="1"/>
      <c r="BT147" s="1"/>
      <c r="BU147" s="4"/>
    </row>
    <row r="148">
      <c r="A148" s="1"/>
      <c r="M148" s="1"/>
      <c r="Y148" s="1"/>
      <c r="AK148" s="1"/>
      <c r="AQ148" s="1"/>
      <c r="AW148" s="1"/>
      <c r="BC148" s="1"/>
      <c r="BD148" s="1"/>
      <c r="BE148" s="1"/>
      <c r="BF148" s="1"/>
      <c r="BG148" s="1"/>
      <c r="BH148" s="1"/>
      <c r="BI148" s="1"/>
      <c r="BK148" s="59"/>
      <c r="BO148" s="1"/>
      <c r="BP148" s="1"/>
      <c r="BQ148" s="1"/>
      <c r="BR148" s="1"/>
      <c r="BS148" s="1"/>
      <c r="BT148" s="1"/>
      <c r="BU148" s="4"/>
    </row>
    <row r="149">
      <c r="A149" s="1"/>
      <c r="M149" s="1"/>
      <c r="Y149" s="1"/>
      <c r="AK149" s="1"/>
      <c r="AQ149" s="1"/>
      <c r="AW149" s="1"/>
      <c r="BC149" s="1"/>
      <c r="BD149" s="1"/>
      <c r="BE149" s="1"/>
      <c r="BF149" s="1"/>
      <c r="BG149" s="1"/>
      <c r="BH149" s="1"/>
      <c r="BI149" s="1"/>
      <c r="BO149" s="1"/>
      <c r="BP149" s="1"/>
      <c r="BQ149" s="1"/>
      <c r="BR149" s="1"/>
      <c r="BS149" s="1"/>
      <c r="BT149" s="1"/>
      <c r="BU149" s="4"/>
    </row>
    <row r="150">
      <c r="A150" s="1"/>
      <c r="M150" s="1"/>
      <c r="Y150" s="1"/>
      <c r="AK150" s="1"/>
      <c r="AQ150" s="1"/>
      <c r="AW150" s="1"/>
      <c r="BC150" s="1"/>
      <c r="BD150" s="1"/>
      <c r="BE150" s="1"/>
      <c r="BF150" s="1"/>
      <c r="BG150" s="1"/>
      <c r="BH150" s="1"/>
      <c r="BI150" s="1"/>
      <c r="BO150" s="1"/>
      <c r="BP150" s="1"/>
      <c r="BQ150" s="1"/>
      <c r="BR150" s="1"/>
      <c r="BS150" s="1"/>
      <c r="BT150" s="1"/>
      <c r="BU150" s="4"/>
    </row>
    <row r="151">
      <c r="A151" s="1"/>
      <c r="M151" s="1"/>
      <c r="Y151" s="1"/>
      <c r="AK151" s="1"/>
      <c r="AQ151" s="1"/>
      <c r="AW151" s="1"/>
      <c r="BC151" s="1"/>
      <c r="BD151" s="1"/>
      <c r="BE151" s="1"/>
      <c r="BF151" s="1"/>
      <c r="BG151" s="1"/>
      <c r="BH151" s="1"/>
      <c r="BI151" s="1"/>
      <c r="BO151" s="1"/>
      <c r="BP151" s="1"/>
      <c r="BQ151" s="1"/>
      <c r="BR151" s="1"/>
      <c r="BS151" s="1"/>
      <c r="BT151" s="1"/>
      <c r="BU151" s="4"/>
    </row>
    <row r="152">
      <c r="A152" s="1"/>
      <c r="M152" s="1"/>
      <c r="Y152" s="1"/>
      <c r="AK152" s="1"/>
      <c r="AQ152" s="1"/>
      <c r="AW152" s="1"/>
      <c r="BC152" s="1"/>
      <c r="BD152" s="1"/>
      <c r="BE152" s="1"/>
      <c r="BF152" s="1"/>
      <c r="BG152" s="1"/>
      <c r="BH152" s="1"/>
      <c r="BI152" s="1"/>
      <c r="BO152" s="1"/>
      <c r="BP152" s="1"/>
      <c r="BQ152" s="1"/>
      <c r="BR152" s="1"/>
      <c r="BS152" s="1"/>
      <c r="BT152" s="1"/>
      <c r="BU152" s="4"/>
    </row>
    <row r="153">
      <c r="A153" s="1"/>
      <c r="M153" s="1"/>
      <c r="Y153" s="1"/>
      <c r="AK153" s="1"/>
      <c r="AQ153" s="1"/>
      <c r="AW153" s="1"/>
      <c r="BC153" s="1"/>
      <c r="BD153" s="1"/>
      <c r="BE153" s="1"/>
      <c r="BF153" s="1"/>
      <c r="BG153" s="1"/>
      <c r="BH153" s="1"/>
      <c r="BI153" s="1"/>
      <c r="BO153" s="1"/>
      <c r="BP153" s="1"/>
      <c r="BQ153" s="1"/>
      <c r="BR153" s="1"/>
      <c r="BS153" s="1"/>
      <c r="BT153" s="1"/>
      <c r="BU153" s="4"/>
    </row>
    <row r="154">
      <c r="A154" s="1"/>
      <c r="M154" s="1"/>
      <c r="Y154" s="1"/>
      <c r="AK154" s="1"/>
      <c r="AQ154" s="1"/>
      <c r="AW154" s="1"/>
      <c r="BC154" s="1"/>
      <c r="BD154" s="1"/>
      <c r="BE154" s="1"/>
      <c r="BF154" s="1"/>
      <c r="BG154" s="1"/>
      <c r="BH154" s="1"/>
      <c r="BI154" s="1"/>
      <c r="BO154" s="1"/>
      <c r="BP154" s="1"/>
      <c r="BQ154" s="1"/>
      <c r="BR154" s="1"/>
      <c r="BS154" s="1"/>
      <c r="BT154" s="1"/>
      <c r="BU154" s="4"/>
    </row>
    <row r="155">
      <c r="A155" s="1"/>
      <c r="M155" s="1"/>
      <c r="Y155" s="1"/>
      <c r="AK155" s="1"/>
      <c r="AQ155" s="1"/>
      <c r="AW155" s="1"/>
      <c r="BC155" s="1"/>
      <c r="BD155" s="1"/>
      <c r="BE155" s="1"/>
      <c r="BF155" s="1"/>
      <c r="BG155" s="1"/>
      <c r="BH155" s="1"/>
      <c r="BI155" s="1"/>
      <c r="BO155" s="1"/>
      <c r="BP155" s="1"/>
      <c r="BQ155" s="1"/>
      <c r="BR155" s="1"/>
      <c r="BS155" s="1"/>
      <c r="BT155" s="1"/>
      <c r="BU155" s="4"/>
    </row>
    <row r="156">
      <c r="A156" s="1"/>
      <c r="M156" s="1"/>
      <c r="Y156" s="1"/>
      <c r="AK156" s="1"/>
      <c r="AQ156" s="1"/>
      <c r="AW156" s="1"/>
      <c r="BC156" s="1"/>
      <c r="BD156" s="1"/>
      <c r="BE156" s="1"/>
      <c r="BF156" s="1"/>
      <c r="BG156" s="1"/>
      <c r="BH156" s="1"/>
      <c r="BI156" s="1"/>
      <c r="BO156" s="1"/>
      <c r="BP156" s="1"/>
      <c r="BQ156" s="1"/>
      <c r="BR156" s="1"/>
      <c r="BS156" s="1"/>
      <c r="BT156" s="1"/>
      <c r="BU156" s="4"/>
    </row>
    <row r="157">
      <c r="A157" s="1"/>
      <c r="M157" s="1"/>
      <c r="Y157" s="1"/>
      <c r="AK157" s="1"/>
      <c r="AQ157" s="1"/>
      <c r="AW157" s="1"/>
      <c r="BC157" s="1"/>
      <c r="BD157" s="1"/>
      <c r="BE157" s="1"/>
      <c r="BF157" s="1"/>
      <c r="BG157" s="1"/>
      <c r="BH157" s="1"/>
      <c r="BI157" s="1"/>
      <c r="BO157" s="1"/>
      <c r="BP157" s="1"/>
      <c r="BQ157" s="1"/>
      <c r="BR157" s="1"/>
      <c r="BS157" s="1"/>
      <c r="BT157" s="1"/>
      <c r="BU157" s="4"/>
    </row>
    <row r="158">
      <c r="A158" s="1"/>
      <c r="M158" s="1"/>
      <c r="Y158" s="1"/>
      <c r="AK158" s="1"/>
      <c r="AQ158" s="1"/>
      <c r="AW158" s="1"/>
      <c r="BC158" s="1"/>
      <c r="BD158" s="1"/>
      <c r="BE158" s="1"/>
      <c r="BF158" s="1"/>
      <c r="BG158" s="1"/>
      <c r="BH158" s="1"/>
      <c r="BI158" s="1"/>
      <c r="BO158" s="1"/>
      <c r="BP158" s="1"/>
      <c r="BQ158" s="1"/>
      <c r="BR158" s="1"/>
      <c r="BS158" s="1"/>
      <c r="BT158" s="1"/>
      <c r="BU158" s="4"/>
    </row>
    <row r="159">
      <c r="A159" s="1"/>
      <c r="M159" s="1"/>
      <c r="Y159" s="1"/>
      <c r="AK159" s="1"/>
      <c r="AQ159" s="1"/>
      <c r="AW159" s="1"/>
      <c r="BC159" s="1"/>
      <c r="BD159" s="1"/>
      <c r="BE159" s="1"/>
      <c r="BF159" s="1"/>
      <c r="BG159" s="1"/>
      <c r="BH159" s="1"/>
      <c r="BI159" s="1"/>
      <c r="BO159" s="1"/>
      <c r="BP159" s="1"/>
      <c r="BQ159" s="1"/>
      <c r="BR159" s="1"/>
      <c r="BS159" s="1"/>
      <c r="BT159" s="1"/>
      <c r="BU159" s="4"/>
    </row>
    <row r="160">
      <c r="A160" s="1"/>
      <c r="M160" s="1"/>
      <c r="Y160" s="1"/>
      <c r="AK160" s="1"/>
      <c r="AQ160" s="1"/>
      <c r="AW160" s="1"/>
      <c r="BC160" s="1"/>
      <c r="BD160" s="1"/>
      <c r="BE160" s="1"/>
      <c r="BF160" s="1"/>
      <c r="BG160" s="1"/>
      <c r="BH160" s="1"/>
      <c r="BI160" s="1"/>
      <c r="BO160" s="1"/>
      <c r="BP160" s="1"/>
      <c r="BQ160" s="1"/>
      <c r="BR160" s="1"/>
      <c r="BS160" s="1"/>
      <c r="BT160" s="1"/>
      <c r="BU160" s="4"/>
    </row>
    <row r="161">
      <c r="A161" s="1"/>
      <c r="M161" s="1"/>
      <c r="Y161" s="1"/>
      <c r="AK161" s="1"/>
      <c r="AQ161" s="1"/>
      <c r="AW161" s="1"/>
      <c r="BC161" s="1"/>
      <c r="BD161" s="1"/>
      <c r="BE161" s="1"/>
      <c r="BF161" s="1"/>
      <c r="BG161" s="1"/>
      <c r="BH161" s="1"/>
      <c r="BI161" s="1"/>
      <c r="BO161" s="1"/>
      <c r="BP161" s="1"/>
      <c r="BQ161" s="1"/>
      <c r="BR161" s="1"/>
      <c r="BS161" s="1"/>
      <c r="BT161" s="1"/>
      <c r="BU161" s="4"/>
    </row>
    <row r="162">
      <c r="A162" s="1"/>
      <c r="M162" s="1"/>
      <c r="Y162" s="1"/>
      <c r="AK162" s="1"/>
      <c r="AQ162" s="1"/>
      <c r="AW162" s="1"/>
      <c r="BC162" s="1"/>
      <c r="BD162" s="1"/>
      <c r="BE162" s="1"/>
      <c r="BF162" s="1"/>
      <c r="BG162" s="1"/>
      <c r="BH162" s="1"/>
      <c r="BI162" s="1"/>
      <c r="BO162" s="1"/>
      <c r="BP162" s="1"/>
      <c r="BQ162" s="1"/>
      <c r="BR162" s="1"/>
      <c r="BS162" s="1"/>
      <c r="BT162" s="1"/>
      <c r="BU162" s="4"/>
    </row>
    <row r="163">
      <c r="A163" s="1"/>
      <c r="M163" s="1"/>
      <c r="Y163" s="1"/>
      <c r="AK163" s="1"/>
      <c r="AQ163" s="1"/>
      <c r="AW163" s="1"/>
      <c r="BC163" s="1"/>
      <c r="BD163" s="1"/>
      <c r="BE163" s="1"/>
      <c r="BF163" s="1"/>
      <c r="BG163" s="1"/>
      <c r="BH163" s="1"/>
      <c r="BI163" s="1"/>
      <c r="BO163" s="1"/>
      <c r="BP163" s="1"/>
      <c r="BQ163" s="1"/>
      <c r="BR163" s="1"/>
      <c r="BS163" s="1"/>
      <c r="BT163" s="1"/>
      <c r="BU163" s="4"/>
    </row>
    <row r="164">
      <c r="A164" s="1"/>
      <c r="M164" s="1"/>
      <c r="Y164" s="1"/>
      <c r="AK164" s="1"/>
      <c r="AQ164" s="1"/>
      <c r="AW164" s="1"/>
      <c r="BC164" s="1"/>
      <c r="BD164" s="1"/>
      <c r="BE164" s="1"/>
      <c r="BF164" s="1"/>
      <c r="BG164" s="1"/>
      <c r="BH164" s="1"/>
      <c r="BI164" s="1"/>
      <c r="BO164" s="1"/>
      <c r="BP164" s="1"/>
      <c r="BQ164" s="1"/>
      <c r="BR164" s="1"/>
      <c r="BS164" s="1"/>
      <c r="BT164" s="1"/>
      <c r="BU164" s="4"/>
    </row>
    <row r="165">
      <c r="A165" s="1"/>
      <c r="M165" s="1"/>
      <c r="Y165" s="1"/>
      <c r="AK165" s="1"/>
      <c r="AQ165" s="1"/>
      <c r="AW165" s="1"/>
      <c r="BC165" s="1"/>
      <c r="BD165" s="1"/>
      <c r="BE165" s="1"/>
      <c r="BF165" s="1"/>
      <c r="BG165" s="1"/>
      <c r="BH165" s="1"/>
      <c r="BI165" s="1"/>
      <c r="BO165" s="1"/>
      <c r="BP165" s="1"/>
      <c r="BQ165" s="1"/>
      <c r="BR165" s="1"/>
      <c r="BS165" s="1"/>
      <c r="BT165" s="1"/>
      <c r="BU165" s="4"/>
    </row>
    <row r="166">
      <c r="A166" s="1"/>
      <c r="M166" s="1"/>
      <c r="Y166" s="1"/>
      <c r="AK166" s="1"/>
      <c r="AQ166" s="1"/>
      <c r="AW166" s="1"/>
      <c r="BC166" s="1"/>
      <c r="BD166" s="1"/>
      <c r="BE166" s="1"/>
      <c r="BF166" s="1"/>
      <c r="BG166" s="1"/>
      <c r="BH166" s="1"/>
      <c r="BI166" s="1"/>
      <c r="BO166" s="1"/>
      <c r="BP166" s="1"/>
      <c r="BQ166" s="1"/>
      <c r="BR166" s="1"/>
      <c r="BS166" s="1"/>
      <c r="BT166" s="1"/>
      <c r="BU166" s="4"/>
    </row>
    <row r="167">
      <c r="A167" s="1"/>
      <c r="M167" s="1"/>
      <c r="Y167" s="1"/>
      <c r="AK167" s="1"/>
      <c r="AQ167" s="1"/>
      <c r="AW167" s="1"/>
      <c r="BC167" s="1"/>
      <c r="BD167" s="1"/>
      <c r="BE167" s="1"/>
      <c r="BF167" s="1"/>
      <c r="BG167" s="1"/>
      <c r="BH167" s="1"/>
      <c r="BI167" s="1"/>
      <c r="BO167" s="1"/>
      <c r="BP167" s="1"/>
      <c r="BQ167" s="1"/>
      <c r="BR167" s="1"/>
      <c r="BS167" s="1"/>
      <c r="BT167" s="1"/>
      <c r="BU167" s="4"/>
    </row>
    <row r="168">
      <c r="A168" s="1"/>
      <c r="M168" s="1"/>
      <c r="Y168" s="1"/>
      <c r="AK168" s="1"/>
      <c r="AQ168" s="1"/>
      <c r="AW168" s="1"/>
      <c r="BC168" s="1"/>
      <c r="BD168" s="1"/>
      <c r="BE168" s="1"/>
      <c r="BF168" s="1"/>
      <c r="BG168" s="1"/>
      <c r="BH168" s="1"/>
      <c r="BI168" s="1"/>
      <c r="BO168" s="1"/>
      <c r="BP168" s="1"/>
      <c r="BQ168" s="1"/>
      <c r="BR168" s="1"/>
      <c r="BS168" s="1"/>
      <c r="BT168" s="1"/>
      <c r="BU168" s="4"/>
    </row>
    <row r="169">
      <c r="A169" s="1"/>
      <c r="M169" s="1"/>
      <c r="Y169" s="1"/>
      <c r="AK169" s="1"/>
      <c r="AQ169" s="1"/>
      <c r="AW169" s="1"/>
      <c r="BC169" s="1"/>
      <c r="BD169" s="1"/>
      <c r="BE169" s="1"/>
      <c r="BF169" s="1"/>
      <c r="BG169" s="1"/>
      <c r="BH169" s="1"/>
      <c r="BI169" s="1"/>
      <c r="BO169" s="1"/>
      <c r="BP169" s="1"/>
      <c r="BQ169" s="1"/>
      <c r="BR169" s="1"/>
      <c r="BS169" s="1"/>
      <c r="BT169" s="1"/>
      <c r="BU169" s="4"/>
    </row>
    <row r="170">
      <c r="A170" s="1"/>
      <c r="M170" s="1"/>
      <c r="Y170" s="1"/>
      <c r="AK170" s="1"/>
      <c r="AQ170" s="1"/>
      <c r="AW170" s="1"/>
      <c r="BC170" s="1"/>
      <c r="BD170" s="1"/>
      <c r="BE170" s="1"/>
      <c r="BF170" s="1"/>
      <c r="BG170" s="1"/>
      <c r="BH170" s="1"/>
      <c r="BI170" s="1"/>
      <c r="BO170" s="1"/>
      <c r="BP170" s="1"/>
      <c r="BQ170" s="1"/>
      <c r="BR170" s="1"/>
      <c r="BS170" s="1"/>
      <c r="BT170" s="1"/>
      <c r="BU170" s="4"/>
    </row>
    <row r="171">
      <c r="A171" s="1"/>
      <c r="M171" s="1"/>
      <c r="Y171" s="1"/>
      <c r="AK171" s="1"/>
      <c r="AQ171" s="1"/>
      <c r="AW171" s="1"/>
      <c r="BC171" s="1"/>
      <c r="BD171" s="1"/>
      <c r="BE171" s="1"/>
      <c r="BF171" s="1"/>
      <c r="BG171" s="1"/>
      <c r="BH171" s="1"/>
      <c r="BI171" s="1"/>
      <c r="BO171" s="1"/>
      <c r="BP171" s="1"/>
      <c r="BQ171" s="1"/>
      <c r="BR171" s="1"/>
      <c r="BS171" s="1"/>
      <c r="BT171" s="1"/>
      <c r="BU171" s="4"/>
    </row>
    <row r="172">
      <c r="A172" s="1"/>
      <c r="M172" s="1"/>
      <c r="Y172" s="1"/>
      <c r="AK172" s="1"/>
      <c r="AQ172" s="1"/>
      <c r="AW172" s="1"/>
      <c r="BC172" s="1"/>
      <c r="BD172" s="1"/>
      <c r="BE172" s="1"/>
      <c r="BF172" s="1"/>
      <c r="BG172" s="1"/>
      <c r="BH172" s="1"/>
      <c r="BI172" s="1"/>
      <c r="BO172" s="1"/>
      <c r="BP172" s="1"/>
      <c r="BQ172" s="1"/>
      <c r="BR172" s="1"/>
      <c r="BS172" s="1"/>
      <c r="BT172" s="1"/>
      <c r="BU172" s="4"/>
    </row>
    <row r="173">
      <c r="A173" s="1"/>
      <c r="M173" s="1"/>
      <c r="Y173" s="1"/>
      <c r="AK173" s="1"/>
      <c r="AQ173" s="1"/>
      <c r="AW173" s="1"/>
      <c r="BC173" s="1"/>
      <c r="BD173" s="1"/>
      <c r="BE173" s="1"/>
      <c r="BF173" s="1"/>
      <c r="BG173" s="1"/>
      <c r="BH173" s="1"/>
      <c r="BI173" s="1"/>
      <c r="BO173" s="1"/>
      <c r="BP173" s="1"/>
      <c r="BQ173" s="1"/>
      <c r="BR173" s="1"/>
      <c r="BS173" s="1"/>
      <c r="BT173" s="1"/>
      <c r="BU173" s="4"/>
    </row>
    <row r="174">
      <c r="A174" s="1"/>
      <c r="M174" s="1"/>
      <c r="Y174" s="1"/>
      <c r="AK174" s="1"/>
      <c r="AQ174" s="1"/>
      <c r="AW174" s="1"/>
      <c r="BC174" s="1"/>
      <c r="BD174" s="1"/>
      <c r="BE174" s="1"/>
      <c r="BF174" s="1"/>
      <c r="BG174" s="1"/>
      <c r="BH174" s="1"/>
      <c r="BI174" s="1"/>
      <c r="BO174" s="1"/>
      <c r="BP174" s="1"/>
      <c r="BQ174" s="1"/>
      <c r="BR174" s="1"/>
      <c r="BS174" s="1"/>
      <c r="BT174" s="1"/>
      <c r="BU174" s="4"/>
    </row>
    <row r="175">
      <c r="A175" s="1"/>
      <c r="M175" s="1"/>
      <c r="Y175" s="1"/>
      <c r="AK175" s="1"/>
      <c r="AQ175" s="1"/>
      <c r="AW175" s="1"/>
      <c r="BC175" s="1"/>
      <c r="BD175" s="1"/>
      <c r="BE175" s="1"/>
      <c r="BF175" s="1"/>
      <c r="BG175" s="1"/>
      <c r="BH175" s="1"/>
      <c r="BI175" s="1"/>
      <c r="BO175" s="1"/>
      <c r="BP175" s="1"/>
      <c r="BQ175" s="1"/>
      <c r="BR175" s="1"/>
      <c r="BS175" s="1"/>
      <c r="BT175" s="1"/>
      <c r="BU175" s="4"/>
    </row>
    <row r="176">
      <c r="A176" s="1"/>
      <c r="M176" s="1"/>
      <c r="Y176" s="1"/>
      <c r="AK176" s="1"/>
      <c r="AQ176" s="1"/>
      <c r="AW176" s="1"/>
      <c r="BC176" s="1"/>
      <c r="BD176" s="1"/>
      <c r="BE176" s="1"/>
      <c r="BF176" s="1"/>
      <c r="BG176" s="1"/>
      <c r="BH176" s="1"/>
      <c r="BI176" s="1"/>
      <c r="BO176" s="1"/>
      <c r="BP176" s="1"/>
      <c r="BQ176" s="1"/>
      <c r="BR176" s="1"/>
      <c r="BS176" s="1"/>
      <c r="BT176" s="1"/>
      <c r="BU176" s="4"/>
    </row>
    <row r="177">
      <c r="A177" s="1"/>
      <c r="M177" s="1"/>
      <c r="Y177" s="1"/>
      <c r="AK177" s="1"/>
      <c r="AQ177" s="1"/>
      <c r="AW177" s="1"/>
      <c r="BC177" s="1"/>
      <c r="BD177" s="1"/>
      <c r="BE177" s="1"/>
      <c r="BF177" s="1"/>
      <c r="BG177" s="1"/>
      <c r="BH177" s="1"/>
      <c r="BI177" s="1"/>
      <c r="BO177" s="1"/>
      <c r="BP177" s="1"/>
      <c r="BQ177" s="1"/>
      <c r="BR177" s="1"/>
      <c r="BS177" s="1"/>
      <c r="BT177" s="1"/>
      <c r="BU177" s="4"/>
    </row>
    <row r="178">
      <c r="A178" s="1"/>
      <c r="M178" s="1"/>
      <c r="Y178" s="1"/>
      <c r="AK178" s="1"/>
      <c r="AQ178" s="1"/>
      <c r="AW178" s="1"/>
      <c r="BC178" s="1"/>
      <c r="BD178" s="1"/>
      <c r="BE178" s="1"/>
      <c r="BF178" s="1"/>
      <c r="BG178" s="1"/>
      <c r="BH178" s="1"/>
      <c r="BI178" s="1"/>
      <c r="BO178" s="1"/>
      <c r="BP178" s="1"/>
      <c r="BQ178" s="1"/>
      <c r="BR178" s="1"/>
      <c r="BS178" s="1"/>
      <c r="BT178" s="1"/>
      <c r="BU178" s="4"/>
    </row>
    <row r="179">
      <c r="A179" s="1"/>
      <c r="M179" s="1"/>
      <c r="Y179" s="1"/>
      <c r="AK179" s="1"/>
      <c r="AQ179" s="1"/>
      <c r="AW179" s="1"/>
      <c r="BC179" s="1"/>
      <c r="BD179" s="1"/>
      <c r="BE179" s="1"/>
      <c r="BF179" s="1"/>
      <c r="BG179" s="1"/>
      <c r="BH179" s="1"/>
      <c r="BI179" s="1"/>
      <c r="BO179" s="1"/>
      <c r="BP179" s="1"/>
      <c r="BQ179" s="1"/>
      <c r="BR179" s="1"/>
      <c r="BS179" s="1"/>
      <c r="BT179" s="1"/>
      <c r="BU179" s="4"/>
    </row>
    <row r="180">
      <c r="A180" s="1"/>
      <c r="M180" s="1"/>
      <c r="Y180" s="1"/>
      <c r="AK180" s="1"/>
      <c r="AQ180" s="1"/>
      <c r="AW180" s="1"/>
      <c r="BC180" s="1"/>
      <c r="BD180" s="1"/>
      <c r="BE180" s="1"/>
      <c r="BF180" s="1"/>
      <c r="BG180" s="1"/>
      <c r="BH180" s="1"/>
      <c r="BI180" s="1"/>
      <c r="BO180" s="1"/>
      <c r="BP180" s="1"/>
      <c r="BQ180" s="1"/>
      <c r="BR180" s="1"/>
      <c r="BS180" s="1"/>
      <c r="BT180" s="1"/>
      <c r="BU180" s="4"/>
    </row>
    <row r="181">
      <c r="A181" s="1"/>
      <c r="M181" s="1"/>
      <c r="Y181" s="1"/>
      <c r="AK181" s="1"/>
      <c r="AQ181" s="1"/>
      <c r="AW181" s="1"/>
      <c r="BC181" s="1"/>
      <c r="BD181" s="1"/>
      <c r="BE181" s="1"/>
      <c r="BF181" s="1"/>
      <c r="BG181" s="1"/>
      <c r="BH181" s="1"/>
      <c r="BI181" s="1"/>
      <c r="BO181" s="1"/>
      <c r="BP181" s="1"/>
      <c r="BQ181" s="1"/>
      <c r="BR181" s="1"/>
      <c r="BS181" s="1"/>
      <c r="BT181" s="1"/>
      <c r="BU181" s="4"/>
    </row>
    <row r="182">
      <c r="A182" s="1"/>
      <c r="M182" s="1"/>
      <c r="Y182" s="1"/>
      <c r="AK182" s="1"/>
      <c r="AQ182" s="1"/>
      <c r="AW182" s="1"/>
      <c r="BC182" s="1"/>
      <c r="BD182" s="1"/>
      <c r="BE182" s="1"/>
      <c r="BF182" s="1"/>
      <c r="BG182" s="1"/>
      <c r="BH182" s="1"/>
      <c r="BI182" s="1"/>
      <c r="BO182" s="1"/>
      <c r="BP182" s="1"/>
      <c r="BQ182" s="1"/>
      <c r="BR182" s="1"/>
      <c r="BS182" s="1"/>
      <c r="BT182" s="1"/>
      <c r="BU182" s="4"/>
    </row>
    <row r="183">
      <c r="A183" s="1"/>
      <c r="M183" s="1"/>
      <c r="Y183" s="1"/>
      <c r="AK183" s="1"/>
      <c r="AQ183" s="1"/>
      <c r="AW183" s="1"/>
      <c r="BC183" s="1"/>
      <c r="BD183" s="1"/>
      <c r="BE183" s="1"/>
      <c r="BF183" s="1"/>
      <c r="BG183" s="1"/>
      <c r="BH183" s="1"/>
      <c r="BI183" s="1"/>
      <c r="BO183" s="1"/>
      <c r="BP183" s="1"/>
      <c r="BQ183" s="1"/>
      <c r="BR183" s="1"/>
      <c r="BS183" s="1"/>
      <c r="BT183" s="1"/>
      <c r="BU183" s="4"/>
    </row>
    <row r="184">
      <c r="A184" s="1"/>
      <c r="M184" s="1"/>
      <c r="Y184" s="1"/>
      <c r="AK184" s="1"/>
      <c r="AQ184" s="1"/>
      <c r="AW184" s="1"/>
      <c r="BC184" s="1"/>
      <c r="BD184" s="1"/>
      <c r="BE184" s="1"/>
      <c r="BF184" s="1"/>
      <c r="BG184" s="1"/>
      <c r="BH184" s="1"/>
      <c r="BI184" s="1"/>
      <c r="BO184" s="1"/>
      <c r="BP184" s="1"/>
      <c r="BQ184" s="1"/>
      <c r="BR184" s="1"/>
      <c r="BS184" s="1"/>
      <c r="BT184" s="1"/>
      <c r="BU184" s="4"/>
    </row>
    <row r="185">
      <c r="A185" s="1"/>
      <c r="M185" s="1"/>
      <c r="Y185" s="1"/>
      <c r="AK185" s="1"/>
      <c r="AQ185" s="1"/>
      <c r="AW185" s="1"/>
      <c r="BC185" s="1"/>
      <c r="BD185" s="1"/>
      <c r="BE185" s="1"/>
      <c r="BF185" s="1"/>
      <c r="BG185" s="1"/>
      <c r="BH185" s="1"/>
      <c r="BI185" s="1"/>
      <c r="BO185" s="1"/>
      <c r="BP185" s="1"/>
      <c r="BQ185" s="1"/>
      <c r="BR185" s="1"/>
      <c r="BS185" s="1"/>
      <c r="BT185" s="1"/>
      <c r="BU185" s="4"/>
    </row>
    <row r="186">
      <c r="A186" s="1"/>
      <c r="M186" s="1"/>
      <c r="Y186" s="1"/>
      <c r="AK186" s="1"/>
      <c r="AQ186" s="1"/>
      <c r="AW186" s="1"/>
      <c r="BC186" s="1"/>
      <c r="BD186" s="1"/>
      <c r="BE186" s="1"/>
      <c r="BF186" s="1"/>
      <c r="BG186" s="1"/>
      <c r="BH186" s="1"/>
      <c r="BI186" s="1"/>
      <c r="BO186" s="1"/>
      <c r="BP186" s="1"/>
      <c r="BQ186" s="1"/>
      <c r="BR186" s="1"/>
      <c r="BS186" s="1"/>
      <c r="BT186" s="1"/>
      <c r="BU186" s="4"/>
    </row>
    <row r="187">
      <c r="A187" s="1"/>
      <c r="M187" s="1"/>
      <c r="Y187" s="1"/>
      <c r="AK187" s="1"/>
      <c r="AQ187" s="1"/>
      <c r="AW187" s="1"/>
      <c r="BC187" s="1"/>
      <c r="BD187" s="1"/>
      <c r="BE187" s="1"/>
      <c r="BF187" s="1"/>
      <c r="BG187" s="1"/>
      <c r="BH187" s="1"/>
      <c r="BI187" s="1"/>
      <c r="BO187" s="1"/>
      <c r="BP187" s="1"/>
      <c r="BQ187" s="1"/>
      <c r="BR187" s="1"/>
      <c r="BS187" s="1"/>
      <c r="BT187" s="1"/>
      <c r="BU187" s="4"/>
    </row>
    <row r="188">
      <c r="A188" s="1"/>
      <c r="M188" s="1"/>
      <c r="Y188" s="1"/>
      <c r="AK188" s="1"/>
      <c r="AQ188" s="1"/>
      <c r="AW188" s="1"/>
      <c r="BC188" s="1"/>
      <c r="BD188" s="1"/>
      <c r="BE188" s="1"/>
      <c r="BF188" s="1"/>
      <c r="BG188" s="1"/>
      <c r="BH188" s="1"/>
      <c r="BI188" s="1"/>
      <c r="BO188" s="1"/>
      <c r="BP188" s="1"/>
      <c r="BQ188" s="1"/>
      <c r="BR188" s="1"/>
      <c r="BS188" s="1"/>
      <c r="BT188" s="1"/>
      <c r="BU188" s="4"/>
    </row>
    <row r="189">
      <c r="A189" s="1"/>
      <c r="M189" s="1"/>
      <c r="Y189" s="1"/>
      <c r="AK189" s="1"/>
      <c r="AQ189" s="1"/>
      <c r="AW189" s="1"/>
      <c r="BC189" s="1"/>
      <c r="BD189" s="1"/>
      <c r="BE189" s="1"/>
      <c r="BF189" s="1"/>
      <c r="BG189" s="1"/>
      <c r="BH189" s="1"/>
      <c r="BI189" s="1"/>
      <c r="BO189" s="1"/>
      <c r="BP189" s="1"/>
      <c r="BQ189" s="1"/>
      <c r="BR189" s="1"/>
      <c r="BS189" s="1"/>
      <c r="BT189" s="1"/>
      <c r="BU189" s="4"/>
    </row>
    <row r="190">
      <c r="A190" s="1"/>
      <c r="M190" s="1"/>
      <c r="Y190" s="1"/>
      <c r="AK190" s="1"/>
      <c r="AQ190" s="1"/>
      <c r="AW190" s="1"/>
      <c r="BC190" s="1"/>
      <c r="BD190" s="1"/>
      <c r="BE190" s="1"/>
      <c r="BF190" s="1"/>
      <c r="BG190" s="1"/>
      <c r="BH190" s="1"/>
      <c r="BI190" s="1"/>
      <c r="BO190" s="1"/>
      <c r="BP190" s="1"/>
      <c r="BQ190" s="1"/>
      <c r="BR190" s="1"/>
      <c r="BS190" s="1"/>
      <c r="BT190" s="1"/>
      <c r="BU190" s="4"/>
    </row>
    <row r="191">
      <c r="A191" s="1"/>
      <c r="M191" s="1"/>
      <c r="Y191" s="1"/>
      <c r="AK191" s="1"/>
      <c r="AQ191" s="1"/>
      <c r="AW191" s="1"/>
      <c r="BC191" s="1"/>
      <c r="BD191" s="1"/>
      <c r="BE191" s="1"/>
      <c r="BF191" s="1"/>
      <c r="BG191" s="1"/>
      <c r="BH191" s="1"/>
      <c r="BI191" s="1"/>
      <c r="BO191" s="1"/>
      <c r="BP191" s="1"/>
      <c r="BQ191" s="1"/>
      <c r="BR191" s="1"/>
      <c r="BS191" s="1"/>
      <c r="BT191" s="1"/>
      <c r="BU191" s="4"/>
    </row>
    <row r="192">
      <c r="A192" s="1"/>
      <c r="M192" s="1"/>
      <c r="Y192" s="1"/>
      <c r="AK192" s="1"/>
      <c r="AQ192" s="1"/>
      <c r="AW192" s="1"/>
      <c r="BC192" s="1"/>
      <c r="BD192" s="1"/>
      <c r="BE192" s="1"/>
      <c r="BF192" s="1"/>
      <c r="BG192" s="1"/>
      <c r="BH192" s="1"/>
      <c r="BI192" s="1"/>
      <c r="BO192" s="1"/>
      <c r="BP192" s="1"/>
      <c r="BQ192" s="1"/>
      <c r="BR192" s="1"/>
      <c r="BS192" s="1"/>
      <c r="BT192" s="1"/>
      <c r="BU192" s="4"/>
    </row>
    <row r="193">
      <c r="A193" s="1"/>
      <c r="M193" s="1"/>
      <c r="Y193" s="1"/>
      <c r="AK193" s="1"/>
      <c r="AQ193" s="1"/>
      <c r="AW193" s="1"/>
      <c r="BC193" s="1"/>
      <c r="BD193" s="1"/>
      <c r="BE193" s="1"/>
      <c r="BF193" s="1"/>
      <c r="BG193" s="1"/>
      <c r="BH193" s="1"/>
      <c r="BI193" s="1"/>
      <c r="BO193" s="1"/>
      <c r="BP193" s="1"/>
      <c r="BQ193" s="1"/>
      <c r="BR193" s="1"/>
      <c r="BS193" s="1"/>
      <c r="BT193" s="1"/>
      <c r="BU193" s="4"/>
    </row>
    <row r="194">
      <c r="A194" s="1"/>
      <c r="M194" s="1"/>
      <c r="Y194" s="1"/>
      <c r="AK194" s="1"/>
      <c r="AQ194" s="1"/>
      <c r="AW194" s="1"/>
      <c r="BC194" s="1"/>
      <c r="BD194" s="1"/>
      <c r="BE194" s="1"/>
      <c r="BF194" s="1"/>
      <c r="BG194" s="1"/>
      <c r="BH194" s="1"/>
      <c r="BI194" s="1"/>
      <c r="BO194" s="1"/>
      <c r="BP194" s="1"/>
      <c r="BQ194" s="1"/>
      <c r="BR194" s="1"/>
      <c r="BS194" s="1"/>
      <c r="BT194" s="1"/>
      <c r="BU194" s="4"/>
    </row>
    <row r="195">
      <c r="A195" s="1"/>
      <c r="M195" s="1"/>
      <c r="Y195" s="1"/>
      <c r="AK195" s="1"/>
      <c r="AQ195" s="1"/>
      <c r="AW195" s="1"/>
      <c r="BC195" s="1"/>
      <c r="BD195" s="1"/>
      <c r="BE195" s="1"/>
      <c r="BF195" s="1"/>
      <c r="BG195" s="1"/>
      <c r="BH195" s="1"/>
      <c r="BI195" s="1"/>
      <c r="BO195" s="1"/>
      <c r="BP195" s="1"/>
      <c r="BQ195" s="1"/>
      <c r="BR195" s="1"/>
      <c r="BS195" s="1"/>
      <c r="BT195" s="1"/>
      <c r="BU195" s="4"/>
    </row>
    <row r="196">
      <c r="A196" s="1"/>
      <c r="M196" s="1"/>
      <c r="Y196" s="1"/>
      <c r="AK196" s="1"/>
      <c r="AQ196" s="1"/>
      <c r="AW196" s="1"/>
      <c r="BC196" s="1"/>
      <c r="BD196" s="1"/>
      <c r="BE196" s="1"/>
      <c r="BF196" s="1"/>
      <c r="BG196" s="1"/>
      <c r="BH196" s="1"/>
      <c r="BI196" s="1"/>
      <c r="BO196" s="1"/>
      <c r="BP196" s="1"/>
      <c r="BQ196" s="1"/>
      <c r="BR196" s="1"/>
      <c r="BS196" s="1"/>
      <c r="BT196" s="1"/>
      <c r="BU196" s="4"/>
    </row>
    <row r="197">
      <c r="A197" s="1"/>
      <c r="M197" s="1"/>
      <c r="Y197" s="1"/>
      <c r="AK197" s="1"/>
      <c r="AQ197" s="1"/>
      <c r="AW197" s="1"/>
      <c r="BC197" s="1"/>
      <c r="BD197" s="1"/>
      <c r="BE197" s="1"/>
      <c r="BF197" s="1"/>
      <c r="BG197" s="1"/>
      <c r="BH197" s="1"/>
      <c r="BI197" s="1"/>
      <c r="BO197" s="1"/>
      <c r="BP197" s="1"/>
      <c r="BQ197" s="1"/>
      <c r="BR197" s="1"/>
      <c r="BS197" s="1"/>
      <c r="BT197" s="1"/>
      <c r="BU197" s="4"/>
    </row>
    <row r="198">
      <c r="A198" s="1"/>
      <c r="M198" s="1"/>
      <c r="Y198" s="1"/>
      <c r="AK198" s="1"/>
      <c r="AQ198" s="1"/>
      <c r="AW198" s="1"/>
      <c r="BC198" s="1"/>
      <c r="BD198" s="1"/>
      <c r="BE198" s="1"/>
      <c r="BF198" s="1"/>
      <c r="BG198" s="1"/>
      <c r="BH198" s="1"/>
      <c r="BI198" s="1"/>
      <c r="BO198" s="1"/>
      <c r="BP198" s="1"/>
      <c r="BQ198" s="1"/>
      <c r="BR198" s="1"/>
      <c r="BS198" s="1"/>
      <c r="BT198" s="1"/>
      <c r="BU198" s="4"/>
    </row>
    <row r="199">
      <c r="A199" s="1"/>
      <c r="M199" s="1"/>
      <c r="Y199" s="1"/>
      <c r="AK199" s="1"/>
      <c r="AQ199" s="1"/>
      <c r="AW199" s="1"/>
      <c r="BC199" s="1"/>
      <c r="BD199" s="1"/>
      <c r="BE199" s="1"/>
      <c r="BF199" s="1"/>
      <c r="BG199" s="1"/>
      <c r="BH199" s="1"/>
      <c r="BI199" s="1"/>
      <c r="BO199" s="1"/>
      <c r="BP199" s="1"/>
      <c r="BQ199" s="1"/>
      <c r="BR199" s="1"/>
      <c r="BS199" s="1"/>
      <c r="BT199" s="1"/>
      <c r="BU199" s="4"/>
    </row>
    <row r="200">
      <c r="A200" s="1"/>
      <c r="M200" s="1"/>
      <c r="Y200" s="1"/>
      <c r="AK200" s="1"/>
      <c r="AQ200" s="1"/>
      <c r="AW200" s="1"/>
      <c r="BC200" s="1"/>
      <c r="BD200" s="1"/>
      <c r="BE200" s="1"/>
      <c r="BF200" s="1"/>
      <c r="BG200" s="1"/>
      <c r="BH200" s="1"/>
      <c r="BI200" s="1"/>
      <c r="BO200" s="1"/>
      <c r="BP200" s="1"/>
      <c r="BQ200" s="1"/>
      <c r="BR200" s="1"/>
      <c r="BS200" s="1"/>
      <c r="BT200" s="1"/>
      <c r="BU200" s="4"/>
    </row>
    <row r="201">
      <c r="A201" s="1"/>
      <c r="M201" s="1"/>
      <c r="Y201" s="1"/>
      <c r="AK201" s="1"/>
      <c r="AQ201" s="1"/>
      <c r="AW201" s="1"/>
      <c r="BC201" s="1"/>
      <c r="BD201" s="1"/>
      <c r="BE201" s="1"/>
      <c r="BF201" s="1"/>
      <c r="BG201" s="1"/>
      <c r="BH201" s="1"/>
      <c r="BI201" s="1"/>
      <c r="BO201" s="1"/>
      <c r="BP201" s="1"/>
      <c r="BQ201" s="1"/>
      <c r="BR201" s="1"/>
      <c r="BS201" s="1"/>
      <c r="BT201" s="1"/>
      <c r="BU201" s="4"/>
    </row>
    <row r="202">
      <c r="A202" s="1"/>
      <c r="M202" s="1"/>
      <c r="Y202" s="1"/>
      <c r="AK202" s="1"/>
      <c r="AQ202" s="1"/>
      <c r="AW202" s="1"/>
      <c r="BC202" s="1"/>
      <c r="BD202" s="1"/>
      <c r="BE202" s="1"/>
      <c r="BF202" s="1"/>
      <c r="BG202" s="1"/>
      <c r="BH202" s="1"/>
      <c r="BI202" s="1"/>
      <c r="BO202" s="1"/>
      <c r="BP202" s="1"/>
      <c r="BQ202" s="1"/>
      <c r="BR202" s="1"/>
      <c r="BS202" s="1"/>
      <c r="BT202" s="1"/>
      <c r="BU202" s="4"/>
    </row>
    <row r="203">
      <c r="A203" s="1"/>
      <c r="M203" s="1"/>
      <c r="Y203" s="1"/>
      <c r="AK203" s="1"/>
      <c r="AQ203" s="1"/>
      <c r="AW203" s="1"/>
      <c r="BC203" s="1"/>
      <c r="BD203" s="1"/>
      <c r="BE203" s="1"/>
      <c r="BF203" s="1"/>
      <c r="BG203" s="1"/>
      <c r="BH203" s="1"/>
      <c r="BI203" s="1"/>
      <c r="BO203" s="1"/>
      <c r="BP203" s="1"/>
      <c r="BQ203" s="1"/>
      <c r="BR203" s="1"/>
      <c r="BS203" s="1"/>
      <c r="BT203" s="1"/>
      <c r="BU203" s="4"/>
    </row>
    <row r="204">
      <c r="A204" s="1"/>
      <c r="M204" s="1"/>
      <c r="Y204" s="1"/>
      <c r="AK204" s="1"/>
      <c r="AQ204" s="1"/>
      <c r="AW204" s="1"/>
      <c r="BC204" s="1"/>
      <c r="BD204" s="1"/>
      <c r="BE204" s="1"/>
      <c r="BF204" s="1"/>
      <c r="BG204" s="1"/>
      <c r="BH204" s="1"/>
      <c r="BI204" s="1"/>
      <c r="BO204" s="1"/>
      <c r="BP204" s="1"/>
      <c r="BQ204" s="1"/>
      <c r="BR204" s="1"/>
      <c r="BS204" s="1"/>
      <c r="BT204" s="1"/>
      <c r="BU204" s="4"/>
    </row>
    <row r="205">
      <c r="A205" s="1"/>
      <c r="M205" s="1"/>
      <c r="Y205" s="1"/>
      <c r="AK205" s="1"/>
      <c r="AQ205" s="1"/>
      <c r="AW205" s="1"/>
      <c r="BC205" s="1"/>
      <c r="BD205" s="1"/>
      <c r="BE205" s="1"/>
      <c r="BF205" s="1"/>
      <c r="BG205" s="1"/>
      <c r="BH205" s="1"/>
      <c r="BI205" s="1"/>
      <c r="BO205" s="1"/>
      <c r="BP205" s="1"/>
      <c r="BQ205" s="1"/>
      <c r="BR205" s="1"/>
      <c r="BS205" s="1"/>
      <c r="BT205" s="1"/>
      <c r="BU205" s="4"/>
    </row>
    <row r="206">
      <c r="A206" s="1"/>
      <c r="M206" s="1"/>
      <c r="Y206" s="1"/>
      <c r="AK206" s="1"/>
      <c r="AQ206" s="1"/>
      <c r="AW206" s="1"/>
      <c r="BC206" s="1"/>
      <c r="BD206" s="1"/>
      <c r="BE206" s="1"/>
      <c r="BF206" s="1"/>
      <c r="BG206" s="1"/>
      <c r="BH206" s="1"/>
      <c r="BI206" s="1"/>
      <c r="BO206" s="1"/>
      <c r="BP206" s="1"/>
      <c r="BQ206" s="1"/>
      <c r="BR206" s="1"/>
      <c r="BS206" s="1"/>
      <c r="BT206" s="1"/>
      <c r="BU206" s="4"/>
    </row>
    <row r="207">
      <c r="A207" s="1"/>
      <c r="M207" s="1"/>
      <c r="Y207" s="1"/>
      <c r="AK207" s="1"/>
      <c r="AQ207" s="1"/>
      <c r="AW207" s="1"/>
      <c r="BC207" s="1"/>
      <c r="BD207" s="1"/>
      <c r="BE207" s="1"/>
      <c r="BF207" s="1"/>
      <c r="BG207" s="1"/>
      <c r="BH207" s="1"/>
      <c r="BI207" s="1"/>
      <c r="BO207" s="1"/>
      <c r="BP207" s="1"/>
      <c r="BQ207" s="1"/>
      <c r="BR207" s="1"/>
      <c r="BS207" s="1"/>
      <c r="BT207" s="1"/>
      <c r="BU207" s="4"/>
    </row>
    <row r="208">
      <c r="A208" s="1"/>
      <c r="M208" s="1"/>
      <c r="Y208" s="1"/>
      <c r="AK208" s="1"/>
      <c r="AQ208" s="1"/>
      <c r="AW208" s="1"/>
      <c r="BC208" s="1"/>
      <c r="BD208" s="1"/>
      <c r="BE208" s="1"/>
      <c r="BF208" s="1"/>
      <c r="BG208" s="1"/>
      <c r="BH208" s="1"/>
      <c r="BI208" s="1"/>
      <c r="BO208" s="1"/>
      <c r="BP208" s="1"/>
      <c r="BQ208" s="1"/>
      <c r="BR208" s="1"/>
      <c r="BS208" s="1"/>
      <c r="BT208" s="1"/>
      <c r="BU208" s="4"/>
    </row>
    <row r="209">
      <c r="A209" s="1"/>
      <c r="M209" s="1"/>
      <c r="Y209" s="1"/>
      <c r="AK209" s="1"/>
      <c r="AQ209" s="1"/>
      <c r="AW209" s="1"/>
      <c r="BC209" s="1"/>
      <c r="BD209" s="1"/>
      <c r="BE209" s="1"/>
      <c r="BF209" s="1"/>
      <c r="BG209" s="1"/>
      <c r="BH209" s="1"/>
      <c r="BI209" s="1"/>
      <c r="BO209" s="1"/>
      <c r="BP209" s="1"/>
      <c r="BQ209" s="1"/>
      <c r="BR209" s="1"/>
      <c r="BS209" s="1"/>
      <c r="BT209" s="1"/>
      <c r="BU209" s="4"/>
    </row>
    <row r="210">
      <c r="A210" s="1"/>
      <c r="M210" s="1"/>
      <c r="Y210" s="1"/>
      <c r="AK210" s="1"/>
      <c r="AQ210" s="1"/>
      <c r="AW210" s="1"/>
      <c r="BC210" s="1"/>
      <c r="BD210" s="1"/>
      <c r="BE210" s="1"/>
      <c r="BF210" s="1"/>
      <c r="BG210" s="1"/>
      <c r="BH210" s="1"/>
      <c r="BI210" s="1"/>
      <c r="BO210" s="1"/>
      <c r="BP210" s="1"/>
      <c r="BQ210" s="1"/>
      <c r="BR210" s="1"/>
      <c r="BS210" s="1"/>
      <c r="BT210" s="1"/>
      <c r="BU210" s="4"/>
    </row>
    <row r="211">
      <c r="A211" s="1"/>
      <c r="M211" s="1"/>
      <c r="Y211" s="1"/>
      <c r="AK211" s="1"/>
      <c r="AQ211" s="1"/>
      <c r="AW211" s="1"/>
      <c r="BC211" s="1"/>
      <c r="BD211" s="1"/>
      <c r="BE211" s="1"/>
      <c r="BF211" s="1"/>
      <c r="BG211" s="1"/>
      <c r="BH211" s="1"/>
      <c r="BI211" s="1"/>
      <c r="BO211" s="1"/>
      <c r="BP211" s="1"/>
      <c r="BQ211" s="1"/>
      <c r="BR211" s="1"/>
      <c r="BS211" s="1"/>
      <c r="BT211" s="1"/>
      <c r="BU211" s="4"/>
    </row>
    <row r="212">
      <c r="A212" s="1"/>
      <c r="M212" s="1"/>
      <c r="Y212" s="1"/>
      <c r="AK212" s="1"/>
      <c r="AQ212" s="1"/>
      <c r="AW212" s="1"/>
      <c r="BC212" s="1"/>
      <c r="BD212" s="1"/>
      <c r="BE212" s="1"/>
      <c r="BF212" s="1"/>
      <c r="BG212" s="1"/>
      <c r="BH212" s="1"/>
      <c r="BI212" s="1"/>
      <c r="BO212" s="1"/>
      <c r="BP212" s="1"/>
      <c r="BQ212" s="1"/>
      <c r="BR212" s="1"/>
      <c r="BS212" s="1"/>
      <c r="BT212" s="1"/>
      <c r="BU212" s="4"/>
    </row>
    <row r="213">
      <c r="A213" s="1"/>
      <c r="M213" s="1"/>
      <c r="Y213" s="1"/>
      <c r="AK213" s="1"/>
      <c r="AQ213" s="1"/>
      <c r="AW213" s="1"/>
      <c r="BC213" s="1"/>
      <c r="BD213" s="1"/>
      <c r="BE213" s="1"/>
      <c r="BF213" s="1"/>
      <c r="BG213" s="1"/>
      <c r="BH213" s="1"/>
      <c r="BI213" s="1"/>
      <c r="BO213" s="1"/>
      <c r="BP213" s="1"/>
      <c r="BQ213" s="1"/>
      <c r="BR213" s="1"/>
      <c r="BS213" s="1"/>
      <c r="BT213" s="1"/>
      <c r="BU213" s="4"/>
    </row>
    <row r="214">
      <c r="A214" s="1"/>
      <c r="M214" s="1"/>
      <c r="Y214" s="1"/>
      <c r="AK214" s="1"/>
      <c r="AQ214" s="1"/>
      <c r="AW214" s="1"/>
      <c r="BC214" s="1"/>
      <c r="BD214" s="1"/>
      <c r="BE214" s="1"/>
      <c r="BF214" s="1"/>
      <c r="BG214" s="1"/>
      <c r="BH214" s="1"/>
      <c r="BI214" s="1"/>
      <c r="BO214" s="1"/>
      <c r="BP214" s="1"/>
      <c r="BQ214" s="1"/>
      <c r="BR214" s="1"/>
      <c r="BS214" s="1"/>
      <c r="BT214" s="1"/>
      <c r="BU214" s="4"/>
    </row>
    <row r="215">
      <c r="A215" s="1"/>
      <c r="M215" s="1"/>
      <c r="Y215" s="1"/>
      <c r="AK215" s="1"/>
      <c r="AQ215" s="1"/>
      <c r="AW215" s="1"/>
      <c r="BC215" s="1"/>
      <c r="BD215" s="1"/>
      <c r="BE215" s="1"/>
      <c r="BF215" s="1"/>
      <c r="BG215" s="1"/>
      <c r="BH215" s="1"/>
      <c r="BI215" s="1"/>
      <c r="BO215" s="1"/>
      <c r="BP215" s="1"/>
      <c r="BQ215" s="1"/>
      <c r="BR215" s="1"/>
      <c r="BS215" s="1"/>
      <c r="BT215" s="1"/>
      <c r="BU215" s="4"/>
    </row>
    <row r="216">
      <c r="A216" s="1"/>
      <c r="M216" s="1"/>
      <c r="Y216" s="1"/>
      <c r="AK216" s="1"/>
      <c r="AQ216" s="1"/>
      <c r="AW216" s="1"/>
      <c r="BC216" s="1"/>
      <c r="BD216" s="1"/>
      <c r="BE216" s="1"/>
      <c r="BF216" s="1"/>
      <c r="BG216" s="1"/>
      <c r="BH216" s="1"/>
      <c r="BI216" s="1"/>
      <c r="BO216" s="1"/>
      <c r="BP216" s="1"/>
      <c r="BQ216" s="1"/>
      <c r="BR216" s="1"/>
      <c r="BS216" s="1"/>
      <c r="BT216" s="1"/>
      <c r="BU216" s="4"/>
    </row>
    <row r="217">
      <c r="A217" s="1"/>
      <c r="M217" s="1"/>
      <c r="Y217" s="1"/>
      <c r="AK217" s="1"/>
      <c r="AQ217" s="1"/>
      <c r="AW217" s="1"/>
      <c r="BC217" s="1"/>
      <c r="BD217" s="1"/>
      <c r="BE217" s="1"/>
      <c r="BF217" s="1"/>
      <c r="BG217" s="1"/>
      <c r="BH217" s="1"/>
      <c r="BI217" s="1"/>
      <c r="BO217" s="1"/>
      <c r="BP217" s="1"/>
      <c r="BQ217" s="1"/>
      <c r="BR217" s="1"/>
      <c r="BS217" s="1"/>
      <c r="BT217" s="1"/>
      <c r="BU217" s="4"/>
    </row>
    <row r="218">
      <c r="A218" s="1"/>
      <c r="M218" s="1"/>
      <c r="Y218" s="1"/>
      <c r="AK218" s="1"/>
      <c r="AQ218" s="1"/>
      <c r="AW218" s="1"/>
      <c r="BC218" s="1"/>
      <c r="BD218" s="1"/>
      <c r="BE218" s="1"/>
      <c r="BF218" s="1"/>
      <c r="BG218" s="1"/>
      <c r="BH218" s="1"/>
      <c r="BI218" s="1"/>
      <c r="BO218" s="1"/>
      <c r="BP218" s="1"/>
      <c r="BQ218" s="1"/>
      <c r="BR218" s="1"/>
      <c r="BS218" s="1"/>
      <c r="BT218" s="1"/>
      <c r="BU218" s="4"/>
    </row>
    <row r="219">
      <c r="A219" s="1"/>
      <c r="M219" s="1"/>
      <c r="Y219" s="1"/>
      <c r="AK219" s="1"/>
      <c r="AQ219" s="1"/>
      <c r="AW219" s="1"/>
      <c r="BC219" s="1"/>
      <c r="BD219" s="1"/>
      <c r="BE219" s="1"/>
      <c r="BF219" s="1"/>
      <c r="BG219" s="1"/>
      <c r="BH219" s="1"/>
      <c r="BI219" s="1"/>
      <c r="BO219" s="1"/>
      <c r="BP219" s="1"/>
      <c r="BQ219" s="1"/>
      <c r="BR219" s="1"/>
      <c r="BS219" s="1"/>
      <c r="BT219" s="1"/>
      <c r="BU219" s="4"/>
    </row>
    <row r="220">
      <c r="A220" s="1"/>
      <c r="M220" s="1"/>
      <c r="Y220" s="1"/>
      <c r="AK220" s="1"/>
      <c r="AQ220" s="1"/>
      <c r="AW220" s="1"/>
      <c r="BC220" s="1"/>
      <c r="BD220" s="1"/>
      <c r="BE220" s="1"/>
      <c r="BF220" s="1"/>
      <c r="BG220" s="1"/>
      <c r="BH220" s="1"/>
      <c r="BI220" s="1"/>
      <c r="BO220" s="1"/>
      <c r="BP220" s="1"/>
      <c r="BQ220" s="1"/>
      <c r="BR220" s="1"/>
      <c r="BS220" s="1"/>
      <c r="BT220" s="1"/>
      <c r="BU220" s="4"/>
    </row>
    <row r="221">
      <c r="A221" s="1"/>
      <c r="M221" s="1"/>
      <c r="Y221" s="1"/>
      <c r="AK221" s="1"/>
      <c r="AQ221" s="1"/>
      <c r="AW221" s="1"/>
      <c r="BC221" s="1"/>
      <c r="BD221" s="1"/>
      <c r="BE221" s="1"/>
      <c r="BF221" s="1"/>
      <c r="BG221" s="1"/>
      <c r="BH221" s="1"/>
      <c r="BI221" s="1"/>
      <c r="BO221" s="1"/>
      <c r="BP221" s="1"/>
      <c r="BQ221" s="1"/>
      <c r="BR221" s="1"/>
      <c r="BS221" s="1"/>
      <c r="BT221" s="1"/>
      <c r="BU221" s="4"/>
    </row>
    <row r="222">
      <c r="A222" s="1"/>
      <c r="M222" s="1"/>
      <c r="Y222" s="1"/>
      <c r="AK222" s="1"/>
      <c r="AQ222" s="1"/>
      <c r="AW222" s="1"/>
      <c r="BC222" s="1"/>
      <c r="BD222" s="1"/>
      <c r="BE222" s="1"/>
      <c r="BF222" s="1"/>
      <c r="BG222" s="1"/>
      <c r="BH222" s="1"/>
      <c r="BI222" s="1"/>
      <c r="BO222" s="1"/>
      <c r="BP222" s="1"/>
      <c r="BQ222" s="1"/>
      <c r="BR222" s="1"/>
      <c r="BS222" s="1"/>
      <c r="BT222" s="1"/>
      <c r="BU222" s="4"/>
    </row>
    <row r="223">
      <c r="A223" s="1"/>
      <c r="M223" s="1"/>
      <c r="Y223" s="1"/>
      <c r="AK223" s="1"/>
      <c r="AQ223" s="1"/>
      <c r="AW223" s="1"/>
      <c r="BC223" s="1"/>
      <c r="BD223" s="1"/>
      <c r="BE223" s="1"/>
      <c r="BF223" s="1"/>
      <c r="BG223" s="1"/>
      <c r="BH223" s="1"/>
      <c r="BI223" s="1"/>
      <c r="BO223" s="1"/>
      <c r="BP223" s="1"/>
      <c r="BQ223" s="1"/>
      <c r="BR223" s="1"/>
      <c r="BS223" s="1"/>
      <c r="BT223" s="1"/>
      <c r="BU223" s="4"/>
    </row>
    <row r="224">
      <c r="A224" s="1"/>
      <c r="M224" s="1"/>
      <c r="Y224" s="1"/>
      <c r="AK224" s="1"/>
      <c r="AQ224" s="1"/>
      <c r="AW224" s="1"/>
      <c r="BC224" s="1"/>
      <c r="BD224" s="1"/>
      <c r="BE224" s="1"/>
      <c r="BF224" s="1"/>
      <c r="BG224" s="1"/>
      <c r="BH224" s="1"/>
      <c r="BI224" s="1"/>
      <c r="BO224" s="1"/>
      <c r="BP224" s="1"/>
      <c r="BQ224" s="1"/>
      <c r="BR224" s="1"/>
      <c r="BS224" s="1"/>
      <c r="BT224" s="1"/>
      <c r="BU224" s="4"/>
    </row>
    <row r="225">
      <c r="A225" s="1"/>
      <c r="M225" s="1"/>
      <c r="Y225" s="1"/>
      <c r="AK225" s="1"/>
      <c r="AQ225" s="1"/>
      <c r="AW225" s="1"/>
      <c r="BC225" s="1"/>
      <c r="BD225" s="1"/>
      <c r="BE225" s="1"/>
      <c r="BF225" s="1"/>
      <c r="BG225" s="1"/>
      <c r="BH225" s="1"/>
      <c r="BI225" s="1"/>
      <c r="BO225" s="1"/>
      <c r="BP225" s="1"/>
      <c r="BQ225" s="1"/>
      <c r="BR225" s="1"/>
      <c r="BS225" s="1"/>
      <c r="BT225" s="1"/>
      <c r="BU225" s="4"/>
    </row>
    <row r="226">
      <c r="A226" s="1"/>
      <c r="M226" s="1"/>
      <c r="Y226" s="1"/>
      <c r="AK226" s="1"/>
      <c r="AQ226" s="1"/>
      <c r="AW226" s="1"/>
      <c r="BC226" s="1"/>
      <c r="BD226" s="1"/>
      <c r="BE226" s="1"/>
      <c r="BF226" s="1"/>
      <c r="BG226" s="1"/>
      <c r="BH226" s="1"/>
      <c r="BI226" s="1"/>
      <c r="BO226" s="1"/>
      <c r="BP226" s="1"/>
      <c r="BQ226" s="1"/>
      <c r="BR226" s="1"/>
      <c r="BS226" s="1"/>
      <c r="BT226" s="1"/>
      <c r="BU226" s="4"/>
    </row>
    <row r="227">
      <c r="A227" s="1"/>
      <c r="M227" s="1"/>
      <c r="Y227" s="1"/>
      <c r="AK227" s="1"/>
      <c r="AQ227" s="1"/>
      <c r="AW227" s="1"/>
      <c r="BC227" s="1"/>
      <c r="BD227" s="1"/>
      <c r="BE227" s="1"/>
      <c r="BF227" s="1"/>
      <c r="BG227" s="1"/>
      <c r="BH227" s="1"/>
      <c r="BI227" s="1"/>
      <c r="BO227" s="1"/>
      <c r="BP227" s="1"/>
      <c r="BQ227" s="1"/>
      <c r="BR227" s="1"/>
      <c r="BS227" s="1"/>
      <c r="BT227" s="1"/>
      <c r="BU227" s="4"/>
    </row>
    <row r="228">
      <c r="A228" s="1"/>
      <c r="M228" s="1"/>
      <c r="Y228" s="1"/>
      <c r="AK228" s="1"/>
      <c r="AQ228" s="1"/>
      <c r="AW228" s="1"/>
      <c r="BC228" s="1"/>
      <c r="BD228" s="1"/>
      <c r="BE228" s="1"/>
      <c r="BF228" s="1"/>
      <c r="BG228" s="1"/>
      <c r="BH228" s="1"/>
      <c r="BI228" s="1"/>
      <c r="BO228" s="1"/>
      <c r="BP228" s="1"/>
      <c r="BQ228" s="1"/>
      <c r="BR228" s="1"/>
      <c r="BS228" s="1"/>
      <c r="BT228" s="1"/>
      <c r="BU228" s="4"/>
    </row>
    <row r="229">
      <c r="A229" s="1"/>
      <c r="M229" s="1"/>
      <c r="Y229" s="1"/>
      <c r="AK229" s="1"/>
      <c r="AQ229" s="1"/>
      <c r="AW229" s="1"/>
      <c r="BC229" s="1"/>
      <c r="BD229" s="1"/>
      <c r="BE229" s="1"/>
      <c r="BF229" s="1"/>
      <c r="BG229" s="1"/>
      <c r="BH229" s="1"/>
      <c r="BI229" s="1"/>
      <c r="BO229" s="1"/>
      <c r="BP229" s="1"/>
      <c r="BQ229" s="1"/>
      <c r="BR229" s="1"/>
      <c r="BS229" s="1"/>
      <c r="BT229" s="1"/>
      <c r="BU229" s="4"/>
    </row>
    <row r="230">
      <c r="A230" s="1"/>
      <c r="M230" s="1"/>
      <c r="Y230" s="1"/>
      <c r="AK230" s="1"/>
      <c r="AQ230" s="1"/>
      <c r="AW230" s="1"/>
      <c r="BC230" s="1"/>
      <c r="BD230" s="1"/>
      <c r="BE230" s="1"/>
      <c r="BF230" s="1"/>
      <c r="BG230" s="1"/>
      <c r="BH230" s="1"/>
      <c r="BI230" s="1"/>
      <c r="BO230" s="1"/>
      <c r="BP230" s="1"/>
      <c r="BQ230" s="1"/>
      <c r="BR230" s="1"/>
      <c r="BS230" s="1"/>
      <c r="BT230" s="1"/>
      <c r="BU230" s="4"/>
    </row>
    <row r="231">
      <c r="A231" s="1"/>
      <c r="M231" s="1"/>
      <c r="Y231" s="1"/>
      <c r="AK231" s="1"/>
      <c r="AQ231" s="1"/>
      <c r="AW231" s="1"/>
      <c r="BC231" s="1"/>
      <c r="BD231" s="1"/>
      <c r="BE231" s="1"/>
      <c r="BF231" s="1"/>
      <c r="BG231" s="1"/>
      <c r="BH231" s="1"/>
      <c r="BI231" s="1"/>
      <c r="BO231" s="1"/>
      <c r="BP231" s="1"/>
      <c r="BQ231" s="1"/>
      <c r="BR231" s="1"/>
      <c r="BS231" s="1"/>
      <c r="BT231" s="1"/>
      <c r="BU231" s="4"/>
    </row>
    <row r="232">
      <c r="A232" s="1"/>
      <c r="M232" s="1"/>
      <c r="Y232" s="1"/>
      <c r="AK232" s="1"/>
      <c r="AQ232" s="1"/>
      <c r="AW232" s="1"/>
      <c r="BC232" s="1"/>
      <c r="BD232" s="1"/>
      <c r="BE232" s="1"/>
      <c r="BF232" s="1"/>
      <c r="BG232" s="1"/>
      <c r="BH232" s="1"/>
      <c r="BI232" s="1"/>
      <c r="BO232" s="1"/>
      <c r="BP232" s="1"/>
      <c r="BQ232" s="1"/>
      <c r="BR232" s="1"/>
      <c r="BS232" s="1"/>
      <c r="BT232" s="1"/>
      <c r="BU232" s="4"/>
    </row>
    <row r="233">
      <c r="A233" s="1"/>
      <c r="M233" s="1"/>
      <c r="Y233" s="1"/>
      <c r="AK233" s="1"/>
      <c r="AQ233" s="1"/>
      <c r="AW233" s="1"/>
      <c r="BC233" s="1"/>
      <c r="BD233" s="1"/>
      <c r="BE233" s="1"/>
      <c r="BF233" s="1"/>
      <c r="BG233" s="1"/>
      <c r="BH233" s="1"/>
      <c r="BI233" s="1"/>
      <c r="BO233" s="1"/>
      <c r="BP233" s="1"/>
      <c r="BQ233" s="1"/>
      <c r="BR233" s="1"/>
      <c r="BS233" s="1"/>
      <c r="BT233" s="1"/>
      <c r="BU233" s="4"/>
    </row>
    <row r="234">
      <c r="A234" s="1"/>
      <c r="M234" s="1"/>
      <c r="Y234" s="1"/>
      <c r="AK234" s="1"/>
      <c r="AQ234" s="1"/>
      <c r="AW234" s="1"/>
      <c r="BC234" s="1"/>
      <c r="BD234" s="1"/>
      <c r="BE234" s="1"/>
      <c r="BF234" s="1"/>
      <c r="BG234" s="1"/>
      <c r="BH234" s="1"/>
      <c r="BI234" s="1"/>
      <c r="BO234" s="1"/>
      <c r="BP234" s="1"/>
      <c r="BQ234" s="1"/>
      <c r="BR234" s="1"/>
      <c r="BS234" s="1"/>
      <c r="BT234" s="1"/>
      <c r="BU234" s="4"/>
    </row>
    <row r="235">
      <c r="A235" s="1"/>
      <c r="M235" s="1"/>
      <c r="Y235" s="1"/>
      <c r="AK235" s="1"/>
      <c r="AQ235" s="1"/>
      <c r="AW235" s="1"/>
      <c r="BC235" s="1"/>
      <c r="BD235" s="1"/>
      <c r="BE235" s="1"/>
      <c r="BF235" s="1"/>
      <c r="BG235" s="1"/>
      <c r="BH235" s="1"/>
      <c r="BI235" s="1"/>
      <c r="BO235" s="1"/>
      <c r="BP235" s="1"/>
      <c r="BQ235" s="1"/>
      <c r="BR235" s="1"/>
      <c r="BS235" s="1"/>
      <c r="BT235" s="1"/>
      <c r="BU235" s="4"/>
    </row>
    <row r="236">
      <c r="A236" s="1"/>
      <c r="M236" s="1"/>
      <c r="Y236" s="1"/>
      <c r="AK236" s="1"/>
      <c r="AQ236" s="1"/>
      <c r="AW236" s="1"/>
      <c r="BC236" s="1"/>
      <c r="BD236" s="1"/>
      <c r="BE236" s="1"/>
      <c r="BF236" s="1"/>
      <c r="BG236" s="1"/>
      <c r="BH236" s="1"/>
      <c r="BI236" s="1"/>
      <c r="BO236" s="1"/>
      <c r="BP236" s="1"/>
      <c r="BQ236" s="1"/>
      <c r="BR236" s="1"/>
      <c r="BS236" s="1"/>
      <c r="BT236" s="1"/>
      <c r="BU236" s="4"/>
    </row>
    <row r="237">
      <c r="A237" s="1"/>
      <c r="M237" s="1"/>
      <c r="Y237" s="1"/>
      <c r="AK237" s="1"/>
      <c r="AQ237" s="1"/>
      <c r="AW237" s="1"/>
      <c r="BC237" s="1"/>
      <c r="BD237" s="1"/>
      <c r="BE237" s="1"/>
      <c r="BF237" s="1"/>
      <c r="BG237" s="1"/>
      <c r="BH237" s="1"/>
      <c r="BI237" s="1"/>
      <c r="BO237" s="1"/>
      <c r="BP237" s="1"/>
      <c r="BQ237" s="1"/>
      <c r="BR237" s="1"/>
      <c r="BS237" s="1"/>
      <c r="BT237" s="1"/>
      <c r="BU237" s="4"/>
    </row>
    <row r="238">
      <c r="A238" s="1"/>
      <c r="M238" s="1"/>
      <c r="Y238" s="1"/>
      <c r="AK238" s="1"/>
      <c r="AQ238" s="1"/>
      <c r="AW238" s="1"/>
      <c r="BC238" s="1"/>
      <c r="BD238" s="1"/>
      <c r="BE238" s="1"/>
      <c r="BF238" s="1"/>
      <c r="BG238" s="1"/>
      <c r="BH238" s="1"/>
      <c r="BI238" s="1"/>
      <c r="BO238" s="1"/>
      <c r="BP238" s="1"/>
      <c r="BQ238" s="1"/>
      <c r="BR238" s="1"/>
      <c r="BS238" s="1"/>
      <c r="BT238" s="1"/>
      <c r="BU238" s="4"/>
    </row>
    <row r="239">
      <c r="A239" s="1"/>
      <c r="M239" s="1"/>
      <c r="Y239" s="1"/>
      <c r="AK239" s="1"/>
      <c r="AQ239" s="1"/>
      <c r="AW239" s="1"/>
      <c r="BC239" s="1"/>
      <c r="BD239" s="1"/>
      <c r="BE239" s="1"/>
      <c r="BF239" s="1"/>
      <c r="BG239" s="1"/>
      <c r="BH239" s="1"/>
      <c r="BI239" s="1"/>
      <c r="BO239" s="1"/>
      <c r="BP239" s="1"/>
      <c r="BQ239" s="1"/>
      <c r="BR239" s="1"/>
      <c r="BS239" s="1"/>
      <c r="BT239" s="1"/>
      <c r="BU239" s="4"/>
    </row>
    <row r="240">
      <c r="A240" s="1"/>
      <c r="M240" s="1"/>
      <c r="Y240" s="1"/>
      <c r="AK240" s="1"/>
      <c r="AQ240" s="1"/>
      <c r="AW240" s="1"/>
      <c r="BC240" s="1"/>
      <c r="BD240" s="1"/>
      <c r="BE240" s="1"/>
      <c r="BF240" s="1"/>
      <c r="BG240" s="1"/>
      <c r="BH240" s="1"/>
      <c r="BI240" s="1"/>
      <c r="BO240" s="1"/>
      <c r="BP240" s="1"/>
      <c r="BQ240" s="1"/>
      <c r="BR240" s="1"/>
      <c r="BS240" s="1"/>
      <c r="BT240" s="1"/>
      <c r="BU240" s="4"/>
    </row>
    <row r="241">
      <c r="A241" s="1"/>
      <c r="M241" s="1"/>
      <c r="Y241" s="1"/>
      <c r="AK241" s="1"/>
      <c r="AQ241" s="1"/>
      <c r="AW241" s="1"/>
      <c r="BC241" s="1"/>
      <c r="BD241" s="1"/>
      <c r="BE241" s="1"/>
      <c r="BF241" s="1"/>
      <c r="BG241" s="1"/>
      <c r="BH241" s="1"/>
      <c r="BI241" s="1"/>
      <c r="BO241" s="1"/>
      <c r="BP241" s="1"/>
      <c r="BQ241" s="1"/>
      <c r="BR241" s="1"/>
      <c r="BS241" s="1"/>
      <c r="BT241" s="1"/>
      <c r="BU241" s="4"/>
    </row>
    <row r="242">
      <c r="A242" s="1"/>
      <c r="M242" s="1"/>
      <c r="Y242" s="1"/>
      <c r="AK242" s="1"/>
      <c r="AQ242" s="1"/>
      <c r="AW242" s="1"/>
      <c r="BC242" s="1"/>
      <c r="BD242" s="1"/>
      <c r="BE242" s="1"/>
      <c r="BF242" s="1"/>
      <c r="BG242" s="1"/>
      <c r="BH242" s="1"/>
      <c r="BI242" s="1"/>
      <c r="BO242" s="1"/>
      <c r="BP242" s="1"/>
      <c r="BQ242" s="1"/>
      <c r="BR242" s="1"/>
      <c r="BS242" s="1"/>
      <c r="BT242" s="1"/>
      <c r="BU242" s="4"/>
    </row>
    <row r="243">
      <c r="A243" s="1"/>
      <c r="M243" s="1"/>
      <c r="Y243" s="1"/>
      <c r="AK243" s="1"/>
      <c r="AQ243" s="1"/>
      <c r="AW243" s="1"/>
      <c r="BC243" s="1"/>
      <c r="BD243" s="1"/>
      <c r="BE243" s="1"/>
      <c r="BF243" s="1"/>
      <c r="BG243" s="1"/>
      <c r="BH243" s="1"/>
      <c r="BI243" s="1"/>
      <c r="BO243" s="1"/>
      <c r="BP243" s="1"/>
      <c r="BQ243" s="1"/>
      <c r="BR243" s="1"/>
      <c r="BS243" s="1"/>
      <c r="BT243" s="1"/>
      <c r="BU243" s="4"/>
    </row>
    <row r="244">
      <c r="A244" s="1"/>
      <c r="M244" s="1"/>
      <c r="Y244" s="1"/>
      <c r="AK244" s="1"/>
      <c r="AQ244" s="1"/>
      <c r="AW244" s="1"/>
      <c r="BC244" s="1"/>
      <c r="BD244" s="1"/>
      <c r="BE244" s="1"/>
      <c r="BF244" s="1"/>
      <c r="BG244" s="1"/>
      <c r="BH244" s="1"/>
      <c r="BI244" s="1"/>
      <c r="BO244" s="1"/>
      <c r="BP244" s="1"/>
      <c r="BQ244" s="1"/>
      <c r="BR244" s="1"/>
      <c r="BS244" s="1"/>
      <c r="BT244" s="1"/>
      <c r="BU244" s="4"/>
    </row>
    <row r="245">
      <c r="A245" s="1"/>
      <c r="M245" s="1"/>
      <c r="Y245" s="1"/>
      <c r="AK245" s="1"/>
      <c r="AQ245" s="1"/>
      <c r="AW245" s="1"/>
      <c r="BC245" s="1"/>
      <c r="BD245" s="1"/>
      <c r="BE245" s="1"/>
      <c r="BF245" s="1"/>
      <c r="BG245" s="1"/>
      <c r="BH245" s="1"/>
      <c r="BI245" s="1"/>
      <c r="BO245" s="1"/>
      <c r="BP245" s="1"/>
      <c r="BQ245" s="1"/>
      <c r="BR245" s="1"/>
      <c r="BS245" s="1"/>
      <c r="BT245" s="1"/>
      <c r="BU245" s="4"/>
    </row>
    <row r="246">
      <c r="A246" s="1"/>
      <c r="M246" s="1"/>
      <c r="Y246" s="1"/>
      <c r="AK246" s="1"/>
      <c r="AQ246" s="1"/>
      <c r="AW246" s="1"/>
      <c r="BC246" s="1"/>
      <c r="BD246" s="1"/>
      <c r="BE246" s="1"/>
      <c r="BF246" s="1"/>
      <c r="BG246" s="1"/>
      <c r="BH246" s="1"/>
      <c r="BI246" s="1"/>
      <c r="BO246" s="1"/>
      <c r="BP246" s="1"/>
      <c r="BQ246" s="1"/>
      <c r="BR246" s="1"/>
      <c r="BS246" s="1"/>
      <c r="BT246" s="1"/>
      <c r="BU246" s="4"/>
    </row>
    <row r="247">
      <c r="A247" s="1"/>
      <c r="M247" s="1"/>
      <c r="Y247" s="1"/>
      <c r="AK247" s="1"/>
      <c r="AQ247" s="1"/>
      <c r="AW247" s="1"/>
      <c r="BC247" s="1"/>
      <c r="BD247" s="1"/>
      <c r="BE247" s="1"/>
      <c r="BF247" s="1"/>
      <c r="BG247" s="1"/>
      <c r="BH247" s="1"/>
      <c r="BI247" s="1"/>
      <c r="BO247" s="1"/>
      <c r="BP247" s="1"/>
      <c r="BQ247" s="1"/>
      <c r="BR247" s="1"/>
      <c r="BS247" s="1"/>
      <c r="BT247" s="1"/>
      <c r="BU247" s="4"/>
    </row>
    <row r="248">
      <c r="A248" s="1"/>
      <c r="M248" s="1"/>
      <c r="Y248" s="1"/>
      <c r="AK248" s="1"/>
      <c r="AQ248" s="1"/>
      <c r="AW248" s="1"/>
      <c r="BC248" s="1"/>
      <c r="BD248" s="1"/>
      <c r="BE248" s="1"/>
      <c r="BF248" s="1"/>
      <c r="BG248" s="1"/>
      <c r="BH248" s="1"/>
      <c r="BI248" s="1"/>
      <c r="BO248" s="1"/>
      <c r="BP248" s="1"/>
      <c r="BQ248" s="1"/>
      <c r="BR248" s="1"/>
      <c r="BS248" s="1"/>
      <c r="BT248" s="1"/>
      <c r="BU248" s="4"/>
    </row>
    <row r="249">
      <c r="A249" s="1"/>
      <c r="M249" s="1"/>
      <c r="Y249" s="1"/>
      <c r="AK249" s="1"/>
      <c r="AQ249" s="1"/>
      <c r="AW249" s="1"/>
      <c r="BC249" s="1"/>
      <c r="BD249" s="1"/>
      <c r="BE249" s="1"/>
      <c r="BF249" s="1"/>
      <c r="BG249" s="1"/>
      <c r="BH249" s="1"/>
      <c r="BI249" s="1"/>
      <c r="BO249" s="1"/>
      <c r="BP249" s="1"/>
      <c r="BQ249" s="1"/>
      <c r="BR249" s="1"/>
      <c r="BS249" s="1"/>
      <c r="BT249" s="1"/>
      <c r="BU249" s="4"/>
    </row>
    <row r="250">
      <c r="A250" s="1"/>
      <c r="M250" s="1"/>
      <c r="Y250" s="1"/>
      <c r="AK250" s="1"/>
      <c r="AQ250" s="1"/>
      <c r="AW250" s="1"/>
      <c r="BC250" s="1"/>
      <c r="BD250" s="1"/>
      <c r="BE250" s="1"/>
      <c r="BF250" s="1"/>
      <c r="BG250" s="1"/>
      <c r="BH250" s="1"/>
      <c r="BI250" s="1"/>
      <c r="BO250" s="1"/>
      <c r="BP250" s="1"/>
      <c r="BQ250" s="1"/>
      <c r="BR250" s="1"/>
      <c r="BS250" s="1"/>
      <c r="BT250" s="1"/>
      <c r="BU250" s="4"/>
    </row>
    <row r="251">
      <c r="A251" s="1"/>
      <c r="M251" s="1"/>
      <c r="Y251" s="1"/>
      <c r="AK251" s="1"/>
      <c r="AQ251" s="1"/>
      <c r="AW251" s="1"/>
      <c r="BC251" s="1"/>
      <c r="BD251" s="1"/>
      <c r="BE251" s="1"/>
      <c r="BF251" s="1"/>
      <c r="BG251" s="1"/>
      <c r="BH251" s="1"/>
      <c r="BI251" s="1"/>
      <c r="BO251" s="1"/>
      <c r="BP251" s="1"/>
      <c r="BQ251" s="1"/>
      <c r="BR251" s="1"/>
      <c r="BS251" s="1"/>
      <c r="BT251" s="1"/>
      <c r="BU251" s="4"/>
    </row>
    <row r="252">
      <c r="A252" s="1"/>
      <c r="M252" s="1"/>
      <c r="Y252" s="1"/>
      <c r="AK252" s="1"/>
      <c r="AQ252" s="1"/>
      <c r="AW252" s="1"/>
      <c r="BC252" s="1"/>
      <c r="BD252" s="1"/>
      <c r="BE252" s="1"/>
      <c r="BF252" s="1"/>
      <c r="BG252" s="1"/>
      <c r="BH252" s="1"/>
      <c r="BI252" s="1"/>
      <c r="BO252" s="1"/>
      <c r="BP252" s="1"/>
      <c r="BQ252" s="1"/>
      <c r="BR252" s="1"/>
      <c r="BS252" s="1"/>
      <c r="BT252" s="1"/>
      <c r="BU252" s="4"/>
    </row>
    <row r="253">
      <c r="A253" s="1"/>
      <c r="M253" s="1"/>
      <c r="Y253" s="1"/>
      <c r="AK253" s="1"/>
      <c r="AQ253" s="1"/>
      <c r="AW253" s="1"/>
      <c r="BC253" s="1"/>
      <c r="BD253" s="1"/>
      <c r="BE253" s="1"/>
      <c r="BF253" s="1"/>
      <c r="BG253" s="1"/>
      <c r="BH253" s="1"/>
      <c r="BI253" s="1"/>
      <c r="BO253" s="1"/>
      <c r="BP253" s="1"/>
      <c r="BQ253" s="1"/>
      <c r="BR253" s="1"/>
      <c r="BS253" s="1"/>
      <c r="BT253" s="1"/>
      <c r="BU253" s="4"/>
    </row>
    <row r="254">
      <c r="A254" s="1"/>
      <c r="M254" s="1"/>
      <c r="Y254" s="1"/>
      <c r="AK254" s="1"/>
      <c r="AQ254" s="1"/>
      <c r="AW254" s="1"/>
      <c r="BC254" s="1"/>
      <c r="BD254" s="1"/>
      <c r="BE254" s="1"/>
      <c r="BF254" s="1"/>
      <c r="BG254" s="1"/>
      <c r="BH254" s="1"/>
      <c r="BI254" s="1"/>
      <c r="BO254" s="1"/>
      <c r="BP254" s="1"/>
      <c r="BQ254" s="1"/>
      <c r="BR254" s="1"/>
      <c r="BS254" s="1"/>
      <c r="BT254" s="1"/>
      <c r="BU254" s="4"/>
    </row>
    <row r="255">
      <c r="A255" s="1"/>
      <c r="M255" s="1"/>
      <c r="Y255" s="1"/>
      <c r="AK255" s="1"/>
      <c r="AQ255" s="1"/>
      <c r="AW255" s="1"/>
      <c r="BC255" s="1"/>
      <c r="BD255" s="1"/>
      <c r="BE255" s="1"/>
      <c r="BF255" s="1"/>
      <c r="BG255" s="1"/>
      <c r="BH255" s="1"/>
      <c r="BI255" s="1"/>
      <c r="BO255" s="1"/>
      <c r="BP255" s="1"/>
      <c r="BQ255" s="1"/>
      <c r="BR255" s="1"/>
      <c r="BS255" s="1"/>
      <c r="BT255" s="1"/>
      <c r="BU255" s="4"/>
    </row>
    <row r="256">
      <c r="A256" s="1"/>
      <c r="M256" s="1"/>
      <c r="Y256" s="1"/>
      <c r="AK256" s="1"/>
      <c r="AQ256" s="1"/>
      <c r="AW256" s="1"/>
      <c r="BC256" s="1"/>
      <c r="BD256" s="1"/>
      <c r="BE256" s="1"/>
      <c r="BF256" s="1"/>
      <c r="BG256" s="1"/>
      <c r="BH256" s="1"/>
      <c r="BI256" s="1"/>
      <c r="BO256" s="1"/>
      <c r="BP256" s="1"/>
      <c r="BQ256" s="1"/>
      <c r="BR256" s="1"/>
      <c r="BS256" s="1"/>
      <c r="BT256" s="1"/>
      <c r="BU256" s="4"/>
    </row>
    <row r="257">
      <c r="A257" s="1"/>
      <c r="M257" s="1"/>
      <c r="Y257" s="1"/>
      <c r="AK257" s="1"/>
      <c r="AQ257" s="1"/>
      <c r="AW257" s="1"/>
      <c r="BC257" s="1"/>
      <c r="BD257" s="1"/>
      <c r="BE257" s="1"/>
      <c r="BF257" s="1"/>
      <c r="BG257" s="1"/>
      <c r="BH257" s="1"/>
      <c r="BI257" s="1"/>
      <c r="BO257" s="1"/>
      <c r="BP257" s="1"/>
      <c r="BQ257" s="1"/>
      <c r="BR257" s="1"/>
      <c r="BS257" s="1"/>
      <c r="BT257" s="1"/>
      <c r="BU257" s="4"/>
    </row>
    <row r="258">
      <c r="A258" s="1"/>
      <c r="M258" s="1"/>
      <c r="Y258" s="1"/>
      <c r="AK258" s="1"/>
      <c r="AQ258" s="1"/>
      <c r="AW258" s="1"/>
      <c r="BC258" s="1"/>
      <c r="BD258" s="1"/>
      <c r="BE258" s="1"/>
      <c r="BF258" s="1"/>
      <c r="BG258" s="1"/>
      <c r="BH258" s="1"/>
      <c r="BI258" s="1"/>
      <c r="BO258" s="1"/>
      <c r="BP258" s="1"/>
      <c r="BQ258" s="1"/>
      <c r="BR258" s="1"/>
      <c r="BS258" s="1"/>
      <c r="BT258" s="1"/>
      <c r="BU258" s="4"/>
    </row>
    <row r="259">
      <c r="A259" s="1"/>
      <c r="M259" s="1"/>
      <c r="Y259" s="1"/>
      <c r="AK259" s="1"/>
      <c r="AQ259" s="1"/>
      <c r="AW259" s="1"/>
      <c r="BC259" s="1"/>
      <c r="BD259" s="1"/>
      <c r="BE259" s="1"/>
      <c r="BF259" s="1"/>
      <c r="BG259" s="1"/>
      <c r="BH259" s="1"/>
      <c r="BI259" s="1"/>
      <c r="BO259" s="1"/>
      <c r="BP259" s="1"/>
      <c r="BQ259" s="1"/>
      <c r="BR259" s="1"/>
      <c r="BS259" s="1"/>
      <c r="BT259" s="1"/>
      <c r="BU259" s="4"/>
    </row>
    <row r="260">
      <c r="A260" s="1"/>
      <c r="M260" s="1"/>
      <c r="Y260" s="1"/>
      <c r="AK260" s="1"/>
      <c r="AQ260" s="1"/>
      <c r="AW260" s="1"/>
      <c r="BC260" s="1"/>
      <c r="BD260" s="1"/>
      <c r="BE260" s="1"/>
      <c r="BF260" s="1"/>
      <c r="BG260" s="1"/>
      <c r="BH260" s="1"/>
      <c r="BI260" s="1"/>
      <c r="BO260" s="1"/>
      <c r="BP260" s="1"/>
      <c r="BQ260" s="1"/>
      <c r="BR260" s="1"/>
      <c r="BS260" s="1"/>
      <c r="BT260" s="1"/>
      <c r="BU260" s="4"/>
    </row>
    <row r="261">
      <c r="A261" s="1"/>
      <c r="M261" s="1"/>
      <c r="Y261" s="1"/>
      <c r="AK261" s="1"/>
      <c r="AQ261" s="1"/>
      <c r="AW261" s="1"/>
      <c r="BC261" s="1"/>
      <c r="BD261" s="1"/>
      <c r="BE261" s="1"/>
      <c r="BF261" s="1"/>
      <c r="BG261" s="1"/>
      <c r="BH261" s="1"/>
      <c r="BI261" s="1"/>
      <c r="BO261" s="1"/>
      <c r="BP261" s="1"/>
      <c r="BQ261" s="1"/>
      <c r="BR261" s="1"/>
      <c r="BS261" s="1"/>
      <c r="BT261" s="1"/>
      <c r="BU261" s="4"/>
    </row>
    <row r="262">
      <c r="A262" s="1"/>
      <c r="M262" s="1"/>
      <c r="Y262" s="1"/>
      <c r="AK262" s="1"/>
      <c r="AQ262" s="1"/>
      <c r="AW262" s="1"/>
      <c r="BC262" s="1"/>
      <c r="BD262" s="1"/>
      <c r="BE262" s="1"/>
      <c r="BF262" s="1"/>
      <c r="BG262" s="1"/>
      <c r="BH262" s="1"/>
      <c r="BI262" s="1"/>
      <c r="BO262" s="1"/>
      <c r="BP262" s="1"/>
      <c r="BQ262" s="1"/>
      <c r="BR262" s="1"/>
      <c r="BS262" s="1"/>
      <c r="BT262" s="1"/>
      <c r="BU262" s="4"/>
    </row>
    <row r="263">
      <c r="A263" s="1"/>
      <c r="M263" s="1"/>
      <c r="Y263" s="1"/>
      <c r="AK263" s="1"/>
      <c r="AQ263" s="1"/>
      <c r="AW263" s="1"/>
      <c r="BC263" s="1"/>
      <c r="BD263" s="1"/>
      <c r="BE263" s="1"/>
      <c r="BF263" s="1"/>
      <c r="BG263" s="1"/>
      <c r="BH263" s="1"/>
      <c r="BI263" s="1"/>
      <c r="BO263" s="1"/>
      <c r="BP263" s="1"/>
      <c r="BQ263" s="1"/>
      <c r="BR263" s="1"/>
      <c r="BS263" s="1"/>
      <c r="BT263" s="1"/>
      <c r="BU263" s="4"/>
    </row>
    <row r="264">
      <c r="A264" s="1"/>
      <c r="M264" s="1"/>
      <c r="Y264" s="1"/>
      <c r="AK264" s="1"/>
      <c r="AQ264" s="1"/>
      <c r="AW264" s="1"/>
      <c r="BC264" s="1"/>
      <c r="BD264" s="1"/>
      <c r="BE264" s="1"/>
      <c r="BF264" s="1"/>
      <c r="BG264" s="1"/>
      <c r="BH264" s="1"/>
      <c r="BI264" s="1"/>
      <c r="BO264" s="1"/>
      <c r="BP264" s="1"/>
      <c r="BQ264" s="1"/>
      <c r="BR264" s="1"/>
      <c r="BS264" s="1"/>
      <c r="BT264" s="1"/>
      <c r="BU264" s="4"/>
    </row>
    <row r="265">
      <c r="A265" s="1"/>
      <c r="M265" s="1"/>
      <c r="Y265" s="1"/>
      <c r="AK265" s="1"/>
      <c r="AQ265" s="1"/>
      <c r="AW265" s="1"/>
      <c r="BC265" s="1"/>
      <c r="BD265" s="1"/>
      <c r="BE265" s="1"/>
      <c r="BF265" s="1"/>
      <c r="BG265" s="1"/>
      <c r="BH265" s="1"/>
      <c r="BI265" s="1"/>
      <c r="BO265" s="1"/>
      <c r="BP265" s="1"/>
      <c r="BQ265" s="1"/>
      <c r="BR265" s="1"/>
      <c r="BS265" s="1"/>
      <c r="BT265" s="1"/>
      <c r="BU265" s="4"/>
    </row>
    <row r="266">
      <c r="A266" s="1"/>
      <c r="M266" s="1"/>
      <c r="Y266" s="1"/>
      <c r="AK266" s="1"/>
      <c r="AQ266" s="1"/>
      <c r="AW266" s="1"/>
      <c r="BC266" s="1"/>
      <c r="BD266" s="1"/>
      <c r="BE266" s="1"/>
      <c r="BF266" s="1"/>
      <c r="BG266" s="1"/>
      <c r="BH266" s="1"/>
      <c r="BI266" s="1"/>
      <c r="BO266" s="1"/>
      <c r="BP266" s="1"/>
      <c r="BQ266" s="1"/>
      <c r="BR266" s="1"/>
      <c r="BS266" s="1"/>
      <c r="BT266" s="1"/>
      <c r="BU266" s="4"/>
    </row>
    <row r="267">
      <c r="A267" s="1"/>
      <c r="M267" s="1"/>
      <c r="Y267" s="1"/>
      <c r="AK267" s="1"/>
      <c r="AQ267" s="1"/>
      <c r="AW267" s="1"/>
      <c r="BC267" s="1"/>
      <c r="BD267" s="1"/>
      <c r="BE267" s="1"/>
      <c r="BF267" s="1"/>
      <c r="BG267" s="1"/>
      <c r="BH267" s="1"/>
      <c r="BI267" s="1"/>
      <c r="BO267" s="1"/>
      <c r="BP267" s="1"/>
      <c r="BQ267" s="1"/>
      <c r="BR267" s="1"/>
      <c r="BS267" s="1"/>
      <c r="BT267" s="1"/>
      <c r="BU267" s="4"/>
    </row>
    <row r="268">
      <c r="A268" s="1"/>
      <c r="M268" s="1"/>
      <c r="Y268" s="1"/>
      <c r="AK268" s="1"/>
      <c r="AQ268" s="1"/>
      <c r="AW268" s="1"/>
      <c r="BC268" s="1"/>
      <c r="BD268" s="1"/>
      <c r="BE268" s="1"/>
      <c r="BF268" s="1"/>
      <c r="BG268" s="1"/>
      <c r="BH268" s="1"/>
      <c r="BI268" s="1"/>
      <c r="BO268" s="1"/>
      <c r="BP268" s="1"/>
      <c r="BQ268" s="1"/>
      <c r="BR268" s="1"/>
      <c r="BS268" s="1"/>
      <c r="BT268" s="1"/>
      <c r="BU268" s="4"/>
    </row>
    <row r="269">
      <c r="A269" s="1"/>
      <c r="M269" s="1"/>
      <c r="Y269" s="1"/>
      <c r="AK269" s="1"/>
      <c r="AQ269" s="1"/>
      <c r="AW269" s="1"/>
      <c r="BC269" s="1"/>
      <c r="BD269" s="1"/>
      <c r="BE269" s="1"/>
      <c r="BF269" s="1"/>
      <c r="BG269" s="1"/>
      <c r="BH269" s="1"/>
      <c r="BI269" s="1"/>
      <c r="BO269" s="1"/>
      <c r="BP269" s="1"/>
      <c r="BQ269" s="1"/>
      <c r="BR269" s="1"/>
      <c r="BS269" s="1"/>
      <c r="BT269" s="1"/>
      <c r="BU269" s="4"/>
    </row>
    <row r="270">
      <c r="A270" s="1"/>
      <c r="M270" s="1"/>
      <c r="Y270" s="1"/>
      <c r="AK270" s="1"/>
      <c r="AQ270" s="1"/>
      <c r="AW270" s="1"/>
      <c r="BC270" s="1"/>
      <c r="BD270" s="1"/>
      <c r="BE270" s="1"/>
      <c r="BF270" s="1"/>
      <c r="BG270" s="1"/>
      <c r="BH270" s="1"/>
      <c r="BI270" s="1"/>
      <c r="BO270" s="1"/>
      <c r="BP270" s="1"/>
      <c r="BQ270" s="1"/>
      <c r="BR270" s="1"/>
      <c r="BS270" s="1"/>
      <c r="BT270" s="1"/>
      <c r="BU270" s="4"/>
    </row>
    <row r="271">
      <c r="A271" s="1"/>
      <c r="M271" s="1"/>
      <c r="Y271" s="1"/>
      <c r="AK271" s="1"/>
      <c r="AQ271" s="1"/>
      <c r="AW271" s="1"/>
      <c r="BC271" s="1"/>
      <c r="BD271" s="1"/>
      <c r="BE271" s="1"/>
      <c r="BF271" s="1"/>
      <c r="BG271" s="1"/>
      <c r="BH271" s="1"/>
      <c r="BI271" s="1"/>
      <c r="BO271" s="1"/>
      <c r="BP271" s="1"/>
      <c r="BQ271" s="1"/>
      <c r="BR271" s="1"/>
      <c r="BS271" s="1"/>
      <c r="BT271" s="1"/>
      <c r="BU271" s="4"/>
    </row>
    <row r="272">
      <c r="A272" s="1"/>
      <c r="M272" s="1"/>
      <c r="Y272" s="1"/>
      <c r="AK272" s="1"/>
      <c r="AQ272" s="1"/>
      <c r="AW272" s="1"/>
      <c r="BC272" s="1"/>
      <c r="BD272" s="1"/>
      <c r="BE272" s="1"/>
      <c r="BF272" s="1"/>
      <c r="BG272" s="1"/>
      <c r="BH272" s="1"/>
      <c r="BI272" s="1"/>
      <c r="BO272" s="1"/>
      <c r="BP272" s="1"/>
      <c r="BQ272" s="1"/>
      <c r="BR272" s="1"/>
      <c r="BS272" s="1"/>
      <c r="BT272" s="1"/>
      <c r="BU272" s="4"/>
    </row>
    <row r="273">
      <c r="A273" s="1"/>
      <c r="M273" s="1"/>
      <c r="Y273" s="1"/>
      <c r="AK273" s="1"/>
      <c r="AQ273" s="1"/>
      <c r="AW273" s="1"/>
      <c r="BC273" s="1"/>
      <c r="BD273" s="1"/>
      <c r="BE273" s="1"/>
      <c r="BF273" s="1"/>
      <c r="BG273" s="1"/>
      <c r="BH273" s="1"/>
      <c r="BI273" s="1"/>
      <c r="BO273" s="1"/>
      <c r="BP273" s="1"/>
      <c r="BQ273" s="1"/>
      <c r="BR273" s="1"/>
      <c r="BS273" s="1"/>
      <c r="BT273" s="1"/>
      <c r="BU273" s="4"/>
    </row>
    <row r="274">
      <c r="A274" s="1"/>
      <c r="M274" s="1"/>
      <c r="Y274" s="1"/>
      <c r="AK274" s="1"/>
      <c r="AQ274" s="1"/>
      <c r="AW274" s="1"/>
      <c r="BC274" s="1"/>
      <c r="BD274" s="1"/>
      <c r="BE274" s="1"/>
      <c r="BF274" s="1"/>
      <c r="BG274" s="1"/>
      <c r="BH274" s="1"/>
      <c r="BI274" s="1"/>
      <c r="BO274" s="1"/>
      <c r="BP274" s="1"/>
      <c r="BQ274" s="1"/>
      <c r="BR274" s="1"/>
      <c r="BS274" s="1"/>
      <c r="BT274" s="1"/>
      <c r="BU274" s="4"/>
    </row>
    <row r="275">
      <c r="A275" s="1"/>
      <c r="M275" s="1"/>
      <c r="Y275" s="1"/>
      <c r="AK275" s="1"/>
      <c r="AQ275" s="1"/>
      <c r="AW275" s="1"/>
      <c r="BC275" s="1"/>
      <c r="BD275" s="1"/>
      <c r="BE275" s="1"/>
      <c r="BF275" s="1"/>
      <c r="BG275" s="1"/>
      <c r="BH275" s="1"/>
      <c r="BI275" s="1"/>
      <c r="BO275" s="1"/>
      <c r="BP275" s="1"/>
      <c r="BQ275" s="1"/>
      <c r="BR275" s="1"/>
      <c r="BS275" s="1"/>
      <c r="BT275" s="1"/>
      <c r="BU275" s="4"/>
    </row>
    <row r="276">
      <c r="A276" s="1"/>
      <c r="M276" s="1"/>
      <c r="Y276" s="1"/>
      <c r="AK276" s="1"/>
      <c r="AQ276" s="1"/>
      <c r="AW276" s="1"/>
      <c r="BC276" s="1"/>
      <c r="BD276" s="1"/>
      <c r="BE276" s="1"/>
      <c r="BF276" s="1"/>
      <c r="BG276" s="1"/>
      <c r="BH276" s="1"/>
      <c r="BI276" s="1"/>
      <c r="BO276" s="1"/>
      <c r="BP276" s="1"/>
      <c r="BQ276" s="1"/>
      <c r="BR276" s="1"/>
      <c r="BS276" s="1"/>
      <c r="BT276" s="1"/>
      <c r="BU276" s="4"/>
    </row>
    <row r="277">
      <c r="A277" s="1"/>
      <c r="M277" s="1"/>
      <c r="Y277" s="1"/>
      <c r="AK277" s="1"/>
      <c r="AQ277" s="1"/>
      <c r="AW277" s="1"/>
      <c r="BC277" s="1"/>
      <c r="BD277" s="1"/>
      <c r="BE277" s="1"/>
      <c r="BF277" s="1"/>
      <c r="BG277" s="1"/>
      <c r="BH277" s="1"/>
      <c r="BI277" s="1"/>
      <c r="BO277" s="1"/>
      <c r="BP277" s="1"/>
      <c r="BQ277" s="1"/>
      <c r="BR277" s="1"/>
      <c r="BS277" s="1"/>
      <c r="BT277" s="1"/>
      <c r="BU277" s="4"/>
    </row>
    <row r="278">
      <c r="A278" s="1"/>
      <c r="M278" s="1"/>
      <c r="Y278" s="1"/>
      <c r="AK278" s="1"/>
      <c r="AQ278" s="1"/>
      <c r="AW278" s="1"/>
      <c r="BC278" s="1"/>
      <c r="BD278" s="1"/>
      <c r="BE278" s="1"/>
      <c r="BF278" s="1"/>
      <c r="BG278" s="1"/>
      <c r="BH278" s="1"/>
      <c r="BI278" s="1"/>
      <c r="BO278" s="1"/>
      <c r="BP278" s="1"/>
      <c r="BQ278" s="1"/>
      <c r="BR278" s="1"/>
      <c r="BS278" s="1"/>
      <c r="BT278" s="1"/>
      <c r="BU278" s="4"/>
    </row>
    <row r="279">
      <c r="A279" s="1"/>
      <c r="M279" s="1"/>
      <c r="Y279" s="1"/>
      <c r="AK279" s="1"/>
      <c r="AQ279" s="1"/>
      <c r="AW279" s="1"/>
      <c r="BC279" s="1"/>
      <c r="BD279" s="1"/>
      <c r="BE279" s="1"/>
      <c r="BF279" s="1"/>
      <c r="BG279" s="1"/>
      <c r="BH279" s="1"/>
      <c r="BI279" s="1"/>
      <c r="BO279" s="1"/>
      <c r="BP279" s="1"/>
      <c r="BQ279" s="1"/>
      <c r="BR279" s="1"/>
      <c r="BS279" s="1"/>
      <c r="BT279" s="1"/>
      <c r="BU279" s="4"/>
    </row>
    <row r="280">
      <c r="A280" s="1"/>
      <c r="M280" s="1"/>
      <c r="Y280" s="1"/>
      <c r="AK280" s="1"/>
      <c r="AQ280" s="1"/>
      <c r="AW280" s="1"/>
      <c r="BC280" s="1"/>
      <c r="BD280" s="1"/>
      <c r="BE280" s="1"/>
      <c r="BF280" s="1"/>
      <c r="BG280" s="1"/>
      <c r="BH280" s="1"/>
      <c r="BI280" s="1"/>
      <c r="BO280" s="1"/>
      <c r="BP280" s="1"/>
      <c r="BQ280" s="1"/>
      <c r="BR280" s="1"/>
      <c r="BS280" s="1"/>
      <c r="BT280" s="1"/>
      <c r="BU280" s="4"/>
    </row>
    <row r="281">
      <c r="A281" s="1"/>
      <c r="M281" s="1"/>
      <c r="Y281" s="1"/>
      <c r="AK281" s="1"/>
      <c r="AQ281" s="1"/>
      <c r="AW281" s="1"/>
      <c r="BC281" s="1"/>
      <c r="BD281" s="1"/>
      <c r="BE281" s="1"/>
      <c r="BF281" s="1"/>
      <c r="BG281" s="1"/>
      <c r="BH281" s="1"/>
      <c r="BI281" s="1"/>
      <c r="BO281" s="1"/>
      <c r="BP281" s="1"/>
      <c r="BQ281" s="1"/>
      <c r="BR281" s="1"/>
      <c r="BS281" s="1"/>
      <c r="BT281" s="1"/>
      <c r="BU281" s="4"/>
    </row>
    <row r="282">
      <c r="A282" s="1"/>
      <c r="M282" s="1"/>
      <c r="Y282" s="1"/>
      <c r="AK282" s="1"/>
      <c r="AQ282" s="1"/>
      <c r="AW282" s="1"/>
      <c r="BC282" s="1"/>
      <c r="BD282" s="1"/>
      <c r="BE282" s="1"/>
      <c r="BF282" s="1"/>
      <c r="BG282" s="1"/>
      <c r="BH282" s="1"/>
      <c r="BI282" s="1"/>
      <c r="BO282" s="1"/>
      <c r="BP282" s="1"/>
      <c r="BQ282" s="1"/>
      <c r="BR282" s="1"/>
      <c r="BS282" s="1"/>
      <c r="BT282" s="1"/>
      <c r="BU282" s="4"/>
    </row>
    <row r="283">
      <c r="A283" s="1"/>
      <c r="M283" s="1"/>
      <c r="Y283" s="1"/>
      <c r="AK283" s="1"/>
      <c r="AQ283" s="1"/>
      <c r="AW283" s="1"/>
      <c r="BC283" s="1"/>
      <c r="BD283" s="1"/>
      <c r="BE283" s="1"/>
      <c r="BF283" s="1"/>
      <c r="BG283" s="1"/>
      <c r="BH283" s="1"/>
      <c r="BI283" s="1"/>
      <c r="BO283" s="1"/>
      <c r="BP283" s="1"/>
      <c r="BQ283" s="1"/>
      <c r="BR283" s="1"/>
      <c r="BS283" s="1"/>
      <c r="BT283" s="1"/>
      <c r="BU283" s="4"/>
    </row>
    <row r="284">
      <c r="A284" s="1"/>
      <c r="M284" s="1"/>
      <c r="Y284" s="1"/>
      <c r="AK284" s="1"/>
      <c r="AQ284" s="1"/>
      <c r="AW284" s="1"/>
      <c r="BC284" s="1"/>
      <c r="BD284" s="1"/>
      <c r="BE284" s="1"/>
      <c r="BF284" s="1"/>
      <c r="BG284" s="1"/>
      <c r="BH284" s="1"/>
      <c r="BI284" s="1"/>
      <c r="BO284" s="1"/>
      <c r="BP284" s="1"/>
      <c r="BQ284" s="1"/>
      <c r="BR284" s="1"/>
      <c r="BS284" s="1"/>
      <c r="BT284" s="1"/>
      <c r="BU284" s="4"/>
    </row>
    <row r="285">
      <c r="A285" s="1"/>
      <c r="M285" s="1"/>
      <c r="Y285" s="1"/>
      <c r="AK285" s="1"/>
      <c r="AQ285" s="1"/>
      <c r="AW285" s="1"/>
      <c r="BC285" s="1"/>
      <c r="BD285" s="1"/>
      <c r="BE285" s="1"/>
      <c r="BF285" s="1"/>
      <c r="BG285" s="1"/>
      <c r="BH285" s="1"/>
      <c r="BI285" s="1"/>
      <c r="BO285" s="1"/>
      <c r="BP285" s="1"/>
      <c r="BQ285" s="1"/>
      <c r="BR285" s="1"/>
      <c r="BS285" s="1"/>
      <c r="BT285" s="1"/>
      <c r="BU285" s="4"/>
    </row>
    <row r="286">
      <c r="A286" s="1"/>
      <c r="M286" s="1"/>
      <c r="Y286" s="1"/>
      <c r="AK286" s="1"/>
      <c r="AQ286" s="1"/>
      <c r="AW286" s="1"/>
      <c r="BC286" s="1"/>
      <c r="BD286" s="1"/>
      <c r="BE286" s="1"/>
      <c r="BF286" s="1"/>
      <c r="BG286" s="1"/>
      <c r="BH286" s="1"/>
      <c r="BI286" s="1"/>
      <c r="BO286" s="1"/>
      <c r="BP286" s="1"/>
      <c r="BQ286" s="1"/>
      <c r="BR286" s="1"/>
      <c r="BS286" s="1"/>
      <c r="BT286" s="1"/>
      <c r="BU286" s="4"/>
    </row>
    <row r="287">
      <c r="A287" s="1"/>
      <c r="M287" s="1"/>
      <c r="Y287" s="1"/>
      <c r="AK287" s="1"/>
      <c r="AQ287" s="1"/>
      <c r="AW287" s="1"/>
      <c r="BC287" s="1"/>
      <c r="BD287" s="1"/>
      <c r="BE287" s="1"/>
      <c r="BF287" s="1"/>
      <c r="BG287" s="1"/>
      <c r="BH287" s="1"/>
      <c r="BI287" s="1"/>
      <c r="BO287" s="1"/>
      <c r="BP287" s="1"/>
      <c r="BQ287" s="1"/>
      <c r="BR287" s="1"/>
      <c r="BS287" s="1"/>
      <c r="BT287" s="1"/>
      <c r="BU287" s="4"/>
    </row>
    <row r="288">
      <c r="A288" s="1"/>
      <c r="M288" s="1"/>
      <c r="Y288" s="1"/>
      <c r="AK288" s="1"/>
      <c r="AQ288" s="1"/>
      <c r="AW288" s="1"/>
      <c r="BC288" s="1"/>
      <c r="BD288" s="1"/>
      <c r="BE288" s="1"/>
      <c r="BF288" s="1"/>
      <c r="BG288" s="1"/>
      <c r="BH288" s="1"/>
      <c r="BI288" s="1"/>
      <c r="BO288" s="1"/>
      <c r="BP288" s="1"/>
      <c r="BQ288" s="1"/>
      <c r="BR288" s="1"/>
      <c r="BS288" s="1"/>
      <c r="BT288" s="1"/>
      <c r="BU288" s="4"/>
    </row>
    <row r="289">
      <c r="A289" s="1"/>
      <c r="M289" s="1"/>
      <c r="Y289" s="1"/>
      <c r="AK289" s="1"/>
      <c r="AQ289" s="1"/>
      <c r="AW289" s="1"/>
      <c r="BC289" s="1"/>
      <c r="BD289" s="1"/>
      <c r="BE289" s="1"/>
      <c r="BF289" s="1"/>
      <c r="BG289" s="1"/>
      <c r="BH289" s="1"/>
      <c r="BI289" s="1"/>
      <c r="BO289" s="1"/>
      <c r="BP289" s="1"/>
      <c r="BQ289" s="1"/>
      <c r="BR289" s="1"/>
      <c r="BS289" s="1"/>
      <c r="BT289" s="1"/>
      <c r="BU289" s="4"/>
    </row>
    <row r="290">
      <c r="A290" s="1"/>
      <c r="M290" s="1"/>
      <c r="Y290" s="1"/>
      <c r="AK290" s="1"/>
      <c r="AQ290" s="1"/>
      <c r="AW290" s="1"/>
      <c r="BC290" s="1"/>
      <c r="BD290" s="1"/>
      <c r="BE290" s="1"/>
      <c r="BF290" s="1"/>
      <c r="BG290" s="1"/>
      <c r="BH290" s="1"/>
      <c r="BI290" s="1"/>
      <c r="BO290" s="1"/>
      <c r="BP290" s="1"/>
      <c r="BQ290" s="1"/>
      <c r="BR290" s="1"/>
      <c r="BS290" s="1"/>
      <c r="BT290" s="1"/>
      <c r="BU290" s="4"/>
    </row>
    <row r="291">
      <c r="A291" s="1"/>
      <c r="M291" s="1"/>
      <c r="Y291" s="1"/>
      <c r="AK291" s="1"/>
      <c r="AQ291" s="1"/>
      <c r="AW291" s="1"/>
      <c r="BC291" s="1"/>
      <c r="BD291" s="1"/>
      <c r="BE291" s="1"/>
      <c r="BF291" s="1"/>
      <c r="BG291" s="1"/>
      <c r="BH291" s="1"/>
      <c r="BI291" s="1"/>
      <c r="BO291" s="1"/>
      <c r="BP291" s="1"/>
      <c r="BQ291" s="1"/>
      <c r="BR291" s="1"/>
      <c r="BS291" s="1"/>
      <c r="BT291" s="1"/>
      <c r="BU291" s="4"/>
    </row>
    <row r="292">
      <c r="A292" s="1"/>
      <c r="M292" s="1"/>
      <c r="Y292" s="1"/>
      <c r="AK292" s="1"/>
      <c r="AQ292" s="1"/>
      <c r="AW292" s="1"/>
      <c r="BC292" s="1"/>
      <c r="BD292" s="1"/>
      <c r="BE292" s="1"/>
      <c r="BF292" s="1"/>
      <c r="BG292" s="1"/>
      <c r="BH292" s="1"/>
      <c r="BI292" s="1"/>
      <c r="BO292" s="1"/>
      <c r="BP292" s="1"/>
      <c r="BQ292" s="1"/>
      <c r="BR292" s="1"/>
      <c r="BS292" s="1"/>
      <c r="BT292" s="1"/>
      <c r="BU292" s="4"/>
    </row>
    <row r="293">
      <c r="A293" s="1"/>
      <c r="M293" s="1"/>
      <c r="Y293" s="1"/>
      <c r="AK293" s="1"/>
      <c r="AQ293" s="1"/>
      <c r="AW293" s="1"/>
      <c r="BC293" s="1"/>
      <c r="BD293" s="1"/>
      <c r="BE293" s="1"/>
      <c r="BF293" s="1"/>
      <c r="BG293" s="1"/>
      <c r="BH293" s="1"/>
      <c r="BI293" s="1"/>
      <c r="BO293" s="1"/>
      <c r="BP293" s="1"/>
      <c r="BQ293" s="1"/>
      <c r="BR293" s="1"/>
      <c r="BS293" s="1"/>
      <c r="BT293" s="1"/>
      <c r="BU293" s="4"/>
    </row>
    <row r="294">
      <c r="A294" s="1"/>
      <c r="M294" s="1"/>
      <c r="Y294" s="1"/>
      <c r="AK294" s="1"/>
      <c r="AQ294" s="1"/>
      <c r="AW294" s="1"/>
      <c r="BC294" s="1"/>
      <c r="BD294" s="1"/>
      <c r="BE294" s="1"/>
      <c r="BF294" s="1"/>
      <c r="BG294" s="1"/>
      <c r="BH294" s="1"/>
      <c r="BI294" s="1"/>
      <c r="BO294" s="1"/>
      <c r="BP294" s="1"/>
      <c r="BQ294" s="1"/>
      <c r="BR294" s="1"/>
      <c r="BS294" s="1"/>
      <c r="BT294" s="1"/>
      <c r="BU294" s="4"/>
    </row>
    <row r="295">
      <c r="A295" s="1"/>
      <c r="M295" s="1"/>
      <c r="Y295" s="1"/>
      <c r="AK295" s="1"/>
      <c r="AQ295" s="1"/>
      <c r="AW295" s="1"/>
      <c r="BC295" s="1"/>
      <c r="BD295" s="1"/>
      <c r="BE295" s="1"/>
      <c r="BF295" s="1"/>
      <c r="BG295" s="1"/>
      <c r="BH295" s="1"/>
      <c r="BI295" s="1"/>
      <c r="BO295" s="1"/>
      <c r="BP295" s="1"/>
      <c r="BQ295" s="1"/>
      <c r="BR295" s="1"/>
      <c r="BS295" s="1"/>
      <c r="BT295" s="1"/>
      <c r="BU295" s="4"/>
    </row>
    <row r="296">
      <c r="A296" s="1"/>
      <c r="M296" s="1"/>
      <c r="Y296" s="1"/>
      <c r="AK296" s="1"/>
      <c r="AQ296" s="1"/>
      <c r="AW296" s="1"/>
      <c r="BC296" s="1"/>
      <c r="BD296" s="1"/>
      <c r="BE296" s="1"/>
      <c r="BF296" s="1"/>
      <c r="BG296" s="1"/>
      <c r="BH296" s="1"/>
      <c r="BI296" s="1"/>
      <c r="BO296" s="1"/>
      <c r="BP296" s="1"/>
      <c r="BQ296" s="1"/>
      <c r="BR296" s="1"/>
      <c r="BS296" s="1"/>
      <c r="BT296" s="1"/>
      <c r="BU296" s="4"/>
    </row>
    <row r="297">
      <c r="A297" s="1"/>
      <c r="M297" s="1"/>
      <c r="Y297" s="1"/>
      <c r="AK297" s="1"/>
      <c r="AQ297" s="1"/>
      <c r="AW297" s="1"/>
      <c r="BC297" s="1"/>
      <c r="BD297" s="1"/>
      <c r="BE297" s="1"/>
      <c r="BF297" s="1"/>
      <c r="BG297" s="1"/>
      <c r="BH297" s="1"/>
      <c r="BI297" s="1"/>
      <c r="BO297" s="1"/>
      <c r="BP297" s="1"/>
      <c r="BQ297" s="1"/>
      <c r="BR297" s="1"/>
      <c r="BS297" s="1"/>
      <c r="BT297" s="1"/>
      <c r="BU297" s="4"/>
    </row>
    <row r="298">
      <c r="A298" s="1"/>
      <c r="M298" s="1"/>
      <c r="Y298" s="1"/>
      <c r="AK298" s="1"/>
      <c r="AQ298" s="1"/>
      <c r="AW298" s="1"/>
      <c r="BC298" s="1"/>
      <c r="BD298" s="1"/>
      <c r="BE298" s="1"/>
      <c r="BF298" s="1"/>
      <c r="BG298" s="1"/>
      <c r="BH298" s="1"/>
      <c r="BI298" s="1"/>
      <c r="BO298" s="1"/>
      <c r="BP298" s="1"/>
      <c r="BQ298" s="1"/>
      <c r="BR298" s="1"/>
      <c r="BS298" s="1"/>
      <c r="BT298" s="1"/>
      <c r="BU298" s="4"/>
    </row>
    <row r="299">
      <c r="A299" s="1"/>
      <c r="M299" s="1"/>
      <c r="Y299" s="1"/>
      <c r="AK299" s="1"/>
      <c r="AQ299" s="1"/>
      <c r="AW299" s="1"/>
      <c r="BC299" s="1"/>
      <c r="BD299" s="1"/>
      <c r="BE299" s="1"/>
      <c r="BF299" s="1"/>
      <c r="BG299" s="1"/>
      <c r="BH299" s="1"/>
      <c r="BI299" s="1"/>
      <c r="BO299" s="1"/>
      <c r="BP299" s="1"/>
      <c r="BQ299" s="1"/>
      <c r="BR299" s="1"/>
      <c r="BS299" s="1"/>
      <c r="BT299" s="1"/>
      <c r="BU299" s="4"/>
    </row>
    <row r="300">
      <c r="A300" s="1"/>
      <c r="M300" s="1"/>
      <c r="Y300" s="1"/>
      <c r="AK300" s="1"/>
      <c r="AQ300" s="1"/>
      <c r="AW300" s="1"/>
      <c r="BC300" s="1"/>
      <c r="BD300" s="1"/>
      <c r="BE300" s="1"/>
      <c r="BF300" s="1"/>
      <c r="BG300" s="1"/>
      <c r="BH300" s="1"/>
      <c r="BI300" s="1"/>
      <c r="BO300" s="1"/>
      <c r="BP300" s="1"/>
      <c r="BQ300" s="1"/>
      <c r="BR300" s="1"/>
      <c r="BS300" s="1"/>
      <c r="BT300" s="1"/>
      <c r="BU300" s="4"/>
    </row>
    <row r="301">
      <c r="A301" s="1"/>
      <c r="M301" s="1"/>
      <c r="Y301" s="1"/>
      <c r="AK301" s="1"/>
      <c r="AQ301" s="1"/>
      <c r="AW301" s="1"/>
      <c r="BC301" s="1"/>
      <c r="BD301" s="1"/>
      <c r="BE301" s="1"/>
      <c r="BF301" s="1"/>
      <c r="BG301" s="1"/>
      <c r="BH301" s="1"/>
      <c r="BI301" s="1"/>
      <c r="BO301" s="1"/>
      <c r="BP301" s="1"/>
      <c r="BQ301" s="1"/>
      <c r="BR301" s="1"/>
      <c r="BS301" s="1"/>
      <c r="BT301" s="1"/>
      <c r="BU301" s="4"/>
    </row>
    <row r="302">
      <c r="A302" s="1"/>
      <c r="M302" s="1"/>
      <c r="Y302" s="1"/>
      <c r="AK302" s="1"/>
      <c r="AQ302" s="1"/>
      <c r="AW302" s="1"/>
      <c r="BC302" s="1"/>
      <c r="BD302" s="1"/>
      <c r="BE302" s="1"/>
      <c r="BF302" s="1"/>
      <c r="BG302" s="1"/>
      <c r="BH302" s="1"/>
      <c r="BI302" s="1"/>
      <c r="BO302" s="1"/>
      <c r="BP302" s="1"/>
      <c r="BQ302" s="1"/>
      <c r="BR302" s="1"/>
      <c r="BS302" s="1"/>
      <c r="BT302" s="1"/>
      <c r="BU302" s="4"/>
    </row>
    <row r="303">
      <c r="A303" s="1"/>
      <c r="M303" s="1"/>
      <c r="Y303" s="1"/>
      <c r="AK303" s="1"/>
      <c r="AQ303" s="1"/>
      <c r="AW303" s="1"/>
      <c r="BC303" s="1"/>
      <c r="BD303" s="1"/>
      <c r="BE303" s="1"/>
      <c r="BF303" s="1"/>
      <c r="BG303" s="1"/>
      <c r="BH303" s="1"/>
      <c r="BI303" s="1"/>
      <c r="BO303" s="1"/>
      <c r="BP303" s="1"/>
      <c r="BQ303" s="1"/>
      <c r="BR303" s="1"/>
      <c r="BS303" s="1"/>
      <c r="BT303" s="1"/>
      <c r="BU303" s="4"/>
    </row>
    <row r="304">
      <c r="A304" s="1"/>
      <c r="M304" s="1"/>
      <c r="Y304" s="1"/>
      <c r="AK304" s="1"/>
      <c r="AQ304" s="1"/>
      <c r="AW304" s="1"/>
      <c r="BC304" s="1"/>
      <c r="BD304" s="1"/>
      <c r="BE304" s="1"/>
      <c r="BF304" s="1"/>
      <c r="BG304" s="1"/>
      <c r="BH304" s="1"/>
      <c r="BI304" s="1"/>
      <c r="BO304" s="1"/>
      <c r="BP304" s="1"/>
      <c r="BQ304" s="1"/>
      <c r="BR304" s="1"/>
      <c r="BS304" s="1"/>
      <c r="BT304" s="1"/>
      <c r="BU304" s="4"/>
    </row>
    <row r="305">
      <c r="A305" s="1"/>
      <c r="M305" s="1"/>
      <c r="Y305" s="1"/>
      <c r="AK305" s="1"/>
      <c r="AQ305" s="1"/>
      <c r="AW305" s="1"/>
      <c r="BC305" s="1"/>
      <c r="BD305" s="1"/>
      <c r="BE305" s="1"/>
      <c r="BF305" s="1"/>
      <c r="BG305" s="1"/>
      <c r="BH305" s="1"/>
      <c r="BI305" s="1"/>
      <c r="BO305" s="1"/>
      <c r="BP305" s="1"/>
      <c r="BQ305" s="1"/>
      <c r="BR305" s="1"/>
      <c r="BS305" s="1"/>
      <c r="BT305" s="1"/>
      <c r="BU305" s="4"/>
    </row>
    <row r="306">
      <c r="A306" s="1"/>
      <c r="M306" s="1"/>
      <c r="Y306" s="1"/>
      <c r="AK306" s="1"/>
      <c r="AQ306" s="1"/>
      <c r="AW306" s="1"/>
      <c r="BC306" s="1"/>
      <c r="BD306" s="1"/>
      <c r="BE306" s="1"/>
      <c r="BF306" s="1"/>
      <c r="BG306" s="1"/>
      <c r="BH306" s="1"/>
      <c r="BI306" s="1"/>
      <c r="BO306" s="1"/>
      <c r="BP306" s="1"/>
      <c r="BQ306" s="1"/>
      <c r="BR306" s="1"/>
      <c r="BS306" s="1"/>
      <c r="BT306" s="1"/>
      <c r="BU306" s="4"/>
    </row>
    <row r="307">
      <c r="A307" s="1"/>
      <c r="M307" s="1"/>
      <c r="Y307" s="1"/>
      <c r="AK307" s="1"/>
      <c r="AQ307" s="1"/>
      <c r="AW307" s="1"/>
      <c r="BC307" s="1"/>
      <c r="BD307" s="1"/>
      <c r="BE307" s="1"/>
      <c r="BF307" s="1"/>
      <c r="BG307" s="1"/>
      <c r="BH307" s="1"/>
      <c r="BI307" s="1"/>
      <c r="BO307" s="1"/>
      <c r="BP307" s="1"/>
      <c r="BQ307" s="1"/>
      <c r="BR307" s="1"/>
      <c r="BS307" s="1"/>
      <c r="BT307" s="1"/>
      <c r="BU307" s="4"/>
    </row>
    <row r="308">
      <c r="A308" s="1"/>
      <c r="M308" s="1"/>
      <c r="Y308" s="1"/>
      <c r="AK308" s="1"/>
      <c r="AQ308" s="1"/>
      <c r="AW308" s="1"/>
      <c r="BC308" s="1"/>
      <c r="BD308" s="1"/>
      <c r="BE308" s="1"/>
      <c r="BF308" s="1"/>
      <c r="BG308" s="1"/>
      <c r="BH308" s="1"/>
      <c r="BI308" s="1"/>
      <c r="BO308" s="1"/>
      <c r="BP308" s="1"/>
      <c r="BQ308" s="1"/>
      <c r="BR308" s="1"/>
      <c r="BS308" s="1"/>
      <c r="BT308" s="1"/>
      <c r="BU308" s="4"/>
    </row>
    <row r="309">
      <c r="A309" s="1"/>
      <c r="M309" s="1"/>
      <c r="Y309" s="1"/>
      <c r="AK309" s="1"/>
      <c r="AQ309" s="1"/>
      <c r="AW309" s="1"/>
      <c r="BC309" s="1"/>
      <c r="BD309" s="1"/>
      <c r="BE309" s="1"/>
      <c r="BF309" s="1"/>
      <c r="BG309" s="1"/>
      <c r="BH309" s="1"/>
      <c r="BI309" s="1"/>
      <c r="BO309" s="1"/>
      <c r="BP309" s="1"/>
      <c r="BQ309" s="1"/>
      <c r="BR309" s="1"/>
      <c r="BS309" s="1"/>
      <c r="BT309" s="1"/>
      <c r="BU309" s="4"/>
    </row>
    <row r="310">
      <c r="A310" s="1"/>
      <c r="M310" s="1"/>
      <c r="Y310" s="1"/>
      <c r="AK310" s="1"/>
      <c r="AQ310" s="1"/>
      <c r="AW310" s="1"/>
      <c r="BC310" s="1"/>
      <c r="BD310" s="1"/>
      <c r="BE310" s="1"/>
      <c r="BF310" s="1"/>
      <c r="BG310" s="1"/>
      <c r="BH310" s="1"/>
      <c r="BI310" s="1"/>
      <c r="BO310" s="1"/>
      <c r="BP310" s="1"/>
      <c r="BQ310" s="1"/>
      <c r="BR310" s="1"/>
      <c r="BS310" s="1"/>
      <c r="BT310" s="1"/>
      <c r="BU310" s="4"/>
    </row>
    <row r="311">
      <c r="A311" s="1"/>
      <c r="M311" s="1"/>
      <c r="Y311" s="1"/>
      <c r="AK311" s="1"/>
      <c r="AQ311" s="1"/>
      <c r="AW311" s="1"/>
      <c r="BC311" s="1"/>
      <c r="BD311" s="1"/>
      <c r="BE311" s="1"/>
      <c r="BF311" s="1"/>
      <c r="BG311" s="1"/>
      <c r="BH311" s="1"/>
      <c r="BI311" s="1"/>
      <c r="BO311" s="1"/>
      <c r="BP311" s="1"/>
      <c r="BQ311" s="1"/>
      <c r="BR311" s="1"/>
      <c r="BS311" s="1"/>
      <c r="BT311" s="1"/>
      <c r="BU311" s="4"/>
    </row>
    <row r="312">
      <c r="A312" s="1"/>
      <c r="M312" s="1"/>
      <c r="Y312" s="1"/>
      <c r="AK312" s="1"/>
      <c r="AQ312" s="1"/>
      <c r="AW312" s="1"/>
      <c r="BC312" s="1"/>
      <c r="BD312" s="1"/>
      <c r="BE312" s="1"/>
      <c r="BF312" s="1"/>
      <c r="BG312" s="1"/>
      <c r="BH312" s="1"/>
      <c r="BI312" s="1"/>
      <c r="BO312" s="1"/>
      <c r="BP312" s="1"/>
      <c r="BQ312" s="1"/>
      <c r="BR312" s="1"/>
      <c r="BS312" s="1"/>
      <c r="BT312" s="1"/>
      <c r="BU312" s="4"/>
    </row>
    <row r="313">
      <c r="A313" s="1"/>
      <c r="M313" s="1"/>
      <c r="Y313" s="1"/>
      <c r="AK313" s="1"/>
      <c r="AQ313" s="1"/>
      <c r="AW313" s="1"/>
      <c r="BC313" s="1"/>
      <c r="BD313" s="1"/>
      <c r="BE313" s="1"/>
      <c r="BF313" s="1"/>
      <c r="BG313" s="1"/>
      <c r="BH313" s="1"/>
      <c r="BI313" s="1"/>
      <c r="BO313" s="1"/>
      <c r="BP313" s="1"/>
      <c r="BQ313" s="1"/>
      <c r="BR313" s="1"/>
      <c r="BS313" s="1"/>
      <c r="BT313" s="1"/>
      <c r="BU313" s="4"/>
    </row>
    <row r="314">
      <c r="A314" s="1"/>
      <c r="M314" s="1"/>
      <c r="Y314" s="1"/>
      <c r="AK314" s="1"/>
      <c r="AQ314" s="1"/>
      <c r="AW314" s="1"/>
      <c r="BC314" s="1"/>
      <c r="BD314" s="1"/>
      <c r="BE314" s="1"/>
      <c r="BF314" s="1"/>
      <c r="BG314" s="1"/>
      <c r="BH314" s="1"/>
      <c r="BI314" s="1"/>
      <c r="BO314" s="1"/>
      <c r="BP314" s="1"/>
      <c r="BQ314" s="1"/>
      <c r="BR314" s="1"/>
      <c r="BS314" s="1"/>
      <c r="BT314" s="1"/>
      <c r="BU314" s="4"/>
    </row>
    <row r="315">
      <c r="A315" s="1"/>
      <c r="M315" s="1"/>
      <c r="Y315" s="1"/>
      <c r="AK315" s="1"/>
      <c r="AQ315" s="1"/>
      <c r="AW315" s="1"/>
      <c r="BC315" s="1"/>
      <c r="BD315" s="1"/>
      <c r="BE315" s="1"/>
      <c r="BF315" s="1"/>
      <c r="BG315" s="1"/>
      <c r="BH315" s="1"/>
      <c r="BI315" s="1"/>
      <c r="BO315" s="1"/>
      <c r="BP315" s="1"/>
      <c r="BQ315" s="1"/>
      <c r="BR315" s="1"/>
      <c r="BS315" s="1"/>
      <c r="BT315" s="1"/>
      <c r="BU315" s="4"/>
    </row>
    <row r="316">
      <c r="A316" s="1"/>
      <c r="M316" s="1"/>
      <c r="Y316" s="1"/>
      <c r="AK316" s="1"/>
      <c r="AQ316" s="1"/>
      <c r="AW316" s="1"/>
      <c r="BC316" s="1"/>
      <c r="BD316" s="1"/>
      <c r="BE316" s="1"/>
      <c r="BF316" s="1"/>
      <c r="BG316" s="1"/>
      <c r="BH316" s="1"/>
      <c r="BI316" s="1"/>
      <c r="BO316" s="1"/>
      <c r="BP316" s="1"/>
      <c r="BQ316" s="1"/>
      <c r="BR316" s="1"/>
      <c r="BS316" s="1"/>
      <c r="BT316" s="1"/>
      <c r="BU316" s="4"/>
    </row>
    <row r="317">
      <c r="A317" s="1"/>
      <c r="M317" s="1"/>
      <c r="Y317" s="1"/>
      <c r="AK317" s="1"/>
      <c r="AQ317" s="1"/>
      <c r="AW317" s="1"/>
      <c r="BC317" s="1"/>
      <c r="BD317" s="1"/>
      <c r="BE317" s="1"/>
      <c r="BF317" s="1"/>
      <c r="BG317" s="1"/>
      <c r="BH317" s="1"/>
      <c r="BI317" s="1"/>
      <c r="BO317" s="1"/>
      <c r="BP317" s="1"/>
      <c r="BQ317" s="1"/>
      <c r="BR317" s="1"/>
      <c r="BS317" s="1"/>
      <c r="BT317" s="1"/>
      <c r="BU317" s="4"/>
    </row>
    <row r="318">
      <c r="A318" s="1"/>
      <c r="M318" s="1"/>
      <c r="Y318" s="1"/>
      <c r="AK318" s="1"/>
      <c r="AQ318" s="1"/>
      <c r="AW318" s="1"/>
      <c r="BC318" s="1"/>
      <c r="BD318" s="1"/>
      <c r="BE318" s="1"/>
      <c r="BF318" s="1"/>
      <c r="BG318" s="1"/>
      <c r="BH318" s="1"/>
      <c r="BI318" s="1"/>
      <c r="BO318" s="1"/>
      <c r="BP318" s="1"/>
      <c r="BQ318" s="1"/>
      <c r="BR318" s="1"/>
      <c r="BS318" s="1"/>
      <c r="BT318" s="1"/>
      <c r="BU318" s="4"/>
    </row>
    <row r="319">
      <c r="A319" s="1"/>
      <c r="M319" s="1"/>
      <c r="Y319" s="1"/>
      <c r="AK319" s="1"/>
      <c r="AQ319" s="1"/>
      <c r="AW319" s="1"/>
      <c r="BC319" s="1"/>
      <c r="BD319" s="1"/>
      <c r="BE319" s="1"/>
      <c r="BF319" s="1"/>
      <c r="BG319" s="1"/>
      <c r="BH319" s="1"/>
      <c r="BI319" s="1"/>
      <c r="BO319" s="1"/>
      <c r="BP319" s="1"/>
      <c r="BQ319" s="1"/>
      <c r="BR319" s="1"/>
      <c r="BS319" s="1"/>
      <c r="BT319" s="1"/>
      <c r="BU319" s="4"/>
    </row>
    <row r="320">
      <c r="A320" s="1"/>
      <c r="M320" s="1"/>
      <c r="Y320" s="1"/>
      <c r="AK320" s="1"/>
      <c r="AQ320" s="1"/>
      <c r="AW320" s="1"/>
      <c r="BC320" s="1"/>
      <c r="BD320" s="1"/>
      <c r="BE320" s="1"/>
      <c r="BF320" s="1"/>
      <c r="BG320" s="1"/>
      <c r="BH320" s="1"/>
      <c r="BI320" s="1"/>
      <c r="BO320" s="1"/>
      <c r="BP320" s="1"/>
      <c r="BQ320" s="1"/>
      <c r="BR320" s="1"/>
      <c r="BS320" s="1"/>
      <c r="BT320" s="1"/>
      <c r="BU320" s="4"/>
    </row>
    <row r="321">
      <c r="A321" s="1"/>
      <c r="M321" s="1"/>
      <c r="Y321" s="1"/>
      <c r="AK321" s="1"/>
      <c r="AQ321" s="1"/>
      <c r="AW321" s="1"/>
      <c r="BC321" s="1"/>
      <c r="BD321" s="1"/>
      <c r="BE321" s="1"/>
      <c r="BF321" s="1"/>
      <c r="BG321" s="1"/>
      <c r="BH321" s="1"/>
      <c r="BI321" s="1"/>
      <c r="BO321" s="1"/>
      <c r="BP321" s="1"/>
      <c r="BQ321" s="1"/>
      <c r="BR321" s="1"/>
      <c r="BS321" s="1"/>
      <c r="BT321" s="1"/>
      <c r="BU321" s="4"/>
    </row>
    <row r="322">
      <c r="A322" s="1"/>
      <c r="M322" s="1"/>
      <c r="Y322" s="1"/>
      <c r="AK322" s="1"/>
      <c r="AQ322" s="1"/>
      <c r="AW322" s="1"/>
      <c r="BC322" s="1"/>
      <c r="BD322" s="1"/>
      <c r="BE322" s="1"/>
      <c r="BF322" s="1"/>
      <c r="BG322" s="1"/>
      <c r="BH322" s="1"/>
      <c r="BI322" s="1"/>
      <c r="BO322" s="1"/>
      <c r="BP322" s="1"/>
      <c r="BQ322" s="1"/>
      <c r="BR322" s="1"/>
      <c r="BS322" s="1"/>
      <c r="BT322" s="1"/>
      <c r="BU322" s="4"/>
    </row>
    <row r="323">
      <c r="A323" s="1"/>
      <c r="M323" s="1"/>
      <c r="Y323" s="1"/>
      <c r="AK323" s="1"/>
      <c r="AQ323" s="1"/>
      <c r="AW323" s="1"/>
      <c r="BC323" s="1"/>
      <c r="BD323" s="1"/>
      <c r="BE323" s="1"/>
      <c r="BF323" s="1"/>
      <c r="BG323" s="1"/>
      <c r="BH323" s="1"/>
      <c r="BI323" s="1"/>
      <c r="BO323" s="1"/>
      <c r="BP323" s="1"/>
      <c r="BQ323" s="1"/>
      <c r="BR323" s="1"/>
      <c r="BS323" s="1"/>
      <c r="BT323" s="1"/>
      <c r="BU323" s="4"/>
    </row>
    <row r="324">
      <c r="A324" s="1"/>
      <c r="M324" s="1"/>
      <c r="Y324" s="1"/>
      <c r="AK324" s="1"/>
      <c r="AQ324" s="1"/>
      <c r="AW324" s="1"/>
      <c r="BC324" s="1"/>
      <c r="BD324" s="1"/>
      <c r="BE324" s="1"/>
      <c r="BF324" s="1"/>
      <c r="BG324" s="1"/>
      <c r="BH324" s="1"/>
      <c r="BI324" s="1"/>
      <c r="BO324" s="1"/>
      <c r="BP324" s="1"/>
      <c r="BQ324" s="1"/>
      <c r="BR324" s="1"/>
      <c r="BS324" s="1"/>
      <c r="BT324" s="1"/>
      <c r="BU324" s="4"/>
    </row>
    <row r="325">
      <c r="A325" s="1"/>
      <c r="M325" s="1"/>
      <c r="Y325" s="1"/>
      <c r="AK325" s="1"/>
      <c r="AQ325" s="1"/>
      <c r="AW325" s="1"/>
      <c r="BC325" s="1"/>
      <c r="BD325" s="1"/>
      <c r="BE325" s="1"/>
      <c r="BF325" s="1"/>
      <c r="BG325" s="1"/>
      <c r="BH325" s="1"/>
      <c r="BI325" s="1"/>
      <c r="BO325" s="1"/>
      <c r="BP325" s="1"/>
      <c r="BQ325" s="1"/>
      <c r="BR325" s="1"/>
      <c r="BS325" s="1"/>
      <c r="BT325" s="1"/>
      <c r="BU325" s="4"/>
    </row>
    <row r="326">
      <c r="A326" s="1"/>
      <c r="M326" s="1"/>
      <c r="Y326" s="1"/>
      <c r="AK326" s="1"/>
      <c r="AQ326" s="1"/>
      <c r="AW326" s="1"/>
      <c r="BC326" s="1"/>
      <c r="BD326" s="1"/>
      <c r="BE326" s="1"/>
      <c r="BF326" s="1"/>
      <c r="BG326" s="1"/>
      <c r="BH326" s="1"/>
      <c r="BI326" s="1"/>
      <c r="BO326" s="1"/>
      <c r="BP326" s="1"/>
      <c r="BQ326" s="1"/>
      <c r="BR326" s="1"/>
      <c r="BS326" s="1"/>
      <c r="BT326" s="1"/>
      <c r="BU326" s="4"/>
    </row>
    <row r="327">
      <c r="A327" s="1"/>
      <c r="M327" s="1"/>
      <c r="Y327" s="1"/>
      <c r="AK327" s="1"/>
      <c r="AQ327" s="1"/>
      <c r="AW327" s="1"/>
      <c r="BC327" s="1"/>
      <c r="BD327" s="1"/>
      <c r="BE327" s="1"/>
      <c r="BF327" s="1"/>
      <c r="BG327" s="1"/>
      <c r="BH327" s="1"/>
      <c r="BI327" s="1"/>
      <c r="BO327" s="1"/>
      <c r="BP327" s="1"/>
      <c r="BQ327" s="1"/>
      <c r="BR327" s="1"/>
      <c r="BS327" s="1"/>
      <c r="BT327" s="1"/>
      <c r="BU327" s="4"/>
    </row>
    <row r="328">
      <c r="A328" s="1"/>
      <c r="M328" s="1"/>
      <c r="Y328" s="1"/>
      <c r="AK328" s="1"/>
      <c r="AQ328" s="1"/>
      <c r="AW328" s="1"/>
      <c r="BC328" s="1"/>
      <c r="BD328" s="1"/>
      <c r="BE328" s="1"/>
      <c r="BF328" s="1"/>
      <c r="BG328" s="1"/>
      <c r="BH328" s="1"/>
      <c r="BI328" s="1"/>
      <c r="BO328" s="1"/>
      <c r="BP328" s="1"/>
      <c r="BQ328" s="1"/>
      <c r="BR328" s="1"/>
      <c r="BS328" s="1"/>
      <c r="BT328" s="1"/>
      <c r="BU328" s="4"/>
    </row>
    <row r="329">
      <c r="A329" s="1"/>
      <c r="M329" s="1"/>
      <c r="Y329" s="1"/>
      <c r="AK329" s="1"/>
      <c r="AQ329" s="1"/>
      <c r="AW329" s="1"/>
      <c r="BC329" s="1"/>
      <c r="BD329" s="1"/>
      <c r="BE329" s="1"/>
      <c r="BF329" s="1"/>
      <c r="BG329" s="1"/>
      <c r="BH329" s="1"/>
      <c r="BI329" s="1"/>
      <c r="BO329" s="1"/>
      <c r="BP329" s="1"/>
      <c r="BQ329" s="1"/>
      <c r="BR329" s="1"/>
      <c r="BS329" s="1"/>
      <c r="BT329" s="1"/>
      <c r="BU329" s="4"/>
    </row>
    <row r="330">
      <c r="A330" s="1"/>
      <c r="M330" s="1"/>
      <c r="Y330" s="1"/>
      <c r="AK330" s="1"/>
      <c r="AQ330" s="1"/>
      <c r="AW330" s="1"/>
      <c r="BC330" s="1"/>
      <c r="BD330" s="1"/>
      <c r="BE330" s="1"/>
      <c r="BF330" s="1"/>
      <c r="BG330" s="1"/>
      <c r="BH330" s="1"/>
      <c r="BI330" s="1"/>
      <c r="BO330" s="1"/>
      <c r="BP330" s="1"/>
      <c r="BQ330" s="1"/>
      <c r="BR330" s="1"/>
      <c r="BS330" s="1"/>
      <c r="BT330" s="1"/>
      <c r="BU330" s="4"/>
    </row>
    <row r="331">
      <c r="A331" s="1"/>
      <c r="M331" s="1"/>
      <c r="Y331" s="1"/>
      <c r="AK331" s="1"/>
      <c r="AQ331" s="1"/>
      <c r="AW331" s="1"/>
      <c r="BC331" s="1"/>
      <c r="BD331" s="1"/>
      <c r="BE331" s="1"/>
      <c r="BF331" s="1"/>
      <c r="BG331" s="1"/>
      <c r="BH331" s="1"/>
      <c r="BI331" s="1"/>
      <c r="BO331" s="1"/>
      <c r="BP331" s="1"/>
      <c r="BQ331" s="1"/>
      <c r="BR331" s="1"/>
      <c r="BS331" s="1"/>
      <c r="BT331" s="1"/>
      <c r="BU331" s="4"/>
    </row>
    <row r="332">
      <c r="A332" s="1"/>
      <c r="M332" s="1"/>
      <c r="Y332" s="1"/>
      <c r="AK332" s="1"/>
      <c r="AQ332" s="1"/>
      <c r="AW332" s="1"/>
      <c r="BC332" s="1"/>
      <c r="BD332" s="1"/>
      <c r="BE332" s="1"/>
      <c r="BF332" s="1"/>
      <c r="BG332" s="1"/>
      <c r="BH332" s="1"/>
      <c r="BI332" s="1"/>
      <c r="BO332" s="1"/>
      <c r="BP332" s="1"/>
      <c r="BQ332" s="1"/>
      <c r="BR332" s="1"/>
      <c r="BS332" s="1"/>
      <c r="BT332" s="1"/>
      <c r="BU332" s="4"/>
    </row>
    <row r="333">
      <c r="A333" s="1"/>
      <c r="M333" s="1"/>
      <c r="Y333" s="1"/>
      <c r="AK333" s="1"/>
      <c r="AQ333" s="1"/>
      <c r="AW333" s="1"/>
      <c r="BC333" s="1"/>
      <c r="BD333" s="1"/>
      <c r="BE333" s="1"/>
      <c r="BF333" s="1"/>
      <c r="BG333" s="1"/>
      <c r="BH333" s="1"/>
      <c r="BI333" s="1"/>
      <c r="BO333" s="1"/>
      <c r="BP333" s="1"/>
      <c r="BQ333" s="1"/>
      <c r="BR333" s="1"/>
      <c r="BS333" s="1"/>
      <c r="BT333" s="1"/>
      <c r="BU333" s="4"/>
    </row>
    <row r="334">
      <c r="A334" s="1"/>
      <c r="M334" s="1"/>
      <c r="Y334" s="1"/>
      <c r="AK334" s="1"/>
      <c r="AQ334" s="1"/>
      <c r="AW334" s="1"/>
      <c r="BC334" s="1"/>
      <c r="BD334" s="1"/>
      <c r="BE334" s="1"/>
      <c r="BF334" s="1"/>
      <c r="BG334" s="1"/>
      <c r="BH334" s="1"/>
      <c r="BI334" s="1"/>
      <c r="BO334" s="1"/>
      <c r="BP334" s="1"/>
      <c r="BQ334" s="1"/>
      <c r="BR334" s="1"/>
      <c r="BS334" s="1"/>
      <c r="BT334" s="1"/>
      <c r="BU334" s="4"/>
    </row>
    <row r="335">
      <c r="A335" s="1"/>
      <c r="M335" s="1"/>
      <c r="Y335" s="1"/>
      <c r="AK335" s="1"/>
      <c r="AQ335" s="1"/>
      <c r="AW335" s="1"/>
      <c r="BC335" s="1"/>
      <c r="BD335" s="1"/>
      <c r="BE335" s="1"/>
      <c r="BF335" s="1"/>
      <c r="BG335" s="1"/>
      <c r="BH335" s="1"/>
      <c r="BI335" s="1"/>
      <c r="BO335" s="1"/>
      <c r="BP335" s="1"/>
      <c r="BQ335" s="1"/>
      <c r="BR335" s="1"/>
      <c r="BS335" s="1"/>
      <c r="BT335" s="1"/>
      <c r="BU335" s="4"/>
    </row>
    <row r="336">
      <c r="A336" s="1"/>
      <c r="M336" s="1"/>
      <c r="Y336" s="1"/>
      <c r="AK336" s="1"/>
      <c r="AQ336" s="1"/>
      <c r="AW336" s="1"/>
      <c r="BC336" s="1"/>
      <c r="BD336" s="1"/>
      <c r="BE336" s="1"/>
      <c r="BF336" s="1"/>
      <c r="BG336" s="1"/>
      <c r="BH336" s="1"/>
      <c r="BI336" s="1"/>
      <c r="BO336" s="1"/>
      <c r="BP336" s="1"/>
      <c r="BQ336" s="1"/>
      <c r="BR336" s="1"/>
      <c r="BS336" s="1"/>
      <c r="BT336" s="1"/>
      <c r="BU336" s="4"/>
    </row>
    <row r="337">
      <c r="A337" s="1"/>
      <c r="M337" s="1"/>
      <c r="Y337" s="1"/>
      <c r="AK337" s="1"/>
      <c r="AQ337" s="1"/>
      <c r="AW337" s="1"/>
      <c r="BC337" s="1"/>
      <c r="BD337" s="1"/>
      <c r="BE337" s="1"/>
      <c r="BF337" s="1"/>
      <c r="BG337" s="1"/>
      <c r="BH337" s="1"/>
      <c r="BI337" s="1"/>
      <c r="BO337" s="1"/>
      <c r="BP337" s="1"/>
      <c r="BQ337" s="1"/>
      <c r="BR337" s="1"/>
      <c r="BS337" s="1"/>
      <c r="BT337" s="1"/>
      <c r="BU337" s="4"/>
    </row>
    <row r="338">
      <c r="A338" s="1"/>
      <c r="M338" s="1"/>
      <c r="Y338" s="1"/>
      <c r="AK338" s="1"/>
      <c r="AQ338" s="1"/>
      <c r="AW338" s="1"/>
      <c r="BC338" s="1"/>
      <c r="BD338" s="1"/>
      <c r="BE338" s="1"/>
      <c r="BF338" s="1"/>
      <c r="BG338" s="1"/>
      <c r="BH338" s="1"/>
      <c r="BI338" s="1"/>
      <c r="BO338" s="1"/>
      <c r="BP338" s="1"/>
      <c r="BQ338" s="1"/>
      <c r="BR338" s="1"/>
      <c r="BS338" s="1"/>
      <c r="BT338" s="1"/>
      <c r="BU338" s="4"/>
    </row>
    <row r="339">
      <c r="A339" s="1"/>
      <c r="M339" s="1"/>
      <c r="Y339" s="1"/>
      <c r="AK339" s="1"/>
      <c r="AQ339" s="1"/>
      <c r="AW339" s="1"/>
      <c r="BC339" s="1"/>
      <c r="BD339" s="1"/>
      <c r="BE339" s="1"/>
      <c r="BF339" s="1"/>
      <c r="BG339" s="1"/>
      <c r="BH339" s="1"/>
      <c r="BI339" s="1"/>
      <c r="BO339" s="1"/>
      <c r="BP339" s="1"/>
      <c r="BQ339" s="1"/>
      <c r="BR339" s="1"/>
      <c r="BS339" s="1"/>
      <c r="BT339" s="1"/>
      <c r="BU339" s="4"/>
    </row>
    <row r="340">
      <c r="A340" s="1"/>
      <c r="M340" s="1"/>
      <c r="Y340" s="1"/>
      <c r="AK340" s="1"/>
      <c r="AQ340" s="1"/>
      <c r="AW340" s="1"/>
      <c r="BC340" s="1"/>
      <c r="BD340" s="1"/>
      <c r="BE340" s="1"/>
      <c r="BF340" s="1"/>
      <c r="BG340" s="1"/>
      <c r="BH340" s="1"/>
      <c r="BI340" s="1"/>
      <c r="BO340" s="1"/>
      <c r="BP340" s="1"/>
      <c r="BQ340" s="1"/>
      <c r="BR340" s="1"/>
      <c r="BS340" s="1"/>
      <c r="BT340" s="1"/>
      <c r="BU340" s="4"/>
    </row>
    <row r="341">
      <c r="A341" s="1"/>
      <c r="M341" s="1"/>
      <c r="Y341" s="1"/>
      <c r="AK341" s="1"/>
      <c r="AQ341" s="1"/>
      <c r="AW341" s="1"/>
      <c r="BC341" s="1"/>
      <c r="BD341" s="1"/>
      <c r="BE341" s="1"/>
      <c r="BF341" s="1"/>
      <c r="BG341" s="1"/>
      <c r="BH341" s="1"/>
      <c r="BI341" s="1"/>
      <c r="BO341" s="1"/>
      <c r="BP341" s="1"/>
      <c r="BQ341" s="1"/>
      <c r="BR341" s="1"/>
      <c r="BS341" s="1"/>
      <c r="BT341" s="1"/>
      <c r="BU341" s="4"/>
    </row>
    <row r="342">
      <c r="A342" s="1"/>
      <c r="M342" s="1"/>
      <c r="Y342" s="1"/>
      <c r="AK342" s="1"/>
      <c r="AQ342" s="1"/>
      <c r="AW342" s="1"/>
      <c r="BC342" s="1"/>
      <c r="BD342" s="1"/>
      <c r="BE342" s="1"/>
      <c r="BF342" s="1"/>
      <c r="BG342" s="1"/>
      <c r="BH342" s="1"/>
      <c r="BI342" s="1"/>
      <c r="BO342" s="1"/>
      <c r="BP342" s="1"/>
      <c r="BQ342" s="1"/>
      <c r="BR342" s="1"/>
      <c r="BS342" s="1"/>
      <c r="BT342" s="1"/>
      <c r="BU342" s="4"/>
    </row>
    <row r="343">
      <c r="A343" s="1"/>
      <c r="M343" s="1"/>
      <c r="Y343" s="1"/>
      <c r="AK343" s="1"/>
      <c r="AQ343" s="1"/>
      <c r="AW343" s="1"/>
      <c r="BC343" s="1"/>
      <c r="BD343" s="1"/>
      <c r="BE343" s="1"/>
      <c r="BF343" s="1"/>
      <c r="BG343" s="1"/>
      <c r="BH343" s="1"/>
      <c r="BI343" s="1"/>
      <c r="BO343" s="1"/>
      <c r="BP343" s="1"/>
      <c r="BQ343" s="1"/>
      <c r="BR343" s="1"/>
      <c r="BS343" s="1"/>
      <c r="BT343" s="1"/>
      <c r="BU343" s="4"/>
    </row>
    <row r="344">
      <c r="A344" s="1"/>
      <c r="M344" s="1"/>
      <c r="Y344" s="1"/>
      <c r="AK344" s="1"/>
      <c r="AQ344" s="1"/>
      <c r="AW344" s="1"/>
      <c r="BC344" s="1"/>
      <c r="BD344" s="1"/>
      <c r="BE344" s="1"/>
      <c r="BF344" s="1"/>
      <c r="BG344" s="1"/>
      <c r="BH344" s="1"/>
      <c r="BI344" s="1"/>
      <c r="BO344" s="1"/>
      <c r="BP344" s="1"/>
      <c r="BQ344" s="1"/>
      <c r="BR344" s="1"/>
      <c r="BS344" s="1"/>
      <c r="BT344" s="1"/>
      <c r="BU344" s="4"/>
    </row>
    <row r="345">
      <c r="A345" s="1"/>
      <c r="M345" s="1"/>
      <c r="Y345" s="1"/>
      <c r="AK345" s="1"/>
      <c r="AQ345" s="1"/>
      <c r="AW345" s="1"/>
      <c r="BC345" s="1"/>
      <c r="BD345" s="1"/>
      <c r="BE345" s="1"/>
      <c r="BF345" s="1"/>
      <c r="BG345" s="1"/>
      <c r="BH345" s="1"/>
      <c r="BI345" s="1"/>
      <c r="BO345" s="1"/>
      <c r="BP345" s="1"/>
      <c r="BQ345" s="1"/>
      <c r="BR345" s="1"/>
      <c r="BS345" s="1"/>
      <c r="BT345" s="1"/>
      <c r="BU345" s="4"/>
    </row>
    <row r="346">
      <c r="A346" s="1"/>
      <c r="M346" s="1"/>
      <c r="Y346" s="1"/>
      <c r="AK346" s="1"/>
      <c r="AQ346" s="1"/>
      <c r="AW346" s="1"/>
      <c r="BC346" s="1"/>
      <c r="BD346" s="1"/>
      <c r="BE346" s="1"/>
      <c r="BF346" s="1"/>
      <c r="BG346" s="1"/>
      <c r="BH346" s="1"/>
      <c r="BI346" s="1"/>
      <c r="BO346" s="1"/>
      <c r="BP346" s="1"/>
      <c r="BQ346" s="1"/>
      <c r="BR346" s="1"/>
      <c r="BS346" s="1"/>
      <c r="BT346" s="1"/>
      <c r="BU346" s="4"/>
    </row>
    <row r="347">
      <c r="A347" s="1"/>
      <c r="M347" s="1"/>
      <c r="Y347" s="1"/>
      <c r="AK347" s="1"/>
      <c r="AQ347" s="1"/>
      <c r="AW347" s="1"/>
      <c r="BC347" s="1"/>
      <c r="BD347" s="1"/>
      <c r="BE347" s="1"/>
      <c r="BF347" s="1"/>
      <c r="BG347" s="1"/>
      <c r="BH347" s="1"/>
      <c r="BI347" s="1"/>
      <c r="BO347" s="1"/>
      <c r="BP347" s="1"/>
      <c r="BQ347" s="1"/>
      <c r="BR347" s="1"/>
      <c r="BS347" s="1"/>
      <c r="BT347" s="1"/>
      <c r="BU347" s="4"/>
    </row>
    <row r="348">
      <c r="A348" s="1"/>
      <c r="M348" s="1"/>
      <c r="Y348" s="1"/>
      <c r="AK348" s="1"/>
      <c r="AQ348" s="1"/>
      <c r="AW348" s="1"/>
      <c r="BC348" s="1"/>
      <c r="BD348" s="1"/>
      <c r="BE348" s="1"/>
      <c r="BF348" s="1"/>
      <c r="BG348" s="1"/>
      <c r="BH348" s="1"/>
      <c r="BI348" s="1"/>
      <c r="BO348" s="1"/>
      <c r="BP348" s="1"/>
      <c r="BQ348" s="1"/>
      <c r="BR348" s="1"/>
      <c r="BS348" s="1"/>
      <c r="BT348" s="1"/>
      <c r="BU348" s="4"/>
    </row>
    <row r="349">
      <c r="A349" s="1"/>
      <c r="M349" s="1"/>
      <c r="Y349" s="1"/>
      <c r="AK349" s="1"/>
      <c r="AQ349" s="1"/>
      <c r="AW349" s="1"/>
      <c r="BC349" s="1"/>
      <c r="BD349" s="1"/>
      <c r="BE349" s="1"/>
      <c r="BF349" s="1"/>
      <c r="BG349" s="1"/>
      <c r="BH349" s="1"/>
      <c r="BI349" s="1"/>
      <c r="BO349" s="1"/>
      <c r="BP349" s="1"/>
      <c r="BQ349" s="1"/>
      <c r="BR349" s="1"/>
      <c r="BS349" s="1"/>
      <c r="BT349" s="1"/>
      <c r="BU349" s="4"/>
    </row>
    <row r="350">
      <c r="A350" s="1"/>
      <c r="M350" s="1"/>
      <c r="Y350" s="1"/>
      <c r="AK350" s="1"/>
      <c r="AQ350" s="1"/>
      <c r="AW350" s="1"/>
      <c r="BC350" s="1"/>
      <c r="BD350" s="1"/>
      <c r="BE350" s="1"/>
      <c r="BF350" s="1"/>
      <c r="BG350" s="1"/>
      <c r="BH350" s="1"/>
      <c r="BI350" s="1"/>
      <c r="BO350" s="1"/>
      <c r="BP350" s="1"/>
      <c r="BQ350" s="1"/>
      <c r="BR350" s="1"/>
      <c r="BS350" s="1"/>
      <c r="BT350" s="1"/>
      <c r="BU350" s="4"/>
    </row>
    <row r="351">
      <c r="A351" s="1"/>
      <c r="M351" s="1"/>
      <c r="Y351" s="1"/>
      <c r="AK351" s="1"/>
      <c r="AQ351" s="1"/>
      <c r="AW351" s="1"/>
      <c r="BC351" s="1"/>
      <c r="BD351" s="1"/>
      <c r="BE351" s="1"/>
      <c r="BF351" s="1"/>
      <c r="BG351" s="1"/>
      <c r="BH351" s="1"/>
      <c r="BI351" s="1"/>
      <c r="BO351" s="1"/>
      <c r="BP351" s="1"/>
      <c r="BQ351" s="1"/>
      <c r="BR351" s="1"/>
      <c r="BS351" s="1"/>
      <c r="BT351" s="1"/>
      <c r="BU351" s="4"/>
    </row>
    <row r="352">
      <c r="A352" s="1"/>
      <c r="M352" s="1"/>
      <c r="Y352" s="1"/>
      <c r="AK352" s="1"/>
      <c r="AQ352" s="1"/>
      <c r="AW352" s="1"/>
      <c r="BC352" s="1"/>
      <c r="BD352" s="1"/>
      <c r="BE352" s="1"/>
      <c r="BF352" s="1"/>
      <c r="BG352" s="1"/>
      <c r="BH352" s="1"/>
      <c r="BI352" s="1"/>
      <c r="BO352" s="1"/>
      <c r="BP352" s="1"/>
      <c r="BQ352" s="1"/>
      <c r="BR352" s="1"/>
      <c r="BS352" s="1"/>
      <c r="BT352" s="1"/>
      <c r="BU352" s="4"/>
    </row>
    <row r="353">
      <c r="A353" s="1"/>
      <c r="M353" s="1"/>
      <c r="Y353" s="1"/>
      <c r="AK353" s="1"/>
      <c r="AQ353" s="1"/>
      <c r="AW353" s="1"/>
      <c r="BC353" s="1"/>
      <c r="BD353" s="1"/>
      <c r="BE353" s="1"/>
      <c r="BF353" s="1"/>
      <c r="BG353" s="1"/>
      <c r="BH353" s="1"/>
      <c r="BI353" s="1"/>
      <c r="BO353" s="1"/>
      <c r="BP353" s="1"/>
      <c r="BQ353" s="1"/>
      <c r="BR353" s="1"/>
      <c r="BS353" s="1"/>
      <c r="BT353" s="1"/>
      <c r="BU353" s="4"/>
    </row>
    <row r="354">
      <c r="A354" s="1"/>
      <c r="M354" s="1"/>
      <c r="Y354" s="1"/>
      <c r="AK354" s="1"/>
      <c r="AQ354" s="1"/>
      <c r="AW354" s="1"/>
      <c r="BC354" s="1"/>
      <c r="BD354" s="1"/>
      <c r="BE354" s="1"/>
      <c r="BF354" s="1"/>
      <c r="BG354" s="1"/>
      <c r="BH354" s="1"/>
      <c r="BI354" s="1"/>
      <c r="BO354" s="1"/>
      <c r="BP354" s="1"/>
      <c r="BQ354" s="1"/>
      <c r="BR354" s="1"/>
      <c r="BS354" s="1"/>
      <c r="BT354" s="1"/>
      <c r="BU354" s="4"/>
    </row>
    <row r="355">
      <c r="A355" s="1"/>
      <c r="M355" s="1"/>
      <c r="Y355" s="1"/>
      <c r="AK355" s="1"/>
      <c r="AQ355" s="1"/>
      <c r="AW355" s="1"/>
      <c r="BC355" s="1"/>
      <c r="BD355" s="1"/>
      <c r="BE355" s="1"/>
      <c r="BF355" s="1"/>
      <c r="BG355" s="1"/>
      <c r="BH355" s="1"/>
      <c r="BI355" s="1"/>
      <c r="BO355" s="1"/>
      <c r="BP355" s="1"/>
      <c r="BQ355" s="1"/>
      <c r="BR355" s="1"/>
      <c r="BS355" s="1"/>
      <c r="BT355" s="1"/>
      <c r="BU355" s="4"/>
    </row>
    <row r="356">
      <c r="A356" s="1"/>
      <c r="M356" s="1"/>
      <c r="Y356" s="1"/>
      <c r="AK356" s="1"/>
      <c r="AQ356" s="1"/>
      <c r="AW356" s="1"/>
      <c r="BC356" s="1"/>
      <c r="BD356" s="1"/>
      <c r="BE356" s="1"/>
      <c r="BF356" s="1"/>
      <c r="BG356" s="1"/>
      <c r="BH356" s="1"/>
      <c r="BI356" s="1"/>
      <c r="BO356" s="1"/>
      <c r="BP356" s="1"/>
      <c r="BQ356" s="1"/>
      <c r="BR356" s="1"/>
      <c r="BS356" s="1"/>
      <c r="BT356" s="1"/>
      <c r="BU356" s="4"/>
    </row>
    <row r="357">
      <c r="A357" s="1"/>
      <c r="M357" s="1"/>
      <c r="Y357" s="1"/>
      <c r="AK357" s="1"/>
      <c r="AQ357" s="1"/>
      <c r="AW357" s="1"/>
      <c r="BC357" s="1"/>
      <c r="BD357" s="1"/>
      <c r="BE357" s="1"/>
      <c r="BF357" s="1"/>
      <c r="BG357" s="1"/>
      <c r="BH357" s="1"/>
      <c r="BI357" s="1"/>
      <c r="BO357" s="1"/>
      <c r="BP357" s="1"/>
      <c r="BQ357" s="1"/>
      <c r="BR357" s="1"/>
      <c r="BS357" s="1"/>
      <c r="BT357" s="1"/>
      <c r="BU357" s="4"/>
    </row>
    <row r="358">
      <c r="A358" s="1"/>
      <c r="M358" s="1"/>
      <c r="Y358" s="1"/>
      <c r="AK358" s="1"/>
      <c r="AQ358" s="1"/>
      <c r="AW358" s="1"/>
      <c r="BC358" s="1"/>
      <c r="BD358" s="1"/>
      <c r="BE358" s="1"/>
      <c r="BF358" s="1"/>
      <c r="BG358" s="1"/>
      <c r="BH358" s="1"/>
      <c r="BI358" s="1"/>
      <c r="BO358" s="1"/>
      <c r="BP358" s="1"/>
      <c r="BQ358" s="1"/>
      <c r="BR358" s="1"/>
      <c r="BS358" s="1"/>
      <c r="BT358" s="1"/>
      <c r="BU358" s="4"/>
    </row>
    <row r="359">
      <c r="A359" s="1"/>
      <c r="M359" s="1"/>
      <c r="Y359" s="1"/>
      <c r="AK359" s="1"/>
      <c r="AQ359" s="1"/>
      <c r="AW359" s="1"/>
      <c r="BC359" s="1"/>
      <c r="BD359" s="1"/>
      <c r="BE359" s="1"/>
      <c r="BF359" s="1"/>
      <c r="BG359" s="1"/>
      <c r="BH359" s="1"/>
      <c r="BI359" s="1"/>
      <c r="BO359" s="1"/>
      <c r="BP359" s="1"/>
      <c r="BQ359" s="1"/>
      <c r="BR359" s="1"/>
      <c r="BS359" s="1"/>
      <c r="BT359" s="1"/>
      <c r="BU359" s="4"/>
    </row>
    <row r="360">
      <c r="A360" s="1"/>
      <c r="M360" s="1"/>
      <c r="Y360" s="1"/>
      <c r="AK360" s="1"/>
      <c r="AQ360" s="1"/>
      <c r="AW360" s="1"/>
      <c r="BC360" s="1"/>
      <c r="BD360" s="1"/>
      <c r="BE360" s="1"/>
      <c r="BF360" s="1"/>
      <c r="BG360" s="1"/>
      <c r="BH360" s="1"/>
      <c r="BI360" s="1"/>
      <c r="BO360" s="1"/>
      <c r="BP360" s="1"/>
      <c r="BQ360" s="1"/>
      <c r="BR360" s="1"/>
      <c r="BS360" s="1"/>
      <c r="BT360" s="1"/>
      <c r="BU360" s="4"/>
    </row>
    <row r="361">
      <c r="A361" s="1"/>
      <c r="M361" s="1"/>
      <c r="Y361" s="1"/>
      <c r="AK361" s="1"/>
      <c r="AQ361" s="1"/>
      <c r="AW361" s="1"/>
      <c r="BC361" s="1"/>
      <c r="BD361" s="1"/>
      <c r="BE361" s="1"/>
      <c r="BF361" s="1"/>
      <c r="BG361" s="1"/>
      <c r="BH361" s="1"/>
      <c r="BI361" s="1"/>
      <c r="BO361" s="1"/>
      <c r="BP361" s="1"/>
      <c r="BQ361" s="1"/>
      <c r="BR361" s="1"/>
      <c r="BS361" s="1"/>
      <c r="BT361" s="1"/>
      <c r="BU361" s="4"/>
    </row>
    <row r="362">
      <c r="A362" s="1"/>
      <c r="M362" s="1"/>
      <c r="Y362" s="1"/>
      <c r="AK362" s="1"/>
      <c r="AQ362" s="1"/>
      <c r="AW362" s="1"/>
      <c r="BC362" s="1"/>
      <c r="BD362" s="1"/>
      <c r="BE362" s="1"/>
      <c r="BF362" s="1"/>
      <c r="BG362" s="1"/>
      <c r="BH362" s="1"/>
      <c r="BI362" s="1"/>
      <c r="BO362" s="1"/>
      <c r="BP362" s="1"/>
      <c r="BQ362" s="1"/>
      <c r="BR362" s="1"/>
      <c r="BS362" s="1"/>
      <c r="BT362" s="1"/>
      <c r="BU362" s="4"/>
    </row>
    <row r="363">
      <c r="A363" s="1"/>
      <c r="M363" s="1"/>
      <c r="Y363" s="1"/>
      <c r="AK363" s="1"/>
      <c r="AQ363" s="1"/>
      <c r="AW363" s="1"/>
      <c r="BC363" s="1"/>
      <c r="BD363" s="1"/>
      <c r="BE363" s="1"/>
      <c r="BF363" s="1"/>
      <c r="BG363" s="1"/>
      <c r="BH363" s="1"/>
      <c r="BI363" s="1"/>
      <c r="BO363" s="1"/>
      <c r="BP363" s="1"/>
      <c r="BQ363" s="1"/>
      <c r="BR363" s="1"/>
      <c r="BS363" s="1"/>
      <c r="BT363" s="1"/>
      <c r="BU363" s="4"/>
    </row>
    <row r="364">
      <c r="A364" s="1"/>
      <c r="M364" s="1"/>
      <c r="Y364" s="1"/>
      <c r="AK364" s="1"/>
      <c r="AQ364" s="1"/>
      <c r="AW364" s="1"/>
      <c r="BC364" s="1"/>
      <c r="BD364" s="1"/>
      <c r="BE364" s="1"/>
      <c r="BF364" s="1"/>
      <c r="BG364" s="1"/>
      <c r="BH364" s="1"/>
      <c r="BI364" s="1"/>
      <c r="BO364" s="1"/>
      <c r="BP364" s="1"/>
      <c r="BQ364" s="1"/>
      <c r="BR364" s="1"/>
      <c r="BS364" s="1"/>
      <c r="BT364" s="1"/>
      <c r="BU364" s="4"/>
    </row>
    <row r="365">
      <c r="A365" s="1"/>
      <c r="M365" s="1"/>
      <c r="Y365" s="1"/>
      <c r="AK365" s="1"/>
      <c r="AQ365" s="1"/>
      <c r="AW365" s="1"/>
      <c r="BC365" s="1"/>
      <c r="BD365" s="1"/>
      <c r="BE365" s="1"/>
      <c r="BF365" s="1"/>
      <c r="BG365" s="1"/>
      <c r="BH365" s="1"/>
      <c r="BI365" s="1"/>
      <c r="BO365" s="1"/>
      <c r="BP365" s="1"/>
      <c r="BQ365" s="1"/>
      <c r="BR365" s="1"/>
      <c r="BS365" s="1"/>
      <c r="BT365" s="1"/>
      <c r="BU365" s="4"/>
    </row>
    <row r="366">
      <c r="A366" s="1"/>
      <c r="M366" s="1"/>
      <c r="Y366" s="1"/>
      <c r="AK366" s="1"/>
      <c r="AQ366" s="1"/>
      <c r="AW366" s="1"/>
      <c r="BC366" s="1"/>
      <c r="BD366" s="1"/>
      <c r="BE366" s="1"/>
      <c r="BF366" s="1"/>
      <c r="BG366" s="1"/>
      <c r="BH366" s="1"/>
      <c r="BI366" s="1"/>
      <c r="BO366" s="1"/>
      <c r="BP366" s="1"/>
      <c r="BQ366" s="1"/>
      <c r="BR366" s="1"/>
      <c r="BS366" s="1"/>
      <c r="BT366" s="1"/>
      <c r="BU366" s="4"/>
    </row>
    <row r="367">
      <c r="A367" s="1"/>
      <c r="M367" s="1"/>
      <c r="Y367" s="1"/>
      <c r="AK367" s="1"/>
      <c r="AQ367" s="1"/>
      <c r="AW367" s="1"/>
      <c r="BC367" s="1"/>
      <c r="BD367" s="1"/>
      <c r="BE367" s="1"/>
      <c r="BF367" s="1"/>
      <c r="BG367" s="1"/>
      <c r="BH367" s="1"/>
      <c r="BI367" s="1"/>
      <c r="BO367" s="1"/>
      <c r="BP367" s="1"/>
      <c r="BQ367" s="1"/>
      <c r="BR367" s="1"/>
      <c r="BS367" s="1"/>
      <c r="BT367" s="1"/>
      <c r="BU367" s="4"/>
    </row>
    <row r="368">
      <c r="A368" s="1"/>
      <c r="M368" s="1"/>
      <c r="Y368" s="1"/>
      <c r="AK368" s="1"/>
      <c r="AQ368" s="1"/>
      <c r="AW368" s="1"/>
      <c r="BC368" s="1"/>
      <c r="BD368" s="1"/>
      <c r="BE368" s="1"/>
      <c r="BF368" s="1"/>
      <c r="BG368" s="1"/>
      <c r="BH368" s="1"/>
      <c r="BI368" s="1"/>
      <c r="BO368" s="1"/>
      <c r="BP368" s="1"/>
      <c r="BQ368" s="1"/>
      <c r="BR368" s="1"/>
      <c r="BS368" s="1"/>
      <c r="BT368" s="1"/>
      <c r="BU368" s="4"/>
    </row>
    <row r="369">
      <c r="A369" s="1"/>
      <c r="M369" s="1"/>
      <c r="Y369" s="1"/>
      <c r="AK369" s="1"/>
      <c r="AQ369" s="1"/>
      <c r="AW369" s="1"/>
      <c r="BC369" s="1"/>
      <c r="BD369" s="1"/>
      <c r="BE369" s="1"/>
      <c r="BF369" s="1"/>
      <c r="BG369" s="1"/>
      <c r="BH369" s="1"/>
      <c r="BI369" s="1"/>
      <c r="BO369" s="1"/>
      <c r="BP369" s="1"/>
      <c r="BQ369" s="1"/>
      <c r="BR369" s="1"/>
      <c r="BS369" s="1"/>
      <c r="BT369" s="1"/>
      <c r="BU369" s="4"/>
    </row>
    <row r="370">
      <c r="A370" s="1"/>
      <c r="M370" s="1"/>
      <c r="Y370" s="1"/>
      <c r="AK370" s="1"/>
      <c r="AQ370" s="1"/>
      <c r="AW370" s="1"/>
      <c r="BC370" s="1"/>
      <c r="BD370" s="1"/>
      <c r="BE370" s="1"/>
      <c r="BF370" s="1"/>
      <c r="BG370" s="1"/>
      <c r="BH370" s="1"/>
      <c r="BI370" s="1"/>
      <c r="BO370" s="1"/>
      <c r="BP370" s="1"/>
      <c r="BQ370" s="1"/>
      <c r="BR370" s="1"/>
      <c r="BS370" s="1"/>
      <c r="BT370" s="1"/>
      <c r="BU370" s="4"/>
    </row>
    <row r="371">
      <c r="A371" s="1"/>
      <c r="M371" s="1"/>
      <c r="Y371" s="1"/>
      <c r="AK371" s="1"/>
      <c r="AQ371" s="1"/>
      <c r="AW371" s="1"/>
      <c r="BC371" s="1"/>
      <c r="BD371" s="1"/>
      <c r="BE371" s="1"/>
      <c r="BF371" s="1"/>
      <c r="BG371" s="1"/>
      <c r="BH371" s="1"/>
      <c r="BI371" s="1"/>
      <c r="BO371" s="1"/>
      <c r="BP371" s="1"/>
      <c r="BQ371" s="1"/>
      <c r="BR371" s="1"/>
      <c r="BS371" s="1"/>
      <c r="BT371" s="1"/>
      <c r="BU371" s="4"/>
    </row>
    <row r="372">
      <c r="A372" s="1"/>
      <c r="M372" s="1"/>
      <c r="Y372" s="1"/>
      <c r="AK372" s="1"/>
      <c r="AQ372" s="1"/>
      <c r="AW372" s="1"/>
      <c r="BC372" s="1"/>
      <c r="BD372" s="1"/>
      <c r="BE372" s="1"/>
      <c r="BF372" s="1"/>
      <c r="BG372" s="1"/>
      <c r="BH372" s="1"/>
      <c r="BI372" s="1"/>
      <c r="BO372" s="1"/>
      <c r="BP372" s="1"/>
      <c r="BQ372" s="1"/>
      <c r="BR372" s="1"/>
      <c r="BS372" s="1"/>
      <c r="BT372" s="1"/>
      <c r="BU372" s="4"/>
    </row>
    <row r="373">
      <c r="A373" s="1"/>
      <c r="M373" s="1"/>
      <c r="Y373" s="1"/>
      <c r="AK373" s="1"/>
      <c r="AQ373" s="1"/>
      <c r="AW373" s="1"/>
      <c r="BC373" s="1"/>
      <c r="BD373" s="1"/>
      <c r="BE373" s="1"/>
      <c r="BF373" s="1"/>
      <c r="BG373" s="1"/>
      <c r="BH373" s="1"/>
      <c r="BI373" s="1"/>
      <c r="BO373" s="1"/>
      <c r="BP373" s="1"/>
      <c r="BQ373" s="1"/>
      <c r="BR373" s="1"/>
      <c r="BS373" s="1"/>
      <c r="BT373" s="1"/>
      <c r="BU373" s="4"/>
    </row>
    <row r="374">
      <c r="A374" s="1"/>
      <c r="M374" s="1"/>
      <c r="Y374" s="1"/>
      <c r="AK374" s="1"/>
      <c r="AQ374" s="1"/>
      <c r="AW374" s="1"/>
      <c r="BC374" s="1"/>
      <c r="BD374" s="1"/>
      <c r="BE374" s="1"/>
      <c r="BF374" s="1"/>
      <c r="BG374" s="1"/>
      <c r="BH374" s="1"/>
      <c r="BI374" s="1"/>
      <c r="BO374" s="1"/>
      <c r="BP374" s="1"/>
      <c r="BQ374" s="1"/>
      <c r="BR374" s="1"/>
      <c r="BS374" s="1"/>
      <c r="BT374" s="1"/>
      <c r="BU374" s="4"/>
    </row>
    <row r="375">
      <c r="A375" s="1"/>
      <c r="M375" s="1"/>
      <c r="Y375" s="1"/>
      <c r="AK375" s="1"/>
      <c r="AQ375" s="1"/>
      <c r="AW375" s="1"/>
      <c r="BC375" s="1"/>
      <c r="BD375" s="1"/>
      <c r="BE375" s="1"/>
      <c r="BF375" s="1"/>
      <c r="BG375" s="1"/>
      <c r="BH375" s="1"/>
      <c r="BI375" s="1"/>
      <c r="BO375" s="1"/>
      <c r="BP375" s="1"/>
      <c r="BQ375" s="1"/>
      <c r="BR375" s="1"/>
      <c r="BS375" s="1"/>
      <c r="BT375" s="1"/>
      <c r="BU375" s="4"/>
    </row>
    <row r="376">
      <c r="A376" s="1"/>
      <c r="M376" s="1"/>
      <c r="Y376" s="1"/>
      <c r="AK376" s="1"/>
      <c r="AQ376" s="1"/>
      <c r="AW376" s="1"/>
      <c r="BC376" s="1"/>
      <c r="BD376" s="1"/>
      <c r="BE376" s="1"/>
      <c r="BF376" s="1"/>
      <c r="BG376" s="1"/>
      <c r="BH376" s="1"/>
      <c r="BI376" s="1"/>
      <c r="BO376" s="1"/>
      <c r="BP376" s="1"/>
      <c r="BQ376" s="1"/>
      <c r="BR376" s="1"/>
      <c r="BS376" s="1"/>
      <c r="BT376" s="1"/>
      <c r="BU376" s="4"/>
    </row>
    <row r="377">
      <c r="A377" s="1"/>
      <c r="M377" s="1"/>
      <c r="Y377" s="1"/>
      <c r="AK377" s="1"/>
      <c r="AQ377" s="1"/>
      <c r="AW377" s="1"/>
      <c r="BC377" s="1"/>
      <c r="BD377" s="1"/>
      <c r="BE377" s="1"/>
      <c r="BF377" s="1"/>
      <c r="BG377" s="1"/>
      <c r="BH377" s="1"/>
      <c r="BI377" s="1"/>
      <c r="BO377" s="1"/>
      <c r="BP377" s="1"/>
      <c r="BQ377" s="1"/>
      <c r="BR377" s="1"/>
      <c r="BS377" s="1"/>
      <c r="BT377" s="1"/>
      <c r="BU377" s="4"/>
    </row>
    <row r="378">
      <c r="A378" s="1"/>
      <c r="M378" s="1"/>
      <c r="Y378" s="1"/>
      <c r="AK378" s="1"/>
      <c r="AQ378" s="1"/>
      <c r="AW378" s="1"/>
      <c r="BC378" s="1"/>
      <c r="BD378" s="1"/>
      <c r="BE378" s="1"/>
      <c r="BF378" s="1"/>
      <c r="BG378" s="1"/>
      <c r="BH378" s="1"/>
      <c r="BI378" s="1"/>
      <c r="BO378" s="1"/>
      <c r="BP378" s="1"/>
      <c r="BQ378" s="1"/>
      <c r="BR378" s="1"/>
      <c r="BS378" s="1"/>
      <c r="BT378" s="1"/>
      <c r="BU378" s="4"/>
    </row>
    <row r="379">
      <c r="A379" s="1"/>
      <c r="M379" s="1"/>
      <c r="Y379" s="1"/>
      <c r="AK379" s="1"/>
      <c r="AQ379" s="1"/>
      <c r="AW379" s="1"/>
      <c r="BC379" s="1"/>
      <c r="BD379" s="1"/>
      <c r="BE379" s="1"/>
      <c r="BF379" s="1"/>
      <c r="BG379" s="1"/>
      <c r="BH379" s="1"/>
      <c r="BI379" s="1"/>
      <c r="BO379" s="1"/>
      <c r="BP379" s="1"/>
      <c r="BQ379" s="1"/>
      <c r="BR379" s="1"/>
      <c r="BS379" s="1"/>
      <c r="BT379" s="1"/>
      <c r="BU379" s="4"/>
    </row>
    <row r="380">
      <c r="A380" s="1"/>
      <c r="M380" s="1"/>
      <c r="Y380" s="1"/>
      <c r="AK380" s="1"/>
      <c r="AQ380" s="1"/>
      <c r="AW380" s="1"/>
      <c r="BC380" s="1"/>
      <c r="BD380" s="1"/>
      <c r="BE380" s="1"/>
      <c r="BF380" s="1"/>
      <c r="BG380" s="1"/>
      <c r="BH380" s="1"/>
      <c r="BI380" s="1"/>
      <c r="BO380" s="1"/>
      <c r="BP380" s="1"/>
      <c r="BQ380" s="1"/>
      <c r="BR380" s="1"/>
      <c r="BS380" s="1"/>
      <c r="BT380" s="1"/>
      <c r="BU380" s="4"/>
    </row>
    <row r="381">
      <c r="A381" s="1"/>
      <c r="M381" s="1"/>
      <c r="Y381" s="1"/>
      <c r="AK381" s="1"/>
      <c r="AQ381" s="1"/>
      <c r="AW381" s="1"/>
      <c r="BC381" s="1"/>
      <c r="BD381" s="1"/>
      <c r="BE381" s="1"/>
      <c r="BF381" s="1"/>
      <c r="BG381" s="1"/>
      <c r="BH381" s="1"/>
      <c r="BI381" s="1"/>
      <c r="BO381" s="1"/>
      <c r="BP381" s="1"/>
      <c r="BQ381" s="1"/>
      <c r="BR381" s="1"/>
      <c r="BS381" s="1"/>
      <c r="BT381" s="1"/>
      <c r="BU381" s="4"/>
    </row>
    <row r="382">
      <c r="A382" s="1"/>
      <c r="M382" s="1"/>
      <c r="Y382" s="1"/>
      <c r="AK382" s="1"/>
      <c r="AQ382" s="1"/>
      <c r="AW382" s="1"/>
      <c r="BC382" s="1"/>
      <c r="BD382" s="1"/>
      <c r="BE382" s="1"/>
      <c r="BF382" s="1"/>
      <c r="BG382" s="1"/>
      <c r="BH382" s="1"/>
      <c r="BI382" s="1"/>
      <c r="BO382" s="1"/>
      <c r="BP382" s="1"/>
      <c r="BQ382" s="1"/>
      <c r="BR382" s="1"/>
      <c r="BS382" s="1"/>
      <c r="BT382" s="1"/>
      <c r="BU382" s="4"/>
    </row>
    <row r="383">
      <c r="A383" s="1"/>
      <c r="M383" s="1"/>
      <c r="Y383" s="1"/>
      <c r="AK383" s="1"/>
      <c r="AQ383" s="1"/>
      <c r="AW383" s="1"/>
      <c r="BC383" s="1"/>
      <c r="BD383" s="1"/>
      <c r="BE383" s="1"/>
      <c r="BF383" s="1"/>
      <c r="BG383" s="1"/>
      <c r="BH383" s="1"/>
      <c r="BI383" s="1"/>
      <c r="BO383" s="1"/>
      <c r="BP383" s="1"/>
      <c r="BQ383" s="1"/>
      <c r="BR383" s="1"/>
      <c r="BS383" s="1"/>
      <c r="BT383" s="1"/>
      <c r="BU383" s="4"/>
    </row>
    <row r="384">
      <c r="A384" s="1"/>
      <c r="M384" s="1"/>
      <c r="Y384" s="1"/>
      <c r="AK384" s="1"/>
      <c r="AQ384" s="1"/>
      <c r="AW384" s="1"/>
      <c r="BC384" s="1"/>
      <c r="BD384" s="1"/>
      <c r="BE384" s="1"/>
      <c r="BF384" s="1"/>
      <c r="BG384" s="1"/>
      <c r="BH384" s="1"/>
      <c r="BI384" s="1"/>
      <c r="BO384" s="1"/>
      <c r="BP384" s="1"/>
      <c r="BQ384" s="1"/>
      <c r="BR384" s="1"/>
      <c r="BS384" s="1"/>
      <c r="BT384" s="1"/>
      <c r="BU384" s="4"/>
    </row>
    <row r="385">
      <c r="A385" s="1"/>
      <c r="M385" s="1"/>
      <c r="Y385" s="1"/>
      <c r="AK385" s="1"/>
      <c r="AQ385" s="1"/>
      <c r="AW385" s="1"/>
      <c r="BC385" s="1"/>
      <c r="BD385" s="1"/>
      <c r="BE385" s="1"/>
      <c r="BF385" s="1"/>
      <c r="BG385" s="1"/>
      <c r="BH385" s="1"/>
      <c r="BI385" s="1"/>
      <c r="BO385" s="1"/>
      <c r="BP385" s="1"/>
      <c r="BQ385" s="1"/>
      <c r="BR385" s="1"/>
      <c r="BS385" s="1"/>
      <c r="BT385" s="1"/>
      <c r="BU385" s="4"/>
    </row>
    <row r="386">
      <c r="A386" s="1"/>
      <c r="M386" s="1"/>
      <c r="Y386" s="1"/>
      <c r="AK386" s="1"/>
      <c r="AQ386" s="1"/>
      <c r="AW386" s="1"/>
      <c r="BC386" s="1"/>
      <c r="BD386" s="1"/>
      <c r="BE386" s="1"/>
      <c r="BF386" s="1"/>
      <c r="BG386" s="1"/>
      <c r="BH386" s="1"/>
      <c r="BI386" s="1"/>
      <c r="BO386" s="1"/>
      <c r="BP386" s="1"/>
      <c r="BQ386" s="1"/>
      <c r="BR386" s="1"/>
      <c r="BS386" s="1"/>
      <c r="BT386" s="1"/>
      <c r="BU386" s="4"/>
    </row>
    <row r="387">
      <c r="A387" s="1"/>
      <c r="M387" s="1"/>
      <c r="Y387" s="1"/>
      <c r="AK387" s="1"/>
      <c r="AQ387" s="1"/>
      <c r="AW387" s="1"/>
      <c r="BC387" s="1"/>
      <c r="BD387" s="1"/>
      <c r="BE387" s="1"/>
      <c r="BF387" s="1"/>
      <c r="BG387" s="1"/>
      <c r="BH387" s="1"/>
      <c r="BI387" s="1"/>
      <c r="BO387" s="1"/>
      <c r="BP387" s="1"/>
      <c r="BQ387" s="1"/>
      <c r="BR387" s="1"/>
      <c r="BS387" s="1"/>
      <c r="BT387" s="1"/>
      <c r="BU387" s="4"/>
    </row>
    <row r="388">
      <c r="A388" s="1"/>
      <c r="M388" s="1"/>
      <c r="Y388" s="1"/>
      <c r="AK388" s="1"/>
      <c r="AQ388" s="1"/>
      <c r="AW388" s="1"/>
      <c r="BC388" s="1"/>
      <c r="BD388" s="1"/>
      <c r="BE388" s="1"/>
      <c r="BF388" s="1"/>
      <c r="BG388" s="1"/>
      <c r="BH388" s="1"/>
      <c r="BI388" s="1"/>
      <c r="BO388" s="1"/>
      <c r="BP388" s="1"/>
      <c r="BQ388" s="1"/>
      <c r="BR388" s="1"/>
      <c r="BS388" s="1"/>
      <c r="BT388" s="1"/>
      <c r="BU388" s="4"/>
    </row>
    <row r="389">
      <c r="A389" s="1"/>
      <c r="M389" s="1"/>
      <c r="Y389" s="1"/>
      <c r="AK389" s="1"/>
      <c r="AQ389" s="1"/>
      <c r="AW389" s="1"/>
      <c r="BC389" s="1"/>
      <c r="BD389" s="1"/>
      <c r="BE389" s="1"/>
      <c r="BF389" s="1"/>
      <c r="BG389" s="1"/>
      <c r="BH389" s="1"/>
      <c r="BI389" s="1"/>
      <c r="BO389" s="1"/>
      <c r="BP389" s="1"/>
      <c r="BQ389" s="1"/>
      <c r="BR389" s="1"/>
      <c r="BS389" s="1"/>
      <c r="BT389" s="1"/>
      <c r="BU389" s="4"/>
    </row>
    <row r="390">
      <c r="A390" s="1"/>
      <c r="M390" s="1"/>
      <c r="Y390" s="1"/>
      <c r="AK390" s="1"/>
      <c r="AQ390" s="1"/>
      <c r="AW390" s="1"/>
      <c r="BC390" s="1"/>
      <c r="BD390" s="1"/>
      <c r="BE390" s="1"/>
      <c r="BF390" s="1"/>
      <c r="BG390" s="1"/>
      <c r="BH390" s="1"/>
      <c r="BI390" s="1"/>
      <c r="BO390" s="1"/>
      <c r="BP390" s="1"/>
      <c r="BQ390" s="1"/>
      <c r="BR390" s="1"/>
      <c r="BS390" s="1"/>
      <c r="BT390" s="1"/>
      <c r="BU390" s="4"/>
    </row>
    <row r="391">
      <c r="A391" s="1"/>
      <c r="M391" s="1"/>
      <c r="Y391" s="1"/>
      <c r="AK391" s="1"/>
      <c r="AQ391" s="1"/>
      <c r="AW391" s="1"/>
      <c r="BC391" s="1"/>
      <c r="BD391" s="1"/>
      <c r="BE391" s="1"/>
      <c r="BF391" s="1"/>
      <c r="BG391" s="1"/>
      <c r="BH391" s="1"/>
      <c r="BI391" s="1"/>
      <c r="BO391" s="1"/>
      <c r="BP391" s="1"/>
      <c r="BQ391" s="1"/>
      <c r="BR391" s="1"/>
      <c r="BS391" s="1"/>
      <c r="BT391" s="1"/>
      <c r="BU391" s="4"/>
    </row>
    <row r="392">
      <c r="A392" s="1"/>
      <c r="M392" s="1"/>
      <c r="Y392" s="1"/>
      <c r="AK392" s="1"/>
      <c r="AQ392" s="1"/>
      <c r="AW392" s="1"/>
      <c r="BC392" s="1"/>
      <c r="BD392" s="1"/>
      <c r="BE392" s="1"/>
      <c r="BF392" s="1"/>
      <c r="BG392" s="1"/>
      <c r="BH392" s="1"/>
      <c r="BI392" s="1"/>
      <c r="BO392" s="1"/>
      <c r="BP392" s="1"/>
      <c r="BQ392" s="1"/>
      <c r="BR392" s="1"/>
      <c r="BS392" s="1"/>
      <c r="BT392" s="1"/>
      <c r="BU392" s="4"/>
    </row>
    <row r="393">
      <c r="A393" s="1"/>
      <c r="M393" s="1"/>
      <c r="Y393" s="1"/>
      <c r="AK393" s="1"/>
      <c r="AQ393" s="1"/>
      <c r="AW393" s="1"/>
      <c r="BC393" s="1"/>
      <c r="BD393" s="1"/>
      <c r="BE393" s="1"/>
      <c r="BF393" s="1"/>
      <c r="BG393" s="1"/>
      <c r="BH393" s="1"/>
      <c r="BI393" s="1"/>
      <c r="BO393" s="1"/>
      <c r="BP393" s="1"/>
      <c r="BQ393" s="1"/>
      <c r="BR393" s="1"/>
      <c r="BS393" s="1"/>
      <c r="BT393" s="1"/>
      <c r="BU393" s="4"/>
    </row>
    <row r="394">
      <c r="A394" s="1"/>
      <c r="M394" s="1"/>
      <c r="Y394" s="1"/>
      <c r="AK394" s="1"/>
      <c r="AQ394" s="1"/>
      <c r="AW394" s="1"/>
      <c r="BC394" s="1"/>
      <c r="BD394" s="1"/>
      <c r="BE394" s="1"/>
      <c r="BF394" s="1"/>
      <c r="BG394" s="1"/>
      <c r="BH394" s="1"/>
      <c r="BI394" s="1"/>
      <c r="BO394" s="1"/>
      <c r="BP394" s="1"/>
      <c r="BQ394" s="1"/>
      <c r="BR394" s="1"/>
      <c r="BS394" s="1"/>
      <c r="BT394" s="1"/>
      <c r="BU394" s="4"/>
    </row>
    <row r="395">
      <c r="A395" s="1"/>
      <c r="M395" s="1"/>
      <c r="Y395" s="1"/>
      <c r="AK395" s="1"/>
      <c r="AQ395" s="1"/>
      <c r="AW395" s="1"/>
      <c r="BC395" s="1"/>
      <c r="BD395" s="1"/>
      <c r="BE395" s="1"/>
      <c r="BF395" s="1"/>
      <c r="BG395" s="1"/>
      <c r="BH395" s="1"/>
      <c r="BI395" s="1"/>
      <c r="BO395" s="1"/>
      <c r="BP395" s="1"/>
      <c r="BQ395" s="1"/>
      <c r="BR395" s="1"/>
      <c r="BS395" s="1"/>
      <c r="BT395" s="1"/>
      <c r="BU395" s="4"/>
    </row>
    <row r="396">
      <c r="A396" s="1"/>
      <c r="M396" s="1"/>
      <c r="Y396" s="1"/>
      <c r="AK396" s="1"/>
      <c r="AQ396" s="1"/>
      <c r="AW396" s="1"/>
      <c r="BC396" s="1"/>
      <c r="BD396" s="1"/>
      <c r="BE396" s="1"/>
      <c r="BF396" s="1"/>
      <c r="BG396" s="1"/>
      <c r="BH396" s="1"/>
      <c r="BI396" s="1"/>
      <c r="BO396" s="1"/>
      <c r="BP396" s="1"/>
      <c r="BQ396" s="1"/>
      <c r="BR396" s="1"/>
      <c r="BS396" s="1"/>
      <c r="BT396" s="1"/>
      <c r="BU396" s="4"/>
    </row>
    <row r="397">
      <c r="A397" s="1"/>
      <c r="M397" s="1"/>
      <c r="Y397" s="1"/>
      <c r="AK397" s="1"/>
      <c r="AQ397" s="1"/>
      <c r="AW397" s="1"/>
      <c r="BC397" s="1"/>
      <c r="BD397" s="1"/>
      <c r="BE397" s="1"/>
      <c r="BF397" s="1"/>
      <c r="BG397" s="1"/>
      <c r="BH397" s="1"/>
      <c r="BI397" s="1"/>
      <c r="BO397" s="1"/>
      <c r="BP397" s="1"/>
      <c r="BQ397" s="1"/>
      <c r="BR397" s="1"/>
      <c r="BS397" s="1"/>
      <c r="BT397" s="1"/>
      <c r="BU397" s="4"/>
    </row>
    <row r="398">
      <c r="A398" s="1"/>
      <c r="M398" s="1"/>
      <c r="Y398" s="1"/>
      <c r="AK398" s="1"/>
      <c r="AQ398" s="1"/>
      <c r="AW398" s="1"/>
      <c r="BC398" s="1"/>
      <c r="BD398" s="1"/>
      <c r="BE398" s="1"/>
      <c r="BF398" s="1"/>
      <c r="BG398" s="1"/>
      <c r="BH398" s="1"/>
      <c r="BI398" s="1"/>
      <c r="BO398" s="1"/>
      <c r="BP398" s="1"/>
      <c r="BQ398" s="1"/>
      <c r="BR398" s="1"/>
      <c r="BS398" s="1"/>
      <c r="BT398" s="1"/>
      <c r="BU398" s="4"/>
    </row>
    <row r="399">
      <c r="A399" s="1"/>
      <c r="M399" s="1"/>
      <c r="Y399" s="1"/>
      <c r="AK399" s="1"/>
      <c r="AQ399" s="1"/>
      <c r="AW399" s="1"/>
      <c r="BC399" s="1"/>
      <c r="BD399" s="1"/>
      <c r="BE399" s="1"/>
      <c r="BF399" s="1"/>
      <c r="BG399" s="1"/>
      <c r="BH399" s="1"/>
      <c r="BI399" s="1"/>
      <c r="BO399" s="1"/>
      <c r="BP399" s="1"/>
      <c r="BQ399" s="1"/>
      <c r="BR399" s="1"/>
      <c r="BS399" s="1"/>
      <c r="BT399" s="1"/>
      <c r="BU399" s="4"/>
    </row>
    <row r="400">
      <c r="A400" s="1"/>
      <c r="M400" s="1"/>
      <c r="Y400" s="1"/>
      <c r="AK400" s="1"/>
      <c r="AQ400" s="1"/>
      <c r="AW400" s="1"/>
      <c r="BC400" s="1"/>
      <c r="BD400" s="1"/>
      <c r="BE400" s="1"/>
      <c r="BF400" s="1"/>
      <c r="BG400" s="1"/>
      <c r="BH400" s="1"/>
      <c r="BI400" s="1"/>
      <c r="BO400" s="1"/>
      <c r="BP400" s="1"/>
      <c r="BQ400" s="1"/>
      <c r="BR400" s="1"/>
      <c r="BS400" s="1"/>
      <c r="BT400" s="1"/>
      <c r="BU400" s="4"/>
    </row>
    <row r="401">
      <c r="A401" s="1"/>
      <c r="M401" s="1"/>
      <c r="Y401" s="1"/>
      <c r="AK401" s="1"/>
      <c r="AQ401" s="1"/>
      <c r="AW401" s="1"/>
      <c r="BC401" s="1"/>
      <c r="BD401" s="1"/>
      <c r="BE401" s="1"/>
      <c r="BF401" s="1"/>
      <c r="BG401" s="1"/>
      <c r="BH401" s="1"/>
      <c r="BI401" s="1"/>
      <c r="BO401" s="1"/>
      <c r="BP401" s="1"/>
      <c r="BQ401" s="1"/>
      <c r="BR401" s="1"/>
      <c r="BS401" s="1"/>
      <c r="BT401" s="1"/>
      <c r="BU401" s="4"/>
    </row>
    <row r="402">
      <c r="A402" s="1"/>
      <c r="M402" s="1"/>
      <c r="Y402" s="1"/>
      <c r="AK402" s="1"/>
      <c r="AQ402" s="1"/>
      <c r="AW402" s="1"/>
      <c r="BC402" s="1"/>
      <c r="BD402" s="1"/>
      <c r="BE402" s="1"/>
      <c r="BF402" s="1"/>
      <c r="BG402" s="1"/>
      <c r="BH402" s="1"/>
      <c r="BI402" s="1"/>
      <c r="BO402" s="1"/>
      <c r="BP402" s="1"/>
      <c r="BQ402" s="1"/>
      <c r="BR402" s="1"/>
      <c r="BS402" s="1"/>
      <c r="BT402" s="1"/>
      <c r="BU402" s="4"/>
    </row>
    <row r="403">
      <c r="A403" s="1"/>
      <c r="M403" s="1"/>
      <c r="Y403" s="1"/>
      <c r="AK403" s="1"/>
      <c r="AQ403" s="1"/>
      <c r="AW403" s="1"/>
      <c r="BC403" s="1"/>
      <c r="BD403" s="1"/>
      <c r="BE403" s="1"/>
      <c r="BF403" s="1"/>
      <c r="BG403" s="1"/>
      <c r="BH403" s="1"/>
      <c r="BI403" s="1"/>
      <c r="BO403" s="1"/>
      <c r="BP403" s="1"/>
      <c r="BQ403" s="1"/>
      <c r="BR403" s="1"/>
      <c r="BS403" s="1"/>
      <c r="BT403" s="1"/>
      <c r="BU403" s="4"/>
    </row>
    <row r="404">
      <c r="A404" s="1"/>
      <c r="M404" s="1"/>
      <c r="Y404" s="1"/>
      <c r="AK404" s="1"/>
      <c r="AQ404" s="1"/>
      <c r="AW404" s="1"/>
      <c r="BC404" s="1"/>
      <c r="BD404" s="1"/>
      <c r="BE404" s="1"/>
      <c r="BF404" s="1"/>
      <c r="BG404" s="1"/>
      <c r="BH404" s="1"/>
      <c r="BI404" s="1"/>
      <c r="BO404" s="1"/>
      <c r="BP404" s="1"/>
      <c r="BQ404" s="1"/>
      <c r="BR404" s="1"/>
      <c r="BS404" s="1"/>
      <c r="BT404" s="1"/>
      <c r="BU404" s="4"/>
    </row>
    <row r="405">
      <c r="A405" s="1"/>
      <c r="M405" s="1"/>
      <c r="Y405" s="1"/>
      <c r="AK405" s="1"/>
      <c r="AQ405" s="1"/>
      <c r="AW405" s="1"/>
      <c r="BC405" s="1"/>
      <c r="BD405" s="1"/>
      <c r="BE405" s="1"/>
      <c r="BF405" s="1"/>
      <c r="BG405" s="1"/>
      <c r="BH405" s="1"/>
      <c r="BI405" s="1"/>
      <c r="BO405" s="1"/>
      <c r="BP405" s="1"/>
      <c r="BQ405" s="1"/>
      <c r="BR405" s="1"/>
      <c r="BS405" s="1"/>
      <c r="BT405" s="1"/>
      <c r="BU405" s="4"/>
    </row>
    <row r="406">
      <c r="A406" s="1"/>
      <c r="M406" s="1"/>
      <c r="Y406" s="1"/>
      <c r="AK406" s="1"/>
      <c r="AQ406" s="1"/>
      <c r="AW406" s="1"/>
      <c r="BC406" s="1"/>
      <c r="BD406" s="1"/>
      <c r="BE406" s="1"/>
      <c r="BF406" s="1"/>
      <c r="BG406" s="1"/>
      <c r="BH406" s="1"/>
      <c r="BI406" s="1"/>
      <c r="BO406" s="1"/>
      <c r="BP406" s="1"/>
      <c r="BQ406" s="1"/>
      <c r="BR406" s="1"/>
      <c r="BS406" s="1"/>
      <c r="BT406" s="1"/>
      <c r="BU406" s="4"/>
    </row>
    <row r="407">
      <c r="A407" s="1"/>
      <c r="M407" s="1"/>
      <c r="Y407" s="1"/>
      <c r="AK407" s="1"/>
      <c r="AQ407" s="1"/>
      <c r="AW407" s="1"/>
      <c r="BC407" s="1"/>
      <c r="BD407" s="1"/>
      <c r="BE407" s="1"/>
      <c r="BF407" s="1"/>
      <c r="BG407" s="1"/>
      <c r="BH407" s="1"/>
      <c r="BI407" s="1"/>
      <c r="BO407" s="1"/>
      <c r="BP407" s="1"/>
      <c r="BQ407" s="1"/>
      <c r="BR407" s="1"/>
      <c r="BS407" s="1"/>
      <c r="BT407" s="1"/>
      <c r="BU407" s="4"/>
    </row>
    <row r="408">
      <c r="A408" s="1"/>
      <c r="M408" s="1"/>
      <c r="Y408" s="1"/>
      <c r="AK408" s="1"/>
      <c r="AQ408" s="1"/>
      <c r="AW408" s="1"/>
      <c r="BC408" s="1"/>
      <c r="BD408" s="1"/>
      <c r="BE408" s="1"/>
      <c r="BF408" s="1"/>
      <c r="BG408" s="1"/>
      <c r="BH408" s="1"/>
      <c r="BI408" s="1"/>
      <c r="BO408" s="1"/>
      <c r="BP408" s="1"/>
      <c r="BQ408" s="1"/>
      <c r="BR408" s="1"/>
      <c r="BS408" s="1"/>
      <c r="BT408" s="1"/>
      <c r="BU408" s="4"/>
    </row>
    <row r="409">
      <c r="A409" s="1"/>
      <c r="M409" s="1"/>
      <c r="Y409" s="1"/>
      <c r="AK409" s="1"/>
      <c r="AQ409" s="1"/>
      <c r="AW409" s="1"/>
      <c r="BC409" s="1"/>
      <c r="BD409" s="1"/>
      <c r="BE409" s="1"/>
      <c r="BF409" s="1"/>
      <c r="BG409" s="1"/>
      <c r="BH409" s="1"/>
      <c r="BI409" s="1"/>
      <c r="BO409" s="1"/>
      <c r="BP409" s="1"/>
      <c r="BQ409" s="1"/>
      <c r="BR409" s="1"/>
      <c r="BS409" s="1"/>
      <c r="BT409" s="1"/>
      <c r="BU409" s="4"/>
    </row>
    <row r="410">
      <c r="A410" s="1"/>
      <c r="M410" s="1"/>
      <c r="Y410" s="1"/>
      <c r="AK410" s="1"/>
      <c r="AQ410" s="1"/>
      <c r="AW410" s="1"/>
      <c r="BC410" s="1"/>
      <c r="BD410" s="1"/>
      <c r="BE410" s="1"/>
      <c r="BF410" s="1"/>
      <c r="BG410" s="1"/>
      <c r="BH410" s="1"/>
      <c r="BI410" s="1"/>
      <c r="BO410" s="1"/>
      <c r="BP410" s="1"/>
      <c r="BQ410" s="1"/>
      <c r="BR410" s="1"/>
      <c r="BS410" s="1"/>
      <c r="BT410" s="1"/>
      <c r="BU410" s="4"/>
    </row>
    <row r="411">
      <c r="A411" s="1"/>
      <c r="M411" s="1"/>
      <c r="Y411" s="1"/>
      <c r="AK411" s="1"/>
      <c r="AQ411" s="1"/>
      <c r="AW411" s="1"/>
      <c r="BC411" s="1"/>
      <c r="BD411" s="1"/>
      <c r="BE411" s="1"/>
      <c r="BF411" s="1"/>
      <c r="BG411" s="1"/>
      <c r="BH411" s="1"/>
      <c r="BI411" s="1"/>
      <c r="BO411" s="1"/>
      <c r="BP411" s="1"/>
      <c r="BQ411" s="1"/>
      <c r="BR411" s="1"/>
      <c r="BS411" s="1"/>
      <c r="BT411" s="1"/>
      <c r="BU411" s="4"/>
    </row>
    <row r="412">
      <c r="A412" s="1"/>
      <c r="M412" s="1"/>
      <c r="Y412" s="1"/>
      <c r="AK412" s="1"/>
      <c r="AQ412" s="1"/>
      <c r="AW412" s="1"/>
      <c r="BC412" s="1"/>
      <c r="BD412" s="1"/>
      <c r="BE412" s="1"/>
      <c r="BF412" s="1"/>
      <c r="BG412" s="1"/>
      <c r="BH412" s="1"/>
      <c r="BI412" s="1"/>
      <c r="BO412" s="1"/>
      <c r="BP412" s="1"/>
      <c r="BQ412" s="1"/>
      <c r="BR412" s="1"/>
      <c r="BS412" s="1"/>
      <c r="BT412" s="1"/>
      <c r="BU412" s="4"/>
    </row>
    <row r="413">
      <c r="A413" s="1"/>
      <c r="M413" s="1"/>
      <c r="Y413" s="1"/>
      <c r="AK413" s="1"/>
      <c r="AQ413" s="1"/>
      <c r="AW413" s="1"/>
      <c r="BC413" s="1"/>
      <c r="BD413" s="1"/>
      <c r="BE413" s="1"/>
      <c r="BF413" s="1"/>
      <c r="BG413" s="1"/>
      <c r="BH413" s="1"/>
      <c r="BI413" s="1"/>
      <c r="BO413" s="1"/>
      <c r="BP413" s="1"/>
      <c r="BQ413" s="1"/>
      <c r="BR413" s="1"/>
      <c r="BS413" s="1"/>
      <c r="BT413" s="1"/>
      <c r="BU413" s="4"/>
    </row>
    <row r="414">
      <c r="A414" s="1"/>
      <c r="M414" s="1"/>
      <c r="Y414" s="1"/>
      <c r="AK414" s="1"/>
      <c r="AQ414" s="1"/>
      <c r="AW414" s="1"/>
      <c r="BC414" s="1"/>
      <c r="BD414" s="1"/>
      <c r="BE414" s="1"/>
      <c r="BF414" s="1"/>
      <c r="BG414" s="1"/>
      <c r="BH414" s="1"/>
      <c r="BI414" s="1"/>
      <c r="BO414" s="1"/>
      <c r="BP414" s="1"/>
      <c r="BQ414" s="1"/>
      <c r="BR414" s="1"/>
      <c r="BS414" s="1"/>
      <c r="BT414" s="1"/>
      <c r="BU414" s="4"/>
    </row>
    <row r="415">
      <c r="A415" s="1"/>
      <c r="M415" s="1"/>
      <c r="Y415" s="1"/>
      <c r="AK415" s="1"/>
      <c r="AQ415" s="1"/>
      <c r="AW415" s="1"/>
      <c r="BC415" s="1"/>
      <c r="BD415" s="1"/>
      <c r="BE415" s="1"/>
      <c r="BF415" s="1"/>
      <c r="BG415" s="1"/>
      <c r="BH415" s="1"/>
      <c r="BI415" s="1"/>
      <c r="BO415" s="1"/>
      <c r="BP415" s="1"/>
      <c r="BQ415" s="1"/>
      <c r="BR415" s="1"/>
      <c r="BS415" s="1"/>
      <c r="BT415" s="1"/>
      <c r="BU415" s="4"/>
    </row>
    <row r="416">
      <c r="A416" s="1"/>
      <c r="M416" s="1"/>
      <c r="Y416" s="1"/>
      <c r="AK416" s="1"/>
      <c r="AQ416" s="1"/>
      <c r="AW416" s="1"/>
      <c r="BC416" s="1"/>
      <c r="BD416" s="1"/>
      <c r="BE416" s="1"/>
      <c r="BF416" s="1"/>
      <c r="BG416" s="1"/>
      <c r="BH416" s="1"/>
      <c r="BI416" s="1"/>
      <c r="BO416" s="1"/>
      <c r="BP416" s="1"/>
      <c r="BQ416" s="1"/>
      <c r="BR416" s="1"/>
      <c r="BS416" s="1"/>
      <c r="BT416" s="1"/>
      <c r="BU416" s="4"/>
    </row>
    <row r="417">
      <c r="A417" s="1"/>
      <c r="M417" s="1"/>
      <c r="Y417" s="1"/>
      <c r="AK417" s="1"/>
      <c r="AQ417" s="1"/>
      <c r="AW417" s="1"/>
      <c r="BC417" s="1"/>
      <c r="BD417" s="1"/>
      <c r="BE417" s="1"/>
      <c r="BF417" s="1"/>
      <c r="BG417" s="1"/>
      <c r="BH417" s="1"/>
      <c r="BI417" s="1"/>
      <c r="BO417" s="1"/>
      <c r="BP417" s="1"/>
      <c r="BQ417" s="1"/>
      <c r="BR417" s="1"/>
      <c r="BS417" s="1"/>
      <c r="BT417" s="1"/>
      <c r="BU417" s="4"/>
    </row>
    <row r="418">
      <c r="A418" s="1"/>
      <c r="M418" s="1"/>
      <c r="Y418" s="1"/>
      <c r="AK418" s="1"/>
      <c r="AQ418" s="1"/>
      <c r="AW418" s="1"/>
      <c r="BC418" s="1"/>
      <c r="BD418" s="1"/>
      <c r="BE418" s="1"/>
      <c r="BF418" s="1"/>
      <c r="BG418" s="1"/>
      <c r="BH418" s="1"/>
      <c r="BI418" s="1"/>
      <c r="BO418" s="1"/>
      <c r="BP418" s="1"/>
      <c r="BQ418" s="1"/>
      <c r="BR418" s="1"/>
      <c r="BS418" s="1"/>
      <c r="BT418" s="1"/>
      <c r="BU418" s="4"/>
    </row>
    <row r="419">
      <c r="A419" s="1"/>
      <c r="M419" s="1"/>
      <c r="Y419" s="1"/>
      <c r="AK419" s="1"/>
      <c r="AQ419" s="1"/>
      <c r="AW419" s="1"/>
      <c r="BC419" s="1"/>
      <c r="BD419" s="1"/>
      <c r="BE419" s="1"/>
      <c r="BF419" s="1"/>
      <c r="BG419" s="1"/>
      <c r="BH419" s="1"/>
      <c r="BI419" s="1"/>
      <c r="BO419" s="1"/>
      <c r="BP419" s="1"/>
      <c r="BQ419" s="1"/>
      <c r="BR419" s="1"/>
      <c r="BS419" s="1"/>
      <c r="BT419" s="1"/>
      <c r="BU419" s="4"/>
    </row>
    <row r="420">
      <c r="A420" s="1"/>
      <c r="M420" s="1"/>
      <c r="Y420" s="1"/>
      <c r="AK420" s="1"/>
      <c r="AQ420" s="1"/>
      <c r="AW420" s="1"/>
      <c r="BC420" s="1"/>
      <c r="BD420" s="1"/>
      <c r="BE420" s="1"/>
      <c r="BF420" s="1"/>
      <c r="BG420" s="1"/>
      <c r="BH420" s="1"/>
      <c r="BI420" s="1"/>
      <c r="BO420" s="1"/>
      <c r="BP420" s="1"/>
      <c r="BQ420" s="1"/>
      <c r="BR420" s="1"/>
      <c r="BS420" s="1"/>
      <c r="BT420" s="1"/>
      <c r="BU420" s="4"/>
    </row>
    <row r="421">
      <c r="A421" s="1"/>
      <c r="M421" s="1"/>
      <c r="Y421" s="1"/>
      <c r="AK421" s="1"/>
      <c r="AQ421" s="1"/>
      <c r="AW421" s="1"/>
      <c r="BC421" s="1"/>
      <c r="BD421" s="1"/>
      <c r="BE421" s="1"/>
      <c r="BF421" s="1"/>
      <c r="BG421" s="1"/>
      <c r="BH421" s="1"/>
      <c r="BI421" s="1"/>
      <c r="BO421" s="1"/>
      <c r="BP421" s="1"/>
      <c r="BQ421" s="1"/>
      <c r="BR421" s="1"/>
      <c r="BS421" s="1"/>
      <c r="BT421" s="1"/>
      <c r="BU421" s="4"/>
    </row>
    <row r="422">
      <c r="A422" s="1"/>
      <c r="M422" s="1"/>
      <c r="Y422" s="1"/>
      <c r="AK422" s="1"/>
      <c r="AQ422" s="1"/>
      <c r="AW422" s="1"/>
      <c r="BC422" s="1"/>
      <c r="BD422" s="1"/>
      <c r="BE422" s="1"/>
      <c r="BF422" s="1"/>
      <c r="BG422" s="1"/>
      <c r="BH422" s="1"/>
      <c r="BI422" s="1"/>
      <c r="BO422" s="1"/>
      <c r="BP422" s="1"/>
      <c r="BQ422" s="1"/>
      <c r="BR422" s="1"/>
      <c r="BS422" s="1"/>
      <c r="BT422" s="1"/>
      <c r="BU422" s="4"/>
    </row>
    <row r="423">
      <c r="A423" s="1"/>
      <c r="M423" s="1"/>
      <c r="Y423" s="1"/>
      <c r="AK423" s="1"/>
      <c r="AQ423" s="1"/>
      <c r="AW423" s="1"/>
      <c r="BC423" s="1"/>
      <c r="BD423" s="1"/>
      <c r="BE423" s="1"/>
      <c r="BF423" s="1"/>
      <c r="BG423" s="1"/>
      <c r="BH423" s="1"/>
      <c r="BI423" s="1"/>
      <c r="BO423" s="1"/>
      <c r="BP423" s="1"/>
      <c r="BQ423" s="1"/>
      <c r="BR423" s="1"/>
      <c r="BS423" s="1"/>
      <c r="BT423" s="1"/>
      <c r="BU423" s="4"/>
    </row>
    <row r="424">
      <c r="A424" s="1"/>
      <c r="M424" s="1"/>
      <c r="Y424" s="1"/>
      <c r="AK424" s="1"/>
      <c r="AQ424" s="1"/>
      <c r="AW424" s="1"/>
      <c r="BC424" s="1"/>
      <c r="BD424" s="1"/>
      <c r="BE424" s="1"/>
      <c r="BF424" s="1"/>
      <c r="BG424" s="1"/>
      <c r="BH424" s="1"/>
      <c r="BI424" s="1"/>
      <c r="BO424" s="1"/>
      <c r="BP424" s="1"/>
      <c r="BQ424" s="1"/>
      <c r="BR424" s="1"/>
      <c r="BS424" s="1"/>
      <c r="BT424" s="1"/>
      <c r="BU424" s="4"/>
    </row>
    <row r="425">
      <c r="A425" s="1"/>
      <c r="M425" s="1"/>
      <c r="Y425" s="1"/>
      <c r="AK425" s="1"/>
      <c r="AQ425" s="1"/>
      <c r="AW425" s="1"/>
      <c r="BC425" s="1"/>
      <c r="BD425" s="1"/>
      <c r="BE425" s="1"/>
      <c r="BF425" s="1"/>
      <c r="BG425" s="1"/>
      <c r="BH425" s="1"/>
      <c r="BI425" s="1"/>
      <c r="BO425" s="1"/>
      <c r="BP425" s="1"/>
      <c r="BQ425" s="1"/>
      <c r="BR425" s="1"/>
      <c r="BS425" s="1"/>
      <c r="BT425" s="1"/>
      <c r="BU425" s="4"/>
    </row>
    <row r="426">
      <c r="A426" s="1"/>
      <c r="M426" s="1"/>
      <c r="Y426" s="1"/>
      <c r="AK426" s="1"/>
      <c r="AQ426" s="1"/>
      <c r="AW426" s="1"/>
      <c r="BC426" s="1"/>
      <c r="BD426" s="1"/>
      <c r="BE426" s="1"/>
      <c r="BF426" s="1"/>
      <c r="BG426" s="1"/>
      <c r="BH426" s="1"/>
      <c r="BI426" s="1"/>
      <c r="BO426" s="1"/>
      <c r="BP426" s="1"/>
      <c r="BQ426" s="1"/>
      <c r="BR426" s="1"/>
      <c r="BS426" s="1"/>
      <c r="BT426" s="1"/>
      <c r="BU426" s="4"/>
    </row>
    <row r="427">
      <c r="A427" s="1"/>
      <c r="M427" s="1"/>
      <c r="Y427" s="1"/>
      <c r="AK427" s="1"/>
      <c r="AQ427" s="1"/>
      <c r="AW427" s="1"/>
      <c r="BC427" s="1"/>
      <c r="BD427" s="1"/>
      <c r="BE427" s="1"/>
      <c r="BF427" s="1"/>
      <c r="BG427" s="1"/>
      <c r="BH427" s="1"/>
      <c r="BI427" s="1"/>
      <c r="BO427" s="1"/>
      <c r="BP427" s="1"/>
      <c r="BQ427" s="1"/>
      <c r="BR427" s="1"/>
      <c r="BS427" s="1"/>
      <c r="BT427" s="1"/>
      <c r="BU427" s="4"/>
    </row>
    <row r="428">
      <c r="A428" s="1"/>
      <c r="M428" s="1"/>
      <c r="Y428" s="1"/>
      <c r="AK428" s="1"/>
      <c r="AQ428" s="1"/>
      <c r="AW428" s="1"/>
      <c r="BC428" s="1"/>
      <c r="BD428" s="1"/>
      <c r="BE428" s="1"/>
      <c r="BF428" s="1"/>
      <c r="BG428" s="1"/>
      <c r="BH428" s="1"/>
      <c r="BI428" s="1"/>
      <c r="BO428" s="1"/>
      <c r="BP428" s="1"/>
      <c r="BQ428" s="1"/>
      <c r="BR428" s="1"/>
      <c r="BS428" s="1"/>
      <c r="BT428" s="1"/>
      <c r="BU428" s="4"/>
    </row>
    <row r="429">
      <c r="A429" s="1"/>
      <c r="M429" s="1"/>
      <c r="Y429" s="1"/>
      <c r="AK429" s="1"/>
      <c r="AQ429" s="1"/>
      <c r="AW429" s="1"/>
      <c r="BC429" s="1"/>
      <c r="BD429" s="1"/>
      <c r="BE429" s="1"/>
      <c r="BF429" s="1"/>
      <c r="BG429" s="1"/>
      <c r="BH429" s="1"/>
      <c r="BI429" s="1"/>
      <c r="BO429" s="1"/>
      <c r="BP429" s="1"/>
      <c r="BQ429" s="1"/>
      <c r="BR429" s="1"/>
      <c r="BS429" s="1"/>
      <c r="BT429" s="1"/>
      <c r="BU429" s="4"/>
    </row>
    <row r="430">
      <c r="A430" s="1"/>
      <c r="M430" s="1"/>
      <c r="Y430" s="1"/>
      <c r="AK430" s="1"/>
      <c r="AQ430" s="1"/>
      <c r="AW430" s="1"/>
      <c r="BC430" s="1"/>
      <c r="BD430" s="1"/>
      <c r="BE430" s="1"/>
      <c r="BF430" s="1"/>
      <c r="BG430" s="1"/>
      <c r="BH430" s="1"/>
      <c r="BI430" s="1"/>
      <c r="BO430" s="1"/>
      <c r="BP430" s="1"/>
      <c r="BQ430" s="1"/>
      <c r="BR430" s="1"/>
      <c r="BS430" s="1"/>
      <c r="BT430" s="1"/>
      <c r="BU430" s="4"/>
    </row>
    <row r="431">
      <c r="A431" s="1"/>
      <c r="M431" s="1"/>
      <c r="Y431" s="1"/>
      <c r="AK431" s="1"/>
      <c r="AQ431" s="1"/>
      <c r="AW431" s="1"/>
      <c r="BC431" s="1"/>
      <c r="BD431" s="1"/>
      <c r="BE431" s="1"/>
      <c r="BF431" s="1"/>
      <c r="BG431" s="1"/>
      <c r="BH431" s="1"/>
      <c r="BI431" s="1"/>
      <c r="BO431" s="1"/>
      <c r="BP431" s="1"/>
      <c r="BQ431" s="1"/>
      <c r="BR431" s="1"/>
      <c r="BS431" s="1"/>
      <c r="BT431" s="1"/>
      <c r="BU431" s="4"/>
    </row>
    <row r="432">
      <c r="A432" s="1"/>
      <c r="M432" s="1"/>
      <c r="Y432" s="1"/>
      <c r="AK432" s="1"/>
      <c r="AQ432" s="1"/>
      <c r="AW432" s="1"/>
      <c r="BC432" s="1"/>
      <c r="BD432" s="1"/>
      <c r="BE432" s="1"/>
      <c r="BF432" s="1"/>
      <c r="BG432" s="1"/>
      <c r="BH432" s="1"/>
      <c r="BI432" s="1"/>
      <c r="BO432" s="1"/>
      <c r="BP432" s="1"/>
      <c r="BQ432" s="1"/>
      <c r="BR432" s="1"/>
      <c r="BS432" s="1"/>
      <c r="BT432" s="1"/>
      <c r="BU432" s="4"/>
    </row>
    <row r="433">
      <c r="A433" s="1"/>
      <c r="M433" s="1"/>
      <c r="Y433" s="1"/>
      <c r="AK433" s="1"/>
      <c r="AQ433" s="1"/>
      <c r="AW433" s="1"/>
      <c r="BC433" s="1"/>
      <c r="BD433" s="1"/>
      <c r="BE433" s="1"/>
      <c r="BF433" s="1"/>
      <c r="BG433" s="1"/>
      <c r="BH433" s="1"/>
      <c r="BI433" s="1"/>
      <c r="BO433" s="1"/>
      <c r="BP433" s="1"/>
      <c r="BQ433" s="1"/>
      <c r="BR433" s="1"/>
      <c r="BS433" s="1"/>
      <c r="BT433" s="1"/>
      <c r="BU433" s="4"/>
    </row>
    <row r="434">
      <c r="A434" s="1"/>
      <c r="M434" s="1"/>
      <c r="Y434" s="1"/>
      <c r="AK434" s="1"/>
      <c r="AQ434" s="1"/>
      <c r="AW434" s="1"/>
      <c r="BC434" s="1"/>
      <c r="BD434" s="1"/>
      <c r="BE434" s="1"/>
      <c r="BF434" s="1"/>
      <c r="BG434" s="1"/>
      <c r="BH434" s="1"/>
      <c r="BI434" s="1"/>
      <c r="BO434" s="1"/>
      <c r="BP434" s="1"/>
      <c r="BQ434" s="1"/>
      <c r="BR434" s="1"/>
      <c r="BS434" s="1"/>
      <c r="BT434" s="1"/>
      <c r="BU434" s="4"/>
    </row>
    <row r="435">
      <c r="A435" s="1"/>
      <c r="M435" s="1"/>
      <c r="Y435" s="1"/>
      <c r="AK435" s="1"/>
      <c r="AQ435" s="1"/>
      <c r="AW435" s="1"/>
      <c r="BC435" s="1"/>
      <c r="BD435" s="1"/>
      <c r="BE435" s="1"/>
      <c r="BF435" s="1"/>
      <c r="BG435" s="1"/>
      <c r="BH435" s="1"/>
      <c r="BI435" s="1"/>
      <c r="BO435" s="1"/>
      <c r="BP435" s="1"/>
      <c r="BQ435" s="1"/>
      <c r="BR435" s="1"/>
      <c r="BS435" s="1"/>
      <c r="BT435" s="1"/>
      <c r="BU435" s="4"/>
    </row>
    <row r="436">
      <c r="A436" s="1"/>
      <c r="M436" s="1"/>
      <c r="Y436" s="1"/>
      <c r="AK436" s="1"/>
      <c r="AQ436" s="1"/>
      <c r="AW436" s="1"/>
      <c r="BC436" s="1"/>
      <c r="BD436" s="1"/>
      <c r="BE436" s="1"/>
      <c r="BF436" s="1"/>
      <c r="BG436" s="1"/>
      <c r="BH436" s="1"/>
      <c r="BI436" s="1"/>
      <c r="BO436" s="1"/>
      <c r="BP436" s="1"/>
      <c r="BQ436" s="1"/>
      <c r="BR436" s="1"/>
      <c r="BS436" s="1"/>
      <c r="BT436" s="1"/>
      <c r="BU436" s="4"/>
    </row>
    <row r="437">
      <c r="A437" s="1"/>
      <c r="M437" s="1"/>
      <c r="Y437" s="1"/>
      <c r="AK437" s="1"/>
      <c r="AQ437" s="1"/>
      <c r="AW437" s="1"/>
      <c r="BC437" s="1"/>
      <c r="BD437" s="1"/>
      <c r="BE437" s="1"/>
      <c r="BF437" s="1"/>
      <c r="BG437" s="1"/>
      <c r="BH437" s="1"/>
      <c r="BI437" s="1"/>
      <c r="BO437" s="1"/>
      <c r="BP437" s="1"/>
      <c r="BQ437" s="1"/>
      <c r="BR437" s="1"/>
      <c r="BS437" s="1"/>
      <c r="BT437" s="1"/>
      <c r="BU437" s="4"/>
    </row>
    <row r="438">
      <c r="A438" s="1"/>
      <c r="M438" s="1"/>
      <c r="Y438" s="1"/>
      <c r="AK438" s="1"/>
      <c r="AQ438" s="1"/>
      <c r="AW438" s="1"/>
      <c r="BC438" s="1"/>
      <c r="BD438" s="1"/>
      <c r="BE438" s="1"/>
      <c r="BF438" s="1"/>
      <c r="BG438" s="1"/>
      <c r="BH438" s="1"/>
      <c r="BI438" s="1"/>
      <c r="BO438" s="1"/>
      <c r="BP438" s="1"/>
      <c r="BQ438" s="1"/>
      <c r="BR438" s="1"/>
      <c r="BS438" s="1"/>
      <c r="BT438" s="1"/>
      <c r="BU438" s="4"/>
    </row>
    <row r="439">
      <c r="A439" s="1"/>
      <c r="M439" s="1"/>
      <c r="Y439" s="1"/>
      <c r="AK439" s="1"/>
      <c r="AQ439" s="1"/>
      <c r="AW439" s="1"/>
      <c r="BC439" s="1"/>
      <c r="BD439" s="1"/>
      <c r="BE439" s="1"/>
      <c r="BF439" s="1"/>
      <c r="BG439" s="1"/>
      <c r="BH439" s="1"/>
      <c r="BI439" s="1"/>
      <c r="BO439" s="1"/>
      <c r="BP439" s="1"/>
      <c r="BQ439" s="1"/>
      <c r="BR439" s="1"/>
      <c r="BS439" s="1"/>
      <c r="BT439" s="1"/>
      <c r="BU439" s="4"/>
    </row>
    <row r="440">
      <c r="A440" s="1"/>
      <c r="M440" s="1"/>
      <c r="Y440" s="1"/>
      <c r="AK440" s="1"/>
      <c r="AQ440" s="1"/>
      <c r="AW440" s="1"/>
      <c r="BC440" s="1"/>
      <c r="BD440" s="1"/>
      <c r="BE440" s="1"/>
      <c r="BF440" s="1"/>
      <c r="BG440" s="1"/>
      <c r="BH440" s="1"/>
      <c r="BI440" s="1"/>
      <c r="BO440" s="1"/>
      <c r="BP440" s="1"/>
      <c r="BQ440" s="1"/>
      <c r="BR440" s="1"/>
      <c r="BS440" s="1"/>
      <c r="BT440" s="1"/>
      <c r="BU440" s="4"/>
    </row>
    <row r="441">
      <c r="A441" s="1"/>
      <c r="M441" s="1"/>
      <c r="Y441" s="1"/>
      <c r="AK441" s="1"/>
      <c r="AQ441" s="1"/>
      <c r="AW441" s="1"/>
      <c r="BC441" s="1"/>
      <c r="BD441" s="1"/>
      <c r="BE441" s="1"/>
      <c r="BF441" s="1"/>
      <c r="BG441" s="1"/>
      <c r="BH441" s="1"/>
      <c r="BI441" s="1"/>
      <c r="BO441" s="1"/>
      <c r="BP441" s="1"/>
      <c r="BQ441" s="1"/>
      <c r="BR441" s="1"/>
      <c r="BS441" s="1"/>
      <c r="BT441" s="1"/>
      <c r="BU441" s="4"/>
    </row>
    <row r="442">
      <c r="A442" s="1"/>
      <c r="M442" s="1"/>
      <c r="Y442" s="1"/>
      <c r="AK442" s="1"/>
      <c r="AQ442" s="1"/>
      <c r="AW442" s="1"/>
      <c r="BC442" s="1"/>
      <c r="BD442" s="1"/>
      <c r="BE442" s="1"/>
      <c r="BF442" s="1"/>
      <c r="BG442" s="1"/>
      <c r="BH442" s="1"/>
      <c r="BI442" s="1"/>
      <c r="BO442" s="1"/>
      <c r="BP442" s="1"/>
      <c r="BQ442" s="1"/>
      <c r="BR442" s="1"/>
      <c r="BS442" s="1"/>
      <c r="BT442" s="1"/>
      <c r="BU442" s="4"/>
    </row>
    <row r="443">
      <c r="A443" s="1"/>
      <c r="M443" s="1"/>
      <c r="Y443" s="1"/>
      <c r="AK443" s="1"/>
      <c r="AQ443" s="1"/>
      <c r="AW443" s="1"/>
      <c r="BC443" s="1"/>
      <c r="BD443" s="1"/>
      <c r="BE443" s="1"/>
      <c r="BF443" s="1"/>
      <c r="BG443" s="1"/>
      <c r="BH443" s="1"/>
      <c r="BI443" s="1"/>
      <c r="BO443" s="1"/>
      <c r="BP443" s="1"/>
      <c r="BQ443" s="1"/>
      <c r="BR443" s="1"/>
      <c r="BS443" s="1"/>
      <c r="BT443" s="1"/>
      <c r="BU443" s="4"/>
    </row>
    <row r="444">
      <c r="A444" s="1"/>
      <c r="M444" s="1"/>
      <c r="Y444" s="1"/>
      <c r="AK444" s="1"/>
      <c r="AQ444" s="1"/>
      <c r="AW444" s="1"/>
      <c r="BC444" s="1"/>
      <c r="BD444" s="1"/>
      <c r="BE444" s="1"/>
      <c r="BF444" s="1"/>
      <c r="BG444" s="1"/>
      <c r="BH444" s="1"/>
      <c r="BI444" s="1"/>
      <c r="BO444" s="1"/>
      <c r="BP444" s="1"/>
      <c r="BQ444" s="1"/>
      <c r="BR444" s="1"/>
      <c r="BS444" s="1"/>
      <c r="BT444" s="1"/>
      <c r="BU444" s="4"/>
    </row>
    <row r="445">
      <c r="A445" s="1"/>
      <c r="M445" s="1"/>
      <c r="Y445" s="1"/>
      <c r="AK445" s="1"/>
      <c r="AQ445" s="1"/>
      <c r="AW445" s="1"/>
      <c r="BC445" s="1"/>
      <c r="BD445" s="1"/>
      <c r="BE445" s="1"/>
      <c r="BF445" s="1"/>
      <c r="BG445" s="1"/>
      <c r="BH445" s="1"/>
      <c r="BI445" s="1"/>
      <c r="BO445" s="1"/>
      <c r="BP445" s="1"/>
      <c r="BQ445" s="1"/>
      <c r="BR445" s="1"/>
      <c r="BS445" s="1"/>
      <c r="BT445" s="1"/>
      <c r="BU445" s="4"/>
    </row>
    <row r="446">
      <c r="A446" s="1"/>
      <c r="M446" s="1"/>
      <c r="Y446" s="1"/>
      <c r="AK446" s="1"/>
      <c r="AQ446" s="1"/>
      <c r="AW446" s="1"/>
      <c r="BC446" s="1"/>
      <c r="BD446" s="1"/>
      <c r="BE446" s="1"/>
      <c r="BF446" s="1"/>
      <c r="BG446" s="1"/>
      <c r="BH446" s="1"/>
      <c r="BI446" s="1"/>
      <c r="BO446" s="1"/>
      <c r="BP446" s="1"/>
      <c r="BQ446" s="1"/>
      <c r="BR446" s="1"/>
      <c r="BS446" s="1"/>
      <c r="BT446" s="1"/>
      <c r="BU446" s="4"/>
    </row>
    <row r="447">
      <c r="A447" s="1"/>
      <c r="M447" s="1"/>
      <c r="Y447" s="1"/>
      <c r="AK447" s="1"/>
      <c r="AQ447" s="1"/>
      <c r="AW447" s="1"/>
      <c r="BC447" s="1"/>
      <c r="BD447" s="1"/>
      <c r="BE447" s="1"/>
      <c r="BF447" s="1"/>
      <c r="BG447" s="1"/>
      <c r="BH447" s="1"/>
      <c r="BI447" s="1"/>
      <c r="BO447" s="1"/>
      <c r="BP447" s="1"/>
      <c r="BQ447" s="1"/>
      <c r="BR447" s="1"/>
      <c r="BS447" s="1"/>
      <c r="BT447" s="1"/>
      <c r="BU447" s="4"/>
    </row>
    <row r="448">
      <c r="A448" s="1"/>
      <c r="M448" s="1"/>
      <c r="Y448" s="1"/>
      <c r="AK448" s="1"/>
      <c r="AQ448" s="1"/>
      <c r="AW448" s="1"/>
      <c r="BC448" s="1"/>
      <c r="BD448" s="1"/>
      <c r="BE448" s="1"/>
      <c r="BF448" s="1"/>
      <c r="BG448" s="1"/>
      <c r="BH448" s="1"/>
      <c r="BI448" s="1"/>
      <c r="BO448" s="1"/>
      <c r="BP448" s="1"/>
      <c r="BQ448" s="1"/>
      <c r="BR448" s="1"/>
      <c r="BS448" s="1"/>
      <c r="BT448" s="1"/>
      <c r="BU448" s="4"/>
    </row>
    <row r="449">
      <c r="A449" s="1"/>
      <c r="M449" s="1"/>
      <c r="Y449" s="1"/>
      <c r="AK449" s="1"/>
      <c r="AQ449" s="1"/>
      <c r="AW449" s="1"/>
      <c r="BC449" s="1"/>
      <c r="BD449" s="1"/>
      <c r="BE449" s="1"/>
      <c r="BF449" s="1"/>
      <c r="BG449" s="1"/>
      <c r="BH449" s="1"/>
      <c r="BI449" s="1"/>
      <c r="BO449" s="1"/>
      <c r="BP449" s="1"/>
      <c r="BQ449" s="1"/>
      <c r="BR449" s="1"/>
      <c r="BS449" s="1"/>
      <c r="BT449" s="1"/>
      <c r="BU449" s="4"/>
    </row>
    <row r="450">
      <c r="A450" s="1"/>
      <c r="M450" s="1"/>
      <c r="Y450" s="1"/>
      <c r="AK450" s="1"/>
      <c r="AQ450" s="1"/>
      <c r="AW450" s="1"/>
      <c r="BC450" s="1"/>
      <c r="BD450" s="1"/>
      <c r="BE450" s="1"/>
      <c r="BF450" s="1"/>
      <c r="BG450" s="1"/>
      <c r="BH450" s="1"/>
      <c r="BI450" s="1"/>
      <c r="BO450" s="1"/>
      <c r="BP450" s="1"/>
      <c r="BQ450" s="1"/>
      <c r="BR450" s="1"/>
      <c r="BS450" s="1"/>
      <c r="BT450" s="1"/>
      <c r="BU450" s="4"/>
    </row>
    <row r="451">
      <c r="A451" s="1"/>
      <c r="M451" s="1"/>
      <c r="Y451" s="1"/>
      <c r="AK451" s="1"/>
      <c r="AQ451" s="1"/>
      <c r="AW451" s="1"/>
      <c r="BC451" s="1"/>
      <c r="BD451" s="1"/>
      <c r="BE451" s="1"/>
      <c r="BF451" s="1"/>
      <c r="BG451" s="1"/>
      <c r="BH451" s="1"/>
      <c r="BI451" s="1"/>
      <c r="BO451" s="1"/>
      <c r="BP451" s="1"/>
      <c r="BQ451" s="1"/>
      <c r="BR451" s="1"/>
      <c r="BS451" s="1"/>
      <c r="BT451" s="1"/>
      <c r="BU451" s="4"/>
    </row>
    <row r="452">
      <c r="A452" s="1"/>
      <c r="M452" s="1"/>
      <c r="Y452" s="1"/>
      <c r="AK452" s="1"/>
      <c r="AQ452" s="1"/>
      <c r="AW452" s="1"/>
      <c r="BC452" s="1"/>
      <c r="BD452" s="1"/>
      <c r="BE452" s="1"/>
      <c r="BF452" s="1"/>
      <c r="BG452" s="1"/>
      <c r="BH452" s="1"/>
      <c r="BI452" s="1"/>
      <c r="BO452" s="1"/>
      <c r="BP452" s="1"/>
      <c r="BQ452" s="1"/>
      <c r="BR452" s="1"/>
      <c r="BS452" s="1"/>
      <c r="BT452" s="1"/>
      <c r="BU452" s="4"/>
    </row>
    <row r="453">
      <c r="A453" s="1"/>
      <c r="M453" s="1"/>
      <c r="Y453" s="1"/>
      <c r="AK453" s="1"/>
      <c r="AQ453" s="1"/>
      <c r="AW453" s="1"/>
      <c r="BC453" s="1"/>
      <c r="BD453" s="1"/>
      <c r="BE453" s="1"/>
      <c r="BF453" s="1"/>
      <c r="BG453" s="1"/>
      <c r="BH453" s="1"/>
      <c r="BI453" s="1"/>
      <c r="BO453" s="1"/>
      <c r="BP453" s="1"/>
      <c r="BQ453" s="1"/>
      <c r="BR453" s="1"/>
      <c r="BS453" s="1"/>
      <c r="BT453" s="1"/>
      <c r="BU453" s="4"/>
    </row>
    <row r="454">
      <c r="A454" s="1"/>
      <c r="M454" s="1"/>
      <c r="Y454" s="1"/>
      <c r="AK454" s="1"/>
      <c r="AQ454" s="1"/>
      <c r="AW454" s="1"/>
      <c r="BC454" s="1"/>
      <c r="BD454" s="1"/>
      <c r="BE454" s="1"/>
      <c r="BF454" s="1"/>
      <c r="BG454" s="1"/>
      <c r="BH454" s="1"/>
      <c r="BI454" s="1"/>
      <c r="BO454" s="1"/>
      <c r="BP454" s="1"/>
      <c r="BQ454" s="1"/>
      <c r="BR454" s="1"/>
      <c r="BS454" s="1"/>
      <c r="BT454" s="1"/>
      <c r="BU454" s="4"/>
    </row>
    <row r="455">
      <c r="A455" s="1"/>
      <c r="M455" s="1"/>
      <c r="Y455" s="1"/>
      <c r="AK455" s="1"/>
      <c r="AQ455" s="1"/>
      <c r="AW455" s="1"/>
      <c r="BC455" s="1"/>
      <c r="BD455" s="1"/>
      <c r="BE455" s="1"/>
      <c r="BF455" s="1"/>
      <c r="BG455" s="1"/>
      <c r="BH455" s="1"/>
      <c r="BI455" s="1"/>
      <c r="BO455" s="1"/>
      <c r="BP455" s="1"/>
      <c r="BQ455" s="1"/>
      <c r="BR455" s="1"/>
      <c r="BS455" s="1"/>
      <c r="BT455" s="1"/>
      <c r="BU455" s="4"/>
    </row>
    <row r="456">
      <c r="A456" s="1"/>
      <c r="M456" s="1"/>
      <c r="Y456" s="1"/>
      <c r="AK456" s="1"/>
      <c r="AQ456" s="1"/>
      <c r="AW456" s="1"/>
      <c r="BC456" s="1"/>
      <c r="BD456" s="1"/>
      <c r="BE456" s="1"/>
      <c r="BF456" s="1"/>
      <c r="BG456" s="1"/>
      <c r="BH456" s="1"/>
      <c r="BI456" s="1"/>
      <c r="BO456" s="1"/>
      <c r="BP456" s="1"/>
      <c r="BQ456" s="1"/>
      <c r="BR456" s="1"/>
      <c r="BS456" s="1"/>
      <c r="BT456" s="1"/>
      <c r="BU456" s="4"/>
    </row>
    <row r="457">
      <c r="A457" s="1"/>
      <c r="M457" s="1"/>
      <c r="Y457" s="1"/>
      <c r="AK457" s="1"/>
      <c r="AQ457" s="1"/>
      <c r="AW457" s="1"/>
      <c r="BC457" s="1"/>
      <c r="BD457" s="1"/>
      <c r="BE457" s="1"/>
      <c r="BF457" s="1"/>
      <c r="BG457" s="1"/>
      <c r="BH457" s="1"/>
      <c r="BI457" s="1"/>
      <c r="BO457" s="1"/>
      <c r="BP457" s="1"/>
      <c r="BQ457" s="1"/>
      <c r="BR457" s="1"/>
      <c r="BS457" s="1"/>
      <c r="BT457" s="1"/>
      <c r="BU457" s="4"/>
    </row>
    <row r="458">
      <c r="A458" s="1"/>
      <c r="M458" s="1"/>
      <c r="Y458" s="1"/>
      <c r="AK458" s="1"/>
      <c r="AQ458" s="1"/>
      <c r="AW458" s="1"/>
      <c r="BC458" s="1"/>
      <c r="BD458" s="1"/>
      <c r="BE458" s="1"/>
      <c r="BF458" s="1"/>
      <c r="BG458" s="1"/>
      <c r="BH458" s="1"/>
      <c r="BI458" s="1"/>
      <c r="BO458" s="1"/>
      <c r="BP458" s="1"/>
      <c r="BQ458" s="1"/>
      <c r="BR458" s="1"/>
      <c r="BS458" s="1"/>
      <c r="BT458" s="1"/>
      <c r="BU458" s="4"/>
    </row>
    <row r="459">
      <c r="A459" s="1"/>
      <c r="M459" s="1"/>
      <c r="Y459" s="1"/>
      <c r="AK459" s="1"/>
      <c r="AQ459" s="1"/>
      <c r="AW459" s="1"/>
      <c r="BC459" s="1"/>
      <c r="BD459" s="1"/>
      <c r="BE459" s="1"/>
      <c r="BF459" s="1"/>
      <c r="BG459" s="1"/>
      <c r="BH459" s="1"/>
      <c r="BI459" s="1"/>
      <c r="BO459" s="1"/>
      <c r="BP459" s="1"/>
      <c r="BQ459" s="1"/>
      <c r="BR459" s="1"/>
      <c r="BS459" s="1"/>
      <c r="BT459" s="1"/>
      <c r="BU459" s="4"/>
    </row>
    <row r="460">
      <c r="A460" s="1"/>
      <c r="M460" s="1"/>
      <c r="Y460" s="1"/>
      <c r="AK460" s="1"/>
      <c r="AQ460" s="1"/>
      <c r="AW460" s="1"/>
      <c r="BC460" s="1"/>
      <c r="BD460" s="1"/>
      <c r="BE460" s="1"/>
      <c r="BF460" s="1"/>
      <c r="BG460" s="1"/>
      <c r="BH460" s="1"/>
      <c r="BI460" s="1"/>
      <c r="BO460" s="1"/>
      <c r="BP460" s="1"/>
      <c r="BQ460" s="1"/>
      <c r="BR460" s="1"/>
      <c r="BS460" s="1"/>
      <c r="BT460" s="1"/>
      <c r="BU460" s="4"/>
    </row>
    <row r="461">
      <c r="A461" s="1"/>
      <c r="M461" s="1"/>
      <c r="Y461" s="1"/>
      <c r="AK461" s="1"/>
      <c r="AQ461" s="1"/>
      <c r="AW461" s="1"/>
      <c r="BC461" s="1"/>
      <c r="BD461" s="1"/>
      <c r="BE461" s="1"/>
      <c r="BF461" s="1"/>
      <c r="BG461" s="1"/>
      <c r="BH461" s="1"/>
      <c r="BI461" s="1"/>
      <c r="BO461" s="1"/>
      <c r="BP461" s="1"/>
      <c r="BQ461" s="1"/>
      <c r="BR461" s="1"/>
      <c r="BS461" s="1"/>
      <c r="BT461" s="1"/>
      <c r="BU461" s="4"/>
    </row>
    <row r="462">
      <c r="A462" s="1"/>
      <c r="M462" s="1"/>
      <c r="Y462" s="1"/>
      <c r="AK462" s="1"/>
      <c r="AQ462" s="1"/>
      <c r="AW462" s="1"/>
      <c r="BC462" s="1"/>
      <c r="BD462" s="1"/>
      <c r="BE462" s="1"/>
      <c r="BF462" s="1"/>
      <c r="BG462" s="1"/>
      <c r="BH462" s="1"/>
      <c r="BI462" s="1"/>
      <c r="BO462" s="1"/>
      <c r="BP462" s="1"/>
      <c r="BQ462" s="1"/>
      <c r="BR462" s="1"/>
      <c r="BS462" s="1"/>
      <c r="BT462" s="1"/>
      <c r="BU462" s="4"/>
    </row>
    <row r="463">
      <c r="A463" s="1"/>
      <c r="M463" s="1"/>
      <c r="Y463" s="1"/>
      <c r="AK463" s="1"/>
      <c r="AQ463" s="1"/>
      <c r="AW463" s="1"/>
      <c r="BC463" s="1"/>
      <c r="BD463" s="1"/>
      <c r="BE463" s="1"/>
      <c r="BF463" s="1"/>
      <c r="BG463" s="1"/>
      <c r="BH463" s="1"/>
      <c r="BI463" s="1"/>
      <c r="BO463" s="1"/>
      <c r="BP463" s="1"/>
      <c r="BQ463" s="1"/>
      <c r="BR463" s="1"/>
      <c r="BS463" s="1"/>
      <c r="BT463" s="1"/>
      <c r="BU463" s="4"/>
    </row>
    <row r="464">
      <c r="A464" s="1"/>
      <c r="M464" s="1"/>
      <c r="Y464" s="1"/>
      <c r="AK464" s="1"/>
      <c r="AQ464" s="1"/>
      <c r="AW464" s="1"/>
      <c r="BC464" s="1"/>
      <c r="BD464" s="1"/>
      <c r="BE464" s="1"/>
      <c r="BF464" s="1"/>
      <c r="BG464" s="1"/>
      <c r="BH464" s="1"/>
      <c r="BI464" s="1"/>
      <c r="BO464" s="1"/>
      <c r="BP464" s="1"/>
      <c r="BQ464" s="1"/>
      <c r="BR464" s="1"/>
      <c r="BS464" s="1"/>
      <c r="BT464" s="1"/>
      <c r="BU464" s="4"/>
    </row>
    <row r="465">
      <c r="A465" s="1"/>
      <c r="M465" s="1"/>
      <c r="Y465" s="1"/>
      <c r="AK465" s="1"/>
      <c r="AQ465" s="1"/>
      <c r="AW465" s="1"/>
      <c r="BC465" s="1"/>
      <c r="BD465" s="1"/>
      <c r="BE465" s="1"/>
      <c r="BF465" s="1"/>
      <c r="BG465" s="1"/>
      <c r="BH465" s="1"/>
      <c r="BI465" s="1"/>
      <c r="BO465" s="1"/>
      <c r="BP465" s="1"/>
      <c r="BQ465" s="1"/>
      <c r="BR465" s="1"/>
      <c r="BS465" s="1"/>
      <c r="BT465" s="1"/>
      <c r="BU465" s="4"/>
    </row>
    <row r="466">
      <c r="A466" s="1"/>
      <c r="M466" s="1"/>
      <c r="Y466" s="1"/>
      <c r="AK466" s="1"/>
      <c r="AQ466" s="1"/>
      <c r="AW466" s="1"/>
      <c r="BC466" s="1"/>
      <c r="BD466" s="1"/>
      <c r="BE466" s="1"/>
      <c r="BF466" s="1"/>
      <c r="BG466" s="1"/>
      <c r="BH466" s="1"/>
      <c r="BI466" s="1"/>
      <c r="BO466" s="1"/>
      <c r="BP466" s="1"/>
      <c r="BQ466" s="1"/>
      <c r="BR466" s="1"/>
      <c r="BS466" s="1"/>
      <c r="BT466" s="1"/>
      <c r="BU466" s="4"/>
    </row>
    <row r="467">
      <c r="A467" s="1"/>
      <c r="M467" s="1"/>
      <c r="Y467" s="1"/>
      <c r="AK467" s="1"/>
      <c r="AQ467" s="1"/>
      <c r="AW467" s="1"/>
      <c r="BC467" s="1"/>
      <c r="BD467" s="1"/>
      <c r="BE467" s="1"/>
      <c r="BF467" s="1"/>
      <c r="BG467" s="1"/>
      <c r="BH467" s="1"/>
      <c r="BI467" s="1"/>
      <c r="BO467" s="1"/>
      <c r="BP467" s="1"/>
      <c r="BQ467" s="1"/>
      <c r="BR467" s="1"/>
      <c r="BS467" s="1"/>
      <c r="BT467" s="1"/>
      <c r="BU467" s="4"/>
    </row>
    <row r="468">
      <c r="A468" s="1"/>
      <c r="M468" s="1"/>
      <c r="Y468" s="1"/>
      <c r="AK468" s="1"/>
      <c r="AQ468" s="1"/>
      <c r="AW468" s="1"/>
      <c r="BC468" s="1"/>
      <c r="BD468" s="1"/>
      <c r="BE468" s="1"/>
      <c r="BF468" s="1"/>
      <c r="BG468" s="1"/>
      <c r="BH468" s="1"/>
      <c r="BI468" s="1"/>
      <c r="BO468" s="1"/>
      <c r="BP468" s="1"/>
      <c r="BQ468" s="1"/>
      <c r="BR468" s="1"/>
      <c r="BS468" s="1"/>
      <c r="BT468" s="1"/>
      <c r="BU468" s="4"/>
    </row>
    <row r="469">
      <c r="A469" s="1"/>
      <c r="M469" s="1"/>
      <c r="Y469" s="1"/>
      <c r="AK469" s="1"/>
      <c r="AQ469" s="1"/>
      <c r="AW469" s="1"/>
      <c r="BC469" s="1"/>
      <c r="BD469" s="1"/>
      <c r="BE469" s="1"/>
      <c r="BF469" s="1"/>
      <c r="BG469" s="1"/>
      <c r="BH469" s="1"/>
      <c r="BI469" s="1"/>
      <c r="BO469" s="1"/>
      <c r="BP469" s="1"/>
      <c r="BQ469" s="1"/>
      <c r="BR469" s="1"/>
      <c r="BS469" s="1"/>
      <c r="BT469" s="1"/>
      <c r="BU469" s="4"/>
    </row>
    <row r="470">
      <c r="A470" s="1"/>
      <c r="M470" s="1"/>
      <c r="Y470" s="1"/>
      <c r="AK470" s="1"/>
      <c r="AQ470" s="1"/>
      <c r="AW470" s="1"/>
      <c r="BC470" s="1"/>
      <c r="BD470" s="1"/>
      <c r="BE470" s="1"/>
      <c r="BF470" s="1"/>
      <c r="BG470" s="1"/>
      <c r="BH470" s="1"/>
      <c r="BI470" s="1"/>
      <c r="BO470" s="1"/>
      <c r="BP470" s="1"/>
      <c r="BQ470" s="1"/>
      <c r="BR470" s="1"/>
      <c r="BS470" s="1"/>
      <c r="BT470" s="1"/>
      <c r="BU470" s="4"/>
    </row>
    <row r="471">
      <c r="A471" s="1"/>
      <c r="M471" s="1"/>
      <c r="Y471" s="1"/>
      <c r="AK471" s="1"/>
      <c r="AQ471" s="1"/>
      <c r="AW471" s="1"/>
      <c r="BC471" s="1"/>
      <c r="BD471" s="1"/>
      <c r="BE471" s="1"/>
      <c r="BF471" s="1"/>
      <c r="BG471" s="1"/>
      <c r="BH471" s="1"/>
      <c r="BI471" s="1"/>
      <c r="BO471" s="1"/>
      <c r="BP471" s="1"/>
      <c r="BQ471" s="1"/>
      <c r="BR471" s="1"/>
      <c r="BS471" s="1"/>
      <c r="BT471" s="1"/>
      <c r="BU471" s="4"/>
    </row>
    <row r="472">
      <c r="A472" s="1"/>
      <c r="M472" s="1"/>
      <c r="Y472" s="1"/>
      <c r="AK472" s="1"/>
      <c r="AQ472" s="1"/>
      <c r="AW472" s="1"/>
      <c r="BC472" s="1"/>
      <c r="BD472" s="1"/>
      <c r="BE472" s="1"/>
      <c r="BF472" s="1"/>
      <c r="BG472" s="1"/>
      <c r="BH472" s="1"/>
      <c r="BI472" s="1"/>
      <c r="BO472" s="1"/>
      <c r="BP472" s="1"/>
      <c r="BQ472" s="1"/>
      <c r="BR472" s="1"/>
      <c r="BS472" s="1"/>
      <c r="BT472" s="1"/>
      <c r="BU472" s="4"/>
    </row>
    <row r="473">
      <c r="A473" s="1"/>
      <c r="M473" s="1"/>
      <c r="Y473" s="1"/>
      <c r="AK473" s="1"/>
      <c r="AQ473" s="1"/>
      <c r="AW473" s="1"/>
      <c r="BC473" s="1"/>
      <c r="BD473" s="1"/>
      <c r="BE473" s="1"/>
      <c r="BF473" s="1"/>
      <c r="BG473" s="1"/>
      <c r="BH473" s="1"/>
      <c r="BI473" s="1"/>
      <c r="BO473" s="1"/>
      <c r="BP473" s="1"/>
      <c r="BQ473" s="1"/>
      <c r="BR473" s="1"/>
      <c r="BS473" s="1"/>
      <c r="BT473" s="1"/>
      <c r="BU473" s="4"/>
    </row>
    <row r="474">
      <c r="A474" s="1"/>
      <c r="M474" s="1"/>
      <c r="Y474" s="1"/>
      <c r="AK474" s="1"/>
      <c r="AQ474" s="1"/>
      <c r="AW474" s="1"/>
      <c r="BC474" s="1"/>
      <c r="BD474" s="1"/>
      <c r="BE474" s="1"/>
      <c r="BF474" s="1"/>
      <c r="BG474" s="1"/>
      <c r="BH474" s="1"/>
      <c r="BI474" s="1"/>
      <c r="BO474" s="1"/>
      <c r="BP474" s="1"/>
      <c r="BQ474" s="1"/>
      <c r="BR474" s="1"/>
      <c r="BS474" s="1"/>
      <c r="BT474" s="1"/>
      <c r="BU474" s="4"/>
    </row>
    <row r="475">
      <c r="A475" s="1"/>
      <c r="M475" s="1"/>
      <c r="Y475" s="1"/>
      <c r="AK475" s="1"/>
      <c r="AQ475" s="1"/>
      <c r="AW475" s="1"/>
      <c r="BC475" s="1"/>
      <c r="BD475" s="1"/>
      <c r="BE475" s="1"/>
      <c r="BF475" s="1"/>
      <c r="BG475" s="1"/>
      <c r="BH475" s="1"/>
      <c r="BI475" s="1"/>
      <c r="BO475" s="1"/>
      <c r="BP475" s="1"/>
      <c r="BQ475" s="1"/>
      <c r="BR475" s="1"/>
      <c r="BS475" s="1"/>
      <c r="BT475" s="1"/>
      <c r="BU475" s="4"/>
    </row>
    <row r="476">
      <c r="A476" s="1"/>
      <c r="M476" s="1"/>
      <c r="Y476" s="1"/>
      <c r="AK476" s="1"/>
      <c r="AQ476" s="1"/>
      <c r="AW476" s="1"/>
      <c r="BC476" s="1"/>
      <c r="BD476" s="1"/>
      <c r="BE476" s="1"/>
      <c r="BF476" s="1"/>
      <c r="BG476" s="1"/>
      <c r="BH476" s="1"/>
      <c r="BI476" s="1"/>
      <c r="BO476" s="1"/>
      <c r="BP476" s="1"/>
      <c r="BQ476" s="1"/>
      <c r="BR476" s="1"/>
      <c r="BS476" s="1"/>
      <c r="BT476" s="1"/>
      <c r="BU476" s="4"/>
    </row>
    <row r="477">
      <c r="A477" s="1"/>
      <c r="M477" s="1"/>
      <c r="Y477" s="1"/>
      <c r="AK477" s="1"/>
      <c r="AQ477" s="1"/>
      <c r="AW477" s="1"/>
      <c r="BC477" s="1"/>
      <c r="BD477" s="1"/>
      <c r="BE477" s="1"/>
      <c r="BF477" s="1"/>
      <c r="BG477" s="1"/>
      <c r="BH477" s="1"/>
      <c r="BI477" s="1"/>
      <c r="BO477" s="1"/>
      <c r="BP477" s="1"/>
      <c r="BQ477" s="1"/>
      <c r="BR477" s="1"/>
      <c r="BS477" s="1"/>
      <c r="BT477" s="1"/>
      <c r="BU477" s="4"/>
    </row>
    <row r="478">
      <c r="A478" s="1"/>
      <c r="M478" s="1"/>
      <c r="Y478" s="1"/>
      <c r="AK478" s="1"/>
      <c r="AQ478" s="1"/>
      <c r="AW478" s="1"/>
      <c r="BC478" s="1"/>
      <c r="BD478" s="1"/>
      <c r="BE478" s="1"/>
      <c r="BF478" s="1"/>
      <c r="BG478" s="1"/>
      <c r="BH478" s="1"/>
      <c r="BI478" s="1"/>
      <c r="BO478" s="1"/>
      <c r="BP478" s="1"/>
      <c r="BQ478" s="1"/>
      <c r="BR478" s="1"/>
      <c r="BS478" s="1"/>
      <c r="BT478" s="1"/>
      <c r="BU478" s="4"/>
    </row>
    <row r="479">
      <c r="A479" s="1"/>
      <c r="M479" s="1"/>
      <c r="Y479" s="1"/>
      <c r="AK479" s="1"/>
      <c r="AQ479" s="1"/>
      <c r="AW479" s="1"/>
      <c r="BC479" s="1"/>
      <c r="BD479" s="1"/>
      <c r="BE479" s="1"/>
      <c r="BF479" s="1"/>
      <c r="BG479" s="1"/>
      <c r="BH479" s="1"/>
      <c r="BI479" s="1"/>
      <c r="BO479" s="1"/>
      <c r="BP479" s="1"/>
      <c r="BQ479" s="1"/>
      <c r="BR479" s="1"/>
      <c r="BS479" s="1"/>
      <c r="BT479" s="1"/>
      <c r="BU479" s="4"/>
    </row>
    <row r="480">
      <c r="A480" s="1"/>
      <c r="M480" s="1"/>
      <c r="Y480" s="1"/>
      <c r="AK480" s="1"/>
      <c r="AQ480" s="1"/>
      <c r="AW480" s="1"/>
      <c r="BC480" s="1"/>
      <c r="BD480" s="1"/>
      <c r="BE480" s="1"/>
      <c r="BF480" s="1"/>
      <c r="BG480" s="1"/>
      <c r="BH480" s="1"/>
      <c r="BI480" s="1"/>
      <c r="BO480" s="1"/>
      <c r="BP480" s="1"/>
      <c r="BQ480" s="1"/>
      <c r="BR480" s="1"/>
      <c r="BS480" s="1"/>
      <c r="BT480" s="1"/>
      <c r="BU480" s="4"/>
    </row>
    <row r="481">
      <c r="A481" s="1"/>
      <c r="M481" s="1"/>
      <c r="Y481" s="1"/>
      <c r="AK481" s="1"/>
      <c r="AQ481" s="1"/>
      <c r="AW481" s="1"/>
      <c r="BC481" s="1"/>
      <c r="BD481" s="1"/>
      <c r="BE481" s="1"/>
      <c r="BF481" s="1"/>
      <c r="BG481" s="1"/>
      <c r="BH481" s="1"/>
      <c r="BI481" s="1"/>
      <c r="BO481" s="1"/>
      <c r="BP481" s="1"/>
      <c r="BQ481" s="1"/>
      <c r="BR481" s="1"/>
      <c r="BS481" s="1"/>
      <c r="BT481" s="1"/>
      <c r="BU481" s="4"/>
    </row>
    <row r="482">
      <c r="A482" s="1"/>
      <c r="M482" s="1"/>
      <c r="Y482" s="1"/>
      <c r="AK482" s="1"/>
      <c r="AQ482" s="1"/>
      <c r="AW482" s="1"/>
      <c r="BC482" s="1"/>
      <c r="BD482" s="1"/>
      <c r="BE482" s="1"/>
      <c r="BF482" s="1"/>
      <c r="BG482" s="1"/>
      <c r="BH482" s="1"/>
      <c r="BI482" s="1"/>
      <c r="BO482" s="1"/>
      <c r="BP482" s="1"/>
      <c r="BQ482" s="1"/>
      <c r="BR482" s="1"/>
      <c r="BS482" s="1"/>
      <c r="BT482" s="1"/>
      <c r="BU482" s="4"/>
    </row>
    <row r="483">
      <c r="A483" s="1"/>
      <c r="M483" s="1"/>
      <c r="Y483" s="1"/>
      <c r="AK483" s="1"/>
      <c r="AQ483" s="1"/>
      <c r="AW483" s="1"/>
      <c r="BC483" s="1"/>
      <c r="BD483" s="1"/>
      <c r="BE483" s="1"/>
      <c r="BF483" s="1"/>
      <c r="BG483" s="1"/>
      <c r="BH483" s="1"/>
      <c r="BI483" s="1"/>
      <c r="BO483" s="1"/>
      <c r="BP483" s="1"/>
      <c r="BQ483" s="1"/>
      <c r="BR483" s="1"/>
      <c r="BS483" s="1"/>
      <c r="BT483" s="1"/>
      <c r="BU483" s="4"/>
    </row>
    <row r="484">
      <c r="A484" s="1"/>
      <c r="M484" s="1"/>
      <c r="Y484" s="1"/>
      <c r="AK484" s="1"/>
      <c r="AQ484" s="1"/>
      <c r="AW484" s="1"/>
      <c r="BC484" s="1"/>
      <c r="BD484" s="1"/>
      <c r="BE484" s="1"/>
      <c r="BF484" s="1"/>
      <c r="BG484" s="1"/>
      <c r="BH484" s="1"/>
      <c r="BI484" s="1"/>
      <c r="BO484" s="1"/>
      <c r="BP484" s="1"/>
      <c r="BQ484" s="1"/>
      <c r="BR484" s="1"/>
      <c r="BS484" s="1"/>
      <c r="BT484" s="1"/>
      <c r="BU484" s="4"/>
    </row>
    <row r="485">
      <c r="M485" s="1"/>
      <c r="Y485" s="1"/>
      <c r="AK485" s="1"/>
      <c r="AQ485" s="1"/>
      <c r="AW485" s="1"/>
      <c r="BC485" s="1"/>
      <c r="BD485" s="1"/>
      <c r="BE485" s="1"/>
      <c r="BF485" s="1"/>
      <c r="BG485" s="1"/>
      <c r="BH485" s="1"/>
      <c r="BI485" s="1"/>
      <c r="BO485" s="1"/>
      <c r="BP485" s="1"/>
      <c r="BQ485" s="1"/>
      <c r="BR485" s="1"/>
      <c r="BS485" s="1"/>
      <c r="BT485" s="1"/>
      <c r="BU485" s="4"/>
    </row>
    <row r="486">
      <c r="AK486" s="1"/>
      <c r="AQ486" s="1"/>
      <c r="AW486" s="1"/>
      <c r="BC486" s="1"/>
      <c r="BD486" s="1"/>
      <c r="BE486" s="1"/>
      <c r="BF486" s="1"/>
      <c r="BG486" s="1"/>
      <c r="BH486" s="1"/>
      <c r="BI486" s="1"/>
      <c r="BO486" s="1"/>
      <c r="BP486" s="1"/>
      <c r="BQ486" s="1"/>
      <c r="BR486" s="1"/>
      <c r="BS486" s="1"/>
      <c r="BT486" s="1"/>
      <c r="BU486" s="4"/>
    </row>
    <row r="487">
      <c r="AK487" s="1"/>
      <c r="AQ487" s="1"/>
      <c r="AW487" s="1"/>
      <c r="BC487" s="1"/>
      <c r="BD487" s="1"/>
      <c r="BE487" s="1"/>
      <c r="BF487" s="1"/>
      <c r="BG487" s="1"/>
      <c r="BH487" s="1"/>
      <c r="BI487" s="1"/>
      <c r="BO487" s="1"/>
      <c r="BP487" s="1"/>
      <c r="BQ487" s="1"/>
      <c r="BR487" s="1"/>
      <c r="BS487" s="1"/>
      <c r="BT487" s="1"/>
      <c r="BU487" s="4"/>
    </row>
    <row r="488">
      <c r="AK488" s="1"/>
      <c r="AQ488" s="1"/>
      <c r="AW488" s="1"/>
      <c r="BC488" s="1"/>
      <c r="BD488" s="1"/>
      <c r="BE488" s="1"/>
      <c r="BF488" s="1"/>
      <c r="BG488" s="1"/>
      <c r="BH488" s="1"/>
      <c r="BI488" s="1"/>
      <c r="BO488" s="1"/>
      <c r="BP488" s="1"/>
      <c r="BQ488" s="1"/>
      <c r="BR488" s="1"/>
      <c r="BS488" s="1"/>
      <c r="BT488" s="1"/>
      <c r="BU488" s="4"/>
    </row>
    <row r="489">
      <c r="AK489" s="1"/>
      <c r="AQ489" s="1"/>
      <c r="AW489" s="1"/>
      <c r="BC489" s="1"/>
      <c r="BD489" s="1"/>
      <c r="BE489" s="1"/>
      <c r="BF489" s="1"/>
      <c r="BG489" s="1"/>
      <c r="BH489" s="1"/>
      <c r="BI489" s="1"/>
      <c r="BO489" s="1"/>
      <c r="BP489" s="1"/>
      <c r="BQ489" s="1"/>
      <c r="BR489" s="1"/>
      <c r="BS489" s="1"/>
      <c r="BT489" s="1"/>
      <c r="BU489" s="4"/>
    </row>
    <row r="490">
      <c r="AK490" s="1"/>
      <c r="AQ490" s="1"/>
      <c r="AW490" s="1"/>
      <c r="BC490" s="1"/>
      <c r="BD490" s="1"/>
      <c r="BE490" s="1"/>
      <c r="BF490" s="1"/>
      <c r="BG490" s="1"/>
      <c r="BH490" s="1"/>
      <c r="BI490" s="1"/>
      <c r="BO490" s="1"/>
      <c r="BP490" s="1"/>
      <c r="BQ490" s="1"/>
      <c r="BR490" s="1"/>
      <c r="BS490" s="1"/>
      <c r="BT490" s="1"/>
      <c r="BU490" s="4"/>
    </row>
    <row r="491">
      <c r="AK491" s="1"/>
      <c r="AQ491" s="1"/>
      <c r="AW491" s="1"/>
      <c r="BC491" s="1"/>
      <c r="BD491" s="1"/>
      <c r="BE491" s="1"/>
      <c r="BF491" s="1"/>
      <c r="BG491" s="1"/>
      <c r="BH491" s="1"/>
      <c r="BI491" s="1"/>
      <c r="BO491" s="1"/>
      <c r="BP491" s="1"/>
      <c r="BQ491" s="1"/>
      <c r="BR491" s="1"/>
      <c r="BS491" s="1"/>
      <c r="BT491" s="1"/>
      <c r="BU491" s="4"/>
    </row>
    <row r="492">
      <c r="AK492" s="1"/>
      <c r="AQ492" s="1"/>
      <c r="AW492" s="1"/>
      <c r="BC492" s="1"/>
      <c r="BD492" s="1"/>
      <c r="BE492" s="1"/>
      <c r="BF492" s="1"/>
      <c r="BG492" s="1"/>
      <c r="BH492" s="1"/>
      <c r="BI492" s="1"/>
      <c r="BO492" s="1"/>
      <c r="BP492" s="1"/>
      <c r="BQ492" s="1"/>
      <c r="BR492" s="1"/>
      <c r="BS492" s="1"/>
      <c r="BT492" s="1"/>
      <c r="BU492" s="4"/>
    </row>
    <row r="493">
      <c r="AK493" s="1"/>
      <c r="AQ493" s="1"/>
      <c r="AW493" s="1"/>
      <c r="BC493" s="1"/>
      <c r="BD493" s="1"/>
      <c r="BE493" s="1"/>
      <c r="BF493" s="1"/>
      <c r="BG493" s="1"/>
      <c r="BH493" s="1"/>
      <c r="BI493" s="1"/>
      <c r="BO493" s="1"/>
      <c r="BP493" s="1"/>
      <c r="BQ493" s="1"/>
      <c r="BR493" s="1"/>
      <c r="BS493" s="1"/>
      <c r="BT493" s="1"/>
      <c r="BU493" s="4"/>
    </row>
    <row r="494">
      <c r="AK494" s="1"/>
      <c r="AQ494" s="1"/>
      <c r="AW494" s="1"/>
      <c r="BC494" s="1"/>
      <c r="BD494" s="1"/>
      <c r="BE494" s="1"/>
      <c r="BF494" s="1"/>
      <c r="BG494" s="1"/>
      <c r="BH494" s="1"/>
      <c r="BI494" s="1"/>
      <c r="BO494" s="1"/>
      <c r="BP494" s="1"/>
      <c r="BQ494" s="1"/>
      <c r="BR494" s="1"/>
      <c r="BS494" s="1"/>
      <c r="BT494" s="1"/>
      <c r="BU494" s="4"/>
    </row>
    <row r="495">
      <c r="AK495" s="1"/>
      <c r="AQ495" s="1"/>
      <c r="AW495" s="1"/>
      <c r="BC495" s="1"/>
      <c r="BD495" s="1"/>
      <c r="BE495" s="1"/>
      <c r="BF495" s="1"/>
      <c r="BG495" s="1"/>
      <c r="BH495" s="1"/>
      <c r="BI495" s="1"/>
      <c r="BO495" s="1"/>
      <c r="BP495" s="1"/>
      <c r="BQ495" s="1"/>
      <c r="BR495" s="1"/>
      <c r="BS495" s="1"/>
      <c r="BT495" s="1"/>
      <c r="BU495" s="4"/>
    </row>
    <row r="496">
      <c r="AK496" s="1"/>
      <c r="AQ496" s="1"/>
      <c r="AW496" s="1"/>
      <c r="BC496" s="1"/>
      <c r="BD496" s="1"/>
      <c r="BE496" s="1"/>
      <c r="BF496" s="1"/>
      <c r="BG496" s="1"/>
      <c r="BH496" s="1"/>
      <c r="BI496" s="1"/>
      <c r="BO496" s="1"/>
      <c r="BP496" s="1"/>
      <c r="BQ496" s="1"/>
      <c r="BR496" s="1"/>
      <c r="BS496" s="1"/>
      <c r="BT496" s="1"/>
      <c r="BU496" s="4"/>
    </row>
    <row r="497">
      <c r="AK497" s="1"/>
      <c r="AQ497" s="1"/>
      <c r="AW497" s="1"/>
      <c r="BC497" s="1"/>
      <c r="BD497" s="1"/>
      <c r="BE497" s="1"/>
      <c r="BF497" s="1"/>
      <c r="BG497" s="1"/>
      <c r="BH497" s="1"/>
      <c r="BI497" s="1"/>
      <c r="BO497" s="1"/>
      <c r="BP497" s="1"/>
      <c r="BQ497" s="1"/>
      <c r="BR497" s="1"/>
      <c r="BS497" s="1"/>
      <c r="BT497" s="1"/>
      <c r="BU497" s="4"/>
    </row>
    <row r="498">
      <c r="AK498" s="1"/>
      <c r="AQ498" s="1"/>
      <c r="AW498" s="1"/>
      <c r="BC498" s="1"/>
      <c r="BD498" s="1"/>
      <c r="BE498" s="1"/>
      <c r="BF498" s="1"/>
      <c r="BG498" s="1"/>
      <c r="BH498" s="1"/>
      <c r="BI498" s="1"/>
      <c r="BO498" s="1"/>
      <c r="BP498" s="1"/>
      <c r="BQ498" s="1"/>
      <c r="BR498" s="1"/>
      <c r="BS498" s="1"/>
      <c r="BT498" s="1"/>
      <c r="BU498" s="4"/>
    </row>
    <row r="499">
      <c r="AK499" s="1"/>
      <c r="AQ499" s="1"/>
      <c r="AW499" s="1"/>
      <c r="BC499" s="1"/>
      <c r="BD499" s="1"/>
      <c r="BE499" s="1"/>
      <c r="BF499" s="1"/>
      <c r="BG499" s="1"/>
      <c r="BH499" s="1"/>
      <c r="BI499" s="1"/>
      <c r="BO499" s="1"/>
      <c r="BP499" s="1"/>
      <c r="BQ499" s="1"/>
      <c r="BR499" s="1"/>
      <c r="BS499" s="1"/>
      <c r="BT499" s="1"/>
      <c r="BU499" s="4"/>
    </row>
    <row r="500">
      <c r="AK500" s="1"/>
      <c r="AQ500" s="1"/>
      <c r="AW500" s="1"/>
      <c r="BC500" s="1"/>
      <c r="BD500" s="1"/>
      <c r="BE500" s="1"/>
      <c r="BF500" s="1"/>
      <c r="BG500" s="1"/>
      <c r="BH500" s="1"/>
      <c r="BI500" s="1"/>
      <c r="BO500" s="1"/>
      <c r="BP500" s="1"/>
      <c r="BQ500" s="1"/>
      <c r="BR500" s="1"/>
      <c r="BS500" s="1"/>
      <c r="BT500" s="1"/>
      <c r="BU500" s="4"/>
    </row>
    <row r="501">
      <c r="AK501" s="1"/>
      <c r="AQ501" s="1"/>
      <c r="AW501" s="1"/>
      <c r="BC501" s="1"/>
      <c r="BD501" s="1"/>
      <c r="BE501" s="1"/>
      <c r="BF501" s="1"/>
      <c r="BG501" s="1"/>
      <c r="BH501" s="1"/>
      <c r="BI501" s="1"/>
      <c r="BO501" s="1"/>
      <c r="BP501" s="1"/>
      <c r="BQ501" s="1"/>
      <c r="BR501" s="1"/>
      <c r="BS501" s="1"/>
      <c r="BT501" s="1"/>
      <c r="BU501" s="4"/>
    </row>
    <row r="502">
      <c r="AK502" s="1"/>
      <c r="AQ502" s="1"/>
      <c r="AW502" s="1"/>
      <c r="BC502" s="1"/>
      <c r="BD502" s="1"/>
      <c r="BE502" s="1"/>
      <c r="BF502" s="1"/>
      <c r="BG502" s="1"/>
      <c r="BH502" s="1"/>
      <c r="BI502" s="1"/>
      <c r="BO502" s="1"/>
      <c r="BP502" s="1"/>
      <c r="BQ502" s="1"/>
      <c r="BR502" s="1"/>
      <c r="BS502" s="1"/>
      <c r="BT502" s="1"/>
      <c r="BU502" s="4"/>
    </row>
    <row r="503">
      <c r="AK503" s="1"/>
      <c r="AQ503" s="1"/>
      <c r="AW503" s="1"/>
      <c r="BC503" s="1"/>
      <c r="BD503" s="1"/>
      <c r="BE503" s="1"/>
      <c r="BF503" s="1"/>
      <c r="BG503" s="1"/>
      <c r="BH503" s="1"/>
      <c r="BI503" s="1"/>
      <c r="BO503" s="1"/>
      <c r="BP503" s="1"/>
      <c r="BQ503" s="1"/>
      <c r="BR503" s="1"/>
      <c r="BS503" s="1"/>
      <c r="BT503" s="1"/>
      <c r="BU503" s="4"/>
    </row>
    <row r="504">
      <c r="AK504" s="1"/>
      <c r="AQ504" s="1"/>
      <c r="AW504" s="1"/>
      <c r="BC504" s="1"/>
      <c r="BD504" s="1"/>
      <c r="BE504" s="1"/>
      <c r="BF504" s="1"/>
      <c r="BG504" s="1"/>
      <c r="BH504" s="1"/>
      <c r="BI504" s="1"/>
      <c r="BO504" s="1"/>
      <c r="BP504" s="1"/>
      <c r="BQ504" s="1"/>
      <c r="BR504" s="1"/>
      <c r="BS504" s="1"/>
      <c r="BT504" s="1"/>
      <c r="BU504" s="4"/>
    </row>
    <row r="505">
      <c r="AK505" s="1"/>
      <c r="AQ505" s="1"/>
      <c r="AW505" s="1"/>
      <c r="BC505" s="1"/>
      <c r="BD505" s="1"/>
      <c r="BE505" s="1"/>
      <c r="BF505" s="1"/>
      <c r="BG505" s="1"/>
      <c r="BH505" s="1"/>
      <c r="BI505" s="1"/>
      <c r="BO505" s="1"/>
      <c r="BP505" s="1"/>
      <c r="BQ505" s="1"/>
      <c r="BR505" s="1"/>
      <c r="BS505" s="1"/>
      <c r="BT505" s="1"/>
      <c r="BU505" s="4"/>
    </row>
    <row r="506">
      <c r="AK506" s="1"/>
      <c r="AQ506" s="1"/>
      <c r="AW506" s="1"/>
      <c r="BC506" s="1"/>
      <c r="BD506" s="1"/>
      <c r="BE506" s="1"/>
      <c r="BF506" s="1"/>
      <c r="BG506" s="1"/>
      <c r="BH506" s="1"/>
      <c r="BI506" s="1"/>
      <c r="BO506" s="1"/>
      <c r="BP506" s="1"/>
      <c r="BQ506" s="1"/>
      <c r="BR506" s="1"/>
      <c r="BS506" s="1"/>
      <c r="BT506" s="1"/>
      <c r="BU506" s="4"/>
    </row>
    <row r="507">
      <c r="AK507" s="1"/>
      <c r="AQ507" s="1"/>
      <c r="AW507" s="1"/>
      <c r="BC507" s="1"/>
      <c r="BD507" s="1"/>
      <c r="BE507" s="1"/>
      <c r="BF507" s="1"/>
      <c r="BG507" s="1"/>
      <c r="BH507" s="1"/>
      <c r="BI507" s="1"/>
      <c r="BO507" s="1"/>
      <c r="BP507" s="1"/>
      <c r="BQ507" s="1"/>
      <c r="BR507" s="1"/>
      <c r="BS507" s="1"/>
      <c r="BT507" s="1"/>
      <c r="BU507" s="4"/>
    </row>
    <row r="508">
      <c r="AK508" s="1"/>
      <c r="AQ508" s="1"/>
      <c r="AW508" s="1"/>
      <c r="BC508" s="1"/>
      <c r="BD508" s="1"/>
      <c r="BE508" s="1"/>
      <c r="BF508" s="1"/>
      <c r="BG508" s="1"/>
      <c r="BH508" s="1"/>
      <c r="BI508" s="1"/>
      <c r="BO508" s="1"/>
      <c r="BP508" s="1"/>
      <c r="BQ508" s="1"/>
      <c r="BR508" s="1"/>
      <c r="BS508" s="1"/>
      <c r="BT508" s="1"/>
      <c r="BU508" s="4"/>
    </row>
    <row r="509">
      <c r="AK509" s="1"/>
      <c r="AQ509" s="1"/>
      <c r="AW509" s="1"/>
      <c r="BC509" s="1"/>
      <c r="BD509" s="1"/>
      <c r="BE509" s="1"/>
      <c r="BF509" s="1"/>
      <c r="BG509" s="1"/>
      <c r="BH509" s="1"/>
      <c r="BI509" s="1"/>
      <c r="BO509" s="1"/>
      <c r="BP509" s="1"/>
      <c r="BQ509" s="1"/>
      <c r="BR509" s="1"/>
      <c r="BS509" s="1"/>
      <c r="BT509" s="1"/>
      <c r="BU509" s="4"/>
    </row>
    <row r="510">
      <c r="AK510" s="1"/>
      <c r="AQ510" s="1"/>
      <c r="AW510" s="1"/>
      <c r="BC510" s="1"/>
      <c r="BD510" s="1"/>
      <c r="BE510" s="1"/>
      <c r="BF510" s="1"/>
      <c r="BG510" s="1"/>
      <c r="BH510" s="1"/>
      <c r="BI510" s="1"/>
      <c r="BO510" s="1"/>
      <c r="BP510" s="1"/>
      <c r="BQ510" s="1"/>
      <c r="BR510" s="1"/>
      <c r="BS510" s="1"/>
      <c r="BT510" s="1"/>
      <c r="BU510" s="4"/>
    </row>
    <row r="511">
      <c r="AK511" s="1"/>
      <c r="AQ511" s="1"/>
      <c r="AW511" s="1"/>
      <c r="BC511" s="1"/>
      <c r="BD511" s="1"/>
      <c r="BE511" s="1"/>
      <c r="BF511" s="1"/>
      <c r="BG511" s="1"/>
      <c r="BH511" s="1"/>
      <c r="BI511" s="1"/>
      <c r="BO511" s="1"/>
      <c r="BP511" s="1"/>
      <c r="BQ511" s="1"/>
      <c r="BR511" s="1"/>
      <c r="BS511" s="1"/>
      <c r="BT511" s="1"/>
      <c r="BU511" s="4"/>
    </row>
    <row r="512">
      <c r="AK512" s="1"/>
      <c r="AQ512" s="1"/>
      <c r="AW512" s="1"/>
      <c r="BC512" s="1"/>
      <c r="BD512" s="1"/>
      <c r="BE512" s="1"/>
      <c r="BF512" s="1"/>
      <c r="BG512" s="1"/>
      <c r="BH512" s="1"/>
      <c r="BI512" s="1"/>
      <c r="BO512" s="1"/>
      <c r="BP512" s="1"/>
      <c r="BQ512" s="1"/>
      <c r="BR512" s="1"/>
      <c r="BS512" s="1"/>
      <c r="BT512" s="1"/>
      <c r="BU512" s="4"/>
    </row>
    <row r="513">
      <c r="AK513" s="1"/>
      <c r="AQ513" s="1"/>
      <c r="AW513" s="1"/>
      <c r="BC513" s="1"/>
      <c r="BD513" s="1"/>
      <c r="BE513" s="1"/>
      <c r="BF513" s="1"/>
      <c r="BG513" s="1"/>
      <c r="BH513" s="1"/>
      <c r="BI513" s="1"/>
      <c r="BO513" s="1"/>
      <c r="BP513" s="1"/>
      <c r="BQ513" s="1"/>
      <c r="BR513" s="1"/>
      <c r="BS513" s="1"/>
      <c r="BT513" s="1"/>
      <c r="BU513" s="4"/>
    </row>
    <row r="514">
      <c r="AK514" s="1"/>
      <c r="AQ514" s="1"/>
      <c r="AW514" s="1"/>
      <c r="BC514" s="1"/>
      <c r="BD514" s="1"/>
      <c r="BE514" s="1"/>
      <c r="BF514" s="1"/>
      <c r="BG514" s="1"/>
      <c r="BH514" s="1"/>
      <c r="BI514" s="1"/>
      <c r="BO514" s="1"/>
      <c r="BP514" s="1"/>
      <c r="BQ514" s="1"/>
      <c r="BR514" s="1"/>
      <c r="BS514" s="1"/>
      <c r="BT514" s="1"/>
      <c r="BU514" s="4"/>
    </row>
    <row r="515">
      <c r="AK515" s="1"/>
      <c r="AQ515" s="1"/>
      <c r="AW515" s="1"/>
      <c r="BC515" s="1"/>
      <c r="BD515" s="1"/>
      <c r="BE515" s="1"/>
      <c r="BF515" s="1"/>
      <c r="BG515" s="1"/>
      <c r="BH515" s="1"/>
      <c r="BI515" s="1"/>
      <c r="BO515" s="1"/>
      <c r="BP515" s="1"/>
      <c r="BQ515" s="1"/>
      <c r="BR515" s="1"/>
      <c r="BS515" s="1"/>
      <c r="BT515" s="1"/>
      <c r="BU515" s="4"/>
    </row>
    <row r="516">
      <c r="AK516" s="1"/>
      <c r="AQ516" s="1"/>
      <c r="AW516" s="1"/>
      <c r="BC516" s="1"/>
      <c r="BD516" s="1"/>
      <c r="BE516" s="1"/>
      <c r="BF516" s="1"/>
      <c r="BG516" s="1"/>
      <c r="BH516" s="1"/>
      <c r="BI516" s="1"/>
      <c r="BO516" s="1"/>
      <c r="BP516" s="1"/>
      <c r="BQ516" s="1"/>
      <c r="BR516" s="1"/>
      <c r="BS516" s="1"/>
      <c r="BT516" s="1"/>
      <c r="BU516" s="4"/>
    </row>
    <row r="517">
      <c r="AK517" s="1"/>
      <c r="AQ517" s="1"/>
      <c r="AW517" s="1"/>
      <c r="BC517" s="1"/>
      <c r="BD517" s="1"/>
      <c r="BE517" s="1"/>
      <c r="BF517" s="1"/>
      <c r="BG517" s="1"/>
      <c r="BH517" s="1"/>
      <c r="BI517" s="1"/>
      <c r="BO517" s="1"/>
      <c r="BP517" s="1"/>
      <c r="BQ517" s="1"/>
      <c r="BR517" s="1"/>
      <c r="BS517" s="1"/>
      <c r="BT517" s="1"/>
      <c r="BU517" s="4"/>
    </row>
    <row r="518">
      <c r="AK518" s="1"/>
      <c r="AQ518" s="1"/>
      <c r="AW518" s="1"/>
      <c r="BC518" s="1"/>
      <c r="BD518" s="1"/>
      <c r="BE518" s="1"/>
      <c r="BF518" s="1"/>
      <c r="BG518" s="1"/>
      <c r="BH518" s="1"/>
      <c r="BI518" s="1"/>
      <c r="BO518" s="1"/>
      <c r="BP518" s="1"/>
      <c r="BQ518" s="1"/>
      <c r="BR518" s="1"/>
      <c r="BS518" s="1"/>
      <c r="BT518" s="1"/>
      <c r="BU518" s="4"/>
    </row>
    <row r="519">
      <c r="AK519" s="1"/>
      <c r="AQ519" s="1"/>
      <c r="AW519" s="1"/>
      <c r="BC519" s="1"/>
      <c r="BD519" s="1"/>
      <c r="BE519" s="1"/>
      <c r="BF519" s="1"/>
      <c r="BG519" s="1"/>
      <c r="BH519" s="1"/>
      <c r="BI519" s="1"/>
      <c r="BO519" s="1"/>
      <c r="BP519" s="1"/>
      <c r="BQ519" s="1"/>
      <c r="BR519" s="1"/>
      <c r="BS519" s="1"/>
      <c r="BT519" s="1"/>
      <c r="BU519" s="4"/>
    </row>
    <row r="520">
      <c r="AK520" s="1"/>
      <c r="AQ520" s="1"/>
      <c r="AW520" s="1"/>
      <c r="BC520" s="1"/>
      <c r="BD520" s="1"/>
      <c r="BE520" s="1"/>
      <c r="BF520" s="1"/>
      <c r="BG520" s="1"/>
      <c r="BH520" s="1"/>
      <c r="BI520" s="1"/>
      <c r="BO520" s="1"/>
      <c r="BP520" s="1"/>
      <c r="BQ520" s="1"/>
      <c r="BR520" s="1"/>
      <c r="BS520" s="1"/>
      <c r="BT520" s="1"/>
      <c r="BU520" s="4"/>
    </row>
    <row r="521">
      <c r="AK521" s="1"/>
      <c r="AQ521" s="1"/>
      <c r="AW521" s="1"/>
      <c r="BC521" s="1"/>
      <c r="BD521" s="1"/>
      <c r="BE521" s="1"/>
      <c r="BF521" s="1"/>
      <c r="BG521" s="1"/>
      <c r="BH521" s="1"/>
      <c r="BI521" s="1"/>
      <c r="BO521" s="1"/>
      <c r="BP521" s="1"/>
      <c r="BQ521" s="1"/>
      <c r="BR521" s="1"/>
      <c r="BS521" s="1"/>
      <c r="BT521" s="1"/>
      <c r="BU521" s="4"/>
    </row>
    <row r="522">
      <c r="AK522" s="1"/>
      <c r="AQ522" s="1"/>
      <c r="AW522" s="1"/>
      <c r="BC522" s="1"/>
      <c r="BD522" s="1"/>
      <c r="BE522" s="1"/>
      <c r="BF522" s="1"/>
      <c r="BG522" s="1"/>
      <c r="BH522" s="1"/>
      <c r="BI522" s="1"/>
      <c r="BO522" s="1"/>
      <c r="BP522" s="1"/>
      <c r="BQ522" s="1"/>
      <c r="BR522" s="1"/>
      <c r="BS522" s="1"/>
      <c r="BT522" s="1"/>
      <c r="BU522" s="4"/>
    </row>
    <row r="523">
      <c r="AK523" s="1"/>
      <c r="AQ523" s="1"/>
      <c r="AW523" s="1"/>
      <c r="BC523" s="1"/>
      <c r="BD523" s="1"/>
      <c r="BE523" s="1"/>
      <c r="BF523" s="1"/>
      <c r="BG523" s="1"/>
      <c r="BH523" s="1"/>
      <c r="BI523" s="1"/>
      <c r="BO523" s="1"/>
      <c r="BP523" s="1"/>
      <c r="BQ523" s="1"/>
      <c r="BR523" s="1"/>
      <c r="BS523" s="1"/>
      <c r="BT523" s="1"/>
      <c r="BU523" s="4"/>
    </row>
    <row r="524">
      <c r="AK524" s="1"/>
      <c r="AQ524" s="1"/>
      <c r="AW524" s="1"/>
      <c r="BC524" s="1"/>
      <c r="BD524" s="1"/>
      <c r="BE524" s="1"/>
      <c r="BF524" s="1"/>
      <c r="BG524" s="1"/>
      <c r="BH524" s="1"/>
      <c r="BI524" s="1"/>
      <c r="BO524" s="1"/>
      <c r="BP524" s="1"/>
      <c r="BQ524" s="1"/>
      <c r="BR524" s="1"/>
      <c r="BS524" s="1"/>
      <c r="BT524" s="1"/>
      <c r="BU524" s="4"/>
    </row>
    <row r="525">
      <c r="AK525" s="1"/>
      <c r="AQ525" s="1"/>
      <c r="AW525" s="1"/>
      <c r="BC525" s="1"/>
      <c r="BD525" s="1"/>
      <c r="BE525" s="1"/>
      <c r="BF525" s="1"/>
      <c r="BG525" s="1"/>
      <c r="BH525" s="1"/>
      <c r="BI525" s="1"/>
      <c r="BO525" s="1"/>
      <c r="BP525" s="1"/>
      <c r="BQ525" s="1"/>
      <c r="BR525" s="1"/>
      <c r="BS525" s="1"/>
      <c r="BT525" s="1"/>
      <c r="BU525" s="4"/>
    </row>
    <row r="526">
      <c r="AK526" s="1"/>
      <c r="AQ526" s="1"/>
      <c r="AW526" s="1"/>
      <c r="BC526" s="1"/>
      <c r="BD526" s="1"/>
      <c r="BE526" s="1"/>
      <c r="BF526" s="1"/>
      <c r="BG526" s="1"/>
      <c r="BH526" s="1"/>
      <c r="BI526" s="1"/>
      <c r="BO526" s="1"/>
      <c r="BP526" s="1"/>
      <c r="BQ526" s="1"/>
      <c r="BR526" s="1"/>
      <c r="BS526" s="1"/>
      <c r="BT526" s="1"/>
      <c r="BU526" s="4"/>
    </row>
    <row r="527">
      <c r="AK527" s="1"/>
      <c r="AQ527" s="1"/>
      <c r="AW527" s="1"/>
      <c r="BC527" s="1"/>
      <c r="BD527" s="1"/>
      <c r="BE527" s="1"/>
      <c r="BF527" s="1"/>
      <c r="BG527" s="1"/>
      <c r="BH527" s="1"/>
      <c r="BI527" s="1"/>
      <c r="BO527" s="1"/>
      <c r="BP527" s="1"/>
      <c r="BQ527" s="1"/>
      <c r="BR527" s="1"/>
      <c r="BS527" s="1"/>
      <c r="BT527" s="1"/>
      <c r="BU527" s="4"/>
    </row>
    <row r="528">
      <c r="AK528" s="1"/>
      <c r="AQ528" s="1"/>
      <c r="AW528" s="1"/>
      <c r="BC528" s="1"/>
      <c r="BD528" s="1"/>
      <c r="BE528" s="1"/>
      <c r="BF528" s="1"/>
      <c r="BG528" s="1"/>
      <c r="BH528" s="1"/>
      <c r="BI528" s="1"/>
      <c r="BO528" s="1"/>
      <c r="BP528" s="1"/>
      <c r="BQ528" s="1"/>
      <c r="BR528" s="1"/>
      <c r="BS528" s="1"/>
      <c r="BT528" s="1"/>
      <c r="BU528" s="4"/>
    </row>
    <row r="529">
      <c r="AK529" s="1"/>
      <c r="AQ529" s="1"/>
      <c r="AW529" s="1"/>
      <c r="BC529" s="1"/>
      <c r="BD529" s="1"/>
      <c r="BE529" s="1"/>
      <c r="BF529" s="1"/>
      <c r="BG529" s="1"/>
      <c r="BH529" s="1"/>
      <c r="BI529" s="1"/>
      <c r="BO529" s="1"/>
      <c r="BP529" s="1"/>
      <c r="BQ529" s="1"/>
      <c r="BR529" s="1"/>
      <c r="BS529" s="1"/>
      <c r="BT529" s="1"/>
      <c r="BU529" s="4"/>
    </row>
    <row r="530">
      <c r="AK530" s="1"/>
      <c r="AQ530" s="1"/>
      <c r="AW530" s="1"/>
      <c r="BC530" s="1"/>
      <c r="BD530" s="1"/>
      <c r="BE530" s="1"/>
      <c r="BF530" s="1"/>
      <c r="BG530" s="1"/>
      <c r="BH530" s="1"/>
      <c r="BI530" s="1"/>
      <c r="BO530" s="1"/>
      <c r="BP530" s="1"/>
      <c r="BQ530" s="1"/>
      <c r="BR530" s="1"/>
      <c r="BS530" s="1"/>
      <c r="BT530" s="1"/>
      <c r="BU530" s="4"/>
    </row>
    <row r="531">
      <c r="AK531" s="1"/>
      <c r="AQ531" s="1"/>
      <c r="AW531" s="1"/>
      <c r="BC531" s="1"/>
      <c r="BD531" s="1"/>
      <c r="BE531" s="1"/>
      <c r="BF531" s="1"/>
      <c r="BG531" s="1"/>
      <c r="BH531" s="1"/>
      <c r="BI531" s="1"/>
      <c r="BO531" s="1"/>
      <c r="BP531" s="1"/>
      <c r="BQ531" s="1"/>
      <c r="BR531" s="1"/>
      <c r="BS531" s="1"/>
      <c r="BT531" s="1"/>
      <c r="BU531" s="4"/>
    </row>
    <row r="532">
      <c r="AK532" s="1"/>
      <c r="AQ532" s="1"/>
      <c r="AW532" s="1"/>
      <c r="BC532" s="1"/>
      <c r="BD532" s="1"/>
      <c r="BE532" s="1"/>
      <c r="BF532" s="1"/>
      <c r="BG532" s="1"/>
      <c r="BH532" s="1"/>
      <c r="BI532" s="1"/>
      <c r="BO532" s="1"/>
      <c r="BP532" s="1"/>
      <c r="BQ532" s="1"/>
      <c r="BR532" s="1"/>
      <c r="BS532" s="1"/>
      <c r="BT532" s="1"/>
      <c r="BU532" s="4"/>
    </row>
    <row r="533">
      <c r="AK533" s="1"/>
      <c r="AQ533" s="1"/>
      <c r="AW533" s="1"/>
      <c r="BC533" s="1"/>
      <c r="BD533" s="1"/>
      <c r="BE533" s="1"/>
      <c r="BF533" s="1"/>
      <c r="BG533" s="1"/>
      <c r="BH533" s="1"/>
      <c r="BI533" s="1"/>
      <c r="BO533" s="1"/>
      <c r="BP533" s="1"/>
      <c r="BQ533" s="1"/>
      <c r="BR533" s="1"/>
      <c r="BS533" s="1"/>
      <c r="BT533" s="1"/>
      <c r="BU533" s="4"/>
    </row>
    <row r="534">
      <c r="AK534" s="1"/>
      <c r="AQ534" s="1"/>
      <c r="AW534" s="1"/>
      <c r="BC534" s="1"/>
      <c r="BD534" s="1"/>
      <c r="BE534" s="1"/>
      <c r="BF534" s="1"/>
      <c r="BG534" s="1"/>
      <c r="BH534" s="1"/>
      <c r="BI534" s="1"/>
      <c r="BO534" s="1"/>
      <c r="BP534" s="1"/>
      <c r="BQ534" s="1"/>
      <c r="BR534" s="1"/>
      <c r="BS534" s="1"/>
      <c r="BT534" s="1"/>
      <c r="BU534" s="4"/>
    </row>
    <row r="535">
      <c r="AK535" s="1"/>
      <c r="AQ535" s="1"/>
      <c r="AW535" s="1"/>
      <c r="BC535" s="1"/>
      <c r="BD535" s="1"/>
      <c r="BE535" s="1"/>
      <c r="BF535" s="1"/>
      <c r="BG535" s="1"/>
      <c r="BH535" s="1"/>
      <c r="BI535" s="1"/>
      <c r="BO535" s="1"/>
      <c r="BP535" s="1"/>
      <c r="BQ535" s="1"/>
      <c r="BR535" s="1"/>
      <c r="BS535" s="1"/>
      <c r="BT535" s="1"/>
      <c r="BU535" s="4"/>
    </row>
    <row r="536">
      <c r="AK536" s="1"/>
      <c r="AQ536" s="1"/>
      <c r="AW536" s="1"/>
      <c r="BC536" s="1"/>
      <c r="BD536" s="1"/>
      <c r="BE536" s="1"/>
      <c r="BF536" s="1"/>
      <c r="BG536" s="1"/>
      <c r="BH536" s="1"/>
      <c r="BI536" s="1"/>
      <c r="BO536" s="1"/>
      <c r="BP536" s="1"/>
      <c r="BQ536" s="1"/>
      <c r="BR536" s="1"/>
      <c r="BS536" s="1"/>
      <c r="BT536" s="1"/>
      <c r="BU536" s="4"/>
    </row>
    <row r="537">
      <c r="AK537" s="1"/>
      <c r="AQ537" s="1"/>
      <c r="AW537" s="1"/>
      <c r="BC537" s="1"/>
      <c r="BD537" s="1"/>
      <c r="BE537" s="1"/>
      <c r="BF537" s="1"/>
      <c r="BG537" s="1"/>
      <c r="BH537" s="1"/>
      <c r="BI537" s="1"/>
      <c r="BO537" s="1"/>
      <c r="BP537" s="1"/>
      <c r="BQ537" s="1"/>
      <c r="BR537" s="1"/>
      <c r="BS537" s="1"/>
      <c r="BT537" s="1"/>
      <c r="BU537" s="4"/>
    </row>
    <row r="538">
      <c r="AK538" s="1"/>
      <c r="AQ538" s="1"/>
      <c r="AW538" s="1"/>
      <c r="BC538" s="1"/>
      <c r="BD538" s="1"/>
      <c r="BE538" s="1"/>
      <c r="BF538" s="1"/>
      <c r="BG538" s="1"/>
      <c r="BH538" s="1"/>
      <c r="BI538" s="1"/>
      <c r="BO538" s="1"/>
      <c r="BP538" s="1"/>
      <c r="BQ538" s="1"/>
      <c r="BR538" s="1"/>
      <c r="BS538" s="1"/>
      <c r="BT538" s="1"/>
      <c r="BU538" s="4"/>
    </row>
    <row r="539">
      <c r="AK539" s="1"/>
      <c r="AQ539" s="1"/>
      <c r="AW539" s="1"/>
      <c r="BC539" s="1"/>
      <c r="BD539" s="1"/>
      <c r="BE539" s="1"/>
      <c r="BF539" s="1"/>
      <c r="BG539" s="1"/>
      <c r="BH539" s="1"/>
      <c r="BI539" s="1"/>
      <c r="BO539" s="1"/>
      <c r="BP539" s="1"/>
      <c r="BQ539" s="1"/>
      <c r="BR539" s="1"/>
      <c r="BS539" s="1"/>
      <c r="BT539" s="1"/>
      <c r="BU539" s="4"/>
    </row>
    <row r="540">
      <c r="AK540" s="1"/>
      <c r="AQ540" s="1"/>
      <c r="AW540" s="1"/>
      <c r="BC540" s="1"/>
      <c r="BD540" s="1"/>
      <c r="BE540" s="1"/>
      <c r="BF540" s="1"/>
      <c r="BG540" s="1"/>
      <c r="BH540" s="1"/>
      <c r="BI540" s="1"/>
      <c r="BO540" s="1"/>
      <c r="BP540" s="1"/>
      <c r="BQ540" s="1"/>
      <c r="BR540" s="1"/>
      <c r="BS540" s="1"/>
      <c r="BT540" s="1"/>
      <c r="BU540" s="4"/>
    </row>
    <row r="541">
      <c r="AK541" s="1"/>
      <c r="AQ541" s="1"/>
      <c r="AW541" s="1"/>
      <c r="BC541" s="1"/>
      <c r="BD541" s="1"/>
      <c r="BE541" s="1"/>
      <c r="BF541" s="1"/>
      <c r="BG541" s="1"/>
      <c r="BH541" s="1"/>
      <c r="BI541" s="1"/>
      <c r="BO541" s="1"/>
      <c r="BP541" s="1"/>
      <c r="BQ541" s="1"/>
      <c r="BR541" s="1"/>
      <c r="BS541" s="1"/>
      <c r="BT541" s="1"/>
      <c r="BU541" s="4"/>
    </row>
    <row r="542">
      <c r="AK542" s="1"/>
      <c r="AQ542" s="1"/>
      <c r="AW542" s="1"/>
      <c r="BC542" s="1"/>
      <c r="BD542" s="1"/>
      <c r="BE542" s="1"/>
      <c r="BF542" s="1"/>
      <c r="BG542" s="1"/>
      <c r="BH542" s="1"/>
      <c r="BI542" s="1"/>
      <c r="BO542" s="1"/>
      <c r="BP542" s="1"/>
      <c r="BQ542" s="1"/>
      <c r="BR542" s="1"/>
      <c r="BS542" s="1"/>
      <c r="BT542" s="1"/>
      <c r="BU542" s="4"/>
    </row>
    <row r="543">
      <c r="AK543" s="1"/>
      <c r="AQ543" s="1"/>
      <c r="AW543" s="1"/>
      <c r="BC543" s="1"/>
      <c r="BD543" s="1"/>
      <c r="BE543" s="1"/>
      <c r="BF543" s="1"/>
      <c r="BG543" s="1"/>
      <c r="BH543" s="1"/>
      <c r="BI543" s="1"/>
      <c r="BO543" s="1"/>
      <c r="BP543" s="1"/>
      <c r="BQ543" s="1"/>
      <c r="BR543" s="1"/>
      <c r="BS543" s="1"/>
      <c r="BT543" s="1"/>
      <c r="BU543" s="4"/>
    </row>
    <row r="544">
      <c r="AK544" s="1"/>
      <c r="AQ544" s="1"/>
      <c r="AW544" s="1"/>
      <c r="BC544" s="1"/>
      <c r="BD544" s="1"/>
      <c r="BE544" s="1"/>
      <c r="BF544" s="1"/>
      <c r="BG544" s="1"/>
      <c r="BH544" s="1"/>
      <c r="BI544" s="1"/>
      <c r="BO544" s="1"/>
      <c r="BP544" s="1"/>
      <c r="BQ544" s="1"/>
      <c r="BR544" s="1"/>
      <c r="BS544" s="1"/>
      <c r="BT544" s="1"/>
      <c r="BU544" s="4"/>
    </row>
    <row r="545">
      <c r="AK545" s="1"/>
      <c r="AQ545" s="1"/>
      <c r="AW545" s="1"/>
      <c r="BC545" s="1"/>
      <c r="BD545" s="1"/>
      <c r="BE545" s="1"/>
      <c r="BF545" s="1"/>
      <c r="BG545" s="1"/>
      <c r="BH545" s="1"/>
      <c r="BI545" s="1"/>
      <c r="BO545" s="1"/>
      <c r="BP545" s="1"/>
      <c r="BQ545" s="1"/>
      <c r="BR545" s="1"/>
      <c r="BS545" s="1"/>
      <c r="BT545" s="1"/>
      <c r="BU545" s="4"/>
    </row>
    <row r="546">
      <c r="AK546" s="1"/>
      <c r="AQ546" s="1"/>
      <c r="AW546" s="1"/>
      <c r="BC546" s="1"/>
      <c r="BD546" s="1"/>
      <c r="BE546" s="1"/>
      <c r="BF546" s="1"/>
      <c r="BG546" s="1"/>
      <c r="BH546" s="1"/>
      <c r="BI546" s="1"/>
      <c r="BO546" s="1"/>
      <c r="BP546" s="1"/>
      <c r="BQ546" s="1"/>
      <c r="BR546" s="1"/>
      <c r="BS546" s="1"/>
      <c r="BT546" s="1"/>
      <c r="BU546" s="4"/>
    </row>
    <row r="547">
      <c r="AK547" s="1"/>
      <c r="AQ547" s="1"/>
      <c r="AW547" s="1"/>
      <c r="BC547" s="1"/>
      <c r="BD547" s="1"/>
      <c r="BE547" s="1"/>
      <c r="BF547" s="1"/>
      <c r="BG547" s="1"/>
      <c r="BH547" s="1"/>
      <c r="BI547" s="1"/>
      <c r="BO547" s="1"/>
      <c r="BP547" s="1"/>
      <c r="BQ547" s="1"/>
      <c r="BR547" s="1"/>
      <c r="BS547" s="1"/>
      <c r="BT547" s="1"/>
      <c r="BU547" s="4"/>
    </row>
    <row r="548">
      <c r="AK548" s="1"/>
      <c r="AQ548" s="1"/>
      <c r="AW548" s="1"/>
      <c r="BC548" s="1"/>
      <c r="BD548" s="1"/>
      <c r="BE548" s="1"/>
      <c r="BF548" s="1"/>
      <c r="BG548" s="1"/>
      <c r="BH548" s="1"/>
      <c r="BI548" s="1"/>
      <c r="BO548" s="1"/>
      <c r="BP548" s="1"/>
      <c r="BQ548" s="1"/>
      <c r="BR548" s="1"/>
      <c r="BS548" s="1"/>
      <c r="BT548" s="1"/>
      <c r="BU548" s="4"/>
    </row>
    <row r="549">
      <c r="AK549" s="1"/>
      <c r="AQ549" s="1"/>
      <c r="AW549" s="1"/>
      <c r="BC549" s="1"/>
      <c r="BD549" s="1"/>
      <c r="BE549" s="1"/>
      <c r="BF549" s="1"/>
      <c r="BG549" s="1"/>
      <c r="BH549" s="1"/>
      <c r="BI549" s="1"/>
      <c r="BO549" s="1"/>
      <c r="BP549" s="1"/>
      <c r="BQ549" s="1"/>
      <c r="BR549" s="1"/>
      <c r="BS549" s="1"/>
      <c r="BT549" s="1"/>
      <c r="BU549" s="4"/>
    </row>
    <row r="550">
      <c r="AK550" s="1"/>
      <c r="AQ550" s="1"/>
      <c r="AW550" s="1"/>
      <c r="BC550" s="1"/>
      <c r="BD550" s="1"/>
      <c r="BE550" s="1"/>
      <c r="BF550" s="1"/>
      <c r="BG550" s="1"/>
      <c r="BH550" s="1"/>
      <c r="BI550" s="1"/>
      <c r="BO550" s="1"/>
      <c r="BP550" s="1"/>
      <c r="BQ550" s="1"/>
      <c r="BR550" s="1"/>
      <c r="BS550" s="1"/>
      <c r="BT550" s="1"/>
      <c r="BU550" s="4"/>
    </row>
    <row r="551">
      <c r="AK551" s="1"/>
      <c r="AQ551" s="1"/>
      <c r="AW551" s="1"/>
      <c r="BC551" s="1"/>
      <c r="BD551" s="1"/>
      <c r="BE551" s="1"/>
      <c r="BF551" s="1"/>
      <c r="BG551" s="1"/>
      <c r="BH551" s="1"/>
      <c r="BI551" s="1"/>
      <c r="BO551" s="1"/>
      <c r="BP551" s="1"/>
      <c r="BQ551" s="1"/>
      <c r="BR551" s="1"/>
      <c r="BS551" s="1"/>
      <c r="BT551" s="1"/>
      <c r="BU551" s="4"/>
    </row>
    <row r="552">
      <c r="AK552" s="1"/>
      <c r="AQ552" s="1"/>
      <c r="AW552" s="1"/>
      <c r="BC552" s="1"/>
      <c r="BD552" s="1"/>
      <c r="BE552" s="1"/>
      <c r="BF552" s="1"/>
      <c r="BG552" s="1"/>
      <c r="BH552" s="1"/>
      <c r="BI552" s="1"/>
      <c r="BO552" s="1"/>
      <c r="BP552" s="1"/>
      <c r="BQ552" s="1"/>
      <c r="BR552" s="1"/>
      <c r="BS552" s="1"/>
      <c r="BT552" s="1"/>
      <c r="BU552" s="4"/>
    </row>
    <row r="553">
      <c r="AK553" s="1"/>
      <c r="AQ553" s="1"/>
      <c r="AW553" s="1"/>
      <c r="BC553" s="1"/>
      <c r="BD553" s="1"/>
      <c r="BE553" s="1"/>
      <c r="BF553" s="1"/>
      <c r="BG553" s="1"/>
      <c r="BH553" s="1"/>
      <c r="BI553" s="1"/>
      <c r="BO553" s="1"/>
      <c r="BP553" s="1"/>
      <c r="BQ553" s="1"/>
      <c r="BR553" s="1"/>
      <c r="BS553" s="1"/>
      <c r="BT553" s="1"/>
      <c r="BU553" s="4"/>
    </row>
    <row r="554">
      <c r="AK554" s="1"/>
      <c r="AQ554" s="1"/>
      <c r="AW554" s="1"/>
      <c r="BC554" s="1"/>
      <c r="BD554" s="1"/>
      <c r="BE554" s="1"/>
      <c r="BF554" s="1"/>
      <c r="BG554" s="1"/>
      <c r="BH554" s="1"/>
      <c r="BI554" s="1"/>
      <c r="BO554" s="1"/>
      <c r="BP554" s="1"/>
      <c r="BQ554" s="1"/>
      <c r="BR554" s="1"/>
      <c r="BS554" s="1"/>
      <c r="BT554" s="1"/>
      <c r="BU554" s="4"/>
    </row>
    <row r="555">
      <c r="AK555" s="1"/>
      <c r="AQ555" s="1"/>
      <c r="AW555" s="1"/>
      <c r="BC555" s="1"/>
      <c r="BD555" s="1"/>
      <c r="BE555" s="1"/>
      <c r="BF555" s="1"/>
      <c r="BG555" s="1"/>
      <c r="BH555" s="1"/>
      <c r="BI555" s="1"/>
      <c r="BO555" s="1"/>
      <c r="BP555" s="1"/>
      <c r="BQ555" s="1"/>
      <c r="BR555" s="1"/>
      <c r="BS555" s="1"/>
      <c r="BT555" s="1"/>
      <c r="BU555" s="4"/>
    </row>
    <row r="556">
      <c r="AK556" s="1"/>
      <c r="AQ556" s="1"/>
      <c r="AW556" s="1"/>
      <c r="BC556" s="1"/>
      <c r="BD556" s="1"/>
      <c r="BE556" s="1"/>
      <c r="BF556" s="1"/>
      <c r="BG556" s="1"/>
      <c r="BH556" s="1"/>
      <c r="BI556" s="1"/>
      <c r="BO556" s="1"/>
      <c r="BP556" s="1"/>
      <c r="BQ556" s="1"/>
      <c r="BR556" s="1"/>
      <c r="BS556" s="1"/>
      <c r="BT556" s="1"/>
      <c r="BU556" s="4"/>
    </row>
    <row r="557">
      <c r="AK557" s="1"/>
      <c r="AQ557" s="1"/>
      <c r="AW557" s="1"/>
      <c r="BC557" s="1"/>
      <c r="BD557" s="1"/>
      <c r="BE557" s="1"/>
      <c r="BF557" s="1"/>
      <c r="BG557" s="1"/>
      <c r="BH557" s="1"/>
      <c r="BI557" s="1"/>
      <c r="BO557" s="1"/>
      <c r="BP557" s="1"/>
      <c r="BQ557" s="1"/>
      <c r="BR557" s="1"/>
      <c r="BS557" s="1"/>
      <c r="BT557" s="1"/>
      <c r="BU557" s="4"/>
    </row>
    <row r="558">
      <c r="AK558" s="1"/>
      <c r="AQ558" s="1"/>
      <c r="AW558" s="1"/>
      <c r="BC558" s="1"/>
      <c r="BD558" s="1"/>
      <c r="BE558" s="1"/>
      <c r="BF558" s="1"/>
      <c r="BG558" s="1"/>
      <c r="BH558" s="1"/>
      <c r="BI558" s="1"/>
      <c r="BO558" s="1"/>
      <c r="BP558" s="1"/>
      <c r="BQ558" s="1"/>
      <c r="BR558" s="1"/>
      <c r="BS558" s="1"/>
      <c r="BT558" s="1"/>
      <c r="BU558" s="4"/>
    </row>
    <row r="559">
      <c r="AK559" s="1"/>
      <c r="AQ559" s="1"/>
      <c r="AW559" s="1"/>
      <c r="BC559" s="1"/>
      <c r="BD559" s="1"/>
      <c r="BE559" s="1"/>
      <c r="BF559" s="1"/>
      <c r="BG559" s="1"/>
      <c r="BH559" s="1"/>
      <c r="BI559" s="1"/>
      <c r="BO559" s="1"/>
      <c r="BP559" s="1"/>
      <c r="BQ559" s="1"/>
      <c r="BR559" s="1"/>
      <c r="BS559" s="1"/>
      <c r="BT559" s="1"/>
      <c r="BU559" s="4"/>
    </row>
    <row r="560">
      <c r="AK560" s="1"/>
      <c r="AQ560" s="1"/>
      <c r="AW560" s="1"/>
      <c r="BC560" s="1"/>
      <c r="BD560" s="1"/>
      <c r="BE560" s="1"/>
      <c r="BF560" s="1"/>
      <c r="BG560" s="1"/>
      <c r="BH560" s="1"/>
      <c r="BI560" s="1"/>
      <c r="BO560" s="1"/>
      <c r="BP560" s="1"/>
      <c r="BQ560" s="1"/>
      <c r="BR560" s="1"/>
      <c r="BS560" s="1"/>
      <c r="BT560" s="1"/>
      <c r="BU560" s="4"/>
    </row>
    <row r="561">
      <c r="AK561" s="1"/>
      <c r="AQ561" s="1"/>
      <c r="AW561" s="1"/>
      <c r="BC561" s="1"/>
      <c r="BD561" s="1"/>
      <c r="BE561" s="1"/>
      <c r="BF561" s="1"/>
      <c r="BG561" s="1"/>
      <c r="BH561" s="1"/>
      <c r="BI561" s="1"/>
      <c r="BO561" s="1"/>
      <c r="BP561" s="1"/>
      <c r="BQ561" s="1"/>
      <c r="BR561" s="1"/>
      <c r="BS561" s="1"/>
      <c r="BT561" s="1"/>
      <c r="BU561" s="4"/>
    </row>
    <row r="562">
      <c r="AK562" s="1"/>
      <c r="AQ562" s="1"/>
      <c r="AW562" s="1"/>
      <c r="BC562" s="1"/>
      <c r="BD562" s="1"/>
      <c r="BE562" s="1"/>
      <c r="BF562" s="1"/>
      <c r="BG562" s="1"/>
      <c r="BH562" s="1"/>
      <c r="BI562" s="1"/>
      <c r="BO562" s="1"/>
      <c r="BP562" s="1"/>
      <c r="BQ562" s="1"/>
      <c r="BR562" s="1"/>
      <c r="BS562" s="1"/>
      <c r="BT562" s="1"/>
      <c r="BU562" s="4"/>
    </row>
    <row r="563">
      <c r="AK563" s="1"/>
      <c r="AQ563" s="1"/>
      <c r="AW563" s="1"/>
      <c r="BC563" s="1"/>
      <c r="BD563" s="1"/>
      <c r="BE563" s="1"/>
      <c r="BF563" s="1"/>
      <c r="BG563" s="1"/>
      <c r="BH563" s="1"/>
      <c r="BI563" s="1"/>
      <c r="BO563" s="1"/>
      <c r="BP563" s="1"/>
      <c r="BQ563" s="1"/>
      <c r="BR563" s="1"/>
      <c r="BS563" s="1"/>
      <c r="BT563" s="1"/>
      <c r="BU563" s="4"/>
    </row>
    <row r="564">
      <c r="AK564" s="1"/>
      <c r="AQ564" s="1"/>
      <c r="AW564" s="1"/>
      <c r="BC564" s="1"/>
      <c r="BD564" s="1"/>
      <c r="BE564" s="1"/>
      <c r="BF564" s="1"/>
      <c r="BG564" s="1"/>
      <c r="BH564" s="1"/>
      <c r="BI564" s="1"/>
      <c r="BO564" s="1"/>
      <c r="BP564" s="1"/>
      <c r="BQ564" s="1"/>
      <c r="BR564" s="1"/>
      <c r="BS564" s="1"/>
      <c r="BT564" s="1"/>
      <c r="BU564" s="4"/>
    </row>
    <row r="565">
      <c r="AK565" s="1"/>
      <c r="AQ565" s="1"/>
      <c r="AW565" s="1"/>
      <c r="BC565" s="1"/>
      <c r="BD565" s="1"/>
      <c r="BE565" s="1"/>
      <c r="BF565" s="1"/>
      <c r="BG565" s="1"/>
      <c r="BH565" s="1"/>
      <c r="BI565" s="1"/>
      <c r="BO565" s="1"/>
      <c r="BP565" s="1"/>
      <c r="BQ565" s="1"/>
      <c r="BR565" s="1"/>
      <c r="BS565" s="1"/>
      <c r="BT565" s="1"/>
      <c r="BU565" s="4"/>
    </row>
    <row r="566">
      <c r="AK566" s="1"/>
      <c r="AQ566" s="1"/>
      <c r="AW566" s="1"/>
      <c r="BC566" s="1"/>
      <c r="BD566" s="1"/>
      <c r="BE566" s="1"/>
      <c r="BF566" s="1"/>
      <c r="BG566" s="1"/>
      <c r="BH566" s="1"/>
      <c r="BI566" s="1"/>
      <c r="BO566" s="1"/>
      <c r="BP566" s="1"/>
      <c r="BQ566" s="1"/>
      <c r="BR566" s="1"/>
      <c r="BS566" s="1"/>
      <c r="BT566" s="1"/>
      <c r="BU566" s="4"/>
    </row>
    <row r="567">
      <c r="AK567" s="1"/>
      <c r="AQ567" s="1"/>
      <c r="AW567" s="1"/>
      <c r="BC567" s="1"/>
      <c r="BD567" s="1"/>
      <c r="BE567" s="1"/>
      <c r="BF567" s="1"/>
      <c r="BG567" s="1"/>
      <c r="BH567" s="1"/>
      <c r="BI567" s="1"/>
      <c r="BO567" s="1"/>
      <c r="BP567" s="1"/>
      <c r="BQ567" s="1"/>
      <c r="BR567" s="1"/>
      <c r="BS567" s="1"/>
      <c r="BT567" s="1"/>
      <c r="BU567" s="4"/>
    </row>
    <row r="568">
      <c r="AK568" s="1"/>
      <c r="AQ568" s="1"/>
      <c r="AW568" s="1"/>
      <c r="BC568" s="1"/>
      <c r="BD568" s="1"/>
      <c r="BE568" s="1"/>
      <c r="BF568" s="1"/>
      <c r="BG568" s="1"/>
      <c r="BH568" s="1"/>
      <c r="BI568" s="1"/>
      <c r="BO568" s="1"/>
      <c r="BP568" s="1"/>
      <c r="BQ568" s="1"/>
      <c r="BR568" s="1"/>
      <c r="BS568" s="1"/>
      <c r="BT568" s="1"/>
      <c r="BU568" s="4"/>
    </row>
    <row r="569">
      <c r="AK569" s="1"/>
      <c r="AQ569" s="1"/>
      <c r="AW569" s="1"/>
      <c r="BC569" s="1"/>
      <c r="BD569" s="1"/>
      <c r="BE569" s="1"/>
      <c r="BF569" s="1"/>
      <c r="BG569" s="1"/>
      <c r="BH569" s="1"/>
      <c r="BI569" s="1"/>
      <c r="BO569" s="1"/>
      <c r="BP569" s="1"/>
      <c r="BQ569" s="1"/>
      <c r="BR569" s="1"/>
      <c r="BS569" s="1"/>
      <c r="BT569" s="1"/>
      <c r="BU569" s="4"/>
    </row>
    <row r="570">
      <c r="AK570" s="1"/>
      <c r="AQ570" s="1"/>
      <c r="AW570" s="1"/>
      <c r="BC570" s="1"/>
      <c r="BD570" s="1"/>
      <c r="BE570" s="1"/>
      <c r="BF570" s="1"/>
      <c r="BG570" s="1"/>
      <c r="BH570" s="1"/>
      <c r="BI570" s="1"/>
      <c r="BO570" s="1"/>
      <c r="BP570" s="1"/>
      <c r="BQ570" s="1"/>
      <c r="BR570" s="1"/>
      <c r="BS570" s="1"/>
      <c r="BT570" s="1"/>
      <c r="BU570" s="4"/>
    </row>
    <row r="571">
      <c r="AK571" s="1"/>
      <c r="AQ571" s="1"/>
      <c r="AW571" s="1"/>
      <c r="BC571" s="1"/>
      <c r="BD571" s="1"/>
      <c r="BE571" s="1"/>
      <c r="BF571" s="1"/>
      <c r="BG571" s="1"/>
      <c r="BH571" s="1"/>
      <c r="BI571" s="1"/>
      <c r="BO571" s="1"/>
      <c r="BP571" s="1"/>
      <c r="BQ571" s="1"/>
      <c r="BR571" s="1"/>
      <c r="BS571" s="1"/>
      <c r="BT571" s="1"/>
      <c r="BU571" s="4"/>
    </row>
    <row r="572">
      <c r="AK572" s="1"/>
      <c r="AQ572" s="1"/>
      <c r="AW572" s="1"/>
      <c r="BC572" s="1"/>
      <c r="BD572" s="1"/>
      <c r="BE572" s="1"/>
      <c r="BF572" s="1"/>
      <c r="BG572" s="1"/>
      <c r="BH572" s="1"/>
      <c r="BI572" s="1"/>
      <c r="BO572" s="1"/>
      <c r="BP572" s="1"/>
      <c r="BQ572" s="1"/>
      <c r="BR572" s="1"/>
      <c r="BS572" s="1"/>
      <c r="BT572" s="1"/>
      <c r="BU572" s="4"/>
    </row>
    <row r="573">
      <c r="AK573" s="1"/>
      <c r="AQ573" s="1"/>
      <c r="AW573" s="1"/>
      <c r="BC573" s="1"/>
      <c r="BD573" s="1"/>
      <c r="BE573" s="1"/>
      <c r="BF573" s="1"/>
      <c r="BG573" s="1"/>
      <c r="BH573" s="1"/>
      <c r="BI573" s="1"/>
      <c r="BO573" s="1"/>
      <c r="BP573" s="1"/>
      <c r="BQ573" s="1"/>
      <c r="BR573" s="1"/>
      <c r="BS573" s="1"/>
      <c r="BT573" s="1"/>
      <c r="BU573" s="4"/>
    </row>
    <row r="574">
      <c r="AK574" s="1"/>
      <c r="AQ574" s="1"/>
      <c r="AW574" s="1"/>
      <c r="BC574" s="1"/>
      <c r="BD574" s="1"/>
      <c r="BE574" s="1"/>
      <c r="BF574" s="1"/>
      <c r="BG574" s="1"/>
      <c r="BH574" s="1"/>
      <c r="BI574" s="1"/>
      <c r="BO574" s="1"/>
      <c r="BP574" s="1"/>
      <c r="BQ574" s="1"/>
      <c r="BR574" s="1"/>
      <c r="BS574" s="1"/>
      <c r="BT574" s="1"/>
      <c r="BU574" s="4"/>
    </row>
    <row r="575">
      <c r="AK575" s="1"/>
      <c r="AQ575" s="1"/>
      <c r="AW575" s="1"/>
      <c r="BC575" s="1"/>
      <c r="BD575" s="1"/>
      <c r="BE575" s="1"/>
      <c r="BF575" s="1"/>
      <c r="BG575" s="1"/>
      <c r="BH575" s="1"/>
      <c r="BI575" s="1"/>
      <c r="BO575" s="1"/>
      <c r="BP575" s="1"/>
      <c r="BQ575" s="1"/>
      <c r="BR575" s="1"/>
      <c r="BS575" s="1"/>
      <c r="BT575" s="1"/>
      <c r="BU575" s="4"/>
    </row>
    <row r="576">
      <c r="AK576" s="1"/>
      <c r="AQ576" s="1"/>
      <c r="AW576" s="1"/>
      <c r="BC576" s="1"/>
      <c r="BD576" s="1"/>
      <c r="BE576" s="1"/>
      <c r="BF576" s="1"/>
      <c r="BG576" s="1"/>
      <c r="BH576" s="1"/>
      <c r="BI576" s="1"/>
      <c r="BO576" s="1"/>
      <c r="BP576" s="1"/>
      <c r="BQ576" s="1"/>
      <c r="BR576" s="1"/>
      <c r="BS576" s="1"/>
      <c r="BT576" s="1"/>
      <c r="BU576" s="4"/>
    </row>
    <row r="577">
      <c r="AK577" s="1"/>
      <c r="AQ577" s="1"/>
      <c r="AW577" s="1"/>
      <c r="BC577" s="1"/>
      <c r="BD577" s="1"/>
      <c r="BE577" s="1"/>
      <c r="BF577" s="1"/>
      <c r="BG577" s="1"/>
      <c r="BH577" s="1"/>
      <c r="BI577" s="1"/>
      <c r="BO577" s="1"/>
      <c r="BP577" s="1"/>
      <c r="BQ577" s="1"/>
      <c r="BR577" s="1"/>
      <c r="BS577" s="1"/>
      <c r="BT577" s="1"/>
      <c r="BU577" s="4"/>
    </row>
    <row r="578">
      <c r="AK578" s="1"/>
      <c r="AQ578" s="1"/>
      <c r="AW578" s="1"/>
      <c r="BC578" s="1"/>
      <c r="BD578" s="1"/>
      <c r="BE578" s="1"/>
      <c r="BF578" s="1"/>
      <c r="BG578" s="1"/>
      <c r="BH578" s="1"/>
      <c r="BI578" s="1"/>
      <c r="BO578" s="1"/>
      <c r="BP578" s="1"/>
      <c r="BQ578" s="1"/>
      <c r="BR578" s="1"/>
      <c r="BS578" s="1"/>
      <c r="BT578" s="1"/>
      <c r="BU578" s="4"/>
    </row>
    <row r="579">
      <c r="AK579" s="1"/>
      <c r="AQ579" s="1"/>
      <c r="AW579" s="1"/>
      <c r="BC579" s="1"/>
      <c r="BD579" s="1"/>
      <c r="BE579" s="1"/>
      <c r="BF579" s="1"/>
      <c r="BG579" s="1"/>
      <c r="BH579" s="1"/>
      <c r="BI579" s="1"/>
      <c r="BO579" s="1"/>
      <c r="BP579" s="1"/>
      <c r="BQ579" s="1"/>
      <c r="BR579" s="1"/>
      <c r="BS579" s="1"/>
      <c r="BT579" s="1"/>
      <c r="BU579" s="4"/>
    </row>
    <row r="580">
      <c r="AK580" s="1"/>
      <c r="AQ580" s="1"/>
      <c r="AW580" s="1"/>
      <c r="BC580" s="1"/>
      <c r="BD580" s="1"/>
      <c r="BE580" s="1"/>
      <c r="BF580" s="1"/>
      <c r="BG580" s="1"/>
      <c r="BH580" s="1"/>
      <c r="BI580" s="1"/>
      <c r="BO580" s="1"/>
      <c r="BP580" s="1"/>
      <c r="BQ580" s="1"/>
      <c r="BR580" s="1"/>
      <c r="BS580" s="1"/>
      <c r="BT580" s="1"/>
      <c r="BU580" s="4"/>
    </row>
    <row r="581">
      <c r="AK581" s="1"/>
      <c r="AQ581" s="1"/>
      <c r="AW581" s="1"/>
      <c r="BC581" s="1"/>
      <c r="BD581" s="1"/>
      <c r="BE581" s="1"/>
      <c r="BF581" s="1"/>
      <c r="BG581" s="1"/>
      <c r="BH581" s="1"/>
      <c r="BI581" s="1"/>
      <c r="BO581" s="1"/>
      <c r="BP581" s="1"/>
      <c r="BQ581" s="1"/>
      <c r="BR581" s="1"/>
      <c r="BS581" s="1"/>
      <c r="BT581" s="1"/>
      <c r="BU581" s="4"/>
    </row>
    <row r="582">
      <c r="AK582" s="1"/>
      <c r="AQ582" s="1"/>
      <c r="AW582" s="1"/>
      <c r="BC582" s="1"/>
      <c r="BD582" s="1"/>
      <c r="BE582" s="1"/>
      <c r="BF582" s="1"/>
      <c r="BG582" s="1"/>
      <c r="BH582" s="1"/>
      <c r="BI582" s="1"/>
      <c r="BO582" s="1"/>
      <c r="BP582" s="1"/>
      <c r="BQ582" s="1"/>
      <c r="BR582" s="1"/>
      <c r="BS582" s="1"/>
      <c r="BT582" s="1"/>
      <c r="BU582" s="4"/>
    </row>
    <row r="583">
      <c r="AK583" s="1"/>
      <c r="AQ583" s="1"/>
      <c r="AW583" s="1"/>
      <c r="BC583" s="1"/>
      <c r="BD583" s="1"/>
      <c r="BE583" s="1"/>
      <c r="BF583" s="1"/>
      <c r="BG583" s="1"/>
      <c r="BH583" s="1"/>
      <c r="BI583" s="1"/>
      <c r="BO583" s="1"/>
      <c r="BP583" s="1"/>
      <c r="BQ583" s="1"/>
      <c r="BR583" s="1"/>
      <c r="BS583" s="1"/>
      <c r="BT583" s="1"/>
      <c r="BU583" s="4"/>
    </row>
    <row r="584">
      <c r="AK584" s="1"/>
      <c r="AQ584" s="1"/>
      <c r="AW584" s="1"/>
      <c r="BC584" s="1"/>
      <c r="BD584" s="1"/>
      <c r="BE584" s="1"/>
      <c r="BF584" s="1"/>
      <c r="BG584" s="1"/>
      <c r="BH584" s="1"/>
      <c r="BI584" s="1"/>
      <c r="BO584" s="1"/>
      <c r="BP584" s="1"/>
      <c r="BQ584" s="1"/>
      <c r="BR584" s="1"/>
      <c r="BS584" s="1"/>
      <c r="BT584" s="1"/>
      <c r="BU584" s="4"/>
    </row>
    <row r="585">
      <c r="AK585" s="1"/>
      <c r="AQ585" s="1"/>
      <c r="AW585" s="1"/>
      <c r="BC585" s="1"/>
      <c r="BD585" s="1"/>
      <c r="BE585" s="1"/>
      <c r="BF585" s="1"/>
      <c r="BG585" s="1"/>
      <c r="BH585" s="1"/>
      <c r="BI585" s="1"/>
      <c r="BO585" s="1"/>
      <c r="BP585" s="1"/>
      <c r="BQ585" s="1"/>
      <c r="BR585" s="1"/>
      <c r="BS585" s="1"/>
      <c r="BT585" s="1"/>
      <c r="BU585" s="4"/>
    </row>
    <row r="586">
      <c r="AK586" s="1"/>
      <c r="AQ586" s="1"/>
      <c r="AW586" s="1"/>
      <c r="BC586" s="1"/>
      <c r="BD586" s="1"/>
      <c r="BE586" s="1"/>
      <c r="BF586" s="1"/>
      <c r="BG586" s="1"/>
      <c r="BH586" s="1"/>
      <c r="BI586" s="1"/>
      <c r="BO586" s="1"/>
      <c r="BP586" s="1"/>
      <c r="BQ586" s="1"/>
      <c r="BR586" s="1"/>
      <c r="BS586" s="1"/>
      <c r="BT586" s="1"/>
      <c r="BU586" s="4"/>
    </row>
    <row r="587">
      <c r="AK587" s="1"/>
      <c r="AQ587" s="1"/>
      <c r="AW587" s="1"/>
      <c r="BC587" s="1"/>
      <c r="BD587" s="1"/>
      <c r="BE587" s="1"/>
      <c r="BF587" s="1"/>
      <c r="BG587" s="1"/>
      <c r="BH587" s="1"/>
      <c r="BI587" s="1"/>
      <c r="BO587" s="1"/>
      <c r="BP587" s="1"/>
      <c r="BQ587" s="1"/>
      <c r="BR587" s="1"/>
      <c r="BS587" s="1"/>
      <c r="BT587" s="1"/>
      <c r="BU587" s="4"/>
    </row>
    <row r="588">
      <c r="AK588" s="1"/>
      <c r="AQ588" s="1"/>
      <c r="AW588" s="1"/>
      <c r="BC588" s="1"/>
      <c r="BD588" s="1"/>
      <c r="BE588" s="1"/>
      <c r="BF588" s="1"/>
      <c r="BG588" s="1"/>
      <c r="BH588" s="1"/>
      <c r="BI588" s="1"/>
      <c r="BO588" s="1"/>
      <c r="BP588" s="1"/>
      <c r="BQ588" s="1"/>
      <c r="BR588" s="1"/>
      <c r="BS588" s="1"/>
      <c r="BT588" s="1"/>
      <c r="BU588" s="4"/>
    </row>
    <row r="589">
      <c r="AK589" s="1"/>
      <c r="AQ589" s="1"/>
      <c r="AW589" s="1"/>
      <c r="BC589" s="1"/>
      <c r="BD589" s="1"/>
      <c r="BE589" s="1"/>
      <c r="BF589" s="1"/>
      <c r="BG589" s="1"/>
      <c r="BH589" s="1"/>
      <c r="BI589" s="1"/>
      <c r="BO589" s="1"/>
      <c r="BP589" s="1"/>
      <c r="BQ589" s="1"/>
      <c r="BR589" s="1"/>
      <c r="BS589" s="1"/>
      <c r="BT589" s="1"/>
      <c r="BU589" s="4"/>
    </row>
    <row r="590">
      <c r="AK590" s="1"/>
      <c r="AQ590" s="1"/>
      <c r="AW590" s="1"/>
      <c r="BC590" s="1"/>
      <c r="BD590" s="1"/>
      <c r="BE590" s="1"/>
      <c r="BF590" s="1"/>
      <c r="BG590" s="1"/>
      <c r="BH590" s="1"/>
      <c r="BI590" s="1"/>
      <c r="BO590" s="1"/>
      <c r="BP590" s="1"/>
      <c r="BQ590" s="1"/>
      <c r="BR590" s="1"/>
      <c r="BS590" s="1"/>
      <c r="BT590" s="1"/>
      <c r="BU590" s="4"/>
    </row>
    <row r="591">
      <c r="AK591" s="1"/>
      <c r="AQ591" s="1"/>
      <c r="AW591" s="1"/>
      <c r="BC591" s="1"/>
      <c r="BD591" s="1"/>
      <c r="BE591" s="1"/>
      <c r="BF591" s="1"/>
      <c r="BG591" s="1"/>
      <c r="BH591" s="1"/>
      <c r="BI591" s="1"/>
      <c r="BO591" s="1"/>
      <c r="BP591" s="1"/>
      <c r="BQ591" s="1"/>
      <c r="BR591" s="1"/>
      <c r="BS591" s="1"/>
      <c r="BT591" s="1"/>
      <c r="BU591" s="4"/>
    </row>
    <row r="592">
      <c r="AK592" s="1"/>
      <c r="AQ592" s="1"/>
      <c r="AW592" s="1"/>
      <c r="BC592" s="1"/>
      <c r="BD592" s="1"/>
      <c r="BE592" s="1"/>
      <c r="BF592" s="1"/>
      <c r="BG592" s="1"/>
      <c r="BH592" s="1"/>
      <c r="BI592" s="1"/>
      <c r="BO592" s="1"/>
      <c r="BP592" s="1"/>
      <c r="BQ592" s="1"/>
      <c r="BR592" s="1"/>
      <c r="BS592" s="1"/>
      <c r="BT592" s="1"/>
      <c r="BU592" s="4"/>
    </row>
    <row r="593">
      <c r="AK593" s="1"/>
      <c r="AQ593" s="1"/>
      <c r="AW593" s="1"/>
      <c r="BC593" s="1"/>
      <c r="BD593" s="1"/>
      <c r="BE593" s="1"/>
      <c r="BF593" s="1"/>
      <c r="BG593" s="1"/>
      <c r="BH593" s="1"/>
      <c r="BI593" s="1"/>
      <c r="BO593" s="1"/>
      <c r="BP593" s="1"/>
      <c r="BQ593" s="1"/>
      <c r="BR593" s="1"/>
      <c r="BS593" s="1"/>
      <c r="BT593" s="1"/>
      <c r="BU593" s="4"/>
    </row>
    <row r="594">
      <c r="AK594" s="1"/>
      <c r="AQ594" s="1"/>
      <c r="AW594" s="1"/>
      <c r="BC594" s="1"/>
      <c r="BD594" s="1"/>
      <c r="BE594" s="1"/>
      <c r="BF594" s="1"/>
      <c r="BG594" s="1"/>
      <c r="BH594" s="1"/>
      <c r="BI594" s="1"/>
      <c r="BO594" s="1"/>
      <c r="BP594" s="1"/>
      <c r="BQ594" s="1"/>
      <c r="BR594" s="1"/>
      <c r="BS594" s="1"/>
      <c r="BT594" s="1"/>
      <c r="BU594" s="4"/>
    </row>
    <row r="595">
      <c r="AK595" s="1"/>
      <c r="AQ595" s="1"/>
      <c r="AW595" s="1"/>
      <c r="BC595" s="1"/>
      <c r="BD595" s="1"/>
      <c r="BE595" s="1"/>
      <c r="BF595" s="1"/>
      <c r="BG595" s="1"/>
      <c r="BH595" s="1"/>
      <c r="BI595" s="1"/>
      <c r="BO595" s="1"/>
      <c r="BP595" s="1"/>
      <c r="BQ595" s="1"/>
      <c r="BR595" s="1"/>
      <c r="BS595" s="1"/>
      <c r="BT595" s="1"/>
      <c r="BU595" s="4"/>
    </row>
    <row r="596">
      <c r="AK596" s="1"/>
      <c r="AQ596" s="1"/>
      <c r="AW596" s="1"/>
      <c r="BC596" s="1"/>
      <c r="BD596" s="1"/>
      <c r="BE596" s="1"/>
      <c r="BF596" s="1"/>
      <c r="BG596" s="1"/>
      <c r="BH596" s="1"/>
      <c r="BI596" s="1"/>
      <c r="BO596" s="1"/>
      <c r="BP596" s="1"/>
      <c r="BQ596" s="1"/>
      <c r="BR596" s="1"/>
      <c r="BS596" s="1"/>
      <c r="BT596" s="1"/>
      <c r="BU596" s="4"/>
    </row>
    <row r="597">
      <c r="AK597" s="1"/>
      <c r="AQ597" s="1"/>
      <c r="AW597" s="1"/>
      <c r="BC597" s="1"/>
      <c r="BD597" s="1"/>
      <c r="BE597" s="1"/>
      <c r="BF597" s="1"/>
      <c r="BG597" s="1"/>
      <c r="BH597" s="1"/>
      <c r="BI597" s="1"/>
      <c r="BO597" s="1"/>
      <c r="BP597" s="1"/>
      <c r="BQ597" s="1"/>
      <c r="BR597" s="1"/>
      <c r="BS597" s="1"/>
      <c r="BT597" s="1"/>
      <c r="BU597" s="4"/>
    </row>
    <row r="598">
      <c r="AK598" s="1"/>
      <c r="AQ598" s="1"/>
      <c r="AW598" s="1"/>
      <c r="BC598" s="1"/>
      <c r="BD598" s="1"/>
      <c r="BE598" s="1"/>
      <c r="BF598" s="1"/>
      <c r="BG598" s="1"/>
      <c r="BH598" s="1"/>
      <c r="BI598" s="1"/>
      <c r="BO598" s="1"/>
      <c r="BP598" s="1"/>
      <c r="BQ598" s="1"/>
      <c r="BR598" s="1"/>
      <c r="BS598" s="1"/>
      <c r="BT598" s="1"/>
      <c r="BU598" s="4"/>
    </row>
    <row r="599">
      <c r="AK599" s="1"/>
      <c r="AQ599" s="1"/>
      <c r="AW599" s="1"/>
      <c r="BC599" s="1"/>
      <c r="BD599" s="1"/>
      <c r="BE599" s="1"/>
      <c r="BF599" s="1"/>
      <c r="BG599" s="1"/>
      <c r="BH599" s="1"/>
      <c r="BI599" s="1"/>
      <c r="BO599" s="1"/>
      <c r="BP599" s="1"/>
      <c r="BQ599" s="1"/>
      <c r="BR599" s="1"/>
      <c r="BS599" s="1"/>
      <c r="BT599" s="1"/>
      <c r="BU599" s="4"/>
    </row>
    <row r="600">
      <c r="AK600" s="1"/>
      <c r="AQ600" s="1"/>
      <c r="AW600" s="1"/>
      <c r="BC600" s="1"/>
      <c r="BD600" s="1"/>
      <c r="BE600" s="1"/>
      <c r="BF600" s="1"/>
      <c r="BG600" s="1"/>
      <c r="BH600" s="1"/>
      <c r="BI600" s="1"/>
      <c r="BO600" s="1"/>
      <c r="BP600" s="1"/>
      <c r="BQ600" s="1"/>
      <c r="BR600" s="1"/>
      <c r="BS600" s="1"/>
      <c r="BT600" s="1"/>
      <c r="BU600" s="4"/>
    </row>
    <row r="601">
      <c r="AK601" s="1"/>
      <c r="AQ601" s="1"/>
      <c r="AW601" s="1"/>
      <c r="BC601" s="1"/>
      <c r="BD601" s="1"/>
      <c r="BE601" s="1"/>
      <c r="BF601" s="1"/>
      <c r="BG601" s="1"/>
      <c r="BH601" s="1"/>
      <c r="BI601" s="1"/>
      <c r="BO601" s="1"/>
      <c r="BP601" s="1"/>
      <c r="BQ601" s="1"/>
      <c r="BR601" s="1"/>
      <c r="BS601" s="1"/>
      <c r="BT601" s="1"/>
      <c r="BU601" s="4"/>
    </row>
    <row r="602">
      <c r="AK602" s="1"/>
      <c r="AQ602" s="1"/>
      <c r="AW602" s="1"/>
      <c r="BC602" s="1"/>
      <c r="BD602" s="1"/>
      <c r="BE602" s="1"/>
      <c r="BF602" s="1"/>
      <c r="BG602" s="1"/>
      <c r="BH602" s="1"/>
      <c r="BI602" s="1"/>
      <c r="BO602" s="1"/>
      <c r="BP602" s="1"/>
      <c r="BQ602" s="1"/>
      <c r="BR602" s="1"/>
      <c r="BS602" s="1"/>
      <c r="BT602" s="1"/>
      <c r="BU602" s="4"/>
    </row>
    <row r="603">
      <c r="AK603" s="1"/>
      <c r="AQ603" s="1"/>
      <c r="AW603" s="1"/>
      <c r="BC603" s="1"/>
      <c r="BD603" s="1"/>
      <c r="BE603" s="1"/>
      <c r="BF603" s="1"/>
      <c r="BG603" s="1"/>
      <c r="BH603" s="1"/>
      <c r="BI603" s="1"/>
      <c r="BO603" s="1"/>
      <c r="BP603" s="1"/>
      <c r="BQ603" s="1"/>
      <c r="BR603" s="1"/>
      <c r="BS603" s="1"/>
      <c r="BT603" s="1"/>
      <c r="BU603" s="4"/>
    </row>
    <row r="604">
      <c r="AK604" s="1"/>
      <c r="AQ604" s="1"/>
      <c r="AW604" s="1"/>
      <c r="BC604" s="1"/>
      <c r="BD604" s="1"/>
      <c r="BE604" s="1"/>
      <c r="BF604" s="1"/>
      <c r="BG604" s="1"/>
      <c r="BH604" s="1"/>
      <c r="BI604" s="1"/>
      <c r="BO604" s="1"/>
      <c r="BP604" s="1"/>
      <c r="BQ604" s="1"/>
      <c r="BR604" s="1"/>
      <c r="BS604" s="1"/>
      <c r="BT604" s="1"/>
      <c r="BU604" s="4"/>
    </row>
    <row r="605">
      <c r="AK605" s="1"/>
      <c r="AQ605" s="1"/>
      <c r="AW605" s="1"/>
      <c r="BC605" s="1"/>
      <c r="BD605" s="1"/>
      <c r="BE605" s="1"/>
      <c r="BF605" s="1"/>
      <c r="BG605" s="1"/>
      <c r="BH605" s="1"/>
      <c r="BI605" s="1"/>
      <c r="BO605" s="1"/>
      <c r="BP605" s="1"/>
      <c r="BQ605" s="1"/>
      <c r="BR605" s="1"/>
      <c r="BS605" s="1"/>
      <c r="BT605" s="1"/>
      <c r="BU605" s="4"/>
    </row>
    <row r="606">
      <c r="AK606" s="1"/>
      <c r="AQ606" s="1"/>
      <c r="AW606" s="1"/>
      <c r="BC606" s="1"/>
      <c r="BD606" s="1"/>
      <c r="BE606" s="1"/>
      <c r="BF606" s="1"/>
      <c r="BG606" s="1"/>
      <c r="BH606" s="1"/>
      <c r="BI606" s="1"/>
      <c r="BO606" s="1"/>
      <c r="BP606" s="1"/>
      <c r="BQ606" s="1"/>
      <c r="BR606" s="1"/>
      <c r="BS606" s="1"/>
      <c r="BT606" s="1"/>
      <c r="BU606" s="4"/>
    </row>
    <row r="607">
      <c r="AK607" s="1"/>
      <c r="AQ607" s="1"/>
      <c r="AW607" s="1"/>
      <c r="BC607" s="1"/>
      <c r="BD607" s="1"/>
      <c r="BE607" s="1"/>
      <c r="BF607" s="1"/>
      <c r="BG607" s="1"/>
      <c r="BH607" s="1"/>
      <c r="BI607" s="1"/>
      <c r="BO607" s="1"/>
      <c r="BP607" s="1"/>
      <c r="BQ607" s="1"/>
      <c r="BR607" s="1"/>
      <c r="BS607" s="1"/>
      <c r="BT607" s="1"/>
      <c r="BU607" s="4"/>
    </row>
    <row r="608">
      <c r="AK608" s="1"/>
      <c r="AQ608" s="1"/>
      <c r="AW608" s="1"/>
      <c r="BC608" s="1"/>
      <c r="BD608" s="1"/>
      <c r="BE608" s="1"/>
      <c r="BF608" s="1"/>
      <c r="BG608" s="1"/>
      <c r="BH608" s="1"/>
      <c r="BI608" s="1"/>
      <c r="BO608" s="1"/>
      <c r="BP608" s="1"/>
      <c r="BQ608" s="1"/>
      <c r="BR608" s="1"/>
      <c r="BS608" s="1"/>
      <c r="BT608" s="1"/>
      <c r="BU608" s="4"/>
    </row>
    <row r="609">
      <c r="AK609" s="1"/>
      <c r="AQ609" s="1"/>
      <c r="AW609" s="1"/>
      <c r="BC609" s="1"/>
      <c r="BD609" s="1"/>
      <c r="BE609" s="1"/>
      <c r="BF609" s="1"/>
      <c r="BG609" s="1"/>
      <c r="BH609" s="1"/>
      <c r="BI609" s="1"/>
      <c r="BO609" s="1"/>
      <c r="BP609" s="1"/>
      <c r="BQ609" s="1"/>
      <c r="BR609" s="1"/>
      <c r="BS609" s="1"/>
      <c r="BT609" s="1"/>
      <c r="BU609" s="4"/>
    </row>
    <row r="610">
      <c r="AK610" s="1"/>
      <c r="AQ610" s="1"/>
      <c r="AW610" s="1"/>
      <c r="BC610" s="1"/>
      <c r="BD610" s="1"/>
      <c r="BE610" s="1"/>
      <c r="BF610" s="1"/>
      <c r="BG610" s="1"/>
      <c r="BH610" s="1"/>
      <c r="BI610" s="1"/>
      <c r="BO610" s="1"/>
      <c r="BP610" s="1"/>
      <c r="BQ610" s="1"/>
      <c r="BR610" s="1"/>
      <c r="BS610" s="1"/>
      <c r="BT610" s="1"/>
      <c r="BU610" s="4"/>
    </row>
    <row r="611">
      <c r="AK611" s="1"/>
      <c r="AQ611" s="1"/>
      <c r="AW611" s="1"/>
      <c r="BC611" s="1"/>
      <c r="BD611" s="1"/>
      <c r="BE611" s="1"/>
      <c r="BF611" s="1"/>
      <c r="BG611" s="1"/>
      <c r="BH611" s="1"/>
      <c r="BI611" s="1"/>
      <c r="BO611" s="1"/>
      <c r="BP611" s="1"/>
      <c r="BQ611" s="1"/>
      <c r="BR611" s="1"/>
      <c r="BS611" s="1"/>
      <c r="BT611" s="1"/>
      <c r="BU611" s="4"/>
    </row>
    <row r="612">
      <c r="AK612" s="1"/>
      <c r="AQ612" s="1"/>
      <c r="AW612" s="1"/>
      <c r="BC612" s="1"/>
      <c r="BD612" s="1"/>
      <c r="BE612" s="1"/>
      <c r="BF612" s="1"/>
      <c r="BG612" s="1"/>
      <c r="BH612" s="1"/>
      <c r="BI612" s="1"/>
      <c r="BO612" s="1"/>
      <c r="BP612" s="1"/>
      <c r="BQ612" s="1"/>
      <c r="BR612" s="1"/>
      <c r="BS612" s="1"/>
      <c r="BT612" s="1"/>
      <c r="BU612" s="4"/>
    </row>
    <row r="613">
      <c r="AK613" s="1"/>
      <c r="AQ613" s="1"/>
      <c r="AW613" s="1"/>
      <c r="BC613" s="1"/>
      <c r="BD613" s="1"/>
      <c r="BE613" s="1"/>
      <c r="BF613" s="1"/>
      <c r="BG613" s="1"/>
      <c r="BH613" s="1"/>
      <c r="BI613" s="1"/>
      <c r="BO613" s="1"/>
      <c r="BP613" s="1"/>
      <c r="BQ613" s="1"/>
      <c r="BR613" s="1"/>
      <c r="BS613" s="1"/>
      <c r="BT613" s="1"/>
      <c r="BU613" s="4"/>
    </row>
    <row r="614">
      <c r="AK614" s="1"/>
      <c r="AQ614" s="1"/>
      <c r="AW614" s="1"/>
      <c r="BC614" s="1"/>
      <c r="BD614" s="1"/>
      <c r="BE614" s="1"/>
      <c r="BF614" s="1"/>
      <c r="BG614" s="1"/>
      <c r="BH614" s="1"/>
      <c r="BI614" s="1"/>
      <c r="BO614" s="1"/>
      <c r="BP614" s="1"/>
      <c r="BQ614" s="1"/>
      <c r="BR614" s="1"/>
      <c r="BS614" s="1"/>
      <c r="BT614" s="1"/>
      <c r="BU614" s="4"/>
    </row>
    <row r="615">
      <c r="AK615" s="1"/>
      <c r="AQ615" s="1"/>
      <c r="AW615" s="1"/>
      <c r="BC615" s="1"/>
      <c r="BD615" s="1"/>
      <c r="BE615" s="1"/>
      <c r="BF615" s="1"/>
      <c r="BG615" s="1"/>
      <c r="BH615" s="1"/>
      <c r="BI615" s="1"/>
      <c r="BO615" s="1"/>
      <c r="BP615" s="1"/>
      <c r="BQ615" s="1"/>
      <c r="BR615" s="1"/>
      <c r="BS615" s="1"/>
      <c r="BT615" s="1"/>
      <c r="BU615" s="4"/>
    </row>
    <row r="616">
      <c r="AK616" s="1"/>
      <c r="AQ616" s="1"/>
      <c r="AW616" s="1"/>
      <c r="BC616" s="1"/>
      <c r="BD616" s="1"/>
      <c r="BE616" s="1"/>
      <c r="BF616" s="1"/>
      <c r="BG616" s="1"/>
      <c r="BH616" s="1"/>
      <c r="BI616" s="1"/>
      <c r="BO616" s="1"/>
      <c r="BP616" s="1"/>
      <c r="BQ616" s="1"/>
      <c r="BR616" s="1"/>
      <c r="BS616" s="1"/>
      <c r="BT616" s="1"/>
      <c r="BU616" s="4"/>
    </row>
    <row r="617">
      <c r="AK617" s="1"/>
      <c r="AQ617" s="1"/>
      <c r="AW617" s="1"/>
      <c r="BC617" s="1"/>
      <c r="BD617" s="1"/>
      <c r="BE617" s="1"/>
      <c r="BF617" s="1"/>
      <c r="BG617" s="1"/>
      <c r="BH617" s="1"/>
      <c r="BI617" s="1"/>
      <c r="BO617" s="1"/>
      <c r="BP617" s="1"/>
      <c r="BQ617" s="1"/>
      <c r="BR617" s="1"/>
      <c r="BS617" s="1"/>
      <c r="BT617" s="1"/>
      <c r="BU617" s="4"/>
    </row>
    <row r="618">
      <c r="AK618" s="1"/>
      <c r="AQ618" s="1"/>
      <c r="AW618" s="1"/>
      <c r="BC618" s="1"/>
      <c r="BD618" s="1"/>
      <c r="BE618" s="1"/>
      <c r="BF618" s="1"/>
      <c r="BG618" s="1"/>
      <c r="BH618" s="1"/>
      <c r="BI618" s="1"/>
      <c r="BO618" s="1"/>
      <c r="BP618" s="1"/>
      <c r="BQ618" s="1"/>
      <c r="BR618" s="1"/>
      <c r="BS618" s="1"/>
      <c r="BT618" s="1"/>
      <c r="BU618" s="4"/>
    </row>
    <row r="619">
      <c r="AK619" s="1"/>
      <c r="AQ619" s="1"/>
      <c r="AW619" s="1"/>
      <c r="BC619" s="1"/>
      <c r="BD619" s="1"/>
      <c r="BE619" s="1"/>
      <c r="BF619" s="1"/>
      <c r="BG619" s="1"/>
      <c r="BH619" s="1"/>
      <c r="BI619" s="1"/>
      <c r="BO619" s="1"/>
      <c r="BP619" s="1"/>
      <c r="BQ619" s="1"/>
      <c r="BR619" s="1"/>
      <c r="BS619" s="1"/>
      <c r="BT619" s="1"/>
      <c r="BU619" s="4"/>
    </row>
    <row r="620">
      <c r="AK620" s="1"/>
      <c r="AQ620" s="1"/>
      <c r="AW620" s="1"/>
      <c r="BC620" s="1"/>
      <c r="BD620" s="1"/>
      <c r="BE620" s="1"/>
      <c r="BF620" s="1"/>
      <c r="BG620" s="1"/>
      <c r="BH620" s="1"/>
      <c r="BI620" s="1"/>
      <c r="BO620" s="1"/>
      <c r="BP620" s="1"/>
      <c r="BQ620" s="1"/>
      <c r="BR620" s="1"/>
      <c r="BS620" s="1"/>
      <c r="BT620" s="1"/>
      <c r="BU620" s="4"/>
    </row>
    <row r="621">
      <c r="AK621" s="1"/>
      <c r="AQ621" s="1"/>
      <c r="AW621" s="1"/>
      <c r="BC621" s="1"/>
      <c r="BD621" s="1"/>
      <c r="BE621" s="1"/>
      <c r="BF621" s="1"/>
      <c r="BG621" s="1"/>
      <c r="BH621" s="1"/>
      <c r="BI621" s="1"/>
      <c r="BO621" s="1"/>
      <c r="BP621" s="1"/>
      <c r="BQ621" s="1"/>
      <c r="BR621" s="1"/>
      <c r="BS621" s="1"/>
      <c r="BT621" s="1"/>
      <c r="BU621" s="4"/>
    </row>
    <row r="622">
      <c r="AK622" s="1"/>
      <c r="AQ622" s="1"/>
      <c r="AW622" s="1"/>
      <c r="BC622" s="1"/>
      <c r="BD622" s="1"/>
      <c r="BE622" s="1"/>
      <c r="BF622" s="1"/>
      <c r="BG622" s="1"/>
      <c r="BH622" s="1"/>
      <c r="BI622" s="1"/>
      <c r="BO622" s="1"/>
      <c r="BP622" s="1"/>
      <c r="BQ622" s="1"/>
      <c r="BR622" s="1"/>
      <c r="BS622" s="1"/>
      <c r="BT622" s="1"/>
      <c r="BU622" s="4"/>
    </row>
    <row r="623">
      <c r="AK623" s="1"/>
      <c r="AQ623" s="1"/>
      <c r="AW623" s="1"/>
      <c r="BC623" s="1"/>
      <c r="BD623" s="1"/>
      <c r="BE623" s="1"/>
      <c r="BF623" s="1"/>
      <c r="BG623" s="1"/>
      <c r="BH623" s="1"/>
      <c r="BI623" s="1"/>
      <c r="BO623" s="1"/>
      <c r="BP623" s="1"/>
      <c r="BQ623" s="1"/>
      <c r="BR623" s="1"/>
      <c r="BS623" s="1"/>
      <c r="BT623" s="1"/>
      <c r="BU623" s="4"/>
    </row>
    <row r="624">
      <c r="AK624" s="1"/>
      <c r="AQ624" s="1"/>
      <c r="AW624" s="1"/>
      <c r="BC624" s="1"/>
      <c r="BD624" s="1"/>
      <c r="BE624" s="1"/>
      <c r="BF624" s="1"/>
      <c r="BG624" s="1"/>
      <c r="BH624" s="1"/>
      <c r="BI624" s="1"/>
      <c r="BO624" s="1"/>
      <c r="BP624" s="1"/>
      <c r="BQ624" s="1"/>
      <c r="BR624" s="1"/>
      <c r="BS624" s="1"/>
      <c r="BT624" s="1"/>
      <c r="BU624" s="4"/>
    </row>
    <row r="625">
      <c r="AK625" s="1"/>
      <c r="AQ625" s="1"/>
      <c r="AW625" s="1"/>
      <c r="BC625" s="1"/>
      <c r="BD625" s="1"/>
      <c r="BE625" s="1"/>
      <c r="BF625" s="1"/>
      <c r="BG625" s="1"/>
      <c r="BH625" s="1"/>
      <c r="BI625" s="1"/>
      <c r="BO625" s="1"/>
      <c r="BP625" s="1"/>
      <c r="BQ625" s="1"/>
      <c r="BR625" s="1"/>
      <c r="BS625" s="1"/>
      <c r="BT625" s="1"/>
      <c r="BU625" s="4"/>
    </row>
    <row r="626">
      <c r="AK626" s="1"/>
      <c r="AQ626" s="1"/>
      <c r="AW626" s="1"/>
      <c r="BC626" s="1"/>
      <c r="BD626" s="1"/>
      <c r="BE626" s="1"/>
      <c r="BF626" s="1"/>
      <c r="BG626" s="1"/>
      <c r="BH626" s="1"/>
      <c r="BI626" s="1"/>
      <c r="BO626" s="1"/>
      <c r="BP626" s="1"/>
      <c r="BQ626" s="1"/>
      <c r="BR626" s="1"/>
      <c r="BS626" s="1"/>
      <c r="BT626" s="1"/>
      <c r="BU626" s="4"/>
    </row>
    <row r="627">
      <c r="AK627" s="1"/>
      <c r="AQ627" s="1"/>
      <c r="AW627" s="1"/>
      <c r="BC627" s="1"/>
      <c r="BD627" s="1"/>
      <c r="BE627" s="1"/>
      <c r="BF627" s="1"/>
      <c r="BG627" s="1"/>
      <c r="BH627" s="1"/>
      <c r="BI627" s="1"/>
      <c r="BO627" s="1"/>
      <c r="BP627" s="1"/>
      <c r="BQ627" s="1"/>
      <c r="BR627" s="1"/>
      <c r="BS627" s="1"/>
      <c r="BT627" s="1"/>
      <c r="BU627" s="4"/>
    </row>
    <row r="628">
      <c r="AK628" s="1"/>
      <c r="AQ628" s="1"/>
      <c r="AW628" s="1"/>
      <c r="BC628" s="1"/>
      <c r="BD628" s="1"/>
      <c r="BE628" s="1"/>
      <c r="BF628" s="1"/>
      <c r="BG628" s="1"/>
      <c r="BH628" s="1"/>
      <c r="BI628" s="1"/>
      <c r="BO628" s="1"/>
      <c r="BP628" s="1"/>
      <c r="BQ628" s="1"/>
      <c r="BR628" s="1"/>
      <c r="BS628" s="1"/>
      <c r="BT628" s="1"/>
      <c r="BU628" s="4"/>
    </row>
    <row r="629">
      <c r="AK629" s="1"/>
      <c r="AQ629" s="1"/>
      <c r="AW629" s="1"/>
      <c r="BC629" s="1"/>
      <c r="BD629" s="1"/>
      <c r="BE629" s="1"/>
      <c r="BF629" s="1"/>
      <c r="BG629" s="1"/>
      <c r="BH629" s="1"/>
      <c r="BI629" s="1"/>
      <c r="BO629" s="1"/>
      <c r="BP629" s="1"/>
      <c r="BQ629" s="1"/>
      <c r="BR629" s="1"/>
      <c r="BS629" s="1"/>
      <c r="BT629" s="1"/>
      <c r="BU629" s="4"/>
    </row>
    <row r="630">
      <c r="AK630" s="1"/>
      <c r="AQ630" s="1"/>
      <c r="AW630" s="1"/>
      <c r="BC630" s="1"/>
      <c r="BD630" s="1"/>
      <c r="BE630" s="1"/>
      <c r="BF630" s="1"/>
      <c r="BG630" s="1"/>
      <c r="BH630" s="1"/>
      <c r="BI630" s="1"/>
      <c r="BO630" s="1"/>
      <c r="BP630" s="1"/>
      <c r="BQ630" s="1"/>
      <c r="BR630" s="1"/>
      <c r="BS630" s="1"/>
      <c r="BT630" s="1"/>
      <c r="BU630" s="4"/>
    </row>
    <row r="631">
      <c r="AK631" s="1"/>
      <c r="AQ631" s="1"/>
      <c r="AW631" s="1"/>
      <c r="BC631" s="1"/>
      <c r="BD631" s="1"/>
      <c r="BE631" s="1"/>
      <c r="BF631" s="1"/>
      <c r="BG631" s="1"/>
      <c r="BH631" s="1"/>
      <c r="BI631" s="1"/>
      <c r="BO631" s="1"/>
      <c r="BP631" s="1"/>
      <c r="BQ631" s="1"/>
      <c r="BR631" s="1"/>
      <c r="BS631" s="1"/>
      <c r="BT631" s="1"/>
      <c r="BU631" s="4"/>
    </row>
    <row r="632">
      <c r="AK632" s="1"/>
      <c r="AQ632" s="1"/>
      <c r="AW632" s="1"/>
      <c r="BC632" s="1"/>
      <c r="BD632" s="1"/>
      <c r="BE632" s="1"/>
      <c r="BF632" s="1"/>
      <c r="BG632" s="1"/>
      <c r="BH632" s="1"/>
      <c r="BI632" s="1"/>
      <c r="BO632" s="1"/>
      <c r="BP632" s="1"/>
      <c r="BQ632" s="1"/>
      <c r="BR632" s="1"/>
      <c r="BS632" s="1"/>
      <c r="BT632" s="1"/>
      <c r="BU632" s="4"/>
    </row>
    <row r="633">
      <c r="AK633" s="1"/>
      <c r="AQ633" s="1"/>
      <c r="AW633" s="1"/>
      <c r="BC633" s="1"/>
      <c r="BD633" s="1"/>
      <c r="BE633" s="1"/>
      <c r="BF633" s="1"/>
      <c r="BG633" s="1"/>
      <c r="BH633" s="1"/>
      <c r="BI633" s="1"/>
      <c r="BO633" s="1"/>
      <c r="BP633" s="1"/>
      <c r="BQ633" s="1"/>
      <c r="BR633" s="1"/>
      <c r="BS633" s="1"/>
      <c r="BT633" s="1"/>
      <c r="BU633" s="4"/>
    </row>
    <row r="634">
      <c r="AK634" s="1"/>
      <c r="AQ634" s="1"/>
      <c r="AW634" s="1"/>
      <c r="BC634" s="1"/>
      <c r="BD634" s="1"/>
      <c r="BE634" s="1"/>
      <c r="BF634" s="1"/>
      <c r="BG634" s="1"/>
      <c r="BH634" s="1"/>
      <c r="BI634" s="1"/>
      <c r="BO634" s="1"/>
      <c r="BP634" s="1"/>
      <c r="BQ634" s="1"/>
      <c r="BR634" s="1"/>
      <c r="BS634" s="1"/>
      <c r="BT634" s="1"/>
      <c r="BU634" s="4"/>
    </row>
    <row r="635">
      <c r="AK635" s="1"/>
      <c r="AQ635" s="1"/>
      <c r="AW635" s="1"/>
      <c r="BC635" s="1"/>
      <c r="BD635" s="1"/>
      <c r="BE635" s="1"/>
      <c r="BF635" s="1"/>
      <c r="BG635" s="1"/>
      <c r="BH635" s="1"/>
      <c r="BI635" s="1"/>
      <c r="BO635" s="1"/>
      <c r="BP635" s="1"/>
      <c r="BQ635" s="1"/>
      <c r="BR635" s="1"/>
      <c r="BS635" s="1"/>
      <c r="BT635" s="1"/>
      <c r="BU635" s="4"/>
    </row>
    <row r="636">
      <c r="AK636" s="1"/>
      <c r="AQ636" s="1"/>
      <c r="AW636" s="1"/>
      <c r="BC636" s="1"/>
      <c r="BD636" s="1"/>
      <c r="BE636" s="1"/>
      <c r="BF636" s="1"/>
      <c r="BG636" s="1"/>
      <c r="BH636" s="1"/>
      <c r="BI636" s="1"/>
      <c r="BO636" s="1"/>
      <c r="BP636" s="1"/>
      <c r="BQ636" s="1"/>
      <c r="BR636" s="1"/>
      <c r="BS636" s="1"/>
      <c r="BT636" s="1"/>
      <c r="BU636" s="4"/>
    </row>
    <row r="637">
      <c r="AK637" s="1"/>
      <c r="AQ637" s="1"/>
      <c r="AW637" s="1"/>
      <c r="BC637" s="1"/>
      <c r="BD637" s="1"/>
      <c r="BE637" s="1"/>
      <c r="BF637" s="1"/>
      <c r="BG637" s="1"/>
      <c r="BH637" s="1"/>
      <c r="BI637" s="1"/>
      <c r="BO637" s="1"/>
      <c r="BP637" s="1"/>
      <c r="BQ637" s="1"/>
      <c r="BR637" s="1"/>
      <c r="BS637" s="1"/>
      <c r="BT637" s="1"/>
      <c r="BU637" s="4"/>
    </row>
    <row r="638">
      <c r="AK638" s="1"/>
      <c r="AQ638" s="1"/>
      <c r="AW638" s="1"/>
      <c r="BC638" s="1"/>
      <c r="BD638" s="1"/>
      <c r="BE638" s="1"/>
      <c r="BF638" s="1"/>
      <c r="BG638" s="1"/>
      <c r="BH638" s="1"/>
      <c r="BI638" s="1"/>
      <c r="BO638" s="1"/>
      <c r="BP638" s="1"/>
      <c r="BQ638" s="1"/>
      <c r="BR638" s="1"/>
      <c r="BS638" s="1"/>
      <c r="BT638" s="1"/>
      <c r="BU638" s="4"/>
    </row>
    <row r="639">
      <c r="AK639" s="1"/>
      <c r="AQ639" s="1"/>
      <c r="AW639" s="1"/>
      <c r="BC639" s="1"/>
      <c r="BD639" s="1"/>
      <c r="BE639" s="1"/>
      <c r="BF639" s="1"/>
      <c r="BG639" s="1"/>
      <c r="BH639" s="1"/>
      <c r="BI639" s="1"/>
      <c r="BO639" s="1"/>
      <c r="BP639" s="1"/>
      <c r="BQ639" s="1"/>
      <c r="BR639" s="1"/>
      <c r="BS639" s="1"/>
      <c r="BT639" s="1"/>
      <c r="BU639" s="4"/>
    </row>
    <row r="640">
      <c r="AK640" s="1"/>
      <c r="AQ640" s="1"/>
      <c r="AW640" s="1"/>
      <c r="BC640" s="1"/>
      <c r="BD640" s="1"/>
      <c r="BE640" s="1"/>
      <c r="BF640" s="1"/>
      <c r="BG640" s="1"/>
      <c r="BH640" s="1"/>
      <c r="BI640" s="1"/>
      <c r="BO640" s="1"/>
      <c r="BP640" s="1"/>
      <c r="BQ640" s="1"/>
      <c r="BR640" s="1"/>
      <c r="BS640" s="1"/>
      <c r="BT640" s="1"/>
      <c r="BU640" s="4"/>
    </row>
    <row r="641">
      <c r="AK641" s="1"/>
      <c r="AQ641" s="1"/>
      <c r="AW641" s="1"/>
      <c r="BC641" s="1"/>
      <c r="BD641" s="1"/>
      <c r="BE641" s="1"/>
      <c r="BF641" s="1"/>
      <c r="BG641" s="1"/>
      <c r="BH641" s="1"/>
      <c r="BI641" s="1"/>
      <c r="BO641" s="1"/>
      <c r="BP641" s="1"/>
      <c r="BQ641" s="1"/>
      <c r="BR641" s="1"/>
      <c r="BS641" s="1"/>
      <c r="BT641" s="1"/>
      <c r="BU641" s="4"/>
    </row>
    <row r="642">
      <c r="AK642" s="1"/>
      <c r="AQ642" s="1"/>
      <c r="AW642" s="1"/>
      <c r="BC642" s="1"/>
      <c r="BD642" s="1"/>
      <c r="BE642" s="1"/>
      <c r="BF642" s="1"/>
      <c r="BG642" s="1"/>
      <c r="BH642" s="1"/>
      <c r="BI642" s="1"/>
      <c r="BO642" s="1"/>
      <c r="BP642" s="1"/>
      <c r="BQ642" s="1"/>
      <c r="BR642" s="1"/>
      <c r="BS642" s="1"/>
      <c r="BT642" s="1"/>
      <c r="BU642" s="4"/>
    </row>
    <row r="643">
      <c r="AK643" s="1"/>
      <c r="AQ643" s="1"/>
      <c r="AW643" s="1"/>
      <c r="BC643" s="1"/>
      <c r="BD643" s="1"/>
      <c r="BE643" s="1"/>
      <c r="BF643" s="1"/>
      <c r="BG643" s="1"/>
      <c r="BH643" s="1"/>
      <c r="BI643" s="1"/>
      <c r="BO643" s="1"/>
      <c r="BP643" s="1"/>
      <c r="BQ643" s="1"/>
      <c r="BR643" s="1"/>
      <c r="BS643" s="1"/>
      <c r="BT643" s="1"/>
      <c r="BU643" s="4"/>
    </row>
    <row r="644">
      <c r="AK644" s="1"/>
      <c r="AQ644" s="1"/>
      <c r="AW644" s="1"/>
      <c r="BC644" s="1"/>
      <c r="BD644" s="1"/>
      <c r="BE644" s="1"/>
      <c r="BF644" s="1"/>
      <c r="BG644" s="1"/>
      <c r="BH644" s="1"/>
      <c r="BI644" s="1"/>
      <c r="BO644" s="1"/>
      <c r="BP644" s="1"/>
      <c r="BQ644" s="1"/>
      <c r="BR644" s="1"/>
      <c r="BS644" s="1"/>
      <c r="BT644" s="1"/>
      <c r="BU644" s="4"/>
    </row>
    <row r="645">
      <c r="AK645" s="1"/>
      <c r="AQ645" s="1"/>
      <c r="AW645" s="1"/>
      <c r="BC645" s="1"/>
      <c r="BD645" s="1"/>
      <c r="BE645" s="1"/>
      <c r="BF645" s="1"/>
      <c r="BG645" s="1"/>
      <c r="BH645" s="1"/>
      <c r="BI645" s="1"/>
      <c r="BO645" s="1"/>
      <c r="BP645" s="1"/>
      <c r="BQ645" s="1"/>
      <c r="BR645" s="1"/>
      <c r="BS645" s="1"/>
      <c r="BT645" s="1"/>
      <c r="BU645" s="4"/>
    </row>
    <row r="646">
      <c r="AK646" s="1"/>
      <c r="AQ646" s="1"/>
      <c r="AW646" s="1"/>
      <c r="BC646" s="1"/>
      <c r="BD646" s="1"/>
      <c r="BE646" s="1"/>
      <c r="BF646" s="1"/>
      <c r="BG646" s="1"/>
      <c r="BH646" s="1"/>
      <c r="BI646" s="1"/>
      <c r="BO646" s="1"/>
      <c r="BP646" s="1"/>
      <c r="BQ646" s="1"/>
      <c r="BR646" s="1"/>
      <c r="BS646" s="1"/>
      <c r="BT646" s="1"/>
      <c r="BU646" s="4"/>
    </row>
    <row r="647">
      <c r="AK647" s="1"/>
      <c r="AQ647" s="1"/>
      <c r="AW647" s="1"/>
      <c r="BC647" s="1"/>
      <c r="BD647" s="1"/>
      <c r="BE647" s="1"/>
      <c r="BF647" s="1"/>
      <c r="BG647" s="1"/>
      <c r="BH647" s="1"/>
      <c r="BI647" s="1"/>
      <c r="BO647" s="1"/>
      <c r="BP647" s="1"/>
      <c r="BQ647" s="1"/>
      <c r="BR647" s="1"/>
      <c r="BS647" s="1"/>
      <c r="BT647" s="1"/>
      <c r="BU647" s="4"/>
    </row>
    <row r="648">
      <c r="AK648" s="1"/>
      <c r="AQ648" s="1"/>
      <c r="AW648" s="1"/>
      <c r="BC648" s="1"/>
      <c r="BD648" s="1"/>
      <c r="BE648" s="1"/>
      <c r="BF648" s="1"/>
      <c r="BG648" s="1"/>
      <c r="BH648" s="1"/>
      <c r="BI648" s="1"/>
      <c r="BO648" s="1"/>
      <c r="BP648" s="1"/>
      <c r="BQ648" s="1"/>
      <c r="BR648" s="1"/>
      <c r="BS648" s="1"/>
      <c r="BT648" s="1"/>
      <c r="BU648" s="4"/>
    </row>
    <row r="649">
      <c r="AK649" s="1"/>
      <c r="AQ649" s="1"/>
      <c r="AW649" s="1"/>
      <c r="BC649" s="1"/>
      <c r="BD649" s="1"/>
      <c r="BE649" s="1"/>
      <c r="BF649" s="1"/>
      <c r="BG649" s="1"/>
      <c r="BH649" s="1"/>
      <c r="BI649" s="1"/>
      <c r="BO649" s="1"/>
      <c r="BP649" s="1"/>
      <c r="BQ649" s="1"/>
      <c r="BR649" s="1"/>
      <c r="BS649" s="1"/>
      <c r="BT649" s="1"/>
      <c r="BU649" s="4"/>
    </row>
    <row r="650">
      <c r="AK650" s="1"/>
      <c r="AQ650" s="1"/>
      <c r="AW650" s="1"/>
      <c r="BC650" s="1"/>
      <c r="BD650" s="1"/>
      <c r="BE650" s="1"/>
      <c r="BF650" s="1"/>
      <c r="BG650" s="1"/>
      <c r="BH650" s="1"/>
      <c r="BI650" s="1"/>
      <c r="BO650" s="1"/>
      <c r="BP650" s="1"/>
      <c r="BQ650" s="1"/>
      <c r="BR650" s="1"/>
      <c r="BS650" s="1"/>
      <c r="BT650" s="1"/>
      <c r="BU650" s="4"/>
    </row>
    <row r="651">
      <c r="AK651" s="1"/>
      <c r="AQ651" s="1"/>
      <c r="AW651" s="1"/>
      <c r="BC651" s="1"/>
      <c r="BD651" s="1"/>
      <c r="BE651" s="1"/>
      <c r="BF651" s="1"/>
      <c r="BG651" s="1"/>
      <c r="BH651" s="1"/>
      <c r="BI651" s="1"/>
      <c r="BO651" s="1"/>
      <c r="BP651" s="1"/>
      <c r="BQ651" s="1"/>
      <c r="BR651" s="1"/>
      <c r="BS651" s="1"/>
      <c r="BT651" s="1"/>
      <c r="BU651" s="4"/>
    </row>
    <row r="652">
      <c r="AK652" s="1"/>
      <c r="AQ652" s="1"/>
      <c r="AW652" s="1"/>
      <c r="BC652" s="1"/>
      <c r="BD652" s="1"/>
      <c r="BE652" s="1"/>
      <c r="BF652" s="1"/>
      <c r="BG652" s="1"/>
      <c r="BH652" s="1"/>
      <c r="BI652" s="1"/>
      <c r="BO652" s="1"/>
      <c r="BP652" s="1"/>
      <c r="BQ652" s="1"/>
      <c r="BR652" s="1"/>
      <c r="BS652" s="1"/>
      <c r="BT652" s="1"/>
      <c r="BU652" s="4"/>
    </row>
    <row r="653">
      <c r="AK653" s="1"/>
      <c r="AQ653" s="1"/>
      <c r="AW653" s="1"/>
      <c r="BC653" s="1"/>
      <c r="BD653" s="1"/>
      <c r="BE653" s="1"/>
      <c r="BF653" s="1"/>
      <c r="BG653" s="1"/>
      <c r="BH653" s="1"/>
      <c r="BI653" s="1"/>
      <c r="BO653" s="1"/>
      <c r="BP653" s="1"/>
      <c r="BQ653" s="1"/>
      <c r="BR653" s="1"/>
      <c r="BS653" s="1"/>
      <c r="BT653" s="1"/>
      <c r="BU653" s="4"/>
    </row>
    <row r="654">
      <c r="AK654" s="1"/>
      <c r="AQ654" s="1"/>
      <c r="AW654" s="1"/>
      <c r="BC654" s="1"/>
      <c r="BD654" s="1"/>
      <c r="BE654" s="1"/>
      <c r="BF654" s="1"/>
      <c r="BG654" s="1"/>
      <c r="BH654" s="1"/>
      <c r="BI654" s="1"/>
      <c r="BO654" s="1"/>
      <c r="BP654" s="1"/>
      <c r="BQ654" s="1"/>
      <c r="BR654" s="1"/>
      <c r="BS654" s="1"/>
      <c r="BT654" s="1"/>
      <c r="BU654" s="4"/>
    </row>
    <row r="655">
      <c r="AK655" s="1"/>
      <c r="AQ655" s="1"/>
      <c r="AW655" s="1"/>
      <c r="BC655" s="1"/>
      <c r="BD655" s="1"/>
      <c r="BE655" s="1"/>
      <c r="BF655" s="1"/>
      <c r="BG655" s="1"/>
      <c r="BH655" s="1"/>
      <c r="BI655" s="1"/>
      <c r="BO655" s="1"/>
      <c r="BP655" s="1"/>
      <c r="BQ655" s="1"/>
      <c r="BR655" s="1"/>
      <c r="BS655" s="1"/>
      <c r="BT655" s="1"/>
      <c r="BU655" s="4"/>
    </row>
    <row r="656">
      <c r="AK656" s="1"/>
      <c r="AQ656" s="1"/>
      <c r="AW656" s="1"/>
      <c r="BC656" s="1"/>
      <c r="BD656" s="1"/>
      <c r="BE656" s="1"/>
      <c r="BF656" s="1"/>
      <c r="BG656" s="1"/>
      <c r="BH656" s="1"/>
      <c r="BI656" s="1"/>
      <c r="BO656" s="1"/>
      <c r="BP656" s="1"/>
      <c r="BQ656" s="1"/>
      <c r="BR656" s="1"/>
      <c r="BS656" s="1"/>
      <c r="BT656" s="1"/>
      <c r="BU656" s="4"/>
    </row>
    <row r="657">
      <c r="AK657" s="1"/>
      <c r="AQ657" s="1"/>
      <c r="AW657" s="1"/>
      <c r="BC657" s="1"/>
      <c r="BD657" s="1"/>
      <c r="BE657" s="1"/>
      <c r="BF657" s="1"/>
      <c r="BG657" s="1"/>
      <c r="BH657" s="1"/>
      <c r="BI657" s="1"/>
      <c r="BO657" s="1"/>
      <c r="BP657" s="1"/>
      <c r="BQ657" s="1"/>
      <c r="BR657" s="1"/>
      <c r="BS657" s="1"/>
      <c r="BT657" s="1"/>
      <c r="BU657" s="4"/>
    </row>
    <row r="658">
      <c r="AK658" s="1"/>
      <c r="AQ658" s="1"/>
      <c r="AW658" s="1"/>
      <c r="BC658" s="1"/>
      <c r="BD658" s="1"/>
      <c r="BE658" s="1"/>
      <c r="BF658" s="1"/>
      <c r="BG658" s="1"/>
      <c r="BH658" s="1"/>
      <c r="BI658" s="1"/>
      <c r="BO658" s="1"/>
      <c r="BP658" s="1"/>
      <c r="BQ658" s="1"/>
      <c r="BR658" s="1"/>
      <c r="BS658" s="1"/>
      <c r="BT658" s="1"/>
      <c r="BU658" s="4"/>
    </row>
    <row r="659">
      <c r="AK659" s="1"/>
      <c r="AQ659" s="1"/>
      <c r="AW659" s="1"/>
      <c r="BC659" s="1"/>
      <c r="BD659" s="1"/>
      <c r="BE659" s="1"/>
      <c r="BF659" s="1"/>
      <c r="BG659" s="1"/>
      <c r="BH659" s="1"/>
      <c r="BI659" s="1"/>
      <c r="BO659" s="1"/>
      <c r="BP659" s="1"/>
      <c r="BQ659" s="1"/>
      <c r="BR659" s="1"/>
      <c r="BS659" s="1"/>
      <c r="BT659" s="1"/>
      <c r="BU659" s="4"/>
    </row>
    <row r="660">
      <c r="AK660" s="1"/>
      <c r="AQ660" s="1"/>
      <c r="AW660" s="1"/>
      <c r="BC660" s="1"/>
      <c r="BD660" s="1"/>
      <c r="BE660" s="1"/>
      <c r="BF660" s="1"/>
      <c r="BG660" s="1"/>
      <c r="BH660" s="1"/>
      <c r="BI660" s="1"/>
      <c r="BO660" s="1"/>
      <c r="BP660" s="1"/>
      <c r="BQ660" s="1"/>
      <c r="BR660" s="1"/>
      <c r="BS660" s="1"/>
      <c r="BT660" s="1"/>
      <c r="BU660" s="4"/>
    </row>
    <row r="661">
      <c r="AK661" s="1"/>
      <c r="AQ661" s="1"/>
      <c r="AW661" s="1"/>
      <c r="BC661" s="1"/>
      <c r="BD661" s="1"/>
      <c r="BE661" s="1"/>
      <c r="BF661" s="1"/>
      <c r="BG661" s="1"/>
      <c r="BH661" s="1"/>
      <c r="BI661" s="1"/>
      <c r="BO661" s="1"/>
      <c r="BP661" s="1"/>
      <c r="BQ661" s="1"/>
      <c r="BR661" s="1"/>
      <c r="BS661" s="1"/>
      <c r="BT661" s="1"/>
      <c r="BU661" s="4"/>
    </row>
    <row r="662">
      <c r="AK662" s="1"/>
      <c r="AQ662" s="1"/>
      <c r="AW662" s="1"/>
      <c r="BC662" s="1"/>
      <c r="BD662" s="1"/>
      <c r="BE662" s="1"/>
      <c r="BF662" s="1"/>
      <c r="BG662" s="1"/>
      <c r="BH662" s="1"/>
      <c r="BI662" s="1"/>
      <c r="BO662" s="1"/>
      <c r="BP662" s="1"/>
      <c r="BQ662" s="1"/>
      <c r="BR662" s="1"/>
      <c r="BS662" s="1"/>
      <c r="BT662" s="1"/>
      <c r="BU662" s="4"/>
    </row>
    <row r="663">
      <c r="AK663" s="1"/>
      <c r="AQ663" s="1"/>
      <c r="AW663" s="1"/>
      <c r="BC663" s="1"/>
      <c r="BD663" s="1"/>
      <c r="BE663" s="1"/>
      <c r="BF663" s="1"/>
      <c r="BG663" s="1"/>
      <c r="BH663" s="1"/>
      <c r="BI663" s="1"/>
      <c r="BO663" s="1"/>
      <c r="BP663" s="1"/>
      <c r="BQ663" s="1"/>
      <c r="BR663" s="1"/>
      <c r="BS663" s="1"/>
      <c r="BT663" s="1"/>
      <c r="BU663" s="4"/>
    </row>
    <row r="664">
      <c r="AK664" s="1"/>
      <c r="AQ664" s="1"/>
      <c r="AW664" s="1"/>
      <c r="BC664" s="1"/>
      <c r="BD664" s="1"/>
      <c r="BE664" s="1"/>
      <c r="BF664" s="1"/>
      <c r="BG664" s="1"/>
      <c r="BH664" s="1"/>
      <c r="BI664" s="1"/>
      <c r="BO664" s="1"/>
      <c r="BP664" s="1"/>
      <c r="BQ664" s="1"/>
      <c r="BR664" s="1"/>
      <c r="BS664" s="1"/>
      <c r="BT664" s="1"/>
      <c r="BU664" s="4"/>
    </row>
    <row r="665">
      <c r="AK665" s="1"/>
      <c r="AQ665" s="1"/>
      <c r="AW665" s="1"/>
      <c r="BC665" s="1"/>
      <c r="BD665" s="1"/>
      <c r="BE665" s="1"/>
      <c r="BF665" s="1"/>
      <c r="BG665" s="1"/>
      <c r="BH665" s="1"/>
      <c r="BI665" s="1"/>
      <c r="BO665" s="1"/>
      <c r="BP665" s="1"/>
      <c r="BQ665" s="1"/>
      <c r="BR665" s="1"/>
      <c r="BS665" s="1"/>
      <c r="BT665" s="1"/>
      <c r="BU665" s="4"/>
    </row>
    <row r="666">
      <c r="AK666" s="1"/>
      <c r="AQ666" s="1"/>
      <c r="AW666" s="1"/>
      <c r="BC666" s="1"/>
      <c r="BD666" s="1"/>
      <c r="BE666" s="1"/>
      <c r="BF666" s="1"/>
      <c r="BG666" s="1"/>
      <c r="BH666" s="1"/>
      <c r="BI666" s="1"/>
      <c r="BO666" s="1"/>
      <c r="BP666" s="1"/>
      <c r="BQ666" s="1"/>
      <c r="BR666" s="1"/>
      <c r="BS666" s="1"/>
      <c r="BT666" s="1"/>
      <c r="BU666" s="4"/>
    </row>
    <row r="667">
      <c r="AK667" s="1"/>
      <c r="AQ667" s="1"/>
      <c r="AW667" s="1"/>
      <c r="BC667" s="1"/>
      <c r="BD667" s="1"/>
      <c r="BE667" s="1"/>
      <c r="BF667" s="1"/>
      <c r="BG667" s="1"/>
      <c r="BH667" s="1"/>
      <c r="BI667" s="1"/>
      <c r="BO667" s="1"/>
      <c r="BP667" s="1"/>
      <c r="BQ667" s="1"/>
      <c r="BR667" s="1"/>
      <c r="BS667" s="1"/>
      <c r="BT667" s="1"/>
      <c r="BU667" s="4"/>
    </row>
    <row r="668">
      <c r="AK668" s="1"/>
      <c r="AQ668" s="1"/>
      <c r="AW668" s="1"/>
      <c r="BC668" s="1"/>
      <c r="BD668" s="1"/>
      <c r="BE668" s="1"/>
      <c r="BF668" s="1"/>
      <c r="BG668" s="1"/>
      <c r="BH668" s="1"/>
      <c r="BI668" s="1"/>
      <c r="BO668" s="1"/>
      <c r="BP668" s="1"/>
      <c r="BQ668" s="1"/>
      <c r="BR668" s="1"/>
      <c r="BS668" s="1"/>
      <c r="BT668" s="1"/>
      <c r="BU668" s="4"/>
    </row>
    <row r="669">
      <c r="AK669" s="1"/>
      <c r="AQ669" s="1"/>
      <c r="AW669" s="1"/>
      <c r="BC669" s="1"/>
      <c r="BD669" s="1"/>
      <c r="BE669" s="1"/>
      <c r="BF669" s="1"/>
      <c r="BG669" s="1"/>
      <c r="BH669" s="1"/>
      <c r="BI669" s="1"/>
      <c r="BO669" s="1"/>
      <c r="BP669" s="1"/>
      <c r="BQ669" s="1"/>
      <c r="BR669" s="1"/>
      <c r="BS669" s="1"/>
      <c r="BT669" s="1"/>
      <c r="BU669" s="4"/>
    </row>
    <row r="670">
      <c r="AK670" s="1"/>
      <c r="AQ670" s="1"/>
      <c r="AW670" s="1"/>
      <c r="BC670" s="1"/>
      <c r="BD670" s="1"/>
      <c r="BE670" s="1"/>
      <c r="BF670" s="1"/>
      <c r="BG670" s="1"/>
      <c r="BH670" s="1"/>
      <c r="BI670" s="1"/>
      <c r="BO670" s="1"/>
      <c r="BP670" s="1"/>
      <c r="BQ670" s="1"/>
      <c r="BR670" s="1"/>
      <c r="BS670" s="1"/>
      <c r="BT670" s="1"/>
      <c r="BU670" s="4"/>
    </row>
    <row r="671">
      <c r="AK671" s="1"/>
      <c r="AQ671" s="1"/>
      <c r="AW671" s="1"/>
      <c r="BC671" s="1"/>
      <c r="BD671" s="1"/>
      <c r="BE671" s="1"/>
      <c r="BF671" s="1"/>
      <c r="BG671" s="1"/>
      <c r="BH671" s="1"/>
      <c r="BI671" s="1"/>
      <c r="BO671" s="1"/>
      <c r="BP671" s="1"/>
      <c r="BQ671" s="1"/>
      <c r="BR671" s="1"/>
      <c r="BS671" s="1"/>
      <c r="BT671" s="1"/>
      <c r="BU671" s="4"/>
    </row>
    <row r="672">
      <c r="AK672" s="1"/>
      <c r="AQ672" s="1"/>
      <c r="AW672" s="1"/>
      <c r="BC672" s="1"/>
      <c r="BD672" s="1"/>
      <c r="BE672" s="1"/>
      <c r="BF672" s="1"/>
      <c r="BG672" s="1"/>
      <c r="BH672" s="1"/>
      <c r="BI672" s="1"/>
      <c r="BO672" s="1"/>
      <c r="BP672" s="1"/>
      <c r="BQ672" s="1"/>
      <c r="BR672" s="1"/>
      <c r="BS672" s="1"/>
      <c r="BT672" s="1"/>
      <c r="BU672" s="4"/>
    </row>
    <row r="673">
      <c r="AK673" s="1"/>
      <c r="AQ673" s="1"/>
      <c r="AW673" s="1"/>
      <c r="BC673" s="1"/>
      <c r="BD673" s="1"/>
      <c r="BE673" s="1"/>
      <c r="BF673" s="1"/>
      <c r="BG673" s="1"/>
      <c r="BH673" s="1"/>
      <c r="BI673" s="1"/>
      <c r="BO673" s="1"/>
      <c r="BP673" s="1"/>
      <c r="BQ673" s="1"/>
      <c r="BR673" s="1"/>
      <c r="BS673" s="1"/>
      <c r="BT673" s="1"/>
      <c r="BU673" s="4"/>
    </row>
    <row r="674">
      <c r="AK674" s="1"/>
      <c r="AQ674" s="1"/>
      <c r="AW674" s="1"/>
      <c r="BC674" s="1"/>
      <c r="BD674" s="1"/>
      <c r="BE674" s="1"/>
      <c r="BF674" s="1"/>
      <c r="BG674" s="1"/>
      <c r="BH674" s="1"/>
      <c r="BI674" s="1"/>
      <c r="BO674" s="1"/>
      <c r="BP674" s="1"/>
      <c r="BQ674" s="1"/>
      <c r="BR674" s="1"/>
      <c r="BS674" s="1"/>
      <c r="BT674" s="1"/>
      <c r="BU674" s="4"/>
    </row>
    <row r="675">
      <c r="AK675" s="1"/>
      <c r="AQ675" s="1"/>
      <c r="AW675" s="1"/>
      <c r="BC675" s="1"/>
      <c r="BD675" s="1"/>
      <c r="BE675" s="1"/>
      <c r="BF675" s="1"/>
      <c r="BG675" s="1"/>
      <c r="BH675" s="1"/>
      <c r="BI675" s="1"/>
      <c r="BO675" s="1"/>
      <c r="BP675" s="1"/>
      <c r="BQ675" s="1"/>
      <c r="BR675" s="1"/>
      <c r="BS675" s="1"/>
      <c r="BT675" s="1"/>
      <c r="BU675" s="4"/>
    </row>
    <row r="676">
      <c r="AK676" s="1"/>
      <c r="AQ676" s="1"/>
      <c r="AW676" s="1"/>
      <c r="BC676" s="1"/>
      <c r="BD676" s="1"/>
      <c r="BE676" s="1"/>
      <c r="BF676" s="1"/>
      <c r="BG676" s="1"/>
      <c r="BH676" s="1"/>
      <c r="BI676" s="1"/>
      <c r="BO676" s="1"/>
      <c r="BP676" s="1"/>
      <c r="BQ676" s="1"/>
      <c r="BR676" s="1"/>
      <c r="BS676" s="1"/>
      <c r="BT676" s="1"/>
      <c r="BU676" s="4"/>
    </row>
    <row r="677">
      <c r="AK677" s="1"/>
      <c r="AQ677" s="1"/>
      <c r="AW677" s="1"/>
      <c r="BC677" s="1"/>
      <c r="BD677" s="1"/>
      <c r="BE677" s="1"/>
      <c r="BF677" s="1"/>
      <c r="BG677" s="1"/>
      <c r="BH677" s="1"/>
      <c r="BI677" s="1"/>
      <c r="BO677" s="1"/>
      <c r="BP677" s="1"/>
      <c r="BQ677" s="1"/>
      <c r="BR677" s="1"/>
      <c r="BS677" s="1"/>
      <c r="BT677" s="1"/>
      <c r="BU677" s="4"/>
    </row>
    <row r="678">
      <c r="AK678" s="1"/>
      <c r="AQ678" s="1"/>
      <c r="AW678" s="1"/>
      <c r="BC678" s="1"/>
      <c r="BD678" s="1"/>
      <c r="BE678" s="1"/>
      <c r="BF678" s="1"/>
      <c r="BG678" s="1"/>
      <c r="BH678" s="1"/>
      <c r="BI678" s="1"/>
      <c r="BO678" s="1"/>
      <c r="BP678" s="1"/>
      <c r="BQ678" s="1"/>
      <c r="BR678" s="1"/>
      <c r="BS678" s="1"/>
      <c r="BT678" s="1"/>
      <c r="BU678" s="4"/>
    </row>
    <row r="679">
      <c r="AK679" s="1"/>
      <c r="AQ679" s="1"/>
      <c r="AW679" s="1"/>
      <c r="BC679" s="1"/>
      <c r="BD679" s="1"/>
      <c r="BE679" s="1"/>
      <c r="BF679" s="1"/>
      <c r="BG679" s="1"/>
      <c r="BH679" s="1"/>
      <c r="BI679" s="1"/>
      <c r="BO679" s="1"/>
      <c r="BP679" s="1"/>
      <c r="BQ679" s="1"/>
      <c r="BR679" s="1"/>
      <c r="BS679" s="1"/>
      <c r="BT679" s="1"/>
      <c r="BU679" s="4"/>
    </row>
    <row r="680">
      <c r="AK680" s="1"/>
      <c r="AQ680" s="1"/>
      <c r="AW680" s="1"/>
      <c r="BC680" s="1"/>
      <c r="BD680" s="1"/>
      <c r="BE680" s="1"/>
      <c r="BF680" s="1"/>
      <c r="BG680" s="1"/>
      <c r="BH680" s="1"/>
      <c r="BI680" s="1"/>
      <c r="BO680" s="1"/>
      <c r="BP680" s="1"/>
      <c r="BQ680" s="1"/>
      <c r="BR680" s="1"/>
      <c r="BS680" s="1"/>
      <c r="BT680" s="1"/>
      <c r="BU680" s="4"/>
    </row>
    <row r="681">
      <c r="AK681" s="1"/>
      <c r="AQ681" s="1"/>
      <c r="AW681" s="1"/>
      <c r="BC681" s="1"/>
      <c r="BD681" s="1"/>
      <c r="BE681" s="1"/>
      <c r="BF681" s="1"/>
      <c r="BG681" s="1"/>
      <c r="BH681" s="1"/>
      <c r="BI681" s="1"/>
      <c r="BO681" s="1"/>
      <c r="BP681" s="1"/>
      <c r="BQ681" s="1"/>
      <c r="BR681" s="1"/>
      <c r="BS681" s="1"/>
      <c r="BT681" s="1"/>
      <c r="BU681" s="4"/>
    </row>
    <row r="682">
      <c r="AK682" s="1"/>
      <c r="AQ682" s="1"/>
      <c r="AW682" s="1"/>
      <c r="BC682" s="1"/>
      <c r="BD682" s="1"/>
      <c r="BE682" s="1"/>
      <c r="BF682" s="1"/>
      <c r="BG682" s="1"/>
      <c r="BH682" s="1"/>
      <c r="BI682" s="1"/>
      <c r="BO682" s="1"/>
      <c r="BP682" s="1"/>
      <c r="BQ682" s="1"/>
      <c r="BR682" s="1"/>
      <c r="BS682" s="1"/>
      <c r="BT682" s="1"/>
      <c r="BU682" s="4"/>
    </row>
    <row r="683">
      <c r="AK683" s="1"/>
      <c r="AQ683" s="1"/>
      <c r="AW683" s="1"/>
      <c r="BC683" s="1"/>
      <c r="BD683" s="1"/>
      <c r="BE683" s="1"/>
      <c r="BF683" s="1"/>
      <c r="BG683" s="1"/>
      <c r="BH683" s="1"/>
      <c r="BI683" s="1"/>
      <c r="BO683" s="1"/>
      <c r="BP683" s="1"/>
      <c r="BQ683" s="1"/>
      <c r="BR683" s="1"/>
      <c r="BS683" s="1"/>
      <c r="BT683" s="1"/>
      <c r="BU683" s="4"/>
    </row>
    <row r="684">
      <c r="AK684" s="1"/>
      <c r="AQ684" s="1"/>
      <c r="AW684" s="1"/>
      <c r="BC684" s="1"/>
      <c r="BD684" s="1"/>
      <c r="BE684" s="1"/>
      <c r="BF684" s="1"/>
      <c r="BG684" s="1"/>
      <c r="BH684" s="1"/>
      <c r="BI684" s="1"/>
      <c r="BO684" s="1"/>
      <c r="BP684" s="1"/>
      <c r="BQ684" s="1"/>
      <c r="BR684" s="1"/>
      <c r="BS684" s="1"/>
      <c r="BT684" s="1"/>
      <c r="BU684" s="4"/>
    </row>
    <row r="685">
      <c r="AK685" s="1"/>
      <c r="AQ685" s="1"/>
      <c r="AW685" s="1"/>
      <c r="BC685" s="1"/>
      <c r="BD685" s="1"/>
      <c r="BE685" s="1"/>
      <c r="BF685" s="1"/>
      <c r="BG685" s="1"/>
      <c r="BH685" s="1"/>
      <c r="BI685" s="1"/>
      <c r="BO685" s="1"/>
      <c r="BP685" s="1"/>
      <c r="BQ685" s="1"/>
      <c r="BR685" s="1"/>
      <c r="BS685" s="1"/>
      <c r="BT685" s="1"/>
      <c r="BU685" s="4"/>
    </row>
    <row r="686">
      <c r="AK686" s="1"/>
      <c r="AQ686" s="1"/>
      <c r="AW686" s="1"/>
      <c r="BC686" s="1"/>
      <c r="BD686" s="1"/>
      <c r="BE686" s="1"/>
      <c r="BF686" s="1"/>
      <c r="BG686" s="1"/>
      <c r="BH686" s="1"/>
      <c r="BI686" s="1"/>
      <c r="BO686" s="1"/>
      <c r="BP686" s="1"/>
      <c r="BQ686" s="1"/>
      <c r="BR686" s="1"/>
      <c r="BS686" s="1"/>
      <c r="BT686" s="1"/>
      <c r="BU686" s="4"/>
    </row>
    <row r="687">
      <c r="AK687" s="1"/>
      <c r="AQ687" s="1"/>
      <c r="AW687" s="1"/>
      <c r="BC687" s="1"/>
      <c r="BD687" s="1"/>
      <c r="BE687" s="1"/>
      <c r="BF687" s="1"/>
      <c r="BG687" s="1"/>
      <c r="BH687" s="1"/>
      <c r="BI687" s="1"/>
      <c r="BO687" s="1"/>
      <c r="BP687" s="1"/>
      <c r="BQ687" s="1"/>
      <c r="BR687" s="1"/>
      <c r="BS687" s="1"/>
      <c r="BT687" s="1"/>
      <c r="BU687" s="4"/>
    </row>
    <row r="688">
      <c r="AK688" s="1"/>
      <c r="AQ688" s="1"/>
      <c r="AW688" s="1"/>
      <c r="BC688" s="1"/>
      <c r="BD688" s="1"/>
      <c r="BE688" s="1"/>
      <c r="BF688" s="1"/>
      <c r="BG688" s="1"/>
      <c r="BH688" s="1"/>
      <c r="BI688" s="1"/>
      <c r="BO688" s="1"/>
      <c r="BP688" s="1"/>
      <c r="BQ688" s="1"/>
      <c r="BR688" s="1"/>
      <c r="BS688" s="1"/>
      <c r="BT688" s="1"/>
      <c r="BU688" s="4"/>
    </row>
    <row r="689">
      <c r="AK689" s="1"/>
      <c r="AQ689" s="1"/>
      <c r="AW689" s="1"/>
      <c r="BC689" s="1"/>
      <c r="BD689" s="1"/>
      <c r="BE689" s="1"/>
      <c r="BF689" s="1"/>
      <c r="BG689" s="1"/>
      <c r="BH689" s="1"/>
      <c r="BI689" s="1"/>
      <c r="BO689" s="1"/>
      <c r="BP689" s="1"/>
      <c r="BQ689" s="1"/>
      <c r="BR689" s="1"/>
      <c r="BS689" s="1"/>
      <c r="BT689" s="1"/>
      <c r="BU689" s="4"/>
    </row>
    <row r="690">
      <c r="AK690" s="1"/>
      <c r="AQ690" s="1"/>
      <c r="AW690" s="1"/>
      <c r="BC690" s="1"/>
      <c r="BD690" s="1"/>
      <c r="BE690" s="1"/>
      <c r="BF690" s="1"/>
      <c r="BG690" s="1"/>
      <c r="BH690" s="1"/>
      <c r="BI690" s="1"/>
      <c r="BO690" s="1"/>
      <c r="BP690" s="1"/>
      <c r="BQ690" s="1"/>
      <c r="BR690" s="1"/>
      <c r="BS690" s="1"/>
      <c r="BT690" s="1"/>
      <c r="BU690" s="4"/>
    </row>
    <row r="691">
      <c r="AK691" s="1"/>
      <c r="AQ691" s="1"/>
      <c r="AW691" s="1"/>
      <c r="BC691" s="1"/>
      <c r="BD691" s="1"/>
      <c r="BE691" s="1"/>
      <c r="BF691" s="1"/>
      <c r="BG691" s="1"/>
      <c r="BH691" s="1"/>
      <c r="BI691" s="1"/>
      <c r="BO691" s="1"/>
      <c r="BP691" s="1"/>
      <c r="BQ691" s="1"/>
      <c r="BR691" s="1"/>
      <c r="BS691" s="1"/>
      <c r="BT691" s="1"/>
      <c r="BU691" s="4"/>
    </row>
    <row r="692">
      <c r="AK692" s="1"/>
      <c r="AQ692" s="1"/>
      <c r="AW692" s="1"/>
      <c r="BC692" s="1"/>
      <c r="BD692" s="1"/>
      <c r="BE692" s="1"/>
      <c r="BF692" s="1"/>
      <c r="BG692" s="1"/>
      <c r="BH692" s="1"/>
      <c r="BI692" s="1"/>
      <c r="BO692" s="1"/>
      <c r="BP692" s="1"/>
      <c r="BQ692" s="1"/>
      <c r="BR692" s="1"/>
      <c r="BS692" s="1"/>
      <c r="BT692" s="1"/>
      <c r="BU692" s="4"/>
    </row>
    <row r="693">
      <c r="AK693" s="1"/>
      <c r="AQ693" s="1"/>
      <c r="AW693" s="1"/>
      <c r="BC693" s="1"/>
      <c r="BD693" s="1"/>
      <c r="BE693" s="1"/>
      <c r="BF693" s="1"/>
      <c r="BG693" s="1"/>
      <c r="BH693" s="1"/>
      <c r="BI693" s="1"/>
      <c r="BO693" s="1"/>
      <c r="BP693" s="1"/>
      <c r="BQ693" s="1"/>
      <c r="BR693" s="1"/>
      <c r="BS693" s="1"/>
      <c r="BT693" s="1"/>
      <c r="BU693" s="4"/>
    </row>
    <row r="694">
      <c r="AK694" s="1"/>
      <c r="AQ694" s="1"/>
      <c r="AW694" s="1"/>
      <c r="BC694" s="1"/>
      <c r="BD694" s="1"/>
      <c r="BE694" s="1"/>
      <c r="BF694" s="1"/>
      <c r="BG694" s="1"/>
      <c r="BH694" s="1"/>
      <c r="BI694" s="1"/>
      <c r="BO694" s="1"/>
      <c r="BP694" s="1"/>
      <c r="BQ694" s="1"/>
      <c r="BR694" s="1"/>
      <c r="BS694" s="1"/>
      <c r="BT694" s="1"/>
      <c r="BU694" s="4"/>
    </row>
    <row r="695">
      <c r="AK695" s="1"/>
      <c r="AQ695" s="1"/>
      <c r="AW695" s="1"/>
      <c r="BC695" s="1"/>
      <c r="BD695" s="1"/>
      <c r="BE695" s="1"/>
      <c r="BF695" s="1"/>
      <c r="BG695" s="1"/>
      <c r="BH695" s="1"/>
      <c r="BI695" s="1"/>
      <c r="BO695" s="1"/>
      <c r="BP695" s="1"/>
      <c r="BQ695" s="1"/>
      <c r="BR695" s="1"/>
      <c r="BS695" s="1"/>
      <c r="BT695" s="1"/>
      <c r="BU695" s="4"/>
    </row>
    <row r="696">
      <c r="AK696" s="1"/>
      <c r="AQ696" s="1"/>
      <c r="AW696" s="1"/>
      <c r="BC696" s="1"/>
      <c r="BD696" s="1"/>
      <c r="BE696" s="1"/>
      <c r="BF696" s="1"/>
      <c r="BG696" s="1"/>
      <c r="BH696" s="1"/>
      <c r="BI696" s="1"/>
      <c r="BO696" s="1"/>
      <c r="BP696" s="1"/>
      <c r="BQ696" s="1"/>
      <c r="BR696" s="1"/>
      <c r="BS696" s="1"/>
      <c r="BT696" s="1"/>
      <c r="BU696" s="4"/>
    </row>
    <row r="697">
      <c r="AK697" s="1"/>
      <c r="AQ697" s="1"/>
      <c r="AW697" s="1"/>
      <c r="BC697" s="1"/>
      <c r="BD697" s="1"/>
      <c r="BE697" s="1"/>
      <c r="BF697" s="1"/>
      <c r="BG697" s="1"/>
      <c r="BH697" s="1"/>
      <c r="BI697" s="1"/>
      <c r="BO697" s="1"/>
      <c r="BP697" s="1"/>
      <c r="BQ697" s="1"/>
      <c r="BR697" s="1"/>
      <c r="BS697" s="1"/>
      <c r="BT697" s="1"/>
      <c r="BU697" s="4"/>
    </row>
    <row r="698">
      <c r="AK698" s="1"/>
      <c r="AQ698" s="1"/>
      <c r="AW698" s="1"/>
      <c r="BC698" s="1"/>
      <c r="BD698" s="1"/>
      <c r="BE698" s="1"/>
      <c r="BF698" s="1"/>
      <c r="BG698" s="1"/>
      <c r="BH698" s="1"/>
      <c r="BI698" s="1"/>
      <c r="BO698" s="1"/>
      <c r="BP698" s="1"/>
      <c r="BQ698" s="1"/>
      <c r="BR698" s="1"/>
      <c r="BS698" s="1"/>
      <c r="BT698" s="1"/>
      <c r="BU698" s="4"/>
    </row>
    <row r="699">
      <c r="AK699" s="1"/>
      <c r="AQ699" s="1"/>
      <c r="AW699" s="1"/>
      <c r="BC699" s="1"/>
      <c r="BD699" s="1"/>
      <c r="BE699" s="1"/>
      <c r="BF699" s="1"/>
      <c r="BG699" s="1"/>
      <c r="BH699" s="1"/>
      <c r="BI699" s="1"/>
      <c r="BO699" s="1"/>
      <c r="BP699" s="1"/>
      <c r="BQ699" s="1"/>
      <c r="BR699" s="1"/>
      <c r="BS699" s="1"/>
      <c r="BT699" s="1"/>
      <c r="BU699" s="4"/>
    </row>
    <row r="700">
      <c r="AK700" s="1"/>
      <c r="AQ700" s="1"/>
      <c r="AW700" s="1"/>
      <c r="BC700" s="1"/>
      <c r="BD700" s="1"/>
      <c r="BE700" s="1"/>
      <c r="BF700" s="1"/>
      <c r="BG700" s="1"/>
      <c r="BH700" s="1"/>
      <c r="BI700" s="1"/>
      <c r="BO700" s="1"/>
      <c r="BP700" s="1"/>
      <c r="BQ700" s="1"/>
      <c r="BR700" s="1"/>
      <c r="BS700" s="1"/>
      <c r="BT700" s="1"/>
      <c r="BU700" s="4"/>
    </row>
    <row r="701">
      <c r="AK701" s="1"/>
      <c r="AQ701" s="1"/>
      <c r="AW701" s="1"/>
      <c r="BC701" s="1"/>
      <c r="BD701" s="1"/>
      <c r="BE701" s="1"/>
      <c r="BF701" s="1"/>
      <c r="BG701" s="1"/>
      <c r="BH701" s="1"/>
      <c r="BI701" s="1"/>
      <c r="BO701" s="1"/>
      <c r="BP701" s="1"/>
      <c r="BQ701" s="1"/>
      <c r="BR701" s="1"/>
      <c r="BS701" s="1"/>
      <c r="BT701" s="1"/>
      <c r="BU701" s="4"/>
    </row>
    <row r="702">
      <c r="AK702" s="1"/>
      <c r="AQ702" s="1"/>
      <c r="AW702" s="1"/>
      <c r="BC702" s="1"/>
      <c r="BD702" s="1"/>
      <c r="BE702" s="1"/>
      <c r="BF702" s="1"/>
      <c r="BG702" s="1"/>
      <c r="BH702" s="1"/>
      <c r="BI702" s="1"/>
      <c r="BO702" s="1"/>
      <c r="BP702" s="1"/>
      <c r="BQ702" s="1"/>
      <c r="BR702" s="1"/>
      <c r="BS702" s="1"/>
      <c r="BT702" s="1"/>
      <c r="BU702" s="4"/>
    </row>
    <row r="703">
      <c r="AK703" s="1"/>
      <c r="AQ703" s="1"/>
      <c r="AW703" s="1"/>
      <c r="BC703" s="1"/>
      <c r="BD703" s="1"/>
      <c r="BE703" s="1"/>
      <c r="BF703" s="1"/>
      <c r="BG703" s="1"/>
      <c r="BH703" s="1"/>
      <c r="BI703" s="1"/>
      <c r="BO703" s="1"/>
      <c r="BP703" s="1"/>
      <c r="BQ703" s="1"/>
      <c r="BR703" s="1"/>
      <c r="BS703" s="1"/>
      <c r="BT703" s="1"/>
      <c r="BU703" s="4"/>
    </row>
    <row r="704">
      <c r="AK704" s="1"/>
      <c r="AQ704" s="1"/>
      <c r="AW704" s="1"/>
      <c r="BC704" s="1"/>
      <c r="BD704" s="1"/>
      <c r="BE704" s="1"/>
      <c r="BF704" s="1"/>
      <c r="BG704" s="1"/>
      <c r="BH704" s="1"/>
      <c r="BI704" s="1"/>
      <c r="BO704" s="1"/>
      <c r="BP704" s="1"/>
      <c r="BQ704" s="1"/>
      <c r="BR704" s="1"/>
      <c r="BS704" s="1"/>
      <c r="BT704" s="1"/>
      <c r="BU704" s="4"/>
    </row>
    <row r="705">
      <c r="AK705" s="1"/>
      <c r="AQ705" s="1"/>
      <c r="AW705" s="1"/>
      <c r="BC705" s="1"/>
      <c r="BD705" s="1"/>
      <c r="BE705" s="1"/>
      <c r="BF705" s="1"/>
      <c r="BG705" s="1"/>
      <c r="BH705" s="1"/>
      <c r="BI705" s="1"/>
      <c r="BO705" s="1"/>
      <c r="BP705" s="1"/>
      <c r="BQ705" s="1"/>
      <c r="BR705" s="1"/>
      <c r="BS705" s="1"/>
      <c r="BT705" s="1"/>
      <c r="BU705" s="4"/>
    </row>
    <row r="706">
      <c r="AK706" s="1"/>
      <c r="AQ706" s="1"/>
      <c r="AW706" s="1"/>
      <c r="BC706" s="1"/>
      <c r="BD706" s="1"/>
      <c r="BE706" s="1"/>
      <c r="BF706" s="1"/>
      <c r="BG706" s="1"/>
      <c r="BH706" s="1"/>
      <c r="BI706" s="1"/>
      <c r="BO706" s="1"/>
      <c r="BP706" s="1"/>
      <c r="BQ706" s="1"/>
      <c r="BR706" s="1"/>
      <c r="BS706" s="1"/>
      <c r="BT706" s="1"/>
      <c r="BU706" s="4"/>
    </row>
    <row r="707">
      <c r="AK707" s="1"/>
      <c r="AQ707" s="1"/>
      <c r="AW707" s="1"/>
      <c r="BC707" s="1"/>
      <c r="BD707" s="1"/>
      <c r="BE707" s="1"/>
      <c r="BF707" s="1"/>
      <c r="BG707" s="1"/>
      <c r="BH707" s="1"/>
      <c r="BI707" s="1"/>
      <c r="BO707" s="1"/>
      <c r="BP707" s="1"/>
      <c r="BQ707" s="1"/>
      <c r="BR707" s="1"/>
      <c r="BS707" s="1"/>
      <c r="BT707" s="1"/>
      <c r="BU707" s="4"/>
    </row>
    <row r="708">
      <c r="AK708" s="1"/>
      <c r="AQ708" s="1"/>
      <c r="AW708" s="1"/>
      <c r="BC708" s="1"/>
      <c r="BD708" s="1"/>
      <c r="BE708" s="1"/>
      <c r="BF708" s="1"/>
      <c r="BG708" s="1"/>
      <c r="BH708" s="1"/>
      <c r="BI708" s="1"/>
      <c r="BO708" s="1"/>
      <c r="BP708" s="1"/>
      <c r="BQ708" s="1"/>
      <c r="BR708" s="1"/>
      <c r="BS708" s="1"/>
      <c r="BT708" s="1"/>
      <c r="BU708" s="4"/>
    </row>
    <row r="709">
      <c r="AK709" s="1"/>
      <c r="AQ709" s="1"/>
      <c r="AW709" s="1"/>
      <c r="BC709" s="1"/>
      <c r="BD709" s="1"/>
      <c r="BE709" s="1"/>
      <c r="BF709" s="1"/>
      <c r="BG709" s="1"/>
      <c r="BH709" s="1"/>
      <c r="BI709" s="1"/>
      <c r="BO709" s="1"/>
      <c r="BP709" s="1"/>
      <c r="BQ709" s="1"/>
      <c r="BR709" s="1"/>
      <c r="BS709" s="1"/>
      <c r="BT709" s="1"/>
      <c r="BU709" s="4"/>
    </row>
    <row r="710">
      <c r="AK710" s="1"/>
      <c r="AQ710" s="1"/>
      <c r="AW710" s="1"/>
      <c r="BC710" s="1"/>
      <c r="BD710" s="1"/>
      <c r="BE710" s="1"/>
      <c r="BF710" s="1"/>
      <c r="BG710" s="1"/>
      <c r="BH710" s="1"/>
      <c r="BI710" s="1"/>
      <c r="BO710" s="1"/>
      <c r="BP710" s="1"/>
      <c r="BQ710" s="1"/>
      <c r="BR710" s="1"/>
      <c r="BS710" s="1"/>
      <c r="BT710" s="1"/>
      <c r="BU710" s="4"/>
    </row>
    <row r="711">
      <c r="AK711" s="1"/>
      <c r="AQ711" s="1"/>
      <c r="AW711" s="1"/>
      <c r="BC711" s="1"/>
      <c r="BD711" s="1"/>
      <c r="BE711" s="1"/>
      <c r="BF711" s="1"/>
      <c r="BG711" s="1"/>
      <c r="BH711" s="1"/>
      <c r="BI711" s="1"/>
      <c r="BO711" s="1"/>
      <c r="BP711" s="1"/>
      <c r="BQ711" s="1"/>
      <c r="BR711" s="1"/>
      <c r="BS711" s="1"/>
      <c r="BT711" s="1"/>
      <c r="BU711" s="4"/>
    </row>
    <row r="712">
      <c r="AK712" s="1"/>
      <c r="AQ712" s="1"/>
      <c r="AW712" s="1"/>
      <c r="BC712" s="1"/>
      <c r="BD712" s="1"/>
      <c r="BE712" s="1"/>
      <c r="BF712" s="1"/>
      <c r="BG712" s="1"/>
      <c r="BH712" s="1"/>
      <c r="BI712" s="1"/>
      <c r="BO712" s="1"/>
      <c r="BP712" s="1"/>
      <c r="BQ712" s="1"/>
      <c r="BR712" s="1"/>
      <c r="BS712" s="1"/>
      <c r="BT712" s="1"/>
      <c r="BU712" s="4"/>
    </row>
    <row r="713">
      <c r="AK713" s="1"/>
      <c r="AQ713" s="1"/>
      <c r="AW713" s="1"/>
      <c r="BC713" s="1"/>
      <c r="BD713" s="1"/>
      <c r="BE713" s="1"/>
      <c r="BF713" s="1"/>
      <c r="BG713" s="1"/>
      <c r="BH713" s="1"/>
      <c r="BI713" s="1"/>
      <c r="BO713" s="1"/>
      <c r="BP713" s="1"/>
      <c r="BQ713" s="1"/>
      <c r="BR713" s="1"/>
      <c r="BS713" s="1"/>
      <c r="BT713" s="1"/>
      <c r="BU713" s="4"/>
    </row>
    <row r="714">
      <c r="AK714" s="1"/>
      <c r="AQ714" s="1"/>
      <c r="AW714" s="1"/>
      <c r="BC714" s="1"/>
      <c r="BD714" s="1"/>
      <c r="BE714" s="1"/>
      <c r="BF714" s="1"/>
      <c r="BG714" s="1"/>
      <c r="BH714" s="1"/>
      <c r="BI714" s="1"/>
      <c r="BO714" s="1"/>
      <c r="BP714" s="1"/>
      <c r="BQ714" s="1"/>
      <c r="BR714" s="1"/>
      <c r="BS714" s="1"/>
      <c r="BT714" s="1"/>
      <c r="BU714" s="4"/>
    </row>
    <row r="715">
      <c r="AK715" s="1"/>
      <c r="AQ715" s="1"/>
      <c r="AW715" s="1"/>
      <c r="BC715" s="1"/>
      <c r="BD715" s="1"/>
      <c r="BE715" s="1"/>
      <c r="BF715" s="1"/>
      <c r="BG715" s="1"/>
      <c r="BH715" s="1"/>
      <c r="BI715" s="1"/>
      <c r="BO715" s="1"/>
      <c r="BP715" s="1"/>
      <c r="BQ715" s="1"/>
      <c r="BR715" s="1"/>
      <c r="BS715" s="1"/>
      <c r="BT715" s="1"/>
      <c r="BU715" s="4"/>
    </row>
    <row r="716">
      <c r="AK716" s="1"/>
      <c r="AQ716" s="1"/>
      <c r="AW716" s="1"/>
      <c r="BC716" s="1"/>
      <c r="BD716" s="1"/>
      <c r="BE716" s="1"/>
      <c r="BF716" s="1"/>
      <c r="BG716" s="1"/>
      <c r="BH716" s="1"/>
      <c r="BI716" s="1"/>
      <c r="BO716" s="1"/>
      <c r="BP716" s="1"/>
      <c r="BQ716" s="1"/>
      <c r="BR716" s="1"/>
      <c r="BS716" s="1"/>
      <c r="BT716" s="1"/>
      <c r="BU716" s="4"/>
    </row>
    <row r="717">
      <c r="AK717" s="1"/>
      <c r="AQ717" s="1"/>
      <c r="AW717" s="1"/>
      <c r="BC717" s="1"/>
      <c r="BD717" s="1"/>
      <c r="BE717" s="1"/>
      <c r="BF717" s="1"/>
      <c r="BG717" s="1"/>
      <c r="BH717" s="1"/>
      <c r="BI717" s="1"/>
      <c r="BO717" s="1"/>
      <c r="BP717" s="1"/>
      <c r="BQ717" s="1"/>
      <c r="BR717" s="1"/>
      <c r="BS717" s="1"/>
      <c r="BT717" s="1"/>
      <c r="BU717" s="4"/>
    </row>
    <row r="718">
      <c r="AK718" s="1"/>
      <c r="AQ718" s="1"/>
      <c r="AW718" s="1"/>
      <c r="BC718" s="1"/>
      <c r="BD718" s="1"/>
      <c r="BE718" s="1"/>
      <c r="BF718" s="1"/>
      <c r="BG718" s="1"/>
      <c r="BH718" s="1"/>
      <c r="BI718" s="1"/>
      <c r="BO718" s="1"/>
      <c r="BP718" s="1"/>
      <c r="BQ718" s="1"/>
      <c r="BR718" s="1"/>
      <c r="BS718" s="1"/>
      <c r="BT718" s="1"/>
      <c r="BU718" s="4"/>
    </row>
    <row r="719">
      <c r="AK719" s="1"/>
      <c r="AQ719" s="1"/>
      <c r="AW719" s="1"/>
      <c r="BC719" s="1"/>
      <c r="BD719" s="1"/>
      <c r="BE719" s="1"/>
      <c r="BF719" s="1"/>
      <c r="BG719" s="1"/>
      <c r="BH719" s="1"/>
      <c r="BI719" s="1"/>
      <c r="BO719" s="1"/>
      <c r="BP719" s="1"/>
      <c r="BQ719" s="1"/>
      <c r="BR719" s="1"/>
      <c r="BS719" s="1"/>
      <c r="BT719" s="1"/>
      <c r="BU719" s="4"/>
    </row>
    <row r="720">
      <c r="AK720" s="1"/>
      <c r="AQ720" s="1"/>
      <c r="AW720" s="1"/>
      <c r="BC720" s="1"/>
      <c r="BD720" s="1"/>
      <c r="BE720" s="1"/>
      <c r="BF720" s="1"/>
      <c r="BG720" s="1"/>
      <c r="BH720" s="1"/>
      <c r="BI720" s="1"/>
      <c r="BO720" s="1"/>
      <c r="BP720" s="1"/>
      <c r="BQ720" s="1"/>
      <c r="BR720" s="1"/>
      <c r="BS720" s="1"/>
      <c r="BT720" s="1"/>
      <c r="BU720" s="4"/>
    </row>
    <row r="721">
      <c r="AK721" s="1"/>
      <c r="AQ721" s="1"/>
      <c r="AW721" s="1"/>
      <c r="BC721" s="1"/>
      <c r="BD721" s="1"/>
      <c r="BE721" s="1"/>
      <c r="BF721" s="1"/>
      <c r="BG721" s="1"/>
      <c r="BH721" s="1"/>
      <c r="BI721" s="1"/>
      <c r="BO721" s="1"/>
      <c r="BP721" s="1"/>
      <c r="BQ721" s="1"/>
      <c r="BR721" s="1"/>
      <c r="BS721" s="1"/>
      <c r="BT721" s="1"/>
      <c r="BU721" s="4"/>
    </row>
    <row r="722">
      <c r="AK722" s="1"/>
      <c r="AQ722" s="1"/>
      <c r="AW722" s="1"/>
      <c r="BC722" s="1"/>
      <c r="BD722" s="1"/>
      <c r="BE722" s="1"/>
      <c r="BF722" s="1"/>
      <c r="BG722" s="1"/>
      <c r="BH722" s="1"/>
      <c r="BI722" s="1"/>
      <c r="BO722" s="1"/>
      <c r="BP722" s="1"/>
      <c r="BQ722" s="1"/>
      <c r="BR722" s="1"/>
      <c r="BS722" s="1"/>
      <c r="BT722" s="1"/>
      <c r="BU722" s="4"/>
    </row>
    <row r="723">
      <c r="AK723" s="1"/>
      <c r="AQ723" s="1"/>
      <c r="AW723" s="1"/>
      <c r="BC723" s="1"/>
      <c r="BD723" s="1"/>
      <c r="BE723" s="1"/>
      <c r="BF723" s="1"/>
      <c r="BG723" s="1"/>
      <c r="BH723" s="1"/>
      <c r="BI723" s="1"/>
      <c r="BO723" s="1"/>
      <c r="BP723" s="1"/>
      <c r="BQ723" s="1"/>
      <c r="BR723" s="1"/>
      <c r="BS723" s="1"/>
      <c r="BT723" s="1"/>
      <c r="BU723" s="4"/>
    </row>
    <row r="724">
      <c r="AK724" s="1"/>
      <c r="AQ724" s="1"/>
      <c r="AW724" s="1"/>
      <c r="BC724" s="1"/>
      <c r="BD724" s="1"/>
      <c r="BE724" s="1"/>
      <c r="BF724" s="1"/>
      <c r="BG724" s="1"/>
      <c r="BH724" s="1"/>
      <c r="BI724" s="1"/>
      <c r="BO724" s="1"/>
      <c r="BP724" s="1"/>
      <c r="BQ724" s="1"/>
      <c r="BR724" s="1"/>
      <c r="BS724" s="1"/>
      <c r="BT724" s="1"/>
      <c r="BU724" s="4"/>
    </row>
    <row r="725">
      <c r="AK725" s="1"/>
      <c r="AQ725" s="1"/>
      <c r="AW725" s="1"/>
      <c r="BC725" s="1"/>
      <c r="BD725" s="1"/>
      <c r="BE725" s="1"/>
      <c r="BF725" s="1"/>
      <c r="BG725" s="1"/>
      <c r="BH725" s="1"/>
      <c r="BI725" s="1"/>
      <c r="BO725" s="1"/>
      <c r="BP725" s="1"/>
      <c r="BQ725" s="1"/>
      <c r="BR725" s="1"/>
      <c r="BS725" s="1"/>
      <c r="BT725" s="1"/>
      <c r="BU725" s="4"/>
    </row>
    <row r="726">
      <c r="AK726" s="1"/>
      <c r="AQ726" s="1"/>
      <c r="AW726" s="1"/>
      <c r="BC726" s="1"/>
      <c r="BD726" s="1"/>
      <c r="BE726" s="1"/>
      <c r="BF726" s="1"/>
      <c r="BG726" s="1"/>
      <c r="BH726" s="1"/>
      <c r="BI726" s="1"/>
      <c r="BO726" s="1"/>
      <c r="BP726" s="1"/>
      <c r="BQ726" s="1"/>
      <c r="BR726" s="1"/>
      <c r="BS726" s="1"/>
      <c r="BT726" s="1"/>
      <c r="BU726" s="4"/>
    </row>
    <row r="727">
      <c r="AK727" s="1"/>
      <c r="AQ727" s="1"/>
      <c r="AW727" s="1"/>
      <c r="BC727" s="1"/>
      <c r="BD727" s="1"/>
      <c r="BE727" s="1"/>
      <c r="BF727" s="1"/>
      <c r="BG727" s="1"/>
      <c r="BH727" s="1"/>
      <c r="BI727" s="1"/>
      <c r="BO727" s="1"/>
      <c r="BP727" s="1"/>
      <c r="BQ727" s="1"/>
      <c r="BR727" s="1"/>
      <c r="BS727" s="1"/>
      <c r="BT727" s="1"/>
      <c r="BU727" s="4"/>
    </row>
    <row r="728">
      <c r="AK728" s="1"/>
      <c r="AQ728" s="1"/>
      <c r="AW728" s="1"/>
      <c r="BC728" s="1"/>
      <c r="BD728" s="1"/>
      <c r="BE728" s="1"/>
      <c r="BF728" s="1"/>
      <c r="BG728" s="1"/>
      <c r="BH728" s="1"/>
      <c r="BI728" s="1"/>
      <c r="BO728" s="1"/>
      <c r="BP728" s="1"/>
      <c r="BQ728" s="1"/>
      <c r="BR728" s="1"/>
      <c r="BS728" s="1"/>
      <c r="BT728" s="1"/>
      <c r="BU728" s="4"/>
    </row>
    <row r="729">
      <c r="AK729" s="1"/>
      <c r="AQ729" s="1"/>
      <c r="AW729" s="1"/>
      <c r="BC729" s="1"/>
      <c r="BD729" s="1"/>
      <c r="BE729" s="1"/>
      <c r="BF729" s="1"/>
      <c r="BG729" s="1"/>
      <c r="BH729" s="1"/>
      <c r="BI729" s="1"/>
      <c r="BO729" s="1"/>
      <c r="BP729" s="1"/>
      <c r="BQ729" s="1"/>
      <c r="BR729" s="1"/>
      <c r="BS729" s="1"/>
      <c r="BT729" s="1"/>
      <c r="BU729" s="4"/>
    </row>
    <row r="730">
      <c r="AK730" s="1"/>
      <c r="AQ730" s="1"/>
      <c r="AW730" s="1"/>
      <c r="BC730" s="1"/>
      <c r="BD730" s="1"/>
      <c r="BE730" s="1"/>
      <c r="BF730" s="1"/>
      <c r="BG730" s="1"/>
      <c r="BH730" s="1"/>
      <c r="BI730" s="1"/>
      <c r="BO730" s="1"/>
      <c r="BP730" s="1"/>
      <c r="BQ730" s="1"/>
      <c r="BR730" s="1"/>
      <c r="BS730" s="1"/>
      <c r="BT730" s="1"/>
      <c r="BU730" s="4"/>
    </row>
    <row r="731">
      <c r="AK731" s="1"/>
      <c r="AQ731" s="1"/>
      <c r="AW731" s="1"/>
      <c r="BC731" s="1"/>
      <c r="BD731" s="1"/>
      <c r="BE731" s="1"/>
      <c r="BF731" s="1"/>
      <c r="BG731" s="1"/>
      <c r="BH731" s="1"/>
      <c r="BI731" s="1"/>
      <c r="BO731" s="1"/>
      <c r="BP731" s="1"/>
      <c r="BQ731" s="1"/>
      <c r="BR731" s="1"/>
      <c r="BS731" s="1"/>
      <c r="BT731" s="1"/>
      <c r="BU731" s="4"/>
    </row>
    <row r="732">
      <c r="AK732" s="1"/>
      <c r="AQ732" s="1"/>
      <c r="AW732" s="1"/>
      <c r="BC732" s="1"/>
      <c r="BD732" s="1"/>
      <c r="BE732" s="1"/>
      <c r="BF732" s="1"/>
      <c r="BG732" s="1"/>
      <c r="BH732" s="1"/>
      <c r="BI732" s="1"/>
      <c r="BO732" s="1"/>
      <c r="BP732" s="1"/>
      <c r="BQ732" s="1"/>
      <c r="BR732" s="1"/>
      <c r="BS732" s="1"/>
      <c r="BT732" s="1"/>
      <c r="BU732" s="4"/>
    </row>
    <row r="733">
      <c r="AK733" s="1"/>
      <c r="AQ733" s="1"/>
      <c r="AW733" s="1"/>
      <c r="BC733" s="1"/>
      <c r="BD733" s="1"/>
      <c r="BE733" s="1"/>
      <c r="BF733" s="1"/>
      <c r="BG733" s="1"/>
      <c r="BH733" s="1"/>
      <c r="BI733" s="1"/>
      <c r="BO733" s="1"/>
      <c r="BP733" s="1"/>
      <c r="BQ733" s="1"/>
      <c r="BR733" s="1"/>
      <c r="BS733" s="1"/>
      <c r="BT733" s="1"/>
      <c r="BU733" s="4"/>
    </row>
    <row r="734">
      <c r="AK734" s="1"/>
      <c r="AQ734" s="1"/>
      <c r="AW734" s="1"/>
      <c r="BC734" s="1"/>
      <c r="BD734" s="1"/>
      <c r="BE734" s="1"/>
      <c r="BF734" s="1"/>
      <c r="BG734" s="1"/>
      <c r="BH734" s="1"/>
      <c r="BI734" s="1"/>
      <c r="BO734" s="1"/>
      <c r="BP734" s="1"/>
      <c r="BQ734" s="1"/>
      <c r="BR734" s="1"/>
      <c r="BS734" s="1"/>
      <c r="BT734" s="1"/>
      <c r="BU734" s="4"/>
    </row>
    <row r="735">
      <c r="AK735" s="1"/>
      <c r="AQ735" s="1"/>
      <c r="AW735" s="1"/>
      <c r="BC735" s="1"/>
      <c r="BD735" s="1"/>
      <c r="BE735" s="1"/>
      <c r="BF735" s="1"/>
      <c r="BG735" s="1"/>
      <c r="BH735" s="1"/>
      <c r="BI735" s="1"/>
      <c r="BO735" s="1"/>
      <c r="BP735" s="1"/>
      <c r="BQ735" s="1"/>
      <c r="BR735" s="1"/>
      <c r="BS735" s="1"/>
      <c r="BT735" s="1"/>
      <c r="BU735" s="4"/>
    </row>
    <row r="736">
      <c r="AK736" s="1"/>
      <c r="AQ736" s="1"/>
      <c r="AW736" s="1"/>
      <c r="BC736" s="1"/>
      <c r="BD736" s="1"/>
      <c r="BE736" s="1"/>
      <c r="BF736" s="1"/>
      <c r="BG736" s="1"/>
      <c r="BH736" s="1"/>
      <c r="BI736" s="1"/>
      <c r="BO736" s="1"/>
      <c r="BP736" s="1"/>
      <c r="BQ736" s="1"/>
      <c r="BR736" s="1"/>
      <c r="BS736" s="1"/>
      <c r="BT736" s="1"/>
      <c r="BU736" s="4"/>
    </row>
    <row r="737">
      <c r="AK737" s="1"/>
      <c r="AQ737" s="1"/>
      <c r="AW737" s="1"/>
      <c r="BC737" s="1"/>
      <c r="BD737" s="1"/>
      <c r="BE737" s="1"/>
      <c r="BF737" s="1"/>
      <c r="BG737" s="1"/>
      <c r="BH737" s="1"/>
      <c r="BI737" s="1"/>
      <c r="BO737" s="1"/>
      <c r="BP737" s="1"/>
      <c r="BQ737" s="1"/>
      <c r="BR737" s="1"/>
      <c r="BS737" s="1"/>
      <c r="BT737" s="1"/>
      <c r="BU737" s="4"/>
    </row>
    <row r="738">
      <c r="AK738" s="1"/>
      <c r="AQ738" s="1"/>
      <c r="AW738" s="1"/>
      <c r="BC738" s="1"/>
      <c r="BD738" s="1"/>
      <c r="BE738" s="1"/>
      <c r="BF738" s="1"/>
      <c r="BG738" s="1"/>
      <c r="BH738" s="1"/>
      <c r="BI738" s="1"/>
      <c r="BO738" s="1"/>
      <c r="BP738" s="1"/>
      <c r="BQ738" s="1"/>
      <c r="BR738" s="1"/>
      <c r="BS738" s="1"/>
      <c r="BT738" s="1"/>
      <c r="BU738" s="4"/>
    </row>
    <row r="739">
      <c r="AK739" s="1"/>
      <c r="AQ739" s="1"/>
      <c r="AW739" s="1"/>
      <c r="BC739" s="1"/>
      <c r="BD739" s="1"/>
      <c r="BE739" s="1"/>
      <c r="BF739" s="1"/>
      <c r="BG739" s="1"/>
      <c r="BH739" s="1"/>
      <c r="BI739" s="1"/>
      <c r="BO739" s="1"/>
      <c r="BP739" s="1"/>
      <c r="BQ739" s="1"/>
      <c r="BR739" s="1"/>
      <c r="BS739" s="1"/>
      <c r="BT739" s="1"/>
      <c r="BU739" s="4"/>
    </row>
    <row r="740">
      <c r="AK740" s="1"/>
      <c r="AQ740" s="1"/>
      <c r="AW740" s="1"/>
      <c r="BC740" s="1"/>
      <c r="BD740" s="1"/>
      <c r="BE740" s="1"/>
      <c r="BF740" s="1"/>
      <c r="BG740" s="1"/>
      <c r="BH740" s="1"/>
      <c r="BI740" s="1"/>
      <c r="BO740" s="1"/>
      <c r="BP740" s="1"/>
      <c r="BQ740" s="1"/>
      <c r="BR740" s="1"/>
      <c r="BS740" s="1"/>
      <c r="BT740" s="1"/>
      <c r="BU740" s="4"/>
    </row>
    <row r="741">
      <c r="AK741" s="1"/>
      <c r="AQ741" s="1"/>
      <c r="AW741" s="1"/>
      <c r="BC741" s="1"/>
      <c r="BD741" s="1"/>
      <c r="BE741" s="1"/>
      <c r="BF741" s="1"/>
      <c r="BG741" s="1"/>
      <c r="BH741" s="1"/>
      <c r="BI741" s="1"/>
      <c r="BO741" s="1"/>
      <c r="BP741" s="1"/>
      <c r="BQ741" s="1"/>
      <c r="BR741" s="1"/>
      <c r="BS741" s="1"/>
      <c r="BT741" s="1"/>
      <c r="BU741" s="4"/>
    </row>
    <row r="742">
      <c r="AK742" s="1"/>
      <c r="AQ742" s="1"/>
      <c r="AW742" s="1"/>
      <c r="BC742" s="1"/>
      <c r="BD742" s="1"/>
      <c r="BE742" s="1"/>
      <c r="BF742" s="1"/>
      <c r="BG742" s="1"/>
      <c r="BH742" s="1"/>
      <c r="BI742" s="1"/>
      <c r="BO742" s="1"/>
      <c r="BP742" s="1"/>
      <c r="BQ742" s="1"/>
      <c r="BR742" s="1"/>
      <c r="BS742" s="1"/>
      <c r="BT742" s="1"/>
      <c r="BU742" s="4"/>
    </row>
    <row r="743">
      <c r="AK743" s="1"/>
      <c r="AQ743" s="1"/>
      <c r="AW743" s="1"/>
      <c r="BC743" s="1"/>
      <c r="BD743" s="1"/>
      <c r="BE743" s="1"/>
      <c r="BF743" s="1"/>
      <c r="BG743" s="1"/>
      <c r="BH743" s="1"/>
      <c r="BI743" s="1"/>
      <c r="BO743" s="1"/>
      <c r="BP743" s="1"/>
      <c r="BQ743" s="1"/>
      <c r="BR743" s="1"/>
      <c r="BS743" s="1"/>
      <c r="BT743" s="1"/>
      <c r="BU743" s="4"/>
    </row>
    <row r="744">
      <c r="AK744" s="1"/>
      <c r="AQ744" s="1"/>
      <c r="AW744" s="1"/>
      <c r="BC744" s="1"/>
      <c r="BD744" s="1"/>
      <c r="BE744" s="1"/>
      <c r="BF744" s="1"/>
      <c r="BG744" s="1"/>
      <c r="BH744" s="1"/>
      <c r="BI744" s="1"/>
      <c r="BO744" s="1"/>
      <c r="BP744" s="1"/>
      <c r="BQ744" s="1"/>
      <c r="BR744" s="1"/>
      <c r="BS744" s="1"/>
      <c r="BT744" s="1"/>
      <c r="BU744" s="4"/>
    </row>
    <row r="745">
      <c r="AK745" s="1"/>
      <c r="AQ745" s="1"/>
      <c r="AW745" s="1"/>
      <c r="BC745" s="1"/>
      <c r="BD745" s="1"/>
      <c r="BE745" s="1"/>
      <c r="BF745" s="1"/>
      <c r="BG745" s="1"/>
      <c r="BH745" s="1"/>
      <c r="BI745" s="1"/>
      <c r="BO745" s="1"/>
      <c r="BP745" s="1"/>
      <c r="BQ745" s="1"/>
      <c r="BR745" s="1"/>
      <c r="BS745" s="1"/>
      <c r="BT745" s="1"/>
      <c r="BU745" s="4"/>
    </row>
    <row r="746">
      <c r="AK746" s="1"/>
      <c r="AQ746" s="1"/>
      <c r="AW746" s="1"/>
      <c r="BC746" s="1"/>
      <c r="BD746" s="1"/>
      <c r="BE746" s="1"/>
      <c r="BF746" s="1"/>
      <c r="BG746" s="1"/>
      <c r="BH746" s="1"/>
      <c r="BI746" s="1"/>
      <c r="BO746" s="1"/>
      <c r="BP746" s="1"/>
      <c r="BQ746" s="1"/>
      <c r="BR746" s="1"/>
      <c r="BS746" s="1"/>
      <c r="BT746" s="1"/>
      <c r="BU746" s="4"/>
    </row>
    <row r="747">
      <c r="AK747" s="1"/>
      <c r="AQ747" s="1"/>
      <c r="AW747" s="1"/>
      <c r="BC747" s="1"/>
      <c r="BD747" s="1"/>
      <c r="BE747" s="1"/>
      <c r="BF747" s="1"/>
      <c r="BG747" s="1"/>
      <c r="BH747" s="1"/>
      <c r="BI747" s="1"/>
      <c r="BO747" s="1"/>
      <c r="BP747" s="1"/>
      <c r="BQ747" s="1"/>
      <c r="BR747" s="1"/>
      <c r="BS747" s="1"/>
      <c r="BT747" s="1"/>
      <c r="BU747" s="4"/>
    </row>
    <row r="748">
      <c r="AK748" s="1"/>
      <c r="AQ748" s="1"/>
      <c r="AW748" s="1"/>
      <c r="BC748" s="1"/>
      <c r="BD748" s="1"/>
      <c r="BE748" s="1"/>
      <c r="BF748" s="1"/>
      <c r="BG748" s="1"/>
      <c r="BH748" s="1"/>
      <c r="BI748" s="1"/>
      <c r="BO748" s="1"/>
      <c r="BP748" s="1"/>
      <c r="BQ748" s="1"/>
      <c r="BR748" s="1"/>
      <c r="BS748" s="1"/>
      <c r="BT748" s="1"/>
      <c r="BU748" s="4"/>
    </row>
    <row r="749">
      <c r="AK749" s="1"/>
      <c r="AQ749" s="1"/>
      <c r="AW749" s="1"/>
      <c r="BC749" s="1"/>
      <c r="BD749" s="1"/>
      <c r="BE749" s="1"/>
      <c r="BF749" s="1"/>
      <c r="BG749" s="1"/>
      <c r="BH749" s="1"/>
      <c r="BI749" s="1"/>
      <c r="BO749" s="1"/>
      <c r="BP749" s="1"/>
      <c r="BQ749" s="1"/>
      <c r="BR749" s="1"/>
      <c r="BS749" s="1"/>
      <c r="BT749" s="1"/>
      <c r="BU749" s="4"/>
    </row>
    <row r="750">
      <c r="AK750" s="1"/>
      <c r="AQ750" s="1"/>
      <c r="AW750" s="1"/>
      <c r="BC750" s="1"/>
      <c r="BD750" s="1"/>
      <c r="BE750" s="1"/>
      <c r="BF750" s="1"/>
      <c r="BG750" s="1"/>
      <c r="BH750" s="1"/>
      <c r="BI750" s="1"/>
      <c r="BO750" s="1"/>
      <c r="BP750" s="1"/>
      <c r="BQ750" s="1"/>
      <c r="BR750" s="1"/>
      <c r="BS750" s="1"/>
      <c r="BT750" s="1"/>
      <c r="BU750" s="4"/>
    </row>
    <row r="751">
      <c r="AK751" s="1"/>
      <c r="AQ751" s="1"/>
      <c r="AW751" s="1"/>
      <c r="BC751" s="1"/>
      <c r="BD751" s="1"/>
      <c r="BE751" s="1"/>
      <c r="BF751" s="1"/>
      <c r="BG751" s="1"/>
      <c r="BH751" s="1"/>
      <c r="BI751" s="1"/>
      <c r="BO751" s="1"/>
      <c r="BP751" s="1"/>
      <c r="BQ751" s="1"/>
      <c r="BR751" s="1"/>
      <c r="BS751" s="1"/>
      <c r="BT751" s="1"/>
      <c r="BU751" s="4"/>
    </row>
    <row r="752">
      <c r="AK752" s="1"/>
      <c r="AQ752" s="1"/>
      <c r="AW752" s="1"/>
      <c r="BC752" s="1"/>
      <c r="BD752" s="1"/>
      <c r="BE752" s="1"/>
      <c r="BF752" s="1"/>
      <c r="BG752" s="1"/>
      <c r="BH752" s="1"/>
      <c r="BI752" s="1"/>
      <c r="BO752" s="1"/>
      <c r="BP752" s="1"/>
      <c r="BQ752" s="1"/>
      <c r="BR752" s="1"/>
      <c r="BS752" s="1"/>
      <c r="BT752" s="1"/>
      <c r="BU752" s="4"/>
    </row>
    <row r="753">
      <c r="AK753" s="1"/>
      <c r="AQ753" s="1"/>
      <c r="AW753" s="1"/>
      <c r="BC753" s="1"/>
      <c r="BD753" s="1"/>
      <c r="BE753" s="1"/>
      <c r="BF753" s="1"/>
      <c r="BG753" s="1"/>
      <c r="BH753" s="1"/>
      <c r="BI753" s="1"/>
      <c r="BO753" s="1"/>
      <c r="BP753" s="1"/>
      <c r="BQ753" s="1"/>
      <c r="BR753" s="1"/>
      <c r="BS753" s="1"/>
      <c r="BT753" s="1"/>
      <c r="BU753" s="4"/>
    </row>
    <row r="754">
      <c r="AK754" s="1"/>
      <c r="AQ754" s="1"/>
      <c r="AW754" s="1"/>
      <c r="BC754" s="1"/>
      <c r="BD754" s="1"/>
      <c r="BE754" s="1"/>
      <c r="BF754" s="1"/>
      <c r="BG754" s="1"/>
      <c r="BH754" s="1"/>
      <c r="BI754" s="1"/>
      <c r="BO754" s="1"/>
      <c r="BP754" s="1"/>
      <c r="BQ754" s="1"/>
      <c r="BR754" s="1"/>
      <c r="BS754" s="1"/>
      <c r="BT754" s="1"/>
      <c r="BU754" s="4"/>
    </row>
    <row r="755">
      <c r="AK755" s="1"/>
      <c r="AQ755" s="1"/>
      <c r="AW755" s="1"/>
      <c r="BC755" s="1"/>
      <c r="BD755" s="1"/>
      <c r="BE755" s="1"/>
      <c r="BF755" s="1"/>
      <c r="BG755" s="1"/>
      <c r="BH755" s="1"/>
      <c r="BI755" s="1"/>
      <c r="BO755" s="1"/>
      <c r="BP755" s="1"/>
      <c r="BQ755" s="1"/>
      <c r="BR755" s="1"/>
      <c r="BS755" s="1"/>
      <c r="BT755" s="1"/>
      <c r="BU755" s="4"/>
    </row>
    <row r="756">
      <c r="AK756" s="1"/>
      <c r="AQ756" s="1"/>
      <c r="AW756" s="1"/>
      <c r="BC756" s="1"/>
      <c r="BD756" s="1"/>
      <c r="BE756" s="1"/>
      <c r="BF756" s="1"/>
      <c r="BG756" s="1"/>
      <c r="BH756" s="1"/>
      <c r="BI756" s="1"/>
      <c r="BO756" s="1"/>
      <c r="BP756" s="1"/>
      <c r="BQ756" s="1"/>
      <c r="BR756" s="1"/>
      <c r="BS756" s="1"/>
      <c r="BT756" s="1"/>
      <c r="BU756" s="4"/>
    </row>
    <row r="757">
      <c r="AK757" s="1"/>
      <c r="AQ757" s="1"/>
      <c r="AW757" s="1"/>
      <c r="BC757" s="1"/>
      <c r="BD757" s="1"/>
      <c r="BE757" s="1"/>
      <c r="BF757" s="1"/>
      <c r="BG757" s="1"/>
      <c r="BH757" s="1"/>
      <c r="BI757" s="1"/>
      <c r="BO757" s="1"/>
      <c r="BP757" s="1"/>
      <c r="BQ757" s="1"/>
      <c r="BR757" s="1"/>
      <c r="BS757" s="1"/>
      <c r="BT757" s="1"/>
      <c r="BU757" s="4"/>
    </row>
    <row r="758">
      <c r="AK758" s="1"/>
      <c r="AQ758" s="1"/>
      <c r="AW758" s="1"/>
      <c r="BC758" s="1"/>
      <c r="BD758" s="1"/>
      <c r="BE758" s="1"/>
      <c r="BF758" s="1"/>
      <c r="BG758" s="1"/>
      <c r="BH758" s="1"/>
      <c r="BI758" s="1"/>
      <c r="BO758" s="1"/>
      <c r="BP758" s="1"/>
      <c r="BQ758" s="1"/>
      <c r="BR758" s="1"/>
      <c r="BS758" s="1"/>
      <c r="BT758" s="1"/>
      <c r="BU758" s="4"/>
    </row>
    <row r="759">
      <c r="AK759" s="1"/>
      <c r="AQ759" s="1"/>
      <c r="AW759" s="1"/>
      <c r="BC759" s="1"/>
      <c r="BD759" s="1"/>
      <c r="BE759" s="1"/>
      <c r="BF759" s="1"/>
      <c r="BG759" s="1"/>
      <c r="BH759" s="1"/>
      <c r="BI759" s="1"/>
      <c r="BO759" s="1"/>
      <c r="BP759" s="1"/>
      <c r="BQ759" s="1"/>
      <c r="BR759" s="1"/>
      <c r="BS759" s="1"/>
      <c r="BT759" s="1"/>
      <c r="BU759" s="4"/>
    </row>
    <row r="760">
      <c r="AK760" s="1"/>
      <c r="AQ760" s="1"/>
      <c r="AW760" s="1"/>
      <c r="BC760" s="1"/>
      <c r="BD760" s="1"/>
      <c r="BE760" s="1"/>
      <c r="BF760" s="1"/>
      <c r="BG760" s="1"/>
      <c r="BH760" s="1"/>
      <c r="BI760" s="1"/>
      <c r="BO760" s="1"/>
      <c r="BP760" s="1"/>
      <c r="BQ760" s="1"/>
      <c r="BR760" s="1"/>
      <c r="BS760" s="1"/>
      <c r="BT760" s="1"/>
      <c r="BU760" s="4"/>
    </row>
    <row r="761">
      <c r="AK761" s="1"/>
      <c r="AQ761" s="1"/>
      <c r="AW761" s="1"/>
      <c r="BC761" s="1"/>
      <c r="BD761" s="1"/>
      <c r="BE761" s="1"/>
      <c r="BF761" s="1"/>
      <c r="BG761" s="1"/>
      <c r="BH761" s="1"/>
      <c r="BI761" s="1"/>
      <c r="BO761" s="1"/>
      <c r="BP761" s="1"/>
      <c r="BQ761" s="1"/>
      <c r="BR761" s="1"/>
      <c r="BS761" s="1"/>
      <c r="BT761" s="1"/>
      <c r="BU761" s="4"/>
    </row>
    <row r="762">
      <c r="AK762" s="1"/>
      <c r="AQ762" s="1"/>
      <c r="AW762" s="1"/>
      <c r="BC762" s="1"/>
      <c r="BD762" s="1"/>
      <c r="BE762" s="1"/>
      <c r="BF762" s="1"/>
      <c r="BG762" s="1"/>
      <c r="BH762" s="1"/>
      <c r="BI762" s="1"/>
      <c r="BO762" s="1"/>
      <c r="BP762" s="1"/>
      <c r="BQ762" s="1"/>
      <c r="BR762" s="1"/>
      <c r="BS762" s="1"/>
      <c r="BT762" s="1"/>
      <c r="BU762" s="4"/>
    </row>
    <row r="763">
      <c r="AK763" s="1"/>
      <c r="AQ763" s="1"/>
      <c r="AW763" s="1"/>
      <c r="BC763" s="1"/>
      <c r="BD763" s="1"/>
      <c r="BE763" s="1"/>
      <c r="BF763" s="1"/>
      <c r="BG763" s="1"/>
      <c r="BH763" s="1"/>
      <c r="BI763" s="1"/>
      <c r="BO763" s="1"/>
      <c r="BP763" s="1"/>
      <c r="BQ763" s="1"/>
      <c r="BR763" s="1"/>
      <c r="BS763" s="1"/>
      <c r="BT763" s="1"/>
      <c r="BU763" s="4"/>
    </row>
    <row r="764">
      <c r="AK764" s="1"/>
      <c r="AQ764" s="1"/>
      <c r="AW764" s="1"/>
      <c r="BC764" s="1"/>
      <c r="BD764" s="1"/>
      <c r="BE764" s="1"/>
      <c r="BF764" s="1"/>
      <c r="BG764" s="1"/>
      <c r="BH764" s="1"/>
      <c r="BI764" s="1"/>
      <c r="BO764" s="1"/>
      <c r="BP764" s="1"/>
      <c r="BQ764" s="1"/>
      <c r="BR764" s="1"/>
      <c r="BS764" s="1"/>
      <c r="BT764" s="1"/>
      <c r="BU764" s="4"/>
    </row>
    <row r="765">
      <c r="AK765" s="1"/>
      <c r="AQ765" s="1"/>
      <c r="AW765" s="1"/>
      <c r="BC765" s="1"/>
      <c r="BD765" s="1"/>
      <c r="BE765" s="1"/>
      <c r="BF765" s="1"/>
      <c r="BG765" s="1"/>
      <c r="BH765" s="1"/>
      <c r="BI765" s="1"/>
      <c r="BO765" s="1"/>
      <c r="BP765" s="1"/>
      <c r="BQ765" s="1"/>
      <c r="BR765" s="1"/>
      <c r="BS765" s="1"/>
      <c r="BT765" s="1"/>
      <c r="BU765" s="4"/>
    </row>
    <row r="766">
      <c r="AK766" s="1"/>
      <c r="AQ766" s="1"/>
      <c r="AW766" s="1"/>
      <c r="BC766" s="1"/>
      <c r="BD766" s="1"/>
      <c r="BE766" s="1"/>
      <c r="BF766" s="1"/>
      <c r="BG766" s="1"/>
      <c r="BH766" s="1"/>
      <c r="BI766" s="1"/>
      <c r="BO766" s="1"/>
      <c r="BP766" s="1"/>
      <c r="BQ766" s="1"/>
      <c r="BR766" s="1"/>
      <c r="BS766" s="1"/>
      <c r="BT766" s="1"/>
      <c r="BU766" s="4"/>
    </row>
    <row r="767">
      <c r="AK767" s="1"/>
      <c r="AQ767" s="1"/>
      <c r="AW767" s="1"/>
      <c r="BC767" s="1"/>
      <c r="BD767" s="1"/>
      <c r="BE767" s="1"/>
      <c r="BF767" s="1"/>
      <c r="BG767" s="1"/>
      <c r="BH767" s="1"/>
      <c r="BI767" s="1"/>
      <c r="BO767" s="1"/>
      <c r="BP767" s="1"/>
      <c r="BQ767" s="1"/>
      <c r="BR767" s="1"/>
      <c r="BS767" s="1"/>
      <c r="BT767" s="1"/>
      <c r="BU767" s="4"/>
    </row>
    <row r="768">
      <c r="AK768" s="1"/>
      <c r="AQ768" s="1"/>
      <c r="AW768" s="1"/>
      <c r="BC768" s="1"/>
      <c r="BD768" s="1"/>
      <c r="BE768" s="1"/>
      <c r="BF768" s="1"/>
      <c r="BG768" s="1"/>
      <c r="BH768" s="1"/>
      <c r="BI768" s="1"/>
      <c r="BO768" s="1"/>
      <c r="BP768" s="1"/>
      <c r="BQ768" s="1"/>
      <c r="BR768" s="1"/>
      <c r="BS768" s="1"/>
      <c r="BT768" s="1"/>
      <c r="BU768" s="4"/>
    </row>
    <row r="769">
      <c r="AK769" s="1"/>
      <c r="AQ769" s="1"/>
      <c r="AW769" s="1"/>
      <c r="BC769" s="1"/>
      <c r="BD769" s="1"/>
      <c r="BE769" s="1"/>
      <c r="BF769" s="1"/>
      <c r="BG769" s="1"/>
      <c r="BH769" s="1"/>
      <c r="BI769" s="1"/>
      <c r="BO769" s="1"/>
      <c r="BP769" s="1"/>
      <c r="BQ769" s="1"/>
      <c r="BR769" s="1"/>
      <c r="BS769" s="1"/>
      <c r="BT769" s="1"/>
      <c r="BU769" s="4"/>
    </row>
    <row r="770">
      <c r="AK770" s="1"/>
      <c r="AQ770" s="1"/>
      <c r="AW770" s="1"/>
      <c r="BC770" s="1"/>
      <c r="BD770" s="1"/>
      <c r="BE770" s="1"/>
      <c r="BF770" s="1"/>
      <c r="BG770" s="1"/>
      <c r="BH770" s="1"/>
      <c r="BI770" s="1"/>
      <c r="BO770" s="1"/>
      <c r="BP770" s="1"/>
      <c r="BQ770" s="1"/>
      <c r="BR770" s="1"/>
      <c r="BS770" s="1"/>
      <c r="BT770" s="1"/>
      <c r="BU770" s="4"/>
    </row>
    <row r="771">
      <c r="AK771" s="1"/>
      <c r="AQ771" s="1"/>
      <c r="AW771" s="1"/>
      <c r="BC771" s="1"/>
      <c r="BD771" s="1"/>
      <c r="BE771" s="1"/>
      <c r="BF771" s="1"/>
      <c r="BG771" s="1"/>
      <c r="BH771" s="1"/>
      <c r="BI771" s="1"/>
      <c r="BO771" s="1"/>
      <c r="BP771" s="1"/>
      <c r="BQ771" s="1"/>
      <c r="BR771" s="1"/>
      <c r="BS771" s="1"/>
      <c r="BT771" s="1"/>
      <c r="BU771" s="4"/>
    </row>
    <row r="772">
      <c r="AK772" s="1"/>
      <c r="AQ772" s="1"/>
      <c r="AW772" s="1"/>
      <c r="BC772" s="1"/>
      <c r="BD772" s="1"/>
      <c r="BE772" s="1"/>
      <c r="BF772" s="1"/>
      <c r="BG772" s="1"/>
      <c r="BH772" s="1"/>
      <c r="BI772" s="1"/>
      <c r="BO772" s="1"/>
      <c r="BP772" s="1"/>
      <c r="BQ772" s="1"/>
      <c r="BR772" s="1"/>
      <c r="BS772" s="1"/>
      <c r="BT772" s="1"/>
      <c r="BU772" s="4"/>
    </row>
    <row r="773">
      <c r="AK773" s="1"/>
      <c r="AQ773" s="1"/>
      <c r="AW773" s="1"/>
      <c r="BC773" s="1"/>
      <c r="BD773" s="1"/>
      <c r="BE773" s="1"/>
      <c r="BF773" s="1"/>
      <c r="BG773" s="1"/>
      <c r="BH773" s="1"/>
      <c r="BI773" s="1"/>
      <c r="BO773" s="1"/>
      <c r="BP773" s="1"/>
      <c r="BQ773" s="1"/>
      <c r="BR773" s="1"/>
      <c r="BS773" s="1"/>
      <c r="BT773" s="1"/>
      <c r="BU773" s="4"/>
    </row>
    <row r="774">
      <c r="AK774" s="1"/>
      <c r="AQ774" s="1"/>
      <c r="AW774" s="1"/>
      <c r="BC774" s="1"/>
      <c r="BD774" s="1"/>
      <c r="BE774" s="1"/>
      <c r="BF774" s="1"/>
      <c r="BG774" s="1"/>
      <c r="BH774" s="1"/>
      <c r="BI774" s="1"/>
      <c r="BO774" s="1"/>
      <c r="BP774" s="1"/>
      <c r="BQ774" s="1"/>
      <c r="BR774" s="1"/>
      <c r="BS774" s="1"/>
      <c r="BT774" s="1"/>
      <c r="BU774" s="4"/>
    </row>
    <row r="775">
      <c r="AK775" s="1"/>
      <c r="AQ775" s="1"/>
      <c r="AW775" s="1"/>
      <c r="BC775" s="1"/>
      <c r="BD775" s="1"/>
      <c r="BE775" s="1"/>
      <c r="BF775" s="1"/>
      <c r="BG775" s="1"/>
      <c r="BH775" s="1"/>
      <c r="BI775" s="1"/>
      <c r="BO775" s="1"/>
      <c r="BP775" s="1"/>
      <c r="BQ775" s="1"/>
      <c r="BR775" s="1"/>
      <c r="BS775" s="1"/>
      <c r="BT775" s="1"/>
      <c r="BU775" s="4"/>
    </row>
    <row r="776">
      <c r="AK776" s="1"/>
      <c r="AQ776" s="1"/>
      <c r="AW776" s="1"/>
      <c r="BC776" s="1"/>
      <c r="BD776" s="1"/>
      <c r="BE776" s="1"/>
      <c r="BF776" s="1"/>
      <c r="BG776" s="1"/>
      <c r="BH776" s="1"/>
      <c r="BI776" s="1"/>
      <c r="BO776" s="1"/>
      <c r="BP776" s="1"/>
      <c r="BQ776" s="1"/>
      <c r="BR776" s="1"/>
      <c r="BS776" s="1"/>
      <c r="BT776" s="1"/>
      <c r="BU776" s="4"/>
    </row>
    <row r="777">
      <c r="AK777" s="1"/>
      <c r="AQ777" s="1"/>
      <c r="AW777" s="1"/>
      <c r="BC777" s="1"/>
      <c r="BD777" s="1"/>
      <c r="BE777" s="1"/>
      <c r="BF777" s="1"/>
      <c r="BG777" s="1"/>
      <c r="BH777" s="1"/>
      <c r="BI777" s="1"/>
      <c r="BO777" s="1"/>
      <c r="BP777" s="1"/>
      <c r="BQ777" s="1"/>
      <c r="BR777" s="1"/>
      <c r="BS777" s="1"/>
      <c r="BT777" s="1"/>
      <c r="BU777" s="4"/>
    </row>
    <row r="778">
      <c r="AK778" s="1"/>
      <c r="AQ778" s="1"/>
      <c r="AW778" s="1"/>
      <c r="BC778" s="1"/>
      <c r="BD778" s="1"/>
      <c r="BE778" s="1"/>
      <c r="BF778" s="1"/>
      <c r="BG778" s="1"/>
      <c r="BH778" s="1"/>
      <c r="BI778" s="1"/>
      <c r="BO778" s="1"/>
      <c r="BP778" s="1"/>
      <c r="BQ778" s="1"/>
      <c r="BR778" s="1"/>
      <c r="BS778" s="1"/>
      <c r="BT778" s="1"/>
      <c r="BU778" s="4"/>
    </row>
    <row r="779">
      <c r="AK779" s="1"/>
      <c r="AQ779" s="1"/>
      <c r="AW779" s="1"/>
      <c r="BC779" s="1"/>
      <c r="BD779" s="1"/>
      <c r="BE779" s="1"/>
      <c r="BF779" s="1"/>
      <c r="BG779" s="1"/>
      <c r="BH779" s="1"/>
      <c r="BI779" s="1"/>
      <c r="BO779" s="1"/>
      <c r="BP779" s="1"/>
      <c r="BQ779" s="1"/>
      <c r="BR779" s="1"/>
      <c r="BS779" s="1"/>
      <c r="BT779" s="1"/>
      <c r="BU779" s="4"/>
    </row>
    <row r="780">
      <c r="AK780" s="1"/>
      <c r="AQ780" s="1"/>
      <c r="AW780" s="1"/>
      <c r="BC780" s="1"/>
      <c r="BD780" s="1"/>
      <c r="BE780" s="1"/>
      <c r="BF780" s="1"/>
      <c r="BG780" s="1"/>
      <c r="BH780" s="1"/>
      <c r="BI780" s="1"/>
      <c r="BO780" s="1"/>
      <c r="BP780" s="1"/>
      <c r="BQ780" s="1"/>
      <c r="BR780" s="1"/>
      <c r="BS780" s="1"/>
      <c r="BT780" s="1"/>
      <c r="BU780" s="4"/>
    </row>
    <row r="781">
      <c r="AK781" s="1"/>
      <c r="AQ781" s="1"/>
      <c r="AW781" s="1"/>
      <c r="BC781" s="1"/>
      <c r="BD781" s="1"/>
      <c r="BE781" s="1"/>
      <c r="BF781" s="1"/>
      <c r="BG781" s="1"/>
      <c r="BH781" s="1"/>
      <c r="BI781" s="1"/>
      <c r="BO781" s="1"/>
      <c r="BP781" s="1"/>
      <c r="BQ781" s="1"/>
      <c r="BR781" s="1"/>
      <c r="BS781" s="1"/>
      <c r="BT781" s="1"/>
      <c r="BU781" s="4"/>
    </row>
    <row r="782">
      <c r="AK782" s="1"/>
      <c r="AQ782" s="1"/>
      <c r="AW782" s="1"/>
      <c r="BC782" s="1"/>
      <c r="BD782" s="1"/>
      <c r="BE782" s="1"/>
      <c r="BF782" s="1"/>
      <c r="BG782" s="1"/>
      <c r="BH782" s="1"/>
      <c r="BI782" s="1"/>
      <c r="BO782" s="1"/>
      <c r="BP782" s="1"/>
      <c r="BQ782" s="1"/>
      <c r="BR782" s="1"/>
      <c r="BS782" s="1"/>
      <c r="BT782" s="1"/>
      <c r="BU782" s="4"/>
    </row>
    <row r="783">
      <c r="AK783" s="1"/>
      <c r="AQ783" s="1"/>
      <c r="AW783" s="1"/>
      <c r="BC783" s="1"/>
      <c r="BD783" s="1"/>
      <c r="BE783" s="1"/>
      <c r="BF783" s="1"/>
      <c r="BG783" s="1"/>
      <c r="BH783" s="1"/>
      <c r="BI783" s="1"/>
      <c r="BO783" s="1"/>
      <c r="BP783" s="1"/>
      <c r="BQ783" s="1"/>
      <c r="BR783" s="1"/>
      <c r="BS783" s="1"/>
      <c r="BT783" s="1"/>
      <c r="BU783" s="4"/>
    </row>
    <row r="784">
      <c r="AK784" s="1"/>
      <c r="AQ784" s="1"/>
      <c r="AW784" s="1"/>
      <c r="BC784" s="1"/>
      <c r="BD784" s="1"/>
      <c r="BE784" s="1"/>
      <c r="BF784" s="1"/>
      <c r="BG784" s="1"/>
      <c r="BH784" s="1"/>
      <c r="BI784" s="1"/>
      <c r="BO784" s="1"/>
      <c r="BP784" s="1"/>
      <c r="BQ784" s="1"/>
      <c r="BR784" s="1"/>
      <c r="BS784" s="1"/>
      <c r="BT784" s="1"/>
      <c r="BU784" s="4"/>
    </row>
    <row r="785">
      <c r="AK785" s="1"/>
      <c r="AQ785" s="1"/>
      <c r="AW785" s="1"/>
      <c r="BC785" s="1"/>
      <c r="BD785" s="1"/>
      <c r="BE785" s="1"/>
      <c r="BF785" s="1"/>
      <c r="BG785" s="1"/>
      <c r="BH785" s="1"/>
      <c r="BI785" s="1"/>
      <c r="BO785" s="1"/>
      <c r="BP785" s="1"/>
      <c r="BQ785" s="1"/>
      <c r="BR785" s="1"/>
      <c r="BS785" s="1"/>
      <c r="BT785" s="1"/>
      <c r="BU785" s="4"/>
    </row>
    <row r="786">
      <c r="AK786" s="1"/>
      <c r="AQ786" s="1"/>
      <c r="AW786" s="1"/>
      <c r="BC786" s="1"/>
      <c r="BD786" s="1"/>
      <c r="BE786" s="1"/>
      <c r="BF786" s="1"/>
      <c r="BG786" s="1"/>
      <c r="BH786" s="1"/>
      <c r="BI786" s="1"/>
      <c r="BO786" s="1"/>
      <c r="BP786" s="1"/>
      <c r="BQ786" s="1"/>
      <c r="BR786" s="1"/>
      <c r="BS786" s="1"/>
      <c r="BT786" s="1"/>
      <c r="BU786" s="4"/>
    </row>
    <row r="787">
      <c r="AK787" s="1"/>
      <c r="AQ787" s="1"/>
      <c r="AW787" s="1"/>
      <c r="BC787" s="1"/>
      <c r="BD787" s="1"/>
      <c r="BE787" s="1"/>
      <c r="BF787" s="1"/>
      <c r="BG787" s="1"/>
      <c r="BH787" s="1"/>
      <c r="BI787" s="1"/>
      <c r="BO787" s="1"/>
      <c r="BP787" s="1"/>
      <c r="BQ787" s="1"/>
      <c r="BR787" s="1"/>
      <c r="BS787" s="1"/>
      <c r="BT787" s="1"/>
      <c r="BU787" s="4"/>
    </row>
    <row r="788">
      <c r="AK788" s="1"/>
      <c r="AQ788" s="1"/>
      <c r="AW788" s="1"/>
      <c r="BC788" s="1"/>
      <c r="BD788" s="1"/>
      <c r="BE788" s="1"/>
      <c r="BF788" s="1"/>
      <c r="BG788" s="1"/>
      <c r="BH788" s="1"/>
      <c r="BI788" s="1"/>
      <c r="BO788" s="1"/>
      <c r="BP788" s="1"/>
      <c r="BQ788" s="1"/>
      <c r="BR788" s="1"/>
      <c r="BS788" s="1"/>
      <c r="BT788" s="1"/>
      <c r="BU788" s="4"/>
    </row>
    <row r="789">
      <c r="AK789" s="1"/>
      <c r="AQ789" s="1"/>
      <c r="AW789" s="1"/>
      <c r="BC789" s="1"/>
      <c r="BD789" s="1"/>
      <c r="BE789" s="1"/>
      <c r="BF789" s="1"/>
      <c r="BG789" s="1"/>
      <c r="BH789" s="1"/>
      <c r="BI789" s="1"/>
      <c r="BO789" s="1"/>
      <c r="BP789" s="1"/>
      <c r="BQ789" s="1"/>
      <c r="BR789" s="1"/>
      <c r="BS789" s="1"/>
      <c r="BT789" s="1"/>
      <c r="BU789" s="4"/>
    </row>
    <row r="790">
      <c r="AK790" s="1"/>
      <c r="AQ790" s="1"/>
      <c r="AW790" s="1"/>
      <c r="BC790" s="1"/>
      <c r="BD790" s="1"/>
      <c r="BE790" s="1"/>
      <c r="BF790" s="1"/>
      <c r="BG790" s="1"/>
      <c r="BH790" s="1"/>
      <c r="BI790" s="1"/>
      <c r="BO790" s="1"/>
      <c r="BP790" s="1"/>
      <c r="BQ790" s="1"/>
      <c r="BR790" s="1"/>
      <c r="BS790" s="1"/>
      <c r="BT790" s="1"/>
      <c r="BU790" s="4"/>
    </row>
    <row r="791">
      <c r="AK791" s="1"/>
      <c r="AQ791" s="1"/>
      <c r="AW791" s="1"/>
      <c r="BC791" s="1"/>
      <c r="BD791" s="1"/>
      <c r="BE791" s="1"/>
      <c r="BF791" s="1"/>
      <c r="BG791" s="1"/>
      <c r="BH791" s="1"/>
      <c r="BI791" s="1"/>
      <c r="BO791" s="1"/>
      <c r="BP791" s="1"/>
      <c r="BQ791" s="1"/>
      <c r="BR791" s="1"/>
      <c r="BS791" s="1"/>
      <c r="BT791" s="1"/>
      <c r="BU791" s="4"/>
    </row>
    <row r="792">
      <c r="AK792" s="1"/>
      <c r="AQ792" s="1"/>
      <c r="AW792" s="1"/>
      <c r="BC792" s="1"/>
      <c r="BD792" s="1"/>
      <c r="BE792" s="1"/>
      <c r="BF792" s="1"/>
      <c r="BG792" s="1"/>
      <c r="BH792" s="1"/>
      <c r="BI792" s="1"/>
      <c r="BO792" s="1"/>
      <c r="BP792" s="1"/>
      <c r="BQ792" s="1"/>
      <c r="BR792" s="1"/>
      <c r="BS792" s="1"/>
      <c r="BT792" s="1"/>
      <c r="BU792" s="4"/>
    </row>
    <row r="793">
      <c r="AK793" s="1"/>
      <c r="AQ793" s="1"/>
      <c r="AW793" s="1"/>
      <c r="BC793" s="1"/>
      <c r="BD793" s="1"/>
      <c r="BE793" s="1"/>
      <c r="BF793" s="1"/>
      <c r="BG793" s="1"/>
      <c r="BH793" s="1"/>
      <c r="BI793" s="1"/>
      <c r="BO793" s="1"/>
      <c r="BP793" s="1"/>
      <c r="BQ793" s="1"/>
      <c r="BR793" s="1"/>
      <c r="BS793" s="1"/>
      <c r="BT793" s="1"/>
      <c r="BU793" s="4"/>
    </row>
    <row r="794">
      <c r="AK794" s="1"/>
      <c r="AQ794" s="1"/>
      <c r="AW794" s="1"/>
      <c r="BC794" s="1"/>
      <c r="BD794" s="1"/>
      <c r="BE794" s="1"/>
      <c r="BF794" s="1"/>
      <c r="BG794" s="1"/>
      <c r="BH794" s="1"/>
      <c r="BI794" s="1"/>
      <c r="BO794" s="1"/>
      <c r="BP794" s="1"/>
      <c r="BQ794" s="1"/>
      <c r="BR794" s="1"/>
      <c r="BS794" s="1"/>
      <c r="BT794" s="1"/>
      <c r="BU794" s="4"/>
    </row>
    <row r="795">
      <c r="AK795" s="1"/>
      <c r="AQ795" s="1"/>
      <c r="AW795" s="1"/>
      <c r="BC795" s="1"/>
      <c r="BD795" s="1"/>
      <c r="BE795" s="1"/>
      <c r="BF795" s="1"/>
      <c r="BG795" s="1"/>
      <c r="BH795" s="1"/>
      <c r="BI795" s="1"/>
      <c r="BO795" s="1"/>
      <c r="BP795" s="1"/>
      <c r="BQ795" s="1"/>
      <c r="BR795" s="1"/>
      <c r="BS795" s="1"/>
      <c r="BT795" s="1"/>
      <c r="BU795" s="4"/>
    </row>
    <row r="796">
      <c r="AK796" s="1"/>
      <c r="AQ796" s="1"/>
      <c r="AW796" s="1"/>
      <c r="BC796" s="1"/>
      <c r="BD796" s="1"/>
      <c r="BE796" s="1"/>
      <c r="BF796" s="1"/>
      <c r="BG796" s="1"/>
      <c r="BH796" s="1"/>
      <c r="BI796" s="1"/>
      <c r="BO796" s="1"/>
      <c r="BP796" s="1"/>
      <c r="BQ796" s="1"/>
      <c r="BR796" s="1"/>
      <c r="BS796" s="1"/>
      <c r="BT796" s="1"/>
      <c r="BU796" s="4"/>
    </row>
    <row r="797">
      <c r="AK797" s="1"/>
      <c r="AQ797" s="1"/>
      <c r="AW797" s="1"/>
      <c r="BC797" s="1"/>
      <c r="BD797" s="1"/>
      <c r="BE797" s="1"/>
      <c r="BF797" s="1"/>
      <c r="BG797" s="1"/>
      <c r="BH797" s="1"/>
      <c r="BI797" s="1"/>
      <c r="BO797" s="1"/>
      <c r="BP797" s="1"/>
      <c r="BQ797" s="1"/>
      <c r="BR797" s="1"/>
      <c r="BS797" s="1"/>
      <c r="BT797" s="1"/>
      <c r="BU797" s="4"/>
    </row>
    <row r="798">
      <c r="AK798" s="1"/>
      <c r="AQ798" s="1"/>
      <c r="AW798" s="1"/>
      <c r="BC798" s="1"/>
      <c r="BD798" s="1"/>
      <c r="BE798" s="1"/>
      <c r="BF798" s="1"/>
      <c r="BG798" s="1"/>
      <c r="BH798" s="1"/>
      <c r="BI798" s="1"/>
      <c r="BO798" s="1"/>
      <c r="BP798" s="1"/>
      <c r="BQ798" s="1"/>
      <c r="BR798" s="1"/>
      <c r="BS798" s="1"/>
      <c r="BT798" s="1"/>
      <c r="BU798" s="4"/>
    </row>
    <row r="799">
      <c r="AK799" s="1"/>
      <c r="AQ799" s="1"/>
      <c r="AW799" s="1"/>
      <c r="BC799" s="1"/>
      <c r="BD799" s="1"/>
      <c r="BE799" s="1"/>
      <c r="BF799" s="1"/>
      <c r="BG799" s="1"/>
      <c r="BH799" s="1"/>
      <c r="BI799" s="1"/>
      <c r="BO799" s="1"/>
      <c r="BP799" s="1"/>
      <c r="BQ799" s="1"/>
      <c r="BR799" s="1"/>
      <c r="BS799" s="1"/>
      <c r="BT799" s="1"/>
      <c r="BU799" s="4"/>
    </row>
    <row r="800">
      <c r="AK800" s="1"/>
      <c r="AQ800" s="1"/>
      <c r="AW800" s="1"/>
      <c r="BC800" s="1"/>
      <c r="BD800" s="1"/>
      <c r="BE800" s="1"/>
      <c r="BF800" s="1"/>
      <c r="BG800" s="1"/>
      <c r="BH800" s="1"/>
      <c r="BI800" s="1"/>
      <c r="BO800" s="1"/>
      <c r="BP800" s="1"/>
      <c r="BQ800" s="1"/>
      <c r="BR800" s="1"/>
      <c r="BS800" s="1"/>
      <c r="BT800" s="1"/>
      <c r="BU800" s="4"/>
    </row>
    <row r="801">
      <c r="AK801" s="1"/>
      <c r="AQ801" s="1"/>
      <c r="AW801" s="1"/>
      <c r="BC801" s="1"/>
      <c r="BD801" s="1"/>
      <c r="BE801" s="1"/>
      <c r="BF801" s="1"/>
      <c r="BG801" s="1"/>
      <c r="BH801" s="1"/>
      <c r="BI801" s="1"/>
      <c r="BO801" s="1"/>
      <c r="BP801" s="1"/>
      <c r="BQ801" s="1"/>
      <c r="BR801" s="1"/>
      <c r="BS801" s="1"/>
      <c r="BT801" s="1"/>
      <c r="BU801" s="4"/>
    </row>
    <row r="802">
      <c r="AK802" s="1"/>
      <c r="AQ802" s="1"/>
      <c r="AW802" s="1"/>
      <c r="BC802" s="1"/>
      <c r="BD802" s="1"/>
      <c r="BE802" s="1"/>
      <c r="BF802" s="1"/>
      <c r="BG802" s="1"/>
      <c r="BH802" s="1"/>
      <c r="BI802" s="1"/>
      <c r="BO802" s="1"/>
      <c r="BP802" s="1"/>
      <c r="BQ802" s="1"/>
      <c r="BR802" s="1"/>
      <c r="BS802" s="1"/>
      <c r="BT802" s="1"/>
      <c r="BU802" s="4"/>
    </row>
    <row r="803">
      <c r="AK803" s="1"/>
      <c r="AQ803" s="1"/>
      <c r="AW803" s="1"/>
      <c r="BC803" s="1"/>
      <c r="BD803" s="1"/>
      <c r="BE803" s="1"/>
      <c r="BF803" s="1"/>
      <c r="BG803" s="1"/>
      <c r="BH803" s="1"/>
      <c r="BI803" s="1"/>
      <c r="BO803" s="1"/>
      <c r="BP803" s="1"/>
      <c r="BQ803" s="1"/>
      <c r="BR803" s="1"/>
      <c r="BS803" s="1"/>
      <c r="BT803" s="1"/>
      <c r="BU803" s="4"/>
    </row>
    <row r="804">
      <c r="AK804" s="1"/>
      <c r="AQ804" s="1"/>
      <c r="AW804" s="1"/>
      <c r="BC804" s="1"/>
      <c r="BD804" s="1"/>
      <c r="BE804" s="1"/>
      <c r="BF804" s="1"/>
      <c r="BG804" s="1"/>
      <c r="BH804" s="1"/>
      <c r="BI804" s="1"/>
      <c r="BO804" s="1"/>
      <c r="BP804" s="1"/>
      <c r="BQ804" s="1"/>
      <c r="BR804" s="1"/>
      <c r="BS804" s="1"/>
      <c r="BT804" s="1"/>
      <c r="BU804" s="4"/>
    </row>
    <row r="805">
      <c r="AK805" s="1"/>
      <c r="AQ805" s="1"/>
      <c r="AW805" s="1"/>
      <c r="BC805" s="1"/>
      <c r="BD805" s="1"/>
      <c r="BE805" s="1"/>
      <c r="BF805" s="1"/>
      <c r="BG805" s="1"/>
      <c r="BH805" s="1"/>
      <c r="BI805" s="1"/>
      <c r="BO805" s="1"/>
      <c r="BP805" s="1"/>
      <c r="BQ805" s="1"/>
      <c r="BR805" s="1"/>
      <c r="BS805" s="1"/>
      <c r="BT805" s="1"/>
      <c r="BU805" s="4"/>
    </row>
    <row r="806">
      <c r="AK806" s="1"/>
      <c r="AQ806" s="1"/>
      <c r="AW806" s="1"/>
      <c r="BC806" s="1"/>
      <c r="BD806" s="1"/>
      <c r="BE806" s="1"/>
      <c r="BF806" s="1"/>
      <c r="BG806" s="1"/>
      <c r="BH806" s="1"/>
      <c r="BI806" s="1"/>
      <c r="BO806" s="1"/>
      <c r="BP806" s="1"/>
      <c r="BQ806" s="1"/>
      <c r="BR806" s="1"/>
      <c r="BS806" s="1"/>
      <c r="BT806" s="1"/>
      <c r="BU806" s="4"/>
    </row>
    <row r="807">
      <c r="AK807" s="1"/>
      <c r="AQ807" s="1"/>
      <c r="AW807" s="1"/>
      <c r="BC807" s="1"/>
      <c r="BD807" s="1"/>
      <c r="BE807" s="1"/>
      <c r="BF807" s="1"/>
      <c r="BG807" s="1"/>
      <c r="BH807" s="1"/>
      <c r="BI807" s="1"/>
      <c r="BO807" s="1"/>
      <c r="BP807" s="1"/>
      <c r="BQ807" s="1"/>
      <c r="BR807" s="1"/>
      <c r="BS807" s="1"/>
      <c r="BT807" s="1"/>
      <c r="BU807" s="4"/>
    </row>
    <row r="808">
      <c r="AK808" s="1"/>
      <c r="AQ808" s="1"/>
      <c r="AW808" s="1"/>
      <c r="BC808" s="1"/>
      <c r="BD808" s="1"/>
      <c r="BE808" s="1"/>
      <c r="BF808" s="1"/>
      <c r="BG808" s="1"/>
      <c r="BH808" s="1"/>
      <c r="BI808" s="1"/>
      <c r="BO808" s="1"/>
      <c r="BP808" s="1"/>
      <c r="BQ808" s="1"/>
      <c r="BR808" s="1"/>
      <c r="BS808" s="1"/>
      <c r="BT808" s="1"/>
      <c r="BU808" s="4"/>
    </row>
    <row r="809">
      <c r="AK809" s="1"/>
      <c r="AQ809" s="1"/>
      <c r="AW809" s="1"/>
      <c r="BC809" s="1"/>
      <c r="BD809" s="1"/>
      <c r="BE809" s="1"/>
      <c r="BF809" s="1"/>
      <c r="BG809" s="1"/>
      <c r="BH809" s="1"/>
      <c r="BI809" s="1"/>
      <c r="BO809" s="1"/>
      <c r="BP809" s="1"/>
      <c r="BQ809" s="1"/>
      <c r="BR809" s="1"/>
      <c r="BS809" s="1"/>
      <c r="BT809" s="1"/>
      <c r="BU809" s="4"/>
    </row>
    <row r="810">
      <c r="AK810" s="1"/>
      <c r="AQ810" s="1"/>
      <c r="AW810" s="1"/>
      <c r="BC810" s="1"/>
      <c r="BD810" s="1"/>
      <c r="BE810" s="1"/>
      <c r="BF810" s="1"/>
      <c r="BG810" s="1"/>
      <c r="BH810" s="1"/>
      <c r="BI810" s="1"/>
      <c r="BO810" s="1"/>
      <c r="BP810" s="1"/>
      <c r="BQ810" s="1"/>
      <c r="BR810" s="1"/>
      <c r="BS810" s="1"/>
      <c r="BT810" s="1"/>
      <c r="BU810" s="4"/>
    </row>
    <row r="811">
      <c r="AK811" s="1"/>
      <c r="AQ811" s="1"/>
      <c r="AW811" s="1"/>
      <c r="BC811" s="1"/>
      <c r="BD811" s="1"/>
      <c r="BE811" s="1"/>
      <c r="BF811" s="1"/>
      <c r="BG811" s="1"/>
      <c r="BH811" s="1"/>
      <c r="BI811" s="1"/>
      <c r="BO811" s="1"/>
      <c r="BP811" s="1"/>
      <c r="BQ811" s="1"/>
      <c r="BR811" s="1"/>
      <c r="BS811" s="1"/>
      <c r="BT811" s="1"/>
      <c r="BU811" s="4"/>
    </row>
    <row r="812">
      <c r="AK812" s="1"/>
      <c r="AQ812" s="1"/>
      <c r="AW812" s="1"/>
      <c r="BC812" s="1"/>
      <c r="BD812" s="1"/>
      <c r="BE812" s="1"/>
      <c r="BF812" s="1"/>
      <c r="BG812" s="1"/>
      <c r="BH812" s="1"/>
      <c r="BI812" s="1"/>
      <c r="BO812" s="1"/>
      <c r="BP812" s="1"/>
      <c r="BQ812" s="1"/>
      <c r="BR812" s="1"/>
      <c r="BS812" s="1"/>
      <c r="BT812" s="1"/>
      <c r="BU812" s="4"/>
    </row>
    <row r="813">
      <c r="AK813" s="1"/>
      <c r="AQ813" s="1"/>
      <c r="AW813" s="1"/>
      <c r="BC813" s="1"/>
      <c r="BD813" s="1"/>
      <c r="BE813" s="1"/>
      <c r="BF813" s="1"/>
      <c r="BG813" s="1"/>
      <c r="BH813" s="1"/>
      <c r="BI813" s="1"/>
      <c r="BO813" s="1"/>
      <c r="BP813" s="1"/>
      <c r="BQ813" s="1"/>
      <c r="BR813" s="1"/>
      <c r="BS813" s="1"/>
      <c r="BT813" s="1"/>
      <c r="BU813" s="4"/>
    </row>
    <row r="814">
      <c r="AK814" s="1"/>
      <c r="AQ814" s="1"/>
      <c r="AW814" s="1"/>
      <c r="BC814" s="1"/>
      <c r="BD814" s="1"/>
      <c r="BE814" s="1"/>
      <c r="BF814" s="1"/>
      <c r="BG814" s="1"/>
      <c r="BH814" s="1"/>
      <c r="BI814" s="1"/>
      <c r="BO814" s="1"/>
      <c r="BP814" s="1"/>
      <c r="BQ814" s="1"/>
      <c r="BR814" s="1"/>
      <c r="BS814" s="1"/>
      <c r="BT814" s="1"/>
      <c r="BU814" s="4"/>
    </row>
    <row r="815">
      <c r="AK815" s="1"/>
      <c r="AQ815" s="1"/>
      <c r="AW815" s="1"/>
      <c r="BC815" s="1"/>
      <c r="BD815" s="1"/>
      <c r="BE815" s="1"/>
      <c r="BF815" s="1"/>
      <c r="BG815" s="1"/>
      <c r="BH815" s="1"/>
      <c r="BI815" s="1"/>
      <c r="BO815" s="1"/>
      <c r="BP815" s="1"/>
      <c r="BQ815" s="1"/>
      <c r="BR815" s="1"/>
      <c r="BS815" s="1"/>
      <c r="BT815" s="1"/>
      <c r="BU815" s="4"/>
    </row>
    <row r="816">
      <c r="AK816" s="1"/>
      <c r="AQ816" s="1"/>
      <c r="AW816" s="1"/>
      <c r="BC816" s="1"/>
      <c r="BD816" s="1"/>
      <c r="BE816" s="1"/>
      <c r="BF816" s="1"/>
      <c r="BG816" s="1"/>
      <c r="BH816" s="1"/>
      <c r="BI816" s="1"/>
      <c r="BO816" s="1"/>
      <c r="BP816" s="1"/>
      <c r="BQ816" s="1"/>
      <c r="BR816" s="1"/>
      <c r="BS816" s="1"/>
      <c r="BT816" s="1"/>
      <c r="BU816" s="4"/>
    </row>
    <row r="817">
      <c r="AK817" s="1"/>
      <c r="AQ817" s="1"/>
      <c r="AW817" s="1"/>
      <c r="BC817" s="1"/>
      <c r="BD817" s="1"/>
      <c r="BE817" s="1"/>
      <c r="BF817" s="1"/>
      <c r="BG817" s="1"/>
      <c r="BH817" s="1"/>
      <c r="BI817" s="1"/>
      <c r="BO817" s="1"/>
      <c r="BP817" s="1"/>
      <c r="BQ817" s="1"/>
      <c r="BR817" s="1"/>
      <c r="BS817" s="1"/>
      <c r="BT817" s="1"/>
      <c r="BU817" s="4"/>
    </row>
    <row r="818">
      <c r="AK818" s="1"/>
      <c r="AQ818" s="1"/>
      <c r="AW818" s="1"/>
      <c r="BC818" s="1"/>
      <c r="BD818" s="1"/>
      <c r="BE818" s="1"/>
      <c r="BF818" s="1"/>
      <c r="BG818" s="1"/>
      <c r="BH818" s="1"/>
      <c r="BI818" s="1"/>
      <c r="BO818" s="1"/>
      <c r="BP818" s="1"/>
      <c r="BQ818" s="1"/>
      <c r="BR818" s="1"/>
      <c r="BS818" s="1"/>
      <c r="BT818" s="1"/>
      <c r="BU818" s="4"/>
    </row>
    <row r="819">
      <c r="AK819" s="1"/>
      <c r="AQ819" s="1"/>
      <c r="AW819" s="1"/>
      <c r="BC819" s="1"/>
      <c r="BD819" s="1"/>
      <c r="BE819" s="1"/>
      <c r="BF819" s="1"/>
      <c r="BG819" s="1"/>
      <c r="BH819" s="1"/>
      <c r="BI819" s="1"/>
      <c r="BO819" s="1"/>
      <c r="BP819" s="1"/>
      <c r="BQ819" s="1"/>
      <c r="BR819" s="1"/>
      <c r="BS819" s="1"/>
      <c r="BT819" s="1"/>
      <c r="BU819" s="4"/>
    </row>
    <row r="820">
      <c r="AK820" s="1"/>
      <c r="AQ820" s="1"/>
      <c r="AW820" s="1"/>
      <c r="BC820" s="1"/>
      <c r="BD820" s="1"/>
      <c r="BE820" s="1"/>
      <c r="BF820" s="1"/>
      <c r="BG820" s="1"/>
      <c r="BH820" s="1"/>
      <c r="BI820" s="1"/>
      <c r="BO820" s="1"/>
      <c r="BP820" s="1"/>
      <c r="BQ820" s="1"/>
      <c r="BR820" s="1"/>
      <c r="BS820" s="1"/>
      <c r="BT820" s="1"/>
      <c r="BU820" s="4"/>
    </row>
    <row r="821">
      <c r="AK821" s="1"/>
      <c r="AQ821" s="1"/>
      <c r="AW821" s="1"/>
      <c r="BC821" s="1"/>
      <c r="BD821" s="1"/>
      <c r="BE821" s="1"/>
      <c r="BF821" s="1"/>
      <c r="BG821" s="1"/>
      <c r="BH821" s="1"/>
      <c r="BI821" s="1"/>
      <c r="BO821" s="1"/>
      <c r="BP821" s="1"/>
      <c r="BQ821" s="1"/>
      <c r="BR821" s="1"/>
      <c r="BS821" s="1"/>
      <c r="BT821" s="1"/>
      <c r="BU821" s="4"/>
    </row>
    <row r="822">
      <c r="AK822" s="1"/>
      <c r="AQ822" s="1"/>
      <c r="AW822" s="1"/>
      <c r="BC822" s="1"/>
      <c r="BD822" s="1"/>
      <c r="BE822" s="1"/>
      <c r="BF822" s="1"/>
      <c r="BG822" s="1"/>
      <c r="BH822" s="1"/>
      <c r="BI822" s="1"/>
      <c r="BO822" s="1"/>
      <c r="BP822" s="1"/>
      <c r="BQ822" s="1"/>
      <c r="BR822" s="1"/>
      <c r="BS822" s="1"/>
      <c r="BT822" s="1"/>
      <c r="BU822" s="4"/>
    </row>
    <row r="823">
      <c r="AK823" s="1"/>
      <c r="AQ823" s="1"/>
      <c r="AW823" s="1"/>
      <c r="BC823" s="1"/>
      <c r="BD823" s="1"/>
      <c r="BE823" s="1"/>
      <c r="BF823" s="1"/>
      <c r="BG823" s="1"/>
      <c r="BH823" s="1"/>
      <c r="BI823" s="1"/>
      <c r="BO823" s="1"/>
      <c r="BP823" s="1"/>
      <c r="BQ823" s="1"/>
      <c r="BR823" s="1"/>
      <c r="BS823" s="1"/>
      <c r="BT823" s="1"/>
      <c r="BU823" s="4"/>
    </row>
    <row r="824">
      <c r="AK824" s="1"/>
      <c r="AQ824" s="1"/>
      <c r="AW824" s="1"/>
      <c r="BC824" s="1"/>
      <c r="BD824" s="1"/>
      <c r="BE824" s="1"/>
      <c r="BF824" s="1"/>
      <c r="BG824" s="1"/>
      <c r="BH824" s="1"/>
      <c r="BI824" s="1"/>
      <c r="BO824" s="1"/>
      <c r="BP824" s="1"/>
      <c r="BQ824" s="1"/>
      <c r="BR824" s="1"/>
      <c r="BS824" s="1"/>
      <c r="BT824" s="1"/>
      <c r="BU824" s="4"/>
    </row>
    <row r="825">
      <c r="AK825" s="1"/>
      <c r="AQ825" s="1"/>
      <c r="AW825" s="1"/>
      <c r="BC825" s="1"/>
      <c r="BD825" s="1"/>
      <c r="BE825" s="1"/>
      <c r="BF825" s="1"/>
      <c r="BG825" s="1"/>
      <c r="BH825" s="1"/>
      <c r="BI825" s="1"/>
      <c r="BO825" s="1"/>
      <c r="BP825" s="1"/>
      <c r="BQ825" s="1"/>
      <c r="BR825" s="1"/>
      <c r="BS825" s="1"/>
      <c r="BT825" s="1"/>
      <c r="BU825" s="4"/>
    </row>
    <row r="826">
      <c r="AK826" s="1"/>
      <c r="AQ826" s="1"/>
      <c r="AW826" s="1"/>
      <c r="BC826" s="1"/>
      <c r="BD826" s="1"/>
      <c r="BE826" s="1"/>
      <c r="BF826" s="1"/>
      <c r="BG826" s="1"/>
      <c r="BH826" s="1"/>
      <c r="BI826" s="1"/>
      <c r="BO826" s="1"/>
      <c r="BP826" s="1"/>
      <c r="BQ826" s="1"/>
      <c r="BR826" s="1"/>
      <c r="BS826" s="1"/>
      <c r="BT826" s="1"/>
      <c r="BU826" s="4"/>
    </row>
    <row r="827">
      <c r="AK827" s="1"/>
      <c r="AQ827" s="1"/>
      <c r="AW827" s="1"/>
      <c r="BC827" s="1"/>
      <c r="BD827" s="1"/>
      <c r="BE827" s="1"/>
      <c r="BF827" s="1"/>
      <c r="BG827" s="1"/>
      <c r="BH827" s="1"/>
      <c r="BI827" s="1"/>
      <c r="BO827" s="1"/>
      <c r="BP827" s="1"/>
      <c r="BQ827" s="1"/>
      <c r="BR827" s="1"/>
      <c r="BS827" s="1"/>
      <c r="BT827" s="1"/>
      <c r="BU827" s="4"/>
    </row>
    <row r="828">
      <c r="AK828" s="1"/>
      <c r="AQ828" s="1"/>
      <c r="AW828" s="1"/>
      <c r="BC828" s="1"/>
      <c r="BD828" s="1"/>
      <c r="BE828" s="1"/>
      <c r="BF828" s="1"/>
      <c r="BG828" s="1"/>
      <c r="BH828" s="1"/>
      <c r="BI828" s="1"/>
      <c r="BO828" s="1"/>
      <c r="BP828" s="1"/>
      <c r="BQ828" s="1"/>
      <c r="BR828" s="1"/>
      <c r="BS828" s="1"/>
      <c r="BT828" s="1"/>
      <c r="BU828" s="4"/>
    </row>
    <row r="829">
      <c r="AK829" s="1"/>
      <c r="AQ829" s="1"/>
      <c r="AW829" s="1"/>
      <c r="BC829" s="1"/>
      <c r="BD829" s="1"/>
      <c r="BE829" s="1"/>
      <c r="BF829" s="1"/>
      <c r="BG829" s="1"/>
      <c r="BH829" s="1"/>
      <c r="BI829" s="1"/>
      <c r="BO829" s="1"/>
      <c r="BP829" s="1"/>
      <c r="BQ829" s="1"/>
      <c r="BR829" s="1"/>
      <c r="BS829" s="1"/>
      <c r="BT829" s="1"/>
      <c r="BU829" s="4"/>
    </row>
    <row r="830">
      <c r="AK830" s="1"/>
      <c r="AQ830" s="1"/>
      <c r="AW830" s="1"/>
      <c r="BC830" s="1"/>
      <c r="BD830" s="1"/>
      <c r="BE830" s="1"/>
      <c r="BF830" s="1"/>
      <c r="BG830" s="1"/>
      <c r="BH830" s="1"/>
      <c r="BI830" s="1"/>
      <c r="BO830" s="1"/>
      <c r="BP830" s="1"/>
      <c r="BQ830" s="1"/>
      <c r="BR830" s="1"/>
      <c r="BS830" s="1"/>
      <c r="BT830" s="1"/>
      <c r="BU830" s="4"/>
    </row>
    <row r="831">
      <c r="AK831" s="1"/>
      <c r="AQ831" s="1"/>
      <c r="AW831" s="1"/>
      <c r="BC831" s="1"/>
      <c r="BD831" s="1"/>
      <c r="BE831" s="1"/>
      <c r="BF831" s="1"/>
      <c r="BG831" s="1"/>
      <c r="BH831" s="1"/>
      <c r="BI831" s="1"/>
      <c r="BO831" s="1"/>
      <c r="BP831" s="1"/>
      <c r="BQ831" s="1"/>
      <c r="BR831" s="1"/>
      <c r="BS831" s="1"/>
      <c r="BT831" s="1"/>
      <c r="BU831" s="4"/>
    </row>
    <row r="832">
      <c r="AK832" s="1"/>
      <c r="AQ832" s="1"/>
      <c r="AW832" s="1"/>
      <c r="BC832" s="1"/>
      <c r="BD832" s="1"/>
      <c r="BE832" s="1"/>
      <c r="BF832" s="1"/>
      <c r="BG832" s="1"/>
      <c r="BH832" s="1"/>
      <c r="BI832" s="1"/>
      <c r="BO832" s="1"/>
      <c r="BP832" s="1"/>
      <c r="BQ832" s="1"/>
      <c r="BR832" s="1"/>
      <c r="BS832" s="1"/>
      <c r="BT832" s="1"/>
      <c r="BU832" s="4"/>
    </row>
    <row r="833">
      <c r="AK833" s="1"/>
      <c r="AQ833" s="1"/>
      <c r="AW833" s="1"/>
      <c r="BC833" s="1"/>
      <c r="BD833" s="1"/>
      <c r="BE833" s="1"/>
      <c r="BF833" s="1"/>
      <c r="BG833" s="1"/>
      <c r="BH833" s="1"/>
      <c r="BI833" s="1"/>
      <c r="BO833" s="1"/>
      <c r="BP833" s="1"/>
      <c r="BQ833" s="1"/>
      <c r="BR833" s="1"/>
      <c r="BS833" s="1"/>
      <c r="BT833" s="1"/>
      <c r="BU833" s="4"/>
    </row>
    <row r="834">
      <c r="AK834" s="1"/>
      <c r="AQ834" s="1"/>
      <c r="AW834" s="1"/>
      <c r="BC834" s="1"/>
      <c r="BD834" s="1"/>
      <c r="BE834" s="1"/>
      <c r="BF834" s="1"/>
      <c r="BG834" s="1"/>
      <c r="BH834" s="1"/>
      <c r="BI834" s="1"/>
      <c r="BO834" s="1"/>
      <c r="BP834" s="1"/>
      <c r="BQ834" s="1"/>
      <c r="BR834" s="1"/>
      <c r="BS834" s="1"/>
      <c r="BT834" s="1"/>
      <c r="BU834" s="4"/>
    </row>
    <row r="835">
      <c r="AK835" s="1"/>
      <c r="AQ835" s="1"/>
      <c r="AW835" s="1"/>
      <c r="BC835" s="1"/>
      <c r="BD835" s="1"/>
      <c r="BE835" s="1"/>
      <c r="BF835" s="1"/>
      <c r="BG835" s="1"/>
      <c r="BH835" s="1"/>
      <c r="BI835" s="1"/>
      <c r="BO835" s="1"/>
      <c r="BP835" s="1"/>
      <c r="BQ835" s="1"/>
      <c r="BR835" s="1"/>
      <c r="BS835" s="1"/>
      <c r="BT835" s="1"/>
      <c r="BU835" s="4"/>
    </row>
    <row r="836">
      <c r="AK836" s="1"/>
      <c r="AQ836" s="1"/>
      <c r="AW836" s="1"/>
      <c r="BC836" s="1"/>
      <c r="BD836" s="1"/>
      <c r="BE836" s="1"/>
      <c r="BF836" s="1"/>
      <c r="BG836" s="1"/>
      <c r="BH836" s="1"/>
      <c r="BI836" s="1"/>
      <c r="BO836" s="1"/>
      <c r="BP836" s="1"/>
      <c r="BQ836" s="1"/>
      <c r="BR836" s="1"/>
      <c r="BS836" s="1"/>
      <c r="BT836" s="1"/>
      <c r="BU836" s="4"/>
    </row>
    <row r="837">
      <c r="AK837" s="1"/>
      <c r="AQ837" s="1"/>
      <c r="AW837" s="1"/>
      <c r="BC837" s="1"/>
      <c r="BD837" s="1"/>
      <c r="BE837" s="1"/>
      <c r="BF837" s="1"/>
      <c r="BG837" s="1"/>
      <c r="BH837" s="1"/>
      <c r="BI837" s="1"/>
      <c r="BO837" s="1"/>
      <c r="BP837" s="1"/>
      <c r="BQ837" s="1"/>
      <c r="BR837" s="1"/>
      <c r="BS837" s="1"/>
      <c r="BT837" s="1"/>
      <c r="BU837" s="4"/>
    </row>
    <row r="838">
      <c r="AK838" s="1"/>
      <c r="AQ838" s="1"/>
      <c r="AW838" s="1"/>
      <c r="BC838" s="1"/>
      <c r="BD838" s="1"/>
      <c r="BE838" s="1"/>
      <c r="BF838" s="1"/>
      <c r="BG838" s="1"/>
      <c r="BH838" s="1"/>
      <c r="BI838" s="1"/>
      <c r="BO838" s="1"/>
      <c r="BP838" s="1"/>
      <c r="BQ838" s="1"/>
      <c r="BR838" s="1"/>
      <c r="BS838" s="1"/>
      <c r="BT838" s="1"/>
      <c r="BU838" s="4"/>
    </row>
    <row r="839">
      <c r="AK839" s="1"/>
      <c r="AQ839" s="1"/>
      <c r="AW839" s="1"/>
      <c r="BC839" s="1"/>
      <c r="BD839" s="1"/>
      <c r="BE839" s="1"/>
      <c r="BF839" s="1"/>
      <c r="BG839" s="1"/>
      <c r="BH839" s="1"/>
      <c r="BI839" s="1"/>
      <c r="BO839" s="1"/>
      <c r="BP839" s="1"/>
      <c r="BQ839" s="1"/>
      <c r="BR839" s="1"/>
      <c r="BS839" s="1"/>
      <c r="BT839" s="1"/>
      <c r="BU839" s="4"/>
    </row>
    <row r="840">
      <c r="AK840" s="1"/>
      <c r="AQ840" s="1"/>
      <c r="AW840" s="1"/>
      <c r="BC840" s="1"/>
      <c r="BD840" s="1"/>
      <c r="BE840" s="1"/>
      <c r="BF840" s="1"/>
      <c r="BG840" s="1"/>
      <c r="BH840" s="1"/>
      <c r="BI840" s="1"/>
      <c r="BO840" s="1"/>
      <c r="BP840" s="1"/>
      <c r="BQ840" s="1"/>
      <c r="BR840" s="1"/>
      <c r="BS840" s="1"/>
      <c r="BT840" s="1"/>
      <c r="BU840" s="4"/>
    </row>
    <row r="841">
      <c r="AK841" s="1"/>
      <c r="AQ841" s="1"/>
      <c r="AW841" s="1"/>
      <c r="BC841" s="1"/>
      <c r="BD841" s="1"/>
      <c r="BE841" s="1"/>
      <c r="BF841" s="1"/>
      <c r="BG841" s="1"/>
      <c r="BH841" s="1"/>
      <c r="BI841" s="1"/>
      <c r="BO841" s="1"/>
      <c r="BP841" s="1"/>
      <c r="BQ841" s="1"/>
      <c r="BR841" s="1"/>
      <c r="BS841" s="1"/>
      <c r="BT841" s="1"/>
      <c r="BU841" s="4"/>
    </row>
    <row r="842">
      <c r="AK842" s="1"/>
      <c r="AQ842" s="1"/>
      <c r="AW842" s="1"/>
      <c r="BC842" s="1"/>
      <c r="BD842" s="1"/>
      <c r="BE842" s="1"/>
      <c r="BF842" s="1"/>
      <c r="BG842" s="1"/>
      <c r="BH842" s="1"/>
      <c r="BI842" s="1"/>
      <c r="BO842" s="1"/>
      <c r="BP842" s="1"/>
      <c r="BQ842" s="1"/>
      <c r="BR842" s="1"/>
      <c r="BS842" s="1"/>
      <c r="BT842" s="1"/>
      <c r="BU842" s="4"/>
    </row>
    <row r="843">
      <c r="AK843" s="1"/>
      <c r="AQ843" s="1"/>
      <c r="AW843" s="1"/>
      <c r="BC843" s="1"/>
      <c r="BD843" s="1"/>
      <c r="BE843" s="1"/>
      <c r="BF843" s="1"/>
      <c r="BG843" s="1"/>
      <c r="BH843" s="1"/>
      <c r="BI843" s="1"/>
      <c r="BO843" s="1"/>
      <c r="BP843" s="1"/>
      <c r="BQ843" s="1"/>
      <c r="BR843" s="1"/>
      <c r="BS843" s="1"/>
      <c r="BT843" s="1"/>
      <c r="BU843" s="4"/>
    </row>
    <row r="844">
      <c r="AK844" s="1"/>
      <c r="AQ844" s="1"/>
      <c r="AW844" s="1"/>
      <c r="BC844" s="1"/>
      <c r="BD844" s="1"/>
      <c r="BE844" s="1"/>
      <c r="BF844" s="1"/>
      <c r="BG844" s="1"/>
      <c r="BH844" s="1"/>
      <c r="BI844" s="1"/>
      <c r="BO844" s="1"/>
      <c r="BP844" s="1"/>
      <c r="BQ844" s="1"/>
      <c r="BR844" s="1"/>
      <c r="BS844" s="1"/>
      <c r="BT844" s="1"/>
      <c r="BU844" s="4"/>
    </row>
    <row r="845">
      <c r="AK845" s="1"/>
      <c r="AQ845" s="1"/>
      <c r="AW845" s="1"/>
      <c r="BC845" s="1"/>
      <c r="BD845" s="1"/>
      <c r="BE845" s="1"/>
      <c r="BF845" s="1"/>
      <c r="BG845" s="1"/>
      <c r="BH845" s="1"/>
      <c r="BI845" s="1"/>
      <c r="BO845" s="1"/>
      <c r="BP845" s="1"/>
      <c r="BQ845" s="1"/>
      <c r="BR845" s="1"/>
      <c r="BS845" s="1"/>
      <c r="BT845" s="1"/>
      <c r="BU845" s="4"/>
    </row>
    <row r="846">
      <c r="AK846" s="1"/>
      <c r="AQ846" s="1"/>
      <c r="AW846" s="1"/>
      <c r="BC846" s="1"/>
      <c r="BD846" s="1"/>
      <c r="BE846" s="1"/>
      <c r="BF846" s="1"/>
      <c r="BG846" s="1"/>
      <c r="BH846" s="1"/>
      <c r="BI846" s="1"/>
      <c r="BO846" s="1"/>
      <c r="BP846" s="1"/>
      <c r="BQ846" s="1"/>
      <c r="BR846" s="1"/>
      <c r="BS846" s="1"/>
      <c r="BT846" s="1"/>
      <c r="BU846" s="4"/>
    </row>
    <row r="847">
      <c r="AK847" s="1"/>
      <c r="AQ847" s="1"/>
      <c r="AW847" s="1"/>
      <c r="BC847" s="1"/>
      <c r="BD847" s="1"/>
      <c r="BE847" s="1"/>
      <c r="BF847" s="1"/>
      <c r="BG847" s="1"/>
      <c r="BH847" s="1"/>
      <c r="BI847" s="1"/>
      <c r="BO847" s="1"/>
      <c r="BP847" s="1"/>
      <c r="BQ847" s="1"/>
      <c r="BR847" s="1"/>
      <c r="BS847" s="1"/>
      <c r="BT847" s="1"/>
      <c r="BU847" s="4"/>
    </row>
    <row r="848">
      <c r="AK848" s="1"/>
      <c r="AQ848" s="1"/>
      <c r="AW848" s="1"/>
      <c r="BC848" s="1"/>
      <c r="BD848" s="1"/>
      <c r="BE848" s="1"/>
      <c r="BF848" s="1"/>
      <c r="BG848" s="1"/>
      <c r="BH848" s="1"/>
      <c r="BI848" s="1"/>
      <c r="BO848" s="1"/>
      <c r="BP848" s="1"/>
      <c r="BQ848" s="1"/>
      <c r="BR848" s="1"/>
      <c r="BS848" s="1"/>
      <c r="BT848" s="1"/>
      <c r="BU848" s="4"/>
    </row>
    <row r="849">
      <c r="AK849" s="1"/>
      <c r="AQ849" s="1"/>
      <c r="AW849" s="1"/>
      <c r="BC849" s="1"/>
      <c r="BD849" s="1"/>
      <c r="BE849" s="1"/>
      <c r="BF849" s="1"/>
      <c r="BG849" s="1"/>
      <c r="BH849" s="1"/>
      <c r="BI849" s="1"/>
      <c r="BO849" s="1"/>
      <c r="BP849" s="1"/>
      <c r="BQ849" s="1"/>
      <c r="BR849" s="1"/>
      <c r="BS849" s="1"/>
      <c r="BT849" s="1"/>
      <c r="BU849" s="4"/>
    </row>
    <row r="850">
      <c r="AK850" s="1"/>
      <c r="AQ850" s="1"/>
      <c r="AW850" s="1"/>
      <c r="BC850" s="1"/>
      <c r="BD850" s="1"/>
      <c r="BE850" s="1"/>
      <c r="BF850" s="1"/>
      <c r="BG850" s="1"/>
      <c r="BH850" s="1"/>
      <c r="BI850" s="1"/>
      <c r="BO850" s="1"/>
      <c r="BP850" s="1"/>
      <c r="BQ850" s="1"/>
      <c r="BR850" s="1"/>
      <c r="BS850" s="1"/>
      <c r="BT850" s="1"/>
      <c r="BU850" s="4"/>
    </row>
    <row r="851">
      <c r="AK851" s="1"/>
      <c r="AQ851" s="1"/>
      <c r="AW851" s="1"/>
      <c r="BC851" s="1"/>
      <c r="BD851" s="1"/>
      <c r="BE851" s="1"/>
      <c r="BF851" s="1"/>
      <c r="BG851" s="1"/>
      <c r="BH851" s="1"/>
      <c r="BI851" s="1"/>
      <c r="BO851" s="1"/>
      <c r="BP851" s="1"/>
      <c r="BQ851" s="1"/>
      <c r="BR851" s="1"/>
      <c r="BS851" s="1"/>
      <c r="BT851" s="1"/>
      <c r="BU851" s="4"/>
    </row>
    <row r="852">
      <c r="AK852" s="1"/>
      <c r="AQ852" s="1"/>
      <c r="AW852" s="1"/>
      <c r="BC852" s="1"/>
      <c r="BD852" s="1"/>
      <c r="BE852" s="1"/>
      <c r="BF852" s="1"/>
      <c r="BG852" s="1"/>
      <c r="BH852" s="1"/>
      <c r="BI852" s="1"/>
      <c r="BO852" s="1"/>
      <c r="BP852" s="1"/>
      <c r="BQ852" s="1"/>
      <c r="BR852" s="1"/>
      <c r="BS852" s="1"/>
      <c r="BT852" s="1"/>
      <c r="BU852" s="4"/>
    </row>
    <row r="853">
      <c r="AK853" s="1"/>
      <c r="AQ853" s="1"/>
      <c r="AW853" s="1"/>
      <c r="BC853" s="1"/>
      <c r="BD853" s="1"/>
      <c r="BE853" s="1"/>
      <c r="BF853" s="1"/>
      <c r="BG853" s="1"/>
      <c r="BH853" s="1"/>
      <c r="BI853" s="1"/>
      <c r="BO853" s="1"/>
      <c r="BP853" s="1"/>
      <c r="BQ853" s="1"/>
      <c r="BR853" s="1"/>
      <c r="BS853" s="1"/>
      <c r="BT853" s="1"/>
      <c r="BU853" s="4"/>
    </row>
    <row r="854">
      <c r="AK854" s="1"/>
      <c r="AQ854" s="1"/>
      <c r="AW854" s="1"/>
      <c r="BC854" s="1"/>
      <c r="BD854" s="1"/>
      <c r="BE854" s="1"/>
      <c r="BF854" s="1"/>
      <c r="BG854" s="1"/>
      <c r="BH854" s="1"/>
      <c r="BI854" s="1"/>
      <c r="BO854" s="1"/>
      <c r="BP854" s="1"/>
      <c r="BQ854" s="1"/>
      <c r="BR854" s="1"/>
      <c r="BS854" s="1"/>
      <c r="BT854" s="1"/>
      <c r="BU854" s="4"/>
    </row>
    <row r="855">
      <c r="AK855" s="1"/>
      <c r="AQ855" s="1"/>
      <c r="AW855" s="1"/>
      <c r="BC855" s="1"/>
      <c r="BD855" s="1"/>
      <c r="BE855" s="1"/>
      <c r="BF855" s="1"/>
      <c r="BG855" s="1"/>
      <c r="BH855" s="1"/>
      <c r="BI855" s="1"/>
      <c r="BO855" s="1"/>
      <c r="BP855" s="1"/>
      <c r="BQ855" s="1"/>
      <c r="BR855" s="1"/>
      <c r="BS855" s="1"/>
      <c r="BT855" s="1"/>
      <c r="BU855" s="4"/>
    </row>
    <row r="856">
      <c r="AK856" s="1"/>
      <c r="AQ856" s="1"/>
      <c r="AW856" s="1"/>
      <c r="BC856" s="1"/>
      <c r="BD856" s="1"/>
      <c r="BE856" s="1"/>
      <c r="BF856" s="1"/>
      <c r="BG856" s="1"/>
      <c r="BH856" s="1"/>
      <c r="BI856" s="1"/>
      <c r="BO856" s="1"/>
      <c r="BP856" s="1"/>
      <c r="BQ856" s="1"/>
      <c r="BR856" s="1"/>
      <c r="BS856" s="1"/>
      <c r="BT856" s="1"/>
      <c r="BU856" s="4"/>
    </row>
    <row r="857">
      <c r="AK857" s="1"/>
      <c r="AQ857" s="1"/>
      <c r="AW857" s="1"/>
      <c r="BC857" s="1"/>
      <c r="BD857" s="1"/>
      <c r="BE857" s="1"/>
      <c r="BF857" s="1"/>
      <c r="BG857" s="1"/>
      <c r="BH857" s="1"/>
      <c r="BI857" s="1"/>
      <c r="BO857" s="1"/>
      <c r="BP857" s="1"/>
      <c r="BQ857" s="1"/>
      <c r="BR857" s="1"/>
      <c r="BS857" s="1"/>
      <c r="BT857" s="1"/>
      <c r="BU857" s="4"/>
    </row>
    <row r="858">
      <c r="AK858" s="1"/>
      <c r="AQ858" s="1"/>
      <c r="AW858" s="1"/>
      <c r="BC858" s="1"/>
      <c r="BD858" s="1"/>
      <c r="BE858" s="1"/>
      <c r="BF858" s="1"/>
      <c r="BG858" s="1"/>
      <c r="BH858" s="1"/>
      <c r="BI858" s="1"/>
      <c r="BO858" s="1"/>
      <c r="BP858" s="1"/>
      <c r="BQ858" s="1"/>
      <c r="BR858" s="1"/>
      <c r="BS858" s="1"/>
      <c r="BT858" s="1"/>
      <c r="BU858" s="4"/>
    </row>
    <row r="859">
      <c r="AK859" s="1"/>
      <c r="AQ859" s="1"/>
      <c r="AW859" s="1"/>
      <c r="BC859" s="1"/>
      <c r="BD859" s="1"/>
      <c r="BE859" s="1"/>
      <c r="BF859" s="1"/>
      <c r="BG859" s="1"/>
      <c r="BH859" s="1"/>
      <c r="BI859" s="1"/>
      <c r="BO859" s="1"/>
      <c r="BP859" s="1"/>
      <c r="BQ859" s="1"/>
      <c r="BR859" s="1"/>
      <c r="BS859" s="1"/>
      <c r="BT859" s="1"/>
      <c r="BU859" s="4"/>
    </row>
    <row r="860">
      <c r="AK860" s="1"/>
      <c r="AQ860" s="1"/>
      <c r="AW860" s="1"/>
      <c r="BC860" s="1"/>
      <c r="BD860" s="1"/>
      <c r="BE860" s="1"/>
      <c r="BF860" s="1"/>
      <c r="BG860" s="1"/>
      <c r="BH860" s="1"/>
      <c r="BI860" s="1"/>
      <c r="BO860" s="1"/>
      <c r="BP860" s="1"/>
      <c r="BQ860" s="1"/>
      <c r="BR860" s="1"/>
      <c r="BS860" s="1"/>
      <c r="BT860" s="1"/>
      <c r="BU860" s="4"/>
    </row>
    <row r="861">
      <c r="AK861" s="1"/>
      <c r="AQ861" s="1"/>
      <c r="AW861" s="1"/>
      <c r="BC861" s="1"/>
      <c r="BD861" s="1"/>
      <c r="BE861" s="1"/>
      <c r="BF861" s="1"/>
      <c r="BG861" s="1"/>
      <c r="BH861" s="1"/>
      <c r="BI861" s="1"/>
      <c r="BO861" s="1"/>
      <c r="BP861" s="1"/>
      <c r="BQ861" s="1"/>
      <c r="BR861" s="1"/>
      <c r="BS861" s="1"/>
      <c r="BT861" s="1"/>
      <c r="BU861" s="4"/>
    </row>
    <row r="862">
      <c r="AK862" s="1"/>
      <c r="AQ862" s="1"/>
      <c r="AW862" s="1"/>
      <c r="BC862" s="1"/>
      <c r="BD862" s="1"/>
      <c r="BE862" s="1"/>
      <c r="BF862" s="1"/>
      <c r="BG862" s="1"/>
      <c r="BH862" s="1"/>
      <c r="BI862" s="1"/>
      <c r="BO862" s="1"/>
      <c r="BP862" s="1"/>
      <c r="BQ862" s="1"/>
      <c r="BR862" s="1"/>
      <c r="BS862" s="1"/>
      <c r="BT862" s="1"/>
      <c r="BU862" s="4"/>
    </row>
    <row r="863">
      <c r="AK863" s="1"/>
      <c r="AQ863" s="1"/>
      <c r="AW863" s="1"/>
      <c r="BC863" s="1"/>
      <c r="BD863" s="1"/>
      <c r="BE863" s="1"/>
      <c r="BF863" s="1"/>
      <c r="BG863" s="1"/>
      <c r="BH863" s="1"/>
      <c r="BI863" s="1"/>
      <c r="BO863" s="1"/>
      <c r="BP863" s="1"/>
      <c r="BQ863" s="1"/>
      <c r="BR863" s="1"/>
      <c r="BS863" s="1"/>
      <c r="BT863" s="1"/>
      <c r="BU863" s="4"/>
    </row>
    <row r="864">
      <c r="AK864" s="1"/>
      <c r="AQ864" s="1"/>
      <c r="AW864" s="1"/>
      <c r="BC864" s="1"/>
      <c r="BD864" s="1"/>
      <c r="BE864" s="1"/>
      <c r="BF864" s="1"/>
      <c r="BG864" s="1"/>
      <c r="BH864" s="1"/>
      <c r="BI864" s="1"/>
      <c r="BO864" s="1"/>
      <c r="BP864" s="1"/>
      <c r="BQ864" s="1"/>
      <c r="BR864" s="1"/>
      <c r="BS864" s="1"/>
      <c r="BT864" s="1"/>
      <c r="BU864" s="4"/>
    </row>
    <row r="865">
      <c r="AK865" s="1"/>
      <c r="AQ865" s="1"/>
      <c r="AW865" s="1"/>
      <c r="BC865" s="1"/>
      <c r="BD865" s="1"/>
      <c r="BE865" s="1"/>
      <c r="BF865" s="1"/>
      <c r="BG865" s="1"/>
      <c r="BH865" s="1"/>
      <c r="BI865" s="1"/>
      <c r="BO865" s="1"/>
      <c r="BP865" s="1"/>
      <c r="BQ865" s="1"/>
      <c r="BR865" s="1"/>
      <c r="BS865" s="1"/>
      <c r="BT865" s="1"/>
      <c r="BU865" s="4"/>
    </row>
    <row r="866">
      <c r="AK866" s="1"/>
      <c r="AQ866" s="1"/>
      <c r="AW866" s="1"/>
      <c r="BC866" s="1"/>
      <c r="BD866" s="1"/>
      <c r="BE866" s="1"/>
      <c r="BF866" s="1"/>
      <c r="BG866" s="1"/>
      <c r="BH866" s="1"/>
      <c r="BI866" s="1"/>
      <c r="BO866" s="1"/>
      <c r="BP866" s="1"/>
      <c r="BQ866" s="1"/>
      <c r="BR866" s="1"/>
      <c r="BS866" s="1"/>
      <c r="BT866" s="1"/>
      <c r="BU866" s="4"/>
    </row>
    <row r="867">
      <c r="AK867" s="1"/>
      <c r="AQ867" s="1"/>
      <c r="AW867" s="1"/>
      <c r="BC867" s="1"/>
      <c r="BD867" s="1"/>
      <c r="BE867" s="1"/>
      <c r="BF867" s="1"/>
      <c r="BG867" s="1"/>
      <c r="BH867" s="1"/>
      <c r="BI867" s="1"/>
      <c r="BO867" s="1"/>
      <c r="BP867" s="1"/>
      <c r="BQ867" s="1"/>
      <c r="BR867" s="1"/>
      <c r="BS867" s="1"/>
      <c r="BT867" s="1"/>
      <c r="BU867" s="4"/>
    </row>
    <row r="868">
      <c r="AK868" s="1"/>
      <c r="AQ868" s="1"/>
      <c r="AW868" s="1"/>
      <c r="BC868" s="1"/>
      <c r="BD868" s="1"/>
      <c r="BE868" s="1"/>
      <c r="BF868" s="1"/>
      <c r="BG868" s="1"/>
      <c r="BH868" s="1"/>
      <c r="BI868" s="1"/>
      <c r="BO868" s="1"/>
      <c r="BP868" s="1"/>
      <c r="BQ868" s="1"/>
      <c r="BR868" s="1"/>
      <c r="BS868" s="1"/>
      <c r="BT868" s="1"/>
      <c r="BU868" s="4"/>
    </row>
    <row r="869">
      <c r="AK869" s="1"/>
      <c r="AQ869" s="1"/>
      <c r="AW869" s="1"/>
      <c r="BC869" s="1"/>
      <c r="BD869" s="1"/>
      <c r="BE869" s="1"/>
      <c r="BF869" s="1"/>
      <c r="BG869" s="1"/>
      <c r="BH869" s="1"/>
      <c r="BI869" s="1"/>
      <c r="BO869" s="1"/>
      <c r="BP869" s="1"/>
      <c r="BQ869" s="1"/>
      <c r="BR869" s="1"/>
      <c r="BS869" s="1"/>
      <c r="BT869" s="1"/>
      <c r="BU869" s="4"/>
    </row>
    <row r="870">
      <c r="AK870" s="1"/>
      <c r="AQ870" s="1"/>
      <c r="AW870" s="1"/>
      <c r="BC870" s="1"/>
      <c r="BD870" s="1"/>
      <c r="BE870" s="1"/>
      <c r="BF870" s="1"/>
      <c r="BG870" s="1"/>
      <c r="BH870" s="1"/>
      <c r="BI870" s="1"/>
      <c r="BO870" s="1"/>
      <c r="BP870" s="1"/>
      <c r="BQ870" s="1"/>
      <c r="BR870" s="1"/>
      <c r="BS870" s="1"/>
      <c r="BT870" s="1"/>
      <c r="BU870" s="4"/>
    </row>
    <row r="871">
      <c r="AK871" s="1"/>
      <c r="AQ871" s="1"/>
      <c r="AW871" s="1"/>
      <c r="BC871" s="1"/>
      <c r="BD871" s="1"/>
      <c r="BE871" s="1"/>
      <c r="BF871" s="1"/>
      <c r="BG871" s="1"/>
      <c r="BH871" s="1"/>
      <c r="BI871" s="1"/>
      <c r="BO871" s="1"/>
      <c r="BP871" s="1"/>
      <c r="BQ871" s="1"/>
      <c r="BR871" s="1"/>
      <c r="BS871" s="1"/>
      <c r="BT871" s="1"/>
      <c r="BU871" s="4"/>
    </row>
    <row r="872">
      <c r="AK872" s="1"/>
      <c r="AQ872" s="1"/>
      <c r="AW872" s="1"/>
      <c r="BC872" s="1"/>
      <c r="BD872" s="1"/>
      <c r="BE872" s="1"/>
      <c r="BF872" s="1"/>
      <c r="BG872" s="1"/>
      <c r="BH872" s="1"/>
      <c r="BI872" s="1"/>
      <c r="BO872" s="1"/>
      <c r="BP872" s="1"/>
      <c r="BQ872" s="1"/>
      <c r="BR872" s="1"/>
      <c r="BS872" s="1"/>
      <c r="BT872" s="1"/>
      <c r="BU872" s="4"/>
    </row>
    <row r="873">
      <c r="AK873" s="1"/>
      <c r="AQ873" s="1"/>
      <c r="AW873" s="1"/>
      <c r="BC873" s="1"/>
      <c r="BD873" s="1"/>
      <c r="BE873" s="1"/>
      <c r="BF873" s="1"/>
      <c r="BG873" s="1"/>
      <c r="BH873" s="1"/>
      <c r="BI873" s="1"/>
      <c r="BO873" s="1"/>
      <c r="BP873" s="1"/>
      <c r="BQ873" s="1"/>
      <c r="BR873" s="1"/>
      <c r="BS873" s="1"/>
      <c r="BT873" s="1"/>
      <c r="BU873" s="4"/>
    </row>
    <row r="874">
      <c r="AK874" s="1"/>
      <c r="AQ874" s="1"/>
      <c r="AW874" s="1"/>
      <c r="BC874" s="1"/>
      <c r="BD874" s="1"/>
      <c r="BE874" s="1"/>
      <c r="BF874" s="1"/>
      <c r="BG874" s="1"/>
      <c r="BH874" s="1"/>
      <c r="BI874" s="1"/>
      <c r="BO874" s="1"/>
      <c r="BP874" s="1"/>
      <c r="BQ874" s="1"/>
      <c r="BR874" s="1"/>
      <c r="BS874" s="1"/>
      <c r="BT874" s="1"/>
      <c r="BU874" s="4"/>
    </row>
    <row r="875">
      <c r="AK875" s="1"/>
      <c r="AQ875" s="1"/>
      <c r="AW875" s="1"/>
      <c r="BC875" s="1"/>
      <c r="BD875" s="1"/>
      <c r="BE875" s="1"/>
      <c r="BF875" s="1"/>
      <c r="BG875" s="1"/>
      <c r="BH875" s="1"/>
      <c r="BI875" s="1"/>
      <c r="BO875" s="1"/>
      <c r="BP875" s="1"/>
      <c r="BQ875" s="1"/>
      <c r="BR875" s="1"/>
      <c r="BS875" s="1"/>
      <c r="BT875" s="1"/>
      <c r="BU875" s="4"/>
    </row>
    <row r="876">
      <c r="AK876" s="1"/>
      <c r="AQ876" s="1"/>
      <c r="AW876" s="1"/>
      <c r="BC876" s="1"/>
      <c r="BD876" s="1"/>
      <c r="BE876" s="1"/>
      <c r="BF876" s="1"/>
      <c r="BG876" s="1"/>
      <c r="BH876" s="1"/>
      <c r="BI876" s="1"/>
      <c r="BO876" s="1"/>
      <c r="BP876" s="1"/>
      <c r="BQ876" s="1"/>
      <c r="BR876" s="1"/>
      <c r="BS876" s="1"/>
      <c r="BT876" s="1"/>
      <c r="BU876" s="4"/>
    </row>
    <row r="877">
      <c r="AK877" s="1"/>
      <c r="AQ877" s="1"/>
      <c r="AW877" s="1"/>
      <c r="BC877" s="1"/>
      <c r="BD877" s="1"/>
      <c r="BE877" s="1"/>
      <c r="BF877" s="1"/>
      <c r="BG877" s="1"/>
      <c r="BH877" s="1"/>
      <c r="BI877" s="1"/>
      <c r="BO877" s="1"/>
      <c r="BP877" s="1"/>
      <c r="BQ877" s="1"/>
      <c r="BR877" s="1"/>
      <c r="BS877" s="1"/>
      <c r="BT877" s="1"/>
      <c r="BU877" s="4"/>
    </row>
    <row r="878">
      <c r="AK878" s="1"/>
      <c r="AQ878" s="1"/>
      <c r="AW878" s="1"/>
      <c r="BC878" s="1"/>
      <c r="BD878" s="1"/>
      <c r="BE878" s="1"/>
      <c r="BF878" s="1"/>
      <c r="BG878" s="1"/>
      <c r="BH878" s="1"/>
      <c r="BI878" s="1"/>
      <c r="BO878" s="1"/>
      <c r="BP878" s="1"/>
      <c r="BQ878" s="1"/>
      <c r="BR878" s="1"/>
      <c r="BS878" s="1"/>
      <c r="BT878" s="1"/>
      <c r="BU878" s="4"/>
    </row>
    <row r="879">
      <c r="AK879" s="1"/>
      <c r="AQ879" s="1"/>
      <c r="AW879" s="1"/>
      <c r="BC879" s="1"/>
      <c r="BD879" s="1"/>
      <c r="BE879" s="1"/>
      <c r="BF879" s="1"/>
      <c r="BG879" s="1"/>
      <c r="BH879" s="1"/>
      <c r="BI879" s="1"/>
      <c r="BO879" s="1"/>
      <c r="BP879" s="1"/>
      <c r="BQ879" s="1"/>
      <c r="BR879" s="1"/>
      <c r="BS879" s="1"/>
      <c r="BT879" s="1"/>
      <c r="BU879" s="4"/>
    </row>
    <row r="880">
      <c r="AK880" s="1"/>
      <c r="AQ880" s="1"/>
      <c r="AW880" s="1"/>
      <c r="BC880" s="1"/>
      <c r="BD880" s="1"/>
      <c r="BE880" s="1"/>
      <c r="BF880" s="1"/>
      <c r="BG880" s="1"/>
      <c r="BH880" s="1"/>
      <c r="BI880" s="1"/>
      <c r="BO880" s="1"/>
      <c r="BP880" s="1"/>
      <c r="BQ880" s="1"/>
      <c r="BR880" s="1"/>
      <c r="BS880" s="1"/>
      <c r="BT880" s="1"/>
      <c r="BU880" s="4"/>
    </row>
    <row r="881">
      <c r="AK881" s="1"/>
      <c r="AQ881" s="1"/>
      <c r="AW881" s="1"/>
      <c r="BC881" s="1"/>
      <c r="BD881" s="1"/>
      <c r="BE881" s="1"/>
      <c r="BF881" s="1"/>
      <c r="BG881" s="1"/>
      <c r="BH881" s="1"/>
      <c r="BI881" s="1"/>
      <c r="BO881" s="1"/>
      <c r="BP881" s="1"/>
      <c r="BQ881" s="1"/>
      <c r="BR881" s="1"/>
      <c r="BS881" s="1"/>
      <c r="BT881" s="1"/>
      <c r="BU881" s="4"/>
    </row>
    <row r="882">
      <c r="AK882" s="1"/>
      <c r="AQ882" s="1"/>
      <c r="AW882" s="1"/>
      <c r="BC882" s="1"/>
      <c r="BD882" s="1"/>
      <c r="BE882" s="1"/>
      <c r="BF882" s="1"/>
      <c r="BG882" s="1"/>
      <c r="BH882" s="1"/>
      <c r="BI882" s="1"/>
      <c r="BO882" s="1"/>
      <c r="BP882" s="1"/>
      <c r="BQ882" s="1"/>
      <c r="BR882" s="1"/>
      <c r="BS882" s="1"/>
      <c r="BT882" s="1"/>
      <c r="BU882" s="4"/>
    </row>
    <row r="883">
      <c r="AK883" s="1"/>
      <c r="AQ883" s="1"/>
      <c r="AW883" s="1"/>
      <c r="BC883" s="1"/>
      <c r="BD883" s="1"/>
      <c r="BE883" s="1"/>
      <c r="BF883" s="1"/>
      <c r="BG883" s="1"/>
      <c r="BH883" s="1"/>
      <c r="BI883" s="1"/>
      <c r="BO883" s="1"/>
      <c r="BP883" s="1"/>
      <c r="BQ883" s="1"/>
      <c r="BR883" s="1"/>
      <c r="BS883" s="1"/>
      <c r="BT883" s="1"/>
      <c r="BU883" s="4"/>
    </row>
    <row r="884">
      <c r="AK884" s="1"/>
      <c r="AQ884" s="1"/>
      <c r="AW884" s="1"/>
      <c r="BC884" s="1"/>
      <c r="BD884" s="1"/>
      <c r="BE884" s="1"/>
      <c r="BF884" s="1"/>
      <c r="BG884" s="1"/>
      <c r="BH884" s="1"/>
      <c r="BI884" s="1"/>
      <c r="BO884" s="1"/>
      <c r="BP884" s="1"/>
      <c r="BQ884" s="1"/>
      <c r="BR884" s="1"/>
      <c r="BS884" s="1"/>
      <c r="BT884" s="1"/>
      <c r="BU884" s="4"/>
    </row>
    <row r="885">
      <c r="AK885" s="1"/>
      <c r="AQ885" s="1"/>
      <c r="AW885" s="1"/>
      <c r="BC885" s="1"/>
      <c r="BD885" s="1"/>
      <c r="BE885" s="1"/>
      <c r="BF885" s="1"/>
      <c r="BG885" s="1"/>
      <c r="BH885" s="1"/>
      <c r="BI885" s="1"/>
      <c r="BO885" s="1"/>
      <c r="BP885" s="1"/>
      <c r="BQ885" s="1"/>
      <c r="BR885" s="1"/>
      <c r="BS885" s="1"/>
      <c r="BT885" s="1"/>
      <c r="BU885" s="4"/>
    </row>
    <row r="886">
      <c r="AK886" s="1"/>
      <c r="AQ886" s="1"/>
      <c r="AW886" s="1"/>
      <c r="BC886" s="1"/>
      <c r="BD886" s="1"/>
      <c r="BE886" s="1"/>
      <c r="BF886" s="1"/>
      <c r="BG886" s="1"/>
      <c r="BH886" s="1"/>
      <c r="BI886" s="1"/>
      <c r="BO886" s="1"/>
      <c r="BP886" s="1"/>
      <c r="BQ886" s="1"/>
      <c r="BR886" s="1"/>
      <c r="BS886" s="1"/>
      <c r="BT886" s="1"/>
      <c r="BU886" s="4"/>
    </row>
    <row r="887">
      <c r="AK887" s="1"/>
      <c r="AQ887" s="1"/>
      <c r="AW887" s="1"/>
      <c r="BC887" s="1"/>
      <c r="BD887" s="1"/>
      <c r="BE887" s="1"/>
      <c r="BF887" s="1"/>
      <c r="BG887" s="1"/>
      <c r="BH887" s="1"/>
      <c r="BI887" s="1"/>
      <c r="BO887" s="1"/>
      <c r="BP887" s="1"/>
      <c r="BQ887" s="1"/>
      <c r="BR887" s="1"/>
      <c r="BS887" s="1"/>
      <c r="BT887" s="1"/>
      <c r="BU887" s="4"/>
    </row>
    <row r="888">
      <c r="AK888" s="1"/>
      <c r="AQ888" s="1"/>
      <c r="AW888" s="1"/>
      <c r="BC888" s="1"/>
      <c r="BD888" s="1"/>
      <c r="BE888" s="1"/>
      <c r="BF888" s="1"/>
      <c r="BG888" s="1"/>
      <c r="BH888" s="1"/>
      <c r="BI888" s="1"/>
      <c r="BO888" s="1"/>
      <c r="BP888" s="1"/>
      <c r="BQ888" s="1"/>
      <c r="BR888" s="1"/>
      <c r="BS888" s="1"/>
      <c r="BT888" s="1"/>
      <c r="BU888" s="4"/>
    </row>
    <row r="889">
      <c r="AK889" s="1"/>
      <c r="AQ889" s="1"/>
      <c r="AW889" s="1"/>
      <c r="BC889" s="1"/>
      <c r="BD889" s="1"/>
      <c r="BE889" s="1"/>
      <c r="BF889" s="1"/>
      <c r="BG889" s="1"/>
      <c r="BH889" s="1"/>
      <c r="BI889" s="1"/>
      <c r="BO889" s="1"/>
      <c r="BP889" s="1"/>
      <c r="BQ889" s="1"/>
      <c r="BR889" s="1"/>
      <c r="BS889" s="1"/>
      <c r="BT889" s="1"/>
      <c r="BU889" s="4"/>
    </row>
    <row r="890">
      <c r="AK890" s="1"/>
      <c r="AQ890" s="1"/>
      <c r="AW890" s="1"/>
      <c r="BC890" s="1"/>
      <c r="BD890" s="1"/>
      <c r="BE890" s="1"/>
      <c r="BF890" s="1"/>
      <c r="BG890" s="1"/>
      <c r="BH890" s="1"/>
      <c r="BI890" s="1"/>
      <c r="BO890" s="1"/>
      <c r="BP890" s="1"/>
      <c r="BQ890" s="1"/>
      <c r="BR890" s="1"/>
      <c r="BS890" s="1"/>
      <c r="BT890" s="1"/>
      <c r="BU890" s="4"/>
    </row>
    <row r="891">
      <c r="AK891" s="1"/>
      <c r="AQ891" s="1"/>
      <c r="AW891" s="1"/>
      <c r="BC891" s="1"/>
      <c r="BD891" s="1"/>
      <c r="BE891" s="1"/>
      <c r="BF891" s="1"/>
      <c r="BG891" s="1"/>
      <c r="BH891" s="1"/>
      <c r="BI891" s="1"/>
      <c r="BO891" s="1"/>
      <c r="BP891" s="1"/>
      <c r="BQ891" s="1"/>
      <c r="BR891" s="1"/>
      <c r="BS891" s="1"/>
      <c r="BT891" s="1"/>
      <c r="BU891" s="4"/>
    </row>
    <row r="892">
      <c r="AK892" s="1"/>
      <c r="AQ892" s="1"/>
      <c r="AW892" s="1"/>
      <c r="BC892" s="1"/>
      <c r="BD892" s="1"/>
      <c r="BE892" s="1"/>
      <c r="BF892" s="1"/>
      <c r="BG892" s="1"/>
      <c r="BH892" s="1"/>
      <c r="BI892" s="1"/>
      <c r="BO892" s="1"/>
      <c r="BP892" s="1"/>
      <c r="BQ892" s="1"/>
      <c r="BR892" s="1"/>
      <c r="BS892" s="1"/>
      <c r="BT892" s="1"/>
      <c r="BU892" s="4"/>
    </row>
    <row r="893">
      <c r="AK893" s="1"/>
      <c r="AQ893" s="1"/>
      <c r="AW893" s="1"/>
      <c r="BC893" s="1"/>
      <c r="BD893" s="1"/>
      <c r="BE893" s="1"/>
      <c r="BF893" s="1"/>
      <c r="BG893" s="1"/>
      <c r="BH893" s="1"/>
      <c r="BI893" s="1"/>
      <c r="BO893" s="1"/>
      <c r="BP893" s="1"/>
      <c r="BQ893" s="1"/>
      <c r="BR893" s="1"/>
      <c r="BS893" s="1"/>
      <c r="BT893" s="1"/>
      <c r="BU893" s="4"/>
    </row>
    <row r="894">
      <c r="AK894" s="1"/>
      <c r="AQ894" s="1"/>
      <c r="AW894" s="1"/>
      <c r="BC894" s="1"/>
      <c r="BD894" s="1"/>
      <c r="BE894" s="1"/>
      <c r="BF894" s="1"/>
      <c r="BG894" s="1"/>
      <c r="BH894" s="1"/>
      <c r="BI894" s="1"/>
      <c r="BO894" s="1"/>
      <c r="BP894" s="1"/>
      <c r="BQ894" s="1"/>
      <c r="BR894" s="1"/>
      <c r="BS894" s="1"/>
      <c r="BT894" s="1"/>
      <c r="BU894" s="4"/>
    </row>
    <row r="895">
      <c r="AK895" s="1"/>
      <c r="AQ895" s="1"/>
      <c r="AW895" s="1"/>
      <c r="BC895" s="1"/>
      <c r="BD895" s="1"/>
      <c r="BE895" s="1"/>
      <c r="BF895" s="1"/>
      <c r="BG895" s="1"/>
      <c r="BH895" s="1"/>
      <c r="BI895" s="1"/>
      <c r="BO895" s="1"/>
      <c r="BP895" s="1"/>
      <c r="BQ895" s="1"/>
      <c r="BR895" s="1"/>
      <c r="BS895" s="1"/>
      <c r="BT895" s="1"/>
      <c r="BU895" s="4"/>
    </row>
    <row r="896">
      <c r="AK896" s="1"/>
      <c r="AQ896" s="1"/>
      <c r="AW896" s="1"/>
      <c r="BC896" s="1"/>
      <c r="BD896" s="1"/>
      <c r="BE896" s="1"/>
      <c r="BF896" s="1"/>
      <c r="BG896" s="1"/>
      <c r="BH896" s="1"/>
      <c r="BI896" s="1"/>
      <c r="BO896" s="1"/>
      <c r="BP896" s="1"/>
      <c r="BQ896" s="1"/>
      <c r="BR896" s="1"/>
      <c r="BS896" s="1"/>
      <c r="BT896" s="1"/>
      <c r="BU896" s="4"/>
    </row>
    <row r="897">
      <c r="AK897" s="1"/>
      <c r="AQ897" s="1"/>
      <c r="AW897" s="1"/>
      <c r="BC897" s="1"/>
      <c r="BD897" s="1"/>
      <c r="BE897" s="1"/>
      <c r="BF897" s="1"/>
      <c r="BG897" s="1"/>
      <c r="BH897" s="1"/>
      <c r="BI897" s="1"/>
      <c r="BO897" s="1"/>
      <c r="BP897" s="1"/>
      <c r="BQ897" s="1"/>
      <c r="BR897" s="1"/>
      <c r="BS897" s="1"/>
      <c r="BT897" s="1"/>
      <c r="BU897" s="4"/>
    </row>
    <row r="898">
      <c r="AK898" s="1"/>
      <c r="AQ898" s="1"/>
      <c r="AW898" s="1"/>
      <c r="BC898" s="1"/>
      <c r="BD898" s="1"/>
      <c r="BE898" s="1"/>
      <c r="BF898" s="1"/>
      <c r="BG898" s="1"/>
      <c r="BH898" s="1"/>
      <c r="BI898" s="1"/>
      <c r="BO898" s="1"/>
      <c r="BP898" s="1"/>
      <c r="BQ898" s="1"/>
      <c r="BR898" s="1"/>
      <c r="BS898" s="1"/>
      <c r="BT898" s="1"/>
      <c r="BU898" s="4"/>
    </row>
    <row r="899">
      <c r="AK899" s="1"/>
      <c r="AQ899" s="1"/>
      <c r="AW899" s="1"/>
      <c r="BC899" s="1"/>
      <c r="BD899" s="1"/>
      <c r="BE899" s="1"/>
      <c r="BF899" s="1"/>
      <c r="BG899" s="1"/>
      <c r="BH899" s="1"/>
      <c r="BI899" s="1"/>
      <c r="BO899" s="1"/>
      <c r="BP899" s="1"/>
      <c r="BQ899" s="1"/>
      <c r="BR899" s="1"/>
      <c r="BS899" s="1"/>
      <c r="BT899" s="1"/>
      <c r="BU899" s="4"/>
    </row>
    <row r="900">
      <c r="AK900" s="1"/>
      <c r="AQ900" s="1"/>
      <c r="AW900" s="1"/>
      <c r="BC900" s="1"/>
      <c r="BD900" s="1"/>
      <c r="BE900" s="1"/>
      <c r="BF900" s="1"/>
      <c r="BG900" s="1"/>
      <c r="BH900" s="1"/>
      <c r="BI900" s="1"/>
      <c r="BO900" s="1"/>
      <c r="BP900" s="1"/>
      <c r="BQ900" s="1"/>
      <c r="BR900" s="1"/>
      <c r="BS900" s="1"/>
      <c r="BT900" s="1"/>
      <c r="BU900" s="4"/>
    </row>
    <row r="901">
      <c r="AK901" s="1"/>
      <c r="AQ901" s="1"/>
      <c r="AW901" s="1"/>
      <c r="BC901" s="1"/>
      <c r="BD901" s="1"/>
      <c r="BE901" s="1"/>
      <c r="BF901" s="1"/>
      <c r="BG901" s="1"/>
      <c r="BH901" s="1"/>
      <c r="BI901" s="1"/>
      <c r="BO901" s="1"/>
      <c r="BP901" s="1"/>
      <c r="BQ901" s="1"/>
      <c r="BR901" s="1"/>
      <c r="BS901" s="1"/>
      <c r="BT901" s="1"/>
      <c r="BU901" s="4"/>
    </row>
    <row r="902">
      <c r="AK902" s="1"/>
      <c r="AQ902" s="1"/>
      <c r="AW902" s="1"/>
      <c r="BC902" s="1"/>
      <c r="BD902" s="1"/>
      <c r="BE902" s="1"/>
      <c r="BF902" s="1"/>
      <c r="BG902" s="1"/>
      <c r="BH902" s="1"/>
      <c r="BI902" s="1"/>
      <c r="BO902" s="1"/>
      <c r="BP902" s="1"/>
      <c r="BQ902" s="1"/>
      <c r="BR902" s="1"/>
      <c r="BS902" s="1"/>
      <c r="BT902" s="1"/>
      <c r="BU902" s="4"/>
    </row>
    <row r="903">
      <c r="AK903" s="1"/>
      <c r="AQ903" s="1"/>
      <c r="AW903" s="1"/>
      <c r="BC903" s="1"/>
      <c r="BD903" s="1"/>
      <c r="BE903" s="1"/>
      <c r="BF903" s="1"/>
      <c r="BG903" s="1"/>
      <c r="BH903" s="1"/>
      <c r="BI903" s="1"/>
      <c r="BO903" s="1"/>
      <c r="BP903" s="1"/>
      <c r="BQ903" s="1"/>
      <c r="BR903" s="1"/>
      <c r="BS903" s="1"/>
      <c r="BT903" s="1"/>
      <c r="BU903" s="4"/>
    </row>
    <row r="904">
      <c r="AK904" s="1"/>
      <c r="AQ904" s="1"/>
      <c r="AW904" s="1"/>
      <c r="BC904" s="1"/>
      <c r="BD904" s="1"/>
      <c r="BE904" s="1"/>
      <c r="BF904" s="1"/>
      <c r="BG904" s="1"/>
      <c r="BH904" s="1"/>
      <c r="BI904" s="1"/>
      <c r="BO904" s="1"/>
      <c r="BP904" s="1"/>
      <c r="BQ904" s="1"/>
      <c r="BR904" s="1"/>
      <c r="BS904" s="1"/>
      <c r="BT904" s="1"/>
      <c r="BU904" s="4"/>
    </row>
    <row r="905">
      <c r="AK905" s="1"/>
      <c r="AQ905" s="1"/>
      <c r="AW905" s="1"/>
      <c r="BC905" s="1"/>
      <c r="BD905" s="1"/>
      <c r="BE905" s="1"/>
      <c r="BF905" s="1"/>
      <c r="BG905" s="1"/>
      <c r="BH905" s="1"/>
      <c r="BI905" s="1"/>
      <c r="BO905" s="1"/>
      <c r="BP905" s="1"/>
      <c r="BQ905" s="1"/>
      <c r="BR905" s="1"/>
      <c r="BS905" s="1"/>
      <c r="BT905" s="1"/>
      <c r="BU905" s="4"/>
    </row>
    <row r="906">
      <c r="AK906" s="1"/>
      <c r="AQ906" s="1"/>
      <c r="AW906" s="1"/>
      <c r="BC906" s="1"/>
      <c r="BD906" s="1"/>
      <c r="BE906" s="1"/>
      <c r="BF906" s="1"/>
      <c r="BG906" s="1"/>
      <c r="BH906" s="1"/>
      <c r="BI906" s="1"/>
      <c r="BO906" s="1"/>
      <c r="BP906" s="1"/>
      <c r="BQ906" s="1"/>
      <c r="BR906" s="1"/>
      <c r="BS906" s="1"/>
      <c r="BT906" s="1"/>
      <c r="BU906" s="4"/>
    </row>
    <row r="907">
      <c r="AK907" s="1"/>
      <c r="AQ907" s="1"/>
      <c r="AW907" s="1"/>
      <c r="BC907" s="1"/>
      <c r="BD907" s="1"/>
      <c r="BE907" s="1"/>
      <c r="BF907" s="1"/>
      <c r="BG907" s="1"/>
      <c r="BH907" s="1"/>
      <c r="BI907" s="1"/>
      <c r="BO907" s="1"/>
      <c r="BP907" s="1"/>
      <c r="BQ907" s="1"/>
      <c r="BR907" s="1"/>
      <c r="BS907" s="1"/>
      <c r="BT907" s="1"/>
      <c r="BU907" s="4"/>
    </row>
    <row r="908">
      <c r="AK908" s="1"/>
      <c r="AQ908" s="1"/>
      <c r="AW908" s="1"/>
      <c r="BC908" s="1"/>
      <c r="BD908" s="1"/>
      <c r="BE908" s="1"/>
      <c r="BF908" s="1"/>
      <c r="BG908" s="1"/>
      <c r="BH908" s="1"/>
      <c r="BI908" s="1"/>
      <c r="BO908" s="1"/>
      <c r="BP908" s="1"/>
      <c r="BQ908" s="1"/>
      <c r="BR908" s="1"/>
      <c r="BS908" s="1"/>
      <c r="BT908" s="1"/>
      <c r="BU908" s="4"/>
    </row>
    <row r="909">
      <c r="AK909" s="1"/>
      <c r="AQ909" s="1"/>
      <c r="AW909" s="1"/>
      <c r="BC909" s="1"/>
      <c r="BD909" s="1"/>
      <c r="BE909" s="1"/>
      <c r="BF909" s="1"/>
      <c r="BG909" s="1"/>
      <c r="BH909" s="1"/>
      <c r="BI909" s="1"/>
      <c r="BO909" s="1"/>
      <c r="BP909" s="1"/>
      <c r="BQ909" s="1"/>
      <c r="BR909" s="1"/>
      <c r="BS909" s="1"/>
      <c r="BT909" s="1"/>
      <c r="BU909" s="4"/>
    </row>
    <row r="910">
      <c r="AK910" s="1"/>
      <c r="AQ910" s="1"/>
      <c r="AW910" s="1"/>
      <c r="BC910" s="1"/>
      <c r="BD910" s="1"/>
      <c r="BE910" s="1"/>
      <c r="BF910" s="1"/>
      <c r="BG910" s="1"/>
      <c r="BH910" s="1"/>
      <c r="BI910" s="1"/>
      <c r="BO910" s="1"/>
      <c r="BP910" s="1"/>
      <c r="BQ910" s="1"/>
      <c r="BR910" s="1"/>
      <c r="BS910" s="1"/>
      <c r="BT910" s="1"/>
      <c r="BU910" s="4"/>
    </row>
    <row r="911">
      <c r="AK911" s="1"/>
      <c r="AQ911" s="1"/>
      <c r="AW911" s="1"/>
      <c r="BC911" s="1"/>
      <c r="BD911" s="1"/>
      <c r="BE911" s="1"/>
      <c r="BF911" s="1"/>
      <c r="BG911" s="1"/>
      <c r="BH911" s="1"/>
      <c r="BI911" s="1"/>
      <c r="BO911" s="1"/>
      <c r="BP911" s="1"/>
      <c r="BQ911" s="1"/>
      <c r="BR911" s="1"/>
      <c r="BS911" s="1"/>
      <c r="BT911" s="1"/>
      <c r="BU911" s="4"/>
    </row>
    <row r="912">
      <c r="AK912" s="1"/>
      <c r="AQ912" s="1"/>
      <c r="AW912" s="1"/>
      <c r="BC912" s="1"/>
      <c r="BD912" s="1"/>
      <c r="BE912" s="1"/>
      <c r="BF912" s="1"/>
      <c r="BG912" s="1"/>
      <c r="BH912" s="1"/>
      <c r="BI912" s="1"/>
      <c r="BO912" s="1"/>
      <c r="BP912" s="1"/>
      <c r="BQ912" s="1"/>
      <c r="BR912" s="1"/>
      <c r="BS912" s="1"/>
      <c r="BT912" s="1"/>
      <c r="BU912" s="4"/>
    </row>
    <row r="913">
      <c r="AK913" s="1"/>
      <c r="AQ913" s="1"/>
      <c r="AW913" s="1"/>
      <c r="BC913" s="1"/>
      <c r="BD913" s="1"/>
      <c r="BE913" s="1"/>
      <c r="BF913" s="1"/>
      <c r="BG913" s="1"/>
      <c r="BH913" s="1"/>
      <c r="BI913" s="1"/>
      <c r="BO913" s="1"/>
      <c r="BP913" s="1"/>
      <c r="BQ913" s="1"/>
      <c r="BR913" s="1"/>
      <c r="BS913" s="1"/>
      <c r="BT913" s="1"/>
      <c r="BU913" s="4"/>
    </row>
    <row r="914">
      <c r="AK914" s="1"/>
      <c r="AQ914" s="1"/>
      <c r="AW914" s="1"/>
      <c r="BC914" s="1"/>
      <c r="BD914" s="1"/>
      <c r="BE914" s="1"/>
      <c r="BF914" s="1"/>
      <c r="BG914" s="1"/>
      <c r="BH914" s="1"/>
      <c r="BI914" s="1"/>
      <c r="BO914" s="1"/>
      <c r="BP914" s="1"/>
      <c r="BQ914" s="1"/>
      <c r="BR914" s="1"/>
      <c r="BS914" s="1"/>
      <c r="BT914" s="1"/>
      <c r="BU914" s="4"/>
    </row>
    <row r="915">
      <c r="AK915" s="1"/>
      <c r="AQ915" s="1"/>
      <c r="AW915" s="1"/>
      <c r="BC915" s="1"/>
      <c r="BD915" s="1"/>
      <c r="BE915" s="1"/>
      <c r="BF915" s="1"/>
      <c r="BG915" s="1"/>
      <c r="BH915" s="1"/>
      <c r="BI915" s="1"/>
      <c r="BO915" s="1"/>
      <c r="BP915" s="1"/>
      <c r="BQ915" s="1"/>
      <c r="BR915" s="1"/>
      <c r="BS915" s="1"/>
      <c r="BT915" s="1"/>
      <c r="BU915" s="4"/>
    </row>
    <row r="916">
      <c r="AK916" s="1"/>
      <c r="AQ916" s="1"/>
      <c r="AW916" s="1"/>
      <c r="BC916" s="1"/>
      <c r="BD916" s="1"/>
      <c r="BE916" s="1"/>
      <c r="BF916" s="1"/>
      <c r="BG916" s="1"/>
      <c r="BH916" s="1"/>
      <c r="BI916" s="1"/>
      <c r="BO916" s="1"/>
      <c r="BP916" s="1"/>
      <c r="BQ916" s="1"/>
      <c r="BR916" s="1"/>
      <c r="BS916" s="1"/>
      <c r="BT916" s="1"/>
      <c r="BU916" s="4"/>
    </row>
    <row r="917">
      <c r="AK917" s="1"/>
      <c r="AQ917" s="1"/>
      <c r="AW917" s="1"/>
      <c r="BC917" s="1"/>
      <c r="BD917" s="1"/>
      <c r="BE917" s="1"/>
      <c r="BF917" s="1"/>
      <c r="BG917" s="1"/>
      <c r="BH917" s="1"/>
      <c r="BI917" s="1"/>
      <c r="BO917" s="1"/>
      <c r="BP917" s="1"/>
      <c r="BQ917" s="1"/>
      <c r="BR917" s="1"/>
      <c r="BS917" s="1"/>
      <c r="BT917" s="1"/>
      <c r="BU917" s="4"/>
    </row>
    <row r="918">
      <c r="AK918" s="1"/>
      <c r="AQ918" s="1"/>
      <c r="AW918" s="1"/>
      <c r="BC918" s="1"/>
      <c r="BD918" s="1"/>
      <c r="BE918" s="1"/>
      <c r="BF918" s="1"/>
      <c r="BG918" s="1"/>
      <c r="BH918" s="1"/>
      <c r="BI918" s="1"/>
      <c r="BO918" s="1"/>
      <c r="BP918" s="1"/>
      <c r="BQ918" s="1"/>
      <c r="BR918" s="1"/>
      <c r="BS918" s="1"/>
      <c r="BT918" s="1"/>
      <c r="BU918" s="4"/>
    </row>
    <row r="919">
      <c r="AK919" s="1"/>
      <c r="AQ919" s="1"/>
      <c r="AW919" s="1"/>
      <c r="BC919" s="1"/>
      <c r="BD919" s="1"/>
      <c r="BE919" s="1"/>
      <c r="BF919" s="1"/>
      <c r="BG919" s="1"/>
      <c r="BH919" s="1"/>
      <c r="BI919" s="1"/>
      <c r="BO919" s="1"/>
      <c r="BP919" s="1"/>
      <c r="BQ919" s="1"/>
      <c r="BR919" s="1"/>
      <c r="BS919" s="1"/>
      <c r="BT919" s="1"/>
      <c r="BU919" s="4"/>
    </row>
    <row r="920">
      <c r="AK920" s="1"/>
      <c r="AQ920" s="1"/>
      <c r="AW920" s="1"/>
      <c r="BC920" s="1"/>
      <c r="BD920" s="1"/>
      <c r="BE920" s="1"/>
      <c r="BF920" s="1"/>
      <c r="BG920" s="1"/>
      <c r="BH920" s="1"/>
      <c r="BI920" s="1"/>
      <c r="BO920" s="1"/>
      <c r="BP920" s="1"/>
      <c r="BQ920" s="1"/>
      <c r="BR920" s="1"/>
      <c r="BS920" s="1"/>
      <c r="BT920" s="1"/>
      <c r="BU920" s="4"/>
    </row>
    <row r="921">
      <c r="AK921" s="1"/>
      <c r="AQ921" s="1"/>
      <c r="AW921" s="1"/>
      <c r="BC921" s="1"/>
      <c r="BD921" s="1"/>
      <c r="BE921" s="1"/>
      <c r="BF921" s="1"/>
      <c r="BG921" s="1"/>
      <c r="BH921" s="1"/>
      <c r="BI921" s="1"/>
      <c r="BO921" s="1"/>
      <c r="BP921" s="1"/>
      <c r="BQ921" s="1"/>
      <c r="BR921" s="1"/>
      <c r="BS921" s="1"/>
      <c r="BT921" s="1"/>
      <c r="BU921" s="4"/>
    </row>
    <row r="922">
      <c r="AK922" s="1"/>
      <c r="AQ922" s="1"/>
      <c r="AW922" s="1"/>
      <c r="BC922" s="1"/>
      <c r="BD922" s="1"/>
      <c r="BE922" s="1"/>
      <c r="BF922" s="1"/>
      <c r="BG922" s="1"/>
      <c r="BH922" s="1"/>
      <c r="BI922" s="1"/>
      <c r="BO922" s="1"/>
      <c r="BP922" s="1"/>
      <c r="BQ922" s="1"/>
      <c r="BR922" s="1"/>
      <c r="BS922" s="1"/>
      <c r="BT922" s="1"/>
      <c r="BU922" s="4"/>
    </row>
    <row r="923">
      <c r="AK923" s="1"/>
      <c r="AQ923" s="1"/>
      <c r="AW923" s="1"/>
      <c r="BC923" s="1"/>
      <c r="BD923" s="1"/>
      <c r="BE923" s="1"/>
      <c r="BF923" s="1"/>
      <c r="BG923" s="1"/>
      <c r="BH923" s="1"/>
      <c r="BI923" s="1"/>
      <c r="BO923" s="1"/>
      <c r="BP923" s="1"/>
      <c r="BQ923" s="1"/>
      <c r="BR923" s="1"/>
      <c r="BS923" s="1"/>
      <c r="BT923" s="1"/>
      <c r="BU923" s="4"/>
    </row>
    <row r="924">
      <c r="AK924" s="1"/>
      <c r="AQ924" s="1"/>
      <c r="AW924" s="1"/>
      <c r="BC924" s="1"/>
      <c r="BD924" s="1"/>
      <c r="BE924" s="1"/>
      <c r="BF924" s="1"/>
      <c r="BG924" s="1"/>
      <c r="BH924" s="1"/>
      <c r="BI924" s="1"/>
      <c r="BO924" s="1"/>
      <c r="BP924" s="1"/>
      <c r="BQ924" s="1"/>
      <c r="BR924" s="1"/>
      <c r="BS924" s="1"/>
      <c r="BT924" s="1"/>
      <c r="BU924" s="4"/>
    </row>
    <row r="925">
      <c r="AK925" s="1"/>
      <c r="AQ925" s="1"/>
      <c r="AW925" s="1"/>
      <c r="BC925" s="1"/>
      <c r="BD925" s="1"/>
      <c r="BE925" s="1"/>
      <c r="BF925" s="1"/>
      <c r="BG925" s="1"/>
      <c r="BH925" s="1"/>
      <c r="BI925" s="1"/>
      <c r="BO925" s="1"/>
      <c r="BP925" s="1"/>
      <c r="BQ925" s="1"/>
      <c r="BR925" s="1"/>
      <c r="BS925" s="1"/>
      <c r="BT925" s="1"/>
      <c r="BU925" s="4"/>
    </row>
    <row r="926">
      <c r="AK926" s="1"/>
      <c r="AQ926" s="1"/>
      <c r="AW926" s="1"/>
      <c r="BC926" s="1"/>
      <c r="BD926" s="1"/>
      <c r="BE926" s="1"/>
      <c r="BF926" s="1"/>
      <c r="BG926" s="1"/>
      <c r="BH926" s="1"/>
      <c r="BI926" s="1"/>
      <c r="BO926" s="1"/>
      <c r="BP926" s="1"/>
      <c r="BQ926" s="1"/>
      <c r="BR926" s="1"/>
      <c r="BS926" s="1"/>
      <c r="BT926" s="1"/>
      <c r="BU926" s="4"/>
    </row>
    <row r="927">
      <c r="AK927" s="1"/>
      <c r="AQ927" s="1"/>
      <c r="AW927" s="1"/>
      <c r="BC927" s="1"/>
      <c r="BD927" s="1"/>
      <c r="BE927" s="1"/>
      <c r="BF927" s="1"/>
      <c r="BG927" s="1"/>
      <c r="BH927" s="1"/>
      <c r="BI927" s="1"/>
      <c r="BO927" s="1"/>
      <c r="BP927" s="1"/>
      <c r="BQ927" s="1"/>
      <c r="BR927" s="1"/>
      <c r="BS927" s="1"/>
      <c r="BT927" s="1"/>
      <c r="BU927" s="4"/>
    </row>
    <row r="928">
      <c r="AK928" s="1"/>
      <c r="AQ928" s="1"/>
      <c r="AW928" s="1"/>
      <c r="BC928" s="1"/>
      <c r="BD928" s="1"/>
      <c r="BE928" s="1"/>
      <c r="BF928" s="1"/>
      <c r="BG928" s="1"/>
      <c r="BH928" s="1"/>
      <c r="BI928" s="1"/>
      <c r="BO928" s="1"/>
      <c r="BP928" s="1"/>
      <c r="BQ928" s="1"/>
      <c r="BR928" s="1"/>
      <c r="BS928" s="1"/>
      <c r="BT928" s="1"/>
      <c r="BU928" s="4"/>
    </row>
    <row r="929">
      <c r="AK929" s="1"/>
      <c r="AQ929" s="1"/>
      <c r="AW929" s="1"/>
      <c r="BC929" s="1"/>
      <c r="BD929" s="1"/>
      <c r="BE929" s="1"/>
      <c r="BF929" s="1"/>
      <c r="BG929" s="1"/>
      <c r="BH929" s="1"/>
      <c r="BI929" s="1"/>
      <c r="BO929" s="1"/>
      <c r="BP929" s="1"/>
      <c r="BQ929" s="1"/>
      <c r="BR929" s="1"/>
      <c r="BS929" s="1"/>
      <c r="BT929" s="1"/>
      <c r="BU929" s="4"/>
    </row>
    <row r="930">
      <c r="AK930" s="1"/>
      <c r="AQ930" s="1"/>
      <c r="AW930" s="1"/>
      <c r="BC930" s="1"/>
      <c r="BD930" s="1"/>
      <c r="BE930" s="1"/>
      <c r="BF930" s="1"/>
      <c r="BG930" s="1"/>
      <c r="BH930" s="1"/>
      <c r="BI930" s="1"/>
      <c r="BO930" s="1"/>
      <c r="BP930" s="1"/>
      <c r="BQ930" s="1"/>
      <c r="BR930" s="1"/>
      <c r="BS930" s="1"/>
      <c r="BT930" s="1"/>
      <c r="BU930" s="4"/>
    </row>
    <row r="931">
      <c r="AK931" s="1"/>
      <c r="AQ931" s="1"/>
      <c r="AW931" s="1"/>
      <c r="BC931" s="1"/>
      <c r="BD931" s="1"/>
      <c r="BE931" s="1"/>
      <c r="BF931" s="1"/>
      <c r="BG931" s="1"/>
      <c r="BH931" s="1"/>
      <c r="BI931" s="1"/>
      <c r="BO931" s="1"/>
      <c r="BP931" s="1"/>
      <c r="BQ931" s="1"/>
      <c r="BR931" s="1"/>
      <c r="BS931" s="1"/>
      <c r="BT931" s="1"/>
      <c r="BU931" s="4"/>
    </row>
    <row r="932">
      <c r="AK932" s="1"/>
      <c r="AQ932" s="1"/>
      <c r="AW932" s="1"/>
      <c r="BC932" s="1"/>
      <c r="BD932" s="1"/>
      <c r="BE932" s="1"/>
      <c r="BF932" s="1"/>
      <c r="BG932" s="1"/>
      <c r="BH932" s="1"/>
      <c r="BI932" s="1"/>
      <c r="BO932" s="1"/>
      <c r="BP932" s="1"/>
      <c r="BQ932" s="1"/>
      <c r="BR932" s="1"/>
      <c r="BS932" s="1"/>
      <c r="BT932" s="1"/>
      <c r="BU932" s="4"/>
    </row>
    <row r="933">
      <c r="AK933" s="1"/>
      <c r="AQ933" s="1"/>
      <c r="AW933" s="1"/>
      <c r="BC933" s="1"/>
      <c r="BD933" s="1"/>
      <c r="BE933" s="1"/>
      <c r="BF933" s="1"/>
      <c r="BG933" s="1"/>
      <c r="BH933" s="1"/>
      <c r="BI933" s="1"/>
      <c r="BO933" s="1"/>
      <c r="BP933" s="1"/>
      <c r="BQ933" s="1"/>
      <c r="BR933" s="1"/>
      <c r="BS933" s="1"/>
      <c r="BT933" s="1"/>
      <c r="BU933" s="4"/>
    </row>
    <row r="934">
      <c r="AK934" s="1"/>
      <c r="AQ934" s="1"/>
      <c r="AW934" s="1"/>
      <c r="BC934" s="1"/>
      <c r="BD934" s="1"/>
      <c r="BE934" s="1"/>
      <c r="BF934" s="1"/>
      <c r="BG934" s="1"/>
      <c r="BH934" s="1"/>
      <c r="BI934" s="1"/>
      <c r="BO934" s="1"/>
      <c r="BP934" s="1"/>
      <c r="BQ934" s="1"/>
      <c r="BR934" s="1"/>
      <c r="BS934" s="1"/>
      <c r="BT934" s="1"/>
      <c r="BU934" s="4"/>
    </row>
    <row r="935">
      <c r="AK935" s="1"/>
      <c r="AQ935" s="1"/>
      <c r="AW935" s="1"/>
      <c r="BC935" s="1"/>
      <c r="BD935" s="1"/>
      <c r="BE935" s="1"/>
      <c r="BF935" s="1"/>
      <c r="BG935" s="1"/>
      <c r="BH935" s="1"/>
      <c r="BI935" s="1"/>
      <c r="BO935" s="1"/>
      <c r="BP935" s="1"/>
      <c r="BQ935" s="1"/>
      <c r="BR935" s="1"/>
      <c r="BS935" s="1"/>
      <c r="BT935" s="1"/>
      <c r="BU935" s="4"/>
    </row>
    <row r="936">
      <c r="AK936" s="1"/>
      <c r="AQ936" s="1"/>
      <c r="AW936" s="1"/>
      <c r="BC936" s="1"/>
      <c r="BD936" s="1"/>
      <c r="BE936" s="1"/>
      <c r="BF936" s="1"/>
      <c r="BG936" s="1"/>
      <c r="BH936" s="1"/>
      <c r="BI936" s="1"/>
      <c r="BO936" s="1"/>
      <c r="BP936" s="1"/>
      <c r="BQ936" s="1"/>
      <c r="BR936" s="1"/>
      <c r="BS936" s="1"/>
      <c r="BT936" s="1"/>
      <c r="BU936" s="4"/>
    </row>
    <row r="937">
      <c r="AK937" s="1"/>
      <c r="AQ937" s="1"/>
      <c r="AW937" s="1"/>
      <c r="BC937" s="1"/>
      <c r="BD937" s="1"/>
      <c r="BE937" s="1"/>
      <c r="BF937" s="1"/>
      <c r="BG937" s="1"/>
      <c r="BH937" s="1"/>
      <c r="BI937" s="1"/>
      <c r="BO937" s="1"/>
      <c r="BP937" s="1"/>
      <c r="BQ937" s="1"/>
      <c r="BR937" s="1"/>
      <c r="BS937" s="1"/>
      <c r="BT937" s="1"/>
      <c r="BU937" s="4"/>
    </row>
    <row r="938">
      <c r="AK938" s="1"/>
      <c r="AQ938" s="1"/>
      <c r="AW938" s="1"/>
      <c r="BC938" s="1"/>
      <c r="BD938" s="1"/>
      <c r="BE938" s="1"/>
      <c r="BF938" s="1"/>
      <c r="BG938" s="1"/>
      <c r="BH938" s="1"/>
      <c r="BI938" s="1"/>
      <c r="BO938" s="1"/>
      <c r="BP938" s="1"/>
      <c r="BQ938" s="1"/>
      <c r="BR938" s="1"/>
      <c r="BS938" s="1"/>
      <c r="BT938" s="1"/>
      <c r="BU938" s="4"/>
    </row>
    <row r="939">
      <c r="AK939" s="1"/>
      <c r="AQ939" s="1"/>
      <c r="AW939" s="1"/>
      <c r="BC939" s="1"/>
      <c r="BD939" s="1"/>
      <c r="BE939" s="1"/>
      <c r="BF939" s="1"/>
      <c r="BG939" s="1"/>
      <c r="BH939" s="1"/>
      <c r="BI939" s="1"/>
      <c r="BO939" s="1"/>
      <c r="BP939" s="1"/>
      <c r="BQ939" s="1"/>
      <c r="BR939" s="1"/>
      <c r="BS939" s="1"/>
      <c r="BT939" s="1"/>
      <c r="BU939" s="4"/>
    </row>
    <row r="940">
      <c r="AK940" s="1"/>
      <c r="AQ940" s="1"/>
      <c r="AW940" s="1"/>
      <c r="BC940" s="1"/>
      <c r="BD940" s="1"/>
      <c r="BE940" s="1"/>
      <c r="BF940" s="1"/>
      <c r="BG940" s="1"/>
      <c r="BH940" s="1"/>
      <c r="BI940" s="1"/>
      <c r="BO940" s="1"/>
      <c r="BP940" s="1"/>
      <c r="BQ940" s="1"/>
      <c r="BR940" s="1"/>
      <c r="BS940" s="1"/>
      <c r="BT940" s="1"/>
      <c r="BU940" s="4"/>
    </row>
    <row r="941">
      <c r="AK941" s="1"/>
      <c r="AQ941" s="1"/>
      <c r="AW941" s="1"/>
      <c r="BC941" s="1"/>
      <c r="BD941" s="1"/>
      <c r="BE941" s="1"/>
      <c r="BF941" s="1"/>
      <c r="BG941" s="1"/>
      <c r="BH941" s="1"/>
      <c r="BI941" s="1"/>
      <c r="BO941" s="1"/>
      <c r="BP941" s="1"/>
      <c r="BQ941" s="1"/>
      <c r="BR941" s="1"/>
      <c r="BS941" s="1"/>
      <c r="BT941" s="1"/>
      <c r="BU941" s="4"/>
    </row>
    <row r="942">
      <c r="AK942" s="1"/>
      <c r="AQ942" s="1"/>
      <c r="AW942" s="1"/>
      <c r="BC942" s="1"/>
      <c r="BD942" s="1"/>
      <c r="BE942" s="1"/>
      <c r="BF942" s="1"/>
      <c r="BG942" s="1"/>
      <c r="BH942" s="1"/>
      <c r="BI942" s="1"/>
      <c r="BO942" s="1"/>
      <c r="BP942" s="1"/>
      <c r="BQ942" s="1"/>
      <c r="BR942" s="1"/>
      <c r="BS942" s="1"/>
      <c r="BT942" s="1"/>
      <c r="BU942" s="4"/>
    </row>
    <row r="943">
      <c r="AK943" s="1"/>
      <c r="AQ943" s="1"/>
      <c r="AW943" s="1"/>
      <c r="BC943" s="1"/>
      <c r="BD943" s="1"/>
      <c r="BE943" s="1"/>
      <c r="BF943" s="1"/>
      <c r="BG943" s="1"/>
      <c r="BH943" s="1"/>
      <c r="BI943" s="1"/>
      <c r="BO943" s="1"/>
      <c r="BP943" s="1"/>
      <c r="BQ943" s="1"/>
      <c r="BR943" s="1"/>
      <c r="BS943" s="1"/>
      <c r="BT943" s="1"/>
      <c r="BU943" s="4"/>
    </row>
    <row r="944">
      <c r="AK944" s="1"/>
      <c r="AQ944" s="1"/>
      <c r="AW944" s="1"/>
      <c r="BC944" s="1"/>
      <c r="BD944" s="1"/>
      <c r="BE944" s="1"/>
      <c r="BF944" s="1"/>
      <c r="BG944" s="1"/>
      <c r="BH944" s="1"/>
      <c r="BI944" s="1"/>
      <c r="BO944" s="1"/>
      <c r="BP944" s="1"/>
      <c r="BQ944" s="1"/>
      <c r="BR944" s="1"/>
      <c r="BS944" s="1"/>
      <c r="BT944" s="1"/>
      <c r="BU944" s="4"/>
    </row>
    <row r="945">
      <c r="AK945" s="1"/>
      <c r="AQ945" s="1"/>
      <c r="AW945" s="1"/>
      <c r="BC945" s="1"/>
      <c r="BD945" s="1"/>
      <c r="BE945" s="1"/>
      <c r="BF945" s="1"/>
      <c r="BG945" s="1"/>
      <c r="BH945" s="1"/>
      <c r="BI945" s="1"/>
      <c r="BO945" s="1"/>
      <c r="BP945" s="1"/>
      <c r="BQ945" s="1"/>
      <c r="BR945" s="1"/>
      <c r="BS945" s="1"/>
      <c r="BT945" s="1"/>
      <c r="BU945" s="4"/>
    </row>
    <row r="946">
      <c r="AK946" s="1"/>
      <c r="AQ946" s="1"/>
      <c r="AW946" s="1"/>
      <c r="BC946" s="1"/>
      <c r="BD946" s="1"/>
      <c r="BE946" s="1"/>
      <c r="BF946" s="1"/>
      <c r="BG946" s="1"/>
      <c r="BH946" s="1"/>
      <c r="BI946" s="1"/>
      <c r="BO946" s="1"/>
      <c r="BP946" s="1"/>
      <c r="BQ946" s="1"/>
      <c r="BR946" s="1"/>
      <c r="BS946" s="1"/>
      <c r="BT946" s="1"/>
      <c r="BU946" s="4"/>
    </row>
    <row r="947">
      <c r="AK947" s="1"/>
      <c r="AQ947" s="1"/>
      <c r="AW947" s="1"/>
      <c r="BC947" s="1"/>
      <c r="BD947" s="1"/>
      <c r="BE947" s="1"/>
      <c r="BF947" s="1"/>
      <c r="BG947" s="1"/>
      <c r="BH947" s="1"/>
      <c r="BI947" s="1"/>
      <c r="BO947" s="1"/>
      <c r="BP947" s="1"/>
      <c r="BQ947" s="1"/>
      <c r="BR947" s="1"/>
      <c r="BS947" s="1"/>
      <c r="BT947" s="1"/>
      <c r="BU947" s="4"/>
    </row>
    <row r="948">
      <c r="AK948" s="1"/>
      <c r="AQ948" s="1"/>
      <c r="AW948" s="1"/>
      <c r="BC948" s="1"/>
      <c r="BD948" s="1"/>
      <c r="BE948" s="1"/>
      <c r="BF948" s="1"/>
      <c r="BG948" s="1"/>
      <c r="BH948" s="1"/>
      <c r="BI948" s="1"/>
      <c r="BO948" s="1"/>
      <c r="BP948" s="1"/>
      <c r="BQ948" s="1"/>
      <c r="BR948" s="1"/>
      <c r="BS948" s="1"/>
      <c r="BT948" s="1"/>
      <c r="BU948" s="4"/>
    </row>
    <row r="949">
      <c r="AK949" s="1"/>
      <c r="AQ949" s="1"/>
      <c r="AW949" s="1"/>
      <c r="BC949" s="1"/>
      <c r="BD949" s="1"/>
      <c r="BE949" s="1"/>
      <c r="BF949" s="1"/>
      <c r="BG949" s="1"/>
      <c r="BH949" s="1"/>
      <c r="BI949" s="1"/>
      <c r="BO949" s="1"/>
      <c r="BP949" s="1"/>
      <c r="BQ949" s="1"/>
      <c r="BR949" s="1"/>
      <c r="BS949" s="1"/>
      <c r="BT949" s="1"/>
      <c r="BU949" s="4"/>
    </row>
    <row r="950">
      <c r="AK950" s="1"/>
      <c r="AQ950" s="1"/>
      <c r="AW950" s="1"/>
      <c r="BC950" s="1"/>
      <c r="BD950" s="1"/>
      <c r="BE950" s="1"/>
      <c r="BF950" s="1"/>
      <c r="BG950" s="1"/>
      <c r="BH950" s="1"/>
      <c r="BI950" s="1"/>
      <c r="BO950" s="1"/>
      <c r="BP950" s="1"/>
      <c r="BQ950" s="1"/>
      <c r="BR950" s="1"/>
      <c r="BS950" s="1"/>
      <c r="BT950" s="1"/>
      <c r="BU950" s="4"/>
    </row>
    <row r="951">
      <c r="AK951" s="1"/>
      <c r="AQ951" s="1"/>
      <c r="AW951" s="1"/>
      <c r="BC951" s="1"/>
      <c r="BD951" s="1"/>
      <c r="BE951" s="1"/>
      <c r="BF951" s="1"/>
      <c r="BG951" s="1"/>
      <c r="BH951" s="1"/>
      <c r="BI951" s="1"/>
      <c r="BO951" s="1"/>
      <c r="BP951" s="1"/>
      <c r="BQ951" s="1"/>
      <c r="BR951" s="1"/>
      <c r="BS951" s="1"/>
      <c r="BT951" s="1"/>
      <c r="BU951" s="4"/>
    </row>
    <row r="952">
      <c r="AK952" s="1"/>
      <c r="AQ952" s="1"/>
      <c r="AW952" s="1"/>
      <c r="BC952" s="1"/>
      <c r="BD952" s="1"/>
      <c r="BE952" s="1"/>
      <c r="BF952" s="1"/>
      <c r="BG952" s="1"/>
      <c r="BH952" s="1"/>
      <c r="BI952" s="1"/>
      <c r="BO952" s="1"/>
      <c r="BP952" s="1"/>
      <c r="BQ952" s="1"/>
      <c r="BR952" s="1"/>
      <c r="BS952" s="1"/>
      <c r="BT952" s="1"/>
      <c r="BU952" s="4"/>
    </row>
    <row r="953">
      <c r="AK953" s="1"/>
      <c r="AQ953" s="1"/>
      <c r="AW953" s="1"/>
      <c r="BC953" s="1"/>
      <c r="BD953" s="1"/>
      <c r="BE953" s="1"/>
      <c r="BF953" s="1"/>
      <c r="BG953" s="1"/>
      <c r="BH953" s="1"/>
      <c r="BI953" s="1"/>
      <c r="BO953" s="1"/>
      <c r="BP953" s="1"/>
      <c r="BQ953" s="1"/>
      <c r="BR953" s="1"/>
      <c r="BS953" s="1"/>
      <c r="BT953" s="1"/>
      <c r="BU953" s="4"/>
    </row>
    <row r="954">
      <c r="AK954" s="1"/>
      <c r="AQ954" s="1"/>
      <c r="AW954" s="1"/>
      <c r="BC954" s="1"/>
      <c r="BD954" s="1"/>
      <c r="BE954" s="1"/>
      <c r="BF954" s="1"/>
      <c r="BG954" s="1"/>
      <c r="BH954" s="1"/>
      <c r="BI954" s="1"/>
      <c r="BO954" s="1"/>
      <c r="BP954" s="1"/>
      <c r="BQ954" s="1"/>
      <c r="BR954" s="1"/>
      <c r="BS954" s="1"/>
      <c r="BT954" s="1"/>
      <c r="BU954" s="4"/>
    </row>
    <row r="955">
      <c r="AK955" s="1"/>
      <c r="AQ955" s="1"/>
      <c r="AW955" s="1"/>
      <c r="BC955" s="1"/>
      <c r="BD955" s="1"/>
      <c r="BE955" s="1"/>
      <c r="BF955" s="1"/>
      <c r="BG955" s="1"/>
      <c r="BH955" s="1"/>
      <c r="BI955" s="1"/>
      <c r="BO955" s="1"/>
      <c r="BP955" s="1"/>
      <c r="BQ955" s="1"/>
      <c r="BR955" s="1"/>
      <c r="BS955" s="1"/>
      <c r="BT955" s="1"/>
      <c r="BU955" s="4"/>
    </row>
    <row r="956">
      <c r="AK956" s="1"/>
      <c r="AQ956" s="1"/>
      <c r="AW956" s="1"/>
      <c r="BC956" s="1"/>
      <c r="BD956" s="1"/>
      <c r="BE956" s="1"/>
      <c r="BF956" s="1"/>
      <c r="BG956" s="1"/>
      <c r="BH956" s="1"/>
      <c r="BI956" s="1"/>
      <c r="BO956" s="1"/>
      <c r="BP956" s="1"/>
      <c r="BQ956" s="1"/>
      <c r="BR956" s="1"/>
      <c r="BS956" s="1"/>
      <c r="BT956" s="1"/>
      <c r="BU956" s="4"/>
    </row>
    <row r="957">
      <c r="AK957" s="1"/>
      <c r="AQ957" s="1"/>
      <c r="AW957" s="1"/>
      <c r="BC957" s="1"/>
      <c r="BD957" s="1"/>
      <c r="BE957" s="1"/>
      <c r="BF957" s="1"/>
      <c r="BG957" s="1"/>
      <c r="BH957" s="1"/>
      <c r="BI957" s="1"/>
      <c r="BO957" s="1"/>
      <c r="BP957" s="1"/>
      <c r="BQ957" s="1"/>
      <c r="BR957" s="1"/>
      <c r="BS957" s="1"/>
      <c r="BT957" s="1"/>
      <c r="BU957" s="4"/>
    </row>
    <row r="958">
      <c r="AK958" s="1"/>
      <c r="AQ958" s="1"/>
      <c r="AW958" s="1"/>
      <c r="BC958" s="1"/>
      <c r="BD958" s="1"/>
      <c r="BE958" s="1"/>
      <c r="BF958" s="1"/>
      <c r="BG958" s="1"/>
      <c r="BH958" s="1"/>
      <c r="BI958" s="1"/>
      <c r="BO958" s="1"/>
      <c r="BP958" s="1"/>
      <c r="BQ958" s="1"/>
      <c r="BR958" s="1"/>
      <c r="BS958" s="1"/>
      <c r="BT958" s="1"/>
      <c r="BU958" s="4"/>
    </row>
    <row r="959">
      <c r="AK959" s="1"/>
      <c r="AQ959" s="1"/>
      <c r="AW959" s="1"/>
      <c r="BC959" s="1"/>
      <c r="BD959" s="1"/>
      <c r="BE959" s="1"/>
      <c r="BF959" s="1"/>
      <c r="BG959" s="1"/>
      <c r="BH959" s="1"/>
      <c r="BI959" s="1"/>
      <c r="BO959" s="1"/>
      <c r="BP959" s="1"/>
      <c r="BQ959" s="1"/>
      <c r="BR959" s="1"/>
      <c r="BS959" s="1"/>
      <c r="BT959" s="1"/>
      <c r="BU959" s="4"/>
    </row>
    <row r="960">
      <c r="AK960" s="1"/>
      <c r="AQ960" s="1"/>
      <c r="AW960" s="1"/>
      <c r="BC960" s="1"/>
      <c r="BD960" s="1"/>
      <c r="BE960" s="1"/>
      <c r="BF960" s="1"/>
      <c r="BG960" s="1"/>
      <c r="BH960" s="1"/>
      <c r="BI960" s="1"/>
      <c r="BO960" s="1"/>
      <c r="BP960" s="1"/>
      <c r="BQ960" s="1"/>
      <c r="BR960" s="1"/>
      <c r="BS960" s="1"/>
      <c r="BT960" s="1"/>
      <c r="BU960" s="4"/>
    </row>
    <row r="961">
      <c r="AK961" s="1"/>
      <c r="AQ961" s="1"/>
      <c r="AW961" s="1"/>
      <c r="BC961" s="1"/>
      <c r="BD961" s="1"/>
      <c r="BE961" s="1"/>
      <c r="BF961" s="1"/>
      <c r="BG961" s="1"/>
      <c r="BH961" s="1"/>
      <c r="BI961" s="1"/>
      <c r="BO961" s="1"/>
      <c r="BP961" s="1"/>
      <c r="BQ961" s="1"/>
      <c r="BR961" s="1"/>
      <c r="BS961" s="1"/>
      <c r="BT961" s="1"/>
      <c r="BU961" s="4"/>
    </row>
    <row r="962">
      <c r="AK962" s="1"/>
      <c r="AQ962" s="1"/>
      <c r="AW962" s="1"/>
      <c r="BC962" s="1"/>
      <c r="BD962" s="1"/>
      <c r="BE962" s="1"/>
      <c r="BF962" s="1"/>
      <c r="BG962" s="1"/>
      <c r="BH962" s="1"/>
      <c r="BI962" s="1"/>
      <c r="BO962" s="1"/>
      <c r="BP962" s="1"/>
      <c r="BQ962" s="1"/>
      <c r="BR962" s="1"/>
      <c r="BS962" s="1"/>
      <c r="BT962" s="1"/>
      <c r="BU962" s="4"/>
    </row>
    <row r="963">
      <c r="AK963" s="1"/>
      <c r="AQ963" s="1"/>
      <c r="AW963" s="1"/>
      <c r="BC963" s="1"/>
      <c r="BD963" s="1"/>
      <c r="BE963" s="1"/>
      <c r="BF963" s="1"/>
      <c r="BG963" s="1"/>
      <c r="BH963" s="1"/>
      <c r="BI963" s="1"/>
      <c r="BO963" s="1"/>
      <c r="BP963" s="1"/>
      <c r="BQ963" s="1"/>
      <c r="BR963" s="1"/>
      <c r="BS963" s="1"/>
      <c r="BT963" s="1"/>
      <c r="BU963" s="4"/>
    </row>
    <row r="964">
      <c r="AK964" s="1"/>
      <c r="AQ964" s="1"/>
      <c r="AW964" s="1"/>
      <c r="BC964" s="1"/>
      <c r="BD964" s="1"/>
      <c r="BE964" s="1"/>
      <c r="BF964" s="1"/>
      <c r="BG964" s="1"/>
      <c r="BH964" s="1"/>
      <c r="BI964" s="1"/>
      <c r="BO964" s="1"/>
      <c r="BP964" s="1"/>
      <c r="BQ964" s="1"/>
      <c r="BR964" s="1"/>
      <c r="BS964" s="1"/>
      <c r="BT964" s="1"/>
      <c r="BU964" s="4"/>
    </row>
    <row r="965">
      <c r="AK965" s="1"/>
      <c r="AQ965" s="1"/>
      <c r="AW965" s="1"/>
      <c r="BC965" s="1"/>
      <c r="BD965" s="1"/>
      <c r="BE965" s="1"/>
      <c r="BF965" s="1"/>
      <c r="BG965" s="1"/>
      <c r="BH965" s="1"/>
      <c r="BI965" s="1"/>
      <c r="BO965" s="1"/>
      <c r="BP965" s="1"/>
      <c r="BQ965" s="1"/>
      <c r="BR965" s="1"/>
      <c r="BS965" s="1"/>
      <c r="BT965" s="1"/>
      <c r="BU965" s="4"/>
    </row>
    <row r="966">
      <c r="AK966" s="1"/>
      <c r="AQ966" s="1"/>
      <c r="AW966" s="1"/>
      <c r="BC966" s="1"/>
      <c r="BD966" s="1"/>
      <c r="BE966" s="1"/>
      <c r="BF966" s="1"/>
      <c r="BG966" s="1"/>
      <c r="BH966" s="1"/>
      <c r="BI966" s="1"/>
      <c r="BO966" s="1"/>
      <c r="BP966" s="1"/>
      <c r="BQ966" s="1"/>
      <c r="BR966" s="1"/>
      <c r="BS966" s="1"/>
      <c r="BT966" s="1"/>
      <c r="BU966" s="4"/>
    </row>
    <row r="967">
      <c r="AK967" s="1"/>
      <c r="AQ967" s="1"/>
      <c r="AW967" s="1"/>
      <c r="BC967" s="1"/>
      <c r="BD967" s="1"/>
      <c r="BE967" s="1"/>
      <c r="BF967" s="1"/>
      <c r="BG967" s="1"/>
      <c r="BH967" s="1"/>
      <c r="BI967" s="1"/>
      <c r="BO967" s="1"/>
      <c r="BP967" s="1"/>
      <c r="BQ967" s="1"/>
      <c r="BR967" s="1"/>
      <c r="BS967" s="1"/>
      <c r="BT967" s="1"/>
      <c r="BU967" s="4"/>
    </row>
    <row r="968">
      <c r="AK968" s="1"/>
      <c r="AQ968" s="1"/>
      <c r="AW968" s="1"/>
      <c r="BC968" s="1"/>
      <c r="BD968" s="1"/>
      <c r="BE968" s="1"/>
      <c r="BF968" s="1"/>
      <c r="BG968" s="1"/>
      <c r="BH968" s="1"/>
      <c r="BI968" s="1"/>
      <c r="BO968" s="1"/>
      <c r="BP968" s="1"/>
      <c r="BQ968" s="1"/>
      <c r="BR968" s="1"/>
      <c r="BS968" s="1"/>
      <c r="BT968" s="1"/>
      <c r="BU968" s="4"/>
    </row>
    <row r="969">
      <c r="AK969" s="1"/>
      <c r="AQ969" s="1"/>
      <c r="AW969" s="1"/>
      <c r="BC969" s="1"/>
      <c r="BD969" s="1"/>
      <c r="BE969" s="1"/>
      <c r="BF969" s="1"/>
      <c r="BG969" s="1"/>
      <c r="BH969" s="1"/>
      <c r="BI969" s="1"/>
      <c r="BO969" s="1"/>
      <c r="BP969" s="1"/>
      <c r="BQ969" s="1"/>
      <c r="BR969" s="1"/>
      <c r="BS969" s="1"/>
      <c r="BT969" s="1"/>
      <c r="BU969" s="4"/>
    </row>
    <row r="970">
      <c r="AK970" s="1"/>
      <c r="AQ970" s="1"/>
      <c r="AW970" s="1"/>
      <c r="BC970" s="1"/>
      <c r="BD970" s="1"/>
      <c r="BE970" s="1"/>
      <c r="BF970" s="1"/>
      <c r="BG970" s="1"/>
      <c r="BH970" s="1"/>
      <c r="BI970" s="1"/>
      <c r="BO970" s="1"/>
      <c r="BP970" s="1"/>
      <c r="BQ970" s="1"/>
      <c r="BR970" s="1"/>
      <c r="BS970" s="1"/>
      <c r="BT970" s="1"/>
      <c r="BU970" s="4"/>
    </row>
    <row r="971">
      <c r="AK971" s="1"/>
      <c r="AQ971" s="1"/>
      <c r="AW971" s="1"/>
      <c r="BC971" s="1"/>
      <c r="BD971" s="1"/>
      <c r="BE971" s="1"/>
      <c r="BF971" s="1"/>
      <c r="BG971" s="1"/>
      <c r="BH971" s="1"/>
      <c r="BI971" s="1"/>
      <c r="BO971" s="1"/>
      <c r="BP971" s="1"/>
      <c r="BQ971" s="1"/>
      <c r="BR971" s="1"/>
      <c r="BS971" s="1"/>
      <c r="BT971" s="1"/>
      <c r="BU971" s="4"/>
    </row>
    <row r="972">
      <c r="AK972" s="1"/>
      <c r="AQ972" s="1"/>
      <c r="AW972" s="1"/>
      <c r="BC972" s="1"/>
      <c r="BD972" s="1"/>
      <c r="BE972" s="1"/>
      <c r="BF972" s="1"/>
      <c r="BG972" s="1"/>
      <c r="BH972" s="1"/>
      <c r="BI972" s="1"/>
      <c r="BO972" s="1"/>
      <c r="BP972" s="1"/>
      <c r="BQ972" s="1"/>
      <c r="BR972" s="1"/>
      <c r="BS972" s="1"/>
      <c r="BT972" s="1"/>
      <c r="BU972" s="4"/>
    </row>
    <row r="973">
      <c r="AK973" s="1"/>
      <c r="AQ973" s="1"/>
      <c r="AW973" s="1"/>
      <c r="BC973" s="1"/>
      <c r="BD973" s="1"/>
      <c r="BE973" s="1"/>
      <c r="BF973" s="1"/>
      <c r="BG973" s="1"/>
      <c r="BH973" s="1"/>
      <c r="BI973" s="1"/>
      <c r="BO973" s="1"/>
      <c r="BP973" s="1"/>
      <c r="BQ973" s="1"/>
      <c r="BR973" s="1"/>
      <c r="BS973" s="1"/>
      <c r="BT973" s="1"/>
      <c r="BU973" s="4"/>
    </row>
    <row r="974">
      <c r="AK974" s="1"/>
      <c r="AQ974" s="1"/>
      <c r="AW974" s="1"/>
      <c r="BC974" s="1"/>
      <c r="BD974" s="1"/>
      <c r="BE974" s="1"/>
      <c r="BF974" s="1"/>
      <c r="BG974" s="1"/>
      <c r="BH974" s="1"/>
      <c r="BI974" s="1"/>
      <c r="BO974" s="1"/>
      <c r="BP974" s="1"/>
      <c r="BQ974" s="1"/>
      <c r="BR974" s="1"/>
      <c r="BS974" s="1"/>
      <c r="BT974" s="1"/>
      <c r="BU974" s="4"/>
    </row>
    <row r="975">
      <c r="AK975" s="1"/>
      <c r="AQ975" s="1"/>
      <c r="AW975" s="1"/>
      <c r="BC975" s="1"/>
      <c r="BD975" s="1"/>
      <c r="BE975" s="1"/>
      <c r="BF975" s="1"/>
      <c r="BG975" s="1"/>
      <c r="BH975" s="1"/>
      <c r="BI975" s="1"/>
      <c r="BO975" s="1"/>
      <c r="BP975" s="1"/>
      <c r="BQ975" s="1"/>
      <c r="BR975" s="1"/>
      <c r="BS975" s="1"/>
      <c r="BT975" s="1"/>
      <c r="BU975" s="4"/>
    </row>
    <row r="976">
      <c r="AK976" s="1"/>
      <c r="AQ976" s="1"/>
      <c r="AW976" s="1"/>
      <c r="BC976" s="1"/>
      <c r="BD976" s="1"/>
      <c r="BE976" s="1"/>
      <c r="BF976" s="1"/>
      <c r="BG976" s="1"/>
      <c r="BH976" s="1"/>
      <c r="BI976" s="1"/>
      <c r="BO976" s="1"/>
      <c r="BP976" s="1"/>
      <c r="BQ976" s="1"/>
      <c r="BR976" s="1"/>
      <c r="BS976" s="1"/>
      <c r="BT976" s="1"/>
      <c r="BU976" s="4"/>
    </row>
    <row r="977">
      <c r="AK977" s="1"/>
      <c r="AQ977" s="1"/>
      <c r="AW977" s="1"/>
      <c r="BC977" s="1"/>
      <c r="BD977" s="1"/>
      <c r="BE977" s="1"/>
      <c r="BF977" s="1"/>
      <c r="BG977" s="1"/>
      <c r="BH977" s="1"/>
      <c r="BI977" s="1"/>
      <c r="BO977" s="1"/>
      <c r="BP977" s="1"/>
      <c r="BQ977" s="1"/>
      <c r="BR977" s="1"/>
      <c r="BS977" s="1"/>
      <c r="BT977" s="1"/>
      <c r="BU977" s="4"/>
    </row>
    <row r="978">
      <c r="AK978" s="1"/>
      <c r="AQ978" s="1"/>
      <c r="AW978" s="1"/>
      <c r="BC978" s="1"/>
      <c r="BD978" s="1"/>
      <c r="BE978" s="1"/>
      <c r="BF978" s="1"/>
      <c r="BG978" s="1"/>
      <c r="BH978" s="1"/>
      <c r="BI978" s="1"/>
      <c r="BO978" s="1"/>
      <c r="BP978" s="1"/>
      <c r="BQ978" s="1"/>
      <c r="BR978" s="1"/>
      <c r="BS978" s="1"/>
      <c r="BT978" s="1"/>
      <c r="BU978" s="4"/>
    </row>
    <row r="979">
      <c r="AK979" s="1"/>
      <c r="AQ979" s="1"/>
      <c r="AW979" s="1"/>
      <c r="BC979" s="1"/>
      <c r="BD979" s="1"/>
      <c r="BE979" s="1"/>
      <c r="BF979" s="1"/>
      <c r="BG979" s="1"/>
      <c r="BH979" s="1"/>
      <c r="BI979" s="1"/>
      <c r="BO979" s="1"/>
      <c r="BP979" s="1"/>
      <c r="BQ979" s="1"/>
      <c r="BR979" s="1"/>
      <c r="BS979" s="1"/>
      <c r="BT979" s="1"/>
      <c r="BU979" s="4"/>
    </row>
    <row r="980">
      <c r="AK980" s="1"/>
      <c r="AQ980" s="1"/>
      <c r="AW980" s="1"/>
      <c r="BC980" s="1"/>
      <c r="BD980" s="1"/>
      <c r="BE980" s="1"/>
      <c r="BF980" s="1"/>
      <c r="BG980" s="1"/>
      <c r="BH980" s="1"/>
      <c r="BI980" s="1"/>
      <c r="BO980" s="1"/>
      <c r="BP980" s="1"/>
      <c r="BQ980" s="1"/>
      <c r="BR980" s="1"/>
      <c r="BS980" s="1"/>
      <c r="BT980" s="1"/>
      <c r="BU980" s="4"/>
    </row>
    <row r="981">
      <c r="AK981" s="1"/>
      <c r="AQ981" s="1"/>
      <c r="AW981" s="1"/>
      <c r="BC981" s="1"/>
      <c r="BD981" s="1"/>
      <c r="BE981" s="1"/>
      <c r="BF981" s="1"/>
      <c r="BG981" s="1"/>
      <c r="BH981" s="1"/>
      <c r="BI981" s="1"/>
      <c r="BO981" s="1"/>
      <c r="BP981" s="1"/>
      <c r="BQ981" s="1"/>
      <c r="BR981" s="1"/>
      <c r="BS981" s="1"/>
      <c r="BT981" s="1"/>
      <c r="BU981" s="4"/>
    </row>
    <row r="982">
      <c r="AK982" s="1"/>
      <c r="AQ982" s="1"/>
      <c r="AW982" s="1"/>
      <c r="BC982" s="1"/>
      <c r="BD982" s="1"/>
      <c r="BE982" s="1"/>
      <c r="BF982" s="1"/>
      <c r="BG982" s="1"/>
      <c r="BH982" s="1"/>
      <c r="BI982" s="1"/>
      <c r="BO982" s="1"/>
      <c r="BP982" s="1"/>
      <c r="BQ982" s="1"/>
      <c r="BR982" s="1"/>
      <c r="BS982" s="1"/>
      <c r="BT982" s="1"/>
      <c r="BU982" s="4"/>
    </row>
    <row r="983">
      <c r="AK983" s="1"/>
      <c r="AQ983" s="1"/>
      <c r="AW983" s="1"/>
      <c r="BC983" s="1"/>
      <c r="BD983" s="1"/>
      <c r="BE983" s="1"/>
      <c r="BF983" s="1"/>
      <c r="BG983" s="1"/>
      <c r="BH983" s="1"/>
      <c r="BI983" s="1"/>
      <c r="BO983" s="1"/>
      <c r="BP983" s="1"/>
      <c r="BQ983" s="1"/>
      <c r="BR983" s="1"/>
      <c r="BS983" s="1"/>
      <c r="BT983" s="1"/>
      <c r="BU983" s="4"/>
    </row>
    <row r="984">
      <c r="AK984" s="1"/>
      <c r="AQ984" s="1"/>
      <c r="AW984" s="1"/>
      <c r="BC984" s="1"/>
      <c r="BD984" s="1"/>
      <c r="BE984" s="1"/>
      <c r="BF984" s="1"/>
      <c r="BG984" s="1"/>
      <c r="BH984" s="1"/>
      <c r="BI984" s="1"/>
      <c r="BO984" s="1"/>
      <c r="BP984" s="1"/>
      <c r="BQ984" s="1"/>
      <c r="BR984" s="1"/>
      <c r="BS984" s="1"/>
      <c r="BT984" s="1"/>
      <c r="BU984" s="4"/>
    </row>
    <row r="985">
      <c r="AK985" s="1"/>
      <c r="AQ985" s="1"/>
      <c r="AW985" s="1"/>
      <c r="BC985" s="1"/>
      <c r="BD985" s="1"/>
      <c r="BE985" s="1"/>
      <c r="BF985" s="1"/>
      <c r="BG985" s="1"/>
      <c r="BH985" s="1"/>
      <c r="BI985" s="1"/>
      <c r="BO985" s="1"/>
      <c r="BP985" s="1"/>
      <c r="BQ985" s="1"/>
      <c r="BR985" s="1"/>
      <c r="BS985" s="1"/>
      <c r="BT985" s="1"/>
      <c r="BU985" s="4"/>
    </row>
    <row r="986">
      <c r="AK986" s="1"/>
      <c r="AQ986" s="1"/>
      <c r="AW986" s="1"/>
      <c r="BC986" s="1"/>
      <c r="BD986" s="1"/>
      <c r="BE986" s="1"/>
      <c r="BF986" s="1"/>
      <c r="BG986" s="1"/>
      <c r="BH986" s="1"/>
      <c r="BI986" s="1"/>
      <c r="BO986" s="1"/>
      <c r="BP986" s="1"/>
      <c r="BQ986" s="1"/>
      <c r="BR986" s="1"/>
      <c r="BS986" s="1"/>
      <c r="BT986" s="1"/>
      <c r="BU986" s="4"/>
    </row>
    <row r="987">
      <c r="AK987" s="1"/>
      <c r="AQ987" s="1"/>
      <c r="AW987" s="1"/>
      <c r="BC987" s="1"/>
      <c r="BD987" s="1"/>
      <c r="BE987" s="1"/>
      <c r="BF987" s="1"/>
      <c r="BG987" s="1"/>
      <c r="BH987" s="1"/>
      <c r="BI987" s="1"/>
      <c r="BO987" s="1"/>
      <c r="BP987" s="1"/>
      <c r="BQ987" s="1"/>
      <c r="BR987" s="1"/>
      <c r="BS987" s="1"/>
      <c r="BT987" s="1"/>
      <c r="BU987" s="4"/>
    </row>
    <row r="988">
      <c r="AK988" s="1"/>
      <c r="AQ988" s="1"/>
      <c r="AW988" s="1"/>
      <c r="BC988" s="1"/>
      <c r="BD988" s="1"/>
      <c r="BE988" s="1"/>
      <c r="BF988" s="1"/>
      <c r="BG988" s="1"/>
      <c r="BH988" s="1"/>
      <c r="BI988" s="1"/>
      <c r="BO988" s="1"/>
      <c r="BP988" s="1"/>
      <c r="BQ988" s="1"/>
      <c r="BR988" s="1"/>
      <c r="BS988" s="1"/>
      <c r="BT988" s="1"/>
      <c r="BU988" s="4"/>
    </row>
    <row r="989">
      <c r="AK989" s="1"/>
      <c r="AQ989" s="1"/>
      <c r="AW989" s="1"/>
      <c r="BC989" s="1"/>
      <c r="BD989" s="1"/>
      <c r="BE989" s="1"/>
      <c r="BF989" s="1"/>
      <c r="BG989" s="1"/>
      <c r="BH989" s="1"/>
      <c r="BI989" s="1"/>
      <c r="BO989" s="1"/>
      <c r="BP989" s="1"/>
      <c r="BQ989" s="1"/>
      <c r="BR989" s="1"/>
      <c r="BS989" s="1"/>
      <c r="BT989" s="1"/>
      <c r="BU989" s="4"/>
    </row>
    <row r="990">
      <c r="AK990" s="1"/>
      <c r="AQ990" s="1"/>
      <c r="AW990" s="1"/>
      <c r="BC990" s="1"/>
      <c r="BD990" s="1"/>
      <c r="BE990" s="1"/>
      <c r="BF990" s="1"/>
      <c r="BG990" s="1"/>
      <c r="BH990" s="1"/>
      <c r="BI990" s="1"/>
      <c r="BO990" s="1"/>
      <c r="BP990" s="1"/>
      <c r="BQ990" s="1"/>
      <c r="BR990" s="1"/>
      <c r="BS990" s="1"/>
      <c r="BT990" s="1"/>
      <c r="BU990" s="4"/>
    </row>
    <row r="991">
      <c r="AK991" s="1"/>
      <c r="AQ991" s="1"/>
      <c r="AW991" s="1"/>
      <c r="BC991" s="1"/>
      <c r="BD991" s="1"/>
      <c r="BE991" s="1"/>
      <c r="BF991" s="1"/>
      <c r="BG991" s="1"/>
      <c r="BH991" s="1"/>
      <c r="BI991" s="1"/>
      <c r="BO991" s="1"/>
      <c r="BP991" s="1"/>
      <c r="BQ991" s="1"/>
      <c r="BR991" s="1"/>
      <c r="BS991" s="1"/>
      <c r="BT991" s="1"/>
      <c r="BU991" s="4"/>
    </row>
    <row r="992">
      <c r="AK992" s="1"/>
      <c r="AQ992" s="1"/>
      <c r="AW992" s="1"/>
      <c r="BC992" s="1"/>
      <c r="BD992" s="1"/>
      <c r="BE992" s="1"/>
      <c r="BF992" s="1"/>
      <c r="BG992" s="1"/>
      <c r="BH992" s="1"/>
      <c r="BI992" s="1"/>
      <c r="BO992" s="1"/>
      <c r="BP992" s="1"/>
      <c r="BQ992" s="1"/>
      <c r="BR992" s="1"/>
      <c r="BS992" s="1"/>
      <c r="BT992" s="1"/>
      <c r="BU992" s="4"/>
    </row>
    <row r="993">
      <c r="AK993" s="1"/>
      <c r="AQ993" s="1"/>
      <c r="AW993" s="1"/>
      <c r="BC993" s="1"/>
      <c r="BD993" s="1"/>
      <c r="BE993" s="1"/>
      <c r="BF993" s="1"/>
      <c r="BG993" s="1"/>
      <c r="BH993" s="1"/>
      <c r="BI993" s="1"/>
      <c r="BO993" s="1"/>
      <c r="BP993" s="1"/>
      <c r="BQ993" s="1"/>
      <c r="BR993" s="1"/>
      <c r="BS993" s="1"/>
      <c r="BT993" s="1"/>
      <c r="BU993" s="4"/>
    </row>
    <row r="994">
      <c r="AK994" s="1"/>
      <c r="AQ994" s="1"/>
      <c r="AW994" s="1"/>
      <c r="BC994" s="1"/>
      <c r="BD994" s="1"/>
      <c r="BE994" s="1"/>
      <c r="BF994" s="1"/>
      <c r="BG994" s="1"/>
      <c r="BH994" s="1"/>
      <c r="BI994" s="1"/>
      <c r="BO994" s="1"/>
      <c r="BP994" s="1"/>
      <c r="BQ994" s="1"/>
      <c r="BR994" s="1"/>
      <c r="BS994" s="1"/>
      <c r="BT994" s="1"/>
      <c r="BU994" s="4"/>
    </row>
    <row r="995">
      <c r="AK995" s="1"/>
      <c r="AQ995" s="1"/>
      <c r="AW995" s="1"/>
      <c r="BC995" s="1"/>
      <c r="BD995" s="1"/>
      <c r="BE995" s="1"/>
      <c r="BF995" s="1"/>
      <c r="BG995" s="1"/>
      <c r="BH995" s="1"/>
      <c r="BI995" s="1"/>
      <c r="BO995" s="1"/>
      <c r="BP995" s="1"/>
      <c r="BQ995" s="1"/>
      <c r="BR995" s="1"/>
      <c r="BS995" s="1"/>
      <c r="BT995" s="1"/>
      <c r="BU995" s="4"/>
    </row>
    <row r="996">
      <c r="AK996" s="1"/>
      <c r="AQ996" s="1"/>
      <c r="AW996" s="1"/>
      <c r="BC996" s="1"/>
      <c r="BD996" s="1"/>
      <c r="BE996" s="1"/>
      <c r="BF996" s="1"/>
      <c r="BG996" s="1"/>
      <c r="BH996" s="1"/>
      <c r="BI996" s="1"/>
      <c r="BO996" s="1"/>
      <c r="BP996" s="1"/>
      <c r="BQ996" s="1"/>
      <c r="BR996" s="1"/>
      <c r="BS996" s="1"/>
      <c r="BT996" s="1"/>
      <c r="BU996" s="4"/>
    </row>
    <row r="997">
      <c r="AK997" s="1"/>
      <c r="AQ997" s="1"/>
      <c r="AW997" s="1"/>
      <c r="BC997" s="1"/>
      <c r="BD997" s="1"/>
      <c r="BE997" s="1"/>
      <c r="BF997" s="1"/>
      <c r="BG997" s="1"/>
      <c r="BH997" s="1"/>
      <c r="BI997" s="1"/>
      <c r="BO997" s="1"/>
      <c r="BP997" s="1"/>
      <c r="BQ997" s="1"/>
      <c r="BR997" s="1"/>
      <c r="BS997" s="1"/>
      <c r="BT997" s="1"/>
      <c r="BU997" s="4"/>
    </row>
    <row r="998">
      <c r="AK998" s="1"/>
      <c r="AQ998" s="1"/>
      <c r="AW998" s="1"/>
      <c r="BC998" s="1"/>
      <c r="BD998" s="1"/>
      <c r="BE998" s="1"/>
      <c r="BF998" s="1"/>
      <c r="BG998" s="1"/>
      <c r="BH998" s="1"/>
      <c r="BI998" s="1"/>
      <c r="BO998" s="1"/>
      <c r="BP998" s="1"/>
      <c r="BQ998" s="1"/>
      <c r="BR998" s="1"/>
      <c r="BS998" s="1"/>
      <c r="BT998" s="1"/>
      <c r="BU998" s="4"/>
    </row>
    <row r="999">
      <c r="AK999" s="1"/>
      <c r="AQ999" s="1"/>
      <c r="AW999" s="1"/>
      <c r="BC999" s="1"/>
      <c r="BD999" s="1"/>
      <c r="BE999" s="1"/>
      <c r="BF999" s="1"/>
      <c r="BG999" s="1"/>
      <c r="BH999" s="1"/>
      <c r="BI999" s="1"/>
      <c r="BO999" s="1"/>
      <c r="BP999" s="1"/>
      <c r="BQ999" s="1"/>
      <c r="BR999" s="1"/>
      <c r="BS999" s="1"/>
      <c r="BT999" s="1"/>
      <c r="BU999" s="4"/>
    </row>
    <row r="1000">
      <c r="AK1000" s="1"/>
      <c r="AQ1000" s="1"/>
      <c r="AW1000" s="1"/>
      <c r="BC1000" s="1"/>
      <c r="BD1000" s="1"/>
      <c r="BE1000" s="1"/>
      <c r="BF1000" s="1"/>
      <c r="BG1000" s="1"/>
      <c r="BH1000" s="1"/>
      <c r="BI1000" s="1"/>
      <c r="BO1000" s="1"/>
      <c r="BP1000" s="1"/>
      <c r="BQ1000" s="1"/>
      <c r="BR1000" s="1"/>
      <c r="BS1000" s="1"/>
      <c r="BT1000" s="1"/>
      <c r="BU1000" s="4"/>
    </row>
    <row r="1001">
      <c r="AK1001" s="1"/>
      <c r="AQ1001" s="1"/>
      <c r="AW1001" s="1"/>
      <c r="BC1001" s="1"/>
      <c r="BD1001" s="1"/>
      <c r="BE1001" s="1"/>
      <c r="BF1001" s="1"/>
      <c r="BG1001" s="1"/>
      <c r="BH1001" s="1"/>
      <c r="BI1001" s="1"/>
      <c r="BO1001" s="1"/>
      <c r="BP1001" s="1"/>
      <c r="BQ1001" s="1"/>
      <c r="BR1001" s="1"/>
      <c r="BS1001" s="1"/>
      <c r="BT1001" s="1"/>
      <c r="BU1001" s="4"/>
    </row>
    <row r="1002">
      <c r="AK1002" s="1"/>
      <c r="AQ1002" s="1"/>
      <c r="AW1002" s="1"/>
      <c r="BC1002" s="1"/>
      <c r="BD1002" s="1"/>
      <c r="BE1002" s="1"/>
      <c r="BF1002" s="1"/>
      <c r="BG1002" s="1"/>
      <c r="BH1002" s="1"/>
      <c r="BI1002" s="1"/>
      <c r="BO1002" s="1"/>
      <c r="BP1002" s="1"/>
      <c r="BQ1002" s="1"/>
      <c r="BR1002" s="1"/>
      <c r="BS1002" s="1"/>
      <c r="BT1002" s="1"/>
      <c r="BU1002" s="4"/>
    </row>
    <row r="1003">
      <c r="AK1003" s="1"/>
      <c r="AQ1003" s="1"/>
      <c r="AW1003" s="1"/>
      <c r="BC1003" s="1"/>
      <c r="BD1003" s="1"/>
      <c r="BE1003" s="1"/>
      <c r="BF1003" s="1"/>
      <c r="BG1003" s="1"/>
      <c r="BH1003" s="1"/>
      <c r="BI1003" s="1"/>
      <c r="BO1003" s="1"/>
      <c r="BP1003" s="1"/>
      <c r="BQ1003" s="1"/>
      <c r="BR1003" s="1"/>
      <c r="BS1003" s="1"/>
      <c r="BT1003" s="1"/>
      <c r="BU1003" s="4"/>
    </row>
    <row r="1004">
      <c r="AK1004" s="1"/>
      <c r="AQ1004" s="1"/>
      <c r="AW1004" s="1"/>
      <c r="BC1004" s="1"/>
      <c r="BD1004" s="1"/>
      <c r="BE1004" s="1"/>
      <c r="BF1004" s="1"/>
      <c r="BG1004" s="1"/>
      <c r="BH1004" s="1"/>
      <c r="BI1004" s="1"/>
      <c r="BO1004" s="1"/>
      <c r="BU1004" s="4"/>
    </row>
    <row r="1005">
      <c r="AK1005" s="1"/>
      <c r="AQ1005" s="1"/>
      <c r="AW1005" s="1"/>
      <c r="BC1005" s="1"/>
      <c r="BD1005" s="1"/>
      <c r="BE1005" s="1"/>
      <c r="BF1005" s="1"/>
      <c r="BG1005" s="1"/>
      <c r="BH1005" s="1"/>
      <c r="BI1005" s="1"/>
      <c r="BO1005" s="1"/>
      <c r="BU1005" s="4"/>
    </row>
    <row r="1006">
      <c r="AK1006" s="1"/>
      <c r="AQ1006" s="1"/>
      <c r="AW1006" s="1"/>
      <c r="BC1006" s="1"/>
      <c r="BD1006" s="1"/>
      <c r="BE1006" s="1"/>
      <c r="BF1006" s="1"/>
      <c r="BG1006" s="1"/>
      <c r="BH1006" s="1"/>
      <c r="BI1006" s="1"/>
      <c r="BO1006" s="1"/>
      <c r="BU1006" s="4"/>
    </row>
  </sheetData>
  <mergeCells count="50">
    <mergeCell ref="BG11:BH15"/>
    <mergeCell ref="BM11:BN15"/>
    <mergeCell ref="Q11:R15"/>
    <mergeCell ref="W11:X15"/>
    <mergeCell ref="AC11:AD15"/>
    <mergeCell ref="AI11:AJ15"/>
    <mergeCell ref="AO11:AP15"/>
    <mergeCell ref="AU11:AV15"/>
    <mergeCell ref="BA11:BB15"/>
    <mergeCell ref="AR1:AV1"/>
    <mergeCell ref="AX1:BB1"/>
    <mergeCell ref="BD1:BH1"/>
    <mergeCell ref="BJ1:BN1"/>
    <mergeCell ref="BP1:BT1"/>
    <mergeCell ref="B1:F1"/>
    <mergeCell ref="H1:L1"/>
    <mergeCell ref="N1:R1"/>
    <mergeCell ref="T1:X1"/>
    <mergeCell ref="Z1:AD1"/>
    <mergeCell ref="AF1:AJ1"/>
    <mergeCell ref="AL1:AP1"/>
    <mergeCell ref="X3:X9"/>
    <mergeCell ref="AB3:AB9"/>
    <mergeCell ref="AD3:AD9"/>
    <mergeCell ref="AH3:AH9"/>
    <mergeCell ref="AJ3:AJ9"/>
    <mergeCell ref="AN3:AN9"/>
    <mergeCell ref="AP3:AP9"/>
    <mergeCell ref="BN3:BN9"/>
    <mergeCell ref="BR3:BR9"/>
    <mergeCell ref="BT3:BT9"/>
    <mergeCell ref="BS11:BT15"/>
    <mergeCell ref="AT3:AT9"/>
    <mergeCell ref="AV3:AV9"/>
    <mergeCell ref="AZ3:AZ9"/>
    <mergeCell ref="BB3:BB9"/>
    <mergeCell ref="BF3:BF9"/>
    <mergeCell ref="BH3:BH9"/>
    <mergeCell ref="BL3:BL9"/>
    <mergeCell ref="L3:L9"/>
    <mergeCell ref="K11:L15"/>
    <mergeCell ref="B20:B23"/>
    <mergeCell ref="C20:C23"/>
    <mergeCell ref="D3:D9"/>
    <mergeCell ref="F3:F9"/>
    <mergeCell ref="J3:J9"/>
    <mergeCell ref="P3:P9"/>
    <mergeCell ref="R3:R9"/>
    <mergeCell ref="V3:V9"/>
    <mergeCell ref="E11:F15"/>
  </mergeCells>
  <conditionalFormatting sqref="C17:C30 I17:I30 O17:O30 U17:U30 AA17:AA30 AG17:AG30 AM17:AM30 AS17:AS30 AY17:AY30 BE17:BE30 BK17:BK30 BQ17:BQ30 AY97:AY110 BK97:BK110 AM161:AM190 AY162:AY190 BK162:BK190 AM241:AM270 AY242:AY270 BK242:BK270 AM321:AM350 AY322:AY350 BK322:BK350 AM401:AM430 AY402:AY430 BK402:BK430 AM481:AM510 AY482:AY510 BK482:BK510 AM561:AM590 AY562:AY590 BK562:BK590 AM641:AM670 AY642:AY670 BK642:BK670 AM721:AM750 AY722:AY750 BK722:BK750 AM801:AM830 AY802:AY830 BK802:BK830 AM881:AM910 AY882:AY910 BK882:BK910">
    <cfRule type="notContainsBlanks" dxfId="0" priority="1">
      <formula>LEN(TRIM(C17))&gt;0</formula>
    </cfRule>
  </conditionalFormatting>
  <conditionalFormatting sqref="C17:C30 I17:I30 O17:O30 U17:U30 AA17:AA30 AG17:AG31 AM17:AM31 AS17:AS31 AY17:AY30 BE17:BE30 BK17:BK30 BQ17:BQ30">
    <cfRule type="containsBlanks" dxfId="1" priority="2">
      <formula>LEN(TRIM(C17))=0</formula>
    </cfRule>
  </conditionalFormatting>
  <conditionalFormatting sqref="D11:D15 J11:J15 P11:P15 V11:V15 AB11:AB15 AH11:AH15 AN11:AN15 AT11:AT15 AZ11:AZ15 BF11:BF15 BL11:BL15 BR11:BR15 D17:D31 J17:J31 P17:P31 V17:V31 AB17:AB31 AH17:AH31 AN17:AN111 AT17:AT31 AZ17:AZ111 BF17:BF32 BL17:BL111 BR17:BR31 J105:J115 AT108:AT115 AH109:AH115 V110:V115 AN170:AN191 AZ171:AZ175 BL171:BL175 AZ177:AZ191 BL177:BL191 AN250:AN271 AZ251:AZ255 BL251:BL255 AZ257:AZ271 BL257:BL271 AN330:AN351 AZ331:AZ335 BL331:BL335 AZ337:AZ351 BL337:BL351 AN410:AN431 AZ411:AZ415 BL411:BL415 AZ417:AZ431 BL417:BL431 AN490:AN511 AZ491:AZ495 BL491:BL495 AZ497:AZ511 BL497:BL511 AN570:AN591 AZ571:AZ575 BL571:BL575 AZ577:AZ591 BL577:BL591 AN650:AN671 AZ651:AZ655 BL651:BL655 AZ657:AZ671 BL657:BL671 AN730:AN751 AZ731:AZ735 BL731:BL735 AZ737:AZ751 BL737:BL751 AN810:AN831 AZ811:AZ815 BL811:BL815 AZ817:AZ831 BL817:BL831 AN890:AN911 AZ891:AZ895 BL891:BL895 AZ897:AZ911 BL897:BL911">
    <cfRule type="cellIs" dxfId="2" priority="3" operator="greaterThan">
      <formula>"6 + DAY(TODAY())"</formula>
    </cfRule>
  </conditionalFormatting>
  <conditionalFormatting sqref="B17:D88 E17:E19 F17:F88 H17:J116 L17:L116 N17:P80 R17:R80 T17:V116 X17:X116 Z17:AB89 AD17:AD89 AF17:AH116 AJ17:AJ116 AL17:AN1006 AP17:AP1006 AR17:AT116 AV17:AV116 AX17:AZ1006 BB17:BB1006 BD17:BF129 BH17:BH129 BJ17:BL1006 BN17:BN1006 BP17:BR129 BT17:BT129 E21 AI21 AU21 BG21 BS21 E23:E24 E71">
    <cfRule type="cellIs" dxfId="3" priority="4" operator="equal">
      <formula>"WALKER"</formula>
    </cfRule>
  </conditionalFormatting>
  <conditionalFormatting sqref="C5 I5 O5 U5 AA5 AG5 AM5 AS5 AY5 BE5 BK5 BQ5 AM84 AY85 BK85 I99 AS102 AG103 U104 AM149 AY150 BK150 AM229 AY230 BK230 AM309 AY310 BK310 AM389 AY390 BK390 AM469 AY470 BK470 AM549 AY550 BK550 AM629 AY630 BK630 AM709 AY710 BK710 AM789 AY790 BK790 AM869 AY870 BK870">
    <cfRule type="cellIs" dxfId="4" priority="5" operator="lessThan">
      <formula>0</formula>
    </cfRule>
  </conditionalFormatting>
  <conditionalFormatting sqref="B17:D88 E17:E19 F17:F88 H17:J116 L17:L116 N17:P80 R17:R80 T17:V116 X17:X116 Z17:AB89 AD17:AD89 AF17:AH116 AJ17:AJ116 AL17:AN1006 AP17:AP1006 AR17:AT116 AV17:AV116 AX17:AZ1006 BB17:BB1006 BD17:BF129 BH17:BH129 BJ17:BL1006 BN17:BN1006 BP17:BR129 BT17:BT129 E21 E23:E24 E71">
    <cfRule type="cellIs" dxfId="5" priority="6" operator="equal">
      <formula>"DEA"</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3.38"/>
    <col customWidth="1" min="3" max="3" width="10.25"/>
    <col customWidth="1" min="4" max="4" width="5.13"/>
    <col customWidth="1" min="5" max="5" width="14.13"/>
    <col customWidth="1" min="6" max="6" width="10.25"/>
    <col customWidth="1" min="7" max="7" width="6.5"/>
    <col customWidth="1" min="8" max="8" width="21.0"/>
    <col customWidth="1" min="9" max="9" width="10.25"/>
    <col customWidth="1" min="10" max="10" width="5.13"/>
    <col customWidth="1" min="11" max="11" width="14.13"/>
    <col customWidth="1" min="12" max="12" width="10.25"/>
    <col customWidth="1" min="13" max="13" width="6.5"/>
    <col customWidth="1" min="14" max="14" width="24.5"/>
    <col customWidth="1" min="15" max="15" width="10.25"/>
    <col customWidth="1" min="16" max="16" width="11.75"/>
    <col customWidth="1" min="17" max="17" width="14.13"/>
    <col customWidth="1" min="18" max="18" width="10.25"/>
    <col customWidth="1" min="19" max="19" width="6.5"/>
    <col customWidth="1" min="20" max="20" width="21.0"/>
    <col customWidth="1" min="21" max="21" width="10.25"/>
    <col customWidth="1" min="22" max="22" width="5.13"/>
    <col customWidth="1" min="23" max="23" width="14.13"/>
    <col customWidth="1" min="24" max="24" width="10.25"/>
    <col customWidth="1" min="25" max="25" width="6.5"/>
    <col customWidth="1" min="26" max="26" width="21.63"/>
    <col customWidth="1" min="27" max="27" width="10.25"/>
    <col customWidth="1" min="28" max="28" width="4.63"/>
    <col customWidth="1" min="29" max="29" width="14.13"/>
    <col customWidth="1" min="30" max="30" width="10.25"/>
    <col customWidth="1" min="31" max="31" width="6.5"/>
    <col customWidth="1" min="32" max="32" width="21.0"/>
    <col customWidth="1" min="33" max="33" width="10.25"/>
    <col customWidth="1" min="34" max="34" width="5.13"/>
    <col customWidth="1" min="35" max="35" width="14.13"/>
    <col customWidth="1" min="36" max="36" width="10.25"/>
    <col customWidth="1" min="37" max="37" width="6.5"/>
    <col customWidth="1" min="38" max="38" width="21.63"/>
    <col customWidth="1" min="39" max="39" width="10.25"/>
    <col customWidth="1" min="40" max="40" width="4.63"/>
    <col customWidth="1" min="41" max="41" width="14.13"/>
    <col customWidth="1" min="42" max="42" width="10.25"/>
    <col customWidth="1" min="43" max="43" width="6.5"/>
    <col customWidth="1" min="44" max="44" width="21.0"/>
    <col customWidth="1" min="45" max="45" width="10.25"/>
    <col customWidth="1" min="46" max="46" width="5.13"/>
    <col customWidth="1" min="47" max="47" width="14.13"/>
    <col customWidth="1" min="48" max="48" width="10.25"/>
    <col customWidth="1" min="49" max="49" width="6.5"/>
    <col customWidth="1" min="50" max="50" width="21.63"/>
    <col customWidth="1" min="51" max="51" width="10.25"/>
    <col customWidth="1" min="52" max="52" width="4.63"/>
    <col customWidth="1" min="53" max="53" width="14.13"/>
    <col customWidth="1" min="54" max="54" width="10.25"/>
    <col customWidth="1" min="55" max="55" width="6.5"/>
    <col customWidth="1" min="56" max="56" width="21.0"/>
    <col customWidth="1" min="57" max="57" width="10.25"/>
    <col customWidth="1" min="58" max="58" width="5.13"/>
    <col customWidth="1" min="59" max="59" width="14.13"/>
    <col customWidth="1" min="60" max="60" width="10.25"/>
    <col customWidth="1" min="61" max="61" width="6.5"/>
    <col customWidth="1" min="62" max="62" width="21.63"/>
    <col customWidth="1" min="63" max="63" width="10.25"/>
    <col customWidth="1" min="64" max="64" width="4.63"/>
    <col customWidth="1" min="65" max="65" width="14.13"/>
    <col customWidth="1" min="66" max="66" width="10.25"/>
    <col customWidth="1" min="67" max="67" width="6.5"/>
    <col customWidth="1" min="68" max="68" width="21.0"/>
    <col customWidth="1" min="69" max="69" width="10.25"/>
    <col customWidth="1" min="70" max="70" width="5.13"/>
    <col customWidth="1" min="71" max="71" width="14.13"/>
    <col customWidth="1" min="72" max="72" width="10.25"/>
    <col customWidth="1" min="73" max="73" width="6.5"/>
  </cols>
  <sheetData>
    <row r="1">
      <c r="A1" s="1"/>
      <c r="B1" s="2" t="s">
        <v>0</v>
      </c>
      <c r="G1" s="1"/>
      <c r="H1" s="3" t="s">
        <v>1</v>
      </c>
      <c r="M1" s="1"/>
      <c r="N1" s="2" t="s">
        <v>2</v>
      </c>
      <c r="S1" s="1"/>
      <c r="T1" s="3" t="s">
        <v>3</v>
      </c>
      <c r="Y1" s="1"/>
      <c r="Z1" s="2" t="s">
        <v>4</v>
      </c>
      <c r="AE1" s="1"/>
      <c r="AF1" s="3" t="s">
        <v>5</v>
      </c>
      <c r="AK1" s="1"/>
      <c r="AL1" s="2" t="s">
        <v>6</v>
      </c>
      <c r="AQ1" s="1"/>
      <c r="AR1" s="3" t="s">
        <v>7</v>
      </c>
      <c r="AW1" s="1"/>
      <c r="AX1" s="2" t="s">
        <v>8</v>
      </c>
      <c r="BC1" s="1"/>
      <c r="BD1" s="3" t="s">
        <v>9</v>
      </c>
      <c r="BI1" s="1"/>
      <c r="BJ1" s="2" t="s">
        <v>10</v>
      </c>
      <c r="BO1" s="1"/>
      <c r="BP1" s="3" t="s">
        <v>11</v>
      </c>
      <c r="BU1" s="4"/>
    </row>
    <row r="2" ht="38.25" customHeight="1">
      <c r="A2" s="1"/>
      <c r="B2" s="2"/>
      <c r="C2" s="2" t="s">
        <v>12</v>
      </c>
      <c r="D2" s="5" t="s">
        <v>13</v>
      </c>
      <c r="E2" s="2" t="s">
        <v>14</v>
      </c>
      <c r="F2" s="6" t="s">
        <v>134</v>
      </c>
      <c r="G2" s="1"/>
      <c r="H2" s="3"/>
      <c r="I2" s="3" t="s">
        <v>12</v>
      </c>
      <c r="J2" s="7" t="s">
        <v>13</v>
      </c>
      <c r="K2" s="3" t="s">
        <v>14</v>
      </c>
      <c r="L2" s="8" t="s">
        <v>135</v>
      </c>
      <c r="M2" s="1"/>
      <c r="N2" s="2"/>
      <c r="O2" s="2" t="s">
        <v>12</v>
      </c>
      <c r="P2" s="5" t="s">
        <v>13</v>
      </c>
      <c r="Q2" s="2" t="s">
        <v>14</v>
      </c>
      <c r="R2" s="6" t="s">
        <v>136</v>
      </c>
      <c r="S2" s="1"/>
      <c r="T2" s="3"/>
      <c r="U2" s="3" t="s">
        <v>12</v>
      </c>
      <c r="V2" s="7" t="s">
        <v>13</v>
      </c>
      <c r="W2" s="3" t="s">
        <v>14</v>
      </c>
      <c r="X2" s="8" t="s">
        <v>137</v>
      </c>
      <c r="Y2" s="1"/>
      <c r="Z2" s="2"/>
      <c r="AA2" s="2" t="s">
        <v>12</v>
      </c>
      <c r="AB2" s="5" t="s">
        <v>13</v>
      </c>
      <c r="AC2" s="2" t="s">
        <v>14</v>
      </c>
      <c r="AD2" s="6" t="s">
        <v>138</v>
      </c>
      <c r="AE2" s="1"/>
      <c r="AF2" s="3"/>
      <c r="AG2" s="3" t="s">
        <v>12</v>
      </c>
      <c r="AH2" s="7" t="s">
        <v>13</v>
      </c>
      <c r="AI2" s="3" t="s">
        <v>14</v>
      </c>
      <c r="AJ2" s="8" t="s">
        <v>139</v>
      </c>
      <c r="AK2" s="1"/>
      <c r="AL2" s="2"/>
      <c r="AM2" s="2" t="s">
        <v>12</v>
      </c>
      <c r="AN2" s="5" t="s">
        <v>13</v>
      </c>
      <c r="AO2" s="2" t="s">
        <v>14</v>
      </c>
      <c r="AP2" s="6" t="s">
        <v>140</v>
      </c>
      <c r="AQ2" s="1"/>
      <c r="AR2" s="3"/>
      <c r="AS2" s="3" t="s">
        <v>12</v>
      </c>
      <c r="AT2" s="7" t="s">
        <v>13</v>
      </c>
      <c r="AU2" s="3" t="s">
        <v>14</v>
      </c>
      <c r="AV2" s="8" t="s">
        <v>141</v>
      </c>
      <c r="AW2" s="1"/>
      <c r="AX2" s="2"/>
      <c r="AY2" s="2" t="s">
        <v>12</v>
      </c>
      <c r="AZ2" s="5" t="s">
        <v>13</v>
      </c>
      <c r="BA2" s="2" t="s">
        <v>14</v>
      </c>
      <c r="BB2" s="6" t="s">
        <v>142</v>
      </c>
      <c r="BC2" s="1"/>
      <c r="BD2" s="3"/>
      <c r="BE2" s="3" t="s">
        <v>12</v>
      </c>
      <c r="BF2" s="7" t="s">
        <v>13</v>
      </c>
      <c r="BG2" s="3" t="s">
        <v>14</v>
      </c>
      <c r="BH2" s="8" t="s">
        <v>143</v>
      </c>
      <c r="BI2" s="1"/>
      <c r="BJ2" s="2"/>
      <c r="BK2" s="2" t="s">
        <v>12</v>
      </c>
      <c r="BL2" s="5" t="s">
        <v>13</v>
      </c>
      <c r="BM2" s="2" t="s">
        <v>14</v>
      </c>
      <c r="BN2" s="6" t="s">
        <v>144</v>
      </c>
      <c r="BO2" s="1"/>
      <c r="BP2" s="3"/>
      <c r="BQ2" s="3" t="s">
        <v>12</v>
      </c>
      <c r="BR2" s="7" t="s">
        <v>13</v>
      </c>
      <c r="BS2" s="3" t="s">
        <v>14</v>
      </c>
      <c r="BT2" s="8" t="s">
        <v>145</v>
      </c>
      <c r="BU2" s="4"/>
    </row>
    <row r="3">
      <c r="A3" s="1"/>
      <c r="B3" s="9" t="s">
        <v>27</v>
      </c>
      <c r="C3" s="10">
        <f>SUMIF(E17:E100,"WALKER",C17:C100)</f>
        <v>62114.94</v>
      </c>
      <c r="D3" s="11">
        <f>sumif(F17:F100, "WALKER", C17:C100)</f>
        <v>83548.72</v>
      </c>
      <c r="E3" s="12" t="s">
        <v>28</v>
      </c>
      <c r="F3" s="13">
        <f>C7+C8- (C10 - D3)</f>
        <v>0</v>
      </c>
      <c r="G3" s="1"/>
      <c r="H3" s="9" t="s">
        <v>27</v>
      </c>
      <c r="I3" s="10">
        <f>SUMIF(K17:K115,"WALKER",I17:I115)</f>
        <v>17183.49</v>
      </c>
      <c r="J3" s="11">
        <f>sumif(L17:L115, "WALKER", I17:I115)</f>
        <v>40848.8</v>
      </c>
      <c r="K3" s="14" t="s">
        <v>28</v>
      </c>
      <c r="L3" s="13">
        <f>I7+I8- (I10 - J3)</f>
        <v>0</v>
      </c>
      <c r="M3" s="1"/>
      <c r="N3" s="9" t="s">
        <v>27</v>
      </c>
      <c r="O3" s="10">
        <f>SUMIF(Q17:Q79,"WALKER",O17:O79)</f>
        <v>15679.05</v>
      </c>
      <c r="P3" s="11">
        <f>sumif(R17:R79, "WALKER", O17:O79)</f>
        <v>28070.87</v>
      </c>
      <c r="Q3" s="12" t="s">
        <v>28</v>
      </c>
      <c r="R3" s="13">
        <f>O7+O8- (O10 - P3)</f>
        <v>0</v>
      </c>
      <c r="S3" s="1"/>
      <c r="T3" s="9" t="s">
        <v>27</v>
      </c>
      <c r="U3" s="10">
        <f>SUMIF(W17:W115,"WALKER",U17:U115)</f>
        <v>22420</v>
      </c>
      <c r="V3" s="11">
        <f>sumif(X17:X115, "WALKER", U17:U115)</f>
        <v>38278.31</v>
      </c>
      <c r="W3" s="14" t="s">
        <v>28</v>
      </c>
      <c r="X3" s="13">
        <f>U7+U8- (U10 - V3)</f>
        <v>0</v>
      </c>
      <c r="Y3" s="1"/>
      <c r="Z3" s="9" t="s">
        <v>27</v>
      </c>
      <c r="AA3" s="10">
        <f>SUMIF(AC17:AC100,"WALKER",AA17:AA100)</f>
        <v>14902.76</v>
      </c>
      <c r="AB3" s="11">
        <f>sumif(AD17:AD100, "WALKER", AA17:AA100)</f>
        <v>30926.13</v>
      </c>
      <c r="AC3" s="12" t="s">
        <v>28</v>
      </c>
      <c r="AD3" s="13">
        <f>AA7+AA8- (AA10 - AB3)</f>
        <v>0</v>
      </c>
      <c r="AE3" s="1"/>
      <c r="AF3" s="9" t="s">
        <v>27</v>
      </c>
      <c r="AG3" s="10">
        <f>SUMIF(AI17:AI114,"WALKER",AG17:AG114)</f>
        <v>19316.28</v>
      </c>
      <c r="AH3" s="11">
        <f>sumif(AJ17:AJ114, "WALKER", AG17:AG114)</f>
        <v>36564.43</v>
      </c>
      <c r="AI3" s="14" t="s">
        <v>28</v>
      </c>
      <c r="AJ3" s="13">
        <f>AG7+AG8- (AG10 - AH3)</f>
        <v>199.4</v>
      </c>
      <c r="AK3" s="1"/>
      <c r="AL3" s="9" t="s">
        <v>27</v>
      </c>
      <c r="AM3" s="10">
        <f>SUMIF(AO17:AO149,"WALKER",AM17:AM149)</f>
        <v>42641.42</v>
      </c>
      <c r="AN3" s="11">
        <f>sumif(AP17:AP149, "WALKER", AM17:AM149)</f>
        <v>59089.07</v>
      </c>
      <c r="AO3" s="12" t="s">
        <v>28</v>
      </c>
      <c r="AP3" s="13">
        <f>AM7+AM8- (AM10 - AN3)</f>
        <v>0</v>
      </c>
      <c r="AQ3" s="1"/>
      <c r="AR3" s="9" t="s">
        <v>27</v>
      </c>
      <c r="AS3" s="10">
        <f>SUMIF(AU17:AU113,"WALKER",AS17:AS113)</f>
        <v>20114.73</v>
      </c>
      <c r="AT3" s="11">
        <f>sumif(AV17:AV113, "WALKER", AS17:AS113)</f>
        <v>36866.39</v>
      </c>
      <c r="AU3" s="14" t="s">
        <v>28</v>
      </c>
      <c r="AV3" s="13">
        <f>AS7+AS8- (AS10 - AT3)</f>
        <v>1500</v>
      </c>
      <c r="AW3" s="1"/>
      <c r="AX3" s="9" t="s">
        <v>27</v>
      </c>
      <c r="AY3" s="10">
        <f>SUMIF(BA17:BA100,"WALKER",AY17:AY100)</f>
        <v>16582.34</v>
      </c>
      <c r="AZ3" s="11">
        <f>sumif(BB17:BB100, "WALKER", AY17:AY100)</f>
        <v>35375.01</v>
      </c>
      <c r="BA3" s="12" t="s">
        <v>28</v>
      </c>
      <c r="BB3" s="13">
        <f>AY7+AY8- (AY10 - AZ3)</f>
        <v>0</v>
      </c>
      <c r="BC3" s="1"/>
      <c r="BD3" s="9" t="s">
        <v>27</v>
      </c>
      <c r="BE3" s="10">
        <f>SUMIF(BG17:BG114,"WALKER",BE17:BE114)</f>
        <v>15409.1</v>
      </c>
      <c r="BF3" s="11">
        <f>sumif(BH17:BH114, "WALKER", BE17:BE114)</f>
        <v>36662.13</v>
      </c>
      <c r="BG3" s="14" t="s">
        <v>28</v>
      </c>
      <c r="BH3" s="13">
        <f>BE7+BE8- (BE10 - BF3)</f>
        <v>2320</v>
      </c>
      <c r="BI3" s="1"/>
      <c r="BJ3" s="9" t="s">
        <v>27</v>
      </c>
      <c r="BK3" s="10">
        <f>SUMIF(BM17:BM79,"WALKER",BK17:BK79)</f>
        <v>14962.17</v>
      </c>
      <c r="BL3" s="11">
        <f>sumif(BN17:BN120, "WALKER", BK17:BK120)</f>
        <v>34509.75</v>
      </c>
      <c r="BM3" s="12" t="s">
        <v>28</v>
      </c>
      <c r="BN3" s="13">
        <f>BK7+BK8- (BK10 - BL3)</f>
        <v>0</v>
      </c>
      <c r="BO3" s="1"/>
      <c r="BP3" s="9" t="s">
        <v>27</v>
      </c>
      <c r="BQ3" s="10">
        <f>SUMIF(BS17:BS111,"WALKER",BQ17:BQ111)</f>
        <v>15004.4</v>
      </c>
      <c r="BR3" s="11">
        <f>sumif(BT17:BT111, "WALKER", BQ17:BQ111)</f>
        <v>32222.08</v>
      </c>
      <c r="BS3" s="14" t="s">
        <v>28</v>
      </c>
      <c r="BT3" s="13">
        <f>BQ7+BQ8- (BQ10 - BR3)</f>
        <v>0</v>
      </c>
      <c r="BU3" s="4"/>
    </row>
    <row r="4">
      <c r="A4" s="1"/>
      <c r="B4" s="9" t="s">
        <v>29</v>
      </c>
      <c r="C4" s="15">
        <f>SUMIF(E17:E100, "WALKER",C17:C100) + 0.6 * SUMIF(E17:E100, "AMBOS",C17:C100) + 0.4 * SUMIF(E17:E100, "AMBOS_I",C17:C100) </f>
        <v>76175.442</v>
      </c>
      <c r="E4" s="12" t="s">
        <v>30</v>
      </c>
      <c r="G4" s="1"/>
      <c r="H4" s="9" t="s">
        <v>29</v>
      </c>
      <c r="I4" s="15">
        <f>SUMIF(K17:K115, "WALKER",I17:I115) + 0.6 * SUMIF(K17:K115, "AMBOS",I17:I115) + 0.4 * SUMIF(K17:K115, "AMBOS_I",I17:I115) </f>
        <v>33010.374</v>
      </c>
      <c r="K4" s="14" t="s">
        <v>30</v>
      </c>
      <c r="M4" s="1"/>
      <c r="N4" s="9" t="s">
        <v>29</v>
      </c>
      <c r="O4" s="15">
        <f>SUMIF(Q17:Q79, "WALKER",O17:O79) + 0.6 * SUMIF(Q17:Q79, "AMBOS",O17:O79) + 0.4 * SUMIF(Q17:Q79, "AMBOS_I",O17:O79) </f>
        <v>24839.424</v>
      </c>
      <c r="Q4" s="12" t="s">
        <v>30</v>
      </c>
      <c r="S4" s="1"/>
      <c r="T4" s="9" t="s">
        <v>29</v>
      </c>
      <c r="U4" s="15">
        <f>SUMIF(W17:W115, "WALKER",U17:U115) + 0.6 * SUMIF(W17:W115, "AMBOS",U17:U115) + 0.4 * SUMIF(W17:W115, "AMBOS_I",U17:U115) </f>
        <v>33480.412</v>
      </c>
      <c r="W4" s="14" t="s">
        <v>30</v>
      </c>
      <c r="Y4" s="1"/>
      <c r="Z4" s="9" t="s">
        <v>29</v>
      </c>
      <c r="AA4" s="15">
        <f>SUMIF(AC17:AC100, "WALKER",AA17:AA100) + 0.6 * SUMIF(AC17:AC100, "AMBOS",AA17:AA100) + 0.4 * SUMIF(AC17:AC100, "AMBOS_I",AA17:AA100) </f>
        <v>26313.314</v>
      </c>
      <c r="AC4" s="12" t="s">
        <v>30</v>
      </c>
      <c r="AE4" s="1"/>
      <c r="AF4" s="9" t="s">
        <v>29</v>
      </c>
      <c r="AG4" s="15">
        <f>SUMIF(AI17:AI114, "WALKER",AG17:AG114) + 0.6 * SUMIF(AI17:AI114, "AMBOS",AG17:AG114) + 0.4 * SUMIF(AI17:AI114, "AMBOS_I",AG17:AG114) </f>
        <v>31294.788</v>
      </c>
      <c r="AI4" s="14" t="s">
        <v>30</v>
      </c>
      <c r="AK4" s="1"/>
      <c r="AL4" s="9" t="s">
        <v>29</v>
      </c>
      <c r="AM4" s="15">
        <f>SUMIF(AO17:AO149, "WALKER",AM17:AM149) + 0.6 * SUMIF(AO17:AO149, "AMBOS",AM17:AM149) + 0.4 * SUMIF(AO17:AO149, "AMBOS_I",AM17:AM149) </f>
        <v>55059.878</v>
      </c>
      <c r="AO4" s="12" t="s">
        <v>30</v>
      </c>
      <c r="AQ4" s="1"/>
      <c r="AR4" s="9" t="s">
        <v>29</v>
      </c>
      <c r="AS4" s="15">
        <f>SUMIF(AU17:AU113, "WALKER",AS17:AS113) + 0.6 * SUMIF(AU17:AU113, "AMBOS",AS17:AS113) + 0.4 * SUMIF(AU17:AU113, "AMBOS_I",AS17:AS113) </f>
        <v>32051.88</v>
      </c>
      <c r="AU4" s="14" t="s">
        <v>30</v>
      </c>
      <c r="AW4" s="1"/>
      <c r="AX4" s="9" t="s">
        <v>29</v>
      </c>
      <c r="AY4" s="15">
        <f>SUMIF(BA17:BA100, "WALKER",AY17:AY100) + 0.6 * SUMIF(BA17:BA100, "AMBOS",AY17:AY100) + 0.4 * SUMIF(BA17:BA100, "AMBOS_I",AY17:AY100) </f>
        <v>29456.54</v>
      </c>
      <c r="BA4" s="12" t="s">
        <v>30</v>
      </c>
      <c r="BC4" s="1"/>
      <c r="BD4" s="9" t="s">
        <v>29</v>
      </c>
      <c r="BE4" s="15">
        <f>SUMIF(BG17:BG114, "WALKER",BE17:BE114) + 0.6 * SUMIF(BG17:BG114, "AMBOS",BE17:BE114) + 0.4 * SUMIF(BG17:BG114, "AMBOS_I",BE17:BE114) </f>
        <v>29357.468</v>
      </c>
      <c r="BG4" s="14" t="s">
        <v>30</v>
      </c>
      <c r="BI4" s="1"/>
      <c r="BJ4" s="9" t="s">
        <v>29</v>
      </c>
      <c r="BK4" s="15">
        <f>SUMIF(BM17:BM120, "WALKER",BK17:BK120) + 0.6 * SUMIF(BM17:BM120, "AMBOS",BK17:BK120) + 0.4 * SUMIF(BM17:BM120, "AMBOS_I",BK17:BK120) </f>
        <v>26512.862</v>
      </c>
      <c r="BM4" s="12" t="s">
        <v>30</v>
      </c>
      <c r="BO4" s="1"/>
      <c r="BP4" s="9" t="s">
        <v>29</v>
      </c>
      <c r="BQ4" s="15">
        <f>SUMIF(BS17:BS111, "WALKER",BQ17:BQ111) + 0.6 * SUMIF(BS17:BS111, "AMBOS",BQ17:BQ111) + 0.4 * SUMIF(BS17:BS111, "AMBOS_I",BQ17:BQ111) </f>
        <v>26660.716</v>
      </c>
      <c r="BS4" s="14" t="s">
        <v>30</v>
      </c>
      <c r="BU4" s="4"/>
    </row>
    <row r="5">
      <c r="A5" s="1"/>
      <c r="B5" s="16" t="s">
        <v>31</v>
      </c>
      <c r="C5" s="17">
        <f>SUMIFS(C17:C100,E17:E100, "DEA",F17:F100, "WALKER") + 0.4*SUMIFS(C17:C100,E17:E100,"AMBOS",F17:F100, "WALKER") + 0.6*SUMIFS(C17:C100,E17:E100,"AMBOS_I",F17:F100, "WALKER") - (SUMIFS(C17:C100,E17:E100,"WALKER",F17:F100, "DEA") + 0.6*SUMIFS(C17:C100,E17:E100,"AMBOS",F17:F100, "DEA") + 0.4*SUMIFS(C17:C100,E17:E100,"AMBOS_I",F17:F100, "DEA"))</f>
        <v>7373.278</v>
      </c>
      <c r="E5" s="12" t="s">
        <v>32</v>
      </c>
      <c r="G5" s="1"/>
      <c r="H5" s="16" t="s">
        <v>31</v>
      </c>
      <c r="I5" s="17">
        <f>SUMIFS(I17:I115,K17:K115, "DEA",L17:L115, "WALKER") + 0.4*SUMIFS(I17:I115,K17:K115,"AMBOS",L17:L115, "WALKER") + 0.6*SUMIFS(I17:I115,K17:K115,"AMBOS_I",L17:L115, "WALKER") - (SUMIFS(I17:I115,K17:K115,"WALKER",L17:L115, "DEA") + 0.6*SUMIFS(I17:I115,K17:K115,"AMBOS",L17:L115, "DEA") + 0.4*SUMIFS(I17:I115,K17:K115,"AMBOS_I",L17:L115, "DEA"))</f>
        <v>7838.426</v>
      </c>
      <c r="K5" s="14" t="s">
        <v>32</v>
      </c>
      <c r="M5" s="1"/>
      <c r="N5" s="16" t="s">
        <v>31</v>
      </c>
      <c r="O5" s="17">
        <f>SUMIFS(O17:O79,Q17:Q79, "DEA",R17:R79, "WALKER") + 0.4*SUMIFS(O17:O79,Q17:Q79,"AMBOS",R17:R79, "WALKER") + 0.6*SUMIFS(O17:O79,Q17:Q79,"AMBOS_I",R17:R79, "WALKER") - (SUMIFS(O17:O79,Q17:Q79,"WALKER",R17:R79, "DEA") + 0.6*SUMIFS(O17:O79,Q17:Q79,"AMBOS",R17:R79, "DEA") + 0.4*SUMIFS(O17:O79,Q17:Q79,"AMBOS_I",R17:R79, "DEA"))</f>
        <v>3231.446</v>
      </c>
      <c r="Q5" s="12" t="s">
        <v>32</v>
      </c>
      <c r="S5" s="1"/>
      <c r="T5" s="16" t="s">
        <v>31</v>
      </c>
      <c r="U5" s="17">
        <f>SUMIFS(U17:U115,W17:W115, "DEA",X17:X115, "WALKER") + 0.4*SUMIFS(U17:U115,W17:W115,"AMBOS",X17:X115, "WALKER") + 0.6*SUMIFS(U17:U115,W17:W115,"AMBOS_I",X17:X115, "WALKER") - (SUMIFS(U17:U115,W17:W115,"WALKER",X17:X115, "DEA") + 0.6*SUMIFS(U17:U115,W17:W115,"AMBOS",X17:X115, "DEA") + 0.4*SUMIFS(U17:U115,W17:W115,"AMBOS_I",X17:X115, "DEA"))</f>
        <v>4797.898</v>
      </c>
      <c r="W5" s="14" t="s">
        <v>32</v>
      </c>
      <c r="Y5" s="1"/>
      <c r="Z5" s="16" t="s">
        <v>31</v>
      </c>
      <c r="AA5" s="17">
        <f>SUMIFS(AA17:AA100,AC17:AC100, "DEA",AD17:AD100, "WALKER") + 0.4*SUMIFS(AA17:AA100,AC17:AC100,"AMBOS",AD17:AD100, "WALKER") + 0.6*SUMIFS(AA17:AA100,AC17:AC100,"AMBOS_I",AD17:AD100, "WALKER") - (SUMIFS(AA17:AA100,AC17:AC100,"WALKER",AD17:AD100, "DEA") + 0.6*SUMIFS(AA17:AA100,AC17:AC100,"AMBOS",AD17:AD100, "DEA") + 0.4*SUMIFS(AA17:AA100,AC17:AC100,"AMBOS_I",AD17:AD100, "DEA"))</f>
        <v>4612.816</v>
      </c>
      <c r="AC5" s="12" t="s">
        <v>32</v>
      </c>
      <c r="AE5" s="1"/>
      <c r="AF5" s="16" t="s">
        <v>31</v>
      </c>
      <c r="AG5" s="17">
        <f>SUMIFS(AG17:AG114,AI17:AI114, "DEA",AJ17:AJ114, "WALKER") + 0.4*SUMIFS(AG17:AG114,AI17:AI114,"AMBOS",AJ17:AJ114, "WALKER") + 0.6*SUMIFS(AG17:AG114,AI17:AI114,"AMBOS_I",AJ17:AJ114, "WALKER") - (SUMIFS(AG17:AG114,AI17:AI114,"WALKER",AJ17:AJ114, "DEA") + 0.6*SUMIFS(AG17:AG114,AI17:AI114,"AMBOS",AJ17:AJ114, "DEA") + 0.4*SUMIFS(AG17:AG114,AI17:AI114,"AMBOS_I",AJ17:AJ114, "DEA"))</f>
        <v>5269.642</v>
      </c>
      <c r="AI5" s="14" t="s">
        <v>32</v>
      </c>
      <c r="AK5" s="1"/>
      <c r="AL5" s="16" t="s">
        <v>31</v>
      </c>
      <c r="AM5" s="17">
        <f>SUMIFS(AM17:AM149,AO17:AO149, "DEA",AP17:AP149, "WALKER") + 0.4*SUMIFS(AM17:AM149,AO17:AO149,"AMBOS",AP17:AP149, "WALKER") + 0.6*SUMIFS(AM17:AM149,AO17:AO149,"AMBOS_I",AP17:AP149, "WALKER") - (SUMIFS(AM17:AM149,AO17:AO149,"WALKER",AP17:AP149, "DEA") + 0.6*SUMIFS(AM17:AM149,AO17:AO149,"AMBOS",AP17:AP149, "DEA") + 0.4*SUMIFS(AM17:AM149,AO17:AO149,"AMBOS_I",AP17:AP149, "DEA"))</f>
        <v>3889.192</v>
      </c>
      <c r="AO5" s="12" t="s">
        <v>32</v>
      </c>
      <c r="AQ5" s="1"/>
      <c r="AR5" s="16" t="s">
        <v>31</v>
      </c>
      <c r="AS5" s="17">
        <f>SUMIFS(AS17:AS113,AU17:AU113, "DEA",AV17:AV113, "WALKER") + 0.4*SUMIFS(AS17:AS113,AU17:AU113,"AMBOS",AV17:AV113, "WALKER") + 0.6*SUMIFS(AS17:AS113,AU17:AU113,"AMBOS_I",AV17:AV113, "WALKER") - (SUMIFS(AS17:AS113,AU17:AU113,"WALKER",AV17:AV113, "DEA") + 0.6*SUMIFS(AS17:AS113,AU17:AU113,"AMBOS",AV17:AV113, "DEA") + 0.4*SUMIFS(AS17:AS113,AU17:AU113,"AMBOS_I",AV17:AV113, "DEA"))</f>
        <v>4814.51</v>
      </c>
      <c r="AU5" s="14" t="s">
        <v>32</v>
      </c>
      <c r="AW5" s="1"/>
      <c r="AX5" s="16" t="s">
        <v>31</v>
      </c>
      <c r="AY5" s="17">
        <f>SUMIFS(AY17:AY100,BA17:BA100, "DEA",BB17:BB100, "WALKER") + 0.4*SUMIFS(AY17:AY100,BA17:BA100,"AMBOS",BB17:BB100, "WALKER") + 0.6*SUMIFS(AY17:AY100,BA17:BA100,"AMBOS_I",BB17:BB100, "WALKER") - (SUMIFS(AY17:AY100,BA17:BA100,"WALKER",BB17:BB100, "DEA") + 0.6*SUMIFS(AY17:AY100,BA17:BA100,"AMBOS",BB17:BB100, "DEA") + 0.4*SUMIFS(AY17:AY79,BA17:BA79,"AMBOS_I",BB17:BB79, "DEA"))</f>
        <v>5918.47</v>
      </c>
      <c r="BA5" s="12" t="s">
        <v>32</v>
      </c>
      <c r="BC5" s="1"/>
      <c r="BD5" s="16" t="s">
        <v>31</v>
      </c>
      <c r="BE5" s="17">
        <f>SUMIFS(BE17:BE114,BG17:BG114, "DEA",BH17:BH114, "WALKER") + 0.4*SUMIFS(BE17:BE114,BG17:BG114,"AMBOS",BH17:BH114, "WALKER") + 0.6*SUMIFS(BE17:BE114,BG17:BG114,"AMBOS_I",BH17:BH114, "WALKER") - (SUMIFS(BE17:BE114,BG17:BG114,"WALKER",BH17:BH114, "DEA") + 0.6*SUMIFS(BE17:BE114,BG17:BG114,"AMBOS",BH17:BH114, "DEA") + 0.4*SUMIFS(BE17:BE114,BG17:BG114,"AMBOS_I",BH17:BH114, "DEA"))</f>
        <v>7304.662</v>
      </c>
      <c r="BG5" s="14" t="s">
        <v>32</v>
      </c>
      <c r="BI5" s="1"/>
      <c r="BJ5" s="16" t="s">
        <v>31</v>
      </c>
      <c r="BK5" s="18">
        <f>SUMIFS(BK17:BK113,BM17:BM113, "DEA",BN17:BN113, "WALKER") + 0.4*SUMIFS(BK17:BK113,BM17:BM113,"AMBOS",BN17:BN113, "WALKER") + 0.6*SUMIFS(BK17:BK113,BM17:BM113,"AMBOS_I",BN17:BN113, "WALKER") - (SUMIFS(BK17:BK113,BM17:BM113,"WALKER",BN17:BN113, "DEA") + 0.6*SUMIFS(BK17:BK113,BM17:BM113,"AMBOS",BN17:BN113, "DEA") + 0.4*SUMIFS(BK17:BK113,BM17:BM113,"AMBOS_I",BN17:BN113, "DEA"))</f>
        <v>7996.888</v>
      </c>
      <c r="BM5" s="12" t="s">
        <v>32</v>
      </c>
      <c r="BO5" s="1"/>
      <c r="BP5" s="16" t="s">
        <v>31</v>
      </c>
      <c r="BQ5" s="17">
        <f>SUMIFS(BQ17:BQ111,BS17:BS111, "DEA",BT17:BT111, "WALKER") + 0.4*SUMIFS(BQ17:BQ111,BS17:BS111,"AMBOS",BT17:BT111, "WALKER") + 0.6*SUMIFS(BQ17:BQ111,BS17:BS111,"AMBOS_I",BT17:BT111, "WALKER") - (SUMIFS(BQ17:BQ111,BS17:BS111,"WALKER",BT17:BT111, "DEA") + 0.6*SUMIFS(BQ17:BQ111,BS17:BS111,"AMBOS",BT17:BT111, "DEA") + 0.4*SUMIFS(BQ17:BQ111,BS17:BS111,"AMBOS_I",BT17:BT111, "DEA"))</f>
        <v>5561.364</v>
      </c>
      <c r="BS5" s="14" t="s">
        <v>32</v>
      </c>
      <c r="BU5" s="4"/>
    </row>
    <row r="6">
      <c r="A6" s="1"/>
      <c r="B6" s="9" t="s">
        <v>33</v>
      </c>
      <c r="C6" s="19">
        <f>C10-C4</f>
        <v>-105.832</v>
      </c>
      <c r="E6" s="12" t="s">
        <v>34</v>
      </c>
      <c r="G6" s="1"/>
      <c r="H6" s="9" t="s">
        <v>33</v>
      </c>
      <c r="I6" s="19">
        <f>I10-I4</f>
        <v>9541.316</v>
      </c>
      <c r="K6" s="14" t="s">
        <v>34</v>
      </c>
      <c r="M6" s="1"/>
      <c r="N6" s="9" t="s">
        <v>33</v>
      </c>
      <c r="O6" s="19">
        <f>O10-O4</f>
        <v>2661.996</v>
      </c>
      <c r="Q6" s="12" t="s">
        <v>34</v>
      </c>
      <c r="S6" s="1"/>
      <c r="T6" s="9" t="s">
        <v>33</v>
      </c>
      <c r="U6" s="19">
        <f>U10-U4</f>
        <v>5000.128</v>
      </c>
      <c r="W6" s="14" t="s">
        <v>34</v>
      </c>
      <c r="Y6" s="1"/>
      <c r="Z6" s="9" t="s">
        <v>33</v>
      </c>
      <c r="AA6" s="19">
        <f>AA10-AA4</f>
        <v>-2152.574</v>
      </c>
      <c r="AC6" s="12" t="s">
        <v>34</v>
      </c>
      <c r="AE6" s="1"/>
      <c r="AF6" s="9" t="s">
        <v>33</v>
      </c>
      <c r="AG6" s="19">
        <f>AG10-AG4-AG5</f>
        <v>24030.53</v>
      </c>
      <c r="AI6" s="14" t="s">
        <v>34</v>
      </c>
      <c r="AK6" s="1"/>
      <c r="AL6" s="9" t="s">
        <v>33</v>
      </c>
      <c r="AM6" s="19">
        <f>AM10-AM4</f>
        <v>-1840.308</v>
      </c>
      <c r="AO6" s="12" t="s">
        <v>34</v>
      </c>
      <c r="AQ6" s="1"/>
      <c r="AR6" s="9" t="s">
        <v>33</v>
      </c>
      <c r="AS6" s="19">
        <f>AS10-AS4</f>
        <v>-5282.54</v>
      </c>
      <c r="AU6" s="14" t="s">
        <v>34</v>
      </c>
      <c r="AW6" s="1"/>
      <c r="AX6" s="9" t="s">
        <v>33</v>
      </c>
      <c r="AY6" s="19">
        <f>AY10-AY4</f>
        <v>-1563.8</v>
      </c>
      <c r="BA6" s="12" t="s">
        <v>34</v>
      </c>
      <c r="BC6" s="1"/>
      <c r="BD6" s="9" t="s">
        <v>33</v>
      </c>
      <c r="BE6" s="19">
        <f>BE10-BE4</f>
        <v>-635.258</v>
      </c>
      <c r="BG6" s="14" t="s">
        <v>34</v>
      </c>
      <c r="BI6" s="1"/>
      <c r="BJ6" s="9" t="s">
        <v>33</v>
      </c>
      <c r="BK6" s="19">
        <f>BK10-BK4</f>
        <v>4456.608</v>
      </c>
      <c r="BM6" s="12" t="s">
        <v>34</v>
      </c>
      <c r="BO6" s="1"/>
      <c r="BP6" s="9" t="s">
        <v>33</v>
      </c>
      <c r="BQ6" s="19">
        <f>BQ10-BQ4</f>
        <v>1996.104</v>
      </c>
      <c r="BS6" s="14" t="s">
        <v>34</v>
      </c>
      <c r="BU6" s="4"/>
    </row>
    <row r="7">
      <c r="A7" s="1"/>
      <c r="B7" s="20" t="s">
        <v>36</v>
      </c>
      <c r="C7" s="21">
        <v>-7479.11</v>
      </c>
      <c r="E7" s="22"/>
      <c r="G7" s="1"/>
      <c r="H7" s="20" t="s">
        <v>36</v>
      </c>
      <c r="I7" s="21">
        <v>1002.89</v>
      </c>
      <c r="K7" s="23"/>
      <c r="M7" s="1"/>
      <c r="N7" s="20" t="s">
        <v>36</v>
      </c>
      <c r="O7" s="21">
        <v>-569.45</v>
      </c>
      <c r="Q7" s="22"/>
      <c r="S7" s="1"/>
      <c r="T7" s="20" t="s">
        <v>36</v>
      </c>
      <c r="U7" s="21">
        <v>202.23</v>
      </c>
      <c r="W7" s="23"/>
      <c r="Y7" s="1"/>
      <c r="Z7" s="20" t="s">
        <v>36</v>
      </c>
      <c r="AA7" s="21">
        <v>-6886.39</v>
      </c>
      <c r="AC7" s="22"/>
      <c r="AE7" s="1"/>
      <c r="AF7" s="20" t="s">
        <v>37</v>
      </c>
      <c r="AG7" s="21">
        <v>24229.93</v>
      </c>
      <c r="AI7" s="23"/>
      <c r="AK7" s="1"/>
      <c r="AL7" s="20" t="s">
        <v>35</v>
      </c>
      <c r="AM7" s="21">
        <v>-6158.5</v>
      </c>
      <c r="AO7" s="22"/>
      <c r="AQ7" s="1"/>
      <c r="AR7" s="20" t="s">
        <v>35</v>
      </c>
      <c r="AS7" s="21">
        <v>-8737.05</v>
      </c>
      <c r="AU7" s="23"/>
      <c r="AW7" s="1"/>
      <c r="AX7" s="20" t="s">
        <v>35</v>
      </c>
      <c r="AY7" s="21">
        <v>-8284.27</v>
      </c>
      <c r="BA7" s="22"/>
      <c r="BC7" s="1"/>
      <c r="BD7" s="20" t="s">
        <v>35</v>
      </c>
      <c r="BE7" s="21">
        <v>-6246.92</v>
      </c>
      <c r="BG7" s="23"/>
      <c r="BI7" s="1"/>
      <c r="BJ7" s="20" t="s">
        <v>35</v>
      </c>
      <c r="BK7" s="21">
        <v>-3940.28</v>
      </c>
      <c r="BM7" s="22"/>
      <c r="BO7" s="1"/>
      <c r="BP7" s="20" t="s">
        <v>35</v>
      </c>
      <c r="BQ7" s="21">
        <v>-3565.26</v>
      </c>
      <c r="BS7" s="23"/>
      <c r="BU7" s="4"/>
    </row>
    <row r="8">
      <c r="A8" s="1"/>
      <c r="B8" s="20" t="s">
        <v>38</v>
      </c>
      <c r="C8" s="21">
        <v>0.0</v>
      </c>
      <c r="E8" s="22"/>
      <c r="G8" s="1"/>
      <c r="H8" s="20" t="s">
        <v>38</v>
      </c>
      <c r="I8" s="21">
        <v>700.0</v>
      </c>
      <c r="K8" s="23"/>
      <c r="M8" s="1"/>
      <c r="N8" s="20" t="s">
        <v>38</v>
      </c>
      <c r="O8" s="21">
        <v>0.0</v>
      </c>
      <c r="Q8" s="22"/>
      <c r="S8" s="1"/>
      <c r="T8" s="20" t="s">
        <v>38</v>
      </c>
      <c r="U8" s="21"/>
      <c r="W8" s="23"/>
      <c r="Y8" s="1"/>
      <c r="Z8" s="20" t="s">
        <v>38</v>
      </c>
      <c r="AA8" s="21">
        <v>121.0</v>
      </c>
      <c r="AC8" s="22"/>
      <c r="AE8" s="1"/>
      <c r="AF8" s="20" t="s">
        <v>38</v>
      </c>
      <c r="AG8" s="21">
        <v>0.0</v>
      </c>
      <c r="AI8" s="23"/>
      <c r="AK8" s="1"/>
      <c r="AL8" s="20" t="s">
        <v>38</v>
      </c>
      <c r="AM8" s="21">
        <v>289.0</v>
      </c>
      <c r="AO8" s="22"/>
      <c r="AQ8" s="1"/>
      <c r="AR8" s="20" t="s">
        <v>38</v>
      </c>
      <c r="AS8" s="21">
        <v>140.0</v>
      </c>
      <c r="AU8" s="23"/>
      <c r="AW8" s="1"/>
      <c r="AX8" s="20" t="s">
        <v>38</v>
      </c>
      <c r="AY8" s="21">
        <v>802.0</v>
      </c>
      <c r="BA8" s="22"/>
      <c r="BC8" s="1"/>
      <c r="BD8" s="20" t="s">
        <v>38</v>
      </c>
      <c r="BE8" s="21">
        <v>627.0</v>
      </c>
      <c r="BG8" s="23"/>
      <c r="BI8" s="1"/>
      <c r="BJ8" s="20" t="s">
        <v>38</v>
      </c>
      <c r="BK8" s="21">
        <v>400.0</v>
      </c>
      <c r="BM8" s="22"/>
      <c r="BO8" s="1"/>
      <c r="BP8" s="20" t="s">
        <v>38</v>
      </c>
      <c r="BQ8" s="21">
        <v>0.0</v>
      </c>
      <c r="BS8" s="23"/>
      <c r="BU8" s="4"/>
    </row>
    <row r="9">
      <c r="A9" s="1"/>
      <c r="B9" s="20"/>
      <c r="C9" s="21"/>
      <c r="E9" s="22"/>
      <c r="G9" s="1"/>
      <c r="H9" s="20"/>
      <c r="I9" s="21"/>
      <c r="K9" s="23"/>
      <c r="M9" s="1"/>
      <c r="N9" s="20"/>
      <c r="O9" s="21"/>
      <c r="Q9" s="22"/>
      <c r="S9" s="1"/>
      <c r="T9" s="20"/>
      <c r="U9" s="21"/>
      <c r="W9" s="23"/>
      <c r="Y9" s="1"/>
      <c r="Z9" s="20"/>
      <c r="AA9" s="21"/>
      <c r="AC9" s="22"/>
      <c r="AE9" s="1"/>
      <c r="AF9" s="20"/>
      <c r="AG9" s="21"/>
      <c r="AI9" s="23"/>
      <c r="AK9" s="1"/>
      <c r="AL9" s="20"/>
      <c r="AM9" s="21"/>
      <c r="AO9" s="22"/>
      <c r="AQ9" s="1"/>
      <c r="AR9" s="20"/>
      <c r="AS9" s="21"/>
      <c r="AU9" s="23"/>
      <c r="AW9" s="1"/>
      <c r="AX9" s="20"/>
      <c r="AY9" s="21"/>
      <c r="BA9" s="22"/>
      <c r="BC9" s="1"/>
      <c r="BD9" s="20"/>
      <c r="BE9" s="21"/>
      <c r="BG9" s="23"/>
      <c r="BI9" s="1"/>
      <c r="BJ9" s="20"/>
      <c r="BK9" s="21"/>
      <c r="BM9" s="22"/>
      <c r="BO9" s="1"/>
      <c r="BP9" s="20"/>
      <c r="BQ9" s="21"/>
      <c r="BS9" s="23"/>
      <c r="BU9" s="4"/>
    </row>
    <row r="10">
      <c r="A10" s="1"/>
      <c r="B10" s="24" t="s">
        <v>39</v>
      </c>
      <c r="C10" s="25">
        <f>sum(C11:C15)</f>
        <v>76069.61</v>
      </c>
      <c r="D10" s="24" t="s">
        <v>40</v>
      </c>
      <c r="E10" s="24"/>
      <c r="F10" s="24"/>
      <c r="G10" s="1"/>
      <c r="H10" s="3" t="s">
        <v>39</v>
      </c>
      <c r="I10" s="26">
        <f>sum(I11:I15)</f>
        <v>42551.69</v>
      </c>
      <c r="J10" s="7" t="s">
        <v>40</v>
      </c>
      <c r="K10" s="3"/>
      <c r="L10" s="3"/>
      <c r="M10" s="1"/>
      <c r="N10" s="24" t="s">
        <v>39</v>
      </c>
      <c r="O10" s="25">
        <f>sum(O11:O15)</f>
        <v>27501.42</v>
      </c>
      <c r="P10" s="24" t="s">
        <v>40</v>
      </c>
      <c r="Q10" s="24"/>
      <c r="R10" s="24"/>
      <c r="S10" s="1"/>
      <c r="T10" s="3" t="s">
        <v>39</v>
      </c>
      <c r="U10" s="26">
        <f>sum(U11:U15)</f>
        <v>38480.54</v>
      </c>
      <c r="V10" s="7" t="s">
        <v>40</v>
      </c>
      <c r="W10" s="3"/>
      <c r="X10" s="3"/>
      <c r="Y10" s="1"/>
      <c r="Z10" s="24" t="s">
        <v>39</v>
      </c>
      <c r="AA10" s="25">
        <f>sum(AA11:AA15)</f>
        <v>24160.74</v>
      </c>
      <c r="AB10" s="24" t="s">
        <v>40</v>
      </c>
      <c r="AC10" s="24"/>
      <c r="AD10" s="24"/>
      <c r="AE10" s="1"/>
      <c r="AF10" s="3" t="s">
        <v>39</v>
      </c>
      <c r="AG10" s="26">
        <f>sum(AG11:AG15)</f>
        <v>60594.96</v>
      </c>
      <c r="AH10" s="7" t="s">
        <v>40</v>
      </c>
      <c r="AI10" s="3"/>
      <c r="AJ10" s="3"/>
      <c r="AK10" s="1"/>
      <c r="AL10" s="24" t="s">
        <v>39</v>
      </c>
      <c r="AM10" s="25">
        <f>sum(AM11:AM15)</f>
        <v>53219.57</v>
      </c>
      <c r="AN10" s="24" t="s">
        <v>40</v>
      </c>
      <c r="AO10" s="24"/>
      <c r="AP10" s="24"/>
      <c r="AQ10" s="1"/>
      <c r="AR10" s="3" t="s">
        <v>39</v>
      </c>
      <c r="AS10" s="26">
        <f>sum(AS11:AS15)</f>
        <v>26769.34</v>
      </c>
      <c r="AT10" s="7" t="s">
        <v>40</v>
      </c>
      <c r="AU10" s="3"/>
      <c r="AV10" s="3"/>
      <c r="AW10" s="1"/>
      <c r="AX10" s="24" t="s">
        <v>39</v>
      </c>
      <c r="AY10" s="25">
        <f>sum(AY11:AY15)</f>
        <v>27892.74</v>
      </c>
      <c r="AZ10" s="24" t="s">
        <v>40</v>
      </c>
      <c r="BA10" s="24"/>
      <c r="BB10" s="24"/>
      <c r="BC10" s="1"/>
      <c r="BD10" s="3" t="s">
        <v>39</v>
      </c>
      <c r="BE10" s="26">
        <f>sum(BE11:BE15)</f>
        <v>28722.21</v>
      </c>
      <c r="BF10" s="7" t="s">
        <v>40</v>
      </c>
      <c r="BG10" s="3"/>
      <c r="BH10" s="3"/>
      <c r="BI10" s="1"/>
      <c r="BJ10" s="24" t="s">
        <v>39</v>
      </c>
      <c r="BK10" s="25">
        <f>sum(BK11:BK15)</f>
        <v>30969.47</v>
      </c>
      <c r="BL10" s="24" t="s">
        <v>40</v>
      </c>
      <c r="BM10" s="24"/>
      <c r="BN10" s="24"/>
      <c r="BO10" s="1"/>
      <c r="BP10" s="3" t="s">
        <v>39</v>
      </c>
      <c r="BQ10" s="26">
        <f>sum(BQ11:BQ15)</f>
        <v>28656.82</v>
      </c>
      <c r="BR10" s="7" t="s">
        <v>40</v>
      </c>
      <c r="BS10" s="3"/>
      <c r="BT10" s="3"/>
      <c r="BU10" s="4"/>
    </row>
    <row r="11">
      <c r="A11" s="1"/>
      <c r="B11" s="27" t="s">
        <v>60</v>
      </c>
      <c r="C11" s="28">
        <v>20800.15</v>
      </c>
      <c r="D11" s="29">
        <v>1.0</v>
      </c>
      <c r="E11" s="30" t="s">
        <v>146</v>
      </c>
      <c r="G11" s="1"/>
      <c r="H11" s="27" t="s">
        <v>43</v>
      </c>
      <c r="I11" s="28">
        <v>21166.79</v>
      </c>
      <c r="J11" s="29">
        <v>-25.0</v>
      </c>
      <c r="K11" s="30" t="s">
        <v>147</v>
      </c>
      <c r="M11" s="1"/>
      <c r="N11" s="27" t="s">
        <v>43</v>
      </c>
      <c r="O11" s="28">
        <v>9630.44</v>
      </c>
      <c r="P11" s="29">
        <v>-25.0</v>
      </c>
      <c r="Q11" s="30" t="s">
        <v>148</v>
      </c>
      <c r="S11" s="1"/>
      <c r="T11" s="27" t="s">
        <v>149</v>
      </c>
      <c r="U11" s="28">
        <v>25404.83</v>
      </c>
      <c r="V11" s="29">
        <v>-25.0</v>
      </c>
      <c r="W11" s="30" t="s">
        <v>150</v>
      </c>
      <c r="Y11" s="1"/>
      <c r="Z11" s="27" t="s">
        <v>43</v>
      </c>
      <c r="AA11" s="28">
        <v>11194.39</v>
      </c>
      <c r="AB11" s="29">
        <v>-25.0</v>
      </c>
      <c r="AC11" s="30" t="s">
        <v>151</v>
      </c>
      <c r="AE11" s="1"/>
      <c r="AF11" s="27" t="s">
        <v>43</v>
      </c>
      <c r="AG11" s="28">
        <v>10286.53</v>
      </c>
      <c r="AH11" s="29">
        <v>-26.0</v>
      </c>
      <c r="AI11" s="30" t="s">
        <v>152</v>
      </c>
      <c r="AK11" s="1"/>
      <c r="AL11" s="27" t="s">
        <v>43</v>
      </c>
      <c r="AM11" s="28">
        <v>11847.84</v>
      </c>
      <c r="AN11" s="29">
        <v>-25.0</v>
      </c>
      <c r="AO11" s="30" t="s">
        <v>153</v>
      </c>
      <c r="AQ11" s="1"/>
      <c r="AR11" s="27" t="s">
        <v>43</v>
      </c>
      <c r="AS11" s="28">
        <v>8476.85</v>
      </c>
      <c r="AT11" s="29">
        <v>-25.0</v>
      </c>
      <c r="AU11" s="30" t="s">
        <v>154</v>
      </c>
      <c r="AW11" s="1"/>
      <c r="AX11" s="27" t="s">
        <v>43</v>
      </c>
      <c r="AY11" s="28">
        <f>8424.17+ SUM(AY31:AY32)</f>
        <v>9537.34</v>
      </c>
      <c r="AZ11" s="29">
        <v>-25.0</v>
      </c>
      <c r="BA11" s="30" t="s">
        <v>155</v>
      </c>
      <c r="BC11" s="1"/>
      <c r="BD11" s="27" t="s">
        <v>43</v>
      </c>
      <c r="BE11" s="28">
        <v>12706.46</v>
      </c>
      <c r="BF11" s="29">
        <v>-25.0</v>
      </c>
      <c r="BG11" s="30" t="s">
        <v>156</v>
      </c>
      <c r="BI11" s="1"/>
      <c r="BJ11" s="27" t="s">
        <v>43</v>
      </c>
      <c r="BK11" s="28">
        <v>7721.41</v>
      </c>
      <c r="BL11" s="29">
        <v>-25.0</v>
      </c>
      <c r="BM11" s="30" t="s">
        <v>157</v>
      </c>
      <c r="BO11" s="1"/>
      <c r="BP11" s="27" t="s">
        <v>158</v>
      </c>
      <c r="BQ11" s="28">
        <v>4456.61</v>
      </c>
      <c r="BR11" s="29">
        <v>1.0</v>
      </c>
      <c r="BS11" s="30" t="s">
        <v>159</v>
      </c>
      <c r="BU11" s="4"/>
    </row>
    <row r="12">
      <c r="A12" s="1"/>
      <c r="B12" s="27" t="s">
        <v>43</v>
      </c>
      <c r="C12" s="28">
        <v>10010.26</v>
      </c>
      <c r="D12" s="29">
        <v>-25.0</v>
      </c>
      <c r="G12" s="1"/>
      <c r="H12" s="27" t="s">
        <v>55</v>
      </c>
      <c r="I12" s="28">
        <v>7644.9</v>
      </c>
      <c r="J12" s="29">
        <v>10.0</v>
      </c>
      <c r="M12" s="1"/>
      <c r="N12" s="27" t="s">
        <v>55</v>
      </c>
      <c r="O12" s="28">
        <v>7429.66</v>
      </c>
      <c r="P12" s="29">
        <v>11.0</v>
      </c>
      <c r="S12" s="1"/>
      <c r="T12" s="27" t="s">
        <v>158</v>
      </c>
      <c r="U12" s="28">
        <v>2662.0</v>
      </c>
      <c r="V12" s="29"/>
      <c r="Y12" s="1"/>
      <c r="Z12" s="27" t="s">
        <v>55</v>
      </c>
      <c r="AA12" s="28">
        <v>6959.02</v>
      </c>
      <c r="AB12" s="29">
        <v>10.0</v>
      </c>
      <c r="AE12" s="1"/>
      <c r="AF12" s="27" t="s">
        <v>55</v>
      </c>
      <c r="AG12" s="28">
        <v>6975.33</v>
      </c>
      <c r="AH12" s="29">
        <v>10.0</v>
      </c>
      <c r="AK12" s="1"/>
      <c r="AL12" s="27" t="s">
        <v>55</v>
      </c>
      <c r="AM12" s="28">
        <v>7973.37</v>
      </c>
      <c r="AN12" s="29">
        <v>10.0</v>
      </c>
      <c r="AQ12" s="1"/>
      <c r="AR12" s="27" t="s">
        <v>55</v>
      </c>
      <c r="AS12" s="28">
        <v>6510.63</v>
      </c>
      <c r="AT12" s="29">
        <v>10.0</v>
      </c>
      <c r="AW12" s="1"/>
      <c r="AX12" s="27" t="s">
        <v>55</v>
      </c>
      <c r="AY12" s="28">
        <v>7534.6</v>
      </c>
      <c r="AZ12" s="29">
        <v>10.0</v>
      </c>
      <c r="BC12" s="1"/>
      <c r="BD12" s="27" t="s">
        <v>55</v>
      </c>
      <c r="BE12" s="28">
        <v>7610.75</v>
      </c>
      <c r="BF12" s="29">
        <v>10.0</v>
      </c>
      <c r="BI12" s="1"/>
      <c r="BJ12" s="27" t="s">
        <v>55</v>
      </c>
      <c r="BK12" s="28">
        <v>6926.97</v>
      </c>
      <c r="BL12" s="29">
        <v>10.0</v>
      </c>
      <c r="BO12" s="1"/>
      <c r="BP12" s="27" t="s">
        <v>43</v>
      </c>
      <c r="BQ12" s="28">
        <v>9968.37</v>
      </c>
      <c r="BR12" s="29">
        <v>-25.0</v>
      </c>
      <c r="BU12" s="4"/>
    </row>
    <row r="13">
      <c r="A13" s="1"/>
      <c r="B13" s="27" t="s">
        <v>55</v>
      </c>
      <c r="C13" s="28">
        <v>15650.23</v>
      </c>
      <c r="D13" s="29">
        <v>10.0</v>
      </c>
      <c r="G13" s="1"/>
      <c r="H13" s="27" t="s">
        <v>160</v>
      </c>
      <c r="I13" s="28">
        <v>1990.0</v>
      </c>
      <c r="J13" s="29">
        <v>19.0</v>
      </c>
      <c r="M13" s="1"/>
      <c r="N13" s="27" t="s">
        <v>161</v>
      </c>
      <c r="O13" s="28">
        <v>900.0</v>
      </c>
      <c r="P13" s="29">
        <v>11.0</v>
      </c>
      <c r="S13" s="1"/>
      <c r="T13" s="27" t="s">
        <v>162</v>
      </c>
      <c r="U13" s="28">
        <v>7156.71</v>
      </c>
      <c r="V13" s="29"/>
      <c r="Y13" s="1"/>
      <c r="Z13" s="27" t="s">
        <v>163</v>
      </c>
      <c r="AA13" s="28">
        <v>5000.13</v>
      </c>
      <c r="AB13" s="29">
        <v>1.0</v>
      </c>
      <c r="AE13" s="1"/>
      <c r="AF13" s="27" t="s">
        <v>164</v>
      </c>
      <c r="AG13" s="28">
        <v>16686.1</v>
      </c>
      <c r="AH13" s="29">
        <v>-30.0</v>
      </c>
      <c r="AK13" s="1"/>
      <c r="AL13" s="27" t="s">
        <v>165</v>
      </c>
      <c r="AM13" s="28">
        <v>8258.23</v>
      </c>
      <c r="AN13" s="29">
        <v>-30.0</v>
      </c>
      <c r="AQ13" s="1"/>
      <c r="AR13" s="27" t="s">
        <v>166</v>
      </c>
      <c r="AS13" s="28">
        <v>9702.17</v>
      </c>
      <c r="AT13" s="29">
        <v>-31.0</v>
      </c>
      <c r="AW13" s="1"/>
      <c r="AX13" s="27" t="s">
        <v>167</v>
      </c>
      <c r="AY13" s="28">
        <v>9513.8</v>
      </c>
      <c r="AZ13" s="29"/>
      <c r="BC13" s="1"/>
      <c r="BD13" s="27" t="s">
        <v>168</v>
      </c>
      <c r="BE13" s="28">
        <v>-2204.79</v>
      </c>
      <c r="BF13" s="29">
        <v>1.0</v>
      </c>
      <c r="BI13" s="1"/>
      <c r="BJ13" s="27" t="s">
        <v>168</v>
      </c>
      <c r="BK13" s="28">
        <v>-635.26</v>
      </c>
      <c r="BL13" s="29">
        <v>1.0</v>
      </c>
      <c r="BO13" s="1"/>
      <c r="BP13" s="27" t="s">
        <v>55</v>
      </c>
      <c r="BQ13" s="28">
        <v>7023.01</v>
      </c>
      <c r="BR13" s="29">
        <v>10.0</v>
      </c>
      <c r="BU13" s="4"/>
    </row>
    <row r="14">
      <c r="A14" s="1"/>
      <c r="B14" s="27" t="s">
        <v>169</v>
      </c>
      <c r="C14" s="28">
        <v>7097.77</v>
      </c>
      <c r="D14" s="29"/>
      <c r="G14" s="1"/>
      <c r="H14" s="27" t="s">
        <v>161</v>
      </c>
      <c r="I14" s="28">
        <v>11750.0</v>
      </c>
      <c r="J14" s="29">
        <v>1.0</v>
      </c>
      <c r="M14" s="1"/>
      <c r="N14" s="27" t="s">
        <v>168</v>
      </c>
      <c r="O14" s="28">
        <v>9541.32</v>
      </c>
      <c r="P14" s="29">
        <v>15.0</v>
      </c>
      <c r="S14" s="1"/>
      <c r="T14" s="27" t="s">
        <v>170</v>
      </c>
      <c r="U14" s="28">
        <v>3257.0</v>
      </c>
      <c r="V14" s="29" t="s">
        <v>171</v>
      </c>
      <c r="Y14" s="1"/>
      <c r="Z14" s="27" t="s">
        <v>172</v>
      </c>
      <c r="AA14" s="28">
        <v>960.2</v>
      </c>
      <c r="AB14" s="29">
        <v>7.0</v>
      </c>
      <c r="AE14" s="1"/>
      <c r="AF14" s="27" t="s">
        <v>173</v>
      </c>
      <c r="AG14" s="28">
        <v>27765.89</v>
      </c>
      <c r="AH14" s="29">
        <v>10.0</v>
      </c>
      <c r="AK14" s="1"/>
      <c r="AL14" s="27" t="s">
        <v>174</v>
      </c>
      <c r="AM14" s="28">
        <v>24229.93</v>
      </c>
      <c r="AN14" s="29">
        <v>1.0</v>
      </c>
      <c r="AQ14" s="1"/>
      <c r="AR14" s="27" t="s">
        <v>175</v>
      </c>
      <c r="AS14" s="28">
        <v>3920.0</v>
      </c>
      <c r="AT14" s="29">
        <v>11.0</v>
      </c>
      <c r="AW14" s="1"/>
      <c r="AX14" s="27" t="s">
        <v>176</v>
      </c>
      <c r="AY14" s="28">
        <v>11404.05</v>
      </c>
      <c r="AZ14" s="29"/>
      <c r="BC14" s="1"/>
      <c r="BD14" s="27" t="s">
        <v>177</v>
      </c>
      <c r="BE14" s="28">
        <v>2414.13</v>
      </c>
      <c r="BF14" s="29">
        <v>1.0</v>
      </c>
      <c r="BI14" s="1"/>
      <c r="BJ14" s="27" t="s">
        <v>178</v>
      </c>
      <c r="BK14" s="28">
        <v>1207.04</v>
      </c>
      <c r="BL14" s="29">
        <v>3.0</v>
      </c>
      <c r="BO14" s="1"/>
      <c r="BP14" s="27" t="s">
        <v>179</v>
      </c>
      <c r="BQ14" s="28">
        <v>7208.83</v>
      </c>
      <c r="BR14" s="29">
        <v>-19.0</v>
      </c>
      <c r="BU14" s="4"/>
    </row>
    <row r="15">
      <c r="A15" s="1"/>
      <c r="B15" s="27" t="s">
        <v>180</v>
      </c>
      <c r="C15" s="28">
        <v>22511.2</v>
      </c>
      <c r="D15" s="29"/>
      <c r="G15" s="1"/>
      <c r="H15" s="27"/>
      <c r="I15" s="28"/>
      <c r="J15" s="29">
        <v>10.0</v>
      </c>
      <c r="M15" s="1"/>
      <c r="N15" s="27"/>
      <c r="O15" s="28"/>
      <c r="P15" s="29">
        <v>19.0</v>
      </c>
      <c r="S15" s="1"/>
      <c r="T15" s="27"/>
      <c r="U15" s="28"/>
      <c r="V15" s="29"/>
      <c r="Y15" s="1"/>
      <c r="Z15" s="27" t="s">
        <v>181</v>
      </c>
      <c r="AA15" s="28">
        <v>47.0</v>
      </c>
      <c r="AB15" s="29">
        <v>23.0</v>
      </c>
      <c r="AE15" s="1"/>
      <c r="AF15" s="27" t="s">
        <v>182</v>
      </c>
      <c r="AG15" s="28">
        <v>-1118.89</v>
      </c>
      <c r="AH15" s="29">
        <v>1.0</v>
      </c>
      <c r="AK15" s="1"/>
      <c r="AL15" s="27" t="s">
        <v>161</v>
      </c>
      <c r="AM15" s="28">
        <v>910.2</v>
      </c>
      <c r="AN15" s="29"/>
      <c r="AQ15" s="1"/>
      <c r="AR15" s="27" t="s">
        <v>183</v>
      </c>
      <c r="AS15" s="28">
        <v>-1840.31</v>
      </c>
      <c r="AT15" s="29"/>
      <c r="AW15" s="1"/>
      <c r="AX15" s="27" t="s">
        <v>184</v>
      </c>
      <c r="AY15" s="28">
        <v>-10097.05</v>
      </c>
      <c r="AZ15" s="29"/>
      <c r="BC15" s="1"/>
      <c r="BD15" s="27" t="s">
        <v>185</v>
      </c>
      <c r="BE15" s="28">
        <v>8195.66</v>
      </c>
      <c r="BF15" s="29">
        <v>1.0</v>
      </c>
      <c r="BI15" s="1"/>
      <c r="BJ15" s="27" t="s">
        <v>186</v>
      </c>
      <c r="BK15" s="28">
        <v>15749.31</v>
      </c>
      <c r="BL15" s="29">
        <v>5.0</v>
      </c>
      <c r="BO15" s="1"/>
      <c r="BP15" s="27"/>
      <c r="BQ15" s="28"/>
      <c r="BR15" s="29"/>
      <c r="BU15" s="4"/>
    </row>
    <row r="16">
      <c r="A16" s="1"/>
      <c r="B16" s="24" t="s">
        <v>61</v>
      </c>
      <c r="C16" s="25">
        <f>SUM(C17:C115)</f>
        <v>85951.73</v>
      </c>
      <c r="D16" s="31"/>
      <c r="E16" s="24" t="s">
        <v>14</v>
      </c>
      <c r="F16" s="24" t="s">
        <v>62</v>
      </c>
      <c r="G16" s="1"/>
      <c r="H16" s="3" t="s">
        <v>61</v>
      </c>
      <c r="I16" s="26">
        <f>SUM(I17:I115)</f>
        <v>43611.63</v>
      </c>
      <c r="J16" s="3"/>
      <c r="K16" s="3" t="s">
        <v>14</v>
      </c>
      <c r="L16" s="3" t="s">
        <v>62</v>
      </c>
      <c r="M16" s="1"/>
      <c r="N16" s="24" t="s">
        <v>61</v>
      </c>
      <c r="O16" s="25">
        <f>SUM(O17:O79)</f>
        <v>30946.34</v>
      </c>
      <c r="P16" s="31"/>
      <c r="Q16" s="24" t="s">
        <v>14</v>
      </c>
      <c r="R16" s="24" t="s">
        <v>62</v>
      </c>
      <c r="S16" s="1"/>
      <c r="T16" s="3" t="s">
        <v>61</v>
      </c>
      <c r="U16" s="26">
        <f>SUM(U17:U115)</f>
        <v>40954.02</v>
      </c>
      <c r="V16" s="3"/>
      <c r="W16" s="3" t="s">
        <v>14</v>
      </c>
      <c r="X16" s="3" t="s">
        <v>62</v>
      </c>
      <c r="Y16" s="1"/>
      <c r="Z16" s="24" t="s">
        <v>61</v>
      </c>
      <c r="AA16" s="25">
        <f>SUM(AA17:AA100)</f>
        <v>33920.35</v>
      </c>
      <c r="AB16" s="31"/>
      <c r="AC16" s="24" t="s">
        <v>14</v>
      </c>
      <c r="AD16" s="24" t="s">
        <v>62</v>
      </c>
      <c r="AE16" s="1"/>
      <c r="AF16" s="3" t="s">
        <v>61</v>
      </c>
      <c r="AG16" s="26">
        <f>SUM(AG17:AG114)</f>
        <v>39315.46</v>
      </c>
      <c r="AH16" s="3"/>
      <c r="AI16" s="3" t="s">
        <v>14</v>
      </c>
      <c r="AJ16" s="3" t="s">
        <v>62</v>
      </c>
      <c r="AK16" s="1"/>
      <c r="AL16" s="24" t="s">
        <v>61</v>
      </c>
      <c r="AM16" s="25">
        <f>SUM(AM17:AM149)</f>
        <v>63478.85</v>
      </c>
      <c r="AN16" s="31"/>
      <c r="AO16" s="24" t="s">
        <v>14</v>
      </c>
      <c r="AP16" s="24" t="s">
        <v>62</v>
      </c>
      <c r="AQ16" s="1"/>
      <c r="AR16" s="3" t="s">
        <v>61</v>
      </c>
      <c r="AS16" s="26">
        <f>SUM(AS17:AS113)</f>
        <v>40009.98</v>
      </c>
      <c r="AT16" s="3"/>
      <c r="AU16" s="3" t="s">
        <v>14</v>
      </c>
      <c r="AV16" s="3" t="s">
        <v>62</v>
      </c>
      <c r="AW16" s="1"/>
      <c r="AX16" s="24" t="s">
        <v>61</v>
      </c>
      <c r="AY16" s="25">
        <f>SUM(AY17:AY100)</f>
        <v>38039.34</v>
      </c>
      <c r="AZ16" s="31"/>
      <c r="BA16" s="24" t="s">
        <v>14</v>
      </c>
      <c r="BB16" s="24" t="s">
        <v>62</v>
      </c>
      <c r="BC16" s="1"/>
      <c r="BD16" s="3" t="s">
        <v>61</v>
      </c>
      <c r="BE16" s="26">
        <f>SUM(BE17:BE114)</f>
        <v>38691.38</v>
      </c>
      <c r="BF16" s="3"/>
      <c r="BG16" s="3" t="s">
        <v>14</v>
      </c>
      <c r="BH16" s="3" t="s">
        <v>62</v>
      </c>
      <c r="BI16" s="1"/>
      <c r="BJ16" s="24" t="s">
        <v>61</v>
      </c>
      <c r="BK16" s="25">
        <f>SUM(BK17:BK96)</f>
        <v>38528.95</v>
      </c>
      <c r="BL16" s="31"/>
      <c r="BM16" s="24" t="s">
        <v>14</v>
      </c>
      <c r="BN16" s="24" t="s">
        <v>62</v>
      </c>
      <c r="BO16" s="1"/>
      <c r="BP16" s="3" t="s">
        <v>61</v>
      </c>
      <c r="BQ16" s="26">
        <f>SUM(BQ17:BQ111)</f>
        <v>37758.72</v>
      </c>
      <c r="BR16" s="3"/>
      <c r="BS16" s="3" t="s">
        <v>14</v>
      </c>
      <c r="BT16" s="3" t="s">
        <v>62</v>
      </c>
      <c r="BU16" s="4"/>
    </row>
    <row r="17">
      <c r="A17" s="1"/>
      <c r="B17" s="32" t="s">
        <v>63</v>
      </c>
      <c r="C17" s="33">
        <v>1861.01</v>
      </c>
      <c r="D17" s="34">
        <v>4.0</v>
      </c>
      <c r="E17" s="35" t="s">
        <v>32</v>
      </c>
      <c r="F17" s="36" t="s">
        <v>34</v>
      </c>
      <c r="G17" s="1"/>
      <c r="H17" s="32" t="s">
        <v>63</v>
      </c>
      <c r="I17" s="33">
        <v>1860.83</v>
      </c>
      <c r="J17" s="34">
        <v>4.0</v>
      </c>
      <c r="K17" s="35" t="s">
        <v>28</v>
      </c>
      <c r="L17" s="36" t="s">
        <v>34</v>
      </c>
      <c r="M17" s="1"/>
      <c r="N17" s="32" t="s">
        <v>63</v>
      </c>
      <c r="O17" s="33">
        <v>1859.87</v>
      </c>
      <c r="P17" s="34">
        <v>4.0</v>
      </c>
      <c r="Q17" s="35" t="s">
        <v>32</v>
      </c>
      <c r="R17" s="36" t="s">
        <v>34</v>
      </c>
      <c r="S17" s="1"/>
      <c r="T17" s="32" t="s">
        <v>63</v>
      </c>
      <c r="U17" s="33">
        <v>1859.1</v>
      </c>
      <c r="V17" s="34">
        <v>4.0</v>
      </c>
      <c r="W17" s="35" t="s">
        <v>32</v>
      </c>
      <c r="X17" s="36" t="s">
        <v>34</v>
      </c>
      <c r="Y17" s="1"/>
      <c r="Z17" s="32" t="s">
        <v>63</v>
      </c>
      <c r="AA17" s="33">
        <v>1858.22</v>
      </c>
      <c r="AB17" s="34">
        <v>4.0</v>
      </c>
      <c r="AC17" s="35" t="s">
        <v>32</v>
      </c>
      <c r="AD17" s="36" t="s">
        <v>34</v>
      </c>
      <c r="AE17" s="1"/>
      <c r="AF17" s="32" t="s">
        <v>63</v>
      </c>
      <c r="AG17" s="33">
        <v>1858.03</v>
      </c>
      <c r="AH17" s="34">
        <v>4.0</v>
      </c>
      <c r="AI17" s="35" t="s">
        <v>32</v>
      </c>
      <c r="AJ17" s="36" t="s">
        <v>34</v>
      </c>
      <c r="AK17" s="1"/>
      <c r="AL17" s="32" t="s">
        <v>63</v>
      </c>
      <c r="AM17" s="33">
        <v>1857.78</v>
      </c>
      <c r="AN17" s="34">
        <v>4.0</v>
      </c>
      <c r="AO17" s="35" t="s">
        <v>32</v>
      </c>
      <c r="AP17" s="36" t="s">
        <v>34</v>
      </c>
      <c r="AQ17" s="1"/>
      <c r="AR17" s="32" t="s">
        <v>63</v>
      </c>
      <c r="AS17" s="33">
        <v>1857.59</v>
      </c>
      <c r="AT17" s="34">
        <v>4.0</v>
      </c>
      <c r="AU17" s="35" t="s">
        <v>32</v>
      </c>
      <c r="AV17" s="36" t="s">
        <v>34</v>
      </c>
      <c r="AW17" s="1"/>
      <c r="AX17" s="32" t="s">
        <v>63</v>
      </c>
      <c r="AY17" s="33">
        <v>1857.33</v>
      </c>
      <c r="AZ17" s="34">
        <v>4.0</v>
      </c>
      <c r="BA17" s="35" t="s">
        <v>32</v>
      </c>
      <c r="BB17" s="36" t="s">
        <v>34</v>
      </c>
      <c r="BC17" s="1"/>
      <c r="BD17" s="32" t="s">
        <v>63</v>
      </c>
      <c r="BE17" s="33">
        <v>1857.0</v>
      </c>
      <c r="BF17" s="34">
        <v>4.0</v>
      </c>
      <c r="BG17" s="35" t="s">
        <v>32</v>
      </c>
      <c r="BH17" s="36" t="s">
        <v>34</v>
      </c>
      <c r="BI17" s="1"/>
      <c r="BJ17" s="32" t="s">
        <v>63</v>
      </c>
      <c r="BK17" s="33">
        <v>1856.86</v>
      </c>
      <c r="BL17" s="34">
        <v>4.0</v>
      </c>
      <c r="BM17" s="35" t="s">
        <v>32</v>
      </c>
      <c r="BN17" s="36" t="s">
        <v>34</v>
      </c>
      <c r="BO17" s="1"/>
      <c r="BP17" s="32" t="s">
        <v>63</v>
      </c>
      <c r="BQ17" s="33">
        <v>1864.64</v>
      </c>
      <c r="BR17" s="34">
        <v>4.0</v>
      </c>
      <c r="BS17" s="35" t="s">
        <v>32</v>
      </c>
      <c r="BT17" s="36" t="s">
        <v>34</v>
      </c>
      <c r="BU17" s="4"/>
    </row>
    <row r="18">
      <c r="A18" s="1"/>
      <c r="B18" s="32" t="s">
        <v>64</v>
      </c>
      <c r="C18" s="33">
        <v>276.0</v>
      </c>
      <c r="D18" s="34">
        <v>5.0</v>
      </c>
      <c r="E18" s="35" t="s">
        <v>28</v>
      </c>
      <c r="F18" s="36" t="s">
        <v>32</v>
      </c>
      <c r="G18" s="1"/>
      <c r="H18" s="32" t="s">
        <v>64</v>
      </c>
      <c r="I18" s="33">
        <v>276.0</v>
      </c>
      <c r="J18" s="34">
        <v>5.0</v>
      </c>
      <c r="K18" s="35" t="s">
        <v>28</v>
      </c>
      <c r="L18" s="36" t="s">
        <v>32</v>
      </c>
      <c r="M18" s="1"/>
      <c r="N18" s="32" t="s">
        <v>64</v>
      </c>
      <c r="O18" s="33">
        <v>276.0</v>
      </c>
      <c r="P18" s="34">
        <v>5.0</v>
      </c>
      <c r="Q18" s="35" t="s">
        <v>28</v>
      </c>
      <c r="R18" s="36" t="s">
        <v>32</v>
      </c>
      <c r="S18" s="1"/>
      <c r="T18" s="32" t="s">
        <v>64</v>
      </c>
      <c r="U18" s="33">
        <v>276.0</v>
      </c>
      <c r="V18" s="34">
        <v>5.0</v>
      </c>
      <c r="W18" s="35" t="s">
        <v>28</v>
      </c>
      <c r="X18" s="36" t="s">
        <v>32</v>
      </c>
      <c r="Y18" s="1"/>
      <c r="Z18" s="32" t="s">
        <v>64</v>
      </c>
      <c r="AA18" s="33">
        <v>296.0</v>
      </c>
      <c r="AB18" s="34">
        <v>5.0</v>
      </c>
      <c r="AC18" s="35" t="s">
        <v>28</v>
      </c>
      <c r="AD18" s="36" t="s">
        <v>32</v>
      </c>
      <c r="AE18" s="1"/>
      <c r="AF18" s="32" t="s">
        <v>64</v>
      </c>
      <c r="AG18" s="33">
        <v>276.0</v>
      </c>
      <c r="AH18" s="34">
        <v>5.0</v>
      </c>
      <c r="AI18" s="35" t="s">
        <v>28</v>
      </c>
      <c r="AJ18" s="36" t="s">
        <v>32</v>
      </c>
      <c r="AK18" s="1"/>
      <c r="AL18" s="32" t="s">
        <v>64</v>
      </c>
      <c r="AM18" s="33">
        <v>313.0</v>
      </c>
      <c r="AN18" s="34">
        <v>5.0</v>
      </c>
      <c r="AO18" s="35" t="s">
        <v>28</v>
      </c>
      <c r="AP18" s="36" t="s">
        <v>32</v>
      </c>
      <c r="AQ18" s="1"/>
      <c r="AR18" s="32" t="s">
        <v>64</v>
      </c>
      <c r="AS18" s="33">
        <v>371.1</v>
      </c>
      <c r="AT18" s="34">
        <v>5.0</v>
      </c>
      <c r="AU18" s="35" t="s">
        <v>28</v>
      </c>
      <c r="AV18" s="36" t="s">
        <v>32</v>
      </c>
      <c r="AW18" s="1"/>
      <c r="AX18" s="32" t="s">
        <v>64</v>
      </c>
      <c r="AY18" s="33">
        <v>370.86</v>
      </c>
      <c r="AZ18" s="34">
        <v>5.0</v>
      </c>
      <c r="BA18" s="35" t="s">
        <v>28</v>
      </c>
      <c r="BB18" s="36" t="s">
        <v>32</v>
      </c>
      <c r="BC18" s="1"/>
      <c r="BD18" s="32" t="s">
        <v>64</v>
      </c>
      <c r="BE18" s="33">
        <v>313.0</v>
      </c>
      <c r="BF18" s="34">
        <v>5.0</v>
      </c>
      <c r="BG18" s="35" t="s">
        <v>28</v>
      </c>
      <c r="BH18" s="36" t="s">
        <v>32</v>
      </c>
      <c r="BI18" s="1"/>
      <c r="BJ18" s="32" t="s">
        <v>64</v>
      </c>
      <c r="BK18" s="33">
        <v>290.4</v>
      </c>
      <c r="BL18" s="34">
        <v>5.0</v>
      </c>
      <c r="BM18" s="35" t="s">
        <v>28</v>
      </c>
      <c r="BN18" s="36" t="s">
        <v>32</v>
      </c>
      <c r="BO18" s="1"/>
      <c r="BP18" s="32" t="s">
        <v>64</v>
      </c>
      <c r="BQ18" s="33">
        <v>290.4</v>
      </c>
      <c r="BR18" s="34">
        <v>5.0</v>
      </c>
      <c r="BS18" s="35" t="s">
        <v>28</v>
      </c>
      <c r="BT18" s="36" t="s">
        <v>32</v>
      </c>
      <c r="BU18" s="4"/>
    </row>
    <row r="19">
      <c r="A19" s="1"/>
      <c r="B19" s="32" t="s">
        <v>66</v>
      </c>
      <c r="C19" s="33">
        <v>275.17</v>
      </c>
      <c r="D19" s="34">
        <v>8.0</v>
      </c>
      <c r="E19" s="35" t="s">
        <v>28</v>
      </c>
      <c r="F19" s="36" t="s">
        <v>32</v>
      </c>
      <c r="G19" s="1"/>
      <c r="H19" s="32" t="s">
        <v>66</v>
      </c>
      <c r="I19" s="33">
        <v>517.77</v>
      </c>
      <c r="J19" s="34">
        <v>8.0</v>
      </c>
      <c r="K19" s="35" t="s">
        <v>28</v>
      </c>
      <c r="L19" s="36" t="s">
        <v>32</v>
      </c>
      <c r="M19" s="1"/>
      <c r="N19" s="32" t="s">
        <v>66</v>
      </c>
      <c r="O19" s="33">
        <v>307.42</v>
      </c>
      <c r="P19" s="34">
        <v>8.0</v>
      </c>
      <c r="Q19" s="35" t="s">
        <v>28</v>
      </c>
      <c r="R19" s="36" t="s">
        <v>32</v>
      </c>
      <c r="S19" s="1"/>
      <c r="T19" s="32" t="s">
        <v>66</v>
      </c>
      <c r="U19" s="33">
        <v>272.74</v>
      </c>
      <c r="V19" s="34">
        <v>8.0</v>
      </c>
      <c r="W19" s="35" t="s">
        <v>28</v>
      </c>
      <c r="X19" s="36" t="s">
        <v>32</v>
      </c>
      <c r="Y19" s="1"/>
      <c r="Z19" s="32" t="s">
        <v>66</v>
      </c>
      <c r="AA19" s="33">
        <v>322.09</v>
      </c>
      <c r="AB19" s="34">
        <v>8.0</v>
      </c>
      <c r="AC19" s="35" t="s">
        <v>28</v>
      </c>
      <c r="AD19" s="36" t="s">
        <v>32</v>
      </c>
      <c r="AE19" s="1"/>
      <c r="AF19" s="32" t="s">
        <v>66</v>
      </c>
      <c r="AG19" s="33">
        <v>266.18</v>
      </c>
      <c r="AH19" s="34">
        <v>8.0</v>
      </c>
      <c r="AI19" s="35" t="s">
        <v>28</v>
      </c>
      <c r="AJ19" s="36" t="s">
        <v>32</v>
      </c>
      <c r="AK19" s="1"/>
      <c r="AL19" s="32" t="s">
        <v>67</v>
      </c>
      <c r="AM19" s="33">
        <v>247.79</v>
      </c>
      <c r="AN19" s="34">
        <v>8.0</v>
      </c>
      <c r="AO19" s="35" t="s">
        <v>28</v>
      </c>
      <c r="AP19" s="36" t="s">
        <v>32</v>
      </c>
      <c r="AQ19" s="1"/>
      <c r="AR19" s="32" t="s">
        <v>67</v>
      </c>
      <c r="AS19" s="33">
        <v>294.14</v>
      </c>
      <c r="AT19" s="34">
        <v>8.0</v>
      </c>
      <c r="AU19" s="35" t="s">
        <v>28</v>
      </c>
      <c r="AV19" s="36" t="s">
        <v>32</v>
      </c>
      <c r="AW19" s="1"/>
      <c r="AX19" s="32" t="s">
        <v>67</v>
      </c>
      <c r="AY19" s="33">
        <v>317.19</v>
      </c>
      <c r="AZ19" s="34">
        <v>8.0</v>
      </c>
      <c r="BA19" s="35" t="s">
        <v>28</v>
      </c>
      <c r="BB19" s="36" t="s">
        <v>32</v>
      </c>
      <c r="BC19" s="1"/>
      <c r="BD19" s="32" t="s">
        <v>67</v>
      </c>
      <c r="BE19" s="33">
        <v>317.19</v>
      </c>
      <c r="BF19" s="34">
        <v>8.0</v>
      </c>
      <c r="BG19" s="35" t="s">
        <v>28</v>
      </c>
      <c r="BH19" s="36" t="s">
        <v>32</v>
      </c>
      <c r="BI19" s="1"/>
      <c r="BJ19" s="32" t="s">
        <v>67</v>
      </c>
      <c r="BK19" s="33">
        <v>267.21</v>
      </c>
      <c r="BL19" s="34">
        <v>8.0</v>
      </c>
      <c r="BM19" s="35" t="s">
        <v>28</v>
      </c>
      <c r="BN19" s="36" t="s">
        <v>32</v>
      </c>
      <c r="BO19" s="1"/>
      <c r="BP19" s="32" t="s">
        <v>66</v>
      </c>
      <c r="BQ19" s="33">
        <v>377.48</v>
      </c>
      <c r="BR19" s="34">
        <v>8.0</v>
      </c>
      <c r="BS19" s="35" t="s">
        <v>28</v>
      </c>
      <c r="BT19" s="36" t="s">
        <v>32</v>
      </c>
      <c r="BU19" s="4"/>
    </row>
    <row r="20">
      <c r="A20" s="1"/>
      <c r="B20" s="32" t="s">
        <v>71</v>
      </c>
      <c r="C20" s="41" t="s">
        <v>69</v>
      </c>
      <c r="D20" s="34">
        <v>10.0</v>
      </c>
      <c r="E20" s="35" t="s">
        <v>32</v>
      </c>
      <c r="G20" s="1"/>
      <c r="H20" s="32" t="s">
        <v>71</v>
      </c>
      <c r="I20" s="46">
        <v>1019.2</v>
      </c>
      <c r="J20" s="34">
        <v>10.0</v>
      </c>
      <c r="K20" s="35" t="s">
        <v>32</v>
      </c>
      <c r="L20" s="36" t="s">
        <v>32</v>
      </c>
      <c r="M20" s="1"/>
      <c r="N20" s="32" t="s">
        <v>71</v>
      </c>
      <c r="O20" s="46">
        <v>1019.2</v>
      </c>
      <c r="P20" s="34">
        <v>10.0</v>
      </c>
      <c r="Q20" s="35" t="s">
        <v>32</v>
      </c>
      <c r="R20" s="36" t="s">
        <v>32</v>
      </c>
      <c r="S20" s="1"/>
      <c r="T20" s="32" t="s">
        <v>71</v>
      </c>
      <c r="U20" s="46">
        <v>1019.2</v>
      </c>
      <c r="V20" s="34">
        <v>10.0</v>
      </c>
      <c r="W20" s="35" t="s">
        <v>32</v>
      </c>
      <c r="X20" s="36" t="s">
        <v>32</v>
      </c>
      <c r="Y20" s="1"/>
      <c r="Z20" s="32" t="s">
        <v>71</v>
      </c>
      <c r="AA20" s="46">
        <v>1019.2</v>
      </c>
      <c r="AB20" s="34">
        <v>10.0</v>
      </c>
      <c r="AC20" s="35" t="s">
        <v>32</v>
      </c>
      <c r="AD20" s="36" t="s">
        <v>32</v>
      </c>
      <c r="AE20" s="1"/>
      <c r="AF20" s="32" t="s">
        <v>71</v>
      </c>
      <c r="AG20" s="46">
        <v>1019.2</v>
      </c>
      <c r="AH20" s="34">
        <v>10.0</v>
      </c>
      <c r="AI20" s="35" t="s">
        <v>32</v>
      </c>
      <c r="AJ20" s="36" t="s">
        <v>32</v>
      </c>
      <c r="AK20" s="1"/>
      <c r="AL20" s="32" t="s">
        <v>71</v>
      </c>
      <c r="AM20" s="46">
        <v>1019.2</v>
      </c>
      <c r="AN20" s="34">
        <v>10.0</v>
      </c>
      <c r="AO20" s="35" t="s">
        <v>32</v>
      </c>
      <c r="AP20" s="36" t="s">
        <v>32</v>
      </c>
      <c r="AQ20" s="1"/>
      <c r="AR20" s="32" t="s">
        <v>71</v>
      </c>
      <c r="AS20" s="46">
        <v>1019.2</v>
      </c>
      <c r="AT20" s="34">
        <v>10.0</v>
      </c>
      <c r="AU20" s="35" t="s">
        <v>32</v>
      </c>
      <c r="AV20" s="36" t="s">
        <v>32</v>
      </c>
      <c r="AW20" s="1"/>
      <c r="AX20" s="32" t="s">
        <v>71</v>
      </c>
      <c r="AY20" s="46">
        <v>1019.2</v>
      </c>
      <c r="AZ20" s="34">
        <v>10.0</v>
      </c>
      <c r="BA20" s="35" t="s">
        <v>32</v>
      </c>
      <c r="BB20" s="36" t="s">
        <v>32</v>
      </c>
      <c r="BC20" s="1"/>
      <c r="BD20" s="32" t="s">
        <v>71</v>
      </c>
      <c r="BE20" s="46">
        <v>1019.2</v>
      </c>
      <c r="BF20" s="34">
        <v>10.0</v>
      </c>
      <c r="BG20" s="35" t="s">
        <v>32</v>
      </c>
      <c r="BH20" s="36" t="s">
        <v>32</v>
      </c>
      <c r="BI20" s="1"/>
      <c r="BJ20" s="32" t="s">
        <v>71</v>
      </c>
      <c r="BK20" s="46">
        <v>1019.2</v>
      </c>
      <c r="BL20" s="34">
        <v>10.0</v>
      </c>
      <c r="BM20" s="35" t="s">
        <v>32</v>
      </c>
      <c r="BN20" s="36" t="s">
        <v>32</v>
      </c>
      <c r="BO20" s="1"/>
      <c r="BP20" s="32" t="s">
        <v>71</v>
      </c>
      <c r="BQ20" s="46">
        <v>1019.2</v>
      </c>
      <c r="BR20" s="34">
        <v>10.0</v>
      </c>
      <c r="BS20" s="35" t="s">
        <v>32</v>
      </c>
      <c r="BT20" s="36" t="s">
        <v>32</v>
      </c>
      <c r="BU20" s="4"/>
    </row>
    <row r="21">
      <c r="A21" s="1"/>
      <c r="B21" s="32" t="s">
        <v>73</v>
      </c>
      <c r="D21" s="34">
        <v>10.0</v>
      </c>
      <c r="E21" s="35" t="s">
        <v>28</v>
      </c>
      <c r="G21" s="1"/>
      <c r="H21" s="32" t="s">
        <v>73</v>
      </c>
      <c r="I21" s="46">
        <v>1480.9</v>
      </c>
      <c r="J21" s="34">
        <v>10.0</v>
      </c>
      <c r="K21" s="35" t="s">
        <v>28</v>
      </c>
      <c r="L21" s="36" t="s">
        <v>32</v>
      </c>
      <c r="M21" s="1"/>
      <c r="N21" s="32" t="s">
        <v>73</v>
      </c>
      <c r="O21" s="46">
        <v>1480.9</v>
      </c>
      <c r="P21" s="34">
        <v>10.0</v>
      </c>
      <c r="Q21" s="35" t="s">
        <v>28</v>
      </c>
      <c r="R21" s="36" t="s">
        <v>32</v>
      </c>
      <c r="S21" s="1"/>
      <c r="T21" s="32" t="s">
        <v>73</v>
      </c>
      <c r="U21" s="46">
        <v>1480.9</v>
      </c>
      <c r="V21" s="34">
        <v>10.0</v>
      </c>
      <c r="W21" s="35" t="s">
        <v>28</v>
      </c>
      <c r="X21" s="36" t="s">
        <v>32</v>
      </c>
      <c r="Y21" s="1"/>
      <c r="Z21" s="32" t="s">
        <v>73</v>
      </c>
      <c r="AA21" s="46">
        <v>1480.9</v>
      </c>
      <c r="AB21" s="34">
        <v>10.0</v>
      </c>
      <c r="AC21" s="35" t="s">
        <v>28</v>
      </c>
      <c r="AD21" s="36" t="s">
        <v>32</v>
      </c>
      <c r="AE21" s="1"/>
      <c r="AF21" s="32" t="s">
        <v>73</v>
      </c>
      <c r="AG21" s="46">
        <v>1480.9</v>
      </c>
      <c r="AH21" s="34">
        <v>10.0</v>
      </c>
      <c r="AI21" s="35" t="s">
        <v>28</v>
      </c>
      <c r="AJ21" s="36" t="s">
        <v>32</v>
      </c>
      <c r="AK21" s="1"/>
      <c r="AL21" s="32" t="s">
        <v>73</v>
      </c>
      <c r="AM21" s="46">
        <v>1480.9</v>
      </c>
      <c r="AN21" s="34">
        <v>10.0</v>
      </c>
      <c r="AO21" s="35" t="s">
        <v>28</v>
      </c>
      <c r="AP21" s="36" t="s">
        <v>32</v>
      </c>
      <c r="AQ21" s="1"/>
      <c r="AR21" s="32" t="s">
        <v>73</v>
      </c>
      <c r="AS21" s="46">
        <v>1480.9</v>
      </c>
      <c r="AT21" s="34">
        <v>10.0</v>
      </c>
      <c r="AU21" s="35" t="s">
        <v>28</v>
      </c>
      <c r="AV21" s="36" t="s">
        <v>32</v>
      </c>
      <c r="AW21" s="1"/>
      <c r="AX21" s="32" t="s">
        <v>73</v>
      </c>
      <c r="AY21" s="46">
        <v>1480.9</v>
      </c>
      <c r="AZ21" s="34">
        <v>10.0</v>
      </c>
      <c r="BA21" s="35" t="s">
        <v>28</v>
      </c>
      <c r="BB21" s="36" t="s">
        <v>32</v>
      </c>
      <c r="BC21" s="1"/>
      <c r="BD21" s="32" t="s">
        <v>73</v>
      </c>
      <c r="BE21" s="46">
        <v>1480.9</v>
      </c>
      <c r="BF21" s="34">
        <v>10.0</v>
      </c>
      <c r="BG21" s="35" t="s">
        <v>28</v>
      </c>
      <c r="BH21" s="36" t="s">
        <v>32</v>
      </c>
      <c r="BI21" s="1"/>
      <c r="BJ21" s="32" t="s">
        <v>73</v>
      </c>
      <c r="BK21" s="46">
        <v>1480.9</v>
      </c>
      <c r="BL21" s="34">
        <v>10.0</v>
      </c>
      <c r="BM21" s="35" t="s">
        <v>28</v>
      </c>
      <c r="BN21" s="36" t="s">
        <v>32</v>
      </c>
      <c r="BO21" s="1"/>
      <c r="BP21" s="32" t="s">
        <v>73</v>
      </c>
      <c r="BQ21" s="46">
        <v>1480.9</v>
      </c>
      <c r="BR21" s="34">
        <v>10.0</v>
      </c>
      <c r="BS21" s="35" t="s">
        <v>28</v>
      </c>
      <c r="BT21" s="36" t="s">
        <v>32</v>
      </c>
      <c r="BU21" s="4"/>
    </row>
    <row r="22">
      <c r="A22" s="1"/>
      <c r="B22" s="32" t="s">
        <v>74</v>
      </c>
      <c r="D22" s="34">
        <v>10.0</v>
      </c>
      <c r="E22" s="35" t="s">
        <v>32</v>
      </c>
      <c r="G22" s="1"/>
      <c r="H22" s="32" t="s">
        <v>74</v>
      </c>
      <c r="I22" s="46">
        <v>1092.0</v>
      </c>
      <c r="J22" s="34">
        <v>10.0</v>
      </c>
      <c r="K22" s="35" t="s">
        <v>32</v>
      </c>
      <c r="L22" s="36" t="s">
        <v>32</v>
      </c>
      <c r="M22" s="1"/>
      <c r="N22" s="32" t="s">
        <v>74</v>
      </c>
      <c r="O22" s="46">
        <v>1092.0</v>
      </c>
      <c r="P22" s="34">
        <v>10.0</v>
      </c>
      <c r="Q22" s="35" t="s">
        <v>32</v>
      </c>
      <c r="R22" s="36" t="s">
        <v>32</v>
      </c>
      <c r="S22" s="1"/>
      <c r="T22" s="32" t="s">
        <v>74</v>
      </c>
      <c r="U22" s="46">
        <v>1092.0</v>
      </c>
      <c r="V22" s="34">
        <v>10.0</v>
      </c>
      <c r="W22" s="35" t="s">
        <v>32</v>
      </c>
      <c r="X22" s="36" t="s">
        <v>32</v>
      </c>
      <c r="Y22" s="1"/>
      <c r="Z22" s="32" t="s">
        <v>74</v>
      </c>
      <c r="AA22" s="46">
        <v>1092.0</v>
      </c>
      <c r="AB22" s="34">
        <v>10.0</v>
      </c>
      <c r="AC22" s="35" t="s">
        <v>32</v>
      </c>
      <c r="AD22" s="36" t="s">
        <v>32</v>
      </c>
      <c r="AE22" s="1"/>
      <c r="AF22" s="32" t="s">
        <v>74</v>
      </c>
      <c r="AG22" s="46">
        <v>1092.0</v>
      </c>
      <c r="AH22" s="34">
        <v>10.0</v>
      </c>
      <c r="AI22" s="35" t="s">
        <v>32</v>
      </c>
      <c r="AJ22" s="36" t="s">
        <v>32</v>
      </c>
      <c r="AK22" s="1"/>
      <c r="AL22" s="32" t="s">
        <v>74</v>
      </c>
      <c r="AM22" s="46">
        <v>1092.0</v>
      </c>
      <c r="AN22" s="34">
        <v>10.0</v>
      </c>
      <c r="AO22" s="35" t="s">
        <v>32</v>
      </c>
      <c r="AP22" s="36" t="s">
        <v>32</v>
      </c>
      <c r="AQ22" s="1"/>
      <c r="AR22" s="32" t="s">
        <v>74</v>
      </c>
      <c r="AS22" s="46">
        <v>1092.0</v>
      </c>
      <c r="AT22" s="34">
        <v>10.0</v>
      </c>
      <c r="AU22" s="35" t="s">
        <v>32</v>
      </c>
      <c r="AV22" s="36" t="s">
        <v>32</v>
      </c>
      <c r="AW22" s="1"/>
      <c r="AX22" s="32" t="s">
        <v>74</v>
      </c>
      <c r="AY22" s="46">
        <v>1092.0</v>
      </c>
      <c r="AZ22" s="34">
        <v>10.0</v>
      </c>
      <c r="BA22" s="35" t="s">
        <v>32</v>
      </c>
      <c r="BB22" s="36" t="s">
        <v>32</v>
      </c>
      <c r="BC22" s="1"/>
      <c r="BD22" s="32" t="s">
        <v>74</v>
      </c>
      <c r="BE22" s="46">
        <v>1092.0</v>
      </c>
      <c r="BF22" s="34">
        <v>10.0</v>
      </c>
      <c r="BG22" s="35" t="s">
        <v>32</v>
      </c>
      <c r="BH22" s="36" t="s">
        <v>32</v>
      </c>
      <c r="BI22" s="1"/>
      <c r="BJ22" s="32" t="s">
        <v>74</v>
      </c>
      <c r="BK22" s="46">
        <v>1092.0</v>
      </c>
      <c r="BL22" s="34">
        <v>10.0</v>
      </c>
      <c r="BM22" s="35" t="s">
        <v>32</v>
      </c>
      <c r="BN22" s="36" t="s">
        <v>32</v>
      </c>
      <c r="BO22" s="1"/>
      <c r="BP22" s="32" t="s">
        <v>74</v>
      </c>
      <c r="BQ22" s="46">
        <v>1092.0</v>
      </c>
      <c r="BR22" s="34">
        <v>10.0</v>
      </c>
      <c r="BS22" s="35" t="s">
        <v>32</v>
      </c>
      <c r="BT22" s="36" t="s">
        <v>32</v>
      </c>
      <c r="BU22" s="4"/>
    </row>
    <row r="23">
      <c r="A23" s="1"/>
      <c r="B23" s="32" t="s">
        <v>75</v>
      </c>
      <c r="D23" s="34">
        <v>10.0</v>
      </c>
      <c r="E23" s="35" t="s">
        <v>28</v>
      </c>
      <c r="G23" s="1"/>
      <c r="H23" s="32" t="s">
        <v>75</v>
      </c>
      <c r="I23" s="46">
        <v>693.08</v>
      </c>
      <c r="J23" s="34">
        <v>10.0</v>
      </c>
      <c r="K23" s="35" t="s">
        <v>28</v>
      </c>
      <c r="L23" s="36" t="s">
        <v>32</v>
      </c>
      <c r="M23" s="1"/>
      <c r="N23" s="32" t="s">
        <v>75</v>
      </c>
      <c r="O23" s="46">
        <v>693.08</v>
      </c>
      <c r="P23" s="34">
        <v>10.0</v>
      </c>
      <c r="Q23" s="35" t="s">
        <v>28</v>
      </c>
      <c r="R23" s="36" t="s">
        <v>32</v>
      </c>
      <c r="S23" s="1"/>
      <c r="T23" s="32" t="s">
        <v>75</v>
      </c>
      <c r="U23" s="46">
        <v>693.08</v>
      </c>
      <c r="V23" s="34">
        <v>10.0</v>
      </c>
      <c r="W23" s="35" t="s">
        <v>28</v>
      </c>
      <c r="X23" s="36" t="s">
        <v>32</v>
      </c>
      <c r="Y23" s="1"/>
      <c r="Z23" s="32" t="s">
        <v>75</v>
      </c>
      <c r="AA23" s="46">
        <v>693.08</v>
      </c>
      <c r="AB23" s="34">
        <v>10.0</v>
      </c>
      <c r="AC23" s="35" t="s">
        <v>28</v>
      </c>
      <c r="AD23" s="36" t="s">
        <v>32</v>
      </c>
      <c r="AE23" s="1"/>
      <c r="AF23" s="32" t="s">
        <v>75</v>
      </c>
      <c r="AG23" s="46">
        <v>693.08</v>
      </c>
      <c r="AH23" s="34">
        <v>10.0</v>
      </c>
      <c r="AI23" s="35" t="s">
        <v>28</v>
      </c>
      <c r="AJ23" s="36" t="s">
        <v>32</v>
      </c>
      <c r="AK23" s="1"/>
      <c r="AL23" s="32" t="s">
        <v>75</v>
      </c>
      <c r="AM23" s="46">
        <v>693.08</v>
      </c>
      <c r="AN23" s="34">
        <v>10.0</v>
      </c>
      <c r="AO23" s="35" t="s">
        <v>28</v>
      </c>
      <c r="AP23" s="36" t="s">
        <v>32</v>
      </c>
      <c r="AQ23" s="1"/>
      <c r="AR23" s="32" t="s">
        <v>75</v>
      </c>
      <c r="AS23" s="46">
        <v>693.08</v>
      </c>
      <c r="AT23" s="34">
        <v>10.0</v>
      </c>
      <c r="AU23" s="35" t="s">
        <v>28</v>
      </c>
      <c r="AV23" s="36" t="s">
        <v>32</v>
      </c>
      <c r="AW23" s="1"/>
      <c r="AX23" s="32" t="s">
        <v>75</v>
      </c>
      <c r="AY23" s="46">
        <v>693.08</v>
      </c>
      <c r="AZ23" s="34">
        <v>10.0</v>
      </c>
      <c r="BA23" s="35" t="s">
        <v>28</v>
      </c>
      <c r="BB23" s="36" t="s">
        <v>32</v>
      </c>
      <c r="BC23" s="1"/>
      <c r="BD23" s="32" t="s">
        <v>75</v>
      </c>
      <c r="BE23" s="46">
        <v>693.08</v>
      </c>
      <c r="BF23" s="34">
        <v>10.0</v>
      </c>
      <c r="BG23" s="35" t="s">
        <v>28</v>
      </c>
      <c r="BH23" s="36" t="s">
        <v>32</v>
      </c>
      <c r="BI23" s="1"/>
      <c r="BJ23" s="32" t="s">
        <v>75</v>
      </c>
      <c r="BK23" s="46">
        <v>693.08</v>
      </c>
      <c r="BL23" s="34">
        <v>10.0</v>
      </c>
      <c r="BM23" s="35" t="s">
        <v>28</v>
      </c>
      <c r="BN23" s="36" t="s">
        <v>32</v>
      </c>
      <c r="BO23" s="1"/>
      <c r="BP23" s="32" t="s">
        <v>75</v>
      </c>
      <c r="BQ23" s="46">
        <v>693.08</v>
      </c>
      <c r="BR23" s="34">
        <v>10.0</v>
      </c>
      <c r="BS23" s="35" t="s">
        <v>28</v>
      </c>
      <c r="BT23" s="36" t="s">
        <v>32</v>
      </c>
      <c r="BU23" s="4"/>
    </row>
    <row r="24">
      <c r="A24" s="1"/>
      <c r="B24" s="32" t="s">
        <v>76</v>
      </c>
      <c r="C24" s="52">
        <v>246.6</v>
      </c>
      <c r="D24" s="34">
        <v>10.0</v>
      </c>
      <c r="E24" s="35" t="s">
        <v>28</v>
      </c>
      <c r="F24" s="36" t="s">
        <v>32</v>
      </c>
      <c r="G24" s="1"/>
      <c r="H24" s="32" t="s">
        <v>76</v>
      </c>
      <c r="I24" s="33">
        <v>368.44</v>
      </c>
      <c r="J24" s="34">
        <v>10.0</v>
      </c>
      <c r="K24" s="35" t="s">
        <v>28</v>
      </c>
      <c r="L24" s="36" t="s">
        <v>32</v>
      </c>
      <c r="M24" s="1"/>
      <c r="N24" s="32" t="s">
        <v>76</v>
      </c>
      <c r="O24" s="52">
        <v>417.95</v>
      </c>
      <c r="P24" s="34">
        <v>10.0</v>
      </c>
      <c r="Q24" s="35" t="s">
        <v>28</v>
      </c>
      <c r="R24" s="36" t="s">
        <v>32</v>
      </c>
      <c r="S24" s="1"/>
      <c r="T24" s="32" t="s">
        <v>76</v>
      </c>
      <c r="U24" s="33">
        <v>396.84</v>
      </c>
      <c r="V24" s="34">
        <v>10.0</v>
      </c>
      <c r="W24" s="35" t="s">
        <v>28</v>
      </c>
      <c r="X24" s="36" t="s">
        <v>32</v>
      </c>
      <c r="Y24" s="1"/>
      <c r="Z24" s="32" t="s">
        <v>76</v>
      </c>
      <c r="AA24" s="52">
        <v>458.55</v>
      </c>
      <c r="AB24" s="34">
        <v>10.0</v>
      </c>
      <c r="AC24" s="35" t="s">
        <v>28</v>
      </c>
      <c r="AD24" s="36" t="s">
        <v>32</v>
      </c>
      <c r="AE24" s="1"/>
      <c r="AF24" s="32" t="s">
        <v>76</v>
      </c>
      <c r="AG24" s="33">
        <v>211.38</v>
      </c>
      <c r="AH24" s="34">
        <v>10.0</v>
      </c>
      <c r="AI24" s="35" t="s">
        <v>28</v>
      </c>
      <c r="AJ24" s="36" t="s">
        <v>32</v>
      </c>
      <c r="AK24" s="1"/>
      <c r="AL24" s="32" t="s">
        <v>76</v>
      </c>
      <c r="AM24" s="52">
        <v>517.04</v>
      </c>
      <c r="AN24" s="34">
        <v>10.0</v>
      </c>
      <c r="AO24" s="35" t="s">
        <v>28</v>
      </c>
      <c r="AP24" s="36" t="s">
        <v>32</v>
      </c>
      <c r="AQ24" s="1"/>
      <c r="AR24" s="32" t="s">
        <v>76</v>
      </c>
      <c r="AS24" s="33">
        <v>402.78</v>
      </c>
      <c r="AT24" s="34">
        <v>10.0</v>
      </c>
      <c r="AU24" s="35" t="s">
        <v>28</v>
      </c>
      <c r="AV24" s="36" t="s">
        <v>32</v>
      </c>
      <c r="AW24" s="1"/>
      <c r="AX24" s="32" t="s">
        <v>76</v>
      </c>
      <c r="AY24" s="52">
        <v>380.11</v>
      </c>
      <c r="AZ24" s="34">
        <v>10.0</v>
      </c>
      <c r="BA24" s="35" t="s">
        <v>28</v>
      </c>
      <c r="BB24" s="36" t="s">
        <v>32</v>
      </c>
      <c r="BC24" s="1"/>
      <c r="BD24" s="32" t="s">
        <v>76</v>
      </c>
      <c r="BE24" s="33">
        <v>394.79</v>
      </c>
      <c r="BF24" s="34">
        <v>10.0</v>
      </c>
      <c r="BG24" s="35" t="s">
        <v>28</v>
      </c>
      <c r="BH24" s="36" t="s">
        <v>32</v>
      </c>
      <c r="BI24" s="1"/>
      <c r="BJ24" s="32" t="s">
        <v>76</v>
      </c>
      <c r="BK24" s="52">
        <v>394.06</v>
      </c>
      <c r="BL24" s="34">
        <v>10.0</v>
      </c>
      <c r="BM24" s="35" t="s">
        <v>28</v>
      </c>
      <c r="BN24" s="36" t="s">
        <v>32</v>
      </c>
      <c r="BO24" s="1"/>
      <c r="BP24" s="32" t="s">
        <v>76</v>
      </c>
      <c r="BQ24" s="33">
        <v>336.03</v>
      </c>
      <c r="BR24" s="34">
        <v>10.0</v>
      </c>
      <c r="BS24" s="35" t="s">
        <v>28</v>
      </c>
      <c r="BT24" s="36" t="s">
        <v>32</v>
      </c>
      <c r="BU24" s="4"/>
    </row>
    <row r="25">
      <c r="A25" s="1"/>
      <c r="B25" s="32" t="s">
        <v>77</v>
      </c>
      <c r="C25" s="33">
        <v>50.0</v>
      </c>
      <c r="D25" s="34">
        <v>10.0</v>
      </c>
      <c r="E25" s="35" t="s">
        <v>34</v>
      </c>
      <c r="F25" s="36" t="s">
        <v>32</v>
      </c>
      <c r="G25" s="1"/>
      <c r="H25" s="32" t="s">
        <v>77</v>
      </c>
      <c r="I25" s="33">
        <v>50.0</v>
      </c>
      <c r="J25" s="34">
        <v>10.0</v>
      </c>
      <c r="K25" s="35" t="s">
        <v>34</v>
      </c>
      <c r="L25" s="36" t="s">
        <v>32</v>
      </c>
      <c r="M25" s="1"/>
      <c r="N25" s="32" t="s">
        <v>77</v>
      </c>
      <c r="O25" s="33"/>
      <c r="P25" s="34">
        <v>10.0</v>
      </c>
      <c r="Q25" s="35" t="s">
        <v>34</v>
      </c>
      <c r="R25" s="36" t="s">
        <v>32</v>
      </c>
      <c r="S25" s="1"/>
      <c r="T25" s="32" t="s">
        <v>77</v>
      </c>
      <c r="U25" s="33">
        <v>100.0</v>
      </c>
      <c r="V25" s="34">
        <v>10.0</v>
      </c>
      <c r="W25" s="35" t="s">
        <v>34</v>
      </c>
      <c r="X25" s="36" t="s">
        <v>32</v>
      </c>
      <c r="Y25" s="1"/>
      <c r="Z25" s="32" t="s">
        <v>77</v>
      </c>
      <c r="AA25" s="33"/>
      <c r="AB25" s="34">
        <v>10.0</v>
      </c>
      <c r="AC25" s="35" t="s">
        <v>34</v>
      </c>
      <c r="AD25" s="36" t="s">
        <v>32</v>
      </c>
      <c r="AE25" s="1"/>
      <c r="AF25" s="32" t="s">
        <v>77</v>
      </c>
      <c r="AG25" s="33"/>
      <c r="AH25" s="34">
        <v>10.0</v>
      </c>
      <c r="AI25" s="35" t="s">
        <v>34</v>
      </c>
      <c r="AJ25" s="36" t="s">
        <v>32</v>
      </c>
      <c r="AK25" s="1"/>
      <c r="AL25" s="32" t="s">
        <v>77</v>
      </c>
      <c r="AM25" s="33"/>
      <c r="AN25" s="34">
        <v>10.0</v>
      </c>
      <c r="AO25" s="35" t="s">
        <v>34</v>
      </c>
      <c r="AP25" s="36" t="s">
        <v>32</v>
      </c>
      <c r="AQ25" s="1"/>
      <c r="AR25" s="32" t="s">
        <v>77</v>
      </c>
      <c r="AS25" s="33"/>
      <c r="AT25" s="34">
        <v>10.0</v>
      </c>
      <c r="AU25" s="35" t="s">
        <v>34</v>
      </c>
      <c r="AV25" s="36" t="s">
        <v>32</v>
      </c>
      <c r="AW25" s="1"/>
      <c r="AX25" s="32" t="s">
        <v>77</v>
      </c>
      <c r="AY25" s="33"/>
      <c r="AZ25" s="34">
        <v>10.0</v>
      </c>
      <c r="BA25" s="35" t="s">
        <v>34</v>
      </c>
      <c r="BB25" s="36" t="s">
        <v>32</v>
      </c>
      <c r="BC25" s="1"/>
      <c r="BD25" s="32" t="s">
        <v>77</v>
      </c>
      <c r="BE25" s="33"/>
      <c r="BF25" s="34">
        <v>10.0</v>
      </c>
      <c r="BG25" s="35" t="s">
        <v>34</v>
      </c>
      <c r="BH25" s="36" t="s">
        <v>32</v>
      </c>
      <c r="BI25" s="1"/>
      <c r="BJ25" s="32" t="s">
        <v>77</v>
      </c>
      <c r="BK25" s="33">
        <v>100.0</v>
      </c>
      <c r="BL25" s="34">
        <v>10.0</v>
      </c>
      <c r="BM25" s="35" t="s">
        <v>34</v>
      </c>
      <c r="BN25" s="36" t="s">
        <v>32</v>
      </c>
      <c r="BO25" s="1"/>
      <c r="BP25" s="32" t="s">
        <v>77</v>
      </c>
      <c r="BQ25" s="33"/>
      <c r="BR25" s="34">
        <v>10.0</v>
      </c>
      <c r="BS25" s="35" t="s">
        <v>34</v>
      </c>
      <c r="BT25" s="36" t="s">
        <v>32</v>
      </c>
      <c r="BU25" s="4"/>
    </row>
    <row r="26">
      <c r="A26" s="1"/>
      <c r="B26" s="32" t="s">
        <v>78</v>
      </c>
      <c r="C26" s="33">
        <v>280.0</v>
      </c>
      <c r="D26" s="34">
        <v>3.0</v>
      </c>
      <c r="E26" s="35" t="s">
        <v>28</v>
      </c>
      <c r="F26" s="36" t="s">
        <v>32</v>
      </c>
      <c r="G26" s="1"/>
      <c r="H26" s="32" t="s">
        <v>78</v>
      </c>
      <c r="I26" s="33">
        <v>250.0</v>
      </c>
      <c r="J26" s="34">
        <v>3.0</v>
      </c>
      <c r="K26" s="35" t="s">
        <v>28</v>
      </c>
      <c r="L26" s="36" t="s">
        <v>32</v>
      </c>
      <c r="M26" s="1"/>
      <c r="N26" s="32" t="s">
        <v>78</v>
      </c>
      <c r="O26" s="33">
        <v>300.0</v>
      </c>
      <c r="P26" s="34">
        <v>3.0</v>
      </c>
      <c r="Q26" s="35" t="s">
        <v>28</v>
      </c>
      <c r="R26" s="36" t="s">
        <v>32</v>
      </c>
      <c r="S26" s="1"/>
      <c r="T26" s="32" t="s">
        <v>78</v>
      </c>
      <c r="U26" s="33">
        <v>300.0</v>
      </c>
      <c r="V26" s="34">
        <v>3.0</v>
      </c>
      <c r="W26" s="35" t="s">
        <v>28</v>
      </c>
      <c r="X26" s="36" t="s">
        <v>32</v>
      </c>
      <c r="Y26" s="1"/>
      <c r="Z26" s="32" t="s">
        <v>78</v>
      </c>
      <c r="AA26" s="33">
        <v>300.0</v>
      </c>
      <c r="AB26" s="34">
        <v>3.0</v>
      </c>
      <c r="AC26" s="35" t="s">
        <v>28</v>
      </c>
      <c r="AD26" s="36" t="s">
        <v>32</v>
      </c>
      <c r="AE26" s="1"/>
      <c r="AF26" s="32" t="s">
        <v>78</v>
      </c>
      <c r="AG26" s="33">
        <v>300.0</v>
      </c>
      <c r="AH26" s="34">
        <v>3.0</v>
      </c>
      <c r="AI26" s="53" t="s">
        <v>32</v>
      </c>
      <c r="AJ26" s="36" t="s">
        <v>32</v>
      </c>
      <c r="AK26" s="1"/>
      <c r="AL26" s="32" t="s">
        <v>78</v>
      </c>
      <c r="AM26" s="33">
        <v>300.0</v>
      </c>
      <c r="AN26" s="34">
        <v>3.0</v>
      </c>
      <c r="AO26" s="35" t="s">
        <v>28</v>
      </c>
      <c r="AP26" s="36" t="s">
        <v>32</v>
      </c>
      <c r="AQ26" s="1"/>
      <c r="AR26" s="32" t="s">
        <v>78</v>
      </c>
      <c r="AS26" s="33">
        <v>300.0</v>
      </c>
      <c r="AT26" s="34">
        <v>3.0</v>
      </c>
      <c r="AU26" s="35" t="s">
        <v>28</v>
      </c>
      <c r="AV26" s="36" t="s">
        <v>32</v>
      </c>
      <c r="AW26" s="1"/>
      <c r="AX26" s="32" t="s">
        <v>78</v>
      </c>
      <c r="AY26" s="33">
        <v>300.0</v>
      </c>
      <c r="AZ26" s="34">
        <v>3.0</v>
      </c>
      <c r="BA26" s="35" t="s">
        <v>28</v>
      </c>
      <c r="BB26" s="36" t="s">
        <v>32</v>
      </c>
      <c r="BC26" s="1"/>
      <c r="BD26" s="32" t="s">
        <v>78</v>
      </c>
      <c r="BE26" s="33">
        <v>300.0</v>
      </c>
      <c r="BF26" s="34">
        <v>3.0</v>
      </c>
      <c r="BG26" s="35" t="s">
        <v>28</v>
      </c>
      <c r="BH26" s="36" t="s">
        <v>32</v>
      </c>
      <c r="BI26" s="1"/>
      <c r="BJ26" s="32" t="s">
        <v>78</v>
      </c>
      <c r="BK26" s="33">
        <v>300.0</v>
      </c>
      <c r="BL26" s="34">
        <v>3.0</v>
      </c>
      <c r="BM26" s="35" t="s">
        <v>28</v>
      </c>
      <c r="BN26" s="36" t="s">
        <v>32</v>
      </c>
      <c r="BO26" s="1"/>
      <c r="BP26" s="32" t="s">
        <v>78</v>
      </c>
      <c r="BQ26" s="33">
        <v>300.0</v>
      </c>
      <c r="BR26" s="34">
        <v>3.0</v>
      </c>
      <c r="BS26" s="35" t="s">
        <v>28</v>
      </c>
      <c r="BT26" s="36" t="s">
        <v>32</v>
      </c>
      <c r="BU26" s="4"/>
    </row>
    <row r="27">
      <c r="A27" s="1"/>
      <c r="B27" s="32" t="s">
        <v>80</v>
      </c>
      <c r="C27" s="33">
        <v>1699.22</v>
      </c>
      <c r="D27" s="34">
        <v>25.0</v>
      </c>
      <c r="E27" s="35" t="s">
        <v>32</v>
      </c>
      <c r="F27" s="36" t="s">
        <v>32</v>
      </c>
      <c r="G27" s="1"/>
      <c r="H27" s="32" t="s">
        <v>80</v>
      </c>
      <c r="I27" s="33">
        <v>1699.22</v>
      </c>
      <c r="J27" s="34">
        <v>25.0</v>
      </c>
      <c r="K27" s="35" t="s">
        <v>32</v>
      </c>
      <c r="L27" s="36" t="s">
        <v>32</v>
      </c>
      <c r="M27" s="1"/>
      <c r="N27" s="32" t="s">
        <v>79</v>
      </c>
      <c r="O27" s="33">
        <v>1820.55</v>
      </c>
      <c r="P27" s="34">
        <v>30.0</v>
      </c>
      <c r="Q27" s="35" t="s">
        <v>32</v>
      </c>
      <c r="R27" s="36" t="s">
        <v>32</v>
      </c>
      <c r="S27" s="1"/>
      <c r="T27" s="32" t="s">
        <v>79</v>
      </c>
      <c r="U27" s="33">
        <v>1820.55</v>
      </c>
      <c r="V27" s="34">
        <v>30.0</v>
      </c>
      <c r="W27" s="35" t="s">
        <v>32</v>
      </c>
      <c r="X27" s="36" t="s">
        <v>32</v>
      </c>
      <c r="Y27" s="1"/>
      <c r="Z27" s="32" t="s">
        <v>79</v>
      </c>
      <c r="AA27" s="33">
        <v>1820.55</v>
      </c>
      <c r="AB27" s="34">
        <v>30.0</v>
      </c>
      <c r="AC27" s="35" t="s">
        <v>32</v>
      </c>
      <c r="AD27" s="36" t="s">
        <v>32</v>
      </c>
      <c r="AE27" s="1"/>
      <c r="AF27" s="32" t="s">
        <v>79</v>
      </c>
      <c r="AG27" s="33">
        <v>1820.55</v>
      </c>
      <c r="AH27" s="34">
        <v>25.0</v>
      </c>
      <c r="AI27" s="35" t="s">
        <v>32</v>
      </c>
      <c r="AJ27" s="36" t="s">
        <v>32</v>
      </c>
      <c r="AK27" s="1"/>
      <c r="AL27" s="32" t="s">
        <v>79</v>
      </c>
      <c r="AM27" s="33">
        <v>1820.55</v>
      </c>
      <c r="AN27" s="34">
        <v>30.0</v>
      </c>
      <c r="AO27" s="35" t="s">
        <v>32</v>
      </c>
      <c r="AP27" s="36" t="s">
        <v>32</v>
      </c>
      <c r="AQ27" s="1"/>
      <c r="AR27" s="32" t="s">
        <v>79</v>
      </c>
      <c r="AS27" s="33">
        <v>1820.55</v>
      </c>
      <c r="AT27" s="34">
        <v>25.0</v>
      </c>
      <c r="AU27" s="35" t="s">
        <v>32</v>
      </c>
      <c r="AV27" s="36" t="s">
        <v>32</v>
      </c>
      <c r="AW27" s="1"/>
      <c r="AX27" s="32" t="s">
        <v>79</v>
      </c>
      <c r="AY27" s="33">
        <v>2414.08</v>
      </c>
      <c r="AZ27" s="34">
        <v>30.0</v>
      </c>
      <c r="BA27" s="35" t="s">
        <v>32</v>
      </c>
      <c r="BB27" s="36" t="s">
        <v>32</v>
      </c>
      <c r="BC27" s="1"/>
      <c r="BD27" s="32" t="s">
        <v>79</v>
      </c>
      <c r="BE27" s="33">
        <v>2463.16</v>
      </c>
      <c r="BF27" s="34">
        <v>25.0</v>
      </c>
      <c r="BG27" s="35" t="s">
        <v>32</v>
      </c>
      <c r="BH27" s="36" t="s">
        <v>32</v>
      </c>
      <c r="BI27" s="1"/>
      <c r="BJ27" s="32" t="s">
        <v>79</v>
      </c>
      <c r="BK27" s="33">
        <v>2468.79</v>
      </c>
      <c r="BL27" s="34">
        <v>30.0</v>
      </c>
      <c r="BM27" s="35" t="s">
        <v>32</v>
      </c>
      <c r="BN27" s="36" t="s">
        <v>32</v>
      </c>
      <c r="BO27" s="1"/>
      <c r="BP27" s="32" t="s">
        <v>79</v>
      </c>
      <c r="BQ27" s="54">
        <v>1207.04</v>
      </c>
      <c r="BR27" s="34">
        <v>25.0</v>
      </c>
      <c r="BS27" s="35" t="s">
        <v>32</v>
      </c>
      <c r="BT27" s="36" t="s">
        <v>32</v>
      </c>
      <c r="BU27" s="4"/>
    </row>
    <row r="28">
      <c r="A28" s="1"/>
      <c r="B28" s="32" t="s">
        <v>81</v>
      </c>
      <c r="C28" s="33">
        <v>1404.15</v>
      </c>
      <c r="D28" s="34">
        <v>30.0</v>
      </c>
      <c r="E28" s="35" t="s">
        <v>28</v>
      </c>
      <c r="F28" s="36" t="s">
        <v>32</v>
      </c>
      <c r="G28" s="1"/>
      <c r="H28" s="32" t="s">
        <v>81</v>
      </c>
      <c r="I28" s="33">
        <v>1404.15</v>
      </c>
      <c r="J28" s="34">
        <v>30.0</v>
      </c>
      <c r="K28" s="35" t="s">
        <v>28</v>
      </c>
      <c r="L28" s="36" t="s">
        <v>32</v>
      </c>
      <c r="M28" s="1"/>
      <c r="N28" s="32" t="s">
        <v>81</v>
      </c>
      <c r="O28" s="33">
        <v>1404.15</v>
      </c>
      <c r="P28" s="34">
        <v>30.0</v>
      </c>
      <c r="Q28" s="35" t="s">
        <v>28</v>
      </c>
      <c r="R28" s="36" t="s">
        <v>32</v>
      </c>
      <c r="S28" s="1"/>
      <c r="T28" s="32" t="s">
        <v>81</v>
      </c>
      <c r="U28" s="33">
        <v>1404.15</v>
      </c>
      <c r="V28" s="34">
        <v>30.0</v>
      </c>
      <c r="W28" s="35" t="s">
        <v>28</v>
      </c>
      <c r="X28" s="36" t="s">
        <v>32</v>
      </c>
      <c r="Y28" s="1"/>
      <c r="Z28" s="32" t="s">
        <v>81</v>
      </c>
      <c r="AA28" s="33">
        <v>1404.15</v>
      </c>
      <c r="AB28" s="34">
        <v>30.0</v>
      </c>
      <c r="AC28" s="35" t="s">
        <v>28</v>
      </c>
      <c r="AD28" s="36" t="s">
        <v>32</v>
      </c>
      <c r="AE28" s="1"/>
      <c r="AF28" s="32" t="s">
        <v>81</v>
      </c>
      <c r="AG28" s="33">
        <v>1404.15</v>
      </c>
      <c r="AH28" s="34">
        <v>30.0</v>
      </c>
      <c r="AI28" s="35" t="s">
        <v>28</v>
      </c>
      <c r="AJ28" s="36" t="s">
        <v>32</v>
      </c>
      <c r="AK28" s="1"/>
      <c r="AL28" s="32" t="s">
        <v>81</v>
      </c>
      <c r="AM28" s="33">
        <v>1404.15</v>
      </c>
      <c r="AN28" s="34">
        <v>30.0</v>
      </c>
      <c r="AO28" s="35" t="s">
        <v>28</v>
      </c>
      <c r="AP28" s="36" t="s">
        <v>32</v>
      </c>
      <c r="AQ28" s="1"/>
      <c r="AR28" s="32" t="s">
        <v>81</v>
      </c>
      <c r="AS28" s="33">
        <v>1404.15</v>
      </c>
      <c r="AT28" s="34">
        <v>30.0</v>
      </c>
      <c r="AU28" s="35" t="s">
        <v>28</v>
      </c>
      <c r="AV28" s="36" t="s">
        <v>32</v>
      </c>
      <c r="AW28" s="1"/>
      <c r="AX28" s="32" t="s">
        <v>81</v>
      </c>
      <c r="AY28" s="33">
        <v>1304.15</v>
      </c>
      <c r="AZ28" s="34">
        <v>30.0</v>
      </c>
      <c r="BA28" s="35" t="s">
        <v>28</v>
      </c>
      <c r="BB28" s="36" t="s">
        <v>32</v>
      </c>
      <c r="BC28" s="1"/>
      <c r="BD28" s="32" t="s">
        <v>81</v>
      </c>
      <c r="BE28" s="33">
        <v>1404.15</v>
      </c>
      <c r="BF28" s="34">
        <v>30.0</v>
      </c>
      <c r="BG28" s="35" t="s">
        <v>28</v>
      </c>
      <c r="BH28" s="36" t="s">
        <v>32</v>
      </c>
      <c r="BI28" s="1"/>
      <c r="BJ28" s="32" t="s">
        <v>82</v>
      </c>
      <c r="BK28" s="33">
        <v>3218.76</v>
      </c>
      <c r="BL28" s="34">
        <v>30.0</v>
      </c>
      <c r="BM28" s="35" t="s">
        <v>28</v>
      </c>
      <c r="BN28" s="36" t="s">
        <v>32</v>
      </c>
      <c r="BO28" s="1"/>
      <c r="BP28" s="32" t="s">
        <v>81</v>
      </c>
      <c r="BQ28" s="33" t="s">
        <v>187</v>
      </c>
      <c r="BR28" s="34">
        <v>30.0</v>
      </c>
      <c r="BS28" s="35" t="s">
        <v>28</v>
      </c>
      <c r="BT28" s="36" t="s">
        <v>32</v>
      </c>
      <c r="BU28" s="4"/>
    </row>
    <row r="29">
      <c r="A29" s="1"/>
      <c r="B29" s="32" t="s">
        <v>83</v>
      </c>
      <c r="C29" s="33">
        <v>1061.49</v>
      </c>
      <c r="D29" s="34">
        <v>30.0</v>
      </c>
      <c r="E29" s="35" t="s">
        <v>28</v>
      </c>
      <c r="F29" s="36" t="s">
        <v>32</v>
      </c>
      <c r="G29" s="1"/>
      <c r="H29" s="32" t="s">
        <v>83</v>
      </c>
      <c r="I29" s="33">
        <v>414.44</v>
      </c>
      <c r="J29" s="34">
        <v>30.0</v>
      </c>
      <c r="K29" s="35" t="s">
        <v>28</v>
      </c>
      <c r="L29" s="36" t="s">
        <v>32</v>
      </c>
      <c r="M29" s="1"/>
      <c r="N29" s="32" t="s">
        <v>83</v>
      </c>
      <c r="O29" s="33">
        <v>417.44</v>
      </c>
      <c r="P29" s="34">
        <v>30.0</v>
      </c>
      <c r="Q29" s="35" t="s">
        <v>28</v>
      </c>
      <c r="R29" s="36" t="s">
        <v>32</v>
      </c>
      <c r="S29" s="1"/>
      <c r="T29" s="32" t="s">
        <v>83</v>
      </c>
      <c r="U29" s="33">
        <v>417.44</v>
      </c>
      <c r="V29" s="34">
        <v>30.0</v>
      </c>
      <c r="W29" s="35" t="s">
        <v>28</v>
      </c>
      <c r="X29" s="36" t="s">
        <v>32</v>
      </c>
      <c r="Y29" s="1"/>
      <c r="Z29" s="32" t="s">
        <v>83</v>
      </c>
      <c r="AA29" s="33">
        <v>417.44</v>
      </c>
      <c r="AB29" s="34">
        <v>30.0</v>
      </c>
      <c r="AC29" s="35" t="s">
        <v>28</v>
      </c>
      <c r="AD29" s="36" t="s">
        <v>32</v>
      </c>
      <c r="AE29" s="1"/>
      <c r="AF29" s="32" t="s">
        <v>83</v>
      </c>
      <c r="AG29" s="33">
        <v>417.44</v>
      </c>
      <c r="AH29" s="34">
        <v>30.0</v>
      </c>
      <c r="AI29" s="35" t="s">
        <v>28</v>
      </c>
      <c r="AJ29" s="36" t="s">
        <v>32</v>
      </c>
      <c r="AK29" s="1"/>
      <c r="AL29" s="32" t="s">
        <v>83</v>
      </c>
      <c r="AM29" s="33">
        <v>417.44</v>
      </c>
      <c r="AN29" s="34">
        <v>30.0</v>
      </c>
      <c r="AO29" s="35" t="s">
        <v>28</v>
      </c>
      <c r="AP29" s="36" t="s">
        <v>32</v>
      </c>
      <c r="AQ29" s="1"/>
      <c r="AR29" s="32" t="s">
        <v>83</v>
      </c>
      <c r="AS29" s="33">
        <v>427.58</v>
      </c>
      <c r="AT29" s="34">
        <v>30.0</v>
      </c>
      <c r="AU29" s="35" t="s">
        <v>28</v>
      </c>
      <c r="AV29" s="36" t="s">
        <v>32</v>
      </c>
      <c r="AW29" s="1"/>
      <c r="AX29" s="32" t="s">
        <v>83</v>
      </c>
      <c r="AY29" s="33">
        <v>417.44</v>
      </c>
      <c r="AZ29" s="34">
        <v>30.0</v>
      </c>
      <c r="BA29" s="35" t="s">
        <v>28</v>
      </c>
      <c r="BB29" s="36" t="s">
        <v>32</v>
      </c>
      <c r="BC29" s="1"/>
      <c r="BD29" s="32" t="s">
        <v>83</v>
      </c>
      <c r="BE29" s="33">
        <v>417.44</v>
      </c>
      <c r="BF29" s="34">
        <v>30.0</v>
      </c>
      <c r="BG29" s="35" t="s">
        <v>28</v>
      </c>
      <c r="BH29" s="36" t="s">
        <v>32</v>
      </c>
      <c r="BI29" s="1"/>
      <c r="BJ29" s="32" t="s">
        <v>83</v>
      </c>
      <c r="BK29" s="33">
        <v>587.46</v>
      </c>
      <c r="BL29" s="34">
        <v>30.0</v>
      </c>
      <c r="BM29" s="35" t="s">
        <v>28</v>
      </c>
      <c r="BN29" s="36" t="s">
        <v>32</v>
      </c>
      <c r="BO29" s="1"/>
      <c r="BP29" s="32" t="s">
        <v>83</v>
      </c>
      <c r="BQ29" s="33">
        <v>247.43</v>
      </c>
      <c r="BR29" s="34">
        <v>30.0</v>
      </c>
      <c r="BS29" s="35" t="s">
        <v>28</v>
      </c>
      <c r="BT29" s="36" t="s">
        <v>32</v>
      </c>
      <c r="BU29" s="4"/>
    </row>
    <row r="30">
      <c r="A30" s="1"/>
      <c r="B30" s="55" t="s">
        <v>84</v>
      </c>
      <c r="C30" s="56">
        <v>2171.07</v>
      </c>
      <c r="D30" s="34">
        <v>30.0</v>
      </c>
      <c r="E30" s="57" t="s">
        <v>32</v>
      </c>
      <c r="F30" s="58" t="s">
        <v>32</v>
      </c>
      <c r="G30" s="1"/>
      <c r="H30" s="55" t="s">
        <v>84</v>
      </c>
      <c r="I30" s="56">
        <v>2511.9</v>
      </c>
      <c r="J30" s="34">
        <v>30.0</v>
      </c>
      <c r="K30" s="57" t="s">
        <v>32</v>
      </c>
      <c r="L30" s="58" t="s">
        <v>32</v>
      </c>
      <c r="M30" s="1"/>
      <c r="N30" s="55" t="s">
        <v>84</v>
      </c>
      <c r="O30" s="56">
        <v>2091.07</v>
      </c>
      <c r="P30" s="34">
        <v>30.0</v>
      </c>
      <c r="Q30" s="57" t="s">
        <v>32</v>
      </c>
      <c r="R30" s="58" t="s">
        <v>32</v>
      </c>
      <c r="S30" s="1"/>
      <c r="T30" s="55" t="s">
        <v>84</v>
      </c>
      <c r="U30" s="56">
        <v>2242.11</v>
      </c>
      <c r="V30" s="34">
        <v>30.0</v>
      </c>
      <c r="W30" s="57" t="s">
        <v>32</v>
      </c>
      <c r="X30" s="58" t="s">
        <v>32</v>
      </c>
      <c r="Y30" s="1"/>
      <c r="Z30" s="55" t="s">
        <v>84</v>
      </c>
      <c r="AA30" s="56">
        <v>2235.56</v>
      </c>
      <c r="AB30" s="34">
        <v>30.0</v>
      </c>
      <c r="AC30" s="57" t="s">
        <v>32</v>
      </c>
      <c r="AD30" s="58" t="s">
        <v>32</v>
      </c>
      <c r="AE30" s="1"/>
      <c r="AF30" s="55" t="s">
        <v>84</v>
      </c>
      <c r="AG30" s="56">
        <v>2182.11</v>
      </c>
      <c r="AH30" s="34">
        <v>30.0</v>
      </c>
      <c r="AI30" s="57" t="s">
        <v>32</v>
      </c>
      <c r="AJ30" s="58" t="s">
        <v>32</v>
      </c>
      <c r="AK30" s="1"/>
      <c r="AL30" s="55" t="s">
        <v>84</v>
      </c>
      <c r="AM30" s="56">
        <v>2268.3</v>
      </c>
      <c r="AN30" s="34">
        <v>30.0</v>
      </c>
      <c r="AO30" s="57" t="s">
        <v>32</v>
      </c>
      <c r="AP30" s="58" t="s">
        <v>32</v>
      </c>
      <c r="AQ30" s="1"/>
      <c r="AR30" s="55" t="s">
        <v>84</v>
      </c>
      <c r="AS30" s="56">
        <v>2182.11</v>
      </c>
      <c r="AT30" s="34">
        <v>30.0</v>
      </c>
      <c r="AU30" s="57" t="s">
        <v>32</v>
      </c>
      <c r="AV30" s="58" t="s">
        <v>32</v>
      </c>
      <c r="AW30" s="1"/>
      <c r="AX30" s="55" t="s">
        <v>84</v>
      </c>
      <c r="AY30" s="56">
        <v>2182.11</v>
      </c>
      <c r="AZ30" s="34">
        <v>30.0</v>
      </c>
      <c r="BA30" s="57" t="s">
        <v>32</v>
      </c>
      <c r="BB30" s="58" t="s">
        <v>32</v>
      </c>
      <c r="BC30" s="1"/>
      <c r="BD30" s="55" t="s">
        <v>84</v>
      </c>
      <c r="BE30" s="56">
        <v>2229.02</v>
      </c>
      <c r="BF30" s="34">
        <v>30.0</v>
      </c>
      <c r="BG30" s="57" t="s">
        <v>32</v>
      </c>
      <c r="BH30" s="58" t="s">
        <v>32</v>
      </c>
      <c r="BI30" s="1"/>
      <c r="BJ30" s="32" t="s">
        <v>84</v>
      </c>
      <c r="BK30" s="33">
        <v>2242.11</v>
      </c>
      <c r="BL30" s="34">
        <v>30.0</v>
      </c>
      <c r="BM30" s="35" t="s">
        <v>32</v>
      </c>
      <c r="BN30" s="36" t="s">
        <v>32</v>
      </c>
      <c r="BO30" s="1"/>
      <c r="BP30" s="32" t="s">
        <v>84</v>
      </c>
      <c r="BQ30" s="33">
        <v>2247.11</v>
      </c>
      <c r="BR30" s="34">
        <v>30.0</v>
      </c>
      <c r="BS30" s="35" t="s">
        <v>32</v>
      </c>
      <c r="BT30" s="36" t="s">
        <v>32</v>
      </c>
      <c r="BU30" s="4"/>
    </row>
    <row r="31">
      <c r="A31" s="1"/>
      <c r="B31" s="36" t="s">
        <v>85</v>
      </c>
      <c r="C31" s="54">
        <v>788.46</v>
      </c>
      <c r="D31" s="39">
        <v>-25.0</v>
      </c>
      <c r="E31" s="35" t="s">
        <v>28</v>
      </c>
      <c r="F31" s="36" t="s">
        <v>32</v>
      </c>
      <c r="G31" s="1"/>
      <c r="H31" s="36" t="s">
        <v>85</v>
      </c>
      <c r="I31" s="54">
        <v>788.46</v>
      </c>
      <c r="J31" s="39">
        <v>-25.0</v>
      </c>
      <c r="K31" s="35" t="s">
        <v>28</v>
      </c>
      <c r="L31" s="36" t="s">
        <v>32</v>
      </c>
      <c r="M31" s="1"/>
      <c r="N31" s="36" t="s">
        <v>85</v>
      </c>
      <c r="O31" s="54">
        <v>781.12</v>
      </c>
      <c r="P31" s="39">
        <v>-25.0</v>
      </c>
      <c r="Q31" s="35" t="s">
        <v>28</v>
      </c>
      <c r="R31" s="36" t="s">
        <v>32</v>
      </c>
      <c r="S31" s="1"/>
      <c r="T31" s="36" t="s">
        <v>85</v>
      </c>
      <c r="U31" s="54">
        <v>795.8</v>
      </c>
      <c r="V31" s="39">
        <v>-25.0</v>
      </c>
      <c r="W31" s="35" t="s">
        <v>28</v>
      </c>
      <c r="X31" s="36" t="s">
        <v>32</v>
      </c>
      <c r="Y31" s="1"/>
      <c r="Z31" s="36" t="s">
        <v>85</v>
      </c>
      <c r="AA31" s="54">
        <v>879.58</v>
      </c>
      <c r="AB31" s="39">
        <v>-25.0</v>
      </c>
      <c r="AC31" s="35" t="s">
        <v>32</v>
      </c>
      <c r="AD31" s="36" t="s">
        <v>32</v>
      </c>
      <c r="AE31" s="1"/>
      <c r="AF31" s="36" t="s">
        <v>188</v>
      </c>
      <c r="AG31" s="54">
        <v>270.0</v>
      </c>
      <c r="AH31" s="39">
        <v>-29.0</v>
      </c>
      <c r="AI31" s="35" t="s">
        <v>32</v>
      </c>
      <c r="AJ31" s="36" t="s">
        <v>32</v>
      </c>
      <c r="AK31" s="1"/>
      <c r="AL31" s="36" t="s">
        <v>189</v>
      </c>
      <c r="AM31" s="54">
        <v>10000.0</v>
      </c>
      <c r="AN31" s="39">
        <v>-30.0</v>
      </c>
      <c r="AO31" s="35" t="s">
        <v>32</v>
      </c>
      <c r="AP31" s="36" t="s">
        <v>32</v>
      </c>
      <c r="AQ31" s="1"/>
      <c r="AR31" s="36" t="s">
        <v>92</v>
      </c>
      <c r="AS31" s="54">
        <v>199.4</v>
      </c>
      <c r="AT31" s="39">
        <v>-31.0</v>
      </c>
      <c r="AU31" s="35" t="s">
        <v>32</v>
      </c>
      <c r="AV31" s="36" t="s">
        <v>32</v>
      </c>
      <c r="AW31" s="1"/>
      <c r="AX31" s="36" t="s">
        <v>85</v>
      </c>
      <c r="AY31" s="54">
        <v>834.02</v>
      </c>
      <c r="AZ31" s="39">
        <v>-25.0</v>
      </c>
      <c r="BA31" s="35" t="s">
        <v>28</v>
      </c>
      <c r="BB31" s="36" t="s">
        <v>32</v>
      </c>
      <c r="BC31" s="1"/>
      <c r="BD31" s="36" t="s">
        <v>85</v>
      </c>
      <c r="BE31" s="54">
        <v>834.02</v>
      </c>
      <c r="BF31" s="39">
        <v>-25.0</v>
      </c>
      <c r="BG31" s="35" t="s">
        <v>28</v>
      </c>
      <c r="BH31" s="36" t="s">
        <v>32</v>
      </c>
      <c r="BI31" s="1"/>
      <c r="BJ31" s="36" t="s">
        <v>85</v>
      </c>
      <c r="BK31" s="54">
        <v>834.02</v>
      </c>
      <c r="BL31" s="39">
        <v>-25.0</v>
      </c>
      <c r="BM31" s="35" t="s">
        <v>28</v>
      </c>
      <c r="BN31" s="36" t="s">
        <v>32</v>
      </c>
      <c r="BO31" s="1"/>
      <c r="BP31" s="36" t="s">
        <v>85</v>
      </c>
      <c r="BQ31" s="54">
        <v>834.02</v>
      </c>
      <c r="BR31" s="39">
        <v>-19.0</v>
      </c>
      <c r="BS31" s="35" t="s">
        <v>28</v>
      </c>
      <c r="BT31" s="36" t="s">
        <v>32</v>
      </c>
      <c r="BU31" s="4"/>
    </row>
    <row r="32">
      <c r="A32" s="1"/>
      <c r="B32" s="36" t="s">
        <v>190</v>
      </c>
      <c r="C32" s="54">
        <v>181.07</v>
      </c>
      <c r="D32" s="39">
        <v>-25.0</v>
      </c>
      <c r="E32" s="35" t="s">
        <v>28</v>
      </c>
      <c r="F32" s="36" t="s">
        <v>32</v>
      </c>
      <c r="G32" s="1"/>
      <c r="H32" s="36" t="s">
        <v>109</v>
      </c>
      <c r="I32" s="54">
        <v>180.0</v>
      </c>
      <c r="J32" s="39">
        <v>3.0</v>
      </c>
      <c r="K32" s="35" t="s">
        <v>28</v>
      </c>
      <c r="L32" s="36" t="s">
        <v>32</v>
      </c>
      <c r="M32" s="1"/>
      <c r="N32" s="36" t="s">
        <v>191</v>
      </c>
      <c r="O32" s="54">
        <v>20.0</v>
      </c>
      <c r="P32" s="39">
        <v>5.0</v>
      </c>
      <c r="Q32" s="35" t="s">
        <v>28</v>
      </c>
      <c r="R32" s="36" t="s">
        <v>32</v>
      </c>
      <c r="S32" s="1"/>
      <c r="T32" s="36" t="s">
        <v>191</v>
      </c>
      <c r="U32" s="54">
        <v>20.0</v>
      </c>
      <c r="V32" s="39">
        <v>2.0</v>
      </c>
      <c r="W32" s="35" t="s">
        <v>28</v>
      </c>
      <c r="X32" s="36" t="s">
        <v>32</v>
      </c>
      <c r="Y32" s="1"/>
      <c r="Z32" s="36" t="s">
        <v>93</v>
      </c>
      <c r="AA32" s="54">
        <v>300.0</v>
      </c>
      <c r="AB32" s="39">
        <v>2.0</v>
      </c>
      <c r="AC32" s="35" t="s">
        <v>28</v>
      </c>
      <c r="AD32" s="36" t="s">
        <v>32</v>
      </c>
      <c r="AE32" s="1"/>
      <c r="AF32" s="36" t="s">
        <v>85</v>
      </c>
      <c r="AG32" s="54">
        <v>834.02</v>
      </c>
      <c r="AH32" s="39">
        <v>-26.0</v>
      </c>
      <c r="AI32" s="35" t="s">
        <v>28</v>
      </c>
      <c r="AJ32" s="36" t="s">
        <v>32</v>
      </c>
      <c r="AK32" s="1"/>
      <c r="AL32" s="36" t="s">
        <v>85</v>
      </c>
      <c r="AM32" s="54">
        <v>834.02</v>
      </c>
      <c r="AN32" s="39">
        <v>-25.0</v>
      </c>
      <c r="AO32" s="35" t="s">
        <v>28</v>
      </c>
      <c r="AP32" s="36" t="s">
        <v>32</v>
      </c>
      <c r="AQ32" s="1"/>
      <c r="AR32" s="36" t="s">
        <v>192</v>
      </c>
      <c r="AS32" s="54">
        <v>449.4</v>
      </c>
      <c r="AT32" s="39">
        <v>-25.0</v>
      </c>
      <c r="AU32" s="35" t="s">
        <v>28</v>
      </c>
      <c r="AV32" s="36" t="s">
        <v>32</v>
      </c>
      <c r="AW32" s="1"/>
      <c r="AX32" s="36" t="s">
        <v>193</v>
      </c>
      <c r="AY32" s="54">
        <v>279.15</v>
      </c>
      <c r="AZ32" s="39">
        <v>-25.0</v>
      </c>
      <c r="BA32" s="35" t="s">
        <v>28</v>
      </c>
      <c r="BB32" s="36" t="s">
        <v>32</v>
      </c>
      <c r="BC32" s="1"/>
      <c r="BD32" s="36" t="s">
        <v>191</v>
      </c>
      <c r="BE32" s="54">
        <v>30.0</v>
      </c>
      <c r="BF32" s="39">
        <v>1.0</v>
      </c>
      <c r="BG32" s="35" t="s">
        <v>28</v>
      </c>
      <c r="BH32" s="36" t="s">
        <v>32</v>
      </c>
      <c r="BI32" s="1"/>
      <c r="BJ32" s="36" t="s">
        <v>193</v>
      </c>
      <c r="BK32" s="59">
        <v>255.39</v>
      </c>
      <c r="BL32" s="39">
        <v>-25.0</v>
      </c>
      <c r="BM32" s="35" t="s">
        <v>28</v>
      </c>
      <c r="BN32" s="36" t="s">
        <v>32</v>
      </c>
      <c r="BO32" s="1"/>
      <c r="BP32" s="36" t="s">
        <v>191</v>
      </c>
      <c r="BQ32" s="54">
        <v>30.0</v>
      </c>
      <c r="BR32" s="39">
        <v>1.0</v>
      </c>
      <c r="BS32" s="35" t="s">
        <v>28</v>
      </c>
      <c r="BT32" s="36" t="s">
        <v>32</v>
      </c>
      <c r="BU32" s="4"/>
    </row>
    <row r="33">
      <c r="A33" s="1"/>
      <c r="B33" s="36" t="s">
        <v>194</v>
      </c>
      <c r="C33" s="54">
        <v>51.08</v>
      </c>
      <c r="D33" s="39">
        <v>-25.0</v>
      </c>
      <c r="E33" s="35" t="s">
        <v>28</v>
      </c>
      <c r="F33" s="36" t="s">
        <v>32</v>
      </c>
      <c r="G33" s="1"/>
      <c r="H33" s="36" t="s">
        <v>93</v>
      </c>
      <c r="I33" s="54">
        <v>300.0</v>
      </c>
      <c r="J33" s="39">
        <v>3.0</v>
      </c>
      <c r="K33" s="35" t="s">
        <v>28</v>
      </c>
      <c r="L33" s="36" t="s">
        <v>32</v>
      </c>
      <c r="M33" s="1"/>
      <c r="N33" s="36" t="s">
        <v>195</v>
      </c>
      <c r="O33" s="54">
        <v>1000.0</v>
      </c>
      <c r="P33" s="39">
        <v>5.0</v>
      </c>
      <c r="Q33" s="35" t="s">
        <v>32</v>
      </c>
      <c r="R33" s="36" t="s">
        <v>32</v>
      </c>
      <c r="S33" s="1"/>
      <c r="T33" s="36" t="s">
        <v>196</v>
      </c>
      <c r="U33" s="54">
        <v>20.0</v>
      </c>
      <c r="V33" s="39">
        <v>2.0</v>
      </c>
      <c r="W33" s="35" t="s">
        <v>32</v>
      </c>
      <c r="X33" s="36" t="s">
        <v>32</v>
      </c>
      <c r="Y33" s="1"/>
      <c r="Z33" s="36" t="s">
        <v>197</v>
      </c>
      <c r="AA33" s="54">
        <v>67.77</v>
      </c>
      <c r="AB33" s="39">
        <v>2.0</v>
      </c>
      <c r="AC33" s="35" t="s">
        <v>32</v>
      </c>
      <c r="AD33" s="36" t="s">
        <v>32</v>
      </c>
      <c r="AE33" s="1"/>
      <c r="AF33" s="36" t="s">
        <v>191</v>
      </c>
      <c r="AG33" s="54">
        <v>20.0</v>
      </c>
      <c r="AH33" s="39">
        <v>2.0</v>
      </c>
      <c r="AI33" s="35" t="s">
        <v>28</v>
      </c>
      <c r="AJ33" s="36" t="s">
        <v>32</v>
      </c>
      <c r="AK33" s="1"/>
      <c r="AL33" s="36" t="s">
        <v>189</v>
      </c>
      <c r="AM33" s="54">
        <v>5000.0</v>
      </c>
      <c r="AN33" s="39">
        <v>1.0</v>
      </c>
      <c r="AO33" s="35" t="s">
        <v>32</v>
      </c>
      <c r="AP33" s="36" t="s">
        <v>32</v>
      </c>
      <c r="AQ33" s="1"/>
      <c r="AR33" s="36" t="s">
        <v>85</v>
      </c>
      <c r="AS33" s="54">
        <v>834.02</v>
      </c>
      <c r="AT33" s="39">
        <v>-25.0</v>
      </c>
      <c r="AU33" s="35" t="s">
        <v>28</v>
      </c>
      <c r="AV33" s="36" t="s">
        <v>32</v>
      </c>
      <c r="AW33" s="1"/>
      <c r="AX33" s="36" t="s">
        <v>90</v>
      </c>
      <c r="AY33" s="54">
        <v>52.0</v>
      </c>
      <c r="AZ33" s="39">
        <v>1.0</v>
      </c>
      <c r="BA33" s="35" t="s">
        <v>28</v>
      </c>
      <c r="BB33" s="36" t="s">
        <v>32</v>
      </c>
      <c r="BC33" s="1"/>
      <c r="BD33" s="36" t="s">
        <v>198</v>
      </c>
      <c r="BE33" s="54">
        <v>250.0</v>
      </c>
      <c r="BF33" s="39">
        <v>1.0</v>
      </c>
      <c r="BG33" s="35" t="s">
        <v>32</v>
      </c>
      <c r="BH33" s="36" t="s">
        <v>32</v>
      </c>
      <c r="BI33" s="1"/>
      <c r="BJ33" s="36" t="s">
        <v>191</v>
      </c>
      <c r="BK33" s="59">
        <v>20.0</v>
      </c>
      <c r="BL33" s="39">
        <v>3.0</v>
      </c>
      <c r="BM33" s="35" t="s">
        <v>28</v>
      </c>
      <c r="BN33" s="36" t="s">
        <v>32</v>
      </c>
      <c r="BO33" s="1"/>
      <c r="BP33" s="36" t="s">
        <v>92</v>
      </c>
      <c r="BQ33" s="54">
        <v>131.0</v>
      </c>
      <c r="BR33" s="39">
        <v>1.0</v>
      </c>
      <c r="BS33" s="35" t="s">
        <v>28</v>
      </c>
      <c r="BT33" s="36" t="s">
        <v>32</v>
      </c>
      <c r="BU33" s="4"/>
    </row>
    <row r="34">
      <c r="A34" s="1"/>
      <c r="B34" s="36" t="s">
        <v>199</v>
      </c>
      <c r="C34" s="54">
        <v>83.86</v>
      </c>
      <c r="D34" s="39">
        <v>-25.0</v>
      </c>
      <c r="E34" s="35" t="s">
        <v>28</v>
      </c>
      <c r="F34" s="36" t="s">
        <v>32</v>
      </c>
      <c r="G34" s="1"/>
      <c r="H34" s="36" t="s">
        <v>91</v>
      </c>
      <c r="I34" s="54">
        <v>50.0</v>
      </c>
      <c r="J34" s="39">
        <v>3.0</v>
      </c>
      <c r="K34" s="35" t="s">
        <v>28</v>
      </c>
      <c r="L34" s="36" t="s">
        <v>32</v>
      </c>
      <c r="M34" s="1"/>
      <c r="N34" s="36" t="s">
        <v>90</v>
      </c>
      <c r="O34" s="54">
        <v>50.0</v>
      </c>
      <c r="P34" s="39">
        <v>5.0</v>
      </c>
      <c r="Q34" s="35" t="s">
        <v>28</v>
      </c>
      <c r="R34" s="36" t="s">
        <v>32</v>
      </c>
      <c r="S34" s="1"/>
      <c r="T34" s="36" t="s">
        <v>200</v>
      </c>
      <c r="U34" s="54">
        <v>190.0</v>
      </c>
      <c r="V34" s="39">
        <v>4.0</v>
      </c>
      <c r="W34" s="35" t="s">
        <v>28</v>
      </c>
      <c r="X34" s="36" t="s">
        <v>32</v>
      </c>
      <c r="Y34" s="1"/>
      <c r="Z34" s="36" t="s">
        <v>201</v>
      </c>
      <c r="AA34" s="54">
        <v>122.01</v>
      </c>
      <c r="AB34" s="39">
        <v>2.0</v>
      </c>
      <c r="AC34" s="35" t="s">
        <v>28</v>
      </c>
      <c r="AD34" s="36" t="s">
        <v>32</v>
      </c>
      <c r="AE34" s="1"/>
      <c r="AF34" s="36" t="s">
        <v>188</v>
      </c>
      <c r="AG34" s="54">
        <v>180.0</v>
      </c>
      <c r="AH34" s="39">
        <v>2.0</v>
      </c>
      <c r="AI34" s="35" t="s">
        <v>32</v>
      </c>
      <c r="AJ34" s="36" t="s">
        <v>32</v>
      </c>
      <c r="AK34" s="1"/>
      <c r="AL34" s="36" t="s">
        <v>202</v>
      </c>
      <c r="AM34" s="54">
        <v>67.77</v>
      </c>
      <c r="AN34" s="39">
        <v>2.0</v>
      </c>
      <c r="AO34" s="35" t="s">
        <v>32</v>
      </c>
      <c r="AP34" s="36" t="s">
        <v>32</v>
      </c>
      <c r="AQ34" s="1"/>
      <c r="AR34" s="36" t="s">
        <v>203</v>
      </c>
      <c r="AS34" s="54">
        <v>2394.8</v>
      </c>
      <c r="AT34" s="39">
        <v>1.0</v>
      </c>
      <c r="AU34" s="35" t="s">
        <v>32</v>
      </c>
      <c r="AV34" s="36" t="s">
        <v>32</v>
      </c>
      <c r="AW34" s="1"/>
      <c r="AX34" s="36" t="s">
        <v>191</v>
      </c>
      <c r="AY34" s="54">
        <v>30.0</v>
      </c>
      <c r="AZ34" s="39">
        <v>2.0</v>
      </c>
      <c r="BA34" s="35" t="s">
        <v>28</v>
      </c>
      <c r="BB34" s="36" t="s">
        <v>32</v>
      </c>
      <c r="BC34" s="1"/>
      <c r="BD34" s="36" t="s">
        <v>204</v>
      </c>
      <c r="BE34" s="54">
        <v>255.8</v>
      </c>
      <c r="BF34" s="39">
        <v>1.0</v>
      </c>
      <c r="BG34" s="35" t="s">
        <v>32</v>
      </c>
      <c r="BH34" s="36" t="s">
        <v>32</v>
      </c>
      <c r="BI34" s="1"/>
      <c r="BJ34" s="36" t="s">
        <v>205</v>
      </c>
      <c r="BK34" s="59">
        <v>257.3</v>
      </c>
      <c r="BL34" s="39">
        <v>3.0</v>
      </c>
      <c r="BM34" s="35" t="s">
        <v>32</v>
      </c>
      <c r="BN34" s="36" t="s">
        <v>32</v>
      </c>
      <c r="BO34" s="1"/>
      <c r="BP34" s="36" t="s">
        <v>90</v>
      </c>
      <c r="BQ34" s="54">
        <v>50.0</v>
      </c>
      <c r="BR34" s="39">
        <v>2.0</v>
      </c>
      <c r="BS34" s="35" t="s">
        <v>28</v>
      </c>
      <c r="BT34" s="36" t="s">
        <v>32</v>
      </c>
      <c r="BU34" s="4"/>
    </row>
    <row r="35">
      <c r="A35" s="1"/>
      <c r="B35" s="36" t="s">
        <v>206</v>
      </c>
      <c r="C35" s="54">
        <v>383.08</v>
      </c>
      <c r="D35" s="39">
        <v>1.0</v>
      </c>
      <c r="E35" s="35" t="s">
        <v>32</v>
      </c>
      <c r="F35" s="36" t="s">
        <v>32</v>
      </c>
      <c r="G35" s="1"/>
      <c r="H35" s="36" t="s">
        <v>90</v>
      </c>
      <c r="I35" s="54">
        <v>140.0</v>
      </c>
      <c r="J35" s="39">
        <v>3.0</v>
      </c>
      <c r="K35" s="35" t="s">
        <v>28</v>
      </c>
      <c r="L35" s="36" t="s">
        <v>32</v>
      </c>
      <c r="M35" s="1"/>
      <c r="N35" s="36" t="s">
        <v>90</v>
      </c>
      <c r="O35" s="54">
        <v>31.0</v>
      </c>
      <c r="P35" s="39">
        <v>5.0</v>
      </c>
      <c r="Q35" s="35" t="s">
        <v>28</v>
      </c>
      <c r="R35" s="36" t="s">
        <v>32</v>
      </c>
      <c r="S35" s="1"/>
      <c r="T35" s="36" t="s">
        <v>207</v>
      </c>
      <c r="U35" s="54">
        <v>170.0</v>
      </c>
      <c r="V35" s="39">
        <v>4.0</v>
      </c>
      <c r="W35" s="35" t="s">
        <v>28</v>
      </c>
      <c r="X35" s="36" t="s">
        <v>34</v>
      </c>
      <c r="Y35" s="1"/>
      <c r="Z35" s="36" t="s">
        <v>208</v>
      </c>
      <c r="AA35" s="54">
        <v>100.0</v>
      </c>
      <c r="AB35" s="39">
        <v>2.0</v>
      </c>
      <c r="AC35" s="35" t="s">
        <v>28</v>
      </c>
      <c r="AD35" s="36" t="s">
        <v>34</v>
      </c>
      <c r="AE35" s="1"/>
      <c r="AF35" s="36" t="s">
        <v>202</v>
      </c>
      <c r="AG35" s="54">
        <v>67.77</v>
      </c>
      <c r="AH35" s="39">
        <v>2.0</v>
      </c>
      <c r="AI35" s="35" t="s">
        <v>32</v>
      </c>
      <c r="AJ35" s="36" t="s">
        <v>32</v>
      </c>
      <c r="AK35" s="1"/>
      <c r="AL35" s="36" t="s">
        <v>209</v>
      </c>
      <c r="AM35" s="54">
        <v>110.0</v>
      </c>
      <c r="AN35" s="39">
        <v>2.0</v>
      </c>
      <c r="AO35" s="35" t="s">
        <v>28</v>
      </c>
      <c r="AP35" s="36" t="s">
        <v>34</v>
      </c>
      <c r="AQ35" s="1"/>
      <c r="AR35" s="36" t="s">
        <v>109</v>
      </c>
      <c r="AS35" s="54">
        <v>189.0</v>
      </c>
      <c r="AT35" s="39">
        <v>1.0</v>
      </c>
      <c r="AU35" s="35" t="s">
        <v>28</v>
      </c>
      <c r="AV35" s="36" t="s">
        <v>34</v>
      </c>
      <c r="AW35" s="1"/>
      <c r="AX35" s="36" t="s">
        <v>207</v>
      </c>
      <c r="AY35" s="54">
        <v>540.0</v>
      </c>
      <c r="AZ35" s="39">
        <v>5.0</v>
      </c>
      <c r="BA35" s="35" t="s">
        <v>28</v>
      </c>
      <c r="BB35" s="36" t="s">
        <v>32</v>
      </c>
      <c r="BC35" s="1"/>
      <c r="BD35" s="36" t="s">
        <v>91</v>
      </c>
      <c r="BE35" s="54">
        <v>50.0</v>
      </c>
      <c r="BF35" s="39">
        <v>1.0</v>
      </c>
      <c r="BG35" s="35" t="s">
        <v>28</v>
      </c>
      <c r="BH35" s="36" t="s">
        <v>32</v>
      </c>
      <c r="BI35" s="1"/>
      <c r="BJ35" s="36" t="s">
        <v>88</v>
      </c>
      <c r="BK35" s="59">
        <v>30.0</v>
      </c>
      <c r="BL35" s="39">
        <v>3.0</v>
      </c>
      <c r="BM35" s="35" t="s">
        <v>32</v>
      </c>
      <c r="BN35" s="36" t="s">
        <v>32</v>
      </c>
      <c r="BO35" s="1"/>
      <c r="BP35" s="36" t="s">
        <v>210</v>
      </c>
      <c r="BQ35" s="54">
        <v>300.0</v>
      </c>
      <c r="BR35" s="39">
        <v>2.0</v>
      </c>
      <c r="BS35" s="35" t="s">
        <v>28</v>
      </c>
      <c r="BT35" s="36" t="s">
        <v>32</v>
      </c>
      <c r="BU35" s="4"/>
    </row>
    <row r="36">
      <c r="A36" s="1"/>
      <c r="B36" s="36" t="s">
        <v>211</v>
      </c>
      <c r="C36" s="54">
        <v>25.0</v>
      </c>
      <c r="D36" s="39">
        <v>2.0</v>
      </c>
      <c r="E36" s="35" t="s">
        <v>32</v>
      </c>
      <c r="F36" s="36" t="s">
        <v>32</v>
      </c>
      <c r="G36" s="1"/>
      <c r="H36" s="36" t="s">
        <v>212</v>
      </c>
      <c r="I36" s="54">
        <v>1200.0</v>
      </c>
      <c r="J36" s="39">
        <v>4.0</v>
      </c>
      <c r="K36" s="35" t="s">
        <v>32</v>
      </c>
      <c r="L36" s="36" t="s">
        <v>32</v>
      </c>
      <c r="M36" s="1"/>
      <c r="N36" s="61" t="s">
        <v>91</v>
      </c>
      <c r="O36" s="54">
        <v>50.0</v>
      </c>
      <c r="P36" s="39">
        <v>5.0</v>
      </c>
      <c r="Q36" s="35" t="s">
        <v>28</v>
      </c>
      <c r="R36" s="36" t="s">
        <v>32</v>
      </c>
      <c r="S36" s="1"/>
      <c r="T36" s="36" t="s">
        <v>213</v>
      </c>
      <c r="U36" s="54">
        <v>74.0</v>
      </c>
      <c r="V36" s="39">
        <v>4.0</v>
      </c>
      <c r="W36" s="35" t="s">
        <v>28</v>
      </c>
      <c r="X36" s="36" t="s">
        <v>34</v>
      </c>
      <c r="Y36" s="1"/>
      <c r="Z36" s="36" t="s">
        <v>207</v>
      </c>
      <c r="AA36" s="54">
        <v>170.0</v>
      </c>
      <c r="AB36" s="39">
        <v>2.0</v>
      </c>
      <c r="AC36" s="35" t="s">
        <v>28</v>
      </c>
      <c r="AD36" s="36" t="s">
        <v>34</v>
      </c>
      <c r="AE36" s="1"/>
      <c r="AF36" s="36" t="s">
        <v>89</v>
      </c>
      <c r="AG36" s="54">
        <v>100.0</v>
      </c>
      <c r="AH36" s="39">
        <v>2.0</v>
      </c>
      <c r="AI36" s="35" t="s">
        <v>28</v>
      </c>
      <c r="AJ36" s="36" t="s">
        <v>34</v>
      </c>
      <c r="AK36" s="1"/>
      <c r="AL36" s="36" t="s">
        <v>214</v>
      </c>
      <c r="AM36" s="54">
        <v>63.0</v>
      </c>
      <c r="AN36" s="39">
        <v>2.0</v>
      </c>
      <c r="AO36" s="35" t="s">
        <v>28</v>
      </c>
      <c r="AP36" s="36" t="s">
        <v>34</v>
      </c>
      <c r="AQ36" s="1"/>
      <c r="AR36" s="36" t="s">
        <v>215</v>
      </c>
      <c r="AS36" s="54">
        <v>30.0</v>
      </c>
      <c r="AT36" s="39">
        <v>1.0</v>
      </c>
      <c r="AU36" s="35" t="s">
        <v>28</v>
      </c>
      <c r="AV36" s="36" t="s">
        <v>34</v>
      </c>
      <c r="AW36" s="1"/>
      <c r="AX36" s="36" t="s">
        <v>216</v>
      </c>
      <c r="AY36" s="54">
        <v>200.0</v>
      </c>
      <c r="AZ36" s="39">
        <v>5.0</v>
      </c>
      <c r="BA36" s="35" t="s">
        <v>28</v>
      </c>
      <c r="BB36" s="36" t="s">
        <v>34</v>
      </c>
      <c r="BC36" s="1"/>
      <c r="BD36" s="36" t="s">
        <v>217</v>
      </c>
      <c r="BE36" s="54">
        <v>397.79</v>
      </c>
      <c r="BF36" s="39">
        <v>2.0</v>
      </c>
      <c r="BG36" s="35" t="s">
        <v>32</v>
      </c>
      <c r="BH36" s="36" t="s">
        <v>32</v>
      </c>
      <c r="BI36" s="1"/>
      <c r="BJ36" s="36" t="s">
        <v>90</v>
      </c>
      <c r="BK36" s="59">
        <v>54.0</v>
      </c>
      <c r="BL36" s="39">
        <v>3.0</v>
      </c>
      <c r="BM36" s="35" t="s">
        <v>28</v>
      </c>
      <c r="BN36" s="36" t="s">
        <v>32</v>
      </c>
      <c r="BO36" s="1"/>
      <c r="BP36" s="36" t="s">
        <v>218</v>
      </c>
      <c r="BQ36" s="54">
        <v>35.0</v>
      </c>
      <c r="BR36" s="39">
        <v>2.0</v>
      </c>
      <c r="BS36" s="35" t="s">
        <v>32</v>
      </c>
      <c r="BT36" s="36" t="s">
        <v>32</v>
      </c>
      <c r="BU36" s="4"/>
    </row>
    <row r="37">
      <c r="A37" s="1"/>
      <c r="B37" s="36" t="s">
        <v>219</v>
      </c>
      <c r="C37" s="54">
        <v>9725.14</v>
      </c>
      <c r="D37" s="39">
        <v>3.0</v>
      </c>
      <c r="E37" s="35" t="s">
        <v>32</v>
      </c>
      <c r="F37" s="36" t="s">
        <v>32</v>
      </c>
      <c r="G37" s="1"/>
      <c r="H37" s="36" t="s">
        <v>220</v>
      </c>
      <c r="I37" s="54">
        <v>16898.08</v>
      </c>
      <c r="J37" s="39">
        <v>6.0</v>
      </c>
      <c r="K37" s="35" t="s">
        <v>28</v>
      </c>
      <c r="L37" s="36" t="s">
        <v>32</v>
      </c>
      <c r="M37" s="1"/>
      <c r="N37" s="36" t="s">
        <v>93</v>
      </c>
      <c r="O37" s="54">
        <v>300.0</v>
      </c>
      <c r="P37" s="39">
        <v>5.0</v>
      </c>
      <c r="Q37" s="35" t="s">
        <v>28</v>
      </c>
      <c r="R37" s="36" t="s">
        <v>32</v>
      </c>
      <c r="S37" s="1"/>
      <c r="T37" s="36" t="s">
        <v>221</v>
      </c>
      <c r="U37" s="54">
        <v>15.61</v>
      </c>
      <c r="V37" s="39">
        <v>4.0</v>
      </c>
      <c r="W37" s="35" t="s">
        <v>28</v>
      </c>
      <c r="X37" s="36" t="s">
        <v>34</v>
      </c>
      <c r="Y37" s="1"/>
      <c r="Z37" s="36" t="s">
        <v>109</v>
      </c>
      <c r="AA37" s="54">
        <v>189.0</v>
      </c>
      <c r="AB37" s="39">
        <v>4.0</v>
      </c>
      <c r="AC37" s="35" t="s">
        <v>28</v>
      </c>
      <c r="AD37" s="36" t="s">
        <v>34</v>
      </c>
      <c r="AE37" s="1"/>
      <c r="AF37" s="36" t="s">
        <v>90</v>
      </c>
      <c r="AG37" s="54">
        <v>105.0</v>
      </c>
      <c r="AH37" s="39">
        <v>2.0</v>
      </c>
      <c r="AI37" s="35" t="s">
        <v>28</v>
      </c>
      <c r="AJ37" s="36" t="s">
        <v>34</v>
      </c>
      <c r="AK37" s="1"/>
      <c r="AL37" s="36" t="s">
        <v>210</v>
      </c>
      <c r="AM37" s="54">
        <v>300.0</v>
      </c>
      <c r="AN37" s="39">
        <v>3.0</v>
      </c>
      <c r="AO37" s="35" t="s">
        <v>28</v>
      </c>
      <c r="AP37" s="36" t="s">
        <v>32</v>
      </c>
      <c r="AQ37" s="1"/>
      <c r="AR37" s="36" t="s">
        <v>222</v>
      </c>
      <c r="AS37" s="54">
        <v>34.0</v>
      </c>
      <c r="AT37" s="39">
        <v>2.0</v>
      </c>
      <c r="AU37" s="35" t="s">
        <v>28</v>
      </c>
      <c r="AV37" s="36" t="s">
        <v>34</v>
      </c>
      <c r="AW37" s="1"/>
      <c r="AX37" s="36" t="s">
        <v>223</v>
      </c>
      <c r="AY37" s="54">
        <v>150.0</v>
      </c>
      <c r="AZ37" s="39">
        <v>6.0</v>
      </c>
      <c r="BA37" s="35" t="s">
        <v>28</v>
      </c>
      <c r="BB37" s="36" t="s">
        <v>34</v>
      </c>
      <c r="BC37" s="1"/>
      <c r="BD37" s="36" t="s">
        <v>93</v>
      </c>
      <c r="BE37" s="54">
        <v>300.0</v>
      </c>
      <c r="BF37" s="39">
        <v>2.0</v>
      </c>
      <c r="BG37" s="35" t="s">
        <v>28</v>
      </c>
      <c r="BH37" s="36" t="s">
        <v>32</v>
      </c>
      <c r="BI37" s="1"/>
      <c r="BJ37" s="36" t="s">
        <v>93</v>
      </c>
      <c r="BK37" s="59">
        <v>300.0</v>
      </c>
      <c r="BL37" s="39">
        <v>3.0</v>
      </c>
      <c r="BM37" s="35" t="s">
        <v>28</v>
      </c>
      <c r="BN37" s="36" t="s">
        <v>32</v>
      </c>
      <c r="BO37" s="1"/>
      <c r="BP37" s="36" t="s">
        <v>224</v>
      </c>
      <c r="BQ37" s="54">
        <v>200.0</v>
      </c>
      <c r="BR37" s="39">
        <v>5.0</v>
      </c>
      <c r="BS37" s="35" t="s">
        <v>28</v>
      </c>
      <c r="BT37" s="36" t="s">
        <v>32</v>
      </c>
      <c r="BU37" s="4"/>
    </row>
    <row r="38">
      <c r="A38" s="1"/>
      <c r="B38" s="36" t="s">
        <v>225</v>
      </c>
      <c r="C38" s="54">
        <v>296.0</v>
      </c>
      <c r="D38" s="39">
        <v>3.0</v>
      </c>
      <c r="E38" s="35" t="s">
        <v>32</v>
      </c>
      <c r="F38" s="36" t="s">
        <v>32</v>
      </c>
      <c r="G38" s="1"/>
      <c r="H38" s="36" t="s">
        <v>226</v>
      </c>
      <c r="I38" s="54">
        <v>4531.07</v>
      </c>
      <c r="J38" s="39">
        <v>6.0</v>
      </c>
      <c r="K38" s="35" t="s">
        <v>32</v>
      </c>
      <c r="L38" s="36" t="s">
        <v>32</v>
      </c>
      <c r="M38" s="1"/>
      <c r="N38" s="36" t="s">
        <v>227</v>
      </c>
      <c r="O38" s="54">
        <v>60.0</v>
      </c>
      <c r="P38" s="39">
        <v>6.0</v>
      </c>
      <c r="Q38" s="35" t="s">
        <v>28</v>
      </c>
      <c r="R38" s="36" t="s">
        <v>34</v>
      </c>
      <c r="S38" s="1"/>
      <c r="T38" s="36" t="s">
        <v>228</v>
      </c>
      <c r="U38" s="54">
        <v>53.0</v>
      </c>
      <c r="V38" s="39">
        <v>4.0</v>
      </c>
      <c r="W38" s="35" t="s">
        <v>28</v>
      </c>
      <c r="X38" s="36" t="s">
        <v>34</v>
      </c>
      <c r="Y38" s="1"/>
      <c r="Z38" s="36" t="s">
        <v>191</v>
      </c>
      <c r="AA38" s="54">
        <v>20.0</v>
      </c>
      <c r="AB38" s="39">
        <v>5.0</v>
      </c>
      <c r="AC38" s="35" t="s">
        <v>28</v>
      </c>
      <c r="AD38" s="36" t="s">
        <v>32</v>
      </c>
      <c r="AE38" s="1"/>
      <c r="AF38" s="36" t="s">
        <v>207</v>
      </c>
      <c r="AG38" s="54">
        <v>170.0</v>
      </c>
      <c r="AH38" s="39">
        <v>3.0</v>
      </c>
      <c r="AI38" s="35" t="s">
        <v>28</v>
      </c>
      <c r="AJ38" s="36" t="s">
        <v>32</v>
      </c>
      <c r="AK38" s="1"/>
      <c r="AL38" s="36" t="s">
        <v>229</v>
      </c>
      <c r="AM38" s="54">
        <v>600.0</v>
      </c>
      <c r="AN38" s="39">
        <v>3.0</v>
      </c>
      <c r="AO38" s="35" t="s">
        <v>28</v>
      </c>
      <c r="AP38" s="36" t="s">
        <v>32</v>
      </c>
      <c r="AQ38" s="1"/>
      <c r="AR38" s="36" t="s">
        <v>230</v>
      </c>
      <c r="AS38" s="54">
        <v>70.0</v>
      </c>
      <c r="AT38" s="39">
        <v>3.0</v>
      </c>
      <c r="AU38" s="35" t="s">
        <v>28</v>
      </c>
      <c r="AV38" s="36" t="s">
        <v>34</v>
      </c>
      <c r="AW38" s="1"/>
      <c r="AX38" s="36" t="s">
        <v>231</v>
      </c>
      <c r="AY38" s="54">
        <v>300.0</v>
      </c>
      <c r="AZ38" s="39">
        <v>8.0</v>
      </c>
      <c r="BA38" s="35" t="s">
        <v>32</v>
      </c>
      <c r="BB38" s="36" t="s">
        <v>32</v>
      </c>
      <c r="BC38" s="1"/>
      <c r="BD38" s="36" t="s">
        <v>90</v>
      </c>
      <c r="BE38" s="54">
        <v>37.25</v>
      </c>
      <c r="BF38" s="39">
        <v>3.0</v>
      </c>
      <c r="BG38" s="35" t="s">
        <v>28</v>
      </c>
      <c r="BH38" s="36" t="s">
        <v>34</v>
      </c>
      <c r="BI38" s="1"/>
      <c r="BJ38" s="36" t="s">
        <v>109</v>
      </c>
      <c r="BK38" s="59">
        <v>171.0</v>
      </c>
      <c r="BL38" s="39">
        <v>3.0</v>
      </c>
      <c r="BM38" s="35" t="s">
        <v>28</v>
      </c>
      <c r="BN38" s="36" t="s">
        <v>34</v>
      </c>
      <c r="BO38" s="1"/>
      <c r="BP38" s="36" t="s">
        <v>232</v>
      </c>
      <c r="BQ38" s="54">
        <v>130.0</v>
      </c>
      <c r="BR38" s="39">
        <v>5.0</v>
      </c>
      <c r="BS38" s="35" t="s">
        <v>28</v>
      </c>
      <c r="BT38" s="36" t="s">
        <v>34</v>
      </c>
      <c r="BU38" s="4"/>
    </row>
    <row r="39">
      <c r="A39" s="1"/>
      <c r="B39" s="36" t="s">
        <v>233</v>
      </c>
      <c r="C39" s="54">
        <v>65.0</v>
      </c>
      <c r="D39" s="39">
        <v>3.0</v>
      </c>
      <c r="E39" s="35" t="s">
        <v>28</v>
      </c>
      <c r="F39" s="36" t="s">
        <v>34</v>
      </c>
      <c r="G39" s="1"/>
      <c r="H39" s="36" t="s">
        <v>234</v>
      </c>
      <c r="I39" s="54">
        <v>150.0</v>
      </c>
      <c r="J39" s="39">
        <v>6.0</v>
      </c>
      <c r="K39" s="35" t="s">
        <v>32</v>
      </c>
      <c r="L39" s="36" t="s">
        <v>32</v>
      </c>
      <c r="M39" s="1"/>
      <c r="N39" s="36" t="s">
        <v>230</v>
      </c>
      <c r="O39" s="54">
        <v>100.0</v>
      </c>
      <c r="P39" s="39">
        <v>7.0</v>
      </c>
      <c r="Q39" s="35" t="s">
        <v>28</v>
      </c>
      <c r="R39" s="36" t="s">
        <v>34</v>
      </c>
      <c r="S39" s="1"/>
      <c r="T39" s="36" t="s">
        <v>235</v>
      </c>
      <c r="U39" s="54">
        <v>45.0</v>
      </c>
      <c r="V39" s="39">
        <v>7.0</v>
      </c>
      <c r="W39" s="35" t="s">
        <v>28</v>
      </c>
      <c r="X39" s="36" t="s">
        <v>32</v>
      </c>
      <c r="Y39" s="1"/>
      <c r="Z39" s="36" t="s">
        <v>204</v>
      </c>
      <c r="AA39" s="54">
        <v>320.0</v>
      </c>
      <c r="AB39" s="39">
        <v>7.0</v>
      </c>
      <c r="AC39" s="35" t="s">
        <v>32</v>
      </c>
      <c r="AD39" s="36" t="s">
        <v>32</v>
      </c>
      <c r="AE39" s="1"/>
      <c r="AF39" s="36" t="s">
        <v>210</v>
      </c>
      <c r="AG39" s="54">
        <v>100.0</v>
      </c>
      <c r="AH39" s="39">
        <v>3.0</v>
      </c>
      <c r="AI39" s="35" t="s">
        <v>28</v>
      </c>
      <c r="AJ39" s="36" t="s">
        <v>32</v>
      </c>
      <c r="AK39" s="1"/>
      <c r="AL39" s="36" t="s">
        <v>90</v>
      </c>
      <c r="AM39" s="54">
        <v>25.0</v>
      </c>
      <c r="AN39" s="39">
        <v>3.0</v>
      </c>
      <c r="AO39" s="35" t="s">
        <v>236</v>
      </c>
      <c r="AP39" s="36" t="s">
        <v>32</v>
      </c>
      <c r="AQ39" s="1"/>
      <c r="AR39" s="36" t="s">
        <v>210</v>
      </c>
      <c r="AS39" s="54">
        <v>300.0</v>
      </c>
      <c r="AT39" s="39">
        <v>4.0</v>
      </c>
      <c r="AU39" s="35" t="s">
        <v>28</v>
      </c>
      <c r="AV39" s="36" t="s">
        <v>32</v>
      </c>
      <c r="AW39" s="1"/>
      <c r="AX39" s="36" t="s">
        <v>237</v>
      </c>
      <c r="AY39" s="54">
        <v>127.64</v>
      </c>
      <c r="AZ39" s="39">
        <v>8.0</v>
      </c>
      <c r="BA39" s="35" t="s">
        <v>32</v>
      </c>
      <c r="BB39" s="36" t="s">
        <v>32</v>
      </c>
      <c r="BC39" s="1"/>
      <c r="BD39" s="36" t="s">
        <v>90</v>
      </c>
      <c r="BE39" s="54">
        <v>55.0</v>
      </c>
      <c r="BF39" s="39">
        <v>6.0</v>
      </c>
      <c r="BG39" s="35" t="s">
        <v>28</v>
      </c>
      <c r="BH39" s="36" t="s">
        <v>34</v>
      </c>
      <c r="BI39" s="1"/>
      <c r="BJ39" s="36" t="s">
        <v>238</v>
      </c>
      <c r="BK39" s="59">
        <v>35.0</v>
      </c>
      <c r="BL39" s="39">
        <v>4.0</v>
      </c>
      <c r="BM39" s="35" t="s">
        <v>32</v>
      </c>
      <c r="BN39" s="36" t="s">
        <v>32</v>
      </c>
      <c r="BO39" s="1"/>
      <c r="BP39" s="36" t="s">
        <v>239</v>
      </c>
      <c r="BQ39" s="54">
        <v>125.0</v>
      </c>
      <c r="BR39" s="39">
        <v>5.0</v>
      </c>
      <c r="BS39" s="35" t="s">
        <v>28</v>
      </c>
      <c r="BT39" s="36" t="s">
        <v>34</v>
      </c>
      <c r="BU39" s="4"/>
    </row>
    <row r="40">
      <c r="A40" s="1"/>
      <c r="B40" s="36" t="s">
        <v>240</v>
      </c>
      <c r="C40" s="54">
        <v>200.0</v>
      </c>
      <c r="D40" s="39">
        <v>5.0</v>
      </c>
      <c r="E40" s="35" t="s">
        <v>28</v>
      </c>
      <c r="F40" s="36" t="s">
        <v>34</v>
      </c>
      <c r="G40" s="1"/>
      <c r="H40" s="36" t="s">
        <v>90</v>
      </c>
      <c r="I40" s="54">
        <v>60.0</v>
      </c>
      <c r="J40" s="39">
        <v>10.0</v>
      </c>
      <c r="K40" s="35" t="s">
        <v>28</v>
      </c>
      <c r="L40" s="36" t="s">
        <v>32</v>
      </c>
      <c r="M40" s="1"/>
      <c r="N40" s="36" t="s">
        <v>241</v>
      </c>
      <c r="O40" s="54">
        <v>22.6</v>
      </c>
      <c r="P40" s="39">
        <v>7.0</v>
      </c>
      <c r="Q40" s="35" t="s">
        <v>28</v>
      </c>
      <c r="R40" s="36" t="s">
        <v>34</v>
      </c>
      <c r="S40" s="1"/>
      <c r="T40" s="36" t="s">
        <v>93</v>
      </c>
      <c r="U40" s="54">
        <v>300.0</v>
      </c>
      <c r="V40" s="39">
        <v>7.0</v>
      </c>
      <c r="W40" s="35" t="s">
        <v>28</v>
      </c>
      <c r="X40" s="36" t="s">
        <v>32</v>
      </c>
      <c r="Y40" s="1"/>
      <c r="Z40" s="36" t="s">
        <v>242</v>
      </c>
      <c r="AA40" s="54">
        <v>86.0</v>
      </c>
      <c r="AB40" s="39">
        <v>7.0</v>
      </c>
      <c r="AC40" s="35" t="s">
        <v>32</v>
      </c>
      <c r="AD40" s="36" t="s">
        <v>32</v>
      </c>
      <c r="AE40" s="1"/>
      <c r="AF40" s="36" t="s">
        <v>243</v>
      </c>
      <c r="AG40" s="54">
        <v>91.0</v>
      </c>
      <c r="AH40" s="39">
        <v>4.0</v>
      </c>
      <c r="AI40" s="35" t="s">
        <v>28</v>
      </c>
      <c r="AJ40" s="36" t="s">
        <v>34</v>
      </c>
      <c r="AK40" s="1"/>
      <c r="AL40" s="36" t="s">
        <v>244</v>
      </c>
      <c r="AM40" s="54">
        <v>32.5</v>
      </c>
      <c r="AN40" s="39">
        <v>4.0</v>
      </c>
      <c r="AO40" s="35" t="s">
        <v>32</v>
      </c>
      <c r="AP40" s="36" t="s">
        <v>32</v>
      </c>
      <c r="AQ40" s="1"/>
      <c r="AR40" s="36" t="s">
        <v>210</v>
      </c>
      <c r="AS40" s="54">
        <v>250.0</v>
      </c>
      <c r="AT40" s="39">
        <v>5.0</v>
      </c>
      <c r="AU40" s="35" t="s">
        <v>28</v>
      </c>
      <c r="AV40" s="36" t="s">
        <v>32</v>
      </c>
      <c r="AW40" s="1"/>
      <c r="AX40" s="36" t="s">
        <v>237</v>
      </c>
      <c r="AY40" s="54">
        <v>32.24</v>
      </c>
      <c r="AZ40" s="39">
        <v>8.0</v>
      </c>
      <c r="BA40" s="35" t="s">
        <v>32</v>
      </c>
      <c r="BB40" s="36" t="s">
        <v>32</v>
      </c>
      <c r="BC40" s="1"/>
      <c r="BD40" s="36" t="s">
        <v>210</v>
      </c>
      <c r="BE40" s="54">
        <v>330.0</v>
      </c>
      <c r="BF40" s="39">
        <v>8.0</v>
      </c>
      <c r="BG40" s="35" t="s">
        <v>28</v>
      </c>
      <c r="BH40" s="36" t="s">
        <v>32</v>
      </c>
      <c r="BI40" s="1"/>
      <c r="BJ40" s="36" t="s">
        <v>245</v>
      </c>
      <c r="BK40" s="59">
        <v>85.0</v>
      </c>
      <c r="BL40" s="39">
        <v>4.0</v>
      </c>
      <c r="BM40" s="35" t="s">
        <v>28</v>
      </c>
      <c r="BN40" s="36" t="s">
        <v>32</v>
      </c>
      <c r="BO40" s="1"/>
      <c r="BP40" s="36" t="s">
        <v>100</v>
      </c>
      <c r="BQ40" s="54">
        <v>30.0</v>
      </c>
      <c r="BR40" s="39">
        <v>8.0</v>
      </c>
      <c r="BS40" s="35" t="s">
        <v>32</v>
      </c>
      <c r="BT40" s="36" t="s">
        <v>32</v>
      </c>
      <c r="BU40" s="4"/>
    </row>
    <row r="41">
      <c r="A41" s="1"/>
      <c r="B41" s="61" t="s">
        <v>95</v>
      </c>
      <c r="C41" s="54">
        <v>555.0</v>
      </c>
      <c r="D41" s="39">
        <v>6.0</v>
      </c>
      <c r="E41" s="35" t="s">
        <v>32</v>
      </c>
      <c r="F41" s="36" t="s">
        <v>32</v>
      </c>
      <c r="G41" s="1"/>
      <c r="H41" s="36" t="s">
        <v>115</v>
      </c>
      <c r="I41" s="54">
        <v>3.0</v>
      </c>
      <c r="J41" s="39">
        <v>10.0</v>
      </c>
      <c r="K41" s="35" t="s">
        <v>32</v>
      </c>
      <c r="L41" s="36" t="s">
        <v>32</v>
      </c>
      <c r="M41" s="1"/>
      <c r="N41" s="36" t="s">
        <v>246</v>
      </c>
      <c r="O41" s="54">
        <v>170.0</v>
      </c>
      <c r="P41" s="39">
        <v>7.0</v>
      </c>
      <c r="Q41" s="35" t="s">
        <v>28</v>
      </c>
      <c r="R41" s="36" t="s">
        <v>34</v>
      </c>
      <c r="S41" s="1"/>
      <c r="T41" s="36" t="s">
        <v>247</v>
      </c>
      <c r="U41" s="54">
        <v>80.0</v>
      </c>
      <c r="V41" s="39">
        <v>7.0</v>
      </c>
      <c r="W41" s="35" t="s">
        <v>32</v>
      </c>
      <c r="X41" s="36" t="s">
        <v>32</v>
      </c>
      <c r="Y41" s="1"/>
      <c r="Z41" s="36" t="s">
        <v>90</v>
      </c>
      <c r="AA41" s="54">
        <v>100.0</v>
      </c>
      <c r="AB41" s="39">
        <v>8.0</v>
      </c>
      <c r="AC41" s="35" t="s">
        <v>28</v>
      </c>
      <c r="AD41" s="36" t="s">
        <v>34</v>
      </c>
      <c r="AE41" s="1"/>
      <c r="AF41" s="36" t="s">
        <v>93</v>
      </c>
      <c r="AG41" s="54">
        <v>300.0</v>
      </c>
      <c r="AH41" s="39">
        <v>6.0</v>
      </c>
      <c r="AI41" s="35" t="s">
        <v>28</v>
      </c>
      <c r="AJ41" s="36" t="s">
        <v>32</v>
      </c>
      <c r="AK41" s="1"/>
      <c r="AL41" s="36" t="s">
        <v>248</v>
      </c>
      <c r="AM41" s="54">
        <v>688.0</v>
      </c>
      <c r="AN41" s="39">
        <v>5.0</v>
      </c>
      <c r="AO41" s="35" t="s">
        <v>28</v>
      </c>
      <c r="AP41" s="36" t="s">
        <v>34</v>
      </c>
      <c r="AQ41" s="1"/>
      <c r="AR41" s="36" t="s">
        <v>90</v>
      </c>
      <c r="AS41" s="54">
        <v>10.0</v>
      </c>
      <c r="AT41" s="39">
        <v>6.0</v>
      </c>
      <c r="AU41" s="35" t="s">
        <v>28</v>
      </c>
      <c r="AV41" s="36" t="s">
        <v>32</v>
      </c>
      <c r="AW41" s="1"/>
      <c r="AX41" s="36" t="s">
        <v>90</v>
      </c>
      <c r="AY41" s="54">
        <v>52.0</v>
      </c>
      <c r="AZ41" s="39">
        <v>8.0</v>
      </c>
      <c r="BA41" s="35" t="s">
        <v>32</v>
      </c>
      <c r="BB41" s="36" t="s">
        <v>32</v>
      </c>
      <c r="BC41" s="1"/>
      <c r="BD41" s="36" t="s">
        <v>249</v>
      </c>
      <c r="BE41" s="54">
        <v>100.0</v>
      </c>
      <c r="BF41" s="39">
        <v>10.0</v>
      </c>
      <c r="BG41" s="35" t="s">
        <v>32</v>
      </c>
      <c r="BH41" s="36" t="s">
        <v>32</v>
      </c>
      <c r="BI41" s="1"/>
      <c r="BJ41" s="36" t="s">
        <v>250</v>
      </c>
      <c r="BK41" s="59">
        <v>78.1</v>
      </c>
      <c r="BL41" s="39">
        <v>5.0</v>
      </c>
      <c r="BM41" s="35" t="s">
        <v>28</v>
      </c>
      <c r="BN41" s="36" t="s">
        <v>32</v>
      </c>
      <c r="BO41" s="1"/>
      <c r="BP41" s="36" t="s">
        <v>220</v>
      </c>
      <c r="BQ41" s="54">
        <v>10341.52</v>
      </c>
      <c r="BR41" s="39">
        <v>10.0</v>
      </c>
      <c r="BS41" s="35" t="s">
        <v>28</v>
      </c>
      <c r="BT41" s="36" t="s">
        <v>32</v>
      </c>
      <c r="BU41" s="4"/>
    </row>
    <row r="42">
      <c r="A42" s="1"/>
      <c r="B42" s="36" t="s">
        <v>251</v>
      </c>
      <c r="C42" s="54">
        <v>424.86</v>
      </c>
      <c r="D42" s="39">
        <v>8.0</v>
      </c>
      <c r="E42" s="35" t="s">
        <v>32</v>
      </c>
      <c r="F42" s="36" t="s">
        <v>32</v>
      </c>
      <c r="G42" s="1"/>
      <c r="H42" s="36" t="s">
        <v>114</v>
      </c>
      <c r="I42" s="54">
        <v>3.0</v>
      </c>
      <c r="J42" s="39">
        <v>10.0</v>
      </c>
      <c r="K42" s="35" t="s">
        <v>32</v>
      </c>
      <c r="L42" s="36" t="s">
        <v>32</v>
      </c>
      <c r="M42" s="1"/>
      <c r="N42" s="36" t="s">
        <v>109</v>
      </c>
      <c r="O42" s="54">
        <v>171.0</v>
      </c>
      <c r="P42" s="39">
        <v>10.0</v>
      </c>
      <c r="Q42" s="35" t="s">
        <v>28</v>
      </c>
      <c r="R42" s="36" t="s">
        <v>32</v>
      </c>
      <c r="S42" s="1"/>
      <c r="T42" s="62" t="s">
        <v>252</v>
      </c>
      <c r="U42" s="63">
        <v>6685.96</v>
      </c>
      <c r="V42" s="39">
        <v>7.0</v>
      </c>
      <c r="W42" s="35" t="s">
        <v>32</v>
      </c>
      <c r="X42" s="36" t="s">
        <v>32</v>
      </c>
      <c r="Y42" s="1"/>
      <c r="Z42" s="36" t="s">
        <v>253</v>
      </c>
      <c r="AA42" s="54">
        <v>72.0</v>
      </c>
      <c r="AB42" s="39">
        <v>9.0</v>
      </c>
      <c r="AC42" s="35" t="s">
        <v>32</v>
      </c>
      <c r="AD42" s="36" t="s">
        <v>32</v>
      </c>
      <c r="AE42" s="1"/>
      <c r="AF42" s="36" t="s">
        <v>91</v>
      </c>
      <c r="AG42" s="54">
        <v>100.0</v>
      </c>
      <c r="AH42" s="39">
        <v>6.0</v>
      </c>
      <c r="AI42" s="35" t="s">
        <v>28</v>
      </c>
      <c r="AJ42" s="36" t="s">
        <v>32</v>
      </c>
      <c r="AK42" s="1"/>
      <c r="AL42" s="36" t="s">
        <v>254</v>
      </c>
      <c r="AM42" s="54">
        <v>87.0</v>
      </c>
      <c r="AN42" s="39">
        <v>5.0</v>
      </c>
      <c r="AO42" s="35" t="s">
        <v>28</v>
      </c>
      <c r="AP42" s="36" t="s">
        <v>34</v>
      </c>
      <c r="AQ42" s="1"/>
      <c r="AR42" s="36" t="s">
        <v>191</v>
      </c>
      <c r="AS42" s="54">
        <v>20.0</v>
      </c>
      <c r="AT42" s="39">
        <v>8.0</v>
      </c>
      <c r="AU42" s="35" t="s">
        <v>28</v>
      </c>
      <c r="AV42" s="36" t="s">
        <v>32</v>
      </c>
      <c r="AW42" s="1"/>
      <c r="AX42" s="36" t="s">
        <v>210</v>
      </c>
      <c r="AY42" s="54">
        <v>430.0</v>
      </c>
      <c r="AZ42" s="39">
        <v>8.0</v>
      </c>
      <c r="BA42" s="35" t="s">
        <v>28</v>
      </c>
      <c r="BB42" s="36" t="s">
        <v>32</v>
      </c>
      <c r="BC42" s="1"/>
      <c r="BD42" s="36" t="s">
        <v>115</v>
      </c>
      <c r="BE42" s="54">
        <v>3.0</v>
      </c>
      <c r="BF42" s="39">
        <v>10.0</v>
      </c>
      <c r="BG42" s="35" t="s">
        <v>32</v>
      </c>
      <c r="BH42" s="36" t="s">
        <v>32</v>
      </c>
      <c r="BI42" s="1"/>
      <c r="BJ42" s="36" t="s">
        <v>255</v>
      </c>
      <c r="BK42" s="59">
        <v>31.98</v>
      </c>
      <c r="BL42" s="39">
        <v>5.0</v>
      </c>
      <c r="BM42" s="35" t="s">
        <v>28</v>
      </c>
      <c r="BN42" s="36" t="s">
        <v>32</v>
      </c>
      <c r="BO42" s="1"/>
      <c r="BP42" s="36" t="s">
        <v>256</v>
      </c>
      <c r="BQ42" s="54">
        <v>187.15</v>
      </c>
      <c r="BR42" s="39">
        <v>10.0</v>
      </c>
      <c r="BS42" s="35" t="s">
        <v>32</v>
      </c>
      <c r="BT42" s="36" t="s">
        <v>32</v>
      </c>
      <c r="BU42" s="4"/>
    </row>
    <row r="43">
      <c r="A43" s="1"/>
      <c r="B43" s="36" t="s">
        <v>257</v>
      </c>
      <c r="C43" s="54">
        <v>93.24</v>
      </c>
      <c r="D43" s="39">
        <v>9.0</v>
      </c>
      <c r="E43" s="35" t="s">
        <v>32</v>
      </c>
      <c r="F43" s="36" t="s">
        <v>32</v>
      </c>
      <c r="G43" s="1"/>
      <c r="H43" s="36" t="s">
        <v>191</v>
      </c>
      <c r="I43" s="54">
        <v>20.0</v>
      </c>
      <c r="J43" s="39">
        <v>13.0</v>
      </c>
      <c r="K43" s="35" t="s">
        <v>28</v>
      </c>
      <c r="L43" s="36" t="s">
        <v>32</v>
      </c>
      <c r="M43" s="1"/>
      <c r="N43" s="36" t="s">
        <v>258</v>
      </c>
      <c r="O43" s="54">
        <v>100.0</v>
      </c>
      <c r="P43" s="39">
        <v>10.0</v>
      </c>
      <c r="Q43" s="35" t="s">
        <v>28</v>
      </c>
      <c r="R43" s="36" t="s">
        <v>32</v>
      </c>
      <c r="S43" s="1"/>
      <c r="T43" s="36" t="s">
        <v>259</v>
      </c>
      <c r="U43" s="54">
        <v>200.0</v>
      </c>
      <c r="V43" s="39">
        <v>7.0</v>
      </c>
      <c r="W43" s="35" t="s">
        <v>32</v>
      </c>
      <c r="X43" s="36" t="s">
        <v>32</v>
      </c>
      <c r="Y43" s="1"/>
      <c r="Z43" s="36" t="s">
        <v>100</v>
      </c>
      <c r="AA43" s="54">
        <v>20.0</v>
      </c>
      <c r="AB43" s="39">
        <v>11.0</v>
      </c>
      <c r="AC43" s="35" t="s">
        <v>32</v>
      </c>
      <c r="AD43" s="36" t="s">
        <v>32</v>
      </c>
      <c r="AE43" s="1"/>
      <c r="AF43" s="36" t="s">
        <v>260</v>
      </c>
      <c r="AG43" s="54">
        <v>380.0</v>
      </c>
      <c r="AH43" s="39">
        <v>9.0</v>
      </c>
      <c r="AI43" s="35" t="s">
        <v>28</v>
      </c>
      <c r="AJ43" s="36" t="s">
        <v>32</v>
      </c>
      <c r="AK43" s="1"/>
      <c r="AL43" s="36" t="s">
        <v>234</v>
      </c>
      <c r="AM43" s="54">
        <v>55.0</v>
      </c>
      <c r="AN43" s="39">
        <v>6.0</v>
      </c>
      <c r="AO43" s="35" t="s">
        <v>28</v>
      </c>
      <c r="AP43" s="36" t="s">
        <v>34</v>
      </c>
      <c r="AQ43" s="1"/>
      <c r="AR43" s="36" t="s">
        <v>261</v>
      </c>
      <c r="AS43" s="54">
        <v>109.0</v>
      </c>
      <c r="AT43" s="39">
        <v>8.0</v>
      </c>
      <c r="AU43" s="35" t="s">
        <v>32</v>
      </c>
      <c r="AV43" s="36" t="s">
        <v>32</v>
      </c>
      <c r="AW43" s="1"/>
      <c r="AX43" s="36" t="s">
        <v>262</v>
      </c>
      <c r="AY43" s="54">
        <v>501.24</v>
      </c>
      <c r="AZ43" s="39">
        <v>9.0</v>
      </c>
      <c r="BA43" s="35" t="s">
        <v>28</v>
      </c>
      <c r="BB43" s="36" t="s">
        <v>32</v>
      </c>
      <c r="BC43" s="1"/>
      <c r="BD43" s="36" t="s">
        <v>114</v>
      </c>
      <c r="BE43" s="54">
        <v>3.0</v>
      </c>
      <c r="BF43" s="39">
        <v>10.0</v>
      </c>
      <c r="BG43" s="35" t="s">
        <v>32</v>
      </c>
      <c r="BH43" s="36" t="s">
        <v>32</v>
      </c>
      <c r="BI43" s="1"/>
      <c r="BJ43" s="36" t="s">
        <v>263</v>
      </c>
      <c r="BK43" s="59">
        <v>110.0</v>
      </c>
      <c r="BL43" s="39">
        <v>7.0</v>
      </c>
      <c r="BM43" s="35" t="s">
        <v>28</v>
      </c>
      <c r="BN43" s="36" t="s">
        <v>34</v>
      </c>
      <c r="BO43" s="1"/>
      <c r="BP43" s="36" t="s">
        <v>115</v>
      </c>
      <c r="BQ43" s="54">
        <v>3.0</v>
      </c>
      <c r="BR43" s="39">
        <v>10.0</v>
      </c>
      <c r="BS43" s="35" t="s">
        <v>32</v>
      </c>
      <c r="BT43" s="36" t="s">
        <v>32</v>
      </c>
      <c r="BU43" s="4"/>
    </row>
    <row r="44">
      <c r="A44" s="1"/>
      <c r="B44" s="36" t="s">
        <v>109</v>
      </c>
      <c r="C44" s="54">
        <v>189.0</v>
      </c>
      <c r="D44" s="39">
        <v>9.0</v>
      </c>
      <c r="E44" s="35" t="s">
        <v>28</v>
      </c>
      <c r="F44" s="36" t="s">
        <v>32</v>
      </c>
      <c r="G44" s="1"/>
      <c r="H44" s="36" t="s">
        <v>234</v>
      </c>
      <c r="I44" s="54">
        <v>170.0</v>
      </c>
      <c r="J44" s="39">
        <v>13.0</v>
      </c>
      <c r="K44" s="35" t="s">
        <v>32</v>
      </c>
      <c r="L44" s="36" t="s">
        <v>32</v>
      </c>
      <c r="M44" s="1"/>
      <c r="N44" s="36" t="s">
        <v>115</v>
      </c>
      <c r="O44" s="54">
        <v>3.0</v>
      </c>
      <c r="P44" s="39">
        <v>10.0</v>
      </c>
      <c r="Q44" s="35" t="s">
        <v>32</v>
      </c>
      <c r="R44" s="36" t="s">
        <v>32</v>
      </c>
      <c r="S44" s="1"/>
      <c r="T44" s="36" t="s">
        <v>220</v>
      </c>
      <c r="U44" s="54">
        <v>10458.37</v>
      </c>
      <c r="V44" s="39">
        <v>9.0</v>
      </c>
      <c r="W44" s="35" t="s">
        <v>28</v>
      </c>
      <c r="X44" s="36" t="s">
        <v>32</v>
      </c>
      <c r="Y44" s="1"/>
      <c r="Z44" s="36" t="s">
        <v>235</v>
      </c>
      <c r="AA44" s="54">
        <v>45.0</v>
      </c>
      <c r="AB44" s="39">
        <v>12.0</v>
      </c>
      <c r="AC44" s="35" t="s">
        <v>28</v>
      </c>
      <c r="AD44" s="36" t="s">
        <v>32</v>
      </c>
      <c r="AE44" s="1"/>
      <c r="AF44" s="36" t="s">
        <v>235</v>
      </c>
      <c r="AG44" s="54">
        <v>75.0</v>
      </c>
      <c r="AH44" s="39">
        <v>9.0</v>
      </c>
      <c r="AI44" s="35" t="s">
        <v>28</v>
      </c>
      <c r="AJ44" s="36" t="s">
        <v>32</v>
      </c>
      <c r="AK44" s="1"/>
      <c r="AL44" s="36" t="s">
        <v>264</v>
      </c>
      <c r="AM44" s="54">
        <v>20.7</v>
      </c>
      <c r="AN44" s="39">
        <v>7.0</v>
      </c>
      <c r="AO44" s="35" t="s">
        <v>32</v>
      </c>
      <c r="AP44" s="36" t="s">
        <v>32</v>
      </c>
      <c r="AQ44" s="1"/>
      <c r="AR44" s="36" t="s">
        <v>265</v>
      </c>
      <c r="AS44" s="54">
        <v>80.0</v>
      </c>
      <c r="AT44" s="39">
        <v>8.0</v>
      </c>
      <c r="AU44" s="35" t="s">
        <v>28</v>
      </c>
      <c r="AV44" s="36" t="s">
        <v>34</v>
      </c>
      <c r="AW44" s="1"/>
      <c r="AX44" s="36" t="s">
        <v>92</v>
      </c>
      <c r="AY44" s="54">
        <v>25.0</v>
      </c>
      <c r="AZ44" s="39">
        <v>10.0</v>
      </c>
      <c r="BA44" s="35" t="s">
        <v>32</v>
      </c>
      <c r="BB44" s="36" t="s">
        <v>32</v>
      </c>
      <c r="BC44" s="1"/>
      <c r="BD44" s="36" t="s">
        <v>220</v>
      </c>
      <c r="BE44" s="54">
        <v>15151.11</v>
      </c>
      <c r="BF44" s="39">
        <v>10.0</v>
      </c>
      <c r="BG44" s="35" t="s">
        <v>28</v>
      </c>
      <c r="BH44" s="36" t="s">
        <v>32</v>
      </c>
      <c r="BI44" s="1"/>
      <c r="BJ44" s="36" t="s">
        <v>266</v>
      </c>
      <c r="BK44" s="59">
        <v>250.0</v>
      </c>
      <c r="BL44" s="39">
        <v>10.0</v>
      </c>
      <c r="BM44" s="35" t="s">
        <v>28</v>
      </c>
      <c r="BN44" s="36" t="s">
        <v>32</v>
      </c>
      <c r="BO44" s="1"/>
      <c r="BP44" s="36" t="s">
        <v>114</v>
      </c>
      <c r="BQ44" s="54">
        <v>3.0</v>
      </c>
      <c r="BR44" s="39">
        <v>10.0</v>
      </c>
      <c r="BS44" s="35" t="s">
        <v>32</v>
      </c>
      <c r="BT44" s="36" t="s">
        <v>32</v>
      </c>
      <c r="BU44" s="4"/>
    </row>
    <row r="45">
      <c r="A45" s="1"/>
      <c r="B45" s="36" t="s">
        <v>267</v>
      </c>
      <c r="C45" s="54">
        <v>745.0</v>
      </c>
      <c r="D45" s="39">
        <v>10.0</v>
      </c>
      <c r="E45" s="35" t="s">
        <v>28</v>
      </c>
      <c r="F45" s="36" t="s">
        <v>32</v>
      </c>
      <c r="G45" s="1"/>
      <c r="H45" s="36" t="s">
        <v>210</v>
      </c>
      <c r="I45" s="54">
        <v>50.0</v>
      </c>
      <c r="J45" s="39">
        <v>14.0</v>
      </c>
      <c r="K45" s="35" t="s">
        <v>28</v>
      </c>
      <c r="L45" s="36" t="s">
        <v>32</v>
      </c>
      <c r="M45" s="1"/>
      <c r="N45" s="36" t="s">
        <v>114</v>
      </c>
      <c r="O45" s="54">
        <v>3.0</v>
      </c>
      <c r="P45" s="39">
        <v>10.0</v>
      </c>
      <c r="Q45" s="35" t="s">
        <v>32</v>
      </c>
      <c r="R45" s="36" t="s">
        <v>32</v>
      </c>
      <c r="S45" s="1"/>
      <c r="T45" s="36" t="s">
        <v>226</v>
      </c>
      <c r="U45" s="54">
        <v>2736.31</v>
      </c>
      <c r="V45" s="39">
        <v>9.0</v>
      </c>
      <c r="W45" s="35" t="s">
        <v>32</v>
      </c>
      <c r="X45" s="36" t="s">
        <v>32</v>
      </c>
      <c r="Y45" s="1"/>
      <c r="Z45" s="36" t="s">
        <v>220</v>
      </c>
      <c r="AA45" s="54">
        <v>11268.37</v>
      </c>
      <c r="AB45" s="39">
        <v>12.0</v>
      </c>
      <c r="AC45" s="35" t="s">
        <v>28</v>
      </c>
      <c r="AD45" s="36" t="s">
        <v>32</v>
      </c>
      <c r="AE45" s="1"/>
      <c r="AF45" s="36" t="s">
        <v>237</v>
      </c>
      <c r="AG45" s="54">
        <v>83.24</v>
      </c>
      <c r="AH45" s="39">
        <v>9.0</v>
      </c>
      <c r="AI45" s="35" t="s">
        <v>32</v>
      </c>
      <c r="AJ45" s="36" t="s">
        <v>32</v>
      </c>
      <c r="AK45" s="1"/>
      <c r="AL45" s="36" t="s">
        <v>210</v>
      </c>
      <c r="AM45" s="54">
        <v>730.0</v>
      </c>
      <c r="AN45" s="39">
        <v>7.0</v>
      </c>
      <c r="AO45" s="35" t="s">
        <v>28</v>
      </c>
      <c r="AP45" s="36" t="s">
        <v>32</v>
      </c>
      <c r="AQ45" s="1"/>
      <c r="AR45" s="36" t="s">
        <v>207</v>
      </c>
      <c r="AS45" s="54">
        <v>170.0</v>
      </c>
      <c r="AT45" s="39">
        <v>8.0</v>
      </c>
      <c r="AU45" s="35" t="s">
        <v>28</v>
      </c>
      <c r="AV45" s="36" t="s">
        <v>34</v>
      </c>
      <c r="AW45" s="1"/>
      <c r="AX45" s="36" t="s">
        <v>268</v>
      </c>
      <c r="AY45" s="54">
        <v>394.2</v>
      </c>
      <c r="AZ45" s="39">
        <v>10.0</v>
      </c>
      <c r="BA45" s="35" t="s">
        <v>32</v>
      </c>
      <c r="BB45" s="36" t="s">
        <v>32</v>
      </c>
      <c r="BC45" s="1"/>
      <c r="BD45" s="36" t="s">
        <v>226</v>
      </c>
      <c r="BE45" s="54">
        <v>2534.33</v>
      </c>
      <c r="BF45" s="39">
        <v>10.0</v>
      </c>
      <c r="BG45" s="35" t="s">
        <v>32</v>
      </c>
      <c r="BH45" s="36" t="s">
        <v>32</v>
      </c>
      <c r="BI45" s="1"/>
      <c r="BJ45" s="36" t="s">
        <v>269</v>
      </c>
      <c r="BK45" s="59">
        <v>3.0</v>
      </c>
      <c r="BL45" s="39">
        <v>10.0</v>
      </c>
      <c r="BM45" s="35" t="s">
        <v>32</v>
      </c>
      <c r="BN45" s="36" t="s">
        <v>32</v>
      </c>
      <c r="BO45" s="1"/>
      <c r="BP45" s="36" t="s">
        <v>270</v>
      </c>
      <c r="BQ45" s="54">
        <v>3306.26</v>
      </c>
      <c r="BR45" s="39">
        <v>10.0</v>
      </c>
      <c r="BS45" s="35" t="s">
        <v>32</v>
      </c>
      <c r="BT45" s="36" t="s">
        <v>32</v>
      </c>
      <c r="BU45" s="4"/>
    </row>
    <row r="46">
      <c r="A46" s="1"/>
      <c r="B46" s="36" t="s">
        <v>226</v>
      </c>
      <c r="C46" s="54">
        <v>4163.54</v>
      </c>
      <c r="D46" s="39">
        <v>10.0</v>
      </c>
      <c r="E46" s="35" t="s">
        <v>32</v>
      </c>
      <c r="F46" s="36" t="s">
        <v>32</v>
      </c>
      <c r="G46" s="1"/>
      <c r="H46" s="36" t="s">
        <v>271</v>
      </c>
      <c r="I46" s="54">
        <v>99.99</v>
      </c>
      <c r="J46" s="39">
        <v>14.0</v>
      </c>
      <c r="K46" s="35" t="s">
        <v>28</v>
      </c>
      <c r="L46" s="36" t="s">
        <v>32</v>
      </c>
      <c r="M46" s="1"/>
      <c r="N46" s="36" t="s">
        <v>220</v>
      </c>
      <c r="O46" s="54">
        <v>6927.68</v>
      </c>
      <c r="P46" s="39">
        <v>10.0</v>
      </c>
      <c r="Q46" s="35" t="s">
        <v>28</v>
      </c>
      <c r="R46" s="36" t="s">
        <v>32</v>
      </c>
      <c r="S46" s="1"/>
      <c r="T46" s="64" t="s">
        <v>115</v>
      </c>
      <c r="U46" s="54">
        <v>3.0</v>
      </c>
      <c r="V46" s="39">
        <v>10.0</v>
      </c>
      <c r="W46" s="35" t="s">
        <v>32</v>
      </c>
      <c r="X46" s="36" t="s">
        <v>32</v>
      </c>
      <c r="Y46" s="1"/>
      <c r="Z46" s="36" t="s">
        <v>272</v>
      </c>
      <c r="AA46" s="54">
        <v>480.0</v>
      </c>
      <c r="AB46" s="39">
        <v>12.0</v>
      </c>
      <c r="AC46" s="35" t="s">
        <v>28</v>
      </c>
      <c r="AD46" s="36" t="s">
        <v>32</v>
      </c>
      <c r="AE46" s="1"/>
      <c r="AF46" s="36" t="s">
        <v>90</v>
      </c>
      <c r="AG46" s="54">
        <v>7.0</v>
      </c>
      <c r="AH46" s="39">
        <v>9.0</v>
      </c>
      <c r="AI46" s="35" t="s">
        <v>28</v>
      </c>
      <c r="AJ46" s="36" t="s">
        <v>32</v>
      </c>
      <c r="AK46" s="1"/>
      <c r="AL46" s="36" t="s">
        <v>273</v>
      </c>
      <c r="AM46" s="54">
        <v>79.0</v>
      </c>
      <c r="AN46" s="39">
        <v>7.0</v>
      </c>
      <c r="AO46" s="35" t="s">
        <v>28</v>
      </c>
      <c r="AP46" s="36" t="s">
        <v>34</v>
      </c>
      <c r="AQ46" s="1"/>
      <c r="AR46" s="36" t="s">
        <v>222</v>
      </c>
      <c r="AS46" s="54">
        <v>34.0</v>
      </c>
      <c r="AT46" s="39">
        <v>9.0</v>
      </c>
      <c r="AU46" s="35" t="s">
        <v>28</v>
      </c>
      <c r="AV46" s="36" t="s">
        <v>34</v>
      </c>
      <c r="AW46" s="1"/>
      <c r="AX46" s="36" t="s">
        <v>115</v>
      </c>
      <c r="AY46" s="54">
        <v>3.0</v>
      </c>
      <c r="AZ46" s="39">
        <v>10.0</v>
      </c>
      <c r="BA46" s="35" t="s">
        <v>32</v>
      </c>
      <c r="BB46" s="36" t="s">
        <v>32</v>
      </c>
      <c r="BC46" s="1"/>
      <c r="BD46" s="36" t="s">
        <v>90</v>
      </c>
      <c r="BE46" s="54">
        <v>80.0</v>
      </c>
      <c r="BF46" s="39">
        <v>13.0</v>
      </c>
      <c r="BG46" s="35" t="s">
        <v>28</v>
      </c>
      <c r="BH46" s="36" t="s">
        <v>34</v>
      </c>
      <c r="BI46" s="1"/>
      <c r="BJ46" s="36" t="s">
        <v>114</v>
      </c>
      <c r="BK46" s="59">
        <v>3.0</v>
      </c>
      <c r="BL46" s="39">
        <v>10.0</v>
      </c>
      <c r="BM46" s="35" t="s">
        <v>32</v>
      </c>
      <c r="BN46" s="36" t="s">
        <v>32</v>
      </c>
      <c r="BO46" s="1"/>
      <c r="BP46" s="36" t="s">
        <v>274</v>
      </c>
      <c r="BQ46" s="54">
        <v>370.0</v>
      </c>
      <c r="BR46" s="39">
        <v>12.0</v>
      </c>
      <c r="BS46" s="35" t="s">
        <v>28</v>
      </c>
      <c r="BT46" s="36" t="s">
        <v>34</v>
      </c>
      <c r="BU46" s="4"/>
    </row>
    <row r="47">
      <c r="A47" s="1"/>
      <c r="B47" s="36" t="s">
        <v>93</v>
      </c>
      <c r="C47" s="54">
        <v>191.0</v>
      </c>
      <c r="D47" s="39">
        <v>10.0</v>
      </c>
      <c r="E47" s="35" t="s">
        <v>28</v>
      </c>
      <c r="F47" s="36" t="s">
        <v>32</v>
      </c>
      <c r="G47" s="1"/>
      <c r="H47" s="36" t="s">
        <v>275</v>
      </c>
      <c r="I47" s="54">
        <v>-0.47</v>
      </c>
      <c r="J47" s="39">
        <v>17.0</v>
      </c>
      <c r="K47" s="35" t="s">
        <v>32</v>
      </c>
      <c r="L47" s="36" t="s">
        <v>32</v>
      </c>
      <c r="M47" s="1"/>
      <c r="N47" s="36" t="s">
        <v>226</v>
      </c>
      <c r="O47" s="54">
        <v>2289.94</v>
      </c>
      <c r="P47" s="39">
        <v>10.0</v>
      </c>
      <c r="Q47" s="35" t="s">
        <v>32</v>
      </c>
      <c r="R47" s="36" t="s">
        <v>32</v>
      </c>
      <c r="S47" s="1"/>
      <c r="T47" s="36" t="s">
        <v>114</v>
      </c>
      <c r="U47" s="54">
        <v>3.0</v>
      </c>
      <c r="V47" s="39">
        <v>10.0</v>
      </c>
      <c r="W47" s="35" t="s">
        <v>32</v>
      </c>
      <c r="X47" s="36" t="s">
        <v>32</v>
      </c>
      <c r="Y47" s="1"/>
      <c r="Z47" s="36" t="s">
        <v>115</v>
      </c>
      <c r="AA47" s="54">
        <v>3.0</v>
      </c>
      <c r="AB47" s="39">
        <v>12.0</v>
      </c>
      <c r="AC47" s="35" t="s">
        <v>32</v>
      </c>
      <c r="AD47" s="36" t="s">
        <v>32</v>
      </c>
      <c r="AE47" s="1"/>
      <c r="AF47" s="36" t="s">
        <v>210</v>
      </c>
      <c r="AG47" s="54">
        <v>250.0</v>
      </c>
      <c r="AH47" s="39">
        <v>10.0</v>
      </c>
      <c r="AI47" s="35" t="s">
        <v>28</v>
      </c>
      <c r="AJ47" s="36" t="s">
        <v>32</v>
      </c>
      <c r="AK47" s="1"/>
      <c r="AL47" s="36" t="s">
        <v>276</v>
      </c>
      <c r="AM47" s="54">
        <v>31.0</v>
      </c>
      <c r="AN47" s="39">
        <v>7.0</v>
      </c>
      <c r="AO47" s="35" t="s">
        <v>28</v>
      </c>
      <c r="AP47" s="36" t="s">
        <v>34</v>
      </c>
      <c r="AQ47" s="1"/>
      <c r="AR47" s="36" t="s">
        <v>220</v>
      </c>
      <c r="AS47" s="54">
        <v>10705.1</v>
      </c>
      <c r="AT47" s="39">
        <v>10.0</v>
      </c>
      <c r="AU47" s="35" t="s">
        <v>28</v>
      </c>
      <c r="AV47" s="36" t="s">
        <v>32</v>
      </c>
      <c r="AW47" s="1"/>
      <c r="AX47" s="36" t="s">
        <v>114</v>
      </c>
      <c r="AY47" s="54">
        <v>3.0</v>
      </c>
      <c r="AZ47" s="39">
        <v>10.0</v>
      </c>
      <c r="BA47" s="35" t="s">
        <v>32</v>
      </c>
      <c r="BB47" s="36" t="s">
        <v>32</v>
      </c>
      <c r="BC47" s="1"/>
      <c r="BD47" s="36" t="s">
        <v>277</v>
      </c>
      <c r="BE47" s="54">
        <v>35.0</v>
      </c>
      <c r="BF47" s="39">
        <v>15.0</v>
      </c>
      <c r="BG47" s="35" t="s">
        <v>32</v>
      </c>
      <c r="BH47" s="36" t="s">
        <v>32</v>
      </c>
      <c r="BI47" s="1"/>
      <c r="BJ47" s="36" t="s">
        <v>226</v>
      </c>
      <c r="BK47" s="59">
        <v>2405.76</v>
      </c>
      <c r="BL47" s="39">
        <v>10.0</v>
      </c>
      <c r="BM47" s="35" t="s">
        <v>32</v>
      </c>
      <c r="BN47" s="36" t="s">
        <v>32</v>
      </c>
      <c r="BO47" s="1"/>
      <c r="BP47" s="36" t="s">
        <v>278</v>
      </c>
      <c r="BQ47" s="54">
        <v>140.0</v>
      </c>
      <c r="BR47" s="39">
        <v>12.0</v>
      </c>
      <c r="BS47" s="35" t="s">
        <v>28</v>
      </c>
      <c r="BT47" s="36" t="s">
        <v>34</v>
      </c>
      <c r="BU47" s="4"/>
    </row>
    <row r="48">
      <c r="A48" s="1"/>
      <c r="B48" s="36" t="s">
        <v>115</v>
      </c>
      <c r="C48" s="54">
        <v>3.0</v>
      </c>
      <c r="D48" s="39">
        <v>10.0</v>
      </c>
      <c r="E48" s="35" t="s">
        <v>32</v>
      </c>
      <c r="F48" s="36" t="s">
        <v>32</v>
      </c>
      <c r="G48" s="1"/>
      <c r="H48" s="36" t="s">
        <v>279</v>
      </c>
      <c r="I48" s="54">
        <v>125.36</v>
      </c>
      <c r="J48" s="39">
        <v>17.0</v>
      </c>
      <c r="K48" s="35" t="s">
        <v>32</v>
      </c>
      <c r="L48" s="36" t="s">
        <v>32</v>
      </c>
      <c r="M48" s="1"/>
      <c r="N48" s="36" t="s">
        <v>191</v>
      </c>
      <c r="O48" s="54">
        <v>20.0</v>
      </c>
      <c r="P48" s="39">
        <v>11.0</v>
      </c>
      <c r="Q48" s="35" t="s">
        <v>28</v>
      </c>
      <c r="R48" s="36" t="s">
        <v>32</v>
      </c>
      <c r="S48" s="1"/>
      <c r="T48" s="36" t="s">
        <v>191</v>
      </c>
      <c r="U48" s="54">
        <v>20.0</v>
      </c>
      <c r="V48" s="39">
        <v>11.0</v>
      </c>
      <c r="W48" s="35" t="s">
        <v>28</v>
      </c>
      <c r="X48" s="36" t="s">
        <v>32</v>
      </c>
      <c r="Y48" s="1"/>
      <c r="Z48" s="36" t="s">
        <v>114</v>
      </c>
      <c r="AA48" s="54">
        <v>3.0</v>
      </c>
      <c r="AB48" s="39">
        <v>12.0</v>
      </c>
      <c r="AC48" s="35" t="s">
        <v>32</v>
      </c>
      <c r="AD48" s="36" t="s">
        <v>32</v>
      </c>
      <c r="AE48" s="1"/>
      <c r="AF48" s="36" t="s">
        <v>92</v>
      </c>
      <c r="AG48" s="54">
        <v>121.39</v>
      </c>
      <c r="AH48" s="39">
        <v>10.0</v>
      </c>
      <c r="AI48" s="35" t="s">
        <v>32</v>
      </c>
      <c r="AJ48" s="36" t="s">
        <v>32</v>
      </c>
      <c r="AK48" s="1"/>
      <c r="AL48" s="36" t="s">
        <v>280</v>
      </c>
      <c r="AM48" s="54">
        <v>8000.0</v>
      </c>
      <c r="AN48" s="39">
        <v>8.0</v>
      </c>
      <c r="AO48" s="35" t="s">
        <v>32</v>
      </c>
      <c r="AP48" s="36" t="s">
        <v>32</v>
      </c>
      <c r="AQ48" s="1"/>
      <c r="AR48" s="36" t="s">
        <v>226</v>
      </c>
      <c r="AS48" s="54">
        <v>1695.57</v>
      </c>
      <c r="AT48" s="39">
        <v>10.0</v>
      </c>
      <c r="AU48" s="35" t="s">
        <v>32</v>
      </c>
      <c r="AV48" s="36" t="s">
        <v>32</v>
      </c>
      <c r="AW48" s="1"/>
      <c r="AX48" s="36" t="s">
        <v>220</v>
      </c>
      <c r="AY48" s="54">
        <v>12402.86</v>
      </c>
      <c r="AZ48" s="39">
        <v>10.0</v>
      </c>
      <c r="BA48" s="35" t="s">
        <v>28</v>
      </c>
      <c r="BB48" s="36" t="s">
        <v>32</v>
      </c>
      <c r="BC48" s="1"/>
      <c r="BD48" s="36" t="s">
        <v>191</v>
      </c>
      <c r="BE48" s="54">
        <v>20.0</v>
      </c>
      <c r="BF48" s="39">
        <v>16.0</v>
      </c>
      <c r="BG48" s="35" t="s">
        <v>32</v>
      </c>
      <c r="BH48" s="36" t="s">
        <v>32</v>
      </c>
      <c r="BI48" s="1"/>
      <c r="BJ48" s="36" t="s">
        <v>281</v>
      </c>
      <c r="BK48" s="59">
        <v>3936.9</v>
      </c>
      <c r="BL48" s="39">
        <v>10.0</v>
      </c>
      <c r="BM48" s="35" t="s">
        <v>34</v>
      </c>
      <c r="BN48" s="36" t="s">
        <v>32</v>
      </c>
      <c r="BO48" s="1"/>
      <c r="BP48" s="36" t="s">
        <v>282</v>
      </c>
      <c r="BQ48" s="54">
        <v>224.0</v>
      </c>
      <c r="BR48" s="39">
        <v>12.0</v>
      </c>
      <c r="BS48" s="35" t="s">
        <v>28</v>
      </c>
      <c r="BT48" s="36" t="s">
        <v>34</v>
      </c>
      <c r="BU48" s="4"/>
    </row>
    <row r="49">
      <c r="A49" s="1"/>
      <c r="B49" s="36" t="s">
        <v>114</v>
      </c>
      <c r="C49" s="54">
        <v>711.02</v>
      </c>
      <c r="D49" s="39">
        <v>10.0</v>
      </c>
      <c r="E49" s="35" t="s">
        <v>32</v>
      </c>
      <c r="F49" s="36" t="s">
        <v>32</v>
      </c>
      <c r="G49" s="1"/>
      <c r="H49" s="36" t="s">
        <v>92</v>
      </c>
      <c r="I49" s="54">
        <v>100.0</v>
      </c>
      <c r="J49" s="39">
        <v>17.0</v>
      </c>
      <c r="K49" s="35" t="s">
        <v>28</v>
      </c>
      <c r="L49" s="36" t="s">
        <v>32</v>
      </c>
      <c r="M49" s="1"/>
      <c r="N49" s="36" t="s">
        <v>283</v>
      </c>
      <c r="O49" s="54">
        <v>53.0</v>
      </c>
      <c r="P49" s="39">
        <v>11.0</v>
      </c>
      <c r="Q49" s="35" t="s">
        <v>28</v>
      </c>
      <c r="R49" s="36" t="s">
        <v>34</v>
      </c>
      <c r="S49" s="1"/>
      <c r="T49" s="36" t="s">
        <v>235</v>
      </c>
      <c r="U49" s="54">
        <v>60.0</v>
      </c>
      <c r="V49" s="39">
        <v>12.0</v>
      </c>
      <c r="W49" s="35" t="s">
        <v>28</v>
      </c>
      <c r="X49" s="36" t="s">
        <v>34</v>
      </c>
      <c r="Y49" s="1"/>
      <c r="Z49" s="36" t="s">
        <v>226</v>
      </c>
      <c r="AA49" s="54">
        <v>2269.29</v>
      </c>
      <c r="AB49" s="39">
        <v>12.0</v>
      </c>
      <c r="AC49" s="35" t="s">
        <v>32</v>
      </c>
      <c r="AD49" s="36" t="s">
        <v>32</v>
      </c>
      <c r="AE49" s="1"/>
      <c r="AF49" s="36" t="s">
        <v>220</v>
      </c>
      <c r="AG49" s="54">
        <v>11412.63</v>
      </c>
      <c r="AH49" s="39">
        <v>10.0</v>
      </c>
      <c r="AI49" s="35" t="s">
        <v>28</v>
      </c>
      <c r="AJ49" s="36" t="s">
        <v>32</v>
      </c>
      <c r="AK49" s="1"/>
      <c r="AL49" s="36" t="s">
        <v>284</v>
      </c>
      <c r="AM49" s="54">
        <v>86.0</v>
      </c>
      <c r="AN49" s="39">
        <v>8.0</v>
      </c>
      <c r="AO49" s="35" t="s">
        <v>28</v>
      </c>
      <c r="AP49" s="36" t="s">
        <v>34</v>
      </c>
      <c r="AQ49" s="1"/>
      <c r="AR49" s="36" t="s">
        <v>90</v>
      </c>
      <c r="AS49" s="54">
        <v>50.0</v>
      </c>
      <c r="AT49" s="39">
        <v>11.0</v>
      </c>
      <c r="AU49" s="35" t="s">
        <v>28</v>
      </c>
      <c r="AV49" s="36" t="s">
        <v>32</v>
      </c>
      <c r="AW49" s="1"/>
      <c r="AX49" s="36" t="s">
        <v>226</v>
      </c>
      <c r="AY49" s="54">
        <v>3060.95</v>
      </c>
      <c r="AZ49" s="39">
        <v>10.0</v>
      </c>
      <c r="BA49" s="35" t="s">
        <v>32</v>
      </c>
      <c r="BB49" s="36" t="s">
        <v>32</v>
      </c>
      <c r="BC49" s="1"/>
      <c r="BD49" s="36" t="s">
        <v>235</v>
      </c>
      <c r="BE49" s="54">
        <v>34.0</v>
      </c>
      <c r="BF49" s="39">
        <v>16.0</v>
      </c>
      <c r="BG49" s="35" t="s">
        <v>28</v>
      </c>
      <c r="BH49" s="36" t="s">
        <v>32</v>
      </c>
      <c r="BI49" s="1"/>
      <c r="BJ49" s="36" t="s">
        <v>220</v>
      </c>
      <c r="BK49" s="59">
        <v>7651.0</v>
      </c>
      <c r="BL49" s="39">
        <v>10.0</v>
      </c>
      <c r="BM49" s="35" t="s">
        <v>28</v>
      </c>
      <c r="BN49" s="36" t="s">
        <v>32</v>
      </c>
      <c r="BO49" s="1"/>
      <c r="BP49" s="36" t="s">
        <v>285</v>
      </c>
      <c r="BQ49" s="54">
        <v>50.0</v>
      </c>
      <c r="BR49" s="39">
        <v>12.0</v>
      </c>
      <c r="BS49" s="35" t="s">
        <v>28</v>
      </c>
      <c r="BT49" s="36" t="s">
        <v>34</v>
      </c>
      <c r="BU49" s="4"/>
    </row>
    <row r="50">
      <c r="A50" s="1"/>
      <c r="B50" s="36" t="s">
        <v>220</v>
      </c>
      <c r="C50" s="54">
        <v>13645.11</v>
      </c>
      <c r="D50" s="39">
        <v>10.0</v>
      </c>
      <c r="E50" s="35" t="s">
        <v>28</v>
      </c>
      <c r="F50" s="36" t="s">
        <v>32</v>
      </c>
      <c r="G50" s="1"/>
      <c r="H50" s="36" t="s">
        <v>286</v>
      </c>
      <c r="I50" s="54">
        <v>200.0</v>
      </c>
      <c r="J50" s="39">
        <v>17.0</v>
      </c>
      <c r="K50" s="35" t="s">
        <v>32</v>
      </c>
      <c r="L50" s="36" t="s">
        <v>32</v>
      </c>
      <c r="M50" s="1"/>
      <c r="N50" s="36" t="s">
        <v>287</v>
      </c>
      <c r="O50" s="54">
        <v>218.95</v>
      </c>
      <c r="P50" s="39">
        <v>12.0</v>
      </c>
      <c r="Q50" s="35" t="s">
        <v>28</v>
      </c>
      <c r="R50" s="36" t="s">
        <v>32</v>
      </c>
      <c r="S50" s="1"/>
      <c r="T50" s="36" t="s">
        <v>210</v>
      </c>
      <c r="U50" s="54">
        <v>52.0</v>
      </c>
      <c r="V50" s="39">
        <v>12.0</v>
      </c>
      <c r="W50" s="35" t="s">
        <v>28</v>
      </c>
      <c r="X50" s="36" t="s">
        <v>34</v>
      </c>
      <c r="Y50" s="1"/>
      <c r="Z50" s="36" t="s">
        <v>235</v>
      </c>
      <c r="AA50" s="54">
        <v>60.0</v>
      </c>
      <c r="AB50" s="39">
        <v>13.0</v>
      </c>
      <c r="AC50" s="35" t="s">
        <v>28</v>
      </c>
      <c r="AD50" s="36" t="s">
        <v>32</v>
      </c>
      <c r="AE50" s="1"/>
      <c r="AF50" s="36" t="s">
        <v>115</v>
      </c>
      <c r="AG50" s="54">
        <v>3.0</v>
      </c>
      <c r="AH50" s="39">
        <v>10.0</v>
      </c>
      <c r="AI50" s="35" t="s">
        <v>32</v>
      </c>
      <c r="AJ50" s="36" t="s">
        <v>32</v>
      </c>
      <c r="AK50" s="1"/>
      <c r="AL50" s="36" t="s">
        <v>90</v>
      </c>
      <c r="AM50" s="54">
        <v>30.0</v>
      </c>
      <c r="AN50" s="39">
        <v>9.0</v>
      </c>
      <c r="AO50" s="35" t="s">
        <v>28</v>
      </c>
      <c r="AP50" s="36" t="s">
        <v>32</v>
      </c>
      <c r="AQ50" s="1"/>
      <c r="AR50" s="36" t="s">
        <v>115</v>
      </c>
      <c r="AS50" s="54">
        <v>3.0</v>
      </c>
      <c r="AT50" s="39">
        <v>11.0</v>
      </c>
      <c r="AU50" s="35" t="s">
        <v>32</v>
      </c>
      <c r="AV50" s="36" t="s">
        <v>32</v>
      </c>
      <c r="AW50" s="1"/>
      <c r="AX50" s="36" t="s">
        <v>281</v>
      </c>
      <c r="AY50" s="54">
        <v>588.82</v>
      </c>
      <c r="AZ50" s="39">
        <v>10.0</v>
      </c>
      <c r="BA50" s="35" t="s">
        <v>32</v>
      </c>
      <c r="BB50" s="36" t="s">
        <v>32</v>
      </c>
      <c r="BC50" s="1"/>
      <c r="BD50" s="36" t="s">
        <v>207</v>
      </c>
      <c r="BE50" s="54">
        <v>170.0</v>
      </c>
      <c r="BF50" s="39">
        <v>17.0</v>
      </c>
      <c r="BG50" s="35" t="s">
        <v>28</v>
      </c>
      <c r="BH50" s="36" t="s">
        <v>32</v>
      </c>
      <c r="BI50" s="1"/>
      <c r="BJ50" s="36" t="s">
        <v>288</v>
      </c>
      <c r="BK50" s="59">
        <v>50.0</v>
      </c>
      <c r="BL50" s="39">
        <v>13.0</v>
      </c>
      <c r="BM50" s="35" t="s">
        <v>32</v>
      </c>
      <c r="BN50" s="36" t="s">
        <v>32</v>
      </c>
      <c r="BO50" s="1"/>
      <c r="BP50" s="36" t="s">
        <v>289</v>
      </c>
      <c r="BQ50" s="54">
        <v>30.0</v>
      </c>
      <c r="BR50" s="39">
        <v>12.0</v>
      </c>
      <c r="BS50" s="35" t="s">
        <v>28</v>
      </c>
      <c r="BT50" s="36" t="s">
        <v>34</v>
      </c>
      <c r="BU50" s="4"/>
    </row>
    <row r="51">
      <c r="A51" s="1"/>
      <c r="B51" s="36" t="s">
        <v>290</v>
      </c>
      <c r="C51" s="54">
        <v>40.0</v>
      </c>
      <c r="D51" s="39">
        <v>13.0</v>
      </c>
      <c r="E51" s="35" t="s">
        <v>32</v>
      </c>
      <c r="F51" s="36" t="s">
        <v>32</v>
      </c>
      <c r="G51" s="1"/>
      <c r="H51" s="36" t="s">
        <v>291</v>
      </c>
      <c r="I51" s="54">
        <v>796.0</v>
      </c>
      <c r="J51" s="39">
        <v>19.0</v>
      </c>
      <c r="K51" s="35" t="s">
        <v>32</v>
      </c>
      <c r="L51" s="36" t="s">
        <v>34</v>
      </c>
      <c r="M51" s="1"/>
      <c r="N51" s="36" t="s">
        <v>210</v>
      </c>
      <c r="O51" s="54">
        <v>120.0</v>
      </c>
      <c r="P51" s="39">
        <v>12.0</v>
      </c>
      <c r="Q51" s="35" t="s">
        <v>32</v>
      </c>
      <c r="R51" s="36" t="s">
        <v>32</v>
      </c>
      <c r="S51" s="1"/>
      <c r="T51" s="36" t="s">
        <v>292</v>
      </c>
      <c r="U51" s="54">
        <v>480.0</v>
      </c>
      <c r="V51" s="39">
        <v>14.0</v>
      </c>
      <c r="W51" s="35" t="s">
        <v>28</v>
      </c>
      <c r="X51" s="36" t="s">
        <v>32</v>
      </c>
      <c r="Y51" s="1"/>
      <c r="Z51" s="36" t="s">
        <v>293</v>
      </c>
      <c r="AA51" s="54">
        <v>29.0</v>
      </c>
      <c r="AB51" s="39">
        <v>14.0</v>
      </c>
      <c r="AC51" s="35" t="s">
        <v>28</v>
      </c>
      <c r="AD51" s="36" t="s">
        <v>32</v>
      </c>
      <c r="AE51" s="1"/>
      <c r="AF51" s="36" t="s">
        <v>114</v>
      </c>
      <c r="AG51" s="54">
        <v>3.0</v>
      </c>
      <c r="AH51" s="39">
        <v>10.0</v>
      </c>
      <c r="AI51" s="35" t="s">
        <v>32</v>
      </c>
      <c r="AJ51" s="36" t="s">
        <v>32</v>
      </c>
      <c r="AK51" s="1"/>
      <c r="AL51" s="36" t="s">
        <v>100</v>
      </c>
      <c r="AM51" s="54">
        <v>25.0</v>
      </c>
      <c r="AN51" s="39">
        <v>10.0</v>
      </c>
      <c r="AO51" s="35" t="s">
        <v>32</v>
      </c>
      <c r="AP51" s="36" t="s">
        <v>32</v>
      </c>
      <c r="AQ51" s="1"/>
      <c r="AR51" s="36" t="s">
        <v>114</v>
      </c>
      <c r="AS51" s="54">
        <v>263.61</v>
      </c>
      <c r="AT51" s="39">
        <v>11.0</v>
      </c>
      <c r="AU51" s="35" t="s">
        <v>32</v>
      </c>
      <c r="AV51" s="36" t="s">
        <v>32</v>
      </c>
      <c r="AW51" s="1"/>
      <c r="AX51" s="36" t="s">
        <v>90</v>
      </c>
      <c r="AY51" s="54">
        <v>50.0</v>
      </c>
      <c r="AZ51" s="39">
        <v>12.0</v>
      </c>
      <c r="BA51" s="35" t="s">
        <v>28</v>
      </c>
      <c r="BB51" s="36" t="s">
        <v>32</v>
      </c>
      <c r="BC51" s="1"/>
      <c r="BD51" s="36" t="s">
        <v>100</v>
      </c>
      <c r="BE51" s="54">
        <v>100.0</v>
      </c>
      <c r="BF51" s="39">
        <v>19.0</v>
      </c>
      <c r="BG51" s="35" t="s">
        <v>32</v>
      </c>
      <c r="BH51" s="36" t="s">
        <v>32</v>
      </c>
      <c r="BI51" s="1"/>
      <c r="BJ51" s="36" t="s">
        <v>207</v>
      </c>
      <c r="BK51" s="59">
        <v>170.0</v>
      </c>
      <c r="BL51" s="39">
        <v>14.0</v>
      </c>
      <c r="BM51" s="35" t="s">
        <v>28</v>
      </c>
      <c r="BN51" s="36" t="s">
        <v>34</v>
      </c>
      <c r="BO51" s="1"/>
      <c r="BP51" s="36" t="s">
        <v>294</v>
      </c>
      <c r="BQ51" s="54">
        <v>78.0</v>
      </c>
      <c r="BR51" s="39">
        <v>16.0</v>
      </c>
      <c r="BS51" s="35" t="s">
        <v>28</v>
      </c>
      <c r="BT51" s="36" t="s">
        <v>34</v>
      </c>
      <c r="BU51" s="4"/>
    </row>
    <row r="52">
      <c r="A52" s="1"/>
      <c r="B52" s="36" t="s">
        <v>295</v>
      </c>
      <c r="C52" s="54">
        <v>6.6</v>
      </c>
      <c r="D52" s="39">
        <v>13.0</v>
      </c>
      <c r="E52" s="35" t="s">
        <v>32</v>
      </c>
      <c r="F52" s="36" t="s">
        <v>32</v>
      </c>
      <c r="G52" s="1"/>
      <c r="H52" s="36" t="s">
        <v>90</v>
      </c>
      <c r="I52" s="54">
        <v>34.0</v>
      </c>
      <c r="J52" s="39">
        <v>19.0</v>
      </c>
      <c r="K52" s="35" t="s">
        <v>28</v>
      </c>
      <c r="L52" s="36" t="s">
        <v>32</v>
      </c>
      <c r="M52" s="1"/>
      <c r="N52" s="36" t="s">
        <v>296</v>
      </c>
      <c r="O52" s="54">
        <v>727.0</v>
      </c>
      <c r="P52" s="39">
        <v>13.0</v>
      </c>
      <c r="Q52" s="35" t="s">
        <v>32</v>
      </c>
      <c r="R52" s="36" t="s">
        <v>32</v>
      </c>
      <c r="S52" s="1"/>
      <c r="T52" s="36" t="s">
        <v>297</v>
      </c>
      <c r="U52" s="54">
        <v>250.0</v>
      </c>
      <c r="V52" s="39">
        <v>16.0</v>
      </c>
      <c r="W52" s="35" t="s">
        <v>32</v>
      </c>
      <c r="X52" s="36" t="s">
        <v>32</v>
      </c>
      <c r="Y52" s="1"/>
      <c r="Z52" s="36" t="s">
        <v>124</v>
      </c>
      <c r="AA52" s="54">
        <v>-0.41</v>
      </c>
      <c r="AB52" s="39">
        <v>15.0</v>
      </c>
      <c r="AC52" s="35" t="s">
        <v>32</v>
      </c>
      <c r="AD52" s="36" t="s">
        <v>32</v>
      </c>
      <c r="AE52" s="1"/>
      <c r="AF52" s="36" t="s">
        <v>226</v>
      </c>
      <c r="AG52" s="54">
        <v>2002.95</v>
      </c>
      <c r="AH52" s="39">
        <v>10.0</v>
      </c>
      <c r="AI52" s="35" t="s">
        <v>32</v>
      </c>
      <c r="AJ52" s="36" t="s">
        <v>32</v>
      </c>
      <c r="AK52" s="1"/>
      <c r="AL52" s="36" t="s">
        <v>115</v>
      </c>
      <c r="AM52" s="54">
        <v>3.0</v>
      </c>
      <c r="AN52" s="39">
        <v>10.0</v>
      </c>
      <c r="AO52" s="35" t="s">
        <v>32</v>
      </c>
      <c r="AP52" s="36" t="s">
        <v>32</v>
      </c>
      <c r="AQ52" s="1"/>
      <c r="AR52" s="36" t="s">
        <v>110</v>
      </c>
      <c r="AS52" s="54">
        <v>35.0</v>
      </c>
      <c r="AT52" s="39">
        <v>11.0</v>
      </c>
      <c r="AU52" s="35" t="s">
        <v>28</v>
      </c>
      <c r="AV52" s="36" t="s">
        <v>34</v>
      </c>
      <c r="AW52" s="1"/>
      <c r="AX52" s="36" t="s">
        <v>298</v>
      </c>
      <c r="AY52" s="54">
        <v>200.0</v>
      </c>
      <c r="AZ52" s="39">
        <v>13.0</v>
      </c>
      <c r="BA52" s="35" t="s">
        <v>28</v>
      </c>
      <c r="BB52" s="36" t="s">
        <v>34</v>
      </c>
      <c r="BC52" s="1"/>
      <c r="BD52" s="36" t="s">
        <v>90</v>
      </c>
      <c r="BE52" s="54">
        <v>70.0</v>
      </c>
      <c r="BF52" s="39">
        <v>20.0</v>
      </c>
      <c r="BG52" s="35" t="s">
        <v>28</v>
      </c>
      <c r="BH52" s="36" t="s">
        <v>32</v>
      </c>
      <c r="BI52" s="1"/>
      <c r="BJ52" s="36" t="s">
        <v>299</v>
      </c>
      <c r="BK52" s="59">
        <v>6.0</v>
      </c>
      <c r="BL52" s="39">
        <v>14.0</v>
      </c>
      <c r="BM52" s="35" t="s">
        <v>28</v>
      </c>
      <c r="BN52" s="36" t="s">
        <v>34</v>
      </c>
      <c r="BO52" s="1"/>
      <c r="BP52" s="36" t="s">
        <v>300</v>
      </c>
      <c r="BQ52" s="54">
        <v>72.0</v>
      </c>
      <c r="BR52" s="39">
        <v>16.0</v>
      </c>
      <c r="BS52" s="35" t="s">
        <v>28</v>
      </c>
      <c r="BT52" s="36" t="s">
        <v>34</v>
      </c>
      <c r="BU52" s="4"/>
    </row>
    <row r="53">
      <c r="A53" s="1"/>
      <c r="B53" s="36" t="s">
        <v>191</v>
      </c>
      <c r="C53" s="54">
        <v>20.0</v>
      </c>
      <c r="D53" s="39">
        <v>13.0</v>
      </c>
      <c r="E53" s="35" t="s">
        <v>28</v>
      </c>
      <c r="F53" s="36" t="s">
        <v>32</v>
      </c>
      <c r="G53" s="1"/>
      <c r="H53" s="36" t="s">
        <v>286</v>
      </c>
      <c r="I53" s="54">
        <v>8.0</v>
      </c>
      <c r="J53" s="39">
        <v>21.0</v>
      </c>
      <c r="K53" s="35" t="s">
        <v>32</v>
      </c>
      <c r="L53" s="36" t="s">
        <v>32</v>
      </c>
      <c r="M53" s="1"/>
      <c r="N53" s="36" t="s">
        <v>288</v>
      </c>
      <c r="O53" s="54">
        <v>100.0</v>
      </c>
      <c r="P53" s="39">
        <v>14.0</v>
      </c>
      <c r="Q53" s="35" t="s">
        <v>32</v>
      </c>
      <c r="R53" s="36" t="s">
        <v>32</v>
      </c>
      <c r="S53" s="1"/>
      <c r="T53" s="36" t="s">
        <v>207</v>
      </c>
      <c r="U53" s="54">
        <v>170.0</v>
      </c>
      <c r="V53" s="39">
        <v>16.0</v>
      </c>
      <c r="W53" s="35" t="s">
        <v>28</v>
      </c>
      <c r="X53" s="36" t="s">
        <v>34</v>
      </c>
      <c r="Y53" s="1"/>
      <c r="Z53" s="36" t="s">
        <v>218</v>
      </c>
      <c r="AA53" s="54">
        <v>35.0</v>
      </c>
      <c r="AB53" s="39">
        <v>16.0</v>
      </c>
      <c r="AC53" s="35" t="s">
        <v>32</v>
      </c>
      <c r="AD53" s="36" t="s">
        <v>32</v>
      </c>
      <c r="AE53" s="1"/>
      <c r="AF53" s="36" t="s">
        <v>301</v>
      </c>
      <c r="AG53" s="54">
        <v>60.0</v>
      </c>
      <c r="AH53" s="39">
        <v>10.0</v>
      </c>
      <c r="AI53" s="35" t="s">
        <v>28</v>
      </c>
      <c r="AJ53" s="36" t="s">
        <v>34</v>
      </c>
      <c r="AK53" s="1"/>
      <c r="AL53" s="36" t="s">
        <v>114</v>
      </c>
      <c r="AM53" s="54">
        <v>3.0</v>
      </c>
      <c r="AN53" s="39">
        <v>10.0</v>
      </c>
      <c r="AO53" s="35" t="s">
        <v>32</v>
      </c>
      <c r="AP53" s="36" t="s">
        <v>32</v>
      </c>
      <c r="AQ53" s="1"/>
      <c r="AR53" s="36" t="s">
        <v>302</v>
      </c>
      <c r="AS53" s="54">
        <v>480.0</v>
      </c>
      <c r="AT53" s="39">
        <v>12.0</v>
      </c>
      <c r="AU53" s="35" t="s">
        <v>28</v>
      </c>
      <c r="AV53" s="36" t="s">
        <v>32</v>
      </c>
      <c r="AW53" s="1"/>
      <c r="AX53" s="36" t="s">
        <v>92</v>
      </c>
      <c r="AY53" s="54">
        <v>27.9</v>
      </c>
      <c r="AZ53" s="39">
        <v>16.0</v>
      </c>
      <c r="BA53" s="35" t="s">
        <v>32</v>
      </c>
      <c r="BB53" s="36" t="s">
        <v>32</v>
      </c>
      <c r="BC53" s="1"/>
      <c r="BD53" s="36" t="s">
        <v>286</v>
      </c>
      <c r="BE53" s="54">
        <v>40.0</v>
      </c>
      <c r="BF53" s="39">
        <v>21.0</v>
      </c>
      <c r="BG53" s="35" t="s">
        <v>32</v>
      </c>
      <c r="BH53" s="36" t="s">
        <v>32</v>
      </c>
      <c r="BI53" s="1"/>
      <c r="BJ53" s="36" t="s">
        <v>303</v>
      </c>
      <c r="BK53" s="59">
        <v>50.0</v>
      </c>
      <c r="BL53" s="39">
        <v>14.0</v>
      </c>
      <c r="BM53" s="35" t="s">
        <v>28</v>
      </c>
      <c r="BN53" s="36" t="s">
        <v>34</v>
      </c>
      <c r="BO53" s="1"/>
      <c r="BP53" s="36" t="s">
        <v>304</v>
      </c>
      <c r="BQ53" s="54">
        <v>60.0</v>
      </c>
      <c r="BR53" s="39">
        <v>16.0</v>
      </c>
      <c r="BS53" s="35" t="s">
        <v>28</v>
      </c>
      <c r="BT53" s="36" t="s">
        <v>34</v>
      </c>
      <c r="BU53" s="4"/>
    </row>
    <row r="54">
      <c r="A54" s="1"/>
      <c r="B54" s="36" t="s">
        <v>305</v>
      </c>
      <c r="C54" s="54">
        <v>20.0</v>
      </c>
      <c r="D54" s="39">
        <v>13.0</v>
      </c>
      <c r="E54" s="35" t="s">
        <v>32</v>
      </c>
      <c r="F54" s="36" t="s">
        <v>32</v>
      </c>
      <c r="G54" s="1"/>
      <c r="H54" s="36" t="s">
        <v>92</v>
      </c>
      <c r="I54" s="54">
        <v>15.0</v>
      </c>
      <c r="J54" s="39">
        <v>24.0</v>
      </c>
      <c r="K54" s="35" t="s">
        <v>32</v>
      </c>
      <c r="L54" s="36" t="s">
        <v>32</v>
      </c>
      <c r="M54" s="1"/>
      <c r="N54" s="36" t="s">
        <v>306</v>
      </c>
      <c r="O54" s="54">
        <v>50.0</v>
      </c>
      <c r="P54" s="39">
        <v>14.0</v>
      </c>
      <c r="Q54" s="35" t="s">
        <v>28</v>
      </c>
      <c r="R54" s="36" t="s">
        <v>34</v>
      </c>
      <c r="S54" s="1"/>
      <c r="T54" s="36" t="s">
        <v>307</v>
      </c>
      <c r="U54" s="54">
        <v>100.0</v>
      </c>
      <c r="V54" s="39">
        <v>17.0</v>
      </c>
      <c r="W54" s="35" t="s">
        <v>28</v>
      </c>
      <c r="X54" s="36" t="s">
        <v>34</v>
      </c>
      <c r="Y54" s="1"/>
      <c r="Z54" s="36" t="s">
        <v>92</v>
      </c>
      <c r="AA54" s="54">
        <v>100.0</v>
      </c>
      <c r="AB54" s="39">
        <v>16.0</v>
      </c>
      <c r="AC54" s="35" t="s">
        <v>28</v>
      </c>
      <c r="AD54" s="36" t="s">
        <v>32</v>
      </c>
      <c r="AE54" s="1"/>
      <c r="AF54" s="36" t="s">
        <v>288</v>
      </c>
      <c r="AG54" s="54">
        <v>200.0</v>
      </c>
      <c r="AH54" s="39">
        <v>11.0</v>
      </c>
      <c r="AI54" s="35" t="s">
        <v>32</v>
      </c>
      <c r="AJ54" s="36" t="s">
        <v>32</v>
      </c>
      <c r="AK54" s="1"/>
      <c r="AL54" s="36" t="s">
        <v>226</v>
      </c>
      <c r="AM54" s="54">
        <v>5526.19</v>
      </c>
      <c r="AN54" s="39">
        <v>10.0</v>
      </c>
      <c r="AO54" s="35" t="s">
        <v>32</v>
      </c>
      <c r="AP54" s="36" t="s">
        <v>32</v>
      </c>
      <c r="AQ54" s="1"/>
      <c r="AR54" s="36" t="s">
        <v>124</v>
      </c>
      <c r="AS54" s="54">
        <v>129.0</v>
      </c>
      <c r="AT54" s="39">
        <v>12.0</v>
      </c>
      <c r="AU54" s="35" t="s">
        <v>32</v>
      </c>
      <c r="AV54" s="36" t="s">
        <v>32</v>
      </c>
      <c r="AW54" s="1"/>
      <c r="AX54" s="36" t="s">
        <v>90</v>
      </c>
      <c r="AY54" s="54">
        <v>17.0</v>
      </c>
      <c r="AZ54" s="39">
        <v>16.0</v>
      </c>
      <c r="BA54" s="35" t="s">
        <v>28</v>
      </c>
      <c r="BB54" s="36" t="s">
        <v>32</v>
      </c>
      <c r="BC54" s="1"/>
      <c r="BD54" s="36" t="s">
        <v>288</v>
      </c>
      <c r="BE54" s="54">
        <v>50.0</v>
      </c>
      <c r="BF54" s="39">
        <v>22.0</v>
      </c>
      <c r="BG54" s="35" t="s">
        <v>32</v>
      </c>
      <c r="BH54" s="36" t="s">
        <v>32</v>
      </c>
      <c r="BI54" s="1"/>
      <c r="BJ54" s="36" t="s">
        <v>308</v>
      </c>
      <c r="BK54" s="59">
        <v>50.0</v>
      </c>
      <c r="BL54" s="39">
        <v>15.0</v>
      </c>
      <c r="BM54" s="35" t="s">
        <v>28</v>
      </c>
      <c r="BN54" s="36" t="s">
        <v>34</v>
      </c>
      <c r="BO54" s="1"/>
      <c r="BP54" s="36" t="s">
        <v>309</v>
      </c>
      <c r="BQ54" s="54">
        <v>140.0</v>
      </c>
      <c r="BR54" s="39">
        <v>17.0</v>
      </c>
      <c r="BS54" s="35" t="s">
        <v>28</v>
      </c>
      <c r="BT54" s="36" t="s">
        <v>34</v>
      </c>
      <c r="BU54" s="4"/>
    </row>
    <row r="55">
      <c r="A55" s="1"/>
      <c r="B55" s="36" t="s">
        <v>102</v>
      </c>
      <c r="C55" s="54">
        <v>30.0</v>
      </c>
      <c r="D55" s="39">
        <v>13.0</v>
      </c>
      <c r="E55" s="35" t="s">
        <v>34</v>
      </c>
      <c r="F55" s="36" t="s">
        <v>32</v>
      </c>
      <c r="G55" s="1"/>
      <c r="H55" s="36" t="s">
        <v>92</v>
      </c>
      <c r="I55" s="54">
        <v>5.0</v>
      </c>
      <c r="J55" s="39">
        <v>24.0</v>
      </c>
      <c r="K55" s="35" t="s">
        <v>32</v>
      </c>
      <c r="L55" s="36" t="s">
        <v>32</v>
      </c>
      <c r="M55" s="1"/>
      <c r="N55" s="36" t="s">
        <v>214</v>
      </c>
      <c r="O55" s="54">
        <v>100.0</v>
      </c>
      <c r="P55" s="39">
        <v>14.0</v>
      </c>
      <c r="Q55" s="35" t="s">
        <v>28</v>
      </c>
      <c r="R55" s="36" t="s">
        <v>34</v>
      </c>
      <c r="S55" s="1"/>
      <c r="T55" s="36" t="s">
        <v>310</v>
      </c>
      <c r="U55" s="54">
        <v>53.0</v>
      </c>
      <c r="V55" s="39">
        <v>18.0</v>
      </c>
      <c r="W55" s="35" t="s">
        <v>28</v>
      </c>
      <c r="X55" s="36" t="s">
        <v>34</v>
      </c>
      <c r="Y55" s="1"/>
      <c r="Z55" s="36" t="s">
        <v>311</v>
      </c>
      <c r="AA55" s="54">
        <v>100.0</v>
      </c>
      <c r="AB55" s="39">
        <v>19.0</v>
      </c>
      <c r="AC55" s="35" t="s">
        <v>32</v>
      </c>
      <c r="AD55" s="36" t="s">
        <v>32</v>
      </c>
      <c r="AE55" s="1"/>
      <c r="AF55" s="36" t="s">
        <v>312</v>
      </c>
      <c r="AG55" s="54">
        <v>85.4</v>
      </c>
      <c r="AH55" s="39">
        <v>11.0</v>
      </c>
      <c r="AI55" s="35" t="s">
        <v>28</v>
      </c>
      <c r="AJ55" s="36" t="s">
        <v>32</v>
      </c>
      <c r="AK55" s="1"/>
      <c r="AL55" s="36" t="s">
        <v>220</v>
      </c>
      <c r="AM55" s="54">
        <v>9612.11</v>
      </c>
      <c r="AN55" s="39">
        <v>10.0</v>
      </c>
      <c r="AO55" s="35" t="s">
        <v>28</v>
      </c>
      <c r="AP55" s="36" t="s">
        <v>32</v>
      </c>
      <c r="AQ55" s="1"/>
      <c r="AR55" s="36" t="s">
        <v>313</v>
      </c>
      <c r="AS55" s="54">
        <v>5.0</v>
      </c>
      <c r="AT55" s="39">
        <v>13.0</v>
      </c>
      <c r="AU55" s="35" t="s">
        <v>32</v>
      </c>
      <c r="AV55" s="36" t="s">
        <v>32</v>
      </c>
      <c r="AW55" s="1"/>
      <c r="AX55" s="36" t="s">
        <v>191</v>
      </c>
      <c r="AY55" s="54">
        <v>30.0</v>
      </c>
      <c r="AZ55" s="39">
        <v>22.0</v>
      </c>
      <c r="BA55" s="35" t="s">
        <v>28</v>
      </c>
      <c r="BB55" s="36" t="s">
        <v>32</v>
      </c>
      <c r="BC55" s="1"/>
      <c r="BD55" s="36" t="s">
        <v>277</v>
      </c>
      <c r="BE55" s="54">
        <v>35.0</v>
      </c>
      <c r="BF55" s="39">
        <v>22.0</v>
      </c>
      <c r="BG55" s="35" t="s">
        <v>34</v>
      </c>
      <c r="BH55" s="36" t="s">
        <v>32</v>
      </c>
      <c r="BI55" s="1"/>
      <c r="BJ55" s="36" t="s">
        <v>314</v>
      </c>
      <c r="BK55" s="59">
        <v>110.0</v>
      </c>
      <c r="BL55" s="39">
        <v>15.0</v>
      </c>
      <c r="BM55" s="35" t="s">
        <v>28</v>
      </c>
      <c r="BN55" s="36" t="s">
        <v>34</v>
      </c>
      <c r="BO55" s="1"/>
      <c r="BP55" s="36" t="s">
        <v>315</v>
      </c>
      <c r="BQ55" s="54">
        <v>250.0</v>
      </c>
      <c r="BR55" s="39">
        <v>17.0</v>
      </c>
      <c r="BS55" s="35" t="s">
        <v>28</v>
      </c>
      <c r="BT55" s="36" t="s">
        <v>34</v>
      </c>
      <c r="BU55" s="4"/>
    </row>
    <row r="56">
      <c r="A56" s="1"/>
      <c r="B56" s="36" t="s">
        <v>104</v>
      </c>
      <c r="C56" s="54">
        <v>30.0</v>
      </c>
      <c r="D56" s="39">
        <v>13.0</v>
      </c>
      <c r="E56" s="35" t="s">
        <v>32</v>
      </c>
      <c r="F56" s="36" t="s">
        <v>32</v>
      </c>
      <c r="G56" s="1"/>
      <c r="H56" s="36" t="s">
        <v>316</v>
      </c>
      <c r="I56" s="54">
        <v>100.0</v>
      </c>
      <c r="J56" s="39">
        <v>25.0</v>
      </c>
      <c r="K56" s="35" t="s">
        <v>32</v>
      </c>
      <c r="L56" s="36" t="s">
        <v>32</v>
      </c>
      <c r="M56" s="1"/>
      <c r="N56" s="36" t="s">
        <v>317</v>
      </c>
      <c r="O56" s="54">
        <v>50.0</v>
      </c>
      <c r="P56" s="39">
        <v>15.0</v>
      </c>
      <c r="Q56" s="35" t="s">
        <v>28</v>
      </c>
      <c r="R56" s="36" t="s">
        <v>34</v>
      </c>
      <c r="S56" s="1"/>
      <c r="T56" s="36" t="s">
        <v>161</v>
      </c>
      <c r="U56" s="54">
        <v>270.0</v>
      </c>
      <c r="V56" s="39">
        <v>22.0</v>
      </c>
      <c r="W56" s="35" t="s">
        <v>32</v>
      </c>
      <c r="X56" s="36" t="s">
        <v>32</v>
      </c>
      <c r="Y56" s="1"/>
      <c r="Z56" s="36" t="s">
        <v>318</v>
      </c>
      <c r="AA56" s="54">
        <v>10.0</v>
      </c>
      <c r="AB56" s="39">
        <v>20.0</v>
      </c>
      <c r="AC56" s="35" t="s">
        <v>32</v>
      </c>
      <c r="AD56" s="36" t="s">
        <v>32</v>
      </c>
      <c r="AE56" s="1"/>
      <c r="AF56" s="36" t="s">
        <v>90</v>
      </c>
      <c r="AG56" s="54">
        <v>7.0</v>
      </c>
      <c r="AH56" s="39">
        <v>11.0</v>
      </c>
      <c r="AI56" s="35" t="s">
        <v>28</v>
      </c>
      <c r="AJ56" s="36" t="s">
        <v>32</v>
      </c>
      <c r="AK56" s="1"/>
      <c r="AL56" s="36" t="s">
        <v>207</v>
      </c>
      <c r="AM56" s="54">
        <v>170.0</v>
      </c>
      <c r="AN56" s="39">
        <v>11.0</v>
      </c>
      <c r="AO56" s="35" t="s">
        <v>28</v>
      </c>
      <c r="AP56" s="36" t="s">
        <v>32</v>
      </c>
      <c r="AQ56" s="1"/>
      <c r="AR56" s="36" t="s">
        <v>295</v>
      </c>
      <c r="AS56" s="54">
        <v>8.0</v>
      </c>
      <c r="AT56" s="39">
        <v>13.0</v>
      </c>
      <c r="AU56" s="35" t="s">
        <v>32</v>
      </c>
      <c r="AV56" s="36" t="s">
        <v>32</v>
      </c>
      <c r="AW56" s="1"/>
      <c r="AX56" s="36" t="s">
        <v>235</v>
      </c>
      <c r="AY56" s="54">
        <v>51.0</v>
      </c>
      <c r="AZ56" s="39">
        <v>22.0</v>
      </c>
      <c r="BA56" s="35" t="s">
        <v>28</v>
      </c>
      <c r="BB56" s="36" t="s">
        <v>32</v>
      </c>
      <c r="BC56" s="1"/>
      <c r="BD56" s="36" t="s">
        <v>210</v>
      </c>
      <c r="BE56" s="54">
        <v>24.0</v>
      </c>
      <c r="BF56" s="39">
        <v>22.0</v>
      </c>
      <c r="BG56" s="35" t="s">
        <v>28</v>
      </c>
      <c r="BH56" s="36" t="s">
        <v>32</v>
      </c>
      <c r="BI56" s="1"/>
      <c r="BJ56" s="36" t="s">
        <v>224</v>
      </c>
      <c r="BK56" s="59">
        <v>373.84</v>
      </c>
      <c r="BL56" s="39">
        <v>19.0</v>
      </c>
      <c r="BM56" s="35" t="s">
        <v>28</v>
      </c>
      <c r="BN56" s="36" t="s">
        <v>34</v>
      </c>
      <c r="BO56" s="1"/>
      <c r="BP56" s="36" t="s">
        <v>319</v>
      </c>
      <c r="BQ56" s="54">
        <v>300.0</v>
      </c>
      <c r="BR56" s="39">
        <v>18.0</v>
      </c>
      <c r="BS56" s="35" t="s">
        <v>28</v>
      </c>
      <c r="BT56" s="36" t="s">
        <v>34</v>
      </c>
      <c r="BU56" s="4"/>
    </row>
    <row r="57">
      <c r="A57" s="1"/>
      <c r="B57" s="36" t="s">
        <v>110</v>
      </c>
      <c r="C57" s="54">
        <v>30.0</v>
      </c>
      <c r="D57" s="39">
        <v>13.0</v>
      </c>
      <c r="E57" s="35" t="s">
        <v>28</v>
      </c>
      <c r="F57" s="36" t="s">
        <v>32</v>
      </c>
      <c r="G57" s="1"/>
      <c r="H57" s="36" t="s">
        <v>218</v>
      </c>
      <c r="I57" s="54">
        <v>35.0</v>
      </c>
      <c r="J57" s="39">
        <v>25.0</v>
      </c>
      <c r="K57" s="35" t="s">
        <v>32</v>
      </c>
      <c r="L57" s="36" t="s">
        <v>32</v>
      </c>
      <c r="M57" s="1"/>
      <c r="N57" s="36" t="s">
        <v>320</v>
      </c>
      <c r="O57" s="54">
        <v>150.0</v>
      </c>
      <c r="P57" s="39">
        <v>17.0</v>
      </c>
      <c r="Q57" s="35" t="s">
        <v>32</v>
      </c>
      <c r="R57" s="36" t="s">
        <v>32</v>
      </c>
      <c r="S57" s="1"/>
      <c r="T57" s="36" t="s">
        <v>92</v>
      </c>
      <c r="U57" s="54">
        <v>20.0</v>
      </c>
      <c r="V57" s="39">
        <v>22.0</v>
      </c>
      <c r="W57" s="35" t="s">
        <v>32</v>
      </c>
      <c r="X57" s="36" t="s">
        <v>32</v>
      </c>
      <c r="Y57" s="1"/>
      <c r="Z57" s="36" t="s">
        <v>110</v>
      </c>
      <c r="AA57" s="54">
        <v>36.0</v>
      </c>
      <c r="AB57" s="39">
        <v>21.0</v>
      </c>
      <c r="AC57" s="35" t="s">
        <v>28</v>
      </c>
      <c r="AD57" s="36" t="s">
        <v>34</v>
      </c>
      <c r="AE57" s="1"/>
      <c r="AF57" s="36" t="s">
        <v>279</v>
      </c>
      <c r="AG57" s="54">
        <v>122.01</v>
      </c>
      <c r="AH57" s="39">
        <v>11.0</v>
      </c>
      <c r="AI57" s="35" t="s">
        <v>32</v>
      </c>
      <c r="AJ57" s="36" t="s">
        <v>32</v>
      </c>
      <c r="AK57" s="1"/>
      <c r="AL57" s="36" t="s">
        <v>321</v>
      </c>
      <c r="AM57" s="54">
        <v>20.0</v>
      </c>
      <c r="AN57" s="39">
        <v>11.0</v>
      </c>
      <c r="AO57" s="35" t="s">
        <v>32</v>
      </c>
      <c r="AP57" s="36" t="s">
        <v>32</v>
      </c>
      <c r="AQ57" s="1"/>
      <c r="AR57" s="36" t="s">
        <v>110</v>
      </c>
      <c r="AS57" s="54">
        <v>14.0</v>
      </c>
      <c r="AT57" s="39">
        <v>14.0</v>
      </c>
      <c r="AU57" s="35" t="s">
        <v>28</v>
      </c>
      <c r="AV57" s="36" t="s">
        <v>34</v>
      </c>
      <c r="AW57" s="1"/>
      <c r="AX57" s="36" t="s">
        <v>210</v>
      </c>
      <c r="AY57" s="54">
        <v>100.0</v>
      </c>
      <c r="AZ57" s="39">
        <v>22.0</v>
      </c>
      <c r="BA57" s="35" t="s">
        <v>28</v>
      </c>
      <c r="BB57" s="36" t="s">
        <v>32</v>
      </c>
      <c r="BC57" s="1"/>
      <c r="BD57" s="36" t="s">
        <v>322</v>
      </c>
      <c r="BE57" s="54">
        <v>61.0</v>
      </c>
      <c r="BF57" s="39">
        <v>26.0</v>
      </c>
      <c r="BG57" s="35" t="s">
        <v>28</v>
      </c>
      <c r="BH57" s="36" t="s">
        <v>32</v>
      </c>
      <c r="BI57" s="1"/>
      <c r="BJ57" s="36" t="s">
        <v>191</v>
      </c>
      <c r="BK57" s="59">
        <v>20.0</v>
      </c>
      <c r="BL57" s="39">
        <v>21.0</v>
      </c>
      <c r="BM57" s="35" t="s">
        <v>32</v>
      </c>
      <c r="BN57" s="36" t="s">
        <v>32</v>
      </c>
      <c r="BO57" s="1"/>
      <c r="BP57" s="36" t="s">
        <v>323</v>
      </c>
      <c r="BQ57" s="54">
        <v>808.0</v>
      </c>
      <c r="BR57" s="39">
        <v>19.0</v>
      </c>
      <c r="BS57" s="35" t="s">
        <v>28</v>
      </c>
      <c r="BT57" s="36" t="s">
        <v>34</v>
      </c>
      <c r="BU57" s="4"/>
    </row>
    <row r="58">
      <c r="A58" s="1"/>
      <c r="B58" s="36" t="s">
        <v>324</v>
      </c>
      <c r="C58" s="54">
        <v>25.0</v>
      </c>
      <c r="D58" s="39">
        <v>13.0</v>
      </c>
      <c r="E58" s="35" t="s">
        <v>32</v>
      </c>
      <c r="F58" s="36" t="s">
        <v>32</v>
      </c>
      <c r="G58" s="1"/>
      <c r="H58" s="36" t="s">
        <v>90</v>
      </c>
      <c r="I58" s="54">
        <v>72.0</v>
      </c>
      <c r="J58" s="39">
        <v>25.0</v>
      </c>
      <c r="K58" s="35" t="s">
        <v>28</v>
      </c>
      <c r="L58" s="36" t="s">
        <v>32</v>
      </c>
      <c r="M58" s="1"/>
      <c r="N58" s="36" t="s">
        <v>188</v>
      </c>
      <c r="O58" s="54">
        <v>640.77</v>
      </c>
      <c r="P58" s="39">
        <v>19.0</v>
      </c>
      <c r="Q58" s="35" t="s">
        <v>32</v>
      </c>
      <c r="R58" s="36" t="s">
        <v>32</v>
      </c>
      <c r="S58" s="1"/>
      <c r="T58" s="36" t="s">
        <v>218</v>
      </c>
      <c r="U58" s="54">
        <v>35.0</v>
      </c>
      <c r="V58" s="39">
        <v>22.0</v>
      </c>
      <c r="W58" s="35" t="s">
        <v>32</v>
      </c>
      <c r="X58" s="36" t="s">
        <v>32</v>
      </c>
      <c r="Y58" s="1"/>
      <c r="Z58" s="36" t="s">
        <v>207</v>
      </c>
      <c r="AA58" s="54">
        <v>170.0</v>
      </c>
      <c r="AB58" s="39">
        <v>21.0</v>
      </c>
      <c r="AC58" s="35" t="s">
        <v>28</v>
      </c>
      <c r="AD58" s="36" t="s">
        <v>34</v>
      </c>
      <c r="AE58" s="1"/>
      <c r="AF58" s="36" t="s">
        <v>325</v>
      </c>
      <c r="AG58" s="54">
        <v>10.0</v>
      </c>
      <c r="AH58" s="39">
        <v>11.0</v>
      </c>
      <c r="AI58" s="35" t="s">
        <v>32</v>
      </c>
      <c r="AJ58" s="36" t="s">
        <v>32</v>
      </c>
      <c r="AK58" s="1"/>
      <c r="AL58" s="36" t="s">
        <v>326</v>
      </c>
      <c r="AM58" s="54">
        <v>25.0</v>
      </c>
      <c r="AN58" s="39">
        <v>11.0</v>
      </c>
      <c r="AO58" s="35" t="s">
        <v>32</v>
      </c>
      <c r="AP58" s="36" t="s">
        <v>32</v>
      </c>
      <c r="AQ58" s="1"/>
      <c r="AR58" s="36" t="s">
        <v>100</v>
      </c>
      <c r="AS58" s="54">
        <v>52.0</v>
      </c>
      <c r="AT58" s="39">
        <v>16.0</v>
      </c>
      <c r="AU58" s="35" t="s">
        <v>32</v>
      </c>
      <c r="AV58" s="36" t="s">
        <v>32</v>
      </c>
      <c r="AW58" s="1"/>
      <c r="AX58" s="36" t="s">
        <v>90</v>
      </c>
      <c r="AY58" s="54">
        <v>69.0</v>
      </c>
      <c r="AZ58" s="39">
        <v>22.0</v>
      </c>
      <c r="BA58" s="35" t="s">
        <v>28</v>
      </c>
      <c r="BB58" s="36" t="s">
        <v>32</v>
      </c>
      <c r="BC58" s="1"/>
      <c r="BD58" s="36" t="s">
        <v>92</v>
      </c>
      <c r="BE58" s="54">
        <v>199.8</v>
      </c>
      <c r="BF58" s="39">
        <v>27.0</v>
      </c>
      <c r="BG58" s="35" t="s">
        <v>32</v>
      </c>
      <c r="BH58" s="36" t="s">
        <v>32</v>
      </c>
      <c r="BI58" s="1"/>
      <c r="BJ58" s="36" t="s">
        <v>250</v>
      </c>
      <c r="BK58" s="59">
        <v>78.08</v>
      </c>
      <c r="BL58" s="39">
        <v>21.0</v>
      </c>
      <c r="BM58" s="35" t="s">
        <v>30</v>
      </c>
      <c r="BN58" s="36" t="s">
        <v>32</v>
      </c>
      <c r="BO58" s="1"/>
      <c r="BP58" s="36" t="s">
        <v>210</v>
      </c>
      <c r="BQ58" s="54">
        <v>40.0</v>
      </c>
      <c r="BR58" s="39">
        <v>19.0</v>
      </c>
      <c r="BS58" s="35" t="s">
        <v>28</v>
      </c>
      <c r="BT58" s="36" t="s">
        <v>34</v>
      </c>
      <c r="BU58" s="4"/>
    </row>
    <row r="59">
      <c r="A59" s="1"/>
      <c r="B59" s="36" t="s">
        <v>327</v>
      </c>
      <c r="C59" s="54">
        <v>10.0</v>
      </c>
      <c r="D59" s="39">
        <v>13.0</v>
      </c>
      <c r="E59" s="35" t="s">
        <v>32</v>
      </c>
      <c r="F59" s="36" t="s">
        <v>32</v>
      </c>
      <c r="G59" s="1"/>
      <c r="H59" s="36" t="s">
        <v>90</v>
      </c>
      <c r="I59" s="54">
        <v>6.0</v>
      </c>
      <c r="J59" s="39">
        <v>26.0</v>
      </c>
      <c r="K59" s="35" t="s">
        <v>28</v>
      </c>
      <c r="L59" s="36" t="s">
        <v>32</v>
      </c>
      <c r="M59" s="1"/>
      <c r="N59" s="36" t="s">
        <v>246</v>
      </c>
      <c r="O59" s="54">
        <v>170.0</v>
      </c>
      <c r="P59" s="39">
        <v>21.0</v>
      </c>
      <c r="Q59" s="35" t="s">
        <v>28</v>
      </c>
      <c r="R59" s="36" t="s">
        <v>34</v>
      </c>
      <c r="S59" s="1"/>
      <c r="T59" s="36" t="s">
        <v>191</v>
      </c>
      <c r="U59" s="54">
        <v>20.0</v>
      </c>
      <c r="V59" s="39">
        <v>22.0</v>
      </c>
      <c r="W59" s="35" t="s">
        <v>28</v>
      </c>
      <c r="X59" s="36" t="s">
        <v>32</v>
      </c>
      <c r="Y59" s="1"/>
      <c r="Z59" s="36" t="s">
        <v>92</v>
      </c>
      <c r="AA59" s="54">
        <v>100.0</v>
      </c>
      <c r="AB59" s="39">
        <v>24.0</v>
      </c>
      <c r="AC59" s="35" t="s">
        <v>28</v>
      </c>
      <c r="AD59" s="36" t="s">
        <v>34</v>
      </c>
      <c r="AE59" s="1"/>
      <c r="AF59" s="36" t="s">
        <v>218</v>
      </c>
      <c r="AG59" s="54">
        <v>35.0</v>
      </c>
      <c r="AH59" s="39">
        <v>12.0</v>
      </c>
      <c r="AI59" s="35" t="s">
        <v>32</v>
      </c>
      <c r="AJ59" s="36" t="s">
        <v>32</v>
      </c>
      <c r="AK59" s="1"/>
      <c r="AL59" s="36" t="s">
        <v>234</v>
      </c>
      <c r="AM59" s="54">
        <v>100.0</v>
      </c>
      <c r="AN59" s="39">
        <v>11.0</v>
      </c>
      <c r="AO59" s="35" t="s">
        <v>28</v>
      </c>
      <c r="AP59" s="36" t="s">
        <v>34</v>
      </c>
      <c r="AQ59" s="1"/>
      <c r="AR59" s="36" t="s">
        <v>100</v>
      </c>
      <c r="AS59" s="54">
        <v>100.0</v>
      </c>
      <c r="AT59" s="39">
        <v>17.0</v>
      </c>
      <c r="AU59" s="35" t="s">
        <v>32</v>
      </c>
      <c r="AV59" s="36" t="s">
        <v>32</v>
      </c>
      <c r="AW59" s="1"/>
      <c r="AX59" s="36" t="s">
        <v>92</v>
      </c>
      <c r="AY59" s="54">
        <v>31.0</v>
      </c>
      <c r="AZ59" s="39">
        <v>22.0</v>
      </c>
      <c r="BA59" s="35" t="s">
        <v>32</v>
      </c>
      <c r="BB59" s="36" t="s">
        <v>32</v>
      </c>
      <c r="BC59" s="1"/>
      <c r="BD59" s="36" t="s">
        <v>90</v>
      </c>
      <c r="BE59" s="54">
        <v>30.35</v>
      </c>
      <c r="BF59" s="39">
        <v>27.0</v>
      </c>
      <c r="BG59" s="35" t="s">
        <v>28</v>
      </c>
      <c r="BH59" s="36" t="s">
        <v>32</v>
      </c>
      <c r="BI59" s="1"/>
      <c r="BJ59" s="36" t="s">
        <v>250</v>
      </c>
      <c r="BK59" s="59">
        <v>78.1</v>
      </c>
      <c r="BL59" s="39">
        <v>21.0</v>
      </c>
      <c r="BM59" s="35" t="s">
        <v>30</v>
      </c>
      <c r="BN59" s="36" t="s">
        <v>32</v>
      </c>
      <c r="BO59" s="1"/>
      <c r="BP59" s="36" t="s">
        <v>92</v>
      </c>
      <c r="BQ59" s="54">
        <v>10.0</v>
      </c>
      <c r="BR59" s="39">
        <v>22.0</v>
      </c>
      <c r="BS59" s="35" t="s">
        <v>32</v>
      </c>
      <c r="BT59" s="36" t="s">
        <v>32</v>
      </c>
      <c r="BU59" s="4"/>
    </row>
    <row r="60">
      <c r="A60" s="1"/>
      <c r="B60" s="36" t="s">
        <v>328</v>
      </c>
      <c r="C60" s="54">
        <v>2580.0</v>
      </c>
      <c r="D60" s="39">
        <v>13.0</v>
      </c>
      <c r="E60" s="35" t="s">
        <v>32</v>
      </c>
      <c r="F60" s="36" t="s">
        <v>32</v>
      </c>
      <c r="G60" s="1"/>
      <c r="H60" s="36" t="s">
        <v>100</v>
      </c>
      <c r="I60" s="54">
        <v>50.0</v>
      </c>
      <c r="J60" s="39">
        <v>26.0</v>
      </c>
      <c r="K60" s="35" t="s">
        <v>32</v>
      </c>
      <c r="L60" s="36" t="s">
        <v>32</v>
      </c>
      <c r="M60" s="1"/>
      <c r="N60" s="36" t="s">
        <v>235</v>
      </c>
      <c r="O60" s="54">
        <v>60.0</v>
      </c>
      <c r="P60" s="39">
        <v>22.0</v>
      </c>
      <c r="Q60" s="35" t="s">
        <v>28</v>
      </c>
      <c r="R60" s="36" t="s">
        <v>34</v>
      </c>
      <c r="S60" s="1"/>
      <c r="T60" s="36" t="s">
        <v>329</v>
      </c>
      <c r="U60" s="54">
        <v>17.09</v>
      </c>
      <c r="V60" s="39">
        <v>23.0</v>
      </c>
      <c r="W60" s="35" t="s">
        <v>28</v>
      </c>
      <c r="X60" s="36" t="s">
        <v>32</v>
      </c>
      <c r="Y60" s="1"/>
      <c r="Z60" s="36" t="s">
        <v>330</v>
      </c>
      <c r="AA60" s="54">
        <v>100.0</v>
      </c>
      <c r="AB60" s="39">
        <v>25.0</v>
      </c>
      <c r="AC60" s="35" t="s">
        <v>28</v>
      </c>
      <c r="AD60" s="36" t="s">
        <v>34</v>
      </c>
      <c r="AE60" s="1"/>
      <c r="AF60" s="36" t="s">
        <v>299</v>
      </c>
      <c r="AG60" s="54">
        <v>143.0</v>
      </c>
      <c r="AH60" s="39">
        <v>13.0</v>
      </c>
      <c r="AI60" s="35" t="s">
        <v>28</v>
      </c>
      <c r="AJ60" s="36" t="s">
        <v>34</v>
      </c>
      <c r="AK60" s="1"/>
      <c r="AL60" s="36" t="s">
        <v>313</v>
      </c>
      <c r="AM60" s="54">
        <v>100.0</v>
      </c>
      <c r="AN60" s="39">
        <v>12.0</v>
      </c>
      <c r="AO60" s="35" t="s">
        <v>32</v>
      </c>
      <c r="AP60" s="36" t="s">
        <v>32</v>
      </c>
      <c r="AQ60" s="1"/>
      <c r="AR60" s="36" t="s">
        <v>235</v>
      </c>
      <c r="AS60" s="54">
        <v>51.0</v>
      </c>
      <c r="AT60" s="39">
        <v>17.0</v>
      </c>
      <c r="AU60" s="35" t="s">
        <v>28</v>
      </c>
      <c r="AV60" s="36" t="s">
        <v>34</v>
      </c>
      <c r="AW60" s="1"/>
      <c r="AX60" s="36" t="s">
        <v>92</v>
      </c>
      <c r="AY60" s="54">
        <v>47.2</v>
      </c>
      <c r="AZ60" s="39">
        <v>22.0</v>
      </c>
      <c r="BA60" s="35" t="s">
        <v>32</v>
      </c>
      <c r="BB60" s="36" t="s">
        <v>32</v>
      </c>
      <c r="BC60" s="1"/>
      <c r="BD60" s="36" t="s">
        <v>313</v>
      </c>
      <c r="BE60" s="54">
        <v>10.0</v>
      </c>
      <c r="BF60" s="39">
        <v>27.0</v>
      </c>
      <c r="BG60" s="35" t="s">
        <v>32</v>
      </c>
      <c r="BH60" s="36" t="s">
        <v>32</v>
      </c>
      <c r="BI60" s="1"/>
      <c r="BJ60" s="36" t="s">
        <v>331</v>
      </c>
      <c r="BK60" s="59">
        <v>230.0</v>
      </c>
      <c r="BL60" s="39">
        <v>21.0</v>
      </c>
      <c r="BM60" s="35" t="s">
        <v>28</v>
      </c>
      <c r="BN60" s="36" t="s">
        <v>34</v>
      </c>
      <c r="BO60" s="1"/>
      <c r="BP60" s="36" t="s">
        <v>218</v>
      </c>
      <c r="BQ60" s="54">
        <v>35.0</v>
      </c>
      <c r="BR60" s="39">
        <v>23.0</v>
      </c>
      <c r="BS60" s="35" t="s">
        <v>32</v>
      </c>
      <c r="BT60" s="36" t="s">
        <v>32</v>
      </c>
      <c r="BU60" s="4"/>
    </row>
    <row r="61">
      <c r="A61" s="1"/>
      <c r="B61" s="36" t="s">
        <v>295</v>
      </c>
      <c r="C61" s="54">
        <v>12.0</v>
      </c>
      <c r="D61" s="39">
        <v>13.0</v>
      </c>
      <c r="E61" s="35" t="s">
        <v>32</v>
      </c>
      <c r="F61" s="36" t="s">
        <v>32</v>
      </c>
      <c r="G61" s="1"/>
      <c r="H61" s="36" t="s">
        <v>191</v>
      </c>
      <c r="I61" s="54">
        <v>20.0</v>
      </c>
      <c r="J61" s="39">
        <v>27.0</v>
      </c>
      <c r="K61" s="35" t="s">
        <v>28</v>
      </c>
      <c r="L61" s="36" t="s">
        <v>32</v>
      </c>
      <c r="M61" s="1"/>
      <c r="N61" s="36" t="s">
        <v>191</v>
      </c>
      <c r="O61" s="54">
        <v>20.0</v>
      </c>
      <c r="P61" s="39">
        <v>24.0</v>
      </c>
      <c r="Q61" s="35" t="s">
        <v>28</v>
      </c>
      <c r="R61" s="36" t="s">
        <v>32</v>
      </c>
      <c r="S61" s="1"/>
      <c r="T61" s="36" t="s">
        <v>197</v>
      </c>
      <c r="U61" s="54">
        <v>67.77</v>
      </c>
      <c r="V61" s="39">
        <v>25.0</v>
      </c>
      <c r="W61" s="35" t="s">
        <v>32</v>
      </c>
      <c r="X61" s="36" t="s">
        <v>32</v>
      </c>
      <c r="Y61" s="1"/>
      <c r="Z61" s="36" t="s">
        <v>210</v>
      </c>
      <c r="AA61" s="54">
        <v>85.0</v>
      </c>
      <c r="AB61" s="39">
        <v>27.0</v>
      </c>
      <c r="AC61" s="35" t="s">
        <v>28</v>
      </c>
      <c r="AD61" s="36" t="s">
        <v>32</v>
      </c>
      <c r="AE61" s="1"/>
      <c r="AF61" s="36" t="s">
        <v>332</v>
      </c>
      <c r="AG61" s="54">
        <v>160.0</v>
      </c>
      <c r="AH61" s="39">
        <v>14.0</v>
      </c>
      <c r="AI61" s="35" t="s">
        <v>28</v>
      </c>
      <c r="AJ61" s="36" t="s">
        <v>34</v>
      </c>
      <c r="AK61" s="1"/>
      <c r="AL61" s="36" t="s">
        <v>333</v>
      </c>
      <c r="AM61" s="54">
        <v>30.0</v>
      </c>
      <c r="AN61" s="39">
        <v>13.0</v>
      </c>
      <c r="AO61" s="35" t="s">
        <v>28</v>
      </c>
      <c r="AP61" s="36" t="s">
        <v>32</v>
      </c>
      <c r="AQ61" s="1"/>
      <c r="AR61" s="36" t="s">
        <v>334</v>
      </c>
      <c r="AS61" s="54">
        <v>60.0</v>
      </c>
      <c r="AT61" s="39">
        <v>17.0</v>
      </c>
      <c r="AU61" s="35" t="s">
        <v>28</v>
      </c>
      <c r="AV61" s="36" t="s">
        <v>34</v>
      </c>
      <c r="AW61" s="1"/>
      <c r="AX61" s="36" t="s">
        <v>218</v>
      </c>
      <c r="AY61" s="54">
        <v>35.0</v>
      </c>
      <c r="AZ61" s="39">
        <v>24.0</v>
      </c>
      <c r="BA61" s="35" t="s">
        <v>32</v>
      </c>
      <c r="BB61" s="36" t="s">
        <v>32</v>
      </c>
      <c r="BC61" s="1"/>
      <c r="BD61" s="36" t="s">
        <v>88</v>
      </c>
      <c r="BE61" s="54">
        <v>20.0</v>
      </c>
      <c r="BF61" s="39">
        <v>27.0</v>
      </c>
      <c r="BG61" s="35" t="s">
        <v>32</v>
      </c>
      <c r="BH61" s="36" t="s">
        <v>32</v>
      </c>
      <c r="BI61" s="1"/>
      <c r="BJ61" s="36" t="s">
        <v>335</v>
      </c>
      <c r="BK61" s="59">
        <v>680.0</v>
      </c>
      <c r="BL61" s="39">
        <v>22.0</v>
      </c>
      <c r="BM61" s="35" t="s">
        <v>30</v>
      </c>
      <c r="BN61" s="36" t="s">
        <v>34</v>
      </c>
      <c r="BO61" s="1"/>
      <c r="BP61" s="36" t="s">
        <v>288</v>
      </c>
      <c r="BQ61" s="54">
        <v>150.0</v>
      </c>
      <c r="BR61" s="39">
        <v>23.0</v>
      </c>
      <c r="BS61" s="35" t="s">
        <v>32</v>
      </c>
      <c r="BT61" s="36" t="s">
        <v>32</v>
      </c>
      <c r="BU61" s="4"/>
    </row>
    <row r="62">
      <c r="A62" s="1"/>
      <c r="B62" s="36" t="s">
        <v>336</v>
      </c>
      <c r="C62" s="54">
        <v>93.24</v>
      </c>
      <c r="D62" s="39">
        <v>14.0</v>
      </c>
      <c r="E62" s="35" t="s">
        <v>32</v>
      </c>
      <c r="F62" s="36" t="s">
        <v>32</v>
      </c>
      <c r="G62" s="1"/>
      <c r="H62" s="36" t="s">
        <v>92</v>
      </c>
      <c r="I62" s="54">
        <v>64.38</v>
      </c>
      <c r="J62" s="39">
        <v>27.0</v>
      </c>
      <c r="K62" s="35" t="s">
        <v>32</v>
      </c>
      <c r="L62" s="36" t="s">
        <v>32</v>
      </c>
      <c r="M62" s="1"/>
      <c r="N62" s="36" t="s">
        <v>202</v>
      </c>
      <c r="O62" s="54">
        <v>67.77</v>
      </c>
      <c r="P62" s="39">
        <v>25.0</v>
      </c>
      <c r="Q62" s="35" t="s">
        <v>32</v>
      </c>
      <c r="R62" s="36" t="s">
        <v>32</v>
      </c>
      <c r="S62" s="1"/>
      <c r="T62" s="36" t="s">
        <v>100</v>
      </c>
      <c r="U62" s="54">
        <v>50.0</v>
      </c>
      <c r="V62" s="39">
        <v>25.0</v>
      </c>
      <c r="W62" s="35" t="s">
        <v>32</v>
      </c>
      <c r="X62" s="36" t="s">
        <v>32</v>
      </c>
      <c r="Y62" s="1"/>
      <c r="Z62" s="36" t="s">
        <v>130</v>
      </c>
      <c r="AA62" s="54">
        <v>100.0</v>
      </c>
      <c r="AB62" s="39">
        <v>28.0</v>
      </c>
      <c r="AC62" s="35" t="s">
        <v>32</v>
      </c>
      <c r="AD62" s="36" t="s">
        <v>32</v>
      </c>
      <c r="AE62" s="1"/>
      <c r="AF62" s="36" t="s">
        <v>337</v>
      </c>
      <c r="AG62" s="54">
        <v>75.0</v>
      </c>
      <c r="AH62" s="39">
        <v>14.0</v>
      </c>
      <c r="AI62" s="35" t="s">
        <v>28</v>
      </c>
      <c r="AJ62" s="36" t="s">
        <v>34</v>
      </c>
      <c r="AK62" s="1"/>
      <c r="AL62" s="36" t="s">
        <v>338</v>
      </c>
      <c r="AM62" s="54">
        <v>150.0</v>
      </c>
      <c r="AN62" s="39">
        <v>13.0</v>
      </c>
      <c r="AO62" s="35" t="s">
        <v>28</v>
      </c>
      <c r="AP62" s="36" t="s">
        <v>34</v>
      </c>
      <c r="AQ62" s="1"/>
      <c r="AR62" s="36" t="s">
        <v>191</v>
      </c>
      <c r="AS62" s="54">
        <v>20.0</v>
      </c>
      <c r="AT62" s="39">
        <v>18.0</v>
      </c>
      <c r="AU62" s="35" t="s">
        <v>28</v>
      </c>
      <c r="AV62" s="36" t="s">
        <v>32</v>
      </c>
      <c r="AW62" s="1"/>
      <c r="AX62" s="36" t="s">
        <v>130</v>
      </c>
      <c r="AY62" s="54">
        <v>100.0</v>
      </c>
      <c r="AZ62" s="39">
        <v>29.0</v>
      </c>
      <c r="BA62" s="35" t="s">
        <v>32</v>
      </c>
      <c r="BB62" s="36" t="s">
        <v>32</v>
      </c>
      <c r="BC62" s="1"/>
      <c r="BD62" s="36" t="s">
        <v>130</v>
      </c>
      <c r="BE62" s="54">
        <v>100.0</v>
      </c>
      <c r="BF62" s="39">
        <v>27.0</v>
      </c>
      <c r="BG62" s="35" t="s">
        <v>32</v>
      </c>
      <c r="BH62" s="36" t="s">
        <v>32</v>
      </c>
      <c r="BI62" s="1"/>
      <c r="BJ62" s="36" t="s">
        <v>339</v>
      </c>
      <c r="BK62" s="59">
        <v>40.0</v>
      </c>
      <c r="BL62" s="39">
        <v>23.0</v>
      </c>
      <c r="BM62" s="35" t="s">
        <v>28</v>
      </c>
      <c r="BN62" s="36" t="s">
        <v>34</v>
      </c>
      <c r="BO62" s="1"/>
      <c r="BP62" s="36" t="s">
        <v>340</v>
      </c>
      <c r="BQ62" s="54"/>
      <c r="BR62" s="39">
        <v>23.0</v>
      </c>
      <c r="BS62" s="35" t="s">
        <v>28</v>
      </c>
      <c r="BT62" s="36" t="s">
        <v>34</v>
      </c>
      <c r="BU62" s="4"/>
    </row>
    <row r="63">
      <c r="A63" s="1"/>
      <c r="B63" s="36" t="s">
        <v>121</v>
      </c>
      <c r="C63" s="54">
        <v>1430.68</v>
      </c>
      <c r="D63" s="39">
        <v>14.0</v>
      </c>
      <c r="E63" s="35" t="s">
        <v>28</v>
      </c>
      <c r="F63" s="36" t="s">
        <v>32</v>
      </c>
      <c r="G63" s="1"/>
      <c r="H63" s="36" t="s">
        <v>210</v>
      </c>
      <c r="I63" s="54">
        <v>65.0</v>
      </c>
      <c r="J63" s="39">
        <v>27.0</v>
      </c>
      <c r="K63" s="35" t="s">
        <v>28</v>
      </c>
      <c r="L63" s="36" t="s">
        <v>32</v>
      </c>
      <c r="M63" s="1"/>
      <c r="N63" s="36" t="s">
        <v>295</v>
      </c>
      <c r="O63" s="54">
        <v>9.0</v>
      </c>
      <c r="P63" s="39">
        <v>25.0</v>
      </c>
      <c r="Q63" s="35" t="s">
        <v>32</v>
      </c>
      <c r="R63" s="36" t="s">
        <v>32</v>
      </c>
      <c r="S63" s="1"/>
      <c r="T63" s="36" t="s">
        <v>341</v>
      </c>
      <c r="U63" s="54">
        <v>69.0</v>
      </c>
      <c r="V63" s="39">
        <v>25.0</v>
      </c>
      <c r="W63" s="35" t="s">
        <v>28</v>
      </c>
      <c r="X63" s="36" t="s">
        <v>34</v>
      </c>
      <c r="Y63" s="1"/>
      <c r="Z63" s="36" t="s">
        <v>90</v>
      </c>
      <c r="AA63" s="54">
        <v>100.0</v>
      </c>
      <c r="AB63" s="39">
        <v>28.0</v>
      </c>
      <c r="AC63" s="35" t="s">
        <v>32</v>
      </c>
      <c r="AD63" s="36" t="s">
        <v>32</v>
      </c>
      <c r="AE63" s="1"/>
      <c r="AF63" s="36" t="s">
        <v>342</v>
      </c>
      <c r="AG63" s="54">
        <v>302.64</v>
      </c>
      <c r="AH63" s="39">
        <v>16.0</v>
      </c>
      <c r="AI63" s="35" t="s">
        <v>32</v>
      </c>
      <c r="AJ63" s="36" t="s">
        <v>32</v>
      </c>
      <c r="AK63" s="1"/>
      <c r="AL63" s="36" t="s">
        <v>235</v>
      </c>
      <c r="AM63" s="54">
        <v>30.0</v>
      </c>
      <c r="AN63" s="39">
        <v>14.0</v>
      </c>
      <c r="AO63" s="35" t="s">
        <v>28</v>
      </c>
      <c r="AP63" s="36" t="s">
        <v>32</v>
      </c>
      <c r="AQ63" s="1"/>
      <c r="AR63" s="36" t="s">
        <v>343</v>
      </c>
      <c r="AS63" s="54">
        <v>35.0</v>
      </c>
      <c r="AT63" s="39">
        <v>18.0</v>
      </c>
      <c r="AU63" s="35" t="s">
        <v>28</v>
      </c>
      <c r="AV63" s="36" t="s">
        <v>32</v>
      </c>
      <c r="AW63" s="1"/>
      <c r="AX63" s="36" t="s">
        <v>90</v>
      </c>
      <c r="AY63" s="54">
        <v>69.0</v>
      </c>
      <c r="AZ63" s="39">
        <v>29.0</v>
      </c>
      <c r="BA63" s="35" t="s">
        <v>32</v>
      </c>
      <c r="BB63" s="36" t="s">
        <v>32</v>
      </c>
      <c r="BC63" s="1"/>
      <c r="BD63" s="36" t="s">
        <v>344</v>
      </c>
      <c r="BE63" s="54">
        <v>10.0</v>
      </c>
      <c r="BF63" s="39">
        <v>28.0</v>
      </c>
      <c r="BG63" s="35" t="s">
        <v>32</v>
      </c>
      <c r="BH63" s="36" t="s">
        <v>32</v>
      </c>
      <c r="BI63" s="1"/>
      <c r="BJ63" s="36" t="s">
        <v>345</v>
      </c>
      <c r="BK63" s="59">
        <v>50.0</v>
      </c>
      <c r="BL63" s="39">
        <v>24.0</v>
      </c>
      <c r="BM63" s="35" t="s">
        <v>32</v>
      </c>
      <c r="BN63" s="36" t="s">
        <v>32</v>
      </c>
      <c r="BO63" s="1"/>
      <c r="BP63" s="36" t="s">
        <v>313</v>
      </c>
      <c r="BQ63" s="54">
        <v>220.0</v>
      </c>
      <c r="BR63" s="39">
        <v>24.0</v>
      </c>
      <c r="BS63" s="35" t="s">
        <v>32</v>
      </c>
      <c r="BT63" s="36" t="s">
        <v>32</v>
      </c>
      <c r="BU63" s="4"/>
    </row>
    <row r="64">
      <c r="A64" s="1"/>
      <c r="B64" s="36" t="s">
        <v>346</v>
      </c>
      <c r="C64" s="54">
        <v>1340.72</v>
      </c>
      <c r="D64" s="39">
        <v>14.0</v>
      </c>
      <c r="E64" s="35" t="s">
        <v>32</v>
      </c>
      <c r="F64" s="36" t="s">
        <v>32</v>
      </c>
      <c r="G64" s="1"/>
      <c r="H64" s="36" t="s">
        <v>90</v>
      </c>
      <c r="I64" s="54">
        <v>18.0</v>
      </c>
      <c r="J64" s="39">
        <v>27.0</v>
      </c>
      <c r="K64" s="35" t="s">
        <v>28</v>
      </c>
      <c r="L64" s="36" t="s">
        <v>32</v>
      </c>
      <c r="M64" s="1"/>
      <c r="N64" s="36" t="s">
        <v>238</v>
      </c>
      <c r="O64" s="54">
        <v>35.0</v>
      </c>
      <c r="P64" s="39">
        <v>26.0</v>
      </c>
      <c r="Q64" s="35" t="s">
        <v>32</v>
      </c>
      <c r="R64" s="36" t="s">
        <v>32</v>
      </c>
      <c r="S64" s="1"/>
      <c r="T64" s="36" t="s">
        <v>347</v>
      </c>
      <c r="U64" s="54">
        <v>9.0</v>
      </c>
      <c r="V64" s="39">
        <v>28.0</v>
      </c>
      <c r="W64" s="35" t="s">
        <v>32</v>
      </c>
      <c r="X64" s="36" t="s">
        <v>32</v>
      </c>
      <c r="Y64" s="1"/>
      <c r="Z64" s="36" t="s">
        <v>348</v>
      </c>
      <c r="AA64" s="54">
        <v>997.0</v>
      </c>
      <c r="AB64" s="39">
        <v>29.0</v>
      </c>
      <c r="AC64" s="35" t="s">
        <v>32</v>
      </c>
      <c r="AD64" s="36" t="s">
        <v>32</v>
      </c>
      <c r="AE64" s="1"/>
      <c r="AF64" s="36" t="s">
        <v>349</v>
      </c>
      <c r="AG64" s="54">
        <v>100.0</v>
      </c>
      <c r="AH64" s="39">
        <v>18.0</v>
      </c>
      <c r="AI64" s="35" t="s">
        <v>32</v>
      </c>
      <c r="AJ64" s="36" t="s">
        <v>32</v>
      </c>
      <c r="AK64" s="1"/>
      <c r="AL64" s="36" t="s">
        <v>350</v>
      </c>
      <c r="AM64" s="54">
        <v>28.0</v>
      </c>
      <c r="AN64" s="39">
        <v>14.0</v>
      </c>
      <c r="AO64" s="35" t="s">
        <v>32</v>
      </c>
      <c r="AP64" s="36" t="s">
        <v>32</v>
      </c>
      <c r="AQ64" s="1"/>
      <c r="AR64" s="36" t="s">
        <v>351</v>
      </c>
      <c r="AS64" s="54">
        <v>96.9</v>
      </c>
      <c r="AT64" s="39">
        <v>18.0</v>
      </c>
      <c r="AU64" s="35" t="s">
        <v>32</v>
      </c>
      <c r="AV64" s="36" t="s">
        <v>32</v>
      </c>
      <c r="AW64" s="1"/>
      <c r="AX64" s="36" t="s">
        <v>124</v>
      </c>
      <c r="AY64" s="54">
        <v>342.07</v>
      </c>
      <c r="AZ64" s="39">
        <v>29.0</v>
      </c>
      <c r="BA64" s="35" t="s">
        <v>32</v>
      </c>
      <c r="BB64" s="36" t="s">
        <v>32</v>
      </c>
      <c r="BC64" s="1"/>
      <c r="BD64" s="36" t="s">
        <v>90</v>
      </c>
      <c r="BE64" s="54">
        <v>15.0</v>
      </c>
      <c r="BF64" s="39">
        <v>28.0</v>
      </c>
      <c r="BG64" s="35" t="s">
        <v>28</v>
      </c>
      <c r="BH64" s="36" t="s">
        <v>32</v>
      </c>
      <c r="BI64" s="1"/>
      <c r="BJ64" s="36" t="s">
        <v>100</v>
      </c>
      <c r="BK64" s="59">
        <v>50.0</v>
      </c>
      <c r="BL64" s="39">
        <v>24.0</v>
      </c>
      <c r="BM64" s="35" t="s">
        <v>32</v>
      </c>
      <c r="BN64" s="36" t="s">
        <v>32</v>
      </c>
      <c r="BO64" s="1"/>
      <c r="BP64" s="36" t="s">
        <v>100</v>
      </c>
      <c r="BQ64" s="54">
        <v>90.0</v>
      </c>
      <c r="BR64" s="39">
        <v>25.0</v>
      </c>
      <c r="BS64" s="35" t="s">
        <v>32</v>
      </c>
      <c r="BT64" s="36" t="s">
        <v>32</v>
      </c>
      <c r="BU64" s="4"/>
    </row>
    <row r="65">
      <c r="A65" s="1"/>
      <c r="B65" s="36" t="s">
        <v>352</v>
      </c>
      <c r="C65" s="54">
        <v>30000.0</v>
      </c>
      <c r="D65" s="39">
        <v>15.0</v>
      </c>
      <c r="E65" s="35" t="s">
        <v>32</v>
      </c>
      <c r="F65" s="36" t="s">
        <v>32</v>
      </c>
      <c r="G65" s="1"/>
      <c r="H65" s="36" t="s">
        <v>126</v>
      </c>
      <c r="I65" s="54">
        <v>50.0</v>
      </c>
      <c r="J65" s="39">
        <v>28.0</v>
      </c>
      <c r="K65" s="35" t="s">
        <v>32</v>
      </c>
      <c r="L65" s="36" t="s">
        <v>32</v>
      </c>
      <c r="M65" s="1"/>
      <c r="N65" s="36" t="s">
        <v>353</v>
      </c>
      <c r="O65" s="54">
        <v>150.0</v>
      </c>
      <c r="P65" s="39">
        <v>27.0</v>
      </c>
      <c r="Q65" s="35" t="s">
        <v>28</v>
      </c>
      <c r="R65" s="36" t="s">
        <v>32</v>
      </c>
      <c r="S65" s="1"/>
      <c r="T65" s="36" t="s">
        <v>130</v>
      </c>
      <c r="U65" s="54">
        <v>100.0</v>
      </c>
      <c r="V65" s="39">
        <v>28.0</v>
      </c>
      <c r="W65" s="35" t="s">
        <v>32</v>
      </c>
      <c r="X65" s="36" t="s">
        <v>32</v>
      </c>
      <c r="Y65" s="1"/>
      <c r="Z65" s="36" t="s">
        <v>109</v>
      </c>
      <c r="AA65" s="54">
        <v>171.0</v>
      </c>
      <c r="AB65" s="39">
        <v>31.0</v>
      </c>
      <c r="AC65" s="35" t="s">
        <v>28</v>
      </c>
      <c r="AD65" s="36" t="s">
        <v>34</v>
      </c>
      <c r="AE65" s="1"/>
      <c r="AF65" s="36" t="s">
        <v>124</v>
      </c>
      <c r="AG65" s="54">
        <v>111.0</v>
      </c>
      <c r="AH65" s="39">
        <v>20.0</v>
      </c>
      <c r="AI65" s="35" t="s">
        <v>28</v>
      </c>
      <c r="AJ65" s="36" t="s">
        <v>32</v>
      </c>
      <c r="AK65" s="1"/>
      <c r="AL65" s="36" t="s">
        <v>100</v>
      </c>
      <c r="AM65" s="54">
        <v>25.0</v>
      </c>
      <c r="AN65" s="39">
        <v>14.0</v>
      </c>
      <c r="AO65" s="35" t="s">
        <v>32</v>
      </c>
      <c r="AP65" s="36" t="s">
        <v>32</v>
      </c>
      <c r="AQ65" s="1"/>
      <c r="AR65" s="36" t="s">
        <v>351</v>
      </c>
      <c r="AS65" s="54">
        <v>37.0</v>
      </c>
      <c r="AT65" s="39">
        <v>18.0</v>
      </c>
      <c r="AU65" s="35" t="s">
        <v>32</v>
      </c>
      <c r="AV65" s="36" t="s">
        <v>32</v>
      </c>
      <c r="AW65" s="1"/>
      <c r="AX65" s="36" t="s">
        <v>210</v>
      </c>
      <c r="AY65" s="54">
        <v>50.0</v>
      </c>
      <c r="AZ65" s="39">
        <v>29.0</v>
      </c>
      <c r="BA65" s="35" t="s">
        <v>28</v>
      </c>
      <c r="BB65" s="36" t="s">
        <v>34</v>
      </c>
      <c r="BC65" s="1"/>
      <c r="BD65" s="36" t="s">
        <v>210</v>
      </c>
      <c r="BE65" s="54">
        <v>10.0</v>
      </c>
      <c r="BF65" s="39">
        <v>28.0</v>
      </c>
      <c r="BG65" s="35" t="s">
        <v>28</v>
      </c>
      <c r="BH65" s="36" t="s">
        <v>32</v>
      </c>
      <c r="BI65" s="1"/>
      <c r="BJ65" s="36" t="s">
        <v>354</v>
      </c>
      <c r="BK65" s="59">
        <v>116.5</v>
      </c>
      <c r="BL65" s="39">
        <v>24.0</v>
      </c>
      <c r="BM65" s="35" t="s">
        <v>28</v>
      </c>
      <c r="BN65" s="36" t="s">
        <v>34</v>
      </c>
      <c r="BO65" s="1"/>
      <c r="BP65" s="36" t="s">
        <v>204</v>
      </c>
      <c r="BQ65" s="54">
        <v>384.95</v>
      </c>
      <c r="BR65" s="39">
        <v>25.0</v>
      </c>
      <c r="BS65" s="35" t="s">
        <v>32</v>
      </c>
      <c r="BT65" s="36" t="s">
        <v>32</v>
      </c>
      <c r="BU65" s="4"/>
    </row>
    <row r="66">
      <c r="A66" s="1"/>
      <c r="B66" s="36" t="s">
        <v>355</v>
      </c>
      <c r="C66" s="54">
        <v>30.0</v>
      </c>
      <c r="D66" s="39">
        <v>15.0</v>
      </c>
      <c r="E66" s="35" t="s">
        <v>32</v>
      </c>
      <c r="F66" s="36" t="s">
        <v>32</v>
      </c>
      <c r="G66" s="1"/>
      <c r="H66" s="36" t="s">
        <v>109</v>
      </c>
      <c r="I66" s="54">
        <v>150.0</v>
      </c>
      <c r="J66" s="39">
        <v>28.0</v>
      </c>
      <c r="K66" s="35" t="s">
        <v>28</v>
      </c>
      <c r="L66" s="36" t="s">
        <v>32</v>
      </c>
      <c r="M66" s="1"/>
      <c r="N66" s="36" t="s">
        <v>191</v>
      </c>
      <c r="O66" s="54">
        <v>20.0</v>
      </c>
      <c r="P66" s="39">
        <v>27.0</v>
      </c>
      <c r="Q66" s="35" t="s">
        <v>28</v>
      </c>
      <c r="R66" s="36" t="s">
        <v>32</v>
      </c>
      <c r="S66" s="1"/>
      <c r="T66" s="36" t="s">
        <v>235</v>
      </c>
      <c r="U66" s="54">
        <v>30.0</v>
      </c>
      <c r="V66" s="39">
        <v>28.0</v>
      </c>
      <c r="W66" s="35" t="s">
        <v>28</v>
      </c>
      <c r="X66" s="36" t="s">
        <v>32</v>
      </c>
      <c r="Y66" s="1"/>
      <c r="Z66" s="36" t="s">
        <v>356</v>
      </c>
      <c r="AA66" s="54">
        <v>1815.0</v>
      </c>
      <c r="AB66" s="39">
        <v>31.0</v>
      </c>
      <c r="AC66" s="35" t="s">
        <v>32</v>
      </c>
      <c r="AD66" s="36" t="s">
        <v>32</v>
      </c>
      <c r="AE66" s="1"/>
      <c r="AF66" s="36" t="s">
        <v>310</v>
      </c>
      <c r="AG66" s="54">
        <v>30.0</v>
      </c>
      <c r="AH66" s="39">
        <v>20.0</v>
      </c>
      <c r="AI66" s="35" t="s">
        <v>28</v>
      </c>
      <c r="AJ66" s="36" t="s">
        <v>34</v>
      </c>
      <c r="AK66" s="1"/>
      <c r="AL66" s="36" t="s">
        <v>295</v>
      </c>
      <c r="AM66" s="54">
        <v>5.5</v>
      </c>
      <c r="AN66" s="39">
        <v>14.0</v>
      </c>
      <c r="AO66" s="35" t="s">
        <v>28</v>
      </c>
      <c r="AP66" s="36" t="s">
        <v>32</v>
      </c>
      <c r="AQ66" s="1"/>
      <c r="AR66" s="36" t="s">
        <v>357</v>
      </c>
      <c r="AS66" s="54">
        <v>20.0</v>
      </c>
      <c r="AT66" s="39">
        <v>18.0</v>
      </c>
      <c r="AU66" s="35" t="s">
        <v>28</v>
      </c>
      <c r="AV66" s="36" t="s">
        <v>32</v>
      </c>
      <c r="AW66" s="1"/>
      <c r="AX66" s="36" t="s">
        <v>358</v>
      </c>
      <c r="AY66" s="54">
        <v>207.0</v>
      </c>
      <c r="AZ66" s="39">
        <v>30.0</v>
      </c>
      <c r="BA66" s="35" t="s">
        <v>28</v>
      </c>
      <c r="BB66" s="36" t="s">
        <v>34</v>
      </c>
      <c r="BC66" s="1"/>
      <c r="BD66" s="36" t="s">
        <v>207</v>
      </c>
      <c r="BE66" s="54">
        <v>170.0</v>
      </c>
      <c r="BF66" s="39">
        <v>31.0</v>
      </c>
      <c r="BG66" s="35" t="s">
        <v>28</v>
      </c>
      <c r="BH66" s="36" t="s">
        <v>32</v>
      </c>
      <c r="BI66" s="1"/>
      <c r="BJ66" s="36" t="s">
        <v>359</v>
      </c>
      <c r="BK66" s="59">
        <v>55.0</v>
      </c>
      <c r="BL66" s="39">
        <v>24.0</v>
      </c>
      <c r="BM66" s="35" t="s">
        <v>28</v>
      </c>
      <c r="BN66" s="36" t="s">
        <v>34</v>
      </c>
      <c r="BO66" s="1"/>
      <c r="BP66" s="36" t="s">
        <v>360</v>
      </c>
      <c r="BQ66" s="54">
        <v>3260.46</v>
      </c>
      <c r="BR66" s="39">
        <v>26.0</v>
      </c>
      <c r="BS66" s="35" t="s">
        <v>34</v>
      </c>
      <c r="BT66" s="36" t="s">
        <v>32</v>
      </c>
      <c r="BU66" s="4"/>
    </row>
    <row r="67">
      <c r="A67" s="1"/>
      <c r="B67" s="36" t="s">
        <v>361</v>
      </c>
      <c r="C67" s="54">
        <v>291.2</v>
      </c>
      <c r="D67" s="39">
        <v>17.0</v>
      </c>
      <c r="E67" s="35" t="s">
        <v>32</v>
      </c>
      <c r="F67" s="36" t="s">
        <v>32</v>
      </c>
      <c r="G67" s="1"/>
      <c r="H67" s="36" t="s">
        <v>130</v>
      </c>
      <c r="I67" s="54">
        <v>100.0</v>
      </c>
      <c r="J67" s="39">
        <v>28.0</v>
      </c>
      <c r="K67" s="35" t="s">
        <v>32</v>
      </c>
      <c r="L67" s="36" t="s">
        <v>32</v>
      </c>
      <c r="M67" s="1"/>
      <c r="N67" s="36" t="s">
        <v>130</v>
      </c>
      <c r="O67" s="54">
        <v>100.0</v>
      </c>
      <c r="P67" s="39">
        <v>28.0</v>
      </c>
      <c r="Q67" s="35" t="s">
        <v>32</v>
      </c>
      <c r="R67" s="36" t="s">
        <v>32</v>
      </c>
      <c r="S67" s="1"/>
      <c r="T67" s="36" t="s">
        <v>362</v>
      </c>
      <c r="U67" s="54">
        <v>500.0</v>
      </c>
      <c r="V67" s="39">
        <v>28.0</v>
      </c>
      <c r="W67" s="35" t="s">
        <v>32</v>
      </c>
      <c r="X67" s="36" t="s">
        <v>32</v>
      </c>
      <c r="Y67" s="1"/>
      <c r="AA67" s="54"/>
      <c r="AB67" s="39"/>
      <c r="AC67" s="35"/>
      <c r="AE67" s="1"/>
      <c r="AF67" s="36" t="s">
        <v>337</v>
      </c>
      <c r="AG67" s="54">
        <v>60.0</v>
      </c>
      <c r="AH67" s="39">
        <v>20.0</v>
      </c>
      <c r="AI67" s="35" t="s">
        <v>28</v>
      </c>
      <c r="AJ67" s="36" t="s">
        <v>34</v>
      </c>
      <c r="AK67" s="1"/>
      <c r="AL67" s="36" t="s">
        <v>363</v>
      </c>
      <c r="AM67" s="54">
        <v>10.0</v>
      </c>
      <c r="AN67" s="39">
        <v>14.0</v>
      </c>
      <c r="AO67" s="35" t="s">
        <v>28</v>
      </c>
      <c r="AP67" s="36" t="s">
        <v>32</v>
      </c>
      <c r="AQ67" s="1"/>
      <c r="AR67" s="36" t="s">
        <v>364</v>
      </c>
      <c r="AS67" s="54">
        <v>32.0</v>
      </c>
      <c r="AT67" s="39">
        <v>22.0</v>
      </c>
      <c r="AU67" s="35" t="s">
        <v>32</v>
      </c>
      <c r="AV67" s="36" t="s">
        <v>32</v>
      </c>
      <c r="AW67" s="1"/>
      <c r="AX67" s="36" t="s">
        <v>133</v>
      </c>
      <c r="AY67" s="54">
        <v>2535.0</v>
      </c>
      <c r="AZ67" s="39">
        <v>30.0</v>
      </c>
      <c r="BA67" s="35" t="s">
        <v>32</v>
      </c>
      <c r="BB67" s="36" t="s">
        <v>32</v>
      </c>
      <c r="BC67" s="1"/>
      <c r="BD67" s="36" t="s">
        <v>224</v>
      </c>
      <c r="BE67" s="54">
        <v>200.0</v>
      </c>
      <c r="BF67" s="39">
        <v>31.0</v>
      </c>
      <c r="BG67" s="35" t="s">
        <v>28</v>
      </c>
      <c r="BH67" s="36" t="s">
        <v>32</v>
      </c>
      <c r="BI67" s="1"/>
      <c r="BJ67" s="36" t="s">
        <v>365</v>
      </c>
      <c r="BK67" s="59">
        <v>50.0</v>
      </c>
      <c r="BL67" s="39">
        <v>25.0</v>
      </c>
      <c r="BM67" s="35" t="s">
        <v>28</v>
      </c>
      <c r="BN67" s="36" t="s">
        <v>32</v>
      </c>
      <c r="BO67" s="1"/>
      <c r="BP67" s="36" t="s">
        <v>366</v>
      </c>
      <c r="BQ67" s="54">
        <v>50.0</v>
      </c>
      <c r="BR67" s="39">
        <v>26.0</v>
      </c>
      <c r="BS67" s="35" t="s">
        <v>30</v>
      </c>
      <c r="BT67" s="36" t="s">
        <v>32</v>
      </c>
      <c r="BU67" s="4"/>
    </row>
    <row r="68">
      <c r="A68" s="1"/>
      <c r="B68" s="36" t="s">
        <v>210</v>
      </c>
      <c r="C68" s="54">
        <v>70.0</v>
      </c>
      <c r="D68" s="39">
        <v>18.0</v>
      </c>
      <c r="E68" s="35" t="s">
        <v>28</v>
      </c>
      <c r="F68" s="36" t="s">
        <v>34</v>
      </c>
      <c r="G68" s="1"/>
      <c r="H68" s="36" t="s">
        <v>100</v>
      </c>
      <c r="I68" s="54">
        <v>200.0</v>
      </c>
      <c r="J68" s="39">
        <v>28.0</v>
      </c>
      <c r="K68" s="35" t="s">
        <v>32</v>
      </c>
      <c r="L68" s="36" t="s">
        <v>32</v>
      </c>
      <c r="M68" s="1"/>
      <c r="N68" s="36" t="s">
        <v>235</v>
      </c>
      <c r="O68" s="54">
        <v>45.0</v>
      </c>
      <c r="P68" s="39">
        <v>31.0</v>
      </c>
      <c r="Q68" s="35" t="s">
        <v>28</v>
      </c>
      <c r="R68" s="36" t="s">
        <v>32</v>
      </c>
      <c r="S68" s="1"/>
      <c r="T68" s="36" t="s">
        <v>92</v>
      </c>
      <c r="U68" s="54">
        <v>100.0</v>
      </c>
      <c r="V68" s="39">
        <v>29.0</v>
      </c>
      <c r="W68" s="35" t="s">
        <v>32</v>
      </c>
      <c r="X68" s="36" t="s">
        <v>32</v>
      </c>
      <c r="Y68" s="1"/>
      <c r="AA68" s="54"/>
      <c r="AB68" s="39"/>
      <c r="AC68" s="35"/>
      <c r="AE68" s="1"/>
      <c r="AF68" s="36" t="s">
        <v>367</v>
      </c>
      <c r="AG68" s="54">
        <v>69.0</v>
      </c>
      <c r="AH68" s="39">
        <v>21.0</v>
      </c>
      <c r="AI68" s="35" t="s">
        <v>28</v>
      </c>
      <c r="AJ68" s="36" t="s">
        <v>34</v>
      </c>
      <c r="AK68" s="1"/>
      <c r="AL68" s="36" t="s">
        <v>368</v>
      </c>
      <c r="AM68" s="54">
        <v>16.0</v>
      </c>
      <c r="AN68" s="39">
        <v>14.0</v>
      </c>
      <c r="AO68" s="35" t="s">
        <v>28</v>
      </c>
      <c r="AP68" s="36" t="s">
        <v>32</v>
      </c>
      <c r="AQ68" s="1"/>
      <c r="AR68" s="36" t="s">
        <v>235</v>
      </c>
      <c r="AS68" s="54">
        <v>34.0</v>
      </c>
      <c r="AT68" s="39">
        <v>22.0</v>
      </c>
      <c r="AU68" s="35" t="s">
        <v>28</v>
      </c>
      <c r="AV68" s="36" t="s">
        <v>34</v>
      </c>
      <c r="AW68" s="1"/>
      <c r="AX68" s="36" t="s">
        <v>286</v>
      </c>
      <c r="AY68" s="54">
        <v>10.0</v>
      </c>
      <c r="AZ68" s="39">
        <v>30.0</v>
      </c>
      <c r="BA68" s="35" t="s">
        <v>32</v>
      </c>
      <c r="BB68" s="36" t="s">
        <v>32</v>
      </c>
      <c r="BC68" s="1"/>
      <c r="BD68" s="36" t="s">
        <v>255</v>
      </c>
      <c r="BE68" s="54">
        <v>275.0</v>
      </c>
      <c r="BF68" s="39">
        <v>31.0</v>
      </c>
      <c r="BG68" s="35" t="s">
        <v>28</v>
      </c>
      <c r="BH68" s="36" t="s">
        <v>32</v>
      </c>
      <c r="BI68" s="1"/>
      <c r="BJ68" s="67" t="s">
        <v>369</v>
      </c>
      <c r="BK68" s="59">
        <v>69.46</v>
      </c>
      <c r="BL68" s="39">
        <v>25.0</v>
      </c>
      <c r="BM68" s="35" t="s">
        <v>32</v>
      </c>
      <c r="BN68" s="36" t="s">
        <v>32</v>
      </c>
      <c r="BO68" s="1"/>
      <c r="BP68" s="36" t="s">
        <v>130</v>
      </c>
      <c r="BQ68" s="54">
        <v>100.0</v>
      </c>
      <c r="BR68" s="39">
        <v>29.0</v>
      </c>
      <c r="BS68" s="35" t="s">
        <v>32</v>
      </c>
      <c r="BT68" s="36" t="s">
        <v>32</v>
      </c>
      <c r="BU68" s="4"/>
    </row>
    <row r="69">
      <c r="A69" s="1"/>
      <c r="B69" s="36" t="s">
        <v>92</v>
      </c>
      <c r="C69" s="54">
        <v>50.0</v>
      </c>
      <c r="D69" s="39">
        <v>20.0</v>
      </c>
      <c r="E69" s="35" t="s">
        <v>32</v>
      </c>
      <c r="F69" s="36" t="s">
        <v>32</v>
      </c>
      <c r="G69" s="1"/>
      <c r="H69" s="36" t="s">
        <v>124</v>
      </c>
      <c r="I69" s="54">
        <v>128.83</v>
      </c>
      <c r="J69" s="39">
        <v>28.0</v>
      </c>
      <c r="K69" s="35" t="s">
        <v>32</v>
      </c>
      <c r="L69" s="36" t="s">
        <v>32</v>
      </c>
      <c r="M69" s="1"/>
      <c r="N69" s="36" t="s">
        <v>100</v>
      </c>
      <c r="O69" s="54">
        <v>100.0</v>
      </c>
      <c r="P69" s="39">
        <v>31.0</v>
      </c>
      <c r="Q69" s="35" t="s">
        <v>32</v>
      </c>
      <c r="R69" s="36" t="s">
        <v>32</v>
      </c>
      <c r="S69" s="1"/>
      <c r="T69" s="36" t="s">
        <v>133</v>
      </c>
      <c r="U69" s="54">
        <v>3257.0</v>
      </c>
      <c r="V69" s="39">
        <v>30.0</v>
      </c>
      <c r="W69" s="35" t="s">
        <v>32</v>
      </c>
      <c r="X69" s="36" t="s">
        <v>32</v>
      </c>
      <c r="Y69" s="1"/>
      <c r="AA69" s="54"/>
      <c r="AB69" s="39"/>
      <c r="AC69" s="35"/>
      <c r="AE69" s="1"/>
      <c r="AF69" s="36" t="s">
        <v>102</v>
      </c>
      <c r="AG69" s="54">
        <v>35.0</v>
      </c>
      <c r="AH69" s="39">
        <v>23.0</v>
      </c>
      <c r="AI69" s="35" t="s">
        <v>34</v>
      </c>
      <c r="AJ69" s="36" t="s">
        <v>32</v>
      </c>
      <c r="AK69" s="1"/>
      <c r="AL69" s="36" t="s">
        <v>90</v>
      </c>
      <c r="AM69" s="54">
        <v>21.0</v>
      </c>
      <c r="AN69" s="39">
        <v>15.0</v>
      </c>
      <c r="AO69" s="35" t="s">
        <v>28</v>
      </c>
      <c r="AP69" s="36" t="s">
        <v>32</v>
      </c>
      <c r="AQ69" s="1"/>
      <c r="AR69" s="36" t="s">
        <v>207</v>
      </c>
      <c r="AS69" s="54">
        <v>170.0</v>
      </c>
      <c r="AT69" s="39">
        <v>22.0</v>
      </c>
      <c r="AU69" s="35" t="s">
        <v>28</v>
      </c>
      <c r="AV69" s="36" t="s">
        <v>34</v>
      </c>
      <c r="AW69" s="1"/>
      <c r="AX69" s="36" t="s">
        <v>370</v>
      </c>
      <c r="AY69" s="54">
        <v>233.6</v>
      </c>
      <c r="AZ69" s="39">
        <v>29.0</v>
      </c>
      <c r="BA69" s="35" t="s">
        <v>32</v>
      </c>
      <c r="BB69" s="36" t="s">
        <v>32</v>
      </c>
      <c r="BC69" s="1"/>
      <c r="BD69" s="36" t="s">
        <v>371</v>
      </c>
      <c r="BE69" s="54">
        <v>300.0</v>
      </c>
      <c r="BF69" s="39">
        <v>31.0</v>
      </c>
      <c r="BG69" s="35" t="s">
        <v>32</v>
      </c>
      <c r="BH69" s="36" t="s">
        <v>32</v>
      </c>
      <c r="BI69" s="1"/>
      <c r="BJ69" s="36" t="s">
        <v>234</v>
      </c>
      <c r="BK69" s="59">
        <v>100.0</v>
      </c>
      <c r="BL69" s="39">
        <v>25.0</v>
      </c>
      <c r="BM69" s="35" t="s">
        <v>32</v>
      </c>
      <c r="BN69" s="36" t="s">
        <v>32</v>
      </c>
      <c r="BO69" s="1"/>
      <c r="BP69" s="36" t="s">
        <v>100</v>
      </c>
      <c r="BQ69" s="54">
        <v>30.0</v>
      </c>
      <c r="BR69" s="39">
        <v>29.0</v>
      </c>
      <c r="BS69" s="35" t="s">
        <v>32</v>
      </c>
      <c r="BT69" s="36" t="s">
        <v>32</v>
      </c>
      <c r="BU69" s="4"/>
    </row>
    <row r="70">
      <c r="A70" s="1"/>
      <c r="B70" s="36" t="s">
        <v>372</v>
      </c>
      <c r="C70" s="54">
        <v>35.0</v>
      </c>
      <c r="D70" s="39">
        <v>20.0</v>
      </c>
      <c r="E70" s="35" t="s">
        <v>28</v>
      </c>
      <c r="F70" s="36" t="s">
        <v>32</v>
      </c>
      <c r="G70" s="1"/>
      <c r="H70" s="36" t="s">
        <v>92</v>
      </c>
      <c r="I70" s="54">
        <v>45.0</v>
      </c>
      <c r="J70" s="39">
        <v>8.0</v>
      </c>
      <c r="K70" s="35" t="s">
        <v>32</v>
      </c>
      <c r="L70" s="36" t="s">
        <v>34</v>
      </c>
      <c r="M70" s="1"/>
      <c r="N70" s="36" t="s">
        <v>90</v>
      </c>
      <c r="O70" s="54">
        <v>50.0</v>
      </c>
      <c r="P70" s="39">
        <v>31.0</v>
      </c>
      <c r="Q70" s="35" t="s">
        <v>28</v>
      </c>
      <c r="R70" s="36" t="s">
        <v>32</v>
      </c>
      <c r="S70" s="1"/>
      <c r="U70" s="54"/>
      <c r="V70" s="39"/>
      <c r="W70" s="35"/>
      <c r="Y70" s="1"/>
      <c r="AA70" s="54"/>
      <c r="AB70" s="39"/>
      <c r="AC70" s="35"/>
      <c r="AE70" s="1"/>
      <c r="AF70" s="36" t="s">
        <v>100</v>
      </c>
      <c r="AG70" s="54">
        <v>100.0</v>
      </c>
      <c r="AH70" s="39">
        <v>24.0</v>
      </c>
      <c r="AI70" s="35" t="s">
        <v>32</v>
      </c>
      <c r="AJ70" s="36" t="s">
        <v>32</v>
      </c>
      <c r="AK70" s="1"/>
      <c r="AL70" s="36" t="s">
        <v>373</v>
      </c>
      <c r="AM70" s="54">
        <v>2193.99</v>
      </c>
      <c r="AN70" s="39">
        <v>16.0</v>
      </c>
      <c r="AO70" s="35" t="s">
        <v>32</v>
      </c>
      <c r="AP70" s="36" t="s">
        <v>32</v>
      </c>
      <c r="AQ70" s="1"/>
      <c r="AR70" s="36" t="s">
        <v>100</v>
      </c>
      <c r="AS70" s="54">
        <v>20.0</v>
      </c>
      <c r="AT70" s="39">
        <v>23.0</v>
      </c>
      <c r="AU70" s="35" t="s">
        <v>32</v>
      </c>
      <c r="AV70" s="36" t="s">
        <v>32</v>
      </c>
      <c r="AW70" s="1"/>
      <c r="AY70" s="54"/>
      <c r="AZ70" s="39"/>
      <c r="BA70" s="35"/>
      <c r="BC70" s="1"/>
      <c r="BD70" s="36" t="s">
        <v>133</v>
      </c>
      <c r="BE70" s="54">
        <v>2320.0</v>
      </c>
      <c r="BF70" s="39">
        <v>31.0</v>
      </c>
      <c r="BG70" s="35" t="s">
        <v>32</v>
      </c>
      <c r="BH70" s="36" t="s">
        <v>32</v>
      </c>
      <c r="BI70" s="1"/>
      <c r="BJ70" s="36" t="s">
        <v>204</v>
      </c>
      <c r="BK70" s="59">
        <v>257.3</v>
      </c>
      <c r="BL70" s="39">
        <v>27.0</v>
      </c>
      <c r="BM70" s="35" t="s">
        <v>32</v>
      </c>
      <c r="BN70" s="36" t="s">
        <v>32</v>
      </c>
      <c r="BO70" s="1"/>
      <c r="BP70" s="36" t="s">
        <v>95</v>
      </c>
      <c r="BQ70" s="54">
        <v>200.0</v>
      </c>
      <c r="BR70" s="39">
        <v>29.0</v>
      </c>
      <c r="BS70" s="35" t="s">
        <v>28</v>
      </c>
      <c r="BT70" s="36" t="s">
        <v>32</v>
      </c>
      <c r="BU70" s="4"/>
    </row>
    <row r="71">
      <c r="A71" s="1"/>
      <c r="B71" s="36" t="s">
        <v>374</v>
      </c>
      <c r="C71" s="54">
        <v>50.0</v>
      </c>
      <c r="D71" s="39">
        <v>23.0</v>
      </c>
      <c r="E71" s="35" t="s">
        <v>28</v>
      </c>
      <c r="F71" s="36" t="s">
        <v>34</v>
      </c>
      <c r="G71" s="1"/>
      <c r="H71" s="36" t="s">
        <v>90</v>
      </c>
      <c r="I71" s="54">
        <v>36.0</v>
      </c>
      <c r="J71" s="39">
        <v>28.0</v>
      </c>
      <c r="K71" s="35" t="s">
        <v>28</v>
      </c>
      <c r="L71" s="36" t="s">
        <v>34</v>
      </c>
      <c r="M71" s="1"/>
      <c r="N71" s="36" t="s">
        <v>109</v>
      </c>
      <c r="O71" s="54">
        <v>180.0</v>
      </c>
      <c r="P71" s="39">
        <v>31.0</v>
      </c>
      <c r="Q71" s="35" t="s">
        <v>28</v>
      </c>
      <c r="R71" s="36" t="s">
        <v>34</v>
      </c>
      <c r="S71" s="1"/>
      <c r="U71" s="54"/>
      <c r="V71" s="39"/>
      <c r="W71" s="35"/>
      <c r="Y71" s="1"/>
      <c r="AA71" s="54"/>
      <c r="AB71" s="39"/>
      <c r="AC71" s="35"/>
      <c r="AE71" s="1"/>
      <c r="AF71" s="36" t="s">
        <v>375</v>
      </c>
      <c r="AG71" s="54">
        <v>100.0</v>
      </c>
      <c r="AH71" s="39">
        <v>24.0</v>
      </c>
      <c r="AI71" s="35" t="s">
        <v>32</v>
      </c>
      <c r="AJ71" s="36" t="s">
        <v>32</v>
      </c>
      <c r="AK71" s="1"/>
      <c r="AL71" s="36" t="s">
        <v>376</v>
      </c>
      <c r="AM71" s="54">
        <v>180.0</v>
      </c>
      <c r="AN71" s="39">
        <v>16.0</v>
      </c>
      <c r="AO71" s="35" t="s">
        <v>28</v>
      </c>
      <c r="AP71" s="36" t="s">
        <v>32</v>
      </c>
      <c r="AQ71" s="1"/>
      <c r="AR71" s="36" t="s">
        <v>100</v>
      </c>
      <c r="AS71" s="54">
        <v>10.0</v>
      </c>
      <c r="AT71" s="39">
        <v>24.0</v>
      </c>
      <c r="AU71" s="35" t="s">
        <v>32</v>
      </c>
      <c r="AV71" s="36" t="s">
        <v>32</v>
      </c>
      <c r="AW71" s="1"/>
      <c r="AY71" s="54"/>
      <c r="AZ71" s="39"/>
      <c r="BA71" s="35"/>
      <c r="BC71" s="1"/>
      <c r="BE71" s="54"/>
      <c r="BF71" s="39"/>
      <c r="BG71" s="35"/>
      <c r="BI71" s="1"/>
      <c r="BJ71" s="36" t="s">
        <v>130</v>
      </c>
      <c r="BK71" s="59">
        <v>100.0</v>
      </c>
      <c r="BL71" s="39">
        <v>28.0</v>
      </c>
      <c r="BM71" s="35" t="s">
        <v>32</v>
      </c>
      <c r="BN71" s="36" t="s">
        <v>32</v>
      </c>
      <c r="BO71" s="1"/>
      <c r="BP71" s="36" t="s">
        <v>95</v>
      </c>
      <c r="BQ71" s="54">
        <v>30.0</v>
      </c>
      <c r="BR71" s="39">
        <v>29.0</v>
      </c>
      <c r="BS71" s="35" t="s">
        <v>28</v>
      </c>
      <c r="BT71" s="36" t="s">
        <v>32</v>
      </c>
      <c r="BU71" s="4"/>
    </row>
    <row r="72">
      <c r="A72" s="1"/>
      <c r="B72" s="36" t="s">
        <v>110</v>
      </c>
      <c r="C72" s="54">
        <v>60.0</v>
      </c>
      <c r="D72" s="39">
        <v>23.0</v>
      </c>
      <c r="E72" s="35" t="s">
        <v>28</v>
      </c>
      <c r="F72" s="36" t="s">
        <v>34</v>
      </c>
      <c r="G72" s="1"/>
      <c r="H72" s="36" t="s">
        <v>377</v>
      </c>
      <c r="I72" s="54">
        <v>25.0</v>
      </c>
      <c r="J72" s="39">
        <v>28.0</v>
      </c>
      <c r="K72" s="35" t="s">
        <v>28</v>
      </c>
      <c r="L72" s="36" t="s">
        <v>34</v>
      </c>
      <c r="M72" s="1"/>
      <c r="N72" s="36" t="s">
        <v>356</v>
      </c>
      <c r="O72" s="54">
        <v>1706.0</v>
      </c>
      <c r="P72" s="39">
        <v>31.0</v>
      </c>
      <c r="Q72" s="35" t="s">
        <v>32</v>
      </c>
      <c r="R72" s="36" t="s">
        <v>32</v>
      </c>
      <c r="S72" s="1"/>
      <c r="U72" s="54"/>
      <c r="V72" s="39"/>
      <c r="W72" s="35"/>
      <c r="Y72" s="1"/>
      <c r="AA72" s="54"/>
      <c r="AB72" s="39"/>
      <c r="AC72" s="35"/>
      <c r="AE72" s="1"/>
      <c r="AF72" s="36" t="s">
        <v>378</v>
      </c>
      <c r="AG72" s="54">
        <v>36.89</v>
      </c>
      <c r="AH72" s="39">
        <v>26.0</v>
      </c>
      <c r="AI72" s="35" t="s">
        <v>32</v>
      </c>
      <c r="AJ72" s="36" t="s">
        <v>32</v>
      </c>
      <c r="AK72" s="1"/>
      <c r="AL72" s="36" t="s">
        <v>295</v>
      </c>
      <c r="AM72" s="54">
        <v>5.5</v>
      </c>
      <c r="AN72" s="39">
        <v>16.0</v>
      </c>
      <c r="AO72" s="35" t="s">
        <v>28</v>
      </c>
      <c r="AP72" s="36" t="s">
        <v>32</v>
      </c>
      <c r="AQ72" s="1"/>
      <c r="AR72" s="36" t="s">
        <v>90</v>
      </c>
      <c r="AS72" s="54">
        <v>52.0</v>
      </c>
      <c r="AT72" s="39">
        <v>25.0</v>
      </c>
      <c r="AU72" s="35" t="s">
        <v>28</v>
      </c>
      <c r="AV72" s="36" t="s">
        <v>32</v>
      </c>
      <c r="AW72" s="1"/>
      <c r="AY72" s="54"/>
      <c r="AZ72" s="39"/>
      <c r="BA72" s="35"/>
      <c r="BC72" s="1"/>
      <c r="BE72" s="54"/>
      <c r="BF72" s="39"/>
      <c r="BG72" s="35"/>
      <c r="BI72" s="1"/>
      <c r="BJ72" s="36" t="s">
        <v>207</v>
      </c>
      <c r="BK72" s="59">
        <v>170.0</v>
      </c>
      <c r="BL72" s="39">
        <v>28.0</v>
      </c>
      <c r="BM72" s="35" t="s">
        <v>28</v>
      </c>
      <c r="BN72" s="36" t="s">
        <v>32</v>
      </c>
      <c r="BO72" s="1"/>
      <c r="BP72" s="36" t="s">
        <v>133</v>
      </c>
      <c r="BQ72" s="54">
        <v>2920.05</v>
      </c>
      <c r="BR72" s="39">
        <v>31.0</v>
      </c>
      <c r="BS72" s="35" t="s">
        <v>32</v>
      </c>
      <c r="BT72" s="36" t="s">
        <v>32</v>
      </c>
      <c r="BU72" s="4"/>
    </row>
    <row r="73">
      <c r="A73" s="1"/>
      <c r="B73" s="36" t="s">
        <v>210</v>
      </c>
      <c r="C73" s="54">
        <v>97.0</v>
      </c>
      <c r="D73" s="39">
        <v>25.0</v>
      </c>
      <c r="E73" s="35" t="s">
        <v>28</v>
      </c>
      <c r="F73" s="36" t="s">
        <v>34</v>
      </c>
      <c r="G73" s="1"/>
      <c r="H73" s="36" t="s">
        <v>356</v>
      </c>
      <c r="I73" s="54">
        <v>2882.0</v>
      </c>
      <c r="J73" s="39">
        <v>28.0</v>
      </c>
      <c r="K73" s="35" t="s">
        <v>32</v>
      </c>
      <c r="L73" s="36" t="s">
        <v>32</v>
      </c>
      <c r="M73" s="1"/>
      <c r="N73" s="36" t="s">
        <v>124</v>
      </c>
      <c r="O73" s="54">
        <v>744.88</v>
      </c>
      <c r="P73" s="39">
        <v>31.0</v>
      </c>
      <c r="Q73" s="35" t="s">
        <v>32</v>
      </c>
      <c r="R73" s="36" t="s">
        <v>32</v>
      </c>
      <c r="S73" s="1"/>
      <c r="U73" s="54"/>
      <c r="V73" s="39"/>
      <c r="W73" s="35"/>
      <c r="Y73" s="1"/>
      <c r="AA73" s="54"/>
      <c r="AB73" s="39"/>
      <c r="AC73" s="35"/>
      <c r="AE73" s="1"/>
      <c r="AF73" s="36" t="s">
        <v>379</v>
      </c>
      <c r="AG73" s="54">
        <v>300.0</v>
      </c>
      <c r="AH73" s="39">
        <v>26.0</v>
      </c>
      <c r="AI73" s="35" t="s">
        <v>32</v>
      </c>
      <c r="AJ73" s="36" t="s">
        <v>32</v>
      </c>
      <c r="AK73" s="1"/>
      <c r="AL73" s="36" t="s">
        <v>235</v>
      </c>
      <c r="AM73" s="54">
        <v>60.0</v>
      </c>
      <c r="AN73" s="39">
        <v>17.0</v>
      </c>
      <c r="AO73" s="35" t="s">
        <v>28</v>
      </c>
      <c r="AP73" s="36" t="s">
        <v>32</v>
      </c>
      <c r="AQ73" s="1"/>
      <c r="AR73" s="36" t="s">
        <v>218</v>
      </c>
      <c r="AS73" s="54">
        <v>35.0</v>
      </c>
      <c r="AT73" s="39">
        <v>27.0</v>
      </c>
      <c r="AU73" s="35" t="s">
        <v>32</v>
      </c>
      <c r="AV73" s="36" t="s">
        <v>32</v>
      </c>
      <c r="AW73" s="1"/>
      <c r="AY73" s="54"/>
      <c r="AZ73" s="39"/>
      <c r="BA73" s="35"/>
      <c r="BC73" s="1"/>
      <c r="BE73" s="54"/>
      <c r="BF73" s="39"/>
      <c r="BG73" s="35"/>
      <c r="BI73" s="1"/>
      <c r="BJ73" s="36" t="s">
        <v>224</v>
      </c>
      <c r="BK73" s="59">
        <v>200.0</v>
      </c>
      <c r="BL73" s="39">
        <v>24.0</v>
      </c>
      <c r="BM73" s="35" t="s">
        <v>28</v>
      </c>
      <c r="BN73" s="36" t="s">
        <v>32</v>
      </c>
      <c r="BO73" s="1"/>
      <c r="BP73" s="36" t="s">
        <v>380</v>
      </c>
      <c r="BQ73" s="54">
        <v>150.0</v>
      </c>
      <c r="BR73" s="39">
        <v>28.0</v>
      </c>
      <c r="BS73" s="35" t="s">
        <v>30</v>
      </c>
      <c r="BT73" s="36" t="s">
        <v>34</v>
      </c>
      <c r="BU73" s="4"/>
    </row>
    <row r="74">
      <c r="A74" s="1"/>
      <c r="B74" s="36" t="s">
        <v>381</v>
      </c>
      <c r="C74" s="54">
        <v>63.5</v>
      </c>
      <c r="D74" s="39">
        <v>27.0</v>
      </c>
      <c r="E74" s="35" t="s">
        <v>28</v>
      </c>
      <c r="F74" s="36" t="s">
        <v>32</v>
      </c>
      <c r="G74" s="1"/>
      <c r="I74" s="54"/>
      <c r="J74" s="39"/>
      <c r="K74" s="35"/>
      <c r="M74" s="1"/>
      <c r="O74" s="54"/>
      <c r="P74" s="39"/>
      <c r="Q74" s="35"/>
      <c r="S74" s="1"/>
      <c r="U74" s="54"/>
      <c r="V74" s="39"/>
      <c r="W74" s="35"/>
      <c r="Y74" s="1"/>
      <c r="AA74" s="54"/>
      <c r="AB74" s="39"/>
      <c r="AC74" s="35"/>
      <c r="AE74" s="1"/>
      <c r="AF74" s="36" t="s">
        <v>100</v>
      </c>
      <c r="AG74" s="54">
        <v>20.0</v>
      </c>
      <c r="AH74" s="39">
        <v>26.0</v>
      </c>
      <c r="AI74" s="35" t="s">
        <v>32</v>
      </c>
      <c r="AJ74" s="36" t="s">
        <v>32</v>
      </c>
      <c r="AK74" s="1"/>
      <c r="AL74" s="36" t="s">
        <v>238</v>
      </c>
      <c r="AM74" s="54">
        <v>35.0</v>
      </c>
      <c r="AN74" s="39">
        <v>17.0</v>
      </c>
      <c r="AO74" s="35" t="s">
        <v>32</v>
      </c>
      <c r="AP74" s="36" t="s">
        <v>32</v>
      </c>
      <c r="AQ74" s="1"/>
      <c r="AR74" s="36" t="s">
        <v>205</v>
      </c>
      <c r="AS74" s="54">
        <v>277.0</v>
      </c>
      <c r="AT74" s="39">
        <v>27.0</v>
      </c>
      <c r="AU74" s="35" t="s">
        <v>32</v>
      </c>
      <c r="AV74" s="36" t="s">
        <v>32</v>
      </c>
      <c r="AW74" s="1"/>
      <c r="AY74" s="54"/>
      <c r="AZ74" s="39"/>
      <c r="BA74" s="35"/>
      <c r="BC74" s="1"/>
      <c r="BE74" s="54"/>
      <c r="BF74" s="39"/>
      <c r="BG74" s="35"/>
      <c r="BI74" s="1"/>
      <c r="BJ74" s="36" t="s">
        <v>124</v>
      </c>
      <c r="BK74" s="59">
        <v>207.39</v>
      </c>
      <c r="BL74" s="39">
        <v>30.0</v>
      </c>
      <c r="BM74" s="35" t="s">
        <v>32</v>
      </c>
      <c r="BN74" s="36" t="s">
        <v>32</v>
      </c>
      <c r="BO74" s="1"/>
      <c r="BP74" s="36" t="s">
        <v>382</v>
      </c>
      <c r="BQ74" s="54">
        <v>200.0</v>
      </c>
      <c r="BR74" s="39">
        <v>29.0</v>
      </c>
      <c r="BS74" s="35" t="s">
        <v>28</v>
      </c>
      <c r="BT74" s="36" t="s">
        <v>34</v>
      </c>
      <c r="BU74" s="4"/>
    </row>
    <row r="75">
      <c r="A75" s="1"/>
      <c r="B75" s="36" t="s">
        <v>383</v>
      </c>
      <c r="C75" s="54">
        <v>1000.0</v>
      </c>
      <c r="D75" s="39">
        <v>27.0</v>
      </c>
      <c r="E75" s="35" t="s">
        <v>28</v>
      </c>
      <c r="F75" s="36" t="s">
        <v>32</v>
      </c>
      <c r="G75" s="1"/>
      <c r="I75" s="54"/>
      <c r="J75" s="39"/>
      <c r="K75" s="35"/>
      <c r="M75" s="1"/>
      <c r="O75" s="54"/>
      <c r="P75" s="39"/>
      <c r="Q75" s="35"/>
      <c r="S75" s="1"/>
      <c r="U75" s="54"/>
      <c r="V75" s="39"/>
      <c r="W75" s="35"/>
      <c r="Y75" s="1"/>
      <c r="AA75" s="54"/>
      <c r="AB75" s="39"/>
      <c r="AC75" s="35"/>
      <c r="AE75" s="1"/>
      <c r="AF75" s="36" t="s">
        <v>384</v>
      </c>
      <c r="AG75" s="54">
        <v>200.0</v>
      </c>
      <c r="AH75" s="39">
        <v>26.0</v>
      </c>
      <c r="AI75" s="35" t="s">
        <v>28</v>
      </c>
      <c r="AJ75" s="36" t="s">
        <v>32</v>
      </c>
      <c r="AK75" s="1"/>
      <c r="AL75" s="36" t="s">
        <v>313</v>
      </c>
      <c r="AM75" s="54">
        <v>1.0</v>
      </c>
      <c r="AN75" s="39">
        <v>17.0</v>
      </c>
      <c r="AO75" s="35" t="s">
        <v>32</v>
      </c>
      <c r="AP75" s="36" t="s">
        <v>32</v>
      </c>
      <c r="AQ75" s="1"/>
      <c r="AR75" s="36" t="s">
        <v>90</v>
      </c>
      <c r="AS75" s="54">
        <v>10.0</v>
      </c>
      <c r="AT75" s="39">
        <v>27.0</v>
      </c>
      <c r="AU75" s="35" t="s">
        <v>28</v>
      </c>
      <c r="AV75" s="36" t="s">
        <v>32</v>
      </c>
      <c r="AW75" s="1"/>
      <c r="AY75" s="54"/>
      <c r="AZ75" s="39"/>
      <c r="BA75" s="35"/>
      <c r="BC75" s="1"/>
      <c r="BE75" s="54"/>
      <c r="BF75" s="39"/>
      <c r="BG75" s="35"/>
      <c r="BI75" s="1"/>
      <c r="BJ75" s="36" t="s">
        <v>133</v>
      </c>
      <c r="BK75" s="59">
        <v>2645.0</v>
      </c>
      <c r="BL75" s="39">
        <v>30.0</v>
      </c>
      <c r="BM75" s="35" t="s">
        <v>32</v>
      </c>
      <c r="BN75" s="36" t="s">
        <v>32</v>
      </c>
      <c r="BO75" s="1"/>
      <c r="BP75" s="36" t="s">
        <v>385</v>
      </c>
      <c r="BQ75" s="54">
        <v>70.0</v>
      </c>
      <c r="BR75" s="39">
        <v>29.0</v>
      </c>
      <c r="BS75" s="35" t="s">
        <v>32</v>
      </c>
      <c r="BT75" s="36" t="s">
        <v>34</v>
      </c>
      <c r="BU75" s="4"/>
    </row>
    <row r="76">
      <c r="A76" s="1"/>
      <c r="B76" s="36" t="s">
        <v>372</v>
      </c>
      <c r="C76" s="54">
        <v>30.0</v>
      </c>
      <c r="D76" s="39">
        <v>27.0</v>
      </c>
      <c r="E76" s="35" t="s">
        <v>28</v>
      </c>
      <c r="F76" s="36" t="s">
        <v>32</v>
      </c>
      <c r="G76" s="1"/>
      <c r="I76" s="54"/>
      <c r="J76" s="39"/>
      <c r="K76" s="35"/>
      <c r="M76" s="1"/>
      <c r="O76" s="54"/>
      <c r="P76" s="39"/>
      <c r="Q76" s="35"/>
      <c r="S76" s="1"/>
      <c r="U76" s="54"/>
      <c r="V76" s="39"/>
      <c r="W76" s="35"/>
      <c r="Y76" s="1"/>
      <c r="AA76" s="54"/>
      <c r="AB76" s="39"/>
      <c r="AC76" s="35"/>
      <c r="AE76" s="1"/>
      <c r="AF76" s="36" t="s">
        <v>100</v>
      </c>
      <c r="AG76" s="54">
        <v>20.0</v>
      </c>
      <c r="AH76" s="39">
        <v>27.0</v>
      </c>
      <c r="AI76" s="35" t="s">
        <v>32</v>
      </c>
      <c r="AJ76" s="36" t="s">
        <v>32</v>
      </c>
      <c r="AK76" s="1"/>
      <c r="AL76" s="36" t="s">
        <v>386</v>
      </c>
      <c r="AM76" s="54">
        <v>24.0</v>
      </c>
      <c r="AN76" s="39">
        <v>17.0</v>
      </c>
      <c r="AO76" s="35" t="s">
        <v>28</v>
      </c>
      <c r="AP76" s="36" t="s">
        <v>32</v>
      </c>
      <c r="AQ76" s="1"/>
      <c r="AR76" s="36" t="s">
        <v>286</v>
      </c>
      <c r="AS76" s="54">
        <v>50.0</v>
      </c>
      <c r="AT76" s="39">
        <v>27.0</v>
      </c>
      <c r="AU76" s="35" t="s">
        <v>32</v>
      </c>
      <c r="AV76" s="36" t="s">
        <v>32</v>
      </c>
      <c r="AW76" s="1"/>
      <c r="AY76" s="54"/>
      <c r="AZ76" s="39"/>
      <c r="BA76" s="35"/>
      <c r="BC76" s="1"/>
      <c r="BE76" s="54"/>
      <c r="BF76" s="39"/>
      <c r="BG76" s="35"/>
      <c r="BI76" s="1"/>
      <c r="BK76" s="59"/>
      <c r="BL76" s="39"/>
      <c r="BM76" s="35"/>
      <c r="BO76" s="1"/>
      <c r="BP76" s="36" t="s">
        <v>387</v>
      </c>
      <c r="BQ76" s="54">
        <v>100.0</v>
      </c>
      <c r="BR76" s="39">
        <v>29.0</v>
      </c>
      <c r="BS76" s="35" t="s">
        <v>28</v>
      </c>
      <c r="BT76" s="36" t="s">
        <v>34</v>
      </c>
      <c r="BU76" s="4"/>
    </row>
    <row r="77">
      <c r="A77" s="1"/>
      <c r="B77" s="36" t="s">
        <v>210</v>
      </c>
      <c r="C77" s="54">
        <v>60.0</v>
      </c>
      <c r="D77" s="39">
        <v>27.0</v>
      </c>
      <c r="E77" s="35" t="s">
        <v>28</v>
      </c>
      <c r="F77" s="36" t="s">
        <v>32</v>
      </c>
      <c r="G77" s="1"/>
      <c r="I77" s="54"/>
      <c r="J77" s="39"/>
      <c r="K77" s="35"/>
      <c r="M77" s="1"/>
      <c r="O77" s="54"/>
      <c r="P77" s="39"/>
      <c r="Q77" s="35"/>
      <c r="S77" s="1"/>
      <c r="U77" s="54"/>
      <c r="V77" s="39"/>
      <c r="W77" s="35"/>
      <c r="Y77" s="1"/>
      <c r="AA77" s="54"/>
      <c r="AB77" s="39"/>
      <c r="AC77" s="35"/>
      <c r="AE77" s="1"/>
      <c r="AF77" s="36" t="s">
        <v>130</v>
      </c>
      <c r="AG77" s="54">
        <v>100.0</v>
      </c>
      <c r="AH77" s="39">
        <v>30.0</v>
      </c>
      <c r="AI77" s="35" t="s">
        <v>32</v>
      </c>
      <c r="AJ77" s="36" t="s">
        <v>32</v>
      </c>
      <c r="AK77" s="1"/>
      <c r="AL77" s="36" t="s">
        <v>124</v>
      </c>
      <c r="AM77" s="54">
        <v>120.14</v>
      </c>
      <c r="AN77" s="39">
        <v>17.0</v>
      </c>
      <c r="AO77" s="35" t="s">
        <v>32</v>
      </c>
      <c r="AP77" s="36" t="s">
        <v>32</v>
      </c>
      <c r="AQ77" s="1"/>
      <c r="AR77" s="36" t="s">
        <v>130</v>
      </c>
      <c r="AS77" s="54">
        <v>100.0</v>
      </c>
      <c r="AT77" s="39">
        <v>28.0</v>
      </c>
      <c r="AU77" s="35" t="s">
        <v>32</v>
      </c>
      <c r="AV77" s="36" t="s">
        <v>32</v>
      </c>
      <c r="AW77" s="1"/>
      <c r="AY77" s="54"/>
      <c r="AZ77" s="39"/>
      <c r="BA77" s="35"/>
      <c r="BC77" s="1"/>
      <c r="BE77" s="54"/>
      <c r="BF77" s="39"/>
      <c r="BG77" s="35"/>
      <c r="BI77" s="1"/>
      <c r="BK77" s="59"/>
      <c r="BL77" s="39"/>
      <c r="BM77" s="35"/>
      <c r="BO77" s="1"/>
      <c r="BP77" s="36" t="s">
        <v>388</v>
      </c>
      <c r="BQ77" s="54">
        <v>140.0</v>
      </c>
      <c r="BR77" s="39">
        <v>30.0</v>
      </c>
      <c r="BS77" s="35" t="s">
        <v>28</v>
      </c>
      <c r="BT77" s="36" t="s">
        <v>34</v>
      </c>
      <c r="BU77" s="4"/>
    </row>
    <row r="78">
      <c r="A78" s="1"/>
      <c r="B78" s="36" t="s">
        <v>389</v>
      </c>
      <c r="C78" s="54">
        <v>320.0</v>
      </c>
      <c r="D78" s="39">
        <v>27.0</v>
      </c>
      <c r="E78" s="35" t="s">
        <v>28</v>
      </c>
      <c r="F78" s="36" t="s">
        <v>32</v>
      </c>
      <c r="G78" s="1"/>
      <c r="I78" s="54"/>
      <c r="J78" s="39"/>
      <c r="K78" s="35"/>
      <c r="M78" s="1"/>
      <c r="O78" s="54"/>
      <c r="P78" s="39"/>
      <c r="Q78" s="35"/>
      <c r="S78" s="1"/>
      <c r="U78" s="54"/>
      <c r="V78" s="39"/>
      <c r="W78" s="35"/>
      <c r="Y78" s="1"/>
      <c r="AA78" s="54"/>
      <c r="AB78" s="39"/>
      <c r="AC78" s="35"/>
      <c r="AE78" s="1"/>
      <c r="AF78" s="36" t="s">
        <v>390</v>
      </c>
      <c r="AG78" s="54">
        <v>238.8</v>
      </c>
      <c r="AH78" s="39">
        <v>30.0</v>
      </c>
      <c r="AI78" s="35" t="s">
        <v>32</v>
      </c>
      <c r="AJ78" s="36" t="s">
        <v>32</v>
      </c>
      <c r="AK78" s="1"/>
      <c r="AL78" s="36" t="s">
        <v>391</v>
      </c>
      <c r="AM78" s="54">
        <v>49.0</v>
      </c>
      <c r="AN78" s="39">
        <v>17.0</v>
      </c>
      <c r="AO78" s="35" t="s">
        <v>28</v>
      </c>
      <c r="AP78" s="36" t="s">
        <v>32</v>
      </c>
      <c r="AQ78" s="1"/>
      <c r="AR78" s="36" t="s">
        <v>392</v>
      </c>
      <c r="AS78" s="54">
        <v>5000.0</v>
      </c>
      <c r="AT78" s="39">
        <v>29.0</v>
      </c>
      <c r="AU78" s="35" t="s">
        <v>32</v>
      </c>
      <c r="AV78" s="36" t="s">
        <v>32</v>
      </c>
      <c r="AW78" s="1"/>
      <c r="AY78" s="54"/>
      <c r="AZ78" s="39"/>
      <c r="BA78" s="35"/>
      <c r="BC78" s="1"/>
      <c r="BE78" s="54"/>
      <c r="BF78" s="39"/>
      <c r="BG78" s="35"/>
      <c r="BI78" s="1"/>
      <c r="BK78" s="59"/>
      <c r="BL78" s="39"/>
      <c r="BM78" s="35"/>
      <c r="BO78" s="1"/>
      <c r="BP78" s="36" t="s">
        <v>393</v>
      </c>
      <c r="BQ78" s="54">
        <v>150.0</v>
      </c>
      <c r="BR78" s="39">
        <v>31.0</v>
      </c>
      <c r="BS78" s="35" t="s">
        <v>28</v>
      </c>
      <c r="BT78" s="36" t="s">
        <v>34</v>
      </c>
      <c r="BU78" s="4"/>
    </row>
    <row r="79">
      <c r="A79" s="1"/>
      <c r="B79" s="36" t="s">
        <v>100</v>
      </c>
      <c r="C79" s="54">
        <v>100.0</v>
      </c>
      <c r="D79" s="39">
        <v>27.0</v>
      </c>
      <c r="E79" s="35" t="s">
        <v>32</v>
      </c>
      <c r="F79" s="36" t="s">
        <v>32</v>
      </c>
      <c r="G79" s="1"/>
      <c r="I79" s="54"/>
      <c r="J79" s="39"/>
      <c r="K79" s="35"/>
      <c r="M79" s="1"/>
      <c r="O79" s="54"/>
      <c r="P79" s="39"/>
      <c r="Q79" s="35"/>
      <c r="S79" s="1"/>
      <c r="U79" s="54"/>
      <c r="V79" s="39"/>
      <c r="W79" s="35"/>
      <c r="Y79" s="1"/>
      <c r="AA79" s="54"/>
      <c r="AB79" s="39"/>
      <c r="AC79" s="35"/>
      <c r="AE79" s="1"/>
      <c r="AF79" s="36" t="s">
        <v>204</v>
      </c>
      <c r="AG79" s="54">
        <v>257.3</v>
      </c>
      <c r="AH79" s="39">
        <v>30.0</v>
      </c>
      <c r="AI79" s="35" t="s">
        <v>32</v>
      </c>
      <c r="AJ79" s="36" t="s">
        <v>32</v>
      </c>
      <c r="AK79" s="1"/>
      <c r="AL79" s="36" t="s">
        <v>394</v>
      </c>
      <c r="AM79" s="54">
        <v>29.9</v>
      </c>
      <c r="AN79" s="39">
        <v>17.0</v>
      </c>
      <c r="AO79" s="35" t="s">
        <v>28</v>
      </c>
      <c r="AP79" s="36" t="s">
        <v>32</v>
      </c>
      <c r="AQ79" s="1"/>
      <c r="AR79" s="36" t="s">
        <v>109</v>
      </c>
      <c r="AS79" s="54">
        <v>198.0</v>
      </c>
      <c r="AT79" s="39">
        <v>30.0</v>
      </c>
      <c r="AU79" s="35" t="s">
        <v>28</v>
      </c>
      <c r="AV79" s="36" t="s">
        <v>34</v>
      </c>
      <c r="AW79" s="1"/>
      <c r="AY79" s="54"/>
      <c r="AZ79" s="39"/>
      <c r="BA79" s="35"/>
      <c r="BC79" s="1"/>
      <c r="BE79" s="54"/>
      <c r="BF79" s="39"/>
      <c r="BG79" s="35"/>
      <c r="BI79" s="1"/>
      <c r="BK79" s="59"/>
      <c r="BL79" s="39"/>
      <c r="BM79" s="35"/>
      <c r="BO79" s="1"/>
      <c r="BP79" s="36" t="s">
        <v>395</v>
      </c>
      <c r="BQ79" s="54">
        <v>45.0</v>
      </c>
      <c r="BR79" s="39">
        <v>31.0</v>
      </c>
      <c r="BS79" s="35" t="s">
        <v>28</v>
      </c>
      <c r="BT79" s="36" t="s">
        <v>34</v>
      </c>
      <c r="BU79" s="4"/>
    </row>
    <row r="80">
      <c r="A80" s="1"/>
      <c r="B80" s="36" t="s">
        <v>396</v>
      </c>
      <c r="C80" s="54">
        <v>30.0</v>
      </c>
      <c r="D80" s="39">
        <v>27.0</v>
      </c>
      <c r="E80" s="35" t="s">
        <v>28</v>
      </c>
      <c r="F80" s="36" t="s">
        <v>32</v>
      </c>
      <c r="G80" s="1"/>
      <c r="I80" s="54"/>
      <c r="J80" s="39"/>
      <c r="K80" s="35"/>
      <c r="M80" s="1"/>
      <c r="S80" s="1"/>
      <c r="U80" s="54"/>
      <c r="V80" s="39"/>
      <c r="W80" s="35"/>
      <c r="Y80" s="1"/>
      <c r="AA80" s="54"/>
      <c r="AB80" s="39"/>
      <c r="AC80" s="35"/>
      <c r="AE80" s="1"/>
      <c r="AF80" s="36" t="s">
        <v>235</v>
      </c>
      <c r="AG80" s="54">
        <v>60.0</v>
      </c>
      <c r="AH80" s="39">
        <v>30.0</v>
      </c>
      <c r="AI80" s="35" t="s">
        <v>28</v>
      </c>
      <c r="AJ80" s="36" t="s">
        <v>32</v>
      </c>
      <c r="AK80" s="1"/>
      <c r="AL80" s="36" t="s">
        <v>397</v>
      </c>
      <c r="AM80" s="54">
        <v>25.0</v>
      </c>
      <c r="AN80" s="39">
        <v>18.0</v>
      </c>
      <c r="AO80" s="35" t="s">
        <v>32</v>
      </c>
      <c r="AP80" s="36" t="s">
        <v>32</v>
      </c>
      <c r="AQ80" s="1"/>
      <c r="AR80" s="36" t="s">
        <v>398</v>
      </c>
      <c r="AS80" s="54">
        <v>66.0</v>
      </c>
      <c r="AT80" s="39">
        <v>30.0</v>
      </c>
      <c r="AU80" s="35" t="s">
        <v>28</v>
      </c>
      <c r="AV80" s="36" t="s">
        <v>34</v>
      </c>
      <c r="AW80" s="1"/>
      <c r="AY80" s="54"/>
      <c r="AZ80" s="39"/>
      <c r="BA80" s="35"/>
      <c r="BC80" s="1"/>
      <c r="BE80" s="54"/>
      <c r="BF80" s="39"/>
      <c r="BG80" s="35"/>
      <c r="BI80" s="1"/>
      <c r="BK80" s="59"/>
      <c r="BL80" s="39"/>
      <c r="BM80" s="35"/>
      <c r="BO80" s="1"/>
      <c r="BQ80" s="54"/>
      <c r="BR80" s="39"/>
      <c r="BS80" s="35"/>
      <c r="BU80" s="4"/>
    </row>
    <row r="81">
      <c r="A81" s="1"/>
      <c r="B81" s="36" t="s">
        <v>311</v>
      </c>
      <c r="C81" s="54">
        <v>50.0</v>
      </c>
      <c r="D81" s="39">
        <v>27.0</v>
      </c>
      <c r="E81" s="35" t="s">
        <v>32</v>
      </c>
      <c r="F81" s="36" t="s">
        <v>32</v>
      </c>
      <c r="G81" s="1"/>
      <c r="I81" s="54"/>
      <c r="J81" s="39"/>
      <c r="K81" s="35"/>
      <c r="M81" s="1"/>
      <c r="S81" s="1"/>
      <c r="U81" s="54"/>
      <c r="V81" s="39"/>
      <c r="W81" s="35"/>
      <c r="Y81" s="1"/>
      <c r="AA81" s="54"/>
      <c r="AB81" s="39"/>
      <c r="AC81" s="35"/>
      <c r="AE81" s="1"/>
      <c r="AF81" s="36" t="s">
        <v>399</v>
      </c>
      <c r="AG81" s="54">
        <v>10.0</v>
      </c>
      <c r="AH81" s="39">
        <v>29.0</v>
      </c>
      <c r="AI81" s="35" t="s">
        <v>28</v>
      </c>
      <c r="AJ81" s="36" t="s">
        <v>32</v>
      </c>
      <c r="AK81" s="1"/>
      <c r="AL81" s="36" t="s">
        <v>400</v>
      </c>
      <c r="AM81" s="54">
        <v>590.0</v>
      </c>
      <c r="AN81" s="39">
        <v>19.0</v>
      </c>
      <c r="AO81" s="35" t="s">
        <v>28</v>
      </c>
      <c r="AP81" s="36" t="s">
        <v>34</v>
      </c>
      <c r="AQ81" s="1"/>
      <c r="AR81" s="36" t="s">
        <v>124</v>
      </c>
      <c r="AS81" s="54">
        <v>26.0</v>
      </c>
      <c r="AT81" s="39">
        <v>31.0</v>
      </c>
      <c r="AU81" s="35" t="s">
        <v>32</v>
      </c>
      <c r="AV81" s="36" t="s">
        <v>32</v>
      </c>
      <c r="AW81" s="1"/>
      <c r="AY81" s="54"/>
      <c r="AZ81" s="39"/>
      <c r="BA81" s="35"/>
      <c r="BC81" s="1"/>
      <c r="BE81" s="54"/>
      <c r="BF81" s="39"/>
      <c r="BG81" s="35"/>
      <c r="BI81" s="1"/>
      <c r="BK81" s="59"/>
      <c r="BL81" s="39"/>
      <c r="BM81" s="35"/>
      <c r="BO81" s="1"/>
      <c r="BQ81" s="54"/>
      <c r="BR81" s="39"/>
      <c r="BS81" s="35"/>
      <c r="BU81" s="4"/>
    </row>
    <row r="82">
      <c r="A82" s="1"/>
      <c r="B82" s="36" t="s">
        <v>401</v>
      </c>
      <c r="C82" s="54">
        <v>200.0</v>
      </c>
      <c r="D82" s="39">
        <v>27.0</v>
      </c>
      <c r="E82" s="35" t="s">
        <v>28</v>
      </c>
      <c r="F82" s="36" t="s">
        <v>32</v>
      </c>
      <c r="G82" s="1"/>
      <c r="I82" s="54"/>
      <c r="J82" s="39"/>
      <c r="K82" s="35"/>
      <c r="M82" s="1"/>
      <c r="S82" s="1"/>
      <c r="U82" s="54"/>
      <c r="V82" s="39"/>
      <c r="W82" s="35"/>
      <c r="Y82" s="1"/>
      <c r="AA82" s="54"/>
      <c r="AB82" s="39"/>
      <c r="AC82" s="35"/>
      <c r="AE82" s="1"/>
      <c r="AF82" s="36" t="s">
        <v>133</v>
      </c>
      <c r="AG82" s="54">
        <v>6171.0</v>
      </c>
      <c r="AH82" s="39">
        <v>28.0</v>
      </c>
      <c r="AI82" s="35" t="s">
        <v>32</v>
      </c>
      <c r="AJ82" s="36" t="s">
        <v>32</v>
      </c>
      <c r="AK82" s="1"/>
      <c r="AL82" s="36" t="s">
        <v>100</v>
      </c>
      <c r="AM82" s="54">
        <v>100.0</v>
      </c>
      <c r="AN82" s="39">
        <v>20.0</v>
      </c>
      <c r="AO82" s="35" t="s">
        <v>32</v>
      </c>
      <c r="AP82" s="36" t="s">
        <v>32</v>
      </c>
      <c r="AQ82" s="1"/>
      <c r="AR82" s="36" t="s">
        <v>381</v>
      </c>
      <c r="AS82" s="54">
        <v>51.0</v>
      </c>
      <c r="AT82" s="39">
        <v>31.0</v>
      </c>
      <c r="AU82" s="35" t="s">
        <v>28</v>
      </c>
      <c r="AV82" s="36" t="s">
        <v>34</v>
      </c>
      <c r="AW82" s="1"/>
      <c r="AY82" s="54"/>
      <c r="AZ82" s="39"/>
      <c r="BA82" s="35"/>
      <c r="BC82" s="1"/>
      <c r="BE82" s="54"/>
      <c r="BF82" s="39"/>
      <c r="BG82" s="35"/>
      <c r="BI82" s="1"/>
      <c r="BK82" s="59"/>
      <c r="BL82" s="39"/>
      <c r="BM82" s="35"/>
      <c r="BO82" s="1"/>
      <c r="BQ82" s="54"/>
      <c r="BR82" s="39"/>
      <c r="BS82" s="35"/>
      <c r="BU82" s="4"/>
    </row>
    <row r="83">
      <c r="A83" s="1"/>
      <c r="B83" s="36" t="s">
        <v>402</v>
      </c>
      <c r="C83" s="54">
        <v>322.62</v>
      </c>
      <c r="D83" s="39">
        <v>27.0</v>
      </c>
      <c r="E83" s="35" t="s">
        <v>34</v>
      </c>
      <c r="F83" s="36" t="s">
        <v>32</v>
      </c>
      <c r="G83" s="1"/>
      <c r="I83" s="54"/>
      <c r="J83" s="39"/>
      <c r="K83" s="35"/>
      <c r="M83" s="1"/>
      <c r="S83" s="1"/>
      <c r="U83" s="54"/>
      <c r="V83" s="39"/>
      <c r="W83" s="35"/>
      <c r="Y83" s="1"/>
      <c r="AA83" s="54"/>
      <c r="AB83" s="39"/>
      <c r="AC83" s="35"/>
      <c r="AE83" s="1"/>
      <c r="AF83" s="36" t="s">
        <v>403</v>
      </c>
      <c r="AG83" s="54">
        <v>200.0</v>
      </c>
      <c r="AH83" s="39">
        <v>30.0</v>
      </c>
      <c r="AI83" s="35" t="s">
        <v>28</v>
      </c>
      <c r="AJ83" s="36" t="s">
        <v>32</v>
      </c>
      <c r="AK83" s="1"/>
      <c r="AL83" s="36" t="s">
        <v>110</v>
      </c>
      <c r="AM83" s="54">
        <v>35.0</v>
      </c>
      <c r="AN83" s="39">
        <v>21.0</v>
      </c>
      <c r="AO83" s="35" t="s">
        <v>28</v>
      </c>
      <c r="AP83" s="36" t="s">
        <v>32</v>
      </c>
      <c r="AQ83" s="1"/>
      <c r="AR83" s="36" t="s">
        <v>133</v>
      </c>
      <c r="AS83" s="54">
        <v>1500.0</v>
      </c>
      <c r="AT83" s="39">
        <v>31.0</v>
      </c>
      <c r="AU83" s="35" t="s">
        <v>32</v>
      </c>
      <c r="AV83" s="36" t="s">
        <v>32</v>
      </c>
      <c r="AW83" s="1"/>
      <c r="AY83" s="54"/>
      <c r="AZ83" s="39"/>
      <c r="BA83" s="35"/>
      <c r="BC83" s="1"/>
      <c r="BE83" s="54"/>
      <c r="BF83" s="39"/>
      <c r="BG83" s="35"/>
      <c r="BI83" s="1"/>
      <c r="BK83" s="59"/>
      <c r="BL83" s="39"/>
      <c r="BM83" s="35"/>
      <c r="BO83" s="1"/>
      <c r="BQ83" s="54"/>
      <c r="BR83" s="39"/>
      <c r="BS83" s="35"/>
      <c r="BU83" s="4"/>
    </row>
    <row r="84">
      <c r="A84" s="1"/>
      <c r="B84" s="36" t="s">
        <v>130</v>
      </c>
      <c r="C84" s="54">
        <v>100.0</v>
      </c>
      <c r="D84" s="39">
        <v>28.0</v>
      </c>
      <c r="E84" s="35" t="s">
        <v>32</v>
      </c>
      <c r="F84" s="36" t="s">
        <v>32</v>
      </c>
      <c r="G84" s="1"/>
      <c r="I84" s="54"/>
      <c r="J84" s="39"/>
      <c r="K84" s="35"/>
      <c r="M84" s="1"/>
      <c r="S84" s="1"/>
      <c r="U84" s="54"/>
      <c r="V84" s="39"/>
      <c r="W84" s="35"/>
      <c r="Y84" s="1"/>
      <c r="AA84" s="54"/>
      <c r="AB84" s="39"/>
      <c r="AC84" s="35"/>
      <c r="AE84" s="1"/>
      <c r="AF84" s="36" t="s">
        <v>404</v>
      </c>
      <c r="AG84" s="54">
        <v>199.4</v>
      </c>
      <c r="AH84" s="39">
        <v>31.0</v>
      </c>
      <c r="AI84" s="35" t="s">
        <v>32</v>
      </c>
      <c r="AJ84" s="36" t="s">
        <v>32</v>
      </c>
      <c r="AK84" s="1"/>
      <c r="AL84" s="36" t="s">
        <v>100</v>
      </c>
      <c r="AM84" s="54">
        <v>25.0</v>
      </c>
      <c r="AN84" s="39">
        <v>23.0</v>
      </c>
      <c r="AO84" s="35" t="s">
        <v>32</v>
      </c>
      <c r="AP84" s="36" t="s">
        <v>32</v>
      </c>
      <c r="AQ84" s="1"/>
      <c r="AS84" s="54"/>
      <c r="AT84" s="39"/>
      <c r="AU84" s="35"/>
      <c r="AW84" s="66"/>
      <c r="AY84" s="54"/>
      <c r="AZ84" s="39"/>
      <c r="BA84" s="35"/>
      <c r="BC84" s="1"/>
      <c r="BE84" s="54"/>
      <c r="BF84" s="39"/>
      <c r="BG84" s="35"/>
      <c r="BI84" s="1"/>
      <c r="BK84" s="59"/>
      <c r="BL84" s="39"/>
      <c r="BM84" s="35"/>
      <c r="BO84" s="1"/>
      <c r="BQ84" s="54"/>
      <c r="BR84" s="39"/>
      <c r="BS84" s="35"/>
      <c r="BU84" s="4"/>
    </row>
    <row r="85">
      <c r="A85" s="1"/>
      <c r="B85" s="36" t="s">
        <v>90</v>
      </c>
      <c r="C85" s="54">
        <v>5.0</v>
      </c>
      <c r="D85" s="39">
        <v>29.0</v>
      </c>
      <c r="E85" s="35" t="s">
        <v>28</v>
      </c>
      <c r="F85" s="36" t="s">
        <v>32</v>
      </c>
      <c r="G85" s="1"/>
      <c r="I85" s="54"/>
      <c r="J85" s="39"/>
      <c r="K85" s="35"/>
      <c r="M85" s="1"/>
      <c r="S85" s="1"/>
      <c r="U85" s="54"/>
      <c r="V85" s="39"/>
      <c r="W85" s="35"/>
      <c r="Y85" s="1"/>
      <c r="AA85" s="54"/>
      <c r="AB85" s="39"/>
      <c r="AC85" s="35"/>
      <c r="AE85" s="1"/>
      <c r="AG85" s="54"/>
      <c r="AH85" s="39"/>
      <c r="AI85" s="35"/>
      <c r="AK85" s="1"/>
      <c r="AL85" s="36" t="s">
        <v>405</v>
      </c>
      <c r="AM85" s="54">
        <v>40.0</v>
      </c>
      <c r="AN85" s="39">
        <v>23.0</v>
      </c>
      <c r="AO85" s="35" t="s">
        <v>28</v>
      </c>
      <c r="AP85" s="36" t="s">
        <v>34</v>
      </c>
      <c r="AQ85" s="1"/>
      <c r="AS85" s="54"/>
      <c r="AT85" s="39"/>
      <c r="AU85" s="35"/>
      <c r="AW85" s="1"/>
      <c r="AY85" s="54"/>
      <c r="AZ85" s="39"/>
      <c r="BA85" s="35"/>
      <c r="BC85" s="1"/>
      <c r="BE85" s="54"/>
      <c r="BF85" s="39"/>
      <c r="BG85" s="35"/>
      <c r="BI85" s="1"/>
      <c r="BK85" s="59"/>
      <c r="BL85" s="39"/>
      <c r="BM85" s="35"/>
      <c r="BO85" s="1"/>
      <c r="BQ85" s="54"/>
      <c r="BR85" s="39"/>
      <c r="BS85" s="35"/>
      <c r="BU85" s="4"/>
    </row>
    <row r="86">
      <c r="A86" s="1"/>
      <c r="B86" s="36" t="s">
        <v>406</v>
      </c>
      <c r="C86" s="54">
        <v>250.0</v>
      </c>
      <c r="D86" s="39">
        <v>29.0</v>
      </c>
      <c r="E86" s="35" t="s">
        <v>28</v>
      </c>
      <c r="F86" s="36" t="s">
        <v>32</v>
      </c>
      <c r="G86" s="1"/>
      <c r="I86" s="54"/>
      <c r="J86" s="39"/>
      <c r="K86" s="35"/>
      <c r="M86" s="1"/>
      <c r="S86" s="1"/>
      <c r="U86" s="54"/>
      <c r="V86" s="39"/>
      <c r="W86" s="35"/>
      <c r="Y86" s="1"/>
      <c r="AA86" s="54"/>
      <c r="AB86" s="39"/>
      <c r="AC86" s="35"/>
      <c r="AE86" s="1"/>
      <c r="AG86" s="54"/>
      <c r="AH86" s="39"/>
      <c r="AI86" s="35"/>
      <c r="AK86" s="1"/>
      <c r="AL86" s="36" t="s">
        <v>191</v>
      </c>
      <c r="AM86" s="54">
        <v>20.0</v>
      </c>
      <c r="AN86" s="39">
        <v>24.0</v>
      </c>
      <c r="AO86" s="35" t="s">
        <v>28</v>
      </c>
      <c r="AP86" s="36" t="s">
        <v>32</v>
      </c>
      <c r="AQ86" s="1"/>
      <c r="AS86" s="54"/>
      <c r="AT86" s="39"/>
      <c r="AU86" s="35"/>
      <c r="AW86" s="1"/>
      <c r="AY86" s="54"/>
      <c r="AZ86" s="39"/>
      <c r="BA86" s="35"/>
      <c r="BC86" s="1"/>
      <c r="BE86" s="54"/>
      <c r="BF86" s="39"/>
      <c r="BG86" s="35"/>
      <c r="BI86" s="1"/>
      <c r="BK86" s="59"/>
      <c r="BL86" s="39"/>
      <c r="BM86" s="35"/>
      <c r="BO86" s="1"/>
      <c r="BQ86" s="54"/>
      <c r="BR86" s="39"/>
      <c r="BS86" s="35"/>
      <c r="BU86" s="4"/>
    </row>
    <row r="87">
      <c r="A87" s="1"/>
      <c r="B87" s="36" t="s">
        <v>133</v>
      </c>
      <c r="C87" s="54">
        <v>5225.0</v>
      </c>
      <c r="D87" s="39">
        <v>30.0</v>
      </c>
      <c r="E87" s="35" t="s">
        <v>32</v>
      </c>
      <c r="F87" s="36" t="s">
        <v>32</v>
      </c>
      <c r="G87" s="1"/>
      <c r="I87" s="54"/>
      <c r="J87" s="39"/>
      <c r="K87" s="35"/>
      <c r="M87" s="1"/>
      <c r="S87" s="1"/>
      <c r="U87" s="54"/>
      <c r="V87" s="39"/>
      <c r="W87" s="35"/>
      <c r="Y87" s="1"/>
      <c r="AA87" s="54"/>
      <c r="AB87" s="39"/>
      <c r="AC87" s="35"/>
      <c r="AE87" s="1"/>
      <c r="AG87" s="54"/>
      <c r="AH87" s="39"/>
      <c r="AI87" s="35"/>
      <c r="AK87" s="1"/>
      <c r="AL87" s="36" t="s">
        <v>313</v>
      </c>
      <c r="AM87" s="54">
        <v>2.0</v>
      </c>
      <c r="AN87" s="39">
        <v>24.0</v>
      </c>
      <c r="AO87" s="35" t="s">
        <v>32</v>
      </c>
      <c r="AP87" s="36" t="s">
        <v>32</v>
      </c>
      <c r="AQ87" s="1"/>
      <c r="AS87" s="54"/>
      <c r="AT87" s="39"/>
      <c r="AU87" s="35"/>
      <c r="AW87" s="1"/>
      <c r="AY87" s="54"/>
      <c r="AZ87" s="39"/>
      <c r="BA87" s="35"/>
      <c r="BC87" s="1"/>
      <c r="BE87" s="54"/>
      <c r="BF87" s="39"/>
      <c r="BG87" s="35"/>
      <c r="BI87" s="1"/>
      <c r="BK87" s="59"/>
      <c r="BL87" s="39"/>
      <c r="BM87" s="35"/>
      <c r="BO87" s="1"/>
      <c r="BQ87" s="54"/>
      <c r="BR87" s="39"/>
      <c r="BS87" s="35"/>
      <c r="BU87" s="4"/>
    </row>
    <row r="88">
      <c r="A88" s="1"/>
      <c r="C88" s="54"/>
      <c r="D88" s="39"/>
      <c r="E88" s="35"/>
      <c r="G88" s="1"/>
      <c r="I88" s="54"/>
      <c r="J88" s="39"/>
      <c r="K88" s="35"/>
      <c r="M88" s="1"/>
      <c r="S88" s="1"/>
      <c r="U88" s="54"/>
      <c r="V88" s="39"/>
      <c r="W88" s="35"/>
      <c r="Y88" s="1"/>
      <c r="AA88" s="54"/>
      <c r="AB88" s="39"/>
      <c r="AC88" s="35"/>
      <c r="AE88" s="1"/>
      <c r="AG88" s="54"/>
      <c r="AH88" s="39"/>
      <c r="AI88" s="35"/>
      <c r="AK88" s="1"/>
      <c r="AL88" s="36" t="s">
        <v>100</v>
      </c>
      <c r="AM88" s="54">
        <v>20.0</v>
      </c>
      <c r="AN88" s="39">
        <v>24.0</v>
      </c>
      <c r="AO88" s="35" t="s">
        <v>32</v>
      </c>
      <c r="AP88" s="36" t="s">
        <v>32</v>
      </c>
      <c r="AQ88" s="1"/>
      <c r="AS88" s="54"/>
      <c r="AT88" s="39"/>
      <c r="AU88" s="35"/>
      <c r="AW88" s="1"/>
      <c r="AY88" s="54"/>
      <c r="AZ88" s="39"/>
      <c r="BA88" s="35"/>
      <c r="BC88" s="1"/>
      <c r="BE88" s="54"/>
      <c r="BF88" s="39"/>
      <c r="BG88" s="35"/>
      <c r="BI88" s="1"/>
      <c r="BK88" s="59"/>
      <c r="BL88" s="39"/>
      <c r="BM88" s="35"/>
      <c r="BO88" s="1"/>
      <c r="BQ88" s="54"/>
      <c r="BR88" s="39"/>
      <c r="BS88" s="35"/>
      <c r="BU88" s="4"/>
    </row>
    <row r="89">
      <c r="A89" s="1"/>
      <c r="G89" s="1"/>
      <c r="I89" s="54"/>
      <c r="J89" s="39"/>
      <c r="K89" s="35"/>
      <c r="M89" s="1"/>
      <c r="S89" s="1"/>
      <c r="U89" s="54"/>
      <c r="V89" s="39"/>
      <c r="W89" s="35"/>
      <c r="Y89" s="1"/>
      <c r="AA89" s="54"/>
      <c r="AB89" s="39"/>
      <c r="AC89" s="35"/>
      <c r="AE89" s="1"/>
      <c r="AG89" s="54"/>
      <c r="AH89" s="39"/>
      <c r="AI89" s="35"/>
      <c r="AK89" s="1"/>
      <c r="AL89" s="36" t="s">
        <v>207</v>
      </c>
      <c r="AM89" s="54">
        <v>170.0</v>
      </c>
      <c r="AN89" s="39">
        <v>26.0</v>
      </c>
      <c r="AO89" s="35" t="s">
        <v>28</v>
      </c>
      <c r="AP89" s="36" t="s">
        <v>34</v>
      </c>
      <c r="AQ89" s="1"/>
      <c r="AS89" s="54"/>
      <c r="AT89" s="39"/>
      <c r="AU89" s="35"/>
      <c r="AW89" s="1"/>
      <c r="AY89" s="54"/>
      <c r="AZ89" s="39"/>
      <c r="BA89" s="35"/>
      <c r="BC89" s="1"/>
      <c r="BE89" s="54"/>
      <c r="BF89" s="39"/>
      <c r="BG89" s="35"/>
      <c r="BI89" s="1"/>
      <c r="BK89" s="59"/>
      <c r="BL89" s="39"/>
      <c r="BM89" s="35"/>
      <c r="BO89" s="1"/>
      <c r="BQ89" s="54"/>
      <c r="BR89" s="39"/>
      <c r="BS89" s="35"/>
      <c r="BU89" s="4"/>
    </row>
    <row r="90">
      <c r="A90" s="1"/>
      <c r="G90" s="1"/>
      <c r="I90" s="54"/>
      <c r="J90" s="39"/>
      <c r="K90" s="35"/>
      <c r="M90" s="1"/>
      <c r="S90" s="1"/>
      <c r="U90" s="54"/>
      <c r="V90" s="39"/>
      <c r="W90" s="35"/>
      <c r="Y90" s="1"/>
      <c r="AE90" s="1"/>
      <c r="AG90" s="54"/>
      <c r="AH90" s="39"/>
      <c r="AI90" s="35"/>
      <c r="AK90" s="1"/>
      <c r="AL90" s="36" t="s">
        <v>407</v>
      </c>
      <c r="AM90" s="54">
        <v>48.0</v>
      </c>
      <c r="AN90" s="39">
        <v>26.0</v>
      </c>
      <c r="AO90" s="35" t="s">
        <v>28</v>
      </c>
      <c r="AP90" s="36" t="s">
        <v>34</v>
      </c>
      <c r="AQ90" s="1"/>
      <c r="AS90" s="54"/>
      <c r="AT90" s="39"/>
      <c r="AU90" s="35"/>
      <c r="AW90" s="1"/>
      <c r="AY90" s="54"/>
      <c r="AZ90" s="39"/>
      <c r="BA90" s="35"/>
      <c r="BC90" s="1"/>
      <c r="BE90" s="54"/>
      <c r="BF90" s="39"/>
      <c r="BG90" s="35"/>
      <c r="BI90" s="1"/>
      <c r="BK90" s="59"/>
      <c r="BL90" s="39"/>
      <c r="BM90" s="35"/>
      <c r="BO90" s="1"/>
      <c r="BQ90" s="54"/>
      <c r="BR90" s="39"/>
      <c r="BS90" s="35"/>
      <c r="BU90" s="4"/>
    </row>
    <row r="91">
      <c r="A91" s="1"/>
      <c r="G91" s="1"/>
      <c r="I91" s="54"/>
      <c r="J91" s="39"/>
      <c r="K91" s="35"/>
      <c r="M91" s="1"/>
      <c r="S91" s="1"/>
      <c r="U91" s="54"/>
      <c r="V91" s="39"/>
      <c r="W91" s="35"/>
      <c r="Y91" s="1"/>
      <c r="AE91" s="1"/>
      <c r="AG91" s="54"/>
      <c r="AH91" s="39"/>
      <c r="AI91" s="35"/>
      <c r="AK91" s="1"/>
      <c r="AL91" s="36" t="s">
        <v>408</v>
      </c>
      <c r="AM91" s="54">
        <v>100.0</v>
      </c>
      <c r="AN91" s="39">
        <v>26.0</v>
      </c>
      <c r="AO91" s="35" t="s">
        <v>28</v>
      </c>
      <c r="AP91" s="36" t="s">
        <v>34</v>
      </c>
      <c r="AQ91" s="1"/>
      <c r="AS91" s="54"/>
      <c r="AT91" s="39"/>
      <c r="AU91" s="35"/>
      <c r="AW91" s="1"/>
      <c r="AX91" s="36"/>
      <c r="AY91" s="54"/>
      <c r="AZ91" s="39"/>
      <c r="BA91" s="35"/>
      <c r="BB91" s="36"/>
      <c r="BC91" s="1"/>
      <c r="BE91" s="54"/>
      <c r="BF91" s="39"/>
      <c r="BG91" s="35"/>
      <c r="BI91" s="1"/>
      <c r="BJ91" s="36"/>
      <c r="BK91" s="59"/>
      <c r="BL91" s="39"/>
      <c r="BM91" s="35"/>
      <c r="BN91" s="36"/>
      <c r="BO91" s="1"/>
      <c r="BQ91" s="54"/>
      <c r="BR91" s="39"/>
      <c r="BS91" s="35"/>
      <c r="BU91" s="4"/>
    </row>
    <row r="92">
      <c r="A92" s="1"/>
      <c r="G92" s="1"/>
      <c r="I92" s="54"/>
      <c r="J92" s="39"/>
      <c r="K92" s="35"/>
      <c r="M92" s="1"/>
      <c r="S92" s="1"/>
      <c r="U92" s="54"/>
      <c r="V92" s="39"/>
      <c r="W92" s="35"/>
      <c r="Y92" s="1"/>
      <c r="AE92" s="1"/>
      <c r="AG92" s="54"/>
      <c r="AH92" s="39"/>
      <c r="AI92" s="35"/>
      <c r="AK92" s="1"/>
      <c r="AL92" s="36" t="s">
        <v>409</v>
      </c>
      <c r="AM92" s="54">
        <v>55.0</v>
      </c>
      <c r="AN92" s="39">
        <v>27.0</v>
      </c>
      <c r="AO92" s="35" t="s">
        <v>28</v>
      </c>
      <c r="AP92" s="36" t="s">
        <v>34</v>
      </c>
      <c r="AQ92" s="1"/>
      <c r="AS92" s="54"/>
      <c r="AT92" s="39"/>
      <c r="AU92" s="35"/>
      <c r="AW92" s="1"/>
      <c r="AX92" s="36"/>
      <c r="AY92" s="54"/>
      <c r="AZ92" s="39"/>
      <c r="BA92" s="35"/>
      <c r="BB92" s="36"/>
      <c r="BC92" s="1"/>
      <c r="BE92" s="54"/>
      <c r="BF92" s="39"/>
      <c r="BG92" s="35"/>
      <c r="BI92" s="1"/>
      <c r="BJ92" s="36"/>
      <c r="BK92" s="59"/>
      <c r="BL92" s="39"/>
      <c r="BM92" s="35"/>
      <c r="BN92" s="36"/>
      <c r="BO92" s="1"/>
      <c r="BQ92" s="54"/>
      <c r="BR92" s="39"/>
      <c r="BS92" s="35"/>
      <c r="BU92" s="4"/>
    </row>
    <row r="93">
      <c r="A93" s="1"/>
      <c r="G93" s="1"/>
      <c r="I93" s="54"/>
      <c r="J93" s="39"/>
      <c r="K93" s="35"/>
      <c r="M93" s="1"/>
      <c r="S93" s="1"/>
      <c r="U93" s="54"/>
      <c r="V93" s="39"/>
      <c r="W93" s="35"/>
      <c r="Y93" s="1"/>
      <c r="AE93" s="1"/>
      <c r="AG93" s="54"/>
      <c r="AH93" s="39"/>
      <c r="AI93" s="35"/>
      <c r="AK93" s="1"/>
      <c r="AL93" s="36" t="s">
        <v>410</v>
      </c>
      <c r="AM93" s="54">
        <v>80.0</v>
      </c>
      <c r="AN93" s="39">
        <v>27.0</v>
      </c>
      <c r="AO93" s="35" t="s">
        <v>28</v>
      </c>
      <c r="AP93" s="36" t="s">
        <v>34</v>
      </c>
      <c r="AQ93" s="1"/>
      <c r="AS93" s="54"/>
      <c r="AT93" s="39"/>
      <c r="AU93" s="35"/>
      <c r="AW93" s="1"/>
      <c r="AX93" s="36"/>
      <c r="AY93" s="54"/>
      <c r="AZ93" s="39"/>
      <c r="BA93" s="35"/>
      <c r="BB93" s="36"/>
      <c r="BC93" s="1"/>
      <c r="BE93" s="54"/>
      <c r="BF93" s="39"/>
      <c r="BG93" s="35"/>
      <c r="BI93" s="1"/>
      <c r="BJ93" s="36"/>
      <c r="BK93" s="59"/>
      <c r="BL93" s="39"/>
      <c r="BM93" s="35"/>
      <c r="BN93" s="36"/>
      <c r="BO93" s="1"/>
      <c r="BQ93" s="54"/>
      <c r="BR93" s="39"/>
      <c r="BS93" s="35"/>
      <c r="BU93" s="4"/>
    </row>
    <row r="94">
      <c r="A94" s="1"/>
      <c r="G94" s="1"/>
      <c r="I94" s="54"/>
      <c r="J94" s="39"/>
      <c r="K94" s="35"/>
      <c r="M94" s="1"/>
      <c r="S94" s="1"/>
      <c r="U94" s="54"/>
      <c r="V94" s="39"/>
      <c r="W94" s="35"/>
      <c r="Y94" s="1"/>
      <c r="AE94" s="1"/>
      <c r="AG94" s="54"/>
      <c r="AH94" s="39"/>
      <c r="AI94" s="35"/>
      <c r="AK94" s="1"/>
      <c r="AL94" s="36" t="s">
        <v>130</v>
      </c>
      <c r="AM94" s="54">
        <v>100.0</v>
      </c>
      <c r="AN94" s="39">
        <v>28.0</v>
      </c>
      <c r="AO94" s="35" t="s">
        <v>32</v>
      </c>
      <c r="AP94" s="36" t="s">
        <v>32</v>
      </c>
      <c r="AQ94" s="1"/>
      <c r="AS94" s="54"/>
      <c r="AT94" s="39"/>
      <c r="AU94" s="35"/>
      <c r="AW94" s="1"/>
      <c r="AX94" s="36"/>
      <c r="AY94" s="54"/>
      <c r="AZ94" s="39"/>
      <c r="BA94" s="35"/>
      <c r="BB94" s="36"/>
      <c r="BC94" s="1"/>
      <c r="BE94" s="54"/>
      <c r="BF94" s="39"/>
      <c r="BG94" s="35"/>
      <c r="BI94" s="1"/>
      <c r="BJ94" s="36"/>
      <c r="BK94" s="59"/>
      <c r="BL94" s="39"/>
      <c r="BM94" s="35"/>
      <c r="BN94" s="36"/>
      <c r="BO94" s="1"/>
      <c r="BQ94" s="54"/>
      <c r="BR94" s="39"/>
      <c r="BS94" s="35"/>
      <c r="BU94" s="4"/>
    </row>
    <row r="95">
      <c r="A95" s="1"/>
      <c r="G95" s="1"/>
      <c r="I95" s="54"/>
      <c r="J95" s="39"/>
      <c r="K95" s="35"/>
      <c r="M95" s="1"/>
      <c r="S95" s="1"/>
      <c r="U95" s="54"/>
      <c r="V95" s="39"/>
      <c r="W95" s="35"/>
      <c r="Y95" s="1"/>
      <c r="AE95" s="1"/>
      <c r="AG95" s="54"/>
      <c r="AH95" s="39"/>
      <c r="AI95" s="35"/>
      <c r="AK95" s="1"/>
      <c r="AL95" s="36" t="s">
        <v>204</v>
      </c>
      <c r="AM95" s="54">
        <v>257.3</v>
      </c>
      <c r="AN95" s="39">
        <v>28.0</v>
      </c>
      <c r="AO95" s="35" t="s">
        <v>32</v>
      </c>
      <c r="AP95" s="36" t="s">
        <v>32</v>
      </c>
      <c r="AQ95" s="1"/>
      <c r="AS95" s="54"/>
      <c r="AT95" s="39"/>
      <c r="AU95" s="35"/>
      <c r="AW95" s="1"/>
      <c r="AX95" s="36"/>
      <c r="AY95" s="54"/>
      <c r="AZ95" s="39"/>
      <c r="BA95" s="35"/>
      <c r="BB95" s="36"/>
      <c r="BC95" s="1"/>
      <c r="BE95" s="54"/>
      <c r="BF95" s="39"/>
      <c r="BG95" s="35"/>
      <c r="BI95" s="1"/>
      <c r="BJ95" s="36"/>
      <c r="BK95" s="59"/>
      <c r="BL95" s="39"/>
      <c r="BM95" s="35"/>
      <c r="BN95" s="36"/>
      <c r="BO95" s="1"/>
      <c r="BQ95" s="54"/>
      <c r="BR95" s="39"/>
      <c r="BS95" s="35"/>
      <c r="BU95" s="4"/>
    </row>
    <row r="96">
      <c r="A96" s="1"/>
      <c r="G96" s="1"/>
      <c r="I96" s="54"/>
      <c r="J96" s="39"/>
      <c r="K96" s="35"/>
      <c r="M96" s="1"/>
      <c r="S96" s="1"/>
      <c r="U96" s="54"/>
      <c r="V96" s="39"/>
      <c r="W96" s="35"/>
      <c r="Y96" s="1"/>
      <c r="AE96" s="1"/>
      <c r="AG96" s="54"/>
      <c r="AH96" s="39"/>
      <c r="AI96" s="35"/>
      <c r="AK96" s="1"/>
      <c r="AL96" s="36" t="s">
        <v>191</v>
      </c>
      <c r="AM96" s="54">
        <v>20.0</v>
      </c>
      <c r="AN96" s="39">
        <v>29.0</v>
      </c>
      <c r="AO96" s="35" t="s">
        <v>32</v>
      </c>
      <c r="AP96" s="36" t="s">
        <v>32</v>
      </c>
      <c r="AQ96" s="1"/>
      <c r="AS96" s="54"/>
      <c r="AT96" s="39"/>
      <c r="AU96" s="35"/>
      <c r="AW96" s="1"/>
      <c r="AX96" s="36"/>
      <c r="AY96" s="54"/>
      <c r="AZ96" s="39"/>
      <c r="BA96" s="35"/>
      <c r="BB96" s="36"/>
      <c r="BC96" s="1"/>
      <c r="BE96" s="54"/>
      <c r="BF96" s="39"/>
      <c r="BG96" s="35"/>
      <c r="BI96" s="1"/>
      <c r="BJ96" s="36"/>
      <c r="BK96" s="59"/>
      <c r="BL96" s="39"/>
      <c r="BM96" s="35"/>
      <c r="BN96" s="36"/>
      <c r="BO96" s="1"/>
      <c r="BQ96" s="54"/>
      <c r="BR96" s="39"/>
      <c r="BS96" s="35"/>
      <c r="BU96" s="4"/>
    </row>
    <row r="97">
      <c r="A97" s="1"/>
      <c r="G97" s="1"/>
      <c r="I97" s="54"/>
      <c r="J97" s="39"/>
      <c r="K97" s="35"/>
      <c r="M97" s="1"/>
      <c r="S97" s="1"/>
      <c r="U97" s="54"/>
      <c r="V97" s="39"/>
      <c r="W97" s="35"/>
      <c r="Y97" s="1"/>
      <c r="AE97" s="1"/>
      <c r="AG97" s="54"/>
      <c r="AH97" s="39"/>
      <c r="AI97" s="35"/>
      <c r="AK97" s="1"/>
      <c r="AL97" s="36" t="s">
        <v>124</v>
      </c>
      <c r="AM97" s="54">
        <v>115.0</v>
      </c>
      <c r="AN97" s="39">
        <v>31.0</v>
      </c>
      <c r="AO97" s="35" t="s">
        <v>411</v>
      </c>
      <c r="AP97" s="36" t="s">
        <v>32</v>
      </c>
      <c r="AQ97" s="1"/>
      <c r="AS97" s="54"/>
      <c r="AT97" s="39"/>
      <c r="AU97" s="35"/>
      <c r="AW97" s="1"/>
      <c r="AX97" s="36"/>
      <c r="AY97" s="54"/>
      <c r="AZ97" s="39"/>
      <c r="BA97" s="35"/>
      <c r="BB97" s="36"/>
      <c r="BC97" s="1"/>
      <c r="BE97" s="54"/>
      <c r="BF97" s="39"/>
      <c r="BG97" s="35"/>
      <c r="BI97" s="1"/>
      <c r="BJ97" s="36"/>
      <c r="BK97" s="59"/>
      <c r="BL97" s="39"/>
      <c r="BM97" s="35"/>
      <c r="BN97" s="36"/>
      <c r="BO97" s="1"/>
      <c r="BQ97" s="54"/>
      <c r="BR97" s="39"/>
      <c r="BS97" s="35"/>
      <c r="BU97" s="4"/>
    </row>
    <row r="98">
      <c r="A98" s="1"/>
      <c r="G98" s="1"/>
      <c r="I98" s="54"/>
      <c r="J98" s="39"/>
      <c r="K98" s="35"/>
      <c r="M98" s="1"/>
      <c r="S98" s="1"/>
      <c r="U98" s="54"/>
      <c r="V98" s="39"/>
      <c r="W98" s="35"/>
      <c r="Y98" s="1"/>
      <c r="AE98" s="1"/>
      <c r="AG98" s="54"/>
      <c r="AH98" s="39"/>
      <c r="AI98" s="35"/>
      <c r="AK98" s="1"/>
      <c r="AL98" s="36" t="s">
        <v>356</v>
      </c>
      <c r="AM98" s="54">
        <v>2808.0</v>
      </c>
      <c r="AN98" s="39">
        <v>31.0</v>
      </c>
      <c r="AO98" s="35" t="s">
        <v>32</v>
      </c>
      <c r="AP98" s="36" t="s">
        <v>32</v>
      </c>
      <c r="AQ98" s="1"/>
      <c r="AW98" s="1"/>
      <c r="AX98" s="36"/>
      <c r="AY98" s="54"/>
      <c r="AZ98" s="39"/>
      <c r="BA98" s="35"/>
      <c r="BB98" s="36"/>
      <c r="BC98" s="1"/>
      <c r="BE98" s="54"/>
      <c r="BF98" s="39"/>
      <c r="BG98" s="35"/>
      <c r="BI98" s="1"/>
      <c r="BJ98" s="36"/>
      <c r="BK98" s="59"/>
      <c r="BL98" s="39"/>
      <c r="BM98" s="35"/>
      <c r="BN98" s="36"/>
      <c r="BO98" s="1"/>
      <c r="BQ98" s="54"/>
      <c r="BR98" s="39"/>
      <c r="BS98" s="35"/>
      <c r="BU98" s="4"/>
    </row>
    <row r="99">
      <c r="A99" s="1"/>
      <c r="G99" s="1"/>
      <c r="I99" s="54"/>
      <c r="J99" s="39"/>
      <c r="K99" s="35"/>
      <c r="M99" s="1"/>
      <c r="S99" s="1"/>
      <c r="U99" s="54"/>
      <c r="V99" s="39"/>
      <c r="W99" s="35"/>
      <c r="Y99" s="1"/>
      <c r="AE99" s="1"/>
      <c r="AK99" s="1"/>
      <c r="AM99" s="54"/>
      <c r="AN99" s="39"/>
      <c r="AO99" s="35"/>
      <c r="AQ99" s="1"/>
      <c r="AW99" s="1"/>
      <c r="AX99" s="36"/>
      <c r="AY99" s="54"/>
      <c r="AZ99" s="39"/>
      <c r="BA99" s="35"/>
      <c r="BB99" s="36"/>
      <c r="BC99" s="1"/>
      <c r="BE99" s="54"/>
      <c r="BF99" s="39"/>
      <c r="BG99" s="35"/>
      <c r="BI99" s="1"/>
      <c r="BJ99" s="36"/>
      <c r="BK99" s="59"/>
      <c r="BL99" s="39"/>
      <c r="BM99" s="35"/>
      <c r="BN99" s="36"/>
      <c r="BO99" s="1"/>
      <c r="BQ99" s="54"/>
      <c r="BR99" s="39"/>
      <c r="BS99" s="35"/>
      <c r="BU99" s="4"/>
    </row>
    <row r="100">
      <c r="A100" s="1"/>
      <c r="G100" s="1"/>
      <c r="I100" s="54"/>
      <c r="M100" s="1"/>
      <c r="S100" s="1"/>
      <c r="Y100" s="1"/>
      <c r="AE100" s="1"/>
      <c r="AK100" s="1"/>
      <c r="AL100" s="36"/>
      <c r="AM100" s="54"/>
      <c r="AN100" s="39"/>
      <c r="AO100" s="35"/>
      <c r="AP100" s="36"/>
      <c r="AQ100" s="1"/>
      <c r="AW100" s="1"/>
      <c r="AX100" s="36"/>
      <c r="AY100" s="54"/>
      <c r="AZ100" s="39"/>
      <c r="BA100" s="35"/>
      <c r="BB100" s="36"/>
      <c r="BC100" s="1"/>
      <c r="BE100" s="54"/>
      <c r="BF100" s="39"/>
      <c r="BG100" s="35"/>
      <c r="BI100" s="1"/>
      <c r="BJ100" s="36"/>
      <c r="BK100" s="59"/>
      <c r="BL100" s="39"/>
      <c r="BM100" s="35"/>
      <c r="BN100" s="36"/>
      <c r="BO100" s="1"/>
      <c r="BP100" s="36"/>
      <c r="BQ100" s="54"/>
      <c r="BR100" s="39"/>
      <c r="BS100" s="35"/>
      <c r="BT100" s="36"/>
      <c r="BU100" s="4"/>
    </row>
    <row r="101">
      <c r="A101" s="1"/>
      <c r="G101" s="1"/>
      <c r="I101" s="54"/>
      <c r="M101" s="1"/>
      <c r="S101" s="1"/>
      <c r="Y101" s="1"/>
      <c r="AE101" s="1"/>
      <c r="AK101" s="1"/>
      <c r="AL101" s="36"/>
      <c r="AM101" s="54"/>
      <c r="AN101" s="39"/>
      <c r="AO101" s="35"/>
      <c r="AP101" s="36"/>
      <c r="AQ101" s="1"/>
      <c r="AW101" s="1"/>
      <c r="AX101" s="36"/>
      <c r="AY101" s="54"/>
      <c r="AZ101" s="39"/>
      <c r="BA101" s="35"/>
      <c r="BB101" s="36"/>
      <c r="BC101" s="1"/>
      <c r="BE101" s="54"/>
      <c r="BF101" s="39"/>
      <c r="BG101" s="35"/>
      <c r="BI101" s="1"/>
      <c r="BJ101" s="36"/>
      <c r="BK101" s="59"/>
      <c r="BL101" s="39"/>
      <c r="BM101" s="35"/>
      <c r="BN101" s="36"/>
      <c r="BO101" s="1"/>
      <c r="BP101" s="36"/>
      <c r="BQ101" s="54"/>
      <c r="BR101" s="39"/>
      <c r="BS101" s="35"/>
      <c r="BT101" s="36"/>
      <c r="BU101" s="4"/>
    </row>
    <row r="102">
      <c r="A102" s="1"/>
      <c r="G102" s="1"/>
      <c r="I102" s="54"/>
      <c r="M102" s="1"/>
      <c r="S102" s="1"/>
      <c r="Y102" s="1"/>
      <c r="AE102" s="1"/>
      <c r="AK102" s="1"/>
      <c r="AL102" s="36"/>
      <c r="AM102" s="54"/>
      <c r="AN102" s="39"/>
      <c r="AO102" s="35"/>
      <c r="AP102" s="36"/>
      <c r="AQ102" s="1"/>
      <c r="AW102" s="1"/>
      <c r="AX102" s="36"/>
      <c r="AY102" s="54"/>
      <c r="AZ102" s="39"/>
      <c r="BA102" s="35"/>
      <c r="BB102" s="36"/>
      <c r="BC102" s="1"/>
      <c r="BE102" s="54"/>
      <c r="BF102" s="39"/>
      <c r="BG102" s="35"/>
      <c r="BI102" s="1"/>
      <c r="BJ102" s="36"/>
      <c r="BK102" s="59"/>
      <c r="BL102" s="39"/>
      <c r="BM102" s="35"/>
      <c r="BN102" s="36"/>
      <c r="BO102" s="1"/>
      <c r="BP102" s="36"/>
      <c r="BQ102" s="54"/>
      <c r="BR102" s="39"/>
      <c r="BS102" s="35"/>
      <c r="BT102" s="36"/>
      <c r="BU102" s="4"/>
    </row>
    <row r="103">
      <c r="A103" s="1"/>
      <c r="G103" s="1"/>
      <c r="I103" s="54"/>
      <c r="M103" s="1"/>
      <c r="S103" s="1"/>
      <c r="Y103" s="1"/>
      <c r="AE103" s="1"/>
      <c r="AK103" s="1"/>
      <c r="AL103" s="36"/>
      <c r="AM103" s="54"/>
      <c r="AN103" s="39"/>
      <c r="AO103" s="35"/>
      <c r="AP103" s="36"/>
      <c r="AQ103" s="1"/>
      <c r="AW103" s="1"/>
      <c r="AX103" s="36"/>
      <c r="AY103" s="54"/>
      <c r="AZ103" s="39"/>
      <c r="BA103" s="35"/>
      <c r="BB103" s="36"/>
      <c r="BC103" s="1"/>
      <c r="BE103" s="54"/>
      <c r="BF103" s="39"/>
      <c r="BG103" s="35"/>
      <c r="BI103" s="1"/>
      <c r="BJ103" s="36"/>
      <c r="BK103" s="59"/>
      <c r="BL103" s="39"/>
      <c r="BM103" s="35"/>
      <c r="BN103" s="36"/>
      <c r="BO103" s="1"/>
      <c r="BP103" s="36"/>
      <c r="BQ103" s="54"/>
      <c r="BR103" s="39"/>
      <c r="BS103" s="35"/>
      <c r="BT103" s="36"/>
      <c r="BU103" s="4"/>
    </row>
    <row r="104">
      <c r="A104" s="1"/>
      <c r="G104" s="1"/>
      <c r="M104" s="1"/>
      <c r="S104" s="1"/>
      <c r="Y104" s="1"/>
      <c r="AE104" s="1"/>
      <c r="AK104" s="1"/>
      <c r="AL104" s="36"/>
      <c r="AM104" s="54"/>
      <c r="AN104" s="39"/>
      <c r="AO104" s="35"/>
      <c r="AP104" s="36"/>
      <c r="AQ104" s="1"/>
      <c r="AW104" s="1"/>
      <c r="AX104" s="36"/>
      <c r="AY104" s="54"/>
      <c r="AZ104" s="39"/>
      <c r="BA104" s="35"/>
      <c r="BB104" s="36"/>
      <c r="BC104" s="1"/>
      <c r="BE104" s="54"/>
      <c r="BF104" s="39"/>
      <c r="BG104" s="35"/>
      <c r="BI104" s="1"/>
      <c r="BJ104" s="36"/>
      <c r="BK104" s="59"/>
      <c r="BL104" s="39"/>
      <c r="BM104" s="35"/>
      <c r="BN104" s="36"/>
      <c r="BO104" s="1"/>
      <c r="BQ104" s="54"/>
      <c r="BR104" s="39"/>
      <c r="BS104" s="35"/>
      <c r="BU104" s="4"/>
    </row>
    <row r="105">
      <c r="A105" s="1"/>
      <c r="G105" s="1"/>
      <c r="M105" s="1"/>
      <c r="S105" s="1"/>
      <c r="Y105" s="1"/>
      <c r="AE105" s="1"/>
      <c r="AK105" s="1"/>
      <c r="AQ105" s="1"/>
      <c r="AW105" s="1"/>
      <c r="AX105" s="36"/>
      <c r="AY105" s="54"/>
      <c r="AZ105" s="39"/>
      <c r="BA105" s="35"/>
      <c r="BB105" s="36"/>
      <c r="BC105" s="1"/>
      <c r="BE105" s="54"/>
      <c r="BF105" s="39"/>
      <c r="BG105" s="35"/>
      <c r="BI105" s="1"/>
      <c r="BJ105" s="36"/>
      <c r="BK105" s="59"/>
      <c r="BL105" s="39"/>
      <c r="BM105" s="35"/>
      <c r="BN105" s="36"/>
      <c r="BO105" s="1"/>
      <c r="BQ105" s="54"/>
      <c r="BR105" s="39"/>
      <c r="BS105" s="35"/>
      <c r="BU105" s="4"/>
    </row>
    <row r="106">
      <c r="A106" s="1"/>
      <c r="G106" s="1"/>
      <c r="M106" s="1"/>
      <c r="S106" s="1"/>
      <c r="Y106" s="1"/>
      <c r="AE106" s="1"/>
      <c r="AK106" s="1"/>
      <c r="AQ106" s="1"/>
      <c r="AW106" s="1"/>
      <c r="BC106" s="1"/>
      <c r="BE106" s="54"/>
      <c r="BF106" s="39"/>
      <c r="BG106" s="35"/>
      <c r="BI106" s="1"/>
      <c r="BK106" s="59"/>
      <c r="BO106" s="1"/>
      <c r="BQ106" s="54"/>
      <c r="BR106" s="39"/>
      <c r="BS106" s="35"/>
      <c r="BU106" s="4"/>
    </row>
    <row r="107">
      <c r="A107" s="1"/>
      <c r="G107" s="1"/>
      <c r="M107" s="1"/>
      <c r="S107" s="1"/>
      <c r="Y107" s="1"/>
      <c r="AE107" s="1"/>
      <c r="AK107" s="1"/>
      <c r="AQ107" s="1"/>
      <c r="AW107" s="1"/>
      <c r="BC107" s="1"/>
      <c r="BE107" s="54"/>
      <c r="BF107" s="39"/>
      <c r="BG107" s="35"/>
      <c r="BI107" s="1"/>
      <c r="BK107" s="59"/>
      <c r="BO107" s="1"/>
      <c r="BQ107" s="54"/>
      <c r="BR107" s="39"/>
      <c r="BS107" s="35"/>
      <c r="BU107" s="4"/>
    </row>
    <row r="108">
      <c r="A108" s="1"/>
      <c r="G108" s="1"/>
      <c r="M108" s="1"/>
      <c r="S108" s="1"/>
      <c r="Y108" s="1"/>
      <c r="AE108" s="1"/>
      <c r="AK108" s="1"/>
      <c r="AQ108" s="1"/>
      <c r="AW108" s="1"/>
      <c r="BC108" s="1"/>
      <c r="BE108" s="54"/>
      <c r="BF108" s="39"/>
      <c r="BG108" s="35"/>
      <c r="BI108" s="1"/>
      <c r="BK108" s="59"/>
      <c r="BO108" s="1"/>
      <c r="BQ108" s="54"/>
      <c r="BR108" s="39"/>
      <c r="BS108" s="35"/>
      <c r="BU108" s="4"/>
    </row>
    <row r="109">
      <c r="A109" s="1"/>
      <c r="G109" s="1"/>
      <c r="M109" s="1"/>
      <c r="S109" s="1"/>
      <c r="Y109" s="1"/>
      <c r="AE109" s="1"/>
      <c r="AK109" s="1"/>
      <c r="AQ109" s="1"/>
      <c r="AW109" s="1"/>
      <c r="BC109" s="1"/>
      <c r="BE109" s="54"/>
      <c r="BF109" s="39"/>
      <c r="BG109" s="35"/>
      <c r="BI109" s="1"/>
      <c r="BK109" s="59"/>
      <c r="BO109" s="1"/>
      <c r="BQ109" s="54"/>
      <c r="BR109" s="39"/>
      <c r="BS109" s="35"/>
      <c r="BU109" s="4"/>
    </row>
    <row r="110">
      <c r="A110" s="1"/>
      <c r="G110" s="1"/>
      <c r="M110" s="1"/>
      <c r="S110" s="1"/>
      <c r="Y110" s="1"/>
      <c r="AE110" s="1"/>
      <c r="AK110" s="1"/>
      <c r="AQ110" s="1"/>
      <c r="AW110" s="1"/>
      <c r="BC110" s="1"/>
      <c r="BE110" s="54"/>
      <c r="BF110" s="39"/>
      <c r="BG110" s="35"/>
      <c r="BI110" s="1"/>
      <c r="BK110" s="59"/>
      <c r="BO110" s="1"/>
      <c r="BQ110" s="54"/>
      <c r="BR110" s="39"/>
      <c r="BS110" s="35"/>
      <c r="BU110" s="4"/>
    </row>
    <row r="111">
      <c r="A111" s="1"/>
      <c r="G111" s="1"/>
      <c r="M111" s="1"/>
      <c r="S111" s="1"/>
      <c r="Y111" s="1"/>
      <c r="AE111" s="1"/>
      <c r="AK111" s="1"/>
      <c r="AQ111" s="1"/>
      <c r="AW111" s="1"/>
      <c r="BC111" s="1"/>
      <c r="BE111" s="54"/>
      <c r="BF111" s="39"/>
      <c r="BG111" s="35"/>
      <c r="BI111" s="1"/>
      <c r="BK111" s="59"/>
      <c r="BO111" s="1"/>
      <c r="BQ111" s="54"/>
      <c r="BR111" s="39"/>
      <c r="BS111" s="35"/>
      <c r="BU111" s="4"/>
    </row>
    <row r="112">
      <c r="A112" s="1"/>
      <c r="G112" s="1"/>
      <c r="M112" s="1"/>
      <c r="S112" s="1"/>
      <c r="Y112" s="1"/>
      <c r="AE112" s="1"/>
      <c r="AK112" s="1"/>
      <c r="AQ112" s="1"/>
      <c r="AW112" s="1"/>
      <c r="BC112" s="1"/>
      <c r="BE112" s="54"/>
      <c r="BF112" s="39"/>
      <c r="BG112" s="35"/>
      <c r="BI112" s="1"/>
      <c r="BK112" s="59"/>
      <c r="BO112" s="1"/>
      <c r="BQ112" s="54"/>
      <c r="BR112" s="39"/>
      <c r="BS112" s="35"/>
      <c r="BU112" s="4"/>
    </row>
    <row r="113">
      <c r="A113" s="1"/>
      <c r="G113" s="1"/>
      <c r="M113" s="1"/>
      <c r="S113" s="1"/>
      <c r="Y113" s="1"/>
      <c r="AE113" s="1"/>
      <c r="AK113" s="1"/>
      <c r="AQ113" s="1"/>
      <c r="AW113" s="1"/>
      <c r="BC113" s="1"/>
      <c r="BE113" s="54"/>
      <c r="BF113" s="39"/>
      <c r="BG113" s="35"/>
      <c r="BI113" s="1"/>
      <c r="BK113" s="59"/>
      <c r="BO113" s="1"/>
      <c r="BQ113" s="54"/>
      <c r="BR113" s="39"/>
      <c r="BS113" s="35"/>
      <c r="BU113" s="4"/>
    </row>
    <row r="114">
      <c r="A114" s="1"/>
      <c r="G114" s="1"/>
      <c r="M114" s="1"/>
      <c r="S114" s="1"/>
      <c r="Y114" s="1"/>
      <c r="AE114" s="1"/>
      <c r="AK114" s="1"/>
      <c r="AQ114" s="1"/>
      <c r="AW114" s="1"/>
      <c r="BC114" s="1"/>
      <c r="BE114" s="54"/>
      <c r="BF114" s="39"/>
      <c r="BG114" s="35"/>
      <c r="BI114" s="1"/>
      <c r="BK114" s="59"/>
      <c r="BO114" s="1"/>
      <c r="BQ114" s="54"/>
      <c r="BR114" s="39"/>
      <c r="BS114" s="35"/>
      <c r="BU114" s="4"/>
    </row>
    <row r="115">
      <c r="A115" s="1"/>
      <c r="M115" s="1"/>
      <c r="Y115" s="1"/>
      <c r="AE115" s="1"/>
      <c r="AK115" s="1"/>
      <c r="AQ115" s="1"/>
      <c r="AW115" s="1"/>
      <c r="BC115" s="1"/>
      <c r="BE115" s="54"/>
      <c r="BF115" s="39"/>
      <c r="BG115" s="35"/>
      <c r="BI115" s="1"/>
      <c r="BK115" s="59"/>
      <c r="BO115" s="1"/>
      <c r="BQ115" s="54"/>
      <c r="BR115" s="39"/>
      <c r="BS115" s="35"/>
      <c r="BU115" s="4"/>
    </row>
    <row r="116">
      <c r="A116" s="1"/>
      <c r="M116" s="1"/>
      <c r="Y116" s="1"/>
      <c r="AK116" s="1"/>
      <c r="AQ116" s="1"/>
      <c r="AW116" s="1"/>
      <c r="BC116" s="1"/>
      <c r="BE116" s="54"/>
      <c r="BF116" s="39"/>
      <c r="BG116" s="35"/>
      <c r="BI116" s="1"/>
      <c r="BK116" s="59"/>
      <c r="BO116" s="1"/>
      <c r="BQ116" s="54"/>
      <c r="BR116" s="39"/>
      <c r="BS116" s="35"/>
      <c r="BU116" s="4"/>
    </row>
    <row r="117">
      <c r="A117" s="1"/>
      <c r="M117" s="1"/>
      <c r="Y117" s="1"/>
      <c r="AK117" s="1"/>
      <c r="AQ117" s="1"/>
      <c r="AW117" s="1"/>
      <c r="BC117" s="1"/>
      <c r="BE117" s="54"/>
      <c r="BF117" s="39"/>
      <c r="BG117" s="35"/>
      <c r="BI117" s="1"/>
      <c r="BK117" s="59"/>
      <c r="BO117" s="1"/>
      <c r="BQ117" s="54"/>
      <c r="BR117" s="39"/>
      <c r="BS117" s="35"/>
      <c r="BU117" s="4"/>
    </row>
    <row r="118">
      <c r="A118" s="1"/>
      <c r="M118" s="1"/>
      <c r="Y118" s="1"/>
      <c r="AK118" s="1"/>
      <c r="AQ118" s="1"/>
      <c r="AW118" s="1"/>
      <c r="BC118" s="1"/>
      <c r="BE118" s="54"/>
      <c r="BF118" s="39"/>
      <c r="BG118" s="35"/>
      <c r="BI118" s="1"/>
      <c r="BK118" s="59"/>
      <c r="BO118" s="1"/>
      <c r="BQ118" s="54"/>
      <c r="BR118" s="39"/>
      <c r="BS118" s="35"/>
      <c r="BU118" s="4"/>
    </row>
    <row r="119">
      <c r="A119" s="1"/>
      <c r="M119" s="1"/>
      <c r="Y119" s="1"/>
      <c r="AK119" s="1"/>
      <c r="AQ119" s="1"/>
      <c r="AW119" s="1"/>
      <c r="BC119" s="1"/>
      <c r="BE119" s="54"/>
      <c r="BF119" s="39"/>
      <c r="BG119" s="35"/>
      <c r="BI119" s="1"/>
      <c r="BK119" s="59"/>
      <c r="BO119" s="1"/>
      <c r="BQ119" s="54"/>
      <c r="BR119" s="39"/>
      <c r="BS119" s="35"/>
      <c r="BU119" s="4"/>
    </row>
    <row r="120">
      <c r="A120" s="1"/>
      <c r="M120" s="1"/>
      <c r="Y120" s="1"/>
      <c r="AK120" s="1"/>
      <c r="AQ120" s="1"/>
      <c r="AW120" s="1"/>
      <c r="BC120" s="1"/>
      <c r="BE120" s="54"/>
      <c r="BF120" s="39"/>
      <c r="BG120" s="35"/>
      <c r="BI120" s="1"/>
      <c r="BK120" s="59"/>
      <c r="BO120" s="1"/>
      <c r="BQ120" s="54"/>
      <c r="BR120" s="39"/>
      <c r="BS120" s="35"/>
      <c r="BU120" s="4"/>
    </row>
    <row r="121">
      <c r="A121" s="1"/>
      <c r="M121" s="1"/>
      <c r="Y121" s="1"/>
      <c r="AK121" s="1"/>
      <c r="AQ121" s="1"/>
      <c r="AW121" s="1"/>
      <c r="BC121" s="1"/>
      <c r="BE121" s="54"/>
      <c r="BF121" s="39"/>
      <c r="BG121" s="35"/>
      <c r="BI121" s="1"/>
      <c r="BK121" s="59"/>
      <c r="BO121" s="1"/>
      <c r="BQ121" s="54"/>
      <c r="BR121" s="39"/>
      <c r="BS121" s="35"/>
      <c r="BU121" s="4"/>
    </row>
    <row r="122">
      <c r="A122" s="1"/>
      <c r="M122" s="1"/>
      <c r="Y122" s="1"/>
      <c r="AK122" s="1"/>
      <c r="AQ122" s="1"/>
      <c r="AW122" s="1"/>
      <c r="BC122" s="1"/>
      <c r="BE122" s="54"/>
      <c r="BF122" s="39"/>
      <c r="BG122" s="35"/>
      <c r="BI122" s="1"/>
      <c r="BK122" s="59"/>
      <c r="BO122" s="1"/>
      <c r="BQ122" s="54"/>
      <c r="BR122" s="39"/>
      <c r="BS122" s="35"/>
      <c r="BU122" s="4"/>
    </row>
    <row r="123">
      <c r="A123" s="1"/>
      <c r="M123" s="1"/>
      <c r="Y123" s="1"/>
      <c r="AK123" s="1"/>
      <c r="AQ123" s="1"/>
      <c r="AW123" s="1"/>
      <c r="BC123" s="1"/>
      <c r="BE123" s="54"/>
      <c r="BF123" s="39"/>
      <c r="BG123" s="35"/>
      <c r="BI123" s="1"/>
      <c r="BK123" s="59"/>
      <c r="BO123" s="1"/>
      <c r="BQ123" s="54"/>
      <c r="BR123" s="39"/>
      <c r="BS123" s="35"/>
      <c r="BU123" s="4"/>
    </row>
    <row r="124">
      <c r="A124" s="1"/>
      <c r="M124" s="1"/>
      <c r="Y124" s="1"/>
      <c r="AK124" s="1"/>
      <c r="AQ124" s="1"/>
      <c r="AW124" s="1"/>
      <c r="BC124" s="1"/>
      <c r="BE124" s="54"/>
      <c r="BF124" s="39"/>
      <c r="BG124" s="35"/>
      <c r="BI124" s="1"/>
      <c r="BK124" s="59"/>
      <c r="BO124" s="1"/>
      <c r="BQ124" s="54"/>
      <c r="BR124" s="39"/>
      <c r="BS124" s="35"/>
      <c r="BU124" s="4"/>
    </row>
    <row r="125">
      <c r="A125" s="1"/>
      <c r="M125" s="1"/>
      <c r="Y125" s="1"/>
      <c r="AK125" s="1"/>
      <c r="AQ125" s="1"/>
      <c r="AW125" s="1"/>
      <c r="BC125" s="1"/>
      <c r="BE125" s="54"/>
      <c r="BF125" s="39"/>
      <c r="BG125" s="35"/>
      <c r="BI125" s="1"/>
      <c r="BK125" s="59"/>
      <c r="BO125" s="1"/>
      <c r="BQ125" s="54"/>
      <c r="BR125" s="39"/>
      <c r="BS125" s="35"/>
      <c r="BU125" s="4"/>
    </row>
    <row r="126">
      <c r="A126" s="1"/>
      <c r="M126" s="1"/>
      <c r="Y126" s="1"/>
      <c r="AK126" s="1"/>
      <c r="AQ126" s="1"/>
      <c r="AW126" s="1"/>
      <c r="BC126" s="1"/>
      <c r="BE126" s="54"/>
      <c r="BF126" s="39"/>
      <c r="BG126" s="35"/>
      <c r="BI126" s="1"/>
      <c r="BK126" s="59"/>
      <c r="BO126" s="1"/>
      <c r="BQ126" s="54"/>
      <c r="BR126" s="39"/>
      <c r="BS126" s="35"/>
      <c r="BU126" s="4"/>
    </row>
    <row r="127">
      <c r="A127" s="1"/>
      <c r="M127" s="1"/>
      <c r="Y127" s="1"/>
      <c r="AK127" s="1"/>
      <c r="AQ127" s="1"/>
      <c r="AW127" s="1"/>
      <c r="BC127" s="1"/>
      <c r="BE127" s="54"/>
      <c r="BF127" s="39"/>
      <c r="BG127" s="35"/>
      <c r="BI127" s="1"/>
      <c r="BK127" s="59"/>
      <c r="BO127" s="1"/>
      <c r="BP127" s="1"/>
      <c r="BQ127" s="1"/>
      <c r="BR127" s="1"/>
      <c r="BS127" s="1"/>
      <c r="BT127" s="1"/>
      <c r="BU127" s="4"/>
    </row>
    <row r="128">
      <c r="A128" s="1"/>
      <c r="M128" s="1"/>
      <c r="Y128" s="1"/>
      <c r="AK128" s="1"/>
      <c r="AQ128" s="1"/>
      <c r="AW128" s="1"/>
      <c r="BC128" s="1"/>
      <c r="BE128" s="54"/>
      <c r="BF128" s="39"/>
      <c r="BG128" s="35"/>
      <c r="BI128" s="1"/>
      <c r="BK128" s="59"/>
      <c r="BO128" s="1"/>
      <c r="BP128" s="1"/>
      <c r="BQ128" s="1"/>
      <c r="BR128" s="1"/>
      <c r="BS128" s="1"/>
      <c r="BT128" s="1"/>
      <c r="BU128" s="4"/>
    </row>
    <row r="129">
      <c r="A129" s="1"/>
      <c r="M129" s="1"/>
      <c r="Y129" s="1"/>
      <c r="AK129" s="1"/>
      <c r="AQ129" s="1"/>
      <c r="AW129" s="1"/>
      <c r="BC129" s="1"/>
      <c r="BE129" s="54"/>
      <c r="BF129" s="39"/>
      <c r="BG129" s="35"/>
      <c r="BI129" s="1"/>
      <c r="BK129" s="59"/>
      <c r="BO129" s="1"/>
      <c r="BP129" s="1"/>
      <c r="BQ129" s="1"/>
      <c r="BR129" s="1"/>
      <c r="BS129" s="1"/>
      <c r="BT129" s="1"/>
      <c r="BU129" s="4"/>
    </row>
    <row r="130">
      <c r="A130" s="1"/>
      <c r="M130" s="1"/>
      <c r="Y130" s="1"/>
      <c r="AK130" s="1"/>
      <c r="AQ130" s="1"/>
      <c r="AW130" s="1"/>
      <c r="BC130" s="1"/>
      <c r="BD130" s="1"/>
      <c r="BE130" s="1"/>
      <c r="BF130" s="1"/>
      <c r="BG130" s="1"/>
      <c r="BH130" s="1"/>
      <c r="BI130" s="1"/>
      <c r="BK130" s="59"/>
      <c r="BO130" s="1"/>
      <c r="BP130" s="1"/>
      <c r="BQ130" s="1"/>
      <c r="BR130" s="1"/>
      <c r="BS130" s="1"/>
      <c r="BT130" s="1"/>
      <c r="BU130" s="4"/>
    </row>
    <row r="131">
      <c r="A131" s="1"/>
      <c r="M131" s="1"/>
      <c r="Y131" s="1"/>
      <c r="AK131" s="1"/>
      <c r="AQ131" s="1"/>
      <c r="AW131" s="1"/>
      <c r="BC131" s="1"/>
      <c r="BD131" s="1"/>
      <c r="BE131" s="1"/>
      <c r="BF131" s="1"/>
      <c r="BG131" s="1"/>
      <c r="BH131" s="1"/>
      <c r="BI131" s="1"/>
      <c r="BK131" s="59"/>
      <c r="BO131" s="1"/>
      <c r="BP131" s="1"/>
      <c r="BQ131" s="1"/>
      <c r="BR131" s="1"/>
      <c r="BS131" s="1"/>
      <c r="BT131" s="1"/>
      <c r="BU131" s="4"/>
    </row>
    <row r="132">
      <c r="A132" s="1"/>
      <c r="M132" s="1"/>
      <c r="Y132" s="1"/>
      <c r="AK132" s="1"/>
      <c r="AQ132" s="1"/>
      <c r="AW132" s="1"/>
      <c r="BC132" s="1"/>
      <c r="BD132" s="1"/>
      <c r="BE132" s="1"/>
      <c r="BF132" s="1"/>
      <c r="BG132" s="1"/>
      <c r="BH132" s="1"/>
      <c r="BI132" s="1"/>
      <c r="BK132" s="59"/>
      <c r="BO132" s="1"/>
      <c r="BP132" s="1"/>
      <c r="BQ132" s="1"/>
      <c r="BR132" s="1"/>
      <c r="BS132" s="1"/>
      <c r="BT132" s="1"/>
      <c r="BU132" s="4"/>
    </row>
    <row r="133">
      <c r="A133" s="1"/>
      <c r="M133" s="1"/>
      <c r="Y133" s="1"/>
      <c r="AK133" s="1"/>
      <c r="AQ133" s="1"/>
      <c r="AW133" s="1"/>
      <c r="BC133" s="1"/>
      <c r="BD133" s="1"/>
      <c r="BE133" s="1"/>
      <c r="BF133" s="1"/>
      <c r="BG133" s="1"/>
      <c r="BH133" s="1"/>
      <c r="BI133" s="1"/>
      <c r="BK133" s="59"/>
      <c r="BO133" s="1"/>
      <c r="BP133" s="1"/>
      <c r="BQ133" s="1"/>
      <c r="BR133" s="1"/>
      <c r="BS133" s="1"/>
      <c r="BT133" s="1"/>
      <c r="BU133" s="4"/>
    </row>
    <row r="134">
      <c r="A134" s="1"/>
      <c r="M134" s="1"/>
      <c r="Y134" s="1"/>
      <c r="AK134" s="1"/>
      <c r="AQ134" s="1"/>
      <c r="AW134" s="1"/>
      <c r="BC134" s="1"/>
      <c r="BD134" s="1"/>
      <c r="BE134" s="1"/>
      <c r="BF134" s="1"/>
      <c r="BG134" s="1"/>
      <c r="BH134" s="1"/>
      <c r="BI134" s="1"/>
      <c r="BK134" s="59"/>
      <c r="BO134" s="1"/>
      <c r="BP134" s="1"/>
      <c r="BQ134" s="1"/>
      <c r="BR134" s="1"/>
      <c r="BS134" s="1"/>
      <c r="BT134" s="1"/>
      <c r="BU134" s="4"/>
    </row>
    <row r="135">
      <c r="A135" s="1"/>
      <c r="M135" s="1"/>
      <c r="Y135" s="1"/>
      <c r="AK135" s="1"/>
      <c r="AQ135" s="1"/>
      <c r="AW135" s="1"/>
      <c r="BC135" s="1"/>
      <c r="BD135" s="1"/>
      <c r="BE135" s="1"/>
      <c r="BF135" s="1"/>
      <c r="BG135" s="1"/>
      <c r="BH135" s="1"/>
      <c r="BI135" s="1"/>
      <c r="BK135" s="59"/>
      <c r="BO135" s="1"/>
      <c r="BP135" s="1"/>
      <c r="BQ135" s="1"/>
      <c r="BR135" s="1"/>
      <c r="BS135" s="1"/>
      <c r="BT135" s="1"/>
      <c r="BU135" s="4"/>
    </row>
    <row r="136">
      <c r="A136" s="1"/>
      <c r="M136" s="1"/>
      <c r="Y136" s="1"/>
      <c r="AK136" s="1"/>
      <c r="AQ136" s="1"/>
      <c r="AW136" s="1"/>
      <c r="BC136" s="1"/>
      <c r="BD136" s="1"/>
      <c r="BE136" s="1"/>
      <c r="BF136" s="1"/>
      <c r="BG136" s="1"/>
      <c r="BH136" s="1"/>
      <c r="BI136" s="1"/>
      <c r="BK136" s="59"/>
      <c r="BO136" s="1"/>
      <c r="BP136" s="1"/>
      <c r="BQ136" s="1"/>
      <c r="BR136" s="1"/>
      <c r="BS136" s="1"/>
      <c r="BT136" s="1"/>
      <c r="BU136" s="4"/>
    </row>
    <row r="137">
      <c r="A137" s="1"/>
      <c r="M137" s="1"/>
      <c r="Y137" s="1"/>
      <c r="AK137" s="1"/>
      <c r="AQ137" s="1"/>
      <c r="AW137" s="1"/>
      <c r="BC137" s="1"/>
      <c r="BD137" s="1"/>
      <c r="BE137" s="1"/>
      <c r="BF137" s="1"/>
      <c r="BG137" s="1"/>
      <c r="BH137" s="1"/>
      <c r="BI137" s="1"/>
      <c r="BK137" s="59"/>
      <c r="BO137" s="1"/>
      <c r="BP137" s="1"/>
      <c r="BQ137" s="1"/>
      <c r="BR137" s="1"/>
      <c r="BS137" s="1"/>
      <c r="BT137" s="1"/>
      <c r="BU137" s="4"/>
    </row>
    <row r="138">
      <c r="A138" s="1"/>
      <c r="M138" s="1"/>
      <c r="Y138" s="1"/>
      <c r="AK138" s="1"/>
      <c r="AQ138" s="1"/>
      <c r="AW138" s="1"/>
      <c r="BC138" s="1"/>
      <c r="BD138" s="1"/>
      <c r="BE138" s="1"/>
      <c r="BF138" s="1"/>
      <c r="BG138" s="1"/>
      <c r="BH138" s="1"/>
      <c r="BI138" s="1"/>
      <c r="BK138" s="59"/>
      <c r="BO138" s="1"/>
      <c r="BP138" s="1"/>
      <c r="BQ138" s="1"/>
      <c r="BR138" s="1"/>
      <c r="BS138" s="1"/>
      <c r="BT138" s="1"/>
      <c r="BU138" s="4"/>
    </row>
    <row r="139">
      <c r="A139" s="1"/>
      <c r="M139" s="1"/>
      <c r="Y139" s="1"/>
      <c r="AK139" s="1"/>
      <c r="AQ139" s="1"/>
      <c r="AW139" s="1"/>
      <c r="BC139" s="1"/>
      <c r="BD139" s="1"/>
      <c r="BE139" s="1"/>
      <c r="BF139" s="1"/>
      <c r="BG139" s="1"/>
      <c r="BH139" s="1"/>
      <c r="BI139" s="1"/>
      <c r="BK139" s="59"/>
      <c r="BO139" s="1"/>
      <c r="BP139" s="1"/>
      <c r="BQ139" s="1"/>
      <c r="BR139" s="1"/>
      <c r="BS139" s="1"/>
      <c r="BT139" s="1"/>
      <c r="BU139" s="4"/>
    </row>
    <row r="140">
      <c r="A140" s="1"/>
      <c r="M140" s="1"/>
      <c r="Y140" s="1"/>
      <c r="AK140" s="1"/>
      <c r="AQ140" s="1"/>
      <c r="AW140" s="1"/>
      <c r="BC140" s="1"/>
      <c r="BD140" s="1"/>
      <c r="BE140" s="1"/>
      <c r="BF140" s="1"/>
      <c r="BG140" s="1"/>
      <c r="BH140" s="1"/>
      <c r="BI140" s="1"/>
      <c r="BK140" s="59"/>
      <c r="BO140" s="1"/>
      <c r="BP140" s="1"/>
      <c r="BQ140" s="1"/>
      <c r="BR140" s="1"/>
      <c r="BS140" s="1"/>
      <c r="BT140" s="1"/>
      <c r="BU140" s="4"/>
    </row>
    <row r="141">
      <c r="A141" s="1"/>
      <c r="M141" s="1"/>
      <c r="Y141" s="1"/>
      <c r="AK141" s="1"/>
      <c r="AQ141" s="1"/>
      <c r="AW141" s="1"/>
      <c r="BC141" s="1"/>
      <c r="BD141" s="1"/>
      <c r="BE141" s="1"/>
      <c r="BF141" s="1"/>
      <c r="BG141" s="1"/>
      <c r="BH141" s="1"/>
      <c r="BI141" s="1"/>
      <c r="BK141" s="59"/>
      <c r="BO141" s="1"/>
      <c r="BP141" s="1"/>
      <c r="BQ141" s="1"/>
      <c r="BR141" s="1"/>
      <c r="BS141" s="1"/>
      <c r="BT141" s="1"/>
      <c r="BU141" s="4"/>
    </row>
    <row r="142">
      <c r="A142" s="1"/>
      <c r="M142" s="1"/>
      <c r="Y142" s="1"/>
      <c r="AK142" s="1"/>
      <c r="AQ142" s="1"/>
      <c r="AW142" s="1"/>
      <c r="BC142" s="1"/>
      <c r="BD142" s="1"/>
      <c r="BE142" s="1"/>
      <c r="BF142" s="1"/>
      <c r="BG142" s="1"/>
      <c r="BH142" s="1"/>
      <c r="BI142" s="1"/>
      <c r="BK142" s="59"/>
      <c r="BO142" s="1"/>
      <c r="BP142" s="1"/>
      <c r="BQ142" s="1"/>
      <c r="BR142" s="1"/>
      <c r="BS142" s="1"/>
      <c r="BT142" s="1"/>
      <c r="BU142" s="4"/>
    </row>
    <row r="143">
      <c r="A143" s="1"/>
      <c r="M143" s="1"/>
      <c r="Y143" s="1"/>
      <c r="AK143" s="1"/>
      <c r="AQ143" s="1"/>
      <c r="AW143" s="1"/>
      <c r="BC143" s="1"/>
      <c r="BD143" s="1"/>
      <c r="BE143" s="1"/>
      <c r="BF143" s="1"/>
      <c r="BG143" s="1"/>
      <c r="BH143" s="1"/>
      <c r="BI143" s="1"/>
      <c r="BK143" s="59"/>
      <c r="BO143" s="1"/>
      <c r="BP143" s="1"/>
      <c r="BQ143" s="1"/>
      <c r="BR143" s="1"/>
      <c r="BS143" s="1"/>
      <c r="BT143" s="1"/>
      <c r="BU143" s="4"/>
    </row>
    <row r="144">
      <c r="A144" s="1"/>
      <c r="M144" s="1"/>
      <c r="Y144" s="1"/>
      <c r="AK144" s="1"/>
      <c r="AQ144" s="1"/>
      <c r="AW144" s="1"/>
      <c r="BC144" s="1"/>
      <c r="BD144" s="1"/>
      <c r="BE144" s="1"/>
      <c r="BF144" s="1"/>
      <c r="BG144" s="1"/>
      <c r="BH144" s="1"/>
      <c r="BI144" s="1"/>
      <c r="BK144" s="59"/>
      <c r="BO144" s="1"/>
      <c r="BP144" s="1"/>
      <c r="BQ144" s="1"/>
      <c r="BR144" s="1"/>
      <c r="BS144" s="1"/>
      <c r="BT144" s="1"/>
      <c r="BU144" s="4"/>
    </row>
    <row r="145">
      <c r="A145" s="1"/>
      <c r="M145" s="1"/>
      <c r="Y145" s="1"/>
      <c r="AK145" s="1"/>
      <c r="AQ145" s="1"/>
      <c r="AW145" s="1"/>
      <c r="BC145" s="1"/>
      <c r="BD145" s="1"/>
      <c r="BE145" s="1"/>
      <c r="BF145" s="1"/>
      <c r="BG145" s="1"/>
      <c r="BH145" s="1"/>
      <c r="BI145" s="1"/>
      <c r="BK145" s="59"/>
      <c r="BO145" s="1"/>
      <c r="BP145" s="1"/>
      <c r="BQ145" s="1"/>
      <c r="BR145" s="1"/>
      <c r="BS145" s="1"/>
      <c r="BT145" s="1"/>
      <c r="BU145" s="4"/>
    </row>
    <row r="146">
      <c r="A146" s="1"/>
      <c r="M146" s="1"/>
      <c r="Y146" s="1"/>
      <c r="AK146" s="1"/>
      <c r="AQ146" s="1"/>
      <c r="AW146" s="1"/>
      <c r="BC146" s="1"/>
      <c r="BD146" s="1"/>
      <c r="BE146" s="1"/>
      <c r="BF146" s="1"/>
      <c r="BG146" s="1"/>
      <c r="BH146" s="1"/>
      <c r="BI146" s="1"/>
      <c r="BK146" s="59"/>
      <c r="BO146" s="1"/>
      <c r="BP146" s="1"/>
      <c r="BQ146" s="1"/>
      <c r="BR146" s="1"/>
      <c r="BS146" s="1"/>
      <c r="BT146" s="1"/>
      <c r="BU146" s="4"/>
    </row>
    <row r="147">
      <c r="A147" s="1"/>
      <c r="M147" s="1"/>
      <c r="Y147" s="1"/>
      <c r="AK147" s="1"/>
      <c r="AQ147" s="1"/>
      <c r="AW147" s="1"/>
      <c r="BC147" s="1"/>
      <c r="BD147" s="1"/>
      <c r="BE147" s="1"/>
      <c r="BF147" s="1"/>
      <c r="BG147" s="1"/>
      <c r="BH147" s="1"/>
      <c r="BI147" s="1"/>
      <c r="BK147" s="59"/>
      <c r="BO147" s="1"/>
      <c r="BP147" s="1"/>
      <c r="BQ147" s="1"/>
      <c r="BR147" s="1"/>
      <c r="BS147" s="1"/>
      <c r="BT147" s="1"/>
      <c r="BU147" s="4"/>
    </row>
    <row r="148">
      <c r="A148" s="1"/>
      <c r="M148" s="1"/>
      <c r="Y148" s="1"/>
      <c r="AK148" s="1"/>
      <c r="AQ148" s="1"/>
      <c r="AW148" s="1"/>
      <c r="BC148" s="1"/>
      <c r="BD148" s="1"/>
      <c r="BE148" s="1"/>
      <c r="BF148" s="1"/>
      <c r="BG148" s="1"/>
      <c r="BH148" s="1"/>
      <c r="BI148" s="1"/>
      <c r="BK148" s="59"/>
      <c r="BO148" s="1"/>
      <c r="BP148" s="1"/>
      <c r="BQ148" s="1"/>
      <c r="BR148" s="1"/>
      <c r="BS148" s="1"/>
      <c r="BT148" s="1"/>
      <c r="BU148" s="4"/>
    </row>
    <row r="149">
      <c r="A149" s="1"/>
      <c r="M149" s="1"/>
      <c r="Y149" s="1"/>
      <c r="AK149" s="1"/>
      <c r="AQ149" s="1"/>
      <c r="AW149" s="1"/>
      <c r="BC149" s="1"/>
      <c r="BD149" s="1"/>
      <c r="BE149" s="1"/>
      <c r="BF149" s="1"/>
      <c r="BG149" s="1"/>
      <c r="BH149" s="1"/>
      <c r="BI149" s="1"/>
      <c r="BO149" s="1"/>
      <c r="BP149" s="1"/>
      <c r="BQ149" s="1"/>
      <c r="BR149" s="1"/>
      <c r="BS149" s="1"/>
      <c r="BT149" s="1"/>
      <c r="BU149" s="4"/>
    </row>
    <row r="150">
      <c r="A150" s="1"/>
      <c r="M150" s="1"/>
      <c r="Y150" s="1"/>
      <c r="AK150" s="1"/>
      <c r="AQ150" s="1"/>
      <c r="AW150" s="1"/>
      <c r="BC150" s="1"/>
      <c r="BD150" s="1"/>
      <c r="BE150" s="1"/>
      <c r="BF150" s="1"/>
      <c r="BG150" s="1"/>
      <c r="BH150" s="1"/>
      <c r="BI150" s="1"/>
      <c r="BO150" s="1"/>
      <c r="BP150" s="1"/>
      <c r="BQ150" s="1"/>
      <c r="BR150" s="1"/>
      <c r="BS150" s="1"/>
      <c r="BT150" s="1"/>
      <c r="BU150" s="4"/>
    </row>
    <row r="151">
      <c r="A151" s="1"/>
      <c r="M151" s="1"/>
      <c r="Y151" s="1"/>
      <c r="AK151" s="1"/>
      <c r="AQ151" s="1"/>
      <c r="AW151" s="1"/>
      <c r="BC151" s="1"/>
      <c r="BD151" s="1"/>
      <c r="BE151" s="1"/>
      <c r="BF151" s="1"/>
      <c r="BG151" s="1"/>
      <c r="BH151" s="1"/>
      <c r="BI151" s="1"/>
      <c r="BO151" s="1"/>
      <c r="BP151" s="1"/>
      <c r="BQ151" s="1"/>
      <c r="BR151" s="1"/>
      <c r="BS151" s="1"/>
      <c r="BT151" s="1"/>
      <c r="BU151" s="4"/>
    </row>
    <row r="152">
      <c r="A152" s="1"/>
      <c r="M152" s="1"/>
      <c r="Y152" s="1"/>
      <c r="AK152" s="1"/>
      <c r="AQ152" s="1"/>
      <c r="AW152" s="1"/>
      <c r="BC152" s="1"/>
      <c r="BD152" s="1"/>
      <c r="BE152" s="1"/>
      <c r="BF152" s="1"/>
      <c r="BG152" s="1"/>
      <c r="BH152" s="1"/>
      <c r="BI152" s="1"/>
      <c r="BO152" s="1"/>
      <c r="BP152" s="1"/>
      <c r="BQ152" s="1"/>
      <c r="BR152" s="1"/>
      <c r="BS152" s="1"/>
      <c r="BT152" s="1"/>
      <c r="BU152" s="4"/>
    </row>
    <row r="153">
      <c r="A153" s="1"/>
      <c r="M153" s="1"/>
      <c r="Y153" s="1"/>
      <c r="AK153" s="1"/>
      <c r="AQ153" s="1"/>
      <c r="AW153" s="1"/>
      <c r="BC153" s="1"/>
      <c r="BD153" s="1"/>
      <c r="BE153" s="1"/>
      <c r="BF153" s="1"/>
      <c r="BG153" s="1"/>
      <c r="BH153" s="1"/>
      <c r="BI153" s="1"/>
      <c r="BO153" s="1"/>
      <c r="BP153" s="1"/>
      <c r="BQ153" s="1"/>
      <c r="BR153" s="1"/>
      <c r="BS153" s="1"/>
      <c r="BT153" s="1"/>
      <c r="BU153" s="4"/>
    </row>
    <row r="154">
      <c r="A154" s="1"/>
      <c r="M154" s="1"/>
      <c r="Y154" s="1"/>
      <c r="AK154" s="1"/>
      <c r="AQ154" s="1"/>
      <c r="AW154" s="1"/>
      <c r="BC154" s="1"/>
      <c r="BD154" s="1"/>
      <c r="BE154" s="1"/>
      <c r="BF154" s="1"/>
      <c r="BG154" s="1"/>
      <c r="BH154" s="1"/>
      <c r="BI154" s="1"/>
      <c r="BO154" s="1"/>
      <c r="BP154" s="1"/>
      <c r="BQ154" s="1"/>
      <c r="BR154" s="1"/>
      <c r="BS154" s="1"/>
      <c r="BT154" s="1"/>
      <c r="BU154" s="4"/>
    </row>
    <row r="155">
      <c r="A155" s="1"/>
      <c r="M155" s="1"/>
      <c r="Y155" s="1"/>
      <c r="AK155" s="1"/>
      <c r="AQ155" s="1"/>
      <c r="AW155" s="1"/>
      <c r="BC155" s="1"/>
      <c r="BD155" s="1"/>
      <c r="BE155" s="1"/>
      <c r="BF155" s="1"/>
      <c r="BG155" s="1"/>
      <c r="BH155" s="1"/>
      <c r="BI155" s="1"/>
      <c r="BO155" s="1"/>
      <c r="BP155" s="1"/>
      <c r="BQ155" s="1"/>
      <c r="BR155" s="1"/>
      <c r="BS155" s="1"/>
      <c r="BT155" s="1"/>
      <c r="BU155" s="4"/>
    </row>
    <row r="156">
      <c r="A156" s="1"/>
      <c r="M156" s="1"/>
      <c r="Y156" s="1"/>
      <c r="AK156" s="1"/>
      <c r="AQ156" s="1"/>
      <c r="AW156" s="1"/>
      <c r="BC156" s="1"/>
      <c r="BD156" s="1"/>
      <c r="BE156" s="1"/>
      <c r="BF156" s="1"/>
      <c r="BG156" s="1"/>
      <c r="BH156" s="1"/>
      <c r="BI156" s="1"/>
      <c r="BO156" s="1"/>
      <c r="BP156" s="1"/>
      <c r="BQ156" s="1"/>
      <c r="BR156" s="1"/>
      <c r="BS156" s="1"/>
      <c r="BT156" s="1"/>
      <c r="BU156" s="4"/>
    </row>
    <row r="157">
      <c r="A157" s="1"/>
      <c r="M157" s="1"/>
      <c r="Y157" s="1"/>
      <c r="AK157" s="1"/>
      <c r="AQ157" s="1"/>
      <c r="AW157" s="1"/>
      <c r="BC157" s="1"/>
      <c r="BD157" s="1"/>
      <c r="BE157" s="1"/>
      <c r="BF157" s="1"/>
      <c r="BG157" s="1"/>
      <c r="BH157" s="1"/>
      <c r="BI157" s="1"/>
      <c r="BO157" s="1"/>
      <c r="BP157" s="1"/>
      <c r="BQ157" s="1"/>
      <c r="BR157" s="1"/>
      <c r="BS157" s="1"/>
      <c r="BT157" s="1"/>
      <c r="BU157" s="4"/>
    </row>
    <row r="158">
      <c r="A158" s="1"/>
      <c r="M158" s="1"/>
      <c r="Y158" s="1"/>
      <c r="AK158" s="1"/>
      <c r="AQ158" s="1"/>
      <c r="AW158" s="1"/>
      <c r="BC158" s="1"/>
      <c r="BD158" s="1"/>
      <c r="BE158" s="1"/>
      <c r="BF158" s="1"/>
      <c r="BG158" s="1"/>
      <c r="BH158" s="1"/>
      <c r="BI158" s="1"/>
      <c r="BO158" s="1"/>
      <c r="BP158" s="1"/>
      <c r="BQ158" s="1"/>
      <c r="BR158" s="1"/>
      <c r="BS158" s="1"/>
      <c r="BT158" s="1"/>
      <c r="BU158" s="4"/>
    </row>
    <row r="159">
      <c r="A159" s="1"/>
      <c r="M159" s="1"/>
      <c r="Y159" s="1"/>
      <c r="AK159" s="1"/>
      <c r="AQ159" s="1"/>
      <c r="AW159" s="1"/>
      <c r="BC159" s="1"/>
      <c r="BD159" s="1"/>
      <c r="BE159" s="1"/>
      <c r="BF159" s="1"/>
      <c r="BG159" s="1"/>
      <c r="BH159" s="1"/>
      <c r="BI159" s="1"/>
      <c r="BO159" s="1"/>
      <c r="BP159" s="1"/>
      <c r="BQ159" s="1"/>
      <c r="BR159" s="1"/>
      <c r="BS159" s="1"/>
      <c r="BT159" s="1"/>
      <c r="BU159" s="4"/>
    </row>
    <row r="160">
      <c r="A160" s="1"/>
      <c r="M160" s="1"/>
      <c r="Y160" s="1"/>
      <c r="AK160" s="1"/>
      <c r="AQ160" s="1"/>
      <c r="AW160" s="1"/>
      <c r="BC160" s="1"/>
      <c r="BD160" s="1"/>
      <c r="BE160" s="1"/>
      <c r="BF160" s="1"/>
      <c r="BG160" s="1"/>
      <c r="BH160" s="1"/>
      <c r="BI160" s="1"/>
      <c r="BO160" s="1"/>
      <c r="BP160" s="1"/>
      <c r="BQ160" s="1"/>
      <c r="BR160" s="1"/>
      <c r="BS160" s="1"/>
      <c r="BT160" s="1"/>
      <c r="BU160" s="4"/>
    </row>
    <row r="161">
      <c r="A161" s="1"/>
      <c r="M161" s="1"/>
      <c r="Y161" s="1"/>
      <c r="AK161" s="1"/>
      <c r="AQ161" s="1"/>
      <c r="AW161" s="1"/>
      <c r="BC161" s="1"/>
      <c r="BD161" s="1"/>
      <c r="BE161" s="1"/>
      <c r="BF161" s="1"/>
      <c r="BG161" s="1"/>
      <c r="BH161" s="1"/>
      <c r="BI161" s="1"/>
      <c r="BO161" s="1"/>
      <c r="BP161" s="1"/>
      <c r="BQ161" s="1"/>
      <c r="BR161" s="1"/>
      <c r="BS161" s="1"/>
      <c r="BT161" s="1"/>
      <c r="BU161" s="4"/>
    </row>
    <row r="162">
      <c r="A162" s="1"/>
      <c r="M162" s="1"/>
      <c r="Y162" s="1"/>
      <c r="AK162" s="1"/>
      <c r="AQ162" s="1"/>
      <c r="AW162" s="1"/>
      <c r="BC162" s="1"/>
      <c r="BD162" s="1"/>
      <c r="BE162" s="1"/>
      <c r="BF162" s="1"/>
      <c r="BG162" s="1"/>
      <c r="BH162" s="1"/>
      <c r="BI162" s="1"/>
      <c r="BO162" s="1"/>
      <c r="BP162" s="1"/>
      <c r="BQ162" s="1"/>
      <c r="BR162" s="1"/>
      <c r="BS162" s="1"/>
      <c r="BT162" s="1"/>
      <c r="BU162" s="4"/>
    </row>
    <row r="163">
      <c r="A163" s="1"/>
      <c r="M163" s="1"/>
      <c r="Y163" s="1"/>
      <c r="AK163" s="1"/>
      <c r="AQ163" s="1"/>
      <c r="AW163" s="1"/>
      <c r="BC163" s="1"/>
      <c r="BD163" s="1"/>
      <c r="BE163" s="1"/>
      <c r="BF163" s="1"/>
      <c r="BG163" s="1"/>
      <c r="BH163" s="1"/>
      <c r="BI163" s="1"/>
      <c r="BO163" s="1"/>
      <c r="BP163" s="1"/>
      <c r="BQ163" s="1"/>
      <c r="BR163" s="1"/>
      <c r="BS163" s="1"/>
      <c r="BT163" s="1"/>
      <c r="BU163" s="4"/>
    </row>
    <row r="164">
      <c r="A164" s="1"/>
      <c r="M164" s="1"/>
      <c r="Y164" s="1"/>
      <c r="AK164" s="1"/>
      <c r="AQ164" s="1"/>
      <c r="AW164" s="1"/>
      <c r="BC164" s="1"/>
      <c r="BD164" s="1"/>
      <c r="BE164" s="1"/>
      <c r="BF164" s="1"/>
      <c r="BG164" s="1"/>
      <c r="BH164" s="1"/>
      <c r="BI164" s="1"/>
      <c r="BO164" s="1"/>
      <c r="BP164" s="1"/>
      <c r="BQ164" s="1"/>
      <c r="BR164" s="1"/>
      <c r="BS164" s="1"/>
      <c r="BT164" s="1"/>
      <c r="BU164" s="4"/>
    </row>
    <row r="165">
      <c r="A165" s="1"/>
      <c r="M165" s="1"/>
      <c r="Y165" s="1"/>
      <c r="AK165" s="1"/>
      <c r="AQ165" s="1"/>
      <c r="AW165" s="1"/>
      <c r="BC165" s="1"/>
      <c r="BD165" s="1"/>
      <c r="BE165" s="1"/>
      <c r="BF165" s="1"/>
      <c r="BG165" s="1"/>
      <c r="BH165" s="1"/>
      <c r="BI165" s="1"/>
      <c r="BO165" s="1"/>
      <c r="BP165" s="1"/>
      <c r="BQ165" s="1"/>
      <c r="BR165" s="1"/>
      <c r="BS165" s="1"/>
      <c r="BT165" s="1"/>
      <c r="BU165" s="4"/>
    </row>
    <row r="166">
      <c r="A166" s="1"/>
      <c r="M166" s="1"/>
      <c r="Y166" s="1"/>
      <c r="AK166" s="1"/>
      <c r="AQ166" s="1"/>
      <c r="AW166" s="1"/>
      <c r="BC166" s="1"/>
      <c r="BD166" s="1"/>
      <c r="BE166" s="1"/>
      <c r="BF166" s="1"/>
      <c r="BG166" s="1"/>
      <c r="BH166" s="1"/>
      <c r="BI166" s="1"/>
      <c r="BO166" s="1"/>
      <c r="BP166" s="1"/>
      <c r="BQ166" s="1"/>
      <c r="BR166" s="1"/>
      <c r="BS166" s="1"/>
      <c r="BT166" s="1"/>
      <c r="BU166" s="4"/>
    </row>
    <row r="167">
      <c r="A167" s="1"/>
      <c r="M167" s="1"/>
      <c r="Y167" s="1"/>
      <c r="AK167" s="1"/>
      <c r="AQ167" s="1"/>
      <c r="AW167" s="1"/>
      <c r="BC167" s="1"/>
      <c r="BD167" s="1"/>
      <c r="BE167" s="1"/>
      <c r="BF167" s="1"/>
      <c r="BG167" s="1"/>
      <c r="BH167" s="1"/>
      <c r="BI167" s="1"/>
      <c r="BO167" s="1"/>
      <c r="BP167" s="1"/>
      <c r="BQ167" s="1"/>
      <c r="BR167" s="1"/>
      <c r="BS167" s="1"/>
      <c r="BT167" s="1"/>
      <c r="BU167" s="4"/>
    </row>
    <row r="168">
      <c r="A168" s="1"/>
      <c r="M168" s="1"/>
      <c r="Y168" s="1"/>
      <c r="AK168" s="1"/>
      <c r="AQ168" s="1"/>
      <c r="AW168" s="1"/>
      <c r="BC168" s="1"/>
      <c r="BD168" s="1"/>
      <c r="BE168" s="1"/>
      <c r="BF168" s="1"/>
      <c r="BG168" s="1"/>
      <c r="BH168" s="1"/>
      <c r="BI168" s="1"/>
      <c r="BO168" s="1"/>
      <c r="BP168" s="1"/>
      <c r="BQ168" s="1"/>
      <c r="BR168" s="1"/>
      <c r="BS168" s="1"/>
      <c r="BT168" s="1"/>
      <c r="BU168" s="4"/>
    </row>
    <row r="169">
      <c r="A169" s="1"/>
      <c r="M169" s="1"/>
      <c r="Y169" s="1"/>
      <c r="AK169" s="1"/>
      <c r="AQ169" s="1"/>
      <c r="AW169" s="1"/>
      <c r="BC169" s="1"/>
      <c r="BD169" s="1"/>
      <c r="BE169" s="1"/>
      <c r="BF169" s="1"/>
      <c r="BG169" s="1"/>
      <c r="BH169" s="1"/>
      <c r="BI169" s="1"/>
      <c r="BO169" s="1"/>
      <c r="BP169" s="1"/>
      <c r="BQ169" s="1"/>
      <c r="BR169" s="1"/>
      <c r="BS169" s="1"/>
      <c r="BT169" s="1"/>
      <c r="BU169" s="4"/>
    </row>
    <row r="170">
      <c r="A170" s="1"/>
      <c r="M170" s="1"/>
      <c r="Y170" s="1"/>
      <c r="AK170" s="1"/>
      <c r="AQ170" s="1"/>
      <c r="AW170" s="1"/>
      <c r="BC170" s="1"/>
      <c r="BD170" s="1"/>
      <c r="BE170" s="1"/>
      <c r="BF170" s="1"/>
      <c r="BG170" s="1"/>
      <c r="BH170" s="1"/>
      <c r="BI170" s="1"/>
      <c r="BO170" s="1"/>
      <c r="BP170" s="1"/>
      <c r="BQ170" s="1"/>
      <c r="BR170" s="1"/>
      <c r="BS170" s="1"/>
      <c r="BT170" s="1"/>
      <c r="BU170" s="4"/>
    </row>
    <row r="171">
      <c r="A171" s="1"/>
      <c r="M171" s="1"/>
      <c r="Y171" s="1"/>
      <c r="AK171" s="1"/>
      <c r="AQ171" s="1"/>
      <c r="AW171" s="1"/>
      <c r="BC171" s="1"/>
      <c r="BD171" s="1"/>
      <c r="BE171" s="1"/>
      <c r="BF171" s="1"/>
      <c r="BG171" s="1"/>
      <c r="BH171" s="1"/>
      <c r="BI171" s="1"/>
      <c r="BO171" s="1"/>
      <c r="BP171" s="1"/>
      <c r="BQ171" s="1"/>
      <c r="BR171" s="1"/>
      <c r="BS171" s="1"/>
      <c r="BT171" s="1"/>
      <c r="BU171" s="4"/>
    </row>
    <row r="172">
      <c r="A172" s="1"/>
      <c r="M172" s="1"/>
      <c r="Y172" s="1"/>
      <c r="AK172" s="1"/>
      <c r="AQ172" s="1"/>
      <c r="AW172" s="1"/>
      <c r="BC172" s="1"/>
      <c r="BD172" s="1"/>
      <c r="BE172" s="1"/>
      <c r="BF172" s="1"/>
      <c r="BG172" s="1"/>
      <c r="BH172" s="1"/>
      <c r="BI172" s="1"/>
      <c r="BO172" s="1"/>
      <c r="BP172" s="1"/>
      <c r="BQ172" s="1"/>
      <c r="BR172" s="1"/>
      <c r="BS172" s="1"/>
      <c r="BT172" s="1"/>
      <c r="BU172" s="4"/>
    </row>
    <row r="173">
      <c r="A173" s="1"/>
      <c r="M173" s="1"/>
      <c r="Y173" s="1"/>
      <c r="AK173" s="1"/>
      <c r="AQ173" s="1"/>
      <c r="AW173" s="1"/>
      <c r="BC173" s="1"/>
      <c r="BD173" s="1"/>
      <c r="BE173" s="1"/>
      <c r="BF173" s="1"/>
      <c r="BG173" s="1"/>
      <c r="BH173" s="1"/>
      <c r="BI173" s="1"/>
      <c r="BO173" s="1"/>
      <c r="BP173" s="1"/>
      <c r="BQ173" s="1"/>
      <c r="BR173" s="1"/>
      <c r="BS173" s="1"/>
      <c r="BT173" s="1"/>
      <c r="BU173" s="4"/>
    </row>
    <row r="174">
      <c r="A174" s="1"/>
      <c r="M174" s="1"/>
      <c r="Y174" s="1"/>
      <c r="AK174" s="1"/>
      <c r="AQ174" s="1"/>
      <c r="AW174" s="1"/>
      <c r="BC174" s="1"/>
      <c r="BD174" s="1"/>
      <c r="BE174" s="1"/>
      <c r="BF174" s="1"/>
      <c r="BG174" s="1"/>
      <c r="BH174" s="1"/>
      <c r="BI174" s="1"/>
      <c r="BO174" s="1"/>
      <c r="BP174" s="1"/>
      <c r="BQ174" s="1"/>
      <c r="BR174" s="1"/>
      <c r="BS174" s="1"/>
      <c r="BT174" s="1"/>
      <c r="BU174" s="4"/>
    </row>
    <row r="175">
      <c r="A175" s="1"/>
      <c r="M175" s="1"/>
      <c r="Y175" s="1"/>
      <c r="AK175" s="1"/>
      <c r="AQ175" s="1"/>
      <c r="AW175" s="1"/>
      <c r="BC175" s="1"/>
      <c r="BD175" s="1"/>
      <c r="BE175" s="1"/>
      <c r="BF175" s="1"/>
      <c r="BG175" s="1"/>
      <c r="BH175" s="1"/>
      <c r="BI175" s="1"/>
      <c r="BO175" s="1"/>
      <c r="BP175" s="1"/>
      <c r="BQ175" s="1"/>
      <c r="BR175" s="1"/>
      <c r="BS175" s="1"/>
      <c r="BT175" s="1"/>
      <c r="BU175" s="4"/>
    </row>
    <row r="176">
      <c r="A176" s="1"/>
      <c r="M176" s="1"/>
      <c r="Y176" s="1"/>
      <c r="AK176" s="1"/>
      <c r="AQ176" s="1"/>
      <c r="AW176" s="1"/>
      <c r="BC176" s="1"/>
      <c r="BD176" s="1"/>
      <c r="BE176" s="1"/>
      <c r="BF176" s="1"/>
      <c r="BG176" s="1"/>
      <c r="BH176" s="1"/>
      <c r="BI176" s="1"/>
      <c r="BO176" s="1"/>
      <c r="BP176" s="1"/>
      <c r="BQ176" s="1"/>
      <c r="BR176" s="1"/>
      <c r="BS176" s="1"/>
      <c r="BT176" s="1"/>
      <c r="BU176" s="4"/>
    </row>
    <row r="177">
      <c r="A177" s="1"/>
      <c r="M177" s="1"/>
      <c r="Y177" s="1"/>
      <c r="AK177" s="1"/>
      <c r="AQ177" s="1"/>
      <c r="AW177" s="1"/>
      <c r="BC177" s="1"/>
      <c r="BD177" s="1"/>
      <c r="BE177" s="1"/>
      <c r="BF177" s="1"/>
      <c r="BG177" s="1"/>
      <c r="BH177" s="1"/>
      <c r="BI177" s="1"/>
      <c r="BO177" s="1"/>
      <c r="BP177" s="1"/>
      <c r="BQ177" s="1"/>
      <c r="BR177" s="1"/>
      <c r="BS177" s="1"/>
      <c r="BT177" s="1"/>
      <c r="BU177" s="4"/>
    </row>
    <row r="178">
      <c r="A178" s="1"/>
      <c r="M178" s="1"/>
      <c r="Y178" s="1"/>
      <c r="AK178" s="1"/>
      <c r="AQ178" s="1"/>
      <c r="AW178" s="1"/>
      <c r="BC178" s="1"/>
      <c r="BD178" s="1"/>
      <c r="BE178" s="1"/>
      <c r="BF178" s="1"/>
      <c r="BG178" s="1"/>
      <c r="BH178" s="1"/>
      <c r="BI178" s="1"/>
      <c r="BO178" s="1"/>
      <c r="BP178" s="1"/>
      <c r="BQ178" s="1"/>
      <c r="BR178" s="1"/>
      <c r="BS178" s="1"/>
      <c r="BT178" s="1"/>
      <c r="BU178" s="4"/>
    </row>
    <row r="179">
      <c r="A179" s="1"/>
      <c r="M179" s="1"/>
      <c r="Y179" s="1"/>
      <c r="AK179" s="1"/>
      <c r="AQ179" s="1"/>
      <c r="AW179" s="1"/>
      <c r="BC179" s="1"/>
      <c r="BD179" s="1"/>
      <c r="BE179" s="1"/>
      <c r="BF179" s="1"/>
      <c r="BG179" s="1"/>
      <c r="BH179" s="1"/>
      <c r="BI179" s="1"/>
      <c r="BO179" s="1"/>
      <c r="BP179" s="1"/>
      <c r="BQ179" s="1"/>
      <c r="BR179" s="1"/>
      <c r="BS179" s="1"/>
      <c r="BT179" s="1"/>
      <c r="BU179" s="4"/>
    </row>
    <row r="180">
      <c r="A180" s="1"/>
      <c r="M180" s="1"/>
      <c r="Y180" s="1"/>
      <c r="AK180" s="1"/>
      <c r="AQ180" s="1"/>
      <c r="AW180" s="1"/>
      <c r="BC180" s="1"/>
      <c r="BD180" s="1"/>
      <c r="BE180" s="1"/>
      <c r="BF180" s="1"/>
      <c r="BG180" s="1"/>
      <c r="BH180" s="1"/>
      <c r="BI180" s="1"/>
      <c r="BO180" s="1"/>
      <c r="BP180" s="1"/>
      <c r="BQ180" s="1"/>
      <c r="BR180" s="1"/>
      <c r="BS180" s="1"/>
      <c r="BT180" s="1"/>
      <c r="BU180" s="4"/>
    </row>
    <row r="181">
      <c r="A181" s="1"/>
      <c r="M181" s="1"/>
      <c r="Y181" s="1"/>
      <c r="AK181" s="1"/>
      <c r="AQ181" s="1"/>
      <c r="AW181" s="1"/>
      <c r="BC181" s="1"/>
      <c r="BD181" s="1"/>
      <c r="BE181" s="1"/>
      <c r="BF181" s="1"/>
      <c r="BG181" s="1"/>
      <c r="BH181" s="1"/>
      <c r="BI181" s="1"/>
      <c r="BO181" s="1"/>
      <c r="BP181" s="1"/>
      <c r="BQ181" s="1"/>
      <c r="BR181" s="1"/>
      <c r="BS181" s="1"/>
      <c r="BT181" s="1"/>
      <c r="BU181" s="4"/>
    </row>
    <row r="182">
      <c r="A182" s="1"/>
      <c r="M182" s="1"/>
      <c r="Y182" s="1"/>
      <c r="AK182" s="1"/>
      <c r="AQ182" s="1"/>
      <c r="AW182" s="1"/>
      <c r="BC182" s="1"/>
      <c r="BD182" s="1"/>
      <c r="BE182" s="1"/>
      <c r="BF182" s="1"/>
      <c r="BG182" s="1"/>
      <c r="BH182" s="1"/>
      <c r="BI182" s="1"/>
      <c r="BO182" s="1"/>
      <c r="BP182" s="1"/>
      <c r="BQ182" s="1"/>
      <c r="BR182" s="1"/>
      <c r="BS182" s="1"/>
      <c r="BT182" s="1"/>
      <c r="BU182" s="4"/>
    </row>
    <row r="183">
      <c r="A183" s="1"/>
      <c r="M183" s="1"/>
      <c r="Y183" s="1"/>
      <c r="AK183" s="1"/>
      <c r="AQ183" s="1"/>
      <c r="AW183" s="1"/>
      <c r="BC183" s="1"/>
      <c r="BD183" s="1"/>
      <c r="BE183" s="1"/>
      <c r="BF183" s="1"/>
      <c r="BG183" s="1"/>
      <c r="BH183" s="1"/>
      <c r="BI183" s="1"/>
      <c r="BO183" s="1"/>
      <c r="BP183" s="1"/>
      <c r="BQ183" s="1"/>
      <c r="BR183" s="1"/>
      <c r="BS183" s="1"/>
      <c r="BT183" s="1"/>
      <c r="BU183" s="4"/>
    </row>
    <row r="184">
      <c r="A184" s="1"/>
      <c r="M184" s="1"/>
      <c r="Y184" s="1"/>
      <c r="AK184" s="1"/>
      <c r="AQ184" s="1"/>
      <c r="AW184" s="1"/>
      <c r="BC184" s="1"/>
      <c r="BD184" s="1"/>
      <c r="BE184" s="1"/>
      <c r="BF184" s="1"/>
      <c r="BG184" s="1"/>
      <c r="BH184" s="1"/>
      <c r="BI184" s="1"/>
      <c r="BO184" s="1"/>
      <c r="BP184" s="1"/>
      <c r="BQ184" s="1"/>
      <c r="BR184" s="1"/>
      <c r="BS184" s="1"/>
      <c r="BT184" s="1"/>
      <c r="BU184" s="4"/>
    </row>
    <row r="185">
      <c r="A185" s="1"/>
      <c r="M185" s="1"/>
      <c r="Y185" s="1"/>
      <c r="AK185" s="1"/>
      <c r="AQ185" s="1"/>
      <c r="AW185" s="1"/>
      <c r="BC185" s="1"/>
      <c r="BD185" s="1"/>
      <c r="BE185" s="1"/>
      <c r="BF185" s="1"/>
      <c r="BG185" s="1"/>
      <c r="BH185" s="1"/>
      <c r="BI185" s="1"/>
      <c r="BO185" s="1"/>
      <c r="BP185" s="1"/>
      <c r="BQ185" s="1"/>
      <c r="BR185" s="1"/>
      <c r="BS185" s="1"/>
      <c r="BT185" s="1"/>
      <c r="BU185" s="4"/>
    </row>
    <row r="186">
      <c r="A186" s="1"/>
      <c r="M186" s="1"/>
      <c r="Y186" s="1"/>
      <c r="AK186" s="1"/>
      <c r="AQ186" s="1"/>
      <c r="AW186" s="1"/>
      <c r="BC186" s="1"/>
      <c r="BD186" s="1"/>
      <c r="BE186" s="1"/>
      <c r="BF186" s="1"/>
      <c r="BG186" s="1"/>
      <c r="BH186" s="1"/>
      <c r="BI186" s="1"/>
      <c r="BO186" s="1"/>
      <c r="BP186" s="1"/>
      <c r="BQ186" s="1"/>
      <c r="BR186" s="1"/>
      <c r="BS186" s="1"/>
      <c r="BT186" s="1"/>
      <c r="BU186" s="4"/>
    </row>
    <row r="187">
      <c r="A187" s="1"/>
      <c r="M187" s="1"/>
      <c r="Y187" s="1"/>
      <c r="AK187" s="1"/>
      <c r="AQ187" s="1"/>
      <c r="AW187" s="1"/>
      <c r="BC187" s="1"/>
      <c r="BD187" s="1"/>
      <c r="BE187" s="1"/>
      <c r="BF187" s="1"/>
      <c r="BG187" s="1"/>
      <c r="BH187" s="1"/>
      <c r="BI187" s="1"/>
      <c r="BO187" s="1"/>
      <c r="BP187" s="1"/>
      <c r="BQ187" s="1"/>
      <c r="BR187" s="1"/>
      <c r="BS187" s="1"/>
      <c r="BT187" s="1"/>
      <c r="BU187" s="4"/>
    </row>
    <row r="188">
      <c r="A188" s="1"/>
      <c r="M188" s="1"/>
      <c r="Y188" s="1"/>
      <c r="AK188" s="1"/>
      <c r="AQ188" s="1"/>
      <c r="AW188" s="1"/>
      <c r="BC188" s="1"/>
      <c r="BD188" s="1"/>
      <c r="BE188" s="1"/>
      <c r="BF188" s="1"/>
      <c r="BG188" s="1"/>
      <c r="BH188" s="1"/>
      <c r="BI188" s="1"/>
      <c r="BO188" s="1"/>
      <c r="BP188" s="1"/>
      <c r="BQ188" s="1"/>
      <c r="BR188" s="1"/>
      <c r="BS188" s="1"/>
      <c r="BT188" s="1"/>
      <c r="BU188" s="4"/>
    </row>
    <row r="189">
      <c r="A189" s="1"/>
      <c r="M189" s="1"/>
      <c r="Y189" s="1"/>
      <c r="AK189" s="1"/>
      <c r="AQ189" s="1"/>
      <c r="AW189" s="1"/>
      <c r="BC189" s="1"/>
      <c r="BD189" s="1"/>
      <c r="BE189" s="1"/>
      <c r="BF189" s="1"/>
      <c r="BG189" s="1"/>
      <c r="BH189" s="1"/>
      <c r="BI189" s="1"/>
      <c r="BO189" s="1"/>
      <c r="BP189" s="1"/>
      <c r="BQ189" s="1"/>
      <c r="BR189" s="1"/>
      <c r="BS189" s="1"/>
      <c r="BT189" s="1"/>
      <c r="BU189" s="4"/>
    </row>
    <row r="190">
      <c r="A190" s="1"/>
      <c r="M190" s="1"/>
      <c r="Y190" s="1"/>
      <c r="AK190" s="1"/>
      <c r="AQ190" s="1"/>
      <c r="AW190" s="1"/>
      <c r="BC190" s="1"/>
      <c r="BD190" s="1"/>
      <c r="BE190" s="1"/>
      <c r="BF190" s="1"/>
      <c r="BG190" s="1"/>
      <c r="BH190" s="1"/>
      <c r="BI190" s="1"/>
      <c r="BO190" s="1"/>
      <c r="BP190" s="1"/>
      <c r="BQ190" s="1"/>
      <c r="BR190" s="1"/>
      <c r="BS190" s="1"/>
      <c r="BT190" s="1"/>
      <c r="BU190" s="4"/>
    </row>
    <row r="191">
      <c r="A191" s="1"/>
      <c r="M191" s="1"/>
      <c r="Y191" s="1"/>
      <c r="AK191" s="1"/>
      <c r="AQ191" s="1"/>
      <c r="AW191" s="1"/>
      <c r="BC191" s="1"/>
      <c r="BD191" s="1"/>
      <c r="BE191" s="1"/>
      <c r="BF191" s="1"/>
      <c r="BG191" s="1"/>
      <c r="BH191" s="1"/>
      <c r="BI191" s="1"/>
      <c r="BO191" s="1"/>
      <c r="BP191" s="1"/>
      <c r="BQ191" s="1"/>
      <c r="BR191" s="1"/>
      <c r="BS191" s="1"/>
      <c r="BT191" s="1"/>
      <c r="BU191" s="4"/>
    </row>
    <row r="192">
      <c r="A192" s="1"/>
      <c r="M192" s="1"/>
      <c r="Y192" s="1"/>
      <c r="AK192" s="1"/>
      <c r="AQ192" s="1"/>
      <c r="AW192" s="1"/>
      <c r="BC192" s="1"/>
      <c r="BD192" s="1"/>
      <c r="BE192" s="1"/>
      <c r="BF192" s="1"/>
      <c r="BG192" s="1"/>
      <c r="BH192" s="1"/>
      <c r="BI192" s="1"/>
      <c r="BO192" s="1"/>
      <c r="BP192" s="1"/>
      <c r="BQ192" s="1"/>
      <c r="BR192" s="1"/>
      <c r="BS192" s="1"/>
      <c r="BT192" s="1"/>
      <c r="BU192" s="4"/>
    </row>
    <row r="193">
      <c r="A193" s="1"/>
      <c r="M193" s="1"/>
      <c r="Y193" s="1"/>
      <c r="AK193" s="1"/>
      <c r="AQ193" s="1"/>
      <c r="AW193" s="1"/>
      <c r="BC193" s="1"/>
      <c r="BD193" s="1"/>
      <c r="BE193" s="1"/>
      <c r="BF193" s="1"/>
      <c r="BG193" s="1"/>
      <c r="BH193" s="1"/>
      <c r="BI193" s="1"/>
      <c r="BO193" s="1"/>
      <c r="BP193" s="1"/>
      <c r="BQ193" s="1"/>
      <c r="BR193" s="1"/>
      <c r="BS193" s="1"/>
      <c r="BT193" s="1"/>
      <c r="BU193" s="4"/>
    </row>
    <row r="194">
      <c r="A194" s="1"/>
      <c r="M194" s="1"/>
      <c r="Y194" s="1"/>
      <c r="AK194" s="1"/>
      <c r="AQ194" s="1"/>
      <c r="AW194" s="1"/>
      <c r="BC194" s="1"/>
      <c r="BD194" s="1"/>
      <c r="BE194" s="1"/>
      <c r="BF194" s="1"/>
      <c r="BG194" s="1"/>
      <c r="BH194" s="1"/>
      <c r="BI194" s="1"/>
      <c r="BO194" s="1"/>
      <c r="BP194" s="1"/>
      <c r="BQ194" s="1"/>
      <c r="BR194" s="1"/>
      <c r="BS194" s="1"/>
      <c r="BT194" s="1"/>
      <c r="BU194" s="4"/>
    </row>
    <row r="195">
      <c r="A195" s="1"/>
      <c r="M195" s="1"/>
      <c r="Y195" s="1"/>
      <c r="AK195" s="1"/>
      <c r="AQ195" s="1"/>
      <c r="AW195" s="1"/>
      <c r="BC195" s="1"/>
      <c r="BD195" s="1"/>
      <c r="BE195" s="1"/>
      <c r="BF195" s="1"/>
      <c r="BG195" s="1"/>
      <c r="BH195" s="1"/>
      <c r="BI195" s="1"/>
      <c r="BO195" s="1"/>
      <c r="BP195" s="1"/>
      <c r="BQ195" s="1"/>
      <c r="BR195" s="1"/>
      <c r="BS195" s="1"/>
      <c r="BT195" s="1"/>
      <c r="BU195" s="4"/>
    </row>
    <row r="196">
      <c r="A196" s="1"/>
      <c r="M196" s="1"/>
      <c r="Y196" s="1"/>
      <c r="AK196" s="1"/>
      <c r="AQ196" s="1"/>
      <c r="AW196" s="1"/>
      <c r="BC196" s="1"/>
      <c r="BD196" s="1"/>
      <c r="BE196" s="1"/>
      <c r="BF196" s="1"/>
      <c r="BG196" s="1"/>
      <c r="BH196" s="1"/>
      <c r="BI196" s="1"/>
      <c r="BO196" s="1"/>
      <c r="BP196" s="1"/>
      <c r="BQ196" s="1"/>
      <c r="BR196" s="1"/>
      <c r="BS196" s="1"/>
      <c r="BT196" s="1"/>
      <c r="BU196" s="4"/>
    </row>
    <row r="197">
      <c r="A197" s="1"/>
      <c r="M197" s="1"/>
      <c r="Y197" s="1"/>
      <c r="AK197" s="1"/>
      <c r="AQ197" s="1"/>
      <c r="AW197" s="1"/>
      <c r="BC197" s="1"/>
      <c r="BD197" s="1"/>
      <c r="BE197" s="1"/>
      <c r="BF197" s="1"/>
      <c r="BG197" s="1"/>
      <c r="BH197" s="1"/>
      <c r="BI197" s="1"/>
      <c r="BO197" s="1"/>
      <c r="BP197" s="1"/>
      <c r="BQ197" s="1"/>
      <c r="BR197" s="1"/>
      <c r="BS197" s="1"/>
      <c r="BT197" s="1"/>
      <c r="BU197" s="4"/>
    </row>
    <row r="198">
      <c r="A198" s="1"/>
      <c r="M198" s="1"/>
      <c r="Y198" s="1"/>
      <c r="AK198" s="1"/>
      <c r="AQ198" s="1"/>
      <c r="AW198" s="1"/>
      <c r="BC198" s="1"/>
      <c r="BD198" s="1"/>
      <c r="BE198" s="1"/>
      <c r="BF198" s="1"/>
      <c r="BG198" s="1"/>
      <c r="BH198" s="1"/>
      <c r="BI198" s="1"/>
      <c r="BO198" s="1"/>
      <c r="BP198" s="1"/>
      <c r="BQ198" s="1"/>
      <c r="BR198" s="1"/>
      <c r="BS198" s="1"/>
      <c r="BT198" s="1"/>
      <c r="BU198" s="4"/>
    </row>
    <row r="199">
      <c r="A199" s="1"/>
      <c r="M199" s="1"/>
      <c r="Y199" s="1"/>
      <c r="AK199" s="1"/>
      <c r="AQ199" s="1"/>
      <c r="AW199" s="1"/>
      <c r="BC199" s="1"/>
      <c r="BD199" s="1"/>
      <c r="BE199" s="1"/>
      <c r="BF199" s="1"/>
      <c r="BG199" s="1"/>
      <c r="BH199" s="1"/>
      <c r="BI199" s="1"/>
      <c r="BO199" s="1"/>
      <c r="BP199" s="1"/>
      <c r="BQ199" s="1"/>
      <c r="BR199" s="1"/>
      <c r="BS199" s="1"/>
      <c r="BT199" s="1"/>
      <c r="BU199" s="4"/>
    </row>
    <row r="200">
      <c r="A200" s="1"/>
      <c r="M200" s="1"/>
      <c r="Y200" s="1"/>
      <c r="AK200" s="1"/>
      <c r="AQ200" s="1"/>
      <c r="AW200" s="1"/>
      <c r="BC200" s="1"/>
      <c r="BD200" s="1"/>
      <c r="BE200" s="1"/>
      <c r="BF200" s="1"/>
      <c r="BG200" s="1"/>
      <c r="BH200" s="1"/>
      <c r="BI200" s="1"/>
      <c r="BO200" s="1"/>
      <c r="BP200" s="1"/>
      <c r="BQ200" s="1"/>
      <c r="BR200" s="1"/>
      <c r="BS200" s="1"/>
      <c r="BT200" s="1"/>
      <c r="BU200" s="4"/>
    </row>
    <row r="201">
      <c r="A201" s="1"/>
      <c r="M201" s="1"/>
      <c r="Y201" s="1"/>
      <c r="AK201" s="1"/>
      <c r="AQ201" s="1"/>
      <c r="AW201" s="1"/>
      <c r="BC201" s="1"/>
      <c r="BD201" s="1"/>
      <c r="BE201" s="1"/>
      <c r="BF201" s="1"/>
      <c r="BG201" s="1"/>
      <c r="BH201" s="1"/>
      <c r="BI201" s="1"/>
      <c r="BO201" s="1"/>
      <c r="BP201" s="1"/>
      <c r="BQ201" s="1"/>
      <c r="BR201" s="1"/>
      <c r="BS201" s="1"/>
      <c r="BT201" s="1"/>
      <c r="BU201" s="4"/>
    </row>
    <row r="202">
      <c r="A202" s="1"/>
      <c r="M202" s="1"/>
      <c r="Y202" s="1"/>
      <c r="AK202" s="1"/>
      <c r="AQ202" s="1"/>
      <c r="AW202" s="1"/>
      <c r="BC202" s="1"/>
      <c r="BD202" s="1"/>
      <c r="BE202" s="1"/>
      <c r="BF202" s="1"/>
      <c r="BG202" s="1"/>
      <c r="BH202" s="1"/>
      <c r="BI202" s="1"/>
      <c r="BO202" s="1"/>
      <c r="BP202" s="1"/>
      <c r="BQ202" s="1"/>
      <c r="BR202" s="1"/>
      <c r="BS202" s="1"/>
      <c r="BT202" s="1"/>
      <c r="BU202" s="4"/>
    </row>
    <row r="203">
      <c r="A203" s="1"/>
      <c r="M203" s="1"/>
      <c r="Y203" s="1"/>
      <c r="AK203" s="1"/>
      <c r="AQ203" s="1"/>
      <c r="AW203" s="1"/>
      <c r="BC203" s="1"/>
      <c r="BD203" s="1"/>
      <c r="BE203" s="1"/>
      <c r="BF203" s="1"/>
      <c r="BG203" s="1"/>
      <c r="BH203" s="1"/>
      <c r="BI203" s="1"/>
      <c r="BO203" s="1"/>
      <c r="BP203" s="1"/>
      <c r="BQ203" s="1"/>
      <c r="BR203" s="1"/>
      <c r="BS203" s="1"/>
      <c r="BT203" s="1"/>
      <c r="BU203" s="4"/>
    </row>
    <row r="204">
      <c r="A204" s="1"/>
      <c r="M204" s="1"/>
      <c r="Y204" s="1"/>
      <c r="AK204" s="1"/>
      <c r="AQ204" s="1"/>
      <c r="AW204" s="1"/>
      <c r="BC204" s="1"/>
      <c r="BD204" s="1"/>
      <c r="BE204" s="1"/>
      <c r="BF204" s="1"/>
      <c r="BG204" s="1"/>
      <c r="BH204" s="1"/>
      <c r="BI204" s="1"/>
      <c r="BO204" s="1"/>
      <c r="BP204" s="1"/>
      <c r="BQ204" s="1"/>
      <c r="BR204" s="1"/>
      <c r="BS204" s="1"/>
      <c r="BT204" s="1"/>
      <c r="BU204" s="4"/>
    </row>
    <row r="205">
      <c r="A205" s="1"/>
      <c r="M205" s="1"/>
      <c r="Y205" s="1"/>
      <c r="AK205" s="1"/>
      <c r="AQ205" s="1"/>
      <c r="AW205" s="1"/>
      <c r="BC205" s="1"/>
      <c r="BD205" s="1"/>
      <c r="BE205" s="1"/>
      <c r="BF205" s="1"/>
      <c r="BG205" s="1"/>
      <c r="BH205" s="1"/>
      <c r="BI205" s="1"/>
      <c r="BO205" s="1"/>
      <c r="BP205" s="1"/>
      <c r="BQ205" s="1"/>
      <c r="BR205" s="1"/>
      <c r="BS205" s="1"/>
      <c r="BT205" s="1"/>
      <c r="BU205" s="4"/>
    </row>
    <row r="206">
      <c r="A206" s="1"/>
      <c r="M206" s="1"/>
      <c r="Y206" s="1"/>
      <c r="AK206" s="1"/>
      <c r="AQ206" s="1"/>
      <c r="AW206" s="1"/>
      <c r="BC206" s="1"/>
      <c r="BD206" s="1"/>
      <c r="BE206" s="1"/>
      <c r="BF206" s="1"/>
      <c r="BG206" s="1"/>
      <c r="BH206" s="1"/>
      <c r="BI206" s="1"/>
      <c r="BO206" s="1"/>
      <c r="BP206" s="1"/>
      <c r="BQ206" s="1"/>
      <c r="BR206" s="1"/>
      <c r="BS206" s="1"/>
      <c r="BT206" s="1"/>
      <c r="BU206" s="4"/>
    </row>
    <row r="207">
      <c r="A207" s="1"/>
      <c r="M207" s="1"/>
      <c r="Y207" s="1"/>
      <c r="AK207" s="1"/>
      <c r="AQ207" s="1"/>
      <c r="AW207" s="1"/>
      <c r="BC207" s="1"/>
      <c r="BD207" s="1"/>
      <c r="BE207" s="1"/>
      <c r="BF207" s="1"/>
      <c r="BG207" s="1"/>
      <c r="BH207" s="1"/>
      <c r="BI207" s="1"/>
      <c r="BO207" s="1"/>
      <c r="BP207" s="1"/>
      <c r="BQ207" s="1"/>
      <c r="BR207" s="1"/>
      <c r="BS207" s="1"/>
      <c r="BT207" s="1"/>
      <c r="BU207" s="4"/>
    </row>
    <row r="208">
      <c r="A208" s="1"/>
      <c r="M208" s="1"/>
      <c r="Y208" s="1"/>
      <c r="AK208" s="1"/>
      <c r="AQ208" s="1"/>
      <c r="AW208" s="1"/>
      <c r="BC208" s="1"/>
      <c r="BD208" s="1"/>
      <c r="BE208" s="1"/>
      <c r="BF208" s="1"/>
      <c r="BG208" s="1"/>
      <c r="BH208" s="1"/>
      <c r="BI208" s="1"/>
      <c r="BO208" s="1"/>
      <c r="BP208" s="1"/>
      <c r="BQ208" s="1"/>
      <c r="BR208" s="1"/>
      <c r="BS208" s="1"/>
      <c r="BT208" s="1"/>
      <c r="BU208" s="4"/>
    </row>
    <row r="209">
      <c r="A209" s="1"/>
      <c r="M209" s="1"/>
      <c r="Y209" s="1"/>
      <c r="AK209" s="1"/>
      <c r="AQ209" s="1"/>
      <c r="AW209" s="1"/>
      <c r="BC209" s="1"/>
      <c r="BD209" s="1"/>
      <c r="BE209" s="1"/>
      <c r="BF209" s="1"/>
      <c r="BG209" s="1"/>
      <c r="BH209" s="1"/>
      <c r="BI209" s="1"/>
      <c r="BO209" s="1"/>
      <c r="BP209" s="1"/>
      <c r="BQ209" s="1"/>
      <c r="BR209" s="1"/>
      <c r="BS209" s="1"/>
      <c r="BT209" s="1"/>
      <c r="BU209" s="4"/>
    </row>
    <row r="210">
      <c r="A210" s="1"/>
      <c r="M210" s="1"/>
      <c r="Y210" s="1"/>
      <c r="AK210" s="1"/>
      <c r="AQ210" s="1"/>
      <c r="AW210" s="1"/>
      <c r="BC210" s="1"/>
      <c r="BD210" s="1"/>
      <c r="BE210" s="1"/>
      <c r="BF210" s="1"/>
      <c r="BG210" s="1"/>
      <c r="BH210" s="1"/>
      <c r="BI210" s="1"/>
      <c r="BO210" s="1"/>
      <c r="BP210" s="1"/>
      <c r="BQ210" s="1"/>
      <c r="BR210" s="1"/>
      <c r="BS210" s="1"/>
      <c r="BT210" s="1"/>
      <c r="BU210" s="4"/>
    </row>
    <row r="211">
      <c r="A211" s="1"/>
      <c r="M211" s="1"/>
      <c r="Y211" s="1"/>
      <c r="AK211" s="1"/>
      <c r="AQ211" s="1"/>
      <c r="AW211" s="1"/>
      <c r="BC211" s="1"/>
      <c r="BD211" s="1"/>
      <c r="BE211" s="1"/>
      <c r="BF211" s="1"/>
      <c r="BG211" s="1"/>
      <c r="BH211" s="1"/>
      <c r="BI211" s="1"/>
      <c r="BO211" s="1"/>
      <c r="BP211" s="1"/>
      <c r="BQ211" s="1"/>
      <c r="BR211" s="1"/>
      <c r="BS211" s="1"/>
      <c r="BT211" s="1"/>
      <c r="BU211" s="4"/>
    </row>
    <row r="212">
      <c r="A212" s="1"/>
      <c r="M212" s="1"/>
      <c r="Y212" s="1"/>
      <c r="AK212" s="1"/>
      <c r="AQ212" s="1"/>
      <c r="AW212" s="1"/>
      <c r="BC212" s="1"/>
      <c r="BD212" s="1"/>
      <c r="BE212" s="1"/>
      <c r="BF212" s="1"/>
      <c r="BG212" s="1"/>
      <c r="BH212" s="1"/>
      <c r="BI212" s="1"/>
      <c r="BO212" s="1"/>
      <c r="BP212" s="1"/>
      <c r="BQ212" s="1"/>
      <c r="BR212" s="1"/>
      <c r="BS212" s="1"/>
      <c r="BT212" s="1"/>
      <c r="BU212" s="4"/>
    </row>
    <row r="213">
      <c r="A213" s="1"/>
      <c r="M213" s="1"/>
      <c r="Y213" s="1"/>
      <c r="AK213" s="1"/>
      <c r="AQ213" s="1"/>
      <c r="AW213" s="1"/>
      <c r="BC213" s="1"/>
      <c r="BD213" s="1"/>
      <c r="BE213" s="1"/>
      <c r="BF213" s="1"/>
      <c r="BG213" s="1"/>
      <c r="BH213" s="1"/>
      <c r="BI213" s="1"/>
      <c r="BO213" s="1"/>
      <c r="BP213" s="1"/>
      <c r="BQ213" s="1"/>
      <c r="BR213" s="1"/>
      <c r="BS213" s="1"/>
      <c r="BT213" s="1"/>
      <c r="BU213" s="4"/>
    </row>
    <row r="214">
      <c r="A214" s="1"/>
      <c r="M214" s="1"/>
      <c r="Y214" s="1"/>
      <c r="AK214" s="1"/>
      <c r="AQ214" s="1"/>
      <c r="AW214" s="1"/>
      <c r="BC214" s="1"/>
      <c r="BD214" s="1"/>
      <c r="BE214" s="1"/>
      <c r="BF214" s="1"/>
      <c r="BG214" s="1"/>
      <c r="BH214" s="1"/>
      <c r="BI214" s="1"/>
      <c r="BO214" s="1"/>
      <c r="BP214" s="1"/>
      <c r="BQ214" s="1"/>
      <c r="BR214" s="1"/>
      <c r="BS214" s="1"/>
      <c r="BT214" s="1"/>
      <c r="BU214" s="4"/>
    </row>
    <row r="215">
      <c r="A215" s="1"/>
      <c r="M215" s="1"/>
      <c r="Y215" s="1"/>
      <c r="AK215" s="1"/>
      <c r="AQ215" s="1"/>
      <c r="AW215" s="1"/>
      <c r="BC215" s="1"/>
      <c r="BD215" s="1"/>
      <c r="BE215" s="1"/>
      <c r="BF215" s="1"/>
      <c r="BG215" s="1"/>
      <c r="BH215" s="1"/>
      <c r="BI215" s="1"/>
      <c r="BO215" s="1"/>
      <c r="BP215" s="1"/>
      <c r="BQ215" s="1"/>
      <c r="BR215" s="1"/>
      <c r="BS215" s="1"/>
      <c r="BT215" s="1"/>
      <c r="BU215" s="4"/>
    </row>
    <row r="216">
      <c r="A216" s="1"/>
      <c r="M216" s="1"/>
      <c r="Y216" s="1"/>
      <c r="AK216" s="1"/>
      <c r="AQ216" s="1"/>
      <c r="AW216" s="1"/>
      <c r="BC216" s="1"/>
      <c r="BD216" s="1"/>
      <c r="BE216" s="1"/>
      <c r="BF216" s="1"/>
      <c r="BG216" s="1"/>
      <c r="BH216" s="1"/>
      <c r="BI216" s="1"/>
      <c r="BO216" s="1"/>
      <c r="BP216" s="1"/>
      <c r="BQ216" s="1"/>
      <c r="BR216" s="1"/>
      <c r="BS216" s="1"/>
      <c r="BT216" s="1"/>
      <c r="BU216" s="4"/>
    </row>
    <row r="217">
      <c r="A217" s="1"/>
      <c r="M217" s="1"/>
      <c r="Y217" s="1"/>
      <c r="AK217" s="1"/>
      <c r="AQ217" s="1"/>
      <c r="AW217" s="1"/>
      <c r="BC217" s="1"/>
      <c r="BD217" s="1"/>
      <c r="BE217" s="1"/>
      <c r="BF217" s="1"/>
      <c r="BG217" s="1"/>
      <c r="BH217" s="1"/>
      <c r="BI217" s="1"/>
      <c r="BO217" s="1"/>
      <c r="BP217" s="1"/>
      <c r="BQ217" s="1"/>
      <c r="BR217" s="1"/>
      <c r="BS217" s="1"/>
      <c r="BT217" s="1"/>
      <c r="BU217" s="4"/>
    </row>
    <row r="218">
      <c r="A218" s="1"/>
      <c r="M218" s="1"/>
      <c r="Y218" s="1"/>
      <c r="AK218" s="1"/>
      <c r="AQ218" s="1"/>
      <c r="AW218" s="1"/>
      <c r="BC218" s="1"/>
      <c r="BD218" s="1"/>
      <c r="BE218" s="1"/>
      <c r="BF218" s="1"/>
      <c r="BG218" s="1"/>
      <c r="BH218" s="1"/>
      <c r="BI218" s="1"/>
      <c r="BO218" s="1"/>
      <c r="BP218" s="1"/>
      <c r="BQ218" s="1"/>
      <c r="BR218" s="1"/>
      <c r="BS218" s="1"/>
      <c r="BT218" s="1"/>
      <c r="BU218" s="4"/>
    </row>
    <row r="219">
      <c r="A219" s="1"/>
      <c r="M219" s="1"/>
      <c r="Y219" s="1"/>
      <c r="AK219" s="1"/>
      <c r="AQ219" s="1"/>
      <c r="AW219" s="1"/>
      <c r="BC219" s="1"/>
      <c r="BD219" s="1"/>
      <c r="BE219" s="1"/>
      <c r="BF219" s="1"/>
      <c r="BG219" s="1"/>
      <c r="BH219" s="1"/>
      <c r="BI219" s="1"/>
      <c r="BO219" s="1"/>
      <c r="BP219" s="1"/>
      <c r="BQ219" s="1"/>
      <c r="BR219" s="1"/>
      <c r="BS219" s="1"/>
      <c r="BT219" s="1"/>
      <c r="BU219" s="4"/>
    </row>
    <row r="220">
      <c r="A220" s="1"/>
      <c r="M220" s="1"/>
      <c r="Y220" s="1"/>
      <c r="AK220" s="1"/>
      <c r="AQ220" s="1"/>
      <c r="AW220" s="1"/>
      <c r="BC220" s="1"/>
      <c r="BD220" s="1"/>
      <c r="BE220" s="1"/>
      <c r="BF220" s="1"/>
      <c r="BG220" s="1"/>
      <c r="BH220" s="1"/>
      <c r="BI220" s="1"/>
      <c r="BO220" s="1"/>
      <c r="BP220" s="1"/>
      <c r="BQ220" s="1"/>
      <c r="BR220" s="1"/>
      <c r="BS220" s="1"/>
      <c r="BT220" s="1"/>
      <c r="BU220" s="4"/>
    </row>
    <row r="221">
      <c r="A221" s="1"/>
      <c r="M221" s="1"/>
      <c r="Y221" s="1"/>
      <c r="AK221" s="1"/>
      <c r="AQ221" s="1"/>
      <c r="AW221" s="1"/>
      <c r="BC221" s="1"/>
      <c r="BD221" s="1"/>
      <c r="BE221" s="1"/>
      <c r="BF221" s="1"/>
      <c r="BG221" s="1"/>
      <c r="BH221" s="1"/>
      <c r="BI221" s="1"/>
      <c r="BO221" s="1"/>
      <c r="BP221" s="1"/>
      <c r="BQ221" s="1"/>
      <c r="BR221" s="1"/>
      <c r="BS221" s="1"/>
      <c r="BT221" s="1"/>
      <c r="BU221" s="4"/>
    </row>
    <row r="222">
      <c r="A222" s="1"/>
      <c r="M222" s="1"/>
      <c r="Y222" s="1"/>
      <c r="AK222" s="1"/>
      <c r="AQ222" s="1"/>
      <c r="AW222" s="1"/>
      <c r="BC222" s="1"/>
      <c r="BD222" s="1"/>
      <c r="BE222" s="1"/>
      <c r="BF222" s="1"/>
      <c r="BG222" s="1"/>
      <c r="BH222" s="1"/>
      <c r="BI222" s="1"/>
      <c r="BO222" s="1"/>
      <c r="BP222" s="1"/>
      <c r="BQ222" s="1"/>
      <c r="BR222" s="1"/>
      <c r="BS222" s="1"/>
      <c r="BT222" s="1"/>
      <c r="BU222" s="4"/>
    </row>
    <row r="223">
      <c r="A223" s="1"/>
      <c r="M223" s="1"/>
      <c r="Y223" s="1"/>
      <c r="AK223" s="1"/>
      <c r="AQ223" s="1"/>
      <c r="AW223" s="1"/>
      <c r="BC223" s="1"/>
      <c r="BD223" s="1"/>
      <c r="BE223" s="1"/>
      <c r="BF223" s="1"/>
      <c r="BG223" s="1"/>
      <c r="BH223" s="1"/>
      <c r="BI223" s="1"/>
      <c r="BO223" s="1"/>
      <c r="BP223" s="1"/>
      <c r="BQ223" s="1"/>
      <c r="BR223" s="1"/>
      <c r="BS223" s="1"/>
      <c r="BT223" s="1"/>
      <c r="BU223" s="4"/>
    </row>
    <row r="224">
      <c r="A224" s="1"/>
      <c r="M224" s="1"/>
      <c r="Y224" s="1"/>
      <c r="AK224" s="1"/>
      <c r="AQ224" s="1"/>
      <c r="AW224" s="1"/>
      <c r="BC224" s="1"/>
      <c r="BD224" s="1"/>
      <c r="BE224" s="1"/>
      <c r="BF224" s="1"/>
      <c r="BG224" s="1"/>
      <c r="BH224" s="1"/>
      <c r="BI224" s="1"/>
      <c r="BO224" s="1"/>
      <c r="BP224" s="1"/>
      <c r="BQ224" s="1"/>
      <c r="BR224" s="1"/>
      <c r="BS224" s="1"/>
      <c r="BT224" s="1"/>
      <c r="BU224" s="4"/>
    </row>
    <row r="225">
      <c r="A225" s="1"/>
      <c r="M225" s="1"/>
      <c r="Y225" s="1"/>
      <c r="AK225" s="1"/>
      <c r="AQ225" s="1"/>
      <c r="AW225" s="1"/>
      <c r="BC225" s="1"/>
      <c r="BD225" s="1"/>
      <c r="BE225" s="1"/>
      <c r="BF225" s="1"/>
      <c r="BG225" s="1"/>
      <c r="BH225" s="1"/>
      <c r="BI225" s="1"/>
      <c r="BO225" s="1"/>
      <c r="BP225" s="1"/>
      <c r="BQ225" s="1"/>
      <c r="BR225" s="1"/>
      <c r="BS225" s="1"/>
      <c r="BT225" s="1"/>
      <c r="BU225" s="4"/>
    </row>
    <row r="226">
      <c r="A226" s="1"/>
      <c r="M226" s="1"/>
      <c r="Y226" s="1"/>
      <c r="AK226" s="1"/>
      <c r="AQ226" s="1"/>
      <c r="AW226" s="1"/>
      <c r="BC226" s="1"/>
      <c r="BD226" s="1"/>
      <c r="BE226" s="1"/>
      <c r="BF226" s="1"/>
      <c r="BG226" s="1"/>
      <c r="BH226" s="1"/>
      <c r="BI226" s="1"/>
      <c r="BO226" s="1"/>
      <c r="BP226" s="1"/>
      <c r="BQ226" s="1"/>
      <c r="BR226" s="1"/>
      <c r="BS226" s="1"/>
      <c r="BT226" s="1"/>
      <c r="BU226" s="4"/>
    </row>
    <row r="227">
      <c r="A227" s="1"/>
      <c r="M227" s="1"/>
      <c r="Y227" s="1"/>
      <c r="AK227" s="1"/>
      <c r="AQ227" s="1"/>
      <c r="AW227" s="1"/>
      <c r="BC227" s="1"/>
      <c r="BD227" s="1"/>
      <c r="BE227" s="1"/>
      <c r="BF227" s="1"/>
      <c r="BG227" s="1"/>
      <c r="BH227" s="1"/>
      <c r="BI227" s="1"/>
      <c r="BO227" s="1"/>
      <c r="BP227" s="1"/>
      <c r="BQ227" s="1"/>
      <c r="BR227" s="1"/>
      <c r="BS227" s="1"/>
      <c r="BT227" s="1"/>
      <c r="BU227" s="4"/>
    </row>
    <row r="228">
      <c r="A228" s="1"/>
      <c r="M228" s="1"/>
      <c r="Y228" s="1"/>
      <c r="AK228" s="1"/>
      <c r="AQ228" s="1"/>
      <c r="AW228" s="1"/>
      <c r="BC228" s="1"/>
      <c r="BD228" s="1"/>
      <c r="BE228" s="1"/>
      <c r="BF228" s="1"/>
      <c r="BG228" s="1"/>
      <c r="BH228" s="1"/>
      <c r="BI228" s="1"/>
      <c r="BO228" s="1"/>
      <c r="BP228" s="1"/>
      <c r="BQ228" s="1"/>
      <c r="BR228" s="1"/>
      <c r="BS228" s="1"/>
      <c r="BT228" s="1"/>
      <c r="BU228" s="4"/>
    </row>
    <row r="229">
      <c r="A229" s="1"/>
      <c r="M229" s="1"/>
      <c r="Y229" s="1"/>
      <c r="AK229" s="1"/>
      <c r="AQ229" s="1"/>
      <c r="AW229" s="1"/>
      <c r="BC229" s="1"/>
      <c r="BD229" s="1"/>
      <c r="BE229" s="1"/>
      <c r="BF229" s="1"/>
      <c r="BG229" s="1"/>
      <c r="BH229" s="1"/>
      <c r="BI229" s="1"/>
      <c r="BO229" s="1"/>
      <c r="BP229" s="1"/>
      <c r="BQ229" s="1"/>
      <c r="BR229" s="1"/>
      <c r="BS229" s="1"/>
      <c r="BT229" s="1"/>
      <c r="BU229" s="4"/>
    </row>
    <row r="230">
      <c r="A230" s="1"/>
      <c r="M230" s="1"/>
      <c r="Y230" s="1"/>
      <c r="AK230" s="1"/>
      <c r="AQ230" s="1"/>
      <c r="AW230" s="1"/>
      <c r="BC230" s="1"/>
      <c r="BD230" s="1"/>
      <c r="BE230" s="1"/>
      <c r="BF230" s="1"/>
      <c r="BG230" s="1"/>
      <c r="BH230" s="1"/>
      <c r="BI230" s="1"/>
      <c r="BO230" s="1"/>
      <c r="BP230" s="1"/>
      <c r="BQ230" s="1"/>
      <c r="BR230" s="1"/>
      <c r="BS230" s="1"/>
      <c r="BT230" s="1"/>
      <c r="BU230" s="4"/>
    </row>
    <row r="231">
      <c r="A231" s="1"/>
      <c r="M231" s="1"/>
      <c r="Y231" s="1"/>
      <c r="AK231" s="1"/>
      <c r="AQ231" s="1"/>
      <c r="AW231" s="1"/>
      <c r="BC231" s="1"/>
      <c r="BD231" s="1"/>
      <c r="BE231" s="1"/>
      <c r="BF231" s="1"/>
      <c r="BG231" s="1"/>
      <c r="BH231" s="1"/>
      <c r="BI231" s="1"/>
      <c r="BO231" s="1"/>
      <c r="BP231" s="1"/>
      <c r="BQ231" s="1"/>
      <c r="BR231" s="1"/>
      <c r="BS231" s="1"/>
      <c r="BT231" s="1"/>
      <c r="BU231" s="4"/>
    </row>
    <row r="232">
      <c r="A232" s="1"/>
      <c r="M232" s="1"/>
      <c r="Y232" s="1"/>
      <c r="AK232" s="1"/>
      <c r="AQ232" s="1"/>
      <c r="AW232" s="1"/>
      <c r="BC232" s="1"/>
      <c r="BD232" s="1"/>
      <c r="BE232" s="1"/>
      <c r="BF232" s="1"/>
      <c r="BG232" s="1"/>
      <c r="BH232" s="1"/>
      <c r="BI232" s="1"/>
      <c r="BO232" s="1"/>
      <c r="BP232" s="1"/>
      <c r="BQ232" s="1"/>
      <c r="BR232" s="1"/>
      <c r="BS232" s="1"/>
      <c r="BT232" s="1"/>
      <c r="BU232" s="4"/>
    </row>
    <row r="233">
      <c r="A233" s="1"/>
      <c r="M233" s="1"/>
      <c r="Y233" s="1"/>
      <c r="AK233" s="1"/>
      <c r="AQ233" s="1"/>
      <c r="AW233" s="1"/>
      <c r="BC233" s="1"/>
      <c r="BD233" s="1"/>
      <c r="BE233" s="1"/>
      <c r="BF233" s="1"/>
      <c r="BG233" s="1"/>
      <c r="BH233" s="1"/>
      <c r="BI233" s="1"/>
      <c r="BO233" s="1"/>
      <c r="BP233" s="1"/>
      <c r="BQ233" s="1"/>
      <c r="BR233" s="1"/>
      <c r="BS233" s="1"/>
      <c r="BT233" s="1"/>
      <c r="BU233" s="4"/>
    </row>
    <row r="234">
      <c r="A234" s="1"/>
      <c r="M234" s="1"/>
      <c r="Y234" s="1"/>
      <c r="AK234" s="1"/>
      <c r="AQ234" s="1"/>
      <c r="AW234" s="1"/>
      <c r="BC234" s="1"/>
      <c r="BD234" s="1"/>
      <c r="BE234" s="1"/>
      <c r="BF234" s="1"/>
      <c r="BG234" s="1"/>
      <c r="BH234" s="1"/>
      <c r="BI234" s="1"/>
      <c r="BO234" s="1"/>
      <c r="BP234" s="1"/>
      <c r="BQ234" s="1"/>
      <c r="BR234" s="1"/>
      <c r="BS234" s="1"/>
      <c r="BT234" s="1"/>
      <c r="BU234" s="4"/>
    </row>
    <row r="235">
      <c r="A235" s="1"/>
      <c r="M235" s="1"/>
      <c r="Y235" s="1"/>
      <c r="AK235" s="1"/>
      <c r="AQ235" s="1"/>
      <c r="AW235" s="1"/>
      <c r="BC235" s="1"/>
      <c r="BD235" s="1"/>
      <c r="BE235" s="1"/>
      <c r="BF235" s="1"/>
      <c r="BG235" s="1"/>
      <c r="BH235" s="1"/>
      <c r="BI235" s="1"/>
      <c r="BO235" s="1"/>
      <c r="BP235" s="1"/>
      <c r="BQ235" s="1"/>
      <c r="BR235" s="1"/>
      <c r="BS235" s="1"/>
      <c r="BT235" s="1"/>
      <c r="BU235" s="4"/>
    </row>
    <row r="236">
      <c r="A236" s="1"/>
      <c r="M236" s="1"/>
      <c r="Y236" s="1"/>
      <c r="AK236" s="1"/>
      <c r="AQ236" s="1"/>
      <c r="AW236" s="1"/>
      <c r="BC236" s="1"/>
      <c r="BD236" s="1"/>
      <c r="BE236" s="1"/>
      <c r="BF236" s="1"/>
      <c r="BG236" s="1"/>
      <c r="BH236" s="1"/>
      <c r="BI236" s="1"/>
      <c r="BO236" s="1"/>
      <c r="BP236" s="1"/>
      <c r="BQ236" s="1"/>
      <c r="BR236" s="1"/>
      <c r="BS236" s="1"/>
      <c r="BT236" s="1"/>
      <c r="BU236" s="4"/>
    </row>
    <row r="237">
      <c r="A237" s="1"/>
      <c r="M237" s="1"/>
      <c r="Y237" s="1"/>
      <c r="AK237" s="1"/>
      <c r="AQ237" s="1"/>
      <c r="AW237" s="1"/>
      <c r="BC237" s="1"/>
      <c r="BD237" s="1"/>
      <c r="BE237" s="1"/>
      <c r="BF237" s="1"/>
      <c r="BG237" s="1"/>
      <c r="BH237" s="1"/>
      <c r="BI237" s="1"/>
      <c r="BO237" s="1"/>
      <c r="BP237" s="1"/>
      <c r="BQ237" s="1"/>
      <c r="BR237" s="1"/>
      <c r="BS237" s="1"/>
      <c r="BT237" s="1"/>
      <c r="BU237" s="4"/>
    </row>
    <row r="238">
      <c r="A238" s="1"/>
      <c r="M238" s="1"/>
      <c r="Y238" s="1"/>
      <c r="AK238" s="1"/>
      <c r="AQ238" s="1"/>
      <c r="AW238" s="1"/>
      <c r="BC238" s="1"/>
      <c r="BD238" s="1"/>
      <c r="BE238" s="1"/>
      <c r="BF238" s="1"/>
      <c r="BG238" s="1"/>
      <c r="BH238" s="1"/>
      <c r="BI238" s="1"/>
      <c r="BO238" s="1"/>
      <c r="BP238" s="1"/>
      <c r="BQ238" s="1"/>
      <c r="BR238" s="1"/>
      <c r="BS238" s="1"/>
      <c r="BT238" s="1"/>
      <c r="BU238" s="4"/>
    </row>
    <row r="239">
      <c r="A239" s="1"/>
      <c r="M239" s="1"/>
      <c r="Y239" s="1"/>
      <c r="AK239" s="1"/>
      <c r="AQ239" s="1"/>
      <c r="AW239" s="1"/>
      <c r="BC239" s="1"/>
      <c r="BD239" s="1"/>
      <c r="BE239" s="1"/>
      <c r="BF239" s="1"/>
      <c r="BG239" s="1"/>
      <c r="BH239" s="1"/>
      <c r="BI239" s="1"/>
      <c r="BO239" s="1"/>
      <c r="BP239" s="1"/>
      <c r="BQ239" s="1"/>
      <c r="BR239" s="1"/>
      <c r="BS239" s="1"/>
      <c r="BT239" s="1"/>
      <c r="BU239" s="4"/>
    </row>
    <row r="240">
      <c r="A240" s="1"/>
      <c r="M240" s="1"/>
      <c r="Y240" s="1"/>
      <c r="AK240" s="1"/>
      <c r="AQ240" s="1"/>
      <c r="AW240" s="1"/>
      <c r="BC240" s="1"/>
      <c r="BD240" s="1"/>
      <c r="BE240" s="1"/>
      <c r="BF240" s="1"/>
      <c r="BG240" s="1"/>
      <c r="BH240" s="1"/>
      <c r="BI240" s="1"/>
      <c r="BO240" s="1"/>
      <c r="BP240" s="1"/>
      <c r="BQ240" s="1"/>
      <c r="BR240" s="1"/>
      <c r="BS240" s="1"/>
      <c r="BT240" s="1"/>
      <c r="BU240" s="4"/>
    </row>
    <row r="241">
      <c r="A241" s="1"/>
      <c r="M241" s="1"/>
      <c r="Y241" s="1"/>
      <c r="AK241" s="1"/>
      <c r="AQ241" s="1"/>
      <c r="AW241" s="1"/>
      <c r="BC241" s="1"/>
      <c r="BD241" s="1"/>
      <c r="BE241" s="1"/>
      <c r="BF241" s="1"/>
      <c r="BG241" s="1"/>
      <c r="BH241" s="1"/>
      <c r="BI241" s="1"/>
      <c r="BO241" s="1"/>
      <c r="BP241" s="1"/>
      <c r="BQ241" s="1"/>
      <c r="BR241" s="1"/>
      <c r="BS241" s="1"/>
      <c r="BT241" s="1"/>
      <c r="BU241" s="4"/>
    </row>
    <row r="242">
      <c r="A242" s="1"/>
      <c r="M242" s="1"/>
      <c r="Y242" s="1"/>
      <c r="AK242" s="1"/>
      <c r="AQ242" s="1"/>
      <c r="AW242" s="1"/>
      <c r="BC242" s="1"/>
      <c r="BD242" s="1"/>
      <c r="BE242" s="1"/>
      <c r="BF242" s="1"/>
      <c r="BG242" s="1"/>
      <c r="BH242" s="1"/>
      <c r="BI242" s="1"/>
      <c r="BO242" s="1"/>
      <c r="BP242" s="1"/>
      <c r="BQ242" s="1"/>
      <c r="BR242" s="1"/>
      <c r="BS242" s="1"/>
      <c r="BT242" s="1"/>
      <c r="BU242" s="4"/>
    </row>
    <row r="243">
      <c r="A243" s="1"/>
      <c r="M243" s="1"/>
      <c r="Y243" s="1"/>
      <c r="AK243" s="1"/>
      <c r="AQ243" s="1"/>
      <c r="AW243" s="1"/>
      <c r="BC243" s="1"/>
      <c r="BD243" s="1"/>
      <c r="BE243" s="1"/>
      <c r="BF243" s="1"/>
      <c r="BG243" s="1"/>
      <c r="BH243" s="1"/>
      <c r="BI243" s="1"/>
      <c r="BO243" s="1"/>
      <c r="BP243" s="1"/>
      <c r="BQ243" s="1"/>
      <c r="BR243" s="1"/>
      <c r="BS243" s="1"/>
      <c r="BT243" s="1"/>
      <c r="BU243" s="4"/>
    </row>
    <row r="244">
      <c r="A244" s="1"/>
      <c r="M244" s="1"/>
      <c r="Y244" s="1"/>
      <c r="AK244" s="1"/>
      <c r="AQ244" s="1"/>
      <c r="AW244" s="1"/>
      <c r="BC244" s="1"/>
      <c r="BD244" s="1"/>
      <c r="BE244" s="1"/>
      <c r="BF244" s="1"/>
      <c r="BG244" s="1"/>
      <c r="BH244" s="1"/>
      <c r="BI244" s="1"/>
      <c r="BO244" s="1"/>
      <c r="BP244" s="1"/>
      <c r="BQ244" s="1"/>
      <c r="BR244" s="1"/>
      <c r="BS244" s="1"/>
      <c r="BT244" s="1"/>
      <c r="BU244" s="4"/>
    </row>
    <row r="245">
      <c r="A245" s="1"/>
      <c r="M245" s="1"/>
      <c r="Y245" s="1"/>
      <c r="AK245" s="1"/>
      <c r="AQ245" s="1"/>
      <c r="AW245" s="1"/>
      <c r="BC245" s="1"/>
      <c r="BD245" s="1"/>
      <c r="BE245" s="1"/>
      <c r="BF245" s="1"/>
      <c r="BG245" s="1"/>
      <c r="BH245" s="1"/>
      <c r="BI245" s="1"/>
      <c r="BO245" s="1"/>
      <c r="BP245" s="1"/>
      <c r="BQ245" s="1"/>
      <c r="BR245" s="1"/>
      <c r="BS245" s="1"/>
      <c r="BT245" s="1"/>
      <c r="BU245" s="4"/>
    </row>
    <row r="246">
      <c r="A246" s="1"/>
      <c r="M246" s="1"/>
      <c r="Y246" s="1"/>
      <c r="AK246" s="1"/>
      <c r="AQ246" s="1"/>
      <c r="AW246" s="1"/>
      <c r="BC246" s="1"/>
      <c r="BD246" s="1"/>
      <c r="BE246" s="1"/>
      <c r="BF246" s="1"/>
      <c r="BG246" s="1"/>
      <c r="BH246" s="1"/>
      <c r="BI246" s="1"/>
      <c r="BO246" s="1"/>
      <c r="BP246" s="1"/>
      <c r="BQ246" s="1"/>
      <c r="BR246" s="1"/>
      <c r="BS246" s="1"/>
      <c r="BT246" s="1"/>
      <c r="BU246" s="4"/>
    </row>
    <row r="247">
      <c r="A247" s="1"/>
      <c r="M247" s="1"/>
      <c r="Y247" s="1"/>
      <c r="AK247" s="1"/>
      <c r="AQ247" s="1"/>
      <c r="AW247" s="1"/>
      <c r="BC247" s="1"/>
      <c r="BD247" s="1"/>
      <c r="BE247" s="1"/>
      <c r="BF247" s="1"/>
      <c r="BG247" s="1"/>
      <c r="BH247" s="1"/>
      <c r="BI247" s="1"/>
      <c r="BO247" s="1"/>
      <c r="BP247" s="1"/>
      <c r="BQ247" s="1"/>
      <c r="BR247" s="1"/>
      <c r="BS247" s="1"/>
      <c r="BT247" s="1"/>
      <c r="BU247" s="4"/>
    </row>
    <row r="248">
      <c r="A248" s="1"/>
      <c r="M248" s="1"/>
      <c r="Y248" s="1"/>
      <c r="AK248" s="1"/>
      <c r="AQ248" s="1"/>
      <c r="AW248" s="1"/>
      <c r="BC248" s="1"/>
      <c r="BD248" s="1"/>
      <c r="BE248" s="1"/>
      <c r="BF248" s="1"/>
      <c r="BG248" s="1"/>
      <c r="BH248" s="1"/>
      <c r="BI248" s="1"/>
      <c r="BO248" s="1"/>
      <c r="BP248" s="1"/>
      <c r="BQ248" s="1"/>
      <c r="BR248" s="1"/>
      <c r="BS248" s="1"/>
      <c r="BT248" s="1"/>
      <c r="BU248" s="4"/>
    </row>
    <row r="249">
      <c r="A249" s="1"/>
      <c r="M249" s="1"/>
      <c r="Y249" s="1"/>
      <c r="AK249" s="1"/>
      <c r="AQ249" s="1"/>
      <c r="AW249" s="1"/>
      <c r="BC249" s="1"/>
      <c r="BD249" s="1"/>
      <c r="BE249" s="1"/>
      <c r="BF249" s="1"/>
      <c r="BG249" s="1"/>
      <c r="BH249" s="1"/>
      <c r="BI249" s="1"/>
      <c r="BO249" s="1"/>
      <c r="BP249" s="1"/>
      <c r="BQ249" s="1"/>
      <c r="BR249" s="1"/>
      <c r="BS249" s="1"/>
      <c r="BT249" s="1"/>
      <c r="BU249" s="4"/>
    </row>
    <row r="250">
      <c r="A250" s="1"/>
      <c r="M250" s="1"/>
      <c r="Y250" s="1"/>
      <c r="AK250" s="1"/>
      <c r="AQ250" s="1"/>
      <c r="AW250" s="1"/>
      <c r="BC250" s="1"/>
      <c r="BD250" s="1"/>
      <c r="BE250" s="1"/>
      <c r="BF250" s="1"/>
      <c r="BG250" s="1"/>
      <c r="BH250" s="1"/>
      <c r="BI250" s="1"/>
      <c r="BO250" s="1"/>
      <c r="BP250" s="1"/>
      <c r="BQ250" s="1"/>
      <c r="BR250" s="1"/>
      <c r="BS250" s="1"/>
      <c r="BT250" s="1"/>
      <c r="BU250" s="4"/>
    </row>
    <row r="251">
      <c r="A251" s="1"/>
      <c r="M251" s="1"/>
      <c r="Y251" s="1"/>
      <c r="AK251" s="1"/>
      <c r="AQ251" s="1"/>
      <c r="AW251" s="1"/>
      <c r="BC251" s="1"/>
      <c r="BD251" s="1"/>
      <c r="BE251" s="1"/>
      <c r="BF251" s="1"/>
      <c r="BG251" s="1"/>
      <c r="BH251" s="1"/>
      <c r="BI251" s="1"/>
      <c r="BO251" s="1"/>
      <c r="BP251" s="1"/>
      <c r="BQ251" s="1"/>
      <c r="BR251" s="1"/>
      <c r="BS251" s="1"/>
      <c r="BT251" s="1"/>
      <c r="BU251" s="4"/>
    </row>
    <row r="252">
      <c r="A252" s="1"/>
      <c r="M252" s="1"/>
      <c r="Y252" s="1"/>
      <c r="AK252" s="1"/>
      <c r="AQ252" s="1"/>
      <c r="AW252" s="1"/>
      <c r="BC252" s="1"/>
      <c r="BD252" s="1"/>
      <c r="BE252" s="1"/>
      <c r="BF252" s="1"/>
      <c r="BG252" s="1"/>
      <c r="BH252" s="1"/>
      <c r="BI252" s="1"/>
      <c r="BO252" s="1"/>
      <c r="BP252" s="1"/>
      <c r="BQ252" s="1"/>
      <c r="BR252" s="1"/>
      <c r="BS252" s="1"/>
      <c r="BT252" s="1"/>
      <c r="BU252" s="4"/>
    </row>
    <row r="253">
      <c r="A253" s="1"/>
      <c r="M253" s="1"/>
      <c r="Y253" s="1"/>
      <c r="AK253" s="1"/>
      <c r="AQ253" s="1"/>
      <c r="AW253" s="1"/>
      <c r="BC253" s="1"/>
      <c r="BD253" s="1"/>
      <c r="BE253" s="1"/>
      <c r="BF253" s="1"/>
      <c r="BG253" s="1"/>
      <c r="BH253" s="1"/>
      <c r="BI253" s="1"/>
      <c r="BO253" s="1"/>
      <c r="BP253" s="1"/>
      <c r="BQ253" s="1"/>
      <c r="BR253" s="1"/>
      <c r="BS253" s="1"/>
      <c r="BT253" s="1"/>
      <c r="BU253" s="4"/>
    </row>
    <row r="254">
      <c r="A254" s="1"/>
      <c r="M254" s="1"/>
      <c r="Y254" s="1"/>
      <c r="AK254" s="1"/>
      <c r="AQ254" s="1"/>
      <c r="AW254" s="1"/>
      <c r="BC254" s="1"/>
      <c r="BD254" s="1"/>
      <c r="BE254" s="1"/>
      <c r="BF254" s="1"/>
      <c r="BG254" s="1"/>
      <c r="BH254" s="1"/>
      <c r="BI254" s="1"/>
      <c r="BO254" s="1"/>
      <c r="BP254" s="1"/>
      <c r="BQ254" s="1"/>
      <c r="BR254" s="1"/>
      <c r="BS254" s="1"/>
      <c r="BT254" s="1"/>
      <c r="BU254" s="4"/>
    </row>
    <row r="255">
      <c r="A255" s="1"/>
      <c r="M255" s="1"/>
      <c r="Y255" s="1"/>
      <c r="AK255" s="1"/>
      <c r="AQ255" s="1"/>
      <c r="AW255" s="1"/>
      <c r="BC255" s="1"/>
      <c r="BD255" s="1"/>
      <c r="BE255" s="1"/>
      <c r="BF255" s="1"/>
      <c r="BG255" s="1"/>
      <c r="BH255" s="1"/>
      <c r="BI255" s="1"/>
      <c r="BO255" s="1"/>
      <c r="BP255" s="1"/>
      <c r="BQ255" s="1"/>
      <c r="BR255" s="1"/>
      <c r="BS255" s="1"/>
      <c r="BT255" s="1"/>
      <c r="BU255" s="4"/>
    </row>
    <row r="256">
      <c r="A256" s="1"/>
      <c r="M256" s="1"/>
      <c r="Y256" s="1"/>
      <c r="AK256" s="1"/>
      <c r="AQ256" s="1"/>
      <c r="AW256" s="1"/>
      <c r="BC256" s="1"/>
      <c r="BD256" s="1"/>
      <c r="BE256" s="1"/>
      <c r="BF256" s="1"/>
      <c r="BG256" s="1"/>
      <c r="BH256" s="1"/>
      <c r="BI256" s="1"/>
      <c r="BO256" s="1"/>
      <c r="BP256" s="1"/>
      <c r="BQ256" s="1"/>
      <c r="BR256" s="1"/>
      <c r="BS256" s="1"/>
      <c r="BT256" s="1"/>
      <c r="BU256" s="4"/>
    </row>
    <row r="257">
      <c r="A257" s="1"/>
      <c r="M257" s="1"/>
      <c r="Y257" s="1"/>
      <c r="AK257" s="1"/>
      <c r="AQ257" s="1"/>
      <c r="AW257" s="1"/>
      <c r="BC257" s="1"/>
      <c r="BD257" s="1"/>
      <c r="BE257" s="1"/>
      <c r="BF257" s="1"/>
      <c r="BG257" s="1"/>
      <c r="BH257" s="1"/>
      <c r="BI257" s="1"/>
      <c r="BO257" s="1"/>
      <c r="BP257" s="1"/>
      <c r="BQ257" s="1"/>
      <c r="BR257" s="1"/>
      <c r="BS257" s="1"/>
      <c r="BT257" s="1"/>
      <c r="BU257" s="4"/>
    </row>
    <row r="258">
      <c r="A258" s="1"/>
      <c r="M258" s="1"/>
      <c r="Y258" s="1"/>
      <c r="AK258" s="1"/>
      <c r="AQ258" s="1"/>
      <c r="AW258" s="1"/>
      <c r="BC258" s="1"/>
      <c r="BD258" s="1"/>
      <c r="BE258" s="1"/>
      <c r="BF258" s="1"/>
      <c r="BG258" s="1"/>
      <c r="BH258" s="1"/>
      <c r="BI258" s="1"/>
      <c r="BO258" s="1"/>
      <c r="BP258" s="1"/>
      <c r="BQ258" s="1"/>
      <c r="BR258" s="1"/>
      <c r="BS258" s="1"/>
      <c r="BT258" s="1"/>
      <c r="BU258" s="4"/>
    </row>
    <row r="259">
      <c r="A259" s="1"/>
      <c r="M259" s="1"/>
      <c r="Y259" s="1"/>
      <c r="AK259" s="1"/>
      <c r="AQ259" s="1"/>
      <c r="AW259" s="1"/>
      <c r="BC259" s="1"/>
      <c r="BD259" s="1"/>
      <c r="BE259" s="1"/>
      <c r="BF259" s="1"/>
      <c r="BG259" s="1"/>
      <c r="BH259" s="1"/>
      <c r="BI259" s="1"/>
      <c r="BO259" s="1"/>
      <c r="BP259" s="1"/>
      <c r="BQ259" s="1"/>
      <c r="BR259" s="1"/>
      <c r="BS259" s="1"/>
      <c r="BT259" s="1"/>
      <c r="BU259" s="4"/>
    </row>
    <row r="260">
      <c r="A260" s="1"/>
      <c r="M260" s="1"/>
      <c r="Y260" s="1"/>
      <c r="AK260" s="1"/>
      <c r="AQ260" s="1"/>
      <c r="AW260" s="1"/>
      <c r="BC260" s="1"/>
      <c r="BD260" s="1"/>
      <c r="BE260" s="1"/>
      <c r="BF260" s="1"/>
      <c r="BG260" s="1"/>
      <c r="BH260" s="1"/>
      <c r="BI260" s="1"/>
      <c r="BO260" s="1"/>
      <c r="BP260" s="1"/>
      <c r="BQ260" s="1"/>
      <c r="BR260" s="1"/>
      <c r="BS260" s="1"/>
      <c r="BT260" s="1"/>
      <c r="BU260" s="4"/>
    </row>
    <row r="261">
      <c r="A261" s="1"/>
      <c r="M261" s="1"/>
      <c r="Y261" s="1"/>
      <c r="AK261" s="1"/>
      <c r="AQ261" s="1"/>
      <c r="AW261" s="1"/>
      <c r="BC261" s="1"/>
      <c r="BD261" s="1"/>
      <c r="BE261" s="1"/>
      <c r="BF261" s="1"/>
      <c r="BG261" s="1"/>
      <c r="BH261" s="1"/>
      <c r="BI261" s="1"/>
      <c r="BO261" s="1"/>
      <c r="BP261" s="1"/>
      <c r="BQ261" s="1"/>
      <c r="BR261" s="1"/>
      <c r="BS261" s="1"/>
      <c r="BT261" s="1"/>
      <c r="BU261" s="4"/>
    </row>
    <row r="262">
      <c r="A262" s="1"/>
      <c r="M262" s="1"/>
      <c r="Y262" s="1"/>
      <c r="AK262" s="1"/>
      <c r="AQ262" s="1"/>
      <c r="AW262" s="1"/>
      <c r="BC262" s="1"/>
      <c r="BD262" s="1"/>
      <c r="BE262" s="1"/>
      <c r="BF262" s="1"/>
      <c r="BG262" s="1"/>
      <c r="BH262" s="1"/>
      <c r="BI262" s="1"/>
      <c r="BO262" s="1"/>
      <c r="BP262" s="1"/>
      <c r="BQ262" s="1"/>
      <c r="BR262" s="1"/>
      <c r="BS262" s="1"/>
      <c r="BT262" s="1"/>
      <c r="BU262" s="4"/>
    </row>
    <row r="263">
      <c r="A263" s="1"/>
      <c r="M263" s="1"/>
      <c r="Y263" s="1"/>
      <c r="AK263" s="1"/>
      <c r="AQ263" s="1"/>
      <c r="AW263" s="1"/>
      <c r="BC263" s="1"/>
      <c r="BD263" s="1"/>
      <c r="BE263" s="1"/>
      <c r="BF263" s="1"/>
      <c r="BG263" s="1"/>
      <c r="BH263" s="1"/>
      <c r="BI263" s="1"/>
      <c r="BO263" s="1"/>
      <c r="BP263" s="1"/>
      <c r="BQ263" s="1"/>
      <c r="BR263" s="1"/>
      <c r="BS263" s="1"/>
      <c r="BT263" s="1"/>
      <c r="BU263" s="4"/>
    </row>
    <row r="264">
      <c r="A264" s="1"/>
      <c r="M264" s="1"/>
      <c r="Y264" s="1"/>
      <c r="AK264" s="1"/>
      <c r="AQ264" s="1"/>
      <c r="AW264" s="1"/>
      <c r="BC264" s="1"/>
      <c r="BD264" s="1"/>
      <c r="BE264" s="1"/>
      <c r="BF264" s="1"/>
      <c r="BG264" s="1"/>
      <c r="BH264" s="1"/>
      <c r="BI264" s="1"/>
      <c r="BO264" s="1"/>
      <c r="BP264" s="1"/>
      <c r="BQ264" s="1"/>
      <c r="BR264" s="1"/>
      <c r="BS264" s="1"/>
      <c r="BT264" s="1"/>
      <c r="BU264" s="4"/>
    </row>
    <row r="265">
      <c r="A265" s="1"/>
      <c r="M265" s="1"/>
      <c r="Y265" s="1"/>
      <c r="AK265" s="1"/>
      <c r="AQ265" s="1"/>
      <c r="AW265" s="1"/>
      <c r="BC265" s="1"/>
      <c r="BD265" s="1"/>
      <c r="BE265" s="1"/>
      <c r="BF265" s="1"/>
      <c r="BG265" s="1"/>
      <c r="BH265" s="1"/>
      <c r="BI265" s="1"/>
      <c r="BO265" s="1"/>
      <c r="BP265" s="1"/>
      <c r="BQ265" s="1"/>
      <c r="BR265" s="1"/>
      <c r="BS265" s="1"/>
      <c r="BT265" s="1"/>
      <c r="BU265" s="4"/>
    </row>
    <row r="266">
      <c r="A266" s="1"/>
      <c r="M266" s="1"/>
      <c r="Y266" s="1"/>
      <c r="AK266" s="1"/>
      <c r="AQ266" s="1"/>
      <c r="AW266" s="1"/>
      <c r="BC266" s="1"/>
      <c r="BD266" s="1"/>
      <c r="BE266" s="1"/>
      <c r="BF266" s="1"/>
      <c r="BG266" s="1"/>
      <c r="BH266" s="1"/>
      <c r="BI266" s="1"/>
      <c r="BO266" s="1"/>
      <c r="BP266" s="1"/>
      <c r="BQ266" s="1"/>
      <c r="BR266" s="1"/>
      <c r="BS266" s="1"/>
      <c r="BT266" s="1"/>
      <c r="BU266" s="4"/>
    </row>
    <row r="267">
      <c r="A267" s="1"/>
      <c r="M267" s="1"/>
      <c r="Y267" s="1"/>
      <c r="AK267" s="1"/>
      <c r="AQ267" s="1"/>
      <c r="AW267" s="1"/>
      <c r="BC267" s="1"/>
      <c r="BD267" s="1"/>
      <c r="BE267" s="1"/>
      <c r="BF267" s="1"/>
      <c r="BG267" s="1"/>
      <c r="BH267" s="1"/>
      <c r="BI267" s="1"/>
      <c r="BO267" s="1"/>
      <c r="BP267" s="1"/>
      <c r="BQ267" s="1"/>
      <c r="BR267" s="1"/>
      <c r="BS267" s="1"/>
      <c r="BT267" s="1"/>
      <c r="BU267" s="4"/>
    </row>
    <row r="268">
      <c r="A268" s="1"/>
      <c r="M268" s="1"/>
      <c r="Y268" s="1"/>
      <c r="AK268" s="1"/>
      <c r="AQ268" s="1"/>
      <c r="AW268" s="1"/>
      <c r="BC268" s="1"/>
      <c r="BD268" s="1"/>
      <c r="BE268" s="1"/>
      <c r="BF268" s="1"/>
      <c r="BG268" s="1"/>
      <c r="BH268" s="1"/>
      <c r="BI268" s="1"/>
      <c r="BO268" s="1"/>
      <c r="BP268" s="1"/>
      <c r="BQ268" s="1"/>
      <c r="BR268" s="1"/>
      <c r="BS268" s="1"/>
      <c r="BT268" s="1"/>
      <c r="BU268" s="4"/>
    </row>
    <row r="269">
      <c r="A269" s="1"/>
      <c r="M269" s="1"/>
      <c r="Y269" s="1"/>
      <c r="AK269" s="1"/>
      <c r="AQ269" s="1"/>
      <c r="AW269" s="1"/>
      <c r="BC269" s="1"/>
      <c r="BD269" s="1"/>
      <c r="BE269" s="1"/>
      <c r="BF269" s="1"/>
      <c r="BG269" s="1"/>
      <c r="BH269" s="1"/>
      <c r="BI269" s="1"/>
      <c r="BO269" s="1"/>
      <c r="BP269" s="1"/>
      <c r="BQ269" s="1"/>
      <c r="BR269" s="1"/>
      <c r="BS269" s="1"/>
      <c r="BT269" s="1"/>
      <c r="BU269" s="4"/>
    </row>
    <row r="270">
      <c r="A270" s="1"/>
      <c r="M270" s="1"/>
      <c r="Y270" s="1"/>
      <c r="AK270" s="1"/>
      <c r="AQ270" s="1"/>
      <c r="AW270" s="1"/>
      <c r="BC270" s="1"/>
      <c r="BD270" s="1"/>
      <c r="BE270" s="1"/>
      <c r="BF270" s="1"/>
      <c r="BG270" s="1"/>
      <c r="BH270" s="1"/>
      <c r="BI270" s="1"/>
      <c r="BO270" s="1"/>
      <c r="BP270" s="1"/>
      <c r="BQ270" s="1"/>
      <c r="BR270" s="1"/>
      <c r="BS270" s="1"/>
      <c r="BT270" s="1"/>
      <c r="BU270" s="4"/>
    </row>
    <row r="271">
      <c r="A271" s="1"/>
      <c r="M271" s="1"/>
      <c r="Y271" s="1"/>
      <c r="AK271" s="1"/>
      <c r="AQ271" s="1"/>
      <c r="AW271" s="1"/>
      <c r="BC271" s="1"/>
      <c r="BD271" s="1"/>
      <c r="BE271" s="1"/>
      <c r="BF271" s="1"/>
      <c r="BG271" s="1"/>
      <c r="BH271" s="1"/>
      <c r="BI271" s="1"/>
      <c r="BO271" s="1"/>
      <c r="BP271" s="1"/>
      <c r="BQ271" s="1"/>
      <c r="BR271" s="1"/>
      <c r="BS271" s="1"/>
      <c r="BT271" s="1"/>
      <c r="BU271" s="4"/>
    </row>
    <row r="272">
      <c r="A272" s="1"/>
      <c r="M272" s="1"/>
      <c r="Y272" s="1"/>
      <c r="AK272" s="1"/>
      <c r="AQ272" s="1"/>
      <c r="AW272" s="1"/>
      <c r="BC272" s="1"/>
      <c r="BD272" s="1"/>
      <c r="BE272" s="1"/>
      <c r="BF272" s="1"/>
      <c r="BG272" s="1"/>
      <c r="BH272" s="1"/>
      <c r="BI272" s="1"/>
      <c r="BO272" s="1"/>
      <c r="BP272" s="1"/>
      <c r="BQ272" s="1"/>
      <c r="BR272" s="1"/>
      <c r="BS272" s="1"/>
      <c r="BT272" s="1"/>
      <c r="BU272" s="4"/>
    </row>
    <row r="273">
      <c r="A273" s="1"/>
      <c r="M273" s="1"/>
      <c r="Y273" s="1"/>
      <c r="AK273" s="1"/>
      <c r="AQ273" s="1"/>
      <c r="AW273" s="1"/>
      <c r="BC273" s="1"/>
      <c r="BD273" s="1"/>
      <c r="BE273" s="1"/>
      <c r="BF273" s="1"/>
      <c r="BG273" s="1"/>
      <c r="BH273" s="1"/>
      <c r="BI273" s="1"/>
      <c r="BO273" s="1"/>
      <c r="BP273" s="1"/>
      <c r="BQ273" s="1"/>
      <c r="BR273" s="1"/>
      <c r="BS273" s="1"/>
      <c r="BT273" s="1"/>
      <c r="BU273" s="4"/>
    </row>
    <row r="274">
      <c r="A274" s="1"/>
      <c r="M274" s="1"/>
      <c r="Y274" s="1"/>
      <c r="AK274" s="1"/>
      <c r="AQ274" s="1"/>
      <c r="AW274" s="1"/>
      <c r="BC274" s="1"/>
      <c r="BD274" s="1"/>
      <c r="BE274" s="1"/>
      <c r="BF274" s="1"/>
      <c r="BG274" s="1"/>
      <c r="BH274" s="1"/>
      <c r="BI274" s="1"/>
      <c r="BO274" s="1"/>
      <c r="BP274" s="1"/>
      <c r="BQ274" s="1"/>
      <c r="BR274" s="1"/>
      <c r="BS274" s="1"/>
      <c r="BT274" s="1"/>
      <c r="BU274" s="4"/>
    </row>
    <row r="275">
      <c r="A275" s="1"/>
      <c r="M275" s="1"/>
      <c r="Y275" s="1"/>
      <c r="AK275" s="1"/>
      <c r="AQ275" s="1"/>
      <c r="AW275" s="1"/>
      <c r="BC275" s="1"/>
      <c r="BD275" s="1"/>
      <c r="BE275" s="1"/>
      <c r="BF275" s="1"/>
      <c r="BG275" s="1"/>
      <c r="BH275" s="1"/>
      <c r="BI275" s="1"/>
      <c r="BO275" s="1"/>
      <c r="BP275" s="1"/>
      <c r="BQ275" s="1"/>
      <c r="BR275" s="1"/>
      <c r="BS275" s="1"/>
      <c r="BT275" s="1"/>
      <c r="BU275" s="4"/>
    </row>
    <row r="276">
      <c r="A276" s="1"/>
      <c r="M276" s="1"/>
      <c r="Y276" s="1"/>
      <c r="AK276" s="1"/>
      <c r="AQ276" s="1"/>
      <c r="AW276" s="1"/>
      <c r="BC276" s="1"/>
      <c r="BD276" s="1"/>
      <c r="BE276" s="1"/>
      <c r="BF276" s="1"/>
      <c r="BG276" s="1"/>
      <c r="BH276" s="1"/>
      <c r="BI276" s="1"/>
      <c r="BO276" s="1"/>
      <c r="BP276" s="1"/>
      <c r="BQ276" s="1"/>
      <c r="BR276" s="1"/>
      <c r="BS276" s="1"/>
      <c r="BT276" s="1"/>
      <c r="BU276" s="4"/>
    </row>
    <row r="277">
      <c r="A277" s="1"/>
      <c r="M277" s="1"/>
      <c r="Y277" s="1"/>
      <c r="AK277" s="1"/>
      <c r="AQ277" s="1"/>
      <c r="AW277" s="1"/>
      <c r="BC277" s="1"/>
      <c r="BD277" s="1"/>
      <c r="BE277" s="1"/>
      <c r="BF277" s="1"/>
      <c r="BG277" s="1"/>
      <c r="BH277" s="1"/>
      <c r="BI277" s="1"/>
      <c r="BO277" s="1"/>
      <c r="BP277" s="1"/>
      <c r="BQ277" s="1"/>
      <c r="BR277" s="1"/>
      <c r="BS277" s="1"/>
      <c r="BT277" s="1"/>
      <c r="BU277" s="4"/>
    </row>
    <row r="278">
      <c r="A278" s="1"/>
      <c r="M278" s="1"/>
      <c r="Y278" s="1"/>
      <c r="AK278" s="1"/>
      <c r="AQ278" s="1"/>
      <c r="AW278" s="1"/>
      <c r="BC278" s="1"/>
      <c r="BD278" s="1"/>
      <c r="BE278" s="1"/>
      <c r="BF278" s="1"/>
      <c r="BG278" s="1"/>
      <c r="BH278" s="1"/>
      <c r="BI278" s="1"/>
      <c r="BO278" s="1"/>
      <c r="BP278" s="1"/>
      <c r="BQ278" s="1"/>
      <c r="BR278" s="1"/>
      <c r="BS278" s="1"/>
      <c r="BT278" s="1"/>
      <c r="BU278" s="4"/>
    </row>
    <row r="279">
      <c r="A279" s="1"/>
      <c r="M279" s="1"/>
      <c r="Y279" s="1"/>
      <c r="AK279" s="1"/>
      <c r="AQ279" s="1"/>
      <c r="AW279" s="1"/>
      <c r="BC279" s="1"/>
      <c r="BD279" s="1"/>
      <c r="BE279" s="1"/>
      <c r="BF279" s="1"/>
      <c r="BG279" s="1"/>
      <c r="BH279" s="1"/>
      <c r="BI279" s="1"/>
      <c r="BO279" s="1"/>
      <c r="BP279" s="1"/>
      <c r="BQ279" s="1"/>
      <c r="BR279" s="1"/>
      <c r="BS279" s="1"/>
      <c r="BT279" s="1"/>
      <c r="BU279" s="4"/>
    </row>
    <row r="280">
      <c r="A280" s="1"/>
      <c r="M280" s="1"/>
      <c r="Y280" s="1"/>
      <c r="AK280" s="1"/>
      <c r="AQ280" s="1"/>
      <c r="AW280" s="1"/>
      <c r="BC280" s="1"/>
      <c r="BD280" s="1"/>
      <c r="BE280" s="1"/>
      <c r="BF280" s="1"/>
      <c r="BG280" s="1"/>
      <c r="BH280" s="1"/>
      <c r="BI280" s="1"/>
      <c r="BO280" s="1"/>
      <c r="BP280" s="1"/>
      <c r="BQ280" s="1"/>
      <c r="BR280" s="1"/>
      <c r="BS280" s="1"/>
      <c r="BT280" s="1"/>
      <c r="BU280" s="4"/>
    </row>
    <row r="281">
      <c r="A281" s="1"/>
      <c r="M281" s="1"/>
      <c r="Y281" s="1"/>
      <c r="AK281" s="1"/>
      <c r="AQ281" s="1"/>
      <c r="AW281" s="1"/>
      <c r="BC281" s="1"/>
      <c r="BD281" s="1"/>
      <c r="BE281" s="1"/>
      <c r="BF281" s="1"/>
      <c r="BG281" s="1"/>
      <c r="BH281" s="1"/>
      <c r="BI281" s="1"/>
      <c r="BO281" s="1"/>
      <c r="BP281" s="1"/>
      <c r="BQ281" s="1"/>
      <c r="BR281" s="1"/>
      <c r="BS281" s="1"/>
      <c r="BT281" s="1"/>
      <c r="BU281" s="4"/>
    </row>
    <row r="282">
      <c r="A282" s="1"/>
      <c r="M282" s="1"/>
      <c r="Y282" s="1"/>
      <c r="AK282" s="1"/>
      <c r="AQ282" s="1"/>
      <c r="AW282" s="1"/>
      <c r="BC282" s="1"/>
      <c r="BD282" s="1"/>
      <c r="BE282" s="1"/>
      <c r="BF282" s="1"/>
      <c r="BG282" s="1"/>
      <c r="BH282" s="1"/>
      <c r="BI282" s="1"/>
      <c r="BO282" s="1"/>
      <c r="BP282" s="1"/>
      <c r="BQ282" s="1"/>
      <c r="BR282" s="1"/>
      <c r="BS282" s="1"/>
      <c r="BT282" s="1"/>
      <c r="BU282" s="4"/>
    </row>
    <row r="283">
      <c r="A283" s="1"/>
      <c r="M283" s="1"/>
      <c r="Y283" s="1"/>
      <c r="AK283" s="1"/>
      <c r="AQ283" s="1"/>
      <c r="AW283" s="1"/>
      <c r="BC283" s="1"/>
      <c r="BD283" s="1"/>
      <c r="BE283" s="1"/>
      <c r="BF283" s="1"/>
      <c r="BG283" s="1"/>
      <c r="BH283" s="1"/>
      <c r="BI283" s="1"/>
      <c r="BO283" s="1"/>
      <c r="BP283" s="1"/>
      <c r="BQ283" s="1"/>
      <c r="BR283" s="1"/>
      <c r="BS283" s="1"/>
      <c r="BT283" s="1"/>
      <c r="BU283" s="4"/>
    </row>
    <row r="284">
      <c r="A284" s="1"/>
      <c r="M284" s="1"/>
      <c r="Y284" s="1"/>
      <c r="AK284" s="1"/>
      <c r="AQ284" s="1"/>
      <c r="AW284" s="1"/>
      <c r="BC284" s="1"/>
      <c r="BD284" s="1"/>
      <c r="BE284" s="1"/>
      <c r="BF284" s="1"/>
      <c r="BG284" s="1"/>
      <c r="BH284" s="1"/>
      <c r="BI284" s="1"/>
      <c r="BO284" s="1"/>
      <c r="BP284" s="1"/>
      <c r="BQ284" s="1"/>
      <c r="BR284" s="1"/>
      <c r="BS284" s="1"/>
      <c r="BT284" s="1"/>
      <c r="BU284" s="4"/>
    </row>
    <row r="285">
      <c r="A285" s="1"/>
      <c r="M285" s="1"/>
      <c r="Y285" s="1"/>
      <c r="AK285" s="1"/>
      <c r="AQ285" s="1"/>
      <c r="AW285" s="1"/>
      <c r="BC285" s="1"/>
      <c r="BD285" s="1"/>
      <c r="BE285" s="1"/>
      <c r="BF285" s="1"/>
      <c r="BG285" s="1"/>
      <c r="BH285" s="1"/>
      <c r="BI285" s="1"/>
      <c r="BO285" s="1"/>
      <c r="BP285" s="1"/>
      <c r="BQ285" s="1"/>
      <c r="BR285" s="1"/>
      <c r="BS285" s="1"/>
      <c r="BT285" s="1"/>
      <c r="BU285" s="4"/>
    </row>
    <row r="286">
      <c r="A286" s="1"/>
      <c r="M286" s="1"/>
      <c r="Y286" s="1"/>
      <c r="AK286" s="1"/>
      <c r="AQ286" s="1"/>
      <c r="AW286" s="1"/>
      <c r="BC286" s="1"/>
      <c r="BD286" s="1"/>
      <c r="BE286" s="1"/>
      <c r="BF286" s="1"/>
      <c r="BG286" s="1"/>
      <c r="BH286" s="1"/>
      <c r="BI286" s="1"/>
      <c r="BO286" s="1"/>
      <c r="BP286" s="1"/>
      <c r="BQ286" s="1"/>
      <c r="BR286" s="1"/>
      <c r="BS286" s="1"/>
      <c r="BT286" s="1"/>
      <c r="BU286" s="4"/>
    </row>
    <row r="287">
      <c r="A287" s="1"/>
      <c r="M287" s="1"/>
      <c r="Y287" s="1"/>
      <c r="AK287" s="1"/>
      <c r="AQ287" s="1"/>
      <c r="AW287" s="1"/>
      <c r="BC287" s="1"/>
      <c r="BD287" s="1"/>
      <c r="BE287" s="1"/>
      <c r="BF287" s="1"/>
      <c r="BG287" s="1"/>
      <c r="BH287" s="1"/>
      <c r="BI287" s="1"/>
      <c r="BO287" s="1"/>
      <c r="BP287" s="1"/>
      <c r="BQ287" s="1"/>
      <c r="BR287" s="1"/>
      <c r="BS287" s="1"/>
      <c r="BT287" s="1"/>
      <c r="BU287" s="4"/>
    </row>
    <row r="288">
      <c r="A288" s="1"/>
      <c r="M288" s="1"/>
      <c r="Y288" s="1"/>
      <c r="AK288" s="1"/>
      <c r="AQ288" s="1"/>
      <c r="AW288" s="1"/>
      <c r="BC288" s="1"/>
      <c r="BD288" s="1"/>
      <c r="BE288" s="1"/>
      <c r="BF288" s="1"/>
      <c r="BG288" s="1"/>
      <c r="BH288" s="1"/>
      <c r="BI288" s="1"/>
      <c r="BO288" s="1"/>
      <c r="BP288" s="1"/>
      <c r="BQ288" s="1"/>
      <c r="BR288" s="1"/>
      <c r="BS288" s="1"/>
      <c r="BT288" s="1"/>
      <c r="BU288" s="4"/>
    </row>
    <row r="289">
      <c r="A289" s="1"/>
      <c r="M289" s="1"/>
      <c r="Y289" s="1"/>
      <c r="AK289" s="1"/>
      <c r="AQ289" s="1"/>
      <c r="AW289" s="1"/>
      <c r="BC289" s="1"/>
      <c r="BD289" s="1"/>
      <c r="BE289" s="1"/>
      <c r="BF289" s="1"/>
      <c r="BG289" s="1"/>
      <c r="BH289" s="1"/>
      <c r="BI289" s="1"/>
      <c r="BO289" s="1"/>
      <c r="BP289" s="1"/>
      <c r="BQ289" s="1"/>
      <c r="BR289" s="1"/>
      <c r="BS289" s="1"/>
      <c r="BT289" s="1"/>
      <c r="BU289" s="4"/>
    </row>
    <row r="290">
      <c r="A290" s="1"/>
      <c r="M290" s="1"/>
      <c r="Y290" s="1"/>
      <c r="AK290" s="1"/>
      <c r="AQ290" s="1"/>
      <c r="AW290" s="1"/>
      <c r="BC290" s="1"/>
      <c r="BD290" s="1"/>
      <c r="BE290" s="1"/>
      <c r="BF290" s="1"/>
      <c r="BG290" s="1"/>
      <c r="BH290" s="1"/>
      <c r="BI290" s="1"/>
      <c r="BO290" s="1"/>
      <c r="BP290" s="1"/>
      <c r="BQ290" s="1"/>
      <c r="BR290" s="1"/>
      <c r="BS290" s="1"/>
      <c r="BT290" s="1"/>
      <c r="BU290" s="4"/>
    </row>
    <row r="291">
      <c r="A291" s="1"/>
      <c r="M291" s="1"/>
      <c r="Y291" s="1"/>
      <c r="AK291" s="1"/>
      <c r="AQ291" s="1"/>
      <c r="AW291" s="1"/>
      <c r="BC291" s="1"/>
      <c r="BD291" s="1"/>
      <c r="BE291" s="1"/>
      <c r="BF291" s="1"/>
      <c r="BG291" s="1"/>
      <c r="BH291" s="1"/>
      <c r="BI291" s="1"/>
      <c r="BO291" s="1"/>
      <c r="BP291" s="1"/>
      <c r="BQ291" s="1"/>
      <c r="BR291" s="1"/>
      <c r="BS291" s="1"/>
      <c r="BT291" s="1"/>
      <c r="BU291" s="4"/>
    </row>
    <row r="292">
      <c r="A292" s="1"/>
      <c r="M292" s="1"/>
      <c r="Y292" s="1"/>
      <c r="AK292" s="1"/>
      <c r="AQ292" s="1"/>
      <c r="AW292" s="1"/>
      <c r="BC292" s="1"/>
      <c r="BD292" s="1"/>
      <c r="BE292" s="1"/>
      <c r="BF292" s="1"/>
      <c r="BG292" s="1"/>
      <c r="BH292" s="1"/>
      <c r="BI292" s="1"/>
      <c r="BO292" s="1"/>
      <c r="BP292" s="1"/>
      <c r="BQ292" s="1"/>
      <c r="BR292" s="1"/>
      <c r="BS292" s="1"/>
      <c r="BT292" s="1"/>
      <c r="BU292" s="4"/>
    </row>
    <row r="293">
      <c r="A293" s="1"/>
      <c r="M293" s="1"/>
      <c r="Y293" s="1"/>
      <c r="AK293" s="1"/>
      <c r="AQ293" s="1"/>
      <c r="AW293" s="1"/>
      <c r="BC293" s="1"/>
      <c r="BD293" s="1"/>
      <c r="BE293" s="1"/>
      <c r="BF293" s="1"/>
      <c r="BG293" s="1"/>
      <c r="BH293" s="1"/>
      <c r="BI293" s="1"/>
      <c r="BO293" s="1"/>
      <c r="BP293" s="1"/>
      <c r="BQ293" s="1"/>
      <c r="BR293" s="1"/>
      <c r="BS293" s="1"/>
      <c r="BT293" s="1"/>
      <c r="BU293" s="4"/>
    </row>
    <row r="294">
      <c r="A294" s="1"/>
      <c r="M294" s="1"/>
      <c r="Y294" s="1"/>
      <c r="AK294" s="1"/>
      <c r="AQ294" s="1"/>
      <c r="AW294" s="1"/>
      <c r="BC294" s="1"/>
      <c r="BD294" s="1"/>
      <c r="BE294" s="1"/>
      <c r="BF294" s="1"/>
      <c r="BG294" s="1"/>
      <c r="BH294" s="1"/>
      <c r="BI294" s="1"/>
      <c r="BO294" s="1"/>
      <c r="BP294" s="1"/>
      <c r="BQ294" s="1"/>
      <c r="BR294" s="1"/>
      <c r="BS294" s="1"/>
      <c r="BT294" s="1"/>
      <c r="BU294" s="4"/>
    </row>
    <row r="295">
      <c r="A295" s="1"/>
      <c r="M295" s="1"/>
      <c r="Y295" s="1"/>
      <c r="AK295" s="1"/>
      <c r="AQ295" s="1"/>
      <c r="AW295" s="1"/>
      <c r="BC295" s="1"/>
      <c r="BD295" s="1"/>
      <c r="BE295" s="1"/>
      <c r="BF295" s="1"/>
      <c r="BG295" s="1"/>
      <c r="BH295" s="1"/>
      <c r="BI295" s="1"/>
      <c r="BO295" s="1"/>
      <c r="BP295" s="1"/>
      <c r="BQ295" s="1"/>
      <c r="BR295" s="1"/>
      <c r="BS295" s="1"/>
      <c r="BT295" s="1"/>
      <c r="BU295" s="4"/>
    </row>
    <row r="296">
      <c r="A296" s="1"/>
      <c r="M296" s="1"/>
      <c r="Y296" s="1"/>
      <c r="AK296" s="1"/>
      <c r="AQ296" s="1"/>
      <c r="AW296" s="1"/>
      <c r="BC296" s="1"/>
      <c r="BD296" s="1"/>
      <c r="BE296" s="1"/>
      <c r="BF296" s="1"/>
      <c r="BG296" s="1"/>
      <c r="BH296" s="1"/>
      <c r="BI296" s="1"/>
      <c r="BO296" s="1"/>
      <c r="BP296" s="1"/>
      <c r="BQ296" s="1"/>
      <c r="BR296" s="1"/>
      <c r="BS296" s="1"/>
      <c r="BT296" s="1"/>
      <c r="BU296" s="4"/>
    </row>
    <row r="297">
      <c r="A297" s="1"/>
      <c r="M297" s="1"/>
      <c r="Y297" s="1"/>
      <c r="AK297" s="1"/>
      <c r="AQ297" s="1"/>
      <c r="AW297" s="1"/>
      <c r="BC297" s="1"/>
      <c r="BD297" s="1"/>
      <c r="BE297" s="1"/>
      <c r="BF297" s="1"/>
      <c r="BG297" s="1"/>
      <c r="BH297" s="1"/>
      <c r="BI297" s="1"/>
      <c r="BO297" s="1"/>
      <c r="BP297" s="1"/>
      <c r="BQ297" s="1"/>
      <c r="BR297" s="1"/>
      <c r="BS297" s="1"/>
      <c r="BT297" s="1"/>
      <c r="BU297" s="4"/>
    </row>
    <row r="298">
      <c r="A298" s="1"/>
      <c r="M298" s="1"/>
      <c r="Y298" s="1"/>
      <c r="AK298" s="1"/>
      <c r="AQ298" s="1"/>
      <c r="AW298" s="1"/>
      <c r="BC298" s="1"/>
      <c r="BD298" s="1"/>
      <c r="BE298" s="1"/>
      <c r="BF298" s="1"/>
      <c r="BG298" s="1"/>
      <c r="BH298" s="1"/>
      <c r="BI298" s="1"/>
      <c r="BO298" s="1"/>
      <c r="BP298" s="1"/>
      <c r="BQ298" s="1"/>
      <c r="BR298" s="1"/>
      <c r="BS298" s="1"/>
      <c r="BT298" s="1"/>
      <c r="BU298" s="4"/>
    </row>
    <row r="299">
      <c r="A299" s="1"/>
      <c r="M299" s="1"/>
      <c r="Y299" s="1"/>
      <c r="AK299" s="1"/>
      <c r="AQ299" s="1"/>
      <c r="AW299" s="1"/>
      <c r="BC299" s="1"/>
      <c r="BD299" s="1"/>
      <c r="BE299" s="1"/>
      <c r="BF299" s="1"/>
      <c r="BG299" s="1"/>
      <c r="BH299" s="1"/>
      <c r="BI299" s="1"/>
      <c r="BO299" s="1"/>
      <c r="BP299" s="1"/>
      <c r="BQ299" s="1"/>
      <c r="BR299" s="1"/>
      <c r="BS299" s="1"/>
      <c r="BT299" s="1"/>
      <c r="BU299" s="4"/>
    </row>
    <row r="300">
      <c r="A300" s="1"/>
      <c r="M300" s="1"/>
      <c r="Y300" s="1"/>
      <c r="AK300" s="1"/>
      <c r="AQ300" s="1"/>
      <c r="AW300" s="1"/>
      <c r="BC300" s="1"/>
      <c r="BD300" s="1"/>
      <c r="BE300" s="1"/>
      <c r="BF300" s="1"/>
      <c r="BG300" s="1"/>
      <c r="BH300" s="1"/>
      <c r="BI300" s="1"/>
      <c r="BO300" s="1"/>
      <c r="BP300" s="1"/>
      <c r="BQ300" s="1"/>
      <c r="BR300" s="1"/>
      <c r="BS300" s="1"/>
      <c r="BT300" s="1"/>
      <c r="BU300" s="4"/>
    </row>
    <row r="301">
      <c r="A301" s="1"/>
      <c r="M301" s="1"/>
      <c r="Y301" s="1"/>
      <c r="AK301" s="1"/>
      <c r="AQ301" s="1"/>
      <c r="AW301" s="1"/>
      <c r="BC301" s="1"/>
      <c r="BD301" s="1"/>
      <c r="BE301" s="1"/>
      <c r="BF301" s="1"/>
      <c r="BG301" s="1"/>
      <c r="BH301" s="1"/>
      <c r="BI301" s="1"/>
      <c r="BO301" s="1"/>
      <c r="BP301" s="1"/>
      <c r="BQ301" s="1"/>
      <c r="BR301" s="1"/>
      <c r="BS301" s="1"/>
      <c r="BT301" s="1"/>
      <c r="BU301" s="4"/>
    </row>
    <row r="302">
      <c r="A302" s="1"/>
      <c r="M302" s="1"/>
      <c r="Y302" s="1"/>
      <c r="AK302" s="1"/>
      <c r="AQ302" s="1"/>
      <c r="AW302" s="1"/>
      <c r="BC302" s="1"/>
      <c r="BD302" s="1"/>
      <c r="BE302" s="1"/>
      <c r="BF302" s="1"/>
      <c r="BG302" s="1"/>
      <c r="BH302" s="1"/>
      <c r="BI302" s="1"/>
      <c r="BO302" s="1"/>
      <c r="BP302" s="1"/>
      <c r="BQ302" s="1"/>
      <c r="BR302" s="1"/>
      <c r="BS302" s="1"/>
      <c r="BT302" s="1"/>
      <c r="BU302" s="4"/>
    </row>
    <row r="303">
      <c r="A303" s="1"/>
      <c r="M303" s="1"/>
      <c r="Y303" s="1"/>
      <c r="AK303" s="1"/>
      <c r="AQ303" s="1"/>
      <c r="AW303" s="1"/>
      <c r="BC303" s="1"/>
      <c r="BD303" s="1"/>
      <c r="BE303" s="1"/>
      <c r="BF303" s="1"/>
      <c r="BG303" s="1"/>
      <c r="BH303" s="1"/>
      <c r="BI303" s="1"/>
      <c r="BO303" s="1"/>
      <c r="BP303" s="1"/>
      <c r="BQ303" s="1"/>
      <c r="BR303" s="1"/>
      <c r="BS303" s="1"/>
      <c r="BT303" s="1"/>
      <c r="BU303" s="4"/>
    </row>
    <row r="304">
      <c r="A304" s="1"/>
      <c r="M304" s="1"/>
      <c r="Y304" s="1"/>
      <c r="AK304" s="1"/>
      <c r="AQ304" s="1"/>
      <c r="AW304" s="1"/>
      <c r="BC304" s="1"/>
      <c r="BD304" s="1"/>
      <c r="BE304" s="1"/>
      <c r="BF304" s="1"/>
      <c r="BG304" s="1"/>
      <c r="BH304" s="1"/>
      <c r="BI304" s="1"/>
      <c r="BO304" s="1"/>
      <c r="BP304" s="1"/>
      <c r="BQ304" s="1"/>
      <c r="BR304" s="1"/>
      <c r="BS304" s="1"/>
      <c r="BT304" s="1"/>
      <c r="BU304" s="4"/>
    </row>
    <row r="305">
      <c r="A305" s="1"/>
      <c r="M305" s="1"/>
      <c r="Y305" s="1"/>
      <c r="AK305" s="1"/>
      <c r="AQ305" s="1"/>
      <c r="AW305" s="1"/>
      <c r="BC305" s="1"/>
      <c r="BD305" s="1"/>
      <c r="BE305" s="1"/>
      <c r="BF305" s="1"/>
      <c r="BG305" s="1"/>
      <c r="BH305" s="1"/>
      <c r="BI305" s="1"/>
      <c r="BO305" s="1"/>
      <c r="BP305" s="1"/>
      <c r="BQ305" s="1"/>
      <c r="BR305" s="1"/>
      <c r="BS305" s="1"/>
      <c r="BT305" s="1"/>
      <c r="BU305" s="4"/>
    </row>
    <row r="306">
      <c r="A306" s="1"/>
      <c r="M306" s="1"/>
      <c r="Y306" s="1"/>
      <c r="AK306" s="1"/>
      <c r="AQ306" s="1"/>
      <c r="AW306" s="1"/>
      <c r="BC306" s="1"/>
      <c r="BD306" s="1"/>
      <c r="BE306" s="1"/>
      <c r="BF306" s="1"/>
      <c r="BG306" s="1"/>
      <c r="BH306" s="1"/>
      <c r="BI306" s="1"/>
      <c r="BO306" s="1"/>
      <c r="BP306" s="1"/>
      <c r="BQ306" s="1"/>
      <c r="BR306" s="1"/>
      <c r="BS306" s="1"/>
      <c r="BT306" s="1"/>
      <c r="BU306" s="4"/>
    </row>
    <row r="307">
      <c r="A307" s="1"/>
      <c r="M307" s="1"/>
      <c r="Y307" s="1"/>
      <c r="AK307" s="1"/>
      <c r="AQ307" s="1"/>
      <c r="AW307" s="1"/>
      <c r="BC307" s="1"/>
      <c r="BD307" s="1"/>
      <c r="BE307" s="1"/>
      <c r="BF307" s="1"/>
      <c r="BG307" s="1"/>
      <c r="BH307" s="1"/>
      <c r="BI307" s="1"/>
      <c r="BO307" s="1"/>
      <c r="BP307" s="1"/>
      <c r="BQ307" s="1"/>
      <c r="BR307" s="1"/>
      <c r="BS307" s="1"/>
      <c r="BT307" s="1"/>
      <c r="BU307" s="4"/>
    </row>
    <row r="308">
      <c r="A308" s="1"/>
      <c r="M308" s="1"/>
      <c r="Y308" s="1"/>
      <c r="AK308" s="1"/>
      <c r="AQ308" s="1"/>
      <c r="AW308" s="1"/>
      <c r="BC308" s="1"/>
      <c r="BD308" s="1"/>
      <c r="BE308" s="1"/>
      <c r="BF308" s="1"/>
      <c r="BG308" s="1"/>
      <c r="BH308" s="1"/>
      <c r="BI308" s="1"/>
      <c r="BO308" s="1"/>
      <c r="BP308" s="1"/>
      <c r="BQ308" s="1"/>
      <c r="BR308" s="1"/>
      <c r="BS308" s="1"/>
      <c r="BT308" s="1"/>
      <c r="BU308" s="4"/>
    </row>
    <row r="309">
      <c r="A309" s="1"/>
      <c r="M309" s="1"/>
      <c r="Y309" s="1"/>
      <c r="AK309" s="1"/>
      <c r="AQ309" s="1"/>
      <c r="AW309" s="1"/>
      <c r="BC309" s="1"/>
      <c r="BD309" s="1"/>
      <c r="BE309" s="1"/>
      <c r="BF309" s="1"/>
      <c r="BG309" s="1"/>
      <c r="BH309" s="1"/>
      <c r="BI309" s="1"/>
      <c r="BO309" s="1"/>
      <c r="BP309" s="1"/>
      <c r="BQ309" s="1"/>
      <c r="BR309" s="1"/>
      <c r="BS309" s="1"/>
      <c r="BT309" s="1"/>
      <c r="BU309" s="4"/>
    </row>
    <row r="310">
      <c r="A310" s="1"/>
      <c r="M310" s="1"/>
      <c r="Y310" s="1"/>
      <c r="AK310" s="1"/>
      <c r="AQ310" s="1"/>
      <c r="AW310" s="1"/>
      <c r="BC310" s="1"/>
      <c r="BD310" s="1"/>
      <c r="BE310" s="1"/>
      <c r="BF310" s="1"/>
      <c r="BG310" s="1"/>
      <c r="BH310" s="1"/>
      <c r="BI310" s="1"/>
      <c r="BO310" s="1"/>
      <c r="BP310" s="1"/>
      <c r="BQ310" s="1"/>
      <c r="BR310" s="1"/>
      <c r="BS310" s="1"/>
      <c r="BT310" s="1"/>
      <c r="BU310" s="4"/>
    </row>
    <row r="311">
      <c r="A311" s="1"/>
      <c r="M311" s="1"/>
      <c r="Y311" s="1"/>
      <c r="AK311" s="1"/>
      <c r="AQ311" s="1"/>
      <c r="AW311" s="1"/>
      <c r="BC311" s="1"/>
      <c r="BD311" s="1"/>
      <c r="BE311" s="1"/>
      <c r="BF311" s="1"/>
      <c r="BG311" s="1"/>
      <c r="BH311" s="1"/>
      <c r="BI311" s="1"/>
      <c r="BO311" s="1"/>
      <c r="BP311" s="1"/>
      <c r="BQ311" s="1"/>
      <c r="BR311" s="1"/>
      <c r="BS311" s="1"/>
      <c r="BT311" s="1"/>
      <c r="BU311" s="4"/>
    </row>
    <row r="312">
      <c r="A312" s="1"/>
      <c r="M312" s="1"/>
      <c r="Y312" s="1"/>
      <c r="AK312" s="1"/>
      <c r="AQ312" s="1"/>
      <c r="AW312" s="1"/>
      <c r="BC312" s="1"/>
      <c r="BD312" s="1"/>
      <c r="BE312" s="1"/>
      <c r="BF312" s="1"/>
      <c r="BG312" s="1"/>
      <c r="BH312" s="1"/>
      <c r="BI312" s="1"/>
      <c r="BO312" s="1"/>
      <c r="BP312" s="1"/>
      <c r="BQ312" s="1"/>
      <c r="BR312" s="1"/>
      <c r="BS312" s="1"/>
      <c r="BT312" s="1"/>
      <c r="BU312" s="4"/>
    </row>
    <row r="313">
      <c r="A313" s="1"/>
      <c r="M313" s="1"/>
      <c r="Y313" s="1"/>
      <c r="AK313" s="1"/>
      <c r="AQ313" s="1"/>
      <c r="AW313" s="1"/>
      <c r="BC313" s="1"/>
      <c r="BD313" s="1"/>
      <c r="BE313" s="1"/>
      <c r="BF313" s="1"/>
      <c r="BG313" s="1"/>
      <c r="BH313" s="1"/>
      <c r="BI313" s="1"/>
      <c r="BO313" s="1"/>
      <c r="BP313" s="1"/>
      <c r="BQ313" s="1"/>
      <c r="BR313" s="1"/>
      <c r="BS313" s="1"/>
      <c r="BT313" s="1"/>
      <c r="BU313" s="4"/>
    </row>
    <row r="314">
      <c r="A314" s="1"/>
      <c r="M314" s="1"/>
      <c r="Y314" s="1"/>
      <c r="AK314" s="1"/>
      <c r="AQ314" s="1"/>
      <c r="AW314" s="1"/>
      <c r="BC314" s="1"/>
      <c r="BD314" s="1"/>
      <c r="BE314" s="1"/>
      <c r="BF314" s="1"/>
      <c r="BG314" s="1"/>
      <c r="BH314" s="1"/>
      <c r="BI314" s="1"/>
      <c r="BO314" s="1"/>
      <c r="BP314" s="1"/>
      <c r="BQ314" s="1"/>
      <c r="BR314" s="1"/>
      <c r="BS314" s="1"/>
      <c r="BT314" s="1"/>
      <c r="BU314" s="4"/>
    </row>
    <row r="315">
      <c r="A315" s="1"/>
      <c r="M315" s="1"/>
      <c r="Y315" s="1"/>
      <c r="AK315" s="1"/>
      <c r="AQ315" s="1"/>
      <c r="AW315" s="1"/>
      <c r="BC315" s="1"/>
      <c r="BD315" s="1"/>
      <c r="BE315" s="1"/>
      <c r="BF315" s="1"/>
      <c r="BG315" s="1"/>
      <c r="BH315" s="1"/>
      <c r="BI315" s="1"/>
      <c r="BO315" s="1"/>
      <c r="BP315" s="1"/>
      <c r="BQ315" s="1"/>
      <c r="BR315" s="1"/>
      <c r="BS315" s="1"/>
      <c r="BT315" s="1"/>
      <c r="BU315" s="4"/>
    </row>
    <row r="316">
      <c r="A316" s="1"/>
      <c r="M316" s="1"/>
      <c r="Y316" s="1"/>
      <c r="AK316" s="1"/>
      <c r="AQ316" s="1"/>
      <c r="AW316" s="1"/>
      <c r="BC316" s="1"/>
      <c r="BD316" s="1"/>
      <c r="BE316" s="1"/>
      <c r="BF316" s="1"/>
      <c r="BG316" s="1"/>
      <c r="BH316" s="1"/>
      <c r="BI316" s="1"/>
      <c r="BO316" s="1"/>
      <c r="BP316" s="1"/>
      <c r="BQ316" s="1"/>
      <c r="BR316" s="1"/>
      <c r="BS316" s="1"/>
      <c r="BT316" s="1"/>
      <c r="BU316" s="4"/>
    </row>
    <row r="317">
      <c r="A317" s="1"/>
      <c r="M317" s="1"/>
      <c r="Y317" s="1"/>
      <c r="AK317" s="1"/>
      <c r="AQ317" s="1"/>
      <c r="AW317" s="1"/>
      <c r="BC317" s="1"/>
      <c r="BD317" s="1"/>
      <c r="BE317" s="1"/>
      <c r="BF317" s="1"/>
      <c r="BG317" s="1"/>
      <c r="BH317" s="1"/>
      <c r="BI317" s="1"/>
      <c r="BO317" s="1"/>
      <c r="BP317" s="1"/>
      <c r="BQ317" s="1"/>
      <c r="BR317" s="1"/>
      <c r="BS317" s="1"/>
      <c r="BT317" s="1"/>
      <c r="BU317" s="4"/>
    </row>
    <row r="318">
      <c r="A318" s="1"/>
      <c r="M318" s="1"/>
      <c r="Y318" s="1"/>
      <c r="AK318" s="1"/>
      <c r="AQ318" s="1"/>
      <c r="AW318" s="1"/>
      <c r="BC318" s="1"/>
      <c r="BD318" s="1"/>
      <c r="BE318" s="1"/>
      <c r="BF318" s="1"/>
      <c r="BG318" s="1"/>
      <c r="BH318" s="1"/>
      <c r="BI318" s="1"/>
      <c r="BO318" s="1"/>
      <c r="BP318" s="1"/>
      <c r="BQ318" s="1"/>
      <c r="BR318" s="1"/>
      <c r="BS318" s="1"/>
      <c r="BT318" s="1"/>
      <c r="BU318" s="4"/>
    </row>
    <row r="319">
      <c r="A319" s="1"/>
      <c r="M319" s="1"/>
      <c r="Y319" s="1"/>
      <c r="AK319" s="1"/>
      <c r="AQ319" s="1"/>
      <c r="AW319" s="1"/>
      <c r="BC319" s="1"/>
      <c r="BD319" s="1"/>
      <c r="BE319" s="1"/>
      <c r="BF319" s="1"/>
      <c r="BG319" s="1"/>
      <c r="BH319" s="1"/>
      <c r="BI319" s="1"/>
      <c r="BO319" s="1"/>
      <c r="BP319" s="1"/>
      <c r="BQ319" s="1"/>
      <c r="BR319" s="1"/>
      <c r="BS319" s="1"/>
      <c r="BT319" s="1"/>
      <c r="BU319" s="4"/>
    </row>
    <row r="320">
      <c r="A320" s="1"/>
      <c r="M320" s="1"/>
      <c r="Y320" s="1"/>
      <c r="AK320" s="1"/>
      <c r="AQ320" s="1"/>
      <c r="AW320" s="1"/>
      <c r="BC320" s="1"/>
      <c r="BD320" s="1"/>
      <c r="BE320" s="1"/>
      <c r="BF320" s="1"/>
      <c r="BG320" s="1"/>
      <c r="BH320" s="1"/>
      <c r="BI320" s="1"/>
      <c r="BO320" s="1"/>
      <c r="BP320" s="1"/>
      <c r="BQ320" s="1"/>
      <c r="BR320" s="1"/>
      <c r="BS320" s="1"/>
      <c r="BT320" s="1"/>
      <c r="BU320" s="4"/>
    </row>
    <row r="321">
      <c r="A321" s="1"/>
      <c r="M321" s="1"/>
      <c r="Y321" s="1"/>
      <c r="AK321" s="1"/>
      <c r="AQ321" s="1"/>
      <c r="AW321" s="1"/>
      <c r="BC321" s="1"/>
      <c r="BD321" s="1"/>
      <c r="BE321" s="1"/>
      <c r="BF321" s="1"/>
      <c r="BG321" s="1"/>
      <c r="BH321" s="1"/>
      <c r="BI321" s="1"/>
      <c r="BO321" s="1"/>
      <c r="BP321" s="1"/>
      <c r="BQ321" s="1"/>
      <c r="BR321" s="1"/>
      <c r="BS321" s="1"/>
      <c r="BT321" s="1"/>
      <c r="BU321" s="4"/>
    </row>
    <row r="322">
      <c r="A322" s="1"/>
      <c r="M322" s="1"/>
      <c r="Y322" s="1"/>
      <c r="AK322" s="1"/>
      <c r="AQ322" s="1"/>
      <c r="AW322" s="1"/>
      <c r="BC322" s="1"/>
      <c r="BD322" s="1"/>
      <c r="BE322" s="1"/>
      <c r="BF322" s="1"/>
      <c r="BG322" s="1"/>
      <c r="BH322" s="1"/>
      <c r="BI322" s="1"/>
      <c r="BO322" s="1"/>
      <c r="BP322" s="1"/>
      <c r="BQ322" s="1"/>
      <c r="BR322" s="1"/>
      <c r="BS322" s="1"/>
      <c r="BT322" s="1"/>
      <c r="BU322" s="4"/>
    </row>
    <row r="323">
      <c r="A323" s="1"/>
      <c r="M323" s="1"/>
      <c r="Y323" s="1"/>
      <c r="AK323" s="1"/>
      <c r="AQ323" s="1"/>
      <c r="AW323" s="1"/>
      <c r="BC323" s="1"/>
      <c r="BD323" s="1"/>
      <c r="BE323" s="1"/>
      <c r="BF323" s="1"/>
      <c r="BG323" s="1"/>
      <c r="BH323" s="1"/>
      <c r="BI323" s="1"/>
      <c r="BO323" s="1"/>
      <c r="BP323" s="1"/>
      <c r="BQ323" s="1"/>
      <c r="BR323" s="1"/>
      <c r="BS323" s="1"/>
      <c r="BT323" s="1"/>
      <c r="BU323" s="4"/>
    </row>
    <row r="324">
      <c r="A324" s="1"/>
      <c r="M324" s="1"/>
      <c r="Y324" s="1"/>
      <c r="AK324" s="1"/>
      <c r="AQ324" s="1"/>
      <c r="AW324" s="1"/>
      <c r="BC324" s="1"/>
      <c r="BD324" s="1"/>
      <c r="BE324" s="1"/>
      <c r="BF324" s="1"/>
      <c r="BG324" s="1"/>
      <c r="BH324" s="1"/>
      <c r="BI324" s="1"/>
      <c r="BO324" s="1"/>
      <c r="BP324" s="1"/>
      <c r="BQ324" s="1"/>
      <c r="BR324" s="1"/>
      <c r="BS324" s="1"/>
      <c r="BT324" s="1"/>
      <c r="BU324" s="4"/>
    </row>
    <row r="325">
      <c r="A325" s="1"/>
      <c r="M325" s="1"/>
      <c r="Y325" s="1"/>
      <c r="AK325" s="1"/>
      <c r="AQ325" s="1"/>
      <c r="AW325" s="1"/>
      <c r="BC325" s="1"/>
      <c r="BD325" s="1"/>
      <c r="BE325" s="1"/>
      <c r="BF325" s="1"/>
      <c r="BG325" s="1"/>
      <c r="BH325" s="1"/>
      <c r="BI325" s="1"/>
      <c r="BO325" s="1"/>
      <c r="BP325" s="1"/>
      <c r="BQ325" s="1"/>
      <c r="BR325" s="1"/>
      <c r="BS325" s="1"/>
      <c r="BT325" s="1"/>
      <c r="BU325" s="4"/>
    </row>
    <row r="326">
      <c r="A326" s="1"/>
      <c r="M326" s="1"/>
      <c r="Y326" s="1"/>
      <c r="AK326" s="1"/>
      <c r="AQ326" s="1"/>
      <c r="AW326" s="1"/>
      <c r="BC326" s="1"/>
      <c r="BD326" s="1"/>
      <c r="BE326" s="1"/>
      <c r="BF326" s="1"/>
      <c r="BG326" s="1"/>
      <c r="BH326" s="1"/>
      <c r="BI326" s="1"/>
      <c r="BO326" s="1"/>
      <c r="BP326" s="1"/>
      <c r="BQ326" s="1"/>
      <c r="BR326" s="1"/>
      <c r="BS326" s="1"/>
      <c r="BT326" s="1"/>
      <c r="BU326" s="4"/>
    </row>
    <row r="327">
      <c r="A327" s="1"/>
      <c r="M327" s="1"/>
      <c r="Y327" s="1"/>
      <c r="AK327" s="1"/>
      <c r="AQ327" s="1"/>
      <c r="AW327" s="1"/>
      <c r="BC327" s="1"/>
      <c r="BD327" s="1"/>
      <c r="BE327" s="1"/>
      <c r="BF327" s="1"/>
      <c r="BG327" s="1"/>
      <c r="BH327" s="1"/>
      <c r="BI327" s="1"/>
      <c r="BO327" s="1"/>
      <c r="BP327" s="1"/>
      <c r="BQ327" s="1"/>
      <c r="BR327" s="1"/>
      <c r="BS327" s="1"/>
      <c r="BT327" s="1"/>
      <c r="BU327" s="4"/>
    </row>
    <row r="328">
      <c r="A328" s="1"/>
      <c r="M328" s="1"/>
      <c r="Y328" s="1"/>
      <c r="AK328" s="1"/>
      <c r="AQ328" s="1"/>
      <c r="AW328" s="1"/>
      <c r="BC328" s="1"/>
      <c r="BD328" s="1"/>
      <c r="BE328" s="1"/>
      <c r="BF328" s="1"/>
      <c r="BG328" s="1"/>
      <c r="BH328" s="1"/>
      <c r="BI328" s="1"/>
      <c r="BO328" s="1"/>
      <c r="BP328" s="1"/>
      <c r="BQ328" s="1"/>
      <c r="BR328" s="1"/>
      <c r="BS328" s="1"/>
      <c r="BT328" s="1"/>
      <c r="BU328" s="4"/>
    </row>
    <row r="329">
      <c r="A329" s="1"/>
      <c r="M329" s="1"/>
      <c r="Y329" s="1"/>
      <c r="AK329" s="1"/>
      <c r="AQ329" s="1"/>
      <c r="AW329" s="1"/>
      <c r="BC329" s="1"/>
      <c r="BD329" s="1"/>
      <c r="BE329" s="1"/>
      <c r="BF329" s="1"/>
      <c r="BG329" s="1"/>
      <c r="BH329" s="1"/>
      <c r="BI329" s="1"/>
      <c r="BO329" s="1"/>
      <c r="BP329" s="1"/>
      <c r="BQ329" s="1"/>
      <c r="BR329" s="1"/>
      <c r="BS329" s="1"/>
      <c r="BT329" s="1"/>
      <c r="BU329" s="4"/>
    </row>
    <row r="330">
      <c r="A330" s="1"/>
      <c r="M330" s="1"/>
      <c r="Y330" s="1"/>
      <c r="AK330" s="1"/>
      <c r="AQ330" s="1"/>
      <c r="AW330" s="1"/>
      <c r="BC330" s="1"/>
      <c r="BD330" s="1"/>
      <c r="BE330" s="1"/>
      <c r="BF330" s="1"/>
      <c r="BG330" s="1"/>
      <c r="BH330" s="1"/>
      <c r="BI330" s="1"/>
      <c r="BO330" s="1"/>
      <c r="BP330" s="1"/>
      <c r="BQ330" s="1"/>
      <c r="BR330" s="1"/>
      <c r="BS330" s="1"/>
      <c r="BT330" s="1"/>
      <c r="BU330" s="4"/>
    </row>
    <row r="331">
      <c r="A331" s="1"/>
      <c r="M331" s="1"/>
      <c r="Y331" s="1"/>
      <c r="AK331" s="1"/>
      <c r="AQ331" s="1"/>
      <c r="AW331" s="1"/>
      <c r="BC331" s="1"/>
      <c r="BD331" s="1"/>
      <c r="BE331" s="1"/>
      <c r="BF331" s="1"/>
      <c r="BG331" s="1"/>
      <c r="BH331" s="1"/>
      <c r="BI331" s="1"/>
      <c r="BO331" s="1"/>
      <c r="BP331" s="1"/>
      <c r="BQ331" s="1"/>
      <c r="BR331" s="1"/>
      <c r="BS331" s="1"/>
      <c r="BT331" s="1"/>
      <c r="BU331" s="4"/>
    </row>
    <row r="332">
      <c r="A332" s="1"/>
      <c r="M332" s="1"/>
      <c r="Y332" s="1"/>
      <c r="AK332" s="1"/>
      <c r="AQ332" s="1"/>
      <c r="AW332" s="1"/>
      <c r="BC332" s="1"/>
      <c r="BD332" s="1"/>
      <c r="BE332" s="1"/>
      <c r="BF332" s="1"/>
      <c r="BG332" s="1"/>
      <c r="BH332" s="1"/>
      <c r="BI332" s="1"/>
      <c r="BO332" s="1"/>
      <c r="BP332" s="1"/>
      <c r="BQ332" s="1"/>
      <c r="BR332" s="1"/>
      <c r="BS332" s="1"/>
      <c r="BT332" s="1"/>
      <c r="BU332" s="4"/>
    </row>
    <row r="333">
      <c r="A333" s="1"/>
      <c r="M333" s="1"/>
      <c r="Y333" s="1"/>
      <c r="AK333" s="1"/>
      <c r="AQ333" s="1"/>
      <c r="AW333" s="1"/>
      <c r="BC333" s="1"/>
      <c r="BD333" s="1"/>
      <c r="BE333" s="1"/>
      <c r="BF333" s="1"/>
      <c r="BG333" s="1"/>
      <c r="BH333" s="1"/>
      <c r="BI333" s="1"/>
      <c r="BO333" s="1"/>
      <c r="BP333" s="1"/>
      <c r="BQ333" s="1"/>
      <c r="BR333" s="1"/>
      <c r="BS333" s="1"/>
      <c r="BT333" s="1"/>
      <c r="BU333" s="4"/>
    </row>
    <row r="334">
      <c r="A334" s="1"/>
      <c r="M334" s="1"/>
      <c r="Y334" s="1"/>
      <c r="AK334" s="1"/>
      <c r="AQ334" s="1"/>
      <c r="AW334" s="1"/>
      <c r="BC334" s="1"/>
      <c r="BD334" s="1"/>
      <c r="BE334" s="1"/>
      <c r="BF334" s="1"/>
      <c r="BG334" s="1"/>
      <c r="BH334" s="1"/>
      <c r="BI334" s="1"/>
      <c r="BO334" s="1"/>
      <c r="BP334" s="1"/>
      <c r="BQ334" s="1"/>
      <c r="BR334" s="1"/>
      <c r="BS334" s="1"/>
      <c r="BT334" s="1"/>
      <c r="BU334" s="4"/>
    </row>
    <row r="335">
      <c r="A335" s="1"/>
      <c r="M335" s="1"/>
      <c r="Y335" s="1"/>
      <c r="AK335" s="1"/>
      <c r="AQ335" s="1"/>
      <c r="AW335" s="1"/>
      <c r="BC335" s="1"/>
      <c r="BD335" s="1"/>
      <c r="BE335" s="1"/>
      <c r="BF335" s="1"/>
      <c r="BG335" s="1"/>
      <c r="BH335" s="1"/>
      <c r="BI335" s="1"/>
      <c r="BO335" s="1"/>
      <c r="BP335" s="1"/>
      <c r="BQ335" s="1"/>
      <c r="BR335" s="1"/>
      <c r="BS335" s="1"/>
      <c r="BT335" s="1"/>
      <c r="BU335" s="4"/>
    </row>
    <row r="336">
      <c r="A336" s="1"/>
      <c r="M336" s="1"/>
      <c r="Y336" s="1"/>
      <c r="AK336" s="1"/>
      <c r="AQ336" s="1"/>
      <c r="AW336" s="1"/>
      <c r="BC336" s="1"/>
      <c r="BD336" s="1"/>
      <c r="BE336" s="1"/>
      <c r="BF336" s="1"/>
      <c r="BG336" s="1"/>
      <c r="BH336" s="1"/>
      <c r="BI336" s="1"/>
      <c r="BO336" s="1"/>
      <c r="BP336" s="1"/>
      <c r="BQ336" s="1"/>
      <c r="BR336" s="1"/>
      <c r="BS336" s="1"/>
      <c r="BT336" s="1"/>
      <c r="BU336" s="4"/>
    </row>
    <row r="337">
      <c r="A337" s="1"/>
      <c r="M337" s="1"/>
      <c r="Y337" s="1"/>
      <c r="AK337" s="1"/>
      <c r="AQ337" s="1"/>
      <c r="AW337" s="1"/>
      <c r="BC337" s="1"/>
      <c r="BD337" s="1"/>
      <c r="BE337" s="1"/>
      <c r="BF337" s="1"/>
      <c r="BG337" s="1"/>
      <c r="BH337" s="1"/>
      <c r="BI337" s="1"/>
      <c r="BO337" s="1"/>
      <c r="BP337" s="1"/>
      <c r="BQ337" s="1"/>
      <c r="BR337" s="1"/>
      <c r="BS337" s="1"/>
      <c r="BT337" s="1"/>
      <c r="BU337" s="4"/>
    </row>
    <row r="338">
      <c r="A338" s="1"/>
      <c r="M338" s="1"/>
      <c r="Y338" s="1"/>
      <c r="AK338" s="1"/>
      <c r="AQ338" s="1"/>
      <c r="AW338" s="1"/>
      <c r="BC338" s="1"/>
      <c r="BD338" s="1"/>
      <c r="BE338" s="1"/>
      <c r="BF338" s="1"/>
      <c r="BG338" s="1"/>
      <c r="BH338" s="1"/>
      <c r="BI338" s="1"/>
      <c r="BO338" s="1"/>
      <c r="BP338" s="1"/>
      <c r="BQ338" s="1"/>
      <c r="BR338" s="1"/>
      <c r="BS338" s="1"/>
      <c r="BT338" s="1"/>
      <c r="BU338" s="4"/>
    </row>
    <row r="339">
      <c r="A339" s="1"/>
      <c r="M339" s="1"/>
      <c r="Y339" s="1"/>
      <c r="AK339" s="1"/>
      <c r="AQ339" s="1"/>
      <c r="AW339" s="1"/>
      <c r="BC339" s="1"/>
      <c r="BD339" s="1"/>
      <c r="BE339" s="1"/>
      <c r="BF339" s="1"/>
      <c r="BG339" s="1"/>
      <c r="BH339" s="1"/>
      <c r="BI339" s="1"/>
      <c r="BO339" s="1"/>
      <c r="BP339" s="1"/>
      <c r="BQ339" s="1"/>
      <c r="BR339" s="1"/>
      <c r="BS339" s="1"/>
      <c r="BT339" s="1"/>
      <c r="BU339" s="4"/>
    </row>
    <row r="340">
      <c r="A340" s="1"/>
      <c r="M340" s="1"/>
      <c r="Y340" s="1"/>
      <c r="AK340" s="1"/>
      <c r="AQ340" s="1"/>
      <c r="AW340" s="1"/>
      <c r="BC340" s="1"/>
      <c r="BD340" s="1"/>
      <c r="BE340" s="1"/>
      <c r="BF340" s="1"/>
      <c r="BG340" s="1"/>
      <c r="BH340" s="1"/>
      <c r="BI340" s="1"/>
      <c r="BO340" s="1"/>
      <c r="BP340" s="1"/>
      <c r="BQ340" s="1"/>
      <c r="BR340" s="1"/>
      <c r="BS340" s="1"/>
      <c r="BT340" s="1"/>
      <c r="BU340" s="4"/>
    </row>
    <row r="341">
      <c r="A341" s="1"/>
      <c r="M341" s="1"/>
      <c r="Y341" s="1"/>
      <c r="AK341" s="1"/>
      <c r="AQ341" s="1"/>
      <c r="AW341" s="1"/>
      <c r="BC341" s="1"/>
      <c r="BD341" s="1"/>
      <c r="BE341" s="1"/>
      <c r="BF341" s="1"/>
      <c r="BG341" s="1"/>
      <c r="BH341" s="1"/>
      <c r="BI341" s="1"/>
      <c r="BO341" s="1"/>
      <c r="BP341" s="1"/>
      <c r="BQ341" s="1"/>
      <c r="BR341" s="1"/>
      <c r="BS341" s="1"/>
      <c r="BT341" s="1"/>
      <c r="BU341" s="4"/>
    </row>
    <row r="342">
      <c r="A342" s="1"/>
      <c r="M342" s="1"/>
      <c r="Y342" s="1"/>
      <c r="AK342" s="1"/>
      <c r="AQ342" s="1"/>
      <c r="AW342" s="1"/>
      <c r="BC342" s="1"/>
      <c r="BD342" s="1"/>
      <c r="BE342" s="1"/>
      <c r="BF342" s="1"/>
      <c r="BG342" s="1"/>
      <c r="BH342" s="1"/>
      <c r="BI342" s="1"/>
      <c r="BO342" s="1"/>
      <c r="BP342" s="1"/>
      <c r="BQ342" s="1"/>
      <c r="BR342" s="1"/>
      <c r="BS342" s="1"/>
      <c r="BT342" s="1"/>
      <c r="BU342" s="4"/>
    </row>
    <row r="343">
      <c r="A343" s="1"/>
      <c r="M343" s="1"/>
      <c r="Y343" s="1"/>
      <c r="AK343" s="1"/>
      <c r="AQ343" s="1"/>
      <c r="AW343" s="1"/>
      <c r="BC343" s="1"/>
      <c r="BD343" s="1"/>
      <c r="BE343" s="1"/>
      <c r="BF343" s="1"/>
      <c r="BG343" s="1"/>
      <c r="BH343" s="1"/>
      <c r="BI343" s="1"/>
      <c r="BO343" s="1"/>
      <c r="BP343" s="1"/>
      <c r="BQ343" s="1"/>
      <c r="BR343" s="1"/>
      <c r="BS343" s="1"/>
      <c r="BT343" s="1"/>
      <c r="BU343" s="4"/>
    </row>
    <row r="344">
      <c r="A344" s="1"/>
      <c r="M344" s="1"/>
      <c r="Y344" s="1"/>
      <c r="AK344" s="1"/>
      <c r="AQ344" s="1"/>
      <c r="AW344" s="1"/>
      <c r="BC344" s="1"/>
      <c r="BD344" s="1"/>
      <c r="BE344" s="1"/>
      <c r="BF344" s="1"/>
      <c r="BG344" s="1"/>
      <c r="BH344" s="1"/>
      <c r="BI344" s="1"/>
      <c r="BO344" s="1"/>
      <c r="BP344" s="1"/>
      <c r="BQ344" s="1"/>
      <c r="BR344" s="1"/>
      <c r="BS344" s="1"/>
      <c r="BT344" s="1"/>
      <c r="BU344" s="4"/>
    </row>
    <row r="345">
      <c r="A345" s="1"/>
      <c r="M345" s="1"/>
      <c r="Y345" s="1"/>
      <c r="AK345" s="1"/>
      <c r="AQ345" s="1"/>
      <c r="AW345" s="1"/>
      <c r="BC345" s="1"/>
      <c r="BD345" s="1"/>
      <c r="BE345" s="1"/>
      <c r="BF345" s="1"/>
      <c r="BG345" s="1"/>
      <c r="BH345" s="1"/>
      <c r="BI345" s="1"/>
      <c r="BO345" s="1"/>
      <c r="BP345" s="1"/>
      <c r="BQ345" s="1"/>
      <c r="BR345" s="1"/>
      <c r="BS345" s="1"/>
      <c r="BT345" s="1"/>
      <c r="BU345" s="4"/>
    </row>
    <row r="346">
      <c r="A346" s="1"/>
      <c r="M346" s="1"/>
      <c r="Y346" s="1"/>
      <c r="AK346" s="1"/>
      <c r="AQ346" s="1"/>
      <c r="AW346" s="1"/>
      <c r="BC346" s="1"/>
      <c r="BD346" s="1"/>
      <c r="BE346" s="1"/>
      <c r="BF346" s="1"/>
      <c r="BG346" s="1"/>
      <c r="BH346" s="1"/>
      <c r="BI346" s="1"/>
      <c r="BO346" s="1"/>
      <c r="BP346" s="1"/>
      <c r="BQ346" s="1"/>
      <c r="BR346" s="1"/>
      <c r="BS346" s="1"/>
      <c r="BT346" s="1"/>
      <c r="BU346" s="4"/>
    </row>
    <row r="347">
      <c r="A347" s="1"/>
      <c r="M347" s="1"/>
      <c r="Y347" s="1"/>
      <c r="AK347" s="1"/>
      <c r="AQ347" s="1"/>
      <c r="AW347" s="1"/>
      <c r="BC347" s="1"/>
      <c r="BD347" s="1"/>
      <c r="BE347" s="1"/>
      <c r="BF347" s="1"/>
      <c r="BG347" s="1"/>
      <c r="BH347" s="1"/>
      <c r="BI347" s="1"/>
      <c r="BO347" s="1"/>
      <c r="BP347" s="1"/>
      <c r="BQ347" s="1"/>
      <c r="BR347" s="1"/>
      <c r="BS347" s="1"/>
      <c r="BT347" s="1"/>
      <c r="BU347" s="4"/>
    </row>
    <row r="348">
      <c r="A348" s="1"/>
      <c r="M348" s="1"/>
      <c r="Y348" s="1"/>
      <c r="AK348" s="1"/>
      <c r="AQ348" s="1"/>
      <c r="AW348" s="1"/>
      <c r="BC348" s="1"/>
      <c r="BD348" s="1"/>
      <c r="BE348" s="1"/>
      <c r="BF348" s="1"/>
      <c r="BG348" s="1"/>
      <c r="BH348" s="1"/>
      <c r="BI348" s="1"/>
      <c r="BO348" s="1"/>
      <c r="BP348" s="1"/>
      <c r="BQ348" s="1"/>
      <c r="BR348" s="1"/>
      <c r="BS348" s="1"/>
      <c r="BT348" s="1"/>
      <c r="BU348" s="4"/>
    </row>
    <row r="349">
      <c r="A349" s="1"/>
      <c r="M349" s="1"/>
      <c r="Y349" s="1"/>
      <c r="AK349" s="1"/>
      <c r="AQ349" s="1"/>
      <c r="AW349" s="1"/>
      <c r="BC349" s="1"/>
      <c r="BD349" s="1"/>
      <c r="BE349" s="1"/>
      <c r="BF349" s="1"/>
      <c r="BG349" s="1"/>
      <c r="BH349" s="1"/>
      <c r="BI349" s="1"/>
      <c r="BO349" s="1"/>
      <c r="BP349" s="1"/>
      <c r="BQ349" s="1"/>
      <c r="BR349" s="1"/>
      <c r="BS349" s="1"/>
      <c r="BT349" s="1"/>
      <c r="BU349" s="4"/>
    </row>
    <row r="350">
      <c r="A350" s="1"/>
      <c r="M350" s="1"/>
      <c r="Y350" s="1"/>
      <c r="AK350" s="1"/>
      <c r="AQ350" s="1"/>
      <c r="AW350" s="1"/>
      <c r="BC350" s="1"/>
      <c r="BD350" s="1"/>
      <c r="BE350" s="1"/>
      <c r="BF350" s="1"/>
      <c r="BG350" s="1"/>
      <c r="BH350" s="1"/>
      <c r="BI350" s="1"/>
      <c r="BO350" s="1"/>
      <c r="BP350" s="1"/>
      <c r="BQ350" s="1"/>
      <c r="BR350" s="1"/>
      <c r="BS350" s="1"/>
      <c r="BT350" s="1"/>
      <c r="BU350" s="4"/>
    </row>
    <row r="351">
      <c r="A351" s="1"/>
      <c r="M351" s="1"/>
      <c r="Y351" s="1"/>
      <c r="AK351" s="1"/>
      <c r="AQ351" s="1"/>
      <c r="AW351" s="1"/>
      <c r="BC351" s="1"/>
      <c r="BD351" s="1"/>
      <c r="BE351" s="1"/>
      <c r="BF351" s="1"/>
      <c r="BG351" s="1"/>
      <c r="BH351" s="1"/>
      <c r="BI351" s="1"/>
      <c r="BO351" s="1"/>
      <c r="BP351" s="1"/>
      <c r="BQ351" s="1"/>
      <c r="BR351" s="1"/>
      <c r="BS351" s="1"/>
      <c r="BT351" s="1"/>
      <c r="BU351" s="4"/>
    </row>
    <row r="352">
      <c r="A352" s="1"/>
      <c r="M352" s="1"/>
      <c r="Y352" s="1"/>
      <c r="AK352" s="1"/>
      <c r="AQ352" s="1"/>
      <c r="AW352" s="1"/>
      <c r="BC352" s="1"/>
      <c r="BD352" s="1"/>
      <c r="BE352" s="1"/>
      <c r="BF352" s="1"/>
      <c r="BG352" s="1"/>
      <c r="BH352" s="1"/>
      <c r="BI352" s="1"/>
      <c r="BO352" s="1"/>
      <c r="BP352" s="1"/>
      <c r="BQ352" s="1"/>
      <c r="BR352" s="1"/>
      <c r="BS352" s="1"/>
      <c r="BT352" s="1"/>
      <c r="BU352" s="4"/>
    </row>
    <row r="353">
      <c r="A353" s="1"/>
      <c r="M353" s="1"/>
      <c r="Y353" s="1"/>
      <c r="AK353" s="1"/>
      <c r="AQ353" s="1"/>
      <c r="AW353" s="1"/>
      <c r="BC353" s="1"/>
      <c r="BD353" s="1"/>
      <c r="BE353" s="1"/>
      <c r="BF353" s="1"/>
      <c r="BG353" s="1"/>
      <c r="BH353" s="1"/>
      <c r="BI353" s="1"/>
      <c r="BO353" s="1"/>
      <c r="BP353" s="1"/>
      <c r="BQ353" s="1"/>
      <c r="BR353" s="1"/>
      <c r="BS353" s="1"/>
      <c r="BT353" s="1"/>
      <c r="BU353" s="4"/>
    </row>
    <row r="354">
      <c r="A354" s="1"/>
      <c r="M354" s="1"/>
      <c r="Y354" s="1"/>
      <c r="AK354" s="1"/>
      <c r="AQ354" s="1"/>
      <c r="AW354" s="1"/>
      <c r="BC354" s="1"/>
      <c r="BD354" s="1"/>
      <c r="BE354" s="1"/>
      <c r="BF354" s="1"/>
      <c r="BG354" s="1"/>
      <c r="BH354" s="1"/>
      <c r="BI354" s="1"/>
      <c r="BO354" s="1"/>
      <c r="BP354" s="1"/>
      <c r="BQ354" s="1"/>
      <c r="BR354" s="1"/>
      <c r="BS354" s="1"/>
      <c r="BT354" s="1"/>
      <c r="BU354" s="4"/>
    </row>
    <row r="355">
      <c r="A355" s="1"/>
      <c r="M355" s="1"/>
      <c r="Y355" s="1"/>
      <c r="AK355" s="1"/>
      <c r="AQ355" s="1"/>
      <c r="AW355" s="1"/>
      <c r="BC355" s="1"/>
      <c r="BD355" s="1"/>
      <c r="BE355" s="1"/>
      <c r="BF355" s="1"/>
      <c r="BG355" s="1"/>
      <c r="BH355" s="1"/>
      <c r="BI355" s="1"/>
      <c r="BO355" s="1"/>
      <c r="BP355" s="1"/>
      <c r="BQ355" s="1"/>
      <c r="BR355" s="1"/>
      <c r="BS355" s="1"/>
      <c r="BT355" s="1"/>
      <c r="BU355" s="4"/>
    </row>
    <row r="356">
      <c r="A356" s="1"/>
      <c r="M356" s="1"/>
      <c r="Y356" s="1"/>
      <c r="AK356" s="1"/>
      <c r="AQ356" s="1"/>
      <c r="AW356" s="1"/>
      <c r="BC356" s="1"/>
      <c r="BD356" s="1"/>
      <c r="BE356" s="1"/>
      <c r="BF356" s="1"/>
      <c r="BG356" s="1"/>
      <c r="BH356" s="1"/>
      <c r="BI356" s="1"/>
      <c r="BO356" s="1"/>
      <c r="BP356" s="1"/>
      <c r="BQ356" s="1"/>
      <c r="BR356" s="1"/>
      <c r="BS356" s="1"/>
      <c r="BT356" s="1"/>
      <c r="BU356" s="4"/>
    </row>
    <row r="357">
      <c r="A357" s="1"/>
      <c r="M357" s="1"/>
      <c r="Y357" s="1"/>
      <c r="AK357" s="1"/>
      <c r="AQ357" s="1"/>
      <c r="AW357" s="1"/>
      <c r="BC357" s="1"/>
      <c r="BD357" s="1"/>
      <c r="BE357" s="1"/>
      <c r="BF357" s="1"/>
      <c r="BG357" s="1"/>
      <c r="BH357" s="1"/>
      <c r="BI357" s="1"/>
      <c r="BO357" s="1"/>
      <c r="BP357" s="1"/>
      <c r="BQ357" s="1"/>
      <c r="BR357" s="1"/>
      <c r="BS357" s="1"/>
      <c r="BT357" s="1"/>
      <c r="BU357" s="4"/>
    </row>
    <row r="358">
      <c r="A358" s="1"/>
      <c r="M358" s="1"/>
      <c r="Y358" s="1"/>
      <c r="AK358" s="1"/>
      <c r="AQ358" s="1"/>
      <c r="AW358" s="1"/>
      <c r="BC358" s="1"/>
      <c r="BD358" s="1"/>
      <c r="BE358" s="1"/>
      <c r="BF358" s="1"/>
      <c r="BG358" s="1"/>
      <c r="BH358" s="1"/>
      <c r="BI358" s="1"/>
      <c r="BO358" s="1"/>
      <c r="BP358" s="1"/>
      <c r="BQ358" s="1"/>
      <c r="BR358" s="1"/>
      <c r="BS358" s="1"/>
      <c r="BT358" s="1"/>
      <c r="BU358" s="4"/>
    </row>
    <row r="359">
      <c r="A359" s="1"/>
      <c r="M359" s="1"/>
      <c r="Y359" s="1"/>
      <c r="AK359" s="1"/>
      <c r="AQ359" s="1"/>
      <c r="AW359" s="1"/>
      <c r="BC359" s="1"/>
      <c r="BD359" s="1"/>
      <c r="BE359" s="1"/>
      <c r="BF359" s="1"/>
      <c r="BG359" s="1"/>
      <c r="BH359" s="1"/>
      <c r="BI359" s="1"/>
      <c r="BO359" s="1"/>
      <c r="BP359" s="1"/>
      <c r="BQ359" s="1"/>
      <c r="BR359" s="1"/>
      <c r="BS359" s="1"/>
      <c r="BT359" s="1"/>
      <c r="BU359" s="4"/>
    </row>
    <row r="360">
      <c r="A360" s="1"/>
      <c r="M360" s="1"/>
      <c r="Y360" s="1"/>
      <c r="AK360" s="1"/>
      <c r="AQ360" s="1"/>
      <c r="AW360" s="1"/>
      <c r="BC360" s="1"/>
      <c r="BD360" s="1"/>
      <c r="BE360" s="1"/>
      <c r="BF360" s="1"/>
      <c r="BG360" s="1"/>
      <c r="BH360" s="1"/>
      <c r="BI360" s="1"/>
      <c r="BO360" s="1"/>
      <c r="BP360" s="1"/>
      <c r="BQ360" s="1"/>
      <c r="BR360" s="1"/>
      <c r="BS360" s="1"/>
      <c r="BT360" s="1"/>
      <c r="BU360" s="4"/>
    </row>
    <row r="361">
      <c r="A361" s="1"/>
      <c r="M361" s="1"/>
      <c r="Y361" s="1"/>
      <c r="AK361" s="1"/>
      <c r="AQ361" s="1"/>
      <c r="AW361" s="1"/>
      <c r="BC361" s="1"/>
      <c r="BD361" s="1"/>
      <c r="BE361" s="1"/>
      <c r="BF361" s="1"/>
      <c r="BG361" s="1"/>
      <c r="BH361" s="1"/>
      <c r="BI361" s="1"/>
      <c r="BO361" s="1"/>
      <c r="BP361" s="1"/>
      <c r="BQ361" s="1"/>
      <c r="BR361" s="1"/>
      <c r="BS361" s="1"/>
      <c r="BT361" s="1"/>
      <c r="BU361" s="4"/>
    </row>
    <row r="362">
      <c r="A362" s="1"/>
      <c r="M362" s="1"/>
      <c r="Y362" s="1"/>
      <c r="AK362" s="1"/>
      <c r="AQ362" s="1"/>
      <c r="AW362" s="1"/>
      <c r="BC362" s="1"/>
      <c r="BD362" s="1"/>
      <c r="BE362" s="1"/>
      <c r="BF362" s="1"/>
      <c r="BG362" s="1"/>
      <c r="BH362" s="1"/>
      <c r="BI362" s="1"/>
      <c r="BO362" s="1"/>
      <c r="BP362" s="1"/>
      <c r="BQ362" s="1"/>
      <c r="BR362" s="1"/>
      <c r="BS362" s="1"/>
      <c r="BT362" s="1"/>
      <c r="BU362" s="4"/>
    </row>
    <row r="363">
      <c r="A363" s="1"/>
      <c r="M363" s="1"/>
      <c r="Y363" s="1"/>
      <c r="AK363" s="1"/>
      <c r="AQ363" s="1"/>
      <c r="AW363" s="1"/>
      <c r="BC363" s="1"/>
      <c r="BD363" s="1"/>
      <c r="BE363" s="1"/>
      <c r="BF363" s="1"/>
      <c r="BG363" s="1"/>
      <c r="BH363" s="1"/>
      <c r="BI363" s="1"/>
      <c r="BO363" s="1"/>
      <c r="BP363" s="1"/>
      <c r="BQ363" s="1"/>
      <c r="BR363" s="1"/>
      <c r="BS363" s="1"/>
      <c r="BT363" s="1"/>
      <c r="BU363" s="4"/>
    </row>
    <row r="364">
      <c r="A364" s="1"/>
      <c r="M364" s="1"/>
      <c r="Y364" s="1"/>
      <c r="AK364" s="1"/>
      <c r="AQ364" s="1"/>
      <c r="AW364" s="1"/>
      <c r="BC364" s="1"/>
      <c r="BD364" s="1"/>
      <c r="BE364" s="1"/>
      <c r="BF364" s="1"/>
      <c r="BG364" s="1"/>
      <c r="BH364" s="1"/>
      <c r="BI364" s="1"/>
      <c r="BO364" s="1"/>
      <c r="BP364" s="1"/>
      <c r="BQ364" s="1"/>
      <c r="BR364" s="1"/>
      <c r="BS364" s="1"/>
      <c r="BT364" s="1"/>
      <c r="BU364" s="4"/>
    </row>
    <row r="365">
      <c r="A365" s="1"/>
      <c r="M365" s="1"/>
      <c r="Y365" s="1"/>
      <c r="AK365" s="1"/>
      <c r="AQ365" s="1"/>
      <c r="AW365" s="1"/>
      <c r="BC365" s="1"/>
      <c r="BD365" s="1"/>
      <c r="BE365" s="1"/>
      <c r="BF365" s="1"/>
      <c r="BG365" s="1"/>
      <c r="BH365" s="1"/>
      <c r="BI365" s="1"/>
      <c r="BO365" s="1"/>
      <c r="BP365" s="1"/>
      <c r="BQ365" s="1"/>
      <c r="BR365" s="1"/>
      <c r="BS365" s="1"/>
      <c r="BT365" s="1"/>
      <c r="BU365" s="4"/>
    </row>
    <row r="366">
      <c r="A366" s="1"/>
      <c r="M366" s="1"/>
      <c r="Y366" s="1"/>
      <c r="AK366" s="1"/>
      <c r="AQ366" s="1"/>
      <c r="AW366" s="1"/>
      <c r="BC366" s="1"/>
      <c r="BD366" s="1"/>
      <c r="BE366" s="1"/>
      <c r="BF366" s="1"/>
      <c r="BG366" s="1"/>
      <c r="BH366" s="1"/>
      <c r="BI366" s="1"/>
      <c r="BO366" s="1"/>
      <c r="BP366" s="1"/>
      <c r="BQ366" s="1"/>
      <c r="BR366" s="1"/>
      <c r="BS366" s="1"/>
      <c r="BT366" s="1"/>
      <c r="BU366" s="4"/>
    </row>
    <row r="367">
      <c r="A367" s="1"/>
      <c r="M367" s="1"/>
      <c r="Y367" s="1"/>
      <c r="AK367" s="1"/>
      <c r="AQ367" s="1"/>
      <c r="AW367" s="1"/>
      <c r="BC367" s="1"/>
      <c r="BD367" s="1"/>
      <c r="BE367" s="1"/>
      <c r="BF367" s="1"/>
      <c r="BG367" s="1"/>
      <c r="BH367" s="1"/>
      <c r="BI367" s="1"/>
      <c r="BO367" s="1"/>
      <c r="BP367" s="1"/>
      <c r="BQ367" s="1"/>
      <c r="BR367" s="1"/>
      <c r="BS367" s="1"/>
      <c r="BT367" s="1"/>
      <c r="BU367" s="4"/>
    </row>
    <row r="368">
      <c r="A368" s="1"/>
      <c r="M368" s="1"/>
      <c r="Y368" s="1"/>
      <c r="AK368" s="1"/>
      <c r="AQ368" s="1"/>
      <c r="AW368" s="1"/>
      <c r="BC368" s="1"/>
      <c r="BD368" s="1"/>
      <c r="BE368" s="1"/>
      <c r="BF368" s="1"/>
      <c r="BG368" s="1"/>
      <c r="BH368" s="1"/>
      <c r="BI368" s="1"/>
      <c r="BO368" s="1"/>
      <c r="BP368" s="1"/>
      <c r="BQ368" s="1"/>
      <c r="BR368" s="1"/>
      <c r="BS368" s="1"/>
      <c r="BT368" s="1"/>
      <c r="BU368" s="4"/>
    </row>
    <row r="369">
      <c r="A369" s="1"/>
      <c r="M369" s="1"/>
      <c r="Y369" s="1"/>
      <c r="AK369" s="1"/>
      <c r="AQ369" s="1"/>
      <c r="AW369" s="1"/>
      <c r="BC369" s="1"/>
      <c r="BD369" s="1"/>
      <c r="BE369" s="1"/>
      <c r="BF369" s="1"/>
      <c r="BG369" s="1"/>
      <c r="BH369" s="1"/>
      <c r="BI369" s="1"/>
      <c r="BO369" s="1"/>
      <c r="BP369" s="1"/>
      <c r="BQ369" s="1"/>
      <c r="BR369" s="1"/>
      <c r="BS369" s="1"/>
      <c r="BT369" s="1"/>
      <c r="BU369" s="4"/>
    </row>
    <row r="370">
      <c r="A370" s="1"/>
      <c r="M370" s="1"/>
      <c r="Y370" s="1"/>
      <c r="AK370" s="1"/>
      <c r="AQ370" s="1"/>
      <c r="AW370" s="1"/>
      <c r="BC370" s="1"/>
      <c r="BD370" s="1"/>
      <c r="BE370" s="1"/>
      <c r="BF370" s="1"/>
      <c r="BG370" s="1"/>
      <c r="BH370" s="1"/>
      <c r="BI370" s="1"/>
      <c r="BO370" s="1"/>
      <c r="BP370" s="1"/>
      <c r="BQ370" s="1"/>
      <c r="BR370" s="1"/>
      <c r="BS370" s="1"/>
      <c r="BT370" s="1"/>
      <c r="BU370" s="4"/>
    </row>
    <row r="371">
      <c r="A371" s="1"/>
      <c r="M371" s="1"/>
      <c r="Y371" s="1"/>
      <c r="AK371" s="1"/>
      <c r="AQ371" s="1"/>
      <c r="AW371" s="1"/>
      <c r="BC371" s="1"/>
      <c r="BD371" s="1"/>
      <c r="BE371" s="1"/>
      <c r="BF371" s="1"/>
      <c r="BG371" s="1"/>
      <c r="BH371" s="1"/>
      <c r="BI371" s="1"/>
      <c r="BO371" s="1"/>
      <c r="BP371" s="1"/>
      <c r="BQ371" s="1"/>
      <c r="BR371" s="1"/>
      <c r="BS371" s="1"/>
      <c r="BT371" s="1"/>
      <c r="BU371" s="4"/>
    </row>
    <row r="372">
      <c r="A372" s="1"/>
      <c r="M372" s="1"/>
      <c r="Y372" s="1"/>
      <c r="AK372" s="1"/>
      <c r="AQ372" s="1"/>
      <c r="AW372" s="1"/>
      <c r="BC372" s="1"/>
      <c r="BD372" s="1"/>
      <c r="BE372" s="1"/>
      <c r="BF372" s="1"/>
      <c r="BG372" s="1"/>
      <c r="BH372" s="1"/>
      <c r="BI372" s="1"/>
      <c r="BO372" s="1"/>
      <c r="BP372" s="1"/>
      <c r="BQ372" s="1"/>
      <c r="BR372" s="1"/>
      <c r="BS372" s="1"/>
      <c r="BT372" s="1"/>
      <c r="BU372" s="4"/>
    </row>
    <row r="373">
      <c r="A373" s="1"/>
      <c r="M373" s="1"/>
      <c r="Y373" s="1"/>
      <c r="AK373" s="1"/>
      <c r="AQ373" s="1"/>
      <c r="AW373" s="1"/>
      <c r="BC373" s="1"/>
      <c r="BD373" s="1"/>
      <c r="BE373" s="1"/>
      <c r="BF373" s="1"/>
      <c r="BG373" s="1"/>
      <c r="BH373" s="1"/>
      <c r="BI373" s="1"/>
      <c r="BO373" s="1"/>
      <c r="BP373" s="1"/>
      <c r="BQ373" s="1"/>
      <c r="BR373" s="1"/>
      <c r="BS373" s="1"/>
      <c r="BT373" s="1"/>
      <c r="BU373" s="4"/>
    </row>
    <row r="374">
      <c r="A374" s="1"/>
      <c r="M374" s="1"/>
      <c r="Y374" s="1"/>
      <c r="AK374" s="1"/>
      <c r="AQ374" s="1"/>
      <c r="AW374" s="1"/>
      <c r="BC374" s="1"/>
      <c r="BD374" s="1"/>
      <c r="BE374" s="1"/>
      <c r="BF374" s="1"/>
      <c r="BG374" s="1"/>
      <c r="BH374" s="1"/>
      <c r="BI374" s="1"/>
      <c r="BO374" s="1"/>
      <c r="BP374" s="1"/>
      <c r="BQ374" s="1"/>
      <c r="BR374" s="1"/>
      <c r="BS374" s="1"/>
      <c r="BT374" s="1"/>
      <c r="BU374" s="4"/>
    </row>
    <row r="375">
      <c r="A375" s="1"/>
      <c r="M375" s="1"/>
      <c r="Y375" s="1"/>
      <c r="AK375" s="1"/>
      <c r="AQ375" s="1"/>
      <c r="AW375" s="1"/>
      <c r="BC375" s="1"/>
      <c r="BD375" s="1"/>
      <c r="BE375" s="1"/>
      <c r="BF375" s="1"/>
      <c r="BG375" s="1"/>
      <c r="BH375" s="1"/>
      <c r="BI375" s="1"/>
      <c r="BO375" s="1"/>
      <c r="BP375" s="1"/>
      <c r="BQ375" s="1"/>
      <c r="BR375" s="1"/>
      <c r="BS375" s="1"/>
      <c r="BT375" s="1"/>
      <c r="BU375" s="4"/>
    </row>
    <row r="376">
      <c r="A376" s="1"/>
      <c r="M376" s="1"/>
      <c r="Y376" s="1"/>
      <c r="AK376" s="1"/>
      <c r="AQ376" s="1"/>
      <c r="AW376" s="1"/>
      <c r="BC376" s="1"/>
      <c r="BD376" s="1"/>
      <c r="BE376" s="1"/>
      <c r="BF376" s="1"/>
      <c r="BG376" s="1"/>
      <c r="BH376" s="1"/>
      <c r="BI376" s="1"/>
      <c r="BO376" s="1"/>
      <c r="BP376" s="1"/>
      <c r="BQ376" s="1"/>
      <c r="BR376" s="1"/>
      <c r="BS376" s="1"/>
      <c r="BT376" s="1"/>
      <c r="BU376" s="4"/>
    </row>
    <row r="377">
      <c r="A377" s="1"/>
      <c r="M377" s="1"/>
      <c r="Y377" s="1"/>
      <c r="AK377" s="1"/>
      <c r="AQ377" s="1"/>
      <c r="AW377" s="1"/>
      <c r="BC377" s="1"/>
      <c r="BD377" s="1"/>
      <c r="BE377" s="1"/>
      <c r="BF377" s="1"/>
      <c r="BG377" s="1"/>
      <c r="BH377" s="1"/>
      <c r="BI377" s="1"/>
      <c r="BO377" s="1"/>
      <c r="BP377" s="1"/>
      <c r="BQ377" s="1"/>
      <c r="BR377" s="1"/>
      <c r="BS377" s="1"/>
      <c r="BT377" s="1"/>
      <c r="BU377" s="4"/>
    </row>
    <row r="378">
      <c r="A378" s="1"/>
      <c r="M378" s="1"/>
      <c r="Y378" s="1"/>
      <c r="AK378" s="1"/>
      <c r="AQ378" s="1"/>
      <c r="AW378" s="1"/>
      <c r="BC378" s="1"/>
      <c r="BD378" s="1"/>
      <c r="BE378" s="1"/>
      <c r="BF378" s="1"/>
      <c r="BG378" s="1"/>
      <c r="BH378" s="1"/>
      <c r="BI378" s="1"/>
      <c r="BO378" s="1"/>
      <c r="BP378" s="1"/>
      <c r="BQ378" s="1"/>
      <c r="BR378" s="1"/>
      <c r="BS378" s="1"/>
      <c r="BT378" s="1"/>
      <c r="BU378" s="4"/>
    </row>
    <row r="379">
      <c r="A379" s="1"/>
      <c r="M379" s="1"/>
      <c r="Y379" s="1"/>
      <c r="AK379" s="1"/>
      <c r="AQ379" s="1"/>
      <c r="AW379" s="1"/>
      <c r="BC379" s="1"/>
      <c r="BD379" s="1"/>
      <c r="BE379" s="1"/>
      <c r="BF379" s="1"/>
      <c r="BG379" s="1"/>
      <c r="BH379" s="1"/>
      <c r="BI379" s="1"/>
      <c r="BO379" s="1"/>
      <c r="BP379" s="1"/>
      <c r="BQ379" s="1"/>
      <c r="BR379" s="1"/>
      <c r="BS379" s="1"/>
      <c r="BT379" s="1"/>
      <c r="BU379" s="4"/>
    </row>
    <row r="380">
      <c r="A380" s="1"/>
      <c r="M380" s="1"/>
      <c r="Y380" s="1"/>
      <c r="AK380" s="1"/>
      <c r="AQ380" s="1"/>
      <c r="AW380" s="1"/>
      <c r="BC380" s="1"/>
      <c r="BD380" s="1"/>
      <c r="BE380" s="1"/>
      <c r="BF380" s="1"/>
      <c r="BG380" s="1"/>
      <c r="BH380" s="1"/>
      <c r="BI380" s="1"/>
      <c r="BO380" s="1"/>
      <c r="BP380" s="1"/>
      <c r="BQ380" s="1"/>
      <c r="BR380" s="1"/>
      <c r="BS380" s="1"/>
      <c r="BT380" s="1"/>
      <c r="BU380" s="4"/>
    </row>
    <row r="381">
      <c r="A381" s="1"/>
      <c r="M381" s="1"/>
      <c r="Y381" s="1"/>
      <c r="AK381" s="1"/>
      <c r="AQ381" s="1"/>
      <c r="AW381" s="1"/>
      <c r="BC381" s="1"/>
      <c r="BD381" s="1"/>
      <c r="BE381" s="1"/>
      <c r="BF381" s="1"/>
      <c r="BG381" s="1"/>
      <c r="BH381" s="1"/>
      <c r="BI381" s="1"/>
      <c r="BO381" s="1"/>
      <c r="BP381" s="1"/>
      <c r="BQ381" s="1"/>
      <c r="BR381" s="1"/>
      <c r="BS381" s="1"/>
      <c r="BT381" s="1"/>
      <c r="BU381" s="4"/>
    </row>
    <row r="382">
      <c r="A382" s="1"/>
      <c r="M382" s="1"/>
      <c r="Y382" s="1"/>
      <c r="AK382" s="1"/>
      <c r="AQ382" s="1"/>
      <c r="AW382" s="1"/>
      <c r="BC382" s="1"/>
      <c r="BD382" s="1"/>
      <c r="BE382" s="1"/>
      <c r="BF382" s="1"/>
      <c r="BG382" s="1"/>
      <c r="BH382" s="1"/>
      <c r="BI382" s="1"/>
      <c r="BO382" s="1"/>
      <c r="BP382" s="1"/>
      <c r="BQ382" s="1"/>
      <c r="BR382" s="1"/>
      <c r="BS382" s="1"/>
      <c r="BT382" s="1"/>
      <c r="BU382" s="4"/>
    </row>
    <row r="383">
      <c r="A383" s="1"/>
      <c r="M383" s="1"/>
      <c r="Y383" s="1"/>
      <c r="AK383" s="1"/>
      <c r="AQ383" s="1"/>
      <c r="AW383" s="1"/>
      <c r="BC383" s="1"/>
      <c r="BD383" s="1"/>
      <c r="BE383" s="1"/>
      <c r="BF383" s="1"/>
      <c r="BG383" s="1"/>
      <c r="BH383" s="1"/>
      <c r="BI383" s="1"/>
      <c r="BO383" s="1"/>
      <c r="BP383" s="1"/>
      <c r="BQ383" s="1"/>
      <c r="BR383" s="1"/>
      <c r="BS383" s="1"/>
      <c r="BT383" s="1"/>
      <c r="BU383" s="4"/>
    </row>
    <row r="384">
      <c r="A384" s="1"/>
      <c r="M384" s="1"/>
      <c r="Y384" s="1"/>
      <c r="AK384" s="1"/>
      <c r="AQ384" s="1"/>
      <c r="AW384" s="1"/>
      <c r="BC384" s="1"/>
      <c r="BD384" s="1"/>
      <c r="BE384" s="1"/>
      <c r="BF384" s="1"/>
      <c r="BG384" s="1"/>
      <c r="BH384" s="1"/>
      <c r="BI384" s="1"/>
      <c r="BO384" s="1"/>
      <c r="BP384" s="1"/>
      <c r="BQ384" s="1"/>
      <c r="BR384" s="1"/>
      <c r="BS384" s="1"/>
      <c r="BT384" s="1"/>
      <c r="BU384" s="4"/>
    </row>
    <row r="385">
      <c r="A385" s="1"/>
      <c r="M385" s="1"/>
      <c r="Y385" s="1"/>
      <c r="AK385" s="1"/>
      <c r="AQ385" s="1"/>
      <c r="AW385" s="1"/>
      <c r="BC385" s="1"/>
      <c r="BD385" s="1"/>
      <c r="BE385" s="1"/>
      <c r="BF385" s="1"/>
      <c r="BG385" s="1"/>
      <c r="BH385" s="1"/>
      <c r="BI385" s="1"/>
      <c r="BO385" s="1"/>
      <c r="BP385" s="1"/>
      <c r="BQ385" s="1"/>
      <c r="BR385" s="1"/>
      <c r="BS385" s="1"/>
      <c r="BT385" s="1"/>
      <c r="BU385" s="4"/>
    </row>
    <row r="386">
      <c r="A386" s="1"/>
      <c r="M386" s="1"/>
      <c r="Y386" s="1"/>
      <c r="AK386" s="1"/>
      <c r="AQ386" s="1"/>
      <c r="AW386" s="1"/>
      <c r="BC386" s="1"/>
      <c r="BD386" s="1"/>
      <c r="BE386" s="1"/>
      <c r="BF386" s="1"/>
      <c r="BG386" s="1"/>
      <c r="BH386" s="1"/>
      <c r="BI386" s="1"/>
      <c r="BO386" s="1"/>
      <c r="BP386" s="1"/>
      <c r="BQ386" s="1"/>
      <c r="BR386" s="1"/>
      <c r="BS386" s="1"/>
      <c r="BT386" s="1"/>
      <c r="BU386" s="4"/>
    </row>
    <row r="387">
      <c r="A387" s="1"/>
      <c r="M387" s="1"/>
      <c r="Y387" s="1"/>
      <c r="AK387" s="1"/>
      <c r="AQ387" s="1"/>
      <c r="AW387" s="1"/>
      <c r="BC387" s="1"/>
      <c r="BD387" s="1"/>
      <c r="BE387" s="1"/>
      <c r="BF387" s="1"/>
      <c r="BG387" s="1"/>
      <c r="BH387" s="1"/>
      <c r="BI387" s="1"/>
      <c r="BO387" s="1"/>
      <c r="BP387" s="1"/>
      <c r="BQ387" s="1"/>
      <c r="BR387" s="1"/>
      <c r="BS387" s="1"/>
      <c r="BT387" s="1"/>
      <c r="BU387" s="4"/>
    </row>
    <row r="388">
      <c r="A388" s="1"/>
      <c r="M388" s="1"/>
      <c r="Y388" s="1"/>
      <c r="AK388" s="1"/>
      <c r="AQ388" s="1"/>
      <c r="AW388" s="1"/>
      <c r="BC388" s="1"/>
      <c r="BD388" s="1"/>
      <c r="BE388" s="1"/>
      <c r="BF388" s="1"/>
      <c r="BG388" s="1"/>
      <c r="BH388" s="1"/>
      <c r="BI388" s="1"/>
      <c r="BO388" s="1"/>
      <c r="BP388" s="1"/>
      <c r="BQ388" s="1"/>
      <c r="BR388" s="1"/>
      <c r="BS388" s="1"/>
      <c r="BT388" s="1"/>
      <c r="BU388" s="4"/>
    </row>
    <row r="389">
      <c r="A389" s="1"/>
      <c r="M389" s="1"/>
      <c r="Y389" s="1"/>
      <c r="AK389" s="1"/>
      <c r="AQ389" s="1"/>
      <c r="AW389" s="1"/>
      <c r="BC389" s="1"/>
      <c r="BD389" s="1"/>
      <c r="BE389" s="1"/>
      <c r="BF389" s="1"/>
      <c r="BG389" s="1"/>
      <c r="BH389" s="1"/>
      <c r="BI389" s="1"/>
      <c r="BO389" s="1"/>
      <c r="BP389" s="1"/>
      <c r="BQ389" s="1"/>
      <c r="BR389" s="1"/>
      <c r="BS389" s="1"/>
      <c r="BT389" s="1"/>
      <c r="BU389" s="4"/>
    </row>
    <row r="390">
      <c r="A390" s="1"/>
      <c r="M390" s="1"/>
      <c r="Y390" s="1"/>
      <c r="AK390" s="1"/>
      <c r="AQ390" s="1"/>
      <c r="AW390" s="1"/>
      <c r="BC390" s="1"/>
      <c r="BD390" s="1"/>
      <c r="BE390" s="1"/>
      <c r="BF390" s="1"/>
      <c r="BG390" s="1"/>
      <c r="BH390" s="1"/>
      <c r="BI390" s="1"/>
      <c r="BO390" s="1"/>
      <c r="BP390" s="1"/>
      <c r="BQ390" s="1"/>
      <c r="BR390" s="1"/>
      <c r="BS390" s="1"/>
      <c r="BT390" s="1"/>
      <c r="BU390" s="4"/>
    </row>
    <row r="391">
      <c r="A391" s="1"/>
      <c r="M391" s="1"/>
      <c r="Y391" s="1"/>
      <c r="AK391" s="1"/>
      <c r="AQ391" s="1"/>
      <c r="AW391" s="1"/>
      <c r="BC391" s="1"/>
      <c r="BD391" s="1"/>
      <c r="BE391" s="1"/>
      <c r="BF391" s="1"/>
      <c r="BG391" s="1"/>
      <c r="BH391" s="1"/>
      <c r="BI391" s="1"/>
      <c r="BO391" s="1"/>
      <c r="BP391" s="1"/>
      <c r="BQ391" s="1"/>
      <c r="BR391" s="1"/>
      <c r="BS391" s="1"/>
      <c r="BT391" s="1"/>
      <c r="BU391" s="4"/>
    </row>
    <row r="392">
      <c r="A392" s="1"/>
      <c r="M392" s="1"/>
      <c r="Y392" s="1"/>
      <c r="AK392" s="1"/>
      <c r="AQ392" s="1"/>
      <c r="AW392" s="1"/>
      <c r="BC392" s="1"/>
      <c r="BD392" s="1"/>
      <c r="BE392" s="1"/>
      <c r="BF392" s="1"/>
      <c r="BG392" s="1"/>
      <c r="BH392" s="1"/>
      <c r="BI392" s="1"/>
      <c r="BO392" s="1"/>
      <c r="BP392" s="1"/>
      <c r="BQ392" s="1"/>
      <c r="BR392" s="1"/>
      <c r="BS392" s="1"/>
      <c r="BT392" s="1"/>
      <c r="BU392" s="4"/>
    </row>
    <row r="393">
      <c r="A393" s="1"/>
      <c r="M393" s="1"/>
      <c r="Y393" s="1"/>
      <c r="AK393" s="1"/>
      <c r="AQ393" s="1"/>
      <c r="AW393" s="1"/>
      <c r="BC393" s="1"/>
      <c r="BD393" s="1"/>
      <c r="BE393" s="1"/>
      <c r="BF393" s="1"/>
      <c r="BG393" s="1"/>
      <c r="BH393" s="1"/>
      <c r="BI393" s="1"/>
      <c r="BO393" s="1"/>
      <c r="BP393" s="1"/>
      <c r="BQ393" s="1"/>
      <c r="BR393" s="1"/>
      <c r="BS393" s="1"/>
      <c r="BT393" s="1"/>
      <c r="BU393" s="4"/>
    </row>
    <row r="394">
      <c r="A394" s="1"/>
      <c r="M394" s="1"/>
      <c r="Y394" s="1"/>
      <c r="AK394" s="1"/>
      <c r="AQ394" s="1"/>
      <c r="AW394" s="1"/>
      <c r="BC394" s="1"/>
      <c r="BD394" s="1"/>
      <c r="BE394" s="1"/>
      <c r="BF394" s="1"/>
      <c r="BG394" s="1"/>
      <c r="BH394" s="1"/>
      <c r="BI394" s="1"/>
      <c r="BO394" s="1"/>
      <c r="BP394" s="1"/>
      <c r="BQ394" s="1"/>
      <c r="BR394" s="1"/>
      <c r="BS394" s="1"/>
      <c r="BT394" s="1"/>
      <c r="BU394" s="4"/>
    </row>
    <row r="395">
      <c r="A395" s="1"/>
      <c r="M395" s="1"/>
      <c r="Y395" s="1"/>
      <c r="AK395" s="1"/>
      <c r="AQ395" s="1"/>
      <c r="AW395" s="1"/>
      <c r="BC395" s="1"/>
      <c r="BD395" s="1"/>
      <c r="BE395" s="1"/>
      <c r="BF395" s="1"/>
      <c r="BG395" s="1"/>
      <c r="BH395" s="1"/>
      <c r="BI395" s="1"/>
      <c r="BO395" s="1"/>
      <c r="BP395" s="1"/>
      <c r="BQ395" s="1"/>
      <c r="BR395" s="1"/>
      <c r="BS395" s="1"/>
      <c r="BT395" s="1"/>
      <c r="BU395" s="4"/>
    </row>
    <row r="396">
      <c r="A396" s="1"/>
      <c r="M396" s="1"/>
      <c r="Y396" s="1"/>
      <c r="AK396" s="1"/>
      <c r="AQ396" s="1"/>
      <c r="AW396" s="1"/>
      <c r="BC396" s="1"/>
      <c r="BD396" s="1"/>
      <c r="BE396" s="1"/>
      <c r="BF396" s="1"/>
      <c r="BG396" s="1"/>
      <c r="BH396" s="1"/>
      <c r="BI396" s="1"/>
      <c r="BO396" s="1"/>
      <c r="BP396" s="1"/>
      <c r="BQ396" s="1"/>
      <c r="BR396" s="1"/>
      <c r="BS396" s="1"/>
      <c r="BT396" s="1"/>
      <c r="BU396" s="4"/>
    </row>
    <row r="397">
      <c r="A397" s="1"/>
      <c r="M397" s="1"/>
      <c r="Y397" s="1"/>
      <c r="AK397" s="1"/>
      <c r="AQ397" s="1"/>
      <c r="AW397" s="1"/>
      <c r="BC397" s="1"/>
      <c r="BD397" s="1"/>
      <c r="BE397" s="1"/>
      <c r="BF397" s="1"/>
      <c r="BG397" s="1"/>
      <c r="BH397" s="1"/>
      <c r="BI397" s="1"/>
      <c r="BO397" s="1"/>
      <c r="BP397" s="1"/>
      <c r="BQ397" s="1"/>
      <c r="BR397" s="1"/>
      <c r="BS397" s="1"/>
      <c r="BT397" s="1"/>
      <c r="BU397" s="4"/>
    </row>
    <row r="398">
      <c r="A398" s="1"/>
      <c r="M398" s="1"/>
      <c r="Y398" s="1"/>
      <c r="AK398" s="1"/>
      <c r="AQ398" s="1"/>
      <c r="AW398" s="1"/>
      <c r="BC398" s="1"/>
      <c r="BD398" s="1"/>
      <c r="BE398" s="1"/>
      <c r="BF398" s="1"/>
      <c r="BG398" s="1"/>
      <c r="BH398" s="1"/>
      <c r="BI398" s="1"/>
      <c r="BO398" s="1"/>
      <c r="BP398" s="1"/>
      <c r="BQ398" s="1"/>
      <c r="BR398" s="1"/>
      <c r="BS398" s="1"/>
      <c r="BT398" s="1"/>
      <c r="BU398" s="4"/>
    </row>
    <row r="399">
      <c r="A399" s="1"/>
      <c r="M399" s="1"/>
      <c r="Y399" s="1"/>
      <c r="AK399" s="1"/>
      <c r="AQ399" s="1"/>
      <c r="AW399" s="1"/>
      <c r="BC399" s="1"/>
      <c r="BD399" s="1"/>
      <c r="BE399" s="1"/>
      <c r="BF399" s="1"/>
      <c r="BG399" s="1"/>
      <c r="BH399" s="1"/>
      <c r="BI399" s="1"/>
      <c r="BO399" s="1"/>
      <c r="BP399" s="1"/>
      <c r="BQ399" s="1"/>
      <c r="BR399" s="1"/>
      <c r="BS399" s="1"/>
      <c r="BT399" s="1"/>
      <c r="BU399" s="4"/>
    </row>
    <row r="400">
      <c r="A400" s="1"/>
      <c r="M400" s="1"/>
      <c r="Y400" s="1"/>
      <c r="AK400" s="1"/>
      <c r="AQ400" s="1"/>
      <c r="AW400" s="1"/>
      <c r="BC400" s="1"/>
      <c r="BD400" s="1"/>
      <c r="BE400" s="1"/>
      <c r="BF400" s="1"/>
      <c r="BG400" s="1"/>
      <c r="BH400" s="1"/>
      <c r="BI400" s="1"/>
      <c r="BO400" s="1"/>
      <c r="BP400" s="1"/>
      <c r="BQ400" s="1"/>
      <c r="BR400" s="1"/>
      <c r="BS400" s="1"/>
      <c r="BT400" s="1"/>
      <c r="BU400" s="4"/>
    </row>
    <row r="401">
      <c r="A401" s="1"/>
      <c r="M401" s="1"/>
      <c r="Y401" s="1"/>
      <c r="AK401" s="1"/>
      <c r="AQ401" s="1"/>
      <c r="AW401" s="1"/>
      <c r="BC401" s="1"/>
      <c r="BD401" s="1"/>
      <c r="BE401" s="1"/>
      <c r="BF401" s="1"/>
      <c r="BG401" s="1"/>
      <c r="BH401" s="1"/>
      <c r="BI401" s="1"/>
      <c r="BO401" s="1"/>
      <c r="BP401" s="1"/>
      <c r="BQ401" s="1"/>
      <c r="BR401" s="1"/>
      <c r="BS401" s="1"/>
      <c r="BT401" s="1"/>
      <c r="BU401" s="4"/>
    </row>
    <row r="402">
      <c r="A402" s="1"/>
      <c r="M402" s="1"/>
      <c r="Y402" s="1"/>
      <c r="AK402" s="1"/>
      <c r="AQ402" s="1"/>
      <c r="AW402" s="1"/>
      <c r="BC402" s="1"/>
      <c r="BD402" s="1"/>
      <c r="BE402" s="1"/>
      <c r="BF402" s="1"/>
      <c r="BG402" s="1"/>
      <c r="BH402" s="1"/>
      <c r="BI402" s="1"/>
      <c r="BO402" s="1"/>
      <c r="BP402" s="1"/>
      <c r="BQ402" s="1"/>
      <c r="BR402" s="1"/>
      <c r="BS402" s="1"/>
      <c r="BT402" s="1"/>
      <c r="BU402" s="4"/>
    </row>
    <row r="403">
      <c r="A403" s="1"/>
      <c r="M403" s="1"/>
      <c r="Y403" s="1"/>
      <c r="AK403" s="1"/>
      <c r="AQ403" s="1"/>
      <c r="AW403" s="1"/>
      <c r="BC403" s="1"/>
      <c r="BD403" s="1"/>
      <c r="BE403" s="1"/>
      <c r="BF403" s="1"/>
      <c r="BG403" s="1"/>
      <c r="BH403" s="1"/>
      <c r="BI403" s="1"/>
      <c r="BO403" s="1"/>
      <c r="BP403" s="1"/>
      <c r="BQ403" s="1"/>
      <c r="BR403" s="1"/>
      <c r="BS403" s="1"/>
      <c r="BT403" s="1"/>
      <c r="BU403" s="4"/>
    </row>
    <row r="404">
      <c r="A404" s="1"/>
      <c r="M404" s="1"/>
      <c r="Y404" s="1"/>
      <c r="AK404" s="1"/>
      <c r="AQ404" s="1"/>
      <c r="AW404" s="1"/>
      <c r="BC404" s="1"/>
      <c r="BD404" s="1"/>
      <c r="BE404" s="1"/>
      <c r="BF404" s="1"/>
      <c r="BG404" s="1"/>
      <c r="BH404" s="1"/>
      <c r="BI404" s="1"/>
      <c r="BO404" s="1"/>
      <c r="BP404" s="1"/>
      <c r="BQ404" s="1"/>
      <c r="BR404" s="1"/>
      <c r="BS404" s="1"/>
      <c r="BT404" s="1"/>
      <c r="BU404" s="4"/>
    </row>
    <row r="405">
      <c r="A405" s="1"/>
      <c r="M405" s="1"/>
      <c r="Y405" s="1"/>
      <c r="AK405" s="1"/>
      <c r="AQ405" s="1"/>
      <c r="AW405" s="1"/>
      <c r="BC405" s="1"/>
      <c r="BD405" s="1"/>
      <c r="BE405" s="1"/>
      <c r="BF405" s="1"/>
      <c r="BG405" s="1"/>
      <c r="BH405" s="1"/>
      <c r="BI405" s="1"/>
      <c r="BO405" s="1"/>
      <c r="BP405" s="1"/>
      <c r="BQ405" s="1"/>
      <c r="BR405" s="1"/>
      <c r="BS405" s="1"/>
      <c r="BT405" s="1"/>
      <c r="BU405" s="4"/>
    </row>
    <row r="406">
      <c r="A406" s="1"/>
      <c r="M406" s="1"/>
      <c r="Y406" s="1"/>
      <c r="AK406" s="1"/>
      <c r="AQ406" s="1"/>
      <c r="AW406" s="1"/>
      <c r="BC406" s="1"/>
      <c r="BD406" s="1"/>
      <c r="BE406" s="1"/>
      <c r="BF406" s="1"/>
      <c r="BG406" s="1"/>
      <c r="BH406" s="1"/>
      <c r="BI406" s="1"/>
      <c r="BO406" s="1"/>
      <c r="BP406" s="1"/>
      <c r="BQ406" s="1"/>
      <c r="BR406" s="1"/>
      <c r="BS406" s="1"/>
      <c r="BT406" s="1"/>
      <c r="BU406" s="4"/>
    </row>
    <row r="407">
      <c r="A407" s="1"/>
      <c r="M407" s="1"/>
      <c r="Y407" s="1"/>
      <c r="AK407" s="1"/>
      <c r="AQ407" s="1"/>
      <c r="AW407" s="1"/>
      <c r="BC407" s="1"/>
      <c r="BD407" s="1"/>
      <c r="BE407" s="1"/>
      <c r="BF407" s="1"/>
      <c r="BG407" s="1"/>
      <c r="BH407" s="1"/>
      <c r="BI407" s="1"/>
      <c r="BO407" s="1"/>
      <c r="BP407" s="1"/>
      <c r="BQ407" s="1"/>
      <c r="BR407" s="1"/>
      <c r="BS407" s="1"/>
      <c r="BT407" s="1"/>
      <c r="BU407" s="4"/>
    </row>
    <row r="408">
      <c r="A408" s="1"/>
      <c r="M408" s="1"/>
      <c r="Y408" s="1"/>
      <c r="AK408" s="1"/>
      <c r="AQ408" s="1"/>
      <c r="AW408" s="1"/>
      <c r="BC408" s="1"/>
      <c r="BD408" s="1"/>
      <c r="BE408" s="1"/>
      <c r="BF408" s="1"/>
      <c r="BG408" s="1"/>
      <c r="BH408" s="1"/>
      <c r="BI408" s="1"/>
      <c r="BO408" s="1"/>
      <c r="BP408" s="1"/>
      <c r="BQ408" s="1"/>
      <c r="BR408" s="1"/>
      <c r="BS408" s="1"/>
      <c r="BT408" s="1"/>
      <c r="BU408" s="4"/>
    </row>
    <row r="409">
      <c r="A409" s="1"/>
      <c r="M409" s="1"/>
      <c r="Y409" s="1"/>
      <c r="AK409" s="1"/>
      <c r="AQ409" s="1"/>
      <c r="AW409" s="1"/>
      <c r="BC409" s="1"/>
      <c r="BD409" s="1"/>
      <c r="BE409" s="1"/>
      <c r="BF409" s="1"/>
      <c r="BG409" s="1"/>
      <c r="BH409" s="1"/>
      <c r="BI409" s="1"/>
      <c r="BO409" s="1"/>
      <c r="BP409" s="1"/>
      <c r="BQ409" s="1"/>
      <c r="BR409" s="1"/>
      <c r="BS409" s="1"/>
      <c r="BT409" s="1"/>
      <c r="BU409" s="4"/>
    </row>
    <row r="410">
      <c r="A410" s="1"/>
      <c r="M410" s="1"/>
      <c r="Y410" s="1"/>
      <c r="AK410" s="1"/>
      <c r="AQ410" s="1"/>
      <c r="AW410" s="1"/>
      <c r="BC410" s="1"/>
      <c r="BD410" s="1"/>
      <c r="BE410" s="1"/>
      <c r="BF410" s="1"/>
      <c r="BG410" s="1"/>
      <c r="BH410" s="1"/>
      <c r="BI410" s="1"/>
      <c r="BO410" s="1"/>
      <c r="BP410" s="1"/>
      <c r="BQ410" s="1"/>
      <c r="BR410" s="1"/>
      <c r="BS410" s="1"/>
      <c r="BT410" s="1"/>
      <c r="BU410" s="4"/>
    </row>
    <row r="411">
      <c r="A411" s="1"/>
      <c r="M411" s="1"/>
      <c r="Y411" s="1"/>
      <c r="AK411" s="1"/>
      <c r="AQ411" s="1"/>
      <c r="AW411" s="1"/>
      <c r="BC411" s="1"/>
      <c r="BD411" s="1"/>
      <c r="BE411" s="1"/>
      <c r="BF411" s="1"/>
      <c r="BG411" s="1"/>
      <c r="BH411" s="1"/>
      <c r="BI411" s="1"/>
      <c r="BO411" s="1"/>
      <c r="BP411" s="1"/>
      <c r="BQ411" s="1"/>
      <c r="BR411" s="1"/>
      <c r="BS411" s="1"/>
      <c r="BT411" s="1"/>
      <c r="BU411" s="4"/>
    </row>
    <row r="412">
      <c r="A412" s="1"/>
      <c r="M412" s="1"/>
      <c r="Y412" s="1"/>
      <c r="AK412" s="1"/>
      <c r="AQ412" s="1"/>
      <c r="AW412" s="1"/>
      <c r="BC412" s="1"/>
      <c r="BD412" s="1"/>
      <c r="BE412" s="1"/>
      <c r="BF412" s="1"/>
      <c r="BG412" s="1"/>
      <c r="BH412" s="1"/>
      <c r="BI412" s="1"/>
      <c r="BO412" s="1"/>
      <c r="BP412" s="1"/>
      <c r="BQ412" s="1"/>
      <c r="BR412" s="1"/>
      <c r="BS412" s="1"/>
      <c r="BT412" s="1"/>
      <c r="BU412" s="4"/>
    </row>
    <row r="413">
      <c r="A413" s="1"/>
      <c r="M413" s="1"/>
      <c r="Y413" s="1"/>
      <c r="AK413" s="1"/>
      <c r="AQ413" s="1"/>
      <c r="AW413" s="1"/>
      <c r="BC413" s="1"/>
      <c r="BD413" s="1"/>
      <c r="BE413" s="1"/>
      <c r="BF413" s="1"/>
      <c r="BG413" s="1"/>
      <c r="BH413" s="1"/>
      <c r="BI413" s="1"/>
      <c r="BO413" s="1"/>
      <c r="BP413" s="1"/>
      <c r="BQ413" s="1"/>
      <c r="BR413" s="1"/>
      <c r="BS413" s="1"/>
      <c r="BT413" s="1"/>
      <c r="BU413" s="4"/>
    </row>
    <row r="414">
      <c r="A414" s="1"/>
      <c r="M414" s="1"/>
      <c r="Y414" s="1"/>
      <c r="AK414" s="1"/>
      <c r="AQ414" s="1"/>
      <c r="AW414" s="1"/>
      <c r="BC414" s="1"/>
      <c r="BD414" s="1"/>
      <c r="BE414" s="1"/>
      <c r="BF414" s="1"/>
      <c r="BG414" s="1"/>
      <c r="BH414" s="1"/>
      <c r="BI414" s="1"/>
      <c r="BO414" s="1"/>
      <c r="BP414" s="1"/>
      <c r="BQ414" s="1"/>
      <c r="BR414" s="1"/>
      <c r="BS414" s="1"/>
      <c r="BT414" s="1"/>
      <c r="BU414" s="4"/>
    </row>
    <row r="415">
      <c r="A415" s="1"/>
      <c r="M415" s="1"/>
      <c r="Y415" s="1"/>
      <c r="AK415" s="1"/>
      <c r="AQ415" s="1"/>
      <c r="AW415" s="1"/>
      <c r="BC415" s="1"/>
      <c r="BD415" s="1"/>
      <c r="BE415" s="1"/>
      <c r="BF415" s="1"/>
      <c r="BG415" s="1"/>
      <c r="BH415" s="1"/>
      <c r="BI415" s="1"/>
      <c r="BO415" s="1"/>
      <c r="BP415" s="1"/>
      <c r="BQ415" s="1"/>
      <c r="BR415" s="1"/>
      <c r="BS415" s="1"/>
      <c r="BT415" s="1"/>
      <c r="BU415" s="4"/>
    </row>
    <row r="416">
      <c r="A416" s="1"/>
      <c r="M416" s="1"/>
      <c r="Y416" s="1"/>
      <c r="AK416" s="1"/>
      <c r="AQ416" s="1"/>
      <c r="AW416" s="1"/>
      <c r="BC416" s="1"/>
      <c r="BD416" s="1"/>
      <c r="BE416" s="1"/>
      <c r="BF416" s="1"/>
      <c r="BG416" s="1"/>
      <c r="BH416" s="1"/>
      <c r="BI416" s="1"/>
      <c r="BO416" s="1"/>
      <c r="BP416" s="1"/>
      <c r="BQ416" s="1"/>
      <c r="BR416" s="1"/>
      <c r="BS416" s="1"/>
      <c r="BT416" s="1"/>
      <c r="BU416" s="4"/>
    </row>
    <row r="417">
      <c r="A417" s="1"/>
      <c r="M417" s="1"/>
      <c r="Y417" s="1"/>
      <c r="AK417" s="1"/>
      <c r="AQ417" s="1"/>
      <c r="AW417" s="1"/>
      <c r="BC417" s="1"/>
      <c r="BD417" s="1"/>
      <c r="BE417" s="1"/>
      <c r="BF417" s="1"/>
      <c r="BG417" s="1"/>
      <c r="BH417" s="1"/>
      <c r="BI417" s="1"/>
      <c r="BO417" s="1"/>
      <c r="BP417" s="1"/>
      <c r="BQ417" s="1"/>
      <c r="BR417" s="1"/>
      <c r="BS417" s="1"/>
      <c r="BT417" s="1"/>
      <c r="BU417" s="4"/>
    </row>
    <row r="418">
      <c r="A418" s="1"/>
      <c r="M418" s="1"/>
      <c r="Y418" s="1"/>
      <c r="AK418" s="1"/>
      <c r="AQ418" s="1"/>
      <c r="AW418" s="1"/>
      <c r="BC418" s="1"/>
      <c r="BD418" s="1"/>
      <c r="BE418" s="1"/>
      <c r="BF418" s="1"/>
      <c r="BG418" s="1"/>
      <c r="BH418" s="1"/>
      <c r="BI418" s="1"/>
      <c r="BO418" s="1"/>
      <c r="BP418" s="1"/>
      <c r="BQ418" s="1"/>
      <c r="BR418" s="1"/>
      <c r="BS418" s="1"/>
      <c r="BT418" s="1"/>
      <c r="BU418" s="4"/>
    </row>
    <row r="419">
      <c r="A419" s="1"/>
      <c r="M419" s="1"/>
      <c r="Y419" s="1"/>
      <c r="AK419" s="1"/>
      <c r="AQ419" s="1"/>
      <c r="AW419" s="1"/>
      <c r="BC419" s="1"/>
      <c r="BD419" s="1"/>
      <c r="BE419" s="1"/>
      <c r="BF419" s="1"/>
      <c r="BG419" s="1"/>
      <c r="BH419" s="1"/>
      <c r="BI419" s="1"/>
      <c r="BO419" s="1"/>
      <c r="BP419" s="1"/>
      <c r="BQ419" s="1"/>
      <c r="BR419" s="1"/>
      <c r="BS419" s="1"/>
      <c r="BT419" s="1"/>
      <c r="BU419" s="4"/>
    </row>
    <row r="420">
      <c r="A420" s="1"/>
      <c r="M420" s="1"/>
      <c r="Y420" s="1"/>
      <c r="AK420" s="1"/>
      <c r="AQ420" s="1"/>
      <c r="AW420" s="1"/>
      <c r="BC420" s="1"/>
      <c r="BD420" s="1"/>
      <c r="BE420" s="1"/>
      <c r="BF420" s="1"/>
      <c r="BG420" s="1"/>
      <c r="BH420" s="1"/>
      <c r="BI420" s="1"/>
      <c r="BO420" s="1"/>
      <c r="BP420" s="1"/>
      <c r="BQ420" s="1"/>
      <c r="BR420" s="1"/>
      <c r="BS420" s="1"/>
      <c r="BT420" s="1"/>
      <c r="BU420" s="4"/>
    </row>
    <row r="421">
      <c r="A421" s="1"/>
      <c r="M421" s="1"/>
      <c r="Y421" s="1"/>
      <c r="AK421" s="1"/>
      <c r="AQ421" s="1"/>
      <c r="AW421" s="1"/>
      <c r="BC421" s="1"/>
      <c r="BD421" s="1"/>
      <c r="BE421" s="1"/>
      <c r="BF421" s="1"/>
      <c r="BG421" s="1"/>
      <c r="BH421" s="1"/>
      <c r="BI421" s="1"/>
      <c r="BO421" s="1"/>
      <c r="BP421" s="1"/>
      <c r="BQ421" s="1"/>
      <c r="BR421" s="1"/>
      <c r="BS421" s="1"/>
      <c r="BT421" s="1"/>
      <c r="BU421" s="4"/>
    </row>
    <row r="422">
      <c r="A422" s="1"/>
      <c r="M422" s="1"/>
      <c r="Y422" s="1"/>
      <c r="AK422" s="1"/>
      <c r="AQ422" s="1"/>
      <c r="AW422" s="1"/>
      <c r="BC422" s="1"/>
      <c r="BD422" s="1"/>
      <c r="BE422" s="1"/>
      <c r="BF422" s="1"/>
      <c r="BG422" s="1"/>
      <c r="BH422" s="1"/>
      <c r="BI422" s="1"/>
      <c r="BO422" s="1"/>
      <c r="BP422" s="1"/>
      <c r="BQ422" s="1"/>
      <c r="BR422" s="1"/>
      <c r="BS422" s="1"/>
      <c r="BT422" s="1"/>
      <c r="BU422" s="4"/>
    </row>
    <row r="423">
      <c r="A423" s="1"/>
      <c r="M423" s="1"/>
      <c r="Y423" s="1"/>
      <c r="AK423" s="1"/>
      <c r="AQ423" s="1"/>
      <c r="AW423" s="1"/>
      <c r="BC423" s="1"/>
      <c r="BD423" s="1"/>
      <c r="BE423" s="1"/>
      <c r="BF423" s="1"/>
      <c r="BG423" s="1"/>
      <c r="BH423" s="1"/>
      <c r="BI423" s="1"/>
      <c r="BO423" s="1"/>
      <c r="BP423" s="1"/>
      <c r="BQ423" s="1"/>
      <c r="BR423" s="1"/>
      <c r="BS423" s="1"/>
      <c r="BT423" s="1"/>
      <c r="BU423" s="4"/>
    </row>
    <row r="424">
      <c r="A424" s="1"/>
      <c r="M424" s="1"/>
      <c r="Y424" s="1"/>
      <c r="AK424" s="1"/>
      <c r="AQ424" s="1"/>
      <c r="AW424" s="1"/>
      <c r="BC424" s="1"/>
      <c r="BD424" s="1"/>
      <c r="BE424" s="1"/>
      <c r="BF424" s="1"/>
      <c r="BG424" s="1"/>
      <c r="BH424" s="1"/>
      <c r="BI424" s="1"/>
      <c r="BO424" s="1"/>
      <c r="BP424" s="1"/>
      <c r="BQ424" s="1"/>
      <c r="BR424" s="1"/>
      <c r="BS424" s="1"/>
      <c r="BT424" s="1"/>
      <c r="BU424" s="4"/>
    </row>
    <row r="425">
      <c r="A425" s="1"/>
      <c r="M425" s="1"/>
      <c r="Y425" s="1"/>
      <c r="AK425" s="1"/>
      <c r="AQ425" s="1"/>
      <c r="AW425" s="1"/>
      <c r="BC425" s="1"/>
      <c r="BD425" s="1"/>
      <c r="BE425" s="1"/>
      <c r="BF425" s="1"/>
      <c r="BG425" s="1"/>
      <c r="BH425" s="1"/>
      <c r="BI425" s="1"/>
      <c r="BO425" s="1"/>
      <c r="BP425" s="1"/>
      <c r="BQ425" s="1"/>
      <c r="BR425" s="1"/>
      <c r="BS425" s="1"/>
      <c r="BT425" s="1"/>
      <c r="BU425" s="4"/>
    </row>
    <row r="426">
      <c r="A426" s="1"/>
      <c r="M426" s="1"/>
      <c r="Y426" s="1"/>
      <c r="AK426" s="1"/>
      <c r="AQ426" s="1"/>
      <c r="AW426" s="1"/>
      <c r="BC426" s="1"/>
      <c r="BD426" s="1"/>
      <c r="BE426" s="1"/>
      <c r="BF426" s="1"/>
      <c r="BG426" s="1"/>
      <c r="BH426" s="1"/>
      <c r="BI426" s="1"/>
      <c r="BO426" s="1"/>
      <c r="BP426" s="1"/>
      <c r="BQ426" s="1"/>
      <c r="BR426" s="1"/>
      <c r="BS426" s="1"/>
      <c r="BT426" s="1"/>
      <c r="BU426" s="4"/>
    </row>
    <row r="427">
      <c r="A427" s="1"/>
      <c r="M427" s="1"/>
      <c r="Y427" s="1"/>
      <c r="AK427" s="1"/>
      <c r="AQ427" s="1"/>
      <c r="AW427" s="1"/>
      <c r="BC427" s="1"/>
      <c r="BD427" s="1"/>
      <c r="BE427" s="1"/>
      <c r="BF427" s="1"/>
      <c r="BG427" s="1"/>
      <c r="BH427" s="1"/>
      <c r="BI427" s="1"/>
      <c r="BO427" s="1"/>
      <c r="BP427" s="1"/>
      <c r="BQ427" s="1"/>
      <c r="BR427" s="1"/>
      <c r="BS427" s="1"/>
      <c r="BT427" s="1"/>
      <c r="BU427" s="4"/>
    </row>
    <row r="428">
      <c r="A428" s="1"/>
      <c r="M428" s="1"/>
      <c r="Y428" s="1"/>
      <c r="AK428" s="1"/>
      <c r="AQ428" s="1"/>
      <c r="AW428" s="1"/>
      <c r="BC428" s="1"/>
      <c r="BD428" s="1"/>
      <c r="BE428" s="1"/>
      <c r="BF428" s="1"/>
      <c r="BG428" s="1"/>
      <c r="BH428" s="1"/>
      <c r="BI428" s="1"/>
      <c r="BO428" s="1"/>
      <c r="BP428" s="1"/>
      <c r="BQ428" s="1"/>
      <c r="BR428" s="1"/>
      <c r="BS428" s="1"/>
      <c r="BT428" s="1"/>
      <c r="BU428" s="4"/>
    </row>
    <row r="429">
      <c r="A429" s="1"/>
      <c r="M429" s="1"/>
      <c r="Y429" s="1"/>
      <c r="AK429" s="1"/>
      <c r="AQ429" s="1"/>
      <c r="AW429" s="1"/>
      <c r="BC429" s="1"/>
      <c r="BD429" s="1"/>
      <c r="BE429" s="1"/>
      <c r="BF429" s="1"/>
      <c r="BG429" s="1"/>
      <c r="BH429" s="1"/>
      <c r="BI429" s="1"/>
      <c r="BO429" s="1"/>
      <c r="BP429" s="1"/>
      <c r="BQ429" s="1"/>
      <c r="BR429" s="1"/>
      <c r="BS429" s="1"/>
      <c r="BT429" s="1"/>
      <c r="BU429" s="4"/>
    </row>
    <row r="430">
      <c r="A430" s="1"/>
      <c r="M430" s="1"/>
      <c r="Y430" s="1"/>
      <c r="AK430" s="1"/>
      <c r="AQ430" s="1"/>
      <c r="AW430" s="1"/>
      <c r="BC430" s="1"/>
      <c r="BD430" s="1"/>
      <c r="BE430" s="1"/>
      <c r="BF430" s="1"/>
      <c r="BG430" s="1"/>
      <c r="BH430" s="1"/>
      <c r="BI430" s="1"/>
      <c r="BO430" s="1"/>
      <c r="BP430" s="1"/>
      <c r="BQ430" s="1"/>
      <c r="BR430" s="1"/>
      <c r="BS430" s="1"/>
      <c r="BT430" s="1"/>
      <c r="BU430" s="4"/>
    </row>
    <row r="431">
      <c r="A431" s="1"/>
      <c r="M431" s="1"/>
      <c r="Y431" s="1"/>
      <c r="AK431" s="1"/>
      <c r="AQ431" s="1"/>
      <c r="AW431" s="1"/>
      <c r="BC431" s="1"/>
      <c r="BD431" s="1"/>
      <c r="BE431" s="1"/>
      <c r="BF431" s="1"/>
      <c r="BG431" s="1"/>
      <c r="BH431" s="1"/>
      <c r="BI431" s="1"/>
      <c r="BO431" s="1"/>
      <c r="BP431" s="1"/>
      <c r="BQ431" s="1"/>
      <c r="BR431" s="1"/>
      <c r="BS431" s="1"/>
      <c r="BT431" s="1"/>
      <c r="BU431" s="4"/>
    </row>
    <row r="432">
      <c r="A432" s="1"/>
      <c r="M432" s="1"/>
      <c r="Y432" s="1"/>
      <c r="AK432" s="1"/>
      <c r="AQ432" s="1"/>
      <c r="AW432" s="1"/>
      <c r="BC432" s="1"/>
      <c r="BD432" s="1"/>
      <c r="BE432" s="1"/>
      <c r="BF432" s="1"/>
      <c r="BG432" s="1"/>
      <c r="BH432" s="1"/>
      <c r="BI432" s="1"/>
      <c r="BO432" s="1"/>
      <c r="BP432" s="1"/>
      <c r="BQ432" s="1"/>
      <c r="BR432" s="1"/>
      <c r="BS432" s="1"/>
      <c r="BT432" s="1"/>
      <c r="BU432" s="4"/>
    </row>
    <row r="433">
      <c r="A433" s="1"/>
      <c r="M433" s="1"/>
      <c r="Y433" s="1"/>
      <c r="AK433" s="1"/>
      <c r="AQ433" s="1"/>
      <c r="AW433" s="1"/>
      <c r="BC433" s="1"/>
      <c r="BD433" s="1"/>
      <c r="BE433" s="1"/>
      <c r="BF433" s="1"/>
      <c r="BG433" s="1"/>
      <c r="BH433" s="1"/>
      <c r="BI433" s="1"/>
      <c r="BO433" s="1"/>
      <c r="BP433" s="1"/>
      <c r="BQ433" s="1"/>
      <c r="BR433" s="1"/>
      <c r="BS433" s="1"/>
      <c r="BT433" s="1"/>
      <c r="BU433" s="4"/>
    </row>
    <row r="434">
      <c r="A434" s="1"/>
      <c r="M434" s="1"/>
      <c r="Y434" s="1"/>
      <c r="AK434" s="1"/>
      <c r="AQ434" s="1"/>
      <c r="AW434" s="1"/>
      <c r="BC434" s="1"/>
      <c r="BD434" s="1"/>
      <c r="BE434" s="1"/>
      <c r="BF434" s="1"/>
      <c r="BG434" s="1"/>
      <c r="BH434" s="1"/>
      <c r="BI434" s="1"/>
      <c r="BO434" s="1"/>
      <c r="BP434" s="1"/>
      <c r="BQ434" s="1"/>
      <c r="BR434" s="1"/>
      <c r="BS434" s="1"/>
      <c r="BT434" s="1"/>
      <c r="BU434" s="4"/>
    </row>
    <row r="435">
      <c r="A435" s="1"/>
      <c r="M435" s="1"/>
      <c r="Y435" s="1"/>
      <c r="AK435" s="1"/>
      <c r="AQ435" s="1"/>
      <c r="AW435" s="1"/>
      <c r="BC435" s="1"/>
      <c r="BD435" s="1"/>
      <c r="BE435" s="1"/>
      <c r="BF435" s="1"/>
      <c r="BG435" s="1"/>
      <c r="BH435" s="1"/>
      <c r="BI435" s="1"/>
      <c r="BO435" s="1"/>
      <c r="BP435" s="1"/>
      <c r="BQ435" s="1"/>
      <c r="BR435" s="1"/>
      <c r="BS435" s="1"/>
      <c r="BT435" s="1"/>
      <c r="BU435" s="4"/>
    </row>
    <row r="436">
      <c r="A436" s="1"/>
      <c r="M436" s="1"/>
      <c r="Y436" s="1"/>
      <c r="AK436" s="1"/>
      <c r="AQ436" s="1"/>
      <c r="AW436" s="1"/>
      <c r="BC436" s="1"/>
      <c r="BD436" s="1"/>
      <c r="BE436" s="1"/>
      <c r="BF436" s="1"/>
      <c r="BG436" s="1"/>
      <c r="BH436" s="1"/>
      <c r="BI436" s="1"/>
      <c r="BO436" s="1"/>
      <c r="BP436" s="1"/>
      <c r="BQ436" s="1"/>
      <c r="BR436" s="1"/>
      <c r="BS436" s="1"/>
      <c r="BT436" s="1"/>
      <c r="BU436" s="4"/>
    </row>
    <row r="437">
      <c r="A437" s="1"/>
      <c r="M437" s="1"/>
      <c r="Y437" s="1"/>
      <c r="AK437" s="1"/>
      <c r="AQ437" s="1"/>
      <c r="AW437" s="1"/>
      <c r="BC437" s="1"/>
      <c r="BD437" s="1"/>
      <c r="BE437" s="1"/>
      <c r="BF437" s="1"/>
      <c r="BG437" s="1"/>
      <c r="BH437" s="1"/>
      <c r="BI437" s="1"/>
      <c r="BO437" s="1"/>
      <c r="BP437" s="1"/>
      <c r="BQ437" s="1"/>
      <c r="BR437" s="1"/>
      <c r="BS437" s="1"/>
      <c r="BT437" s="1"/>
      <c r="BU437" s="4"/>
    </row>
    <row r="438">
      <c r="A438" s="1"/>
      <c r="M438" s="1"/>
      <c r="Y438" s="1"/>
      <c r="AK438" s="1"/>
      <c r="AQ438" s="1"/>
      <c r="AW438" s="1"/>
      <c r="BC438" s="1"/>
      <c r="BD438" s="1"/>
      <c r="BE438" s="1"/>
      <c r="BF438" s="1"/>
      <c r="BG438" s="1"/>
      <c r="BH438" s="1"/>
      <c r="BI438" s="1"/>
      <c r="BO438" s="1"/>
      <c r="BP438" s="1"/>
      <c r="BQ438" s="1"/>
      <c r="BR438" s="1"/>
      <c r="BS438" s="1"/>
      <c r="BT438" s="1"/>
      <c r="BU438" s="4"/>
    </row>
    <row r="439">
      <c r="A439" s="1"/>
      <c r="M439" s="1"/>
      <c r="Y439" s="1"/>
      <c r="AK439" s="1"/>
      <c r="AQ439" s="1"/>
      <c r="AW439" s="1"/>
      <c r="BC439" s="1"/>
      <c r="BD439" s="1"/>
      <c r="BE439" s="1"/>
      <c r="BF439" s="1"/>
      <c r="BG439" s="1"/>
      <c r="BH439" s="1"/>
      <c r="BI439" s="1"/>
      <c r="BO439" s="1"/>
      <c r="BP439" s="1"/>
      <c r="BQ439" s="1"/>
      <c r="BR439" s="1"/>
      <c r="BS439" s="1"/>
      <c r="BT439" s="1"/>
      <c r="BU439" s="4"/>
    </row>
    <row r="440">
      <c r="A440" s="1"/>
      <c r="M440" s="1"/>
      <c r="Y440" s="1"/>
      <c r="AK440" s="1"/>
      <c r="AQ440" s="1"/>
      <c r="AW440" s="1"/>
      <c r="BC440" s="1"/>
      <c r="BD440" s="1"/>
      <c r="BE440" s="1"/>
      <c r="BF440" s="1"/>
      <c r="BG440" s="1"/>
      <c r="BH440" s="1"/>
      <c r="BI440" s="1"/>
      <c r="BO440" s="1"/>
      <c r="BP440" s="1"/>
      <c r="BQ440" s="1"/>
      <c r="BR440" s="1"/>
      <c r="BS440" s="1"/>
      <c r="BT440" s="1"/>
      <c r="BU440" s="4"/>
    </row>
    <row r="441">
      <c r="A441" s="1"/>
      <c r="M441" s="1"/>
      <c r="Y441" s="1"/>
      <c r="AK441" s="1"/>
      <c r="AQ441" s="1"/>
      <c r="AW441" s="1"/>
      <c r="BC441" s="1"/>
      <c r="BD441" s="1"/>
      <c r="BE441" s="1"/>
      <c r="BF441" s="1"/>
      <c r="BG441" s="1"/>
      <c r="BH441" s="1"/>
      <c r="BI441" s="1"/>
      <c r="BO441" s="1"/>
      <c r="BP441" s="1"/>
      <c r="BQ441" s="1"/>
      <c r="BR441" s="1"/>
      <c r="BS441" s="1"/>
      <c r="BT441" s="1"/>
      <c r="BU441" s="4"/>
    </row>
    <row r="442">
      <c r="A442" s="1"/>
      <c r="M442" s="1"/>
      <c r="Y442" s="1"/>
      <c r="AK442" s="1"/>
      <c r="AQ442" s="1"/>
      <c r="AW442" s="1"/>
      <c r="BC442" s="1"/>
      <c r="BD442" s="1"/>
      <c r="BE442" s="1"/>
      <c r="BF442" s="1"/>
      <c r="BG442" s="1"/>
      <c r="BH442" s="1"/>
      <c r="BI442" s="1"/>
      <c r="BO442" s="1"/>
      <c r="BP442" s="1"/>
      <c r="BQ442" s="1"/>
      <c r="BR442" s="1"/>
      <c r="BS442" s="1"/>
      <c r="BT442" s="1"/>
      <c r="BU442" s="4"/>
    </row>
    <row r="443">
      <c r="A443" s="1"/>
      <c r="M443" s="1"/>
      <c r="Y443" s="1"/>
      <c r="AK443" s="1"/>
      <c r="AQ443" s="1"/>
      <c r="AW443" s="1"/>
      <c r="BC443" s="1"/>
      <c r="BD443" s="1"/>
      <c r="BE443" s="1"/>
      <c r="BF443" s="1"/>
      <c r="BG443" s="1"/>
      <c r="BH443" s="1"/>
      <c r="BI443" s="1"/>
      <c r="BO443" s="1"/>
      <c r="BP443" s="1"/>
      <c r="BQ443" s="1"/>
      <c r="BR443" s="1"/>
      <c r="BS443" s="1"/>
      <c r="BT443" s="1"/>
      <c r="BU443" s="4"/>
    </row>
    <row r="444">
      <c r="A444" s="1"/>
      <c r="M444" s="1"/>
      <c r="Y444" s="1"/>
      <c r="AK444" s="1"/>
      <c r="AQ444" s="1"/>
      <c r="AW444" s="1"/>
      <c r="BC444" s="1"/>
      <c r="BD444" s="1"/>
      <c r="BE444" s="1"/>
      <c r="BF444" s="1"/>
      <c r="BG444" s="1"/>
      <c r="BH444" s="1"/>
      <c r="BI444" s="1"/>
      <c r="BO444" s="1"/>
      <c r="BP444" s="1"/>
      <c r="BQ444" s="1"/>
      <c r="BR444" s="1"/>
      <c r="BS444" s="1"/>
      <c r="BT444" s="1"/>
      <c r="BU444" s="4"/>
    </row>
    <row r="445">
      <c r="A445" s="1"/>
      <c r="M445" s="1"/>
      <c r="Y445" s="1"/>
      <c r="AK445" s="1"/>
      <c r="AQ445" s="1"/>
      <c r="AW445" s="1"/>
      <c r="BC445" s="1"/>
      <c r="BD445" s="1"/>
      <c r="BE445" s="1"/>
      <c r="BF445" s="1"/>
      <c r="BG445" s="1"/>
      <c r="BH445" s="1"/>
      <c r="BI445" s="1"/>
      <c r="BO445" s="1"/>
      <c r="BP445" s="1"/>
      <c r="BQ445" s="1"/>
      <c r="BR445" s="1"/>
      <c r="BS445" s="1"/>
      <c r="BT445" s="1"/>
      <c r="BU445" s="4"/>
    </row>
    <row r="446">
      <c r="A446" s="1"/>
      <c r="M446" s="1"/>
      <c r="Y446" s="1"/>
      <c r="AK446" s="1"/>
      <c r="AQ446" s="1"/>
      <c r="AW446" s="1"/>
      <c r="BC446" s="1"/>
      <c r="BD446" s="1"/>
      <c r="BE446" s="1"/>
      <c r="BF446" s="1"/>
      <c r="BG446" s="1"/>
      <c r="BH446" s="1"/>
      <c r="BI446" s="1"/>
      <c r="BO446" s="1"/>
      <c r="BP446" s="1"/>
      <c r="BQ446" s="1"/>
      <c r="BR446" s="1"/>
      <c r="BS446" s="1"/>
      <c r="BT446" s="1"/>
      <c r="BU446" s="4"/>
    </row>
    <row r="447">
      <c r="A447" s="1"/>
      <c r="M447" s="1"/>
      <c r="Y447" s="1"/>
      <c r="AK447" s="1"/>
      <c r="AQ447" s="1"/>
      <c r="AW447" s="1"/>
      <c r="BC447" s="1"/>
      <c r="BD447" s="1"/>
      <c r="BE447" s="1"/>
      <c r="BF447" s="1"/>
      <c r="BG447" s="1"/>
      <c r="BH447" s="1"/>
      <c r="BI447" s="1"/>
      <c r="BO447" s="1"/>
      <c r="BP447" s="1"/>
      <c r="BQ447" s="1"/>
      <c r="BR447" s="1"/>
      <c r="BS447" s="1"/>
      <c r="BT447" s="1"/>
      <c r="BU447" s="4"/>
    </row>
    <row r="448">
      <c r="A448" s="1"/>
      <c r="M448" s="1"/>
      <c r="Y448" s="1"/>
      <c r="AK448" s="1"/>
      <c r="AQ448" s="1"/>
      <c r="AW448" s="1"/>
      <c r="BC448" s="1"/>
      <c r="BD448" s="1"/>
      <c r="BE448" s="1"/>
      <c r="BF448" s="1"/>
      <c r="BG448" s="1"/>
      <c r="BH448" s="1"/>
      <c r="BI448" s="1"/>
      <c r="BO448" s="1"/>
      <c r="BP448" s="1"/>
      <c r="BQ448" s="1"/>
      <c r="BR448" s="1"/>
      <c r="BS448" s="1"/>
      <c r="BT448" s="1"/>
      <c r="BU448" s="4"/>
    </row>
    <row r="449">
      <c r="A449" s="1"/>
      <c r="M449" s="1"/>
      <c r="Y449" s="1"/>
      <c r="AK449" s="1"/>
      <c r="AQ449" s="1"/>
      <c r="AW449" s="1"/>
      <c r="BC449" s="1"/>
      <c r="BD449" s="1"/>
      <c r="BE449" s="1"/>
      <c r="BF449" s="1"/>
      <c r="BG449" s="1"/>
      <c r="BH449" s="1"/>
      <c r="BI449" s="1"/>
      <c r="BO449" s="1"/>
      <c r="BP449" s="1"/>
      <c r="BQ449" s="1"/>
      <c r="BR449" s="1"/>
      <c r="BS449" s="1"/>
      <c r="BT449" s="1"/>
      <c r="BU449" s="4"/>
    </row>
    <row r="450">
      <c r="A450" s="1"/>
      <c r="M450" s="1"/>
      <c r="Y450" s="1"/>
      <c r="AK450" s="1"/>
      <c r="AQ450" s="1"/>
      <c r="AW450" s="1"/>
      <c r="BC450" s="1"/>
      <c r="BD450" s="1"/>
      <c r="BE450" s="1"/>
      <c r="BF450" s="1"/>
      <c r="BG450" s="1"/>
      <c r="BH450" s="1"/>
      <c r="BI450" s="1"/>
      <c r="BO450" s="1"/>
      <c r="BP450" s="1"/>
      <c r="BQ450" s="1"/>
      <c r="BR450" s="1"/>
      <c r="BS450" s="1"/>
      <c r="BT450" s="1"/>
      <c r="BU450" s="4"/>
    </row>
    <row r="451">
      <c r="A451" s="1"/>
      <c r="M451" s="1"/>
      <c r="Y451" s="1"/>
      <c r="AK451" s="1"/>
      <c r="AQ451" s="1"/>
      <c r="AW451" s="1"/>
      <c r="BC451" s="1"/>
      <c r="BD451" s="1"/>
      <c r="BE451" s="1"/>
      <c r="BF451" s="1"/>
      <c r="BG451" s="1"/>
      <c r="BH451" s="1"/>
      <c r="BI451" s="1"/>
      <c r="BO451" s="1"/>
      <c r="BP451" s="1"/>
      <c r="BQ451" s="1"/>
      <c r="BR451" s="1"/>
      <c r="BS451" s="1"/>
      <c r="BT451" s="1"/>
      <c r="BU451" s="4"/>
    </row>
    <row r="452">
      <c r="A452" s="1"/>
      <c r="M452" s="1"/>
      <c r="Y452" s="1"/>
      <c r="AK452" s="1"/>
      <c r="AQ452" s="1"/>
      <c r="AW452" s="1"/>
      <c r="BC452" s="1"/>
      <c r="BD452" s="1"/>
      <c r="BE452" s="1"/>
      <c r="BF452" s="1"/>
      <c r="BG452" s="1"/>
      <c r="BH452" s="1"/>
      <c r="BI452" s="1"/>
      <c r="BO452" s="1"/>
      <c r="BP452" s="1"/>
      <c r="BQ452" s="1"/>
      <c r="BR452" s="1"/>
      <c r="BS452" s="1"/>
      <c r="BT452" s="1"/>
      <c r="BU452" s="4"/>
    </row>
    <row r="453">
      <c r="A453" s="1"/>
      <c r="M453" s="1"/>
      <c r="Y453" s="1"/>
      <c r="AK453" s="1"/>
      <c r="AQ453" s="1"/>
      <c r="AW453" s="1"/>
      <c r="BC453" s="1"/>
      <c r="BD453" s="1"/>
      <c r="BE453" s="1"/>
      <c r="BF453" s="1"/>
      <c r="BG453" s="1"/>
      <c r="BH453" s="1"/>
      <c r="BI453" s="1"/>
      <c r="BO453" s="1"/>
      <c r="BP453" s="1"/>
      <c r="BQ453" s="1"/>
      <c r="BR453" s="1"/>
      <c r="BS453" s="1"/>
      <c r="BT453" s="1"/>
      <c r="BU453" s="4"/>
    </row>
    <row r="454">
      <c r="A454" s="1"/>
      <c r="M454" s="1"/>
      <c r="Y454" s="1"/>
      <c r="AK454" s="1"/>
      <c r="AQ454" s="1"/>
      <c r="AW454" s="1"/>
      <c r="BC454" s="1"/>
      <c r="BD454" s="1"/>
      <c r="BE454" s="1"/>
      <c r="BF454" s="1"/>
      <c r="BG454" s="1"/>
      <c r="BH454" s="1"/>
      <c r="BI454" s="1"/>
      <c r="BO454" s="1"/>
      <c r="BP454" s="1"/>
      <c r="BQ454" s="1"/>
      <c r="BR454" s="1"/>
      <c r="BS454" s="1"/>
      <c r="BT454" s="1"/>
      <c r="BU454" s="4"/>
    </row>
    <row r="455">
      <c r="A455" s="1"/>
      <c r="M455" s="1"/>
      <c r="Y455" s="1"/>
      <c r="AK455" s="1"/>
      <c r="AQ455" s="1"/>
      <c r="AW455" s="1"/>
      <c r="BC455" s="1"/>
      <c r="BD455" s="1"/>
      <c r="BE455" s="1"/>
      <c r="BF455" s="1"/>
      <c r="BG455" s="1"/>
      <c r="BH455" s="1"/>
      <c r="BI455" s="1"/>
      <c r="BO455" s="1"/>
      <c r="BP455" s="1"/>
      <c r="BQ455" s="1"/>
      <c r="BR455" s="1"/>
      <c r="BS455" s="1"/>
      <c r="BT455" s="1"/>
      <c r="BU455" s="4"/>
    </row>
    <row r="456">
      <c r="A456" s="1"/>
      <c r="M456" s="1"/>
      <c r="Y456" s="1"/>
      <c r="AK456" s="1"/>
      <c r="AQ456" s="1"/>
      <c r="AW456" s="1"/>
      <c r="BC456" s="1"/>
      <c r="BD456" s="1"/>
      <c r="BE456" s="1"/>
      <c r="BF456" s="1"/>
      <c r="BG456" s="1"/>
      <c r="BH456" s="1"/>
      <c r="BI456" s="1"/>
      <c r="BO456" s="1"/>
      <c r="BP456" s="1"/>
      <c r="BQ456" s="1"/>
      <c r="BR456" s="1"/>
      <c r="BS456" s="1"/>
      <c r="BT456" s="1"/>
      <c r="BU456" s="4"/>
    </row>
    <row r="457">
      <c r="A457" s="1"/>
      <c r="M457" s="1"/>
      <c r="Y457" s="1"/>
      <c r="AK457" s="1"/>
      <c r="AQ457" s="1"/>
      <c r="AW457" s="1"/>
      <c r="BC457" s="1"/>
      <c r="BD457" s="1"/>
      <c r="BE457" s="1"/>
      <c r="BF457" s="1"/>
      <c r="BG457" s="1"/>
      <c r="BH457" s="1"/>
      <c r="BI457" s="1"/>
      <c r="BO457" s="1"/>
      <c r="BP457" s="1"/>
      <c r="BQ457" s="1"/>
      <c r="BR457" s="1"/>
      <c r="BS457" s="1"/>
      <c r="BT457" s="1"/>
      <c r="BU457" s="4"/>
    </row>
    <row r="458">
      <c r="A458" s="1"/>
      <c r="M458" s="1"/>
      <c r="Y458" s="1"/>
      <c r="AK458" s="1"/>
      <c r="AQ458" s="1"/>
      <c r="AW458" s="1"/>
      <c r="BC458" s="1"/>
      <c r="BD458" s="1"/>
      <c r="BE458" s="1"/>
      <c r="BF458" s="1"/>
      <c r="BG458" s="1"/>
      <c r="BH458" s="1"/>
      <c r="BI458" s="1"/>
      <c r="BO458" s="1"/>
      <c r="BP458" s="1"/>
      <c r="BQ458" s="1"/>
      <c r="BR458" s="1"/>
      <c r="BS458" s="1"/>
      <c r="BT458" s="1"/>
      <c r="BU458" s="4"/>
    </row>
    <row r="459">
      <c r="A459" s="1"/>
      <c r="M459" s="1"/>
      <c r="Y459" s="1"/>
      <c r="AK459" s="1"/>
      <c r="AQ459" s="1"/>
      <c r="AW459" s="1"/>
      <c r="BC459" s="1"/>
      <c r="BD459" s="1"/>
      <c r="BE459" s="1"/>
      <c r="BF459" s="1"/>
      <c r="BG459" s="1"/>
      <c r="BH459" s="1"/>
      <c r="BI459" s="1"/>
      <c r="BO459" s="1"/>
      <c r="BP459" s="1"/>
      <c r="BQ459" s="1"/>
      <c r="BR459" s="1"/>
      <c r="BS459" s="1"/>
      <c r="BT459" s="1"/>
      <c r="BU459" s="4"/>
    </row>
    <row r="460">
      <c r="A460" s="1"/>
      <c r="M460" s="1"/>
      <c r="Y460" s="1"/>
      <c r="AK460" s="1"/>
      <c r="AQ460" s="1"/>
      <c r="AW460" s="1"/>
      <c r="BC460" s="1"/>
      <c r="BD460" s="1"/>
      <c r="BE460" s="1"/>
      <c r="BF460" s="1"/>
      <c r="BG460" s="1"/>
      <c r="BH460" s="1"/>
      <c r="BI460" s="1"/>
      <c r="BO460" s="1"/>
      <c r="BP460" s="1"/>
      <c r="BQ460" s="1"/>
      <c r="BR460" s="1"/>
      <c r="BS460" s="1"/>
      <c r="BT460" s="1"/>
      <c r="BU460" s="4"/>
    </row>
    <row r="461">
      <c r="A461" s="1"/>
      <c r="M461" s="1"/>
      <c r="Y461" s="1"/>
      <c r="AK461" s="1"/>
      <c r="AQ461" s="1"/>
      <c r="AW461" s="1"/>
      <c r="BC461" s="1"/>
      <c r="BD461" s="1"/>
      <c r="BE461" s="1"/>
      <c r="BF461" s="1"/>
      <c r="BG461" s="1"/>
      <c r="BH461" s="1"/>
      <c r="BI461" s="1"/>
      <c r="BO461" s="1"/>
      <c r="BP461" s="1"/>
      <c r="BQ461" s="1"/>
      <c r="BR461" s="1"/>
      <c r="BS461" s="1"/>
      <c r="BT461" s="1"/>
      <c r="BU461" s="4"/>
    </row>
    <row r="462">
      <c r="A462" s="1"/>
      <c r="M462" s="1"/>
      <c r="Y462" s="1"/>
      <c r="AK462" s="1"/>
      <c r="AQ462" s="1"/>
      <c r="AW462" s="1"/>
      <c r="BC462" s="1"/>
      <c r="BD462" s="1"/>
      <c r="BE462" s="1"/>
      <c r="BF462" s="1"/>
      <c r="BG462" s="1"/>
      <c r="BH462" s="1"/>
      <c r="BI462" s="1"/>
      <c r="BO462" s="1"/>
      <c r="BP462" s="1"/>
      <c r="BQ462" s="1"/>
      <c r="BR462" s="1"/>
      <c r="BS462" s="1"/>
      <c r="BT462" s="1"/>
      <c r="BU462" s="4"/>
    </row>
    <row r="463">
      <c r="A463" s="1"/>
      <c r="M463" s="1"/>
      <c r="Y463" s="1"/>
      <c r="AK463" s="1"/>
      <c r="AQ463" s="1"/>
      <c r="AW463" s="1"/>
      <c r="BC463" s="1"/>
      <c r="BD463" s="1"/>
      <c r="BE463" s="1"/>
      <c r="BF463" s="1"/>
      <c r="BG463" s="1"/>
      <c r="BH463" s="1"/>
      <c r="BI463" s="1"/>
      <c r="BO463" s="1"/>
      <c r="BP463" s="1"/>
      <c r="BQ463" s="1"/>
      <c r="BR463" s="1"/>
      <c r="BS463" s="1"/>
      <c r="BT463" s="1"/>
      <c r="BU463" s="4"/>
    </row>
    <row r="464">
      <c r="A464" s="1"/>
      <c r="M464" s="1"/>
      <c r="Y464" s="1"/>
      <c r="AK464" s="1"/>
      <c r="AQ464" s="1"/>
      <c r="AW464" s="1"/>
      <c r="BC464" s="1"/>
      <c r="BD464" s="1"/>
      <c r="BE464" s="1"/>
      <c r="BF464" s="1"/>
      <c r="BG464" s="1"/>
      <c r="BH464" s="1"/>
      <c r="BI464" s="1"/>
      <c r="BO464" s="1"/>
      <c r="BP464" s="1"/>
      <c r="BQ464" s="1"/>
      <c r="BR464" s="1"/>
      <c r="BS464" s="1"/>
      <c r="BT464" s="1"/>
      <c r="BU464" s="4"/>
    </row>
    <row r="465">
      <c r="A465" s="1"/>
      <c r="M465" s="1"/>
      <c r="Y465" s="1"/>
      <c r="AK465" s="1"/>
      <c r="AQ465" s="1"/>
      <c r="AW465" s="1"/>
      <c r="BC465" s="1"/>
      <c r="BD465" s="1"/>
      <c r="BE465" s="1"/>
      <c r="BF465" s="1"/>
      <c r="BG465" s="1"/>
      <c r="BH465" s="1"/>
      <c r="BI465" s="1"/>
      <c r="BO465" s="1"/>
      <c r="BP465" s="1"/>
      <c r="BQ465" s="1"/>
      <c r="BR465" s="1"/>
      <c r="BS465" s="1"/>
      <c r="BT465" s="1"/>
      <c r="BU465" s="4"/>
    </row>
    <row r="466">
      <c r="A466" s="1"/>
      <c r="M466" s="1"/>
      <c r="Y466" s="1"/>
      <c r="AK466" s="1"/>
      <c r="AQ466" s="1"/>
      <c r="AW466" s="1"/>
      <c r="BC466" s="1"/>
      <c r="BD466" s="1"/>
      <c r="BE466" s="1"/>
      <c r="BF466" s="1"/>
      <c r="BG466" s="1"/>
      <c r="BH466" s="1"/>
      <c r="BI466" s="1"/>
      <c r="BO466" s="1"/>
      <c r="BP466" s="1"/>
      <c r="BQ466" s="1"/>
      <c r="BR466" s="1"/>
      <c r="BS466" s="1"/>
      <c r="BT466" s="1"/>
      <c r="BU466" s="4"/>
    </row>
    <row r="467">
      <c r="A467" s="1"/>
      <c r="M467" s="1"/>
      <c r="Y467" s="1"/>
      <c r="AK467" s="1"/>
      <c r="AQ467" s="1"/>
      <c r="AW467" s="1"/>
      <c r="BC467" s="1"/>
      <c r="BD467" s="1"/>
      <c r="BE467" s="1"/>
      <c r="BF467" s="1"/>
      <c r="BG467" s="1"/>
      <c r="BH467" s="1"/>
      <c r="BI467" s="1"/>
      <c r="BO467" s="1"/>
      <c r="BP467" s="1"/>
      <c r="BQ467" s="1"/>
      <c r="BR467" s="1"/>
      <c r="BS467" s="1"/>
      <c r="BT467" s="1"/>
      <c r="BU467" s="4"/>
    </row>
    <row r="468">
      <c r="A468" s="1"/>
      <c r="M468" s="1"/>
      <c r="Y468" s="1"/>
      <c r="AK468" s="1"/>
      <c r="AQ468" s="1"/>
      <c r="AW468" s="1"/>
      <c r="BC468" s="1"/>
      <c r="BD468" s="1"/>
      <c r="BE468" s="1"/>
      <c r="BF468" s="1"/>
      <c r="BG468" s="1"/>
      <c r="BH468" s="1"/>
      <c r="BI468" s="1"/>
      <c r="BO468" s="1"/>
      <c r="BP468" s="1"/>
      <c r="BQ468" s="1"/>
      <c r="BR468" s="1"/>
      <c r="BS468" s="1"/>
      <c r="BT468" s="1"/>
      <c r="BU468" s="4"/>
    </row>
    <row r="469">
      <c r="A469" s="1"/>
      <c r="M469" s="1"/>
      <c r="Y469" s="1"/>
      <c r="AK469" s="1"/>
      <c r="AQ469" s="1"/>
      <c r="AW469" s="1"/>
      <c r="BC469" s="1"/>
      <c r="BD469" s="1"/>
      <c r="BE469" s="1"/>
      <c r="BF469" s="1"/>
      <c r="BG469" s="1"/>
      <c r="BH469" s="1"/>
      <c r="BI469" s="1"/>
      <c r="BO469" s="1"/>
      <c r="BP469" s="1"/>
      <c r="BQ469" s="1"/>
      <c r="BR469" s="1"/>
      <c r="BS469" s="1"/>
      <c r="BT469" s="1"/>
      <c r="BU469" s="4"/>
    </row>
    <row r="470">
      <c r="A470" s="1"/>
      <c r="M470" s="1"/>
      <c r="Y470" s="1"/>
      <c r="AK470" s="1"/>
      <c r="AQ470" s="1"/>
      <c r="AW470" s="1"/>
      <c r="BC470" s="1"/>
      <c r="BD470" s="1"/>
      <c r="BE470" s="1"/>
      <c r="BF470" s="1"/>
      <c r="BG470" s="1"/>
      <c r="BH470" s="1"/>
      <c r="BI470" s="1"/>
      <c r="BO470" s="1"/>
      <c r="BP470" s="1"/>
      <c r="BQ470" s="1"/>
      <c r="BR470" s="1"/>
      <c r="BS470" s="1"/>
      <c r="BT470" s="1"/>
      <c r="BU470" s="4"/>
    </row>
    <row r="471">
      <c r="A471" s="1"/>
      <c r="M471" s="1"/>
      <c r="Y471" s="1"/>
      <c r="AK471" s="1"/>
      <c r="AQ471" s="1"/>
      <c r="AW471" s="1"/>
      <c r="BC471" s="1"/>
      <c r="BD471" s="1"/>
      <c r="BE471" s="1"/>
      <c r="BF471" s="1"/>
      <c r="BG471" s="1"/>
      <c r="BH471" s="1"/>
      <c r="BI471" s="1"/>
      <c r="BO471" s="1"/>
      <c r="BP471" s="1"/>
      <c r="BQ471" s="1"/>
      <c r="BR471" s="1"/>
      <c r="BS471" s="1"/>
      <c r="BT471" s="1"/>
      <c r="BU471" s="4"/>
    </row>
    <row r="472">
      <c r="A472" s="1"/>
      <c r="M472" s="1"/>
      <c r="Y472" s="1"/>
      <c r="AK472" s="1"/>
      <c r="AQ472" s="1"/>
      <c r="AW472" s="1"/>
      <c r="BC472" s="1"/>
      <c r="BD472" s="1"/>
      <c r="BE472" s="1"/>
      <c r="BF472" s="1"/>
      <c r="BG472" s="1"/>
      <c r="BH472" s="1"/>
      <c r="BI472" s="1"/>
      <c r="BO472" s="1"/>
      <c r="BP472" s="1"/>
      <c r="BQ472" s="1"/>
      <c r="BR472" s="1"/>
      <c r="BS472" s="1"/>
      <c r="BT472" s="1"/>
      <c r="BU472" s="4"/>
    </row>
    <row r="473">
      <c r="A473" s="1"/>
      <c r="M473" s="1"/>
      <c r="Y473" s="1"/>
      <c r="AK473" s="1"/>
      <c r="AQ473" s="1"/>
      <c r="AW473" s="1"/>
      <c r="BC473" s="1"/>
      <c r="BD473" s="1"/>
      <c r="BE473" s="1"/>
      <c r="BF473" s="1"/>
      <c r="BG473" s="1"/>
      <c r="BH473" s="1"/>
      <c r="BI473" s="1"/>
      <c r="BO473" s="1"/>
      <c r="BP473" s="1"/>
      <c r="BQ473" s="1"/>
      <c r="BR473" s="1"/>
      <c r="BS473" s="1"/>
      <c r="BT473" s="1"/>
      <c r="BU473" s="4"/>
    </row>
    <row r="474">
      <c r="A474" s="1"/>
      <c r="M474" s="1"/>
      <c r="Y474" s="1"/>
      <c r="AK474" s="1"/>
      <c r="AQ474" s="1"/>
      <c r="AW474" s="1"/>
      <c r="BC474" s="1"/>
      <c r="BD474" s="1"/>
      <c r="BE474" s="1"/>
      <c r="BF474" s="1"/>
      <c r="BG474" s="1"/>
      <c r="BH474" s="1"/>
      <c r="BI474" s="1"/>
      <c r="BO474" s="1"/>
      <c r="BP474" s="1"/>
      <c r="BQ474" s="1"/>
      <c r="BR474" s="1"/>
      <c r="BS474" s="1"/>
      <c r="BT474" s="1"/>
      <c r="BU474" s="4"/>
    </row>
    <row r="475">
      <c r="A475" s="1"/>
      <c r="M475" s="1"/>
      <c r="Y475" s="1"/>
      <c r="AK475" s="1"/>
      <c r="AQ475" s="1"/>
      <c r="AW475" s="1"/>
      <c r="BC475" s="1"/>
      <c r="BD475" s="1"/>
      <c r="BE475" s="1"/>
      <c r="BF475" s="1"/>
      <c r="BG475" s="1"/>
      <c r="BH475" s="1"/>
      <c r="BI475" s="1"/>
      <c r="BO475" s="1"/>
      <c r="BP475" s="1"/>
      <c r="BQ475" s="1"/>
      <c r="BR475" s="1"/>
      <c r="BS475" s="1"/>
      <c r="BT475" s="1"/>
      <c r="BU475" s="4"/>
    </row>
    <row r="476">
      <c r="A476" s="1"/>
      <c r="M476" s="1"/>
      <c r="Y476" s="1"/>
      <c r="AK476" s="1"/>
      <c r="AQ476" s="1"/>
      <c r="AW476" s="1"/>
      <c r="BC476" s="1"/>
      <c r="BD476" s="1"/>
      <c r="BE476" s="1"/>
      <c r="BF476" s="1"/>
      <c r="BG476" s="1"/>
      <c r="BH476" s="1"/>
      <c r="BI476" s="1"/>
      <c r="BO476" s="1"/>
      <c r="BP476" s="1"/>
      <c r="BQ476" s="1"/>
      <c r="BR476" s="1"/>
      <c r="BS476" s="1"/>
      <c r="BT476" s="1"/>
      <c r="BU476" s="4"/>
    </row>
    <row r="477">
      <c r="A477" s="1"/>
      <c r="M477" s="1"/>
      <c r="Y477" s="1"/>
      <c r="AK477" s="1"/>
      <c r="AQ477" s="1"/>
      <c r="AW477" s="1"/>
      <c r="BC477" s="1"/>
      <c r="BD477" s="1"/>
      <c r="BE477" s="1"/>
      <c r="BF477" s="1"/>
      <c r="BG477" s="1"/>
      <c r="BH477" s="1"/>
      <c r="BI477" s="1"/>
      <c r="BO477" s="1"/>
      <c r="BP477" s="1"/>
      <c r="BQ477" s="1"/>
      <c r="BR477" s="1"/>
      <c r="BS477" s="1"/>
      <c r="BT477" s="1"/>
      <c r="BU477" s="4"/>
    </row>
    <row r="478">
      <c r="A478" s="1"/>
      <c r="M478" s="1"/>
      <c r="Y478" s="1"/>
      <c r="AK478" s="1"/>
      <c r="AQ478" s="1"/>
      <c r="AW478" s="1"/>
      <c r="BC478" s="1"/>
      <c r="BD478" s="1"/>
      <c r="BE478" s="1"/>
      <c r="BF478" s="1"/>
      <c r="BG478" s="1"/>
      <c r="BH478" s="1"/>
      <c r="BI478" s="1"/>
      <c r="BO478" s="1"/>
      <c r="BP478" s="1"/>
      <c r="BQ478" s="1"/>
      <c r="BR478" s="1"/>
      <c r="BS478" s="1"/>
      <c r="BT478" s="1"/>
      <c r="BU478" s="4"/>
    </row>
    <row r="479">
      <c r="A479" s="1"/>
      <c r="M479" s="1"/>
      <c r="Y479" s="1"/>
      <c r="AK479" s="1"/>
      <c r="AQ479" s="1"/>
      <c r="AW479" s="1"/>
      <c r="BC479" s="1"/>
      <c r="BD479" s="1"/>
      <c r="BE479" s="1"/>
      <c r="BF479" s="1"/>
      <c r="BG479" s="1"/>
      <c r="BH479" s="1"/>
      <c r="BI479" s="1"/>
      <c r="BO479" s="1"/>
      <c r="BP479" s="1"/>
      <c r="BQ479" s="1"/>
      <c r="BR479" s="1"/>
      <c r="BS479" s="1"/>
      <c r="BT479" s="1"/>
      <c r="BU479" s="4"/>
    </row>
    <row r="480">
      <c r="A480" s="1"/>
      <c r="M480" s="1"/>
      <c r="Y480" s="1"/>
      <c r="AK480" s="1"/>
      <c r="AQ480" s="1"/>
      <c r="AW480" s="1"/>
      <c r="BC480" s="1"/>
      <c r="BD480" s="1"/>
      <c r="BE480" s="1"/>
      <c r="BF480" s="1"/>
      <c r="BG480" s="1"/>
      <c r="BH480" s="1"/>
      <c r="BI480" s="1"/>
      <c r="BO480" s="1"/>
      <c r="BP480" s="1"/>
      <c r="BQ480" s="1"/>
      <c r="BR480" s="1"/>
      <c r="BS480" s="1"/>
      <c r="BT480" s="1"/>
      <c r="BU480" s="4"/>
    </row>
    <row r="481">
      <c r="A481" s="1"/>
      <c r="M481" s="1"/>
      <c r="Y481" s="1"/>
      <c r="AK481" s="1"/>
      <c r="AQ481" s="1"/>
      <c r="AW481" s="1"/>
      <c r="BC481" s="1"/>
      <c r="BD481" s="1"/>
      <c r="BE481" s="1"/>
      <c r="BF481" s="1"/>
      <c r="BG481" s="1"/>
      <c r="BH481" s="1"/>
      <c r="BI481" s="1"/>
      <c r="BO481" s="1"/>
      <c r="BP481" s="1"/>
      <c r="BQ481" s="1"/>
      <c r="BR481" s="1"/>
      <c r="BS481" s="1"/>
      <c r="BT481" s="1"/>
      <c r="BU481" s="4"/>
    </row>
    <row r="482">
      <c r="A482" s="1"/>
      <c r="M482" s="1"/>
      <c r="Y482" s="1"/>
      <c r="AK482" s="1"/>
      <c r="AQ482" s="1"/>
      <c r="AW482" s="1"/>
      <c r="BC482" s="1"/>
      <c r="BD482" s="1"/>
      <c r="BE482" s="1"/>
      <c r="BF482" s="1"/>
      <c r="BG482" s="1"/>
      <c r="BH482" s="1"/>
      <c r="BI482" s="1"/>
      <c r="BO482" s="1"/>
      <c r="BP482" s="1"/>
      <c r="BQ482" s="1"/>
      <c r="BR482" s="1"/>
      <c r="BS482" s="1"/>
      <c r="BT482" s="1"/>
      <c r="BU482" s="4"/>
    </row>
    <row r="483">
      <c r="A483" s="1"/>
      <c r="M483" s="1"/>
      <c r="Y483" s="1"/>
      <c r="AK483" s="1"/>
      <c r="AQ483" s="1"/>
      <c r="AW483" s="1"/>
      <c r="BC483" s="1"/>
      <c r="BD483" s="1"/>
      <c r="BE483" s="1"/>
      <c r="BF483" s="1"/>
      <c r="BG483" s="1"/>
      <c r="BH483" s="1"/>
      <c r="BI483" s="1"/>
      <c r="BO483" s="1"/>
      <c r="BP483" s="1"/>
      <c r="BQ483" s="1"/>
      <c r="BR483" s="1"/>
      <c r="BS483" s="1"/>
      <c r="BT483" s="1"/>
      <c r="BU483" s="4"/>
    </row>
    <row r="484">
      <c r="A484" s="1"/>
      <c r="M484" s="1"/>
      <c r="Y484" s="1"/>
      <c r="AK484" s="1"/>
      <c r="AQ484" s="1"/>
      <c r="AW484" s="1"/>
      <c r="BC484" s="1"/>
      <c r="BD484" s="1"/>
      <c r="BE484" s="1"/>
      <c r="BF484" s="1"/>
      <c r="BG484" s="1"/>
      <c r="BH484" s="1"/>
      <c r="BI484" s="1"/>
      <c r="BO484" s="1"/>
      <c r="BP484" s="1"/>
      <c r="BQ484" s="1"/>
      <c r="BR484" s="1"/>
      <c r="BS484" s="1"/>
      <c r="BT484" s="1"/>
      <c r="BU484" s="4"/>
    </row>
    <row r="485">
      <c r="M485" s="1"/>
      <c r="Y485" s="1"/>
      <c r="AK485" s="1"/>
      <c r="AQ485" s="1"/>
      <c r="AW485" s="1"/>
      <c r="BC485" s="1"/>
      <c r="BD485" s="1"/>
      <c r="BE485" s="1"/>
      <c r="BF485" s="1"/>
      <c r="BG485" s="1"/>
      <c r="BH485" s="1"/>
      <c r="BI485" s="1"/>
      <c r="BO485" s="1"/>
      <c r="BP485" s="1"/>
      <c r="BQ485" s="1"/>
      <c r="BR485" s="1"/>
      <c r="BS485" s="1"/>
      <c r="BT485" s="1"/>
      <c r="BU485" s="4"/>
    </row>
    <row r="486">
      <c r="AK486" s="1"/>
      <c r="AQ486" s="1"/>
      <c r="AW486" s="1"/>
      <c r="BC486" s="1"/>
      <c r="BD486" s="1"/>
      <c r="BE486" s="1"/>
      <c r="BF486" s="1"/>
      <c r="BG486" s="1"/>
      <c r="BH486" s="1"/>
      <c r="BI486" s="1"/>
      <c r="BO486" s="1"/>
      <c r="BP486" s="1"/>
      <c r="BQ486" s="1"/>
      <c r="BR486" s="1"/>
      <c r="BS486" s="1"/>
      <c r="BT486" s="1"/>
      <c r="BU486" s="4"/>
    </row>
    <row r="487">
      <c r="AK487" s="1"/>
      <c r="AQ487" s="1"/>
      <c r="AW487" s="1"/>
      <c r="BC487" s="1"/>
      <c r="BD487" s="1"/>
      <c r="BE487" s="1"/>
      <c r="BF487" s="1"/>
      <c r="BG487" s="1"/>
      <c r="BH487" s="1"/>
      <c r="BI487" s="1"/>
      <c r="BO487" s="1"/>
      <c r="BP487" s="1"/>
      <c r="BQ487" s="1"/>
      <c r="BR487" s="1"/>
      <c r="BS487" s="1"/>
      <c r="BT487" s="1"/>
      <c r="BU487" s="4"/>
    </row>
    <row r="488">
      <c r="AK488" s="1"/>
      <c r="AQ488" s="1"/>
      <c r="AW488" s="1"/>
      <c r="BC488" s="1"/>
      <c r="BD488" s="1"/>
      <c r="BE488" s="1"/>
      <c r="BF488" s="1"/>
      <c r="BG488" s="1"/>
      <c r="BH488" s="1"/>
      <c r="BI488" s="1"/>
      <c r="BO488" s="1"/>
      <c r="BP488" s="1"/>
      <c r="BQ488" s="1"/>
      <c r="BR488" s="1"/>
      <c r="BS488" s="1"/>
      <c r="BT488" s="1"/>
      <c r="BU488" s="4"/>
    </row>
    <row r="489">
      <c r="AK489" s="1"/>
      <c r="AQ489" s="1"/>
      <c r="AW489" s="1"/>
      <c r="BC489" s="1"/>
      <c r="BD489" s="1"/>
      <c r="BE489" s="1"/>
      <c r="BF489" s="1"/>
      <c r="BG489" s="1"/>
      <c r="BH489" s="1"/>
      <c r="BI489" s="1"/>
      <c r="BO489" s="1"/>
      <c r="BP489" s="1"/>
      <c r="BQ489" s="1"/>
      <c r="BR489" s="1"/>
      <c r="BS489" s="1"/>
      <c r="BT489" s="1"/>
      <c r="BU489" s="4"/>
    </row>
    <row r="490">
      <c r="AK490" s="1"/>
      <c r="AQ490" s="1"/>
      <c r="AW490" s="1"/>
      <c r="BC490" s="1"/>
      <c r="BD490" s="1"/>
      <c r="BE490" s="1"/>
      <c r="BF490" s="1"/>
      <c r="BG490" s="1"/>
      <c r="BH490" s="1"/>
      <c r="BI490" s="1"/>
      <c r="BO490" s="1"/>
      <c r="BP490" s="1"/>
      <c r="BQ490" s="1"/>
      <c r="BR490" s="1"/>
      <c r="BS490" s="1"/>
      <c r="BT490" s="1"/>
      <c r="BU490" s="4"/>
    </row>
    <row r="491">
      <c r="AK491" s="1"/>
      <c r="AQ491" s="1"/>
      <c r="AW491" s="1"/>
      <c r="BC491" s="1"/>
      <c r="BD491" s="1"/>
      <c r="BE491" s="1"/>
      <c r="BF491" s="1"/>
      <c r="BG491" s="1"/>
      <c r="BH491" s="1"/>
      <c r="BI491" s="1"/>
      <c r="BO491" s="1"/>
      <c r="BP491" s="1"/>
      <c r="BQ491" s="1"/>
      <c r="BR491" s="1"/>
      <c r="BS491" s="1"/>
      <c r="BT491" s="1"/>
      <c r="BU491" s="4"/>
    </row>
    <row r="492">
      <c r="AK492" s="1"/>
      <c r="AQ492" s="1"/>
      <c r="AW492" s="1"/>
      <c r="BC492" s="1"/>
      <c r="BD492" s="1"/>
      <c r="BE492" s="1"/>
      <c r="BF492" s="1"/>
      <c r="BG492" s="1"/>
      <c r="BH492" s="1"/>
      <c r="BI492" s="1"/>
      <c r="BO492" s="1"/>
      <c r="BP492" s="1"/>
      <c r="BQ492" s="1"/>
      <c r="BR492" s="1"/>
      <c r="BS492" s="1"/>
      <c r="BT492" s="1"/>
      <c r="BU492" s="4"/>
    </row>
    <row r="493">
      <c r="AK493" s="1"/>
      <c r="AQ493" s="1"/>
      <c r="AW493" s="1"/>
      <c r="BC493" s="1"/>
      <c r="BD493" s="1"/>
      <c r="BE493" s="1"/>
      <c r="BF493" s="1"/>
      <c r="BG493" s="1"/>
      <c r="BH493" s="1"/>
      <c r="BI493" s="1"/>
      <c r="BO493" s="1"/>
      <c r="BP493" s="1"/>
      <c r="BQ493" s="1"/>
      <c r="BR493" s="1"/>
      <c r="BS493" s="1"/>
      <c r="BT493" s="1"/>
      <c r="BU493" s="4"/>
    </row>
    <row r="494">
      <c r="AK494" s="1"/>
      <c r="AQ494" s="1"/>
      <c r="AW494" s="1"/>
      <c r="BC494" s="1"/>
      <c r="BD494" s="1"/>
      <c r="BE494" s="1"/>
      <c r="BF494" s="1"/>
      <c r="BG494" s="1"/>
      <c r="BH494" s="1"/>
      <c r="BI494" s="1"/>
      <c r="BO494" s="1"/>
      <c r="BP494" s="1"/>
      <c r="BQ494" s="1"/>
      <c r="BR494" s="1"/>
      <c r="BS494" s="1"/>
      <c r="BT494" s="1"/>
      <c r="BU494" s="4"/>
    </row>
    <row r="495">
      <c r="AK495" s="1"/>
      <c r="AQ495" s="1"/>
      <c r="AW495" s="1"/>
      <c r="BC495" s="1"/>
      <c r="BD495" s="1"/>
      <c r="BE495" s="1"/>
      <c r="BF495" s="1"/>
      <c r="BG495" s="1"/>
      <c r="BH495" s="1"/>
      <c r="BI495" s="1"/>
      <c r="BO495" s="1"/>
      <c r="BP495" s="1"/>
      <c r="BQ495" s="1"/>
      <c r="BR495" s="1"/>
      <c r="BS495" s="1"/>
      <c r="BT495" s="1"/>
      <c r="BU495" s="4"/>
    </row>
    <row r="496">
      <c r="AK496" s="1"/>
      <c r="AQ496" s="1"/>
      <c r="AW496" s="1"/>
      <c r="BC496" s="1"/>
      <c r="BD496" s="1"/>
      <c r="BE496" s="1"/>
      <c r="BF496" s="1"/>
      <c r="BG496" s="1"/>
      <c r="BH496" s="1"/>
      <c r="BI496" s="1"/>
      <c r="BO496" s="1"/>
      <c r="BP496" s="1"/>
      <c r="BQ496" s="1"/>
      <c r="BR496" s="1"/>
      <c r="BS496" s="1"/>
      <c r="BT496" s="1"/>
      <c r="BU496" s="4"/>
    </row>
    <row r="497">
      <c r="AK497" s="1"/>
      <c r="AQ497" s="1"/>
      <c r="AW497" s="1"/>
      <c r="BC497" s="1"/>
      <c r="BD497" s="1"/>
      <c r="BE497" s="1"/>
      <c r="BF497" s="1"/>
      <c r="BG497" s="1"/>
      <c r="BH497" s="1"/>
      <c r="BI497" s="1"/>
      <c r="BO497" s="1"/>
      <c r="BP497" s="1"/>
      <c r="BQ497" s="1"/>
      <c r="BR497" s="1"/>
      <c r="BS497" s="1"/>
      <c r="BT497" s="1"/>
      <c r="BU497" s="4"/>
    </row>
    <row r="498">
      <c r="AK498" s="1"/>
      <c r="AQ498" s="1"/>
      <c r="AW498" s="1"/>
      <c r="BC498" s="1"/>
      <c r="BD498" s="1"/>
      <c r="BE498" s="1"/>
      <c r="BF498" s="1"/>
      <c r="BG498" s="1"/>
      <c r="BH498" s="1"/>
      <c r="BI498" s="1"/>
      <c r="BO498" s="1"/>
      <c r="BP498" s="1"/>
      <c r="BQ498" s="1"/>
      <c r="BR498" s="1"/>
      <c r="BS498" s="1"/>
      <c r="BT498" s="1"/>
      <c r="BU498" s="4"/>
    </row>
    <row r="499">
      <c r="AK499" s="1"/>
      <c r="AQ499" s="1"/>
      <c r="AW499" s="1"/>
      <c r="BC499" s="1"/>
      <c r="BD499" s="1"/>
      <c r="BE499" s="1"/>
      <c r="BF499" s="1"/>
      <c r="BG499" s="1"/>
      <c r="BH499" s="1"/>
      <c r="BI499" s="1"/>
      <c r="BO499" s="1"/>
      <c r="BP499" s="1"/>
      <c r="BQ499" s="1"/>
      <c r="BR499" s="1"/>
      <c r="BS499" s="1"/>
      <c r="BT499" s="1"/>
      <c r="BU499" s="4"/>
    </row>
    <row r="500">
      <c r="AK500" s="1"/>
      <c r="AQ500" s="1"/>
      <c r="AW500" s="1"/>
      <c r="BC500" s="1"/>
      <c r="BD500" s="1"/>
      <c r="BE500" s="1"/>
      <c r="BF500" s="1"/>
      <c r="BG500" s="1"/>
      <c r="BH500" s="1"/>
      <c r="BI500" s="1"/>
      <c r="BO500" s="1"/>
      <c r="BP500" s="1"/>
      <c r="BQ500" s="1"/>
      <c r="BR500" s="1"/>
      <c r="BS500" s="1"/>
      <c r="BT500" s="1"/>
      <c r="BU500" s="4"/>
    </row>
    <row r="501">
      <c r="AK501" s="1"/>
      <c r="AQ501" s="1"/>
      <c r="AW501" s="1"/>
      <c r="BC501" s="1"/>
      <c r="BD501" s="1"/>
      <c r="BE501" s="1"/>
      <c r="BF501" s="1"/>
      <c r="BG501" s="1"/>
      <c r="BH501" s="1"/>
      <c r="BI501" s="1"/>
      <c r="BO501" s="1"/>
      <c r="BP501" s="1"/>
      <c r="BQ501" s="1"/>
      <c r="BR501" s="1"/>
      <c r="BS501" s="1"/>
      <c r="BT501" s="1"/>
      <c r="BU501" s="4"/>
    </row>
    <row r="502">
      <c r="AK502" s="1"/>
      <c r="AQ502" s="1"/>
      <c r="AW502" s="1"/>
      <c r="BC502" s="1"/>
      <c r="BD502" s="1"/>
      <c r="BE502" s="1"/>
      <c r="BF502" s="1"/>
      <c r="BG502" s="1"/>
      <c r="BH502" s="1"/>
      <c r="BI502" s="1"/>
      <c r="BO502" s="1"/>
      <c r="BP502" s="1"/>
      <c r="BQ502" s="1"/>
      <c r="BR502" s="1"/>
      <c r="BS502" s="1"/>
      <c r="BT502" s="1"/>
      <c r="BU502" s="4"/>
    </row>
    <row r="503">
      <c r="AK503" s="1"/>
      <c r="AQ503" s="1"/>
      <c r="AW503" s="1"/>
      <c r="BC503" s="1"/>
      <c r="BD503" s="1"/>
      <c r="BE503" s="1"/>
      <c r="BF503" s="1"/>
      <c r="BG503" s="1"/>
      <c r="BH503" s="1"/>
      <c r="BI503" s="1"/>
      <c r="BO503" s="1"/>
      <c r="BP503" s="1"/>
      <c r="BQ503" s="1"/>
      <c r="BR503" s="1"/>
      <c r="BS503" s="1"/>
      <c r="BT503" s="1"/>
      <c r="BU503" s="4"/>
    </row>
    <row r="504">
      <c r="AK504" s="1"/>
      <c r="AQ504" s="1"/>
      <c r="AW504" s="1"/>
      <c r="BC504" s="1"/>
      <c r="BD504" s="1"/>
      <c r="BE504" s="1"/>
      <c r="BF504" s="1"/>
      <c r="BG504" s="1"/>
      <c r="BH504" s="1"/>
      <c r="BI504" s="1"/>
      <c r="BO504" s="1"/>
      <c r="BP504" s="1"/>
      <c r="BQ504" s="1"/>
      <c r="BR504" s="1"/>
      <c r="BS504" s="1"/>
      <c r="BT504" s="1"/>
      <c r="BU504" s="4"/>
    </row>
    <row r="505">
      <c r="AK505" s="1"/>
      <c r="AQ505" s="1"/>
      <c r="AW505" s="1"/>
      <c r="BC505" s="1"/>
      <c r="BD505" s="1"/>
      <c r="BE505" s="1"/>
      <c r="BF505" s="1"/>
      <c r="BG505" s="1"/>
      <c r="BH505" s="1"/>
      <c r="BI505" s="1"/>
      <c r="BO505" s="1"/>
      <c r="BP505" s="1"/>
      <c r="BQ505" s="1"/>
      <c r="BR505" s="1"/>
      <c r="BS505" s="1"/>
      <c r="BT505" s="1"/>
      <c r="BU505" s="4"/>
    </row>
    <row r="506">
      <c r="AK506" s="1"/>
      <c r="AQ506" s="1"/>
      <c r="AW506" s="1"/>
      <c r="BC506" s="1"/>
      <c r="BD506" s="1"/>
      <c r="BE506" s="1"/>
      <c r="BF506" s="1"/>
      <c r="BG506" s="1"/>
      <c r="BH506" s="1"/>
      <c r="BI506" s="1"/>
      <c r="BO506" s="1"/>
      <c r="BP506" s="1"/>
      <c r="BQ506" s="1"/>
      <c r="BR506" s="1"/>
      <c r="BS506" s="1"/>
      <c r="BT506" s="1"/>
      <c r="BU506" s="4"/>
    </row>
    <row r="507">
      <c r="AK507" s="1"/>
      <c r="AQ507" s="1"/>
      <c r="AW507" s="1"/>
      <c r="BC507" s="1"/>
      <c r="BD507" s="1"/>
      <c r="BE507" s="1"/>
      <c r="BF507" s="1"/>
      <c r="BG507" s="1"/>
      <c r="BH507" s="1"/>
      <c r="BI507" s="1"/>
      <c r="BO507" s="1"/>
      <c r="BP507" s="1"/>
      <c r="BQ507" s="1"/>
      <c r="BR507" s="1"/>
      <c r="BS507" s="1"/>
      <c r="BT507" s="1"/>
      <c r="BU507" s="4"/>
    </row>
    <row r="508">
      <c r="AK508" s="1"/>
      <c r="AQ508" s="1"/>
      <c r="AW508" s="1"/>
      <c r="BC508" s="1"/>
      <c r="BD508" s="1"/>
      <c r="BE508" s="1"/>
      <c r="BF508" s="1"/>
      <c r="BG508" s="1"/>
      <c r="BH508" s="1"/>
      <c r="BI508" s="1"/>
      <c r="BO508" s="1"/>
      <c r="BP508" s="1"/>
      <c r="BQ508" s="1"/>
      <c r="BR508" s="1"/>
      <c r="BS508" s="1"/>
      <c r="BT508" s="1"/>
      <c r="BU508" s="4"/>
    </row>
    <row r="509">
      <c r="AK509" s="1"/>
      <c r="AQ509" s="1"/>
      <c r="AW509" s="1"/>
      <c r="BC509" s="1"/>
      <c r="BD509" s="1"/>
      <c r="BE509" s="1"/>
      <c r="BF509" s="1"/>
      <c r="BG509" s="1"/>
      <c r="BH509" s="1"/>
      <c r="BI509" s="1"/>
      <c r="BO509" s="1"/>
      <c r="BP509" s="1"/>
      <c r="BQ509" s="1"/>
      <c r="BR509" s="1"/>
      <c r="BS509" s="1"/>
      <c r="BT509" s="1"/>
      <c r="BU509" s="4"/>
    </row>
    <row r="510">
      <c r="AK510" s="1"/>
      <c r="AQ510" s="1"/>
      <c r="AW510" s="1"/>
      <c r="BC510" s="1"/>
      <c r="BD510" s="1"/>
      <c r="BE510" s="1"/>
      <c r="BF510" s="1"/>
      <c r="BG510" s="1"/>
      <c r="BH510" s="1"/>
      <c r="BI510" s="1"/>
      <c r="BO510" s="1"/>
      <c r="BP510" s="1"/>
      <c r="BQ510" s="1"/>
      <c r="BR510" s="1"/>
      <c r="BS510" s="1"/>
      <c r="BT510" s="1"/>
      <c r="BU510" s="4"/>
    </row>
    <row r="511">
      <c r="AK511" s="1"/>
      <c r="AQ511" s="1"/>
      <c r="AW511" s="1"/>
      <c r="BC511" s="1"/>
      <c r="BD511" s="1"/>
      <c r="BE511" s="1"/>
      <c r="BF511" s="1"/>
      <c r="BG511" s="1"/>
      <c r="BH511" s="1"/>
      <c r="BI511" s="1"/>
      <c r="BO511" s="1"/>
      <c r="BP511" s="1"/>
      <c r="BQ511" s="1"/>
      <c r="BR511" s="1"/>
      <c r="BS511" s="1"/>
      <c r="BT511" s="1"/>
      <c r="BU511" s="4"/>
    </row>
    <row r="512">
      <c r="AK512" s="1"/>
      <c r="AQ512" s="1"/>
      <c r="AW512" s="1"/>
      <c r="BC512" s="1"/>
      <c r="BD512" s="1"/>
      <c r="BE512" s="1"/>
      <c r="BF512" s="1"/>
      <c r="BG512" s="1"/>
      <c r="BH512" s="1"/>
      <c r="BI512" s="1"/>
      <c r="BO512" s="1"/>
      <c r="BP512" s="1"/>
      <c r="BQ512" s="1"/>
      <c r="BR512" s="1"/>
      <c r="BS512" s="1"/>
      <c r="BT512" s="1"/>
      <c r="BU512" s="4"/>
    </row>
    <row r="513">
      <c r="AK513" s="1"/>
      <c r="AQ513" s="1"/>
      <c r="AW513" s="1"/>
      <c r="BC513" s="1"/>
      <c r="BD513" s="1"/>
      <c r="BE513" s="1"/>
      <c r="BF513" s="1"/>
      <c r="BG513" s="1"/>
      <c r="BH513" s="1"/>
      <c r="BI513" s="1"/>
      <c r="BO513" s="1"/>
      <c r="BP513" s="1"/>
      <c r="BQ513" s="1"/>
      <c r="BR513" s="1"/>
      <c r="BS513" s="1"/>
      <c r="BT513" s="1"/>
      <c r="BU513" s="4"/>
    </row>
    <row r="514">
      <c r="AK514" s="1"/>
      <c r="AQ514" s="1"/>
      <c r="AW514" s="1"/>
      <c r="BC514" s="1"/>
      <c r="BD514" s="1"/>
      <c r="BE514" s="1"/>
      <c r="BF514" s="1"/>
      <c r="BG514" s="1"/>
      <c r="BH514" s="1"/>
      <c r="BI514" s="1"/>
      <c r="BO514" s="1"/>
      <c r="BP514" s="1"/>
      <c r="BQ514" s="1"/>
      <c r="BR514" s="1"/>
      <c r="BS514" s="1"/>
      <c r="BT514" s="1"/>
      <c r="BU514" s="4"/>
    </row>
    <row r="515">
      <c r="AK515" s="1"/>
      <c r="AQ515" s="1"/>
      <c r="AW515" s="1"/>
      <c r="BC515" s="1"/>
      <c r="BD515" s="1"/>
      <c r="BE515" s="1"/>
      <c r="BF515" s="1"/>
      <c r="BG515" s="1"/>
      <c r="BH515" s="1"/>
      <c r="BI515" s="1"/>
      <c r="BO515" s="1"/>
      <c r="BP515" s="1"/>
      <c r="BQ515" s="1"/>
      <c r="BR515" s="1"/>
      <c r="BS515" s="1"/>
      <c r="BT515" s="1"/>
      <c r="BU515" s="4"/>
    </row>
    <row r="516">
      <c r="AK516" s="1"/>
      <c r="AQ516" s="1"/>
      <c r="AW516" s="1"/>
      <c r="BC516" s="1"/>
      <c r="BD516" s="1"/>
      <c r="BE516" s="1"/>
      <c r="BF516" s="1"/>
      <c r="BG516" s="1"/>
      <c r="BH516" s="1"/>
      <c r="BI516" s="1"/>
      <c r="BO516" s="1"/>
      <c r="BP516" s="1"/>
      <c r="BQ516" s="1"/>
      <c r="BR516" s="1"/>
      <c r="BS516" s="1"/>
      <c r="BT516" s="1"/>
      <c r="BU516" s="4"/>
    </row>
    <row r="517">
      <c r="AK517" s="1"/>
      <c r="AQ517" s="1"/>
      <c r="AW517" s="1"/>
      <c r="BC517" s="1"/>
      <c r="BD517" s="1"/>
      <c r="BE517" s="1"/>
      <c r="BF517" s="1"/>
      <c r="BG517" s="1"/>
      <c r="BH517" s="1"/>
      <c r="BI517" s="1"/>
      <c r="BO517" s="1"/>
      <c r="BP517" s="1"/>
      <c r="BQ517" s="1"/>
      <c r="BR517" s="1"/>
      <c r="BS517" s="1"/>
      <c r="BT517" s="1"/>
      <c r="BU517" s="4"/>
    </row>
    <row r="518">
      <c r="AK518" s="1"/>
      <c r="AQ518" s="1"/>
      <c r="AW518" s="1"/>
      <c r="BC518" s="1"/>
      <c r="BD518" s="1"/>
      <c r="BE518" s="1"/>
      <c r="BF518" s="1"/>
      <c r="BG518" s="1"/>
      <c r="BH518" s="1"/>
      <c r="BI518" s="1"/>
      <c r="BO518" s="1"/>
      <c r="BP518" s="1"/>
      <c r="BQ518" s="1"/>
      <c r="BR518" s="1"/>
      <c r="BS518" s="1"/>
      <c r="BT518" s="1"/>
      <c r="BU518" s="4"/>
    </row>
    <row r="519">
      <c r="AK519" s="1"/>
      <c r="AQ519" s="1"/>
      <c r="AW519" s="1"/>
      <c r="BC519" s="1"/>
      <c r="BD519" s="1"/>
      <c r="BE519" s="1"/>
      <c r="BF519" s="1"/>
      <c r="BG519" s="1"/>
      <c r="BH519" s="1"/>
      <c r="BI519" s="1"/>
      <c r="BO519" s="1"/>
      <c r="BP519" s="1"/>
      <c r="BQ519" s="1"/>
      <c r="BR519" s="1"/>
      <c r="BS519" s="1"/>
      <c r="BT519" s="1"/>
      <c r="BU519" s="4"/>
    </row>
    <row r="520">
      <c r="AK520" s="1"/>
      <c r="AQ520" s="1"/>
      <c r="AW520" s="1"/>
      <c r="BC520" s="1"/>
      <c r="BD520" s="1"/>
      <c r="BE520" s="1"/>
      <c r="BF520" s="1"/>
      <c r="BG520" s="1"/>
      <c r="BH520" s="1"/>
      <c r="BI520" s="1"/>
      <c r="BO520" s="1"/>
      <c r="BP520" s="1"/>
      <c r="BQ520" s="1"/>
      <c r="BR520" s="1"/>
      <c r="BS520" s="1"/>
      <c r="BT520" s="1"/>
      <c r="BU520" s="4"/>
    </row>
    <row r="521">
      <c r="AK521" s="1"/>
      <c r="AQ521" s="1"/>
      <c r="AW521" s="1"/>
      <c r="BC521" s="1"/>
      <c r="BD521" s="1"/>
      <c r="BE521" s="1"/>
      <c r="BF521" s="1"/>
      <c r="BG521" s="1"/>
      <c r="BH521" s="1"/>
      <c r="BI521" s="1"/>
      <c r="BO521" s="1"/>
      <c r="BP521" s="1"/>
      <c r="BQ521" s="1"/>
      <c r="BR521" s="1"/>
      <c r="BS521" s="1"/>
      <c r="BT521" s="1"/>
      <c r="BU521" s="4"/>
    </row>
    <row r="522">
      <c r="AK522" s="1"/>
      <c r="AQ522" s="1"/>
      <c r="AW522" s="1"/>
      <c r="BC522" s="1"/>
      <c r="BD522" s="1"/>
      <c r="BE522" s="1"/>
      <c r="BF522" s="1"/>
      <c r="BG522" s="1"/>
      <c r="BH522" s="1"/>
      <c r="BI522" s="1"/>
      <c r="BO522" s="1"/>
      <c r="BP522" s="1"/>
      <c r="BQ522" s="1"/>
      <c r="BR522" s="1"/>
      <c r="BS522" s="1"/>
      <c r="BT522" s="1"/>
      <c r="BU522" s="4"/>
    </row>
    <row r="523">
      <c r="AK523" s="1"/>
      <c r="AQ523" s="1"/>
      <c r="AW523" s="1"/>
      <c r="BC523" s="1"/>
      <c r="BD523" s="1"/>
      <c r="BE523" s="1"/>
      <c r="BF523" s="1"/>
      <c r="BG523" s="1"/>
      <c r="BH523" s="1"/>
      <c r="BI523" s="1"/>
      <c r="BO523" s="1"/>
      <c r="BP523" s="1"/>
      <c r="BQ523" s="1"/>
      <c r="BR523" s="1"/>
      <c r="BS523" s="1"/>
      <c r="BT523" s="1"/>
      <c r="BU523" s="4"/>
    </row>
    <row r="524">
      <c r="AK524" s="1"/>
      <c r="AQ524" s="1"/>
      <c r="AW524" s="1"/>
      <c r="BC524" s="1"/>
      <c r="BD524" s="1"/>
      <c r="BE524" s="1"/>
      <c r="BF524" s="1"/>
      <c r="BG524" s="1"/>
      <c r="BH524" s="1"/>
      <c r="BI524" s="1"/>
      <c r="BO524" s="1"/>
      <c r="BP524" s="1"/>
      <c r="BQ524" s="1"/>
      <c r="BR524" s="1"/>
      <c r="BS524" s="1"/>
      <c r="BT524" s="1"/>
      <c r="BU524" s="4"/>
    </row>
    <row r="525">
      <c r="AK525" s="1"/>
      <c r="AQ525" s="1"/>
      <c r="AW525" s="1"/>
      <c r="BC525" s="1"/>
      <c r="BD525" s="1"/>
      <c r="BE525" s="1"/>
      <c r="BF525" s="1"/>
      <c r="BG525" s="1"/>
      <c r="BH525" s="1"/>
      <c r="BI525" s="1"/>
      <c r="BO525" s="1"/>
      <c r="BP525" s="1"/>
      <c r="BQ525" s="1"/>
      <c r="BR525" s="1"/>
      <c r="BS525" s="1"/>
      <c r="BT525" s="1"/>
      <c r="BU525" s="4"/>
    </row>
    <row r="526">
      <c r="AK526" s="1"/>
      <c r="AQ526" s="1"/>
      <c r="AW526" s="1"/>
      <c r="BC526" s="1"/>
      <c r="BD526" s="1"/>
      <c r="BE526" s="1"/>
      <c r="BF526" s="1"/>
      <c r="BG526" s="1"/>
      <c r="BH526" s="1"/>
      <c r="BI526" s="1"/>
      <c r="BO526" s="1"/>
      <c r="BP526" s="1"/>
      <c r="BQ526" s="1"/>
      <c r="BR526" s="1"/>
      <c r="BS526" s="1"/>
      <c r="BT526" s="1"/>
      <c r="BU526" s="4"/>
    </row>
    <row r="527">
      <c r="AK527" s="1"/>
      <c r="AQ527" s="1"/>
      <c r="AW527" s="1"/>
      <c r="BC527" s="1"/>
      <c r="BD527" s="1"/>
      <c r="BE527" s="1"/>
      <c r="BF527" s="1"/>
      <c r="BG527" s="1"/>
      <c r="BH527" s="1"/>
      <c r="BI527" s="1"/>
      <c r="BO527" s="1"/>
      <c r="BP527" s="1"/>
      <c r="BQ527" s="1"/>
      <c r="BR527" s="1"/>
      <c r="BS527" s="1"/>
      <c r="BT527" s="1"/>
      <c r="BU527" s="4"/>
    </row>
    <row r="528">
      <c r="AK528" s="1"/>
      <c r="AQ528" s="1"/>
      <c r="AW528" s="1"/>
      <c r="BC528" s="1"/>
      <c r="BD528" s="1"/>
      <c r="BE528" s="1"/>
      <c r="BF528" s="1"/>
      <c r="BG528" s="1"/>
      <c r="BH528" s="1"/>
      <c r="BI528" s="1"/>
      <c r="BO528" s="1"/>
      <c r="BP528" s="1"/>
      <c r="BQ528" s="1"/>
      <c r="BR528" s="1"/>
      <c r="BS528" s="1"/>
      <c r="BT528" s="1"/>
      <c r="BU528" s="4"/>
    </row>
    <row r="529">
      <c r="AK529" s="1"/>
      <c r="AQ529" s="1"/>
      <c r="AW529" s="1"/>
      <c r="BC529" s="1"/>
      <c r="BD529" s="1"/>
      <c r="BE529" s="1"/>
      <c r="BF529" s="1"/>
      <c r="BG529" s="1"/>
      <c r="BH529" s="1"/>
      <c r="BI529" s="1"/>
      <c r="BO529" s="1"/>
      <c r="BP529" s="1"/>
      <c r="BQ529" s="1"/>
      <c r="BR529" s="1"/>
      <c r="BS529" s="1"/>
      <c r="BT529" s="1"/>
      <c r="BU529" s="4"/>
    </row>
    <row r="530">
      <c r="AK530" s="1"/>
      <c r="AQ530" s="1"/>
      <c r="AW530" s="1"/>
      <c r="BC530" s="1"/>
      <c r="BD530" s="1"/>
      <c r="BE530" s="1"/>
      <c r="BF530" s="1"/>
      <c r="BG530" s="1"/>
      <c r="BH530" s="1"/>
      <c r="BI530" s="1"/>
      <c r="BO530" s="1"/>
      <c r="BP530" s="1"/>
      <c r="BQ530" s="1"/>
      <c r="BR530" s="1"/>
      <c r="BS530" s="1"/>
      <c r="BT530" s="1"/>
      <c r="BU530" s="4"/>
    </row>
    <row r="531">
      <c r="AK531" s="1"/>
      <c r="AQ531" s="1"/>
      <c r="AW531" s="1"/>
      <c r="BC531" s="1"/>
      <c r="BD531" s="1"/>
      <c r="BE531" s="1"/>
      <c r="BF531" s="1"/>
      <c r="BG531" s="1"/>
      <c r="BH531" s="1"/>
      <c r="BI531" s="1"/>
      <c r="BO531" s="1"/>
      <c r="BP531" s="1"/>
      <c r="BQ531" s="1"/>
      <c r="BR531" s="1"/>
      <c r="BS531" s="1"/>
      <c r="BT531" s="1"/>
      <c r="BU531" s="4"/>
    </row>
    <row r="532">
      <c r="AK532" s="1"/>
      <c r="AQ532" s="1"/>
      <c r="AW532" s="1"/>
      <c r="BC532" s="1"/>
      <c r="BD532" s="1"/>
      <c r="BE532" s="1"/>
      <c r="BF532" s="1"/>
      <c r="BG532" s="1"/>
      <c r="BH532" s="1"/>
      <c r="BI532" s="1"/>
      <c r="BO532" s="1"/>
      <c r="BP532" s="1"/>
      <c r="BQ532" s="1"/>
      <c r="BR532" s="1"/>
      <c r="BS532" s="1"/>
      <c r="BT532" s="1"/>
      <c r="BU532" s="4"/>
    </row>
    <row r="533">
      <c r="AK533" s="1"/>
      <c r="AQ533" s="1"/>
      <c r="AW533" s="1"/>
      <c r="BC533" s="1"/>
      <c r="BD533" s="1"/>
      <c r="BE533" s="1"/>
      <c r="BF533" s="1"/>
      <c r="BG533" s="1"/>
      <c r="BH533" s="1"/>
      <c r="BI533" s="1"/>
      <c r="BO533" s="1"/>
      <c r="BP533" s="1"/>
      <c r="BQ533" s="1"/>
      <c r="BR533" s="1"/>
      <c r="BS533" s="1"/>
      <c r="BT533" s="1"/>
      <c r="BU533" s="4"/>
    </row>
    <row r="534">
      <c r="AK534" s="1"/>
      <c r="AQ534" s="1"/>
      <c r="AW534" s="1"/>
      <c r="BC534" s="1"/>
      <c r="BD534" s="1"/>
      <c r="BE534" s="1"/>
      <c r="BF534" s="1"/>
      <c r="BG534" s="1"/>
      <c r="BH534" s="1"/>
      <c r="BI534" s="1"/>
      <c r="BO534" s="1"/>
      <c r="BP534" s="1"/>
      <c r="BQ534" s="1"/>
      <c r="BR534" s="1"/>
      <c r="BS534" s="1"/>
      <c r="BT534" s="1"/>
      <c r="BU534" s="4"/>
    </row>
    <row r="535">
      <c r="AK535" s="1"/>
      <c r="AQ535" s="1"/>
      <c r="AW535" s="1"/>
      <c r="BC535" s="1"/>
      <c r="BD535" s="1"/>
      <c r="BE535" s="1"/>
      <c r="BF535" s="1"/>
      <c r="BG535" s="1"/>
      <c r="BH535" s="1"/>
      <c r="BI535" s="1"/>
      <c r="BO535" s="1"/>
      <c r="BP535" s="1"/>
      <c r="BQ535" s="1"/>
      <c r="BR535" s="1"/>
      <c r="BS535" s="1"/>
      <c r="BT535" s="1"/>
      <c r="BU535" s="4"/>
    </row>
    <row r="536">
      <c r="AK536" s="1"/>
      <c r="AQ536" s="1"/>
      <c r="AW536" s="1"/>
      <c r="BC536" s="1"/>
      <c r="BD536" s="1"/>
      <c r="BE536" s="1"/>
      <c r="BF536" s="1"/>
      <c r="BG536" s="1"/>
      <c r="BH536" s="1"/>
      <c r="BI536" s="1"/>
      <c r="BO536" s="1"/>
      <c r="BP536" s="1"/>
      <c r="BQ536" s="1"/>
      <c r="BR536" s="1"/>
      <c r="BS536" s="1"/>
      <c r="BT536" s="1"/>
      <c r="BU536" s="4"/>
    </row>
    <row r="537">
      <c r="AK537" s="1"/>
      <c r="AQ537" s="1"/>
      <c r="AW537" s="1"/>
      <c r="BC537" s="1"/>
      <c r="BD537" s="1"/>
      <c r="BE537" s="1"/>
      <c r="BF537" s="1"/>
      <c r="BG537" s="1"/>
      <c r="BH537" s="1"/>
      <c r="BI537" s="1"/>
      <c r="BO537" s="1"/>
      <c r="BP537" s="1"/>
      <c r="BQ537" s="1"/>
      <c r="BR537" s="1"/>
      <c r="BS537" s="1"/>
      <c r="BT537" s="1"/>
      <c r="BU537" s="4"/>
    </row>
    <row r="538">
      <c r="AK538" s="1"/>
      <c r="AQ538" s="1"/>
      <c r="AW538" s="1"/>
      <c r="BC538" s="1"/>
      <c r="BD538" s="1"/>
      <c r="BE538" s="1"/>
      <c r="BF538" s="1"/>
      <c r="BG538" s="1"/>
      <c r="BH538" s="1"/>
      <c r="BI538" s="1"/>
      <c r="BO538" s="1"/>
      <c r="BP538" s="1"/>
      <c r="BQ538" s="1"/>
      <c r="BR538" s="1"/>
      <c r="BS538" s="1"/>
      <c r="BT538" s="1"/>
      <c r="BU538" s="4"/>
    </row>
    <row r="539">
      <c r="AK539" s="1"/>
      <c r="AQ539" s="1"/>
      <c r="AW539" s="1"/>
      <c r="BC539" s="1"/>
      <c r="BD539" s="1"/>
      <c r="BE539" s="1"/>
      <c r="BF539" s="1"/>
      <c r="BG539" s="1"/>
      <c r="BH539" s="1"/>
      <c r="BI539" s="1"/>
      <c r="BO539" s="1"/>
      <c r="BP539" s="1"/>
      <c r="BQ539" s="1"/>
      <c r="BR539" s="1"/>
      <c r="BS539" s="1"/>
      <c r="BT539" s="1"/>
      <c r="BU539" s="4"/>
    </row>
    <row r="540">
      <c r="AK540" s="1"/>
      <c r="AQ540" s="1"/>
      <c r="AW540" s="1"/>
      <c r="BC540" s="1"/>
      <c r="BD540" s="1"/>
      <c r="BE540" s="1"/>
      <c r="BF540" s="1"/>
      <c r="BG540" s="1"/>
      <c r="BH540" s="1"/>
      <c r="BI540" s="1"/>
      <c r="BO540" s="1"/>
      <c r="BP540" s="1"/>
      <c r="BQ540" s="1"/>
      <c r="BR540" s="1"/>
      <c r="BS540" s="1"/>
      <c r="BT540" s="1"/>
      <c r="BU540" s="4"/>
    </row>
    <row r="541">
      <c r="AK541" s="1"/>
      <c r="AQ541" s="1"/>
      <c r="AW541" s="1"/>
      <c r="BC541" s="1"/>
      <c r="BD541" s="1"/>
      <c r="BE541" s="1"/>
      <c r="BF541" s="1"/>
      <c r="BG541" s="1"/>
      <c r="BH541" s="1"/>
      <c r="BI541" s="1"/>
      <c r="BO541" s="1"/>
      <c r="BP541" s="1"/>
      <c r="BQ541" s="1"/>
      <c r="BR541" s="1"/>
      <c r="BS541" s="1"/>
      <c r="BT541" s="1"/>
      <c r="BU541" s="4"/>
    </row>
    <row r="542">
      <c r="AK542" s="1"/>
      <c r="AQ542" s="1"/>
      <c r="AW542" s="1"/>
      <c r="BC542" s="1"/>
      <c r="BD542" s="1"/>
      <c r="BE542" s="1"/>
      <c r="BF542" s="1"/>
      <c r="BG542" s="1"/>
      <c r="BH542" s="1"/>
      <c r="BI542" s="1"/>
      <c r="BO542" s="1"/>
      <c r="BP542" s="1"/>
      <c r="BQ542" s="1"/>
      <c r="BR542" s="1"/>
      <c r="BS542" s="1"/>
      <c r="BT542" s="1"/>
      <c r="BU542" s="4"/>
    </row>
    <row r="543">
      <c r="AK543" s="1"/>
      <c r="AQ543" s="1"/>
      <c r="AW543" s="1"/>
      <c r="BC543" s="1"/>
      <c r="BD543" s="1"/>
      <c r="BE543" s="1"/>
      <c r="BF543" s="1"/>
      <c r="BG543" s="1"/>
      <c r="BH543" s="1"/>
      <c r="BI543" s="1"/>
      <c r="BO543" s="1"/>
      <c r="BP543" s="1"/>
      <c r="BQ543" s="1"/>
      <c r="BR543" s="1"/>
      <c r="BS543" s="1"/>
      <c r="BT543" s="1"/>
      <c r="BU543" s="4"/>
    </row>
    <row r="544">
      <c r="AK544" s="1"/>
      <c r="AQ544" s="1"/>
      <c r="AW544" s="1"/>
      <c r="BC544" s="1"/>
      <c r="BD544" s="1"/>
      <c r="BE544" s="1"/>
      <c r="BF544" s="1"/>
      <c r="BG544" s="1"/>
      <c r="BH544" s="1"/>
      <c r="BI544" s="1"/>
      <c r="BO544" s="1"/>
      <c r="BP544" s="1"/>
      <c r="BQ544" s="1"/>
      <c r="BR544" s="1"/>
      <c r="BS544" s="1"/>
      <c r="BT544" s="1"/>
      <c r="BU544" s="4"/>
    </row>
    <row r="545">
      <c r="AK545" s="1"/>
      <c r="AQ545" s="1"/>
      <c r="AW545" s="1"/>
      <c r="BC545" s="1"/>
      <c r="BD545" s="1"/>
      <c r="BE545" s="1"/>
      <c r="BF545" s="1"/>
      <c r="BG545" s="1"/>
      <c r="BH545" s="1"/>
      <c r="BI545" s="1"/>
      <c r="BO545" s="1"/>
      <c r="BP545" s="1"/>
      <c r="BQ545" s="1"/>
      <c r="BR545" s="1"/>
      <c r="BS545" s="1"/>
      <c r="BT545" s="1"/>
      <c r="BU545" s="4"/>
    </row>
    <row r="546">
      <c r="AK546" s="1"/>
      <c r="AQ546" s="1"/>
      <c r="AW546" s="1"/>
      <c r="BC546" s="1"/>
      <c r="BD546" s="1"/>
      <c r="BE546" s="1"/>
      <c r="BF546" s="1"/>
      <c r="BG546" s="1"/>
      <c r="BH546" s="1"/>
      <c r="BI546" s="1"/>
      <c r="BO546" s="1"/>
      <c r="BP546" s="1"/>
      <c r="BQ546" s="1"/>
      <c r="BR546" s="1"/>
      <c r="BS546" s="1"/>
      <c r="BT546" s="1"/>
      <c r="BU546" s="4"/>
    </row>
    <row r="547">
      <c r="AK547" s="1"/>
      <c r="AQ547" s="1"/>
      <c r="AW547" s="1"/>
      <c r="BC547" s="1"/>
      <c r="BD547" s="1"/>
      <c r="BE547" s="1"/>
      <c r="BF547" s="1"/>
      <c r="BG547" s="1"/>
      <c r="BH547" s="1"/>
      <c r="BI547" s="1"/>
      <c r="BO547" s="1"/>
      <c r="BP547" s="1"/>
      <c r="BQ547" s="1"/>
      <c r="BR547" s="1"/>
      <c r="BS547" s="1"/>
      <c r="BT547" s="1"/>
      <c r="BU547" s="4"/>
    </row>
    <row r="548">
      <c r="AK548" s="1"/>
      <c r="AQ548" s="1"/>
      <c r="AW548" s="1"/>
      <c r="BC548" s="1"/>
      <c r="BD548" s="1"/>
      <c r="BE548" s="1"/>
      <c r="BF548" s="1"/>
      <c r="BG548" s="1"/>
      <c r="BH548" s="1"/>
      <c r="BI548" s="1"/>
      <c r="BO548" s="1"/>
      <c r="BP548" s="1"/>
      <c r="BQ548" s="1"/>
      <c r="BR548" s="1"/>
      <c r="BS548" s="1"/>
      <c r="BT548" s="1"/>
      <c r="BU548" s="4"/>
    </row>
    <row r="549">
      <c r="AK549" s="1"/>
      <c r="AQ549" s="1"/>
      <c r="AW549" s="1"/>
      <c r="BC549" s="1"/>
      <c r="BD549" s="1"/>
      <c r="BE549" s="1"/>
      <c r="BF549" s="1"/>
      <c r="BG549" s="1"/>
      <c r="BH549" s="1"/>
      <c r="BI549" s="1"/>
      <c r="BO549" s="1"/>
      <c r="BP549" s="1"/>
      <c r="BQ549" s="1"/>
      <c r="BR549" s="1"/>
      <c r="BS549" s="1"/>
      <c r="BT549" s="1"/>
      <c r="BU549" s="4"/>
    </row>
    <row r="550">
      <c r="AK550" s="1"/>
      <c r="AQ550" s="1"/>
      <c r="AW550" s="1"/>
      <c r="BC550" s="1"/>
      <c r="BD550" s="1"/>
      <c r="BE550" s="1"/>
      <c r="BF550" s="1"/>
      <c r="BG550" s="1"/>
      <c r="BH550" s="1"/>
      <c r="BI550" s="1"/>
      <c r="BO550" s="1"/>
      <c r="BP550" s="1"/>
      <c r="BQ550" s="1"/>
      <c r="BR550" s="1"/>
      <c r="BS550" s="1"/>
      <c r="BT550" s="1"/>
      <c r="BU550" s="4"/>
    </row>
    <row r="551">
      <c r="AK551" s="1"/>
      <c r="AQ551" s="1"/>
      <c r="AW551" s="1"/>
      <c r="BC551" s="1"/>
      <c r="BD551" s="1"/>
      <c r="BE551" s="1"/>
      <c r="BF551" s="1"/>
      <c r="BG551" s="1"/>
      <c r="BH551" s="1"/>
      <c r="BI551" s="1"/>
      <c r="BO551" s="1"/>
      <c r="BP551" s="1"/>
      <c r="BQ551" s="1"/>
      <c r="BR551" s="1"/>
      <c r="BS551" s="1"/>
      <c r="BT551" s="1"/>
      <c r="BU551" s="4"/>
    </row>
    <row r="552">
      <c r="AK552" s="1"/>
      <c r="AQ552" s="1"/>
      <c r="AW552" s="1"/>
      <c r="BC552" s="1"/>
      <c r="BD552" s="1"/>
      <c r="BE552" s="1"/>
      <c r="BF552" s="1"/>
      <c r="BG552" s="1"/>
      <c r="BH552" s="1"/>
      <c r="BI552" s="1"/>
      <c r="BO552" s="1"/>
      <c r="BP552" s="1"/>
      <c r="BQ552" s="1"/>
      <c r="BR552" s="1"/>
      <c r="BS552" s="1"/>
      <c r="BT552" s="1"/>
      <c r="BU552" s="4"/>
    </row>
    <row r="553">
      <c r="AK553" s="1"/>
      <c r="AQ553" s="1"/>
      <c r="AW553" s="1"/>
      <c r="BC553" s="1"/>
      <c r="BD553" s="1"/>
      <c r="BE553" s="1"/>
      <c r="BF553" s="1"/>
      <c r="BG553" s="1"/>
      <c r="BH553" s="1"/>
      <c r="BI553" s="1"/>
      <c r="BO553" s="1"/>
      <c r="BP553" s="1"/>
      <c r="BQ553" s="1"/>
      <c r="BR553" s="1"/>
      <c r="BS553" s="1"/>
      <c r="BT553" s="1"/>
      <c r="BU553" s="4"/>
    </row>
    <row r="554">
      <c r="AK554" s="1"/>
      <c r="AQ554" s="1"/>
      <c r="AW554" s="1"/>
      <c r="BC554" s="1"/>
      <c r="BD554" s="1"/>
      <c r="BE554" s="1"/>
      <c r="BF554" s="1"/>
      <c r="BG554" s="1"/>
      <c r="BH554" s="1"/>
      <c r="BI554" s="1"/>
      <c r="BO554" s="1"/>
      <c r="BP554" s="1"/>
      <c r="BQ554" s="1"/>
      <c r="BR554" s="1"/>
      <c r="BS554" s="1"/>
      <c r="BT554" s="1"/>
      <c r="BU554" s="4"/>
    </row>
    <row r="555">
      <c r="AK555" s="1"/>
      <c r="AQ555" s="1"/>
      <c r="AW555" s="1"/>
      <c r="BC555" s="1"/>
      <c r="BD555" s="1"/>
      <c r="BE555" s="1"/>
      <c r="BF555" s="1"/>
      <c r="BG555" s="1"/>
      <c r="BH555" s="1"/>
      <c r="BI555" s="1"/>
      <c r="BO555" s="1"/>
      <c r="BP555" s="1"/>
      <c r="BQ555" s="1"/>
      <c r="BR555" s="1"/>
      <c r="BS555" s="1"/>
      <c r="BT555" s="1"/>
      <c r="BU555" s="4"/>
    </row>
    <row r="556">
      <c r="AK556" s="1"/>
      <c r="AQ556" s="1"/>
      <c r="AW556" s="1"/>
      <c r="BC556" s="1"/>
      <c r="BD556" s="1"/>
      <c r="BE556" s="1"/>
      <c r="BF556" s="1"/>
      <c r="BG556" s="1"/>
      <c r="BH556" s="1"/>
      <c r="BI556" s="1"/>
      <c r="BO556" s="1"/>
      <c r="BP556" s="1"/>
      <c r="BQ556" s="1"/>
      <c r="BR556" s="1"/>
      <c r="BS556" s="1"/>
      <c r="BT556" s="1"/>
      <c r="BU556" s="4"/>
    </row>
    <row r="557">
      <c r="AK557" s="1"/>
      <c r="AQ557" s="1"/>
      <c r="AW557" s="1"/>
      <c r="BC557" s="1"/>
      <c r="BD557" s="1"/>
      <c r="BE557" s="1"/>
      <c r="BF557" s="1"/>
      <c r="BG557" s="1"/>
      <c r="BH557" s="1"/>
      <c r="BI557" s="1"/>
      <c r="BO557" s="1"/>
      <c r="BP557" s="1"/>
      <c r="BQ557" s="1"/>
      <c r="BR557" s="1"/>
      <c r="BS557" s="1"/>
      <c r="BT557" s="1"/>
      <c r="BU557" s="4"/>
    </row>
    <row r="558">
      <c r="AK558" s="1"/>
      <c r="AQ558" s="1"/>
      <c r="AW558" s="1"/>
      <c r="BC558" s="1"/>
      <c r="BD558" s="1"/>
      <c r="BE558" s="1"/>
      <c r="BF558" s="1"/>
      <c r="BG558" s="1"/>
      <c r="BH558" s="1"/>
      <c r="BI558" s="1"/>
      <c r="BO558" s="1"/>
      <c r="BP558" s="1"/>
      <c r="BQ558" s="1"/>
      <c r="BR558" s="1"/>
      <c r="BS558" s="1"/>
      <c r="BT558" s="1"/>
      <c r="BU558" s="4"/>
    </row>
    <row r="559">
      <c r="AK559" s="1"/>
      <c r="AQ559" s="1"/>
      <c r="AW559" s="1"/>
      <c r="BC559" s="1"/>
      <c r="BD559" s="1"/>
      <c r="BE559" s="1"/>
      <c r="BF559" s="1"/>
      <c r="BG559" s="1"/>
      <c r="BH559" s="1"/>
      <c r="BI559" s="1"/>
      <c r="BO559" s="1"/>
      <c r="BP559" s="1"/>
      <c r="BQ559" s="1"/>
      <c r="BR559" s="1"/>
      <c r="BS559" s="1"/>
      <c r="BT559" s="1"/>
      <c r="BU559" s="4"/>
    </row>
    <row r="560">
      <c r="AK560" s="1"/>
      <c r="AQ560" s="1"/>
      <c r="AW560" s="1"/>
      <c r="BC560" s="1"/>
      <c r="BD560" s="1"/>
      <c r="BE560" s="1"/>
      <c r="BF560" s="1"/>
      <c r="BG560" s="1"/>
      <c r="BH560" s="1"/>
      <c r="BI560" s="1"/>
      <c r="BO560" s="1"/>
      <c r="BP560" s="1"/>
      <c r="BQ560" s="1"/>
      <c r="BR560" s="1"/>
      <c r="BS560" s="1"/>
      <c r="BT560" s="1"/>
      <c r="BU560" s="4"/>
    </row>
    <row r="561">
      <c r="AK561" s="1"/>
      <c r="AQ561" s="1"/>
      <c r="AW561" s="1"/>
      <c r="BC561" s="1"/>
      <c r="BD561" s="1"/>
      <c r="BE561" s="1"/>
      <c r="BF561" s="1"/>
      <c r="BG561" s="1"/>
      <c r="BH561" s="1"/>
      <c r="BI561" s="1"/>
      <c r="BO561" s="1"/>
      <c r="BP561" s="1"/>
      <c r="BQ561" s="1"/>
      <c r="BR561" s="1"/>
      <c r="BS561" s="1"/>
      <c r="BT561" s="1"/>
      <c r="BU561" s="4"/>
    </row>
    <row r="562">
      <c r="AK562" s="1"/>
      <c r="AQ562" s="1"/>
      <c r="AW562" s="1"/>
      <c r="BC562" s="1"/>
      <c r="BD562" s="1"/>
      <c r="BE562" s="1"/>
      <c r="BF562" s="1"/>
      <c r="BG562" s="1"/>
      <c r="BH562" s="1"/>
      <c r="BI562" s="1"/>
      <c r="BO562" s="1"/>
      <c r="BP562" s="1"/>
      <c r="BQ562" s="1"/>
      <c r="BR562" s="1"/>
      <c r="BS562" s="1"/>
      <c r="BT562" s="1"/>
      <c r="BU562" s="4"/>
    </row>
    <row r="563">
      <c r="AK563" s="1"/>
      <c r="AQ563" s="1"/>
      <c r="AW563" s="1"/>
      <c r="BC563" s="1"/>
      <c r="BD563" s="1"/>
      <c r="BE563" s="1"/>
      <c r="BF563" s="1"/>
      <c r="BG563" s="1"/>
      <c r="BH563" s="1"/>
      <c r="BI563" s="1"/>
      <c r="BO563" s="1"/>
      <c r="BP563" s="1"/>
      <c r="BQ563" s="1"/>
      <c r="BR563" s="1"/>
      <c r="BS563" s="1"/>
      <c r="BT563" s="1"/>
      <c r="BU563" s="4"/>
    </row>
    <row r="564">
      <c r="AK564" s="1"/>
      <c r="AQ564" s="1"/>
      <c r="AW564" s="1"/>
      <c r="BC564" s="1"/>
      <c r="BD564" s="1"/>
      <c r="BE564" s="1"/>
      <c r="BF564" s="1"/>
      <c r="BG564" s="1"/>
      <c r="BH564" s="1"/>
      <c r="BI564" s="1"/>
      <c r="BO564" s="1"/>
      <c r="BP564" s="1"/>
      <c r="BQ564" s="1"/>
      <c r="BR564" s="1"/>
      <c r="BS564" s="1"/>
      <c r="BT564" s="1"/>
      <c r="BU564" s="4"/>
    </row>
    <row r="565">
      <c r="AK565" s="1"/>
      <c r="AQ565" s="1"/>
      <c r="AW565" s="1"/>
      <c r="BC565" s="1"/>
      <c r="BD565" s="1"/>
      <c r="BE565" s="1"/>
      <c r="BF565" s="1"/>
      <c r="BG565" s="1"/>
      <c r="BH565" s="1"/>
      <c r="BI565" s="1"/>
      <c r="BO565" s="1"/>
      <c r="BP565" s="1"/>
      <c r="BQ565" s="1"/>
      <c r="BR565" s="1"/>
      <c r="BS565" s="1"/>
      <c r="BT565" s="1"/>
      <c r="BU565" s="4"/>
    </row>
    <row r="566">
      <c r="AK566" s="1"/>
      <c r="AQ566" s="1"/>
      <c r="AW566" s="1"/>
      <c r="BC566" s="1"/>
      <c r="BD566" s="1"/>
      <c r="BE566" s="1"/>
      <c r="BF566" s="1"/>
      <c r="BG566" s="1"/>
      <c r="BH566" s="1"/>
      <c r="BI566" s="1"/>
      <c r="BO566" s="1"/>
      <c r="BP566" s="1"/>
      <c r="BQ566" s="1"/>
      <c r="BR566" s="1"/>
      <c r="BS566" s="1"/>
      <c r="BT566" s="1"/>
      <c r="BU566" s="4"/>
    </row>
    <row r="567">
      <c r="AK567" s="1"/>
      <c r="AQ567" s="1"/>
      <c r="AW567" s="1"/>
      <c r="BC567" s="1"/>
      <c r="BD567" s="1"/>
      <c r="BE567" s="1"/>
      <c r="BF567" s="1"/>
      <c r="BG567" s="1"/>
      <c r="BH567" s="1"/>
      <c r="BI567" s="1"/>
      <c r="BO567" s="1"/>
      <c r="BP567" s="1"/>
      <c r="BQ567" s="1"/>
      <c r="BR567" s="1"/>
      <c r="BS567" s="1"/>
      <c r="BT567" s="1"/>
      <c r="BU567" s="4"/>
    </row>
    <row r="568">
      <c r="AK568" s="1"/>
      <c r="AQ568" s="1"/>
      <c r="AW568" s="1"/>
      <c r="BC568" s="1"/>
      <c r="BD568" s="1"/>
      <c r="BE568" s="1"/>
      <c r="BF568" s="1"/>
      <c r="BG568" s="1"/>
      <c r="BH568" s="1"/>
      <c r="BI568" s="1"/>
      <c r="BO568" s="1"/>
      <c r="BP568" s="1"/>
      <c r="BQ568" s="1"/>
      <c r="BR568" s="1"/>
      <c r="BS568" s="1"/>
      <c r="BT568" s="1"/>
      <c r="BU568" s="4"/>
    </row>
    <row r="569">
      <c r="AK569" s="1"/>
      <c r="AQ569" s="1"/>
      <c r="AW569" s="1"/>
      <c r="BC569" s="1"/>
      <c r="BD569" s="1"/>
      <c r="BE569" s="1"/>
      <c r="BF569" s="1"/>
      <c r="BG569" s="1"/>
      <c r="BH569" s="1"/>
      <c r="BI569" s="1"/>
      <c r="BO569" s="1"/>
      <c r="BP569" s="1"/>
      <c r="BQ569" s="1"/>
      <c r="BR569" s="1"/>
      <c r="BS569" s="1"/>
      <c r="BT569" s="1"/>
      <c r="BU569" s="4"/>
    </row>
    <row r="570">
      <c r="AK570" s="1"/>
      <c r="AQ570" s="1"/>
      <c r="AW570" s="1"/>
      <c r="BC570" s="1"/>
      <c r="BD570" s="1"/>
      <c r="BE570" s="1"/>
      <c r="BF570" s="1"/>
      <c r="BG570" s="1"/>
      <c r="BH570" s="1"/>
      <c r="BI570" s="1"/>
      <c r="BO570" s="1"/>
      <c r="BP570" s="1"/>
      <c r="BQ570" s="1"/>
      <c r="BR570" s="1"/>
      <c r="BS570" s="1"/>
      <c r="BT570" s="1"/>
      <c r="BU570" s="4"/>
    </row>
    <row r="571">
      <c r="AK571" s="1"/>
      <c r="AQ571" s="1"/>
      <c r="AW571" s="1"/>
      <c r="BC571" s="1"/>
      <c r="BD571" s="1"/>
      <c r="BE571" s="1"/>
      <c r="BF571" s="1"/>
      <c r="BG571" s="1"/>
      <c r="BH571" s="1"/>
      <c r="BI571" s="1"/>
      <c r="BO571" s="1"/>
      <c r="BP571" s="1"/>
      <c r="BQ571" s="1"/>
      <c r="BR571" s="1"/>
      <c r="BS571" s="1"/>
      <c r="BT571" s="1"/>
      <c r="BU571" s="4"/>
    </row>
    <row r="572">
      <c r="AK572" s="1"/>
      <c r="AQ572" s="1"/>
      <c r="AW572" s="1"/>
      <c r="BC572" s="1"/>
      <c r="BD572" s="1"/>
      <c r="BE572" s="1"/>
      <c r="BF572" s="1"/>
      <c r="BG572" s="1"/>
      <c r="BH572" s="1"/>
      <c r="BI572" s="1"/>
      <c r="BO572" s="1"/>
      <c r="BP572" s="1"/>
      <c r="BQ572" s="1"/>
      <c r="BR572" s="1"/>
      <c r="BS572" s="1"/>
      <c r="BT572" s="1"/>
      <c r="BU572" s="4"/>
    </row>
    <row r="573">
      <c r="AK573" s="1"/>
      <c r="AQ573" s="1"/>
      <c r="AW573" s="1"/>
      <c r="BC573" s="1"/>
      <c r="BD573" s="1"/>
      <c r="BE573" s="1"/>
      <c r="BF573" s="1"/>
      <c r="BG573" s="1"/>
      <c r="BH573" s="1"/>
      <c r="BI573" s="1"/>
      <c r="BO573" s="1"/>
      <c r="BP573" s="1"/>
      <c r="BQ573" s="1"/>
      <c r="BR573" s="1"/>
      <c r="BS573" s="1"/>
      <c r="BT573" s="1"/>
      <c r="BU573" s="4"/>
    </row>
    <row r="574">
      <c r="AK574" s="1"/>
      <c r="AQ574" s="1"/>
      <c r="AW574" s="1"/>
      <c r="BC574" s="1"/>
      <c r="BD574" s="1"/>
      <c r="BE574" s="1"/>
      <c r="BF574" s="1"/>
      <c r="BG574" s="1"/>
      <c r="BH574" s="1"/>
      <c r="BI574" s="1"/>
      <c r="BO574" s="1"/>
      <c r="BP574" s="1"/>
      <c r="BQ574" s="1"/>
      <c r="BR574" s="1"/>
      <c r="BS574" s="1"/>
      <c r="BT574" s="1"/>
      <c r="BU574" s="4"/>
    </row>
    <row r="575">
      <c r="AK575" s="1"/>
      <c r="AQ575" s="1"/>
      <c r="AW575" s="1"/>
      <c r="BC575" s="1"/>
      <c r="BD575" s="1"/>
      <c r="BE575" s="1"/>
      <c r="BF575" s="1"/>
      <c r="BG575" s="1"/>
      <c r="BH575" s="1"/>
      <c r="BI575" s="1"/>
      <c r="BO575" s="1"/>
      <c r="BP575" s="1"/>
      <c r="BQ575" s="1"/>
      <c r="BR575" s="1"/>
      <c r="BS575" s="1"/>
      <c r="BT575" s="1"/>
      <c r="BU575" s="4"/>
    </row>
    <row r="576">
      <c r="AK576" s="1"/>
      <c r="AQ576" s="1"/>
      <c r="AW576" s="1"/>
      <c r="BC576" s="1"/>
      <c r="BD576" s="1"/>
      <c r="BE576" s="1"/>
      <c r="BF576" s="1"/>
      <c r="BG576" s="1"/>
      <c r="BH576" s="1"/>
      <c r="BI576" s="1"/>
      <c r="BO576" s="1"/>
      <c r="BP576" s="1"/>
      <c r="BQ576" s="1"/>
      <c r="BR576" s="1"/>
      <c r="BS576" s="1"/>
      <c r="BT576" s="1"/>
      <c r="BU576" s="4"/>
    </row>
    <row r="577">
      <c r="AK577" s="1"/>
      <c r="AQ577" s="1"/>
      <c r="AW577" s="1"/>
      <c r="BC577" s="1"/>
      <c r="BD577" s="1"/>
      <c r="BE577" s="1"/>
      <c r="BF577" s="1"/>
      <c r="BG577" s="1"/>
      <c r="BH577" s="1"/>
      <c r="BI577" s="1"/>
      <c r="BO577" s="1"/>
      <c r="BP577" s="1"/>
      <c r="BQ577" s="1"/>
      <c r="BR577" s="1"/>
      <c r="BS577" s="1"/>
      <c r="BT577" s="1"/>
      <c r="BU577" s="4"/>
    </row>
    <row r="578">
      <c r="AK578" s="1"/>
      <c r="AQ578" s="1"/>
      <c r="AW578" s="1"/>
      <c r="BC578" s="1"/>
      <c r="BD578" s="1"/>
      <c r="BE578" s="1"/>
      <c r="BF578" s="1"/>
      <c r="BG578" s="1"/>
      <c r="BH578" s="1"/>
      <c r="BI578" s="1"/>
      <c r="BO578" s="1"/>
      <c r="BP578" s="1"/>
      <c r="BQ578" s="1"/>
      <c r="BR578" s="1"/>
      <c r="BS578" s="1"/>
      <c r="BT578" s="1"/>
      <c r="BU578" s="4"/>
    </row>
    <row r="579">
      <c r="AK579" s="1"/>
      <c r="AQ579" s="1"/>
      <c r="AW579" s="1"/>
      <c r="BC579" s="1"/>
      <c r="BD579" s="1"/>
      <c r="BE579" s="1"/>
      <c r="BF579" s="1"/>
      <c r="BG579" s="1"/>
      <c r="BH579" s="1"/>
      <c r="BI579" s="1"/>
      <c r="BO579" s="1"/>
      <c r="BP579" s="1"/>
      <c r="BQ579" s="1"/>
      <c r="BR579" s="1"/>
      <c r="BS579" s="1"/>
      <c r="BT579" s="1"/>
      <c r="BU579" s="4"/>
    </row>
    <row r="580">
      <c r="AK580" s="1"/>
      <c r="AQ580" s="1"/>
      <c r="AW580" s="1"/>
      <c r="BC580" s="1"/>
      <c r="BD580" s="1"/>
      <c r="BE580" s="1"/>
      <c r="BF580" s="1"/>
      <c r="BG580" s="1"/>
      <c r="BH580" s="1"/>
      <c r="BI580" s="1"/>
      <c r="BO580" s="1"/>
      <c r="BP580" s="1"/>
      <c r="BQ580" s="1"/>
      <c r="BR580" s="1"/>
      <c r="BS580" s="1"/>
      <c r="BT580" s="1"/>
      <c r="BU580" s="4"/>
    </row>
    <row r="581">
      <c r="AK581" s="1"/>
      <c r="AQ581" s="1"/>
      <c r="AW581" s="1"/>
      <c r="BC581" s="1"/>
      <c r="BD581" s="1"/>
      <c r="BE581" s="1"/>
      <c r="BF581" s="1"/>
      <c r="BG581" s="1"/>
      <c r="BH581" s="1"/>
      <c r="BI581" s="1"/>
      <c r="BO581" s="1"/>
      <c r="BP581" s="1"/>
      <c r="BQ581" s="1"/>
      <c r="BR581" s="1"/>
      <c r="BS581" s="1"/>
      <c r="BT581" s="1"/>
      <c r="BU581" s="4"/>
    </row>
    <row r="582">
      <c r="AK582" s="1"/>
      <c r="AQ582" s="1"/>
      <c r="AW582" s="1"/>
      <c r="BC582" s="1"/>
      <c r="BD582" s="1"/>
      <c r="BE582" s="1"/>
      <c r="BF582" s="1"/>
      <c r="BG582" s="1"/>
      <c r="BH582" s="1"/>
      <c r="BI582" s="1"/>
      <c r="BO582" s="1"/>
      <c r="BP582" s="1"/>
      <c r="BQ582" s="1"/>
      <c r="BR582" s="1"/>
      <c r="BS582" s="1"/>
      <c r="BT582" s="1"/>
      <c r="BU582" s="4"/>
    </row>
    <row r="583">
      <c r="AK583" s="1"/>
      <c r="AQ583" s="1"/>
      <c r="AW583" s="1"/>
      <c r="BC583" s="1"/>
      <c r="BD583" s="1"/>
      <c r="BE583" s="1"/>
      <c r="BF583" s="1"/>
      <c r="BG583" s="1"/>
      <c r="BH583" s="1"/>
      <c r="BI583" s="1"/>
      <c r="BO583" s="1"/>
      <c r="BP583" s="1"/>
      <c r="BQ583" s="1"/>
      <c r="BR583" s="1"/>
      <c r="BS583" s="1"/>
      <c r="BT583" s="1"/>
      <c r="BU583" s="4"/>
    </row>
    <row r="584">
      <c r="AK584" s="1"/>
      <c r="AQ584" s="1"/>
      <c r="AW584" s="1"/>
      <c r="BC584" s="1"/>
      <c r="BD584" s="1"/>
      <c r="BE584" s="1"/>
      <c r="BF584" s="1"/>
      <c r="BG584" s="1"/>
      <c r="BH584" s="1"/>
      <c r="BI584" s="1"/>
      <c r="BO584" s="1"/>
      <c r="BP584" s="1"/>
      <c r="BQ584" s="1"/>
      <c r="BR584" s="1"/>
      <c r="BS584" s="1"/>
      <c r="BT584" s="1"/>
      <c r="BU584" s="4"/>
    </row>
    <row r="585">
      <c r="AK585" s="1"/>
      <c r="AQ585" s="1"/>
      <c r="AW585" s="1"/>
      <c r="BC585" s="1"/>
      <c r="BD585" s="1"/>
      <c r="BE585" s="1"/>
      <c r="BF585" s="1"/>
      <c r="BG585" s="1"/>
      <c r="BH585" s="1"/>
      <c r="BI585" s="1"/>
      <c r="BO585" s="1"/>
      <c r="BP585" s="1"/>
      <c r="BQ585" s="1"/>
      <c r="BR585" s="1"/>
      <c r="BS585" s="1"/>
      <c r="BT585" s="1"/>
      <c r="BU585" s="4"/>
    </row>
    <row r="586">
      <c r="AK586" s="1"/>
      <c r="AQ586" s="1"/>
      <c r="AW586" s="1"/>
      <c r="BC586" s="1"/>
      <c r="BD586" s="1"/>
      <c r="BE586" s="1"/>
      <c r="BF586" s="1"/>
      <c r="BG586" s="1"/>
      <c r="BH586" s="1"/>
      <c r="BI586" s="1"/>
      <c r="BO586" s="1"/>
      <c r="BP586" s="1"/>
      <c r="BQ586" s="1"/>
      <c r="BR586" s="1"/>
      <c r="BS586" s="1"/>
      <c r="BT586" s="1"/>
      <c r="BU586" s="4"/>
    </row>
    <row r="587">
      <c r="AK587" s="1"/>
      <c r="AQ587" s="1"/>
      <c r="AW587" s="1"/>
      <c r="BC587" s="1"/>
      <c r="BD587" s="1"/>
      <c r="BE587" s="1"/>
      <c r="BF587" s="1"/>
      <c r="BG587" s="1"/>
      <c r="BH587" s="1"/>
      <c r="BI587" s="1"/>
      <c r="BO587" s="1"/>
      <c r="BP587" s="1"/>
      <c r="BQ587" s="1"/>
      <c r="BR587" s="1"/>
      <c r="BS587" s="1"/>
      <c r="BT587" s="1"/>
      <c r="BU587" s="4"/>
    </row>
    <row r="588">
      <c r="AK588" s="1"/>
      <c r="AQ588" s="1"/>
      <c r="AW588" s="1"/>
      <c r="BC588" s="1"/>
      <c r="BD588" s="1"/>
      <c r="BE588" s="1"/>
      <c r="BF588" s="1"/>
      <c r="BG588" s="1"/>
      <c r="BH588" s="1"/>
      <c r="BI588" s="1"/>
      <c r="BO588" s="1"/>
      <c r="BP588" s="1"/>
      <c r="BQ588" s="1"/>
      <c r="BR588" s="1"/>
      <c r="BS588" s="1"/>
      <c r="BT588" s="1"/>
      <c r="BU588" s="4"/>
    </row>
    <row r="589">
      <c r="AK589" s="1"/>
      <c r="AQ589" s="1"/>
      <c r="AW589" s="1"/>
      <c r="BC589" s="1"/>
      <c r="BD589" s="1"/>
      <c r="BE589" s="1"/>
      <c r="BF589" s="1"/>
      <c r="BG589" s="1"/>
      <c r="BH589" s="1"/>
      <c r="BI589" s="1"/>
      <c r="BO589" s="1"/>
      <c r="BP589" s="1"/>
      <c r="BQ589" s="1"/>
      <c r="BR589" s="1"/>
      <c r="BS589" s="1"/>
      <c r="BT589" s="1"/>
      <c r="BU589" s="4"/>
    </row>
    <row r="590">
      <c r="AK590" s="1"/>
      <c r="AQ590" s="1"/>
      <c r="AW590" s="1"/>
      <c r="BC590" s="1"/>
      <c r="BD590" s="1"/>
      <c r="BE590" s="1"/>
      <c r="BF590" s="1"/>
      <c r="BG590" s="1"/>
      <c r="BH590" s="1"/>
      <c r="BI590" s="1"/>
      <c r="BO590" s="1"/>
      <c r="BP590" s="1"/>
      <c r="BQ590" s="1"/>
      <c r="BR590" s="1"/>
      <c r="BS590" s="1"/>
      <c r="BT590" s="1"/>
      <c r="BU590" s="4"/>
    </row>
    <row r="591">
      <c r="AK591" s="1"/>
      <c r="AQ591" s="1"/>
      <c r="AW591" s="1"/>
      <c r="BC591" s="1"/>
      <c r="BD591" s="1"/>
      <c r="BE591" s="1"/>
      <c r="BF591" s="1"/>
      <c r="BG591" s="1"/>
      <c r="BH591" s="1"/>
      <c r="BI591" s="1"/>
      <c r="BO591" s="1"/>
      <c r="BP591" s="1"/>
      <c r="BQ591" s="1"/>
      <c r="BR591" s="1"/>
      <c r="BS591" s="1"/>
      <c r="BT591" s="1"/>
      <c r="BU591" s="4"/>
    </row>
    <row r="592">
      <c r="AK592" s="1"/>
      <c r="AQ592" s="1"/>
      <c r="AW592" s="1"/>
      <c r="BC592" s="1"/>
      <c r="BD592" s="1"/>
      <c r="BE592" s="1"/>
      <c r="BF592" s="1"/>
      <c r="BG592" s="1"/>
      <c r="BH592" s="1"/>
      <c r="BI592" s="1"/>
      <c r="BO592" s="1"/>
      <c r="BP592" s="1"/>
      <c r="BQ592" s="1"/>
      <c r="BR592" s="1"/>
      <c r="BS592" s="1"/>
      <c r="BT592" s="1"/>
      <c r="BU592" s="4"/>
    </row>
    <row r="593">
      <c r="AK593" s="1"/>
      <c r="AQ593" s="1"/>
      <c r="AW593" s="1"/>
      <c r="BC593" s="1"/>
      <c r="BD593" s="1"/>
      <c r="BE593" s="1"/>
      <c r="BF593" s="1"/>
      <c r="BG593" s="1"/>
      <c r="BH593" s="1"/>
      <c r="BI593" s="1"/>
      <c r="BO593" s="1"/>
      <c r="BP593" s="1"/>
      <c r="BQ593" s="1"/>
      <c r="BR593" s="1"/>
      <c r="BS593" s="1"/>
      <c r="BT593" s="1"/>
      <c r="BU593" s="4"/>
    </row>
    <row r="594">
      <c r="AK594" s="1"/>
      <c r="AQ594" s="1"/>
      <c r="AW594" s="1"/>
      <c r="BC594" s="1"/>
      <c r="BD594" s="1"/>
      <c r="BE594" s="1"/>
      <c r="BF594" s="1"/>
      <c r="BG594" s="1"/>
      <c r="BH594" s="1"/>
      <c r="BI594" s="1"/>
      <c r="BO594" s="1"/>
      <c r="BP594" s="1"/>
      <c r="BQ594" s="1"/>
      <c r="BR594" s="1"/>
      <c r="BS594" s="1"/>
      <c r="BT594" s="1"/>
      <c r="BU594" s="4"/>
    </row>
    <row r="595">
      <c r="AK595" s="1"/>
      <c r="AQ595" s="1"/>
      <c r="AW595" s="1"/>
      <c r="BC595" s="1"/>
      <c r="BD595" s="1"/>
      <c r="BE595" s="1"/>
      <c r="BF595" s="1"/>
      <c r="BG595" s="1"/>
      <c r="BH595" s="1"/>
      <c r="BI595" s="1"/>
      <c r="BO595" s="1"/>
      <c r="BP595" s="1"/>
      <c r="BQ595" s="1"/>
      <c r="BR595" s="1"/>
      <c r="BS595" s="1"/>
      <c r="BT595" s="1"/>
      <c r="BU595" s="4"/>
    </row>
    <row r="596">
      <c r="AK596" s="1"/>
      <c r="AQ596" s="1"/>
      <c r="AW596" s="1"/>
      <c r="BC596" s="1"/>
      <c r="BD596" s="1"/>
      <c r="BE596" s="1"/>
      <c r="BF596" s="1"/>
      <c r="BG596" s="1"/>
      <c r="BH596" s="1"/>
      <c r="BI596" s="1"/>
      <c r="BO596" s="1"/>
      <c r="BP596" s="1"/>
      <c r="BQ596" s="1"/>
      <c r="BR596" s="1"/>
      <c r="BS596" s="1"/>
      <c r="BT596" s="1"/>
      <c r="BU596" s="4"/>
    </row>
    <row r="597">
      <c r="AK597" s="1"/>
      <c r="AQ597" s="1"/>
      <c r="AW597" s="1"/>
      <c r="BC597" s="1"/>
      <c r="BD597" s="1"/>
      <c r="BE597" s="1"/>
      <c r="BF597" s="1"/>
      <c r="BG597" s="1"/>
      <c r="BH597" s="1"/>
      <c r="BI597" s="1"/>
      <c r="BO597" s="1"/>
      <c r="BP597" s="1"/>
      <c r="BQ597" s="1"/>
      <c r="BR597" s="1"/>
      <c r="BS597" s="1"/>
      <c r="BT597" s="1"/>
      <c r="BU597" s="4"/>
    </row>
    <row r="598">
      <c r="AK598" s="1"/>
      <c r="AQ598" s="1"/>
      <c r="AW598" s="1"/>
      <c r="BC598" s="1"/>
      <c r="BD598" s="1"/>
      <c r="BE598" s="1"/>
      <c r="BF598" s="1"/>
      <c r="BG598" s="1"/>
      <c r="BH598" s="1"/>
      <c r="BI598" s="1"/>
      <c r="BO598" s="1"/>
      <c r="BP598" s="1"/>
      <c r="BQ598" s="1"/>
      <c r="BR598" s="1"/>
      <c r="BS598" s="1"/>
      <c r="BT598" s="1"/>
      <c r="BU598" s="4"/>
    </row>
    <row r="599">
      <c r="AK599" s="1"/>
      <c r="AQ599" s="1"/>
      <c r="AW599" s="1"/>
      <c r="BC599" s="1"/>
      <c r="BD599" s="1"/>
      <c r="BE599" s="1"/>
      <c r="BF599" s="1"/>
      <c r="BG599" s="1"/>
      <c r="BH599" s="1"/>
      <c r="BI599" s="1"/>
      <c r="BO599" s="1"/>
      <c r="BP599" s="1"/>
      <c r="BQ599" s="1"/>
      <c r="BR599" s="1"/>
      <c r="BS599" s="1"/>
      <c r="BT599" s="1"/>
      <c r="BU599" s="4"/>
    </row>
    <row r="600">
      <c r="AK600" s="1"/>
      <c r="AQ600" s="1"/>
      <c r="AW600" s="1"/>
      <c r="BC600" s="1"/>
      <c r="BD600" s="1"/>
      <c r="BE600" s="1"/>
      <c r="BF600" s="1"/>
      <c r="BG600" s="1"/>
      <c r="BH600" s="1"/>
      <c r="BI600" s="1"/>
      <c r="BO600" s="1"/>
      <c r="BP600" s="1"/>
      <c r="BQ600" s="1"/>
      <c r="BR600" s="1"/>
      <c r="BS600" s="1"/>
      <c r="BT600" s="1"/>
      <c r="BU600" s="4"/>
    </row>
    <row r="601">
      <c r="AK601" s="1"/>
      <c r="AQ601" s="1"/>
      <c r="AW601" s="1"/>
      <c r="BC601" s="1"/>
      <c r="BD601" s="1"/>
      <c r="BE601" s="1"/>
      <c r="BF601" s="1"/>
      <c r="BG601" s="1"/>
      <c r="BH601" s="1"/>
      <c r="BI601" s="1"/>
      <c r="BO601" s="1"/>
      <c r="BP601" s="1"/>
      <c r="BQ601" s="1"/>
      <c r="BR601" s="1"/>
      <c r="BS601" s="1"/>
      <c r="BT601" s="1"/>
      <c r="BU601" s="4"/>
    </row>
    <row r="602">
      <c r="AK602" s="1"/>
      <c r="AQ602" s="1"/>
      <c r="AW602" s="1"/>
      <c r="BC602" s="1"/>
      <c r="BD602" s="1"/>
      <c r="BE602" s="1"/>
      <c r="BF602" s="1"/>
      <c r="BG602" s="1"/>
      <c r="BH602" s="1"/>
      <c r="BI602" s="1"/>
      <c r="BO602" s="1"/>
      <c r="BP602" s="1"/>
      <c r="BQ602" s="1"/>
      <c r="BR602" s="1"/>
      <c r="BS602" s="1"/>
      <c r="BT602" s="1"/>
      <c r="BU602" s="4"/>
    </row>
    <row r="603">
      <c r="AK603" s="1"/>
      <c r="AQ603" s="1"/>
      <c r="AW603" s="1"/>
      <c r="BC603" s="1"/>
      <c r="BD603" s="1"/>
      <c r="BE603" s="1"/>
      <c r="BF603" s="1"/>
      <c r="BG603" s="1"/>
      <c r="BH603" s="1"/>
      <c r="BI603" s="1"/>
      <c r="BO603" s="1"/>
      <c r="BP603" s="1"/>
      <c r="BQ603" s="1"/>
      <c r="BR603" s="1"/>
      <c r="BS603" s="1"/>
      <c r="BT603" s="1"/>
      <c r="BU603" s="4"/>
    </row>
    <row r="604">
      <c r="AK604" s="1"/>
      <c r="AQ604" s="1"/>
      <c r="AW604" s="1"/>
      <c r="BC604" s="1"/>
      <c r="BD604" s="1"/>
      <c r="BE604" s="1"/>
      <c r="BF604" s="1"/>
      <c r="BG604" s="1"/>
      <c r="BH604" s="1"/>
      <c r="BI604" s="1"/>
      <c r="BO604" s="1"/>
      <c r="BP604" s="1"/>
      <c r="BQ604" s="1"/>
      <c r="BR604" s="1"/>
      <c r="BS604" s="1"/>
      <c r="BT604" s="1"/>
      <c r="BU604" s="4"/>
    </row>
    <row r="605">
      <c r="AK605" s="1"/>
      <c r="AQ605" s="1"/>
      <c r="AW605" s="1"/>
      <c r="BC605" s="1"/>
      <c r="BD605" s="1"/>
      <c r="BE605" s="1"/>
      <c r="BF605" s="1"/>
      <c r="BG605" s="1"/>
      <c r="BH605" s="1"/>
      <c r="BI605" s="1"/>
      <c r="BO605" s="1"/>
      <c r="BP605" s="1"/>
      <c r="BQ605" s="1"/>
      <c r="BR605" s="1"/>
      <c r="BS605" s="1"/>
      <c r="BT605" s="1"/>
      <c r="BU605" s="4"/>
    </row>
    <row r="606">
      <c r="AK606" s="1"/>
      <c r="AQ606" s="1"/>
      <c r="AW606" s="1"/>
      <c r="BC606" s="1"/>
      <c r="BD606" s="1"/>
      <c r="BE606" s="1"/>
      <c r="BF606" s="1"/>
      <c r="BG606" s="1"/>
      <c r="BH606" s="1"/>
      <c r="BI606" s="1"/>
      <c r="BO606" s="1"/>
      <c r="BP606" s="1"/>
      <c r="BQ606" s="1"/>
      <c r="BR606" s="1"/>
      <c r="BS606" s="1"/>
      <c r="BT606" s="1"/>
      <c r="BU606" s="4"/>
    </row>
    <row r="607">
      <c r="AK607" s="1"/>
      <c r="AQ607" s="1"/>
      <c r="AW607" s="1"/>
      <c r="BC607" s="1"/>
      <c r="BD607" s="1"/>
      <c r="BE607" s="1"/>
      <c r="BF607" s="1"/>
      <c r="BG607" s="1"/>
      <c r="BH607" s="1"/>
      <c r="BI607" s="1"/>
      <c r="BO607" s="1"/>
      <c r="BP607" s="1"/>
      <c r="BQ607" s="1"/>
      <c r="BR607" s="1"/>
      <c r="BS607" s="1"/>
      <c r="BT607" s="1"/>
      <c r="BU607" s="4"/>
    </row>
    <row r="608">
      <c r="AK608" s="1"/>
      <c r="AQ608" s="1"/>
      <c r="AW608" s="1"/>
      <c r="BC608" s="1"/>
      <c r="BD608" s="1"/>
      <c r="BE608" s="1"/>
      <c r="BF608" s="1"/>
      <c r="BG608" s="1"/>
      <c r="BH608" s="1"/>
      <c r="BI608" s="1"/>
      <c r="BO608" s="1"/>
      <c r="BP608" s="1"/>
      <c r="BQ608" s="1"/>
      <c r="BR608" s="1"/>
      <c r="BS608" s="1"/>
      <c r="BT608" s="1"/>
      <c r="BU608" s="4"/>
    </row>
    <row r="609">
      <c r="AK609" s="1"/>
      <c r="AQ609" s="1"/>
      <c r="AW609" s="1"/>
      <c r="BC609" s="1"/>
      <c r="BD609" s="1"/>
      <c r="BE609" s="1"/>
      <c r="BF609" s="1"/>
      <c r="BG609" s="1"/>
      <c r="BH609" s="1"/>
      <c r="BI609" s="1"/>
      <c r="BO609" s="1"/>
      <c r="BP609" s="1"/>
      <c r="BQ609" s="1"/>
      <c r="BR609" s="1"/>
      <c r="BS609" s="1"/>
      <c r="BT609" s="1"/>
      <c r="BU609" s="4"/>
    </row>
    <row r="610">
      <c r="AK610" s="1"/>
      <c r="AQ610" s="1"/>
      <c r="AW610" s="1"/>
      <c r="BC610" s="1"/>
      <c r="BD610" s="1"/>
      <c r="BE610" s="1"/>
      <c r="BF610" s="1"/>
      <c r="BG610" s="1"/>
      <c r="BH610" s="1"/>
      <c r="BI610" s="1"/>
      <c r="BO610" s="1"/>
      <c r="BP610" s="1"/>
      <c r="BQ610" s="1"/>
      <c r="BR610" s="1"/>
      <c r="BS610" s="1"/>
      <c r="BT610" s="1"/>
      <c r="BU610" s="4"/>
    </row>
    <row r="611">
      <c r="AK611" s="1"/>
      <c r="AQ611" s="1"/>
      <c r="AW611" s="1"/>
      <c r="BC611" s="1"/>
      <c r="BD611" s="1"/>
      <c r="BE611" s="1"/>
      <c r="BF611" s="1"/>
      <c r="BG611" s="1"/>
      <c r="BH611" s="1"/>
      <c r="BI611" s="1"/>
      <c r="BO611" s="1"/>
      <c r="BP611" s="1"/>
      <c r="BQ611" s="1"/>
      <c r="BR611" s="1"/>
      <c r="BS611" s="1"/>
      <c r="BT611" s="1"/>
      <c r="BU611" s="4"/>
    </row>
    <row r="612">
      <c r="AK612" s="1"/>
      <c r="AQ612" s="1"/>
      <c r="AW612" s="1"/>
      <c r="BC612" s="1"/>
      <c r="BD612" s="1"/>
      <c r="BE612" s="1"/>
      <c r="BF612" s="1"/>
      <c r="BG612" s="1"/>
      <c r="BH612" s="1"/>
      <c r="BI612" s="1"/>
      <c r="BO612" s="1"/>
      <c r="BP612" s="1"/>
      <c r="BQ612" s="1"/>
      <c r="BR612" s="1"/>
      <c r="BS612" s="1"/>
      <c r="BT612" s="1"/>
      <c r="BU612" s="4"/>
    </row>
    <row r="613">
      <c r="AK613" s="1"/>
      <c r="AQ613" s="1"/>
      <c r="AW613" s="1"/>
      <c r="BC613" s="1"/>
      <c r="BD613" s="1"/>
      <c r="BE613" s="1"/>
      <c r="BF613" s="1"/>
      <c r="BG613" s="1"/>
      <c r="BH613" s="1"/>
      <c r="BI613" s="1"/>
      <c r="BO613" s="1"/>
      <c r="BP613" s="1"/>
      <c r="BQ613" s="1"/>
      <c r="BR613" s="1"/>
      <c r="BS613" s="1"/>
      <c r="BT613" s="1"/>
      <c r="BU613" s="4"/>
    </row>
    <row r="614">
      <c r="AK614" s="1"/>
      <c r="AQ614" s="1"/>
      <c r="AW614" s="1"/>
      <c r="BC614" s="1"/>
      <c r="BD614" s="1"/>
      <c r="BE614" s="1"/>
      <c r="BF614" s="1"/>
      <c r="BG614" s="1"/>
      <c r="BH614" s="1"/>
      <c r="BI614" s="1"/>
      <c r="BO614" s="1"/>
      <c r="BP614" s="1"/>
      <c r="BQ614" s="1"/>
      <c r="BR614" s="1"/>
      <c r="BS614" s="1"/>
      <c r="BT614" s="1"/>
      <c r="BU614" s="4"/>
    </row>
    <row r="615">
      <c r="AK615" s="1"/>
      <c r="AQ615" s="1"/>
      <c r="AW615" s="1"/>
      <c r="BC615" s="1"/>
      <c r="BD615" s="1"/>
      <c r="BE615" s="1"/>
      <c r="BF615" s="1"/>
      <c r="BG615" s="1"/>
      <c r="BH615" s="1"/>
      <c r="BI615" s="1"/>
      <c r="BO615" s="1"/>
      <c r="BP615" s="1"/>
      <c r="BQ615" s="1"/>
      <c r="BR615" s="1"/>
      <c r="BS615" s="1"/>
      <c r="BT615" s="1"/>
      <c r="BU615" s="4"/>
    </row>
    <row r="616">
      <c r="AK616" s="1"/>
      <c r="AQ616" s="1"/>
      <c r="AW616" s="1"/>
      <c r="BC616" s="1"/>
      <c r="BD616" s="1"/>
      <c r="BE616" s="1"/>
      <c r="BF616" s="1"/>
      <c r="BG616" s="1"/>
      <c r="BH616" s="1"/>
      <c r="BI616" s="1"/>
      <c r="BO616" s="1"/>
      <c r="BP616" s="1"/>
      <c r="BQ616" s="1"/>
      <c r="BR616" s="1"/>
      <c r="BS616" s="1"/>
      <c r="BT616" s="1"/>
      <c r="BU616" s="4"/>
    </row>
    <row r="617">
      <c r="AK617" s="1"/>
      <c r="AQ617" s="1"/>
      <c r="AW617" s="1"/>
      <c r="BC617" s="1"/>
      <c r="BD617" s="1"/>
      <c r="BE617" s="1"/>
      <c r="BF617" s="1"/>
      <c r="BG617" s="1"/>
      <c r="BH617" s="1"/>
      <c r="BI617" s="1"/>
      <c r="BO617" s="1"/>
      <c r="BP617" s="1"/>
      <c r="BQ617" s="1"/>
      <c r="BR617" s="1"/>
      <c r="BS617" s="1"/>
      <c r="BT617" s="1"/>
      <c r="BU617" s="4"/>
    </row>
    <row r="618">
      <c r="AK618" s="1"/>
      <c r="AQ618" s="1"/>
      <c r="AW618" s="1"/>
      <c r="BC618" s="1"/>
      <c r="BD618" s="1"/>
      <c r="BE618" s="1"/>
      <c r="BF618" s="1"/>
      <c r="BG618" s="1"/>
      <c r="BH618" s="1"/>
      <c r="BI618" s="1"/>
      <c r="BO618" s="1"/>
      <c r="BP618" s="1"/>
      <c r="BQ618" s="1"/>
      <c r="BR618" s="1"/>
      <c r="BS618" s="1"/>
      <c r="BT618" s="1"/>
      <c r="BU618" s="4"/>
    </row>
    <row r="619">
      <c r="AK619" s="1"/>
      <c r="AQ619" s="1"/>
      <c r="AW619" s="1"/>
      <c r="BC619" s="1"/>
      <c r="BD619" s="1"/>
      <c r="BE619" s="1"/>
      <c r="BF619" s="1"/>
      <c r="BG619" s="1"/>
      <c r="BH619" s="1"/>
      <c r="BI619" s="1"/>
      <c r="BO619" s="1"/>
      <c r="BP619" s="1"/>
      <c r="BQ619" s="1"/>
      <c r="BR619" s="1"/>
      <c r="BS619" s="1"/>
      <c r="BT619" s="1"/>
      <c r="BU619" s="4"/>
    </row>
    <row r="620">
      <c r="AK620" s="1"/>
      <c r="AQ620" s="1"/>
      <c r="AW620" s="1"/>
      <c r="BC620" s="1"/>
      <c r="BD620" s="1"/>
      <c r="BE620" s="1"/>
      <c r="BF620" s="1"/>
      <c r="BG620" s="1"/>
      <c r="BH620" s="1"/>
      <c r="BI620" s="1"/>
      <c r="BO620" s="1"/>
      <c r="BP620" s="1"/>
      <c r="BQ620" s="1"/>
      <c r="BR620" s="1"/>
      <c r="BS620" s="1"/>
      <c r="BT620" s="1"/>
      <c r="BU620" s="4"/>
    </row>
    <row r="621">
      <c r="AK621" s="1"/>
      <c r="AQ621" s="1"/>
      <c r="AW621" s="1"/>
      <c r="BC621" s="1"/>
      <c r="BD621" s="1"/>
      <c r="BE621" s="1"/>
      <c r="BF621" s="1"/>
      <c r="BG621" s="1"/>
      <c r="BH621" s="1"/>
      <c r="BI621" s="1"/>
      <c r="BO621" s="1"/>
      <c r="BP621" s="1"/>
      <c r="BQ621" s="1"/>
      <c r="BR621" s="1"/>
      <c r="BS621" s="1"/>
      <c r="BT621" s="1"/>
      <c r="BU621" s="4"/>
    </row>
    <row r="622">
      <c r="AK622" s="1"/>
      <c r="AQ622" s="1"/>
      <c r="AW622" s="1"/>
      <c r="BC622" s="1"/>
      <c r="BD622" s="1"/>
      <c r="BE622" s="1"/>
      <c r="BF622" s="1"/>
      <c r="BG622" s="1"/>
      <c r="BH622" s="1"/>
      <c r="BI622" s="1"/>
      <c r="BO622" s="1"/>
      <c r="BP622" s="1"/>
      <c r="BQ622" s="1"/>
      <c r="BR622" s="1"/>
      <c r="BS622" s="1"/>
      <c r="BT622" s="1"/>
      <c r="BU622" s="4"/>
    </row>
    <row r="623">
      <c r="AK623" s="1"/>
      <c r="AQ623" s="1"/>
      <c r="AW623" s="1"/>
      <c r="BC623" s="1"/>
      <c r="BD623" s="1"/>
      <c r="BE623" s="1"/>
      <c r="BF623" s="1"/>
      <c r="BG623" s="1"/>
      <c r="BH623" s="1"/>
      <c r="BI623" s="1"/>
      <c r="BO623" s="1"/>
      <c r="BP623" s="1"/>
      <c r="BQ623" s="1"/>
      <c r="BR623" s="1"/>
      <c r="BS623" s="1"/>
      <c r="BT623" s="1"/>
      <c r="BU623" s="4"/>
    </row>
    <row r="624">
      <c r="AK624" s="1"/>
      <c r="AQ624" s="1"/>
      <c r="AW624" s="1"/>
      <c r="BC624" s="1"/>
      <c r="BD624" s="1"/>
      <c r="BE624" s="1"/>
      <c r="BF624" s="1"/>
      <c r="BG624" s="1"/>
      <c r="BH624" s="1"/>
      <c r="BI624" s="1"/>
      <c r="BO624" s="1"/>
      <c r="BP624" s="1"/>
      <c r="BQ624" s="1"/>
      <c r="BR624" s="1"/>
      <c r="BS624" s="1"/>
      <c r="BT624" s="1"/>
      <c r="BU624" s="4"/>
    </row>
    <row r="625">
      <c r="AK625" s="1"/>
      <c r="AQ625" s="1"/>
      <c r="AW625" s="1"/>
      <c r="BC625" s="1"/>
      <c r="BD625" s="1"/>
      <c r="BE625" s="1"/>
      <c r="BF625" s="1"/>
      <c r="BG625" s="1"/>
      <c r="BH625" s="1"/>
      <c r="BI625" s="1"/>
      <c r="BO625" s="1"/>
      <c r="BP625" s="1"/>
      <c r="BQ625" s="1"/>
      <c r="BR625" s="1"/>
      <c r="BS625" s="1"/>
      <c r="BT625" s="1"/>
      <c r="BU625" s="4"/>
    </row>
    <row r="626">
      <c r="AK626" s="1"/>
      <c r="AQ626" s="1"/>
      <c r="AW626" s="1"/>
      <c r="BC626" s="1"/>
      <c r="BD626" s="1"/>
      <c r="BE626" s="1"/>
      <c r="BF626" s="1"/>
      <c r="BG626" s="1"/>
      <c r="BH626" s="1"/>
      <c r="BI626" s="1"/>
      <c r="BO626" s="1"/>
      <c r="BP626" s="1"/>
      <c r="BQ626" s="1"/>
      <c r="BR626" s="1"/>
      <c r="BS626" s="1"/>
      <c r="BT626" s="1"/>
      <c r="BU626" s="4"/>
    </row>
    <row r="627">
      <c r="AK627" s="1"/>
      <c r="AQ627" s="1"/>
      <c r="AW627" s="1"/>
      <c r="BC627" s="1"/>
      <c r="BD627" s="1"/>
      <c r="BE627" s="1"/>
      <c r="BF627" s="1"/>
      <c r="BG627" s="1"/>
      <c r="BH627" s="1"/>
      <c r="BI627" s="1"/>
      <c r="BO627" s="1"/>
      <c r="BP627" s="1"/>
      <c r="BQ627" s="1"/>
      <c r="BR627" s="1"/>
      <c r="BS627" s="1"/>
      <c r="BT627" s="1"/>
      <c r="BU627" s="4"/>
    </row>
    <row r="628">
      <c r="AK628" s="1"/>
      <c r="AQ628" s="1"/>
      <c r="AW628" s="1"/>
      <c r="BC628" s="1"/>
      <c r="BD628" s="1"/>
      <c r="BE628" s="1"/>
      <c r="BF628" s="1"/>
      <c r="BG628" s="1"/>
      <c r="BH628" s="1"/>
      <c r="BI628" s="1"/>
      <c r="BO628" s="1"/>
      <c r="BP628" s="1"/>
      <c r="BQ628" s="1"/>
      <c r="BR628" s="1"/>
      <c r="BS628" s="1"/>
      <c r="BT628" s="1"/>
      <c r="BU628" s="4"/>
    </row>
    <row r="629">
      <c r="AK629" s="1"/>
      <c r="AQ629" s="1"/>
      <c r="AW629" s="1"/>
      <c r="BC629" s="1"/>
      <c r="BD629" s="1"/>
      <c r="BE629" s="1"/>
      <c r="BF629" s="1"/>
      <c r="BG629" s="1"/>
      <c r="BH629" s="1"/>
      <c r="BI629" s="1"/>
      <c r="BO629" s="1"/>
      <c r="BP629" s="1"/>
      <c r="BQ629" s="1"/>
      <c r="BR629" s="1"/>
      <c r="BS629" s="1"/>
      <c r="BT629" s="1"/>
      <c r="BU629" s="4"/>
    </row>
    <row r="630">
      <c r="AK630" s="1"/>
      <c r="AQ630" s="1"/>
      <c r="AW630" s="1"/>
      <c r="BC630" s="1"/>
      <c r="BD630" s="1"/>
      <c r="BE630" s="1"/>
      <c r="BF630" s="1"/>
      <c r="BG630" s="1"/>
      <c r="BH630" s="1"/>
      <c r="BI630" s="1"/>
      <c r="BO630" s="1"/>
      <c r="BP630" s="1"/>
      <c r="BQ630" s="1"/>
      <c r="BR630" s="1"/>
      <c r="BS630" s="1"/>
      <c r="BT630" s="1"/>
      <c r="BU630" s="4"/>
    </row>
    <row r="631">
      <c r="AK631" s="1"/>
      <c r="AQ631" s="1"/>
      <c r="AW631" s="1"/>
      <c r="BC631" s="1"/>
      <c r="BD631" s="1"/>
      <c r="BE631" s="1"/>
      <c r="BF631" s="1"/>
      <c r="BG631" s="1"/>
      <c r="BH631" s="1"/>
      <c r="BI631" s="1"/>
      <c r="BO631" s="1"/>
      <c r="BP631" s="1"/>
      <c r="BQ631" s="1"/>
      <c r="BR631" s="1"/>
      <c r="BS631" s="1"/>
      <c r="BT631" s="1"/>
      <c r="BU631" s="4"/>
    </row>
    <row r="632">
      <c r="AK632" s="1"/>
      <c r="AQ632" s="1"/>
      <c r="AW632" s="1"/>
      <c r="BC632" s="1"/>
      <c r="BD632" s="1"/>
      <c r="BE632" s="1"/>
      <c r="BF632" s="1"/>
      <c r="BG632" s="1"/>
      <c r="BH632" s="1"/>
      <c r="BI632" s="1"/>
      <c r="BO632" s="1"/>
      <c r="BP632" s="1"/>
      <c r="BQ632" s="1"/>
      <c r="BR632" s="1"/>
      <c r="BS632" s="1"/>
      <c r="BT632" s="1"/>
      <c r="BU632" s="4"/>
    </row>
    <row r="633">
      <c r="AK633" s="1"/>
      <c r="AQ633" s="1"/>
      <c r="AW633" s="1"/>
      <c r="BC633" s="1"/>
      <c r="BD633" s="1"/>
      <c r="BE633" s="1"/>
      <c r="BF633" s="1"/>
      <c r="BG633" s="1"/>
      <c r="BH633" s="1"/>
      <c r="BI633" s="1"/>
      <c r="BO633" s="1"/>
      <c r="BP633" s="1"/>
      <c r="BQ633" s="1"/>
      <c r="BR633" s="1"/>
      <c r="BS633" s="1"/>
      <c r="BT633" s="1"/>
      <c r="BU633" s="4"/>
    </row>
    <row r="634">
      <c r="AK634" s="1"/>
      <c r="AQ634" s="1"/>
      <c r="AW634" s="1"/>
      <c r="BC634" s="1"/>
      <c r="BD634" s="1"/>
      <c r="BE634" s="1"/>
      <c r="BF634" s="1"/>
      <c r="BG634" s="1"/>
      <c r="BH634" s="1"/>
      <c r="BI634" s="1"/>
      <c r="BO634" s="1"/>
      <c r="BP634" s="1"/>
      <c r="BQ634" s="1"/>
      <c r="BR634" s="1"/>
      <c r="BS634" s="1"/>
      <c r="BT634" s="1"/>
      <c r="BU634" s="4"/>
    </row>
    <row r="635">
      <c r="AK635" s="1"/>
      <c r="AQ635" s="1"/>
      <c r="AW635" s="1"/>
      <c r="BC635" s="1"/>
      <c r="BD635" s="1"/>
      <c r="BE635" s="1"/>
      <c r="BF635" s="1"/>
      <c r="BG635" s="1"/>
      <c r="BH635" s="1"/>
      <c r="BI635" s="1"/>
      <c r="BO635" s="1"/>
      <c r="BP635" s="1"/>
      <c r="BQ635" s="1"/>
      <c r="BR635" s="1"/>
      <c r="BS635" s="1"/>
      <c r="BT635" s="1"/>
      <c r="BU635" s="4"/>
    </row>
    <row r="636">
      <c r="AK636" s="1"/>
      <c r="AQ636" s="1"/>
      <c r="AW636" s="1"/>
      <c r="BC636" s="1"/>
      <c r="BD636" s="1"/>
      <c r="BE636" s="1"/>
      <c r="BF636" s="1"/>
      <c r="BG636" s="1"/>
      <c r="BH636" s="1"/>
      <c r="BI636" s="1"/>
      <c r="BO636" s="1"/>
      <c r="BP636" s="1"/>
      <c r="BQ636" s="1"/>
      <c r="BR636" s="1"/>
      <c r="BS636" s="1"/>
      <c r="BT636" s="1"/>
      <c r="BU636" s="4"/>
    </row>
    <row r="637">
      <c r="AK637" s="1"/>
      <c r="AQ637" s="1"/>
      <c r="AW637" s="1"/>
      <c r="BC637" s="1"/>
      <c r="BD637" s="1"/>
      <c r="BE637" s="1"/>
      <c r="BF637" s="1"/>
      <c r="BG637" s="1"/>
      <c r="BH637" s="1"/>
      <c r="BI637" s="1"/>
      <c r="BO637" s="1"/>
      <c r="BP637" s="1"/>
      <c r="BQ637" s="1"/>
      <c r="BR637" s="1"/>
      <c r="BS637" s="1"/>
      <c r="BT637" s="1"/>
      <c r="BU637" s="4"/>
    </row>
    <row r="638">
      <c r="AK638" s="1"/>
      <c r="AQ638" s="1"/>
      <c r="AW638" s="1"/>
      <c r="BC638" s="1"/>
      <c r="BD638" s="1"/>
      <c r="BE638" s="1"/>
      <c r="BF638" s="1"/>
      <c r="BG638" s="1"/>
      <c r="BH638" s="1"/>
      <c r="BI638" s="1"/>
      <c r="BO638" s="1"/>
      <c r="BP638" s="1"/>
      <c r="BQ638" s="1"/>
      <c r="BR638" s="1"/>
      <c r="BS638" s="1"/>
      <c r="BT638" s="1"/>
      <c r="BU638" s="4"/>
    </row>
    <row r="639">
      <c r="AK639" s="1"/>
      <c r="AQ639" s="1"/>
      <c r="AW639" s="1"/>
      <c r="BC639" s="1"/>
      <c r="BD639" s="1"/>
      <c r="BE639" s="1"/>
      <c r="BF639" s="1"/>
      <c r="BG639" s="1"/>
      <c r="BH639" s="1"/>
      <c r="BI639" s="1"/>
      <c r="BO639" s="1"/>
      <c r="BP639" s="1"/>
      <c r="BQ639" s="1"/>
      <c r="BR639" s="1"/>
      <c r="BS639" s="1"/>
      <c r="BT639" s="1"/>
      <c r="BU639" s="4"/>
    </row>
    <row r="640">
      <c r="AK640" s="1"/>
      <c r="AQ640" s="1"/>
      <c r="AW640" s="1"/>
      <c r="BC640" s="1"/>
      <c r="BD640" s="1"/>
      <c r="BE640" s="1"/>
      <c r="BF640" s="1"/>
      <c r="BG640" s="1"/>
      <c r="BH640" s="1"/>
      <c r="BI640" s="1"/>
      <c r="BO640" s="1"/>
      <c r="BP640" s="1"/>
      <c r="BQ640" s="1"/>
      <c r="BR640" s="1"/>
      <c r="BS640" s="1"/>
      <c r="BT640" s="1"/>
      <c r="BU640" s="4"/>
    </row>
    <row r="641">
      <c r="AK641" s="1"/>
      <c r="AQ641" s="1"/>
      <c r="AW641" s="1"/>
      <c r="BC641" s="1"/>
      <c r="BD641" s="1"/>
      <c r="BE641" s="1"/>
      <c r="BF641" s="1"/>
      <c r="BG641" s="1"/>
      <c r="BH641" s="1"/>
      <c r="BI641" s="1"/>
      <c r="BO641" s="1"/>
      <c r="BP641" s="1"/>
      <c r="BQ641" s="1"/>
      <c r="BR641" s="1"/>
      <c r="BS641" s="1"/>
      <c r="BT641" s="1"/>
      <c r="BU641" s="4"/>
    </row>
    <row r="642">
      <c r="AK642" s="1"/>
      <c r="AQ642" s="1"/>
      <c r="AW642" s="1"/>
      <c r="BC642" s="1"/>
      <c r="BD642" s="1"/>
      <c r="BE642" s="1"/>
      <c r="BF642" s="1"/>
      <c r="BG642" s="1"/>
      <c r="BH642" s="1"/>
      <c r="BI642" s="1"/>
      <c r="BO642" s="1"/>
      <c r="BP642" s="1"/>
      <c r="BQ642" s="1"/>
      <c r="BR642" s="1"/>
      <c r="BS642" s="1"/>
      <c r="BT642" s="1"/>
      <c r="BU642" s="4"/>
    </row>
    <row r="643">
      <c r="AK643" s="1"/>
      <c r="AQ643" s="1"/>
      <c r="AW643" s="1"/>
      <c r="BC643" s="1"/>
      <c r="BD643" s="1"/>
      <c r="BE643" s="1"/>
      <c r="BF643" s="1"/>
      <c r="BG643" s="1"/>
      <c r="BH643" s="1"/>
      <c r="BI643" s="1"/>
      <c r="BO643" s="1"/>
      <c r="BP643" s="1"/>
      <c r="BQ643" s="1"/>
      <c r="BR643" s="1"/>
      <c r="BS643" s="1"/>
      <c r="BT643" s="1"/>
      <c r="BU643" s="4"/>
    </row>
    <row r="644">
      <c r="AK644" s="1"/>
      <c r="AQ644" s="1"/>
      <c r="AW644" s="1"/>
      <c r="BC644" s="1"/>
      <c r="BD644" s="1"/>
      <c r="BE644" s="1"/>
      <c r="BF644" s="1"/>
      <c r="BG644" s="1"/>
      <c r="BH644" s="1"/>
      <c r="BI644" s="1"/>
      <c r="BO644" s="1"/>
      <c r="BP644" s="1"/>
      <c r="BQ644" s="1"/>
      <c r="BR644" s="1"/>
      <c r="BS644" s="1"/>
      <c r="BT644" s="1"/>
      <c r="BU644" s="4"/>
    </row>
    <row r="645">
      <c r="AK645" s="1"/>
      <c r="AQ645" s="1"/>
      <c r="AW645" s="1"/>
      <c r="BC645" s="1"/>
      <c r="BD645" s="1"/>
      <c r="BE645" s="1"/>
      <c r="BF645" s="1"/>
      <c r="BG645" s="1"/>
      <c r="BH645" s="1"/>
      <c r="BI645" s="1"/>
      <c r="BO645" s="1"/>
      <c r="BP645" s="1"/>
      <c r="BQ645" s="1"/>
      <c r="BR645" s="1"/>
      <c r="BS645" s="1"/>
      <c r="BT645" s="1"/>
      <c r="BU645" s="4"/>
    </row>
    <row r="646">
      <c r="AK646" s="1"/>
      <c r="AQ646" s="1"/>
      <c r="AW646" s="1"/>
      <c r="BC646" s="1"/>
      <c r="BD646" s="1"/>
      <c r="BE646" s="1"/>
      <c r="BF646" s="1"/>
      <c r="BG646" s="1"/>
      <c r="BH646" s="1"/>
      <c r="BI646" s="1"/>
      <c r="BO646" s="1"/>
      <c r="BP646" s="1"/>
      <c r="BQ646" s="1"/>
      <c r="BR646" s="1"/>
      <c r="BS646" s="1"/>
      <c r="BT646" s="1"/>
      <c r="BU646" s="4"/>
    </row>
    <row r="647">
      <c r="AK647" s="1"/>
      <c r="AQ647" s="1"/>
      <c r="AW647" s="1"/>
      <c r="BC647" s="1"/>
      <c r="BD647" s="1"/>
      <c r="BE647" s="1"/>
      <c r="BF647" s="1"/>
      <c r="BG647" s="1"/>
      <c r="BH647" s="1"/>
      <c r="BI647" s="1"/>
      <c r="BO647" s="1"/>
      <c r="BP647" s="1"/>
      <c r="BQ647" s="1"/>
      <c r="BR647" s="1"/>
      <c r="BS647" s="1"/>
      <c r="BT647" s="1"/>
      <c r="BU647" s="4"/>
    </row>
    <row r="648">
      <c r="AK648" s="1"/>
      <c r="AQ648" s="1"/>
      <c r="AW648" s="1"/>
      <c r="BC648" s="1"/>
      <c r="BD648" s="1"/>
      <c r="BE648" s="1"/>
      <c r="BF648" s="1"/>
      <c r="BG648" s="1"/>
      <c r="BH648" s="1"/>
      <c r="BI648" s="1"/>
      <c r="BO648" s="1"/>
      <c r="BP648" s="1"/>
      <c r="BQ648" s="1"/>
      <c r="BR648" s="1"/>
      <c r="BS648" s="1"/>
      <c r="BT648" s="1"/>
      <c r="BU648" s="4"/>
    </row>
    <row r="649">
      <c r="AK649" s="1"/>
      <c r="AQ649" s="1"/>
      <c r="AW649" s="1"/>
      <c r="BC649" s="1"/>
      <c r="BD649" s="1"/>
      <c r="BE649" s="1"/>
      <c r="BF649" s="1"/>
      <c r="BG649" s="1"/>
      <c r="BH649" s="1"/>
      <c r="BI649" s="1"/>
      <c r="BO649" s="1"/>
      <c r="BP649" s="1"/>
      <c r="BQ649" s="1"/>
      <c r="BR649" s="1"/>
      <c r="BS649" s="1"/>
      <c r="BT649" s="1"/>
      <c r="BU649" s="4"/>
    </row>
    <row r="650">
      <c r="AK650" s="1"/>
      <c r="AQ650" s="1"/>
      <c r="AW650" s="1"/>
      <c r="BC650" s="1"/>
      <c r="BD650" s="1"/>
      <c r="BE650" s="1"/>
      <c r="BF650" s="1"/>
      <c r="BG650" s="1"/>
      <c r="BH650" s="1"/>
      <c r="BI650" s="1"/>
      <c r="BO650" s="1"/>
      <c r="BP650" s="1"/>
      <c r="BQ650" s="1"/>
      <c r="BR650" s="1"/>
      <c r="BS650" s="1"/>
      <c r="BT650" s="1"/>
      <c r="BU650" s="4"/>
    </row>
    <row r="651">
      <c r="AK651" s="1"/>
      <c r="AQ651" s="1"/>
      <c r="AW651" s="1"/>
      <c r="BC651" s="1"/>
      <c r="BD651" s="1"/>
      <c r="BE651" s="1"/>
      <c r="BF651" s="1"/>
      <c r="BG651" s="1"/>
      <c r="BH651" s="1"/>
      <c r="BI651" s="1"/>
      <c r="BO651" s="1"/>
      <c r="BP651" s="1"/>
      <c r="BQ651" s="1"/>
      <c r="BR651" s="1"/>
      <c r="BS651" s="1"/>
      <c r="BT651" s="1"/>
      <c r="BU651" s="4"/>
    </row>
    <row r="652">
      <c r="AK652" s="1"/>
      <c r="AQ652" s="1"/>
      <c r="AW652" s="1"/>
      <c r="BC652" s="1"/>
      <c r="BD652" s="1"/>
      <c r="BE652" s="1"/>
      <c r="BF652" s="1"/>
      <c r="BG652" s="1"/>
      <c r="BH652" s="1"/>
      <c r="BI652" s="1"/>
      <c r="BO652" s="1"/>
      <c r="BP652" s="1"/>
      <c r="BQ652" s="1"/>
      <c r="BR652" s="1"/>
      <c r="BS652" s="1"/>
      <c r="BT652" s="1"/>
      <c r="BU652" s="4"/>
    </row>
    <row r="653">
      <c r="AK653" s="1"/>
      <c r="AQ653" s="1"/>
      <c r="AW653" s="1"/>
      <c r="BC653" s="1"/>
      <c r="BD653" s="1"/>
      <c r="BE653" s="1"/>
      <c r="BF653" s="1"/>
      <c r="BG653" s="1"/>
      <c r="BH653" s="1"/>
      <c r="BI653" s="1"/>
      <c r="BO653" s="1"/>
      <c r="BP653" s="1"/>
      <c r="BQ653" s="1"/>
      <c r="BR653" s="1"/>
      <c r="BS653" s="1"/>
      <c r="BT653" s="1"/>
      <c r="BU653" s="4"/>
    </row>
    <row r="654">
      <c r="AK654" s="1"/>
      <c r="AQ654" s="1"/>
      <c r="AW654" s="1"/>
      <c r="BC654" s="1"/>
      <c r="BD654" s="1"/>
      <c r="BE654" s="1"/>
      <c r="BF654" s="1"/>
      <c r="BG654" s="1"/>
      <c r="BH654" s="1"/>
      <c r="BI654" s="1"/>
      <c r="BO654" s="1"/>
      <c r="BP654" s="1"/>
      <c r="BQ654" s="1"/>
      <c r="BR654" s="1"/>
      <c r="BS654" s="1"/>
      <c r="BT654" s="1"/>
      <c r="BU654" s="4"/>
    </row>
    <row r="655">
      <c r="AK655" s="1"/>
      <c r="AQ655" s="1"/>
      <c r="AW655" s="1"/>
      <c r="BC655" s="1"/>
      <c r="BD655" s="1"/>
      <c r="BE655" s="1"/>
      <c r="BF655" s="1"/>
      <c r="BG655" s="1"/>
      <c r="BH655" s="1"/>
      <c r="BI655" s="1"/>
      <c r="BO655" s="1"/>
      <c r="BP655" s="1"/>
      <c r="BQ655" s="1"/>
      <c r="BR655" s="1"/>
      <c r="BS655" s="1"/>
      <c r="BT655" s="1"/>
      <c r="BU655" s="4"/>
    </row>
    <row r="656">
      <c r="AK656" s="1"/>
      <c r="AQ656" s="1"/>
      <c r="AW656" s="1"/>
      <c r="BC656" s="1"/>
      <c r="BD656" s="1"/>
      <c r="BE656" s="1"/>
      <c r="BF656" s="1"/>
      <c r="BG656" s="1"/>
      <c r="BH656" s="1"/>
      <c r="BI656" s="1"/>
      <c r="BO656" s="1"/>
      <c r="BP656" s="1"/>
      <c r="BQ656" s="1"/>
      <c r="BR656" s="1"/>
      <c r="BS656" s="1"/>
      <c r="BT656" s="1"/>
      <c r="BU656" s="4"/>
    </row>
    <row r="657">
      <c r="AK657" s="1"/>
      <c r="AQ657" s="1"/>
      <c r="AW657" s="1"/>
      <c r="BC657" s="1"/>
      <c r="BD657" s="1"/>
      <c r="BE657" s="1"/>
      <c r="BF657" s="1"/>
      <c r="BG657" s="1"/>
      <c r="BH657" s="1"/>
      <c r="BI657" s="1"/>
      <c r="BO657" s="1"/>
      <c r="BP657" s="1"/>
      <c r="BQ657" s="1"/>
      <c r="BR657" s="1"/>
      <c r="BS657" s="1"/>
      <c r="BT657" s="1"/>
      <c r="BU657" s="4"/>
    </row>
    <row r="658">
      <c r="AK658" s="1"/>
      <c r="AQ658" s="1"/>
      <c r="AW658" s="1"/>
      <c r="BC658" s="1"/>
      <c r="BD658" s="1"/>
      <c r="BE658" s="1"/>
      <c r="BF658" s="1"/>
      <c r="BG658" s="1"/>
      <c r="BH658" s="1"/>
      <c r="BI658" s="1"/>
      <c r="BO658" s="1"/>
      <c r="BP658" s="1"/>
      <c r="BQ658" s="1"/>
      <c r="BR658" s="1"/>
      <c r="BS658" s="1"/>
      <c r="BT658" s="1"/>
      <c r="BU658" s="4"/>
    </row>
    <row r="659">
      <c r="AK659" s="1"/>
      <c r="AQ659" s="1"/>
      <c r="AW659" s="1"/>
      <c r="BC659" s="1"/>
      <c r="BD659" s="1"/>
      <c r="BE659" s="1"/>
      <c r="BF659" s="1"/>
      <c r="BG659" s="1"/>
      <c r="BH659" s="1"/>
      <c r="BI659" s="1"/>
      <c r="BO659" s="1"/>
      <c r="BP659" s="1"/>
      <c r="BQ659" s="1"/>
      <c r="BR659" s="1"/>
      <c r="BS659" s="1"/>
      <c r="BT659" s="1"/>
      <c r="BU659" s="4"/>
    </row>
    <row r="660">
      <c r="AK660" s="1"/>
      <c r="AQ660" s="1"/>
      <c r="AW660" s="1"/>
      <c r="BC660" s="1"/>
      <c r="BD660" s="1"/>
      <c r="BE660" s="1"/>
      <c r="BF660" s="1"/>
      <c r="BG660" s="1"/>
      <c r="BH660" s="1"/>
      <c r="BI660" s="1"/>
      <c r="BO660" s="1"/>
      <c r="BP660" s="1"/>
      <c r="BQ660" s="1"/>
      <c r="BR660" s="1"/>
      <c r="BS660" s="1"/>
      <c r="BT660" s="1"/>
      <c r="BU660" s="4"/>
    </row>
    <row r="661">
      <c r="AK661" s="1"/>
      <c r="AQ661" s="1"/>
      <c r="AW661" s="1"/>
      <c r="BC661" s="1"/>
      <c r="BD661" s="1"/>
      <c r="BE661" s="1"/>
      <c r="BF661" s="1"/>
      <c r="BG661" s="1"/>
      <c r="BH661" s="1"/>
      <c r="BI661" s="1"/>
      <c r="BO661" s="1"/>
      <c r="BP661" s="1"/>
      <c r="BQ661" s="1"/>
      <c r="BR661" s="1"/>
      <c r="BS661" s="1"/>
      <c r="BT661" s="1"/>
      <c r="BU661" s="4"/>
    </row>
    <row r="662">
      <c r="AK662" s="1"/>
      <c r="AQ662" s="1"/>
      <c r="AW662" s="1"/>
      <c r="BC662" s="1"/>
      <c r="BD662" s="1"/>
      <c r="BE662" s="1"/>
      <c r="BF662" s="1"/>
      <c r="BG662" s="1"/>
      <c r="BH662" s="1"/>
      <c r="BI662" s="1"/>
      <c r="BO662" s="1"/>
      <c r="BP662" s="1"/>
      <c r="BQ662" s="1"/>
      <c r="BR662" s="1"/>
      <c r="BS662" s="1"/>
      <c r="BT662" s="1"/>
      <c r="BU662" s="4"/>
    </row>
    <row r="663">
      <c r="AK663" s="1"/>
      <c r="AQ663" s="1"/>
      <c r="AW663" s="1"/>
      <c r="BC663" s="1"/>
      <c r="BD663" s="1"/>
      <c r="BE663" s="1"/>
      <c r="BF663" s="1"/>
      <c r="BG663" s="1"/>
      <c r="BH663" s="1"/>
      <c r="BI663" s="1"/>
      <c r="BO663" s="1"/>
      <c r="BP663" s="1"/>
      <c r="BQ663" s="1"/>
      <c r="BR663" s="1"/>
      <c r="BS663" s="1"/>
      <c r="BT663" s="1"/>
      <c r="BU663" s="4"/>
    </row>
    <row r="664">
      <c r="AK664" s="1"/>
      <c r="AQ664" s="1"/>
      <c r="AW664" s="1"/>
      <c r="BC664" s="1"/>
      <c r="BD664" s="1"/>
      <c r="BE664" s="1"/>
      <c r="BF664" s="1"/>
      <c r="BG664" s="1"/>
      <c r="BH664" s="1"/>
      <c r="BI664" s="1"/>
      <c r="BO664" s="1"/>
      <c r="BP664" s="1"/>
      <c r="BQ664" s="1"/>
      <c r="BR664" s="1"/>
      <c r="BS664" s="1"/>
      <c r="BT664" s="1"/>
      <c r="BU664" s="4"/>
    </row>
    <row r="665">
      <c r="AK665" s="1"/>
      <c r="AQ665" s="1"/>
      <c r="AW665" s="1"/>
      <c r="BC665" s="1"/>
      <c r="BD665" s="1"/>
      <c r="BE665" s="1"/>
      <c r="BF665" s="1"/>
      <c r="BG665" s="1"/>
      <c r="BH665" s="1"/>
      <c r="BI665" s="1"/>
      <c r="BO665" s="1"/>
      <c r="BP665" s="1"/>
      <c r="BQ665" s="1"/>
      <c r="BR665" s="1"/>
      <c r="BS665" s="1"/>
      <c r="BT665" s="1"/>
      <c r="BU665" s="4"/>
    </row>
    <row r="666">
      <c r="AK666" s="1"/>
      <c r="AQ666" s="1"/>
      <c r="AW666" s="1"/>
      <c r="BC666" s="1"/>
      <c r="BD666" s="1"/>
      <c r="BE666" s="1"/>
      <c r="BF666" s="1"/>
      <c r="BG666" s="1"/>
      <c r="BH666" s="1"/>
      <c r="BI666" s="1"/>
      <c r="BO666" s="1"/>
      <c r="BP666" s="1"/>
      <c r="BQ666" s="1"/>
      <c r="BR666" s="1"/>
      <c r="BS666" s="1"/>
      <c r="BT666" s="1"/>
      <c r="BU666" s="4"/>
    </row>
    <row r="667">
      <c r="AK667" s="1"/>
      <c r="AQ667" s="1"/>
      <c r="AW667" s="1"/>
      <c r="BC667" s="1"/>
      <c r="BD667" s="1"/>
      <c r="BE667" s="1"/>
      <c r="BF667" s="1"/>
      <c r="BG667" s="1"/>
      <c r="BH667" s="1"/>
      <c r="BI667" s="1"/>
      <c r="BO667" s="1"/>
      <c r="BP667" s="1"/>
      <c r="BQ667" s="1"/>
      <c r="BR667" s="1"/>
      <c r="BS667" s="1"/>
      <c r="BT667" s="1"/>
      <c r="BU667" s="4"/>
    </row>
    <row r="668">
      <c r="AK668" s="1"/>
      <c r="AQ668" s="1"/>
      <c r="AW668" s="1"/>
      <c r="BC668" s="1"/>
      <c r="BD668" s="1"/>
      <c r="BE668" s="1"/>
      <c r="BF668" s="1"/>
      <c r="BG668" s="1"/>
      <c r="BH668" s="1"/>
      <c r="BI668" s="1"/>
      <c r="BO668" s="1"/>
      <c r="BP668" s="1"/>
      <c r="BQ668" s="1"/>
      <c r="BR668" s="1"/>
      <c r="BS668" s="1"/>
      <c r="BT668" s="1"/>
      <c r="BU668" s="4"/>
    </row>
    <row r="669">
      <c r="AK669" s="1"/>
      <c r="AQ669" s="1"/>
      <c r="AW669" s="1"/>
      <c r="BC669" s="1"/>
      <c r="BD669" s="1"/>
      <c r="BE669" s="1"/>
      <c r="BF669" s="1"/>
      <c r="BG669" s="1"/>
      <c r="BH669" s="1"/>
      <c r="BI669" s="1"/>
      <c r="BO669" s="1"/>
      <c r="BP669" s="1"/>
      <c r="BQ669" s="1"/>
      <c r="BR669" s="1"/>
      <c r="BS669" s="1"/>
      <c r="BT669" s="1"/>
      <c r="BU669" s="4"/>
    </row>
    <row r="670">
      <c r="AK670" s="1"/>
      <c r="AQ670" s="1"/>
      <c r="AW670" s="1"/>
      <c r="BC670" s="1"/>
      <c r="BD670" s="1"/>
      <c r="BE670" s="1"/>
      <c r="BF670" s="1"/>
      <c r="BG670" s="1"/>
      <c r="BH670" s="1"/>
      <c r="BI670" s="1"/>
      <c r="BO670" s="1"/>
      <c r="BP670" s="1"/>
      <c r="BQ670" s="1"/>
      <c r="BR670" s="1"/>
      <c r="BS670" s="1"/>
      <c r="BT670" s="1"/>
      <c r="BU670" s="4"/>
    </row>
    <row r="671">
      <c r="AK671" s="1"/>
      <c r="AQ671" s="1"/>
      <c r="AW671" s="1"/>
      <c r="BC671" s="1"/>
      <c r="BD671" s="1"/>
      <c r="BE671" s="1"/>
      <c r="BF671" s="1"/>
      <c r="BG671" s="1"/>
      <c r="BH671" s="1"/>
      <c r="BI671" s="1"/>
      <c r="BO671" s="1"/>
      <c r="BP671" s="1"/>
      <c r="BQ671" s="1"/>
      <c r="BR671" s="1"/>
      <c r="BS671" s="1"/>
      <c r="BT671" s="1"/>
      <c r="BU671" s="4"/>
    </row>
    <row r="672">
      <c r="AK672" s="1"/>
      <c r="AQ672" s="1"/>
      <c r="AW672" s="1"/>
      <c r="BC672" s="1"/>
      <c r="BD672" s="1"/>
      <c r="BE672" s="1"/>
      <c r="BF672" s="1"/>
      <c r="BG672" s="1"/>
      <c r="BH672" s="1"/>
      <c r="BI672" s="1"/>
      <c r="BO672" s="1"/>
      <c r="BP672" s="1"/>
      <c r="BQ672" s="1"/>
      <c r="BR672" s="1"/>
      <c r="BS672" s="1"/>
      <c r="BT672" s="1"/>
      <c r="BU672" s="4"/>
    </row>
    <row r="673">
      <c r="AK673" s="1"/>
      <c r="AQ673" s="1"/>
      <c r="AW673" s="1"/>
      <c r="BC673" s="1"/>
      <c r="BD673" s="1"/>
      <c r="BE673" s="1"/>
      <c r="BF673" s="1"/>
      <c r="BG673" s="1"/>
      <c r="BH673" s="1"/>
      <c r="BI673" s="1"/>
      <c r="BO673" s="1"/>
      <c r="BP673" s="1"/>
      <c r="BQ673" s="1"/>
      <c r="BR673" s="1"/>
      <c r="BS673" s="1"/>
      <c r="BT673" s="1"/>
      <c r="BU673" s="4"/>
    </row>
    <row r="674">
      <c r="AK674" s="1"/>
      <c r="AQ674" s="1"/>
      <c r="AW674" s="1"/>
      <c r="BC674" s="1"/>
      <c r="BD674" s="1"/>
      <c r="BE674" s="1"/>
      <c r="BF674" s="1"/>
      <c r="BG674" s="1"/>
      <c r="BH674" s="1"/>
      <c r="BI674" s="1"/>
      <c r="BO674" s="1"/>
      <c r="BP674" s="1"/>
      <c r="BQ674" s="1"/>
      <c r="BR674" s="1"/>
      <c r="BS674" s="1"/>
      <c r="BT674" s="1"/>
      <c r="BU674" s="4"/>
    </row>
    <row r="675">
      <c r="AK675" s="1"/>
      <c r="AQ675" s="1"/>
      <c r="AW675" s="1"/>
      <c r="BC675" s="1"/>
      <c r="BD675" s="1"/>
      <c r="BE675" s="1"/>
      <c r="BF675" s="1"/>
      <c r="BG675" s="1"/>
      <c r="BH675" s="1"/>
      <c r="BI675" s="1"/>
      <c r="BO675" s="1"/>
      <c r="BP675" s="1"/>
      <c r="BQ675" s="1"/>
      <c r="BR675" s="1"/>
      <c r="BS675" s="1"/>
      <c r="BT675" s="1"/>
      <c r="BU675" s="4"/>
    </row>
    <row r="676">
      <c r="AK676" s="1"/>
      <c r="AQ676" s="1"/>
      <c r="AW676" s="1"/>
      <c r="BC676" s="1"/>
      <c r="BD676" s="1"/>
      <c r="BE676" s="1"/>
      <c r="BF676" s="1"/>
      <c r="BG676" s="1"/>
      <c r="BH676" s="1"/>
      <c r="BI676" s="1"/>
      <c r="BO676" s="1"/>
      <c r="BP676" s="1"/>
      <c r="BQ676" s="1"/>
      <c r="BR676" s="1"/>
      <c r="BS676" s="1"/>
      <c r="BT676" s="1"/>
      <c r="BU676" s="4"/>
    </row>
    <row r="677">
      <c r="AK677" s="1"/>
      <c r="AQ677" s="1"/>
      <c r="AW677" s="1"/>
      <c r="BC677" s="1"/>
      <c r="BD677" s="1"/>
      <c r="BE677" s="1"/>
      <c r="BF677" s="1"/>
      <c r="BG677" s="1"/>
      <c r="BH677" s="1"/>
      <c r="BI677" s="1"/>
      <c r="BO677" s="1"/>
      <c r="BP677" s="1"/>
      <c r="BQ677" s="1"/>
      <c r="BR677" s="1"/>
      <c r="BS677" s="1"/>
      <c r="BT677" s="1"/>
      <c r="BU677" s="4"/>
    </row>
    <row r="678">
      <c r="AK678" s="1"/>
      <c r="AQ678" s="1"/>
      <c r="AW678" s="1"/>
      <c r="BC678" s="1"/>
      <c r="BD678" s="1"/>
      <c r="BE678" s="1"/>
      <c r="BF678" s="1"/>
      <c r="BG678" s="1"/>
      <c r="BH678" s="1"/>
      <c r="BI678" s="1"/>
      <c r="BO678" s="1"/>
      <c r="BP678" s="1"/>
      <c r="BQ678" s="1"/>
      <c r="BR678" s="1"/>
      <c r="BS678" s="1"/>
      <c r="BT678" s="1"/>
      <c r="BU678" s="4"/>
    </row>
    <row r="679">
      <c r="AK679" s="1"/>
      <c r="AQ679" s="1"/>
      <c r="AW679" s="1"/>
      <c r="BC679" s="1"/>
      <c r="BD679" s="1"/>
      <c r="BE679" s="1"/>
      <c r="BF679" s="1"/>
      <c r="BG679" s="1"/>
      <c r="BH679" s="1"/>
      <c r="BI679" s="1"/>
      <c r="BO679" s="1"/>
      <c r="BP679" s="1"/>
      <c r="BQ679" s="1"/>
      <c r="BR679" s="1"/>
      <c r="BS679" s="1"/>
      <c r="BT679" s="1"/>
      <c r="BU679" s="4"/>
    </row>
    <row r="680">
      <c r="AK680" s="1"/>
      <c r="AQ680" s="1"/>
      <c r="AW680" s="1"/>
      <c r="BC680" s="1"/>
      <c r="BD680" s="1"/>
      <c r="BE680" s="1"/>
      <c r="BF680" s="1"/>
      <c r="BG680" s="1"/>
      <c r="BH680" s="1"/>
      <c r="BI680" s="1"/>
      <c r="BO680" s="1"/>
      <c r="BP680" s="1"/>
      <c r="BQ680" s="1"/>
      <c r="BR680" s="1"/>
      <c r="BS680" s="1"/>
      <c r="BT680" s="1"/>
      <c r="BU680" s="4"/>
    </row>
    <row r="681">
      <c r="AK681" s="1"/>
      <c r="AQ681" s="1"/>
      <c r="AW681" s="1"/>
      <c r="BC681" s="1"/>
      <c r="BD681" s="1"/>
      <c r="BE681" s="1"/>
      <c r="BF681" s="1"/>
      <c r="BG681" s="1"/>
      <c r="BH681" s="1"/>
      <c r="BI681" s="1"/>
      <c r="BO681" s="1"/>
      <c r="BP681" s="1"/>
      <c r="BQ681" s="1"/>
      <c r="BR681" s="1"/>
      <c r="BS681" s="1"/>
      <c r="BT681" s="1"/>
      <c r="BU681" s="4"/>
    </row>
    <row r="682">
      <c r="AK682" s="1"/>
      <c r="AQ682" s="1"/>
      <c r="AW682" s="1"/>
      <c r="BC682" s="1"/>
      <c r="BD682" s="1"/>
      <c r="BE682" s="1"/>
      <c r="BF682" s="1"/>
      <c r="BG682" s="1"/>
      <c r="BH682" s="1"/>
      <c r="BI682" s="1"/>
      <c r="BO682" s="1"/>
      <c r="BP682" s="1"/>
      <c r="BQ682" s="1"/>
      <c r="BR682" s="1"/>
      <c r="BS682" s="1"/>
      <c r="BT682" s="1"/>
      <c r="BU682" s="4"/>
    </row>
    <row r="683">
      <c r="AK683" s="1"/>
      <c r="AQ683" s="1"/>
      <c r="AW683" s="1"/>
      <c r="BC683" s="1"/>
      <c r="BD683" s="1"/>
      <c r="BE683" s="1"/>
      <c r="BF683" s="1"/>
      <c r="BG683" s="1"/>
      <c r="BH683" s="1"/>
      <c r="BI683" s="1"/>
      <c r="BO683" s="1"/>
      <c r="BP683" s="1"/>
      <c r="BQ683" s="1"/>
      <c r="BR683" s="1"/>
      <c r="BS683" s="1"/>
      <c r="BT683" s="1"/>
      <c r="BU683" s="4"/>
    </row>
    <row r="684">
      <c r="AK684" s="1"/>
      <c r="AQ684" s="1"/>
      <c r="AW684" s="1"/>
      <c r="BC684" s="1"/>
      <c r="BD684" s="1"/>
      <c r="BE684" s="1"/>
      <c r="BF684" s="1"/>
      <c r="BG684" s="1"/>
      <c r="BH684" s="1"/>
      <c r="BI684" s="1"/>
      <c r="BO684" s="1"/>
      <c r="BP684" s="1"/>
      <c r="BQ684" s="1"/>
      <c r="BR684" s="1"/>
      <c r="BS684" s="1"/>
      <c r="BT684" s="1"/>
      <c r="BU684" s="4"/>
    </row>
    <row r="685">
      <c r="AK685" s="1"/>
      <c r="AQ685" s="1"/>
      <c r="AW685" s="1"/>
      <c r="BC685" s="1"/>
      <c r="BD685" s="1"/>
      <c r="BE685" s="1"/>
      <c r="BF685" s="1"/>
      <c r="BG685" s="1"/>
      <c r="BH685" s="1"/>
      <c r="BI685" s="1"/>
      <c r="BO685" s="1"/>
      <c r="BP685" s="1"/>
      <c r="BQ685" s="1"/>
      <c r="BR685" s="1"/>
      <c r="BS685" s="1"/>
      <c r="BT685" s="1"/>
      <c r="BU685" s="4"/>
    </row>
    <row r="686">
      <c r="AK686" s="1"/>
      <c r="AQ686" s="1"/>
      <c r="AW686" s="1"/>
      <c r="BC686" s="1"/>
      <c r="BD686" s="1"/>
      <c r="BE686" s="1"/>
      <c r="BF686" s="1"/>
      <c r="BG686" s="1"/>
      <c r="BH686" s="1"/>
      <c r="BI686" s="1"/>
      <c r="BO686" s="1"/>
      <c r="BP686" s="1"/>
      <c r="BQ686" s="1"/>
      <c r="BR686" s="1"/>
      <c r="BS686" s="1"/>
      <c r="BT686" s="1"/>
      <c r="BU686" s="4"/>
    </row>
    <row r="687">
      <c r="AK687" s="1"/>
      <c r="AQ687" s="1"/>
      <c r="AW687" s="1"/>
      <c r="BC687" s="1"/>
      <c r="BD687" s="1"/>
      <c r="BE687" s="1"/>
      <c r="BF687" s="1"/>
      <c r="BG687" s="1"/>
      <c r="BH687" s="1"/>
      <c r="BI687" s="1"/>
      <c r="BO687" s="1"/>
      <c r="BP687" s="1"/>
      <c r="BQ687" s="1"/>
      <c r="BR687" s="1"/>
      <c r="BS687" s="1"/>
      <c r="BT687" s="1"/>
      <c r="BU687" s="4"/>
    </row>
    <row r="688">
      <c r="AK688" s="1"/>
      <c r="AQ688" s="1"/>
      <c r="AW688" s="1"/>
      <c r="BC688" s="1"/>
      <c r="BD688" s="1"/>
      <c r="BE688" s="1"/>
      <c r="BF688" s="1"/>
      <c r="BG688" s="1"/>
      <c r="BH688" s="1"/>
      <c r="BI688" s="1"/>
      <c r="BO688" s="1"/>
      <c r="BP688" s="1"/>
      <c r="BQ688" s="1"/>
      <c r="BR688" s="1"/>
      <c r="BS688" s="1"/>
      <c r="BT688" s="1"/>
      <c r="BU688" s="4"/>
    </row>
    <row r="689">
      <c r="AK689" s="1"/>
      <c r="AQ689" s="1"/>
      <c r="AW689" s="1"/>
      <c r="BC689" s="1"/>
      <c r="BD689" s="1"/>
      <c r="BE689" s="1"/>
      <c r="BF689" s="1"/>
      <c r="BG689" s="1"/>
      <c r="BH689" s="1"/>
      <c r="BI689" s="1"/>
      <c r="BO689" s="1"/>
      <c r="BP689" s="1"/>
      <c r="BQ689" s="1"/>
      <c r="BR689" s="1"/>
      <c r="BS689" s="1"/>
      <c r="BT689" s="1"/>
      <c r="BU689" s="4"/>
    </row>
    <row r="690">
      <c r="AK690" s="1"/>
      <c r="AQ690" s="1"/>
      <c r="AW690" s="1"/>
      <c r="BC690" s="1"/>
      <c r="BD690" s="1"/>
      <c r="BE690" s="1"/>
      <c r="BF690" s="1"/>
      <c r="BG690" s="1"/>
      <c r="BH690" s="1"/>
      <c r="BI690" s="1"/>
      <c r="BO690" s="1"/>
      <c r="BP690" s="1"/>
      <c r="BQ690" s="1"/>
      <c r="BR690" s="1"/>
      <c r="BS690" s="1"/>
      <c r="BT690" s="1"/>
      <c r="BU690" s="4"/>
    </row>
    <row r="691">
      <c r="AK691" s="1"/>
      <c r="AQ691" s="1"/>
      <c r="AW691" s="1"/>
      <c r="BC691" s="1"/>
      <c r="BD691" s="1"/>
      <c r="BE691" s="1"/>
      <c r="BF691" s="1"/>
      <c r="BG691" s="1"/>
      <c r="BH691" s="1"/>
      <c r="BI691" s="1"/>
      <c r="BO691" s="1"/>
      <c r="BP691" s="1"/>
      <c r="BQ691" s="1"/>
      <c r="BR691" s="1"/>
      <c r="BS691" s="1"/>
      <c r="BT691" s="1"/>
      <c r="BU691" s="4"/>
    </row>
    <row r="692">
      <c r="AK692" s="1"/>
      <c r="AQ692" s="1"/>
      <c r="AW692" s="1"/>
      <c r="BC692" s="1"/>
      <c r="BD692" s="1"/>
      <c r="BE692" s="1"/>
      <c r="BF692" s="1"/>
      <c r="BG692" s="1"/>
      <c r="BH692" s="1"/>
      <c r="BI692" s="1"/>
      <c r="BO692" s="1"/>
      <c r="BP692" s="1"/>
      <c r="BQ692" s="1"/>
      <c r="BR692" s="1"/>
      <c r="BS692" s="1"/>
      <c r="BT692" s="1"/>
      <c r="BU692" s="4"/>
    </row>
    <row r="693">
      <c r="AK693" s="1"/>
      <c r="AQ693" s="1"/>
      <c r="AW693" s="1"/>
      <c r="BC693" s="1"/>
      <c r="BD693" s="1"/>
      <c r="BE693" s="1"/>
      <c r="BF693" s="1"/>
      <c r="BG693" s="1"/>
      <c r="BH693" s="1"/>
      <c r="BI693" s="1"/>
      <c r="BO693" s="1"/>
      <c r="BP693" s="1"/>
      <c r="BQ693" s="1"/>
      <c r="BR693" s="1"/>
      <c r="BS693" s="1"/>
      <c r="BT693" s="1"/>
      <c r="BU693" s="4"/>
    </row>
    <row r="694">
      <c r="AK694" s="1"/>
      <c r="AQ694" s="1"/>
      <c r="AW694" s="1"/>
      <c r="BC694" s="1"/>
      <c r="BD694" s="1"/>
      <c r="BE694" s="1"/>
      <c r="BF694" s="1"/>
      <c r="BG694" s="1"/>
      <c r="BH694" s="1"/>
      <c r="BI694" s="1"/>
      <c r="BO694" s="1"/>
      <c r="BP694" s="1"/>
      <c r="BQ694" s="1"/>
      <c r="BR694" s="1"/>
      <c r="BS694" s="1"/>
      <c r="BT694" s="1"/>
      <c r="BU694" s="4"/>
    </row>
    <row r="695">
      <c r="AK695" s="1"/>
      <c r="AQ695" s="1"/>
      <c r="AW695" s="1"/>
      <c r="BC695" s="1"/>
      <c r="BD695" s="1"/>
      <c r="BE695" s="1"/>
      <c r="BF695" s="1"/>
      <c r="BG695" s="1"/>
      <c r="BH695" s="1"/>
      <c r="BI695" s="1"/>
      <c r="BO695" s="1"/>
      <c r="BP695" s="1"/>
      <c r="BQ695" s="1"/>
      <c r="BR695" s="1"/>
      <c r="BS695" s="1"/>
      <c r="BT695" s="1"/>
      <c r="BU695" s="4"/>
    </row>
    <row r="696">
      <c r="AK696" s="1"/>
      <c r="AQ696" s="1"/>
      <c r="AW696" s="1"/>
      <c r="BC696" s="1"/>
      <c r="BD696" s="1"/>
      <c r="BE696" s="1"/>
      <c r="BF696" s="1"/>
      <c r="BG696" s="1"/>
      <c r="BH696" s="1"/>
      <c r="BI696" s="1"/>
      <c r="BO696" s="1"/>
      <c r="BP696" s="1"/>
      <c r="BQ696" s="1"/>
      <c r="BR696" s="1"/>
      <c r="BS696" s="1"/>
      <c r="BT696" s="1"/>
      <c r="BU696" s="4"/>
    </row>
    <row r="697">
      <c r="AK697" s="1"/>
      <c r="AQ697" s="1"/>
      <c r="AW697" s="1"/>
      <c r="BC697" s="1"/>
      <c r="BD697" s="1"/>
      <c r="BE697" s="1"/>
      <c r="BF697" s="1"/>
      <c r="BG697" s="1"/>
      <c r="BH697" s="1"/>
      <c r="BI697" s="1"/>
      <c r="BO697" s="1"/>
      <c r="BP697" s="1"/>
      <c r="BQ697" s="1"/>
      <c r="BR697" s="1"/>
      <c r="BS697" s="1"/>
      <c r="BT697" s="1"/>
      <c r="BU697" s="4"/>
    </row>
    <row r="698">
      <c r="AK698" s="1"/>
      <c r="AQ698" s="1"/>
      <c r="AW698" s="1"/>
      <c r="BC698" s="1"/>
      <c r="BD698" s="1"/>
      <c r="BE698" s="1"/>
      <c r="BF698" s="1"/>
      <c r="BG698" s="1"/>
      <c r="BH698" s="1"/>
      <c r="BI698" s="1"/>
      <c r="BO698" s="1"/>
      <c r="BP698" s="1"/>
      <c r="BQ698" s="1"/>
      <c r="BR698" s="1"/>
      <c r="BS698" s="1"/>
      <c r="BT698" s="1"/>
      <c r="BU698" s="4"/>
    </row>
    <row r="699">
      <c r="AK699" s="1"/>
      <c r="AQ699" s="1"/>
      <c r="AW699" s="1"/>
      <c r="BC699" s="1"/>
      <c r="BD699" s="1"/>
      <c r="BE699" s="1"/>
      <c r="BF699" s="1"/>
      <c r="BG699" s="1"/>
      <c r="BH699" s="1"/>
      <c r="BI699" s="1"/>
      <c r="BO699" s="1"/>
      <c r="BP699" s="1"/>
      <c r="BQ699" s="1"/>
      <c r="BR699" s="1"/>
      <c r="BS699" s="1"/>
      <c r="BT699" s="1"/>
      <c r="BU699" s="4"/>
    </row>
    <row r="700">
      <c r="AK700" s="1"/>
      <c r="AQ700" s="1"/>
      <c r="AW700" s="1"/>
      <c r="BC700" s="1"/>
      <c r="BD700" s="1"/>
      <c r="BE700" s="1"/>
      <c r="BF700" s="1"/>
      <c r="BG700" s="1"/>
      <c r="BH700" s="1"/>
      <c r="BI700" s="1"/>
      <c r="BO700" s="1"/>
      <c r="BP700" s="1"/>
      <c r="BQ700" s="1"/>
      <c r="BR700" s="1"/>
      <c r="BS700" s="1"/>
      <c r="BT700" s="1"/>
      <c r="BU700" s="4"/>
    </row>
    <row r="701">
      <c r="AK701" s="1"/>
      <c r="AQ701" s="1"/>
      <c r="AW701" s="1"/>
      <c r="BC701" s="1"/>
      <c r="BD701" s="1"/>
      <c r="BE701" s="1"/>
      <c r="BF701" s="1"/>
      <c r="BG701" s="1"/>
      <c r="BH701" s="1"/>
      <c r="BI701" s="1"/>
      <c r="BO701" s="1"/>
      <c r="BP701" s="1"/>
      <c r="BQ701" s="1"/>
      <c r="BR701" s="1"/>
      <c r="BS701" s="1"/>
      <c r="BT701" s="1"/>
      <c r="BU701" s="4"/>
    </row>
    <row r="702">
      <c r="AK702" s="1"/>
      <c r="AQ702" s="1"/>
      <c r="AW702" s="1"/>
      <c r="BC702" s="1"/>
      <c r="BD702" s="1"/>
      <c r="BE702" s="1"/>
      <c r="BF702" s="1"/>
      <c r="BG702" s="1"/>
      <c r="BH702" s="1"/>
      <c r="BI702" s="1"/>
      <c r="BO702" s="1"/>
      <c r="BP702" s="1"/>
      <c r="BQ702" s="1"/>
      <c r="BR702" s="1"/>
      <c r="BS702" s="1"/>
      <c r="BT702" s="1"/>
      <c r="BU702" s="4"/>
    </row>
    <row r="703">
      <c r="AK703" s="1"/>
      <c r="AQ703" s="1"/>
      <c r="AW703" s="1"/>
      <c r="BC703" s="1"/>
      <c r="BD703" s="1"/>
      <c r="BE703" s="1"/>
      <c r="BF703" s="1"/>
      <c r="BG703" s="1"/>
      <c r="BH703" s="1"/>
      <c r="BI703" s="1"/>
      <c r="BO703" s="1"/>
      <c r="BP703" s="1"/>
      <c r="BQ703" s="1"/>
      <c r="BR703" s="1"/>
      <c r="BS703" s="1"/>
      <c r="BT703" s="1"/>
      <c r="BU703" s="4"/>
    </row>
    <row r="704">
      <c r="AK704" s="1"/>
      <c r="AQ704" s="1"/>
      <c r="AW704" s="1"/>
      <c r="BC704" s="1"/>
      <c r="BD704" s="1"/>
      <c r="BE704" s="1"/>
      <c r="BF704" s="1"/>
      <c r="BG704" s="1"/>
      <c r="BH704" s="1"/>
      <c r="BI704" s="1"/>
      <c r="BO704" s="1"/>
      <c r="BP704" s="1"/>
      <c r="BQ704" s="1"/>
      <c r="BR704" s="1"/>
      <c r="BS704" s="1"/>
      <c r="BT704" s="1"/>
      <c r="BU704" s="4"/>
    </row>
    <row r="705">
      <c r="AK705" s="1"/>
      <c r="AQ705" s="1"/>
      <c r="AW705" s="1"/>
      <c r="BC705" s="1"/>
      <c r="BD705" s="1"/>
      <c r="BE705" s="1"/>
      <c r="BF705" s="1"/>
      <c r="BG705" s="1"/>
      <c r="BH705" s="1"/>
      <c r="BI705" s="1"/>
      <c r="BO705" s="1"/>
      <c r="BP705" s="1"/>
      <c r="BQ705" s="1"/>
      <c r="BR705" s="1"/>
      <c r="BS705" s="1"/>
      <c r="BT705" s="1"/>
      <c r="BU705" s="4"/>
    </row>
    <row r="706">
      <c r="AK706" s="1"/>
      <c r="AQ706" s="1"/>
      <c r="AW706" s="1"/>
      <c r="BC706" s="1"/>
      <c r="BD706" s="1"/>
      <c r="BE706" s="1"/>
      <c r="BF706" s="1"/>
      <c r="BG706" s="1"/>
      <c r="BH706" s="1"/>
      <c r="BI706" s="1"/>
      <c r="BO706" s="1"/>
      <c r="BP706" s="1"/>
      <c r="BQ706" s="1"/>
      <c r="BR706" s="1"/>
      <c r="BS706" s="1"/>
      <c r="BT706" s="1"/>
      <c r="BU706" s="4"/>
    </row>
    <row r="707">
      <c r="AK707" s="1"/>
      <c r="AQ707" s="1"/>
      <c r="AW707" s="1"/>
      <c r="BC707" s="1"/>
      <c r="BD707" s="1"/>
      <c r="BE707" s="1"/>
      <c r="BF707" s="1"/>
      <c r="BG707" s="1"/>
      <c r="BH707" s="1"/>
      <c r="BI707" s="1"/>
      <c r="BO707" s="1"/>
      <c r="BP707" s="1"/>
      <c r="BQ707" s="1"/>
      <c r="BR707" s="1"/>
      <c r="BS707" s="1"/>
      <c r="BT707" s="1"/>
      <c r="BU707" s="4"/>
    </row>
    <row r="708">
      <c r="AK708" s="1"/>
      <c r="AQ708" s="1"/>
      <c r="AW708" s="1"/>
      <c r="BC708" s="1"/>
      <c r="BD708" s="1"/>
      <c r="BE708" s="1"/>
      <c r="BF708" s="1"/>
      <c r="BG708" s="1"/>
      <c r="BH708" s="1"/>
      <c r="BI708" s="1"/>
      <c r="BO708" s="1"/>
      <c r="BP708" s="1"/>
      <c r="BQ708" s="1"/>
      <c r="BR708" s="1"/>
      <c r="BS708" s="1"/>
      <c r="BT708" s="1"/>
      <c r="BU708" s="4"/>
    </row>
    <row r="709">
      <c r="AK709" s="1"/>
      <c r="AQ709" s="1"/>
      <c r="AW709" s="1"/>
      <c r="BC709" s="1"/>
      <c r="BD709" s="1"/>
      <c r="BE709" s="1"/>
      <c r="BF709" s="1"/>
      <c r="BG709" s="1"/>
      <c r="BH709" s="1"/>
      <c r="BI709" s="1"/>
      <c r="BO709" s="1"/>
      <c r="BP709" s="1"/>
      <c r="BQ709" s="1"/>
      <c r="BR709" s="1"/>
      <c r="BS709" s="1"/>
      <c r="BT709" s="1"/>
      <c r="BU709" s="4"/>
    </row>
    <row r="710">
      <c r="AK710" s="1"/>
      <c r="AQ710" s="1"/>
      <c r="AW710" s="1"/>
      <c r="BC710" s="1"/>
      <c r="BD710" s="1"/>
      <c r="BE710" s="1"/>
      <c r="BF710" s="1"/>
      <c r="BG710" s="1"/>
      <c r="BH710" s="1"/>
      <c r="BI710" s="1"/>
      <c r="BO710" s="1"/>
      <c r="BP710" s="1"/>
      <c r="BQ710" s="1"/>
      <c r="BR710" s="1"/>
      <c r="BS710" s="1"/>
      <c r="BT710" s="1"/>
      <c r="BU710" s="4"/>
    </row>
    <row r="711">
      <c r="AK711" s="1"/>
      <c r="AQ711" s="1"/>
      <c r="AW711" s="1"/>
      <c r="BC711" s="1"/>
      <c r="BD711" s="1"/>
      <c r="BE711" s="1"/>
      <c r="BF711" s="1"/>
      <c r="BG711" s="1"/>
      <c r="BH711" s="1"/>
      <c r="BI711" s="1"/>
      <c r="BO711" s="1"/>
      <c r="BP711" s="1"/>
      <c r="BQ711" s="1"/>
      <c r="BR711" s="1"/>
      <c r="BS711" s="1"/>
      <c r="BT711" s="1"/>
      <c r="BU711" s="4"/>
    </row>
    <row r="712">
      <c r="AK712" s="1"/>
      <c r="AQ712" s="1"/>
      <c r="AW712" s="1"/>
      <c r="BC712" s="1"/>
      <c r="BD712" s="1"/>
      <c r="BE712" s="1"/>
      <c r="BF712" s="1"/>
      <c r="BG712" s="1"/>
      <c r="BH712" s="1"/>
      <c r="BI712" s="1"/>
      <c r="BO712" s="1"/>
      <c r="BP712" s="1"/>
      <c r="BQ712" s="1"/>
      <c r="BR712" s="1"/>
      <c r="BS712" s="1"/>
      <c r="BT712" s="1"/>
      <c r="BU712" s="4"/>
    </row>
    <row r="713">
      <c r="AK713" s="1"/>
      <c r="AQ713" s="1"/>
      <c r="AW713" s="1"/>
      <c r="BC713" s="1"/>
      <c r="BD713" s="1"/>
      <c r="BE713" s="1"/>
      <c r="BF713" s="1"/>
      <c r="BG713" s="1"/>
      <c r="BH713" s="1"/>
      <c r="BI713" s="1"/>
      <c r="BO713" s="1"/>
      <c r="BP713" s="1"/>
      <c r="BQ713" s="1"/>
      <c r="BR713" s="1"/>
      <c r="BS713" s="1"/>
      <c r="BT713" s="1"/>
      <c r="BU713" s="4"/>
    </row>
    <row r="714">
      <c r="AK714" s="1"/>
      <c r="AQ714" s="1"/>
      <c r="AW714" s="1"/>
      <c r="BC714" s="1"/>
      <c r="BD714" s="1"/>
      <c r="BE714" s="1"/>
      <c r="BF714" s="1"/>
      <c r="BG714" s="1"/>
      <c r="BH714" s="1"/>
      <c r="BI714" s="1"/>
      <c r="BO714" s="1"/>
      <c r="BP714" s="1"/>
      <c r="BQ714" s="1"/>
      <c r="BR714" s="1"/>
      <c r="BS714" s="1"/>
      <c r="BT714" s="1"/>
      <c r="BU714" s="4"/>
    </row>
    <row r="715">
      <c r="AK715" s="1"/>
      <c r="AQ715" s="1"/>
      <c r="AW715" s="1"/>
      <c r="BC715" s="1"/>
      <c r="BD715" s="1"/>
      <c r="BE715" s="1"/>
      <c r="BF715" s="1"/>
      <c r="BG715" s="1"/>
      <c r="BH715" s="1"/>
      <c r="BI715" s="1"/>
      <c r="BO715" s="1"/>
      <c r="BP715" s="1"/>
      <c r="BQ715" s="1"/>
      <c r="BR715" s="1"/>
      <c r="BS715" s="1"/>
      <c r="BT715" s="1"/>
      <c r="BU715" s="4"/>
    </row>
    <row r="716">
      <c r="AK716" s="1"/>
      <c r="AQ716" s="1"/>
      <c r="AW716" s="1"/>
      <c r="BC716" s="1"/>
      <c r="BD716" s="1"/>
      <c r="BE716" s="1"/>
      <c r="BF716" s="1"/>
      <c r="BG716" s="1"/>
      <c r="BH716" s="1"/>
      <c r="BI716" s="1"/>
      <c r="BO716" s="1"/>
      <c r="BP716" s="1"/>
      <c r="BQ716" s="1"/>
      <c r="BR716" s="1"/>
      <c r="BS716" s="1"/>
      <c r="BT716" s="1"/>
      <c r="BU716" s="4"/>
    </row>
    <row r="717">
      <c r="AK717" s="1"/>
      <c r="AQ717" s="1"/>
      <c r="AW717" s="1"/>
      <c r="BC717" s="1"/>
      <c r="BD717" s="1"/>
      <c r="BE717" s="1"/>
      <c r="BF717" s="1"/>
      <c r="BG717" s="1"/>
      <c r="BH717" s="1"/>
      <c r="BI717" s="1"/>
      <c r="BO717" s="1"/>
      <c r="BP717" s="1"/>
      <c r="BQ717" s="1"/>
      <c r="BR717" s="1"/>
      <c r="BS717" s="1"/>
      <c r="BT717" s="1"/>
      <c r="BU717" s="4"/>
    </row>
    <row r="718">
      <c r="AK718" s="1"/>
      <c r="AQ718" s="1"/>
      <c r="AW718" s="1"/>
      <c r="BC718" s="1"/>
      <c r="BD718" s="1"/>
      <c r="BE718" s="1"/>
      <c r="BF718" s="1"/>
      <c r="BG718" s="1"/>
      <c r="BH718" s="1"/>
      <c r="BI718" s="1"/>
      <c r="BO718" s="1"/>
      <c r="BP718" s="1"/>
      <c r="BQ718" s="1"/>
      <c r="BR718" s="1"/>
      <c r="BS718" s="1"/>
      <c r="BT718" s="1"/>
      <c r="BU718" s="4"/>
    </row>
    <row r="719">
      <c r="AK719" s="1"/>
      <c r="AQ719" s="1"/>
      <c r="AW719" s="1"/>
      <c r="BC719" s="1"/>
      <c r="BD719" s="1"/>
      <c r="BE719" s="1"/>
      <c r="BF719" s="1"/>
      <c r="BG719" s="1"/>
      <c r="BH719" s="1"/>
      <c r="BI719" s="1"/>
      <c r="BO719" s="1"/>
      <c r="BP719" s="1"/>
      <c r="BQ719" s="1"/>
      <c r="BR719" s="1"/>
      <c r="BS719" s="1"/>
      <c r="BT719" s="1"/>
      <c r="BU719" s="4"/>
    </row>
    <row r="720">
      <c r="AK720" s="1"/>
      <c r="AQ720" s="1"/>
      <c r="AW720" s="1"/>
      <c r="BC720" s="1"/>
      <c r="BD720" s="1"/>
      <c r="BE720" s="1"/>
      <c r="BF720" s="1"/>
      <c r="BG720" s="1"/>
      <c r="BH720" s="1"/>
      <c r="BI720" s="1"/>
      <c r="BO720" s="1"/>
      <c r="BP720" s="1"/>
      <c r="BQ720" s="1"/>
      <c r="BR720" s="1"/>
      <c r="BS720" s="1"/>
      <c r="BT720" s="1"/>
      <c r="BU720" s="4"/>
    </row>
    <row r="721">
      <c r="AK721" s="1"/>
      <c r="AQ721" s="1"/>
      <c r="AW721" s="1"/>
      <c r="BC721" s="1"/>
      <c r="BD721" s="1"/>
      <c r="BE721" s="1"/>
      <c r="BF721" s="1"/>
      <c r="BG721" s="1"/>
      <c r="BH721" s="1"/>
      <c r="BI721" s="1"/>
      <c r="BO721" s="1"/>
      <c r="BP721" s="1"/>
      <c r="BQ721" s="1"/>
      <c r="BR721" s="1"/>
      <c r="BS721" s="1"/>
      <c r="BT721" s="1"/>
      <c r="BU721" s="4"/>
    </row>
    <row r="722">
      <c r="AK722" s="1"/>
      <c r="AQ722" s="1"/>
      <c r="AW722" s="1"/>
      <c r="BC722" s="1"/>
      <c r="BD722" s="1"/>
      <c r="BE722" s="1"/>
      <c r="BF722" s="1"/>
      <c r="BG722" s="1"/>
      <c r="BH722" s="1"/>
      <c r="BI722" s="1"/>
      <c r="BO722" s="1"/>
      <c r="BP722" s="1"/>
      <c r="BQ722" s="1"/>
      <c r="BR722" s="1"/>
      <c r="BS722" s="1"/>
      <c r="BT722" s="1"/>
      <c r="BU722" s="4"/>
    </row>
    <row r="723">
      <c r="AK723" s="1"/>
      <c r="AQ723" s="1"/>
      <c r="AW723" s="1"/>
      <c r="BC723" s="1"/>
      <c r="BD723" s="1"/>
      <c r="BE723" s="1"/>
      <c r="BF723" s="1"/>
      <c r="BG723" s="1"/>
      <c r="BH723" s="1"/>
      <c r="BI723" s="1"/>
      <c r="BO723" s="1"/>
      <c r="BP723" s="1"/>
      <c r="BQ723" s="1"/>
      <c r="BR723" s="1"/>
      <c r="BS723" s="1"/>
      <c r="BT723" s="1"/>
      <c r="BU723" s="4"/>
    </row>
    <row r="724">
      <c r="AK724" s="1"/>
      <c r="AQ724" s="1"/>
      <c r="AW724" s="1"/>
      <c r="BC724" s="1"/>
      <c r="BD724" s="1"/>
      <c r="BE724" s="1"/>
      <c r="BF724" s="1"/>
      <c r="BG724" s="1"/>
      <c r="BH724" s="1"/>
      <c r="BI724" s="1"/>
      <c r="BO724" s="1"/>
      <c r="BP724" s="1"/>
      <c r="BQ724" s="1"/>
      <c r="BR724" s="1"/>
      <c r="BS724" s="1"/>
      <c r="BT724" s="1"/>
      <c r="BU724" s="4"/>
    </row>
    <row r="725">
      <c r="AK725" s="1"/>
      <c r="AQ725" s="1"/>
      <c r="AW725" s="1"/>
      <c r="BC725" s="1"/>
      <c r="BD725" s="1"/>
      <c r="BE725" s="1"/>
      <c r="BF725" s="1"/>
      <c r="BG725" s="1"/>
      <c r="BH725" s="1"/>
      <c r="BI725" s="1"/>
      <c r="BO725" s="1"/>
      <c r="BP725" s="1"/>
      <c r="BQ725" s="1"/>
      <c r="BR725" s="1"/>
      <c r="BS725" s="1"/>
      <c r="BT725" s="1"/>
      <c r="BU725" s="4"/>
    </row>
    <row r="726">
      <c r="AK726" s="1"/>
      <c r="AQ726" s="1"/>
      <c r="AW726" s="1"/>
      <c r="BC726" s="1"/>
      <c r="BD726" s="1"/>
      <c r="BE726" s="1"/>
      <c r="BF726" s="1"/>
      <c r="BG726" s="1"/>
      <c r="BH726" s="1"/>
      <c r="BI726" s="1"/>
      <c r="BO726" s="1"/>
      <c r="BP726" s="1"/>
      <c r="BQ726" s="1"/>
      <c r="BR726" s="1"/>
      <c r="BS726" s="1"/>
      <c r="BT726" s="1"/>
      <c r="BU726" s="4"/>
    </row>
    <row r="727">
      <c r="AK727" s="1"/>
      <c r="AQ727" s="1"/>
      <c r="AW727" s="1"/>
      <c r="BC727" s="1"/>
      <c r="BD727" s="1"/>
      <c r="BE727" s="1"/>
      <c r="BF727" s="1"/>
      <c r="BG727" s="1"/>
      <c r="BH727" s="1"/>
      <c r="BI727" s="1"/>
      <c r="BO727" s="1"/>
      <c r="BP727" s="1"/>
      <c r="BQ727" s="1"/>
      <c r="BR727" s="1"/>
      <c r="BS727" s="1"/>
      <c r="BT727" s="1"/>
      <c r="BU727" s="4"/>
    </row>
    <row r="728">
      <c r="AK728" s="1"/>
      <c r="AQ728" s="1"/>
      <c r="AW728" s="1"/>
      <c r="BC728" s="1"/>
      <c r="BD728" s="1"/>
      <c r="BE728" s="1"/>
      <c r="BF728" s="1"/>
      <c r="BG728" s="1"/>
      <c r="BH728" s="1"/>
      <c r="BI728" s="1"/>
      <c r="BO728" s="1"/>
      <c r="BP728" s="1"/>
      <c r="BQ728" s="1"/>
      <c r="BR728" s="1"/>
      <c r="BS728" s="1"/>
      <c r="BT728" s="1"/>
      <c r="BU728" s="4"/>
    </row>
    <row r="729">
      <c r="AK729" s="1"/>
      <c r="AQ729" s="1"/>
      <c r="AW729" s="1"/>
      <c r="BC729" s="1"/>
      <c r="BD729" s="1"/>
      <c r="BE729" s="1"/>
      <c r="BF729" s="1"/>
      <c r="BG729" s="1"/>
      <c r="BH729" s="1"/>
      <c r="BI729" s="1"/>
      <c r="BO729" s="1"/>
      <c r="BP729" s="1"/>
      <c r="BQ729" s="1"/>
      <c r="BR729" s="1"/>
      <c r="BS729" s="1"/>
      <c r="BT729" s="1"/>
      <c r="BU729" s="4"/>
    </row>
    <row r="730">
      <c r="AK730" s="1"/>
      <c r="AQ730" s="1"/>
      <c r="AW730" s="1"/>
      <c r="BC730" s="1"/>
      <c r="BD730" s="1"/>
      <c r="BE730" s="1"/>
      <c r="BF730" s="1"/>
      <c r="BG730" s="1"/>
      <c r="BH730" s="1"/>
      <c r="BI730" s="1"/>
      <c r="BO730" s="1"/>
      <c r="BP730" s="1"/>
      <c r="BQ730" s="1"/>
      <c r="BR730" s="1"/>
      <c r="BS730" s="1"/>
      <c r="BT730" s="1"/>
      <c r="BU730" s="4"/>
    </row>
    <row r="731">
      <c r="AK731" s="1"/>
      <c r="AQ731" s="1"/>
      <c r="AW731" s="1"/>
      <c r="BC731" s="1"/>
      <c r="BD731" s="1"/>
      <c r="BE731" s="1"/>
      <c r="BF731" s="1"/>
      <c r="BG731" s="1"/>
      <c r="BH731" s="1"/>
      <c r="BI731" s="1"/>
      <c r="BO731" s="1"/>
      <c r="BP731" s="1"/>
      <c r="BQ731" s="1"/>
      <c r="BR731" s="1"/>
      <c r="BS731" s="1"/>
      <c r="BT731" s="1"/>
      <c r="BU731" s="4"/>
    </row>
    <row r="732">
      <c r="AK732" s="1"/>
      <c r="AQ732" s="1"/>
      <c r="AW732" s="1"/>
      <c r="BC732" s="1"/>
      <c r="BD732" s="1"/>
      <c r="BE732" s="1"/>
      <c r="BF732" s="1"/>
      <c r="BG732" s="1"/>
      <c r="BH732" s="1"/>
      <c r="BI732" s="1"/>
      <c r="BO732" s="1"/>
      <c r="BP732" s="1"/>
      <c r="BQ732" s="1"/>
      <c r="BR732" s="1"/>
      <c r="BS732" s="1"/>
      <c r="BT732" s="1"/>
      <c r="BU732" s="4"/>
    </row>
    <row r="733">
      <c r="AK733" s="1"/>
      <c r="AQ733" s="1"/>
      <c r="AW733" s="1"/>
      <c r="BC733" s="1"/>
      <c r="BD733" s="1"/>
      <c r="BE733" s="1"/>
      <c r="BF733" s="1"/>
      <c r="BG733" s="1"/>
      <c r="BH733" s="1"/>
      <c r="BI733" s="1"/>
      <c r="BO733" s="1"/>
      <c r="BP733" s="1"/>
      <c r="BQ733" s="1"/>
      <c r="BR733" s="1"/>
      <c r="BS733" s="1"/>
      <c r="BT733" s="1"/>
      <c r="BU733" s="4"/>
    </row>
    <row r="734">
      <c r="AK734" s="1"/>
      <c r="AQ734" s="1"/>
      <c r="AW734" s="1"/>
      <c r="BC734" s="1"/>
      <c r="BD734" s="1"/>
      <c r="BE734" s="1"/>
      <c r="BF734" s="1"/>
      <c r="BG734" s="1"/>
      <c r="BH734" s="1"/>
      <c r="BI734" s="1"/>
      <c r="BO734" s="1"/>
      <c r="BP734" s="1"/>
      <c r="BQ734" s="1"/>
      <c r="BR734" s="1"/>
      <c r="BS734" s="1"/>
      <c r="BT734" s="1"/>
      <c r="BU734" s="4"/>
    </row>
    <row r="735">
      <c r="AK735" s="1"/>
      <c r="AQ735" s="1"/>
      <c r="AW735" s="1"/>
      <c r="BC735" s="1"/>
      <c r="BD735" s="1"/>
      <c r="BE735" s="1"/>
      <c r="BF735" s="1"/>
      <c r="BG735" s="1"/>
      <c r="BH735" s="1"/>
      <c r="BI735" s="1"/>
      <c r="BO735" s="1"/>
      <c r="BP735" s="1"/>
      <c r="BQ735" s="1"/>
      <c r="BR735" s="1"/>
      <c r="BS735" s="1"/>
      <c r="BT735" s="1"/>
      <c r="BU735" s="4"/>
    </row>
    <row r="736">
      <c r="AK736" s="1"/>
      <c r="AQ736" s="1"/>
      <c r="AW736" s="1"/>
      <c r="BC736" s="1"/>
      <c r="BD736" s="1"/>
      <c r="BE736" s="1"/>
      <c r="BF736" s="1"/>
      <c r="BG736" s="1"/>
      <c r="BH736" s="1"/>
      <c r="BI736" s="1"/>
      <c r="BO736" s="1"/>
      <c r="BP736" s="1"/>
      <c r="BQ736" s="1"/>
      <c r="BR736" s="1"/>
      <c r="BS736" s="1"/>
      <c r="BT736" s="1"/>
      <c r="BU736" s="4"/>
    </row>
    <row r="737">
      <c r="AK737" s="1"/>
      <c r="AQ737" s="1"/>
      <c r="AW737" s="1"/>
      <c r="BC737" s="1"/>
      <c r="BD737" s="1"/>
      <c r="BE737" s="1"/>
      <c r="BF737" s="1"/>
      <c r="BG737" s="1"/>
      <c r="BH737" s="1"/>
      <c r="BI737" s="1"/>
      <c r="BO737" s="1"/>
      <c r="BP737" s="1"/>
      <c r="BQ737" s="1"/>
      <c r="BR737" s="1"/>
      <c r="BS737" s="1"/>
      <c r="BT737" s="1"/>
      <c r="BU737" s="4"/>
    </row>
    <row r="738">
      <c r="AK738" s="1"/>
      <c r="AQ738" s="1"/>
      <c r="AW738" s="1"/>
      <c r="BC738" s="1"/>
      <c r="BD738" s="1"/>
      <c r="BE738" s="1"/>
      <c r="BF738" s="1"/>
      <c r="BG738" s="1"/>
      <c r="BH738" s="1"/>
      <c r="BI738" s="1"/>
      <c r="BO738" s="1"/>
      <c r="BP738" s="1"/>
      <c r="BQ738" s="1"/>
      <c r="BR738" s="1"/>
      <c r="BS738" s="1"/>
      <c r="BT738" s="1"/>
      <c r="BU738" s="4"/>
    </row>
    <row r="739">
      <c r="AK739" s="1"/>
      <c r="AQ739" s="1"/>
      <c r="AW739" s="1"/>
      <c r="BC739" s="1"/>
      <c r="BD739" s="1"/>
      <c r="BE739" s="1"/>
      <c r="BF739" s="1"/>
      <c r="BG739" s="1"/>
      <c r="BH739" s="1"/>
      <c r="BI739" s="1"/>
      <c r="BO739" s="1"/>
      <c r="BP739" s="1"/>
      <c r="BQ739" s="1"/>
      <c r="BR739" s="1"/>
      <c r="BS739" s="1"/>
      <c r="BT739" s="1"/>
      <c r="BU739" s="4"/>
    </row>
    <row r="740">
      <c r="AK740" s="1"/>
      <c r="AQ740" s="1"/>
      <c r="AW740" s="1"/>
      <c r="BC740" s="1"/>
      <c r="BD740" s="1"/>
      <c r="BE740" s="1"/>
      <c r="BF740" s="1"/>
      <c r="BG740" s="1"/>
      <c r="BH740" s="1"/>
      <c r="BI740" s="1"/>
      <c r="BO740" s="1"/>
      <c r="BP740" s="1"/>
      <c r="BQ740" s="1"/>
      <c r="BR740" s="1"/>
      <c r="BS740" s="1"/>
      <c r="BT740" s="1"/>
      <c r="BU740" s="4"/>
    </row>
    <row r="741">
      <c r="AK741" s="1"/>
      <c r="AQ741" s="1"/>
      <c r="AW741" s="1"/>
      <c r="BC741" s="1"/>
      <c r="BD741" s="1"/>
      <c r="BE741" s="1"/>
      <c r="BF741" s="1"/>
      <c r="BG741" s="1"/>
      <c r="BH741" s="1"/>
      <c r="BI741" s="1"/>
      <c r="BO741" s="1"/>
      <c r="BP741" s="1"/>
      <c r="BQ741" s="1"/>
      <c r="BR741" s="1"/>
      <c r="BS741" s="1"/>
      <c r="BT741" s="1"/>
      <c r="BU741" s="4"/>
    </row>
    <row r="742">
      <c r="AK742" s="1"/>
      <c r="AQ742" s="1"/>
      <c r="AW742" s="1"/>
      <c r="BC742" s="1"/>
      <c r="BD742" s="1"/>
      <c r="BE742" s="1"/>
      <c r="BF742" s="1"/>
      <c r="BG742" s="1"/>
      <c r="BH742" s="1"/>
      <c r="BI742" s="1"/>
      <c r="BO742" s="1"/>
      <c r="BP742" s="1"/>
      <c r="BQ742" s="1"/>
      <c r="BR742" s="1"/>
      <c r="BS742" s="1"/>
      <c r="BT742" s="1"/>
      <c r="BU742" s="4"/>
    </row>
    <row r="743">
      <c r="AK743" s="1"/>
      <c r="AQ743" s="1"/>
      <c r="AW743" s="1"/>
      <c r="BC743" s="1"/>
      <c r="BD743" s="1"/>
      <c r="BE743" s="1"/>
      <c r="BF743" s="1"/>
      <c r="BG743" s="1"/>
      <c r="BH743" s="1"/>
      <c r="BI743" s="1"/>
      <c r="BO743" s="1"/>
      <c r="BP743" s="1"/>
      <c r="BQ743" s="1"/>
      <c r="BR743" s="1"/>
      <c r="BS743" s="1"/>
      <c r="BT743" s="1"/>
      <c r="BU743" s="4"/>
    </row>
    <row r="744">
      <c r="AK744" s="1"/>
      <c r="AQ744" s="1"/>
      <c r="AW744" s="1"/>
      <c r="BC744" s="1"/>
      <c r="BD744" s="1"/>
      <c r="BE744" s="1"/>
      <c r="BF744" s="1"/>
      <c r="BG744" s="1"/>
      <c r="BH744" s="1"/>
      <c r="BI744" s="1"/>
      <c r="BO744" s="1"/>
      <c r="BP744" s="1"/>
      <c r="BQ744" s="1"/>
      <c r="BR744" s="1"/>
      <c r="BS744" s="1"/>
      <c r="BT744" s="1"/>
      <c r="BU744" s="4"/>
    </row>
    <row r="745">
      <c r="AK745" s="1"/>
      <c r="AQ745" s="1"/>
      <c r="AW745" s="1"/>
      <c r="BC745" s="1"/>
      <c r="BD745" s="1"/>
      <c r="BE745" s="1"/>
      <c r="BF745" s="1"/>
      <c r="BG745" s="1"/>
      <c r="BH745" s="1"/>
      <c r="BI745" s="1"/>
      <c r="BO745" s="1"/>
      <c r="BP745" s="1"/>
      <c r="BQ745" s="1"/>
      <c r="BR745" s="1"/>
      <c r="BS745" s="1"/>
      <c r="BT745" s="1"/>
      <c r="BU745" s="4"/>
    </row>
    <row r="746">
      <c r="AK746" s="1"/>
      <c r="AQ746" s="1"/>
      <c r="AW746" s="1"/>
      <c r="BC746" s="1"/>
      <c r="BD746" s="1"/>
      <c r="BE746" s="1"/>
      <c r="BF746" s="1"/>
      <c r="BG746" s="1"/>
      <c r="BH746" s="1"/>
      <c r="BI746" s="1"/>
      <c r="BO746" s="1"/>
      <c r="BP746" s="1"/>
      <c r="BQ746" s="1"/>
      <c r="BR746" s="1"/>
      <c r="BS746" s="1"/>
      <c r="BT746" s="1"/>
      <c r="BU746" s="4"/>
    </row>
    <row r="747">
      <c r="AK747" s="1"/>
      <c r="AQ747" s="1"/>
      <c r="AW747" s="1"/>
      <c r="BC747" s="1"/>
      <c r="BD747" s="1"/>
      <c r="BE747" s="1"/>
      <c r="BF747" s="1"/>
      <c r="BG747" s="1"/>
      <c r="BH747" s="1"/>
      <c r="BI747" s="1"/>
      <c r="BO747" s="1"/>
      <c r="BP747" s="1"/>
      <c r="BQ747" s="1"/>
      <c r="BR747" s="1"/>
      <c r="BS747" s="1"/>
      <c r="BT747" s="1"/>
      <c r="BU747" s="4"/>
    </row>
    <row r="748">
      <c r="AK748" s="1"/>
      <c r="AQ748" s="1"/>
      <c r="AW748" s="1"/>
      <c r="BC748" s="1"/>
      <c r="BD748" s="1"/>
      <c r="BE748" s="1"/>
      <c r="BF748" s="1"/>
      <c r="BG748" s="1"/>
      <c r="BH748" s="1"/>
      <c r="BI748" s="1"/>
      <c r="BO748" s="1"/>
      <c r="BP748" s="1"/>
      <c r="BQ748" s="1"/>
      <c r="BR748" s="1"/>
      <c r="BS748" s="1"/>
      <c r="BT748" s="1"/>
      <c r="BU748" s="4"/>
    </row>
    <row r="749">
      <c r="AK749" s="1"/>
      <c r="AQ749" s="1"/>
      <c r="AW749" s="1"/>
      <c r="BC749" s="1"/>
      <c r="BD749" s="1"/>
      <c r="BE749" s="1"/>
      <c r="BF749" s="1"/>
      <c r="BG749" s="1"/>
      <c r="BH749" s="1"/>
      <c r="BI749" s="1"/>
      <c r="BO749" s="1"/>
      <c r="BP749" s="1"/>
      <c r="BQ749" s="1"/>
      <c r="BR749" s="1"/>
      <c r="BS749" s="1"/>
      <c r="BT749" s="1"/>
      <c r="BU749" s="4"/>
    </row>
    <row r="750">
      <c r="AK750" s="1"/>
      <c r="AQ750" s="1"/>
      <c r="AW750" s="1"/>
      <c r="BC750" s="1"/>
      <c r="BD750" s="1"/>
      <c r="BE750" s="1"/>
      <c r="BF750" s="1"/>
      <c r="BG750" s="1"/>
      <c r="BH750" s="1"/>
      <c r="BI750" s="1"/>
      <c r="BO750" s="1"/>
      <c r="BP750" s="1"/>
      <c r="BQ750" s="1"/>
      <c r="BR750" s="1"/>
      <c r="BS750" s="1"/>
      <c r="BT750" s="1"/>
      <c r="BU750" s="4"/>
    </row>
    <row r="751">
      <c r="AK751" s="1"/>
      <c r="AQ751" s="1"/>
      <c r="AW751" s="1"/>
      <c r="BC751" s="1"/>
      <c r="BD751" s="1"/>
      <c r="BE751" s="1"/>
      <c r="BF751" s="1"/>
      <c r="BG751" s="1"/>
      <c r="BH751" s="1"/>
      <c r="BI751" s="1"/>
      <c r="BO751" s="1"/>
      <c r="BP751" s="1"/>
      <c r="BQ751" s="1"/>
      <c r="BR751" s="1"/>
      <c r="BS751" s="1"/>
      <c r="BT751" s="1"/>
      <c r="BU751" s="4"/>
    </row>
    <row r="752">
      <c r="AK752" s="1"/>
      <c r="AQ752" s="1"/>
      <c r="AW752" s="1"/>
      <c r="BC752" s="1"/>
      <c r="BD752" s="1"/>
      <c r="BE752" s="1"/>
      <c r="BF752" s="1"/>
      <c r="BG752" s="1"/>
      <c r="BH752" s="1"/>
      <c r="BI752" s="1"/>
      <c r="BO752" s="1"/>
      <c r="BP752" s="1"/>
      <c r="BQ752" s="1"/>
      <c r="BR752" s="1"/>
      <c r="BS752" s="1"/>
      <c r="BT752" s="1"/>
      <c r="BU752" s="4"/>
    </row>
    <row r="753">
      <c r="AK753" s="1"/>
      <c r="AQ753" s="1"/>
      <c r="AW753" s="1"/>
      <c r="BC753" s="1"/>
      <c r="BD753" s="1"/>
      <c r="BE753" s="1"/>
      <c r="BF753" s="1"/>
      <c r="BG753" s="1"/>
      <c r="BH753" s="1"/>
      <c r="BI753" s="1"/>
      <c r="BO753" s="1"/>
      <c r="BP753" s="1"/>
      <c r="BQ753" s="1"/>
      <c r="BR753" s="1"/>
      <c r="BS753" s="1"/>
      <c r="BT753" s="1"/>
      <c r="BU753" s="4"/>
    </row>
    <row r="754">
      <c r="AK754" s="1"/>
      <c r="AQ754" s="1"/>
      <c r="AW754" s="1"/>
      <c r="BC754" s="1"/>
      <c r="BD754" s="1"/>
      <c r="BE754" s="1"/>
      <c r="BF754" s="1"/>
      <c r="BG754" s="1"/>
      <c r="BH754" s="1"/>
      <c r="BI754" s="1"/>
      <c r="BO754" s="1"/>
      <c r="BP754" s="1"/>
      <c r="BQ754" s="1"/>
      <c r="BR754" s="1"/>
      <c r="BS754" s="1"/>
      <c r="BT754" s="1"/>
      <c r="BU754" s="4"/>
    </row>
    <row r="755">
      <c r="AK755" s="1"/>
      <c r="AQ755" s="1"/>
      <c r="AW755" s="1"/>
      <c r="BC755" s="1"/>
      <c r="BD755" s="1"/>
      <c r="BE755" s="1"/>
      <c r="BF755" s="1"/>
      <c r="BG755" s="1"/>
      <c r="BH755" s="1"/>
      <c r="BI755" s="1"/>
      <c r="BO755" s="1"/>
      <c r="BP755" s="1"/>
      <c r="BQ755" s="1"/>
      <c r="BR755" s="1"/>
      <c r="BS755" s="1"/>
      <c r="BT755" s="1"/>
      <c r="BU755" s="4"/>
    </row>
    <row r="756">
      <c r="AK756" s="1"/>
      <c r="AQ756" s="1"/>
      <c r="AW756" s="1"/>
      <c r="BC756" s="1"/>
      <c r="BD756" s="1"/>
      <c r="BE756" s="1"/>
      <c r="BF756" s="1"/>
      <c r="BG756" s="1"/>
      <c r="BH756" s="1"/>
      <c r="BI756" s="1"/>
      <c r="BO756" s="1"/>
      <c r="BP756" s="1"/>
      <c r="BQ756" s="1"/>
      <c r="BR756" s="1"/>
      <c r="BS756" s="1"/>
      <c r="BT756" s="1"/>
      <c r="BU756" s="4"/>
    </row>
    <row r="757">
      <c r="AK757" s="1"/>
      <c r="AQ757" s="1"/>
      <c r="AW757" s="1"/>
      <c r="BC757" s="1"/>
      <c r="BD757" s="1"/>
      <c r="BE757" s="1"/>
      <c r="BF757" s="1"/>
      <c r="BG757" s="1"/>
      <c r="BH757" s="1"/>
      <c r="BI757" s="1"/>
      <c r="BO757" s="1"/>
      <c r="BP757" s="1"/>
      <c r="BQ757" s="1"/>
      <c r="BR757" s="1"/>
      <c r="BS757" s="1"/>
      <c r="BT757" s="1"/>
      <c r="BU757" s="4"/>
    </row>
    <row r="758">
      <c r="AK758" s="1"/>
      <c r="AQ758" s="1"/>
      <c r="AW758" s="1"/>
      <c r="BC758" s="1"/>
      <c r="BD758" s="1"/>
      <c r="BE758" s="1"/>
      <c r="BF758" s="1"/>
      <c r="BG758" s="1"/>
      <c r="BH758" s="1"/>
      <c r="BI758" s="1"/>
      <c r="BO758" s="1"/>
      <c r="BP758" s="1"/>
      <c r="BQ758" s="1"/>
      <c r="BR758" s="1"/>
      <c r="BS758" s="1"/>
      <c r="BT758" s="1"/>
      <c r="BU758" s="4"/>
    </row>
    <row r="759">
      <c r="AK759" s="1"/>
      <c r="AQ759" s="1"/>
      <c r="AW759" s="1"/>
      <c r="BC759" s="1"/>
      <c r="BD759" s="1"/>
      <c r="BE759" s="1"/>
      <c r="BF759" s="1"/>
      <c r="BG759" s="1"/>
      <c r="BH759" s="1"/>
      <c r="BI759" s="1"/>
      <c r="BO759" s="1"/>
      <c r="BP759" s="1"/>
      <c r="BQ759" s="1"/>
      <c r="BR759" s="1"/>
      <c r="BS759" s="1"/>
      <c r="BT759" s="1"/>
      <c r="BU759" s="4"/>
    </row>
    <row r="760">
      <c r="AK760" s="1"/>
      <c r="AQ760" s="1"/>
      <c r="AW760" s="1"/>
      <c r="BC760" s="1"/>
      <c r="BD760" s="1"/>
      <c r="BE760" s="1"/>
      <c r="BF760" s="1"/>
      <c r="BG760" s="1"/>
      <c r="BH760" s="1"/>
      <c r="BI760" s="1"/>
      <c r="BO760" s="1"/>
      <c r="BP760" s="1"/>
      <c r="BQ760" s="1"/>
      <c r="BR760" s="1"/>
      <c r="BS760" s="1"/>
      <c r="BT760" s="1"/>
      <c r="BU760" s="4"/>
    </row>
    <row r="761">
      <c r="AK761" s="1"/>
      <c r="AQ761" s="1"/>
      <c r="AW761" s="1"/>
      <c r="BC761" s="1"/>
      <c r="BD761" s="1"/>
      <c r="BE761" s="1"/>
      <c r="BF761" s="1"/>
      <c r="BG761" s="1"/>
      <c r="BH761" s="1"/>
      <c r="BI761" s="1"/>
      <c r="BO761" s="1"/>
      <c r="BP761" s="1"/>
      <c r="BQ761" s="1"/>
      <c r="BR761" s="1"/>
      <c r="BS761" s="1"/>
      <c r="BT761" s="1"/>
      <c r="BU761" s="4"/>
    </row>
    <row r="762">
      <c r="AK762" s="1"/>
      <c r="AQ762" s="1"/>
      <c r="AW762" s="1"/>
      <c r="BC762" s="1"/>
      <c r="BD762" s="1"/>
      <c r="BE762" s="1"/>
      <c r="BF762" s="1"/>
      <c r="BG762" s="1"/>
      <c r="BH762" s="1"/>
      <c r="BI762" s="1"/>
      <c r="BO762" s="1"/>
      <c r="BP762" s="1"/>
      <c r="BQ762" s="1"/>
      <c r="BR762" s="1"/>
      <c r="BS762" s="1"/>
      <c r="BT762" s="1"/>
      <c r="BU762" s="4"/>
    </row>
    <row r="763">
      <c r="AK763" s="1"/>
      <c r="AQ763" s="1"/>
      <c r="AW763" s="1"/>
      <c r="BC763" s="1"/>
      <c r="BD763" s="1"/>
      <c r="BE763" s="1"/>
      <c r="BF763" s="1"/>
      <c r="BG763" s="1"/>
      <c r="BH763" s="1"/>
      <c r="BI763" s="1"/>
      <c r="BO763" s="1"/>
      <c r="BP763" s="1"/>
      <c r="BQ763" s="1"/>
      <c r="BR763" s="1"/>
      <c r="BS763" s="1"/>
      <c r="BT763" s="1"/>
      <c r="BU763" s="4"/>
    </row>
    <row r="764">
      <c r="AK764" s="1"/>
      <c r="AQ764" s="1"/>
      <c r="AW764" s="1"/>
      <c r="BC764" s="1"/>
      <c r="BD764" s="1"/>
      <c r="BE764" s="1"/>
      <c r="BF764" s="1"/>
      <c r="BG764" s="1"/>
      <c r="BH764" s="1"/>
      <c r="BI764" s="1"/>
      <c r="BO764" s="1"/>
      <c r="BP764" s="1"/>
      <c r="BQ764" s="1"/>
      <c r="BR764" s="1"/>
      <c r="BS764" s="1"/>
      <c r="BT764" s="1"/>
      <c r="BU764" s="4"/>
    </row>
    <row r="765">
      <c r="AK765" s="1"/>
      <c r="AQ765" s="1"/>
      <c r="AW765" s="1"/>
      <c r="BC765" s="1"/>
      <c r="BD765" s="1"/>
      <c r="BE765" s="1"/>
      <c r="BF765" s="1"/>
      <c r="BG765" s="1"/>
      <c r="BH765" s="1"/>
      <c r="BI765" s="1"/>
      <c r="BO765" s="1"/>
      <c r="BP765" s="1"/>
      <c r="BQ765" s="1"/>
      <c r="BR765" s="1"/>
      <c r="BS765" s="1"/>
      <c r="BT765" s="1"/>
      <c r="BU765" s="4"/>
    </row>
    <row r="766">
      <c r="AK766" s="1"/>
      <c r="AQ766" s="1"/>
      <c r="AW766" s="1"/>
      <c r="BC766" s="1"/>
      <c r="BD766" s="1"/>
      <c r="BE766" s="1"/>
      <c r="BF766" s="1"/>
      <c r="BG766" s="1"/>
      <c r="BH766" s="1"/>
      <c r="BI766" s="1"/>
      <c r="BO766" s="1"/>
      <c r="BP766" s="1"/>
      <c r="BQ766" s="1"/>
      <c r="BR766" s="1"/>
      <c r="BS766" s="1"/>
      <c r="BT766" s="1"/>
      <c r="BU766" s="4"/>
    </row>
    <row r="767">
      <c r="AK767" s="1"/>
      <c r="AQ767" s="1"/>
      <c r="AW767" s="1"/>
      <c r="BC767" s="1"/>
      <c r="BD767" s="1"/>
      <c r="BE767" s="1"/>
      <c r="BF767" s="1"/>
      <c r="BG767" s="1"/>
      <c r="BH767" s="1"/>
      <c r="BI767" s="1"/>
      <c r="BO767" s="1"/>
      <c r="BP767" s="1"/>
      <c r="BQ767" s="1"/>
      <c r="BR767" s="1"/>
      <c r="BS767" s="1"/>
      <c r="BT767" s="1"/>
      <c r="BU767" s="4"/>
    </row>
    <row r="768">
      <c r="AK768" s="1"/>
      <c r="AQ768" s="1"/>
      <c r="AW768" s="1"/>
      <c r="BC768" s="1"/>
      <c r="BD768" s="1"/>
      <c r="BE768" s="1"/>
      <c r="BF768" s="1"/>
      <c r="BG768" s="1"/>
      <c r="BH768" s="1"/>
      <c r="BI768" s="1"/>
      <c r="BO768" s="1"/>
      <c r="BP768" s="1"/>
      <c r="BQ768" s="1"/>
      <c r="BR768" s="1"/>
      <c r="BS768" s="1"/>
      <c r="BT768" s="1"/>
      <c r="BU768" s="4"/>
    </row>
    <row r="769">
      <c r="AK769" s="1"/>
      <c r="AQ769" s="1"/>
      <c r="AW769" s="1"/>
      <c r="BC769" s="1"/>
      <c r="BD769" s="1"/>
      <c r="BE769" s="1"/>
      <c r="BF769" s="1"/>
      <c r="BG769" s="1"/>
      <c r="BH769" s="1"/>
      <c r="BI769" s="1"/>
      <c r="BO769" s="1"/>
      <c r="BP769" s="1"/>
      <c r="BQ769" s="1"/>
      <c r="BR769" s="1"/>
      <c r="BS769" s="1"/>
      <c r="BT769" s="1"/>
      <c r="BU769" s="4"/>
    </row>
    <row r="770">
      <c r="AK770" s="1"/>
      <c r="AQ770" s="1"/>
      <c r="AW770" s="1"/>
      <c r="BC770" s="1"/>
      <c r="BD770" s="1"/>
      <c r="BE770" s="1"/>
      <c r="BF770" s="1"/>
      <c r="BG770" s="1"/>
      <c r="BH770" s="1"/>
      <c r="BI770" s="1"/>
      <c r="BO770" s="1"/>
      <c r="BP770" s="1"/>
      <c r="BQ770" s="1"/>
      <c r="BR770" s="1"/>
      <c r="BS770" s="1"/>
      <c r="BT770" s="1"/>
      <c r="BU770" s="4"/>
    </row>
    <row r="771">
      <c r="AK771" s="1"/>
      <c r="AQ771" s="1"/>
      <c r="AW771" s="1"/>
      <c r="BC771" s="1"/>
      <c r="BD771" s="1"/>
      <c r="BE771" s="1"/>
      <c r="BF771" s="1"/>
      <c r="BG771" s="1"/>
      <c r="BH771" s="1"/>
      <c r="BI771" s="1"/>
      <c r="BO771" s="1"/>
      <c r="BP771" s="1"/>
      <c r="BQ771" s="1"/>
      <c r="BR771" s="1"/>
      <c r="BS771" s="1"/>
      <c r="BT771" s="1"/>
      <c r="BU771" s="4"/>
    </row>
    <row r="772">
      <c r="AK772" s="1"/>
      <c r="AQ772" s="1"/>
      <c r="AW772" s="1"/>
      <c r="BC772" s="1"/>
      <c r="BD772" s="1"/>
      <c r="BE772" s="1"/>
      <c r="BF772" s="1"/>
      <c r="BG772" s="1"/>
      <c r="BH772" s="1"/>
      <c r="BI772" s="1"/>
      <c r="BO772" s="1"/>
      <c r="BP772" s="1"/>
      <c r="BQ772" s="1"/>
      <c r="BR772" s="1"/>
      <c r="BS772" s="1"/>
      <c r="BT772" s="1"/>
      <c r="BU772" s="4"/>
    </row>
    <row r="773">
      <c r="AK773" s="1"/>
      <c r="AQ773" s="1"/>
      <c r="AW773" s="1"/>
      <c r="BC773" s="1"/>
      <c r="BD773" s="1"/>
      <c r="BE773" s="1"/>
      <c r="BF773" s="1"/>
      <c r="BG773" s="1"/>
      <c r="BH773" s="1"/>
      <c r="BI773" s="1"/>
      <c r="BO773" s="1"/>
      <c r="BP773" s="1"/>
      <c r="BQ773" s="1"/>
      <c r="BR773" s="1"/>
      <c r="BS773" s="1"/>
      <c r="BT773" s="1"/>
      <c r="BU773" s="4"/>
    </row>
    <row r="774">
      <c r="AK774" s="1"/>
      <c r="AQ774" s="1"/>
      <c r="AW774" s="1"/>
      <c r="BC774" s="1"/>
      <c r="BD774" s="1"/>
      <c r="BE774" s="1"/>
      <c r="BF774" s="1"/>
      <c r="BG774" s="1"/>
      <c r="BH774" s="1"/>
      <c r="BI774" s="1"/>
      <c r="BO774" s="1"/>
      <c r="BP774" s="1"/>
      <c r="BQ774" s="1"/>
      <c r="BR774" s="1"/>
      <c r="BS774" s="1"/>
      <c r="BT774" s="1"/>
      <c r="BU774" s="4"/>
    </row>
    <row r="775">
      <c r="AK775" s="1"/>
      <c r="AQ775" s="1"/>
      <c r="AW775" s="1"/>
      <c r="BC775" s="1"/>
      <c r="BD775" s="1"/>
      <c r="BE775" s="1"/>
      <c r="BF775" s="1"/>
      <c r="BG775" s="1"/>
      <c r="BH775" s="1"/>
      <c r="BI775" s="1"/>
      <c r="BO775" s="1"/>
      <c r="BP775" s="1"/>
      <c r="BQ775" s="1"/>
      <c r="BR775" s="1"/>
      <c r="BS775" s="1"/>
      <c r="BT775" s="1"/>
      <c r="BU775" s="4"/>
    </row>
    <row r="776">
      <c r="AK776" s="1"/>
      <c r="AQ776" s="1"/>
      <c r="AW776" s="1"/>
      <c r="BC776" s="1"/>
      <c r="BD776" s="1"/>
      <c r="BE776" s="1"/>
      <c r="BF776" s="1"/>
      <c r="BG776" s="1"/>
      <c r="BH776" s="1"/>
      <c r="BI776" s="1"/>
      <c r="BO776" s="1"/>
      <c r="BP776" s="1"/>
      <c r="BQ776" s="1"/>
      <c r="BR776" s="1"/>
      <c r="BS776" s="1"/>
      <c r="BT776" s="1"/>
      <c r="BU776" s="4"/>
    </row>
    <row r="777">
      <c r="AK777" s="1"/>
      <c r="AQ777" s="1"/>
      <c r="AW777" s="1"/>
      <c r="BC777" s="1"/>
      <c r="BD777" s="1"/>
      <c r="BE777" s="1"/>
      <c r="BF777" s="1"/>
      <c r="BG777" s="1"/>
      <c r="BH777" s="1"/>
      <c r="BI777" s="1"/>
      <c r="BO777" s="1"/>
      <c r="BP777" s="1"/>
      <c r="BQ777" s="1"/>
      <c r="BR777" s="1"/>
      <c r="BS777" s="1"/>
      <c r="BT777" s="1"/>
      <c r="BU777" s="4"/>
    </row>
    <row r="778">
      <c r="AK778" s="1"/>
      <c r="AQ778" s="1"/>
      <c r="AW778" s="1"/>
      <c r="BC778" s="1"/>
      <c r="BD778" s="1"/>
      <c r="BE778" s="1"/>
      <c r="BF778" s="1"/>
      <c r="BG778" s="1"/>
      <c r="BH778" s="1"/>
      <c r="BI778" s="1"/>
      <c r="BO778" s="1"/>
      <c r="BP778" s="1"/>
      <c r="BQ778" s="1"/>
      <c r="BR778" s="1"/>
      <c r="BS778" s="1"/>
      <c r="BT778" s="1"/>
      <c r="BU778" s="4"/>
    </row>
    <row r="779">
      <c r="AK779" s="1"/>
      <c r="AQ779" s="1"/>
      <c r="AW779" s="1"/>
      <c r="BC779" s="1"/>
      <c r="BD779" s="1"/>
      <c r="BE779" s="1"/>
      <c r="BF779" s="1"/>
      <c r="BG779" s="1"/>
      <c r="BH779" s="1"/>
      <c r="BI779" s="1"/>
      <c r="BO779" s="1"/>
      <c r="BP779" s="1"/>
      <c r="BQ779" s="1"/>
      <c r="BR779" s="1"/>
      <c r="BS779" s="1"/>
      <c r="BT779" s="1"/>
      <c r="BU779" s="4"/>
    </row>
    <row r="780">
      <c r="AK780" s="1"/>
      <c r="AQ780" s="1"/>
      <c r="AW780" s="1"/>
      <c r="BC780" s="1"/>
      <c r="BD780" s="1"/>
      <c r="BE780" s="1"/>
      <c r="BF780" s="1"/>
      <c r="BG780" s="1"/>
      <c r="BH780" s="1"/>
      <c r="BI780" s="1"/>
      <c r="BO780" s="1"/>
      <c r="BP780" s="1"/>
      <c r="BQ780" s="1"/>
      <c r="BR780" s="1"/>
      <c r="BS780" s="1"/>
      <c r="BT780" s="1"/>
      <c r="BU780" s="4"/>
    </row>
    <row r="781">
      <c r="AK781" s="1"/>
      <c r="AQ781" s="1"/>
      <c r="AW781" s="1"/>
      <c r="BC781" s="1"/>
      <c r="BD781" s="1"/>
      <c r="BE781" s="1"/>
      <c r="BF781" s="1"/>
      <c r="BG781" s="1"/>
      <c r="BH781" s="1"/>
      <c r="BI781" s="1"/>
      <c r="BO781" s="1"/>
      <c r="BP781" s="1"/>
      <c r="BQ781" s="1"/>
      <c r="BR781" s="1"/>
      <c r="BS781" s="1"/>
      <c r="BT781" s="1"/>
      <c r="BU781" s="4"/>
    </row>
    <row r="782">
      <c r="AK782" s="1"/>
      <c r="AQ782" s="1"/>
      <c r="AW782" s="1"/>
      <c r="BC782" s="1"/>
      <c r="BD782" s="1"/>
      <c r="BE782" s="1"/>
      <c r="BF782" s="1"/>
      <c r="BG782" s="1"/>
      <c r="BH782" s="1"/>
      <c r="BI782" s="1"/>
      <c r="BO782" s="1"/>
      <c r="BP782" s="1"/>
      <c r="BQ782" s="1"/>
      <c r="BR782" s="1"/>
      <c r="BS782" s="1"/>
      <c r="BT782" s="1"/>
      <c r="BU782" s="4"/>
    </row>
    <row r="783">
      <c r="AK783" s="1"/>
      <c r="AQ783" s="1"/>
      <c r="AW783" s="1"/>
      <c r="BC783" s="1"/>
      <c r="BD783" s="1"/>
      <c r="BE783" s="1"/>
      <c r="BF783" s="1"/>
      <c r="BG783" s="1"/>
      <c r="BH783" s="1"/>
      <c r="BI783" s="1"/>
      <c r="BO783" s="1"/>
      <c r="BP783" s="1"/>
      <c r="BQ783" s="1"/>
      <c r="BR783" s="1"/>
      <c r="BS783" s="1"/>
      <c r="BT783" s="1"/>
      <c r="BU783" s="4"/>
    </row>
    <row r="784">
      <c r="AK784" s="1"/>
      <c r="AQ784" s="1"/>
      <c r="AW784" s="1"/>
      <c r="BC784" s="1"/>
      <c r="BD784" s="1"/>
      <c r="BE784" s="1"/>
      <c r="BF784" s="1"/>
      <c r="BG784" s="1"/>
      <c r="BH784" s="1"/>
      <c r="BI784" s="1"/>
      <c r="BO784" s="1"/>
      <c r="BP784" s="1"/>
      <c r="BQ784" s="1"/>
      <c r="BR784" s="1"/>
      <c r="BS784" s="1"/>
      <c r="BT784" s="1"/>
      <c r="BU784" s="4"/>
    </row>
    <row r="785">
      <c r="AK785" s="1"/>
      <c r="AQ785" s="1"/>
      <c r="AW785" s="1"/>
      <c r="BC785" s="1"/>
      <c r="BD785" s="1"/>
      <c r="BE785" s="1"/>
      <c r="BF785" s="1"/>
      <c r="BG785" s="1"/>
      <c r="BH785" s="1"/>
      <c r="BI785" s="1"/>
      <c r="BO785" s="1"/>
      <c r="BP785" s="1"/>
      <c r="BQ785" s="1"/>
      <c r="BR785" s="1"/>
      <c r="BS785" s="1"/>
      <c r="BT785" s="1"/>
      <c r="BU785" s="4"/>
    </row>
    <row r="786">
      <c r="AK786" s="1"/>
      <c r="AQ786" s="1"/>
      <c r="AW786" s="1"/>
      <c r="BC786" s="1"/>
      <c r="BD786" s="1"/>
      <c r="BE786" s="1"/>
      <c r="BF786" s="1"/>
      <c r="BG786" s="1"/>
      <c r="BH786" s="1"/>
      <c r="BI786" s="1"/>
      <c r="BO786" s="1"/>
      <c r="BP786" s="1"/>
      <c r="BQ786" s="1"/>
      <c r="BR786" s="1"/>
      <c r="BS786" s="1"/>
      <c r="BT786" s="1"/>
      <c r="BU786" s="4"/>
    </row>
    <row r="787">
      <c r="AK787" s="1"/>
      <c r="AQ787" s="1"/>
      <c r="AW787" s="1"/>
      <c r="BC787" s="1"/>
      <c r="BD787" s="1"/>
      <c r="BE787" s="1"/>
      <c r="BF787" s="1"/>
      <c r="BG787" s="1"/>
      <c r="BH787" s="1"/>
      <c r="BI787" s="1"/>
      <c r="BO787" s="1"/>
      <c r="BP787" s="1"/>
      <c r="BQ787" s="1"/>
      <c r="BR787" s="1"/>
      <c r="BS787" s="1"/>
      <c r="BT787" s="1"/>
      <c r="BU787" s="4"/>
    </row>
    <row r="788">
      <c r="AK788" s="1"/>
      <c r="AQ788" s="1"/>
      <c r="AW788" s="1"/>
      <c r="BC788" s="1"/>
      <c r="BD788" s="1"/>
      <c r="BE788" s="1"/>
      <c r="BF788" s="1"/>
      <c r="BG788" s="1"/>
      <c r="BH788" s="1"/>
      <c r="BI788" s="1"/>
      <c r="BO788" s="1"/>
      <c r="BP788" s="1"/>
      <c r="BQ788" s="1"/>
      <c r="BR788" s="1"/>
      <c r="BS788" s="1"/>
      <c r="BT788" s="1"/>
      <c r="BU788" s="4"/>
    </row>
    <row r="789">
      <c r="AK789" s="1"/>
      <c r="AQ789" s="1"/>
      <c r="AW789" s="1"/>
      <c r="BC789" s="1"/>
      <c r="BD789" s="1"/>
      <c r="BE789" s="1"/>
      <c r="BF789" s="1"/>
      <c r="BG789" s="1"/>
      <c r="BH789" s="1"/>
      <c r="BI789" s="1"/>
      <c r="BO789" s="1"/>
      <c r="BP789" s="1"/>
      <c r="BQ789" s="1"/>
      <c r="BR789" s="1"/>
      <c r="BS789" s="1"/>
      <c r="BT789" s="1"/>
      <c r="BU789" s="4"/>
    </row>
    <row r="790">
      <c r="AK790" s="1"/>
      <c r="AQ790" s="1"/>
      <c r="AW790" s="1"/>
      <c r="BC790" s="1"/>
      <c r="BD790" s="1"/>
      <c r="BE790" s="1"/>
      <c r="BF790" s="1"/>
      <c r="BG790" s="1"/>
      <c r="BH790" s="1"/>
      <c r="BI790" s="1"/>
      <c r="BO790" s="1"/>
      <c r="BP790" s="1"/>
      <c r="BQ790" s="1"/>
      <c r="BR790" s="1"/>
      <c r="BS790" s="1"/>
      <c r="BT790" s="1"/>
      <c r="BU790" s="4"/>
    </row>
    <row r="791">
      <c r="AK791" s="1"/>
      <c r="AQ791" s="1"/>
      <c r="AW791" s="1"/>
      <c r="BC791" s="1"/>
      <c r="BD791" s="1"/>
      <c r="BE791" s="1"/>
      <c r="BF791" s="1"/>
      <c r="BG791" s="1"/>
      <c r="BH791" s="1"/>
      <c r="BI791" s="1"/>
      <c r="BO791" s="1"/>
      <c r="BP791" s="1"/>
      <c r="BQ791" s="1"/>
      <c r="BR791" s="1"/>
      <c r="BS791" s="1"/>
      <c r="BT791" s="1"/>
      <c r="BU791" s="4"/>
    </row>
    <row r="792">
      <c r="AK792" s="1"/>
      <c r="AQ792" s="1"/>
      <c r="AW792" s="1"/>
      <c r="BC792" s="1"/>
      <c r="BD792" s="1"/>
      <c r="BE792" s="1"/>
      <c r="BF792" s="1"/>
      <c r="BG792" s="1"/>
      <c r="BH792" s="1"/>
      <c r="BI792" s="1"/>
      <c r="BO792" s="1"/>
      <c r="BP792" s="1"/>
      <c r="BQ792" s="1"/>
      <c r="BR792" s="1"/>
      <c r="BS792" s="1"/>
      <c r="BT792" s="1"/>
      <c r="BU792" s="4"/>
    </row>
    <row r="793">
      <c r="AK793" s="1"/>
      <c r="AQ793" s="1"/>
      <c r="AW793" s="1"/>
      <c r="BC793" s="1"/>
      <c r="BD793" s="1"/>
      <c r="BE793" s="1"/>
      <c r="BF793" s="1"/>
      <c r="BG793" s="1"/>
      <c r="BH793" s="1"/>
      <c r="BI793" s="1"/>
      <c r="BO793" s="1"/>
      <c r="BP793" s="1"/>
      <c r="BQ793" s="1"/>
      <c r="BR793" s="1"/>
      <c r="BS793" s="1"/>
      <c r="BT793" s="1"/>
      <c r="BU793" s="4"/>
    </row>
    <row r="794">
      <c r="AK794" s="1"/>
      <c r="AQ794" s="1"/>
      <c r="AW794" s="1"/>
      <c r="BC794" s="1"/>
      <c r="BD794" s="1"/>
      <c r="BE794" s="1"/>
      <c r="BF794" s="1"/>
      <c r="BG794" s="1"/>
      <c r="BH794" s="1"/>
      <c r="BI794" s="1"/>
      <c r="BO794" s="1"/>
      <c r="BP794" s="1"/>
      <c r="BQ794" s="1"/>
      <c r="BR794" s="1"/>
      <c r="BS794" s="1"/>
      <c r="BT794" s="1"/>
      <c r="BU794" s="4"/>
    </row>
    <row r="795">
      <c r="AK795" s="1"/>
      <c r="AQ795" s="1"/>
      <c r="AW795" s="1"/>
      <c r="BC795" s="1"/>
      <c r="BD795" s="1"/>
      <c r="BE795" s="1"/>
      <c r="BF795" s="1"/>
      <c r="BG795" s="1"/>
      <c r="BH795" s="1"/>
      <c r="BI795" s="1"/>
      <c r="BO795" s="1"/>
      <c r="BP795" s="1"/>
      <c r="BQ795" s="1"/>
      <c r="BR795" s="1"/>
      <c r="BS795" s="1"/>
      <c r="BT795" s="1"/>
      <c r="BU795" s="4"/>
    </row>
    <row r="796">
      <c r="AK796" s="1"/>
      <c r="AQ796" s="1"/>
      <c r="AW796" s="1"/>
      <c r="BC796" s="1"/>
      <c r="BD796" s="1"/>
      <c r="BE796" s="1"/>
      <c r="BF796" s="1"/>
      <c r="BG796" s="1"/>
      <c r="BH796" s="1"/>
      <c r="BI796" s="1"/>
      <c r="BO796" s="1"/>
      <c r="BP796" s="1"/>
      <c r="BQ796" s="1"/>
      <c r="BR796" s="1"/>
      <c r="BS796" s="1"/>
      <c r="BT796" s="1"/>
      <c r="BU796" s="4"/>
    </row>
    <row r="797">
      <c r="AK797" s="1"/>
      <c r="AQ797" s="1"/>
      <c r="AW797" s="1"/>
      <c r="BC797" s="1"/>
      <c r="BD797" s="1"/>
      <c r="BE797" s="1"/>
      <c r="BF797" s="1"/>
      <c r="BG797" s="1"/>
      <c r="BH797" s="1"/>
      <c r="BI797" s="1"/>
      <c r="BO797" s="1"/>
      <c r="BP797" s="1"/>
      <c r="BQ797" s="1"/>
      <c r="BR797" s="1"/>
      <c r="BS797" s="1"/>
      <c r="BT797" s="1"/>
      <c r="BU797" s="4"/>
    </row>
    <row r="798">
      <c r="AK798" s="1"/>
      <c r="AQ798" s="1"/>
      <c r="AW798" s="1"/>
      <c r="BC798" s="1"/>
      <c r="BD798" s="1"/>
      <c r="BE798" s="1"/>
      <c r="BF798" s="1"/>
      <c r="BG798" s="1"/>
      <c r="BH798" s="1"/>
      <c r="BI798" s="1"/>
      <c r="BO798" s="1"/>
      <c r="BP798" s="1"/>
      <c r="BQ798" s="1"/>
      <c r="BR798" s="1"/>
      <c r="BS798" s="1"/>
      <c r="BT798" s="1"/>
      <c r="BU798" s="4"/>
    </row>
    <row r="799">
      <c r="AK799" s="1"/>
      <c r="AQ799" s="1"/>
      <c r="AW799" s="1"/>
      <c r="BC799" s="1"/>
      <c r="BD799" s="1"/>
      <c r="BE799" s="1"/>
      <c r="BF799" s="1"/>
      <c r="BG799" s="1"/>
      <c r="BH799" s="1"/>
      <c r="BI799" s="1"/>
      <c r="BO799" s="1"/>
      <c r="BP799" s="1"/>
      <c r="BQ799" s="1"/>
      <c r="BR799" s="1"/>
      <c r="BS799" s="1"/>
      <c r="BT799" s="1"/>
      <c r="BU799" s="4"/>
    </row>
    <row r="800">
      <c r="AK800" s="1"/>
      <c r="AQ800" s="1"/>
      <c r="AW800" s="1"/>
      <c r="BC800" s="1"/>
      <c r="BD800" s="1"/>
      <c r="BE800" s="1"/>
      <c r="BF800" s="1"/>
      <c r="BG800" s="1"/>
      <c r="BH800" s="1"/>
      <c r="BI800" s="1"/>
      <c r="BO800" s="1"/>
      <c r="BP800" s="1"/>
      <c r="BQ800" s="1"/>
      <c r="BR800" s="1"/>
      <c r="BS800" s="1"/>
      <c r="BT800" s="1"/>
      <c r="BU800" s="4"/>
    </row>
    <row r="801">
      <c r="AK801" s="1"/>
      <c r="AQ801" s="1"/>
      <c r="AW801" s="1"/>
      <c r="BC801" s="1"/>
      <c r="BD801" s="1"/>
      <c r="BE801" s="1"/>
      <c r="BF801" s="1"/>
      <c r="BG801" s="1"/>
      <c r="BH801" s="1"/>
      <c r="BI801" s="1"/>
      <c r="BO801" s="1"/>
      <c r="BP801" s="1"/>
      <c r="BQ801" s="1"/>
      <c r="BR801" s="1"/>
      <c r="BS801" s="1"/>
      <c r="BT801" s="1"/>
      <c r="BU801" s="4"/>
    </row>
    <row r="802">
      <c r="AK802" s="1"/>
      <c r="AQ802" s="1"/>
      <c r="AW802" s="1"/>
      <c r="BC802" s="1"/>
      <c r="BD802" s="1"/>
      <c r="BE802" s="1"/>
      <c r="BF802" s="1"/>
      <c r="BG802" s="1"/>
      <c r="BH802" s="1"/>
      <c r="BI802" s="1"/>
      <c r="BO802" s="1"/>
      <c r="BP802" s="1"/>
      <c r="BQ802" s="1"/>
      <c r="BR802" s="1"/>
      <c r="BS802" s="1"/>
      <c r="BT802" s="1"/>
      <c r="BU802" s="4"/>
    </row>
    <row r="803">
      <c r="AK803" s="1"/>
      <c r="AQ803" s="1"/>
      <c r="AW803" s="1"/>
      <c r="BC803" s="1"/>
      <c r="BD803" s="1"/>
      <c r="BE803" s="1"/>
      <c r="BF803" s="1"/>
      <c r="BG803" s="1"/>
      <c r="BH803" s="1"/>
      <c r="BI803" s="1"/>
      <c r="BO803" s="1"/>
      <c r="BP803" s="1"/>
      <c r="BQ803" s="1"/>
      <c r="BR803" s="1"/>
      <c r="BS803" s="1"/>
      <c r="BT803" s="1"/>
      <c r="BU803" s="4"/>
    </row>
    <row r="804">
      <c r="AK804" s="1"/>
      <c r="AQ804" s="1"/>
      <c r="AW804" s="1"/>
      <c r="BC804" s="1"/>
      <c r="BD804" s="1"/>
      <c r="BE804" s="1"/>
      <c r="BF804" s="1"/>
      <c r="BG804" s="1"/>
      <c r="BH804" s="1"/>
      <c r="BI804" s="1"/>
      <c r="BO804" s="1"/>
      <c r="BP804" s="1"/>
      <c r="BQ804" s="1"/>
      <c r="BR804" s="1"/>
      <c r="BS804" s="1"/>
      <c r="BT804" s="1"/>
      <c r="BU804" s="4"/>
    </row>
    <row r="805">
      <c r="AK805" s="1"/>
      <c r="AQ805" s="1"/>
      <c r="AW805" s="1"/>
      <c r="BC805" s="1"/>
      <c r="BD805" s="1"/>
      <c r="BE805" s="1"/>
      <c r="BF805" s="1"/>
      <c r="BG805" s="1"/>
      <c r="BH805" s="1"/>
      <c r="BI805" s="1"/>
      <c r="BO805" s="1"/>
      <c r="BP805" s="1"/>
      <c r="BQ805" s="1"/>
      <c r="BR805" s="1"/>
      <c r="BS805" s="1"/>
      <c r="BT805" s="1"/>
      <c r="BU805" s="4"/>
    </row>
    <row r="806">
      <c r="AK806" s="1"/>
      <c r="AQ806" s="1"/>
      <c r="AW806" s="1"/>
      <c r="BC806" s="1"/>
      <c r="BD806" s="1"/>
      <c r="BE806" s="1"/>
      <c r="BF806" s="1"/>
      <c r="BG806" s="1"/>
      <c r="BH806" s="1"/>
      <c r="BI806" s="1"/>
      <c r="BO806" s="1"/>
      <c r="BP806" s="1"/>
      <c r="BQ806" s="1"/>
      <c r="BR806" s="1"/>
      <c r="BS806" s="1"/>
      <c r="BT806" s="1"/>
      <c r="BU806" s="4"/>
    </row>
    <row r="807">
      <c r="AK807" s="1"/>
      <c r="AQ807" s="1"/>
      <c r="AW807" s="1"/>
      <c r="BC807" s="1"/>
      <c r="BD807" s="1"/>
      <c r="BE807" s="1"/>
      <c r="BF807" s="1"/>
      <c r="BG807" s="1"/>
      <c r="BH807" s="1"/>
      <c r="BI807" s="1"/>
      <c r="BO807" s="1"/>
      <c r="BP807" s="1"/>
      <c r="BQ807" s="1"/>
      <c r="BR807" s="1"/>
      <c r="BS807" s="1"/>
      <c r="BT807" s="1"/>
      <c r="BU807" s="4"/>
    </row>
    <row r="808">
      <c r="AK808" s="1"/>
      <c r="AQ808" s="1"/>
      <c r="AW808" s="1"/>
      <c r="BC808" s="1"/>
      <c r="BD808" s="1"/>
      <c r="BE808" s="1"/>
      <c r="BF808" s="1"/>
      <c r="BG808" s="1"/>
      <c r="BH808" s="1"/>
      <c r="BI808" s="1"/>
      <c r="BO808" s="1"/>
      <c r="BP808" s="1"/>
      <c r="BQ808" s="1"/>
      <c r="BR808" s="1"/>
      <c r="BS808" s="1"/>
      <c r="BT808" s="1"/>
      <c r="BU808" s="4"/>
    </row>
    <row r="809">
      <c r="AK809" s="1"/>
      <c r="AQ809" s="1"/>
      <c r="AW809" s="1"/>
      <c r="BC809" s="1"/>
      <c r="BD809" s="1"/>
      <c r="BE809" s="1"/>
      <c r="BF809" s="1"/>
      <c r="BG809" s="1"/>
      <c r="BH809" s="1"/>
      <c r="BI809" s="1"/>
      <c r="BO809" s="1"/>
      <c r="BP809" s="1"/>
      <c r="BQ809" s="1"/>
      <c r="BR809" s="1"/>
      <c r="BS809" s="1"/>
      <c r="BT809" s="1"/>
      <c r="BU809" s="4"/>
    </row>
    <row r="810">
      <c r="AK810" s="1"/>
      <c r="AQ810" s="1"/>
      <c r="AW810" s="1"/>
      <c r="BC810" s="1"/>
      <c r="BD810" s="1"/>
      <c r="BE810" s="1"/>
      <c r="BF810" s="1"/>
      <c r="BG810" s="1"/>
      <c r="BH810" s="1"/>
      <c r="BI810" s="1"/>
      <c r="BO810" s="1"/>
      <c r="BP810" s="1"/>
      <c r="BQ810" s="1"/>
      <c r="BR810" s="1"/>
      <c r="BS810" s="1"/>
      <c r="BT810" s="1"/>
      <c r="BU810" s="4"/>
    </row>
    <row r="811">
      <c r="AK811" s="1"/>
      <c r="AQ811" s="1"/>
      <c r="AW811" s="1"/>
      <c r="BC811" s="1"/>
      <c r="BD811" s="1"/>
      <c r="BE811" s="1"/>
      <c r="BF811" s="1"/>
      <c r="BG811" s="1"/>
      <c r="BH811" s="1"/>
      <c r="BI811" s="1"/>
      <c r="BO811" s="1"/>
      <c r="BP811" s="1"/>
      <c r="BQ811" s="1"/>
      <c r="BR811" s="1"/>
      <c r="BS811" s="1"/>
      <c r="BT811" s="1"/>
      <c r="BU811" s="4"/>
    </row>
    <row r="812">
      <c r="AK812" s="1"/>
      <c r="AQ812" s="1"/>
      <c r="AW812" s="1"/>
      <c r="BC812" s="1"/>
      <c r="BD812" s="1"/>
      <c r="BE812" s="1"/>
      <c r="BF812" s="1"/>
      <c r="BG812" s="1"/>
      <c r="BH812" s="1"/>
      <c r="BI812" s="1"/>
      <c r="BO812" s="1"/>
      <c r="BP812" s="1"/>
      <c r="BQ812" s="1"/>
      <c r="BR812" s="1"/>
      <c r="BS812" s="1"/>
      <c r="BT812" s="1"/>
      <c r="BU812" s="4"/>
    </row>
    <row r="813">
      <c r="AK813" s="1"/>
      <c r="AQ813" s="1"/>
      <c r="AW813" s="1"/>
      <c r="BC813" s="1"/>
      <c r="BD813" s="1"/>
      <c r="BE813" s="1"/>
      <c r="BF813" s="1"/>
      <c r="BG813" s="1"/>
      <c r="BH813" s="1"/>
      <c r="BI813" s="1"/>
      <c r="BO813" s="1"/>
      <c r="BP813" s="1"/>
      <c r="BQ813" s="1"/>
      <c r="BR813" s="1"/>
      <c r="BS813" s="1"/>
      <c r="BT813" s="1"/>
      <c r="BU813" s="4"/>
    </row>
    <row r="814">
      <c r="AK814" s="1"/>
      <c r="AQ814" s="1"/>
      <c r="AW814" s="1"/>
      <c r="BC814" s="1"/>
      <c r="BD814" s="1"/>
      <c r="BE814" s="1"/>
      <c r="BF814" s="1"/>
      <c r="BG814" s="1"/>
      <c r="BH814" s="1"/>
      <c r="BI814" s="1"/>
      <c r="BO814" s="1"/>
      <c r="BP814" s="1"/>
      <c r="BQ814" s="1"/>
      <c r="BR814" s="1"/>
      <c r="BS814" s="1"/>
      <c r="BT814" s="1"/>
      <c r="BU814" s="4"/>
    </row>
    <row r="815">
      <c r="AK815" s="1"/>
      <c r="AQ815" s="1"/>
      <c r="AW815" s="1"/>
      <c r="BC815" s="1"/>
      <c r="BD815" s="1"/>
      <c r="BE815" s="1"/>
      <c r="BF815" s="1"/>
      <c r="BG815" s="1"/>
      <c r="BH815" s="1"/>
      <c r="BI815" s="1"/>
      <c r="BO815" s="1"/>
      <c r="BP815" s="1"/>
      <c r="BQ815" s="1"/>
      <c r="BR815" s="1"/>
      <c r="BS815" s="1"/>
      <c r="BT815" s="1"/>
      <c r="BU815" s="4"/>
    </row>
    <row r="816">
      <c r="AK816" s="1"/>
      <c r="AQ816" s="1"/>
      <c r="AW816" s="1"/>
      <c r="BC816" s="1"/>
      <c r="BD816" s="1"/>
      <c r="BE816" s="1"/>
      <c r="BF816" s="1"/>
      <c r="BG816" s="1"/>
      <c r="BH816" s="1"/>
      <c r="BI816" s="1"/>
      <c r="BO816" s="1"/>
      <c r="BP816" s="1"/>
      <c r="BQ816" s="1"/>
      <c r="BR816" s="1"/>
      <c r="BS816" s="1"/>
      <c r="BT816" s="1"/>
      <c r="BU816" s="4"/>
    </row>
    <row r="817">
      <c r="AK817" s="1"/>
      <c r="AQ817" s="1"/>
      <c r="AW817" s="1"/>
      <c r="BC817" s="1"/>
      <c r="BD817" s="1"/>
      <c r="BE817" s="1"/>
      <c r="BF817" s="1"/>
      <c r="BG817" s="1"/>
      <c r="BH817" s="1"/>
      <c r="BI817" s="1"/>
      <c r="BO817" s="1"/>
      <c r="BP817" s="1"/>
      <c r="BQ817" s="1"/>
      <c r="BR817" s="1"/>
      <c r="BS817" s="1"/>
      <c r="BT817" s="1"/>
      <c r="BU817" s="4"/>
    </row>
    <row r="818">
      <c r="AK818" s="1"/>
      <c r="AQ818" s="1"/>
      <c r="AW818" s="1"/>
      <c r="BC818" s="1"/>
      <c r="BD818" s="1"/>
      <c r="BE818" s="1"/>
      <c r="BF818" s="1"/>
      <c r="BG818" s="1"/>
      <c r="BH818" s="1"/>
      <c r="BI818" s="1"/>
      <c r="BO818" s="1"/>
      <c r="BP818" s="1"/>
      <c r="BQ818" s="1"/>
      <c r="BR818" s="1"/>
      <c r="BS818" s="1"/>
      <c r="BT818" s="1"/>
      <c r="BU818" s="4"/>
    </row>
    <row r="819">
      <c r="AK819" s="1"/>
      <c r="AQ819" s="1"/>
      <c r="AW819" s="1"/>
      <c r="BC819" s="1"/>
      <c r="BD819" s="1"/>
      <c r="BE819" s="1"/>
      <c r="BF819" s="1"/>
      <c r="BG819" s="1"/>
      <c r="BH819" s="1"/>
      <c r="BI819" s="1"/>
      <c r="BO819" s="1"/>
      <c r="BP819" s="1"/>
      <c r="BQ819" s="1"/>
      <c r="BR819" s="1"/>
      <c r="BS819" s="1"/>
      <c r="BT819" s="1"/>
      <c r="BU819" s="4"/>
    </row>
    <row r="820">
      <c r="AK820" s="1"/>
      <c r="AQ820" s="1"/>
      <c r="AW820" s="1"/>
      <c r="BC820" s="1"/>
      <c r="BD820" s="1"/>
      <c r="BE820" s="1"/>
      <c r="BF820" s="1"/>
      <c r="BG820" s="1"/>
      <c r="BH820" s="1"/>
      <c r="BI820" s="1"/>
      <c r="BO820" s="1"/>
      <c r="BP820" s="1"/>
      <c r="BQ820" s="1"/>
      <c r="BR820" s="1"/>
      <c r="BS820" s="1"/>
      <c r="BT820" s="1"/>
      <c r="BU820" s="4"/>
    </row>
    <row r="821">
      <c r="AK821" s="1"/>
      <c r="AQ821" s="1"/>
      <c r="AW821" s="1"/>
      <c r="BC821" s="1"/>
      <c r="BD821" s="1"/>
      <c r="BE821" s="1"/>
      <c r="BF821" s="1"/>
      <c r="BG821" s="1"/>
      <c r="BH821" s="1"/>
      <c r="BI821" s="1"/>
      <c r="BO821" s="1"/>
      <c r="BP821" s="1"/>
      <c r="BQ821" s="1"/>
      <c r="BR821" s="1"/>
      <c r="BS821" s="1"/>
      <c r="BT821" s="1"/>
      <c r="BU821" s="4"/>
    </row>
    <row r="822">
      <c r="AK822" s="1"/>
      <c r="AQ822" s="1"/>
      <c r="AW822" s="1"/>
      <c r="BC822" s="1"/>
      <c r="BD822" s="1"/>
      <c r="BE822" s="1"/>
      <c r="BF822" s="1"/>
      <c r="BG822" s="1"/>
      <c r="BH822" s="1"/>
      <c r="BI822" s="1"/>
      <c r="BO822" s="1"/>
      <c r="BP822" s="1"/>
      <c r="BQ822" s="1"/>
      <c r="BR822" s="1"/>
      <c r="BS822" s="1"/>
      <c r="BT822" s="1"/>
      <c r="BU822" s="4"/>
    </row>
    <row r="823">
      <c r="AK823" s="1"/>
      <c r="AQ823" s="1"/>
      <c r="AW823" s="1"/>
      <c r="BC823" s="1"/>
      <c r="BD823" s="1"/>
      <c r="BE823" s="1"/>
      <c r="BF823" s="1"/>
      <c r="BG823" s="1"/>
      <c r="BH823" s="1"/>
      <c r="BI823" s="1"/>
      <c r="BO823" s="1"/>
      <c r="BP823" s="1"/>
      <c r="BQ823" s="1"/>
      <c r="BR823" s="1"/>
      <c r="BS823" s="1"/>
      <c r="BT823" s="1"/>
      <c r="BU823" s="4"/>
    </row>
    <row r="824">
      <c r="AK824" s="1"/>
      <c r="AQ824" s="1"/>
      <c r="AW824" s="1"/>
      <c r="BC824" s="1"/>
      <c r="BD824" s="1"/>
      <c r="BE824" s="1"/>
      <c r="BF824" s="1"/>
      <c r="BG824" s="1"/>
      <c r="BH824" s="1"/>
      <c r="BI824" s="1"/>
      <c r="BO824" s="1"/>
      <c r="BP824" s="1"/>
      <c r="BQ824" s="1"/>
      <c r="BR824" s="1"/>
      <c r="BS824" s="1"/>
      <c r="BT824" s="1"/>
      <c r="BU824" s="4"/>
    </row>
    <row r="825">
      <c r="AK825" s="1"/>
      <c r="AQ825" s="1"/>
      <c r="AW825" s="1"/>
      <c r="BC825" s="1"/>
      <c r="BD825" s="1"/>
      <c r="BE825" s="1"/>
      <c r="BF825" s="1"/>
      <c r="BG825" s="1"/>
      <c r="BH825" s="1"/>
      <c r="BI825" s="1"/>
      <c r="BO825" s="1"/>
      <c r="BP825" s="1"/>
      <c r="BQ825" s="1"/>
      <c r="BR825" s="1"/>
      <c r="BS825" s="1"/>
      <c r="BT825" s="1"/>
      <c r="BU825" s="4"/>
    </row>
    <row r="826">
      <c r="AK826" s="1"/>
      <c r="AQ826" s="1"/>
      <c r="AW826" s="1"/>
      <c r="BC826" s="1"/>
      <c r="BD826" s="1"/>
      <c r="BE826" s="1"/>
      <c r="BF826" s="1"/>
      <c r="BG826" s="1"/>
      <c r="BH826" s="1"/>
      <c r="BI826" s="1"/>
      <c r="BO826" s="1"/>
      <c r="BP826" s="1"/>
      <c r="BQ826" s="1"/>
      <c r="BR826" s="1"/>
      <c r="BS826" s="1"/>
      <c r="BT826" s="1"/>
      <c r="BU826" s="4"/>
    </row>
    <row r="827">
      <c r="AK827" s="1"/>
      <c r="AQ827" s="1"/>
      <c r="AW827" s="1"/>
      <c r="BC827" s="1"/>
      <c r="BD827" s="1"/>
      <c r="BE827" s="1"/>
      <c r="BF827" s="1"/>
      <c r="BG827" s="1"/>
      <c r="BH827" s="1"/>
      <c r="BI827" s="1"/>
      <c r="BO827" s="1"/>
      <c r="BP827" s="1"/>
      <c r="BQ827" s="1"/>
      <c r="BR827" s="1"/>
      <c r="BS827" s="1"/>
      <c r="BT827" s="1"/>
      <c r="BU827" s="4"/>
    </row>
    <row r="828">
      <c r="AK828" s="1"/>
      <c r="AQ828" s="1"/>
      <c r="AW828" s="1"/>
      <c r="BC828" s="1"/>
      <c r="BD828" s="1"/>
      <c r="BE828" s="1"/>
      <c r="BF828" s="1"/>
      <c r="BG828" s="1"/>
      <c r="BH828" s="1"/>
      <c r="BI828" s="1"/>
      <c r="BO828" s="1"/>
      <c r="BP828" s="1"/>
      <c r="BQ828" s="1"/>
      <c r="BR828" s="1"/>
      <c r="BS828" s="1"/>
      <c r="BT828" s="1"/>
      <c r="BU828" s="4"/>
    </row>
    <row r="829">
      <c r="AK829" s="1"/>
      <c r="AQ829" s="1"/>
      <c r="AW829" s="1"/>
      <c r="BC829" s="1"/>
      <c r="BD829" s="1"/>
      <c r="BE829" s="1"/>
      <c r="BF829" s="1"/>
      <c r="BG829" s="1"/>
      <c r="BH829" s="1"/>
      <c r="BI829" s="1"/>
      <c r="BO829" s="1"/>
      <c r="BP829" s="1"/>
      <c r="BQ829" s="1"/>
      <c r="BR829" s="1"/>
      <c r="BS829" s="1"/>
      <c r="BT829" s="1"/>
      <c r="BU829" s="4"/>
    </row>
    <row r="830">
      <c r="AK830" s="1"/>
      <c r="AQ830" s="1"/>
      <c r="AW830" s="1"/>
      <c r="BC830" s="1"/>
      <c r="BD830" s="1"/>
      <c r="BE830" s="1"/>
      <c r="BF830" s="1"/>
      <c r="BG830" s="1"/>
      <c r="BH830" s="1"/>
      <c r="BI830" s="1"/>
      <c r="BO830" s="1"/>
      <c r="BP830" s="1"/>
      <c r="BQ830" s="1"/>
      <c r="BR830" s="1"/>
      <c r="BS830" s="1"/>
      <c r="BT830" s="1"/>
      <c r="BU830" s="4"/>
    </row>
    <row r="831">
      <c r="AK831" s="1"/>
      <c r="AQ831" s="1"/>
      <c r="AW831" s="1"/>
      <c r="BC831" s="1"/>
      <c r="BD831" s="1"/>
      <c r="BE831" s="1"/>
      <c r="BF831" s="1"/>
      <c r="BG831" s="1"/>
      <c r="BH831" s="1"/>
      <c r="BI831" s="1"/>
      <c r="BO831" s="1"/>
      <c r="BP831" s="1"/>
      <c r="BQ831" s="1"/>
      <c r="BR831" s="1"/>
      <c r="BS831" s="1"/>
      <c r="BT831" s="1"/>
      <c r="BU831" s="4"/>
    </row>
    <row r="832">
      <c r="AK832" s="1"/>
      <c r="AQ832" s="1"/>
      <c r="AW832" s="1"/>
      <c r="BC832" s="1"/>
      <c r="BD832" s="1"/>
      <c r="BE832" s="1"/>
      <c r="BF832" s="1"/>
      <c r="BG832" s="1"/>
      <c r="BH832" s="1"/>
      <c r="BI832" s="1"/>
      <c r="BO832" s="1"/>
      <c r="BP832" s="1"/>
      <c r="BQ832" s="1"/>
      <c r="BR832" s="1"/>
      <c r="BS832" s="1"/>
      <c r="BT832" s="1"/>
      <c r="BU832" s="4"/>
    </row>
    <row r="833">
      <c r="AK833" s="1"/>
      <c r="AQ833" s="1"/>
      <c r="AW833" s="1"/>
      <c r="BC833" s="1"/>
      <c r="BD833" s="1"/>
      <c r="BE833" s="1"/>
      <c r="BF833" s="1"/>
      <c r="BG833" s="1"/>
      <c r="BH833" s="1"/>
      <c r="BI833" s="1"/>
      <c r="BO833" s="1"/>
      <c r="BP833" s="1"/>
      <c r="BQ833" s="1"/>
      <c r="BR833" s="1"/>
      <c r="BS833" s="1"/>
      <c r="BT833" s="1"/>
      <c r="BU833" s="4"/>
    </row>
    <row r="834">
      <c r="AK834" s="1"/>
      <c r="AQ834" s="1"/>
      <c r="AW834" s="1"/>
      <c r="BC834" s="1"/>
      <c r="BD834" s="1"/>
      <c r="BE834" s="1"/>
      <c r="BF834" s="1"/>
      <c r="BG834" s="1"/>
      <c r="BH834" s="1"/>
      <c r="BI834" s="1"/>
      <c r="BO834" s="1"/>
      <c r="BP834" s="1"/>
      <c r="BQ834" s="1"/>
      <c r="BR834" s="1"/>
      <c r="BS834" s="1"/>
      <c r="BT834" s="1"/>
      <c r="BU834" s="4"/>
    </row>
    <row r="835">
      <c r="AK835" s="1"/>
      <c r="AQ835" s="1"/>
      <c r="AW835" s="1"/>
      <c r="BC835" s="1"/>
      <c r="BD835" s="1"/>
      <c r="BE835" s="1"/>
      <c r="BF835" s="1"/>
      <c r="BG835" s="1"/>
      <c r="BH835" s="1"/>
      <c r="BI835" s="1"/>
      <c r="BO835" s="1"/>
      <c r="BP835" s="1"/>
      <c r="BQ835" s="1"/>
      <c r="BR835" s="1"/>
      <c r="BS835" s="1"/>
      <c r="BT835" s="1"/>
      <c r="BU835" s="4"/>
    </row>
    <row r="836">
      <c r="AK836" s="1"/>
      <c r="AQ836" s="1"/>
      <c r="AW836" s="1"/>
      <c r="BC836" s="1"/>
      <c r="BD836" s="1"/>
      <c r="BE836" s="1"/>
      <c r="BF836" s="1"/>
      <c r="BG836" s="1"/>
      <c r="BH836" s="1"/>
      <c r="BI836" s="1"/>
      <c r="BO836" s="1"/>
      <c r="BP836" s="1"/>
      <c r="BQ836" s="1"/>
      <c r="BR836" s="1"/>
      <c r="BS836" s="1"/>
      <c r="BT836" s="1"/>
      <c r="BU836" s="4"/>
    </row>
    <row r="837">
      <c r="AK837" s="1"/>
      <c r="AQ837" s="1"/>
      <c r="AW837" s="1"/>
      <c r="BC837" s="1"/>
      <c r="BD837" s="1"/>
      <c r="BE837" s="1"/>
      <c r="BF837" s="1"/>
      <c r="BG837" s="1"/>
      <c r="BH837" s="1"/>
      <c r="BI837" s="1"/>
      <c r="BO837" s="1"/>
      <c r="BP837" s="1"/>
      <c r="BQ837" s="1"/>
      <c r="BR837" s="1"/>
      <c r="BS837" s="1"/>
      <c r="BT837" s="1"/>
      <c r="BU837" s="4"/>
    </row>
    <row r="838">
      <c r="AK838" s="1"/>
      <c r="AQ838" s="1"/>
      <c r="AW838" s="1"/>
      <c r="BC838" s="1"/>
      <c r="BD838" s="1"/>
      <c r="BE838" s="1"/>
      <c r="BF838" s="1"/>
      <c r="BG838" s="1"/>
      <c r="BH838" s="1"/>
      <c r="BI838" s="1"/>
      <c r="BO838" s="1"/>
      <c r="BP838" s="1"/>
      <c r="BQ838" s="1"/>
      <c r="BR838" s="1"/>
      <c r="BS838" s="1"/>
      <c r="BT838" s="1"/>
      <c r="BU838" s="4"/>
    </row>
    <row r="839">
      <c r="AK839" s="1"/>
      <c r="AQ839" s="1"/>
      <c r="AW839" s="1"/>
      <c r="BC839" s="1"/>
      <c r="BD839" s="1"/>
      <c r="BE839" s="1"/>
      <c r="BF839" s="1"/>
      <c r="BG839" s="1"/>
      <c r="BH839" s="1"/>
      <c r="BI839" s="1"/>
      <c r="BO839" s="1"/>
      <c r="BP839" s="1"/>
      <c r="BQ839" s="1"/>
      <c r="BR839" s="1"/>
      <c r="BS839" s="1"/>
      <c r="BT839" s="1"/>
      <c r="BU839" s="4"/>
    </row>
    <row r="840">
      <c r="AK840" s="1"/>
      <c r="AQ840" s="1"/>
      <c r="AW840" s="1"/>
      <c r="BC840" s="1"/>
      <c r="BD840" s="1"/>
      <c r="BE840" s="1"/>
      <c r="BF840" s="1"/>
      <c r="BG840" s="1"/>
      <c r="BH840" s="1"/>
      <c r="BI840" s="1"/>
      <c r="BO840" s="1"/>
      <c r="BP840" s="1"/>
      <c r="BQ840" s="1"/>
      <c r="BR840" s="1"/>
      <c r="BS840" s="1"/>
      <c r="BT840" s="1"/>
      <c r="BU840" s="4"/>
    </row>
    <row r="841">
      <c r="AK841" s="1"/>
      <c r="AQ841" s="1"/>
      <c r="AW841" s="1"/>
      <c r="BC841" s="1"/>
      <c r="BD841" s="1"/>
      <c r="BE841" s="1"/>
      <c r="BF841" s="1"/>
      <c r="BG841" s="1"/>
      <c r="BH841" s="1"/>
      <c r="BI841" s="1"/>
      <c r="BO841" s="1"/>
      <c r="BP841" s="1"/>
      <c r="BQ841" s="1"/>
      <c r="BR841" s="1"/>
      <c r="BS841" s="1"/>
      <c r="BT841" s="1"/>
      <c r="BU841" s="4"/>
    </row>
    <row r="842">
      <c r="AK842" s="1"/>
      <c r="AQ842" s="1"/>
      <c r="AW842" s="1"/>
      <c r="BC842" s="1"/>
      <c r="BD842" s="1"/>
      <c r="BE842" s="1"/>
      <c r="BF842" s="1"/>
      <c r="BG842" s="1"/>
      <c r="BH842" s="1"/>
      <c r="BI842" s="1"/>
      <c r="BO842" s="1"/>
      <c r="BP842" s="1"/>
      <c r="BQ842" s="1"/>
      <c r="BR842" s="1"/>
      <c r="BS842" s="1"/>
      <c r="BT842" s="1"/>
      <c r="BU842" s="4"/>
    </row>
    <row r="843">
      <c r="AK843" s="1"/>
      <c r="AQ843" s="1"/>
      <c r="AW843" s="1"/>
      <c r="BC843" s="1"/>
      <c r="BD843" s="1"/>
      <c r="BE843" s="1"/>
      <c r="BF843" s="1"/>
      <c r="BG843" s="1"/>
      <c r="BH843" s="1"/>
      <c r="BI843" s="1"/>
      <c r="BO843" s="1"/>
      <c r="BP843" s="1"/>
      <c r="BQ843" s="1"/>
      <c r="BR843" s="1"/>
      <c r="BS843" s="1"/>
      <c r="BT843" s="1"/>
      <c r="BU843" s="4"/>
    </row>
    <row r="844">
      <c r="AK844" s="1"/>
      <c r="AQ844" s="1"/>
      <c r="AW844" s="1"/>
      <c r="BC844" s="1"/>
      <c r="BD844" s="1"/>
      <c r="BE844" s="1"/>
      <c r="BF844" s="1"/>
      <c r="BG844" s="1"/>
      <c r="BH844" s="1"/>
      <c r="BI844" s="1"/>
      <c r="BO844" s="1"/>
      <c r="BP844" s="1"/>
      <c r="BQ844" s="1"/>
      <c r="BR844" s="1"/>
      <c r="BS844" s="1"/>
      <c r="BT844" s="1"/>
      <c r="BU844" s="4"/>
    </row>
    <row r="845">
      <c r="AK845" s="1"/>
      <c r="AQ845" s="1"/>
      <c r="AW845" s="1"/>
      <c r="BC845" s="1"/>
      <c r="BD845" s="1"/>
      <c r="BE845" s="1"/>
      <c r="BF845" s="1"/>
      <c r="BG845" s="1"/>
      <c r="BH845" s="1"/>
      <c r="BI845" s="1"/>
      <c r="BO845" s="1"/>
      <c r="BP845" s="1"/>
      <c r="BQ845" s="1"/>
      <c r="BR845" s="1"/>
      <c r="BS845" s="1"/>
      <c r="BT845" s="1"/>
      <c r="BU845" s="4"/>
    </row>
    <row r="846">
      <c r="AK846" s="1"/>
      <c r="AQ846" s="1"/>
      <c r="AW846" s="1"/>
      <c r="BC846" s="1"/>
      <c r="BD846" s="1"/>
      <c r="BE846" s="1"/>
      <c r="BF846" s="1"/>
      <c r="BG846" s="1"/>
      <c r="BH846" s="1"/>
      <c r="BI846" s="1"/>
      <c r="BO846" s="1"/>
      <c r="BP846" s="1"/>
      <c r="BQ846" s="1"/>
      <c r="BR846" s="1"/>
      <c r="BS846" s="1"/>
      <c r="BT846" s="1"/>
      <c r="BU846" s="4"/>
    </row>
    <row r="847">
      <c r="AK847" s="1"/>
      <c r="AQ847" s="1"/>
      <c r="AW847" s="1"/>
      <c r="BC847" s="1"/>
      <c r="BD847" s="1"/>
      <c r="BE847" s="1"/>
      <c r="BF847" s="1"/>
      <c r="BG847" s="1"/>
      <c r="BH847" s="1"/>
      <c r="BI847" s="1"/>
      <c r="BO847" s="1"/>
      <c r="BP847" s="1"/>
      <c r="BQ847" s="1"/>
      <c r="BR847" s="1"/>
      <c r="BS847" s="1"/>
      <c r="BT847" s="1"/>
      <c r="BU847" s="4"/>
    </row>
    <row r="848">
      <c r="AK848" s="1"/>
      <c r="AQ848" s="1"/>
      <c r="AW848" s="1"/>
      <c r="BC848" s="1"/>
      <c r="BD848" s="1"/>
      <c r="BE848" s="1"/>
      <c r="BF848" s="1"/>
      <c r="BG848" s="1"/>
      <c r="BH848" s="1"/>
      <c r="BI848" s="1"/>
      <c r="BO848" s="1"/>
      <c r="BP848" s="1"/>
      <c r="BQ848" s="1"/>
      <c r="BR848" s="1"/>
      <c r="BS848" s="1"/>
      <c r="BT848" s="1"/>
      <c r="BU848" s="4"/>
    </row>
    <row r="849">
      <c r="AK849" s="1"/>
      <c r="AQ849" s="1"/>
      <c r="AW849" s="1"/>
      <c r="BC849" s="1"/>
      <c r="BD849" s="1"/>
      <c r="BE849" s="1"/>
      <c r="BF849" s="1"/>
      <c r="BG849" s="1"/>
      <c r="BH849" s="1"/>
      <c r="BI849" s="1"/>
      <c r="BO849" s="1"/>
      <c r="BP849" s="1"/>
      <c r="BQ849" s="1"/>
      <c r="BR849" s="1"/>
      <c r="BS849" s="1"/>
      <c r="BT849" s="1"/>
      <c r="BU849" s="4"/>
    </row>
    <row r="850">
      <c r="AK850" s="1"/>
      <c r="AQ850" s="1"/>
      <c r="AW850" s="1"/>
      <c r="BC850" s="1"/>
      <c r="BD850" s="1"/>
      <c r="BE850" s="1"/>
      <c r="BF850" s="1"/>
      <c r="BG850" s="1"/>
      <c r="BH850" s="1"/>
      <c r="BI850" s="1"/>
      <c r="BO850" s="1"/>
      <c r="BP850" s="1"/>
      <c r="BQ850" s="1"/>
      <c r="BR850" s="1"/>
      <c r="BS850" s="1"/>
      <c r="BT850" s="1"/>
      <c r="BU850" s="4"/>
    </row>
    <row r="851">
      <c r="AK851" s="1"/>
      <c r="AQ851" s="1"/>
      <c r="AW851" s="1"/>
      <c r="BC851" s="1"/>
      <c r="BD851" s="1"/>
      <c r="BE851" s="1"/>
      <c r="BF851" s="1"/>
      <c r="BG851" s="1"/>
      <c r="BH851" s="1"/>
      <c r="BI851" s="1"/>
      <c r="BO851" s="1"/>
      <c r="BP851" s="1"/>
      <c r="BQ851" s="1"/>
      <c r="BR851" s="1"/>
      <c r="BS851" s="1"/>
      <c r="BT851" s="1"/>
      <c r="BU851" s="4"/>
    </row>
    <row r="852">
      <c r="AK852" s="1"/>
      <c r="AQ852" s="1"/>
      <c r="AW852" s="1"/>
      <c r="BC852" s="1"/>
      <c r="BD852" s="1"/>
      <c r="BE852" s="1"/>
      <c r="BF852" s="1"/>
      <c r="BG852" s="1"/>
      <c r="BH852" s="1"/>
      <c r="BI852" s="1"/>
      <c r="BO852" s="1"/>
      <c r="BP852" s="1"/>
      <c r="BQ852" s="1"/>
      <c r="BR852" s="1"/>
      <c r="BS852" s="1"/>
      <c r="BT852" s="1"/>
      <c r="BU852" s="4"/>
    </row>
    <row r="853">
      <c r="AK853" s="1"/>
      <c r="AQ853" s="1"/>
      <c r="AW853" s="1"/>
      <c r="BC853" s="1"/>
      <c r="BD853" s="1"/>
      <c r="BE853" s="1"/>
      <c r="BF853" s="1"/>
      <c r="BG853" s="1"/>
      <c r="BH853" s="1"/>
      <c r="BI853" s="1"/>
      <c r="BO853" s="1"/>
      <c r="BP853" s="1"/>
      <c r="BQ853" s="1"/>
      <c r="BR853" s="1"/>
      <c r="BS853" s="1"/>
      <c r="BT853" s="1"/>
      <c r="BU853" s="4"/>
    </row>
    <row r="854">
      <c r="AK854" s="1"/>
      <c r="AQ854" s="1"/>
      <c r="AW854" s="1"/>
      <c r="BC854" s="1"/>
      <c r="BD854" s="1"/>
      <c r="BE854" s="1"/>
      <c r="BF854" s="1"/>
      <c r="BG854" s="1"/>
      <c r="BH854" s="1"/>
      <c r="BI854" s="1"/>
      <c r="BO854" s="1"/>
      <c r="BP854" s="1"/>
      <c r="BQ854" s="1"/>
      <c r="BR854" s="1"/>
      <c r="BS854" s="1"/>
      <c r="BT854" s="1"/>
      <c r="BU854" s="4"/>
    </row>
    <row r="855">
      <c r="AK855" s="1"/>
      <c r="AQ855" s="1"/>
      <c r="AW855" s="1"/>
      <c r="BC855" s="1"/>
      <c r="BD855" s="1"/>
      <c r="BE855" s="1"/>
      <c r="BF855" s="1"/>
      <c r="BG855" s="1"/>
      <c r="BH855" s="1"/>
      <c r="BI855" s="1"/>
      <c r="BO855" s="1"/>
      <c r="BP855" s="1"/>
      <c r="BQ855" s="1"/>
      <c r="BR855" s="1"/>
      <c r="BS855" s="1"/>
      <c r="BT855" s="1"/>
      <c r="BU855" s="4"/>
    </row>
    <row r="856">
      <c r="AK856" s="1"/>
      <c r="AQ856" s="1"/>
      <c r="AW856" s="1"/>
      <c r="BC856" s="1"/>
      <c r="BD856" s="1"/>
      <c r="BE856" s="1"/>
      <c r="BF856" s="1"/>
      <c r="BG856" s="1"/>
      <c r="BH856" s="1"/>
      <c r="BI856" s="1"/>
      <c r="BO856" s="1"/>
      <c r="BP856" s="1"/>
      <c r="BQ856" s="1"/>
      <c r="BR856" s="1"/>
      <c r="BS856" s="1"/>
      <c r="BT856" s="1"/>
      <c r="BU856" s="4"/>
    </row>
    <row r="857">
      <c r="AK857" s="1"/>
      <c r="AQ857" s="1"/>
      <c r="AW857" s="1"/>
      <c r="BC857" s="1"/>
      <c r="BD857" s="1"/>
      <c r="BE857" s="1"/>
      <c r="BF857" s="1"/>
      <c r="BG857" s="1"/>
      <c r="BH857" s="1"/>
      <c r="BI857" s="1"/>
      <c r="BO857" s="1"/>
      <c r="BP857" s="1"/>
      <c r="BQ857" s="1"/>
      <c r="BR857" s="1"/>
      <c r="BS857" s="1"/>
      <c r="BT857" s="1"/>
      <c r="BU857" s="4"/>
    </row>
    <row r="858">
      <c r="AK858" s="1"/>
      <c r="AQ858" s="1"/>
      <c r="AW858" s="1"/>
      <c r="BC858" s="1"/>
      <c r="BD858" s="1"/>
      <c r="BE858" s="1"/>
      <c r="BF858" s="1"/>
      <c r="BG858" s="1"/>
      <c r="BH858" s="1"/>
      <c r="BI858" s="1"/>
      <c r="BO858" s="1"/>
      <c r="BP858" s="1"/>
      <c r="BQ858" s="1"/>
      <c r="BR858" s="1"/>
      <c r="BS858" s="1"/>
      <c r="BT858" s="1"/>
      <c r="BU858" s="4"/>
    </row>
    <row r="859">
      <c r="AK859" s="1"/>
      <c r="AQ859" s="1"/>
      <c r="AW859" s="1"/>
      <c r="BC859" s="1"/>
      <c r="BD859" s="1"/>
      <c r="BE859" s="1"/>
      <c r="BF859" s="1"/>
      <c r="BG859" s="1"/>
      <c r="BH859" s="1"/>
      <c r="BI859" s="1"/>
      <c r="BO859" s="1"/>
      <c r="BP859" s="1"/>
      <c r="BQ859" s="1"/>
      <c r="BR859" s="1"/>
      <c r="BS859" s="1"/>
      <c r="BT859" s="1"/>
      <c r="BU859" s="4"/>
    </row>
    <row r="860">
      <c r="AK860" s="1"/>
      <c r="AQ860" s="1"/>
      <c r="AW860" s="1"/>
      <c r="BC860" s="1"/>
      <c r="BD860" s="1"/>
      <c r="BE860" s="1"/>
      <c r="BF860" s="1"/>
      <c r="BG860" s="1"/>
      <c r="BH860" s="1"/>
      <c r="BI860" s="1"/>
      <c r="BO860" s="1"/>
      <c r="BP860" s="1"/>
      <c r="BQ860" s="1"/>
      <c r="BR860" s="1"/>
      <c r="BS860" s="1"/>
      <c r="BT860" s="1"/>
      <c r="BU860" s="4"/>
    </row>
    <row r="861">
      <c r="AK861" s="1"/>
      <c r="AQ861" s="1"/>
      <c r="AW861" s="1"/>
      <c r="BC861" s="1"/>
      <c r="BD861" s="1"/>
      <c r="BE861" s="1"/>
      <c r="BF861" s="1"/>
      <c r="BG861" s="1"/>
      <c r="BH861" s="1"/>
      <c r="BI861" s="1"/>
      <c r="BO861" s="1"/>
      <c r="BP861" s="1"/>
      <c r="BQ861" s="1"/>
      <c r="BR861" s="1"/>
      <c r="BS861" s="1"/>
      <c r="BT861" s="1"/>
      <c r="BU861" s="4"/>
    </row>
    <row r="862">
      <c r="AK862" s="1"/>
      <c r="AQ862" s="1"/>
      <c r="AW862" s="1"/>
      <c r="BC862" s="1"/>
      <c r="BD862" s="1"/>
      <c r="BE862" s="1"/>
      <c r="BF862" s="1"/>
      <c r="BG862" s="1"/>
      <c r="BH862" s="1"/>
      <c r="BI862" s="1"/>
      <c r="BO862" s="1"/>
      <c r="BP862" s="1"/>
      <c r="BQ862" s="1"/>
      <c r="BR862" s="1"/>
      <c r="BS862" s="1"/>
      <c r="BT862" s="1"/>
      <c r="BU862" s="4"/>
    </row>
    <row r="863">
      <c r="AK863" s="1"/>
      <c r="AQ863" s="1"/>
      <c r="AW863" s="1"/>
      <c r="BC863" s="1"/>
      <c r="BD863" s="1"/>
      <c r="BE863" s="1"/>
      <c r="BF863" s="1"/>
      <c r="BG863" s="1"/>
      <c r="BH863" s="1"/>
      <c r="BI863" s="1"/>
      <c r="BO863" s="1"/>
      <c r="BP863" s="1"/>
      <c r="BQ863" s="1"/>
      <c r="BR863" s="1"/>
      <c r="BS863" s="1"/>
      <c r="BT863" s="1"/>
      <c r="BU863" s="4"/>
    </row>
    <row r="864">
      <c r="AK864" s="1"/>
      <c r="AQ864" s="1"/>
      <c r="AW864" s="1"/>
      <c r="BC864" s="1"/>
      <c r="BD864" s="1"/>
      <c r="BE864" s="1"/>
      <c r="BF864" s="1"/>
      <c r="BG864" s="1"/>
      <c r="BH864" s="1"/>
      <c r="BI864" s="1"/>
      <c r="BO864" s="1"/>
      <c r="BP864" s="1"/>
      <c r="BQ864" s="1"/>
      <c r="BR864" s="1"/>
      <c r="BS864" s="1"/>
      <c r="BT864" s="1"/>
      <c r="BU864" s="4"/>
    </row>
    <row r="865">
      <c r="AK865" s="1"/>
      <c r="AQ865" s="1"/>
      <c r="AW865" s="1"/>
      <c r="BC865" s="1"/>
      <c r="BD865" s="1"/>
      <c r="BE865" s="1"/>
      <c r="BF865" s="1"/>
      <c r="BG865" s="1"/>
      <c r="BH865" s="1"/>
      <c r="BI865" s="1"/>
      <c r="BO865" s="1"/>
      <c r="BP865" s="1"/>
      <c r="BQ865" s="1"/>
      <c r="BR865" s="1"/>
      <c r="BS865" s="1"/>
      <c r="BT865" s="1"/>
      <c r="BU865" s="4"/>
    </row>
    <row r="866">
      <c r="AK866" s="1"/>
      <c r="AQ866" s="1"/>
      <c r="AW866" s="1"/>
      <c r="BC866" s="1"/>
      <c r="BD866" s="1"/>
      <c r="BE866" s="1"/>
      <c r="BF866" s="1"/>
      <c r="BG866" s="1"/>
      <c r="BH866" s="1"/>
      <c r="BI866" s="1"/>
      <c r="BO866" s="1"/>
      <c r="BP866" s="1"/>
      <c r="BQ866" s="1"/>
      <c r="BR866" s="1"/>
      <c r="BS866" s="1"/>
      <c r="BT866" s="1"/>
      <c r="BU866" s="4"/>
    </row>
    <row r="867">
      <c r="AK867" s="1"/>
      <c r="AQ867" s="1"/>
      <c r="AW867" s="1"/>
      <c r="BC867" s="1"/>
      <c r="BD867" s="1"/>
      <c r="BE867" s="1"/>
      <c r="BF867" s="1"/>
      <c r="BG867" s="1"/>
      <c r="BH867" s="1"/>
      <c r="BI867" s="1"/>
      <c r="BO867" s="1"/>
      <c r="BP867" s="1"/>
      <c r="BQ867" s="1"/>
      <c r="BR867" s="1"/>
      <c r="BS867" s="1"/>
      <c r="BT867" s="1"/>
      <c r="BU867" s="4"/>
    </row>
    <row r="868">
      <c r="AK868" s="1"/>
      <c r="AQ868" s="1"/>
      <c r="AW868" s="1"/>
      <c r="BC868" s="1"/>
      <c r="BD868" s="1"/>
      <c r="BE868" s="1"/>
      <c r="BF868" s="1"/>
      <c r="BG868" s="1"/>
      <c r="BH868" s="1"/>
      <c r="BI868" s="1"/>
      <c r="BO868" s="1"/>
      <c r="BP868" s="1"/>
      <c r="BQ868" s="1"/>
      <c r="BR868" s="1"/>
      <c r="BS868" s="1"/>
      <c r="BT868" s="1"/>
      <c r="BU868" s="4"/>
    </row>
    <row r="869">
      <c r="AK869" s="1"/>
      <c r="AQ869" s="1"/>
      <c r="AW869" s="1"/>
      <c r="BC869" s="1"/>
      <c r="BD869" s="1"/>
      <c r="BE869" s="1"/>
      <c r="BF869" s="1"/>
      <c r="BG869" s="1"/>
      <c r="BH869" s="1"/>
      <c r="BI869" s="1"/>
      <c r="BO869" s="1"/>
      <c r="BP869" s="1"/>
      <c r="BQ869" s="1"/>
      <c r="BR869" s="1"/>
      <c r="BS869" s="1"/>
      <c r="BT869" s="1"/>
      <c r="BU869" s="4"/>
    </row>
    <row r="870">
      <c r="AK870" s="1"/>
      <c r="AQ870" s="1"/>
      <c r="AW870" s="1"/>
      <c r="BC870" s="1"/>
      <c r="BD870" s="1"/>
      <c r="BE870" s="1"/>
      <c r="BF870" s="1"/>
      <c r="BG870" s="1"/>
      <c r="BH870" s="1"/>
      <c r="BI870" s="1"/>
      <c r="BO870" s="1"/>
      <c r="BP870" s="1"/>
      <c r="BQ870" s="1"/>
      <c r="BR870" s="1"/>
      <c r="BS870" s="1"/>
      <c r="BT870" s="1"/>
      <c r="BU870" s="4"/>
    </row>
    <row r="871">
      <c r="AK871" s="1"/>
      <c r="AQ871" s="1"/>
      <c r="AW871" s="1"/>
      <c r="BC871" s="1"/>
      <c r="BD871" s="1"/>
      <c r="BE871" s="1"/>
      <c r="BF871" s="1"/>
      <c r="BG871" s="1"/>
      <c r="BH871" s="1"/>
      <c r="BI871" s="1"/>
      <c r="BO871" s="1"/>
      <c r="BP871" s="1"/>
      <c r="BQ871" s="1"/>
      <c r="BR871" s="1"/>
      <c r="BS871" s="1"/>
      <c r="BT871" s="1"/>
      <c r="BU871" s="4"/>
    </row>
    <row r="872">
      <c r="AK872" s="1"/>
      <c r="AQ872" s="1"/>
      <c r="AW872" s="1"/>
      <c r="BC872" s="1"/>
      <c r="BD872" s="1"/>
      <c r="BE872" s="1"/>
      <c r="BF872" s="1"/>
      <c r="BG872" s="1"/>
      <c r="BH872" s="1"/>
      <c r="BI872" s="1"/>
      <c r="BO872" s="1"/>
      <c r="BP872" s="1"/>
      <c r="BQ872" s="1"/>
      <c r="BR872" s="1"/>
      <c r="BS872" s="1"/>
      <c r="BT872" s="1"/>
      <c r="BU872" s="4"/>
    </row>
    <row r="873">
      <c r="AK873" s="1"/>
      <c r="AQ873" s="1"/>
      <c r="AW873" s="1"/>
      <c r="BC873" s="1"/>
      <c r="BD873" s="1"/>
      <c r="BE873" s="1"/>
      <c r="BF873" s="1"/>
      <c r="BG873" s="1"/>
      <c r="BH873" s="1"/>
      <c r="BI873" s="1"/>
      <c r="BO873" s="1"/>
      <c r="BP873" s="1"/>
      <c r="BQ873" s="1"/>
      <c r="BR873" s="1"/>
      <c r="BS873" s="1"/>
      <c r="BT873" s="1"/>
      <c r="BU873" s="4"/>
    </row>
    <row r="874">
      <c r="AK874" s="1"/>
      <c r="AQ874" s="1"/>
      <c r="AW874" s="1"/>
      <c r="BC874" s="1"/>
      <c r="BD874" s="1"/>
      <c r="BE874" s="1"/>
      <c r="BF874" s="1"/>
      <c r="BG874" s="1"/>
      <c r="BH874" s="1"/>
      <c r="BI874" s="1"/>
      <c r="BO874" s="1"/>
      <c r="BP874" s="1"/>
      <c r="BQ874" s="1"/>
      <c r="BR874" s="1"/>
      <c r="BS874" s="1"/>
      <c r="BT874" s="1"/>
      <c r="BU874" s="4"/>
    </row>
    <row r="875">
      <c r="AK875" s="1"/>
      <c r="AQ875" s="1"/>
      <c r="AW875" s="1"/>
      <c r="BC875" s="1"/>
      <c r="BD875" s="1"/>
      <c r="BE875" s="1"/>
      <c r="BF875" s="1"/>
      <c r="BG875" s="1"/>
      <c r="BH875" s="1"/>
      <c r="BI875" s="1"/>
      <c r="BO875" s="1"/>
      <c r="BP875" s="1"/>
      <c r="BQ875" s="1"/>
      <c r="BR875" s="1"/>
      <c r="BS875" s="1"/>
      <c r="BT875" s="1"/>
      <c r="BU875" s="4"/>
    </row>
    <row r="876">
      <c r="AK876" s="1"/>
      <c r="AQ876" s="1"/>
      <c r="AW876" s="1"/>
      <c r="BC876" s="1"/>
      <c r="BD876" s="1"/>
      <c r="BE876" s="1"/>
      <c r="BF876" s="1"/>
      <c r="BG876" s="1"/>
      <c r="BH876" s="1"/>
      <c r="BI876" s="1"/>
      <c r="BO876" s="1"/>
      <c r="BP876" s="1"/>
      <c r="BQ876" s="1"/>
      <c r="BR876" s="1"/>
      <c r="BS876" s="1"/>
      <c r="BT876" s="1"/>
      <c r="BU876" s="4"/>
    </row>
    <row r="877">
      <c r="AK877" s="1"/>
      <c r="AQ877" s="1"/>
      <c r="AW877" s="1"/>
      <c r="BC877" s="1"/>
      <c r="BD877" s="1"/>
      <c r="BE877" s="1"/>
      <c r="BF877" s="1"/>
      <c r="BG877" s="1"/>
      <c r="BH877" s="1"/>
      <c r="BI877" s="1"/>
      <c r="BO877" s="1"/>
      <c r="BP877" s="1"/>
      <c r="BQ877" s="1"/>
      <c r="BR877" s="1"/>
      <c r="BS877" s="1"/>
      <c r="BT877" s="1"/>
      <c r="BU877" s="4"/>
    </row>
    <row r="878">
      <c r="AK878" s="1"/>
      <c r="AQ878" s="1"/>
      <c r="AW878" s="1"/>
      <c r="BC878" s="1"/>
      <c r="BD878" s="1"/>
      <c r="BE878" s="1"/>
      <c r="BF878" s="1"/>
      <c r="BG878" s="1"/>
      <c r="BH878" s="1"/>
      <c r="BI878" s="1"/>
      <c r="BO878" s="1"/>
      <c r="BP878" s="1"/>
      <c r="BQ878" s="1"/>
      <c r="BR878" s="1"/>
      <c r="BS878" s="1"/>
      <c r="BT878" s="1"/>
      <c r="BU878" s="4"/>
    </row>
    <row r="879">
      <c r="AK879" s="1"/>
      <c r="AQ879" s="1"/>
      <c r="AW879" s="1"/>
      <c r="BC879" s="1"/>
      <c r="BD879" s="1"/>
      <c r="BE879" s="1"/>
      <c r="BF879" s="1"/>
      <c r="BG879" s="1"/>
      <c r="BH879" s="1"/>
      <c r="BI879" s="1"/>
      <c r="BO879" s="1"/>
      <c r="BP879" s="1"/>
      <c r="BQ879" s="1"/>
      <c r="BR879" s="1"/>
      <c r="BS879" s="1"/>
      <c r="BT879" s="1"/>
      <c r="BU879" s="4"/>
    </row>
    <row r="880">
      <c r="AK880" s="1"/>
      <c r="AQ880" s="1"/>
      <c r="AW880" s="1"/>
      <c r="BC880" s="1"/>
      <c r="BD880" s="1"/>
      <c r="BE880" s="1"/>
      <c r="BF880" s="1"/>
      <c r="BG880" s="1"/>
      <c r="BH880" s="1"/>
      <c r="BI880" s="1"/>
      <c r="BO880" s="1"/>
      <c r="BP880" s="1"/>
      <c r="BQ880" s="1"/>
      <c r="BR880" s="1"/>
      <c r="BS880" s="1"/>
      <c r="BT880" s="1"/>
      <c r="BU880" s="4"/>
    </row>
    <row r="881">
      <c r="AK881" s="1"/>
      <c r="AQ881" s="1"/>
      <c r="AW881" s="1"/>
      <c r="BC881" s="1"/>
      <c r="BD881" s="1"/>
      <c r="BE881" s="1"/>
      <c r="BF881" s="1"/>
      <c r="BG881" s="1"/>
      <c r="BH881" s="1"/>
      <c r="BI881" s="1"/>
      <c r="BO881" s="1"/>
      <c r="BP881" s="1"/>
      <c r="BQ881" s="1"/>
      <c r="BR881" s="1"/>
      <c r="BS881" s="1"/>
      <c r="BT881" s="1"/>
      <c r="BU881" s="4"/>
    </row>
    <row r="882">
      <c r="AK882" s="1"/>
      <c r="AQ882" s="1"/>
      <c r="AW882" s="1"/>
      <c r="BC882" s="1"/>
      <c r="BD882" s="1"/>
      <c r="BE882" s="1"/>
      <c r="BF882" s="1"/>
      <c r="BG882" s="1"/>
      <c r="BH882" s="1"/>
      <c r="BI882" s="1"/>
      <c r="BO882" s="1"/>
      <c r="BP882" s="1"/>
      <c r="BQ882" s="1"/>
      <c r="BR882" s="1"/>
      <c r="BS882" s="1"/>
      <c r="BT882" s="1"/>
      <c r="BU882" s="4"/>
    </row>
    <row r="883">
      <c r="AK883" s="1"/>
      <c r="AQ883" s="1"/>
      <c r="AW883" s="1"/>
      <c r="BC883" s="1"/>
      <c r="BD883" s="1"/>
      <c r="BE883" s="1"/>
      <c r="BF883" s="1"/>
      <c r="BG883" s="1"/>
      <c r="BH883" s="1"/>
      <c r="BI883" s="1"/>
      <c r="BO883" s="1"/>
      <c r="BP883" s="1"/>
      <c r="BQ883" s="1"/>
      <c r="BR883" s="1"/>
      <c r="BS883" s="1"/>
      <c r="BT883" s="1"/>
      <c r="BU883" s="4"/>
    </row>
    <row r="884">
      <c r="AK884" s="1"/>
      <c r="AQ884" s="1"/>
      <c r="AW884" s="1"/>
      <c r="BC884" s="1"/>
      <c r="BD884" s="1"/>
      <c r="BE884" s="1"/>
      <c r="BF884" s="1"/>
      <c r="BG884" s="1"/>
      <c r="BH884" s="1"/>
      <c r="BI884" s="1"/>
      <c r="BO884" s="1"/>
      <c r="BP884" s="1"/>
      <c r="BQ884" s="1"/>
      <c r="BR884" s="1"/>
      <c r="BS884" s="1"/>
      <c r="BT884" s="1"/>
      <c r="BU884" s="4"/>
    </row>
    <row r="885">
      <c r="AK885" s="1"/>
      <c r="AQ885" s="1"/>
      <c r="AW885" s="1"/>
      <c r="BC885" s="1"/>
      <c r="BD885" s="1"/>
      <c r="BE885" s="1"/>
      <c r="BF885" s="1"/>
      <c r="BG885" s="1"/>
      <c r="BH885" s="1"/>
      <c r="BI885" s="1"/>
      <c r="BO885" s="1"/>
      <c r="BP885" s="1"/>
      <c r="BQ885" s="1"/>
      <c r="BR885" s="1"/>
      <c r="BS885" s="1"/>
      <c r="BT885" s="1"/>
      <c r="BU885" s="4"/>
    </row>
    <row r="886">
      <c r="AK886" s="1"/>
      <c r="AQ886" s="1"/>
      <c r="AW886" s="1"/>
      <c r="BC886" s="1"/>
      <c r="BD886" s="1"/>
      <c r="BE886" s="1"/>
      <c r="BF886" s="1"/>
      <c r="BG886" s="1"/>
      <c r="BH886" s="1"/>
      <c r="BI886" s="1"/>
      <c r="BO886" s="1"/>
      <c r="BP886" s="1"/>
      <c r="BQ886" s="1"/>
      <c r="BR886" s="1"/>
      <c r="BS886" s="1"/>
      <c r="BT886" s="1"/>
      <c r="BU886" s="4"/>
    </row>
    <row r="887">
      <c r="AK887" s="1"/>
      <c r="AQ887" s="1"/>
      <c r="AW887" s="1"/>
      <c r="BC887" s="1"/>
      <c r="BD887" s="1"/>
      <c r="BE887" s="1"/>
      <c r="BF887" s="1"/>
      <c r="BG887" s="1"/>
      <c r="BH887" s="1"/>
      <c r="BI887" s="1"/>
      <c r="BO887" s="1"/>
      <c r="BP887" s="1"/>
      <c r="BQ887" s="1"/>
      <c r="BR887" s="1"/>
      <c r="BS887" s="1"/>
      <c r="BT887" s="1"/>
      <c r="BU887" s="4"/>
    </row>
    <row r="888">
      <c r="AK888" s="1"/>
      <c r="AQ888" s="1"/>
      <c r="AW888" s="1"/>
      <c r="BC888" s="1"/>
      <c r="BD888" s="1"/>
      <c r="BE888" s="1"/>
      <c r="BF888" s="1"/>
      <c r="BG888" s="1"/>
      <c r="BH888" s="1"/>
      <c r="BI888" s="1"/>
      <c r="BO888" s="1"/>
      <c r="BP888" s="1"/>
      <c r="BQ888" s="1"/>
      <c r="BR888" s="1"/>
      <c r="BS888" s="1"/>
      <c r="BT888" s="1"/>
      <c r="BU888" s="4"/>
    </row>
    <row r="889">
      <c r="AK889" s="1"/>
      <c r="AQ889" s="1"/>
      <c r="AW889" s="1"/>
      <c r="BC889" s="1"/>
      <c r="BD889" s="1"/>
      <c r="BE889" s="1"/>
      <c r="BF889" s="1"/>
      <c r="BG889" s="1"/>
      <c r="BH889" s="1"/>
      <c r="BI889" s="1"/>
      <c r="BO889" s="1"/>
      <c r="BP889" s="1"/>
      <c r="BQ889" s="1"/>
      <c r="BR889" s="1"/>
      <c r="BS889" s="1"/>
      <c r="BT889" s="1"/>
      <c r="BU889" s="4"/>
    </row>
    <row r="890">
      <c r="AK890" s="1"/>
      <c r="AQ890" s="1"/>
      <c r="AW890" s="1"/>
      <c r="BC890" s="1"/>
      <c r="BD890" s="1"/>
      <c r="BE890" s="1"/>
      <c r="BF890" s="1"/>
      <c r="BG890" s="1"/>
      <c r="BH890" s="1"/>
      <c r="BI890" s="1"/>
      <c r="BO890" s="1"/>
      <c r="BP890" s="1"/>
      <c r="BQ890" s="1"/>
      <c r="BR890" s="1"/>
      <c r="BS890" s="1"/>
      <c r="BT890" s="1"/>
      <c r="BU890" s="4"/>
    </row>
    <row r="891">
      <c r="AK891" s="1"/>
      <c r="AQ891" s="1"/>
      <c r="AW891" s="1"/>
      <c r="BC891" s="1"/>
      <c r="BD891" s="1"/>
      <c r="BE891" s="1"/>
      <c r="BF891" s="1"/>
      <c r="BG891" s="1"/>
      <c r="BH891" s="1"/>
      <c r="BI891" s="1"/>
      <c r="BO891" s="1"/>
      <c r="BP891" s="1"/>
      <c r="BQ891" s="1"/>
      <c r="BR891" s="1"/>
      <c r="BS891" s="1"/>
      <c r="BT891" s="1"/>
      <c r="BU891" s="4"/>
    </row>
    <row r="892">
      <c r="AK892" s="1"/>
      <c r="AQ892" s="1"/>
      <c r="AW892" s="1"/>
      <c r="BC892" s="1"/>
      <c r="BD892" s="1"/>
      <c r="BE892" s="1"/>
      <c r="BF892" s="1"/>
      <c r="BG892" s="1"/>
      <c r="BH892" s="1"/>
      <c r="BI892" s="1"/>
      <c r="BO892" s="1"/>
      <c r="BP892" s="1"/>
      <c r="BQ892" s="1"/>
      <c r="BR892" s="1"/>
      <c r="BS892" s="1"/>
      <c r="BT892" s="1"/>
      <c r="BU892" s="4"/>
    </row>
    <row r="893">
      <c r="AK893" s="1"/>
      <c r="AQ893" s="1"/>
      <c r="AW893" s="1"/>
      <c r="BC893" s="1"/>
      <c r="BD893" s="1"/>
      <c r="BE893" s="1"/>
      <c r="BF893" s="1"/>
      <c r="BG893" s="1"/>
      <c r="BH893" s="1"/>
      <c r="BI893" s="1"/>
      <c r="BO893" s="1"/>
      <c r="BP893" s="1"/>
      <c r="BQ893" s="1"/>
      <c r="BR893" s="1"/>
      <c r="BS893" s="1"/>
      <c r="BT893" s="1"/>
      <c r="BU893" s="4"/>
    </row>
    <row r="894">
      <c r="AK894" s="1"/>
      <c r="AQ894" s="1"/>
      <c r="AW894" s="1"/>
      <c r="BC894" s="1"/>
      <c r="BD894" s="1"/>
      <c r="BE894" s="1"/>
      <c r="BF894" s="1"/>
      <c r="BG894" s="1"/>
      <c r="BH894" s="1"/>
      <c r="BI894" s="1"/>
      <c r="BO894" s="1"/>
      <c r="BP894" s="1"/>
      <c r="BQ894" s="1"/>
      <c r="BR894" s="1"/>
      <c r="BS894" s="1"/>
      <c r="BT894" s="1"/>
      <c r="BU894" s="4"/>
    </row>
    <row r="895">
      <c r="AK895" s="1"/>
      <c r="AQ895" s="1"/>
      <c r="AW895" s="1"/>
      <c r="BC895" s="1"/>
      <c r="BD895" s="1"/>
      <c r="BE895" s="1"/>
      <c r="BF895" s="1"/>
      <c r="BG895" s="1"/>
      <c r="BH895" s="1"/>
      <c r="BI895" s="1"/>
      <c r="BO895" s="1"/>
      <c r="BP895" s="1"/>
      <c r="BQ895" s="1"/>
      <c r="BR895" s="1"/>
      <c r="BS895" s="1"/>
      <c r="BT895" s="1"/>
      <c r="BU895" s="4"/>
    </row>
    <row r="896">
      <c r="AK896" s="1"/>
      <c r="AQ896" s="1"/>
      <c r="AW896" s="1"/>
      <c r="BC896" s="1"/>
      <c r="BD896" s="1"/>
      <c r="BE896" s="1"/>
      <c r="BF896" s="1"/>
      <c r="BG896" s="1"/>
      <c r="BH896" s="1"/>
      <c r="BI896" s="1"/>
      <c r="BO896" s="1"/>
      <c r="BP896" s="1"/>
      <c r="BQ896" s="1"/>
      <c r="BR896" s="1"/>
      <c r="BS896" s="1"/>
      <c r="BT896" s="1"/>
      <c r="BU896" s="4"/>
    </row>
    <row r="897">
      <c r="AK897" s="1"/>
      <c r="AQ897" s="1"/>
      <c r="AW897" s="1"/>
      <c r="BC897" s="1"/>
      <c r="BD897" s="1"/>
      <c r="BE897" s="1"/>
      <c r="BF897" s="1"/>
      <c r="BG897" s="1"/>
      <c r="BH897" s="1"/>
      <c r="BI897" s="1"/>
      <c r="BO897" s="1"/>
      <c r="BP897" s="1"/>
      <c r="BQ897" s="1"/>
      <c r="BR897" s="1"/>
      <c r="BS897" s="1"/>
      <c r="BT897" s="1"/>
      <c r="BU897" s="4"/>
    </row>
    <row r="898">
      <c r="AK898" s="1"/>
      <c r="AQ898" s="1"/>
      <c r="AW898" s="1"/>
      <c r="BC898" s="1"/>
      <c r="BD898" s="1"/>
      <c r="BE898" s="1"/>
      <c r="BF898" s="1"/>
      <c r="BG898" s="1"/>
      <c r="BH898" s="1"/>
      <c r="BI898" s="1"/>
      <c r="BO898" s="1"/>
      <c r="BP898" s="1"/>
      <c r="BQ898" s="1"/>
      <c r="BR898" s="1"/>
      <c r="BS898" s="1"/>
      <c r="BT898" s="1"/>
      <c r="BU898" s="4"/>
    </row>
    <row r="899">
      <c r="AK899" s="1"/>
      <c r="AQ899" s="1"/>
      <c r="AW899" s="1"/>
      <c r="BC899" s="1"/>
      <c r="BD899" s="1"/>
      <c r="BE899" s="1"/>
      <c r="BF899" s="1"/>
      <c r="BG899" s="1"/>
      <c r="BH899" s="1"/>
      <c r="BI899" s="1"/>
      <c r="BO899" s="1"/>
      <c r="BP899" s="1"/>
      <c r="BQ899" s="1"/>
      <c r="BR899" s="1"/>
      <c r="BS899" s="1"/>
      <c r="BT899" s="1"/>
      <c r="BU899" s="4"/>
    </row>
    <row r="900">
      <c r="AK900" s="1"/>
      <c r="AQ900" s="1"/>
      <c r="AW900" s="1"/>
      <c r="BC900" s="1"/>
      <c r="BD900" s="1"/>
      <c r="BE900" s="1"/>
      <c r="BF900" s="1"/>
      <c r="BG900" s="1"/>
      <c r="BH900" s="1"/>
      <c r="BI900" s="1"/>
      <c r="BO900" s="1"/>
      <c r="BP900" s="1"/>
      <c r="BQ900" s="1"/>
      <c r="BR900" s="1"/>
      <c r="BS900" s="1"/>
      <c r="BT900" s="1"/>
      <c r="BU900" s="4"/>
    </row>
    <row r="901">
      <c r="AK901" s="1"/>
      <c r="AQ901" s="1"/>
      <c r="AW901" s="1"/>
      <c r="BC901" s="1"/>
      <c r="BD901" s="1"/>
      <c r="BE901" s="1"/>
      <c r="BF901" s="1"/>
      <c r="BG901" s="1"/>
      <c r="BH901" s="1"/>
      <c r="BI901" s="1"/>
      <c r="BO901" s="1"/>
      <c r="BP901" s="1"/>
      <c r="BQ901" s="1"/>
      <c r="BR901" s="1"/>
      <c r="BS901" s="1"/>
      <c r="BT901" s="1"/>
      <c r="BU901" s="4"/>
    </row>
    <row r="902">
      <c r="AK902" s="1"/>
      <c r="AQ902" s="1"/>
      <c r="AW902" s="1"/>
      <c r="BC902" s="1"/>
      <c r="BD902" s="1"/>
      <c r="BE902" s="1"/>
      <c r="BF902" s="1"/>
      <c r="BG902" s="1"/>
      <c r="BH902" s="1"/>
      <c r="BI902" s="1"/>
      <c r="BO902" s="1"/>
      <c r="BP902" s="1"/>
      <c r="BQ902" s="1"/>
      <c r="BR902" s="1"/>
      <c r="BS902" s="1"/>
      <c r="BT902" s="1"/>
      <c r="BU902" s="4"/>
    </row>
    <row r="903">
      <c r="AK903" s="1"/>
      <c r="AQ903" s="1"/>
      <c r="AW903" s="1"/>
      <c r="BC903" s="1"/>
      <c r="BD903" s="1"/>
      <c r="BE903" s="1"/>
      <c r="BF903" s="1"/>
      <c r="BG903" s="1"/>
      <c r="BH903" s="1"/>
      <c r="BI903" s="1"/>
      <c r="BO903" s="1"/>
      <c r="BP903" s="1"/>
      <c r="BQ903" s="1"/>
      <c r="BR903" s="1"/>
      <c r="BS903" s="1"/>
      <c r="BT903" s="1"/>
      <c r="BU903" s="4"/>
    </row>
    <row r="904">
      <c r="AK904" s="1"/>
      <c r="AQ904" s="1"/>
      <c r="AW904" s="1"/>
      <c r="BC904" s="1"/>
      <c r="BD904" s="1"/>
      <c r="BE904" s="1"/>
      <c r="BF904" s="1"/>
      <c r="BG904" s="1"/>
      <c r="BH904" s="1"/>
      <c r="BI904" s="1"/>
      <c r="BO904" s="1"/>
      <c r="BP904" s="1"/>
      <c r="BQ904" s="1"/>
      <c r="BR904" s="1"/>
      <c r="BS904" s="1"/>
      <c r="BT904" s="1"/>
      <c r="BU904" s="4"/>
    </row>
    <row r="905">
      <c r="AK905" s="1"/>
      <c r="AQ905" s="1"/>
      <c r="AW905" s="1"/>
      <c r="BC905" s="1"/>
      <c r="BD905" s="1"/>
      <c r="BE905" s="1"/>
      <c r="BF905" s="1"/>
      <c r="BG905" s="1"/>
      <c r="BH905" s="1"/>
      <c r="BI905" s="1"/>
      <c r="BO905" s="1"/>
      <c r="BP905" s="1"/>
      <c r="BQ905" s="1"/>
      <c r="BR905" s="1"/>
      <c r="BS905" s="1"/>
      <c r="BT905" s="1"/>
      <c r="BU905" s="4"/>
    </row>
    <row r="906">
      <c r="AK906" s="1"/>
      <c r="AQ906" s="1"/>
      <c r="AW906" s="1"/>
      <c r="BC906" s="1"/>
      <c r="BD906" s="1"/>
      <c r="BE906" s="1"/>
      <c r="BF906" s="1"/>
      <c r="BG906" s="1"/>
      <c r="BH906" s="1"/>
      <c r="BI906" s="1"/>
      <c r="BO906" s="1"/>
      <c r="BP906" s="1"/>
      <c r="BQ906" s="1"/>
      <c r="BR906" s="1"/>
      <c r="BS906" s="1"/>
      <c r="BT906" s="1"/>
      <c r="BU906" s="4"/>
    </row>
    <row r="907">
      <c r="AK907" s="1"/>
      <c r="AQ907" s="1"/>
      <c r="AW907" s="1"/>
      <c r="BC907" s="1"/>
      <c r="BD907" s="1"/>
      <c r="BE907" s="1"/>
      <c r="BF907" s="1"/>
      <c r="BG907" s="1"/>
      <c r="BH907" s="1"/>
      <c r="BI907" s="1"/>
      <c r="BO907" s="1"/>
      <c r="BP907" s="1"/>
      <c r="BQ907" s="1"/>
      <c r="BR907" s="1"/>
      <c r="BS907" s="1"/>
      <c r="BT907" s="1"/>
      <c r="BU907" s="4"/>
    </row>
    <row r="908">
      <c r="AK908" s="1"/>
      <c r="AQ908" s="1"/>
      <c r="AW908" s="1"/>
      <c r="BC908" s="1"/>
      <c r="BD908" s="1"/>
      <c r="BE908" s="1"/>
      <c r="BF908" s="1"/>
      <c r="BG908" s="1"/>
      <c r="BH908" s="1"/>
      <c r="BI908" s="1"/>
      <c r="BO908" s="1"/>
      <c r="BP908" s="1"/>
      <c r="BQ908" s="1"/>
      <c r="BR908" s="1"/>
      <c r="BS908" s="1"/>
      <c r="BT908" s="1"/>
      <c r="BU908" s="4"/>
    </row>
    <row r="909">
      <c r="AK909" s="1"/>
      <c r="AQ909" s="1"/>
      <c r="AW909" s="1"/>
      <c r="BC909" s="1"/>
      <c r="BD909" s="1"/>
      <c r="BE909" s="1"/>
      <c r="BF909" s="1"/>
      <c r="BG909" s="1"/>
      <c r="BH909" s="1"/>
      <c r="BI909" s="1"/>
      <c r="BO909" s="1"/>
      <c r="BP909" s="1"/>
      <c r="BQ909" s="1"/>
      <c r="BR909" s="1"/>
      <c r="BS909" s="1"/>
      <c r="BT909" s="1"/>
      <c r="BU909" s="4"/>
    </row>
    <row r="910">
      <c r="AK910" s="1"/>
      <c r="AQ910" s="1"/>
      <c r="AW910" s="1"/>
      <c r="BC910" s="1"/>
      <c r="BD910" s="1"/>
      <c r="BE910" s="1"/>
      <c r="BF910" s="1"/>
      <c r="BG910" s="1"/>
      <c r="BH910" s="1"/>
      <c r="BI910" s="1"/>
      <c r="BO910" s="1"/>
      <c r="BP910" s="1"/>
      <c r="BQ910" s="1"/>
      <c r="BR910" s="1"/>
      <c r="BS910" s="1"/>
      <c r="BT910" s="1"/>
      <c r="BU910" s="4"/>
    </row>
    <row r="911">
      <c r="AK911" s="1"/>
      <c r="AQ911" s="1"/>
      <c r="AW911" s="1"/>
      <c r="BC911" s="1"/>
      <c r="BD911" s="1"/>
      <c r="BE911" s="1"/>
      <c r="BF911" s="1"/>
      <c r="BG911" s="1"/>
      <c r="BH911" s="1"/>
      <c r="BI911" s="1"/>
      <c r="BO911" s="1"/>
      <c r="BP911" s="1"/>
      <c r="BQ911" s="1"/>
      <c r="BR911" s="1"/>
      <c r="BS911" s="1"/>
      <c r="BT911" s="1"/>
      <c r="BU911" s="4"/>
    </row>
    <row r="912">
      <c r="AK912" s="1"/>
      <c r="AQ912" s="1"/>
      <c r="AW912" s="1"/>
      <c r="BC912" s="1"/>
      <c r="BD912" s="1"/>
      <c r="BE912" s="1"/>
      <c r="BF912" s="1"/>
      <c r="BG912" s="1"/>
      <c r="BH912" s="1"/>
      <c r="BI912" s="1"/>
      <c r="BO912" s="1"/>
      <c r="BP912" s="1"/>
      <c r="BQ912" s="1"/>
      <c r="BR912" s="1"/>
      <c r="BS912" s="1"/>
      <c r="BT912" s="1"/>
      <c r="BU912" s="4"/>
    </row>
    <row r="913">
      <c r="AK913" s="1"/>
      <c r="AQ913" s="1"/>
      <c r="AW913" s="1"/>
      <c r="BC913" s="1"/>
      <c r="BD913" s="1"/>
      <c r="BE913" s="1"/>
      <c r="BF913" s="1"/>
      <c r="BG913" s="1"/>
      <c r="BH913" s="1"/>
      <c r="BI913" s="1"/>
      <c r="BO913" s="1"/>
      <c r="BP913" s="1"/>
      <c r="BQ913" s="1"/>
      <c r="BR913" s="1"/>
      <c r="BS913" s="1"/>
      <c r="BT913" s="1"/>
      <c r="BU913" s="4"/>
    </row>
    <row r="914">
      <c r="AK914" s="1"/>
      <c r="AQ914" s="1"/>
      <c r="AW914" s="1"/>
      <c r="BC914" s="1"/>
      <c r="BD914" s="1"/>
      <c r="BE914" s="1"/>
      <c r="BF914" s="1"/>
      <c r="BG914" s="1"/>
      <c r="BH914" s="1"/>
      <c r="BI914" s="1"/>
      <c r="BO914" s="1"/>
      <c r="BP914" s="1"/>
      <c r="BQ914" s="1"/>
      <c r="BR914" s="1"/>
      <c r="BS914" s="1"/>
      <c r="BT914" s="1"/>
      <c r="BU914" s="4"/>
    </row>
    <row r="915">
      <c r="AK915" s="1"/>
      <c r="AQ915" s="1"/>
      <c r="AW915" s="1"/>
      <c r="BC915" s="1"/>
      <c r="BD915" s="1"/>
      <c r="BE915" s="1"/>
      <c r="BF915" s="1"/>
      <c r="BG915" s="1"/>
      <c r="BH915" s="1"/>
      <c r="BI915" s="1"/>
      <c r="BO915" s="1"/>
      <c r="BP915" s="1"/>
      <c r="BQ915" s="1"/>
      <c r="BR915" s="1"/>
      <c r="BS915" s="1"/>
      <c r="BT915" s="1"/>
      <c r="BU915" s="4"/>
    </row>
    <row r="916">
      <c r="AK916" s="1"/>
      <c r="AQ916" s="1"/>
      <c r="AW916" s="1"/>
      <c r="BC916" s="1"/>
      <c r="BD916" s="1"/>
      <c r="BE916" s="1"/>
      <c r="BF916" s="1"/>
      <c r="BG916" s="1"/>
      <c r="BH916" s="1"/>
      <c r="BI916" s="1"/>
      <c r="BO916" s="1"/>
      <c r="BP916" s="1"/>
      <c r="BQ916" s="1"/>
      <c r="BR916" s="1"/>
      <c r="BS916" s="1"/>
      <c r="BT916" s="1"/>
      <c r="BU916" s="4"/>
    </row>
    <row r="917">
      <c r="AK917" s="1"/>
      <c r="AQ917" s="1"/>
      <c r="AW917" s="1"/>
      <c r="BC917" s="1"/>
      <c r="BD917" s="1"/>
      <c r="BE917" s="1"/>
      <c r="BF917" s="1"/>
      <c r="BG917" s="1"/>
      <c r="BH917" s="1"/>
      <c r="BI917" s="1"/>
      <c r="BO917" s="1"/>
      <c r="BP917" s="1"/>
      <c r="BQ917" s="1"/>
      <c r="BR917" s="1"/>
      <c r="BS917" s="1"/>
      <c r="BT917" s="1"/>
      <c r="BU917" s="4"/>
    </row>
    <row r="918">
      <c r="AK918" s="1"/>
      <c r="AQ918" s="1"/>
      <c r="AW918" s="1"/>
      <c r="BC918" s="1"/>
      <c r="BD918" s="1"/>
      <c r="BE918" s="1"/>
      <c r="BF918" s="1"/>
      <c r="BG918" s="1"/>
      <c r="BH918" s="1"/>
      <c r="BI918" s="1"/>
      <c r="BO918" s="1"/>
      <c r="BP918" s="1"/>
      <c r="BQ918" s="1"/>
      <c r="BR918" s="1"/>
      <c r="BS918" s="1"/>
      <c r="BT918" s="1"/>
      <c r="BU918" s="4"/>
    </row>
    <row r="919">
      <c r="AK919" s="1"/>
      <c r="AQ919" s="1"/>
      <c r="AW919" s="1"/>
      <c r="BC919" s="1"/>
      <c r="BD919" s="1"/>
      <c r="BE919" s="1"/>
      <c r="BF919" s="1"/>
      <c r="BG919" s="1"/>
      <c r="BH919" s="1"/>
      <c r="BI919" s="1"/>
      <c r="BO919" s="1"/>
      <c r="BP919" s="1"/>
      <c r="BQ919" s="1"/>
      <c r="BR919" s="1"/>
      <c r="BS919" s="1"/>
      <c r="BT919" s="1"/>
      <c r="BU919" s="4"/>
    </row>
    <row r="920">
      <c r="AK920" s="1"/>
      <c r="AQ920" s="1"/>
      <c r="AW920" s="1"/>
      <c r="BC920" s="1"/>
      <c r="BD920" s="1"/>
      <c r="BE920" s="1"/>
      <c r="BF920" s="1"/>
      <c r="BG920" s="1"/>
      <c r="BH920" s="1"/>
      <c r="BI920" s="1"/>
      <c r="BO920" s="1"/>
      <c r="BP920" s="1"/>
      <c r="BQ920" s="1"/>
      <c r="BR920" s="1"/>
      <c r="BS920" s="1"/>
      <c r="BT920" s="1"/>
      <c r="BU920" s="4"/>
    </row>
    <row r="921">
      <c r="AK921" s="1"/>
      <c r="AQ921" s="1"/>
      <c r="AW921" s="1"/>
      <c r="BC921" s="1"/>
      <c r="BD921" s="1"/>
      <c r="BE921" s="1"/>
      <c r="BF921" s="1"/>
      <c r="BG921" s="1"/>
      <c r="BH921" s="1"/>
      <c r="BI921" s="1"/>
      <c r="BO921" s="1"/>
      <c r="BP921" s="1"/>
      <c r="BQ921" s="1"/>
      <c r="BR921" s="1"/>
      <c r="BS921" s="1"/>
      <c r="BT921" s="1"/>
      <c r="BU921" s="4"/>
    </row>
    <row r="922">
      <c r="AK922" s="1"/>
      <c r="AQ922" s="1"/>
      <c r="AW922" s="1"/>
      <c r="BC922" s="1"/>
      <c r="BD922" s="1"/>
      <c r="BE922" s="1"/>
      <c r="BF922" s="1"/>
      <c r="BG922" s="1"/>
      <c r="BH922" s="1"/>
      <c r="BI922" s="1"/>
      <c r="BO922" s="1"/>
      <c r="BP922" s="1"/>
      <c r="BQ922" s="1"/>
      <c r="BR922" s="1"/>
      <c r="BS922" s="1"/>
      <c r="BT922" s="1"/>
      <c r="BU922" s="4"/>
    </row>
    <row r="923">
      <c r="AK923" s="1"/>
      <c r="AQ923" s="1"/>
      <c r="AW923" s="1"/>
      <c r="BC923" s="1"/>
      <c r="BD923" s="1"/>
      <c r="BE923" s="1"/>
      <c r="BF923" s="1"/>
      <c r="BG923" s="1"/>
      <c r="BH923" s="1"/>
      <c r="BI923" s="1"/>
      <c r="BO923" s="1"/>
      <c r="BP923" s="1"/>
      <c r="BQ923" s="1"/>
      <c r="BR923" s="1"/>
      <c r="BS923" s="1"/>
      <c r="BT923" s="1"/>
      <c r="BU923" s="4"/>
    </row>
    <row r="924">
      <c r="AK924" s="1"/>
      <c r="AQ924" s="1"/>
      <c r="AW924" s="1"/>
      <c r="BC924" s="1"/>
      <c r="BD924" s="1"/>
      <c r="BE924" s="1"/>
      <c r="BF924" s="1"/>
      <c r="BG924" s="1"/>
      <c r="BH924" s="1"/>
      <c r="BI924" s="1"/>
      <c r="BO924" s="1"/>
      <c r="BP924" s="1"/>
      <c r="BQ924" s="1"/>
      <c r="BR924" s="1"/>
      <c r="BS924" s="1"/>
      <c r="BT924" s="1"/>
      <c r="BU924" s="4"/>
    </row>
    <row r="925">
      <c r="AK925" s="1"/>
      <c r="AQ925" s="1"/>
      <c r="AW925" s="1"/>
      <c r="BC925" s="1"/>
      <c r="BD925" s="1"/>
      <c r="BE925" s="1"/>
      <c r="BF925" s="1"/>
      <c r="BG925" s="1"/>
      <c r="BH925" s="1"/>
      <c r="BI925" s="1"/>
      <c r="BO925" s="1"/>
      <c r="BP925" s="1"/>
      <c r="BQ925" s="1"/>
      <c r="BR925" s="1"/>
      <c r="BS925" s="1"/>
      <c r="BT925" s="1"/>
      <c r="BU925" s="4"/>
    </row>
    <row r="926">
      <c r="AK926" s="1"/>
      <c r="AQ926" s="1"/>
      <c r="AW926" s="1"/>
      <c r="BC926" s="1"/>
      <c r="BD926" s="1"/>
      <c r="BE926" s="1"/>
      <c r="BF926" s="1"/>
      <c r="BG926" s="1"/>
      <c r="BH926" s="1"/>
      <c r="BI926" s="1"/>
      <c r="BO926" s="1"/>
      <c r="BP926" s="1"/>
      <c r="BQ926" s="1"/>
      <c r="BR926" s="1"/>
      <c r="BS926" s="1"/>
      <c r="BT926" s="1"/>
      <c r="BU926" s="4"/>
    </row>
    <row r="927">
      <c r="AK927" s="1"/>
      <c r="AQ927" s="1"/>
      <c r="AW927" s="1"/>
      <c r="BC927" s="1"/>
      <c r="BD927" s="1"/>
      <c r="BE927" s="1"/>
      <c r="BF927" s="1"/>
      <c r="BG927" s="1"/>
      <c r="BH927" s="1"/>
      <c r="BI927" s="1"/>
      <c r="BO927" s="1"/>
      <c r="BP927" s="1"/>
      <c r="BQ927" s="1"/>
      <c r="BR927" s="1"/>
      <c r="BS927" s="1"/>
      <c r="BT927" s="1"/>
      <c r="BU927" s="4"/>
    </row>
    <row r="928">
      <c r="AK928" s="1"/>
      <c r="AQ928" s="1"/>
      <c r="AW928" s="1"/>
      <c r="BC928" s="1"/>
      <c r="BD928" s="1"/>
      <c r="BE928" s="1"/>
      <c r="BF928" s="1"/>
      <c r="BG928" s="1"/>
      <c r="BH928" s="1"/>
      <c r="BI928" s="1"/>
      <c r="BO928" s="1"/>
      <c r="BP928" s="1"/>
      <c r="BQ928" s="1"/>
      <c r="BR928" s="1"/>
      <c r="BS928" s="1"/>
      <c r="BT928" s="1"/>
      <c r="BU928" s="4"/>
    </row>
    <row r="929">
      <c r="AK929" s="1"/>
      <c r="AQ929" s="1"/>
      <c r="AW929" s="1"/>
      <c r="BC929" s="1"/>
      <c r="BD929" s="1"/>
      <c r="BE929" s="1"/>
      <c r="BF929" s="1"/>
      <c r="BG929" s="1"/>
      <c r="BH929" s="1"/>
      <c r="BI929" s="1"/>
      <c r="BO929" s="1"/>
      <c r="BP929" s="1"/>
      <c r="BQ929" s="1"/>
      <c r="BR929" s="1"/>
      <c r="BS929" s="1"/>
      <c r="BT929" s="1"/>
      <c r="BU929" s="4"/>
    </row>
    <row r="930">
      <c r="AK930" s="1"/>
      <c r="AQ930" s="1"/>
      <c r="AW930" s="1"/>
      <c r="BC930" s="1"/>
      <c r="BD930" s="1"/>
      <c r="BE930" s="1"/>
      <c r="BF930" s="1"/>
      <c r="BG930" s="1"/>
      <c r="BH930" s="1"/>
      <c r="BI930" s="1"/>
      <c r="BO930" s="1"/>
      <c r="BP930" s="1"/>
      <c r="BQ930" s="1"/>
      <c r="BR930" s="1"/>
      <c r="BS930" s="1"/>
      <c r="BT930" s="1"/>
      <c r="BU930" s="4"/>
    </row>
    <row r="931">
      <c r="AK931" s="1"/>
      <c r="AQ931" s="1"/>
      <c r="AW931" s="1"/>
      <c r="BC931" s="1"/>
      <c r="BD931" s="1"/>
      <c r="BE931" s="1"/>
      <c r="BF931" s="1"/>
      <c r="BG931" s="1"/>
      <c r="BH931" s="1"/>
      <c r="BI931" s="1"/>
      <c r="BO931" s="1"/>
      <c r="BP931" s="1"/>
      <c r="BQ931" s="1"/>
      <c r="BR931" s="1"/>
      <c r="BS931" s="1"/>
      <c r="BT931" s="1"/>
      <c r="BU931" s="4"/>
    </row>
    <row r="932">
      <c r="AK932" s="1"/>
      <c r="AQ932" s="1"/>
      <c r="AW932" s="1"/>
      <c r="BC932" s="1"/>
      <c r="BD932" s="1"/>
      <c r="BE932" s="1"/>
      <c r="BF932" s="1"/>
      <c r="BG932" s="1"/>
      <c r="BH932" s="1"/>
      <c r="BI932" s="1"/>
      <c r="BO932" s="1"/>
      <c r="BP932" s="1"/>
      <c r="BQ932" s="1"/>
      <c r="BR932" s="1"/>
      <c r="BS932" s="1"/>
      <c r="BT932" s="1"/>
      <c r="BU932" s="4"/>
    </row>
    <row r="933">
      <c r="AK933" s="1"/>
      <c r="AQ933" s="1"/>
      <c r="AW933" s="1"/>
      <c r="BC933" s="1"/>
      <c r="BD933" s="1"/>
      <c r="BE933" s="1"/>
      <c r="BF933" s="1"/>
      <c r="BG933" s="1"/>
      <c r="BH933" s="1"/>
      <c r="BI933" s="1"/>
      <c r="BO933" s="1"/>
      <c r="BP933" s="1"/>
      <c r="BQ933" s="1"/>
      <c r="BR933" s="1"/>
      <c r="BS933" s="1"/>
      <c r="BT933" s="1"/>
      <c r="BU933" s="4"/>
    </row>
    <row r="934">
      <c r="AK934" s="1"/>
      <c r="AQ934" s="1"/>
      <c r="AW934" s="1"/>
      <c r="BC934" s="1"/>
      <c r="BD934" s="1"/>
      <c r="BE934" s="1"/>
      <c r="BF934" s="1"/>
      <c r="BG934" s="1"/>
      <c r="BH934" s="1"/>
      <c r="BI934" s="1"/>
      <c r="BO934" s="1"/>
      <c r="BP934" s="1"/>
      <c r="BQ934" s="1"/>
      <c r="BR934" s="1"/>
      <c r="BS934" s="1"/>
      <c r="BT934" s="1"/>
      <c r="BU934" s="4"/>
    </row>
    <row r="935">
      <c r="AK935" s="1"/>
      <c r="AQ935" s="1"/>
      <c r="AW935" s="1"/>
      <c r="BC935" s="1"/>
      <c r="BD935" s="1"/>
      <c r="BE935" s="1"/>
      <c r="BF935" s="1"/>
      <c r="BG935" s="1"/>
      <c r="BH935" s="1"/>
      <c r="BI935" s="1"/>
      <c r="BO935" s="1"/>
      <c r="BP935" s="1"/>
      <c r="BQ935" s="1"/>
      <c r="BR935" s="1"/>
      <c r="BS935" s="1"/>
      <c r="BT935" s="1"/>
      <c r="BU935" s="4"/>
    </row>
    <row r="936">
      <c r="AK936" s="1"/>
      <c r="AQ936" s="1"/>
      <c r="AW936" s="1"/>
      <c r="BC936" s="1"/>
      <c r="BD936" s="1"/>
      <c r="BE936" s="1"/>
      <c r="BF936" s="1"/>
      <c r="BG936" s="1"/>
      <c r="BH936" s="1"/>
      <c r="BI936" s="1"/>
      <c r="BO936" s="1"/>
      <c r="BP936" s="1"/>
      <c r="BQ936" s="1"/>
      <c r="BR936" s="1"/>
      <c r="BS936" s="1"/>
      <c r="BT936" s="1"/>
      <c r="BU936" s="4"/>
    </row>
    <row r="937">
      <c r="AK937" s="1"/>
      <c r="AQ937" s="1"/>
      <c r="AW937" s="1"/>
      <c r="BC937" s="1"/>
      <c r="BD937" s="1"/>
      <c r="BE937" s="1"/>
      <c r="BF937" s="1"/>
      <c r="BG937" s="1"/>
      <c r="BH937" s="1"/>
      <c r="BI937" s="1"/>
      <c r="BO937" s="1"/>
      <c r="BP937" s="1"/>
      <c r="BQ937" s="1"/>
      <c r="BR937" s="1"/>
      <c r="BS937" s="1"/>
      <c r="BT937" s="1"/>
      <c r="BU937" s="4"/>
    </row>
    <row r="938">
      <c r="AK938" s="1"/>
      <c r="AQ938" s="1"/>
      <c r="AW938" s="1"/>
      <c r="BC938" s="1"/>
      <c r="BD938" s="1"/>
      <c r="BE938" s="1"/>
      <c r="BF938" s="1"/>
      <c r="BG938" s="1"/>
      <c r="BH938" s="1"/>
      <c r="BI938" s="1"/>
      <c r="BO938" s="1"/>
      <c r="BP938" s="1"/>
      <c r="BQ938" s="1"/>
      <c r="BR938" s="1"/>
      <c r="BS938" s="1"/>
      <c r="BT938" s="1"/>
      <c r="BU938" s="4"/>
    </row>
    <row r="939">
      <c r="AK939" s="1"/>
      <c r="AQ939" s="1"/>
      <c r="AW939" s="1"/>
      <c r="BC939" s="1"/>
      <c r="BD939" s="1"/>
      <c r="BE939" s="1"/>
      <c r="BF939" s="1"/>
      <c r="BG939" s="1"/>
      <c r="BH939" s="1"/>
      <c r="BI939" s="1"/>
      <c r="BO939" s="1"/>
      <c r="BP939" s="1"/>
      <c r="BQ939" s="1"/>
      <c r="BR939" s="1"/>
      <c r="BS939" s="1"/>
      <c r="BT939" s="1"/>
      <c r="BU939" s="4"/>
    </row>
    <row r="940">
      <c r="AK940" s="1"/>
      <c r="AQ940" s="1"/>
      <c r="AW940" s="1"/>
      <c r="BC940" s="1"/>
      <c r="BD940" s="1"/>
      <c r="BE940" s="1"/>
      <c r="BF940" s="1"/>
      <c r="BG940" s="1"/>
      <c r="BH940" s="1"/>
      <c r="BI940" s="1"/>
      <c r="BO940" s="1"/>
      <c r="BP940" s="1"/>
      <c r="BQ940" s="1"/>
      <c r="BR940" s="1"/>
      <c r="BS940" s="1"/>
      <c r="BT940" s="1"/>
      <c r="BU940" s="4"/>
    </row>
    <row r="941">
      <c r="AK941" s="1"/>
      <c r="AQ941" s="1"/>
      <c r="AW941" s="1"/>
      <c r="BC941" s="1"/>
      <c r="BD941" s="1"/>
      <c r="BE941" s="1"/>
      <c r="BF941" s="1"/>
      <c r="BG941" s="1"/>
      <c r="BH941" s="1"/>
      <c r="BI941" s="1"/>
      <c r="BO941" s="1"/>
      <c r="BP941" s="1"/>
      <c r="BQ941" s="1"/>
      <c r="BR941" s="1"/>
      <c r="BS941" s="1"/>
      <c r="BT941" s="1"/>
      <c r="BU941" s="4"/>
    </row>
    <row r="942">
      <c r="AK942" s="1"/>
      <c r="AQ942" s="1"/>
      <c r="AW942" s="1"/>
      <c r="BC942" s="1"/>
      <c r="BD942" s="1"/>
      <c r="BE942" s="1"/>
      <c r="BF942" s="1"/>
      <c r="BG942" s="1"/>
      <c r="BH942" s="1"/>
      <c r="BI942" s="1"/>
      <c r="BO942" s="1"/>
      <c r="BP942" s="1"/>
      <c r="BQ942" s="1"/>
      <c r="BR942" s="1"/>
      <c r="BS942" s="1"/>
      <c r="BT942" s="1"/>
      <c r="BU942" s="4"/>
    </row>
    <row r="943">
      <c r="AK943" s="1"/>
      <c r="AQ943" s="1"/>
      <c r="AW943" s="1"/>
      <c r="BC943" s="1"/>
      <c r="BD943" s="1"/>
      <c r="BE943" s="1"/>
      <c r="BF943" s="1"/>
      <c r="BG943" s="1"/>
      <c r="BH943" s="1"/>
      <c r="BI943" s="1"/>
      <c r="BO943" s="1"/>
      <c r="BP943" s="1"/>
      <c r="BQ943" s="1"/>
      <c r="BR943" s="1"/>
      <c r="BS943" s="1"/>
      <c r="BT943" s="1"/>
      <c r="BU943" s="4"/>
    </row>
    <row r="944">
      <c r="AK944" s="1"/>
      <c r="AQ944" s="1"/>
      <c r="AW944" s="1"/>
      <c r="BC944" s="1"/>
      <c r="BD944" s="1"/>
      <c r="BE944" s="1"/>
      <c r="BF944" s="1"/>
      <c r="BG944" s="1"/>
      <c r="BH944" s="1"/>
      <c r="BI944" s="1"/>
      <c r="BO944" s="1"/>
      <c r="BP944" s="1"/>
      <c r="BQ944" s="1"/>
      <c r="BR944" s="1"/>
      <c r="BS944" s="1"/>
      <c r="BT944" s="1"/>
      <c r="BU944" s="4"/>
    </row>
    <row r="945">
      <c r="AK945" s="1"/>
      <c r="AQ945" s="1"/>
      <c r="AW945" s="1"/>
      <c r="BC945" s="1"/>
      <c r="BD945" s="1"/>
      <c r="BE945" s="1"/>
      <c r="BF945" s="1"/>
      <c r="BG945" s="1"/>
      <c r="BH945" s="1"/>
      <c r="BI945" s="1"/>
      <c r="BO945" s="1"/>
      <c r="BP945" s="1"/>
      <c r="BQ945" s="1"/>
      <c r="BR945" s="1"/>
      <c r="BS945" s="1"/>
      <c r="BT945" s="1"/>
      <c r="BU945" s="4"/>
    </row>
    <row r="946">
      <c r="AK946" s="1"/>
      <c r="AQ946" s="1"/>
      <c r="AW946" s="1"/>
      <c r="BC946" s="1"/>
      <c r="BD946" s="1"/>
      <c r="BE946" s="1"/>
      <c r="BF946" s="1"/>
      <c r="BG946" s="1"/>
      <c r="BH946" s="1"/>
      <c r="BI946" s="1"/>
      <c r="BO946" s="1"/>
      <c r="BP946" s="1"/>
      <c r="BQ946" s="1"/>
      <c r="BR946" s="1"/>
      <c r="BS946" s="1"/>
      <c r="BT946" s="1"/>
      <c r="BU946" s="4"/>
    </row>
    <row r="947">
      <c r="AK947" s="1"/>
      <c r="AQ947" s="1"/>
      <c r="AW947" s="1"/>
      <c r="BC947" s="1"/>
      <c r="BD947" s="1"/>
      <c r="BE947" s="1"/>
      <c r="BF947" s="1"/>
      <c r="BG947" s="1"/>
      <c r="BH947" s="1"/>
      <c r="BI947" s="1"/>
      <c r="BO947" s="1"/>
      <c r="BP947" s="1"/>
      <c r="BQ947" s="1"/>
      <c r="BR947" s="1"/>
      <c r="BS947" s="1"/>
      <c r="BT947" s="1"/>
      <c r="BU947" s="4"/>
    </row>
    <row r="948">
      <c r="AK948" s="1"/>
      <c r="AQ948" s="1"/>
      <c r="AW948" s="1"/>
      <c r="BC948" s="1"/>
      <c r="BD948" s="1"/>
      <c r="BE948" s="1"/>
      <c r="BF948" s="1"/>
      <c r="BG948" s="1"/>
      <c r="BH948" s="1"/>
      <c r="BI948" s="1"/>
      <c r="BO948" s="1"/>
      <c r="BP948" s="1"/>
      <c r="BQ948" s="1"/>
      <c r="BR948" s="1"/>
      <c r="BS948" s="1"/>
      <c r="BT948" s="1"/>
      <c r="BU948" s="4"/>
    </row>
    <row r="949">
      <c r="AK949" s="1"/>
      <c r="AQ949" s="1"/>
      <c r="AW949" s="1"/>
      <c r="BC949" s="1"/>
      <c r="BD949" s="1"/>
      <c r="BE949" s="1"/>
      <c r="BF949" s="1"/>
      <c r="BG949" s="1"/>
      <c r="BH949" s="1"/>
      <c r="BI949" s="1"/>
      <c r="BO949" s="1"/>
      <c r="BP949" s="1"/>
      <c r="BQ949" s="1"/>
      <c r="BR949" s="1"/>
      <c r="BS949" s="1"/>
      <c r="BT949" s="1"/>
      <c r="BU949" s="4"/>
    </row>
    <row r="950">
      <c r="AK950" s="1"/>
      <c r="AQ950" s="1"/>
      <c r="AW950" s="1"/>
      <c r="BC950" s="1"/>
      <c r="BD950" s="1"/>
      <c r="BE950" s="1"/>
      <c r="BF950" s="1"/>
      <c r="BG950" s="1"/>
      <c r="BH950" s="1"/>
      <c r="BI950" s="1"/>
      <c r="BO950" s="1"/>
      <c r="BP950" s="1"/>
      <c r="BQ950" s="1"/>
      <c r="BR950" s="1"/>
      <c r="BS950" s="1"/>
      <c r="BT950" s="1"/>
      <c r="BU950" s="4"/>
    </row>
    <row r="951">
      <c r="AK951" s="1"/>
      <c r="AQ951" s="1"/>
      <c r="AW951" s="1"/>
      <c r="BC951" s="1"/>
      <c r="BD951" s="1"/>
      <c r="BE951" s="1"/>
      <c r="BF951" s="1"/>
      <c r="BG951" s="1"/>
      <c r="BH951" s="1"/>
      <c r="BI951" s="1"/>
      <c r="BO951" s="1"/>
      <c r="BP951" s="1"/>
      <c r="BQ951" s="1"/>
      <c r="BR951" s="1"/>
      <c r="BS951" s="1"/>
      <c r="BT951" s="1"/>
      <c r="BU951" s="4"/>
    </row>
    <row r="952">
      <c r="AK952" s="1"/>
      <c r="AQ952" s="1"/>
      <c r="AW952" s="1"/>
      <c r="BC952" s="1"/>
      <c r="BD952" s="1"/>
      <c r="BE952" s="1"/>
      <c r="BF952" s="1"/>
      <c r="BG952" s="1"/>
      <c r="BH952" s="1"/>
      <c r="BI952" s="1"/>
      <c r="BO952" s="1"/>
      <c r="BP952" s="1"/>
      <c r="BQ952" s="1"/>
      <c r="BR952" s="1"/>
      <c r="BS952" s="1"/>
      <c r="BT952" s="1"/>
      <c r="BU952" s="4"/>
    </row>
    <row r="953">
      <c r="AK953" s="1"/>
      <c r="AQ953" s="1"/>
      <c r="AW953" s="1"/>
      <c r="BC953" s="1"/>
      <c r="BD953" s="1"/>
      <c r="BE953" s="1"/>
      <c r="BF953" s="1"/>
      <c r="BG953" s="1"/>
      <c r="BH953" s="1"/>
      <c r="BI953" s="1"/>
      <c r="BO953" s="1"/>
      <c r="BP953" s="1"/>
      <c r="BQ953" s="1"/>
      <c r="BR953" s="1"/>
      <c r="BS953" s="1"/>
      <c r="BT953" s="1"/>
      <c r="BU953" s="4"/>
    </row>
    <row r="954">
      <c r="AK954" s="1"/>
      <c r="AQ954" s="1"/>
      <c r="AW954" s="1"/>
      <c r="BC954" s="1"/>
      <c r="BD954" s="1"/>
      <c r="BE954" s="1"/>
      <c r="BF954" s="1"/>
      <c r="BG954" s="1"/>
      <c r="BH954" s="1"/>
      <c r="BI954" s="1"/>
      <c r="BO954" s="1"/>
      <c r="BP954" s="1"/>
      <c r="BQ954" s="1"/>
      <c r="BR954" s="1"/>
      <c r="BS954" s="1"/>
      <c r="BT954" s="1"/>
      <c r="BU954" s="4"/>
    </row>
    <row r="955">
      <c r="AK955" s="1"/>
      <c r="AQ955" s="1"/>
      <c r="AW955" s="1"/>
      <c r="BC955" s="1"/>
      <c r="BD955" s="1"/>
      <c r="BE955" s="1"/>
      <c r="BF955" s="1"/>
      <c r="BG955" s="1"/>
      <c r="BH955" s="1"/>
      <c r="BI955" s="1"/>
      <c r="BO955" s="1"/>
      <c r="BP955" s="1"/>
      <c r="BQ955" s="1"/>
      <c r="BR955" s="1"/>
      <c r="BS955" s="1"/>
      <c r="BT955" s="1"/>
      <c r="BU955" s="4"/>
    </row>
    <row r="956">
      <c r="AK956" s="1"/>
      <c r="AQ956" s="1"/>
      <c r="AW956" s="1"/>
      <c r="BC956" s="1"/>
      <c r="BD956" s="1"/>
      <c r="BE956" s="1"/>
      <c r="BF956" s="1"/>
      <c r="BG956" s="1"/>
      <c r="BH956" s="1"/>
      <c r="BI956" s="1"/>
      <c r="BO956" s="1"/>
      <c r="BP956" s="1"/>
      <c r="BQ956" s="1"/>
      <c r="BR956" s="1"/>
      <c r="BS956" s="1"/>
      <c r="BT956" s="1"/>
      <c r="BU956" s="4"/>
    </row>
    <row r="957">
      <c r="AK957" s="1"/>
      <c r="AQ957" s="1"/>
      <c r="AW957" s="1"/>
      <c r="BC957" s="1"/>
      <c r="BD957" s="1"/>
      <c r="BE957" s="1"/>
      <c r="BF957" s="1"/>
      <c r="BG957" s="1"/>
      <c r="BH957" s="1"/>
      <c r="BI957" s="1"/>
      <c r="BO957" s="1"/>
      <c r="BP957" s="1"/>
      <c r="BQ957" s="1"/>
      <c r="BR957" s="1"/>
      <c r="BS957" s="1"/>
      <c r="BT957" s="1"/>
      <c r="BU957" s="4"/>
    </row>
    <row r="958">
      <c r="AK958" s="1"/>
      <c r="AQ958" s="1"/>
      <c r="AW958" s="1"/>
      <c r="BC958" s="1"/>
      <c r="BD958" s="1"/>
      <c r="BE958" s="1"/>
      <c r="BF958" s="1"/>
      <c r="BG958" s="1"/>
      <c r="BH958" s="1"/>
      <c r="BI958" s="1"/>
      <c r="BO958" s="1"/>
      <c r="BP958" s="1"/>
      <c r="BQ958" s="1"/>
      <c r="BR958" s="1"/>
      <c r="BS958" s="1"/>
      <c r="BT958" s="1"/>
      <c r="BU958" s="4"/>
    </row>
    <row r="959">
      <c r="AK959" s="1"/>
      <c r="AQ959" s="1"/>
      <c r="AW959" s="1"/>
      <c r="BC959" s="1"/>
      <c r="BD959" s="1"/>
      <c r="BE959" s="1"/>
      <c r="BF959" s="1"/>
      <c r="BG959" s="1"/>
      <c r="BH959" s="1"/>
      <c r="BI959" s="1"/>
      <c r="BO959" s="1"/>
      <c r="BP959" s="1"/>
      <c r="BQ959" s="1"/>
      <c r="BR959" s="1"/>
      <c r="BS959" s="1"/>
      <c r="BT959" s="1"/>
      <c r="BU959" s="4"/>
    </row>
    <row r="960">
      <c r="AK960" s="1"/>
      <c r="AQ960" s="1"/>
      <c r="AW960" s="1"/>
      <c r="BC960" s="1"/>
      <c r="BD960" s="1"/>
      <c r="BE960" s="1"/>
      <c r="BF960" s="1"/>
      <c r="BG960" s="1"/>
      <c r="BH960" s="1"/>
      <c r="BI960" s="1"/>
      <c r="BO960" s="1"/>
      <c r="BP960" s="1"/>
      <c r="BQ960" s="1"/>
      <c r="BR960" s="1"/>
      <c r="BS960" s="1"/>
      <c r="BT960" s="1"/>
      <c r="BU960" s="4"/>
    </row>
    <row r="961">
      <c r="AK961" s="1"/>
      <c r="AQ961" s="1"/>
      <c r="AW961" s="1"/>
      <c r="BC961" s="1"/>
      <c r="BD961" s="1"/>
      <c r="BE961" s="1"/>
      <c r="BF961" s="1"/>
      <c r="BG961" s="1"/>
      <c r="BH961" s="1"/>
      <c r="BI961" s="1"/>
      <c r="BO961" s="1"/>
      <c r="BP961" s="1"/>
      <c r="BQ961" s="1"/>
      <c r="BR961" s="1"/>
      <c r="BS961" s="1"/>
      <c r="BT961" s="1"/>
      <c r="BU961" s="4"/>
    </row>
    <row r="962">
      <c r="AK962" s="1"/>
      <c r="AQ962" s="1"/>
      <c r="AW962" s="1"/>
      <c r="BC962" s="1"/>
      <c r="BD962" s="1"/>
      <c r="BE962" s="1"/>
      <c r="BF962" s="1"/>
      <c r="BG962" s="1"/>
      <c r="BH962" s="1"/>
      <c r="BI962" s="1"/>
      <c r="BO962" s="1"/>
      <c r="BP962" s="1"/>
      <c r="BQ962" s="1"/>
      <c r="BR962" s="1"/>
      <c r="BS962" s="1"/>
      <c r="BT962" s="1"/>
      <c r="BU962" s="4"/>
    </row>
    <row r="963">
      <c r="AK963" s="1"/>
      <c r="AQ963" s="1"/>
      <c r="AW963" s="1"/>
      <c r="BC963" s="1"/>
      <c r="BD963" s="1"/>
      <c r="BE963" s="1"/>
      <c r="BF963" s="1"/>
      <c r="BG963" s="1"/>
      <c r="BH963" s="1"/>
      <c r="BI963" s="1"/>
      <c r="BO963" s="1"/>
      <c r="BP963" s="1"/>
      <c r="BQ963" s="1"/>
      <c r="BR963" s="1"/>
      <c r="BS963" s="1"/>
      <c r="BT963" s="1"/>
      <c r="BU963" s="4"/>
    </row>
    <row r="964">
      <c r="AK964" s="1"/>
      <c r="AQ964" s="1"/>
      <c r="AW964" s="1"/>
      <c r="BC964" s="1"/>
      <c r="BD964" s="1"/>
      <c r="BE964" s="1"/>
      <c r="BF964" s="1"/>
      <c r="BG964" s="1"/>
      <c r="BH964" s="1"/>
      <c r="BI964" s="1"/>
      <c r="BO964" s="1"/>
      <c r="BP964" s="1"/>
      <c r="BQ964" s="1"/>
      <c r="BR964" s="1"/>
      <c r="BS964" s="1"/>
      <c r="BT964" s="1"/>
      <c r="BU964" s="4"/>
    </row>
    <row r="965">
      <c r="AK965" s="1"/>
      <c r="AQ965" s="1"/>
      <c r="AW965" s="1"/>
      <c r="BC965" s="1"/>
      <c r="BD965" s="1"/>
      <c r="BE965" s="1"/>
      <c r="BF965" s="1"/>
      <c r="BG965" s="1"/>
      <c r="BH965" s="1"/>
      <c r="BI965" s="1"/>
      <c r="BO965" s="1"/>
      <c r="BP965" s="1"/>
      <c r="BQ965" s="1"/>
      <c r="BR965" s="1"/>
      <c r="BS965" s="1"/>
      <c r="BT965" s="1"/>
      <c r="BU965" s="4"/>
    </row>
    <row r="966">
      <c r="AK966" s="1"/>
      <c r="AQ966" s="1"/>
      <c r="AW966" s="1"/>
      <c r="BC966" s="1"/>
      <c r="BD966" s="1"/>
      <c r="BE966" s="1"/>
      <c r="BF966" s="1"/>
      <c r="BG966" s="1"/>
      <c r="BH966" s="1"/>
      <c r="BI966" s="1"/>
      <c r="BO966" s="1"/>
      <c r="BP966" s="1"/>
      <c r="BQ966" s="1"/>
      <c r="BR966" s="1"/>
      <c r="BS966" s="1"/>
      <c r="BT966" s="1"/>
      <c r="BU966" s="4"/>
    </row>
    <row r="967">
      <c r="AK967" s="1"/>
      <c r="AQ967" s="1"/>
      <c r="AW967" s="1"/>
      <c r="BC967" s="1"/>
      <c r="BD967" s="1"/>
      <c r="BE967" s="1"/>
      <c r="BF967" s="1"/>
      <c r="BG967" s="1"/>
      <c r="BH967" s="1"/>
      <c r="BI967" s="1"/>
      <c r="BO967" s="1"/>
      <c r="BP967" s="1"/>
      <c r="BQ967" s="1"/>
      <c r="BR967" s="1"/>
      <c r="BS967" s="1"/>
      <c r="BT967" s="1"/>
      <c r="BU967" s="4"/>
    </row>
    <row r="968">
      <c r="AK968" s="1"/>
      <c r="AQ968" s="1"/>
      <c r="AW968" s="1"/>
      <c r="BC968" s="1"/>
      <c r="BD968" s="1"/>
      <c r="BE968" s="1"/>
      <c r="BF968" s="1"/>
      <c r="BG968" s="1"/>
      <c r="BH968" s="1"/>
      <c r="BI968" s="1"/>
      <c r="BO968" s="1"/>
      <c r="BP968" s="1"/>
      <c r="BQ968" s="1"/>
      <c r="BR968" s="1"/>
      <c r="BS968" s="1"/>
      <c r="BT968" s="1"/>
      <c r="BU968" s="4"/>
    </row>
    <row r="969">
      <c r="AK969" s="1"/>
      <c r="AQ969" s="1"/>
      <c r="AW969" s="1"/>
      <c r="BC969" s="1"/>
      <c r="BD969" s="1"/>
      <c r="BE969" s="1"/>
      <c r="BF969" s="1"/>
      <c r="BG969" s="1"/>
      <c r="BH969" s="1"/>
      <c r="BI969" s="1"/>
      <c r="BO969" s="1"/>
      <c r="BP969" s="1"/>
      <c r="BQ969" s="1"/>
      <c r="BR969" s="1"/>
      <c r="BS969" s="1"/>
      <c r="BT969" s="1"/>
      <c r="BU969" s="4"/>
    </row>
    <row r="970">
      <c r="AK970" s="1"/>
      <c r="AQ970" s="1"/>
      <c r="AW970" s="1"/>
      <c r="BC970" s="1"/>
      <c r="BD970" s="1"/>
      <c r="BE970" s="1"/>
      <c r="BF970" s="1"/>
      <c r="BG970" s="1"/>
      <c r="BH970" s="1"/>
      <c r="BI970" s="1"/>
      <c r="BO970" s="1"/>
      <c r="BP970" s="1"/>
      <c r="BQ970" s="1"/>
      <c r="BR970" s="1"/>
      <c r="BS970" s="1"/>
      <c r="BT970" s="1"/>
      <c r="BU970" s="4"/>
    </row>
    <row r="971">
      <c r="AK971" s="1"/>
      <c r="AQ971" s="1"/>
      <c r="AW971" s="1"/>
      <c r="BC971" s="1"/>
      <c r="BD971" s="1"/>
      <c r="BE971" s="1"/>
      <c r="BF971" s="1"/>
      <c r="BG971" s="1"/>
      <c r="BH971" s="1"/>
      <c r="BI971" s="1"/>
      <c r="BO971" s="1"/>
      <c r="BP971" s="1"/>
      <c r="BQ971" s="1"/>
      <c r="BR971" s="1"/>
      <c r="BS971" s="1"/>
      <c r="BT971" s="1"/>
      <c r="BU971" s="4"/>
    </row>
    <row r="972">
      <c r="AK972" s="1"/>
      <c r="AQ972" s="1"/>
      <c r="AW972" s="1"/>
      <c r="BC972" s="1"/>
      <c r="BD972" s="1"/>
      <c r="BE972" s="1"/>
      <c r="BF972" s="1"/>
      <c r="BG972" s="1"/>
      <c r="BH972" s="1"/>
      <c r="BI972" s="1"/>
      <c r="BO972" s="1"/>
      <c r="BP972" s="1"/>
      <c r="BQ972" s="1"/>
      <c r="BR972" s="1"/>
      <c r="BS972" s="1"/>
      <c r="BT972" s="1"/>
      <c r="BU972" s="4"/>
    </row>
    <row r="973">
      <c r="AK973" s="1"/>
      <c r="AQ973" s="1"/>
      <c r="AW973" s="1"/>
      <c r="BC973" s="1"/>
      <c r="BD973" s="1"/>
      <c r="BE973" s="1"/>
      <c r="BF973" s="1"/>
      <c r="BG973" s="1"/>
      <c r="BH973" s="1"/>
      <c r="BI973" s="1"/>
      <c r="BO973" s="1"/>
      <c r="BP973" s="1"/>
      <c r="BQ973" s="1"/>
      <c r="BR973" s="1"/>
      <c r="BS973" s="1"/>
      <c r="BT973" s="1"/>
      <c r="BU973" s="4"/>
    </row>
    <row r="974">
      <c r="AK974" s="1"/>
      <c r="AQ974" s="1"/>
      <c r="AW974" s="1"/>
      <c r="BC974" s="1"/>
      <c r="BD974" s="1"/>
      <c r="BE974" s="1"/>
      <c r="BF974" s="1"/>
      <c r="BG974" s="1"/>
      <c r="BH974" s="1"/>
      <c r="BI974" s="1"/>
      <c r="BO974" s="1"/>
      <c r="BP974" s="1"/>
      <c r="BQ974" s="1"/>
      <c r="BR974" s="1"/>
      <c r="BS974" s="1"/>
      <c r="BT974" s="1"/>
      <c r="BU974" s="4"/>
    </row>
    <row r="975">
      <c r="AK975" s="1"/>
      <c r="AQ975" s="1"/>
      <c r="AW975" s="1"/>
      <c r="BC975" s="1"/>
      <c r="BD975" s="1"/>
      <c r="BE975" s="1"/>
      <c r="BF975" s="1"/>
      <c r="BG975" s="1"/>
      <c r="BH975" s="1"/>
      <c r="BI975" s="1"/>
      <c r="BO975" s="1"/>
      <c r="BP975" s="1"/>
      <c r="BQ975" s="1"/>
      <c r="BR975" s="1"/>
      <c r="BS975" s="1"/>
      <c r="BT975" s="1"/>
      <c r="BU975" s="4"/>
    </row>
    <row r="976">
      <c r="AK976" s="1"/>
      <c r="AQ976" s="1"/>
      <c r="AW976" s="1"/>
      <c r="BC976" s="1"/>
      <c r="BD976" s="1"/>
      <c r="BE976" s="1"/>
      <c r="BF976" s="1"/>
      <c r="BG976" s="1"/>
      <c r="BH976" s="1"/>
      <c r="BI976" s="1"/>
      <c r="BO976" s="1"/>
      <c r="BP976" s="1"/>
      <c r="BQ976" s="1"/>
      <c r="BR976" s="1"/>
      <c r="BS976" s="1"/>
      <c r="BT976" s="1"/>
      <c r="BU976" s="4"/>
    </row>
    <row r="977">
      <c r="AK977" s="1"/>
      <c r="AQ977" s="1"/>
      <c r="AW977" s="1"/>
      <c r="BC977" s="1"/>
      <c r="BD977" s="1"/>
      <c r="BE977" s="1"/>
      <c r="BF977" s="1"/>
      <c r="BG977" s="1"/>
      <c r="BH977" s="1"/>
      <c r="BI977" s="1"/>
      <c r="BO977" s="1"/>
      <c r="BP977" s="1"/>
      <c r="BQ977" s="1"/>
      <c r="BR977" s="1"/>
      <c r="BS977" s="1"/>
      <c r="BT977" s="1"/>
      <c r="BU977" s="4"/>
    </row>
    <row r="978">
      <c r="AK978" s="1"/>
      <c r="AQ978" s="1"/>
      <c r="AW978" s="1"/>
      <c r="BC978" s="1"/>
      <c r="BD978" s="1"/>
      <c r="BE978" s="1"/>
      <c r="BF978" s="1"/>
      <c r="BG978" s="1"/>
      <c r="BH978" s="1"/>
      <c r="BI978" s="1"/>
      <c r="BO978" s="1"/>
      <c r="BP978" s="1"/>
      <c r="BQ978" s="1"/>
      <c r="BR978" s="1"/>
      <c r="BS978" s="1"/>
      <c r="BT978" s="1"/>
      <c r="BU978" s="4"/>
    </row>
    <row r="979">
      <c r="AK979" s="1"/>
      <c r="AQ979" s="1"/>
      <c r="AW979" s="1"/>
      <c r="BC979" s="1"/>
      <c r="BD979" s="1"/>
      <c r="BE979" s="1"/>
      <c r="BF979" s="1"/>
      <c r="BG979" s="1"/>
      <c r="BH979" s="1"/>
      <c r="BI979" s="1"/>
      <c r="BO979" s="1"/>
      <c r="BP979" s="1"/>
      <c r="BQ979" s="1"/>
      <c r="BR979" s="1"/>
      <c r="BS979" s="1"/>
      <c r="BT979" s="1"/>
      <c r="BU979" s="4"/>
    </row>
    <row r="980">
      <c r="AK980" s="1"/>
      <c r="AQ980" s="1"/>
      <c r="AW980" s="1"/>
      <c r="BC980" s="1"/>
      <c r="BD980" s="1"/>
      <c r="BE980" s="1"/>
      <c r="BF980" s="1"/>
      <c r="BG980" s="1"/>
      <c r="BH980" s="1"/>
      <c r="BI980" s="1"/>
      <c r="BO980" s="1"/>
      <c r="BP980" s="1"/>
      <c r="BQ980" s="1"/>
      <c r="BR980" s="1"/>
      <c r="BS980" s="1"/>
      <c r="BT980" s="1"/>
      <c r="BU980" s="4"/>
    </row>
    <row r="981">
      <c r="AK981" s="1"/>
      <c r="AQ981" s="1"/>
      <c r="AW981" s="1"/>
      <c r="BC981" s="1"/>
      <c r="BD981" s="1"/>
      <c r="BE981" s="1"/>
      <c r="BF981" s="1"/>
      <c r="BG981" s="1"/>
      <c r="BH981" s="1"/>
      <c r="BI981" s="1"/>
      <c r="BO981" s="1"/>
      <c r="BP981" s="1"/>
      <c r="BQ981" s="1"/>
      <c r="BR981" s="1"/>
      <c r="BS981" s="1"/>
      <c r="BT981" s="1"/>
      <c r="BU981" s="4"/>
    </row>
    <row r="982">
      <c r="AK982" s="1"/>
      <c r="AQ982" s="1"/>
      <c r="AW982" s="1"/>
      <c r="BC982" s="1"/>
      <c r="BD982" s="1"/>
      <c r="BE982" s="1"/>
      <c r="BF982" s="1"/>
      <c r="BG982" s="1"/>
      <c r="BH982" s="1"/>
      <c r="BI982" s="1"/>
      <c r="BO982" s="1"/>
      <c r="BP982" s="1"/>
      <c r="BQ982" s="1"/>
      <c r="BR982" s="1"/>
      <c r="BS982" s="1"/>
      <c r="BT982" s="1"/>
      <c r="BU982" s="4"/>
    </row>
    <row r="983">
      <c r="AK983" s="1"/>
      <c r="AQ983" s="1"/>
      <c r="AW983" s="1"/>
      <c r="BC983" s="1"/>
      <c r="BD983" s="1"/>
      <c r="BE983" s="1"/>
      <c r="BF983" s="1"/>
      <c r="BG983" s="1"/>
      <c r="BH983" s="1"/>
      <c r="BI983" s="1"/>
      <c r="BO983" s="1"/>
      <c r="BP983" s="1"/>
      <c r="BQ983" s="1"/>
      <c r="BR983" s="1"/>
      <c r="BS983" s="1"/>
      <c r="BT983" s="1"/>
      <c r="BU983" s="4"/>
    </row>
    <row r="984">
      <c r="AK984" s="1"/>
      <c r="AQ984" s="1"/>
      <c r="AW984" s="1"/>
      <c r="BC984" s="1"/>
      <c r="BD984" s="1"/>
      <c r="BE984" s="1"/>
      <c r="BF984" s="1"/>
      <c r="BG984" s="1"/>
      <c r="BH984" s="1"/>
      <c r="BI984" s="1"/>
      <c r="BO984" s="1"/>
      <c r="BP984" s="1"/>
      <c r="BQ984" s="1"/>
      <c r="BR984" s="1"/>
      <c r="BS984" s="1"/>
      <c r="BT984" s="1"/>
      <c r="BU984" s="4"/>
    </row>
    <row r="985">
      <c r="AK985" s="1"/>
      <c r="AQ985" s="1"/>
      <c r="AW985" s="1"/>
      <c r="BC985" s="1"/>
      <c r="BD985" s="1"/>
      <c r="BE985" s="1"/>
      <c r="BF985" s="1"/>
      <c r="BG985" s="1"/>
      <c r="BH985" s="1"/>
      <c r="BI985" s="1"/>
      <c r="BO985" s="1"/>
      <c r="BP985" s="1"/>
      <c r="BQ985" s="1"/>
      <c r="BR985" s="1"/>
      <c r="BS985" s="1"/>
      <c r="BT985" s="1"/>
      <c r="BU985" s="4"/>
    </row>
    <row r="986">
      <c r="AK986" s="1"/>
      <c r="AQ986" s="1"/>
      <c r="AW986" s="1"/>
      <c r="BC986" s="1"/>
      <c r="BD986" s="1"/>
      <c r="BE986" s="1"/>
      <c r="BF986" s="1"/>
      <c r="BG986" s="1"/>
      <c r="BH986" s="1"/>
      <c r="BI986" s="1"/>
      <c r="BO986" s="1"/>
      <c r="BP986" s="1"/>
      <c r="BQ986" s="1"/>
      <c r="BR986" s="1"/>
      <c r="BS986" s="1"/>
      <c r="BT986" s="1"/>
      <c r="BU986" s="4"/>
    </row>
    <row r="987">
      <c r="AK987" s="1"/>
      <c r="AQ987" s="1"/>
      <c r="AW987" s="1"/>
      <c r="BC987" s="1"/>
      <c r="BD987" s="1"/>
      <c r="BE987" s="1"/>
      <c r="BF987" s="1"/>
      <c r="BG987" s="1"/>
      <c r="BH987" s="1"/>
      <c r="BI987" s="1"/>
      <c r="BO987" s="1"/>
      <c r="BP987" s="1"/>
      <c r="BQ987" s="1"/>
      <c r="BR987" s="1"/>
      <c r="BS987" s="1"/>
      <c r="BT987" s="1"/>
      <c r="BU987" s="4"/>
    </row>
    <row r="988">
      <c r="AK988" s="1"/>
      <c r="AQ988" s="1"/>
      <c r="AW988" s="1"/>
      <c r="BC988" s="1"/>
      <c r="BD988" s="1"/>
      <c r="BE988" s="1"/>
      <c r="BF988" s="1"/>
      <c r="BG988" s="1"/>
      <c r="BH988" s="1"/>
      <c r="BI988" s="1"/>
      <c r="BO988" s="1"/>
      <c r="BP988" s="1"/>
      <c r="BQ988" s="1"/>
      <c r="BR988" s="1"/>
      <c r="BS988" s="1"/>
      <c r="BT988" s="1"/>
      <c r="BU988" s="4"/>
    </row>
    <row r="989">
      <c r="AK989" s="1"/>
      <c r="AQ989" s="1"/>
      <c r="AW989" s="1"/>
      <c r="BC989" s="1"/>
      <c r="BD989" s="1"/>
      <c r="BE989" s="1"/>
      <c r="BF989" s="1"/>
      <c r="BG989" s="1"/>
      <c r="BH989" s="1"/>
      <c r="BI989" s="1"/>
      <c r="BO989" s="1"/>
      <c r="BP989" s="1"/>
      <c r="BQ989" s="1"/>
      <c r="BR989" s="1"/>
      <c r="BS989" s="1"/>
      <c r="BT989" s="1"/>
      <c r="BU989" s="4"/>
    </row>
    <row r="990">
      <c r="AK990" s="1"/>
      <c r="AQ990" s="1"/>
      <c r="AW990" s="1"/>
      <c r="BC990" s="1"/>
      <c r="BD990" s="1"/>
      <c r="BE990" s="1"/>
      <c r="BF990" s="1"/>
      <c r="BG990" s="1"/>
      <c r="BH990" s="1"/>
      <c r="BI990" s="1"/>
      <c r="BO990" s="1"/>
      <c r="BP990" s="1"/>
      <c r="BQ990" s="1"/>
      <c r="BR990" s="1"/>
      <c r="BS990" s="1"/>
      <c r="BT990" s="1"/>
      <c r="BU990" s="4"/>
    </row>
    <row r="991">
      <c r="AK991" s="1"/>
      <c r="AQ991" s="1"/>
      <c r="AW991" s="1"/>
      <c r="BC991" s="1"/>
      <c r="BD991" s="1"/>
      <c r="BE991" s="1"/>
      <c r="BF991" s="1"/>
      <c r="BG991" s="1"/>
      <c r="BH991" s="1"/>
      <c r="BI991" s="1"/>
      <c r="BO991" s="1"/>
      <c r="BP991" s="1"/>
      <c r="BQ991" s="1"/>
      <c r="BR991" s="1"/>
      <c r="BS991" s="1"/>
      <c r="BT991" s="1"/>
      <c r="BU991" s="4"/>
    </row>
    <row r="992">
      <c r="AK992" s="1"/>
      <c r="AQ992" s="1"/>
      <c r="AW992" s="1"/>
      <c r="BC992" s="1"/>
      <c r="BD992" s="1"/>
      <c r="BE992" s="1"/>
      <c r="BF992" s="1"/>
      <c r="BG992" s="1"/>
      <c r="BH992" s="1"/>
      <c r="BI992" s="1"/>
      <c r="BO992" s="1"/>
      <c r="BP992" s="1"/>
      <c r="BQ992" s="1"/>
      <c r="BR992" s="1"/>
      <c r="BS992" s="1"/>
      <c r="BT992" s="1"/>
      <c r="BU992" s="4"/>
    </row>
    <row r="993">
      <c r="AK993" s="1"/>
      <c r="AQ993" s="1"/>
      <c r="AW993" s="1"/>
      <c r="BC993" s="1"/>
      <c r="BD993" s="1"/>
      <c r="BE993" s="1"/>
      <c r="BF993" s="1"/>
      <c r="BG993" s="1"/>
      <c r="BH993" s="1"/>
      <c r="BI993" s="1"/>
      <c r="BO993" s="1"/>
      <c r="BP993" s="1"/>
      <c r="BQ993" s="1"/>
      <c r="BR993" s="1"/>
      <c r="BS993" s="1"/>
      <c r="BT993" s="1"/>
      <c r="BU993" s="4"/>
    </row>
    <row r="994">
      <c r="AK994" s="1"/>
      <c r="AQ994" s="1"/>
      <c r="AW994" s="1"/>
      <c r="BC994" s="1"/>
      <c r="BD994" s="1"/>
      <c r="BE994" s="1"/>
      <c r="BF994" s="1"/>
      <c r="BG994" s="1"/>
      <c r="BH994" s="1"/>
      <c r="BI994" s="1"/>
      <c r="BO994" s="1"/>
      <c r="BP994" s="1"/>
      <c r="BQ994" s="1"/>
      <c r="BR994" s="1"/>
      <c r="BS994" s="1"/>
      <c r="BT994" s="1"/>
      <c r="BU994" s="4"/>
    </row>
    <row r="995">
      <c r="AK995" s="1"/>
      <c r="AQ995" s="1"/>
      <c r="AW995" s="1"/>
      <c r="BC995" s="1"/>
      <c r="BD995" s="1"/>
      <c r="BE995" s="1"/>
      <c r="BF995" s="1"/>
      <c r="BG995" s="1"/>
      <c r="BH995" s="1"/>
      <c r="BI995" s="1"/>
      <c r="BO995" s="1"/>
      <c r="BP995" s="1"/>
      <c r="BQ995" s="1"/>
      <c r="BR995" s="1"/>
      <c r="BS995" s="1"/>
      <c r="BT995" s="1"/>
      <c r="BU995" s="4"/>
    </row>
    <row r="996">
      <c r="AK996" s="1"/>
      <c r="AQ996" s="1"/>
      <c r="AW996" s="1"/>
      <c r="BC996" s="1"/>
      <c r="BD996" s="1"/>
      <c r="BE996" s="1"/>
      <c r="BF996" s="1"/>
      <c r="BG996" s="1"/>
      <c r="BH996" s="1"/>
      <c r="BI996" s="1"/>
      <c r="BO996" s="1"/>
      <c r="BP996" s="1"/>
      <c r="BQ996" s="1"/>
      <c r="BR996" s="1"/>
      <c r="BS996" s="1"/>
      <c r="BT996" s="1"/>
      <c r="BU996" s="4"/>
    </row>
    <row r="997">
      <c r="AK997" s="1"/>
      <c r="AQ997" s="1"/>
      <c r="AW997" s="1"/>
      <c r="BC997" s="1"/>
      <c r="BD997" s="1"/>
      <c r="BE997" s="1"/>
      <c r="BF997" s="1"/>
      <c r="BG997" s="1"/>
      <c r="BH997" s="1"/>
      <c r="BI997" s="1"/>
      <c r="BO997" s="1"/>
      <c r="BP997" s="1"/>
      <c r="BQ997" s="1"/>
      <c r="BR997" s="1"/>
      <c r="BS997" s="1"/>
      <c r="BT997" s="1"/>
      <c r="BU997" s="4"/>
    </row>
    <row r="998">
      <c r="AK998" s="1"/>
      <c r="AQ998" s="1"/>
      <c r="AW998" s="1"/>
      <c r="BC998" s="1"/>
      <c r="BD998" s="1"/>
      <c r="BE998" s="1"/>
      <c r="BF998" s="1"/>
      <c r="BG998" s="1"/>
      <c r="BH998" s="1"/>
      <c r="BI998" s="1"/>
      <c r="BO998" s="1"/>
      <c r="BP998" s="1"/>
      <c r="BQ998" s="1"/>
      <c r="BR998" s="1"/>
      <c r="BS998" s="1"/>
      <c r="BT998" s="1"/>
      <c r="BU998" s="4"/>
    </row>
    <row r="999">
      <c r="AK999" s="1"/>
      <c r="AQ999" s="1"/>
      <c r="AW999" s="1"/>
      <c r="BC999" s="1"/>
      <c r="BD999" s="1"/>
      <c r="BE999" s="1"/>
      <c r="BF999" s="1"/>
      <c r="BG999" s="1"/>
      <c r="BH999" s="1"/>
      <c r="BI999" s="1"/>
      <c r="BO999" s="1"/>
      <c r="BP999" s="1"/>
      <c r="BQ999" s="1"/>
      <c r="BR999" s="1"/>
      <c r="BS999" s="1"/>
      <c r="BT999" s="1"/>
      <c r="BU999" s="4"/>
    </row>
    <row r="1000">
      <c r="AK1000" s="1"/>
      <c r="AQ1000" s="1"/>
      <c r="AW1000" s="1"/>
      <c r="BC1000" s="1"/>
      <c r="BD1000" s="1"/>
      <c r="BE1000" s="1"/>
      <c r="BF1000" s="1"/>
      <c r="BG1000" s="1"/>
      <c r="BH1000" s="1"/>
      <c r="BI1000" s="1"/>
      <c r="BO1000" s="1"/>
      <c r="BP1000" s="1"/>
      <c r="BQ1000" s="1"/>
      <c r="BR1000" s="1"/>
      <c r="BS1000" s="1"/>
      <c r="BT1000" s="1"/>
      <c r="BU1000" s="4"/>
    </row>
    <row r="1001">
      <c r="AK1001" s="1"/>
      <c r="AQ1001" s="1"/>
      <c r="AW1001" s="1"/>
      <c r="BC1001" s="1"/>
      <c r="BD1001" s="1"/>
      <c r="BE1001" s="1"/>
      <c r="BF1001" s="1"/>
      <c r="BG1001" s="1"/>
      <c r="BH1001" s="1"/>
      <c r="BI1001" s="1"/>
      <c r="BO1001" s="1"/>
      <c r="BP1001" s="1"/>
      <c r="BQ1001" s="1"/>
      <c r="BR1001" s="1"/>
      <c r="BS1001" s="1"/>
      <c r="BT1001" s="1"/>
      <c r="BU1001" s="4"/>
    </row>
    <row r="1002">
      <c r="AK1002" s="1"/>
      <c r="AQ1002" s="1"/>
      <c r="AW1002" s="1"/>
      <c r="BC1002" s="1"/>
      <c r="BD1002" s="1"/>
      <c r="BE1002" s="1"/>
      <c r="BF1002" s="1"/>
      <c r="BG1002" s="1"/>
      <c r="BH1002" s="1"/>
      <c r="BI1002" s="1"/>
      <c r="BO1002" s="1"/>
      <c r="BP1002" s="1"/>
      <c r="BQ1002" s="1"/>
      <c r="BR1002" s="1"/>
      <c r="BS1002" s="1"/>
      <c r="BT1002" s="1"/>
      <c r="BU1002" s="4"/>
    </row>
    <row r="1003">
      <c r="AK1003" s="1"/>
      <c r="AQ1003" s="1"/>
      <c r="AW1003" s="1"/>
      <c r="BC1003" s="1"/>
      <c r="BD1003" s="1"/>
      <c r="BE1003" s="1"/>
      <c r="BF1003" s="1"/>
      <c r="BG1003" s="1"/>
      <c r="BH1003" s="1"/>
      <c r="BI1003" s="1"/>
      <c r="BO1003" s="1"/>
      <c r="BP1003" s="1"/>
      <c r="BQ1003" s="1"/>
      <c r="BR1003" s="1"/>
      <c r="BS1003" s="1"/>
      <c r="BT1003" s="1"/>
      <c r="BU1003" s="4"/>
    </row>
    <row r="1004">
      <c r="AK1004" s="1"/>
      <c r="AQ1004" s="1"/>
      <c r="AW1004" s="1"/>
      <c r="BC1004" s="1"/>
      <c r="BD1004" s="1"/>
      <c r="BE1004" s="1"/>
      <c r="BF1004" s="1"/>
      <c r="BG1004" s="1"/>
      <c r="BH1004" s="1"/>
      <c r="BI1004" s="1"/>
      <c r="BO1004" s="1"/>
      <c r="BU1004" s="4"/>
    </row>
    <row r="1005">
      <c r="AK1005" s="1"/>
      <c r="AQ1005" s="1"/>
      <c r="AW1005" s="1"/>
      <c r="BC1005" s="1"/>
      <c r="BD1005" s="1"/>
      <c r="BE1005" s="1"/>
      <c r="BF1005" s="1"/>
      <c r="BG1005" s="1"/>
      <c r="BH1005" s="1"/>
      <c r="BI1005" s="1"/>
      <c r="BO1005" s="1"/>
      <c r="BU1005" s="4"/>
    </row>
    <row r="1006">
      <c r="AK1006" s="1"/>
      <c r="AQ1006" s="1"/>
      <c r="AW1006" s="1"/>
      <c r="BC1006" s="1"/>
      <c r="BD1006" s="1"/>
      <c r="BE1006" s="1"/>
      <c r="BF1006" s="1"/>
      <c r="BG1006" s="1"/>
      <c r="BH1006" s="1"/>
      <c r="BI1006" s="1"/>
      <c r="BO1006" s="1"/>
      <c r="BU1006" s="4"/>
    </row>
  </sheetData>
  <mergeCells count="49">
    <mergeCell ref="BG11:BH15"/>
    <mergeCell ref="BM11:BN15"/>
    <mergeCell ref="Q11:R15"/>
    <mergeCell ref="W11:X15"/>
    <mergeCell ref="AC11:AD15"/>
    <mergeCell ref="AI11:AJ15"/>
    <mergeCell ref="AO11:AP15"/>
    <mergeCell ref="AU11:AV15"/>
    <mergeCell ref="BA11:BB15"/>
    <mergeCell ref="AR1:AV1"/>
    <mergeCell ref="AX1:BB1"/>
    <mergeCell ref="BD1:BH1"/>
    <mergeCell ref="BJ1:BN1"/>
    <mergeCell ref="BP1:BT1"/>
    <mergeCell ref="B1:F1"/>
    <mergeCell ref="H1:L1"/>
    <mergeCell ref="N1:R1"/>
    <mergeCell ref="T1:X1"/>
    <mergeCell ref="Z1:AD1"/>
    <mergeCell ref="AF1:AJ1"/>
    <mergeCell ref="AL1:AP1"/>
    <mergeCell ref="X3:X9"/>
    <mergeCell ref="AB3:AB9"/>
    <mergeCell ref="AD3:AD9"/>
    <mergeCell ref="AH3:AH9"/>
    <mergeCell ref="AJ3:AJ9"/>
    <mergeCell ref="AN3:AN9"/>
    <mergeCell ref="AP3:AP9"/>
    <mergeCell ref="BN3:BN9"/>
    <mergeCell ref="BR3:BR9"/>
    <mergeCell ref="BT3:BT9"/>
    <mergeCell ref="BS11:BT15"/>
    <mergeCell ref="AT3:AT9"/>
    <mergeCell ref="AV3:AV9"/>
    <mergeCell ref="AZ3:AZ9"/>
    <mergeCell ref="BB3:BB9"/>
    <mergeCell ref="BF3:BF9"/>
    <mergeCell ref="BH3:BH9"/>
    <mergeCell ref="BL3:BL9"/>
    <mergeCell ref="L3:L9"/>
    <mergeCell ref="K11:L15"/>
    <mergeCell ref="D3:D9"/>
    <mergeCell ref="F3:F9"/>
    <mergeCell ref="J3:J9"/>
    <mergeCell ref="P3:P9"/>
    <mergeCell ref="R3:R9"/>
    <mergeCell ref="V3:V9"/>
    <mergeCell ref="E11:F15"/>
    <mergeCell ref="C20:C23"/>
  </mergeCells>
  <conditionalFormatting sqref="C17:C30 I17:I30 O17:O30 U17:U30 AA17:AA30 AG17:AG30 AM17:AM30 AS17:AS30 AY17:AY30 BE17:BE30 BK17:BK30 BQ17:BQ30 AY97:AY110 BK97:BK110 AM161:AM190 AY162:AY190 BK162:BK190 AM241:AM270 AY242:AY270 BK242:BK270 AM321:AM350 AY322:AY350 BK322:BK350 AM401:AM430 AY402:AY430 BK402:BK430 AM481:AM510 AY482:AY510 BK482:BK510 AM561:AM590 AY562:AY590 BK562:BK590 AM641:AM670 AY642:AY670 BK642:BK670 AM721:AM750 AY722:AY750 BK722:BK750 AM801:AM830 AY802:AY830 BK802:BK830 AM881:AM910 AY882:AY910 BK882:BK910">
    <cfRule type="notContainsBlanks" dxfId="0" priority="1">
      <formula>LEN(TRIM(C17))&gt;0</formula>
    </cfRule>
  </conditionalFormatting>
  <conditionalFormatting sqref="C17:C30 I17:I30 O17:O30 U17:U30 AA17:AA30 AG17:AG31 AM17:AM31 AS17:AS31 AY17:AY30 BE17:BE30 BK17:BK30 BQ17:BQ30">
    <cfRule type="containsBlanks" dxfId="1" priority="2">
      <formula>LEN(TRIM(C17))=0</formula>
    </cfRule>
  </conditionalFormatting>
  <conditionalFormatting sqref="D11:D15 J11:J15 P11:P15 V11:V15 AB11:AB15 AH11:AH15 AN11:AN15 AT11:AT15 AZ11:AZ15 BF11:BF15 BL11:BL15 BR11:BR15 D17:D31 J17:J31 P17:P31 V17:V31 AB17:AB31 AH17:AH31 AN17:AN111 AT17:AT31 AZ17:AZ111 BF17:BF32 BL17:BL111 BR17:BR31 AT108:AT115 AH109:AH115 J110:J115 V110:V115 AN170:AN191 AZ171:AZ175 BL171:BL175 AZ177:AZ191 BL177:BL191 AN250:AN271 AZ251:AZ255 BL251:BL255 AZ257:AZ271 BL257:BL271 AN330:AN351 AZ331:AZ335 BL331:BL335 AZ337:AZ351 BL337:BL351 AN410:AN431 AZ411:AZ415 BL411:BL415 AZ417:AZ431 BL417:BL431 AN490:AN511 AZ491:AZ495 BL491:BL495 AZ497:AZ511 BL497:BL511 AN570:AN591 AZ571:AZ575 BL571:BL575 AZ577:AZ591 BL577:BL591 AN650:AN671 AZ651:AZ655 BL651:BL655 AZ657:AZ671 BL657:BL671 AN730:AN751 AZ731:AZ735 BL731:BL735 AZ737:AZ751 BL737:BL751 AN810:AN831 AZ811:AZ815 BL811:BL815 AZ817:AZ831 BL817:BL831 AN890:AN911 AZ891:AZ895 BL891:BL895 AZ897:AZ911 BL897:BL911">
    <cfRule type="cellIs" dxfId="2" priority="3" operator="greaterThan">
      <formula>"6 + DAY(TODAY())"</formula>
    </cfRule>
  </conditionalFormatting>
  <conditionalFormatting sqref="B17:D88 E17:E19 F17:F88 H17:J116 L17:L116 N17:P80 R17:R80 T17:V116 X17:X116 Z17:AB89 AD17:AD89 AF17:AH116 AJ17:AJ116 AL17:AN1006 AP17:AP1006 AR17:AT116 AV17:AV116 AX17:AZ1006 BB17:BB1006 BD17:BF129 BH17:BH129 BJ17:BL1006 BN17:BN1006 BP17:BR129 BT17:BT129 E21 AI21 AU21 BG21 BS21 E23:E24 E71">
    <cfRule type="cellIs" dxfId="3" priority="4" operator="equal">
      <formula>"WALKER"</formula>
    </cfRule>
  </conditionalFormatting>
  <conditionalFormatting sqref="C5 I5 O5 U5 AA5 AG5 AM5 AS5 AY5 BE5 BK5 BQ5 AM84 AY85 BK85 AS102 AG103 I104 U104 AM149 AY150 BK150 AM229 AY230 BK230 AM309 AY310 BK310 AM389 AY390 BK390 AM469 AY470 BK470 AM549 AY550 BK550 AM629 AY630 BK630 AM709 AY710 BK710 AM789 AY790 BK790 AM869 AY870 BK870">
    <cfRule type="cellIs" dxfId="4" priority="5" operator="lessThan">
      <formula>0</formula>
    </cfRule>
  </conditionalFormatting>
  <conditionalFormatting sqref="B17:D88 E17:E19 F17:F88 H17:J116 L17:L116 N17:P80 R17:R80 T17:V116 X17:X116 Z17:AB89 AD17:AD89 AF17:AH116 AJ17:AJ116 AL17:AN1006 AP17:AP1006 AR17:AT116 AV17:AV116 AX17:AZ1006 BB17:BB1006 BD17:BF129 BH17:BH129 BJ17:BL1006 BN17:BN1006 BP17:BR129 BT17:BT129 E21 E23:E24 E71">
    <cfRule type="cellIs" dxfId="5" priority="6" operator="equal">
      <formula>"DEA"</formula>
    </cfRule>
  </conditionalFormatting>
  <hyperlinks>
    <hyperlink r:id="rId2" ref="BJ68"/>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3.38"/>
    <col customWidth="1" min="3" max="3" width="10.25"/>
    <col customWidth="1" min="4" max="4" width="5.13"/>
    <col customWidth="1" min="5" max="5" width="14.13"/>
    <col customWidth="1" min="6" max="6" width="10.25"/>
    <col customWidth="1" min="7" max="7" width="6.5"/>
    <col customWidth="1" min="8" max="8" width="21.0"/>
    <col customWidth="1" min="9" max="9" width="10.25"/>
    <col customWidth="1" min="10" max="10" width="5.13"/>
    <col customWidth="1" min="11" max="11" width="14.13"/>
    <col customWidth="1" min="12" max="12" width="10.25"/>
    <col customWidth="1" min="13" max="13" width="6.5"/>
    <col customWidth="1" min="14" max="14" width="24.5"/>
    <col customWidth="1" min="15" max="15" width="10.25"/>
    <col customWidth="1" min="16" max="16" width="11.75"/>
    <col customWidth="1" min="17" max="17" width="14.13"/>
    <col customWidth="1" min="18" max="18" width="10.25"/>
    <col customWidth="1" min="19" max="19" width="6.5"/>
    <col customWidth="1" min="20" max="20" width="21.0"/>
    <col customWidth="1" min="21" max="21" width="10.25"/>
    <col customWidth="1" min="22" max="22" width="5.13"/>
    <col customWidth="1" min="23" max="23" width="14.13"/>
    <col customWidth="1" min="24" max="24" width="10.25"/>
    <col customWidth="1" min="25" max="25" width="6.5"/>
    <col customWidth="1" min="26" max="26" width="21.63"/>
    <col customWidth="1" min="27" max="27" width="10.25"/>
    <col customWidth="1" min="28" max="28" width="4.63"/>
    <col customWidth="1" min="29" max="29" width="14.13"/>
    <col customWidth="1" min="30" max="30" width="10.25"/>
    <col customWidth="1" min="31" max="31" width="6.5"/>
    <col customWidth="1" min="32" max="32" width="21.0"/>
    <col customWidth="1" min="33" max="33" width="10.25"/>
    <col customWidth="1" min="34" max="34" width="5.13"/>
    <col customWidth="1" min="35" max="35" width="14.13"/>
    <col customWidth="1" min="36" max="36" width="10.25"/>
    <col customWidth="1" min="37" max="37" width="6.5"/>
    <col customWidth="1" min="38" max="38" width="21.63"/>
    <col customWidth="1" min="39" max="39" width="10.25"/>
    <col customWidth="1" min="40" max="40" width="4.63"/>
    <col customWidth="1" min="41" max="41" width="14.13"/>
    <col customWidth="1" min="42" max="42" width="10.25"/>
    <col customWidth="1" min="43" max="43" width="6.5"/>
    <col customWidth="1" min="44" max="44" width="21.0"/>
    <col customWidth="1" min="45" max="45" width="10.25"/>
    <col customWidth="1" min="46" max="46" width="5.13"/>
    <col customWidth="1" min="47" max="47" width="14.13"/>
    <col customWidth="1" min="48" max="48" width="10.25"/>
    <col customWidth="1" min="49" max="49" width="6.5"/>
    <col customWidth="1" min="50" max="50" width="21.63"/>
    <col customWidth="1" min="51" max="51" width="10.25"/>
    <col customWidth="1" min="52" max="52" width="4.63"/>
    <col customWidth="1" min="53" max="53" width="14.13"/>
    <col customWidth="1" min="54" max="54" width="10.25"/>
    <col customWidth="1" min="55" max="55" width="6.5"/>
    <col customWidth="1" min="56" max="56" width="21.0"/>
    <col customWidth="1" min="57" max="57" width="10.25"/>
    <col customWidth="1" min="58" max="58" width="5.13"/>
    <col customWidth="1" min="59" max="59" width="14.13"/>
    <col customWidth="1" min="60" max="60" width="10.25"/>
    <col customWidth="1" min="61" max="61" width="6.5"/>
    <col customWidth="1" min="62" max="62" width="21.63"/>
    <col customWidth="1" min="63" max="63" width="10.25"/>
    <col customWidth="1" min="64" max="64" width="4.63"/>
    <col customWidth="1" min="65" max="65" width="14.13"/>
    <col customWidth="1" min="66" max="66" width="10.25"/>
    <col customWidth="1" min="67" max="67" width="6.5"/>
    <col customWidth="1" min="68" max="68" width="21.0"/>
    <col customWidth="1" min="69" max="69" width="10.25"/>
    <col customWidth="1" min="70" max="70" width="5.13"/>
    <col customWidth="1" min="71" max="71" width="14.13"/>
    <col customWidth="1" min="72" max="72" width="10.25"/>
    <col customWidth="1" min="73" max="73" width="6.5"/>
  </cols>
  <sheetData>
    <row r="1">
      <c r="A1" s="1"/>
      <c r="B1" s="2" t="s">
        <v>0</v>
      </c>
      <c r="G1" s="1"/>
      <c r="H1" s="3" t="s">
        <v>1</v>
      </c>
      <c r="M1" s="1"/>
      <c r="N1" s="2" t="s">
        <v>2</v>
      </c>
      <c r="S1" s="1"/>
      <c r="T1" s="3" t="s">
        <v>3</v>
      </c>
      <c r="Y1" s="1"/>
      <c r="Z1" s="2" t="s">
        <v>4</v>
      </c>
      <c r="AE1" s="1"/>
      <c r="AF1" s="3" t="s">
        <v>5</v>
      </c>
      <c r="AK1" s="1"/>
      <c r="AL1" s="2" t="s">
        <v>6</v>
      </c>
      <c r="AQ1" s="1"/>
      <c r="AR1" s="3" t="s">
        <v>7</v>
      </c>
      <c r="AW1" s="1"/>
      <c r="AX1" s="2" t="s">
        <v>8</v>
      </c>
      <c r="BC1" s="1"/>
      <c r="BD1" s="3" t="s">
        <v>9</v>
      </c>
      <c r="BI1" s="1"/>
      <c r="BJ1" s="2" t="s">
        <v>10</v>
      </c>
      <c r="BO1" s="1"/>
      <c r="BP1" s="3" t="s">
        <v>11</v>
      </c>
      <c r="BU1" s="4"/>
    </row>
    <row r="2">
      <c r="A2" s="1"/>
      <c r="B2" s="2"/>
      <c r="C2" s="2" t="s">
        <v>12</v>
      </c>
      <c r="D2" s="5" t="s">
        <v>13</v>
      </c>
      <c r="E2" s="2" t="s">
        <v>14</v>
      </c>
      <c r="F2" s="2" t="s">
        <v>412</v>
      </c>
      <c r="G2" s="1"/>
      <c r="H2" s="3"/>
      <c r="I2" s="3" t="s">
        <v>12</v>
      </c>
      <c r="J2" s="7" t="s">
        <v>13</v>
      </c>
      <c r="K2" s="3" t="s">
        <v>14</v>
      </c>
      <c r="L2" s="3" t="s">
        <v>412</v>
      </c>
      <c r="M2" s="1"/>
      <c r="N2" s="2"/>
      <c r="O2" s="2" t="s">
        <v>12</v>
      </c>
      <c r="P2" s="5" t="s">
        <v>13</v>
      </c>
      <c r="Q2" s="2" t="s">
        <v>14</v>
      </c>
      <c r="R2" s="2" t="s">
        <v>412</v>
      </c>
      <c r="S2" s="1"/>
      <c r="T2" s="3"/>
      <c r="U2" s="3" t="s">
        <v>12</v>
      </c>
      <c r="V2" s="7" t="s">
        <v>13</v>
      </c>
      <c r="W2" s="3" t="s">
        <v>14</v>
      </c>
      <c r="X2" s="3" t="s">
        <v>412</v>
      </c>
      <c r="Y2" s="1"/>
      <c r="Z2" s="2"/>
      <c r="AA2" s="2" t="s">
        <v>12</v>
      </c>
      <c r="AB2" s="5" t="s">
        <v>13</v>
      </c>
      <c r="AC2" s="2" t="s">
        <v>14</v>
      </c>
      <c r="AD2" s="2" t="s">
        <v>412</v>
      </c>
      <c r="AE2" s="1"/>
      <c r="AF2" s="3"/>
      <c r="AG2" s="3" t="s">
        <v>12</v>
      </c>
      <c r="AH2" s="7" t="s">
        <v>13</v>
      </c>
      <c r="AI2" s="3" t="s">
        <v>14</v>
      </c>
      <c r="AJ2" s="3" t="s">
        <v>412</v>
      </c>
      <c r="AK2" s="1"/>
      <c r="AL2" s="2"/>
      <c r="AM2" s="2" t="s">
        <v>12</v>
      </c>
      <c r="AN2" s="5" t="s">
        <v>13</v>
      </c>
      <c r="AO2" s="2" t="s">
        <v>14</v>
      </c>
      <c r="AP2" s="2" t="s">
        <v>412</v>
      </c>
      <c r="AQ2" s="1"/>
      <c r="AR2" s="3"/>
      <c r="AS2" s="3" t="s">
        <v>12</v>
      </c>
      <c r="AT2" s="7" t="s">
        <v>13</v>
      </c>
      <c r="AU2" s="3" t="s">
        <v>14</v>
      </c>
      <c r="AV2" s="3" t="s">
        <v>412</v>
      </c>
      <c r="AW2" s="1"/>
      <c r="AX2" s="2"/>
      <c r="AY2" s="2" t="s">
        <v>12</v>
      </c>
      <c r="AZ2" s="5" t="s">
        <v>13</v>
      </c>
      <c r="BA2" s="2" t="s">
        <v>14</v>
      </c>
      <c r="BB2" s="2" t="s">
        <v>412</v>
      </c>
      <c r="BC2" s="1"/>
      <c r="BD2" s="3"/>
      <c r="BE2" s="3" t="s">
        <v>12</v>
      </c>
      <c r="BF2" s="7" t="s">
        <v>13</v>
      </c>
      <c r="BG2" s="3" t="s">
        <v>14</v>
      </c>
      <c r="BH2" s="3" t="s">
        <v>412</v>
      </c>
      <c r="BI2" s="1"/>
      <c r="BJ2" s="2"/>
      <c r="BK2" s="2" t="s">
        <v>12</v>
      </c>
      <c r="BL2" s="5" t="s">
        <v>13</v>
      </c>
      <c r="BM2" s="2" t="s">
        <v>14</v>
      </c>
      <c r="BN2" s="2" t="s">
        <v>412</v>
      </c>
      <c r="BO2" s="1"/>
      <c r="BP2" s="3"/>
      <c r="BQ2" s="3" t="s">
        <v>12</v>
      </c>
      <c r="BR2" s="7" t="s">
        <v>13</v>
      </c>
      <c r="BS2" s="3" t="s">
        <v>14</v>
      </c>
      <c r="BT2" s="3" t="s">
        <v>412</v>
      </c>
      <c r="BU2" s="4"/>
    </row>
    <row r="3">
      <c r="A3" s="1"/>
      <c r="B3" s="9" t="s">
        <v>27</v>
      </c>
      <c r="C3" s="10">
        <f>SUMIF(E17:E100,"WALKER",C17:C100)</f>
        <v>9242.7</v>
      </c>
      <c r="D3" s="11">
        <f>sumif(F17:F100, "WALKER", C17:C100)</f>
        <v>26270.51</v>
      </c>
      <c r="E3" s="12" t="s">
        <v>28</v>
      </c>
      <c r="F3" s="13">
        <f>C7+C8- (C10 - D3)</f>
        <v>0</v>
      </c>
      <c r="G3" s="1"/>
      <c r="H3" s="9" t="s">
        <v>27</v>
      </c>
      <c r="I3" s="10">
        <f>SUMIF(K17:K115,"WALKER",I17:I115)</f>
        <v>12266.69</v>
      </c>
      <c r="J3" s="11">
        <f>sumif(L17:L115, "WALKER", I17:I115)</f>
        <v>29429.56</v>
      </c>
      <c r="K3" s="14" t="s">
        <v>28</v>
      </c>
      <c r="L3" s="13">
        <f>I7+I8- (I10 - J3)</f>
        <v>0</v>
      </c>
      <c r="M3" s="1"/>
      <c r="N3" s="9" t="s">
        <v>27</v>
      </c>
      <c r="O3" s="10">
        <f>SUMIF(Q17:Q79,"WALKER",O17:O79)</f>
        <v>14899.69</v>
      </c>
      <c r="P3" s="11">
        <f>sumif(R17:R79, "WALKER", O17:O79)</f>
        <v>28449.96</v>
      </c>
      <c r="Q3" s="12" t="s">
        <v>28</v>
      </c>
      <c r="R3" s="13">
        <f>O7+O8- (O10 - P3)</f>
        <v>0</v>
      </c>
      <c r="S3" s="1"/>
      <c r="T3" s="9" t="s">
        <v>27</v>
      </c>
      <c r="U3" s="10">
        <f>SUMIF(W17:W115,"WALKER",U17:U115)</f>
        <v>10723.05</v>
      </c>
      <c r="V3" s="11">
        <f>sumif(X17:X115, "WALKER", U17:U115)</f>
        <v>27087.72</v>
      </c>
      <c r="W3" s="14" t="s">
        <v>28</v>
      </c>
      <c r="X3" s="13">
        <f>U7+U8- (U10 - V3)</f>
        <v>0</v>
      </c>
      <c r="Y3" s="1"/>
      <c r="Z3" s="9" t="s">
        <v>27</v>
      </c>
      <c r="AA3" s="10">
        <f>SUMIF(AC17:AC100,"WALKER",AA17:AA100)</f>
        <v>17925.14</v>
      </c>
      <c r="AB3" s="11">
        <f>sumif(AD17:AD100, "WALKER", AA17:AA100)</f>
        <v>39461.56</v>
      </c>
      <c r="AC3" s="12" t="s">
        <v>28</v>
      </c>
      <c r="AD3" s="13">
        <f>AA7+AA8- (AA10 - AB3)</f>
        <v>0</v>
      </c>
      <c r="AE3" s="1"/>
      <c r="AF3" s="9" t="s">
        <v>27</v>
      </c>
      <c r="AG3" s="10">
        <f>SUMIF(AI17:AI114,"WALKER",AG17:AG114)</f>
        <v>15671.39</v>
      </c>
      <c r="AH3" s="11">
        <f>sumif(AJ17:AJ114, "WALKER", AG17:AG114)</f>
        <v>34427.87</v>
      </c>
      <c r="AI3" s="14" t="s">
        <v>28</v>
      </c>
      <c r="AJ3" s="13">
        <f>AG7+AG8- (AG10 - AH3)</f>
        <v>0</v>
      </c>
      <c r="AK3" s="1"/>
      <c r="AL3" s="9" t="s">
        <v>27</v>
      </c>
      <c r="AM3" s="10">
        <f>SUMIF(AO17:AO150,"WALKER",AM17:AM150)</f>
        <v>24347.45</v>
      </c>
      <c r="AN3" s="11">
        <f>sumif(AP17:AP150, "WALKER", AM17:AM150)</f>
        <v>37747.06</v>
      </c>
      <c r="AO3" s="12" t="s">
        <v>28</v>
      </c>
      <c r="AP3" s="13">
        <f>AM7+AM8- (AM10 - AN3)</f>
        <v>0</v>
      </c>
      <c r="AQ3" s="1"/>
      <c r="AR3" s="9" t="s">
        <v>27</v>
      </c>
      <c r="AS3" s="10">
        <f>SUMIF(AU17:AU113,"WALKER",AS17:AS113)</f>
        <v>21787.54</v>
      </c>
      <c r="AT3" s="11">
        <f>sumif(AV17:AV113, "WALKER", AS17:AS113)</f>
        <v>34336.3</v>
      </c>
      <c r="AU3" s="14" t="s">
        <v>28</v>
      </c>
      <c r="AV3" s="13">
        <f>AS7+AS8- (AS10 - AT3)</f>
        <v>0</v>
      </c>
      <c r="AW3" s="1"/>
      <c r="AX3" s="9" t="s">
        <v>27</v>
      </c>
      <c r="AY3" s="10">
        <f>SUMIF(BA17:BA100,"WALKER",AY17:AY100)</f>
        <v>17946.76</v>
      </c>
      <c r="AZ3" s="11">
        <f>sumif(BB17:BB100, "WALKER", AY17:AY100)</f>
        <v>31719.85</v>
      </c>
      <c r="BA3" s="12" t="s">
        <v>28</v>
      </c>
      <c r="BB3" s="13">
        <f>AY7+AY8- (AY10 - AZ3)</f>
        <v>1735.37</v>
      </c>
      <c r="BC3" s="1"/>
      <c r="BD3" s="9" t="s">
        <v>27</v>
      </c>
      <c r="BE3" s="10">
        <f>SUMIF(BG17:BG114,"WALKER",BE17:BE114)</f>
        <v>23737.56</v>
      </c>
      <c r="BF3" s="11">
        <f>sumif(BH17:BH114, "WALKER", BE17:BE114)</f>
        <v>26822.32</v>
      </c>
      <c r="BG3" s="14" t="s">
        <v>28</v>
      </c>
      <c r="BH3" s="13">
        <f>BE7+BE8- (BE10 - BF3)</f>
        <v>0</v>
      </c>
      <c r="BI3" s="1"/>
      <c r="BJ3" s="9" t="s">
        <v>27</v>
      </c>
      <c r="BK3" s="10">
        <f>SUMIF(BM17:BM79,"WALKER",BK17:BK79)</f>
        <v>25964.33</v>
      </c>
      <c r="BL3" s="11">
        <f>sumif(BN17:BN120, "WALKER", BK17:BK120)</f>
        <v>48244.17</v>
      </c>
      <c r="BM3" s="12" t="s">
        <v>28</v>
      </c>
      <c r="BN3" s="13">
        <f>BK7+BK8- (BK10 - BL3)</f>
        <v>0</v>
      </c>
      <c r="BO3" s="1"/>
      <c r="BP3" s="9" t="s">
        <v>27</v>
      </c>
      <c r="BQ3" s="10">
        <f>SUMIF(BS17:BS112,"WALKER",BQ17:BQ112)</f>
        <v>33022.43</v>
      </c>
      <c r="BR3" s="11">
        <f>sumif(BT17:BT112, "WALKER", BQ17:BQ112)</f>
        <v>60775.48</v>
      </c>
      <c r="BS3" s="14" t="s">
        <v>28</v>
      </c>
      <c r="BT3" s="13">
        <f>BQ7+BQ8- (BQ10 - BR3)</f>
        <v>0</v>
      </c>
      <c r="BU3" s="4"/>
    </row>
    <row r="4">
      <c r="A4" s="1"/>
      <c r="B4" s="9" t="s">
        <v>29</v>
      </c>
      <c r="C4" s="15">
        <f>SUMIF(E17:E100, "WALKER",C17:C100) + 0.6 * SUMIF(E17:E100, "AMBOS",C17:C100) + 0.4 * SUMIF(E17:E100, "AMBOS_I",C17:C100) </f>
        <v>22356.372</v>
      </c>
      <c r="E4" s="12" t="s">
        <v>30</v>
      </c>
      <c r="G4" s="1"/>
      <c r="H4" s="9" t="s">
        <v>29</v>
      </c>
      <c r="I4" s="15">
        <f>SUMIF(K17:K115, "WALKER",I17:I115) + 0.6 * SUMIF(K17:K115, "AMBOS",I17:I115) + 0.4 * SUMIF(K17:K115, "AMBOS_I",I17:I115) </f>
        <v>24199.304</v>
      </c>
      <c r="K4" s="14" t="s">
        <v>30</v>
      </c>
      <c r="M4" s="1"/>
      <c r="N4" s="9" t="s">
        <v>29</v>
      </c>
      <c r="O4" s="15">
        <f>SUMIF(Q17:Q79, "WALKER",O17:O79) + 0.6 * SUMIF(Q17:Q79, "AMBOS",O17:O79) + 0.4 * SUMIF(Q17:Q79, "AMBOS_I",O17:O79) </f>
        <v>23949.316</v>
      </c>
      <c r="Q4" s="12" t="s">
        <v>30</v>
      </c>
      <c r="S4" s="1"/>
      <c r="T4" s="9" t="s">
        <v>29</v>
      </c>
      <c r="U4" s="15">
        <f>SUMIF(W17:W115, "WALKER",U17:U115) + 0.6 * SUMIF(W17:W115, "AMBOS",U17:U115) + 0.4 * SUMIF(W17:W115, "AMBOS_I",U17:U115) </f>
        <v>20326.146</v>
      </c>
      <c r="W4" s="14" t="s">
        <v>30</v>
      </c>
      <c r="Y4" s="1"/>
      <c r="Z4" s="9" t="s">
        <v>29</v>
      </c>
      <c r="AA4" s="15">
        <f>SUMIF(AC17:AC100, "WALKER",AA17:AA100) + 0.6 * SUMIF(AC17:AC100, "AMBOS",AA17:AA100) + 0.4 * SUMIF(AC17:AC100, "AMBOS_I",AA17:AA100) </f>
        <v>34214.208</v>
      </c>
      <c r="AC4" s="12" t="s">
        <v>30</v>
      </c>
      <c r="AE4" s="1"/>
      <c r="AF4" s="9" t="s">
        <v>29</v>
      </c>
      <c r="AG4" s="15">
        <f>SUMIF(AI17:AI114, "WALKER",AG17:AG114) + 0.6 * SUMIF(AI17:AI114, "AMBOS",AG17:AG114) + 0.4 * SUMIF(AI17:AI114, "AMBOS_I",AG17:AG114) </f>
        <v>28575.062</v>
      </c>
      <c r="AI4" s="14" t="s">
        <v>30</v>
      </c>
      <c r="AK4" s="1"/>
      <c r="AL4" s="9" t="s">
        <v>29</v>
      </c>
      <c r="AM4" s="15">
        <f>SUMIF(AO17:AO150, "WALKER",AM17:AM150) + 0.6 * SUMIF(AO17:AO150, "AMBOS",AM17:AM150) + 0.4 * SUMIF(AO17:AO150, "AMBOS_I",AM17:AM150) </f>
        <v>34968.92</v>
      </c>
      <c r="AO4" s="12" t="s">
        <v>30</v>
      </c>
      <c r="AQ4" s="1"/>
      <c r="AR4" s="9" t="s">
        <v>29</v>
      </c>
      <c r="AS4" s="15">
        <f>SUMIF(AU17:AU113, "WALKER",AS17:AS113) + 0.6 * SUMIF(AU17:AU113, "AMBOS",AS17:AS113) + 0.4 * SUMIF(AU17:AU113, "AMBOS_I",AS17:AS113) </f>
        <v>30924.502</v>
      </c>
      <c r="AU4" s="14" t="s">
        <v>30</v>
      </c>
      <c r="AW4" s="1"/>
      <c r="AX4" s="9" t="s">
        <v>29</v>
      </c>
      <c r="AY4" s="15">
        <f>SUMIF(BA17:BA100, "WALKER",AY17:AY100) + 0.6 * SUMIF(BA17:BA100, "AMBOS",AY17:AY100) + 0.4 * SUMIF(BA17:BA100, "AMBOS_I",AY17:AY100) </f>
        <v>27973.846</v>
      </c>
      <c r="BA4" s="12" t="s">
        <v>30</v>
      </c>
      <c r="BC4" s="1"/>
      <c r="BD4" s="9" t="s">
        <v>29</v>
      </c>
      <c r="BE4" s="15">
        <f>SUMIF(BG17:BG114, "WALKER",BE17:BE114) + 0.6 * SUMIF(BG17:BG114, "AMBOS",BE17:BE114) + 0.4 * SUMIF(BG17:BG114, "AMBOS_I",BE17:BE114) </f>
        <v>26735.304</v>
      </c>
      <c r="BG4" s="14" t="s">
        <v>30</v>
      </c>
      <c r="BI4" s="1"/>
      <c r="BJ4" s="9" t="s">
        <v>29</v>
      </c>
      <c r="BK4" s="15">
        <f>SUMIF(BM17:BM120, "WALKER",BK17:BK120) + 0.6 * SUMIF(BM17:BM120, "AMBOS",BK17:BK120) + 0.4 * SUMIF(BM17:BM120, "AMBOS_I",BK17:BK120) </f>
        <v>40794.704</v>
      </c>
      <c r="BM4" s="12" t="s">
        <v>30</v>
      </c>
      <c r="BO4" s="1"/>
      <c r="BP4" s="9" t="s">
        <v>29</v>
      </c>
      <c r="BQ4" s="15">
        <f>SUMIF(BS17:BS112, "WALKER",BQ17:BQ112) + 0.6 * SUMIF(BS17:BS112, "AMBOS",BQ17:BQ112) + 0.4 * SUMIF(BS17:BS112, "AMBOS_I",BQ17:BQ112) </f>
        <v>51392.396</v>
      </c>
      <c r="BS4" s="14" t="s">
        <v>30</v>
      </c>
      <c r="BU4" s="4"/>
    </row>
    <row r="5">
      <c r="A5" s="1"/>
      <c r="B5" s="16" t="s">
        <v>31</v>
      </c>
      <c r="C5" s="17">
        <f>SUMIFS(C17:C100,E17:E100, "DEA",F17:F100, "WALKER") + 0.4*SUMIFS(C17:C100,E17:E100,"AMBOS",F17:F100, "WALKER") + 0.6*SUMIFS(C17:C100,E17:E100,"AMBOS_I",F17:F100, "WALKER") - (SUMIFS(C17:C100,E17:E100,"WALKER",F17:F100, "DEA") + 0.6*SUMIFS(C17:C100,E17:E100,"AMBOS",F17:F100, "DEA") + 0.4*SUMIFS(C17:C100,E17:E100,"AMBOS_I",F17:F100, "DEA"))</f>
        <v>3914.138</v>
      </c>
      <c r="E5" s="12" t="s">
        <v>32</v>
      </c>
      <c r="G5" s="1"/>
      <c r="H5" s="16" t="s">
        <v>31</v>
      </c>
      <c r="I5" s="17">
        <f>SUMIFS(I17:I115,K17:K115, "DEA",L17:L115, "WALKER") + 0.4*SUMIFS(I17:I115,K17:K115,"AMBOS",L17:L115, "WALKER") + 0.6*SUMIFS(I17:I115,K17:K115,"AMBOS_I",L17:L115, "WALKER") - (SUMIFS(I17:I115,K17:K115,"WALKER",L17:L115, "DEA") + 0.6*SUMIFS(I17:I115,K17:K115,"AMBOS",L17:L115, "DEA") + 0.4*SUMIFS(I17:I115,K17:K115,"AMBOS_I",L17:L115, "DEA"))</f>
        <v>5230.256</v>
      </c>
      <c r="K5" s="14" t="s">
        <v>32</v>
      </c>
      <c r="M5" s="1"/>
      <c r="N5" s="16" t="s">
        <v>31</v>
      </c>
      <c r="O5" s="17">
        <f>SUMIFS(O17:O79,Q17:Q79, "DEA",R17:R79, "WALKER") + 0.4*SUMIFS(O17:O79,Q17:Q79,"AMBOS",R17:R79, "WALKER") + 0.6*SUMIFS(O17:O79,Q17:Q79,"AMBOS_I",R17:R79, "WALKER") - (SUMIFS(O17:O79,Q17:Q79,"WALKER",R17:R79, "DEA") + 0.6*SUMIFS(O17:O79,Q17:Q79,"AMBOS",R17:R79, "DEA") + 0.4*SUMIFS(O17:O79,Q17:Q79,"AMBOS_I",R17:R79, "DEA"))</f>
        <v>4500.644</v>
      </c>
      <c r="Q5" s="12" t="s">
        <v>32</v>
      </c>
      <c r="S5" s="1"/>
      <c r="T5" s="16" t="s">
        <v>31</v>
      </c>
      <c r="U5" s="17">
        <f>SUMIFS(U17:U115,W17:W115, "DEA",X17:X115, "WALKER") + 0.4*SUMIFS(U17:U115,W17:W115,"AMBOS",X17:X115, "WALKER") + 0.6*SUMIFS(U17:U115,W17:W115,"AMBOS_I",X17:X115, "WALKER") - (SUMIFS(U17:U115,W17:W115,"WALKER",X17:X115, "DEA") + 0.6*SUMIFS(U17:U115,W17:W115,"AMBOS",X17:X115, "DEA") + 0.4*SUMIFS(U17:U115,W17:W115,"AMBOS_I",X17:X115, "DEA"))</f>
        <v>6761.574</v>
      </c>
      <c r="W5" s="14" t="s">
        <v>32</v>
      </c>
      <c r="Y5" s="1"/>
      <c r="Z5" s="16" t="s">
        <v>31</v>
      </c>
      <c r="AA5" s="17">
        <f>SUMIFS(AA17:AA100,AC17:AC100, "DEA",AD17:AD100, "WALKER") + 0.4*SUMIFS(AA17:AA100,AC17:AC100,"AMBOS",AD17:AD100, "WALKER") + 0.6*SUMIFS(AA17:AA100,AC17:AC100,"AMBOS_I",AD17:AD100, "WALKER") - (SUMIFS(AA17:AA100,AC17:AC100,"WALKER",AD17:AD100, "DEA") + 0.6*SUMIFS(AA17:AA100,AC17:AC100,"AMBOS",AD17:AD100, "DEA") + 0.4*SUMIFS(AA17:AA100,AC17:AC100,"AMBOS_I",AD17:AD100, "DEA"))</f>
        <v>5247.352</v>
      </c>
      <c r="AC5" s="12" t="s">
        <v>32</v>
      </c>
      <c r="AE5" s="1"/>
      <c r="AF5" s="16" t="s">
        <v>31</v>
      </c>
      <c r="AG5" s="17">
        <f>SUMIFS(AG17:AG114,AI17:AI114, "DEA",AJ17:AJ114, "WALKER") + 0.4*SUMIFS(AG17:AG114,AI17:AI114,"AMBOS",AJ17:AJ114, "WALKER") + 0.6*SUMIFS(AG17:AG114,AI17:AI114,"AMBOS_I",AJ17:AJ114, "WALKER") - (SUMIFS(AG17:AG114,AI17:AI114,"WALKER",AJ17:AJ114, "DEA") + 0.6*SUMIFS(AG17:AG114,AI17:AI114,"AMBOS",AJ17:AJ114, "DEA") + 0.4*SUMIFS(AG17:AG114,AI17:AI114,"AMBOS_I",AJ17:AJ114, "DEA"))</f>
        <v>5852.808</v>
      </c>
      <c r="AI5" s="14" t="s">
        <v>32</v>
      </c>
      <c r="AK5" s="1"/>
      <c r="AL5" s="16" t="s">
        <v>31</v>
      </c>
      <c r="AM5" s="17">
        <f>SUMIFS(AM17:AM150,AO17:AO150, "DEA",AP17:AP150, "WALKER") + 0.4*SUMIFS(AM17:AM150,AO17:AO150,"AMBOS",AP17:AP150, "WALKER") + 0.6*SUMIFS(AM17:AM150,AO17:AO150,"AMBOS_I",AP17:AP150, "WALKER") - (SUMIFS(AM17:AM150,AO17:AO150,"WALKER",AP17:AP150, "DEA") + 0.6*SUMIFS(AM17:AM150,AO17:AO150,"AMBOS",AP17:AP150, "DEA") + 0.4*SUMIFS(AM17:AM150,AO17:AO150,"AMBOS_I",AP17:AP150, "DEA"))</f>
        <v>2778.14</v>
      </c>
      <c r="AO5" s="12" t="s">
        <v>32</v>
      </c>
      <c r="AQ5" s="1"/>
      <c r="AR5" s="16" t="s">
        <v>31</v>
      </c>
      <c r="AS5" s="17">
        <f>SUMIFS(AS17:AS113,AU17:AU113, "DEA",AV17:AV113, "WALKER") + 0.4*SUMIFS(AS17:AS113,AU17:AU113,"AMBOS",AV17:AV113, "WALKER") + 0.6*SUMIFS(AS17:AS113,AU17:AU113,"AMBOS_I",AV17:AV113, "WALKER") - (SUMIFS(AS17:AS113,AU17:AU113,"WALKER",AV17:AV113, "DEA") + 0.6*SUMIFS(AS17:AS113,AU17:AU113,"AMBOS",AV17:AV113, "DEA") + 0.4*SUMIFS(AS17:AS113,AU17:AU113,"AMBOS_I",AV17:AV113, "DEA"))</f>
        <v>3411.798</v>
      </c>
      <c r="AU5" s="14" t="s">
        <v>32</v>
      </c>
      <c r="AW5" s="1"/>
      <c r="AX5" s="16" t="s">
        <v>31</v>
      </c>
      <c r="AY5" s="17">
        <f>SUMIFS(AY17:AY100,BA17:BA100, "DEA",BB17:BB100, "WALKER") + 0.4*SUMIFS(AY17:AY100,BA17:BA100,"AMBOS",BB17:BB100, "WALKER") + 0.6*SUMIFS(AY17:AY100,BA17:BA100,"AMBOS_I",BB17:BB100, "WALKER") - (SUMIFS(AY17:AY100,BA17:BA100,"WALKER",BB17:BB100, "DEA") + 0.6*SUMIFS(AY17:AY100,BA17:BA100,"AMBOS",BB17:BB100, "DEA") + 0.4*SUMIFS(AY17:AY79,BA17:BA79,"AMBOS_I",BB17:BB79, "DEA"))</f>
        <v>3746.004</v>
      </c>
      <c r="BA5" s="12" t="s">
        <v>32</v>
      </c>
      <c r="BC5" s="1"/>
      <c r="BD5" s="16" t="s">
        <v>31</v>
      </c>
      <c r="BE5" s="17">
        <f>SUMIFS(BE17:BE114,BG17:BG114, "DEA",BH17:BH114, "WALKER") + 0.4*SUMIFS(BE17:BE114,BG17:BG114,"AMBOS",BH17:BH114, "WALKER") + 0.6*SUMIFS(BE17:BE114,BG17:BG114,"AMBOS_I",BH17:BH114, "WALKER") - (SUMIFS(BE17:BE114,BG17:BG114,"WALKER",BH17:BH114, "DEA") + 0.6*SUMIFS(BE17:BE114,BG17:BG114,"AMBOS",BH17:BH114, "DEA") + 0.4*SUMIFS(BE17:BE114,BG17:BG114,"AMBOS_I",BH17:BH114, "DEA"))</f>
        <v>87.016</v>
      </c>
      <c r="BG5" s="14" t="s">
        <v>32</v>
      </c>
      <c r="BI5" s="1"/>
      <c r="BJ5" s="16" t="s">
        <v>31</v>
      </c>
      <c r="BK5" s="18">
        <f>SUMIFS(BK17:BK113,BM17:BM113, "DEA",BN17:BN113, "WALKER") + 0.4*SUMIFS(BK17:BK113,BM17:BM113,"AMBOS",BN17:BN113, "WALKER") + 0.6*SUMIFS(BK17:BK113,BM17:BM113,"AMBOS_I",BN17:BN113, "WALKER") - (SUMIFS(BK17:BK113,BM17:BM113,"WALKER",BN17:BN113, "DEA") + 0.6*SUMIFS(BK17:BK113,BM17:BM113,"AMBOS",BN17:BN113, "DEA") + 0.4*SUMIFS(BK17:BK113,BM17:BM113,"AMBOS_I",BN17:BN113, "DEA"))</f>
        <v>7449.466</v>
      </c>
      <c r="BM5" s="12" t="s">
        <v>32</v>
      </c>
      <c r="BO5" s="1"/>
      <c r="BP5" s="16" t="s">
        <v>31</v>
      </c>
      <c r="BQ5" s="17">
        <f>SUMIFS(BQ17:BQ112,BS17:BS112, "DEA",BT17:BT112, "WALKER") + 0.4*SUMIFS(BQ17:BQ112,BS17:BS112,"AMBOS",BT17:BT112, "WALKER") + 0.6*SUMIFS(BQ17:BQ112,BS17:BS112,"AMBOS_I",BT17:BT112, "WALKER") - (SUMIFS(BQ17:BQ112,BS17:BS112,"WALKER",BT17:BT112, "DEA") + 0.6*SUMIFS(BQ17:BQ112,BS17:BS112,"AMBOS",BT17:BT112, "DEA") + 0.4*SUMIFS(BQ17:BQ112,BS17:BS112,"AMBOS_I",BT17:BT112, "DEA"))</f>
        <v>9383.084</v>
      </c>
      <c r="BS5" s="14" t="s">
        <v>32</v>
      </c>
      <c r="BU5" s="4"/>
    </row>
    <row r="6">
      <c r="A6" s="1"/>
      <c r="B6" s="9" t="s">
        <v>33</v>
      </c>
      <c r="C6" s="19">
        <f>C10-C4</f>
        <v>443.178</v>
      </c>
      <c r="E6" s="12" t="s">
        <v>34</v>
      </c>
      <c r="G6" s="1"/>
      <c r="H6" s="9" t="s">
        <v>33</v>
      </c>
      <c r="I6" s="19">
        <f>I10-I4</f>
        <v>-1498.914</v>
      </c>
      <c r="K6" s="14" t="s">
        <v>34</v>
      </c>
      <c r="M6" s="1"/>
      <c r="N6" s="9" t="s">
        <v>33</v>
      </c>
      <c r="O6" s="19">
        <f>O10-O4</f>
        <v>2207.104</v>
      </c>
      <c r="Q6" s="12" t="s">
        <v>34</v>
      </c>
      <c r="S6" s="1"/>
      <c r="T6" s="9" t="s">
        <v>33</v>
      </c>
      <c r="U6" s="19">
        <f>U10-U4</f>
        <v>2493.984</v>
      </c>
      <c r="W6" s="14" t="s">
        <v>34</v>
      </c>
      <c r="Y6" s="1"/>
      <c r="Z6" s="9" t="s">
        <v>33</v>
      </c>
      <c r="AA6" s="19">
        <f>AA10-AA4</f>
        <v>1290.542</v>
      </c>
      <c r="AC6" s="12" t="s">
        <v>34</v>
      </c>
      <c r="AE6" s="1"/>
      <c r="AF6" s="9" t="s">
        <v>33</v>
      </c>
      <c r="AG6" s="19">
        <f>AG10-AG4</f>
        <v>22488.278</v>
      </c>
      <c r="AI6" s="14" t="s">
        <v>34</v>
      </c>
      <c r="AK6" s="1"/>
      <c r="AL6" s="9" t="s">
        <v>33</v>
      </c>
      <c r="AM6" s="19">
        <f>AM10-AM4</f>
        <v>7740.5</v>
      </c>
      <c r="AO6" s="12" t="s">
        <v>34</v>
      </c>
      <c r="AQ6" s="1"/>
      <c r="AR6" s="9" t="s">
        <v>33</v>
      </c>
      <c r="AS6" s="19">
        <f>AS10-AS4</f>
        <v>846.658</v>
      </c>
      <c r="AU6" s="14" t="s">
        <v>34</v>
      </c>
      <c r="AW6" s="1"/>
      <c r="AX6" s="9" t="s">
        <v>33</v>
      </c>
      <c r="AY6" s="19">
        <f>AY10-AY4</f>
        <v>-2675.336</v>
      </c>
      <c r="BA6" s="12" t="s">
        <v>34</v>
      </c>
      <c r="BC6" s="1"/>
      <c r="BD6" s="9" t="s">
        <v>33</v>
      </c>
      <c r="BE6" s="19">
        <f>BE10-BE4</f>
        <v>-4486.044</v>
      </c>
      <c r="BG6" s="14" t="s">
        <v>34</v>
      </c>
      <c r="BI6" s="1"/>
      <c r="BJ6" s="9" t="s">
        <v>33</v>
      </c>
      <c r="BK6" s="19">
        <f>BK10-BK4</f>
        <v>11542.576</v>
      </c>
      <c r="BM6" s="12" t="s">
        <v>34</v>
      </c>
      <c r="BO6" s="1"/>
      <c r="BP6" s="9" t="s">
        <v>33</v>
      </c>
      <c r="BQ6" s="19">
        <f>BQ10-BQ4</f>
        <v>20800.154</v>
      </c>
      <c r="BS6" s="14" t="s">
        <v>34</v>
      </c>
      <c r="BU6" s="4"/>
    </row>
    <row r="7">
      <c r="A7" s="1"/>
      <c r="B7" s="20" t="s">
        <v>36</v>
      </c>
      <c r="C7" s="21">
        <v>-3750.96</v>
      </c>
      <c r="E7" s="22"/>
      <c r="G7" s="1"/>
      <c r="H7" s="20" t="s">
        <v>36</v>
      </c>
      <c r="I7" s="21">
        <v>-6729.17</v>
      </c>
      <c r="K7" s="23"/>
      <c r="M7" s="1"/>
      <c r="N7" s="20" t="s">
        <v>36</v>
      </c>
      <c r="O7" s="21">
        <v>-2497.54</v>
      </c>
      <c r="Q7" s="22"/>
      <c r="S7" s="1"/>
      <c r="T7" s="20" t="s">
        <v>36</v>
      </c>
      <c r="U7" s="21">
        <v>-4267.59</v>
      </c>
      <c r="W7" s="23"/>
      <c r="Y7" s="1"/>
      <c r="Z7" s="20" t="s">
        <v>36</v>
      </c>
      <c r="AA7" s="21">
        <v>-4371.81</v>
      </c>
      <c r="AC7" s="22"/>
      <c r="AE7" s="1"/>
      <c r="AF7" s="20" t="s">
        <v>36</v>
      </c>
      <c r="AG7" s="21">
        <v>16335.47</v>
      </c>
      <c r="AI7" s="23"/>
      <c r="AK7" s="1"/>
      <c r="AL7" s="20" t="s">
        <v>36</v>
      </c>
      <c r="AM7" s="21">
        <v>4962.36</v>
      </c>
      <c r="AO7" s="22"/>
      <c r="AQ7" s="1"/>
      <c r="AR7" s="20" t="s">
        <v>36</v>
      </c>
      <c r="AS7" s="21">
        <v>-2770.14</v>
      </c>
      <c r="AU7" s="23"/>
      <c r="AW7" s="1"/>
      <c r="AX7" s="20" t="s">
        <v>36</v>
      </c>
      <c r="AY7" s="21">
        <v>-4685.97</v>
      </c>
      <c r="BA7" s="22"/>
      <c r="BC7" s="1"/>
      <c r="BD7" s="20" t="s">
        <v>36</v>
      </c>
      <c r="BE7" s="21">
        <v>-4573.06</v>
      </c>
      <c r="BG7" s="23"/>
      <c r="BI7" s="1"/>
      <c r="BJ7" s="20" t="s">
        <v>36</v>
      </c>
      <c r="BK7" s="21">
        <v>4093.11</v>
      </c>
      <c r="BM7" s="22"/>
      <c r="BO7" s="1"/>
      <c r="BP7" s="20" t="s">
        <v>36</v>
      </c>
      <c r="BQ7" s="21">
        <v>11417.07</v>
      </c>
      <c r="BS7" s="23"/>
      <c r="BU7" s="4"/>
    </row>
    <row r="8">
      <c r="A8" s="1"/>
      <c r="B8" s="20" t="s">
        <v>38</v>
      </c>
      <c r="C8" s="21">
        <v>280.0</v>
      </c>
      <c r="E8" s="22"/>
      <c r="G8" s="1"/>
      <c r="H8" s="20" t="s">
        <v>38</v>
      </c>
      <c r="I8" s="21">
        <v>0.0</v>
      </c>
      <c r="K8" s="23"/>
      <c r="M8" s="1"/>
      <c r="N8" s="20" t="s">
        <v>38</v>
      </c>
      <c r="O8" s="21">
        <v>204.0</v>
      </c>
      <c r="Q8" s="22"/>
      <c r="S8" s="1"/>
      <c r="T8" s="20" t="s">
        <v>38</v>
      </c>
      <c r="U8" s="21">
        <v>0.0</v>
      </c>
      <c r="W8" s="23"/>
      <c r="Y8" s="1"/>
      <c r="Z8" s="20" t="s">
        <v>38</v>
      </c>
      <c r="AA8" s="21">
        <v>415.0</v>
      </c>
      <c r="AC8" s="22"/>
      <c r="AE8" s="1"/>
      <c r="AF8" s="20" t="s">
        <v>38</v>
      </c>
      <c r="AG8" s="21">
        <v>300.0</v>
      </c>
      <c r="AI8" s="23"/>
      <c r="AK8" s="1"/>
      <c r="AL8" s="20" t="s">
        <v>38</v>
      </c>
      <c r="AM8" s="21">
        <v>0.0</v>
      </c>
      <c r="AO8" s="22"/>
      <c r="AQ8" s="1"/>
      <c r="AR8" s="20" t="s">
        <v>38</v>
      </c>
      <c r="AS8" s="21">
        <v>205.0</v>
      </c>
      <c r="AU8" s="23"/>
      <c r="AW8" s="1"/>
      <c r="AX8" s="20" t="s">
        <v>38</v>
      </c>
      <c r="AY8" s="21">
        <v>0.0</v>
      </c>
      <c r="BA8" s="22"/>
      <c r="BC8" s="1"/>
      <c r="BD8" s="20" t="s">
        <v>38</v>
      </c>
      <c r="BE8" s="21"/>
      <c r="BG8" s="23"/>
      <c r="BI8" s="1"/>
      <c r="BJ8" s="20" t="s">
        <v>38</v>
      </c>
      <c r="BK8" s="21"/>
      <c r="BM8" s="22"/>
      <c r="BO8" s="1"/>
      <c r="BP8" s="20" t="s">
        <v>38</v>
      </c>
      <c r="BQ8" s="21"/>
      <c r="BS8" s="23"/>
      <c r="BU8" s="4"/>
    </row>
    <row r="9">
      <c r="A9" s="1"/>
      <c r="B9" s="20"/>
      <c r="C9" s="21"/>
      <c r="E9" s="22"/>
      <c r="G9" s="1"/>
      <c r="H9" s="20"/>
      <c r="I9" s="21"/>
      <c r="K9" s="23"/>
      <c r="M9" s="1"/>
      <c r="N9" s="20"/>
      <c r="O9" s="21"/>
      <c r="Q9" s="22"/>
      <c r="S9" s="1"/>
      <c r="T9" s="20"/>
      <c r="U9" s="21"/>
      <c r="W9" s="23"/>
      <c r="Y9" s="1"/>
      <c r="Z9" s="20"/>
      <c r="AA9" s="21"/>
      <c r="AC9" s="22"/>
      <c r="AE9" s="1"/>
      <c r="AF9" s="20"/>
      <c r="AG9" s="21"/>
      <c r="AI9" s="23"/>
      <c r="AK9" s="1"/>
      <c r="AL9" s="20"/>
      <c r="AM9" s="21"/>
      <c r="AO9" s="22"/>
      <c r="AQ9" s="1"/>
      <c r="AR9" s="20"/>
      <c r="AS9" s="21"/>
      <c r="AU9" s="23"/>
      <c r="AW9" s="1"/>
      <c r="AX9" s="20"/>
      <c r="AY9" s="21"/>
      <c r="BA9" s="22"/>
      <c r="BC9" s="1"/>
      <c r="BD9" s="20"/>
      <c r="BE9" s="21"/>
      <c r="BG9" s="23"/>
      <c r="BI9" s="1"/>
      <c r="BJ9" s="20"/>
      <c r="BK9" s="21"/>
      <c r="BM9" s="22"/>
      <c r="BO9" s="1"/>
      <c r="BP9" s="20"/>
      <c r="BQ9" s="21"/>
      <c r="BS9" s="23"/>
      <c r="BU9" s="4"/>
    </row>
    <row r="10">
      <c r="A10" s="1"/>
      <c r="B10" s="24" t="s">
        <v>39</v>
      </c>
      <c r="C10" s="25">
        <f>sum(C11:C15)</f>
        <v>22799.55</v>
      </c>
      <c r="D10" s="24" t="s">
        <v>40</v>
      </c>
      <c r="E10" s="24"/>
      <c r="F10" s="24"/>
      <c r="G10" s="1"/>
      <c r="H10" s="3" t="s">
        <v>39</v>
      </c>
      <c r="I10" s="26">
        <f>sum(I11:I15)</f>
        <v>22700.39</v>
      </c>
      <c r="J10" s="7" t="s">
        <v>40</v>
      </c>
      <c r="K10" s="3"/>
      <c r="L10" s="3"/>
      <c r="M10" s="1"/>
      <c r="N10" s="24" t="s">
        <v>39</v>
      </c>
      <c r="O10" s="25">
        <f>sum(O11:O15)</f>
        <v>26156.42</v>
      </c>
      <c r="P10" s="24" t="s">
        <v>40</v>
      </c>
      <c r="Q10" s="24"/>
      <c r="R10" s="24"/>
      <c r="S10" s="1"/>
      <c r="T10" s="3" t="s">
        <v>39</v>
      </c>
      <c r="U10" s="26">
        <f>sum(U11:U15)</f>
        <v>22820.13</v>
      </c>
      <c r="V10" s="7" t="s">
        <v>40</v>
      </c>
      <c r="W10" s="3"/>
      <c r="X10" s="3"/>
      <c r="Y10" s="1"/>
      <c r="Z10" s="24" t="s">
        <v>39</v>
      </c>
      <c r="AA10" s="25">
        <f>sum(AA11:AA15)</f>
        <v>35504.75</v>
      </c>
      <c r="AB10" s="24" t="s">
        <v>40</v>
      </c>
      <c r="AC10" s="24"/>
      <c r="AD10" s="24"/>
      <c r="AE10" s="1"/>
      <c r="AF10" s="3" t="s">
        <v>39</v>
      </c>
      <c r="AG10" s="26">
        <f>sum(AG11:AG15)</f>
        <v>51063.34</v>
      </c>
      <c r="AH10" s="7" t="s">
        <v>40</v>
      </c>
      <c r="AI10" s="3"/>
      <c r="AJ10" s="3"/>
      <c r="AK10" s="1"/>
      <c r="AL10" s="24" t="s">
        <v>39</v>
      </c>
      <c r="AM10" s="25">
        <f>sum(AM11:AM15)</f>
        <v>42709.42</v>
      </c>
      <c r="AN10" s="24" t="s">
        <v>40</v>
      </c>
      <c r="AO10" s="24"/>
      <c r="AP10" s="24"/>
      <c r="AQ10" s="1"/>
      <c r="AR10" s="3" t="s">
        <v>39</v>
      </c>
      <c r="AS10" s="26">
        <f>sum(AS11:AS15)</f>
        <v>31771.16</v>
      </c>
      <c r="AT10" s="7" t="s">
        <v>40</v>
      </c>
      <c r="AU10" s="3"/>
      <c r="AV10" s="3"/>
      <c r="AW10" s="1"/>
      <c r="AX10" s="24" t="s">
        <v>39</v>
      </c>
      <c r="AY10" s="25">
        <f>sum(AY11:AY15)</f>
        <v>25298.51</v>
      </c>
      <c r="AZ10" s="24" t="s">
        <v>40</v>
      </c>
      <c r="BA10" s="24"/>
      <c r="BB10" s="24"/>
      <c r="BC10" s="1"/>
      <c r="BD10" s="3" t="s">
        <v>39</v>
      </c>
      <c r="BE10" s="26">
        <f>sum(BE11:BE15)</f>
        <v>22249.26</v>
      </c>
      <c r="BF10" s="7" t="s">
        <v>40</v>
      </c>
      <c r="BG10" s="3"/>
      <c r="BH10" s="3"/>
      <c r="BI10" s="1"/>
      <c r="BJ10" s="24" t="s">
        <v>39</v>
      </c>
      <c r="BK10" s="25">
        <f>sum(BK11:BK15)</f>
        <v>52337.28</v>
      </c>
      <c r="BL10" s="24" t="s">
        <v>40</v>
      </c>
      <c r="BM10" s="24"/>
      <c r="BN10" s="24"/>
      <c r="BO10" s="1"/>
      <c r="BP10" s="3" t="s">
        <v>39</v>
      </c>
      <c r="BQ10" s="26">
        <f>sum(BQ11:BQ15)</f>
        <v>72192.55</v>
      </c>
      <c r="BR10" s="7" t="s">
        <v>40</v>
      </c>
      <c r="BS10" s="3"/>
      <c r="BT10" s="3"/>
      <c r="BU10" s="4"/>
    </row>
    <row r="11">
      <c r="A11" s="1"/>
      <c r="B11" s="27" t="s">
        <v>60</v>
      </c>
      <c r="C11" s="28">
        <v>12423.8</v>
      </c>
      <c r="D11" s="29">
        <v>1.0</v>
      </c>
      <c r="E11" s="30"/>
      <c r="G11" s="1"/>
      <c r="H11" s="27" t="s">
        <v>43</v>
      </c>
      <c r="I11" s="28">
        <v>14112.89</v>
      </c>
      <c r="J11" s="29">
        <v>-25.0</v>
      </c>
      <c r="K11" s="30"/>
      <c r="M11" s="1"/>
      <c r="N11" s="27" t="s">
        <v>43</v>
      </c>
      <c r="O11" s="28">
        <v>9668.9</v>
      </c>
      <c r="P11" s="29">
        <v>-25.0</v>
      </c>
      <c r="Q11" s="30"/>
      <c r="S11" s="1"/>
      <c r="T11" s="27" t="s">
        <v>43</v>
      </c>
      <c r="U11" s="28">
        <v>12695.54</v>
      </c>
      <c r="V11" s="29">
        <v>-25.0</v>
      </c>
      <c r="W11" s="30"/>
      <c r="Y11" s="1"/>
      <c r="Z11" s="27" t="s">
        <v>43</v>
      </c>
      <c r="AA11" s="28">
        <v>8686.11</v>
      </c>
      <c r="AB11" s="29">
        <v>-25.0</v>
      </c>
      <c r="AC11" s="30"/>
      <c r="AE11" s="1"/>
      <c r="AF11" s="27" t="s">
        <v>43</v>
      </c>
      <c r="AG11" s="28">
        <v>9423.73</v>
      </c>
      <c r="AH11" s="29">
        <v>-25.0</v>
      </c>
      <c r="AI11" s="30"/>
      <c r="AK11" s="1"/>
      <c r="AL11" s="27" t="s">
        <v>43</v>
      </c>
      <c r="AM11" s="28">
        <v>16134.19</v>
      </c>
      <c r="AN11" s="29">
        <v>25.0</v>
      </c>
      <c r="AO11" s="30"/>
      <c r="AQ11" s="1"/>
      <c r="AR11" s="27" t="s">
        <v>43</v>
      </c>
      <c r="AS11" s="28">
        <v>10628.38</v>
      </c>
      <c r="AT11" s="29">
        <v>-25.0</v>
      </c>
      <c r="AU11" s="30"/>
      <c r="AW11" s="1"/>
      <c r="AX11" s="27" t="s">
        <v>43</v>
      </c>
      <c r="AY11" s="28">
        <v>10350.2</v>
      </c>
      <c r="AZ11" s="29">
        <v>-25.0</v>
      </c>
      <c r="BA11" s="30" t="s">
        <v>413</v>
      </c>
      <c r="BC11" s="1"/>
      <c r="BD11" s="27" t="s">
        <v>43</v>
      </c>
      <c r="BE11" s="28">
        <v>15064.12</v>
      </c>
      <c r="BF11" s="29">
        <v>-25.0</v>
      </c>
      <c r="BG11" s="30"/>
      <c r="BI11" s="1"/>
      <c r="BJ11" s="27" t="s">
        <v>43</v>
      </c>
      <c r="BK11" s="28">
        <v>12390.42</v>
      </c>
      <c r="BL11" s="29">
        <v>-25.0</v>
      </c>
      <c r="BM11" s="30"/>
      <c r="BO11" s="1"/>
      <c r="BP11" s="27" t="s">
        <v>158</v>
      </c>
      <c r="BQ11" s="28">
        <v>11542.58</v>
      </c>
      <c r="BR11" s="29">
        <v>1.0</v>
      </c>
      <c r="BS11" s="30"/>
      <c r="BU11" s="4"/>
    </row>
    <row r="12">
      <c r="A12" s="1"/>
      <c r="B12" s="27" t="s">
        <v>55</v>
      </c>
      <c r="C12" s="28">
        <v>9475.75</v>
      </c>
      <c r="D12" s="29">
        <v>10.0</v>
      </c>
      <c r="G12" s="1"/>
      <c r="H12" s="27" t="s">
        <v>55</v>
      </c>
      <c r="I12" s="28">
        <v>4203.32</v>
      </c>
      <c r="J12" s="29">
        <v>10.0</v>
      </c>
      <c r="M12" s="1"/>
      <c r="N12" s="27" t="s">
        <v>55</v>
      </c>
      <c r="O12" s="28">
        <v>9795.89</v>
      </c>
      <c r="P12" s="29">
        <v>11.0</v>
      </c>
      <c r="S12" s="1"/>
      <c r="T12" s="27" t="s">
        <v>55</v>
      </c>
      <c r="U12" s="28">
        <v>6242.49</v>
      </c>
      <c r="V12" s="29">
        <v>10.0</v>
      </c>
      <c r="Y12" s="1"/>
      <c r="Z12" s="27" t="s">
        <v>55</v>
      </c>
      <c r="AA12" s="28">
        <v>7014.89</v>
      </c>
      <c r="AB12" s="29">
        <v>10.0</v>
      </c>
      <c r="AE12" s="1"/>
      <c r="AF12" s="27" t="s">
        <v>55</v>
      </c>
      <c r="AG12" s="28">
        <v>7775.78</v>
      </c>
      <c r="AH12" s="29">
        <v>10.0</v>
      </c>
      <c r="AK12" s="1"/>
      <c r="AL12" s="27" t="s">
        <v>55</v>
      </c>
      <c r="AM12" s="28">
        <v>6968.25</v>
      </c>
      <c r="AN12" s="29">
        <v>10.0</v>
      </c>
      <c r="AQ12" s="1"/>
      <c r="AR12" s="27" t="s">
        <v>55</v>
      </c>
      <c r="AS12" s="28">
        <v>7109.97</v>
      </c>
      <c r="AT12" s="29">
        <v>10.0</v>
      </c>
      <c r="AW12" s="1"/>
      <c r="AX12" s="27" t="s">
        <v>55</v>
      </c>
      <c r="AY12" s="28">
        <v>7005.17</v>
      </c>
      <c r="AZ12" s="29">
        <v>10.0</v>
      </c>
      <c r="BC12" s="1"/>
      <c r="BD12" s="27" t="s">
        <v>55</v>
      </c>
      <c r="BE12" s="28">
        <v>7800.48</v>
      </c>
      <c r="BF12" s="29">
        <v>10.0</v>
      </c>
      <c r="BI12" s="1"/>
      <c r="BJ12" s="27" t="s">
        <v>55</v>
      </c>
      <c r="BK12" s="28">
        <v>6876.9</v>
      </c>
      <c r="BL12" s="29">
        <v>10.0</v>
      </c>
      <c r="BO12" s="1"/>
      <c r="BP12" s="27" t="s">
        <v>43</v>
      </c>
      <c r="BQ12" s="28">
        <v>12023.57</v>
      </c>
      <c r="BR12" s="29">
        <v>-25.0</v>
      </c>
      <c r="BU12" s="4"/>
    </row>
    <row r="13">
      <c r="A13" s="1"/>
      <c r="B13" s="27" t="s">
        <v>414</v>
      </c>
      <c r="C13" s="28">
        <v>80.0</v>
      </c>
      <c r="D13" s="29">
        <v>8.0</v>
      </c>
      <c r="G13" s="1"/>
      <c r="H13" s="27" t="s">
        <v>415</v>
      </c>
      <c r="I13" s="28">
        <v>116.0</v>
      </c>
      <c r="J13" s="29">
        <v>8.0</v>
      </c>
      <c r="M13" s="1"/>
      <c r="N13" s="27" t="s">
        <v>169</v>
      </c>
      <c r="O13" s="28">
        <v>5828.63</v>
      </c>
      <c r="P13" s="29">
        <v>11.0</v>
      </c>
      <c r="S13" s="1"/>
      <c r="T13" s="27" t="s">
        <v>416</v>
      </c>
      <c r="U13" s="28">
        <v>825.0</v>
      </c>
      <c r="V13" s="29">
        <v>15.0</v>
      </c>
      <c r="Y13" s="1"/>
      <c r="Z13" s="27" t="s">
        <v>163</v>
      </c>
      <c r="AA13" s="28">
        <v>2493.98</v>
      </c>
      <c r="AB13" s="29">
        <v>1.0</v>
      </c>
      <c r="AE13" s="1"/>
      <c r="AF13" s="27" t="s">
        <v>161</v>
      </c>
      <c r="AG13" s="28">
        <v>850.0</v>
      </c>
      <c r="AH13" s="29">
        <v>18.0</v>
      </c>
      <c r="AK13" s="1"/>
      <c r="AL13" s="27" t="s">
        <v>417</v>
      </c>
      <c r="AM13" s="28">
        <v>1700.0</v>
      </c>
      <c r="AN13" s="29">
        <v>11.0</v>
      </c>
      <c r="AQ13" s="1"/>
      <c r="AR13" s="27" t="s">
        <v>161</v>
      </c>
      <c r="AS13" s="28">
        <v>183.0</v>
      </c>
      <c r="AT13" s="29">
        <v>3.0</v>
      </c>
      <c r="AW13" s="1"/>
      <c r="AX13" s="27" t="s">
        <v>158</v>
      </c>
      <c r="AY13" s="28">
        <v>846.66</v>
      </c>
      <c r="AZ13" s="29">
        <v>1.0</v>
      </c>
      <c r="BC13" s="1"/>
      <c r="BD13" s="27" t="s">
        <v>161</v>
      </c>
      <c r="BE13" s="28">
        <v>850.0</v>
      </c>
      <c r="BF13" s="29">
        <v>10.0</v>
      </c>
      <c r="BI13" s="1"/>
      <c r="BJ13" s="27" t="s">
        <v>34</v>
      </c>
      <c r="BK13" s="28">
        <v>8000.0</v>
      </c>
      <c r="BL13" s="29">
        <v>1.0</v>
      </c>
      <c r="BO13" s="1"/>
      <c r="BP13" s="27" t="s">
        <v>161</v>
      </c>
      <c r="BQ13" s="28">
        <v>850.0</v>
      </c>
      <c r="BR13" s="29">
        <v>3.0</v>
      </c>
      <c r="BU13" s="4"/>
    </row>
    <row r="14">
      <c r="A14" s="1"/>
      <c r="B14" s="27" t="s">
        <v>161</v>
      </c>
      <c r="C14" s="28">
        <v>820.0</v>
      </c>
      <c r="D14" s="29">
        <v>18.0</v>
      </c>
      <c r="G14" s="1"/>
      <c r="H14" s="27" t="s">
        <v>158</v>
      </c>
      <c r="I14" s="28">
        <v>443.18</v>
      </c>
      <c r="J14" s="29">
        <v>1.0</v>
      </c>
      <c r="M14" s="1"/>
      <c r="N14" s="27" t="s">
        <v>161</v>
      </c>
      <c r="O14" s="28">
        <v>850.0</v>
      </c>
      <c r="P14" s="29">
        <v>15.0</v>
      </c>
      <c r="S14" s="1"/>
      <c r="T14" s="27" t="s">
        <v>163</v>
      </c>
      <c r="U14" s="28">
        <v>2207.1</v>
      </c>
      <c r="V14" s="29">
        <v>1.0</v>
      </c>
      <c r="Y14" s="1"/>
      <c r="Z14" s="27" t="s">
        <v>418</v>
      </c>
      <c r="AA14" s="28">
        <v>15563.77</v>
      </c>
      <c r="AB14" s="29">
        <v>-30.0</v>
      </c>
      <c r="AE14" s="1"/>
      <c r="AF14" s="27" t="s">
        <v>419</v>
      </c>
      <c r="AG14" s="28">
        <v>3795.0</v>
      </c>
      <c r="AH14" s="29">
        <v>6.0</v>
      </c>
      <c r="AK14" s="1"/>
      <c r="AL14" s="27" t="s">
        <v>420</v>
      </c>
      <c r="AM14" s="28">
        <v>1551.51</v>
      </c>
      <c r="AN14" s="29">
        <v>18.0</v>
      </c>
      <c r="AQ14" s="1"/>
      <c r="AR14" s="27" t="s">
        <v>158</v>
      </c>
      <c r="AS14" s="28">
        <v>13593.31</v>
      </c>
      <c r="AT14" s="29">
        <v>1.0</v>
      </c>
      <c r="AW14" s="1"/>
      <c r="AX14" s="27" t="s">
        <v>178</v>
      </c>
      <c r="AY14" s="28">
        <v>1700.0</v>
      </c>
      <c r="AZ14" s="29">
        <v>13.0</v>
      </c>
      <c r="BC14" s="1"/>
      <c r="BD14" s="27" t="s">
        <v>158</v>
      </c>
      <c r="BE14" s="28">
        <v>-2675.34</v>
      </c>
      <c r="BF14" s="29">
        <v>1.0</v>
      </c>
      <c r="BI14" s="1"/>
      <c r="BJ14" s="27" t="s">
        <v>421</v>
      </c>
      <c r="BK14" s="28">
        <v>13784.98</v>
      </c>
      <c r="BL14" s="29">
        <v>10.0</v>
      </c>
      <c r="BO14" s="1"/>
      <c r="BP14" s="27" t="s">
        <v>55</v>
      </c>
      <c r="BQ14" s="28">
        <v>6404.05</v>
      </c>
      <c r="BR14" s="29">
        <v>10.0</v>
      </c>
      <c r="BU14" s="4"/>
    </row>
    <row r="15">
      <c r="A15" s="1"/>
      <c r="B15" s="27"/>
      <c r="C15" s="28"/>
      <c r="D15" s="29"/>
      <c r="G15" s="1"/>
      <c r="H15" s="27" t="s">
        <v>422</v>
      </c>
      <c r="I15" s="28">
        <v>3825.0</v>
      </c>
      <c r="J15" s="29">
        <v>10.0</v>
      </c>
      <c r="M15" s="1"/>
      <c r="N15" s="27" t="s">
        <v>423</v>
      </c>
      <c r="O15" s="28">
        <v>13.0</v>
      </c>
      <c r="P15" s="29">
        <v>19.0</v>
      </c>
      <c r="S15" s="1"/>
      <c r="T15" s="27" t="s">
        <v>161</v>
      </c>
      <c r="U15" s="28">
        <v>850.0</v>
      </c>
      <c r="V15" s="29">
        <v>17.0</v>
      </c>
      <c r="Y15" s="1"/>
      <c r="Z15" s="27" t="s">
        <v>424</v>
      </c>
      <c r="AA15" s="28">
        <v>1746.0</v>
      </c>
      <c r="AB15" s="29"/>
      <c r="AE15" s="1"/>
      <c r="AF15" s="27" t="s">
        <v>425</v>
      </c>
      <c r="AG15" s="28">
        <v>29218.83</v>
      </c>
      <c r="AH15" s="29">
        <v>-31.0</v>
      </c>
      <c r="AK15" s="1"/>
      <c r="AL15" s="27" t="s">
        <v>158</v>
      </c>
      <c r="AM15" s="28">
        <v>16355.47</v>
      </c>
      <c r="AN15" s="29">
        <v>1.0</v>
      </c>
      <c r="AQ15" s="1"/>
      <c r="AR15" s="27" t="s">
        <v>426</v>
      </c>
      <c r="AS15" s="28">
        <v>256.5</v>
      </c>
      <c r="AT15" s="29"/>
      <c r="AW15" s="1"/>
      <c r="AX15" s="27" t="s">
        <v>427</v>
      </c>
      <c r="AY15" s="28">
        <v>5396.48</v>
      </c>
      <c r="AZ15" s="29">
        <v>16.0</v>
      </c>
      <c r="BC15" s="1"/>
      <c r="BD15" s="27" t="s">
        <v>428</v>
      </c>
      <c r="BE15" s="28">
        <v>1210.0</v>
      </c>
      <c r="BF15" s="29">
        <v>11.0</v>
      </c>
      <c r="BI15" s="1"/>
      <c r="BJ15" s="27" t="s">
        <v>429</v>
      </c>
      <c r="BK15" s="28">
        <v>11284.98</v>
      </c>
      <c r="BL15" s="29">
        <v>-31.0</v>
      </c>
      <c r="BO15" s="1"/>
      <c r="BP15" s="27" t="s">
        <v>430</v>
      </c>
      <c r="BQ15" s="28">
        <v>41372.35</v>
      </c>
      <c r="BR15" s="29"/>
      <c r="BU15" s="4"/>
    </row>
    <row r="16">
      <c r="A16" s="1"/>
      <c r="B16" s="24" t="s">
        <v>61</v>
      </c>
      <c r="C16" s="25">
        <v>32241.38</v>
      </c>
      <c r="D16" s="31"/>
      <c r="E16" s="24" t="s">
        <v>14</v>
      </c>
      <c r="F16" s="24" t="s">
        <v>62</v>
      </c>
      <c r="G16" s="1"/>
      <c r="H16" s="3" t="s">
        <v>61</v>
      </c>
      <c r="I16" s="26">
        <f>SUM(I17:I115)</f>
        <v>32241.38</v>
      </c>
      <c r="J16" s="3"/>
      <c r="K16" s="3" t="s">
        <v>14</v>
      </c>
      <c r="L16" s="3" t="s">
        <v>62</v>
      </c>
      <c r="M16" s="1"/>
      <c r="N16" s="24" t="s">
        <v>61</v>
      </c>
      <c r="O16" s="25">
        <f>SUM(O17:O79)</f>
        <v>31324.72</v>
      </c>
      <c r="P16" s="31"/>
      <c r="Q16" s="24" t="s">
        <v>14</v>
      </c>
      <c r="R16" s="24" t="s">
        <v>62</v>
      </c>
      <c r="S16" s="1"/>
      <c r="T16" s="3" t="s">
        <v>61</v>
      </c>
      <c r="U16" s="26">
        <f>SUM(U17:U115)</f>
        <v>29778.21</v>
      </c>
      <c r="V16" s="3"/>
      <c r="W16" s="3" t="s">
        <v>14</v>
      </c>
      <c r="X16" s="3" t="s">
        <v>62</v>
      </c>
      <c r="Y16" s="1"/>
      <c r="Z16" s="24" t="s">
        <v>61</v>
      </c>
      <c r="AA16" s="25">
        <f>SUM(AA17:AA100)</f>
        <v>45141.92</v>
      </c>
      <c r="AB16" s="31"/>
      <c r="AC16" s="24" t="s">
        <v>14</v>
      </c>
      <c r="AD16" s="24" t="s">
        <v>62</v>
      </c>
      <c r="AE16" s="1"/>
      <c r="AF16" s="3" t="s">
        <v>61</v>
      </c>
      <c r="AG16" s="26">
        <f>SUM(AG17:AG114)</f>
        <v>37277.51</v>
      </c>
      <c r="AH16" s="3"/>
      <c r="AI16" s="3" t="s">
        <v>14</v>
      </c>
      <c r="AJ16" s="3" t="s">
        <v>62</v>
      </c>
      <c r="AK16" s="1"/>
      <c r="AL16" s="24" t="s">
        <v>61</v>
      </c>
      <c r="AM16" s="25">
        <f>SUM(AM17:AM150)</f>
        <v>42099.9</v>
      </c>
      <c r="AN16" s="31"/>
      <c r="AO16" s="24" t="s">
        <v>14</v>
      </c>
      <c r="AP16" s="24" t="s">
        <v>62</v>
      </c>
      <c r="AQ16" s="1"/>
      <c r="AR16" s="3" t="s">
        <v>61</v>
      </c>
      <c r="AS16" s="26">
        <f>SUM(AS17:AS113)</f>
        <v>37065.81</v>
      </c>
      <c r="AT16" s="3"/>
      <c r="AU16" s="3" t="s">
        <v>14</v>
      </c>
      <c r="AV16" s="3" t="s">
        <v>62</v>
      </c>
      <c r="AW16" s="1"/>
      <c r="AX16" s="24" t="s">
        <v>61</v>
      </c>
      <c r="AY16" s="25">
        <f>SUM(AY17:AY100)</f>
        <v>35038.57</v>
      </c>
      <c r="AZ16" s="31"/>
      <c r="BA16" s="24" t="s">
        <v>14</v>
      </c>
      <c r="BB16" s="24" t="s">
        <v>62</v>
      </c>
      <c r="BC16" s="1"/>
      <c r="BD16" s="3" t="s">
        <v>61</v>
      </c>
      <c r="BE16" s="26">
        <f>SUM(BE17:BE114)</f>
        <v>29288.82</v>
      </c>
      <c r="BF16" s="3"/>
      <c r="BG16" s="3" t="s">
        <v>14</v>
      </c>
      <c r="BH16" s="3" t="s">
        <v>62</v>
      </c>
      <c r="BI16" s="1"/>
      <c r="BJ16" s="24" t="s">
        <v>61</v>
      </c>
      <c r="BK16" s="25">
        <f>SUM(BK17:BK96)</f>
        <v>50681.62</v>
      </c>
      <c r="BL16" s="31"/>
      <c r="BM16" s="24" t="s">
        <v>14</v>
      </c>
      <c r="BN16" s="24" t="s">
        <v>62</v>
      </c>
      <c r="BO16" s="1"/>
      <c r="BP16" s="3" t="s">
        <v>61</v>
      </c>
      <c r="BQ16" s="26">
        <f>SUM(BQ17:BQ112)</f>
        <v>63789.04</v>
      </c>
      <c r="BR16" s="3"/>
      <c r="BS16" s="3" t="s">
        <v>14</v>
      </c>
      <c r="BT16" s="3" t="s">
        <v>62</v>
      </c>
      <c r="BU16" s="4"/>
    </row>
    <row r="17">
      <c r="A17" s="1"/>
      <c r="B17" s="32" t="s">
        <v>63</v>
      </c>
      <c r="C17" s="33">
        <v>1870.09</v>
      </c>
      <c r="D17" s="34">
        <v>4.0</v>
      </c>
      <c r="E17" s="35" t="s">
        <v>28</v>
      </c>
      <c r="F17" s="36" t="s">
        <v>34</v>
      </c>
      <c r="G17" s="1"/>
      <c r="H17" s="32" t="s">
        <v>63</v>
      </c>
      <c r="I17" s="33">
        <v>1869.02</v>
      </c>
      <c r="J17" s="34">
        <v>4.0</v>
      </c>
      <c r="K17" s="35" t="s">
        <v>28</v>
      </c>
      <c r="L17" s="36" t="s">
        <v>34</v>
      </c>
      <c r="M17" s="1"/>
      <c r="N17" s="32" t="s">
        <v>63</v>
      </c>
      <c r="O17" s="33">
        <v>1865.86</v>
      </c>
      <c r="P17" s="34">
        <v>4.0</v>
      </c>
      <c r="Q17" s="35" t="s">
        <v>32</v>
      </c>
      <c r="R17" s="36" t="s">
        <v>34</v>
      </c>
      <c r="S17" s="1"/>
      <c r="T17" s="32" t="s">
        <v>63</v>
      </c>
      <c r="U17" s="33">
        <v>1863.01</v>
      </c>
      <c r="V17" s="34">
        <v>4.0</v>
      </c>
      <c r="W17" s="35" t="s">
        <v>32</v>
      </c>
      <c r="X17" s="36" t="s">
        <v>34</v>
      </c>
      <c r="Y17" s="1"/>
      <c r="Z17" s="32" t="s">
        <v>63</v>
      </c>
      <c r="AA17" s="33">
        <v>1861.37</v>
      </c>
      <c r="AB17" s="34">
        <v>4.0</v>
      </c>
      <c r="AC17" s="35" t="s">
        <v>32</v>
      </c>
      <c r="AD17" s="36" t="s">
        <v>34</v>
      </c>
      <c r="AE17" s="1"/>
      <c r="AF17" s="32" t="s">
        <v>63</v>
      </c>
      <c r="AG17" s="33">
        <v>1859.64</v>
      </c>
      <c r="AH17" s="34">
        <v>4.0</v>
      </c>
      <c r="AI17" s="35" t="s">
        <v>32</v>
      </c>
      <c r="AJ17" s="36" t="s">
        <v>34</v>
      </c>
      <c r="AK17" s="1"/>
      <c r="AL17" s="32" t="s">
        <v>63</v>
      </c>
      <c r="AM17" s="33">
        <v>1857.39</v>
      </c>
      <c r="AN17" s="34">
        <v>4.0</v>
      </c>
      <c r="AO17" s="35" t="s">
        <v>32</v>
      </c>
      <c r="AP17" s="36" t="s">
        <v>34</v>
      </c>
      <c r="AQ17" s="1"/>
      <c r="AR17" s="32" t="s">
        <v>63</v>
      </c>
      <c r="AS17" s="33">
        <v>1855.51</v>
      </c>
      <c r="AT17" s="34">
        <v>4.0</v>
      </c>
      <c r="AU17" s="35" t="s">
        <v>32</v>
      </c>
      <c r="AV17" s="36" t="s">
        <v>34</v>
      </c>
      <c r="AW17" s="1"/>
      <c r="AX17" s="32" t="s">
        <v>63</v>
      </c>
      <c r="AY17" s="33">
        <v>1853.41</v>
      </c>
      <c r="AZ17" s="34">
        <v>4.0</v>
      </c>
      <c r="BA17" s="35" t="s">
        <v>32</v>
      </c>
      <c r="BB17" s="36" t="s">
        <v>34</v>
      </c>
      <c r="BC17" s="1"/>
      <c r="BD17" s="32" t="s">
        <v>63</v>
      </c>
      <c r="BE17" s="33">
        <v>1851.3</v>
      </c>
      <c r="BF17" s="34">
        <v>4.0</v>
      </c>
      <c r="BG17" s="35" t="s">
        <v>32</v>
      </c>
      <c r="BH17" s="36" t="s">
        <v>34</v>
      </c>
      <c r="BI17" s="1"/>
      <c r="BJ17" s="32" t="s">
        <v>63</v>
      </c>
      <c r="BK17" s="33">
        <v>1865.45</v>
      </c>
      <c r="BL17" s="34">
        <v>4.0</v>
      </c>
      <c r="BM17" s="35" t="s">
        <v>32</v>
      </c>
      <c r="BN17" s="36" t="s">
        <v>34</v>
      </c>
      <c r="BO17" s="1"/>
      <c r="BP17" s="32" t="s">
        <v>63</v>
      </c>
      <c r="BQ17" s="33">
        <v>1862.98</v>
      </c>
      <c r="BR17" s="34">
        <v>4.0</v>
      </c>
      <c r="BS17" s="35" t="s">
        <v>32</v>
      </c>
      <c r="BT17" s="36" t="s">
        <v>34</v>
      </c>
      <c r="BU17" s="4"/>
    </row>
    <row r="18">
      <c r="A18" s="1"/>
      <c r="B18" s="32" t="s">
        <v>64</v>
      </c>
      <c r="C18" s="33">
        <v>252.0</v>
      </c>
      <c r="D18" s="34">
        <v>5.0</v>
      </c>
      <c r="E18" s="35" t="s">
        <v>28</v>
      </c>
      <c r="F18" s="36" t="s">
        <v>32</v>
      </c>
      <c r="G18" s="1"/>
      <c r="H18" s="32" t="s">
        <v>64</v>
      </c>
      <c r="I18" s="33">
        <v>252.0</v>
      </c>
      <c r="J18" s="34">
        <v>5.0</v>
      </c>
      <c r="K18" s="35" t="s">
        <v>28</v>
      </c>
      <c r="L18" s="36" t="s">
        <v>32</v>
      </c>
      <c r="M18" s="1"/>
      <c r="N18" s="32" t="s">
        <v>64</v>
      </c>
      <c r="O18" s="33">
        <v>321.4</v>
      </c>
      <c r="P18" s="34">
        <v>5.0</v>
      </c>
      <c r="Q18" s="35" t="s">
        <v>28</v>
      </c>
      <c r="R18" s="36" t="s">
        <v>32</v>
      </c>
      <c r="S18" s="1"/>
      <c r="T18" s="32" t="s">
        <v>64</v>
      </c>
      <c r="U18" s="33">
        <v>252.0</v>
      </c>
      <c r="V18" s="34">
        <v>5.0</v>
      </c>
      <c r="W18" s="35" t="s">
        <v>28</v>
      </c>
      <c r="X18" s="36" t="s">
        <v>32</v>
      </c>
      <c r="Y18" s="1"/>
      <c r="Z18" s="32" t="s">
        <v>64</v>
      </c>
      <c r="AA18" s="33">
        <v>252.0</v>
      </c>
      <c r="AB18" s="34">
        <v>5.0</v>
      </c>
      <c r="AC18" s="35" t="s">
        <v>28</v>
      </c>
      <c r="AD18" s="36" t="s">
        <v>32</v>
      </c>
      <c r="AE18" s="1"/>
      <c r="AF18" s="32" t="s">
        <v>64</v>
      </c>
      <c r="AG18" s="33">
        <v>252.0</v>
      </c>
      <c r="AH18" s="34">
        <v>5.0</v>
      </c>
      <c r="AI18" s="35" t="s">
        <v>28</v>
      </c>
      <c r="AJ18" s="36" t="s">
        <v>32</v>
      </c>
      <c r="AK18" s="1"/>
      <c r="AL18" s="32" t="s">
        <v>64</v>
      </c>
      <c r="AM18" s="33">
        <v>252.0</v>
      </c>
      <c r="AN18" s="34">
        <v>5.0</v>
      </c>
      <c r="AO18" s="35" t="s">
        <v>28</v>
      </c>
      <c r="AP18" s="36" t="s">
        <v>32</v>
      </c>
      <c r="AQ18" s="1"/>
      <c r="AR18" s="32" t="s">
        <v>64</v>
      </c>
      <c r="AS18" s="33">
        <v>252.0</v>
      </c>
      <c r="AT18" s="34">
        <v>5.0</v>
      </c>
      <c r="AU18" s="35" t="s">
        <v>28</v>
      </c>
      <c r="AV18" s="36" t="s">
        <v>32</v>
      </c>
      <c r="AW18" s="1"/>
      <c r="AX18" s="32" t="s">
        <v>64</v>
      </c>
      <c r="AY18" s="33">
        <v>300.0</v>
      </c>
      <c r="AZ18" s="34">
        <v>5.0</v>
      </c>
      <c r="BA18" s="35" t="s">
        <v>28</v>
      </c>
      <c r="BB18" s="36" t="s">
        <v>32</v>
      </c>
      <c r="BC18" s="1"/>
      <c r="BD18" s="32" t="s">
        <v>64</v>
      </c>
      <c r="BE18" s="33">
        <v>276.0</v>
      </c>
      <c r="BF18" s="34">
        <v>5.0</v>
      </c>
      <c r="BG18" s="35" t="s">
        <v>28</v>
      </c>
      <c r="BH18" s="36" t="s">
        <v>32</v>
      </c>
      <c r="BI18" s="1"/>
      <c r="BJ18" s="32" t="s">
        <v>64</v>
      </c>
      <c r="BK18" s="33">
        <v>276.0</v>
      </c>
      <c r="BL18" s="34">
        <v>5.0</v>
      </c>
      <c r="BM18" s="35" t="s">
        <v>28</v>
      </c>
      <c r="BN18" s="36" t="s">
        <v>32</v>
      </c>
      <c r="BO18" s="1"/>
      <c r="BP18" s="32" t="s">
        <v>64</v>
      </c>
      <c r="BQ18" s="33">
        <v>276.0</v>
      </c>
      <c r="BR18" s="34">
        <v>5.0</v>
      </c>
      <c r="BS18" s="35" t="s">
        <v>28</v>
      </c>
      <c r="BT18" s="36" t="s">
        <v>32</v>
      </c>
      <c r="BU18" s="4"/>
    </row>
    <row r="19">
      <c r="A19" s="1"/>
      <c r="B19" s="32" t="s">
        <v>66</v>
      </c>
      <c r="C19" s="33">
        <v>79.03</v>
      </c>
      <c r="D19" s="34">
        <v>8.0</v>
      </c>
      <c r="E19" s="35" t="s">
        <v>28</v>
      </c>
      <c r="F19" s="36" t="s">
        <v>32</v>
      </c>
      <c r="G19" s="1"/>
      <c r="H19" s="32" t="s">
        <v>66</v>
      </c>
      <c r="I19" s="33">
        <v>309.54</v>
      </c>
      <c r="J19" s="34">
        <v>8.0</v>
      </c>
      <c r="K19" s="35" t="s">
        <v>28</v>
      </c>
      <c r="L19" s="36" t="s">
        <v>32</v>
      </c>
      <c r="M19" s="1"/>
      <c r="N19" s="32" t="s">
        <v>66</v>
      </c>
      <c r="O19" s="33">
        <v>322.09</v>
      </c>
      <c r="P19" s="34">
        <v>8.0</v>
      </c>
      <c r="Q19" s="35" t="s">
        <v>28</v>
      </c>
      <c r="R19" s="36" t="s">
        <v>32</v>
      </c>
      <c r="S19" s="1"/>
      <c r="T19" s="32" t="s">
        <v>66</v>
      </c>
      <c r="U19" s="33">
        <v>247.78</v>
      </c>
      <c r="V19" s="34">
        <v>8.0</v>
      </c>
      <c r="W19" s="35" t="s">
        <v>28</v>
      </c>
      <c r="X19" s="36" t="s">
        <v>32</v>
      </c>
      <c r="Y19" s="1"/>
      <c r="Z19" s="32" t="s">
        <v>66</v>
      </c>
      <c r="AA19" s="33">
        <v>294.13</v>
      </c>
      <c r="AB19" s="34">
        <v>8.0</v>
      </c>
      <c r="AC19" s="35" t="s">
        <v>28</v>
      </c>
      <c r="AD19" s="36" t="s">
        <v>32</v>
      </c>
      <c r="AE19" s="1"/>
      <c r="AF19" s="32" t="s">
        <v>66</v>
      </c>
      <c r="AG19" s="33">
        <v>294.13</v>
      </c>
      <c r="AH19" s="34">
        <v>8.0</v>
      </c>
      <c r="AI19" s="35" t="s">
        <v>28</v>
      </c>
      <c r="AJ19" s="36" t="s">
        <v>32</v>
      </c>
      <c r="AK19" s="1"/>
      <c r="AL19" s="32" t="s">
        <v>66</v>
      </c>
      <c r="AM19" s="33">
        <v>0.0</v>
      </c>
      <c r="AN19" s="34">
        <v>8.0</v>
      </c>
      <c r="AO19" s="35" t="s">
        <v>28</v>
      </c>
      <c r="AP19" s="36" t="s">
        <v>32</v>
      </c>
      <c r="AQ19" s="1"/>
      <c r="AR19" s="32" t="s">
        <v>66</v>
      </c>
      <c r="AS19" s="33">
        <v>596.18</v>
      </c>
      <c r="AT19" s="34">
        <v>8.0</v>
      </c>
      <c r="AU19" s="35" t="s">
        <v>28</v>
      </c>
      <c r="AV19" s="36" t="s">
        <v>32</v>
      </c>
      <c r="AW19" s="1"/>
      <c r="AX19" s="32" t="s">
        <v>66</v>
      </c>
      <c r="AY19" s="33">
        <v>596.18</v>
      </c>
      <c r="AZ19" s="34">
        <v>8.0</v>
      </c>
      <c r="BA19" s="35" t="s">
        <v>28</v>
      </c>
      <c r="BB19" s="36" t="s">
        <v>32</v>
      </c>
      <c r="BC19" s="1"/>
      <c r="BD19" s="32" t="s">
        <v>66</v>
      </c>
      <c r="BE19" s="33">
        <v>405.95</v>
      </c>
      <c r="BF19" s="34">
        <v>8.0</v>
      </c>
      <c r="BG19" s="35" t="s">
        <v>28</v>
      </c>
      <c r="BH19" s="36" t="s">
        <v>32</v>
      </c>
      <c r="BI19" s="1"/>
      <c r="BJ19" s="32" t="s">
        <v>66</v>
      </c>
      <c r="BK19" s="33"/>
      <c r="BL19" s="34">
        <v>8.0</v>
      </c>
      <c r="BM19" s="35" t="s">
        <v>28</v>
      </c>
      <c r="BN19" s="36" t="s">
        <v>32</v>
      </c>
      <c r="BO19" s="1"/>
      <c r="BP19" s="32" t="s">
        <v>66</v>
      </c>
      <c r="BQ19" s="33">
        <v>442.11</v>
      </c>
      <c r="BR19" s="34">
        <v>8.0</v>
      </c>
      <c r="BS19" s="35" t="s">
        <v>28</v>
      </c>
      <c r="BT19" s="36" t="s">
        <v>32</v>
      </c>
      <c r="BU19" s="4"/>
    </row>
    <row r="20">
      <c r="A20" s="1"/>
      <c r="B20" s="32" t="s">
        <v>71</v>
      </c>
      <c r="C20" s="46"/>
      <c r="D20" s="34">
        <v>10.0</v>
      </c>
      <c r="E20" s="35" t="s">
        <v>32</v>
      </c>
      <c r="G20" s="1"/>
      <c r="H20" s="32" t="s">
        <v>71</v>
      </c>
      <c r="I20" s="46">
        <v>952.7</v>
      </c>
      <c r="J20" s="34">
        <v>10.0</v>
      </c>
      <c r="K20" s="35" t="s">
        <v>32</v>
      </c>
      <c r="L20" s="36" t="s">
        <v>32</v>
      </c>
      <c r="M20" s="1"/>
      <c r="N20" s="32" t="s">
        <v>71</v>
      </c>
      <c r="O20" s="46">
        <v>952.7</v>
      </c>
      <c r="P20" s="34">
        <v>10.0</v>
      </c>
      <c r="Q20" s="35" t="s">
        <v>32</v>
      </c>
      <c r="R20" s="36" t="s">
        <v>32</v>
      </c>
      <c r="S20" s="1"/>
      <c r="T20" s="32" t="s">
        <v>71</v>
      </c>
      <c r="U20" s="42" t="s">
        <v>431</v>
      </c>
      <c r="V20" s="34">
        <v>10.0</v>
      </c>
      <c r="W20" s="35" t="s">
        <v>32</v>
      </c>
      <c r="Y20" s="1"/>
      <c r="Z20" s="32" t="s">
        <v>71</v>
      </c>
      <c r="AA20" s="46">
        <v>952.7</v>
      </c>
      <c r="AB20" s="34">
        <v>10.0</v>
      </c>
      <c r="AC20" s="35" t="s">
        <v>32</v>
      </c>
      <c r="AD20" s="36" t="s">
        <v>32</v>
      </c>
      <c r="AE20" s="1"/>
      <c r="AF20" s="32" t="s">
        <v>71</v>
      </c>
      <c r="AG20" s="46">
        <v>952.7</v>
      </c>
      <c r="AH20" s="34">
        <v>10.0</v>
      </c>
      <c r="AI20" s="35" t="s">
        <v>32</v>
      </c>
      <c r="AJ20" s="36" t="s">
        <v>32</v>
      </c>
      <c r="AK20" s="1"/>
      <c r="AL20" s="32" t="s">
        <v>71</v>
      </c>
      <c r="AM20" s="46">
        <v>952.7</v>
      </c>
      <c r="AN20" s="34">
        <v>10.0</v>
      </c>
      <c r="AO20" s="35" t="s">
        <v>32</v>
      </c>
      <c r="AP20" s="36" t="s">
        <v>32</v>
      </c>
      <c r="AQ20" s="1"/>
      <c r="AR20" s="32" t="s">
        <v>71</v>
      </c>
      <c r="AS20" s="46"/>
      <c r="AT20" s="34">
        <v>10.0</v>
      </c>
      <c r="AU20" s="35" t="s">
        <v>32</v>
      </c>
      <c r="AV20" s="36" t="s">
        <v>32</v>
      </c>
      <c r="AW20" s="1"/>
      <c r="AX20" s="32" t="s">
        <v>71</v>
      </c>
      <c r="AY20" s="46">
        <v>952.7</v>
      </c>
      <c r="AZ20" s="34">
        <v>10.0</v>
      </c>
      <c r="BA20" s="35" t="s">
        <v>32</v>
      </c>
      <c r="BB20" s="36" t="s">
        <v>32</v>
      </c>
      <c r="BC20" s="1"/>
      <c r="BD20" s="32" t="s">
        <v>71</v>
      </c>
      <c r="BE20" s="42" t="s">
        <v>432</v>
      </c>
      <c r="BF20" s="34">
        <v>10.0</v>
      </c>
      <c r="BG20" s="35" t="s">
        <v>32</v>
      </c>
      <c r="BH20" s="36" t="s">
        <v>32</v>
      </c>
      <c r="BI20" s="1"/>
      <c r="BJ20" s="32" t="s">
        <v>71</v>
      </c>
      <c r="BK20" s="42" t="s">
        <v>432</v>
      </c>
      <c r="BL20" s="34">
        <v>10.0</v>
      </c>
      <c r="BM20" s="35" t="s">
        <v>32</v>
      </c>
      <c r="BN20" s="36" t="s">
        <v>32</v>
      </c>
      <c r="BO20" s="1"/>
      <c r="BP20" s="32" t="s">
        <v>71</v>
      </c>
      <c r="BQ20" s="46">
        <v>952.7</v>
      </c>
      <c r="BR20" s="34">
        <v>10.0</v>
      </c>
      <c r="BS20" s="35" t="s">
        <v>32</v>
      </c>
      <c r="BT20" s="36" t="s">
        <v>32</v>
      </c>
      <c r="BU20" s="4"/>
    </row>
    <row r="21">
      <c r="A21" s="1"/>
      <c r="B21" s="32" t="s">
        <v>73</v>
      </c>
      <c r="C21" s="52"/>
      <c r="D21" s="34">
        <v>10.0</v>
      </c>
      <c r="E21" s="35" t="s">
        <v>28</v>
      </c>
      <c r="G21" s="1"/>
      <c r="H21" s="32" t="s">
        <v>73</v>
      </c>
      <c r="I21" s="46">
        <v>1327.28</v>
      </c>
      <c r="J21" s="34">
        <v>10.0</v>
      </c>
      <c r="K21" s="35" t="s">
        <v>28</v>
      </c>
      <c r="L21" s="36" t="s">
        <v>32</v>
      </c>
      <c r="M21" s="1"/>
      <c r="N21" s="32" t="s">
        <v>73</v>
      </c>
      <c r="O21" s="46">
        <v>1327.28</v>
      </c>
      <c r="P21" s="34">
        <v>10.0</v>
      </c>
      <c r="Q21" s="35" t="s">
        <v>28</v>
      </c>
      <c r="R21" s="36" t="s">
        <v>32</v>
      </c>
      <c r="S21" s="1"/>
      <c r="T21" s="32" t="s">
        <v>73</v>
      </c>
      <c r="V21" s="34">
        <v>10.0</v>
      </c>
      <c r="W21" s="35" t="s">
        <v>28</v>
      </c>
      <c r="Y21" s="1"/>
      <c r="Z21" s="32" t="s">
        <v>73</v>
      </c>
      <c r="AA21" s="46">
        <v>1327.28</v>
      </c>
      <c r="AB21" s="34">
        <v>10.0</v>
      </c>
      <c r="AC21" s="35" t="s">
        <v>28</v>
      </c>
      <c r="AD21" s="36" t="s">
        <v>32</v>
      </c>
      <c r="AE21" s="1"/>
      <c r="AF21" s="32" t="s">
        <v>73</v>
      </c>
      <c r="AG21" s="52">
        <v>1327.28</v>
      </c>
      <c r="AH21" s="34">
        <v>10.0</v>
      </c>
      <c r="AI21" s="35" t="s">
        <v>28</v>
      </c>
      <c r="AJ21" s="36" t="s">
        <v>32</v>
      </c>
      <c r="AK21" s="1"/>
      <c r="AL21" s="32" t="s">
        <v>73</v>
      </c>
      <c r="AM21" s="52">
        <v>1327.28</v>
      </c>
      <c r="AN21" s="34">
        <v>10.0</v>
      </c>
      <c r="AO21" s="35" t="s">
        <v>28</v>
      </c>
      <c r="AP21" s="36" t="s">
        <v>32</v>
      </c>
      <c r="AQ21" s="1"/>
      <c r="AR21" s="32" t="s">
        <v>73</v>
      </c>
      <c r="AT21" s="34">
        <v>10.0</v>
      </c>
      <c r="AU21" s="35" t="s">
        <v>28</v>
      </c>
      <c r="AV21" s="36" t="s">
        <v>32</v>
      </c>
      <c r="AW21" s="1"/>
      <c r="AX21" s="32" t="s">
        <v>73</v>
      </c>
      <c r="AY21" s="52">
        <v>1327.28</v>
      </c>
      <c r="AZ21" s="34">
        <v>10.0</v>
      </c>
      <c r="BA21" s="35" t="s">
        <v>28</v>
      </c>
      <c r="BB21" s="36" t="s">
        <v>32</v>
      </c>
      <c r="BC21" s="1"/>
      <c r="BD21" s="32" t="s">
        <v>73</v>
      </c>
      <c r="BF21" s="34">
        <v>10.0</v>
      </c>
      <c r="BG21" s="35" t="s">
        <v>28</v>
      </c>
      <c r="BH21" s="36" t="s">
        <v>32</v>
      </c>
      <c r="BI21" s="1"/>
      <c r="BJ21" s="32" t="s">
        <v>73</v>
      </c>
      <c r="BL21" s="34">
        <v>10.0</v>
      </c>
      <c r="BM21" s="35" t="s">
        <v>28</v>
      </c>
      <c r="BN21" s="36" t="s">
        <v>32</v>
      </c>
      <c r="BO21" s="1"/>
      <c r="BP21" s="32" t="s">
        <v>73</v>
      </c>
      <c r="BQ21" s="52">
        <v>1327.28</v>
      </c>
      <c r="BR21" s="34">
        <v>10.0</v>
      </c>
      <c r="BS21" s="35" t="s">
        <v>28</v>
      </c>
      <c r="BT21" s="36" t="s">
        <v>32</v>
      </c>
      <c r="BU21" s="4"/>
    </row>
    <row r="22">
      <c r="A22" s="1"/>
      <c r="B22" s="32" t="s">
        <v>74</v>
      </c>
      <c r="C22" s="68"/>
      <c r="D22" s="34">
        <v>10.0</v>
      </c>
      <c r="E22" s="35" t="s">
        <v>32</v>
      </c>
      <c r="G22" s="1"/>
      <c r="H22" s="32" t="s">
        <v>74</v>
      </c>
      <c r="I22" s="46">
        <v>1020.75</v>
      </c>
      <c r="J22" s="34">
        <v>10.0</v>
      </c>
      <c r="K22" s="35" t="s">
        <v>32</v>
      </c>
      <c r="L22" s="36" t="s">
        <v>32</v>
      </c>
      <c r="M22" s="1"/>
      <c r="N22" s="32" t="s">
        <v>74</v>
      </c>
      <c r="O22" s="46">
        <v>1020.75</v>
      </c>
      <c r="P22" s="34">
        <v>10.0</v>
      </c>
      <c r="Q22" s="35" t="s">
        <v>32</v>
      </c>
      <c r="R22" s="36" t="s">
        <v>32</v>
      </c>
      <c r="S22" s="1"/>
      <c r="T22" s="32" t="s">
        <v>74</v>
      </c>
      <c r="V22" s="34">
        <v>10.0</v>
      </c>
      <c r="W22" s="35" t="s">
        <v>32</v>
      </c>
      <c r="Y22" s="1"/>
      <c r="Z22" s="32" t="s">
        <v>74</v>
      </c>
      <c r="AA22" s="46">
        <v>1020.75</v>
      </c>
      <c r="AB22" s="34">
        <v>10.0</v>
      </c>
      <c r="AC22" s="35" t="s">
        <v>32</v>
      </c>
      <c r="AD22" s="36" t="s">
        <v>32</v>
      </c>
      <c r="AE22" s="1"/>
      <c r="AF22" s="32" t="s">
        <v>74</v>
      </c>
      <c r="AG22" s="46">
        <v>1020.75</v>
      </c>
      <c r="AH22" s="34">
        <v>10.0</v>
      </c>
      <c r="AI22" s="35" t="s">
        <v>32</v>
      </c>
      <c r="AJ22" s="36" t="s">
        <v>32</v>
      </c>
      <c r="AK22" s="1"/>
      <c r="AL22" s="32" t="s">
        <v>74</v>
      </c>
      <c r="AM22" s="46">
        <v>1020.75</v>
      </c>
      <c r="AN22" s="34">
        <v>10.0</v>
      </c>
      <c r="AO22" s="35" t="s">
        <v>32</v>
      </c>
      <c r="AP22" s="36" t="s">
        <v>32</v>
      </c>
      <c r="AQ22" s="1"/>
      <c r="AR22" s="32" t="s">
        <v>74</v>
      </c>
      <c r="AT22" s="34">
        <v>10.0</v>
      </c>
      <c r="AU22" s="35" t="s">
        <v>32</v>
      </c>
      <c r="AV22" s="36" t="s">
        <v>32</v>
      </c>
      <c r="AW22" s="1"/>
      <c r="AX22" s="32" t="s">
        <v>74</v>
      </c>
      <c r="AY22" s="46">
        <v>1020.75</v>
      </c>
      <c r="AZ22" s="34">
        <v>10.0</v>
      </c>
      <c r="BA22" s="35" t="s">
        <v>32</v>
      </c>
      <c r="BB22" s="36" t="s">
        <v>32</v>
      </c>
      <c r="BC22" s="1"/>
      <c r="BD22" s="32" t="s">
        <v>74</v>
      </c>
      <c r="BE22" s="46">
        <v>1020.75</v>
      </c>
      <c r="BF22" s="34">
        <v>10.0</v>
      </c>
      <c r="BG22" s="35" t="s">
        <v>32</v>
      </c>
      <c r="BH22" s="36" t="s">
        <v>32</v>
      </c>
      <c r="BI22" s="1"/>
      <c r="BJ22" s="32" t="s">
        <v>74</v>
      </c>
      <c r="BL22" s="34">
        <v>10.0</v>
      </c>
      <c r="BM22" s="35" t="s">
        <v>32</v>
      </c>
      <c r="BN22" s="36" t="s">
        <v>32</v>
      </c>
      <c r="BO22" s="1"/>
      <c r="BP22" s="32" t="s">
        <v>74</v>
      </c>
      <c r="BQ22" s="46">
        <v>1020.75</v>
      </c>
      <c r="BR22" s="34">
        <v>10.0</v>
      </c>
      <c r="BS22" s="35" t="s">
        <v>32</v>
      </c>
      <c r="BT22" s="36" t="s">
        <v>32</v>
      </c>
      <c r="BU22" s="4"/>
    </row>
    <row r="23">
      <c r="A23" s="1"/>
      <c r="B23" s="32" t="s">
        <v>75</v>
      </c>
      <c r="C23" s="52"/>
      <c r="D23" s="34">
        <v>10.0</v>
      </c>
      <c r="E23" s="35" t="s">
        <v>28</v>
      </c>
      <c r="G23" s="1"/>
      <c r="H23" s="32" t="s">
        <v>75</v>
      </c>
      <c r="I23" s="46">
        <v>541.27</v>
      </c>
      <c r="J23" s="34">
        <v>10.0</v>
      </c>
      <c r="K23" s="35" t="s">
        <v>28</v>
      </c>
      <c r="L23" s="36" t="s">
        <v>32</v>
      </c>
      <c r="M23" s="1"/>
      <c r="N23" s="32" t="s">
        <v>75</v>
      </c>
      <c r="O23" s="46">
        <v>541.27</v>
      </c>
      <c r="P23" s="34">
        <v>10.0</v>
      </c>
      <c r="Q23" s="35" t="s">
        <v>28</v>
      </c>
      <c r="R23" s="36" t="s">
        <v>32</v>
      </c>
      <c r="S23" s="1"/>
      <c r="T23" s="32" t="s">
        <v>75</v>
      </c>
      <c r="V23" s="34">
        <v>10.0</v>
      </c>
      <c r="W23" s="35" t="s">
        <v>28</v>
      </c>
      <c r="Y23" s="1"/>
      <c r="Z23" s="32" t="s">
        <v>75</v>
      </c>
      <c r="AA23" s="46">
        <v>541.27</v>
      </c>
      <c r="AB23" s="34">
        <v>10.0</v>
      </c>
      <c r="AC23" s="35" t="s">
        <v>28</v>
      </c>
      <c r="AD23" s="36" t="s">
        <v>32</v>
      </c>
      <c r="AE23" s="1"/>
      <c r="AF23" s="32" t="s">
        <v>75</v>
      </c>
      <c r="AG23" s="52">
        <v>541.27</v>
      </c>
      <c r="AH23" s="34">
        <v>10.0</v>
      </c>
      <c r="AI23" s="35" t="s">
        <v>28</v>
      </c>
      <c r="AJ23" s="36" t="s">
        <v>32</v>
      </c>
      <c r="AK23" s="1"/>
      <c r="AL23" s="32" t="s">
        <v>75</v>
      </c>
      <c r="AM23" s="52">
        <v>541.27</v>
      </c>
      <c r="AN23" s="34">
        <v>10.0</v>
      </c>
      <c r="AO23" s="35" t="s">
        <v>28</v>
      </c>
      <c r="AP23" s="36" t="s">
        <v>32</v>
      </c>
      <c r="AQ23" s="1"/>
      <c r="AR23" s="32" t="s">
        <v>75</v>
      </c>
      <c r="AT23" s="34">
        <v>10.0</v>
      </c>
      <c r="AU23" s="35" t="s">
        <v>28</v>
      </c>
      <c r="AV23" s="36" t="s">
        <v>32</v>
      </c>
      <c r="AW23" s="1"/>
      <c r="AX23" s="32" t="s">
        <v>75</v>
      </c>
      <c r="AY23" s="52">
        <v>541.27</v>
      </c>
      <c r="AZ23" s="34">
        <v>10.0</v>
      </c>
      <c r="BA23" s="35" t="s">
        <v>28</v>
      </c>
      <c r="BB23" s="36" t="s">
        <v>32</v>
      </c>
      <c r="BC23" s="1"/>
      <c r="BD23" s="32" t="s">
        <v>75</v>
      </c>
      <c r="BE23" s="52">
        <v>541.27</v>
      </c>
      <c r="BF23" s="34">
        <v>10.0</v>
      </c>
      <c r="BG23" s="35" t="s">
        <v>28</v>
      </c>
      <c r="BH23" s="36" t="s">
        <v>32</v>
      </c>
      <c r="BI23" s="1"/>
      <c r="BJ23" s="32" t="s">
        <v>75</v>
      </c>
      <c r="BL23" s="34">
        <v>10.0</v>
      </c>
      <c r="BM23" s="35" t="s">
        <v>28</v>
      </c>
      <c r="BN23" s="36" t="s">
        <v>32</v>
      </c>
      <c r="BO23" s="1"/>
      <c r="BP23" s="32" t="s">
        <v>75</v>
      </c>
      <c r="BQ23" s="52">
        <v>541.27</v>
      </c>
      <c r="BR23" s="34">
        <v>10.0</v>
      </c>
      <c r="BS23" s="35" t="s">
        <v>28</v>
      </c>
      <c r="BT23" s="36" t="s">
        <v>32</v>
      </c>
      <c r="BU23" s="4"/>
    </row>
    <row r="24">
      <c r="A24" s="1"/>
      <c r="B24" s="32" t="s">
        <v>76</v>
      </c>
      <c r="C24" s="52">
        <v>75.33</v>
      </c>
      <c r="D24" s="34">
        <v>10.0</v>
      </c>
      <c r="E24" s="35" t="s">
        <v>28</v>
      </c>
      <c r="F24" s="36" t="s">
        <v>32</v>
      </c>
      <c r="G24" s="1"/>
      <c r="H24" s="32" t="s">
        <v>76</v>
      </c>
      <c r="I24" s="33">
        <v>103.02</v>
      </c>
      <c r="J24" s="34">
        <v>10.0</v>
      </c>
      <c r="K24" s="35" t="s">
        <v>28</v>
      </c>
      <c r="L24" s="36" t="s">
        <v>32</v>
      </c>
      <c r="M24" s="1"/>
      <c r="N24" s="32" t="s">
        <v>76</v>
      </c>
      <c r="O24" s="52">
        <v>191.4</v>
      </c>
      <c r="P24" s="34">
        <v>10.0</v>
      </c>
      <c r="Q24" s="35" t="s">
        <v>28</v>
      </c>
      <c r="R24" s="36" t="s">
        <v>32</v>
      </c>
      <c r="S24" s="1"/>
      <c r="T24" s="32" t="s">
        <v>76</v>
      </c>
      <c r="U24" s="33">
        <v>392.18</v>
      </c>
      <c r="V24" s="34">
        <v>10.0</v>
      </c>
      <c r="W24" s="35" t="s">
        <v>28</v>
      </c>
      <c r="X24" s="36" t="s">
        <v>32</v>
      </c>
      <c r="Y24" s="1"/>
      <c r="Z24" s="32" t="s">
        <v>76</v>
      </c>
      <c r="AA24" s="52">
        <v>403.12</v>
      </c>
      <c r="AB24" s="34">
        <v>10.0</v>
      </c>
      <c r="AC24" s="35" t="s">
        <v>28</v>
      </c>
      <c r="AD24" s="36" t="s">
        <v>32</v>
      </c>
      <c r="AE24" s="1"/>
      <c r="AF24" s="32" t="s">
        <v>76</v>
      </c>
      <c r="AG24" s="33">
        <v>337.28</v>
      </c>
      <c r="AH24" s="34">
        <v>10.0</v>
      </c>
      <c r="AI24" s="35" t="s">
        <v>28</v>
      </c>
      <c r="AJ24" s="36" t="s">
        <v>32</v>
      </c>
      <c r="AK24" s="1"/>
      <c r="AL24" s="32" t="s">
        <v>76</v>
      </c>
      <c r="AM24" s="52">
        <v>238.96</v>
      </c>
      <c r="AN24" s="34">
        <v>10.0</v>
      </c>
      <c r="AO24" s="35" t="s">
        <v>28</v>
      </c>
      <c r="AP24" s="36" t="s">
        <v>32</v>
      </c>
      <c r="AQ24" s="1"/>
      <c r="AR24" s="32" t="s">
        <v>76</v>
      </c>
      <c r="AS24" s="33">
        <v>128.48</v>
      </c>
      <c r="AT24" s="34">
        <v>10.0</v>
      </c>
      <c r="AU24" s="35" t="s">
        <v>28</v>
      </c>
      <c r="AV24" s="36" t="s">
        <v>32</v>
      </c>
      <c r="AW24" s="1"/>
      <c r="AX24" s="32" t="s">
        <v>76</v>
      </c>
      <c r="AY24" s="52">
        <v>185.46</v>
      </c>
      <c r="AZ24" s="34">
        <v>10.0</v>
      </c>
      <c r="BA24" s="35" t="s">
        <v>28</v>
      </c>
      <c r="BB24" s="36" t="s">
        <v>32</v>
      </c>
      <c r="BC24" s="1"/>
      <c r="BD24" s="32" t="s">
        <v>76</v>
      </c>
      <c r="BE24" s="33">
        <v>159.86</v>
      </c>
      <c r="BF24" s="34">
        <v>10.0</v>
      </c>
      <c r="BG24" s="35" t="s">
        <v>28</v>
      </c>
      <c r="BH24" s="36" t="s">
        <v>32</v>
      </c>
      <c r="BI24" s="1"/>
      <c r="BJ24" s="32" t="s">
        <v>76</v>
      </c>
      <c r="BK24" s="52">
        <v>175.65</v>
      </c>
      <c r="BL24" s="34">
        <v>10.0</v>
      </c>
      <c r="BM24" s="35" t="s">
        <v>28</v>
      </c>
      <c r="BN24" s="36" t="s">
        <v>32</v>
      </c>
      <c r="BO24" s="1"/>
      <c r="BP24" s="32" t="s">
        <v>76</v>
      </c>
      <c r="BQ24" s="33">
        <v>244.28</v>
      </c>
      <c r="BR24" s="34">
        <v>10.0</v>
      </c>
      <c r="BS24" s="35" t="s">
        <v>28</v>
      </c>
      <c r="BT24" s="36" t="s">
        <v>32</v>
      </c>
      <c r="BU24" s="4"/>
    </row>
    <row r="25">
      <c r="A25" s="1"/>
      <c r="B25" s="32" t="s">
        <v>77</v>
      </c>
      <c r="C25" s="33">
        <v>50.0</v>
      </c>
      <c r="D25" s="34">
        <v>10.0</v>
      </c>
      <c r="E25" s="35" t="s">
        <v>34</v>
      </c>
      <c r="F25" s="36" t="s">
        <v>32</v>
      </c>
      <c r="G25" s="1"/>
      <c r="H25" s="32" t="s">
        <v>77</v>
      </c>
      <c r="I25" s="33">
        <v>50.0</v>
      </c>
      <c r="J25" s="34">
        <v>10.0</v>
      </c>
      <c r="K25" s="35" t="s">
        <v>34</v>
      </c>
      <c r="L25" s="36" t="s">
        <v>32</v>
      </c>
      <c r="M25" s="1"/>
      <c r="N25" s="32" t="s">
        <v>77</v>
      </c>
      <c r="O25" s="33">
        <v>50.0</v>
      </c>
      <c r="P25" s="34">
        <v>10.0</v>
      </c>
      <c r="Q25" s="35" t="s">
        <v>34</v>
      </c>
      <c r="R25" s="36" t="s">
        <v>32</v>
      </c>
      <c r="S25" s="1"/>
      <c r="T25" s="32" t="s">
        <v>77</v>
      </c>
      <c r="U25" s="33">
        <v>50.0</v>
      </c>
      <c r="V25" s="34">
        <v>10.0</v>
      </c>
      <c r="W25" s="35" t="s">
        <v>34</v>
      </c>
      <c r="X25" s="36" t="s">
        <v>32</v>
      </c>
      <c r="Y25" s="1"/>
      <c r="Z25" s="32" t="s">
        <v>77</v>
      </c>
      <c r="AA25" s="33">
        <v>50.0</v>
      </c>
      <c r="AB25" s="34">
        <v>10.0</v>
      </c>
      <c r="AC25" s="35" t="s">
        <v>34</v>
      </c>
      <c r="AD25" s="36" t="s">
        <v>32</v>
      </c>
      <c r="AE25" s="1"/>
      <c r="AF25" s="32" t="s">
        <v>77</v>
      </c>
      <c r="AG25" s="33">
        <v>50.0</v>
      </c>
      <c r="AH25" s="34">
        <v>10.0</v>
      </c>
      <c r="AI25" s="35" t="s">
        <v>34</v>
      </c>
      <c r="AJ25" s="36" t="s">
        <v>32</v>
      </c>
      <c r="AK25" s="1"/>
      <c r="AL25" s="32" t="s">
        <v>77</v>
      </c>
      <c r="AM25" s="33">
        <v>50.0</v>
      </c>
      <c r="AN25" s="34">
        <v>10.0</v>
      </c>
      <c r="AO25" s="35" t="s">
        <v>34</v>
      </c>
      <c r="AP25" s="36" t="s">
        <v>32</v>
      </c>
      <c r="AQ25" s="1"/>
      <c r="AR25" s="32" t="s">
        <v>77</v>
      </c>
      <c r="AS25" s="33">
        <v>50.0</v>
      </c>
      <c r="AT25" s="34">
        <v>10.0</v>
      </c>
      <c r="AU25" s="35" t="s">
        <v>34</v>
      </c>
      <c r="AV25" s="36" t="s">
        <v>32</v>
      </c>
      <c r="AW25" s="1"/>
      <c r="AX25" s="32" t="s">
        <v>77</v>
      </c>
      <c r="AY25" s="33">
        <v>50.0</v>
      </c>
      <c r="AZ25" s="34">
        <v>10.0</v>
      </c>
      <c r="BA25" s="35" t="s">
        <v>34</v>
      </c>
      <c r="BB25" s="36" t="s">
        <v>32</v>
      </c>
      <c r="BC25" s="1"/>
      <c r="BD25" s="32" t="s">
        <v>77</v>
      </c>
      <c r="BE25" s="33"/>
      <c r="BF25" s="34">
        <v>10.0</v>
      </c>
      <c r="BG25" s="35" t="s">
        <v>34</v>
      </c>
      <c r="BH25" s="36" t="s">
        <v>32</v>
      </c>
      <c r="BI25" s="1"/>
      <c r="BJ25" s="32" t="s">
        <v>77</v>
      </c>
      <c r="BK25" s="33"/>
      <c r="BL25" s="34">
        <v>10.0</v>
      </c>
      <c r="BM25" s="35" t="s">
        <v>34</v>
      </c>
      <c r="BN25" s="36" t="s">
        <v>32</v>
      </c>
      <c r="BO25" s="1"/>
      <c r="BP25" s="32" t="s">
        <v>77</v>
      </c>
      <c r="BQ25" s="33">
        <v>50.0</v>
      </c>
      <c r="BR25" s="34">
        <v>10.0</v>
      </c>
      <c r="BS25" s="35" t="s">
        <v>34</v>
      </c>
      <c r="BT25" s="36" t="s">
        <v>32</v>
      </c>
      <c r="BU25" s="4"/>
    </row>
    <row r="26">
      <c r="A26" s="1"/>
      <c r="B26" s="32" t="s">
        <v>78</v>
      </c>
      <c r="C26" s="33">
        <v>250.0</v>
      </c>
      <c r="D26" s="34">
        <v>3.0</v>
      </c>
      <c r="E26" s="35" t="s">
        <v>28</v>
      </c>
      <c r="F26" s="36" t="s">
        <v>32</v>
      </c>
      <c r="G26" s="1"/>
      <c r="H26" s="32" t="s">
        <v>78</v>
      </c>
      <c r="I26" s="33">
        <v>250.0</v>
      </c>
      <c r="J26" s="34">
        <v>3.0</v>
      </c>
      <c r="K26" s="35" t="s">
        <v>28</v>
      </c>
      <c r="L26" s="36" t="s">
        <v>32</v>
      </c>
      <c r="M26" s="1"/>
      <c r="N26" s="32" t="s">
        <v>78</v>
      </c>
      <c r="O26" s="33">
        <v>250.0</v>
      </c>
      <c r="P26" s="34">
        <v>3.0</v>
      </c>
      <c r="Q26" s="35" t="s">
        <v>28</v>
      </c>
      <c r="R26" s="36" t="s">
        <v>32</v>
      </c>
      <c r="S26" s="1"/>
      <c r="T26" s="32" t="s">
        <v>78</v>
      </c>
      <c r="U26" s="33">
        <v>250.0</v>
      </c>
      <c r="V26" s="34">
        <v>3.0</v>
      </c>
      <c r="W26" s="35" t="s">
        <v>28</v>
      </c>
      <c r="X26" s="36" t="s">
        <v>32</v>
      </c>
      <c r="Y26" s="1"/>
      <c r="Z26" s="32" t="s">
        <v>78</v>
      </c>
      <c r="AA26" s="33">
        <v>250.0</v>
      </c>
      <c r="AB26" s="34">
        <v>3.0</v>
      </c>
      <c r="AC26" s="35" t="s">
        <v>28</v>
      </c>
      <c r="AD26" s="36" t="s">
        <v>32</v>
      </c>
      <c r="AE26" s="1"/>
      <c r="AF26" s="32" t="s">
        <v>78</v>
      </c>
      <c r="AG26" s="33">
        <v>250.0</v>
      </c>
      <c r="AH26" s="34">
        <v>3.0</v>
      </c>
      <c r="AI26" s="35" t="s">
        <v>28</v>
      </c>
      <c r="AJ26" s="36" t="s">
        <v>32</v>
      </c>
      <c r="AK26" s="1"/>
      <c r="AL26" s="32" t="s">
        <v>78</v>
      </c>
      <c r="AM26" s="33">
        <v>250.0</v>
      </c>
      <c r="AN26" s="34">
        <v>3.0</v>
      </c>
      <c r="AO26" s="35" t="s">
        <v>28</v>
      </c>
      <c r="AP26" s="36" t="s">
        <v>32</v>
      </c>
      <c r="AQ26" s="1"/>
      <c r="AR26" s="32" t="s">
        <v>78</v>
      </c>
      <c r="AS26" s="33">
        <v>250.0</v>
      </c>
      <c r="AT26" s="34">
        <v>3.0</v>
      </c>
      <c r="AU26" s="35" t="s">
        <v>28</v>
      </c>
      <c r="AV26" s="36" t="s">
        <v>32</v>
      </c>
      <c r="AW26" s="1"/>
      <c r="AX26" s="32" t="s">
        <v>78</v>
      </c>
      <c r="AY26" s="33">
        <v>250.0</v>
      </c>
      <c r="AZ26" s="34">
        <v>3.0</v>
      </c>
      <c r="BA26" s="35" t="s">
        <v>28</v>
      </c>
      <c r="BB26" s="36" t="s">
        <v>32</v>
      </c>
      <c r="BC26" s="1"/>
      <c r="BD26" s="32" t="s">
        <v>78</v>
      </c>
      <c r="BE26" s="33">
        <v>250.0</v>
      </c>
      <c r="BF26" s="34">
        <v>3.0</v>
      </c>
      <c r="BG26" s="35" t="s">
        <v>28</v>
      </c>
      <c r="BH26" s="36" t="s">
        <v>32</v>
      </c>
      <c r="BI26" s="1"/>
      <c r="BJ26" s="32" t="s">
        <v>78</v>
      </c>
      <c r="BK26" s="33">
        <v>250.0</v>
      </c>
      <c r="BL26" s="34">
        <v>3.0</v>
      </c>
      <c r="BM26" s="35" t="s">
        <v>28</v>
      </c>
      <c r="BN26" s="36" t="s">
        <v>32</v>
      </c>
      <c r="BO26" s="1"/>
      <c r="BP26" s="32" t="s">
        <v>78</v>
      </c>
      <c r="BQ26" s="33">
        <v>250.0</v>
      </c>
      <c r="BR26" s="34">
        <v>3.0</v>
      </c>
      <c r="BS26" s="35" t="s">
        <v>28</v>
      </c>
      <c r="BT26" s="36" t="s">
        <v>32</v>
      </c>
      <c r="BU26" s="4"/>
    </row>
    <row r="27">
      <c r="A27" s="1"/>
      <c r="B27" s="32" t="s">
        <v>80</v>
      </c>
      <c r="C27" s="33">
        <v>1681.07</v>
      </c>
      <c r="D27" s="34">
        <v>25.0</v>
      </c>
      <c r="E27" s="35" t="s">
        <v>32</v>
      </c>
      <c r="F27" s="36" t="s">
        <v>32</v>
      </c>
      <c r="G27" s="1"/>
      <c r="H27" s="32" t="s">
        <v>80</v>
      </c>
      <c r="I27" s="33">
        <v>1681.07</v>
      </c>
      <c r="J27" s="34">
        <v>25.0</v>
      </c>
      <c r="K27" s="35" t="s">
        <v>32</v>
      </c>
      <c r="L27" s="36" t="s">
        <v>32</v>
      </c>
      <c r="M27" s="1"/>
      <c r="N27" s="32" t="s">
        <v>79</v>
      </c>
      <c r="O27" s="33">
        <v>1699.22</v>
      </c>
      <c r="P27" s="34">
        <v>30.0</v>
      </c>
      <c r="Q27" s="35" t="s">
        <v>32</v>
      </c>
      <c r="R27" s="36" t="s">
        <v>32</v>
      </c>
      <c r="S27" s="1"/>
      <c r="T27" s="32" t="s">
        <v>79</v>
      </c>
      <c r="U27" s="33">
        <v>1699.22</v>
      </c>
      <c r="V27" s="34">
        <v>30.0</v>
      </c>
      <c r="W27" s="35" t="s">
        <v>32</v>
      </c>
      <c r="X27" s="36" t="s">
        <v>32</v>
      </c>
      <c r="Y27" s="1"/>
      <c r="Z27" s="32" t="s">
        <v>79</v>
      </c>
      <c r="AA27" s="33">
        <v>1699.22</v>
      </c>
      <c r="AB27" s="34">
        <v>30.0</v>
      </c>
      <c r="AC27" s="35" t="s">
        <v>32</v>
      </c>
      <c r="AD27" s="36" t="s">
        <v>32</v>
      </c>
      <c r="AE27" s="1"/>
      <c r="AF27" s="32" t="s">
        <v>79</v>
      </c>
      <c r="AG27" s="33">
        <v>1699.22</v>
      </c>
      <c r="AH27" s="34">
        <v>25.0</v>
      </c>
      <c r="AI27" s="35" t="s">
        <v>32</v>
      </c>
      <c r="AJ27" s="36" t="s">
        <v>32</v>
      </c>
      <c r="AK27" s="1"/>
      <c r="AL27" s="32" t="s">
        <v>79</v>
      </c>
      <c r="AM27" s="33">
        <v>1699.22</v>
      </c>
      <c r="AN27" s="34">
        <v>30.0</v>
      </c>
      <c r="AO27" s="35" t="s">
        <v>32</v>
      </c>
      <c r="AP27" s="36" t="s">
        <v>32</v>
      </c>
      <c r="AQ27" s="1"/>
      <c r="AR27" s="32" t="s">
        <v>79</v>
      </c>
      <c r="AS27" s="33">
        <v>1699.22</v>
      </c>
      <c r="AT27" s="34">
        <v>25.0</v>
      </c>
      <c r="AU27" s="35" t="s">
        <v>32</v>
      </c>
      <c r="AV27" s="36" t="s">
        <v>32</v>
      </c>
      <c r="AW27" s="1"/>
      <c r="AX27" s="32" t="s">
        <v>79</v>
      </c>
      <c r="AY27" s="33">
        <v>1699.22</v>
      </c>
      <c r="AZ27" s="34">
        <v>30.0</v>
      </c>
      <c r="BA27" s="35" t="s">
        <v>32</v>
      </c>
      <c r="BB27" s="36" t="s">
        <v>32</v>
      </c>
      <c r="BC27" s="1"/>
      <c r="BD27" s="32" t="s">
        <v>79</v>
      </c>
      <c r="BE27" s="33">
        <v>1699.22</v>
      </c>
      <c r="BF27" s="34">
        <v>25.0</v>
      </c>
      <c r="BG27" s="35" t="s">
        <v>32</v>
      </c>
      <c r="BH27" s="36" t="s">
        <v>32</v>
      </c>
      <c r="BI27" s="1"/>
      <c r="BJ27" s="32" t="s">
        <v>79</v>
      </c>
      <c r="BK27" s="33">
        <v>1699.22</v>
      </c>
      <c r="BL27" s="34">
        <v>30.0</v>
      </c>
      <c r="BM27" s="35" t="s">
        <v>32</v>
      </c>
      <c r="BN27" s="36" t="s">
        <v>32</v>
      </c>
      <c r="BO27" s="1"/>
      <c r="BP27" s="32" t="s">
        <v>79</v>
      </c>
      <c r="BQ27" s="54">
        <v>1699.22</v>
      </c>
      <c r="BR27" s="34">
        <v>25.0</v>
      </c>
      <c r="BS27" s="35" t="s">
        <v>32</v>
      </c>
      <c r="BT27" s="36" t="s">
        <v>32</v>
      </c>
      <c r="BU27" s="4"/>
    </row>
    <row r="28">
      <c r="A28" s="1"/>
      <c r="B28" s="32" t="s">
        <v>81</v>
      </c>
      <c r="C28" s="33">
        <v>1306.1</v>
      </c>
      <c r="D28" s="34">
        <v>30.0</v>
      </c>
      <c r="E28" s="35" t="s">
        <v>28</v>
      </c>
      <c r="F28" s="36" t="s">
        <v>32</v>
      </c>
      <c r="G28" s="1"/>
      <c r="H28" s="32" t="s">
        <v>81</v>
      </c>
      <c r="I28" s="33">
        <v>1306.1</v>
      </c>
      <c r="J28" s="34">
        <v>30.0</v>
      </c>
      <c r="K28" s="35" t="s">
        <v>28</v>
      </c>
      <c r="L28" s="36" t="s">
        <v>32</v>
      </c>
      <c r="M28" s="1"/>
      <c r="N28" s="32" t="s">
        <v>81</v>
      </c>
      <c r="O28" s="33">
        <v>1306.1</v>
      </c>
      <c r="P28" s="34">
        <v>30.0</v>
      </c>
      <c r="Q28" s="35" t="s">
        <v>28</v>
      </c>
      <c r="R28" s="36" t="s">
        <v>32</v>
      </c>
      <c r="S28" s="1"/>
      <c r="T28" s="32" t="s">
        <v>81</v>
      </c>
      <c r="U28" s="33">
        <v>1306.1</v>
      </c>
      <c r="V28" s="34">
        <v>30.0</v>
      </c>
      <c r="W28" s="35" t="s">
        <v>28</v>
      </c>
      <c r="X28" s="36" t="s">
        <v>32</v>
      </c>
      <c r="Y28" s="1"/>
      <c r="Z28" s="32" t="s">
        <v>81</v>
      </c>
      <c r="AA28" s="33">
        <v>1306.1</v>
      </c>
      <c r="AB28" s="34">
        <v>30.0</v>
      </c>
      <c r="AC28" s="35" t="s">
        <v>28</v>
      </c>
      <c r="AD28" s="36" t="s">
        <v>32</v>
      </c>
      <c r="AE28" s="1"/>
      <c r="AF28" s="32" t="s">
        <v>81</v>
      </c>
      <c r="AG28" s="33">
        <v>1306.1</v>
      </c>
      <c r="AH28" s="34">
        <v>30.0</v>
      </c>
      <c r="AI28" s="35" t="s">
        <v>28</v>
      </c>
      <c r="AJ28" s="36" t="s">
        <v>32</v>
      </c>
      <c r="AK28" s="1"/>
      <c r="AL28" s="32" t="s">
        <v>81</v>
      </c>
      <c r="AM28" s="33">
        <v>1306.1</v>
      </c>
      <c r="AN28" s="34">
        <v>30.0</v>
      </c>
      <c r="AO28" s="35" t="s">
        <v>28</v>
      </c>
      <c r="AP28" s="36" t="s">
        <v>32</v>
      </c>
      <c r="AQ28" s="1"/>
      <c r="AR28" s="32" t="s">
        <v>81</v>
      </c>
      <c r="AS28" s="33">
        <v>1306.1</v>
      </c>
      <c r="AT28" s="34">
        <v>30.0</v>
      </c>
      <c r="AU28" s="35" t="s">
        <v>28</v>
      </c>
      <c r="AV28" s="36" t="s">
        <v>32</v>
      </c>
      <c r="AW28" s="1"/>
      <c r="AX28" s="32" t="s">
        <v>81</v>
      </c>
      <c r="AY28" s="33">
        <v>1306.1</v>
      </c>
      <c r="AZ28" s="34">
        <v>30.0</v>
      </c>
      <c r="BA28" s="35" t="s">
        <v>28</v>
      </c>
      <c r="BB28" s="36" t="s">
        <v>32</v>
      </c>
      <c r="BC28" s="1"/>
      <c r="BD28" s="32" t="s">
        <v>81</v>
      </c>
      <c r="BE28" s="33">
        <v>1306.1</v>
      </c>
      <c r="BF28" s="34">
        <v>30.0</v>
      </c>
      <c r="BG28" s="35" t="s">
        <v>28</v>
      </c>
      <c r="BH28" s="36" t="s">
        <v>32</v>
      </c>
      <c r="BI28" s="1"/>
      <c r="BJ28" s="32" t="s">
        <v>81</v>
      </c>
      <c r="BK28" s="33">
        <v>3040.51</v>
      </c>
      <c r="BL28" s="34">
        <v>30.0</v>
      </c>
      <c r="BM28" s="35" t="s">
        <v>28</v>
      </c>
      <c r="BN28" s="36" t="s">
        <v>32</v>
      </c>
      <c r="BO28" s="1"/>
      <c r="BP28" s="32" t="s">
        <v>81</v>
      </c>
      <c r="BQ28" s="33"/>
      <c r="BR28" s="34">
        <v>30.0</v>
      </c>
      <c r="BS28" s="35" t="s">
        <v>28</v>
      </c>
      <c r="BT28" s="36" t="s">
        <v>32</v>
      </c>
      <c r="BU28" s="4"/>
    </row>
    <row r="29">
      <c r="A29" s="1"/>
      <c r="B29" s="32" t="s">
        <v>83</v>
      </c>
      <c r="C29" s="33">
        <v>388.29</v>
      </c>
      <c r="D29" s="34">
        <v>30.0</v>
      </c>
      <c r="E29" s="35" t="s">
        <v>28</v>
      </c>
      <c r="F29" s="36" t="s">
        <v>32</v>
      </c>
      <c r="G29" s="1"/>
      <c r="H29" s="32" t="s">
        <v>83</v>
      </c>
      <c r="I29" s="33">
        <v>388.29</v>
      </c>
      <c r="J29" s="34">
        <v>30.0</v>
      </c>
      <c r="K29" s="35" t="s">
        <v>28</v>
      </c>
      <c r="L29" s="36" t="s">
        <v>32</v>
      </c>
      <c r="M29" s="1"/>
      <c r="N29" s="32" t="s">
        <v>83</v>
      </c>
      <c r="O29" s="33">
        <v>388.29</v>
      </c>
      <c r="P29" s="34">
        <v>30.0</v>
      </c>
      <c r="Q29" s="35" t="s">
        <v>28</v>
      </c>
      <c r="R29" s="36" t="s">
        <v>32</v>
      </c>
      <c r="S29" s="1"/>
      <c r="T29" s="32" t="s">
        <v>83</v>
      </c>
      <c r="U29" s="33">
        <v>388.29</v>
      </c>
      <c r="V29" s="34">
        <v>30.0</v>
      </c>
      <c r="W29" s="35" t="s">
        <v>28</v>
      </c>
      <c r="X29" s="36" t="s">
        <v>32</v>
      </c>
      <c r="Y29" s="1"/>
      <c r="Z29" s="32" t="s">
        <v>83</v>
      </c>
      <c r="AA29" s="33">
        <v>400.74</v>
      </c>
      <c r="AB29" s="34">
        <v>30.0</v>
      </c>
      <c r="AC29" s="35" t="s">
        <v>28</v>
      </c>
      <c r="AD29" s="36" t="s">
        <v>32</v>
      </c>
      <c r="AE29" s="1"/>
      <c r="AF29" s="32" t="s">
        <v>83</v>
      </c>
      <c r="AG29" s="33">
        <v>388.29</v>
      </c>
      <c r="AH29" s="34">
        <v>30.0</v>
      </c>
      <c r="AI29" s="35" t="s">
        <v>28</v>
      </c>
      <c r="AJ29" s="36" t="s">
        <v>32</v>
      </c>
      <c r="AK29" s="1"/>
      <c r="AL29" s="32" t="s">
        <v>83</v>
      </c>
      <c r="AM29" s="33">
        <v>388.29</v>
      </c>
      <c r="AN29" s="34">
        <v>30.0</v>
      </c>
      <c r="AO29" s="35" t="s">
        <v>28</v>
      </c>
      <c r="AP29" s="36" t="s">
        <v>32</v>
      </c>
      <c r="AQ29" s="1"/>
      <c r="AR29" s="32" t="s">
        <v>83</v>
      </c>
      <c r="AS29" s="33">
        <v>388.29</v>
      </c>
      <c r="AT29" s="34">
        <v>30.0</v>
      </c>
      <c r="AU29" s="35" t="s">
        <v>28</v>
      </c>
      <c r="AV29" s="36" t="s">
        <v>32</v>
      </c>
      <c r="AW29" s="1"/>
      <c r="AX29" s="32" t="s">
        <v>83</v>
      </c>
      <c r="AY29" s="33"/>
      <c r="AZ29" s="34">
        <v>30.0</v>
      </c>
      <c r="BA29" s="35" t="s">
        <v>28</v>
      </c>
      <c r="BB29" s="36" t="s">
        <v>32</v>
      </c>
      <c r="BC29" s="1"/>
      <c r="BD29" s="32" t="s">
        <v>83</v>
      </c>
      <c r="BE29" s="33"/>
      <c r="BF29" s="34">
        <v>30.0</v>
      </c>
      <c r="BG29" s="35" t="s">
        <v>28</v>
      </c>
      <c r="BH29" s="36" t="s">
        <v>32</v>
      </c>
      <c r="BI29" s="1"/>
      <c r="BJ29" s="32" t="s">
        <v>83</v>
      </c>
      <c r="BK29" s="33">
        <v>467.36</v>
      </c>
      <c r="BL29" s="34">
        <v>30.0</v>
      </c>
      <c r="BM29" s="35" t="s">
        <v>28</v>
      </c>
      <c r="BN29" s="36" t="s">
        <v>32</v>
      </c>
      <c r="BO29" s="1"/>
      <c r="BP29" s="32" t="s">
        <v>83</v>
      </c>
      <c r="BQ29" s="33">
        <v>230.15</v>
      </c>
      <c r="BR29" s="34">
        <v>30.0</v>
      </c>
      <c r="BS29" s="35" t="s">
        <v>28</v>
      </c>
      <c r="BT29" s="36" t="s">
        <v>32</v>
      </c>
      <c r="BU29" s="4"/>
    </row>
    <row r="30">
      <c r="A30" s="1"/>
      <c r="B30" s="55" t="s">
        <v>84</v>
      </c>
      <c r="C30" s="56">
        <v>1915.76</v>
      </c>
      <c r="D30" s="34">
        <v>30.0</v>
      </c>
      <c r="E30" s="57" t="s">
        <v>32</v>
      </c>
      <c r="F30" s="58" t="s">
        <v>32</v>
      </c>
      <c r="G30" s="1"/>
      <c r="H30" s="55" t="s">
        <v>84</v>
      </c>
      <c r="I30" s="56">
        <v>1912.97</v>
      </c>
      <c r="J30" s="34">
        <v>30.0</v>
      </c>
      <c r="K30" s="57" t="s">
        <v>32</v>
      </c>
      <c r="L30" s="58" t="s">
        <v>32</v>
      </c>
      <c r="M30" s="1"/>
      <c r="N30" s="55" t="s">
        <v>84</v>
      </c>
      <c r="O30" s="56">
        <v>1910.18</v>
      </c>
      <c r="P30" s="34">
        <v>30.0</v>
      </c>
      <c r="Q30" s="57" t="s">
        <v>32</v>
      </c>
      <c r="R30" s="58" t="s">
        <v>32</v>
      </c>
      <c r="S30" s="1"/>
      <c r="T30" s="55" t="s">
        <v>84</v>
      </c>
      <c r="U30" s="56">
        <v>2041.07</v>
      </c>
      <c r="V30" s="34">
        <v>30.0</v>
      </c>
      <c r="W30" s="57" t="s">
        <v>32</v>
      </c>
      <c r="X30" s="58" t="s">
        <v>32</v>
      </c>
      <c r="Y30" s="1"/>
      <c r="Z30" s="55" t="s">
        <v>84</v>
      </c>
      <c r="AA30" s="56">
        <v>2041.07</v>
      </c>
      <c r="AB30" s="34">
        <v>30.0</v>
      </c>
      <c r="AC30" s="57" t="s">
        <v>32</v>
      </c>
      <c r="AD30" s="58" t="s">
        <v>32</v>
      </c>
      <c r="AE30" s="1"/>
      <c r="AF30" s="55" t="s">
        <v>84</v>
      </c>
      <c r="AG30" s="56">
        <v>2041.07</v>
      </c>
      <c r="AH30" s="34">
        <v>30.0</v>
      </c>
      <c r="AI30" s="57" t="s">
        <v>32</v>
      </c>
      <c r="AJ30" s="58" t="s">
        <v>32</v>
      </c>
      <c r="AK30" s="1"/>
      <c r="AL30" s="55" t="s">
        <v>84</v>
      </c>
      <c r="AM30" s="56">
        <v>2103.32</v>
      </c>
      <c r="AN30" s="34">
        <v>30.0</v>
      </c>
      <c r="AO30" s="57" t="s">
        <v>32</v>
      </c>
      <c r="AP30" s="58" t="s">
        <v>32</v>
      </c>
      <c r="AQ30" s="1"/>
      <c r="AR30" s="55" t="s">
        <v>84</v>
      </c>
      <c r="AS30" s="56">
        <v>2094.13</v>
      </c>
      <c r="AT30" s="34">
        <v>30.0</v>
      </c>
      <c r="AU30" s="57" t="s">
        <v>32</v>
      </c>
      <c r="AV30" s="58" t="s">
        <v>32</v>
      </c>
      <c r="AW30" s="1"/>
      <c r="AX30" s="32" t="s">
        <v>84</v>
      </c>
      <c r="AY30" s="33">
        <v>2084.95</v>
      </c>
      <c r="AZ30" s="34">
        <v>30.0</v>
      </c>
      <c r="BA30" s="35" t="s">
        <v>32</v>
      </c>
      <c r="BB30" s="36" t="s">
        <v>32</v>
      </c>
      <c r="BC30" s="1"/>
      <c r="BD30" s="32" t="s">
        <v>84</v>
      </c>
      <c r="BE30" s="33"/>
      <c r="BF30" s="34">
        <v>30.0</v>
      </c>
      <c r="BG30" s="35" t="s">
        <v>32</v>
      </c>
      <c r="BH30" s="36" t="s">
        <v>32</v>
      </c>
      <c r="BI30" s="1"/>
      <c r="BJ30" s="32" t="s">
        <v>84</v>
      </c>
      <c r="BK30" s="33"/>
      <c r="BL30" s="34">
        <v>30.0</v>
      </c>
      <c r="BM30" s="35" t="s">
        <v>32</v>
      </c>
      <c r="BN30" s="36" t="s">
        <v>32</v>
      </c>
      <c r="BO30" s="1"/>
      <c r="BP30" s="32" t="s">
        <v>84</v>
      </c>
      <c r="BQ30" s="33">
        <v>2041.07</v>
      </c>
      <c r="BR30" s="34">
        <v>30.0</v>
      </c>
      <c r="BS30" s="35" t="s">
        <v>32</v>
      </c>
      <c r="BT30" s="36" t="s">
        <v>32</v>
      </c>
      <c r="BU30" s="4"/>
    </row>
    <row r="31">
      <c r="A31" s="1"/>
      <c r="B31" s="36" t="s">
        <v>433</v>
      </c>
      <c r="C31" s="54">
        <v>100.0</v>
      </c>
      <c r="D31" s="39">
        <v>1.0</v>
      </c>
      <c r="E31" s="35" t="s">
        <v>28</v>
      </c>
      <c r="F31" s="36" t="s">
        <v>34</v>
      </c>
      <c r="G31" s="1"/>
      <c r="H31" s="36" t="s">
        <v>85</v>
      </c>
      <c r="I31" s="54">
        <v>841.26</v>
      </c>
      <c r="J31" s="39">
        <v>-25.0</v>
      </c>
      <c r="K31" s="35" t="s">
        <v>28</v>
      </c>
      <c r="L31" s="36" t="s">
        <v>32</v>
      </c>
      <c r="M31" s="1"/>
      <c r="N31" s="36" t="s">
        <v>85</v>
      </c>
      <c r="O31" s="54">
        <v>841.26</v>
      </c>
      <c r="P31" s="39">
        <v>-25.0</v>
      </c>
      <c r="Q31" s="35" t="s">
        <v>28</v>
      </c>
      <c r="R31" s="36" t="s">
        <v>32</v>
      </c>
      <c r="S31" s="1"/>
      <c r="T31" s="36" t="s">
        <v>85</v>
      </c>
      <c r="U31" s="54">
        <v>880.94</v>
      </c>
      <c r="V31" s="39">
        <v>-25.0</v>
      </c>
      <c r="W31" s="35" t="s">
        <v>28</v>
      </c>
      <c r="X31" s="36" t="s">
        <v>32</v>
      </c>
      <c r="Y31" s="1"/>
      <c r="Z31" s="36" t="s">
        <v>85</v>
      </c>
      <c r="AA31" s="54">
        <v>939.58</v>
      </c>
      <c r="AB31" s="39">
        <v>-25.0</v>
      </c>
      <c r="AC31" s="35" t="s">
        <v>28</v>
      </c>
      <c r="AD31" s="36" t="s">
        <v>32</v>
      </c>
      <c r="AE31" s="1"/>
      <c r="AF31" s="36" t="s">
        <v>85</v>
      </c>
      <c r="AG31" s="54">
        <v>939.58</v>
      </c>
      <c r="AH31" s="39">
        <v>-25.0</v>
      </c>
      <c r="AI31" s="35" t="s">
        <v>28</v>
      </c>
      <c r="AJ31" s="36" t="s">
        <v>32</v>
      </c>
      <c r="AK31" s="1"/>
      <c r="AL31" s="36" t="s">
        <v>89</v>
      </c>
      <c r="AM31" s="54">
        <v>115.0</v>
      </c>
      <c r="AN31" s="39">
        <v>-29.0</v>
      </c>
      <c r="AO31" s="35" t="s">
        <v>28</v>
      </c>
      <c r="AP31" s="36" t="s">
        <v>34</v>
      </c>
      <c r="AQ31" s="1"/>
      <c r="AR31" s="36" t="s">
        <v>85</v>
      </c>
      <c r="AS31" s="54">
        <v>788.46</v>
      </c>
      <c r="AT31" s="39">
        <v>-25.0</v>
      </c>
      <c r="AU31" s="35" t="s">
        <v>28</v>
      </c>
      <c r="AV31" s="36" t="s">
        <v>32</v>
      </c>
      <c r="AW31" s="1"/>
      <c r="AX31" s="36" t="s">
        <v>85</v>
      </c>
      <c r="AY31" s="54">
        <v>788.46</v>
      </c>
      <c r="AZ31" s="39">
        <v>-25.0</v>
      </c>
      <c r="BA31" s="35" t="s">
        <v>28</v>
      </c>
      <c r="BB31" s="36" t="s">
        <v>32</v>
      </c>
      <c r="BC31" s="1"/>
      <c r="BD31" s="36" t="s">
        <v>85</v>
      </c>
      <c r="BE31" s="54">
        <v>788.46</v>
      </c>
      <c r="BF31" s="39">
        <v>-25.0</v>
      </c>
      <c r="BG31" s="35" t="s">
        <v>28</v>
      </c>
      <c r="BH31" s="36" t="s">
        <v>32</v>
      </c>
      <c r="BI31" s="1"/>
      <c r="BJ31" s="36" t="s">
        <v>434</v>
      </c>
      <c r="BK31" s="54">
        <f>-BE6+BE5</f>
        <v>4573.06</v>
      </c>
      <c r="BL31" s="39">
        <v>1.0</v>
      </c>
      <c r="BM31" s="35" t="s">
        <v>32</v>
      </c>
      <c r="BN31" s="36" t="s">
        <v>32</v>
      </c>
      <c r="BO31" s="1"/>
      <c r="BP31" s="36" t="s">
        <v>85</v>
      </c>
      <c r="BQ31" s="54">
        <v>788.46</v>
      </c>
      <c r="BR31" s="39">
        <v>-25.0</v>
      </c>
      <c r="BS31" s="35" t="s">
        <v>28</v>
      </c>
      <c r="BT31" s="36" t="s">
        <v>32</v>
      </c>
      <c r="BU31" s="4"/>
    </row>
    <row r="32">
      <c r="A32" s="1"/>
      <c r="B32" s="36" t="s">
        <v>435</v>
      </c>
      <c r="C32" s="54">
        <v>150.0</v>
      </c>
      <c r="D32" s="39">
        <v>1.0</v>
      </c>
      <c r="E32" s="35" t="s">
        <v>28</v>
      </c>
      <c r="F32" s="36" t="s">
        <v>34</v>
      </c>
      <c r="G32" s="1"/>
      <c r="H32" s="36" t="s">
        <v>87</v>
      </c>
      <c r="I32" s="54">
        <v>46.2</v>
      </c>
      <c r="J32" s="39">
        <v>-25.0</v>
      </c>
      <c r="K32" s="35" t="s">
        <v>28</v>
      </c>
      <c r="L32" s="36" t="s">
        <v>32</v>
      </c>
      <c r="M32" s="1"/>
      <c r="N32" s="36" t="s">
        <v>436</v>
      </c>
      <c r="O32" s="54">
        <v>29.79</v>
      </c>
      <c r="P32" s="39">
        <v>-25.0</v>
      </c>
      <c r="Q32" s="35" t="s">
        <v>28</v>
      </c>
      <c r="R32" s="36" t="s">
        <v>32</v>
      </c>
      <c r="S32" s="1"/>
      <c r="T32" s="36" t="s">
        <v>437</v>
      </c>
      <c r="U32" s="54">
        <v>106.64</v>
      </c>
      <c r="V32" s="39">
        <v>-25.0</v>
      </c>
      <c r="W32" s="35" t="s">
        <v>28</v>
      </c>
      <c r="X32" s="36" t="s">
        <v>32</v>
      </c>
      <c r="Y32" s="1"/>
      <c r="Z32" s="36" t="s">
        <v>438</v>
      </c>
      <c r="AA32" s="54">
        <v>163.2</v>
      </c>
      <c r="AB32" s="39">
        <v>-25.0</v>
      </c>
      <c r="AC32" s="35" t="s">
        <v>28</v>
      </c>
      <c r="AD32" s="36" t="s">
        <v>32</v>
      </c>
      <c r="AE32" s="1"/>
      <c r="AF32" s="36" t="s">
        <v>439</v>
      </c>
      <c r="AG32" s="54">
        <v>160.03</v>
      </c>
      <c r="AH32" s="39">
        <v>-25.0</v>
      </c>
      <c r="AI32" s="35" t="s">
        <v>28</v>
      </c>
      <c r="AJ32" s="36" t="s">
        <v>32</v>
      </c>
      <c r="AK32" s="1"/>
      <c r="AL32" s="36" t="s">
        <v>440</v>
      </c>
      <c r="AM32" s="54">
        <v>80.0</v>
      </c>
      <c r="AN32" s="39">
        <v>-29.0</v>
      </c>
      <c r="AO32" s="35" t="s">
        <v>32</v>
      </c>
      <c r="AP32" s="36" t="s">
        <v>34</v>
      </c>
      <c r="AQ32" s="1"/>
      <c r="AR32" s="36" t="s">
        <v>441</v>
      </c>
      <c r="AS32" s="54">
        <v>160.87</v>
      </c>
      <c r="AT32" s="39">
        <v>-25.0</v>
      </c>
      <c r="AU32" s="35" t="s">
        <v>28</v>
      </c>
      <c r="AV32" s="36" t="s">
        <v>32</v>
      </c>
      <c r="AW32" s="1"/>
      <c r="AX32" s="36" t="s">
        <v>439</v>
      </c>
      <c r="AY32" s="54">
        <v>506.03</v>
      </c>
      <c r="AZ32" s="39">
        <v>-25.0</v>
      </c>
      <c r="BA32" s="35" t="s">
        <v>28</v>
      </c>
      <c r="BB32" s="36" t="s">
        <v>32</v>
      </c>
      <c r="BC32" s="1"/>
      <c r="BD32" s="36" t="s">
        <v>442</v>
      </c>
      <c r="BE32" s="54">
        <v>3746.0</v>
      </c>
      <c r="BF32" s="39">
        <v>1.0</v>
      </c>
      <c r="BG32" s="35" t="s">
        <v>32</v>
      </c>
      <c r="BH32" s="36" t="s">
        <v>32</v>
      </c>
      <c r="BI32" s="1"/>
      <c r="BJ32" s="36" t="s">
        <v>85</v>
      </c>
      <c r="BK32" s="59">
        <v>788.46</v>
      </c>
      <c r="BL32" s="39">
        <v>-25.0</v>
      </c>
      <c r="BM32" s="35" t="s">
        <v>28</v>
      </c>
      <c r="BN32" s="36" t="s">
        <v>32</v>
      </c>
      <c r="BO32" s="1"/>
      <c r="BP32" s="36" t="s">
        <v>443</v>
      </c>
      <c r="BQ32" s="54">
        <v>94.08</v>
      </c>
      <c r="BR32" s="39">
        <v>-25.0</v>
      </c>
      <c r="BS32" s="35" t="s">
        <v>28</v>
      </c>
      <c r="BT32" s="36" t="s">
        <v>32</v>
      </c>
      <c r="BU32" s="4"/>
    </row>
    <row r="33">
      <c r="A33" s="1"/>
      <c r="B33" s="36" t="s">
        <v>444</v>
      </c>
      <c r="C33" s="54">
        <v>50.0</v>
      </c>
      <c r="D33" s="39">
        <v>2.0</v>
      </c>
      <c r="E33" s="35" t="s">
        <v>32</v>
      </c>
      <c r="F33" s="36" t="s">
        <v>32</v>
      </c>
      <c r="G33" s="1"/>
      <c r="H33" s="36" t="s">
        <v>445</v>
      </c>
      <c r="I33" s="54">
        <v>150.0</v>
      </c>
      <c r="J33" s="39">
        <v>1.0</v>
      </c>
      <c r="K33" s="35" t="s">
        <v>32</v>
      </c>
      <c r="L33" s="36" t="s">
        <v>32</v>
      </c>
      <c r="M33" s="1"/>
      <c r="N33" s="36" t="s">
        <v>446</v>
      </c>
      <c r="O33" s="54">
        <v>1498.91</v>
      </c>
      <c r="P33" s="39">
        <v>1.0</v>
      </c>
      <c r="Q33" s="35" t="s">
        <v>32</v>
      </c>
      <c r="R33" s="36" t="s">
        <v>32</v>
      </c>
      <c r="S33" s="1"/>
      <c r="T33" s="36" t="s">
        <v>447</v>
      </c>
      <c r="U33" s="54">
        <v>100.0</v>
      </c>
      <c r="V33" s="39">
        <v>1.0</v>
      </c>
      <c r="W33" s="35" t="s">
        <v>32</v>
      </c>
      <c r="X33" s="36" t="s">
        <v>32</v>
      </c>
      <c r="Y33" s="1"/>
      <c r="Z33" s="36" t="s">
        <v>448</v>
      </c>
      <c r="AA33" s="54">
        <v>50.0</v>
      </c>
      <c r="AB33" s="39">
        <v>1.0</v>
      </c>
      <c r="AC33" s="35" t="s">
        <v>28</v>
      </c>
      <c r="AD33" s="36" t="s">
        <v>34</v>
      </c>
      <c r="AE33" s="1"/>
      <c r="AF33" s="36" t="s">
        <v>449</v>
      </c>
      <c r="AG33" s="54">
        <v>106.64</v>
      </c>
      <c r="AH33" s="39">
        <v>-25.0</v>
      </c>
      <c r="AI33" s="35" t="s">
        <v>28</v>
      </c>
      <c r="AJ33" s="36" t="s">
        <v>32</v>
      </c>
      <c r="AK33" s="1"/>
      <c r="AL33" s="36" t="s">
        <v>450</v>
      </c>
      <c r="AM33" s="54">
        <v>22.0</v>
      </c>
      <c r="AN33" s="39">
        <v>-29.0</v>
      </c>
      <c r="AO33" s="35" t="s">
        <v>28</v>
      </c>
      <c r="AP33" s="36" t="s">
        <v>34</v>
      </c>
      <c r="AQ33" s="1"/>
      <c r="AR33" s="36" t="s">
        <v>192</v>
      </c>
      <c r="AS33" s="54">
        <v>340.24</v>
      </c>
      <c r="AT33" s="39">
        <v>-25.0</v>
      </c>
      <c r="AU33" s="35" t="s">
        <v>28</v>
      </c>
      <c r="AV33" s="36" t="s">
        <v>32</v>
      </c>
      <c r="AW33" s="1"/>
      <c r="AX33" s="36" t="s">
        <v>92</v>
      </c>
      <c r="AY33" s="54">
        <v>20.0</v>
      </c>
      <c r="AZ33" s="39">
        <v>2.0</v>
      </c>
      <c r="BA33" s="35" t="s">
        <v>32</v>
      </c>
      <c r="BB33" s="36" t="s">
        <v>32</v>
      </c>
      <c r="BC33" s="1"/>
      <c r="BD33" s="36" t="s">
        <v>92</v>
      </c>
      <c r="BE33" s="54">
        <v>40.0</v>
      </c>
      <c r="BF33" s="39">
        <v>2.0</v>
      </c>
      <c r="BG33" s="35" t="s">
        <v>32</v>
      </c>
      <c r="BH33" s="36" t="s">
        <v>32</v>
      </c>
      <c r="BI33" s="1"/>
      <c r="BJ33" s="36" t="s">
        <v>451</v>
      </c>
      <c r="BK33" s="59">
        <v>474.75</v>
      </c>
      <c r="BL33" s="39">
        <v>-25.0</v>
      </c>
      <c r="BM33" s="35" t="s">
        <v>28</v>
      </c>
      <c r="BN33" s="36" t="s">
        <v>32</v>
      </c>
      <c r="BO33" s="1"/>
      <c r="BP33" s="36" t="s">
        <v>116</v>
      </c>
      <c r="BQ33" s="54">
        <v>100.0</v>
      </c>
      <c r="BR33" s="39">
        <v>2.0</v>
      </c>
      <c r="BS33" s="35" t="s">
        <v>32</v>
      </c>
      <c r="BT33" s="36" t="s">
        <v>32</v>
      </c>
      <c r="BU33" s="4"/>
    </row>
    <row r="34">
      <c r="A34" s="1"/>
      <c r="B34" s="36" t="s">
        <v>89</v>
      </c>
      <c r="C34" s="54">
        <v>90.0</v>
      </c>
      <c r="D34" s="39">
        <v>2.0</v>
      </c>
      <c r="E34" s="35" t="s">
        <v>32</v>
      </c>
      <c r="F34" s="36" t="s">
        <v>32</v>
      </c>
      <c r="G34" s="1"/>
      <c r="H34" s="36" t="s">
        <v>210</v>
      </c>
      <c r="I34" s="54">
        <v>10.0</v>
      </c>
      <c r="J34" s="39">
        <v>2.0</v>
      </c>
      <c r="K34" s="35" t="s">
        <v>28</v>
      </c>
      <c r="L34" s="36" t="s">
        <v>32</v>
      </c>
      <c r="M34" s="1"/>
      <c r="N34" s="36" t="s">
        <v>452</v>
      </c>
      <c r="O34" s="54">
        <v>20.0</v>
      </c>
      <c r="P34" s="39">
        <v>4.0</v>
      </c>
      <c r="Q34" s="35" t="s">
        <v>28</v>
      </c>
      <c r="R34" s="36" t="s">
        <v>32</v>
      </c>
      <c r="S34" s="1"/>
      <c r="T34" s="36" t="s">
        <v>210</v>
      </c>
      <c r="U34" s="54">
        <v>12.0</v>
      </c>
      <c r="V34" s="39">
        <v>3.0</v>
      </c>
      <c r="W34" s="35" t="s">
        <v>28</v>
      </c>
      <c r="X34" s="36" t="s">
        <v>32</v>
      </c>
      <c r="Y34" s="1"/>
      <c r="Z34" s="36" t="s">
        <v>453</v>
      </c>
      <c r="AA34" s="54">
        <v>50.0</v>
      </c>
      <c r="AB34" s="39">
        <v>1.0</v>
      </c>
      <c r="AC34" s="35" t="s">
        <v>28</v>
      </c>
      <c r="AD34" s="36" t="s">
        <v>34</v>
      </c>
      <c r="AE34" s="1"/>
      <c r="AF34" s="36" t="s">
        <v>92</v>
      </c>
      <c r="AG34" s="54">
        <v>40.0</v>
      </c>
      <c r="AH34" s="39">
        <v>3.0</v>
      </c>
      <c r="AI34" s="35" t="s">
        <v>32</v>
      </c>
      <c r="AJ34" s="36" t="s">
        <v>32</v>
      </c>
      <c r="AK34" s="1"/>
      <c r="AL34" s="36" t="s">
        <v>454</v>
      </c>
      <c r="AM34" s="54">
        <v>330.0</v>
      </c>
      <c r="AN34" s="39">
        <v>-28.0</v>
      </c>
      <c r="AO34" s="35" t="s">
        <v>28</v>
      </c>
      <c r="AP34" s="36" t="s">
        <v>34</v>
      </c>
      <c r="AQ34" s="1"/>
      <c r="AR34" s="36" t="s">
        <v>109</v>
      </c>
      <c r="AS34" s="54">
        <v>198.0</v>
      </c>
      <c r="AT34" s="39">
        <v>2.0</v>
      </c>
      <c r="AU34" s="35" t="s">
        <v>28</v>
      </c>
      <c r="AV34" s="36" t="s">
        <v>34</v>
      </c>
      <c r="AW34" s="1"/>
      <c r="AX34" s="36" t="s">
        <v>92</v>
      </c>
      <c r="AY34" s="54">
        <v>50.0</v>
      </c>
      <c r="AZ34" s="39">
        <v>2.0</v>
      </c>
      <c r="BA34" s="35" t="s">
        <v>32</v>
      </c>
      <c r="BB34" s="36" t="s">
        <v>32</v>
      </c>
      <c r="BC34" s="1"/>
      <c r="BD34" s="36" t="s">
        <v>92</v>
      </c>
      <c r="BE34" s="54">
        <v>100.0</v>
      </c>
      <c r="BF34" s="39">
        <v>2.0</v>
      </c>
      <c r="BG34" s="35" t="s">
        <v>28</v>
      </c>
      <c r="BH34" s="36" t="s">
        <v>32</v>
      </c>
      <c r="BI34" s="1"/>
      <c r="BJ34" s="36" t="s">
        <v>93</v>
      </c>
      <c r="BK34" s="59">
        <v>300.0</v>
      </c>
      <c r="BL34" s="39">
        <v>1.0</v>
      </c>
      <c r="BM34" s="35" t="s">
        <v>28</v>
      </c>
      <c r="BN34" s="36" t="s">
        <v>32</v>
      </c>
      <c r="BO34" s="1"/>
      <c r="BP34" s="36" t="s">
        <v>455</v>
      </c>
      <c r="BQ34" s="54">
        <v>30.0</v>
      </c>
      <c r="BR34" s="39">
        <v>3.0</v>
      </c>
      <c r="BS34" s="35" t="s">
        <v>32</v>
      </c>
      <c r="BT34" s="36" t="s">
        <v>32</v>
      </c>
      <c r="BU34" s="4"/>
    </row>
    <row r="35">
      <c r="A35" s="1"/>
      <c r="B35" s="36" t="s">
        <v>456</v>
      </c>
      <c r="C35" s="54">
        <v>134.0</v>
      </c>
      <c r="D35" s="39">
        <v>2.0</v>
      </c>
      <c r="E35" s="35" t="s">
        <v>28</v>
      </c>
      <c r="F35" s="36" t="s">
        <v>32</v>
      </c>
      <c r="G35" s="1"/>
      <c r="H35" s="36" t="s">
        <v>457</v>
      </c>
      <c r="I35" s="54">
        <v>400.0</v>
      </c>
      <c r="J35" s="39">
        <v>2.0</v>
      </c>
      <c r="K35" s="35" t="s">
        <v>32</v>
      </c>
      <c r="L35" s="36" t="s">
        <v>32</v>
      </c>
      <c r="M35" s="1"/>
      <c r="N35" s="36" t="s">
        <v>89</v>
      </c>
      <c r="O35" s="54">
        <v>100.0</v>
      </c>
      <c r="P35" s="39">
        <v>4.0</v>
      </c>
      <c r="Q35" s="35" t="s">
        <v>28</v>
      </c>
      <c r="R35" s="36" t="s">
        <v>32</v>
      </c>
      <c r="S35" s="1"/>
      <c r="T35" s="36" t="s">
        <v>458</v>
      </c>
      <c r="U35" s="54">
        <v>120.0</v>
      </c>
      <c r="V35" s="39">
        <v>3.0</v>
      </c>
      <c r="W35" s="35" t="s">
        <v>28</v>
      </c>
      <c r="X35" s="36" t="s">
        <v>34</v>
      </c>
      <c r="Y35" s="1"/>
      <c r="Z35" s="36" t="s">
        <v>459</v>
      </c>
      <c r="AA35" s="54">
        <v>20.0</v>
      </c>
      <c r="AB35" s="39">
        <v>2.0</v>
      </c>
      <c r="AC35" s="35" t="s">
        <v>32</v>
      </c>
      <c r="AD35" s="36" t="s">
        <v>32</v>
      </c>
      <c r="AE35" s="1"/>
      <c r="AF35" s="36" t="s">
        <v>210</v>
      </c>
      <c r="AG35" s="54">
        <v>25.0</v>
      </c>
      <c r="AH35" s="39">
        <v>3.0</v>
      </c>
      <c r="AI35" s="35" t="s">
        <v>28</v>
      </c>
      <c r="AJ35" s="36" t="s">
        <v>32</v>
      </c>
      <c r="AK35" s="1"/>
      <c r="AL35" s="36" t="s">
        <v>460</v>
      </c>
      <c r="AM35" s="54">
        <v>45.0</v>
      </c>
      <c r="AN35" s="39">
        <v>-27.0</v>
      </c>
      <c r="AO35" s="35" t="s">
        <v>32</v>
      </c>
      <c r="AP35" s="36" t="s">
        <v>34</v>
      </c>
      <c r="AQ35" s="1"/>
      <c r="AR35" s="36" t="s">
        <v>461</v>
      </c>
      <c r="AS35" s="54">
        <v>80.0</v>
      </c>
      <c r="AT35" s="39">
        <v>3.0</v>
      </c>
      <c r="AU35" s="35" t="s">
        <v>28</v>
      </c>
      <c r="AV35" s="36" t="s">
        <v>34</v>
      </c>
      <c r="AW35" s="1"/>
      <c r="AX35" s="36" t="s">
        <v>92</v>
      </c>
      <c r="AY35" s="54">
        <v>10.0</v>
      </c>
      <c r="AZ35" s="39">
        <v>2.0</v>
      </c>
      <c r="BA35" s="35" t="s">
        <v>32</v>
      </c>
      <c r="BB35" s="36" t="s">
        <v>32</v>
      </c>
      <c r="BC35" s="1"/>
      <c r="BD35" s="36" t="s">
        <v>235</v>
      </c>
      <c r="BE35" s="54">
        <v>30.0</v>
      </c>
      <c r="BF35" s="39">
        <v>5.0</v>
      </c>
      <c r="BG35" s="35" t="s">
        <v>28</v>
      </c>
      <c r="BH35" s="36" t="s">
        <v>32</v>
      </c>
      <c r="BI35" s="1"/>
      <c r="BJ35" s="36" t="s">
        <v>91</v>
      </c>
      <c r="BK35" s="59">
        <v>50.0</v>
      </c>
      <c r="BL35" s="39">
        <v>1.0</v>
      </c>
      <c r="BM35" s="35" t="s">
        <v>28</v>
      </c>
      <c r="BN35" s="36" t="s">
        <v>32</v>
      </c>
      <c r="BO35" s="1"/>
      <c r="BP35" s="36" t="s">
        <v>462</v>
      </c>
      <c r="BQ35" s="54">
        <v>129.0</v>
      </c>
      <c r="BR35" s="39">
        <v>9.0</v>
      </c>
      <c r="BS35" s="35" t="s">
        <v>32</v>
      </c>
      <c r="BT35" s="36" t="s">
        <v>32</v>
      </c>
      <c r="BU35" s="4"/>
    </row>
    <row r="36">
      <c r="A36" s="1"/>
      <c r="B36" s="36" t="s">
        <v>463</v>
      </c>
      <c r="C36" s="54">
        <v>1060.0</v>
      </c>
      <c r="D36" s="39">
        <v>3.0</v>
      </c>
      <c r="E36" s="35" t="s">
        <v>28</v>
      </c>
      <c r="F36" s="36" t="s">
        <v>34</v>
      </c>
      <c r="G36" s="1"/>
      <c r="H36" s="36" t="s">
        <v>100</v>
      </c>
      <c r="I36" s="54">
        <v>100.0</v>
      </c>
      <c r="J36" s="39">
        <v>4.0</v>
      </c>
      <c r="K36" s="35" t="s">
        <v>32</v>
      </c>
      <c r="L36" s="36" t="s">
        <v>32</v>
      </c>
      <c r="M36" s="1"/>
      <c r="N36" s="61" t="s">
        <v>110</v>
      </c>
      <c r="O36" s="54">
        <v>20.0</v>
      </c>
      <c r="P36" s="39">
        <v>5.0</v>
      </c>
      <c r="Q36" s="35" t="s">
        <v>28</v>
      </c>
      <c r="R36" s="36" t="s">
        <v>32</v>
      </c>
      <c r="S36" s="1"/>
      <c r="T36" s="36" t="s">
        <v>210</v>
      </c>
      <c r="U36" s="54">
        <v>12.6</v>
      </c>
      <c r="V36" s="39">
        <v>4.0</v>
      </c>
      <c r="W36" s="35" t="s">
        <v>28</v>
      </c>
      <c r="X36" s="36" t="s">
        <v>32</v>
      </c>
      <c r="Y36" s="1"/>
      <c r="Z36" s="36" t="s">
        <v>464</v>
      </c>
      <c r="AA36" s="54">
        <v>1500.0</v>
      </c>
      <c r="AB36" s="39">
        <v>2.0</v>
      </c>
      <c r="AC36" s="35" t="s">
        <v>28</v>
      </c>
      <c r="AD36" s="36" t="s">
        <v>32</v>
      </c>
      <c r="AE36" s="1"/>
      <c r="AF36" s="36" t="s">
        <v>234</v>
      </c>
      <c r="AG36" s="54">
        <v>25.0</v>
      </c>
      <c r="AH36" s="39">
        <v>3.0</v>
      </c>
      <c r="AI36" s="35" t="s">
        <v>32</v>
      </c>
      <c r="AJ36" s="36" t="s">
        <v>32</v>
      </c>
      <c r="AK36" s="1"/>
      <c r="AL36" s="36" t="s">
        <v>465</v>
      </c>
      <c r="AM36" s="54">
        <v>100.0</v>
      </c>
      <c r="AN36" s="39">
        <v>-26.0</v>
      </c>
      <c r="AO36" s="35" t="s">
        <v>28</v>
      </c>
      <c r="AP36" s="36" t="s">
        <v>34</v>
      </c>
      <c r="AQ36" s="1"/>
      <c r="AR36" s="36" t="s">
        <v>191</v>
      </c>
      <c r="AS36" s="54">
        <v>20.0</v>
      </c>
      <c r="AT36" s="39">
        <v>5.0</v>
      </c>
      <c r="AU36" s="35" t="s">
        <v>28</v>
      </c>
      <c r="AV36" s="36" t="s">
        <v>32</v>
      </c>
      <c r="AW36" s="1"/>
      <c r="AX36" s="36" t="s">
        <v>466</v>
      </c>
      <c r="AY36" s="54">
        <v>70.0</v>
      </c>
      <c r="AZ36" s="39">
        <v>2.0</v>
      </c>
      <c r="BA36" s="35" t="s">
        <v>28</v>
      </c>
      <c r="BB36" s="36" t="s">
        <v>32</v>
      </c>
      <c r="BC36" s="1"/>
      <c r="BD36" s="36" t="s">
        <v>467</v>
      </c>
      <c r="BE36" s="54">
        <v>25.5</v>
      </c>
      <c r="BF36" s="39">
        <v>5.0</v>
      </c>
      <c r="BG36" s="35" t="s">
        <v>28</v>
      </c>
      <c r="BH36" s="36" t="s">
        <v>34</v>
      </c>
      <c r="BI36" s="1"/>
      <c r="BJ36" s="36" t="s">
        <v>100</v>
      </c>
      <c r="BK36" s="59">
        <v>100.0</v>
      </c>
      <c r="BL36" s="39">
        <v>4.0</v>
      </c>
      <c r="BM36" s="35" t="s">
        <v>32</v>
      </c>
      <c r="BN36" s="36" t="s">
        <v>32</v>
      </c>
      <c r="BO36" s="1"/>
      <c r="BP36" s="36" t="s">
        <v>468</v>
      </c>
      <c r="BQ36" s="54">
        <v>400.0</v>
      </c>
      <c r="BR36" s="39">
        <v>9.0</v>
      </c>
      <c r="BS36" s="35" t="s">
        <v>32</v>
      </c>
      <c r="BT36" s="36" t="s">
        <v>32</v>
      </c>
      <c r="BU36" s="4"/>
    </row>
    <row r="37">
      <c r="A37" s="1"/>
      <c r="B37" s="36" t="s">
        <v>469</v>
      </c>
      <c r="C37" s="54">
        <v>36.0</v>
      </c>
      <c r="D37" s="39">
        <v>3.0</v>
      </c>
      <c r="E37" s="35" t="s">
        <v>28</v>
      </c>
      <c r="F37" s="36" t="s">
        <v>34</v>
      </c>
      <c r="G37" s="1"/>
      <c r="H37" s="36" t="s">
        <v>470</v>
      </c>
      <c r="I37" s="54">
        <v>45.0</v>
      </c>
      <c r="J37" s="39">
        <v>5.0</v>
      </c>
      <c r="K37" s="35" t="s">
        <v>28</v>
      </c>
      <c r="L37" s="36" t="s">
        <v>32</v>
      </c>
      <c r="M37" s="1"/>
      <c r="N37" s="36" t="s">
        <v>92</v>
      </c>
      <c r="O37" s="54">
        <v>10.0</v>
      </c>
      <c r="P37" s="39">
        <v>5.0</v>
      </c>
      <c r="Q37" s="35" t="s">
        <v>32</v>
      </c>
      <c r="R37" s="36" t="s">
        <v>32</v>
      </c>
      <c r="S37" s="1"/>
      <c r="T37" s="36" t="s">
        <v>210</v>
      </c>
      <c r="U37" s="54">
        <v>60.0</v>
      </c>
      <c r="V37" s="39">
        <v>4.0</v>
      </c>
      <c r="W37" s="35" t="s">
        <v>28</v>
      </c>
      <c r="X37" s="36" t="s">
        <v>32</v>
      </c>
      <c r="Y37" s="1"/>
      <c r="Z37" s="36" t="s">
        <v>471</v>
      </c>
      <c r="AA37" s="54">
        <v>2300.0</v>
      </c>
      <c r="AB37" s="39">
        <v>2.0</v>
      </c>
      <c r="AC37" s="35" t="s">
        <v>28</v>
      </c>
      <c r="AD37" s="36" t="s">
        <v>34</v>
      </c>
      <c r="AE37" s="1"/>
      <c r="AF37" s="36" t="s">
        <v>472</v>
      </c>
      <c r="AG37" s="54">
        <v>900.0</v>
      </c>
      <c r="AH37" s="39">
        <v>3.0</v>
      </c>
      <c r="AI37" s="35" t="s">
        <v>32</v>
      </c>
      <c r="AJ37" s="36" t="s">
        <v>32</v>
      </c>
      <c r="AK37" s="1"/>
      <c r="AL37" s="36" t="s">
        <v>85</v>
      </c>
      <c r="AM37" s="54">
        <v>939.58</v>
      </c>
      <c r="AN37" s="39">
        <v>-25.0</v>
      </c>
      <c r="AO37" s="35" t="s">
        <v>28</v>
      </c>
      <c r="AP37" s="36" t="s">
        <v>32</v>
      </c>
      <c r="AQ37" s="1"/>
      <c r="AR37" s="36" t="s">
        <v>93</v>
      </c>
      <c r="AS37" s="54">
        <v>300.0</v>
      </c>
      <c r="AT37" s="39">
        <v>5.0</v>
      </c>
      <c r="AU37" s="35" t="s">
        <v>28</v>
      </c>
      <c r="AV37" s="36" t="s">
        <v>32</v>
      </c>
      <c r="AW37" s="1"/>
      <c r="AX37" s="36" t="s">
        <v>210</v>
      </c>
      <c r="AY37" s="54">
        <v>300.0</v>
      </c>
      <c r="AZ37" s="39">
        <v>2.0</v>
      </c>
      <c r="BA37" s="35" t="s">
        <v>28</v>
      </c>
      <c r="BB37" s="36" t="s">
        <v>32</v>
      </c>
      <c r="BC37" s="1"/>
      <c r="BD37" s="36" t="s">
        <v>91</v>
      </c>
      <c r="BE37" s="54">
        <v>50.0</v>
      </c>
      <c r="BF37" s="39">
        <v>8.0</v>
      </c>
      <c r="BG37" s="35" t="s">
        <v>28</v>
      </c>
      <c r="BH37" s="36" t="s">
        <v>32</v>
      </c>
      <c r="BI37" s="1"/>
      <c r="BJ37" s="36" t="s">
        <v>92</v>
      </c>
      <c r="BK37" s="59">
        <v>12.0</v>
      </c>
      <c r="BL37" s="39">
        <v>7.0</v>
      </c>
      <c r="BM37" s="35" t="s">
        <v>32</v>
      </c>
      <c r="BN37" s="36" t="s">
        <v>32</v>
      </c>
      <c r="BO37" s="1"/>
      <c r="BP37" s="36" t="s">
        <v>210</v>
      </c>
      <c r="BQ37" s="54">
        <v>40.0</v>
      </c>
      <c r="BR37" s="39">
        <v>9.0</v>
      </c>
      <c r="BS37" s="35" t="s">
        <v>28</v>
      </c>
      <c r="BT37" s="36" t="s">
        <v>32</v>
      </c>
      <c r="BU37" s="4"/>
    </row>
    <row r="38">
      <c r="A38" s="1"/>
      <c r="B38" s="36" t="s">
        <v>92</v>
      </c>
      <c r="C38" s="54">
        <v>20.0</v>
      </c>
      <c r="D38" s="39">
        <v>4.0</v>
      </c>
      <c r="E38" s="35" t="s">
        <v>32</v>
      </c>
      <c r="F38" s="36" t="s">
        <v>32</v>
      </c>
      <c r="G38" s="1"/>
      <c r="H38" s="36" t="s">
        <v>473</v>
      </c>
      <c r="I38" s="54">
        <v>5.0</v>
      </c>
      <c r="J38" s="39">
        <v>5.0</v>
      </c>
      <c r="K38" s="35" t="s">
        <v>28</v>
      </c>
      <c r="L38" s="36" t="s">
        <v>32</v>
      </c>
      <c r="M38" s="1"/>
      <c r="N38" s="36" t="s">
        <v>474</v>
      </c>
      <c r="O38" s="54">
        <v>13.2</v>
      </c>
      <c r="P38" s="39">
        <v>7.0</v>
      </c>
      <c r="Q38" s="35" t="s">
        <v>28</v>
      </c>
      <c r="R38" s="36" t="s">
        <v>32</v>
      </c>
      <c r="S38" s="1"/>
      <c r="T38" s="36" t="s">
        <v>337</v>
      </c>
      <c r="U38" s="54">
        <v>30.0</v>
      </c>
      <c r="V38" s="39">
        <v>8.0</v>
      </c>
      <c r="W38" s="35" t="s">
        <v>28</v>
      </c>
      <c r="X38" s="36" t="s">
        <v>32</v>
      </c>
      <c r="Y38" s="1"/>
      <c r="Z38" s="36" t="s">
        <v>109</v>
      </c>
      <c r="AA38" s="54">
        <v>189.0</v>
      </c>
      <c r="AB38" s="39">
        <v>3.0</v>
      </c>
      <c r="AC38" s="35" t="s">
        <v>28</v>
      </c>
      <c r="AD38" s="36" t="s">
        <v>34</v>
      </c>
      <c r="AE38" s="1"/>
      <c r="AF38" s="36" t="s">
        <v>475</v>
      </c>
      <c r="AG38" s="54">
        <v>58.0</v>
      </c>
      <c r="AH38" s="39">
        <v>5.0</v>
      </c>
      <c r="AI38" s="35" t="s">
        <v>32</v>
      </c>
      <c r="AJ38" s="36" t="s">
        <v>34</v>
      </c>
      <c r="AK38" s="1"/>
      <c r="AL38" s="36" t="s">
        <v>439</v>
      </c>
      <c r="AM38" s="54">
        <v>305.5</v>
      </c>
      <c r="AN38" s="39">
        <v>-25.0</v>
      </c>
      <c r="AO38" s="35" t="s">
        <v>28</v>
      </c>
      <c r="AP38" s="36" t="s">
        <v>32</v>
      </c>
      <c r="AQ38" s="1"/>
      <c r="AR38" s="36" t="s">
        <v>100</v>
      </c>
      <c r="AS38" s="54">
        <v>100.0</v>
      </c>
      <c r="AT38" s="39">
        <v>5.0</v>
      </c>
      <c r="AU38" s="35" t="s">
        <v>32</v>
      </c>
      <c r="AV38" s="36" t="s">
        <v>32</v>
      </c>
      <c r="AW38" s="1"/>
      <c r="AX38" s="36" t="s">
        <v>100</v>
      </c>
      <c r="AY38" s="54">
        <v>100.0</v>
      </c>
      <c r="AZ38" s="39">
        <v>2.0</v>
      </c>
      <c r="BA38" s="35" t="s">
        <v>32</v>
      </c>
      <c r="BB38" s="36" t="s">
        <v>32</v>
      </c>
      <c r="BC38" s="1"/>
      <c r="BD38" s="36" t="s">
        <v>91</v>
      </c>
      <c r="BE38" s="54">
        <v>50.0</v>
      </c>
      <c r="BF38" s="39">
        <v>8.0</v>
      </c>
      <c r="BG38" s="35" t="s">
        <v>28</v>
      </c>
      <c r="BH38" s="36" t="s">
        <v>34</v>
      </c>
      <c r="BI38" s="1"/>
      <c r="BJ38" s="36" t="s">
        <v>218</v>
      </c>
      <c r="BK38" s="59">
        <v>30.0</v>
      </c>
      <c r="BL38" s="39">
        <v>7.0</v>
      </c>
      <c r="BM38" s="35" t="s">
        <v>32</v>
      </c>
      <c r="BN38" s="36" t="s">
        <v>32</v>
      </c>
      <c r="BO38" s="1"/>
      <c r="BP38" s="36" t="s">
        <v>476</v>
      </c>
      <c r="BQ38" s="54">
        <v>80.0</v>
      </c>
      <c r="BR38" s="39">
        <v>9.0</v>
      </c>
      <c r="BS38" s="35" t="s">
        <v>32</v>
      </c>
      <c r="BT38" s="36" t="s">
        <v>32</v>
      </c>
      <c r="BU38" s="4"/>
    </row>
    <row r="39">
      <c r="A39" s="1"/>
      <c r="B39" s="61" t="s">
        <v>92</v>
      </c>
      <c r="C39" s="54">
        <v>10.0</v>
      </c>
      <c r="D39" s="39">
        <v>4.0</v>
      </c>
      <c r="E39" s="35" t="s">
        <v>32</v>
      </c>
      <c r="F39" s="36" t="s">
        <v>32</v>
      </c>
      <c r="G39" s="1"/>
      <c r="H39" s="36" t="s">
        <v>92</v>
      </c>
      <c r="I39" s="54">
        <v>40.0</v>
      </c>
      <c r="J39" s="39">
        <v>5.0</v>
      </c>
      <c r="K39" s="35" t="s">
        <v>32</v>
      </c>
      <c r="L39" s="36" t="s">
        <v>32</v>
      </c>
      <c r="M39" s="1"/>
      <c r="N39" s="36" t="s">
        <v>110</v>
      </c>
      <c r="O39" s="54">
        <v>20.0</v>
      </c>
      <c r="P39" s="39">
        <v>7.0</v>
      </c>
      <c r="Q39" s="35" t="s">
        <v>28</v>
      </c>
      <c r="R39" s="36" t="s">
        <v>32</v>
      </c>
      <c r="S39" s="1"/>
      <c r="T39" s="36" t="s">
        <v>92</v>
      </c>
      <c r="U39" s="54">
        <v>10.0</v>
      </c>
      <c r="V39" s="39">
        <v>8.0</v>
      </c>
      <c r="W39" s="35" t="s">
        <v>32</v>
      </c>
      <c r="X39" s="36" t="s">
        <v>32</v>
      </c>
      <c r="Y39" s="1"/>
      <c r="Z39" s="36" t="s">
        <v>448</v>
      </c>
      <c r="AA39" s="54">
        <v>50.0</v>
      </c>
      <c r="AB39" s="39">
        <v>6.0</v>
      </c>
      <c r="AC39" s="35" t="s">
        <v>28</v>
      </c>
      <c r="AD39" s="36" t="s">
        <v>34</v>
      </c>
      <c r="AE39" s="1"/>
      <c r="AF39" s="36" t="s">
        <v>477</v>
      </c>
      <c r="AG39" s="54">
        <v>50.0</v>
      </c>
      <c r="AH39" s="39">
        <v>5.0</v>
      </c>
      <c r="AI39" s="35" t="s">
        <v>28</v>
      </c>
      <c r="AJ39" s="36" t="s">
        <v>34</v>
      </c>
      <c r="AK39" s="1"/>
      <c r="AL39" s="36" t="s">
        <v>192</v>
      </c>
      <c r="AM39" s="54">
        <v>79.42</v>
      </c>
      <c r="AN39" s="39">
        <v>-25.0</v>
      </c>
      <c r="AO39" s="35" t="s">
        <v>28</v>
      </c>
      <c r="AP39" s="36" t="s">
        <v>32</v>
      </c>
      <c r="AQ39" s="1"/>
      <c r="AR39" s="36" t="s">
        <v>92</v>
      </c>
      <c r="AS39" s="54">
        <v>120.0</v>
      </c>
      <c r="AT39" s="39">
        <v>5.0</v>
      </c>
      <c r="AU39" s="35" t="s">
        <v>32</v>
      </c>
      <c r="AV39" s="36" t="s">
        <v>32</v>
      </c>
      <c r="AW39" s="1"/>
      <c r="AX39" s="36" t="s">
        <v>109</v>
      </c>
      <c r="AY39" s="54">
        <v>189.0</v>
      </c>
      <c r="AZ39" s="39">
        <v>2.0</v>
      </c>
      <c r="BA39" s="35" t="s">
        <v>28</v>
      </c>
      <c r="BB39" s="36" t="s">
        <v>34</v>
      </c>
      <c r="BC39" s="1"/>
      <c r="BD39" s="36" t="s">
        <v>310</v>
      </c>
      <c r="BE39" s="54">
        <v>29.0</v>
      </c>
      <c r="BF39" s="39">
        <v>8.0</v>
      </c>
      <c r="BG39" s="35" t="s">
        <v>28</v>
      </c>
      <c r="BH39" s="36" t="s">
        <v>34</v>
      </c>
      <c r="BI39" s="1"/>
      <c r="BJ39" s="36" t="s">
        <v>92</v>
      </c>
      <c r="BK39" s="59">
        <v>10.0</v>
      </c>
      <c r="BL39" s="39">
        <v>7.0</v>
      </c>
      <c r="BM39" s="35" t="s">
        <v>32</v>
      </c>
      <c r="BN39" s="36" t="s">
        <v>32</v>
      </c>
      <c r="BO39" s="1"/>
      <c r="BP39" s="36" t="s">
        <v>220</v>
      </c>
      <c r="BQ39" s="54">
        <v>18964.38</v>
      </c>
      <c r="BR39" s="39">
        <v>10.0</v>
      </c>
      <c r="BS39" s="35" t="s">
        <v>28</v>
      </c>
      <c r="BT39" s="36" t="s">
        <v>32</v>
      </c>
      <c r="BU39" s="4"/>
    </row>
    <row r="40">
      <c r="A40" s="1"/>
      <c r="B40" s="36" t="s">
        <v>478</v>
      </c>
      <c r="C40" s="54">
        <v>150.0</v>
      </c>
      <c r="D40" s="39">
        <v>4.0</v>
      </c>
      <c r="E40" s="35" t="s">
        <v>32</v>
      </c>
      <c r="F40" s="36" t="s">
        <v>32</v>
      </c>
      <c r="G40" s="1"/>
      <c r="H40" s="36" t="s">
        <v>479</v>
      </c>
      <c r="I40" s="54">
        <v>120.0</v>
      </c>
      <c r="J40" s="39">
        <v>5.0</v>
      </c>
      <c r="K40" s="35" t="s">
        <v>32</v>
      </c>
      <c r="L40" s="36" t="s">
        <v>32</v>
      </c>
      <c r="M40" s="1"/>
      <c r="N40" s="36" t="s">
        <v>480</v>
      </c>
      <c r="O40" s="54">
        <v>15.0</v>
      </c>
      <c r="P40" s="39">
        <v>7.0</v>
      </c>
      <c r="Q40" s="35" t="s">
        <v>28</v>
      </c>
      <c r="R40" s="36" t="s">
        <v>32</v>
      </c>
      <c r="S40" s="1"/>
      <c r="T40" s="36" t="s">
        <v>210</v>
      </c>
      <c r="U40" s="54">
        <v>14.9</v>
      </c>
      <c r="V40" s="39">
        <v>9.0</v>
      </c>
      <c r="W40" s="35" t="s">
        <v>28</v>
      </c>
      <c r="X40" s="36" t="s">
        <v>32</v>
      </c>
      <c r="Y40" s="1"/>
      <c r="Z40" s="36" t="s">
        <v>481</v>
      </c>
      <c r="AA40" s="54">
        <v>1300.0</v>
      </c>
      <c r="AB40" s="39">
        <v>7.0</v>
      </c>
      <c r="AC40" s="35" t="s">
        <v>32</v>
      </c>
      <c r="AD40" s="36" t="s">
        <v>32</v>
      </c>
      <c r="AE40" s="1"/>
      <c r="AF40" s="36" t="s">
        <v>109</v>
      </c>
      <c r="AG40" s="54">
        <v>72.0</v>
      </c>
      <c r="AH40" s="39">
        <v>5.0</v>
      </c>
      <c r="AI40" s="35" t="s">
        <v>28</v>
      </c>
      <c r="AJ40" s="36" t="s">
        <v>34</v>
      </c>
      <c r="AK40" s="1"/>
      <c r="AL40" s="36" t="s">
        <v>482</v>
      </c>
      <c r="AM40" s="54">
        <v>40.0</v>
      </c>
      <c r="AN40" s="39">
        <v>-25.0</v>
      </c>
      <c r="AO40" s="35" t="s">
        <v>28</v>
      </c>
      <c r="AP40" s="36" t="s">
        <v>34</v>
      </c>
      <c r="AQ40" s="1"/>
      <c r="AR40" s="36" t="s">
        <v>483</v>
      </c>
      <c r="AS40" s="54">
        <v>201.41</v>
      </c>
      <c r="AT40" s="39">
        <v>5.0</v>
      </c>
      <c r="AU40" s="35" t="s">
        <v>32</v>
      </c>
      <c r="AV40" s="36" t="s">
        <v>32</v>
      </c>
      <c r="AW40" s="1"/>
      <c r="AX40" s="36" t="s">
        <v>484</v>
      </c>
      <c r="AY40" s="54">
        <v>150.0</v>
      </c>
      <c r="AZ40" s="39">
        <v>2.0</v>
      </c>
      <c r="BA40" s="35" t="s">
        <v>28</v>
      </c>
      <c r="BB40" s="36" t="s">
        <v>34</v>
      </c>
      <c r="BC40" s="1"/>
      <c r="BD40" s="36" t="s">
        <v>218</v>
      </c>
      <c r="BE40" s="54">
        <v>30.0</v>
      </c>
      <c r="BF40" s="39">
        <v>10.0</v>
      </c>
      <c r="BG40" s="35" t="s">
        <v>32</v>
      </c>
      <c r="BH40" s="36" t="s">
        <v>32</v>
      </c>
      <c r="BI40" s="1"/>
      <c r="BJ40" s="36" t="s">
        <v>485</v>
      </c>
      <c r="BK40" s="59">
        <v>80.0</v>
      </c>
      <c r="BL40" s="39">
        <v>8.0</v>
      </c>
      <c r="BM40" s="35" t="s">
        <v>32</v>
      </c>
      <c r="BN40" s="36" t="s">
        <v>32</v>
      </c>
      <c r="BO40" s="1"/>
      <c r="BP40" s="36" t="s">
        <v>226</v>
      </c>
      <c r="BQ40" s="54">
        <v>6358.34</v>
      </c>
      <c r="BR40" s="39">
        <v>10.0</v>
      </c>
      <c r="BS40" s="35" t="s">
        <v>32</v>
      </c>
      <c r="BT40" s="36" t="s">
        <v>32</v>
      </c>
      <c r="BU40" s="4"/>
    </row>
    <row r="41">
      <c r="A41" s="1"/>
      <c r="B41" s="36" t="s">
        <v>486</v>
      </c>
      <c r="C41" s="54">
        <v>82.0</v>
      </c>
      <c r="D41" s="39">
        <v>4.0</v>
      </c>
      <c r="E41" s="35" t="s">
        <v>28</v>
      </c>
      <c r="F41" s="36" t="s">
        <v>34</v>
      </c>
      <c r="G41" s="1"/>
      <c r="H41" s="36" t="s">
        <v>210</v>
      </c>
      <c r="I41" s="54">
        <v>20.0</v>
      </c>
      <c r="J41" s="39">
        <v>6.0</v>
      </c>
      <c r="K41" s="35" t="s">
        <v>28</v>
      </c>
      <c r="L41" s="36" t="s">
        <v>32</v>
      </c>
      <c r="M41" s="1"/>
      <c r="N41" s="36" t="s">
        <v>487</v>
      </c>
      <c r="O41" s="54">
        <v>400.0</v>
      </c>
      <c r="P41" s="39">
        <v>7.0</v>
      </c>
      <c r="Q41" s="35" t="s">
        <v>32</v>
      </c>
      <c r="R41" s="36" t="s">
        <v>32</v>
      </c>
      <c r="S41" s="1"/>
      <c r="T41" s="36" t="s">
        <v>488</v>
      </c>
      <c r="U41" s="54">
        <v>355.49</v>
      </c>
      <c r="V41" s="39">
        <v>9.0</v>
      </c>
      <c r="W41" s="35" t="s">
        <v>32</v>
      </c>
      <c r="X41" s="36" t="s">
        <v>32</v>
      </c>
      <c r="Y41" s="1"/>
      <c r="Z41" s="36" t="s">
        <v>191</v>
      </c>
      <c r="AA41" s="54">
        <v>20.0</v>
      </c>
      <c r="AB41" s="39">
        <v>9.0</v>
      </c>
      <c r="AC41" s="35" t="s">
        <v>28</v>
      </c>
      <c r="AD41" s="36" t="s">
        <v>32</v>
      </c>
      <c r="AE41" s="1"/>
      <c r="AF41" s="36" t="s">
        <v>489</v>
      </c>
      <c r="AG41" s="54">
        <v>147.9</v>
      </c>
      <c r="AH41" s="39">
        <v>5.0</v>
      </c>
      <c r="AI41" s="35" t="s">
        <v>32</v>
      </c>
      <c r="AJ41" s="36" t="s">
        <v>32</v>
      </c>
      <c r="AK41" s="1"/>
      <c r="AL41" s="36" t="s">
        <v>490</v>
      </c>
      <c r="AM41" s="54">
        <v>5000.0</v>
      </c>
      <c r="AN41" s="39">
        <v>1.0</v>
      </c>
      <c r="AO41" s="35" t="s">
        <v>32</v>
      </c>
      <c r="AP41" s="36" t="s">
        <v>32</v>
      </c>
      <c r="AQ41" s="1"/>
      <c r="AR41" s="36" t="s">
        <v>491</v>
      </c>
      <c r="AS41" s="54">
        <v>300.0</v>
      </c>
      <c r="AT41" s="39">
        <v>6.0</v>
      </c>
      <c r="AU41" s="35" t="s">
        <v>32</v>
      </c>
      <c r="AV41" s="36" t="s">
        <v>32</v>
      </c>
      <c r="AW41" s="1"/>
      <c r="AX41" s="36" t="s">
        <v>492</v>
      </c>
      <c r="AY41" s="54">
        <v>30.0</v>
      </c>
      <c r="AZ41" s="39">
        <v>3.0</v>
      </c>
      <c r="BA41" s="35" t="s">
        <v>34</v>
      </c>
      <c r="BB41" s="36" t="s">
        <v>32</v>
      </c>
      <c r="BC41" s="1"/>
      <c r="BD41" s="36" t="s">
        <v>114</v>
      </c>
      <c r="BE41" s="54">
        <v>2860.74</v>
      </c>
      <c r="BF41" s="39">
        <v>10.0</v>
      </c>
      <c r="BG41" s="35" t="s">
        <v>32</v>
      </c>
      <c r="BH41" s="36" t="s">
        <v>32</v>
      </c>
      <c r="BI41" s="1"/>
      <c r="BJ41" s="36" t="s">
        <v>493</v>
      </c>
      <c r="BK41" s="59">
        <v>70.0</v>
      </c>
      <c r="BL41" s="39">
        <v>11.0</v>
      </c>
      <c r="BM41" s="35" t="s">
        <v>32</v>
      </c>
      <c r="BN41" s="36" t="s">
        <v>32</v>
      </c>
      <c r="BO41" s="1"/>
      <c r="BP41" s="36" t="s">
        <v>92</v>
      </c>
      <c r="BQ41" s="54">
        <v>10.0</v>
      </c>
      <c r="BR41" s="39">
        <v>10.0</v>
      </c>
      <c r="BS41" s="35" t="s">
        <v>32</v>
      </c>
      <c r="BT41" s="36" t="s">
        <v>32</v>
      </c>
      <c r="BU41" s="4"/>
    </row>
    <row r="42">
      <c r="A42" s="1"/>
      <c r="B42" s="36" t="s">
        <v>494</v>
      </c>
      <c r="C42" s="54">
        <v>50.0</v>
      </c>
      <c r="D42" s="39">
        <v>4.0</v>
      </c>
      <c r="E42" s="35" t="s">
        <v>28</v>
      </c>
      <c r="F42" s="36" t="s">
        <v>34</v>
      </c>
      <c r="G42" s="1"/>
      <c r="H42" s="36" t="s">
        <v>288</v>
      </c>
      <c r="I42" s="54">
        <v>130.0</v>
      </c>
      <c r="J42" s="39">
        <v>6.0</v>
      </c>
      <c r="K42" s="35" t="s">
        <v>32</v>
      </c>
      <c r="L42" s="36" t="s">
        <v>32</v>
      </c>
      <c r="M42" s="1"/>
      <c r="N42" s="36" t="s">
        <v>495</v>
      </c>
      <c r="O42" s="54">
        <v>0.7</v>
      </c>
      <c r="P42" s="39">
        <v>7.0</v>
      </c>
      <c r="Q42" s="35" t="s">
        <v>28</v>
      </c>
      <c r="R42" s="36" t="s">
        <v>32</v>
      </c>
      <c r="S42" s="1"/>
      <c r="T42" s="36" t="s">
        <v>234</v>
      </c>
      <c r="U42" s="54">
        <v>52.0</v>
      </c>
      <c r="V42" s="39">
        <v>9.0</v>
      </c>
      <c r="W42" s="35" t="s">
        <v>32</v>
      </c>
      <c r="X42" s="36" t="s">
        <v>32</v>
      </c>
      <c r="Y42" s="1"/>
      <c r="Z42" s="36" t="s">
        <v>210</v>
      </c>
      <c r="AA42" s="54">
        <v>70.0</v>
      </c>
      <c r="AB42" s="39">
        <v>9.0</v>
      </c>
      <c r="AC42" s="35" t="s">
        <v>28</v>
      </c>
      <c r="AD42" s="36" t="s">
        <v>32</v>
      </c>
      <c r="AE42" s="1"/>
      <c r="AF42" s="36" t="s">
        <v>496</v>
      </c>
      <c r="AG42" s="54">
        <v>47.0</v>
      </c>
      <c r="AH42" s="39">
        <v>5.0</v>
      </c>
      <c r="AI42" s="35" t="s">
        <v>32</v>
      </c>
      <c r="AJ42" s="36" t="s">
        <v>32</v>
      </c>
      <c r="AK42" s="1"/>
      <c r="AL42" s="36" t="s">
        <v>497</v>
      </c>
      <c r="AM42" s="54">
        <v>150.0</v>
      </c>
      <c r="AN42" s="39">
        <v>1.0</v>
      </c>
      <c r="AO42" s="35" t="s">
        <v>32</v>
      </c>
      <c r="AP42" s="36" t="s">
        <v>32</v>
      </c>
      <c r="AQ42" s="1"/>
      <c r="AR42" s="36" t="s">
        <v>218</v>
      </c>
      <c r="AS42" s="54">
        <v>30.0</v>
      </c>
      <c r="AT42" s="39">
        <v>6.0</v>
      </c>
      <c r="AU42" s="35" t="s">
        <v>32</v>
      </c>
      <c r="AV42" s="36" t="s">
        <v>32</v>
      </c>
      <c r="AW42" s="1"/>
      <c r="AX42" s="36" t="s">
        <v>498</v>
      </c>
      <c r="AY42" s="54">
        <v>150.0</v>
      </c>
      <c r="AZ42" s="39">
        <v>3.0</v>
      </c>
      <c r="BA42" s="35" t="s">
        <v>28</v>
      </c>
      <c r="BB42" s="36" t="s">
        <v>34</v>
      </c>
      <c r="BC42" s="1"/>
      <c r="BD42" s="36" t="s">
        <v>301</v>
      </c>
      <c r="BE42" s="54">
        <v>55.0</v>
      </c>
      <c r="BF42" s="39">
        <v>10.0</v>
      </c>
      <c r="BG42" s="35" t="s">
        <v>28</v>
      </c>
      <c r="BH42" s="36" t="s">
        <v>34</v>
      </c>
      <c r="BI42" s="1"/>
      <c r="BJ42" s="36" t="s">
        <v>101</v>
      </c>
      <c r="BK42" s="59">
        <v>16693.8</v>
      </c>
      <c r="BL42" s="39">
        <v>11.0</v>
      </c>
      <c r="BM42" s="35" t="s">
        <v>28</v>
      </c>
      <c r="BN42" s="36" t="s">
        <v>32</v>
      </c>
      <c r="BO42" s="1"/>
      <c r="BP42" s="36" t="s">
        <v>115</v>
      </c>
      <c r="BQ42" s="54">
        <v>3.0</v>
      </c>
      <c r="BR42" s="39">
        <v>10.0</v>
      </c>
      <c r="BS42" s="35" t="s">
        <v>32</v>
      </c>
      <c r="BT42" s="36" t="s">
        <v>32</v>
      </c>
      <c r="BU42" s="4"/>
    </row>
    <row r="43">
      <c r="A43" s="1"/>
      <c r="B43" s="36" t="s">
        <v>109</v>
      </c>
      <c r="C43" s="54">
        <v>158.0</v>
      </c>
      <c r="D43" s="39">
        <v>5.0</v>
      </c>
      <c r="E43" s="35" t="s">
        <v>28</v>
      </c>
      <c r="F43" s="36" t="s">
        <v>32</v>
      </c>
      <c r="G43" s="1"/>
      <c r="H43" s="36" t="s">
        <v>470</v>
      </c>
      <c r="I43" s="54">
        <v>60.0</v>
      </c>
      <c r="J43" s="39">
        <v>7.0</v>
      </c>
      <c r="K43" s="35" t="s">
        <v>28</v>
      </c>
      <c r="L43" s="36" t="s">
        <v>32</v>
      </c>
      <c r="M43" s="1"/>
      <c r="N43" s="36" t="s">
        <v>499</v>
      </c>
      <c r="O43" s="54">
        <v>500.0</v>
      </c>
      <c r="P43" s="39">
        <v>11.0</v>
      </c>
      <c r="Q43" s="35" t="s">
        <v>32</v>
      </c>
      <c r="R43" s="36" t="s">
        <v>32</v>
      </c>
      <c r="S43" s="1"/>
      <c r="T43" s="36" t="s">
        <v>500</v>
      </c>
      <c r="U43" s="54">
        <v>152.64</v>
      </c>
      <c r="V43" s="39">
        <v>9.0</v>
      </c>
      <c r="W43" s="35" t="s">
        <v>32</v>
      </c>
      <c r="X43" s="36" t="s">
        <v>32</v>
      </c>
      <c r="Y43" s="1"/>
      <c r="Z43" s="36" t="s">
        <v>92</v>
      </c>
      <c r="AA43" s="54">
        <v>10.0</v>
      </c>
      <c r="AB43" s="39">
        <v>10.0</v>
      </c>
      <c r="AC43" s="35" t="s">
        <v>32</v>
      </c>
      <c r="AD43" s="36" t="s">
        <v>32</v>
      </c>
      <c r="AE43" s="1"/>
      <c r="AF43" s="36" t="s">
        <v>234</v>
      </c>
      <c r="AG43" s="54">
        <v>40.0</v>
      </c>
      <c r="AH43" s="39">
        <v>5.0</v>
      </c>
      <c r="AI43" s="35" t="s">
        <v>32</v>
      </c>
      <c r="AJ43" s="36" t="s">
        <v>32</v>
      </c>
      <c r="AK43" s="1"/>
      <c r="AL43" s="36" t="s">
        <v>89</v>
      </c>
      <c r="AM43" s="54">
        <v>55.0</v>
      </c>
      <c r="AN43" s="39">
        <v>1.0</v>
      </c>
      <c r="AO43" s="35" t="s">
        <v>28</v>
      </c>
      <c r="AP43" s="36" t="s">
        <v>32</v>
      </c>
      <c r="AQ43" s="1"/>
      <c r="AR43" s="36" t="s">
        <v>501</v>
      </c>
      <c r="AS43" s="54">
        <v>137.28</v>
      </c>
      <c r="AT43" s="39">
        <v>6.0</v>
      </c>
      <c r="AU43" s="35" t="s">
        <v>32</v>
      </c>
      <c r="AV43" s="36" t="s">
        <v>32</v>
      </c>
      <c r="AW43" s="1"/>
      <c r="AX43" s="36" t="s">
        <v>218</v>
      </c>
      <c r="AY43" s="54">
        <v>30.0</v>
      </c>
      <c r="AZ43" s="39">
        <v>5.0</v>
      </c>
      <c r="BA43" s="35" t="s">
        <v>32</v>
      </c>
      <c r="BB43" s="36" t="s">
        <v>32</v>
      </c>
      <c r="BC43" s="1"/>
      <c r="BD43" s="36" t="s">
        <v>281</v>
      </c>
      <c r="BE43" s="54">
        <v>493.95</v>
      </c>
      <c r="BF43" s="39">
        <v>10.0</v>
      </c>
      <c r="BG43" s="35" t="s">
        <v>34</v>
      </c>
      <c r="BH43" s="36" t="s">
        <v>32</v>
      </c>
      <c r="BI43" s="1"/>
      <c r="BJ43" s="36" t="s">
        <v>90</v>
      </c>
      <c r="BK43" s="59">
        <v>30.0</v>
      </c>
      <c r="BL43" s="39">
        <v>11.0</v>
      </c>
      <c r="BM43" s="35" t="s">
        <v>28</v>
      </c>
      <c r="BN43" s="36" t="s">
        <v>32</v>
      </c>
      <c r="BO43" s="1"/>
      <c r="BP43" s="36" t="s">
        <v>502</v>
      </c>
      <c r="BQ43" s="54">
        <v>4591.16</v>
      </c>
      <c r="BR43" s="39">
        <v>10.0</v>
      </c>
      <c r="BS43" s="35" t="s">
        <v>32</v>
      </c>
      <c r="BT43" s="36" t="s">
        <v>32</v>
      </c>
      <c r="BU43" s="4"/>
    </row>
    <row r="44">
      <c r="A44" s="1"/>
      <c r="B44" s="36" t="s">
        <v>503</v>
      </c>
      <c r="C44" s="54">
        <v>55.0</v>
      </c>
      <c r="D44" s="39">
        <v>5.0</v>
      </c>
      <c r="E44" s="35" t="s">
        <v>28</v>
      </c>
      <c r="F44" s="36" t="s">
        <v>34</v>
      </c>
      <c r="G44" s="1"/>
      <c r="H44" s="36" t="s">
        <v>445</v>
      </c>
      <c r="I44" s="54">
        <v>150.0</v>
      </c>
      <c r="J44" s="39">
        <v>7.0</v>
      </c>
      <c r="K44" s="35" t="s">
        <v>28</v>
      </c>
      <c r="L44" s="36" t="s">
        <v>32</v>
      </c>
      <c r="M44" s="1"/>
      <c r="N44" s="36" t="s">
        <v>226</v>
      </c>
      <c r="O44" s="54">
        <v>954.93</v>
      </c>
      <c r="P44" s="39">
        <v>11.0</v>
      </c>
      <c r="Q44" s="35" t="s">
        <v>32</v>
      </c>
      <c r="R44" s="36" t="s">
        <v>32</v>
      </c>
      <c r="S44" s="1"/>
      <c r="T44" s="36" t="s">
        <v>210</v>
      </c>
      <c r="U44" s="54">
        <v>50.0</v>
      </c>
      <c r="V44" s="39">
        <v>9.0</v>
      </c>
      <c r="W44" s="35" t="s">
        <v>28</v>
      </c>
      <c r="X44" s="36" t="s">
        <v>34</v>
      </c>
      <c r="Y44" s="1"/>
      <c r="Z44" s="36" t="s">
        <v>92</v>
      </c>
      <c r="AA44" s="54">
        <v>10.0</v>
      </c>
      <c r="AB44" s="39">
        <v>10.0</v>
      </c>
      <c r="AC44" s="35" t="s">
        <v>32</v>
      </c>
      <c r="AD44" s="36" t="s">
        <v>32</v>
      </c>
      <c r="AE44" s="1"/>
      <c r="AF44" s="36" t="s">
        <v>472</v>
      </c>
      <c r="AG44" s="54">
        <v>405.0</v>
      </c>
      <c r="AH44" s="39">
        <v>5.0</v>
      </c>
      <c r="AI44" s="35" t="s">
        <v>32</v>
      </c>
      <c r="AJ44" s="36" t="s">
        <v>32</v>
      </c>
      <c r="AK44" s="1"/>
      <c r="AL44" s="36" t="s">
        <v>104</v>
      </c>
      <c r="AM44" s="54">
        <v>35.0</v>
      </c>
      <c r="AN44" s="39">
        <v>1.0</v>
      </c>
      <c r="AO44" s="35" t="s">
        <v>32</v>
      </c>
      <c r="AP44" s="36" t="s">
        <v>32</v>
      </c>
      <c r="AQ44" s="1"/>
      <c r="AR44" s="36" t="s">
        <v>504</v>
      </c>
      <c r="AS44" s="54">
        <v>268.94</v>
      </c>
      <c r="AT44" s="39">
        <v>6.0</v>
      </c>
      <c r="AU44" s="35" t="s">
        <v>32</v>
      </c>
      <c r="AV44" s="36" t="s">
        <v>32</v>
      </c>
      <c r="AW44" s="1"/>
      <c r="AX44" s="36" t="s">
        <v>110</v>
      </c>
      <c r="AY44" s="54">
        <v>20.0</v>
      </c>
      <c r="AZ44" s="39">
        <v>5.0</v>
      </c>
      <c r="BA44" s="35" t="s">
        <v>28</v>
      </c>
      <c r="BB44" s="36" t="s">
        <v>32</v>
      </c>
      <c r="BC44" s="1"/>
      <c r="BD44" s="36" t="s">
        <v>226</v>
      </c>
      <c r="BE44" s="54">
        <v>2693.53</v>
      </c>
      <c r="BF44" s="39">
        <v>10.0</v>
      </c>
      <c r="BG44" s="35" t="s">
        <v>32</v>
      </c>
      <c r="BH44" s="36" t="s">
        <v>32</v>
      </c>
      <c r="BI44" s="1"/>
      <c r="BJ44" s="36" t="s">
        <v>92</v>
      </c>
      <c r="BK44" s="59">
        <v>200.0</v>
      </c>
      <c r="BL44" s="39">
        <v>11.0</v>
      </c>
      <c r="BM44" s="35" t="s">
        <v>28</v>
      </c>
      <c r="BN44" s="36" t="s">
        <v>32</v>
      </c>
      <c r="BO44" s="1"/>
      <c r="BP44" s="36" t="s">
        <v>505</v>
      </c>
      <c r="BQ44" s="54">
        <v>100.0</v>
      </c>
      <c r="BR44" s="39">
        <v>10.0</v>
      </c>
      <c r="BS44" s="35" t="s">
        <v>34</v>
      </c>
      <c r="BT44" s="36" t="s">
        <v>32</v>
      </c>
      <c r="BU44" s="4"/>
    </row>
    <row r="45">
      <c r="A45" s="1"/>
      <c r="B45" s="36" t="s">
        <v>506</v>
      </c>
      <c r="C45" s="54">
        <v>100.0</v>
      </c>
      <c r="D45" s="39">
        <v>5.0</v>
      </c>
      <c r="E45" s="35" t="s">
        <v>28</v>
      </c>
      <c r="F45" s="36" t="s">
        <v>34</v>
      </c>
      <c r="G45" s="1"/>
      <c r="H45" s="36" t="s">
        <v>191</v>
      </c>
      <c r="I45" s="54">
        <v>20.0</v>
      </c>
      <c r="J45" s="39">
        <v>9.0</v>
      </c>
      <c r="K45" s="35" t="s">
        <v>28</v>
      </c>
      <c r="L45" s="36" t="s">
        <v>32</v>
      </c>
      <c r="M45" s="1"/>
      <c r="N45" s="36" t="s">
        <v>220</v>
      </c>
      <c r="O45" s="54">
        <v>7849.03</v>
      </c>
      <c r="P45" s="39">
        <v>11.0</v>
      </c>
      <c r="Q45" s="35" t="s">
        <v>28</v>
      </c>
      <c r="R45" s="36" t="s">
        <v>32</v>
      </c>
      <c r="S45" s="1"/>
      <c r="T45" s="36" t="s">
        <v>507</v>
      </c>
      <c r="U45" s="54">
        <v>80.0</v>
      </c>
      <c r="V45" s="39">
        <v>9.0</v>
      </c>
      <c r="W45" s="35" t="s">
        <v>28</v>
      </c>
      <c r="X45" s="36" t="s">
        <v>34</v>
      </c>
      <c r="Y45" s="1"/>
      <c r="Z45" s="36" t="s">
        <v>115</v>
      </c>
      <c r="AA45" s="54">
        <v>3.0</v>
      </c>
      <c r="AB45" s="39">
        <v>10.0</v>
      </c>
      <c r="AC45" s="35" t="s">
        <v>32</v>
      </c>
      <c r="AD45" s="36" t="s">
        <v>32</v>
      </c>
      <c r="AE45" s="1"/>
      <c r="AF45" s="36" t="s">
        <v>508</v>
      </c>
      <c r="AG45" s="54">
        <v>350.0</v>
      </c>
      <c r="AH45" s="39">
        <v>5.0</v>
      </c>
      <c r="AI45" s="35" t="s">
        <v>32</v>
      </c>
      <c r="AJ45" s="36" t="s">
        <v>32</v>
      </c>
      <c r="AK45" s="1"/>
      <c r="AL45" s="36" t="s">
        <v>509</v>
      </c>
      <c r="AM45" s="54">
        <v>11.99</v>
      </c>
      <c r="AN45" s="39">
        <v>1.0</v>
      </c>
      <c r="AO45" s="35" t="s">
        <v>32</v>
      </c>
      <c r="AP45" s="36" t="s">
        <v>32</v>
      </c>
      <c r="AQ45" s="1"/>
      <c r="AR45" s="36" t="s">
        <v>510</v>
      </c>
      <c r="AS45" s="54">
        <v>396.48</v>
      </c>
      <c r="AT45" s="39">
        <v>7.0</v>
      </c>
      <c r="AU45" s="35" t="s">
        <v>32</v>
      </c>
      <c r="AV45" s="36" t="s">
        <v>32</v>
      </c>
      <c r="AW45" s="1"/>
      <c r="AX45" s="36" t="s">
        <v>210</v>
      </c>
      <c r="AY45" s="54">
        <v>30.0</v>
      </c>
      <c r="AZ45" s="39">
        <v>5.0</v>
      </c>
      <c r="BA45" s="35" t="s">
        <v>28</v>
      </c>
      <c r="BB45" s="36" t="s">
        <v>32</v>
      </c>
      <c r="BC45" s="1"/>
      <c r="BD45" s="36" t="s">
        <v>220</v>
      </c>
      <c r="BE45" s="54">
        <v>6052.48</v>
      </c>
      <c r="BF45" s="39">
        <v>10.0</v>
      </c>
      <c r="BG45" s="35" t="s">
        <v>32</v>
      </c>
      <c r="BH45" s="36" t="s">
        <v>32</v>
      </c>
      <c r="BI45" s="1"/>
      <c r="BJ45" s="36" t="s">
        <v>115</v>
      </c>
      <c r="BK45" s="59">
        <v>3.0</v>
      </c>
      <c r="BL45" s="39">
        <v>11.0</v>
      </c>
      <c r="BM45" s="35" t="s">
        <v>32</v>
      </c>
      <c r="BN45" s="36" t="s">
        <v>32</v>
      </c>
      <c r="BO45" s="1"/>
      <c r="BP45" s="36" t="s">
        <v>511</v>
      </c>
      <c r="BQ45" s="54">
        <v>4617.69</v>
      </c>
      <c r="BR45" s="39">
        <v>10.0</v>
      </c>
      <c r="BS45" s="35" t="s">
        <v>28</v>
      </c>
      <c r="BT45" s="36" t="s">
        <v>32</v>
      </c>
      <c r="BU45" s="4"/>
    </row>
    <row r="46">
      <c r="A46" s="1"/>
      <c r="B46" s="36" t="s">
        <v>512</v>
      </c>
      <c r="C46" s="54">
        <v>115.0</v>
      </c>
      <c r="D46" s="39">
        <v>6.0</v>
      </c>
      <c r="E46" s="35" t="s">
        <v>28</v>
      </c>
      <c r="F46" s="36" t="s">
        <v>34</v>
      </c>
      <c r="G46" s="1"/>
      <c r="H46" s="36" t="s">
        <v>513</v>
      </c>
      <c r="I46" s="54">
        <v>948.0</v>
      </c>
      <c r="J46" s="39">
        <v>10.0</v>
      </c>
      <c r="K46" s="35" t="s">
        <v>32</v>
      </c>
      <c r="L46" s="36" t="s">
        <v>32</v>
      </c>
      <c r="M46" s="1"/>
      <c r="N46" s="36" t="s">
        <v>115</v>
      </c>
      <c r="O46" s="54">
        <v>3.0</v>
      </c>
      <c r="P46" s="39">
        <v>11.0</v>
      </c>
      <c r="Q46" s="35" t="s">
        <v>32</v>
      </c>
      <c r="R46" s="36" t="s">
        <v>32</v>
      </c>
      <c r="S46" s="1"/>
      <c r="T46" s="36" t="s">
        <v>115</v>
      </c>
      <c r="U46" s="54">
        <v>3.0</v>
      </c>
      <c r="V46" s="39">
        <v>10.0</v>
      </c>
      <c r="W46" s="35" t="s">
        <v>32</v>
      </c>
      <c r="X46" s="36" t="s">
        <v>32</v>
      </c>
      <c r="Y46" s="1"/>
      <c r="Z46" s="36" t="s">
        <v>114</v>
      </c>
      <c r="AA46" s="54">
        <v>6.0</v>
      </c>
      <c r="AB46" s="39">
        <v>10.0</v>
      </c>
      <c r="AC46" s="35" t="s">
        <v>32</v>
      </c>
      <c r="AD46" s="36" t="s">
        <v>32</v>
      </c>
      <c r="AE46" s="1"/>
      <c r="AF46" s="36" t="s">
        <v>514</v>
      </c>
      <c r="AG46" s="54">
        <v>40.0</v>
      </c>
      <c r="AH46" s="39">
        <v>6.0</v>
      </c>
      <c r="AI46" s="35" t="s">
        <v>28</v>
      </c>
      <c r="AJ46" s="36" t="s">
        <v>34</v>
      </c>
      <c r="AK46" s="1"/>
      <c r="AL46" s="36" t="s">
        <v>509</v>
      </c>
      <c r="AM46" s="54">
        <v>9.99</v>
      </c>
      <c r="AN46" s="39">
        <v>2.0</v>
      </c>
      <c r="AO46" s="35" t="s">
        <v>32</v>
      </c>
      <c r="AP46" s="36" t="s">
        <v>32</v>
      </c>
      <c r="AQ46" s="1"/>
      <c r="AR46" s="36" t="s">
        <v>515</v>
      </c>
      <c r="AS46" s="54">
        <v>104.0</v>
      </c>
      <c r="AT46" s="39">
        <v>7.0</v>
      </c>
      <c r="AU46" s="35" t="s">
        <v>28</v>
      </c>
      <c r="AV46" s="36" t="s">
        <v>34</v>
      </c>
      <c r="AW46" s="1"/>
      <c r="AX46" s="36" t="s">
        <v>191</v>
      </c>
      <c r="AY46" s="54">
        <v>20.0</v>
      </c>
      <c r="AZ46" s="39">
        <v>6.0</v>
      </c>
      <c r="BA46" s="35" t="s">
        <v>28</v>
      </c>
      <c r="BB46" s="36" t="s">
        <v>32</v>
      </c>
      <c r="BC46" s="1"/>
      <c r="BD46" s="36" t="s">
        <v>516</v>
      </c>
      <c r="BE46" s="54">
        <v>183.21</v>
      </c>
      <c r="BF46" s="39">
        <v>12.0</v>
      </c>
      <c r="BG46" s="35" t="s">
        <v>30</v>
      </c>
      <c r="BH46" s="36" t="s">
        <v>32</v>
      </c>
      <c r="BI46" s="1"/>
      <c r="BJ46" s="36" t="s">
        <v>114</v>
      </c>
      <c r="BK46" s="59">
        <v>2876.82</v>
      </c>
      <c r="BL46" s="39">
        <v>11.0</v>
      </c>
      <c r="BM46" s="35" t="s">
        <v>32</v>
      </c>
      <c r="BN46" s="36" t="s">
        <v>32</v>
      </c>
      <c r="BO46" s="1"/>
      <c r="BP46" s="36" t="s">
        <v>92</v>
      </c>
      <c r="BQ46" s="54">
        <v>150.0</v>
      </c>
      <c r="BR46" s="39">
        <v>11.0</v>
      </c>
      <c r="BS46" s="35" t="s">
        <v>32</v>
      </c>
      <c r="BT46" s="36" t="s">
        <v>32</v>
      </c>
      <c r="BU46" s="4"/>
    </row>
    <row r="47">
      <c r="A47" s="1"/>
      <c r="B47" s="36" t="s">
        <v>517</v>
      </c>
      <c r="C47" s="54">
        <v>350.0</v>
      </c>
      <c r="D47" s="39">
        <v>6.0</v>
      </c>
      <c r="E47" s="35" t="s">
        <v>28</v>
      </c>
      <c r="F47" s="36" t="s">
        <v>34</v>
      </c>
      <c r="G47" s="1"/>
      <c r="H47" s="36" t="s">
        <v>480</v>
      </c>
      <c r="I47" s="54">
        <v>6.0</v>
      </c>
      <c r="J47" s="39">
        <v>10.0</v>
      </c>
      <c r="K47" s="35" t="s">
        <v>28</v>
      </c>
      <c r="L47" s="36" t="s">
        <v>32</v>
      </c>
      <c r="M47" s="1"/>
      <c r="N47" s="36" t="s">
        <v>114</v>
      </c>
      <c r="O47" s="54">
        <v>6.0</v>
      </c>
      <c r="P47" s="39">
        <v>11.0</v>
      </c>
      <c r="Q47" s="35" t="s">
        <v>32</v>
      </c>
      <c r="R47" s="36" t="s">
        <v>32</v>
      </c>
      <c r="S47" s="1"/>
      <c r="T47" s="36" t="s">
        <v>114</v>
      </c>
      <c r="U47" s="54">
        <v>6.0</v>
      </c>
      <c r="V47" s="39">
        <v>10.0</v>
      </c>
      <c r="W47" s="35" t="s">
        <v>32</v>
      </c>
      <c r="X47" s="36" t="s">
        <v>32</v>
      </c>
      <c r="Y47" s="1"/>
      <c r="Z47" s="36" t="s">
        <v>220</v>
      </c>
      <c r="AA47" s="54">
        <v>15085.37</v>
      </c>
      <c r="AB47" s="39">
        <v>10.0</v>
      </c>
      <c r="AC47" s="35" t="s">
        <v>28</v>
      </c>
      <c r="AD47" s="36" t="s">
        <v>32</v>
      </c>
      <c r="AE47" s="1"/>
      <c r="AF47" s="36" t="s">
        <v>92</v>
      </c>
      <c r="AG47" s="54">
        <v>20.0</v>
      </c>
      <c r="AH47" s="39">
        <v>6.0</v>
      </c>
      <c r="AI47" s="35" t="s">
        <v>32</v>
      </c>
      <c r="AJ47" s="36" t="s">
        <v>32</v>
      </c>
      <c r="AK47" s="1"/>
      <c r="AL47" s="36" t="s">
        <v>109</v>
      </c>
      <c r="AM47" s="54">
        <v>207.0</v>
      </c>
      <c r="AN47" s="39">
        <v>2.0</v>
      </c>
      <c r="AO47" s="35" t="s">
        <v>28</v>
      </c>
      <c r="AP47" s="36" t="s">
        <v>32</v>
      </c>
      <c r="AQ47" s="1"/>
      <c r="AR47" s="36" t="s">
        <v>518</v>
      </c>
      <c r="AS47" s="54">
        <v>35.0</v>
      </c>
      <c r="AT47" s="39">
        <v>8.0</v>
      </c>
      <c r="AU47" s="35" t="s">
        <v>32</v>
      </c>
      <c r="AV47" s="36" t="s">
        <v>32</v>
      </c>
      <c r="AW47" s="1"/>
      <c r="AX47" s="36" t="s">
        <v>92</v>
      </c>
      <c r="AY47" s="54">
        <v>30.37</v>
      </c>
      <c r="AZ47" s="39">
        <v>6.0</v>
      </c>
      <c r="BA47" s="35" t="s">
        <v>32</v>
      </c>
      <c r="BB47" s="36" t="s">
        <v>32</v>
      </c>
      <c r="BC47" s="1"/>
      <c r="BD47" s="36" t="s">
        <v>519</v>
      </c>
      <c r="BE47" s="54">
        <v>60.0</v>
      </c>
      <c r="BF47" s="39">
        <v>12.0</v>
      </c>
      <c r="BG47" s="35" t="s">
        <v>32</v>
      </c>
      <c r="BH47" s="36" t="s">
        <v>32</v>
      </c>
      <c r="BI47" s="1"/>
      <c r="BJ47" s="36" t="s">
        <v>520</v>
      </c>
      <c r="BK47" s="59">
        <v>500.0</v>
      </c>
      <c r="BL47" s="39">
        <v>12.0</v>
      </c>
      <c r="BM47" s="35" t="s">
        <v>28</v>
      </c>
      <c r="BN47" s="36" t="s">
        <v>32</v>
      </c>
      <c r="BO47" s="1"/>
      <c r="BP47" s="36" t="s">
        <v>93</v>
      </c>
      <c r="BQ47" s="54">
        <v>300.0</v>
      </c>
      <c r="BR47" s="39">
        <v>16.0</v>
      </c>
      <c r="BS47" s="35" t="s">
        <v>28</v>
      </c>
      <c r="BT47" s="36" t="s">
        <v>32</v>
      </c>
      <c r="BU47" s="4"/>
    </row>
    <row r="48">
      <c r="A48" s="1"/>
      <c r="B48" s="36" t="s">
        <v>88</v>
      </c>
      <c r="C48" s="54">
        <v>100.0</v>
      </c>
      <c r="D48" s="39">
        <v>8.0</v>
      </c>
      <c r="E48" s="35" t="s">
        <v>32</v>
      </c>
      <c r="F48" s="36" t="s">
        <v>32</v>
      </c>
      <c r="G48" s="1"/>
      <c r="H48" s="36" t="s">
        <v>226</v>
      </c>
      <c r="I48" s="54">
        <v>1570.86</v>
      </c>
      <c r="J48" s="39">
        <v>10.0</v>
      </c>
      <c r="K48" s="35" t="s">
        <v>32</v>
      </c>
      <c r="L48" s="36" t="s">
        <v>32</v>
      </c>
      <c r="M48" s="1"/>
      <c r="N48" s="36" t="s">
        <v>521</v>
      </c>
      <c r="O48" s="54">
        <v>67.0</v>
      </c>
      <c r="P48" s="39">
        <v>12.0</v>
      </c>
      <c r="Q48" s="35" t="s">
        <v>28</v>
      </c>
      <c r="R48" s="36" t="s">
        <v>34</v>
      </c>
      <c r="S48" s="1"/>
      <c r="T48" s="36" t="s">
        <v>226</v>
      </c>
      <c r="U48" s="54">
        <v>994.67</v>
      </c>
      <c r="V48" s="39">
        <v>10.0</v>
      </c>
      <c r="W48" s="35" t="s">
        <v>32</v>
      </c>
      <c r="X48" s="36" t="s">
        <v>32</v>
      </c>
      <c r="Y48" s="1"/>
      <c r="Z48" s="36" t="s">
        <v>226</v>
      </c>
      <c r="AA48" s="54">
        <v>1234.96</v>
      </c>
      <c r="AB48" s="39">
        <v>10.0</v>
      </c>
      <c r="AC48" s="35" t="s">
        <v>32</v>
      </c>
      <c r="AD48" s="36" t="s">
        <v>32</v>
      </c>
      <c r="AE48" s="1"/>
      <c r="AF48" s="36" t="s">
        <v>191</v>
      </c>
      <c r="AG48" s="54">
        <v>20.0</v>
      </c>
      <c r="AH48" s="39">
        <v>7.0</v>
      </c>
      <c r="AI48" s="35" t="s">
        <v>32</v>
      </c>
      <c r="AJ48" s="36" t="s">
        <v>32</v>
      </c>
      <c r="AK48" s="1"/>
      <c r="AL48" s="36" t="s">
        <v>522</v>
      </c>
      <c r="AM48" s="54">
        <v>300.0</v>
      </c>
      <c r="AN48" s="39">
        <v>2.0</v>
      </c>
      <c r="AO48" s="35" t="s">
        <v>28</v>
      </c>
      <c r="AP48" s="36" t="s">
        <v>32</v>
      </c>
      <c r="AQ48" s="1"/>
      <c r="AR48" s="36" t="s">
        <v>523</v>
      </c>
      <c r="AS48" s="54">
        <v>500.0</v>
      </c>
      <c r="AT48" s="39">
        <v>9.0</v>
      </c>
      <c r="AU48" s="35" t="s">
        <v>32</v>
      </c>
      <c r="AV48" s="36" t="s">
        <v>32</v>
      </c>
      <c r="AW48" s="1"/>
      <c r="AX48" s="36" t="s">
        <v>524</v>
      </c>
      <c r="AY48" s="54">
        <v>40.0</v>
      </c>
      <c r="AZ48" s="39">
        <v>6.0</v>
      </c>
      <c r="BA48" s="35" t="s">
        <v>28</v>
      </c>
      <c r="BB48" s="36" t="s">
        <v>34</v>
      </c>
      <c r="BC48" s="1"/>
      <c r="BD48" s="36" t="s">
        <v>525</v>
      </c>
      <c r="BE48" s="54">
        <v>232.26</v>
      </c>
      <c r="BF48" s="39">
        <v>13.0</v>
      </c>
      <c r="BG48" s="35" t="s">
        <v>28</v>
      </c>
      <c r="BH48" s="36" t="s">
        <v>32</v>
      </c>
      <c r="BI48" s="1"/>
      <c r="BJ48" s="36" t="s">
        <v>526</v>
      </c>
      <c r="BK48" s="59">
        <v>100.0</v>
      </c>
      <c r="BL48" s="39">
        <v>13.0</v>
      </c>
      <c r="BM48" s="35" t="s">
        <v>32</v>
      </c>
      <c r="BN48" s="36" t="s">
        <v>32</v>
      </c>
      <c r="BO48" s="1"/>
      <c r="BP48" s="36" t="s">
        <v>527</v>
      </c>
      <c r="BQ48" s="54">
        <v>250.0</v>
      </c>
      <c r="BR48" s="39">
        <v>17.0</v>
      </c>
      <c r="BS48" s="35" t="s">
        <v>32</v>
      </c>
      <c r="BT48" s="36" t="s">
        <v>32</v>
      </c>
      <c r="BU48" s="4"/>
    </row>
    <row r="49">
      <c r="A49" s="1"/>
      <c r="B49" s="36" t="s">
        <v>89</v>
      </c>
      <c r="C49" s="54">
        <v>10.0</v>
      </c>
      <c r="D49" s="39">
        <v>9.0</v>
      </c>
      <c r="E49" s="35" t="s">
        <v>32</v>
      </c>
      <c r="F49" s="36" t="s">
        <v>32</v>
      </c>
      <c r="G49" s="1"/>
      <c r="H49" s="36" t="s">
        <v>220</v>
      </c>
      <c r="I49" s="54">
        <v>10394.13</v>
      </c>
      <c r="J49" s="39">
        <v>10.0</v>
      </c>
      <c r="K49" s="35" t="s">
        <v>28</v>
      </c>
      <c r="L49" s="36" t="s">
        <v>32</v>
      </c>
      <c r="M49" s="1"/>
      <c r="N49" s="36" t="s">
        <v>528</v>
      </c>
      <c r="O49" s="54">
        <v>100.0</v>
      </c>
      <c r="P49" s="39">
        <v>12.0</v>
      </c>
      <c r="Q49" s="35" t="s">
        <v>28</v>
      </c>
      <c r="R49" s="36" t="s">
        <v>34</v>
      </c>
      <c r="S49" s="1"/>
      <c r="T49" s="36" t="s">
        <v>220</v>
      </c>
      <c r="U49" s="54">
        <v>9543.85</v>
      </c>
      <c r="V49" s="39">
        <v>10.0</v>
      </c>
      <c r="W49" s="35" t="s">
        <v>28</v>
      </c>
      <c r="X49" s="36" t="s">
        <v>32</v>
      </c>
      <c r="Y49" s="1"/>
      <c r="Z49" s="36" t="s">
        <v>529</v>
      </c>
      <c r="AA49" s="54">
        <v>100.0</v>
      </c>
      <c r="AB49" s="39">
        <v>11.0</v>
      </c>
      <c r="AC49" s="35" t="s">
        <v>28</v>
      </c>
      <c r="AD49" s="36" t="s">
        <v>34</v>
      </c>
      <c r="AE49" s="1"/>
      <c r="AF49" s="36" t="s">
        <v>288</v>
      </c>
      <c r="AG49" s="54">
        <v>150.0</v>
      </c>
      <c r="AH49" s="39">
        <v>7.0</v>
      </c>
      <c r="AI49" s="35" t="s">
        <v>32</v>
      </c>
      <c r="AJ49" s="36" t="s">
        <v>32</v>
      </c>
      <c r="AK49" s="1"/>
      <c r="AL49" s="36" t="s">
        <v>92</v>
      </c>
      <c r="AM49" s="54">
        <v>20.0</v>
      </c>
      <c r="AN49" s="39">
        <v>4.0</v>
      </c>
      <c r="AO49" s="35" t="s">
        <v>32</v>
      </c>
      <c r="AP49" s="36" t="s">
        <v>32</v>
      </c>
      <c r="AQ49" s="1"/>
      <c r="AR49" s="36" t="s">
        <v>99</v>
      </c>
      <c r="AS49" s="54">
        <v>4729.5</v>
      </c>
      <c r="AT49" s="39">
        <v>10.0</v>
      </c>
      <c r="AU49" s="35" t="s">
        <v>32</v>
      </c>
      <c r="AV49" s="36" t="s">
        <v>32</v>
      </c>
      <c r="AW49" s="1"/>
      <c r="AX49" s="36" t="s">
        <v>368</v>
      </c>
      <c r="AY49" s="54">
        <v>62.31</v>
      </c>
      <c r="AZ49" s="39">
        <v>7.0</v>
      </c>
      <c r="BA49" s="35" t="s">
        <v>28</v>
      </c>
      <c r="BB49" s="36" t="s">
        <v>34</v>
      </c>
      <c r="BC49" s="1"/>
      <c r="BD49" s="36" t="s">
        <v>92</v>
      </c>
      <c r="BE49" s="54">
        <v>75.9</v>
      </c>
      <c r="BF49" s="39">
        <v>13.0</v>
      </c>
      <c r="BG49" s="35" t="s">
        <v>28</v>
      </c>
      <c r="BH49" s="36" t="s">
        <v>34</v>
      </c>
      <c r="BI49" s="1"/>
      <c r="BJ49" s="36" t="s">
        <v>235</v>
      </c>
      <c r="BK49" s="59">
        <v>60.0</v>
      </c>
      <c r="BL49" s="39">
        <v>18.0</v>
      </c>
      <c r="BM49" s="35" t="s">
        <v>28</v>
      </c>
      <c r="BN49" s="36" t="s">
        <v>32</v>
      </c>
      <c r="BO49" s="1"/>
      <c r="BP49" s="36" t="s">
        <v>530</v>
      </c>
      <c r="BQ49" s="54">
        <v>450.6</v>
      </c>
      <c r="BR49" s="39">
        <v>17.0</v>
      </c>
      <c r="BS49" s="35" t="s">
        <v>32</v>
      </c>
      <c r="BT49" s="36" t="s">
        <v>32</v>
      </c>
      <c r="BU49" s="4"/>
    </row>
    <row r="50">
      <c r="A50" s="1"/>
      <c r="B50" s="36" t="s">
        <v>531</v>
      </c>
      <c r="C50" s="54">
        <v>1000.0</v>
      </c>
      <c r="D50" s="39">
        <v>10.0</v>
      </c>
      <c r="E50" s="35" t="s">
        <v>32</v>
      </c>
      <c r="F50" s="36" t="s">
        <v>32</v>
      </c>
      <c r="G50" s="1"/>
      <c r="H50" s="36" t="s">
        <v>532</v>
      </c>
      <c r="I50" s="54">
        <v>110.0</v>
      </c>
      <c r="J50" s="39">
        <v>11.0</v>
      </c>
      <c r="K50" s="35" t="s">
        <v>28</v>
      </c>
      <c r="L50" s="36" t="s">
        <v>34</v>
      </c>
      <c r="M50" s="1"/>
      <c r="N50" s="36" t="s">
        <v>92</v>
      </c>
      <c r="O50" s="54">
        <v>70.0</v>
      </c>
      <c r="P50" s="39">
        <v>13.0</v>
      </c>
      <c r="Q50" s="35" t="s">
        <v>32</v>
      </c>
      <c r="R50" s="36" t="s">
        <v>32</v>
      </c>
      <c r="S50" s="1"/>
      <c r="T50" s="36" t="s">
        <v>533</v>
      </c>
      <c r="U50" s="54">
        <v>18.0</v>
      </c>
      <c r="V50" s="39">
        <v>11.0</v>
      </c>
      <c r="W50" s="35" t="s">
        <v>28</v>
      </c>
      <c r="X50" s="36" t="s">
        <v>34</v>
      </c>
      <c r="Y50" s="1"/>
      <c r="Z50" s="36" t="s">
        <v>534</v>
      </c>
      <c r="AA50" s="54">
        <v>60.0</v>
      </c>
      <c r="AB50" s="39">
        <v>12.0</v>
      </c>
      <c r="AC50" s="35" t="s">
        <v>28</v>
      </c>
      <c r="AD50" s="36" t="s">
        <v>34</v>
      </c>
      <c r="AE50" s="1"/>
      <c r="AF50" s="36" t="s">
        <v>535</v>
      </c>
      <c r="AG50" s="54">
        <v>14025.59</v>
      </c>
      <c r="AH50" s="39">
        <v>10.0</v>
      </c>
      <c r="AI50" s="35" t="s">
        <v>28</v>
      </c>
      <c r="AJ50" s="36" t="s">
        <v>32</v>
      </c>
      <c r="AK50" s="1"/>
      <c r="AL50" s="36" t="s">
        <v>218</v>
      </c>
      <c r="AM50" s="54">
        <v>30.0</v>
      </c>
      <c r="AN50" s="39">
        <v>4.0</v>
      </c>
      <c r="AO50" s="35" t="s">
        <v>32</v>
      </c>
      <c r="AP50" s="36" t="s">
        <v>32</v>
      </c>
      <c r="AQ50" s="1"/>
      <c r="AR50" s="36" t="s">
        <v>101</v>
      </c>
      <c r="AS50" s="54">
        <v>9070.5</v>
      </c>
      <c r="AT50" s="39">
        <v>10.0</v>
      </c>
      <c r="AU50" s="35" t="s">
        <v>28</v>
      </c>
      <c r="AV50" s="36" t="s">
        <v>32</v>
      </c>
      <c r="AW50" s="1"/>
      <c r="AX50" s="36" t="s">
        <v>536</v>
      </c>
      <c r="AY50" s="54">
        <v>0.54</v>
      </c>
      <c r="AZ50" s="39">
        <v>9.0</v>
      </c>
      <c r="BA50" s="35" t="s">
        <v>32</v>
      </c>
      <c r="BB50" s="36" t="s">
        <v>32</v>
      </c>
      <c r="BC50" s="1"/>
      <c r="BD50" s="36" t="s">
        <v>209</v>
      </c>
      <c r="BE50" s="54">
        <v>68.8</v>
      </c>
      <c r="BF50" s="39">
        <v>13.0</v>
      </c>
      <c r="BG50" s="35" t="s">
        <v>28</v>
      </c>
      <c r="BH50" s="36" t="s">
        <v>34</v>
      </c>
      <c r="BI50" s="1"/>
      <c r="BJ50" s="36" t="s">
        <v>537</v>
      </c>
      <c r="BK50" s="59">
        <v>250.0</v>
      </c>
      <c r="BL50" s="39">
        <v>18.0</v>
      </c>
      <c r="BM50" s="35" t="s">
        <v>32</v>
      </c>
      <c r="BN50" s="36" t="s">
        <v>32</v>
      </c>
      <c r="BO50" s="1"/>
      <c r="BP50" s="36" t="s">
        <v>538</v>
      </c>
      <c r="BQ50" s="54">
        <v>225.11</v>
      </c>
      <c r="BR50" s="39">
        <v>18.0</v>
      </c>
      <c r="BS50" s="35" t="s">
        <v>32</v>
      </c>
      <c r="BT50" s="36" t="s">
        <v>32</v>
      </c>
      <c r="BU50" s="4"/>
    </row>
    <row r="51">
      <c r="A51" s="1"/>
      <c r="B51" s="36" t="s">
        <v>539</v>
      </c>
      <c r="C51" s="54">
        <v>152.0</v>
      </c>
      <c r="D51" s="39">
        <v>10.0</v>
      </c>
      <c r="E51" s="35" t="s">
        <v>32</v>
      </c>
      <c r="F51" s="36" t="s">
        <v>32</v>
      </c>
      <c r="G51" s="1"/>
      <c r="H51" s="36" t="s">
        <v>540</v>
      </c>
      <c r="I51" s="54">
        <v>50.0</v>
      </c>
      <c r="J51" s="39">
        <v>14.0</v>
      </c>
      <c r="K51" s="35" t="s">
        <v>28</v>
      </c>
      <c r="L51" s="36" t="s">
        <v>32</v>
      </c>
      <c r="M51" s="1"/>
      <c r="N51" s="36" t="s">
        <v>210</v>
      </c>
      <c r="O51" s="54">
        <v>10.0</v>
      </c>
      <c r="P51" s="39">
        <v>13.0</v>
      </c>
      <c r="Q51" s="35" t="s">
        <v>28</v>
      </c>
      <c r="R51" s="36" t="s">
        <v>32</v>
      </c>
      <c r="S51" s="1"/>
      <c r="T51" s="36" t="s">
        <v>210</v>
      </c>
      <c r="U51" s="54">
        <v>15.9</v>
      </c>
      <c r="V51" s="39">
        <v>12.0</v>
      </c>
      <c r="W51" s="35" t="s">
        <v>28</v>
      </c>
      <c r="X51" s="36" t="s">
        <v>32</v>
      </c>
      <c r="Y51" s="1"/>
      <c r="Z51" s="36" t="s">
        <v>541</v>
      </c>
      <c r="AA51" s="54">
        <v>800.0</v>
      </c>
      <c r="AB51" s="39">
        <v>13.0</v>
      </c>
      <c r="AC51" s="35" t="s">
        <v>32</v>
      </c>
      <c r="AD51" s="36" t="s">
        <v>32</v>
      </c>
      <c r="AE51" s="1"/>
      <c r="AF51" s="36" t="s">
        <v>210</v>
      </c>
      <c r="AG51" s="54">
        <v>32.0</v>
      </c>
      <c r="AH51" s="39">
        <v>10.0</v>
      </c>
      <c r="AI51" s="35" t="s">
        <v>28</v>
      </c>
      <c r="AJ51" s="36" t="s">
        <v>32</v>
      </c>
      <c r="AK51" s="1"/>
      <c r="AL51" s="36" t="s">
        <v>220</v>
      </c>
      <c r="AM51" s="54">
        <v>6630.05</v>
      </c>
      <c r="AN51" s="39">
        <v>5.0</v>
      </c>
      <c r="AO51" s="35" t="s">
        <v>28</v>
      </c>
      <c r="AP51" s="36" t="s">
        <v>32</v>
      </c>
      <c r="AQ51" s="1"/>
      <c r="AR51" s="36" t="s">
        <v>542</v>
      </c>
      <c r="AS51" s="54">
        <v>45.0</v>
      </c>
      <c r="AT51" s="39">
        <v>10.0</v>
      </c>
      <c r="AU51" s="35" t="s">
        <v>28</v>
      </c>
      <c r="AV51" s="36" t="s">
        <v>34</v>
      </c>
      <c r="AW51" s="1"/>
      <c r="AX51" s="36" t="s">
        <v>543</v>
      </c>
      <c r="AY51" s="54">
        <v>250.0</v>
      </c>
      <c r="AZ51" s="39">
        <v>9.0</v>
      </c>
      <c r="BA51" s="35" t="s">
        <v>32</v>
      </c>
      <c r="BB51" s="36" t="s">
        <v>32</v>
      </c>
      <c r="BC51" s="1"/>
      <c r="BD51" s="36" t="s">
        <v>116</v>
      </c>
      <c r="BE51" s="54">
        <v>60.0</v>
      </c>
      <c r="BF51" s="39">
        <v>14.0</v>
      </c>
      <c r="BG51" s="35" t="s">
        <v>28</v>
      </c>
      <c r="BH51" s="36" t="s">
        <v>32</v>
      </c>
      <c r="BI51" s="1"/>
      <c r="BJ51" s="36" t="s">
        <v>100</v>
      </c>
      <c r="BK51" s="59">
        <v>100.0</v>
      </c>
      <c r="BL51" s="39">
        <v>18.0</v>
      </c>
      <c r="BM51" s="35" t="s">
        <v>32</v>
      </c>
      <c r="BN51" s="36" t="s">
        <v>32</v>
      </c>
      <c r="BO51" s="1"/>
      <c r="BP51" s="36" t="s">
        <v>544</v>
      </c>
      <c r="BQ51" s="54">
        <v>224.0</v>
      </c>
      <c r="BR51" s="39">
        <v>18.0</v>
      </c>
      <c r="BS51" s="35" t="s">
        <v>32</v>
      </c>
      <c r="BT51" s="36" t="s">
        <v>32</v>
      </c>
      <c r="BU51" s="4"/>
    </row>
    <row r="52">
      <c r="A52" s="1"/>
      <c r="B52" s="36" t="s">
        <v>115</v>
      </c>
      <c r="C52" s="54">
        <v>3.0</v>
      </c>
      <c r="D52" s="39">
        <v>10.0</v>
      </c>
      <c r="E52" s="35" t="s">
        <v>32</v>
      </c>
      <c r="F52" s="36" t="s">
        <v>32</v>
      </c>
      <c r="G52" s="1"/>
      <c r="H52" s="36" t="s">
        <v>92</v>
      </c>
      <c r="I52" s="54">
        <v>20.0</v>
      </c>
      <c r="J52" s="39">
        <v>14.0</v>
      </c>
      <c r="K52" s="35" t="s">
        <v>32</v>
      </c>
      <c r="L52" s="36" t="s">
        <v>32</v>
      </c>
      <c r="M52" s="1"/>
      <c r="N52" s="36" t="s">
        <v>191</v>
      </c>
      <c r="O52" s="54">
        <v>20.0</v>
      </c>
      <c r="P52" s="39">
        <v>15.0</v>
      </c>
      <c r="Q52" s="35" t="s">
        <v>28</v>
      </c>
      <c r="R52" s="36" t="s">
        <v>32</v>
      </c>
      <c r="S52" s="1"/>
      <c r="T52" s="36" t="s">
        <v>545</v>
      </c>
      <c r="U52" s="54">
        <v>50.0</v>
      </c>
      <c r="V52" s="39">
        <v>14.0</v>
      </c>
      <c r="W52" s="35" t="s">
        <v>32</v>
      </c>
      <c r="X52" s="36" t="s">
        <v>32</v>
      </c>
      <c r="Y52" s="1"/>
      <c r="Z52" s="36" t="s">
        <v>191</v>
      </c>
      <c r="AA52" s="54">
        <v>20.0</v>
      </c>
      <c r="AB52" s="39">
        <v>13.0</v>
      </c>
      <c r="AC52" s="35" t="s">
        <v>28</v>
      </c>
      <c r="AD52" s="36" t="s">
        <v>32</v>
      </c>
      <c r="AE52" s="1"/>
      <c r="AF52" s="36" t="s">
        <v>114</v>
      </c>
      <c r="AG52" s="54">
        <v>6.0</v>
      </c>
      <c r="AH52" s="39">
        <v>10.0</v>
      </c>
      <c r="AI52" s="35" t="s">
        <v>32</v>
      </c>
      <c r="AJ52" s="36" t="s">
        <v>32</v>
      </c>
      <c r="AK52" s="1"/>
      <c r="AL52" s="36" t="s">
        <v>226</v>
      </c>
      <c r="AM52" s="54">
        <v>6099.3</v>
      </c>
      <c r="AN52" s="39">
        <v>5.0</v>
      </c>
      <c r="AO52" s="35" t="s">
        <v>32</v>
      </c>
      <c r="AP52" s="36" t="s">
        <v>32</v>
      </c>
      <c r="AQ52" s="1"/>
      <c r="AR52" s="36" t="s">
        <v>546</v>
      </c>
      <c r="AS52" s="54">
        <v>6952.0</v>
      </c>
      <c r="AT52" s="39">
        <v>11.0</v>
      </c>
      <c r="AU52" s="35" t="s">
        <v>32</v>
      </c>
      <c r="AV52" s="36" t="s">
        <v>32</v>
      </c>
      <c r="AW52" s="1"/>
      <c r="AX52" s="36" t="s">
        <v>115</v>
      </c>
      <c r="AY52" s="54">
        <v>241.12</v>
      </c>
      <c r="AZ52" s="39">
        <v>10.0</v>
      </c>
      <c r="BA52" s="35" t="s">
        <v>32</v>
      </c>
      <c r="BB52" s="36" t="s">
        <v>32</v>
      </c>
      <c r="BC52" s="1"/>
      <c r="BD52" s="36" t="s">
        <v>547</v>
      </c>
      <c r="BE52" s="54">
        <v>115.0</v>
      </c>
      <c r="BF52" s="39">
        <v>17.0</v>
      </c>
      <c r="BG52" s="35" t="s">
        <v>28</v>
      </c>
      <c r="BH52" s="36" t="s">
        <v>34</v>
      </c>
      <c r="BI52" s="1"/>
      <c r="BJ52" s="36" t="s">
        <v>124</v>
      </c>
      <c r="BK52" s="59">
        <v>0.2</v>
      </c>
      <c r="BL52" s="39">
        <v>18.0</v>
      </c>
      <c r="BM52" s="35" t="s">
        <v>32</v>
      </c>
      <c r="BN52" s="36" t="s">
        <v>32</v>
      </c>
      <c r="BO52" s="1"/>
      <c r="BP52" s="36" t="s">
        <v>92</v>
      </c>
      <c r="BQ52" s="54">
        <v>30.0</v>
      </c>
      <c r="BR52" s="39">
        <v>18.0</v>
      </c>
      <c r="BS52" s="35" t="s">
        <v>32</v>
      </c>
      <c r="BT52" s="36" t="s">
        <v>32</v>
      </c>
      <c r="BU52" s="4"/>
    </row>
    <row r="53">
      <c r="A53" s="1"/>
      <c r="B53" s="36" t="s">
        <v>114</v>
      </c>
      <c r="C53" s="54">
        <v>6.0</v>
      </c>
      <c r="D53" s="39">
        <v>10.0</v>
      </c>
      <c r="E53" s="35" t="s">
        <v>32</v>
      </c>
      <c r="F53" s="36" t="s">
        <v>32</v>
      </c>
      <c r="G53" s="1"/>
      <c r="H53" s="36" t="s">
        <v>92</v>
      </c>
      <c r="I53" s="54">
        <v>35.0</v>
      </c>
      <c r="J53" s="39">
        <v>14.0</v>
      </c>
      <c r="K53" s="35" t="s">
        <v>32</v>
      </c>
      <c r="L53" s="36" t="s">
        <v>32</v>
      </c>
      <c r="M53" s="1"/>
      <c r="N53" s="36" t="s">
        <v>92</v>
      </c>
      <c r="O53" s="54">
        <v>12.5</v>
      </c>
      <c r="P53" s="39">
        <v>18.0</v>
      </c>
      <c r="Q53" s="35" t="s">
        <v>32</v>
      </c>
      <c r="R53" s="36" t="s">
        <v>32</v>
      </c>
      <c r="S53" s="1"/>
      <c r="T53" s="36" t="s">
        <v>548</v>
      </c>
      <c r="U53" s="54">
        <v>109.0</v>
      </c>
      <c r="V53" s="39">
        <v>14.0</v>
      </c>
      <c r="W53" s="35" t="s">
        <v>28</v>
      </c>
      <c r="X53" s="36" t="s">
        <v>34</v>
      </c>
      <c r="Y53" s="1"/>
      <c r="Z53" s="36" t="s">
        <v>305</v>
      </c>
      <c r="AA53" s="54">
        <v>20.0</v>
      </c>
      <c r="AB53" s="39">
        <v>13.0</v>
      </c>
      <c r="AC53" s="35" t="s">
        <v>32</v>
      </c>
      <c r="AD53" s="36" t="s">
        <v>32</v>
      </c>
      <c r="AE53" s="1"/>
      <c r="AF53" s="36" t="s">
        <v>115</v>
      </c>
      <c r="AG53" s="54">
        <v>313.42</v>
      </c>
      <c r="AH53" s="39">
        <v>10.0</v>
      </c>
      <c r="AI53" s="35" t="s">
        <v>32</v>
      </c>
      <c r="AJ53" s="36" t="s">
        <v>32</v>
      </c>
      <c r="AK53" s="1"/>
      <c r="AL53" s="36" t="s">
        <v>92</v>
      </c>
      <c r="AM53" s="54">
        <v>100.0</v>
      </c>
      <c r="AN53" s="39">
        <v>5.0</v>
      </c>
      <c r="AO53" s="35" t="s">
        <v>32</v>
      </c>
      <c r="AP53" s="36" t="s">
        <v>32</v>
      </c>
      <c r="AQ53" s="1"/>
      <c r="AR53" s="36" t="s">
        <v>426</v>
      </c>
      <c r="AS53" s="54">
        <v>120.0</v>
      </c>
      <c r="AT53" s="39">
        <v>11.0</v>
      </c>
      <c r="AU53" s="35" t="s">
        <v>32</v>
      </c>
      <c r="AV53" s="36" t="s">
        <v>32</v>
      </c>
      <c r="AW53" s="1"/>
      <c r="AX53" s="36" t="s">
        <v>114</v>
      </c>
      <c r="AY53" s="54">
        <v>6.0</v>
      </c>
      <c r="AZ53" s="39">
        <v>10.0</v>
      </c>
      <c r="BA53" s="35" t="s">
        <v>32</v>
      </c>
      <c r="BB53" s="36" t="s">
        <v>32</v>
      </c>
      <c r="BC53" s="1"/>
      <c r="BD53" s="36" t="s">
        <v>549</v>
      </c>
      <c r="BE53" s="54">
        <v>61.0</v>
      </c>
      <c r="BF53" s="39">
        <v>18.0</v>
      </c>
      <c r="BG53" s="35" t="s">
        <v>28</v>
      </c>
      <c r="BH53" s="36" t="s">
        <v>34</v>
      </c>
      <c r="BI53" s="1"/>
      <c r="BJ53" s="36" t="s">
        <v>550</v>
      </c>
      <c r="BK53" s="59">
        <v>10392.01</v>
      </c>
      <c r="BL53" s="39">
        <v>18.0</v>
      </c>
      <c r="BM53" s="35" t="s">
        <v>32</v>
      </c>
      <c r="BN53" s="36" t="s">
        <v>32</v>
      </c>
      <c r="BO53" s="1"/>
      <c r="BP53" s="36" t="s">
        <v>295</v>
      </c>
      <c r="BQ53" s="54">
        <v>17.0</v>
      </c>
      <c r="BR53" s="39">
        <v>19.0</v>
      </c>
      <c r="BS53" s="35" t="s">
        <v>32</v>
      </c>
      <c r="BT53" s="36" t="s">
        <v>32</v>
      </c>
      <c r="BU53" s="4"/>
    </row>
    <row r="54">
      <c r="A54" s="1"/>
      <c r="B54" s="36" t="s">
        <v>226</v>
      </c>
      <c r="C54" s="54">
        <v>2105.61</v>
      </c>
      <c r="D54" s="39">
        <v>10.0</v>
      </c>
      <c r="E54" s="35" t="s">
        <v>32</v>
      </c>
      <c r="F54" s="36" t="s">
        <v>32</v>
      </c>
      <c r="G54" s="1"/>
      <c r="H54" s="36" t="s">
        <v>551</v>
      </c>
      <c r="I54" s="54">
        <v>300.0</v>
      </c>
      <c r="J54" s="39">
        <v>14.0</v>
      </c>
      <c r="K54" s="35" t="s">
        <v>32</v>
      </c>
      <c r="L54" s="36" t="s">
        <v>32</v>
      </c>
      <c r="M54" s="1"/>
      <c r="N54" s="36" t="s">
        <v>552</v>
      </c>
      <c r="O54" s="54">
        <v>30.0</v>
      </c>
      <c r="P54" s="39">
        <v>18.0</v>
      </c>
      <c r="Q54" s="35" t="s">
        <v>28</v>
      </c>
      <c r="R54" s="36" t="s">
        <v>32</v>
      </c>
      <c r="S54" s="1"/>
      <c r="T54" s="36" t="s">
        <v>553</v>
      </c>
      <c r="U54" s="54">
        <v>71.3</v>
      </c>
      <c r="V54" s="39">
        <v>15.0</v>
      </c>
      <c r="W54" s="35" t="s">
        <v>32</v>
      </c>
      <c r="X54" s="36" t="s">
        <v>32</v>
      </c>
      <c r="Y54" s="1"/>
      <c r="Z54" s="36" t="s">
        <v>100</v>
      </c>
      <c r="AA54" s="54">
        <v>50.0</v>
      </c>
      <c r="AB54" s="39">
        <v>13.0</v>
      </c>
      <c r="AC54" s="35" t="s">
        <v>32</v>
      </c>
      <c r="AD54" s="36" t="s">
        <v>32</v>
      </c>
      <c r="AE54" s="1"/>
      <c r="AF54" s="36" t="s">
        <v>554</v>
      </c>
      <c r="AG54" s="54">
        <v>500.0</v>
      </c>
      <c r="AH54" s="39">
        <v>12.0</v>
      </c>
      <c r="AI54" s="35" t="s">
        <v>32</v>
      </c>
      <c r="AJ54" s="36" t="s">
        <v>32</v>
      </c>
      <c r="AK54" s="1"/>
      <c r="AL54" s="36" t="s">
        <v>555</v>
      </c>
      <c r="AM54" s="54">
        <v>820.65</v>
      </c>
      <c r="AN54" s="39">
        <v>5.0</v>
      </c>
      <c r="AO54" s="35" t="s">
        <v>28</v>
      </c>
      <c r="AP54" s="36" t="s">
        <v>34</v>
      </c>
      <c r="AQ54" s="1"/>
      <c r="AR54" s="36" t="s">
        <v>115</v>
      </c>
      <c r="AS54" s="54">
        <v>129.37</v>
      </c>
      <c r="AT54" s="39">
        <v>12.0</v>
      </c>
      <c r="AU54" s="35" t="s">
        <v>32</v>
      </c>
      <c r="AV54" s="36" t="s">
        <v>32</v>
      </c>
      <c r="AW54" s="1"/>
      <c r="AX54" s="36" t="s">
        <v>226</v>
      </c>
      <c r="AY54" s="54">
        <f> 6188.11 + 689.41</f>
        <v>6877.52</v>
      </c>
      <c r="AZ54" s="39">
        <v>10.0</v>
      </c>
      <c r="BA54" s="35" t="s">
        <v>32</v>
      </c>
      <c r="BB54" s="36" t="s">
        <v>32</v>
      </c>
      <c r="BC54" s="1"/>
      <c r="BD54" s="36" t="s">
        <v>556</v>
      </c>
      <c r="BE54" s="54">
        <v>15.0</v>
      </c>
      <c r="BF54" s="39">
        <v>19.0</v>
      </c>
      <c r="BG54" s="35" t="s">
        <v>28</v>
      </c>
      <c r="BH54" s="36" t="s">
        <v>34</v>
      </c>
      <c r="BI54" s="1"/>
      <c r="BJ54" s="36" t="s">
        <v>557</v>
      </c>
      <c r="BK54" s="59">
        <v>330.0</v>
      </c>
      <c r="BL54" s="39">
        <v>18.0</v>
      </c>
      <c r="BM54" s="35" t="s">
        <v>28</v>
      </c>
      <c r="BN54" s="36" t="s">
        <v>32</v>
      </c>
      <c r="BO54" s="1"/>
      <c r="BP54" s="36" t="s">
        <v>558</v>
      </c>
      <c r="BQ54" s="54">
        <v>250.0</v>
      </c>
      <c r="BR54" s="39">
        <v>20.0</v>
      </c>
      <c r="BS54" s="35" t="s">
        <v>32</v>
      </c>
      <c r="BT54" s="36" t="s">
        <v>32</v>
      </c>
      <c r="BU54" s="4"/>
    </row>
    <row r="55">
      <c r="A55" s="1"/>
      <c r="B55" s="36" t="s">
        <v>220</v>
      </c>
      <c r="C55" s="54">
        <v>7806.56</v>
      </c>
      <c r="D55" s="39">
        <v>10.0</v>
      </c>
      <c r="E55" s="35" t="s">
        <v>28</v>
      </c>
      <c r="F55" s="36" t="s">
        <v>32</v>
      </c>
      <c r="G55" s="1"/>
      <c r="H55" s="36" t="s">
        <v>355</v>
      </c>
      <c r="I55" s="54">
        <v>30.0</v>
      </c>
      <c r="J55" s="39">
        <v>14.0</v>
      </c>
      <c r="K55" s="35" t="s">
        <v>32</v>
      </c>
      <c r="L55" s="36" t="s">
        <v>32</v>
      </c>
      <c r="M55" s="1"/>
      <c r="N55" s="36" t="s">
        <v>210</v>
      </c>
      <c r="O55" s="54">
        <v>20.0</v>
      </c>
      <c r="P55" s="39">
        <v>18.0</v>
      </c>
      <c r="Q55" s="35" t="s">
        <v>28</v>
      </c>
      <c r="R55" s="36" t="s">
        <v>32</v>
      </c>
      <c r="S55" s="1"/>
      <c r="T55" s="36" t="s">
        <v>559</v>
      </c>
      <c r="U55" s="54">
        <v>1065.0</v>
      </c>
      <c r="V55" s="39">
        <v>16.0</v>
      </c>
      <c r="W55" s="35" t="s">
        <v>28</v>
      </c>
      <c r="X55" s="36" t="s">
        <v>32</v>
      </c>
      <c r="Y55" s="1"/>
      <c r="Z55" s="36" t="s">
        <v>210</v>
      </c>
      <c r="AA55" s="54">
        <v>21.0</v>
      </c>
      <c r="AB55" s="39">
        <v>13.0</v>
      </c>
      <c r="AC55" s="35" t="s">
        <v>32</v>
      </c>
      <c r="AD55" s="36" t="s">
        <v>32</v>
      </c>
      <c r="AE55" s="1"/>
      <c r="AF55" s="36" t="s">
        <v>560</v>
      </c>
      <c r="AG55" s="54">
        <v>600.0</v>
      </c>
      <c r="AH55" s="39">
        <v>12.0</v>
      </c>
      <c r="AI55" s="35" t="s">
        <v>32</v>
      </c>
      <c r="AJ55" s="36" t="s">
        <v>32</v>
      </c>
      <c r="AK55" s="1"/>
      <c r="AL55" s="36" t="s">
        <v>561</v>
      </c>
      <c r="AM55" s="54">
        <v>42.0</v>
      </c>
      <c r="AN55" s="39">
        <v>7.0</v>
      </c>
      <c r="AO55" s="35" t="s">
        <v>28</v>
      </c>
      <c r="AP55" s="36" t="s">
        <v>34</v>
      </c>
      <c r="AQ55" s="1"/>
      <c r="AR55" s="36" t="s">
        <v>562</v>
      </c>
      <c r="AS55" s="54">
        <v>70.0</v>
      </c>
      <c r="AT55" s="39">
        <v>13.0</v>
      </c>
      <c r="AU55" s="35" t="s">
        <v>28</v>
      </c>
      <c r="AV55" s="36" t="s">
        <v>34</v>
      </c>
      <c r="AW55" s="1"/>
      <c r="AX55" s="36" t="s">
        <v>220</v>
      </c>
      <c r="AY55" s="54">
        <v>7999.49</v>
      </c>
      <c r="AZ55" s="39">
        <v>10.0</v>
      </c>
      <c r="BA55" s="35" t="s">
        <v>28</v>
      </c>
      <c r="BB55" s="36" t="s">
        <v>32</v>
      </c>
      <c r="BC55" s="1"/>
      <c r="BD55" s="36" t="s">
        <v>210</v>
      </c>
      <c r="BE55" s="54">
        <v>100.0</v>
      </c>
      <c r="BF55" s="39">
        <v>21.0</v>
      </c>
      <c r="BG55" s="35" t="s">
        <v>28</v>
      </c>
      <c r="BH55" s="36" t="s">
        <v>34</v>
      </c>
      <c r="BI55" s="1"/>
      <c r="BJ55" s="36" t="s">
        <v>563</v>
      </c>
      <c r="BK55" s="59">
        <v>500.0</v>
      </c>
      <c r="BL55" s="39">
        <v>18.0</v>
      </c>
      <c r="BM55" s="35" t="s">
        <v>32</v>
      </c>
      <c r="BN55" s="36" t="s">
        <v>32</v>
      </c>
      <c r="BO55" s="1"/>
      <c r="BP55" s="36" t="s">
        <v>188</v>
      </c>
      <c r="BQ55" s="54">
        <v>153.0</v>
      </c>
      <c r="BR55" s="39">
        <v>23.0</v>
      </c>
      <c r="BS55" s="35" t="s">
        <v>32</v>
      </c>
      <c r="BT55" s="36" t="s">
        <v>32</v>
      </c>
      <c r="BU55" s="4"/>
    </row>
    <row r="56">
      <c r="A56" s="1"/>
      <c r="B56" s="36" t="s">
        <v>218</v>
      </c>
      <c r="C56" s="54">
        <v>30.0</v>
      </c>
      <c r="D56" s="39">
        <v>12.0</v>
      </c>
      <c r="E56" s="35" t="s">
        <v>32</v>
      </c>
      <c r="F56" s="36" t="s">
        <v>32</v>
      </c>
      <c r="G56" s="1"/>
      <c r="H56" s="36" t="s">
        <v>564</v>
      </c>
      <c r="I56" s="54">
        <v>120.0</v>
      </c>
      <c r="J56" s="39">
        <v>14.0</v>
      </c>
      <c r="K56" s="35" t="s">
        <v>32</v>
      </c>
      <c r="L56" s="36" t="s">
        <v>32</v>
      </c>
      <c r="M56" s="1"/>
      <c r="N56" s="36" t="s">
        <v>92</v>
      </c>
      <c r="O56" s="54">
        <v>1.0</v>
      </c>
      <c r="P56" s="39">
        <v>18.0</v>
      </c>
      <c r="Q56" s="35" t="s">
        <v>32</v>
      </c>
      <c r="R56" s="36" t="s">
        <v>32</v>
      </c>
      <c r="S56" s="1"/>
      <c r="T56" s="36" t="s">
        <v>565</v>
      </c>
      <c r="U56" s="54">
        <v>100.0</v>
      </c>
      <c r="V56" s="39">
        <v>16.0</v>
      </c>
      <c r="W56" s="35" t="s">
        <v>32</v>
      </c>
      <c r="X56" s="36" t="s">
        <v>32</v>
      </c>
      <c r="Y56" s="1"/>
      <c r="Z56" s="36" t="s">
        <v>215</v>
      </c>
      <c r="AA56" s="54">
        <v>50.0</v>
      </c>
      <c r="AB56" s="39">
        <v>13.0</v>
      </c>
      <c r="AC56" s="35" t="s">
        <v>28</v>
      </c>
      <c r="AD56" s="36" t="s">
        <v>34</v>
      </c>
      <c r="AE56" s="1"/>
      <c r="AF56" s="36" t="s">
        <v>566</v>
      </c>
      <c r="AG56" s="54">
        <v>179.0</v>
      </c>
      <c r="AH56" s="39">
        <v>12.0</v>
      </c>
      <c r="AI56" s="35" t="s">
        <v>32</v>
      </c>
      <c r="AJ56" s="36" t="s">
        <v>32</v>
      </c>
      <c r="AK56" s="1"/>
      <c r="AL56" s="36" t="s">
        <v>567</v>
      </c>
      <c r="AM56" s="54">
        <v>70.0</v>
      </c>
      <c r="AN56" s="39">
        <v>7.0</v>
      </c>
      <c r="AO56" s="35" t="s">
        <v>28</v>
      </c>
      <c r="AP56" s="36" t="s">
        <v>34</v>
      </c>
      <c r="AQ56" s="1"/>
      <c r="AR56" s="36" t="s">
        <v>568</v>
      </c>
      <c r="AS56" s="54">
        <v>90.0</v>
      </c>
      <c r="AT56" s="39">
        <v>15.0</v>
      </c>
      <c r="AU56" s="35" t="s">
        <v>28</v>
      </c>
      <c r="AV56" s="36" t="s">
        <v>32</v>
      </c>
      <c r="AW56" s="1"/>
      <c r="AX56" s="36" t="s">
        <v>569</v>
      </c>
      <c r="AY56" s="54">
        <v>70.0</v>
      </c>
      <c r="AZ56" s="39">
        <v>10.0</v>
      </c>
      <c r="BA56" s="35" t="s">
        <v>28</v>
      </c>
      <c r="BB56" s="36" t="s">
        <v>34</v>
      </c>
      <c r="BC56" s="1"/>
      <c r="BD56" s="36" t="s">
        <v>110</v>
      </c>
      <c r="BE56" s="54">
        <v>20.0</v>
      </c>
      <c r="BF56" s="39">
        <v>24.0</v>
      </c>
      <c r="BG56" s="35" t="s">
        <v>28</v>
      </c>
      <c r="BH56" s="36" t="s">
        <v>34</v>
      </c>
      <c r="BI56" s="1"/>
      <c r="BJ56" s="36" t="s">
        <v>570</v>
      </c>
      <c r="BK56" s="59">
        <v>6.57</v>
      </c>
      <c r="BL56" s="39">
        <v>19.0</v>
      </c>
      <c r="BM56" s="35" t="s">
        <v>32</v>
      </c>
      <c r="BN56" s="36" t="s">
        <v>32</v>
      </c>
      <c r="BO56" s="1"/>
      <c r="BP56" s="36" t="s">
        <v>560</v>
      </c>
      <c r="BQ56" s="54">
        <v>135.0</v>
      </c>
      <c r="BR56" s="39">
        <v>23.0</v>
      </c>
      <c r="BS56" s="35" t="s">
        <v>32</v>
      </c>
      <c r="BT56" s="36" t="s">
        <v>32</v>
      </c>
      <c r="BU56" s="4"/>
    </row>
    <row r="57">
      <c r="A57" s="1"/>
      <c r="B57" s="36" t="s">
        <v>571</v>
      </c>
      <c r="C57" s="54">
        <v>1430.68</v>
      </c>
      <c r="D57" s="39">
        <v>12.0</v>
      </c>
      <c r="E57" s="35" t="s">
        <v>32</v>
      </c>
      <c r="F57" s="36" t="s">
        <v>32</v>
      </c>
      <c r="G57" s="1"/>
      <c r="H57" s="36" t="s">
        <v>89</v>
      </c>
      <c r="I57" s="54">
        <v>27.0</v>
      </c>
      <c r="J57" s="39">
        <v>14.0</v>
      </c>
      <c r="K57" s="35" t="s">
        <v>28</v>
      </c>
      <c r="L57" s="36" t="s">
        <v>32</v>
      </c>
      <c r="M57" s="1"/>
      <c r="N57" s="36" t="s">
        <v>210</v>
      </c>
      <c r="O57" s="54">
        <v>100.0</v>
      </c>
      <c r="P57" s="39">
        <v>19.0</v>
      </c>
      <c r="Q57" s="35" t="s">
        <v>28</v>
      </c>
      <c r="R57" s="36" t="s">
        <v>32</v>
      </c>
      <c r="S57" s="1"/>
      <c r="T57" s="36" t="s">
        <v>286</v>
      </c>
      <c r="U57" s="54">
        <v>54.1</v>
      </c>
      <c r="V57" s="39">
        <v>18.0</v>
      </c>
      <c r="W57" s="35" t="s">
        <v>32</v>
      </c>
      <c r="X57" s="36" t="s">
        <v>32</v>
      </c>
      <c r="Y57" s="1"/>
      <c r="Z57" s="36" t="s">
        <v>218</v>
      </c>
      <c r="AA57" s="54">
        <v>30.0</v>
      </c>
      <c r="AB57" s="39">
        <v>15.0</v>
      </c>
      <c r="AC57" s="35" t="s">
        <v>32</v>
      </c>
      <c r="AD57" s="36" t="s">
        <v>32</v>
      </c>
      <c r="AE57" s="1"/>
      <c r="AF57" s="36" t="s">
        <v>572</v>
      </c>
      <c r="AG57" s="54">
        <v>1312.0</v>
      </c>
      <c r="AH57" s="39">
        <v>12.0</v>
      </c>
      <c r="AI57" s="35" t="s">
        <v>32</v>
      </c>
      <c r="AJ57" s="36" t="s">
        <v>32</v>
      </c>
      <c r="AK57" s="1"/>
      <c r="AL57" s="36" t="s">
        <v>299</v>
      </c>
      <c r="AM57" s="54">
        <v>60.0</v>
      </c>
      <c r="AN57" s="39">
        <v>7.0</v>
      </c>
      <c r="AO57" s="35" t="s">
        <v>28</v>
      </c>
      <c r="AP57" s="36" t="s">
        <v>34</v>
      </c>
      <c r="AQ57" s="1"/>
      <c r="AR57" s="36" t="s">
        <v>568</v>
      </c>
      <c r="AS57" s="54">
        <v>70.0</v>
      </c>
      <c r="AT57" s="39">
        <v>15.0</v>
      </c>
      <c r="AU57" s="35" t="s">
        <v>28</v>
      </c>
      <c r="AV57" s="36" t="s">
        <v>32</v>
      </c>
      <c r="AW57" s="1"/>
      <c r="AX57" s="36" t="s">
        <v>110</v>
      </c>
      <c r="AY57" s="54">
        <v>50.0</v>
      </c>
      <c r="AZ57" s="39">
        <v>10.0</v>
      </c>
      <c r="BA57" s="35" t="s">
        <v>28</v>
      </c>
      <c r="BB57" s="36" t="s">
        <v>34</v>
      </c>
      <c r="BC57" s="1"/>
      <c r="BD57" s="36" t="s">
        <v>130</v>
      </c>
      <c r="BE57" s="54">
        <v>100.0</v>
      </c>
      <c r="BF57" s="39">
        <v>28.0</v>
      </c>
      <c r="BG57" s="35" t="s">
        <v>32</v>
      </c>
      <c r="BH57" s="36" t="s">
        <v>32</v>
      </c>
      <c r="BI57" s="1"/>
      <c r="BJ57" s="36" t="s">
        <v>573</v>
      </c>
      <c r="BK57" s="59">
        <v>5.0</v>
      </c>
      <c r="BL57" s="39">
        <v>19.0</v>
      </c>
      <c r="BM57" s="35" t="s">
        <v>32</v>
      </c>
      <c r="BN57" s="36" t="s">
        <v>32</v>
      </c>
      <c r="BO57" s="1"/>
      <c r="BP57" s="36" t="s">
        <v>455</v>
      </c>
      <c r="BQ57" s="54">
        <v>30.0</v>
      </c>
      <c r="BR57" s="39">
        <v>23.0</v>
      </c>
      <c r="BS57" s="35" t="s">
        <v>32</v>
      </c>
      <c r="BT57" s="36" t="s">
        <v>32</v>
      </c>
      <c r="BU57" s="4"/>
    </row>
    <row r="58">
      <c r="A58" s="1"/>
      <c r="B58" s="36" t="s">
        <v>121</v>
      </c>
      <c r="C58" s="54">
        <v>1340.72</v>
      </c>
      <c r="D58" s="39">
        <v>12.0</v>
      </c>
      <c r="E58" s="35" t="s">
        <v>28</v>
      </c>
      <c r="F58" s="36" t="s">
        <v>32</v>
      </c>
      <c r="G58" s="1"/>
      <c r="H58" s="36" t="s">
        <v>115</v>
      </c>
      <c r="I58" s="54">
        <v>3.0</v>
      </c>
      <c r="J58" s="39">
        <v>14.0</v>
      </c>
      <c r="K58" s="35" t="s">
        <v>32</v>
      </c>
      <c r="L58" s="36" t="s">
        <v>32</v>
      </c>
      <c r="M58" s="1"/>
      <c r="N58" s="36" t="s">
        <v>238</v>
      </c>
      <c r="O58" s="54">
        <v>30.0</v>
      </c>
      <c r="P58" s="39">
        <v>21.0</v>
      </c>
      <c r="Q58" s="35" t="s">
        <v>32</v>
      </c>
      <c r="R58" s="36" t="s">
        <v>32</v>
      </c>
      <c r="S58" s="1"/>
      <c r="T58" s="36" t="s">
        <v>574</v>
      </c>
      <c r="U58" s="54">
        <v>296.5</v>
      </c>
      <c r="V58" s="39">
        <v>18.0</v>
      </c>
      <c r="W58" s="35" t="s">
        <v>28</v>
      </c>
      <c r="X58" s="36" t="s">
        <v>32</v>
      </c>
      <c r="Y58" s="1"/>
      <c r="Z58" s="36" t="s">
        <v>210</v>
      </c>
      <c r="AA58" s="54">
        <v>120.0</v>
      </c>
      <c r="AB58" s="39">
        <v>15.0</v>
      </c>
      <c r="AC58" s="35" t="s">
        <v>28</v>
      </c>
      <c r="AD58" s="36" t="s">
        <v>32</v>
      </c>
      <c r="AE58" s="1"/>
      <c r="AF58" s="36" t="s">
        <v>575</v>
      </c>
      <c r="AG58" s="54">
        <v>80.0</v>
      </c>
      <c r="AH58" s="39">
        <v>14.0</v>
      </c>
      <c r="AI58" s="35" t="s">
        <v>28</v>
      </c>
      <c r="AJ58" s="36" t="s">
        <v>34</v>
      </c>
      <c r="AK58" s="1"/>
      <c r="AL58" s="36" t="s">
        <v>89</v>
      </c>
      <c r="AM58" s="54">
        <v>190.0</v>
      </c>
      <c r="AN58" s="39">
        <v>8.0</v>
      </c>
      <c r="AO58" s="35" t="s">
        <v>28</v>
      </c>
      <c r="AP58" s="36" t="s">
        <v>32</v>
      </c>
      <c r="AQ58" s="1"/>
      <c r="AR58" s="36" t="s">
        <v>576</v>
      </c>
      <c r="AS58" s="54">
        <v>15.0</v>
      </c>
      <c r="AT58" s="39">
        <v>16.0</v>
      </c>
      <c r="AU58" s="35" t="s">
        <v>28</v>
      </c>
      <c r="AV58" s="36" t="s">
        <v>34</v>
      </c>
      <c r="AW58" s="1"/>
      <c r="AX58" s="36" t="s">
        <v>191</v>
      </c>
      <c r="AY58" s="54">
        <v>20.0</v>
      </c>
      <c r="AZ58" s="39">
        <v>13.0</v>
      </c>
      <c r="BA58" s="35" t="s">
        <v>28</v>
      </c>
      <c r="BB58" s="36" t="s">
        <v>32</v>
      </c>
      <c r="BC58" s="1"/>
      <c r="BD58" s="36" t="s">
        <v>92</v>
      </c>
      <c r="BE58" s="54">
        <v>21.0</v>
      </c>
      <c r="BF58" s="39">
        <v>28.0</v>
      </c>
      <c r="BG58" s="35" t="s">
        <v>32</v>
      </c>
      <c r="BH58" s="36" t="s">
        <v>32</v>
      </c>
      <c r="BI58" s="1"/>
      <c r="BJ58" s="36" t="s">
        <v>577</v>
      </c>
      <c r="BK58" s="59">
        <v>6.0</v>
      </c>
      <c r="BL58" s="39">
        <v>21.0</v>
      </c>
      <c r="BM58" s="35" t="s">
        <v>28</v>
      </c>
      <c r="BN58" s="36" t="s">
        <v>32</v>
      </c>
      <c r="BO58" s="1"/>
      <c r="BP58" s="36" t="s">
        <v>210</v>
      </c>
      <c r="BQ58" s="54">
        <v>50.0</v>
      </c>
      <c r="BR58" s="39">
        <v>23.0</v>
      </c>
      <c r="BS58" s="35" t="s">
        <v>28</v>
      </c>
      <c r="BT58" s="36" t="s">
        <v>32</v>
      </c>
      <c r="BU58" s="4"/>
    </row>
    <row r="59">
      <c r="A59" s="1"/>
      <c r="B59" s="36" t="s">
        <v>578</v>
      </c>
      <c r="C59" s="54">
        <v>292.78</v>
      </c>
      <c r="D59" s="39">
        <v>12.0</v>
      </c>
      <c r="E59" s="35" t="s">
        <v>34</v>
      </c>
      <c r="F59" s="36" t="s">
        <v>32</v>
      </c>
      <c r="G59" s="1"/>
      <c r="H59" s="36" t="s">
        <v>114</v>
      </c>
      <c r="I59" s="54">
        <v>6.0</v>
      </c>
      <c r="J59" s="39">
        <v>14.0</v>
      </c>
      <c r="K59" s="35" t="s">
        <v>32</v>
      </c>
      <c r="L59" s="36" t="s">
        <v>32</v>
      </c>
      <c r="M59" s="1"/>
      <c r="N59" s="36" t="s">
        <v>480</v>
      </c>
      <c r="O59" s="54">
        <v>267.0</v>
      </c>
      <c r="P59" s="39">
        <v>21.0</v>
      </c>
      <c r="Q59" s="35" t="s">
        <v>28</v>
      </c>
      <c r="R59" s="36" t="s">
        <v>32</v>
      </c>
      <c r="S59" s="1"/>
      <c r="T59" s="36" t="s">
        <v>92</v>
      </c>
      <c r="U59" s="54">
        <v>20.0</v>
      </c>
      <c r="V59" s="39">
        <v>18.0</v>
      </c>
      <c r="W59" s="35" t="s">
        <v>32</v>
      </c>
      <c r="X59" s="36" t="s">
        <v>32</v>
      </c>
      <c r="Y59" s="1"/>
      <c r="Z59" s="36" t="s">
        <v>579</v>
      </c>
      <c r="AA59" s="54">
        <v>60.0</v>
      </c>
      <c r="AB59" s="39">
        <v>16.0</v>
      </c>
      <c r="AC59" s="35" t="s">
        <v>28</v>
      </c>
      <c r="AD59" s="36" t="s">
        <v>34</v>
      </c>
      <c r="AE59" s="1"/>
      <c r="AF59" s="36" t="s">
        <v>580</v>
      </c>
      <c r="AG59" s="54">
        <v>199.0</v>
      </c>
      <c r="AH59" s="39">
        <v>14.0</v>
      </c>
      <c r="AI59" s="35" t="s">
        <v>28</v>
      </c>
      <c r="AJ59" s="36" t="s">
        <v>34</v>
      </c>
      <c r="AK59" s="1"/>
      <c r="AL59" s="36" t="s">
        <v>92</v>
      </c>
      <c r="AM59" s="54">
        <v>30.0</v>
      </c>
      <c r="AN59" s="39">
        <v>8.0</v>
      </c>
      <c r="AO59" s="35" t="s">
        <v>32</v>
      </c>
      <c r="AP59" s="36" t="s">
        <v>32</v>
      </c>
      <c r="AQ59" s="1"/>
      <c r="AR59" s="36" t="s">
        <v>581</v>
      </c>
      <c r="AS59" s="54">
        <v>60.0</v>
      </c>
      <c r="AT59" s="39">
        <v>18.0</v>
      </c>
      <c r="AU59" s="35" t="s">
        <v>28</v>
      </c>
      <c r="AV59" s="36" t="s">
        <v>34</v>
      </c>
      <c r="AW59" s="1"/>
      <c r="AX59" s="36" t="s">
        <v>305</v>
      </c>
      <c r="AY59" s="54">
        <v>20.0</v>
      </c>
      <c r="AZ59" s="39">
        <v>13.0</v>
      </c>
      <c r="BA59" s="35" t="s">
        <v>32</v>
      </c>
      <c r="BB59" s="36" t="s">
        <v>32</v>
      </c>
      <c r="BC59" s="1"/>
      <c r="BD59" s="36" t="s">
        <v>92</v>
      </c>
      <c r="BE59" s="54">
        <v>8.0</v>
      </c>
      <c r="BF59" s="39">
        <v>28.0</v>
      </c>
      <c r="BG59" s="35" t="s">
        <v>32</v>
      </c>
      <c r="BH59" s="36" t="s">
        <v>32</v>
      </c>
      <c r="BI59" s="1"/>
      <c r="BJ59" s="36" t="s">
        <v>210</v>
      </c>
      <c r="BK59" s="59">
        <v>-51.0</v>
      </c>
      <c r="BL59" s="39">
        <v>19.0</v>
      </c>
      <c r="BM59" s="35" t="s">
        <v>32</v>
      </c>
      <c r="BN59" s="36" t="s">
        <v>32</v>
      </c>
      <c r="BO59" s="1"/>
      <c r="BP59" s="36" t="s">
        <v>298</v>
      </c>
      <c r="BQ59" s="54">
        <v>89.0</v>
      </c>
      <c r="BR59" s="39">
        <v>23.0</v>
      </c>
      <c r="BS59" s="35" t="s">
        <v>32</v>
      </c>
      <c r="BT59" s="36" t="s">
        <v>32</v>
      </c>
      <c r="BU59" s="4"/>
    </row>
    <row r="60">
      <c r="A60" s="1"/>
      <c r="B60" s="36" t="s">
        <v>582</v>
      </c>
      <c r="C60" s="54">
        <v>20.0</v>
      </c>
      <c r="D60" s="39">
        <v>12.0</v>
      </c>
      <c r="E60" s="35" t="s">
        <v>28</v>
      </c>
      <c r="F60" s="36" t="s">
        <v>34</v>
      </c>
      <c r="G60" s="1"/>
      <c r="H60" s="36" t="s">
        <v>583</v>
      </c>
      <c r="I60" s="54">
        <v>198.0</v>
      </c>
      <c r="J60" s="39">
        <v>15.0</v>
      </c>
      <c r="K60" s="35" t="s">
        <v>28</v>
      </c>
      <c r="L60" s="36" t="s">
        <v>34</v>
      </c>
      <c r="M60" s="1"/>
      <c r="N60" s="36" t="s">
        <v>584</v>
      </c>
      <c r="O60" s="54">
        <v>1292.32</v>
      </c>
      <c r="P60" s="39">
        <v>21.0</v>
      </c>
      <c r="Q60" s="35" t="s">
        <v>34</v>
      </c>
      <c r="R60" s="36" t="s">
        <v>32</v>
      </c>
      <c r="S60" s="1"/>
      <c r="T60" s="36" t="s">
        <v>92</v>
      </c>
      <c r="U60" s="54">
        <v>100.0</v>
      </c>
      <c r="V60" s="39">
        <v>18.0</v>
      </c>
      <c r="W60" s="35" t="s">
        <v>28</v>
      </c>
      <c r="X60" s="36" t="s">
        <v>32</v>
      </c>
      <c r="Y60" s="1"/>
      <c r="Z60" s="36" t="s">
        <v>210</v>
      </c>
      <c r="AA60" s="54">
        <v>52.99</v>
      </c>
      <c r="AB60" s="39">
        <v>16.0</v>
      </c>
      <c r="AC60" s="35" t="s">
        <v>28</v>
      </c>
      <c r="AD60" s="36" t="s">
        <v>34</v>
      </c>
      <c r="AE60" s="1"/>
      <c r="AF60" s="36" t="s">
        <v>286</v>
      </c>
      <c r="AG60" s="54">
        <v>60.0</v>
      </c>
      <c r="AH60" s="39">
        <v>14.0</v>
      </c>
      <c r="AI60" s="35" t="s">
        <v>32</v>
      </c>
      <c r="AJ60" s="36" t="s">
        <v>32</v>
      </c>
      <c r="AK60" s="1"/>
      <c r="AL60" s="36" t="s">
        <v>585</v>
      </c>
      <c r="AM60" s="54">
        <v>142.0</v>
      </c>
      <c r="AN60" s="39">
        <v>9.0</v>
      </c>
      <c r="AO60" s="35" t="s">
        <v>32</v>
      </c>
      <c r="AP60" s="36" t="s">
        <v>32</v>
      </c>
      <c r="AQ60" s="1"/>
      <c r="AR60" s="36" t="s">
        <v>568</v>
      </c>
      <c r="AS60" s="54">
        <v>30.0</v>
      </c>
      <c r="AT60" s="39">
        <v>19.0</v>
      </c>
      <c r="AU60" s="35" t="s">
        <v>28</v>
      </c>
      <c r="AV60" s="36" t="s">
        <v>32</v>
      </c>
      <c r="AW60" s="1"/>
      <c r="AX60" s="36" t="s">
        <v>586</v>
      </c>
      <c r="AY60" s="54">
        <v>160.0</v>
      </c>
      <c r="AZ60" s="39">
        <v>13.0</v>
      </c>
      <c r="BA60" s="35" t="s">
        <v>28</v>
      </c>
      <c r="BB60" s="36" t="s">
        <v>34</v>
      </c>
      <c r="BC60" s="1"/>
      <c r="BD60" s="36" t="s">
        <v>587</v>
      </c>
      <c r="BE60" s="54">
        <v>360.0</v>
      </c>
      <c r="BF60" s="39">
        <v>28.0</v>
      </c>
      <c r="BG60" s="35" t="s">
        <v>32</v>
      </c>
      <c r="BH60" s="36" t="s">
        <v>32</v>
      </c>
      <c r="BI60" s="1"/>
      <c r="BJ60" s="36" t="s">
        <v>588</v>
      </c>
      <c r="BK60" s="59">
        <v>84.0</v>
      </c>
      <c r="BL60" s="39">
        <v>21.0</v>
      </c>
      <c r="BM60" s="35" t="s">
        <v>32</v>
      </c>
      <c r="BN60" s="36" t="s">
        <v>32</v>
      </c>
      <c r="BO60" s="1"/>
      <c r="BP60" s="36" t="s">
        <v>589</v>
      </c>
      <c r="BQ60" s="54">
        <v>250.0</v>
      </c>
      <c r="BR60" s="39">
        <v>26.0</v>
      </c>
      <c r="BS60" s="35" t="s">
        <v>32</v>
      </c>
      <c r="BT60" s="36" t="s">
        <v>32</v>
      </c>
      <c r="BU60" s="4"/>
    </row>
    <row r="61">
      <c r="A61" s="1"/>
      <c r="B61" s="36" t="s">
        <v>590</v>
      </c>
      <c r="C61" s="54">
        <v>40.0</v>
      </c>
      <c r="D61" s="39">
        <v>12.0</v>
      </c>
      <c r="E61" s="35" t="s">
        <v>28</v>
      </c>
      <c r="F61" s="36" t="s">
        <v>34</v>
      </c>
      <c r="G61" s="1"/>
      <c r="H61" s="36" t="s">
        <v>299</v>
      </c>
      <c r="I61" s="54">
        <v>70.0</v>
      </c>
      <c r="J61" s="39">
        <v>16.0</v>
      </c>
      <c r="K61" s="35" t="s">
        <v>28</v>
      </c>
      <c r="L61" s="36" t="s">
        <v>34</v>
      </c>
      <c r="M61" s="1"/>
      <c r="N61" s="36" t="s">
        <v>591</v>
      </c>
      <c r="O61" s="54">
        <v>1438.14</v>
      </c>
      <c r="P61" s="39">
        <v>21.0</v>
      </c>
      <c r="Q61" s="35" t="s">
        <v>32</v>
      </c>
      <c r="R61" s="36" t="s">
        <v>32</v>
      </c>
      <c r="S61" s="1"/>
      <c r="T61" s="36" t="s">
        <v>592</v>
      </c>
      <c r="U61" s="54">
        <v>556.55</v>
      </c>
      <c r="V61" s="39">
        <v>19.0</v>
      </c>
      <c r="W61" s="35" t="s">
        <v>32</v>
      </c>
      <c r="X61" s="36" t="s">
        <v>32</v>
      </c>
      <c r="Y61" s="1"/>
      <c r="Z61" s="36" t="s">
        <v>382</v>
      </c>
      <c r="AA61" s="54">
        <v>87.0</v>
      </c>
      <c r="AB61" s="39">
        <v>16.0</v>
      </c>
      <c r="AC61" s="35" t="s">
        <v>28</v>
      </c>
      <c r="AD61" s="36" t="s">
        <v>34</v>
      </c>
      <c r="AE61" s="1"/>
      <c r="AF61" s="36" t="s">
        <v>573</v>
      </c>
      <c r="AG61" s="54">
        <v>8.0</v>
      </c>
      <c r="AH61" s="39">
        <v>14.0</v>
      </c>
      <c r="AI61" s="35" t="s">
        <v>32</v>
      </c>
      <c r="AJ61" s="36" t="s">
        <v>32</v>
      </c>
      <c r="AK61" s="1"/>
      <c r="AL61" s="36" t="s">
        <v>593</v>
      </c>
      <c r="AM61" s="54">
        <v>300.0</v>
      </c>
      <c r="AN61" s="39">
        <v>9.0</v>
      </c>
      <c r="AO61" s="35" t="s">
        <v>32</v>
      </c>
      <c r="AP61" s="36" t="s">
        <v>32</v>
      </c>
      <c r="AQ61" s="1"/>
      <c r="AR61" s="36" t="s">
        <v>594</v>
      </c>
      <c r="AS61" s="54">
        <v>70.0</v>
      </c>
      <c r="AT61" s="39">
        <v>21.0</v>
      </c>
      <c r="AU61" s="35" t="s">
        <v>28</v>
      </c>
      <c r="AV61" s="36" t="s">
        <v>34</v>
      </c>
      <c r="AW61" s="1"/>
      <c r="AX61" s="36" t="s">
        <v>576</v>
      </c>
      <c r="AY61" s="54">
        <v>15.0</v>
      </c>
      <c r="AZ61" s="39">
        <v>13.0</v>
      </c>
      <c r="BA61" s="35" t="s">
        <v>28</v>
      </c>
      <c r="BB61" s="36" t="s">
        <v>34</v>
      </c>
      <c r="BC61" s="1"/>
      <c r="BD61" s="36" t="s">
        <v>92</v>
      </c>
      <c r="BE61" s="54">
        <v>108.54</v>
      </c>
      <c r="BF61" s="39">
        <v>28.0</v>
      </c>
      <c r="BG61" s="35" t="s">
        <v>32</v>
      </c>
      <c r="BH61" s="36" t="s">
        <v>32</v>
      </c>
      <c r="BI61" s="1"/>
      <c r="BJ61" s="36" t="s">
        <v>595</v>
      </c>
      <c r="BK61" s="59">
        <v>399.0</v>
      </c>
      <c r="BL61" s="39">
        <v>25.0</v>
      </c>
      <c r="BM61" s="35" t="s">
        <v>28</v>
      </c>
      <c r="BN61" s="36" t="s">
        <v>32</v>
      </c>
      <c r="BO61" s="1"/>
      <c r="BP61" s="36" t="s">
        <v>596</v>
      </c>
      <c r="BQ61" s="54">
        <v>7.5</v>
      </c>
      <c r="BR61" s="39">
        <v>26.0</v>
      </c>
      <c r="BS61" s="35" t="s">
        <v>32</v>
      </c>
      <c r="BT61" s="36" t="s">
        <v>32</v>
      </c>
      <c r="BU61" s="4"/>
    </row>
    <row r="62">
      <c r="A62" s="1"/>
      <c r="B62" s="36" t="s">
        <v>110</v>
      </c>
      <c r="C62" s="54">
        <v>20.0</v>
      </c>
      <c r="D62" s="39">
        <v>12.0</v>
      </c>
      <c r="E62" s="35" t="s">
        <v>28</v>
      </c>
      <c r="F62" s="36" t="s">
        <v>34</v>
      </c>
      <c r="G62" s="1"/>
      <c r="H62" s="36" t="s">
        <v>597</v>
      </c>
      <c r="I62" s="54">
        <v>60.0</v>
      </c>
      <c r="J62" s="39">
        <v>16.0</v>
      </c>
      <c r="K62" s="35" t="s">
        <v>28</v>
      </c>
      <c r="L62" s="36" t="s">
        <v>34</v>
      </c>
      <c r="M62" s="1"/>
      <c r="N62" s="36" t="s">
        <v>191</v>
      </c>
      <c r="O62" s="54">
        <v>20.0</v>
      </c>
      <c r="P62" s="39">
        <v>22.0</v>
      </c>
      <c r="Q62" s="35" t="s">
        <v>28</v>
      </c>
      <c r="R62" s="36" t="s">
        <v>32</v>
      </c>
      <c r="S62" s="1"/>
      <c r="T62" s="36" t="s">
        <v>224</v>
      </c>
      <c r="U62" s="54">
        <v>240.48</v>
      </c>
      <c r="V62" s="39">
        <v>21.0</v>
      </c>
      <c r="W62" s="35" t="s">
        <v>28</v>
      </c>
      <c r="X62" s="36" t="s">
        <v>34</v>
      </c>
      <c r="Y62" s="1"/>
      <c r="Z62" s="36" t="s">
        <v>598</v>
      </c>
      <c r="AA62" s="54">
        <v>130.0</v>
      </c>
      <c r="AB62" s="39">
        <v>17.0</v>
      </c>
      <c r="AC62" s="35" t="s">
        <v>28</v>
      </c>
      <c r="AD62" s="36" t="s">
        <v>34</v>
      </c>
      <c r="AE62" s="1"/>
      <c r="AF62" s="36" t="s">
        <v>599</v>
      </c>
      <c r="AG62" s="54">
        <v>30.0</v>
      </c>
      <c r="AH62" s="39">
        <v>14.0</v>
      </c>
      <c r="AI62" s="35" t="s">
        <v>32</v>
      </c>
      <c r="AJ62" s="36" t="s">
        <v>32</v>
      </c>
      <c r="AK62" s="1"/>
      <c r="AL62" s="36" t="s">
        <v>89</v>
      </c>
      <c r="AM62" s="54">
        <v>60.0</v>
      </c>
      <c r="AN62" s="39">
        <v>9.0</v>
      </c>
      <c r="AO62" s="35" t="s">
        <v>28</v>
      </c>
      <c r="AP62" s="36" t="s">
        <v>32</v>
      </c>
      <c r="AQ62" s="1"/>
      <c r="AR62" s="36" t="s">
        <v>600</v>
      </c>
      <c r="AS62" s="54">
        <v>15.0</v>
      </c>
      <c r="AT62" s="39">
        <v>21.0</v>
      </c>
      <c r="AU62" s="35" t="s">
        <v>28</v>
      </c>
      <c r="AV62" s="36" t="s">
        <v>34</v>
      </c>
      <c r="AW62" s="1"/>
      <c r="AX62" s="36" t="s">
        <v>299</v>
      </c>
      <c r="AY62" s="54">
        <v>85.0</v>
      </c>
      <c r="AZ62" s="39">
        <v>13.0</v>
      </c>
      <c r="BA62" s="35" t="s">
        <v>28</v>
      </c>
      <c r="BB62" s="36" t="s">
        <v>34</v>
      </c>
      <c r="BC62" s="1"/>
      <c r="BD62" s="36" t="s">
        <v>90</v>
      </c>
      <c r="BE62" s="54">
        <v>21.0</v>
      </c>
      <c r="BF62" s="39">
        <v>29.0</v>
      </c>
      <c r="BG62" s="35" t="s">
        <v>28</v>
      </c>
      <c r="BH62" s="36" t="s">
        <v>32</v>
      </c>
      <c r="BI62" s="1"/>
      <c r="BJ62" s="36" t="s">
        <v>92</v>
      </c>
      <c r="BK62" s="59">
        <v>20.0</v>
      </c>
      <c r="BL62" s="39">
        <v>25.0</v>
      </c>
      <c r="BM62" s="35" t="s">
        <v>32</v>
      </c>
      <c r="BN62" s="36" t="s">
        <v>32</v>
      </c>
      <c r="BO62" s="1"/>
      <c r="BP62" s="36" t="s">
        <v>130</v>
      </c>
      <c r="BQ62" s="54">
        <v>100.0</v>
      </c>
      <c r="BR62" s="39">
        <v>30.0</v>
      </c>
      <c r="BS62" s="35" t="s">
        <v>32</v>
      </c>
      <c r="BT62" s="36" t="s">
        <v>32</v>
      </c>
      <c r="BU62" s="4"/>
    </row>
    <row r="63">
      <c r="A63" s="1"/>
      <c r="B63" s="36" t="s">
        <v>601</v>
      </c>
      <c r="C63" s="54">
        <v>100.0</v>
      </c>
      <c r="D63" s="39">
        <v>12.0</v>
      </c>
      <c r="E63" s="35" t="s">
        <v>28</v>
      </c>
      <c r="F63" s="36" t="s">
        <v>34</v>
      </c>
      <c r="G63" s="1"/>
      <c r="H63" s="36" t="s">
        <v>109</v>
      </c>
      <c r="I63" s="54">
        <v>135.0</v>
      </c>
      <c r="J63" s="39">
        <v>18.0</v>
      </c>
      <c r="K63" s="35" t="s">
        <v>28</v>
      </c>
      <c r="L63" s="36" t="s">
        <v>34</v>
      </c>
      <c r="M63" s="1"/>
      <c r="N63" s="36" t="s">
        <v>602</v>
      </c>
      <c r="O63" s="54">
        <v>80.0</v>
      </c>
      <c r="P63" s="39">
        <v>22.0</v>
      </c>
      <c r="Q63" s="35" t="s">
        <v>28</v>
      </c>
      <c r="R63" s="36" t="s">
        <v>34</v>
      </c>
      <c r="S63" s="1"/>
      <c r="T63" s="36" t="s">
        <v>210</v>
      </c>
      <c r="U63" s="54">
        <v>20.0</v>
      </c>
      <c r="V63" s="39">
        <v>21.0</v>
      </c>
      <c r="W63" s="35" t="s">
        <v>28</v>
      </c>
      <c r="X63" s="36" t="s">
        <v>34</v>
      </c>
      <c r="Y63" s="1"/>
      <c r="Z63" s="36" t="s">
        <v>603</v>
      </c>
      <c r="AA63" s="54">
        <v>15.0</v>
      </c>
      <c r="AB63" s="39">
        <v>18.0</v>
      </c>
      <c r="AC63" s="35" t="s">
        <v>28</v>
      </c>
      <c r="AD63" s="36" t="s">
        <v>34</v>
      </c>
      <c r="AE63" s="1"/>
      <c r="AF63" s="36" t="s">
        <v>604</v>
      </c>
      <c r="AG63" s="54">
        <v>30.0</v>
      </c>
      <c r="AH63" s="39">
        <v>17.0</v>
      </c>
      <c r="AI63" s="35" t="s">
        <v>28</v>
      </c>
      <c r="AJ63" s="36" t="s">
        <v>32</v>
      </c>
      <c r="AK63" s="1"/>
      <c r="AL63" s="36" t="s">
        <v>605</v>
      </c>
      <c r="AM63" s="54">
        <v>45.0</v>
      </c>
      <c r="AN63" s="39">
        <v>9.0</v>
      </c>
      <c r="AO63" s="35" t="s">
        <v>32</v>
      </c>
      <c r="AP63" s="36" t="s">
        <v>34</v>
      </c>
      <c r="AQ63" s="1"/>
      <c r="AR63" s="36" t="s">
        <v>92</v>
      </c>
      <c r="AS63" s="54">
        <v>3.0</v>
      </c>
      <c r="AT63" s="39">
        <v>23.0</v>
      </c>
      <c r="AU63" s="35" t="s">
        <v>32</v>
      </c>
      <c r="AV63" s="36" t="s">
        <v>32</v>
      </c>
      <c r="AW63" s="1"/>
      <c r="AX63" s="36" t="s">
        <v>606</v>
      </c>
      <c r="AY63" s="54">
        <v>41.0</v>
      </c>
      <c r="AZ63" s="39">
        <v>13.0</v>
      </c>
      <c r="BA63" s="35" t="s">
        <v>28</v>
      </c>
      <c r="BB63" s="36" t="s">
        <v>34</v>
      </c>
      <c r="BC63" s="1"/>
      <c r="BD63" s="36" t="s">
        <v>90</v>
      </c>
      <c r="BE63" s="54">
        <v>6.0</v>
      </c>
      <c r="BF63" s="39">
        <v>29.0</v>
      </c>
      <c r="BG63" s="35" t="s">
        <v>28</v>
      </c>
      <c r="BH63" s="36" t="s">
        <v>32</v>
      </c>
      <c r="BI63" s="1"/>
      <c r="BJ63" s="36" t="s">
        <v>210</v>
      </c>
      <c r="BK63" s="59">
        <v>103.76</v>
      </c>
      <c r="BL63" s="39">
        <v>25.0</v>
      </c>
      <c r="BM63" s="35" t="s">
        <v>28</v>
      </c>
      <c r="BN63" s="36" t="s">
        <v>32</v>
      </c>
      <c r="BO63" s="1"/>
      <c r="BP63" s="36" t="s">
        <v>92</v>
      </c>
      <c r="BQ63" s="54">
        <v>18.0</v>
      </c>
      <c r="BR63" s="39">
        <v>30.0</v>
      </c>
      <c r="BS63" s="35" t="s">
        <v>32</v>
      </c>
      <c r="BT63" s="36" t="s">
        <v>32</v>
      </c>
      <c r="BU63" s="4"/>
    </row>
    <row r="64">
      <c r="A64" s="1"/>
      <c r="B64" s="36" t="s">
        <v>239</v>
      </c>
      <c r="C64" s="54">
        <v>120.0</v>
      </c>
      <c r="D64" s="39">
        <v>12.0</v>
      </c>
      <c r="E64" s="35" t="s">
        <v>28</v>
      </c>
      <c r="F64" s="36" t="s">
        <v>34</v>
      </c>
      <c r="G64" s="1"/>
      <c r="H64" s="36" t="s">
        <v>607</v>
      </c>
      <c r="I64" s="54">
        <v>111.0</v>
      </c>
      <c r="J64" s="39">
        <v>18.0</v>
      </c>
      <c r="K64" s="35" t="s">
        <v>30</v>
      </c>
      <c r="L64" s="36" t="s">
        <v>34</v>
      </c>
      <c r="M64" s="1"/>
      <c r="N64" s="36" t="s">
        <v>608</v>
      </c>
      <c r="O64" s="54">
        <v>81.56</v>
      </c>
      <c r="P64" s="39">
        <v>22.0</v>
      </c>
      <c r="Q64" s="35" t="s">
        <v>28</v>
      </c>
      <c r="R64" s="36" t="s">
        <v>34</v>
      </c>
      <c r="S64" s="1"/>
      <c r="T64" s="36" t="s">
        <v>210</v>
      </c>
      <c r="U64" s="54">
        <v>100.0</v>
      </c>
      <c r="V64" s="39">
        <v>21.0</v>
      </c>
      <c r="W64" s="35" t="s">
        <v>28</v>
      </c>
      <c r="X64" s="36" t="s">
        <v>34</v>
      </c>
      <c r="Y64" s="1"/>
      <c r="Z64" s="36" t="s">
        <v>609</v>
      </c>
      <c r="AA64" s="54">
        <v>40.0</v>
      </c>
      <c r="AB64" s="39">
        <v>19.0</v>
      </c>
      <c r="AC64" s="35" t="s">
        <v>28</v>
      </c>
      <c r="AD64" s="36" t="s">
        <v>34</v>
      </c>
      <c r="AE64" s="1"/>
      <c r="AF64" s="36" t="s">
        <v>210</v>
      </c>
      <c r="AG64" s="54">
        <v>22.0</v>
      </c>
      <c r="AH64" s="39">
        <v>17.0</v>
      </c>
      <c r="AI64" s="35" t="s">
        <v>28</v>
      </c>
      <c r="AJ64" s="36" t="s">
        <v>32</v>
      </c>
      <c r="AK64" s="1"/>
      <c r="AL64" s="36" t="s">
        <v>115</v>
      </c>
      <c r="AM64" s="54">
        <v>315.34</v>
      </c>
      <c r="AN64" s="39">
        <v>10.0</v>
      </c>
      <c r="AO64" s="35" t="s">
        <v>32</v>
      </c>
      <c r="AP64" s="36" t="s">
        <v>32</v>
      </c>
      <c r="AQ64" s="1"/>
      <c r="AR64" s="36" t="s">
        <v>610</v>
      </c>
      <c r="AS64" s="54">
        <v>110.0</v>
      </c>
      <c r="AT64" s="39">
        <v>24.0</v>
      </c>
      <c r="AU64" s="35" t="s">
        <v>28</v>
      </c>
      <c r="AV64" s="36" t="s">
        <v>34</v>
      </c>
      <c r="AW64" s="1"/>
      <c r="AX64" s="36" t="s">
        <v>611</v>
      </c>
      <c r="AY64" s="54">
        <v>100.0</v>
      </c>
      <c r="AZ64" s="39">
        <v>14.0</v>
      </c>
      <c r="BA64" s="35" t="s">
        <v>28</v>
      </c>
      <c r="BB64" s="36" t="s">
        <v>34</v>
      </c>
      <c r="BC64" s="1"/>
      <c r="BD64" s="36" t="s">
        <v>191</v>
      </c>
      <c r="BE64" s="54">
        <v>20.0</v>
      </c>
      <c r="BF64" s="39">
        <v>29.0</v>
      </c>
      <c r="BG64" s="35" t="s">
        <v>28</v>
      </c>
      <c r="BH64" s="36" t="s">
        <v>32</v>
      </c>
      <c r="BI64" s="1"/>
      <c r="BJ64" s="36" t="s">
        <v>612</v>
      </c>
      <c r="BK64" s="59">
        <v>32.0</v>
      </c>
      <c r="BL64" s="39">
        <v>26.0</v>
      </c>
      <c r="BM64" s="35" t="s">
        <v>32</v>
      </c>
      <c r="BN64" s="36" t="s">
        <v>32</v>
      </c>
      <c r="BO64" s="1"/>
      <c r="BP64" s="36" t="s">
        <v>613</v>
      </c>
      <c r="BQ64" s="54">
        <v>150.0</v>
      </c>
      <c r="BR64" s="39">
        <v>30.0</v>
      </c>
      <c r="BS64" s="35" t="s">
        <v>28</v>
      </c>
      <c r="BT64" s="36" t="s">
        <v>32</v>
      </c>
      <c r="BU64" s="4"/>
    </row>
    <row r="65">
      <c r="A65" s="1"/>
      <c r="B65" s="36" t="s">
        <v>614</v>
      </c>
      <c r="C65" s="54">
        <v>220.0</v>
      </c>
      <c r="D65" s="39">
        <v>12.0</v>
      </c>
      <c r="E65" s="35" t="s">
        <v>28</v>
      </c>
      <c r="F65" s="36" t="s">
        <v>34</v>
      </c>
      <c r="G65" s="1"/>
      <c r="H65" s="36" t="s">
        <v>89</v>
      </c>
      <c r="I65" s="54">
        <v>305.0</v>
      </c>
      <c r="J65" s="39">
        <v>19.0</v>
      </c>
      <c r="K65" s="35" t="s">
        <v>28</v>
      </c>
      <c r="L65" s="36" t="s">
        <v>32</v>
      </c>
      <c r="M65" s="1"/>
      <c r="N65" s="36" t="s">
        <v>615</v>
      </c>
      <c r="O65" s="54">
        <v>230.0</v>
      </c>
      <c r="P65" s="39">
        <v>25.0</v>
      </c>
      <c r="Q65" s="35" t="s">
        <v>32</v>
      </c>
      <c r="R65" s="36" t="s">
        <v>32</v>
      </c>
      <c r="S65" s="1"/>
      <c r="T65" s="36" t="s">
        <v>265</v>
      </c>
      <c r="U65" s="54">
        <v>40.0</v>
      </c>
      <c r="V65" s="39">
        <v>21.0</v>
      </c>
      <c r="W65" s="35" t="s">
        <v>28</v>
      </c>
      <c r="X65" s="36" t="s">
        <v>34</v>
      </c>
      <c r="Y65" s="1"/>
      <c r="Z65" s="36" t="s">
        <v>616</v>
      </c>
      <c r="AA65" s="54">
        <v>40.0</v>
      </c>
      <c r="AB65" s="39">
        <v>19.0</v>
      </c>
      <c r="AC65" s="35" t="s">
        <v>28</v>
      </c>
      <c r="AD65" s="36" t="s">
        <v>34</v>
      </c>
      <c r="AE65" s="1"/>
      <c r="AF65" s="36" t="s">
        <v>617</v>
      </c>
      <c r="AG65" s="54">
        <v>25.0</v>
      </c>
      <c r="AH65" s="39">
        <v>18.0</v>
      </c>
      <c r="AI65" s="35" t="s">
        <v>28</v>
      </c>
      <c r="AJ65" s="36" t="s">
        <v>34</v>
      </c>
      <c r="AK65" s="1"/>
      <c r="AL65" s="36" t="s">
        <v>114</v>
      </c>
      <c r="AM65" s="54">
        <v>6.0</v>
      </c>
      <c r="AN65" s="39">
        <v>10.0</v>
      </c>
      <c r="AO65" s="35" t="s">
        <v>32</v>
      </c>
      <c r="AP65" s="36" t="s">
        <v>32</v>
      </c>
      <c r="AQ65" s="1"/>
      <c r="AR65" s="36" t="s">
        <v>92</v>
      </c>
      <c r="AS65" s="54">
        <v>3.9</v>
      </c>
      <c r="AT65" s="39">
        <v>26.0</v>
      </c>
      <c r="AU65" s="35" t="s">
        <v>32</v>
      </c>
      <c r="AV65" s="36" t="s">
        <v>32</v>
      </c>
      <c r="AW65" s="1"/>
      <c r="AX65" s="36" t="s">
        <v>618</v>
      </c>
      <c r="AY65" s="54">
        <v>30.0</v>
      </c>
      <c r="AZ65" s="39">
        <v>14.0</v>
      </c>
      <c r="BA65" s="35" t="s">
        <v>28</v>
      </c>
      <c r="BB65" s="36" t="s">
        <v>34</v>
      </c>
      <c r="BC65" s="1"/>
      <c r="BD65" s="36" t="s">
        <v>619</v>
      </c>
      <c r="BE65" s="54">
        <v>800.0</v>
      </c>
      <c r="BF65" s="39">
        <v>30.0</v>
      </c>
      <c r="BG65" s="35" t="s">
        <v>32</v>
      </c>
      <c r="BH65" s="36" t="s">
        <v>32</v>
      </c>
      <c r="BI65" s="1"/>
      <c r="BJ65" s="36" t="s">
        <v>620</v>
      </c>
      <c r="BK65" s="59">
        <v>50.0</v>
      </c>
      <c r="BL65" s="39">
        <v>26.0</v>
      </c>
      <c r="BM65" s="35" t="s">
        <v>32</v>
      </c>
      <c r="BN65" s="36" t="s">
        <v>32</v>
      </c>
      <c r="BO65" s="1"/>
      <c r="BP65" s="36" t="s">
        <v>621</v>
      </c>
      <c r="BQ65" s="54">
        <v>880.0</v>
      </c>
      <c r="BR65" s="39">
        <v>10.0</v>
      </c>
      <c r="BS65" s="35" t="s">
        <v>28</v>
      </c>
      <c r="BT65" s="36" t="s">
        <v>32</v>
      </c>
      <c r="BU65" s="4"/>
    </row>
    <row r="66">
      <c r="A66" s="1"/>
      <c r="B66" s="36" t="s">
        <v>622</v>
      </c>
      <c r="C66" s="54">
        <v>4050.0</v>
      </c>
      <c r="D66" s="39">
        <v>15.0</v>
      </c>
      <c r="E66" s="35" t="s">
        <v>28</v>
      </c>
      <c r="F66" s="36" t="s">
        <v>32</v>
      </c>
      <c r="G66" s="1"/>
      <c r="H66" s="36" t="s">
        <v>191</v>
      </c>
      <c r="I66" s="54">
        <v>20.0</v>
      </c>
      <c r="J66" s="39">
        <v>21.0</v>
      </c>
      <c r="K66" s="35" t="s">
        <v>28</v>
      </c>
      <c r="L66" s="36" t="s">
        <v>32</v>
      </c>
      <c r="M66" s="1"/>
      <c r="N66" s="36" t="s">
        <v>623</v>
      </c>
      <c r="O66" s="54">
        <v>40.0</v>
      </c>
      <c r="P66" s="39">
        <v>25.0</v>
      </c>
      <c r="Q66" s="35" t="s">
        <v>28</v>
      </c>
      <c r="R66" s="36" t="s">
        <v>34</v>
      </c>
      <c r="S66" s="1"/>
      <c r="T66" s="36" t="s">
        <v>191</v>
      </c>
      <c r="U66" s="54">
        <v>20.0</v>
      </c>
      <c r="V66" s="39">
        <v>22.0</v>
      </c>
      <c r="W66" s="35" t="s">
        <v>28</v>
      </c>
      <c r="X66" s="36" t="s">
        <v>32</v>
      </c>
      <c r="Y66" s="1"/>
      <c r="Z66" s="36" t="s">
        <v>210</v>
      </c>
      <c r="AA66" s="54">
        <v>80.0</v>
      </c>
      <c r="AB66" s="39">
        <v>20.0</v>
      </c>
      <c r="AC66" s="35" t="s">
        <v>28</v>
      </c>
      <c r="AD66" s="36" t="s">
        <v>32</v>
      </c>
      <c r="AE66" s="1"/>
      <c r="AF66" s="36" t="s">
        <v>624</v>
      </c>
      <c r="AG66" s="54">
        <v>10.0</v>
      </c>
      <c r="AH66" s="39">
        <v>18.0</v>
      </c>
      <c r="AI66" s="35" t="s">
        <v>28</v>
      </c>
      <c r="AJ66" s="36" t="s">
        <v>34</v>
      </c>
      <c r="AK66" s="1"/>
      <c r="AL66" s="36" t="s">
        <v>273</v>
      </c>
      <c r="AM66" s="54">
        <v>57.0</v>
      </c>
      <c r="AN66" s="39">
        <v>10.0</v>
      </c>
      <c r="AO66" s="35" t="s">
        <v>28</v>
      </c>
      <c r="AP66" s="36" t="s">
        <v>34</v>
      </c>
      <c r="AQ66" s="1"/>
      <c r="AR66" s="36" t="s">
        <v>545</v>
      </c>
      <c r="AS66" s="54">
        <v>100.0</v>
      </c>
      <c r="AT66" s="39">
        <v>26.0</v>
      </c>
      <c r="AU66" s="35" t="s">
        <v>32</v>
      </c>
      <c r="AV66" s="36" t="s">
        <v>32</v>
      </c>
      <c r="AW66" s="1"/>
      <c r="AX66" s="36" t="s">
        <v>329</v>
      </c>
      <c r="AY66" s="54">
        <v>24.9</v>
      </c>
      <c r="AZ66" s="39">
        <v>16.0</v>
      </c>
      <c r="BA66" s="35" t="s">
        <v>32</v>
      </c>
      <c r="BB66" s="36" t="s">
        <v>32</v>
      </c>
      <c r="BC66" s="1"/>
      <c r="BD66" s="36" t="s">
        <v>110</v>
      </c>
      <c r="BE66" s="54">
        <v>12.0</v>
      </c>
      <c r="BF66" s="39">
        <v>31.0</v>
      </c>
      <c r="BG66" s="35" t="s">
        <v>28</v>
      </c>
      <c r="BH66" s="36" t="s">
        <v>32</v>
      </c>
      <c r="BI66" s="1"/>
      <c r="BJ66" s="36" t="s">
        <v>130</v>
      </c>
      <c r="BK66" s="59">
        <v>100.0</v>
      </c>
      <c r="BL66" s="39">
        <v>28.0</v>
      </c>
      <c r="BM66" s="35" t="s">
        <v>32</v>
      </c>
      <c r="BN66" s="36" t="s">
        <v>32</v>
      </c>
      <c r="BO66" s="1"/>
      <c r="BP66" s="36" t="s">
        <v>124</v>
      </c>
      <c r="BQ66" s="54">
        <v>270.33</v>
      </c>
      <c r="BR66" s="39">
        <v>30.0</v>
      </c>
      <c r="BS66" s="35" t="s">
        <v>28</v>
      </c>
      <c r="BT66" s="36" t="s">
        <v>32</v>
      </c>
      <c r="BU66" s="4"/>
    </row>
    <row r="67">
      <c r="A67" s="1"/>
      <c r="B67" s="36" t="s">
        <v>295</v>
      </c>
      <c r="C67" s="54">
        <v>8.0</v>
      </c>
      <c r="D67" s="39">
        <v>15.0</v>
      </c>
      <c r="E67" s="35" t="s">
        <v>28</v>
      </c>
      <c r="F67" s="36" t="s">
        <v>32</v>
      </c>
      <c r="G67" s="1"/>
      <c r="H67" s="36" t="s">
        <v>486</v>
      </c>
      <c r="I67" s="54">
        <v>92.0</v>
      </c>
      <c r="J67" s="39">
        <v>22.0</v>
      </c>
      <c r="K67" s="35" t="s">
        <v>28</v>
      </c>
      <c r="L67" s="36" t="s">
        <v>34</v>
      </c>
      <c r="M67" s="1"/>
      <c r="N67" s="36" t="s">
        <v>576</v>
      </c>
      <c r="O67" s="54">
        <v>20.0</v>
      </c>
      <c r="P67" s="39">
        <v>25.0</v>
      </c>
      <c r="Q67" s="35" t="s">
        <v>28</v>
      </c>
      <c r="R67" s="36" t="s">
        <v>34</v>
      </c>
      <c r="S67" s="1"/>
      <c r="T67" s="36" t="s">
        <v>92</v>
      </c>
      <c r="U67" s="54">
        <v>20.0</v>
      </c>
      <c r="V67" s="39">
        <v>22.0</v>
      </c>
      <c r="W67" s="35" t="s">
        <v>32</v>
      </c>
      <c r="X67" s="36" t="s">
        <v>32</v>
      </c>
      <c r="Y67" s="1"/>
      <c r="Z67" s="36" t="s">
        <v>92</v>
      </c>
      <c r="AA67" s="54">
        <v>170.0</v>
      </c>
      <c r="AB67" s="39">
        <v>21.0</v>
      </c>
      <c r="AC67" s="35" t="s">
        <v>32</v>
      </c>
      <c r="AD67" s="36" t="s">
        <v>32</v>
      </c>
      <c r="AE67" s="1"/>
      <c r="AF67" s="36" t="s">
        <v>109</v>
      </c>
      <c r="AG67" s="54">
        <v>36.0</v>
      </c>
      <c r="AH67" s="39">
        <v>18.0</v>
      </c>
      <c r="AI67" s="35" t="s">
        <v>28</v>
      </c>
      <c r="AJ67" s="36" t="s">
        <v>32</v>
      </c>
      <c r="AK67" s="1"/>
      <c r="AL67" s="36" t="s">
        <v>625</v>
      </c>
      <c r="AM67" s="54">
        <v>1029.0</v>
      </c>
      <c r="AN67" s="39">
        <v>11.0</v>
      </c>
      <c r="AO67" s="35" t="s">
        <v>32</v>
      </c>
      <c r="AP67" s="36" t="s">
        <v>32</v>
      </c>
      <c r="AQ67" s="1"/>
      <c r="AR67" s="36" t="s">
        <v>568</v>
      </c>
      <c r="AS67" s="54">
        <v>22.0</v>
      </c>
      <c r="AT67" s="39">
        <v>26.0</v>
      </c>
      <c r="AU67" s="35" t="s">
        <v>28</v>
      </c>
      <c r="AV67" s="36" t="s">
        <v>34</v>
      </c>
      <c r="AW67" s="1"/>
      <c r="AX67" s="36" t="s">
        <v>626</v>
      </c>
      <c r="AY67" s="54">
        <v>180.0</v>
      </c>
      <c r="AZ67" s="39">
        <v>17.0</v>
      </c>
      <c r="BA67" s="35" t="s">
        <v>28</v>
      </c>
      <c r="BB67" s="36" t="s">
        <v>32</v>
      </c>
      <c r="BC67" s="1"/>
      <c r="BD67" s="36" t="s">
        <v>133</v>
      </c>
      <c r="BE67" s="54">
        <v>2286.0</v>
      </c>
      <c r="BF67" s="39">
        <v>31.0</v>
      </c>
      <c r="BG67" s="35" t="s">
        <v>32</v>
      </c>
      <c r="BH67" s="36" t="s">
        <v>32</v>
      </c>
      <c r="BI67" s="1"/>
      <c r="BJ67" s="36" t="s">
        <v>627</v>
      </c>
      <c r="BK67" s="59">
        <v>200.0</v>
      </c>
      <c r="BL67" s="39">
        <v>1.0</v>
      </c>
      <c r="BM67" s="35" t="s">
        <v>28</v>
      </c>
      <c r="BN67" s="36" t="s">
        <v>34</v>
      </c>
      <c r="BO67" s="1"/>
      <c r="BP67" s="36" t="s">
        <v>133</v>
      </c>
      <c r="BQ67" s="54">
        <v>5982.0</v>
      </c>
      <c r="BR67" s="39">
        <v>30.0</v>
      </c>
      <c r="BS67" s="35" t="s">
        <v>32</v>
      </c>
      <c r="BT67" s="36" t="s">
        <v>32</v>
      </c>
      <c r="BU67" s="4"/>
    </row>
    <row r="68">
      <c r="A68" s="1"/>
      <c r="B68" s="36" t="s">
        <v>96</v>
      </c>
      <c r="C68" s="54">
        <v>50.0</v>
      </c>
      <c r="D68" s="39">
        <v>15.0</v>
      </c>
      <c r="E68" s="35" t="s">
        <v>32</v>
      </c>
      <c r="F68" s="36" t="s">
        <v>32</v>
      </c>
      <c r="G68" s="1"/>
      <c r="H68" s="36" t="s">
        <v>89</v>
      </c>
      <c r="I68" s="54">
        <v>41.72</v>
      </c>
      <c r="J68" s="39">
        <v>23.0</v>
      </c>
      <c r="K68" s="35" t="s">
        <v>28</v>
      </c>
      <c r="L68" s="36" t="s">
        <v>32</v>
      </c>
      <c r="M68" s="1"/>
      <c r="N68" s="36" t="s">
        <v>89</v>
      </c>
      <c r="O68" s="54">
        <v>30.0</v>
      </c>
      <c r="P68" s="39">
        <v>26.0</v>
      </c>
      <c r="Q68" s="35" t="s">
        <v>28</v>
      </c>
      <c r="R68" s="36" t="s">
        <v>32</v>
      </c>
      <c r="S68" s="1"/>
      <c r="T68" s="36" t="s">
        <v>628</v>
      </c>
      <c r="U68" s="54">
        <v>170.0</v>
      </c>
      <c r="V68" s="39">
        <v>22.0</v>
      </c>
      <c r="W68" s="35" t="s">
        <v>32</v>
      </c>
      <c r="X68" s="36" t="s">
        <v>32</v>
      </c>
      <c r="Y68" s="1"/>
      <c r="Z68" s="36" t="s">
        <v>629</v>
      </c>
      <c r="AA68" s="54">
        <v>111.84</v>
      </c>
      <c r="AB68" s="39">
        <v>21.0</v>
      </c>
      <c r="AC68" s="35" t="s">
        <v>32</v>
      </c>
      <c r="AD68" s="36" t="s">
        <v>32</v>
      </c>
      <c r="AE68" s="1"/>
      <c r="AF68" s="36" t="s">
        <v>630</v>
      </c>
      <c r="AG68" s="54">
        <v>294.13</v>
      </c>
      <c r="AH68" s="39">
        <v>19.0</v>
      </c>
      <c r="AI68" s="35" t="s">
        <v>28</v>
      </c>
      <c r="AJ68" s="36" t="s">
        <v>32</v>
      </c>
      <c r="AK68" s="1"/>
      <c r="AL68" s="36" t="s">
        <v>631</v>
      </c>
      <c r="AM68" s="54">
        <v>250.0</v>
      </c>
      <c r="AN68" s="39">
        <v>12.0</v>
      </c>
      <c r="AO68" s="35" t="s">
        <v>32</v>
      </c>
      <c r="AP68" s="36" t="s">
        <v>32</v>
      </c>
      <c r="AQ68" s="1"/>
      <c r="AR68" s="36" t="s">
        <v>191</v>
      </c>
      <c r="AS68" s="54">
        <v>20.0</v>
      </c>
      <c r="AT68" s="39">
        <v>27.0</v>
      </c>
      <c r="AU68" s="35" t="s">
        <v>28</v>
      </c>
      <c r="AV68" s="36" t="s">
        <v>32</v>
      </c>
      <c r="AW68" s="1"/>
      <c r="AX68" s="36" t="s">
        <v>632</v>
      </c>
      <c r="AY68" s="54">
        <v>300.0</v>
      </c>
      <c r="AZ68" s="39">
        <v>18.0</v>
      </c>
      <c r="BA68" s="35" t="s">
        <v>34</v>
      </c>
      <c r="BB68" s="36" t="s">
        <v>32</v>
      </c>
      <c r="BC68" s="1"/>
      <c r="BE68" s="54"/>
      <c r="BF68" s="39"/>
      <c r="BG68" s="35"/>
      <c r="BI68" s="1"/>
      <c r="BJ68" s="36" t="s">
        <v>633</v>
      </c>
      <c r="BK68" s="59">
        <v>60.0</v>
      </c>
      <c r="BL68" s="39">
        <v>6.0</v>
      </c>
      <c r="BM68" s="35" t="s">
        <v>28</v>
      </c>
      <c r="BN68" s="36" t="s">
        <v>34</v>
      </c>
      <c r="BO68" s="1"/>
      <c r="BP68" s="36" t="s">
        <v>533</v>
      </c>
      <c r="BQ68" s="54">
        <v>51.0</v>
      </c>
      <c r="BR68" s="39">
        <v>2.0</v>
      </c>
      <c r="BS68" s="35" t="s">
        <v>28</v>
      </c>
      <c r="BT68" s="36" t="s">
        <v>34</v>
      </c>
      <c r="BU68" s="4"/>
    </row>
    <row r="69">
      <c r="A69" s="1"/>
      <c r="B69" s="36" t="s">
        <v>208</v>
      </c>
      <c r="C69" s="54">
        <v>100.0</v>
      </c>
      <c r="D69" s="39">
        <v>16.0</v>
      </c>
      <c r="E69" s="35" t="s">
        <v>28</v>
      </c>
      <c r="F69" s="36" t="s">
        <v>34</v>
      </c>
      <c r="G69" s="1"/>
      <c r="H69" s="36" t="s">
        <v>100</v>
      </c>
      <c r="I69" s="54">
        <v>100.0</v>
      </c>
      <c r="J69" s="39">
        <v>25.0</v>
      </c>
      <c r="K69" s="35" t="s">
        <v>32</v>
      </c>
      <c r="L69" s="36" t="s">
        <v>32</v>
      </c>
      <c r="M69" s="1"/>
      <c r="N69" s="36" t="s">
        <v>288</v>
      </c>
      <c r="O69" s="54">
        <v>250.0</v>
      </c>
      <c r="P69" s="39">
        <v>26.0</v>
      </c>
      <c r="Q69" s="35" t="s">
        <v>32</v>
      </c>
      <c r="R69" s="36" t="s">
        <v>32</v>
      </c>
      <c r="S69" s="1"/>
      <c r="T69" s="36" t="s">
        <v>218</v>
      </c>
      <c r="U69" s="54">
        <v>30.0</v>
      </c>
      <c r="V69" s="39">
        <v>24.0</v>
      </c>
      <c r="W69" s="35" t="s">
        <v>32</v>
      </c>
      <c r="X69" s="36" t="s">
        <v>32</v>
      </c>
      <c r="Y69" s="1"/>
      <c r="Z69" s="36" t="s">
        <v>92</v>
      </c>
      <c r="AA69" s="54">
        <v>132.47</v>
      </c>
      <c r="AB69" s="39">
        <v>21.0</v>
      </c>
      <c r="AC69" s="35" t="s">
        <v>32</v>
      </c>
      <c r="AD69" s="36" t="s">
        <v>32</v>
      </c>
      <c r="AE69" s="1"/>
      <c r="AF69" s="36" t="s">
        <v>634</v>
      </c>
      <c r="AG69" s="54">
        <v>30.0</v>
      </c>
      <c r="AH69" s="39">
        <v>19.0</v>
      </c>
      <c r="AI69" s="35" t="s">
        <v>32</v>
      </c>
      <c r="AJ69" s="36" t="s">
        <v>32</v>
      </c>
      <c r="AK69" s="1"/>
      <c r="AL69" s="36" t="s">
        <v>635</v>
      </c>
      <c r="AM69" s="54">
        <v>200.0</v>
      </c>
      <c r="AN69" s="39">
        <v>12.0</v>
      </c>
      <c r="AO69" s="35" t="s">
        <v>32</v>
      </c>
      <c r="AP69" s="36" t="s">
        <v>32</v>
      </c>
      <c r="AQ69" s="1"/>
      <c r="AR69" s="36" t="s">
        <v>130</v>
      </c>
      <c r="AS69" s="54">
        <v>100.0</v>
      </c>
      <c r="AT69" s="39">
        <v>28.0</v>
      </c>
      <c r="AU69" s="35" t="s">
        <v>32</v>
      </c>
      <c r="AV69" s="36" t="s">
        <v>32</v>
      </c>
      <c r="AW69" s="1"/>
      <c r="AX69" s="36" t="s">
        <v>361</v>
      </c>
      <c r="AY69" s="54">
        <v>709.91</v>
      </c>
      <c r="AZ69" s="39">
        <v>18.0</v>
      </c>
      <c r="BA69" s="35" t="s">
        <v>32</v>
      </c>
      <c r="BB69" s="36" t="s">
        <v>32</v>
      </c>
      <c r="BC69" s="1"/>
      <c r="BE69" s="54"/>
      <c r="BF69" s="39"/>
      <c r="BG69" s="35"/>
      <c r="BI69" s="1"/>
      <c r="BJ69" s="36" t="s">
        <v>576</v>
      </c>
      <c r="BK69" s="59">
        <v>27.0</v>
      </c>
      <c r="BL69" s="39">
        <v>8.0</v>
      </c>
      <c r="BM69" s="35" t="s">
        <v>28</v>
      </c>
      <c r="BN69" s="36" t="s">
        <v>34</v>
      </c>
      <c r="BO69" s="1"/>
      <c r="BP69" s="36" t="s">
        <v>636</v>
      </c>
      <c r="BQ69" s="54">
        <v>335.78</v>
      </c>
      <c r="BR69" s="39">
        <v>5.0</v>
      </c>
      <c r="BS69" s="35" t="s">
        <v>28</v>
      </c>
      <c r="BT69" s="36" t="s">
        <v>34</v>
      </c>
      <c r="BU69" s="4"/>
    </row>
    <row r="70">
      <c r="A70" s="1"/>
      <c r="B70" s="36" t="s">
        <v>475</v>
      </c>
      <c r="C70" s="54">
        <v>58.0</v>
      </c>
      <c r="D70" s="39">
        <v>17.0</v>
      </c>
      <c r="E70" s="35" t="s">
        <v>32</v>
      </c>
      <c r="F70" s="36" t="s">
        <v>34</v>
      </c>
      <c r="G70" s="1"/>
      <c r="H70" s="36" t="s">
        <v>104</v>
      </c>
      <c r="I70" s="54">
        <v>30.0</v>
      </c>
      <c r="J70" s="39">
        <v>26.0</v>
      </c>
      <c r="K70" s="35" t="s">
        <v>32</v>
      </c>
      <c r="L70" s="36" t="s">
        <v>32</v>
      </c>
      <c r="M70" s="1"/>
      <c r="N70" s="36" t="s">
        <v>637</v>
      </c>
      <c r="O70" s="54">
        <v>10.0</v>
      </c>
      <c r="P70" s="39">
        <v>26.0</v>
      </c>
      <c r="Q70" s="35" t="s">
        <v>28</v>
      </c>
      <c r="R70" s="36" t="s">
        <v>34</v>
      </c>
      <c r="S70" s="1"/>
      <c r="T70" s="36" t="s">
        <v>638</v>
      </c>
      <c r="U70" s="54">
        <v>50.0</v>
      </c>
      <c r="V70" s="39">
        <v>24.0</v>
      </c>
      <c r="W70" s="35" t="s">
        <v>32</v>
      </c>
      <c r="X70" s="36" t="s">
        <v>32</v>
      </c>
      <c r="Y70" s="1"/>
      <c r="Z70" s="36" t="s">
        <v>639</v>
      </c>
      <c r="AA70" s="54">
        <v>3200.0</v>
      </c>
      <c r="AB70" s="39">
        <v>22.0</v>
      </c>
      <c r="AC70" s="35" t="s">
        <v>32</v>
      </c>
      <c r="AD70" s="36" t="s">
        <v>32</v>
      </c>
      <c r="AE70" s="1"/>
      <c r="AF70" s="36" t="s">
        <v>640</v>
      </c>
      <c r="AG70" s="54">
        <v>44.0</v>
      </c>
      <c r="AH70" s="39">
        <v>21.0</v>
      </c>
      <c r="AI70" s="35" t="s">
        <v>28</v>
      </c>
      <c r="AJ70" s="36" t="s">
        <v>34</v>
      </c>
      <c r="AK70" s="1"/>
      <c r="AL70" s="36" t="s">
        <v>450</v>
      </c>
      <c r="AM70" s="54">
        <v>44.0</v>
      </c>
      <c r="AN70" s="39">
        <v>14.0</v>
      </c>
      <c r="AO70" s="35" t="s">
        <v>28</v>
      </c>
      <c r="AP70" s="36" t="s">
        <v>34</v>
      </c>
      <c r="AQ70" s="1"/>
      <c r="AR70" s="36" t="s">
        <v>476</v>
      </c>
      <c r="AS70" s="54">
        <v>286.15</v>
      </c>
      <c r="AT70" s="39">
        <v>28.0</v>
      </c>
      <c r="AU70" s="35" t="s">
        <v>28</v>
      </c>
      <c r="AV70" s="36" t="s">
        <v>32</v>
      </c>
      <c r="AW70" s="1"/>
      <c r="AX70" s="36" t="s">
        <v>301</v>
      </c>
      <c r="AY70" s="54">
        <v>55.0</v>
      </c>
      <c r="AZ70" s="39">
        <v>18.0</v>
      </c>
      <c r="BA70" s="35" t="s">
        <v>28</v>
      </c>
      <c r="BB70" s="36" t="s">
        <v>34</v>
      </c>
      <c r="BC70" s="1"/>
      <c r="BE70" s="54"/>
      <c r="BF70" s="39"/>
      <c r="BG70" s="35"/>
      <c r="BI70" s="1"/>
      <c r="BJ70" s="36" t="s">
        <v>641</v>
      </c>
      <c r="BK70" s="59">
        <v>65.0</v>
      </c>
      <c r="BL70" s="39">
        <v>11.0</v>
      </c>
      <c r="BM70" s="35" t="s">
        <v>28</v>
      </c>
      <c r="BN70" s="36" t="s">
        <v>34</v>
      </c>
      <c r="BO70" s="1"/>
      <c r="BP70" s="36" t="s">
        <v>110</v>
      </c>
      <c r="BQ70" s="54">
        <v>45.0</v>
      </c>
      <c r="BR70" s="39">
        <v>5.0</v>
      </c>
      <c r="BS70" s="35" t="s">
        <v>28</v>
      </c>
      <c r="BT70" s="36" t="s">
        <v>34</v>
      </c>
      <c r="BU70" s="4"/>
    </row>
    <row r="71">
      <c r="A71" s="1"/>
      <c r="B71" s="36" t="s">
        <v>642</v>
      </c>
      <c r="C71" s="54">
        <v>20.0</v>
      </c>
      <c r="D71" s="39">
        <v>19.0</v>
      </c>
      <c r="E71" s="35" t="s">
        <v>28</v>
      </c>
      <c r="F71" s="36" t="s">
        <v>32</v>
      </c>
      <c r="G71" s="1"/>
      <c r="H71" s="36" t="s">
        <v>89</v>
      </c>
      <c r="I71" s="54">
        <v>50.0</v>
      </c>
      <c r="J71" s="39">
        <v>26.0</v>
      </c>
      <c r="K71" s="35" t="s">
        <v>28</v>
      </c>
      <c r="L71" s="36" t="s">
        <v>32</v>
      </c>
      <c r="M71" s="1"/>
      <c r="N71" s="36" t="s">
        <v>110</v>
      </c>
      <c r="O71" s="54">
        <v>12.2</v>
      </c>
      <c r="P71" s="39">
        <v>26.0</v>
      </c>
      <c r="Q71" s="35" t="s">
        <v>28</v>
      </c>
      <c r="R71" s="36" t="s">
        <v>34</v>
      </c>
      <c r="S71" s="1"/>
      <c r="T71" s="36" t="s">
        <v>643</v>
      </c>
      <c r="U71" s="54">
        <v>30.0</v>
      </c>
      <c r="V71" s="39">
        <v>24.0</v>
      </c>
      <c r="W71" s="35" t="s">
        <v>28</v>
      </c>
      <c r="X71" s="36" t="s">
        <v>32</v>
      </c>
      <c r="Y71" s="1"/>
      <c r="Z71" s="36" t="s">
        <v>92</v>
      </c>
      <c r="AA71" s="54">
        <v>30.0</v>
      </c>
      <c r="AB71" s="39">
        <v>22.0</v>
      </c>
      <c r="AC71" s="35" t="s">
        <v>32</v>
      </c>
      <c r="AD71" s="36" t="s">
        <v>32</v>
      </c>
      <c r="AE71" s="1"/>
      <c r="AF71" s="36" t="s">
        <v>214</v>
      </c>
      <c r="AG71" s="54">
        <v>56.0</v>
      </c>
      <c r="AH71" s="39">
        <v>21.0</v>
      </c>
      <c r="AI71" s="35" t="s">
        <v>28</v>
      </c>
      <c r="AJ71" s="36" t="s">
        <v>34</v>
      </c>
      <c r="AK71" s="1"/>
      <c r="AL71" s="36" t="s">
        <v>644</v>
      </c>
      <c r="AM71" s="54">
        <v>952.7</v>
      </c>
      <c r="AN71" s="39">
        <v>15.0</v>
      </c>
      <c r="AO71" s="35" t="s">
        <v>32</v>
      </c>
      <c r="AP71" s="36" t="s">
        <v>32</v>
      </c>
      <c r="AQ71" s="1"/>
      <c r="AR71" s="36" t="s">
        <v>568</v>
      </c>
      <c r="AS71" s="54">
        <v>19.0</v>
      </c>
      <c r="AT71" s="39">
        <v>28.0</v>
      </c>
      <c r="AU71" s="35" t="s">
        <v>28</v>
      </c>
      <c r="AV71" s="36" t="s">
        <v>32</v>
      </c>
      <c r="AW71" s="1"/>
      <c r="AX71" s="36" t="s">
        <v>576</v>
      </c>
      <c r="AY71" s="54">
        <v>24.0</v>
      </c>
      <c r="AZ71" s="39">
        <v>18.0</v>
      </c>
      <c r="BA71" s="35" t="s">
        <v>28</v>
      </c>
      <c r="BB71" s="36" t="s">
        <v>34</v>
      </c>
      <c r="BC71" s="1"/>
      <c r="BE71" s="54"/>
      <c r="BF71" s="39"/>
      <c r="BG71" s="35"/>
      <c r="BI71" s="1"/>
      <c r="BJ71" s="36" t="s">
        <v>239</v>
      </c>
      <c r="BK71" s="59">
        <v>130.0</v>
      </c>
      <c r="BL71" s="39">
        <v>16.0</v>
      </c>
      <c r="BM71" s="35" t="s">
        <v>28</v>
      </c>
      <c r="BN71" s="36" t="s">
        <v>34</v>
      </c>
      <c r="BO71" s="1"/>
      <c r="BP71" s="36" t="s">
        <v>645</v>
      </c>
      <c r="BQ71" s="54">
        <v>20.0</v>
      </c>
      <c r="BR71" s="39">
        <v>5.0</v>
      </c>
      <c r="BS71" s="35" t="s">
        <v>28</v>
      </c>
      <c r="BT71" s="36" t="s">
        <v>34</v>
      </c>
      <c r="BU71" s="4"/>
    </row>
    <row r="72">
      <c r="A72" s="1"/>
      <c r="B72" s="36" t="s">
        <v>646</v>
      </c>
      <c r="C72" s="54">
        <v>50.0</v>
      </c>
      <c r="D72" s="39">
        <v>20.0</v>
      </c>
      <c r="E72" s="35" t="s">
        <v>28</v>
      </c>
      <c r="F72" s="36" t="s">
        <v>34</v>
      </c>
      <c r="G72" s="1"/>
      <c r="H72" s="36" t="s">
        <v>191</v>
      </c>
      <c r="I72" s="54">
        <v>20.0</v>
      </c>
      <c r="J72" s="39">
        <v>28.0</v>
      </c>
      <c r="K72" s="35" t="s">
        <v>28</v>
      </c>
      <c r="L72" s="36" t="s">
        <v>32</v>
      </c>
      <c r="M72" s="1"/>
      <c r="N72" s="36" t="s">
        <v>191</v>
      </c>
      <c r="O72" s="54">
        <v>20.0</v>
      </c>
      <c r="P72" s="39">
        <v>27.0</v>
      </c>
      <c r="Q72" s="35" t="s">
        <v>28</v>
      </c>
      <c r="R72" s="36" t="s">
        <v>32</v>
      </c>
      <c r="S72" s="1"/>
      <c r="T72" s="36" t="s">
        <v>647</v>
      </c>
      <c r="U72" s="54">
        <v>200.0</v>
      </c>
      <c r="V72" s="39">
        <v>25.0</v>
      </c>
      <c r="W72" s="35" t="s">
        <v>32</v>
      </c>
      <c r="X72" s="36" t="s">
        <v>32</v>
      </c>
      <c r="Y72" s="1"/>
      <c r="Z72" s="36" t="s">
        <v>648</v>
      </c>
      <c r="AA72" s="54">
        <v>750.0</v>
      </c>
      <c r="AB72" s="39">
        <v>22.0</v>
      </c>
      <c r="AC72" s="35" t="s">
        <v>32</v>
      </c>
      <c r="AD72" s="36" t="s">
        <v>32</v>
      </c>
      <c r="AE72" s="1"/>
      <c r="AF72" s="36" t="s">
        <v>649</v>
      </c>
      <c r="AG72" s="54">
        <v>150.0</v>
      </c>
      <c r="AH72" s="39">
        <v>23.0</v>
      </c>
      <c r="AI72" s="35" t="s">
        <v>30</v>
      </c>
      <c r="AJ72" s="36" t="s">
        <v>34</v>
      </c>
      <c r="AK72" s="1"/>
      <c r="AL72" s="36" t="s">
        <v>650</v>
      </c>
      <c r="AM72" s="54">
        <v>1327.28</v>
      </c>
      <c r="AN72" s="39">
        <v>15.0</v>
      </c>
      <c r="AO72" s="35" t="s">
        <v>28</v>
      </c>
      <c r="AP72" s="36" t="s">
        <v>32</v>
      </c>
      <c r="AQ72" s="1"/>
      <c r="AR72" s="36" t="s">
        <v>651</v>
      </c>
      <c r="AS72" s="54">
        <v>20.0</v>
      </c>
      <c r="AT72" s="39">
        <v>28.0</v>
      </c>
      <c r="AU72" s="35" t="s">
        <v>32</v>
      </c>
      <c r="AV72" s="36" t="s">
        <v>32</v>
      </c>
      <c r="AW72" s="1"/>
      <c r="AX72" s="36" t="s">
        <v>110</v>
      </c>
      <c r="AY72" s="54">
        <v>22.0</v>
      </c>
      <c r="AZ72" s="39">
        <v>18.0</v>
      </c>
      <c r="BA72" s="35" t="s">
        <v>28</v>
      </c>
      <c r="BB72" s="36" t="s">
        <v>34</v>
      </c>
      <c r="BC72" s="1"/>
      <c r="BE72" s="54"/>
      <c r="BF72" s="39"/>
      <c r="BG72" s="35"/>
      <c r="BI72" s="1"/>
      <c r="BJ72" s="36" t="s">
        <v>235</v>
      </c>
      <c r="BK72" s="59">
        <v>30.0</v>
      </c>
      <c r="BL72" s="39">
        <v>23.0</v>
      </c>
      <c r="BM72" s="35" t="s">
        <v>28</v>
      </c>
      <c r="BN72" s="36" t="s">
        <v>34</v>
      </c>
      <c r="BO72" s="1"/>
      <c r="BP72" s="36" t="s">
        <v>652</v>
      </c>
      <c r="BQ72" s="54">
        <v>100.0</v>
      </c>
      <c r="BR72" s="39">
        <v>9.0</v>
      </c>
      <c r="BS72" s="35" t="s">
        <v>28</v>
      </c>
      <c r="BT72" s="36" t="s">
        <v>34</v>
      </c>
      <c r="BU72" s="4"/>
    </row>
    <row r="73">
      <c r="A73" s="1"/>
      <c r="B73" s="36" t="s">
        <v>552</v>
      </c>
      <c r="C73" s="54">
        <v>60.0</v>
      </c>
      <c r="D73" s="39">
        <v>20.0</v>
      </c>
      <c r="E73" s="35" t="s">
        <v>28</v>
      </c>
      <c r="F73" s="36" t="s">
        <v>34</v>
      </c>
      <c r="G73" s="1"/>
      <c r="H73" s="36" t="s">
        <v>130</v>
      </c>
      <c r="I73" s="54">
        <v>100.0</v>
      </c>
      <c r="J73" s="39">
        <v>28.0</v>
      </c>
      <c r="K73" s="35" t="s">
        <v>32</v>
      </c>
      <c r="L73" s="36" t="s">
        <v>32</v>
      </c>
      <c r="M73" s="1"/>
      <c r="N73" s="36" t="s">
        <v>458</v>
      </c>
      <c r="O73" s="54">
        <v>280.0</v>
      </c>
      <c r="P73" s="39">
        <v>27.0</v>
      </c>
      <c r="Q73" s="35" t="s">
        <v>28</v>
      </c>
      <c r="R73" s="36" t="s">
        <v>34</v>
      </c>
      <c r="S73" s="1"/>
      <c r="T73" s="36" t="s">
        <v>653</v>
      </c>
      <c r="U73" s="54">
        <v>153.0</v>
      </c>
      <c r="V73" s="39">
        <v>25.0</v>
      </c>
      <c r="W73" s="35" t="s">
        <v>28</v>
      </c>
      <c r="X73" s="36" t="s">
        <v>32</v>
      </c>
      <c r="Y73" s="1"/>
      <c r="Z73" s="36" t="s">
        <v>654</v>
      </c>
      <c r="AA73" s="54">
        <v>375.0</v>
      </c>
      <c r="AB73" s="39">
        <v>23.0</v>
      </c>
      <c r="AC73" s="35" t="s">
        <v>32</v>
      </c>
      <c r="AD73" s="36" t="s">
        <v>32</v>
      </c>
      <c r="AE73" s="1"/>
      <c r="AF73" s="36" t="s">
        <v>655</v>
      </c>
      <c r="AG73" s="54">
        <v>126.0</v>
      </c>
      <c r="AH73" s="39">
        <v>23.0</v>
      </c>
      <c r="AI73" s="35" t="s">
        <v>28</v>
      </c>
      <c r="AJ73" s="36" t="s">
        <v>34</v>
      </c>
      <c r="AK73" s="1"/>
      <c r="AL73" s="36" t="s">
        <v>656</v>
      </c>
      <c r="AM73" s="54">
        <v>1020.75</v>
      </c>
      <c r="AN73" s="39">
        <v>15.0</v>
      </c>
      <c r="AO73" s="35" t="s">
        <v>32</v>
      </c>
      <c r="AP73" s="36" t="s">
        <v>32</v>
      </c>
      <c r="AQ73" s="1"/>
      <c r="AR73" s="36" t="s">
        <v>657</v>
      </c>
      <c r="AS73" s="54">
        <v>100.0</v>
      </c>
      <c r="AT73" s="39">
        <v>29.0</v>
      </c>
      <c r="AU73" s="35" t="s">
        <v>32</v>
      </c>
      <c r="AV73" s="36" t="s">
        <v>32</v>
      </c>
      <c r="AW73" s="1"/>
      <c r="AX73" s="36" t="s">
        <v>480</v>
      </c>
      <c r="AY73" s="54">
        <v>163.0</v>
      </c>
      <c r="AZ73" s="39">
        <v>19.0</v>
      </c>
      <c r="BA73" s="35" t="s">
        <v>28</v>
      </c>
      <c r="BB73" s="36" t="s">
        <v>32</v>
      </c>
      <c r="BC73" s="1"/>
      <c r="BE73" s="54"/>
      <c r="BF73" s="39"/>
      <c r="BG73" s="35"/>
      <c r="BI73" s="1"/>
      <c r="BJ73" s="36" t="s">
        <v>633</v>
      </c>
      <c r="BK73" s="59">
        <v>60.0</v>
      </c>
      <c r="BL73" s="39">
        <v>26.0</v>
      </c>
      <c r="BM73" s="35" t="s">
        <v>28</v>
      </c>
      <c r="BN73" s="36" t="s">
        <v>34</v>
      </c>
      <c r="BO73" s="1"/>
      <c r="BP73" s="36" t="s">
        <v>354</v>
      </c>
      <c r="BQ73" s="54">
        <v>86.0</v>
      </c>
      <c r="BR73" s="39">
        <v>17.0</v>
      </c>
      <c r="BS73" s="35" t="s">
        <v>28</v>
      </c>
      <c r="BT73" s="36" t="s">
        <v>34</v>
      </c>
      <c r="BU73" s="4"/>
    </row>
    <row r="74">
      <c r="A74" s="1"/>
      <c r="B74" s="36" t="s">
        <v>310</v>
      </c>
      <c r="C74" s="54">
        <v>35.0</v>
      </c>
      <c r="D74" s="39">
        <v>20.0</v>
      </c>
      <c r="E74" s="35" t="s">
        <v>28</v>
      </c>
      <c r="F74" s="36" t="s">
        <v>34</v>
      </c>
      <c r="G74" s="1"/>
      <c r="H74" s="36" t="s">
        <v>658</v>
      </c>
      <c r="I74" s="54">
        <v>504.68</v>
      </c>
      <c r="J74" s="39">
        <v>29.0</v>
      </c>
      <c r="K74" s="35" t="s">
        <v>32</v>
      </c>
      <c r="L74" s="36" t="s">
        <v>32</v>
      </c>
      <c r="M74" s="1"/>
      <c r="N74" s="36" t="s">
        <v>224</v>
      </c>
      <c r="O74" s="54">
        <v>228.14</v>
      </c>
      <c r="P74" s="39">
        <v>27.0</v>
      </c>
      <c r="Q74" s="35" t="s">
        <v>28</v>
      </c>
      <c r="R74" s="36" t="s">
        <v>34</v>
      </c>
      <c r="S74" s="1"/>
      <c r="T74" s="36" t="s">
        <v>110</v>
      </c>
      <c r="U74" s="54">
        <v>20.0</v>
      </c>
      <c r="V74" s="39">
        <v>25.0</v>
      </c>
      <c r="W74" s="35" t="s">
        <v>28</v>
      </c>
      <c r="X74" s="36" t="s">
        <v>34</v>
      </c>
      <c r="Y74" s="1"/>
      <c r="Z74" s="36" t="s">
        <v>659</v>
      </c>
      <c r="AA74" s="54">
        <v>950.0</v>
      </c>
      <c r="AB74" s="39">
        <v>24.0</v>
      </c>
      <c r="AC74" s="35" t="s">
        <v>32</v>
      </c>
      <c r="AD74" s="36" t="s">
        <v>32</v>
      </c>
      <c r="AE74" s="1"/>
      <c r="AF74" s="36" t="s">
        <v>660</v>
      </c>
      <c r="AG74" s="54">
        <v>80.0</v>
      </c>
      <c r="AH74" s="39">
        <v>24.0</v>
      </c>
      <c r="AI74" s="35" t="s">
        <v>28</v>
      </c>
      <c r="AJ74" s="36" t="s">
        <v>34</v>
      </c>
      <c r="AK74" s="1"/>
      <c r="AL74" s="36" t="s">
        <v>661</v>
      </c>
      <c r="AM74" s="54">
        <v>541.27</v>
      </c>
      <c r="AN74" s="39">
        <v>15.0</v>
      </c>
      <c r="AO74" s="35" t="s">
        <v>28</v>
      </c>
      <c r="AP74" s="36" t="s">
        <v>32</v>
      </c>
      <c r="AQ74" s="1"/>
      <c r="AR74" s="36" t="s">
        <v>92</v>
      </c>
      <c r="AS74" s="54">
        <v>208.0</v>
      </c>
      <c r="AT74" s="39">
        <v>29.0</v>
      </c>
      <c r="AU74" s="35" t="s">
        <v>28</v>
      </c>
      <c r="AV74" s="36" t="s">
        <v>32</v>
      </c>
      <c r="AW74" s="1"/>
      <c r="AX74" s="36" t="s">
        <v>662</v>
      </c>
      <c r="AY74" s="54">
        <v>100.0</v>
      </c>
      <c r="AZ74" s="39">
        <v>20.0</v>
      </c>
      <c r="BA74" s="35" t="s">
        <v>28</v>
      </c>
      <c r="BB74" s="36" t="s">
        <v>34</v>
      </c>
      <c r="BC74" s="1"/>
      <c r="BE74" s="54"/>
      <c r="BF74" s="39"/>
      <c r="BG74" s="35"/>
      <c r="BI74" s="1"/>
      <c r="BJ74" s="36" t="s">
        <v>356</v>
      </c>
      <c r="BK74" s="59">
        <v>3056.0</v>
      </c>
      <c r="BL74" s="39">
        <v>30.0</v>
      </c>
      <c r="BM74" s="35" t="s">
        <v>32</v>
      </c>
      <c r="BN74" s="36" t="s">
        <v>32</v>
      </c>
      <c r="BO74" s="1"/>
      <c r="BP74" s="36" t="s">
        <v>663</v>
      </c>
      <c r="BQ74" s="54">
        <v>332.8</v>
      </c>
      <c r="BR74" s="39">
        <v>19.0</v>
      </c>
      <c r="BS74" s="35" t="s">
        <v>28</v>
      </c>
      <c r="BT74" s="36" t="s">
        <v>34</v>
      </c>
      <c r="BU74" s="4"/>
    </row>
    <row r="75">
      <c r="A75" s="1"/>
      <c r="B75" s="36" t="s">
        <v>664</v>
      </c>
      <c r="C75" s="54">
        <v>40.0</v>
      </c>
      <c r="D75" s="39">
        <v>20.0</v>
      </c>
      <c r="E75" s="35" t="s">
        <v>28</v>
      </c>
      <c r="F75" s="36" t="s">
        <v>34</v>
      </c>
      <c r="G75" s="1"/>
      <c r="H75" s="36" t="s">
        <v>109</v>
      </c>
      <c r="I75" s="54">
        <v>180.0</v>
      </c>
      <c r="J75" s="39">
        <v>29.0</v>
      </c>
      <c r="K75" s="35" t="s">
        <v>28</v>
      </c>
      <c r="L75" s="36" t="s">
        <v>32</v>
      </c>
      <c r="M75" s="1"/>
      <c r="N75" s="36" t="s">
        <v>130</v>
      </c>
      <c r="O75" s="54">
        <v>100.0</v>
      </c>
      <c r="P75" s="39">
        <v>28.0</v>
      </c>
      <c r="Q75" s="35" t="s">
        <v>32</v>
      </c>
      <c r="R75" s="36" t="s">
        <v>32</v>
      </c>
      <c r="S75" s="1"/>
      <c r="T75" s="36" t="s">
        <v>310</v>
      </c>
      <c r="U75" s="54">
        <v>30.0</v>
      </c>
      <c r="V75" s="39">
        <v>25.0</v>
      </c>
      <c r="W75" s="35" t="s">
        <v>28</v>
      </c>
      <c r="X75" s="36" t="s">
        <v>34</v>
      </c>
      <c r="Y75" s="1"/>
      <c r="Z75" s="36" t="s">
        <v>313</v>
      </c>
      <c r="AA75" s="54">
        <v>55.0</v>
      </c>
      <c r="AB75" s="39">
        <v>25.0</v>
      </c>
      <c r="AC75" s="35" t="s">
        <v>32</v>
      </c>
      <c r="AD75" s="36" t="s">
        <v>32</v>
      </c>
      <c r="AE75" s="1"/>
      <c r="AF75" s="36" t="s">
        <v>92</v>
      </c>
      <c r="AG75" s="54">
        <v>20.0</v>
      </c>
      <c r="AH75" s="39">
        <v>24.0</v>
      </c>
      <c r="AI75" s="35" t="s">
        <v>32</v>
      </c>
      <c r="AJ75" s="36" t="s">
        <v>32</v>
      </c>
      <c r="AK75" s="1"/>
      <c r="AL75" s="36" t="s">
        <v>665</v>
      </c>
      <c r="AM75" s="54">
        <v>108.0</v>
      </c>
      <c r="AN75" s="39">
        <v>15.0</v>
      </c>
      <c r="AO75" s="35" t="s">
        <v>32</v>
      </c>
      <c r="AP75" s="36" t="s">
        <v>32</v>
      </c>
      <c r="AQ75" s="1"/>
      <c r="AR75" s="36" t="s">
        <v>666</v>
      </c>
      <c r="AS75" s="54">
        <v>6.75</v>
      </c>
      <c r="AT75" s="39">
        <v>30.0</v>
      </c>
      <c r="AU75" s="35" t="s">
        <v>32</v>
      </c>
      <c r="AV75" s="36" t="s">
        <v>32</v>
      </c>
      <c r="AW75" s="1"/>
      <c r="AX75" s="36" t="s">
        <v>265</v>
      </c>
      <c r="AY75" s="54">
        <v>65.0</v>
      </c>
      <c r="AZ75" s="39">
        <v>20.0</v>
      </c>
      <c r="BA75" s="35" t="s">
        <v>28</v>
      </c>
      <c r="BB75" s="36" t="s">
        <v>34</v>
      </c>
      <c r="BC75" s="1"/>
      <c r="BE75" s="54"/>
      <c r="BF75" s="39"/>
      <c r="BG75" s="35"/>
      <c r="BI75" s="1"/>
      <c r="BK75" s="59"/>
      <c r="BL75" s="39"/>
      <c r="BM75" s="35"/>
      <c r="BO75" s="1"/>
      <c r="BP75" s="36" t="s">
        <v>214</v>
      </c>
      <c r="BQ75" s="54">
        <v>96.0</v>
      </c>
      <c r="BR75" s="39">
        <v>19.0</v>
      </c>
      <c r="BS75" s="35" t="s">
        <v>28</v>
      </c>
      <c r="BT75" s="36" t="s">
        <v>34</v>
      </c>
      <c r="BU75" s="4"/>
    </row>
    <row r="76">
      <c r="A76" s="1"/>
      <c r="B76" s="36" t="s">
        <v>646</v>
      </c>
      <c r="C76" s="54">
        <v>80.0</v>
      </c>
      <c r="D76" s="39">
        <v>20.0</v>
      </c>
      <c r="E76" s="35" t="s">
        <v>28</v>
      </c>
      <c r="F76" s="36" t="s">
        <v>34</v>
      </c>
      <c r="G76" s="1"/>
      <c r="H76" s="36" t="s">
        <v>89</v>
      </c>
      <c r="I76" s="54">
        <v>20.0</v>
      </c>
      <c r="J76" s="39">
        <v>29.0</v>
      </c>
      <c r="K76" s="35" t="s">
        <v>28</v>
      </c>
      <c r="L76" s="36" t="s">
        <v>32</v>
      </c>
      <c r="M76" s="1"/>
      <c r="N76" s="36" t="s">
        <v>667</v>
      </c>
      <c r="O76" s="54">
        <v>90.0</v>
      </c>
      <c r="P76" s="39">
        <v>30.0</v>
      </c>
      <c r="Q76" s="35" t="s">
        <v>28</v>
      </c>
      <c r="R76" s="36" t="s">
        <v>34</v>
      </c>
      <c r="S76" s="1"/>
      <c r="T76" s="36" t="s">
        <v>668</v>
      </c>
      <c r="U76" s="54">
        <v>30.0</v>
      </c>
      <c r="V76" s="39">
        <v>26.0</v>
      </c>
      <c r="W76" s="35" t="s">
        <v>32</v>
      </c>
      <c r="X76" s="36" t="s">
        <v>32</v>
      </c>
      <c r="Y76" s="1"/>
      <c r="Z76" s="36" t="s">
        <v>100</v>
      </c>
      <c r="AA76" s="54">
        <v>100.0</v>
      </c>
      <c r="AB76" s="39">
        <v>26.0</v>
      </c>
      <c r="AC76" s="35" t="s">
        <v>32</v>
      </c>
      <c r="AD76" s="36" t="s">
        <v>32</v>
      </c>
      <c r="AE76" s="1"/>
      <c r="AF76" s="36" t="s">
        <v>524</v>
      </c>
      <c r="AG76" s="54">
        <v>20.0</v>
      </c>
      <c r="AH76" s="39">
        <v>24.0</v>
      </c>
      <c r="AI76" s="35" t="s">
        <v>32</v>
      </c>
      <c r="AJ76" s="36" t="s">
        <v>32</v>
      </c>
      <c r="AK76" s="1"/>
      <c r="AL76" s="36" t="s">
        <v>89</v>
      </c>
      <c r="AM76" s="54">
        <v>90.0</v>
      </c>
      <c r="AN76" s="39">
        <v>15.0</v>
      </c>
      <c r="AO76" s="35" t="s">
        <v>32</v>
      </c>
      <c r="AP76" s="36" t="s">
        <v>32</v>
      </c>
      <c r="AQ76" s="1"/>
      <c r="AR76" s="36" t="s">
        <v>568</v>
      </c>
      <c r="AS76" s="54">
        <v>30.0</v>
      </c>
      <c r="AT76" s="39">
        <v>30.0</v>
      </c>
      <c r="AU76" s="35" t="s">
        <v>28</v>
      </c>
      <c r="AV76" s="36" t="s">
        <v>32</v>
      </c>
      <c r="AW76" s="1"/>
      <c r="AX76" s="36" t="s">
        <v>92</v>
      </c>
      <c r="AY76" s="54">
        <v>30.0</v>
      </c>
      <c r="AZ76" s="39">
        <v>23.0</v>
      </c>
      <c r="BA76" s="35" t="s">
        <v>32</v>
      </c>
      <c r="BB76" s="36" t="s">
        <v>32</v>
      </c>
      <c r="BC76" s="1"/>
      <c r="BE76" s="54"/>
      <c r="BF76" s="39"/>
      <c r="BG76" s="35"/>
      <c r="BI76" s="1"/>
      <c r="BK76" s="59"/>
      <c r="BL76" s="39"/>
      <c r="BM76" s="35"/>
      <c r="BO76" s="1"/>
      <c r="BP76" s="36" t="s">
        <v>669</v>
      </c>
      <c r="BQ76" s="54">
        <v>20.0</v>
      </c>
      <c r="BR76" s="39">
        <v>19.0</v>
      </c>
      <c r="BS76" s="35" t="s">
        <v>28</v>
      </c>
      <c r="BT76" s="36" t="s">
        <v>34</v>
      </c>
      <c r="BU76" s="4"/>
    </row>
    <row r="77">
      <c r="A77" s="1"/>
      <c r="B77" s="36" t="s">
        <v>110</v>
      </c>
      <c r="C77" s="54">
        <v>20.0</v>
      </c>
      <c r="D77" s="39">
        <v>23.0</v>
      </c>
      <c r="E77" s="35" t="s">
        <v>28</v>
      </c>
      <c r="F77" s="36" t="s">
        <v>34</v>
      </c>
      <c r="G77" s="1"/>
      <c r="H77" s="36" t="s">
        <v>670</v>
      </c>
      <c r="I77" s="54">
        <v>267.76</v>
      </c>
      <c r="J77" s="39">
        <v>29.0</v>
      </c>
      <c r="K77" s="35" t="s">
        <v>28</v>
      </c>
      <c r="L77" s="36" t="s">
        <v>32</v>
      </c>
      <c r="M77" s="1"/>
      <c r="N77" s="36" t="s">
        <v>133</v>
      </c>
      <c r="O77" s="54">
        <v>1946.5</v>
      </c>
      <c r="P77" s="39">
        <v>30.0</v>
      </c>
      <c r="Q77" s="35" t="s">
        <v>32</v>
      </c>
      <c r="R77" s="36" t="s">
        <v>32</v>
      </c>
      <c r="S77" s="1"/>
      <c r="T77" s="36" t="s">
        <v>671</v>
      </c>
      <c r="U77" s="54">
        <v>3000.0</v>
      </c>
      <c r="V77" s="39">
        <v>28.0</v>
      </c>
      <c r="W77" s="35" t="s">
        <v>34</v>
      </c>
      <c r="X77" s="36" t="s">
        <v>32</v>
      </c>
      <c r="Y77" s="1"/>
      <c r="Z77" s="36" t="s">
        <v>672</v>
      </c>
      <c r="AA77" s="54">
        <v>260.0</v>
      </c>
      <c r="AB77" s="39">
        <v>26.0</v>
      </c>
      <c r="AC77" s="35" t="s">
        <v>28</v>
      </c>
      <c r="AD77" s="36" t="s">
        <v>34</v>
      </c>
      <c r="AE77" s="1"/>
      <c r="AF77" s="36" t="s">
        <v>673</v>
      </c>
      <c r="AG77" s="54">
        <v>563.43</v>
      </c>
      <c r="AH77" s="39">
        <v>24.0</v>
      </c>
      <c r="AI77" s="35" t="s">
        <v>32</v>
      </c>
      <c r="AJ77" s="36" t="s">
        <v>32</v>
      </c>
      <c r="AK77" s="1"/>
      <c r="AL77" s="36" t="s">
        <v>674</v>
      </c>
      <c r="AM77" s="54">
        <v>114.8</v>
      </c>
      <c r="AN77" s="39">
        <v>15.0</v>
      </c>
      <c r="AO77" s="35" t="s">
        <v>28</v>
      </c>
      <c r="AP77" s="36" t="s">
        <v>34</v>
      </c>
      <c r="AQ77" s="1"/>
      <c r="AR77" s="36" t="s">
        <v>124</v>
      </c>
      <c r="AS77" s="54">
        <v>11.05</v>
      </c>
      <c r="AT77" s="39">
        <v>31.0</v>
      </c>
      <c r="AU77" s="35" t="s">
        <v>32</v>
      </c>
      <c r="AV77" s="36" t="s">
        <v>32</v>
      </c>
      <c r="AW77" s="1"/>
      <c r="AX77" s="36" t="s">
        <v>191</v>
      </c>
      <c r="AY77" s="54">
        <v>20.0</v>
      </c>
      <c r="AZ77" s="39">
        <v>26.0</v>
      </c>
      <c r="BA77" s="35" t="s">
        <v>28</v>
      </c>
      <c r="BB77" s="36" t="s">
        <v>32</v>
      </c>
      <c r="BC77" s="1"/>
      <c r="BE77" s="54"/>
      <c r="BF77" s="39"/>
      <c r="BG77" s="35"/>
      <c r="BI77" s="1"/>
      <c r="BK77" s="59"/>
      <c r="BL77" s="39"/>
      <c r="BM77" s="35"/>
      <c r="BO77" s="1"/>
      <c r="BP77" s="36" t="s">
        <v>675</v>
      </c>
      <c r="BQ77" s="54">
        <v>64.0</v>
      </c>
      <c r="BR77" s="39">
        <v>26.0</v>
      </c>
      <c r="BS77" s="35" t="s">
        <v>28</v>
      </c>
      <c r="BT77" s="36" t="s">
        <v>34</v>
      </c>
      <c r="BU77" s="4"/>
    </row>
    <row r="78">
      <c r="A78" s="1"/>
      <c r="B78" s="36" t="s">
        <v>676</v>
      </c>
      <c r="C78" s="54">
        <v>50.0</v>
      </c>
      <c r="D78" s="39">
        <v>23.0</v>
      </c>
      <c r="E78" s="35" t="s">
        <v>28</v>
      </c>
      <c r="F78" s="36" t="s">
        <v>34</v>
      </c>
      <c r="G78" s="1"/>
      <c r="H78" s="36" t="s">
        <v>89</v>
      </c>
      <c r="I78" s="54">
        <v>13.0</v>
      </c>
      <c r="J78" s="39">
        <v>29.0</v>
      </c>
      <c r="K78" s="35" t="s">
        <v>28</v>
      </c>
      <c r="L78" s="36" t="s">
        <v>32</v>
      </c>
      <c r="M78" s="1"/>
      <c r="O78" s="54"/>
      <c r="P78" s="39"/>
      <c r="Q78" s="35"/>
      <c r="S78" s="1"/>
      <c r="T78" s="36" t="s">
        <v>130</v>
      </c>
      <c r="U78" s="54">
        <v>100.0</v>
      </c>
      <c r="V78" s="39">
        <v>29.0</v>
      </c>
      <c r="W78" s="35" t="s">
        <v>32</v>
      </c>
      <c r="X78" s="36" t="s">
        <v>32</v>
      </c>
      <c r="Y78" s="1"/>
      <c r="Z78" s="36" t="s">
        <v>677</v>
      </c>
      <c r="AA78" s="54">
        <v>52.38</v>
      </c>
      <c r="AB78" s="39">
        <v>27.0</v>
      </c>
      <c r="AC78" s="35" t="s">
        <v>32</v>
      </c>
      <c r="AD78" s="36" t="s">
        <v>32</v>
      </c>
      <c r="AE78" s="1"/>
      <c r="AF78" s="36" t="s">
        <v>109</v>
      </c>
      <c r="AG78" s="54">
        <v>18.0</v>
      </c>
      <c r="AH78" s="39">
        <v>24.0</v>
      </c>
      <c r="AI78" s="35" t="s">
        <v>28</v>
      </c>
      <c r="AJ78" s="36" t="s">
        <v>32</v>
      </c>
      <c r="AK78" s="1"/>
      <c r="AL78" s="36" t="s">
        <v>615</v>
      </c>
      <c r="AM78" s="54">
        <v>150.0</v>
      </c>
      <c r="AN78" s="39">
        <v>16.0</v>
      </c>
      <c r="AO78" s="35" t="s">
        <v>32</v>
      </c>
      <c r="AP78" s="36" t="s">
        <v>32</v>
      </c>
      <c r="AQ78" s="1"/>
      <c r="AR78" s="36" t="s">
        <v>678</v>
      </c>
      <c r="AS78" s="54">
        <v>85.0</v>
      </c>
      <c r="AT78" s="39">
        <v>31.0</v>
      </c>
      <c r="AU78" s="35" t="s">
        <v>28</v>
      </c>
      <c r="AV78" s="36" t="s">
        <v>34</v>
      </c>
      <c r="AW78" s="1"/>
      <c r="AX78" s="36" t="s">
        <v>287</v>
      </c>
      <c r="AY78" s="54">
        <v>104.71</v>
      </c>
      <c r="AZ78" s="39">
        <v>26.0</v>
      </c>
      <c r="BA78" s="35" t="s">
        <v>28</v>
      </c>
      <c r="BB78" s="36" t="s">
        <v>32</v>
      </c>
      <c r="BC78" s="1"/>
      <c r="BE78" s="54"/>
      <c r="BF78" s="39"/>
      <c r="BG78" s="35"/>
      <c r="BI78" s="1"/>
      <c r="BK78" s="59"/>
      <c r="BL78" s="39"/>
      <c r="BM78" s="35"/>
      <c r="BO78" s="1"/>
      <c r="BP78" s="36" t="s">
        <v>133</v>
      </c>
      <c r="BQ78" s="54">
        <v>5383.0</v>
      </c>
      <c r="BR78" s="39">
        <v>31.0</v>
      </c>
      <c r="BS78" s="35" t="s">
        <v>32</v>
      </c>
      <c r="BT78" s="36" t="s">
        <v>32</v>
      </c>
      <c r="BU78" s="4"/>
    </row>
    <row r="79">
      <c r="A79" s="1"/>
      <c r="B79" s="36" t="s">
        <v>582</v>
      </c>
      <c r="C79" s="54">
        <v>10.0</v>
      </c>
      <c r="D79" s="39">
        <v>23.0</v>
      </c>
      <c r="E79" s="35" t="s">
        <v>28</v>
      </c>
      <c r="F79" s="36" t="s">
        <v>34</v>
      </c>
      <c r="G79" s="1"/>
      <c r="H79" s="36" t="s">
        <v>679</v>
      </c>
      <c r="I79" s="54">
        <v>160.04</v>
      </c>
      <c r="J79" s="39">
        <v>29.0</v>
      </c>
      <c r="K79" s="35" t="s">
        <v>32</v>
      </c>
      <c r="L79" s="36" t="s">
        <v>32</v>
      </c>
      <c r="M79" s="1"/>
      <c r="O79" s="54"/>
      <c r="P79" s="39"/>
      <c r="Q79" s="35"/>
      <c r="S79" s="1"/>
      <c r="T79" s="36" t="s">
        <v>286</v>
      </c>
      <c r="U79" s="54">
        <v>100.0</v>
      </c>
      <c r="V79" s="39">
        <v>29.0</v>
      </c>
      <c r="W79" s="35" t="s">
        <v>32</v>
      </c>
      <c r="X79" s="36" t="s">
        <v>32</v>
      </c>
      <c r="Y79" s="1"/>
      <c r="Z79" s="36" t="s">
        <v>677</v>
      </c>
      <c r="AA79" s="54">
        <v>68.38</v>
      </c>
      <c r="AB79" s="39">
        <v>27.0</v>
      </c>
      <c r="AC79" s="35" t="s">
        <v>32</v>
      </c>
      <c r="AD79" s="36" t="s">
        <v>32</v>
      </c>
      <c r="AE79" s="1"/>
      <c r="AF79" s="36" t="s">
        <v>680</v>
      </c>
      <c r="AG79" s="54">
        <v>3126.5</v>
      </c>
      <c r="AH79" s="39">
        <v>24.0</v>
      </c>
      <c r="AI79" s="35" t="s">
        <v>32</v>
      </c>
      <c r="AJ79" s="36" t="s">
        <v>32</v>
      </c>
      <c r="AK79" s="1"/>
      <c r="AL79" s="36" t="s">
        <v>191</v>
      </c>
      <c r="AM79" s="54">
        <v>20.0</v>
      </c>
      <c r="AN79" s="39">
        <v>18.0</v>
      </c>
      <c r="AO79" s="35" t="s">
        <v>28</v>
      </c>
      <c r="AP79" s="36" t="s">
        <v>32</v>
      </c>
      <c r="AQ79" s="1"/>
      <c r="AR79" s="36" t="s">
        <v>681</v>
      </c>
      <c r="AS79" s="54">
        <v>1774.0</v>
      </c>
      <c r="AT79" s="39">
        <v>31.0</v>
      </c>
      <c r="AU79" s="35" t="s">
        <v>32</v>
      </c>
      <c r="AV79" s="36" t="s">
        <v>32</v>
      </c>
      <c r="AW79" s="1"/>
      <c r="AX79" s="36" t="s">
        <v>110</v>
      </c>
      <c r="AY79" s="54">
        <v>25.0</v>
      </c>
      <c r="AZ79" s="39">
        <v>27.0</v>
      </c>
      <c r="BA79" s="35" t="s">
        <v>28</v>
      </c>
      <c r="BB79" s="36" t="s">
        <v>34</v>
      </c>
      <c r="BC79" s="1"/>
      <c r="BE79" s="54"/>
      <c r="BF79" s="39"/>
      <c r="BG79" s="35"/>
      <c r="BI79" s="1"/>
      <c r="BK79" s="59"/>
      <c r="BL79" s="39"/>
      <c r="BM79" s="35"/>
      <c r="BO79" s="1"/>
      <c r="BQ79" s="54"/>
      <c r="BR79" s="39"/>
      <c r="BS79" s="35"/>
      <c r="BU79" s="4"/>
    </row>
    <row r="80">
      <c r="A80" s="1"/>
      <c r="B80" s="36" t="s">
        <v>601</v>
      </c>
      <c r="C80" s="54">
        <v>40.0</v>
      </c>
      <c r="D80" s="39">
        <v>27.0</v>
      </c>
      <c r="E80" s="35" t="s">
        <v>28</v>
      </c>
      <c r="F80" s="36" t="s">
        <v>34</v>
      </c>
      <c r="G80" s="1"/>
      <c r="H80" s="36" t="s">
        <v>480</v>
      </c>
      <c r="I80" s="54">
        <v>43.3</v>
      </c>
      <c r="J80" s="39">
        <v>29.0</v>
      </c>
      <c r="K80" s="35" t="s">
        <v>28</v>
      </c>
      <c r="L80" s="36" t="s">
        <v>32</v>
      </c>
      <c r="M80" s="1"/>
      <c r="S80" s="1"/>
      <c r="T80" s="36" t="s">
        <v>133</v>
      </c>
      <c r="U80" s="54">
        <v>1894.0</v>
      </c>
      <c r="V80" s="39">
        <v>30.0</v>
      </c>
      <c r="W80" s="35" t="s">
        <v>32</v>
      </c>
      <c r="X80" s="36" t="s">
        <v>32</v>
      </c>
      <c r="Y80" s="1"/>
      <c r="Z80" s="36" t="s">
        <v>210</v>
      </c>
      <c r="AA80" s="54">
        <v>40.0</v>
      </c>
      <c r="AB80" s="39">
        <v>27.0</v>
      </c>
      <c r="AC80" s="35" t="s">
        <v>28</v>
      </c>
      <c r="AD80" s="36" t="s">
        <v>32</v>
      </c>
      <c r="AE80" s="1"/>
      <c r="AF80" s="36" t="s">
        <v>278</v>
      </c>
      <c r="AG80" s="54">
        <v>238.8</v>
      </c>
      <c r="AH80" s="39">
        <v>27.0</v>
      </c>
      <c r="AI80" s="35" t="s">
        <v>28</v>
      </c>
      <c r="AJ80" s="36" t="s">
        <v>32</v>
      </c>
      <c r="AK80" s="1"/>
      <c r="AL80" s="36" t="s">
        <v>305</v>
      </c>
      <c r="AM80" s="54">
        <v>20.0</v>
      </c>
      <c r="AN80" s="39">
        <v>18.0</v>
      </c>
      <c r="AO80" s="35" t="s">
        <v>32</v>
      </c>
      <c r="AP80" s="36" t="s">
        <v>32</v>
      </c>
      <c r="AQ80" s="1"/>
      <c r="AS80" s="54"/>
      <c r="AT80" s="39"/>
      <c r="AU80" s="35"/>
      <c r="AW80" s="1"/>
      <c r="AX80" s="36" t="s">
        <v>576</v>
      </c>
      <c r="AY80" s="54">
        <v>32.0</v>
      </c>
      <c r="AZ80" s="39">
        <v>27.0</v>
      </c>
      <c r="BA80" s="35" t="s">
        <v>28</v>
      </c>
      <c r="BB80" s="36" t="s">
        <v>34</v>
      </c>
      <c r="BC80" s="1"/>
      <c r="BE80" s="54"/>
      <c r="BF80" s="39"/>
      <c r="BG80" s="35"/>
      <c r="BI80" s="1"/>
      <c r="BK80" s="59"/>
      <c r="BL80" s="39"/>
      <c r="BM80" s="35"/>
      <c r="BO80" s="1"/>
      <c r="BQ80" s="54"/>
      <c r="BR80" s="39"/>
      <c r="BS80" s="35"/>
      <c r="BU80" s="4"/>
    </row>
    <row r="81">
      <c r="A81" s="1"/>
      <c r="B81" s="36" t="s">
        <v>130</v>
      </c>
      <c r="C81" s="54">
        <v>100.0</v>
      </c>
      <c r="D81" s="39">
        <v>29.0</v>
      </c>
      <c r="E81" s="35" t="s">
        <v>32</v>
      </c>
      <c r="F81" s="36" t="s">
        <v>32</v>
      </c>
      <c r="G81" s="1"/>
      <c r="H81" s="36" t="s">
        <v>682</v>
      </c>
      <c r="I81" s="54">
        <v>166.8</v>
      </c>
      <c r="J81" s="39">
        <v>29.0</v>
      </c>
      <c r="K81" s="35" t="s">
        <v>28</v>
      </c>
      <c r="L81" s="36" t="s">
        <v>34</v>
      </c>
      <c r="M81" s="1"/>
      <c r="S81" s="1"/>
      <c r="U81" s="54"/>
      <c r="V81" s="39"/>
      <c r="W81" s="35"/>
      <c r="Y81" s="1"/>
      <c r="Z81" s="36" t="s">
        <v>683</v>
      </c>
      <c r="AA81" s="54">
        <v>400.0</v>
      </c>
      <c r="AB81" s="39">
        <v>27.0</v>
      </c>
      <c r="AC81" s="35" t="s">
        <v>32</v>
      </c>
      <c r="AD81" s="36" t="s">
        <v>32</v>
      </c>
      <c r="AE81" s="1"/>
      <c r="AF81" s="36" t="s">
        <v>130</v>
      </c>
      <c r="AG81" s="54">
        <v>100.0</v>
      </c>
      <c r="AH81" s="39">
        <v>28.0</v>
      </c>
      <c r="AI81" s="35" t="s">
        <v>32</v>
      </c>
      <c r="AJ81" s="36" t="s">
        <v>32</v>
      </c>
      <c r="AK81" s="1"/>
      <c r="AL81" s="36" t="s">
        <v>684</v>
      </c>
      <c r="AM81" s="54">
        <v>120.0</v>
      </c>
      <c r="AN81" s="39">
        <v>18.0</v>
      </c>
      <c r="AO81" s="35" t="s">
        <v>28</v>
      </c>
      <c r="AP81" s="36" t="s">
        <v>34</v>
      </c>
      <c r="AQ81" s="1"/>
      <c r="AS81" s="54"/>
      <c r="AT81" s="39"/>
      <c r="AU81" s="35"/>
      <c r="AW81" s="1"/>
      <c r="AX81" s="36" t="s">
        <v>100</v>
      </c>
      <c r="AY81" s="54">
        <v>100.0</v>
      </c>
      <c r="AZ81" s="39">
        <v>29.0</v>
      </c>
      <c r="BA81" s="35" t="s">
        <v>32</v>
      </c>
      <c r="BB81" s="36" t="s">
        <v>32</v>
      </c>
      <c r="BC81" s="1"/>
      <c r="BE81" s="54"/>
      <c r="BF81" s="39"/>
      <c r="BG81" s="35"/>
      <c r="BI81" s="1"/>
      <c r="BK81" s="59"/>
      <c r="BL81" s="39"/>
      <c r="BM81" s="35"/>
      <c r="BO81" s="1"/>
      <c r="BQ81" s="54"/>
      <c r="BR81" s="39"/>
      <c r="BS81" s="35"/>
      <c r="BU81" s="4"/>
    </row>
    <row r="82">
      <c r="A82" s="1"/>
      <c r="B82" s="36" t="s">
        <v>89</v>
      </c>
      <c r="C82" s="54">
        <v>90.0</v>
      </c>
      <c r="D82" s="39">
        <v>29.0</v>
      </c>
      <c r="E82" s="35" t="s">
        <v>28</v>
      </c>
      <c r="F82" s="36" t="s">
        <v>32</v>
      </c>
      <c r="G82" s="1"/>
      <c r="H82" s="36" t="s">
        <v>133</v>
      </c>
      <c r="I82" s="54">
        <v>1831.62</v>
      </c>
      <c r="J82" s="39">
        <v>29.0</v>
      </c>
      <c r="K82" s="35" t="s">
        <v>32</v>
      </c>
      <c r="L82" s="36" t="s">
        <v>32</v>
      </c>
      <c r="M82" s="1"/>
      <c r="S82" s="1"/>
      <c r="U82" s="54"/>
      <c r="V82" s="39"/>
      <c r="W82" s="35"/>
      <c r="Y82" s="1"/>
      <c r="Z82" s="36" t="s">
        <v>130</v>
      </c>
      <c r="AA82" s="54">
        <v>100.0</v>
      </c>
      <c r="AB82" s="39">
        <v>28.0</v>
      </c>
      <c r="AC82" s="35" t="s">
        <v>32</v>
      </c>
      <c r="AD82" s="36" t="s">
        <v>32</v>
      </c>
      <c r="AE82" s="1"/>
      <c r="AF82" s="36" t="s">
        <v>124</v>
      </c>
      <c r="AG82" s="54">
        <v>-973.24</v>
      </c>
      <c r="AH82" s="39">
        <v>31.0</v>
      </c>
      <c r="AI82" s="35" t="s">
        <v>32</v>
      </c>
      <c r="AJ82" s="36" t="s">
        <v>32</v>
      </c>
      <c r="AK82" s="1"/>
      <c r="AL82" s="36" t="s">
        <v>685</v>
      </c>
      <c r="AM82" s="54">
        <v>100.0</v>
      </c>
      <c r="AN82" s="39">
        <v>18.0</v>
      </c>
      <c r="AO82" s="35" t="s">
        <v>28</v>
      </c>
      <c r="AP82" s="36" t="s">
        <v>34</v>
      </c>
      <c r="AQ82" s="1"/>
      <c r="AS82" s="54"/>
      <c r="AT82" s="39"/>
      <c r="AU82" s="35"/>
      <c r="AW82" s="1"/>
      <c r="AX82" s="36" t="s">
        <v>109</v>
      </c>
      <c r="AY82" s="54">
        <v>207.0</v>
      </c>
      <c r="AZ82" s="39">
        <v>30.0</v>
      </c>
      <c r="BA82" s="35" t="s">
        <v>28</v>
      </c>
      <c r="BB82" s="36" t="s">
        <v>32</v>
      </c>
      <c r="BC82" s="1"/>
      <c r="BE82" s="54"/>
      <c r="BF82" s="39"/>
      <c r="BG82" s="35"/>
      <c r="BI82" s="1"/>
      <c r="BK82" s="59"/>
      <c r="BL82" s="39"/>
      <c r="BM82" s="35"/>
      <c r="BO82" s="1"/>
      <c r="BQ82" s="54"/>
      <c r="BR82" s="39"/>
      <c r="BS82" s="35"/>
      <c r="BU82" s="4"/>
    </row>
    <row r="83">
      <c r="A83" s="1"/>
      <c r="B83" s="36" t="s">
        <v>89</v>
      </c>
      <c r="C83" s="54">
        <v>230.0</v>
      </c>
      <c r="D83" s="39">
        <v>30.0</v>
      </c>
      <c r="E83" s="35" t="s">
        <v>28</v>
      </c>
      <c r="F83" s="36" t="s">
        <v>32</v>
      </c>
      <c r="G83" s="1"/>
      <c r="I83" s="54"/>
      <c r="J83" s="39"/>
      <c r="K83" s="35"/>
      <c r="M83" s="1"/>
      <c r="S83" s="1"/>
      <c r="U83" s="54"/>
      <c r="V83" s="39"/>
      <c r="W83" s="35"/>
      <c r="Y83" s="1"/>
      <c r="Z83" s="36" t="s">
        <v>686</v>
      </c>
      <c r="AA83" s="54">
        <v>85.0</v>
      </c>
      <c r="AB83" s="39">
        <v>28.0</v>
      </c>
      <c r="AC83" s="35" t="s">
        <v>28</v>
      </c>
      <c r="AD83" s="36" t="s">
        <v>32</v>
      </c>
      <c r="AE83" s="1"/>
      <c r="AG83" s="54"/>
      <c r="AH83" s="39"/>
      <c r="AI83" s="35"/>
      <c r="AK83" s="1"/>
      <c r="AL83" s="36" t="s">
        <v>685</v>
      </c>
      <c r="AM83" s="54">
        <v>50.0</v>
      </c>
      <c r="AN83" s="39">
        <v>19.0</v>
      </c>
      <c r="AO83" s="35" t="s">
        <v>28</v>
      </c>
      <c r="AP83" s="36" t="s">
        <v>32</v>
      </c>
      <c r="AQ83" s="1"/>
      <c r="AS83" s="54"/>
      <c r="AT83" s="39"/>
      <c r="AU83" s="35"/>
      <c r="AW83" s="1"/>
      <c r="AX83" s="36" t="s">
        <v>130</v>
      </c>
      <c r="AY83" s="54">
        <v>100.0</v>
      </c>
      <c r="AZ83" s="39">
        <v>30.0</v>
      </c>
      <c r="BA83" s="35" t="s">
        <v>32</v>
      </c>
      <c r="BB83" s="36" t="s">
        <v>32</v>
      </c>
      <c r="BC83" s="1"/>
      <c r="BE83" s="54"/>
      <c r="BF83" s="39"/>
      <c r="BG83" s="35"/>
      <c r="BI83" s="1"/>
      <c r="BK83" s="59"/>
      <c r="BL83" s="39"/>
      <c r="BM83" s="35"/>
      <c r="BO83" s="1"/>
      <c r="BQ83" s="54"/>
      <c r="BR83" s="39"/>
      <c r="BS83" s="35"/>
      <c r="BU83" s="4"/>
    </row>
    <row r="84">
      <c r="A84" s="1"/>
      <c r="B84" s="36" t="s">
        <v>687</v>
      </c>
      <c r="C84" s="54">
        <v>280.58</v>
      </c>
      <c r="D84" s="39">
        <v>30.0</v>
      </c>
      <c r="E84" s="35" t="s">
        <v>32</v>
      </c>
      <c r="F84" s="36" t="s">
        <v>32</v>
      </c>
      <c r="G84" s="1"/>
      <c r="I84" s="54"/>
      <c r="J84" s="39"/>
      <c r="K84" s="35"/>
      <c r="M84" s="1"/>
      <c r="S84" s="1"/>
      <c r="U84" s="54"/>
      <c r="V84" s="39"/>
      <c r="W84" s="35"/>
      <c r="Y84" s="1"/>
      <c r="Z84" s="36" t="s">
        <v>688</v>
      </c>
      <c r="AA84" s="54">
        <v>150.0</v>
      </c>
      <c r="AB84" s="39">
        <v>29.0</v>
      </c>
      <c r="AC84" s="35" t="s">
        <v>28</v>
      </c>
      <c r="AD84" s="36" t="s">
        <v>32</v>
      </c>
      <c r="AE84" s="1"/>
      <c r="AG84" s="54"/>
      <c r="AH84" s="39"/>
      <c r="AI84" s="35"/>
      <c r="AK84" s="1"/>
      <c r="AL84" s="36" t="s">
        <v>92</v>
      </c>
      <c r="AM84" s="54">
        <v>120.0</v>
      </c>
      <c r="AN84" s="39">
        <v>22.0</v>
      </c>
      <c r="AO84" s="35" t="s">
        <v>32</v>
      </c>
      <c r="AP84" s="36" t="s">
        <v>32</v>
      </c>
      <c r="AQ84" s="1"/>
      <c r="AS84" s="54"/>
      <c r="AT84" s="39"/>
      <c r="AU84" s="35"/>
      <c r="AW84" s="66"/>
      <c r="AX84" s="36" t="s">
        <v>93</v>
      </c>
      <c r="AY84" s="54">
        <v>300.0</v>
      </c>
      <c r="AZ84" s="39">
        <v>30.0</v>
      </c>
      <c r="BA84" s="35" t="s">
        <v>28</v>
      </c>
      <c r="BB84" s="36" t="s">
        <v>32</v>
      </c>
      <c r="BC84" s="1"/>
      <c r="BE84" s="54"/>
      <c r="BF84" s="39"/>
      <c r="BG84" s="35"/>
      <c r="BI84" s="1"/>
      <c r="BK84" s="59"/>
      <c r="BL84" s="39"/>
      <c r="BM84" s="35"/>
      <c r="BO84" s="1"/>
      <c r="BQ84" s="54"/>
      <c r="BR84" s="39"/>
      <c r="BS84" s="35"/>
      <c r="BU84" s="4"/>
    </row>
    <row r="85">
      <c r="A85" s="1"/>
      <c r="B85" s="36" t="s">
        <v>689</v>
      </c>
      <c r="C85" s="54">
        <v>140.0</v>
      </c>
      <c r="D85" s="39">
        <v>30.0</v>
      </c>
      <c r="E85" s="35" t="s">
        <v>28</v>
      </c>
      <c r="F85" s="36" t="s">
        <v>34</v>
      </c>
      <c r="G85" s="1"/>
      <c r="I85" s="54"/>
      <c r="J85" s="39"/>
      <c r="K85" s="35"/>
      <c r="M85" s="1"/>
      <c r="S85" s="1"/>
      <c r="U85" s="54"/>
      <c r="V85" s="39"/>
      <c r="W85" s="35"/>
      <c r="Y85" s="1"/>
      <c r="Z85" s="36" t="s">
        <v>690</v>
      </c>
      <c r="AA85" s="54">
        <v>55.0</v>
      </c>
      <c r="AB85" s="39">
        <v>29.0</v>
      </c>
      <c r="AC85" s="35" t="s">
        <v>30</v>
      </c>
      <c r="AD85" s="36" t="s">
        <v>34</v>
      </c>
      <c r="AE85" s="1"/>
      <c r="AG85" s="54"/>
      <c r="AH85" s="39"/>
      <c r="AI85" s="35"/>
      <c r="AK85" s="1"/>
      <c r="AL85" s="36" t="s">
        <v>691</v>
      </c>
      <c r="AM85" s="54">
        <v>84.0</v>
      </c>
      <c r="AN85" s="39">
        <v>22.0</v>
      </c>
      <c r="AO85" s="35" t="s">
        <v>32</v>
      </c>
      <c r="AP85" s="36" t="s">
        <v>32</v>
      </c>
      <c r="AQ85" s="1"/>
      <c r="AS85" s="54"/>
      <c r="AT85" s="39"/>
      <c r="AU85" s="35"/>
      <c r="AW85" s="1"/>
      <c r="AX85" s="36" t="s">
        <v>480</v>
      </c>
      <c r="AY85" s="54">
        <v>11.52</v>
      </c>
      <c r="AZ85" s="39">
        <v>30.0</v>
      </c>
      <c r="BA85" s="35" t="s">
        <v>28</v>
      </c>
      <c r="BB85" s="36" t="s">
        <v>32</v>
      </c>
      <c r="BC85" s="1"/>
      <c r="BE85" s="54"/>
      <c r="BF85" s="39"/>
      <c r="BG85" s="35"/>
      <c r="BI85" s="1"/>
      <c r="BK85" s="59"/>
      <c r="BL85" s="39"/>
      <c r="BM85" s="35"/>
      <c r="BO85" s="1"/>
      <c r="BQ85" s="54"/>
      <c r="BR85" s="39"/>
      <c r="BS85" s="35"/>
      <c r="BU85" s="4"/>
    </row>
    <row r="86">
      <c r="A86" s="1"/>
      <c r="B86" s="36" t="s">
        <v>692</v>
      </c>
      <c r="C86" s="54">
        <v>10.0</v>
      </c>
      <c r="D86" s="39">
        <v>31.0</v>
      </c>
      <c r="E86" s="35" t="s">
        <v>28</v>
      </c>
      <c r="F86" s="36" t="s">
        <v>32</v>
      </c>
      <c r="G86" s="1"/>
      <c r="I86" s="54"/>
      <c r="J86" s="39"/>
      <c r="K86" s="35"/>
      <c r="M86" s="1"/>
      <c r="S86" s="1"/>
      <c r="U86" s="54"/>
      <c r="V86" s="39"/>
      <c r="W86" s="35"/>
      <c r="Y86" s="1"/>
      <c r="Z86" s="36" t="s">
        <v>693</v>
      </c>
      <c r="AA86" s="54">
        <v>230.0</v>
      </c>
      <c r="AB86" s="39">
        <v>29.0</v>
      </c>
      <c r="AC86" s="35" t="s">
        <v>28</v>
      </c>
      <c r="AD86" s="36" t="s">
        <v>34</v>
      </c>
      <c r="AE86" s="1"/>
      <c r="AG86" s="54"/>
      <c r="AH86" s="39"/>
      <c r="AI86" s="35"/>
      <c r="AK86" s="1"/>
      <c r="AL86" s="36" t="s">
        <v>218</v>
      </c>
      <c r="AM86" s="54">
        <v>30.0</v>
      </c>
      <c r="AN86" s="39">
        <v>22.0</v>
      </c>
      <c r="AO86" s="35" t="s">
        <v>32</v>
      </c>
      <c r="AP86" s="36" t="s">
        <v>32</v>
      </c>
      <c r="AQ86" s="1"/>
      <c r="AS86" s="54"/>
      <c r="AT86" s="39"/>
      <c r="AU86" s="35"/>
      <c r="AW86" s="1"/>
      <c r="AX86" s="36" t="s">
        <v>133</v>
      </c>
      <c r="AY86" s="54">
        <v>1735.37</v>
      </c>
      <c r="AZ86" s="39">
        <v>30.0</v>
      </c>
      <c r="BA86" s="35" t="s">
        <v>32</v>
      </c>
      <c r="BB86" s="36" t="s">
        <v>32</v>
      </c>
      <c r="BC86" s="1"/>
      <c r="BE86" s="54"/>
      <c r="BF86" s="39"/>
      <c r="BG86" s="35"/>
      <c r="BI86" s="1"/>
      <c r="BK86" s="59"/>
      <c r="BL86" s="39"/>
      <c r="BM86" s="35"/>
      <c r="BO86" s="1"/>
      <c r="BQ86" s="54"/>
      <c r="BR86" s="39"/>
      <c r="BS86" s="35"/>
      <c r="BU86" s="4"/>
    </row>
    <row r="87">
      <c r="A87" s="1"/>
      <c r="B87" s="36" t="s">
        <v>694</v>
      </c>
      <c r="C87" s="54">
        <v>460.0</v>
      </c>
      <c r="D87" s="39">
        <v>31.0</v>
      </c>
      <c r="E87" s="35" t="s">
        <v>28</v>
      </c>
      <c r="F87" s="36" t="s">
        <v>32</v>
      </c>
      <c r="G87" s="1"/>
      <c r="I87" s="54"/>
      <c r="J87" s="39"/>
      <c r="K87" s="35"/>
      <c r="M87" s="1"/>
      <c r="S87" s="1"/>
      <c r="U87" s="54"/>
      <c r="V87" s="39"/>
      <c r="W87" s="35"/>
      <c r="Y87" s="1"/>
      <c r="Z87" s="36" t="s">
        <v>93</v>
      </c>
      <c r="AA87" s="54">
        <v>300.0</v>
      </c>
      <c r="AB87" s="39">
        <v>31.0</v>
      </c>
      <c r="AC87" s="35" t="s">
        <v>28</v>
      </c>
      <c r="AD87" s="36" t="s">
        <v>32</v>
      </c>
      <c r="AE87" s="1"/>
      <c r="AG87" s="54"/>
      <c r="AH87" s="39"/>
      <c r="AI87" s="35"/>
      <c r="AK87" s="1"/>
      <c r="AL87" s="36" t="s">
        <v>92</v>
      </c>
      <c r="AM87" s="54">
        <v>40.0</v>
      </c>
      <c r="AN87" s="39">
        <v>24.0</v>
      </c>
      <c r="AO87" s="35" t="s">
        <v>32</v>
      </c>
      <c r="AP87" s="36" t="s">
        <v>32</v>
      </c>
      <c r="AQ87" s="1"/>
      <c r="AS87" s="54"/>
      <c r="AT87" s="39"/>
      <c r="AU87" s="35"/>
      <c r="AW87" s="1"/>
      <c r="AY87" s="54"/>
      <c r="AZ87" s="39"/>
      <c r="BA87" s="35"/>
      <c r="BC87" s="1"/>
      <c r="BE87" s="54"/>
      <c r="BF87" s="39"/>
      <c r="BG87" s="35"/>
      <c r="BI87" s="1"/>
      <c r="BK87" s="59"/>
      <c r="BL87" s="39"/>
      <c r="BM87" s="35"/>
      <c r="BO87" s="1"/>
      <c r="BQ87" s="54"/>
      <c r="BR87" s="39"/>
      <c r="BS87" s="35"/>
      <c r="BU87" s="4"/>
    </row>
    <row r="88">
      <c r="A88" s="1"/>
      <c r="B88" s="36" t="s">
        <v>695</v>
      </c>
      <c r="C88" s="54">
        <v>85.0</v>
      </c>
      <c r="D88" s="39">
        <v>31.0</v>
      </c>
      <c r="E88" s="35" t="s">
        <v>28</v>
      </c>
      <c r="F88" s="36" t="s">
        <v>32</v>
      </c>
      <c r="G88" s="1"/>
      <c r="I88" s="54"/>
      <c r="J88" s="39"/>
      <c r="K88" s="35"/>
      <c r="M88" s="1"/>
      <c r="S88" s="1"/>
      <c r="U88" s="54"/>
      <c r="V88" s="39"/>
      <c r="W88" s="35"/>
      <c r="Y88" s="1"/>
      <c r="Z88" s="36" t="s">
        <v>696</v>
      </c>
      <c r="AA88" s="54">
        <v>350.0</v>
      </c>
      <c r="AB88" s="39">
        <v>31.0</v>
      </c>
      <c r="AC88" s="35" t="s">
        <v>32</v>
      </c>
      <c r="AD88" s="36" t="s">
        <v>32</v>
      </c>
      <c r="AE88" s="1"/>
      <c r="AG88" s="54"/>
      <c r="AH88" s="39"/>
      <c r="AI88" s="35"/>
      <c r="AK88" s="1"/>
      <c r="AL88" s="36" t="s">
        <v>89</v>
      </c>
      <c r="AM88" s="54">
        <v>368.0</v>
      </c>
      <c r="AN88" s="39">
        <v>25.0</v>
      </c>
      <c r="AO88" s="35" t="s">
        <v>28</v>
      </c>
      <c r="AP88" s="36" t="s">
        <v>32</v>
      </c>
      <c r="AQ88" s="1"/>
      <c r="AS88" s="54"/>
      <c r="AT88" s="39"/>
      <c r="AU88" s="35"/>
      <c r="AW88" s="1"/>
      <c r="AY88" s="54"/>
      <c r="AZ88" s="39"/>
      <c r="BA88" s="35"/>
      <c r="BC88" s="1"/>
      <c r="BE88" s="54"/>
      <c r="BF88" s="39"/>
      <c r="BG88" s="35"/>
      <c r="BI88" s="1"/>
      <c r="BK88" s="59"/>
      <c r="BL88" s="39"/>
      <c r="BM88" s="35"/>
      <c r="BO88" s="1"/>
      <c r="BQ88" s="54"/>
      <c r="BR88" s="39"/>
      <c r="BS88" s="35"/>
      <c r="BU88" s="4"/>
    </row>
    <row r="89">
      <c r="A89" s="1"/>
      <c r="G89" s="1"/>
      <c r="I89" s="54"/>
      <c r="J89" s="39"/>
      <c r="K89" s="35"/>
      <c r="M89" s="1"/>
      <c r="S89" s="1"/>
      <c r="U89" s="54"/>
      <c r="V89" s="39"/>
      <c r="W89" s="35"/>
      <c r="Y89" s="1"/>
      <c r="AA89" s="54"/>
      <c r="AB89" s="39"/>
      <c r="AC89" s="35"/>
      <c r="AE89" s="1"/>
      <c r="AG89" s="54"/>
      <c r="AH89" s="39"/>
      <c r="AI89" s="35"/>
      <c r="AK89" s="1"/>
      <c r="AL89" s="36" t="s">
        <v>471</v>
      </c>
      <c r="AM89" s="54">
        <v>250.0</v>
      </c>
      <c r="AN89" s="39">
        <v>26.0</v>
      </c>
      <c r="AO89" s="35" t="s">
        <v>28</v>
      </c>
      <c r="AP89" s="36" t="s">
        <v>34</v>
      </c>
      <c r="AQ89" s="1"/>
      <c r="AS89" s="54"/>
      <c r="AT89" s="39"/>
      <c r="AU89" s="35"/>
      <c r="AW89" s="1"/>
      <c r="AY89" s="54"/>
      <c r="AZ89" s="39"/>
      <c r="BA89" s="35"/>
      <c r="BC89" s="1"/>
      <c r="BE89" s="54"/>
      <c r="BF89" s="39"/>
      <c r="BG89" s="35"/>
      <c r="BI89" s="1"/>
      <c r="BK89" s="59"/>
      <c r="BL89" s="39"/>
      <c r="BM89" s="35"/>
      <c r="BO89" s="1"/>
      <c r="BQ89" s="54"/>
      <c r="BR89" s="39"/>
      <c r="BS89" s="35"/>
      <c r="BU89" s="4"/>
    </row>
    <row r="90">
      <c r="A90" s="1"/>
      <c r="G90" s="1"/>
      <c r="I90" s="54"/>
      <c r="J90" s="39"/>
      <c r="K90" s="35"/>
      <c r="M90" s="1"/>
      <c r="S90" s="1"/>
      <c r="U90" s="54"/>
      <c r="V90" s="39"/>
      <c r="W90" s="35"/>
      <c r="Y90" s="1"/>
      <c r="AE90" s="1"/>
      <c r="AG90" s="54"/>
      <c r="AH90" s="39"/>
      <c r="AI90" s="35"/>
      <c r="AK90" s="1"/>
      <c r="AL90" s="36" t="s">
        <v>130</v>
      </c>
      <c r="AM90" s="54">
        <v>100.0</v>
      </c>
      <c r="AN90" s="39">
        <v>29.0</v>
      </c>
      <c r="AO90" s="35" t="s">
        <v>32</v>
      </c>
      <c r="AP90" s="36" t="s">
        <v>32</v>
      </c>
      <c r="AQ90" s="1"/>
      <c r="AS90" s="54"/>
      <c r="AT90" s="39"/>
      <c r="AU90" s="35"/>
      <c r="AW90" s="1"/>
      <c r="AY90" s="54"/>
      <c r="AZ90" s="39"/>
      <c r="BA90" s="35"/>
      <c r="BC90" s="1"/>
      <c r="BE90" s="54"/>
      <c r="BF90" s="39"/>
      <c r="BG90" s="35"/>
      <c r="BI90" s="1"/>
      <c r="BK90" s="59"/>
      <c r="BL90" s="39"/>
      <c r="BM90" s="35"/>
      <c r="BO90" s="1"/>
      <c r="BQ90" s="54"/>
      <c r="BR90" s="39"/>
      <c r="BS90" s="35"/>
      <c r="BU90" s="4"/>
    </row>
    <row r="91">
      <c r="A91" s="1"/>
      <c r="G91" s="1"/>
      <c r="I91" s="54"/>
      <c r="J91" s="39"/>
      <c r="K91" s="35"/>
      <c r="M91" s="1"/>
      <c r="S91" s="1"/>
      <c r="U91" s="54"/>
      <c r="V91" s="39"/>
      <c r="W91" s="35"/>
      <c r="Y91" s="1"/>
      <c r="AE91" s="1"/>
      <c r="AG91" s="54"/>
      <c r="AH91" s="39"/>
      <c r="AI91" s="35"/>
      <c r="AK91" s="1"/>
      <c r="AL91" s="36" t="s">
        <v>100</v>
      </c>
      <c r="AM91" s="54">
        <v>100.0</v>
      </c>
      <c r="AN91" s="39">
        <v>29.0</v>
      </c>
      <c r="AO91" s="35" t="s">
        <v>32</v>
      </c>
      <c r="AP91" s="36" t="s">
        <v>32</v>
      </c>
      <c r="AQ91" s="1"/>
      <c r="AS91" s="54"/>
      <c r="AT91" s="39"/>
      <c r="AU91" s="35"/>
      <c r="AW91" s="1"/>
      <c r="AX91" s="36"/>
      <c r="AY91" s="54"/>
      <c r="AZ91" s="39"/>
      <c r="BA91" s="35"/>
      <c r="BB91" s="36"/>
      <c r="BC91" s="1"/>
      <c r="BE91" s="54"/>
      <c r="BF91" s="39"/>
      <c r="BG91" s="35"/>
      <c r="BI91" s="1"/>
      <c r="BJ91" s="36"/>
      <c r="BK91" s="59"/>
      <c r="BL91" s="39"/>
      <c r="BM91" s="35"/>
      <c r="BN91" s="36"/>
      <c r="BO91" s="1"/>
      <c r="BQ91" s="54"/>
      <c r="BR91" s="39"/>
      <c r="BS91" s="35"/>
      <c r="BU91" s="4"/>
    </row>
    <row r="92">
      <c r="A92" s="1"/>
      <c r="G92" s="1"/>
      <c r="I92" s="54"/>
      <c r="J92" s="39"/>
      <c r="K92" s="35"/>
      <c r="M92" s="1"/>
      <c r="S92" s="1"/>
      <c r="U92" s="54"/>
      <c r="V92" s="39"/>
      <c r="W92" s="35"/>
      <c r="Y92" s="1"/>
      <c r="AE92" s="1"/>
      <c r="AG92" s="54"/>
      <c r="AH92" s="39"/>
      <c r="AI92" s="35"/>
      <c r="AK92" s="1"/>
      <c r="AL92" s="36" t="s">
        <v>110</v>
      </c>
      <c r="AM92" s="54">
        <v>40.0</v>
      </c>
      <c r="AN92" s="39">
        <v>31.0</v>
      </c>
      <c r="AO92" s="35" t="s">
        <v>28</v>
      </c>
      <c r="AP92" s="36" t="s">
        <v>34</v>
      </c>
      <c r="AQ92" s="1"/>
      <c r="AS92" s="54"/>
      <c r="AT92" s="39"/>
      <c r="AU92" s="35"/>
      <c r="AW92" s="1"/>
      <c r="AX92" s="36"/>
      <c r="AY92" s="54"/>
      <c r="AZ92" s="39"/>
      <c r="BA92" s="35"/>
      <c r="BB92" s="36"/>
      <c r="BC92" s="1"/>
      <c r="BE92" s="54"/>
      <c r="BF92" s="39"/>
      <c r="BG92" s="35"/>
      <c r="BI92" s="1"/>
      <c r="BJ92" s="36"/>
      <c r="BK92" s="59"/>
      <c r="BL92" s="39"/>
      <c r="BM92" s="35"/>
      <c r="BN92" s="36"/>
      <c r="BO92" s="1"/>
      <c r="BQ92" s="54"/>
      <c r="BR92" s="39"/>
      <c r="BS92" s="35"/>
      <c r="BU92" s="4"/>
    </row>
    <row r="93">
      <c r="A93" s="1"/>
      <c r="G93" s="1"/>
      <c r="I93" s="54"/>
      <c r="J93" s="39"/>
      <c r="K93" s="35"/>
      <c r="M93" s="1"/>
      <c r="S93" s="1"/>
      <c r="U93" s="54"/>
      <c r="V93" s="39"/>
      <c r="W93" s="35"/>
      <c r="Y93" s="1"/>
      <c r="AE93" s="1"/>
      <c r="AG93" s="54"/>
      <c r="AH93" s="39"/>
      <c r="AI93" s="35"/>
      <c r="AK93" s="1"/>
      <c r="AL93" s="36"/>
      <c r="AM93" s="54"/>
      <c r="AN93" s="39"/>
      <c r="AO93" s="35"/>
      <c r="AP93" s="36"/>
      <c r="AQ93" s="1"/>
      <c r="AS93" s="54"/>
      <c r="AT93" s="39"/>
      <c r="AU93" s="35"/>
      <c r="AW93" s="1"/>
      <c r="AX93" s="36"/>
      <c r="AY93" s="54"/>
      <c r="AZ93" s="39"/>
      <c r="BA93" s="35"/>
      <c r="BB93" s="36"/>
      <c r="BC93" s="1"/>
      <c r="BE93" s="54"/>
      <c r="BF93" s="39"/>
      <c r="BG93" s="35"/>
      <c r="BI93" s="1"/>
      <c r="BJ93" s="36"/>
      <c r="BK93" s="59"/>
      <c r="BL93" s="39"/>
      <c r="BM93" s="35"/>
      <c r="BN93" s="36"/>
      <c r="BO93" s="1"/>
      <c r="BQ93" s="54"/>
      <c r="BR93" s="39"/>
      <c r="BS93" s="35"/>
      <c r="BU93" s="4"/>
    </row>
    <row r="94">
      <c r="A94" s="1"/>
      <c r="G94" s="1"/>
      <c r="I94" s="54"/>
      <c r="J94" s="39"/>
      <c r="K94" s="35"/>
      <c r="M94" s="1"/>
      <c r="S94" s="1"/>
      <c r="U94" s="54"/>
      <c r="V94" s="39"/>
      <c r="W94" s="35"/>
      <c r="Y94" s="1"/>
      <c r="AE94" s="1"/>
      <c r="AG94" s="54"/>
      <c r="AH94" s="39"/>
      <c r="AI94" s="35"/>
      <c r="AK94" s="1"/>
      <c r="AL94" s="36"/>
      <c r="AM94" s="54"/>
      <c r="AN94" s="39"/>
      <c r="AO94" s="35"/>
      <c r="AP94" s="36"/>
      <c r="AQ94" s="1"/>
      <c r="AS94" s="54"/>
      <c r="AT94" s="39"/>
      <c r="AU94" s="35"/>
      <c r="AW94" s="1"/>
      <c r="AX94" s="36"/>
      <c r="AY94" s="54"/>
      <c r="AZ94" s="39"/>
      <c r="BA94" s="35"/>
      <c r="BB94" s="36"/>
      <c r="BC94" s="1"/>
      <c r="BE94" s="54"/>
      <c r="BF94" s="39"/>
      <c r="BG94" s="35"/>
      <c r="BI94" s="1"/>
      <c r="BJ94" s="36"/>
      <c r="BK94" s="59"/>
      <c r="BL94" s="39"/>
      <c r="BM94" s="35"/>
      <c r="BN94" s="36"/>
      <c r="BO94" s="1"/>
      <c r="BQ94" s="54"/>
      <c r="BR94" s="39"/>
      <c r="BS94" s="35"/>
      <c r="BU94" s="4"/>
    </row>
    <row r="95">
      <c r="A95" s="1"/>
      <c r="G95" s="1"/>
      <c r="I95" s="54"/>
      <c r="J95" s="39"/>
      <c r="K95" s="35"/>
      <c r="M95" s="1"/>
      <c r="S95" s="1"/>
      <c r="U95" s="54"/>
      <c r="V95" s="39"/>
      <c r="W95" s="35"/>
      <c r="Y95" s="1"/>
      <c r="AE95" s="1"/>
      <c r="AG95" s="54"/>
      <c r="AH95" s="39"/>
      <c r="AI95" s="35"/>
      <c r="AK95" s="1"/>
      <c r="AL95" s="36"/>
      <c r="AM95" s="54"/>
      <c r="AN95" s="39"/>
      <c r="AO95" s="35"/>
      <c r="AP95" s="36"/>
      <c r="AQ95" s="1"/>
      <c r="AS95" s="54"/>
      <c r="AT95" s="39"/>
      <c r="AU95" s="35"/>
      <c r="AW95" s="1"/>
      <c r="AX95" s="36"/>
      <c r="AY95" s="54"/>
      <c r="AZ95" s="39"/>
      <c r="BA95" s="35"/>
      <c r="BB95" s="36"/>
      <c r="BC95" s="1"/>
      <c r="BE95" s="54"/>
      <c r="BF95" s="39"/>
      <c r="BG95" s="35"/>
      <c r="BI95" s="1"/>
      <c r="BJ95" s="36"/>
      <c r="BK95" s="59"/>
      <c r="BL95" s="39"/>
      <c r="BM95" s="35"/>
      <c r="BN95" s="36"/>
      <c r="BO95" s="1"/>
      <c r="BQ95" s="54"/>
      <c r="BR95" s="39"/>
      <c r="BS95" s="35"/>
      <c r="BU95" s="4"/>
    </row>
    <row r="96">
      <c r="A96" s="1"/>
      <c r="G96" s="1"/>
      <c r="I96" s="54"/>
      <c r="J96" s="39"/>
      <c r="K96" s="35"/>
      <c r="M96" s="1"/>
      <c r="S96" s="1"/>
      <c r="U96" s="54"/>
      <c r="V96" s="39"/>
      <c r="W96" s="35"/>
      <c r="Y96" s="1"/>
      <c r="AE96" s="1"/>
      <c r="AG96" s="54"/>
      <c r="AH96" s="39"/>
      <c r="AI96" s="35"/>
      <c r="AK96" s="1"/>
      <c r="AL96" s="36"/>
      <c r="AM96" s="54"/>
      <c r="AN96" s="39"/>
      <c r="AO96" s="35"/>
      <c r="AP96" s="36"/>
      <c r="AQ96" s="1"/>
      <c r="AS96" s="54"/>
      <c r="AT96" s="39"/>
      <c r="AU96" s="35"/>
      <c r="AW96" s="1"/>
      <c r="AX96" s="36"/>
      <c r="AY96" s="54"/>
      <c r="AZ96" s="39"/>
      <c r="BA96" s="35"/>
      <c r="BB96" s="36"/>
      <c r="BC96" s="1"/>
      <c r="BE96" s="54"/>
      <c r="BF96" s="39"/>
      <c r="BG96" s="35"/>
      <c r="BI96" s="1"/>
      <c r="BJ96" s="36"/>
      <c r="BK96" s="59"/>
      <c r="BL96" s="39"/>
      <c r="BM96" s="35"/>
      <c r="BN96" s="36"/>
      <c r="BO96" s="1"/>
      <c r="BQ96" s="54"/>
      <c r="BR96" s="39"/>
      <c r="BS96" s="35"/>
      <c r="BU96" s="4"/>
    </row>
    <row r="97">
      <c r="A97" s="1"/>
      <c r="G97" s="1"/>
      <c r="I97" s="54"/>
      <c r="J97" s="39"/>
      <c r="K97" s="35"/>
      <c r="M97" s="1"/>
      <c r="S97" s="1"/>
      <c r="U97" s="54"/>
      <c r="V97" s="39"/>
      <c r="W97" s="35"/>
      <c r="Y97" s="1"/>
      <c r="AE97" s="1"/>
      <c r="AG97" s="54"/>
      <c r="AH97" s="39"/>
      <c r="AI97" s="35"/>
      <c r="AK97" s="1"/>
      <c r="AL97" s="36"/>
      <c r="AM97" s="54"/>
      <c r="AN97" s="39"/>
      <c r="AO97" s="35"/>
      <c r="AP97" s="36"/>
      <c r="AQ97" s="1"/>
      <c r="AS97" s="54"/>
      <c r="AT97" s="39"/>
      <c r="AU97" s="35"/>
      <c r="AW97" s="1"/>
      <c r="AX97" s="36"/>
      <c r="AY97" s="54"/>
      <c r="AZ97" s="39"/>
      <c r="BA97" s="35"/>
      <c r="BB97" s="36"/>
      <c r="BC97" s="1"/>
      <c r="BE97" s="54"/>
      <c r="BF97" s="39"/>
      <c r="BG97" s="35"/>
      <c r="BI97" s="1"/>
      <c r="BJ97" s="36"/>
      <c r="BK97" s="59"/>
      <c r="BL97" s="39"/>
      <c r="BM97" s="35"/>
      <c r="BN97" s="36"/>
      <c r="BO97" s="1"/>
      <c r="BQ97" s="54"/>
      <c r="BR97" s="39"/>
      <c r="BS97" s="35"/>
      <c r="BU97" s="4"/>
    </row>
    <row r="98">
      <c r="A98" s="1"/>
      <c r="G98" s="1"/>
      <c r="I98" s="54"/>
      <c r="J98" s="39"/>
      <c r="K98" s="35"/>
      <c r="M98" s="1"/>
      <c r="S98" s="1"/>
      <c r="U98" s="54"/>
      <c r="V98" s="39"/>
      <c r="W98" s="35"/>
      <c r="Y98" s="1"/>
      <c r="AE98" s="1"/>
      <c r="AG98" s="54"/>
      <c r="AH98" s="39"/>
      <c r="AI98" s="35"/>
      <c r="AK98" s="1"/>
      <c r="AL98" s="36"/>
      <c r="AM98" s="54"/>
      <c r="AN98" s="39"/>
      <c r="AO98" s="35"/>
      <c r="AP98" s="36"/>
      <c r="AQ98" s="1"/>
      <c r="AW98" s="1"/>
      <c r="AX98" s="36"/>
      <c r="AY98" s="54"/>
      <c r="AZ98" s="39"/>
      <c r="BA98" s="35"/>
      <c r="BB98" s="36"/>
      <c r="BC98" s="1"/>
      <c r="BE98" s="54"/>
      <c r="BF98" s="39"/>
      <c r="BG98" s="35"/>
      <c r="BI98" s="1"/>
      <c r="BJ98" s="36"/>
      <c r="BK98" s="59"/>
      <c r="BL98" s="39"/>
      <c r="BM98" s="35"/>
      <c r="BN98" s="36"/>
      <c r="BO98" s="1"/>
      <c r="BQ98" s="54"/>
      <c r="BR98" s="39"/>
      <c r="BS98" s="35"/>
      <c r="BU98" s="4"/>
    </row>
    <row r="99">
      <c r="A99" s="1"/>
      <c r="G99" s="1"/>
      <c r="I99" s="54"/>
      <c r="J99" s="39"/>
      <c r="K99" s="35"/>
      <c r="M99" s="1"/>
      <c r="S99" s="1"/>
      <c r="U99" s="54"/>
      <c r="V99" s="39"/>
      <c r="W99" s="35"/>
      <c r="Y99" s="1"/>
      <c r="AE99" s="1"/>
      <c r="AK99" s="1"/>
      <c r="AL99" s="36"/>
      <c r="AM99" s="54"/>
      <c r="AN99" s="39"/>
      <c r="AO99" s="35"/>
      <c r="AP99" s="36"/>
      <c r="AQ99" s="1"/>
      <c r="AW99" s="1"/>
      <c r="AX99" s="36"/>
      <c r="AY99" s="54"/>
      <c r="AZ99" s="39"/>
      <c r="BA99" s="35"/>
      <c r="BB99" s="36"/>
      <c r="BC99" s="1"/>
      <c r="BE99" s="54"/>
      <c r="BF99" s="39"/>
      <c r="BG99" s="35"/>
      <c r="BI99" s="1"/>
      <c r="BJ99" s="36"/>
      <c r="BK99" s="59"/>
      <c r="BL99" s="39"/>
      <c r="BM99" s="35"/>
      <c r="BN99" s="36"/>
      <c r="BO99" s="1"/>
      <c r="BQ99" s="54"/>
      <c r="BR99" s="39"/>
      <c r="BS99" s="35"/>
      <c r="BU99" s="4"/>
    </row>
    <row r="100">
      <c r="A100" s="1"/>
      <c r="G100" s="1"/>
      <c r="I100" s="54"/>
      <c r="M100" s="1"/>
      <c r="S100" s="1"/>
      <c r="Y100" s="1"/>
      <c r="AE100" s="1"/>
      <c r="AK100" s="1"/>
      <c r="AL100" s="36"/>
      <c r="AM100" s="54"/>
      <c r="AN100" s="39"/>
      <c r="AO100" s="35"/>
      <c r="AP100" s="36"/>
      <c r="AQ100" s="1"/>
      <c r="AW100" s="1"/>
      <c r="AX100" s="36"/>
      <c r="AY100" s="54"/>
      <c r="AZ100" s="39"/>
      <c r="BA100" s="35"/>
      <c r="BB100" s="36"/>
      <c r="BC100" s="1"/>
      <c r="BE100" s="54"/>
      <c r="BF100" s="39"/>
      <c r="BG100" s="35"/>
      <c r="BI100" s="1"/>
      <c r="BJ100" s="36"/>
      <c r="BK100" s="59"/>
      <c r="BL100" s="39"/>
      <c r="BM100" s="35"/>
      <c r="BN100" s="36"/>
      <c r="BO100" s="1"/>
      <c r="BQ100" s="54"/>
      <c r="BR100" s="39"/>
      <c r="BS100" s="35"/>
      <c r="BU100" s="4"/>
    </row>
    <row r="101">
      <c r="A101" s="1"/>
      <c r="G101" s="1"/>
      <c r="I101" s="54"/>
      <c r="M101" s="1"/>
      <c r="S101" s="1"/>
      <c r="Y101" s="1"/>
      <c r="AE101" s="1"/>
      <c r="AK101" s="1"/>
      <c r="AL101" s="36"/>
      <c r="AM101" s="54"/>
      <c r="AN101" s="39"/>
      <c r="AO101" s="35"/>
      <c r="AP101" s="36"/>
      <c r="AQ101" s="1"/>
      <c r="AW101" s="1"/>
      <c r="AX101" s="36"/>
      <c r="AY101" s="54"/>
      <c r="AZ101" s="39"/>
      <c r="BA101" s="35"/>
      <c r="BB101" s="36"/>
      <c r="BC101" s="1"/>
      <c r="BE101" s="54"/>
      <c r="BF101" s="39"/>
      <c r="BG101" s="35"/>
      <c r="BI101" s="1"/>
      <c r="BJ101" s="36"/>
      <c r="BK101" s="59"/>
      <c r="BL101" s="39"/>
      <c r="BM101" s="35"/>
      <c r="BN101" s="36"/>
      <c r="BO101" s="1"/>
      <c r="BP101" s="36"/>
      <c r="BQ101" s="54"/>
      <c r="BR101" s="39"/>
      <c r="BS101" s="35"/>
      <c r="BT101" s="36"/>
      <c r="BU101" s="4"/>
    </row>
    <row r="102">
      <c r="A102" s="1"/>
      <c r="G102" s="1"/>
      <c r="I102" s="54"/>
      <c r="M102" s="1"/>
      <c r="S102" s="1"/>
      <c r="Y102" s="1"/>
      <c r="AE102" s="1"/>
      <c r="AK102" s="1"/>
      <c r="AL102" s="36"/>
      <c r="AM102" s="54"/>
      <c r="AN102" s="39"/>
      <c r="AO102" s="35"/>
      <c r="AP102" s="36"/>
      <c r="AQ102" s="1"/>
      <c r="AW102" s="1"/>
      <c r="AX102" s="36"/>
      <c r="AY102" s="54"/>
      <c r="AZ102" s="39"/>
      <c r="BA102" s="35"/>
      <c r="BB102" s="36"/>
      <c r="BC102" s="1"/>
      <c r="BE102" s="54"/>
      <c r="BF102" s="39"/>
      <c r="BG102" s="35"/>
      <c r="BI102" s="1"/>
      <c r="BJ102" s="36"/>
      <c r="BK102" s="59"/>
      <c r="BL102" s="39"/>
      <c r="BM102" s="35"/>
      <c r="BN102" s="36"/>
      <c r="BO102" s="1"/>
      <c r="BP102" s="36"/>
      <c r="BQ102" s="54"/>
      <c r="BR102" s="39"/>
      <c r="BS102" s="35"/>
      <c r="BT102" s="36"/>
      <c r="BU102" s="4"/>
    </row>
    <row r="103">
      <c r="A103" s="1"/>
      <c r="G103" s="1"/>
      <c r="I103" s="54"/>
      <c r="M103" s="1"/>
      <c r="S103" s="1"/>
      <c r="Y103" s="1"/>
      <c r="AE103" s="1"/>
      <c r="AK103" s="1"/>
      <c r="AL103" s="36"/>
      <c r="AM103" s="54"/>
      <c r="AN103" s="39"/>
      <c r="AO103" s="35"/>
      <c r="AP103" s="36"/>
      <c r="AQ103" s="1"/>
      <c r="AW103" s="1"/>
      <c r="AX103" s="36"/>
      <c r="AY103" s="54"/>
      <c r="AZ103" s="39"/>
      <c r="BA103" s="35"/>
      <c r="BB103" s="36"/>
      <c r="BC103" s="1"/>
      <c r="BE103" s="54"/>
      <c r="BF103" s="39"/>
      <c r="BG103" s="35"/>
      <c r="BI103" s="1"/>
      <c r="BJ103" s="36"/>
      <c r="BK103" s="59"/>
      <c r="BL103" s="39"/>
      <c r="BM103" s="35"/>
      <c r="BN103" s="36"/>
      <c r="BO103" s="1"/>
      <c r="BP103" s="36"/>
      <c r="BQ103" s="54"/>
      <c r="BR103" s="39"/>
      <c r="BS103" s="35"/>
      <c r="BT103" s="36"/>
      <c r="BU103" s="4"/>
    </row>
    <row r="104">
      <c r="A104" s="1"/>
      <c r="G104" s="1"/>
      <c r="M104" s="1"/>
      <c r="S104" s="1"/>
      <c r="Y104" s="1"/>
      <c r="AE104" s="1"/>
      <c r="AK104" s="1"/>
      <c r="AL104" s="36"/>
      <c r="AM104" s="54"/>
      <c r="AN104" s="39"/>
      <c r="AO104" s="35"/>
      <c r="AP104" s="36"/>
      <c r="AQ104" s="1"/>
      <c r="AW104" s="1"/>
      <c r="AX104" s="36"/>
      <c r="AY104" s="54"/>
      <c r="AZ104" s="39"/>
      <c r="BA104" s="35"/>
      <c r="BB104" s="36"/>
      <c r="BC104" s="1"/>
      <c r="BE104" s="54"/>
      <c r="BF104" s="39"/>
      <c r="BG104" s="35"/>
      <c r="BI104" s="1"/>
      <c r="BJ104" s="36"/>
      <c r="BK104" s="59"/>
      <c r="BL104" s="39"/>
      <c r="BM104" s="35"/>
      <c r="BN104" s="36"/>
      <c r="BO104" s="1"/>
      <c r="BP104" s="36"/>
      <c r="BQ104" s="54"/>
      <c r="BR104" s="39"/>
      <c r="BS104" s="35"/>
      <c r="BT104" s="36"/>
      <c r="BU104" s="4"/>
    </row>
    <row r="105">
      <c r="A105" s="1"/>
      <c r="G105" s="1"/>
      <c r="M105" s="1"/>
      <c r="S105" s="1"/>
      <c r="Y105" s="1"/>
      <c r="AE105" s="1"/>
      <c r="AK105" s="1"/>
      <c r="AL105" s="36"/>
      <c r="AM105" s="54"/>
      <c r="AN105" s="39"/>
      <c r="AO105" s="35"/>
      <c r="AP105" s="36"/>
      <c r="AQ105" s="1"/>
      <c r="AW105" s="1"/>
      <c r="AX105" s="36"/>
      <c r="AY105" s="54"/>
      <c r="AZ105" s="39"/>
      <c r="BA105" s="35"/>
      <c r="BB105" s="36"/>
      <c r="BC105" s="1"/>
      <c r="BE105" s="54"/>
      <c r="BF105" s="39"/>
      <c r="BG105" s="35"/>
      <c r="BI105" s="1"/>
      <c r="BJ105" s="36"/>
      <c r="BK105" s="59"/>
      <c r="BL105" s="39"/>
      <c r="BM105" s="35"/>
      <c r="BN105" s="36"/>
      <c r="BO105" s="1"/>
      <c r="BQ105" s="54"/>
      <c r="BR105" s="39"/>
      <c r="BS105" s="35"/>
      <c r="BU105" s="4"/>
    </row>
    <row r="106">
      <c r="A106" s="1"/>
      <c r="G106" s="1"/>
      <c r="M106" s="1"/>
      <c r="S106" s="1"/>
      <c r="Y106" s="1"/>
      <c r="AE106" s="1"/>
      <c r="AK106" s="1"/>
      <c r="AQ106" s="1"/>
      <c r="AW106" s="1"/>
      <c r="BC106" s="1"/>
      <c r="BE106" s="54"/>
      <c r="BF106" s="39"/>
      <c r="BG106" s="35"/>
      <c r="BI106" s="1"/>
      <c r="BK106" s="59"/>
      <c r="BO106" s="1"/>
      <c r="BQ106" s="54"/>
      <c r="BR106" s="39"/>
      <c r="BS106" s="35"/>
      <c r="BU106" s="4"/>
    </row>
    <row r="107">
      <c r="A107" s="1"/>
      <c r="G107" s="1"/>
      <c r="M107" s="1"/>
      <c r="S107" s="1"/>
      <c r="Y107" s="1"/>
      <c r="AE107" s="1"/>
      <c r="AK107" s="1"/>
      <c r="AQ107" s="1"/>
      <c r="AW107" s="1"/>
      <c r="BC107" s="1"/>
      <c r="BE107" s="54"/>
      <c r="BF107" s="39"/>
      <c r="BG107" s="35"/>
      <c r="BI107" s="1"/>
      <c r="BK107" s="59"/>
      <c r="BO107" s="1"/>
      <c r="BQ107" s="54"/>
      <c r="BR107" s="39"/>
      <c r="BS107" s="35"/>
      <c r="BU107" s="4"/>
    </row>
    <row r="108">
      <c r="A108" s="1"/>
      <c r="G108" s="1"/>
      <c r="M108" s="1"/>
      <c r="S108" s="1"/>
      <c r="Y108" s="1"/>
      <c r="AE108" s="1"/>
      <c r="AK108" s="1"/>
      <c r="AQ108" s="1"/>
      <c r="AW108" s="1"/>
      <c r="BC108" s="1"/>
      <c r="BE108" s="54"/>
      <c r="BF108" s="39"/>
      <c r="BG108" s="35"/>
      <c r="BI108" s="1"/>
      <c r="BK108" s="59"/>
      <c r="BO108" s="1"/>
      <c r="BQ108" s="54"/>
      <c r="BR108" s="39"/>
      <c r="BS108" s="35"/>
      <c r="BU108" s="4"/>
    </row>
    <row r="109">
      <c r="A109" s="1"/>
      <c r="G109" s="1"/>
      <c r="M109" s="1"/>
      <c r="S109" s="1"/>
      <c r="Y109" s="1"/>
      <c r="AE109" s="1"/>
      <c r="AK109" s="1"/>
      <c r="AQ109" s="1"/>
      <c r="AW109" s="1"/>
      <c r="BC109" s="1"/>
      <c r="BE109" s="54"/>
      <c r="BF109" s="39"/>
      <c r="BG109" s="35"/>
      <c r="BI109" s="1"/>
      <c r="BK109" s="59"/>
      <c r="BO109" s="1"/>
      <c r="BQ109" s="54"/>
      <c r="BR109" s="39"/>
      <c r="BS109" s="35"/>
      <c r="BU109" s="4"/>
    </row>
    <row r="110">
      <c r="A110" s="1"/>
      <c r="G110" s="1"/>
      <c r="M110" s="1"/>
      <c r="S110" s="1"/>
      <c r="Y110" s="1"/>
      <c r="AE110" s="1"/>
      <c r="AK110" s="1"/>
      <c r="AQ110" s="1"/>
      <c r="AW110" s="1"/>
      <c r="BC110" s="1"/>
      <c r="BE110" s="54"/>
      <c r="BF110" s="39"/>
      <c r="BG110" s="35"/>
      <c r="BI110" s="1"/>
      <c r="BK110" s="59"/>
      <c r="BO110" s="1"/>
      <c r="BQ110" s="54"/>
      <c r="BR110" s="39"/>
      <c r="BS110" s="35"/>
      <c r="BU110" s="4"/>
    </row>
    <row r="111">
      <c r="A111" s="1"/>
      <c r="G111" s="1"/>
      <c r="M111" s="1"/>
      <c r="S111" s="1"/>
      <c r="Y111" s="1"/>
      <c r="AE111" s="1"/>
      <c r="AK111" s="1"/>
      <c r="AQ111" s="1"/>
      <c r="AW111" s="1"/>
      <c r="BC111" s="1"/>
      <c r="BE111" s="54"/>
      <c r="BF111" s="39"/>
      <c r="BG111" s="35"/>
      <c r="BI111" s="1"/>
      <c r="BK111" s="59"/>
      <c r="BO111" s="1"/>
      <c r="BQ111" s="54"/>
      <c r="BR111" s="39"/>
      <c r="BS111" s="35"/>
      <c r="BU111" s="4"/>
    </row>
    <row r="112">
      <c r="A112" s="1"/>
      <c r="G112" s="1"/>
      <c r="M112" s="1"/>
      <c r="S112" s="1"/>
      <c r="Y112" s="1"/>
      <c r="AE112" s="1"/>
      <c r="AK112" s="1"/>
      <c r="AQ112" s="1"/>
      <c r="AW112" s="1"/>
      <c r="BC112" s="1"/>
      <c r="BE112" s="54"/>
      <c r="BF112" s="39"/>
      <c r="BG112" s="35"/>
      <c r="BI112" s="1"/>
      <c r="BK112" s="59"/>
      <c r="BO112" s="1"/>
      <c r="BQ112" s="54"/>
      <c r="BR112" s="39"/>
      <c r="BS112" s="35"/>
      <c r="BU112" s="4"/>
    </row>
    <row r="113">
      <c r="A113" s="1"/>
      <c r="G113" s="1"/>
      <c r="M113" s="1"/>
      <c r="S113" s="1"/>
      <c r="Y113" s="1"/>
      <c r="AE113" s="1"/>
      <c r="AK113" s="1"/>
      <c r="AQ113" s="1"/>
      <c r="AW113" s="1"/>
      <c r="BC113" s="1"/>
      <c r="BE113" s="54"/>
      <c r="BF113" s="39"/>
      <c r="BG113" s="35"/>
      <c r="BI113" s="1"/>
      <c r="BK113" s="59"/>
      <c r="BO113" s="1"/>
      <c r="BQ113" s="54"/>
      <c r="BR113" s="39"/>
      <c r="BS113" s="35"/>
      <c r="BU113" s="4"/>
    </row>
    <row r="114">
      <c r="A114" s="1"/>
      <c r="G114" s="1"/>
      <c r="M114" s="1"/>
      <c r="S114" s="1"/>
      <c r="Y114" s="1"/>
      <c r="AE114" s="1"/>
      <c r="AK114" s="1"/>
      <c r="AQ114" s="1"/>
      <c r="AW114" s="1"/>
      <c r="BC114" s="1"/>
      <c r="BE114" s="54"/>
      <c r="BF114" s="39"/>
      <c r="BG114" s="35"/>
      <c r="BI114" s="1"/>
      <c r="BK114" s="59"/>
      <c r="BO114" s="1"/>
      <c r="BQ114" s="54"/>
      <c r="BR114" s="39"/>
      <c r="BS114" s="35"/>
      <c r="BU114" s="4"/>
    </row>
    <row r="115">
      <c r="A115" s="1"/>
      <c r="M115" s="1"/>
      <c r="Y115" s="1"/>
      <c r="AE115" s="1"/>
      <c r="AK115" s="1"/>
      <c r="AQ115" s="1"/>
      <c r="AW115" s="1"/>
      <c r="BC115" s="1"/>
      <c r="BE115" s="54"/>
      <c r="BF115" s="39"/>
      <c r="BG115" s="35"/>
      <c r="BI115" s="1"/>
      <c r="BK115" s="59"/>
      <c r="BO115" s="1"/>
      <c r="BQ115" s="54"/>
      <c r="BR115" s="39"/>
      <c r="BS115" s="35"/>
      <c r="BU115" s="4"/>
    </row>
    <row r="116">
      <c r="A116" s="1"/>
      <c r="M116" s="1"/>
      <c r="Y116" s="1"/>
      <c r="AK116" s="1"/>
      <c r="AQ116" s="1"/>
      <c r="AW116" s="1"/>
      <c r="BC116" s="1"/>
      <c r="BE116" s="54"/>
      <c r="BF116" s="39"/>
      <c r="BG116" s="35"/>
      <c r="BI116" s="1"/>
      <c r="BK116" s="59"/>
      <c r="BO116" s="1"/>
      <c r="BQ116" s="54"/>
      <c r="BR116" s="39"/>
      <c r="BS116" s="35"/>
      <c r="BU116" s="4"/>
    </row>
    <row r="117">
      <c r="A117" s="1"/>
      <c r="M117" s="1"/>
      <c r="Y117" s="1"/>
      <c r="AK117" s="1"/>
      <c r="AQ117" s="1"/>
      <c r="AW117" s="1"/>
      <c r="BC117" s="1"/>
      <c r="BE117" s="54"/>
      <c r="BF117" s="39"/>
      <c r="BG117" s="35"/>
      <c r="BI117" s="1"/>
      <c r="BK117" s="59"/>
      <c r="BO117" s="1"/>
      <c r="BQ117" s="54"/>
      <c r="BR117" s="39"/>
      <c r="BS117" s="35"/>
      <c r="BU117" s="4"/>
    </row>
    <row r="118">
      <c r="A118" s="1"/>
      <c r="M118" s="1"/>
      <c r="Y118" s="1"/>
      <c r="AK118" s="1"/>
      <c r="AQ118" s="1"/>
      <c r="AW118" s="1"/>
      <c r="BC118" s="1"/>
      <c r="BE118" s="54"/>
      <c r="BF118" s="39"/>
      <c r="BG118" s="35"/>
      <c r="BI118" s="1"/>
      <c r="BK118" s="59"/>
      <c r="BO118" s="1"/>
      <c r="BQ118" s="54"/>
      <c r="BR118" s="39"/>
      <c r="BS118" s="35"/>
      <c r="BU118" s="4"/>
    </row>
    <row r="119">
      <c r="A119" s="1"/>
      <c r="M119" s="1"/>
      <c r="Y119" s="1"/>
      <c r="AK119" s="1"/>
      <c r="AQ119" s="1"/>
      <c r="AW119" s="1"/>
      <c r="BC119" s="1"/>
      <c r="BE119" s="54"/>
      <c r="BF119" s="39"/>
      <c r="BG119" s="35"/>
      <c r="BI119" s="1"/>
      <c r="BK119" s="59"/>
      <c r="BO119" s="1"/>
      <c r="BQ119" s="54"/>
      <c r="BR119" s="39"/>
      <c r="BS119" s="35"/>
      <c r="BU119" s="4"/>
    </row>
    <row r="120">
      <c r="A120" s="1"/>
      <c r="M120" s="1"/>
      <c r="Y120" s="1"/>
      <c r="AK120" s="1"/>
      <c r="AQ120" s="1"/>
      <c r="AW120" s="1"/>
      <c r="BC120" s="1"/>
      <c r="BE120" s="54"/>
      <c r="BF120" s="39"/>
      <c r="BG120" s="35"/>
      <c r="BI120" s="1"/>
      <c r="BK120" s="59"/>
      <c r="BO120" s="1"/>
      <c r="BQ120" s="54"/>
      <c r="BR120" s="39"/>
      <c r="BS120" s="35"/>
      <c r="BU120" s="4"/>
    </row>
    <row r="121">
      <c r="A121" s="1"/>
      <c r="M121" s="1"/>
      <c r="Y121" s="1"/>
      <c r="AK121" s="1"/>
      <c r="AQ121" s="1"/>
      <c r="AW121" s="1"/>
      <c r="BC121" s="1"/>
      <c r="BE121" s="54"/>
      <c r="BF121" s="39"/>
      <c r="BG121" s="35"/>
      <c r="BI121" s="1"/>
      <c r="BK121" s="59"/>
      <c r="BO121" s="1"/>
      <c r="BQ121" s="54"/>
      <c r="BR121" s="39"/>
      <c r="BS121" s="35"/>
      <c r="BU121" s="4"/>
    </row>
    <row r="122">
      <c r="A122" s="1"/>
      <c r="M122" s="1"/>
      <c r="Y122" s="1"/>
      <c r="AK122" s="1"/>
      <c r="AQ122" s="1"/>
      <c r="AW122" s="1"/>
      <c r="BC122" s="1"/>
      <c r="BE122" s="54"/>
      <c r="BF122" s="39"/>
      <c r="BG122" s="35"/>
      <c r="BI122" s="1"/>
      <c r="BK122" s="59"/>
      <c r="BO122" s="1"/>
      <c r="BQ122" s="54"/>
      <c r="BR122" s="39"/>
      <c r="BS122" s="35"/>
      <c r="BU122" s="4"/>
    </row>
    <row r="123">
      <c r="A123" s="1"/>
      <c r="M123" s="1"/>
      <c r="Y123" s="1"/>
      <c r="AK123" s="1"/>
      <c r="AQ123" s="1"/>
      <c r="AW123" s="1"/>
      <c r="BC123" s="1"/>
      <c r="BE123" s="54"/>
      <c r="BF123" s="39"/>
      <c r="BG123" s="35"/>
      <c r="BI123" s="1"/>
      <c r="BK123" s="59"/>
      <c r="BO123" s="1"/>
      <c r="BQ123" s="54"/>
      <c r="BR123" s="39"/>
      <c r="BS123" s="35"/>
      <c r="BU123" s="4"/>
    </row>
    <row r="124">
      <c r="A124" s="1"/>
      <c r="M124" s="1"/>
      <c r="Y124" s="1"/>
      <c r="AK124" s="1"/>
      <c r="AQ124" s="1"/>
      <c r="AW124" s="1"/>
      <c r="BC124" s="1"/>
      <c r="BE124" s="54"/>
      <c r="BF124" s="39"/>
      <c r="BG124" s="35"/>
      <c r="BI124" s="1"/>
      <c r="BK124" s="59"/>
      <c r="BO124" s="1"/>
      <c r="BQ124" s="54"/>
      <c r="BR124" s="39"/>
      <c r="BS124" s="35"/>
      <c r="BU124" s="4"/>
    </row>
    <row r="125">
      <c r="A125" s="1"/>
      <c r="M125" s="1"/>
      <c r="Y125" s="1"/>
      <c r="AK125" s="1"/>
      <c r="AQ125" s="1"/>
      <c r="AW125" s="1"/>
      <c r="BC125" s="1"/>
      <c r="BE125" s="54"/>
      <c r="BF125" s="39"/>
      <c r="BG125" s="35"/>
      <c r="BI125" s="1"/>
      <c r="BK125" s="59"/>
      <c r="BO125" s="1"/>
      <c r="BQ125" s="54"/>
      <c r="BR125" s="39"/>
      <c r="BS125" s="35"/>
      <c r="BU125" s="4"/>
    </row>
    <row r="126">
      <c r="A126" s="1"/>
      <c r="M126" s="1"/>
      <c r="Y126" s="1"/>
      <c r="AK126" s="1"/>
      <c r="AQ126" s="1"/>
      <c r="AW126" s="1"/>
      <c r="BC126" s="1"/>
      <c r="BE126" s="54"/>
      <c r="BF126" s="39"/>
      <c r="BG126" s="35"/>
      <c r="BI126" s="1"/>
      <c r="BK126" s="59"/>
      <c r="BO126" s="1"/>
      <c r="BQ126" s="54"/>
      <c r="BR126" s="39"/>
      <c r="BS126" s="35"/>
      <c r="BU126" s="4"/>
    </row>
    <row r="127">
      <c r="A127" s="1"/>
      <c r="M127" s="1"/>
      <c r="Y127" s="1"/>
      <c r="AK127" s="1"/>
      <c r="AQ127" s="1"/>
      <c r="AW127" s="1"/>
      <c r="BC127" s="1"/>
      <c r="BE127" s="54"/>
      <c r="BF127" s="39"/>
      <c r="BG127" s="35"/>
      <c r="BI127" s="1"/>
      <c r="BK127" s="59"/>
      <c r="BO127" s="1"/>
      <c r="BQ127" s="54"/>
      <c r="BR127" s="39"/>
      <c r="BS127" s="35"/>
      <c r="BU127" s="4"/>
    </row>
    <row r="128">
      <c r="A128" s="1"/>
      <c r="M128" s="1"/>
      <c r="Y128" s="1"/>
      <c r="AK128" s="1"/>
      <c r="AQ128" s="1"/>
      <c r="AW128" s="1"/>
      <c r="BC128" s="1"/>
      <c r="BE128" s="54"/>
      <c r="BF128" s="39"/>
      <c r="BG128" s="35"/>
      <c r="BI128" s="1"/>
      <c r="BK128" s="59"/>
      <c r="BO128" s="1"/>
      <c r="BP128" s="1"/>
      <c r="BQ128" s="1"/>
      <c r="BR128" s="1"/>
      <c r="BS128" s="1"/>
      <c r="BT128" s="1"/>
      <c r="BU128" s="4"/>
    </row>
    <row r="129">
      <c r="A129" s="1"/>
      <c r="M129" s="1"/>
      <c r="Y129" s="1"/>
      <c r="AK129" s="1"/>
      <c r="AQ129" s="1"/>
      <c r="AW129" s="1"/>
      <c r="BC129" s="1"/>
      <c r="BE129" s="54"/>
      <c r="BF129" s="39"/>
      <c r="BG129" s="35"/>
      <c r="BI129" s="1"/>
      <c r="BK129" s="59"/>
      <c r="BO129" s="1"/>
      <c r="BP129" s="1"/>
      <c r="BQ129" s="1"/>
      <c r="BR129" s="1"/>
      <c r="BS129" s="1"/>
      <c r="BT129" s="1"/>
      <c r="BU129" s="4"/>
    </row>
    <row r="130">
      <c r="A130" s="1"/>
      <c r="M130" s="1"/>
      <c r="Y130" s="1"/>
      <c r="AK130" s="1"/>
      <c r="AQ130" s="1"/>
      <c r="AW130" s="1"/>
      <c r="BC130" s="1"/>
      <c r="BD130" s="1"/>
      <c r="BE130" s="1"/>
      <c r="BF130" s="1"/>
      <c r="BG130" s="1"/>
      <c r="BH130" s="1"/>
      <c r="BI130" s="1"/>
      <c r="BK130" s="59"/>
      <c r="BO130" s="1"/>
      <c r="BP130" s="1"/>
      <c r="BQ130" s="1"/>
      <c r="BR130" s="1"/>
      <c r="BS130" s="1"/>
      <c r="BT130" s="1"/>
      <c r="BU130" s="4"/>
    </row>
    <row r="131">
      <c r="A131" s="1"/>
      <c r="M131" s="1"/>
      <c r="Y131" s="1"/>
      <c r="AK131" s="1"/>
      <c r="AQ131" s="1"/>
      <c r="AW131" s="1"/>
      <c r="BC131" s="1"/>
      <c r="BD131" s="1"/>
      <c r="BE131" s="1"/>
      <c r="BF131" s="1"/>
      <c r="BG131" s="1"/>
      <c r="BH131" s="1"/>
      <c r="BI131" s="1"/>
      <c r="BK131" s="59"/>
      <c r="BO131" s="1"/>
      <c r="BP131" s="1"/>
      <c r="BQ131" s="1"/>
      <c r="BR131" s="1"/>
      <c r="BS131" s="1"/>
      <c r="BT131" s="1"/>
      <c r="BU131" s="4"/>
    </row>
    <row r="132">
      <c r="A132" s="1"/>
      <c r="M132" s="1"/>
      <c r="Y132" s="1"/>
      <c r="AK132" s="1"/>
      <c r="AQ132" s="1"/>
      <c r="AW132" s="1"/>
      <c r="BC132" s="1"/>
      <c r="BD132" s="1"/>
      <c r="BE132" s="1"/>
      <c r="BF132" s="1"/>
      <c r="BG132" s="1"/>
      <c r="BH132" s="1"/>
      <c r="BI132" s="1"/>
      <c r="BK132" s="59"/>
      <c r="BO132" s="1"/>
      <c r="BP132" s="1"/>
      <c r="BQ132" s="1"/>
      <c r="BR132" s="1"/>
      <c r="BS132" s="1"/>
      <c r="BT132" s="1"/>
      <c r="BU132" s="4"/>
    </row>
    <row r="133">
      <c r="A133" s="1"/>
      <c r="M133" s="1"/>
      <c r="Y133" s="1"/>
      <c r="AK133" s="1"/>
      <c r="AQ133" s="1"/>
      <c r="AW133" s="1"/>
      <c r="BC133" s="1"/>
      <c r="BD133" s="1"/>
      <c r="BE133" s="1"/>
      <c r="BF133" s="1"/>
      <c r="BG133" s="1"/>
      <c r="BH133" s="1"/>
      <c r="BI133" s="1"/>
      <c r="BK133" s="59"/>
      <c r="BO133" s="1"/>
      <c r="BP133" s="1"/>
      <c r="BQ133" s="1"/>
      <c r="BR133" s="1"/>
      <c r="BS133" s="1"/>
      <c r="BT133" s="1"/>
      <c r="BU133" s="4"/>
    </row>
    <row r="134">
      <c r="A134" s="1"/>
      <c r="M134" s="1"/>
      <c r="Y134" s="1"/>
      <c r="AK134" s="1"/>
      <c r="AQ134" s="1"/>
      <c r="AW134" s="1"/>
      <c r="BC134" s="1"/>
      <c r="BD134" s="1"/>
      <c r="BE134" s="1"/>
      <c r="BF134" s="1"/>
      <c r="BG134" s="1"/>
      <c r="BH134" s="1"/>
      <c r="BI134" s="1"/>
      <c r="BK134" s="59"/>
      <c r="BO134" s="1"/>
      <c r="BP134" s="1"/>
      <c r="BQ134" s="1"/>
      <c r="BR134" s="1"/>
      <c r="BS134" s="1"/>
      <c r="BT134" s="1"/>
      <c r="BU134" s="4"/>
    </row>
    <row r="135">
      <c r="A135" s="1"/>
      <c r="M135" s="1"/>
      <c r="Y135" s="1"/>
      <c r="AK135" s="1"/>
      <c r="AQ135" s="1"/>
      <c r="AW135" s="1"/>
      <c r="BC135" s="1"/>
      <c r="BD135" s="1"/>
      <c r="BE135" s="1"/>
      <c r="BF135" s="1"/>
      <c r="BG135" s="1"/>
      <c r="BH135" s="1"/>
      <c r="BI135" s="1"/>
      <c r="BK135" s="59"/>
      <c r="BO135" s="1"/>
      <c r="BP135" s="1"/>
      <c r="BQ135" s="1"/>
      <c r="BR135" s="1"/>
      <c r="BS135" s="1"/>
      <c r="BT135" s="1"/>
      <c r="BU135" s="4"/>
    </row>
    <row r="136">
      <c r="A136" s="1"/>
      <c r="M136" s="1"/>
      <c r="Y136" s="1"/>
      <c r="AK136" s="1"/>
      <c r="AQ136" s="1"/>
      <c r="AW136" s="1"/>
      <c r="BC136" s="1"/>
      <c r="BD136" s="1"/>
      <c r="BE136" s="1"/>
      <c r="BF136" s="1"/>
      <c r="BG136" s="1"/>
      <c r="BH136" s="1"/>
      <c r="BI136" s="1"/>
      <c r="BK136" s="59"/>
      <c r="BO136" s="1"/>
      <c r="BP136" s="1"/>
      <c r="BQ136" s="1"/>
      <c r="BR136" s="1"/>
      <c r="BS136" s="1"/>
      <c r="BT136" s="1"/>
      <c r="BU136" s="4"/>
    </row>
    <row r="137">
      <c r="A137" s="1"/>
      <c r="M137" s="1"/>
      <c r="Y137" s="1"/>
      <c r="AK137" s="1"/>
      <c r="AQ137" s="1"/>
      <c r="AW137" s="1"/>
      <c r="BC137" s="1"/>
      <c r="BD137" s="1"/>
      <c r="BE137" s="1"/>
      <c r="BF137" s="1"/>
      <c r="BG137" s="1"/>
      <c r="BH137" s="1"/>
      <c r="BI137" s="1"/>
      <c r="BK137" s="59"/>
      <c r="BO137" s="1"/>
      <c r="BP137" s="1"/>
      <c r="BQ137" s="1"/>
      <c r="BR137" s="1"/>
      <c r="BS137" s="1"/>
      <c r="BT137" s="1"/>
      <c r="BU137" s="4"/>
    </row>
    <row r="138">
      <c r="A138" s="1"/>
      <c r="M138" s="1"/>
      <c r="Y138" s="1"/>
      <c r="AK138" s="1"/>
      <c r="AQ138" s="1"/>
      <c r="AW138" s="1"/>
      <c r="BC138" s="1"/>
      <c r="BD138" s="1"/>
      <c r="BE138" s="1"/>
      <c r="BF138" s="1"/>
      <c r="BG138" s="1"/>
      <c r="BH138" s="1"/>
      <c r="BI138" s="1"/>
      <c r="BK138" s="59"/>
      <c r="BO138" s="1"/>
      <c r="BP138" s="1"/>
      <c r="BQ138" s="1"/>
      <c r="BR138" s="1"/>
      <c r="BS138" s="1"/>
      <c r="BT138" s="1"/>
      <c r="BU138" s="4"/>
    </row>
    <row r="139">
      <c r="A139" s="1"/>
      <c r="M139" s="1"/>
      <c r="Y139" s="1"/>
      <c r="AK139" s="1"/>
      <c r="AQ139" s="1"/>
      <c r="AW139" s="1"/>
      <c r="BC139" s="1"/>
      <c r="BD139" s="1"/>
      <c r="BE139" s="1"/>
      <c r="BF139" s="1"/>
      <c r="BG139" s="1"/>
      <c r="BH139" s="1"/>
      <c r="BI139" s="1"/>
      <c r="BK139" s="59"/>
      <c r="BO139" s="1"/>
      <c r="BP139" s="1"/>
      <c r="BQ139" s="1"/>
      <c r="BR139" s="1"/>
      <c r="BS139" s="1"/>
      <c r="BT139" s="1"/>
      <c r="BU139" s="4"/>
    </row>
    <row r="140">
      <c r="A140" s="1"/>
      <c r="M140" s="1"/>
      <c r="Y140" s="1"/>
      <c r="AK140" s="1"/>
      <c r="AQ140" s="1"/>
      <c r="AW140" s="1"/>
      <c r="BC140" s="1"/>
      <c r="BD140" s="1"/>
      <c r="BE140" s="1"/>
      <c r="BF140" s="1"/>
      <c r="BG140" s="1"/>
      <c r="BH140" s="1"/>
      <c r="BI140" s="1"/>
      <c r="BK140" s="59"/>
      <c r="BO140" s="1"/>
      <c r="BP140" s="1"/>
      <c r="BQ140" s="1"/>
      <c r="BR140" s="1"/>
      <c r="BS140" s="1"/>
      <c r="BT140" s="1"/>
      <c r="BU140" s="4"/>
    </row>
    <row r="141">
      <c r="A141" s="1"/>
      <c r="M141" s="1"/>
      <c r="Y141" s="1"/>
      <c r="AK141" s="1"/>
      <c r="AQ141" s="1"/>
      <c r="AW141" s="1"/>
      <c r="BC141" s="1"/>
      <c r="BD141" s="1"/>
      <c r="BE141" s="1"/>
      <c r="BF141" s="1"/>
      <c r="BG141" s="1"/>
      <c r="BH141" s="1"/>
      <c r="BI141" s="1"/>
      <c r="BK141" s="59"/>
      <c r="BO141" s="1"/>
      <c r="BP141" s="1"/>
      <c r="BQ141" s="1"/>
      <c r="BR141" s="1"/>
      <c r="BS141" s="1"/>
      <c r="BT141" s="1"/>
      <c r="BU141" s="4"/>
    </row>
    <row r="142">
      <c r="A142" s="1"/>
      <c r="M142" s="1"/>
      <c r="Y142" s="1"/>
      <c r="AK142" s="1"/>
      <c r="AQ142" s="1"/>
      <c r="AW142" s="1"/>
      <c r="BC142" s="1"/>
      <c r="BD142" s="1"/>
      <c r="BE142" s="1"/>
      <c r="BF142" s="1"/>
      <c r="BG142" s="1"/>
      <c r="BH142" s="1"/>
      <c r="BI142" s="1"/>
      <c r="BK142" s="59"/>
      <c r="BO142" s="1"/>
      <c r="BP142" s="1"/>
      <c r="BQ142" s="1"/>
      <c r="BR142" s="1"/>
      <c r="BS142" s="1"/>
      <c r="BT142" s="1"/>
      <c r="BU142" s="4"/>
    </row>
    <row r="143">
      <c r="A143" s="1"/>
      <c r="M143" s="1"/>
      <c r="Y143" s="1"/>
      <c r="AK143" s="1"/>
      <c r="AQ143" s="1"/>
      <c r="AW143" s="1"/>
      <c r="BC143" s="1"/>
      <c r="BD143" s="1"/>
      <c r="BE143" s="1"/>
      <c r="BF143" s="1"/>
      <c r="BG143" s="1"/>
      <c r="BH143" s="1"/>
      <c r="BI143" s="1"/>
      <c r="BK143" s="59"/>
      <c r="BO143" s="1"/>
      <c r="BP143" s="1"/>
      <c r="BQ143" s="1"/>
      <c r="BR143" s="1"/>
      <c r="BS143" s="1"/>
      <c r="BT143" s="1"/>
      <c r="BU143" s="4"/>
    </row>
    <row r="144">
      <c r="A144" s="1"/>
      <c r="M144" s="1"/>
      <c r="Y144" s="1"/>
      <c r="AK144" s="1"/>
      <c r="AQ144" s="1"/>
      <c r="AW144" s="1"/>
      <c r="BC144" s="1"/>
      <c r="BD144" s="1"/>
      <c r="BE144" s="1"/>
      <c r="BF144" s="1"/>
      <c r="BG144" s="1"/>
      <c r="BH144" s="1"/>
      <c r="BI144" s="1"/>
      <c r="BK144" s="59"/>
      <c r="BO144" s="1"/>
      <c r="BP144" s="1"/>
      <c r="BQ144" s="1"/>
      <c r="BR144" s="1"/>
      <c r="BS144" s="1"/>
      <c r="BT144" s="1"/>
      <c r="BU144" s="4"/>
    </row>
    <row r="145">
      <c r="A145" s="1"/>
      <c r="M145" s="1"/>
      <c r="Y145" s="1"/>
      <c r="AK145" s="1"/>
      <c r="AQ145" s="1"/>
      <c r="AW145" s="1"/>
      <c r="BC145" s="1"/>
      <c r="BD145" s="1"/>
      <c r="BE145" s="1"/>
      <c r="BF145" s="1"/>
      <c r="BG145" s="1"/>
      <c r="BH145" s="1"/>
      <c r="BI145" s="1"/>
      <c r="BK145" s="59"/>
      <c r="BO145" s="1"/>
      <c r="BP145" s="1"/>
      <c r="BQ145" s="1"/>
      <c r="BR145" s="1"/>
      <c r="BS145" s="1"/>
      <c r="BT145" s="1"/>
      <c r="BU145" s="4"/>
    </row>
    <row r="146">
      <c r="A146" s="1"/>
      <c r="M146" s="1"/>
      <c r="Y146" s="1"/>
      <c r="AK146" s="1"/>
      <c r="AQ146" s="1"/>
      <c r="AW146" s="1"/>
      <c r="BC146" s="1"/>
      <c r="BD146" s="1"/>
      <c r="BE146" s="1"/>
      <c r="BF146" s="1"/>
      <c r="BG146" s="1"/>
      <c r="BH146" s="1"/>
      <c r="BI146" s="1"/>
      <c r="BK146" s="59"/>
      <c r="BO146" s="1"/>
      <c r="BP146" s="1"/>
      <c r="BQ146" s="1"/>
      <c r="BR146" s="1"/>
      <c r="BS146" s="1"/>
      <c r="BT146" s="1"/>
      <c r="BU146" s="4"/>
    </row>
    <row r="147">
      <c r="A147" s="1"/>
      <c r="M147" s="1"/>
      <c r="Y147" s="1"/>
      <c r="AK147" s="1"/>
      <c r="AQ147" s="1"/>
      <c r="AW147" s="1"/>
      <c r="BC147" s="1"/>
      <c r="BD147" s="1"/>
      <c r="BE147" s="1"/>
      <c r="BF147" s="1"/>
      <c r="BG147" s="1"/>
      <c r="BH147" s="1"/>
      <c r="BI147" s="1"/>
      <c r="BK147" s="59"/>
      <c r="BO147" s="1"/>
      <c r="BP147" s="1"/>
      <c r="BQ147" s="1"/>
      <c r="BR147" s="1"/>
      <c r="BS147" s="1"/>
      <c r="BT147" s="1"/>
      <c r="BU147" s="4"/>
    </row>
    <row r="148">
      <c r="A148" s="1"/>
      <c r="M148" s="1"/>
      <c r="Y148" s="1"/>
      <c r="AK148" s="1"/>
      <c r="AQ148" s="1"/>
      <c r="AW148" s="1"/>
      <c r="BC148" s="1"/>
      <c r="BD148" s="1"/>
      <c r="BE148" s="1"/>
      <c r="BF148" s="1"/>
      <c r="BG148" s="1"/>
      <c r="BH148" s="1"/>
      <c r="BI148" s="1"/>
      <c r="BK148" s="59"/>
      <c r="BO148" s="1"/>
      <c r="BP148" s="1"/>
      <c r="BQ148" s="1"/>
      <c r="BR148" s="1"/>
      <c r="BS148" s="1"/>
      <c r="BT148" s="1"/>
      <c r="BU148" s="4"/>
    </row>
    <row r="149">
      <c r="A149" s="1"/>
      <c r="M149" s="1"/>
      <c r="Y149" s="1"/>
      <c r="AK149" s="1"/>
      <c r="AQ149" s="1"/>
      <c r="AW149" s="1"/>
      <c r="BC149" s="1"/>
      <c r="BD149" s="1"/>
      <c r="BE149" s="1"/>
      <c r="BF149" s="1"/>
      <c r="BG149" s="1"/>
      <c r="BH149" s="1"/>
      <c r="BI149" s="1"/>
      <c r="BO149" s="1"/>
      <c r="BP149" s="1"/>
      <c r="BQ149" s="1"/>
      <c r="BR149" s="1"/>
      <c r="BS149" s="1"/>
      <c r="BT149" s="1"/>
      <c r="BU149" s="4"/>
    </row>
    <row r="150">
      <c r="A150" s="1"/>
      <c r="M150" s="1"/>
      <c r="Y150" s="1"/>
      <c r="AK150" s="1"/>
      <c r="AQ150" s="1"/>
      <c r="AW150" s="1"/>
      <c r="BC150" s="1"/>
      <c r="BD150" s="1"/>
      <c r="BE150" s="1"/>
      <c r="BF150" s="1"/>
      <c r="BG150" s="1"/>
      <c r="BH150" s="1"/>
      <c r="BI150" s="1"/>
      <c r="BO150" s="1"/>
      <c r="BP150" s="1"/>
      <c r="BQ150" s="1"/>
      <c r="BR150" s="1"/>
      <c r="BS150" s="1"/>
      <c r="BT150" s="1"/>
      <c r="BU150" s="4"/>
    </row>
    <row r="151">
      <c r="A151" s="1"/>
      <c r="M151" s="1"/>
      <c r="Y151" s="1"/>
      <c r="AK151" s="1"/>
      <c r="AQ151" s="1"/>
      <c r="AW151" s="1"/>
      <c r="BC151" s="1"/>
      <c r="BD151" s="1"/>
      <c r="BE151" s="1"/>
      <c r="BF151" s="1"/>
      <c r="BG151" s="1"/>
      <c r="BH151" s="1"/>
      <c r="BI151" s="1"/>
      <c r="BO151" s="1"/>
      <c r="BP151" s="1"/>
      <c r="BQ151" s="1"/>
      <c r="BR151" s="1"/>
      <c r="BS151" s="1"/>
      <c r="BT151" s="1"/>
      <c r="BU151" s="4"/>
    </row>
    <row r="152">
      <c r="A152" s="1"/>
      <c r="M152" s="1"/>
      <c r="Y152" s="1"/>
      <c r="AK152" s="1"/>
      <c r="AQ152" s="1"/>
      <c r="AW152" s="1"/>
      <c r="BC152" s="1"/>
      <c r="BD152" s="1"/>
      <c r="BE152" s="1"/>
      <c r="BF152" s="1"/>
      <c r="BG152" s="1"/>
      <c r="BH152" s="1"/>
      <c r="BI152" s="1"/>
      <c r="BO152" s="1"/>
      <c r="BP152" s="1"/>
      <c r="BQ152" s="1"/>
      <c r="BR152" s="1"/>
      <c r="BS152" s="1"/>
      <c r="BT152" s="1"/>
      <c r="BU152" s="4"/>
    </row>
    <row r="153">
      <c r="A153" s="1"/>
      <c r="M153" s="1"/>
      <c r="Y153" s="1"/>
      <c r="AK153" s="1"/>
      <c r="AQ153" s="1"/>
      <c r="AW153" s="1"/>
      <c r="BC153" s="1"/>
      <c r="BD153" s="1"/>
      <c r="BE153" s="1"/>
      <c r="BF153" s="1"/>
      <c r="BG153" s="1"/>
      <c r="BH153" s="1"/>
      <c r="BI153" s="1"/>
      <c r="BO153" s="1"/>
      <c r="BP153" s="1"/>
      <c r="BQ153" s="1"/>
      <c r="BR153" s="1"/>
      <c r="BS153" s="1"/>
      <c r="BT153" s="1"/>
      <c r="BU153" s="4"/>
    </row>
    <row r="154">
      <c r="A154" s="1"/>
      <c r="M154" s="1"/>
      <c r="Y154" s="1"/>
      <c r="AK154" s="1"/>
      <c r="AQ154" s="1"/>
      <c r="AW154" s="1"/>
      <c r="BC154" s="1"/>
      <c r="BD154" s="1"/>
      <c r="BE154" s="1"/>
      <c r="BF154" s="1"/>
      <c r="BG154" s="1"/>
      <c r="BH154" s="1"/>
      <c r="BI154" s="1"/>
      <c r="BO154" s="1"/>
      <c r="BP154" s="1"/>
      <c r="BQ154" s="1"/>
      <c r="BR154" s="1"/>
      <c r="BS154" s="1"/>
      <c r="BT154" s="1"/>
      <c r="BU154" s="4"/>
    </row>
    <row r="155">
      <c r="A155" s="1"/>
      <c r="M155" s="1"/>
      <c r="Y155" s="1"/>
      <c r="AK155" s="1"/>
      <c r="AQ155" s="1"/>
      <c r="AW155" s="1"/>
      <c r="BC155" s="1"/>
      <c r="BD155" s="1"/>
      <c r="BE155" s="1"/>
      <c r="BF155" s="1"/>
      <c r="BG155" s="1"/>
      <c r="BH155" s="1"/>
      <c r="BI155" s="1"/>
      <c r="BO155" s="1"/>
      <c r="BP155" s="1"/>
      <c r="BQ155" s="1"/>
      <c r="BR155" s="1"/>
      <c r="BS155" s="1"/>
      <c r="BT155" s="1"/>
      <c r="BU155" s="4"/>
    </row>
    <row r="156">
      <c r="A156" s="1"/>
      <c r="M156" s="1"/>
      <c r="Y156" s="1"/>
      <c r="AK156" s="1"/>
      <c r="AQ156" s="1"/>
      <c r="AW156" s="1"/>
      <c r="BC156" s="1"/>
      <c r="BD156" s="1"/>
      <c r="BE156" s="1"/>
      <c r="BF156" s="1"/>
      <c r="BG156" s="1"/>
      <c r="BH156" s="1"/>
      <c r="BI156" s="1"/>
      <c r="BO156" s="1"/>
      <c r="BP156" s="1"/>
      <c r="BQ156" s="1"/>
      <c r="BR156" s="1"/>
      <c r="BS156" s="1"/>
      <c r="BT156" s="1"/>
      <c r="BU156" s="4"/>
    </row>
    <row r="157">
      <c r="A157" s="1"/>
      <c r="M157" s="1"/>
      <c r="Y157" s="1"/>
      <c r="AK157" s="1"/>
      <c r="AQ157" s="1"/>
      <c r="AW157" s="1"/>
      <c r="BC157" s="1"/>
      <c r="BD157" s="1"/>
      <c r="BE157" s="1"/>
      <c r="BF157" s="1"/>
      <c r="BG157" s="1"/>
      <c r="BH157" s="1"/>
      <c r="BI157" s="1"/>
      <c r="BO157" s="1"/>
      <c r="BP157" s="1"/>
      <c r="BQ157" s="1"/>
      <c r="BR157" s="1"/>
      <c r="BS157" s="1"/>
      <c r="BT157" s="1"/>
      <c r="BU157" s="4"/>
    </row>
    <row r="158">
      <c r="A158" s="1"/>
      <c r="M158" s="1"/>
      <c r="Y158" s="1"/>
      <c r="AK158" s="1"/>
      <c r="AQ158" s="1"/>
      <c r="AW158" s="1"/>
      <c r="BC158" s="1"/>
      <c r="BD158" s="1"/>
      <c r="BE158" s="1"/>
      <c r="BF158" s="1"/>
      <c r="BG158" s="1"/>
      <c r="BH158" s="1"/>
      <c r="BI158" s="1"/>
      <c r="BO158" s="1"/>
      <c r="BP158" s="1"/>
      <c r="BQ158" s="1"/>
      <c r="BR158" s="1"/>
      <c r="BS158" s="1"/>
      <c r="BT158" s="1"/>
      <c r="BU158" s="4"/>
    </row>
    <row r="159">
      <c r="A159" s="1"/>
      <c r="M159" s="1"/>
      <c r="Y159" s="1"/>
      <c r="AK159" s="1"/>
      <c r="AQ159" s="1"/>
      <c r="AW159" s="1"/>
      <c r="BC159" s="1"/>
      <c r="BD159" s="1"/>
      <c r="BE159" s="1"/>
      <c r="BF159" s="1"/>
      <c r="BG159" s="1"/>
      <c r="BH159" s="1"/>
      <c r="BI159" s="1"/>
      <c r="BO159" s="1"/>
      <c r="BP159" s="1"/>
      <c r="BQ159" s="1"/>
      <c r="BR159" s="1"/>
      <c r="BS159" s="1"/>
      <c r="BT159" s="1"/>
      <c r="BU159" s="4"/>
    </row>
    <row r="160">
      <c r="A160" s="1"/>
      <c r="M160" s="1"/>
      <c r="Y160" s="1"/>
      <c r="AK160" s="1"/>
      <c r="AQ160" s="1"/>
      <c r="AW160" s="1"/>
      <c r="BC160" s="1"/>
      <c r="BD160" s="1"/>
      <c r="BE160" s="1"/>
      <c r="BF160" s="1"/>
      <c r="BG160" s="1"/>
      <c r="BH160" s="1"/>
      <c r="BI160" s="1"/>
      <c r="BO160" s="1"/>
      <c r="BP160" s="1"/>
      <c r="BQ160" s="1"/>
      <c r="BR160" s="1"/>
      <c r="BS160" s="1"/>
      <c r="BT160" s="1"/>
      <c r="BU160" s="4"/>
    </row>
    <row r="161">
      <c r="A161" s="1"/>
      <c r="M161" s="1"/>
      <c r="Y161" s="1"/>
      <c r="AK161" s="1"/>
      <c r="AQ161" s="1"/>
      <c r="AW161" s="1"/>
      <c r="BC161" s="1"/>
      <c r="BD161" s="1"/>
      <c r="BE161" s="1"/>
      <c r="BF161" s="1"/>
      <c r="BG161" s="1"/>
      <c r="BH161" s="1"/>
      <c r="BI161" s="1"/>
      <c r="BO161" s="1"/>
      <c r="BP161" s="1"/>
      <c r="BQ161" s="1"/>
      <c r="BR161" s="1"/>
      <c r="BS161" s="1"/>
      <c r="BT161" s="1"/>
      <c r="BU161" s="4"/>
    </row>
    <row r="162">
      <c r="A162" s="1"/>
      <c r="M162" s="1"/>
      <c r="Y162" s="1"/>
      <c r="AK162" s="1"/>
      <c r="AQ162" s="1"/>
      <c r="AW162" s="1"/>
      <c r="BC162" s="1"/>
      <c r="BD162" s="1"/>
      <c r="BE162" s="1"/>
      <c r="BF162" s="1"/>
      <c r="BG162" s="1"/>
      <c r="BH162" s="1"/>
      <c r="BI162" s="1"/>
      <c r="BO162" s="1"/>
      <c r="BP162" s="1"/>
      <c r="BQ162" s="1"/>
      <c r="BR162" s="1"/>
      <c r="BS162" s="1"/>
      <c r="BT162" s="1"/>
      <c r="BU162" s="4"/>
    </row>
    <row r="163">
      <c r="A163" s="1"/>
      <c r="M163" s="1"/>
      <c r="Y163" s="1"/>
      <c r="AK163" s="1"/>
      <c r="AQ163" s="1"/>
      <c r="AW163" s="1"/>
      <c r="BC163" s="1"/>
      <c r="BD163" s="1"/>
      <c r="BE163" s="1"/>
      <c r="BF163" s="1"/>
      <c r="BG163" s="1"/>
      <c r="BH163" s="1"/>
      <c r="BI163" s="1"/>
      <c r="BO163" s="1"/>
      <c r="BP163" s="1"/>
      <c r="BQ163" s="1"/>
      <c r="BR163" s="1"/>
      <c r="BS163" s="1"/>
      <c r="BT163" s="1"/>
      <c r="BU163" s="4"/>
    </row>
    <row r="164">
      <c r="A164" s="1"/>
      <c r="M164" s="1"/>
      <c r="Y164" s="1"/>
      <c r="AK164" s="1"/>
      <c r="AQ164" s="1"/>
      <c r="AW164" s="1"/>
      <c r="BC164" s="1"/>
      <c r="BD164" s="1"/>
      <c r="BE164" s="1"/>
      <c r="BF164" s="1"/>
      <c r="BG164" s="1"/>
      <c r="BH164" s="1"/>
      <c r="BI164" s="1"/>
      <c r="BO164" s="1"/>
      <c r="BP164" s="1"/>
      <c r="BQ164" s="1"/>
      <c r="BR164" s="1"/>
      <c r="BS164" s="1"/>
      <c r="BT164" s="1"/>
      <c r="BU164" s="4"/>
    </row>
    <row r="165">
      <c r="A165" s="1"/>
      <c r="M165" s="1"/>
      <c r="Y165" s="1"/>
      <c r="AK165" s="1"/>
      <c r="AQ165" s="1"/>
      <c r="AW165" s="1"/>
      <c r="BC165" s="1"/>
      <c r="BD165" s="1"/>
      <c r="BE165" s="1"/>
      <c r="BF165" s="1"/>
      <c r="BG165" s="1"/>
      <c r="BH165" s="1"/>
      <c r="BI165" s="1"/>
      <c r="BO165" s="1"/>
      <c r="BP165" s="1"/>
      <c r="BQ165" s="1"/>
      <c r="BR165" s="1"/>
      <c r="BS165" s="1"/>
      <c r="BT165" s="1"/>
      <c r="BU165" s="4"/>
    </row>
    <row r="166">
      <c r="A166" s="1"/>
      <c r="M166" s="1"/>
      <c r="Y166" s="1"/>
      <c r="AK166" s="1"/>
      <c r="AQ166" s="1"/>
      <c r="AW166" s="1"/>
      <c r="BC166" s="1"/>
      <c r="BD166" s="1"/>
      <c r="BE166" s="1"/>
      <c r="BF166" s="1"/>
      <c r="BG166" s="1"/>
      <c r="BH166" s="1"/>
      <c r="BI166" s="1"/>
      <c r="BO166" s="1"/>
      <c r="BP166" s="1"/>
      <c r="BQ166" s="1"/>
      <c r="BR166" s="1"/>
      <c r="BS166" s="1"/>
      <c r="BT166" s="1"/>
      <c r="BU166" s="4"/>
    </row>
    <row r="167">
      <c r="A167" s="1"/>
      <c r="M167" s="1"/>
      <c r="Y167" s="1"/>
      <c r="AK167" s="1"/>
      <c r="AQ167" s="1"/>
      <c r="AW167" s="1"/>
      <c r="BC167" s="1"/>
      <c r="BD167" s="1"/>
      <c r="BE167" s="1"/>
      <c r="BF167" s="1"/>
      <c r="BG167" s="1"/>
      <c r="BH167" s="1"/>
      <c r="BI167" s="1"/>
      <c r="BO167" s="1"/>
      <c r="BP167" s="1"/>
      <c r="BQ167" s="1"/>
      <c r="BR167" s="1"/>
      <c r="BS167" s="1"/>
      <c r="BT167" s="1"/>
      <c r="BU167" s="4"/>
    </row>
    <row r="168">
      <c r="A168" s="1"/>
      <c r="M168" s="1"/>
      <c r="Y168" s="1"/>
      <c r="AK168" s="1"/>
      <c r="AQ168" s="1"/>
      <c r="AW168" s="1"/>
      <c r="BC168" s="1"/>
      <c r="BD168" s="1"/>
      <c r="BE168" s="1"/>
      <c r="BF168" s="1"/>
      <c r="BG168" s="1"/>
      <c r="BH168" s="1"/>
      <c r="BI168" s="1"/>
      <c r="BO168" s="1"/>
      <c r="BP168" s="1"/>
      <c r="BQ168" s="1"/>
      <c r="BR168" s="1"/>
      <c r="BS168" s="1"/>
      <c r="BT168" s="1"/>
      <c r="BU168" s="4"/>
    </row>
    <row r="169">
      <c r="A169" s="1"/>
      <c r="M169" s="1"/>
      <c r="Y169" s="1"/>
      <c r="AK169" s="1"/>
      <c r="AQ169" s="1"/>
      <c r="AW169" s="1"/>
      <c r="BC169" s="1"/>
      <c r="BD169" s="1"/>
      <c r="BE169" s="1"/>
      <c r="BF169" s="1"/>
      <c r="BG169" s="1"/>
      <c r="BH169" s="1"/>
      <c r="BI169" s="1"/>
      <c r="BO169" s="1"/>
      <c r="BP169" s="1"/>
      <c r="BQ169" s="1"/>
      <c r="BR169" s="1"/>
      <c r="BS169" s="1"/>
      <c r="BT169" s="1"/>
      <c r="BU169" s="4"/>
    </row>
    <row r="170">
      <c r="A170" s="1"/>
      <c r="M170" s="1"/>
      <c r="Y170" s="1"/>
      <c r="AK170" s="1"/>
      <c r="AQ170" s="1"/>
      <c r="AW170" s="1"/>
      <c r="BC170" s="1"/>
      <c r="BD170" s="1"/>
      <c r="BE170" s="1"/>
      <c r="BF170" s="1"/>
      <c r="BG170" s="1"/>
      <c r="BH170" s="1"/>
      <c r="BI170" s="1"/>
      <c r="BO170" s="1"/>
      <c r="BP170" s="1"/>
      <c r="BQ170" s="1"/>
      <c r="BR170" s="1"/>
      <c r="BS170" s="1"/>
      <c r="BT170" s="1"/>
      <c r="BU170" s="4"/>
    </row>
    <row r="171">
      <c r="A171" s="1"/>
      <c r="M171" s="1"/>
      <c r="Y171" s="1"/>
      <c r="AK171" s="1"/>
      <c r="AQ171" s="1"/>
      <c r="AW171" s="1"/>
      <c r="BC171" s="1"/>
      <c r="BD171" s="1"/>
      <c r="BE171" s="1"/>
      <c r="BF171" s="1"/>
      <c r="BG171" s="1"/>
      <c r="BH171" s="1"/>
      <c r="BI171" s="1"/>
      <c r="BO171" s="1"/>
      <c r="BP171" s="1"/>
      <c r="BQ171" s="1"/>
      <c r="BR171" s="1"/>
      <c r="BS171" s="1"/>
      <c r="BT171" s="1"/>
      <c r="BU171" s="4"/>
    </row>
    <row r="172">
      <c r="A172" s="1"/>
      <c r="M172" s="1"/>
      <c r="Y172" s="1"/>
      <c r="AK172" s="1"/>
      <c r="AQ172" s="1"/>
      <c r="AW172" s="1"/>
      <c r="BC172" s="1"/>
      <c r="BD172" s="1"/>
      <c r="BE172" s="1"/>
      <c r="BF172" s="1"/>
      <c r="BG172" s="1"/>
      <c r="BH172" s="1"/>
      <c r="BI172" s="1"/>
      <c r="BO172" s="1"/>
      <c r="BP172" s="1"/>
      <c r="BQ172" s="1"/>
      <c r="BR172" s="1"/>
      <c r="BS172" s="1"/>
      <c r="BT172" s="1"/>
      <c r="BU172" s="4"/>
    </row>
    <row r="173">
      <c r="A173" s="1"/>
      <c r="M173" s="1"/>
      <c r="Y173" s="1"/>
      <c r="AK173" s="1"/>
      <c r="AQ173" s="1"/>
      <c r="AW173" s="1"/>
      <c r="BC173" s="1"/>
      <c r="BD173" s="1"/>
      <c r="BE173" s="1"/>
      <c r="BF173" s="1"/>
      <c r="BG173" s="1"/>
      <c r="BH173" s="1"/>
      <c r="BI173" s="1"/>
      <c r="BO173" s="1"/>
      <c r="BP173" s="1"/>
      <c r="BQ173" s="1"/>
      <c r="BR173" s="1"/>
      <c r="BS173" s="1"/>
      <c r="BT173" s="1"/>
      <c r="BU173" s="4"/>
    </row>
    <row r="174">
      <c r="A174" s="1"/>
      <c r="M174" s="1"/>
      <c r="Y174" s="1"/>
      <c r="AK174" s="1"/>
      <c r="AQ174" s="1"/>
      <c r="AW174" s="1"/>
      <c r="BC174" s="1"/>
      <c r="BD174" s="1"/>
      <c r="BE174" s="1"/>
      <c r="BF174" s="1"/>
      <c r="BG174" s="1"/>
      <c r="BH174" s="1"/>
      <c r="BI174" s="1"/>
      <c r="BO174" s="1"/>
      <c r="BP174" s="1"/>
      <c r="BQ174" s="1"/>
      <c r="BR174" s="1"/>
      <c r="BS174" s="1"/>
      <c r="BT174" s="1"/>
      <c r="BU174" s="4"/>
    </row>
    <row r="175">
      <c r="A175" s="1"/>
      <c r="M175" s="1"/>
      <c r="Y175" s="1"/>
      <c r="AK175" s="1"/>
      <c r="AQ175" s="1"/>
      <c r="AW175" s="1"/>
      <c r="BC175" s="1"/>
      <c r="BD175" s="1"/>
      <c r="BE175" s="1"/>
      <c r="BF175" s="1"/>
      <c r="BG175" s="1"/>
      <c r="BH175" s="1"/>
      <c r="BI175" s="1"/>
      <c r="BO175" s="1"/>
      <c r="BP175" s="1"/>
      <c r="BQ175" s="1"/>
      <c r="BR175" s="1"/>
      <c r="BS175" s="1"/>
      <c r="BT175" s="1"/>
      <c r="BU175" s="4"/>
    </row>
    <row r="176">
      <c r="A176" s="1"/>
      <c r="M176" s="1"/>
      <c r="Y176" s="1"/>
      <c r="AK176" s="1"/>
      <c r="AQ176" s="1"/>
      <c r="AW176" s="1"/>
      <c r="BC176" s="1"/>
      <c r="BD176" s="1"/>
      <c r="BE176" s="1"/>
      <c r="BF176" s="1"/>
      <c r="BG176" s="1"/>
      <c r="BH176" s="1"/>
      <c r="BI176" s="1"/>
      <c r="BO176" s="1"/>
      <c r="BP176" s="1"/>
      <c r="BQ176" s="1"/>
      <c r="BR176" s="1"/>
      <c r="BS176" s="1"/>
      <c r="BT176" s="1"/>
      <c r="BU176" s="4"/>
    </row>
    <row r="177">
      <c r="A177" s="1"/>
      <c r="M177" s="1"/>
      <c r="Y177" s="1"/>
      <c r="AK177" s="1"/>
      <c r="AQ177" s="1"/>
      <c r="AW177" s="1"/>
      <c r="BC177" s="1"/>
      <c r="BD177" s="1"/>
      <c r="BE177" s="1"/>
      <c r="BF177" s="1"/>
      <c r="BG177" s="1"/>
      <c r="BH177" s="1"/>
      <c r="BI177" s="1"/>
      <c r="BO177" s="1"/>
      <c r="BP177" s="1"/>
      <c r="BQ177" s="1"/>
      <c r="BR177" s="1"/>
      <c r="BS177" s="1"/>
      <c r="BT177" s="1"/>
      <c r="BU177" s="4"/>
    </row>
    <row r="178">
      <c r="A178" s="1"/>
      <c r="M178" s="1"/>
      <c r="Y178" s="1"/>
      <c r="AK178" s="1"/>
      <c r="AQ178" s="1"/>
      <c r="AW178" s="1"/>
      <c r="BC178" s="1"/>
      <c r="BD178" s="1"/>
      <c r="BE178" s="1"/>
      <c r="BF178" s="1"/>
      <c r="BG178" s="1"/>
      <c r="BH178" s="1"/>
      <c r="BI178" s="1"/>
      <c r="BO178" s="1"/>
      <c r="BP178" s="1"/>
      <c r="BQ178" s="1"/>
      <c r="BR178" s="1"/>
      <c r="BS178" s="1"/>
      <c r="BT178" s="1"/>
      <c r="BU178" s="4"/>
    </row>
    <row r="179">
      <c r="A179" s="1"/>
      <c r="M179" s="1"/>
      <c r="Y179" s="1"/>
      <c r="AK179" s="1"/>
      <c r="AQ179" s="1"/>
      <c r="AW179" s="1"/>
      <c r="BC179" s="1"/>
      <c r="BD179" s="1"/>
      <c r="BE179" s="1"/>
      <c r="BF179" s="1"/>
      <c r="BG179" s="1"/>
      <c r="BH179" s="1"/>
      <c r="BI179" s="1"/>
      <c r="BO179" s="1"/>
      <c r="BP179" s="1"/>
      <c r="BQ179" s="1"/>
      <c r="BR179" s="1"/>
      <c r="BS179" s="1"/>
      <c r="BT179" s="1"/>
      <c r="BU179" s="4"/>
    </row>
    <row r="180">
      <c r="A180" s="1"/>
      <c r="M180" s="1"/>
      <c r="Y180" s="1"/>
      <c r="AK180" s="1"/>
      <c r="AQ180" s="1"/>
      <c r="AW180" s="1"/>
      <c r="BC180" s="1"/>
      <c r="BD180" s="1"/>
      <c r="BE180" s="1"/>
      <c r="BF180" s="1"/>
      <c r="BG180" s="1"/>
      <c r="BH180" s="1"/>
      <c r="BI180" s="1"/>
      <c r="BO180" s="1"/>
      <c r="BP180" s="1"/>
      <c r="BQ180" s="1"/>
      <c r="BR180" s="1"/>
      <c r="BS180" s="1"/>
      <c r="BT180" s="1"/>
      <c r="BU180" s="4"/>
    </row>
    <row r="181">
      <c r="A181" s="1"/>
      <c r="M181" s="1"/>
      <c r="Y181" s="1"/>
      <c r="AK181" s="1"/>
      <c r="AQ181" s="1"/>
      <c r="AW181" s="1"/>
      <c r="BC181" s="1"/>
      <c r="BD181" s="1"/>
      <c r="BE181" s="1"/>
      <c r="BF181" s="1"/>
      <c r="BG181" s="1"/>
      <c r="BH181" s="1"/>
      <c r="BI181" s="1"/>
      <c r="BO181" s="1"/>
      <c r="BP181" s="1"/>
      <c r="BQ181" s="1"/>
      <c r="BR181" s="1"/>
      <c r="BS181" s="1"/>
      <c r="BT181" s="1"/>
      <c r="BU181" s="4"/>
    </row>
    <row r="182">
      <c r="A182" s="1"/>
      <c r="M182" s="1"/>
      <c r="Y182" s="1"/>
      <c r="AK182" s="1"/>
      <c r="AQ182" s="1"/>
      <c r="AW182" s="1"/>
      <c r="BC182" s="1"/>
      <c r="BD182" s="1"/>
      <c r="BE182" s="1"/>
      <c r="BF182" s="1"/>
      <c r="BG182" s="1"/>
      <c r="BH182" s="1"/>
      <c r="BI182" s="1"/>
      <c r="BO182" s="1"/>
      <c r="BP182" s="1"/>
      <c r="BQ182" s="1"/>
      <c r="BR182" s="1"/>
      <c r="BS182" s="1"/>
      <c r="BT182" s="1"/>
      <c r="BU182" s="4"/>
    </row>
    <row r="183">
      <c r="A183" s="1"/>
      <c r="M183" s="1"/>
      <c r="Y183" s="1"/>
      <c r="AK183" s="1"/>
      <c r="AQ183" s="1"/>
      <c r="AW183" s="1"/>
      <c r="BC183" s="1"/>
      <c r="BD183" s="1"/>
      <c r="BE183" s="1"/>
      <c r="BF183" s="1"/>
      <c r="BG183" s="1"/>
      <c r="BH183" s="1"/>
      <c r="BI183" s="1"/>
      <c r="BO183" s="1"/>
      <c r="BP183" s="1"/>
      <c r="BQ183" s="1"/>
      <c r="BR183" s="1"/>
      <c r="BS183" s="1"/>
      <c r="BT183" s="1"/>
      <c r="BU183" s="4"/>
    </row>
    <row r="184">
      <c r="A184" s="1"/>
      <c r="M184" s="1"/>
      <c r="Y184" s="1"/>
      <c r="AK184" s="1"/>
      <c r="AQ184" s="1"/>
      <c r="AW184" s="1"/>
      <c r="BC184" s="1"/>
      <c r="BD184" s="1"/>
      <c r="BE184" s="1"/>
      <c r="BF184" s="1"/>
      <c r="BG184" s="1"/>
      <c r="BH184" s="1"/>
      <c r="BI184" s="1"/>
      <c r="BO184" s="1"/>
      <c r="BP184" s="1"/>
      <c r="BQ184" s="1"/>
      <c r="BR184" s="1"/>
      <c r="BS184" s="1"/>
      <c r="BT184" s="1"/>
      <c r="BU184" s="4"/>
    </row>
    <row r="185">
      <c r="A185" s="1"/>
      <c r="M185" s="1"/>
      <c r="Y185" s="1"/>
      <c r="AK185" s="1"/>
      <c r="AQ185" s="1"/>
      <c r="AW185" s="1"/>
      <c r="BC185" s="1"/>
      <c r="BD185" s="1"/>
      <c r="BE185" s="1"/>
      <c r="BF185" s="1"/>
      <c r="BG185" s="1"/>
      <c r="BH185" s="1"/>
      <c r="BI185" s="1"/>
      <c r="BO185" s="1"/>
      <c r="BP185" s="1"/>
      <c r="BQ185" s="1"/>
      <c r="BR185" s="1"/>
      <c r="BS185" s="1"/>
      <c r="BT185" s="1"/>
      <c r="BU185" s="4"/>
    </row>
    <row r="186">
      <c r="A186" s="1"/>
      <c r="M186" s="1"/>
      <c r="Y186" s="1"/>
      <c r="AK186" s="1"/>
      <c r="AQ186" s="1"/>
      <c r="AW186" s="1"/>
      <c r="BC186" s="1"/>
      <c r="BD186" s="1"/>
      <c r="BE186" s="1"/>
      <c r="BF186" s="1"/>
      <c r="BG186" s="1"/>
      <c r="BH186" s="1"/>
      <c r="BI186" s="1"/>
      <c r="BO186" s="1"/>
      <c r="BP186" s="1"/>
      <c r="BQ186" s="1"/>
      <c r="BR186" s="1"/>
      <c r="BS186" s="1"/>
      <c r="BT186" s="1"/>
      <c r="BU186" s="4"/>
    </row>
    <row r="187">
      <c r="A187" s="1"/>
      <c r="M187" s="1"/>
      <c r="Y187" s="1"/>
      <c r="AK187" s="1"/>
      <c r="AQ187" s="1"/>
      <c r="AW187" s="1"/>
      <c r="BC187" s="1"/>
      <c r="BD187" s="1"/>
      <c r="BE187" s="1"/>
      <c r="BF187" s="1"/>
      <c r="BG187" s="1"/>
      <c r="BH187" s="1"/>
      <c r="BI187" s="1"/>
      <c r="BO187" s="1"/>
      <c r="BP187" s="1"/>
      <c r="BQ187" s="1"/>
      <c r="BR187" s="1"/>
      <c r="BS187" s="1"/>
      <c r="BT187" s="1"/>
      <c r="BU187" s="4"/>
    </row>
    <row r="188">
      <c r="A188" s="1"/>
      <c r="M188" s="1"/>
      <c r="Y188" s="1"/>
      <c r="AK188" s="1"/>
      <c r="AQ188" s="1"/>
      <c r="AW188" s="1"/>
      <c r="BC188" s="1"/>
      <c r="BD188" s="1"/>
      <c r="BE188" s="1"/>
      <c r="BF188" s="1"/>
      <c r="BG188" s="1"/>
      <c r="BH188" s="1"/>
      <c r="BI188" s="1"/>
      <c r="BO188" s="1"/>
      <c r="BP188" s="1"/>
      <c r="BQ188" s="1"/>
      <c r="BR188" s="1"/>
      <c r="BS188" s="1"/>
      <c r="BT188" s="1"/>
      <c r="BU188" s="4"/>
    </row>
    <row r="189">
      <c r="A189" s="1"/>
      <c r="M189" s="1"/>
      <c r="Y189" s="1"/>
      <c r="AK189" s="1"/>
      <c r="AQ189" s="1"/>
      <c r="AW189" s="1"/>
      <c r="BC189" s="1"/>
      <c r="BD189" s="1"/>
      <c r="BE189" s="1"/>
      <c r="BF189" s="1"/>
      <c r="BG189" s="1"/>
      <c r="BH189" s="1"/>
      <c r="BI189" s="1"/>
      <c r="BO189" s="1"/>
      <c r="BP189" s="1"/>
      <c r="BQ189" s="1"/>
      <c r="BR189" s="1"/>
      <c r="BS189" s="1"/>
      <c r="BT189" s="1"/>
      <c r="BU189" s="4"/>
    </row>
    <row r="190">
      <c r="A190" s="1"/>
      <c r="M190" s="1"/>
      <c r="Y190" s="1"/>
      <c r="AK190" s="1"/>
      <c r="AQ190" s="1"/>
      <c r="AW190" s="1"/>
      <c r="BC190" s="1"/>
      <c r="BD190" s="1"/>
      <c r="BE190" s="1"/>
      <c r="BF190" s="1"/>
      <c r="BG190" s="1"/>
      <c r="BH190" s="1"/>
      <c r="BI190" s="1"/>
      <c r="BO190" s="1"/>
      <c r="BP190" s="1"/>
      <c r="BQ190" s="1"/>
      <c r="BR190" s="1"/>
      <c r="BS190" s="1"/>
      <c r="BT190" s="1"/>
      <c r="BU190" s="4"/>
    </row>
    <row r="191">
      <c r="A191" s="1"/>
      <c r="M191" s="1"/>
      <c r="Y191" s="1"/>
      <c r="AK191" s="1"/>
      <c r="AQ191" s="1"/>
      <c r="AW191" s="1"/>
      <c r="BC191" s="1"/>
      <c r="BD191" s="1"/>
      <c r="BE191" s="1"/>
      <c r="BF191" s="1"/>
      <c r="BG191" s="1"/>
      <c r="BH191" s="1"/>
      <c r="BI191" s="1"/>
      <c r="BO191" s="1"/>
      <c r="BP191" s="1"/>
      <c r="BQ191" s="1"/>
      <c r="BR191" s="1"/>
      <c r="BS191" s="1"/>
      <c r="BT191" s="1"/>
      <c r="BU191" s="4"/>
    </row>
    <row r="192">
      <c r="A192" s="1"/>
      <c r="M192" s="1"/>
      <c r="Y192" s="1"/>
      <c r="AK192" s="1"/>
      <c r="AQ192" s="1"/>
      <c r="AW192" s="1"/>
      <c r="BC192" s="1"/>
      <c r="BD192" s="1"/>
      <c r="BE192" s="1"/>
      <c r="BF192" s="1"/>
      <c r="BG192" s="1"/>
      <c r="BH192" s="1"/>
      <c r="BI192" s="1"/>
      <c r="BO192" s="1"/>
      <c r="BP192" s="1"/>
      <c r="BQ192" s="1"/>
      <c r="BR192" s="1"/>
      <c r="BS192" s="1"/>
      <c r="BT192" s="1"/>
      <c r="BU192" s="4"/>
    </row>
    <row r="193">
      <c r="A193" s="1"/>
      <c r="M193" s="1"/>
      <c r="Y193" s="1"/>
      <c r="AK193" s="1"/>
      <c r="AQ193" s="1"/>
      <c r="AW193" s="1"/>
      <c r="BC193" s="1"/>
      <c r="BD193" s="1"/>
      <c r="BE193" s="1"/>
      <c r="BF193" s="1"/>
      <c r="BG193" s="1"/>
      <c r="BH193" s="1"/>
      <c r="BI193" s="1"/>
      <c r="BO193" s="1"/>
      <c r="BP193" s="1"/>
      <c r="BQ193" s="1"/>
      <c r="BR193" s="1"/>
      <c r="BS193" s="1"/>
      <c r="BT193" s="1"/>
      <c r="BU193" s="4"/>
    </row>
    <row r="194">
      <c r="A194" s="1"/>
      <c r="M194" s="1"/>
      <c r="Y194" s="1"/>
      <c r="AK194" s="1"/>
      <c r="AQ194" s="1"/>
      <c r="AW194" s="1"/>
      <c r="BC194" s="1"/>
      <c r="BD194" s="1"/>
      <c r="BE194" s="1"/>
      <c r="BF194" s="1"/>
      <c r="BG194" s="1"/>
      <c r="BH194" s="1"/>
      <c r="BI194" s="1"/>
      <c r="BO194" s="1"/>
      <c r="BP194" s="1"/>
      <c r="BQ194" s="1"/>
      <c r="BR194" s="1"/>
      <c r="BS194" s="1"/>
      <c r="BT194" s="1"/>
      <c r="BU194" s="4"/>
    </row>
    <row r="195">
      <c r="A195" s="1"/>
      <c r="M195" s="1"/>
      <c r="Y195" s="1"/>
      <c r="AK195" s="1"/>
      <c r="AQ195" s="1"/>
      <c r="AW195" s="1"/>
      <c r="BC195" s="1"/>
      <c r="BD195" s="1"/>
      <c r="BE195" s="1"/>
      <c r="BF195" s="1"/>
      <c r="BG195" s="1"/>
      <c r="BH195" s="1"/>
      <c r="BI195" s="1"/>
      <c r="BO195" s="1"/>
      <c r="BP195" s="1"/>
      <c r="BQ195" s="1"/>
      <c r="BR195" s="1"/>
      <c r="BS195" s="1"/>
      <c r="BT195" s="1"/>
      <c r="BU195" s="4"/>
    </row>
    <row r="196">
      <c r="A196" s="1"/>
      <c r="M196" s="1"/>
      <c r="Y196" s="1"/>
      <c r="AK196" s="1"/>
      <c r="AQ196" s="1"/>
      <c r="AW196" s="1"/>
      <c r="BC196" s="1"/>
      <c r="BD196" s="1"/>
      <c r="BE196" s="1"/>
      <c r="BF196" s="1"/>
      <c r="BG196" s="1"/>
      <c r="BH196" s="1"/>
      <c r="BI196" s="1"/>
      <c r="BO196" s="1"/>
      <c r="BP196" s="1"/>
      <c r="BQ196" s="1"/>
      <c r="BR196" s="1"/>
      <c r="BS196" s="1"/>
      <c r="BT196" s="1"/>
      <c r="BU196" s="4"/>
    </row>
    <row r="197">
      <c r="A197" s="1"/>
      <c r="M197" s="1"/>
      <c r="Y197" s="1"/>
      <c r="AK197" s="1"/>
      <c r="AQ197" s="1"/>
      <c r="AW197" s="1"/>
      <c r="BC197" s="1"/>
      <c r="BD197" s="1"/>
      <c r="BE197" s="1"/>
      <c r="BF197" s="1"/>
      <c r="BG197" s="1"/>
      <c r="BH197" s="1"/>
      <c r="BI197" s="1"/>
      <c r="BO197" s="1"/>
      <c r="BP197" s="1"/>
      <c r="BQ197" s="1"/>
      <c r="BR197" s="1"/>
      <c r="BS197" s="1"/>
      <c r="BT197" s="1"/>
      <c r="BU197" s="4"/>
    </row>
    <row r="198">
      <c r="A198" s="1"/>
      <c r="M198" s="1"/>
      <c r="Y198" s="1"/>
      <c r="AK198" s="1"/>
      <c r="AQ198" s="1"/>
      <c r="AW198" s="1"/>
      <c r="BC198" s="1"/>
      <c r="BD198" s="1"/>
      <c r="BE198" s="1"/>
      <c r="BF198" s="1"/>
      <c r="BG198" s="1"/>
      <c r="BH198" s="1"/>
      <c r="BI198" s="1"/>
      <c r="BO198" s="1"/>
      <c r="BP198" s="1"/>
      <c r="BQ198" s="1"/>
      <c r="BR198" s="1"/>
      <c r="BS198" s="1"/>
      <c r="BT198" s="1"/>
      <c r="BU198" s="4"/>
    </row>
    <row r="199">
      <c r="A199" s="1"/>
      <c r="M199" s="1"/>
      <c r="Y199" s="1"/>
      <c r="AK199" s="1"/>
      <c r="AQ199" s="1"/>
      <c r="AW199" s="1"/>
      <c r="BC199" s="1"/>
      <c r="BD199" s="1"/>
      <c r="BE199" s="1"/>
      <c r="BF199" s="1"/>
      <c r="BG199" s="1"/>
      <c r="BH199" s="1"/>
      <c r="BI199" s="1"/>
      <c r="BO199" s="1"/>
      <c r="BP199" s="1"/>
      <c r="BQ199" s="1"/>
      <c r="BR199" s="1"/>
      <c r="BS199" s="1"/>
      <c r="BT199" s="1"/>
      <c r="BU199" s="4"/>
    </row>
    <row r="200">
      <c r="A200" s="1"/>
      <c r="M200" s="1"/>
      <c r="Y200" s="1"/>
      <c r="AK200" s="1"/>
      <c r="AQ200" s="1"/>
      <c r="AW200" s="1"/>
      <c r="BC200" s="1"/>
      <c r="BD200" s="1"/>
      <c r="BE200" s="1"/>
      <c r="BF200" s="1"/>
      <c r="BG200" s="1"/>
      <c r="BH200" s="1"/>
      <c r="BI200" s="1"/>
      <c r="BO200" s="1"/>
      <c r="BP200" s="1"/>
      <c r="BQ200" s="1"/>
      <c r="BR200" s="1"/>
      <c r="BS200" s="1"/>
      <c r="BT200" s="1"/>
      <c r="BU200" s="4"/>
    </row>
    <row r="201">
      <c r="A201" s="1"/>
      <c r="M201" s="1"/>
      <c r="Y201" s="1"/>
      <c r="AK201" s="1"/>
      <c r="AQ201" s="1"/>
      <c r="AW201" s="1"/>
      <c r="BC201" s="1"/>
      <c r="BD201" s="1"/>
      <c r="BE201" s="1"/>
      <c r="BF201" s="1"/>
      <c r="BG201" s="1"/>
      <c r="BH201" s="1"/>
      <c r="BI201" s="1"/>
      <c r="BO201" s="1"/>
      <c r="BP201" s="1"/>
      <c r="BQ201" s="1"/>
      <c r="BR201" s="1"/>
      <c r="BS201" s="1"/>
      <c r="BT201" s="1"/>
      <c r="BU201" s="4"/>
    </row>
    <row r="202">
      <c r="A202" s="1"/>
      <c r="M202" s="1"/>
      <c r="Y202" s="1"/>
      <c r="AK202" s="1"/>
      <c r="AQ202" s="1"/>
      <c r="AW202" s="1"/>
      <c r="BC202" s="1"/>
      <c r="BD202" s="1"/>
      <c r="BE202" s="1"/>
      <c r="BF202" s="1"/>
      <c r="BG202" s="1"/>
      <c r="BH202" s="1"/>
      <c r="BI202" s="1"/>
      <c r="BO202" s="1"/>
      <c r="BP202" s="1"/>
      <c r="BQ202" s="1"/>
      <c r="BR202" s="1"/>
      <c r="BS202" s="1"/>
      <c r="BT202" s="1"/>
      <c r="BU202" s="4"/>
    </row>
    <row r="203">
      <c r="A203" s="1"/>
      <c r="M203" s="1"/>
      <c r="Y203" s="1"/>
      <c r="AK203" s="1"/>
      <c r="AQ203" s="1"/>
      <c r="AW203" s="1"/>
      <c r="BC203" s="1"/>
      <c r="BD203" s="1"/>
      <c r="BE203" s="1"/>
      <c r="BF203" s="1"/>
      <c r="BG203" s="1"/>
      <c r="BH203" s="1"/>
      <c r="BI203" s="1"/>
      <c r="BO203" s="1"/>
      <c r="BP203" s="1"/>
      <c r="BQ203" s="1"/>
      <c r="BR203" s="1"/>
      <c r="BS203" s="1"/>
      <c r="BT203" s="1"/>
      <c r="BU203" s="4"/>
    </row>
    <row r="204">
      <c r="A204" s="1"/>
      <c r="M204" s="1"/>
      <c r="Y204" s="1"/>
      <c r="AK204" s="1"/>
      <c r="AQ204" s="1"/>
      <c r="AW204" s="1"/>
      <c r="BC204" s="1"/>
      <c r="BD204" s="1"/>
      <c r="BE204" s="1"/>
      <c r="BF204" s="1"/>
      <c r="BG204" s="1"/>
      <c r="BH204" s="1"/>
      <c r="BI204" s="1"/>
      <c r="BO204" s="1"/>
      <c r="BP204" s="1"/>
      <c r="BQ204" s="1"/>
      <c r="BR204" s="1"/>
      <c r="BS204" s="1"/>
      <c r="BT204" s="1"/>
      <c r="BU204" s="4"/>
    </row>
    <row r="205">
      <c r="A205" s="1"/>
      <c r="M205" s="1"/>
      <c r="Y205" s="1"/>
      <c r="AK205" s="1"/>
      <c r="AQ205" s="1"/>
      <c r="AW205" s="1"/>
      <c r="BC205" s="1"/>
      <c r="BD205" s="1"/>
      <c r="BE205" s="1"/>
      <c r="BF205" s="1"/>
      <c r="BG205" s="1"/>
      <c r="BH205" s="1"/>
      <c r="BI205" s="1"/>
      <c r="BO205" s="1"/>
      <c r="BP205" s="1"/>
      <c r="BQ205" s="1"/>
      <c r="BR205" s="1"/>
      <c r="BS205" s="1"/>
      <c r="BT205" s="1"/>
      <c r="BU205" s="4"/>
    </row>
    <row r="206">
      <c r="A206" s="1"/>
      <c r="M206" s="1"/>
      <c r="Y206" s="1"/>
      <c r="AK206" s="1"/>
      <c r="AQ206" s="1"/>
      <c r="AW206" s="1"/>
      <c r="BC206" s="1"/>
      <c r="BD206" s="1"/>
      <c r="BE206" s="1"/>
      <c r="BF206" s="1"/>
      <c r="BG206" s="1"/>
      <c r="BH206" s="1"/>
      <c r="BI206" s="1"/>
      <c r="BO206" s="1"/>
      <c r="BP206" s="1"/>
      <c r="BQ206" s="1"/>
      <c r="BR206" s="1"/>
      <c r="BS206" s="1"/>
      <c r="BT206" s="1"/>
      <c r="BU206" s="4"/>
    </row>
    <row r="207">
      <c r="A207" s="1"/>
      <c r="M207" s="1"/>
      <c r="Y207" s="1"/>
      <c r="AK207" s="1"/>
      <c r="AQ207" s="1"/>
      <c r="AW207" s="1"/>
      <c r="BC207" s="1"/>
      <c r="BD207" s="1"/>
      <c r="BE207" s="1"/>
      <c r="BF207" s="1"/>
      <c r="BG207" s="1"/>
      <c r="BH207" s="1"/>
      <c r="BI207" s="1"/>
      <c r="BO207" s="1"/>
      <c r="BP207" s="1"/>
      <c r="BQ207" s="1"/>
      <c r="BR207" s="1"/>
      <c r="BS207" s="1"/>
      <c r="BT207" s="1"/>
      <c r="BU207" s="4"/>
    </row>
    <row r="208">
      <c r="A208" s="1"/>
      <c r="M208" s="1"/>
      <c r="Y208" s="1"/>
      <c r="AK208" s="1"/>
      <c r="AQ208" s="1"/>
      <c r="AW208" s="1"/>
      <c r="BC208" s="1"/>
      <c r="BD208" s="1"/>
      <c r="BE208" s="1"/>
      <c r="BF208" s="1"/>
      <c r="BG208" s="1"/>
      <c r="BH208" s="1"/>
      <c r="BI208" s="1"/>
      <c r="BO208" s="1"/>
      <c r="BP208" s="1"/>
      <c r="BQ208" s="1"/>
      <c r="BR208" s="1"/>
      <c r="BS208" s="1"/>
      <c r="BT208" s="1"/>
      <c r="BU208" s="4"/>
    </row>
    <row r="209">
      <c r="A209" s="1"/>
      <c r="M209" s="1"/>
      <c r="Y209" s="1"/>
      <c r="AK209" s="1"/>
      <c r="AQ209" s="1"/>
      <c r="AW209" s="1"/>
      <c r="BC209" s="1"/>
      <c r="BD209" s="1"/>
      <c r="BE209" s="1"/>
      <c r="BF209" s="1"/>
      <c r="BG209" s="1"/>
      <c r="BH209" s="1"/>
      <c r="BI209" s="1"/>
      <c r="BO209" s="1"/>
      <c r="BP209" s="1"/>
      <c r="BQ209" s="1"/>
      <c r="BR209" s="1"/>
      <c r="BS209" s="1"/>
      <c r="BT209" s="1"/>
      <c r="BU209" s="4"/>
    </row>
    <row r="210">
      <c r="A210" s="1"/>
      <c r="M210" s="1"/>
      <c r="Y210" s="1"/>
      <c r="AK210" s="1"/>
      <c r="AQ210" s="1"/>
      <c r="AW210" s="1"/>
      <c r="BC210" s="1"/>
      <c r="BD210" s="1"/>
      <c r="BE210" s="1"/>
      <c r="BF210" s="1"/>
      <c r="BG210" s="1"/>
      <c r="BH210" s="1"/>
      <c r="BI210" s="1"/>
      <c r="BO210" s="1"/>
      <c r="BP210" s="1"/>
      <c r="BQ210" s="1"/>
      <c r="BR210" s="1"/>
      <c r="BS210" s="1"/>
      <c r="BT210" s="1"/>
      <c r="BU210" s="4"/>
    </row>
    <row r="211">
      <c r="A211" s="1"/>
      <c r="M211" s="1"/>
      <c r="Y211" s="1"/>
      <c r="AK211" s="1"/>
      <c r="AQ211" s="1"/>
      <c r="AW211" s="1"/>
      <c r="BC211" s="1"/>
      <c r="BD211" s="1"/>
      <c r="BE211" s="1"/>
      <c r="BF211" s="1"/>
      <c r="BG211" s="1"/>
      <c r="BH211" s="1"/>
      <c r="BI211" s="1"/>
      <c r="BO211" s="1"/>
      <c r="BP211" s="1"/>
      <c r="BQ211" s="1"/>
      <c r="BR211" s="1"/>
      <c r="BS211" s="1"/>
      <c r="BT211" s="1"/>
      <c r="BU211" s="4"/>
    </row>
    <row r="212">
      <c r="A212" s="1"/>
      <c r="M212" s="1"/>
      <c r="Y212" s="1"/>
      <c r="AK212" s="1"/>
      <c r="AQ212" s="1"/>
      <c r="AW212" s="1"/>
      <c r="BC212" s="1"/>
      <c r="BD212" s="1"/>
      <c r="BE212" s="1"/>
      <c r="BF212" s="1"/>
      <c r="BG212" s="1"/>
      <c r="BH212" s="1"/>
      <c r="BI212" s="1"/>
      <c r="BO212" s="1"/>
      <c r="BP212" s="1"/>
      <c r="BQ212" s="1"/>
      <c r="BR212" s="1"/>
      <c r="BS212" s="1"/>
      <c r="BT212" s="1"/>
      <c r="BU212" s="4"/>
    </row>
    <row r="213">
      <c r="A213" s="1"/>
      <c r="M213" s="1"/>
      <c r="Y213" s="1"/>
      <c r="AK213" s="1"/>
      <c r="AQ213" s="1"/>
      <c r="AW213" s="1"/>
      <c r="BC213" s="1"/>
      <c r="BD213" s="1"/>
      <c r="BE213" s="1"/>
      <c r="BF213" s="1"/>
      <c r="BG213" s="1"/>
      <c r="BH213" s="1"/>
      <c r="BI213" s="1"/>
      <c r="BO213" s="1"/>
      <c r="BP213" s="1"/>
      <c r="BQ213" s="1"/>
      <c r="BR213" s="1"/>
      <c r="BS213" s="1"/>
      <c r="BT213" s="1"/>
      <c r="BU213" s="4"/>
    </row>
    <row r="214">
      <c r="A214" s="1"/>
      <c r="M214" s="1"/>
      <c r="Y214" s="1"/>
      <c r="AK214" s="1"/>
      <c r="AQ214" s="1"/>
      <c r="AW214" s="1"/>
      <c r="BC214" s="1"/>
      <c r="BD214" s="1"/>
      <c r="BE214" s="1"/>
      <c r="BF214" s="1"/>
      <c r="BG214" s="1"/>
      <c r="BH214" s="1"/>
      <c r="BI214" s="1"/>
      <c r="BO214" s="1"/>
      <c r="BP214" s="1"/>
      <c r="BQ214" s="1"/>
      <c r="BR214" s="1"/>
      <c r="BS214" s="1"/>
      <c r="BT214" s="1"/>
      <c r="BU214" s="4"/>
    </row>
    <row r="215">
      <c r="A215" s="1"/>
      <c r="M215" s="1"/>
      <c r="Y215" s="1"/>
      <c r="AK215" s="1"/>
      <c r="AQ215" s="1"/>
      <c r="AW215" s="1"/>
      <c r="BC215" s="1"/>
      <c r="BD215" s="1"/>
      <c r="BE215" s="1"/>
      <c r="BF215" s="1"/>
      <c r="BG215" s="1"/>
      <c r="BH215" s="1"/>
      <c r="BI215" s="1"/>
      <c r="BO215" s="1"/>
      <c r="BP215" s="1"/>
      <c r="BQ215" s="1"/>
      <c r="BR215" s="1"/>
      <c r="BS215" s="1"/>
      <c r="BT215" s="1"/>
      <c r="BU215" s="4"/>
    </row>
    <row r="216">
      <c r="A216" s="1"/>
      <c r="M216" s="1"/>
      <c r="Y216" s="1"/>
      <c r="AK216" s="1"/>
      <c r="AQ216" s="1"/>
      <c r="AW216" s="1"/>
      <c r="BC216" s="1"/>
      <c r="BD216" s="1"/>
      <c r="BE216" s="1"/>
      <c r="BF216" s="1"/>
      <c r="BG216" s="1"/>
      <c r="BH216" s="1"/>
      <c r="BI216" s="1"/>
      <c r="BO216" s="1"/>
      <c r="BP216" s="1"/>
      <c r="BQ216" s="1"/>
      <c r="BR216" s="1"/>
      <c r="BS216" s="1"/>
      <c r="BT216" s="1"/>
      <c r="BU216" s="4"/>
    </row>
    <row r="217">
      <c r="A217" s="1"/>
      <c r="M217" s="1"/>
      <c r="Y217" s="1"/>
      <c r="AK217" s="1"/>
      <c r="AQ217" s="1"/>
      <c r="AW217" s="1"/>
      <c r="BC217" s="1"/>
      <c r="BD217" s="1"/>
      <c r="BE217" s="1"/>
      <c r="BF217" s="1"/>
      <c r="BG217" s="1"/>
      <c r="BH217" s="1"/>
      <c r="BI217" s="1"/>
      <c r="BO217" s="1"/>
      <c r="BP217" s="1"/>
      <c r="BQ217" s="1"/>
      <c r="BR217" s="1"/>
      <c r="BS217" s="1"/>
      <c r="BT217" s="1"/>
      <c r="BU217" s="4"/>
    </row>
    <row r="218">
      <c r="A218" s="1"/>
      <c r="M218" s="1"/>
      <c r="Y218" s="1"/>
      <c r="AK218" s="1"/>
      <c r="AQ218" s="1"/>
      <c r="AW218" s="1"/>
      <c r="BC218" s="1"/>
      <c r="BD218" s="1"/>
      <c r="BE218" s="1"/>
      <c r="BF218" s="1"/>
      <c r="BG218" s="1"/>
      <c r="BH218" s="1"/>
      <c r="BI218" s="1"/>
      <c r="BO218" s="1"/>
      <c r="BP218" s="1"/>
      <c r="BQ218" s="1"/>
      <c r="BR218" s="1"/>
      <c r="BS218" s="1"/>
      <c r="BT218" s="1"/>
      <c r="BU218" s="4"/>
    </row>
    <row r="219">
      <c r="A219" s="1"/>
      <c r="M219" s="1"/>
      <c r="Y219" s="1"/>
      <c r="AK219" s="1"/>
      <c r="AQ219" s="1"/>
      <c r="AW219" s="1"/>
      <c r="BC219" s="1"/>
      <c r="BD219" s="1"/>
      <c r="BE219" s="1"/>
      <c r="BF219" s="1"/>
      <c r="BG219" s="1"/>
      <c r="BH219" s="1"/>
      <c r="BI219" s="1"/>
      <c r="BO219" s="1"/>
      <c r="BP219" s="1"/>
      <c r="BQ219" s="1"/>
      <c r="BR219" s="1"/>
      <c r="BS219" s="1"/>
      <c r="BT219" s="1"/>
      <c r="BU219" s="4"/>
    </row>
    <row r="220">
      <c r="A220" s="1"/>
      <c r="M220" s="1"/>
      <c r="Y220" s="1"/>
      <c r="AK220" s="1"/>
      <c r="AQ220" s="1"/>
      <c r="AW220" s="1"/>
      <c r="BC220" s="1"/>
      <c r="BD220" s="1"/>
      <c r="BE220" s="1"/>
      <c r="BF220" s="1"/>
      <c r="BG220" s="1"/>
      <c r="BH220" s="1"/>
      <c r="BI220" s="1"/>
      <c r="BO220" s="1"/>
      <c r="BP220" s="1"/>
      <c r="BQ220" s="1"/>
      <c r="BR220" s="1"/>
      <c r="BS220" s="1"/>
      <c r="BT220" s="1"/>
      <c r="BU220" s="4"/>
    </row>
    <row r="221">
      <c r="A221" s="1"/>
      <c r="M221" s="1"/>
      <c r="Y221" s="1"/>
      <c r="AK221" s="1"/>
      <c r="AQ221" s="1"/>
      <c r="AW221" s="1"/>
      <c r="BC221" s="1"/>
      <c r="BD221" s="1"/>
      <c r="BE221" s="1"/>
      <c r="BF221" s="1"/>
      <c r="BG221" s="1"/>
      <c r="BH221" s="1"/>
      <c r="BI221" s="1"/>
      <c r="BO221" s="1"/>
      <c r="BP221" s="1"/>
      <c r="BQ221" s="1"/>
      <c r="BR221" s="1"/>
      <c r="BS221" s="1"/>
      <c r="BT221" s="1"/>
      <c r="BU221" s="4"/>
    </row>
    <row r="222">
      <c r="A222" s="1"/>
      <c r="M222" s="1"/>
      <c r="Y222" s="1"/>
      <c r="AK222" s="1"/>
      <c r="AQ222" s="1"/>
      <c r="AW222" s="1"/>
      <c r="BC222" s="1"/>
      <c r="BD222" s="1"/>
      <c r="BE222" s="1"/>
      <c r="BF222" s="1"/>
      <c r="BG222" s="1"/>
      <c r="BH222" s="1"/>
      <c r="BI222" s="1"/>
      <c r="BO222" s="1"/>
      <c r="BP222" s="1"/>
      <c r="BQ222" s="1"/>
      <c r="BR222" s="1"/>
      <c r="BS222" s="1"/>
      <c r="BT222" s="1"/>
      <c r="BU222" s="4"/>
    </row>
    <row r="223">
      <c r="A223" s="1"/>
      <c r="M223" s="1"/>
      <c r="Y223" s="1"/>
      <c r="AK223" s="1"/>
      <c r="AQ223" s="1"/>
      <c r="AW223" s="1"/>
      <c r="BC223" s="1"/>
      <c r="BD223" s="1"/>
      <c r="BE223" s="1"/>
      <c r="BF223" s="1"/>
      <c r="BG223" s="1"/>
      <c r="BH223" s="1"/>
      <c r="BI223" s="1"/>
      <c r="BO223" s="1"/>
      <c r="BP223" s="1"/>
      <c r="BQ223" s="1"/>
      <c r="BR223" s="1"/>
      <c r="BS223" s="1"/>
      <c r="BT223" s="1"/>
      <c r="BU223" s="4"/>
    </row>
    <row r="224">
      <c r="A224" s="1"/>
      <c r="M224" s="1"/>
      <c r="Y224" s="1"/>
      <c r="AK224" s="1"/>
      <c r="AQ224" s="1"/>
      <c r="AW224" s="1"/>
      <c r="BC224" s="1"/>
      <c r="BD224" s="1"/>
      <c r="BE224" s="1"/>
      <c r="BF224" s="1"/>
      <c r="BG224" s="1"/>
      <c r="BH224" s="1"/>
      <c r="BI224" s="1"/>
      <c r="BO224" s="1"/>
      <c r="BP224" s="1"/>
      <c r="BQ224" s="1"/>
      <c r="BR224" s="1"/>
      <c r="BS224" s="1"/>
      <c r="BT224" s="1"/>
      <c r="BU224" s="4"/>
    </row>
    <row r="225">
      <c r="A225" s="1"/>
      <c r="M225" s="1"/>
      <c r="Y225" s="1"/>
      <c r="AK225" s="1"/>
      <c r="AQ225" s="1"/>
      <c r="AW225" s="1"/>
      <c r="BC225" s="1"/>
      <c r="BD225" s="1"/>
      <c r="BE225" s="1"/>
      <c r="BF225" s="1"/>
      <c r="BG225" s="1"/>
      <c r="BH225" s="1"/>
      <c r="BI225" s="1"/>
      <c r="BO225" s="1"/>
      <c r="BP225" s="1"/>
      <c r="BQ225" s="1"/>
      <c r="BR225" s="1"/>
      <c r="BS225" s="1"/>
      <c r="BT225" s="1"/>
      <c r="BU225" s="4"/>
    </row>
    <row r="226">
      <c r="A226" s="1"/>
      <c r="M226" s="1"/>
      <c r="Y226" s="1"/>
      <c r="AK226" s="1"/>
      <c r="AQ226" s="1"/>
      <c r="AW226" s="1"/>
      <c r="BC226" s="1"/>
      <c r="BD226" s="1"/>
      <c r="BE226" s="1"/>
      <c r="BF226" s="1"/>
      <c r="BG226" s="1"/>
      <c r="BH226" s="1"/>
      <c r="BI226" s="1"/>
      <c r="BO226" s="1"/>
      <c r="BP226" s="1"/>
      <c r="BQ226" s="1"/>
      <c r="BR226" s="1"/>
      <c r="BS226" s="1"/>
      <c r="BT226" s="1"/>
      <c r="BU226" s="4"/>
    </row>
    <row r="227">
      <c r="A227" s="1"/>
      <c r="M227" s="1"/>
      <c r="Y227" s="1"/>
      <c r="AK227" s="1"/>
      <c r="AQ227" s="1"/>
      <c r="AW227" s="1"/>
      <c r="BC227" s="1"/>
      <c r="BD227" s="1"/>
      <c r="BE227" s="1"/>
      <c r="BF227" s="1"/>
      <c r="BG227" s="1"/>
      <c r="BH227" s="1"/>
      <c r="BI227" s="1"/>
      <c r="BO227" s="1"/>
      <c r="BP227" s="1"/>
      <c r="BQ227" s="1"/>
      <c r="BR227" s="1"/>
      <c r="BS227" s="1"/>
      <c r="BT227" s="1"/>
      <c r="BU227" s="4"/>
    </row>
    <row r="228">
      <c r="A228" s="1"/>
      <c r="M228" s="1"/>
      <c r="Y228" s="1"/>
      <c r="AK228" s="1"/>
      <c r="AQ228" s="1"/>
      <c r="AW228" s="1"/>
      <c r="BC228" s="1"/>
      <c r="BD228" s="1"/>
      <c r="BE228" s="1"/>
      <c r="BF228" s="1"/>
      <c r="BG228" s="1"/>
      <c r="BH228" s="1"/>
      <c r="BI228" s="1"/>
      <c r="BO228" s="1"/>
      <c r="BP228" s="1"/>
      <c r="BQ228" s="1"/>
      <c r="BR228" s="1"/>
      <c r="BS228" s="1"/>
      <c r="BT228" s="1"/>
      <c r="BU228" s="4"/>
    </row>
    <row r="229">
      <c r="A229" s="1"/>
      <c r="M229" s="1"/>
      <c r="Y229" s="1"/>
      <c r="AK229" s="1"/>
      <c r="AQ229" s="1"/>
      <c r="AW229" s="1"/>
      <c r="BC229" s="1"/>
      <c r="BD229" s="1"/>
      <c r="BE229" s="1"/>
      <c r="BF229" s="1"/>
      <c r="BG229" s="1"/>
      <c r="BH229" s="1"/>
      <c r="BI229" s="1"/>
      <c r="BO229" s="1"/>
      <c r="BP229" s="1"/>
      <c r="BQ229" s="1"/>
      <c r="BR229" s="1"/>
      <c r="BS229" s="1"/>
      <c r="BT229" s="1"/>
      <c r="BU229" s="4"/>
    </row>
    <row r="230">
      <c r="A230" s="1"/>
      <c r="M230" s="1"/>
      <c r="Y230" s="1"/>
      <c r="AK230" s="1"/>
      <c r="AQ230" s="1"/>
      <c r="AW230" s="1"/>
      <c r="BC230" s="1"/>
      <c r="BD230" s="1"/>
      <c r="BE230" s="1"/>
      <c r="BF230" s="1"/>
      <c r="BG230" s="1"/>
      <c r="BH230" s="1"/>
      <c r="BI230" s="1"/>
      <c r="BO230" s="1"/>
      <c r="BP230" s="1"/>
      <c r="BQ230" s="1"/>
      <c r="BR230" s="1"/>
      <c r="BS230" s="1"/>
      <c r="BT230" s="1"/>
      <c r="BU230" s="4"/>
    </row>
    <row r="231">
      <c r="A231" s="1"/>
      <c r="M231" s="1"/>
      <c r="Y231" s="1"/>
      <c r="AK231" s="1"/>
      <c r="AQ231" s="1"/>
      <c r="AW231" s="1"/>
      <c r="BC231" s="1"/>
      <c r="BD231" s="1"/>
      <c r="BE231" s="1"/>
      <c r="BF231" s="1"/>
      <c r="BG231" s="1"/>
      <c r="BH231" s="1"/>
      <c r="BI231" s="1"/>
      <c r="BO231" s="1"/>
      <c r="BP231" s="1"/>
      <c r="BQ231" s="1"/>
      <c r="BR231" s="1"/>
      <c r="BS231" s="1"/>
      <c r="BT231" s="1"/>
      <c r="BU231" s="4"/>
    </row>
    <row r="232">
      <c r="A232" s="1"/>
      <c r="M232" s="1"/>
      <c r="Y232" s="1"/>
      <c r="AK232" s="1"/>
      <c r="AQ232" s="1"/>
      <c r="AW232" s="1"/>
      <c r="BC232" s="1"/>
      <c r="BD232" s="1"/>
      <c r="BE232" s="1"/>
      <c r="BF232" s="1"/>
      <c r="BG232" s="1"/>
      <c r="BH232" s="1"/>
      <c r="BI232" s="1"/>
      <c r="BO232" s="1"/>
      <c r="BP232" s="1"/>
      <c r="BQ232" s="1"/>
      <c r="BR232" s="1"/>
      <c r="BS232" s="1"/>
      <c r="BT232" s="1"/>
      <c r="BU232" s="4"/>
    </row>
    <row r="233">
      <c r="A233" s="1"/>
      <c r="M233" s="1"/>
      <c r="Y233" s="1"/>
      <c r="AK233" s="1"/>
      <c r="AQ233" s="1"/>
      <c r="AW233" s="1"/>
      <c r="BC233" s="1"/>
      <c r="BD233" s="1"/>
      <c r="BE233" s="1"/>
      <c r="BF233" s="1"/>
      <c r="BG233" s="1"/>
      <c r="BH233" s="1"/>
      <c r="BI233" s="1"/>
      <c r="BO233" s="1"/>
      <c r="BP233" s="1"/>
      <c r="BQ233" s="1"/>
      <c r="BR233" s="1"/>
      <c r="BS233" s="1"/>
      <c r="BT233" s="1"/>
      <c r="BU233" s="4"/>
    </row>
    <row r="234">
      <c r="A234" s="1"/>
      <c r="M234" s="1"/>
      <c r="Y234" s="1"/>
      <c r="AK234" s="1"/>
      <c r="AQ234" s="1"/>
      <c r="AW234" s="1"/>
      <c r="BC234" s="1"/>
      <c r="BD234" s="1"/>
      <c r="BE234" s="1"/>
      <c r="BF234" s="1"/>
      <c r="BG234" s="1"/>
      <c r="BH234" s="1"/>
      <c r="BI234" s="1"/>
      <c r="BO234" s="1"/>
      <c r="BP234" s="1"/>
      <c r="BQ234" s="1"/>
      <c r="BR234" s="1"/>
      <c r="BS234" s="1"/>
      <c r="BT234" s="1"/>
      <c r="BU234" s="4"/>
    </row>
    <row r="235">
      <c r="A235" s="1"/>
      <c r="M235" s="1"/>
      <c r="Y235" s="1"/>
      <c r="AK235" s="1"/>
      <c r="AQ235" s="1"/>
      <c r="AW235" s="1"/>
      <c r="BC235" s="1"/>
      <c r="BD235" s="1"/>
      <c r="BE235" s="1"/>
      <c r="BF235" s="1"/>
      <c r="BG235" s="1"/>
      <c r="BH235" s="1"/>
      <c r="BI235" s="1"/>
      <c r="BO235" s="1"/>
      <c r="BP235" s="1"/>
      <c r="BQ235" s="1"/>
      <c r="BR235" s="1"/>
      <c r="BS235" s="1"/>
      <c r="BT235" s="1"/>
      <c r="BU235" s="4"/>
    </row>
    <row r="236">
      <c r="A236" s="1"/>
      <c r="M236" s="1"/>
      <c r="Y236" s="1"/>
      <c r="AK236" s="1"/>
      <c r="AQ236" s="1"/>
      <c r="AW236" s="1"/>
      <c r="BC236" s="1"/>
      <c r="BD236" s="1"/>
      <c r="BE236" s="1"/>
      <c r="BF236" s="1"/>
      <c r="BG236" s="1"/>
      <c r="BH236" s="1"/>
      <c r="BI236" s="1"/>
      <c r="BO236" s="1"/>
      <c r="BP236" s="1"/>
      <c r="BQ236" s="1"/>
      <c r="BR236" s="1"/>
      <c r="BS236" s="1"/>
      <c r="BT236" s="1"/>
      <c r="BU236" s="4"/>
    </row>
    <row r="237">
      <c r="A237" s="1"/>
      <c r="M237" s="1"/>
      <c r="Y237" s="1"/>
      <c r="AK237" s="1"/>
      <c r="AQ237" s="1"/>
      <c r="AW237" s="1"/>
      <c r="BC237" s="1"/>
      <c r="BD237" s="1"/>
      <c r="BE237" s="1"/>
      <c r="BF237" s="1"/>
      <c r="BG237" s="1"/>
      <c r="BH237" s="1"/>
      <c r="BI237" s="1"/>
      <c r="BO237" s="1"/>
      <c r="BP237" s="1"/>
      <c r="BQ237" s="1"/>
      <c r="BR237" s="1"/>
      <c r="BS237" s="1"/>
      <c r="BT237" s="1"/>
      <c r="BU237" s="4"/>
    </row>
    <row r="238">
      <c r="A238" s="1"/>
      <c r="M238" s="1"/>
      <c r="Y238" s="1"/>
      <c r="AK238" s="1"/>
      <c r="AQ238" s="1"/>
      <c r="AW238" s="1"/>
      <c r="BC238" s="1"/>
      <c r="BD238" s="1"/>
      <c r="BE238" s="1"/>
      <c r="BF238" s="1"/>
      <c r="BG238" s="1"/>
      <c r="BH238" s="1"/>
      <c r="BI238" s="1"/>
      <c r="BO238" s="1"/>
      <c r="BP238" s="1"/>
      <c r="BQ238" s="1"/>
      <c r="BR238" s="1"/>
      <c r="BS238" s="1"/>
      <c r="BT238" s="1"/>
      <c r="BU238" s="4"/>
    </row>
    <row r="239">
      <c r="A239" s="1"/>
      <c r="M239" s="1"/>
      <c r="Y239" s="1"/>
      <c r="AK239" s="1"/>
      <c r="AQ239" s="1"/>
      <c r="AW239" s="1"/>
      <c r="BC239" s="1"/>
      <c r="BD239" s="1"/>
      <c r="BE239" s="1"/>
      <c r="BF239" s="1"/>
      <c r="BG239" s="1"/>
      <c r="BH239" s="1"/>
      <c r="BI239" s="1"/>
      <c r="BO239" s="1"/>
      <c r="BP239" s="1"/>
      <c r="BQ239" s="1"/>
      <c r="BR239" s="1"/>
      <c r="BS239" s="1"/>
      <c r="BT239" s="1"/>
      <c r="BU239" s="4"/>
    </row>
    <row r="240">
      <c r="A240" s="1"/>
      <c r="M240" s="1"/>
      <c r="Y240" s="1"/>
      <c r="AK240" s="1"/>
      <c r="AQ240" s="1"/>
      <c r="AW240" s="1"/>
      <c r="BC240" s="1"/>
      <c r="BD240" s="1"/>
      <c r="BE240" s="1"/>
      <c r="BF240" s="1"/>
      <c r="BG240" s="1"/>
      <c r="BH240" s="1"/>
      <c r="BI240" s="1"/>
      <c r="BO240" s="1"/>
      <c r="BP240" s="1"/>
      <c r="BQ240" s="1"/>
      <c r="BR240" s="1"/>
      <c r="BS240" s="1"/>
      <c r="BT240" s="1"/>
      <c r="BU240" s="4"/>
    </row>
    <row r="241">
      <c r="A241" s="1"/>
      <c r="M241" s="1"/>
      <c r="Y241" s="1"/>
      <c r="AK241" s="1"/>
      <c r="AQ241" s="1"/>
      <c r="AW241" s="1"/>
      <c r="BC241" s="1"/>
      <c r="BD241" s="1"/>
      <c r="BE241" s="1"/>
      <c r="BF241" s="1"/>
      <c r="BG241" s="1"/>
      <c r="BH241" s="1"/>
      <c r="BI241" s="1"/>
      <c r="BO241" s="1"/>
      <c r="BP241" s="1"/>
      <c r="BQ241" s="1"/>
      <c r="BR241" s="1"/>
      <c r="BS241" s="1"/>
      <c r="BT241" s="1"/>
      <c r="BU241" s="4"/>
    </row>
    <row r="242">
      <c r="A242" s="1"/>
      <c r="M242" s="1"/>
      <c r="Y242" s="1"/>
      <c r="AK242" s="1"/>
      <c r="AQ242" s="1"/>
      <c r="AW242" s="1"/>
      <c r="BC242" s="1"/>
      <c r="BD242" s="1"/>
      <c r="BE242" s="1"/>
      <c r="BF242" s="1"/>
      <c r="BG242" s="1"/>
      <c r="BH242" s="1"/>
      <c r="BI242" s="1"/>
      <c r="BO242" s="1"/>
      <c r="BP242" s="1"/>
      <c r="BQ242" s="1"/>
      <c r="BR242" s="1"/>
      <c r="BS242" s="1"/>
      <c r="BT242" s="1"/>
      <c r="BU242" s="4"/>
    </row>
    <row r="243">
      <c r="A243" s="1"/>
      <c r="M243" s="1"/>
      <c r="Y243" s="1"/>
      <c r="AK243" s="1"/>
      <c r="AQ243" s="1"/>
      <c r="AW243" s="1"/>
      <c r="BC243" s="1"/>
      <c r="BD243" s="1"/>
      <c r="BE243" s="1"/>
      <c r="BF243" s="1"/>
      <c r="BG243" s="1"/>
      <c r="BH243" s="1"/>
      <c r="BI243" s="1"/>
      <c r="BO243" s="1"/>
      <c r="BP243" s="1"/>
      <c r="BQ243" s="1"/>
      <c r="BR243" s="1"/>
      <c r="BS243" s="1"/>
      <c r="BT243" s="1"/>
      <c r="BU243" s="4"/>
    </row>
    <row r="244">
      <c r="A244" s="1"/>
      <c r="M244" s="1"/>
      <c r="Y244" s="1"/>
      <c r="AK244" s="1"/>
      <c r="AQ244" s="1"/>
      <c r="AW244" s="1"/>
      <c r="BC244" s="1"/>
      <c r="BD244" s="1"/>
      <c r="BE244" s="1"/>
      <c r="BF244" s="1"/>
      <c r="BG244" s="1"/>
      <c r="BH244" s="1"/>
      <c r="BI244" s="1"/>
      <c r="BO244" s="1"/>
      <c r="BP244" s="1"/>
      <c r="BQ244" s="1"/>
      <c r="BR244" s="1"/>
      <c r="BS244" s="1"/>
      <c r="BT244" s="1"/>
      <c r="BU244" s="4"/>
    </row>
    <row r="245">
      <c r="A245" s="1"/>
      <c r="M245" s="1"/>
      <c r="Y245" s="1"/>
      <c r="AK245" s="1"/>
      <c r="AQ245" s="1"/>
      <c r="AW245" s="1"/>
      <c r="BC245" s="1"/>
      <c r="BD245" s="1"/>
      <c r="BE245" s="1"/>
      <c r="BF245" s="1"/>
      <c r="BG245" s="1"/>
      <c r="BH245" s="1"/>
      <c r="BI245" s="1"/>
      <c r="BO245" s="1"/>
      <c r="BP245" s="1"/>
      <c r="BQ245" s="1"/>
      <c r="BR245" s="1"/>
      <c r="BS245" s="1"/>
      <c r="BT245" s="1"/>
      <c r="BU245" s="4"/>
    </row>
    <row r="246">
      <c r="A246" s="1"/>
      <c r="M246" s="1"/>
      <c r="Y246" s="1"/>
      <c r="AK246" s="1"/>
      <c r="AQ246" s="1"/>
      <c r="AW246" s="1"/>
      <c r="BC246" s="1"/>
      <c r="BD246" s="1"/>
      <c r="BE246" s="1"/>
      <c r="BF246" s="1"/>
      <c r="BG246" s="1"/>
      <c r="BH246" s="1"/>
      <c r="BI246" s="1"/>
      <c r="BO246" s="1"/>
      <c r="BP246" s="1"/>
      <c r="BQ246" s="1"/>
      <c r="BR246" s="1"/>
      <c r="BS246" s="1"/>
      <c r="BT246" s="1"/>
      <c r="BU246" s="4"/>
    </row>
    <row r="247">
      <c r="A247" s="1"/>
      <c r="M247" s="1"/>
      <c r="Y247" s="1"/>
      <c r="AK247" s="1"/>
      <c r="AQ247" s="1"/>
      <c r="AW247" s="1"/>
      <c r="BC247" s="1"/>
      <c r="BD247" s="1"/>
      <c r="BE247" s="1"/>
      <c r="BF247" s="1"/>
      <c r="BG247" s="1"/>
      <c r="BH247" s="1"/>
      <c r="BI247" s="1"/>
      <c r="BO247" s="1"/>
      <c r="BP247" s="1"/>
      <c r="BQ247" s="1"/>
      <c r="BR247" s="1"/>
      <c r="BS247" s="1"/>
      <c r="BT247" s="1"/>
      <c r="BU247" s="4"/>
    </row>
    <row r="248">
      <c r="A248" s="1"/>
      <c r="M248" s="1"/>
      <c r="Y248" s="1"/>
      <c r="AK248" s="1"/>
      <c r="AQ248" s="1"/>
      <c r="AW248" s="1"/>
      <c r="BC248" s="1"/>
      <c r="BD248" s="1"/>
      <c r="BE248" s="1"/>
      <c r="BF248" s="1"/>
      <c r="BG248" s="1"/>
      <c r="BH248" s="1"/>
      <c r="BI248" s="1"/>
      <c r="BO248" s="1"/>
      <c r="BP248" s="1"/>
      <c r="BQ248" s="1"/>
      <c r="BR248" s="1"/>
      <c r="BS248" s="1"/>
      <c r="BT248" s="1"/>
      <c r="BU248" s="4"/>
    </row>
    <row r="249">
      <c r="A249" s="1"/>
      <c r="M249" s="1"/>
      <c r="Y249" s="1"/>
      <c r="AK249" s="1"/>
      <c r="AQ249" s="1"/>
      <c r="AW249" s="1"/>
      <c r="BC249" s="1"/>
      <c r="BD249" s="1"/>
      <c r="BE249" s="1"/>
      <c r="BF249" s="1"/>
      <c r="BG249" s="1"/>
      <c r="BH249" s="1"/>
      <c r="BI249" s="1"/>
      <c r="BO249" s="1"/>
      <c r="BP249" s="1"/>
      <c r="BQ249" s="1"/>
      <c r="BR249" s="1"/>
      <c r="BS249" s="1"/>
      <c r="BT249" s="1"/>
      <c r="BU249" s="4"/>
    </row>
    <row r="250">
      <c r="A250" s="1"/>
      <c r="M250" s="1"/>
      <c r="Y250" s="1"/>
      <c r="AK250" s="1"/>
      <c r="AQ250" s="1"/>
      <c r="AW250" s="1"/>
      <c r="BC250" s="1"/>
      <c r="BD250" s="1"/>
      <c r="BE250" s="1"/>
      <c r="BF250" s="1"/>
      <c r="BG250" s="1"/>
      <c r="BH250" s="1"/>
      <c r="BI250" s="1"/>
      <c r="BO250" s="1"/>
      <c r="BP250" s="1"/>
      <c r="BQ250" s="1"/>
      <c r="BR250" s="1"/>
      <c r="BS250" s="1"/>
      <c r="BT250" s="1"/>
      <c r="BU250" s="4"/>
    </row>
    <row r="251">
      <c r="A251" s="1"/>
      <c r="M251" s="1"/>
      <c r="Y251" s="1"/>
      <c r="AK251" s="1"/>
      <c r="AQ251" s="1"/>
      <c r="AW251" s="1"/>
      <c r="BC251" s="1"/>
      <c r="BD251" s="1"/>
      <c r="BE251" s="1"/>
      <c r="BF251" s="1"/>
      <c r="BG251" s="1"/>
      <c r="BH251" s="1"/>
      <c r="BI251" s="1"/>
      <c r="BO251" s="1"/>
      <c r="BP251" s="1"/>
      <c r="BQ251" s="1"/>
      <c r="BR251" s="1"/>
      <c r="BS251" s="1"/>
      <c r="BT251" s="1"/>
      <c r="BU251" s="4"/>
    </row>
    <row r="252">
      <c r="A252" s="1"/>
      <c r="M252" s="1"/>
      <c r="Y252" s="1"/>
      <c r="AK252" s="1"/>
      <c r="AQ252" s="1"/>
      <c r="AW252" s="1"/>
      <c r="BC252" s="1"/>
      <c r="BD252" s="1"/>
      <c r="BE252" s="1"/>
      <c r="BF252" s="1"/>
      <c r="BG252" s="1"/>
      <c r="BH252" s="1"/>
      <c r="BI252" s="1"/>
      <c r="BO252" s="1"/>
      <c r="BP252" s="1"/>
      <c r="BQ252" s="1"/>
      <c r="BR252" s="1"/>
      <c r="BS252" s="1"/>
      <c r="BT252" s="1"/>
      <c r="BU252" s="4"/>
    </row>
    <row r="253">
      <c r="A253" s="1"/>
      <c r="M253" s="1"/>
      <c r="Y253" s="1"/>
      <c r="AK253" s="1"/>
      <c r="AQ253" s="1"/>
      <c r="AW253" s="1"/>
      <c r="BC253" s="1"/>
      <c r="BD253" s="1"/>
      <c r="BE253" s="1"/>
      <c r="BF253" s="1"/>
      <c r="BG253" s="1"/>
      <c r="BH253" s="1"/>
      <c r="BI253" s="1"/>
      <c r="BO253" s="1"/>
      <c r="BP253" s="1"/>
      <c r="BQ253" s="1"/>
      <c r="BR253" s="1"/>
      <c r="BS253" s="1"/>
      <c r="BT253" s="1"/>
      <c r="BU253" s="4"/>
    </row>
    <row r="254">
      <c r="A254" s="1"/>
      <c r="M254" s="1"/>
      <c r="Y254" s="1"/>
      <c r="AK254" s="1"/>
      <c r="AQ254" s="1"/>
      <c r="AW254" s="1"/>
      <c r="BC254" s="1"/>
      <c r="BD254" s="1"/>
      <c r="BE254" s="1"/>
      <c r="BF254" s="1"/>
      <c r="BG254" s="1"/>
      <c r="BH254" s="1"/>
      <c r="BI254" s="1"/>
      <c r="BO254" s="1"/>
      <c r="BP254" s="1"/>
      <c r="BQ254" s="1"/>
      <c r="BR254" s="1"/>
      <c r="BS254" s="1"/>
      <c r="BT254" s="1"/>
      <c r="BU254" s="4"/>
    </row>
    <row r="255">
      <c r="A255" s="1"/>
      <c r="M255" s="1"/>
      <c r="Y255" s="1"/>
      <c r="AK255" s="1"/>
      <c r="AQ255" s="1"/>
      <c r="AW255" s="1"/>
      <c r="BC255" s="1"/>
      <c r="BD255" s="1"/>
      <c r="BE255" s="1"/>
      <c r="BF255" s="1"/>
      <c r="BG255" s="1"/>
      <c r="BH255" s="1"/>
      <c r="BI255" s="1"/>
      <c r="BO255" s="1"/>
      <c r="BP255" s="1"/>
      <c r="BQ255" s="1"/>
      <c r="BR255" s="1"/>
      <c r="BS255" s="1"/>
      <c r="BT255" s="1"/>
      <c r="BU255" s="4"/>
    </row>
    <row r="256">
      <c r="A256" s="1"/>
      <c r="M256" s="1"/>
      <c r="Y256" s="1"/>
      <c r="AK256" s="1"/>
      <c r="AQ256" s="1"/>
      <c r="AW256" s="1"/>
      <c r="BC256" s="1"/>
      <c r="BD256" s="1"/>
      <c r="BE256" s="1"/>
      <c r="BF256" s="1"/>
      <c r="BG256" s="1"/>
      <c r="BH256" s="1"/>
      <c r="BI256" s="1"/>
      <c r="BO256" s="1"/>
      <c r="BP256" s="1"/>
      <c r="BQ256" s="1"/>
      <c r="BR256" s="1"/>
      <c r="BS256" s="1"/>
      <c r="BT256" s="1"/>
      <c r="BU256" s="4"/>
    </row>
    <row r="257">
      <c r="A257" s="1"/>
      <c r="M257" s="1"/>
      <c r="Y257" s="1"/>
      <c r="AK257" s="1"/>
      <c r="AQ257" s="1"/>
      <c r="AW257" s="1"/>
      <c r="BC257" s="1"/>
      <c r="BD257" s="1"/>
      <c r="BE257" s="1"/>
      <c r="BF257" s="1"/>
      <c r="BG257" s="1"/>
      <c r="BH257" s="1"/>
      <c r="BI257" s="1"/>
      <c r="BO257" s="1"/>
      <c r="BP257" s="1"/>
      <c r="BQ257" s="1"/>
      <c r="BR257" s="1"/>
      <c r="BS257" s="1"/>
      <c r="BT257" s="1"/>
      <c r="BU257" s="4"/>
    </row>
    <row r="258">
      <c r="A258" s="1"/>
      <c r="M258" s="1"/>
      <c r="Y258" s="1"/>
      <c r="AK258" s="1"/>
      <c r="AQ258" s="1"/>
      <c r="AW258" s="1"/>
      <c r="BC258" s="1"/>
      <c r="BD258" s="1"/>
      <c r="BE258" s="1"/>
      <c r="BF258" s="1"/>
      <c r="BG258" s="1"/>
      <c r="BH258" s="1"/>
      <c r="BI258" s="1"/>
      <c r="BO258" s="1"/>
      <c r="BP258" s="1"/>
      <c r="BQ258" s="1"/>
      <c r="BR258" s="1"/>
      <c r="BS258" s="1"/>
      <c r="BT258" s="1"/>
      <c r="BU258" s="4"/>
    </row>
    <row r="259">
      <c r="A259" s="1"/>
      <c r="M259" s="1"/>
      <c r="Y259" s="1"/>
      <c r="AK259" s="1"/>
      <c r="AQ259" s="1"/>
      <c r="AW259" s="1"/>
      <c r="BC259" s="1"/>
      <c r="BD259" s="1"/>
      <c r="BE259" s="1"/>
      <c r="BF259" s="1"/>
      <c r="BG259" s="1"/>
      <c r="BH259" s="1"/>
      <c r="BI259" s="1"/>
      <c r="BO259" s="1"/>
      <c r="BP259" s="1"/>
      <c r="BQ259" s="1"/>
      <c r="BR259" s="1"/>
      <c r="BS259" s="1"/>
      <c r="BT259" s="1"/>
      <c r="BU259" s="4"/>
    </row>
    <row r="260">
      <c r="A260" s="1"/>
      <c r="M260" s="1"/>
      <c r="Y260" s="1"/>
      <c r="AK260" s="1"/>
      <c r="AQ260" s="1"/>
      <c r="AW260" s="1"/>
      <c r="BC260" s="1"/>
      <c r="BD260" s="1"/>
      <c r="BE260" s="1"/>
      <c r="BF260" s="1"/>
      <c r="BG260" s="1"/>
      <c r="BH260" s="1"/>
      <c r="BI260" s="1"/>
      <c r="BO260" s="1"/>
      <c r="BP260" s="1"/>
      <c r="BQ260" s="1"/>
      <c r="BR260" s="1"/>
      <c r="BS260" s="1"/>
      <c r="BT260" s="1"/>
      <c r="BU260" s="4"/>
    </row>
    <row r="261">
      <c r="A261" s="1"/>
      <c r="M261" s="1"/>
      <c r="Y261" s="1"/>
      <c r="AK261" s="1"/>
      <c r="AQ261" s="1"/>
      <c r="AW261" s="1"/>
      <c r="BC261" s="1"/>
      <c r="BD261" s="1"/>
      <c r="BE261" s="1"/>
      <c r="BF261" s="1"/>
      <c r="BG261" s="1"/>
      <c r="BH261" s="1"/>
      <c r="BI261" s="1"/>
      <c r="BO261" s="1"/>
      <c r="BP261" s="1"/>
      <c r="BQ261" s="1"/>
      <c r="BR261" s="1"/>
      <c r="BS261" s="1"/>
      <c r="BT261" s="1"/>
      <c r="BU261" s="4"/>
    </row>
    <row r="262">
      <c r="A262" s="1"/>
      <c r="M262" s="1"/>
      <c r="Y262" s="1"/>
      <c r="AK262" s="1"/>
      <c r="AQ262" s="1"/>
      <c r="AW262" s="1"/>
      <c r="BC262" s="1"/>
      <c r="BD262" s="1"/>
      <c r="BE262" s="1"/>
      <c r="BF262" s="1"/>
      <c r="BG262" s="1"/>
      <c r="BH262" s="1"/>
      <c r="BI262" s="1"/>
      <c r="BO262" s="1"/>
      <c r="BP262" s="1"/>
      <c r="BQ262" s="1"/>
      <c r="BR262" s="1"/>
      <c r="BS262" s="1"/>
      <c r="BT262" s="1"/>
      <c r="BU262" s="4"/>
    </row>
    <row r="263">
      <c r="A263" s="1"/>
      <c r="M263" s="1"/>
      <c r="Y263" s="1"/>
      <c r="AK263" s="1"/>
      <c r="AQ263" s="1"/>
      <c r="AW263" s="1"/>
      <c r="BC263" s="1"/>
      <c r="BD263" s="1"/>
      <c r="BE263" s="1"/>
      <c r="BF263" s="1"/>
      <c r="BG263" s="1"/>
      <c r="BH263" s="1"/>
      <c r="BI263" s="1"/>
      <c r="BO263" s="1"/>
      <c r="BP263" s="1"/>
      <c r="BQ263" s="1"/>
      <c r="BR263" s="1"/>
      <c r="BS263" s="1"/>
      <c r="BT263" s="1"/>
      <c r="BU263" s="4"/>
    </row>
    <row r="264">
      <c r="A264" s="1"/>
      <c r="M264" s="1"/>
      <c r="Y264" s="1"/>
      <c r="AK264" s="1"/>
      <c r="AQ264" s="1"/>
      <c r="AW264" s="1"/>
      <c r="BC264" s="1"/>
      <c r="BD264" s="1"/>
      <c r="BE264" s="1"/>
      <c r="BF264" s="1"/>
      <c r="BG264" s="1"/>
      <c r="BH264" s="1"/>
      <c r="BI264" s="1"/>
      <c r="BO264" s="1"/>
      <c r="BP264" s="1"/>
      <c r="BQ264" s="1"/>
      <c r="BR264" s="1"/>
      <c r="BS264" s="1"/>
      <c r="BT264" s="1"/>
      <c r="BU264" s="4"/>
    </row>
    <row r="265">
      <c r="A265" s="1"/>
      <c r="M265" s="1"/>
      <c r="Y265" s="1"/>
      <c r="AK265" s="1"/>
      <c r="AQ265" s="1"/>
      <c r="AW265" s="1"/>
      <c r="BC265" s="1"/>
      <c r="BD265" s="1"/>
      <c r="BE265" s="1"/>
      <c r="BF265" s="1"/>
      <c r="BG265" s="1"/>
      <c r="BH265" s="1"/>
      <c r="BI265" s="1"/>
      <c r="BO265" s="1"/>
      <c r="BP265" s="1"/>
      <c r="BQ265" s="1"/>
      <c r="BR265" s="1"/>
      <c r="BS265" s="1"/>
      <c r="BT265" s="1"/>
      <c r="BU265" s="4"/>
    </row>
    <row r="266">
      <c r="A266" s="1"/>
      <c r="M266" s="1"/>
      <c r="Y266" s="1"/>
      <c r="AK266" s="1"/>
      <c r="AQ266" s="1"/>
      <c r="AW266" s="1"/>
      <c r="BC266" s="1"/>
      <c r="BD266" s="1"/>
      <c r="BE266" s="1"/>
      <c r="BF266" s="1"/>
      <c r="BG266" s="1"/>
      <c r="BH266" s="1"/>
      <c r="BI266" s="1"/>
      <c r="BO266" s="1"/>
      <c r="BP266" s="1"/>
      <c r="BQ266" s="1"/>
      <c r="BR266" s="1"/>
      <c r="BS266" s="1"/>
      <c r="BT266" s="1"/>
      <c r="BU266" s="4"/>
    </row>
    <row r="267">
      <c r="A267" s="1"/>
      <c r="M267" s="1"/>
      <c r="Y267" s="1"/>
      <c r="AK267" s="1"/>
      <c r="AQ267" s="1"/>
      <c r="AW267" s="1"/>
      <c r="BC267" s="1"/>
      <c r="BD267" s="1"/>
      <c r="BE267" s="1"/>
      <c r="BF267" s="1"/>
      <c r="BG267" s="1"/>
      <c r="BH267" s="1"/>
      <c r="BI267" s="1"/>
      <c r="BO267" s="1"/>
      <c r="BP267" s="1"/>
      <c r="BQ267" s="1"/>
      <c r="BR267" s="1"/>
      <c r="BS267" s="1"/>
      <c r="BT267" s="1"/>
      <c r="BU267" s="4"/>
    </row>
    <row r="268">
      <c r="A268" s="1"/>
      <c r="M268" s="1"/>
      <c r="Y268" s="1"/>
      <c r="AK268" s="1"/>
      <c r="AQ268" s="1"/>
      <c r="AW268" s="1"/>
      <c r="BC268" s="1"/>
      <c r="BD268" s="1"/>
      <c r="BE268" s="1"/>
      <c r="BF268" s="1"/>
      <c r="BG268" s="1"/>
      <c r="BH268" s="1"/>
      <c r="BI268" s="1"/>
      <c r="BO268" s="1"/>
      <c r="BP268" s="1"/>
      <c r="BQ268" s="1"/>
      <c r="BR268" s="1"/>
      <c r="BS268" s="1"/>
      <c r="BT268" s="1"/>
      <c r="BU268" s="4"/>
    </row>
    <row r="269">
      <c r="A269" s="1"/>
      <c r="M269" s="1"/>
      <c r="Y269" s="1"/>
      <c r="AK269" s="1"/>
      <c r="AQ269" s="1"/>
      <c r="AW269" s="1"/>
      <c r="BC269" s="1"/>
      <c r="BD269" s="1"/>
      <c r="BE269" s="1"/>
      <c r="BF269" s="1"/>
      <c r="BG269" s="1"/>
      <c r="BH269" s="1"/>
      <c r="BI269" s="1"/>
      <c r="BO269" s="1"/>
      <c r="BP269" s="1"/>
      <c r="BQ269" s="1"/>
      <c r="BR269" s="1"/>
      <c r="BS269" s="1"/>
      <c r="BT269" s="1"/>
      <c r="BU269" s="4"/>
    </row>
    <row r="270">
      <c r="A270" s="1"/>
      <c r="M270" s="1"/>
      <c r="Y270" s="1"/>
      <c r="AK270" s="1"/>
      <c r="AQ270" s="1"/>
      <c r="AW270" s="1"/>
      <c r="BC270" s="1"/>
      <c r="BD270" s="1"/>
      <c r="BE270" s="1"/>
      <c r="BF270" s="1"/>
      <c r="BG270" s="1"/>
      <c r="BH270" s="1"/>
      <c r="BI270" s="1"/>
      <c r="BO270" s="1"/>
      <c r="BP270" s="1"/>
      <c r="BQ270" s="1"/>
      <c r="BR270" s="1"/>
      <c r="BS270" s="1"/>
      <c r="BT270" s="1"/>
      <c r="BU270" s="4"/>
    </row>
    <row r="271">
      <c r="A271" s="1"/>
      <c r="M271" s="1"/>
      <c r="Y271" s="1"/>
      <c r="AK271" s="1"/>
      <c r="AQ271" s="1"/>
      <c r="AW271" s="1"/>
      <c r="BC271" s="1"/>
      <c r="BD271" s="1"/>
      <c r="BE271" s="1"/>
      <c r="BF271" s="1"/>
      <c r="BG271" s="1"/>
      <c r="BH271" s="1"/>
      <c r="BI271" s="1"/>
      <c r="BO271" s="1"/>
      <c r="BP271" s="1"/>
      <c r="BQ271" s="1"/>
      <c r="BR271" s="1"/>
      <c r="BS271" s="1"/>
      <c r="BT271" s="1"/>
      <c r="BU271" s="4"/>
    </row>
    <row r="272">
      <c r="A272" s="1"/>
      <c r="M272" s="1"/>
      <c r="Y272" s="1"/>
      <c r="AK272" s="1"/>
      <c r="AQ272" s="1"/>
      <c r="AW272" s="1"/>
      <c r="BC272" s="1"/>
      <c r="BD272" s="1"/>
      <c r="BE272" s="1"/>
      <c r="BF272" s="1"/>
      <c r="BG272" s="1"/>
      <c r="BH272" s="1"/>
      <c r="BI272" s="1"/>
      <c r="BO272" s="1"/>
      <c r="BP272" s="1"/>
      <c r="BQ272" s="1"/>
      <c r="BR272" s="1"/>
      <c r="BS272" s="1"/>
      <c r="BT272" s="1"/>
      <c r="BU272" s="4"/>
    </row>
    <row r="273">
      <c r="A273" s="1"/>
      <c r="M273" s="1"/>
      <c r="Y273" s="1"/>
      <c r="AK273" s="1"/>
      <c r="AQ273" s="1"/>
      <c r="AW273" s="1"/>
      <c r="BC273" s="1"/>
      <c r="BD273" s="1"/>
      <c r="BE273" s="1"/>
      <c r="BF273" s="1"/>
      <c r="BG273" s="1"/>
      <c r="BH273" s="1"/>
      <c r="BI273" s="1"/>
      <c r="BO273" s="1"/>
      <c r="BP273" s="1"/>
      <c r="BQ273" s="1"/>
      <c r="BR273" s="1"/>
      <c r="BS273" s="1"/>
      <c r="BT273" s="1"/>
      <c r="BU273" s="4"/>
    </row>
    <row r="274">
      <c r="A274" s="1"/>
      <c r="M274" s="1"/>
      <c r="Y274" s="1"/>
      <c r="AK274" s="1"/>
      <c r="AQ274" s="1"/>
      <c r="AW274" s="1"/>
      <c r="BC274" s="1"/>
      <c r="BD274" s="1"/>
      <c r="BE274" s="1"/>
      <c r="BF274" s="1"/>
      <c r="BG274" s="1"/>
      <c r="BH274" s="1"/>
      <c r="BI274" s="1"/>
      <c r="BO274" s="1"/>
      <c r="BP274" s="1"/>
      <c r="BQ274" s="1"/>
      <c r="BR274" s="1"/>
      <c r="BS274" s="1"/>
      <c r="BT274" s="1"/>
      <c r="BU274" s="4"/>
    </row>
    <row r="275">
      <c r="A275" s="1"/>
      <c r="M275" s="1"/>
      <c r="Y275" s="1"/>
      <c r="AK275" s="1"/>
      <c r="AQ275" s="1"/>
      <c r="AW275" s="1"/>
      <c r="BC275" s="1"/>
      <c r="BD275" s="1"/>
      <c r="BE275" s="1"/>
      <c r="BF275" s="1"/>
      <c r="BG275" s="1"/>
      <c r="BH275" s="1"/>
      <c r="BI275" s="1"/>
      <c r="BO275" s="1"/>
      <c r="BP275" s="1"/>
      <c r="BQ275" s="1"/>
      <c r="BR275" s="1"/>
      <c r="BS275" s="1"/>
      <c r="BT275" s="1"/>
      <c r="BU275" s="4"/>
    </row>
    <row r="276">
      <c r="A276" s="1"/>
      <c r="M276" s="1"/>
      <c r="Y276" s="1"/>
      <c r="AK276" s="1"/>
      <c r="AQ276" s="1"/>
      <c r="AW276" s="1"/>
      <c r="BC276" s="1"/>
      <c r="BD276" s="1"/>
      <c r="BE276" s="1"/>
      <c r="BF276" s="1"/>
      <c r="BG276" s="1"/>
      <c r="BH276" s="1"/>
      <c r="BI276" s="1"/>
      <c r="BO276" s="1"/>
      <c r="BP276" s="1"/>
      <c r="BQ276" s="1"/>
      <c r="BR276" s="1"/>
      <c r="BS276" s="1"/>
      <c r="BT276" s="1"/>
      <c r="BU276" s="4"/>
    </row>
    <row r="277">
      <c r="A277" s="1"/>
      <c r="M277" s="1"/>
      <c r="Y277" s="1"/>
      <c r="AK277" s="1"/>
      <c r="AQ277" s="1"/>
      <c r="AW277" s="1"/>
      <c r="BC277" s="1"/>
      <c r="BD277" s="1"/>
      <c r="BE277" s="1"/>
      <c r="BF277" s="1"/>
      <c r="BG277" s="1"/>
      <c r="BH277" s="1"/>
      <c r="BI277" s="1"/>
      <c r="BO277" s="1"/>
      <c r="BP277" s="1"/>
      <c r="BQ277" s="1"/>
      <c r="BR277" s="1"/>
      <c r="BS277" s="1"/>
      <c r="BT277" s="1"/>
      <c r="BU277" s="4"/>
    </row>
    <row r="278">
      <c r="A278" s="1"/>
      <c r="M278" s="1"/>
      <c r="Y278" s="1"/>
      <c r="AK278" s="1"/>
      <c r="AQ278" s="1"/>
      <c r="AW278" s="1"/>
      <c r="BC278" s="1"/>
      <c r="BD278" s="1"/>
      <c r="BE278" s="1"/>
      <c r="BF278" s="1"/>
      <c r="BG278" s="1"/>
      <c r="BH278" s="1"/>
      <c r="BI278" s="1"/>
      <c r="BO278" s="1"/>
      <c r="BP278" s="1"/>
      <c r="BQ278" s="1"/>
      <c r="BR278" s="1"/>
      <c r="BS278" s="1"/>
      <c r="BT278" s="1"/>
      <c r="BU278" s="4"/>
    </row>
    <row r="279">
      <c r="A279" s="1"/>
      <c r="M279" s="1"/>
      <c r="Y279" s="1"/>
      <c r="AK279" s="1"/>
      <c r="AQ279" s="1"/>
      <c r="AW279" s="1"/>
      <c r="BC279" s="1"/>
      <c r="BD279" s="1"/>
      <c r="BE279" s="1"/>
      <c r="BF279" s="1"/>
      <c r="BG279" s="1"/>
      <c r="BH279" s="1"/>
      <c r="BI279" s="1"/>
      <c r="BO279" s="1"/>
      <c r="BP279" s="1"/>
      <c r="BQ279" s="1"/>
      <c r="BR279" s="1"/>
      <c r="BS279" s="1"/>
      <c r="BT279" s="1"/>
      <c r="BU279" s="4"/>
    </row>
    <row r="280">
      <c r="A280" s="1"/>
      <c r="M280" s="1"/>
      <c r="Y280" s="1"/>
      <c r="AK280" s="1"/>
      <c r="AQ280" s="1"/>
      <c r="AW280" s="1"/>
      <c r="BC280" s="1"/>
      <c r="BD280" s="1"/>
      <c r="BE280" s="1"/>
      <c r="BF280" s="1"/>
      <c r="BG280" s="1"/>
      <c r="BH280" s="1"/>
      <c r="BI280" s="1"/>
      <c r="BO280" s="1"/>
      <c r="BP280" s="1"/>
      <c r="BQ280" s="1"/>
      <c r="BR280" s="1"/>
      <c r="BS280" s="1"/>
      <c r="BT280" s="1"/>
      <c r="BU280" s="4"/>
    </row>
    <row r="281">
      <c r="A281" s="1"/>
      <c r="M281" s="1"/>
      <c r="Y281" s="1"/>
      <c r="AK281" s="1"/>
      <c r="AQ281" s="1"/>
      <c r="AW281" s="1"/>
      <c r="BC281" s="1"/>
      <c r="BD281" s="1"/>
      <c r="BE281" s="1"/>
      <c r="BF281" s="1"/>
      <c r="BG281" s="1"/>
      <c r="BH281" s="1"/>
      <c r="BI281" s="1"/>
      <c r="BO281" s="1"/>
      <c r="BP281" s="1"/>
      <c r="BQ281" s="1"/>
      <c r="BR281" s="1"/>
      <c r="BS281" s="1"/>
      <c r="BT281" s="1"/>
      <c r="BU281" s="4"/>
    </row>
    <row r="282">
      <c r="A282" s="1"/>
      <c r="M282" s="1"/>
      <c r="Y282" s="1"/>
      <c r="AK282" s="1"/>
      <c r="AQ282" s="1"/>
      <c r="AW282" s="1"/>
      <c r="BC282" s="1"/>
      <c r="BD282" s="1"/>
      <c r="BE282" s="1"/>
      <c r="BF282" s="1"/>
      <c r="BG282" s="1"/>
      <c r="BH282" s="1"/>
      <c r="BI282" s="1"/>
      <c r="BO282" s="1"/>
      <c r="BP282" s="1"/>
      <c r="BQ282" s="1"/>
      <c r="BR282" s="1"/>
      <c r="BS282" s="1"/>
      <c r="BT282" s="1"/>
      <c r="BU282" s="4"/>
    </row>
    <row r="283">
      <c r="A283" s="1"/>
      <c r="M283" s="1"/>
      <c r="Y283" s="1"/>
      <c r="AK283" s="1"/>
      <c r="AQ283" s="1"/>
      <c r="AW283" s="1"/>
      <c r="BC283" s="1"/>
      <c r="BD283" s="1"/>
      <c r="BE283" s="1"/>
      <c r="BF283" s="1"/>
      <c r="BG283" s="1"/>
      <c r="BH283" s="1"/>
      <c r="BI283" s="1"/>
      <c r="BO283" s="1"/>
      <c r="BP283" s="1"/>
      <c r="BQ283" s="1"/>
      <c r="BR283" s="1"/>
      <c r="BS283" s="1"/>
      <c r="BT283" s="1"/>
      <c r="BU283" s="4"/>
    </row>
    <row r="284">
      <c r="A284" s="1"/>
      <c r="M284" s="1"/>
      <c r="Y284" s="1"/>
      <c r="AK284" s="1"/>
      <c r="AQ284" s="1"/>
      <c r="AW284" s="1"/>
      <c r="BC284" s="1"/>
      <c r="BD284" s="1"/>
      <c r="BE284" s="1"/>
      <c r="BF284" s="1"/>
      <c r="BG284" s="1"/>
      <c r="BH284" s="1"/>
      <c r="BI284" s="1"/>
      <c r="BO284" s="1"/>
      <c r="BP284" s="1"/>
      <c r="BQ284" s="1"/>
      <c r="BR284" s="1"/>
      <c r="BS284" s="1"/>
      <c r="BT284" s="1"/>
      <c r="BU284" s="4"/>
    </row>
    <row r="285">
      <c r="A285" s="1"/>
      <c r="M285" s="1"/>
      <c r="Y285" s="1"/>
      <c r="AK285" s="1"/>
      <c r="AQ285" s="1"/>
      <c r="AW285" s="1"/>
      <c r="BC285" s="1"/>
      <c r="BD285" s="1"/>
      <c r="BE285" s="1"/>
      <c r="BF285" s="1"/>
      <c r="BG285" s="1"/>
      <c r="BH285" s="1"/>
      <c r="BI285" s="1"/>
      <c r="BO285" s="1"/>
      <c r="BP285" s="1"/>
      <c r="BQ285" s="1"/>
      <c r="BR285" s="1"/>
      <c r="BS285" s="1"/>
      <c r="BT285" s="1"/>
      <c r="BU285" s="4"/>
    </row>
    <row r="286">
      <c r="A286" s="1"/>
      <c r="M286" s="1"/>
      <c r="Y286" s="1"/>
      <c r="AK286" s="1"/>
      <c r="AQ286" s="1"/>
      <c r="AW286" s="1"/>
      <c r="BC286" s="1"/>
      <c r="BD286" s="1"/>
      <c r="BE286" s="1"/>
      <c r="BF286" s="1"/>
      <c r="BG286" s="1"/>
      <c r="BH286" s="1"/>
      <c r="BI286" s="1"/>
      <c r="BO286" s="1"/>
      <c r="BP286" s="1"/>
      <c r="BQ286" s="1"/>
      <c r="BR286" s="1"/>
      <c r="BS286" s="1"/>
      <c r="BT286" s="1"/>
      <c r="BU286" s="4"/>
    </row>
    <row r="287">
      <c r="A287" s="1"/>
      <c r="M287" s="1"/>
      <c r="Y287" s="1"/>
      <c r="AK287" s="1"/>
      <c r="AQ287" s="1"/>
      <c r="AW287" s="1"/>
      <c r="BC287" s="1"/>
      <c r="BD287" s="1"/>
      <c r="BE287" s="1"/>
      <c r="BF287" s="1"/>
      <c r="BG287" s="1"/>
      <c r="BH287" s="1"/>
      <c r="BI287" s="1"/>
      <c r="BO287" s="1"/>
      <c r="BP287" s="1"/>
      <c r="BQ287" s="1"/>
      <c r="BR287" s="1"/>
      <c r="BS287" s="1"/>
      <c r="BT287" s="1"/>
      <c r="BU287" s="4"/>
    </row>
    <row r="288">
      <c r="A288" s="1"/>
      <c r="M288" s="1"/>
      <c r="Y288" s="1"/>
      <c r="AK288" s="1"/>
      <c r="AQ288" s="1"/>
      <c r="AW288" s="1"/>
      <c r="BC288" s="1"/>
      <c r="BD288" s="1"/>
      <c r="BE288" s="1"/>
      <c r="BF288" s="1"/>
      <c r="BG288" s="1"/>
      <c r="BH288" s="1"/>
      <c r="BI288" s="1"/>
      <c r="BO288" s="1"/>
      <c r="BP288" s="1"/>
      <c r="BQ288" s="1"/>
      <c r="BR288" s="1"/>
      <c r="BS288" s="1"/>
      <c r="BT288" s="1"/>
      <c r="BU288" s="4"/>
    </row>
    <row r="289">
      <c r="A289" s="1"/>
      <c r="M289" s="1"/>
      <c r="Y289" s="1"/>
      <c r="AK289" s="1"/>
      <c r="AQ289" s="1"/>
      <c r="AW289" s="1"/>
      <c r="BC289" s="1"/>
      <c r="BD289" s="1"/>
      <c r="BE289" s="1"/>
      <c r="BF289" s="1"/>
      <c r="BG289" s="1"/>
      <c r="BH289" s="1"/>
      <c r="BI289" s="1"/>
      <c r="BO289" s="1"/>
      <c r="BP289" s="1"/>
      <c r="BQ289" s="1"/>
      <c r="BR289" s="1"/>
      <c r="BS289" s="1"/>
      <c r="BT289" s="1"/>
      <c r="BU289" s="4"/>
    </row>
    <row r="290">
      <c r="A290" s="1"/>
      <c r="M290" s="1"/>
      <c r="Y290" s="1"/>
      <c r="AK290" s="1"/>
      <c r="AQ290" s="1"/>
      <c r="AW290" s="1"/>
      <c r="BC290" s="1"/>
      <c r="BD290" s="1"/>
      <c r="BE290" s="1"/>
      <c r="BF290" s="1"/>
      <c r="BG290" s="1"/>
      <c r="BH290" s="1"/>
      <c r="BI290" s="1"/>
      <c r="BO290" s="1"/>
      <c r="BP290" s="1"/>
      <c r="BQ290" s="1"/>
      <c r="BR290" s="1"/>
      <c r="BS290" s="1"/>
      <c r="BT290" s="1"/>
      <c r="BU290" s="4"/>
    </row>
    <row r="291">
      <c r="A291" s="1"/>
      <c r="M291" s="1"/>
      <c r="Y291" s="1"/>
      <c r="AK291" s="1"/>
      <c r="AQ291" s="1"/>
      <c r="AW291" s="1"/>
      <c r="BC291" s="1"/>
      <c r="BD291" s="1"/>
      <c r="BE291" s="1"/>
      <c r="BF291" s="1"/>
      <c r="BG291" s="1"/>
      <c r="BH291" s="1"/>
      <c r="BI291" s="1"/>
      <c r="BO291" s="1"/>
      <c r="BP291" s="1"/>
      <c r="BQ291" s="1"/>
      <c r="BR291" s="1"/>
      <c r="BS291" s="1"/>
      <c r="BT291" s="1"/>
      <c r="BU291" s="4"/>
    </row>
    <row r="292">
      <c r="A292" s="1"/>
      <c r="M292" s="1"/>
      <c r="Y292" s="1"/>
      <c r="AK292" s="1"/>
      <c r="AQ292" s="1"/>
      <c r="AW292" s="1"/>
      <c r="BC292" s="1"/>
      <c r="BD292" s="1"/>
      <c r="BE292" s="1"/>
      <c r="BF292" s="1"/>
      <c r="BG292" s="1"/>
      <c r="BH292" s="1"/>
      <c r="BI292" s="1"/>
      <c r="BO292" s="1"/>
      <c r="BP292" s="1"/>
      <c r="BQ292" s="1"/>
      <c r="BR292" s="1"/>
      <c r="BS292" s="1"/>
      <c r="BT292" s="1"/>
      <c r="BU292" s="4"/>
    </row>
    <row r="293">
      <c r="A293" s="1"/>
      <c r="M293" s="1"/>
      <c r="Y293" s="1"/>
      <c r="AK293" s="1"/>
      <c r="AQ293" s="1"/>
      <c r="AW293" s="1"/>
      <c r="BC293" s="1"/>
      <c r="BD293" s="1"/>
      <c r="BE293" s="1"/>
      <c r="BF293" s="1"/>
      <c r="BG293" s="1"/>
      <c r="BH293" s="1"/>
      <c r="BI293" s="1"/>
      <c r="BO293" s="1"/>
      <c r="BP293" s="1"/>
      <c r="BQ293" s="1"/>
      <c r="BR293" s="1"/>
      <c r="BS293" s="1"/>
      <c r="BT293" s="1"/>
      <c r="BU293" s="4"/>
    </row>
    <row r="294">
      <c r="A294" s="1"/>
      <c r="M294" s="1"/>
      <c r="Y294" s="1"/>
      <c r="AK294" s="1"/>
      <c r="AQ294" s="1"/>
      <c r="AW294" s="1"/>
      <c r="BC294" s="1"/>
      <c r="BD294" s="1"/>
      <c r="BE294" s="1"/>
      <c r="BF294" s="1"/>
      <c r="BG294" s="1"/>
      <c r="BH294" s="1"/>
      <c r="BI294" s="1"/>
      <c r="BO294" s="1"/>
      <c r="BP294" s="1"/>
      <c r="BQ294" s="1"/>
      <c r="BR294" s="1"/>
      <c r="BS294" s="1"/>
      <c r="BT294" s="1"/>
      <c r="BU294" s="4"/>
    </row>
    <row r="295">
      <c r="A295" s="1"/>
      <c r="M295" s="1"/>
      <c r="Y295" s="1"/>
      <c r="AK295" s="1"/>
      <c r="AQ295" s="1"/>
      <c r="AW295" s="1"/>
      <c r="BC295" s="1"/>
      <c r="BD295" s="1"/>
      <c r="BE295" s="1"/>
      <c r="BF295" s="1"/>
      <c r="BG295" s="1"/>
      <c r="BH295" s="1"/>
      <c r="BI295" s="1"/>
      <c r="BO295" s="1"/>
      <c r="BP295" s="1"/>
      <c r="BQ295" s="1"/>
      <c r="BR295" s="1"/>
      <c r="BS295" s="1"/>
      <c r="BT295" s="1"/>
      <c r="BU295" s="4"/>
    </row>
    <row r="296">
      <c r="A296" s="1"/>
      <c r="M296" s="1"/>
      <c r="Y296" s="1"/>
      <c r="AK296" s="1"/>
      <c r="AQ296" s="1"/>
      <c r="AW296" s="1"/>
      <c r="BC296" s="1"/>
      <c r="BD296" s="1"/>
      <c r="BE296" s="1"/>
      <c r="BF296" s="1"/>
      <c r="BG296" s="1"/>
      <c r="BH296" s="1"/>
      <c r="BI296" s="1"/>
      <c r="BO296" s="1"/>
      <c r="BP296" s="1"/>
      <c r="BQ296" s="1"/>
      <c r="BR296" s="1"/>
      <c r="BS296" s="1"/>
      <c r="BT296" s="1"/>
      <c r="BU296" s="4"/>
    </row>
    <row r="297">
      <c r="A297" s="1"/>
      <c r="M297" s="1"/>
      <c r="Y297" s="1"/>
      <c r="AK297" s="1"/>
      <c r="AQ297" s="1"/>
      <c r="AW297" s="1"/>
      <c r="BC297" s="1"/>
      <c r="BD297" s="1"/>
      <c r="BE297" s="1"/>
      <c r="BF297" s="1"/>
      <c r="BG297" s="1"/>
      <c r="BH297" s="1"/>
      <c r="BI297" s="1"/>
      <c r="BO297" s="1"/>
      <c r="BP297" s="1"/>
      <c r="BQ297" s="1"/>
      <c r="BR297" s="1"/>
      <c r="BS297" s="1"/>
      <c r="BT297" s="1"/>
      <c r="BU297" s="4"/>
    </row>
    <row r="298">
      <c r="A298" s="1"/>
      <c r="M298" s="1"/>
      <c r="Y298" s="1"/>
      <c r="AK298" s="1"/>
      <c r="AQ298" s="1"/>
      <c r="AW298" s="1"/>
      <c r="BC298" s="1"/>
      <c r="BD298" s="1"/>
      <c r="BE298" s="1"/>
      <c r="BF298" s="1"/>
      <c r="BG298" s="1"/>
      <c r="BH298" s="1"/>
      <c r="BI298" s="1"/>
      <c r="BO298" s="1"/>
      <c r="BP298" s="1"/>
      <c r="BQ298" s="1"/>
      <c r="BR298" s="1"/>
      <c r="BS298" s="1"/>
      <c r="BT298" s="1"/>
      <c r="BU298" s="4"/>
    </row>
    <row r="299">
      <c r="A299" s="1"/>
      <c r="M299" s="1"/>
      <c r="Y299" s="1"/>
      <c r="AK299" s="1"/>
      <c r="AQ299" s="1"/>
      <c r="AW299" s="1"/>
      <c r="BC299" s="1"/>
      <c r="BD299" s="1"/>
      <c r="BE299" s="1"/>
      <c r="BF299" s="1"/>
      <c r="BG299" s="1"/>
      <c r="BH299" s="1"/>
      <c r="BI299" s="1"/>
      <c r="BO299" s="1"/>
      <c r="BP299" s="1"/>
      <c r="BQ299" s="1"/>
      <c r="BR299" s="1"/>
      <c r="BS299" s="1"/>
      <c r="BT299" s="1"/>
      <c r="BU299" s="4"/>
    </row>
    <row r="300">
      <c r="A300" s="1"/>
      <c r="M300" s="1"/>
      <c r="Y300" s="1"/>
      <c r="AK300" s="1"/>
      <c r="AQ300" s="1"/>
      <c r="AW300" s="1"/>
      <c r="BC300" s="1"/>
      <c r="BD300" s="1"/>
      <c r="BE300" s="1"/>
      <c r="BF300" s="1"/>
      <c r="BG300" s="1"/>
      <c r="BH300" s="1"/>
      <c r="BI300" s="1"/>
      <c r="BO300" s="1"/>
      <c r="BP300" s="1"/>
      <c r="BQ300" s="1"/>
      <c r="BR300" s="1"/>
      <c r="BS300" s="1"/>
      <c r="BT300" s="1"/>
      <c r="BU300" s="4"/>
    </row>
    <row r="301">
      <c r="A301" s="1"/>
      <c r="M301" s="1"/>
      <c r="Y301" s="1"/>
      <c r="AK301" s="1"/>
      <c r="AQ301" s="1"/>
      <c r="AW301" s="1"/>
      <c r="BC301" s="1"/>
      <c r="BD301" s="1"/>
      <c r="BE301" s="1"/>
      <c r="BF301" s="1"/>
      <c r="BG301" s="1"/>
      <c r="BH301" s="1"/>
      <c r="BI301" s="1"/>
      <c r="BO301" s="1"/>
      <c r="BP301" s="1"/>
      <c r="BQ301" s="1"/>
      <c r="BR301" s="1"/>
      <c r="BS301" s="1"/>
      <c r="BT301" s="1"/>
      <c r="BU301" s="4"/>
    </row>
    <row r="302">
      <c r="A302" s="1"/>
      <c r="M302" s="1"/>
      <c r="Y302" s="1"/>
      <c r="AK302" s="1"/>
      <c r="AQ302" s="1"/>
      <c r="AW302" s="1"/>
      <c r="BC302" s="1"/>
      <c r="BD302" s="1"/>
      <c r="BE302" s="1"/>
      <c r="BF302" s="1"/>
      <c r="BG302" s="1"/>
      <c r="BH302" s="1"/>
      <c r="BI302" s="1"/>
      <c r="BO302" s="1"/>
      <c r="BP302" s="1"/>
      <c r="BQ302" s="1"/>
      <c r="BR302" s="1"/>
      <c r="BS302" s="1"/>
      <c r="BT302" s="1"/>
      <c r="BU302" s="4"/>
    </row>
    <row r="303">
      <c r="A303" s="1"/>
      <c r="M303" s="1"/>
      <c r="Y303" s="1"/>
      <c r="AK303" s="1"/>
      <c r="AQ303" s="1"/>
      <c r="AW303" s="1"/>
      <c r="BC303" s="1"/>
      <c r="BD303" s="1"/>
      <c r="BE303" s="1"/>
      <c r="BF303" s="1"/>
      <c r="BG303" s="1"/>
      <c r="BH303" s="1"/>
      <c r="BI303" s="1"/>
      <c r="BO303" s="1"/>
      <c r="BP303" s="1"/>
      <c r="BQ303" s="1"/>
      <c r="BR303" s="1"/>
      <c r="BS303" s="1"/>
      <c r="BT303" s="1"/>
      <c r="BU303" s="4"/>
    </row>
    <row r="304">
      <c r="A304" s="1"/>
      <c r="M304" s="1"/>
      <c r="Y304" s="1"/>
      <c r="AK304" s="1"/>
      <c r="AQ304" s="1"/>
      <c r="AW304" s="1"/>
      <c r="BC304" s="1"/>
      <c r="BD304" s="1"/>
      <c r="BE304" s="1"/>
      <c r="BF304" s="1"/>
      <c r="BG304" s="1"/>
      <c r="BH304" s="1"/>
      <c r="BI304" s="1"/>
      <c r="BO304" s="1"/>
      <c r="BP304" s="1"/>
      <c r="BQ304" s="1"/>
      <c r="BR304" s="1"/>
      <c r="BS304" s="1"/>
      <c r="BT304" s="1"/>
      <c r="BU304" s="4"/>
    </row>
    <row r="305">
      <c r="A305" s="1"/>
      <c r="M305" s="1"/>
      <c r="Y305" s="1"/>
      <c r="AK305" s="1"/>
      <c r="AQ305" s="1"/>
      <c r="AW305" s="1"/>
      <c r="BC305" s="1"/>
      <c r="BD305" s="1"/>
      <c r="BE305" s="1"/>
      <c r="BF305" s="1"/>
      <c r="BG305" s="1"/>
      <c r="BH305" s="1"/>
      <c r="BI305" s="1"/>
      <c r="BO305" s="1"/>
      <c r="BP305" s="1"/>
      <c r="BQ305" s="1"/>
      <c r="BR305" s="1"/>
      <c r="BS305" s="1"/>
      <c r="BT305" s="1"/>
      <c r="BU305" s="4"/>
    </row>
    <row r="306">
      <c r="A306" s="1"/>
      <c r="M306" s="1"/>
      <c r="Y306" s="1"/>
      <c r="AK306" s="1"/>
      <c r="AQ306" s="1"/>
      <c r="AW306" s="1"/>
      <c r="BC306" s="1"/>
      <c r="BD306" s="1"/>
      <c r="BE306" s="1"/>
      <c r="BF306" s="1"/>
      <c r="BG306" s="1"/>
      <c r="BH306" s="1"/>
      <c r="BI306" s="1"/>
      <c r="BO306" s="1"/>
      <c r="BP306" s="1"/>
      <c r="BQ306" s="1"/>
      <c r="BR306" s="1"/>
      <c r="BS306" s="1"/>
      <c r="BT306" s="1"/>
      <c r="BU306" s="4"/>
    </row>
    <row r="307">
      <c r="A307" s="1"/>
      <c r="M307" s="1"/>
      <c r="Y307" s="1"/>
      <c r="AK307" s="1"/>
      <c r="AQ307" s="1"/>
      <c r="AW307" s="1"/>
      <c r="BC307" s="1"/>
      <c r="BD307" s="1"/>
      <c r="BE307" s="1"/>
      <c r="BF307" s="1"/>
      <c r="BG307" s="1"/>
      <c r="BH307" s="1"/>
      <c r="BI307" s="1"/>
      <c r="BO307" s="1"/>
      <c r="BP307" s="1"/>
      <c r="BQ307" s="1"/>
      <c r="BR307" s="1"/>
      <c r="BS307" s="1"/>
      <c r="BT307" s="1"/>
      <c r="BU307" s="4"/>
    </row>
    <row r="308">
      <c r="A308" s="1"/>
      <c r="M308" s="1"/>
      <c r="Y308" s="1"/>
      <c r="AK308" s="1"/>
      <c r="AQ308" s="1"/>
      <c r="AW308" s="1"/>
      <c r="BC308" s="1"/>
      <c r="BD308" s="1"/>
      <c r="BE308" s="1"/>
      <c r="BF308" s="1"/>
      <c r="BG308" s="1"/>
      <c r="BH308" s="1"/>
      <c r="BI308" s="1"/>
      <c r="BO308" s="1"/>
      <c r="BP308" s="1"/>
      <c r="BQ308" s="1"/>
      <c r="BR308" s="1"/>
      <c r="BS308" s="1"/>
      <c r="BT308" s="1"/>
      <c r="BU308" s="4"/>
    </row>
    <row r="309">
      <c r="A309" s="1"/>
      <c r="M309" s="1"/>
      <c r="Y309" s="1"/>
      <c r="AK309" s="1"/>
      <c r="AQ309" s="1"/>
      <c r="AW309" s="1"/>
      <c r="BC309" s="1"/>
      <c r="BD309" s="1"/>
      <c r="BE309" s="1"/>
      <c r="BF309" s="1"/>
      <c r="BG309" s="1"/>
      <c r="BH309" s="1"/>
      <c r="BI309" s="1"/>
      <c r="BO309" s="1"/>
      <c r="BP309" s="1"/>
      <c r="BQ309" s="1"/>
      <c r="BR309" s="1"/>
      <c r="BS309" s="1"/>
      <c r="BT309" s="1"/>
      <c r="BU309" s="4"/>
    </row>
    <row r="310">
      <c r="A310" s="1"/>
      <c r="M310" s="1"/>
      <c r="Y310" s="1"/>
      <c r="AK310" s="1"/>
      <c r="AQ310" s="1"/>
      <c r="AW310" s="1"/>
      <c r="BC310" s="1"/>
      <c r="BD310" s="1"/>
      <c r="BE310" s="1"/>
      <c r="BF310" s="1"/>
      <c r="BG310" s="1"/>
      <c r="BH310" s="1"/>
      <c r="BI310" s="1"/>
      <c r="BO310" s="1"/>
      <c r="BP310" s="1"/>
      <c r="BQ310" s="1"/>
      <c r="BR310" s="1"/>
      <c r="BS310" s="1"/>
      <c r="BT310" s="1"/>
      <c r="BU310" s="4"/>
    </row>
    <row r="311">
      <c r="A311" s="1"/>
      <c r="M311" s="1"/>
      <c r="Y311" s="1"/>
      <c r="AK311" s="1"/>
      <c r="AQ311" s="1"/>
      <c r="AW311" s="1"/>
      <c r="BC311" s="1"/>
      <c r="BD311" s="1"/>
      <c r="BE311" s="1"/>
      <c r="BF311" s="1"/>
      <c r="BG311" s="1"/>
      <c r="BH311" s="1"/>
      <c r="BI311" s="1"/>
      <c r="BO311" s="1"/>
      <c r="BP311" s="1"/>
      <c r="BQ311" s="1"/>
      <c r="BR311" s="1"/>
      <c r="BS311" s="1"/>
      <c r="BT311" s="1"/>
      <c r="BU311" s="4"/>
    </row>
    <row r="312">
      <c r="A312" s="1"/>
      <c r="M312" s="1"/>
      <c r="Y312" s="1"/>
      <c r="AK312" s="1"/>
      <c r="AQ312" s="1"/>
      <c r="AW312" s="1"/>
      <c r="BC312" s="1"/>
      <c r="BD312" s="1"/>
      <c r="BE312" s="1"/>
      <c r="BF312" s="1"/>
      <c r="BG312" s="1"/>
      <c r="BH312" s="1"/>
      <c r="BI312" s="1"/>
      <c r="BO312" s="1"/>
      <c r="BP312" s="1"/>
      <c r="BQ312" s="1"/>
      <c r="BR312" s="1"/>
      <c r="BS312" s="1"/>
      <c r="BT312" s="1"/>
      <c r="BU312" s="4"/>
    </row>
    <row r="313">
      <c r="A313" s="1"/>
      <c r="M313" s="1"/>
      <c r="Y313" s="1"/>
      <c r="AK313" s="1"/>
      <c r="AQ313" s="1"/>
      <c r="AW313" s="1"/>
      <c r="BC313" s="1"/>
      <c r="BD313" s="1"/>
      <c r="BE313" s="1"/>
      <c r="BF313" s="1"/>
      <c r="BG313" s="1"/>
      <c r="BH313" s="1"/>
      <c r="BI313" s="1"/>
      <c r="BO313" s="1"/>
      <c r="BP313" s="1"/>
      <c r="BQ313" s="1"/>
      <c r="BR313" s="1"/>
      <c r="BS313" s="1"/>
      <c r="BT313" s="1"/>
      <c r="BU313" s="4"/>
    </row>
    <row r="314">
      <c r="A314" s="1"/>
      <c r="M314" s="1"/>
      <c r="Y314" s="1"/>
      <c r="AK314" s="1"/>
      <c r="AQ314" s="1"/>
      <c r="AW314" s="1"/>
      <c r="BC314" s="1"/>
      <c r="BD314" s="1"/>
      <c r="BE314" s="1"/>
      <c r="BF314" s="1"/>
      <c r="BG314" s="1"/>
      <c r="BH314" s="1"/>
      <c r="BI314" s="1"/>
      <c r="BO314" s="1"/>
      <c r="BP314" s="1"/>
      <c r="BQ314" s="1"/>
      <c r="BR314" s="1"/>
      <c r="BS314" s="1"/>
      <c r="BT314" s="1"/>
      <c r="BU314" s="4"/>
    </row>
    <row r="315">
      <c r="A315" s="1"/>
      <c r="M315" s="1"/>
      <c r="Y315" s="1"/>
      <c r="AK315" s="1"/>
      <c r="AQ315" s="1"/>
      <c r="AW315" s="1"/>
      <c r="BC315" s="1"/>
      <c r="BD315" s="1"/>
      <c r="BE315" s="1"/>
      <c r="BF315" s="1"/>
      <c r="BG315" s="1"/>
      <c r="BH315" s="1"/>
      <c r="BI315" s="1"/>
      <c r="BO315" s="1"/>
      <c r="BP315" s="1"/>
      <c r="BQ315" s="1"/>
      <c r="BR315" s="1"/>
      <c r="BS315" s="1"/>
      <c r="BT315" s="1"/>
      <c r="BU315" s="4"/>
    </row>
    <row r="316">
      <c r="A316" s="1"/>
      <c r="M316" s="1"/>
      <c r="Y316" s="1"/>
      <c r="AK316" s="1"/>
      <c r="AQ316" s="1"/>
      <c r="AW316" s="1"/>
      <c r="BC316" s="1"/>
      <c r="BD316" s="1"/>
      <c r="BE316" s="1"/>
      <c r="BF316" s="1"/>
      <c r="BG316" s="1"/>
      <c r="BH316" s="1"/>
      <c r="BI316" s="1"/>
      <c r="BO316" s="1"/>
      <c r="BP316" s="1"/>
      <c r="BQ316" s="1"/>
      <c r="BR316" s="1"/>
      <c r="BS316" s="1"/>
      <c r="BT316" s="1"/>
      <c r="BU316" s="4"/>
    </row>
    <row r="317">
      <c r="A317" s="1"/>
      <c r="M317" s="1"/>
      <c r="Y317" s="1"/>
      <c r="AK317" s="1"/>
      <c r="AQ317" s="1"/>
      <c r="AW317" s="1"/>
      <c r="BC317" s="1"/>
      <c r="BD317" s="1"/>
      <c r="BE317" s="1"/>
      <c r="BF317" s="1"/>
      <c r="BG317" s="1"/>
      <c r="BH317" s="1"/>
      <c r="BI317" s="1"/>
      <c r="BO317" s="1"/>
      <c r="BP317" s="1"/>
      <c r="BQ317" s="1"/>
      <c r="BR317" s="1"/>
      <c r="BS317" s="1"/>
      <c r="BT317" s="1"/>
      <c r="BU317" s="4"/>
    </row>
    <row r="318">
      <c r="A318" s="1"/>
      <c r="M318" s="1"/>
      <c r="Y318" s="1"/>
      <c r="AK318" s="1"/>
      <c r="AQ318" s="1"/>
      <c r="AW318" s="1"/>
      <c r="BC318" s="1"/>
      <c r="BD318" s="1"/>
      <c r="BE318" s="1"/>
      <c r="BF318" s="1"/>
      <c r="BG318" s="1"/>
      <c r="BH318" s="1"/>
      <c r="BI318" s="1"/>
      <c r="BO318" s="1"/>
      <c r="BP318" s="1"/>
      <c r="BQ318" s="1"/>
      <c r="BR318" s="1"/>
      <c r="BS318" s="1"/>
      <c r="BT318" s="1"/>
      <c r="BU318" s="4"/>
    </row>
    <row r="319">
      <c r="A319" s="1"/>
      <c r="M319" s="1"/>
      <c r="Y319" s="1"/>
      <c r="AK319" s="1"/>
      <c r="AQ319" s="1"/>
      <c r="AW319" s="1"/>
      <c r="BC319" s="1"/>
      <c r="BD319" s="1"/>
      <c r="BE319" s="1"/>
      <c r="BF319" s="1"/>
      <c r="BG319" s="1"/>
      <c r="BH319" s="1"/>
      <c r="BI319" s="1"/>
      <c r="BO319" s="1"/>
      <c r="BP319" s="1"/>
      <c r="BQ319" s="1"/>
      <c r="BR319" s="1"/>
      <c r="BS319" s="1"/>
      <c r="BT319" s="1"/>
      <c r="BU319" s="4"/>
    </row>
    <row r="320">
      <c r="A320" s="1"/>
      <c r="M320" s="1"/>
      <c r="Y320" s="1"/>
      <c r="AK320" s="1"/>
      <c r="AQ320" s="1"/>
      <c r="AW320" s="1"/>
      <c r="BC320" s="1"/>
      <c r="BD320" s="1"/>
      <c r="BE320" s="1"/>
      <c r="BF320" s="1"/>
      <c r="BG320" s="1"/>
      <c r="BH320" s="1"/>
      <c r="BI320" s="1"/>
      <c r="BO320" s="1"/>
      <c r="BP320" s="1"/>
      <c r="BQ320" s="1"/>
      <c r="BR320" s="1"/>
      <c r="BS320" s="1"/>
      <c r="BT320" s="1"/>
      <c r="BU320" s="4"/>
    </row>
    <row r="321">
      <c r="A321" s="1"/>
      <c r="M321" s="1"/>
      <c r="Y321" s="1"/>
      <c r="AK321" s="1"/>
      <c r="AQ321" s="1"/>
      <c r="AW321" s="1"/>
      <c r="BC321" s="1"/>
      <c r="BD321" s="1"/>
      <c r="BE321" s="1"/>
      <c r="BF321" s="1"/>
      <c r="BG321" s="1"/>
      <c r="BH321" s="1"/>
      <c r="BI321" s="1"/>
      <c r="BO321" s="1"/>
      <c r="BP321" s="1"/>
      <c r="BQ321" s="1"/>
      <c r="BR321" s="1"/>
      <c r="BS321" s="1"/>
      <c r="BT321" s="1"/>
      <c r="BU321" s="4"/>
    </row>
    <row r="322">
      <c r="A322" s="1"/>
      <c r="M322" s="1"/>
      <c r="Y322" s="1"/>
      <c r="AK322" s="1"/>
      <c r="AQ322" s="1"/>
      <c r="AW322" s="1"/>
      <c r="BC322" s="1"/>
      <c r="BD322" s="1"/>
      <c r="BE322" s="1"/>
      <c r="BF322" s="1"/>
      <c r="BG322" s="1"/>
      <c r="BH322" s="1"/>
      <c r="BI322" s="1"/>
      <c r="BO322" s="1"/>
      <c r="BP322" s="1"/>
      <c r="BQ322" s="1"/>
      <c r="BR322" s="1"/>
      <c r="BS322" s="1"/>
      <c r="BT322" s="1"/>
      <c r="BU322" s="4"/>
    </row>
    <row r="323">
      <c r="A323" s="1"/>
      <c r="M323" s="1"/>
      <c r="Y323" s="1"/>
      <c r="AK323" s="1"/>
      <c r="AQ323" s="1"/>
      <c r="AW323" s="1"/>
      <c r="BC323" s="1"/>
      <c r="BD323" s="1"/>
      <c r="BE323" s="1"/>
      <c r="BF323" s="1"/>
      <c r="BG323" s="1"/>
      <c r="BH323" s="1"/>
      <c r="BI323" s="1"/>
      <c r="BO323" s="1"/>
      <c r="BP323" s="1"/>
      <c r="BQ323" s="1"/>
      <c r="BR323" s="1"/>
      <c r="BS323" s="1"/>
      <c r="BT323" s="1"/>
      <c r="BU323" s="4"/>
    </row>
    <row r="324">
      <c r="A324" s="1"/>
      <c r="M324" s="1"/>
      <c r="Y324" s="1"/>
      <c r="AK324" s="1"/>
      <c r="AQ324" s="1"/>
      <c r="AW324" s="1"/>
      <c r="BC324" s="1"/>
      <c r="BD324" s="1"/>
      <c r="BE324" s="1"/>
      <c r="BF324" s="1"/>
      <c r="BG324" s="1"/>
      <c r="BH324" s="1"/>
      <c r="BI324" s="1"/>
      <c r="BO324" s="1"/>
      <c r="BP324" s="1"/>
      <c r="BQ324" s="1"/>
      <c r="BR324" s="1"/>
      <c r="BS324" s="1"/>
      <c r="BT324" s="1"/>
      <c r="BU324" s="4"/>
    </row>
    <row r="325">
      <c r="A325" s="1"/>
      <c r="M325" s="1"/>
      <c r="Y325" s="1"/>
      <c r="AK325" s="1"/>
      <c r="AQ325" s="1"/>
      <c r="AW325" s="1"/>
      <c r="BC325" s="1"/>
      <c r="BD325" s="1"/>
      <c r="BE325" s="1"/>
      <c r="BF325" s="1"/>
      <c r="BG325" s="1"/>
      <c r="BH325" s="1"/>
      <c r="BI325" s="1"/>
      <c r="BO325" s="1"/>
      <c r="BP325" s="1"/>
      <c r="BQ325" s="1"/>
      <c r="BR325" s="1"/>
      <c r="BS325" s="1"/>
      <c r="BT325" s="1"/>
      <c r="BU325" s="4"/>
    </row>
    <row r="326">
      <c r="A326" s="1"/>
      <c r="M326" s="1"/>
      <c r="Y326" s="1"/>
      <c r="AK326" s="1"/>
      <c r="AQ326" s="1"/>
      <c r="AW326" s="1"/>
      <c r="BC326" s="1"/>
      <c r="BD326" s="1"/>
      <c r="BE326" s="1"/>
      <c r="BF326" s="1"/>
      <c r="BG326" s="1"/>
      <c r="BH326" s="1"/>
      <c r="BI326" s="1"/>
      <c r="BO326" s="1"/>
      <c r="BP326" s="1"/>
      <c r="BQ326" s="1"/>
      <c r="BR326" s="1"/>
      <c r="BS326" s="1"/>
      <c r="BT326" s="1"/>
      <c r="BU326" s="4"/>
    </row>
    <row r="327">
      <c r="A327" s="1"/>
      <c r="M327" s="1"/>
      <c r="Y327" s="1"/>
      <c r="AK327" s="1"/>
      <c r="AQ327" s="1"/>
      <c r="AW327" s="1"/>
      <c r="BC327" s="1"/>
      <c r="BD327" s="1"/>
      <c r="BE327" s="1"/>
      <c r="BF327" s="1"/>
      <c r="BG327" s="1"/>
      <c r="BH327" s="1"/>
      <c r="BI327" s="1"/>
      <c r="BO327" s="1"/>
      <c r="BP327" s="1"/>
      <c r="BQ327" s="1"/>
      <c r="BR327" s="1"/>
      <c r="BS327" s="1"/>
      <c r="BT327" s="1"/>
      <c r="BU327" s="4"/>
    </row>
    <row r="328">
      <c r="A328" s="1"/>
      <c r="M328" s="1"/>
      <c r="Y328" s="1"/>
      <c r="AK328" s="1"/>
      <c r="AQ328" s="1"/>
      <c r="AW328" s="1"/>
      <c r="BC328" s="1"/>
      <c r="BD328" s="1"/>
      <c r="BE328" s="1"/>
      <c r="BF328" s="1"/>
      <c r="BG328" s="1"/>
      <c r="BH328" s="1"/>
      <c r="BI328" s="1"/>
      <c r="BO328" s="1"/>
      <c r="BP328" s="1"/>
      <c r="BQ328" s="1"/>
      <c r="BR328" s="1"/>
      <c r="BS328" s="1"/>
      <c r="BT328" s="1"/>
      <c r="BU328" s="4"/>
    </row>
    <row r="329">
      <c r="A329" s="1"/>
      <c r="M329" s="1"/>
      <c r="Y329" s="1"/>
      <c r="AK329" s="1"/>
      <c r="AQ329" s="1"/>
      <c r="AW329" s="1"/>
      <c r="BC329" s="1"/>
      <c r="BD329" s="1"/>
      <c r="BE329" s="1"/>
      <c r="BF329" s="1"/>
      <c r="BG329" s="1"/>
      <c r="BH329" s="1"/>
      <c r="BI329" s="1"/>
      <c r="BO329" s="1"/>
      <c r="BP329" s="1"/>
      <c r="BQ329" s="1"/>
      <c r="BR329" s="1"/>
      <c r="BS329" s="1"/>
      <c r="BT329" s="1"/>
      <c r="BU329" s="4"/>
    </row>
    <row r="330">
      <c r="A330" s="1"/>
      <c r="M330" s="1"/>
      <c r="Y330" s="1"/>
      <c r="AK330" s="1"/>
      <c r="AQ330" s="1"/>
      <c r="AW330" s="1"/>
      <c r="BC330" s="1"/>
      <c r="BD330" s="1"/>
      <c r="BE330" s="1"/>
      <c r="BF330" s="1"/>
      <c r="BG330" s="1"/>
      <c r="BH330" s="1"/>
      <c r="BI330" s="1"/>
      <c r="BO330" s="1"/>
      <c r="BP330" s="1"/>
      <c r="BQ330" s="1"/>
      <c r="BR330" s="1"/>
      <c r="BS330" s="1"/>
      <c r="BT330" s="1"/>
      <c r="BU330" s="4"/>
    </row>
    <row r="331">
      <c r="A331" s="1"/>
      <c r="M331" s="1"/>
      <c r="Y331" s="1"/>
      <c r="AK331" s="1"/>
      <c r="AQ331" s="1"/>
      <c r="AW331" s="1"/>
      <c r="BC331" s="1"/>
      <c r="BD331" s="1"/>
      <c r="BE331" s="1"/>
      <c r="BF331" s="1"/>
      <c r="BG331" s="1"/>
      <c r="BH331" s="1"/>
      <c r="BI331" s="1"/>
      <c r="BO331" s="1"/>
      <c r="BP331" s="1"/>
      <c r="BQ331" s="1"/>
      <c r="BR331" s="1"/>
      <c r="BS331" s="1"/>
      <c r="BT331" s="1"/>
      <c r="BU331" s="4"/>
    </row>
    <row r="332">
      <c r="A332" s="1"/>
      <c r="M332" s="1"/>
      <c r="Y332" s="1"/>
      <c r="AK332" s="1"/>
      <c r="AQ332" s="1"/>
      <c r="AW332" s="1"/>
      <c r="BC332" s="1"/>
      <c r="BD332" s="1"/>
      <c r="BE332" s="1"/>
      <c r="BF332" s="1"/>
      <c r="BG332" s="1"/>
      <c r="BH332" s="1"/>
      <c r="BI332" s="1"/>
      <c r="BO332" s="1"/>
      <c r="BP332" s="1"/>
      <c r="BQ332" s="1"/>
      <c r="BR332" s="1"/>
      <c r="BS332" s="1"/>
      <c r="BT332" s="1"/>
      <c r="BU332" s="4"/>
    </row>
    <row r="333">
      <c r="A333" s="1"/>
      <c r="M333" s="1"/>
      <c r="Y333" s="1"/>
      <c r="AK333" s="1"/>
      <c r="AQ333" s="1"/>
      <c r="AW333" s="1"/>
      <c r="BC333" s="1"/>
      <c r="BD333" s="1"/>
      <c r="BE333" s="1"/>
      <c r="BF333" s="1"/>
      <c r="BG333" s="1"/>
      <c r="BH333" s="1"/>
      <c r="BI333" s="1"/>
      <c r="BO333" s="1"/>
      <c r="BP333" s="1"/>
      <c r="BQ333" s="1"/>
      <c r="BR333" s="1"/>
      <c r="BS333" s="1"/>
      <c r="BT333" s="1"/>
      <c r="BU333" s="4"/>
    </row>
    <row r="334">
      <c r="A334" s="1"/>
      <c r="M334" s="1"/>
      <c r="Y334" s="1"/>
      <c r="AK334" s="1"/>
      <c r="AQ334" s="1"/>
      <c r="AW334" s="1"/>
      <c r="BC334" s="1"/>
      <c r="BD334" s="1"/>
      <c r="BE334" s="1"/>
      <c r="BF334" s="1"/>
      <c r="BG334" s="1"/>
      <c r="BH334" s="1"/>
      <c r="BI334" s="1"/>
      <c r="BO334" s="1"/>
      <c r="BP334" s="1"/>
      <c r="BQ334" s="1"/>
      <c r="BR334" s="1"/>
      <c r="BS334" s="1"/>
      <c r="BT334" s="1"/>
      <c r="BU334" s="4"/>
    </row>
    <row r="335">
      <c r="A335" s="1"/>
      <c r="M335" s="1"/>
      <c r="Y335" s="1"/>
      <c r="AK335" s="1"/>
      <c r="AQ335" s="1"/>
      <c r="AW335" s="1"/>
      <c r="BC335" s="1"/>
      <c r="BD335" s="1"/>
      <c r="BE335" s="1"/>
      <c r="BF335" s="1"/>
      <c r="BG335" s="1"/>
      <c r="BH335" s="1"/>
      <c r="BI335" s="1"/>
      <c r="BO335" s="1"/>
      <c r="BP335" s="1"/>
      <c r="BQ335" s="1"/>
      <c r="BR335" s="1"/>
      <c r="BS335" s="1"/>
      <c r="BT335" s="1"/>
      <c r="BU335" s="4"/>
    </row>
    <row r="336">
      <c r="A336" s="1"/>
      <c r="M336" s="1"/>
      <c r="Y336" s="1"/>
      <c r="AK336" s="1"/>
      <c r="AQ336" s="1"/>
      <c r="AW336" s="1"/>
      <c r="BC336" s="1"/>
      <c r="BD336" s="1"/>
      <c r="BE336" s="1"/>
      <c r="BF336" s="1"/>
      <c r="BG336" s="1"/>
      <c r="BH336" s="1"/>
      <c r="BI336" s="1"/>
      <c r="BO336" s="1"/>
      <c r="BP336" s="1"/>
      <c r="BQ336" s="1"/>
      <c r="BR336" s="1"/>
      <c r="BS336" s="1"/>
      <c r="BT336" s="1"/>
      <c r="BU336" s="4"/>
    </row>
    <row r="337">
      <c r="A337" s="1"/>
      <c r="M337" s="1"/>
      <c r="Y337" s="1"/>
      <c r="AK337" s="1"/>
      <c r="AQ337" s="1"/>
      <c r="AW337" s="1"/>
      <c r="BC337" s="1"/>
      <c r="BD337" s="1"/>
      <c r="BE337" s="1"/>
      <c r="BF337" s="1"/>
      <c r="BG337" s="1"/>
      <c r="BH337" s="1"/>
      <c r="BI337" s="1"/>
      <c r="BO337" s="1"/>
      <c r="BP337" s="1"/>
      <c r="BQ337" s="1"/>
      <c r="BR337" s="1"/>
      <c r="BS337" s="1"/>
      <c r="BT337" s="1"/>
      <c r="BU337" s="4"/>
    </row>
    <row r="338">
      <c r="A338" s="1"/>
      <c r="M338" s="1"/>
      <c r="Y338" s="1"/>
      <c r="AK338" s="1"/>
      <c r="AQ338" s="1"/>
      <c r="AW338" s="1"/>
      <c r="BC338" s="1"/>
      <c r="BD338" s="1"/>
      <c r="BE338" s="1"/>
      <c r="BF338" s="1"/>
      <c r="BG338" s="1"/>
      <c r="BH338" s="1"/>
      <c r="BI338" s="1"/>
      <c r="BO338" s="1"/>
      <c r="BP338" s="1"/>
      <c r="BQ338" s="1"/>
      <c r="BR338" s="1"/>
      <c r="BS338" s="1"/>
      <c r="BT338" s="1"/>
      <c r="BU338" s="4"/>
    </row>
    <row r="339">
      <c r="A339" s="1"/>
      <c r="M339" s="1"/>
      <c r="Y339" s="1"/>
      <c r="AK339" s="1"/>
      <c r="AQ339" s="1"/>
      <c r="AW339" s="1"/>
      <c r="BC339" s="1"/>
      <c r="BD339" s="1"/>
      <c r="BE339" s="1"/>
      <c r="BF339" s="1"/>
      <c r="BG339" s="1"/>
      <c r="BH339" s="1"/>
      <c r="BI339" s="1"/>
      <c r="BO339" s="1"/>
      <c r="BP339" s="1"/>
      <c r="BQ339" s="1"/>
      <c r="BR339" s="1"/>
      <c r="BS339" s="1"/>
      <c r="BT339" s="1"/>
      <c r="BU339" s="4"/>
    </row>
    <row r="340">
      <c r="A340" s="1"/>
      <c r="M340" s="1"/>
      <c r="Y340" s="1"/>
      <c r="AK340" s="1"/>
      <c r="AQ340" s="1"/>
      <c r="AW340" s="1"/>
      <c r="BC340" s="1"/>
      <c r="BD340" s="1"/>
      <c r="BE340" s="1"/>
      <c r="BF340" s="1"/>
      <c r="BG340" s="1"/>
      <c r="BH340" s="1"/>
      <c r="BI340" s="1"/>
      <c r="BO340" s="1"/>
      <c r="BP340" s="1"/>
      <c r="BQ340" s="1"/>
      <c r="BR340" s="1"/>
      <c r="BS340" s="1"/>
      <c r="BT340" s="1"/>
      <c r="BU340" s="4"/>
    </row>
    <row r="341">
      <c r="A341" s="1"/>
      <c r="M341" s="1"/>
      <c r="Y341" s="1"/>
      <c r="AK341" s="1"/>
      <c r="AQ341" s="1"/>
      <c r="AW341" s="1"/>
      <c r="BC341" s="1"/>
      <c r="BD341" s="1"/>
      <c r="BE341" s="1"/>
      <c r="BF341" s="1"/>
      <c r="BG341" s="1"/>
      <c r="BH341" s="1"/>
      <c r="BI341" s="1"/>
      <c r="BO341" s="1"/>
      <c r="BP341" s="1"/>
      <c r="BQ341" s="1"/>
      <c r="BR341" s="1"/>
      <c r="BS341" s="1"/>
      <c r="BT341" s="1"/>
      <c r="BU341" s="4"/>
    </row>
    <row r="342">
      <c r="A342" s="1"/>
      <c r="M342" s="1"/>
      <c r="Y342" s="1"/>
      <c r="AK342" s="1"/>
      <c r="AQ342" s="1"/>
      <c r="AW342" s="1"/>
      <c r="BC342" s="1"/>
      <c r="BD342" s="1"/>
      <c r="BE342" s="1"/>
      <c r="BF342" s="1"/>
      <c r="BG342" s="1"/>
      <c r="BH342" s="1"/>
      <c r="BI342" s="1"/>
      <c r="BO342" s="1"/>
      <c r="BP342" s="1"/>
      <c r="BQ342" s="1"/>
      <c r="BR342" s="1"/>
      <c r="BS342" s="1"/>
      <c r="BT342" s="1"/>
      <c r="BU342" s="4"/>
    </row>
    <row r="343">
      <c r="A343" s="1"/>
      <c r="M343" s="1"/>
      <c r="Y343" s="1"/>
      <c r="AK343" s="1"/>
      <c r="AQ343" s="1"/>
      <c r="AW343" s="1"/>
      <c r="BC343" s="1"/>
      <c r="BD343" s="1"/>
      <c r="BE343" s="1"/>
      <c r="BF343" s="1"/>
      <c r="BG343" s="1"/>
      <c r="BH343" s="1"/>
      <c r="BI343" s="1"/>
      <c r="BO343" s="1"/>
      <c r="BP343" s="1"/>
      <c r="BQ343" s="1"/>
      <c r="BR343" s="1"/>
      <c r="BS343" s="1"/>
      <c r="BT343" s="1"/>
      <c r="BU343" s="4"/>
    </row>
    <row r="344">
      <c r="A344" s="1"/>
      <c r="M344" s="1"/>
      <c r="Y344" s="1"/>
      <c r="AK344" s="1"/>
      <c r="AQ344" s="1"/>
      <c r="AW344" s="1"/>
      <c r="BC344" s="1"/>
      <c r="BD344" s="1"/>
      <c r="BE344" s="1"/>
      <c r="BF344" s="1"/>
      <c r="BG344" s="1"/>
      <c r="BH344" s="1"/>
      <c r="BI344" s="1"/>
      <c r="BO344" s="1"/>
      <c r="BP344" s="1"/>
      <c r="BQ344" s="1"/>
      <c r="BR344" s="1"/>
      <c r="BS344" s="1"/>
      <c r="BT344" s="1"/>
      <c r="BU344" s="4"/>
    </row>
    <row r="345">
      <c r="A345" s="1"/>
      <c r="M345" s="1"/>
      <c r="Y345" s="1"/>
      <c r="AK345" s="1"/>
      <c r="AQ345" s="1"/>
      <c r="AW345" s="1"/>
      <c r="BC345" s="1"/>
      <c r="BD345" s="1"/>
      <c r="BE345" s="1"/>
      <c r="BF345" s="1"/>
      <c r="BG345" s="1"/>
      <c r="BH345" s="1"/>
      <c r="BI345" s="1"/>
      <c r="BO345" s="1"/>
      <c r="BP345" s="1"/>
      <c r="BQ345" s="1"/>
      <c r="BR345" s="1"/>
      <c r="BS345" s="1"/>
      <c r="BT345" s="1"/>
      <c r="BU345" s="4"/>
    </row>
    <row r="346">
      <c r="A346" s="1"/>
      <c r="M346" s="1"/>
      <c r="Y346" s="1"/>
      <c r="AK346" s="1"/>
      <c r="AQ346" s="1"/>
      <c r="AW346" s="1"/>
      <c r="BC346" s="1"/>
      <c r="BD346" s="1"/>
      <c r="BE346" s="1"/>
      <c r="BF346" s="1"/>
      <c r="BG346" s="1"/>
      <c r="BH346" s="1"/>
      <c r="BI346" s="1"/>
      <c r="BO346" s="1"/>
      <c r="BP346" s="1"/>
      <c r="BQ346" s="1"/>
      <c r="BR346" s="1"/>
      <c r="BS346" s="1"/>
      <c r="BT346" s="1"/>
      <c r="BU346" s="4"/>
    </row>
    <row r="347">
      <c r="A347" s="1"/>
      <c r="M347" s="1"/>
      <c r="Y347" s="1"/>
      <c r="AK347" s="1"/>
      <c r="AQ347" s="1"/>
      <c r="AW347" s="1"/>
      <c r="BC347" s="1"/>
      <c r="BD347" s="1"/>
      <c r="BE347" s="1"/>
      <c r="BF347" s="1"/>
      <c r="BG347" s="1"/>
      <c r="BH347" s="1"/>
      <c r="BI347" s="1"/>
      <c r="BO347" s="1"/>
      <c r="BP347" s="1"/>
      <c r="BQ347" s="1"/>
      <c r="BR347" s="1"/>
      <c r="BS347" s="1"/>
      <c r="BT347" s="1"/>
      <c r="BU347" s="4"/>
    </row>
    <row r="348">
      <c r="A348" s="1"/>
      <c r="M348" s="1"/>
      <c r="Y348" s="1"/>
      <c r="AK348" s="1"/>
      <c r="AQ348" s="1"/>
      <c r="AW348" s="1"/>
      <c r="BC348" s="1"/>
      <c r="BD348" s="1"/>
      <c r="BE348" s="1"/>
      <c r="BF348" s="1"/>
      <c r="BG348" s="1"/>
      <c r="BH348" s="1"/>
      <c r="BI348" s="1"/>
      <c r="BO348" s="1"/>
      <c r="BP348" s="1"/>
      <c r="BQ348" s="1"/>
      <c r="BR348" s="1"/>
      <c r="BS348" s="1"/>
      <c r="BT348" s="1"/>
      <c r="BU348" s="4"/>
    </row>
    <row r="349">
      <c r="A349" s="1"/>
      <c r="M349" s="1"/>
      <c r="Y349" s="1"/>
      <c r="AK349" s="1"/>
      <c r="AQ349" s="1"/>
      <c r="AW349" s="1"/>
      <c r="BC349" s="1"/>
      <c r="BD349" s="1"/>
      <c r="BE349" s="1"/>
      <c r="BF349" s="1"/>
      <c r="BG349" s="1"/>
      <c r="BH349" s="1"/>
      <c r="BI349" s="1"/>
      <c r="BO349" s="1"/>
      <c r="BP349" s="1"/>
      <c r="BQ349" s="1"/>
      <c r="BR349" s="1"/>
      <c r="BS349" s="1"/>
      <c r="BT349" s="1"/>
      <c r="BU349" s="4"/>
    </row>
    <row r="350">
      <c r="A350" s="1"/>
      <c r="M350" s="1"/>
      <c r="Y350" s="1"/>
      <c r="AK350" s="1"/>
      <c r="AQ350" s="1"/>
      <c r="AW350" s="1"/>
      <c r="BC350" s="1"/>
      <c r="BD350" s="1"/>
      <c r="BE350" s="1"/>
      <c r="BF350" s="1"/>
      <c r="BG350" s="1"/>
      <c r="BH350" s="1"/>
      <c r="BI350" s="1"/>
      <c r="BO350" s="1"/>
      <c r="BP350" s="1"/>
      <c r="BQ350" s="1"/>
      <c r="BR350" s="1"/>
      <c r="BS350" s="1"/>
      <c r="BT350" s="1"/>
      <c r="BU350" s="4"/>
    </row>
    <row r="351">
      <c r="A351" s="1"/>
      <c r="M351" s="1"/>
      <c r="Y351" s="1"/>
      <c r="AK351" s="1"/>
      <c r="AQ351" s="1"/>
      <c r="AW351" s="1"/>
      <c r="BC351" s="1"/>
      <c r="BD351" s="1"/>
      <c r="BE351" s="1"/>
      <c r="BF351" s="1"/>
      <c r="BG351" s="1"/>
      <c r="BH351" s="1"/>
      <c r="BI351" s="1"/>
      <c r="BO351" s="1"/>
      <c r="BP351" s="1"/>
      <c r="BQ351" s="1"/>
      <c r="BR351" s="1"/>
      <c r="BS351" s="1"/>
      <c r="BT351" s="1"/>
      <c r="BU351" s="4"/>
    </row>
    <row r="352">
      <c r="A352" s="1"/>
      <c r="M352" s="1"/>
      <c r="Y352" s="1"/>
      <c r="AK352" s="1"/>
      <c r="AQ352" s="1"/>
      <c r="AW352" s="1"/>
      <c r="BC352" s="1"/>
      <c r="BD352" s="1"/>
      <c r="BE352" s="1"/>
      <c r="BF352" s="1"/>
      <c r="BG352" s="1"/>
      <c r="BH352" s="1"/>
      <c r="BI352" s="1"/>
      <c r="BO352" s="1"/>
      <c r="BP352" s="1"/>
      <c r="BQ352" s="1"/>
      <c r="BR352" s="1"/>
      <c r="BS352" s="1"/>
      <c r="BT352" s="1"/>
      <c r="BU352" s="4"/>
    </row>
    <row r="353">
      <c r="A353" s="1"/>
      <c r="M353" s="1"/>
      <c r="Y353" s="1"/>
      <c r="AK353" s="1"/>
      <c r="AQ353" s="1"/>
      <c r="AW353" s="1"/>
      <c r="BC353" s="1"/>
      <c r="BD353" s="1"/>
      <c r="BE353" s="1"/>
      <c r="BF353" s="1"/>
      <c r="BG353" s="1"/>
      <c r="BH353" s="1"/>
      <c r="BI353" s="1"/>
      <c r="BO353" s="1"/>
      <c r="BP353" s="1"/>
      <c r="BQ353" s="1"/>
      <c r="BR353" s="1"/>
      <c r="BS353" s="1"/>
      <c r="BT353" s="1"/>
      <c r="BU353" s="4"/>
    </row>
    <row r="354">
      <c r="A354" s="1"/>
      <c r="M354" s="1"/>
      <c r="Y354" s="1"/>
      <c r="AK354" s="1"/>
      <c r="AQ354" s="1"/>
      <c r="AW354" s="1"/>
      <c r="BC354" s="1"/>
      <c r="BD354" s="1"/>
      <c r="BE354" s="1"/>
      <c r="BF354" s="1"/>
      <c r="BG354" s="1"/>
      <c r="BH354" s="1"/>
      <c r="BI354" s="1"/>
      <c r="BO354" s="1"/>
      <c r="BP354" s="1"/>
      <c r="BQ354" s="1"/>
      <c r="BR354" s="1"/>
      <c r="BS354" s="1"/>
      <c r="BT354" s="1"/>
      <c r="BU354" s="4"/>
    </row>
    <row r="355">
      <c r="A355" s="1"/>
      <c r="M355" s="1"/>
      <c r="Y355" s="1"/>
      <c r="AK355" s="1"/>
      <c r="AQ355" s="1"/>
      <c r="AW355" s="1"/>
      <c r="BC355" s="1"/>
      <c r="BD355" s="1"/>
      <c r="BE355" s="1"/>
      <c r="BF355" s="1"/>
      <c r="BG355" s="1"/>
      <c r="BH355" s="1"/>
      <c r="BI355" s="1"/>
      <c r="BO355" s="1"/>
      <c r="BP355" s="1"/>
      <c r="BQ355" s="1"/>
      <c r="BR355" s="1"/>
      <c r="BS355" s="1"/>
      <c r="BT355" s="1"/>
      <c r="BU355" s="4"/>
    </row>
    <row r="356">
      <c r="A356" s="1"/>
      <c r="M356" s="1"/>
      <c r="Y356" s="1"/>
      <c r="AK356" s="1"/>
      <c r="AQ356" s="1"/>
      <c r="AW356" s="1"/>
      <c r="BC356" s="1"/>
      <c r="BD356" s="1"/>
      <c r="BE356" s="1"/>
      <c r="BF356" s="1"/>
      <c r="BG356" s="1"/>
      <c r="BH356" s="1"/>
      <c r="BI356" s="1"/>
      <c r="BO356" s="1"/>
      <c r="BP356" s="1"/>
      <c r="BQ356" s="1"/>
      <c r="BR356" s="1"/>
      <c r="BS356" s="1"/>
      <c r="BT356" s="1"/>
      <c r="BU356" s="4"/>
    </row>
    <row r="357">
      <c r="A357" s="1"/>
      <c r="M357" s="1"/>
      <c r="Y357" s="1"/>
      <c r="AK357" s="1"/>
      <c r="AQ357" s="1"/>
      <c r="AW357" s="1"/>
      <c r="BC357" s="1"/>
      <c r="BD357" s="1"/>
      <c r="BE357" s="1"/>
      <c r="BF357" s="1"/>
      <c r="BG357" s="1"/>
      <c r="BH357" s="1"/>
      <c r="BI357" s="1"/>
      <c r="BO357" s="1"/>
      <c r="BP357" s="1"/>
      <c r="BQ357" s="1"/>
      <c r="BR357" s="1"/>
      <c r="BS357" s="1"/>
      <c r="BT357" s="1"/>
      <c r="BU357" s="4"/>
    </row>
    <row r="358">
      <c r="A358" s="1"/>
      <c r="M358" s="1"/>
      <c r="Y358" s="1"/>
      <c r="AK358" s="1"/>
      <c r="AQ358" s="1"/>
      <c r="AW358" s="1"/>
      <c r="BC358" s="1"/>
      <c r="BD358" s="1"/>
      <c r="BE358" s="1"/>
      <c r="BF358" s="1"/>
      <c r="BG358" s="1"/>
      <c r="BH358" s="1"/>
      <c r="BI358" s="1"/>
      <c r="BO358" s="1"/>
      <c r="BP358" s="1"/>
      <c r="BQ358" s="1"/>
      <c r="BR358" s="1"/>
      <c r="BS358" s="1"/>
      <c r="BT358" s="1"/>
      <c r="BU358" s="4"/>
    </row>
    <row r="359">
      <c r="A359" s="1"/>
      <c r="M359" s="1"/>
      <c r="Y359" s="1"/>
      <c r="AK359" s="1"/>
      <c r="AQ359" s="1"/>
      <c r="AW359" s="1"/>
      <c r="BC359" s="1"/>
      <c r="BD359" s="1"/>
      <c r="BE359" s="1"/>
      <c r="BF359" s="1"/>
      <c r="BG359" s="1"/>
      <c r="BH359" s="1"/>
      <c r="BI359" s="1"/>
      <c r="BO359" s="1"/>
      <c r="BP359" s="1"/>
      <c r="BQ359" s="1"/>
      <c r="BR359" s="1"/>
      <c r="BS359" s="1"/>
      <c r="BT359" s="1"/>
      <c r="BU359" s="4"/>
    </row>
    <row r="360">
      <c r="A360" s="1"/>
      <c r="M360" s="1"/>
      <c r="Y360" s="1"/>
      <c r="AK360" s="1"/>
      <c r="AQ360" s="1"/>
      <c r="AW360" s="1"/>
      <c r="BC360" s="1"/>
      <c r="BD360" s="1"/>
      <c r="BE360" s="1"/>
      <c r="BF360" s="1"/>
      <c r="BG360" s="1"/>
      <c r="BH360" s="1"/>
      <c r="BI360" s="1"/>
      <c r="BO360" s="1"/>
      <c r="BP360" s="1"/>
      <c r="BQ360" s="1"/>
      <c r="BR360" s="1"/>
      <c r="BS360" s="1"/>
      <c r="BT360" s="1"/>
      <c r="BU360" s="4"/>
    </row>
    <row r="361">
      <c r="A361" s="1"/>
      <c r="M361" s="1"/>
      <c r="Y361" s="1"/>
      <c r="AK361" s="1"/>
      <c r="AQ361" s="1"/>
      <c r="AW361" s="1"/>
      <c r="BC361" s="1"/>
      <c r="BD361" s="1"/>
      <c r="BE361" s="1"/>
      <c r="BF361" s="1"/>
      <c r="BG361" s="1"/>
      <c r="BH361" s="1"/>
      <c r="BI361" s="1"/>
      <c r="BO361" s="1"/>
      <c r="BP361" s="1"/>
      <c r="BQ361" s="1"/>
      <c r="BR361" s="1"/>
      <c r="BS361" s="1"/>
      <c r="BT361" s="1"/>
      <c r="BU361" s="4"/>
    </row>
    <row r="362">
      <c r="A362" s="1"/>
      <c r="M362" s="1"/>
      <c r="Y362" s="1"/>
      <c r="AK362" s="1"/>
      <c r="AQ362" s="1"/>
      <c r="AW362" s="1"/>
      <c r="BC362" s="1"/>
      <c r="BD362" s="1"/>
      <c r="BE362" s="1"/>
      <c r="BF362" s="1"/>
      <c r="BG362" s="1"/>
      <c r="BH362" s="1"/>
      <c r="BI362" s="1"/>
      <c r="BO362" s="1"/>
      <c r="BP362" s="1"/>
      <c r="BQ362" s="1"/>
      <c r="BR362" s="1"/>
      <c r="BS362" s="1"/>
      <c r="BT362" s="1"/>
      <c r="BU362" s="4"/>
    </row>
    <row r="363">
      <c r="A363" s="1"/>
      <c r="M363" s="1"/>
      <c r="Y363" s="1"/>
      <c r="AK363" s="1"/>
      <c r="AQ363" s="1"/>
      <c r="AW363" s="1"/>
      <c r="BC363" s="1"/>
      <c r="BD363" s="1"/>
      <c r="BE363" s="1"/>
      <c r="BF363" s="1"/>
      <c r="BG363" s="1"/>
      <c r="BH363" s="1"/>
      <c r="BI363" s="1"/>
      <c r="BO363" s="1"/>
      <c r="BP363" s="1"/>
      <c r="BQ363" s="1"/>
      <c r="BR363" s="1"/>
      <c r="BS363" s="1"/>
      <c r="BT363" s="1"/>
      <c r="BU363" s="4"/>
    </row>
    <row r="364">
      <c r="A364" s="1"/>
      <c r="M364" s="1"/>
      <c r="Y364" s="1"/>
      <c r="AK364" s="1"/>
      <c r="AQ364" s="1"/>
      <c r="AW364" s="1"/>
      <c r="BC364" s="1"/>
      <c r="BD364" s="1"/>
      <c r="BE364" s="1"/>
      <c r="BF364" s="1"/>
      <c r="BG364" s="1"/>
      <c r="BH364" s="1"/>
      <c r="BI364" s="1"/>
      <c r="BO364" s="1"/>
      <c r="BP364" s="1"/>
      <c r="BQ364" s="1"/>
      <c r="BR364" s="1"/>
      <c r="BS364" s="1"/>
      <c r="BT364" s="1"/>
      <c r="BU364" s="4"/>
    </row>
    <row r="365">
      <c r="A365" s="1"/>
      <c r="M365" s="1"/>
      <c r="Y365" s="1"/>
      <c r="AK365" s="1"/>
      <c r="AQ365" s="1"/>
      <c r="AW365" s="1"/>
      <c r="BC365" s="1"/>
      <c r="BD365" s="1"/>
      <c r="BE365" s="1"/>
      <c r="BF365" s="1"/>
      <c r="BG365" s="1"/>
      <c r="BH365" s="1"/>
      <c r="BI365" s="1"/>
      <c r="BO365" s="1"/>
      <c r="BP365" s="1"/>
      <c r="BQ365" s="1"/>
      <c r="BR365" s="1"/>
      <c r="BS365" s="1"/>
      <c r="BT365" s="1"/>
      <c r="BU365" s="4"/>
    </row>
    <row r="366">
      <c r="A366" s="1"/>
      <c r="M366" s="1"/>
      <c r="Y366" s="1"/>
      <c r="AK366" s="1"/>
      <c r="AQ366" s="1"/>
      <c r="AW366" s="1"/>
      <c r="BC366" s="1"/>
      <c r="BD366" s="1"/>
      <c r="BE366" s="1"/>
      <c r="BF366" s="1"/>
      <c r="BG366" s="1"/>
      <c r="BH366" s="1"/>
      <c r="BI366" s="1"/>
      <c r="BO366" s="1"/>
      <c r="BP366" s="1"/>
      <c r="BQ366" s="1"/>
      <c r="BR366" s="1"/>
      <c r="BS366" s="1"/>
      <c r="BT366" s="1"/>
      <c r="BU366" s="4"/>
    </row>
    <row r="367">
      <c r="A367" s="1"/>
      <c r="M367" s="1"/>
      <c r="Y367" s="1"/>
      <c r="AK367" s="1"/>
      <c r="AQ367" s="1"/>
      <c r="AW367" s="1"/>
      <c r="BC367" s="1"/>
      <c r="BD367" s="1"/>
      <c r="BE367" s="1"/>
      <c r="BF367" s="1"/>
      <c r="BG367" s="1"/>
      <c r="BH367" s="1"/>
      <c r="BI367" s="1"/>
      <c r="BO367" s="1"/>
      <c r="BP367" s="1"/>
      <c r="BQ367" s="1"/>
      <c r="BR367" s="1"/>
      <c r="BS367" s="1"/>
      <c r="BT367" s="1"/>
      <c r="BU367" s="4"/>
    </row>
    <row r="368">
      <c r="A368" s="1"/>
      <c r="M368" s="1"/>
      <c r="Y368" s="1"/>
      <c r="AK368" s="1"/>
      <c r="AQ368" s="1"/>
      <c r="AW368" s="1"/>
      <c r="BC368" s="1"/>
      <c r="BD368" s="1"/>
      <c r="BE368" s="1"/>
      <c r="BF368" s="1"/>
      <c r="BG368" s="1"/>
      <c r="BH368" s="1"/>
      <c r="BI368" s="1"/>
      <c r="BO368" s="1"/>
      <c r="BP368" s="1"/>
      <c r="BQ368" s="1"/>
      <c r="BR368" s="1"/>
      <c r="BS368" s="1"/>
      <c r="BT368" s="1"/>
      <c r="BU368" s="4"/>
    </row>
    <row r="369">
      <c r="A369" s="1"/>
      <c r="M369" s="1"/>
      <c r="Y369" s="1"/>
      <c r="AK369" s="1"/>
      <c r="AQ369" s="1"/>
      <c r="AW369" s="1"/>
      <c r="BC369" s="1"/>
      <c r="BD369" s="1"/>
      <c r="BE369" s="1"/>
      <c r="BF369" s="1"/>
      <c r="BG369" s="1"/>
      <c r="BH369" s="1"/>
      <c r="BI369" s="1"/>
      <c r="BO369" s="1"/>
      <c r="BP369" s="1"/>
      <c r="BQ369" s="1"/>
      <c r="BR369" s="1"/>
      <c r="BS369" s="1"/>
      <c r="BT369" s="1"/>
      <c r="BU369" s="4"/>
    </row>
    <row r="370">
      <c r="A370" s="1"/>
      <c r="M370" s="1"/>
      <c r="Y370" s="1"/>
      <c r="AK370" s="1"/>
      <c r="AQ370" s="1"/>
      <c r="AW370" s="1"/>
      <c r="BC370" s="1"/>
      <c r="BD370" s="1"/>
      <c r="BE370" s="1"/>
      <c r="BF370" s="1"/>
      <c r="BG370" s="1"/>
      <c r="BH370" s="1"/>
      <c r="BI370" s="1"/>
      <c r="BO370" s="1"/>
      <c r="BP370" s="1"/>
      <c r="BQ370" s="1"/>
      <c r="BR370" s="1"/>
      <c r="BS370" s="1"/>
      <c r="BT370" s="1"/>
      <c r="BU370" s="4"/>
    </row>
    <row r="371">
      <c r="A371" s="1"/>
      <c r="M371" s="1"/>
      <c r="Y371" s="1"/>
      <c r="AK371" s="1"/>
      <c r="AQ371" s="1"/>
      <c r="AW371" s="1"/>
      <c r="BC371" s="1"/>
      <c r="BD371" s="1"/>
      <c r="BE371" s="1"/>
      <c r="BF371" s="1"/>
      <c r="BG371" s="1"/>
      <c r="BH371" s="1"/>
      <c r="BI371" s="1"/>
      <c r="BO371" s="1"/>
      <c r="BP371" s="1"/>
      <c r="BQ371" s="1"/>
      <c r="BR371" s="1"/>
      <c r="BS371" s="1"/>
      <c r="BT371" s="1"/>
      <c r="BU371" s="4"/>
    </row>
    <row r="372">
      <c r="A372" s="1"/>
      <c r="M372" s="1"/>
      <c r="Y372" s="1"/>
      <c r="AK372" s="1"/>
      <c r="AQ372" s="1"/>
      <c r="AW372" s="1"/>
      <c r="BC372" s="1"/>
      <c r="BD372" s="1"/>
      <c r="BE372" s="1"/>
      <c r="BF372" s="1"/>
      <c r="BG372" s="1"/>
      <c r="BH372" s="1"/>
      <c r="BI372" s="1"/>
      <c r="BO372" s="1"/>
      <c r="BP372" s="1"/>
      <c r="BQ372" s="1"/>
      <c r="BR372" s="1"/>
      <c r="BS372" s="1"/>
      <c r="BT372" s="1"/>
      <c r="BU372" s="4"/>
    </row>
    <row r="373">
      <c r="A373" s="1"/>
      <c r="M373" s="1"/>
      <c r="Y373" s="1"/>
      <c r="AK373" s="1"/>
      <c r="AQ373" s="1"/>
      <c r="AW373" s="1"/>
      <c r="BC373" s="1"/>
      <c r="BD373" s="1"/>
      <c r="BE373" s="1"/>
      <c r="BF373" s="1"/>
      <c r="BG373" s="1"/>
      <c r="BH373" s="1"/>
      <c r="BI373" s="1"/>
      <c r="BO373" s="1"/>
      <c r="BP373" s="1"/>
      <c r="BQ373" s="1"/>
      <c r="BR373" s="1"/>
      <c r="BS373" s="1"/>
      <c r="BT373" s="1"/>
      <c r="BU373" s="4"/>
    </row>
    <row r="374">
      <c r="A374" s="1"/>
      <c r="M374" s="1"/>
      <c r="Y374" s="1"/>
      <c r="AK374" s="1"/>
      <c r="AQ374" s="1"/>
      <c r="AW374" s="1"/>
      <c r="BC374" s="1"/>
      <c r="BD374" s="1"/>
      <c r="BE374" s="1"/>
      <c r="BF374" s="1"/>
      <c r="BG374" s="1"/>
      <c r="BH374" s="1"/>
      <c r="BI374" s="1"/>
      <c r="BO374" s="1"/>
      <c r="BP374" s="1"/>
      <c r="BQ374" s="1"/>
      <c r="BR374" s="1"/>
      <c r="BS374" s="1"/>
      <c r="BT374" s="1"/>
      <c r="BU374" s="4"/>
    </row>
    <row r="375">
      <c r="A375" s="1"/>
      <c r="M375" s="1"/>
      <c r="Y375" s="1"/>
      <c r="AK375" s="1"/>
      <c r="AQ375" s="1"/>
      <c r="AW375" s="1"/>
      <c r="BC375" s="1"/>
      <c r="BD375" s="1"/>
      <c r="BE375" s="1"/>
      <c r="BF375" s="1"/>
      <c r="BG375" s="1"/>
      <c r="BH375" s="1"/>
      <c r="BI375" s="1"/>
      <c r="BO375" s="1"/>
      <c r="BP375" s="1"/>
      <c r="BQ375" s="1"/>
      <c r="BR375" s="1"/>
      <c r="BS375" s="1"/>
      <c r="BT375" s="1"/>
      <c r="BU375" s="4"/>
    </row>
    <row r="376">
      <c r="A376" s="1"/>
      <c r="M376" s="1"/>
      <c r="Y376" s="1"/>
      <c r="AK376" s="1"/>
      <c r="AQ376" s="1"/>
      <c r="AW376" s="1"/>
      <c r="BC376" s="1"/>
      <c r="BD376" s="1"/>
      <c r="BE376" s="1"/>
      <c r="BF376" s="1"/>
      <c r="BG376" s="1"/>
      <c r="BH376" s="1"/>
      <c r="BI376" s="1"/>
      <c r="BO376" s="1"/>
      <c r="BP376" s="1"/>
      <c r="BQ376" s="1"/>
      <c r="BR376" s="1"/>
      <c r="BS376" s="1"/>
      <c r="BT376" s="1"/>
      <c r="BU376" s="4"/>
    </row>
    <row r="377">
      <c r="A377" s="1"/>
      <c r="M377" s="1"/>
      <c r="Y377" s="1"/>
      <c r="AK377" s="1"/>
      <c r="AQ377" s="1"/>
      <c r="AW377" s="1"/>
      <c r="BC377" s="1"/>
      <c r="BD377" s="1"/>
      <c r="BE377" s="1"/>
      <c r="BF377" s="1"/>
      <c r="BG377" s="1"/>
      <c r="BH377" s="1"/>
      <c r="BI377" s="1"/>
      <c r="BO377" s="1"/>
      <c r="BP377" s="1"/>
      <c r="BQ377" s="1"/>
      <c r="BR377" s="1"/>
      <c r="BS377" s="1"/>
      <c r="BT377" s="1"/>
      <c r="BU377" s="4"/>
    </row>
    <row r="378">
      <c r="A378" s="1"/>
      <c r="M378" s="1"/>
      <c r="Y378" s="1"/>
      <c r="AK378" s="1"/>
      <c r="AQ378" s="1"/>
      <c r="AW378" s="1"/>
      <c r="BC378" s="1"/>
      <c r="BD378" s="1"/>
      <c r="BE378" s="1"/>
      <c r="BF378" s="1"/>
      <c r="BG378" s="1"/>
      <c r="BH378" s="1"/>
      <c r="BI378" s="1"/>
      <c r="BO378" s="1"/>
      <c r="BP378" s="1"/>
      <c r="BQ378" s="1"/>
      <c r="BR378" s="1"/>
      <c r="BS378" s="1"/>
      <c r="BT378" s="1"/>
      <c r="BU378" s="4"/>
    </row>
    <row r="379">
      <c r="A379" s="1"/>
      <c r="M379" s="1"/>
      <c r="Y379" s="1"/>
      <c r="AK379" s="1"/>
      <c r="AQ379" s="1"/>
      <c r="AW379" s="1"/>
      <c r="BC379" s="1"/>
      <c r="BD379" s="1"/>
      <c r="BE379" s="1"/>
      <c r="BF379" s="1"/>
      <c r="BG379" s="1"/>
      <c r="BH379" s="1"/>
      <c r="BI379" s="1"/>
      <c r="BO379" s="1"/>
      <c r="BP379" s="1"/>
      <c r="BQ379" s="1"/>
      <c r="BR379" s="1"/>
      <c r="BS379" s="1"/>
      <c r="BT379" s="1"/>
      <c r="BU379" s="4"/>
    </row>
    <row r="380">
      <c r="A380" s="1"/>
      <c r="M380" s="1"/>
      <c r="Y380" s="1"/>
      <c r="AK380" s="1"/>
      <c r="AQ380" s="1"/>
      <c r="AW380" s="1"/>
      <c r="BC380" s="1"/>
      <c r="BD380" s="1"/>
      <c r="BE380" s="1"/>
      <c r="BF380" s="1"/>
      <c r="BG380" s="1"/>
      <c r="BH380" s="1"/>
      <c r="BI380" s="1"/>
      <c r="BO380" s="1"/>
      <c r="BP380" s="1"/>
      <c r="BQ380" s="1"/>
      <c r="BR380" s="1"/>
      <c r="BS380" s="1"/>
      <c r="BT380" s="1"/>
      <c r="BU380" s="4"/>
    </row>
    <row r="381">
      <c r="A381" s="1"/>
      <c r="M381" s="1"/>
      <c r="Y381" s="1"/>
      <c r="AK381" s="1"/>
      <c r="AQ381" s="1"/>
      <c r="AW381" s="1"/>
      <c r="BC381" s="1"/>
      <c r="BD381" s="1"/>
      <c r="BE381" s="1"/>
      <c r="BF381" s="1"/>
      <c r="BG381" s="1"/>
      <c r="BH381" s="1"/>
      <c r="BI381" s="1"/>
      <c r="BO381" s="1"/>
      <c r="BP381" s="1"/>
      <c r="BQ381" s="1"/>
      <c r="BR381" s="1"/>
      <c r="BS381" s="1"/>
      <c r="BT381" s="1"/>
      <c r="BU381" s="4"/>
    </row>
    <row r="382">
      <c r="A382" s="1"/>
      <c r="M382" s="1"/>
      <c r="Y382" s="1"/>
      <c r="AK382" s="1"/>
      <c r="AQ382" s="1"/>
      <c r="AW382" s="1"/>
      <c r="BC382" s="1"/>
      <c r="BD382" s="1"/>
      <c r="BE382" s="1"/>
      <c r="BF382" s="1"/>
      <c r="BG382" s="1"/>
      <c r="BH382" s="1"/>
      <c r="BI382" s="1"/>
      <c r="BO382" s="1"/>
      <c r="BP382" s="1"/>
      <c r="BQ382" s="1"/>
      <c r="BR382" s="1"/>
      <c r="BS382" s="1"/>
      <c r="BT382" s="1"/>
      <c r="BU382" s="4"/>
    </row>
    <row r="383">
      <c r="A383" s="1"/>
      <c r="M383" s="1"/>
      <c r="Y383" s="1"/>
      <c r="AK383" s="1"/>
      <c r="AQ383" s="1"/>
      <c r="AW383" s="1"/>
      <c r="BC383" s="1"/>
      <c r="BD383" s="1"/>
      <c r="BE383" s="1"/>
      <c r="BF383" s="1"/>
      <c r="BG383" s="1"/>
      <c r="BH383" s="1"/>
      <c r="BI383" s="1"/>
      <c r="BO383" s="1"/>
      <c r="BP383" s="1"/>
      <c r="BQ383" s="1"/>
      <c r="BR383" s="1"/>
      <c r="BS383" s="1"/>
      <c r="BT383" s="1"/>
      <c r="BU383" s="4"/>
    </row>
    <row r="384">
      <c r="A384" s="1"/>
      <c r="M384" s="1"/>
      <c r="Y384" s="1"/>
      <c r="AK384" s="1"/>
      <c r="AQ384" s="1"/>
      <c r="AW384" s="1"/>
      <c r="BC384" s="1"/>
      <c r="BD384" s="1"/>
      <c r="BE384" s="1"/>
      <c r="BF384" s="1"/>
      <c r="BG384" s="1"/>
      <c r="BH384" s="1"/>
      <c r="BI384" s="1"/>
      <c r="BO384" s="1"/>
      <c r="BP384" s="1"/>
      <c r="BQ384" s="1"/>
      <c r="BR384" s="1"/>
      <c r="BS384" s="1"/>
      <c r="BT384" s="1"/>
      <c r="BU384" s="4"/>
    </row>
    <row r="385">
      <c r="A385" s="1"/>
      <c r="M385" s="1"/>
      <c r="Y385" s="1"/>
      <c r="AK385" s="1"/>
      <c r="AQ385" s="1"/>
      <c r="AW385" s="1"/>
      <c r="BC385" s="1"/>
      <c r="BD385" s="1"/>
      <c r="BE385" s="1"/>
      <c r="BF385" s="1"/>
      <c r="BG385" s="1"/>
      <c r="BH385" s="1"/>
      <c r="BI385" s="1"/>
      <c r="BO385" s="1"/>
      <c r="BP385" s="1"/>
      <c r="BQ385" s="1"/>
      <c r="BR385" s="1"/>
      <c r="BS385" s="1"/>
      <c r="BT385" s="1"/>
      <c r="BU385" s="4"/>
    </row>
    <row r="386">
      <c r="A386" s="1"/>
      <c r="M386" s="1"/>
      <c r="Y386" s="1"/>
      <c r="AK386" s="1"/>
      <c r="AQ386" s="1"/>
      <c r="AW386" s="1"/>
      <c r="BC386" s="1"/>
      <c r="BD386" s="1"/>
      <c r="BE386" s="1"/>
      <c r="BF386" s="1"/>
      <c r="BG386" s="1"/>
      <c r="BH386" s="1"/>
      <c r="BI386" s="1"/>
      <c r="BO386" s="1"/>
      <c r="BP386" s="1"/>
      <c r="BQ386" s="1"/>
      <c r="BR386" s="1"/>
      <c r="BS386" s="1"/>
      <c r="BT386" s="1"/>
      <c r="BU386" s="4"/>
    </row>
    <row r="387">
      <c r="A387" s="1"/>
      <c r="M387" s="1"/>
      <c r="Y387" s="1"/>
      <c r="AK387" s="1"/>
      <c r="AQ387" s="1"/>
      <c r="AW387" s="1"/>
      <c r="BC387" s="1"/>
      <c r="BD387" s="1"/>
      <c r="BE387" s="1"/>
      <c r="BF387" s="1"/>
      <c r="BG387" s="1"/>
      <c r="BH387" s="1"/>
      <c r="BI387" s="1"/>
      <c r="BO387" s="1"/>
      <c r="BP387" s="1"/>
      <c r="BQ387" s="1"/>
      <c r="BR387" s="1"/>
      <c r="BS387" s="1"/>
      <c r="BT387" s="1"/>
      <c r="BU387" s="4"/>
    </row>
    <row r="388">
      <c r="A388" s="1"/>
      <c r="M388" s="1"/>
      <c r="Y388" s="1"/>
      <c r="AK388" s="1"/>
      <c r="AQ388" s="1"/>
      <c r="AW388" s="1"/>
      <c r="BC388" s="1"/>
      <c r="BD388" s="1"/>
      <c r="BE388" s="1"/>
      <c r="BF388" s="1"/>
      <c r="BG388" s="1"/>
      <c r="BH388" s="1"/>
      <c r="BI388" s="1"/>
      <c r="BO388" s="1"/>
      <c r="BP388" s="1"/>
      <c r="BQ388" s="1"/>
      <c r="BR388" s="1"/>
      <c r="BS388" s="1"/>
      <c r="BT388" s="1"/>
      <c r="BU388" s="4"/>
    </row>
    <row r="389">
      <c r="A389" s="1"/>
      <c r="M389" s="1"/>
      <c r="Y389" s="1"/>
      <c r="AK389" s="1"/>
      <c r="AQ389" s="1"/>
      <c r="AW389" s="1"/>
      <c r="BC389" s="1"/>
      <c r="BD389" s="1"/>
      <c r="BE389" s="1"/>
      <c r="BF389" s="1"/>
      <c r="BG389" s="1"/>
      <c r="BH389" s="1"/>
      <c r="BI389" s="1"/>
      <c r="BO389" s="1"/>
      <c r="BP389" s="1"/>
      <c r="BQ389" s="1"/>
      <c r="BR389" s="1"/>
      <c r="BS389" s="1"/>
      <c r="BT389" s="1"/>
      <c r="BU389" s="4"/>
    </row>
    <row r="390">
      <c r="A390" s="1"/>
      <c r="M390" s="1"/>
      <c r="Y390" s="1"/>
      <c r="AK390" s="1"/>
      <c r="AQ390" s="1"/>
      <c r="AW390" s="1"/>
      <c r="BC390" s="1"/>
      <c r="BD390" s="1"/>
      <c r="BE390" s="1"/>
      <c r="BF390" s="1"/>
      <c r="BG390" s="1"/>
      <c r="BH390" s="1"/>
      <c r="BI390" s="1"/>
      <c r="BO390" s="1"/>
      <c r="BP390" s="1"/>
      <c r="BQ390" s="1"/>
      <c r="BR390" s="1"/>
      <c r="BS390" s="1"/>
      <c r="BT390" s="1"/>
      <c r="BU390" s="4"/>
    </row>
    <row r="391">
      <c r="A391" s="1"/>
      <c r="M391" s="1"/>
      <c r="Y391" s="1"/>
      <c r="AK391" s="1"/>
      <c r="AQ391" s="1"/>
      <c r="AW391" s="1"/>
      <c r="BC391" s="1"/>
      <c r="BD391" s="1"/>
      <c r="BE391" s="1"/>
      <c r="BF391" s="1"/>
      <c r="BG391" s="1"/>
      <c r="BH391" s="1"/>
      <c r="BI391" s="1"/>
      <c r="BO391" s="1"/>
      <c r="BP391" s="1"/>
      <c r="BQ391" s="1"/>
      <c r="BR391" s="1"/>
      <c r="BS391" s="1"/>
      <c r="BT391" s="1"/>
      <c r="BU391" s="4"/>
    </row>
    <row r="392">
      <c r="A392" s="1"/>
      <c r="M392" s="1"/>
      <c r="Y392" s="1"/>
      <c r="AK392" s="1"/>
      <c r="AQ392" s="1"/>
      <c r="AW392" s="1"/>
      <c r="BC392" s="1"/>
      <c r="BD392" s="1"/>
      <c r="BE392" s="1"/>
      <c r="BF392" s="1"/>
      <c r="BG392" s="1"/>
      <c r="BH392" s="1"/>
      <c r="BI392" s="1"/>
      <c r="BO392" s="1"/>
      <c r="BP392" s="1"/>
      <c r="BQ392" s="1"/>
      <c r="BR392" s="1"/>
      <c r="BS392" s="1"/>
      <c r="BT392" s="1"/>
      <c r="BU392" s="4"/>
    </row>
    <row r="393">
      <c r="A393" s="1"/>
      <c r="M393" s="1"/>
      <c r="Y393" s="1"/>
      <c r="AK393" s="1"/>
      <c r="AQ393" s="1"/>
      <c r="AW393" s="1"/>
      <c r="BC393" s="1"/>
      <c r="BD393" s="1"/>
      <c r="BE393" s="1"/>
      <c r="BF393" s="1"/>
      <c r="BG393" s="1"/>
      <c r="BH393" s="1"/>
      <c r="BI393" s="1"/>
      <c r="BO393" s="1"/>
      <c r="BP393" s="1"/>
      <c r="BQ393" s="1"/>
      <c r="BR393" s="1"/>
      <c r="BS393" s="1"/>
      <c r="BT393" s="1"/>
      <c r="BU393" s="4"/>
    </row>
    <row r="394">
      <c r="A394" s="1"/>
      <c r="M394" s="1"/>
      <c r="Y394" s="1"/>
      <c r="AK394" s="1"/>
      <c r="AQ394" s="1"/>
      <c r="AW394" s="1"/>
      <c r="BC394" s="1"/>
      <c r="BD394" s="1"/>
      <c r="BE394" s="1"/>
      <c r="BF394" s="1"/>
      <c r="BG394" s="1"/>
      <c r="BH394" s="1"/>
      <c r="BI394" s="1"/>
      <c r="BO394" s="1"/>
      <c r="BP394" s="1"/>
      <c r="BQ394" s="1"/>
      <c r="BR394" s="1"/>
      <c r="BS394" s="1"/>
      <c r="BT394" s="1"/>
      <c r="BU394" s="4"/>
    </row>
    <row r="395">
      <c r="A395" s="1"/>
      <c r="M395" s="1"/>
      <c r="Y395" s="1"/>
      <c r="AK395" s="1"/>
      <c r="AQ395" s="1"/>
      <c r="AW395" s="1"/>
      <c r="BC395" s="1"/>
      <c r="BD395" s="1"/>
      <c r="BE395" s="1"/>
      <c r="BF395" s="1"/>
      <c r="BG395" s="1"/>
      <c r="BH395" s="1"/>
      <c r="BI395" s="1"/>
      <c r="BO395" s="1"/>
      <c r="BP395" s="1"/>
      <c r="BQ395" s="1"/>
      <c r="BR395" s="1"/>
      <c r="BS395" s="1"/>
      <c r="BT395" s="1"/>
      <c r="BU395" s="4"/>
    </row>
    <row r="396">
      <c r="A396" s="1"/>
      <c r="M396" s="1"/>
      <c r="Y396" s="1"/>
      <c r="AK396" s="1"/>
      <c r="AQ396" s="1"/>
      <c r="AW396" s="1"/>
      <c r="BC396" s="1"/>
      <c r="BD396" s="1"/>
      <c r="BE396" s="1"/>
      <c r="BF396" s="1"/>
      <c r="BG396" s="1"/>
      <c r="BH396" s="1"/>
      <c r="BI396" s="1"/>
      <c r="BO396" s="1"/>
      <c r="BP396" s="1"/>
      <c r="BQ396" s="1"/>
      <c r="BR396" s="1"/>
      <c r="BS396" s="1"/>
      <c r="BT396" s="1"/>
      <c r="BU396" s="4"/>
    </row>
    <row r="397">
      <c r="A397" s="1"/>
      <c r="M397" s="1"/>
      <c r="Y397" s="1"/>
      <c r="AK397" s="1"/>
      <c r="AQ397" s="1"/>
      <c r="AW397" s="1"/>
      <c r="BC397" s="1"/>
      <c r="BD397" s="1"/>
      <c r="BE397" s="1"/>
      <c r="BF397" s="1"/>
      <c r="BG397" s="1"/>
      <c r="BH397" s="1"/>
      <c r="BI397" s="1"/>
      <c r="BO397" s="1"/>
      <c r="BP397" s="1"/>
      <c r="BQ397" s="1"/>
      <c r="BR397" s="1"/>
      <c r="BS397" s="1"/>
      <c r="BT397" s="1"/>
      <c r="BU397" s="4"/>
    </row>
    <row r="398">
      <c r="A398" s="1"/>
      <c r="M398" s="1"/>
      <c r="Y398" s="1"/>
      <c r="AK398" s="1"/>
      <c r="AQ398" s="1"/>
      <c r="AW398" s="1"/>
      <c r="BC398" s="1"/>
      <c r="BD398" s="1"/>
      <c r="BE398" s="1"/>
      <c r="BF398" s="1"/>
      <c r="BG398" s="1"/>
      <c r="BH398" s="1"/>
      <c r="BI398" s="1"/>
      <c r="BO398" s="1"/>
      <c r="BP398" s="1"/>
      <c r="BQ398" s="1"/>
      <c r="BR398" s="1"/>
      <c r="BS398" s="1"/>
      <c r="BT398" s="1"/>
      <c r="BU398" s="4"/>
    </row>
    <row r="399">
      <c r="A399" s="1"/>
      <c r="M399" s="1"/>
      <c r="Y399" s="1"/>
      <c r="AK399" s="1"/>
      <c r="AQ399" s="1"/>
      <c r="AW399" s="1"/>
      <c r="BC399" s="1"/>
      <c r="BD399" s="1"/>
      <c r="BE399" s="1"/>
      <c r="BF399" s="1"/>
      <c r="BG399" s="1"/>
      <c r="BH399" s="1"/>
      <c r="BI399" s="1"/>
      <c r="BO399" s="1"/>
      <c r="BP399" s="1"/>
      <c r="BQ399" s="1"/>
      <c r="BR399" s="1"/>
      <c r="BS399" s="1"/>
      <c r="BT399" s="1"/>
      <c r="BU399" s="4"/>
    </row>
    <row r="400">
      <c r="A400" s="1"/>
      <c r="M400" s="1"/>
      <c r="Y400" s="1"/>
      <c r="AK400" s="1"/>
      <c r="AQ400" s="1"/>
      <c r="AW400" s="1"/>
      <c r="BC400" s="1"/>
      <c r="BD400" s="1"/>
      <c r="BE400" s="1"/>
      <c r="BF400" s="1"/>
      <c r="BG400" s="1"/>
      <c r="BH400" s="1"/>
      <c r="BI400" s="1"/>
      <c r="BO400" s="1"/>
      <c r="BP400" s="1"/>
      <c r="BQ400" s="1"/>
      <c r="BR400" s="1"/>
      <c r="BS400" s="1"/>
      <c r="BT400" s="1"/>
      <c r="BU400" s="4"/>
    </row>
    <row r="401">
      <c r="A401" s="1"/>
      <c r="M401" s="1"/>
      <c r="Y401" s="1"/>
      <c r="AK401" s="1"/>
      <c r="AQ401" s="1"/>
      <c r="AW401" s="1"/>
      <c r="BC401" s="1"/>
      <c r="BD401" s="1"/>
      <c r="BE401" s="1"/>
      <c r="BF401" s="1"/>
      <c r="BG401" s="1"/>
      <c r="BH401" s="1"/>
      <c r="BI401" s="1"/>
      <c r="BO401" s="1"/>
      <c r="BP401" s="1"/>
      <c r="BQ401" s="1"/>
      <c r="BR401" s="1"/>
      <c r="BS401" s="1"/>
      <c r="BT401" s="1"/>
      <c r="BU401" s="4"/>
    </row>
    <row r="402">
      <c r="A402" s="1"/>
      <c r="M402" s="1"/>
      <c r="Y402" s="1"/>
      <c r="AK402" s="1"/>
      <c r="AQ402" s="1"/>
      <c r="AW402" s="1"/>
      <c r="BC402" s="1"/>
      <c r="BD402" s="1"/>
      <c r="BE402" s="1"/>
      <c r="BF402" s="1"/>
      <c r="BG402" s="1"/>
      <c r="BH402" s="1"/>
      <c r="BI402" s="1"/>
      <c r="BO402" s="1"/>
      <c r="BP402" s="1"/>
      <c r="BQ402" s="1"/>
      <c r="BR402" s="1"/>
      <c r="BS402" s="1"/>
      <c r="BT402" s="1"/>
      <c r="BU402" s="4"/>
    </row>
    <row r="403">
      <c r="A403" s="1"/>
      <c r="M403" s="1"/>
      <c r="Y403" s="1"/>
      <c r="AK403" s="1"/>
      <c r="AQ403" s="1"/>
      <c r="AW403" s="1"/>
      <c r="BC403" s="1"/>
      <c r="BD403" s="1"/>
      <c r="BE403" s="1"/>
      <c r="BF403" s="1"/>
      <c r="BG403" s="1"/>
      <c r="BH403" s="1"/>
      <c r="BI403" s="1"/>
      <c r="BO403" s="1"/>
      <c r="BP403" s="1"/>
      <c r="BQ403" s="1"/>
      <c r="BR403" s="1"/>
      <c r="BS403" s="1"/>
      <c r="BT403" s="1"/>
      <c r="BU403" s="4"/>
    </row>
    <row r="404">
      <c r="A404" s="1"/>
      <c r="M404" s="1"/>
      <c r="Y404" s="1"/>
      <c r="AK404" s="1"/>
      <c r="AQ404" s="1"/>
      <c r="AW404" s="1"/>
      <c r="BC404" s="1"/>
      <c r="BD404" s="1"/>
      <c r="BE404" s="1"/>
      <c r="BF404" s="1"/>
      <c r="BG404" s="1"/>
      <c r="BH404" s="1"/>
      <c r="BI404" s="1"/>
      <c r="BO404" s="1"/>
      <c r="BP404" s="1"/>
      <c r="BQ404" s="1"/>
      <c r="BR404" s="1"/>
      <c r="BS404" s="1"/>
      <c r="BT404" s="1"/>
      <c r="BU404" s="4"/>
    </row>
    <row r="405">
      <c r="A405" s="1"/>
      <c r="M405" s="1"/>
      <c r="Y405" s="1"/>
      <c r="AK405" s="1"/>
      <c r="AQ405" s="1"/>
      <c r="AW405" s="1"/>
      <c r="BC405" s="1"/>
      <c r="BD405" s="1"/>
      <c r="BE405" s="1"/>
      <c r="BF405" s="1"/>
      <c r="BG405" s="1"/>
      <c r="BH405" s="1"/>
      <c r="BI405" s="1"/>
      <c r="BO405" s="1"/>
      <c r="BP405" s="1"/>
      <c r="BQ405" s="1"/>
      <c r="BR405" s="1"/>
      <c r="BS405" s="1"/>
      <c r="BT405" s="1"/>
      <c r="BU405" s="4"/>
    </row>
    <row r="406">
      <c r="A406" s="1"/>
      <c r="M406" s="1"/>
      <c r="Y406" s="1"/>
      <c r="AK406" s="1"/>
      <c r="AQ406" s="1"/>
      <c r="AW406" s="1"/>
      <c r="BC406" s="1"/>
      <c r="BD406" s="1"/>
      <c r="BE406" s="1"/>
      <c r="BF406" s="1"/>
      <c r="BG406" s="1"/>
      <c r="BH406" s="1"/>
      <c r="BI406" s="1"/>
      <c r="BO406" s="1"/>
      <c r="BP406" s="1"/>
      <c r="BQ406" s="1"/>
      <c r="BR406" s="1"/>
      <c r="BS406" s="1"/>
      <c r="BT406" s="1"/>
      <c r="BU406" s="4"/>
    </row>
    <row r="407">
      <c r="A407" s="1"/>
      <c r="M407" s="1"/>
      <c r="Y407" s="1"/>
      <c r="AK407" s="1"/>
      <c r="AQ407" s="1"/>
      <c r="AW407" s="1"/>
      <c r="BC407" s="1"/>
      <c r="BD407" s="1"/>
      <c r="BE407" s="1"/>
      <c r="BF407" s="1"/>
      <c r="BG407" s="1"/>
      <c r="BH407" s="1"/>
      <c r="BI407" s="1"/>
      <c r="BO407" s="1"/>
      <c r="BP407" s="1"/>
      <c r="BQ407" s="1"/>
      <c r="BR407" s="1"/>
      <c r="BS407" s="1"/>
      <c r="BT407" s="1"/>
      <c r="BU407" s="4"/>
    </row>
    <row r="408">
      <c r="A408" s="1"/>
      <c r="M408" s="1"/>
      <c r="Y408" s="1"/>
      <c r="AK408" s="1"/>
      <c r="AQ408" s="1"/>
      <c r="AW408" s="1"/>
      <c r="BC408" s="1"/>
      <c r="BD408" s="1"/>
      <c r="BE408" s="1"/>
      <c r="BF408" s="1"/>
      <c r="BG408" s="1"/>
      <c r="BH408" s="1"/>
      <c r="BI408" s="1"/>
      <c r="BO408" s="1"/>
      <c r="BP408" s="1"/>
      <c r="BQ408" s="1"/>
      <c r="BR408" s="1"/>
      <c r="BS408" s="1"/>
      <c r="BT408" s="1"/>
      <c r="BU408" s="4"/>
    </row>
    <row r="409">
      <c r="A409" s="1"/>
      <c r="M409" s="1"/>
      <c r="Y409" s="1"/>
      <c r="AK409" s="1"/>
      <c r="AQ409" s="1"/>
      <c r="AW409" s="1"/>
      <c r="BC409" s="1"/>
      <c r="BD409" s="1"/>
      <c r="BE409" s="1"/>
      <c r="BF409" s="1"/>
      <c r="BG409" s="1"/>
      <c r="BH409" s="1"/>
      <c r="BI409" s="1"/>
      <c r="BO409" s="1"/>
      <c r="BP409" s="1"/>
      <c r="BQ409" s="1"/>
      <c r="BR409" s="1"/>
      <c r="BS409" s="1"/>
      <c r="BT409" s="1"/>
      <c r="BU409" s="4"/>
    </row>
    <row r="410">
      <c r="A410" s="1"/>
      <c r="M410" s="1"/>
      <c r="Y410" s="1"/>
      <c r="AK410" s="1"/>
      <c r="AQ410" s="1"/>
      <c r="AW410" s="1"/>
      <c r="BC410" s="1"/>
      <c r="BD410" s="1"/>
      <c r="BE410" s="1"/>
      <c r="BF410" s="1"/>
      <c r="BG410" s="1"/>
      <c r="BH410" s="1"/>
      <c r="BI410" s="1"/>
      <c r="BO410" s="1"/>
      <c r="BP410" s="1"/>
      <c r="BQ410" s="1"/>
      <c r="BR410" s="1"/>
      <c r="BS410" s="1"/>
      <c r="BT410" s="1"/>
      <c r="BU410" s="4"/>
    </row>
    <row r="411">
      <c r="A411" s="1"/>
      <c r="M411" s="1"/>
      <c r="Y411" s="1"/>
      <c r="AK411" s="1"/>
      <c r="AQ411" s="1"/>
      <c r="AW411" s="1"/>
      <c r="BC411" s="1"/>
      <c r="BD411" s="1"/>
      <c r="BE411" s="1"/>
      <c r="BF411" s="1"/>
      <c r="BG411" s="1"/>
      <c r="BH411" s="1"/>
      <c r="BI411" s="1"/>
      <c r="BO411" s="1"/>
      <c r="BP411" s="1"/>
      <c r="BQ411" s="1"/>
      <c r="BR411" s="1"/>
      <c r="BS411" s="1"/>
      <c r="BT411" s="1"/>
      <c r="BU411" s="4"/>
    </row>
    <row r="412">
      <c r="A412" s="1"/>
      <c r="M412" s="1"/>
      <c r="Y412" s="1"/>
      <c r="AK412" s="1"/>
      <c r="AQ412" s="1"/>
      <c r="AW412" s="1"/>
      <c r="BC412" s="1"/>
      <c r="BD412" s="1"/>
      <c r="BE412" s="1"/>
      <c r="BF412" s="1"/>
      <c r="BG412" s="1"/>
      <c r="BH412" s="1"/>
      <c r="BI412" s="1"/>
      <c r="BO412" s="1"/>
      <c r="BP412" s="1"/>
      <c r="BQ412" s="1"/>
      <c r="BR412" s="1"/>
      <c r="BS412" s="1"/>
      <c r="BT412" s="1"/>
      <c r="BU412" s="4"/>
    </row>
    <row r="413">
      <c r="A413" s="1"/>
      <c r="M413" s="1"/>
      <c r="Y413" s="1"/>
      <c r="AK413" s="1"/>
      <c r="AQ413" s="1"/>
      <c r="AW413" s="1"/>
      <c r="BC413" s="1"/>
      <c r="BD413" s="1"/>
      <c r="BE413" s="1"/>
      <c r="BF413" s="1"/>
      <c r="BG413" s="1"/>
      <c r="BH413" s="1"/>
      <c r="BI413" s="1"/>
      <c r="BO413" s="1"/>
      <c r="BP413" s="1"/>
      <c r="BQ413" s="1"/>
      <c r="BR413" s="1"/>
      <c r="BS413" s="1"/>
      <c r="BT413" s="1"/>
      <c r="BU413" s="4"/>
    </row>
    <row r="414">
      <c r="A414" s="1"/>
      <c r="M414" s="1"/>
      <c r="Y414" s="1"/>
      <c r="AK414" s="1"/>
      <c r="AQ414" s="1"/>
      <c r="AW414" s="1"/>
      <c r="BC414" s="1"/>
      <c r="BD414" s="1"/>
      <c r="BE414" s="1"/>
      <c r="BF414" s="1"/>
      <c r="BG414" s="1"/>
      <c r="BH414" s="1"/>
      <c r="BI414" s="1"/>
      <c r="BO414" s="1"/>
      <c r="BP414" s="1"/>
      <c r="BQ414" s="1"/>
      <c r="BR414" s="1"/>
      <c r="BS414" s="1"/>
      <c r="BT414" s="1"/>
      <c r="BU414" s="4"/>
    </row>
    <row r="415">
      <c r="A415" s="1"/>
      <c r="M415" s="1"/>
      <c r="Y415" s="1"/>
      <c r="AK415" s="1"/>
      <c r="AQ415" s="1"/>
      <c r="AW415" s="1"/>
      <c r="BC415" s="1"/>
      <c r="BD415" s="1"/>
      <c r="BE415" s="1"/>
      <c r="BF415" s="1"/>
      <c r="BG415" s="1"/>
      <c r="BH415" s="1"/>
      <c r="BI415" s="1"/>
      <c r="BO415" s="1"/>
      <c r="BP415" s="1"/>
      <c r="BQ415" s="1"/>
      <c r="BR415" s="1"/>
      <c r="BS415" s="1"/>
      <c r="BT415" s="1"/>
      <c r="BU415" s="4"/>
    </row>
    <row r="416">
      <c r="A416" s="1"/>
      <c r="M416" s="1"/>
      <c r="Y416" s="1"/>
      <c r="AK416" s="1"/>
      <c r="AQ416" s="1"/>
      <c r="AW416" s="1"/>
      <c r="BC416" s="1"/>
      <c r="BD416" s="1"/>
      <c r="BE416" s="1"/>
      <c r="BF416" s="1"/>
      <c r="BG416" s="1"/>
      <c r="BH416" s="1"/>
      <c r="BI416" s="1"/>
      <c r="BO416" s="1"/>
      <c r="BP416" s="1"/>
      <c r="BQ416" s="1"/>
      <c r="BR416" s="1"/>
      <c r="BS416" s="1"/>
      <c r="BT416" s="1"/>
      <c r="BU416" s="4"/>
    </row>
    <row r="417">
      <c r="A417" s="1"/>
      <c r="M417" s="1"/>
      <c r="Y417" s="1"/>
      <c r="AK417" s="1"/>
      <c r="AQ417" s="1"/>
      <c r="AW417" s="1"/>
      <c r="BC417" s="1"/>
      <c r="BD417" s="1"/>
      <c r="BE417" s="1"/>
      <c r="BF417" s="1"/>
      <c r="BG417" s="1"/>
      <c r="BH417" s="1"/>
      <c r="BI417" s="1"/>
      <c r="BO417" s="1"/>
      <c r="BP417" s="1"/>
      <c r="BQ417" s="1"/>
      <c r="BR417" s="1"/>
      <c r="BS417" s="1"/>
      <c r="BT417" s="1"/>
      <c r="BU417" s="4"/>
    </row>
    <row r="418">
      <c r="A418" s="1"/>
      <c r="M418" s="1"/>
      <c r="Y418" s="1"/>
      <c r="AK418" s="1"/>
      <c r="AQ418" s="1"/>
      <c r="AW418" s="1"/>
      <c r="BC418" s="1"/>
      <c r="BD418" s="1"/>
      <c r="BE418" s="1"/>
      <c r="BF418" s="1"/>
      <c r="BG418" s="1"/>
      <c r="BH418" s="1"/>
      <c r="BI418" s="1"/>
      <c r="BO418" s="1"/>
      <c r="BP418" s="1"/>
      <c r="BQ418" s="1"/>
      <c r="BR418" s="1"/>
      <c r="BS418" s="1"/>
      <c r="BT418" s="1"/>
      <c r="BU418" s="4"/>
    </row>
    <row r="419">
      <c r="A419" s="1"/>
      <c r="M419" s="1"/>
      <c r="Y419" s="1"/>
      <c r="AK419" s="1"/>
      <c r="AQ419" s="1"/>
      <c r="AW419" s="1"/>
      <c r="BC419" s="1"/>
      <c r="BD419" s="1"/>
      <c r="BE419" s="1"/>
      <c r="BF419" s="1"/>
      <c r="BG419" s="1"/>
      <c r="BH419" s="1"/>
      <c r="BI419" s="1"/>
      <c r="BO419" s="1"/>
      <c r="BP419" s="1"/>
      <c r="BQ419" s="1"/>
      <c r="BR419" s="1"/>
      <c r="BS419" s="1"/>
      <c r="BT419" s="1"/>
      <c r="BU419" s="4"/>
    </row>
    <row r="420">
      <c r="A420" s="1"/>
      <c r="M420" s="1"/>
      <c r="Y420" s="1"/>
      <c r="AK420" s="1"/>
      <c r="AQ420" s="1"/>
      <c r="AW420" s="1"/>
      <c r="BC420" s="1"/>
      <c r="BD420" s="1"/>
      <c r="BE420" s="1"/>
      <c r="BF420" s="1"/>
      <c r="BG420" s="1"/>
      <c r="BH420" s="1"/>
      <c r="BI420" s="1"/>
      <c r="BO420" s="1"/>
      <c r="BP420" s="1"/>
      <c r="BQ420" s="1"/>
      <c r="BR420" s="1"/>
      <c r="BS420" s="1"/>
      <c r="BT420" s="1"/>
      <c r="BU420" s="4"/>
    </row>
    <row r="421">
      <c r="A421" s="1"/>
      <c r="M421" s="1"/>
      <c r="Y421" s="1"/>
      <c r="AK421" s="1"/>
      <c r="AQ421" s="1"/>
      <c r="AW421" s="1"/>
      <c r="BC421" s="1"/>
      <c r="BD421" s="1"/>
      <c r="BE421" s="1"/>
      <c r="BF421" s="1"/>
      <c r="BG421" s="1"/>
      <c r="BH421" s="1"/>
      <c r="BI421" s="1"/>
      <c r="BO421" s="1"/>
      <c r="BP421" s="1"/>
      <c r="BQ421" s="1"/>
      <c r="BR421" s="1"/>
      <c r="BS421" s="1"/>
      <c r="BT421" s="1"/>
      <c r="BU421" s="4"/>
    </row>
    <row r="422">
      <c r="A422" s="1"/>
      <c r="M422" s="1"/>
      <c r="Y422" s="1"/>
      <c r="AK422" s="1"/>
      <c r="AQ422" s="1"/>
      <c r="AW422" s="1"/>
      <c r="BC422" s="1"/>
      <c r="BD422" s="1"/>
      <c r="BE422" s="1"/>
      <c r="BF422" s="1"/>
      <c r="BG422" s="1"/>
      <c r="BH422" s="1"/>
      <c r="BI422" s="1"/>
      <c r="BO422" s="1"/>
      <c r="BP422" s="1"/>
      <c r="BQ422" s="1"/>
      <c r="BR422" s="1"/>
      <c r="BS422" s="1"/>
      <c r="BT422" s="1"/>
      <c r="BU422" s="4"/>
    </row>
    <row r="423">
      <c r="A423" s="1"/>
      <c r="M423" s="1"/>
      <c r="Y423" s="1"/>
      <c r="AK423" s="1"/>
      <c r="AQ423" s="1"/>
      <c r="AW423" s="1"/>
      <c r="BC423" s="1"/>
      <c r="BD423" s="1"/>
      <c r="BE423" s="1"/>
      <c r="BF423" s="1"/>
      <c r="BG423" s="1"/>
      <c r="BH423" s="1"/>
      <c r="BI423" s="1"/>
      <c r="BO423" s="1"/>
      <c r="BP423" s="1"/>
      <c r="BQ423" s="1"/>
      <c r="BR423" s="1"/>
      <c r="BS423" s="1"/>
      <c r="BT423" s="1"/>
      <c r="BU423" s="4"/>
    </row>
    <row r="424">
      <c r="A424" s="1"/>
      <c r="M424" s="1"/>
      <c r="Y424" s="1"/>
      <c r="AK424" s="1"/>
      <c r="AQ424" s="1"/>
      <c r="AW424" s="1"/>
      <c r="BC424" s="1"/>
      <c r="BD424" s="1"/>
      <c r="BE424" s="1"/>
      <c r="BF424" s="1"/>
      <c r="BG424" s="1"/>
      <c r="BH424" s="1"/>
      <c r="BI424" s="1"/>
      <c r="BO424" s="1"/>
      <c r="BP424" s="1"/>
      <c r="BQ424" s="1"/>
      <c r="BR424" s="1"/>
      <c r="BS424" s="1"/>
      <c r="BT424" s="1"/>
      <c r="BU424" s="4"/>
    </row>
    <row r="425">
      <c r="A425" s="1"/>
      <c r="M425" s="1"/>
      <c r="Y425" s="1"/>
      <c r="AK425" s="1"/>
      <c r="AQ425" s="1"/>
      <c r="AW425" s="1"/>
      <c r="BC425" s="1"/>
      <c r="BD425" s="1"/>
      <c r="BE425" s="1"/>
      <c r="BF425" s="1"/>
      <c r="BG425" s="1"/>
      <c r="BH425" s="1"/>
      <c r="BI425" s="1"/>
      <c r="BO425" s="1"/>
      <c r="BP425" s="1"/>
      <c r="BQ425" s="1"/>
      <c r="BR425" s="1"/>
      <c r="BS425" s="1"/>
      <c r="BT425" s="1"/>
      <c r="BU425" s="4"/>
    </row>
    <row r="426">
      <c r="A426" s="1"/>
      <c r="M426" s="1"/>
      <c r="Y426" s="1"/>
      <c r="AK426" s="1"/>
      <c r="AQ426" s="1"/>
      <c r="AW426" s="1"/>
      <c r="BC426" s="1"/>
      <c r="BD426" s="1"/>
      <c r="BE426" s="1"/>
      <c r="BF426" s="1"/>
      <c r="BG426" s="1"/>
      <c r="BH426" s="1"/>
      <c r="BI426" s="1"/>
      <c r="BO426" s="1"/>
      <c r="BP426" s="1"/>
      <c r="BQ426" s="1"/>
      <c r="BR426" s="1"/>
      <c r="BS426" s="1"/>
      <c r="BT426" s="1"/>
      <c r="BU426" s="4"/>
    </row>
    <row r="427">
      <c r="A427" s="1"/>
      <c r="M427" s="1"/>
      <c r="Y427" s="1"/>
      <c r="AK427" s="1"/>
      <c r="AQ427" s="1"/>
      <c r="AW427" s="1"/>
      <c r="BC427" s="1"/>
      <c r="BD427" s="1"/>
      <c r="BE427" s="1"/>
      <c r="BF427" s="1"/>
      <c r="BG427" s="1"/>
      <c r="BH427" s="1"/>
      <c r="BI427" s="1"/>
      <c r="BO427" s="1"/>
      <c r="BP427" s="1"/>
      <c r="BQ427" s="1"/>
      <c r="BR427" s="1"/>
      <c r="BS427" s="1"/>
      <c r="BT427" s="1"/>
      <c r="BU427" s="4"/>
    </row>
    <row r="428">
      <c r="A428" s="1"/>
      <c r="M428" s="1"/>
      <c r="Y428" s="1"/>
      <c r="AK428" s="1"/>
      <c r="AQ428" s="1"/>
      <c r="AW428" s="1"/>
      <c r="BC428" s="1"/>
      <c r="BD428" s="1"/>
      <c r="BE428" s="1"/>
      <c r="BF428" s="1"/>
      <c r="BG428" s="1"/>
      <c r="BH428" s="1"/>
      <c r="BI428" s="1"/>
      <c r="BO428" s="1"/>
      <c r="BP428" s="1"/>
      <c r="BQ428" s="1"/>
      <c r="BR428" s="1"/>
      <c r="BS428" s="1"/>
      <c r="BT428" s="1"/>
      <c r="BU428" s="4"/>
    </row>
    <row r="429">
      <c r="A429" s="1"/>
      <c r="M429" s="1"/>
      <c r="Y429" s="1"/>
      <c r="AK429" s="1"/>
      <c r="AQ429" s="1"/>
      <c r="AW429" s="1"/>
      <c r="BC429" s="1"/>
      <c r="BD429" s="1"/>
      <c r="BE429" s="1"/>
      <c r="BF429" s="1"/>
      <c r="BG429" s="1"/>
      <c r="BH429" s="1"/>
      <c r="BI429" s="1"/>
      <c r="BO429" s="1"/>
      <c r="BP429" s="1"/>
      <c r="BQ429" s="1"/>
      <c r="BR429" s="1"/>
      <c r="BS429" s="1"/>
      <c r="BT429" s="1"/>
      <c r="BU429" s="4"/>
    </row>
    <row r="430">
      <c r="A430" s="1"/>
      <c r="M430" s="1"/>
      <c r="Y430" s="1"/>
      <c r="AK430" s="1"/>
      <c r="AQ430" s="1"/>
      <c r="AW430" s="1"/>
      <c r="BC430" s="1"/>
      <c r="BD430" s="1"/>
      <c r="BE430" s="1"/>
      <c r="BF430" s="1"/>
      <c r="BG430" s="1"/>
      <c r="BH430" s="1"/>
      <c r="BI430" s="1"/>
      <c r="BO430" s="1"/>
      <c r="BP430" s="1"/>
      <c r="BQ430" s="1"/>
      <c r="BR430" s="1"/>
      <c r="BS430" s="1"/>
      <c r="BT430" s="1"/>
      <c r="BU430" s="4"/>
    </row>
    <row r="431">
      <c r="A431" s="1"/>
      <c r="M431" s="1"/>
      <c r="Y431" s="1"/>
      <c r="AK431" s="1"/>
      <c r="AQ431" s="1"/>
      <c r="AW431" s="1"/>
      <c r="BC431" s="1"/>
      <c r="BD431" s="1"/>
      <c r="BE431" s="1"/>
      <c r="BF431" s="1"/>
      <c r="BG431" s="1"/>
      <c r="BH431" s="1"/>
      <c r="BI431" s="1"/>
      <c r="BO431" s="1"/>
      <c r="BP431" s="1"/>
      <c r="BQ431" s="1"/>
      <c r="BR431" s="1"/>
      <c r="BS431" s="1"/>
      <c r="BT431" s="1"/>
      <c r="BU431" s="4"/>
    </row>
    <row r="432">
      <c r="A432" s="1"/>
      <c r="M432" s="1"/>
      <c r="Y432" s="1"/>
      <c r="AK432" s="1"/>
      <c r="AQ432" s="1"/>
      <c r="AW432" s="1"/>
      <c r="BC432" s="1"/>
      <c r="BD432" s="1"/>
      <c r="BE432" s="1"/>
      <c r="BF432" s="1"/>
      <c r="BG432" s="1"/>
      <c r="BH432" s="1"/>
      <c r="BI432" s="1"/>
      <c r="BO432" s="1"/>
      <c r="BP432" s="1"/>
      <c r="BQ432" s="1"/>
      <c r="BR432" s="1"/>
      <c r="BS432" s="1"/>
      <c r="BT432" s="1"/>
      <c r="BU432" s="4"/>
    </row>
    <row r="433">
      <c r="A433" s="1"/>
      <c r="M433" s="1"/>
      <c r="Y433" s="1"/>
      <c r="AK433" s="1"/>
      <c r="AQ433" s="1"/>
      <c r="AW433" s="1"/>
      <c r="BC433" s="1"/>
      <c r="BD433" s="1"/>
      <c r="BE433" s="1"/>
      <c r="BF433" s="1"/>
      <c r="BG433" s="1"/>
      <c r="BH433" s="1"/>
      <c r="BI433" s="1"/>
      <c r="BO433" s="1"/>
      <c r="BP433" s="1"/>
      <c r="BQ433" s="1"/>
      <c r="BR433" s="1"/>
      <c r="BS433" s="1"/>
      <c r="BT433" s="1"/>
      <c r="BU433" s="4"/>
    </row>
    <row r="434">
      <c r="A434" s="1"/>
      <c r="M434" s="1"/>
      <c r="Y434" s="1"/>
      <c r="AK434" s="1"/>
      <c r="AQ434" s="1"/>
      <c r="AW434" s="1"/>
      <c r="BC434" s="1"/>
      <c r="BD434" s="1"/>
      <c r="BE434" s="1"/>
      <c r="BF434" s="1"/>
      <c r="BG434" s="1"/>
      <c r="BH434" s="1"/>
      <c r="BI434" s="1"/>
      <c r="BO434" s="1"/>
      <c r="BP434" s="1"/>
      <c r="BQ434" s="1"/>
      <c r="BR434" s="1"/>
      <c r="BS434" s="1"/>
      <c r="BT434" s="1"/>
      <c r="BU434" s="4"/>
    </row>
    <row r="435">
      <c r="A435" s="1"/>
      <c r="M435" s="1"/>
      <c r="Y435" s="1"/>
      <c r="AK435" s="1"/>
      <c r="AQ435" s="1"/>
      <c r="AW435" s="1"/>
      <c r="BC435" s="1"/>
      <c r="BD435" s="1"/>
      <c r="BE435" s="1"/>
      <c r="BF435" s="1"/>
      <c r="BG435" s="1"/>
      <c r="BH435" s="1"/>
      <c r="BI435" s="1"/>
      <c r="BO435" s="1"/>
      <c r="BP435" s="1"/>
      <c r="BQ435" s="1"/>
      <c r="BR435" s="1"/>
      <c r="BS435" s="1"/>
      <c r="BT435" s="1"/>
      <c r="BU435" s="4"/>
    </row>
    <row r="436">
      <c r="A436" s="1"/>
      <c r="M436" s="1"/>
      <c r="Y436" s="1"/>
      <c r="AK436" s="1"/>
      <c r="AQ436" s="1"/>
      <c r="AW436" s="1"/>
      <c r="BC436" s="1"/>
      <c r="BD436" s="1"/>
      <c r="BE436" s="1"/>
      <c r="BF436" s="1"/>
      <c r="BG436" s="1"/>
      <c r="BH436" s="1"/>
      <c r="BI436" s="1"/>
      <c r="BO436" s="1"/>
      <c r="BP436" s="1"/>
      <c r="BQ436" s="1"/>
      <c r="BR436" s="1"/>
      <c r="BS436" s="1"/>
      <c r="BT436" s="1"/>
      <c r="BU436" s="4"/>
    </row>
    <row r="437">
      <c r="A437" s="1"/>
      <c r="M437" s="1"/>
      <c r="Y437" s="1"/>
      <c r="AK437" s="1"/>
      <c r="AQ437" s="1"/>
      <c r="AW437" s="1"/>
      <c r="BC437" s="1"/>
      <c r="BD437" s="1"/>
      <c r="BE437" s="1"/>
      <c r="BF437" s="1"/>
      <c r="BG437" s="1"/>
      <c r="BH437" s="1"/>
      <c r="BI437" s="1"/>
      <c r="BO437" s="1"/>
      <c r="BP437" s="1"/>
      <c r="BQ437" s="1"/>
      <c r="BR437" s="1"/>
      <c r="BS437" s="1"/>
      <c r="BT437" s="1"/>
      <c r="BU437" s="4"/>
    </row>
    <row r="438">
      <c r="A438" s="1"/>
      <c r="M438" s="1"/>
      <c r="Y438" s="1"/>
      <c r="AK438" s="1"/>
      <c r="AQ438" s="1"/>
      <c r="AW438" s="1"/>
      <c r="BC438" s="1"/>
      <c r="BD438" s="1"/>
      <c r="BE438" s="1"/>
      <c r="BF438" s="1"/>
      <c r="BG438" s="1"/>
      <c r="BH438" s="1"/>
      <c r="BI438" s="1"/>
      <c r="BO438" s="1"/>
      <c r="BP438" s="1"/>
      <c r="BQ438" s="1"/>
      <c r="BR438" s="1"/>
      <c r="BS438" s="1"/>
      <c r="BT438" s="1"/>
      <c r="BU438" s="4"/>
    </row>
    <row r="439">
      <c r="A439" s="1"/>
      <c r="M439" s="1"/>
      <c r="Y439" s="1"/>
      <c r="AK439" s="1"/>
      <c r="AQ439" s="1"/>
      <c r="AW439" s="1"/>
      <c r="BC439" s="1"/>
      <c r="BD439" s="1"/>
      <c r="BE439" s="1"/>
      <c r="BF439" s="1"/>
      <c r="BG439" s="1"/>
      <c r="BH439" s="1"/>
      <c r="BI439" s="1"/>
      <c r="BO439" s="1"/>
      <c r="BP439" s="1"/>
      <c r="BQ439" s="1"/>
      <c r="BR439" s="1"/>
      <c r="BS439" s="1"/>
      <c r="BT439" s="1"/>
      <c r="BU439" s="4"/>
    </row>
    <row r="440">
      <c r="A440" s="1"/>
      <c r="M440" s="1"/>
      <c r="Y440" s="1"/>
      <c r="AK440" s="1"/>
      <c r="AQ440" s="1"/>
      <c r="AW440" s="1"/>
      <c r="BC440" s="1"/>
      <c r="BD440" s="1"/>
      <c r="BE440" s="1"/>
      <c r="BF440" s="1"/>
      <c r="BG440" s="1"/>
      <c r="BH440" s="1"/>
      <c r="BI440" s="1"/>
      <c r="BO440" s="1"/>
      <c r="BP440" s="1"/>
      <c r="BQ440" s="1"/>
      <c r="BR440" s="1"/>
      <c r="BS440" s="1"/>
      <c r="BT440" s="1"/>
      <c r="BU440" s="4"/>
    </row>
    <row r="441">
      <c r="A441" s="1"/>
      <c r="M441" s="1"/>
      <c r="Y441" s="1"/>
      <c r="AK441" s="1"/>
      <c r="AQ441" s="1"/>
      <c r="AW441" s="1"/>
      <c r="BC441" s="1"/>
      <c r="BD441" s="1"/>
      <c r="BE441" s="1"/>
      <c r="BF441" s="1"/>
      <c r="BG441" s="1"/>
      <c r="BH441" s="1"/>
      <c r="BI441" s="1"/>
      <c r="BO441" s="1"/>
      <c r="BP441" s="1"/>
      <c r="BQ441" s="1"/>
      <c r="BR441" s="1"/>
      <c r="BS441" s="1"/>
      <c r="BT441" s="1"/>
      <c r="BU441" s="4"/>
    </row>
    <row r="442">
      <c r="A442" s="1"/>
      <c r="M442" s="1"/>
      <c r="Y442" s="1"/>
      <c r="AK442" s="1"/>
      <c r="AQ442" s="1"/>
      <c r="AW442" s="1"/>
      <c r="BC442" s="1"/>
      <c r="BD442" s="1"/>
      <c r="BE442" s="1"/>
      <c r="BF442" s="1"/>
      <c r="BG442" s="1"/>
      <c r="BH442" s="1"/>
      <c r="BI442" s="1"/>
      <c r="BO442" s="1"/>
      <c r="BP442" s="1"/>
      <c r="BQ442" s="1"/>
      <c r="BR442" s="1"/>
      <c r="BS442" s="1"/>
      <c r="BT442" s="1"/>
      <c r="BU442" s="4"/>
    </row>
    <row r="443">
      <c r="A443" s="1"/>
      <c r="M443" s="1"/>
      <c r="Y443" s="1"/>
      <c r="AK443" s="1"/>
      <c r="AQ443" s="1"/>
      <c r="AW443" s="1"/>
      <c r="BC443" s="1"/>
      <c r="BD443" s="1"/>
      <c r="BE443" s="1"/>
      <c r="BF443" s="1"/>
      <c r="BG443" s="1"/>
      <c r="BH443" s="1"/>
      <c r="BI443" s="1"/>
      <c r="BO443" s="1"/>
      <c r="BP443" s="1"/>
      <c r="BQ443" s="1"/>
      <c r="BR443" s="1"/>
      <c r="BS443" s="1"/>
      <c r="BT443" s="1"/>
      <c r="BU443" s="4"/>
    </row>
    <row r="444">
      <c r="A444" s="1"/>
      <c r="M444" s="1"/>
      <c r="Y444" s="1"/>
      <c r="AK444" s="1"/>
      <c r="AQ444" s="1"/>
      <c r="AW444" s="1"/>
      <c r="BC444" s="1"/>
      <c r="BD444" s="1"/>
      <c r="BE444" s="1"/>
      <c r="BF444" s="1"/>
      <c r="BG444" s="1"/>
      <c r="BH444" s="1"/>
      <c r="BI444" s="1"/>
      <c r="BO444" s="1"/>
      <c r="BP444" s="1"/>
      <c r="BQ444" s="1"/>
      <c r="BR444" s="1"/>
      <c r="BS444" s="1"/>
      <c r="BT444" s="1"/>
      <c r="BU444" s="4"/>
    </row>
    <row r="445">
      <c r="A445" s="1"/>
      <c r="M445" s="1"/>
      <c r="Y445" s="1"/>
      <c r="AK445" s="1"/>
      <c r="AQ445" s="1"/>
      <c r="AW445" s="1"/>
      <c r="BC445" s="1"/>
      <c r="BD445" s="1"/>
      <c r="BE445" s="1"/>
      <c r="BF445" s="1"/>
      <c r="BG445" s="1"/>
      <c r="BH445" s="1"/>
      <c r="BI445" s="1"/>
      <c r="BO445" s="1"/>
      <c r="BP445" s="1"/>
      <c r="BQ445" s="1"/>
      <c r="BR445" s="1"/>
      <c r="BS445" s="1"/>
      <c r="BT445" s="1"/>
      <c r="BU445" s="4"/>
    </row>
    <row r="446">
      <c r="A446" s="1"/>
      <c r="M446" s="1"/>
      <c r="Y446" s="1"/>
      <c r="AK446" s="1"/>
      <c r="AQ446" s="1"/>
      <c r="AW446" s="1"/>
      <c r="BC446" s="1"/>
      <c r="BD446" s="1"/>
      <c r="BE446" s="1"/>
      <c r="BF446" s="1"/>
      <c r="BG446" s="1"/>
      <c r="BH446" s="1"/>
      <c r="BI446" s="1"/>
      <c r="BO446" s="1"/>
      <c r="BP446" s="1"/>
      <c r="BQ446" s="1"/>
      <c r="BR446" s="1"/>
      <c r="BS446" s="1"/>
      <c r="BT446" s="1"/>
      <c r="BU446" s="4"/>
    </row>
    <row r="447">
      <c r="A447" s="1"/>
      <c r="M447" s="1"/>
      <c r="Y447" s="1"/>
      <c r="AK447" s="1"/>
      <c r="AQ447" s="1"/>
      <c r="AW447" s="1"/>
      <c r="BC447" s="1"/>
      <c r="BD447" s="1"/>
      <c r="BE447" s="1"/>
      <c r="BF447" s="1"/>
      <c r="BG447" s="1"/>
      <c r="BH447" s="1"/>
      <c r="BI447" s="1"/>
      <c r="BO447" s="1"/>
      <c r="BP447" s="1"/>
      <c r="BQ447" s="1"/>
      <c r="BR447" s="1"/>
      <c r="BS447" s="1"/>
      <c r="BT447" s="1"/>
      <c r="BU447" s="4"/>
    </row>
    <row r="448">
      <c r="A448" s="1"/>
      <c r="M448" s="1"/>
      <c r="Y448" s="1"/>
      <c r="AK448" s="1"/>
      <c r="AQ448" s="1"/>
      <c r="AW448" s="1"/>
      <c r="BC448" s="1"/>
      <c r="BD448" s="1"/>
      <c r="BE448" s="1"/>
      <c r="BF448" s="1"/>
      <c r="BG448" s="1"/>
      <c r="BH448" s="1"/>
      <c r="BI448" s="1"/>
      <c r="BO448" s="1"/>
      <c r="BP448" s="1"/>
      <c r="BQ448" s="1"/>
      <c r="BR448" s="1"/>
      <c r="BS448" s="1"/>
      <c r="BT448" s="1"/>
      <c r="BU448" s="4"/>
    </row>
    <row r="449">
      <c r="A449" s="1"/>
      <c r="M449" s="1"/>
      <c r="Y449" s="1"/>
      <c r="AK449" s="1"/>
      <c r="AQ449" s="1"/>
      <c r="AW449" s="1"/>
      <c r="BC449" s="1"/>
      <c r="BD449" s="1"/>
      <c r="BE449" s="1"/>
      <c r="BF449" s="1"/>
      <c r="BG449" s="1"/>
      <c r="BH449" s="1"/>
      <c r="BI449" s="1"/>
      <c r="BO449" s="1"/>
      <c r="BP449" s="1"/>
      <c r="BQ449" s="1"/>
      <c r="BR449" s="1"/>
      <c r="BS449" s="1"/>
      <c r="BT449" s="1"/>
      <c r="BU449" s="4"/>
    </row>
    <row r="450">
      <c r="A450" s="1"/>
      <c r="M450" s="1"/>
      <c r="Y450" s="1"/>
      <c r="AK450" s="1"/>
      <c r="AQ450" s="1"/>
      <c r="AW450" s="1"/>
      <c r="BC450" s="1"/>
      <c r="BD450" s="1"/>
      <c r="BE450" s="1"/>
      <c r="BF450" s="1"/>
      <c r="BG450" s="1"/>
      <c r="BH450" s="1"/>
      <c r="BI450" s="1"/>
      <c r="BO450" s="1"/>
      <c r="BP450" s="1"/>
      <c r="BQ450" s="1"/>
      <c r="BR450" s="1"/>
      <c r="BS450" s="1"/>
      <c r="BT450" s="1"/>
      <c r="BU450" s="4"/>
    </row>
    <row r="451">
      <c r="A451" s="1"/>
      <c r="M451" s="1"/>
      <c r="Y451" s="1"/>
      <c r="AK451" s="1"/>
      <c r="AQ451" s="1"/>
      <c r="AW451" s="1"/>
      <c r="BC451" s="1"/>
      <c r="BD451" s="1"/>
      <c r="BE451" s="1"/>
      <c r="BF451" s="1"/>
      <c r="BG451" s="1"/>
      <c r="BH451" s="1"/>
      <c r="BI451" s="1"/>
      <c r="BO451" s="1"/>
      <c r="BP451" s="1"/>
      <c r="BQ451" s="1"/>
      <c r="BR451" s="1"/>
      <c r="BS451" s="1"/>
      <c r="BT451" s="1"/>
      <c r="BU451" s="4"/>
    </row>
    <row r="452">
      <c r="A452" s="1"/>
      <c r="M452" s="1"/>
      <c r="Y452" s="1"/>
      <c r="AK452" s="1"/>
      <c r="AQ452" s="1"/>
      <c r="AW452" s="1"/>
      <c r="BC452" s="1"/>
      <c r="BD452" s="1"/>
      <c r="BE452" s="1"/>
      <c r="BF452" s="1"/>
      <c r="BG452" s="1"/>
      <c r="BH452" s="1"/>
      <c r="BI452" s="1"/>
      <c r="BO452" s="1"/>
      <c r="BP452" s="1"/>
      <c r="BQ452" s="1"/>
      <c r="BR452" s="1"/>
      <c r="BS452" s="1"/>
      <c r="BT452" s="1"/>
      <c r="BU452" s="4"/>
    </row>
    <row r="453">
      <c r="A453" s="1"/>
      <c r="M453" s="1"/>
      <c r="Y453" s="1"/>
      <c r="AK453" s="1"/>
      <c r="AQ453" s="1"/>
      <c r="AW453" s="1"/>
      <c r="BC453" s="1"/>
      <c r="BD453" s="1"/>
      <c r="BE453" s="1"/>
      <c r="BF453" s="1"/>
      <c r="BG453" s="1"/>
      <c r="BH453" s="1"/>
      <c r="BI453" s="1"/>
      <c r="BO453" s="1"/>
      <c r="BP453" s="1"/>
      <c r="BQ453" s="1"/>
      <c r="BR453" s="1"/>
      <c r="BS453" s="1"/>
      <c r="BT453" s="1"/>
      <c r="BU453" s="4"/>
    </row>
    <row r="454">
      <c r="A454" s="1"/>
      <c r="M454" s="1"/>
      <c r="Y454" s="1"/>
      <c r="AK454" s="1"/>
      <c r="AQ454" s="1"/>
      <c r="AW454" s="1"/>
      <c r="BC454" s="1"/>
      <c r="BD454" s="1"/>
      <c r="BE454" s="1"/>
      <c r="BF454" s="1"/>
      <c r="BG454" s="1"/>
      <c r="BH454" s="1"/>
      <c r="BI454" s="1"/>
      <c r="BO454" s="1"/>
      <c r="BP454" s="1"/>
      <c r="BQ454" s="1"/>
      <c r="BR454" s="1"/>
      <c r="BS454" s="1"/>
      <c r="BT454" s="1"/>
      <c r="BU454" s="4"/>
    </row>
    <row r="455">
      <c r="A455" s="1"/>
      <c r="M455" s="1"/>
      <c r="Y455" s="1"/>
      <c r="AK455" s="1"/>
      <c r="AQ455" s="1"/>
      <c r="AW455" s="1"/>
      <c r="BC455" s="1"/>
      <c r="BD455" s="1"/>
      <c r="BE455" s="1"/>
      <c r="BF455" s="1"/>
      <c r="BG455" s="1"/>
      <c r="BH455" s="1"/>
      <c r="BI455" s="1"/>
      <c r="BO455" s="1"/>
      <c r="BP455" s="1"/>
      <c r="BQ455" s="1"/>
      <c r="BR455" s="1"/>
      <c r="BS455" s="1"/>
      <c r="BT455" s="1"/>
      <c r="BU455" s="4"/>
    </row>
    <row r="456">
      <c r="A456" s="1"/>
      <c r="M456" s="1"/>
      <c r="Y456" s="1"/>
      <c r="AK456" s="1"/>
      <c r="AQ456" s="1"/>
      <c r="AW456" s="1"/>
      <c r="BC456" s="1"/>
      <c r="BD456" s="1"/>
      <c r="BE456" s="1"/>
      <c r="BF456" s="1"/>
      <c r="BG456" s="1"/>
      <c r="BH456" s="1"/>
      <c r="BI456" s="1"/>
      <c r="BO456" s="1"/>
      <c r="BP456" s="1"/>
      <c r="BQ456" s="1"/>
      <c r="BR456" s="1"/>
      <c r="BS456" s="1"/>
      <c r="BT456" s="1"/>
      <c r="BU456" s="4"/>
    </row>
    <row r="457">
      <c r="A457" s="1"/>
      <c r="M457" s="1"/>
      <c r="Y457" s="1"/>
      <c r="AK457" s="1"/>
      <c r="AQ457" s="1"/>
      <c r="AW457" s="1"/>
      <c r="BC457" s="1"/>
      <c r="BD457" s="1"/>
      <c r="BE457" s="1"/>
      <c r="BF457" s="1"/>
      <c r="BG457" s="1"/>
      <c r="BH457" s="1"/>
      <c r="BI457" s="1"/>
      <c r="BO457" s="1"/>
      <c r="BP457" s="1"/>
      <c r="BQ457" s="1"/>
      <c r="BR457" s="1"/>
      <c r="BS457" s="1"/>
      <c r="BT457" s="1"/>
      <c r="BU457" s="4"/>
    </row>
    <row r="458">
      <c r="A458" s="1"/>
      <c r="M458" s="1"/>
      <c r="Y458" s="1"/>
      <c r="AK458" s="1"/>
      <c r="AQ458" s="1"/>
      <c r="AW458" s="1"/>
      <c r="BC458" s="1"/>
      <c r="BD458" s="1"/>
      <c r="BE458" s="1"/>
      <c r="BF458" s="1"/>
      <c r="BG458" s="1"/>
      <c r="BH458" s="1"/>
      <c r="BI458" s="1"/>
      <c r="BO458" s="1"/>
      <c r="BP458" s="1"/>
      <c r="BQ458" s="1"/>
      <c r="BR458" s="1"/>
      <c r="BS458" s="1"/>
      <c r="BT458" s="1"/>
      <c r="BU458" s="4"/>
    </row>
    <row r="459">
      <c r="A459" s="1"/>
      <c r="M459" s="1"/>
      <c r="Y459" s="1"/>
      <c r="AK459" s="1"/>
      <c r="AQ459" s="1"/>
      <c r="AW459" s="1"/>
      <c r="BC459" s="1"/>
      <c r="BD459" s="1"/>
      <c r="BE459" s="1"/>
      <c r="BF459" s="1"/>
      <c r="BG459" s="1"/>
      <c r="BH459" s="1"/>
      <c r="BI459" s="1"/>
      <c r="BO459" s="1"/>
      <c r="BP459" s="1"/>
      <c r="BQ459" s="1"/>
      <c r="BR459" s="1"/>
      <c r="BS459" s="1"/>
      <c r="BT459" s="1"/>
      <c r="BU459" s="4"/>
    </row>
    <row r="460">
      <c r="A460" s="1"/>
      <c r="M460" s="1"/>
      <c r="Y460" s="1"/>
      <c r="AK460" s="1"/>
      <c r="AQ460" s="1"/>
      <c r="AW460" s="1"/>
      <c r="BC460" s="1"/>
      <c r="BD460" s="1"/>
      <c r="BE460" s="1"/>
      <c r="BF460" s="1"/>
      <c r="BG460" s="1"/>
      <c r="BH460" s="1"/>
      <c r="BI460" s="1"/>
      <c r="BO460" s="1"/>
      <c r="BP460" s="1"/>
      <c r="BQ460" s="1"/>
      <c r="BR460" s="1"/>
      <c r="BS460" s="1"/>
      <c r="BT460" s="1"/>
      <c r="BU460" s="4"/>
    </row>
    <row r="461">
      <c r="A461" s="1"/>
      <c r="M461" s="1"/>
      <c r="Y461" s="1"/>
      <c r="AK461" s="1"/>
      <c r="AQ461" s="1"/>
      <c r="AW461" s="1"/>
      <c r="BC461" s="1"/>
      <c r="BD461" s="1"/>
      <c r="BE461" s="1"/>
      <c r="BF461" s="1"/>
      <c r="BG461" s="1"/>
      <c r="BH461" s="1"/>
      <c r="BI461" s="1"/>
      <c r="BO461" s="1"/>
      <c r="BP461" s="1"/>
      <c r="BQ461" s="1"/>
      <c r="BR461" s="1"/>
      <c r="BS461" s="1"/>
      <c r="BT461" s="1"/>
      <c r="BU461" s="4"/>
    </row>
    <row r="462">
      <c r="A462" s="1"/>
      <c r="M462" s="1"/>
      <c r="Y462" s="1"/>
      <c r="AK462" s="1"/>
      <c r="AQ462" s="1"/>
      <c r="AW462" s="1"/>
      <c r="BC462" s="1"/>
      <c r="BD462" s="1"/>
      <c r="BE462" s="1"/>
      <c r="BF462" s="1"/>
      <c r="BG462" s="1"/>
      <c r="BH462" s="1"/>
      <c r="BI462" s="1"/>
      <c r="BO462" s="1"/>
      <c r="BP462" s="1"/>
      <c r="BQ462" s="1"/>
      <c r="BR462" s="1"/>
      <c r="BS462" s="1"/>
      <c r="BT462" s="1"/>
      <c r="BU462" s="4"/>
    </row>
    <row r="463">
      <c r="A463" s="1"/>
      <c r="M463" s="1"/>
      <c r="Y463" s="1"/>
      <c r="AK463" s="1"/>
      <c r="AQ463" s="1"/>
      <c r="AW463" s="1"/>
      <c r="BC463" s="1"/>
      <c r="BD463" s="1"/>
      <c r="BE463" s="1"/>
      <c r="BF463" s="1"/>
      <c r="BG463" s="1"/>
      <c r="BH463" s="1"/>
      <c r="BI463" s="1"/>
      <c r="BO463" s="1"/>
      <c r="BP463" s="1"/>
      <c r="BQ463" s="1"/>
      <c r="BR463" s="1"/>
      <c r="BS463" s="1"/>
      <c r="BT463" s="1"/>
      <c r="BU463" s="4"/>
    </row>
    <row r="464">
      <c r="A464" s="1"/>
      <c r="M464" s="1"/>
      <c r="Y464" s="1"/>
      <c r="AK464" s="1"/>
      <c r="AQ464" s="1"/>
      <c r="AW464" s="1"/>
      <c r="BC464" s="1"/>
      <c r="BD464" s="1"/>
      <c r="BE464" s="1"/>
      <c r="BF464" s="1"/>
      <c r="BG464" s="1"/>
      <c r="BH464" s="1"/>
      <c r="BI464" s="1"/>
      <c r="BO464" s="1"/>
      <c r="BP464" s="1"/>
      <c r="BQ464" s="1"/>
      <c r="BR464" s="1"/>
      <c r="BS464" s="1"/>
      <c r="BT464" s="1"/>
      <c r="BU464" s="4"/>
    </row>
    <row r="465">
      <c r="A465" s="1"/>
      <c r="M465" s="1"/>
      <c r="Y465" s="1"/>
      <c r="AK465" s="1"/>
      <c r="AQ465" s="1"/>
      <c r="AW465" s="1"/>
      <c r="BC465" s="1"/>
      <c r="BD465" s="1"/>
      <c r="BE465" s="1"/>
      <c r="BF465" s="1"/>
      <c r="BG465" s="1"/>
      <c r="BH465" s="1"/>
      <c r="BI465" s="1"/>
      <c r="BO465" s="1"/>
      <c r="BP465" s="1"/>
      <c r="BQ465" s="1"/>
      <c r="BR465" s="1"/>
      <c r="BS465" s="1"/>
      <c r="BT465" s="1"/>
      <c r="BU465" s="4"/>
    </row>
    <row r="466">
      <c r="A466" s="1"/>
      <c r="M466" s="1"/>
      <c r="Y466" s="1"/>
      <c r="AK466" s="1"/>
      <c r="AQ466" s="1"/>
      <c r="AW466" s="1"/>
      <c r="BC466" s="1"/>
      <c r="BD466" s="1"/>
      <c r="BE466" s="1"/>
      <c r="BF466" s="1"/>
      <c r="BG466" s="1"/>
      <c r="BH466" s="1"/>
      <c r="BI466" s="1"/>
      <c r="BO466" s="1"/>
      <c r="BP466" s="1"/>
      <c r="BQ466" s="1"/>
      <c r="BR466" s="1"/>
      <c r="BS466" s="1"/>
      <c r="BT466" s="1"/>
      <c r="BU466" s="4"/>
    </row>
    <row r="467">
      <c r="A467" s="1"/>
      <c r="M467" s="1"/>
      <c r="Y467" s="1"/>
      <c r="AK467" s="1"/>
      <c r="AQ467" s="1"/>
      <c r="AW467" s="1"/>
      <c r="BC467" s="1"/>
      <c r="BD467" s="1"/>
      <c r="BE467" s="1"/>
      <c r="BF467" s="1"/>
      <c r="BG467" s="1"/>
      <c r="BH467" s="1"/>
      <c r="BI467" s="1"/>
      <c r="BO467" s="1"/>
      <c r="BP467" s="1"/>
      <c r="BQ467" s="1"/>
      <c r="BR467" s="1"/>
      <c r="BS467" s="1"/>
      <c r="BT467" s="1"/>
      <c r="BU467" s="4"/>
    </row>
    <row r="468">
      <c r="A468" s="1"/>
      <c r="M468" s="1"/>
      <c r="Y468" s="1"/>
      <c r="AK468" s="1"/>
      <c r="AQ468" s="1"/>
      <c r="AW468" s="1"/>
      <c r="BC468" s="1"/>
      <c r="BD468" s="1"/>
      <c r="BE468" s="1"/>
      <c r="BF468" s="1"/>
      <c r="BG468" s="1"/>
      <c r="BH468" s="1"/>
      <c r="BI468" s="1"/>
      <c r="BO468" s="1"/>
      <c r="BP468" s="1"/>
      <c r="BQ468" s="1"/>
      <c r="BR468" s="1"/>
      <c r="BS468" s="1"/>
      <c r="BT468" s="1"/>
      <c r="BU468" s="4"/>
    </row>
    <row r="469">
      <c r="A469" s="1"/>
      <c r="M469" s="1"/>
      <c r="Y469" s="1"/>
      <c r="AK469" s="1"/>
      <c r="AQ469" s="1"/>
      <c r="AW469" s="1"/>
      <c r="BC469" s="1"/>
      <c r="BD469" s="1"/>
      <c r="BE469" s="1"/>
      <c r="BF469" s="1"/>
      <c r="BG469" s="1"/>
      <c r="BH469" s="1"/>
      <c r="BI469" s="1"/>
      <c r="BO469" s="1"/>
      <c r="BP469" s="1"/>
      <c r="BQ469" s="1"/>
      <c r="BR469" s="1"/>
      <c r="BS469" s="1"/>
      <c r="BT469" s="1"/>
      <c r="BU469" s="4"/>
    </row>
    <row r="470">
      <c r="A470" s="1"/>
      <c r="M470" s="1"/>
      <c r="Y470" s="1"/>
      <c r="AK470" s="1"/>
      <c r="AQ470" s="1"/>
      <c r="AW470" s="1"/>
      <c r="BC470" s="1"/>
      <c r="BD470" s="1"/>
      <c r="BE470" s="1"/>
      <c r="BF470" s="1"/>
      <c r="BG470" s="1"/>
      <c r="BH470" s="1"/>
      <c r="BI470" s="1"/>
      <c r="BO470" s="1"/>
      <c r="BP470" s="1"/>
      <c r="BQ470" s="1"/>
      <c r="BR470" s="1"/>
      <c r="BS470" s="1"/>
      <c r="BT470" s="1"/>
      <c r="BU470" s="4"/>
    </row>
    <row r="471">
      <c r="A471" s="1"/>
      <c r="M471" s="1"/>
      <c r="Y471" s="1"/>
      <c r="AK471" s="1"/>
      <c r="AQ471" s="1"/>
      <c r="AW471" s="1"/>
      <c r="BC471" s="1"/>
      <c r="BD471" s="1"/>
      <c r="BE471" s="1"/>
      <c r="BF471" s="1"/>
      <c r="BG471" s="1"/>
      <c r="BH471" s="1"/>
      <c r="BI471" s="1"/>
      <c r="BO471" s="1"/>
      <c r="BP471" s="1"/>
      <c r="BQ471" s="1"/>
      <c r="BR471" s="1"/>
      <c r="BS471" s="1"/>
      <c r="BT471" s="1"/>
      <c r="BU471" s="4"/>
    </row>
    <row r="472">
      <c r="A472" s="1"/>
      <c r="M472" s="1"/>
      <c r="Y472" s="1"/>
      <c r="AK472" s="1"/>
      <c r="AQ472" s="1"/>
      <c r="AW472" s="1"/>
      <c r="BC472" s="1"/>
      <c r="BD472" s="1"/>
      <c r="BE472" s="1"/>
      <c r="BF472" s="1"/>
      <c r="BG472" s="1"/>
      <c r="BH472" s="1"/>
      <c r="BI472" s="1"/>
      <c r="BO472" s="1"/>
      <c r="BP472" s="1"/>
      <c r="BQ472" s="1"/>
      <c r="BR472" s="1"/>
      <c r="BS472" s="1"/>
      <c r="BT472" s="1"/>
      <c r="BU472" s="4"/>
    </row>
    <row r="473">
      <c r="A473" s="1"/>
      <c r="M473" s="1"/>
      <c r="Y473" s="1"/>
      <c r="AK473" s="1"/>
      <c r="AQ473" s="1"/>
      <c r="AW473" s="1"/>
      <c r="BC473" s="1"/>
      <c r="BD473" s="1"/>
      <c r="BE473" s="1"/>
      <c r="BF473" s="1"/>
      <c r="BG473" s="1"/>
      <c r="BH473" s="1"/>
      <c r="BI473" s="1"/>
      <c r="BO473" s="1"/>
      <c r="BP473" s="1"/>
      <c r="BQ473" s="1"/>
      <c r="BR473" s="1"/>
      <c r="BS473" s="1"/>
      <c r="BT473" s="1"/>
      <c r="BU473" s="4"/>
    </row>
    <row r="474">
      <c r="A474" s="1"/>
      <c r="M474" s="1"/>
      <c r="Y474" s="1"/>
      <c r="AK474" s="1"/>
      <c r="AQ474" s="1"/>
      <c r="AW474" s="1"/>
      <c r="BC474" s="1"/>
      <c r="BD474" s="1"/>
      <c r="BE474" s="1"/>
      <c r="BF474" s="1"/>
      <c r="BG474" s="1"/>
      <c r="BH474" s="1"/>
      <c r="BI474" s="1"/>
      <c r="BO474" s="1"/>
      <c r="BP474" s="1"/>
      <c r="BQ474" s="1"/>
      <c r="BR474" s="1"/>
      <c r="BS474" s="1"/>
      <c r="BT474" s="1"/>
      <c r="BU474" s="4"/>
    </row>
    <row r="475">
      <c r="A475" s="1"/>
      <c r="M475" s="1"/>
      <c r="Y475" s="1"/>
      <c r="AK475" s="1"/>
      <c r="AQ475" s="1"/>
      <c r="AW475" s="1"/>
      <c r="BC475" s="1"/>
      <c r="BD475" s="1"/>
      <c r="BE475" s="1"/>
      <c r="BF475" s="1"/>
      <c r="BG475" s="1"/>
      <c r="BH475" s="1"/>
      <c r="BI475" s="1"/>
      <c r="BO475" s="1"/>
      <c r="BP475" s="1"/>
      <c r="BQ475" s="1"/>
      <c r="BR475" s="1"/>
      <c r="BS475" s="1"/>
      <c r="BT475" s="1"/>
      <c r="BU475" s="4"/>
    </row>
    <row r="476">
      <c r="A476" s="1"/>
      <c r="M476" s="1"/>
      <c r="Y476" s="1"/>
      <c r="AK476" s="1"/>
      <c r="AQ476" s="1"/>
      <c r="AW476" s="1"/>
      <c r="BC476" s="1"/>
      <c r="BD476" s="1"/>
      <c r="BE476" s="1"/>
      <c r="BF476" s="1"/>
      <c r="BG476" s="1"/>
      <c r="BH476" s="1"/>
      <c r="BI476" s="1"/>
      <c r="BO476" s="1"/>
      <c r="BP476" s="1"/>
      <c r="BQ476" s="1"/>
      <c r="BR476" s="1"/>
      <c r="BS476" s="1"/>
      <c r="BT476" s="1"/>
      <c r="BU476" s="4"/>
    </row>
    <row r="477">
      <c r="A477" s="1"/>
      <c r="M477" s="1"/>
      <c r="Y477" s="1"/>
      <c r="AK477" s="1"/>
      <c r="AQ477" s="1"/>
      <c r="AW477" s="1"/>
      <c r="BC477" s="1"/>
      <c r="BD477" s="1"/>
      <c r="BE477" s="1"/>
      <c r="BF477" s="1"/>
      <c r="BG477" s="1"/>
      <c r="BH477" s="1"/>
      <c r="BI477" s="1"/>
      <c r="BO477" s="1"/>
      <c r="BP477" s="1"/>
      <c r="BQ477" s="1"/>
      <c r="BR477" s="1"/>
      <c r="BS477" s="1"/>
      <c r="BT477" s="1"/>
      <c r="BU477" s="4"/>
    </row>
    <row r="478">
      <c r="A478" s="1"/>
      <c r="M478" s="1"/>
      <c r="Y478" s="1"/>
      <c r="AK478" s="1"/>
      <c r="AQ478" s="1"/>
      <c r="AW478" s="1"/>
      <c r="BC478" s="1"/>
      <c r="BD478" s="1"/>
      <c r="BE478" s="1"/>
      <c r="BF478" s="1"/>
      <c r="BG478" s="1"/>
      <c r="BH478" s="1"/>
      <c r="BI478" s="1"/>
      <c r="BO478" s="1"/>
      <c r="BP478" s="1"/>
      <c r="BQ478" s="1"/>
      <c r="BR478" s="1"/>
      <c r="BS478" s="1"/>
      <c r="BT478" s="1"/>
      <c r="BU478" s="4"/>
    </row>
    <row r="479">
      <c r="A479" s="1"/>
      <c r="M479" s="1"/>
      <c r="Y479" s="1"/>
      <c r="AK479" s="1"/>
      <c r="AQ479" s="1"/>
      <c r="AW479" s="1"/>
      <c r="BC479" s="1"/>
      <c r="BD479" s="1"/>
      <c r="BE479" s="1"/>
      <c r="BF479" s="1"/>
      <c r="BG479" s="1"/>
      <c r="BH479" s="1"/>
      <c r="BI479" s="1"/>
      <c r="BO479" s="1"/>
      <c r="BP479" s="1"/>
      <c r="BQ479" s="1"/>
      <c r="BR479" s="1"/>
      <c r="BS479" s="1"/>
      <c r="BT479" s="1"/>
      <c r="BU479" s="4"/>
    </row>
    <row r="480">
      <c r="A480" s="1"/>
      <c r="M480" s="1"/>
      <c r="Y480" s="1"/>
      <c r="AK480" s="1"/>
      <c r="AQ480" s="1"/>
      <c r="AW480" s="1"/>
      <c r="BC480" s="1"/>
      <c r="BD480" s="1"/>
      <c r="BE480" s="1"/>
      <c r="BF480" s="1"/>
      <c r="BG480" s="1"/>
      <c r="BH480" s="1"/>
      <c r="BI480" s="1"/>
      <c r="BO480" s="1"/>
      <c r="BP480" s="1"/>
      <c r="BQ480" s="1"/>
      <c r="BR480" s="1"/>
      <c r="BS480" s="1"/>
      <c r="BT480" s="1"/>
      <c r="BU480" s="4"/>
    </row>
    <row r="481">
      <c r="A481" s="1"/>
      <c r="M481" s="1"/>
      <c r="Y481" s="1"/>
      <c r="AK481" s="1"/>
      <c r="AQ481" s="1"/>
      <c r="AW481" s="1"/>
      <c r="BC481" s="1"/>
      <c r="BD481" s="1"/>
      <c r="BE481" s="1"/>
      <c r="BF481" s="1"/>
      <c r="BG481" s="1"/>
      <c r="BH481" s="1"/>
      <c r="BI481" s="1"/>
      <c r="BO481" s="1"/>
      <c r="BP481" s="1"/>
      <c r="BQ481" s="1"/>
      <c r="BR481" s="1"/>
      <c r="BS481" s="1"/>
      <c r="BT481" s="1"/>
      <c r="BU481" s="4"/>
    </row>
    <row r="482">
      <c r="A482" s="1"/>
      <c r="M482" s="1"/>
      <c r="Y482" s="1"/>
      <c r="AK482" s="1"/>
      <c r="AQ482" s="1"/>
      <c r="AW482" s="1"/>
      <c r="BC482" s="1"/>
      <c r="BD482" s="1"/>
      <c r="BE482" s="1"/>
      <c r="BF482" s="1"/>
      <c r="BG482" s="1"/>
      <c r="BH482" s="1"/>
      <c r="BI482" s="1"/>
      <c r="BO482" s="1"/>
      <c r="BP482" s="1"/>
      <c r="BQ482" s="1"/>
      <c r="BR482" s="1"/>
      <c r="BS482" s="1"/>
      <c r="BT482" s="1"/>
      <c r="BU482" s="4"/>
    </row>
    <row r="483">
      <c r="A483" s="1"/>
      <c r="M483" s="1"/>
      <c r="Y483" s="1"/>
      <c r="AK483" s="1"/>
      <c r="AQ483" s="1"/>
      <c r="AW483" s="1"/>
      <c r="BC483" s="1"/>
      <c r="BD483" s="1"/>
      <c r="BE483" s="1"/>
      <c r="BF483" s="1"/>
      <c r="BG483" s="1"/>
      <c r="BH483" s="1"/>
      <c r="BI483" s="1"/>
      <c r="BO483" s="1"/>
      <c r="BP483" s="1"/>
      <c r="BQ483" s="1"/>
      <c r="BR483" s="1"/>
      <c r="BS483" s="1"/>
      <c r="BT483" s="1"/>
      <c r="BU483" s="4"/>
    </row>
    <row r="484">
      <c r="A484" s="1"/>
      <c r="M484" s="1"/>
      <c r="Y484" s="1"/>
      <c r="AK484" s="1"/>
      <c r="AQ484" s="1"/>
      <c r="AW484" s="1"/>
      <c r="BC484" s="1"/>
      <c r="BD484" s="1"/>
      <c r="BE484" s="1"/>
      <c r="BF484" s="1"/>
      <c r="BG484" s="1"/>
      <c r="BH484" s="1"/>
      <c r="BI484" s="1"/>
      <c r="BO484" s="1"/>
      <c r="BP484" s="1"/>
      <c r="BQ484" s="1"/>
      <c r="BR484" s="1"/>
      <c r="BS484" s="1"/>
      <c r="BT484" s="1"/>
      <c r="BU484" s="4"/>
    </row>
    <row r="485">
      <c r="M485" s="1"/>
      <c r="Y485" s="1"/>
      <c r="AK485" s="1"/>
      <c r="AQ485" s="1"/>
      <c r="AW485" s="1"/>
      <c r="BC485" s="1"/>
      <c r="BD485" s="1"/>
      <c r="BE485" s="1"/>
      <c r="BF485" s="1"/>
      <c r="BG485" s="1"/>
      <c r="BH485" s="1"/>
      <c r="BI485" s="1"/>
      <c r="BO485" s="1"/>
      <c r="BP485" s="1"/>
      <c r="BQ485" s="1"/>
      <c r="BR485" s="1"/>
      <c r="BS485" s="1"/>
      <c r="BT485" s="1"/>
      <c r="BU485" s="4"/>
    </row>
    <row r="486">
      <c r="AK486" s="1"/>
      <c r="AQ486" s="1"/>
      <c r="AW486" s="1"/>
      <c r="BC486" s="1"/>
      <c r="BD486" s="1"/>
      <c r="BE486" s="1"/>
      <c r="BF486" s="1"/>
      <c r="BG486" s="1"/>
      <c r="BH486" s="1"/>
      <c r="BI486" s="1"/>
      <c r="BO486" s="1"/>
      <c r="BP486" s="1"/>
      <c r="BQ486" s="1"/>
      <c r="BR486" s="1"/>
      <c r="BS486" s="1"/>
      <c r="BT486" s="1"/>
      <c r="BU486" s="4"/>
    </row>
    <row r="487">
      <c r="AK487" s="1"/>
      <c r="AQ487" s="1"/>
      <c r="AW487" s="1"/>
      <c r="BC487" s="1"/>
      <c r="BD487" s="1"/>
      <c r="BE487" s="1"/>
      <c r="BF487" s="1"/>
      <c r="BG487" s="1"/>
      <c r="BH487" s="1"/>
      <c r="BI487" s="1"/>
      <c r="BO487" s="1"/>
      <c r="BP487" s="1"/>
      <c r="BQ487" s="1"/>
      <c r="BR487" s="1"/>
      <c r="BS487" s="1"/>
      <c r="BT487" s="1"/>
      <c r="BU487" s="4"/>
    </row>
    <row r="488">
      <c r="AK488" s="1"/>
      <c r="AQ488" s="1"/>
      <c r="AW488" s="1"/>
      <c r="BC488" s="1"/>
      <c r="BD488" s="1"/>
      <c r="BE488" s="1"/>
      <c r="BF488" s="1"/>
      <c r="BG488" s="1"/>
      <c r="BH488" s="1"/>
      <c r="BI488" s="1"/>
      <c r="BO488" s="1"/>
      <c r="BP488" s="1"/>
      <c r="BQ488" s="1"/>
      <c r="BR488" s="1"/>
      <c r="BS488" s="1"/>
      <c r="BT488" s="1"/>
      <c r="BU488" s="4"/>
    </row>
    <row r="489">
      <c r="AK489" s="1"/>
      <c r="AQ489" s="1"/>
      <c r="AW489" s="1"/>
      <c r="BC489" s="1"/>
      <c r="BD489" s="1"/>
      <c r="BE489" s="1"/>
      <c r="BF489" s="1"/>
      <c r="BG489" s="1"/>
      <c r="BH489" s="1"/>
      <c r="BI489" s="1"/>
      <c r="BO489" s="1"/>
      <c r="BP489" s="1"/>
      <c r="BQ489" s="1"/>
      <c r="BR489" s="1"/>
      <c r="BS489" s="1"/>
      <c r="BT489" s="1"/>
      <c r="BU489" s="4"/>
    </row>
    <row r="490">
      <c r="AK490" s="1"/>
      <c r="AQ490" s="1"/>
      <c r="AW490" s="1"/>
      <c r="BC490" s="1"/>
      <c r="BD490" s="1"/>
      <c r="BE490" s="1"/>
      <c r="BF490" s="1"/>
      <c r="BG490" s="1"/>
      <c r="BH490" s="1"/>
      <c r="BI490" s="1"/>
      <c r="BO490" s="1"/>
      <c r="BP490" s="1"/>
      <c r="BQ490" s="1"/>
      <c r="BR490" s="1"/>
      <c r="BS490" s="1"/>
      <c r="BT490" s="1"/>
      <c r="BU490" s="4"/>
    </row>
    <row r="491">
      <c r="AK491" s="1"/>
      <c r="AQ491" s="1"/>
      <c r="AW491" s="1"/>
      <c r="BC491" s="1"/>
      <c r="BD491" s="1"/>
      <c r="BE491" s="1"/>
      <c r="BF491" s="1"/>
      <c r="BG491" s="1"/>
      <c r="BH491" s="1"/>
      <c r="BI491" s="1"/>
      <c r="BO491" s="1"/>
      <c r="BP491" s="1"/>
      <c r="BQ491" s="1"/>
      <c r="BR491" s="1"/>
      <c r="BS491" s="1"/>
      <c r="BT491" s="1"/>
      <c r="BU491" s="4"/>
    </row>
    <row r="492">
      <c r="AK492" s="1"/>
      <c r="AQ492" s="1"/>
      <c r="AW492" s="1"/>
      <c r="BC492" s="1"/>
      <c r="BD492" s="1"/>
      <c r="BE492" s="1"/>
      <c r="BF492" s="1"/>
      <c r="BG492" s="1"/>
      <c r="BH492" s="1"/>
      <c r="BI492" s="1"/>
      <c r="BO492" s="1"/>
      <c r="BP492" s="1"/>
      <c r="BQ492" s="1"/>
      <c r="BR492" s="1"/>
      <c r="BS492" s="1"/>
      <c r="BT492" s="1"/>
      <c r="BU492" s="4"/>
    </row>
    <row r="493">
      <c r="AK493" s="1"/>
      <c r="AQ493" s="1"/>
      <c r="AW493" s="1"/>
      <c r="BC493" s="1"/>
      <c r="BD493" s="1"/>
      <c r="BE493" s="1"/>
      <c r="BF493" s="1"/>
      <c r="BG493" s="1"/>
      <c r="BH493" s="1"/>
      <c r="BI493" s="1"/>
      <c r="BO493" s="1"/>
      <c r="BP493" s="1"/>
      <c r="BQ493" s="1"/>
      <c r="BR493" s="1"/>
      <c r="BS493" s="1"/>
      <c r="BT493" s="1"/>
      <c r="BU493" s="4"/>
    </row>
    <row r="494">
      <c r="AK494" s="1"/>
      <c r="AQ494" s="1"/>
      <c r="AW494" s="1"/>
      <c r="BC494" s="1"/>
      <c r="BD494" s="1"/>
      <c r="BE494" s="1"/>
      <c r="BF494" s="1"/>
      <c r="BG494" s="1"/>
      <c r="BH494" s="1"/>
      <c r="BI494" s="1"/>
      <c r="BO494" s="1"/>
      <c r="BP494" s="1"/>
      <c r="BQ494" s="1"/>
      <c r="BR494" s="1"/>
      <c r="BS494" s="1"/>
      <c r="BT494" s="1"/>
      <c r="BU494" s="4"/>
    </row>
    <row r="495">
      <c r="AK495" s="1"/>
      <c r="AQ495" s="1"/>
      <c r="AW495" s="1"/>
      <c r="BC495" s="1"/>
      <c r="BD495" s="1"/>
      <c r="BE495" s="1"/>
      <c r="BF495" s="1"/>
      <c r="BG495" s="1"/>
      <c r="BH495" s="1"/>
      <c r="BI495" s="1"/>
      <c r="BO495" s="1"/>
      <c r="BP495" s="1"/>
      <c r="BQ495" s="1"/>
      <c r="BR495" s="1"/>
      <c r="BS495" s="1"/>
      <c r="BT495" s="1"/>
      <c r="BU495" s="4"/>
    </row>
    <row r="496">
      <c r="AK496" s="1"/>
      <c r="AQ496" s="1"/>
      <c r="AW496" s="1"/>
      <c r="BC496" s="1"/>
      <c r="BD496" s="1"/>
      <c r="BE496" s="1"/>
      <c r="BF496" s="1"/>
      <c r="BG496" s="1"/>
      <c r="BH496" s="1"/>
      <c r="BI496" s="1"/>
      <c r="BO496" s="1"/>
      <c r="BP496" s="1"/>
      <c r="BQ496" s="1"/>
      <c r="BR496" s="1"/>
      <c r="BS496" s="1"/>
      <c r="BT496" s="1"/>
      <c r="BU496" s="4"/>
    </row>
    <row r="497">
      <c r="AK497" s="1"/>
      <c r="AQ497" s="1"/>
      <c r="AW497" s="1"/>
      <c r="BC497" s="1"/>
      <c r="BD497" s="1"/>
      <c r="BE497" s="1"/>
      <c r="BF497" s="1"/>
      <c r="BG497" s="1"/>
      <c r="BH497" s="1"/>
      <c r="BI497" s="1"/>
      <c r="BO497" s="1"/>
      <c r="BP497" s="1"/>
      <c r="BQ497" s="1"/>
      <c r="BR497" s="1"/>
      <c r="BS497" s="1"/>
      <c r="BT497" s="1"/>
      <c r="BU497" s="4"/>
    </row>
    <row r="498">
      <c r="AK498" s="1"/>
      <c r="AQ498" s="1"/>
      <c r="AW498" s="1"/>
      <c r="BC498" s="1"/>
      <c r="BD498" s="1"/>
      <c r="BE498" s="1"/>
      <c r="BF498" s="1"/>
      <c r="BG498" s="1"/>
      <c r="BH498" s="1"/>
      <c r="BI498" s="1"/>
      <c r="BO498" s="1"/>
      <c r="BP498" s="1"/>
      <c r="BQ498" s="1"/>
      <c r="BR498" s="1"/>
      <c r="BS498" s="1"/>
      <c r="BT498" s="1"/>
      <c r="BU498" s="4"/>
    </row>
    <row r="499">
      <c r="AK499" s="1"/>
      <c r="AQ499" s="1"/>
      <c r="AW499" s="1"/>
      <c r="BC499" s="1"/>
      <c r="BD499" s="1"/>
      <c r="BE499" s="1"/>
      <c r="BF499" s="1"/>
      <c r="BG499" s="1"/>
      <c r="BH499" s="1"/>
      <c r="BI499" s="1"/>
      <c r="BO499" s="1"/>
      <c r="BP499" s="1"/>
      <c r="BQ499" s="1"/>
      <c r="BR499" s="1"/>
      <c r="BS499" s="1"/>
      <c r="BT499" s="1"/>
      <c r="BU499" s="4"/>
    </row>
    <row r="500">
      <c r="AK500" s="1"/>
      <c r="AQ500" s="1"/>
      <c r="AW500" s="1"/>
      <c r="BC500" s="1"/>
      <c r="BD500" s="1"/>
      <c r="BE500" s="1"/>
      <c r="BF500" s="1"/>
      <c r="BG500" s="1"/>
      <c r="BH500" s="1"/>
      <c r="BI500" s="1"/>
      <c r="BO500" s="1"/>
      <c r="BP500" s="1"/>
      <c r="BQ500" s="1"/>
      <c r="BR500" s="1"/>
      <c r="BS500" s="1"/>
      <c r="BT500" s="1"/>
      <c r="BU500" s="4"/>
    </row>
    <row r="501">
      <c r="AK501" s="1"/>
      <c r="AQ501" s="1"/>
      <c r="AW501" s="1"/>
      <c r="BC501" s="1"/>
      <c r="BD501" s="1"/>
      <c r="BE501" s="1"/>
      <c r="BF501" s="1"/>
      <c r="BG501" s="1"/>
      <c r="BH501" s="1"/>
      <c r="BI501" s="1"/>
      <c r="BO501" s="1"/>
      <c r="BP501" s="1"/>
      <c r="BQ501" s="1"/>
      <c r="BR501" s="1"/>
      <c r="BS501" s="1"/>
      <c r="BT501" s="1"/>
      <c r="BU501" s="4"/>
    </row>
    <row r="502">
      <c r="AK502" s="1"/>
      <c r="AQ502" s="1"/>
      <c r="AW502" s="1"/>
      <c r="BC502" s="1"/>
      <c r="BD502" s="1"/>
      <c r="BE502" s="1"/>
      <c r="BF502" s="1"/>
      <c r="BG502" s="1"/>
      <c r="BH502" s="1"/>
      <c r="BI502" s="1"/>
      <c r="BO502" s="1"/>
      <c r="BP502" s="1"/>
      <c r="BQ502" s="1"/>
      <c r="BR502" s="1"/>
      <c r="BS502" s="1"/>
      <c r="BT502" s="1"/>
      <c r="BU502" s="4"/>
    </row>
    <row r="503">
      <c r="AK503" s="1"/>
      <c r="AQ503" s="1"/>
      <c r="AW503" s="1"/>
      <c r="BC503" s="1"/>
      <c r="BD503" s="1"/>
      <c r="BE503" s="1"/>
      <c r="BF503" s="1"/>
      <c r="BG503" s="1"/>
      <c r="BH503" s="1"/>
      <c r="BI503" s="1"/>
      <c r="BO503" s="1"/>
      <c r="BP503" s="1"/>
      <c r="BQ503" s="1"/>
      <c r="BR503" s="1"/>
      <c r="BS503" s="1"/>
      <c r="BT503" s="1"/>
      <c r="BU503" s="4"/>
    </row>
    <row r="504">
      <c r="AK504" s="1"/>
      <c r="AQ504" s="1"/>
      <c r="AW504" s="1"/>
      <c r="BC504" s="1"/>
      <c r="BD504" s="1"/>
      <c r="BE504" s="1"/>
      <c r="BF504" s="1"/>
      <c r="BG504" s="1"/>
      <c r="BH504" s="1"/>
      <c r="BI504" s="1"/>
      <c r="BO504" s="1"/>
      <c r="BP504" s="1"/>
      <c r="BQ504" s="1"/>
      <c r="BR504" s="1"/>
      <c r="BS504" s="1"/>
      <c r="BT504" s="1"/>
      <c r="BU504" s="4"/>
    </row>
    <row r="505">
      <c r="AK505" s="1"/>
      <c r="AQ505" s="1"/>
      <c r="AW505" s="1"/>
      <c r="BC505" s="1"/>
      <c r="BD505" s="1"/>
      <c r="BE505" s="1"/>
      <c r="BF505" s="1"/>
      <c r="BG505" s="1"/>
      <c r="BH505" s="1"/>
      <c r="BI505" s="1"/>
      <c r="BO505" s="1"/>
      <c r="BP505" s="1"/>
      <c r="BQ505" s="1"/>
      <c r="BR505" s="1"/>
      <c r="BS505" s="1"/>
      <c r="BT505" s="1"/>
      <c r="BU505" s="4"/>
    </row>
    <row r="506">
      <c r="AK506" s="1"/>
      <c r="AQ506" s="1"/>
      <c r="AW506" s="1"/>
      <c r="BC506" s="1"/>
      <c r="BD506" s="1"/>
      <c r="BE506" s="1"/>
      <c r="BF506" s="1"/>
      <c r="BG506" s="1"/>
      <c r="BH506" s="1"/>
      <c r="BI506" s="1"/>
      <c r="BO506" s="1"/>
      <c r="BP506" s="1"/>
      <c r="BQ506" s="1"/>
      <c r="BR506" s="1"/>
      <c r="BS506" s="1"/>
      <c r="BT506" s="1"/>
      <c r="BU506" s="4"/>
    </row>
    <row r="507">
      <c r="AK507" s="1"/>
      <c r="AQ507" s="1"/>
      <c r="AW507" s="1"/>
      <c r="BC507" s="1"/>
      <c r="BD507" s="1"/>
      <c r="BE507" s="1"/>
      <c r="BF507" s="1"/>
      <c r="BG507" s="1"/>
      <c r="BH507" s="1"/>
      <c r="BI507" s="1"/>
      <c r="BO507" s="1"/>
      <c r="BP507" s="1"/>
      <c r="BQ507" s="1"/>
      <c r="BR507" s="1"/>
      <c r="BS507" s="1"/>
      <c r="BT507" s="1"/>
      <c r="BU507" s="4"/>
    </row>
    <row r="508">
      <c r="AK508" s="1"/>
      <c r="AQ508" s="1"/>
      <c r="AW508" s="1"/>
      <c r="BC508" s="1"/>
      <c r="BD508" s="1"/>
      <c r="BE508" s="1"/>
      <c r="BF508" s="1"/>
      <c r="BG508" s="1"/>
      <c r="BH508" s="1"/>
      <c r="BI508" s="1"/>
      <c r="BO508" s="1"/>
      <c r="BP508" s="1"/>
      <c r="BQ508" s="1"/>
      <c r="BR508" s="1"/>
      <c r="BS508" s="1"/>
      <c r="BT508" s="1"/>
      <c r="BU508" s="4"/>
    </row>
    <row r="509">
      <c r="AK509" s="1"/>
      <c r="AQ509" s="1"/>
      <c r="AW509" s="1"/>
      <c r="BC509" s="1"/>
      <c r="BD509" s="1"/>
      <c r="BE509" s="1"/>
      <c r="BF509" s="1"/>
      <c r="BG509" s="1"/>
      <c r="BH509" s="1"/>
      <c r="BI509" s="1"/>
      <c r="BO509" s="1"/>
      <c r="BP509" s="1"/>
      <c r="BQ509" s="1"/>
      <c r="BR509" s="1"/>
      <c r="BS509" s="1"/>
      <c r="BT509" s="1"/>
      <c r="BU509" s="4"/>
    </row>
    <row r="510">
      <c r="AK510" s="1"/>
      <c r="AQ510" s="1"/>
      <c r="AW510" s="1"/>
      <c r="BC510" s="1"/>
      <c r="BD510" s="1"/>
      <c r="BE510" s="1"/>
      <c r="BF510" s="1"/>
      <c r="BG510" s="1"/>
      <c r="BH510" s="1"/>
      <c r="BI510" s="1"/>
      <c r="BO510" s="1"/>
      <c r="BP510" s="1"/>
      <c r="BQ510" s="1"/>
      <c r="BR510" s="1"/>
      <c r="BS510" s="1"/>
      <c r="BT510" s="1"/>
      <c r="BU510" s="4"/>
    </row>
    <row r="511">
      <c r="AK511" s="1"/>
      <c r="AQ511" s="1"/>
      <c r="AW511" s="1"/>
      <c r="BC511" s="1"/>
      <c r="BD511" s="1"/>
      <c r="BE511" s="1"/>
      <c r="BF511" s="1"/>
      <c r="BG511" s="1"/>
      <c r="BH511" s="1"/>
      <c r="BI511" s="1"/>
      <c r="BO511" s="1"/>
      <c r="BP511" s="1"/>
      <c r="BQ511" s="1"/>
      <c r="BR511" s="1"/>
      <c r="BS511" s="1"/>
      <c r="BT511" s="1"/>
      <c r="BU511" s="4"/>
    </row>
    <row r="512">
      <c r="AK512" s="1"/>
      <c r="AQ512" s="1"/>
      <c r="AW512" s="1"/>
      <c r="BC512" s="1"/>
      <c r="BD512" s="1"/>
      <c r="BE512" s="1"/>
      <c r="BF512" s="1"/>
      <c r="BG512" s="1"/>
      <c r="BH512" s="1"/>
      <c r="BI512" s="1"/>
      <c r="BO512" s="1"/>
      <c r="BP512" s="1"/>
      <c r="BQ512" s="1"/>
      <c r="BR512" s="1"/>
      <c r="BS512" s="1"/>
      <c r="BT512" s="1"/>
      <c r="BU512" s="4"/>
    </row>
    <row r="513">
      <c r="AK513" s="1"/>
      <c r="AQ513" s="1"/>
      <c r="AW513" s="1"/>
      <c r="BC513" s="1"/>
      <c r="BD513" s="1"/>
      <c r="BE513" s="1"/>
      <c r="BF513" s="1"/>
      <c r="BG513" s="1"/>
      <c r="BH513" s="1"/>
      <c r="BI513" s="1"/>
      <c r="BO513" s="1"/>
      <c r="BP513" s="1"/>
      <c r="BQ513" s="1"/>
      <c r="BR513" s="1"/>
      <c r="BS513" s="1"/>
      <c r="BT513" s="1"/>
      <c r="BU513" s="4"/>
    </row>
    <row r="514">
      <c r="AK514" s="1"/>
      <c r="AQ514" s="1"/>
      <c r="AW514" s="1"/>
      <c r="BC514" s="1"/>
      <c r="BD514" s="1"/>
      <c r="BE514" s="1"/>
      <c r="BF514" s="1"/>
      <c r="BG514" s="1"/>
      <c r="BH514" s="1"/>
      <c r="BI514" s="1"/>
      <c r="BO514" s="1"/>
      <c r="BP514" s="1"/>
      <c r="BQ514" s="1"/>
      <c r="BR514" s="1"/>
      <c r="BS514" s="1"/>
      <c r="BT514" s="1"/>
      <c r="BU514" s="4"/>
    </row>
    <row r="515">
      <c r="AK515" s="1"/>
      <c r="AQ515" s="1"/>
      <c r="AW515" s="1"/>
      <c r="BC515" s="1"/>
      <c r="BD515" s="1"/>
      <c r="BE515" s="1"/>
      <c r="BF515" s="1"/>
      <c r="BG515" s="1"/>
      <c r="BH515" s="1"/>
      <c r="BI515" s="1"/>
      <c r="BO515" s="1"/>
      <c r="BP515" s="1"/>
      <c r="BQ515" s="1"/>
      <c r="BR515" s="1"/>
      <c r="BS515" s="1"/>
      <c r="BT515" s="1"/>
      <c r="BU515" s="4"/>
    </row>
    <row r="516">
      <c r="AK516" s="1"/>
      <c r="AQ516" s="1"/>
      <c r="AW516" s="1"/>
      <c r="BC516" s="1"/>
      <c r="BD516" s="1"/>
      <c r="BE516" s="1"/>
      <c r="BF516" s="1"/>
      <c r="BG516" s="1"/>
      <c r="BH516" s="1"/>
      <c r="BI516" s="1"/>
      <c r="BO516" s="1"/>
      <c r="BP516" s="1"/>
      <c r="BQ516" s="1"/>
      <c r="BR516" s="1"/>
      <c r="BS516" s="1"/>
      <c r="BT516" s="1"/>
      <c r="BU516" s="4"/>
    </row>
    <row r="517">
      <c r="AK517" s="1"/>
      <c r="AQ517" s="1"/>
      <c r="AW517" s="1"/>
      <c r="BC517" s="1"/>
      <c r="BD517" s="1"/>
      <c r="BE517" s="1"/>
      <c r="BF517" s="1"/>
      <c r="BG517" s="1"/>
      <c r="BH517" s="1"/>
      <c r="BI517" s="1"/>
      <c r="BO517" s="1"/>
      <c r="BP517" s="1"/>
      <c r="BQ517" s="1"/>
      <c r="BR517" s="1"/>
      <c r="BS517" s="1"/>
      <c r="BT517" s="1"/>
      <c r="BU517" s="4"/>
    </row>
    <row r="518">
      <c r="AK518" s="1"/>
      <c r="AQ518" s="1"/>
      <c r="AW518" s="1"/>
      <c r="BC518" s="1"/>
      <c r="BD518" s="1"/>
      <c r="BE518" s="1"/>
      <c r="BF518" s="1"/>
      <c r="BG518" s="1"/>
      <c r="BH518" s="1"/>
      <c r="BI518" s="1"/>
      <c r="BO518" s="1"/>
      <c r="BP518" s="1"/>
      <c r="BQ518" s="1"/>
      <c r="BR518" s="1"/>
      <c r="BS518" s="1"/>
      <c r="BT518" s="1"/>
      <c r="BU518" s="4"/>
    </row>
    <row r="519">
      <c r="AK519" s="1"/>
      <c r="AQ519" s="1"/>
      <c r="AW519" s="1"/>
      <c r="BC519" s="1"/>
      <c r="BD519" s="1"/>
      <c r="BE519" s="1"/>
      <c r="BF519" s="1"/>
      <c r="BG519" s="1"/>
      <c r="BH519" s="1"/>
      <c r="BI519" s="1"/>
      <c r="BO519" s="1"/>
      <c r="BP519" s="1"/>
      <c r="BQ519" s="1"/>
      <c r="BR519" s="1"/>
      <c r="BS519" s="1"/>
      <c r="BT519" s="1"/>
      <c r="BU519" s="4"/>
    </row>
    <row r="520">
      <c r="AK520" s="1"/>
      <c r="AQ520" s="1"/>
      <c r="AW520" s="1"/>
      <c r="BC520" s="1"/>
      <c r="BD520" s="1"/>
      <c r="BE520" s="1"/>
      <c r="BF520" s="1"/>
      <c r="BG520" s="1"/>
      <c r="BH520" s="1"/>
      <c r="BI520" s="1"/>
      <c r="BO520" s="1"/>
      <c r="BP520" s="1"/>
      <c r="BQ520" s="1"/>
      <c r="BR520" s="1"/>
      <c r="BS520" s="1"/>
      <c r="BT520" s="1"/>
      <c r="BU520" s="4"/>
    </row>
    <row r="521">
      <c r="AK521" s="1"/>
      <c r="AQ521" s="1"/>
      <c r="AW521" s="1"/>
      <c r="BC521" s="1"/>
      <c r="BD521" s="1"/>
      <c r="BE521" s="1"/>
      <c r="BF521" s="1"/>
      <c r="BG521" s="1"/>
      <c r="BH521" s="1"/>
      <c r="BI521" s="1"/>
      <c r="BO521" s="1"/>
      <c r="BP521" s="1"/>
      <c r="BQ521" s="1"/>
      <c r="BR521" s="1"/>
      <c r="BS521" s="1"/>
      <c r="BT521" s="1"/>
      <c r="BU521" s="4"/>
    </row>
    <row r="522">
      <c r="AK522" s="1"/>
      <c r="AQ522" s="1"/>
      <c r="AW522" s="1"/>
      <c r="BC522" s="1"/>
      <c r="BD522" s="1"/>
      <c r="BE522" s="1"/>
      <c r="BF522" s="1"/>
      <c r="BG522" s="1"/>
      <c r="BH522" s="1"/>
      <c r="BI522" s="1"/>
      <c r="BO522" s="1"/>
      <c r="BP522" s="1"/>
      <c r="BQ522" s="1"/>
      <c r="BR522" s="1"/>
      <c r="BS522" s="1"/>
      <c r="BT522" s="1"/>
      <c r="BU522" s="4"/>
    </row>
    <row r="523">
      <c r="AK523" s="1"/>
      <c r="AQ523" s="1"/>
      <c r="AW523" s="1"/>
      <c r="BC523" s="1"/>
      <c r="BD523" s="1"/>
      <c r="BE523" s="1"/>
      <c r="BF523" s="1"/>
      <c r="BG523" s="1"/>
      <c r="BH523" s="1"/>
      <c r="BI523" s="1"/>
      <c r="BO523" s="1"/>
      <c r="BP523" s="1"/>
      <c r="BQ523" s="1"/>
      <c r="BR523" s="1"/>
      <c r="BS523" s="1"/>
      <c r="BT523" s="1"/>
      <c r="BU523" s="4"/>
    </row>
    <row r="524">
      <c r="AK524" s="1"/>
      <c r="AQ524" s="1"/>
      <c r="AW524" s="1"/>
      <c r="BC524" s="1"/>
      <c r="BD524" s="1"/>
      <c r="BE524" s="1"/>
      <c r="BF524" s="1"/>
      <c r="BG524" s="1"/>
      <c r="BH524" s="1"/>
      <c r="BI524" s="1"/>
      <c r="BO524" s="1"/>
      <c r="BP524" s="1"/>
      <c r="BQ524" s="1"/>
      <c r="BR524" s="1"/>
      <c r="BS524" s="1"/>
      <c r="BT524" s="1"/>
      <c r="BU524" s="4"/>
    </row>
    <row r="525">
      <c r="AK525" s="1"/>
      <c r="AQ525" s="1"/>
      <c r="AW525" s="1"/>
      <c r="BC525" s="1"/>
      <c r="BD525" s="1"/>
      <c r="BE525" s="1"/>
      <c r="BF525" s="1"/>
      <c r="BG525" s="1"/>
      <c r="BH525" s="1"/>
      <c r="BI525" s="1"/>
      <c r="BO525" s="1"/>
      <c r="BP525" s="1"/>
      <c r="BQ525" s="1"/>
      <c r="BR525" s="1"/>
      <c r="BS525" s="1"/>
      <c r="BT525" s="1"/>
      <c r="BU525" s="4"/>
    </row>
    <row r="526">
      <c r="AK526" s="1"/>
      <c r="AQ526" s="1"/>
      <c r="AW526" s="1"/>
      <c r="BC526" s="1"/>
      <c r="BD526" s="1"/>
      <c r="BE526" s="1"/>
      <c r="BF526" s="1"/>
      <c r="BG526" s="1"/>
      <c r="BH526" s="1"/>
      <c r="BI526" s="1"/>
      <c r="BO526" s="1"/>
      <c r="BP526" s="1"/>
      <c r="BQ526" s="1"/>
      <c r="BR526" s="1"/>
      <c r="BS526" s="1"/>
      <c r="BT526" s="1"/>
      <c r="BU526" s="4"/>
    </row>
    <row r="527">
      <c r="AK527" s="1"/>
      <c r="AQ527" s="1"/>
      <c r="AW527" s="1"/>
      <c r="BC527" s="1"/>
      <c r="BD527" s="1"/>
      <c r="BE527" s="1"/>
      <c r="BF527" s="1"/>
      <c r="BG527" s="1"/>
      <c r="BH527" s="1"/>
      <c r="BI527" s="1"/>
      <c r="BO527" s="1"/>
      <c r="BP527" s="1"/>
      <c r="BQ527" s="1"/>
      <c r="BR527" s="1"/>
      <c r="BS527" s="1"/>
      <c r="BT527" s="1"/>
      <c r="BU527" s="4"/>
    </row>
    <row r="528">
      <c r="AK528" s="1"/>
      <c r="AQ528" s="1"/>
      <c r="AW528" s="1"/>
      <c r="BC528" s="1"/>
      <c r="BD528" s="1"/>
      <c r="BE528" s="1"/>
      <c r="BF528" s="1"/>
      <c r="BG528" s="1"/>
      <c r="BH528" s="1"/>
      <c r="BI528" s="1"/>
      <c r="BO528" s="1"/>
      <c r="BP528" s="1"/>
      <c r="BQ528" s="1"/>
      <c r="BR528" s="1"/>
      <c r="BS528" s="1"/>
      <c r="BT528" s="1"/>
      <c r="BU528" s="4"/>
    </row>
    <row r="529">
      <c r="AK529" s="1"/>
      <c r="AQ529" s="1"/>
      <c r="AW529" s="1"/>
      <c r="BC529" s="1"/>
      <c r="BD529" s="1"/>
      <c r="BE529" s="1"/>
      <c r="BF529" s="1"/>
      <c r="BG529" s="1"/>
      <c r="BH529" s="1"/>
      <c r="BI529" s="1"/>
      <c r="BO529" s="1"/>
      <c r="BP529" s="1"/>
      <c r="BQ529" s="1"/>
      <c r="BR529" s="1"/>
      <c r="BS529" s="1"/>
      <c r="BT529" s="1"/>
      <c r="BU529" s="4"/>
    </row>
    <row r="530">
      <c r="AK530" s="1"/>
      <c r="AQ530" s="1"/>
      <c r="AW530" s="1"/>
      <c r="BC530" s="1"/>
      <c r="BD530" s="1"/>
      <c r="BE530" s="1"/>
      <c r="BF530" s="1"/>
      <c r="BG530" s="1"/>
      <c r="BH530" s="1"/>
      <c r="BI530" s="1"/>
      <c r="BO530" s="1"/>
      <c r="BP530" s="1"/>
      <c r="BQ530" s="1"/>
      <c r="BR530" s="1"/>
      <c r="BS530" s="1"/>
      <c r="BT530" s="1"/>
      <c r="BU530" s="4"/>
    </row>
    <row r="531">
      <c r="AK531" s="1"/>
      <c r="AQ531" s="1"/>
      <c r="AW531" s="1"/>
      <c r="BC531" s="1"/>
      <c r="BD531" s="1"/>
      <c r="BE531" s="1"/>
      <c r="BF531" s="1"/>
      <c r="BG531" s="1"/>
      <c r="BH531" s="1"/>
      <c r="BI531" s="1"/>
      <c r="BO531" s="1"/>
      <c r="BP531" s="1"/>
      <c r="BQ531" s="1"/>
      <c r="BR531" s="1"/>
      <c r="BS531" s="1"/>
      <c r="BT531" s="1"/>
      <c r="BU531" s="4"/>
    </row>
    <row r="532">
      <c r="AK532" s="1"/>
      <c r="AQ532" s="1"/>
      <c r="AW532" s="1"/>
      <c r="BC532" s="1"/>
      <c r="BD532" s="1"/>
      <c r="BE532" s="1"/>
      <c r="BF532" s="1"/>
      <c r="BG532" s="1"/>
      <c r="BH532" s="1"/>
      <c r="BI532" s="1"/>
      <c r="BO532" s="1"/>
      <c r="BP532" s="1"/>
      <c r="BQ532" s="1"/>
      <c r="BR532" s="1"/>
      <c r="BS532" s="1"/>
      <c r="BT532" s="1"/>
      <c r="BU532" s="4"/>
    </row>
    <row r="533">
      <c r="AK533" s="1"/>
      <c r="AQ533" s="1"/>
      <c r="AW533" s="1"/>
      <c r="BC533" s="1"/>
      <c r="BD533" s="1"/>
      <c r="BE533" s="1"/>
      <c r="BF533" s="1"/>
      <c r="BG533" s="1"/>
      <c r="BH533" s="1"/>
      <c r="BI533" s="1"/>
      <c r="BO533" s="1"/>
      <c r="BP533" s="1"/>
      <c r="BQ533" s="1"/>
      <c r="BR533" s="1"/>
      <c r="BS533" s="1"/>
      <c r="BT533" s="1"/>
      <c r="BU533" s="4"/>
    </row>
    <row r="534">
      <c r="AK534" s="1"/>
      <c r="AQ534" s="1"/>
      <c r="AW534" s="1"/>
      <c r="BC534" s="1"/>
      <c r="BD534" s="1"/>
      <c r="BE534" s="1"/>
      <c r="BF534" s="1"/>
      <c r="BG534" s="1"/>
      <c r="BH534" s="1"/>
      <c r="BI534" s="1"/>
      <c r="BO534" s="1"/>
      <c r="BP534" s="1"/>
      <c r="BQ534" s="1"/>
      <c r="BR534" s="1"/>
      <c r="BS534" s="1"/>
      <c r="BT534" s="1"/>
      <c r="BU534" s="4"/>
    </row>
    <row r="535">
      <c r="AK535" s="1"/>
      <c r="AQ535" s="1"/>
      <c r="AW535" s="1"/>
      <c r="BC535" s="1"/>
      <c r="BD535" s="1"/>
      <c r="BE535" s="1"/>
      <c r="BF535" s="1"/>
      <c r="BG535" s="1"/>
      <c r="BH535" s="1"/>
      <c r="BI535" s="1"/>
      <c r="BO535" s="1"/>
      <c r="BP535" s="1"/>
      <c r="BQ535" s="1"/>
      <c r="BR535" s="1"/>
      <c r="BS535" s="1"/>
      <c r="BT535" s="1"/>
      <c r="BU535" s="4"/>
    </row>
    <row r="536">
      <c r="AK536" s="1"/>
      <c r="AQ536" s="1"/>
      <c r="AW536" s="1"/>
      <c r="BC536" s="1"/>
      <c r="BD536" s="1"/>
      <c r="BE536" s="1"/>
      <c r="BF536" s="1"/>
      <c r="BG536" s="1"/>
      <c r="BH536" s="1"/>
      <c r="BI536" s="1"/>
      <c r="BO536" s="1"/>
      <c r="BP536" s="1"/>
      <c r="BQ536" s="1"/>
      <c r="BR536" s="1"/>
      <c r="BS536" s="1"/>
      <c r="BT536" s="1"/>
      <c r="BU536" s="4"/>
    </row>
    <row r="537">
      <c r="AK537" s="1"/>
      <c r="AQ537" s="1"/>
      <c r="AW537" s="1"/>
      <c r="BC537" s="1"/>
      <c r="BD537" s="1"/>
      <c r="BE537" s="1"/>
      <c r="BF537" s="1"/>
      <c r="BG537" s="1"/>
      <c r="BH537" s="1"/>
      <c r="BI537" s="1"/>
      <c r="BO537" s="1"/>
      <c r="BP537" s="1"/>
      <c r="BQ537" s="1"/>
      <c r="BR537" s="1"/>
      <c r="BS537" s="1"/>
      <c r="BT537" s="1"/>
      <c r="BU537" s="4"/>
    </row>
    <row r="538">
      <c r="AK538" s="1"/>
      <c r="AQ538" s="1"/>
      <c r="AW538" s="1"/>
      <c r="BC538" s="1"/>
      <c r="BD538" s="1"/>
      <c r="BE538" s="1"/>
      <c r="BF538" s="1"/>
      <c r="BG538" s="1"/>
      <c r="BH538" s="1"/>
      <c r="BI538" s="1"/>
      <c r="BO538" s="1"/>
      <c r="BP538" s="1"/>
      <c r="BQ538" s="1"/>
      <c r="BR538" s="1"/>
      <c r="BS538" s="1"/>
      <c r="BT538" s="1"/>
      <c r="BU538" s="4"/>
    </row>
    <row r="539">
      <c r="AK539" s="1"/>
      <c r="AQ539" s="1"/>
      <c r="AW539" s="1"/>
      <c r="BC539" s="1"/>
      <c r="BD539" s="1"/>
      <c r="BE539" s="1"/>
      <c r="BF539" s="1"/>
      <c r="BG539" s="1"/>
      <c r="BH539" s="1"/>
      <c r="BI539" s="1"/>
      <c r="BO539" s="1"/>
      <c r="BP539" s="1"/>
      <c r="BQ539" s="1"/>
      <c r="BR539" s="1"/>
      <c r="BS539" s="1"/>
      <c r="BT539" s="1"/>
      <c r="BU539" s="4"/>
    </row>
    <row r="540">
      <c r="AK540" s="1"/>
      <c r="AQ540" s="1"/>
      <c r="AW540" s="1"/>
      <c r="BC540" s="1"/>
      <c r="BD540" s="1"/>
      <c r="BE540" s="1"/>
      <c r="BF540" s="1"/>
      <c r="BG540" s="1"/>
      <c r="BH540" s="1"/>
      <c r="BI540" s="1"/>
      <c r="BO540" s="1"/>
      <c r="BP540" s="1"/>
      <c r="BQ540" s="1"/>
      <c r="BR540" s="1"/>
      <c r="BS540" s="1"/>
      <c r="BT540" s="1"/>
      <c r="BU540" s="4"/>
    </row>
    <row r="541">
      <c r="AK541" s="1"/>
      <c r="AQ541" s="1"/>
      <c r="AW541" s="1"/>
      <c r="BC541" s="1"/>
      <c r="BD541" s="1"/>
      <c r="BE541" s="1"/>
      <c r="BF541" s="1"/>
      <c r="BG541" s="1"/>
      <c r="BH541" s="1"/>
      <c r="BI541" s="1"/>
      <c r="BO541" s="1"/>
      <c r="BP541" s="1"/>
      <c r="BQ541" s="1"/>
      <c r="BR541" s="1"/>
      <c r="BS541" s="1"/>
      <c r="BT541" s="1"/>
      <c r="BU541" s="4"/>
    </row>
    <row r="542">
      <c r="AK542" s="1"/>
      <c r="AQ542" s="1"/>
      <c r="AW542" s="1"/>
      <c r="BC542" s="1"/>
      <c r="BD542" s="1"/>
      <c r="BE542" s="1"/>
      <c r="BF542" s="1"/>
      <c r="BG542" s="1"/>
      <c r="BH542" s="1"/>
      <c r="BI542" s="1"/>
      <c r="BO542" s="1"/>
      <c r="BP542" s="1"/>
      <c r="BQ542" s="1"/>
      <c r="BR542" s="1"/>
      <c r="BS542" s="1"/>
      <c r="BT542" s="1"/>
      <c r="BU542" s="4"/>
    </row>
    <row r="543">
      <c r="AK543" s="1"/>
      <c r="AQ543" s="1"/>
      <c r="AW543" s="1"/>
      <c r="BC543" s="1"/>
      <c r="BD543" s="1"/>
      <c r="BE543" s="1"/>
      <c r="BF543" s="1"/>
      <c r="BG543" s="1"/>
      <c r="BH543" s="1"/>
      <c r="BI543" s="1"/>
      <c r="BO543" s="1"/>
      <c r="BP543" s="1"/>
      <c r="BQ543" s="1"/>
      <c r="BR543" s="1"/>
      <c r="BS543" s="1"/>
      <c r="BT543" s="1"/>
      <c r="BU543" s="4"/>
    </row>
    <row r="544">
      <c r="AK544" s="1"/>
      <c r="AQ544" s="1"/>
      <c r="AW544" s="1"/>
      <c r="BC544" s="1"/>
      <c r="BD544" s="1"/>
      <c r="BE544" s="1"/>
      <c r="BF544" s="1"/>
      <c r="BG544" s="1"/>
      <c r="BH544" s="1"/>
      <c r="BI544" s="1"/>
      <c r="BO544" s="1"/>
      <c r="BP544" s="1"/>
      <c r="BQ544" s="1"/>
      <c r="BR544" s="1"/>
      <c r="BS544" s="1"/>
      <c r="BT544" s="1"/>
      <c r="BU544" s="4"/>
    </row>
    <row r="545">
      <c r="AK545" s="1"/>
      <c r="AQ545" s="1"/>
      <c r="AW545" s="1"/>
      <c r="BC545" s="1"/>
      <c r="BD545" s="1"/>
      <c r="BE545" s="1"/>
      <c r="BF545" s="1"/>
      <c r="BG545" s="1"/>
      <c r="BH545" s="1"/>
      <c r="BI545" s="1"/>
      <c r="BO545" s="1"/>
      <c r="BP545" s="1"/>
      <c r="BQ545" s="1"/>
      <c r="BR545" s="1"/>
      <c r="BS545" s="1"/>
      <c r="BT545" s="1"/>
      <c r="BU545" s="4"/>
    </row>
    <row r="546">
      <c r="AK546" s="1"/>
      <c r="AQ546" s="1"/>
      <c r="AW546" s="1"/>
      <c r="BC546" s="1"/>
      <c r="BD546" s="1"/>
      <c r="BE546" s="1"/>
      <c r="BF546" s="1"/>
      <c r="BG546" s="1"/>
      <c r="BH546" s="1"/>
      <c r="BI546" s="1"/>
      <c r="BO546" s="1"/>
      <c r="BP546" s="1"/>
      <c r="BQ546" s="1"/>
      <c r="BR546" s="1"/>
      <c r="BS546" s="1"/>
      <c r="BT546" s="1"/>
      <c r="BU546" s="4"/>
    </row>
    <row r="547">
      <c r="AK547" s="1"/>
      <c r="AQ547" s="1"/>
      <c r="AW547" s="1"/>
      <c r="BC547" s="1"/>
      <c r="BD547" s="1"/>
      <c r="BE547" s="1"/>
      <c r="BF547" s="1"/>
      <c r="BG547" s="1"/>
      <c r="BH547" s="1"/>
      <c r="BI547" s="1"/>
      <c r="BO547" s="1"/>
      <c r="BP547" s="1"/>
      <c r="BQ547" s="1"/>
      <c r="BR547" s="1"/>
      <c r="BS547" s="1"/>
      <c r="BT547" s="1"/>
      <c r="BU547" s="4"/>
    </row>
    <row r="548">
      <c r="AK548" s="1"/>
      <c r="AQ548" s="1"/>
      <c r="AW548" s="1"/>
      <c r="BC548" s="1"/>
      <c r="BD548" s="1"/>
      <c r="BE548" s="1"/>
      <c r="BF548" s="1"/>
      <c r="BG548" s="1"/>
      <c r="BH548" s="1"/>
      <c r="BI548" s="1"/>
      <c r="BO548" s="1"/>
      <c r="BP548" s="1"/>
      <c r="BQ548" s="1"/>
      <c r="BR548" s="1"/>
      <c r="BS548" s="1"/>
      <c r="BT548" s="1"/>
      <c r="BU548" s="4"/>
    </row>
    <row r="549">
      <c r="AK549" s="1"/>
      <c r="AQ549" s="1"/>
      <c r="AW549" s="1"/>
      <c r="BC549" s="1"/>
      <c r="BD549" s="1"/>
      <c r="BE549" s="1"/>
      <c r="BF549" s="1"/>
      <c r="BG549" s="1"/>
      <c r="BH549" s="1"/>
      <c r="BI549" s="1"/>
      <c r="BO549" s="1"/>
      <c r="BP549" s="1"/>
      <c r="BQ549" s="1"/>
      <c r="BR549" s="1"/>
      <c r="BS549" s="1"/>
      <c r="BT549" s="1"/>
      <c r="BU549" s="4"/>
    </row>
    <row r="550">
      <c r="AK550" s="1"/>
      <c r="AQ550" s="1"/>
      <c r="AW550" s="1"/>
      <c r="BC550" s="1"/>
      <c r="BD550" s="1"/>
      <c r="BE550" s="1"/>
      <c r="BF550" s="1"/>
      <c r="BG550" s="1"/>
      <c r="BH550" s="1"/>
      <c r="BI550" s="1"/>
      <c r="BO550" s="1"/>
      <c r="BP550" s="1"/>
      <c r="BQ550" s="1"/>
      <c r="BR550" s="1"/>
      <c r="BS550" s="1"/>
      <c r="BT550" s="1"/>
      <c r="BU550" s="4"/>
    </row>
    <row r="551">
      <c r="AK551" s="1"/>
      <c r="AQ551" s="1"/>
      <c r="AW551" s="1"/>
      <c r="BC551" s="1"/>
      <c r="BD551" s="1"/>
      <c r="BE551" s="1"/>
      <c r="BF551" s="1"/>
      <c r="BG551" s="1"/>
      <c r="BH551" s="1"/>
      <c r="BI551" s="1"/>
      <c r="BO551" s="1"/>
      <c r="BP551" s="1"/>
      <c r="BQ551" s="1"/>
      <c r="BR551" s="1"/>
      <c r="BS551" s="1"/>
      <c r="BT551" s="1"/>
      <c r="BU551" s="4"/>
    </row>
    <row r="552">
      <c r="AK552" s="1"/>
      <c r="AQ552" s="1"/>
      <c r="AW552" s="1"/>
      <c r="BC552" s="1"/>
      <c r="BD552" s="1"/>
      <c r="BE552" s="1"/>
      <c r="BF552" s="1"/>
      <c r="BG552" s="1"/>
      <c r="BH552" s="1"/>
      <c r="BI552" s="1"/>
      <c r="BO552" s="1"/>
      <c r="BP552" s="1"/>
      <c r="BQ552" s="1"/>
      <c r="BR552" s="1"/>
      <c r="BS552" s="1"/>
      <c r="BT552" s="1"/>
      <c r="BU552" s="4"/>
    </row>
    <row r="553">
      <c r="AK553" s="1"/>
      <c r="AQ553" s="1"/>
      <c r="AW553" s="1"/>
      <c r="BC553" s="1"/>
      <c r="BD553" s="1"/>
      <c r="BE553" s="1"/>
      <c r="BF553" s="1"/>
      <c r="BG553" s="1"/>
      <c r="BH553" s="1"/>
      <c r="BI553" s="1"/>
      <c r="BO553" s="1"/>
      <c r="BP553" s="1"/>
      <c r="BQ553" s="1"/>
      <c r="BR553" s="1"/>
      <c r="BS553" s="1"/>
      <c r="BT553" s="1"/>
      <c r="BU553" s="4"/>
    </row>
    <row r="554">
      <c r="AK554" s="1"/>
      <c r="AQ554" s="1"/>
      <c r="AW554" s="1"/>
      <c r="BC554" s="1"/>
      <c r="BD554" s="1"/>
      <c r="BE554" s="1"/>
      <c r="BF554" s="1"/>
      <c r="BG554" s="1"/>
      <c r="BH554" s="1"/>
      <c r="BI554" s="1"/>
      <c r="BO554" s="1"/>
      <c r="BP554" s="1"/>
      <c r="BQ554" s="1"/>
      <c r="BR554" s="1"/>
      <c r="BS554" s="1"/>
      <c r="BT554" s="1"/>
      <c r="BU554" s="4"/>
    </row>
    <row r="555">
      <c r="AK555" s="1"/>
      <c r="AQ555" s="1"/>
      <c r="AW555" s="1"/>
      <c r="BC555" s="1"/>
      <c r="BD555" s="1"/>
      <c r="BE555" s="1"/>
      <c r="BF555" s="1"/>
      <c r="BG555" s="1"/>
      <c r="BH555" s="1"/>
      <c r="BI555" s="1"/>
      <c r="BO555" s="1"/>
      <c r="BP555" s="1"/>
      <c r="BQ555" s="1"/>
      <c r="BR555" s="1"/>
      <c r="BS555" s="1"/>
      <c r="BT555" s="1"/>
      <c r="BU555" s="4"/>
    </row>
    <row r="556">
      <c r="AK556" s="1"/>
      <c r="AQ556" s="1"/>
      <c r="AW556" s="1"/>
      <c r="BC556" s="1"/>
      <c r="BD556" s="1"/>
      <c r="BE556" s="1"/>
      <c r="BF556" s="1"/>
      <c r="BG556" s="1"/>
      <c r="BH556" s="1"/>
      <c r="BI556" s="1"/>
      <c r="BO556" s="1"/>
      <c r="BP556" s="1"/>
      <c r="BQ556" s="1"/>
      <c r="BR556" s="1"/>
      <c r="BS556" s="1"/>
      <c r="BT556" s="1"/>
      <c r="BU556" s="4"/>
    </row>
    <row r="557">
      <c r="AK557" s="1"/>
      <c r="AQ557" s="1"/>
      <c r="AW557" s="1"/>
      <c r="BC557" s="1"/>
      <c r="BD557" s="1"/>
      <c r="BE557" s="1"/>
      <c r="BF557" s="1"/>
      <c r="BG557" s="1"/>
      <c r="BH557" s="1"/>
      <c r="BI557" s="1"/>
      <c r="BO557" s="1"/>
      <c r="BP557" s="1"/>
      <c r="BQ557" s="1"/>
      <c r="BR557" s="1"/>
      <c r="BS557" s="1"/>
      <c r="BT557" s="1"/>
      <c r="BU557" s="4"/>
    </row>
    <row r="558">
      <c r="AK558" s="1"/>
      <c r="AQ558" s="1"/>
      <c r="AW558" s="1"/>
      <c r="BC558" s="1"/>
      <c r="BD558" s="1"/>
      <c r="BE558" s="1"/>
      <c r="BF558" s="1"/>
      <c r="BG558" s="1"/>
      <c r="BH558" s="1"/>
      <c r="BI558" s="1"/>
      <c r="BO558" s="1"/>
      <c r="BP558" s="1"/>
      <c r="BQ558" s="1"/>
      <c r="BR558" s="1"/>
      <c r="BS558" s="1"/>
      <c r="BT558" s="1"/>
      <c r="BU558" s="4"/>
    </row>
    <row r="559">
      <c r="AK559" s="1"/>
      <c r="AQ559" s="1"/>
      <c r="AW559" s="1"/>
      <c r="BC559" s="1"/>
      <c r="BD559" s="1"/>
      <c r="BE559" s="1"/>
      <c r="BF559" s="1"/>
      <c r="BG559" s="1"/>
      <c r="BH559" s="1"/>
      <c r="BI559" s="1"/>
      <c r="BO559" s="1"/>
      <c r="BP559" s="1"/>
      <c r="BQ559" s="1"/>
      <c r="BR559" s="1"/>
      <c r="BS559" s="1"/>
      <c r="BT559" s="1"/>
      <c r="BU559" s="4"/>
    </row>
    <row r="560">
      <c r="AK560" s="1"/>
      <c r="AQ560" s="1"/>
      <c r="AW560" s="1"/>
      <c r="BC560" s="1"/>
      <c r="BD560" s="1"/>
      <c r="BE560" s="1"/>
      <c r="BF560" s="1"/>
      <c r="BG560" s="1"/>
      <c r="BH560" s="1"/>
      <c r="BI560" s="1"/>
      <c r="BO560" s="1"/>
      <c r="BP560" s="1"/>
      <c r="BQ560" s="1"/>
      <c r="BR560" s="1"/>
      <c r="BS560" s="1"/>
      <c r="BT560" s="1"/>
      <c r="BU560" s="4"/>
    </row>
    <row r="561">
      <c r="AK561" s="1"/>
      <c r="AQ561" s="1"/>
      <c r="AW561" s="1"/>
      <c r="BC561" s="1"/>
      <c r="BD561" s="1"/>
      <c r="BE561" s="1"/>
      <c r="BF561" s="1"/>
      <c r="BG561" s="1"/>
      <c r="BH561" s="1"/>
      <c r="BI561" s="1"/>
      <c r="BO561" s="1"/>
      <c r="BP561" s="1"/>
      <c r="BQ561" s="1"/>
      <c r="BR561" s="1"/>
      <c r="BS561" s="1"/>
      <c r="BT561" s="1"/>
      <c r="BU561" s="4"/>
    </row>
    <row r="562">
      <c r="AK562" s="1"/>
      <c r="AQ562" s="1"/>
      <c r="AW562" s="1"/>
      <c r="BC562" s="1"/>
      <c r="BD562" s="1"/>
      <c r="BE562" s="1"/>
      <c r="BF562" s="1"/>
      <c r="BG562" s="1"/>
      <c r="BH562" s="1"/>
      <c r="BI562" s="1"/>
      <c r="BO562" s="1"/>
      <c r="BP562" s="1"/>
      <c r="BQ562" s="1"/>
      <c r="BR562" s="1"/>
      <c r="BS562" s="1"/>
      <c r="BT562" s="1"/>
      <c r="BU562" s="4"/>
    </row>
    <row r="563">
      <c r="AK563" s="1"/>
      <c r="AQ563" s="1"/>
      <c r="AW563" s="1"/>
      <c r="BC563" s="1"/>
      <c r="BD563" s="1"/>
      <c r="BE563" s="1"/>
      <c r="BF563" s="1"/>
      <c r="BG563" s="1"/>
      <c r="BH563" s="1"/>
      <c r="BI563" s="1"/>
      <c r="BO563" s="1"/>
      <c r="BP563" s="1"/>
      <c r="BQ563" s="1"/>
      <c r="BR563" s="1"/>
      <c r="BS563" s="1"/>
      <c r="BT563" s="1"/>
      <c r="BU563" s="4"/>
    </row>
    <row r="564">
      <c r="AK564" s="1"/>
      <c r="AQ564" s="1"/>
      <c r="AW564" s="1"/>
      <c r="BC564" s="1"/>
      <c r="BD564" s="1"/>
      <c r="BE564" s="1"/>
      <c r="BF564" s="1"/>
      <c r="BG564" s="1"/>
      <c r="BH564" s="1"/>
      <c r="BI564" s="1"/>
      <c r="BO564" s="1"/>
      <c r="BP564" s="1"/>
      <c r="BQ564" s="1"/>
      <c r="BR564" s="1"/>
      <c r="BS564" s="1"/>
      <c r="BT564" s="1"/>
      <c r="BU564" s="4"/>
    </row>
    <row r="565">
      <c r="AK565" s="1"/>
      <c r="AQ565" s="1"/>
      <c r="AW565" s="1"/>
      <c r="BC565" s="1"/>
      <c r="BD565" s="1"/>
      <c r="BE565" s="1"/>
      <c r="BF565" s="1"/>
      <c r="BG565" s="1"/>
      <c r="BH565" s="1"/>
      <c r="BI565" s="1"/>
      <c r="BO565" s="1"/>
      <c r="BP565" s="1"/>
      <c r="BQ565" s="1"/>
      <c r="BR565" s="1"/>
      <c r="BS565" s="1"/>
      <c r="BT565" s="1"/>
      <c r="BU565" s="4"/>
    </row>
    <row r="566">
      <c r="AK566" s="1"/>
      <c r="AQ566" s="1"/>
      <c r="AW566" s="1"/>
      <c r="BC566" s="1"/>
      <c r="BD566" s="1"/>
      <c r="BE566" s="1"/>
      <c r="BF566" s="1"/>
      <c r="BG566" s="1"/>
      <c r="BH566" s="1"/>
      <c r="BI566" s="1"/>
      <c r="BO566" s="1"/>
      <c r="BP566" s="1"/>
      <c r="BQ566" s="1"/>
      <c r="BR566" s="1"/>
      <c r="BS566" s="1"/>
      <c r="BT566" s="1"/>
      <c r="BU566" s="4"/>
    </row>
    <row r="567">
      <c r="AK567" s="1"/>
      <c r="AQ567" s="1"/>
      <c r="AW567" s="1"/>
      <c r="BC567" s="1"/>
      <c r="BD567" s="1"/>
      <c r="BE567" s="1"/>
      <c r="BF567" s="1"/>
      <c r="BG567" s="1"/>
      <c r="BH567" s="1"/>
      <c r="BI567" s="1"/>
      <c r="BO567" s="1"/>
      <c r="BP567" s="1"/>
      <c r="BQ567" s="1"/>
      <c r="BR567" s="1"/>
      <c r="BS567" s="1"/>
      <c r="BT567" s="1"/>
      <c r="BU567" s="4"/>
    </row>
    <row r="568">
      <c r="AK568" s="1"/>
      <c r="AQ568" s="1"/>
      <c r="AW568" s="1"/>
      <c r="BC568" s="1"/>
      <c r="BD568" s="1"/>
      <c r="BE568" s="1"/>
      <c r="BF568" s="1"/>
      <c r="BG568" s="1"/>
      <c r="BH568" s="1"/>
      <c r="BI568" s="1"/>
      <c r="BO568" s="1"/>
      <c r="BP568" s="1"/>
      <c r="BQ568" s="1"/>
      <c r="BR568" s="1"/>
      <c r="BS568" s="1"/>
      <c r="BT568" s="1"/>
      <c r="BU568" s="4"/>
    </row>
    <row r="569">
      <c r="AK569" s="1"/>
      <c r="AQ569" s="1"/>
      <c r="AW569" s="1"/>
      <c r="BC569" s="1"/>
      <c r="BD569" s="1"/>
      <c r="BE569" s="1"/>
      <c r="BF569" s="1"/>
      <c r="BG569" s="1"/>
      <c r="BH569" s="1"/>
      <c r="BI569" s="1"/>
      <c r="BO569" s="1"/>
      <c r="BP569" s="1"/>
      <c r="BQ569" s="1"/>
      <c r="BR569" s="1"/>
      <c r="BS569" s="1"/>
      <c r="BT569" s="1"/>
      <c r="BU569" s="4"/>
    </row>
    <row r="570">
      <c r="AK570" s="1"/>
      <c r="AQ570" s="1"/>
      <c r="AW570" s="1"/>
      <c r="BC570" s="1"/>
      <c r="BD570" s="1"/>
      <c r="BE570" s="1"/>
      <c r="BF570" s="1"/>
      <c r="BG570" s="1"/>
      <c r="BH570" s="1"/>
      <c r="BI570" s="1"/>
      <c r="BO570" s="1"/>
      <c r="BP570" s="1"/>
      <c r="BQ570" s="1"/>
      <c r="BR570" s="1"/>
      <c r="BS570" s="1"/>
      <c r="BT570" s="1"/>
      <c r="BU570" s="4"/>
    </row>
    <row r="571">
      <c r="AK571" s="1"/>
      <c r="AQ571" s="1"/>
      <c r="AW571" s="1"/>
      <c r="BC571" s="1"/>
      <c r="BD571" s="1"/>
      <c r="BE571" s="1"/>
      <c r="BF571" s="1"/>
      <c r="BG571" s="1"/>
      <c r="BH571" s="1"/>
      <c r="BI571" s="1"/>
      <c r="BO571" s="1"/>
      <c r="BP571" s="1"/>
      <c r="BQ571" s="1"/>
      <c r="BR571" s="1"/>
      <c r="BS571" s="1"/>
      <c r="BT571" s="1"/>
      <c r="BU571" s="4"/>
    </row>
    <row r="572">
      <c r="AK572" s="1"/>
      <c r="AQ572" s="1"/>
      <c r="AW572" s="1"/>
      <c r="BC572" s="1"/>
      <c r="BD572" s="1"/>
      <c r="BE572" s="1"/>
      <c r="BF572" s="1"/>
      <c r="BG572" s="1"/>
      <c r="BH572" s="1"/>
      <c r="BI572" s="1"/>
      <c r="BO572" s="1"/>
      <c r="BP572" s="1"/>
      <c r="BQ572" s="1"/>
      <c r="BR572" s="1"/>
      <c r="BS572" s="1"/>
      <c r="BT572" s="1"/>
      <c r="BU572" s="4"/>
    </row>
    <row r="573">
      <c r="AK573" s="1"/>
      <c r="AQ573" s="1"/>
      <c r="AW573" s="1"/>
      <c r="BC573" s="1"/>
      <c r="BD573" s="1"/>
      <c r="BE573" s="1"/>
      <c r="BF573" s="1"/>
      <c r="BG573" s="1"/>
      <c r="BH573" s="1"/>
      <c r="BI573" s="1"/>
      <c r="BO573" s="1"/>
      <c r="BP573" s="1"/>
      <c r="BQ573" s="1"/>
      <c r="BR573" s="1"/>
      <c r="BS573" s="1"/>
      <c r="BT573" s="1"/>
      <c r="BU573" s="4"/>
    </row>
    <row r="574">
      <c r="AK574" s="1"/>
      <c r="AQ574" s="1"/>
      <c r="AW574" s="1"/>
      <c r="BC574" s="1"/>
      <c r="BD574" s="1"/>
      <c r="BE574" s="1"/>
      <c r="BF574" s="1"/>
      <c r="BG574" s="1"/>
      <c r="BH574" s="1"/>
      <c r="BI574" s="1"/>
      <c r="BO574" s="1"/>
      <c r="BP574" s="1"/>
      <c r="BQ574" s="1"/>
      <c r="BR574" s="1"/>
      <c r="BS574" s="1"/>
      <c r="BT574" s="1"/>
      <c r="BU574" s="4"/>
    </row>
    <row r="575">
      <c r="AK575" s="1"/>
      <c r="AQ575" s="1"/>
      <c r="AW575" s="1"/>
      <c r="BC575" s="1"/>
      <c r="BD575" s="1"/>
      <c r="BE575" s="1"/>
      <c r="BF575" s="1"/>
      <c r="BG575" s="1"/>
      <c r="BH575" s="1"/>
      <c r="BI575" s="1"/>
      <c r="BO575" s="1"/>
      <c r="BP575" s="1"/>
      <c r="BQ575" s="1"/>
      <c r="BR575" s="1"/>
      <c r="BS575" s="1"/>
      <c r="BT575" s="1"/>
      <c r="BU575" s="4"/>
    </row>
    <row r="576">
      <c r="AK576" s="1"/>
      <c r="AQ576" s="1"/>
      <c r="AW576" s="1"/>
      <c r="BC576" s="1"/>
      <c r="BD576" s="1"/>
      <c r="BE576" s="1"/>
      <c r="BF576" s="1"/>
      <c r="BG576" s="1"/>
      <c r="BH576" s="1"/>
      <c r="BI576" s="1"/>
      <c r="BO576" s="1"/>
      <c r="BP576" s="1"/>
      <c r="BQ576" s="1"/>
      <c r="BR576" s="1"/>
      <c r="BS576" s="1"/>
      <c r="BT576" s="1"/>
      <c r="BU576" s="4"/>
    </row>
    <row r="577">
      <c r="AK577" s="1"/>
      <c r="AQ577" s="1"/>
      <c r="AW577" s="1"/>
      <c r="BC577" s="1"/>
      <c r="BD577" s="1"/>
      <c r="BE577" s="1"/>
      <c r="BF577" s="1"/>
      <c r="BG577" s="1"/>
      <c r="BH577" s="1"/>
      <c r="BI577" s="1"/>
      <c r="BO577" s="1"/>
      <c r="BP577" s="1"/>
      <c r="BQ577" s="1"/>
      <c r="BR577" s="1"/>
      <c r="BS577" s="1"/>
      <c r="BT577" s="1"/>
      <c r="BU577" s="4"/>
    </row>
    <row r="578">
      <c r="AK578" s="1"/>
      <c r="AQ578" s="1"/>
      <c r="AW578" s="1"/>
      <c r="BC578" s="1"/>
      <c r="BD578" s="1"/>
      <c r="BE578" s="1"/>
      <c r="BF578" s="1"/>
      <c r="BG578" s="1"/>
      <c r="BH578" s="1"/>
      <c r="BI578" s="1"/>
      <c r="BO578" s="1"/>
      <c r="BP578" s="1"/>
      <c r="BQ578" s="1"/>
      <c r="BR578" s="1"/>
      <c r="BS578" s="1"/>
      <c r="BT578" s="1"/>
      <c r="BU578" s="4"/>
    </row>
    <row r="579">
      <c r="AK579" s="1"/>
      <c r="AQ579" s="1"/>
      <c r="AW579" s="1"/>
      <c r="BC579" s="1"/>
      <c r="BD579" s="1"/>
      <c r="BE579" s="1"/>
      <c r="BF579" s="1"/>
      <c r="BG579" s="1"/>
      <c r="BH579" s="1"/>
      <c r="BI579" s="1"/>
      <c r="BO579" s="1"/>
      <c r="BP579" s="1"/>
      <c r="BQ579" s="1"/>
      <c r="BR579" s="1"/>
      <c r="BS579" s="1"/>
      <c r="BT579" s="1"/>
      <c r="BU579" s="4"/>
    </row>
    <row r="580">
      <c r="AK580" s="1"/>
      <c r="AQ580" s="1"/>
      <c r="AW580" s="1"/>
      <c r="BC580" s="1"/>
      <c r="BD580" s="1"/>
      <c r="BE580" s="1"/>
      <c r="BF580" s="1"/>
      <c r="BG580" s="1"/>
      <c r="BH580" s="1"/>
      <c r="BI580" s="1"/>
      <c r="BO580" s="1"/>
      <c r="BP580" s="1"/>
      <c r="BQ580" s="1"/>
      <c r="BR580" s="1"/>
      <c r="BS580" s="1"/>
      <c r="BT580" s="1"/>
      <c r="BU580" s="4"/>
    </row>
    <row r="581">
      <c r="AK581" s="1"/>
      <c r="AQ581" s="1"/>
      <c r="AW581" s="1"/>
      <c r="BC581" s="1"/>
      <c r="BD581" s="1"/>
      <c r="BE581" s="1"/>
      <c r="BF581" s="1"/>
      <c r="BG581" s="1"/>
      <c r="BH581" s="1"/>
      <c r="BI581" s="1"/>
      <c r="BO581" s="1"/>
      <c r="BP581" s="1"/>
      <c r="BQ581" s="1"/>
      <c r="BR581" s="1"/>
      <c r="BS581" s="1"/>
      <c r="BT581" s="1"/>
      <c r="BU581" s="4"/>
    </row>
    <row r="582">
      <c r="AK582" s="1"/>
      <c r="AQ582" s="1"/>
      <c r="AW582" s="1"/>
      <c r="BC582" s="1"/>
      <c r="BD582" s="1"/>
      <c r="BE582" s="1"/>
      <c r="BF582" s="1"/>
      <c r="BG582" s="1"/>
      <c r="BH582" s="1"/>
      <c r="BI582" s="1"/>
      <c r="BO582" s="1"/>
      <c r="BP582" s="1"/>
      <c r="BQ582" s="1"/>
      <c r="BR582" s="1"/>
      <c r="BS582" s="1"/>
      <c r="BT582" s="1"/>
      <c r="BU582" s="4"/>
    </row>
    <row r="583">
      <c r="AK583" s="1"/>
      <c r="AQ583" s="1"/>
      <c r="AW583" s="1"/>
      <c r="BC583" s="1"/>
      <c r="BD583" s="1"/>
      <c r="BE583" s="1"/>
      <c r="BF583" s="1"/>
      <c r="BG583" s="1"/>
      <c r="BH583" s="1"/>
      <c r="BI583" s="1"/>
      <c r="BO583" s="1"/>
      <c r="BP583" s="1"/>
      <c r="BQ583" s="1"/>
      <c r="BR583" s="1"/>
      <c r="BS583" s="1"/>
      <c r="BT583" s="1"/>
      <c r="BU583" s="4"/>
    </row>
    <row r="584">
      <c r="AK584" s="1"/>
      <c r="AQ584" s="1"/>
      <c r="AW584" s="1"/>
      <c r="BC584" s="1"/>
      <c r="BD584" s="1"/>
      <c r="BE584" s="1"/>
      <c r="BF584" s="1"/>
      <c r="BG584" s="1"/>
      <c r="BH584" s="1"/>
      <c r="BI584" s="1"/>
      <c r="BO584" s="1"/>
      <c r="BP584" s="1"/>
      <c r="BQ584" s="1"/>
      <c r="BR584" s="1"/>
      <c r="BS584" s="1"/>
      <c r="BT584" s="1"/>
      <c r="BU584" s="4"/>
    </row>
    <row r="585">
      <c r="AK585" s="1"/>
      <c r="AQ585" s="1"/>
      <c r="AW585" s="1"/>
      <c r="BC585" s="1"/>
      <c r="BD585" s="1"/>
      <c r="BE585" s="1"/>
      <c r="BF585" s="1"/>
      <c r="BG585" s="1"/>
      <c r="BH585" s="1"/>
      <c r="BI585" s="1"/>
      <c r="BO585" s="1"/>
      <c r="BP585" s="1"/>
      <c r="BQ585" s="1"/>
      <c r="BR585" s="1"/>
      <c r="BS585" s="1"/>
      <c r="BT585" s="1"/>
      <c r="BU585" s="4"/>
    </row>
    <row r="586">
      <c r="AK586" s="1"/>
      <c r="AQ586" s="1"/>
      <c r="AW586" s="1"/>
      <c r="BC586" s="1"/>
      <c r="BD586" s="1"/>
      <c r="BE586" s="1"/>
      <c r="BF586" s="1"/>
      <c r="BG586" s="1"/>
      <c r="BH586" s="1"/>
      <c r="BI586" s="1"/>
      <c r="BO586" s="1"/>
      <c r="BP586" s="1"/>
      <c r="BQ586" s="1"/>
      <c r="BR586" s="1"/>
      <c r="BS586" s="1"/>
      <c r="BT586" s="1"/>
      <c r="BU586" s="4"/>
    </row>
    <row r="587">
      <c r="AK587" s="1"/>
      <c r="AQ587" s="1"/>
      <c r="AW587" s="1"/>
      <c r="BC587" s="1"/>
      <c r="BD587" s="1"/>
      <c r="BE587" s="1"/>
      <c r="BF587" s="1"/>
      <c r="BG587" s="1"/>
      <c r="BH587" s="1"/>
      <c r="BI587" s="1"/>
      <c r="BO587" s="1"/>
      <c r="BP587" s="1"/>
      <c r="BQ587" s="1"/>
      <c r="BR587" s="1"/>
      <c r="BS587" s="1"/>
      <c r="BT587" s="1"/>
      <c r="BU587" s="4"/>
    </row>
    <row r="588">
      <c r="AK588" s="1"/>
      <c r="AQ588" s="1"/>
      <c r="AW588" s="1"/>
      <c r="BC588" s="1"/>
      <c r="BD588" s="1"/>
      <c r="BE588" s="1"/>
      <c r="BF588" s="1"/>
      <c r="BG588" s="1"/>
      <c r="BH588" s="1"/>
      <c r="BI588" s="1"/>
      <c r="BO588" s="1"/>
      <c r="BP588" s="1"/>
      <c r="BQ588" s="1"/>
      <c r="BR588" s="1"/>
      <c r="BS588" s="1"/>
      <c r="BT588" s="1"/>
      <c r="BU588" s="4"/>
    </row>
    <row r="589">
      <c r="AK589" s="1"/>
      <c r="AQ589" s="1"/>
      <c r="AW589" s="1"/>
      <c r="BC589" s="1"/>
      <c r="BD589" s="1"/>
      <c r="BE589" s="1"/>
      <c r="BF589" s="1"/>
      <c r="BG589" s="1"/>
      <c r="BH589" s="1"/>
      <c r="BI589" s="1"/>
      <c r="BO589" s="1"/>
      <c r="BP589" s="1"/>
      <c r="BQ589" s="1"/>
      <c r="BR589" s="1"/>
      <c r="BS589" s="1"/>
      <c r="BT589" s="1"/>
      <c r="BU589" s="4"/>
    </row>
    <row r="590">
      <c r="AK590" s="1"/>
      <c r="AQ590" s="1"/>
      <c r="AW590" s="1"/>
      <c r="BC590" s="1"/>
      <c r="BD590" s="1"/>
      <c r="BE590" s="1"/>
      <c r="BF590" s="1"/>
      <c r="BG590" s="1"/>
      <c r="BH590" s="1"/>
      <c r="BI590" s="1"/>
      <c r="BO590" s="1"/>
      <c r="BP590" s="1"/>
      <c r="BQ590" s="1"/>
      <c r="BR590" s="1"/>
      <c r="BS590" s="1"/>
      <c r="BT590" s="1"/>
      <c r="BU590" s="4"/>
    </row>
    <row r="591">
      <c r="AK591" s="1"/>
      <c r="AQ591" s="1"/>
      <c r="AW591" s="1"/>
      <c r="BC591" s="1"/>
      <c r="BD591" s="1"/>
      <c r="BE591" s="1"/>
      <c r="BF591" s="1"/>
      <c r="BG591" s="1"/>
      <c r="BH591" s="1"/>
      <c r="BI591" s="1"/>
      <c r="BO591" s="1"/>
      <c r="BP591" s="1"/>
      <c r="BQ591" s="1"/>
      <c r="BR591" s="1"/>
      <c r="BS591" s="1"/>
      <c r="BT591" s="1"/>
      <c r="BU591" s="4"/>
    </row>
    <row r="592">
      <c r="AK592" s="1"/>
      <c r="AQ592" s="1"/>
      <c r="AW592" s="1"/>
      <c r="BC592" s="1"/>
      <c r="BD592" s="1"/>
      <c r="BE592" s="1"/>
      <c r="BF592" s="1"/>
      <c r="BG592" s="1"/>
      <c r="BH592" s="1"/>
      <c r="BI592" s="1"/>
      <c r="BO592" s="1"/>
      <c r="BP592" s="1"/>
      <c r="BQ592" s="1"/>
      <c r="BR592" s="1"/>
      <c r="BS592" s="1"/>
      <c r="BT592" s="1"/>
      <c r="BU592" s="4"/>
    </row>
    <row r="593">
      <c r="AK593" s="1"/>
      <c r="AQ593" s="1"/>
      <c r="AW593" s="1"/>
      <c r="BC593" s="1"/>
      <c r="BD593" s="1"/>
      <c r="BE593" s="1"/>
      <c r="BF593" s="1"/>
      <c r="BG593" s="1"/>
      <c r="BH593" s="1"/>
      <c r="BI593" s="1"/>
      <c r="BO593" s="1"/>
      <c r="BP593" s="1"/>
      <c r="BQ593" s="1"/>
      <c r="BR593" s="1"/>
      <c r="BS593" s="1"/>
      <c r="BT593" s="1"/>
      <c r="BU593" s="4"/>
    </row>
    <row r="594">
      <c r="AK594" s="1"/>
      <c r="AQ594" s="1"/>
      <c r="AW594" s="1"/>
      <c r="BC594" s="1"/>
      <c r="BD594" s="1"/>
      <c r="BE594" s="1"/>
      <c r="BF594" s="1"/>
      <c r="BG594" s="1"/>
      <c r="BH594" s="1"/>
      <c r="BI594" s="1"/>
      <c r="BO594" s="1"/>
      <c r="BP594" s="1"/>
      <c r="BQ594" s="1"/>
      <c r="BR594" s="1"/>
      <c r="BS594" s="1"/>
      <c r="BT594" s="1"/>
      <c r="BU594" s="4"/>
    </row>
    <row r="595">
      <c r="AK595" s="1"/>
      <c r="AQ595" s="1"/>
      <c r="AW595" s="1"/>
      <c r="BC595" s="1"/>
      <c r="BD595" s="1"/>
      <c r="BE595" s="1"/>
      <c r="BF595" s="1"/>
      <c r="BG595" s="1"/>
      <c r="BH595" s="1"/>
      <c r="BI595" s="1"/>
      <c r="BO595" s="1"/>
      <c r="BP595" s="1"/>
      <c r="BQ595" s="1"/>
      <c r="BR595" s="1"/>
      <c r="BS595" s="1"/>
      <c r="BT595" s="1"/>
      <c r="BU595" s="4"/>
    </row>
    <row r="596">
      <c r="AK596" s="1"/>
      <c r="AQ596" s="1"/>
      <c r="AW596" s="1"/>
      <c r="BC596" s="1"/>
      <c r="BD596" s="1"/>
      <c r="BE596" s="1"/>
      <c r="BF596" s="1"/>
      <c r="BG596" s="1"/>
      <c r="BH596" s="1"/>
      <c r="BI596" s="1"/>
      <c r="BO596" s="1"/>
      <c r="BP596" s="1"/>
      <c r="BQ596" s="1"/>
      <c r="BR596" s="1"/>
      <c r="BS596" s="1"/>
      <c r="BT596" s="1"/>
      <c r="BU596" s="4"/>
    </row>
    <row r="597">
      <c r="AK597" s="1"/>
      <c r="AQ597" s="1"/>
      <c r="AW597" s="1"/>
      <c r="BC597" s="1"/>
      <c r="BD597" s="1"/>
      <c r="BE597" s="1"/>
      <c r="BF597" s="1"/>
      <c r="BG597" s="1"/>
      <c r="BH597" s="1"/>
      <c r="BI597" s="1"/>
      <c r="BO597" s="1"/>
      <c r="BP597" s="1"/>
      <c r="BQ597" s="1"/>
      <c r="BR597" s="1"/>
      <c r="BS597" s="1"/>
      <c r="BT597" s="1"/>
      <c r="BU597" s="4"/>
    </row>
    <row r="598">
      <c r="AK598" s="1"/>
      <c r="AQ598" s="1"/>
      <c r="AW598" s="1"/>
      <c r="BC598" s="1"/>
      <c r="BD598" s="1"/>
      <c r="BE598" s="1"/>
      <c r="BF598" s="1"/>
      <c r="BG598" s="1"/>
      <c r="BH598" s="1"/>
      <c r="BI598" s="1"/>
      <c r="BO598" s="1"/>
      <c r="BP598" s="1"/>
      <c r="BQ598" s="1"/>
      <c r="BR598" s="1"/>
      <c r="BS598" s="1"/>
      <c r="BT598" s="1"/>
      <c r="BU598" s="4"/>
    </row>
    <row r="599">
      <c r="AK599" s="1"/>
      <c r="AQ599" s="1"/>
      <c r="AW599" s="1"/>
      <c r="BC599" s="1"/>
      <c r="BD599" s="1"/>
      <c r="BE599" s="1"/>
      <c r="BF599" s="1"/>
      <c r="BG599" s="1"/>
      <c r="BH599" s="1"/>
      <c r="BI599" s="1"/>
      <c r="BO599" s="1"/>
      <c r="BP599" s="1"/>
      <c r="BQ599" s="1"/>
      <c r="BR599" s="1"/>
      <c r="BS599" s="1"/>
      <c r="BT599" s="1"/>
      <c r="BU599" s="4"/>
    </row>
    <row r="600">
      <c r="AK600" s="1"/>
      <c r="AQ600" s="1"/>
      <c r="AW600" s="1"/>
      <c r="BC600" s="1"/>
      <c r="BD600" s="1"/>
      <c r="BE600" s="1"/>
      <c r="BF600" s="1"/>
      <c r="BG600" s="1"/>
      <c r="BH600" s="1"/>
      <c r="BI600" s="1"/>
      <c r="BO600" s="1"/>
      <c r="BP600" s="1"/>
      <c r="BQ600" s="1"/>
      <c r="BR600" s="1"/>
      <c r="BS600" s="1"/>
      <c r="BT600" s="1"/>
      <c r="BU600" s="4"/>
    </row>
    <row r="601">
      <c r="AK601" s="1"/>
      <c r="AQ601" s="1"/>
      <c r="AW601" s="1"/>
      <c r="BC601" s="1"/>
      <c r="BD601" s="1"/>
      <c r="BE601" s="1"/>
      <c r="BF601" s="1"/>
      <c r="BG601" s="1"/>
      <c r="BH601" s="1"/>
      <c r="BI601" s="1"/>
      <c r="BO601" s="1"/>
      <c r="BP601" s="1"/>
      <c r="BQ601" s="1"/>
      <c r="BR601" s="1"/>
      <c r="BS601" s="1"/>
      <c r="BT601" s="1"/>
      <c r="BU601" s="4"/>
    </row>
    <row r="602">
      <c r="AK602" s="1"/>
      <c r="AQ602" s="1"/>
      <c r="AW602" s="1"/>
      <c r="BC602" s="1"/>
      <c r="BD602" s="1"/>
      <c r="BE602" s="1"/>
      <c r="BF602" s="1"/>
      <c r="BG602" s="1"/>
      <c r="BH602" s="1"/>
      <c r="BI602" s="1"/>
      <c r="BO602" s="1"/>
      <c r="BP602" s="1"/>
      <c r="BQ602" s="1"/>
      <c r="BR602" s="1"/>
      <c r="BS602" s="1"/>
      <c r="BT602" s="1"/>
      <c r="BU602" s="4"/>
    </row>
    <row r="603">
      <c r="AK603" s="1"/>
      <c r="AQ603" s="1"/>
      <c r="AW603" s="1"/>
      <c r="BC603" s="1"/>
      <c r="BD603" s="1"/>
      <c r="BE603" s="1"/>
      <c r="BF603" s="1"/>
      <c r="BG603" s="1"/>
      <c r="BH603" s="1"/>
      <c r="BI603" s="1"/>
      <c r="BO603" s="1"/>
      <c r="BP603" s="1"/>
      <c r="BQ603" s="1"/>
      <c r="BR603" s="1"/>
      <c r="BS603" s="1"/>
      <c r="BT603" s="1"/>
      <c r="BU603" s="4"/>
    </row>
    <row r="604">
      <c r="AK604" s="1"/>
      <c r="AQ604" s="1"/>
      <c r="AW604" s="1"/>
      <c r="BC604" s="1"/>
      <c r="BD604" s="1"/>
      <c r="BE604" s="1"/>
      <c r="BF604" s="1"/>
      <c r="BG604" s="1"/>
      <c r="BH604" s="1"/>
      <c r="BI604" s="1"/>
      <c r="BO604" s="1"/>
      <c r="BP604" s="1"/>
      <c r="BQ604" s="1"/>
      <c r="BR604" s="1"/>
      <c r="BS604" s="1"/>
      <c r="BT604" s="1"/>
      <c r="BU604" s="4"/>
    </row>
    <row r="605">
      <c r="AK605" s="1"/>
      <c r="AQ605" s="1"/>
      <c r="AW605" s="1"/>
      <c r="BC605" s="1"/>
      <c r="BD605" s="1"/>
      <c r="BE605" s="1"/>
      <c r="BF605" s="1"/>
      <c r="BG605" s="1"/>
      <c r="BH605" s="1"/>
      <c r="BI605" s="1"/>
      <c r="BO605" s="1"/>
      <c r="BP605" s="1"/>
      <c r="BQ605" s="1"/>
      <c r="BR605" s="1"/>
      <c r="BS605" s="1"/>
      <c r="BT605" s="1"/>
      <c r="BU605" s="4"/>
    </row>
    <row r="606">
      <c r="AK606" s="1"/>
      <c r="AQ606" s="1"/>
      <c r="AW606" s="1"/>
      <c r="BC606" s="1"/>
      <c r="BD606" s="1"/>
      <c r="BE606" s="1"/>
      <c r="BF606" s="1"/>
      <c r="BG606" s="1"/>
      <c r="BH606" s="1"/>
      <c r="BI606" s="1"/>
      <c r="BO606" s="1"/>
      <c r="BP606" s="1"/>
      <c r="BQ606" s="1"/>
      <c r="BR606" s="1"/>
      <c r="BS606" s="1"/>
      <c r="BT606" s="1"/>
      <c r="BU606" s="4"/>
    </row>
    <row r="607">
      <c r="AK607" s="1"/>
      <c r="AQ607" s="1"/>
      <c r="AW607" s="1"/>
      <c r="BC607" s="1"/>
      <c r="BD607" s="1"/>
      <c r="BE607" s="1"/>
      <c r="BF607" s="1"/>
      <c r="BG607" s="1"/>
      <c r="BH607" s="1"/>
      <c r="BI607" s="1"/>
      <c r="BO607" s="1"/>
      <c r="BP607" s="1"/>
      <c r="BQ607" s="1"/>
      <c r="BR607" s="1"/>
      <c r="BS607" s="1"/>
      <c r="BT607" s="1"/>
      <c r="BU607" s="4"/>
    </row>
    <row r="608">
      <c r="AK608" s="1"/>
      <c r="AQ608" s="1"/>
      <c r="AW608" s="1"/>
      <c r="BC608" s="1"/>
      <c r="BD608" s="1"/>
      <c r="BE608" s="1"/>
      <c r="BF608" s="1"/>
      <c r="BG608" s="1"/>
      <c r="BH608" s="1"/>
      <c r="BI608" s="1"/>
      <c r="BO608" s="1"/>
      <c r="BP608" s="1"/>
      <c r="BQ608" s="1"/>
      <c r="BR608" s="1"/>
      <c r="BS608" s="1"/>
      <c r="BT608" s="1"/>
      <c r="BU608" s="4"/>
    </row>
    <row r="609">
      <c r="AK609" s="1"/>
      <c r="AQ609" s="1"/>
      <c r="AW609" s="1"/>
      <c r="BC609" s="1"/>
      <c r="BD609" s="1"/>
      <c r="BE609" s="1"/>
      <c r="BF609" s="1"/>
      <c r="BG609" s="1"/>
      <c r="BH609" s="1"/>
      <c r="BI609" s="1"/>
      <c r="BO609" s="1"/>
      <c r="BP609" s="1"/>
      <c r="BQ609" s="1"/>
      <c r="BR609" s="1"/>
      <c r="BS609" s="1"/>
      <c r="BT609" s="1"/>
      <c r="BU609" s="4"/>
    </row>
    <row r="610">
      <c r="AK610" s="1"/>
      <c r="AQ610" s="1"/>
      <c r="AW610" s="1"/>
      <c r="BC610" s="1"/>
      <c r="BD610" s="1"/>
      <c r="BE610" s="1"/>
      <c r="BF610" s="1"/>
      <c r="BG610" s="1"/>
      <c r="BH610" s="1"/>
      <c r="BI610" s="1"/>
      <c r="BO610" s="1"/>
      <c r="BP610" s="1"/>
      <c r="BQ610" s="1"/>
      <c r="BR610" s="1"/>
      <c r="BS610" s="1"/>
      <c r="BT610" s="1"/>
      <c r="BU610" s="4"/>
    </row>
    <row r="611">
      <c r="AK611" s="1"/>
      <c r="AQ611" s="1"/>
      <c r="AW611" s="1"/>
      <c r="BC611" s="1"/>
      <c r="BD611" s="1"/>
      <c r="BE611" s="1"/>
      <c r="BF611" s="1"/>
      <c r="BG611" s="1"/>
      <c r="BH611" s="1"/>
      <c r="BI611" s="1"/>
      <c r="BO611" s="1"/>
      <c r="BP611" s="1"/>
      <c r="BQ611" s="1"/>
      <c r="BR611" s="1"/>
      <c r="BS611" s="1"/>
      <c r="BT611" s="1"/>
      <c r="BU611" s="4"/>
    </row>
    <row r="612">
      <c r="AK612" s="1"/>
      <c r="AQ612" s="1"/>
      <c r="AW612" s="1"/>
      <c r="BC612" s="1"/>
      <c r="BD612" s="1"/>
      <c r="BE612" s="1"/>
      <c r="BF612" s="1"/>
      <c r="BG612" s="1"/>
      <c r="BH612" s="1"/>
      <c r="BI612" s="1"/>
      <c r="BO612" s="1"/>
      <c r="BP612" s="1"/>
      <c r="BQ612" s="1"/>
      <c r="BR612" s="1"/>
      <c r="BS612" s="1"/>
      <c r="BT612" s="1"/>
      <c r="BU612" s="4"/>
    </row>
    <row r="613">
      <c r="AK613" s="1"/>
      <c r="AQ613" s="1"/>
      <c r="AW613" s="1"/>
      <c r="BC613" s="1"/>
      <c r="BD613" s="1"/>
      <c r="BE613" s="1"/>
      <c r="BF613" s="1"/>
      <c r="BG613" s="1"/>
      <c r="BH613" s="1"/>
      <c r="BI613" s="1"/>
      <c r="BO613" s="1"/>
      <c r="BP613" s="1"/>
      <c r="BQ613" s="1"/>
      <c r="BR613" s="1"/>
      <c r="BS613" s="1"/>
      <c r="BT613" s="1"/>
      <c r="BU613" s="4"/>
    </row>
    <row r="614">
      <c r="AK614" s="1"/>
      <c r="AQ614" s="1"/>
      <c r="AW614" s="1"/>
      <c r="BC614" s="1"/>
      <c r="BD614" s="1"/>
      <c r="BE614" s="1"/>
      <c r="BF614" s="1"/>
      <c r="BG614" s="1"/>
      <c r="BH614" s="1"/>
      <c r="BI614" s="1"/>
      <c r="BO614" s="1"/>
      <c r="BP614" s="1"/>
      <c r="BQ614" s="1"/>
      <c r="BR614" s="1"/>
      <c r="BS614" s="1"/>
      <c r="BT614" s="1"/>
      <c r="BU614" s="4"/>
    </row>
    <row r="615">
      <c r="AK615" s="1"/>
      <c r="AQ615" s="1"/>
      <c r="AW615" s="1"/>
      <c r="BC615" s="1"/>
      <c r="BD615" s="1"/>
      <c r="BE615" s="1"/>
      <c r="BF615" s="1"/>
      <c r="BG615" s="1"/>
      <c r="BH615" s="1"/>
      <c r="BI615" s="1"/>
      <c r="BO615" s="1"/>
      <c r="BP615" s="1"/>
      <c r="BQ615" s="1"/>
      <c r="BR615" s="1"/>
      <c r="BS615" s="1"/>
      <c r="BT615" s="1"/>
      <c r="BU615" s="4"/>
    </row>
    <row r="616">
      <c r="AK616" s="1"/>
      <c r="AQ616" s="1"/>
      <c r="AW616" s="1"/>
      <c r="BC616" s="1"/>
      <c r="BD616" s="1"/>
      <c r="BE616" s="1"/>
      <c r="BF616" s="1"/>
      <c r="BG616" s="1"/>
      <c r="BH616" s="1"/>
      <c r="BI616" s="1"/>
      <c r="BO616" s="1"/>
      <c r="BP616" s="1"/>
      <c r="BQ616" s="1"/>
      <c r="BR616" s="1"/>
      <c r="BS616" s="1"/>
      <c r="BT616" s="1"/>
      <c r="BU616" s="4"/>
    </row>
    <row r="617">
      <c r="AK617" s="1"/>
      <c r="AQ617" s="1"/>
      <c r="AW617" s="1"/>
      <c r="BC617" s="1"/>
      <c r="BD617" s="1"/>
      <c r="BE617" s="1"/>
      <c r="BF617" s="1"/>
      <c r="BG617" s="1"/>
      <c r="BH617" s="1"/>
      <c r="BI617" s="1"/>
      <c r="BO617" s="1"/>
      <c r="BP617" s="1"/>
      <c r="BQ617" s="1"/>
      <c r="BR617" s="1"/>
      <c r="BS617" s="1"/>
      <c r="BT617" s="1"/>
      <c r="BU617" s="4"/>
    </row>
    <row r="618">
      <c r="AK618" s="1"/>
      <c r="AQ618" s="1"/>
      <c r="AW618" s="1"/>
      <c r="BC618" s="1"/>
      <c r="BD618" s="1"/>
      <c r="BE618" s="1"/>
      <c r="BF618" s="1"/>
      <c r="BG618" s="1"/>
      <c r="BH618" s="1"/>
      <c r="BI618" s="1"/>
      <c r="BO618" s="1"/>
      <c r="BP618" s="1"/>
      <c r="BQ618" s="1"/>
      <c r="BR618" s="1"/>
      <c r="BS618" s="1"/>
      <c r="BT618" s="1"/>
      <c r="BU618" s="4"/>
    </row>
    <row r="619">
      <c r="AK619" s="1"/>
      <c r="AQ619" s="1"/>
      <c r="AW619" s="1"/>
      <c r="BC619" s="1"/>
      <c r="BD619" s="1"/>
      <c r="BE619" s="1"/>
      <c r="BF619" s="1"/>
      <c r="BG619" s="1"/>
      <c r="BH619" s="1"/>
      <c r="BI619" s="1"/>
      <c r="BO619" s="1"/>
      <c r="BP619" s="1"/>
      <c r="BQ619" s="1"/>
      <c r="BR619" s="1"/>
      <c r="BS619" s="1"/>
      <c r="BT619" s="1"/>
      <c r="BU619" s="4"/>
    </row>
    <row r="620">
      <c r="AK620" s="1"/>
      <c r="AQ620" s="1"/>
      <c r="AW620" s="1"/>
      <c r="BC620" s="1"/>
      <c r="BD620" s="1"/>
      <c r="BE620" s="1"/>
      <c r="BF620" s="1"/>
      <c r="BG620" s="1"/>
      <c r="BH620" s="1"/>
      <c r="BI620" s="1"/>
      <c r="BO620" s="1"/>
      <c r="BP620" s="1"/>
      <c r="BQ620" s="1"/>
      <c r="BR620" s="1"/>
      <c r="BS620" s="1"/>
      <c r="BT620" s="1"/>
      <c r="BU620" s="4"/>
    </row>
    <row r="621">
      <c r="AK621" s="1"/>
      <c r="AQ621" s="1"/>
      <c r="AW621" s="1"/>
      <c r="BC621" s="1"/>
      <c r="BD621" s="1"/>
      <c r="BE621" s="1"/>
      <c r="BF621" s="1"/>
      <c r="BG621" s="1"/>
      <c r="BH621" s="1"/>
      <c r="BI621" s="1"/>
      <c r="BO621" s="1"/>
      <c r="BP621" s="1"/>
      <c r="BQ621" s="1"/>
      <c r="BR621" s="1"/>
      <c r="BS621" s="1"/>
      <c r="BT621" s="1"/>
      <c r="BU621" s="4"/>
    </row>
    <row r="622">
      <c r="AK622" s="1"/>
      <c r="AQ622" s="1"/>
      <c r="AW622" s="1"/>
      <c r="BC622" s="1"/>
      <c r="BD622" s="1"/>
      <c r="BE622" s="1"/>
      <c r="BF622" s="1"/>
      <c r="BG622" s="1"/>
      <c r="BH622" s="1"/>
      <c r="BI622" s="1"/>
      <c r="BO622" s="1"/>
      <c r="BP622" s="1"/>
      <c r="BQ622" s="1"/>
      <c r="BR622" s="1"/>
      <c r="BS622" s="1"/>
      <c r="BT622" s="1"/>
      <c r="BU622" s="4"/>
    </row>
    <row r="623">
      <c r="AK623" s="1"/>
      <c r="AQ623" s="1"/>
      <c r="AW623" s="1"/>
      <c r="BC623" s="1"/>
      <c r="BD623" s="1"/>
      <c r="BE623" s="1"/>
      <c r="BF623" s="1"/>
      <c r="BG623" s="1"/>
      <c r="BH623" s="1"/>
      <c r="BI623" s="1"/>
      <c r="BO623" s="1"/>
      <c r="BP623" s="1"/>
      <c r="BQ623" s="1"/>
      <c r="BR623" s="1"/>
      <c r="BS623" s="1"/>
      <c r="BT623" s="1"/>
      <c r="BU623" s="4"/>
    </row>
    <row r="624">
      <c r="AK624" s="1"/>
      <c r="AQ624" s="1"/>
      <c r="AW624" s="1"/>
      <c r="BC624" s="1"/>
      <c r="BD624" s="1"/>
      <c r="BE624" s="1"/>
      <c r="BF624" s="1"/>
      <c r="BG624" s="1"/>
      <c r="BH624" s="1"/>
      <c r="BI624" s="1"/>
      <c r="BO624" s="1"/>
      <c r="BP624" s="1"/>
      <c r="BQ624" s="1"/>
      <c r="BR624" s="1"/>
      <c r="BS624" s="1"/>
      <c r="BT624" s="1"/>
      <c r="BU624" s="4"/>
    </row>
    <row r="625">
      <c r="AK625" s="1"/>
      <c r="AQ625" s="1"/>
      <c r="AW625" s="1"/>
      <c r="BC625" s="1"/>
      <c r="BD625" s="1"/>
      <c r="BE625" s="1"/>
      <c r="BF625" s="1"/>
      <c r="BG625" s="1"/>
      <c r="BH625" s="1"/>
      <c r="BI625" s="1"/>
      <c r="BO625" s="1"/>
      <c r="BP625" s="1"/>
      <c r="BQ625" s="1"/>
      <c r="BR625" s="1"/>
      <c r="BS625" s="1"/>
      <c r="BT625" s="1"/>
      <c r="BU625" s="4"/>
    </row>
    <row r="626">
      <c r="AK626" s="1"/>
      <c r="AQ626" s="1"/>
      <c r="AW626" s="1"/>
      <c r="BC626" s="1"/>
      <c r="BD626" s="1"/>
      <c r="BE626" s="1"/>
      <c r="BF626" s="1"/>
      <c r="BG626" s="1"/>
      <c r="BH626" s="1"/>
      <c r="BI626" s="1"/>
      <c r="BO626" s="1"/>
      <c r="BP626" s="1"/>
      <c r="BQ626" s="1"/>
      <c r="BR626" s="1"/>
      <c r="BS626" s="1"/>
      <c r="BT626" s="1"/>
      <c r="BU626" s="4"/>
    </row>
    <row r="627">
      <c r="AK627" s="1"/>
      <c r="AQ627" s="1"/>
      <c r="AW627" s="1"/>
      <c r="BC627" s="1"/>
      <c r="BD627" s="1"/>
      <c r="BE627" s="1"/>
      <c r="BF627" s="1"/>
      <c r="BG627" s="1"/>
      <c r="BH627" s="1"/>
      <c r="BI627" s="1"/>
      <c r="BO627" s="1"/>
      <c r="BP627" s="1"/>
      <c r="BQ627" s="1"/>
      <c r="BR627" s="1"/>
      <c r="BS627" s="1"/>
      <c r="BT627" s="1"/>
      <c r="BU627" s="4"/>
    </row>
    <row r="628">
      <c r="AK628" s="1"/>
      <c r="AQ628" s="1"/>
      <c r="AW628" s="1"/>
      <c r="BC628" s="1"/>
      <c r="BD628" s="1"/>
      <c r="BE628" s="1"/>
      <c r="BF628" s="1"/>
      <c r="BG628" s="1"/>
      <c r="BH628" s="1"/>
      <c r="BI628" s="1"/>
      <c r="BO628" s="1"/>
      <c r="BP628" s="1"/>
      <c r="BQ628" s="1"/>
      <c r="BR628" s="1"/>
      <c r="BS628" s="1"/>
      <c r="BT628" s="1"/>
      <c r="BU628" s="4"/>
    </row>
    <row r="629">
      <c r="AK629" s="1"/>
      <c r="AQ629" s="1"/>
      <c r="AW629" s="1"/>
      <c r="BC629" s="1"/>
      <c r="BD629" s="1"/>
      <c r="BE629" s="1"/>
      <c r="BF629" s="1"/>
      <c r="BG629" s="1"/>
      <c r="BH629" s="1"/>
      <c r="BI629" s="1"/>
      <c r="BO629" s="1"/>
      <c r="BP629" s="1"/>
      <c r="BQ629" s="1"/>
      <c r="BR629" s="1"/>
      <c r="BS629" s="1"/>
      <c r="BT629" s="1"/>
      <c r="BU629" s="4"/>
    </row>
    <row r="630">
      <c r="AK630" s="1"/>
      <c r="AQ630" s="1"/>
      <c r="AW630" s="1"/>
      <c r="BC630" s="1"/>
      <c r="BD630" s="1"/>
      <c r="BE630" s="1"/>
      <c r="BF630" s="1"/>
      <c r="BG630" s="1"/>
      <c r="BH630" s="1"/>
      <c r="BI630" s="1"/>
      <c r="BO630" s="1"/>
      <c r="BP630" s="1"/>
      <c r="BQ630" s="1"/>
      <c r="BR630" s="1"/>
      <c r="BS630" s="1"/>
      <c r="BT630" s="1"/>
      <c r="BU630" s="4"/>
    </row>
    <row r="631">
      <c r="AK631" s="1"/>
      <c r="AQ631" s="1"/>
      <c r="AW631" s="1"/>
      <c r="BC631" s="1"/>
      <c r="BD631" s="1"/>
      <c r="BE631" s="1"/>
      <c r="BF631" s="1"/>
      <c r="BG631" s="1"/>
      <c r="BH631" s="1"/>
      <c r="BI631" s="1"/>
      <c r="BO631" s="1"/>
      <c r="BP631" s="1"/>
      <c r="BQ631" s="1"/>
      <c r="BR631" s="1"/>
      <c r="BS631" s="1"/>
      <c r="BT631" s="1"/>
      <c r="BU631" s="4"/>
    </row>
    <row r="632">
      <c r="AK632" s="1"/>
      <c r="AQ632" s="1"/>
      <c r="AW632" s="1"/>
      <c r="BC632" s="1"/>
      <c r="BD632" s="1"/>
      <c r="BE632" s="1"/>
      <c r="BF632" s="1"/>
      <c r="BG632" s="1"/>
      <c r="BH632" s="1"/>
      <c r="BI632" s="1"/>
      <c r="BO632" s="1"/>
      <c r="BP632" s="1"/>
      <c r="BQ632" s="1"/>
      <c r="BR632" s="1"/>
      <c r="BS632" s="1"/>
      <c r="BT632" s="1"/>
      <c r="BU632" s="4"/>
    </row>
    <row r="633">
      <c r="AK633" s="1"/>
      <c r="AQ633" s="1"/>
      <c r="AW633" s="1"/>
      <c r="BC633" s="1"/>
      <c r="BD633" s="1"/>
      <c r="BE633" s="1"/>
      <c r="BF633" s="1"/>
      <c r="BG633" s="1"/>
      <c r="BH633" s="1"/>
      <c r="BI633" s="1"/>
      <c r="BO633" s="1"/>
      <c r="BP633" s="1"/>
      <c r="BQ633" s="1"/>
      <c r="BR633" s="1"/>
      <c r="BS633" s="1"/>
      <c r="BT633" s="1"/>
      <c r="BU633" s="4"/>
    </row>
    <row r="634">
      <c r="AK634" s="1"/>
      <c r="AQ634" s="1"/>
      <c r="AW634" s="1"/>
      <c r="BC634" s="1"/>
      <c r="BD634" s="1"/>
      <c r="BE634" s="1"/>
      <c r="BF634" s="1"/>
      <c r="BG634" s="1"/>
      <c r="BH634" s="1"/>
      <c r="BI634" s="1"/>
      <c r="BO634" s="1"/>
      <c r="BP634" s="1"/>
      <c r="BQ634" s="1"/>
      <c r="BR634" s="1"/>
      <c r="BS634" s="1"/>
      <c r="BT634" s="1"/>
      <c r="BU634" s="4"/>
    </row>
    <row r="635">
      <c r="AK635" s="1"/>
      <c r="AQ635" s="1"/>
      <c r="AW635" s="1"/>
      <c r="BC635" s="1"/>
      <c r="BD635" s="1"/>
      <c r="BE635" s="1"/>
      <c r="BF635" s="1"/>
      <c r="BG635" s="1"/>
      <c r="BH635" s="1"/>
      <c r="BI635" s="1"/>
      <c r="BO635" s="1"/>
      <c r="BP635" s="1"/>
      <c r="BQ635" s="1"/>
      <c r="BR635" s="1"/>
      <c r="BS635" s="1"/>
      <c r="BT635" s="1"/>
      <c r="BU635" s="4"/>
    </row>
    <row r="636">
      <c r="AK636" s="1"/>
      <c r="AQ636" s="1"/>
      <c r="AW636" s="1"/>
      <c r="BC636" s="1"/>
      <c r="BD636" s="1"/>
      <c r="BE636" s="1"/>
      <c r="BF636" s="1"/>
      <c r="BG636" s="1"/>
      <c r="BH636" s="1"/>
      <c r="BI636" s="1"/>
      <c r="BO636" s="1"/>
      <c r="BP636" s="1"/>
      <c r="BQ636" s="1"/>
      <c r="BR636" s="1"/>
      <c r="BS636" s="1"/>
      <c r="BT636" s="1"/>
      <c r="BU636" s="4"/>
    </row>
    <row r="637">
      <c r="AK637" s="1"/>
      <c r="AQ637" s="1"/>
      <c r="AW637" s="1"/>
      <c r="BC637" s="1"/>
      <c r="BD637" s="1"/>
      <c r="BE637" s="1"/>
      <c r="BF637" s="1"/>
      <c r="BG637" s="1"/>
      <c r="BH637" s="1"/>
      <c r="BI637" s="1"/>
      <c r="BO637" s="1"/>
      <c r="BP637" s="1"/>
      <c r="BQ637" s="1"/>
      <c r="BR637" s="1"/>
      <c r="BS637" s="1"/>
      <c r="BT637" s="1"/>
      <c r="BU637" s="4"/>
    </row>
    <row r="638">
      <c r="AK638" s="1"/>
      <c r="AQ638" s="1"/>
      <c r="AW638" s="1"/>
      <c r="BC638" s="1"/>
      <c r="BD638" s="1"/>
      <c r="BE638" s="1"/>
      <c r="BF638" s="1"/>
      <c r="BG638" s="1"/>
      <c r="BH638" s="1"/>
      <c r="BI638" s="1"/>
      <c r="BO638" s="1"/>
      <c r="BP638" s="1"/>
      <c r="BQ638" s="1"/>
      <c r="BR638" s="1"/>
      <c r="BS638" s="1"/>
      <c r="BT638" s="1"/>
      <c r="BU638" s="4"/>
    </row>
    <row r="639">
      <c r="AK639" s="1"/>
      <c r="AQ639" s="1"/>
      <c r="AW639" s="1"/>
      <c r="BC639" s="1"/>
      <c r="BD639" s="1"/>
      <c r="BE639" s="1"/>
      <c r="BF639" s="1"/>
      <c r="BG639" s="1"/>
      <c r="BH639" s="1"/>
      <c r="BI639" s="1"/>
      <c r="BO639" s="1"/>
      <c r="BP639" s="1"/>
      <c r="BQ639" s="1"/>
      <c r="BR639" s="1"/>
      <c r="BS639" s="1"/>
      <c r="BT639" s="1"/>
      <c r="BU639" s="4"/>
    </row>
    <row r="640">
      <c r="AK640" s="1"/>
      <c r="AQ640" s="1"/>
      <c r="AW640" s="1"/>
      <c r="BC640" s="1"/>
      <c r="BD640" s="1"/>
      <c r="BE640" s="1"/>
      <c r="BF640" s="1"/>
      <c r="BG640" s="1"/>
      <c r="BH640" s="1"/>
      <c r="BI640" s="1"/>
      <c r="BO640" s="1"/>
      <c r="BP640" s="1"/>
      <c r="BQ640" s="1"/>
      <c r="BR640" s="1"/>
      <c r="BS640" s="1"/>
      <c r="BT640" s="1"/>
      <c r="BU640" s="4"/>
    </row>
    <row r="641">
      <c r="AK641" s="1"/>
      <c r="AQ641" s="1"/>
      <c r="AW641" s="1"/>
      <c r="BC641" s="1"/>
      <c r="BD641" s="1"/>
      <c r="BE641" s="1"/>
      <c r="BF641" s="1"/>
      <c r="BG641" s="1"/>
      <c r="BH641" s="1"/>
      <c r="BI641" s="1"/>
      <c r="BO641" s="1"/>
      <c r="BP641" s="1"/>
      <c r="BQ641" s="1"/>
      <c r="BR641" s="1"/>
      <c r="BS641" s="1"/>
      <c r="BT641" s="1"/>
      <c r="BU641" s="4"/>
    </row>
    <row r="642">
      <c r="AK642" s="1"/>
      <c r="AQ642" s="1"/>
      <c r="AW642" s="1"/>
      <c r="BC642" s="1"/>
      <c r="BD642" s="1"/>
      <c r="BE642" s="1"/>
      <c r="BF642" s="1"/>
      <c r="BG642" s="1"/>
      <c r="BH642" s="1"/>
      <c r="BI642" s="1"/>
      <c r="BO642" s="1"/>
      <c r="BP642" s="1"/>
      <c r="BQ642" s="1"/>
      <c r="BR642" s="1"/>
      <c r="BS642" s="1"/>
      <c r="BT642" s="1"/>
      <c r="BU642" s="4"/>
    </row>
    <row r="643">
      <c r="AK643" s="1"/>
      <c r="AQ643" s="1"/>
      <c r="AW643" s="1"/>
      <c r="BC643" s="1"/>
      <c r="BD643" s="1"/>
      <c r="BE643" s="1"/>
      <c r="BF643" s="1"/>
      <c r="BG643" s="1"/>
      <c r="BH643" s="1"/>
      <c r="BI643" s="1"/>
      <c r="BO643" s="1"/>
      <c r="BP643" s="1"/>
      <c r="BQ643" s="1"/>
      <c r="BR643" s="1"/>
      <c r="BS643" s="1"/>
      <c r="BT643" s="1"/>
      <c r="BU643" s="4"/>
    </row>
    <row r="644">
      <c r="AK644" s="1"/>
      <c r="AQ644" s="1"/>
      <c r="AW644" s="1"/>
      <c r="BC644" s="1"/>
      <c r="BD644" s="1"/>
      <c r="BE644" s="1"/>
      <c r="BF644" s="1"/>
      <c r="BG644" s="1"/>
      <c r="BH644" s="1"/>
      <c r="BI644" s="1"/>
      <c r="BO644" s="1"/>
      <c r="BP644" s="1"/>
      <c r="BQ644" s="1"/>
      <c r="BR644" s="1"/>
      <c r="BS644" s="1"/>
      <c r="BT644" s="1"/>
      <c r="BU644" s="4"/>
    </row>
    <row r="645">
      <c r="AK645" s="1"/>
      <c r="AQ645" s="1"/>
      <c r="AW645" s="1"/>
      <c r="BC645" s="1"/>
      <c r="BD645" s="1"/>
      <c r="BE645" s="1"/>
      <c r="BF645" s="1"/>
      <c r="BG645" s="1"/>
      <c r="BH645" s="1"/>
      <c r="BI645" s="1"/>
      <c r="BO645" s="1"/>
      <c r="BP645" s="1"/>
      <c r="BQ645" s="1"/>
      <c r="BR645" s="1"/>
      <c r="BS645" s="1"/>
      <c r="BT645" s="1"/>
      <c r="BU645" s="4"/>
    </row>
    <row r="646">
      <c r="AK646" s="1"/>
      <c r="AQ646" s="1"/>
      <c r="AW646" s="1"/>
      <c r="BC646" s="1"/>
      <c r="BD646" s="1"/>
      <c r="BE646" s="1"/>
      <c r="BF646" s="1"/>
      <c r="BG646" s="1"/>
      <c r="BH646" s="1"/>
      <c r="BI646" s="1"/>
      <c r="BO646" s="1"/>
      <c r="BP646" s="1"/>
      <c r="BQ646" s="1"/>
      <c r="BR646" s="1"/>
      <c r="BS646" s="1"/>
      <c r="BT646" s="1"/>
      <c r="BU646" s="4"/>
    </row>
    <row r="647">
      <c r="AK647" s="1"/>
      <c r="AQ647" s="1"/>
      <c r="AW647" s="1"/>
      <c r="BC647" s="1"/>
      <c r="BD647" s="1"/>
      <c r="BE647" s="1"/>
      <c r="BF647" s="1"/>
      <c r="BG647" s="1"/>
      <c r="BH647" s="1"/>
      <c r="BI647" s="1"/>
      <c r="BO647" s="1"/>
      <c r="BP647" s="1"/>
      <c r="BQ647" s="1"/>
      <c r="BR647" s="1"/>
      <c r="BS647" s="1"/>
      <c r="BT647" s="1"/>
      <c r="BU647" s="4"/>
    </row>
    <row r="648">
      <c r="AK648" s="1"/>
      <c r="AQ648" s="1"/>
      <c r="AW648" s="1"/>
      <c r="BC648" s="1"/>
      <c r="BD648" s="1"/>
      <c r="BE648" s="1"/>
      <c r="BF648" s="1"/>
      <c r="BG648" s="1"/>
      <c r="BH648" s="1"/>
      <c r="BI648" s="1"/>
      <c r="BO648" s="1"/>
      <c r="BP648" s="1"/>
      <c r="BQ648" s="1"/>
      <c r="BR648" s="1"/>
      <c r="BS648" s="1"/>
      <c r="BT648" s="1"/>
      <c r="BU648" s="4"/>
    </row>
    <row r="649">
      <c r="AK649" s="1"/>
      <c r="AQ649" s="1"/>
      <c r="AW649" s="1"/>
      <c r="BC649" s="1"/>
      <c r="BD649" s="1"/>
      <c r="BE649" s="1"/>
      <c r="BF649" s="1"/>
      <c r="BG649" s="1"/>
      <c r="BH649" s="1"/>
      <c r="BI649" s="1"/>
      <c r="BO649" s="1"/>
      <c r="BP649" s="1"/>
      <c r="BQ649" s="1"/>
      <c r="BR649" s="1"/>
      <c r="BS649" s="1"/>
      <c r="BT649" s="1"/>
      <c r="BU649" s="4"/>
    </row>
    <row r="650">
      <c r="AK650" s="1"/>
      <c r="AQ650" s="1"/>
      <c r="AW650" s="1"/>
      <c r="BC650" s="1"/>
      <c r="BD650" s="1"/>
      <c r="BE650" s="1"/>
      <c r="BF650" s="1"/>
      <c r="BG650" s="1"/>
      <c r="BH650" s="1"/>
      <c r="BI650" s="1"/>
      <c r="BO650" s="1"/>
      <c r="BP650" s="1"/>
      <c r="BQ650" s="1"/>
      <c r="BR650" s="1"/>
      <c r="BS650" s="1"/>
      <c r="BT650" s="1"/>
      <c r="BU650" s="4"/>
    </row>
    <row r="651">
      <c r="AK651" s="1"/>
      <c r="AQ651" s="1"/>
      <c r="AW651" s="1"/>
      <c r="BC651" s="1"/>
      <c r="BD651" s="1"/>
      <c r="BE651" s="1"/>
      <c r="BF651" s="1"/>
      <c r="BG651" s="1"/>
      <c r="BH651" s="1"/>
      <c r="BI651" s="1"/>
      <c r="BO651" s="1"/>
      <c r="BP651" s="1"/>
      <c r="BQ651" s="1"/>
      <c r="BR651" s="1"/>
      <c r="BS651" s="1"/>
      <c r="BT651" s="1"/>
      <c r="BU651" s="4"/>
    </row>
    <row r="652">
      <c r="AK652" s="1"/>
      <c r="AQ652" s="1"/>
      <c r="AW652" s="1"/>
      <c r="BC652" s="1"/>
      <c r="BD652" s="1"/>
      <c r="BE652" s="1"/>
      <c r="BF652" s="1"/>
      <c r="BG652" s="1"/>
      <c r="BH652" s="1"/>
      <c r="BI652" s="1"/>
      <c r="BO652" s="1"/>
      <c r="BP652" s="1"/>
      <c r="BQ652" s="1"/>
      <c r="BR652" s="1"/>
      <c r="BS652" s="1"/>
      <c r="BT652" s="1"/>
      <c r="BU652" s="4"/>
    </row>
    <row r="653">
      <c r="AK653" s="1"/>
      <c r="AQ653" s="1"/>
      <c r="AW653" s="1"/>
      <c r="BC653" s="1"/>
      <c r="BD653" s="1"/>
      <c r="BE653" s="1"/>
      <c r="BF653" s="1"/>
      <c r="BG653" s="1"/>
      <c r="BH653" s="1"/>
      <c r="BI653" s="1"/>
      <c r="BO653" s="1"/>
      <c r="BP653" s="1"/>
      <c r="BQ653" s="1"/>
      <c r="BR653" s="1"/>
      <c r="BS653" s="1"/>
      <c r="BT653" s="1"/>
      <c r="BU653" s="4"/>
    </row>
    <row r="654">
      <c r="AK654" s="1"/>
      <c r="AQ654" s="1"/>
      <c r="AW654" s="1"/>
      <c r="BC654" s="1"/>
      <c r="BD654" s="1"/>
      <c r="BE654" s="1"/>
      <c r="BF654" s="1"/>
      <c r="BG654" s="1"/>
      <c r="BH654" s="1"/>
      <c r="BI654" s="1"/>
      <c r="BO654" s="1"/>
      <c r="BP654" s="1"/>
      <c r="BQ654" s="1"/>
      <c r="BR654" s="1"/>
      <c r="BS654" s="1"/>
      <c r="BT654" s="1"/>
      <c r="BU654" s="4"/>
    </row>
    <row r="655">
      <c r="AK655" s="1"/>
      <c r="AQ655" s="1"/>
      <c r="AW655" s="1"/>
      <c r="BC655" s="1"/>
      <c r="BD655" s="1"/>
      <c r="BE655" s="1"/>
      <c r="BF655" s="1"/>
      <c r="BG655" s="1"/>
      <c r="BH655" s="1"/>
      <c r="BI655" s="1"/>
      <c r="BO655" s="1"/>
      <c r="BP655" s="1"/>
      <c r="BQ655" s="1"/>
      <c r="BR655" s="1"/>
      <c r="BS655" s="1"/>
      <c r="BT655" s="1"/>
      <c r="BU655" s="4"/>
    </row>
    <row r="656">
      <c r="AK656" s="1"/>
      <c r="AQ656" s="1"/>
      <c r="AW656" s="1"/>
      <c r="BC656" s="1"/>
      <c r="BD656" s="1"/>
      <c r="BE656" s="1"/>
      <c r="BF656" s="1"/>
      <c r="BG656" s="1"/>
      <c r="BH656" s="1"/>
      <c r="BI656" s="1"/>
      <c r="BO656" s="1"/>
      <c r="BP656" s="1"/>
      <c r="BQ656" s="1"/>
      <c r="BR656" s="1"/>
      <c r="BS656" s="1"/>
      <c r="BT656" s="1"/>
      <c r="BU656" s="4"/>
    </row>
    <row r="657">
      <c r="AK657" s="1"/>
      <c r="AQ657" s="1"/>
      <c r="AW657" s="1"/>
      <c r="BC657" s="1"/>
      <c r="BD657" s="1"/>
      <c r="BE657" s="1"/>
      <c r="BF657" s="1"/>
      <c r="BG657" s="1"/>
      <c r="BH657" s="1"/>
      <c r="BI657" s="1"/>
      <c r="BO657" s="1"/>
      <c r="BP657" s="1"/>
      <c r="BQ657" s="1"/>
      <c r="BR657" s="1"/>
      <c r="BS657" s="1"/>
      <c r="BT657" s="1"/>
      <c r="BU657" s="4"/>
    </row>
    <row r="658">
      <c r="AK658" s="1"/>
      <c r="AQ658" s="1"/>
      <c r="AW658" s="1"/>
      <c r="BC658" s="1"/>
      <c r="BD658" s="1"/>
      <c r="BE658" s="1"/>
      <c r="BF658" s="1"/>
      <c r="BG658" s="1"/>
      <c r="BH658" s="1"/>
      <c r="BI658" s="1"/>
      <c r="BO658" s="1"/>
      <c r="BP658" s="1"/>
      <c r="BQ658" s="1"/>
      <c r="BR658" s="1"/>
      <c r="BS658" s="1"/>
      <c r="BT658" s="1"/>
      <c r="BU658" s="4"/>
    </row>
    <row r="659">
      <c r="AK659" s="1"/>
      <c r="AQ659" s="1"/>
      <c r="AW659" s="1"/>
      <c r="BC659" s="1"/>
      <c r="BD659" s="1"/>
      <c r="BE659" s="1"/>
      <c r="BF659" s="1"/>
      <c r="BG659" s="1"/>
      <c r="BH659" s="1"/>
      <c r="BI659" s="1"/>
      <c r="BO659" s="1"/>
      <c r="BP659" s="1"/>
      <c r="BQ659" s="1"/>
      <c r="BR659" s="1"/>
      <c r="BS659" s="1"/>
      <c r="BT659" s="1"/>
      <c r="BU659" s="4"/>
    </row>
    <row r="660">
      <c r="AK660" s="1"/>
      <c r="AQ660" s="1"/>
      <c r="AW660" s="1"/>
      <c r="BC660" s="1"/>
      <c r="BD660" s="1"/>
      <c r="BE660" s="1"/>
      <c r="BF660" s="1"/>
      <c r="BG660" s="1"/>
      <c r="BH660" s="1"/>
      <c r="BI660" s="1"/>
      <c r="BO660" s="1"/>
      <c r="BP660" s="1"/>
      <c r="BQ660" s="1"/>
      <c r="BR660" s="1"/>
      <c r="BS660" s="1"/>
      <c r="BT660" s="1"/>
      <c r="BU660" s="4"/>
    </row>
    <row r="661">
      <c r="AK661" s="1"/>
      <c r="AQ661" s="1"/>
      <c r="AW661" s="1"/>
      <c r="BC661" s="1"/>
      <c r="BD661" s="1"/>
      <c r="BE661" s="1"/>
      <c r="BF661" s="1"/>
      <c r="BG661" s="1"/>
      <c r="BH661" s="1"/>
      <c r="BI661" s="1"/>
      <c r="BO661" s="1"/>
      <c r="BP661" s="1"/>
      <c r="BQ661" s="1"/>
      <c r="BR661" s="1"/>
      <c r="BS661" s="1"/>
      <c r="BT661" s="1"/>
      <c r="BU661" s="4"/>
    </row>
    <row r="662">
      <c r="AK662" s="1"/>
      <c r="AQ662" s="1"/>
      <c r="AW662" s="1"/>
      <c r="BC662" s="1"/>
      <c r="BD662" s="1"/>
      <c r="BE662" s="1"/>
      <c r="BF662" s="1"/>
      <c r="BG662" s="1"/>
      <c r="BH662" s="1"/>
      <c r="BI662" s="1"/>
      <c r="BO662" s="1"/>
      <c r="BP662" s="1"/>
      <c r="BQ662" s="1"/>
      <c r="BR662" s="1"/>
      <c r="BS662" s="1"/>
      <c r="BT662" s="1"/>
      <c r="BU662" s="4"/>
    </row>
    <row r="663">
      <c r="AK663" s="1"/>
      <c r="AQ663" s="1"/>
      <c r="AW663" s="1"/>
      <c r="BC663" s="1"/>
      <c r="BD663" s="1"/>
      <c r="BE663" s="1"/>
      <c r="BF663" s="1"/>
      <c r="BG663" s="1"/>
      <c r="BH663" s="1"/>
      <c r="BI663" s="1"/>
      <c r="BO663" s="1"/>
      <c r="BP663" s="1"/>
      <c r="BQ663" s="1"/>
      <c r="BR663" s="1"/>
      <c r="BS663" s="1"/>
      <c r="BT663" s="1"/>
      <c r="BU663" s="4"/>
    </row>
    <row r="664">
      <c r="AK664" s="1"/>
      <c r="AQ664" s="1"/>
      <c r="AW664" s="1"/>
      <c r="BC664" s="1"/>
      <c r="BD664" s="1"/>
      <c r="BE664" s="1"/>
      <c r="BF664" s="1"/>
      <c r="BG664" s="1"/>
      <c r="BH664" s="1"/>
      <c r="BI664" s="1"/>
      <c r="BO664" s="1"/>
      <c r="BP664" s="1"/>
      <c r="BQ664" s="1"/>
      <c r="BR664" s="1"/>
      <c r="BS664" s="1"/>
      <c r="BT664" s="1"/>
      <c r="BU664" s="4"/>
    </row>
    <row r="665">
      <c r="AK665" s="1"/>
      <c r="AQ665" s="1"/>
      <c r="AW665" s="1"/>
      <c r="BC665" s="1"/>
      <c r="BD665" s="1"/>
      <c r="BE665" s="1"/>
      <c r="BF665" s="1"/>
      <c r="BG665" s="1"/>
      <c r="BH665" s="1"/>
      <c r="BI665" s="1"/>
      <c r="BO665" s="1"/>
      <c r="BP665" s="1"/>
      <c r="BQ665" s="1"/>
      <c r="BR665" s="1"/>
      <c r="BS665" s="1"/>
      <c r="BT665" s="1"/>
      <c r="BU665" s="4"/>
    </row>
    <row r="666">
      <c r="AK666" s="1"/>
      <c r="AQ666" s="1"/>
      <c r="AW666" s="1"/>
      <c r="BC666" s="1"/>
      <c r="BD666" s="1"/>
      <c r="BE666" s="1"/>
      <c r="BF666" s="1"/>
      <c r="BG666" s="1"/>
      <c r="BH666" s="1"/>
      <c r="BI666" s="1"/>
      <c r="BO666" s="1"/>
      <c r="BP666" s="1"/>
      <c r="BQ666" s="1"/>
      <c r="BR666" s="1"/>
      <c r="BS666" s="1"/>
      <c r="BT666" s="1"/>
      <c r="BU666" s="4"/>
    </row>
    <row r="667">
      <c r="AK667" s="1"/>
      <c r="AQ667" s="1"/>
      <c r="AW667" s="1"/>
      <c r="BC667" s="1"/>
      <c r="BD667" s="1"/>
      <c r="BE667" s="1"/>
      <c r="BF667" s="1"/>
      <c r="BG667" s="1"/>
      <c r="BH667" s="1"/>
      <c r="BI667" s="1"/>
      <c r="BO667" s="1"/>
      <c r="BP667" s="1"/>
      <c r="BQ667" s="1"/>
      <c r="BR667" s="1"/>
      <c r="BS667" s="1"/>
      <c r="BT667" s="1"/>
      <c r="BU667" s="4"/>
    </row>
    <row r="668">
      <c r="AK668" s="1"/>
      <c r="AQ668" s="1"/>
      <c r="AW668" s="1"/>
      <c r="BC668" s="1"/>
      <c r="BD668" s="1"/>
      <c r="BE668" s="1"/>
      <c r="BF668" s="1"/>
      <c r="BG668" s="1"/>
      <c r="BH668" s="1"/>
      <c r="BI668" s="1"/>
      <c r="BO668" s="1"/>
      <c r="BP668" s="1"/>
      <c r="BQ668" s="1"/>
      <c r="BR668" s="1"/>
      <c r="BS668" s="1"/>
      <c r="BT668" s="1"/>
      <c r="BU668" s="4"/>
    </row>
    <row r="669">
      <c r="AK669" s="1"/>
      <c r="AQ669" s="1"/>
      <c r="AW669" s="1"/>
      <c r="BC669" s="1"/>
      <c r="BD669" s="1"/>
      <c r="BE669" s="1"/>
      <c r="BF669" s="1"/>
      <c r="BG669" s="1"/>
      <c r="BH669" s="1"/>
      <c r="BI669" s="1"/>
      <c r="BO669" s="1"/>
      <c r="BP669" s="1"/>
      <c r="BQ669" s="1"/>
      <c r="BR669" s="1"/>
      <c r="BS669" s="1"/>
      <c r="BT669" s="1"/>
      <c r="BU669" s="4"/>
    </row>
    <row r="670">
      <c r="AK670" s="1"/>
      <c r="AQ670" s="1"/>
      <c r="AW670" s="1"/>
      <c r="BC670" s="1"/>
      <c r="BD670" s="1"/>
      <c r="BE670" s="1"/>
      <c r="BF670" s="1"/>
      <c r="BG670" s="1"/>
      <c r="BH670" s="1"/>
      <c r="BI670" s="1"/>
      <c r="BO670" s="1"/>
      <c r="BP670" s="1"/>
      <c r="BQ670" s="1"/>
      <c r="BR670" s="1"/>
      <c r="BS670" s="1"/>
      <c r="BT670" s="1"/>
      <c r="BU670" s="4"/>
    </row>
    <row r="671">
      <c r="AK671" s="1"/>
      <c r="AQ671" s="1"/>
      <c r="AW671" s="1"/>
      <c r="BC671" s="1"/>
      <c r="BD671" s="1"/>
      <c r="BE671" s="1"/>
      <c r="BF671" s="1"/>
      <c r="BG671" s="1"/>
      <c r="BH671" s="1"/>
      <c r="BI671" s="1"/>
      <c r="BO671" s="1"/>
      <c r="BP671" s="1"/>
      <c r="BQ671" s="1"/>
      <c r="BR671" s="1"/>
      <c r="BS671" s="1"/>
      <c r="BT671" s="1"/>
      <c r="BU671" s="4"/>
    </row>
    <row r="672">
      <c r="AK672" s="1"/>
      <c r="AQ672" s="1"/>
      <c r="AW672" s="1"/>
      <c r="BC672" s="1"/>
      <c r="BD672" s="1"/>
      <c r="BE672" s="1"/>
      <c r="BF672" s="1"/>
      <c r="BG672" s="1"/>
      <c r="BH672" s="1"/>
      <c r="BI672" s="1"/>
      <c r="BO672" s="1"/>
      <c r="BP672" s="1"/>
      <c r="BQ672" s="1"/>
      <c r="BR672" s="1"/>
      <c r="BS672" s="1"/>
      <c r="BT672" s="1"/>
      <c r="BU672" s="4"/>
    </row>
    <row r="673">
      <c r="AK673" s="1"/>
      <c r="AQ673" s="1"/>
      <c r="AW673" s="1"/>
      <c r="BC673" s="1"/>
      <c r="BD673" s="1"/>
      <c r="BE673" s="1"/>
      <c r="BF673" s="1"/>
      <c r="BG673" s="1"/>
      <c r="BH673" s="1"/>
      <c r="BI673" s="1"/>
      <c r="BO673" s="1"/>
      <c r="BP673" s="1"/>
      <c r="BQ673" s="1"/>
      <c r="BR673" s="1"/>
      <c r="BS673" s="1"/>
      <c r="BT673" s="1"/>
      <c r="BU673" s="4"/>
    </row>
    <row r="674">
      <c r="AK674" s="1"/>
      <c r="AQ674" s="1"/>
      <c r="AW674" s="1"/>
      <c r="BC674" s="1"/>
      <c r="BD674" s="1"/>
      <c r="BE674" s="1"/>
      <c r="BF674" s="1"/>
      <c r="BG674" s="1"/>
      <c r="BH674" s="1"/>
      <c r="BI674" s="1"/>
      <c r="BO674" s="1"/>
      <c r="BP674" s="1"/>
      <c r="BQ674" s="1"/>
      <c r="BR674" s="1"/>
      <c r="BS674" s="1"/>
      <c r="BT674" s="1"/>
      <c r="BU674" s="4"/>
    </row>
    <row r="675">
      <c r="AK675" s="1"/>
      <c r="AQ675" s="1"/>
      <c r="AW675" s="1"/>
      <c r="BC675" s="1"/>
      <c r="BD675" s="1"/>
      <c r="BE675" s="1"/>
      <c r="BF675" s="1"/>
      <c r="BG675" s="1"/>
      <c r="BH675" s="1"/>
      <c r="BI675" s="1"/>
      <c r="BO675" s="1"/>
      <c r="BP675" s="1"/>
      <c r="BQ675" s="1"/>
      <c r="BR675" s="1"/>
      <c r="BS675" s="1"/>
      <c r="BT675" s="1"/>
      <c r="BU675" s="4"/>
    </row>
    <row r="676">
      <c r="AK676" s="1"/>
      <c r="AQ676" s="1"/>
      <c r="AW676" s="1"/>
      <c r="BC676" s="1"/>
      <c r="BD676" s="1"/>
      <c r="BE676" s="1"/>
      <c r="BF676" s="1"/>
      <c r="BG676" s="1"/>
      <c r="BH676" s="1"/>
      <c r="BI676" s="1"/>
      <c r="BO676" s="1"/>
      <c r="BP676" s="1"/>
      <c r="BQ676" s="1"/>
      <c r="BR676" s="1"/>
      <c r="BS676" s="1"/>
      <c r="BT676" s="1"/>
      <c r="BU676" s="4"/>
    </row>
    <row r="677">
      <c r="AK677" s="1"/>
      <c r="AQ677" s="1"/>
      <c r="AW677" s="1"/>
      <c r="BC677" s="1"/>
      <c r="BD677" s="1"/>
      <c r="BE677" s="1"/>
      <c r="BF677" s="1"/>
      <c r="BG677" s="1"/>
      <c r="BH677" s="1"/>
      <c r="BI677" s="1"/>
      <c r="BO677" s="1"/>
      <c r="BP677" s="1"/>
      <c r="BQ677" s="1"/>
      <c r="BR677" s="1"/>
      <c r="BS677" s="1"/>
      <c r="BT677" s="1"/>
      <c r="BU677" s="4"/>
    </row>
    <row r="678">
      <c r="AK678" s="1"/>
      <c r="AQ678" s="1"/>
      <c r="AW678" s="1"/>
      <c r="BC678" s="1"/>
      <c r="BD678" s="1"/>
      <c r="BE678" s="1"/>
      <c r="BF678" s="1"/>
      <c r="BG678" s="1"/>
      <c r="BH678" s="1"/>
      <c r="BI678" s="1"/>
      <c r="BO678" s="1"/>
      <c r="BP678" s="1"/>
      <c r="BQ678" s="1"/>
      <c r="BR678" s="1"/>
      <c r="BS678" s="1"/>
      <c r="BT678" s="1"/>
      <c r="BU678" s="4"/>
    </row>
    <row r="679">
      <c r="AK679" s="1"/>
      <c r="AQ679" s="1"/>
      <c r="AW679" s="1"/>
      <c r="BC679" s="1"/>
      <c r="BD679" s="1"/>
      <c r="BE679" s="1"/>
      <c r="BF679" s="1"/>
      <c r="BG679" s="1"/>
      <c r="BH679" s="1"/>
      <c r="BI679" s="1"/>
      <c r="BO679" s="1"/>
      <c r="BP679" s="1"/>
      <c r="BQ679" s="1"/>
      <c r="BR679" s="1"/>
      <c r="BS679" s="1"/>
      <c r="BT679" s="1"/>
      <c r="BU679" s="4"/>
    </row>
    <row r="680">
      <c r="AK680" s="1"/>
      <c r="AQ680" s="1"/>
      <c r="AW680" s="1"/>
      <c r="BC680" s="1"/>
      <c r="BD680" s="1"/>
      <c r="BE680" s="1"/>
      <c r="BF680" s="1"/>
      <c r="BG680" s="1"/>
      <c r="BH680" s="1"/>
      <c r="BI680" s="1"/>
      <c r="BO680" s="1"/>
      <c r="BP680" s="1"/>
      <c r="BQ680" s="1"/>
      <c r="BR680" s="1"/>
      <c r="BS680" s="1"/>
      <c r="BT680" s="1"/>
      <c r="BU680" s="4"/>
    </row>
    <row r="681">
      <c r="AK681" s="1"/>
      <c r="AQ681" s="1"/>
      <c r="AW681" s="1"/>
      <c r="BC681" s="1"/>
      <c r="BD681" s="1"/>
      <c r="BE681" s="1"/>
      <c r="BF681" s="1"/>
      <c r="BG681" s="1"/>
      <c r="BH681" s="1"/>
      <c r="BI681" s="1"/>
      <c r="BO681" s="1"/>
      <c r="BP681" s="1"/>
      <c r="BQ681" s="1"/>
      <c r="BR681" s="1"/>
      <c r="BS681" s="1"/>
      <c r="BT681" s="1"/>
      <c r="BU681" s="4"/>
    </row>
    <row r="682">
      <c r="AK682" s="1"/>
      <c r="AQ682" s="1"/>
      <c r="AW682" s="1"/>
      <c r="BC682" s="1"/>
      <c r="BD682" s="1"/>
      <c r="BE682" s="1"/>
      <c r="BF682" s="1"/>
      <c r="BG682" s="1"/>
      <c r="BH682" s="1"/>
      <c r="BI682" s="1"/>
      <c r="BO682" s="1"/>
      <c r="BP682" s="1"/>
      <c r="BQ682" s="1"/>
      <c r="BR682" s="1"/>
      <c r="BS682" s="1"/>
      <c r="BT682" s="1"/>
      <c r="BU682" s="4"/>
    </row>
    <row r="683">
      <c r="AK683" s="1"/>
      <c r="AQ683" s="1"/>
      <c r="AW683" s="1"/>
      <c r="BC683" s="1"/>
      <c r="BD683" s="1"/>
      <c r="BE683" s="1"/>
      <c r="BF683" s="1"/>
      <c r="BG683" s="1"/>
      <c r="BH683" s="1"/>
      <c r="BI683" s="1"/>
      <c r="BO683" s="1"/>
      <c r="BP683" s="1"/>
      <c r="BQ683" s="1"/>
      <c r="BR683" s="1"/>
      <c r="BS683" s="1"/>
      <c r="BT683" s="1"/>
      <c r="BU683" s="4"/>
    </row>
    <row r="684">
      <c r="AK684" s="1"/>
      <c r="AQ684" s="1"/>
      <c r="AW684" s="1"/>
      <c r="BC684" s="1"/>
      <c r="BD684" s="1"/>
      <c r="BE684" s="1"/>
      <c r="BF684" s="1"/>
      <c r="BG684" s="1"/>
      <c r="BH684" s="1"/>
      <c r="BI684" s="1"/>
      <c r="BO684" s="1"/>
      <c r="BP684" s="1"/>
      <c r="BQ684" s="1"/>
      <c r="BR684" s="1"/>
      <c r="BS684" s="1"/>
      <c r="BT684" s="1"/>
      <c r="BU684" s="4"/>
    </row>
    <row r="685">
      <c r="AK685" s="1"/>
      <c r="AQ685" s="1"/>
      <c r="AW685" s="1"/>
      <c r="BC685" s="1"/>
      <c r="BD685" s="1"/>
      <c r="BE685" s="1"/>
      <c r="BF685" s="1"/>
      <c r="BG685" s="1"/>
      <c r="BH685" s="1"/>
      <c r="BI685" s="1"/>
      <c r="BO685" s="1"/>
      <c r="BP685" s="1"/>
      <c r="BQ685" s="1"/>
      <c r="BR685" s="1"/>
      <c r="BS685" s="1"/>
      <c r="BT685" s="1"/>
      <c r="BU685" s="4"/>
    </row>
    <row r="686">
      <c r="AK686" s="1"/>
      <c r="AQ686" s="1"/>
      <c r="AW686" s="1"/>
      <c r="BC686" s="1"/>
      <c r="BD686" s="1"/>
      <c r="BE686" s="1"/>
      <c r="BF686" s="1"/>
      <c r="BG686" s="1"/>
      <c r="BH686" s="1"/>
      <c r="BI686" s="1"/>
      <c r="BO686" s="1"/>
      <c r="BP686" s="1"/>
      <c r="BQ686" s="1"/>
      <c r="BR686" s="1"/>
      <c r="BS686" s="1"/>
      <c r="BT686" s="1"/>
      <c r="BU686" s="4"/>
    </row>
    <row r="687">
      <c r="AK687" s="1"/>
      <c r="AQ687" s="1"/>
      <c r="AW687" s="1"/>
      <c r="BC687" s="1"/>
      <c r="BD687" s="1"/>
      <c r="BE687" s="1"/>
      <c r="BF687" s="1"/>
      <c r="BG687" s="1"/>
      <c r="BH687" s="1"/>
      <c r="BI687" s="1"/>
      <c r="BO687" s="1"/>
      <c r="BP687" s="1"/>
      <c r="BQ687" s="1"/>
      <c r="BR687" s="1"/>
      <c r="BS687" s="1"/>
      <c r="BT687" s="1"/>
      <c r="BU687" s="4"/>
    </row>
    <row r="688">
      <c r="AK688" s="1"/>
      <c r="AQ688" s="1"/>
      <c r="AW688" s="1"/>
      <c r="BC688" s="1"/>
      <c r="BD688" s="1"/>
      <c r="BE688" s="1"/>
      <c r="BF688" s="1"/>
      <c r="BG688" s="1"/>
      <c r="BH688" s="1"/>
      <c r="BI688" s="1"/>
      <c r="BO688" s="1"/>
      <c r="BP688" s="1"/>
      <c r="BQ688" s="1"/>
      <c r="BR688" s="1"/>
      <c r="BS688" s="1"/>
      <c r="BT688" s="1"/>
      <c r="BU688" s="4"/>
    </row>
    <row r="689">
      <c r="AK689" s="1"/>
      <c r="AQ689" s="1"/>
      <c r="AW689" s="1"/>
      <c r="BC689" s="1"/>
      <c r="BD689" s="1"/>
      <c r="BE689" s="1"/>
      <c r="BF689" s="1"/>
      <c r="BG689" s="1"/>
      <c r="BH689" s="1"/>
      <c r="BI689" s="1"/>
      <c r="BO689" s="1"/>
      <c r="BP689" s="1"/>
      <c r="BQ689" s="1"/>
      <c r="BR689" s="1"/>
      <c r="BS689" s="1"/>
      <c r="BT689" s="1"/>
      <c r="BU689" s="4"/>
    </row>
    <row r="690">
      <c r="AK690" s="1"/>
      <c r="AQ690" s="1"/>
      <c r="AW690" s="1"/>
      <c r="BC690" s="1"/>
      <c r="BD690" s="1"/>
      <c r="BE690" s="1"/>
      <c r="BF690" s="1"/>
      <c r="BG690" s="1"/>
      <c r="BH690" s="1"/>
      <c r="BI690" s="1"/>
      <c r="BO690" s="1"/>
      <c r="BP690" s="1"/>
      <c r="BQ690" s="1"/>
      <c r="BR690" s="1"/>
      <c r="BS690" s="1"/>
      <c r="BT690" s="1"/>
      <c r="BU690" s="4"/>
    </row>
    <row r="691">
      <c r="AK691" s="1"/>
      <c r="AQ691" s="1"/>
      <c r="AW691" s="1"/>
      <c r="BC691" s="1"/>
      <c r="BD691" s="1"/>
      <c r="BE691" s="1"/>
      <c r="BF691" s="1"/>
      <c r="BG691" s="1"/>
      <c r="BH691" s="1"/>
      <c r="BI691" s="1"/>
      <c r="BO691" s="1"/>
      <c r="BP691" s="1"/>
      <c r="BQ691" s="1"/>
      <c r="BR691" s="1"/>
      <c r="BS691" s="1"/>
      <c r="BT691" s="1"/>
      <c r="BU691" s="4"/>
    </row>
    <row r="692">
      <c r="AK692" s="1"/>
      <c r="AQ692" s="1"/>
      <c r="AW692" s="1"/>
      <c r="BC692" s="1"/>
      <c r="BD692" s="1"/>
      <c r="BE692" s="1"/>
      <c r="BF692" s="1"/>
      <c r="BG692" s="1"/>
      <c r="BH692" s="1"/>
      <c r="BI692" s="1"/>
      <c r="BO692" s="1"/>
      <c r="BP692" s="1"/>
      <c r="BQ692" s="1"/>
      <c r="BR692" s="1"/>
      <c r="BS692" s="1"/>
      <c r="BT692" s="1"/>
      <c r="BU692" s="4"/>
    </row>
    <row r="693">
      <c r="AK693" s="1"/>
      <c r="AQ693" s="1"/>
      <c r="AW693" s="1"/>
      <c r="BC693" s="1"/>
      <c r="BD693" s="1"/>
      <c r="BE693" s="1"/>
      <c r="BF693" s="1"/>
      <c r="BG693" s="1"/>
      <c r="BH693" s="1"/>
      <c r="BI693" s="1"/>
      <c r="BO693" s="1"/>
      <c r="BP693" s="1"/>
      <c r="BQ693" s="1"/>
      <c r="BR693" s="1"/>
      <c r="BS693" s="1"/>
      <c r="BT693" s="1"/>
      <c r="BU693" s="4"/>
    </row>
    <row r="694">
      <c r="AK694" s="1"/>
      <c r="AQ694" s="1"/>
      <c r="AW694" s="1"/>
      <c r="BC694" s="1"/>
      <c r="BD694" s="1"/>
      <c r="BE694" s="1"/>
      <c r="BF694" s="1"/>
      <c r="BG694" s="1"/>
      <c r="BH694" s="1"/>
      <c r="BI694" s="1"/>
      <c r="BO694" s="1"/>
      <c r="BP694" s="1"/>
      <c r="BQ694" s="1"/>
      <c r="BR694" s="1"/>
      <c r="BS694" s="1"/>
      <c r="BT694" s="1"/>
      <c r="BU694" s="4"/>
    </row>
    <row r="695">
      <c r="AK695" s="1"/>
      <c r="AQ695" s="1"/>
      <c r="AW695" s="1"/>
      <c r="BC695" s="1"/>
      <c r="BD695" s="1"/>
      <c r="BE695" s="1"/>
      <c r="BF695" s="1"/>
      <c r="BG695" s="1"/>
      <c r="BH695" s="1"/>
      <c r="BI695" s="1"/>
      <c r="BO695" s="1"/>
      <c r="BP695" s="1"/>
      <c r="BQ695" s="1"/>
      <c r="BR695" s="1"/>
      <c r="BS695" s="1"/>
      <c r="BT695" s="1"/>
      <c r="BU695" s="4"/>
    </row>
    <row r="696">
      <c r="AK696" s="1"/>
      <c r="AQ696" s="1"/>
      <c r="AW696" s="1"/>
      <c r="BC696" s="1"/>
      <c r="BD696" s="1"/>
      <c r="BE696" s="1"/>
      <c r="BF696" s="1"/>
      <c r="BG696" s="1"/>
      <c r="BH696" s="1"/>
      <c r="BI696" s="1"/>
      <c r="BO696" s="1"/>
      <c r="BP696" s="1"/>
      <c r="BQ696" s="1"/>
      <c r="BR696" s="1"/>
      <c r="BS696" s="1"/>
      <c r="BT696" s="1"/>
      <c r="BU696" s="4"/>
    </row>
    <row r="697">
      <c r="AK697" s="1"/>
      <c r="AQ697" s="1"/>
      <c r="AW697" s="1"/>
      <c r="BC697" s="1"/>
      <c r="BD697" s="1"/>
      <c r="BE697" s="1"/>
      <c r="BF697" s="1"/>
      <c r="BG697" s="1"/>
      <c r="BH697" s="1"/>
      <c r="BI697" s="1"/>
      <c r="BO697" s="1"/>
      <c r="BP697" s="1"/>
      <c r="BQ697" s="1"/>
      <c r="BR697" s="1"/>
      <c r="BS697" s="1"/>
      <c r="BT697" s="1"/>
      <c r="BU697" s="4"/>
    </row>
    <row r="698">
      <c r="AK698" s="1"/>
      <c r="AQ698" s="1"/>
      <c r="AW698" s="1"/>
      <c r="BC698" s="1"/>
      <c r="BD698" s="1"/>
      <c r="BE698" s="1"/>
      <c r="BF698" s="1"/>
      <c r="BG698" s="1"/>
      <c r="BH698" s="1"/>
      <c r="BI698" s="1"/>
      <c r="BO698" s="1"/>
      <c r="BP698" s="1"/>
      <c r="BQ698" s="1"/>
      <c r="BR698" s="1"/>
      <c r="BS698" s="1"/>
      <c r="BT698" s="1"/>
      <c r="BU698" s="4"/>
    </row>
    <row r="699">
      <c r="AK699" s="1"/>
      <c r="AQ699" s="1"/>
      <c r="AW699" s="1"/>
      <c r="BC699" s="1"/>
      <c r="BD699" s="1"/>
      <c r="BE699" s="1"/>
      <c r="BF699" s="1"/>
      <c r="BG699" s="1"/>
      <c r="BH699" s="1"/>
      <c r="BI699" s="1"/>
      <c r="BO699" s="1"/>
      <c r="BP699" s="1"/>
      <c r="BQ699" s="1"/>
      <c r="BR699" s="1"/>
      <c r="BS699" s="1"/>
      <c r="BT699" s="1"/>
      <c r="BU699" s="4"/>
    </row>
    <row r="700">
      <c r="AK700" s="1"/>
      <c r="AQ700" s="1"/>
      <c r="AW700" s="1"/>
      <c r="BC700" s="1"/>
      <c r="BD700" s="1"/>
      <c r="BE700" s="1"/>
      <c r="BF700" s="1"/>
      <c r="BG700" s="1"/>
      <c r="BH700" s="1"/>
      <c r="BI700" s="1"/>
      <c r="BO700" s="1"/>
      <c r="BP700" s="1"/>
      <c r="BQ700" s="1"/>
      <c r="BR700" s="1"/>
      <c r="BS700" s="1"/>
      <c r="BT700" s="1"/>
      <c r="BU700" s="4"/>
    </row>
    <row r="701">
      <c r="AK701" s="1"/>
      <c r="AQ701" s="1"/>
      <c r="AW701" s="1"/>
      <c r="BC701" s="1"/>
      <c r="BD701" s="1"/>
      <c r="BE701" s="1"/>
      <c r="BF701" s="1"/>
      <c r="BG701" s="1"/>
      <c r="BH701" s="1"/>
      <c r="BI701" s="1"/>
      <c r="BO701" s="1"/>
      <c r="BP701" s="1"/>
      <c r="BQ701" s="1"/>
      <c r="BR701" s="1"/>
      <c r="BS701" s="1"/>
      <c r="BT701" s="1"/>
      <c r="BU701" s="4"/>
    </row>
    <row r="702">
      <c r="AK702" s="1"/>
      <c r="AQ702" s="1"/>
      <c r="AW702" s="1"/>
      <c r="BC702" s="1"/>
      <c r="BD702" s="1"/>
      <c r="BE702" s="1"/>
      <c r="BF702" s="1"/>
      <c r="BG702" s="1"/>
      <c r="BH702" s="1"/>
      <c r="BI702" s="1"/>
      <c r="BO702" s="1"/>
      <c r="BP702" s="1"/>
      <c r="BQ702" s="1"/>
      <c r="BR702" s="1"/>
      <c r="BS702" s="1"/>
      <c r="BT702" s="1"/>
      <c r="BU702" s="4"/>
    </row>
    <row r="703">
      <c r="AK703" s="1"/>
      <c r="AQ703" s="1"/>
      <c r="AW703" s="1"/>
      <c r="BC703" s="1"/>
      <c r="BD703" s="1"/>
      <c r="BE703" s="1"/>
      <c r="BF703" s="1"/>
      <c r="BG703" s="1"/>
      <c r="BH703" s="1"/>
      <c r="BI703" s="1"/>
      <c r="BO703" s="1"/>
      <c r="BP703" s="1"/>
      <c r="BQ703" s="1"/>
      <c r="BR703" s="1"/>
      <c r="BS703" s="1"/>
      <c r="BT703" s="1"/>
      <c r="BU703" s="4"/>
    </row>
    <row r="704">
      <c r="AK704" s="1"/>
      <c r="AQ704" s="1"/>
      <c r="AW704" s="1"/>
      <c r="BC704" s="1"/>
      <c r="BD704" s="1"/>
      <c r="BE704" s="1"/>
      <c r="BF704" s="1"/>
      <c r="BG704" s="1"/>
      <c r="BH704" s="1"/>
      <c r="BI704" s="1"/>
      <c r="BO704" s="1"/>
      <c r="BP704" s="1"/>
      <c r="BQ704" s="1"/>
      <c r="BR704" s="1"/>
      <c r="BS704" s="1"/>
      <c r="BT704" s="1"/>
      <c r="BU704" s="4"/>
    </row>
    <row r="705">
      <c r="AK705" s="1"/>
      <c r="AQ705" s="1"/>
      <c r="AW705" s="1"/>
      <c r="BC705" s="1"/>
      <c r="BD705" s="1"/>
      <c r="BE705" s="1"/>
      <c r="BF705" s="1"/>
      <c r="BG705" s="1"/>
      <c r="BH705" s="1"/>
      <c r="BI705" s="1"/>
      <c r="BO705" s="1"/>
      <c r="BP705" s="1"/>
      <c r="BQ705" s="1"/>
      <c r="BR705" s="1"/>
      <c r="BS705" s="1"/>
      <c r="BT705" s="1"/>
      <c r="BU705" s="4"/>
    </row>
    <row r="706">
      <c r="AK706" s="1"/>
      <c r="AQ706" s="1"/>
      <c r="AW706" s="1"/>
      <c r="BC706" s="1"/>
      <c r="BD706" s="1"/>
      <c r="BE706" s="1"/>
      <c r="BF706" s="1"/>
      <c r="BG706" s="1"/>
      <c r="BH706" s="1"/>
      <c r="BI706" s="1"/>
      <c r="BO706" s="1"/>
      <c r="BP706" s="1"/>
      <c r="BQ706" s="1"/>
      <c r="BR706" s="1"/>
      <c r="BS706" s="1"/>
      <c r="BT706" s="1"/>
      <c r="BU706" s="4"/>
    </row>
    <row r="707">
      <c r="AK707" s="1"/>
      <c r="AQ707" s="1"/>
      <c r="AW707" s="1"/>
      <c r="BC707" s="1"/>
      <c r="BD707" s="1"/>
      <c r="BE707" s="1"/>
      <c r="BF707" s="1"/>
      <c r="BG707" s="1"/>
      <c r="BH707" s="1"/>
      <c r="BI707" s="1"/>
      <c r="BO707" s="1"/>
      <c r="BP707" s="1"/>
      <c r="BQ707" s="1"/>
      <c r="BR707" s="1"/>
      <c r="BS707" s="1"/>
      <c r="BT707" s="1"/>
      <c r="BU707" s="4"/>
    </row>
    <row r="708">
      <c r="AK708" s="1"/>
      <c r="AQ708" s="1"/>
      <c r="AW708" s="1"/>
      <c r="BC708" s="1"/>
      <c r="BD708" s="1"/>
      <c r="BE708" s="1"/>
      <c r="BF708" s="1"/>
      <c r="BG708" s="1"/>
      <c r="BH708" s="1"/>
      <c r="BI708" s="1"/>
      <c r="BO708" s="1"/>
      <c r="BP708" s="1"/>
      <c r="BQ708" s="1"/>
      <c r="BR708" s="1"/>
      <c r="BS708" s="1"/>
      <c r="BT708" s="1"/>
      <c r="BU708" s="4"/>
    </row>
    <row r="709">
      <c r="AK709" s="1"/>
      <c r="AQ709" s="1"/>
      <c r="AW709" s="1"/>
      <c r="BC709" s="1"/>
      <c r="BD709" s="1"/>
      <c r="BE709" s="1"/>
      <c r="BF709" s="1"/>
      <c r="BG709" s="1"/>
      <c r="BH709" s="1"/>
      <c r="BI709" s="1"/>
      <c r="BO709" s="1"/>
      <c r="BP709" s="1"/>
      <c r="BQ709" s="1"/>
      <c r="BR709" s="1"/>
      <c r="BS709" s="1"/>
      <c r="BT709" s="1"/>
      <c r="BU709" s="4"/>
    </row>
    <row r="710">
      <c r="AK710" s="1"/>
      <c r="AQ710" s="1"/>
      <c r="AW710" s="1"/>
      <c r="BC710" s="1"/>
      <c r="BD710" s="1"/>
      <c r="BE710" s="1"/>
      <c r="BF710" s="1"/>
      <c r="BG710" s="1"/>
      <c r="BH710" s="1"/>
      <c r="BI710" s="1"/>
      <c r="BO710" s="1"/>
      <c r="BP710" s="1"/>
      <c r="BQ710" s="1"/>
      <c r="BR710" s="1"/>
      <c r="BS710" s="1"/>
      <c r="BT710" s="1"/>
      <c r="BU710" s="4"/>
    </row>
    <row r="711">
      <c r="AK711" s="1"/>
      <c r="AQ711" s="1"/>
      <c r="AW711" s="1"/>
      <c r="BC711" s="1"/>
      <c r="BD711" s="1"/>
      <c r="BE711" s="1"/>
      <c r="BF711" s="1"/>
      <c r="BG711" s="1"/>
      <c r="BH711" s="1"/>
      <c r="BI711" s="1"/>
      <c r="BO711" s="1"/>
      <c r="BP711" s="1"/>
      <c r="BQ711" s="1"/>
      <c r="BR711" s="1"/>
      <c r="BS711" s="1"/>
      <c r="BT711" s="1"/>
      <c r="BU711" s="4"/>
    </row>
    <row r="712">
      <c r="AK712" s="1"/>
      <c r="AQ712" s="1"/>
      <c r="AW712" s="1"/>
      <c r="BC712" s="1"/>
      <c r="BD712" s="1"/>
      <c r="BE712" s="1"/>
      <c r="BF712" s="1"/>
      <c r="BG712" s="1"/>
      <c r="BH712" s="1"/>
      <c r="BI712" s="1"/>
      <c r="BO712" s="1"/>
      <c r="BP712" s="1"/>
      <c r="BQ712" s="1"/>
      <c r="BR712" s="1"/>
      <c r="BS712" s="1"/>
      <c r="BT712" s="1"/>
      <c r="BU712" s="4"/>
    </row>
    <row r="713">
      <c r="AK713" s="1"/>
      <c r="AQ713" s="1"/>
      <c r="AW713" s="1"/>
      <c r="BC713" s="1"/>
      <c r="BD713" s="1"/>
      <c r="BE713" s="1"/>
      <c r="BF713" s="1"/>
      <c r="BG713" s="1"/>
      <c r="BH713" s="1"/>
      <c r="BI713" s="1"/>
      <c r="BO713" s="1"/>
      <c r="BP713" s="1"/>
      <c r="BQ713" s="1"/>
      <c r="BR713" s="1"/>
      <c r="BS713" s="1"/>
      <c r="BT713" s="1"/>
      <c r="BU713" s="4"/>
    </row>
    <row r="714">
      <c r="AK714" s="1"/>
      <c r="AQ714" s="1"/>
      <c r="AW714" s="1"/>
      <c r="BC714" s="1"/>
      <c r="BD714" s="1"/>
      <c r="BE714" s="1"/>
      <c r="BF714" s="1"/>
      <c r="BG714" s="1"/>
      <c r="BH714" s="1"/>
      <c r="BI714" s="1"/>
      <c r="BO714" s="1"/>
      <c r="BP714" s="1"/>
      <c r="BQ714" s="1"/>
      <c r="BR714" s="1"/>
      <c r="BS714" s="1"/>
      <c r="BT714" s="1"/>
      <c r="BU714" s="4"/>
    </row>
    <row r="715">
      <c r="AK715" s="1"/>
      <c r="AQ715" s="1"/>
      <c r="AW715" s="1"/>
      <c r="BC715" s="1"/>
      <c r="BD715" s="1"/>
      <c r="BE715" s="1"/>
      <c r="BF715" s="1"/>
      <c r="BG715" s="1"/>
      <c r="BH715" s="1"/>
      <c r="BI715" s="1"/>
      <c r="BO715" s="1"/>
      <c r="BP715" s="1"/>
      <c r="BQ715" s="1"/>
      <c r="BR715" s="1"/>
      <c r="BS715" s="1"/>
      <c r="BT715" s="1"/>
      <c r="BU715" s="4"/>
    </row>
    <row r="716">
      <c r="AK716" s="1"/>
      <c r="AQ716" s="1"/>
      <c r="AW716" s="1"/>
      <c r="BC716" s="1"/>
      <c r="BD716" s="1"/>
      <c r="BE716" s="1"/>
      <c r="BF716" s="1"/>
      <c r="BG716" s="1"/>
      <c r="BH716" s="1"/>
      <c r="BI716" s="1"/>
      <c r="BO716" s="1"/>
      <c r="BP716" s="1"/>
      <c r="BQ716" s="1"/>
      <c r="BR716" s="1"/>
      <c r="BS716" s="1"/>
      <c r="BT716" s="1"/>
      <c r="BU716" s="4"/>
    </row>
    <row r="717">
      <c r="AK717" s="1"/>
      <c r="AQ717" s="1"/>
      <c r="AW717" s="1"/>
      <c r="BC717" s="1"/>
      <c r="BD717" s="1"/>
      <c r="BE717" s="1"/>
      <c r="BF717" s="1"/>
      <c r="BG717" s="1"/>
      <c r="BH717" s="1"/>
      <c r="BI717" s="1"/>
      <c r="BO717" s="1"/>
      <c r="BP717" s="1"/>
      <c r="BQ717" s="1"/>
      <c r="BR717" s="1"/>
      <c r="BS717" s="1"/>
      <c r="BT717" s="1"/>
      <c r="BU717" s="4"/>
    </row>
    <row r="718">
      <c r="AK718" s="1"/>
      <c r="AQ718" s="1"/>
      <c r="AW718" s="1"/>
      <c r="BC718" s="1"/>
      <c r="BD718" s="1"/>
      <c r="BE718" s="1"/>
      <c r="BF718" s="1"/>
      <c r="BG718" s="1"/>
      <c r="BH718" s="1"/>
      <c r="BI718" s="1"/>
      <c r="BO718" s="1"/>
      <c r="BP718" s="1"/>
      <c r="BQ718" s="1"/>
      <c r="BR718" s="1"/>
      <c r="BS718" s="1"/>
      <c r="BT718" s="1"/>
      <c r="BU718" s="4"/>
    </row>
    <row r="719">
      <c r="AK719" s="1"/>
      <c r="AQ719" s="1"/>
      <c r="AW719" s="1"/>
      <c r="BC719" s="1"/>
      <c r="BD719" s="1"/>
      <c r="BE719" s="1"/>
      <c r="BF719" s="1"/>
      <c r="BG719" s="1"/>
      <c r="BH719" s="1"/>
      <c r="BI719" s="1"/>
      <c r="BO719" s="1"/>
      <c r="BP719" s="1"/>
      <c r="BQ719" s="1"/>
      <c r="BR719" s="1"/>
      <c r="BS719" s="1"/>
      <c r="BT719" s="1"/>
      <c r="BU719" s="4"/>
    </row>
    <row r="720">
      <c r="AK720" s="1"/>
      <c r="AQ720" s="1"/>
      <c r="AW720" s="1"/>
      <c r="BC720" s="1"/>
      <c r="BD720" s="1"/>
      <c r="BE720" s="1"/>
      <c r="BF720" s="1"/>
      <c r="BG720" s="1"/>
      <c r="BH720" s="1"/>
      <c r="BI720" s="1"/>
      <c r="BO720" s="1"/>
      <c r="BP720" s="1"/>
      <c r="BQ720" s="1"/>
      <c r="BR720" s="1"/>
      <c r="BS720" s="1"/>
      <c r="BT720" s="1"/>
      <c r="BU720" s="4"/>
    </row>
    <row r="721">
      <c r="AK721" s="1"/>
      <c r="AQ721" s="1"/>
      <c r="AW721" s="1"/>
      <c r="BC721" s="1"/>
      <c r="BD721" s="1"/>
      <c r="BE721" s="1"/>
      <c r="BF721" s="1"/>
      <c r="BG721" s="1"/>
      <c r="BH721" s="1"/>
      <c r="BI721" s="1"/>
      <c r="BO721" s="1"/>
      <c r="BP721" s="1"/>
      <c r="BQ721" s="1"/>
      <c r="BR721" s="1"/>
      <c r="BS721" s="1"/>
      <c r="BT721" s="1"/>
      <c r="BU721" s="4"/>
    </row>
    <row r="722">
      <c r="AK722" s="1"/>
      <c r="AQ722" s="1"/>
      <c r="AW722" s="1"/>
      <c r="BC722" s="1"/>
      <c r="BD722" s="1"/>
      <c r="BE722" s="1"/>
      <c r="BF722" s="1"/>
      <c r="BG722" s="1"/>
      <c r="BH722" s="1"/>
      <c r="BI722" s="1"/>
      <c r="BO722" s="1"/>
      <c r="BP722" s="1"/>
      <c r="BQ722" s="1"/>
      <c r="BR722" s="1"/>
      <c r="BS722" s="1"/>
      <c r="BT722" s="1"/>
      <c r="BU722" s="4"/>
    </row>
    <row r="723">
      <c r="AK723" s="1"/>
      <c r="AQ723" s="1"/>
      <c r="AW723" s="1"/>
      <c r="BC723" s="1"/>
      <c r="BD723" s="1"/>
      <c r="BE723" s="1"/>
      <c r="BF723" s="1"/>
      <c r="BG723" s="1"/>
      <c r="BH723" s="1"/>
      <c r="BI723" s="1"/>
      <c r="BO723" s="1"/>
      <c r="BP723" s="1"/>
      <c r="BQ723" s="1"/>
      <c r="BR723" s="1"/>
      <c r="BS723" s="1"/>
      <c r="BT723" s="1"/>
      <c r="BU723" s="4"/>
    </row>
    <row r="724">
      <c r="AK724" s="1"/>
      <c r="AQ724" s="1"/>
      <c r="AW724" s="1"/>
      <c r="BC724" s="1"/>
      <c r="BD724" s="1"/>
      <c r="BE724" s="1"/>
      <c r="BF724" s="1"/>
      <c r="BG724" s="1"/>
      <c r="BH724" s="1"/>
      <c r="BI724" s="1"/>
      <c r="BO724" s="1"/>
      <c r="BP724" s="1"/>
      <c r="BQ724" s="1"/>
      <c r="BR724" s="1"/>
      <c r="BS724" s="1"/>
      <c r="BT724" s="1"/>
      <c r="BU724" s="4"/>
    </row>
    <row r="725">
      <c r="AK725" s="1"/>
      <c r="AQ725" s="1"/>
      <c r="AW725" s="1"/>
      <c r="BC725" s="1"/>
      <c r="BD725" s="1"/>
      <c r="BE725" s="1"/>
      <c r="BF725" s="1"/>
      <c r="BG725" s="1"/>
      <c r="BH725" s="1"/>
      <c r="BI725" s="1"/>
      <c r="BO725" s="1"/>
      <c r="BP725" s="1"/>
      <c r="BQ725" s="1"/>
      <c r="BR725" s="1"/>
      <c r="BS725" s="1"/>
      <c r="BT725" s="1"/>
      <c r="BU725" s="4"/>
    </row>
    <row r="726">
      <c r="AK726" s="1"/>
      <c r="AQ726" s="1"/>
      <c r="AW726" s="1"/>
      <c r="BC726" s="1"/>
      <c r="BD726" s="1"/>
      <c r="BE726" s="1"/>
      <c r="BF726" s="1"/>
      <c r="BG726" s="1"/>
      <c r="BH726" s="1"/>
      <c r="BI726" s="1"/>
      <c r="BO726" s="1"/>
      <c r="BP726" s="1"/>
      <c r="BQ726" s="1"/>
      <c r="BR726" s="1"/>
      <c r="BS726" s="1"/>
      <c r="BT726" s="1"/>
      <c r="BU726" s="4"/>
    </row>
    <row r="727">
      <c r="AK727" s="1"/>
      <c r="AQ727" s="1"/>
      <c r="AW727" s="1"/>
      <c r="BC727" s="1"/>
      <c r="BD727" s="1"/>
      <c r="BE727" s="1"/>
      <c r="BF727" s="1"/>
      <c r="BG727" s="1"/>
      <c r="BH727" s="1"/>
      <c r="BI727" s="1"/>
      <c r="BO727" s="1"/>
      <c r="BP727" s="1"/>
      <c r="BQ727" s="1"/>
      <c r="BR727" s="1"/>
      <c r="BS727" s="1"/>
      <c r="BT727" s="1"/>
      <c r="BU727" s="4"/>
    </row>
    <row r="728">
      <c r="AK728" s="1"/>
      <c r="AQ728" s="1"/>
      <c r="AW728" s="1"/>
      <c r="BC728" s="1"/>
      <c r="BD728" s="1"/>
      <c r="BE728" s="1"/>
      <c r="BF728" s="1"/>
      <c r="BG728" s="1"/>
      <c r="BH728" s="1"/>
      <c r="BI728" s="1"/>
      <c r="BO728" s="1"/>
      <c r="BP728" s="1"/>
      <c r="BQ728" s="1"/>
      <c r="BR728" s="1"/>
      <c r="BS728" s="1"/>
      <c r="BT728" s="1"/>
      <c r="BU728" s="4"/>
    </row>
    <row r="729">
      <c r="AK729" s="1"/>
      <c r="AQ729" s="1"/>
      <c r="AW729" s="1"/>
      <c r="BC729" s="1"/>
      <c r="BD729" s="1"/>
      <c r="BE729" s="1"/>
      <c r="BF729" s="1"/>
      <c r="BG729" s="1"/>
      <c r="BH729" s="1"/>
      <c r="BI729" s="1"/>
      <c r="BO729" s="1"/>
      <c r="BP729" s="1"/>
      <c r="BQ729" s="1"/>
      <c r="BR729" s="1"/>
      <c r="BS729" s="1"/>
      <c r="BT729" s="1"/>
      <c r="BU729" s="4"/>
    </row>
    <row r="730">
      <c r="AK730" s="1"/>
      <c r="AQ730" s="1"/>
      <c r="AW730" s="1"/>
      <c r="BC730" s="1"/>
      <c r="BD730" s="1"/>
      <c r="BE730" s="1"/>
      <c r="BF730" s="1"/>
      <c r="BG730" s="1"/>
      <c r="BH730" s="1"/>
      <c r="BI730" s="1"/>
      <c r="BO730" s="1"/>
      <c r="BP730" s="1"/>
      <c r="BQ730" s="1"/>
      <c r="BR730" s="1"/>
      <c r="BS730" s="1"/>
      <c r="BT730" s="1"/>
      <c r="BU730" s="4"/>
    </row>
    <row r="731">
      <c r="AK731" s="1"/>
      <c r="AQ731" s="1"/>
      <c r="AW731" s="1"/>
      <c r="BC731" s="1"/>
      <c r="BD731" s="1"/>
      <c r="BE731" s="1"/>
      <c r="BF731" s="1"/>
      <c r="BG731" s="1"/>
      <c r="BH731" s="1"/>
      <c r="BI731" s="1"/>
      <c r="BO731" s="1"/>
      <c r="BP731" s="1"/>
      <c r="BQ731" s="1"/>
      <c r="BR731" s="1"/>
      <c r="BS731" s="1"/>
      <c r="BT731" s="1"/>
      <c r="BU731" s="4"/>
    </row>
    <row r="732">
      <c r="AK732" s="1"/>
      <c r="AQ732" s="1"/>
      <c r="AW732" s="1"/>
      <c r="BC732" s="1"/>
      <c r="BD732" s="1"/>
      <c r="BE732" s="1"/>
      <c r="BF732" s="1"/>
      <c r="BG732" s="1"/>
      <c r="BH732" s="1"/>
      <c r="BI732" s="1"/>
      <c r="BO732" s="1"/>
      <c r="BP732" s="1"/>
      <c r="BQ732" s="1"/>
      <c r="BR732" s="1"/>
      <c r="BS732" s="1"/>
      <c r="BT732" s="1"/>
      <c r="BU732" s="4"/>
    </row>
    <row r="733">
      <c r="AK733" s="1"/>
      <c r="AQ733" s="1"/>
      <c r="AW733" s="1"/>
      <c r="BC733" s="1"/>
      <c r="BD733" s="1"/>
      <c r="BE733" s="1"/>
      <c r="BF733" s="1"/>
      <c r="BG733" s="1"/>
      <c r="BH733" s="1"/>
      <c r="BI733" s="1"/>
      <c r="BO733" s="1"/>
      <c r="BP733" s="1"/>
      <c r="BQ733" s="1"/>
      <c r="BR733" s="1"/>
      <c r="BS733" s="1"/>
      <c r="BT733" s="1"/>
      <c r="BU733" s="4"/>
    </row>
    <row r="734">
      <c r="AK734" s="1"/>
      <c r="AQ734" s="1"/>
      <c r="AW734" s="1"/>
      <c r="BC734" s="1"/>
      <c r="BD734" s="1"/>
      <c r="BE734" s="1"/>
      <c r="BF734" s="1"/>
      <c r="BG734" s="1"/>
      <c r="BH734" s="1"/>
      <c r="BI734" s="1"/>
      <c r="BO734" s="1"/>
      <c r="BP734" s="1"/>
      <c r="BQ734" s="1"/>
      <c r="BR734" s="1"/>
      <c r="BS734" s="1"/>
      <c r="BT734" s="1"/>
      <c r="BU734" s="4"/>
    </row>
    <row r="735">
      <c r="AK735" s="1"/>
      <c r="AQ735" s="1"/>
      <c r="AW735" s="1"/>
      <c r="BC735" s="1"/>
      <c r="BD735" s="1"/>
      <c r="BE735" s="1"/>
      <c r="BF735" s="1"/>
      <c r="BG735" s="1"/>
      <c r="BH735" s="1"/>
      <c r="BI735" s="1"/>
      <c r="BO735" s="1"/>
      <c r="BP735" s="1"/>
      <c r="BQ735" s="1"/>
      <c r="BR735" s="1"/>
      <c r="BS735" s="1"/>
      <c r="BT735" s="1"/>
      <c r="BU735" s="4"/>
    </row>
    <row r="736">
      <c r="AK736" s="1"/>
      <c r="AQ736" s="1"/>
      <c r="AW736" s="1"/>
      <c r="BC736" s="1"/>
      <c r="BD736" s="1"/>
      <c r="BE736" s="1"/>
      <c r="BF736" s="1"/>
      <c r="BG736" s="1"/>
      <c r="BH736" s="1"/>
      <c r="BI736" s="1"/>
      <c r="BO736" s="1"/>
      <c r="BP736" s="1"/>
      <c r="BQ736" s="1"/>
      <c r="BR736" s="1"/>
      <c r="BS736" s="1"/>
      <c r="BT736" s="1"/>
      <c r="BU736" s="4"/>
    </row>
    <row r="737">
      <c r="AK737" s="1"/>
      <c r="AQ737" s="1"/>
      <c r="AW737" s="1"/>
      <c r="BC737" s="1"/>
      <c r="BD737" s="1"/>
      <c r="BE737" s="1"/>
      <c r="BF737" s="1"/>
      <c r="BG737" s="1"/>
      <c r="BH737" s="1"/>
      <c r="BI737" s="1"/>
      <c r="BO737" s="1"/>
      <c r="BP737" s="1"/>
      <c r="BQ737" s="1"/>
      <c r="BR737" s="1"/>
      <c r="BS737" s="1"/>
      <c r="BT737" s="1"/>
      <c r="BU737" s="4"/>
    </row>
    <row r="738">
      <c r="AK738" s="1"/>
      <c r="AQ738" s="1"/>
      <c r="AW738" s="1"/>
      <c r="BC738" s="1"/>
      <c r="BD738" s="1"/>
      <c r="BE738" s="1"/>
      <c r="BF738" s="1"/>
      <c r="BG738" s="1"/>
      <c r="BH738" s="1"/>
      <c r="BI738" s="1"/>
      <c r="BO738" s="1"/>
      <c r="BP738" s="1"/>
      <c r="BQ738" s="1"/>
      <c r="BR738" s="1"/>
      <c r="BS738" s="1"/>
      <c r="BT738" s="1"/>
      <c r="BU738" s="4"/>
    </row>
    <row r="739">
      <c r="AK739" s="1"/>
      <c r="AQ739" s="1"/>
      <c r="AW739" s="1"/>
      <c r="BC739" s="1"/>
      <c r="BD739" s="1"/>
      <c r="BE739" s="1"/>
      <c r="BF739" s="1"/>
      <c r="BG739" s="1"/>
      <c r="BH739" s="1"/>
      <c r="BI739" s="1"/>
      <c r="BO739" s="1"/>
      <c r="BP739" s="1"/>
      <c r="BQ739" s="1"/>
      <c r="BR739" s="1"/>
      <c r="BS739" s="1"/>
      <c r="BT739" s="1"/>
      <c r="BU739" s="4"/>
    </row>
    <row r="740">
      <c r="AK740" s="1"/>
      <c r="AQ740" s="1"/>
      <c r="AW740" s="1"/>
      <c r="BC740" s="1"/>
      <c r="BD740" s="1"/>
      <c r="BE740" s="1"/>
      <c r="BF740" s="1"/>
      <c r="BG740" s="1"/>
      <c r="BH740" s="1"/>
      <c r="BI740" s="1"/>
      <c r="BO740" s="1"/>
      <c r="BP740" s="1"/>
      <c r="BQ740" s="1"/>
      <c r="BR740" s="1"/>
      <c r="BS740" s="1"/>
      <c r="BT740" s="1"/>
      <c r="BU740" s="4"/>
    </row>
    <row r="741">
      <c r="AK741" s="1"/>
      <c r="AQ741" s="1"/>
      <c r="AW741" s="1"/>
      <c r="BC741" s="1"/>
      <c r="BD741" s="1"/>
      <c r="BE741" s="1"/>
      <c r="BF741" s="1"/>
      <c r="BG741" s="1"/>
      <c r="BH741" s="1"/>
      <c r="BI741" s="1"/>
      <c r="BO741" s="1"/>
      <c r="BP741" s="1"/>
      <c r="BQ741" s="1"/>
      <c r="BR741" s="1"/>
      <c r="BS741" s="1"/>
      <c r="BT741" s="1"/>
      <c r="BU741" s="4"/>
    </row>
    <row r="742">
      <c r="AK742" s="1"/>
      <c r="AQ742" s="1"/>
      <c r="AW742" s="1"/>
      <c r="BC742" s="1"/>
      <c r="BD742" s="1"/>
      <c r="BE742" s="1"/>
      <c r="BF742" s="1"/>
      <c r="BG742" s="1"/>
      <c r="BH742" s="1"/>
      <c r="BI742" s="1"/>
      <c r="BO742" s="1"/>
      <c r="BP742" s="1"/>
      <c r="BQ742" s="1"/>
      <c r="BR742" s="1"/>
      <c r="BS742" s="1"/>
      <c r="BT742" s="1"/>
      <c r="BU742" s="4"/>
    </row>
    <row r="743">
      <c r="AK743" s="1"/>
      <c r="AQ743" s="1"/>
      <c r="AW743" s="1"/>
      <c r="BC743" s="1"/>
      <c r="BD743" s="1"/>
      <c r="BE743" s="1"/>
      <c r="BF743" s="1"/>
      <c r="BG743" s="1"/>
      <c r="BH743" s="1"/>
      <c r="BI743" s="1"/>
      <c r="BO743" s="1"/>
      <c r="BP743" s="1"/>
      <c r="BQ743" s="1"/>
      <c r="BR743" s="1"/>
      <c r="BS743" s="1"/>
      <c r="BT743" s="1"/>
      <c r="BU743" s="4"/>
    </row>
    <row r="744">
      <c r="AK744" s="1"/>
      <c r="AQ744" s="1"/>
      <c r="AW744" s="1"/>
      <c r="BC744" s="1"/>
      <c r="BD744" s="1"/>
      <c r="BE744" s="1"/>
      <c r="BF744" s="1"/>
      <c r="BG744" s="1"/>
      <c r="BH744" s="1"/>
      <c r="BI744" s="1"/>
      <c r="BO744" s="1"/>
      <c r="BP744" s="1"/>
      <c r="BQ744" s="1"/>
      <c r="BR744" s="1"/>
      <c r="BS744" s="1"/>
      <c r="BT744" s="1"/>
      <c r="BU744" s="4"/>
    </row>
    <row r="745">
      <c r="AK745" s="1"/>
      <c r="AQ745" s="1"/>
      <c r="AW745" s="1"/>
      <c r="BC745" s="1"/>
      <c r="BD745" s="1"/>
      <c r="BE745" s="1"/>
      <c r="BF745" s="1"/>
      <c r="BG745" s="1"/>
      <c r="BH745" s="1"/>
      <c r="BI745" s="1"/>
      <c r="BO745" s="1"/>
      <c r="BP745" s="1"/>
      <c r="BQ745" s="1"/>
      <c r="BR745" s="1"/>
      <c r="BS745" s="1"/>
      <c r="BT745" s="1"/>
      <c r="BU745" s="4"/>
    </row>
    <row r="746">
      <c r="AK746" s="1"/>
      <c r="AQ746" s="1"/>
      <c r="AW746" s="1"/>
      <c r="BC746" s="1"/>
      <c r="BD746" s="1"/>
      <c r="BE746" s="1"/>
      <c r="BF746" s="1"/>
      <c r="BG746" s="1"/>
      <c r="BH746" s="1"/>
      <c r="BI746" s="1"/>
      <c r="BO746" s="1"/>
      <c r="BP746" s="1"/>
      <c r="BQ746" s="1"/>
      <c r="BR746" s="1"/>
      <c r="BS746" s="1"/>
      <c r="BT746" s="1"/>
      <c r="BU746" s="4"/>
    </row>
    <row r="747">
      <c r="AK747" s="1"/>
      <c r="AQ747" s="1"/>
      <c r="AW747" s="1"/>
      <c r="BC747" s="1"/>
      <c r="BD747" s="1"/>
      <c r="BE747" s="1"/>
      <c r="BF747" s="1"/>
      <c r="BG747" s="1"/>
      <c r="BH747" s="1"/>
      <c r="BI747" s="1"/>
      <c r="BO747" s="1"/>
      <c r="BP747" s="1"/>
      <c r="BQ747" s="1"/>
      <c r="BR747" s="1"/>
      <c r="BS747" s="1"/>
      <c r="BT747" s="1"/>
      <c r="BU747" s="4"/>
    </row>
    <row r="748">
      <c r="AK748" s="1"/>
      <c r="AQ748" s="1"/>
      <c r="AW748" s="1"/>
      <c r="BC748" s="1"/>
      <c r="BD748" s="1"/>
      <c r="BE748" s="1"/>
      <c r="BF748" s="1"/>
      <c r="BG748" s="1"/>
      <c r="BH748" s="1"/>
      <c r="BI748" s="1"/>
      <c r="BO748" s="1"/>
      <c r="BP748" s="1"/>
      <c r="BQ748" s="1"/>
      <c r="BR748" s="1"/>
      <c r="BS748" s="1"/>
      <c r="BT748" s="1"/>
      <c r="BU748" s="4"/>
    </row>
    <row r="749">
      <c r="AK749" s="1"/>
      <c r="AQ749" s="1"/>
      <c r="AW749" s="1"/>
      <c r="BC749" s="1"/>
      <c r="BD749" s="1"/>
      <c r="BE749" s="1"/>
      <c r="BF749" s="1"/>
      <c r="BG749" s="1"/>
      <c r="BH749" s="1"/>
      <c r="BI749" s="1"/>
      <c r="BO749" s="1"/>
      <c r="BP749" s="1"/>
      <c r="BQ749" s="1"/>
      <c r="BR749" s="1"/>
      <c r="BS749" s="1"/>
      <c r="BT749" s="1"/>
      <c r="BU749" s="4"/>
    </row>
    <row r="750">
      <c r="AK750" s="1"/>
      <c r="AQ750" s="1"/>
      <c r="AW750" s="1"/>
      <c r="BC750" s="1"/>
      <c r="BD750" s="1"/>
      <c r="BE750" s="1"/>
      <c r="BF750" s="1"/>
      <c r="BG750" s="1"/>
      <c r="BH750" s="1"/>
      <c r="BI750" s="1"/>
      <c r="BO750" s="1"/>
      <c r="BP750" s="1"/>
      <c r="BQ750" s="1"/>
      <c r="BR750" s="1"/>
      <c r="BS750" s="1"/>
      <c r="BT750" s="1"/>
      <c r="BU750" s="4"/>
    </row>
    <row r="751">
      <c r="AK751" s="1"/>
      <c r="AQ751" s="1"/>
      <c r="AW751" s="1"/>
      <c r="BC751" s="1"/>
      <c r="BD751" s="1"/>
      <c r="BE751" s="1"/>
      <c r="BF751" s="1"/>
      <c r="BG751" s="1"/>
      <c r="BH751" s="1"/>
      <c r="BI751" s="1"/>
      <c r="BO751" s="1"/>
      <c r="BP751" s="1"/>
      <c r="BQ751" s="1"/>
      <c r="BR751" s="1"/>
      <c r="BS751" s="1"/>
      <c r="BT751" s="1"/>
      <c r="BU751" s="4"/>
    </row>
    <row r="752">
      <c r="AK752" s="1"/>
      <c r="AQ752" s="1"/>
      <c r="AW752" s="1"/>
      <c r="BC752" s="1"/>
      <c r="BD752" s="1"/>
      <c r="BE752" s="1"/>
      <c r="BF752" s="1"/>
      <c r="BG752" s="1"/>
      <c r="BH752" s="1"/>
      <c r="BI752" s="1"/>
      <c r="BO752" s="1"/>
      <c r="BP752" s="1"/>
      <c r="BQ752" s="1"/>
      <c r="BR752" s="1"/>
      <c r="BS752" s="1"/>
      <c r="BT752" s="1"/>
      <c r="BU752" s="4"/>
    </row>
    <row r="753">
      <c r="AK753" s="1"/>
      <c r="AQ753" s="1"/>
      <c r="AW753" s="1"/>
      <c r="BC753" s="1"/>
      <c r="BD753" s="1"/>
      <c r="BE753" s="1"/>
      <c r="BF753" s="1"/>
      <c r="BG753" s="1"/>
      <c r="BH753" s="1"/>
      <c r="BI753" s="1"/>
      <c r="BO753" s="1"/>
      <c r="BP753" s="1"/>
      <c r="BQ753" s="1"/>
      <c r="BR753" s="1"/>
      <c r="BS753" s="1"/>
      <c r="BT753" s="1"/>
      <c r="BU753" s="4"/>
    </row>
    <row r="754">
      <c r="AK754" s="1"/>
      <c r="AQ754" s="1"/>
      <c r="AW754" s="1"/>
      <c r="BC754" s="1"/>
      <c r="BD754" s="1"/>
      <c r="BE754" s="1"/>
      <c r="BF754" s="1"/>
      <c r="BG754" s="1"/>
      <c r="BH754" s="1"/>
      <c r="BI754" s="1"/>
      <c r="BO754" s="1"/>
      <c r="BP754" s="1"/>
      <c r="BQ754" s="1"/>
      <c r="BR754" s="1"/>
      <c r="BS754" s="1"/>
      <c r="BT754" s="1"/>
      <c r="BU754" s="4"/>
    </row>
    <row r="755">
      <c r="AK755" s="1"/>
      <c r="AQ755" s="1"/>
      <c r="AW755" s="1"/>
      <c r="BC755" s="1"/>
      <c r="BD755" s="1"/>
      <c r="BE755" s="1"/>
      <c r="BF755" s="1"/>
      <c r="BG755" s="1"/>
      <c r="BH755" s="1"/>
      <c r="BI755" s="1"/>
      <c r="BO755" s="1"/>
      <c r="BP755" s="1"/>
      <c r="BQ755" s="1"/>
      <c r="BR755" s="1"/>
      <c r="BS755" s="1"/>
      <c r="BT755" s="1"/>
      <c r="BU755" s="4"/>
    </row>
    <row r="756">
      <c r="AK756" s="1"/>
      <c r="AQ756" s="1"/>
      <c r="AW756" s="1"/>
      <c r="BC756" s="1"/>
      <c r="BD756" s="1"/>
      <c r="BE756" s="1"/>
      <c r="BF756" s="1"/>
      <c r="BG756" s="1"/>
      <c r="BH756" s="1"/>
      <c r="BI756" s="1"/>
      <c r="BO756" s="1"/>
      <c r="BP756" s="1"/>
      <c r="BQ756" s="1"/>
      <c r="BR756" s="1"/>
      <c r="BS756" s="1"/>
      <c r="BT756" s="1"/>
      <c r="BU756" s="4"/>
    </row>
    <row r="757">
      <c r="AK757" s="1"/>
      <c r="AQ757" s="1"/>
      <c r="AW757" s="1"/>
      <c r="BC757" s="1"/>
      <c r="BD757" s="1"/>
      <c r="BE757" s="1"/>
      <c r="BF757" s="1"/>
      <c r="BG757" s="1"/>
      <c r="BH757" s="1"/>
      <c r="BI757" s="1"/>
      <c r="BO757" s="1"/>
      <c r="BP757" s="1"/>
      <c r="BQ757" s="1"/>
      <c r="BR757" s="1"/>
      <c r="BS757" s="1"/>
      <c r="BT757" s="1"/>
      <c r="BU757" s="4"/>
    </row>
    <row r="758">
      <c r="AK758" s="1"/>
      <c r="AQ758" s="1"/>
      <c r="AW758" s="1"/>
      <c r="BC758" s="1"/>
      <c r="BD758" s="1"/>
      <c r="BE758" s="1"/>
      <c r="BF758" s="1"/>
      <c r="BG758" s="1"/>
      <c r="BH758" s="1"/>
      <c r="BI758" s="1"/>
      <c r="BO758" s="1"/>
      <c r="BP758" s="1"/>
      <c r="BQ758" s="1"/>
      <c r="BR758" s="1"/>
      <c r="BS758" s="1"/>
      <c r="BT758" s="1"/>
      <c r="BU758" s="4"/>
    </row>
    <row r="759">
      <c r="AK759" s="1"/>
      <c r="AQ759" s="1"/>
      <c r="AW759" s="1"/>
      <c r="BC759" s="1"/>
      <c r="BD759" s="1"/>
      <c r="BE759" s="1"/>
      <c r="BF759" s="1"/>
      <c r="BG759" s="1"/>
      <c r="BH759" s="1"/>
      <c r="BI759" s="1"/>
      <c r="BO759" s="1"/>
      <c r="BP759" s="1"/>
      <c r="BQ759" s="1"/>
      <c r="BR759" s="1"/>
      <c r="BS759" s="1"/>
      <c r="BT759" s="1"/>
      <c r="BU759" s="4"/>
    </row>
    <row r="760">
      <c r="AK760" s="1"/>
      <c r="AQ760" s="1"/>
      <c r="AW760" s="1"/>
      <c r="BC760" s="1"/>
      <c r="BD760" s="1"/>
      <c r="BE760" s="1"/>
      <c r="BF760" s="1"/>
      <c r="BG760" s="1"/>
      <c r="BH760" s="1"/>
      <c r="BI760" s="1"/>
      <c r="BO760" s="1"/>
      <c r="BP760" s="1"/>
      <c r="BQ760" s="1"/>
      <c r="BR760" s="1"/>
      <c r="BS760" s="1"/>
      <c r="BT760" s="1"/>
      <c r="BU760" s="4"/>
    </row>
    <row r="761">
      <c r="AK761" s="1"/>
      <c r="AQ761" s="1"/>
      <c r="AW761" s="1"/>
      <c r="BC761" s="1"/>
      <c r="BD761" s="1"/>
      <c r="BE761" s="1"/>
      <c r="BF761" s="1"/>
      <c r="BG761" s="1"/>
      <c r="BH761" s="1"/>
      <c r="BI761" s="1"/>
      <c r="BO761" s="1"/>
      <c r="BP761" s="1"/>
      <c r="BQ761" s="1"/>
      <c r="BR761" s="1"/>
      <c r="BS761" s="1"/>
      <c r="BT761" s="1"/>
      <c r="BU761" s="4"/>
    </row>
    <row r="762">
      <c r="AK762" s="1"/>
      <c r="AQ762" s="1"/>
      <c r="AW762" s="1"/>
      <c r="BC762" s="1"/>
      <c r="BD762" s="1"/>
      <c r="BE762" s="1"/>
      <c r="BF762" s="1"/>
      <c r="BG762" s="1"/>
      <c r="BH762" s="1"/>
      <c r="BI762" s="1"/>
      <c r="BO762" s="1"/>
      <c r="BP762" s="1"/>
      <c r="BQ762" s="1"/>
      <c r="BR762" s="1"/>
      <c r="BS762" s="1"/>
      <c r="BT762" s="1"/>
      <c r="BU762" s="4"/>
    </row>
    <row r="763">
      <c r="AK763" s="1"/>
      <c r="AQ763" s="1"/>
      <c r="AW763" s="1"/>
      <c r="BC763" s="1"/>
      <c r="BD763" s="1"/>
      <c r="BE763" s="1"/>
      <c r="BF763" s="1"/>
      <c r="BG763" s="1"/>
      <c r="BH763" s="1"/>
      <c r="BI763" s="1"/>
      <c r="BO763" s="1"/>
      <c r="BP763" s="1"/>
      <c r="BQ763" s="1"/>
      <c r="BR763" s="1"/>
      <c r="BS763" s="1"/>
      <c r="BT763" s="1"/>
      <c r="BU763" s="4"/>
    </row>
    <row r="764">
      <c r="AK764" s="1"/>
      <c r="AQ764" s="1"/>
      <c r="AW764" s="1"/>
      <c r="BC764" s="1"/>
      <c r="BD764" s="1"/>
      <c r="BE764" s="1"/>
      <c r="BF764" s="1"/>
      <c r="BG764" s="1"/>
      <c r="BH764" s="1"/>
      <c r="BI764" s="1"/>
      <c r="BO764" s="1"/>
      <c r="BP764" s="1"/>
      <c r="BQ764" s="1"/>
      <c r="BR764" s="1"/>
      <c r="BS764" s="1"/>
      <c r="BT764" s="1"/>
      <c r="BU764" s="4"/>
    </row>
    <row r="765">
      <c r="AK765" s="1"/>
      <c r="AQ765" s="1"/>
      <c r="AW765" s="1"/>
      <c r="BC765" s="1"/>
      <c r="BD765" s="1"/>
      <c r="BE765" s="1"/>
      <c r="BF765" s="1"/>
      <c r="BG765" s="1"/>
      <c r="BH765" s="1"/>
      <c r="BI765" s="1"/>
      <c r="BO765" s="1"/>
      <c r="BP765" s="1"/>
      <c r="BQ765" s="1"/>
      <c r="BR765" s="1"/>
      <c r="BS765" s="1"/>
      <c r="BT765" s="1"/>
      <c r="BU765" s="4"/>
    </row>
    <row r="766">
      <c r="AK766" s="1"/>
      <c r="AQ766" s="1"/>
      <c r="AW766" s="1"/>
      <c r="BC766" s="1"/>
      <c r="BD766" s="1"/>
      <c r="BE766" s="1"/>
      <c r="BF766" s="1"/>
      <c r="BG766" s="1"/>
      <c r="BH766" s="1"/>
      <c r="BI766" s="1"/>
      <c r="BO766" s="1"/>
      <c r="BP766" s="1"/>
      <c r="BQ766" s="1"/>
      <c r="BR766" s="1"/>
      <c r="BS766" s="1"/>
      <c r="BT766" s="1"/>
      <c r="BU766" s="4"/>
    </row>
    <row r="767">
      <c r="AK767" s="1"/>
      <c r="AQ767" s="1"/>
      <c r="AW767" s="1"/>
      <c r="BC767" s="1"/>
      <c r="BD767" s="1"/>
      <c r="BE767" s="1"/>
      <c r="BF767" s="1"/>
      <c r="BG767" s="1"/>
      <c r="BH767" s="1"/>
      <c r="BI767" s="1"/>
      <c r="BO767" s="1"/>
      <c r="BP767" s="1"/>
      <c r="BQ767" s="1"/>
      <c r="BR767" s="1"/>
      <c r="BS767" s="1"/>
      <c r="BT767" s="1"/>
      <c r="BU767" s="4"/>
    </row>
    <row r="768">
      <c r="AK768" s="1"/>
      <c r="AQ768" s="1"/>
      <c r="AW768" s="1"/>
      <c r="BC768" s="1"/>
      <c r="BD768" s="1"/>
      <c r="BE768" s="1"/>
      <c r="BF768" s="1"/>
      <c r="BG768" s="1"/>
      <c r="BH768" s="1"/>
      <c r="BI768" s="1"/>
      <c r="BO768" s="1"/>
      <c r="BP768" s="1"/>
      <c r="BQ768" s="1"/>
      <c r="BR768" s="1"/>
      <c r="BS768" s="1"/>
      <c r="BT768" s="1"/>
      <c r="BU768" s="4"/>
    </row>
    <row r="769">
      <c r="AK769" s="1"/>
      <c r="AQ769" s="1"/>
      <c r="AW769" s="1"/>
      <c r="BC769" s="1"/>
      <c r="BD769" s="1"/>
      <c r="BE769" s="1"/>
      <c r="BF769" s="1"/>
      <c r="BG769" s="1"/>
      <c r="BH769" s="1"/>
      <c r="BI769" s="1"/>
      <c r="BO769" s="1"/>
      <c r="BP769" s="1"/>
      <c r="BQ769" s="1"/>
      <c r="BR769" s="1"/>
      <c r="BS769" s="1"/>
      <c r="BT769" s="1"/>
      <c r="BU769" s="4"/>
    </row>
    <row r="770">
      <c r="AK770" s="1"/>
      <c r="AQ770" s="1"/>
      <c r="AW770" s="1"/>
      <c r="BC770" s="1"/>
      <c r="BD770" s="1"/>
      <c r="BE770" s="1"/>
      <c r="BF770" s="1"/>
      <c r="BG770" s="1"/>
      <c r="BH770" s="1"/>
      <c r="BI770" s="1"/>
      <c r="BO770" s="1"/>
      <c r="BP770" s="1"/>
      <c r="BQ770" s="1"/>
      <c r="BR770" s="1"/>
      <c r="BS770" s="1"/>
      <c r="BT770" s="1"/>
      <c r="BU770" s="4"/>
    </row>
    <row r="771">
      <c r="AK771" s="1"/>
      <c r="AQ771" s="1"/>
      <c r="AW771" s="1"/>
      <c r="BC771" s="1"/>
      <c r="BD771" s="1"/>
      <c r="BE771" s="1"/>
      <c r="BF771" s="1"/>
      <c r="BG771" s="1"/>
      <c r="BH771" s="1"/>
      <c r="BI771" s="1"/>
      <c r="BO771" s="1"/>
      <c r="BP771" s="1"/>
      <c r="BQ771" s="1"/>
      <c r="BR771" s="1"/>
      <c r="BS771" s="1"/>
      <c r="BT771" s="1"/>
      <c r="BU771" s="4"/>
    </row>
    <row r="772">
      <c r="AK772" s="1"/>
      <c r="AQ772" s="1"/>
      <c r="AW772" s="1"/>
      <c r="BC772" s="1"/>
      <c r="BD772" s="1"/>
      <c r="BE772" s="1"/>
      <c r="BF772" s="1"/>
      <c r="BG772" s="1"/>
      <c r="BH772" s="1"/>
      <c r="BI772" s="1"/>
      <c r="BO772" s="1"/>
      <c r="BP772" s="1"/>
      <c r="BQ772" s="1"/>
      <c r="BR772" s="1"/>
      <c r="BS772" s="1"/>
      <c r="BT772" s="1"/>
      <c r="BU772" s="4"/>
    </row>
    <row r="773">
      <c r="AK773" s="1"/>
      <c r="AQ773" s="1"/>
      <c r="AW773" s="1"/>
      <c r="BC773" s="1"/>
      <c r="BD773" s="1"/>
      <c r="BE773" s="1"/>
      <c r="BF773" s="1"/>
      <c r="BG773" s="1"/>
      <c r="BH773" s="1"/>
      <c r="BI773" s="1"/>
      <c r="BO773" s="1"/>
      <c r="BP773" s="1"/>
      <c r="BQ773" s="1"/>
      <c r="BR773" s="1"/>
      <c r="BS773" s="1"/>
      <c r="BT773" s="1"/>
      <c r="BU773" s="4"/>
    </row>
    <row r="774">
      <c r="AK774" s="1"/>
      <c r="AQ774" s="1"/>
      <c r="AW774" s="1"/>
      <c r="BC774" s="1"/>
      <c r="BD774" s="1"/>
      <c r="BE774" s="1"/>
      <c r="BF774" s="1"/>
      <c r="BG774" s="1"/>
      <c r="BH774" s="1"/>
      <c r="BI774" s="1"/>
      <c r="BO774" s="1"/>
      <c r="BP774" s="1"/>
      <c r="BQ774" s="1"/>
      <c r="BR774" s="1"/>
      <c r="BS774" s="1"/>
      <c r="BT774" s="1"/>
      <c r="BU774" s="4"/>
    </row>
    <row r="775">
      <c r="AK775" s="1"/>
      <c r="AQ775" s="1"/>
      <c r="AW775" s="1"/>
      <c r="BC775" s="1"/>
      <c r="BD775" s="1"/>
      <c r="BE775" s="1"/>
      <c r="BF775" s="1"/>
      <c r="BG775" s="1"/>
      <c r="BH775" s="1"/>
      <c r="BI775" s="1"/>
      <c r="BO775" s="1"/>
      <c r="BP775" s="1"/>
      <c r="BQ775" s="1"/>
      <c r="BR775" s="1"/>
      <c r="BS775" s="1"/>
      <c r="BT775" s="1"/>
      <c r="BU775" s="4"/>
    </row>
    <row r="776">
      <c r="AK776" s="1"/>
      <c r="AQ776" s="1"/>
      <c r="AW776" s="1"/>
      <c r="BC776" s="1"/>
      <c r="BD776" s="1"/>
      <c r="BE776" s="1"/>
      <c r="BF776" s="1"/>
      <c r="BG776" s="1"/>
      <c r="BH776" s="1"/>
      <c r="BI776" s="1"/>
      <c r="BO776" s="1"/>
      <c r="BP776" s="1"/>
      <c r="BQ776" s="1"/>
      <c r="BR776" s="1"/>
      <c r="BS776" s="1"/>
      <c r="BT776" s="1"/>
      <c r="BU776" s="4"/>
    </row>
    <row r="777">
      <c r="AK777" s="1"/>
      <c r="AQ777" s="1"/>
      <c r="AW777" s="1"/>
      <c r="BC777" s="1"/>
      <c r="BD777" s="1"/>
      <c r="BE777" s="1"/>
      <c r="BF777" s="1"/>
      <c r="BG777" s="1"/>
      <c r="BH777" s="1"/>
      <c r="BI777" s="1"/>
      <c r="BO777" s="1"/>
      <c r="BP777" s="1"/>
      <c r="BQ777" s="1"/>
      <c r="BR777" s="1"/>
      <c r="BS777" s="1"/>
      <c r="BT777" s="1"/>
      <c r="BU777" s="4"/>
    </row>
    <row r="778">
      <c r="AK778" s="1"/>
      <c r="AQ778" s="1"/>
      <c r="AW778" s="1"/>
      <c r="BC778" s="1"/>
      <c r="BD778" s="1"/>
      <c r="BE778" s="1"/>
      <c r="BF778" s="1"/>
      <c r="BG778" s="1"/>
      <c r="BH778" s="1"/>
      <c r="BI778" s="1"/>
      <c r="BO778" s="1"/>
      <c r="BP778" s="1"/>
      <c r="BQ778" s="1"/>
      <c r="BR778" s="1"/>
      <c r="BS778" s="1"/>
      <c r="BT778" s="1"/>
      <c r="BU778" s="4"/>
    </row>
    <row r="779">
      <c r="AK779" s="1"/>
      <c r="AQ779" s="1"/>
      <c r="AW779" s="1"/>
      <c r="BC779" s="1"/>
      <c r="BD779" s="1"/>
      <c r="BE779" s="1"/>
      <c r="BF779" s="1"/>
      <c r="BG779" s="1"/>
      <c r="BH779" s="1"/>
      <c r="BI779" s="1"/>
      <c r="BO779" s="1"/>
      <c r="BP779" s="1"/>
      <c r="BQ779" s="1"/>
      <c r="BR779" s="1"/>
      <c r="BS779" s="1"/>
      <c r="BT779" s="1"/>
      <c r="BU779" s="4"/>
    </row>
    <row r="780">
      <c r="AK780" s="1"/>
      <c r="AQ780" s="1"/>
      <c r="AW780" s="1"/>
      <c r="BC780" s="1"/>
      <c r="BD780" s="1"/>
      <c r="BE780" s="1"/>
      <c r="BF780" s="1"/>
      <c r="BG780" s="1"/>
      <c r="BH780" s="1"/>
      <c r="BI780" s="1"/>
      <c r="BO780" s="1"/>
      <c r="BP780" s="1"/>
      <c r="BQ780" s="1"/>
      <c r="BR780" s="1"/>
      <c r="BS780" s="1"/>
      <c r="BT780" s="1"/>
      <c r="BU780" s="4"/>
    </row>
    <row r="781">
      <c r="AK781" s="1"/>
      <c r="AQ781" s="1"/>
      <c r="AW781" s="1"/>
      <c r="BC781" s="1"/>
      <c r="BD781" s="1"/>
      <c r="BE781" s="1"/>
      <c r="BF781" s="1"/>
      <c r="BG781" s="1"/>
      <c r="BH781" s="1"/>
      <c r="BI781" s="1"/>
      <c r="BO781" s="1"/>
      <c r="BP781" s="1"/>
      <c r="BQ781" s="1"/>
      <c r="BR781" s="1"/>
      <c r="BS781" s="1"/>
      <c r="BT781" s="1"/>
      <c r="BU781" s="4"/>
    </row>
    <row r="782">
      <c r="AK782" s="1"/>
      <c r="AQ782" s="1"/>
      <c r="AW782" s="1"/>
      <c r="BC782" s="1"/>
      <c r="BD782" s="1"/>
      <c r="BE782" s="1"/>
      <c r="BF782" s="1"/>
      <c r="BG782" s="1"/>
      <c r="BH782" s="1"/>
      <c r="BI782" s="1"/>
      <c r="BO782" s="1"/>
      <c r="BP782" s="1"/>
      <c r="BQ782" s="1"/>
      <c r="BR782" s="1"/>
      <c r="BS782" s="1"/>
      <c r="BT782" s="1"/>
      <c r="BU782" s="4"/>
    </row>
    <row r="783">
      <c r="AK783" s="1"/>
      <c r="AQ783" s="1"/>
      <c r="AW783" s="1"/>
      <c r="BC783" s="1"/>
      <c r="BD783" s="1"/>
      <c r="BE783" s="1"/>
      <c r="BF783" s="1"/>
      <c r="BG783" s="1"/>
      <c r="BH783" s="1"/>
      <c r="BI783" s="1"/>
      <c r="BO783" s="1"/>
      <c r="BP783" s="1"/>
      <c r="BQ783" s="1"/>
      <c r="BR783" s="1"/>
      <c r="BS783" s="1"/>
      <c r="BT783" s="1"/>
      <c r="BU783" s="4"/>
    </row>
    <row r="784">
      <c r="AK784" s="1"/>
      <c r="AQ784" s="1"/>
      <c r="AW784" s="1"/>
      <c r="BC784" s="1"/>
      <c r="BD784" s="1"/>
      <c r="BE784" s="1"/>
      <c r="BF784" s="1"/>
      <c r="BG784" s="1"/>
      <c r="BH784" s="1"/>
      <c r="BI784" s="1"/>
      <c r="BO784" s="1"/>
      <c r="BP784" s="1"/>
      <c r="BQ784" s="1"/>
      <c r="BR784" s="1"/>
      <c r="BS784" s="1"/>
      <c r="BT784" s="1"/>
      <c r="BU784" s="4"/>
    </row>
    <row r="785">
      <c r="AK785" s="1"/>
      <c r="AQ785" s="1"/>
      <c r="AW785" s="1"/>
      <c r="BC785" s="1"/>
      <c r="BD785" s="1"/>
      <c r="BE785" s="1"/>
      <c r="BF785" s="1"/>
      <c r="BG785" s="1"/>
      <c r="BH785" s="1"/>
      <c r="BI785" s="1"/>
      <c r="BO785" s="1"/>
      <c r="BP785" s="1"/>
      <c r="BQ785" s="1"/>
      <c r="BR785" s="1"/>
      <c r="BS785" s="1"/>
      <c r="BT785" s="1"/>
      <c r="BU785" s="4"/>
    </row>
    <row r="786">
      <c r="AK786" s="1"/>
      <c r="AQ786" s="1"/>
      <c r="AW786" s="1"/>
      <c r="BC786" s="1"/>
      <c r="BD786" s="1"/>
      <c r="BE786" s="1"/>
      <c r="BF786" s="1"/>
      <c r="BG786" s="1"/>
      <c r="BH786" s="1"/>
      <c r="BI786" s="1"/>
      <c r="BO786" s="1"/>
      <c r="BP786" s="1"/>
      <c r="BQ786" s="1"/>
      <c r="BR786" s="1"/>
      <c r="BS786" s="1"/>
      <c r="BT786" s="1"/>
      <c r="BU786" s="4"/>
    </row>
    <row r="787">
      <c r="AK787" s="1"/>
      <c r="AQ787" s="1"/>
      <c r="AW787" s="1"/>
      <c r="BC787" s="1"/>
      <c r="BD787" s="1"/>
      <c r="BE787" s="1"/>
      <c r="BF787" s="1"/>
      <c r="BG787" s="1"/>
      <c r="BH787" s="1"/>
      <c r="BI787" s="1"/>
      <c r="BO787" s="1"/>
      <c r="BP787" s="1"/>
      <c r="BQ787" s="1"/>
      <c r="BR787" s="1"/>
      <c r="BS787" s="1"/>
      <c r="BT787" s="1"/>
      <c r="BU787" s="4"/>
    </row>
    <row r="788">
      <c r="AK788" s="1"/>
      <c r="AQ788" s="1"/>
      <c r="AW788" s="1"/>
      <c r="BC788" s="1"/>
      <c r="BD788" s="1"/>
      <c r="BE788" s="1"/>
      <c r="BF788" s="1"/>
      <c r="BG788" s="1"/>
      <c r="BH788" s="1"/>
      <c r="BI788" s="1"/>
      <c r="BO788" s="1"/>
      <c r="BP788" s="1"/>
      <c r="BQ788" s="1"/>
      <c r="BR788" s="1"/>
      <c r="BS788" s="1"/>
      <c r="BT788" s="1"/>
      <c r="BU788" s="4"/>
    </row>
    <row r="789">
      <c r="AK789" s="1"/>
      <c r="AQ789" s="1"/>
      <c r="AW789" s="1"/>
      <c r="BC789" s="1"/>
      <c r="BD789" s="1"/>
      <c r="BE789" s="1"/>
      <c r="BF789" s="1"/>
      <c r="BG789" s="1"/>
      <c r="BH789" s="1"/>
      <c r="BI789" s="1"/>
      <c r="BO789" s="1"/>
      <c r="BP789" s="1"/>
      <c r="BQ789" s="1"/>
      <c r="BR789" s="1"/>
      <c r="BS789" s="1"/>
      <c r="BT789" s="1"/>
      <c r="BU789" s="4"/>
    </row>
    <row r="790">
      <c r="AK790" s="1"/>
      <c r="AQ790" s="1"/>
      <c r="AW790" s="1"/>
      <c r="BC790" s="1"/>
      <c r="BD790" s="1"/>
      <c r="BE790" s="1"/>
      <c r="BF790" s="1"/>
      <c r="BG790" s="1"/>
      <c r="BH790" s="1"/>
      <c r="BI790" s="1"/>
      <c r="BO790" s="1"/>
      <c r="BP790" s="1"/>
      <c r="BQ790" s="1"/>
      <c r="BR790" s="1"/>
      <c r="BS790" s="1"/>
      <c r="BT790" s="1"/>
      <c r="BU790" s="4"/>
    </row>
    <row r="791">
      <c r="AK791" s="1"/>
      <c r="AQ791" s="1"/>
      <c r="AW791" s="1"/>
      <c r="BC791" s="1"/>
      <c r="BD791" s="1"/>
      <c r="BE791" s="1"/>
      <c r="BF791" s="1"/>
      <c r="BG791" s="1"/>
      <c r="BH791" s="1"/>
      <c r="BI791" s="1"/>
      <c r="BO791" s="1"/>
      <c r="BP791" s="1"/>
      <c r="BQ791" s="1"/>
      <c r="BR791" s="1"/>
      <c r="BS791" s="1"/>
      <c r="BT791" s="1"/>
      <c r="BU791" s="4"/>
    </row>
    <row r="792">
      <c r="AK792" s="1"/>
      <c r="AQ792" s="1"/>
      <c r="AW792" s="1"/>
      <c r="BC792" s="1"/>
      <c r="BD792" s="1"/>
      <c r="BE792" s="1"/>
      <c r="BF792" s="1"/>
      <c r="BG792" s="1"/>
      <c r="BH792" s="1"/>
      <c r="BI792" s="1"/>
      <c r="BO792" s="1"/>
      <c r="BP792" s="1"/>
      <c r="BQ792" s="1"/>
      <c r="BR792" s="1"/>
      <c r="BS792" s="1"/>
      <c r="BT792" s="1"/>
      <c r="BU792" s="4"/>
    </row>
    <row r="793">
      <c r="AK793" s="1"/>
      <c r="AQ793" s="1"/>
      <c r="AW793" s="1"/>
      <c r="BC793" s="1"/>
      <c r="BD793" s="1"/>
      <c r="BE793" s="1"/>
      <c r="BF793" s="1"/>
      <c r="BG793" s="1"/>
      <c r="BH793" s="1"/>
      <c r="BI793" s="1"/>
      <c r="BO793" s="1"/>
      <c r="BP793" s="1"/>
      <c r="BQ793" s="1"/>
      <c r="BR793" s="1"/>
      <c r="BS793" s="1"/>
      <c r="BT793" s="1"/>
      <c r="BU793" s="4"/>
    </row>
    <row r="794">
      <c r="AK794" s="1"/>
      <c r="AQ794" s="1"/>
      <c r="AW794" s="1"/>
      <c r="BC794" s="1"/>
      <c r="BD794" s="1"/>
      <c r="BE794" s="1"/>
      <c r="BF794" s="1"/>
      <c r="BG794" s="1"/>
      <c r="BH794" s="1"/>
      <c r="BI794" s="1"/>
      <c r="BO794" s="1"/>
      <c r="BP794" s="1"/>
      <c r="BQ794" s="1"/>
      <c r="BR794" s="1"/>
      <c r="BS794" s="1"/>
      <c r="BT794" s="1"/>
      <c r="BU794" s="4"/>
    </row>
    <row r="795">
      <c r="AK795" s="1"/>
      <c r="AQ795" s="1"/>
      <c r="AW795" s="1"/>
      <c r="BC795" s="1"/>
      <c r="BD795" s="1"/>
      <c r="BE795" s="1"/>
      <c r="BF795" s="1"/>
      <c r="BG795" s="1"/>
      <c r="BH795" s="1"/>
      <c r="BI795" s="1"/>
      <c r="BO795" s="1"/>
      <c r="BP795" s="1"/>
      <c r="BQ795" s="1"/>
      <c r="BR795" s="1"/>
      <c r="BS795" s="1"/>
      <c r="BT795" s="1"/>
      <c r="BU795" s="4"/>
    </row>
    <row r="796">
      <c r="AK796" s="1"/>
      <c r="AQ796" s="1"/>
      <c r="AW796" s="1"/>
      <c r="BC796" s="1"/>
      <c r="BD796" s="1"/>
      <c r="BE796" s="1"/>
      <c r="BF796" s="1"/>
      <c r="BG796" s="1"/>
      <c r="BH796" s="1"/>
      <c r="BI796" s="1"/>
      <c r="BO796" s="1"/>
      <c r="BP796" s="1"/>
      <c r="BQ796" s="1"/>
      <c r="BR796" s="1"/>
      <c r="BS796" s="1"/>
      <c r="BT796" s="1"/>
      <c r="BU796" s="4"/>
    </row>
    <row r="797">
      <c r="AK797" s="1"/>
      <c r="AQ797" s="1"/>
      <c r="AW797" s="1"/>
      <c r="BC797" s="1"/>
      <c r="BD797" s="1"/>
      <c r="BE797" s="1"/>
      <c r="BF797" s="1"/>
      <c r="BG797" s="1"/>
      <c r="BH797" s="1"/>
      <c r="BI797" s="1"/>
      <c r="BO797" s="1"/>
      <c r="BP797" s="1"/>
      <c r="BQ797" s="1"/>
      <c r="BR797" s="1"/>
      <c r="BS797" s="1"/>
      <c r="BT797" s="1"/>
      <c r="BU797" s="4"/>
    </row>
    <row r="798">
      <c r="AK798" s="1"/>
      <c r="AQ798" s="1"/>
      <c r="AW798" s="1"/>
      <c r="BC798" s="1"/>
      <c r="BD798" s="1"/>
      <c r="BE798" s="1"/>
      <c r="BF798" s="1"/>
      <c r="BG798" s="1"/>
      <c r="BH798" s="1"/>
      <c r="BI798" s="1"/>
      <c r="BO798" s="1"/>
      <c r="BP798" s="1"/>
      <c r="BQ798" s="1"/>
      <c r="BR798" s="1"/>
      <c r="BS798" s="1"/>
      <c r="BT798" s="1"/>
      <c r="BU798" s="4"/>
    </row>
    <row r="799">
      <c r="AK799" s="1"/>
      <c r="AQ799" s="1"/>
      <c r="AW799" s="1"/>
      <c r="BC799" s="1"/>
      <c r="BD799" s="1"/>
      <c r="BE799" s="1"/>
      <c r="BF799" s="1"/>
      <c r="BG799" s="1"/>
      <c r="BH799" s="1"/>
      <c r="BI799" s="1"/>
      <c r="BO799" s="1"/>
      <c r="BP799" s="1"/>
      <c r="BQ799" s="1"/>
      <c r="BR799" s="1"/>
      <c r="BS799" s="1"/>
      <c r="BT799" s="1"/>
      <c r="BU799" s="4"/>
    </row>
    <row r="800">
      <c r="AK800" s="1"/>
      <c r="AQ800" s="1"/>
      <c r="AW800" s="1"/>
      <c r="BC800" s="1"/>
      <c r="BD800" s="1"/>
      <c r="BE800" s="1"/>
      <c r="BF800" s="1"/>
      <c r="BG800" s="1"/>
      <c r="BH800" s="1"/>
      <c r="BI800" s="1"/>
      <c r="BO800" s="1"/>
      <c r="BP800" s="1"/>
      <c r="BQ800" s="1"/>
      <c r="BR800" s="1"/>
      <c r="BS800" s="1"/>
      <c r="BT800" s="1"/>
      <c r="BU800" s="4"/>
    </row>
    <row r="801">
      <c r="AK801" s="1"/>
      <c r="AQ801" s="1"/>
      <c r="AW801" s="1"/>
      <c r="BC801" s="1"/>
      <c r="BD801" s="1"/>
      <c r="BE801" s="1"/>
      <c r="BF801" s="1"/>
      <c r="BG801" s="1"/>
      <c r="BH801" s="1"/>
      <c r="BI801" s="1"/>
      <c r="BO801" s="1"/>
      <c r="BP801" s="1"/>
      <c r="BQ801" s="1"/>
      <c r="BR801" s="1"/>
      <c r="BS801" s="1"/>
      <c r="BT801" s="1"/>
      <c r="BU801" s="4"/>
    </row>
    <row r="802">
      <c r="AK802" s="1"/>
      <c r="AQ802" s="1"/>
      <c r="AW802" s="1"/>
      <c r="BC802" s="1"/>
      <c r="BD802" s="1"/>
      <c r="BE802" s="1"/>
      <c r="BF802" s="1"/>
      <c r="BG802" s="1"/>
      <c r="BH802" s="1"/>
      <c r="BI802" s="1"/>
      <c r="BO802" s="1"/>
      <c r="BP802" s="1"/>
      <c r="BQ802" s="1"/>
      <c r="BR802" s="1"/>
      <c r="BS802" s="1"/>
      <c r="BT802" s="1"/>
      <c r="BU802" s="4"/>
    </row>
    <row r="803">
      <c r="AK803" s="1"/>
      <c r="AQ803" s="1"/>
      <c r="AW803" s="1"/>
      <c r="BC803" s="1"/>
      <c r="BD803" s="1"/>
      <c r="BE803" s="1"/>
      <c r="BF803" s="1"/>
      <c r="BG803" s="1"/>
      <c r="BH803" s="1"/>
      <c r="BI803" s="1"/>
      <c r="BO803" s="1"/>
      <c r="BP803" s="1"/>
      <c r="BQ803" s="1"/>
      <c r="BR803" s="1"/>
      <c r="BS803" s="1"/>
      <c r="BT803" s="1"/>
      <c r="BU803" s="4"/>
    </row>
    <row r="804">
      <c r="AK804" s="1"/>
      <c r="AQ804" s="1"/>
      <c r="AW804" s="1"/>
      <c r="BC804" s="1"/>
      <c r="BD804" s="1"/>
      <c r="BE804" s="1"/>
      <c r="BF804" s="1"/>
      <c r="BG804" s="1"/>
      <c r="BH804" s="1"/>
      <c r="BI804" s="1"/>
      <c r="BO804" s="1"/>
      <c r="BP804" s="1"/>
      <c r="BQ804" s="1"/>
      <c r="BR804" s="1"/>
      <c r="BS804" s="1"/>
      <c r="BT804" s="1"/>
      <c r="BU804" s="4"/>
    </row>
    <row r="805">
      <c r="AK805" s="1"/>
      <c r="AQ805" s="1"/>
      <c r="AW805" s="1"/>
      <c r="BC805" s="1"/>
      <c r="BD805" s="1"/>
      <c r="BE805" s="1"/>
      <c r="BF805" s="1"/>
      <c r="BG805" s="1"/>
      <c r="BH805" s="1"/>
      <c r="BI805" s="1"/>
      <c r="BO805" s="1"/>
      <c r="BP805" s="1"/>
      <c r="BQ805" s="1"/>
      <c r="BR805" s="1"/>
      <c r="BS805" s="1"/>
      <c r="BT805" s="1"/>
      <c r="BU805" s="4"/>
    </row>
    <row r="806">
      <c r="AK806" s="1"/>
      <c r="AQ806" s="1"/>
      <c r="AW806" s="1"/>
      <c r="BC806" s="1"/>
      <c r="BD806" s="1"/>
      <c r="BE806" s="1"/>
      <c r="BF806" s="1"/>
      <c r="BG806" s="1"/>
      <c r="BH806" s="1"/>
      <c r="BI806" s="1"/>
      <c r="BO806" s="1"/>
      <c r="BP806" s="1"/>
      <c r="BQ806" s="1"/>
      <c r="BR806" s="1"/>
      <c r="BS806" s="1"/>
      <c r="BT806" s="1"/>
      <c r="BU806" s="4"/>
    </row>
    <row r="807">
      <c r="AK807" s="1"/>
      <c r="AQ807" s="1"/>
      <c r="AW807" s="1"/>
      <c r="BC807" s="1"/>
      <c r="BD807" s="1"/>
      <c r="BE807" s="1"/>
      <c r="BF807" s="1"/>
      <c r="BG807" s="1"/>
      <c r="BH807" s="1"/>
      <c r="BI807" s="1"/>
      <c r="BO807" s="1"/>
      <c r="BP807" s="1"/>
      <c r="BQ807" s="1"/>
      <c r="BR807" s="1"/>
      <c r="BS807" s="1"/>
      <c r="BT807" s="1"/>
      <c r="BU807" s="4"/>
    </row>
    <row r="808">
      <c r="AK808" s="1"/>
      <c r="AQ808" s="1"/>
      <c r="AW808" s="1"/>
      <c r="BC808" s="1"/>
      <c r="BD808" s="1"/>
      <c r="BE808" s="1"/>
      <c r="BF808" s="1"/>
      <c r="BG808" s="1"/>
      <c r="BH808" s="1"/>
      <c r="BI808" s="1"/>
      <c r="BO808" s="1"/>
      <c r="BP808" s="1"/>
      <c r="BQ808" s="1"/>
      <c r="BR808" s="1"/>
      <c r="BS808" s="1"/>
      <c r="BT808" s="1"/>
      <c r="BU808" s="4"/>
    </row>
    <row r="809">
      <c r="AK809" s="1"/>
      <c r="AQ809" s="1"/>
      <c r="AW809" s="1"/>
      <c r="BC809" s="1"/>
      <c r="BD809" s="1"/>
      <c r="BE809" s="1"/>
      <c r="BF809" s="1"/>
      <c r="BG809" s="1"/>
      <c r="BH809" s="1"/>
      <c r="BI809" s="1"/>
      <c r="BO809" s="1"/>
      <c r="BP809" s="1"/>
      <c r="BQ809" s="1"/>
      <c r="BR809" s="1"/>
      <c r="BS809" s="1"/>
      <c r="BT809" s="1"/>
      <c r="BU809" s="4"/>
    </row>
    <row r="810">
      <c r="AK810" s="1"/>
      <c r="AQ810" s="1"/>
      <c r="AW810" s="1"/>
      <c r="BC810" s="1"/>
      <c r="BD810" s="1"/>
      <c r="BE810" s="1"/>
      <c r="BF810" s="1"/>
      <c r="BG810" s="1"/>
      <c r="BH810" s="1"/>
      <c r="BI810" s="1"/>
      <c r="BO810" s="1"/>
      <c r="BP810" s="1"/>
      <c r="BQ810" s="1"/>
      <c r="BR810" s="1"/>
      <c r="BS810" s="1"/>
      <c r="BT810" s="1"/>
      <c r="BU810" s="4"/>
    </row>
    <row r="811">
      <c r="AK811" s="1"/>
      <c r="AQ811" s="1"/>
      <c r="AW811" s="1"/>
      <c r="BC811" s="1"/>
      <c r="BD811" s="1"/>
      <c r="BE811" s="1"/>
      <c r="BF811" s="1"/>
      <c r="BG811" s="1"/>
      <c r="BH811" s="1"/>
      <c r="BI811" s="1"/>
      <c r="BO811" s="1"/>
      <c r="BP811" s="1"/>
      <c r="BQ811" s="1"/>
      <c r="BR811" s="1"/>
      <c r="BS811" s="1"/>
      <c r="BT811" s="1"/>
      <c r="BU811" s="4"/>
    </row>
    <row r="812">
      <c r="AK812" s="1"/>
      <c r="AQ812" s="1"/>
      <c r="AW812" s="1"/>
      <c r="BC812" s="1"/>
      <c r="BD812" s="1"/>
      <c r="BE812" s="1"/>
      <c r="BF812" s="1"/>
      <c r="BG812" s="1"/>
      <c r="BH812" s="1"/>
      <c r="BI812" s="1"/>
      <c r="BO812" s="1"/>
      <c r="BP812" s="1"/>
      <c r="BQ812" s="1"/>
      <c r="BR812" s="1"/>
      <c r="BS812" s="1"/>
      <c r="BT812" s="1"/>
      <c r="BU812" s="4"/>
    </row>
    <row r="813">
      <c r="AK813" s="1"/>
      <c r="AQ813" s="1"/>
      <c r="AW813" s="1"/>
      <c r="BC813" s="1"/>
      <c r="BD813" s="1"/>
      <c r="BE813" s="1"/>
      <c r="BF813" s="1"/>
      <c r="BG813" s="1"/>
      <c r="BH813" s="1"/>
      <c r="BI813" s="1"/>
      <c r="BO813" s="1"/>
      <c r="BP813" s="1"/>
      <c r="BQ813" s="1"/>
      <c r="BR813" s="1"/>
      <c r="BS813" s="1"/>
      <c r="BT813" s="1"/>
      <c r="BU813" s="4"/>
    </row>
    <row r="814">
      <c r="AK814" s="1"/>
      <c r="AQ814" s="1"/>
      <c r="AW814" s="1"/>
      <c r="BC814" s="1"/>
      <c r="BD814" s="1"/>
      <c r="BE814" s="1"/>
      <c r="BF814" s="1"/>
      <c r="BG814" s="1"/>
      <c r="BH814" s="1"/>
      <c r="BI814" s="1"/>
      <c r="BO814" s="1"/>
      <c r="BP814" s="1"/>
      <c r="BQ814" s="1"/>
      <c r="BR814" s="1"/>
      <c r="BS814" s="1"/>
      <c r="BT814" s="1"/>
      <c r="BU814" s="4"/>
    </row>
    <row r="815">
      <c r="AK815" s="1"/>
      <c r="AQ815" s="1"/>
      <c r="AW815" s="1"/>
      <c r="BC815" s="1"/>
      <c r="BD815" s="1"/>
      <c r="BE815" s="1"/>
      <c r="BF815" s="1"/>
      <c r="BG815" s="1"/>
      <c r="BH815" s="1"/>
      <c r="BI815" s="1"/>
      <c r="BO815" s="1"/>
      <c r="BP815" s="1"/>
      <c r="BQ815" s="1"/>
      <c r="BR815" s="1"/>
      <c r="BS815" s="1"/>
      <c r="BT815" s="1"/>
      <c r="BU815" s="4"/>
    </row>
    <row r="816">
      <c r="AK816" s="1"/>
      <c r="AQ816" s="1"/>
      <c r="AW816" s="1"/>
      <c r="BC816" s="1"/>
      <c r="BD816" s="1"/>
      <c r="BE816" s="1"/>
      <c r="BF816" s="1"/>
      <c r="BG816" s="1"/>
      <c r="BH816" s="1"/>
      <c r="BI816" s="1"/>
      <c r="BO816" s="1"/>
      <c r="BP816" s="1"/>
      <c r="BQ816" s="1"/>
      <c r="BR816" s="1"/>
      <c r="BS816" s="1"/>
      <c r="BT816" s="1"/>
      <c r="BU816" s="4"/>
    </row>
    <row r="817">
      <c r="AK817" s="1"/>
      <c r="AQ817" s="1"/>
      <c r="AW817" s="1"/>
      <c r="BC817" s="1"/>
      <c r="BD817" s="1"/>
      <c r="BE817" s="1"/>
      <c r="BF817" s="1"/>
      <c r="BG817" s="1"/>
      <c r="BH817" s="1"/>
      <c r="BI817" s="1"/>
      <c r="BO817" s="1"/>
      <c r="BP817" s="1"/>
      <c r="BQ817" s="1"/>
      <c r="BR817" s="1"/>
      <c r="BS817" s="1"/>
      <c r="BT817" s="1"/>
      <c r="BU817" s="4"/>
    </row>
    <row r="818">
      <c r="AK818" s="1"/>
      <c r="AQ818" s="1"/>
      <c r="AW818" s="1"/>
      <c r="BC818" s="1"/>
      <c r="BD818" s="1"/>
      <c r="BE818" s="1"/>
      <c r="BF818" s="1"/>
      <c r="BG818" s="1"/>
      <c r="BH818" s="1"/>
      <c r="BI818" s="1"/>
      <c r="BO818" s="1"/>
      <c r="BP818" s="1"/>
      <c r="BQ818" s="1"/>
      <c r="BR818" s="1"/>
      <c r="BS818" s="1"/>
      <c r="BT818" s="1"/>
      <c r="BU818" s="4"/>
    </row>
    <row r="819">
      <c r="AK819" s="1"/>
      <c r="AQ819" s="1"/>
      <c r="AW819" s="1"/>
      <c r="BC819" s="1"/>
      <c r="BD819" s="1"/>
      <c r="BE819" s="1"/>
      <c r="BF819" s="1"/>
      <c r="BG819" s="1"/>
      <c r="BH819" s="1"/>
      <c r="BI819" s="1"/>
      <c r="BO819" s="1"/>
      <c r="BP819" s="1"/>
      <c r="BQ819" s="1"/>
      <c r="BR819" s="1"/>
      <c r="BS819" s="1"/>
      <c r="BT819" s="1"/>
      <c r="BU819" s="4"/>
    </row>
    <row r="820">
      <c r="AK820" s="1"/>
      <c r="AQ820" s="1"/>
      <c r="AW820" s="1"/>
      <c r="BC820" s="1"/>
      <c r="BD820" s="1"/>
      <c r="BE820" s="1"/>
      <c r="BF820" s="1"/>
      <c r="BG820" s="1"/>
      <c r="BH820" s="1"/>
      <c r="BI820" s="1"/>
      <c r="BO820" s="1"/>
      <c r="BP820" s="1"/>
      <c r="BQ820" s="1"/>
      <c r="BR820" s="1"/>
      <c r="BS820" s="1"/>
      <c r="BT820" s="1"/>
      <c r="BU820" s="4"/>
    </row>
    <row r="821">
      <c r="AK821" s="1"/>
      <c r="AQ821" s="1"/>
      <c r="AW821" s="1"/>
      <c r="BC821" s="1"/>
      <c r="BD821" s="1"/>
      <c r="BE821" s="1"/>
      <c r="BF821" s="1"/>
      <c r="BG821" s="1"/>
      <c r="BH821" s="1"/>
      <c r="BI821" s="1"/>
      <c r="BO821" s="1"/>
      <c r="BP821" s="1"/>
      <c r="BQ821" s="1"/>
      <c r="BR821" s="1"/>
      <c r="BS821" s="1"/>
      <c r="BT821" s="1"/>
      <c r="BU821" s="4"/>
    </row>
    <row r="822">
      <c r="AK822" s="1"/>
      <c r="AQ822" s="1"/>
      <c r="AW822" s="1"/>
      <c r="BC822" s="1"/>
      <c r="BD822" s="1"/>
      <c r="BE822" s="1"/>
      <c r="BF822" s="1"/>
      <c r="BG822" s="1"/>
      <c r="BH822" s="1"/>
      <c r="BI822" s="1"/>
      <c r="BO822" s="1"/>
      <c r="BP822" s="1"/>
      <c r="BQ822" s="1"/>
      <c r="BR822" s="1"/>
      <c r="BS822" s="1"/>
      <c r="BT822" s="1"/>
      <c r="BU822" s="4"/>
    </row>
    <row r="823">
      <c r="AK823" s="1"/>
      <c r="AQ823" s="1"/>
      <c r="AW823" s="1"/>
      <c r="BC823" s="1"/>
      <c r="BD823" s="1"/>
      <c r="BE823" s="1"/>
      <c r="BF823" s="1"/>
      <c r="BG823" s="1"/>
      <c r="BH823" s="1"/>
      <c r="BI823" s="1"/>
      <c r="BO823" s="1"/>
      <c r="BP823" s="1"/>
      <c r="BQ823" s="1"/>
      <c r="BR823" s="1"/>
      <c r="BS823" s="1"/>
      <c r="BT823" s="1"/>
      <c r="BU823" s="4"/>
    </row>
    <row r="824">
      <c r="AK824" s="1"/>
      <c r="AQ824" s="1"/>
      <c r="AW824" s="1"/>
      <c r="BC824" s="1"/>
      <c r="BD824" s="1"/>
      <c r="BE824" s="1"/>
      <c r="BF824" s="1"/>
      <c r="BG824" s="1"/>
      <c r="BH824" s="1"/>
      <c r="BI824" s="1"/>
      <c r="BO824" s="1"/>
      <c r="BP824" s="1"/>
      <c r="BQ824" s="1"/>
      <c r="BR824" s="1"/>
      <c r="BS824" s="1"/>
      <c r="BT824" s="1"/>
      <c r="BU824" s="4"/>
    </row>
    <row r="825">
      <c r="AK825" s="1"/>
      <c r="AQ825" s="1"/>
      <c r="AW825" s="1"/>
      <c r="BC825" s="1"/>
      <c r="BD825" s="1"/>
      <c r="BE825" s="1"/>
      <c r="BF825" s="1"/>
      <c r="BG825" s="1"/>
      <c r="BH825" s="1"/>
      <c r="BI825" s="1"/>
      <c r="BO825" s="1"/>
      <c r="BP825" s="1"/>
      <c r="BQ825" s="1"/>
      <c r="BR825" s="1"/>
      <c r="BS825" s="1"/>
      <c r="BT825" s="1"/>
      <c r="BU825" s="4"/>
    </row>
    <row r="826">
      <c r="AK826" s="1"/>
      <c r="AQ826" s="1"/>
      <c r="AW826" s="1"/>
      <c r="BC826" s="1"/>
      <c r="BD826" s="1"/>
      <c r="BE826" s="1"/>
      <c r="BF826" s="1"/>
      <c r="BG826" s="1"/>
      <c r="BH826" s="1"/>
      <c r="BI826" s="1"/>
      <c r="BO826" s="1"/>
      <c r="BP826" s="1"/>
      <c r="BQ826" s="1"/>
      <c r="BR826" s="1"/>
      <c r="BS826" s="1"/>
      <c r="BT826" s="1"/>
      <c r="BU826" s="4"/>
    </row>
    <row r="827">
      <c r="AK827" s="1"/>
      <c r="AQ827" s="1"/>
      <c r="AW827" s="1"/>
      <c r="BC827" s="1"/>
      <c r="BD827" s="1"/>
      <c r="BE827" s="1"/>
      <c r="BF827" s="1"/>
      <c r="BG827" s="1"/>
      <c r="BH827" s="1"/>
      <c r="BI827" s="1"/>
      <c r="BO827" s="1"/>
      <c r="BP827" s="1"/>
      <c r="BQ827" s="1"/>
      <c r="BR827" s="1"/>
      <c r="BS827" s="1"/>
      <c r="BT827" s="1"/>
      <c r="BU827" s="4"/>
    </row>
    <row r="828">
      <c r="AK828" s="1"/>
      <c r="AQ828" s="1"/>
      <c r="AW828" s="1"/>
      <c r="BC828" s="1"/>
      <c r="BD828" s="1"/>
      <c r="BE828" s="1"/>
      <c r="BF828" s="1"/>
      <c r="BG828" s="1"/>
      <c r="BH828" s="1"/>
      <c r="BI828" s="1"/>
      <c r="BO828" s="1"/>
      <c r="BP828" s="1"/>
      <c r="BQ828" s="1"/>
      <c r="BR828" s="1"/>
      <c r="BS828" s="1"/>
      <c r="BT828" s="1"/>
      <c r="BU828" s="4"/>
    </row>
    <row r="829">
      <c r="AK829" s="1"/>
      <c r="AQ829" s="1"/>
      <c r="AW829" s="1"/>
      <c r="BC829" s="1"/>
      <c r="BD829" s="1"/>
      <c r="BE829" s="1"/>
      <c r="BF829" s="1"/>
      <c r="BG829" s="1"/>
      <c r="BH829" s="1"/>
      <c r="BI829" s="1"/>
      <c r="BO829" s="1"/>
      <c r="BP829" s="1"/>
      <c r="BQ829" s="1"/>
      <c r="BR829" s="1"/>
      <c r="BS829" s="1"/>
      <c r="BT829" s="1"/>
      <c r="BU829" s="4"/>
    </row>
    <row r="830">
      <c r="AK830" s="1"/>
      <c r="AQ830" s="1"/>
      <c r="AW830" s="1"/>
      <c r="BC830" s="1"/>
      <c r="BD830" s="1"/>
      <c r="BE830" s="1"/>
      <c r="BF830" s="1"/>
      <c r="BG830" s="1"/>
      <c r="BH830" s="1"/>
      <c r="BI830" s="1"/>
      <c r="BO830" s="1"/>
      <c r="BP830" s="1"/>
      <c r="BQ830" s="1"/>
      <c r="BR830" s="1"/>
      <c r="BS830" s="1"/>
      <c r="BT830" s="1"/>
      <c r="BU830" s="4"/>
    </row>
    <row r="831">
      <c r="AK831" s="1"/>
      <c r="AQ831" s="1"/>
      <c r="AW831" s="1"/>
      <c r="BC831" s="1"/>
      <c r="BD831" s="1"/>
      <c r="BE831" s="1"/>
      <c r="BF831" s="1"/>
      <c r="BG831" s="1"/>
      <c r="BH831" s="1"/>
      <c r="BI831" s="1"/>
      <c r="BO831" s="1"/>
      <c r="BP831" s="1"/>
      <c r="BQ831" s="1"/>
      <c r="BR831" s="1"/>
      <c r="BS831" s="1"/>
      <c r="BT831" s="1"/>
      <c r="BU831" s="4"/>
    </row>
    <row r="832">
      <c r="AK832" s="1"/>
      <c r="AQ832" s="1"/>
      <c r="AW832" s="1"/>
      <c r="BC832" s="1"/>
      <c r="BD832" s="1"/>
      <c r="BE832" s="1"/>
      <c r="BF832" s="1"/>
      <c r="BG832" s="1"/>
      <c r="BH832" s="1"/>
      <c r="BI832" s="1"/>
      <c r="BO832" s="1"/>
      <c r="BP832" s="1"/>
      <c r="BQ832" s="1"/>
      <c r="BR832" s="1"/>
      <c r="BS832" s="1"/>
      <c r="BT832" s="1"/>
      <c r="BU832" s="4"/>
    </row>
    <row r="833">
      <c r="AK833" s="1"/>
      <c r="AQ833" s="1"/>
      <c r="AW833" s="1"/>
      <c r="BC833" s="1"/>
      <c r="BD833" s="1"/>
      <c r="BE833" s="1"/>
      <c r="BF833" s="1"/>
      <c r="BG833" s="1"/>
      <c r="BH833" s="1"/>
      <c r="BI833" s="1"/>
      <c r="BO833" s="1"/>
      <c r="BP833" s="1"/>
      <c r="BQ833" s="1"/>
      <c r="BR833" s="1"/>
      <c r="BS833" s="1"/>
      <c r="BT833" s="1"/>
      <c r="BU833" s="4"/>
    </row>
    <row r="834">
      <c r="AK834" s="1"/>
      <c r="AQ834" s="1"/>
      <c r="AW834" s="1"/>
      <c r="BC834" s="1"/>
      <c r="BD834" s="1"/>
      <c r="BE834" s="1"/>
      <c r="BF834" s="1"/>
      <c r="BG834" s="1"/>
      <c r="BH834" s="1"/>
      <c r="BI834" s="1"/>
      <c r="BO834" s="1"/>
      <c r="BP834" s="1"/>
      <c r="BQ834" s="1"/>
      <c r="BR834" s="1"/>
      <c r="BS834" s="1"/>
      <c r="BT834" s="1"/>
      <c r="BU834" s="4"/>
    </row>
    <row r="835">
      <c r="AK835" s="1"/>
      <c r="AQ835" s="1"/>
      <c r="AW835" s="1"/>
      <c r="BC835" s="1"/>
      <c r="BD835" s="1"/>
      <c r="BE835" s="1"/>
      <c r="BF835" s="1"/>
      <c r="BG835" s="1"/>
      <c r="BH835" s="1"/>
      <c r="BI835" s="1"/>
      <c r="BO835" s="1"/>
      <c r="BP835" s="1"/>
      <c r="BQ835" s="1"/>
      <c r="BR835" s="1"/>
      <c r="BS835" s="1"/>
      <c r="BT835" s="1"/>
      <c r="BU835" s="4"/>
    </row>
    <row r="836">
      <c r="AK836" s="1"/>
      <c r="AQ836" s="1"/>
      <c r="AW836" s="1"/>
      <c r="BC836" s="1"/>
      <c r="BD836" s="1"/>
      <c r="BE836" s="1"/>
      <c r="BF836" s="1"/>
      <c r="BG836" s="1"/>
      <c r="BH836" s="1"/>
      <c r="BI836" s="1"/>
      <c r="BO836" s="1"/>
      <c r="BP836" s="1"/>
      <c r="BQ836" s="1"/>
      <c r="BR836" s="1"/>
      <c r="BS836" s="1"/>
      <c r="BT836" s="1"/>
      <c r="BU836" s="4"/>
    </row>
    <row r="837">
      <c r="AK837" s="1"/>
      <c r="AQ837" s="1"/>
      <c r="AW837" s="1"/>
      <c r="BC837" s="1"/>
      <c r="BD837" s="1"/>
      <c r="BE837" s="1"/>
      <c r="BF837" s="1"/>
      <c r="BG837" s="1"/>
      <c r="BH837" s="1"/>
      <c r="BI837" s="1"/>
      <c r="BO837" s="1"/>
      <c r="BP837" s="1"/>
      <c r="BQ837" s="1"/>
      <c r="BR837" s="1"/>
      <c r="BS837" s="1"/>
      <c r="BT837" s="1"/>
      <c r="BU837" s="4"/>
    </row>
    <row r="838">
      <c r="AK838" s="1"/>
      <c r="AQ838" s="1"/>
      <c r="AW838" s="1"/>
      <c r="BC838" s="1"/>
      <c r="BD838" s="1"/>
      <c r="BE838" s="1"/>
      <c r="BF838" s="1"/>
      <c r="BG838" s="1"/>
      <c r="BH838" s="1"/>
      <c r="BI838" s="1"/>
      <c r="BO838" s="1"/>
      <c r="BP838" s="1"/>
      <c r="BQ838" s="1"/>
      <c r="BR838" s="1"/>
      <c r="BS838" s="1"/>
      <c r="BT838" s="1"/>
      <c r="BU838" s="4"/>
    </row>
    <row r="839">
      <c r="AK839" s="1"/>
      <c r="AQ839" s="1"/>
      <c r="AW839" s="1"/>
      <c r="BC839" s="1"/>
      <c r="BD839" s="1"/>
      <c r="BE839" s="1"/>
      <c r="BF839" s="1"/>
      <c r="BG839" s="1"/>
      <c r="BH839" s="1"/>
      <c r="BI839" s="1"/>
      <c r="BO839" s="1"/>
      <c r="BP839" s="1"/>
      <c r="BQ839" s="1"/>
      <c r="BR839" s="1"/>
      <c r="BS839" s="1"/>
      <c r="BT839" s="1"/>
      <c r="BU839" s="4"/>
    </row>
    <row r="840">
      <c r="AK840" s="1"/>
      <c r="AQ840" s="1"/>
      <c r="AW840" s="1"/>
      <c r="BC840" s="1"/>
      <c r="BD840" s="1"/>
      <c r="BE840" s="1"/>
      <c r="BF840" s="1"/>
      <c r="BG840" s="1"/>
      <c r="BH840" s="1"/>
      <c r="BI840" s="1"/>
      <c r="BO840" s="1"/>
      <c r="BP840" s="1"/>
      <c r="BQ840" s="1"/>
      <c r="BR840" s="1"/>
      <c r="BS840" s="1"/>
      <c r="BT840" s="1"/>
      <c r="BU840" s="4"/>
    </row>
    <row r="841">
      <c r="AK841" s="1"/>
      <c r="AQ841" s="1"/>
      <c r="AW841" s="1"/>
      <c r="BC841" s="1"/>
      <c r="BD841" s="1"/>
      <c r="BE841" s="1"/>
      <c r="BF841" s="1"/>
      <c r="BG841" s="1"/>
      <c r="BH841" s="1"/>
      <c r="BI841" s="1"/>
      <c r="BO841" s="1"/>
      <c r="BP841" s="1"/>
      <c r="BQ841" s="1"/>
      <c r="BR841" s="1"/>
      <c r="BS841" s="1"/>
      <c r="BT841" s="1"/>
      <c r="BU841" s="4"/>
    </row>
    <row r="842">
      <c r="AK842" s="1"/>
      <c r="AQ842" s="1"/>
      <c r="AW842" s="1"/>
      <c r="BC842" s="1"/>
      <c r="BD842" s="1"/>
      <c r="BE842" s="1"/>
      <c r="BF842" s="1"/>
      <c r="BG842" s="1"/>
      <c r="BH842" s="1"/>
      <c r="BI842" s="1"/>
      <c r="BO842" s="1"/>
      <c r="BP842" s="1"/>
      <c r="BQ842" s="1"/>
      <c r="BR842" s="1"/>
      <c r="BS842" s="1"/>
      <c r="BT842" s="1"/>
      <c r="BU842" s="4"/>
    </row>
    <row r="843">
      <c r="AK843" s="1"/>
      <c r="AQ843" s="1"/>
      <c r="AW843" s="1"/>
      <c r="BC843" s="1"/>
      <c r="BD843" s="1"/>
      <c r="BE843" s="1"/>
      <c r="BF843" s="1"/>
      <c r="BG843" s="1"/>
      <c r="BH843" s="1"/>
      <c r="BI843" s="1"/>
      <c r="BO843" s="1"/>
      <c r="BP843" s="1"/>
      <c r="BQ843" s="1"/>
      <c r="BR843" s="1"/>
      <c r="BS843" s="1"/>
      <c r="BT843" s="1"/>
      <c r="BU843" s="4"/>
    </row>
    <row r="844">
      <c r="AK844" s="1"/>
      <c r="AQ844" s="1"/>
      <c r="AW844" s="1"/>
      <c r="BC844" s="1"/>
      <c r="BD844" s="1"/>
      <c r="BE844" s="1"/>
      <c r="BF844" s="1"/>
      <c r="BG844" s="1"/>
      <c r="BH844" s="1"/>
      <c r="BI844" s="1"/>
      <c r="BO844" s="1"/>
      <c r="BP844" s="1"/>
      <c r="BQ844" s="1"/>
      <c r="BR844" s="1"/>
      <c r="BS844" s="1"/>
      <c r="BT844" s="1"/>
      <c r="BU844" s="4"/>
    </row>
    <row r="845">
      <c r="AK845" s="1"/>
      <c r="AQ845" s="1"/>
      <c r="AW845" s="1"/>
      <c r="BC845" s="1"/>
      <c r="BD845" s="1"/>
      <c r="BE845" s="1"/>
      <c r="BF845" s="1"/>
      <c r="BG845" s="1"/>
      <c r="BH845" s="1"/>
      <c r="BI845" s="1"/>
      <c r="BO845" s="1"/>
      <c r="BP845" s="1"/>
      <c r="BQ845" s="1"/>
      <c r="BR845" s="1"/>
      <c r="BS845" s="1"/>
      <c r="BT845" s="1"/>
      <c r="BU845" s="4"/>
    </row>
    <row r="846">
      <c r="AK846" s="1"/>
      <c r="AQ846" s="1"/>
      <c r="AW846" s="1"/>
      <c r="BC846" s="1"/>
      <c r="BD846" s="1"/>
      <c r="BE846" s="1"/>
      <c r="BF846" s="1"/>
      <c r="BG846" s="1"/>
      <c r="BH846" s="1"/>
      <c r="BI846" s="1"/>
      <c r="BO846" s="1"/>
      <c r="BP846" s="1"/>
      <c r="BQ846" s="1"/>
      <c r="BR846" s="1"/>
      <c r="BS846" s="1"/>
      <c r="BT846" s="1"/>
      <c r="BU846" s="4"/>
    </row>
    <row r="847">
      <c r="AK847" s="1"/>
      <c r="AQ847" s="1"/>
      <c r="AW847" s="1"/>
      <c r="BC847" s="1"/>
      <c r="BD847" s="1"/>
      <c r="BE847" s="1"/>
      <c r="BF847" s="1"/>
      <c r="BG847" s="1"/>
      <c r="BH847" s="1"/>
      <c r="BI847" s="1"/>
      <c r="BO847" s="1"/>
      <c r="BP847" s="1"/>
      <c r="BQ847" s="1"/>
      <c r="BR847" s="1"/>
      <c r="BS847" s="1"/>
      <c r="BT847" s="1"/>
      <c r="BU847" s="4"/>
    </row>
    <row r="848">
      <c r="AK848" s="1"/>
      <c r="AQ848" s="1"/>
      <c r="AW848" s="1"/>
      <c r="BC848" s="1"/>
      <c r="BD848" s="1"/>
      <c r="BE848" s="1"/>
      <c r="BF848" s="1"/>
      <c r="BG848" s="1"/>
      <c r="BH848" s="1"/>
      <c r="BI848" s="1"/>
      <c r="BO848" s="1"/>
      <c r="BP848" s="1"/>
      <c r="BQ848" s="1"/>
      <c r="BR848" s="1"/>
      <c r="BS848" s="1"/>
      <c r="BT848" s="1"/>
      <c r="BU848" s="4"/>
    </row>
    <row r="849">
      <c r="AK849" s="1"/>
      <c r="AQ849" s="1"/>
      <c r="AW849" s="1"/>
      <c r="BC849" s="1"/>
      <c r="BD849" s="1"/>
      <c r="BE849" s="1"/>
      <c r="BF849" s="1"/>
      <c r="BG849" s="1"/>
      <c r="BH849" s="1"/>
      <c r="BI849" s="1"/>
      <c r="BO849" s="1"/>
      <c r="BP849" s="1"/>
      <c r="BQ849" s="1"/>
      <c r="BR849" s="1"/>
      <c r="BS849" s="1"/>
      <c r="BT849" s="1"/>
      <c r="BU849" s="4"/>
    </row>
    <row r="850">
      <c r="AK850" s="1"/>
      <c r="AQ850" s="1"/>
      <c r="AW850" s="1"/>
      <c r="BC850" s="1"/>
      <c r="BD850" s="1"/>
      <c r="BE850" s="1"/>
      <c r="BF850" s="1"/>
      <c r="BG850" s="1"/>
      <c r="BH850" s="1"/>
      <c r="BI850" s="1"/>
      <c r="BO850" s="1"/>
      <c r="BP850" s="1"/>
      <c r="BQ850" s="1"/>
      <c r="BR850" s="1"/>
      <c r="BS850" s="1"/>
      <c r="BT850" s="1"/>
      <c r="BU850" s="4"/>
    </row>
    <row r="851">
      <c r="AK851" s="1"/>
      <c r="AQ851" s="1"/>
      <c r="AW851" s="1"/>
      <c r="BC851" s="1"/>
      <c r="BD851" s="1"/>
      <c r="BE851" s="1"/>
      <c r="BF851" s="1"/>
      <c r="BG851" s="1"/>
      <c r="BH851" s="1"/>
      <c r="BI851" s="1"/>
      <c r="BO851" s="1"/>
      <c r="BP851" s="1"/>
      <c r="BQ851" s="1"/>
      <c r="BR851" s="1"/>
      <c r="BS851" s="1"/>
      <c r="BT851" s="1"/>
      <c r="BU851" s="4"/>
    </row>
    <row r="852">
      <c r="AK852" s="1"/>
      <c r="AQ852" s="1"/>
      <c r="AW852" s="1"/>
      <c r="BC852" s="1"/>
      <c r="BD852" s="1"/>
      <c r="BE852" s="1"/>
      <c r="BF852" s="1"/>
      <c r="BG852" s="1"/>
      <c r="BH852" s="1"/>
      <c r="BI852" s="1"/>
      <c r="BO852" s="1"/>
      <c r="BP852" s="1"/>
      <c r="BQ852" s="1"/>
      <c r="BR852" s="1"/>
      <c r="BS852" s="1"/>
      <c r="BT852" s="1"/>
      <c r="BU852" s="4"/>
    </row>
    <row r="853">
      <c r="AK853" s="1"/>
      <c r="AQ853" s="1"/>
      <c r="AW853" s="1"/>
      <c r="BC853" s="1"/>
      <c r="BD853" s="1"/>
      <c r="BE853" s="1"/>
      <c r="BF853" s="1"/>
      <c r="BG853" s="1"/>
      <c r="BH853" s="1"/>
      <c r="BI853" s="1"/>
      <c r="BO853" s="1"/>
      <c r="BP853" s="1"/>
      <c r="BQ853" s="1"/>
      <c r="BR853" s="1"/>
      <c r="BS853" s="1"/>
      <c r="BT853" s="1"/>
      <c r="BU853" s="4"/>
    </row>
    <row r="854">
      <c r="AK854" s="1"/>
      <c r="AQ854" s="1"/>
      <c r="AW854" s="1"/>
      <c r="BC854" s="1"/>
      <c r="BD854" s="1"/>
      <c r="BE854" s="1"/>
      <c r="BF854" s="1"/>
      <c r="BG854" s="1"/>
      <c r="BH854" s="1"/>
      <c r="BI854" s="1"/>
      <c r="BO854" s="1"/>
      <c r="BP854" s="1"/>
      <c r="BQ854" s="1"/>
      <c r="BR854" s="1"/>
      <c r="BS854" s="1"/>
      <c r="BT854" s="1"/>
      <c r="BU854" s="4"/>
    </row>
    <row r="855">
      <c r="AK855" s="1"/>
      <c r="AQ855" s="1"/>
      <c r="AW855" s="1"/>
      <c r="BC855" s="1"/>
      <c r="BD855" s="1"/>
      <c r="BE855" s="1"/>
      <c r="BF855" s="1"/>
      <c r="BG855" s="1"/>
      <c r="BH855" s="1"/>
      <c r="BI855" s="1"/>
      <c r="BO855" s="1"/>
      <c r="BP855" s="1"/>
      <c r="BQ855" s="1"/>
      <c r="BR855" s="1"/>
      <c r="BS855" s="1"/>
      <c r="BT855" s="1"/>
      <c r="BU855" s="4"/>
    </row>
    <row r="856">
      <c r="AK856" s="1"/>
      <c r="AQ856" s="1"/>
      <c r="AW856" s="1"/>
      <c r="BC856" s="1"/>
      <c r="BD856" s="1"/>
      <c r="BE856" s="1"/>
      <c r="BF856" s="1"/>
      <c r="BG856" s="1"/>
      <c r="BH856" s="1"/>
      <c r="BI856" s="1"/>
      <c r="BO856" s="1"/>
      <c r="BP856" s="1"/>
      <c r="BQ856" s="1"/>
      <c r="BR856" s="1"/>
      <c r="BS856" s="1"/>
      <c r="BT856" s="1"/>
      <c r="BU856" s="4"/>
    </row>
    <row r="857">
      <c r="AK857" s="1"/>
      <c r="AQ857" s="1"/>
      <c r="AW857" s="1"/>
      <c r="BC857" s="1"/>
      <c r="BD857" s="1"/>
      <c r="BE857" s="1"/>
      <c r="BF857" s="1"/>
      <c r="BG857" s="1"/>
      <c r="BH857" s="1"/>
      <c r="BI857" s="1"/>
      <c r="BO857" s="1"/>
      <c r="BP857" s="1"/>
      <c r="BQ857" s="1"/>
      <c r="BR857" s="1"/>
      <c r="BS857" s="1"/>
      <c r="BT857" s="1"/>
      <c r="BU857" s="4"/>
    </row>
    <row r="858">
      <c r="AK858" s="1"/>
      <c r="AQ858" s="1"/>
      <c r="AW858" s="1"/>
      <c r="BC858" s="1"/>
      <c r="BD858" s="1"/>
      <c r="BE858" s="1"/>
      <c r="BF858" s="1"/>
      <c r="BG858" s="1"/>
      <c r="BH858" s="1"/>
      <c r="BI858" s="1"/>
      <c r="BO858" s="1"/>
      <c r="BP858" s="1"/>
      <c r="BQ858" s="1"/>
      <c r="BR858" s="1"/>
      <c r="BS858" s="1"/>
      <c r="BT858" s="1"/>
      <c r="BU858" s="4"/>
    </row>
    <row r="859">
      <c r="AK859" s="1"/>
      <c r="AQ859" s="1"/>
      <c r="AW859" s="1"/>
      <c r="BC859" s="1"/>
      <c r="BD859" s="1"/>
      <c r="BE859" s="1"/>
      <c r="BF859" s="1"/>
      <c r="BG859" s="1"/>
      <c r="BH859" s="1"/>
      <c r="BI859" s="1"/>
      <c r="BO859" s="1"/>
      <c r="BP859" s="1"/>
      <c r="BQ859" s="1"/>
      <c r="BR859" s="1"/>
      <c r="BS859" s="1"/>
      <c r="BT859" s="1"/>
      <c r="BU859" s="4"/>
    </row>
    <row r="860">
      <c r="AK860" s="1"/>
      <c r="AQ860" s="1"/>
      <c r="AW860" s="1"/>
      <c r="BC860" s="1"/>
      <c r="BD860" s="1"/>
      <c r="BE860" s="1"/>
      <c r="BF860" s="1"/>
      <c r="BG860" s="1"/>
      <c r="BH860" s="1"/>
      <c r="BI860" s="1"/>
      <c r="BO860" s="1"/>
      <c r="BP860" s="1"/>
      <c r="BQ860" s="1"/>
      <c r="BR860" s="1"/>
      <c r="BS860" s="1"/>
      <c r="BT860" s="1"/>
      <c r="BU860" s="4"/>
    </row>
    <row r="861">
      <c r="AK861" s="1"/>
      <c r="AQ861" s="1"/>
      <c r="AW861" s="1"/>
      <c r="BC861" s="1"/>
      <c r="BD861" s="1"/>
      <c r="BE861" s="1"/>
      <c r="BF861" s="1"/>
      <c r="BG861" s="1"/>
      <c r="BH861" s="1"/>
      <c r="BI861" s="1"/>
      <c r="BO861" s="1"/>
      <c r="BP861" s="1"/>
      <c r="BQ861" s="1"/>
      <c r="BR861" s="1"/>
      <c r="BS861" s="1"/>
      <c r="BT861" s="1"/>
      <c r="BU861" s="4"/>
    </row>
    <row r="862">
      <c r="AK862" s="1"/>
      <c r="AQ862" s="1"/>
      <c r="AW862" s="1"/>
      <c r="BC862" s="1"/>
      <c r="BD862" s="1"/>
      <c r="BE862" s="1"/>
      <c r="BF862" s="1"/>
      <c r="BG862" s="1"/>
      <c r="BH862" s="1"/>
      <c r="BI862" s="1"/>
      <c r="BO862" s="1"/>
      <c r="BP862" s="1"/>
      <c r="BQ862" s="1"/>
      <c r="BR862" s="1"/>
      <c r="BS862" s="1"/>
      <c r="BT862" s="1"/>
      <c r="BU862" s="4"/>
    </row>
    <row r="863">
      <c r="AK863" s="1"/>
      <c r="AQ863" s="1"/>
      <c r="AW863" s="1"/>
      <c r="BC863" s="1"/>
      <c r="BD863" s="1"/>
      <c r="BE863" s="1"/>
      <c r="BF863" s="1"/>
      <c r="BG863" s="1"/>
      <c r="BH863" s="1"/>
      <c r="BI863" s="1"/>
      <c r="BO863" s="1"/>
      <c r="BP863" s="1"/>
      <c r="BQ863" s="1"/>
      <c r="BR863" s="1"/>
      <c r="BS863" s="1"/>
      <c r="BT863" s="1"/>
      <c r="BU863" s="4"/>
    </row>
    <row r="864">
      <c r="AK864" s="1"/>
      <c r="AQ864" s="1"/>
      <c r="AW864" s="1"/>
      <c r="BC864" s="1"/>
      <c r="BD864" s="1"/>
      <c r="BE864" s="1"/>
      <c r="BF864" s="1"/>
      <c r="BG864" s="1"/>
      <c r="BH864" s="1"/>
      <c r="BI864" s="1"/>
      <c r="BO864" s="1"/>
      <c r="BP864" s="1"/>
      <c r="BQ864" s="1"/>
      <c r="BR864" s="1"/>
      <c r="BS864" s="1"/>
      <c r="BT864" s="1"/>
      <c r="BU864" s="4"/>
    </row>
    <row r="865">
      <c r="AK865" s="1"/>
      <c r="AQ865" s="1"/>
      <c r="AW865" s="1"/>
      <c r="BC865" s="1"/>
      <c r="BD865" s="1"/>
      <c r="BE865" s="1"/>
      <c r="BF865" s="1"/>
      <c r="BG865" s="1"/>
      <c r="BH865" s="1"/>
      <c r="BI865" s="1"/>
      <c r="BO865" s="1"/>
      <c r="BP865" s="1"/>
      <c r="BQ865" s="1"/>
      <c r="BR865" s="1"/>
      <c r="BS865" s="1"/>
      <c r="BT865" s="1"/>
      <c r="BU865" s="4"/>
    </row>
    <row r="866">
      <c r="AK866" s="1"/>
      <c r="AQ866" s="1"/>
      <c r="AW866" s="1"/>
      <c r="BC866" s="1"/>
      <c r="BD866" s="1"/>
      <c r="BE866" s="1"/>
      <c r="BF866" s="1"/>
      <c r="BG866" s="1"/>
      <c r="BH866" s="1"/>
      <c r="BI866" s="1"/>
      <c r="BO866" s="1"/>
      <c r="BP866" s="1"/>
      <c r="BQ866" s="1"/>
      <c r="BR866" s="1"/>
      <c r="BS866" s="1"/>
      <c r="BT866" s="1"/>
      <c r="BU866" s="4"/>
    </row>
    <row r="867">
      <c r="AK867" s="1"/>
      <c r="AQ867" s="1"/>
      <c r="AW867" s="1"/>
      <c r="BC867" s="1"/>
      <c r="BD867" s="1"/>
      <c r="BE867" s="1"/>
      <c r="BF867" s="1"/>
      <c r="BG867" s="1"/>
      <c r="BH867" s="1"/>
      <c r="BI867" s="1"/>
      <c r="BO867" s="1"/>
      <c r="BP867" s="1"/>
      <c r="BQ867" s="1"/>
      <c r="BR867" s="1"/>
      <c r="BS867" s="1"/>
      <c r="BT867" s="1"/>
      <c r="BU867" s="4"/>
    </row>
    <row r="868">
      <c r="AK868" s="1"/>
      <c r="AQ868" s="1"/>
      <c r="AW868" s="1"/>
      <c r="BC868" s="1"/>
      <c r="BD868" s="1"/>
      <c r="BE868" s="1"/>
      <c r="BF868" s="1"/>
      <c r="BG868" s="1"/>
      <c r="BH868" s="1"/>
      <c r="BI868" s="1"/>
      <c r="BO868" s="1"/>
      <c r="BP868" s="1"/>
      <c r="BQ868" s="1"/>
      <c r="BR868" s="1"/>
      <c r="BS868" s="1"/>
      <c r="BT868" s="1"/>
      <c r="BU868" s="4"/>
    </row>
    <row r="869">
      <c r="AK869" s="1"/>
      <c r="AQ869" s="1"/>
      <c r="AW869" s="1"/>
      <c r="BC869" s="1"/>
      <c r="BD869" s="1"/>
      <c r="BE869" s="1"/>
      <c r="BF869" s="1"/>
      <c r="BG869" s="1"/>
      <c r="BH869" s="1"/>
      <c r="BI869" s="1"/>
      <c r="BO869" s="1"/>
      <c r="BP869" s="1"/>
      <c r="BQ869" s="1"/>
      <c r="BR869" s="1"/>
      <c r="BS869" s="1"/>
      <c r="BT869" s="1"/>
      <c r="BU869" s="4"/>
    </row>
    <row r="870">
      <c r="AK870" s="1"/>
      <c r="AQ870" s="1"/>
      <c r="AW870" s="1"/>
      <c r="BC870" s="1"/>
      <c r="BD870" s="1"/>
      <c r="BE870" s="1"/>
      <c r="BF870" s="1"/>
      <c r="BG870" s="1"/>
      <c r="BH870" s="1"/>
      <c r="BI870" s="1"/>
      <c r="BO870" s="1"/>
      <c r="BP870" s="1"/>
      <c r="BQ870" s="1"/>
      <c r="BR870" s="1"/>
      <c r="BS870" s="1"/>
      <c r="BT870" s="1"/>
      <c r="BU870" s="4"/>
    </row>
    <row r="871">
      <c r="AK871" s="1"/>
      <c r="AQ871" s="1"/>
      <c r="AW871" s="1"/>
      <c r="BC871" s="1"/>
      <c r="BD871" s="1"/>
      <c r="BE871" s="1"/>
      <c r="BF871" s="1"/>
      <c r="BG871" s="1"/>
      <c r="BH871" s="1"/>
      <c r="BI871" s="1"/>
      <c r="BO871" s="1"/>
      <c r="BP871" s="1"/>
      <c r="BQ871" s="1"/>
      <c r="BR871" s="1"/>
      <c r="BS871" s="1"/>
      <c r="BT871" s="1"/>
      <c r="BU871" s="4"/>
    </row>
    <row r="872">
      <c r="AK872" s="1"/>
      <c r="AQ872" s="1"/>
      <c r="AW872" s="1"/>
      <c r="BC872" s="1"/>
      <c r="BD872" s="1"/>
      <c r="BE872" s="1"/>
      <c r="BF872" s="1"/>
      <c r="BG872" s="1"/>
      <c r="BH872" s="1"/>
      <c r="BI872" s="1"/>
      <c r="BO872" s="1"/>
      <c r="BP872" s="1"/>
      <c r="BQ872" s="1"/>
      <c r="BR872" s="1"/>
      <c r="BS872" s="1"/>
      <c r="BT872" s="1"/>
      <c r="BU872" s="4"/>
    </row>
    <row r="873">
      <c r="AK873" s="1"/>
      <c r="AQ873" s="1"/>
      <c r="AW873" s="1"/>
      <c r="BC873" s="1"/>
      <c r="BD873" s="1"/>
      <c r="BE873" s="1"/>
      <c r="BF873" s="1"/>
      <c r="BG873" s="1"/>
      <c r="BH873" s="1"/>
      <c r="BI873" s="1"/>
      <c r="BO873" s="1"/>
      <c r="BP873" s="1"/>
      <c r="BQ873" s="1"/>
      <c r="BR873" s="1"/>
      <c r="BS873" s="1"/>
      <c r="BT873" s="1"/>
      <c r="BU873" s="4"/>
    </row>
    <row r="874">
      <c r="AK874" s="1"/>
      <c r="AQ874" s="1"/>
      <c r="AW874" s="1"/>
      <c r="BC874" s="1"/>
      <c r="BD874" s="1"/>
      <c r="BE874" s="1"/>
      <c r="BF874" s="1"/>
      <c r="BG874" s="1"/>
      <c r="BH874" s="1"/>
      <c r="BI874" s="1"/>
      <c r="BO874" s="1"/>
      <c r="BP874" s="1"/>
      <c r="BQ874" s="1"/>
      <c r="BR874" s="1"/>
      <c r="BS874" s="1"/>
      <c r="BT874" s="1"/>
      <c r="BU874" s="4"/>
    </row>
    <row r="875">
      <c r="AK875" s="1"/>
      <c r="AQ875" s="1"/>
      <c r="AW875" s="1"/>
      <c r="BC875" s="1"/>
      <c r="BD875" s="1"/>
      <c r="BE875" s="1"/>
      <c r="BF875" s="1"/>
      <c r="BG875" s="1"/>
      <c r="BH875" s="1"/>
      <c r="BI875" s="1"/>
      <c r="BO875" s="1"/>
      <c r="BP875" s="1"/>
      <c r="BQ875" s="1"/>
      <c r="BR875" s="1"/>
      <c r="BS875" s="1"/>
      <c r="BT875" s="1"/>
      <c r="BU875" s="4"/>
    </row>
    <row r="876">
      <c r="AK876" s="1"/>
      <c r="AQ876" s="1"/>
      <c r="AW876" s="1"/>
      <c r="BC876" s="1"/>
      <c r="BD876" s="1"/>
      <c r="BE876" s="1"/>
      <c r="BF876" s="1"/>
      <c r="BG876" s="1"/>
      <c r="BH876" s="1"/>
      <c r="BI876" s="1"/>
      <c r="BO876" s="1"/>
      <c r="BP876" s="1"/>
      <c r="BQ876" s="1"/>
      <c r="BR876" s="1"/>
      <c r="BS876" s="1"/>
      <c r="BT876" s="1"/>
      <c r="BU876" s="4"/>
    </row>
    <row r="877">
      <c r="AK877" s="1"/>
      <c r="AQ877" s="1"/>
      <c r="AW877" s="1"/>
      <c r="BC877" s="1"/>
      <c r="BD877" s="1"/>
      <c r="BE877" s="1"/>
      <c r="BF877" s="1"/>
      <c r="BG877" s="1"/>
      <c r="BH877" s="1"/>
      <c r="BI877" s="1"/>
      <c r="BO877" s="1"/>
      <c r="BP877" s="1"/>
      <c r="BQ877" s="1"/>
      <c r="BR877" s="1"/>
      <c r="BS877" s="1"/>
      <c r="BT877" s="1"/>
      <c r="BU877" s="4"/>
    </row>
    <row r="878">
      <c r="AK878" s="1"/>
      <c r="AQ878" s="1"/>
      <c r="AW878" s="1"/>
      <c r="BC878" s="1"/>
      <c r="BD878" s="1"/>
      <c r="BE878" s="1"/>
      <c r="BF878" s="1"/>
      <c r="BG878" s="1"/>
      <c r="BH878" s="1"/>
      <c r="BI878" s="1"/>
      <c r="BO878" s="1"/>
      <c r="BP878" s="1"/>
      <c r="BQ878" s="1"/>
      <c r="BR878" s="1"/>
      <c r="BS878" s="1"/>
      <c r="BT878" s="1"/>
      <c r="BU878" s="4"/>
    </row>
    <row r="879">
      <c r="AK879" s="1"/>
      <c r="AQ879" s="1"/>
      <c r="AW879" s="1"/>
      <c r="BC879" s="1"/>
      <c r="BD879" s="1"/>
      <c r="BE879" s="1"/>
      <c r="BF879" s="1"/>
      <c r="BG879" s="1"/>
      <c r="BH879" s="1"/>
      <c r="BI879" s="1"/>
      <c r="BO879" s="1"/>
      <c r="BP879" s="1"/>
      <c r="BQ879" s="1"/>
      <c r="BR879" s="1"/>
      <c r="BS879" s="1"/>
      <c r="BT879" s="1"/>
      <c r="BU879" s="4"/>
    </row>
    <row r="880">
      <c r="AK880" s="1"/>
      <c r="AQ880" s="1"/>
      <c r="AW880" s="1"/>
      <c r="BC880" s="1"/>
      <c r="BD880" s="1"/>
      <c r="BE880" s="1"/>
      <c r="BF880" s="1"/>
      <c r="BG880" s="1"/>
      <c r="BH880" s="1"/>
      <c r="BI880" s="1"/>
      <c r="BO880" s="1"/>
      <c r="BP880" s="1"/>
      <c r="BQ880" s="1"/>
      <c r="BR880" s="1"/>
      <c r="BS880" s="1"/>
      <c r="BT880" s="1"/>
      <c r="BU880" s="4"/>
    </row>
    <row r="881">
      <c r="AK881" s="1"/>
      <c r="AQ881" s="1"/>
      <c r="AW881" s="1"/>
      <c r="BC881" s="1"/>
      <c r="BD881" s="1"/>
      <c r="BE881" s="1"/>
      <c r="BF881" s="1"/>
      <c r="BG881" s="1"/>
      <c r="BH881" s="1"/>
      <c r="BI881" s="1"/>
      <c r="BO881" s="1"/>
      <c r="BP881" s="1"/>
      <c r="BQ881" s="1"/>
      <c r="BR881" s="1"/>
      <c r="BS881" s="1"/>
      <c r="BT881" s="1"/>
      <c r="BU881" s="4"/>
    </row>
    <row r="882">
      <c r="AK882" s="1"/>
      <c r="AQ882" s="1"/>
      <c r="AW882" s="1"/>
      <c r="BC882" s="1"/>
      <c r="BD882" s="1"/>
      <c r="BE882" s="1"/>
      <c r="BF882" s="1"/>
      <c r="BG882" s="1"/>
      <c r="BH882" s="1"/>
      <c r="BI882" s="1"/>
      <c r="BO882" s="1"/>
      <c r="BP882" s="1"/>
      <c r="BQ882" s="1"/>
      <c r="BR882" s="1"/>
      <c r="BS882" s="1"/>
      <c r="BT882" s="1"/>
      <c r="BU882" s="4"/>
    </row>
    <row r="883">
      <c r="AK883" s="1"/>
      <c r="AQ883" s="1"/>
      <c r="AW883" s="1"/>
      <c r="BC883" s="1"/>
      <c r="BD883" s="1"/>
      <c r="BE883" s="1"/>
      <c r="BF883" s="1"/>
      <c r="BG883" s="1"/>
      <c r="BH883" s="1"/>
      <c r="BI883" s="1"/>
      <c r="BO883" s="1"/>
      <c r="BP883" s="1"/>
      <c r="BQ883" s="1"/>
      <c r="BR883" s="1"/>
      <c r="BS883" s="1"/>
      <c r="BT883" s="1"/>
      <c r="BU883" s="4"/>
    </row>
    <row r="884">
      <c r="AK884" s="1"/>
      <c r="AQ884" s="1"/>
      <c r="AW884" s="1"/>
      <c r="BC884" s="1"/>
      <c r="BD884" s="1"/>
      <c r="BE884" s="1"/>
      <c r="BF884" s="1"/>
      <c r="BG884" s="1"/>
      <c r="BH884" s="1"/>
      <c r="BI884" s="1"/>
      <c r="BO884" s="1"/>
      <c r="BP884" s="1"/>
      <c r="BQ884" s="1"/>
      <c r="BR884" s="1"/>
      <c r="BS884" s="1"/>
      <c r="BT884" s="1"/>
      <c r="BU884" s="4"/>
    </row>
    <row r="885">
      <c r="AK885" s="1"/>
      <c r="AQ885" s="1"/>
      <c r="AW885" s="1"/>
      <c r="BC885" s="1"/>
      <c r="BD885" s="1"/>
      <c r="BE885" s="1"/>
      <c r="BF885" s="1"/>
      <c r="BG885" s="1"/>
      <c r="BH885" s="1"/>
      <c r="BI885" s="1"/>
      <c r="BO885" s="1"/>
      <c r="BP885" s="1"/>
      <c r="BQ885" s="1"/>
      <c r="BR885" s="1"/>
      <c r="BS885" s="1"/>
      <c r="BT885" s="1"/>
      <c r="BU885" s="4"/>
    </row>
    <row r="886">
      <c r="AK886" s="1"/>
      <c r="AQ886" s="1"/>
      <c r="AW886" s="1"/>
      <c r="BC886" s="1"/>
      <c r="BD886" s="1"/>
      <c r="BE886" s="1"/>
      <c r="BF886" s="1"/>
      <c r="BG886" s="1"/>
      <c r="BH886" s="1"/>
      <c r="BI886" s="1"/>
      <c r="BO886" s="1"/>
      <c r="BP886" s="1"/>
      <c r="BQ886" s="1"/>
      <c r="BR886" s="1"/>
      <c r="BS886" s="1"/>
      <c r="BT886" s="1"/>
      <c r="BU886" s="4"/>
    </row>
    <row r="887">
      <c r="AK887" s="1"/>
      <c r="AQ887" s="1"/>
      <c r="AW887" s="1"/>
      <c r="BC887" s="1"/>
      <c r="BD887" s="1"/>
      <c r="BE887" s="1"/>
      <c r="BF887" s="1"/>
      <c r="BG887" s="1"/>
      <c r="BH887" s="1"/>
      <c r="BI887" s="1"/>
      <c r="BO887" s="1"/>
      <c r="BP887" s="1"/>
      <c r="BQ887" s="1"/>
      <c r="BR887" s="1"/>
      <c r="BS887" s="1"/>
      <c r="BT887" s="1"/>
      <c r="BU887" s="4"/>
    </row>
    <row r="888">
      <c r="AK888" s="1"/>
      <c r="AQ888" s="1"/>
      <c r="AW888" s="1"/>
      <c r="BC888" s="1"/>
      <c r="BD888" s="1"/>
      <c r="BE888" s="1"/>
      <c r="BF888" s="1"/>
      <c r="BG888" s="1"/>
      <c r="BH888" s="1"/>
      <c r="BI888" s="1"/>
      <c r="BO888" s="1"/>
      <c r="BP888" s="1"/>
      <c r="BQ888" s="1"/>
      <c r="BR888" s="1"/>
      <c r="BS888" s="1"/>
      <c r="BT888" s="1"/>
      <c r="BU888" s="4"/>
    </row>
    <row r="889">
      <c r="AK889" s="1"/>
      <c r="AQ889" s="1"/>
      <c r="AW889" s="1"/>
      <c r="BC889" s="1"/>
      <c r="BD889" s="1"/>
      <c r="BE889" s="1"/>
      <c r="BF889" s="1"/>
      <c r="BG889" s="1"/>
      <c r="BH889" s="1"/>
      <c r="BI889" s="1"/>
      <c r="BO889" s="1"/>
      <c r="BP889" s="1"/>
      <c r="BQ889" s="1"/>
      <c r="BR889" s="1"/>
      <c r="BS889" s="1"/>
      <c r="BT889" s="1"/>
      <c r="BU889" s="4"/>
    </row>
    <row r="890">
      <c r="AK890" s="1"/>
      <c r="AQ890" s="1"/>
      <c r="AW890" s="1"/>
      <c r="BC890" s="1"/>
      <c r="BD890" s="1"/>
      <c r="BE890" s="1"/>
      <c r="BF890" s="1"/>
      <c r="BG890" s="1"/>
      <c r="BH890" s="1"/>
      <c r="BI890" s="1"/>
      <c r="BO890" s="1"/>
      <c r="BP890" s="1"/>
      <c r="BQ890" s="1"/>
      <c r="BR890" s="1"/>
      <c r="BS890" s="1"/>
      <c r="BT890" s="1"/>
      <c r="BU890" s="4"/>
    </row>
    <row r="891">
      <c r="AK891" s="1"/>
      <c r="AQ891" s="1"/>
      <c r="AW891" s="1"/>
      <c r="BC891" s="1"/>
      <c r="BD891" s="1"/>
      <c r="BE891" s="1"/>
      <c r="BF891" s="1"/>
      <c r="BG891" s="1"/>
      <c r="BH891" s="1"/>
      <c r="BI891" s="1"/>
      <c r="BO891" s="1"/>
      <c r="BP891" s="1"/>
      <c r="BQ891" s="1"/>
      <c r="BR891" s="1"/>
      <c r="BS891" s="1"/>
      <c r="BT891" s="1"/>
      <c r="BU891" s="4"/>
    </row>
    <row r="892">
      <c r="AK892" s="1"/>
      <c r="AQ892" s="1"/>
      <c r="AW892" s="1"/>
      <c r="BC892" s="1"/>
      <c r="BD892" s="1"/>
      <c r="BE892" s="1"/>
      <c r="BF892" s="1"/>
      <c r="BG892" s="1"/>
      <c r="BH892" s="1"/>
      <c r="BI892" s="1"/>
      <c r="BO892" s="1"/>
      <c r="BP892" s="1"/>
      <c r="BQ892" s="1"/>
      <c r="BR892" s="1"/>
      <c r="BS892" s="1"/>
      <c r="BT892" s="1"/>
      <c r="BU892" s="4"/>
    </row>
    <row r="893">
      <c r="AK893" s="1"/>
      <c r="AQ893" s="1"/>
      <c r="AW893" s="1"/>
      <c r="BC893" s="1"/>
      <c r="BD893" s="1"/>
      <c r="BE893" s="1"/>
      <c r="BF893" s="1"/>
      <c r="BG893" s="1"/>
      <c r="BH893" s="1"/>
      <c r="BI893" s="1"/>
      <c r="BO893" s="1"/>
      <c r="BP893" s="1"/>
      <c r="BQ893" s="1"/>
      <c r="BR893" s="1"/>
      <c r="BS893" s="1"/>
      <c r="BT893" s="1"/>
      <c r="BU893" s="4"/>
    </row>
    <row r="894">
      <c r="AK894" s="1"/>
      <c r="AQ894" s="1"/>
      <c r="AW894" s="1"/>
      <c r="BC894" s="1"/>
      <c r="BD894" s="1"/>
      <c r="BE894" s="1"/>
      <c r="BF894" s="1"/>
      <c r="BG894" s="1"/>
      <c r="BH894" s="1"/>
      <c r="BI894" s="1"/>
      <c r="BO894" s="1"/>
      <c r="BP894" s="1"/>
      <c r="BQ894" s="1"/>
      <c r="BR894" s="1"/>
      <c r="BS894" s="1"/>
      <c r="BT894" s="1"/>
      <c r="BU894" s="4"/>
    </row>
    <row r="895">
      <c r="AK895" s="1"/>
      <c r="AQ895" s="1"/>
      <c r="AW895" s="1"/>
      <c r="BC895" s="1"/>
      <c r="BD895" s="1"/>
      <c r="BE895" s="1"/>
      <c r="BF895" s="1"/>
      <c r="BG895" s="1"/>
      <c r="BH895" s="1"/>
      <c r="BI895" s="1"/>
      <c r="BO895" s="1"/>
      <c r="BP895" s="1"/>
      <c r="BQ895" s="1"/>
      <c r="BR895" s="1"/>
      <c r="BS895" s="1"/>
      <c r="BT895" s="1"/>
      <c r="BU895" s="4"/>
    </row>
    <row r="896">
      <c r="AK896" s="1"/>
      <c r="AQ896" s="1"/>
      <c r="AW896" s="1"/>
      <c r="BC896" s="1"/>
      <c r="BD896" s="1"/>
      <c r="BE896" s="1"/>
      <c r="BF896" s="1"/>
      <c r="BG896" s="1"/>
      <c r="BH896" s="1"/>
      <c r="BI896" s="1"/>
      <c r="BO896" s="1"/>
      <c r="BP896" s="1"/>
      <c r="BQ896" s="1"/>
      <c r="BR896" s="1"/>
      <c r="BS896" s="1"/>
      <c r="BT896" s="1"/>
      <c r="BU896" s="4"/>
    </row>
    <row r="897">
      <c r="AK897" s="1"/>
      <c r="AQ897" s="1"/>
      <c r="AW897" s="1"/>
      <c r="BC897" s="1"/>
      <c r="BD897" s="1"/>
      <c r="BE897" s="1"/>
      <c r="BF897" s="1"/>
      <c r="BG897" s="1"/>
      <c r="BH897" s="1"/>
      <c r="BI897" s="1"/>
      <c r="BO897" s="1"/>
      <c r="BP897" s="1"/>
      <c r="BQ897" s="1"/>
      <c r="BR897" s="1"/>
      <c r="BS897" s="1"/>
      <c r="BT897" s="1"/>
      <c r="BU897" s="4"/>
    </row>
    <row r="898">
      <c r="AK898" s="1"/>
      <c r="AQ898" s="1"/>
      <c r="AW898" s="1"/>
      <c r="BC898" s="1"/>
      <c r="BD898" s="1"/>
      <c r="BE898" s="1"/>
      <c r="BF898" s="1"/>
      <c r="BG898" s="1"/>
      <c r="BH898" s="1"/>
      <c r="BI898" s="1"/>
      <c r="BO898" s="1"/>
      <c r="BP898" s="1"/>
      <c r="BQ898" s="1"/>
      <c r="BR898" s="1"/>
      <c r="BS898" s="1"/>
      <c r="BT898" s="1"/>
      <c r="BU898" s="4"/>
    </row>
    <row r="899">
      <c r="AK899" s="1"/>
      <c r="AQ899" s="1"/>
      <c r="AW899" s="1"/>
      <c r="BC899" s="1"/>
      <c r="BD899" s="1"/>
      <c r="BE899" s="1"/>
      <c r="BF899" s="1"/>
      <c r="BG899" s="1"/>
      <c r="BH899" s="1"/>
      <c r="BI899" s="1"/>
      <c r="BO899" s="1"/>
      <c r="BP899" s="1"/>
      <c r="BQ899" s="1"/>
      <c r="BR899" s="1"/>
      <c r="BS899" s="1"/>
      <c r="BT899" s="1"/>
      <c r="BU899" s="4"/>
    </row>
    <row r="900">
      <c r="AK900" s="1"/>
      <c r="AQ900" s="1"/>
      <c r="AW900" s="1"/>
      <c r="BC900" s="1"/>
      <c r="BD900" s="1"/>
      <c r="BE900" s="1"/>
      <c r="BF900" s="1"/>
      <c r="BG900" s="1"/>
      <c r="BH900" s="1"/>
      <c r="BI900" s="1"/>
      <c r="BO900" s="1"/>
      <c r="BP900" s="1"/>
      <c r="BQ900" s="1"/>
      <c r="BR900" s="1"/>
      <c r="BS900" s="1"/>
      <c r="BT900" s="1"/>
      <c r="BU900" s="4"/>
    </row>
    <row r="901">
      <c r="AK901" s="1"/>
      <c r="AQ901" s="1"/>
      <c r="AW901" s="1"/>
      <c r="BC901" s="1"/>
      <c r="BD901" s="1"/>
      <c r="BE901" s="1"/>
      <c r="BF901" s="1"/>
      <c r="BG901" s="1"/>
      <c r="BH901" s="1"/>
      <c r="BI901" s="1"/>
      <c r="BO901" s="1"/>
      <c r="BP901" s="1"/>
      <c r="BQ901" s="1"/>
      <c r="BR901" s="1"/>
      <c r="BS901" s="1"/>
      <c r="BT901" s="1"/>
      <c r="BU901" s="4"/>
    </row>
    <row r="902">
      <c r="AK902" s="1"/>
      <c r="AQ902" s="1"/>
      <c r="AW902" s="1"/>
      <c r="BC902" s="1"/>
      <c r="BD902" s="1"/>
      <c r="BE902" s="1"/>
      <c r="BF902" s="1"/>
      <c r="BG902" s="1"/>
      <c r="BH902" s="1"/>
      <c r="BI902" s="1"/>
      <c r="BO902" s="1"/>
      <c r="BP902" s="1"/>
      <c r="BQ902" s="1"/>
      <c r="BR902" s="1"/>
      <c r="BS902" s="1"/>
      <c r="BT902" s="1"/>
      <c r="BU902" s="4"/>
    </row>
    <row r="903">
      <c r="AK903" s="1"/>
      <c r="AQ903" s="1"/>
      <c r="AW903" s="1"/>
      <c r="BC903" s="1"/>
      <c r="BD903" s="1"/>
      <c r="BE903" s="1"/>
      <c r="BF903" s="1"/>
      <c r="BG903" s="1"/>
      <c r="BH903" s="1"/>
      <c r="BI903" s="1"/>
      <c r="BO903" s="1"/>
      <c r="BP903" s="1"/>
      <c r="BQ903" s="1"/>
      <c r="BR903" s="1"/>
      <c r="BS903" s="1"/>
      <c r="BT903" s="1"/>
      <c r="BU903" s="4"/>
    </row>
    <row r="904">
      <c r="AK904" s="1"/>
      <c r="AQ904" s="1"/>
      <c r="AW904" s="1"/>
      <c r="BC904" s="1"/>
      <c r="BD904" s="1"/>
      <c r="BE904" s="1"/>
      <c r="BF904" s="1"/>
      <c r="BG904" s="1"/>
      <c r="BH904" s="1"/>
      <c r="BI904" s="1"/>
      <c r="BO904" s="1"/>
      <c r="BP904" s="1"/>
      <c r="BQ904" s="1"/>
      <c r="BR904" s="1"/>
      <c r="BS904" s="1"/>
      <c r="BT904" s="1"/>
      <c r="BU904" s="4"/>
    </row>
    <row r="905">
      <c r="AK905" s="1"/>
      <c r="AQ905" s="1"/>
      <c r="AW905" s="1"/>
      <c r="BC905" s="1"/>
      <c r="BD905" s="1"/>
      <c r="BE905" s="1"/>
      <c r="BF905" s="1"/>
      <c r="BG905" s="1"/>
      <c r="BH905" s="1"/>
      <c r="BI905" s="1"/>
      <c r="BO905" s="1"/>
      <c r="BP905" s="1"/>
      <c r="BQ905" s="1"/>
      <c r="BR905" s="1"/>
      <c r="BS905" s="1"/>
      <c r="BT905" s="1"/>
      <c r="BU905" s="4"/>
    </row>
    <row r="906">
      <c r="AK906" s="1"/>
      <c r="AQ906" s="1"/>
      <c r="AW906" s="1"/>
      <c r="BC906" s="1"/>
      <c r="BD906" s="1"/>
      <c r="BE906" s="1"/>
      <c r="BF906" s="1"/>
      <c r="BG906" s="1"/>
      <c r="BH906" s="1"/>
      <c r="BI906" s="1"/>
      <c r="BO906" s="1"/>
      <c r="BP906" s="1"/>
      <c r="BQ906" s="1"/>
      <c r="BR906" s="1"/>
      <c r="BS906" s="1"/>
      <c r="BT906" s="1"/>
      <c r="BU906" s="4"/>
    </row>
    <row r="907">
      <c r="AK907" s="1"/>
      <c r="AQ907" s="1"/>
      <c r="AW907" s="1"/>
      <c r="BC907" s="1"/>
      <c r="BD907" s="1"/>
      <c r="BE907" s="1"/>
      <c r="BF907" s="1"/>
      <c r="BG907" s="1"/>
      <c r="BH907" s="1"/>
      <c r="BI907" s="1"/>
      <c r="BO907" s="1"/>
      <c r="BP907" s="1"/>
      <c r="BQ907" s="1"/>
      <c r="BR907" s="1"/>
      <c r="BS907" s="1"/>
      <c r="BT907" s="1"/>
      <c r="BU907" s="4"/>
    </row>
    <row r="908">
      <c r="AK908" s="1"/>
      <c r="AQ908" s="1"/>
      <c r="AW908" s="1"/>
      <c r="BC908" s="1"/>
      <c r="BD908" s="1"/>
      <c r="BE908" s="1"/>
      <c r="BF908" s="1"/>
      <c r="BG908" s="1"/>
      <c r="BH908" s="1"/>
      <c r="BI908" s="1"/>
      <c r="BO908" s="1"/>
      <c r="BP908" s="1"/>
      <c r="BQ908" s="1"/>
      <c r="BR908" s="1"/>
      <c r="BS908" s="1"/>
      <c r="BT908" s="1"/>
      <c r="BU908" s="4"/>
    </row>
    <row r="909">
      <c r="AK909" s="1"/>
      <c r="AQ909" s="1"/>
      <c r="AW909" s="1"/>
      <c r="BC909" s="1"/>
      <c r="BD909" s="1"/>
      <c r="BE909" s="1"/>
      <c r="BF909" s="1"/>
      <c r="BG909" s="1"/>
      <c r="BH909" s="1"/>
      <c r="BI909" s="1"/>
      <c r="BO909" s="1"/>
      <c r="BP909" s="1"/>
      <c r="BQ909" s="1"/>
      <c r="BR909" s="1"/>
      <c r="BS909" s="1"/>
      <c r="BT909" s="1"/>
      <c r="BU909" s="4"/>
    </row>
    <row r="910">
      <c r="AK910" s="1"/>
      <c r="AQ910" s="1"/>
      <c r="AW910" s="1"/>
      <c r="BC910" s="1"/>
      <c r="BD910" s="1"/>
      <c r="BE910" s="1"/>
      <c r="BF910" s="1"/>
      <c r="BG910" s="1"/>
      <c r="BH910" s="1"/>
      <c r="BI910" s="1"/>
      <c r="BO910" s="1"/>
      <c r="BP910" s="1"/>
      <c r="BQ910" s="1"/>
      <c r="BR910" s="1"/>
      <c r="BS910" s="1"/>
      <c r="BT910" s="1"/>
      <c r="BU910" s="4"/>
    </row>
    <row r="911">
      <c r="AK911" s="1"/>
      <c r="AQ911" s="1"/>
      <c r="AW911" s="1"/>
      <c r="BC911" s="1"/>
      <c r="BD911" s="1"/>
      <c r="BE911" s="1"/>
      <c r="BF911" s="1"/>
      <c r="BG911" s="1"/>
      <c r="BH911" s="1"/>
      <c r="BI911" s="1"/>
      <c r="BO911" s="1"/>
      <c r="BP911" s="1"/>
      <c r="BQ911" s="1"/>
      <c r="BR911" s="1"/>
      <c r="BS911" s="1"/>
      <c r="BT911" s="1"/>
      <c r="BU911" s="4"/>
    </row>
    <row r="912">
      <c r="AK912" s="1"/>
      <c r="AQ912" s="1"/>
      <c r="AW912" s="1"/>
      <c r="BC912" s="1"/>
      <c r="BD912" s="1"/>
      <c r="BE912" s="1"/>
      <c r="BF912" s="1"/>
      <c r="BG912" s="1"/>
      <c r="BH912" s="1"/>
      <c r="BI912" s="1"/>
      <c r="BO912" s="1"/>
      <c r="BP912" s="1"/>
      <c r="BQ912" s="1"/>
      <c r="BR912" s="1"/>
      <c r="BS912" s="1"/>
      <c r="BT912" s="1"/>
      <c r="BU912" s="4"/>
    </row>
    <row r="913">
      <c r="AK913" s="1"/>
      <c r="AQ913" s="1"/>
      <c r="AW913" s="1"/>
      <c r="BC913" s="1"/>
      <c r="BD913" s="1"/>
      <c r="BE913" s="1"/>
      <c r="BF913" s="1"/>
      <c r="BG913" s="1"/>
      <c r="BH913" s="1"/>
      <c r="BI913" s="1"/>
      <c r="BO913" s="1"/>
      <c r="BP913" s="1"/>
      <c r="BQ913" s="1"/>
      <c r="BR913" s="1"/>
      <c r="BS913" s="1"/>
      <c r="BT913" s="1"/>
      <c r="BU913" s="4"/>
    </row>
    <row r="914">
      <c r="AK914" s="1"/>
      <c r="AQ914" s="1"/>
      <c r="AW914" s="1"/>
      <c r="BC914" s="1"/>
      <c r="BD914" s="1"/>
      <c r="BE914" s="1"/>
      <c r="BF914" s="1"/>
      <c r="BG914" s="1"/>
      <c r="BH914" s="1"/>
      <c r="BI914" s="1"/>
      <c r="BO914" s="1"/>
      <c r="BP914" s="1"/>
      <c r="BQ914" s="1"/>
      <c r="BR914" s="1"/>
      <c r="BS914" s="1"/>
      <c r="BT914" s="1"/>
      <c r="BU914" s="4"/>
    </row>
    <row r="915">
      <c r="AK915" s="1"/>
      <c r="AQ915" s="1"/>
      <c r="AW915" s="1"/>
      <c r="BC915" s="1"/>
      <c r="BD915" s="1"/>
      <c r="BE915" s="1"/>
      <c r="BF915" s="1"/>
      <c r="BG915" s="1"/>
      <c r="BH915" s="1"/>
      <c r="BI915" s="1"/>
      <c r="BO915" s="1"/>
      <c r="BP915" s="1"/>
      <c r="BQ915" s="1"/>
      <c r="BR915" s="1"/>
      <c r="BS915" s="1"/>
      <c r="BT915" s="1"/>
      <c r="BU915" s="4"/>
    </row>
    <row r="916">
      <c r="AK916" s="1"/>
      <c r="AQ916" s="1"/>
      <c r="AW916" s="1"/>
      <c r="BC916" s="1"/>
      <c r="BD916" s="1"/>
      <c r="BE916" s="1"/>
      <c r="BF916" s="1"/>
      <c r="BG916" s="1"/>
      <c r="BH916" s="1"/>
      <c r="BI916" s="1"/>
      <c r="BO916" s="1"/>
      <c r="BP916" s="1"/>
      <c r="BQ916" s="1"/>
      <c r="BR916" s="1"/>
      <c r="BS916" s="1"/>
      <c r="BT916" s="1"/>
      <c r="BU916" s="4"/>
    </row>
    <row r="917">
      <c r="AK917" s="1"/>
      <c r="AQ917" s="1"/>
      <c r="AW917" s="1"/>
      <c r="BC917" s="1"/>
      <c r="BD917" s="1"/>
      <c r="BE917" s="1"/>
      <c r="BF917" s="1"/>
      <c r="BG917" s="1"/>
      <c r="BH917" s="1"/>
      <c r="BI917" s="1"/>
      <c r="BO917" s="1"/>
      <c r="BP917" s="1"/>
      <c r="BQ917" s="1"/>
      <c r="BR917" s="1"/>
      <c r="BS917" s="1"/>
      <c r="BT917" s="1"/>
      <c r="BU917" s="4"/>
    </row>
    <row r="918">
      <c r="AK918" s="1"/>
      <c r="AQ918" s="1"/>
      <c r="AW918" s="1"/>
      <c r="BC918" s="1"/>
      <c r="BD918" s="1"/>
      <c r="BE918" s="1"/>
      <c r="BF918" s="1"/>
      <c r="BG918" s="1"/>
      <c r="BH918" s="1"/>
      <c r="BI918" s="1"/>
      <c r="BO918" s="1"/>
      <c r="BP918" s="1"/>
      <c r="BQ918" s="1"/>
      <c r="BR918" s="1"/>
      <c r="BS918" s="1"/>
      <c r="BT918" s="1"/>
      <c r="BU918" s="4"/>
    </row>
    <row r="919">
      <c r="AK919" s="1"/>
      <c r="AQ919" s="1"/>
      <c r="AW919" s="1"/>
      <c r="BC919" s="1"/>
      <c r="BD919" s="1"/>
      <c r="BE919" s="1"/>
      <c r="BF919" s="1"/>
      <c r="BG919" s="1"/>
      <c r="BH919" s="1"/>
      <c r="BI919" s="1"/>
      <c r="BO919" s="1"/>
      <c r="BP919" s="1"/>
      <c r="BQ919" s="1"/>
      <c r="BR919" s="1"/>
      <c r="BS919" s="1"/>
      <c r="BT919" s="1"/>
      <c r="BU919" s="4"/>
    </row>
    <row r="920">
      <c r="AK920" s="1"/>
      <c r="AQ920" s="1"/>
      <c r="AW920" s="1"/>
      <c r="BC920" s="1"/>
      <c r="BD920" s="1"/>
      <c r="BE920" s="1"/>
      <c r="BF920" s="1"/>
      <c r="BG920" s="1"/>
      <c r="BH920" s="1"/>
      <c r="BI920" s="1"/>
      <c r="BO920" s="1"/>
      <c r="BP920" s="1"/>
      <c r="BQ920" s="1"/>
      <c r="BR920" s="1"/>
      <c r="BS920" s="1"/>
      <c r="BT920" s="1"/>
      <c r="BU920" s="4"/>
    </row>
    <row r="921">
      <c r="AK921" s="1"/>
      <c r="AQ921" s="1"/>
      <c r="AW921" s="1"/>
      <c r="BC921" s="1"/>
      <c r="BD921" s="1"/>
      <c r="BE921" s="1"/>
      <c r="BF921" s="1"/>
      <c r="BG921" s="1"/>
      <c r="BH921" s="1"/>
      <c r="BI921" s="1"/>
      <c r="BO921" s="1"/>
      <c r="BP921" s="1"/>
      <c r="BQ921" s="1"/>
      <c r="BR921" s="1"/>
      <c r="BS921" s="1"/>
      <c r="BT921" s="1"/>
      <c r="BU921" s="4"/>
    </row>
    <row r="922">
      <c r="AK922" s="1"/>
      <c r="AQ922" s="1"/>
      <c r="AW922" s="1"/>
      <c r="BC922" s="1"/>
      <c r="BD922" s="1"/>
      <c r="BE922" s="1"/>
      <c r="BF922" s="1"/>
      <c r="BG922" s="1"/>
      <c r="BH922" s="1"/>
      <c r="BI922" s="1"/>
      <c r="BO922" s="1"/>
      <c r="BP922" s="1"/>
      <c r="BQ922" s="1"/>
      <c r="BR922" s="1"/>
      <c r="BS922" s="1"/>
      <c r="BT922" s="1"/>
      <c r="BU922" s="4"/>
    </row>
    <row r="923">
      <c r="AK923" s="1"/>
      <c r="AQ923" s="1"/>
      <c r="AW923" s="1"/>
      <c r="BC923" s="1"/>
      <c r="BD923" s="1"/>
      <c r="BE923" s="1"/>
      <c r="BF923" s="1"/>
      <c r="BG923" s="1"/>
      <c r="BH923" s="1"/>
      <c r="BI923" s="1"/>
      <c r="BO923" s="1"/>
      <c r="BP923" s="1"/>
      <c r="BQ923" s="1"/>
      <c r="BR923" s="1"/>
      <c r="BS923" s="1"/>
      <c r="BT923" s="1"/>
      <c r="BU923" s="4"/>
    </row>
    <row r="924">
      <c r="AK924" s="1"/>
      <c r="AQ924" s="1"/>
      <c r="AW924" s="1"/>
      <c r="BC924" s="1"/>
      <c r="BD924" s="1"/>
      <c r="BE924" s="1"/>
      <c r="BF924" s="1"/>
      <c r="BG924" s="1"/>
      <c r="BH924" s="1"/>
      <c r="BI924" s="1"/>
      <c r="BO924" s="1"/>
      <c r="BP924" s="1"/>
      <c r="BQ924" s="1"/>
      <c r="BR924" s="1"/>
      <c r="BS924" s="1"/>
      <c r="BT924" s="1"/>
      <c r="BU924" s="4"/>
    </row>
    <row r="925">
      <c r="AK925" s="1"/>
      <c r="AQ925" s="1"/>
      <c r="AW925" s="1"/>
      <c r="BC925" s="1"/>
      <c r="BD925" s="1"/>
      <c r="BE925" s="1"/>
      <c r="BF925" s="1"/>
      <c r="BG925" s="1"/>
      <c r="BH925" s="1"/>
      <c r="BI925" s="1"/>
      <c r="BO925" s="1"/>
      <c r="BP925" s="1"/>
      <c r="BQ925" s="1"/>
      <c r="BR925" s="1"/>
      <c r="BS925" s="1"/>
      <c r="BT925" s="1"/>
      <c r="BU925" s="4"/>
    </row>
    <row r="926">
      <c r="AK926" s="1"/>
      <c r="AQ926" s="1"/>
      <c r="AW926" s="1"/>
      <c r="BC926" s="1"/>
      <c r="BD926" s="1"/>
      <c r="BE926" s="1"/>
      <c r="BF926" s="1"/>
      <c r="BG926" s="1"/>
      <c r="BH926" s="1"/>
      <c r="BI926" s="1"/>
      <c r="BO926" s="1"/>
      <c r="BP926" s="1"/>
      <c r="BQ926" s="1"/>
      <c r="BR926" s="1"/>
      <c r="BS926" s="1"/>
      <c r="BT926" s="1"/>
      <c r="BU926" s="4"/>
    </row>
    <row r="927">
      <c r="AK927" s="1"/>
      <c r="AQ927" s="1"/>
      <c r="AW927" s="1"/>
      <c r="BC927" s="1"/>
      <c r="BD927" s="1"/>
      <c r="BE927" s="1"/>
      <c r="BF927" s="1"/>
      <c r="BG927" s="1"/>
      <c r="BH927" s="1"/>
      <c r="BI927" s="1"/>
      <c r="BO927" s="1"/>
      <c r="BP927" s="1"/>
      <c r="BQ927" s="1"/>
      <c r="BR927" s="1"/>
      <c r="BS927" s="1"/>
      <c r="BT927" s="1"/>
      <c r="BU927" s="4"/>
    </row>
    <row r="928">
      <c r="AK928" s="1"/>
      <c r="AQ928" s="1"/>
      <c r="AW928" s="1"/>
      <c r="BC928" s="1"/>
      <c r="BD928" s="1"/>
      <c r="BE928" s="1"/>
      <c r="BF928" s="1"/>
      <c r="BG928" s="1"/>
      <c r="BH928" s="1"/>
      <c r="BI928" s="1"/>
      <c r="BO928" s="1"/>
      <c r="BP928" s="1"/>
      <c r="BQ928" s="1"/>
      <c r="BR928" s="1"/>
      <c r="BS928" s="1"/>
      <c r="BT928" s="1"/>
      <c r="BU928" s="4"/>
    </row>
    <row r="929">
      <c r="AK929" s="1"/>
      <c r="AQ929" s="1"/>
      <c r="AW929" s="1"/>
      <c r="BC929" s="1"/>
      <c r="BD929" s="1"/>
      <c r="BE929" s="1"/>
      <c r="BF929" s="1"/>
      <c r="BG929" s="1"/>
      <c r="BH929" s="1"/>
      <c r="BI929" s="1"/>
      <c r="BO929" s="1"/>
      <c r="BP929" s="1"/>
      <c r="BQ929" s="1"/>
      <c r="BR929" s="1"/>
      <c r="BS929" s="1"/>
      <c r="BT929" s="1"/>
      <c r="BU929" s="4"/>
    </row>
    <row r="930">
      <c r="AK930" s="1"/>
      <c r="AQ930" s="1"/>
      <c r="AW930" s="1"/>
      <c r="BC930" s="1"/>
      <c r="BD930" s="1"/>
      <c r="BE930" s="1"/>
      <c r="BF930" s="1"/>
      <c r="BG930" s="1"/>
      <c r="BH930" s="1"/>
      <c r="BI930" s="1"/>
      <c r="BO930" s="1"/>
      <c r="BP930" s="1"/>
      <c r="BQ930" s="1"/>
      <c r="BR930" s="1"/>
      <c r="BS930" s="1"/>
      <c r="BT930" s="1"/>
      <c r="BU930" s="4"/>
    </row>
    <row r="931">
      <c r="AK931" s="1"/>
      <c r="AQ931" s="1"/>
      <c r="AW931" s="1"/>
      <c r="BC931" s="1"/>
      <c r="BD931" s="1"/>
      <c r="BE931" s="1"/>
      <c r="BF931" s="1"/>
      <c r="BG931" s="1"/>
      <c r="BH931" s="1"/>
      <c r="BI931" s="1"/>
      <c r="BO931" s="1"/>
      <c r="BP931" s="1"/>
      <c r="BQ931" s="1"/>
      <c r="BR931" s="1"/>
      <c r="BS931" s="1"/>
      <c r="BT931" s="1"/>
      <c r="BU931" s="4"/>
    </row>
    <row r="932">
      <c r="AK932" s="1"/>
      <c r="AQ932" s="1"/>
      <c r="AW932" s="1"/>
      <c r="BC932" s="1"/>
      <c r="BD932" s="1"/>
      <c r="BE932" s="1"/>
      <c r="BF932" s="1"/>
      <c r="BG932" s="1"/>
      <c r="BH932" s="1"/>
      <c r="BI932" s="1"/>
      <c r="BO932" s="1"/>
      <c r="BP932" s="1"/>
      <c r="BQ932" s="1"/>
      <c r="BR932" s="1"/>
      <c r="BS932" s="1"/>
      <c r="BT932" s="1"/>
      <c r="BU932" s="4"/>
    </row>
    <row r="933">
      <c r="AK933" s="1"/>
      <c r="AQ933" s="1"/>
      <c r="AW933" s="1"/>
      <c r="BC933" s="1"/>
      <c r="BD933" s="1"/>
      <c r="BE933" s="1"/>
      <c r="BF933" s="1"/>
      <c r="BG933" s="1"/>
      <c r="BH933" s="1"/>
      <c r="BI933" s="1"/>
      <c r="BO933" s="1"/>
      <c r="BP933" s="1"/>
      <c r="BQ933" s="1"/>
      <c r="BR933" s="1"/>
      <c r="BS933" s="1"/>
      <c r="BT933" s="1"/>
      <c r="BU933" s="4"/>
    </row>
    <row r="934">
      <c r="AK934" s="1"/>
      <c r="AQ934" s="1"/>
      <c r="AW934" s="1"/>
      <c r="BC934" s="1"/>
      <c r="BD934" s="1"/>
      <c r="BE934" s="1"/>
      <c r="BF934" s="1"/>
      <c r="BG934" s="1"/>
      <c r="BH934" s="1"/>
      <c r="BI934" s="1"/>
      <c r="BO934" s="1"/>
      <c r="BP934" s="1"/>
      <c r="BQ934" s="1"/>
      <c r="BR934" s="1"/>
      <c r="BS934" s="1"/>
      <c r="BT934" s="1"/>
      <c r="BU934" s="4"/>
    </row>
    <row r="935">
      <c r="AK935" s="1"/>
      <c r="AQ935" s="1"/>
      <c r="AW935" s="1"/>
      <c r="BC935" s="1"/>
      <c r="BD935" s="1"/>
      <c r="BE935" s="1"/>
      <c r="BF935" s="1"/>
      <c r="BG935" s="1"/>
      <c r="BH935" s="1"/>
      <c r="BI935" s="1"/>
      <c r="BO935" s="1"/>
      <c r="BP935" s="1"/>
      <c r="BQ935" s="1"/>
      <c r="BR935" s="1"/>
      <c r="BS935" s="1"/>
      <c r="BT935" s="1"/>
      <c r="BU935" s="4"/>
    </row>
    <row r="936">
      <c r="AK936" s="1"/>
      <c r="AQ936" s="1"/>
      <c r="AW936" s="1"/>
      <c r="BC936" s="1"/>
      <c r="BD936" s="1"/>
      <c r="BE936" s="1"/>
      <c r="BF936" s="1"/>
      <c r="BG936" s="1"/>
      <c r="BH936" s="1"/>
      <c r="BI936" s="1"/>
      <c r="BO936" s="1"/>
      <c r="BP936" s="1"/>
      <c r="BQ936" s="1"/>
      <c r="BR936" s="1"/>
      <c r="BS936" s="1"/>
      <c r="BT936" s="1"/>
      <c r="BU936" s="4"/>
    </row>
    <row r="937">
      <c r="AK937" s="1"/>
      <c r="AQ937" s="1"/>
      <c r="AW937" s="1"/>
      <c r="BC937" s="1"/>
      <c r="BD937" s="1"/>
      <c r="BE937" s="1"/>
      <c r="BF937" s="1"/>
      <c r="BG937" s="1"/>
      <c r="BH937" s="1"/>
      <c r="BI937" s="1"/>
      <c r="BO937" s="1"/>
      <c r="BP937" s="1"/>
      <c r="BQ937" s="1"/>
      <c r="BR937" s="1"/>
      <c r="BS937" s="1"/>
      <c r="BT937" s="1"/>
      <c r="BU937" s="4"/>
    </row>
    <row r="938">
      <c r="AK938" s="1"/>
      <c r="AQ938" s="1"/>
      <c r="AW938" s="1"/>
      <c r="BC938" s="1"/>
      <c r="BD938" s="1"/>
      <c r="BE938" s="1"/>
      <c r="BF938" s="1"/>
      <c r="BG938" s="1"/>
      <c r="BH938" s="1"/>
      <c r="BI938" s="1"/>
      <c r="BO938" s="1"/>
      <c r="BP938" s="1"/>
      <c r="BQ938" s="1"/>
      <c r="BR938" s="1"/>
      <c r="BS938" s="1"/>
      <c r="BT938" s="1"/>
      <c r="BU938" s="4"/>
    </row>
    <row r="939">
      <c r="AK939" s="1"/>
      <c r="AQ939" s="1"/>
      <c r="AW939" s="1"/>
      <c r="BC939" s="1"/>
      <c r="BD939" s="1"/>
      <c r="BE939" s="1"/>
      <c r="BF939" s="1"/>
      <c r="BG939" s="1"/>
      <c r="BH939" s="1"/>
      <c r="BI939" s="1"/>
      <c r="BO939" s="1"/>
      <c r="BP939" s="1"/>
      <c r="BQ939" s="1"/>
      <c r="BR939" s="1"/>
      <c r="BS939" s="1"/>
      <c r="BT939" s="1"/>
      <c r="BU939" s="4"/>
    </row>
    <row r="940">
      <c r="AK940" s="1"/>
      <c r="AQ940" s="1"/>
      <c r="AW940" s="1"/>
      <c r="BC940" s="1"/>
      <c r="BD940" s="1"/>
      <c r="BE940" s="1"/>
      <c r="BF940" s="1"/>
      <c r="BG940" s="1"/>
      <c r="BH940" s="1"/>
      <c r="BI940" s="1"/>
      <c r="BO940" s="1"/>
      <c r="BP940" s="1"/>
      <c r="BQ940" s="1"/>
      <c r="BR940" s="1"/>
      <c r="BS940" s="1"/>
      <c r="BT940" s="1"/>
      <c r="BU940" s="4"/>
    </row>
    <row r="941">
      <c r="AK941" s="1"/>
      <c r="AQ941" s="1"/>
      <c r="AW941" s="1"/>
      <c r="BC941" s="1"/>
      <c r="BD941" s="1"/>
      <c r="BE941" s="1"/>
      <c r="BF941" s="1"/>
      <c r="BG941" s="1"/>
      <c r="BH941" s="1"/>
      <c r="BI941" s="1"/>
      <c r="BO941" s="1"/>
      <c r="BP941" s="1"/>
      <c r="BQ941" s="1"/>
      <c r="BR941" s="1"/>
      <c r="BS941" s="1"/>
      <c r="BT941" s="1"/>
      <c r="BU941" s="4"/>
    </row>
    <row r="942">
      <c r="AK942" s="1"/>
      <c r="AQ942" s="1"/>
      <c r="AW942" s="1"/>
      <c r="BC942" s="1"/>
      <c r="BD942" s="1"/>
      <c r="BE942" s="1"/>
      <c r="BF942" s="1"/>
      <c r="BG942" s="1"/>
      <c r="BH942" s="1"/>
      <c r="BI942" s="1"/>
      <c r="BO942" s="1"/>
      <c r="BP942" s="1"/>
      <c r="BQ942" s="1"/>
      <c r="BR942" s="1"/>
      <c r="BS942" s="1"/>
      <c r="BT942" s="1"/>
      <c r="BU942" s="4"/>
    </row>
    <row r="943">
      <c r="AK943" s="1"/>
      <c r="AQ943" s="1"/>
      <c r="AW943" s="1"/>
      <c r="BC943" s="1"/>
      <c r="BD943" s="1"/>
      <c r="BE943" s="1"/>
      <c r="BF943" s="1"/>
      <c r="BG943" s="1"/>
      <c r="BH943" s="1"/>
      <c r="BI943" s="1"/>
      <c r="BO943" s="1"/>
      <c r="BP943" s="1"/>
      <c r="BQ943" s="1"/>
      <c r="BR943" s="1"/>
      <c r="BS943" s="1"/>
      <c r="BT943" s="1"/>
      <c r="BU943" s="4"/>
    </row>
    <row r="944">
      <c r="AK944" s="1"/>
      <c r="AQ944" s="1"/>
      <c r="AW944" s="1"/>
      <c r="BC944" s="1"/>
      <c r="BD944" s="1"/>
      <c r="BE944" s="1"/>
      <c r="BF944" s="1"/>
      <c r="BG944" s="1"/>
      <c r="BH944" s="1"/>
      <c r="BI944" s="1"/>
      <c r="BO944" s="1"/>
      <c r="BP944" s="1"/>
      <c r="BQ944" s="1"/>
      <c r="BR944" s="1"/>
      <c r="BS944" s="1"/>
      <c r="BT944" s="1"/>
      <c r="BU944" s="4"/>
    </row>
    <row r="945">
      <c r="AK945" s="1"/>
      <c r="AQ945" s="1"/>
      <c r="AW945" s="1"/>
      <c r="BC945" s="1"/>
      <c r="BD945" s="1"/>
      <c r="BE945" s="1"/>
      <c r="BF945" s="1"/>
      <c r="BG945" s="1"/>
      <c r="BH945" s="1"/>
      <c r="BI945" s="1"/>
      <c r="BO945" s="1"/>
      <c r="BP945" s="1"/>
      <c r="BQ945" s="1"/>
      <c r="BR945" s="1"/>
      <c r="BS945" s="1"/>
      <c r="BT945" s="1"/>
      <c r="BU945" s="4"/>
    </row>
    <row r="946">
      <c r="AK946" s="1"/>
      <c r="AQ946" s="1"/>
      <c r="AW946" s="1"/>
      <c r="BC946" s="1"/>
      <c r="BD946" s="1"/>
      <c r="BE946" s="1"/>
      <c r="BF946" s="1"/>
      <c r="BG946" s="1"/>
      <c r="BH946" s="1"/>
      <c r="BI946" s="1"/>
      <c r="BO946" s="1"/>
      <c r="BP946" s="1"/>
      <c r="BQ946" s="1"/>
      <c r="BR946" s="1"/>
      <c r="BS946" s="1"/>
      <c r="BT946" s="1"/>
      <c r="BU946" s="4"/>
    </row>
    <row r="947">
      <c r="AK947" s="1"/>
      <c r="AQ947" s="1"/>
      <c r="AW947" s="1"/>
      <c r="BC947" s="1"/>
      <c r="BD947" s="1"/>
      <c r="BE947" s="1"/>
      <c r="BF947" s="1"/>
      <c r="BG947" s="1"/>
      <c r="BH947" s="1"/>
      <c r="BI947" s="1"/>
      <c r="BO947" s="1"/>
      <c r="BP947" s="1"/>
      <c r="BQ947" s="1"/>
      <c r="BR947" s="1"/>
      <c r="BS947" s="1"/>
      <c r="BT947" s="1"/>
      <c r="BU947" s="4"/>
    </row>
    <row r="948">
      <c r="AK948" s="1"/>
      <c r="AQ948" s="1"/>
      <c r="AW948" s="1"/>
      <c r="BC948" s="1"/>
      <c r="BD948" s="1"/>
      <c r="BE948" s="1"/>
      <c r="BF948" s="1"/>
      <c r="BG948" s="1"/>
      <c r="BH948" s="1"/>
      <c r="BI948" s="1"/>
      <c r="BO948" s="1"/>
      <c r="BP948" s="1"/>
      <c r="BQ948" s="1"/>
      <c r="BR948" s="1"/>
      <c r="BS948" s="1"/>
      <c r="BT948" s="1"/>
      <c r="BU948" s="4"/>
    </row>
    <row r="949">
      <c r="AK949" s="1"/>
      <c r="AQ949" s="1"/>
      <c r="AW949" s="1"/>
      <c r="BC949" s="1"/>
      <c r="BD949" s="1"/>
      <c r="BE949" s="1"/>
      <c r="BF949" s="1"/>
      <c r="BG949" s="1"/>
      <c r="BH949" s="1"/>
      <c r="BI949" s="1"/>
      <c r="BO949" s="1"/>
      <c r="BP949" s="1"/>
      <c r="BQ949" s="1"/>
      <c r="BR949" s="1"/>
      <c r="BS949" s="1"/>
      <c r="BT949" s="1"/>
      <c r="BU949" s="4"/>
    </row>
    <row r="950">
      <c r="AK950" s="1"/>
      <c r="AQ950" s="1"/>
      <c r="AW950" s="1"/>
      <c r="BC950" s="1"/>
      <c r="BD950" s="1"/>
      <c r="BE950" s="1"/>
      <c r="BF950" s="1"/>
      <c r="BG950" s="1"/>
      <c r="BH950" s="1"/>
      <c r="BI950" s="1"/>
      <c r="BO950" s="1"/>
      <c r="BP950" s="1"/>
      <c r="BQ950" s="1"/>
      <c r="BR950" s="1"/>
      <c r="BS950" s="1"/>
      <c r="BT950" s="1"/>
      <c r="BU950" s="4"/>
    </row>
    <row r="951">
      <c r="AK951" s="1"/>
      <c r="AQ951" s="1"/>
      <c r="AW951" s="1"/>
      <c r="BC951" s="1"/>
      <c r="BD951" s="1"/>
      <c r="BE951" s="1"/>
      <c r="BF951" s="1"/>
      <c r="BG951" s="1"/>
      <c r="BH951" s="1"/>
      <c r="BI951" s="1"/>
      <c r="BO951" s="1"/>
      <c r="BP951" s="1"/>
      <c r="BQ951" s="1"/>
      <c r="BR951" s="1"/>
      <c r="BS951" s="1"/>
      <c r="BT951" s="1"/>
      <c r="BU951" s="4"/>
    </row>
    <row r="952">
      <c r="AK952" s="1"/>
      <c r="AQ952" s="1"/>
      <c r="AW952" s="1"/>
      <c r="BC952" s="1"/>
      <c r="BD952" s="1"/>
      <c r="BE952" s="1"/>
      <c r="BF952" s="1"/>
      <c r="BG952" s="1"/>
      <c r="BH952" s="1"/>
      <c r="BI952" s="1"/>
      <c r="BO952" s="1"/>
      <c r="BP952" s="1"/>
      <c r="BQ952" s="1"/>
      <c r="BR952" s="1"/>
      <c r="BS952" s="1"/>
      <c r="BT952" s="1"/>
      <c r="BU952" s="4"/>
    </row>
    <row r="953">
      <c r="AK953" s="1"/>
      <c r="AQ953" s="1"/>
      <c r="AW953" s="1"/>
      <c r="BC953" s="1"/>
      <c r="BD953" s="1"/>
      <c r="BE953" s="1"/>
      <c r="BF953" s="1"/>
      <c r="BG953" s="1"/>
      <c r="BH953" s="1"/>
      <c r="BI953" s="1"/>
      <c r="BO953" s="1"/>
      <c r="BP953" s="1"/>
      <c r="BQ953" s="1"/>
      <c r="BR953" s="1"/>
      <c r="BS953" s="1"/>
      <c r="BT953" s="1"/>
      <c r="BU953" s="4"/>
    </row>
    <row r="954">
      <c r="AK954" s="1"/>
      <c r="AQ954" s="1"/>
      <c r="AW954" s="1"/>
      <c r="BC954" s="1"/>
      <c r="BD954" s="1"/>
      <c r="BE954" s="1"/>
      <c r="BF954" s="1"/>
      <c r="BG954" s="1"/>
      <c r="BH954" s="1"/>
      <c r="BI954" s="1"/>
      <c r="BO954" s="1"/>
      <c r="BP954" s="1"/>
      <c r="BQ954" s="1"/>
      <c r="BR954" s="1"/>
      <c r="BS954" s="1"/>
      <c r="BT954" s="1"/>
      <c r="BU954" s="4"/>
    </row>
    <row r="955">
      <c r="AK955" s="1"/>
      <c r="AQ955" s="1"/>
      <c r="AW955" s="1"/>
      <c r="BC955" s="1"/>
      <c r="BD955" s="1"/>
      <c r="BE955" s="1"/>
      <c r="BF955" s="1"/>
      <c r="BG955" s="1"/>
      <c r="BH955" s="1"/>
      <c r="BI955" s="1"/>
      <c r="BO955" s="1"/>
      <c r="BP955" s="1"/>
      <c r="BQ955" s="1"/>
      <c r="BR955" s="1"/>
      <c r="BS955" s="1"/>
      <c r="BT955" s="1"/>
      <c r="BU955" s="4"/>
    </row>
    <row r="956">
      <c r="AK956" s="1"/>
      <c r="AQ956" s="1"/>
      <c r="AW956" s="1"/>
      <c r="BC956" s="1"/>
      <c r="BD956" s="1"/>
      <c r="BE956" s="1"/>
      <c r="BF956" s="1"/>
      <c r="BG956" s="1"/>
      <c r="BH956" s="1"/>
      <c r="BI956" s="1"/>
      <c r="BO956" s="1"/>
      <c r="BP956" s="1"/>
      <c r="BQ956" s="1"/>
      <c r="BR956" s="1"/>
      <c r="BS956" s="1"/>
      <c r="BT956" s="1"/>
      <c r="BU956" s="4"/>
    </row>
    <row r="957">
      <c r="AK957" s="1"/>
      <c r="AQ957" s="1"/>
      <c r="AW957" s="1"/>
      <c r="BC957" s="1"/>
      <c r="BD957" s="1"/>
      <c r="BE957" s="1"/>
      <c r="BF957" s="1"/>
      <c r="BG957" s="1"/>
      <c r="BH957" s="1"/>
      <c r="BI957" s="1"/>
      <c r="BO957" s="1"/>
      <c r="BP957" s="1"/>
      <c r="BQ957" s="1"/>
      <c r="BR957" s="1"/>
      <c r="BS957" s="1"/>
      <c r="BT957" s="1"/>
      <c r="BU957" s="4"/>
    </row>
    <row r="958">
      <c r="AK958" s="1"/>
      <c r="AQ958" s="1"/>
      <c r="AW958" s="1"/>
      <c r="BC958" s="1"/>
      <c r="BD958" s="1"/>
      <c r="BE958" s="1"/>
      <c r="BF958" s="1"/>
      <c r="BG958" s="1"/>
      <c r="BH958" s="1"/>
      <c r="BI958" s="1"/>
      <c r="BO958" s="1"/>
      <c r="BP958" s="1"/>
      <c r="BQ958" s="1"/>
      <c r="BR958" s="1"/>
      <c r="BS958" s="1"/>
      <c r="BT958" s="1"/>
      <c r="BU958" s="4"/>
    </row>
    <row r="959">
      <c r="AK959" s="1"/>
      <c r="AQ959" s="1"/>
      <c r="AW959" s="1"/>
      <c r="BC959" s="1"/>
      <c r="BD959" s="1"/>
      <c r="BE959" s="1"/>
      <c r="BF959" s="1"/>
      <c r="BG959" s="1"/>
      <c r="BH959" s="1"/>
      <c r="BI959" s="1"/>
      <c r="BO959" s="1"/>
      <c r="BP959" s="1"/>
      <c r="BQ959" s="1"/>
      <c r="BR959" s="1"/>
      <c r="BS959" s="1"/>
      <c r="BT959" s="1"/>
      <c r="BU959" s="4"/>
    </row>
    <row r="960">
      <c r="AK960" s="1"/>
      <c r="AQ960" s="1"/>
      <c r="AW960" s="1"/>
      <c r="BC960" s="1"/>
      <c r="BD960" s="1"/>
      <c r="BE960" s="1"/>
      <c r="BF960" s="1"/>
      <c r="BG960" s="1"/>
      <c r="BH960" s="1"/>
      <c r="BI960" s="1"/>
      <c r="BO960" s="1"/>
      <c r="BP960" s="1"/>
      <c r="BQ960" s="1"/>
      <c r="BR960" s="1"/>
      <c r="BS960" s="1"/>
      <c r="BT960" s="1"/>
      <c r="BU960" s="4"/>
    </row>
    <row r="961">
      <c r="AK961" s="1"/>
      <c r="AQ961" s="1"/>
      <c r="AW961" s="1"/>
      <c r="BC961" s="1"/>
      <c r="BD961" s="1"/>
      <c r="BE961" s="1"/>
      <c r="BF961" s="1"/>
      <c r="BG961" s="1"/>
      <c r="BH961" s="1"/>
      <c r="BI961" s="1"/>
      <c r="BO961" s="1"/>
      <c r="BP961" s="1"/>
      <c r="BQ961" s="1"/>
      <c r="BR961" s="1"/>
      <c r="BS961" s="1"/>
      <c r="BT961" s="1"/>
      <c r="BU961" s="4"/>
    </row>
    <row r="962">
      <c r="AK962" s="1"/>
      <c r="AQ962" s="1"/>
      <c r="AW962" s="1"/>
      <c r="BC962" s="1"/>
      <c r="BD962" s="1"/>
      <c r="BE962" s="1"/>
      <c r="BF962" s="1"/>
      <c r="BG962" s="1"/>
      <c r="BH962" s="1"/>
      <c r="BI962" s="1"/>
      <c r="BO962" s="1"/>
      <c r="BP962" s="1"/>
      <c r="BQ962" s="1"/>
      <c r="BR962" s="1"/>
      <c r="BS962" s="1"/>
      <c r="BT962" s="1"/>
      <c r="BU962" s="4"/>
    </row>
    <row r="963">
      <c r="AK963" s="1"/>
      <c r="AQ963" s="1"/>
      <c r="AW963" s="1"/>
      <c r="BC963" s="1"/>
      <c r="BD963" s="1"/>
      <c r="BE963" s="1"/>
      <c r="BF963" s="1"/>
      <c r="BG963" s="1"/>
      <c r="BH963" s="1"/>
      <c r="BI963" s="1"/>
      <c r="BO963" s="1"/>
      <c r="BP963" s="1"/>
      <c r="BQ963" s="1"/>
      <c r="BR963" s="1"/>
      <c r="BS963" s="1"/>
      <c r="BT963" s="1"/>
      <c r="BU963" s="4"/>
    </row>
    <row r="964">
      <c r="AK964" s="1"/>
      <c r="AQ964" s="1"/>
      <c r="AW964" s="1"/>
      <c r="BC964" s="1"/>
      <c r="BD964" s="1"/>
      <c r="BE964" s="1"/>
      <c r="BF964" s="1"/>
      <c r="BG964" s="1"/>
      <c r="BH964" s="1"/>
      <c r="BI964" s="1"/>
      <c r="BO964" s="1"/>
      <c r="BP964" s="1"/>
      <c r="BQ964" s="1"/>
      <c r="BR964" s="1"/>
      <c r="BS964" s="1"/>
      <c r="BT964" s="1"/>
      <c r="BU964" s="4"/>
    </row>
    <row r="965">
      <c r="AK965" s="1"/>
      <c r="AQ965" s="1"/>
      <c r="AW965" s="1"/>
      <c r="BC965" s="1"/>
      <c r="BD965" s="1"/>
      <c r="BE965" s="1"/>
      <c r="BF965" s="1"/>
      <c r="BG965" s="1"/>
      <c r="BH965" s="1"/>
      <c r="BI965" s="1"/>
      <c r="BO965" s="1"/>
      <c r="BP965" s="1"/>
      <c r="BQ965" s="1"/>
      <c r="BR965" s="1"/>
      <c r="BS965" s="1"/>
      <c r="BT965" s="1"/>
      <c r="BU965" s="4"/>
    </row>
    <row r="966">
      <c r="AK966" s="1"/>
      <c r="AQ966" s="1"/>
      <c r="AW966" s="1"/>
      <c r="BC966" s="1"/>
      <c r="BD966" s="1"/>
      <c r="BE966" s="1"/>
      <c r="BF966" s="1"/>
      <c r="BG966" s="1"/>
      <c r="BH966" s="1"/>
      <c r="BI966" s="1"/>
      <c r="BO966" s="1"/>
      <c r="BP966" s="1"/>
      <c r="BQ966" s="1"/>
      <c r="BR966" s="1"/>
      <c r="BS966" s="1"/>
      <c r="BT966" s="1"/>
      <c r="BU966" s="4"/>
    </row>
    <row r="967">
      <c r="AK967" s="1"/>
      <c r="AQ967" s="1"/>
      <c r="AW967" s="1"/>
      <c r="BC967" s="1"/>
      <c r="BD967" s="1"/>
      <c r="BE967" s="1"/>
      <c r="BF967" s="1"/>
      <c r="BG967" s="1"/>
      <c r="BH967" s="1"/>
      <c r="BI967" s="1"/>
      <c r="BO967" s="1"/>
      <c r="BP967" s="1"/>
      <c r="BQ967" s="1"/>
      <c r="BR967" s="1"/>
      <c r="BS967" s="1"/>
      <c r="BT967" s="1"/>
      <c r="BU967" s="4"/>
    </row>
    <row r="968">
      <c r="AK968" s="1"/>
      <c r="AQ968" s="1"/>
      <c r="AW968" s="1"/>
      <c r="BC968" s="1"/>
      <c r="BD968" s="1"/>
      <c r="BE968" s="1"/>
      <c r="BF968" s="1"/>
      <c r="BG968" s="1"/>
      <c r="BH968" s="1"/>
      <c r="BI968" s="1"/>
      <c r="BO968" s="1"/>
      <c r="BP968" s="1"/>
      <c r="BQ968" s="1"/>
      <c r="BR968" s="1"/>
      <c r="BS968" s="1"/>
      <c r="BT968" s="1"/>
      <c r="BU968" s="4"/>
    </row>
    <row r="969">
      <c r="AK969" s="1"/>
      <c r="AQ969" s="1"/>
      <c r="AW969" s="1"/>
      <c r="BC969" s="1"/>
      <c r="BD969" s="1"/>
      <c r="BE969" s="1"/>
      <c r="BF969" s="1"/>
      <c r="BG969" s="1"/>
      <c r="BH969" s="1"/>
      <c r="BI969" s="1"/>
      <c r="BO969" s="1"/>
      <c r="BP969" s="1"/>
      <c r="BQ969" s="1"/>
      <c r="BR969" s="1"/>
      <c r="BS969" s="1"/>
      <c r="BT969" s="1"/>
      <c r="BU969" s="4"/>
    </row>
    <row r="970">
      <c r="AK970" s="1"/>
      <c r="AQ970" s="1"/>
      <c r="AW970" s="1"/>
      <c r="BC970" s="1"/>
      <c r="BD970" s="1"/>
      <c r="BE970" s="1"/>
      <c r="BF970" s="1"/>
      <c r="BG970" s="1"/>
      <c r="BH970" s="1"/>
      <c r="BI970" s="1"/>
      <c r="BO970" s="1"/>
      <c r="BP970" s="1"/>
      <c r="BQ970" s="1"/>
      <c r="BR970" s="1"/>
      <c r="BS970" s="1"/>
      <c r="BT970" s="1"/>
      <c r="BU970" s="4"/>
    </row>
    <row r="971">
      <c r="AK971" s="1"/>
      <c r="AQ971" s="1"/>
      <c r="AW971" s="1"/>
      <c r="BC971" s="1"/>
      <c r="BD971" s="1"/>
      <c r="BE971" s="1"/>
      <c r="BF971" s="1"/>
      <c r="BG971" s="1"/>
      <c r="BH971" s="1"/>
      <c r="BI971" s="1"/>
      <c r="BO971" s="1"/>
      <c r="BP971" s="1"/>
      <c r="BQ971" s="1"/>
      <c r="BR971" s="1"/>
      <c r="BS971" s="1"/>
      <c r="BT971" s="1"/>
      <c r="BU971" s="4"/>
    </row>
    <row r="972">
      <c r="AK972" s="1"/>
      <c r="AQ972" s="1"/>
      <c r="AW972" s="1"/>
      <c r="BC972" s="1"/>
      <c r="BD972" s="1"/>
      <c r="BE972" s="1"/>
      <c r="BF972" s="1"/>
      <c r="BG972" s="1"/>
      <c r="BH972" s="1"/>
      <c r="BI972" s="1"/>
      <c r="BO972" s="1"/>
      <c r="BP972" s="1"/>
      <c r="BQ972" s="1"/>
      <c r="BR972" s="1"/>
      <c r="BS972" s="1"/>
      <c r="BT972" s="1"/>
      <c r="BU972" s="4"/>
    </row>
    <row r="973">
      <c r="AK973" s="1"/>
      <c r="AQ973" s="1"/>
      <c r="AW973" s="1"/>
      <c r="BC973" s="1"/>
      <c r="BD973" s="1"/>
      <c r="BE973" s="1"/>
      <c r="BF973" s="1"/>
      <c r="BG973" s="1"/>
      <c r="BH973" s="1"/>
      <c r="BI973" s="1"/>
      <c r="BO973" s="1"/>
      <c r="BP973" s="1"/>
      <c r="BQ973" s="1"/>
      <c r="BR973" s="1"/>
      <c r="BS973" s="1"/>
      <c r="BT973" s="1"/>
      <c r="BU973" s="4"/>
    </row>
    <row r="974">
      <c r="AK974" s="1"/>
      <c r="AQ974" s="1"/>
      <c r="AW974" s="1"/>
      <c r="BC974" s="1"/>
      <c r="BD974" s="1"/>
      <c r="BE974" s="1"/>
      <c r="BF974" s="1"/>
      <c r="BG974" s="1"/>
      <c r="BH974" s="1"/>
      <c r="BI974" s="1"/>
      <c r="BO974" s="1"/>
      <c r="BP974" s="1"/>
      <c r="BQ974" s="1"/>
      <c r="BR974" s="1"/>
      <c r="BS974" s="1"/>
      <c r="BT974" s="1"/>
      <c r="BU974" s="4"/>
    </row>
    <row r="975">
      <c r="AK975" s="1"/>
      <c r="AQ975" s="1"/>
      <c r="AW975" s="1"/>
      <c r="BC975" s="1"/>
      <c r="BD975" s="1"/>
      <c r="BE975" s="1"/>
      <c r="BF975" s="1"/>
      <c r="BG975" s="1"/>
      <c r="BH975" s="1"/>
      <c r="BI975" s="1"/>
      <c r="BO975" s="1"/>
      <c r="BP975" s="1"/>
      <c r="BQ975" s="1"/>
      <c r="BR975" s="1"/>
      <c r="BS975" s="1"/>
      <c r="BT975" s="1"/>
      <c r="BU975" s="4"/>
    </row>
    <row r="976">
      <c r="AK976" s="1"/>
      <c r="AQ976" s="1"/>
      <c r="AW976" s="1"/>
      <c r="BC976" s="1"/>
      <c r="BD976" s="1"/>
      <c r="BE976" s="1"/>
      <c r="BF976" s="1"/>
      <c r="BG976" s="1"/>
      <c r="BH976" s="1"/>
      <c r="BI976" s="1"/>
      <c r="BO976" s="1"/>
      <c r="BP976" s="1"/>
      <c r="BQ976" s="1"/>
      <c r="BR976" s="1"/>
      <c r="BS976" s="1"/>
      <c r="BT976" s="1"/>
      <c r="BU976" s="4"/>
    </row>
    <row r="977">
      <c r="AK977" s="1"/>
      <c r="AQ977" s="1"/>
      <c r="AW977" s="1"/>
      <c r="BC977" s="1"/>
      <c r="BD977" s="1"/>
      <c r="BE977" s="1"/>
      <c r="BF977" s="1"/>
      <c r="BG977" s="1"/>
      <c r="BH977" s="1"/>
      <c r="BI977" s="1"/>
      <c r="BO977" s="1"/>
      <c r="BP977" s="1"/>
      <c r="BQ977" s="1"/>
      <c r="BR977" s="1"/>
      <c r="BS977" s="1"/>
      <c r="BT977" s="1"/>
      <c r="BU977" s="4"/>
    </row>
    <row r="978">
      <c r="AK978" s="1"/>
      <c r="AQ978" s="1"/>
      <c r="AW978" s="1"/>
      <c r="BC978" s="1"/>
      <c r="BD978" s="1"/>
      <c r="BE978" s="1"/>
      <c r="BF978" s="1"/>
      <c r="BG978" s="1"/>
      <c r="BH978" s="1"/>
      <c r="BI978" s="1"/>
      <c r="BO978" s="1"/>
      <c r="BP978" s="1"/>
      <c r="BQ978" s="1"/>
      <c r="BR978" s="1"/>
      <c r="BS978" s="1"/>
      <c r="BT978" s="1"/>
      <c r="BU978" s="4"/>
    </row>
    <row r="979">
      <c r="AK979" s="1"/>
      <c r="AQ979" s="1"/>
      <c r="AW979" s="1"/>
      <c r="BC979" s="1"/>
      <c r="BD979" s="1"/>
      <c r="BE979" s="1"/>
      <c r="BF979" s="1"/>
      <c r="BG979" s="1"/>
      <c r="BH979" s="1"/>
      <c r="BI979" s="1"/>
      <c r="BO979" s="1"/>
      <c r="BP979" s="1"/>
      <c r="BQ979" s="1"/>
      <c r="BR979" s="1"/>
      <c r="BS979" s="1"/>
      <c r="BT979" s="1"/>
      <c r="BU979" s="4"/>
    </row>
    <row r="980">
      <c r="AK980" s="1"/>
      <c r="AQ980" s="1"/>
      <c r="AW980" s="1"/>
      <c r="BC980" s="1"/>
      <c r="BD980" s="1"/>
      <c r="BE980" s="1"/>
      <c r="BF980" s="1"/>
      <c r="BG980" s="1"/>
      <c r="BH980" s="1"/>
      <c r="BI980" s="1"/>
      <c r="BO980" s="1"/>
      <c r="BP980" s="1"/>
      <c r="BQ980" s="1"/>
      <c r="BR980" s="1"/>
      <c r="BS980" s="1"/>
      <c r="BT980" s="1"/>
      <c r="BU980" s="4"/>
    </row>
    <row r="981">
      <c r="AK981" s="1"/>
      <c r="AQ981" s="1"/>
      <c r="AW981" s="1"/>
      <c r="BC981" s="1"/>
      <c r="BD981" s="1"/>
      <c r="BE981" s="1"/>
      <c r="BF981" s="1"/>
      <c r="BG981" s="1"/>
      <c r="BH981" s="1"/>
      <c r="BI981" s="1"/>
      <c r="BO981" s="1"/>
      <c r="BP981" s="1"/>
      <c r="BQ981" s="1"/>
      <c r="BR981" s="1"/>
      <c r="BS981" s="1"/>
      <c r="BT981" s="1"/>
      <c r="BU981" s="4"/>
    </row>
    <row r="982">
      <c r="AK982" s="1"/>
      <c r="AQ982" s="1"/>
      <c r="AW982" s="1"/>
      <c r="BC982" s="1"/>
      <c r="BD982" s="1"/>
      <c r="BE982" s="1"/>
      <c r="BF982" s="1"/>
      <c r="BG982" s="1"/>
      <c r="BH982" s="1"/>
      <c r="BI982" s="1"/>
      <c r="BO982" s="1"/>
      <c r="BP982" s="1"/>
      <c r="BQ982" s="1"/>
      <c r="BR982" s="1"/>
      <c r="BS982" s="1"/>
      <c r="BT982" s="1"/>
      <c r="BU982" s="4"/>
    </row>
    <row r="983">
      <c r="AK983" s="1"/>
      <c r="AQ983" s="1"/>
      <c r="AW983" s="1"/>
      <c r="BC983" s="1"/>
      <c r="BD983" s="1"/>
      <c r="BE983" s="1"/>
      <c r="BF983" s="1"/>
      <c r="BG983" s="1"/>
      <c r="BH983" s="1"/>
      <c r="BI983" s="1"/>
      <c r="BO983" s="1"/>
      <c r="BP983" s="1"/>
      <c r="BQ983" s="1"/>
      <c r="BR983" s="1"/>
      <c r="BS983" s="1"/>
      <c r="BT983" s="1"/>
      <c r="BU983" s="4"/>
    </row>
    <row r="984">
      <c r="AK984" s="1"/>
      <c r="AQ984" s="1"/>
      <c r="AW984" s="1"/>
      <c r="BC984" s="1"/>
      <c r="BD984" s="1"/>
      <c r="BE984" s="1"/>
      <c r="BF984" s="1"/>
      <c r="BG984" s="1"/>
      <c r="BH984" s="1"/>
      <c r="BI984" s="1"/>
      <c r="BO984" s="1"/>
      <c r="BP984" s="1"/>
      <c r="BQ984" s="1"/>
      <c r="BR984" s="1"/>
      <c r="BS984" s="1"/>
      <c r="BT984" s="1"/>
      <c r="BU984" s="4"/>
    </row>
    <row r="985">
      <c r="AK985" s="1"/>
      <c r="AQ985" s="1"/>
      <c r="AW985" s="1"/>
      <c r="BC985" s="1"/>
      <c r="BD985" s="1"/>
      <c r="BE985" s="1"/>
      <c r="BF985" s="1"/>
      <c r="BG985" s="1"/>
      <c r="BH985" s="1"/>
      <c r="BI985" s="1"/>
      <c r="BO985" s="1"/>
      <c r="BP985" s="1"/>
      <c r="BQ985" s="1"/>
      <c r="BR985" s="1"/>
      <c r="BS985" s="1"/>
      <c r="BT985" s="1"/>
      <c r="BU985" s="4"/>
    </row>
    <row r="986">
      <c r="AK986" s="1"/>
      <c r="AQ986" s="1"/>
      <c r="AW986" s="1"/>
      <c r="BC986" s="1"/>
      <c r="BD986" s="1"/>
      <c r="BE986" s="1"/>
      <c r="BF986" s="1"/>
      <c r="BG986" s="1"/>
      <c r="BH986" s="1"/>
      <c r="BI986" s="1"/>
      <c r="BO986" s="1"/>
      <c r="BP986" s="1"/>
      <c r="BQ986" s="1"/>
      <c r="BR986" s="1"/>
      <c r="BS986" s="1"/>
      <c r="BT986" s="1"/>
      <c r="BU986" s="4"/>
    </row>
    <row r="987">
      <c r="AK987" s="1"/>
      <c r="AQ987" s="1"/>
      <c r="AW987" s="1"/>
      <c r="BC987" s="1"/>
      <c r="BD987" s="1"/>
      <c r="BE987" s="1"/>
      <c r="BF987" s="1"/>
      <c r="BG987" s="1"/>
      <c r="BH987" s="1"/>
      <c r="BI987" s="1"/>
      <c r="BO987" s="1"/>
      <c r="BP987" s="1"/>
      <c r="BQ987" s="1"/>
      <c r="BR987" s="1"/>
      <c r="BS987" s="1"/>
      <c r="BT987" s="1"/>
      <c r="BU987" s="4"/>
    </row>
    <row r="988">
      <c r="AK988" s="1"/>
      <c r="AQ988" s="1"/>
      <c r="AW988" s="1"/>
      <c r="BC988" s="1"/>
      <c r="BD988" s="1"/>
      <c r="BE988" s="1"/>
      <c r="BF988" s="1"/>
      <c r="BG988" s="1"/>
      <c r="BH988" s="1"/>
      <c r="BI988" s="1"/>
      <c r="BO988" s="1"/>
      <c r="BP988" s="1"/>
      <c r="BQ988" s="1"/>
      <c r="BR988" s="1"/>
      <c r="BS988" s="1"/>
      <c r="BT988" s="1"/>
      <c r="BU988" s="4"/>
    </row>
    <row r="989">
      <c r="AK989" s="1"/>
      <c r="AQ989" s="1"/>
      <c r="AW989" s="1"/>
      <c r="BC989" s="1"/>
      <c r="BD989" s="1"/>
      <c r="BE989" s="1"/>
      <c r="BF989" s="1"/>
      <c r="BG989" s="1"/>
      <c r="BH989" s="1"/>
      <c r="BI989" s="1"/>
      <c r="BO989" s="1"/>
      <c r="BP989" s="1"/>
      <c r="BQ989" s="1"/>
      <c r="BR989" s="1"/>
      <c r="BS989" s="1"/>
      <c r="BT989" s="1"/>
      <c r="BU989" s="4"/>
    </row>
    <row r="990">
      <c r="AK990" s="1"/>
      <c r="AQ990" s="1"/>
      <c r="AW990" s="1"/>
      <c r="BC990" s="1"/>
      <c r="BD990" s="1"/>
      <c r="BE990" s="1"/>
      <c r="BF990" s="1"/>
      <c r="BG990" s="1"/>
      <c r="BH990" s="1"/>
      <c r="BI990" s="1"/>
      <c r="BO990" s="1"/>
      <c r="BP990" s="1"/>
      <c r="BQ990" s="1"/>
      <c r="BR990" s="1"/>
      <c r="BS990" s="1"/>
      <c r="BT990" s="1"/>
      <c r="BU990" s="4"/>
    </row>
    <row r="991">
      <c r="AK991" s="1"/>
      <c r="AQ991" s="1"/>
      <c r="AW991" s="1"/>
      <c r="BC991" s="1"/>
      <c r="BD991" s="1"/>
      <c r="BE991" s="1"/>
      <c r="BF991" s="1"/>
      <c r="BG991" s="1"/>
      <c r="BH991" s="1"/>
      <c r="BI991" s="1"/>
      <c r="BO991" s="1"/>
      <c r="BP991" s="1"/>
      <c r="BQ991" s="1"/>
      <c r="BR991" s="1"/>
      <c r="BS991" s="1"/>
      <c r="BT991" s="1"/>
      <c r="BU991" s="4"/>
    </row>
    <row r="992">
      <c r="AK992" s="1"/>
      <c r="AQ992" s="1"/>
      <c r="AW992" s="1"/>
      <c r="BC992" s="1"/>
      <c r="BD992" s="1"/>
      <c r="BE992" s="1"/>
      <c r="BF992" s="1"/>
      <c r="BG992" s="1"/>
      <c r="BH992" s="1"/>
      <c r="BI992" s="1"/>
      <c r="BO992" s="1"/>
      <c r="BP992" s="1"/>
      <c r="BQ992" s="1"/>
      <c r="BR992" s="1"/>
      <c r="BS992" s="1"/>
      <c r="BT992" s="1"/>
      <c r="BU992" s="4"/>
    </row>
    <row r="993">
      <c r="AK993" s="1"/>
      <c r="AQ993" s="1"/>
      <c r="AW993" s="1"/>
      <c r="BC993" s="1"/>
      <c r="BD993" s="1"/>
      <c r="BE993" s="1"/>
      <c r="BF993" s="1"/>
      <c r="BG993" s="1"/>
      <c r="BH993" s="1"/>
      <c r="BI993" s="1"/>
      <c r="BO993" s="1"/>
      <c r="BP993" s="1"/>
      <c r="BQ993" s="1"/>
      <c r="BR993" s="1"/>
      <c r="BS993" s="1"/>
      <c r="BT993" s="1"/>
      <c r="BU993" s="4"/>
    </row>
    <row r="994">
      <c r="AK994" s="1"/>
      <c r="AQ994" s="1"/>
      <c r="AW994" s="1"/>
      <c r="BC994" s="1"/>
      <c r="BD994" s="1"/>
      <c r="BE994" s="1"/>
      <c r="BF994" s="1"/>
      <c r="BG994" s="1"/>
      <c r="BH994" s="1"/>
      <c r="BI994" s="1"/>
      <c r="BO994" s="1"/>
      <c r="BP994" s="1"/>
      <c r="BQ994" s="1"/>
      <c r="BR994" s="1"/>
      <c r="BS994" s="1"/>
      <c r="BT994" s="1"/>
      <c r="BU994" s="4"/>
    </row>
    <row r="995">
      <c r="AK995" s="1"/>
      <c r="AQ995" s="1"/>
      <c r="AW995" s="1"/>
      <c r="BC995" s="1"/>
      <c r="BD995" s="1"/>
      <c r="BE995" s="1"/>
      <c r="BF995" s="1"/>
      <c r="BG995" s="1"/>
      <c r="BH995" s="1"/>
      <c r="BI995" s="1"/>
      <c r="BO995" s="1"/>
      <c r="BP995" s="1"/>
      <c r="BQ995" s="1"/>
      <c r="BR995" s="1"/>
      <c r="BS995" s="1"/>
      <c r="BT995" s="1"/>
      <c r="BU995" s="4"/>
    </row>
    <row r="996">
      <c r="AK996" s="1"/>
      <c r="AQ996" s="1"/>
      <c r="AW996" s="1"/>
      <c r="BC996" s="1"/>
      <c r="BD996" s="1"/>
      <c r="BE996" s="1"/>
      <c r="BF996" s="1"/>
      <c r="BG996" s="1"/>
      <c r="BH996" s="1"/>
      <c r="BI996" s="1"/>
      <c r="BO996" s="1"/>
      <c r="BP996" s="1"/>
      <c r="BQ996" s="1"/>
      <c r="BR996" s="1"/>
      <c r="BS996" s="1"/>
      <c r="BT996" s="1"/>
      <c r="BU996" s="4"/>
    </row>
    <row r="997">
      <c r="AK997" s="1"/>
      <c r="AQ997" s="1"/>
      <c r="AW997" s="1"/>
      <c r="BC997" s="1"/>
      <c r="BD997" s="1"/>
      <c r="BE997" s="1"/>
      <c r="BF997" s="1"/>
      <c r="BG997" s="1"/>
      <c r="BH997" s="1"/>
      <c r="BI997" s="1"/>
      <c r="BO997" s="1"/>
      <c r="BP997" s="1"/>
      <c r="BQ997" s="1"/>
      <c r="BR997" s="1"/>
      <c r="BS997" s="1"/>
      <c r="BT997" s="1"/>
      <c r="BU997" s="4"/>
    </row>
    <row r="998">
      <c r="AK998" s="1"/>
      <c r="AQ998" s="1"/>
      <c r="AW998" s="1"/>
      <c r="BC998" s="1"/>
      <c r="BD998" s="1"/>
      <c r="BE998" s="1"/>
      <c r="BF998" s="1"/>
      <c r="BG998" s="1"/>
      <c r="BH998" s="1"/>
      <c r="BI998" s="1"/>
      <c r="BO998" s="1"/>
      <c r="BP998" s="1"/>
      <c r="BQ998" s="1"/>
      <c r="BR998" s="1"/>
      <c r="BS998" s="1"/>
      <c r="BT998" s="1"/>
      <c r="BU998" s="4"/>
    </row>
    <row r="999">
      <c r="AK999" s="1"/>
      <c r="AQ999" s="1"/>
      <c r="AW999" s="1"/>
      <c r="BC999" s="1"/>
      <c r="BD999" s="1"/>
      <c r="BE999" s="1"/>
      <c r="BF999" s="1"/>
      <c r="BG999" s="1"/>
      <c r="BH999" s="1"/>
      <c r="BI999" s="1"/>
      <c r="BO999" s="1"/>
      <c r="BP999" s="1"/>
      <c r="BQ999" s="1"/>
      <c r="BR999" s="1"/>
      <c r="BS999" s="1"/>
      <c r="BT999" s="1"/>
      <c r="BU999" s="4"/>
    </row>
    <row r="1000">
      <c r="AK1000" s="1"/>
      <c r="AQ1000" s="1"/>
      <c r="AW1000" s="1"/>
      <c r="BC1000" s="1"/>
      <c r="BD1000" s="1"/>
      <c r="BE1000" s="1"/>
      <c r="BF1000" s="1"/>
      <c r="BG1000" s="1"/>
      <c r="BH1000" s="1"/>
      <c r="BI1000" s="1"/>
      <c r="BO1000" s="1"/>
      <c r="BP1000" s="1"/>
      <c r="BQ1000" s="1"/>
      <c r="BR1000" s="1"/>
      <c r="BS1000" s="1"/>
      <c r="BT1000" s="1"/>
      <c r="BU1000" s="4"/>
    </row>
    <row r="1001">
      <c r="AK1001" s="1"/>
      <c r="AQ1001" s="1"/>
      <c r="AW1001" s="1"/>
      <c r="BC1001" s="1"/>
      <c r="BD1001" s="1"/>
      <c r="BE1001" s="1"/>
      <c r="BF1001" s="1"/>
      <c r="BG1001" s="1"/>
      <c r="BH1001" s="1"/>
      <c r="BI1001" s="1"/>
      <c r="BO1001" s="1"/>
      <c r="BP1001" s="1"/>
      <c r="BQ1001" s="1"/>
      <c r="BR1001" s="1"/>
      <c r="BS1001" s="1"/>
      <c r="BT1001" s="1"/>
      <c r="BU1001" s="4"/>
    </row>
    <row r="1002">
      <c r="AK1002" s="1"/>
      <c r="AQ1002" s="1"/>
      <c r="AW1002" s="1"/>
      <c r="BC1002" s="1"/>
      <c r="BD1002" s="1"/>
      <c r="BE1002" s="1"/>
      <c r="BF1002" s="1"/>
      <c r="BG1002" s="1"/>
      <c r="BH1002" s="1"/>
      <c r="BI1002" s="1"/>
      <c r="BO1002" s="1"/>
      <c r="BP1002" s="1"/>
      <c r="BQ1002" s="1"/>
      <c r="BR1002" s="1"/>
      <c r="BS1002" s="1"/>
      <c r="BT1002" s="1"/>
      <c r="BU1002" s="4"/>
    </row>
    <row r="1003">
      <c r="AK1003" s="1"/>
      <c r="AQ1003" s="1"/>
      <c r="AW1003" s="1"/>
      <c r="BC1003" s="1"/>
      <c r="BD1003" s="1"/>
      <c r="BE1003" s="1"/>
      <c r="BF1003" s="1"/>
      <c r="BG1003" s="1"/>
      <c r="BH1003" s="1"/>
      <c r="BI1003" s="1"/>
      <c r="BO1003" s="1"/>
      <c r="BP1003" s="1"/>
      <c r="BQ1003" s="1"/>
      <c r="BR1003" s="1"/>
      <c r="BS1003" s="1"/>
      <c r="BT1003" s="1"/>
      <c r="BU1003" s="4"/>
    </row>
    <row r="1004">
      <c r="AK1004" s="1"/>
      <c r="AQ1004" s="1"/>
      <c r="AW1004" s="1"/>
      <c r="BC1004" s="1"/>
      <c r="BD1004" s="1"/>
      <c r="BE1004" s="1"/>
      <c r="BF1004" s="1"/>
      <c r="BG1004" s="1"/>
      <c r="BH1004" s="1"/>
      <c r="BI1004" s="1"/>
      <c r="BO1004" s="1"/>
      <c r="BP1004" s="1"/>
      <c r="BQ1004" s="1"/>
      <c r="BR1004" s="1"/>
      <c r="BS1004" s="1"/>
      <c r="BT1004" s="1"/>
      <c r="BU1004" s="4"/>
    </row>
    <row r="1005">
      <c r="AK1005" s="1"/>
      <c r="AQ1005" s="1"/>
      <c r="AW1005" s="1"/>
      <c r="BC1005" s="1"/>
      <c r="BD1005" s="1"/>
      <c r="BE1005" s="1"/>
      <c r="BF1005" s="1"/>
      <c r="BG1005" s="1"/>
      <c r="BH1005" s="1"/>
      <c r="BI1005" s="1"/>
      <c r="BO1005" s="1"/>
      <c r="BU1005" s="4"/>
    </row>
    <row r="1006">
      <c r="AK1006" s="1"/>
      <c r="AQ1006" s="1"/>
      <c r="AW1006" s="1"/>
      <c r="BC1006" s="1"/>
      <c r="BD1006" s="1"/>
      <c r="BE1006" s="1"/>
      <c r="BF1006" s="1"/>
      <c r="BG1006" s="1"/>
      <c r="BH1006" s="1"/>
      <c r="BI1006" s="1"/>
      <c r="BO1006" s="1"/>
      <c r="BU1006" s="4"/>
    </row>
  </sheetData>
  <mergeCells count="52">
    <mergeCell ref="BG11:BH15"/>
    <mergeCell ref="BM11:BN15"/>
    <mergeCell ref="BK20:BK23"/>
    <mergeCell ref="AU11:AV15"/>
    <mergeCell ref="AS20:AS23"/>
    <mergeCell ref="Q11:R15"/>
    <mergeCell ref="W11:X15"/>
    <mergeCell ref="AC11:AD15"/>
    <mergeCell ref="AI11:AJ15"/>
    <mergeCell ref="AO11:AP15"/>
    <mergeCell ref="BA11:BB15"/>
    <mergeCell ref="U20:U23"/>
    <mergeCell ref="BE20:BE21"/>
    <mergeCell ref="AR1:AV1"/>
    <mergeCell ref="AX1:BB1"/>
    <mergeCell ref="BD1:BH1"/>
    <mergeCell ref="BJ1:BN1"/>
    <mergeCell ref="BP1:BT1"/>
    <mergeCell ref="B1:F1"/>
    <mergeCell ref="H1:L1"/>
    <mergeCell ref="N1:R1"/>
    <mergeCell ref="T1:X1"/>
    <mergeCell ref="Z1:AD1"/>
    <mergeCell ref="AF1:AJ1"/>
    <mergeCell ref="AL1:AP1"/>
    <mergeCell ref="X3:X9"/>
    <mergeCell ref="AB3:AB9"/>
    <mergeCell ref="AD3:AD9"/>
    <mergeCell ref="AH3:AH9"/>
    <mergeCell ref="AJ3:AJ9"/>
    <mergeCell ref="AN3:AN9"/>
    <mergeCell ref="AP3:AP9"/>
    <mergeCell ref="BN3:BN9"/>
    <mergeCell ref="BR3:BR9"/>
    <mergeCell ref="BT3:BT9"/>
    <mergeCell ref="BS11:BT15"/>
    <mergeCell ref="AT3:AT9"/>
    <mergeCell ref="AV3:AV9"/>
    <mergeCell ref="AZ3:AZ9"/>
    <mergeCell ref="BB3:BB9"/>
    <mergeCell ref="BF3:BF9"/>
    <mergeCell ref="BH3:BH9"/>
    <mergeCell ref="BL3:BL9"/>
    <mergeCell ref="L3:L9"/>
    <mergeCell ref="K11:L15"/>
    <mergeCell ref="D3:D9"/>
    <mergeCell ref="F3:F9"/>
    <mergeCell ref="J3:J9"/>
    <mergeCell ref="P3:P9"/>
    <mergeCell ref="R3:R9"/>
    <mergeCell ref="V3:V9"/>
    <mergeCell ref="E11:F15"/>
  </mergeCells>
  <conditionalFormatting sqref="C17:C30 I17:I30 O17:O30 U17:U30 AA17:AA30 AG17:AG30 AM17:AM30 AS17:AS30 AY17:AY30 BE17:BE30 BK17:BK30 BQ17:BQ30 AM97:AM110 AY97:AY110 BK97:BK110 AM162:AM190 AY162:AY190 BK162:BK190 AM242:AM270 AY242:AY270 BK242:BK270 AM322:AM350 AY322:AY350 BK322:BK350 AM402:AM430 AY402:AY430 BK402:BK430 AM482:AM510 AY482:AY510 BK482:BK510 AM562:AM590 AY562:AY590 BK562:BK590 AM642:AM670 AY642:AY670 BK642:BK670 AM722:AM750 AY722:AY750 BK722:BK750 AM802:AM830 AY802:AY830 BK802:BK830 AM882:AM910 AY882:AY910 BK882:BK910">
    <cfRule type="notContainsBlanks" dxfId="0" priority="1">
      <formula>LEN(TRIM(C17))&gt;0</formula>
    </cfRule>
  </conditionalFormatting>
  <conditionalFormatting sqref="C17:C30 I17:I30 O17:O30 U17:U30 AA17:AA30 AG17:AG31 AM17:AM31 AS17:AS31 AY17:AY31 BE17:BE31 BK17:BK30 BQ17:BQ31">
    <cfRule type="containsBlanks" dxfId="1" priority="2">
      <formula>LEN(TRIM(C17))=0</formula>
    </cfRule>
  </conditionalFormatting>
  <conditionalFormatting sqref="D11:D15 J11:J15 P11:P15 V11:V15 AB11:AB15 AH11:AH15 AN11:AN15 AT11:AT15 AZ11:AZ15 BF11:BF15 BL11:BL15 BR11:BR15 D17:D31 J17:J31 P17:P31 V17:V31 AB17:AB31 AH17:AH31 AN17:AN111 AT17:AT31 AZ17:AZ111 BF17:BF32 BL17:BL111 BR17:BR31 AT108:AT115 AH109:AH115 J110:J115 V110:V115 AN171:AN175 AZ171:AZ175 BL171:BL175 AN177:AN191 AZ177:AZ191 BL177:BL191 AN251:AN255 AZ251:AZ255 BL251:BL255 AN257:AN271 AZ257:AZ271 BL257:BL271 AN331:AN335 AZ331:AZ335 BL331:BL335 AN337:AN351 AZ337:AZ351 BL337:BL351 AN411:AN415 AZ411:AZ415 BL411:BL415 AN417:AN431 AZ417:AZ431 BL417:BL431 AN491:AN495 AZ491:AZ495 BL491:BL495 AN497:AN511 AZ497:AZ511 BL497:BL511 AN571:AN575 AZ571:AZ575 BL571:BL575 AN577:AN591 AZ577:AZ591 BL577:BL591 AN651:AN655 AZ651:AZ655 BL651:BL655 AN657:AN671 AZ657:AZ671 BL657:BL671 AN731:AN735 AZ731:AZ735 BL731:BL735 AN737:AN751 AZ737:AZ751 BL737:BL751 AN811:AN815 AZ811:AZ815 BL811:BL815 AN817:AN831 AZ817:AZ831 BL817:BL831 AN891:AN895 AZ891:AZ895 BL891:BL895 AN897:AN911 AZ897:AZ911 BL897:BL911">
    <cfRule type="cellIs" dxfId="2" priority="3" operator="greaterThan">
      <formula>"6 + DAY(TODAY())"</formula>
    </cfRule>
  </conditionalFormatting>
  <conditionalFormatting sqref="B17:D88 E17:E19 F17:F88 H17:J116 L17:L116 N17:P80 R17:R80 T17:V116 X17:X116 Z17:AB89 AD17:AD89 AF17:AH116 AJ17:AJ116 AL17:AN1006 AP17:AP1006 AR17:AT116 AV17:AV116 AX17:AZ1006 BB17:BB1006 BD17:BF129 BH17:BH129 BJ17:BL1006 BN17:BN1006 BP17:BR129 BT17:BT129 E21 AI21 AU21 BG21 BS21 E23:E24 E64:E67 E69 E71">
    <cfRule type="cellIs" dxfId="3" priority="4" operator="equal">
      <formula>"WALKER"</formula>
    </cfRule>
  </conditionalFormatting>
  <conditionalFormatting sqref="C5 I5 O5 U5 AA5 AG5 AM5 AS5 AY5 BE5 BK5 BQ5 AM85 AY85 BK85 AS102 AG103 I104 U104 AM150 AY150 BK150 AM230 AY230 BK230 AM310 AY310 BK310 AM390 AY390 BK390 AM470 AY470 BK470 AM550 AY550 BK550 AM630 AY630 BK630 AM710 AY710 BK710 AM790 AY790 BK790 AM870 AY870 BK870">
    <cfRule type="cellIs" dxfId="4" priority="5" operator="lessThan">
      <formula>0</formula>
    </cfRule>
  </conditionalFormatting>
  <conditionalFormatting sqref="B17:D88 E17:E19 F17:F88 H17:J116 L17:L116 N17:P80 R17:R80 T17:V116 X17:X116 Z17:AB89 AD17:AD89 AF17:AH116 AJ17:AJ116 AL17:AN1006 AP17:AP1006 AR17:AT116 AV17:AV116 AX17:AZ1006 BB17:BB1006 BD17:BF129 BH17:BH129 BJ17:BL1006 BN17:BN1006 BP17:BR129 BT17:BT129 E21 E23:E24 E64:E67 E69 E71">
    <cfRule type="cellIs" dxfId="5" priority="6" operator="equal">
      <formula>"DEA"</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1.63"/>
    <col customWidth="1" min="3" max="3" width="10.25"/>
    <col customWidth="1" min="4" max="4" width="5.13"/>
    <col customWidth="1" min="5" max="5" width="14.13"/>
    <col customWidth="1" min="6" max="6" width="10.25"/>
    <col customWidth="1" min="7" max="7" width="6.5"/>
    <col customWidth="1" min="8" max="8" width="21.0"/>
    <col customWidth="1" min="9" max="9" width="10.25"/>
    <col customWidth="1" min="10" max="10" width="5.13"/>
    <col customWidth="1" min="11" max="11" width="14.13"/>
    <col customWidth="1" min="12" max="12" width="10.25"/>
    <col customWidth="1" min="13" max="13" width="6.5"/>
    <col customWidth="1" min="14" max="14" width="21.63"/>
    <col customWidth="1" min="15" max="15" width="10.25"/>
    <col customWidth="1" min="16" max="16" width="11.75"/>
    <col customWidth="1" min="17" max="17" width="14.13"/>
    <col customWidth="1" min="18" max="18" width="10.25"/>
    <col customWidth="1" min="19" max="19" width="6.5"/>
    <col customWidth="1" min="20" max="20" width="21.0"/>
    <col customWidth="1" min="21" max="21" width="10.25"/>
    <col customWidth="1" min="22" max="22" width="5.13"/>
    <col customWidth="1" min="23" max="23" width="14.13"/>
    <col customWidth="1" min="24" max="24" width="10.25"/>
    <col customWidth="1" min="25" max="25" width="6.5"/>
    <col customWidth="1" min="26" max="26" width="21.63"/>
    <col customWidth="1" min="27" max="27" width="10.25"/>
    <col customWidth="1" min="28" max="28" width="4.63"/>
    <col customWidth="1" min="29" max="29" width="14.13"/>
    <col customWidth="1" min="30" max="30" width="10.25"/>
    <col customWidth="1" min="31" max="31" width="6.5"/>
    <col customWidth="1" min="32" max="32" width="21.0"/>
    <col customWidth="1" min="33" max="33" width="10.25"/>
    <col customWidth="1" min="34" max="34" width="5.13"/>
    <col customWidth="1" min="35" max="35" width="14.13"/>
    <col customWidth="1" min="36" max="36" width="10.25"/>
    <col customWidth="1" min="37" max="37" width="6.5"/>
    <col customWidth="1" min="38" max="38" width="21.63"/>
    <col customWidth="1" min="39" max="39" width="10.25"/>
    <col customWidth="1" min="40" max="40" width="4.63"/>
    <col customWidth="1" min="41" max="41" width="14.13"/>
    <col customWidth="1" min="42" max="42" width="10.25"/>
    <col customWidth="1" min="43" max="43" width="6.5"/>
    <col customWidth="1" min="44" max="44" width="21.0"/>
    <col customWidth="1" min="45" max="45" width="10.25"/>
    <col customWidth="1" min="46" max="46" width="5.13"/>
    <col customWidth="1" min="47" max="47" width="14.13"/>
    <col customWidth="1" min="48" max="48" width="10.25"/>
    <col customWidth="1" min="49" max="49" width="6.5"/>
    <col customWidth="1" min="50" max="50" width="21.63"/>
    <col customWidth="1" min="51" max="51" width="10.25"/>
    <col customWidth="1" min="52" max="52" width="4.63"/>
    <col customWidth="1" min="53" max="53" width="14.13"/>
    <col customWidth="1" min="54" max="54" width="10.25"/>
    <col customWidth="1" min="55" max="55" width="6.5"/>
    <col customWidth="1" min="56" max="56" width="21.0"/>
    <col customWidth="1" min="57" max="57" width="10.25"/>
    <col customWidth="1" min="58" max="58" width="5.13"/>
    <col customWidth="1" min="59" max="59" width="14.13"/>
    <col customWidth="1" min="60" max="60" width="10.25"/>
    <col customWidth="1" min="61" max="61" width="6.5"/>
    <col customWidth="1" min="62" max="62" width="21.63"/>
    <col customWidth="1" min="63" max="63" width="10.25"/>
    <col customWidth="1" min="64" max="64" width="4.63"/>
    <col customWidth="1" min="65" max="65" width="14.13"/>
    <col customWidth="1" min="66" max="66" width="10.25"/>
    <col customWidth="1" min="67" max="67" width="6.5"/>
    <col customWidth="1" min="68" max="68" width="21.0"/>
    <col customWidth="1" min="69" max="69" width="10.25"/>
    <col customWidth="1" min="70" max="70" width="5.13"/>
    <col customWidth="1" min="71" max="71" width="14.13"/>
    <col customWidth="1" min="72" max="72" width="10.25"/>
    <col customWidth="1" min="73" max="73" width="6.5"/>
  </cols>
  <sheetData>
    <row r="1">
      <c r="A1" s="1"/>
      <c r="B1" s="2" t="s">
        <v>0</v>
      </c>
      <c r="G1" s="1"/>
      <c r="H1" s="3" t="s">
        <v>1</v>
      </c>
      <c r="M1" s="1"/>
      <c r="N1" s="2" t="s">
        <v>2</v>
      </c>
      <c r="S1" s="1"/>
      <c r="T1" s="3" t="s">
        <v>3</v>
      </c>
      <c r="Y1" s="1"/>
      <c r="Z1" s="2" t="s">
        <v>4</v>
      </c>
      <c r="AE1" s="1"/>
      <c r="AF1" s="3" t="s">
        <v>5</v>
      </c>
      <c r="AK1" s="1"/>
      <c r="AL1" s="2" t="s">
        <v>6</v>
      </c>
      <c r="AQ1" s="1"/>
      <c r="AR1" s="3" t="s">
        <v>7</v>
      </c>
      <c r="AW1" s="1"/>
      <c r="AX1" s="2" t="s">
        <v>8</v>
      </c>
      <c r="BC1" s="1"/>
      <c r="BD1" s="3" t="s">
        <v>9</v>
      </c>
      <c r="BI1" s="1"/>
      <c r="BJ1" s="2" t="s">
        <v>10</v>
      </c>
      <c r="BO1" s="1"/>
      <c r="BP1" s="3" t="s">
        <v>11</v>
      </c>
      <c r="BU1" s="4"/>
    </row>
    <row r="2">
      <c r="A2" s="1"/>
      <c r="B2" s="2"/>
      <c r="C2" s="2" t="s">
        <v>12</v>
      </c>
      <c r="D2" s="5" t="s">
        <v>13</v>
      </c>
      <c r="E2" s="2" t="s">
        <v>14</v>
      </c>
      <c r="F2" s="2" t="s">
        <v>412</v>
      </c>
      <c r="G2" s="1"/>
      <c r="H2" s="3"/>
      <c r="I2" s="3" t="s">
        <v>12</v>
      </c>
      <c r="J2" s="7" t="s">
        <v>13</v>
      </c>
      <c r="K2" s="3" t="s">
        <v>14</v>
      </c>
      <c r="L2" s="3" t="s">
        <v>412</v>
      </c>
      <c r="M2" s="1"/>
      <c r="N2" s="2"/>
      <c r="O2" s="2" t="s">
        <v>12</v>
      </c>
      <c r="P2" s="5" t="s">
        <v>13</v>
      </c>
      <c r="Q2" s="2" t="s">
        <v>14</v>
      </c>
      <c r="R2" s="2" t="s">
        <v>412</v>
      </c>
      <c r="S2" s="1"/>
      <c r="T2" s="3"/>
      <c r="U2" s="3" t="s">
        <v>12</v>
      </c>
      <c r="V2" s="7" t="s">
        <v>13</v>
      </c>
      <c r="W2" s="3" t="s">
        <v>14</v>
      </c>
      <c r="X2" s="3" t="s">
        <v>412</v>
      </c>
      <c r="Y2" s="1"/>
      <c r="Z2" s="2"/>
      <c r="AA2" s="2" t="s">
        <v>12</v>
      </c>
      <c r="AB2" s="5" t="s">
        <v>13</v>
      </c>
      <c r="AC2" s="2" t="s">
        <v>14</v>
      </c>
      <c r="AD2" s="2" t="s">
        <v>412</v>
      </c>
      <c r="AE2" s="1"/>
      <c r="AF2" s="3"/>
      <c r="AG2" s="3" t="s">
        <v>12</v>
      </c>
      <c r="AH2" s="7" t="s">
        <v>13</v>
      </c>
      <c r="AI2" s="3" t="s">
        <v>14</v>
      </c>
      <c r="AJ2" s="3" t="s">
        <v>412</v>
      </c>
      <c r="AK2" s="1"/>
      <c r="AL2" s="2"/>
      <c r="AM2" s="2" t="s">
        <v>12</v>
      </c>
      <c r="AN2" s="5" t="s">
        <v>13</v>
      </c>
      <c r="AO2" s="2" t="s">
        <v>14</v>
      </c>
      <c r="AP2" s="2" t="s">
        <v>412</v>
      </c>
      <c r="AQ2" s="1"/>
      <c r="AR2" s="3"/>
      <c r="AS2" s="3" t="s">
        <v>12</v>
      </c>
      <c r="AT2" s="7" t="s">
        <v>13</v>
      </c>
      <c r="AU2" s="3" t="s">
        <v>14</v>
      </c>
      <c r="AV2" s="3" t="s">
        <v>412</v>
      </c>
      <c r="AW2" s="1"/>
      <c r="AX2" s="2"/>
      <c r="AY2" s="2" t="s">
        <v>12</v>
      </c>
      <c r="AZ2" s="5" t="s">
        <v>13</v>
      </c>
      <c r="BA2" s="2" t="s">
        <v>14</v>
      </c>
      <c r="BB2" s="2" t="s">
        <v>412</v>
      </c>
      <c r="BC2" s="1"/>
      <c r="BD2" s="3"/>
      <c r="BE2" s="3" t="s">
        <v>12</v>
      </c>
      <c r="BF2" s="7" t="s">
        <v>13</v>
      </c>
      <c r="BG2" s="3" t="s">
        <v>14</v>
      </c>
      <c r="BH2" s="3" t="s">
        <v>412</v>
      </c>
      <c r="BI2" s="1"/>
      <c r="BJ2" s="2"/>
      <c r="BK2" s="2" t="s">
        <v>12</v>
      </c>
      <c r="BL2" s="5" t="s">
        <v>13</v>
      </c>
      <c r="BM2" s="2" t="s">
        <v>14</v>
      </c>
      <c r="BN2" s="2" t="s">
        <v>412</v>
      </c>
      <c r="BO2" s="1"/>
      <c r="BP2" s="3"/>
      <c r="BQ2" s="3" t="s">
        <v>12</v>
      </c>
      <c r="BR2" s="7" t="s">
        <v>13</v>
      </c>
      <c r="BS2" s="3" t="s">
        <v>14</v>
      </c>
      <c r="BT2" s="3" t="s">
        <v>412</v>
      </c>
      <c r="BU2" s="4"/>
    </row>
    <row r="3">
      <c r="A3" s="1"/>
      <c r="B3" s="9" t="s">
        <v>27</v>
      </c>
      <c r="C3" s="10">
        <f>SUMIF(E17:E80,"WALKER",C17:C80)</f>
        <v>11280.17</v>
      </c>
      <c r="D3" s="11">
        <f>sumif(F17:F80, "WALKER", C17:C80)</f>
        <v>23407.39</v>
      </c>
      <c r="E3" s="12" t="s">
        <v>28</v>
      </c>
      <c r="F3" s="13">
        <f>C7+C8- (C10 - D3)</f>
        <v>0</v>
      </c>
      <c r="G3" s="1"/>
      <c r="H3" s="9" t="s">
        <v>27</v>
      </c>
      <c r="I3" s="10">
        <f>SUMIF(K17:K116,"WALKER",I17:I116)</f>
        <v>10981.26</v>
      </c>
      <c r="J3" s="11">
        <f>sumif(L17:L116, "WALKER", I17:I116)</f>
        <v>29508.63</v>
      </c>
      <c r="K3" s="14" t="s">
        <v>28</v>
      </c>
      <c r="L3" s="13">
        <f>I7+I8- (I10 - J3)</f>
        <v>0</v>
      </c>
      <c r="M3" s="1"/>
      <c r="N3" s="9" t="s">
        <v>27</v>
      </c>
      <c r="O3" s="10">
        <f>SUMIF(Q17:Q80,"WALKER",O17:O80)</f>
        <v>11591.4</v>
      </c>
      <c r="P3" s="11">
        <f>sumif(R17:R80, "WALKER", O17:O80)</f>
        <v>26467.33</v>
      </c>
      <c r="Q3" s="12" t="s">
        <v>28</v>
      </c>
      <c r="R3" s="13">
        <f>O7+O8- (O10 - P3)</f>
        <v>0</v>
      </c>
      <c r="S3" s="1"/>
      <c r="T3" s="9" t="s">
        <v>27</v>
      </c>
      <c r="U3" s="10">
        <f>SUMIF(W17:W116,"WALKER",U17:U116)</f>
        <v>13555.17</v>
      </c>
      <c r="V3" s="11">
        <f>sumif(X17:X116, "WALKER", U17:U116)</f>
        <v>26363.65</v>
      </c>
      <c r="W3" s="14" t="s">
        <v>28</v>
      </c>
      <c r="X3" s="13">
        <f>U7+U8- (U10 - V3)</f>
        <v>0</v>
      </c>
      <c r="Y3" s="1"/>
      <c r="Z3" s="9" t="s">
        <v>27</v>
      </c>
      <c r="AA3" s="10">
        <f>SUMIF(AC17:AC79,"WALKER",AA17:AA79)</f>
        <v>12038.68</v>
      </c>
      <c r="AB3" s="11">
        <f>sumif(AD17:AD79, "WALKER", AA17:AA79)</f>
        <v>25007.24</v>
      </c>
      <c r="AC3" s="12" t="s">
        <v>28</v>
      </c>
      <c r="AD3" s="13">
        <f>AA7+AA8- (AA10 - AB3)</f>
        <v>0</v>
      </c>
      <c r="AE3" s="1"/>
      <c r="AF3" s="9" t="s">
        <v>27</v>
      </c>
      <c r="AG3" s="10">
        <f>SUMIF(AI17:AI114,"WALKER",AG17:AG114)</f>
        <v>10041.9</v>
      </c>
      <c r="AH3" s="11">
        <f>sumif(AJ17:AJ114, "WALKER", AG17:AG114)</f>
        <v>25820.34</v>
      </c>
      <c r="AI3" s="14" t="s">
        <v>28</v>
      </c>
      <c r="AJ3" s="13">
        <f>AG7+AG8- (AG10 - AH3)</f>
        <v>0</v>
      </c>
      <c r="AK3" s="1"/>
      <c r="AL3" s="9" t="s">
        <v>27</v>
      </c>
      <c r="AM3" s="10">
        <f>SUMIF(AO17:AO79,"WALKER",AM17:AM79)</f>
        <v>10922.48</v>
      </c>
      <c r="AN3" s="11">
        <f>sumif(AP17:AP79, "WALKER", AM17:AM79)</f>
        <v>24227.68</v>
      </c>
      <c r="AO3" s="12" t="s">
        <v>28</v>
      </c>
      <c r="AP3" s="13">
        <f>AM7+AM8- (AM10 - AN3)</f>
        <v>0</v>
      </c>
      <c r="AQ3" s="1"/>
      <c r="AR3" s="9" t="s">
        <v>27</v>
      </c>
      <c r="AS3" s="10">
        <f>SUMIF(AU17:AU114,"WALKER",AS17:AS114)</f>
        <v>11277.28</v>
      </c>
      <c r="AT3" s="11">
        <f>sumif(AV17:AV114, "WALKER", AS17:AS114)</f>
        <v>29667.05</v>
      </c>
      <c r="AU3" s="14" t="s">
        <v>28</v>
      </c>
      <c r="AV3" s="13">
        <f>AS7+AS8- (AS10 - AT3)</f>
        <v>0</v>
      </c>
      <c r="AW3" s="1"/>
      <c r="AX3" s="9" t="s">
        <v>27</v>
      </c>
      <c r="AY3" s="10">
        <f>SUMIF(BA17:BA79,"WALKER",AY17:AY79)</f>
        <v>11210.86</v>
      </c>
      <c r="AZ3" s="11">
        <f>sumif(BB17:BB79, "WALKER", AY17:AY79)</f>
        <v>22192.09</v>
      </c>
      <c r="BA3" s="12" t="s">
        <v>28</v>
      </c>
      <c r="BB3" s="13">
        <f>AY7+AY8- (AY10 - AZ3)</f>
        <v>0</v>
      </c>
      <c r="BC3" s="1"/>
      <c r="BD3" s="9" t="s">
        <v>27</v>
      </c>
      <c r="BE3" s="10">
        <f>SUMIF(BG17:BG114,"WALKER",BE17:BE114)</f>
        <v>15427.56</v>
      </c>
      <c r="BF3" s="11">
        <f>sumif(BH17:BH114, "WALKER", BE17:BE114)</f>
        <v>30260.29</v>
      </c>
      <c r="BG3" s="14" t="s">
        <v>28</v>
      </c>
      <c r="BH3" s="13">
        <f>BE7+BE8- (BE10 - BF3)</f>
        <v>0</v>
      </c>
      <c r="BI3" s="1"/>
      <c r="BJ3" s="9" t="s">
        <v>27</v>
      </c>
      <c r="BK3" s="10">
        <f>SUMIF(BM17:BM79,"WALKER",BK17:BK79)</f>
        <v>10551.76</v>
      </c>
      <c r="BL3" s="11">
        <f>sumif(BN17:BN120, "WALKER", BK17:BK120)</f>
        <v>40171.23</v>
      </c>
      <c r="BM3" s="12" t="s">
        <v>28</v>
      </c>
      <c r="BN3" s="13">
        <f>BK7+BK8- (BK10 - BL3)</f>
        <v>0</v>
      </c>
      <c r="BO3" s="1"/>
      <c r="BP3" s="9" t="s">
        <v>27</v>
      </c>
      <c r="BQ3" s="10">
        <f>SUMIF(BS17:BS112,"WALKER",BQ17:BQ112)</f>
        <v>33314.7</v>
      </c>
      <c r="BR3" s="11">
        <f>sumif(BT17:BT112, "WALKER", BQ17:BQ112)</f>
        <v>50344.67</v>
      </c>
      <c r="BS3" s="14" t="s">
        <v>28</v>
      </c>
      <c r="BT3" s="13">
        <f>BQ7+BQ8- (BQ10 - BR3)</f>
        <v>0</v>
      </c>
      <c r="BU3" s="4"/>
    </row>
    <row r="4">
      <c r="A4" s="1"/>
      <c r="B4" s="9" t="s">
        <v>29</v>
      </c>
      <c r="C4" s="15">
        <f>SUMIF(E17:E80, "WALKER",C17:C80) + 0.6 * SUMIF(E17:E80, "AMBOS",C17:C80) + 0.4 * SUMIF(E17:E80, "AMBOS_I",C17:C80) </f>
        <v>20151.686</v>
      </c>
      <c r="E4" s="12" t="s">
        <v>30</v>
      </c>
      <c r="G4" s="1"/>
      <c r="H4" s="9" t="s">
        <v>29</v>
      </c>
      <c r="I4" s="15">
        <f>SUMIF(K17:K116, "WALKER",I17:I116) + 0.6 * SUMIF(K17:K116, "AMBOS",I17:I116) + 0.4 * SUMIF(K17:K116, "AMBOS_I",I17:I116) </f>
        <v>23555.292</v>
      </c>
      <c r="K4" s="14" t="s">
        <v>30</v>
      </c>
      <c r="M4" s="1"/>
      <c r="N4" s="9" t="s">
        <v>29</v>
      </c>
      <c r="O4" s="15">
        <f>SUMIF(Q17:Q80, "WALKER",O17:O80) + 0.6 * SUMIF(Q17:Q80, "AMBOS",O17:O80) + 0.4 * SUMIF(Q17:Q80, "AMBOS_I",O17:O80) </f>
        <v>20654.6</v>
      </c>
      <c r="Q4" s="12" t="s">
        <v>30</v>
      </c>
      <c r="S4" s="1"/>
      <c r="T4" s="9" t="s">
        <v>29</v>
      </c>
      <c r="U4" s="15">
        <f>SUMIF(W17:W116, "WALKER",U17:U116) + 0.6 * SUMIF(W17:W116, "AMBOS",U17:U116) + 0.4 * SUMIF(W17:W116, "AMBOS_I",U17:U116) </f>
        <v>22336.59</v>
      </c>
      <c r="W4" s="14" t="s">
        <v>30</v>
      </c>
      <c r="Y4" s="1"/>
      <c r="Z4" s="9" t="s">
        <v>29</v>
      </c>
      <c r="AA4" s="15">
        <f>SUMIF(AC17:AC79, "WALKER",AA17:AA79) + 0.6 * SUMIF(AC17:AC79, "AMBOS",AA17:AA79) + 0.4 * SUMIF(AC17:AC79, "AMBOS_I",AA17:AA79) </f>
        <v>21838.03</v>
      </c>
      <c r="AC4" s="12" t="s">
        <v>30</v>
      </c>
      <c r="AE4" s="1"/>
      <c r="AF4" s="9" t="s">
        <v>29</v>
      </c>
      <c r="AG4" s="15">
        <f>SUMIF(AI17:AI114, "WALKER",AG17:AG114) + 0.6 * SUMIF(AI17:AI114, "AMBOS",AG17:AG114) + 0.4 * SUMIF(AI17:AI114, "AMBOS_I",AG17:AG114) </f>
        <v>21165.522</v>
      </c>
      <c r="AI4" s="14" t="s">
        <v>30</v>
      </c>
      <c r="AK4" s="1"/>
      <c r="AL4" s="9" t="s">
        <v>29</v>
      </c>
      <c r="AM4" s="15">
        <f>SUMIF(AO17:AO79, "WALKER",AM17:AM79) + 0.6 * SUMIF(AO17:AO79, "AMBOS",AM17:AM79) + 0.4 * SUMIF(AO17:AO79, "AMBOS_I",AM17:AM79) </f>
        <v>20435.36</v>
      </c>
      <c r="AO4" s="12" t="s">
        <v>30</v>
      </c>
      <c r="AQ4" s="1"/>
      <c r="AR4" s="9" t="s">
        <v>29</v>
      </c>
      <c r="AS4" s="15">
        <f>SUMIF(AU17:AU114, "WALKER",AS17:AS114) + 0.6 * SUMIF(AU17:AU114, "AMBOS",AS17:AS114) + 0.4 * SUMIF(AU17:AU114, "AMBOS_I",AS17:AS114) </f>
        <v>23556.904</v>
      </c>
      <c r="AU4" s="14" t="s">
        <v>30</v>
      </c>
      <c r="AW4" s="1"/>
      <c r="AX4" s="9" t="s">
        <v>29</v>
      </c>
      <c r="AY4" s="15">
        <f>SUMIF(BA17:BA79, "WALKER",AY17:AY79) + 0.6 * SUMIF(BA17:BA79, "AMBOS",AY17:AY79) + 0.4 * SUMIF(BA17:BA79, "AMBOS_I",AY17:AY79) </f>
        <v>19181.458</v>
      </c>
      <c r="BA4" s="12" t="s">
        <v>30</v>
      </c>
      <c r="BC4" s="1"/>
      <c r="BD4" s="9" t="s">
        <v>29</v>
      </c>
      <c r="BE4" s="15">
        <f>SUMIF(BG17:BG114, "WALKER",BE17:BE114) + 0.6 * SUMIF(BG17:BG114, "AMBOS",BE17:BE114) + 0.4 * SUMIF(BG17:BG114, "AMBOS_I",BE17:BE114) </f>
        <v>27042.094</v>
      </c>
      <c r="BG4" s="14" t="s">
        <v>30</v>
      </c>
      <c r="BI4" s="1"/>
      <c r="BJ4" s="9" t="s">
        <v>29</v>
      </c>
      <c r="BK4" s="15">
        <f>SUMIF(BM17:BM120, "WALKER",BK17:BK120) + 0.6 * SUMIF(BM17:BM120, "AMBOS",BK17:BK120) + 0.4 * SUMIF(BM17:BM120, "AMBOS_I",BK17:BK120) </f>
        <v>30974.642</v>
      </c>
      <c r="BM4" s="12" t="s">
        <v>30</v>
      </c>
      <c r="BO4" s="1"/>
      <c r="BP4" s="9" t="s">
        <v>29</v>
      </c>
      <c r="BQ4" s="15">
        <f>SUMIF(BS17:BS112, "WALKER",BQ17:BQ112) + 0.6 * SUMIF(BS17:BS112, "AMBOS",BQ17:BQ112) + 0.4 * SUMIF(BS17:BS112, "AMBOS_I",BQ17:BQ112) </f>
        <v>46473.378</v>
      </c>
      <c r="BS4" s="14" t="s">
        <v>30</v>
      </c>
      <c r="BU4" s="4"/>
    </row>
    <row r="5">
      <c r="A5" s="1"/>
      <c r="B5" s="16" t="s">
        <v>31</v>
      </c>
      <c r="C5" s="17">
        <f>SUMIFS(C17:C80,E17:E80, "DEA",F17:F80, "WALKER") + 0.4*SUMIFS(C17:C80,E17:E80,"AMBOS",F17:F80, "WALKER") + 0.6*SUMIFS(C17:C80,E17:E80,"AMBOS_I",F17:F80, "WALKER") - (SUMIFS(C17:C80,E17:E80,"WALKER",F17:F80, "DEA") + 0.6*SUMIFS(C17:C80,E17:E80,"AMBOS",F17:F80, "DEA") + 0.4*SUMIFS(C17:C80,E17:E80,"AMBOS_I",F17:F80, "DEA"))</f>
        <v>3255.704</v>
      </c>
      <c r="E5" s="12" t="s">
        <v>32</v>
      </c>
      <c r="G5" s="1"/>
      <c r="H5" s="16" t="s">
        <v>31</v>
      </c>
      <c r="I5" s="17">
        <f>SUMIFS(I17:I116,K17:K116, "DEA",L17:L116, "WALKER") + 0.4*SUMIFS(I17:I116,K17:K116,"AMBOS",L17:L116, "WALKER") + 0.6*SUMIFS(I17:I116,K17:K116,"AMBOS_I",L17:L116, "WALKER") - (SUMIFS(I17:I116,K17:K116,"WALKER",L17:L116, "DEA") + 0.6*SUMIFS(I17:I116,K17:K116,"AMBOS",L17:L116, "DEA") + 0.4*SUMIFS(I17:I116,K17:K116,"AMBOS_I",L17:L116, "DEA"))</f>
        <v>5953.338</v>
      </c>
      <c r="K5" s="14" t="s">
        <v>32</v>
      </c>
      <c r="M5" s="1"/>
      <c r="N5" s="16" t="s">
        <v>31</v>
      </c>
      <c r="O5" s="17">
        <f>SUMIFS(O17:O80,Q17:Q80, "DEA",R17:R80, "WALKER") + 0.4*SUMIFS(O17:O80,Q17:Q80,"AMBOS",R17:R80, "WALKER") + 0.6*SUMIFS(O17:O80,Q17:Q80,"AMBOS_I",R17:R80, "WALKER") - (SUMIFS(O17:O80,Q17:Q80,"WALKER",R17:R80, "DEA") + 0.6*SUMIFS(O17:O80,Q17:Q80,"AMBOS",R17:R80, "DEA") + 0.4*SUMIFS(O17:O80,Q17:Q80,"AMBOS_I",R17:R80, "DEA"))</f>
        <v>5812.73</v>
      </c>
      <c r="Q5" s="12" t="s">
        <v>32</v>
      </c>
      <c r="S5" s="1"/>
      <c r="T5" s="16" t="s">
        <v>31</v>
      </c>
      <c r="U5" s="17">
        <f>SUMIFS(U17:U116,W17:W116, "DEA",X17:X116, "WALKER") + 0.4*SUMIFS(U17:U116,W17:W116,"AMBOS",X17:X116, "WALKER") + 0.6*SUMIFS(U17:U116,W17:W116,"AMBOS_I",X17:X116, "WALKER") - (SUMIFS(U17:U116,W17:W116,"WALKER",X17:X116, "DEA") + 0.6*SUMIFS(U17:U116,W17:W116,"AMBOS",X17:X116, "DEA") + 0.4*SUMIFS(U17:U116,W17:W116,"AMBOS_I",X17:X116, "DEA"))</f>
        <v>4027.06</v>
      </c>
      <c r="W5" s="14" t="s">
        <v>32</v>
      </c>
      <c r="Y5" s="1"/>
      <c r="Z5" s="16" t="s">
        <v>31</v>
      </c>
      <c r="AA5" s="17">
        <f>SUMIFS(AA17:AA79,AC17:AC79, "DEA",AD17:AD79, "WALKER") + 0.4*SUMIFS(AA17:AA79,AC17:AC79,"AMBOS",AD17:AD79, "WALKER") + 0.6*SUMIFS(AA17:AA79,AC17:AC79,"AMBOS_I",AD17:AD79, "WALKER") - (SUMIFS(AA17:AA79,AC17:AC79,"WALKER",AD17:AD79, "DEA") + 0.6*SUMIFS(AA17:AA79,AC17:AC79,"AMBOS",AD17:AD79, "DEA") + 0.4*SUMIFS(AA17:AA79,AC17:AC79,"AMBOS_I",AD17:AD79, "DEA"))</f>
        <v>3169.21</v>
      </c>
      <c r="AC5" s="12" t="s">
        <v>32</v>
      </c>
      <c r="AE5" s="1"/>
      <c r="AF5" s="16" t="s">
        <v>31</v>
      </c>
      <c r="AG5" s="17">
        <f>SUMIFS(AG17:AG114,AI17:AI114, "DEA",AJ17:AJ114, "WALKER") + 0.4*SUMIFS(AG17:AG114,AI17:AI114,"AMBOS",AJ17:AJ114, "WALKER") + 0.6*SUMIFS(AG17:AG114,AI17:AI114,"AMBOS_I",AJ17:AJ114, "WALKER") - (SUMIFS(AG17:AG114,AI17:AI114,"WALKER",AJ17:AJ114, "DEA") + 0.6*SUMIFS(AG17:AG114,AI17:AI114,"AMBOS",AJ17:AJ114, "DEA") + 0.4*SUMIFS(AG17:AG114,AI17:AI114,"AMBOS_I",AJ17:AJ114, "DEA"))</f>
        <v>4654.818</v>
      </c>
      <c r="AI5" s="14" t="s">
        <v>32</v>
      </c>
      <c r="AK5" s="1"/>
      <c r="AL5" s="16" t="s">
        <v>31</v>
      </c>
      <c r="AM5" s="17">
        <f>SUMIFS(AM17:AM79,AO17:AO79, "DEA",AP17:AP79, "WALKER") + 0.4*SUMIFS(AM17:AM79,AO17:AO79,"AMBOS",AP17:AP79, "WALKER") + 0.6*SUMIFS(AM17:AM79,AO17:AO79,"AMBOS_I",AP17:AP79, "WALKER") - (SUMIFS(AM17:AM79,AO17:AO79,"WALKER",AP17:AP79, "DEA") + 0.6*SUMIFS(AM17:AM79,AO17:AO79,"AMBOS",AP17:AP79, "DEA") + 0.4*SUMIFS(AM17:AM79,AO17:AO79,"AMBOS_I",AP17:AP79, "DEA"))</f>
        <v>3792.32</v>
      </c>
      <c r="AO5" s="12" t="s">
        <v>32</v>
      </c>
      <c r="AQ5" s="1"/>
      <c r="AR5" s="16" t="s">
        <v>31</v>
      </c>
      <c r="AS5" s="17">
        <f>SUMIFS(AS17:AS114,AU17:AU114, "DEA",AV17:AV114, "WALKER") + 0.4*SUMIFS(AS17:AS114,AU17:AU114,"AMBOS",AV17:AV114, "WALKER") + 0.6*SUMIFS(AS17:AS114,AU17:AU114,"AMBOS_I",AV17:AV114, "WALKER") - (SUMIFS(AS17:AS114,AU17:AU114,"WALKER",AV17:AV114, "DEA") + 0.6*SUMIFS(AS17:AS114,AU17:AU114,"AMBOS",AV17:AV114, "DEA") + 0.4*SUMIFS(AS17:AS114,AU17:AU114,"AMBOS_I",AV17:AV114, "DEA"))</f>
        <v>6110.146</v>
      </c>
      <c r="AU5" s="14" t="s">
        <v>32</v>
      </c>
      <c r="AW5" s="1"/>
      <c r="AX5" s="16" t="s">
        <v>31</v>
      </c>
      <c r="AY5" s="17">
        <f>SUMIFS(AY17:AY79,BA17:BA79, "DEA",BB17:BB79, "WALKER") + 0.4*SUMIFS(AY17:AY79,BA17:BA79,"AMBOS",BB17:BB79, "WALKER") + 0.6*SUMIFS(AY17:AY79,BA17:BA79,"AMBOS_I",BB17:BB79, "WALKER") - (SUMIFS(AY17:AY79,BA17:BA79,"WALKER",BB17:BB79, "DEA") + 0.6*SUMIFS(AY17:AY79,BA17:BA79,"AMBOS",BB17:BB79, "DEA") + 0.4*SUMIFS(AY17:AY79,BA17:BA79,"AMBOS_I",BB17:BB79, "DEA"))</f>
        <v>3010.632</v>
      </c>
      <c r="BA5" s="12" t="s">
        <v>32</v>
      </c>
      <c r="BC5" s="1"/>
      <c r="BD5" s="16" t="s">
        <v>31</v>
      </c>
      <c r="BE5" s="17">
        <f>SUMIFS(BE17:BE114,BG17:BG114, "DEA",BH17:BH114, "WALKER") + 0.4*SUMIFS(BE17:BE114,BG17:BG114,"AMBOS",BH17:BH114, "WALKER") + 0.6*SUMIFS(BE17:BE114,BG17:BG114,"AMBOS_I",BH17:BH114, "WALKER") - (SUMIFS(BE17:BE114,BG17:BG114,"WALKER",BH17:BH114, "DEA") + 0.6*SUMIFS(BE17:BE114,BG17:BG114,"AMBOS",BH17:BH114, "DEA") + 0.4*SUMIFS(BE17:BE114,BG17:BG114,"AMBOS_I",BH17:BH114, "DEA"))</f>
        <v>3218.196</v>
      </c>
      <c r="BG5" s="14" t="s">
        <v>32</v>
      </c>
      <c r="BI5" s="1"/>
      <c r="BJ5" s="16" t="s">
        <v>31</v>
      </c>
      <c r="BK5" s="18">
        <f>SUMIFS(BK17:BK113,BM17:BM113, "DEA",BN17:BN113, "WALKER") + 0.4*SUMIFS(BK17:BK113,BM17:BM113,"AMBOS",BN17:BN113, "WALKER") + 0.6*SUMIFS(BK17:BK113,BM17:BM113,"AMBOS_I",BN17:BN113, "WALKER") - (SUMIFS(BK17:BK113,BM17:BM113,"WALKER",BN17:BN113, "DEA") + 0.6*SUMIFS(BK17:BK113,BM17:BM113,"AMBOS",BN17:BN113, "DEA") + 0.4*SUMIFS(BK17:BK113,BM17:BM113,"AMBOS_I",BN17:BN113, "DEA"))</f>
        <v>9196.588</v>
      </c>
      <c r="BM5" s="12" t="s">
        <v>32</v>
      </c>
      <c r="BO5" s="1"/>
      <c r="BP5" s="16" t="s">
        <v>31</v>
      </c>
      <c r="BQ5" s="17">
        <f>SUMIFS(BQ17:BQ112,BS17:BS112, "DEA",BT17:BT112, "WALKER") + 0.4*SUMIFS(BQ17:BQ112,BS17:BS112,"AMBOS",BT17:BT112, "WALKER") + 0.6*SUMIFS(BQ17:BQ112,BS17:BS112,"AMBOS_I",BT17:BT112, "WALKER") - (SUMIFS(BQ17:BQ112,BS17:BS112,"WALKER",BT17:BT112, "DEA") + 0.6*SUMIFS(BQ17:BQ112,BS17:BS112,"AMBOS",BT17:BT112, "DEA") + 0.4*SUMIFS(BQ17:BQ112,BS17:BS112,"AMBOS_I",BT17:BT112, "DEA"))</f>
        <v>3871.292</v>
      </c>
      <c r="BS5" s="14" t="s">
        <v>32</v>
      </c>
      <c r="BU5" s="4"/>
    </row>
    <row r="6">
      <c r="A6" s="1"/>
      <c r="B6" s="9" t="s">
        <v>33</v>
      </c>
      <c r="C6" s="19">
        <f>C10-C4</f>
        <v>15305.724</v>
      </c>
      <c r="E6" s="12" t="s">
        <v>34</v>
      </c>
      <c r="G6" s="1"/>
      <c r="H6" s="9" t="s">
        <v>33</v>
      </c>
      <c r="I6" s="19">
        <f>I10-I4</f>
        <v>7638.818</v>
      </c>
      <c r="K6" s="14" t="s">
        <v>34</v>
      </c>
      <c r="M6" s="1"/>
      <c r="N6" s="9" t="s">
        <v>33</v>
      </c>
      <c r="O6" s="19">
        <f>O10-O4</f>
        <v>10215.14</v>
      </c>
      <c r="Q6" s="12" t="s">
        <v>34</v>
      </c>
      <c r="S6" s="1"/>
      <c r="T6" s="9" t="s">
        <v>33</v>
      </c>
      <c r="U6" s="19">
        <f>U10-U4</f>
        <v>5576.46</v>
      </c>
      <c r="W6" s="14" t="s">
        <v>34</v>
      </c>
      <c r="Y6" s="1"/>
      <c r="Z6" s="9" t="s">
        <v>33</v>
      </c>
      <c r="AA6" s="19">
        <f>AA10-AA4</f>
        <v>24786.26</v>
      </c>
      <c r="AC6" s="12" t="s">
        <v>34</v>
      </c>
      <c r="AE6" s="1"/>
      <c r="AF6" s="9" t="s">
        <v>33</v>
      </c>
      <c r="AG6" s="19">
        <f>AG10-AG4</f>
        <v>21495.508</v>
      </c>
      <c r="AI6" s="14" t="s">
        <v>34</v>
      </c>
      <c r="AK6" s="1"/>
      <c r="AL6" s="9" t="s">
        <v>33</v>
      </c>
      <c r="AM6" s="19">
        <f>AM10-AM4</f>
        <v>2649.38</v>
      </c>
      <c r="AO6" s="12" t="s">
        <v>34</v>
      </c>
      <c r="AQ6" s="1"/>
      <c r="AR6" s="9" t="s">
        <v>33</v>
      </c>
      <c r="AS6" s="19">
        <f>AS10-AS4</f>
        <v>1003.786</v>
      </c>
      <c r="AU6" s="14" t="s">
        <v>34</v>
      </c>
      <c r="AW6" s="1"/>
      <c r="AX6" s="9" t="s">
        <v>33</v>
      </c>
      <c r="AY6" s="19">
        <f>AY10-AY4</f>
        <v>39.422</v>
      </c>
      <c r="BA6" s="12" t="s">
        <v>34</v>
      </c>
      <c r="BC6" s="1"/>
      <c r="BD6" s="9" t="s">
        <v>33</v>
      </c>
      <c r="BE6" s="19">
        <f>BE10-BE4</f>
        <v>-1569.034</v>
      </c>
      <c r="BG6" s="14" t="s">
        <v>34</v>
      </c>
      <c r="BI6" s="1"/>
      <c r="BJ6" s="9" t="s">
        <v>33</v>
      </c>
      <c r="BK6" s="19">
        <f>BK10-BK4</f>
        <v>9812.468</v>
      </c>
      <c r="BM6" s="12" t="s">
        <v>34</v>
      </c>
      <c r="BO6" s="1"/>
      <c r="BP6" s="9" t="s">
        <v>33</v>
      </c>
      <c r="BQ6" s="19">
        <f>BQ10-BQ4</f>
        <v>62423.802</v>
      </c>
      <c r="BS6" s="14" t="s">
        <v>34</v>
      </c>
      <c r="BU6" s="4"/>
    </row>
    <row r="7">
      <c r="A7" s="1"/>
      <c r="B7" s="20" t="s">
        <v>36</v>
      </c>
      <c r="C7" s="21">
        <v>12050.02</v>
      </c>
      <c r="E7" s="22"/>
      <c r="G7" s="1"/>
      <c r="H7" s="20" t="s">
        <v>36</v>
      </c>
      <c r="I7" s="21">
        <v>1385.48</v>
      </c>
      <c r="K7" s="23"/>
      <c r="M7" s="1"/>
      <c r="N7" s="20" t="s">
        <v>36</v>
      </c>
      <c r="O7" s="21">
        <v>3978.41</v>
      </c>
      <c r="Q7" s="22"/>
      <c r="S7" s="1"/>
      <c r="T7" s="20" t="s">
        <v>36</v>
      </c>
      <c r="U7" s="21">
        <v>977.4</v>
      </c>
      <c r="W7" s="23"/>
      <c r="Y7" s="1"/>
      <c r="Z7" s="20" t="s">
        <v>36</v>
      </c>
      <c r="AA7" s="21">
        <v>21335.05</v>
      </c>
      <c r="AC7" s="22"/>
      <c r="AE7" s="1"/>
      <c r="AF7" s="20" t="s">
        <v>36</v>
      </c>
      <c r="AG7" s="21">
        <v>16840.69</v>
      </c>
      <c r="AI7" s="23"/>
      <c r="AK7" s="1"/>
      <c r="AL7" s="20" t="s">
        <v>36</v>
      </c>
      <c r="AM7" s="21">
        <v>-1142.94</v>
      </c>
      <c r="AO7" s="22"/>
      <c r="AQ7" s="1"/>
      <c r="AR7" s="20" t="s">
        <v>36</v>
      </c>
      <c r="AS7" s="21">
        <v>-5106.36</v>
      </c>
      <c r="AU7" s="23"/>
      <c r="AW7" s="1"/>
      <c r="AX7" s="20" t="s">
        <v>36</v>
      </c>
      <c r="AY7" s="21">
        <v>-3271.21</v>
      </c>
      <c r="BA7" s="22"/>
      <c r="BC7" s="1"/>
      <c r="BD7" s="20" t="s">
        <v>36</v>
      </c>
      <c r="BE7" s="21">
        <v>-5037.23</v>
      </c>
      <c r="BG7" s="23"/>
      <c r="BI7" s="1"/>
      <c r="BJ7" s="20" t="s">
        <v>36</v>
      </c>
      <c r="BK7" s="21">
        <v>493.88</v>
      </c>
      <c r="BM7" s="22"/>
      <c r="BO7" s="1"/>
      <c r="BP7" s="20" t="s">
        <v>36</v>
      </c>
      <c r="BQ7" s="21">
        <v>58552.51</v>
      </c>
      <c r="BS7" s="23"/>
      <c r="BU7" s="4"/>
    </row>
    <row r="8">
      <c r="A8" s="1"/>
      <c r="B8" s="20" t="s">
        <v>38</v>
      </c>
      <c r="C8" s="21">
        <v>0.0</v>
      </c>
      <c r="E8" s="22"/>
      <c r="G8" s="1"/>
      <c r="H8" s="20" t="s">
        <v>38</v>
      </c>
      <c r="I8" s="21">
        <v>300.0</v>
      </c>
      <c r="K8" s="23"/>
      <c r="M8" s="1"/>
      <c r="N8" s="20" t="s">
        <v>38</v>
      </c>
      <c r="O8" s="21">
        <v>424.0</v>
      </c>
      <c r="Q8" s="22"/>
      <c r="S8" s="1"/>
      <c r="T8" s="20" t="s">
        <v>38</v>
      </c>
      <c r="U8" s="21">
        <v>572.0</v>
      </c>
      <c r="W8" s="23"/>
      <c r="Y8" s="1"/>
      <c r="Z8" s="20" t="s">
        <v>38</v>
      </c>
      <c r="AA8" s="21">
        <v>282.0</v>
      </c>
      <c r="AC8" s="22"/>
      <c r="AE8" s="1"/>
      <c r="AF8" s="20" t="s">
        <v>38</v>
      </c>
      <c r="AG8" s="21">
        <v>0.0</v>
      </c>
      <c r="AI8" s="23"/>
      <c r="AK8" s="1"/>
      <c r="AL8" s="20" t="s">
        <v>38</v>
      </c>
      <c r="AM8" s="21">
        <v>0.0</v>
      </c>
      <c r="AO8" s="22"/>
      <c r="AQ8" s="1"/>
      <c r="AR8" s="20" t="s">
        <v>38</v>
      </c>
      <c r="AS8" s="21">
        <v>0.0</v>
      </c>
      <c r="AU8" s="23"/>
      <c r="AW8" s="1"/>
      <c r="AX8" s="20" t="s">
        <v>38</v>
      </c>
      <c r="AY8" s="21">
        <v>300.0</v>
      </c>
      <c r="BA8" s="22"/>
      <c r="BC8" s="1"/>
      <c r="BD8" s="20" t="s">
        <v>38</v>
      </c>
      <c r="BE8" s="21">
        <v>250.0</v>
      </c>
      <c r="BG8" s="23"/>
      <c r="BI8" s="1"/>
      <c r="BJ8" s="20" t="s">
        <v>38</v>
      </c>
      <c r="BK8" s="21">
        <v>122.0</v>
      </c>
      <c r="BM8" s="22"/>
      <c r="BO8" s="1"/>
      <c r="BP8" s="20" t="s">
        <v>38</v>
      </c>
      <c r="BQ8" s="21">
        <v>0.0</v>
      </c>
      <c r="BS8" s="23"/>
      <c r="BU8" s="4"/>
    </row>
    <row r="9">
      <c r="A9" s="1"/>
      <c r="B9" s="20"/>
      <c r="C9" s="21"/>
      <c r="E9" s="22"/>
      <c r="G9" s="1"/>
      <c r="H9" s="20"/>
      <c r="I9" s="21"/>
      <c r="K9" s="23"/>
      <c r="M9" s="1"/>
      <c r="N9" s="20"/>
      <c r="O9" s="21"/>
      <c r="Q9" s="22"/>
      <c r="S9" s="1"/>
      <c r="T9" s="20"/>
      <c r="U9" s="21"/>
      <c r="W9" s="23"/>
      <c r="Y9" s="1"/>
      <c r="Z9" s="20"/>
      <c r="AA9" s="21"/>
      <c r="AC9" s="22"/>
      <c r="AE9" s="1"/>
      <c r="AF9" s="20"/>
      <c r="AG9" s="21"/>
      <c r="AI9" s="23"/>
      <c r="AK9" s="1"/>
      <c r="AL9" s="20"/>
      <c r="AM9" s="21"/>
      <c r="AO9" s="22"/>
      <c r="AQ9" s="1"/>
      <c r="AR9" s="20"/>
      <c r="AS9" s="21"/>
      <c r="AU9" s="23"/>
      <c r="AW9" s="1"/>
      <c r="AX9" s="20"/>
      <c r="AY9" s="21"/>
      <c r="BA9" s="22"/>
      <c r="BC9" s="1"/>
      <c r="BD9" s="20"/>
      <c r="BE9" s="21"/>
      <c r="BG9" s="23"/>
      <c r="BI9" s="1"/>
      <c r="BJ9" s="20"/>
      <c r="BK9" s="21"/>
      <c r="BM9" s="22"/>
      <c r="BO9" s="1"/>
      <c r="BP9" s="20"/>
      <c r="BQ9" s="21"/>
      <c r="BS9" s="23"/>
      <c r="BU9" s="4"/>
    </row>
    <row r="10">
      <c r="A10" s="1"/>
      <c r="B10" s="24" t="s">
        <v>39</v>
      </c>
      <c r="C10" s="25">
        <f>sum(C11:C15)</f>
        <v>35457.41</v>
      </c>
      <c r="D10" s="24" t="s">
        <v>40</v>
      </c>
      <c r="E10" s="24"/>
      <c r="F10" s="24"/>
      <c r="G10" s="1"/>
      <c r="H10" s="3" t="s">
        <v>39</v>
      </c>
      <c r="I10" s="26">
        <f>sum(I11:I15)</f>
        <v>31194.11</v>
      </c>
      <c r="J10" s="7" t="s">
        <v>40</v>
      </c>
      <c r="K10" s="3"/>
      <c r="L10" s="3"/>
      <c r="M10" s="1"/>
      <c r="N10" s="24" t="s">
        <v>39</v>
      </c>
      <c r="O10" s="25">
        <f>sum(O11:O15)</f>
        <v>30869.74</v>
      </c>
      <c r="P10" s="24" t="s">
        <v>40</v>
      </c>
      <c r="Q10" s="24"/>
      <c r="R10" s="24"/>
      <c r="S10" s="1"/>
      <c r="T10" s="3" t="s">
        <v>39</v>
      </c>
      <c r="U10" s="26">
        <f>sum(U11:U15)</f>
        <v>27913.05</v>
      </c>
      <c r="V10" s="7" t="s">
        <v>40</v>
      </c>
      <c r="W10" s="3"/>
      <c r="X10" s="3"/>
      <c r="Y10" s="1"/>
      <c r="Z10" s="24" t="s">
        <v>39</v>
      </c>
      <c r="AA10" s="25">
        <f>sum(AA11:AA15)</f>
        <v>46624.29</v>
      </c>
      <c r="AB10" s="24" t="s">
        <v>40</v>
      </c>
      <c r="AC10" s="24"/>
      <c r="AD10" s="24"/>
      <c r="AE10" s="1"/>
      <c r="AF10" s="3" t="s">
        <v>39</v>
      </c>
      <c r="AG10" s="26">
        <f>sum(AG11:AG15)</f>
        <v>42661.03</v>
      </c>
      <c r="AH10" s="7" t="s">
        <v>40</v>
      </c>
      <c r="AI10" s="3"/>
      <c r="AJ10" s="3"/>
      <c r="AK10" s="1"/>
      <c r="AL10" s="24" t="s">
        <v>39</v>
      </c>
      <c r="AM10" s="25">
        <f>sum(AM11:AM15)</f>
        <v>23084.74</v>
      </c>
      <c r="AN10" s="24" t="s">
        <v>40</v>
      </c>
      <c r="AO10" s="24"/>
      <c r="AP10" s="24"/>
      <c r="AQ10" s="1"/>
      <c r="AR10" s="3" t="s">
        <v>39</v>
      </c>
      <c r="AS10" s="26">
        <f>sum(AS11:AS15)</f>
        <v>24560.69</v>
      </c>
      <c r="AT10" s="7" t="s">
        <v>40</v>
      </c>
      <c r="AU10" s="3"/>
      <c r="AV10" s="3"/>
      <c r="AW10" s="1"/>
      <c r="AX10" s="24" t="s">
        <v>39</v>
      </c>
      <c r="AY10" s="25">
        <f>sum(AY11:AY15)</f>
        <v>19220.88</v>
      </c>
      <c r="AZ10" s="24" t="s">
        <v>40</v>
      </c>
      <c r="BA10" s="24"/>
      <c r="BB10" s="24"/>
      <c r="BC10" s="1"/>
      <c r="BD10" s="3" t="s">
        <v>39</v>
      </c>
      <c r="BE10" s="26">
        <f>sum(BE11:BE15)</f>
        <v>25473.06</v>
      </c>
      <c r="BF10" s="7" t="s">
        <v>40</v>
      </c>
      <c r="BG10" s="3"/>
      <c r="BH10" s="3"/>
      <c r="BI10" s="1"/>
      <c r="BJ10" s="24" t="s">
        <v>39</v>
      </c>
      <c r="BK10" s="25">
        <f>sum(BK11:BK15)</f>
        <v>40787.11</v>
      </c>
      <c r="BL10" s="24" t="s">
        <v>40</v>
      </c>
      <c r="BM10" s="24"/>
      <c r="BN10" s="24"/>
      <c r="BO10" s="1"/>
      <c r="BP10" s="3" t="s">
        <v>39</v>
      </c>
      <c r="BQ10" s="26">
        <f>sum(BQ11:BQ15)</f>
        <v>108897.18</v>
      </c>
      <c r="BR10" s="7" t="s">
        <v>40</v>
      </c>
      <c r="BS10" s="3"/>
      <c r="BT10" s="3"/>
      <c r="BU10" s="4"/>
    </row>
    <row r="11">
      <c r="A11" s="1"/>
      <c r="B11" s="27" t="s">
        <v>43</v>
      </c>
      <c r="C11" s="28">
        <v>8133.02</v>
      </c>
      <c r="D11" s="29">
        <v>-25.0</v>
      </c>
      <c r="E11" s="30"/>
      <c r="G11" s="1"/>
      <c r="H11" s="27" t="s">
        <v>43</v>
      </c>
      <c r="I11" s="28">
        <v>14693.0</v>
      </c>
      <c r="J11" s="29">
        <v>-25.0</v>
      </c>
      <c r="K11" s="30"/>
      <c r="M11" s="1"/>
      <c r="N11" s="27" t="s">
        <v>43</v>
      </c>
      <c r="O11" s="28">
        <v>7740.9</v>
      </c>
      <c r="P11" s="29">
        <v>25.0</v>
      </c>
      <c r="Q11" s="30"/>
      <c r="S11" s="1"/>
      <c r="T11" s="27" t="s">
        <v>43</v>
      </c>
      <c r="U11" s="28">
        <v>9691.5</v>
      </c>
      <c r="V11" s="29">
        <v>-25.0</v>
      </c>
      <c r="W11" s="30"/>
      <c r="Y11" s="1"/>
      <c r="Z11" s="27" t="s">
        <v>43</v>
      </c>
      <c r="AA11" s="28">
        <v>9690.11</v>
      </c>
      <c r="AB11" s="29">
        <v>25.0</v>
      </c>
      <c r="AC11" s="30"/>
      <c r="AE11" s="1"/>
      <c r="AF11" s="27" t="s">
        <v>43</v>
      </c>
      <c r="AG11" s="28">
        <v>9690.11</v>
      </c>
      <c r="AH11" s="29">
        <v>-25.0</v>
      </c>
      <c r="AI11" s="30"/>
      <c r="AK11" s="1"/>
      <c r="AL11" s="27" t="s">
        <v>43</v>
      </c>
      <c r="AM11" s="28">
        <v>10316.53</v>
      </c>
      <c r="AN11" s="29">
        <v>25.0</v>
      </c>
      <c r="AO11" s="30"/>
      <c r="AQ11" s="1"/>
      <c r="AR11" s="27" t="s">
        <v>43</v>
      </c>
      <c r="AS11" s="28">
        <v>9494.119999999999</v>
      </c>
      <c r="AT11" s="29">
        <v>-25.0</v>
      </c>
      <c r="AU11" s="30"/>
      <c r="AW11" s="1"/>
      <c r="AX11" s="27" t="s">
        <v>43</v>
      </c>
      <c r="AY11" s="28">
        <v>10879.13</v>
      </c>
      <c r="AZ11" s="29">
        <v>-25.0</v>
      </c>
      <c r="BA11" s="30" t="s">
        <v>697</v>
      </c>
      <c r="BC11" s="1"/>
      <c r="BD11" s="27" t="s">
        <v>43</v>
      </c>
      <c r="BE11" s="28">
        <v>11046.32</v>
      </c>
      <c r="BF11" s="29">
        <v>-25.0</v>
      </c>
      <c r="BG11" s="30"/>
      <c r="BI11" s="1"/>
      <c r="BJ11" s="27" t="s">
        <v>43</v>
      </c>
      <c r="BK11" s="28">
        <v>12177.71</v>
      </c>
      <c r="BL11" s="29">
        <v>-25.0</v>
      </c>
      <c r="BM11" s="30"/>
      <c r="BO11" s="1"/>
      <c r="BP11" s="27" t="s">
        <v>43</v>
      </c>
      <c r="BQ11" s="28">
        <v>9746.63</v>
      </c>
      <c r="BR11" s="29">
        <v>-24.0</v>
      </c>
      <c r="BS11" s="30"/>
      <c r="BU11" s="4"/>
    </row>
    <row r="12">
      <c r="A12" s="1"/>
      <c r="B12" s="27" t="s">
        <v>698</v>
      </c>
      <c r="C12" s="28">
        <v>9506.05</v>
      </c>
      <c r="D12" s="29">
        <v>-25.0</v>
      </c>
      <c r="G12" s="1"/>
      <c r="H12" s="27" t="s">
        <v>55</v>
      </c>
      <c r="I12" s="28">
        <v>6944.19</v>
      </c>
      <c r="J12" s="29">
        <v>10.0</v>
      </c>
      <c r="M12" s="1"/>
      <c r="N12" s="27" t="s">
        <v>699</v>
      </c>
      <c r="O12" s="28">
        <v>18.0</v>
      </c>
      <c r="P12" s="29">
        <v>2.0</v>
      </c>
      <c r="S12" s="1"/>
      <c r="T12" s="27" t="s">
        <v>161</v>
      </c>
      <c r="U12" s="28">
        <v>5972.79</v>
      </c>
      <c r="V12" s="29">
        <v>3.0</v>
      </c>
      <c r="Y12" s="1"/>
      <c r="Z12" s="27" t="s">
        <v>55</v>
      </c>
      <c r="AA12" s="28">
        <v>7119.67</v>
      </c>
      <c r="AB12" s="29">
        <v>10.0</v>
      </c>
      <c r="AE12" s="1"/>
      <c r="AF12" s="27" t="s">
        <v>161</v>
      </c>
      <c r="AG12" s="28">
        <v>825.0</v>
      </c>
      <c r="AH12" s="29">
        <v>5.0</v>
      </c>
      <c r="AK12" s="1"/>
      <c r="AL12" s="27" t="s">
        <v>55</v>
      </c>
      <c r="AM12" s="28">
        <v>7144.39</v>
      </c>
      <c r="AN12" s="29">
        <v>10.0</v>
      </c>
      <c r="AQ12" s="1"/>
      <c r="AR12" s="27" t="s">
        <v>55</v>
      </c>
      <c r="AS12" s="28">
        <v>7337.96</v>
      </c>
      <c r="AT12" s="29">
        <v>10.0</v>
      </c>
      <c r="AW12" s="1"/>
      <c r="AX12" s="27" t="s">
        <v>55</v>
      </c>
      <c r="AY12" s="28">
        <v>7337.96</v>
      </c>
      <c r="AZ12" s="29">
        <v>10.0</v>
      </c>
      <c r="BC12" s="1"/>
      <c r="BD12" s="27" t="s">
        <v>55</v>
      </c>
      <c r="BE12" s="28">
        <v>7630.43</v>
      </c>
      <c r="BF12" s="29">
        <v>10.0</v>
      </c>
      <c r="BI12" s="1"/>
      <c r="BJ12" s="27" t="s">
        <v>55</v>
      </c>
      <c r="BK12" s="28">
        <v>7397.04</v>
      </c>
      <c r="BL12" s="29">
        <v>10.0</v>
      </c>
      <c r="BO12" s="1"/>
      <c r="BP12" s="27" t="s">
        <v>700</v>
      </c>
      <c r="BQ12" s="28">
        <v>60122.06</v>
      </c>
      <c r="BR12" s="29">
        <v>-21.0</v>
      </c>
      <c r="BU12" s="4"/>
    </row>
    <row r="13">
      <c r="A13" s="1"/>
      <c r="B13" s="27" t="s">
        <v>55</v>
      </c>
      <c r="C13" s="28">
        <v>9962.91</v>
      </c>
      <c r="D13" s="29">
        <v>10.0</v>
      </c>
      <c r="G13" s="1"/>
      <c r="H13" s="27" t="s">
        <v>169</v>
      </c>
      <c r="I13" s="28">
        <v>9506.92</v>
      </c>
      <c r="J13" s="29">
        <v>13.0</v>
      </c>
      <c r="M13" s="1"/>
      <c r="N13" s="27" t="s">
        <v>701</v>
      </c>
      <c r="O13" s="28">
        <v>14812.06</v>
      </c>
      <c r="P13" s="29">
        <v>8.0</v>
      </c>
      <c r="S13" s="1"/>
      <c r="T13" s="27" t="s">
        <v>55</v>
      </c>
      <c r="U13" s="28">
        <v>7023.88</v>
      </c>
      <c r="V13" s="29">
        <v>10.0</v>
      </c>
      <c r="Y13" s="1"/>
      <c r="Z13" s="27" t="s">
        <v>161</v>
      </c>
      <c r="AA13" s="28">
        <v>822.0</v>
      </c>
      <c r="AB13" s="29">
        <v>19.0</v>
      </c>
      <c r="AE13" s="1"/>
      <c r="AF13" s="27" t="s">
        <v>55</v>
      </c>
      <c r="AG13" s="28">
        <v>7359.66</v>
      </c>
      <c r="AH13" s="29">
        <v>10.0</v>
      </c>
      <c r="AK13" s="1"/>
      <c r="AL13" s="27" t="s">
        <v>161</v>
      </c>
      <c r="AM13" s="28">
        <v>825.0</v>
      </c>
      <c r="AN13" s="29">
        <v>19.0</v>
      </c>
      <c r="AQ13" s="1"/>
      <c r="AR13" s="27" t="s">
        <v>158</v>
      </c>
      <c r="AS13" s="28">
        <v>1103.28</v>
      </c>
      <c r="AT13" s="29">
        <v>1.0</v>
      </c>
      <c r="AW13" s="1"/>
      <c r="AX13" s="27" t="s">
        <v>158</v>
      </c>
      <c r="AY13" s="28">
        <v>1003.79</v>
      </c>
      <c r="AZ13" s="29">
        <v>1.0</v>
      </c>
      <c r="BC13" s="1"/>
      <c r="BD13" s="27" t="s">
        <v>158</v>
      </c>
      <c r="BE13" s="28">
        <v>39.42</v>
      </c>
      <c r="BF13" s="29">
        <v>1.0</v>
      </c>
      <c r="BI13" s="1"/>
      <c r="BJ13" s="27" t="s">
        <v>158</v>
      </c>
      <c r="BK13" s="28">
        <v>-1569.03</v>
      </c>
      <c r="BL13" s="29">
        <v>1.0</v>
      </c>
      <c r="BO13" s="1"/>
      <c r="BP13" s="27" t="s">
        <v>55</v>
      </c>
      <c r="BQ13" s="28">
        <v>38203.42</v>
      </c>
      <c r="BR13" s="29">
        <v>10.0</v>
      </c>
      <c r="BU13" s="4"/>
    </row>
    <row r="14">
      <c r="A14" s="1"/>
      <c r="B14" s="27" t="s">
        <v>702</v>
      </c>
      <c r="C14" s="28">
        <v>6853.43</v>
      </c>
      <c r="D14" s="29">
        <v>13.0</v>
      </c>
      <c r="G14" s="1"/>
      <c r="H14" s="27" t="s">
        <v>703</v>
      </c>
      <c r="I14" s="28">
        <v>50.0</v>
      </c>
      <c r="J14" s="29">
        <v>13.0</v>
      </c>
      <c r="M14" s="1"/>
      <c r="N14" s="27" t="s">
        <v>55</v>
      </c>
      <c r="O14" s="28">
        <v>7376.31</v>
      </c>
      <c r="P14" s="29">
        <v>10.0</v>
      </c>
      <c r="S14" s="1"/>
      <c r="T14" s="27" t="s">
        <v>158</v>
      </c>
      <c r="U14" s="28">
        <v>4402.41</v>
      </c>
      <c r="V14" s="29">
        <v>1.0</v>
      </c>
      <c r="Y14" s="1"/>
      <c r="Z14" s="27" t="s">
        <v>418</v>
      </c>
      <c r="AA14" s="28">
        <v>23416.05</v>
      </c>
      <c r="AB14" s="29">
        <v>-28.0</v>
      </c>
      <c r="AE14" s="1"/>
      <c r="AF14" s="27" t="s">
        <v>158</v>
      </c>
      <c r="AG14" s="28">
        <v>24786.26</v>
      </c>
      <c r="AH14" s="29">
        <v>1.0</v>
      </c>
      <c r="AK14" s="1"/>
      <c r="AL14" s="27" t="s">
        <v>704</v>
      </c>
      <c r="AM14" s="28">
        <v>144.0</v>
      </c>
      <c r="AN14" s="29">
        <v>27.0</v>
      </c>
      <c r="AQ14" s="1"/>
      <c r="AR14" s="27" t="s">
        <v>705</v>
      </c>
      <c r="AS14" s="28">
        <v>805.33</v>
      </c>
      <c r="AT14" s="29">
        <v>3.0</v>
      </c>
      <c r="AW14" s="1"/>
      <c r="AX14" s="27"/>
      <c r="AY14" s="28"/>
      <c r="AZ14" s="29"/>
      <c r="BC14" s="1"/>
      <c r="BD14" s="27" t="s">
        <v>705</v>
      </c>
      <c r="BE14" s="28">
        <v>742.3</v>
      </c>
      <c r="BF14" s="29">
        <v>-29.0</v>
      </c>
      <c r="BI14" s="1"/>
      <c r="BJ14" s="27" t="s">
        <v>701</v>
      </c>
      <c r="BK14" s="28">
        <v>21931.39</v>
      </c>
      <c r="BL14" s="29">
        <v>10.0</v>
      </c>
      <c r="BO14" s="1"/>
      <c r="BP14" s="27" t="s">
        <v>706</v>
      </c>
      <c r="BQ14" s="28">
        <v>0.07</v>
      </c>
      <c r="BR14" s="29">
        <v>4.0</v>
      </c>
      <c r="BU14" s="4"/>
    </row>
    <row r="15">
      <c r="A15" s="1"/>
      <c r="B15" s="27" t="s">
        <v>707</v>
      </c>
      <c r="C15" s="28">
        <v>1002.0</v>
      </c>
      <c r="D15" s="29">
        <v>13.0</v>
      </c>
      <c r="G15" s="1"/>
      <c r="H15" s="27"/>
      <c r="I15" s="28"/>
      <c r="J15" s="29"/>
      <c r="M15" s="1"/>
      <c r="N15" s="27" t="s">
        <v>161</v>
      </c>
      <c r="O15" s="28">
        <v>922.47</v>
      </c>
      <c r="P15" s="29">
        <v>16.0</v>
      </c>
      <c r="S15" s="1"/>
      <c r="T15" s="27" t="s">
        <v>161</v>
      </c>
      <c r="U15" s="28">
        <v>822.47</v>
      </c>
      <c r="V15" s="29" t="s">
        <v>708</v>
      </c>
      <c r="Y15" s="1"/>
      <c r="Z15" s="27" t="s">
        <v>158</v>
      </c>
      <c r="AA15" s="28">
        <v>5576.46</v>
      </c>
      <c r="AB15" s="29">
        <v>1.0</v>
      </c>
      <c r="AE15" s="1"/>
      <c r="AF15" s="27"/>
      <c r="AG15" s="28"/>
      <c r="AH15" s="29"/>
      <c r="AK15" s="1"/>
      <c r="AL15" s="27" t="s">
        <v>158</v>
      </c>
      <c r="AM15" s="28">
        <v>4654.82</v>
      </c>
      <c r="AN15" s="29">
        <v>21.0</v>
      </c>
      <c r="AQ15" s="1"/>
      <c r="AR15" s="27" t="s">
        <v>709</v>
      </c>
      <c r="AS15" s="28">
        <v>5820.0</v>
      </c>
      <c r="AT15" s="29">
        <v>7.0</v>
      </c>
      <c r="AW15" s="1"/>
      <c r="AX15" s="27"/>
      <c r="AY15" s="28"/>
      <c r="AZ15" s="29"/>
      <c r="BC15" s="1"/>
      <c r="BD15" s="27" t="s">
        <v>710</v>
      </c>
      <c r="BE15" s="28">
        <v>6014.59</v>
      </c>
      <c r="BF15" s="29">
        <v>10.0</v>
      </c>
      <c r="BI15" s="1"/>
      <c r="BJ15" s="27" t="s">
        <v>161</v>
      </c>
      <c r="BK15" s="28">
        <v>850.0</v>
      </c>
      <c r="BL15" s="29">
        <v>-31.0</v>
      </c>
      <c r="BO15" s="1"/>
      <c r="BP15" s="27" t="s">
        <v>161</v>
      </c>
      <c r="BQ15" s="28">
        <v>825.0</v>
      </c>
      <c r="BR15" s="29">
        <v>15.0</v>
      </c>
      <c r="BU15" s="4"/>
    </row>
    <row r="16">
      <c r="A16" s="1"/>
      <c r="B16" s="24" t="s">
        <v>61</v>
      </c>
      <c r="C16" s="25">
        <v>31987.98</v>
      </c>
      <c r="D16" s="31"/>
      <c r="E16" s="24" t="s">
        <v>14</v>
      </c>
      <c r="F16" s="24" t="s">
        <v>62</v>
      </c>
      <c r="G16" s="1"/>
      <c r="H16" s="3" t="s">
        <v>61</v>
      </c>
      <c r="I16" s="26">
        <f>SUM(I17:I116)</f>
        <v>31987.98</v>
      </c>
      <c r="J16" s="3"/>
      <c r="K16" s="3" t="s">
        <v>14</v>
      </c>
      <c r="L16" s="3" t="s">
        <v>62</v>
      </c>
      <c r="M16" s="1"/>
      <c r="N16" s="24" t="s">
        <v>61</v>
      </c>
      <c r="O16" s="25">
        <f>SUM(O17:O80)</f>
        <v>28343.99</v>
      </c>
      <c r="P16" s="31"/>
      <c r="Q16" s="24" t="s">
        <v>14</v>
      </c>
      <c r="R16" s="24" t="s">
        <v>62</v>
      </c>
      <c r="S16" s="1"/>
      <c r="T16" s="3" t="s">
        <v>61</v>
      </c>
      <c r="U16" s="26">
        <f>SUM(U17:U116)</f>
        <v>28240.87</v>
      </c>
      <c r="V16" s="3"/>
      <c r="W16" s="3" t="s">
        <v>14</v>
      </c>
      <c r="X16" s="3" t="s">
        <v>62</v>
      </c>
      <c r="Y16" s="1"/>
      <c r="Z16" s="24" t="s">
        <v>61</v>
      </c>
      <c r="AA16" s="25">
        <f>SUM(AA17:AA100)</f>
        <v>28455.93</v>
      </c>
      <c r="AB16" s="31"/>
      <c r="AC16" s="24" t="s">
        <v>14</v>
      </c>
      <c r="AD16" s="24" t="s">
        <v>62</v>
      </c>
      <c r="AE16" s="1"/>
      <c r="AF16" s="3" t="s">
        <v>61</v>
      </c>
      <c r="AG16" s="26">
        <f>SUM(AG17:AG114)</f>
        <v>28711.77</v>
      </c>
      <c r="AH16" s="3"/>
      <c r="AI16" s="3" t="s">
        <v>14</v>
      </c>
      <c r="AJ16" s="3" t="s">
        <v>62</v>
      </c>
      <c r="AK16" s="1"/>
      <c r="AL16" s="24" t="s">
        <v>61</v>
      </c>
      <c r="AM16" s="25">
        <f>SUM(AM17:AM96)</f>
        <v>27804.08</v>
      </c>
      <c r="AN16" s="31"/>
      <c r="AO16" s="24" t="s">
        <v>14</v>
      </c>
      <c r="AP16" s="24" t="s">
        <v>62</v>
      </c>
      <c r="AQ16" s="1"/>
      <c r="AR16" s="3" t="s">
        <v>61</v>
      </c>
      <c r="AS16" s="26">
        <f>SUM(AS17:AS114)</f>
        <v>32100.31</v>
      </c>
      <c r="AT16" s="3"/>
      <c r="AU16" s="3" t="s">
        <v>14</v>
      </c>
      <c r="AV16" s="3" t="s">
        <v>62</v>
      </c>
      <c r="AW16" s="1"/>
      <c r="AX16" s="24" t="s">
        <v>61</v>
      </c>
      <c r="AY16" s="25">
        <f>SUM(AY17:AY96)</f>
        <v>24545.19</v>
      </c>
      <c r="AZ16" s="31"/>
      <c r="BA16" s="24" t="s">
        <v>14</v>
      </c>
      <c r="BB16" s="24" t="s">
        <v>62</v>
      </c>
      <c r="BC16" s="1"/>
      <c r="BD16" s="3" t="s">
        <v>61</v>
      </c>
      <c r="BE16" s="26">
        <f>SUM(BE17:BE114)</f>
        <v>35416.45</v>
      </c>
      <c r="BF16" s="3"/>
      <c r="BG16" s="3" t="s">
        <v>14</v>
      </c>
      <c r="BH16" s="3" t="s">
        <v>62</v>
      </c>
      <c r="BI16" s="1"/>
      <c r="BJ16" s="24" t="s">
        <v>61</v>
      </c>
      <c r="BK16" s="25">
        <f>SUM(BK17:BK96)</f>
        <v>44881.69</v>
      </c>
      <c r="BL16" s="31"/>
      <c r="BM16" s="24" t="s">
        <v>14</v>
      </c>
      <c r="BN16" s="24" t="s">
        <v>62</v>
      </c>
      <c r="BO16" s="1"/>
      <c r="BP16" s="3" t="s">
        <v>61</v>
      </c>
      <c r="BQ16" s="26">
        <f>SUM(BQ17:BQ112)</f>
        <v>55625.82</v>
      </c>
      <c r="BR16" s="3"/>
      <c r="BS16" s="3" t="s">
        <v>14</v>
      </c>
      <c r="BT16" s="3" t="s">
        <v>62</v>
      </c>
      <c r="BU16" s="4"/>
    </row>
    <row r="17">
      <c r="A17" s="1"/>
      <c r="B17" s="32" t="s">
        <v>63</v>
      </c>
      <c r="C17" s="33">
        <v>1877.16</v>
      </c>
      <c r="D17" s="34">
        <v>4.0</v>
      </c>
      <c r="E17" s="35" t="s">
        <v>28</v>
      </c>
      <c r="F17" s="36" t="s">
        <v>34</v>
      </c>
      <c r="G17" s="1"/>
      <c r="H17" s="32" t="s">
        <v>63</v>
      </c>
      <c r="I17" s="33">
        <v>1878.35</v>
      </c>
      <c r="J17" s="34">
        <v>4.0</v>
      </c>
      <c r="K17" s="35" t="s">
        <v>28</v>
      </c>
      <c r="L17" s="36" t="s">
        <v>34</v>
      </c>
      <c r="M17" s="1"/>
      <c r="N17" s="32" t="s">
        <v>63</v>
      </c>
      <c r="O17" s="33">
        <v>1876.66</v>
      </c>
      <c r="P17" s="34">
        <v>4.0</v>
      </c>
      <c r="Q17" s="35" t="s">
        <v>28</v>
      </c>
      <c r="R17" s="36" t="s">
        <v>34</v>
      </c>
      <c r="S17" s="1"/>
      <c r="T17" s="32" t="s">
        <v>63</v>
      </c>
      <c r="U17" s="33">
        <v>1877.22</v>
      </c>
      <c r="V17" s="34">
        <v>4.0</v>
      </c>
      <c r="W17" s="35" t="s">
        <v>28</v>
      </c>
      <c r="X17" s="36" t="s">
        <v>34</v>
      </c>
      <c r="Y17" s="1"/>
      <c r="Z17" s="32" t="s">
        <v>63</v>
      </c>
      <c r="AA17" s="33">
        <v>1875.56</v>
      </c>
      <c r="AB17" s="34">
        <v>4.0</v>
      </c>
      <c r="AC17" s="35" t="s">
        <v>28</v>
      </c>
      <c r="AD17" s="36" t="s">
        <v>34</v>
      </c>
      <c r="AE17" s="1"/>
      <c r="AF17" s="32" t="s">
        <v>63</v>
      </c>
      <c r="AG17" s="33">
        <v>1876.77</v>
      </c>
      <c r="AH17" s="34">
        <v>4.0</v>
      </c>
      <c r="AI17" s="35" t="s">
        <v>28</v>
      </c>
      <c r="AJ17" s="36" t="s">
        <v>34</v>
      </c>
      <c r="AK17" s="1"/>
      <c r="AL17" s="32" t="s">
        <v>63</v>
      </c>
      <c r="AM17" s="33">
        <v>1876.04</v>
      </c>
      <c r="AN17" s="34">
        <v>4.0</v>
      </c>
      <c r="AO17" s="35" t="s">
        <v>28</v>
      </c>
      <c r="AP17" s="36" t="s">
        <v>34</v>
      </c>
      <c r="AQ17" s="1"/>
      <c r="AR17" s="32" t="s">
        <v>63</v>
      </c>
      <c r="AS17" s="33">
        <v>1876.26</v>
      </c>
      <c r="AT17" s="34">
        <v>4.0</v>
      </c>
      <c r="AU17" s="35" t="s">
        <v>28</v>
      </c>
      <c r="AV17" s="36" t="s">
        <v>34</v>
      </c>
      <c r="AW17" s="1"/>
      <c r="AX17" s="32" t="s">
        <v>63</v>
      </c>
      <c r="AY17" s="33">
        <v>1876.97</v>
      </c>
      <c r="AZ17" s="34">
        <v>4.0</v>
      </c>
      <c r="BA17" s="35" t="s">
        <v>28</v>
      </c>
      <c r="BB17" s="36" t="s">
        <v>34</v>
      </c>
      <c r="BC17" s="1"/>
      <c r="BD17" s="32" t="s">
        <v>63</v>
      </c>
      <c r="BE17" s="33">
        <v>1875.23</v>
      </c>
      <c r="BF17" s="34">
        <v>4.0</v>
      </c>
      <c r="BG17" s="35" t="s">
        <v>28</v>
      </c>
      <c r="BH17" s="36" t="s">
        <v>34</v>
      </c>
      <c r="BI17" s="1"/>
      <c r="BJ17" s="32" t="s">
        <v>63</v>
      </c>
      <c r="BK17" s="33">
        <v>1874.56</v>
      </c>
      <c r="BL17" s="34">
        <v>4.0</v>
      </c>
      <c r="BM17" s="35" t="s">
        <v>28</v>
      </c>
      <c r="BN17" s="36" t="s">
        <v>34</v>
      </c>
      <c r="BO17" s="1"/>
      <c r="BP17" s="32" t="s">
        <v>63</v>
      </c>
      <c r="BQ17" s="33">
        <v>1872.65</v>
      </c>
      <c r="BR17" s="34">
        <v>4.0</v>
      </c>
      <c r="BS17" s="35" t="s">
        <v>28</v>
      </c>
      <c r="BT17" s="36" t="s">
        <v>34</v>
      </c>
      <c r="BU17" s="4"/>
    </row>
    <row r="18">
      <c r="A18" s="1"/>
      <c r="B18" s="32" t="s">
        <v>64</v>
      </c>
      <c r="C18" s="33">
        <v>240.0</v>
      </c>
      <c r="D18" s="34">
        <v>5.0</v>
      </c>
      <c r="E18" s="35" t="s">
        <v>28</v>
      </c>
      <c r="F18" s="36" t="s">
        <v>32</v>
      </c>
      <c r="G18" s="1"/>
      <c r="H18" s="32" t="s">
        <v>64</v>
      </c>
      <c r="I18" s="33">
        <v>240.0</v>
      </c>
      <c r="J18" s="34">
        <v>5.0</v>
      </c>
      <c r="K18" s="35" t="s">
        <v>28</v>
      </c>
      <c r="L18" s="36" t="s">
        <v>32</v>
      </c>
      <c r="M18" s="1"/>
      <c r="N18" s="32" t="s">
        <v>64</v>
      </c>
      <c r="O18" s="33">
        <v>240.0</v>
      </c>
      <c r="P18" s="34">
        <v>5.0</v>
      </c>
      <c r="Q18" s="35" t="s">
        <v>28</v>
      </c>
      <c r="R18" s="36" t="s">
        <v>32</v>
      </c>
      <c r="S18" s="1"/>
      <c r="T18" s="32" t="s">
        <v>64</v>
      </c>
      <c r="U18" s="33">
        <v>306.5</v>
      </c>
      <c r="V18" s="34">
        <v>5.0</v>
      </c>
      <c r="W18" s="35" t="s">
        <v>28</v>
      </c>
      <c r="X18" s="36" t="s">
        <v>32</v>
      </c>
      <c r="Y18" s="1"/>
      <c r="Z18" s="32" t="s">
        <v>64</v>
      </c>
      <c r="AA18" s="33">
        <v>240.0</v>
      </c>
      <c r="AB18" s="34">
        <v>5.0</v>
      </c>
      <c r="AC18" s="35" t="s">
        <v>28</v>
      </c>
      <c r="AD18" s="36" t="s">
        <v>32</v>
      </c>
      <c r="AE18" s="1"/>
      <c r="AF18" s="32" t="s">
        <v>64</v>
      </c>
      <c r="AG18" s="33">
        <v>240.0</v>
      </c>
      <c r="AH18" s="34">
        <v>5.0</v>
      </c>
      <c r="AI18" s="35" t="s">
        <v>28</v>
      </c>
      <c r="AJ18" s="36" t="s">
        <v>32</v>
      </c>
      <c r="AK18" s="1"/>
      <c r="AL18" s="32" t="s">
        <v>64</v>
      </c>
      <c r="AM18" s="33">
        <v>240.0</v>
      </c>
      <c r="AN18" s="34">
        <v>5.0</v>
      </c>
      <c r="AO18" s="35" t="s">
        <v>28</v>
      </c>
      <c r="AP18" s="36" t="s">
        <v>32</v>
      </c>
      <c r="AQ18" s="1"/>
      <c r="AR18" s="32" t="s">
        <v>64</v>
      </c>
      <c r="AS18" s="33">
        <v>252.0</v>
      </c>
      <c r="AT18" s="34">
        <v>5.0</v>
      </c>
      <c r="AU18" s="35" t="s">
        <v>28</v>
      </c>
      <c r="AV18" s="36" t="s">
        <v>32</v>
      </c>
      <c r="AW18" s="1"/>
      <c r="AX18" s="32" t="s">
        <v>64</v>
      </c>
      <c r="AY18" s="33">
        <v>272.0</v>
      </c>
      <c r="AZ18" s="34">
        <v>5.0</v>
      </c>
      <c r="BA18" s="35" t="s">
        <v>28</v>
      </c>
      <c r="BB18" s="36" t="s">
        <v>32</v>
      </c>
      <c r="BC18" s="1"/>
      <c r="BD18" s="32" t="s">
        <v>64</v>
      </c>
      <c r="BE18" s="33">
        <v>252.0</v>
      </c>
      <c r="BF18" s="34">
        <v>5.0</v>
      </c>
      <c r="BG18" s="35" t="s">
        <v>28</v>
      </c>
      <c r="BH18" s="36" t="s">
        <v>32</v>
      </c>
      <c r="BI18" s="1"/>
      <c r="BJ18" s="32" t="s">
        <v>64</v>
      </c>
      <c r="BK18" s="33">
        <v>252.0</v>
      </c>
      <c r="BL18" s="34">
        <v>5.0</v>
      </c>
      <c r="BM18" s="35" t="s">
        <v>28</v>
      </c>
      <c r="BN18" s="36" t="s">
        <v>32</v>
      </c>
      <c r="BO18" s="1"/>
      <c r="BP18" s="32" t="s">
        <v>64</v>
      </c>
      <c r="BQ18" s="33">
        <v>252.0</v>
      </c>
      <c r="BR18" s="34">
        <v>5.0</v>
      </c>
      <c r="BS18" s="35" t="s">
        <v>28</v>
      </c>
      <c r="BT18" s="36" t="s">
        <v>32</v>
      </c>
      <c r="BU18" s="4"/>
    </row>
    <row r="19">
      <c r="A19" s="1"/>
      <c r="B19" s="32" t="s">
        <v>66</v>
      </c>
      <c r="C19" s="33">
        <v>75.33</v>
      </c>
      <c r="D19" s="34">
        <v>8.0</v>
      </c>
      <c r="E19" s="35" t="s">
        <v>28</v>
      </c>
      <c r="F19" s="36" t="s">
        <v>32</v>
      </c>
      <c r="G19" s="1"/>
      <c r="H19" s="32" t="s">
        <v>66</v>
      </c>
      <c r="I19" s="33">
        <v>226.96</v>
      </c>
      <c r="J19" s="34">
        <v>8.0</v>
      </c>
      <c r="K19" s="35" t="s">
        <v>28</v>
      </c>
      <c r="L19" s="36" t="s">
        <v>32</v>
      </c>
      <c r="M19" s="1"/>
      <c r="N19" s="32" t="s">
        <v>66</v>
      </c>
      <c r="O19" s="33">
        <v>269.42</v>
      </c>
      <c r="P19" s="34">
        <v>8.0</v>
      </c>
      <c r="Q19" s="35" t="s">
        <v>28</v>
      </c>
      <c r="R19" s="36" t="s">
        <v>32</v>
      </c>
      <c r="S19" s="1"/>
      <c r="T19" s="32" t="s">
        <v>66</v>
      </c>
      <c r="U19" s="33">
        <v>226.96</v>
      </c>
      <c r="V19" s="34">
        <v>8.0</v>
      </c>
      <c r="W19" s="35" t="s">
        <v>28</v>
      </c>
      <c r="X19" s="36" t="s">
        <v>32</v>
      </c>
      <c r="Y19" s="1"/>
      <c r="Z19" s="32" t="s">
        <v>66</v>
      </c>
      <c r="AA19" s="33">
        <v>220.44</v>
      </c>
      <c r="AB19" s="34">
        <v>8.0</v>
      </c>
      <c r="AC19" s="35" t="s">
        <v>28</v>
      </c>
      <c r="AD19" s="36" t="s">
        <v>32</v>
      </c>
      <c r="AE19" s="1"/>
      <c r="AF19" s="32" t="s">
        <v>66</v>
      </c>
      <c r="AG19" s="33">
        <v>417.04</v>
      </c>
      <c r="AH19" s="34">
        <v>8.0</v>
      </c>
      <c r="AI19" s="35" t="s">
        <v>28</v>
      </c>
      <c r="AJ19" s="36" t="s">
        <v>32</v>
      </c>
      <c r="AK19" s="1"/>
      <c r="AL19" s="32" t="s">
        <v>66</v>
      </c>
      <c r="AM19" s="33">
        <v>417.04</v>
      </c>
      <c r="AN19" s="34">
        <v>8.0</v>
      </c>
      <c r="AO19" s="35" t="s">
        <v>28</v>
      </c>
      <c r="AP19" s="36" t="s">
        <v>32</v>
      </c>
      <c r="AQ19" s="1"/>
      <c r="AR19" s="32" t="s">
        <v>66</v>
      </c>
      <c r="AS19" s="33">
        <v>282.67</v>
      </c>
      <c r="AT19" s="34">
        <v>8.0</v>
      </c>
      <c r="AU19" s="35" t="s">
        <v>28</v>
      </c>
      <c r="AV19" s="36" t="s">
        <v>32</v>
      </c>
      <c r="AW19" s="1"/>
      <c r="AX19" s="32" t="s">
        <v>66</v>
      </c>
      <c r="AY19" s="33">
        <v>86.5</v>
      </c>
      <c r="AZ19" s="34">
        <v>8.0</v>
      </c>
      <c r="BA19" s="35" t="s">
        <v>28</v>
      </c>
      <c r="BB19" s="36" t="s">
        <v>32</v>
      </c>
      <c r="BC19" s="1"/>
      <c r="BD19" s="32" t="s">
        <v>66</v>
      </c>
      <c r="BE19" s="33">
        <v>185.09</v>
      </c>
      <c r="BF19" s="34">
        <v>8.0</v>
      </c>
      <c r="BG19" s="35" t="s">
        <v>28</v>
      </c>
      <c r="BH19" s="36" t="s">
        <v>32</v>
      </c>
      <c r="BI19" s="1"/>
      <c r="BJ19" s="32" t="s">
        <v>66</v>
      </c>
      <c r="BK19" s="33">
        <v>363.29</v>
      </c>
      <c r="BL19" s="34">
        <v>8.0</v>
      </c>
      <c r="BM19" s="35" t="s">
        <v>28</v>
      </c>
      <c r="BN19" s="36" t="s">
        <v>32</v>
      </c>
      <c r="BO19" s="1"/>
      <c r="BP19" s="32" t="s">
        <v>66</v>
      </c>
      <c r="BQ19" s="33">
        <v>202.77</v>
      </c>
      <c r="BR19" s="34">
        <v>8.0</v>
      </c>
      <c r="BS19" s="35" t="s">
        <v>28</v>
      </c>
      <c r="BT19" s="36" t="s">
        <v>32</v>
      </c>
      <c r="BU19" s="4"/>
    </row>
    <row r="20">
      <c r="A20" s="1"/>
      <c r="B20" s="32" t="s">
        <v>71</v>
      </c>
      <c r="C20" s="46" t="s">
        <v>711</v>
      </c>
      <c r="D20" s="34">
        <v>10.0</v>
      </c>
      <c r="E20" s="35" t="s">
        <v>32</v>
      </c>
      <c r="G20" s="1"/>
      <c r="H20" s="32" t="s">
        <v>71</v>
      </c>
      <c r="I20" s="46">
        <v>690.2</v>
      </c>
      <c r="J20" s="34">
        <v>10.0</v>
      </c>
      <c r="K20" s="35" t="s">
        <v>32</v>
      </c>
      <c r="L20" s="36" t="s">
        <v>32</v>
      </c>
      <c r="M20" s="1"/>
      <c r="N20" s="32" t="s">
        <v>71</v>
      </c>
      <c r="O20" s="46">
        <v>878.5</v>
      </c>
      <c r="P20" s="34">
        <v>10.0</v>
      </c>
      <c r="Q20" s="35" t="s">
        <v>32</v>
      </c>
      <c r="R20" s="36" t="s">
        <v>32</v>
      </c>
      <c r="S20" s="1"/>
      <c r="T20" s="32" t="s">
        <v>71</v>
      </c>
      <c r="U20" s="46">
        <v>878.5</v>
      </c>
      <c r="V20" s="34">
        <v>10.0</v>
      </c>
      <c r="W20" s="35" t="s">
        <v>32</v>
      </c>
      <c r="X20" s="36" t="s">
        <v>32</v>
      </c>
      <c r="Y20" s="1"/>
      <c r="Z20" s="32" t="s">
        <v>71</v>
      </c>
      <c r="AA20" s="46">
        <v>878.5</v>
      </c>
      <c r="AB20" s="34">
        <v>10.0</v>
      </c>
      <c r="AC20" s="35" t="s">
        <v>32</v>
      </c>
      <c r="AD20" s="36" t="s">
        <v>32</v>
      </c>
      <c r="AE20" s="1"/>
      <c r="AF20" s="32" t="s">
        <v>71</v>
      </c>
      <c r="AG20" s="46">
        <v>878.5</v>
      </c>
      <c r="AH20" s="34">
        <v>10.0</v>
      </c>
      <c r="AI20" s="35" t="s">
        <v>32</v>
      </c>
      <c r="AJ20" s="36" t="s">
        <v>32</v>
      </c>
      <c r="AK20" s="1"/>
      <c r="AL20" s="32" t="s">
        <v>71</v>
      </c>
      <c r="AM20" s="46">
        <v>878.5</v>
      </c>
      <c r="AN20" s="34">
        <v>10.0</v>
      </c>
      <c r="AO20" s="35" t="s">
        <v>32</v>
      </c>
      <c r="AP20" s="36" t="s">
        <v>32</v>
      </c>
      <c r="AQ20" s="1"/>
      <c r="AR20" s="32" t="s">
        <v>71</v>
      </c>
      <c r="AS20" s="46">
        <v>878.5</v>
      </c>
      <c r="AT20" s="34">
        <v>10.0</v>
      </c>
      <c r="AU20" s="35" t="s">
        <v>32</v>
      </c>
      <c r="AV20" s="36" t="s">
        <v>32</v>
      </c>
      <c r="AW20" s="1"/>
      <c r="AX20" s="32" t="s">
        <v>71</v>
      </c>
      <c r="AY20" s="46">
        <v>878.5</v>
      </c>
      <c r="AZ20" s="34">
        <v>10.0</v>
      </c>
      <c r="BA20" s="35" t="s">
        <v>32</v>
      </c>
      <c r="BB20" s="36" t="s">
        <v>32</v>
      </c>
      <c r="BC20" s="1"/>
      <c r="BD20" s="32" t="s">
        <v>71</v>
      </c>
      <c r="BE20" s="46">
        <v>878.5</v>
      </c>
      <c r="BF20" s="34">
        <v>10.0</v>
      </c>
      <c r="BG20" s="35" t="s">
        <v>32</v>
      </c>
      <c r="BH20" s="36" t="s">
        <v>32</v>
      </c>
      <c r="BI20" s="1"/>
      <c r="BJ20" s="32" t="s">
        <v>71</v>
      </c>
      <c r="BK20" s="46">
        <v>878.5</v>
      </c>
      <c r="BL20" s="34">
        <v>10.0</v>
      </c>
      <c r="BM20" s="35" t="s">
        <v>32</v>
      </c>
      <c r="BN20" s="36" t="s">
        <v>32</v>
      </c>
      <c r="BO20" s="1"/>
      <c r="BP20" s="32" t="s">
        <v>71</v>
      </c>
      <c r="BQ20" s="46">
        <v>878.5</v>
      </c>
      <c r="BR20" s="34">
        <v>10.0</v>
      </c>
      <c r="BS20" s="35" t="s">
        <v>32</v>
      </c>
      <c r="BT20" s="36" t="s">
        <v>32</v>
      </c>
      <c r="BU20" s="4"/>
    </row>
    <row r="21">
      <c r="A21" s="1"/>
      <c r="B21" s="32" t="s">
        <v>73</v>
      </c>
      <c r="C21" s="52"/>
      <c r="D21" s="34">
        <v>10.0</v>
      </c>
      <c r="E21" s="35" t="s">
        <v>28</v>
      </c>
      <c r="G21" s="1"/>
      <c r="H21" s="32" t="s">
        <v>73</v>
      </c>
      <c r="I21" s="52">
        <v>1290.88</v>
      </c>
      <c r="J21" s="34">
        <v>10.0</v>
      </c>
      <c r="K21" s="35" t="s">
        <v>28</v>
      </c>
      <c r="L21" s="36" t="s">
        <v>32</v>
      </c>
      <c r="M21" s="1"/>
      <c r="N21" s="32" t="s">
        <v>73</v>
      </c>
      <c r="O21" s="52">
        <v>1102.58</v>
      </c>
      <c r="P21" s="34">
        <v>10.0</v>
      </c>
      <c r="Q21" s="35" t="s">
        <v>28</v>
      </c>
      <c r="R21" s="36" t="s">
        <v>32</v>
      </c>
      <c r="S21" s="1"/>
      <c r="T21" s="32" t="s">
        <v>73</v>
      </c>
      <c r="U21" s="52">
        <v>1102.58</v>
      </c>
      <c r="V21" s="34">
        <v>10.0</v>
      </c>
      <c r="W21" s="35" t="s">
        <v>28</v>
      </c>
      <c r="X21" s="36" t="s">
        <v>32</v>
      </c>
      <c r="Y21" s="1"/>
      <c r="Z21" s="32" t="s">
        <v>73</v>
      </c>
      <c r="AA21" s="52">
        <v>1102.58</v>
      </c>
      <c r="AB21" s="34">
        <v>10.0</v>
      </c>
      <c r="AC21" s="35" t="s">
        <v>28</v>
      </c>
      <c r="AD21" s="36" t="s">
        <v>32</v>
      </c>
      <c r="AE21" s="1"/>
      <c r="AF21" s="32" t="s">
        <v>73</v>
      </c>
      <c r="AG21" s="52">
        <v>1102.58</v>
      </c>
      <c r="AH21" s="34">
        <v>10.0</v>
      </c>
      <c r="AI21" s="35" t="s">
        <v>28</v>
      </c>
      <c r="AJ21" s="36" t="s">
        <v>32</v>
      </c>
      <c r="AK21" s="1"/>
      <c r="AL21" s="32" t="s">
        <v>73</v>
      </c>
      <c r="AM21" s="52">
        <v>1102.58</v>
      </c>
      <c r="AN21" s="34">
        <v>10.0</v>
      </c>
      <c r="AO21" s="35" t="s">
        <v>28</v>
      </c>
      <c r="AP21" s="36" t="s">
        <v>32</v>
      </c>
      <c r="AQ21" s="1"/>
      <c r="AR21" s="32" t="s">
        <v>73</v>
      </c>
      <c r="AS21" s="52">
        <v>1102.58</v>
      </c>
      <c r="AT21" s="34">
        <v>10.0</v>
      </c>
      <c r="AU21" s="35" t="s">
        <v>28</v>
      </c>
      <c r="AV21" s="36" t="s">
        <v>32</v>
      </c>
      <c r="AW21" s="1"/>
      <c r="AX21" s="32" t="s">
        <v>73</v>
      </c>
      <c r="AY21" s="52">
        <v>1102.58</v>
      </c>
      <c r="AZ21" s="34">
        <v>10.0</v>
      </c>
      <c r="BA21" s="35" t="s">
        <v>28</v>
      </c>
      <c r="BB21" s="36" t="s">
        <v>32</v>
      </c>
      <c r="BC21" s="1"/>
      <c r="BD21" s="32" t="s">
        <v>73</v>
      </c>
      <c r="BE21" s="52">
        <v>1102.58</v>
      </c>
      <c r="BF21" s="34">
        <v>10.0</v>
      </c>
      <c r="BG21" s="35" t="s">
        <v>28</v>
      </c>
      <c r="BH21" s="36" t="s">
        <v>32</v>
      </c>
      <c r="BI21" s="1"/>
      <c r="BJ21" s="32" t="s">
        <v>73</v>
      </c>
      <c r="BK21" s="52">
        <v>1102.58</v>
      </c>
      <c r="BL21" s="34">
        <v>10.0</v>
      </c>
      <c r="BM21" s="35" t="s">
        <v>28</v>
      </c>
      <c r="BN21" s="36" t="s">
        <v>32</v>
      </c>
      <c r="BO21" s="1"/>
      <c r="BP21" s="32" t="s">
        <v>73</v>
      </c>
      <c r="BQ21" s="52">
        <v>1102.58</v>
      </c>
      <c r="BR21" s="34">
        <v>10.0</v>
      </c>
      <c r="BS21" s="35" t="s">
        <v>28</v>
      </c>
      <c r="BT21" s="36" t="s">
        <v>32</v>
      </c>
      <c r="BU21" s="4"/>
    </row>
    <row r="22">
      <c r="A22" s="1"/>
      <c r="B22" s="32" t="s">
        <v>74</v>
      </c>
      <c r="C22" s="68"/>
      <c r="D22" s="34">
        <v>10.0</v>
      </c>
      <c r="E22" s="35" t="s">
        <v>32</v>
      </c>
      <c r="G22" s="1"/>
      <c r="H22" s="32" t="s">
        <v>74</v>
      </c>
      <c r="I22" s="46">
        <v>705.94</v>
      </c>
      <c r="J22" s="34">
        <v>10.0</v>
      </c>
      <c r="K22" s="35" t="s">
        <v>32</v>
      </c>
      <c r="L22" s="36" t="s">
        <v>32</v>
      </c>
      <c r="M22" s="1"/>
      <c r="N22" s="32" t="s">
        <v>74</v>
      </c>
      <c r="O22" s="46">
        <v>941.25</v>
      </c>
      <c r="P22" s="34">
        <v>10.0</v>
      </c>
      <c r="Q22" s="35" t="s">
        <v>32</v>
      </c>
      <c r="R22" s="36" t="s">
        <v>32</v>
      </c>
      <c r="S22" s="1"/>
      <c r="T22" s="32" t="s">
        <v>74</v>
      </c>
      <c r="U22" s="46">
        <v>941.25</v>
      </c>
      <c r="V22" s="34">
        <v>10.0</v>
      </c>
      <c r="W22" s="35" t="s">
        <v>32</v>
      </c>
      <c r="X22" s="36" t="s">
        <v>32</v>
      </c>
      <c r="Y22" s="1"/>
      <c r="Z22" s="32" t="s">
        <v>74</v>
      </c>
      <c r="AA22" s="46">
        <v>941.25</v>
      </c>
      <c r="AB22" s="34">
        <v>10.0</v>
      </c>
      <c r="AC22" s="35" t="s">
        <v>32</v>
      </c>
      <c r="AD22" s="36" t="s">
        <v>32</v>
      </c>
      <c r="AE22" s="1"/>
      <c r="AF22" s="32" t="s">
        <v>74</v>
      </c>
      <c r="AG22" s="46">
        <v>941.25</v>
      </c>
      <c r="AH22" s="34">
        <v>10.0</v>
      </c>
      <c r="AI22" s="35" t="s">
        <v>32</v>
      </c>
      <c r="AJ22" s="36" t="s">
        <v>32</v>
      </c>
      <c r="AK22" s="1"/>
      <c r="AL22" s="32" t="s">
        <v>74</v>
      </c>
      <c r="AM22" s="46">
        <v>941.25</v>
      </c>
      <c r="AN22" s="34">
        <v>10.0</v>
      </c>
      <c r="AO22" s="35" t="s">
        <v>32</v>
      </c>
      <c r="AP22" s="36" t="s">
        <v>32</v>
      </c>
      <c r="AQ22" s="1"/>
      <c r="AR22" s="32" t="s">
        <v>74</v>
      </c>
      <c r="AS22" s="46">
        <v>941.25</v>
      </c>
      <c r="AT22" s="34">
        <v>10.0</v>
      </c>
      <c r="AU22" s="35" t="s">
        <v>32</v>
      </c>
      <c r="AV22" s="36" t="s">
        <v>32</v>
      </c>
      <c r="AW22" s="1"/>
      <c r="AX22" s="32" t="s">
        <v>74</v>
      </c>
      <c r="AY22" s="46">
        <v>941.25</v>
      </c>
      <c r="AZ22" s="34">
        <v>10.0</v>
      </c>
      <c r="BA22" s="35" t="s">
        <v>32</v>
      </c>
      <c r="BB22" s="36" t="s">
        <v>32</v>
      </c>
      <c r="BC22" s="1"/>
      <c r="BD22" s="32" t="s">
        <v>74</v>
      </c>
      <c r="BE22" s="46">
        <v>941.25</v>
      </c>
      <c r="BF22" s="34">
        <v>10.0</v>
      </c>
      <c r="BG22" s="35" t="s">
        <v>32</v>
      </c>
      <c r="BH22" s="36" t="s">
        <v>32</v>
      </c>
      <c r="BI22" s="1"/>
      <c r="BJ22" s="32" t="s">
        <v>74</v>
      </c>
      <c r="BK22" s="46">
        <v>941.25</v>
      </c>
      <c r="BL22" s="34">
        <v>10.0</v>
      </c>
      <c r="BM22" s="35" t="s">
        <v>32</v>
      </c>
      <c r="BN22" s="36" t="s">
        <v>32</v>
      </c>
      <c r="BO22" s="1"/>
      <c r="BP22" s="32" t="s">
        <v>74</v>
      </c>
      <c r="BQ22" s="46">
        <v>941.25</v>
      </c>
      <c r="BR22" s="34">
        <v>10.0</v>
      </c>
      <c r="BS22" s="35" t="s">
        <v>32</v>
      </c>
      <c r="BT22" s="36" t="s">
        <v>32</v>
      </c>
      <c r="BU22" s="4"/>
    </row>
    <row r="23">
      <c r="A23" s="1"/>
      <c r="B23" s="32" t="s">
        <v>75</v>
      </c>
      <c r="C23" s="52"/>
      <c r="D23" s="34">
        <v>10.0</v>
      </c>
      <c r="E23" s="35" t="s">
        <v>28</v>
      </c>
      <c r="G23" s="1"/>
      <c r="H23" s="32" t="s">
        <v>75</v>
      </c>
      <c r="I23" s="52">
        <v>759.1</v>
      </c>
      <c r="J23" s="34">
        <v>10.0</v>
      </c>
      <c r="K23" s="35" t="s">
        <v>28</v>
      </c>
      <c r="L23" s="36" t="s">
        <v>32</v>
      </c>
      <c r="M23" s="1"/>
      <c r="N23" s="32" t="s">
        <v>75</v>
      </c>
      <c r="O23" s="52">
        <v>523.79</v>
      </c>
      <c r="P23" s="34">
        <v>10.0</v>
      </c>
      <c r="Q23" s="35" t="s">
        <v>28</v>
      </c>
      <c r="R23" s="36" t="s">
        <v>32</v>
      </c>
      <c r="S23" s="1"/>
      <c r="T23" s="32" t="s">
        <v>75</v>
      </c>
      <c r="U23" s="52">
        <v>523.79</v>
      </c>
      <c r="V23" s="34">
        <v>10.0</v>
      </c>
      <c r="W23" s="35" t="s">
        <v>28</v>
      </c>
      <c r="X23" s="36" t="s">
        <v>32</v>
      </c>
      <c r="Y23" s="1"/>
      <c r="Z23" s="32" t="s">
        <v>75</v>
      </c>
      <c r="AA23" s="52">
        <v>523.79</v>
      </c>
      <c r="AB23" s="34">
        <v>10.0</v>
      </c>
      <c r="AC23" s="35" t="s">
        <v>28</v>
      </c>
      <c r="AD23" s="36" t="s">
        <v>32</v>
      </c>
      <c r="AE23" s="1"/>
      <c r="AF23" s="32" t="s">
        <v>75</v>
      </c>
      <c r="AG23" s="52">
        <v>523.79</v>
      </c>
      <c r="AH23" s="34">
        <v>10.0</v>
      </c>
      <c r="AI23" s="35" t="s">
        <v>28</v>
      </c>
      <c r="AJ23" s="36" t="s">
        <v>32</v>
      </c>
      <c r="AK23" s="1"/>
      <c r="AL23" s="32" t="s">
        <v>75</v>
      </c>
      <c r="AM23" s="52">
        <v>523.79</v>
      </c>
      <c r="AN23" s="34">
        <v>10.0</v>
      </c>
      <c r="AO23" s="35" t="s">
        <v>28</v>
      </c>
      <c r="AP23" s="36" t="s">
        <v>32</v>
      </c>
      <c r="AQ23" s="1"/>
      <c r="AR23" s="32" t="s">
        <v>75</v>
      </c>
      <c r="AS23" s="52">
        <v>523.79</v>
      </c>
      <c r="AT23" s="34">
        <v>10.0</v>
      </c>
      <c r="AU23" s="35" t="s">
        <v>28</v>
      </c>
      <c r="AV23" s="36" t="s">
        <v>32</v>
      </c>
      <c r="AW23" s="1"/>
      <c r="AX23" s="32" t="s">
        <v>75</v>
      </c>
      <c r="AY23" s="52">
        <v>523.79</v>
      </c>
      <c r="AZ23" s="34">
        <v>10.0</v>
      </c>
      <c r="BA23" s="35" t="s">
        <v>28</v>
      </c>
      <c r="BB23" s="36" t="s">
        <v>32</v>
      </c>
      <c r="BC23" s="1"/>
      <c r="BD23" s="32" t="s">
        <v>75</v>
      </c>
      <c r="BE23" s="52">
        <v>523.79</v>
      </c>
      <c r="BF23" s="34">
        <v>10.0</v>
      </c>
      <c r="BG23" s="35" t="s">
        <v>28</v>
      </c>
      <c r="BH23" s="36" t="s">
        <v>32</v>
      </c>
      <c r="BI23" s="1"/>
      <c r="BJ23" s="32" t="s">
        <v>75</v>
      </c>
      <c r="BK23" s="52">
        <v>523.79</v>
      </c>
      <c r="BL23" s="34">
        <v>10.0</v>
      </c>
      <c r="BM23" s="35" t="s">
        <v>28</v>
      </c>
      <c r="BN23" s="36" t="s">
        <v>32</v>
      </c>
      <c r="BO23" s="1"/>
      <c r="BP23" s="32" t="s">
        <v>75</v>
      </c>
      <c r="BQ23" s="52">
        <v>523.79</v>
      </c>
      <c r="BR23" s="34">
        <v>10.0</v>
      </c>
      <c r="BS23" s="35" t="s">
        <v>28</v>
      </c>
      <c r="BT23" s="36" t="s">
        <v>32</v>
      </c>
      <c r="BU23" s="4"/>
    </row>
    <row r="24">
      <c r="A24" s="1"/>
      <c r="B24" s="32" t="s">
        <v>76</v>
      </c>
      <c r="C24" s="52">
        <v>235.94</v>
      </c>
      <c r="D24" s="34">
        <v>10.0</v>
      </c>
      <c r="E24" s="35" t="s">
        <v>28</v>
      </c>
      <c r="F24" s="36" t="s">
        <v>32</v>
      </c>
      <c r="G24" s="1"/>
      <c r="H24" s="32" t="s">
        <v>76</v>
      </c>
      <c r="I24" s="33">
        <v>371.26</v>
      </c>
      <c r="J24" s="34">
        <v>10.0</v>
      </c>
      <c r="K24" s="35" t="s">
        <v>28</v>
      </c>
      <c r="L24" s="36" t="s">
        <v>32</v>
      </c>
      <c r="M24" s="1"/>
      <c r="N24" s="32" t="s">
        <v>76</v>
      </c>
      <c r="O24" s="52">
        <v>436.56</v>
      </c>
      <c r="P24" s="34">
        <v>10.0</v>
      </c>
      <c r="Q24" s="35" t="s">
        <v>28</v>
      </c>
      <c r="R24" s="36" t="s">
        <v>32</v>
      </c>
      <c r="S24" s="1"/>
      <c r="T24" s="32" t="s">
        <v>76</v>
      </c>
      <c r="U24" s="33">
        <v>579.98</v>
      </c>
      <c r="V24" s="34">
        <v>10.0</v>
      </c>
      <c r="W24" s="35" t="s">
        <v>28</v>
      </c>
      <c r="X24" s="36" t="s">
        <v>32</v>
      </c>
      <c r="Y24" s="1"/>
      <c r="Z24" s="32" t="s">
        <v>76</v>
      </c>
      <c r="AA24" s="52">
        <v>480.44</v>
      </c>
      <c r="AB24" s="34">
        <v>10.0</v>
      </c>
      <c r="AC24" s="35" t="s">
        <v>28</v>
      </c>
      <c r="AD24" s="36" t="s">
        <v>32</v>
      </c>
      <c r="AE24" s="1"/>
      <c r="AF24" s="32" t="s">
        <v>76</v>
      </c>
      <c r="AG24" s="33">
        <v>519.66</v>
      </c>
      <c r="AH24" s="34">
        <v>10.0</v>
      </c>
      <c r="AI24" s="35" t="s">
        <v>28</v>
      </c>
      <c r="AJ24" s="36" t="s">
        <v>32</v>
      </c>
      <c r="AK24" s="1"/>
      <c r="AL24" s="32" t="s">
        <v>76</v>
      </c>
      <c r="AM24" s="52">
        <v>395.97</v>
      </c>
      <c r="AN24" s="34">
        <v>10.0</v>
      </c>
      <c r="AO24" s="35" t="s">
        <v>28</v>
      </c>
      <c r="AP24" s="36" t="s">
        <v>32</v>
      </c>
      <c r="AQ24" s="1"/>
      <c r="AR24" s="32" t="s">
        <v>76</v>
      </c>
      <c r="AS24" s="33">
        <v>322.19</v>
      </c>
      <c r="AT24" s="34">
        <v>10.0</v>
      </c>
      <c r="AU24" s="35" t="s">
        <v>28</v>
      </c>
      <c r="AV24" s="36" t="s">
        <v>32</v>
      </c>
      <c r="AW24" s="1"/>
      <c r="AX24" s="32" t="s">
        <v>76</v>
      </c>
      <c r="AY24" s="52">
        <v>369.79</v>
      </c>
      <c r="AZ24" s="34">
        <v>10.0</v>
      </c>
      <c r="BA24" s="35" t="s">
        <v>28</v>
      </c>
      <c r="BB24" s="36" t="s">
        <v>32</v>
      </c>
      <c r="BC24" s="1"/>
      <c r="BD24" s="32" t="s">
        <v>76</v>
      </c>
      <c r="BE24" s="33">
        <v>228.91</v>
      </c>
      <c r="BF24" s="34">
        <v>10.0</v>
      </c>
      <c r="BG24" s="35" t="s">
        <v>28</v>
      </c>
      <c r="BH24" s="36" t="s">
        <v>32</v>
      </c>
      <c r="BI24" s="1"/>
      <c r="BJ24" s="32" t="s">
        <v>76</v>
      </c>
      <c r="BK24" s="52">
        <v>96.15</v>
      </c>
      <c r="BL24" s="34">
        <v>10.0</v>
      </c>
      <c r="BM24" s="35" t="s">
        <v>28</v>
      </c>
      <c r="BN24" s="36" t="s">
        <v>32</v>
      </c>
      <c r="BO24" s="1"/>
      <c r="BP24" s="32" t="s">
        <v>76</v>
      </c>
      <c r="BQ24" s="33">
        <v>120.22</v>
      </c>
      <c r="BR24" s="34">
        <v>10.0</v>
      </c>
      <c r="BS24" s="35" t="s">
        <v>28</v>
      </c>
      <c r="BT24" s="36" t="s">
        <v>32</v>
      </c>
      <c r="BU24" s="4"/>
    </row>
    <row r="25">
      <c r="A25" s="1"/>
      <c r="B25" s="40" t="s">
        <v>712</v>
      </c>
      <c r="C25" s="52">
        <v>108.9</v>
      </c>
      <c r="D25" s="34" t="s">
        <v>713</v>
      </c>
      <c r="E25" s="35" t="s">
        <v>28</v>
      </c>
      <c r="F25" s="36" t="s">
        <v>32</v>
      </c>
      <c r="G25" s="1"/>
      <c r="H25" s="32" t="s">
        <v>712</v>
      </c>
      <c r="I25" s="33">
        <v>105.26</v>
      </c>
      <c r="J25" s="34">
        <v>10.0</v>
      </c>
      <c r="K25" s="35" t="s">
        <v>28</v>
      </c>
      <c r="L25" s="36" t="s">
        <v>32</v>
      </c>
      <c r="M25" s="1"/>
      <c r="N25" s="40" t="s">
        <v>712</v>
      </c>
      <c r="O25" s="52">
        <v>96.77</v>
      </c>
      <c r="P25" s="34">
        <v>10.0</v>
      </c>
      <c r="Q25" s="35" t="s">
        <v>28</v>
      </c>
      <c r="R25" s="36" t="s">
        <v>32</v>
      </c>
      <c r="S25" s="1"/>
      <c r="T25" s="32" t="s">
        <v>712</v>
      </c>
      <c r="U25" s="33">
        <v>96.77</v>
      </c>
      <c r="V25" s="34">
        <v>10.0</v>
      </c>
      <c r="W25" s="35" t="s">
        <v>28</v>
      </c>
      <c r="X25" s="36" t="s">
        <v>32</v>
      </c>
      <c r="Y25" s="1"/>
      <c r="Z25" s="32" t="s">
        <v>77</v>
      </c>
      <c r="AA25" s="33">
        <v>50.0</v>
      </c>
      <c r="AB25" s="34">
        <v>10.0</v>
      </c>
      <c r="AC25" s="35" t="s">
        <v>34</v>
      </c>
      <c r="AD25" s="36" t="s">
        <v>32</v>
      </c>
      <c r="AE25" s="1"/>
      <c r="AF25" s="32" t="s">
        <v>77</v>
      </c>
      <c r="AG25" s="33">
        <v>50.0</v>
      </c>
      <c r="AH25" s="34">
        <v>10.0</v>
      </c>
      <c r="AI25" s="35" t="s">
        <v>34</v>
      </c>
      <c r="AJ25" s="36" t="s">
        <v>32</v>
      </c>
      <c r="AK25" s="1"/>
      <c r="AL25" s="32" t="s">
        <v>77</v>
      </c>
      <c r="AM25" s="33">
        <v>50.0</v>
      </c>
      <c r="AN25" s="34">
        <v>10.0</v>
      </c>
      <c r="AO25" s="35" t="s">
        <v>34</v>
      </c>
      <c r="AP25" s="36" t="s">
        <v>32</v>
      </c>
      <c r="AQ25" s="1"/>
      <c r="AR25" s="32" t="s">
        <v>77</v>
      </c>
      <c r="AS25" s="33">
        <v>50.0</v>
      </c>
      <c r="AT25" s="34">
        <v>10.0</v>
      </c>
      <c r="AU25" s="35" t="s">
        <v>34</v>
      </c>
      <c r="AV25" s="36" t="s">
        <v>32</v>
      </c>
      <c r="AW25" s="1"/>
      <c r="AX25" s="32" t="s">
        <v>77</v>
      </c>
      <c r="AY25" s="33">
        <v>50.0</v>
      </c>
      <c r="AZ25" s="34">
        <v>10.0</v>
      </c>
      <c r="BA25" s="35" t="s">
        <v>34</v>
      </c>
      <c r="BB25" s="36" t="s">
        <v>32</v>
      </c>
      <c r="BC25" s="1"/>
      <c r="BD25" s="32" t="s">
        <v>77</v>
      </c>
      <c r="BE25" s="33">
        <v>50.0</v>
      </c>
      <c r="BF25" s="34">
        <v>10.0</v>
      </c>
      <c r="BG25" s="35" t="s">
        <v>34</v>
      </c>
      <c r="BH25" s="36" t="s">
        <v>32</v>
      </c>
      <c r="BI25" s="1"/>
      <c r="BJ25" s="32" t="s">
        <v>77</v>
      </c>
      <c r="BK25" s="33">
        <v>50.0</v>
      </c>
      <c r="BL25" s="34">
        <v>10.0</v>
      </c>
      <c r="BM25" s="35" t="s">
        <v>34</v>
      </c>
      <c r="BN25" s="36" t="s">
        <v>32</v>
      </c>
      <c r="BO25" s="1"/>
      <c r="BP25" s="32" t="s">
        <v>77</v>
      </c>
      <c r="BQ25" s="33">
        <v>50.0</v>
      </c>
      <c r="BR25" s="34">
        <v>10.0</v>
      </c>
      <c r="BS25" s="35" t="s">
        <v>34</v>
      </c>
      <c r="BT25" s="36" t="s">
        <v>32</v>
      </c>
      <c r="BU25" s="4"/>
    </row>
    <row r="26">
      <c r="A26" s="1"/>
      <c r="B26" s="32" t="s">
        <v>77</v>
      </c>
      <c r="C26" s="33">
        <v>50.0</v>
      </c>
      <c r="D26" s="34">
        <v>10.0</v>
      </c>
      <c r="E26" s="35" t="s">
        <v>34</v>
      </c>
      <c r="F26" s="36" t="s">
        <v>32</v>
      </c>
      <c r="G26" s="1"/>
      <c r="H26" s="32" t="s">
        <v>77</v>
      </c>
      <c r="I26" s="33">
        <v>50.0</v>
      </c>
      <c r="J26" s="34">
        <v>10.0</v>
      </c>
      <c r="K26" s="35" t="s">
        <v>34</v>
      </c>
      <c r="L26" s="36" t="s">
        <v>32</v>
      </c>
      <c r="M26" s="1"/>
      <c r="N26" s="32" t="s">
        <v>77</v>
      </c>
      <c r="O26" s="33">
        <v>50.0</v>
      </c>
      <c r="P26" s="34">
        <v>10.0</v>
      </c>
      <c r="Q26" s="35" t="s">
        <v>34</v>
      </c>
      <c r="R26" s="36" t="s">
        <v>32</v>
      </c>
      <c r="S26" s="1"/>
      <c r="T26" s="32" t="s">
        <v>77</v>
      </c>
      <c r="U26" s="33">
        <v>50.0</v>
      </c>
      <c r="V26" s="34">
        <v>10.0</v>
      </c>
      <c r="W26" s="35" t="s">
        <v>34</v>
      </c>
      <c r="X26" s="36" t="s">
        <v>32</v>
      </c>
      <c r="Y26" s="1"/>
      <c r="Z26" s="32" t="s">
        <v>78</v>
      </c>
      <c r="AA26" s="33">
        <v>200.0</v>
      </c>
      <c r="AB26" s="34">
        <v>3.0</v>
      </c>
      <c r="AC26" s="35" t="s">
        <v>28</v>
      </c>
      <c r="AD26" s="36" t="s">
        <v>32</v>
      </c>
      <c r="AE26" s="1"/>
      <c r="AF26" s="32" t="s">
        <v>78</v>
      </c>
      <c r="AG26" s="33">
        <v>200.0</v>
      </c>
      <c r="AH26" s="34">
        <v>3.0</v>
      </c>
      <c r="AI26" s="35" t="s">
        <v>28</v>
      </c>
      <c r="AJ26" s="36" t="s">
        <v>32</v>
      </c>
      <c r="AK26" s="1"/>
      <c r="AL26" s="32" t="s">
        <v>78</v>
      </c>
      <c r="AM26" s="33">
        <v>250.0</v>
      </c>
      <c r="AN26" s="34">
        <v>3.0</v>
      </c>
      <c r="AO26" s="35" t="s">
        <v>28</v>
      </c>
      <c r="AP26" s="36" t="s">
        <v>32</v>
      </c>
      <c r="AQ26" s="1"/>
      <c r="AR26" s="32" t="s">
        <v>78</v>
      </c>
      <c r="AS26" s="33">
        <v>200.0</v>
      </c>
      <c r="AT26" s="34">
        <v>3.0</v>
      </c>
      <c r="AU26" s="35" t="s">
        <v>28</v>
      </c>
      <c r="AV26" s="36" t="s">
        <v>32</v>
      </c>
      <c r="AW26" s="1"/>
      <c r="AX26" s="32" t="s">
        <v>78</v>
      </c>
      <c r="AY26" s="33">
        <v>200.0</v>
      </c>
      <c r="AZ26" s="34">
        <v>3.0</v>
      </c>
      <c r="BA26" s="35" t="s">
        <v>28</v>
      </c>
      <c r="BB26" s="36" t="s">
        <v>32</v>
      </c>
      <c r="BC26" s="1"/>
      <c r="BD26" s="32" t="s">
        <v>78</v>
      </c>
      <c r="BE26" s="33">
        <v>200.0</v>
      </c>
      <c r="BF26" s="34">
        <v>3.0</v>
      </c>
      <c r="BG26" s="35" t="s">
        <v>28</v>
      </c>
      <c r="BH26" s="36" t="s">
        <v>32</v>
      </c>
      <c r="BI26" s="1"/>
      <c r="BJ26" s="32" t="s">
        <v>78</v>
      </c>
      <c r="BK26" s="33">
        <v>200.0</v>
      </c>
      <c r="BL26" s="34">
        <v>3.0</v>
      </c>
      <c r="BM26" s="35" t="s">
        <v>28</v>
      </c>
      <c r="BN26" s="36" t="s">
        <v>32</v>
      </c>
      <c r="BO26" s="1"/>
      <c r="BP26" s="32" t="s">
        <v>78</v>
      </c>
      <c r="BQ26" s="33">
        <v>350.0</v>
      </c>
      <c r="BR26" s="34">
        <v>3.0</v>
      </c>
      <c r="BS26" s="35" t="s">
        <v>28</v>
      </c>
      <c r="BT26" s="36" t="s">
        <v>32</v>
      </c>
      <c r="BU26" s="4"/>
    </row>
    <row r="27">
      <c r="A27" s="1"/>
      <c r="B27" s="32" t="s">
        <v>78</v>
      </c>
      <c r="C27" s="33">
        <v>200.0</v>
      </c>
      <c r="D27" s="34">
        <v>3.0</v>
      </c>
      <c r="E27" s="35" t="s">
        <v>28</v>
      </c>
      <c r="F27" s="36" t="s">
        <v>32</v>
      </c>
      <c r="G27" s="1"/>
      <c r="H27" s="32" t="s">
        <v>78</v>
      </c>
      <c r="I27" s="33">
        <v>200.0</v>
      </c>
      <c r="J27" s="34">
        <v>3.0</v>
      </c>
      <c r="K27" s="35" t="s">
        <v>28</v>
      </c>
      <c r="L27" s="36" t="s">
        <v>32</v>
      </c>
      <c r="M27" s="1"/>
      <c r="N27" s="32" t="s">
        <v>78</v>
      </c>
      <c r="O27" s="33">
        <v>200.0</v>
      </c>
      <c r="P27" s="34">
        <v>3.0</v>
      </c>
      <c r="Q27" s="35" t="s">
        <v>28</v>
      </c>
      <c r="R27" s="36" t="s">
        <v>32</v>
      </c>
      <c r="S27" s="1"/>
      <c r="T27" s="32" t="s">
        <v>78</v>
      </c>
      <c r="U27" s="33">
        <v>200.0</v>
      </c>
      <c r="V27" s="34">
        <v>3.0</v>
      </c>
      <c r="W27" s="35" t="s">
        <v>28</v>
      </c>
      <c r="X27" s="36" t="s">
        <v>32</v>
      </c>
      <c r="Y27" s="1"/>
      <c r="Z27" s="32" t="s">
        <v>79</v>
      </c>
      <c r="AA27" s="33">
        <v>1644.94</v>
      </c>
      <c r="AB27" s="34">
        <v>30.0</v>
      </c>
      <c r="AC27" s="35" t="s">
        <v>32</v>
      </c>
      <c r="AD27" s="36" t="s">
        <v>32</v>
      </c>
      <c r="AE27" s="1"/>
      <c r="AF27" s="32" t="s">
        <v>79</v>
      </c>
      <c r="AG27" s="33">
        <v>1644.94</v>
      </c>
      <c r="AH27" s="34">
        <v>25.0</v>
      </c>
      <c r="AI27" s="35" t="s">
        <v>32</v>
      </c>
      <c r="AJ27" s="36" t="s">
        <v>32</v>
      </c>
      <c r="AK27" s="1"/>
      <c r="AL27" s="32" t="s">
        <v>79</v>
      </c>
      <c r="AM27" s="33">
        <v>1644.94</v>
      </c>
      <c r="AN27" s="34">
        <v>30.0</v>
      </c>
      <c r="AO27" s="35" t="s">
        <v>32</v>
      </c>
      <c r="AP27" s="36" t="s">
        <v>32</v>
      </c>
      <c r="AQ27" s="1"/>
      <c r="AR27" s="32" t="s">
        <v>79</v>
      </c>
      <c r="AS27" s="33">
        <v>1644.94</v>
      </c>
      <c r="AT27" s="34">
        <v>25.0</v>
      </c>
      <c r="AU27" s="35" t="s">
        <v>32</v>
      </c>
      <c r="AV27" s="36" t="s">
        <v>32</v>
      </c>
      <c r="AW27" s="1"/>
      <c r="AX27" s="32" t="s">
        <v>79</v>
      </c>
      <c r="AY27" s="33">
        <v>1644.94</v>
      </c>
      <c r="AZ27" s="34">
        <v>30.0</v>
      </c>
      <c r="BA27" s="35" t="s">
        <v>32</v>
      </c>
      <c r="BB27" s="36" t="s">
        <v>32</v>
      </c>
      <c r="BC27" s="1"/>
      <c r="BD27" s="32" t="s">
        <v>79</v>
      </c>
      <c r="BE27" s="33">
        <v>1644.94</v>
      </c>
      <c r="BF27" s="34">
        <v>25.0</v>
      </c>
      <c r="BG27" s="35" t="s">
        <v>32</v>
      </c>
      <c r="BH27" s="36" t="s">
        <v>32</v>
      </c>
      <c r="BI27" s="1"/>
      <c r="BJ27" s="32" t="s">
        <v>79</v>
      </c>
      <c r="BK27" s="33">
        <v>1644.94</v>
      </c>
      <c r="BL27" s="34">
        <v>30.0</v>
      </c>
      <c r="BM27" s="35" t="s">
        <v>32</v>
      </c>
      <c r="BN27" s="36" t="s">
        <v>32</v>
      </c>
      <c r="BO27" s="1"/>
      <c r="BP27" s="32" t="s">
        <v>79</v>
      </c>
      <c r="BQ27" s="54">
        <v>1644.94</v>
      </c>
      <c r="BR27" s="34">
        <v>25.0</v>
      </c>
      <c r="BS27" s="35" t="s">
        <v>32</v>
      </c>
      <c r="BT27" s="36" t="s">
        <v>32</v>
      </c>
      <c r="BU27" s="4"/>
    </row>
    <row r="28">
      <c r="A28" s="1"/>
      <c r="B28" s="32" t="s">
        <v>714</v>
      </c>
      <c r="C28" s="33"/>
      <c r="D28" s="34">
        <v>25.0</v>
      </c>
      <c r="E28" s="35" t="s">
        <v>28</v>
      </c>
      <c r="G28" s="1"/>
      <c r="H28" s="32" t="s">
        <v>714</v>
      </c>
      <c r="I28" s="33"/>
      <c r="J28" s="34">
        <v>25.0</v>
      </c>
      <c r="K28" s="35" t="s">
        <v>28</v>
      </c>
      <c r="M28" s="1"/>
      <c r="N28" s="32" t="s">
        <v>79</v>
      </c>
      <c r="O28" s="33">
        <v>1644.94</v>
      </c>
      <c r="P28" s="34">
        <v>30.0</v>
      </c>
      <c r="Q28" s="35" t="s">
        <v>32</v>
      </c>
      <c r="R28" s="36" t="s">
        <v>32</v>
      </c>
      <c r="S28" s="1"/>
      <c r="T28" s="32" t="s">
        <v>79</v>
      </c>
      <c r="U28" s="33">
        <v>1644.94</v>
      </c>
      <c r="V28" s="34">
        <v>25.0</v>
      </c>
      <c r="W28" s="35" t="s">
        <v>32</v>
      </c>
      <c r="X28" s="36" t="s">
        <v>32</v>
      </c>
      <c r="Y28" s="1"/>
      <c r="Z28" s="32" t="s">
        <v>81</v>
      </c>
      <c r="AA28" s="33">
        <v>1221.0</v>
      </c>
      <c r="AB28" s="34">
        <v>30.0</v>
      </c>
      <c r="AC28" s="35" t="s">
        <v>28</v>
      </c>
      <c r="AD28" s="36" t="s">
        <v>32</v>
      </c>
      <c r="AE28" s="1"/>
      <c r="AF28" s="32" t="s">
        <v>81</v>
      </c>
      <c r="AG28" s="33">
        <v>1221.0</v>
      </c>
      <c r="AH28" s="34">
        <v>30.0</v>
      </c>
      <c r="AI28" s="35" t="s">
        <v>28</v>
      </c>
      <c r="AJ28" s="36" t="s">
        <v>32</v>
      </c>
      <c r="AK28" s="1"/>
      <c r="AL28" s="32" t="s">
        <v>81</v>
      </c>
      <c r="AM28" s="33">
        <v>1221.0</v>
      </c>
      <c r="AN28" s="34">
        <v>30.0</v>
      </c>
      <c r="AO28" s="35" t="s">
        <v>28</v>
      </c>
      <c r="AP28" s="36" t="s">
        <v>32</v>
      </c>
      <c r="AQ28" s="1"/>
      <c r="AR28" s="32" t="s">
        <v>81</v>
      </c>
      <c r="AS28" s="33">
        <v>1221.0</v>
      </c>
      <c r="AT28" s="34">
        <v>30.0</v>
      </c>
      <c r="AU28" s="35" t="s">
        <v>28</v>
      </c>
      <c r="AV28" s="36" t="s">
        <v>32</v>
      </c>
      <c r="AW28" s="1"/>
      <c r="AX28" s="32" t="s">
        <v>81</v>
      </c>
      <c r="AY28" s="33">
        <v>1221.0</v>
      </c>
      <c r="AZ28" s="34">
        <v>30.0</v>
      </c>
      <c r="BA28" s="35" t="s">
        <v>28</v>
      </c>
      <c r="BB28" s="36" t="s">
        <v>32</v>
      </c>
      <c r="BC28" s="1"/>
      <c r="BD28" s="32" t="s">
        <v>81</v>
      </c>
      <c r="BE28" s="33">
        <v>1221.0</v>
      </c>
      <c r="BF28" s="34">
        <v>30.0</v>
      </c>
      <c r="BG28" s="35" t="s">
        <v>28</v>
      </c>
      <c r="BH28" s="36" t="s">
        <v>32</v>
      </c>
      <c r="BI28" s="1"/>
      <c r="BJ28" s="32" t="s">
        <v>81</v>
      </c>
      <c r="BK28" s="33">
        <v>1842.4</v>
      </c>
      <c r="BL28" s="34">
        <v>30.0</v>
      </c>
      <c r="BM28" s="35" t="s">
        <v>28</v>
      </c>
      <c r="BN28" s="36" t="s">
        <v>32</v>
      </c>
      <c r="BO28" s="1"/>
      <c r="BP28" s="32" t="s">
        <v>81</v>
      </c>
      <c r="BQ28" s="33">
        <v>1259.75</v>
      </c>
      <c r="BR28" s="34">
        <v>30.0</v>
      </c>
      <c r="BS28" s="35" t="s">
        <v>28</v>
      </c>
      <c r="BT28" s="36" t="s">
        <v>32</v>
      </c>
      <c r="BU28" s="4"/>
    </row>
    <row r="29">
      <c r="A29" s="1"/>
      <c r="B29" s="32" t="s">
        <v>81</v>
      </c>
      <c r="C29" s="33">
        <v>1121.1</v>
      </c>
      <c r="D29" s="34">
        <v>30.0</v>
      </c>
      <c r="E29" s="35" t="s">
        <v>28</v>
      </c>
      <c r="F29" s="36" t="s">
        <v>32</v>
      </c>
      <c r="G29" s="1"/>
      <c r="H29" s="32" t="s">
        <v>81</v>
      </c>
      <c r="I29" s="33">
        <v>1287.6</v>
      </c>
      <c r="J29" s="34">
        <v>30.0</v>
      </c>
      <c r="K29" s="35" t="s">
        <v>28</v>
      </c>
      <c r="L29" s="36" t="s">
        <v>32</v>
      </c>
      <c r="M29" s="1"/>
      <c r="N29" s="32" t="s">
        <v>81</v>
      </c>
      <c r="O29" s="33">
        <v>1204.35</v>
      </c>
      <c r="P29" s="34">
        <v>30.0</v>
      </c>
      <c r="Q29" s="35" t="s">
        <v>28</v>
      </c>
      <c r="R29" s="36" t="s">
        <v>32</v>
      </c>
      <c r="S29" s="1"/>
      <c r="T29" s="32" t="s">
        <v>81</v>
      </c>
      <c r="U29" s="33">
        <v>1204.35</v>
      </c>
      <c r="V29" s="34">
        <v>30.0</v>
      </c>
      <c r="W29" s="35" t="s">
        <v>28</v>
      </c>
      <c r="X29" s="36" t="s">
        <v>32</v>
      </c>
      <c r="Y29" s="1"/>
      <c r="Z29" s="32" t="s">
        <v>83</v>
      </c>
      <c r="AA29" s="33">
        <v>363.0</v>
      </c>
      <c r="AB29" s="34">
        <v>30.0</v>
      </c>
      <c r="AC29" s="35" t="s">
        <v>28</v>
      </c>
      <c r="AD29" s="36" t="s">
        <v>32</v>
      </c>
      <c r="AE29" s="1"/>
      <c r="AF29" s="32" t="s">
        <v>83</v>
      </c>
      <c r="AG29" s="33">
        <v>363.0</v>
      </c>
      <c r="AH29" s="34">
        <v>30.0</v>
      </c>
      <c r="AI29" s="35" t="s">
        <v>28</v>
      </c>
      <c r="AJ29" s="36" t="s">
        <v>32</v>
      </c>
      <c r="AK29" s="1"/>
      <c r="AL29" s="32" t="s">
        <v>83</v>
      </c>
      <c r="AM29" s="33">
        <v>363.0</v>
      </c>
      <c r="AN29" s="34">
        <v>30.0</v>
      </c>
      <c r="AO29" s="35" t="s">
        <v>28</v>
      </c>
      <c r="AP29" s="36" t="s">
        <v>32</v>
      </c>
      <c r="AQ29" s="1"/>
      <c r="AR29" s="32" t="s">
        <v>83</v>
      </c>
      <c r="AS29" s="69">
        <v>363.0</v>
      </c>
      <c r="AT29" s="34">
        <v>30.0</v>
      </c>
      <c r="AU29" s="35" t="s">
        <v>28</v>
      </c>
      <c r="AV29" s="36" t="s">
        <v>32</v>
      </c>
      <c r="AW29" s="1"/>
      <c r="AX29" s="32" t="s">
        <v>83</v>
      </c>
      <c r="AY29" s="33">
        <v>376.81</v>
      </c>
      <c r="AZ29" s="34">
        <v>30.0</v>
      </c>
      <c r="BA29" s="35" t="s">
        <v>28</v>
      </c>
      <c r="BB29" s="36" t="s">
        <v>32</v>
      </c>
      <c r="BC29" s="1"/>
      <c r="BD29" s="32" t="s">
        <v>83</v>
      </c>
      <c r="BE29" s="33">
        <v>373.25</v>
      </c>
      <c r="BF29" s="34">
        <v>30.0</v>
      </c>
      <c r="BG29" s="35" t="s">
        <v>28</v>
      </c>
      <c r="BH29" s="36" t="s">
        <v>32</v>
      </c>
      <c r="BI29" s="1"/>
      <c r="BJ29" s="32" t="s">
        <v>83</v>
      </c>
      <c r="BK29" s="33">
        <v>510.84</v>
      </c>
      <c r="BL29" s="34">
        <v>30.0</v>
      </c>
      <c r="BM29" s="35" t="s">
        <v>28</v>
      </c>
      <c r="BN29" s="36" t="s">
        <v>32</v>
      </c>
      <c r="BO29" s="1"/>
      <c r="BP29" s="32" t="s">
        <v>83</v>
      </c>
      <c r="BQ29" s="33">
        <v>718.09</v>
      </c>
      <c r="BR29" s="34">
        <v>30.0</v>
      </c>
      <c r="BS29" s="35" t="s">
        <v>28</v>
      </c>
      <c r="BT29" s="36" t="s">
        <v>32</v>
      </c>
      <c r="BU29" s="4"/>
    </row>
    <row r="30">
      <c r="A30" s="1"/>
      <c r="B30" s="32" t="s">
        <v>83</v>
      </c>
      <c r="C30" s="33">
        <v>341.36</v>
      </c>
      <c r="D30" s="34">
        <v>30.0</v>
      </c>
      <c r="E30" s="35" t="s">
        <v>28</v>
      </c>
      <c r="F30" s="36" t="s">
        <v>32</v>
      </c>
      <c r="G30" s="1"/>
      <c r="H30" s="32" t="s">
        <v>83</v>
      </c>
      <c r="I30" s="33">
        <v>385.11</v>
      </c>
      <c r="J30" s="34">
        <v>30.0</v>
      </c>
      <c r="K30" s="35" t="s">
        <v>28</v>
      </c>
      <c r="L30" s="36" t="s">
        <v>32</v>
      </c>
      <c r="M30" s="1"/>
      <c r="N30" s="32" t="s">
        <v>83</v>
      </c>
      <c r="O30" s="33">
        <v>366.74</v>
      </c>
      <c r="P30" s="34">
        <v>30.0</v>
      </c>
      <c r="Q30" s="35" t="s">
        <v>28</v>
      </c>
      <c r="R30" s="36" t="s">
        <v>32</v>
      </c>
      <c r="S30" s="1"/>
      <c r="T30" s="32" t="s">
        <v>83</v>
      </c>
      <c r="U30" s="33">
        <v>366.73</v>
      </c>
      <c r="V30" s="34">
        <v>30.0</v>
      </c>
      <c r="W30" s="35" t="s">
        <v>28</v>
      </c>
      <c r="X30" s="36" t="s">
        <v>32</v>
      </c>
      <c r="Y30" s="1"/>
      <c r="Z30" s="55" t="s">
        <v>84</v>
      </c>
      <c r="AA30" s="56">
        <v>1861.78</v>
      </c>
      <c r="AB30" s="34">
        <v>30.0</v>
      </c>
      <c r="AC30" s="57" t="s">
        <v>32</v>
      </c>
      <c r="AD30" s="58" t="s">
        <v>32</v>
      </c>
      <c r="AE30" s="1"/>
      <c r="AF30" s="55" t="s">
        <v>84</v>
      </c>
      <c r="AG30" s="56">
        <v>1861.78</v>
      </c>
      <c r="AH30" s="34">
        <v>30.0</v>
      </c>
      <c r="AI30" s="57" t="s">
        <v>32</v>
      </c>
      <c r="AJ30" s="58" t="s">
        <v>32</v>
      </c>
      <c r="AK30" s="1"/>
      <c r="AL30" s="55" t="s">
        <v>84</v>
      </c>
      <c r="AM30" s="56">
        <v>1861.78</v>
      </c>
      <c r="AN30" s="34">
        <v>30.0</v>
      </c>
      <c r="AO30" s="57" t="s">
        <v>32</v>
      </c>
      <c r="AP30" s="58" t="s">
        <v>32</v>
      </c>
      <c r="AQ30" s="1"/>
      <c r="AR30" s="32" t="s">
        <v>84</v>
      </c>
      <c r="AS30" s="33">
        <v>1861.78</v>
      </c>
      <c r="AT30" s="34">
        <v>30.0</v>
      </c>
      <c r="AU30" s="35" t="s">
        <v>32</v>
      </c>
      <c r="AV30" s="36" t="s">
        <v>32</v>
      </c>
      <c r="AW30" s="1"/>
      <c r="AX30" s="32" t="s">
        <v>84</v>
      </c>
      <c r="AY30" s="33">
        <v>1861.78</v>
      </c>
      <c r="AZ30" s="34">
        <v>30.0</v>
      </c>
      <c r="BA30" s="35" t="s">
        <v>32</v>
      </c>
      <c r="BB30" s="36" t="s">
        <v>32</v>
      </c>
      <c r="BC30" s="1"/>
      <c r="BD30" s="32" t="s">
        <v>84</v>
      </c>
      <c r="BE30" s="33">
        <v>1861.78</v>
      </c>
      <c r="BF30" s="34">
        <v>30.0</v>
      </c>
      <c r="BG30" s="35" t="s">
        <v>32</v>
      </c>
      <c r="BH30" s="36" t="s">
        <v>32</v>
      </c>
      <c r="BI30" s="1"/>
      <c r="BJ30" s="32" t="s">
        <v>84</v>
      </c>
      <c r="BK30" s="33">
        <v>1861.78</v>
      </c>
      <c r="BL30" s="34">
        <v>30.0</v>
      </c>
      <c r="BM30" s="35" t="s">
        <v>32</v>
      </c>
      <c r="BN30" s="36" t="s">
        <v>32</v>
      </c>
      <c r="BO30" s="1"/>
      <c r="BP30" s="32" t="s">
        <v>84</v>
      </c>
      <c r="BQ30" s="33">
        <v>1914.46</v>
      </c>
      <c r="BR30" s="34">
        <v>30.0</v>
      </c>
      <c r="BS30" s="35" t="s">
        <v>32</v>
      </c>
      <c r="BT30" s="36" t="s">
        <v>32</v>
      </c>
      <c r="BU30" s="4"/>
    </row>
    <row r="31">
      <c r="A31" s="1"/>
      <c r="B31" s="55" t="s">
        <v>84</v>
      </c>
      <c r="C31" s="56">
        <v>1665.92</v>
      </c>
      <c r="D31" s="34">
        <v>30.0</v>
      </c>
      <c r="E31" s="57" t="s">
        <v>32</v>
      </c>
      <c r="F31" s="58" t="s">
        <v>32</v>
      </c>
      <c r="G31" s="1"/>
      <c r="H31" s="55" t="s">
        <v>84</v>
      </c>
      <c r="I31" s="56">
        <v>1651.41</v>
      </c>
      <c r="J31" s="34">
        <v>30.0</v>
      </c>
      <c r="K31" s="57" t="s">
        <v>32</v>
      </c>
      <c r="L31" s="58" t="s">
        <v>32</v>
      </c>
      <c r="M31" s="1"/>
      <c r="N31" s="55" t="s">
        <v>84</v>
      </c>
      <c r="O31" s="56">
        <v>1611.93</v>
      </c>
      <c r="P31" s="34">
        <v>30.0</v>
      </c>
      <c r="Q31" s="57" t="s">
        <v>32</v>
      </c>
      <c r="R31" s="58" t="s">
        <v>32</v>
      </c>
      <c r="S31" s="1"/>
      <c r="T31" s="55" t="s">
        <v>84</v>
      </c>
      <c r="U31" s="56">
        <v>1861.78</v>
      </c>
      <c r="V31" s="34">
        <v>30.0</v>
      </c>
      <c r="W31" s="57" t="s">
        <v>32</v>
      </c>
      <c r="X31" s="58" t="s">
        <v>32</v>
      </c>
      <c r="Y31" s="1"/>
      <c r="Z31" s="36" t="s">
        <v>715</v>
      </c>
      <c r="AA31" s="54">
        <v>36.48</v>
      </c>
      <c r="AB31" s="39">
        <v>-30.0</v>
      </c>
      <c r="AC31" s="35" t="s">
        <v>28</v>
      </c>
      <c r="AD31" s="36" t="s">
        <v>34</v>
      </c>
      <c r="AE31" s="1"/>
      <c r="AF31" s="36" t="s">
        <v>85</v>
      </c>
      <c r="AG31" s="54">
        <v>789.0</v>
      </c>
      <c r="AH31" s="39">
        <v>-25.0</v>
      </c>
      <c r="AI31" s="35" t="s">
        <v>28</v>
      </c>
      <c r="AJ31" s="36" t="s">
        <v>32</v>
      </c>
      <c r="AK31" s="1"/>
      <c r="AL31" s="36" t="s">
        <v>85</v>
      </c>
      <c r="AM31" s="54">
        <v>789.29</v>
      </c>
      <c r="AN31" s="39">
        <v>-25.0</v>
      </c>
      <c r="AO31" s="35" t="s">
        <v>28</v>
      </c>
      <c r="AP31" s="36" t="s">
        <v>32</v>
      </c>
      <c r="AQ31" s="1"/>
      <c r="AR31" s="36" t="s">
        <v>85</v>
      </c>
      <c r="AS31" s="54">
        <v>789.29</v>
      </c>
      <c r="AT31" s="39">
        <v>-25.0</v>
      </c>
      <c r="AU31" s="35" t="s">
        <v>28</v>
      </c>
      <c r="AV31" s="36" t="s">
        <v>32</v>
      </c>
      <c r="AW31" s="1"/>
      <c r="AX31" s="36" t="s">
        <v>85</v>
      </c>
      <c r="AY31" s="54">
        <v>789.29</v>
      </c>
      <c r="AZ31" s="39">
        <v>-25.0</v>
      </c>
      <c r="BA31" s="35" t="s">
        <v>28</v>
      </c>
      <c r="BB31" s="36" t="s">
        <v>32</v>
      </c>
      <c r="BC31" s="1"/>
      <c r="BD31" s="36" t="s">
        <v>85</v>
      </c>
      <c r="BE31" s="54">
        <v>789.29</v>
      </c>
      <c r="BF31" s="39">
        <v>-25.0</v>
      </c>
      <c r="BG31" s="35" t="s">
        <v>28</v>
      </c>
      <c r="BH31" s="36" t="s">
        <v>32</v>
      </c>
      <c r="BI31" s="1"/>
      <c r="BJ31" s="36" t="s">
        <v>85</v>
      </c>
      <c r="BK31" s="54">
        <v>789.29</v>
      </c>
      <c r="BL31" s="39">
        <v>-25.0</v>
      </c>
      <c r="BM31" s="35" t="s">
        <v>28</v>
      </c>
      <c r="BN31" s="36" t="s">
        <v>32</v>
      </c>
      <c r="BO31" s="1"/>
      <c r="BP31" s="36" t="s">
        <v>85</v>
      </c>
      <c r="BQ31" s="54">
        <v>789.29</v>
      </c>
      <c r="BR31" s="39">
        <v>-25.0</v>
      </c>
      <c r="BS31" s="35" t="s">
        <v>28</v>
      </c>
      <c r="BT31" s="36" t="s">
        <v>32</v>
      </c>
      <c r="BU31" s="4"/>
    </row>
    <row r="32">
      <c r="A32" s="1"/>
      <c r="B32" s="36" t="s">
        <v>85</v>
      </c>
      <c r="C32" s="54">
        <v>694.98</v>
      </c>
      <c r="D32" s="39">
        <v>-25.0</v>
      </c>
      <c r="E32" s="35" t="s">
        <v>28</v>
      </c>
      <c r="F32" s="36" t="s">
        <v>32</v>
      </c>
      <c r="G32" s="1"/>
      <c r="H32" s="36" t="s">
        <v>85</v>
      </c>
      <c r="I32" s="54">
        <v>694.98</v>
      </c>
      <c r="J32" s="39">
        <v>-25.0</v>
      </c>
      <c r="K32" s="35" t="s">
        <v>28</v>
      </c>
      <c r="L32" s="36" t="s">
        <v>32</v>
      </c>
      <c r="M32" s="1"/>
      <c r="N32" s="36" t="s">
        <v>85</v>
      </c>
      <c r="O32" s="54">
        <v>694.98</v>
      </c>
      <c r="P32" s="39">
        <v>-25.0</v>
      </c>
      <c r="Q32" s="35" t="s">
        <v>28</v>
      </c>
      <c r="R32" s="36" t="s">
        <v>32</v>
      </c>
      <c r="S32" s="1"/>
      <c r="T32" s="36" t="s">
        <v>85</v>
      </c>
      <c r="U32" s="54">
        <v>694.98</v>
      </c>
      <c r="V32" s="39">
        <v>-25.0</v>
      </c>
      <c r="W32" s="35" t="s">
        <v>28</v>
      </c>
      <c r="X32" s="36" t="s">
        <v>32</v>
      </c>
      <c r="Y32" s="1"/>
      <c r="Z32" s="36" t="s">
        <v>716</v>
      </c>
      <c r="AA32" s="54">
        <v>31.98</v>
      </c>
      <c r="AB32" s="39">
        <v>-30.0</v>
      </c>
      <c r="AC32" s="35" t="s">
        <v>28</v>
      </c>
      <c r="AD32" s="36" t="s">
        <v>34</v>
      </c>
      <c r="AE32" s="1"/>
      <c r="AF32" s="36" t="s">
        <v>443</v>
      </c>
      <c r="AG32" s="54">
        <v>487.62</v>
      </c>
      <c r="AH32" s="39">
        <v>-25.0</v>
      </c>
      <c r="AI32" s="35" t="s">
        <v>28</v>
      </c>
      <c r="AJ32" s="36" t="s">
        <v>32</v>
      </c>
      <c r="AK32" s="1"/>
      <c r="AL32" s="36" t="s">
        <v>443</v>
      </c>
      <c r="AM32" s="54">
        <v>272.35</v>
      </c>
      <c r="AN32" s="39">
        <v>-25.0</v>
      </c>
      <c r="AO32" s="35" t="s">
        <v>28</v>
      </c>
      <c r="AP32" s="36" t="s">
        <v>32</v>
      </c>
      <c r="AQ32" s="1"/>
      <c r="AR32" s="36" t="s">
        <v>443</v>
      </c>
      <c r="AS32" s="54">
        <v>483.64</v>
      </c>
      <c r="AT32" s="39">
        <v>-25.0</v>
      </c>
      <c r="AU32" s="35" t="s">
        <v>28</v>
      </c>
      <c r="AV32" s="36" t="s">
        <v>32</v>
      </c>
      <c r="AW32" s="1"/>
      <c r="AX32" s="36" t="s">
        <v>443</v>
      </c>
      <c r="AY32" s="54">
        <v>155.73</v>
      </c>
      <c r="AZ32" s="39">
        <v>-25.0</v>
      </c>
      <c r="BA32" s="35" t="s">
        <v>28</v>
      </c>
      <c r="BB32" s="36" t="s">
        <v>32</v>
      </c>
      <c r="BC32" s="1"/>
      <c r="BD32" s="36" t="s">
        <v>717</v>
      </c>
      <c r="BE32" s="54">
        <v>400.08</v>
      </c>
      <c r="BF32" s="39">
        <v>-25.0</v>
      </c>
      <c r="BG32" s="35" t="s">
        <v>28</v>
      </c>
      <c r="BH32" s="36" t="s">
        <v>32</v>
      </c>
      <c r="BI32" s="1"/>
      <c r="BJ32" s="36" t="s">
        <v>717</v>
      </c>
      <c r="BK32" s="54">
        <v>453.65</v>
      </c>
      <c r="BL32" s="39">
        <v>-25.0</v>
      </c>
      <c r="BM32" s="35" t="s">
        <v>28</v>
      </c>
      <c r="BN32" s="36" t="s">
        <v>32</v>
      </c>
      <c r="BO32" s="1"/>
      <c r="BP32" s="36" t="s">
        <v>718</v>
      </c>
      <c r="BQ32" s="54">
        <v>789.29</v>
      </c>
      <c r="BR32" s="39">
        <v>-25.0</v>
      </c>
      <c r="BS32" s="35" t="s">
        <v>28</v>
      </c>
      <c r="BT32" s="36" t="s">
        <v>32</v>
      </c>
      <c r="BU32" s="4"/>
    </row>
    <row r="33">
      <c r="A33" s="1"/>
      <c r="B33" s="36" t="s">
        <v>439</v>
      </c>
      <c r="C33" s="54">
        <v>59.37</v>
      </c>
      <c r="D33" s="39">
        <v>-25.0</v>
      </c>
      <c r="E33" s="35" t="s">
        <v>28</v>
      </c>
      <c r="F33" s="36" t="s">
        <v>32</v>
      </c>
      <c r="G33" s="1"/>
      <c r="H33" s="36" t="s">
        <v>719</v>
      </c>
      <c r="I33" s="54">
        <v>51.04</v>
      </c>
      <c r="J33" s="39">
        <v>-25.0</v>
      </c>
      <c r="K33" s="35" t="s">
        <v>28</v>
      </c>
      <c r="L33" s="36" t="s">
        <v>32</v>
      </c>
      <c r="M33" s="1"/>
      <c r="N33" s="36" t="s">
        <v>719</v>
      </c>
      <c r="O33" s="54">
        <v>51.04</v>
      </c>
      <c r="P33" s="39">
        <v>-25.0</v>
      </c>
      <c r="Q33" s="35" t="s">
        <v>28</v>
      </c>
      <c r="R33" s="36" t="s">
        <v>32</v>
      </c>
      <c r="S33" s="1"/>
      <c r="T33" s="36" t="s">
        <v>443</v>
      </c>
      <c r="U33" s="54">
        <v>46.2</v>
      </c>
      <c r="V33" s="39">
        <v>-25.0</v>
      </c>
      <c r="W33" s="35" t="s">
        <v>28</v>
      </c>
      <c r="X33" s="36" t="s">
        <v>32</v>
      </c>
      <c r="Y33" s="1"/>
      <c r="Z33" s="36" t="s">
        <v>85</v>
      </c>
      <c r="AA33" s="54">
        <v>789.29</v>
      </c>
      <c r="AB33" s="39">
        <v>-25.0</v>
      </c>
      <c r="AC33" s="35" t="s">
        <v>28</v>
      </c>
      <c r="AD33" s="36" t="s">
        <v>32</v>
      </c>
      <c r="AE33" s="1"/>
      <c r="AF33" s="36" t="s">
        <v>717</v>
      </c>
      <c r="AG33" s="54">
        <v>51.04</v>
      </c>
      <c r="AH33" s="39">
        <v>-25.0</v>
      </c>
      <c r="AI33" s="35" t="s">
        <v>28</v>
      </c>
      <c r="AJ33" s="36" t="s">
        <v>32</v>
      </c>
      <c r="AK33" s="1"/>
      <c r="AL33" s="36" t="s">
        <v>717</v>
      </c>
      <c r="AM33" s="54">
        <v>51.04</v>
      </c>
      <c r="AN33" s="39">
        <v>-25.0</v>
      </c>
      <c r="AO33" s="35" t="s">
        <v>28</v>
      </c>
      <c r="AP33" s="36" t="s">
        <v>32</v>
      </c>
      <c r="AQ33" s="1"/>
      <c r="AR33" s="36" t="s">
        <v>717</v>
      </c>
      <c r="AS33" s="54">
        <v>298.49</v>
      </c>
      <c r="AT33" s="39">
        <v>-25.0</v>
      </c>
      <c r="AU33" s="35" t="s">
        <v>28</v>
      </c>
      <c r="AV33" s="36" t="s">
        <v>32</v>
      </c>
      <c r="AW33" s="1"/>
      <c r="AX33" s="36" t="s">
        <v>717</v>
      </c>
      <c r="AY33" s="54">
        <v>51.04</v>
      </c>
      <c r="AZ33" s="39">
        <v>-25.0</v>
      </c>
      <c r="BA33" s="35" t="s">
        <v>28</v>
      </c>
      <c r="BB33" s="36" t="s">
        <v>32</v>
      </c>
      <c r="BC33" s="1"/>
      <c r="BD33" s="36" t="s">
        <v>100</v>
      </c>
      <c r="BE33" s="54">
        <v>100.0</v>
      </c>
      <c r="BF33" s="39">
        <v>1.0</v>
      </c>
      <c r="BG33" s="35" t="s">
        <v>32</v>
      </c>
      <c r="BH33" s="36" t="s">
        <v>32</v>
      </c>
      <c r="BI33" s="1"/>
      <c r="BJ33" s="36" t="s">
        <v>720</v>
      </c>
      <c r="BK33" s="54">
        <v>393.43</v>
      </c>
      <c r="BL33" s="39">
        <v>3.0</v>
      </c>
      <c r="BM33" s="35" t="s">
        <v>32</v>
      </c>
      <c r="BN33" s="36" t="s">
        <v>32</v>
      </c>
      <c r="BO33" s="1"/>
      <c r="BP33" s="36" t="s">
        <v>721</v>
      </c>
      <c r="BQ33" s="54">
        <v>50.0</v>
      </c>
      <c r="BR33" s="39">
        <v>2.0</v>
      </c>
      <c r="BS33" s="35" t="s">
        <v>32</v>
      </c>
      <c r="BT33" s="36" t="s">
        <v>32</v>
      </c>
      <c r="BU33" s="4"/>
    </row>
    <row r="34">
      <c r="A34" s="1"/>
      <c r="B34" s="36" t="s">
        <v>719</v>
      </c>
      <c r="C34" s="54">
        <v>51.04</v>
      </c>
      <c r="D34" s="39">
        <v>-25.0</v>
      </c>
      <c r="E34" s="35" t="s">
        <v>28</v>
      </c>
      <c r="F34" s="36" t="s">
        <v>32</v>
      </c>
      <c r="G34" s="1"/>
      <c r="H34" s="36" t="s">
        <v>109</v>
      </c>
      <c r="I34" s="54">
        <v>162.0</v>
      </c>
      <c r="J34" s="39">
        <v>2.0</v>
      </c>
      <c r="K34" s="35" t="s">
        <v>28</v>
      </c>
      <c r="L34" s="36" t="s">
        <v>32</v>
      </c>
      <c r="M34" s="1"/>
      <c r="N34" s="36" t="s">
        <v>305</v>
      </c>
      <c r="O34" s="54">
        <v>20.0</v>
      </c>
      <c r="P34" s="39">
        <v>1.0</v>
      </c>
      <c r="Q34" s="35" t="s">
        <v>32</v>
      </c>
      <c r="R34" s="36" t="s">
        <v>32</v>
      </c>
      <c r="S34" s="1"/>
      <c r="T34" s="36" t="s">
        <v>305</v>
      </c>
      <c r="U34" s="54">
        <v>20.0</v>
      </c>
      <c r="V34" s="39">
        <v>5.0</v>
      </c>
      <c r="W34" s="35" t="s">
        <v>32</v>
      </c>
      <c r="X34" s="36" t="s">
        <v>32</v>
      </c>
      <c r="Y34" s="1"/>
      <c r="Z34" s="36" t="s">
        <v>443</v>
      </c>
      <c r="AA34" s="54">
        <v>487.62</v>
      </c>
      <c r="AB34" s="39">
        <v>-25.0</v>
      </c>
      <c r="AC34" s="35" t="s">
        <v>28</v>
      </c>
      <c r="AD34" s="36" t="s">
        <v>32</v>
      </c>
      <c r="AE34" s="1"/>
      <c r="AF34" s="36" t="s">
        <v>109</v>
      </c>
      <c r="AG34" s="54">
        <v>180.0</v>
      </c>
      <c r="AH34" s="39">
        <v>1.0</v>
      </c>
      <c r="AI34" s="35" t="s">
        <v>28</v>
      </c>
      <c r="AJ34" s="36" t="s">
        <v>32</v>
      </c>
      <c r="AK34" s="1"/>
      <c r="AL34" s="36" t="s">
        <v>722</v>
      </c>
      <c r="AM34" s="54">
        <v>150.0</v>
      </c>
      <c r="AN34" s="39">
        <v>1.0</v>
      </c>
      <c r="AO34" s="35" t="s">
        <v>28</v>
      </c>
      <c r="AP34" s="36" t="s">
        <v>32</v>
      </c>
      <c r="AQ34" s="1"/>
      <c r="AR34" s="36" t="s">
        <v>305</v>
      </c>
      <c r="AS34" s="54">
        <v>20.0</v>
      </c>
      <c r="AT34" s="39">
        <v>2.0</v>
      </c>
      <c r="AU34" s="35" t="s">
        <v>32</v>
      </c>
      <c r="AV34" s="36" t="s">
        <v>32</v>
      </c>
      <c r="AW34" s="1"/>
      <c r="AX34" s="36" t="s">
        <v>723</v>
      </c>
      <c r="AY34" s="54">
        <v>27.4</v>
      </c>
      <c r="AZ34" s="39">
        <v>1.0</v>
      </c>
      <c r="BA34" s="35" t="s">
        <v>28</v>
      </c>
      <c r="BB34" s="36" t="s">
        <v>34</v>
      </c>
      <c r="BC34" s="1"/>
      <c r="BD34" s="36" t="s">
        <v>92</v>
      </c>
      <c r="BE34" s="54">
        <v>132.91</v>
      </c>
      <c r="BF34" s="39">
        <v>2.0</v>
      </c>
      <c r="BG34" s="35" t="s">
        <v>32</v>
      </c>
      <c r="BH34" s="36" t="s">
        <v>32</v>
      </c>
      <c r="BI34" s="1"/>
      <c r="BJ34" s="36" t="s">
        <v>724</v>
      </c>
      <c r="BK34" s="54">
        <v>140.0</v>
      </c>
      <c r="BL34" s="39">
        <v>3.0</v>
      </c>
      <c r="BM34" s="35" t="s">
        <v>32</v>
      </c>
      <c r="BN34" s="36" t="s">
        <v>32</v>
      </c>
      <c r="BO34" s="1"/>
      <c r="BP34" s="36" t="s">
        <v>725</v>
      </c>
      <c r="BQ34" s="54">
        <v>40.0</v>
      </c>
      <c r="BR34" s="39">
        <v>2.0</v>
      </c>
      <c r="BS34" s="35" t="s">
        <v>28</v>
      </c>
      <c r="BT34" s="36" t="s">
        <v>34</v>
      </c>
      <c r="BU34" s="4"/>
    </row>
    <row r="35">
      <c r="A35" s="1"/>
      <c r="B35" s="36" t="s">
        <v>726</v>
      </c>
      <c r="C35" s="54">
        <v>180.0</v>
      </c>
      <c r="D35" s="39">
        <v>4.0</v>
      </c>
      <c r="E35" s="35" t="s">
        <v>28</v>
      </c>
      <c r="F35" s="36" t="s">
        <v>34</v>
      </c>
      <c r="G35" s="1"/>
      <c r="H35" s="36" t="s">
        <v>727</v>
      </c>
      <c r="I35" s="54">
        <v>30.0</v>
      </c>
      <c r="J35" s="39">
        <v>3.0</v>
      </c>
      <c r="K35" s="35" t="s">
        <v>32</v>
      </c>
      <c r="L35" s="36" t="s">
        <v>32</v>
      </c>
      <c r="M35" s="1"/>
      <c r="N35" s="36" t="s">
        <v>100</v>
      </c>
      <c r="O35" s="54">
        <v>100.0</v>
      </c>
      <c r="P35" s="39">
        <v>5.0</v>
      </c>
      <c r="Q35" s="35" t="s">
        <v>32</v>
      </c>
      <c r="R35" s="36" t="s">
        <v>32</v>
      </c>
      <c r="S35" s="1"/>
      <c r="T35" s="36" t="s">
        <v>121</v>
      </c>
      <c r="U35" s="54">
        <v>230.07</v>
      </c>
      <c r="V35" s="39">
        <v>5.0</v>
      </c>
      <c r="W35" s="35" t="s">
        <v>28</v>
      </c>
      <c r="X35" s="36" t="s">
        <v>32</v>
      </c>
      <c r="Y35" s="1"/>
      <c r="Z35" s="36" t="s">
        <v>728</v>
      </c>
      <c r="AA35" s="54">
        <v>51.04</v>
      </c>
      <c r="AB35" s="39">
        <v>-25.0</v>
      </c>
      <c r="AC35" s="35" t="s">
        <v>28</v>
      </c>
      <c r="AD35" s="36" t="s">
        <v>32</v>
      </c>
      <c r="AE35" s="1"/>
      <c r="AF35" s="36" t="s">
        <v>618</v>
      </c>
      <c r="AG35" s="54">
        <v>30.0</v>
      </c>
      <c r="AH35" s="39">
        <v>3.0</v>
      </c>
      <c r="AI35" s="35" t="s">
        <v>28</v>
      </c>
      <c r="AJ35" s="36" t="s">
        <v>34</v>
      </c>
      <c r="AK35" s="1"/>
      <c r="AL35" s="36" t="s">
        <v>218</v>
      </c>
      <c r="AM35" s="54">
        <v>30.0</v>
      </c>
      <c r="AN35" s="39">
        <v>1.0</v>
      </c>
      <c r="AO35" s="35" t="s">
        <v>32</v>
      </c>
      <c r="AP35" s="36" t="s">
        <v>32</v>
      </c>
      <c r="AQ35" s="1"/>
      <c r="AR35" s="36" t="s">
        <v>729</v>
      </c>
      <c r="AS35" s="54">
        <v>217.0</v>
      </c>
      <c r="AT35" s="39">
        <v>4.0</v>
      </c>
      <c r="AU35" s="35" t="s">
        <v>32</v>
      </c>
      <c r="AV35" s="36" t="s">
        <v>32</v>
      </c>
      <c r="AW35" s="1"/>
      <c r="AX35" s="36" t="s">
        <v>92</v>
      </c>
      <c r="AY35" s="54">
        <v>22.02</v>
      </c>
      <c r="AZ35" s="39">
        <v>1.0</v>
      </c>
      <c r="BA35" s="35" t="s">
        <v>32</v>
      </c>
      <c r="BB35" s="36" t="s">
        <v>32</v>
      </c>
      <c r="BC35" s="1"/>
      <c r="BD35" s="36" t="s">
        <v>730</v>
      </c>
      <c r="BE35" s="54">
        <v>1800.0</v>
      </c>
      <c r="BF35" s="39">
        <v>2.0</v>
      </c>
      <c r="BG35" s="35" t="s">
        <v>32</v>
      </c>
      <c r="BH35" s="36" t="s">
        <v>32</v>
      </c>
      <c r="BI35" s="1"/>
      <c r="BJ35" s="36" t="s">
        <v>731</v>
      </c>
      <c r="BK35" s="54">
        <v>99.9</v>
      </c>
      <c r="BL35" s="39">
        <v>3.0</v>
      </c>
      <c r="BM35" s="35" t="s">
        <v>28</v>
      </c>
      <c r="BN35" s="36" t="s">
        <v>34</v>
      </c>
      <c r="BO35" s="1"/>
      <c r="BP35" s="36" t="s">
        <v>732</v>
      </c>
      <c r="BQ35" s="54">
        <v>170.0</v>
      </c>
      <c r="BR35" s="39">
        <v>2.0</v>
      </c>
      <c r="BS35" s="35" t="s">
        <v>28</v>
      </c>
      <c r="BT35" s="36" t="s">
        <v>34</v>
      </c>
      <c r="BU35" s="4"/>
    </row>
    <row r="36">
      <c r="A36" s="1"/>
      <c r="B36" s="61" t="s">
        <v>733</v>
      </c>
      <c r="C36" s="54">
        <v>100.0</v>
      </c>
      <c r="D36" s="39">
        <v>4.0</v>
      </c>
      <c r="E36" s="35" t="s">
        <v>32</v>
      </c>
      <c r="F36" s="36" t="s">
        <v>34</v>
      </c>
      <c r="G36" s="1"/>
      <c r="H36" s="36" t="s">
        <v>92</v>
      </c>
      <c r="I36" s="54">
        <v>40.0</v>
      </c>
      <c r="J36" s="39">
        <v>5.0</v>
      </c>
      <c r="K36" s="35" t="s">
        <v>32</v>
      </c>
      <c r="L36" s="36" t="s">
        <v>32</v>
      </c>
      <c r="M36" s="1"/>
      <c r="N36" s="36" t="s">
        <v>121</v>
      </c>
      <c r="O36" s="54">
        <v>245.51</v>
      </c>
      <c r="P36" s="39">
        <v>6.0</v>
      </c>
      <c r="Q36" s="35" t="s">
        <v>28</v>
      </c>
      <c r="R36" s="36" t="s">
        <v>32</v>
      </c>
      <c r="S36" s="1"/>
      <c r="T36" s="36" t="s">
        <v>734</v>
      </c>
      <c r="U36" s="54">
        <v>245.51</v>
      </c>
      <c r="V36" s="39">
        <v>5.0</v>
      </c>
      <c r="W36" s="35" t="s">
        <v>32</v>
      </c>
      <c r="X36" s="36" t="s">
        <v>32</v>
      </c>
      <c r="Y36" s="1"/>
      <c r="Z36" s="36" t="s">
        <v>735</v>
      </c>
      <c r="AA36" s="54">
        <v>60.0</v>
      </c>
      <c r="AB36" s="39">
        <v>-21.0</v>
      </c>
      <c r="AC36" s="35" t="s">
        <v>28</v>
      </c>
      <c r="AD36" s="36" t="s">
        <v>34</v>
      </c>
      <c r="AE36" s="1"/>
      <c r="AF36" s="36" t="s">
        <v>736</v>
      </c>
      <c r="AG36" s="54">
        <v>20.0</v>
      </c>
      <c r="AH36" s="39">
        <v>3.0</v>
      </c>
      <c r="AI36" s="35" t="s">
        <v>28</v>
      </c>
      <c r="AJ36" s="36" t="s">
        <v>34</v>
      </c>
      <c r="AK36" s="1"/>
      <c r="AL36" s="36" t="s">
        <v>100</v>
      </c>
      <c r="AM36" s="54">
        <v>100.0</v>
      </c>
      <c r="AN36" s="39">
        <v>2.0</v>
      </c>
      <c r="AO36" s="35" t="s">
        <v>32</v>
      </c>
      <c r="AP36" s="36" t="s">
        <v>32</v>
      </c>
      <c r="AQ36" s="1"/>
      <c r="AR36" s="36" t="s">
        <v>109</v>
      </c>
      <c r="AS36" s="54">
        <v>207.0</v>
      </c>
      <c r="AT36" s="39">
        <v>4.0</v>
      </c>
      <c r="AU36" s="35" t="s">
        <v>28</v>
      </c>
      <c r="AV36" s="36" t="s">
        <v>32</v>
      </c>
      <c r="AW36" s="1"/>
      <c r="AX36" s="36" t="s">
        <v>737</v>
      </c>
      <c r="AY36" s="54">
        <v>50.0</v>
      </c>
      <c r="AZ36" s="39">
        <v>2.0</v>
      </c>
      <c r="BA36" s="35" t="s">
        <v>28</v>
      </c>
      <c r="BB36" s="36" t="s">
        <v>34</v>
      </c>
      <c r="BC36" s="1"/>
      <c r="BD36" s="36" t="s">
        <v>92</v>
      </c>
      <c r="BE36" s="54">
        <v>100.0</v>
      </c>
      <c r="BF36" s="39">
        <v>2.0</v>
      </c>
      <c r="BG36" s="35" t="s">
        <v>32</v>
      </c>
      <c r="BH36" s="36" t="s">
        <v>32</v>
      </c>
      <c r="BI36" s="1"/>
      <c r="BJ36" s="36" t="s">
        <v>738</v>
      </c>
      <c r="BK36" s="54">
        <v>350.0</v>
      </c>
      <c r="BL36" s="39">
        <v>3.0</v>
      </c>
      <c r="BM36" s="35" t="s">
        <v>30</v>
      </c>
      <c r="BN36" s="36" t="s">
        <v>34</v>
      </c>
      <c r="BO36" s="1"/>
      <c r="BP36" s="36" t="s">
        <v>100</v>
      </c>
      <c r="BQ36" s="54">
        <v>50.0</v>
      </c>
      <c r="BR36" s="39">
        <v>3.0</v>
      </c>
      <c r="BS36" s="35" t="s">
        <v>32</v>
      </c>
      <c r="BT36" s="36" t="s">
        <v>32</v>
      </c>
      <c r="BU36" s="4"/>
    </row>
    <row r="37">
      <c r="A37" s="1"/>
      <c r="B37" s="36" t="s">
        <v>495</v>
      </c>
      <c r="C37" s="54">
        <v>11.5</v>
      </c>
      <c r="D37" s="39">
        <v>5.0</v>
      </c>
      <c r="E37" s="35" t="s">
        <v>28</v>
      </c>
      <c r="F37" s="36" t="s">
        <v>34</v>
      </c>
      <c r="G37" s="1"/>
      <c r="H37" s="36" t="s">
        <v>92</v>
      </c>
      <c r="I37" s="54">
        <v>54.75</v>
      </c>
      <c r="J37" s="39">
        <v>6.0</v>
      </c>
      <c r="K37" s="35" t="s">
        <v>32</v>
      </c>
      <c r="L37" s="36" t="s">
        <v>32</v>
      </c>
      <c r="M37" s="1"/>
      <c r="N37" s="61" t="s">
        <v>122</v>
      </c>
      <c r="O37" s="54">
        <v>230.07</v>
      </c>
      <c r="P37" s="39">
        <v>6.0</v>
      </c>
      <c r="Q37" s="35" t="s">
        <v>32</v>
      </c>
      <c r="R37" s="36" t="s">
        <v>32</v>
      </c>
      <c r="S37" s="1"/>
      <c r="T37" s="36" t="s">
        <v>313</v>
      </c>
      <c r="U37" s="54">
        <v>20.0</v>
      </c>
      <c r="V37" s="39">
        <v>6.0</v>
      </c>
      <c r="W37" s="35" t="s">
        <v>32</v>
      </c>
      <c r="X37" s="36" t="s">
        <v>32</v>
      </c>
      <c r="Y37" s="1"/>
      <c r="Z37" s="36" t="s">
        <v>739</v>
      </c>
      <c r="AA37" s="54">
        <v>9.0</v>
      </c>
      <c r="AB37" s="39">
        <v>-10.0</v>
      </c>
      <c r="AC37" s="35" t="s">
        <v>28</v>
      </c>
      <c r="AD37" s="36" t="s">
        <v>34</v>
      </c>
      <c r="AE37" s="1"/>
      <c r="AF37" s="36" t="s">
        <v>110</v>
      </c>
      <c r="AG37" s="54">
        <v>15.0</v>
      </c>
      <c r="AH37" s="39">
        <v>3.0</v>
      </c>
      <c r="AI37" s="35" t="s">
        <v>28</v>
      </c>
      <c r="AJ37" s="36" t="s">
        <v>34</v>
      </c>
      <c r="AK37" s="1"/>
      <c r="AL37" s="36" t="s">
        <v>740</v>
      </c>
      <c r="AM37" s="54">
        <v>130.0</v>
      </c>
      <c r="AN37" s="39">
        <v>2.0</v>
      </c>
      <c r="AO37" s="35" t="s">
        <v>28</v>
      </c>
      <c r="AP37" s="36" t="s">
        <v>32</v>
      </c>
      <c r="AQ37" s="1"/>
      <c r="AR37" s="36" t="s">
        <v>235</v>
      </c>
      <c r="AS37" s="54">
        <v>15.0</v>
      </c>
      <c r="AT37" s="39">
        <v>7.0</v>
      </c>
      <c r="AU37" s="35" t="s">
        <v>28</v>
      </c>
      <c r="AV37" s="36" t="s">
        <v>32</v>
      </c>
      <c r="AW37" s="1"/>
      <c r="AX37" s="36" t="s">
        <v>741</v>
      </c>
      <c r="AY37" s="54">
        <v>50.0</v>
      </c>
      <c r="AZ37" s="39">
        <v>5.0</v>
      </c>
      <c r="BA37" s="35" t="s">
        <v>28</v>
      </c>
      <c r="BB37" s="36" t="s">
        <v>32</v>
      </c>
      <c r="BC37" s="1"/>
      <c r="BD37" s="36" t="s">
        <v>742</v>
      </c>
      <c r="BE37" s="54">
        <v>18.0</v>
      </c>
      <c r="BF37" s="39">
        <v>2.0</v>
      </c>
      <c r="BG37" s="35" t="s">
        <v>28</v>
      </c>
      <c r="BH37" s="36" t="s">
        <v>34</v>
      </c>
      <c r="BI37" s="1"/>
      <c r="BJ37" s="36" t="s">
        <v>743</v>
      </c>
      <c r="BK37" s="54">
        <v>815.0</v>
      </c>
      <c r="BL37" s="39">
        <v>7.0</v>
      </c>
      <c r="BM37" s="35" t="s">
        <v>30</v>
      </c>
      <c r="BN37" s="36" t="s">
        <v>34</v>
      </c>
      <c r="BO37" s="1"/>
      <c r="BP37" s="36" t="s">
        <v>744</v>
      </c>
      <c r="BQ37" s="54">
        <v>6050.0</v>
      </c>
      <c r="BR37" s="39">
        <v>4.0</v>
      </c>
      <c r="BS37" s="35" t="s">
        <v>32</v>
      </c>
      <c r="BT37" s="36" t="s">
        <v>32</v>
      </c>
      <c r="BU37" s="4"/>
    </row>
    <row r="38">
      <c r="A38" s="1"/>
      <c r="B38" s="36" t="s">
        <v>109</v>
      </c>
      <c r="C38" s="54">
        <v>180.0</v>
      </c>
      <c r="D38" s="39">
        <v>3.0</v>
      </c>
      <c r="E38" s="35" t="s">
        <v>28</v>
      </c>
      <c r="F38" s="36" t="s">
        <v>32</v>
      </c>
      <c r="G38" s="1"/>
      <c r="H38" s="36" t="s">
        <v>92</v>
      </c>
      <c r="I38" s="54">
        <v>15.0</v>
      </c>
      <c r="J38" s="39">
        <v>6.0</v>
      </c>
      <c r="K38" s="35" t="s">
        <v>32</v>
      </c>
      <c r="L38" s="36" t="s">
        <v>32</v>
      </c>
      <c r="M38" s="1"/>
      <c r="N38" s="36" t="s">
        <v>745</v>
      </c>
      <c r="O38" s="54">
        <v>120.0</v>
      </c>
      <c r="P38" s="39">
        <v>6.0</v>
      </c>
      <c r="Q38" s="35" t="s">
        <v>28</v>
      </c>
      <c r="R38" s="36" t="s">
        <v>32</v>
      </c>
      <c r="S38" s="1"/>
      <c r="T38" s="36" t="s">
        <v>313</v>
      </c>
      <c r="U38" s="54">
        <v>10.0</v>
      </c>
      <c r="V38" s="39">
        <v>6.0</v>
      </c>
      <c r="W38" s="35" t="s">
        <v>32</v>
      </c>
      <c r="X38" s="36" t="s">
        <v>32</v>
      </c>
      <c r="Y38" s="1"/>
      <c r="Z38" s="36" t="s">
        <v>746</v>
      </c>
      <c r="AA38" s="54">
        <v>65.0</v>
      </c>
      <c r="AB38" s="39">
        <v>-10.0</v>
      </c>
      <c r="AC38" s="35" t="s">
        <v>28</v>
      </c>
      <c r="AD38" s="36" t="s">
        <v>34</v>
      </c>
      <c r="AE38" s="1"/>
      <c r="AF38" s="36" t="s">
        <v>121</v>
      </c>
      <c r="AG38" s="54">
        <v>230.07</v>
      </c>
      <c r="AH38" s="39">
        <v>5.0</v>
      </c>
      <c r="AI38" s="35" t="s">
        <v>28</v>
      </c>
      <c r="AJ38" s="36" t="s">
        <v>32</v>
      </c>
      <c r="AK38" s="1"/>
      <c r="AL38" s="36" t="s">
        <v>274</v>
      </c>
      <c r="AM38" s="54">
        <v>226.0</v>
      </c>
      <c r="AN38" s="39">
        <v>2.0</v>
      </c>
      <c r="AO38" s="35" t="s">
        <v>28</v>
      </c>
      <c r="AP38" s="36" t="s">
        <v>34</v>
      </c>
      <c r="AQ38" s="1"/>
      <c r="AR38" s="36" t="s">
        <v>218</v>
      </c>
      <c r="AS38" s="54">
        <v>30.0</v>
      </c>
      <c r="AT38" s="39">
        <v>7.0</v>
      </c>
      <c r="AU38" s="35" t="s">
        <v>32</v>
      </c>
      <c r="AV38" s="36" t="s">
        <v>32</v>
      </c>
      <c r="AW38" s="1"/>
      <c r="AX38" s="36" t="s">
        <v>109</v>
      </c>
      <c r="AY38" s="54">
        <v>180.0</v>
      </c>
      <c r="AZ38" s="39">
        <v>6.0</v>
      </c>
      <c r="BA38" s="35" t="s">
        <v>28</v>
      </c>
      <c r="BB38" s="36" t="s">
        <v>32</v>
      </c>
      <c r="BC38" s="1"/>
      <c r="BD38" s="36" t="s">
        <v>747</v>
      </c>
      <c r="BE38" s="54">
        <v>520.0</v>
      </c>
      <c r="BF38" s="39">
        <v>3.0</v>
      </c>
      <c r="BG38" s="35" t="s">
        <v>32</v>
      </c>
      <c r="BH38" s="36" t="s">
        <v>32</v>
      </c>
      <c r="BI38" s="1"/>
      <c r="BJ38" s="36" t="s">
        <v>353</v>
      </c>
      <c r="BK38" s="54">
        <v>100.0</v>
      </c>
      <c r="BL38" s="39">
        <v>8.0</v>
      </c>
      <c r="BM38" s="35" t="s">
        <v>28</v>
      </c>
      <c r="BN38" s="36" t="s">
        <v>32</v>
      </c>
      <c r="BO38" s="1"/>
      <c r="BP38" s="36" t="s">
        <v>748</v>
      </c>
      <c r="BQ38" s="54">
        <v>20.0</v>
      </c>
      <c r="BR38" s="39">
        <v>4.0</v>
      </c>
      <c r="BS38" s="35" t="s">
        <v>32</v>
      </c>
      <c r="BT38" s="36" t="s">
        <v>32</v>
      </c>
      <c r="BU38" s="4"/>
    </row>
    <row r="39">
      <c r="A39" s="1"/>
      <c r="B39" s="36" t="s">
        <v>92</v>
      </c>
      <c r="C39" s="54">
        <v>10.0</v>
      </c>
      <c r="D39" s="39">
        <v>5.0</v>
      </c>
      <c r="E39" s="35" t="s">
        <v>32</v>
      </c>
      <c r="F39" s="36" t="s">
        <v>32</v>
      </c>
      <c r="G39" s="1"/>
      <c r="H39" s="36" t="s">
        <v>92</v>
      </c>
      <c r="I39" s="54">
        <v>30.0</v>
      </c>
      <c r="J39" s="39">
        <v>6.0</v>
      </c>
      <c r="K39" s="35" t="s">
        <v>32</v>
      </c>
      <c r="L39" s="36" t="s">
        <v>32</v>
      </c>
      <c r="M39" s="1"/>
      <c r="N39" s="36" t="s">
        <v>749</v>
      </c>
      <c r="O39" s="54">
        <v>198.0</v>
      </c>
      <c r="P39" s="39">
        <v>7.0</v>
      </c>
      <c r="Q39" s="35" t="s">
        <v>28</v>
      </c>
      <c r="R39" s="36" t="s">
        <v>32</v>
      </c>
      <c r="S39" s="1"/>
      <c r="T39" s="36" t="s">
        <v>100</v>
      </c>
      <c r="U39" s="54">
        <v>100.0</v>
      </c>
      <c r="V39" s="39">
        <v>8.0</v>
      </c>
      <c r="W39" s="35" t="s">
        <v>32</v>
      </c>
      <c r="X39" s="36" t="s">
        <v>32</v>
      </c>
      <c r="Y39" s="1"/>
      <c r="Z39" s="36" t="s">
        <v>750</v>
      </c>
      <c r="AA39" s="54">
        <v>10.0</v>
      </c>
      <c r="AB39" s="39">
        <v>-10.0</v>
      </c>
      <c r="AC39" s="35" t="s">
        <v>28</v>
      </c>
      <c r="AD39" s="36" t="s">
        <v>34</v>
      </c>
      <c r="AE39" s="1"/>
      <c r="AF39" s="36" t="s">
        <v>734</v>
      </c>
      <c r="AG39" s="54">
        <v>245.51</v>
      </c>
      <c r="AH39" s="39">
        <v>5.0</v>
      </c>
      <c r="AI39" s="35" t="s">
        <v>32</v>
      </c>
      <c r="AJ39" s="36" t="s">
        <v>32</v>
      </c>
      <c r="AK39" s="1"/>
      <c r="AL39" s="36" t="s">
        <v>104</v>
      </c>
      <c r="AM39" s="54">
        <v>45.0</v>
      </c>
      <c r="AN39" s="39">
        <v>2.0</v>
      </c>
      <c r="AO39" s="35" t="s">
        <v>28</v>
      </c>
      <c r="AP39" s="36" t="s">
        <v>34</v>
      </c>
      <c r="AQ39" s="1"/>
      <c r="AR39" s="36" t="s">
        <v>226</v>
      </c>
      <c r="AS39" s="54">
        <v>2138.19</v>
      </c>
      <c r="AT39" s="39">
        <v>10.0</v>
      </c>
      <c r="AU39" s="35" t="s">
        <v>32</v>
      </c>
      <c r="AV39" s="36" t="s">
        <v>32</v>
      </c>
      <c r="AW39" s="1"/>
      <c r="AX39" s="36" t="s">
        <v>218</v>
      </c>
      <c r="AY39" s="54">
        <v>30.0</v>
      </c>
      <c r="AZ39" s="39">
        <v>8.0</v>
      </c>
      <c r="BA39" s="35" t="s">
        <v>32</v>
      </c>
      <c r="BB39" s="36" t="s">
        <v>32</v>
      </c>
      <c r="BC39" s="1"/>
      <c r="BD39" s="36" t="s">
        <v>210</v>
      </c>
      <c r="BE39" s="54">
        <v>45.0</v>
      </c>
      <c r="BF39" s="39">
        <v>3.0</v>
      </c>
      <c r="BG39" s="35" t="s">
        <v>28</v>
      </c>
      <c r="BH39" s="36" t="s">
        <v>32</v>
      </c>
      <c r="BI39" s="1"/>
      <c r="BJ39" s="36" t="s">
        <v>92</v>
      </c>
      <c r="BK39" s="54">
        <v>17.0</v>
      </c>
      <c r="BL39" s="39">
        <v>8.0</v>
      </c>
      <c r="BM39" s="35" t="s">
        <v>32</v>
      </c>
      <c r="BN39" s="36" t="s">
        <v>32</v>
      </c>
      <c r="BO39" s="1"/>
      <c r="BP39" s="36" t="s">
        <v>751</v>
      </c>
      <c r="BQ39" s="54">
        <v>150.0</v>
      </c>
      <c r="BR39" s="39">
        <v>4.0</v>
      </c>
      <c r="BS39" s="35" t="s">
        <v>32</v>
      </c>
      <c r="BT39" s="36" t="s">
        <v>32</v>
      </c>
      <c r="BU39" s="4"/>
    </row>
    <row r="40">
      <c r="A40" s="1"/>
      <c r="B40" s="36" t="s">
        <v>752</v>
      </c>
      <c r="C40" s="54">
        <v>40.0</v>
      </c>
      <c r="D40" s="39">
        <v>9.0</v>
      </c>
      <c r="E40" s="35" t="s">
        <v>32</v>
      </c>
      <c r="F40" s="36" t="s">
        <v>32</v>
      </c>
      <c r="G40" s="1"/>
      <c r="H40" s="36" t="s">
        <v>92</v>
      </c>
      <c r="I40" s="54">
        <v>8.0</v>
      </c>
      <c r="J40" s="39">
        <v>7.0</v>
      </c>
      <c r="K40" s="35" t="s">
        <v>32</v>
      </c>
      <c r="L40" s="36" t="s">
        <v>32</v>
      </c>
      <c r="M40" s="1"/>
      <c r="N40" s="36" t="s">
        <v>218</v>
      </c>
      <c r="O40" s="54">
        <v>30.0</v>
      </c>
      <c r="P40" s="39">
        <v>7.0</v>
      </c>
      <c r="Q40" s="35" t="s">
        <v>32</v>
      </c>
      <c r="R40" s="36" t="s">
        <v>32</v>
      </c>
      <c r="S40" s="1"/>
      <c r="T40" s="36" t="s">
        <v>100</v>
      </c>
      <c r="U40" s="54">
        <v>100.0</v>
      </c>
      <c r="V40" s="39">
        <v>9.0</v>
      </c>
      <c r="W40" s="35" t="s">
        <v>32</v>
      </c>
      <c r="X40" s="36" t="s">
        <v>32</v>
      </c>
      <c r="Y40" s="1"/>
      <c r="Z40" s="36" t="s">
        <v>753</v>
      </c>
      <c r="AA40" s="54">
        <v>110.0</v>
      </c>
      <c r="AB40" s="39">
        <v>-7.0</v>
      </c>
      <c r="AC40" s="35" t="s">
        <v>28</v>
      </c>
      <c r="AD40" s="36" t="s">
        <v>34</v>
      </c>
      <c r="AE40" s="1"/>
      <c r="AF40" s="36" t="s">
        <v>754</v>
      </c>
      <c r="AG40" s="54">
        <v>25.0</v>
      </c>
      <c r="AH40" s="39">
        <v>7.0</v>
      </c>
      <c r="AI40" s="35" t="s">
        <v>28</v>
      </c>
      <c r="AJ40" s="36" t="s">
        <v>34</v>
      </c>
      <c r="AK40" s="1"/>
      <c r="AL40" s="36" t="s">
        <v>755</v>
      </c>
      <c r="AM40" s="54">
        <v>170.0</v>
      </c>
      <c r="AN40" s="39">
        <v>3.0</v>
      </c>
      <c r="AO40" s="35" t="s">
        <v>28</v>
      </c>
      <c r="AP40" s="36" t="s">
        <v>34</v>
      </c>
      <c r="AQ40" s="1"/>
      <c r="AR40" s="36" t="s">
        <v>281</v>
      </c>
      <c r="AS40" s="54">
        <v>306.99</v>
      </c>
      <c r="AT40" s="39">
        <v>10.0</v>
      </c>
      <c r="AU40" s="35" t="s">
        <v>34</v>
      </c>
      <c r="AV40" s="36" t="s">
        <v>32</v>
      </c>
      <c r="AW40" s="1"/>
      <c r="AX40" s="36" t="s">
        <v>552</v>
      </c>
      <c r="AY40" s="54">
        <v>30.0</v>
      </c>
      <c r="AZ40" s="39">
        <v>9.0</v>
      </c>
      <c r="BA40" s="35" t="s">
        <v>28</v>
      </c>
      <c r="BB40" s="36" t="s">
        <v>32</v>
      </c>
      <c r="BC40" s="1"/>
      <c r="BD40" s="36" t="s">
        <v>311</v>
      </c>
      <c r="BE40" s="54">
        <v>242.0</v>
      </c>
      <c r="BF40" s="39">
        <v>3.0</v>
      </c>
      <c r="BG40" s="35" t="s">
        <v>32</v>
      </c>
      <c r="BH40" s="36" t="s">
        <v>32</v>
      </c>
      <c r="BI40" s="1"/>
      <c r="BJ40" s="36" t="s">
        <v>210</v>
      </c>
      <c r="BK40" s="54">
        <v>20.0</v>
      </c>
      <c r="BL40" s="39">
        <v>9.0</v>
      </c>
      <c r="BM40" s="35" t="s">
        <v>28</v>
      </c>
      <c r="BN40" s="36" t="s">
        <v>32</v>
      </c>
      <c r="BO40" s="1"/>
      <c r="BP40" s="36" t="s">
        <v>660</v>
      </c>
      <c r="BQ40" s="54">
        <v>200.0</v>
      </c>
      <c r="BR40" s="39">
        <v>4.0</v>
      </c>
      <c r="BS40" s="35" t="s">
        <v>28</v>
      </c>
      <c r="BT40" s="36" t="s">
        <v>34</v>
      </c>
      <c r="BU40" s="4"/>
    </row>
    <row r="41">
      <c r="A41" s="1"/>
      <c r="B41" s="36" t="s">
        <v>94</v>
      </c>
      <c r="C41" s="54">
        <v>20.0</v>
      </c>
      <c r="D41" s="39">
        <v>9.0</v>
      </c>
      <c r="E41" s="35" t="s">
        <v>28</v>
      </c>
      <c r="F41" s="36" t="s">
        <v>32</v>
      </c>
      <c r="G41" s="1"/>
      <c r="H41" s="36" t="s">
        <v>121</v>
      </c>
      <c r="I41" s="54">
        <v>247.13</v>
      </c>
      <c r="J41" s="39">
        <v>8.0</v>
      </c>
      <c r="K41" s="35" t="s">
        <v>28</v>
      </c>
      <c r="L41" s="36" t="s">
        <v>32</v>
      </c>
      <c r="M41" s="1"/>
      <c r="N41" s="36" t="s">
        <v>99</v>
      </c>
      <c r="O41" s="54">
        <v>3537.56</v>
      </c>
      <c r="P41" s="39">
        <v>8.0</v>
      </c>
      <c r="Q41" s="35" t="s">
        <v>32</v>
      </c>
      <c r="R41" s="36" t="s">
        <v>32</v>
      </c>
      <c r="S41" s="1"/>
      <c r="T41" s="36" t="s">
        <v>670</v>
      </c>
      <c r="U41" s="54">
        <v>113.98</v>
      </c>
      <c r="V41" s="39">
        <v>10.0</v>
      </c>
      <c r="W41" s="35" t="s">
        <v>28</v>
      </c>
      <c r="X41" s="36" t="s">
        <v>32</v>
      </c>
      <c r="Y41" s="1"/>
      <c r="Z41" s="36" t="s">
        <v>756</v>
      </c>
      <c r="AA41" s="54">
        <v>120.0</v>
      </c>
      <c r="AB41" s="39">
        <v>-6.0</v>
      </c>
      <c r="AC41" s="35" t="s">
        <v>28</v>
      </c>
      <c r="AD41" s="36" t="s">
        <v>34</v>
      </c>
      <c r="AE41" s="1"/>
      <c r="AF41" s="36" t="s">
        <v>757</v>
      </c>
      <c r="AG41" s="54">
        <v>163.66</v>
      </c>
      <c r="AH41" s="39">
        <v>10.0</v>
      </c>
      <c r="AI41" s="35" t="s">
        <v>28</v>
      </c>
      <c r="AJ41" s="36" t="s">
        <v>34</v>
      </c>
      <c r="AK41" s="1"/>
      <c r="AL41" s="36" t="s">
        <v>758</v>
      </c>
      <c r="AM41" s="54">
        <v>80.0</v>
      </c>
      <c r="AN41" s="39">
        <v>3.0</v>
      </c>
      <c r="AO41" s="35" t="s">
        <v>28</v>
      </c>
      <c r="AP41" s="36" t="s">
        <v>34</v>
      </c>
      <c r="AQ41" s="1"/>
      <c r="AR41" s="36" t="s">
        <v>220</v>
      </c>
      <c r="AS41" s="54">
        <v>11788.13</v>
      </c>
      <c r="AT41" s="39">
        <v>10.0</v>
      </c>
      <c r="AU41" s="35" t="s">
        <v>28</v>
      </c>
      <c r="AV41" s="36" t="s">
        <v>32</v>
      </c>
      <c r="AW41" s="1"/>
      <c r="AX41" s="36" t="s">
        <v>100</v>
      </c>
      <c r="AY41" s="54">
        <v>100.0</v>
      </c>
      <c r="AZ41" s="39">
        <v>10.0</v>
      </c>
      <c r="BA41" s="35" t="s">
        <v>32</v>
      </c>
      <c r="BB41" s="36" t="s">
        <v>32</v>
      </c>
      <c r="BC41" s="1"/>
      <c r="BD41" s="36" t="s">
        <v>109</v>
      </c>
      <c r="BE41" s="54">
        <v>189.0</v>
      </c>
      <c r="BF41" s="39">
        <v>3.0</v>
      </c>
      <c r="BG41" s="35" t="s">
        <v>28</v>
      </c>
      <c r="BH41" s="36" t="s">
        <v>34</v>
      </c>
      <c r="BI41" s="1"/>
      <c r="BJ41" s="36" t="s">
        <v>759</v>
      </c>
      <c r="BK41" s="54">
        <v>350.0</v>
      </c>
      <c r="BL41" s="39">
        <v>9.0</v>
      </c>
      <c r="BM41" s="35" t="s">
        <v>28</v>
      </c>
      <c r="BN41" s="36" t="s">
        <v>32</v>
      </c>
      <c r="BO41" s="1"/>
      <c r="BP41" s="36" t="s">
        <v>760</v>
      </c>
      <c r="BQ41" s="54">
        <v>1060.0</v>
      </c>
      <c r="BR41" s="39">
        <v>4.0</v>
      </c>
      <c r="BS41" s="35" t="s">
        <v>28</v>
      </c>
      <c r="BT41" s="36" t="s">
        <v>34</v>
      </c>
      <c r="BU41" s="4"/>
    </row>
    <row r="42">
      <c r="A42" s="1"/>
      <c r="B42" s="36" t="s">
        <v>761</v>
      </c>
      <c r="C42" s="54">
        <v>150.0</v>
      </c>
      <c r="D42" s="39">
        <v>9.0</v>
      </c>
      <c r="E42" s="35" t="s">
        <v>32</v>
      </c>
      <c r="F42" s="36" t="s">
        <v>32</v>
      </c>
      <c r="G42" s="1"/>
      <c r="H42" s="36" t="s">
        <v>122</v>
      </c>
      <c r="I42" s="54">
        <v>231.58</v>
      </c>
      <c r="J42" s="39">
        <v>8.0</v>
      </c>
      <c r="K42" s="35" t="s">
        <v>32</v>
      </c>
      <c r="L42" s="36" t="s">
        <v>32</v>
      </c>
      <c r="M42" s="1"/>
      <c r="N42" s="36" t="s">
        <v>101</v>
      </c>
      <c r="O42" s="54">
        <v>7229.6</v>
      </c>
      <c r="P42" s="39">
        <v>8.0</v>
      </c>
      <c r="Q42" s="35" t="s">
        <v>28</v>
      </c>
      <c r="R42" s="36" t="s">
        <v>32</v>
      </c>
      <c r="S42" s="1"/>
      <c r="T42" s="36" t="s">
        <v>115</v>
      </c>
      <c r="U42" s="54">
        <v>3.0</v>
      </c>
      <c r="V42" s="39">
        <v>10.0</v>
      </c>
      <c r="W42" s="35" t="s">
        <v>32</v>
      </c>
      <c r="X42" s="36" t="s">
        <v>32</v>
      </c>
      <c r="Y42" s="1"/>
      <c r="Z42" s="36" t="s">
        <v>762</v>
      </c>
      <c r="AA42" s="54">
        <v>45.0</v>
      </c>
      <c r="AB42" s="39">
        <v>-5.0</v>
      </c>
      <c r="AC42" s="35" t="s">
        <v>28</v>
      </c>
      <c r="AD42" s="36" t="s">
        <v>34</v>
      </c>
      <c r="AE42" s="1"/>
      <c r="AF42" s="36" t="s">
        <v>226</v>
      </c>
      <c r="AG42" s="54">
        <v>3458.96</v>
      </c>
      <c r="AH42" s="39">
        <v>10.0</v>
      </c>
      <c r="AI42" s="35" t="s">
        <v>32</v>
      </c>
      <c r="AJ42" s="36" t="s">
        <v>32</v>
      </c>
      <c r="AK42" s="1"/>
      <c r="AL42" s="36" t="s">
        <v>763</v>
      </c>
      <c r="AM42" s="54">
        <v>160.0</v>
      </c>
      <c r="AN42" s="39">
        <v>5.0</v>
      </c>
      <c r="AO42" s="35" t="s">
        <v>32</v>
      </c>
      <c r="AP42" s="36" t="s">
        <v>34</v>
      </c>
      <c r="AQ42" s="1"/>
      <c r="AR42" s="36" t="s">
        <v>737</v>
      </c>
      <c r="AS42" s="54">
        <v>100.0</v>
      </c>
      <c r="AT42" s="39">
        <v>10.0</v>
      </c>
      <c r="AU42" s="35" t="s">
        <v>28</v>
      </c>
      <c r="AV42" s="36" t="s">
        <v>32</v>
      </c>
      <c r="AW42" s="1"/>
      <c r="AX42" s="36" t="s">
        <v>220</v>
      </c>
      <c r="AY42" s="54">
        <v>5530.7</v>
      </c>
      <c r="AZ42" s="39">
        <v>11.0</v>
      </c>
      <c r="BA42" s="35" t="s">
        <v>28</v>
      </c>
      <c r="BB42" s="36" t="s">
        <v>32</v>
      </c>
      <c r="BC42" s="1"/>
      <c r="BD42" s="36" t="s">
        <v>310</v>
      </c>
      <c r="BE42" s="54">
        <v>120.0</v>
      </c>
      <c r="BF42" s="39">
        <v>4.0</v>
      </c>
      <c r="BG42" s="35" t="s">
        <v>28</v>
      </c>
      <c r="BH42" s="36" t="s">
        <v>32</v>
      </c>
      <c r="BI42" s="1"/>
      <c r="BJ42" s="36" t="s">
        <v>210</v>
      </c>
      <c r="BK42" s="54">
        <v>20.0</v>
      </c>
      <c r="BL42" s="39">
        <v>10.0</v>
      </c>
      <c r="BM42" s="35" t="s">
        <v>28</v>
      </c>
      <c r="BN42" s="36" t="s">
        <v>32</v>
      </c>
      <c r="BO42" s="1"/>
      <c r="BP42" s="36" t="s">
        <v>191</v>
      </c>
      <c r="BQ42" s="54">
        <v>20.0</v>
      </c>
      <c r="BR42" s="39">
        <v>5.0</v>
      </c>
      <c r="BS42" s="35" t="s">
        <v>28</v>
      </c>
      <c r="BT42" s="36" t="s">
        <v>32</v>
      </c>
      <c r="BU42" s="4"/>
    </row>
    <row r="43">
      <c r="A43" s="1"/>
      <c r="B43" s="36" t="s">
        <v>220</v>
      </c>
      <c r="C43" s="54">
        <v>6481.18</v>
      </c>
      <c r="D43" s="39">
        <v>9.0</v>
      </c>
      <c r="E43" s="35" t="s">
        <v>28</v>
      </c>
      <c r="F43" s="36" t="s">
        <v>32</v>
      </c>
      <c r="G43" s="1"/>
      <c r="H43" s="36" t="s">
        <v>224</v>
      </c>
      <c r="I43" s="54">
        <v>234.35</v>
      </c>
      <c r="J43" s="39">
        <v>9.0</v>
      </c>
      <c r="K43" s="35" t="s">
        <v>28</v>
      </c>
      <c r="L43" s="36" t="s">
        <v>32</v>
      </c>
      <c r="M43" s="1"/>
      <c r="N43" s="36" t="s">
        <v>103</v>
      </c>
      <c r="O43" s="54">
        <v>44.9</v>
      </c>
      <c r="P43" s="39">
        <v>8.0</v>
      </c>
      <c r="Q43" s="35" t="s">
        <v>34</v>
      </c>
      <c r="R43" s="36" t="s">
        <v>32</v>
      </c>
      <c r="S43" s="1"/>
      <c r="T43" s="36" t="s">
        <v>114</v>
      </c>
      <c r="U43" s="54">
        <v>6.0</v>
      </c>
      <c r="V43" s="39">
        <v>10.0</v>
      </c>
      <c r="W43" s="35" t="s">
        <v>32</v>
      </c>
      <c r="X43" s="36" t="s">
        <v>32</v>
      </c>
      <c r="Y43" s="1"/>
      <c r="Z43" s="36" t="s">
        <v>764</v>
      </c>
      <c r="AA43" s="54">
        <v>10.0</v>
      </c>
      <c r="AB43" s="39">
        <v>-5.0</v>
      </c>
      <c r="AC43" s="35" t="s">
        <v>28</v>
      </c>
      <c r="AD43" s="36" t="s">
        <v>34</v>
      </c>
      <c r="AE43" s="1"/>
      <c r="AF43" s="36" t="s">
        <v>220</v>
      </c>
      <c r="AG43" s="54">
        <v>8826.25</v>
      </c>
      <c r="AH43" s="39">
        <v>10.0</v>
      </c>
      <c r="AI43" s="35" t="s">
        <v>28</v>
      </c>
      <c r="AJ43" s="36" t="s">
        <v>32</v>
      </c>
      <c r="AK43" s="1"/>
      <c r="AL43" s="36" t="s">
        <v>765</v>
      </c>
      <c r="AM43" s="54">
        <v>65.0</v>
      </c>
      <c r="AN43" s="39">
        <v>5.0</v>
      </c>
      <c r="AO43" s="35" t="s">
        <v>28</v>
      </c>
      <c r="AP43" s="36" t="s">
        <v>34</v>
      </c>
      <c r="AQ43" s="1"/>
      <c r="AR43" s="36" t="s">
        <v>766</v>
      </c>
      <c r="AS43" s="54">
        <v>152.0</v>
      </c>
      <c r="AT43" s="39">
        <v>10.0</v>
      </c>
      <c r="AU43" s="35" t="s">
        <v>32</v>
      </c>
      <c r="AV43" s="36" t="s">
        <v>32</v>
      </c>
      <c r="AW43" s="1"/>
      <c r="AX43" s="36" t="s">
        <v>226</v>
      </c>
      <c r="AY43" s="54">
        <v>2847.67</v>
      </c>
      <c r="AZ43" s="39">
        <v>11.0</v>
      </c>
      <c r="BA43" s="35" t="s">
        <v>32</v>
      </c>
      <c r="BB43" s="36" t="s">
        <v>32</v>
      </c>
      <c r="BC43" s="1"/>
      <c r="BD43" s="36" t="s">
        <v>191</v>
      </c>
      <c r="BE43" s="54">
        <v>20.0</v>
      </c>
      <c r="BF43" s="39">
        <v>4.0</v>
      </c>
      <c r="BG43" s="35" t="s">
        <v>28</v>
      </c>
      <c r="BH43" s="36" t="s">
        <v>32</v>
      </c>
      <c r="BI43" s="1"/>
      <c r="BJ43" s="36" t="s">
        <v>767</v>
      </c>
      <c r="BK43" s="54">
        <v>152.0</v>
      </c>
      <c r="BL43" s="39">
        <v>10.0</v>
      </c>
      <c r="BM43" s="35" t="s">
        <v>32</v>
      </c>
      <c r="BN43" s="36" t="s">
        <v>32</v>
      </c>
      <c r="BO43" s="1"/>
      <c r="BP43" s="36" t="s">
        <v>470</v>
      </c>
      <c r="BQ43" s="54">
        <v>19.0</v>
      </c>
      <c r="BR43" s="39">
        <v>5.0</v>
      </c>
      <c r="BS43" s="35" t="s">
        <v>32</v>
      </c>
      <c r="BT43" s="36" t="s">
        <v>32</v>
      </c>
      <c r="BU43" s="4"/>
    </row>
    <row r="44">
      <c r="A44" s="1"/>
      <c r="B44" s="36" t="s">
        <v>226</v>
      </c>
      <c r="C44" s="54">
        <v>5811.49</v>
      </c>
      <c r="D44" s="39">
        <v>9.0</v>
      </c>
      <c r="E44" s="35" t="s">
        <v>32</v>
      </c>
      <c r="F44" s="36" t="s">
        <v>32</v>
      </c>
      <c r="G44" s="1"/>
      <c r="H44" s="36" t="s">
        <v>295</v>
      </c>
      <c r="I44" s="54">
        <v>8.0</v>
      </c>
      <c r="J44" s="39">
        <v>10.0</v>
      </c>
      <c r="K44" s="35" t="s">
        <v>28</v>
      </c>
      <c r="L44" s="36" t="s">
        <v>32</v>
      </c>
      <c r="M44" s="1"/>
      <c r="N44" s="36" t="s">
        <v>495</v>
      </c>
      <c r="O44" s="54">
        <v>30.0</v>
      </c>
      <c r="P44" s="39">
        <v>8.0</v>
      </c>
      <c r="Q44" s="35" t="s">
        <v>28</v>
      </c>
      <c r="R44" s="36" t="s">
        <v>32</v>
      </c>
      <c r="S44" s="1"/>
      <c r="T44" s="36" t="s">
        <v>226</v>
      </c>
      <c r="U44" s="54">
        <v>6698.37</v>
      </c>
      <c r="V44" s="39">
        <v>10.0</v>
      </c>
      <c r="W44" s="35" t="s">
        <v>32</v>
      </c>
      <c r="X44" s="36" t="s">
        <v>32</v>
      </c>
      <c r="Y44" s="1"/>
      <c r="Z44" s="36" t="s">
        <v>768</v>
      </c>
      <c r="AA44" s="54">
        <v>25.0</v>
      </c>
      <c r="AB44" s="39">
        <v>-3.0</v>
      </c>
      <c r="AC44" s="35" t="s">
        <v>28</v>
      </c>
      <c r="AD44" s="36" t="s">
        <v>34</v>
      </c>
      <c r="AE44" s="1"/>
      <c r="AF44" s="36" t="s">
        <v>281</v>
      </c>
      <c r="AG44" s="54">
        <v>50.5</v>
      </c>
      <c r="AH44" s="39">
        <v>10.0</v>
      </c>
      <c r="AI44" s="35" t="s">
        <v>34</v>
      </c>
      <c r="AJ44" s="36" t="s">
        <v>32</v>
      </c>
      <c r="AK44" s="1"/>
      <c r="AL44" s="36" t="s">
        <v>121</v>
      </c>
      <c r="AM44" s="54">
        <v>230.07</v>
      </c>
      <c r="AN44" s="39">
        <v>5.0</v>
      </c>
      <c r="AO44" s="35" t="s">
        <v>28</v>
      </c>
      <c r="AP44" s="36" t="s">
        <v>32</v>
      </c>
      <c r="AQ44" s="1"/>
      <c r="AR44" s="36" t="s">
        <v>115</v>
      </c>
      <c r="AS44" s="54">
        <v>3.0</v>
      </c>
      <c r="AT44" s="39">
        <v>10.0</v>
      </c>
      <c r="AU44" s="35" t="s">
        <v>32</v>
      </c>
      <c r="AV44" s="36" t="s">
        <v>32</v>
      </c>
      <c r="AW44" s="1"/>
      <c r="AX44" s="36" t="s">
        <v>769</v>
      </c>
      <c r="AY44" s="54">
        <v>354.43</v>
      </c>
      <c r="AZ44" s="39">
        <v>11.0</v>
      </c>
      <c r="BA44" s="35" t="s">
        <v>32</v>
      </c>
      <c r="BB44" s="36" t="s">
        <v>32</v>
      </c>
      <c r="BC44" s="1"/>
      <c r="BD44" s="36" t="s">
        <v>210</v>
      </c>
      <c r="BE44" s="54">
        <v>50.0</v>
      </c>
      <c r="BF44" s="39">
        <v>4.0</v>
      </c>
      <c r="BG44" s="35" t="s">
        <v>28</v>
      </c>
      <c r="BH44" s="36" t="s">
        <v>34</v>
      </c>
      <c r="BI44" s="1"/>
      <c r="BJ44" s="36" t="s">
        <v>114</v>
      </c>
      <c r="BK44" s="54">
        <v>6.0</v>
      </c>
      <c r="BL44" s="39">
        <v>10.0</v>
      </c>
      <c r="BM44" s="35" t="s">
        <v>32</v>
      </c>
      <c r="BN44" s="36" t="s">
        <v>32</v>
      </c>
      <c r="BO44" s="1"/>
      <c r="BP44" s="36" t="s">
        <v>104</v>
      </c>
      <c r="BQ44" s="54">
        <v>30.0</v>
      </c>
      <c r="BR44" s="39">
        <v>6.0</v>
      </c>
      <c r="BS44" s="35" t="s">
        <v>32</v>
      </c>
      <c r="BT44" s="36" t="s">
        <v>32</v>
      </c>
      <c r="BU44" s="4"/>
    </row>
    <row r="45">
      <c r="A45" s="1"/>
      <c r="B45" s="36" t="s">
        <v>281</v>
      </c>
      <c r="C45" s="54">
        <v>447.52</v>
      </c>
      <c r="D45" s="39">
        <v>9.0</v>
      </c>
      <c r="E45" s="35" t="s">
        <v>34</v>
      </c>
      <c r="F45" s="36" t="s">
        <v>32</v>
      </c>
      <c r="G45" s="1"/>
      <c r="H45" s="36" t="s">
        <v>115</v>
      </c>
      <c r="I45" s="54">
        <v>3.0</v>
      </c>
      <c r="J45" s="39">
        <v>10.0</v>
      </c>
      <c r="K45" s="35" t="s">
        <v>32</v>
      </c>
      <c r="L45" s="36" t="s">
        <v>32</v>
      </c>
      <c r="M45" s="1"/>
      <c r="N45" s="36" t="s">
        <v>770</v>
      </c>
      <c r="O45" s="54">
        <v>70.0</v>
      </c>
      <c r="P45" s="39">
        <v>9.0</v>
      </c>
      <c r="Q45" s="35" t="s">
        <v>32</v>
      </c>
      <c r="R45" s="36" t="s">
        <v>32</v>
      </c>
      <c r="S45" s="1"/>
      <c r="T45" s="36" t="s">
        <v>220</v>
      </c>
      <c r="U45" s="54">
        <v>6721.59</v>
      </c>
      <c r="V45" s="39">
        <v>10.0</v>
      </c>
      <c r="W45" s="35" t="s">
        <v>28</v>
      </c>
      <c r="X45" s="36" t="s">
        <v>32</v>
      </c>
      <c r="Y45" s="1"/>
      <c r="Z45" s="36" t="s">
        <v>109</v>
      </c>
      <c r="AA45" s="54">
        <v>198.0</v>
      </c>
      <c r="AB45" s="39">
        <v>2.0</v>
      </c>
      <c r="AC45" s="35" t="s">
        <v>28</v>
      </c>
      <c r="AD45" s="36" t="s">
        <v>32</v>
      </c>
      <c r="AE45" s="1"/>
      <c r="AF45" s="36" t="s">
        <v>771</v>
      </c>
      <c r="AG45" s="54">
        <v>85.0</v>
      </c>
      <c r="AH45" s="39">
        <v>12.0</v>
      </c>
      <c r="AI45" s="35" t="s">
        <v>28</v>
      </c>
      <c r="AJ45" s="36" t="s">
        <v>32</v>
      </c>
      <c r="AK45" s="1"/>
      <c r="AL45" s="36" t="s">
        <v>734</v>
      </c>
      <c r="AM45" s="54">
        <v>245.51</v>
      </c>
      <c r="AN45" s="39">
        <v>5.0</v>
      </c>
      <c r="AO45" s="35" t="s">
        <v>32</v>
      </c>
      <c r="AP45" s="36" t="s">
        <v>32</v>
      </c>
      <c r="AQ45" s="1"/>
      <c r="AR45" s="36" t="s">
        <v>114</v>
      </c>
      <c r="AS45" s="54">
        <v>989.19</v>
      </c>
      <c r="AT45" s="39">
        <v>10.0</v>
      </c>
      <c r="AU45" s="35" t="s">
        <v>32</v>
      </c>
      <c r="AV45" s="36" t="s">
        <v>32</v>
      </c>
      <c r="AW45" s="1"/>
      <c r="AX45" s="36" t="s">
        <v>761</v>
      </c>
      <c r="AY45" s="54">
        <v>150.0</v>
      </c>
      <c r="AZ45" s="39">
        <v>11.0</v>
      </c>
      <c r="BA45" s="35" t="s">
        <v>32</v>
      </c>
      <c r="BB45" s="36" t="s">
        <v>32</v>
      </c>
      <c r="BC45" s="1"/>
      <c r="BD45" s="36" t="s">
        <v>772</v>
      </c>
      <c r="BE45" s="54">
        <v>1900.0</v>
      </c>
      <c r="BF45" s="39">
        <v>5.0</v>
      </c>
      <c r="BG45" s="35" t="s">
        <v>28</v>
      </c>
      <c r="BH45" s="36" t="s">
        <v>34</v>
      </c>
      <c r="BI45" s="1"/>
      <c r="BJ45" s="36" t="s">
        <v>115</v>
      </c>
      <c r="BK45" s="54">
        <v>241.02</v>
      </c>
      <c r="BL45" s="39">
        <v>10.0</v>
      </c>
      <c r="BM45" s="35" t="s">
        <v>32</v>
      </c>
      <c r="BN45" s="36" t="s">
        <v>32</v>
      </c>
      <c r="BO45" s="1"/>
      <c r="BP45" s="36" t="s">
        <v>561</v>
      </c>
      <c r="BQ45" s="54">
        <v>42.0</v>
      </c>
      <c r="BR45" s="39">
        <v>6.0</v>
      </c>
      <c r="BS45" s="35" t="s">
        <v>28</v>
      </c>
      <c r="BT45" s="36" t="s">
        <v>34</v>
      </c>
      <c r="BU45" s="4"/>
    </row>
    <row r="46">
      <c r="A46" s="1"/>
      <c r="B46" s="36" t="s">
        <v>773</v>
      </c>
      <c r="C46" s="54">
        <v>300.5</v>
      </c>
      <c r="D46" s="39">
        <v>9.0</v>
      </c>
      <c r="E46" s="35" t="s">
        <v>34</v>
      </c>
      <c r="F46" s="36" t="s">
        <v>32</v>
      </c>
      <c r="G46" s="1"/>
      <c r="H46" s="36" t="s">
        <v>114</v>
      </c>
      <c r="I46" s="54">
        <v>116.16</v>
      </c>
      <c r="J46" s="39">
        <v>10.0</v>
      </c>
      <c r="K46" s="35" t="s">
        <v>32</v>
      </c>
      <c r="L46" s="36" t="s">
        <v>32</v>
      </c>
      <c r="M46" s="1"/>
      <c r="N46" s="36" t="s">
        <v>115</v>
      </c>
      <c r="O46" s="54">
        <v>3.0</v>
      </c>
      <c r="P46" s="39">
        <v>10.0</v>
      </c>
      <c r="Q46" s="35" t="s">
        <v>32</v>
      </c>
      <c r="R46" s="36" t="s">
        <v>32</v>
      </c>
      <c r="S46" s="1"/>
      <c r="T46" s="36" t="s">
        <v>353</v>
      </c>
      <c r="U46" s="54">
        <v>100.0</v>
      </c>
      <c r="V46" s="39">
        <v>11.0</v>
      </c>
      <c r="W46" s="35" t="s">
        <v>28</v>
      </c>
      <c r="X46" s="36" t="s">
        <v>32</v>
      </c>
      <c r="Y46" s="1"/>
      <c r="Z46" s="36" t="s">
        <v>92</v>
      </c>
      <c r="AA46" s="54">
        <v>12.0</v>
      </c>
      <c r="AB46" s="39">
        <v>3.0</v>
      </c>
      <c r="AC46" s="35" t="s">
        <v>32</v>
      </c>
      <c r="AD46" s="36" t="s">
        <v>32</v>
      </c>
      <c r="AE46" s="1"/>
      <c r="AF46" s="36" t="s">
        <v>115</v>
      </c>
      <c r="AG46" s="54">
        <v>3.0</v>
      </c>
      <c r="AH46" s="39">
        <v>12.0</v>
      </c>
      <c r="AI46" s="35" t="s">
        <v>32</v>
      </c>
      <c r="AJ46" s="36" t="s">
        <v>32</v>
      </c>
      <c r="AK46" s="1"/>
      <c r="AL46" s="36" t="s">
        <v>774</v>
      </c>
      <c r="AM46" s="54">
        <v>100.0</v>
      </c>
      <c r="AN46" s="39">
        <v>7.0</v>
      </c>
      <c r="AO46" s="35" t="s">
        <v>32</v>
      </c>
      <c r="AP46" s="36" t="s">
        <v>32</v>
      </c>
      <c r="AQ46" s="1"/>
      <c r="AR46" s="36" t="s">
        <v>775</v>
      </c>
      <c r="AS46" s="54">
        <v>354.43</v>
      </c>
      <c r="AT46" s="39">
        <v>10.0</v>
      </c>
      <c r="AU46" s="35" t="s">
        <v>32</v>
      </c>
      <c r="AV46" s="36" t="s">
        <v>32</v>
      </c>
      <c r="AW46" s="1"/>
      <c r="AX46" s="36" t="s">
        <v>539</v>
      </c>
      <c r="AY46" s="54">
        <v>152.0</v>
      </c>
      <c r="AZ46" s="39">
        <v>11.0</v>
      </c>
      <c r="BA46" s="35" t="s">
        <v>32</v>
      </c>
      <c r="BB46" s="36" t="s">
        <v>32</v>
      </c>
      <c r="BC46" s="1"/>
      <c r="BD46" s="36" t="s">
        <v>776</v>
      </c>
      <c r="BE46" s="54">
        <v>25.0</v>
      </c>
      <c r="BF46" s="39">
        <v>6.0</v>
      </c>
      <c r="BG46" s="35" t="s">
        <v>28</v>
      </c>
      <c r="BH46" s="36" t="s">
        <v>34</v>
      </c>
      <c r="BI46" s="1"/>
      <c r="BJ46" s="36" t="s">
        <v>775</v>
      </c>
      <c r="BK46" s="54">
        <v>354.43</v>
      </c>
      <c r="BL46" s="39">
        <v>10.0</v>
      </c>
      <c r="BM46" s="35" t="s">
        <v>32</v>
      </c>
      <c r="BN46" s="36" t="s">
        <v>32</v>
      </c>
      <c r="BO46" s="1"/>
      <c r="BP46" s="36" t="s">
        <v>777</v>
      </c>
      <c r="BQ46" s="54">
        <v>98.0</v>
      </c>
      <c r="BR46" s="39">
        <v>6.0</v>
      </c>
      <c r="BS46" s="35" t="s">
        <v>28</v>
      </c>
      <c r="BT46" s="36" t="s">
        <v>34</v>
      </c>
      <c r="BU46" s="4"/>
    </row>
    <row r="47">
      <c r="A47" s="1"/>
      <c r="B47" s="36" t="s">
        <v>100</v>
      </c>
      <c r="C47" s="54">
        <v>100.0</v>
      </c>
      <c r="D47" s="39">
        <v>1.0</v>
      </c>
      <c r="E47" s="35" t="s">
        <v>32</v>
      </c>
      <c r="F47" s="36" t="s">
        <v>32</v>
      </c>
      <c r="G47" s="1"/>
      <c r="H47" s="36" t="s">
        <v>99</v>
      </c>
      <c r="I47" s="54">
        <v>5631.61</v>
      </c>
      <c r="J47" s="39">
        <v>10.0</v>
      </c>
      <c r="K47" s="35" t="s">
        <v>32</v>
      </c>
      <c r="L47" s="36" t="s">
        <v>32</v>
      </c>
      <c r="M47" s="1"/>
      <c r="N47" s="36" t="s">
        <v>114</v>
      </c>
      <c r="O47" s="54">
        <v>6.0</v>
      </c>
      <c r="P47" s="39">
        <v>10.0</v>
      </c>
      <c r="Q47" s="35" t="s">
        <v>32</v>
      </c>
      <c r="R47" s="36" t="s">
        <v>32</v>
      </c>
      <c r="S47" s="1"/>
      <c r="T47" s="36" t="s">
        <v>695</v>
      </c>
      <c r="U47" s="54">
        <v>22.0</v>
      </c>
      <c r="V47" s="39">
        <v>12.0</v>
      </c>
      <c r="W47" s="35" t="s">
        <v>28</v>
      </c>
      <c r="X47" s="36" t="s">
        <v>32</v>
      </c>
      <c r="Y47" s="1"/>
      <c r="Z47" s="36" t="s">
        <v>778</v>
      </c>
      <c r="AA47" s="54">
        <v>193.67</v>
      </c>
      <c r="AB47" s="39">
        <v>4.0</v>
      </c>
      <c r="AC47" s="35" t="s">
        <v>28</v>
      </c>
      <c r="AD47" s="36" t="s">
        <v>34</v>
      </c>
      <c r="AE47" s="1"/>
      <c r="AF47" s="36" t="s">
        <v>114</v>
      </c>
      <c r="AG47" s="54">
        <v>6.0</v>
      </c>
      <c r="AH47" s="39">
        <v>12.0</v>
      </c>
      <c r="AI47" s="35" t="s">
        <v>32</v>
      </c>
      <c r="AJ47" s="36" t="s">
        <v>32</v>
      </c>
      <c r="AK47" s="1"/>
      <c r="AL47" s="36" t="s">
        <v>779</v>
      </c>
      <c r="AM47" s="54">
        <v>80.0</v>
      </c>
      <c r="AN47" s="39">
        <v>8.0</v>
      </c>
      <c r="AO47" s="35" t="s">
        <v>28</v>
      </c>
      <c r="AP47" s="36" t="s">
        <v>34</v>
      </c>
      <c r="AQ47" s="1"/>
      <c r="AR47" s="36" t="s">
        <v>310</v>
      </c>
      <c r="AS47" s="54">
        <v>50.0</v>
      </c>
      <c r="AT47" s="39">
        <v>11.0</v>
      </c>
      <c r="AU47" s="35" t="s">
        <v>28</v>
      </c>
      <c r="AV47" s="36" t="s">
        <v>34</v>
      </c>
      <c r="AW47" s="1"/>
      <c r="AX47" s="36" t="s">
        <v>780</v>
      </c>
      <c r="AY47" s="54">
        <v>10.96</v>
      </c>
      <c r="AZ47" s="39">
        <v>11.0</v>
      </c>
      <c r="BA47" s="35" t="s">
        <v>32</v>
      </c>
      <c r="BB47" s="36" t="s">
        <v>32</v>
      </c>
      <c r="BC47" s="1"/>
      <c r="BD47" s="36" t="s">
        <v>304</v>
      </c>
      <c r="BE47" s="54">
        <v>45.0</v>
      </c>
      <c r="BF47" s="39">
        <v>6.0</v>
      </c>
      <c r="BG47" s="35" t="s">
        <v>28</v>
      </c>
      <c r="BH47" s="36" t="s">
        <v>34</v>
      </c>
      <c r="BI47" s="1"/>
      <c r="BJ47" s="36" t="s">
        <v>226</v>
      </c>
      <c r="BK47" s="54">
        <v>1835.41</v>
      </c>
      <c r="BL47" s="39">
        <v>10.0</v>
      </c>
      <c r="BM47" s="35" t="s">
        <v>32</v>
      </c>
      <c r="BN47" s="36" t="s">
        <v>32</v>
      </c>
      <c r="BO47" s="1"/>
      <c r="BP47" s="36" t="s">
        <v>781</v>
      </c>
      <c r="BQ47" s="54">
        <v>60.0</v>
      </c>
      <c r="BR47" s="39">
        <v>6.0</v>
      </c>
      <c r="BS47" s="35" t="s">
        <v>28</v>
      </c>
      <c r="BT47" s="36" t="s">
        <v>34</v>
      </c>
      <c r="BU47" s="4"/>
    </row>
    <row r="48">
      <c r="A48" s="1"/>
      <c r="B48" s="36" t="s">
        <v>100</v>
      </c>
      <c r="C48" s="54">
        <v>100.0</v>
      </c>
      <c r="D48" s="39">
        <v>8.0</v>
      </c>
      <c r="E48" s="35" t="s">
        <v>32</v>
      </c>
      <c r="F48" s="36" t="s">
        <v>32</v>
      </c>
      <c r="G48" s="1"/>
      <c r="H48" s="36" t="s">
        <v>101</v>
      </c>
      <c r="I48" s="54">
        <v>12213.7</v>
      </c>
      <c r="J48" s="39">
        <v>10.0</v>
      </c>
      <c r="K48" s="35" t="s">
        <v>28</v>
      </c>
      <c r="L48" s="36" t="s">
        <v>32</v>
      </c>
      <c r="M48" s="1"/>
      <c r="N48" s="36" t="s">
        <v>100</v>
      </c>
      <c r="O48" s="54">
        <v>100.0</v>
      </c>
      <c r="P48" s="39">
        <v>12.0</v>
      </c>
      <c r="Q48" s="35" t="s">
        <v>32</v>
      </c>
      <c r="R48" s="36" t="s">
        <v>32</v>
      </c>
      <c r="S48" s="1"/>
      <c r="T48" s="36" t="s">
        <v>218</v>
      </c>
      <c r="U48" s="54">
        <v>30.0</v>
      </c>
      <c r="V48" s="39">
        <v>12.0</v>
      </c>
      <c r="W48" s="35" t="s">
        <v>32</v>
      </c>
      <c r="X48" s="36" t="s">
        <v>32</v>
      </c>
      <c r="Y48" s="1"/>
      <c r="Z48" s="36" t="s">
        <v>121</v>
      </c>
      <c r="AA48" s="54">
        <v>230.07</v>
      </c>
      <c r="AB48" s="39">
        <v>5.0</v>
      </c>
      <c r="AC48" s="35" t="s">
        <v>28</v>
      </c>
      <c r="AD48" s="36" t="s">
        <v>32</v>
      </c>
      <c r="AE48" s="1"/>
      <c r="AF48" s="36" t="s">
        <v>782</v>
      </c>
      <c r="AG48" s="54">
        <v>125.0</v>
      </c>
      <c r="AH48" s="39">
        <v>13.0</v>
      </c>
      <c r="AI48" s="35" t="s">
        <v>32</v>
      </c>
      <c r="AJ48" s="36" t="s">
        <v>32</v>
      </c>
      <c r="AK48" s="1"/>
      <c r="AL48" s="36" t="s">
        <v>210</v>
      </c>
      <c r="AM48" s="54">
        <v>50.0</v>
      </c>
      <c r="AN48" s="39">
        <v>10.0</v>
      </c>
      <c r="AO48" s="35" t="s">
        <v>28</v>
      </c>
      <c r="AP48" s="36" t="s">
        <v>34</v>
      </c>
      <c r="AQ48" s="1"/>
      <c r="AR48" s="36" t="s">
        <v>110</v>
      </c>
      <c r="AS48" s="54">
        <v>20.0</v>
      </c>
      <c r="AT48" s="39">
        <v>11.0</v>
      </c>
      <c r="AU48" s="35" t="s">
        <v>28</v>
      </c>
      <c r="AV48" s="36" t="s">
        <v>34</v>
      </c>
      <c r="AW48" s="1"/>
      <c r="AX48" s="36" t="s">
        <v>115</v>
      </c>
      <c r="AY48" s="54">
        <v>3.0</v>
      </c>
      <c r="AZ48" s="39">
        <v>11.0</v>
      </c>
      <c r="BA48" s="35" t="s">
        <v>32</v>
      </c>
      <c r="BB48" s="36" t="s">
        <v>32</v>
      </c>
      <c r="BC48" s="1"/>
      <c r="BD48" s="36" t="s">
        <v>783</v>
      </c>
      <c r="BE48" s="54">
        <v>23.5</v>
      </c>
      <c r="BF48" s="39">
        <v>6.0</v>
      </c>
      <c r="BG48" s="35" t="s">
        <v>28</v>
      </c>
      <c r="BH48" s="36" t="s">
        <v>34</v>
      </c>
      <c r="BI48" s="1"/>
      <c r="BJ48" s="36" t="s">
        <v>220</v>
      </c>
      <c r="BK48" s="54">
        <v>18747.52</v>
      </c>
      <c r="BL48" s="39">
        <v>10.0</v>
      </c>
      <c r="BM48" s="35" t="s">
        <v>28</v>
      </c>
      <c r="BN48" s="36" t="s">
        <v>32</v>
      </c>
      <c r="BO48" s="1"/>
      <c r="BP48" s="36" t="s">
        <v>784</v>
      </c>
      <c r="BQ48" s="54">
        <v>500.0</v>
      </c>
      <c r="BR48" s="39">
        <v>7.0</v>
      </c>
      <c r="BS48" s="35" t="s">
        <v>28</v>
      </c>
      <c r="BT48" s="36" t="s">
        <v>32</v>
      </c>
      <c r="BU48" s="4"/>
    </row>
    <row r="49">
      <c r="A49" s="1"/>
      <c r="B49" s="36" t="s">
        <v>110</v>
      </c>
      <c r="C49" s="54">
        <v>50.0</v>
      </c>
      <c r="D49" s="39">
        <v>9.0</v>
      </c>
      <c r="E49" s="35" t="s">
        <v>28</v>
      </c>
      <c r="F49" s="36" t="s">
        <v>32</v>
      </c>
      <c r="G49" s="1"/>
      <c r="H49" s="36" t="s">
        <v>641</v>
      </c>
      <c r="I49" s="54">
        <v>80.0</v>
      </c>
      <c r="J49" s="39">
        <v>11.0</v>
      </c>
      <c r="K49" s="35" t="s">
        <v>28</v>
      </c>
      <c r="L49" s="36" t="s">
        <v>34</v>
      </c>
      <c r="M49" s="1"/>
      <c r="N49" s="36" t="s">
        <v>785</v>
      </c>
      <c r="O49" s="54">
        <v>200.0</v>
      </c>
      <c r="P49" s="39">
        <v>14.0</v>
      </c>
      <c r="Q49" s="35" t="s">
        <v>30</v>
      </c>
      <c r="R49" s="36" t="s">
        <v>32</v>
      </c>
      <c r="S49" s="1"/>
      <c r="T49" s="36" t="s">
        <v>295</v>
      </c>
      <c r="U49" s="54">
        <v>8.0</v>
      </c>
      <c r="V49" s="39">
        <v>12.0</v>
      </c>
      <c r="W49" s="35" t="s">
        <v>32</v>
      </c>
      <c r="X49" s="36" t="s">
        <v>32</v>
      </c>
      <c r="Y49" s="1"/>
      <c r="Z49" s="36" t="s">
        <v>734</v>
      </c>
      <c r="AA49" s="54">
        <v>245.51</v>
      </c>
      <c r="AB49" s="39">
        <v>5.0</v>
      </c>
      <c r="AC49" s="35" t="s">
        <v>32</v>
      </c>
      <c r="AD49" s="36" t="s">
        <v>32</v>
      </c>
      <c r="AE49" s="1"/>
      <c r="AF49" s="36" t="s">
        <v>94</v>
      </c>
      <c r="AG49" s="54">
        <v>20.0</v>
      </c>
      <c r="AH49" s="39">
        <v>14.0</v>
      </c>
      <c r="AI49" s="35" t="s">
        <v>28</v>
      </c>
      <c r="AJ49" s="36" t="s">
        <v>32</v>
      </c>
      <c r="AK49" s="1"/>
      <c r="AL49" s="36" t="s">
        <v>786</v>
      </c>
      <c r="AM49" s="54">
        <v>40.0</v>
      </c>
      <c r="AN49" s="39">
        <v>10.0</v>
      </c>
      <c r="AO49" s="35" t="s">
        <v>28</v>
      </c>
      <c r="AP49" s="36" t="s">
        <v>34</v>
      </c>
      <c r="AQ49" s="1"/>
      <c r="AR49" s="36" t="s">
        <v>787</v>
      </c>
      <c r="AS49" s="54">
        <v>55.0</v>
      </c>
      <c r="AT49" s="39">
        <v>11.0</v>
      </c>
      <c r="AU49" s="35" t="s">
        <v>28</v>
      </c>
      <c r="AV49" s="36" t="s">
        <v>34</v>
      </c>
      <c r="AW49" s="1"/>
      <c r="AX49" s="36" t="s">
        <v>114</v>
      </c>
      <c r="AY49" s="54">
        <v>103.0</v>
      </c>
      <c r="AZ49" s="39">
        <v>11.0</v>
      </c>
      <c r="BA49" s="35" t="s">
        <v>32</v>
      </c>
      <c r="BB49" s="36" t="s">
        <v>32</v>
      </c>
      <c r="BC49" s="1"/>
      <c r="BD49" s="36" t="s">
        <v>313</v>
      </c>
      <c r="BE49" s="54">
        <v>12.0</v>
      </c>
      <c r="BF49" s="39">
        <v>7.0</v>
      </c>
      <c r="BG49" s="35" t="s">
        <v>32</v>
      </c>
      <c r="BH49" s="36" t="s">
        <v>32</v>
      </c>
      <c r="BI49" s="1"/>
      <c r="BJ49" s="36" t="s">
        <v>281</v>
      </c>
      <c r="BK49" s="54">
        <v>1348.46</v>
      </c>
      <c r="BL49" s="39">
        <v>10.0</v>
      </c>
      <c r="BM49" s="35" t="s">
        <v>34</v>
      </c>
      <c r="BN49" s="36" t="s">
        <v>32</v>
      </c>
      <c r="BO49" s="1"/>
      <c r="BP49" s="36" t="s">
        <v>470</v>
      </c>
      <c r="BQ49" s="54">
        <v>20.0</v>
      </c>
      <c r="BR49" s="39">
        <v>7.0</v>
      </c>
      <c r="BS49" s="35" t="s">
        <v>32</v>
      </c>
      <c r="BT49" s="36" t="s">
        <v>32</v>
      </c>
      <c r="BU49" s="4"/>
    </row>
    <row r="50">
      <c r="A50" s="1"/>
      <c r="B50" s="36" t="s">
        <v>495</v>
      </c>
      <c r="C50" s="54">
        <v>248.0</v>
      </c>
      <c r="D50" s="39">
        <v>9.0</v>
      </c>
      <c r="E50" s="35" t="s">
        <v>28</v>
      </c>
      <c r="F50" s="36" t="s">
        <v>32</v>
      </c>
      <c r="G50" s="1"/>
      <c r="H50" s="36" t="s">
        <v>788</v>
      </c>
      <c r="I50" s="54">
        <v>15.0</v>
      </c>
      <c r="J50" s="39">
        <v>11.0</v>
      </c>
      <c r="K50" s="35" t="s">
        <v>28</v>
      </c>
      <c r="L50" s="36" t="s">
        <v>34</v>
      </c>
      <c r="M50" s="1"/>
      <c r="N50" s="36" t="s">
        <v>789</v>
      </c>
      <c r="O50" s="54">
        <v>65.0</v>
      </c>
      <c r="P50" s="39">
        <v>16.0</v>
      </c>
      <c r="Q50" s="35" t="s">
        <v>28</v>
      </c>
      <c r="R50" s="36" t="s">
        <v>32</v>
      </c>
      <c r="S50" s="1"/>
      <c r="T50" s="36" t="s">
        <v>109</v>
      </c>
      <c r="U50" s="54">
        <v>162.0</v>
      </c>
      <c r="V50" s="39">
        <v>13.0</v>
      </c>
      <c r="W50" s="35" t="s">
        <v>28</v>
      </c>
      <c r="X50" s="36" t="s">
        <v>32</v>
      </c>
      <c r="Y50" s="1"/>
      <c r="Z50" s="36" t="s">
        <v>381</v>
      </c>
      <c r="AA50" s="54">
        <v>40.0</v>
      </c>
      <c r="AB50" s="39">
        <v>8.0</v>
      </c>
      <c r="AC50" s="35" t="s">
        <v>28</v>
      </c>
      <c r="AD50" s="36" t="s">
        <v>34</v>
      </c>
      <c r="AE50" s="1"/>
      <c r="AF50" s="36" t="s">
        <v>790</v>
      </c>
      <c r="AG50" s="54">
        <v>20.0</v>
      </c>
      <c r="AH50" s="39">
        <v>14.0</v>
      </c>
      <c r="AI50" s="35" t="s">
        <v>32</v>
      </c>
      <c r="AJ50" s="36" t="s">
        <v>32</v>
      </c>
      <c r="AK50" s="1"/>
      <c r="AL50" s="36" t="s">
        <v>109</v>
      </c>
      <c r="AM50" s="54">
        <v>189.0</v>
      </c>
      <c r="AN50" s="39">
        <v>10.0</v>
      </c>
      <c r="AO50" s="35" t="s">
        <v>28</v>
      </c>
      <c r="AP50" s="36" t="s">
        <v>32</v>
      </c>
      <c r="AQ50" s="1"/>
      <c r="AR50" s="36" t="s">
        <v>475</v>
      </c>
      <c r="AS50" s="54">
        <v>58.0</v>
      </c>
      <c r="AT50" s="39">
        <v>12.0</v>
      </c>
      <c r="AU50" s="35" t="s">
        <v>32</v>
      </c>
      <c r="AV50" s="36" t="s">
        <v>34</v>
      </c>
      <c r="AW50" s="1"/>
      <c r="AX50" s="36" t="s">
        <v>310</v>
      </c>
      <c r="AY50" s="54">
        <v>50.0</v>
      </c>
      <c r="AZ50" s="39">
        <v>14.0</v>
      </c>
      <c r="BA50" s="35" t="s">
        <v>28</v>
      </c>
      <c r="BB50" s="36" t="s">
        <v>34</v>
      </c>
      <c r="BC50" s="1"/>
      <c r="BD50" s="36" t="s">
        <v>100</v>
      </c>
      <c r="BE50" s="54">
        <v>100.0</v>
      </c>
      <c r="BF50" s="39">
        <v>8.0</v>
      </c>
      <c r="BG50" s="35" t="s">
        <v>32</v>
      </c>
      <c r="BH50" s="36" t="s">
        <v>32</v>
      </c>
      <c r="BI50" s="1"/>
      <c r="BJ50" s="36" t="s">
        <v>91</v>
      </c>
      <c r="BK50" s="54">
        <v>50.0</v>
      </c>
      <c r="BL50" s="39">
        <v>11.0</v>
      </c>
      <c r="BM50" s="35" t="s">
        <v>28</v>
      </c>
      <c r="BN50" s="36" t="s">
        <v>34</v>
      </c>
      <c r="BO50" s="1"/>
      <c r="BP50" s="36" t="s">
        <v>533</v>
      </c>
      <c r="BQ50" s="54">
        <v>100.0</v>
      </c>
      <c r="BR50" s="39">
        <v>7.0</v>
      </c>
      <c r="BS50" s="35" t="s">
        <v>28</v>
      </c>
      <c r="BT50" s="36" t="s">
        <v>34</v>
      </c>
      <c r="BU50" s="4"/>
    </row>
    <row r="51">
      <c r="A51" s="1"/>
      <c r="B51" s="36" t="s">
        <v>114</v>
      </c>
      <c r="C51" s="54">
        <v>1579.2</v>
      </c>
      <c r="D51" s="39">
        <v>10.0</v>
      </c>
      <c r="E51" s="35" t="s">
        <v>32</v>
      </c>
      <c r="F51" s="36" t="s">
        <v>32</v>
      </c>
      <c r="G51" s="1"/>
      <c r="H51" s="36" t="s">
        <v>761</v>
      </c>
      <c r="I51" s="54">
        <v>170.0</v>
      </c>
      <c r="J51" s="39">
        <v>13.0</v>
      </c>
      <c r="K51" s="35" t="s">
        <v>32</v>
      </c>
      <c r="L51" s="36" t="s">
        <v>32</v>
      </c>
      <c r="M51" s="1"/>
      <c r="N51" s="36" t="s">
        <v>791</v>
      </c>
      <c r="O51" s="54">
        <v>100.0</v>
      </c>
      <c r="P51" s="39">
        <v>17.0</v>
      </c>
      <c r="Q51" s="35" t="s">
        <v>32</v>
      </c>
      <c r="R51" s="36" t="s">
        <v>32</v>
      </c>
      <c r="S51" s="1"/>
      <c r="T51" s="36" t="s">
        <v>475</v>
      </c>
      <c r="U51" s="54">
        <v>40.0</v>
      </c>
      <c r="V51" s="39">
        <v>14.0</v>
      </c>
      <c r="W51" s="35" t="s">
        <v>28</v>
      </c>
      <c r="X51" s="36" t="s">
        <v>32</v>
      </c>
      <c r="Y51" s="1"/>
      <c r="Z51" s="36" t="s">
        <v>792</v>
      </c>
      <c r="AA51" s="54">
        <v>70.0</v>
      </c>
      <c r="AB51" s="39">
        <v>8.0</v>
      </c>
      <c r="AC51" s="35" t="s">
        <v>28</v>
      </c>
      <c r="AD51" s="36" t="s">
        <v>34</v>
      </c>
      <c r="AE51" s="1"/>
      <c r="AF51" s="36" t="s">
        <v>793</v>
      </c>
      <c r="AG51" s="54">
        <v>30.0</v>
      </c>
      <c r="AH51" s="39">
        <v>15.0</v>
      </c>
      <c r="AI51" s="35" t="s">
        <v>28</v>
      </c>
      <c r="AJ51" s="36" t="s">
        <v>32</v>
      </c>
      <c r="AK51" s="1"/>
      <c r="AL51" s="36" t="s">
        <v>226</v>
      </c>
      <c r="AM51" s="54">
        <v>3964.07</v>
      </c>
      <c r="AN51" s="39">
        <v>10.0</v>
      </c>
      <c r="AO51" s="35" t="s">
        <v>32</v>
      </c>
      <c r="AP51" s="36" t="s">
        <v>32</v>
      </c>
      <c r="AQ51" s="1"/>
      <c r="AR51" s="36" t="s">
        <v>299</v>
      </c>
      <c r="AS51" s="54">
        <v>51.0</v>
      </c>
      <c r="AT51" s="39">
        <v>18.0</v>
      </c>
      <c r="AU51" s="35" t="s">
        <v>28</v>
      </c>
      <c r="AV51" s="36" t="s">
        <v>34</v>
      </c>
      <c r="AW51" s="1"/>
      <c r="AX51" s="36" t="s">
        <v>110</v>
      </c>
      <c r="AY51" s="54">
        <v>20.0</v>
      </c>
      <c r="AZ51" s="39">
        <v>14.0</v>
      </c>
      <c r="BA51" s="35" t="s">
        <v>28</v>
      </c>
      <c r="BB51" s="36" t="s">
        <v>34</v>
      </c>
      <c r="BC51" s="1"/>
      <c r="BD51" s="36" t="s">
        <v>794</v>
      </c>
      <c r="BE51" s="54">
        <v>10.0</v>
      </c>
      <c r="BF51" s="39">
        <v>8.0</v>
      </c>
      <c r="BG51" s="35" t="s">
        <v>32</v>
      </c>
      <c r="BH51" s="36" t="s">
        <v>32</v>
      </c>
      <c r="BI51" s="1"/>
      <c r="BJ51" s="36" t="s">
        <v>795</v>
      </c>
      <c r="BK51" s="54">
        <v>18.0</v>
      </c>
      <c r="BL51" s="39">
        <v>11.0</v>
      </c>
      <c r="BM51" s="35" t="s">
        <v>28</v>
      </c>
      <c r="BN51" s="36" t="s">
        <v>34</v>
      </c>
      <c r="BO51" s="1"/>
      <c r="BP51" s="36" t="s">
        <v>796</v>
      </c>
      <c r="BQ51" s="54">
        <v>120.0</v>
      </c>
      <c r="BR51" s="39">
        <v>8.0</v>
      </c>
      <c r="BS51" s="35" t="s">
        <v>28</v>
      </c>
      <c r="BT51" s="36" t="s">
        <v>32</v>
      </c>
      <c r="BU51" s="4"/>
    </row>
    <row r="52">
      <c r="A52" s="1"/>
      <c r="B52" s="36" t="s">
        <v>115</v>
      </c>
      <c r="C52" s="54">
        <v>3.0</v>
      </c>
      <c r="D52" s="39">
        <v>10.0</v>
      </c>
      <c r="E52" s="35" t="s">
        <v>32</v>
      </c>
      <c r="F52" s="36" t="s">
        <v>32</v>
      </c>
      <c r="G52" s="1"/>
      <c r="H52" s="36" t="s">
        <v>797</v>
      </c>
      <c r="I52" s="54">
        <v>30.0</v>
      </c>
      <c r="J52" s="39">
        <v>13.0</v>
      </c>
      <c r="K52" s="35" t="s">
        <v>32</v>
      </c>
      <c r="L52" s="36" t="s">
        <v>32</v>
      </c>
      <c r="M52" s="1"/>
      <c r="N52" s="36" t="s">
        <v>798</v>
      </c>
      <c r="O52" s="54">
        <v>150.0</v>
      </c>
      <c r="P52" s="39">
        <v>17.0</v>
      </c>
      <c r="Q52" s="35" t="s">
        <v>32</v>
      </c>
      <c r="R52" s="36" t="s">
        <v>32</v>
      </c>
      <c r="S52" s="1"/>
      <c r="T52" s="36" t="s">
        <v>799</v>
      </c>
      <c r="U52" s="54">
        <v>220.39</v>
      </c>
      <c r="V52" s="39">
        <v>19.0</v>
      </c>
      <c r="W52" s="35" t="s">
        <v>32</v>
      </c>
      <c r="X52" s="36" t="s">
        <v>32</v>
      </c>
      <c r="Y52" s="1"/>
      <c r="Z52" s="36" t="s">
        <v>800</v>
      </c>
      <c r="AA52" s="54">
        <v>500.0</v>
      </c>
      <c r="AB52" s="39">
        <v>9.0</v>
      </c>
      <c r="AC52" s="35" t="s">
        <v>28</v>
      </c>
      <c r="AD52" s="36" t="s">
        <v>34</v>
      </c>
      <c r="AE52" s="1"/>
      <c r="AF52" s="36" t="s">
        <v>486</v>
      </c>
      <c r="AG52" s="54">
        <v>115.0</v>
      </c>
      <c r="AH52" s="39">
        <v>15.0</v>
      </c>
      <c r="AI52" s="35" t="s">
        <v>28</v>
      </c>
      <c r="AJ52" s="36" t="s">
        <v>34</v>
      </c>
      <c r="AK52" s="1"/>
      <c r="AL52" s="36" t="s">
        <v>281</v>
      </c>
      <c r="AM52" s="54">
        <v>956.8</v>
      </c>
      <c r="AN52" s="39">
        <v>10.0</v>
      </c>
      <c r="AO52" s="35" t="s">
        <v>34</v>
      </c>
      <c r="AP52" s="36" t="s">
        <v>32</v>
      </c>
      <c r="AQ52" s="1"/>
      <c r="AR52" s="36" t="s">
        <v>381</v>
      </c>
      <c r="AS52" s="54">
        <v>40.0</v>
      </c>
      <c r="AT52" s="39">
        <v>21.0</v>
      </c>
      <c r="AU52" s="35" t="s">
        <v>28</v>
      </c>
      <c r="AV52" s="36" t="s">
        <v>34</v>
      </c>
      <c r="AW52" s="1"/>
      <c r="AX52" s="36" t="s">
        <v>801</v>
      </c>
      <c r="AY52" s="54">
        <v>30.0</v>
      </c>
      <c r="AZ52" s="39">
        <v>14.0</v>
      </c>
      <c r="BA52" s="35" t="s">
        <v>28</v>
      </c>
      <c r="BB52" s="36" t="s">
        <v>34</v>
      </c>
      <c r="BC52" s="1"/>
      <c r="BD52" s="36" t="s">
        <v>802</v>
      </c>
      <c r="BE52" s="54">
        <v>448.0</v>
      </c>
      <c r="BF52" s="39">
        <v>9.0</v>
      </c>
      <c r="BG52" s="35" t="s">
        <v>34</v>
      </c>
      <c r="BH52" s="36" t="s">
        <v>32</v>
      </c>
      <c r="BI52" s="1"/>
      <c r="BJ52" s="36" t="s">
        <v>100</v>
      </c>
      <c r="BK52" s="54">
        <v>100.0</v>
      </c>
      <c r="BL52" s="39">
        <v>13.0</v>
      </c>
      <c r="BM52" s="35" t="s">
        <v>32</v>
      </c>
      <c r="BN52" s="36" t="s">
        <v>32</v>
      </c>
      <c r="BO52" s="1"/>
      <c r="BP52" s="36" t="s">
        <v>90</v>
      </c>
      <c r="BQ52" s="54">
        <v>100.0</v>
      </c>
      <c r="BR52" s="39">
        <v>8.0</v>
      </c>
      <c r="BS52" s="35" t="s">
        <v>28</v>
      </c>
      <c r="BT52" s="36" t="s">
        <v>34</v>
      </c>
      <c r="BU52" s="4"/>
    </row>
    <row r="53">
      <c r="A53" s="1"/>
      <c r="B53" s="36" t="s">
        <v>803</v>
      </c>
      <c r="C53" s="54">
        <v>25.0</v>
      </c>
      <c r="D53" s="39">
        <v>10.0</v>
      </c>
      <c r="E53" s="35" t="s">
        <v>32</v>
      </c>
      <c r="F53" s="36" t="s">
        <v>32</v>
      </c>
      <c r="G53" s="1"/>
      <c r="H53" s="36" t="s">
        <v>804</v>
      </c>
      <c r="I53" s="54">
        <v>247.5</v>
      </c>
      <c r="J53" s="39">
        <v>15.0</v>
      </c>
      <c r="K53" s="35" t="s">
        <v>32</v>
      </c>
      <c r="L53" s="36" t="s">
        <v>32</v>
      </c>
      <c r="M53" s="1"/>
      <c r="N53" s="36" t="s">
        <v>100</v>
      </c>
      <c r="O53" s="54">
        <v>70.0</v>
      </c>
      <c r="P53" s="39">
        <v>19.0</v>
      </c>
      <c r="Q53" s="35" t="s">
        <v>32</v>
      </c>
      <c r="R53" s="36" t="s">
        <v>32</v>
      </c>
      <c r="S53" s="1"/>
      <c r="T53" s="36" t="s">
        <v>94</v>
      </c>
      <c r="U53" s="54">
        <v>20.0</v>
      </c>
      <c r="V53" s="39">
        <v>24.0</v>
      </c>
      <c r="W53" s="35" t="s">
        <v>28</v>
      </c>
      <c r="X53" s="36" t="s">
        <v>32</v>
      </c>
      <c r="Y53" s="1"/>
      <c r="Z53" s="36" t="s">
        <v>226</v>
      </c>
      <c r="AA53" s="54">
        <v>4956.94</v>
      </c>
      <c r="AB53" s="39">
        <v>10.0</v>
      </c>
      <c r="AC53" s="35" t="s">
        <v>32</v>
      </c>
      <c r="AD53" s="36" t="s">
        <v>32</v>
      </c>
      <c r="AE53" s="1"/>
      <c r="AF53" s="36" t="s">
        <v>293</v>
      </c>
      <c r="AG53" s="54">
        <v>50.0</v>
      </c>
      <c r="AH53" s="39">
        <v>15.0</v>
      </c>
      <c r="AI53" s="35" t="s">
        <v>28</v>
      </c>
      <c r="AJ53" s="36" t="s">
        <v>34</v>
      </c>
      <c r="AK53" s="1"/>
      <c r="AL53" s="36" t="s">
        <v>220</v>
      </c>
      <c r="AM53" s="54">
        <v>5652.27</v>
      </c>
      <c r="AN53" s="39">
        <v>10.0</v>
      </c>
      <c r="AO53" s="35" t="s">
        <v>28</v>
      </c>
      <c r="AP53" s="36" t="s">
        <v>32</v>
      </c>
      <c r="AQ53" s="1"/>
      <c r="AR53" s="36" t="s">
        <v>805</v>
      </c>
      <c r="AS53" s="54">
        <v>20.0</v>
      </c>
      <c r="AT53" s="39">
        <v>21.0</v>
      </c>
      <c r="AU53" s="35" t="s">
        <v>28</v>
      </c>
      <c r="AV53" s="36" t="s">
        <v>34</v>
      </c>
      <c r="AW53" s="1"/>
      <c r="AX53" s="36" t="s">
        <v>737</v>
      </c>
      <c r="AY53" s="54">
        <v>20.0</v>
      </c>
      <c r="AZ53" s="39">
        <v>16.0</v>
      </c>
      <c r="BA53" s="35" t="s">
        <v>28</v>
      </c>
      <c r="BB53" s="36" t="s">
        <v>34</v>
      </c>
      <c r="BC53" s="1"/>
      <c r="BD53" s="36" t="s">
        <v>806</v>
      </c>
      <c r="BE53" s="54">
        <v>45.0</v>
      </c>
      <c r="BF53" s="39">
        <v>9.0</v>
      </c>
      <c r="BG53" s="35" t="s">
        <v>32</v>
      </c>
      <c r="BH53" s="36" t="s">
        <v>32</v>
      </c>
      <c r="BI53" s="1"/>
      <c r="BJ53" s="36" t="s">
        <v>807</v>
      </c>
      <c r="BK53" s="54">
        <v>250.0</v>
      </c>
      <c r="BL53" s="39">
        <v>16.0</v>
      </c>
      <c r="BM53" s="35" t="s">
        <v>30</v>
      </c>
      <c r="BN53" s="36" t="s">
        <v>32</v>
      </c>
      <c r="BO53" s="1"/>
      <c r="BP53" s="36" t="s">
        <v>808</v>
      </c>
      <c r="BQ53" s="54">
        <v>130.0</v>
      </c>
      <c r="BR53" s="39">
        <v>9.0</v>
      </c>
      <c r="BS53" s="35" t="s">
        <v>32</v>
      </c>
      <c r="BT53" s="36" t="s">
        <v>34</v>
      </c>
      <c r="BU53" s="4"/>
    </row>
    <row r="54">
      <c r="A54" s="1"/>
      <c r="B54" s="36" t="s">
        <v>809</v>
      </c>
      <c r="C54" s="54">
        <v>350.0</v>
      </c>
      <c r="D54" s="39">
        <v>11.0</v>
      </c>
      <c r="E54" s="35" t="s">
        <v>32</v>
      </c>
      <c r="F54" s="36" t="s">
        <v>32</v>
      </c>
      <c r="G54" s="1"/>
      <c r="H54" s="36" t="s">
        <v>618</v>
      </c>
      <c r="I54" s="54">
        <v>30.0</v>
      </c>
      <c r="J54" s="39">
        <v>20.0</v>
      </c>
      <c r="K54" s="35" t="s">
        <v>28</v>
      </c>
      <c r="L54" s="36" t="s">
        <v>34</v>
      </c>
      <c r="M54" s="1"/>
      <c r="N54" s="36" t="s">
        <v>810</v>
      </c>
      <c r="O54" s="54">
        <v>117.14</v>
      </c>
      <c r="P54" s="39">
        <v>20.0</v>
      </c>
      <c r="Q54" s="35" t="s">
        <v>32</v>
      </c>
      <c r="R54" s="36" t="s">
        <v>32</v>
      </c>
      <c r="S54" s="1"/>
      <c r="T54" s="36" t="s">
        <v>811</v>
      </c>
      <c r="U54" s="54">
        <v>354.43</v>
      </c>
      <c r="V54" s="39">
        <v>24.0</v>
      </c>
      <c r="W54" s="35" t="s">
        <v>32</v>
      </c>
      <c r="X54" s="36" t="s">
        <v>32</v>
      </c>
      <c r="Y54" s="1"/>
      <c r="Z54" s="36" t="s">
        <v>220</v>
      </c>
      <c r="AA54" s="54">
        <v>6192.04</v>
      </c>
      <c r="AB54" s="39">
        <v>10.0</v>
      </c>
      <c r="AC54" s="35" t="s">
        <v>28</v>
      </c>
      <c r="AD54" s="36" t="s">
        <v>32</v>
      </c>
      <c r="AE54" s="1"/>
      <c r="AF54" s="36" t="s">
        <v>210</v>
      </c>
      <c r="AG54" s="54">
        <v>10.0</v>
      </c>
      <c r="AH54" s="39">
        <v>15.0</v>
      </c>
      <c r="AI54" s="35" t="s">
        <v>28</v>
      </c>
      <c r="AJ54" s="36" t="s">
        <v>34</v>
      </c>
      <c r="AK54" s="1"/>
      <c r="AL54" s="36" t="s">
        <v>115</v>
      </c>
      <c r="AM54" s="54">
        <v>3.0</v>
      </c>
      <c r="AN54" s="39">
        <v>10.0</v>
      </c>
      <c r="AO54" s="35" t="s">
        <v>32</v>
      </c>
      <c r="AP54" s="36" t="s">
        <v>32</v>
      </c>
      <c r="AQ54" s="1"/>
      <c r="AR54" s="36" t="s">
        <v>737</v>
      </c>
      <c r="AS54" s="54">
        <v>40.0</v>
      </c>
      <c r="AT54" s="39">
        <v>22.0</v>
      </c>
      <c r="AU54" s="35" t="s">
        <v>28</v>
      </c>
      <c r="AV54" s="36" t="s">
        <v>34</v>
      </c>
      <c r="AW54" s="1"/>
      <c r="AX54" s="36" t="s">
        <v>475</v>
      </c>
      <c r="AY54" s="54">
        <v>58.0</v>
      </c>
      <c r="AZ54" s="39">
        <v>19.0</v>
      </c>
      <c r="BA54" s="35" t="s">
        <v>32</v>
      </c>
      <c r="BB54" s="36" t="s">
        <v>34</v>
      </c>
      <c r="BC54" s="1"/>
      <c r="BD54" s="36" t="s">
        <v>191</v>
      </c>
      <c r="BE54" s="54">
        <v>20.0</v>
      </c>
      <c r="BF54" s="39">
        <v>9.0</v>
      </c>
      <c r="BG54" s="35" t="s">
        <v>28</v>
      </c>
      <c r="BH54" s="36" t="s">
        <v>32</v>
      </c>
      <c r="BI54" s="1"/>
      <c r="BJ54" s="36" t="s">
        <v>741</v>
      </c>
      <c r="BK54" s="54">
        <v>20.0</v>
      </c>
      <c r="BL54" s="39">
        <v>16.0</v>
      </c>
      <c r="BM54" s="35" t="s">
        <v>28</v>
      </c>
      <c r="BN54" s="36" t="s">
        <v>32</v>
      </c>
      <c r="BO54" s="1"/>
      <c r="BP54" s="36" t="s">
        <v>226</v>
      </c>
      <c r="BQ54" s="54">
        <v>7354.1</v>
      </c>
      <c r="BR54" s="39">
        <v>10.0</v>
      </c>
      <c r="BS54" s="35" t="s">
        <v>32</v>
      </c>
      <c r="BT54" s="36" t="s">
        <v>32</v>
      </c>
      <c r="BU54" s="4"/>
    </row>
    <row r="55">
      <c r="A55" s="1"/>
      <c r="B55" s="36" t="s">
        <v>305</v>
      </c>
      <c r="C55" s="54">
        <v>20.0</v>
      </c>
      <c r="D55" s="39">
        <v>10.0</v>
      </c>
      <c r="E55" s="35" t="s">
        <v>32</v>
      </c>
      <c r="F55" s="36" t="s">
        <v>32</v>
      </c>
      <c r="G55" s="1"/>
      <c r="H55" s="36" t="s">
        <v>239</v>
      </c>
      <c r="I55" s="54">
        <v>101.0</v>
      </c>
      <c r="J55" s="39">
        <v>20.0</v>
      </c>
      <c r="K55" s="35" t="s">
        <v>28</v>
      </c>
      <c r="L55" s="36" t="s">
        <v>34</v>
      </c>
      <c r="M55" s="1"/>
      <c r="N55" s="36" t="s">
        <v>812</v>
      </c>
      <c r="O55" s="54">
        <v>15.0</v>
      </c>
      <c r="P55" s="39">
        <v>20.0</v>
      </c>
      <c r="Q55" s="35" t="s">
        <v>28</v>
      </c>
      <c r="R55" s="36" t="s">
        <v>32</v>
      </c>
      <c r="S55" s="1"/>
      <c r="T55" s="36" t="s">
        <v>92</v>
      </c>
      <c r="U55" s="54">
        <v>43.0</v>
      </c>
      <c r="V55" s="39">
        <v>24.0</v>
      </c>
      <c r="W55" s="35" t="s">
        <v>32</v>
      </c>
      <c r="X55" s="36" t="s">
        <v>32</v>
      </c>
      <c r="Y55" s="1"/>
      <c r="Z55" s="36" t="s">
        <v>115</v>
      </c>
      <c r="AA55" s="54">
        <v>3.0</v>
      </c>
      <c r="AB55" s="39">
        <v>10.0</v>
      </c>
      <c r="AC55" s="35" t="s">
        <v>32</v>
      </c>
      <c r="AD55" s="36" t="s">
        <v>32</v>
      </c>
      <c r="AE55" s="1"/>
      <c r="AF55" s="36" t="s">
        <v>339</v>
      </c>
      <c r="AG55" s="54">
        <v>27.0</v>
      </c>
      <c r="AH55" s="39">
        <v>16.0</v>
      </c>
      <c r="AI55" s="35" t="s">
        <v>28</v>
      </c>
      <c r="AJ55" s="36" t="s">
        <v>34</v>
      </c>
      <c r="AK55" s="1"/>
      <c r="AL55" s="36" t="s">
        <v>114</v>
      </c>
      <c r="AM55" s="54">
        <v>6.0</v>
      </c>
      <c r="AN55" s="39">
        <v>10.0</v>
      </c>
      <c r="AO55" s="35" t="s">
        <v>32</v>
      </c>
      <c r="AP55" s="36" t="s">
        <v>32</v>
      </c>
      <c r="AQ55" s="1"/>
      <c r="AR55" s="36" t="s">
        <v>305</v>
      </c>
      <c r="AS55" s="54">
        <v>20.0</v>
      </c>
      <c r="AT55" s="39">
        <v>23.0</v>
      </c>
      <c r="AU55" s="35" t="s">
        <v>32</v>
      </c>
      <c r="AV55" s="36" t="s">
        <v>32</v>
      </c>
      <c r="AW55" s="1"/>
      <c r="AX55" s="36" t="s">
        <v>89</v>
      </c>
      <c r="AY55" s="54">
        <v>20.0</v>
      </c>
      <c r="AZ55" s="39">
        <v>20.0</v>
      </c>
      <c r="BA55" s="35" t="s">
        <v>28</v>
      </c>
      <c r="BB55" s="36" t="s">
        <v>34</v>
      </c>
      <c r="BC55" s="1"/>
      <c r="BD55" s="36" t="s">
        <v>92</v>
      </c>
      <c r="BE55" s="54">
        <v>1.5</v>
      </c>
      <c r="BF55" s="39">
        <v>9.0</v>
      </c>
      <c r="BG55" s="35" t="s">
        <v>32</v>
      </c>
      <c r="BH55" s="36" t="s">
        <v>32</v>
      </c>
      <c r="BI55" s="1"/>
      <c r="BJ55" s="36" t="s">
        <v>191</v>
      </c>
      <c r="BK55" s="54">
        <v>20.0</v>
      </c>
      <c r="BL55" s="39">
        <v>17.0</v>
      </c>
      <c r="BM55" s="35" t="s">
        <v>28</v>
      </c>
      <c r="BN55" s="36" t="s">
        <v>32</v>
      </c>
      <c r="BO55" s="1"/>
      <c r="BP55" s="36" t="s">
        <v>281</v>
      </c>
      <c r="BQ55" s="54">
        <v>329.99</v>
      </c>
      <c r="BR55" s="39">
        <v>10.0</v>
      </c>
      <c r="BS55" s="35" t="s">
        <v>34</v>
      </c>
      <c r="BT55" s="36" t="s">
        <v>32</v>
      </c>
      <c r="BU55" s="4"/>
    </row>
    <row r="56">
      <c r="A56" s="1"/>
      <c r="B56" s="36" t="s">
        <v>416</v>
      </c>
      <c r="C56" s="54">
        <v>580.55</v>
      </c>
      <c r="D56" s="39">
        <v>23.0</v>
      </c>
      <c r="E56" s="35" t="s">
        <v>32</v>
      </c>
      <c r="F56" s="36" t="s">
        <v>32</v>
      </c>
      <c r="G56" s="1"/>
      <c r="H56" s="36" t="s">
        <v>813</v>
      </c>
      <c r="I56" s="54">
        <v>180.0</v>
      </c>
      <c r="J56" s="39">
        <v>20.0</v>
      </c>
      <c r="K56" s="35" t="s">
        <v>28</v>
      </c>
      <c r="L56" s="36" t="s">
        <v>34</v>
      </c>
      <c r="M56" s="1"/>
      <c r="N56" s="36" t="s">
        <v>761</v>
      </c>
      <c r="O56" s="54">
        <v>170.0</v>
      </c>
      <c r="P56" s="39">
        <v>20.0</v>
      </c>
      <c r="Q56" s="35" t="s">
        <v>32</v>
      </c>
      <c r="R56" s="36" t="s">
        <v>32</v>
      </c>
      <c r="S56" s="1"/>
      <c r="T56" s="36" t="s">
        <v>92</v>
      </c>
      <c r="U56" s="54">
        <v>100.0</v>
      </c>
      <c r="V56" s="39">
        <v>24.0</v>
      </c>
      <c r="W56" s="35" t="s">
        <v>32</v>
      </c>
      <c r="X56" s="36" t="s">
        <v>32</v>
      </c>
      <c r="Y56" s="1"/>
      <c r="Z56" s="36" t="s">
        <v>114</v>
      </c>
      <c r="AA56" s="54">
        <v>6.0</v>
      </c>
      <c r="AB56" s="39">
        <v>10.0</v>
      </c>
      <c r="AC56" s="35" t="s">
        <v>32</v>
      </c>
      <c r="AD56" s="36" t="s">
        <v>32</v>
      </c>
      <c r="AE56" s="1"/>
      <c r="AF56" s="36" t="s">
        <v>100</v>
      </c>
      <c r="AG56" s="54">
        <v>100.0</v>
      </c>
      <c r="AH56" s="39">
        <v>18.0</v>
      </c>
      <c r="AI56" s="35" t="s">
        <v>32</v>
      </c>
      <c r="AJ56" s="36" t="s">
        <v>32</v>
      </c>
      <c r="AK56" s="1"/>
      <c r="AL56" s="36" t="s">
        <v>811</v>
      </c>
      <c r="AM56" s="54">
        <v>354.43</v>
      </c>
      <c r="AN56" s="39">
        <v>10.0</v>
      </c>
      <c r="AO56" s="35" t="s">
        <v>32</v>
      </c>
      <c r="AP56" s="36" t="s">
        <v>32</v>
      </c>
      <c r="AQ56" s="1"/>
      <c r="AR56" s="36" t="s">
        <v>92</v>
      </c>
      <c r="AS56" s="54">
        <v>20.0</v>
      </c>
      <c r="AT56" s="39">
        <v>23.0</v>
      </c>
      <c r="AU56" s="35" t="s">
        <v>32</v>
      </c>
      <c r="AV56" s="36" t="s">
        <v>32</v>
      </c>
      <c r="AW56" s="1"/>
      <c r="AX56" s="36" t="s">
        <v>618</v>
      </c>
      <c r="AY56" s="54">
        <v>45.0</v>
      </c>
      <c r="AZ56" s="39">
        <v>23.0</v>
      </c>
      <c r="BA56" s="35" t="s">
        <v>28</v>
      </c>
      <c r="BB56" s="36" t="s">
        <v>34</v>
      </c>
      <c r="BC56" s="1"/>
      <c r="BD56" s="36" t="s">
        <v>618</v>
      </c>
      <c r="BE56" s="54">
        <v>15.0</v>
      </c>
      <c r="BF56" s="39">
        <v>9.0</v>
      </c>
      <c r="BG56" s="35" t="s">
        <v>28</v>
      </c>
      <c r="BH56" s="36" t="s">
        <v>34</v>
      </c>
      <c r="BI56" s="1"/>
      <c r="BJ56" s="36" t="s">
        <v>235</v>
      </c>
      <c r="BK56" s="54">
        <v>60.0</v>
      </c>
      <c r="BL56" s="39">
        <v>17.0</v>
      </c>
      <c r="BM56" s="35" t="s">
        <v>28</v>
      </c>
      <c r="BN56" s="36" t="s">
        <v>34</v>
      </c>
      <c r="BO56" s="1"/>
      <c r="BP56" s="36" t="s">
        <v>220</v>
      </c>
      <c r="BQ56" s="54">
        <v>9282.2</v>
      </c>
      <c r="BR56" s="39">
        <v>10.0</v>
      </c>
      <c r="BS56" s="35" t="s">
        <v>28</v>
      </c>
      <c r="BT56" s="36" t="s">
        <v>32</v>
      </c>
      <c r="BU56" s="4"/>
    </row>
    <row r="57">
      <c r="A57" s="1"/>
      <c r="B57" s="36" t="s">
        <v>814</v>
      </c>
      <c r="C57" s="54">
        <v>485.01</v>
      </c>
      <c r="D57" s="39">
        <v>23.0</v>
      </c>
      <c r="E57" s="35" t="s">
        <v>32</v>
      </c>
      <c r="F57" s="36" t="s">
        <v>32</v>
      </c>
      <c r="G57" s="1"/>
      <c r="H57" s="36" t="s">
        <v>100</v>
      </c>
      <c r="I57" s="54">
        <v>200.0</v>
      </c>
      <c r="J57" s="39">
        <v>22.0</v>
      </c>
      <c r="K57" s="35" t="s">
        <v>32</v>
      </c>
      <c r="L57" s="36" t="s">
        <v>32</v>
      </c>
      <c r="M57" s="1"/>
      <c r="N57" s="36" t="s">
        <v>218</v>
      </c>
      <c r="O57" s="54">
        <v>30.0</v>
      </c>
      <c r="P57" s="39">
        <v>20.0</v>
      </c>
      <c r="Q57" s="35" t="s">
        <v>32</v>
      </c>
      <c r="R57" s="36" t="s">
        <v>32</v>
      </c>
      <c r="S57" s="1"/>
      <c r="T57" s="36" t="s">
        <v>92</v>
      </c>
      <c r="U57" s="54">
        <v>50.0</v>
      </c>
      <c r="V57" s="39">
        <v>24.0</v>
      </c>
      <c r="W57" s="35" t="s">
        <v>32</v>
      </c>
      <c r="X57" s="36" t="s">
        <v>32</v>
      </c>
      <c r="Y57" s="1"/>
      <c r="Z57" s="36" t="s">
        <v>299</v>
      </c>
      <c r="AA57" s="54">
        <v>13.0</v>
      </c>
      <c r="AB57" s="39">
        <v>10.0</v>
      </c>
      <c r="AC57" s="35" t="s">
        <v>28</v>
      </c>
      <c r="AD57" s="36" t="s">
        <v>34</v>
      </c>
      <c r="AE57" s="1"/>
      <c r="AF57" s="36" t="s">
        <v>618</v>
      </c>
      <c r="AG57" s="54">
        <v>15.0</v>
      </c>
      <c r="AH57" s="39">
        <v>19.0</v>
      </c>
      <c r="AI57" s="35" t="s">
        <v>32</v>
      </c>
      <c r="AJ57" s="36" t="s">
        <v>32</v>
      </c>
      <c r="AK57" s="1"/>
      <c r="AL57" s="36" t="s">
        <v>815</v>
      </c>
      <c r="AM57" s="54">
        <v>150.0</v>
      </c>
      <c r="AN57" s="39">
        <v>12.0</v>
      </c>
      <c r="AO57" s="35" t="s">
        <v>28</v>
      </c>
      <c r="AP57" s="36" t="s">
        <v>32</v>
      </c>
      <c r="AQ57" s="1"/>
      <c r="AR57" s="36" t="s">
        <v>92</v>
      </c>
      <c r="AS57" s="54">
        <v>15.0</v>
      </c>
      <c r="AT57" s="39">
        <v>25.0</v>
      </c>
      <c r="AU57" s="35" t="s">
        <v>32</v>
      </c>
      <c r="AV57" s="36" t="s">
        <v>32</v>
      </c>
      <c r="AW57" s="1"/>
      <c r="AX57" s="36" t="s">
        <v>110</v>
      </c>
      <c r="AY57" s="54">
        <v>26.0</v>
      </c>
      <c r="AZ57" s="39">
        <v>23.0</v>
      </c>
      <c r="BA57" s="35" t="s">
        <v>28</v>
      </c>
      <c r="BB57" s="36" t="s">
        <v>34</v>
      </c>
      <c r="BC57" s="1"/>
      <c r="BD57" s="36" t="s">
        <v>816</v>
      </c>
      <c r="BE57" s="54">
        <v>20.0</v>
      </c>
      <c r="BF57" s="39">
        <v>9.0</v>
      </c>
      <c r="BG57" s="35" t="s">
        <v>28</v>
      </c>
      <c r="BH57" s="36" t="s">
        <v>34</v>
      </c>
      <c r="BI57" s="1"/>
      <c r="BJ57" s="36" t="s">
        <v>817</v>
      </c>
      <c r="BK57" s="54">
        <v>20.0</v>
      </c>
      <c r="BL57" s="39">
        <v>17.0</v>
      </c>
      <c r="BM57" s="35" t="s">
        <v>28</v>
      </c>
      <c r="BN57" s="36" t="s">
        <v>34</v>
      </c>
      <c r="BO57" s="1"/>
      <c r="BP57" s="36" t="s">
        <v>767</v>
      </c>
      <c r="BQ57" s="54">
        <v>152.0</v>
      </c>
      <c r="BR57" s="39">
        <v>11.0</v>
      </c>
      <c r="BS57" s="35" t="s">
        <v>32</v>
      </c>
      <c r="BT57" s="36" t="s">
        <v>32</v>
      </c>
      <c r="BU57" s="4"/>
    </row>
    <row r="58">
      <c r="A58" s="1"/>
      <c r="B58" s="36" t="s">
        <v>91</v>
      </c>
      <c r="C58" s="54">
        <v>50.0</v>
      </c>
      <c r="D58" s="39">
        <v>26.0</v>
      </c>
      <c r="E58" s="35" t="s">
        <v>28</v>
      </c>
      <c r="F58" s="36" t="s">
        <v>32</v>
      </c>
      <c r="G58" s="1"/>
      <c r="H58" s="36" t="s">
        <v>818</v>
      </c>
      <c r="I58" s="54">
        <v>120.0</v>
      </c>
      <c r="J58" s="39">
        <v>22.0</v>
      </c>
      <c r="K58" s="35" t="s">
        <v>28</v>
      </c>
      <c r="L58" s="36" t="s">
        <v>34</v>
      </c>
      <c r="M58" s="1"/>
      <c r="N58" s="36" t="s">
        <v>584</v>
      </c>
      <c r="O58" s="54">
        <v>1485.69</v>
      </c>
      <c r="P58" s="39">
        <v>20.0</v>
      </c>
      <c r="Q58" s="35" t="s">
        <v>34</v>
      </c>
      <c r="R58" s="36" t="s">
        <v>32</v>
      </c>
      <c r="S58" s="1"/>
      <c r="T58" s="36" t="s">
        <v>218</v>
      </c>
      <c r="U58" s="54">
        <v>30.0</v>
      </c>
      <c r="V58" s="39">
        <v>24.0</v>
      </c>
      <c r="W58" s="35" t="s">
        <v>32</v>
      </c>
      <c r="X58" s="36" t="s">
        <v>32</v>
      </c>
      <c r="Y58" s="1"/>
      <c r="Z58" s="36" t="s">
        <v>819</v>
      </c>
      <c r="AA58" s="54">
        <v>20.0</v>
      </c>
      <c r="AB58" s="39">
        <v>12.0</v>
      </c>
      <c r="AC58" s="35" t="s">
        <v>28</v>
      </c>
      <c r="AD58" s="36" t="s">
        <v>32</v>
      </c>
      <c r="AE58" s="1"/>
      <c r="AF58" s="36" t="s">
        <v>820</v>
      </c>
      <c r="AG58" s="54">
        <v>200.0</v>
      </c>
      <c r="AH58" s="39">
        <v>19.0</v>
      </c>
      <c r="AI58" s="35" t="s">
        <v>32</v>
      </c>
      <c r="AJ58" s="36" t="s">
        <v>32</v>
      </c>
      <c r="AK58" s="1"/>
      <c r="AL58" s="36" t="s">
        <v>821</v>
      </c>
      <c r="AM58" s="54">
        <v>83.52</v>
      </c>
      <c r="AN58" s="39">
        <v>15.0</v>
      </c>
      <c r="AO58" s="35" t="s">
        <v>28</v>
      </c>
      <c r="AP58" s="36" t="s">
        <v>34</v>
      </c>
      <c r="AQ58" s="1"/>
      <c r="AR58" s="36" t="s">
        <v>475</v>
      </c>
      <c r="AS58" s="54">
        <v>58.0</v>
      </c>
      <c r="AT58" s="39">
        <v>26.0</v>
      </c>
      <c r="AU58" s="35" t="s">
        <v>32</v>
      </c>
      <c r="AV58" s="36" t="s">
        <v>34</v>
      </c>
      <c r="AW58" s="1"/>
      <c r="AX58" s="36" t="s">
        <v>822</v>
      </c>
      <c r="AY58" s="54">
        <v>272.11</v>
      </c>
      <c r="AZ58" s="39">
        <v>25.0</v>
      </c>
      <c r="BA58" s="35" t="s">
        <v>32</v>
      </c>
      <c r="BB58" s="36" t="s">
        <v>32</v>
      </c>
      <c r="BC58" s="1"/>
      <c r="BD58" s="36" t="s">
        <v>114</v>
      </c>
      <c r="BE58" s="54">
        <v>6.0</v>
      </c>
      <c r="BF58" s="39">
        <v>10.0</v>
      </c>
      <c r="BG58" s="35" t="s">
        <v>32</v>
      </c>
      <c r="BH58" s="36" t="s">
        <v>32</v>
      </c>
      <c r="BI58" s="1"/>
      <c r="BJ58" s="36" t="s">
        <v>355</v>
      </c>
      <c r="BK58" s="54">
        <v>30.0</v>
      </c>
      <c r="BL58" s="39">
        <v>18.0</v>
      </c>
      <c r="BM58" s="35" t="s">
        <v>32</v>
      </c>
      <c r="BN58" s="36" t="s">
        <v>32</v>
      </c>
      <c r="BO58" s="1"/>
      <c r="BP58" s="36" t="s">
        <v>823</v>
      </c>
      <c r="BQ58" s="54">
        <v>120.0</v>
      </c>
      <c r="BR58" s="39">
        <v>11.0</v>
      </c>
      <c r="BS58" s="35" t="s">
        <v>28</v>
      </c>
      <c r="BT58" s="36" t="s">
        <v>32</v>
      </c>
      <c r="BU58" s="4"/>
    </row>
    <row r="59">
      <c r="A59" s="1"/>
      <c r="B59" s="36" t="s">
        <v>218</v>
      </c>
      <c r="C59" s="54">
        <v>30.0</v>
      </c>
      <c r="D59" s="39">
        <v>27.0</v>
      </c>
      <c r="E59" s="35" t="s">
        <v>32</v>
      </c>
      <c r="F59" s="36" t="s">
        <v>32</v>
      </c>
      <c r="G59" s="1"/>
      <c r="H59" s="36" t="s">
        <v>824</v>
      </c>
      <c r="I59" s="54">
        <v>876.11</v>
      </c>
      <c r="J59" s="39">
        <v>23.0</v>
      </c>
      <c r="K59" s="35" t="s">
        <v>32</v>
      </c>
      <c r="L59" s="36" t="s">
        <v>32</v>
      </c>
      <c r="M59" s="1"/>
      <c r="N59" s="36" t="s">
        <v>591</v>
      </c>
      <c r="O59" s="54">
        <v>1491.01</v>
      </c>
      <c r="P59" s="39">
        <v>20.0</v>
      </c>
      <c r="Q59" s="35" t="s">
        <v>32</v>
      </c>
      <c r="R59" s="36" t="s">
        <v>32</v>
      </c>
      <c r="S59" s="1"/>
      <c r="T59" s="36" t="s">
        <v>825</v>
      </c>
      <c r="U59" s="54">
        <v>140.0</v>
      </c>
      <c r="V59" s="39">
        <v>24.0</v>
      </c>
      <c r="W59" s="35" t="s">
        <v>32</v>
      </c>
      <c r="X59" s="36" t="s">
        <v>32</v>
      </c>
      <c r="Y59" s="1"/>
      <c r="Z59" s="36" t="s">
        <v>100</v>
      </c>
      <c r="AA59" s="54">
        <v>100.0</v>
      </c>
      <c r="AB59" s="39">
        <v>14.0</v>
      </c>
      <c r="AC59" s="35" t="s">
        <v>32</v>
      </c>
      <c r="AD59" s="36" t="s">
        <v>32</v>
      </c>
      <c r="AE59" s="1"/>
      <c r="AF59" s="36" t="s">
        <v>218</v>
      </c>
      <c r="AG59" s="54">
        <v>30.0</v>
      </c>
      <c r="AH59" s="39">
        <v>19.0</v>
      </c>
      <c r="AI59" s="35" t="s">
        <v>32</v>
      </c>
      <c r="AJ59" s="36" t="s">
        <v>32</v>
      </c>
      <c r="AK59" s="1"/>
      <c r="AL59" s="36" t="s">
        <v>368</v>
      </c>
      <c r="AM59" s="54">
        <v>30.0</v>
      </c>
      <c r="AN59" s="39">
        <v>15.0</v>
      </c>
      <c r="AO59" s="35" t="s">
        <v>28</v>
      </c>
      <c r="AP59" s="36" t="s">
        <v>34</v>
      </c>
      <c r="AQ59" s="1"/>
      <c r="AR59" s="36" t="s">
        <v>826</v>
      </c>
      <c r="AS59" s="54">
        <v>50.0</v>
      </c>
      <c r="AT59" s="39">
        <v>27.0</v>
      </c>
      <c r="AU59" s="35" t="s">
        <v>28</v>
      </c>
      <c r="AV59" s="36" t="s">
        <v>34</v>
      </c>
      <c r="AW59" s="1"/>
      <c r="AX59" s="36" t="s">
        <v>210</v>
      </c>
      <c r="AY59" s="54">
        <v>50.0</v>
      </c>
      <c r="AZ59" s="39">
        <v>25.0</v>
      </c>
      <c r="BA59" s="35" t="s">
        <v>28</v>
      </c>
      <c r="BB59" s="36" t="s">
        <v>32</v>
      </c>
      <c r="BC59" s="1"/>
      <c r="BD59" s="36" t="s">
        <v>115</v>
      </c>
      <c r="BE59" s="54">
        <v>419.12</v>
      </c>
      <c r="BF59" s="39">
        <v>10.0</v>
      </c>
      <c r="BG59" s="35" t="s">
        <v>28</v>
      </c>
      <c r="BH59" s="36" t="s">
        <v>32</v>
      </c>
      <c r="BI59" s="1"/>
      <c r="BJ59" s="36" t="s">
        <v>480</v>
      </c>
      <c r="BK59" s="54">
        <v>250.0</v>
      </c>
      <c r="BL59" s="39">
        <v>18.0</v>
      </c>
      <c r="BM59" s="35" t="s">
        <v>28</v>
      </c>
      <c r="BN59" s="36" t="s">
        <v>32</v>
      </c>
      <c r="BO59" s="1"/>
      <c r="BP59" s="36" t="s">
        <v>218</v>
      </c>
      <c r="BQ59" s="54">
        <v>30.0</v>
      </c>
      <c r="BR59" s="39">
        <v>11.0</v>
      </c>
      <c r="BS59" s="35" t="s">
        <v>32</v>
      </c>
      <c r="BT59" s="36" t="s">
        <v>32</v>
      </c>
      <c r="BU59" s="4"/>
    </row>
    <row r="60">
      <c r="A60" s="1"/>
      <c r="B60" s="36" t="s">
        <v>305</v>
      </c>
      <c r="C60" s="54">
        <v>20.0</v>
      </c>
      <c r="D60" s="39">
        <v>30.0</v>
      </c>
      <c r="E60" s="35" t="s">
        <v>32</v>
      </c>
      <c r="F60" s="36" t="s">
        <v>32</v>
      </c>
      <c r="G60" s="1"/>
      <c r="H60" s="36" t="s">
        <v>618</v>
      </c>
      <c r="I60" s="54">
        <v>30.0</v>
      </c>
      <c r="J60" s="39">
        <v>23.0</v>
      </c>
      <c r="K60" s="35" t="s">
        <v>28</v>
      </c>
      <c r="L60" s="36" t="s">
        <v>34</v>
      </c>
      <c r="M60" s="1"/>
      <c r="N60" s="36" t="s">
        <v>313</v>
      </c>
      <c r="O60" s="54">
        <v>20.0</v>
      </c>
      <c r="P60" s="39">
        <v>20.0</v>
      </c>
      <c r="Q60" s="35" t="s">
        <v>32</v>
      </c>
      <c r="R60" s="36" t="s">
        <v>32</v>
      </c>
      <c r="S60" s="1"/>
      <c r="T60" s="36" t="s">
        <v>130</v>
      </c>
      <c r="U60" s="54">
        <v>50.0</v>
      </c>
      <c r="V60" s="39">
        <v>28.0</v>
      </c>
      <c r="W60" s="35" t="s">
        <v>32</v>
      </c>
      <c r="X60" s="36" t="s">
        <v>32</v>
      </c>
      <c r="Y60" s="1"/>
      <c r="Z60" s="36" t="s">
        <v>235</v>
      </c>
      <c r="AA60" s="54">
        <v>30.0</v>
      </c>
      <c r="AB60" s="39">
        <v>15.0</v>
      </c>
      <c r="AC60" s="35" t="s">
        <v>28</v>
      </c>
      <c r="AD60" s="36" t="s">
        <v>32</v>
      </c>
      <c r="AE60" s="1"/>
      <c r="AF60" s="36" t="s">
        <v>827</v>
      </c>
      <c r="AG60" s="54">
        <v>129.67</v>
      </c>
      <c r="AH60" s="39">
        <v>20.0</v>
      </c>
      <c r="AI60" s="35" t="s">
        <v>32</v>
      </c>
      <c r="AJ60" s="36" t="s">
        <v>32</v>
      </c>
      <c r="AK60" s="1"/>
      <c r="AL60" s="36" t="s">
        <v>110</v>
      </c>
      <c r="AM60" s="54">
        <v>18.0</v>
      </c>
      <c r="AN60" s="39">
        <v>18.0</v>
      </c>
      <c r="AO60" s="35" t="s">
        <v>28</v>
      </c>
      <c r="AP60" s="36" t="s">
        <v>34</v>
      </c>
      <c r="AQ60" s="1"/>
      <c r="AR60" s="36" t="s">
        <v>100</v>
      </c>
      <c r="AS60" s="54">
        <v>300.0</v>
      </c>
      <c r="AT60" s="39">
        <v>27.0</v>
      </c>
      <c r="AU60" s="35" t="s">
        <v>32</v>
      </c>
      <c r="AV60" s="36" t="s">
        <v>32</v>
      </c>
      <c r="AW60" s="1"/>
      <c r="AX60" s="36" t="s">
        <v>130</v>
      </c>
      <c r="AY60" s="54">
        <v>50.0</v>
      </c>
      <c r="AZ60" s="39">
        <v>28.0</v>
      </c>
      <c r="BA60" s="35" t="s">
        <v>32</v>
      </c>
      <c r="BB60" s="36" t="s">
        <v>32</v>
      </c>
      <c r="BC60" s="1"/>
      <c r="BD60" s="36" t="s">
        <v>775</v>
      </c>
      <c r="BE60" s="54">
        <v>354.43</v>
      </c>
      <c r="BF60" s="39">
        <v>10.0</v>
      </c>
      <c r="BG60" s="35" t="s">
        <v>32</v>
      </c>
      <c r="BH60" s="36" t="s">
        <v>32</v>
      </c>
      <c r="BI60" s="1"/>
      <c r="BJ60" s="36" t="s">
        <v>100</v>
      </c>
      <c r="BK60" s="54">
        <v>100.0</v>
      </c>
      <c r="BL60" s="39">
        <v>19.0</v>
      </c>
      <c r="BM60" s="35" t="s">
        <v>32</v>
      </c>
      <c r="BN60" s="36" t="s">
        <v>32</v>
      </c>
      <c r="BO60" s="1"/>
      <c r="BP60" s="36" t="s">
        <v>470</v>
      </c>
      <c r="BQ60" s="54">
        <v>20.0</v>
      </c>
      <c r="BR60" s="39">
        <v>11.0</v>
      </c>
      <c r="BS60" s="35" t="s">
        <v>32</v>
      </c>
      <c r="BT60" s="36" t="s">
        <v>32</v>
      </c>
      <c r="BU60" s="4"/>
    </row>
    <row r="61">
      <c r="A61" s="1"/>
      <c r="B61" s="36" t="s">
        <v>828</v>
      </c>
      <c r="C61" s="54">
        <v>50.0</v>
      </c>
      <c r="D61" s="39">
        <v>30.0</v>
      </c>
      <c r="E61" s="35" t="s">
        <v>32</v>
      </c>
      <c r="F61" s="36" t="s">
        <v>32</v>
      </c>
      <c r="G61" s="1"/>
      <c r="H61" s="36" t="s">
        <v>618</v>
      </c>
      <c r="I61" s="54">
        <v>45.0</v>
      </c>
      <c r="J61" s="39">
        <v>24.0</v>
      </c>
      <c r="K61" s="35" t="s">
        <v>28</v>
      </c>
      <c r="L61" s="36" t="s">
        <v>34</v>
      </c>
      <c r="M61" s="1"/>
      <c r="N61" s="36" t="s">
        <v>829</v>
      </c>
      <c r="O61" s="54">
        <v>100.0</v>
      </c>
      <c r="P61" s="39">
        <v>20.0</v>
      </c>
      <c r="Q61" s="35" t="s">
        <v>32</v>
      </c>
      <c r="R61" s="36" t="s">
        <v>32</v>
      </c>
      <c r="S61" s="1"/>
      <c r="U61" s="54"/>
      <c r="V61" s="39"/>
      <c r="W61" s="35"/>
      <c r="Y61" s="1"/>
      <c r="Z61" s="36" t="s">
        <v>486</v>
      </c>
      <c r="AA61" s="54">
        <v>34.0</v>
      </c>
      <c r="AB61" s="39">
        <v>15.0</v>
      </c>
      <c r="AC61" s="35" t="s">
        <v>28</v>
      </c>
      <c r="AD61" s="36" t="s">
        <v>34</v>
      </c>
      <c r="AE61" s="1"/>
      <c r="AF61" s="36" t="s">
        <v>305</v>
      </c>
      <c r="AG61" s="54">
        <v>20.0</v>
      </c>
      <c r="AH61" s="39">
        <v>21.0</v>
      </c>
      <c r="AI61" s="35" t="s">
        <v>32</v>
      </c>
      <c r="AJ61" s="36" t="s">
        <v>32</v>
      </c>
      <c r="AK61" s="1"/>
      <c r="AL61" s="36" t="s">
        <v>830</v>
      </c>
      <c r="AM61" s="54">
        <v>150.0</v>
      </c>
      <c r="AN61" s="39">
        <v>19.0</v>
      </c>
      <c r="AO61" s="35" t="s">
        <v>32</v>
      </c>
      <c r="AP61" s="36" t="s">
        <v>34</v>
      </c>
      <c r="AQ61" s="1"/>
      <c r="AR61" s="36" t="s">
        <v>130</v>
      </c>
      <c r="AS61" s="54">
        <v>50.0</v>
      </c>
      <c r="AT61" s="39">
        <v>28.0</v>
      </c>
      <c r="AU61" s="35" t="s">
        <v>32</v>
      </c>
      <c r="AV61" s="36" t="s">
        <v>32</v>
      </c>
      <c r="AW61" s="1"/>
      <c r="AX61" s="36" t="s">
        <v>831</v>
      </c>
      <c r="AY61" s="54">
        <v>9.1</v>
      </c>
      <c r="AZ61" s="39">
        <v>28.0</v>
      </c>
      <c r="BA61" s="35" t="s">
        <v>32</v>
      </c>
      <c r="BB61" s="36" t="s">
        <v>32</v>
      </c>
      <c r="BC61" s="1"/>
      <c r="BD61" s="36" t="s">
        <v>220</v>
      </c>
      <c r="BE61" s="54">
        <v>7564.62</v>
      </c>
      <c r="BF61" s="39">
        <v>10.0</v>
      </c>
      <c r="BG61" s="35" t="s">
        <v>28</v>
      </c>
      <c r="BH61" s="36" t="s">
        <v>32</v>
      </c>
      <c r="BI61" s="1"/>
      <c r="BJ61" s="36" t="s">
        <v>832</v>
      </c>
      <c r="BK61" s="54">
        <v>2.5</v>
      </c>
      <c r="BL61" s="39">
        <v>19.0</v>
      </c>
      <c r="BM61" s="35" t="s">
        <v>32</v>
      </c>
      <c r="BN61" s="36" t="s">
        <v>32</v>
      </c>
      <c r="BO61" s="1"/>
      <c r="BP61" s="36" t="s">
        <v>114</v>
      </c>
      <c r="BQ61" s="54">
        <v>6.0</v>
      </c>
      <c r="BR61" s="39">
        <v>11.0</v>
      </c>
      <c r="BS61" s="35" t="s">
        <v>32</v>
      </c>
      <c r="BT61" s="36" t="s">
        <v>32</v>
      </c>
      <c r="BU61" s="4"/>
    </row>
    <row r="62">
      <c r="A62" s="1"/>
      <c r="B62" s="36" t="s">
        <v>833</v>
      </c>
      <c r="C62" s="54">
        <v>45.0</v>
      </c>
      <c r="D62" s="39">
        <v>30.0</v>
      </c>
      <c r="E62" s="35" t="s">
        <v>28</v>
      </c>
      <c r="F62" s="36" t="s">
        <v>32</v>
      </c>
      <c r="G62" s="1"/>
      <c r="H62" s="36" t="s">
        <v>130</v>
      </c>
      <c r="I62" s="54">
        <v>50.0</v>
      </c>
      <c r="J62" s="39">
        <v>28.0</v>
      </c>
      <c r="K62" s="35" t="s">
        <v>32</v>
      </c>
      <c r="L62" s="36" t="s">
        <v>32</v>
      </c>
      <c r="M62" s="1"/>
      <c r="N62" s="36" t="s">
        <v>582</v>
      </c>
      <c r="O62" s="54">
        <v>6.0</v>
      </c>
      <c r="P62" s="39">
        <v>20.0</v>
      </c>
      <c r="Q62" s="35" t="s">
        <v>28</v>
      </c>
      <c r="R62" s="36" t="s">
        <v>32</v>
      </c>
      <c r="S62" s="1"/>
      <c r="U62" s="54"/>
      <c r="V62" s="39"/>
      <c r="W62" s="35"/>
      <c r="Y62" s="1"/>
      <c r="Z62" s="36" t="s">
        <v>288</v>
      </c>
      <c r="AA62" s="54">
        <v>180.0</v>
      </c>
      <c r="AB62" s="39">
        <v>16.0</v>
      </c>
      <c r="AC62" s="35" t="s">
        <v>32</v>
      </c>
      <c r="AD62" s="36" t="s">
        <v>32</v>
      </c>
      <c r="AE62" s="1"/>
      <c r="AF62" s="36" t="s">
        <v>100</v>
      </c>
      <c r="AG62" s="54">
        <v>100.0</v>
      </c>
      <c r="AH62" s="39">
        <v>25.0</v>
      </c>
      <c r="AI62" s="35" t="s">
        <v>32</v>
      </c>
      <c r="AJ62" s="36" t="s">
        <v>32</v>
      </c>
      <c r="AK62" s="1"/>
      <c r="AL62" s="36" t="s">
        <v>834</v>
      </c>
      <c r="AM62" s="54">
        <v>143.0</v>
      </c>
      <c r="AN62" s="39">
        <v>19.0</v>
      </c>
      <c r="AO62" s="35" t="s">
        <v>32</v>
      </c>
      <c r="AP62" s="36" t="s">
        <v>32</v>
      </c>
      <c r="AQ62" s="1"/>
      <c r="AR62" s="36" t="s">
        <v>235</v>
      </c>
      <c r="AS62" s="54">
        <v>30.0</v>
      </c>
      <c r="AT62" s="39">
        <v>28.0</v>
      </c>
      <c r="AU62" s="35" t="s">
        <v>28</v>
      </c>
      <c r="AV62" s="36" t="s">
        <v>32</v>
      </c>
      <c r="AW62" s="1"/>
      <c r="AX62" s="36" t="s">
        <v>835</v>
      </c>
      <c r="AY62" s="54">
        <v>32.73</v>
      </c>
      <c r="AZ62" s="39">
        <v>30.0</v>
      </c>
      <c r="BA62" s="35" t="s">
        <v>28</v>
      </c>
      <c r="BB62" s="36" t="s">
        <v>34</v>
      </c>
      <c r="BC62" s="1"/>
      <c r="BD62" s="36" t="s">
        <v>226</v>
      </c>
      <c r="BE62" s="54">
        <v>3351.57</v>
      </c>
      <c r="BF62" s="39">
        <v>10.0</v>
      </c>
      <c r="BG62" s="35" t="s">
        <v>32</v>
      </c>
      <c r="BH62" s="36" t="s">
        <v>32</v>
      </c>
      <c r="BI62" s="1"/>
      <c r="BJ62" s="36" t="s">
        <v>836</v>
      </c>
      <c r="BK62" s="54">
        <v>200.0</v>
      </c>
      <c r="BL62" s="39">
        <v>19.0</v>
      </c>
      <c r="BM62" s="35" t="s">
        <v>32</v>
      </c>
      <c r="BN62" s="36" t="s">
        <v>32</v>
      </c>
      <c r="BO62" s="1"/>
      <c r="BP62" s="36" t="s">
        <v>837</v>
      </c>
      <c r="BQ62" s="54">
        <v>941.81</v>
      </c>
      <c r="BR62" s="39">
        <v>11.0</v>
      </c>
      <c r="BS62" s="35" t="s">
        <v>32</v>
      </c>
      <c r="BT62" s="36" t="s">
        <v>32</v>
      </c>
      <c r="BU62" s="4"/>
    </row>
    <row r="63">
      <c r="A63" s="1"/>
      <c r="B63" s="36" t="s">
        <v>838</v>
      </c>
      <c r="C63" s="54">
        <v>60.0</v>
      </c>
      <c r="D63" s="39">
        <v>30.0</v>
      </c>
      <c r="E63" s="35" t="s">
        <v>32</v>
      </c>
      <c r="F63" s="36" t="s">
        <v>32</v>
      </c>
      <c r="G63" s="1"/>
      <c r="H63" s="36" t="s">
        <v>288</v>
      </c>
      <c r="I63" s="54">
        <v>200.0</v>
      </c>
      <c r="J63" s="39">
        <v>28.0</v>
      </c>
      <c r="K63" s="35" t="s">
        <v>32</v>
      </c>
      <c r="L63" s="36" t="s">
        <v>32</v>
      </c>
      <c r="M63" s="1"/>
      <c r="N63" s="36" t="s">
        <v>305</v>
      </c>
      <c r="O63" s="54">
        <v>20.0</v>
      </c>
      <c r="P63" s="39">
        <v>21.0</v>
      </c>
      <c r="Q63" s="35" t="s">
        <v>32</v>
      </c>
      <c r="R63" s="36" t="s">
        <v>32</v>
      </c>
      <c r="S63" s="1"/>
      <c r="U63" s="54"/>
      <c r="V63" s="39"/>
      <c r="W63" s="35"/>
      <c r="Y63" s="1"/>
      <c r="Z63" s="36" t="s">
        <v>839</v>
      </c>
      <c r="AA63" s="54">
        <v>25.0</v>
      </c>
      <c r="AB63" s="39">
        <v>16.0</v>
      </c>
      <c r="AC63" s="35" t="s">
        <v>34</v>
      </c>
      <c r="AD63" s="36" t="s">
        <v>32</v>
      </c>
      <c r="AE63" s="1"/>
      <c r="AF63" s="36" t="s">
        <v>840</v>
      </c>
      <c r="AG63" s="54">
        <v>30.0</v>
      </c>
      <c r="AH63" s="39">
        <v>26.0</v>
      </c>
      <c r="AI63" s="35" t="s">
        <v>34</v>
      </c>
      <c r="AJ63" s="36" t="s">
        <v>32</v>
      </c>
      <c r="AK63" s="1"/>
      <c r="AL63" s="36" t="s">
        <v>841</v>
      </c>
      <c r="AM63" s="54">
        <v>20.0</v>
      </c>
      <c r="AN63" s="39">
        <v>22.0</v>
      </c>
      <c r="AO63" s="35" t="s">
        <v>34</v>
      </c>
      <c r="AP63" s="36" t="s">
        <v>32</v>
      </c>
      <c r="AQ63" s="1"/>
      <c r="AR63" s="36" t="s">
        <v>191</v>
      </c>
      <c r="AS63" s="54">
        <v>20.0</v>
      </c>
      <c r="AT63" s="39">
        <v>29.0</v>
      </c>
      <c r="AU63" s="35" t="s">
        <v>28</v>
      </c>
      <c r="AV63" s="36" t="s">
        <v>32</v>
      </c>
      <c r="AW63" s="1"/>
      <c r="AX63" s="36" t="s">
        <v>110</v>
      </c>
      <c r="AY63" s="54">
        <v>50.0</v>
      </c>
      <c r="AZ63" s="39">
        <v>30.0</v>
      </c>
      <c r="BA63" s="35" t="s">
        <v>28</v>
      </c>
      <c r="BB63" s="36" t="s">
        <v>34</v>
      </c>
      <c r="BC63" s="1"/>
      <c r="BD63" s="36" t="s">
        <v>618</v>
      </c>
      <c r="BE63" s="54">
        <v>30.0</v>
      </c>
      <c r="BF63" s="39">
        <v>10.0</v>
      </c>
      <c r="BG63" s="35" t="s">
        <v>28</v>
      </c>
      <c r="BH63" s="36" t="s">
        <v>34</v>
      </c>
      <c r="BI63" s="1"/>
      <c r="BJ63" s="36" t="s">
        <v>842</v>
      </c>
      <c r="BK63" s="54">
        <v>20.0</v>
      </c>
      <c r="BL63" s="39">
        <v>20.0</v>
      </c>
      <c r="BM63" s="35" t="s">
        <v>32</v>
      </c>
      <c r="BN63" s="36" t="s">
        <v>32</v>
      </c>
      <c r="BO63" s="1"/>
      <c r="BP63" s="36" t="s">
        <v>843</v>
      </c>
      <c r="BQ63" s="54">
        <v>350.0</v>
      </c>
      <c r="BR63" s="39">
        <v>11.0</v>
      </c>
      <c r="BS63" s="35" t="s">
        <v>28</v>
      </c>
      <c r="BT63" s="36" t="s">
        <v>32</v>
      </c>
      <c r="BU63" s="4"/>
    </row>
    <row r="64">
      <c r="A64" s="1"/>
      <c r="B64" s="36" t="s">
        <v>100</v>
      </c>
      <c r="C64" s="54">
        <v>100.0</v>
      </c>
      <c r="D64" s="39">
        <v>30.0</v>
      </c>
      <c r="E64" s="35" t="s">
        <v>32</v>
      </c>
      <c r="F64" s="36" t="s">
        <v>32</v>
      </c>
      <c r="G64" s="1"/>
      <c r="J64" s="39"/>
      <c r="K64" s="35"/>
      <c r="M64" s="1"/>
      <c r="N64" s="36" t="s">
        <v>844</v>
      </c>
      <c r="O64" s="54">
        <v>100.0</v>
      </c>
      <c r="P64" s="39">
        <v>27.0</v>
      </c>
      <c r="Q64" s="35" t="s">
        <v>32</v>
      </c>
      <c r="R64" s="36" t="s">
        <v>32</v>
      </c>
      <c r="S64" s="1"/>
      <c r="U64" s="54"/>
      <c r="V64" s="39"/>
      <c r="W64" s="35"/>
      <c r="Y64" s="1"/>
      <c r="Z64" s="36" t="s">
        <v>582</v>
      </c>
      <c r="AA64" s="54">
        <v>10.0</v>
      </c>
      <c r="AB64" s="39">
        <v>17.0</v>
      </c>
      <c r="AC64" s="35" t="s">
        <v>28</v>
      </c>
      <c r="AD64" s="36" t="s">
        <v>34</v>
      </c>
      <c r="AE64" s="1"/>
      <c r="AF64" s="36" t="s">
        <v>299</v>
      </c>
      <c r="AG64" s="54">
        <v>177.0</v>
      </c>
      <c r="AH64" s="39">
        <v>26.0</v>
      </c>
      <c r="AI64" s="35" t="s">
        <v>28</v>
      </c>
      <c r="AJ64" s="36" t="s">
        <v>32</v>
      </c>
      <c r="AK64" s="1"/>
      <c r="AL64" s="36" t="s">
        <v>100</v>
      </c>
      <c r="AM64" s="54">
        <v>100.0</v>
      </c>
      <c r="AN64" s="39">
        <v>23.0</v>
      </c>
      <c r="AO64" s="35" t="s">
        <v>32</v>
      </c>
      <c r="AP64" s="36" t="s">
        <v>32</v>
      </c>
      <c r="AQ64" s="1"/>
      <c r="AR64" s="36" t="s">
        <v>741</v>
      </c>
      <c r="AS64" s="54">
        <v>50.0</v>
      </c>
      <c r="AT64" s="39">
        <v>29.0</v>
      </c>
      <c r="AU64" s="35" t="s">
        <v>28</v>
      </c>
      <c r="AV64" s="36" t="s">
        <v>32</v>
      </c>
      <c r="AW64" s="1"/>
      <c r="AX64" s="36" t="s">
        <v>845</v>
      </c>
      <c r="AY64" s="54">
        <v>17.0</v>
      </c>
      <c r="AZ64" s="39">
        <v>30.0</v>
      </c>
      <c r="BA64" s="35" t="s">
        <v>28</v>
      </c>
      <c r="BB64" s="36" t="s">
        <v>34</v>
      </c>
      <c r="BC64" s="1"/>
      <c r="BD64" s="36" t="s">
        <v>846</v>
      </c>
      <c r="BE64" s="54">
        <v>250.0</v>
      </c>
      <c r="BF64" s="39">
        <v>11.0</v>
      </c>
      <c r="BG64" s="35" t="s">
        <v>28</v>
      </c>
      <c r="BH64" s="36" t="s">
        <v>32</v>
      </c>
      <c r="BI64" s="1"/>
      <c r="BJ64" s="36" t="s">
        <v>847</v>
      </c>
      <c r="BK64" s="54">
        <v>99.0</v>
      </c>
      <c r="BL64" s="39">
        <v>20.0</v>
      </c>
      <c r="BM64" s="35" t="s">
        <v>32</v>
      </c>
      <c r="BN64" s="36" t="s">
        <v>32</v>
      </c>
      <c r="BO64" s="1"/>
      <c r="BP64" s="36" t="s">
        <v>775</v>
      </c>
      <c r="BQ64" s="54">
        <v>354.43</v>
      </c>
      <c r="BR64" s="39">
        <v>11.0</v>
      </c>
      <c r="BS64" s="35" t="s">
        <v>32</v>
      </c>
      <c r="BT64" s="36" t="s">
        <v>32</v>
      </c>
      <c r="BU64" s="4"/>
    </row>
    <row r="65">
      <c r="A65" s="1"/>
      <c r="B65" s="36" t="s">
        <v>492</v>
      </c>
      <c r="C65" s="54">
        <v>25.0</v>
      </c>
      <c r="D65" s="39">
        <v>30.0</v>
      </c>
      <c r="E65" s="35" t="s">
        <v>34</v>
      </c>
      <c r="F65" s="36" t="s">
        <v>32</v>
      </c>
      <c r="G65" s="1"/>
      <c r="J65" s="39"/>
      <c r="K65" s="35"/>
      <c r="M65" s="1"/>
      <c r="N65" s="36" t="s">
        <v>130</v>
      </c>
      <c r="O65" s="54">
        <v>50.0</v>
      </c>
      <c r="P65" s="39">
        <v>28.0</v>
      </c>
      <c r="Q65" s="35" t="s">
        <v>32</v>
      </c>
      <c r="R65" s="36" t="s">
        <v>32</v>
      </c>
      <c r="S65" s="1"/>
      <c r="U65" s="54"/>
      <c r="V65" s="39"/>
      <c r="W65" s="35"/>
      <c r="Y65" s="1"/>
      <c r="Z65" s="36" t="s">
        <v>848</v>
      </c>
      <c r="AA65" s="54">
        <v>40.0</v>
      </c>
      <c r="AB65" s="39">
        <v>19.0</v>
      </c>
      <c r="AC65" s="35" t="s">
        <v>28</v>
      </c>
      <c r="AD65" s="36" t="s">
        <v>34</v>
      </c>
      <c r="AE65" s="1"/>
      <c r="AF65" s="36" t="s">
        <v>533</v>
      </c>
      <c r="AG65" s="54">
        <v>158.0</v>
      </c>
      <c r="AH65" s="39">
        <v>26.0</v>
      </c>
      <c r="AI65" s="35" t="s">
        <v>28</v>
      </c>
      <c r="AJ65" s="36" t="s">
        <v>34</v>
      </c>
      <c r="AK65" s="1"/>
      <c r="AL65" s="36" t="s">
        <v>849</v>
      </c>
      <c r="AM65" s="54">
        <v>266.0</v>
      </c>
      <c r="AN65" s="39">
        <v>24.0</v>
      </c>
      <c r="AO65" s="35" t="s">
        <v>28</v>
      </c>
      <c r="AP65" s="36" t="s">
        <v>32</v>
      </c>
      <c r="AQ65" s="1"/>
      <c r="AR65" s="36" t="s">
        <v>486</v>
      </c>
      <c r="AS65" s="54">
        <v>99.0</v>
      </c>
      <c r="AT65" s="39">
        <v>31.0</v>
      </c>
      <c r="AU65" s="35" t="s">
        <v>28</v>
      </c>
      <c r="AV65" s="36" t="s">
        <v>34</v>
      </c>
      <c r="AW65" s="1"/>
      <c r="AX65" s="36" t="s">
        <v>850</v>
      </c>
      <c r="AY65" s="54">
        <v>30.0</v>
      </c>
      <c r="AZ65" s="39">
        <v>30.0</v>
      </c>
      <c r="BA65" s="35" t="s">
        <v>28</v>
      </c>
      <c r="BB65" s="36" t="s">
        <v>34</v>
      </c>
      <c r="BC65" s="1"/>
      <c r="BD65" s="36" t="s">
        <v>851</v>
      </c>
      <c r="BE65" s="54">
        <v>1282.0</v>
      </c>
      <c r="BF65" s="39">
        <v>11.0</v>
      </c>
      <c r="BG65" s="35" t="s">
        <v>32</v>
      </c>
      <c r="BH65" s="36" t="s">
        <v>32</v>
      </c>
      <c r="BI65" s="1"/>
      <c r="BJ65" s="36" t="s">
        <v>475</v>
      </c>
      <c r="BK65" s="54">
        <v>58.0</v>
      </c>
      <c r="BL65" s="39">
        <v>21.0</v>
      </c>
      <c r="BM65" s="35" t="s">
        <v>32</v>
      </c>
      <c r="BN65" s="36" t="s">
        <v>34</v>
      </c>
      <c r="BO65" s="1"/>
      <c r="BP65" s="36" t="s">
        <v>852</v>
      </c>
      <c r="BQ65" s="54">
        <v>100.0</v>
      </c>
      <c r="BR65" s="39">
        <v>11.0</v>
      </c>
      <c r="BS65" s="35" t="s">
        <v>32</v>
      </c>
      <c r="BT65" s="36" t="s">
        <v>34</v>
      </c>
      <c r="BU65" s="4"/>
    </row>
    <row r="66">
      <c r="A66" s="1"/>
      <c r="B66" s="36" t="s">
        <v>695</v>
      </c>
      <c r="C66" s="54">
        <v>302.0</v>
      </c>
      <c r="D66" s="39">
        <v>30.0</v>
      </c>
      <c r="E66" s="35" t="s">
        <v>28</v>
      </c>
      <c r="F66" s="36" t="s">
        <v>32</v>
      </c>
      <c r="G66" s="1"/>
      <c r="J66" s="39"/>
      <c r="K66" s="35"/>
      <c r="M66" s="1"/>
      <c r="O66" s="54"/>
      <c r="P66" s="39"/>
      <c r="Q66" s="35"/>
      <c r="S66" s="1"/>
      <c r="U66" s="54"/>
      <c r="V66" s="39"/>
      <c r="W66" s="35"/>
      <c r="Y66" s="1"/>
      <c r="Z66" s="36" t="s">
        <v>853</v>
      </c>
      <c r="AA66" s="54">
        <v>20.0</v>
      </c>
      <c r="AB66" s="39">
        <v>19.0</v>
      </c>
      <c r="AC66" s="35" t="s">
        <v>28</v>
      </c>
      <c r="AD66" s="36" t="s">
        <v>34</v>
      </c>
      <c r="AE66" s="1"/>
      <c r="AF66" s="36" t="s">
        <v>854</v>
      </c>
      <c r="AG66" s="54">
        <v>90.0</v>
      </c>
      <c r="AH66" s="39">
        <v>26.0</v>
      </c>
      <c r="AI66" s="35" t="s">
        <v>28</v>
      </c>
      <c r="AJ66" s="36" t="s">
        <v>34</v>
      </c>
      <c r="AK66" s="1"/>
      <c r="AL66" s="36" t="s">
        <v>210</v>
      </c>
      <c r="AM66" s="54">
        <v>40.0</v>
      </c>
      <c r="AN66" s="39">
        <v>24.0</v>
      </c>
      <c r="AO66" s="35" t="s">
        <v>32</v>
      </c>
      <c r="AP66" s="36" t="s">
        <v>32</v>
      </c>
      <c r="AQ66" s="1"/>
      <c r="AR66" s="36" t="s">
        <v>512</v>
      </c>
      <c r="AS66" s="54">
        <v>16.0</v>
      </c>
      <c r="AT66" s="39">
        <v>31.0</v>
      </c>
      <c r="AU66" s="35" t="s">
        <v>28</v>
      </c>
      <c r="AV66" s="36" t="s">
        <v>34</v>
      </c>
      <c r="AW66" s="1"/>
      <c r="AX66" s="36" t="s">
        <v>356</v>
      </c>
      <c r="AY66" s="54">
        <v>1722.1</v>
      </c>
      <c r="AZ66" s="39">
        <v>30.0</v>
      </c>
      <c r="BA66" s="35" t="s">
        <v>32</v>
      </c>
      <c r="BB66" s="36" t="s">
        <v>32</v>
      </c>
      <c r="BC66" s="1"/>
      <c r="BD66" s="36" t="s">
        <v>218</v>
      </c>
      <c r="BE66" s="54">
        <v>30.0</v>
      </c>
      <c r="BF66" s="39">
        <v>13.0</v>
      </c>
      <c r="BG66" s="35" t="s">
        <v>32</v>
      </c>
      <c r="BH66" s="36" t="s">
        <v>32</v>
      </c>
      <c r="BI66" s="1"/>
      <c r="BJ66" s="36" t="s">
        <v>855</v>
      </c>
      <c r="BK66" s="54">
        <v>35.0</v>
      </c>
      <c r="BL66" s="39">
        <v>21.0</v>
      </c>
      <c r="BM66" s="35" t="s">
        <v>28</v>
      </c>
      <c r="BN66" s="36" t="s">
        <v>34</v>
      </c>
      <c r="BO66" s="1"/>
      <c r="BP66" s="36" t="s">
        <v>475</v>
      </c>
      <c r="BQ66" s="54">
        <v>45.0</v>
      </c>
      <c r="BR66" s="39">
        <v>14.0</v>
      </c>
      <c r="BS66" s="35" t="s">
        <v>32</v>
      </c>
      <c r="BT66" s="36" t="s">
        <v>34</v>
      </c>
      <c r="BU66" s="4"/>
    </row>
    <row r="67">
      <c r="A67" s="1"/>
      <c r="B67" s="36" t="s">
        <v>856</v>
      </c>
      <c r="C67" s="54">
        <v>80.0</v>
      </c>
      <c r="D67" s="39">
        <v>17.0</v>
      </c>
      <c r="E67" s="35" t="s">
        <v>28</v>
      </c>
      <c r="F67" s="36" t="s">
        <v>34</v>
      </c>
      <c r="G67" s="1"/>
      <c r="I67" s="54"/>
      <c r="J67" s="39"/>
      <c r="K67" s="35"/>
      <c r="M67" s="1"/>
      <c r="O67" s="54"/>
      <c r="P67" s="39"/>
      <c r="Q67" s="35"/>
      <c r="S67" s="1"/>
      <c r="U67" s="54"/>
      <c r="V67" s="39"/>
      <c r="W67" s="35"/>
      <c r="Y67" s="1"/>
      <c r="Z67" s="36" t="s">
        <v>100</v>
      </c>
      <c r="AA67" s="54">
        <v>100.0</v>
      </c>
      <c r="AB67" s="39">
        <v>21.0</v>
      </c>
      <c r="AC67" s="35" t="s">
        <v>32</v>
      </c>
      <c r="AD67" s="36" t="s">
        <v>32</v>
      </c>
      <c r="AE67" s="1"/>
      <c r="AF67" s="36" t="s">
        <v>857</v>
      </c>
      <c r="AG67" s="54">
        <v>150.0</v>
      </c>
      <c r="AH67" s="39">
        <v>27.0</v>
      </c>
      <c r="AI67" s="35" t="s">
        <v>32</v>
      </c>
      <c r="AJ67" s="36" t="s">
        <v>32</v>
      </c>
      <c r="AK67" s="1"/>
      <c r="AL67" s="36" t="s">
        <v>685</v>
      </c>
      <c r="AM67" s="54">
        <v>45.0</v>
      </c>
      <c r="AN67" s="39">
        <v>26.0</v>
      </c>
      <c r="AO67" s="35" t="s">
        <v>28</v>
      </c>
      <c r="AP67" s="36" t="s">
        <v>34</v>
      </c>
      <c r="AQ67" s="1"/>
      <c r="AR67" s="36" t="s">
        <v>480</v>
      </c>
      <c r="AS67" s="54">
        <v>100.0</v>
      </c>
      <c r="AT67" s="39">
        <v>31.0</v>
      </c>
      <c r="AU67" s="35" t="s">
        <v>28</v>
      </c>
      <c r="AV67" s="36" t="s">
        <v>32</v>
      </c>
      <c r="AW67" s="1"/>
      <c r="AY67" s="54"/>
      <c r="AZ67" s="39"/>
      <c r="BA67" s="35"/>
      <c r="BC67" s="1"/>
      <c r="BD67" s="36" t="s">
        <v>858</v>
      </c>
      <c r="BE67" s="54">
        <v>200.0</v>
      </c>
      <c r="BF67" s="39">
        <v>14.0</v>
      </c>
      <c r="BG67" s="35" t="s">
        <v>28</v>
      </c>
      <c r="BH67" s="36" t="s">
        <v>32</v>
      </c>
      <c r="BI67" s="1"/>
      <c r="BJ67" s="36" t="s">
        <v>310</v>
      </c>
      <c r="BK67" s="54">
        <v>16.0</v>
      </c>
      <c r="BL67" s="39">
        <v>21.0</v>
      </c>
      <c r="BM67" s="35" t="s">
        <v>28</v>
      </c>
      <c r="BN67" s="36" t="s">
        <v>34</v>
      </c>
      <c r="BO67" s="1"/>
      <c r="BP67" s="36" t="s">
        <v>859</v>
      </c>
      <c r="BQ67" s="54">
        <v>350.0</v>
      </c>
      <c r="BR67" s="39">
        <v>15.0</v>
      </c>
      <c r="BS67" s="35" t="s">
        <v>28</v>
      </c>
      <c r="BT67" s="36" t="s">
        <v>32</v>
      </c>
      <c r="BU67" s="4"/>
    </row>
    <row r="68">
      <c r="A68" s="1"/>
      <c r="B68" s="36" t="s">
        <v>860</v>
      </c>
      <c r="C68" s="54">
        <v>30.0</v>
      </c>
      <c r="D68" s="39">
        <v>20.0</v>
      </c>
      <c r="E68" s="35" t="s">
        <v>28</v>
      </c>
      <c r="F68" s="36" t="s">
        <v>34</v>
      </c>
      <c r="G68" s="1"/>
      <c r="I68" s="54"/>
      <c r="J68" s="39"/>
      <c r="K68" s="35"/>
      <c r="M68" s="1"/>
      <c r="O68" s="54"/>
      <c r="P68" s="39"/>
      <c r="Q68" s="35"/>
      <c r="S68" s="1"/>
      <c r="U68" s="54"/>
      <c r="V68" s="39"/>
      <c r="W68" s="35"/>
      <c r="Y68" s="1"/>
      <c r="Z68" s="36" t="s">
        <v>861</v>
      </c>
      <c r="AA68" s="54">
        <v>374.0</v>
      </c>
      <c r="AB68" s="39">
        <v>22.0</v>
      </c>
      <c r="AC68" s="35" t="s">
        <v>28</v>
      </c>
      <c r="AD68" s="36" t="s">
        <v>32</v>
      </c>
      <c r="AE68" s="1"/>
      <c r="AF68" s="36" t="s">
        <v>862</v>
      </c>
      <c r="AG68" s="54">
        <v>200.0</v>
      </c>
      <c r="AH68" s="39">
        <v>27.0</v>
      </c>
      <c r="AI68" s="35" t="s">
        <v>28</v>
      </c>
      <c r="AJ68" s="36" t="s">
        <v>34</v>
      </c>
      <c r="AK68" s="1"/>
      <c r="AL68" s="36" t="s">
        <v>863</v>
      </c>
      <c r="AM68" s="54">
        <v>20.0</v>
      </c>
      <c r="AN68" s="39">
        <v>26.0</v>
      </c>
      <c r="AO68" s="35" t="s">
        <v>28</v>
      </c>
      <c r="AP68" s="36" t="s">
        <v>34</v>
      </c>
      <c r="AQ68" s="1"/>
      <c r="AR68" s="36" t="s">
        <v>864</v>
      </c>
      <c r="AS68" s="54">
        <v>1526.0</v>
      </c>
      <c r="AT68" s="39">
        <v>31.0</v>
      </c>
      <c r="AU68" s="35" t="s">
        <v>32</v>
      </c>
      <c r="AV68" s="36" t="s">
        <v>32</v>
      </c>
      <c r="AW68" s="1"/>
      <c r="AY68" s="54"/>
      <c r="AZ68" s="39"/>
      <c r="BA68" s="35"/>
      <c r="BC68" s="1"/>
      <c r="BD68" s="36" t="s">
        <v>210</v>
      </c>
      <c r="BE68" s="54">
        <v>50.0</v>
      </c>
      <c r="BF68" s="39">
        <v>14.0</v>
      </c>
      <c r="BG68" s="35" t="s">
        <v>28</v>
      </c>
      <c r="BH68" s="36" t="s">
        <v>34</v>
      </c>
      <c r="BI68" s="1"/>
      <c r="BJ68" s="36" t="s">
        <v>110</v>
      </c>
      <c r="BK68" s="54">
        <v>12.0</v>
      </c>
      <c r="BL68" s="39">
        <v>21.0</v>
      </c>
      <c r="BM68" s="35" t="s">
        <v>28</v>
      </c>
      <c r="BN68" s="36" t="s">
        <v>34</v>
      </c>
      <c r="BO68" s="1"/>
      <c r="BP68" s="36" t="s">
        <v>865</v>
      </c>
      <c r="BQ68" s="54">
        <v>135.0</v>
      </c>
      <c r="BR68" s="39">
        <v>15.0</v>
      </c>
      <c r="BS68" s="35" t="s">
        <v>28</v>
      </c>
      <c r="BT68" s="36" t="s">
        <v>34</v>
      </c>
      <c r="BU68" s="4"/>
    </row>
    <row r="69">
      <c r="A69" s="1"/>
      <c r="B69" s="36" t="s">
        <v>582</v>
      </c>
      <c r="C69" s="54">
        <v>3.0</v>
      </c>
      <c r="D69" s="39">
        <v>20.0</v>
      </c>
      <c r="E69" s="35" t="s">
        <v>28</v>
      </c>
      <c r="F69" s="36" t="s">
        <v>34</v>
      </c>
      <c r="G69" s="1"/>
      <c r="I69" s="54"/>
      <c r="J69" s="39"/>
      <c r="K69" s="35"/>
      <c r="M69" s="1"/>
      <c r="O69" s="54"/>
      <c r="P69" s="39"/>
      <c r="Q69" s="35"/>
      <c r="S69" s="1"/>
      <c r="U69" s="54"/>
      <c r="V69" s="39"/>
      <c r="W69" s="35"/>
      <c r="Y69" s="1"/>
      <c r="Z69" s="36" t="s">
        <v>100</v>
      </c>
      <c r="AA69" s="54">
        <v>50.0</v>
      </c>
      <c r="AB69" s="39">
        <v>22.0</v>
      </c>
      <c r="AC69" s="35" t="s">
        <v>32</v>
      </c>
      <c r="AD69" s="36" t="s">
        <v>32</v>
      </c>
      <c r="AE69" s="1"/>
      <c r="AF69" s="36" t="s">
        <v>130</v>
      </c>
      <c r="AG69" s="54">
        <v>50.0</v>
      </c>
      <c r="AH69" s="39">
        <v>28.0</v>
      </c>
      <c r="AI69" s="35" t="s">
        <v>32</v>
      </c>
      <c r="AJ69" s="36" t="s">
        <v>32</v>
      </c>
      <c r="AK69" s="1"/>
      <c r="AL69" s="36" t="s">
        <v>866</v>
      </c>
      <c r="AM69" s="54">
        <v>50.0</v>
      </c>
      <c r="AN69" s="39">
        <v>26.0</v>
      </c>
      <c r="AO69" s="35" t="s">
        <v>28</v>
      </c>
      <c r="AP69" s="36" t="s">
        <v>34</v>
      </c>
      <c r="AQ69" s="1"/>
      <c r="AS69" s="54"/>
      <c r="AT69" s="39"/>
      <c r="AU69" s="35"/>
      <c r="AW69" s="1"/>
      <c r="AY69" s="54"/>
      <c r="AZ69" s="39"/>
      <c r="BA69" s="35"/>
      <c r="BC69" s="1"/>
      <c r="BD69" s="36" t="s">
        <v>761</v>
      </c>
      <c r="BE69" s="54">
        <v>170.0</v>
      </c>
      <c r="BF69" s="39">
        <v>15.0</v>
      </c>
      <c r="BG69" s="35" t="s">
        <v>32</v>
      </c>
      <c r="BH69" s="36" t="s">
        <v>32</v>
      </c>
      <c r="BI69" s="1"/>
      <c r="BJ69" s="36" t="s">
        <v>288</v>
      </c>
      <c r="BK69" s="54">
        <v>300.0</v>
      </c>
      <c r="BL69" s="39">
        <v>22.0</v>
      </c>
      <c r="BM69" s="35" t="s">
        <v>32</v>
      </c>
      <c r="BN69" s="36" t="s">
        <v>32</v>
      </c>
      <c r="BO69" s="1"/>
      <c r="BP69" s="36" t="s">
        <v>867</v>
      </c>
      <c r="BQ69" s="54">
        <v>40.0</v>
      </c>
      <c r="BR69" s="39">
        <v>15.0</v>
      </c>
      <c r="BS69" s="35" t="s">
        <v>28</v>
      </c>
      <c r="BT69" s="36" t="s">
        <v>34</v>
      </c>
      <c r="BU69" s="4"/>
    </row>
    <row r="70">
      <c r="A70" s="1"/>
      <c r="B70" s="36" t="s">
        <v>295</v>
      </c>
      <c r="C70" s="54">
        <v>14.0</v>
      </c>
      <c r="D70" s="39">
        <v>20.0</v>
      </c>
      <c r="E70" s="35" t="s">
        <v>28</v>
      </c>
      <c r="F70" s="36" t="s">
        <v>34</v>
      </c>
      <c r="G70" s="1"/>
      <c r="I70" s="54"/>
      <c r="J70" s="39"/>
      <c r="K70" s="35"/>
      <c r="M70" s="1"/>
      <c r="O70" s="54"/>
      <c r="P70" s="39"/>
      <c r="Q70" s="35"/>
      <c r="S70" s="1"/>
      <c r="U70" s="54"/>
      <c r="V70" s="39"/>
      <c r="W70" s="35"/>
      <c r="Y70" s="1"/>
      <c r="Z70" s="36" t="s">
        <v>868</v>
      </c>
      <c r="AA70" s="54">
        <v>653.99</v>
      </c>
      <c r="AB70" s="39">
        <v>22.0</v>
      </c>
      <c r="AC70" s="35" t="s">
        <v>32</v>
      </c>
      <c r="AD70" s="36" t="s">
        <v>32</v>
      </c>
      <c r="AE70" s="1"/>
      <c r="AF70" s="36" t="s">
        <v>869</v>
      </c>
      <c r="AG70" s="54">
        <v>184.89</v>
      </c>
      <c r="AH70" s="39">
        <v>28.0</v>
      </c>
      <c r="AI70" s="35" t="s">
        <v>28</v>
      </c>
      <c r="AJ70" s="36" t="s">
        <v>32</v>
      </c>
      <c r="AK70" s="1"/>
      <c r="AL70" s="36" t="s">
        <v>870</v>
      </c>
      <c r="AM70" s="54">
        <v>83.0</v>
      </c>
      <c r="AN70" s="39">
        <v>28.0</v>
      </c>
      <c r="AO70" s="35" t="s">
        <v>28</v>
      </c>
      <c r="AP70" s="36" t="s">
        <v>34</v>
      </c>
      <c r="AQ70" s="1"/>
      <c r="AS70" s="54"/>
      <c r="AT70" s="39"/>
      <c r="AU70" s="35"/>
      <c r="AW70" s="1"/>
      <c r="AY70" s="54"/>
      <c r="AZ70" s="39"/>
      <c r="BA70" s="35"/>
      <c r="BC70" s="1"/>
      <c r="BD70" s="36" t="s">
        <v>525</v>
      </c>
      <c r="BE70" s="54">
        <v>230.0</v>
      </c>
      <c r="BF70" s="39">
        <v>15.0</v>
      </c>
      <c r="BG70" s="35" t="s">
        <v>28</v>
      </c>
      <c r="BH70" s="36" t="s">
        <v>32</v>
      </c>
      <c r="BI70" s="1"/>
      <c r="BJ70" s="36" t="s">
        <v>871</v>
      </c>
      <c r="BK70" s="54">
        <v>42.0</v>
      </c>
      <c r="BL70" s="39">
        <v>23.0</v>
      </c>
      <c r="BM70" s="35" t="s">
        <v>28</v>
      </c>
      <c r="BN70" s="36" t="s">
        <v>34</v>
      </c>
      <c r="BO70" s="1"/>
      <c r="BP70" s="36" t="s">
        <v>872</v>
      </c>
      <c r="BQ70" s="54">
        <v>30.0</v>
      </c>
      <c r="BR70" s="39">
        <v>15.0</v>
      </c>
      <c r="BS70" s="35" t="s">
        <v>28</v>
      </c>
      <c r="BT70" s="36" t="s">
        <v>34</v>
      </c>
      <c r="BU70" s="4"/>
    </row>
    <row r="71">
      <c r="A71" s="1"/>
      <c r="B71" s="36" t="s">
        <v>295</v>
      </c>
      <c r="C71" s="54">
        <v>5.0</v>
      </c>
      <c r="D71" s="39">
        <v>20.0</v>
      </c>
      <c r="E71" s="35" t="s">
        <v>28</v>
      </c>
      <c r="F71" s="36" t="s">
        <v>34</v>
      </c>
      <c r="G71" s="1"/>
      <c r="I71" s="54"/>
      <c r="J71" s="39"/>
      <c r="K71" s="35"/>
      <c r="M71" s="1"/>
      <c r="O71" s="54"/>
      <c r="P71" s="39"/>
      <c r="Q71" s="35"/>
      <c r="S71" s="1"/>
      <c r="U71" s="54"/>
      <c r="V71" s="39"/>
      <c r="W71" s="35"/>
      <c r="Y71" s="1"/>
      <c r="Z71" s="36" t="s">
        <v>873</v>
      </c>
      <c r="AA71" s="54">
        <v>21.77</v>
      </c>
      <c r="AB71" s="39">
        <v>22.0</v>
      </c>
      <c r="AC71" s="35" t="s">
        <v>32</v>
      </c>
      <c r="AD71" s="36" t="s">
        <v>32</v>
      </c>
      <c r="AE71" s="1"/>
      <c r="AF71" s="36" t="s">
        <v>874</v>
      </c>
      <c r="AG71" s="54">
        <v>51.0</v>
      </c>
      <c r="AH71" s="39">
        <v>28.0</v>
      </c>
      <c r="AI71" s="35" t="s">
        <v>28</v>
      </c>
      <c r="AJ71" s="36" t="s">
        <v>34</v>
      </c>
      <c r="AK71" s="1"/>
      <c r="AL71" s="36" t="s">
        <v>94</v>
      </c>
      <c r="AM71" s="54">
        <v>20.0</v>
      </c>
      <c r="AN71" s="39">
        <v>28.0</v>
      </c>
      <c r="AO71" s="35" t="s">
        <v>28</v>
      </c>
      <c r="AP71" s="36" t="s">
        <v>32</v>
      </c>
      <c r="AQ71" s="1"/>
      <c r="AS71" s="54"/>
      <c r="AT71" s="39"/>
      <c r="AU71" s="35"/>
      <c r="AW71" s="1"/>
      <c r="AY71" s="54"/>
      <c r="AZ71" s="39"/>
      <c r="BA71" s="35"/>
      <c r="BC71" s="1"/>
      <c r="BD71" s="36" t="s">
        <v>110</v>
      </c>
      <c r="BE71" s="54">
        <v>50.0</v>
      </c>
      <c r="BF71" s="39">
        <v>15.0</v>
      </c>
      <c r="BG71" s="35" t="s">
        <v>28</v>
      </c>
      <c r="BH71" s="36" t="s">
        <v>32</v>
      </c>
      <c r="BI71" s="1"/>
      <c r="BJ71" s="36" t="s">
        <v>110</v>
      </c>
      <c r="BK71" s="54">
        <v>20.0</v>
      </c>
      <c r="BL71" s="39">
        <v>23.0</v>
      </c>
      <c r="BM71" s="35" t="s">
        <v>28</v>
      </c>
      <c r="BN71" s="36" t="s">
        <v>34</v>
      </c>
      <c r="BO71" s="1"/>
      <c r="BP71" s="36" t="s">
        <v>875</v>
      </c>
      <c r="BQ71" s="54">
        <v>100.0</v>
      </c>
      <c r="BR71" s="39">
        <v>16.0</v>
      </c>
      <c r="BS71" s="35" t="s">
        <v>28</v>
      </c>
      <c r="BT71" s="36" t="s">
        <v>34</v>
      </c>
      <c r="BU71" s="4"/>
    </row>
    <row r="72">
      <c r="A72" s="1"/>
      <c r="B72" s="36" t="s">
        <v>310</v>
      </c>
      <c r="C72" s="54">
        <v>13.0</v>
      </c>
      <c r="D72" s="39">
        <v>20.0</v>
      </c>
      <c r="E72" s="35" t="s">
        <v>28</v>
      </c>
      <c r="F72" s="36" t="s">
        <v>34</v>
      </c>
      <c r="G72" s="1"/>
      <c r="I72" s="54"/>
      <c r="J72" s="39"/>
      <c r="K72" s="35"/>
      <c r="M72" s="1"/>
      <c r="O72" s="54"/>
      <c r="P72" s="39"/>
      <c r="Q72" s="35"/>
      <c r="S72" s="1"/>
      <c r="U72" s="54"/>
      <c r="V72" s="39"/>
      <c r="W72" s="35"/>
      <c r="Y72" s="1"/>
      <c r="Z72" s="36" t="s">
        <v>210</v>
      </c>
      <c r="AA72" s="54">
        <v>100.0</v>
      </c>
      <c r="AB72" s="39">
        <v>22.0</v>
      </c>
      <c r="AC72" s="35" t="s">
        <v>32</v>
      </c>
      <c r="AD72" s="36" t="s">
        <v>32</v>
      </c>
      <c r="AE72" s="1"/>
      <c r="AF72" s="36" t="s">
        <v>876</v>
      </c>
      <c r="AG72" s="54">
        <v>60.0</v>
      </c>
      <c r="AH72" s="39">
        <v>28.0</v>
      </c>
      <c r="AI72" s="35" t="s">
        <v>28</v>
      </c>
      <c r="AJ72" s="36" t="s">
        <v>34</v>
      </c>
      <c r="AK72" s="1"/>
      <c r="AL72" s="36" t="s">
        <v>130</v>
      </c>
      <c r="AM72" s="54">
        <v>50.0</v>
      </c>
      <c r="AN72" s="39">
        <v>28.0</v>
      </c>
      <c r="AO72" s="35" t="s">
        <v>32</v>
      </c>
      <c r="AP72" s="36" t="s">
        <v>32</v>
      </c>
      <c r="AQ72" s="1"/>
      <c r="AS72" s="54"/>
      <c r="AT72" s="39"/>
      <c r="AU72" s="35"/>
      <c r="AW72" s="1"/>
      <c r="AY72" s="54"/>
      <c r="AZ72" s="39"/>
      <c r="BA72" s="35"/>
      <c r="BC72" s="1"/>
      <c r="BD72" s="36" t="s">
        <v>877</v>
      </c>
      <c r="BE72" s="54">
        <v>400.0</v>
      </c>
      <c r="BF72" s="39">
        <v>18.0</v>
      </c>
      <c r="BG72" s="35" t="s">
        <v>30</v>
      </c>
      <c r="BH72" s="36" t="s">
        <v>34</v>
      </c>
      <c r="BI72" s="1"/>
      <c r="BJ72" s="36" t="s">
        <v>878</v>
      </c>
      <c r="BK72" s="54">
        <v>950.0</v>
      </c>
      <c r="BL72" s="39">
        <v>23.0</v>
      </c>
      <c r="BM72" s="35" t="s">
        <v>32</v>
      </c>
      <c r="BN72" s="36" t="s">
        <v>32</v>
      </c>
      <c r="BO72" s="1"/>
      <c r="BP72" s="36" t="s">
        <v>879</v>
      </c>
      <c r="BQ72" s="54">
        <v>50.0</v>
      </c>
      <c r="BR72" s="39">
        <v>18.0</v>
      </c>
      <c r="BS72" s="35" t="s">
        <v>32</v>
      </c>
      <c r="BT72" s="36" t="s">
        <v>32</v>
      </c>
      <c r="BU72" s="4"/>
    </row>
    <row r="73">
      <c r="A73" s="1"/>
      <c r="B73" s="36" t="s">
        <v>880</v>
      </c>
      <c r="C73" s="54">
        <v>46.5</v>
      </c>
      <c r="D73" s="39">
        <v>24.0</v>
      </c>
      <c r="E73" s="35" t="s">
        <v>28</v>
      </c>
      <c r="F73" s="36" t="s">
        <v>34</v>
      </c>
      <c r="G73" s="1"/>
      <c r="I73" s="54"/>
      <c r="J73" s="39"/>
      <c r="K73" s="35"/>
      <c r="M73" s="1"/>
      <c r="O73" s="54"/>
      <c r="P73" s="39"/>
      <c r="Q73" s="35"/>
      <c r="S73" s="1"/>
      <c r="U73" s="54"/>
      <c r="V73" s="39"/>
      <c r="W73" s="35"/>
      <c r="Y73" s="1"/>
      <c r="Z73" s="36" t="s">
        <v>130</v>
      </c>
      <c r="AA73" s="54">
        <v>50.0</v>
      </c>
      <c r="AB73" s="39">
        <v>27.0</v>
      </c>
      <c r="AC73" s="35" t="s">
        <v>32</v>
      </c>
      <c r="AD73" s="36" t="s">
        <v>32</v>
      </c>
      <c r="AE73" s="1"/>
      <c r="AF73" s="36" t="s">
        <v>793</v>
      </c>
      <c r="AG73" s="54">
        <v>30.0</v>
      </c>
      <c r="AH73" s="39">
        <v>30.0</v>
      </c>
      <c r="AI73" s="35" t="s">
        <v>32</v>
      </c>
      <c r="AJ73" s="36" t="s">
        <v>32</v>
      </c>
      <c r="AK73" s="1"/>
      <c r="AL73" s="36" t="s">
        <v>210</v>
      </c>
      <c r="AM73" s="54">
        <v>50.0</v>
      </c>
      <c r="AN73" s="39">
        <v>28.0</v>
      </c>
      <c r="AO73" s="35" t="s">
        <v>32</v>
      </c>
      <c r="AP73" s="36" t="s">
        <v>32</v>
      </c>
      <c r="AQ73" s="1"/>
      <c r="AS73" s="54"/>
      <c r="AT73" s="39"/>
      <c r="AU73" s="35"/>
      <c r="AW73" s="1"/>
      <c r="AY73" s="54"/>
      <c r="AZ73" s="39"/>
      <c r="BA73" s="35"/>
      <c r="BC73" s="1"/>
      <c r="BD73" s="36" t="s">
        <v>210</v>
      </c>
      <c r="BE73" s="54">
        <v>18.0</v>
      </c>
      <c r="BF73" s="39">
        <v>20.0</v>
      </c>
      <c r="BG73" s="35" t="s">
        <v>28</v>
      </c>
      <c r="BH73" s="36" t="s">
        <v>34</v>
      </c>
      <c r="BI73" s="1"/>
      <c r="BJ73" s="36" t="s">
        <v>576</v>
      </c>
      <c r="BK73" s="54">
        <v>25.0</v>
      </c>
      <c r="BL73" s="39">
        <v>24.0</v>
      </c>
      <c r="BM73" s="35" t="s">
        <v>28</v>
      </c>
      <c r="BN73" s="36" t="s">
        <v>34</v>
      </c>
      <c r="BO73" s="1"/>
      <c r="BP73" s="36" t="s">
        <v>470</v>
      </c>
      <c r="BQ73" s="54">
        <v>20.0</v>
      </c>
      <c r="BR73" s="39">
        <v>18.0</v>
      </c>
      <c r="BS73" s="35" t="s">
        <v>32</v>
      </c>
      <c r="BT73" s="36" t="s">
        <v>32</v>
      </c>
      <c r="BU73" s="4"/>
    </row>
    <row r="74">
      <c r="A74" s="1"/>
      <c r="B74" s="36" t="s">
        <v>607</v>
      </c>
      <c r="C74" s="54">
        <v>24.0</v>
      </c>
      <c r="D74" s="39">
        <v>28.0</v>
      </c>
      <c r="E74" s="35" t="s">
        <v>28</v>
      </c>
      <c r="F74" s="36" t="s">
        <v>34</v>
      </c>
      <c r="G74" s="1"/>
      <c r="I74" s="54"/>
      <c r="J74" s="39"/>
      <c r="K74" s="35"/>
      <c r="M74" s="1"/>
      <c r="O74" s="54"/>
      <c r="P74" s="39"/>
      <c r="Q74" s="35"/>
      <c r="S74" s="1"/>
      <c r="U74" s="54"/>
      <c r="V74" s="39"/>
      <c r="W74" s="35"/>
      <c r="Y74" s="1"/>
      <c r="Z74" s="36" t="s">
        <v>218</v>
      </c>
      <c r="AA74" s="54">
        <v>30.0</v>
      </c>
      <c r="AB74" s="39">
        <v>27.0</v>
      </c>
      <c r="AC74" s="35" t="s">
        <v>32</v>
      </c>
      <c r="AD74" s="36" t="s">
        <v>32</v>
      </c>
      <c r="AE74" s="1"/>
      <c r="AF74" s="36" t="s">
        <v>124</v>
      </c>
      <c r="AG74" s="54">
        <v>32.29</v>
      </c>
      <c r="AH74" s="39">
        <v>30.0</v>
      </c>
      <c r="AI74" s="35" t="s">
        <v>32</v>
      </c>
      <c r="AJ74" s="36" t="s">
        <v>32</v>
      </c>
      <c r="AK74" s="1"/>
      <c r="AL74" s="36" t="s">
        <v>100</v>
      </c>
      <c r="AM74" s="54">
        <v>100.0</v>
      </c>
      <c r="AN74" s="39">
        <v>30.0</v>
      </c>
      <c r="AO74" s="35" t="s">
        <v>32</v>
      </c>
      <c r="AP74" s="36" t="s">
        <v>32</v>
      </c>
      <c r="AQ74" s="1"/>
      <c r="AS74" s="54"/>
      <c r="AT74" s="39"/>
      <c r="AU74" s="35"/>
      <c r="AW74" s="1"/>
      <c r="AY74" s="54"/>
      <c r="AZ74" s="39"/>
      <c r="BA74" s="35"/>
      <c r="BC74" s="1"/>
      <c r="BD74" s="36" t="s">
        <v>90</v>
      </c>
      <c r="BE74" s="54">
        <v>30.43</v>
      </c>
      <c r="BF74" s="39">
        <v>20.0</v>
      </c>
      <c r="BG74" s="35" t="s">
        <v>28</v>
      </c>
      <c r="BH74" s="36" t="s">
        <v>34</v>
      </c>
      <c r="BI74" s="1"/>
      <c r="BJ74" s="36" t="s">
        <v>881</v>
      </c>
      <c r="BK74" s="54">
        <v>50.0</v>
      </c>
      <c r="BL74" s="39">
        <v>28.0</v>
      </c>
      <c r="BM74" s="35" t="s">
        <v>28</v>
      </c>
      <c r="BN74" s="36" t="s">
        <v>34</v>
      </c>
      <c r="BO74" s="1"/>
      <c r="BP74" s="36" t="s">
        <v>882</v>
      </c>
      <c r="BQ74" s="54">
        <v>100.0</v>
      </c>
      <c r="BR74" s="39">
        <v>18.0</v>
      </c>
      <c r="BS74" s="35" t="s">
        <v>32</v>
      </c>
      <c r="BT74" s="36" t="s">
        <v>32</v>
      </c>
      <c r="BU74" s="4"/>
    </row>
    <row r="75">
      <c r="A75" s="1"/>
      <c r="B75" s="36" t="s">
        <v>883</v>
      </c>
      <c r="C75" s="54">
        <v>800.0</v>
      </c>
      <c r="D75" s="39">
        <v>28.0</v>
      </c>
      <c r="E75" s="35" t="s">
        <v>28</v>
      </c>
      <c r="F75" s="36" t="s">
        <v>32</v>
      </c>
      <c r="G75" s="1"/>
      <c r="I75" s="54"/>
      <c r="J75" s="39"/>
      <c r="K75" s="35"/>
      <c r="M75" s="1"/>
      <c r="O75" s="54"/>
      <c r="P75" s="39"/>
      <c r="Q75" s="35"/>
      <c r="S75" s="1"/>
      <c r="U75" s="54"/>
      <c r="V75" s="39"/>
      <c r="W75" s="35"/>
      <c r="Y75" s="1"/>
      <c r="Z75" s="36" t="s">
        <v>646</v>
      </c>
      <c r="AA75" s="54">
        <v>60.0</v>
      </c>
      <c r="AB75" s="39">
        <v>27.0</v>
      </c>
      <c r="AC75" s="35" t="s">
        <v>28</v>
      </c>
      <c r="AD75" s="36" t="s">
        <v>34</v>
      </c>
      <c r="AE75" s="1"/>
      <c r="AG75" s="54"/>
      <c r="AH75" s="39"/>
      <c r="AI75" s="35"/>
      <c r="AK75" s="1"/>
      <c r="AL75" s="36" t="s">
        <v>870</v>
      </c>
      <c r="AM75" s="54">
        <v>33.0</v>
      </c>
      <c r="AN75" s="39">
        <v>31.0</v>
      </c>
      <c r="AO75" s="35" t="s">
        <v>28</v>
      </c>
      <c r="AP75" s="36" t="s">
        <v>34</v>
      </c>
      <c r="AQ75" s="1"/>
      <c r="AS75" s="54"/>
      <c r="AT75" s="39"/>
      <c r="AU75" s="35"/>
      <c r="AW75" s="1"/>
      <c r="AY75" s="54"/>
      <c r="AZ75" s="39"/>
      <c r="BA75" s="35"/>
      <c r="BC75" s="1"/>
      <c r="BD75" s="36" t="s">
        <v>329</v>
      </c>
      <c r="BE75" s="54">
        <v>31.0</v>
      </c>
      <c r="BF75" s="39">
        <v>20.0</v>
      </c>
      <c r="BG75" s="35" t="s">
        <v>28</v>
      </c>
      <c r="BH75" s="36" t="s">
        <v>34</v>
      </c>
      <c r="BI75" s="1"/>
      <c r="BJ75" s="36" t="s">
        <v>884</v>
      </c>
      <c r="BK75" s="54">
        <v>130.0</v>
      </c>
      <c r="BL75" s="39">
        <v>28.0</v>
      </c>
      <c r="BM75" s="35" t="s">
        <v>28</v>
      </c>
      <c r="BN75" s="36" t="s">
        <v>34</v>
      </c>
      <c r="BO75" s="1"/>
      <c r="BP75" s="36" t="s">
        <v>100</v>
      </c>
      <c r="BQ75" s="54">
        <v>100.0</v>
      </c>
      <c r="BR75" s="39">
        <v>18.0</v>
      </c>
      <c r="BS75" s="35" t="s">
        <v>32</v>
      </c>
      <c r="BT75" s="36" t="s">
        <v>32</v>
      </c>
      <c r="BU75" s="4"/>
    </row>
    <row r="76">
      <c r="A76" s="1"/>
      <c r="B76" s="36" t="s">
        <v>885</v>
      </c>
      <c r="C76" s="54">
        <v>100.0</v>
      </c>
      <c r="D76" s="39">
        <v>28.0</v>
      </c>
      <c r="E76" s="35" t="s">
        <v>28</v>
      </c>
      <c r="F76" s="36" t="s">
        <v>32</v>
      </c>
      <c r="G76" s="1"/>
      <c r="I76" s="54"/>
      <c r="J76" s="39"/>
      <c r="K76" s="35"/>
      <c r="M76" s="1"/>
      <c r="O76" s="54"/>
      <c r="P76" s="39"/>
      <c r="Q76" s="35"/>
      <c r="S76" s="1"/>
      <c r="U76" s="54"/>
      <c r="V76" s="39"/>
      <c r="W76" s="35"/>
      <c r="Y76" s="1"/>
      <c r="Z76" s="36" t="s">
        <v>695</v>
      </c>
      <c r="AA76" s="54">
        <v>170.25</v>
      </c>
      <c r="AB76" s="39">
        <v>28.0</v>
      </c>
      <c r="AC76" s="35" t="s">
        <v>28</v>
      </c>
      <c r="AD76" s="36" t="s">
        <v>32</v>
      </c>
      <c r="AE76" s="1"/>
      <c r="AG76" s="54"/>
      <c r="AH76" s="39"/>
      <c r="AI76" s="35"/>
      <c r="AK76" s="1"/>
      <c r="AL76" s="36" t="s">
        <v>886</v>
      </c>
      <c r="AM76" s="54">
        <v>200.0</v>
      </c>
      <c r="AN76" s="39">
        <v>31.0</v>
      </c>
      <c r="AO76" s="35" t="s">
        <v>28</v>
      </c>
      <c r="AP76" s="36" t="s">
        <v>34</v>
      </c>
      <c r="AQ76" s="1"/>
      <c r="AS76" s="54"/>
      <c r="AT76" s="39"/>
      <c r="AU76" s="35"/>
      <c r="AW76" s="1"/>
      <c r="AY76" s="54"/>
      <c r="AZ76" s="39"/>
      <c r="BA76" s="35"/>
      <c r="BC76" s="1"/>
      <c r="BD76" s="36" t="s">
        <v>210</v>
      </c>
      <c r="BE76" s="54">
        <v>15.0</v>
      </c>
      <c r="BF76" s="39">
        <v>20.0</v>
      </c>
      <c r="BG76" s="35" t="s">
        <v>28</v>
      </c>
      <c r="BH76" s="36" t="s">
        <v>34</v>
      </c>
      <c r="BI76" s="1"/>
      <c r="BJ76" s="36" t="s">
        <v>130</v>
      </c>
      <c r="BK76" s="54">
        <v>50.0</v>
      </c>
      <c r="BL76" s="39">
        <v>28.0</v>
      </c>
      <c r="BM76" s="35" t="s">
        <v>32</v>
      </c>
      <c r="BN76" s="36" t="s">
        <v>32</v>
      </c>
      <c r="BO76" s="1"/>
      <c r="BP76" s="36" t="s">
        <v>88</v>
      </c>
      <c r="BQ76" s="54">
        <v>10.0</v>
      </c>
      <c r="BR76" s="39">
        <v>18.0</v>
      </c>
      <c r="BS76" s="35" t="s">
        <v>32</v>
      </c>
      <c r="BT76" s="36" t="s">
        <v>32</v>
      </c>
      <c r="BU76" s="4"/>
    </row>
    <row r="77">
      <c r="A77" s="1"/>
      <c r="B77" s="36" t="s">
        <v>517</v>
      </c>
      <c r="C77" s="54">
        <v>500.0</v>
      </c>
      <c r="D77" s="39">
        <v>28.0</v>
      </c>
      <c r="E77" s="35" t="s">
        <v>28</v>
      </c>
      <c r="F77" s="36" t="s">
        <v>34</v>
      </c>
      <c r="G77" s="1"/>
      <c r="I77" s="54"/>
      <c r="J77" s="39"/>
      <c r="K77" s="35"/>
      <c r="M77" s="1"/>
      <c r="O77" s="54"/>
      <c r="P77" s="39"/>
      <c r="Q77" s="35"/>
      <c r="S77" s="1"/>
      <c r="U77" s="54"/>
      <c r="V77" s="39"/>
      <c r="W77" s="35"/>
      <c r="Y77" s="1"/>
      <c r="Z77" s="36" t="s">
        <v>100</v>
      </c>
      <c r="AA77" s="54">
        <v>100.0</v>
      </c>
      <c r="AB77" s="39">
        <v>29.0</v>
      </c>
      <c r="AC77" s="35" t="s">
        <v>32</v>
      </c>
      <c r="AD77" s="36" t="s">
        <v>32</v>
      </c>
      <c r="AE77" s="1"/>
      <c r="AG77" s="54"/>
      <c r="AH77" s="39"/>
      <c r="AI77" s="35"/>
      <c r="AK77" s="1"/>
      <c r="AL77" s="36" t="s">
        <v>486</v>
      </c>
      <c r="AM77" s="54">
        <v>71.84</v>
      </c>
      <c r="AN77" s="39">
        <v>31.0</v>
      </c>
      <c r="AO77" s="35" t="s">
        <v>28</v>
      </c>
      <c r="AP77" s="36" t="s">
        <v>34</v>
      </c>
      <c r="AQ77" s="1"/>
      <c r="AS77" s="54"/>
      <c r="AT77" s="39"/>
      <c r="AU77" s="35"/>
      <c r="AW77" s="1"/>
      <c r="AY77" s="54"/>
      <c r="AZ77" s="39"/>
      <c r="BA77" s="35"/>
      <c r="BC77" s="1"/>
      <c r="BD77" s="36" t="s">
        <v>210</v>
      </c>
      <c r="BE77" s="54">
        <v>20.0</v>
      </c>
      <c r="BF77" s="39">
        <v>22.0</v>
      </c>
      <c r="BG77" s="35" t="s">
        <v>28</v>
      </c>
      <c r="BH77" s="36" t="s">
        <v>34</v>
      </c>
      <c r="BI77" s="1"/>
      <c r="BJ77" s="36" t="s">
        <v>834</v>
      </c>
      <c r="BK77" s="54">
        <v>100.0</v>
      </c>
      <c r="BL77" s="39">
        <v>29.0</v>
      </c>
      <c r="BM77" s="35" t="s">
        <v>32</v>
      </c>
      <c r="BN77" s="36" t="s">
        <v>32</v>
      </c>
      <c r="BO77" s="1"/>
      <c r="BP77" s="36" t="s">
        <v>887</v>
      </c>
      <c r="BQ77" s="54">
        <v>68.0</v>
      </c>
      <c r="BR77" s="39">
        <v>18.0</v>
      </c>
      <c r="BS77" s="35" t="s">
        <v>28</v>
      </c>
      <c r="BT77" s="36" t="s">
        <v>34</v>
      </c>
      <c r="BU77" s="4"/>
    </row>
    <row r="78">
      <c r="A78" s="1"/>
      <c r="B78" s="36" t="s">
        <v>512</v>
      </c>
      <c r="C78" s="54">
        <v>310.0</v>
      </c>
      <c r="D78" s="39">
        <v>28.0</v>
      </c>
      <c r="E78" s="35" t="s">
        <v>28</v>
      </c>
      <c r="F78" s="36" t="s">
        <v>34</v>
      </c>
      <c r="G78" s="1"/>
      <c r="I78" s="54"/>
      <c r="J78" s="39"/>
      <c r="K78" s="35"/>
      <c r="M78" s="1"/>
      <c r="O78" s="54"/>
      <c r="P78" s="39"/>
      <c r="Q78" s="35"/>
      <c r="S78" s="1"/>
      <c r="U78" s="54"/>
      <c r="V78" s="39"/>
      <c r="W78" s="35"/>
      <c r="Y78" s="1"/>
      <c r="Z78" s="36" t="s">
        <v>888</v>
      </c>
      <c r="AA78" s="54">
        <v>60.0</v>
      </c>
      <c r="AB78" s="39">
        <v>30.0</v>
      </c>
      <c r="AC78" s="35" t="s">
        <v>28</v>
      </c>
      <c r="AD78" s="36" t="s">
        <v>34</v>
      </c>
      <c r="AE78" s="1"/>
      <c r="AG78" s="54"/>
      <c r="AH78" s="39"/>
      <c r="AI78" s="35"/>
      <c r="AK78" s="1"/>
      <c r="AL78" s="36" t="s">
        <v>495</v>
      </c>
      <c r="AM78" s="54">
        <v>175.0</v>
      </c>
      <c r="AN78" s="39">
        <v>31.0</v>
      </c>
      <c r="AO78" s="35" t="s">
        <v>28</v>
      </c>
      <c r="AP78" s="36" t="s">
        <v>32</v>
      </c>
      <c r="AQ78" s="1"/>
      <c r="AS78" s="54"/>
      <c r="AT78" s="39"/>
      <c r="AU78" s="35"/>
      <c r="AW78" s="1"/>
      <c r="AY78" s="54"/>
      <c r="AZ78" s="39"/>
      <c r="BA78" s="35"/>
      <c r="BC78" s="1"/>
      <c r="BD78" s="36" t="s">
        <v>210</v>
      </c>
      <c r="BE78" s="54">
        <v>50.0</v>
      </c>
      <c r="BF78" s="39">
        <v>24.0</v>
      </c>
      <c r="BG78" s="35" t="s">
        <v>28</v>
      </c>
      <c r="BH78" s="36" t="s">
        <v>32</v>
      </c>
      <c r="BI78" s="1"/>
      <c r="BJ78" s="36" t="s">
        <v>368</v>
      </c>
      <c r="BK78" s="54">
        <v>35.0</v>
      </c>
      <c r="BL78" s="39">
        <v>30.0</v>
      </c>
      <c r="BM78" s="35" t="s">
        <v>28</v>
      </c>
      <c r="BN78" s="36" t="s">
        <v>34</v>
      </c>
      <c r="BO78" s="1"/>
      <c r="BP78" s="36" t="s">
        <v>273</v>
      </c>
      <c r="BQ78" s="54">
        <v>59.0</v>
      </c>
      <c r="BR78" s="39">
        <v>18.0</v>
      </c>
      <c r="BS78" s="35" t="s">
        <v>28</v>
      </c>
      <c r="BT78" s="36" t="s">
        <v>34</v>
      </c>
      <c r="BU78" s="4"/>
    </row>
    <row r="79">
      <c r="A79" s="1"/>
      <c r="B79" s="36" t="s">
        <v>885</v>
      </c>
      <c r="C79" s="54">
        <v>220.0</v>
      </c>
      <c r="D79" s="39">
        <v>28.0</v>
      </c>
      <c r="E79" s="35" t="s">
        <v>28</v>
      </c>
      <c r="F79" s="36" t="s">
        <v>34</v>
      </c>
      <c r="G79" s="1"/>
      <c r="I79" s="54"/>
      <c r="J79" s="39"/>
      <c r="K79" s="35"/>
      <c r="M79" s="1"/>
      <c r="O79" s="54"/>
      <c r="P79" s="39"/>
      <c r="Q79" s="35"/>
      <c r="S79" s="1"/>
      <c r="U79" s="54"/>
      <c r="V79" s="39"/>
      <c r="W79" s="35"/>
      <c r="Y79" s="1"/>
      <c r="Z79" s="36" t="s">
        <v>695</v>
      </c>
      <c r="AA79" s="54">
        <v>103.0</v>
      </c>
      <c r="AB79" s="39">
        <v>31.0</v>
      </c>
      <c r="AC79" s="35" t="s">
        <v>32</v>
      </c>
      <c r="AD79" s="36" t="s">
        <v>32</v>
      </c>
      <c r="AE79" s="1"/>
      <c r="AG79" s="54"/>
      <c r="AH79" s="39"/>
      <c r="AI79" s="35"/>
      <c r="AK79" s="1"/>
      <c r="AL79" s="36"/>
      <c r="AM79" s="54"/>
      <c r="AN79" s="39"/>
      <c r="AO79" s="35"/>
      <c r="AP79" s="36"/>
      <c r="AQ79" s="1"/>
      <c r="AS79" s="54"/>
      <c r="AT79" s="39"/>
      <c r="AU79" s="35"/>
      <c r="AW79" s="1"/>
      <c r="AY79" s="54"/>
      <c r="AZ79" s="39"/>
      <c r="BA79" s="35"/>
      <c r="BC79" s="1"/>
      <c r="BD79" s="36" t="s">
        <v>210</v>
      </c>
      <c r="BE79" s="54">
        <v>50.0</v>
      </c>
      <c r="BF79" s="39">
        <v>25.0</v>
      </c>
      <c r="BG79" s="35" t="s">
        <v>28</v>
      </c>
      <c r="BH79" s="36" t="s">
        <v>34</v>
      </c>
      <c r="BI79" s="1"/>
      <c r="BJ79" s="36" t="s">
        <v>695</v>
      </c>
      <c r="BK79" s="54">
        <v>76.5</v>
      </c>
      <c r="BL79" s="39">
        <v>30.0</v>
      </c>
      <c r="BM79" s="35" t="s">
        <v>32</v>
      </c>
      <c r="BN79" s="36" t="s">
        <v>32</v>
      </c>
      <c r="BO79" s="1"/>
      <c r="BP79" s="36" t="s">
        <v>889</v>
      </c>
      <c r="BQ79" s="54">
        <v>120.0</v>
      </c>
      <c r="BR79" s="39">
        <v>19.0</v>
      </c>
      <c r="BS79" s="35" t="s">
        <v>28</v>
      </c>
      <c r="BT79" s="36" t="s">
        <v>32</v>
      </c>
      <c r="BU79" s="4"/>
    </row>
    <row r="80">
      <c r="A80" s="1"/>
      <c r="B80" s="36" t="s">
        <v>890</v>
      </c>
      <c r="C80" s="54">
        <v>67.5</v>
      </c>
      <c r="D80" s="39">
        <v>30.0</v>
      </c>
      <c r="E80" s="35" t="s">
        <v>28</v>
      </c>
      <c r="F80" s="36" t="s">
        <v>34</v>
      </c>
      <c r="G80" s="1"/>
      <c r="I80" s="54"/>
      <c r="J80" s="39"/>
      <c r="K80" s="35"/>
      <c r="M80" s="1"/>
      <c r="O80" s="54"/>
      <c r="P80" s="39"/>
      <c r="Q80" s="35"/>
      <c r="S80" s="1"/>
      <c r="U80" s="54"/>
      <c r="V80" s="39"/>
      <c r="W80" s="35"/>
      <c r="Y80" s="1"/>
      <c r="Z80" s="36" t="s">
        <v>295</v>
      </c>
      <c r="AA80" s="54">
        <v>10.0</v>
      </c>
      <c r="AB80" s="39">
        <v>31.0</v>
      </c>
      <c r="AC80" s="35" t="s">
        <v>28</v>
      </c>
      <c r="AD80" s="36" t="s">
        <v>34</v>
      </c>
      <c r="AE80" s="1"/>
      <c r="AG80" s="54"/>
      <c r="AH80" s="39"/>
      <c r="AI80" s="35"/>
      <c r="AK80" s="1"/>
      <c r="AL80" s="36"/>
      <c r="AM80" s="54"/>
      <c r="AN80" s="39"/>
      <c r="AO80" s="35"/>
      <c r="AP80" s="36"/>
      <c r="AQ80" s="1"/>
      <c r="AS80" s="54"/>
      <c r="AT80" s="39"/>
      <c r="AU80" s="35"/>
      <c r="AW80" s="1"/>
      <c r="AY80" s="54"/>
      <c r="AZ80" s="39"/>
      <c r="BA80" s="35"/>
      <c r="BC80" s="1"/>
      <c r="BD80" s="36" t="s">
        <v>601</v>
      </c>
      <c r="BE80" s="54">
        <v>20.0</v>
      </c>
      <c r="BF80" s="39">
        <v>25.0</v>
      </c>
      <c r="BG80" s="35" t="s">
        <v>28</v>
      </c>
      <c r="BH80" s="36" t="s">
        <v>34</v>
      </c>
      <c r="BI80" s="1"/>
      <c r="BJ80" s="36" t="s">
        <v>891</v>
      </c>
      <c r="BK80" s="54">
        <v>1000.0</v>
      </c>
      <c r="BL80" s="39">
        <v>30.0</v>
      </c>
      <c r="BM80" s="35" t="s">
        <v>28</v>
      </c>
      <c r="BN80" s="36" t="s">
        <v>34</v>
      </c>
      <c r="BO80" s="1"/>
      <c r="BP80" s="36" t="s">
        <v>892</v>
      </c>
      <c r="BQ80" s="54">
        <v>78.5</v>
      </c>
      <c r="BR80" s="39">
        <v>19.0</v>
      </c>
      <c r="BS80" s="35" t="s">
        <v>28</v>
      </c>
      <c r="BT80" s="36" t="s">
        <v>34</v>
      </c>
      <c r="BU80" s="4"/>
    </row>
    <row r="81">
      <c r="A81" s="1"/>
      <c r="G81" s="1"/>
      <c r="I81" s="54"/>
      <c r="J81" s="39"/>
      <c r="K81" s="35"/>
      <c r="M81" s="1"/>
      <c r="S81" s="1"/>
      <c r="U81" s="54"/>
      <c r="V81" s="39"/>
      <c r="W81" s="35"/>
      <c r="Y81" s="1"/>
      <c r="AE81" s="1"/>
      <c r="AG81" s="54"/>
      <c r="AH81" s="39"/>
      <c r="AI81" s="35"/>
      <c r="AK81" s="1"/>
      <c r="AL81" s="36"/>
      <c r="AM81" s="54"/>
      <c r="AN81" s="39"/>
      <c r="AO81" s="35"/>
      <c r="AP81" s="36"/>
      <c r="AQ81" s="1"/>
      <c r="AS81" s="54"/>
      <c r="AT81" s="39"/>
      <c r="AU81" s="35"/>
      <c r="AW81" s="1"/>
      <c r="AY81" s="54"/>
      <c r="AZ81" s="39"/>
      <c r="BA81" s="35"/>
      <c r="BC81" s="1"/>
      <c r="BD81" s="36" t="s">
        <v>893</v>
      </c>
      <c r="BE81" s="54">
        <v>24.0</v>
      </c>
      <c r="BF81" s="39">
        <v>25.0</v>
      </c>
      <c r="BG81" s="35" t="s">
        <v>28</v>
      </c>
      <c r="BH81" s="36" t="s">
        <v>34</v>
      </c>
      <c r="BI81" s="1"/>
      <c r="BJ81" s="36" t="s">
        <v>133</v>
      </c>
      <c r="BK81" s="54">
        <v>1967.5</v>
      </c>
      <c r="BL81" s="39">
        <v>30.0</v>
      </c>
      <c r="BM81" s="35" t="s">
        <v>32</v>
      </c>
      <c r="BN81" s="36" t="s">
        <v>32</v>
      </c>
      <c r="BO81" s="1"/>
      <c r="BP81" s="36" t="s">
        <v>475</v>
      </c>
      <c r="BQ81" s="54">
        <v>45.0</v>
      </c>
      <c r="BR81" s="39">
        <v>21.0</v>
      </c>
      <c r="BS81" s="35" t="s">
        <v>32</v>
      </c>
      <c r="BT81" s="36" t="s">
        <v>34</v>
      </c>
      <c r="BU81" s="4"/>
    </row>
    <row r="82">
      <c r="A82" s="1"/>
      <c r="G82" s="1"/>
      <c r="I82" s="54"/>
      <c r="J82" s="39"/>
      <c r="K82" s="35"/>
      <c r="M82" s="1"/>
      <c r="S82" s="1"/>
      <c r="U82" s="54"/>
      <c r="V82" s="39"/>
      <c r="W82" s="35"/>
      <c r="Y82" s="1"/>
      <c r="AE82" s="1"/>
      <c r="AG82" s="54"/>
      <c r="AH82" s="39"/>
      <c r="AI82" s="35"/>
      <c r="AK82" s="1"/>
      <c r="AL82" s="36"/>
      <c r="AM82" s="54"/>
      <c r="AN82" s="39"/>
      <c r="AO82" s="35"/>
      <c r="AP82" s="36"/>
      <c r="AQ82" s="1"/>
      <c r="AS82" s="54"/>
      <c r="AT82" s="39"/>
      <c r="AU82" s="35"/>
      <c r="AW82" s="1"/>
      <c r="AY82" s="54"/>
      <c r="AZ82" s="39"/>
      <c r="BA82" s="35"/>
      <c r="BC82" s="1"/>
      <c r="BD82" s="36" t="s">
        <v>894</v>
      </c>
      <c r="BE82" s="54">
        <v>20.0</v>
      </c>
      <c r="BF82" s="39">
        <v>25.0</v>
      </c>
      <c r="BG82" s="35" t="s">
        <v>28</v>
      </c>
      <c r="BH82" s="36" t="s">
        <v>34</v>
      </c>
      <c r="BI82" s="1"/>
      <c r="BJ82" s="36" t="s">
        <v>895</v>
      </c>
      <c r="BK82" s="54">
        <v>400.0</v>
      </c>
      <c r="BL82" s="39">
        <v>30.0</v>
      </c>
      <c r="BM82" s="35" t="s">
        <v>32</v>
      </c>
      <c r="BN82" s="36" t="s">
        <v>32</v>
      </c>
      <c r="BO82" s="1"/>
      <c r="BP82" s="36" t="s">
        <v>896</v>
      </c>
      <c r="BQ82" s="54">
        <v>100.0</v>
      </c>
      <c r="BR82" s="39">
        <v>22.0</v>
      </c>
      <c r="BS82" s="35" t="s">
        <v>32</v>
      </c>
      <c r="BT82" s="36" t="s">
        <v>32</v>
      </c>
      <c r="BU82" s="4"/>
    </row>
    <row r="83">
      <c r="A83" s="1"/>
      <c r="G83" s="1"/>
      <c r="I83" s="54"/>
      <c r="J83" s="39"/>
      <c r="K83" s="35"/>
      <c r="M83" s="1"/>
      <c r="S83" s="1"/>
      <c r="U83" s="54"/>
      <c r="V83" s="39"/>
      <c r="W83" s="35"/>
      <c r="Y83" s="1"/>
      <c r="AE83" s="1"/>
      <c r="AG83" s="54"/>
      <c r="AH83" s="39"/>
      <c r="AI83" s="35"/>
      <c r="AK83" s="1"/>
      <c r="AL83" s="36"/>
      <c r="AM83" s="54"/>
      <c r="AN83" s="39"/>
      <c r="AO83" s="35"/>
      <c r="AP83" s="36"/>
      <c r="AQ83" s="1"/>
      <c r="AS83" s="54"/>
      <c r="AT83" s="39"/>
      <c r="AU83" s="35"/>
      <c r="AW83" s="1"/>
      <c r="AY83" s="54"/>
      <c r="AZ83" s="39"/>
      <c r="BA83" s="35"/>
      <c r="BC83" s="1"/>
      <c r="BD83" s="36" t="s">
        <v>191</v>
      </c>
      <c r="BE83" s="54">
        <v>20.0</v>
      </c>
      <c r="BF83" s="39">
        <v>26.0</v>
      </c>
      <c r="BG83" s="35" t="s">
        <v>28</v>
      </c>
      <c r="BH83" s="36" t="s">
        <v>32</v>
      </c>
      <c r="BI83" s="1"/>
      <c r="BK83" s="54"/>
      <c r="BL83" s="39"/>
      <c r="BM83" s="35"/>
      <c r="BO83" s="1"/>
      <c r="BP83" s="36" t="s">
        <v>897</v>
      </c>
      <c r="BQ83" s="54">
        <v>234.0</v>
      </c>
      <c r="BR83" s="39">
        <v>22.0</v>
      </c>
      <c r="BS83" s="35" t="s">
        <v>28</v>
      </c>
      <c r="BT83" s="36" t="s">
        <v>34</v>
      </c>
      <c r="BU83" s="4"/>
    </row>
    <row r="84">
      <c r="A84" s="1"/>
      <c r="G84" s="1"/>
      <c r="I84" s="54"/>
      <c r="J84" s="39"/>
      <c r="K84" s="35"/>
      <c r="M84" s="1"/>
      <c r="S84" s="1"/>
      <c r="U84" s="54"/>
      <c r="V84" s="39"/>
      <c r="W84" s="35"/>
      <c r="Y84" s="1"/>
      <c r="AE84" s="1"/>
      <c r="AG84" s="54"/>
      <c r="AH84" s="39"/>
      <c r="AI84" s="35"/>
      <c r="AK84" s="1"/>
      <c r="AL84" s="36"/>
      <c r="AM84" s="54"/>
      <c r="AN84" s="39"/>
      <c r="AO84" s="35"/>
      <c r="AP84" s="36"/>
      <c r="AQ84" s="1"/>
      <c r="AS84" s="54"/>
      <c r="AT84" s="39"/>
      <c r="AU84" s="35"/>
      <c r="AW84" s="1"/>
      <c r="AY84" s="54"/>
      <c r="AZ84" s="39"/>
      <c r="BA84" s="35"/>
      <c r="BC84" s="1"/>
      <c r="BD84" s="36" t="s">
        <v>618</v>
      </c>
      <c r="BE84" s="54">
        <v>15.0</v>
      </c>
      <c r="BF84" s="39">
        <v>26.0</v>
      </c>
      <c r="BG84" s="35" t="s">
        <v>28</v>
      </c>
      <c r="BH84" s="36" t="s">
        <v>34</v>
      </c>
      <c r="BI84" s="1"/>
      <c r="BK84" s="54"/>
      <c r="BL84" s="39"/>
      <c r="BM84" s="35"/>
      <c r="BO84" s="1"/>
      <c r="BP84" s="36" t="s">
        <v>484</v>
      </c>
      <c r="BQ84" s="54">
        <v>250.0</v>
      </c>
      <c r="BR84" s="39">
        <v>26.0</v>
      </c>
      <c r="BS84" s="35" t="s">
        <v>32</v>
      </c>
      <c r="BT84" s="36" t="s">
        <v>32</v>
      </c>
      <c r="BU84" s="4"/>
    </row>
    <row r="85">
      <c r="A85" s="1"/>
      <c r="G85" s="1"/>
      <c r="I85" s="54"/>
      <c r="J85" s="39"/>
      <c r="K85" s="35"/>
      <c r="M85" s="1"/>
      <c r="S85" s="1"/>
      <c r="U85" s="54"/>
      <c r="V85" s="39"/>
      <c r="W85" s="35"/>
      <c r="Y85" s="1"/>
      <c r="AE85" s="1"/>
      <c r="AG85" s="54"/>
      <c r="AH85" s="39"/>
      <c r="AI85" s="35"/>
      <c r="AK85" s="1"/>
      <c r="AL85" s="36"/>
      <c r="AM85" s="54"/>
      <c r="AN85" s="39"/>
      <c r="AO85" s="35"/>
      <c r="AP85" s="36"/>
      <c r="AQ85" s="1"/>
      <c r="AS85" s="54"/>
      <c r="AT85" s="39"/>
      <c r="AU85" s="35"/>
      <c r="AW85" s="1"/>
      <c r="AY85" s="54"/>
      <c r="AZ85" s="39"/>
      <c r="BA85" s="35"/>
      <c r="BC85" s="1"/>
      <c r="BD85" s="36" t="s">
        <v>582</v>
      </c>
      <c r="BE85" s="54">
        <v>4.0</v>
      </c>
      <c r="BF85" s="39">
        <v>26.0</v>
      </c>
      <c r="BG85" s="35" t="s">
        <v>28</v>
      </c>
      <c r="BH85" s="36" t="s">
        <v>34</v>
      </c>
      <c r="BI85" s="1"/>
      <c r="BK85" s="54"/>
      <c r="BL85" s="39"/>
      <c r="BM85" s="35"/>
      <c r="BO85" s="1"/>
      <c r="BP85" s="36" t="s">
        <v>89</v>
      </c>
      <c r="BQ85" s="54">
        <v>250.0</v>
      </c>
      <c r="BR85" s="39">
        <v>26.0</v>
      </c>
      <c r="BS85" s="35" t="s">
        <v>32</v>
      </c>
      <c r="BT85" s="36" t="s">
        <v>32</v>
      </c>
      <c r="BU85" s="4"/>
    </row>
    <row r="86">
      <c r="A86" s="1"/>
      <c r="G86" s="1"/>
      <c r="I86" s="54"/>
      <c r="J86" s="39"/>
      <c r="K86" s="35"/>
      <c r="M86" s="1"/>
      <c r="S86" s="1"/>
      <c r="U86" s="54"/>
      <c r="V86" s="39"/>
      <c r="W86" s="35"/>
      <c r="Y86" s="1"/>
      <c r="AE86" s="1"/>
      <c r="AG86" s="54"/>
      <c r="AH86" s="39"/>
      <c r="AI86" s="35"/>
      <c r="AK86" s="1"/>
      <c r="AL86" s="36"/>
      <c r="AM86" s="54"/>
      <c r="AN86" s="39"/>
      <c r="AO86" s="35"/>
      <c r="AP86" s="36"/>
      <c r="AQ86" s="1"/>
      <c r="AS86" s="54"/>
      <c r="AT86" s="39"/>
      <c r="AU86" s="35"/>
      <c r="AW86" s="1"/>
      <c r="AY86" s="54"/>
      <c r="AZ86" s="39"/>
      <c r="BA86" s="35"/>
      <c r="BC86" s="1"/>
      <c r="BD86" s="36" t="s">
        <v>898</v>
      </c>
      <c r="BE86" s="54">
        <v>8.0</v>
      </c>
      <c r="BF86" s="39">
        <v>28.0</v>
      </c>
      <c r="BG86" s="35" t="s">
        <v>28</v>
      </c>
      <c r="BH86" s="36" t="s">
        <v>34</v>
      </c>
      <c r="BI86" s="1"/>
      <c r="BK86" s="54"/>
      <c r="BL86" s="39"/>
      <c r="BM86" s="35"/>
      <c r="BO86" s="1"/>
      <c r="BP86" s="36" t="s">
        <v>899</v>
      </c>
      <c r="BQ86" s="54">
        <v>24.0</v>
      </c>
      <c r="BR86" s="39">
        <v>26.0</v>
      </c>
      <c r="BS86" s="35" t="s">
        <v>32</v>
      </c>
      <c r="BT86" s="36" t="s">
        <v>32</v>
      </c>
      <c r="BU86" s="4"/>
    </row>
    <row r="87">
      <c r="A87" s="1"/>
      <c r="G87" s="1"/>
      <c r="I87" s="54"/>
      <c r="J87" s="39"/>
      <c r="K87" s="35"/>
      <c r="M87" s="1"/>
      <c r="S87" s="1"/>
      <c r="U87" s="54"/>
      <c r="V87" s="39"/>
      <c r="W87" s="35"/>
      <c r="Y87" s="1"/>
      <c r="AE87" s="1"/>
      <c r="AG87" s="54"/>
      <c r="AH87" s="39"/>
      <c r="AI87" s="35"/>
      <c r="AK87" s="1"/>
      <c r="AL87" s="36"/>
      <c r="AM87" s="54"/>
      <c r="AN87" s="39"/>
      <c r="AO87" s="35"/>
      <c r="AP87" s="36"/>
      <c r="AQ87" s="1"/>
      <c r="AS87" s="54"/>
      <c r="AT87" s="39"/>
      <c r="AU87" s="35"/>
      <c r="AW87" s="1"/>
      <c r="AY87" s="54"/>
      <c r="AZ87" s="39"/>
      <c r="BA87" s="35"/>
      <c r="BC87" s="1"/>
      <c r="BD87" s="36" t="s">
        <v>618</v>
      </c>
      <c r="BE87" s="54">
        <v>30.0</v>
      </c>
      <c r="BF87" s="39">
        <v>28.0</v>
      </c>
      <c r="BG87" s="35" t="s">
        <v>28</v>
      </c>
      <c r="BH87" s="36" t="s">
        <v>34</v>
      </c>
      <c r="BI87" s="1"/>
      <c r="BK87" s="54"/>
      <c r="BL87" s="39"/>
      <c r="BM87" s="35"/>
      <c r="BO87" s="1"/>
      <c r="BP87" s="36" t="s">
        <v>470</v>
      </c>
      <c r="BQ87" s="54">
        <v>20.0</v>
      </c>
      <c r="BR87" s="39">
        <v>26.0</v>
      </c>
      <c r="BS87" s="35" t="s">
        <v>32</v>
      </c>
      <c r="BT87" s="36" t="s">
        <v>32</v>
      </c>
      <c r="BU87" s="4"/>
    </row>
    <row r="88">
      <c r="A88" s="1"/>
      <c r="G88" s="1"/>
      <c r="I88" s="54"/>
      <c r="J88" s="39"/>
      <c r="K88" s="35"/>
      <c r="M88" s="1"/>
      <c r="S88" s="1"/>
      <c r="U88" s="54"/>
      <c r="V88" s="39"/>
      <c r="W88" s="35"/>
      <c r="Y88" s="1"/>
      <c r="AE88" s="1"/>
      <c r="AG88" s="54"/>
      <c r="AH88" s="39"/>
      <c r="AI88" s="35"/>
      <c r="AK88" s="1"/>
      <c r="AL88" s="36"/>
      <c r="AM88" s="54"/>
      <c r="AN88" s="39"/>
      <c r="AO88" s="35"/>
      <c r="AP88" s="36"/>
      <c r="AQ88" s="1"/>
      <c r="AS88" s="54"/>
      <c r="AT88" s="39"/>
      <c r="AU88" s="35"/>
      <c r="AW88" s="1"/>
      <c r="AY88" s="54"/>
      <c r="AZ88" s="39"/>
      <c r="BA88" s="35"/>
      <c r="BC88" s="1"/>
      <c r="BD88" s="36" t="s">
        <v>130</v>
      </c>
      <c r="BE88" s="54">
        <v>50.0</v>
      </c>
      <c r="BF88" s="39">
        <v>30.0</v>
      </c>
      <c r="BG88" s="35" t="s">
        <v>28</v>
      </c>
      <c r="BH88" s="36" t="s">
        <v>32</v>
      </c>
      <c r="BI88" s="1"/>
      <c r="BK88" s="54"/>
      <c r="BL88" s="39"/>
      <c r="BM88" s="35"/>
      <c r="BO88" s="1"/>
      <c r="BP88" s="36" t="s">
        <v>470</v>
      </c>
      <c r="BQ88" s="54">
        <v>20.0</v>
      </c>
      <c r="BR88" s="39">
        <v>27.0</v>
      </c>
      <c r="BS88" s="35" t="s">
        <v>32</v>
      </c>
      <c r="BT88" s="36" t="s">
        <v>32</v>
      </c>
      <c r="BU88" s="4"/>
    </row>
    <row r="89">
      <c r="A89" s="1"/>
      <c r="G89" s="1"/>
      <c r="I89" s="54"/>
      <c r="J89" s="39"/>
      <c r="K89" s="35"/>
      <c r="M89" s="1"/>
      <c r="S89" s="1"/>
      <c r="U89" s="54"/>
      <c r="V89" s="39"/>
      <c r="W89" s="35"/>
      <c r="Y89" s="1"/>
      <c r="AE89" s="1"/>
      <c r="AG89" s="54"/>
      <c r="AH89" s="39"/>
      <c r="AI89" s="35"/>
      <c r="AK89" s="1"/>
      <c r="AL89" s="36"/>
      <c r="AM89" s="54"/>
      <c r="AN89" s="39"/>
      <c r="AO89" s="35"/>
      <c r="AP89" s="36"/>
      <c r="AQ89" s="1"/>
      <c r="AS89" s="54"/>
      <c r="AT89" s="39"/>
      <c r="AU89" s="35"/>
      <c r="AW89" s="1"/>
      <c r="AY89" s="54"/>
      <c r="AZ89" s="39"/>
      <c r="BA89" s="35"/>
      <c r="BC89" s="1"/>
      <c r="BD89" s="36" t="s">
        <v>900</v>
      </c>
      <c r="BE89" s="54">
        <v>230.0</v>
      </c>
      <c r="BF89" s="39">
        <v>30.0</v>
      </c>
      <c r="BG89" s="35" t="s">
        <v>28</v>
      </c>
      <c r="BH89" s="36" t="s">
        <v>34</v>
      </c>
      <c r="BI89" s="1"/>
      <c r="BK89" s="54"/>
      <c r="BL89" s="39"/>
      <c r="BM89" s="35"/>
      <c r="BO89" s="1"/>
      <c r="BP89" s="36" t="s">
        <v>130</v>
      </c>
      <c r="BQ89" s="54">
        <v>100.0</v>
      </c>
      <c r="BR89" s="39">
        <v>28.0</v>
      </c>
      <c r="BS89" s="35" t="s">
        <v>32</v>
      </c>
      <c r="BT89" s="36" t="s">
        <v>32</v>
      </c>
      <c r="BU89" s="4"/>
    </row>
    <row r="90">
      <c r="A90" s="1"/>
      <c r="G90" s="1"/>
      <c r="I90" s="54"/>
      <c r="J90" s="39"/>
      <c r="K90" s="35"/>
      <c r="M90" s="1"/>
      <c r="S90" s="1"/>
      <c r="U90" s="54"/>
      <c r="V90" s="39"/>
      <c r="W90" s="35"/>
      <c r="Y90" s="1"/>
      <c r="AE90" s="1"/>
      <c r="AG90" s="54"/>
      <c r="AH90" s="39"/>
      <c r="AI90" s="35"/>
      <c r="AK90" s="1"/>
      <c r="AL90" s="36"/>
      <c r="AM90" s="54"/>
      <c r="AN90" s="39"/>
      <c r="AO90" s="35"/>
      <c r="AP90" s="36"/>
      <c r="AQ90" s="1"/>
      <c r="AS90" s="54"/>
      <c r="AT90" s="39"/>
      <c r="AU90" s="35"/>
      <c r="AW90" s="1"/>
      <c r="AY90" s="54"/>
      <c r="AZ90" s="39"/>
      <c r="BA90" s="35"/>
      <c r="BC90" s="1"/>
      <c r="BD90" s="36" t="s">
        <v>901</v>
      </c>
      <c r="BE90" s="54">
        <v>20.0</v>
      </c>
      <c r="BF90" s="39">
        <v>31.0</v>
      </c>
      <c r="BG90" s="35" t="s">
        <v>28</v>
      </c>
      <c r="BH90" s="36" t="s">
        <v>32</v>
      </c>
      <c r="BI90" s="1"/>
      <c r="BK90" s="54"/>
      <c r="BL90" s="39"/>
      <c r="BM90" s="35"/>
      <c r="BO90" s="1"/>
      <c r="BP90" s="36" t="s">
        <v>902</v>
      </c>
      <c r="BQ90" s="54">
        <v>100.0</v>
      </c>
      <c r="BR90" s="39">
        <v>28.0</v>
      </c>
      <c r="BS90" s="35" t="s">
        <v>32</v>
      </c>
      <c r="BT90" s="36" t="s">
        <v>32</v>
      </c>
      <c r="BU90" s="4"/>
    </row>
    <row r="91">
      <c r="A91" s="1"/>
      <c r="G91" s="1"/>
      <c r="I91" s="54"/>
      <c r="J91" s="39"/>
      <c r="K91" s="35"/>
      <c r="M91" s="1"/>
      <c r="S91" s="1"/>
      <c r="U91" s="54"/>
      <c r="V91" s="39"/>
      <c r="W91" s="35"/>
      <c r="Y91" s="1"/>
      <c r="AE91" s="1"/>
      <c r="AG91" s="54"/>
      <c r="AH91" s="39"/>
      <c r="AI91" s="35"/>
      <c r="AK91" s="1"/>
      <c r="AL91" s="36"/>
      <c r="AM91" s="54"/>
      <c r="AN91" s="39"/>
      <c r="AO91" s="35"/>
      <c r="AP91" s="36"/>
      <c r="AQ91" s="1"/>
      <c r="AS91" s="54"/>
      <c r="AT91" s="39"/>
      <c r="AU91" s="35"/>
      <c r="AW91" s="1"/>
      <c r="AX91" s="36"/>
      <c r="AY91" s="54"/>
      <c r="AZ91" s="39"/>
      <c r="BA91" s="35"/>
      <c r="BB91" s="36"/>
      <c r="BC91" s="1"/>
      <c r="BD91" s="36" t="s">
        <v>92</v>
      </c>
      <c r="BE91" s="54">
        <v>11.0</v>
      </c>
      <c r="BF91" s="39">
        <v>31.0</v>
      </c>
      <c r="BG91" s="35" t="s">
        <v>32</v>
      </c>
      <c r="BH91" s="36" t="s">
        <v>32</v>
      </c>
      <c r="BI91" s="1"/>
      <c r="BJ91" s="36"/>
      <c r="BK91" s="54"/>
      <c r="BL91" s="39"/>
      <c r="BM91" s="35"/>
      <c r="BN91" s="36"/>
      <c r="BO91" s="1"/>
      <c r="BP91" s="36" t="s">
        <v>218</v>
      </c>
      <c r="BQ91" s="54">
        <v>35.0</v>
      </c>
      <c r="BR91" s="39">
        <v>28.0</v>
      </c>
      <c r="BS91" s="35" t="s">
        <v>32</v>
      </c>
      <c r="BT91" s="36" t="s">
        <v>32</v>
      </c>
      <c r="BU91" s="4"/>
    </row>
    <row r="92">
      <c r="A92" s="1"/>
      <c r="G92" s="1"/>
      <c r="I92" s="54"/>
      <c r="J92" s="39"/>
      <c r="K92" s="35"/>
      <c r="M92" s="1"/>
      <c r="S92" s="1"/>
      <c r="U92" s="54"/>
      <c r="V92" s="39"/>
      <c r="W92" s="35"/>
      <c r="Y92" s="1"/>
      <c r="AE92" s="1"/>
      <c r="AG92" s="54"/>
      <c r="AH92" s="39"/>
      <c r="AI92" s="35"/>
      <c r="AK92" s="1"/>
      <c r="AL92" s="36"/>
      <c r="AM92" s="54"/>
      <c r="AN92" s="39"/>
      <c r="AO92" s="35"/>
      <c r="AP92" s="36"/>
      <c r="AQ92" s="1"/>
      <c r="AS92" s="54"/>
      <c r="AT92" s="39"/>
      <c r="AU92" s="35"/>
      <c r="AW92" s="1"/>
      <c r="AX92" s="36"/>
      <c r="AY92" s="54"/>
      <c r="AZ92" s="39"/>
      <c r="BA92" s="35"/>
      <c r="BB92" s="36"/>
      <c r="BC92" s="1"/>
      <c r="BD92" s="36" t="s">
        <v>834</v>
      </c>
      <c r="BE92" s="54">
        <v>165.0</v>
      </c>
      <c r="BF92" s="39">
        <v>31.0</v>
      </c>
      <c r="BG92" s="35" t="s">
        <v>32</v>
      </c>
      <c r="BH92" s="36" t="s">
        <v>32</v>
      </c>
      <c r="BI92" s="1"/>
      <c r="BJ92" s="36"/>
      <c r="BK92" s="54"/>
      <c r="BL92" s="39"/>
      <c r="BM92" s="35"/>
      <c r="BN92" s="36"/>
      <c r="BO92" s="1"/>
      <c r="BP92" s="36" t="s">
        <v>88</v>
      </c>
      <c r="BQ92" s="54">
        <v>12.0</v>
      </c>
      <c r="BR92" s="39">
        <v>28.0</v>
      </c>
      <c r="BS92" s="35" t="s">
        <v>32</v>
      </c>
      <c r="BT92" s="36" t="s">
        <v>32</v>
      </c>
      <c r="BU92" s="4"/>
    </row>
    <row r="93">
      <c r="A93" s="1"/>
      <c r="G93" s="1"/>
      <c r="I93" s="54"/>
      <c r="J93" s="39"/>
      <c r="K93" s="35"/>
      <c r="M93" s="1"/>
      <c r="S93" s="1"/>
      <c r="U93" s="54"/>
      <c r="V93" s="39"/>
      <c r="W93" s="35"/>
      <c r="Y93" s="1"/>
      <c r="AE93" s="1"/>
      <c r="AG93" s="54"/>
      <c r="AH93" s="39"/>
      <c r="AI93" s="35"/>
      <c r="AK93" s="1"/>
      <c r="AL93" s="36"/>
      <c r="AM93" s="54"/>
      <c r="AN93" s="39"/>
      <c r="AO93" s="35"/>
      <c r="AP93" s="36"/>
      <c r="AQ93" s="1"/>
      <c r="AS93" s="54"/>
      <c r="AT93" s="39"/>
      <c r="AU93" s="35"/>
      <c r="AW93" s="1"/>
      <c r="AX93" s="36"/>
      <c r="AY93" s="54"/>
      <c r="AZ93" s="39"/>
      <c r="BA93" s="35"/>
      <c r="BB93" s="36"/>
      <c r="BC93" s="1"/>
      <c r="BD93" s="36" t="s">
        <v>356</v>
      </c>
      <c r="BE93" s="54">
        <v>1667.68</v>
      </c>
      <c r="BF93" s="39">
        <v>31.0</v>
      </c>
      <c r="BG93" s="35" t="s">
        <v>32</v>
      </c>
      <c r="BH93" s="36" t="s">
        <v>32</v>
      </c>
      <c r="BI93" s="1"/>
      <c r="BJ93" s="36"/>
      <c r="BK93" s="54"/>
      <c r="BL93" s="39"/>
      <c r="BM93" s="35"/>
      <c r="BN93" s="36"/>
      <c r="BO93" s="1"/>
      <c r="BP93" s="36" t="s">
        <v>133</v>
      </c>
      <c r="BQ93" s="54">
        <v>10807.21</v>
      </c>
      <c r="BR93" s="39">
        <v>28.0</v>
      </c>
      <c r="BS93" s="35" t="s">
        <v>32</v>
      </c>
      <c r="BT93" s="36" t="s">
        <v>32</v>
      </c>
      <c r="BU93" s="4"/>
    </row>
    <row r="94">
      <c r="A94" s="1"/>
      <c r="G94" s="1"/>
      <c r="I94" s="54"/>
      <c r="J94" s="39"/>
      <c r="K94" s="35"/>
      <c r="M94" s="1"/>
      <c r="S94" s="1"/>
      <c r="U94" s="54"/>
      <c r="V94" s="39"/>
      <c r="W94" s="35"/>
      <c r="Y94" s="1"/>
      <c r="AE94" s="1"/>
      <c r="AG94" s="54"/>
      <c r="AH94" s="39"/>
      <c r="AI94" s="35"/>
      <c r="AK94" s="1"/>
      <c r="AL94" s="36"/>
      <c r="AM94" s="54"/>
      <c r="AN94" s="39"/>
      <c r="AO94" s="35"/>
      <c r="AP94" s="36"/>
      <c r="AQ94" s="1"/>
      <c r="AS94" s="54"/>
      <c r="AT94" s="39"/>
      <c r="AU94" s="35"/>
      <c r="AW94" s="1"/>
      <c r="AX94" s="36"/>
      <c r="AY94" s="54"/>
      <c r="AZ94" s="39"/>
      <c r="BA94" s="35"/>
      <c r="BB94" s="36"/>
      <c r="BC94" s="1"/>
      <c r="BE94" s="54"/>
      <c r="BF94" s="39"/>
      <c r="BG94" s="35"/>
      <c r="BI94" s="1"/>
      <c r="BJ94" s="36"/>
      <c r="BK94" s="54"/>
      <c r="BL94" s="39"/>
      <c r="BM94" s="35"/>
      <c r="BN94" s="36"/>
      <c r="BO94" s="1"/>
      <c r="BP94" s="36" t="s">
        <v>88</v>
      </c>
      <c r="BQ94" s="54">
        <v>20.0</v>
      </c>
      <c r="BR94" s="39">
        <v>28.0</v>
      </c>
      <c r="BS94" s="35" t="s">
        <v>32</v>
      </c>
      <c r="BT94" s="36" t="s">
        <v>32</v>
      </c>
      <c r="BU94" s="4"/>
    </row>
    <row r="95">
      <c r="A95" s="1"/>
      <c r="G95" s="1"/>
      <c r="I95" s="54"/>
      <c r="J95" s="39"/>
      <c r="K95" s="35"/>
      <c r="M95" s="1"/>
      <c r="S95" s="1"/>
      <c r="U95" s="54"/>
      <c r="V95" s="39"/>
      <c r="W95" s="35"/>
      <c r="Y95" s="1"/>
      <c r="AE95" s="1"/>
      <c r="AG95" s="54"/>
      <c r="AH95" s="39"/>
      <c r="AI95" s="35"/>
      <c r="AK95" s="1"/>
      <c r="AL95" s="36"/>
      <c r="AM95" s="54"/>
      <c r="AN95" s="39"/>
      <c r="AO95" s="35"/>
      <c r="AP95" s="36"/>
      <c r="AQ95" s="1"/>
      <c r="AS95" s="54"/>
      <c r="AT95" s="39"/>
      <c r="AU95" s="35"/>
      <c r="AW95" s="1"/>
      <c r="AX95" s="36"/>
      <c r="AY95" s="54"/>
      <c r="AZ95" s="39"/>
      <c r="BA95" s="35"/>
      <c r="BB95" s="36"/>
      <c r="BC95" s="1"/>
      <c r="BE95" s="54"/>
      <c r="BF95" s="39"/>
      <c r="BG95" s="35"/>
      <c r="BI95" s="1"/>
      <c r="BJ95" s="36"/>
      <c r="BK95" s="54"/>
      <c r="BL95" s="39"/>
      <c r="BM95" s="35"/>
      <c r="BN95" s="36"/>
      <c r="BO95" s="1"/>
      <c r="BP95" s="36" t="s">
        <v>903</v>
      </c>
      <c r="BQ95" s="54">
        <v>140.0</v>
      </c>
      <c r="BR95" s="39">
        <v>30.0</v>
      </c>
      <c r="BS95" s="35" t="s">
        <v>28</v>
      </c>
      <c r="BT95" s="36" t="s">
        <v>34</v>
      </c>
      <c r="BU95" s="4"/>
    </row>
    <row r="96">
      <c r="A96" s="1"/>
      <c r="G96" s="1"/>
      <c r="I96" s="54"/>
      <c r="J96" s="39"/>
      <c r="K96" s="35"/>
      <c r="M96" s="1"/>
      <c r="S96" s="1"/>
      <c r="U96" s="54"/>
      <c r="V96" s="39"/>
      <c r="W96" s="35"/>
      <c r="Y96" s="1"/>
      <c r="AE96" s="1"/>
      <c r="AG96" s="54"/>
      <c r="AH96" s="39"/>
      <c r="AI96" s="35"/>
      <c r="AK96" s="1"/>
      <c r="AL96" s="36"/>
      <c r="AM96" s="54"/>
      <c r="AN96" s="39"/>
      <c r="AO96" s="35"/>
      <c r="AP96" s="36"/>
      <c r="AQ96" s="1"/>
      <c r="AS96" s="54"/>
      <c r="AT96" s="39"/>
      <c r="AU96" s="35"/>
      <c r="AW96" s="1"/>
      <c r="AX96" s="36"/>
      <c r="AY96" s="54"/>
      <c r="AZ96" s="39"/>
      <c r="BA96" s="35"/>
      <c r="BB96" s="36"/>
      <c r="BC96" s="1"/>
      <c r="BE96" s="54"/>
      <c r="BF96" s="39"/>
      <c r="BG96" s="35"/>
      <c r="BI96" s="1"/>
      <c r="BJ96" s="36"/>
      <c r="BK96" s="54"/>
      <c r="BL96" s="39"/>
      <c r="BM96" s="35"/>
      <c r="BN96" s="36"/>
      <c r="BO96" s="1"/>
      <c r="BP96" s="36" t="s">
        <v>781</v>
      </c>
      <c r="BQ96" s="54">
        <v>70.0</v>
      </c>
      <c r="BR96" s="39">
        <v>30.0</v>
      </c>
      <c r="BS96" s="35" t="s">
        <v>28</v>
      </c>
      <c r="BT96" s="36" t="s">
        <v>34</v>
      </c>
      <c r="BU96" s="4"/>
    </row>
    <row r="97">
      <c r="A97" s="1"/>
      <c r="G97" s="1"/>
      <c r="I97" s="54"/>
      <c r="J97" s="39"/>
      <c r="K97" s="35"/>
      <c r="M97" s="1"/>
      <c r="S97" s="1"/>
      <c r="U97" s="54"/>
      <c r="V97" s="39"/>
      <c r="W97" s="35"/>
      <c r="Y97" s="1"/>
      <c r="AE97" s="1"/>
      <c r="AG97" s="54"/>
      <c r="AH97" s="39"/>
      <c r="AI97" s="35"/>
      <c r="AK97" s="1"/>
      <c r="AL97" s="36"/>
      <c r="AM97" s="54"/>
      <c r="AN97" s="39"/>
      <c r="AO97" s="35"/>
      <c r="AP97" s="36"/>
      <c r="AQ97" s="1"/>
      <c r="AS97" s="54"/>
      <c r="AT97" s="39"/>
      <c r="AU97" s="35"/>
      <c r="AW97" s="1"/>
      <c r="AX97" s="36"/>
      <c r="AY97" s="54"/>
      <c r="AZ97" s="39"/>
      <c r="BA97" s="35"/>
      <c r="BB97" s="36"/>
      <c r="BC97" s="1"/>
      <c r="BE97" s="54"/>
      <c r="BF97" s="39"/>
      <c r="BG97" s="35"/>
      <c r="BI97" s="1"/>
      <c r="BJ97" s="36"/>
      <c r="BK97" s="54"/>
      <c r="BL97" s="39"/>
      <c r="BM97" s="35"/>
      <c r="BN97" s="36"/>
      <c r="BO97" s="1"/>
      <c r="BP97" s="36" t="s">
        <v>893</v>
      </c>
      <c r="BQ97" s="54">
        <v>45.0</v>
      </c>
      <c r="BR97" s="39">
        <v>30.0</v>
      </c>
      <c r="BS97" s="35" t="s">
        <v>28</v>
      </c>
      <c r="BT97" s="36" t="s">
        <v>34</v>
      </c>
      <c r="BU97" s="4"/>
    </row>
    <row r="98">
      <c r="A98" s="1"/>
      <c r="G98" s="1"/>
      <c r="I98" s="54"/>
      <c r="J98" s="39"/>
      <c r="K98" s="35"/>
      <c r="M98" s="1"/>
      <c r="S98" s="1"/>
      <c r="U98" s="54"/>
      <c r="V98" s="39"/>
      <c r="W98" s="35"/>
      <c r="Y98" s="1"/>
      <c r="AE98" s="1"/>
      <c r="AG98" s="54"/>
      <c r="AH98" s="39"/>
      <c r="AI98" s="35"/>
      <c r="AK98" s="1"/>
      <c r="AL98" s="36"/>
      <c r="AM98" s="54"/>
      <c r="AN98" s="39"/>
      <c r="AO98" s="35"/>
      <c r="AP98" s="36"/>
      <c r="AQ98" s="1"/>
      <c r="AS98" s="54"/>
      <c r="AT98" s="39"/>
      <c r="AU98" s="35"/>
      <c r="AW98" s="1"/>
      <c r="AX98" s="36"/>
      <c r="AY98" s="54"/>
      <c r="AZ98" s="39"/>
      <c r="BA98" s="35"/>
      <c r="BB98" s="36"/>
      <c r="BC98" s="1"/>
      <c r="BE98" s="54"/>
      <c r="BF98" s="39"/>
      <c r="BG98" s="35"/>
      <c r="BI98" s="1"/>
      <c r="BJ98" s="36"/>
      <c r="BK98" s="54"/>
      <c r="BL98" s="39"/>
      <c r="BM98" s="35"/>
      <c r="BN98" s="36"/>
      <c r="BO98" s="1"/>
      <c r="BP98" s="36" t="s">
        <v>201</v>
      </c>
      <c r="BQ98" s="54">
        <v>135.0</v>
      </c>
      <c r="BR98" s="39">
        <v>31.0</v>
      </c>
      <c r="BS98" s="35" t="s">
        <v>28</v>
      </c>
      <c r="BT98" s="36" t="s">
        <v>34</v>
      </c>
      <c r="BU98" s="4"/>
    </row>
    <row r="99">
      <c r="A99" s="1"/>
      <c r="G99" s="1"/>
      <c r="I99" s="54"/>
      <c r="J99" s="39"/>
      <c r="K99" s="35"/>
      <c r="M99" s="1"/>
      <c r="S99" s="1"/>
      <c r="U99" s="54"/>
      <c r="V99" s="39"/>
      <c r="W99" s="35"/>
      <c r="Y99" s="1"/>
      <c r="AE99" s="1"/>
      <c r="AK99" s="1"/>
      <c r="AL99" s="36"/>
      <c r="AM99" s="54"/>
      <c r="AN99" s="39"/>
      <c r="AO99" s="35"/>
      <c r="AP99" s="36"/>
      <c r="AQ99" s="1"/>
      <c r="AW99" s="1"/>
      <c r="AX99" s="36"/>
      <c r="AY99" s="54"/>
      <c r="AZ99" s="39"/>
      <c r="BA99" s="35"/>
      <c r="BB99" s="36"/>
      <c r="BC99" s="1"/>
      <c r="BE99" s="54"/>
      <c r="BF99" s="39"/>
      <c r="BG99" s="35"/>
      <c r="BI99" s="1"/>
      <c r="BJ99" s="36"/>
      <c r="BK99" s="54"/>
      <c r="BL99" s="39"/>
      <c r="BM99" s="35"/>
      <c r="BN99" s="36"/>
      <c r="BO99" s="1"/>
      <c r="BP99" s="36" t="s">
        <v>450</v>
      </c>
      <c r="BQ99" s="54">
        <v>84.0</v>
      </c>
      <c r="BR99" s="39">
        <v>31.0</v>
      </c>
      <c r="BS99" s="35" t="s">
        <v>28</v>
      </c>
      <c r="BT99" s="36" t="s">
        <v>34</v>
      </c>
      <c r="BU99" s="4"/>
    </row>
    <row r="100">
      <c r="A100" s="1"/>
      <c r="G100" s="1"/>
      <c r="I100" s="54"/>
      <c r="J100" s="39"/>
      <c r="K100" s="35"/>
      <c r="M100" s="1"/>
      <c r="S100" s="1"/>
      <c r="U100" s="54"/>
      <c r="V100" s="39"/>
      <c r="W100" s="35"/>
      <c r="Y100" s="1"/>
      <c r="AE100" s="1"/>
      <c r="AK100" s="1"/>
      <c r="AL100" s="36"/>
      <c r="AM100" s="54"/>
      <c r="AN100" s="39"/>
      <c r="AO100" s="35"/>
      <c r="AP100" s="36"/>
      <c r="AQ100" s="1"/>
      <c r="AW100" s="1"/>
      <c r="AX100" s="36"/>
      <c r="AY100" s="54"/>
      <c r="AZ100" s="39"/>
      <c r="BA100" s="35"/>
      <c r="BB100" s="36"/>
      <c r="BC100" s="1"/>
      <c r="BE100" s="54"/>
      <c r="BF100" s="39"/>
      <c r="BG100" s="35"/>
      <c r="BI100" s="1"/>
      <c r="BJ100" s="36"/>
      <c r="BK100" s="54"/>
      <c r="BL100" s="39"/>
      <c r="BM100" s="35"/>
      <c r="BN100" s="36"/>
      <c r="BO100" s="1"/>
      <c r="BP100" s="36" t="s">
        <v>904</v>
      </c>
      <c r="BQ100" s="54">
        <v>350.0</v>
      </c>
      <c r="BR100" s="39">
        <v>29.0</v>
      </c>
      <c r="BS100" s="35" t="s">
        <v>32</v>
      </c>
      <c r="BT100" s="36" t="s">
        <v>32</v>
      </c>
      <c r="BU100" s="4"/>
    </row>
    <row r="101">
      <c r="A101" s="1"/>
      <c r="G101" s="1"/>
      <c r="M101" s="1"/>
      <c r="S101" s="1"/>
      <c r="Y101" s="1"/>
      <c r="AE101" s="1"/>
      <c r="AK101" s="1"/>
      <c r="AL101" s="36"/>
      <c r="AM101" s="54"/>
      <c r="AN101" s="39"/>
      <c r="AO101" s="35"/>
      <c r="AP101" s="36"/>
      <c r="AQ101" s="1"/>
      <c r="AW101" s="1"/>
      <c r="AX101" s="36"/>
      <c r="AY101" s="54"/>
      <c r="AZ101" s="39"/>
      <c r="BA101" s="35"/>
      <c r="BB101" s="36"/>
      <c r="BC101" s="1"/>
      <c r="BE101" s="54"/>
      <c r="BF101" s="39"/>
      <c r="BG101" s="35"/>
      <c r="BI101" s="1"/>
      <c r="BJ101" s="36"/>
      <c r="BK101" s="54"/>
      <c r="BL101" s="39"/>
      <c r="BM101" s="35"/>
      <c r="BN101" s="36"/>
      <c r="BO101" s="1"/>
      <c r="BP101" s="36"/>
      <c r="BQ101" s="54"/>
      <c r="BR101" s="39"/>
      <c r="BS101" s="35"/>
      <c r="BT101" s="36"/>
      <c r="BU101" s="4"/>
    </row>
    <row r="102">
      <c r="A102" s="1"/>
      <c r="G102" s="1"/>
      <c r="M102" s="1"/>
      <c r="S102" s="1"/>
      <c r="Y102" s="1"/>
      <c r="AE102" s="1"/>
      <c r="AK102" s="1"/>
      <c r="AL102" s="36"/>
      <c r="AM102" s="54"/>
      <c r="AN102" s="39"/>
      <c r="AO102" s="35"/>
      <c r="AP102" s="36"/>
      <c r="AQ102" s="1"/>
      <c r="AW102" s="1"/>
      <c r="AX102" s="36"/>
      <c r="AY102" s="54"/>
      <c r="AZ102" s="39"/>
      <c r="BA102" s="35"/>
      <c r="BB102" s="36"/>
      <c r="BC102" s="1"/>
      <c r="BE102" s="54"/>
      <c r="BF102" s="39"/>
      <c r="BG102" s="35"/>
      <c r="BI102" s="1"/>
      <c r="BJ102" s="36"/>
      <c r="BK102" s="54"/>
      <c r="BL102" s="39"/>
      <c r="BM102" s="35"/>
      <c r="BN102" s="36"/>
      <c r="BO102" s="1"/>
      <c r="BP102" s="36"/>
      <c r="BQ102" s="54"/>
      <c r="BR102" s="39"/>
      <c r="BS102" s="35"/>
      <c r="BT102" s="36"/>
      <c r="BU102" s="4"/>
    </row>
    <row r="103">
      <c r="A103" s="1"/>
      <c r="G103" s="1"/>
      <c r="M103" s="1"/>
      <c r="S103" s="1"/>
      <c r="Y103" s="1"/>
      <c r="AE103" s="1"/>
      <c r="AK103" s="1"/>
      <c r="AL103" s="36"/>
      <c r="AM103" s="54"/>
      <c r="AN103" s="39"/>
      <c r="AO103" s="35"/>
      <c r="AP103" s="36"/>
      <c r="AQ103" s="1"/>
      <c r="AW103" s="1"/>
      <c r="AX103" s="36"/>
      <c r="AY103" s="54"/>
      <c r="AZ103" s="39"/>
      <c r="BA103" s="35"/>
      <c r="BB103" s="36"/>
      <c r="BC103" s="1"/>
      <c r="BE103" s="54"/>
      <c r="BF103" s="39"/>
      <c r="BG103" s="35"/>
      <c r="BI103" s="1"/>
      <c r="BJ103" s="36"/>
      <c r="BK103" s="54"/>
      <c r="BL103" s="39"/>
      <c r="BM103" s="35"/>
      <c r="BN103" s="36"/>
      <c r="BO103" s="1"/>
      <c r="BP103" s="36"/>
      <c r="BQ103" s="54"/>
      <c r="BR103" s="39"/>
      <c r="BS103" s="35"/>
      <c r="BT103" s="36"/>
      <c r="BU103" s="4"/>
    </row>
    <row r="104">
      <c r="A104" s="1"/>
      <c r="G104" s="1"/>
      <c r="M104" s="1"/>
      <c r="S104" s="1"/>
      <c r="Y104" s="1"/>
      <c r="AE104" s="1"/>
      <c r="AK104" s="1"/>
      <c r="AL104" s="36"/>
      <c r="AM104" s="54"/>
      <c r="AN104" s="39"/>
      <c r="AO104" s="35"/>
      <c r="AP104" s="36"/>
      <c r="AQ104" s="1"/>
      <c r="AW104" s="1"/>
      <c r="AX104" s="36"/>
      <c r="AY104" s="54"/>
      <c r="AZ104" s="39"/>
      <c r="BA104" s="35"/>
      <c r="BB104" s="36"/>
      <c r="BC104" s="1"/>
      <c r="BE104" s="54"/>
      <c r="BF104" s="39"/>
      <c r="BG104" s="35"/>
      <c r="BI104" s="1"/>
      <c r="BJ104" s="36"/>
      <c r="BK104" s="54"/>
      <c r="BL104" s="39"/>
      <c r="BM104" s="35"/>
      <c r="BN104" s="36"/>
      <c r="BO104" s="1"/>
      <c r="BP104" s="36"/>
      <c r="BQ104" s="54"/>
      <c r="BR104" s="39"/>
      <c r="BS104" s="35"/>
      <c r="BT104" s="36"/>
      <c r="BU104" s="4"/>
    </row>
    <row r="105">
      <c r="A105" s="1"/>
      <c r="G105" s="1"/>
      <c r="M105" s="1"/>
      <c r="S105" s="1"/>
      <c r="Y105" s="1"/>
      <c r="AE105" s="1"/>
      <c r="AK105" s="1"/>
      <c r="AL105" s="36"/>
      <c r="AM105" s="54"/>
      <c r="AN105" s="39"/>
      <c r="AO105" s="35"/>
      <c r="AP105" s="36"/>
      <c r="AQ105" s="1"/>
      <c r="AW105" s="1"/>
      <c r="AX105" s="36"/>
      <c r="AY105" s="54"/>
      <c r="AZ105" s="39"/>
      <c r="BA105" s="35"/>
      <c r="BB105" s="36"/>
      <c r="BC105" s="1"/>
      <c r="BE105" s="54"/>
      <c r="BF105" s="39"/>
      <c r="BG105" s="35"/>
      <c r="BI105" s="1"/>
      <c r="BJ105" s="36"/>
      <c r="BK105" s="54"/>
      <c r="BL105" s="39"/>
      <c r="BM105" s="35"/>
      <c r="BN105" s="36"/>
      <c r="BO105" s="1"/>
      <c r="BQ105" s="54"/>
      <c r="BR105" s="39"/>
      <c r="BS105" s="35"/>
      <c r="BU105" s="4"/>
    </row>
    <row r="106">
      <c r="A106" s="1"/>
      <c r="G106" s="1"/>
      <c r="M106" s="1"/>
      <c r="S106" s="1"/>
      <c r="Y106" s="1"/>
      <c r="AE106" s="1"/>
      <c r="AK106" s="1"/>
      <c r="AQ106" s="1"/>
      <c r="AW106" s="1"/>
      <c r="BC106" s="1"/>
      <c r="BE106" s="54"/>
      <c r="BF106" s="39"/>
      <c r="BG106" s="35"/>
      <c r="BI106" s="1"/>
      <c r="BO106" s="1"/>
      <c r="BQ106" s="54"/>
      <c r="BR106" s="39"/>
      <c r="BS106" s="35"/>
      <c r="BU106" s="4"/>
    </row>
    <row r="107">
      <c r="A107" s="1"/>
      <c r="G107" s="1"/>
      <c r="M107" s="1"/>
      <c r="S107" s="1"/>
      <c r="Y107" s="1"/>
      <c r="AE107" s="1"/>
      <c r="AK107" s="1"/>
      <c r="AQ107" s="1"/>
      <c r="AW107" s="1"/>
      <c r="BC107" s="1"/>
      <c r="BE107" s="54"/>
      <c r="BF107" s="39"/>
      <c r="BG107" s="35"/>
      <c r="BI107" s="1"/>
      <c r="BO107" s="1"/>
      <c r="BQ107" s="54"/>
      <c r="BR107" s="39"/>
      <c r="BS107" s="35"/>
      <c r="BU107" s="4"/>
    </row>
    <row r="108">
      <c r="A108" s="1"/>
      <c r="G108" s="1"/>
      <c r="M108" s="1"/>
      <c r="S108" s="1"/>
      <c r="Y108" s="1"/>
      <c r="AE108" s="1"/>
      <c r="AK108" s="1"/>
      <c r="AQ108" s="1"/>
      <c r="AW108" s="1"/>
      <c r="BC108" s="1"/>
      <c r="BE108" s="54"/>
      <c r="BF108" s="39"/>
      <c r="BG108" s="35"/>
      <c r="BI108" s="1"/>
      <c r="BO108" s="1"/>
      <c r="BQ108" s="54"/>
      <c r="BR108" s="39"/>
      <c r="BS108" s="35"/>
      <c r="BU108" s="4"/>
    </row>
    <row r="109">
      <c r="A109" s="1"/>
      <c r="G109" s="1"/>
      <c r="M109" s="1"/>
      <c r="S109" s="1"/>
      <c r="Y109" s="1"/>
      <c r="AE109" s="1"/>
      <c r="AK109" s="1"/>
      <c r="AQ109" s="1"/>
      <c r="AW109" s="1"/>
      <c r="BC109" s="1"/>
      <c r="BE109" s="54"/>
      <c r="BF109" s="39"/>
      <c r="BG109" s="35"/>
      <c r="BI109" s="1"/>
      <c r="BO109" s="1"/>
      <c r="BQ109" s="54"/>
      <c r="BR109" s="39"/>
      <c r="BS109" s="35"/>
      <c r="BU109" s="4"/>
    </row>
    <row r="110">
      <c r="A110" s="1"/>
      <c r="G110" s="1"/>
      <c r="M110" s="1"/>
      <c r="S110" s="1"/>
      <c r="Y110" s="1"/>
      <c r="AE110" s="1"/>
      <c r="AK110" s="1"/>
      <c r="AQ110" s="1"/>
      <c r="AW110" s="1"/>
      <c r="BC110" s="1"/>
      <c r="BE110" s="54"/>
      <c r="BF110" s="39"/>
      <c r="BG110" s="35"/>
      <c r="BI110" s="1"/>
      <c r="BO110" s="1"/>
      <c r="BQ110" s="54"/>
      <c r="BR110" s="39"/>
      <c r="BS110" s="35"/>
      <c r="BU110" s="4"/>
    </row>
    <row r="111">
      <c r="A111" s="1"/>
      <c r="G111" s="1"/>
      <c r="M111" s="1"/>
      <c r="S111" s="1"/>
      <c r="Y111" s="1"/>
      <c r="AE111" s="1"/>
      <c r="AK111" s="1"/>
      <c r="AQ111" s="1"/>
      <c r="AW111" s="1"/>
      <c r="BC111" s="1"/>
      <c r="BE111" s="54"/>
      <c r="BF111" s="39"/>
      <c r="BG111" s="35"/>
      <c r="BI111" s="1"/>
      <c r="BO111" s="1"/>
      <c r="BQ111" s="54"/>
      <c r="BR111" s="39"/>
      <c r="BS111" s="35"/>
      <c r="BU111" s="4"/>
    </row>
    <row r="112">
      <c r="A112" s="1"/>
      <c r="G112" s="1"/>
      <c r="M112" s="1"/>
      <c r="S112" s="1"/>
      <c r="Y112" s="1"/>
      <c r="AE112" s="1"/>
      <c r="AK112" s="1"/>
      <c r="AQ112" s="1"/>
      <c r="AW112" s="1"/>
      <c r="BC112" s="1"/>
      <c r="BE112" s="54"/>
      <c r="BF112" s="39"/>
      <c r="BG112" s="35"/>
      <c r="BI112" s="1"/>
      <c r="BO112" s="1"/>
      <c r="BQ112" s="54"/>
      <c r="BR112" s="39"/>
      <c r="BS112" s="35"/>
      <c r="BU112" s="4"/>
    </row>
    <row r="113">
      <c r="A113" s="1"/>
      <c r="G113" s="1"/>
      <c r="M113" s="1"/>
      <c r="S113" s="1"/>
      <c r="Y113" s="1"/>
      <c r="AE113" s="1"/>
      <c r="AK113" s="1"/>
      <c r="AQ113" s="1"/>
      <c r="AW113" s="1"/>
      <c r="BC113" s="1"/>
      <c r="BE113" s="54"/>
      <c r="BF113" s="39"/>
      <c r="BG113" s="35"/>
      <c r="BI113" s="1"/>
      <c r="BO113" s="1"/>
      <c r="BQ113" s="54"/>
      <c r="BR113" s="39"/>
      <c r="BS113" s="35"/>
      <c r="BU113" s="4"/>
    </row>
    <row r="114">
      <c r="A114" s="1"/>
      <c r="G114" s="1"/>
      <c r="M114" s="1"/>
      <c r="S114" s="1"/>
      <c r="Y114" s="1"/>
      <c r="AE114" s="1"/>
      <c r="AK114" s="1"/>
      <c r="AQ114" s="1"/>
      <c r="AW114" s="1"/>
      <c r="BC114" s="1"/>
      <c r="BE114" s="54"/>
      <c r="BF114" s="39"/>
      <c r="BG114" s="35"/>
      <c r="BI114" s="1"/>
      <c r="BO114" s="1"/>
      <c r="BQ114" s="54"/>
      <c r="BR114" s="39"/>
      <c r="BS114" s="35"/>
      <c r="BU114" s="4"/>
    </row>
    <row r="115">
      <c r="A115" s="1"/>
      <c r="G115" s="1"/>
      <c r="M115" s="1"/>
      <c r="S115" s="1"/>
      <c r="Y115" s="1"/>
      <c r="AE115" s="1"/>
      <c r="AK115" s="1"/>
      <c r="AQ115" s="1"/>
      <c r="AW115" s="1"/>
      <c r="BC115" s="1"/>
      <c r="BE115" s="54"/>
      <c r="BF115" s="39"/>
      <c r="BG115" s="35"/>
      <c r="BI115" s="1"/>
      <c r="BO115" s="1"/>
      <c r="BQ115" s="54"/>
      <c r="BR115" s="39"/>
      <c r="BS115" s="35"/>
      <c r="BU115" s="4"/>
    </row>
    <row r="116">
      <c r="A116" s="1"/>
      <c r="M116" s="1"/>
      <c r="Y116" s="1"/>
      <c r="AK116" s="1"/>
      <c r="AQ116" s="1"/>
      <c r="AW116" s="1"/>
      <c r="BC116" s="1"/>
      <c r="BE116" s="54"/>
      <c r="BF116" s="39"/>
      <c r="BG116" s="35"/>
      <c r="BI116" s="1"/>
      <c r="BO116" s="1"/>
      <c r="BQ116" s="54"/>
      <c r="BR116" s="39"/>
      <c r="BS116" s="35"/>
      <c r="BU116" s="4"/>
    </row>
    <row r="117">
      <c r="A117" s="1"/>
      <c r="M117" s="1"/>
      <c r="Y117" s="1"/>
      <c r="AK117" s="1"/>
      <c r="AQ117" s="1"/>
      <c r="AW117" s="1"/>
      <c r="BC117" s="1"/>
      <c r="BE117" s="54"/>
      <c r="BF117" s="39"/>
      <c r="BG117" s="35"/>
      <c r="BI117" s="1"/>
      <c r="BO117" s="1"/>
      <c r="BQ117" s="54"/>
      <c r="BR117" s="39"/>
      <c r="BS117" s="35"/>
      <c r="BU117" s="4"/>
    </row>
    <row r="118">
      <c r="A118" s="1"/>
      <c r="M118" s="1"/>
      <c r="Y118" s="1"/>
      <c r="AK118" s="1"/>
      <c r="AQ118" s="1"/>
      <c r="AW118" s="1"/>
      <c r="BC118" s="1"/>
      <c r="BE118" s="54"/>
      <c r="BF118" s="39"/>
      <c r="BG118" s="35"/>
      <c r="BI118" s="1"/>
      <c r="BO118" s="1"/>
      <c r="BQ118" s="54"/>
      <c r="BR118" s="39"/>
      <c r="BS118" s="35"/>
      <c r="BU118" s="4"/>
    </row>
    <row r="119">
      <c r="A119" s="1"/>
      <c r="M119" s="1"/>
      <c r="Y119" s="1"/>
      <c r="AK119" s="1"/>
      <c r="AQ119" s="1"/>
      <c r="AW119" s="1"/>
      <c r="BC119" s="1"/>
      <c r="BE119" s="54"/>
      <c r="BF119" s="39"/>
      <c r="BG119" s="35"/>
      <c r="BI119" s="1"/>
      <c r="BO119" s="1"/>
      <c r="BQ119" s="54"/>
      <c r="BR119" s="39"/>
      <c r="BS119" s="35"/>
      <c r="BU119" s="4"/>
    </row>
    <row r="120">
      <c r="A120" s="1"/>
      <c r="M120" s="1"/>
      <c r="Y120" s="1"/>
      <c r="AK120" s="1"/>
      <c r="AQ120" s="1"/>
      <c r="AW120" s="1"/>
      <c r="BC120" s="1"/>
      <c r="BE120" s="54"/>
      <c r="BF120" s="39"/>
      <c r="BG120" s="35"/>
      <c r="BI120" s="1"/>
      <c r="BO120" s="1"/>
      <c r="BQ120" s="54"/>
      <c r="BR120" s="39"/>
      <c r="BS120" s="35"/>
      <c r="BU120" s="4"/>
    </row>
    <row r="121">
      <c r="A121" s="1"/>
      <c r="M121" s="1"/>
      <c r="Y121" s="1"/>
      <c r="AK121" s="1"/>
      <c r="AQ121" s="1"/>
      <c r="AW121" s="1"/>
      <c r="BC121" s="1"/>
      <c r="BE121" s="54"/>
      <c r="BF121" s="39"/>
      <c r="BG121" s="35"/>
      <c r="BI121" s="1"/>
      <c r="BO121" s="1"/>
      <c r="BQ121" s="54"/>
      <c r="BR121" s="39"/>
      <c r="BS121" s="35"/>
      <c r="BU121" s="4"/>
    </row>
    <row r="122">
      <c r="A122" s="1"/>
      <c r="M122" s="1"/>
      <c r="Y122" s="1"/>
      <c r="AK122" s="1"/>
      <c r="AQ122" s="1"/>
      <c r="AW122" s="1"/>
      <c r="BC122" s="1"/>
      <c r="BE122" s="54"/>
      <c r="BF122" s="39"/>
      <c r="BG122" s="35"/>
      <c r="BI122" s="1"/>
      <c r="BO122" s="1"/>
      <c r="BQ122" s="54"/>
      <c r="BR122" s="39"/>
      <c r="BS122" s="35"/>
      <c r="BU122" s="4"/>
    </row>
    <row r="123">
      <c r="A123" s="1"/>
      <c r="M123" s="1"/>
      <c r="Y123" s="1"/>
      <c r="AK123" s="1"/>
      <c r="AQ123" s="1"/>
      <c r="AW123" s="1"/>
      <c r="BC123" s="1"/>
      <c r="BE123" s="54"/>
      <c r="BF123" s="39"/>
      <c r="BG123" s="35"/>
      <c r="BI123" s="1"/>
      <c r="BO123" s="1"/>
      <c r="BQ123" s="54"/>
      <c r="BR123" s="39"/>
      <c r="BS123" s="35"/>
      <c r="BU123" s="4"/>
    </row>
    <row r="124">
      <c r="A124" s="1"/>
      <c r="M124" s="1"/>
      <c r="Y124" s="1"/>
      <c r="AK124" s="1"/>
      <c r="AQ124" s="1"/>
      <c r="AW124" s="1"/>
      <c r="BC124" s="1"/>
      <c r="BE124" s="54"/>
      <c r="BF124" s="39"/>
      <c r="BG124" s="35"/>
      <c r="BI124" s="1"/>
      <c r="BO124" s="1"/>
      <c r="BQ124" s="54"/>
      <c r="BR124" s="39"/>
      <c r="BS124" s="35"/>
      <c r="BU124" s="4"/>
    </row>
    <row r="125">
      <c r="A125" s="1"/>
      <c r="M125" s="1"/>
      <c r="Y125" s="1"/>
      <c r="AK125" s="1"/>
      <c r="AQ125" s="1"/>
      <c r="AW125" s="1"/>
      <c r="BC125" s="1"/>
      <c r="BE125" s="54"/>
      <c r="BF125" s="39"/>
      <c r="BG125" s="35"/>
      <c r="BI125" s="1"/>
      <c r="BO125" s="1"/>
      <c r="BQ125" s="54"/>
      <c r="BR125" s="39"/>
      <c r="BS125" s="35"/>
      <c r="BU125" s="4"/>
    </row>
    <row r="126">
      <c r="A126" s="1"/>
      <c r="M126" s="1"/>
      <c r="Y126" s="1"/>
      <c r="AK126" s="1"/>
      <c r="AQ126" s="1"/>
      <c r="AW126" s="1"/>
      <c r="BC126" s="1"/>
      <c r="BE126" s="54"/>
      <c r="BF126" s="39"/>
      <c r="BG126" s="35"/>
      <c r="BI126" s="1"/>
      <c r="BO126" s="1"/>
      <c r="BQ126" s="54"/>
      <c r="BR126" s="39"/>
      <c r="BS126" s="35"/>
      <c r="BU126" s="4"/>
    </row>
    <row r="127">
      <c r="A127" s="1"/>
      <c r="M127" s="1"/>
      <c r="Y127" s="1"/>
      <c r="AK127" s="1"/>
      <c r="AQ127" s="1"/>
      <c r="AW127" s="1"/>
      <c r="BC127" s="1"/>
      <c r="BE127" s="54"/>
      <c r="BF127" s="39"/>
      <c r="BG127" s="35"/>
      <c r="BI127" s="1"/>
      <c r="BO127" s="1"/>
      <c r="BQ127" s="54"/>
      <c r="BR127" s="39"/>
      <c r="BS127" s="35"/>
      <c r="BU127" s="4"/>
    </row>
    <row r="128">
      <c r="A128" s="1"/>
      <c r="M128" s="1"/>
      <c r="Y128" s="1"/>
      <c r="AK128" s="1"/>
      <c r="AQ128" s="1"/>
      <c r="AW128" s="1"/>
      <c r="BC128" s="1"/>
      <c r="BE128" s="54"/>
      <c r="BF128" s="39"/>
      <c r="BG128" s="35"/>
      <c r="BI128" s="1"/>
      <c r="BO128" s="1"/>
      <c r="BP128" s="1"/>
      <c r="BQ128" s="1"/>
      <c r="BR128" s="1"/>
      <c r="BS128" s="1"/>
      <c r="BT128" s="1"/>
      <c r="BU128" s="4"/>
    </row>
    <row r="129">
      <c r="A129" s="1"/>
      <c r="M129" s="1"/>
      <c r="Y129" s="1"/>
      <c r="AK129" s="1"/>
      <c r="AQ129" s="1"/>
      <c r="AW129" s="1"/>
      <c r="BC129" s="1"/>
      <c r="BE129" s="54"/>
      <c r="BF129" s="39"/>
      <c r="BG129" s="35"/>
      <c r="BI129" s="1"/>
      <c r="BO129" s="1"/>
      <c r="BP129" s="1"/>
      <c r="BQ129" s="1"/>
      <c r="BR129" s="1"/>
      <c r="BS129" s="1"/>
      <c r="BT129" s="1"/>
      <c r="BU129" s="4"/>
    </row>
    <row r="130">
      <c r="A130" s="1"/>
      <c r="M130" s="1"/>
      <c r="Y130" s="1"/>
      <c r="AK130" s="1"/>
      <c r="AQ130" s="1"/>
      <c r="AW130" s="1"/>
      <c r="BC130" s="1"/>
      <c r="BD130" s="1"/>
      <c r="BE130" s="1"/>
      <c r="BF130" s="1"/>
      <c r="BG130" s="1"/>
      <c r="BH130" s="1"/>
      <c r="BI130" s="1"/>
      <c r="BO130" s="1"/>
      <c r="BP130" s="1"/>
      <c r="BQ130" s="1"/>
      <c r="BR130" s="1"/>
      <c r="BS130" s="1"/>
      <c r="BT130" s="1"/>
      <c r="BU130" s="4"/>
    </row>
    <row r="131">
      <c r="A131" s="1"/>
      <c r="M131" s="1"/>
      <c r="Y131" s="1"/>
      <c r="AK131" s="1"/>
      <c r="AQ131" s="1"/>
      <c r="AW131" s="1"/>
      <c r="BC131" s="1"/>
      <c r="BD131" s="1"/>
      <c r="BE131" s="1"/>
      <c r="BF131" s="1"/>
      <c r="BG131" s="1"/>
      <c r="BH131" s="1"/>
      <c r="BI131" s="1"/>
      <c r="BO131" s="1"/>
      <c r="BP131" s="1"/>
      <c r="BQ131" s="1"/>
      <c r="BR131" s="1"/>
      <c r="BS131" s="1"/>
      <c r="BT131" s="1"/>
      <c r="BU131" s="4"/>
    </row>
    <row r="132">
      <c r="A132" s="1"/>
      <c r="M132" s="1"/>
      <c r="Y132" s="1"/>
      <c r="AK132" s="1"/>
      <c r="AQ132" s="1"/>
      <c r="AW132" s="1"/>
      <c r="BC132" s="1"/>
      <c r="BD132" s="1"/>
      <c r="BE132" s="1"/>
      <c r="BF132" s="1"/>
      <c r="BG132" s="1"/>
      <c r="BH132" s="1"/>
      <c r="BI132" s="1"/>
      <c r="BO132" s="1"/>
      <c r="BP132" s="1"/>
      <c r="BQ132" s="1"/>
      <c r="BR132" s="1"/>
      <c r="BS132" s="1"/>
      <c r="BT132" s="1"/>
      <c r="BU132" s="4"/>
    </row>
    <row r="133">
      <c r="A133" s="1"/>
      <c r="M133" s="1"/>
      <c r="Y133" s="1"/>
      <c r="AK133" s="1"/>
      <c r="AQ133" s="1"/>
      <c r="AW133" s="1"/>
      <c r="BC133" s="1"/>
      <c r="BD133" s="1"/>
      <c r="BE133" s="1"/>
      <c r="BF133" s="1"/>
      <c r="BG133" s="1"/>
      <c r="BH133" s="1"/>
      <c r="BI133" s="1"/>
      <c r="BO133" s="1"/>
      <c r="BP133" s="1"/>
      <c r="BQ133" s="1"/>
      <c r="BR133" s="1"/>
      <c r="BS133" s="1"/>
      <c r="BT133" s="1"/>
      <c r="BU133" s="4"/>
    </row>
    <row r="134">
      <c r="A134" s="1"/>
      <c r="M134" s="1"/>
      <c r="Y134" s="1"/>
      <c r="AK134" s="1"/>
      <c r="AQ134" s="1"/>
      <c r="AW134" s="1"/>
      <c r="BC134" s="1"/>
      <c r="BD134" s="1"/>
      <c r="BE134" s="1"/>
      <c r="BF134" s="1"/>
      <c r="BG134" s="1"/>
      <c r="BH134" s="1"/>
      <c r="BI134" s="1"/>
      <c r="BO134" s="1"/>
      <c r="BP134" s="1"/>
      <c r="BQ134" s="1"/>
      <c r="BR134" s="1"/>
      <c r="BS134" s="1"/>
      <c r="BT134" s="1"/>
      <c r="BU134" s="4"/>
    </row>
    <row r="135">
      <c r="A135" s="1"/>
      <c r="M135" s="1"/>
      <c r="Y135" s="1"/>
      <c r="AK135" s="1"/>
      <c r="AQ135" s="1"/>
      <c r="AW135" s="1"/>
      <c r="BC135" s="1"/>
      <c r="BD135" s="1"/>
      <c r="BE135" s="1"/>
      <c r="BF135" s="1"/>
      <c r="BG135" s="1"/>
      <c r="BH135" s="1"/>
      <c r="BI135" s="1"/>
      <c r="BO135" s="1"/>
      <c r="BP135" s="1"/>
      <c r="BQ135" s="1"/>
      <c r="BR135" s="1"/>
      <c r="BS135" s="1"/>
      <c r="BT135" s="1"/>
      <c r="BU135" s="4"/>
    </row>
    <row r="136">
      <c r="A136" s="1"/>
      <c r="M136" s="1"/>
      <c r="Y136" s="1"/>
      <c r="AK136" s="1"/>
      <c r="AQ136" s="1"/>
      <c r="AW136" s="1"/>
      <c r="BC136" s="1"/>
      <c r="BD136" s="1"/>
      <c r="BE136" s="1"/>
      <c r="BF136" s="1"/>
      <c r="BG136" s="1"/>
      <c r="BH136" s="1"/>
      <c r="BI136" s="1"/>
      <c r="BO136" s="1"/>
      <c r="BP136" s="1"/>
      <c r="BQ136" s="1"/>
      <c r="BR136" s="1"/>
      <c r="BS136" s="1"/>
      <c r="BT136" s="1"/>
      <c r="BU136" s="4"/>
    </row>
    <row r="137">
      <c r="A137" s="1"/>
      <c r="M137" s="1"/>
      <c r="Y137" s="1"/>
      <c r="AK137" s="1"/>
      <c r="AQ137" s="1"/>
      <c r="AW137" s="1"/>
      <c r="BC137" s="1"/>
      <c r="BD137" s="1"/>
      <c r="BE137" s="1"/>
      <c r="BF137" s="1"/>
      <c r="BG137" s="1"/>
      <c r="BH137" s="1"/>
      <c r="BI137" s="1"/>
      <c r="BO137" s="1"/>
      <c r="BP137" s="1"/>
      <c r="BQ137" s="1"/>
      <c r="BR137" s="1"/>
      <c r="BS137" s="1"/>
      <c r="BT137" s="1"/>
      <c r="BU137" s="4"/>
    </row>
    <row r="138">
      <c r="A138" s="1"/>
      <c r="M138" s="1"/>
      <c r="Y138" s="1"/>
      <c r="AK138" s="1"/>
      <c r="AQ138" s="1"/>
      <c r="AW138" s="1"/>
      <c r="BC138" s="1"/>
      <c r="BD138" s="1"/>
      <c r="BE138" s="1"/>
      <c r="BF138" s="1"/>
      <c r="BG138" s="1"/>
      <c r="BH138" s="1"/>
      <c r="BI138" s="1"/>
      <c r="BO138" s="1"/>
      <c r="BP138" s="1"/>
      <c r="BQ138" s="1"/>
      <c r="BR138" s="1"/>
      <c r="BS138" s="1"/>
      <c r="BT138" s="1"/>
      <c r="BU138" s="4"/>
    </row>
    <row r="139">
      <c r="A139" s="1"/>
      <c r="M139" s="1"/>
      <c r="Y139" s="1"/>
      <c r="AK139" s="1"/>
      <c r="AQ139" s="1"/>
      <c r="AW139" s="1"/>
      <c r="BC139" s="1"/>
      <c r="BD139" s="1"/>
      <c r="BE139" s="1"/>
      <c r="BF139" s="1"/>
      <c r="BG139" s="1"/>
      <c r="BH139" s="1"/>
      <c r="BI139" s="1"/>
      <c r="BO139" s="1"/>
      <c r="BP139" s="1"/>
      <c r="BQ139" s="1"/>
      <c r="BR139" s="1"/>
      <c r="BS139" s="1"/>
      <c r="BT139" s="1"/>
      <c r="BU139" s="4"/>
    </row>
    <row r="140">
      <c r="A140" s="1"/>
      <c r="M140" s="1"/>
      <c r="Y140" s="1"/>
      <c r="AK140" s="1"/>
      <c r="AQ140" s="1"/>
      <c r="AW140" s="1"/>
      <c r="BC140" s="1"/>
      <c r="BD140" s="1"/>
      <c r="BE140" s="1"/>
      <c r="BF140" s="1"/>
      <c r="BG140" s="1"/>
      <c r="BH140" s="1"/>
      <c r="BI140" s="1"/>
      <c r="BO140" s="1"/>
      <c r="BP140" s="1"/>
      <c r="BQ140" s="1"/>
      <c r="BR140" s="1"/>
      <c r="BS140" s="1"/>
      <c r="BT140" s="1"/>
      <c r="BU140" s="4"/>
    </row>
    <row r="141">
      <c r="A141" s="1"/>
      <c r="M141" s="1"/>
      <c r="Y141" s="1"/>
      <c r="AK141" s="1"/>
      <c r="AQ141" s="1"/>
      <c r="AW141" s="1"/>
      <c r="BC141" s="1"/>
      <c r="BD141" s="1"/>
      <c r="BE141" s="1"/>
      <c r="BF141" s="1"/>
      <c r="BG141" s="1"/>
      <c r="BH141" s="1"/>
      <c r="BI141" s="1"/>
      <c r="BO141" s="1"/>
      <c r="BP141" s="1"/>
      <c r="BQ141" s="1"/>
      <c r="BR141" s="1"/>
      <c r="BS141" s="1"/>
      <c r="BT141" s="1"/>
      <c r="BU141" s="4"/>
    </row>
    <row r="142">
      <c r="A142" s="1"/>
      <c r="M142" s="1"/>
      <c r="Y142" s="1"/>
      <c r="AK142" s="1"/>
      <c r="AQ142" s="1"/>
      <c r="AW142" s="1"/>
      <c r="BC142" s="1"/>
      <c r="BD142" s="1"/>
      <c r="BE142" s="1"/>
      <c r="BF142" s="1"/>
      <c r="BG142" s="1"/>
      <c r="BH142" s="1"/>
      <c r="BI142" s="1"/>
      <c r="BO142" s="1"/>
      <c r="BP142" s="1"/>
      <c r="BQ142" s="1"/>
      <c r="BR142" s="1"/>
      <c r="BS142" s="1"/>
      <c r="BT142" s="1"/>
      <c r="BU142" s="4"/>
    </row>
    <row r="143">
      <c r="A143" s="1"/>
      <c r="M143" s="1"/>
      <c r="Y143" s="1"/>
      <c r="AK143" s="1"/>
      <c r="AQ143" s="1"/>
      <c r="AW143" s="1"/>
      <c r="BC143" s="1"/>
      <c r="BD143" s="1"/>
      <c r="BE143" s="1"/>
      <c r="BF143" s="1"/>
      <c r="BG143" s="1"/>
      <c r="BH143" s="1"/>
      <c r="BI143" s="1"/>
      <c r="BO143" s="1"/>
      <c r="BP143" s="1"/>
      <c r="BQ143" s="1"/>
      <c r="BR143" s="1"/>
      <c r="BS143" s="1"/>
      <c r="BT143" s="1"/>
      <c r="BU143" s="4"/>
    </row>
    <row r="144">
      <c r="A144" s="1"/>
      <c r="M144" s="1"/>
      <c r="Y144" s="1"/>
      <c r="AK144" s="1"/>
      <c r="AQ144" s="1"/>
      <c r="AW144" s="1"/>
      <c r="BC144" s="1"/>
      <c r="BD144" s="1"/>
      <c r="BE144" s="1"/>
      <c r="BF144" s="1"/>
      <c r="BG144" s="1"/>
      <c r="BH144" s="1"/>
      <c r="BI144" s="1"/>
      <c r="BO144" s="1"/>
      <c r="BP144" s="1"/>
      <c r="BQ144" s="1"/>
      <c r="BR144" s="1"/>
      <c r="BS144" s="1"/>
      <c r="BT144" s="1"/>
      <c r="BU144" s="4"/>
    </row>
    <row r="145">
      <c r="A145" s="1"/>
      <c r="M145" s="1"/>
      <c r="Y145" s="1"/>
      <c r="AK145" s="1"/>
      <c r="AQ145" s="1"/>
      <c r="AW145" s="1"/>
      <c r="BC145" s="1"/>
      <c r="BD145" s="1"/>
      <c r="BE145" s="1"/>
      <c r="BF145" s="1"/>
      <c r="BG145" s="1"/>
      <c r="BH145" s="1"/>
      <c r="BI145" s="1"/>
      <c r="BO145" s="1"/>
      <c r="BP145" s="1"/>
      <c r="BQ145" s="1"/>
      <c r="BR145" s="1"/>
      <c r="BS145" s="1"/>
      <c r="BT145" s="1"/>
      <c r="BU145" s="4"/>
    </row>
    <row r="146">
      <c r="A146" s="1"/>
      <c r="M146" s="1"/>
      <c r="Y146" s="1"/>
      <c r="AK146" s="1"/>
      <c r="AQ146" s="1"/>
      <c r="AW146" s="1"/>
      <c r="BC146" s="1"/>
      <c r="BD146" s="1"/>
      <c r="BE146" s="1"/>
      <c r="BF146" s="1"/>
      <c r="BG146" s="1"/>
      <c r="BH146" s="1"/>
      <c r="BI146" s="1"/>
      <c r="BO146" s="1"/>
      <c r="BP146" s="1"/>
      <c r="BQ146" s="1"/>
      <c r="BR146" s="1"/>
      <c r="BS146" s="1"/>
      <c r="BT146" s="1"/>
      <c r="BU146" s="4"/>
    </row>
    <row r="147">
      <c r="A147" s="1"/>
      <c r="M147" s="1"/>
      <c r="Y147" s="1"/>
      <c r="AK147" s="1"/>
      <c r="AQ147" s="1"/>
      <c r="AW147" s="1"/>
      <c r="BC147" s="1"/>
      <c r="BD147" s="1"/>
      <c r="BE147" s="1"/>
      <c r="BF147" s="1"/>
      <c r="BG147" s="1"/>
      <c r="BH147" s="1"/>
      <c r="BI147" s="1"/>
      <c r="BO147" s="1"/>
      <c r="BP147" s="1"/>
      <c r="BQ147" s="1"/>
      <c r="BR147" s="1"/>
      <c r="BS147" s="1"/>
      <c r="BT147" s="1"/>
      <c r="BU147" s="4"/>
    </row>
    <row r="148">
      <c r="A148" s="1"/>
      <c r="M148" s="1"/>
      <c r="Y148" s="1"/>
      <c r="AK148" s="1"/>
      <c r="AQ148" s="1"/>
      <c r="AW148" s="1"/>
      <c r="BC148" s="1"/>
      <c r="BD148" s="1"/>
      <c r="BE148" s="1"/>
      <c r="BF148" s="1"/>
      <c r="BG148" s="1"/>
      <c r="BH148" s="1"/>
      <c r="BI148" s="1"/>
      <c r="BO148" s="1"/>
      <c r="BP148" s="1"/>
      <c r="BQ148" s="1"/>
      <c r="BR148" s="1"/>
      <c r="BS148" s="1"/>
      <c r="BT148" s="1"/>
      <c r="BU148" s="4"/>
    </row>
    <row r="149">
      <c r="A149" s="1"/>
      <c r="M149" s="1"/>
      <c r="Y149" s="1"/>
      <c r="AK149" s="1"/>
      <c r="AQ149" s="1"/>
      <c r="AW149" s="1"/>
      <c r="BC149" s="1"/>
      <c r="BD149" s="1"/>
      <c r="BE149" s="1"/>
      <c r="BF149" s="1"/>
      <c r="BG149" s="1"/>
      <c r="BH149" s="1"/>
      <c r="BI149" s="1"/>
      <c r="BO149" s="1"/>
      <c r="BP149" s="1"/>
      <c r="BQ149" s="1"/>
      <c r="BR149" s="1"/>
      <c r="BS149" s="1"/>
      <c r="BT149" s="1"/>
      <c r="BU149" s="4"/>
    </row>
    <row r="150">
      <c r="A150" s="1"/>
      <c r="M150" s="1"/>
      <c r="Y150" s="1"/>
      <c r="AK150" s="1"/>
      <c r="AQ150" s="1"/>
      <c r="AW150" s="1"/>
      <c r="BC150" s="1"/>
      <c r="BD150" s="1"/>
      <c r="BE150" s="1"/>
      <c r="BF150" s="1"/>
      <c r="BG150" s="1"/>
      <c r="BH150" s="1"/>
      <c r="BI150" s="1"/>
      <c r="BO150" s="1"/>
      <c r="BP150" s="1"/>
      <c r="BQ150" s="1"/>
      <c r="BR150" s="1"/>
      <c r="BS150" s="1"/>
      <c r="BT150" s="1"/>
      <c r="BU150" s="4"/>
    </row>
    <row r="151">
      <c r="A151" s="1"/>
      <c r="M151" s="1"/>
      <c r="Y151" s="1"/>
      <c r="AK151" s="1"/>
      <c r="AQ151" s="1"/>
      <c r="AW151" s="1"/>
      <c r="BC151" s="1"/>
      <c r="BD151" s="1"/>
      <c r="BE151" s="1"/>
      <c r="BF151" s="1"/>
      <c r="BG151" s="1"/>
      <c r="BH151" s="1"/>
      <c r="BI151" s="1"/>
      <c r="BO151" s="1"/>
      <c r="BP151" s="1"/>
      <c r="BQ151" s="1"/>
      <c r="BR151" s="1"/>
      <c r="BS151" s="1"/>
      <c r="BT151" s="1"/>
      <c r="BU151" s="4"/>
    </row>
    <row r="152">
      <c r="A152" s="1"/>
      <c r="M152" s="1"/>
      <c r="Y152" s="1"/>
      <c r="AK152" s="1"/>
      <c r="AQ152" s="1"/>
      <c r="AW152" s="1"/>
      <c r="BC152" s="1"/>
      <c r="BD152" s="1"/>
      <c r="BE152" s="1"/>
      <c r="BF152" s="1"/>
      <c r="BG152" s="1"/>
      <c r="BH152" s="1"/>
      <c r="BI152" s="1"/>
      <c r="BO152" s="1"/>
      <c r="BP152" s="1"/>
      <c r="BQ152" s="1"/>
      <c r="BR152" s="1"/>
      <c r="BS152" s="1"/>
      <c r="BT152" s="1"/>
      <c r="BU152" s="4"/>
    </row>
    <row r="153">
      <c r="A153" s="1"/>
      <c r="M153" s="1"/>
      <c r="Y153" s="1"/>
      <c r="AK153" s="1"/>
      <c r="AQ153" s="1"/>
      <c r="AW153" s="1"/>
      <c r="BC153" s="1"/>
      <c r="BD153" s="1"/>
      <c r="BE153" s="1"/>
      <c r="BF153" s="1"/>
      <c r="BG153" s="1"/>
      <c r="BH153" s="1"/>
      <c r="BI153" s="1"/>
      <c r="BO153" s="1"/>
      <c r="BP153" s="1"/>
      <c r="BQ153" s="1"/>
      <c r="BR153" s="1"/>
      <c r="BS153" s="1"/>
      <c r="BT153" s="1"/>
      <c r="BU153" s="4"/>
    </row>
    <row r="154">
      <c r="A154" s="1"/>
      <c r="M154" s="1"/>
      <c r="Y154" s="1"/>
      <c r="AK154" s="1"/>
      <c r="AQ154" s="1"/>
      <c r="AW154" s="1"/>
      <c r="BC154" s="1"/>
      <c r="BD154" s="1"/>
      <c r="BE154" s="1"/>
      <c r="BF154" s="1"/>
      <c r="BG154" s="1"/>
      <c r="BH154" s="1"/>
      <c r="BI154" s="1"/>
      <c r="BO154" s="1"/>
      <c r="BP154" s="1"/>
      <c r="BQ154" s="1"/>
      <c r="BR154" s="1"/>
      <c r="BS154" s="1"/>
      <c r="BT154" s="1"/>
      <c r="BU154" s="4"/>
    </row>
    <row r="155">
      <c r="A155" s="1"/>
      <c r="M155" s="1"/>
      <c r="Y155" s="1"/>
      <c r="AK155" s="1"/>
      <c r="AQ155" s="1"/>
      <c r="AW155" s="1"/>
      <c r="BC155" s="1"/>
      <c r="BD155" s="1"/>
      <c r="BE155" s="1"/>
      <c r="BF155" s="1"/>
      <c r="BG155" s="1"/>
      <c r="BH155" s="1"/>
      <c r="BI155" s="1"/>
      <c r="BO155" s="1"/>
      <c r="BP155" s="1"/>
      <c r="BQ155" s="1"/>
      <c r="BR155" s="1"/>
      <c r="BS155" s="1"/>
      <c r="BT155" s="1"/>
      <c r="BU155" s="4"/>
    </row>
    <row r="156">
      <c r="A156" s="1"/>
      <c r="M156" s="1"/>
      <c r="Y156" s="1"/>
      <c r="AK156" s="1"/>
      <c r="AQ156" s="1"/>
      <c r="AW156" s="1"/>
      <c r="BC156" s="1"/>
      <c r="BD156" s="1"/>
      <c r="BE156" s="1"/>
      <c r="BF156" s="1"/>
      <c r="BG156" s="1"/>
      <c r="BH156" s="1"/>
      <c r="BI156" s="1"/>
      <c r="BO156" s="1"/>
      <c r="BP156" s="1"/>
      <c r="BQ156" s="1"/>
      <c r="BR156" s="1"/>
      <c r="BS156" s="1"/>
      <c r="BT156" s="1"/>
      <c r="BU156" s="4"/>
    </row>
    <row r="157">
      <c r="A157" s="1"/>
      <c r="M157" s="1"/>
      <c r="Y157" s="1"/>
      <c r="AK157" s="1"/>
      <c r="AQ157" s="1"/>
      <c r="AW157" s="1"/>
      <c r="BC157" s="1"/>
      <c r="BD157" s="1"/>
      <c r="BE157" s="1"/>
      <c r="BF157" s="1"/>
      <c r="BG157" s="1"/>
      <c r="BH157" s="1"/>
      <c r="BI157" s="1"/>
      <c r="BO157" s="1"/>
      <c r="BP157" s="1"/>
      <c r="BQ157" s="1"/>
      <c r="BR157" s="1"/>
      <c r="BS157" s="1"/>
      <c r="BT157" s="1"/>
      <c r="BU157" s="4"/>
    </row>
    <row r="158">
      <c r="A158" s="1"/>
      <c r="M158" s="1"/>
      <c r="Y158" s="1"/>
      <c r="AK158" s="1"/>
      <c r="AQ158" s="1"/>
      <c r="AW158" s="1"/>
      <c r="BC158" s="1"/>
      <c r="BD158" s="1"/>
      <c r="BE158" s="1"/>
      <c r="BF158" s="1"/>
      <c r="BG158" s="1"/>
      <c r="BH158" s="1"/>
      <c r="BI158" s="1"/>
      <c r="BO158" s="1"/>
      <c r="BP158" s="1"/>
      <c r="BQ158" s="1"/>
      <c r="BR158" s="1"/>
      <c r="BS158" s="1"/>
      <c r="BT158" s="1"/>
      <c r="BU158" s="4"/>
    </row>
    <row r="159">
      <c r="A159" s="1"/>
      <c r="M159" s="1"/>
      <c r="Y159" s="1"/>
      <c r="AK159" s="1"/>
      <c r="AQ159" s="1"/>
      <c r="AW159" s="1"/>
      <c r="BC159" s="1"/>
      <c r="BD159" s="1"/>
      <c r="BE159" s="1"/>
      <c r="BF159" s="1"/>
      <c r="BG159" s="1"/>
      <c r="BH159" s="1"/>
      <c r="BI159" s="1"/>
      <c r="BO159" s="1"/>
      <c r="BP159" s="1"/>
      <c r="BQ159" s="1"/>
      <c r="BR159" s="1"/>
      <c r="BS159" s="1"/>
      <c r="BT159" s="1"/>
      <c r="BU159" s="4"/>
    </row>
    <row r="160">
      <c r="A160" s="1"/>
      <c r="M160" s="1"/>
      <c r="Y160" s="1"/>
      <c r="AK160" s="1"/>
      <c r="AQ160" s="1"/>
      <c r="AW160" s="1"/>
      <c r="BC160" s="1"/>
      <c r="BD160" s="1"/>
      <c r="BE160" s="1"/>
      <c r="BF160" s="1"/>
      <c r="BG160" s="1"/>
      <c r="BH160" s="1"/>
      <c r="BI160" s="1"/>
      <c r="BO160" s="1"/>
      <c r="BP160" s="1"/>
      <c r="BQ160" s="1"/>
      <c r="BR160" s="1"/>
      <c r="BS160" s="1"/>
      <c r="BT160" s="1"/>
      <c r="BU160" s="4"/>
    </row>
    <row r="161">
      <c r="A161" s="1"/>
      <c r="M161" s="1"/>
      <c r="Y161" s="1"/>
      <c r="AK161" s="1"/>
      <c r="AQ161" s="1"/>
      <c r="AW161" s="1"/>
      <c r="BC161" s="1"/>
      <c r="BD161" s="1"/>
      <c r="BE161" s="1"/>
      <c r="BF161" s="1"/>
      <c r="BG161" s="1"/>
      <c r="BH161" s="1"/>
      <c r="BI161" s="1"/>
      <c r="BO161" s="1"/>
      <c r="BP161" s="1"/>
      <c r="BQ161" s="1"/>
      <c r="BR161" s="1"/>
      <c r="BS161" s="1"/>
      <c r="BT161" s="1"/>
      <c r="BU161" s="4"/>
    </row>
    <row r="162">
      <c r="A162" s="1"/>
      <c r="M162" s="1"/>
      <c r="Y162" s="1"/>
      <c r="AK162" s="1"/>
      <c r="AQ162" s="1"/>
      <c r="AW162" s="1"/>
      <c r="BC162" s="1"/>
      <c r="BD162" s="1"/>
      <c r="BE162" s="1"/>
      <c r="BF162" s="1"/>
      <c r="BG162" s="1"/>
      <c r="BH162" s="1"/>
      <c r="BI162" s="1"/>
      <c r="BO162" s="1"/>
      <c r="BP162" s="1"/>
      <c r="BQ162" s="1"/>
      <c r="BR162" s="1"/>
      <c r="BS162" s="1"/>
      <c r="BT162" s="1"/>
      <c r="BU162" s="4"/>
    </row>
    <row r="163">
      <c r="A163" s="1"/>
      <c r="M163" s="1"/>
      <c r="Y163" s="1"/>
      <c r="AK163" s="1"/>
      <c r="AQ163" s="1"/>
      <c r="AW163" s="1"/>
      <c r="BC163" s="1"/>
      <c r="BD163" s="1"/>
      <c r="BE163" s="1"/>
      <c r="BF163" s="1"/>
      <c r="BG163" s="1"/>
      <c r="BH163" s="1"/>
      <c r="BI163" s="1"/>
      <c r="BO163" s="1"/>
      <c r="BP163" s="1"/>
      <c r="BQ163" s="1"/>
      <c r="BR163" s="1"/>
      <c r="BS163" s="1"/>
      <c r="BT163" s="1"/>
      <c r="BU163" s="4"/>
    </row>
    <row r="164">
      <c r="A164" s="1"/>
      <c r="M164" s="1"/>
      <c r="Y164" s="1"/>
      <c r="AK164" s="1"/>
      <c r="AQ164" s="1"/>
      <c r="AW164" s="1"/>
      <c r="BC164" s="1"/>
      <c r="BD164" s="1"/>
      <c r="BE164" s="1"/>
      <c r="BF164" s="1"/>
      <c r="BG164" s="1"/>
      <c r="BH164" s="1"/>
      <c r="BI164" s="1"/>
      <c r="BO164" s="1"/>
      <c r="BP164" s="1"/>
      <c r="BQ164" s="1"/>
      <c r="BR164" s="1"/>
      <c r="BS164" s="1"/>
      <c r="BT164" s="1"/>
      <c r="BU164" s="4"/>
    </row>
    <row r="165">
      <c r="A165" s="1"/>
      <c r="M165" s="1"/>
      <c r="Y165" s="1"/>
      <c r="AK165" s="1"/>
      <c r="AQ165" s="1"/>
      <c r="AW165" s="1"/>
      <c r="BC165" s="1"/>
      <c r="BD165" s="1"/>
      <c r="BE165" s="1"/>
      <c r="BF165" s="1"/>
      <c r="BG165" s="1"/>
      <c r="BH165" s="1"/>
      <c r="BI165" s="1"/>
      <c r="BO165" s="1"/>
      <c r="BP165" s="1"/>
      <c r="BQ165" s="1"/>
      <c r="BR165" s="1"/>
      <c r="BS165" s="1"/>
      <c r="BT165" s="1"/>
      <c r="BU165" s="4"/>
    </row>
    <row r="166">
      <c r="A166" s="1"/>
      <c r="M166" s="1"/>
      <c r="Y166" s="1"/>
      <c r="AK166" s="1"/>
      <c r="AQ166" s="1"/>
      <c r="AW166" s="1"/>
      <c r="BC166" s="1"/>
      <c r="BD166" s="1"/>
      <c r="BE166" s="1"/>
      <c r="BF166" s="1"/>
      <c r="BG166" s="1"/>
      <c r="BH166" s="1"/>
      <c r="BI166" s="1"/>
      <c r="BO166" s="1"/>
      <c r="BP166" s="1"/>
      <c r="BQ166" s="1"/>
      <c r="BR166" s="1"/>
      <c r="BS166" s="1"/>
      <c r="BT166" s="1"/>
      <c r="BU166" s="4"/>
    </row>
    <row r="167">
      <c r="A167" s="1"/>
      <c r="M167" s="1"/>
      <c r="Y167" s="1"/>
      <c r="AK167" s="1"/>
      <c r="AQ167" s="1"/>
      <c r="AW167" s="1"/>
      <c r="BC167" s="1"/>
      <c r="BD167" s="1"/>
      <c r="BE167" s="1"/>
      <c r="BF167" s="1"/>
      <c r="BG167" s="1"/>
      <c r="BH167" s="1"/>
      <c r="BI167" s="1"/>
      <c r="BO167" s="1"/>
      <c r="BP167" s="1"/>
      <c r="BQ167" s="1"/>
      <c r="BR167" s="1"/>
      <c r="BS167" s="1"/>
      <c r="BT167" s="1"/>
      <c r="BU167" s="4"/>
    </row>
    <row r="168">
      <c r="A168" s="1"/>
      <c r="M168" s="1"/>
      <c r="Y168" s="1"/>
      <c r="AK168" s="1"/>
      <c r="AQ168" s="1"/>
      <c r="AW168" s="1"/>
      <c r="BC168" s="1"/>
      <c r="BD168" s="1"/>
      <c r="BE168" s="1"/>
      <c r="BF168" s="1"/>
      <c r="BG168" s="1"/>
      <c r="BH168" s="1"/>
      <c r="BI168" s="1"/>
      <c r="BO168" s="1"/>
      <c r="BP168" s="1"/>
      <c r="BQ168" s="1"/>
      <c r="BR168" s="1"/>
      <c r="BS168" s="1"/>
      <c r="BT168" s="1"/>
      <c r="BU168" s="4"/>
    </row>
    <row r="169">
      <c r="A169" s="1"/>
      <c r="M169" s="1"/>
      <c r="Y169" s="1"/>
      <c r="AK169" s="1"/>
      <c r="AQ169" s="1"/>
      <c r="AW169" s="1"/>
      <c r="BC169" s="1"/>
      <c r="BD169" s="1"/>
      <c r="BE169" s="1"/>
      <c r="BF169" s="1"/>
      <c r="BG169" s="1"/>
      <c r="BH169" s="1"/>
      <c r="BI169" s="1"/>
      <c r="BO169" s="1"/>
      <c r="BP169" s="1"/>
      <c r="BQ169" s="1"/>
      <c r="BR169" s="1"/>
      <c r="BS169" s="1"/>
      <c r="BT169" s="1"/>
      <c r="BU169" s="4"/>
    </row>
    <row r="170">
      <c r="A170" s="1"/>
      <c r="M170" s="1"/>
      <c r="Y170" s="1"/>
      <c r="AK170" s="1"/>
      <c r="AQ170" s="1"/>
      <c r="AW170" s="1"/>
      <c r="BC170" s="1"/>
      <c r="BD170" s="1"/>
      <c r="BE170" s="1"/>
      <c r="BF170" s="1"/>
      <c r="BG170" s="1"/>
      <c r="BH170" s="1"/>
      <c r="BI170" s="1"/>
      <c r="BO170" s="1"/>
      <c r="BP170" s="1"/>
      <c r="BQ170" s="1"/>
      <c r="BR170" s="1"/>
      <c r="BS170" s="1"/>
      <c r="BT170" s="1"/>
      <c r="BU170" s="4"/>
    </row>
    <row r="171">
      <c r="A171" s="1"/>
      <c r="M171" s="1"/>
      <c r="Y171" s="1"/>
      <c r="AK171" s="1"/>
      <c r="AQ171" s="1"/>
      <c r="AW171" s="1"/>
      <c r="BC171" s="1"/>
      <c r="BD171" s="1"/>
      <c r="BE171" s="1"/>
      <c r="BF171" s="1"/>
      <c r="BG171" s="1"/>
      <c r="BH171" s="1"/>
      <c r="BI171" s="1"/>
      <c r="BO171" s="1"/>
      <c r="BP171" s="1"/>
      <c r="BQ171" s="1"/>
      <c r="BR171" s="1"/>
      <c r="BS171" s="1"/>
      <c r="BT171" s="1"/>
      <c r="BU171" s="4"/>
    </row>
    <row r="172">
      <c r="A172" s="1"/>
      <c r="M172" s="1"/>
      <c r="Y172" s="1"/>
      <c r="AK172" s="1"/>
      <c r="AQ172" s="1"/>
      <c r="AW172" s="1"/>
      <c r="BC172" s="1"/>
      <c r="BD172" s="1"/>
      <c r="BE172" s="1"/>
      <c r="BF172" s="1"/>
      <c r="BG172" s="1"/>
      <c r="BH172" s="1"/>
      <c r="BI172" s="1"/>
      <c r="BO172" s="1"/>
      <c r="BP172" s="1"/>
      <c r="BQ172" s="1"/>
      <c r="BR172" s="1"/>
      <c r="BS172" s="1"/>
      <c r="BT172" s="1"/>
      <c r="BU172" s="4"/>
    </row>
    <row r="173">
      <c r="A173" s="1"/>
      <c r="M173" s="1"/>
      <c r="Y173" s="1"/>
      <c r="AK173" s="1"/>
      <c r="AQ173" s="1"/>
      <c r="AW173" s="1"/>
      <c r="BC173" s="1"/>
      <c r="BD173" s="1"/>
      <c r="BE173" s="1"/>
      <c r="BF173" s="1"/>
      <c r="BG173" s="1"/>
      <c r="BH173" s="1"/>
      <c r="BI173" s="1"/>
      <c r="BO173" s="1"/>
      <c r="BP173" s="1"/>
      <c r="BQ173" s="1"/>
      <c r="BR173" s="1"/>
      <c r="BS173" s="1"/>
      <c r="BT173" s="1"/>
      <c r="BU173" s="4"/>
    </row>
    <row r="174">
      <c r="A174" s="1"/>
      <c r="M174" s="1"/>
      <c r="Y174" s="1"/>
      <c r="AK174" s="1"/>
      <c r="AQ174" s="1"/>
      <c r="AW174" s="1"/>
      <c r="BC174" s="1"/>
      <c r="BD174" s="1"/>
      <c r="BE174" s="1"/>
      <c r="BF174" s="1"/>
      <c r="BG174" s="1"/>
      <c r="BH174" s="1"/>
      <c r="BI174" s="1"/>
      <c r="BO174" s="1"/>
      <c r="BP174" s="1"/>
      <c r="BQ174" s="1"/>
      <c r="BR174" s="1"/>
      <c r="BS174" s="1"/>
      <c r="BT174" s="1"/>
      <c r="BU174" s="4"/>
    </row>
    <row r="175">
      <c r="A175" s="1"/>
      <c r="M175" s="1"/>
      <c r="Y175" s="1"/>
      <c r="AK175" s="1"/>
      <c r="AQ175" s="1"/>
      <c r="AW175" s="1"/>
      <c r="BC175" s="1"/>
      <c r="BD175" s="1"/>
      <c r="BE175" s="1"/>
      <c r="BF175" s="1"/>
      <c r="BG175" s="1"/>
      <c r="BH175" s="1"/>
      <c r="BI175" s="1"/>
      <c r="BO175" s="1"/>
      <c r="BP175" s="1"/>
      <c r="BQ175" s="1"/>
      <c r="BR175" s="1"/>
      <c r="BS175" s="1"/>
      <c r="BT175" s="1"/>
      <c r="BU175" s="4"/>
    </row>
    <row r="176">
      <c r="A176" s="1"/>
      <c r="M176" s="1"/>
      <c r="Y176" s="1"/>
      <c r="AK176" s="1"/>
      <c r="AQ176" s="1"/>
      <c r="AW176" s="1"/>
      <c r="BC176" s="1"/>
      <c r="BD176" s="1"/>
      <c r="BE176" s="1"/>
      <c r="BF176" s="1"/>
      <c r="BG176" s="1"/>
      <c r="BH176" s="1"/>
      <c r="BI176" s="1"/>
      <c r="BO176" s="1"/>
      <c r="BP176" s="1"/>
      <c r="BQ176" s="1"/>
      <c r="BR176" s="1"/>
      <c r="BS176" s="1"/>
      <c r="BT176" s="1"/>
      <c r="BU176" s="4"/>
    </row>
    <row r="177">
      <c r="A177" s="1"/>
      <c r="M177" s="1"/>
      <c r="Y177" s="1"/>
      <c r="AK177" s="1"/>
      <c r="AQ177" s="1"/>
      <c r="AW177" s="1"/>
      <c r="BC177" s="1"/>
      <c r="BD177" s="1"/>
      <c r="BE177" s="1"/>
      <c r="BF177" s="1"/>
      <c r="BG177" s="1"/>
      <c r="BH177" s="1"/>
      <c r="BI177" s="1"/>
      <c r="BO177" s="1"/>
      <c r="BP177" s="1"/>
      <c r="BQ177" s="1"/>
      <c r="BR177" s="1"/>
      <c r="BS177" s="1"/>
      <c r="BT177" s="1"/>
      <c r="BU177" s="4"/>
    </row>
    <row r="178">
      <c r="A178" s="1"/>
      <c r="M178" s="1"/>
      <c r="Y178" s="1"/>
      <c r="AK178" s="1"/>
      <c r="AQ178" s="1"/>
      <c r="AW178" s="1"/>
      <c r="BC178" s="1"/>
      <c r="BD178" s="1"/>
      <c r="BE178" s="1"/>
      <c r="BF178" s="1"/>
      <c r="BG178" s="1"/>
      <c r="BH178" s="1"/>
      <c r="BI178" s="1"/>
      <c r="BO178" s="1"/>
      <c r="BP178" s="1"/>
      <c r="BQ178" s="1"/>
      <c r="BR178" s="1"/>
      <c r="BS178" s="1"/>
      <c r="BT178" s="1"/>
      <c r="BU178" s="4"/>
    </row>
    <row r="179">
      <c r="A179" s="1"/>
      <c r="M179" s="1"/>
      <c r="Y179" s="1"/>
      <c r="AK179" s="1"/>
      <c r="AQ179" s="1"/>
      <c r="AW179" s="1"/>
      <c r="BC179" s="1"/>
      <c r="BD179" s="1"/>
      <c r="BE179" s="1"/>
      <c r="BF179" s="1"/>
      <c r="BG179" s="1"/>
      <c r="BH179" s="1"/>
      <c r="BI179" s="1"/>
      <c r="BO179" s="1"/>
      <c r="BP179" s="1"/>
      <c r="BQ179" s="1"/>
      <c r="BR179" s="1"/>
      <c r="BS179" s="1"/>
      <c r="BT179" s="1"/>
      <c r="BU179" s="4"/>
    </row>
    <row r="180">
      <c r="A180" s="1"/>
      <c r="M180" s="1"/>
      <c r="Y180" s="1"/>
      <c r="AK180" s="1"/>
      <c r="AQ180" s="1"/>
      <c r="AW180" s="1"/>
      <c r="BC180" s="1"/>
      <c r="BD180" s="1"/>
      <c r="BE180" s="1"/>
      <c r="BF180" s="1"/>
      <c r="BG180" s="1"/>
      <c r="BH180" s="1"/>
      <c r="BI180" s="1"/>
      <c r="BO180" s="1"/>
      <c r="BP180" s="1"/>
      <c r="BQ180" s="1"/>
      <c r="BR180" s="1"/>
      <c r="BS180" s="1"/>
      <c r="BT180" s="1"/>
      <c r="BU180" s="4"/>
    </row>
    <row r="181">
      <c r="A181" s="1"/>
      <c r="M181" s="1"/>
      <c r="Y181" s="1"/>
      <c r="AK181" s="1"/>
      <c r="AQ181" s="1"/>
      <c r="AW181" s="1"/>
      <c r="BC181" s="1"/>
      <c r="BD181" s="1"/>
      <c r="BE181" s="1"/>
      <c r="BF181" s="1"/>
      <c r="BG181" s="1"/>
      <c r="BH181" s="1"/>
      <c r="BI181" s="1"/>
      <c r="BO181" s="1"/>
      <c r="BP181" s="1"/>
      <c r="BQ181" s="1"/>
      <c r="BR181" s="1"/>
      <c r="BS181" s="1"/>
      <c r="BT181" s="1"/>
      <c r="BU181" s="4"/>
    </row>
    <row r="182">
      <c r="A182" s="1"/>
      <c r="M182" s="1"/>
      <c r="Y182" s="1"/>
      <c r="AK182" s="1"/>
      <c r="AQ182" s="1"/>
      <c r="AW182" s="1"/>
      <c r="BC182" s="1"/>
      <c r="BD182" s="1"/>
      <c r="BE182" s="1"/>
      <c r="BF182" s="1"/>
      <c r="BG182" s="1"/>
      <c r="BH182" s="1"/>
      <c r="BI182" s="1"/>
      <c r="BO182" s="1"/>
      <c r="BP182" s="1"/>
      <c r="BQ182" s="1"/>
      <c r="BR182" s="1"/>
      <c r="BS182" s="1"/>
      <c r="BT182" s="1"/>
      <c r="BU182" s="4"/>
    </row>
    <row r="183">
      <c r="A183" s="1"/>
      <c r="M183" s="1"/>
      <c r="Y183" s="1"/>
      <c r="AK183" s="1"/>
      <c r="AQ183" s="1"/>
      <c r="AW183" s="1"/>
      <c r="BC183" s="1"/>
      <c r="BD183" s="1"/>
      <c r="BE183" s="1"/>
      <c r="BF183" s="1"/>
      <c r="BG183" s="1"/>
      <c r="BH183" s="1"/>
      <c r="BI183" s="1"/>
      <c r="BO183" s="1"/>
      <c r="BP183" s="1"/>
      <c r="BQ183" s="1"/>
      <c r="BR183" s="1"/>
      <c r="BS183" s="1"/>
      <c r="BT183" s="1"/>
      <c r="BU183" s="4"/>
    </row>
    <row r="184">
      <c r="A184" s="1"/>
      <c r="M184" s="1"/>
      <c r="Y184" s="1"/>
      <c r="AK184" s="1"/>
      <c r="AQ184" s="1"/>
      <c r="AW184" s="1"/>
      <c r="BC184" s="1"/>
      <c r="BD184" s="1"/>
      <c r="BE184" s="1"/>
      <c r="BF184" s="1"/>
      <c r="BG184" s="1"/>
      <c r="BH184" s="1"/>
      <c r="BI184" s="1"/>
      <c r="BO184" s="1"/>
      <c r="BP184" s="1"/>
      <c r="BQ184" s="1"/>
      <c r="BR184" s="1"/>
      <c r="BS184" s="1"/>
      <c r="BT184" s="1"/>
      <c r="BU184" s="4"/>
    </row>
    <row r="185">
      <c r="A185" s="1"/>
      <c r="M185" s="1"/>
      <c r="Y185" s="1"/>
      <c r="AK185" s="1"/>
      <c r="AQ185" s="1"/>
      <c r="AW185" s="1"/>
      <c r="BC185" s="1"/>
      <c r="BD185" s="1"/>
      <c r="BE185" s="1"/>
      <c r="BF185" s="1"/>
      <c r="BG185" s="1"/>
      <c r="BH185" s="1"/>
      <c r="BI185" s="1"/>
      <c r="BO185" s="1"/>
      <c r="BP185" s="1"/>
      <c r="BQ185" s="1"/>
      <c r="BR185" s="1"/>
      <c r="BS185" s="1"/>
      <c r="BT185" s="1"/>
      <c r="BU185" s="4"/>
    </row>
    <row r="186">
      <c r="A186" s="1"/>
      <c r="M186" s="1"/>
      <c r="Y186" s="1"/>
      <c r="AK186" s="1"/>
      <c r="AQ186" s="1"/>
      <c r="AW186" s="1"/>
      <c r="BC186" s="1"/>
      <c r="BD186" s="1"/>
      <c r="BE186" s="1"/>
      <c r="BF186" s="1"/>
      <c r="BG186" s="1"/>
      <c r="BH186" s="1"/>
      <c r="BI186" s="1"/>
      <c r="BO186" s="1"/>
      <c r="BP186" s="1"/>
      <c r="BQ186" s="1"/>
      <c r="BR186" s="1"/>
      <c r="BS186" s="1"/>
      <c r="BT186" s="1"/>
      <c r="BU186" s="4"/>
    </row>
    <row r="187">
      <c r="A187" s="1"/>
      <c r="M187" s="1"/>
      <c r="Y187" s="1"/>
      <c r="AK187" s="1"/>
      <c r="AQ187" s="1"/>
      <c r="AW187" s="1"/>
      <c r="BC187" s="1"/>
      <c r="BD187" s="1"/>
      <c r="BE187" s="1"/>
      <c r="BF187" s="1"/>
      <c r="BG187" s="1"/>
      <c r="BH187" s="1"/>
      <c r="BI187" s="1"/>
      <c r="BO187" s="1"/>
      <c r="BP187" s="1"/>
      <c r="BQ187" s="1"/>
      <c r="BR187" s="1"/>
      <c r="BS187" s="1"/>
      <c r="BT187" s="1"/>
      <c r="BU187" s="4"/>
    </row>
    <row r="188">
      <c r="A188" s="1"/>
      <c r="M188" s="1"/>
      <c r="Y188" s="1"/>
      <c r="AK188" s="1"/>
      <c r="AQ188" s="1"/>
      <c r="AW188" s="1"/>
      <c r="BC188" s="1"/>
      <c r="BD188" s="1"/>
      <c r="BE188" s="1"/>
      <c r="BF188" s="1"/>
      <c r="BG188" s="1"/>
      <c r="BH188" s="1"/>
      <c r="BI188" s="1"/>
      <c r="BO188" s="1"/>
      <c r="BP188" s="1"/>
      <c r="BQ188" s="1"/>
      <c r="BR188" s="1"/>
      <c r="BS188" s="1"/>
      <c r="BT188" s="1"/>
      <c r="BU188" s="4"/>
    </row>
    <row r="189">
      <c r="A189" s="1"/>
      <c r="M189" s="1"/>
      <c r="Y189" s="1"/>
      <c r="AK189" s="1"/>
      <c r="AQ189" s="1"/>
      <c r="AW189" s="1"/>
      <c r="BC189" s="1"/>
      <c r="BD189" s="1"/>
      <c r="BE189" s="1"/>
      <c r="BF189" s="1"/>
      <c r="BG189" s="1"/>
      <c r="BH189" s="1"/>
      <c r="BI189" s="1"/>
      <c r="BO189" s="1"/>
      <c r="BP189" s="1"/>
      <c r="BQ189" s="1"/>
      <c r="BR189" s="1"/>
      <c r="BS189" s="1"/>
      <c r="BT189" s="1"/>
      <c r="BU189" s="4"/>
    </row>
    <row r="190">
      <c r="A190" s="1"/>
      <c r="M190" s="1"/>
      <c r="Y190" s="1"/>
      <c r="AK190" s="1"/>
      <c r="AQ190" s="1"/>
      <c r="AW190" s="1"/>
      <c r="BC190" s="1"/>
      <c r="BD190" s="1"/>
      <c r="BE190" s="1"/>
      <c r="BF190" s="1"/>
      <c r="BG190" s="1"/>
      <c r="BH190" s="1"/>
      <c r="BI190" s="1"/>
      <c r="BO190" s="1"/>
      <c r="BP190" s="1"/>
      <c r="BQ190" s="1"/>
      <c r="BR190" s="1"/>
      <c r="BS190" s="1"/>
      <c r="BT190" s="1"/>
      <c r="BU190" s="4"/>
    </row>
    <row r="191">
      <c r="A191" s="1"/>
      <c r="M191" s="1"/>
      <c r="Y191" s="1"/>
      <c r="AK191" s="1"/>
      <c r="AQ191" s="1"/>
      <c r="AW191" s="1"/>
      <c r="BC191" s="1"/>
      <c r="BD191" s="1"/>
      <c r="BE191" s="1"/>
      <c r="BF191" s="1"/>
      <c r="BG191" s="1"/>
      <c r="BH191" s="1"/>
      <c r="BI191" s="1"/>
      <c r="BO191" s="1"/>
      <c r="BP191" s="1"/>
      <c r="BQ191" s="1"/>
      <c r="BR191" s="1"/>
      <c r="BS191" s="1"/>
      <c r="BT191" s="1"/>
      <c r="BU191" s="4"/>
    </row>
    <row r="192">
      <c r="A192" s="1"/>
      <c r="M192" s="1"/>
      <c r="Y192" s="1"/>
      <c r="AK192" s="1"/>
      <c r="AQ192" s="1"/>
      <c r="AW192" s="1"/>
      <c r="BC192" s="1"/>
      <c r="BD192" s="1"/>
      <c r="BE192" s="1"/>
      <c r="BF192" s="1"/>
      <c r="BG192" s="1"/>
      <c r="BH192" s="1"/>
      <c r="BI192" s="1"/>
      <c r="BO192" s="1"/>
      <c r="BP192" s="1"/>
      <c r="BQ192" s="1"/>
      <c r="BR192" s="1"/>
      <c r="BS192" s="1"/>
      <c r="BT192" s="1"/>
      <c r="BU192" s="4"/>
    </row>
    <row r="193">
      <c r="A193" s="1"/>
      <c r="M193" s="1"/>
      <c r="Y193" s="1"/>
      <c r="AK193" s="1"/>
      <c r="AQ193" s="1"/>
      <c r="AW193" s="1"/>
      <c r="BC193" s="1"/>
      <c r="BD193" s="1"/>
      <c r="BE193" s="1"/>
      <c r="BF193" s="1"/>
      <c r="BG193" s="1"/>
      <c r="BH193" s="1"/>
      <c r="BI193" s="1"/>
      <c r="BO193" s="1"/>
      <c r="BP193" s="1"/>
      <c r="BQ193" s="1"/>
      <c r="BR193" s="1"/>
      <c r="BS193" s="1"/>
      <c r="BT193" s="1"/>
      <c r="BU193" s="4"/>
    </row>
    <row r="194">
      <c r="A194" s="1"/>
      <c r="M194" s="1"/>
      <c r="Y194" s="1"/>
      <c r="AK194" s="1"/>
      <c r="AQ194" s="1"/>
      <c r="AW194" s="1"/>
      <c r="BC194" s="1"/>
      <c r="BD194" s="1"/>
      <c r="BE194" s="1"/>
      <c r="BF194" s="1"/>
      <c r="BG194" s="1"/>
      <c r="BH194" s="1"/>
      <c r="BI194" s="1"/>
      <c r="BO194" s="1"/>
      <c r="BP194" s="1"/>
      <c r="BQ194" s="1"/>
      <c r="BR194" s="1"/>
      <c r="BS194" s="1"/>
      <c r="BT194" s="1"/>
      <c r="BU194" s="4"/>
    </row>
    <row r="195">
      <c r="A195" s="1"/>
      <c r="M195" s="1"/>
      <c r="Y195" s="1"/>
      <c r="AK195" s="1"/>
      <c r="AQ195" s="1"/>
      <c r="AW195" s="1"/>
      <c r="BC195" s="1"/>
      <c r="BD195" s="1"/>
      <c r="BE195" s="1"/>
      <c r="BF195" s="1"/>
      <c r="BG195" s="1"/>
      <c r="BH195" s="1"/>
      <c r="BI195" s="1"/>
      <c r="BO195" s="1"/>
      <c r="BP195" s="1"/>
      <c r="BQ195" s="1"/>
      <c r="BR195" s="1"/>
      <c r="BS195" s="1"/>
      <c r="BT195" s="1"/>
      <c r="BU195" s="4"/>
    </row>
    <row r="196">
      <c r="A196" s="1"/>
      <c r="M196" s="1"/>
      <c r="Y196" s="1"/>
      <c r="AK196" s="1"/>
      <c r="AQ196" s="1"/>
      <c r="AW196" s="1"/>
      <c r="BC196" s="1"/>
      <c r="BD196" s="1"/>
      <c r="BE196" s="1"/>
      <c r="BF196" s="1"/>
      <c r="BG196" s="1"/>
      <c r="BH196" s="1"/>
      <c r="BI196" s="1"/>
      <c r="BO196" s="1"/>
      <c r="BP196" s="1"/>
      <c r="BQ196" s="1"/>
      <c r="BR196" s="1"/>
      <c r="BS196" s="1"/>
      <c r="BT196" s="1"/>
      <c r="BU196" s="4"/>
    </row>
    <row r="197">
      <c r="A197" s="1"/>
      <c r="M197" s="1"/>
      <c r="Y197" s="1"/>
      <c r="AK197" s="1"/>
      <c r="AQ197" s="1"/>
      <c r="AW197" s="1"/>
      <c r="BC197" s="1"/>
      <c r="BD197" s="1"/>
      <c r="BE197" s="1"/>
      <c r="BF197" s="1"/>
      <c r="BG197" s="1"/>
      <c r="BH197" s="1"/>
      <c r="BI197" s="1"/>
      <c r="BO197" s="1"/>
      <c r="BP197" s="1"/>
      <c r="BQ197" s="1"/>
      <c r="BR197" s="1"/>
      <c r="BS197" s="1"/>
      <c r="BT197" s="1"/>
      <c r="BU197" s="4"/>
    </row>
    <row r="198">
      <c r="A198" s="1"/>
      <c r="M198" s="1"/>
      <c r="Y198" s="1"/>
      <c r="AK198" s="1"/>
      <c r="AQ198" s="1"/>
      <c r="AW198" s="1"/>
      <c r="BC198" s="1"/>
      <c r="BD198" s="1"/>
      <c r="BE198" s="1"/>
      <c r="BF198" s="1"/>
      <c r="BG198" s="1"/>
      <c r="BH198" s="1"/>
      <c r="BI198" s="1"/>
      <c r="BO198" s="1"/>
      <c r="BP198" s="1"/>
      <c r="BQ198" s="1"/>
      <c r="BR198" s="1"/>
      <c r="BS198" s="1"/>
      <c r="BT198" s="1"/>
      <c r="BU198" s="4"/>
    </row>
    <row r="199">
      <c r="A199" s="1"/>
      <c r="M199" s="1"/>
      <c r="Y199" s="1"/>
      <c r="AK199" s="1"/>
      <c r="AQ199" s="1"/>
      <c r="AW199" s="1"/>
      <c r="BC199" s="1"/>
      <c r="BD199" s="1"/>
      <c r="BE199" s="1"/>
      <c r="BF199" s="1"/>
      <c r="BG199" s="1"/>
      <c r="BH199" s="1"/>
      <c r="BI199" s="1"/>
      <c r="BO199" s="1"/>
      <c r="BP199" s="1"/>
      <c r="BQ199" s="1"/>
      <c r="BR199" s="1"/>
      <c r="BS199" s="1"/>
      <c r="BT199" s="1"/>
      <c r="BU199" s="4"/>
    </row>
    <row r="200">
      <c r="A200" s="1"/>
      <c r="M200" s="1"/>
      <c r="Y200" s="1"/>
      <c r="AK200" s="1"/>
      <c r="AQ200" s="1"/>
      <c r="AW200" s="1"/>
      <c r="BC200" s="1"/>
      <c r="BD200" s="1"/>
      <c r="BE200" s="1"/>
      <c r="BF200" s="1"/>
      <c r="BG200" s="1"/>
      <c r="BH200" s="1"/>
      <c r="BI200" s="1"/>
      <c r="BO200" s="1"/>
      <c r="BP200" s="1"/>
      <c r="BQ200" s="1"/>
      <c r="BR200" s="1"/>
      <c r="BS200" s="1"/>
      <c r="BT200" s="1"/>
      <c r="BU200" s="4"/>
    </row>
    <row r="201">
      <c r="A201" s="1"/>
      <c r="M201" s="1"/>
      <c r="Y201" s="1"/>
      <c r="AK201" s="1"/>
      <c r="AQ201" s="1"/>
      <c r="AW201" s="1"/>
      <c r="BC201" s="1"/>
      <c r="BD201" s="1"/>
      <c r="BE201" s="1"/>
      <c r="BF201" s="1"/>
      <c r="BG201" s="1"/>
      <c r="BH201" s="1"/>
      <c r="BI201" s="1"/>
      <c r="BO201" s="1"/>
      <c r="BP201" s="1"/>
      <c r="BQ201" s="1"/>
      <c r="BR201" s="1"/>
      <c r="BS201" s="1"/>
      <c r="BT201" s="1"/>
      <c r="BU201" s="4"/>
    </row>
    <row r="202">
      <c r="A202" s="1"/>
      <c r="M202" s="1"/>
      <c r="Y202" s="1"/>
      <c r="AK202" s="1"/>
      <c r="AQ202" s="1"/>
      <c r="AW202" s="1"/>
      <c r="BC202" s="1"/>
      <c r="BD202" s="1"/>
      <c r="BE202" s="1"/>
      <c r="BF202" s="1"/>
      <c r="BG202" s="1"/>
      <c r="BH202" s="1"/>
      <c r="BI202" s="1"/>
      <c r="BO202" s="1"/>
      <c r="BP202" s="1"/>
      <c r="BQ202" s="1"/>
      <c r="BR202" s="1"/>
      <c r="BS202" s="1"/>
      <c r="BT202" s="1"/>
      <c r="BU202" s="4"/>
    </row>
    <row r="203">
      <c r="A203" s="1"/>
      <c r="M203" s="1"/>
      <c r="Y203" s="1"/>
      <c r="AK203" s="1"/>
      <c r="AQ203" s="1"/>
      <c r="AW203" s="1"/>
      <c r="BC203" s="1"/>
      <c r="BD203" s="1"/>
      <c r="BE203" s="1"/>
      <c r="BF203" s="1"/>
      <c r="BG203" s="1"/>
      <c r="BH203" s="1"/>
      <c r="BI203" s="1"/>
      <c r="BO203" s="1"/>
      <c r="BP203" s="1"/>
      <c r="BQ203" s="1"/>
      <c r="BR203" s="1"/>
      <c r="BS203" s="1"/>
      <c r="BT203" s="1"/>
      <c r="BU203" s="4"/>
    </row>
    <row r="204">
      <c r="A204" s="1"/>
      <c r="M204" s="1"/>
      <c r="Y204" s="1"/>
      <c r="AK204" s="1"/>
      <c r="AQ204" s="1"/>
      <c r="AW204" s="1"/>
      <c r="BC204" s="1"/>
      <c r="BD204" s="1"/>
      <c r="BE204" s="1"/>
      <c r="BF204" s="1"/>
      <c r="BG204" s="1"/>
      <c r="BH204" s="1"/>
      <c r="BI204" s="1"/>
      <c r="BO204" s="1"/>
      <c r="BP204" s="1"/>
      <c r="BQ204" s="1"/>
      <c r="BR204" s="1"/>
      <c r="BS204" s="1"/>
      <c r="BT204" s="1"/>
      <c r="BU204" s="4"/>
    </row>
    <row r="205">
      <c r="A205" s="1"/>
      <c r="M205" s="1"/>
      <c r="Y205" s="1"/>
      <c r="AK205" s="1"/>
      <c r="AQ205" s="1"/>
      <c r="AW205" s="1"/>
      <c r="BC205" s="1"/>
      <c r="BD205" s="1"/>
      <c r="BE205" s="1"/>
      <c r="BF205" s="1"/>
      <c r="BG205" s="1"/>
      <c r="BH205" s="1"/>
      <c r="BI205" s="1"/>
      <c r="BO205" s="1"/>
      <c r="BP205" s="1"/>
      <c r="BQ205" s="1"/>
      <c r="BR205" s="1"/>
      <c r="BS205" s="1"/>
      <c r="BT205" s="1"/>
      <c r="BU205" s="4"/>
    </row>
    <row r="206">
      <c r="A206" s="1"/>
      <c r="M206" s="1"/>
      <c r="Y206" s="1"/>
      <c r="AK206" s="1"/>
      <c r="AQ206" s="1"/>
      <c r="AW206" s="1"/>
      <c r="BC206" s="1"/>
      <c r="BD206" s="1"/>
      <c r="BE206" s="1"/>
      <c r="BF206" s="1"/>
      <c r="BG206" s="1"/>
      <c r="BH206" s="1"/>
      <c r="BI206" s="1"/>
      <c r="BO206" s="1"/>
      <c r="BP206" s="1"/>
      <c r="BQ206" s="1"/>
      <c r="BR206" s="1"/>
      <c r="BS206" s="1"/>
      <c r="BT206" s="1"/>
      <c r="BU206" s="4"/>
    </row>
    <row r="207">
      <c r="A207" s="1"/>
      <c r="M207" s="1"/>
      <c r="Y207" s="1"/>
      <c r="AK207" s="1"/>
      <c r="AQ207" s="1"/>
      <c r="AW207" s="1"/>
      <c r="BC207" s="1"/>
      <c r="BD207" s="1"/>
      <c r="BE207" s="1"/>
      <c r="BF207" s="1"/>
      <c r="BG207" s="1"/>
      <c r="BH207" s="1"/>
      <c r="BI207" s="1"/>
      <c r="BO207" s="1"/>
      <c r="BP207" s="1"/>
      <c r="BQ207" s="1"/>
      <c r="BR207" s="1"/>
      <c r="BS207" s="1"/>
      <c r="BT207" s="1"/>
      <c r="BU207" s="4"/>
    </row>
    <row r="208">
      <c r="A208" s="1"/>
      <c r="M208" s="1"/>
      <c r="Y208" s="1"/>
      <c r="AK208" s="1"/>
      <c r="AQ208" s="1"/>
      <c r="AW208" s="1"/>
      <c r="BC208" s="1"/>
      <c r="BD208" s="1"/>
      <c r="BE208" s="1"/>
      <c r="BF208" s="1"/>
      <c r="BG208" s="1"/>
      <c r="BH208" s="1"/>
      <c r="BI208" s="1"/>
      <c r="BO208" s="1"/>
      <c r="BP208" s="1"/>
      <c r="BQ208" s="1"/>
      <c r="BR208" s="1"/>
      <c r="BS208" s="1"/>
      <c r="BT208" s="1"/>
      <c r="BU208" s="4"/>
    </row>
    <row r="209">
      <c r="A209" s="1"/>
      <c r="M209" s="1"/>
      <c r="Y209" s="1"/>
      <c r="AK209" s="1"/>
      <c r="AQ209" s="1"/>
      <c r="AW209" s="1"/>
      <c r="BC209" s="1"/>
      <c r="BD209" s="1"/>
      <c r="BE209" s="1"/>
      <c r="BF209" s="1"/>
      <c r="BG209" s="1"/>
      <c r="BH209" s="1"/>
      <c r="BI209" s="1"/>
      <c r="BO209" s="1"/>
      <c r="BP209" s="1"/>
      <c r="BQ209" s="1"/>
      <c r="BR209" s="1"/>
      <c r="BS209" s="1"/>
      <c r="BT209" s="1"/>
      <c r="BU209" s="4"/>
    </row>
    <row r="210">
      <c r="A210" s="1"/>
      <c r="M210" s="1"/>
      <c r="Y210" s="1"/>
      <c r="AK210" s="1"/>
      <c r="AQ210" s="1"/>
      <c r="AW210" s="1"/>
      <c r="BC210" s="1"/>
      <c r="BD210" s="1"/>
      <c r="BE210" s="1"/>
      <c r="BF210" s="1"/>
      <c r="BG210" s="1"/>
      <c r="BH210" s="1"/>
      <c r="BI210" s="1"/>
      <c r="BO210" s="1"/>
      <c r="BP210" s="1"/>
      <c r="BQ210" s="1"/>
      <c r="BR210" s="1"/>
      <c r="BS210" s="1"/>
      <c r="BT210" s="1"/>
      <c r="BU210" s="4"/>
    </row>
    <row r="211">
      <c r="A211" s="1"/>
      <c r="M211" s="1"/>
      <c r="Y211" s="1"/>
      <c r="AK211" s="1"/>
      <c r="AQ211" s="1"/>
      <c r="AW211" s="1"/>
      <c r="BC211" s="1"/>
      <c r="BD211" s="1"/>
      <c r="BE211" s="1"/>
      <c r="BF211" s="1"/>
      <c r="BG211" s="1"/>
      <c r="BH211" s="1"/>
      <c r="BI211" s="1"/>
      <c r="BO211" s="1"/>
      <c r="BP211" s="1"/>
      <c r="BQ211" s="1"/>
      <c r="BR211" s="1"/>
      <c r="BS211" s="1"/>
      <c r="BT211" s="1"/>
      <c r="BU211" s="4"/>
    </row>
    <row r="212">
      <c r="A212" s="1"/>
      <c r="M212" s="1"/>
      <c r="Y212" s="1"/>
      <c r="AK212" s="1"/>
      <c r="AQ212" s="1"/>
      <c r="AW212" s="1"/>
      <c r="BC212" s="1"/>
      <c r="BD212" s="1"/>
      <c r="BE212" s="1"/>
      <c r="BF212" s="1"/>
      <c r="BG212" s="1"/>
      <c r="BH212" s="1"/>
      <c r="BI212" s="1"/>
      <c r="BO212" s="1"/>
      <c r="BP212" s="1"/>
      <c r="BQ212" s="1"/>
      <c r="BR212" s="1"/>
      <c r="BS212" s="1"/>
      <c r="BT212" s="1"/>
      <c r="BU212" s="4"/>
    </row>
    <row r="213">
      <c r="A213" s="1"/>
      <c r="M213" s="1"/>
      <c r="Y213" s="1"/>
      <c r="AK213" s="1"/>
      <c r="AQ213" s="1"/>
      <c r="AW213" s="1"/>
      <c r="BC213" s="1"/>
      <c r="BD213" s="1"/>
      <c r="BE213" s="1"/>
      <c r="BF213" s="1"/>
      <c r="BG213" s="1"/>
      <c r="BH213" s="1"/>
      <c r="BI213" s="1"/>
      <c r="BO213" s="1"/>
      <c r="BP213" s="1"/>
      <c r="BQ213" s="1"/>
      <c r="BR213" s="1"/>
      <c r="BS213" s="1"/>
      <c r="BT213" s="1"/>
      <c r="BU213" s="4"/>
    </row>
    <row r="214">
      <c r="A214" s="1"/>
      <c r="M214" s="1"/>
      <c r="Y214" s="1"/>
      <c r="AK214" s="1"/>
      <c r="AQ214" s="1"/>
      <c r="AW214" s="1"/>
      <c r="BC214" s="1"/>
      <c r="BD214" s="1"/>
      <c r="BE214" s="1"/>
      <c r="BF214" s="1"/>
      <c r="BG214" s="1"/>
      <c r="BH214" s="1"/>
      <c r="BI214" s="1"/>
      <c r="BO214" s="1"/>
      <c r="BP214" s="1"/>
      <c r="BQ214" s="1"/>
      <c r="BR214" s="1"/>
      <c r="BS214" s="1"/>
      <c r="BT214" s="1"/>
      <c r="BU214" s="4"/>
    </row>
    <row r="215">
      <c r="A215" s="1"/>
      <c r="M215" s="1"/>
      <c r="Y215" s="1"/>
      <c r="AK215" s="1"/>
      <c r="AQ215" s="1"/>
      <c r="AW215" s="1"/>
      <c r="BC215" s="1"/>
      <c r="BD215" s="1"/>
      <c r="BE215" s="1"/>
      <c r="BF215" s="1"/>
      <c r="BG215" s="1"/>
      <c r="BH215" s="1"/>
      <c r="BI215" s="1"/>
      <c r="BO215" s="1"/>
      <c r="BP215" s="1"/>
      <c r="BQ215" s="1"/>
      <c r="BR215" s="1"/>
      <c r="BS215" s="1"/>
      <c r="BT215" s="1"/>
      <c r="BU215" s="4"/>
    </row>
    <row r="216">
      <c r="A216" s="1"/>
      <c r="M216" s="1"/>
      <c r="Y216" s="1"/>
      <c r="AK216" s="1"/>
      <c r="AQ216" s="1"/>
      <c r="AW216" s="1"/>
      <c r="BC216" s="1"/>
      <c r="BD216" s="1"/>
      <c r="BE216" s="1"/>
      <c r="BF216" s="1"/>
      <c r="BG216" s="1"/>
      <c r="BH216" s="1"/>
      <c r="BI216" s="1"/>
      <c r="BO216" s="1"/>
      <c r="BP216" s="1"/>
      <c r="BQ216" s="1"/>
      <c r="BR216" s="1"/>
      <c r="BS216" s="1"/>
      <c r="BT216" s="1"/>
      <c r="BU216" s="4"/>
    </row>
    <row r="217">
      <c r="A217" s="1"/>
      <c r="M217" s="1"/>
      <c r="Y217" s="1"/>
      <c r="AK217" s="1"/>
      <c r="AQ217" s="1"/>
      <c r="AW217" s="1"/>
      <c r="BC217" s="1"/>
      <c r="BD217" s="1"/>
      <c r="BE217" s="1"/>
      <c r="BF217" s="1"/>
      <c r="BG217" s="1"/>
      <c r="BH217" s="1"/>
      <c r="BI217" s="1"/>
      <c r="BO217" s="1"/>
      <c r="BP217" s="1"/>
      <c r="BQ217" s="1"/>
      <c r="BR217" s="1"/>
      <c r="BS217" s="1"/>
      <c r="BT217" s="1"/>
      <c r="BU217" s="4"/>
    </row>
    <row r="218">
      <c r="A218" s="1"/>
      <c r="M218" s="1"/>
      <c r="Y218" s="1"/>
      <c r="AK218" s="1"/>
      <c r="AQ218" s="1"/>
      <c r="AW218" s="1"/>
      <c r="BC218" s="1"/>
      <c r="BD218" s="1"/>
      <c r="BE218" s="1"/>
      <c r="BF218" s="1"/>
      <c r="BG218" s="1"/>
      <c r="BH218" s="1"/>
      <c r="BI218" s="1"/>
      <c r="BO218" s="1"/>
      <c r="BP218" s="1"/>
      <c r="BQ218" s="1"/>
      <c r="BR218" s="1"/>
      <c r="BS218" s="1"/>
      <c r="BT218" s="1"/>
      <c r="BU218" s="4"/>
    </row>
    <row r="219">
      <c r="A219" s="1"/>
      <c r="M219" s="1"/>
      <c r="Y219" s="1"/>
      <c r="AK219" s="1"/>
      <c r="AQ219" s="1"/>
      <c r="AW219" s="1"/>
      <c r="BC219" s="1"/>
      <c r="BD219" s="1"/>
      <c r="BE219" s="1"/>
      <c r="BF219" s="1"/>
      <c r="BG219" s="1"/>
      <c r="BH219" s="1"/>
      <c r="BI219" s="1"/>
      <c r="BO219" s="1"/>
      <c r="BP219" s="1"/>
      <c r="BQ219" s="1"/>
      <c r="BR219" s="1"/>
      <c r="BS219" s="1"/>
      <c r="BT219" s="1"/>
      <c r="BU219" s="4"/>
    </row>
    <row r="220">
      <c r="A220" s="1"/>
      <c r="M220" s="1"/>
      <c r="Y220" s="1"/>
      <c r="AK220" s="1"/>
      <c r="AQ220" s="1"/>
      <c r="AW220" s="1"/>
      <c r="BC220" s="1"/>
      <c r="BD220" s="1"/>
      <c r="BE220" s="1"/>
      <c r="BF220" s="1"/>
      <c r="BG220" s="1"/>
      <c r="BH220" s="1"/>
      <c r="BI220" s="1"/>
      <c r="BO220" s="1"/>
      <c r="BP220" s="1"/>
      <c r="BQ220" s="1"/>
      <c r="BR220" s="1"/>
      <c r="BS220" s="1"/>
      <c r="BT220" s="1"/>
      <c r="BU220" s="4"/>
    </row>
    <row r="221">
      <c r="A221" s="1"/>
      <c r="M221" s="1"/>
      <c r="Y221" s="1"/>
      <c r="AK221" s="1"/>
      <c r="AQ221" s="1"/>
      <c r="AW221" s="1"/>
      <c r="BC221" s="1"/>
      <c r="BD221" s="1"/>
      <c r="BE221" s="1"/>
      <c r="BF221" s="1"/>
      <c r="BG221" s="1"/>
      <c r="BH221" s="1"/>
      <c r="BI221" s="1"/>
      <c r="BO221" s="1"/>
      <c r="BP221" s="1"/>
      <c r="BQ221" s="1"/>
      <c r="BR221" s="1"/>
      <c r="BS221" s="1"/>
      <c r="BT221" s="1"/>
      <c r="BU221" s="4"/>
    </row>
    <row r="222">
      <c r="A222" s="1"/>
      <c r="M222" s="1"/>
      <c r="Y222" s="1"/>
      <c r="AK222" s="1"/>
      <c r="AQ222" s="1"/>
      <c r="AW222" s="1"/>
      <c r="BC222" s="1"/>
      <c r="BD222" s="1"/>
      <c r="BE222" s="1"/>
      <c r="BF222" s="1"/>
      <c r="BG222" s="1"/>
      <c r="BH222" s="1"/>
      <c r="BI222" s="1"/>
      <c r="BO222" s="1"/>
      <c r="BP222" s="1"/>
      <c r="BQ222" s="1"/>
      <c r="BR222" s="1"/>
      <c r="BS222" s="1"/>
      <c r="BT222" s="1"/>
      <c r="BU222" s="4"/>
    </row>
    <row r="223">
      <c r="A223" s="1"/>
      <c r="M223" s="1"/>
      <c r="Y223" s="1"/>
      <c r="AK223" s="1"/>
      <c r="AQ223" s="1"/>
      <c r="AW223" s="1"/>
      <c r="BC223" s="1"/>
      <c r="BD223" s="1"/>
      <c r="BE223" s="1"/>
      <c r="BF223" s="1"/>
      <c r="BG223" s="1"/>
      <c r="BH223" s="1"/>
      <c r="BI223" s="1"/>
      <c r="BO223" s="1"/>
      <c r="BP223" s="1"/>
      <c r="BQ223" s="1"/>
      <c r="BR223" s="1"/>
      <c r="BS223" s="1"/>
      <c r="BT223" s="1"/>
      <c r="BU223" s="4"/>
    </row>
    <row r="224">
      <c r="A224" s="1"/>
      <c r="M224" s="1"/>
      <c r="Y224" s="1"/>
      <c r="AK224" s="1"/>
      <c r="AQ224" s="1"/>
      <c r="AW224" s="1"/>
      <c r="BC224" s="1"/>
      <c r="BD224" s="1"/>
      <c r="BE224" s="1"/>
      <c r="BF224" s="1"/>
      <c r="BG224" s="1"/>
      <c r="BH224" s="1"/>
      <c r="BI224" s="1"/>
      <c r="BO224" s="1"/>
      <c r="BP224" s="1"/>
      <c r="BQ224" s="1"/>
      <c r="BR224" s="1"/>
      <c r="BS224" s="1"/>
      <c r="BT224" s="1"/>
      <c r="BU224" s="4"/>
    </row>
    <row r="225">
      <c r="A225" s="1"/>
      <c r="M225" s="1"/>
      <c r="Y225" s="1"/>
      <c r="AK225" s="1"/>
      <c r="AQ225" s="1"/>
      <c r="AW225" s="1"/>
      <c r="BC225" s="1"/>
      <c r="BD225" s="1"/>
      <c r="BE225" s="1"/>
      <c r="BF225" s="1"/>
      <c r="BG225" s="1"/>
      <c r="BH225" s="1"/>
      <c r="BI225" s="1"/>
      <c r="BO225" s="1"/>
      <c r="BP225" s="1"/>
      <c r="BQ225" s="1"/>
      <c r="BR225" s="1"/>
      <c r="BS225" s="1"/>
      <c r="BT225" s="1"/>
      <c r="BU225" s="4"/>
    </row>
    <row r="226">
      <c r="A226" s="1"/>
      <c r="M226" s="1"/>
      <c r="Y226" s="1"/>
      <c r="AK226" s="1"/>
      <c r="AQ226" s="1"/>
      <c r="AW226" s="1"/>
      <c r="BC226" s="1"/>
      <c r="BD226" s="1"/>
      <c r="BE226" s="1"/>
      <c r="BF226" s="1"/>
      <c r="BG226" s="1"/>
      <c r="BH226" s="1"/>
      <c r="BI226" s="1"/>
      <c r="BO226" s="1"/>
      <c r="BP226" s="1"/>
      <c r="BQ226" s="1"/>
      <c r="BR226" s="1"/>
      <c r="BS226" s="1"/>
      <c r="BT226" s="1"/>
      <c r="BU226" s="4"/>
    </row>
    <row r="227">
      <c r="A227" s="1"/>
      <c r="M227" s="1"/>
      <c r="Y227" s="1"/>
      <c r="AK227" s="1"/>
      <c r="AQ227" s="1"/>
      <c r="AW227" s="1"/>
      <c r="BC227" s="1"/>
      <c r="BD227" s="1"/>
      <c r="BE227" s="1"/>
      <c r="BF227" s="1"/>
      <c r="BG227" s="1"/>
      <c r="BH227" s="1"/>
      <c r="BI227" s="1"/>
      <c r="BO227" s="1"/>
      <c r="BP227" s="1"/>
      <c r="BQ227" s="1"/>
      <c r="BR227" s="1"/>
      <c r="BS227" s="1"/>
      <c r="BT227" s="1"/>
      <c r="BU227" s="4"/>
    </row>
    <row r="228">
      <c r="A228" s="1"/>
      <c r="M228" s="1"/>
      <c r="Y228" s="1"/>
      <c r="AK228" s="1"/>
      <c r="AQ228" s="1"/>
      <c r="AW228" s="1"/>
      <c r="BC228" s="1"/>
      <c r="BD228" s="1"/>
      <c r="BE228" s="1"/>
      <c r="BF228" s="1"/>
      <c r="BG228" s="1"/>
      <c r="BH228" s="1"/>
      <c r="BI228" s="1"/>
      <c r="BO228" s="1"/>
      <c r="BP228" s="1"/>
      <c r="BQ228" s="1"/>
      <c r="BR228" s="1"/>
      <c r="BS228" s="1"/>
      <c r="BT228" s="1"/>
      <c r="BU228" s="4"/>
    </row>
    <row r="229">
      <c r="A229" s="1"/>
      <c r="M229" s="1"/>
      <c r="Y229" s="1"/>
      <c r="AK229" s="1"/>
      <c r="AQ229" s="1"/>
      <c r="AW229" s="1"/>
      <c r="BC229" s="1"/>
      <c r="BD229" s="1"/>
      <c r="BE229" s="1"/>
      <c r="BF229" s="1"/>
      <c r="BG229" s="1"/>
      <c r="BH229" s="1"/>
      <c r="BI229" s="1"/>
      <c r="BO229" s="1"/>
      <c r="BP229" s="1"/>
      <c r="BQ229" s="1"/>
      <c r="BR229" s="1"/>
      <c r="BS229" s="1"/>
      <c r="BT229" s="1"/>
      <c r="BU229" s="4"/>
    </row>
    <row r="230">
      <c r="A230" s="1"/>
      <c r="M230" s="1"/>
      <c r="Y230" s="1"/>
      <c r="AK230" s="1"/>
      <c r="AQ230" s="1"/>
      <c r="AW230" s="1"/>
      <c r="BC230" s="1"/>
      <c r="BD230" s="1"/>
      <c r="BE230" s="1"/>
      <c r="BF230" s="1"/>
      <c r="BG230" s="1"/>
      <c r="BH230" s="1"/>
      <c r="BI230" s="1"/>
      <c r="BO230" s="1"/>
      <c r="BP230" s="1"/>
      <c r="BQ230" s="1"/>
      <c r="BR230" s="1"/>
      <c r="BS230" s="1"/>
      <c r="BT230" s="1"/>
      <c r="BU230" s="4"/>
    </row>
    <row r="231">
      <c r="A231" s="1"/>
      <c r="M231" s="1"/>
      <c r="Y231" s="1"/>
      <c r="AK231" s="1"/>
      <c r="AQ231" s="1"/>
      <c r="AW231" s="1"/>
      <c r="BC231" s="1"/>
      <c r="BD231" s="1"/>
      <c r="BE231" s="1"/>
      <c r="BF231" s="1"/>
      <c r="BG231" s="1"/>
      <c r="BH231" s="1"/>
      <c r="BI231" s="1"/>
      <c r="BO231" s="1"/>
      <c r="BP231" s="1"/>
      <c r="BQ231" s="1"/>
      <c r="BR231" s="1"/>
      <c r="BS231" s="1"/>
      <c r="BT231" s="1"/>
      <c r="BU231" s="4"/>
    </row>
    <row r="232">
      <c r="A232" s="1"/>
      <c r="M232" s="1"/>
      <c r="Y232" s="1"/>
      <c r="AK232" s="1"/>
      <c r="AQ232" s="1"/>
      <c r="AW232" s="1"/>
      <c r="BC232" s="1"/>
      <c r="BD232" s="1"/>
      <c r="BE232" s="1"/>
      <c r="BF232" s="1"/>
      <c r="BG232" s="1"/>
      <c r="BH232" s="1"/>
      <c r="BI232" s="1"/>
      <c r="BO232" s="1"/>
      <c r="BP232" s="1"/>
      <c r="BQ232" s="1"/>
      <c r="BR232" s="1"/>
      <c r="BS232" s="1"/>
      <c r="BT232" s="1"/>
      <c r="BU232" s="4"/>
    </row>
    <row r="233">
      <c r="A233" s="1"/>
      <c r="M233" s="1"/>
      <c r="Y233" s="1"/>
      <c r="AK233" s="1"/>
      <c r="AQ233" s="1"/>
      <c r="AW233" s="1"/>
      <c r="BC233" s="1"/>
      <c r="BD233" s="1"/>
      <c r="BE233" s="1"/>
      <c r="BF233" s="1"/>
      <c r="BG233" s="1"/>
      <c r="BH233" s="1"/>
      <c r="BI233" s="1"/>
      <c r="BO233" s="1"/>
      <c r="BP233" s="1"/>
      <c r="BQ233" s="1"/>
      <c r="BR233" s="1"/>
      <c r="BS233" s="1"/>
      <c r="BT233" s="1"/>
      <c r="BU233" s="4"/>
    </row>
    <row r="234">
      <c r="A234" s="1"/>
      <c r="M234" s="1"/>
      <c r="Y234" s="1"/>
      <c r="AK234" s="1"/>
      <c r="AQ234" s="1"/>
      <c r="AW234" s="1"/>
      <c r="BC234" s="1"/>
      <c r="BD234" s="1"/>
      <c r="BE234" s="1"/>
      <c r="BF234" s="1"/>
      <c r="BG234" s="1"/>
      <c r="BH234" s="1"/>
      <c r="BI234" s="1"/>
      <c r="BO234" s="1"/>
      <c r="BP234" s="1"/>
      <c r="BQ234" s="1"/>
      <c r="BR234" s="1"/>
      <c r="BS234" s="1"/>
      <c r="BT234" s="1"/>
      <c r="BU234" s="4"/>
    </row>
    <row r="235">
      <c r="A235" s="1"/>
      <c r="M235" s="1"/>
      <c r="Y235" s="1"/>
      <c r="AK235" s="1"/>
      <c r="AQ235" s="1"/>
      <c r="AW235" s="1"/>
      <c r="BC235" s="1"/>
      <c r="BD235" s="1"/>
      <c r="BE235" s="1"/>
      <c r="BF235" s="1"/>
      <c r="BG235" s="1"/>
      <c r="BH235" s="1"/>
      <c r="BI235" s="1"/>
      <c r="BO235" s="1"/>
      <c r="BP235" s="1"/>
      <c r="BQ235" s="1"/>
      <c r="BR235" s="1"/>
      <c r="BS235" s="1"/>
      <c r="BT235" s="1"/>
      <c r="BU235" s="4"/>
    </row>
    <row r="236">
      <c r="A236" s="1"/>
      <c r="M236" s="1"/>
      <c r="Y236" s="1"/>
      <c r="AK236" s="1"/>
      <c r="AQ236" s="1"/>
      <c r="AW236" s="1"/>
      <c r="BC236" s="1"/>
      <c r="BD236" s="1"/>
      <c r="BE236" s="1"/>
      <c r="BF236" s="1"/>
      <c r="BG236" s="1"/>
      <c r="BH236" s="1"/>
      <c r="BI236" s="1"/>
      <c r="BO236" s="1"/>
      <c r="BP236" s="1"/>
      <c r="BQ236" s="1"/>
      <c r="BR236" s="1"/>
      <c r="BS236" s="1"/>
      <c r="BT236" s="1"/>
      <c r="BU236" s="4"/>
    </row>
    <row r="237">
      <c r="A237" s="1"/>
      <c r="M237" s="1"/>
      <c r="Y237" s="1"/>
      <c r="AK237" s="1"/>
      <c r="AQ237" s="1"/>
      <c r="AW237" s="1"/>
      <c r="BC237" s="1"/>
      <c r="BD237" s="1"/>
      <c r="BE237" s="1"/>
      <c r="BF237" s="1"/>
      <c r="BG237" s="1"/>
      <c r="BH237" s="1"/>
      <c r="BI237" s="1"/>
      <c r="BO237" s="1"/>
      <c r="BP237" s="1"/>
      <c r="BQ237" s="1"/>
      <c r="BR237" s="1"/>
      <c r="BS237" s="1"/>
      <c r="BT237" s="1"/>
      <c r="BU237" s="4"/>
    </row>
    <row r="238">
      <c r="A238" s="1"/>
      <c r="M238" s="1"/>
      <c r="Y238" s="1"/>
      <c r="AK238" s="1"/>
      <c r="AQ238" s="1"/>
      <c r="AW238" s="1"/>
      <c r="BC238" s="1"/>
      <c r="BD238" s="1"/>
      <c r="BE238" s="1"/>
      <c r="BF238" s="1"/>
      <c r="BG238" s="1"/>
      <c r="BH238" s="1"/>
      <c r="BI238" s="1"/>
      <c r="BO238" s="1"/>
      <c r="BP238" s="1"/>
      <c r="BQ238" s="1"/>
      <c r="BR238" s="1"/>
      <c r="BS238" s="1"/>
      <c r="BT238" s="1"/>
      <c r="BU238" s="4"/>
    </row>
    <row r="239">
      <c r="A239" s="1"/>
      <c r="M239" s="1"/>
      <c r="Y239" s="1"/>
      <c r="AK239" s="1"/>
      <c r="AQ239" s="1"/>
      <c r="AW239" s="1"/>
      <c r="BC239" s="1"/>
      <c r="BD239" s="1"/>
      <c r="BE239" s="1"/>
      <c r="BF239" s="1"/>
      <c r="BG239" s="1"/>
      <c r="BH239" s="1"/>
      <c r="BI239" s="1"/>
      <c r="BO239" s="1"/>
      <c r="BP239" s="1"/>
      <c r="BQ239" s="1"/>
      <c r="BR239" s="1"/>
      <c r="BS239" s="1"/>
      <c r="BT239" s="1"/>
      <c r="BU239" s="4"/>
    </row>
    <row r="240">
      <c r="A240" s="1"/>
      <c r="M240" s="1"/>
      <c r="Y240" s="1"/>
      <c r="AK240" s="1"/>
      <c r="AQ240" s="1"/>
      <c r="AW240" s="1"/>
      <c r="BC240" s="1"/>
      <c r="BD240" s="1"/>
      <c r="BE240" s="1"/>
      <c r="BF240" s="1"/>
      <c r="BG240" s="1"/>
      <c r="BH240" s="1"/>
      <c r="BI240" s="1"/>
      <c r="BO240" s="1"/>
      <c r="BP240" s="1"/>
      <c r="BQ240" s="1"/>
      <c r="BR240" s="1"/>
      <c r="BS240" s="1"/>
      <c r="BT240" s="1"/>
      <c r="BU240" s="4"/>
    </row>
    <row r="241">
      <c r="A241" s="1"/>
      <c r="M241" s="1"/>
      <c r="Y241" s="1"/>
      <c r="AK241" s="1"/>
      <c r="AQ241" s="1"/>
      <c r="AW241" s="1"/>
      <c r="BC241" s="1"/>
      <c r="BD241" s="1"/>
      <c r="BE241" s="1"/>
      <c r="BF241" s="1"/>
      <c r="BG241" s="1"/>
      <c r="BH241" s="1"/>
      <c r="BI241" s="1"/>
      <c r="BO241" s="1"/>
      <c r="BP241" s="1"/>
      <c r="BQ241" s="1"/>
      <c r="BR241" s="1"/>
      <c r="BS241" s="1"/>
      <c r="BT241" s="1"/>
      <c r="BU241" s="4"/>
    </row>
    <row r="242">
      <c r="A242" s="1"/>
      <c r="M242" s="1"/>
      <c r="Y242" s="1"/>
      <c r="AK242" s="1"/>
      <c r="AQ242" s="1"/>
      <c r="AW242" s="1"/>
      <c r="BC242" s="1"/>
      <c r="BD242" s="1"/>
      <c r="BE242" s="1"/>
      <c r="BF242" s="1"/>
      <c r="BG242" s="1"/>
      <c r="BH242" s="1"/>
      <c r="BI242" s="1"/>
      <c r="BO242" s="1"/>
      <c r="BP242" s="1"/>
      <c r="BQ242" s="1"/>
      <c r="BR242" s="1"/>
      <c r="BS242" s="1"/>
      <c r="BT242" s="1"/>
      <c r="BU242" s="4"/>
    </row>
    <row r="243">
      <c r="A243" s="1"/>
      <c r="M243" s="1"/>
      <c r="Y243" s="1"/>
      <c r="AK243" s="1"/>
      <c r="AQ243" s="1"/>
      <c r="AW243" s="1"/>
      <c r="BC243" s="1"/>
      <c r="BD243" s="1"/>
      <c r="BE243" s="1"/>
      <c r="BF243" s="1"/>
      <c r="BG243" s="1"/>
      <c r="BH243" s="1"/>
      <c r="BI243" s="1"/>
      <c r="BO243" s="1"/>
      <c r="BP243" s="1"/>
      <c r="BQ243" s="1"/>
      <c r="BR243" s="1"/>
      <c r="BS243" s="1"/>
      <c r="BT243" s="1"/>
      <c r="BU243" s="4"/>
    </row>
    <row r="244">
      <c r="A244" s="1"/>
      <c r="M244" s="1"/>
      <c r="Y244" s="1"/>
      <c r="AK244" s="1"/>
      <c r="AQ244" s="1"/>
      <c r="AW244" s="1"/>
      <c r="BC244" s="1"/>
      <c r="BD244" s="1"/>
      <c r="BE244" s="1"/>
      <c r="BF244" s="1"/>
      <c r="BG244" s="1"/>
      <c r="BH244" s="1"/>
      <c r="BI244" s="1"/>
      <c r="BO244" s="1"/>
      <c r="BP244" s="1"/>
      <c r="BQ244" s="1"/>
      <c r="BR244" s="1"/>
      <c r="BS244" s="1"/>
      <c r="BT244" s="1"/>
      <c r="BU244" s="4"/>
    </row>
    <row r="245">
      <c r="A245" s="1"/>
      <c r="M245" s="1"/>
      <c r="Y245" s="1"/>
      <c r="AK245" s="1"/>
      <c r="AQ245" s="1"/>
      <c r="AW245" s="1"/>
      <c r="BC245" s="1"/>
      <c r="BD245" s="1"/>
      <c r="BE245" s="1"/>
      <c r="BF245" s="1"/>
      <c r="BG245" s="1"/>
      <c r="BH245" s="1"/>
      <c r="BI245" s="1"/>
      <c r="BO245" s="1"/>
      <c r="BP245" s="1"/>
      <c r="BQ245" s="1"/>
      <c r="BR245" s="1"/>
      <c r="BS245" s="1"/>
      <c r="BT245" s="1"/>
      <c r="BU245" s="4"/>
    </row>
    <row r="246">
      <c r="A246" s="1"/>
      <c r="M246" s="1"/>
      <c r="Y246" s="1"/>
      <c r="AK246" s="1"/>
      <c r="AQ246" s="1"/>
      <c r="AW246" s="1"/>
      <c r="BC246" s="1"/>
      <c r="BD246" s="1"/>
      <c r="BE246" s="1"/>
      <c r="BF246" s="1"/>
      <c r="BG246" s="1"/>
      <c r="BH246" s="1"/>
      <c r="BI246" s="1"/>
      <c r="BO246" s="1"/>
      <c r="BP246" s="1"/>
      <c r="BQ246" s="1"/>
      <c r="BR246" s="1"/>
      <c r="BS246" s="1"/>
      <c r="BT246" s="1"/>
      <c r="BU246" s="4"/>
    </row>
    <row r="247">
      <c r="A247" s="1"/>
      <c r="M247" s="1"/>
      <c r="Y247" s="1"/>
      <c r="AK247" s="1"/>
      <c r="AQ247" s="1"/>
      <c r="AW247" s="1"/>
      <c r="BC247" s="1"/>
      <c r="BD247" s="1"/>
      <c r="BE247" s="1"/>
      <c r="BF247" s="1"/>
      <c r="BG247" s="1"/>
      <c r="BH247" s="1"/>
      <c r="BI247" s="1"/>
      <c r="BO247" s="1"/>
      <c r="BP247" s="1"/>
      <c r="BQ247" s="1"/>
      <c r="BR247" s="1"/>
      <c r="BS247" s="1"/>
      <c r="BT247" s="1"/>
      <c r="BU247" s="4"/>
    </row>
    <row r="248">
      <c r="A248" s="1"/>
      <c r="M248" s="1"/>
      <c r="Y248" s="1"/>
      <c r="AK248" s="1"/>
      <c r="AQ248" s="1"/>
      <c r="AW248" s="1"/>
      <c r="BC248" s="1"/>
      <c r="BD248" s="1"/>
      <c r="BE248" s="1"/>
      <c r="BF248" s="1"/>
      <c r="BG248" s="1"/>
      <c r="BH248" s="1"/>
      <c r="BI248" s="1"/>
      <c r="BO248" s="1"/>
      <c r="BP248" s="1"/>
      <c r="BQ248" s="1"/>
      <c r="BR248" s="1"/>
      <c r="BS248" s="1"/>
      <c r="BT248" s="1"/>
      <c r="BU248" s="4"/>
    </row>
    <row r="249">
      <c r="A249" s="1"/>
      <c r="M249" s="1"/>
      <c r="Y249" s="1"/>
      <c r="AK249" s="1"/>
      <c r="AQ249" s="1"/>
      <c r="AW249" s="1"/>
      <c r="BC249" s="1"/>
      <c r="BD249" s="1"/>
      <c r="BE249" s="1"/>
      <c r="BF249" s="1"/>
      <c r="BG249" s="1"/>
      <c r="BH249" s="1"/>
      <c r="BI249" s="1"/>
      <c r="BO249" s="1"/>
      <c r="BP249" s="1"/>
      <c r="BQ249" s="1"/>
      <c r="BR249" s="1"/>
      <c r="BS249" s="1"/>
      <c r="BT249" s="1"/>
      <c r="BU249" s="4"/>
    </row>
    <row r="250">
      <c r="A250" s="1"/>
      <c r="M250" s="1"/>
      <c r="Y250" s="1"/>
      <c r="AK250" s="1"/>
      <c r="AQ250" s="1"/>
      <c r="AW250" s="1"/>
      <c r="BC250" s="1"/>
      <c r="BD250" s="1"/>
      <c r="BE250" s="1"/>
      <c r="BF250" s="1"/>
      <c r="BG250" s="1"/>
      <c r="BH250" s="1"/>
      <c r="BI250" s="1"/>
      <c r="BO250" s="1"/>
      <c r="BP250" s="1"/>
      <c r="BQ250" s="1"/>
      <c r="BR250" s="1"/>
      <c r="BS250" s="1"/>
      <c r="BT250" s="1"/>
      <c r="BU250" s="4"/>
    </row>
    <row r="251">
      <c r="A251" s="1"/>
      <c r="M251" s="1"/>
      <c r="Y251" s="1"/>
      <c r="AK251" s="1"/>
      <c r="AQ251" s="1"/>
      <c r="AW251" s="1"/>
      <c r="BC251" s="1"/>
      <c r="BD251" s="1"/>
      <c r="BE251" s="1"/>
      <c r="BF251" s="1"/>
      <c r="BG251" s="1"/>
      <c r="BH251" s="1"/>
      <c r="BI251" s="1"/>
      <c r="BO251" s="1"/>
      <c r="BP251" s="1"/>
      <c r="BQ251" s="1"/>
      <c r="BR251" s="1"/>
      <c r="BS251" s="1"/>
      <c r="BT251" s="1"/>
      <c r="BU251" s="4"/>
    </row>
    <row r="252">
      <c r="A252" s="1"/>
      <c r="M252" s="1"/>
      <c r="Y252" s="1"/>
      <c r="AK252" s="1"/>
      <c r="AQ252" s="1"/>
      <c r="AW252" s="1"/>
      <c r="BC252" s="1"/>
      <c r="BD252" s="1"/>
      <c r="BE252" s="1"/>
      <c r="BF252" s="1"/>
      <c r="BG252" s="1"/>
      <c r="BH252" s="1"/>
      <c r="BI252" s="1"/>
      <c r="BO252" s="1"/>
      <c r="BP252" s="1"/>
      <c r="BQ252" s="1"/>
      <c r="BR252" s="1"/>
      <c r="BS252" s="1"/>
      <c r="BT252" s="1"/>
      <c r="BU252" s="4"/>
    </row>
    <row r="253">
      <c r="A253" s="1"/>
      <c r="M253" s="1"/>
      <c r="Y253" s="1"/>
      <c r="AK253" s="1"/>
      <c r="AQ253" s="1"/>
      <c r="AW253" s="1"/>
      <c r="BC253" s="1"/>
      <c r="BD253" s="1"/>
      <c r="BE253" s="1"/>
      <c r="BF253" s="1"/>
      <c r="BG253" s="1"/>
      <c r="BH253" s="1"/>
      <c r="BI253" s="1"/>
      <c r="BO253" s="1"/>
      <c r="BP253" s="1"/>
      <c r="BQ253" s="1"/>
      <c r="BR253" s="1"/>
      <c r="BS253" s="1"/>
      <c r="BT253" s="1"/>
      <c r="BU253" s="4"/>
    </row>
    <row r="254">
      <c r="A254" s="1"/>
      <c r="M254" s="1"/>
      <c r="Y254" s="1"/>
      <c r="AK254" s="1"/>
      <c r="AQ254" s="1"/>
      <c r="AW254" s="1"/>
      <c r="BC254" s="1"/>
      <c r="BD254" s="1"/>
      <c r="BE254" s="1"/>
      <c r="BF254" s="1"/>
      <c r="BG254" s="1"/>
      <c r="BH254" s="1"/>
      <c r="BI254" s="1"/>
      <c r="BO254" s="1"/>
      <c r="BP254" s="1"/>
      <c r="BQ254" s="1"/>
      <c r="BR254" s="1"/>
      <c r="BS254" s="1"/>
      <c r="BT254" s="1"/>
      <c r="BU254" s="4"/>
    </row>
    <row r="255">
      <c r="A255" s="1"/>
      <c r="M255" s="1"/>
      <c r="Y255" s="1"/>
      <c r="AK255" s="1"/>
      <c r="AQ255" s="1"/>
      <c r="AW255" s="1"/>
      <c r="BC255" s="1"/>
      <c r="BD255" s="1"/>
      <c r="BE255" s="1"/>
      <c r="BF255" s="1"/>
      <c r="BG255" s="1"/>
      <c r="BH255" s="1"/>
      <c r="BI255" s="1"/>
      <c r="BO255" s="1"/>
      <c r="BP255" s="1"/>
      <c r="BQ255" s="1"/>
      <c r="BR255" s="1"/>
      <c r="BS255" s="1"/>
      <c r="BT255" s="1"/>
      <c r="BU255" s="4"/>
    </row>
    <row r="256">
      <c r="A256" s="1"/>
      <c r="M256" s="1"/>
      <c r="Y256" s="1"/>
      <c r="AK256" s="1"/>
      <c r="AQ256" s="1"/>
      <c r="AW256" s="1"/>
      <c r="BC256" s="1"/>
      <c r="BD256" s="1"/>
      <c r="BE256" s="1"/>
      <c r="BF256" s="1"/>
      <c r="BG256" s="1"/>
      <c r="BH256" s="1"/>
      <c r="BI256" s="1"/>
      <c r="BO256" s="1"/>
      <c r="BP256" s="1"/>
      <c r="BQ256" s="1"/>
      <c r="BR256" s="1"/>
      <c r="BS256" s="1"/>
      <c r="BT256" s="1"/>
      <c r="BU256" s="4"/>
    </row>
    <row r="257">
      <c r="A257" s="1"/>
      <c r="M257" s="1"/>
      <c r="Y257" s="1"/>
      <c r="AK257" s="1"/>
      <c r="AQ257" s="1"/>
      <c r="AW257" s="1"/>
      <c r="BC257" s="1"/>
      <c r="BD257" s="1"/>
      <c r="BE257" s="1"/>
      <c r="BF257" s="1"/>
      <c r="BG257" s="1"/>
      <c r="BH257" s="1"/>
      <c r="BI257" s="1"/>
      <c r="BO257" s="1"/>
      <c r="BP257" s="1"/>
      <c r="BQ257" s="1"/>
      <c r="BR257" s="1"/>
      <c r="BS257" s="1"/>
      <c r="BT257" s="1"/>
      <c r="BU257" s="4"/>
    </row>
    <row r="258">
      <c r="A258" s="1"/>
      <c r="M258" s="1"/>
      <c r="Y258" s="1"/>
      <c r="AK258" s="1"/>
      <c r="AQ258" s="1"/>
      <c r="AW258" s="1"/>
      <c r="BC258" s="1"/>
      <c r="BD258" s="1"/>
      <c r="BE258" s="1"/>
      <c r="BF258" s="1"/>
      <c r="BG258" s="1"/>
      <c r="BH258" s="1"/>
      <c r="BI258" s="1"/>
      <c r="BO258" s="1"/>
      <c r="BP258" s="1"/>
      <c r="BQ258" s="1"/>
      <c r="BR258" s="1"/>
      <c r="BS258" s="1"/>
      <c r="BT258" s="1"/>
      <c r="BU258" s="4"/>
    </row>
    <row r="259">
      <c r="A259" s="1"/>
      <c r="M259" s="1"/>
      <c r="Y259" s="1"/>
      <c r="AK259" s="1"/>
      <c r="AQ259" s="1"/>
      <c r="AW259" s="1"/>
      <c r="BC259" s="1"/>
      <c r="BD259" s="1"/>
      <c r="BE259" s="1"/>
      <c r="BF259" s="1"/>
      <c r="BG259" s="1"/>
      <c r="BH259" s="1"/>
      <c r="BI259" s="1"/>
      <c r="BO259" s="1"/>
      <c r="BP259" s="1"/>
      <c r="BQ259" s="1"/>
      <c r="BR259" s="1"/>
      <c r="BS259" s="1"/>
      <c r="BT259" s="1"/>
      <c r="BU259" s="4"/>
    </row>
    <row r="260">
      <c r="A260" s="1"/>
      <c r="M260" s="1"/>
      <c r="Y260" s="1"/>
      <c r="AK260" s="1"/>
      <c r="AQ260" s="1"/>
      <c r="AW260" s="1"/>
      <c r="BC260" s="1"/>
      <c r="BD260" s="1"/>
      <c r="BE260" s="1"/>
      <c r="BF260" s="1"/>
      <c r="BG260" s="1"/>
      <c r="BH260" s="1"/>
      <c r="BI260" s="1"/>
      <c r="BO260" s="1"/>
      <c r="BP260" s="1"/>
      <c r="BQ260" s="1"/>
      <c r="BR260" s="1"/>
      <c r="BS260" s="1"/>
      <c r="BT260" s="1"/>
      <c r="BU260" s="4"/>
    </row>
    <row r="261">
      <c r="A261" s="1"/>
      <c r="M261" s="1"/>
      <c r="Y261" s="1"/>
      <c r="AK261" s="1"/>
      <c r="AQ261" s="1"/>
      <c r="AW261" s="1"/>
      <c r="BC261" s="1"/>
      <c r="BD261" s="1"/>
      <c r="BE261" s="1"/>
      <c r="BF261" s="1"/>
      <c r="BG261" s="1"/>
      <c r="BH261" s="1"/>
      <c r="BI261" s="1"/>
      <c r="BO261" s="1"/>
      <c r="BP261" s="1"/>
      <c r="BQ261" s="1"/>
      <c r="BR261" s="1"/>
      <c r="BS261" s="1"/>
      <c r="BT261" s="1"/>
      <c r="BU261" s="4"/>
    </row>
    <row r="262">
      <c r="A262" s="1"/>
      <c r="M262" s="1"/>
      <c r="Y262" s="1"/>
      <c r="AK262" s="1"/>
      <c r="AQ262" s="1"/>
      <c r="AW262" s="1"/>
      <c r="BC262" s="1"/>
      <c r="BD262" s="1"/>
      <c r="BE262" s="1"/>
      <c r="BF262" s="1"/>
      <c r="BG262" s="1"/>
      <c r="BH262" s="1"/>
      <c r="BI262" s="1"/>
      <c r="BO262" s="1"/>
      <c r="BP262" s="1"/>
      <c r="BQ262" s="1"/>
      <c r="BR262" s="1"/>
      <c r="BS262" s="1"/>
      <c r="BT262" s="1"/>
      <c r="BU262" s="4"/>
    </row>
    <row r="263">
      <c r="A263" s="1"/>
      <c r="M263" s="1"/>
      <c r="Y263" s="1"/>
      <c r="AK263" s="1"/>
      <c r="AQ263" s="1"/>
      <c r="AW263" s="1"/>
      <c r="BC263" s="1"/>
      <c r="BD263" s="1"/>
      <c r="BE263" s="1"/>
      <c r="BF263" s="1"/>
      <c r="BG263" s="1"/>
      <c r="BH263" s="1"/>
      <c r="BI263" s="1"/>
      <c r="BO263" s="1"/>
      <c r="BP263" s="1"/>
      <c r="BQ263" s="1"/>
      <c r="BR263" s="1"/>
      <c r="BS263" s="1"/>
      <c r="BT263" s="1"/>
      <c r="BU263" s="4"/>
    </row>
    <row r="264">
      <c r="A264" s="1"/>
      <c r="M264" s="1"/>
      <c r="Y264" s="1"/>
      <c r="AK264" s="1"/>
      <c r="AQ264" s="1"/>
      <c r="AW264" s="1"/>
      <c r="BC264" s="1"/>
      <c r="BD264" s="1"/>
      <c r="BE264" s="1"/>
      <c r="BF264" s="1"/>
      <c r="BG264" s="1"/>
      <c r="BH264" s="1"/>
      <c r="BI264" s="1"/>
      <c r="BO264" s="1"/>
      <c r="BP264" s="1"/>
      <c r="BQ264" s="1"/>
      <c r="BR264" s="1"/>
      <c r="BS264" s="1"/>
      <c r="BT264" s="1"/>
      <c r="BU264" s="4"/>
    </row>
    <row r="265">
      <c r="A265" s="1"/>
      <c r="M265" s="1"/>
      <c r="Y265" s="1"/>
      <c r="AK265" s="1"/>
      <c r="AQ265" s="1"/>
      <c r="AW265" s="1"/>
      <c r="BC265" s="1"/>
      <c r="BD265" s="1"/>
      <c r="BE265" s="1"/>
      <c r="BF265" s="1"/>
      <c r="BG265" s="1"/>
      <c r="BH265" s="1"/>
      <c r="BI265" s="1"/>
      <c r="BO265" s="1"/>
      <c r="BP265" s="1"/>
      <c r="BQ265" s="1"/>
      <c r="BR265" s="1"/>
      <c r="BS265" s="1"/>
      <c r="BT265" s="1"/>
      <c r="BU265" s="4"/>
    </row>
    <row r="266">
      <c r="A266" s="1"/>
      <c r="M266" s="1"/>
      <c r="Y266" s="1"/>
      <c r="AK266" s="1"/>
      <c r="AQ266" s="1"/>
      <c r="AW266" s="1"/>
      <c r="BC266" s="1"/>
      <c r="BD266" s="1"/>
      <c r="BE266" s="1"/>
      <c r="BF266" s="1"/>
      <c r="BG266" s="1"/>
      <c r="BH266" s="1"/>
      <c r="BI266" s="1"/>
      <c r="BO266" s="1"/>
      <c r="BP266" s="1"/>
      <c r="BQ266" s="1"/>
      <c r="BR266" s="1"/>
      <c r="BS266" s="1"/>
      <c r="BT266" s="1"/>
      <c r="BU266" s="4"/>
    </row>
    <row r="267">
      <c r="A267" s="1"/>
      <c r="M267" s="1"/>
      <c r="Y267" s="1"/>
      <c r="AK267" s="1"/>
      <c r="AQ267" s="1"/>
      <c r="AW267" s="1"/>
      <c r="BC267" s="1"/>
      <c r="BD267" s="1"/>
      <c r="BE267" s="1"/>
      <c r="BF267" s="1"/>
      <c r="BG267" s="1"/>
      <c r="BH267" s="1"/>
      <c r="BI267" s="1"/>
      <c r="BO267" s="1"/>
      <c r="BP267" s="1"/>
      <c r="BQ267" s="1"/>
      <c r="BR267" s="1"/>
      <c r="BS267" s="1"/>
      <c r="BT267" s="1"/>
      <c r="BU267" s="4"/>
    </row>
    <row r="268">
      <c r="A268" s="1"/>
      <c r="M268" s="1"/>
      <c r="Y268" s="1"/>
      <c r="AK268" s="1"/>
      <c r="AQ268" s="1"/>
      <c r="AW268" s="1"/>
      <c r="BC268" s="1"/>
      <c r="BD268" s="1"/>
      <c r="BE268" s="1"/>
      <c r="BF268" s="1"/>
      <c r="BG268" s="1"/>
      <c r="BH268" s="1"/>
      <c r="BI268" s="1"/>
      <c r="BO268" s="1"/>
      <c r="BP268" s="1"/>
      <c r="BQ268" s="1"/>
      <c r="BR268" s="1"/>
      <c r="BS268" s="1"/>
      <c r="BT268" s="1"/>
      <c r="BU268" s="4"/>
    </row>
    <row r="269">
      <c r="A269" s="1"/>
      <c r="M269" s="1"/>
      <c r="Y269" s="1"/>
      <c r="AK269" s="1"/>
      <c r="AQ269" s="1"/>
      <c r="AW269" s="1"/>
      <c r="BC269" s="1"/>
      <c r="BD269" s="1"/>
      <c r="BE269" s="1"/>
      <c r="BF269" s="1"/>
      <c r="BG269" s="1"/>
      <c r="BH269" s="1"/>
      <c r="BI269" s="1"/>
      <c r="BO269" s="1"/>
      <c r="BP269" s="1"/>
      <c r="BQ269" s="1"/>
      <c r="BR269" s="1"/>
      <c r="BS269" s="1"/>
      <c r="BT269" s="1"/>
      <c r="BU269" s="4"/>
    </row>
    <row r="270">
      <c r="A270" s="1"/>
      <c r="M270" s="1"/>
      <c r="Y270" s="1"/>
      <c r="AK270" s="1"/>
      <c r="AQ270" s="1"/>
      <c r="AW270" s="1"/>
      <c r="BC270" s="1"/>
      <c r="BD270" s="1"/>
      <c r="BE270" s="1"/>
      <c r="BF270" s="1"/>
      <c r="BG270" s="1"/>
      <c r="BH270" s="1"/>
      <c r="BI270" s="1"/>
      <c r="BO270" s="1"/>
      <c r="BP270" s="1"/>
      <c r="BQ270" s="1"/>
      <c r="BR270" s="1"/>
      <c r="BS270" s="1"/>
      <c r="BT270" s="1"/>
      <c r="BU270" s="4"/>
    </row>
    <row r="271">
      <c r="A271" s="1"/>
      <c r="M271" s="1"/>
      <c r="Y271" s="1"/>
      <c r="AK271" s="1"/>
      <c r="AQ271" s="1"/>
      <c r="AW271" s="1"/>
      <c r="BC271" s="1"/>
      <c r="BD271" s="1"/>
      <c r="BE271" s="1"/>
      <c r="BF271" s="1"/>
      <c r="BG271" s="1"/>
      <c r="BH271" s="1"/>
      <c r="BI271" s="1"/>
      <c r="BO271" s="1"/>
      <c r="BP271" s="1"/>
      <c r="BQ271" s="1"/>
      <c r="BR271" s="1"/>
      <c r="BS271" s="1"/>
      <c r="BT271" s="1"/>
      <c r="BU271" s="4"/>
    </row>
    <row r="272">
      <c r="A272" s="1"/>
      <c r="M272" s="1"/>
      <c r="Y272" s="1"/>
      <c r="AK272" s="1"/>
      <c r="AQ272" s="1"/>
      <c r="AW272" s="1"/>
      <c r="BC272" s="1"/>
      <c r="BD272" s="1"/>
      <c r="BE272" s="1"/>
      <c r="BF272" s="1"/>
      <c r="BG272" s="1"/>
      <c r="BH272" s="1"/>
      <c r="BI272" s="1"/>
      <c r="BO272" s="1"/>
      <c r="BP272" s="1"/>
      <c r="BQ272" s="1"/>
      <c r="BR272" s="1"/>
      <c r="BS272" s="1"/>
      <c r="BT272" s="1"/>
      <c r="BU272" s="4"/>
    </row>
    <row r="273">
      <c r="A273" s="1"/>
      <c r="M273" s="1"/>
      <c r="Y273" s="1"/>
      <c r="AK273" s="1"/>
      <c r="AQ273" s="1"/>
      <c r="AW273" s="1"/>
      <c r="BC273" s="1"/>
      <c r="BD273" s="1"/>
      <c r="BE273" s="1"/>
      <c r="BF273" s="1"/>
      <c r="BG273" s="1"/>
      <c r="BH273" s="1"/>
      <c r="BI273" s="1"/>
      <c r="BO273" s="1"/>
      <c r="BP273" s="1"/>
      <c r="BQ273" s="1"/>
      <c r="BR273" s="1"/>
      <c r="BS273" s="1"/>
      <c r="BT273" s="1"/>
      <c r="BU273" s="4"/>
    </row>
    <row r="274">
      <c r="A274" s="1"/>
      <c r="M274" s="1"/>
      <c r="Y274" s="1"/>
      <c r="AK274" s="1"/>
      <c r="AQ274" s="1"/>
      <c r="AW274" s="1"/>
      <c r="BC274" s="1"/>
      <c r="BD274" s="1"/>
      <c r="BE274" s="1"/>
      <c r="BF274" s="1"/>
      <c r="BG274" s="1"/>
      <c r="BH274" s="1"/>
      <c r="BI274" s="1"/>
      <c r="BO274" s="1"/>
      <c r="BP274" s="1"/>
      <c r="BQ274" s="1"/>
      <c r="BR274" s="1"/>
      <c r="BS274" s="1"/>
      <c r="BT274" s="1"/>
      <c r="BU274" s="4"/>
    </row>
    <row r="275">
      <c r="A275" s="1"/>
      <c r="M275" s="1"/>
      <c r="Y275" s="1"/>
      <c r="AK275" s="1"/>
      <c r="AQ275" s="1"/>
      <c r="AW275" s="1"/>
      <c r="BC275" s="1"/>
      <c r="BD275" s="1"/>
      <c r="BE275" s="1"/>
      <c r="BF275" s="1"/>
      <c r="BG275" s="1"/>
      <c r="BH275" s="1"/>
      <c r="BI275" s="1"/>
      <c r="BO275" s="1"/>
      <c r="BP275" s="1"/>
      <c r="BQ275" s="1"/>
      <c r="BR275" s="1"/>
      <c r="BS275" s="1"/>
      <c r="BT275" s="1"/>
      <c r="BU275" s="4"/>
    </row>
    <row r="276">
      <c r="A276" s="1"/>
      <c r="M276" s="1"/>
      <c r="Y276" s="1"/>
      <c r="AK276" s="1"/>
      <c r="AQ276" s="1"/>
      <c r="AW276" s="1"/>
      <c r="BC276" s="1"/>
      <c r="BD276" s="1"/>
      <c r="BE276" s="1"/>
      <c r="BF276" s="1"/>
      <c r="BG276" s="1"/>
      <c r="BH276" s="1"/>
      <c r="BI276" s="1"/>
      <c r="BO276" s="1"/>
      <c r="BP276" s="1"/>
      <c r="BQ276" s="1"/>
      <c r="BR276" s="1"/>
      <c r="BS276" s="1"/>
      <c r="BT276" s="1"/>
      <c r="BU276" s="4"/>
    </row>
    <row r="277">
      <c r="A277" s="1"/>
      <c r="M277" s="1"/>
      <c r="Y277" s="1"/>
      <c r="AK277" s="1"/>
      <c r="AQ277" s="1"/>
      <c r="AW277" s="1"/>
      <c r="BC277" s="1"/>
      <c r="BD277" s="1"/>
      <c r="BE277" s="1"/>
      <c r="BF277" s="1"/>
      <c r="BG277" s="1"/>
      <c r="BH277" s="1"/>
      <c r="BI277" s="1"/>
      <c r="BO277" s="1"/>
      <c r="BP277" s="1"/>
      <c r="BQ277" s="1"/>
      <c r="BR277" s="1"/>
      <c r="BS277" s="1"/>
      <c r="BT277" s="1"/>
      <c r="BU277" s="4"/>
    </row>
    <row r="278">
      <c r="A278" s="1"/>
      <c r="M278" s="1"/>
      <c r="Y278" s="1"/>
      <c r="AK278" s="1"/>
      <c r="AQ278" s="1"/>
      <c r="AW278" s="1"/>
      <c r="BC278" s="1"/>
      <c r="BD278" s="1"/>
      <c r="BE278" s="1"/>
      <c r="BF278" s="1"/>
      <c r="BG278" s="1"/>
      <c r="BH278" s="1"/>
      <c r="BI278" s="1"/>
      <c r="BO278" s="1"/>
      <c r="BP278" s="1"/>
      <c r="BQ278" s="1"/>
      <c r="BR278" s="1"/>
      <c r="BS278" s="1"/>
      <c r="BT278" s="1"/>
      <c r="BU278" s="4"/>
    </row>
    <row r="279">
      <c r="A279" s="1"/>
      <c r="M279" s="1"/>
      <c r="Y279" s="1"/>
      <c r="AK279" s="1"/>
      <c r="AQ279" s="1"/>
      <c r="AW279" s="1"/>
      <c r="BC279" s="1"/>
      <c r="BD279" s="1"/>
      <c r="BE279" s="1"/>
      <c r="BF279" s="1"/>
      <c r="BG279" s="1"/>
      <c r="BH279" s="1"/>
      <c r="BI279" s="1"/>
      <c r="BO279" s="1"/>
      <c r="BP279" s="1"/>
      <c r="BQ279" s="1"/>
      <c r="BR279" s="1"/>
      <c r="BS279" s="1"/>
      <c r="BT279" s="1"/>
      <c r="BU279" s="4"/>
    </row>
    <row r="280">
      <c r="A280" s="1"/>
      <c r="M280" s="1"/>
      <c r="Y280" s="1"/>
      <c r="AK280" s="1"/>
      <c r="AQ280" s="1"/>
      <c r="AW280" s="1"/>
      <c r="BC280" s="1"/>
      <c r="BD280" s="1"/>
      <c r="BE280" s="1"/>
      <c r="BF280" s="1"/>
      <c r="BG280" s="1"/>
      <c r="BH280" s="1"/>
      <c r="BI280" s="1"/>
      <c r="BO280" s="1"/>
      <c r="BP280" s="1"/>
      <c r="BQ280" s="1"/>
      <c r="BR280" s="1"/>
      <c r="BS280" s="1"/>
      <c r="BT280" s="1"/>
      <c r="BU280" s="4"/>
    </row>
    <row r="281">
      <c r="A281" s="1"/>
      <c r="M281" s="1"/>
      <c r="Y281" s="1"/>
      <c r="AK281" s="1"/>
      <c r="AQ281" s="1"/>
      <c r="AW281" s="1"/>
      <c r="BC281" s="1"/>
      <c r="BD281" s="1"/>
      <c r="BE281" s="1"/>
      <c r="BF281" s="1"/>
      <c r="BG281" s="1"/>
      <c r="BH281" s="1"/>
      <c r="BI281" s="1"/>
      <c r="BO281" s="1"/>
      <c r="BP281" s="1"/>
      <c r="BQ281" s="1"/>
      <c r="BR281" s="1"/>
      <c r="BS281" s="1"/>
      <c r="BT281" s="1"/>
      <c r="BU281" s="4"/>
    </row>
    <row r="282">
      <c r="A282" s="1"/>
      <c r="M282" s="1"/>
      <c r="Y282" s="1"/>
      <c r="AK282" s="1"/>
      <c r="AQ282" s="1"/>
      <c r="AW282" s="1"/>
      <c r="BC282" s="1"/>
      <c r="BD282" s="1"/>
      <c r="BE282" s="1"/>
      <c r="BF282" s="1"/>
      <c r="BG282" s="1"/>
      <c r="BH282" s="1"/>
      <c r="BI282" s="1"/>
      <c r="BO282" s="1"/>
      <c r="BP282" s="1"/>
      <c r="BQ282" s="1"/>
      <c r="BR282" s="1"/>
      <c r="BS282" s="1"/>
      <c r="BT282" s="1"/>
      <c r="BU282" s="4"/>
    </row>
    <row r="283">
      <c r="A283" s="1"/>
      <c r="M283" s="1"/>
      <c r="Y283" s="1"/>
      <c r="AK283" s="1"/>
      <c r="AQ283" s="1"/>
      <c r="AW283" s="1"/>
      <c r="BC283" s="1"/>
      <c r="BD283" s="1"/>
      <c r="BE283" s="1"/>
      <c r="BF283" s="1"/>
      <c r="BG283" s="1"/>
      <c r="BH283" s="1"/>
      <c r="BI283" s="1"/>
      <c r="BO283" s="1"/>
      <c r="BP283" s="1"/>
      <c r="BQ283" s="1"/>
      <c r="BR283" s="1"/>
      <c r="BS283" s="1"/>
      <c r="BT283" s="1"/>
      <c r="BU283" s="4"/>
    </row>
    <row r="284">
      <c r="A284" s="1"/>
      <c r="M284" s="1"/>
      <c r="Y284" s="1"/>
      <c r="AK284" s="1"/>
      <c r="AQ284" s="1"/>
      <c r="AW284" s="1"/>
      <c r="BC284" s="1"/>
      <c r="BD284" s="1"/>
      <c r="BE284" s="1"/>
      <c r="BF284" s="1"/>
      <c r="BG284" s="1"/>
      <c r="BH284" s="1"/>
      <c r="BI284" s="1"/>
      <c r="BO284" s="1"/>
      <c r="BP284" s="1"/>
      <c r="BQ284" s="1"/>
      <c r="BR284" s="1"/>
      <c r="BS284" s="1"/>
      <c r="BT284" s="1"/>
      <c r="BU284" s="4"/>
    </row>
    <row r="285">
      <c r="A285" s="1"/>
      <c r="M285" s="1"/>
      <c r="Y285" s="1"/>
      <c r="AK285" s="1"/>
      <c r="AQ285" s="1"/>
      <c r="AW285" s="1"/>
      <c r="BC285" s="1"/>
      <c r="BD285" s="1"/>
      <c r="BE285" s="1"/>
      <c r="BF285" s="1"/>
      <c r="BG285" s="1"/>
      <c r="BH285" s="1"/>
      <c r="BI285" s="1"/>
      <c r="BO285" s="1"/>
      <c r="BP285" s="1"/>
      <c r="BQ285" s="1"/>
      <c r="BR285" s="1"/>
      <c r="BS285" s="1"/>
      <c r="BT285" s="1"/>
      <c r="BU285" s="4"/>
    </row>
    <row r="286">
      <c r="A286" s="1"/>
      <c r="M286" s="1"/>
      <c r="Y286" s="1"/>
      <c r="AK286" s="1"/>
      <c r="AQ286" s="1"/>
      <c r="AW286" s="1"/>
      <c r="BC286" s="1"/>
      <c r="BD286" s="1"/>
      <c r="BE286" s="1"/>
      <c r="BF286" s="1"/>
      <c r="BG286" s="1"/>
      <c r="BH286" s="1"/>
      <c r="BI286" s="1"/>
      <c r="BO286" s="1"/>
      <c r="BP286" s="1"/>
      <c r="BQ286" s="1"/>
      <c r="BR286" s="1"/>
      <c r="BS286" s="1"/>
      <c r="BT286" s="1"/>
      <c r="BU286" s="4"/>
    </row>
    <row r="287">
      <c r="A287" s="1"/>
      <c r="M287" s="1"/>
      <c r="Y287" s="1"/>
      <c r="AK287" s="1"/>
      <c r="AQ287" s="1"/>
      <c r="AW287" s="1"/>
      <c r="BC287" s="1"/>
      <c r="BD287" s="1"/>
      <c r="BE287" s="1"/>
      <c r="BF287" s="1"/>
      <c r="BG287" s="1"/>
      <c r="BH287" s="1"/>
      <c r="BI287" s="1"/>
      <c r="BO287" s="1"/>
      <c r="BP287" s="1"/>
      <c r="BQ287" s="1"/>
      <c r="BR287" s="1"/>
      <c r="BS287" s="1"/>
      <c r="BT287" s="1"/>
      <c r="BU287" s="4"/>
    </row>
    <row r="288">
      <c r="A288" s="1"/>
      <c r="M288" s="1"/>
      <c r="Y288" s="1"/>
      <c r="AK288" s="1"/>
      <c r="AQ288" s="1"/>
      <c r="AW288" s="1"/>
      <c r="BC288" s="1"/>
      <c r="BD288" s="1"/>
      <c r="BE288" s="1"/>
      <c r="BF288" s="1"/>
      <c r="BG288" s="1"/>
      <c r="BH288" s="1"/>
      <c r="BI288" s="1"/>
      <c r="BO288" s="1"/>
      <c r="BP288" s="1"/>
      <c r="BQ288" s="1"/>
      <c r="BR288" s="1"/>
      <c r="BS288" s="1"/>
      <c r="BT288" s="1"/>
      <c r="BU288" s="4"/>
    </row>
    <row r="289">
      <c r="A289" s="1"/>
      <c r="M289" s="1"/>
      <c r="Y289" s="1"/>
      <c r="AK289" s="1"/>
      <c r="AQ289" s="1"/>
      <c r="AW289" s="1"/>
      <c r="BC289" s="1"/>
      <c r="BD289" s="1"/>
      <c r="BE289" s="1"/>
      <c r="BF289" s="1"/>
      <c r="BG289" s="1"/>
      <c r="BH289" s="1"/>
      <c r="BI289" s="1"/>
      <c r="BO289" s="1"/>
      <c r="BP289" s="1"/>
      <c r="BQ289" s="1"/>
      <c r="BR289" s="1"/>
      <c r="BS289" s="1"/>
      <c r="BT289" s="1"/>
      <c r="BU289" s="4"/>
    </row>
    <row r="290">
      <c r="A290" s="1"/>
      <c r="M290" s="1"/>
      <c r="Y290" s="1"/>
      <c r="AK290" s="1"/>
      <c r="AQ290" s="1"/>
      <c r="AW290" s="1"/>
      <c r="BC290" s="1"/>
      <c r="BD290" s="1"/>
      <c r="BE290" s="1"/>
      <c r="BF290" s="1"/>
      <c r="BG290" s="1"/>
      <c r="BH290" s="1"/>
      <c r="BI290" s="1"/>
      <c r="BO290" s="1"/>
      <c r="BP290" s="1"/>
      <c r="BQ290" s="1"/>
      <c r="BR290" s="1"/>
      <c r="BS290" s="1"/>
      <c r="BT290" s="1"/>
      <c r="BU290" s="4"/>
    </row>
    <row r="291">
      <c r="A291" s="1"/>
      <c r="M291" s="1"/>
      <c r="Y291" s="1"/>
      <c r="AK291" s="1"/>
      <c r="AQ291" s="1"/>
      <c r="AW291" s="1"/>
      <c r="BC291" s="1"/>
      <c r="BD291" s="1"/>
      <c r="BE291" s="1"/>
      <c r="BF291" s="1"/>
      <c r="BG291" s="1"/>
      <c r="BH291" s="1"/>
      <c r="BI291" s="1"/>
      <c r="BO291" s="1"/>
      <c r="BP291" s="1"/>
      <c r="BQ291" s="1"/>
      <c r="BR291" s="1"/>
      <c r="BS291" s="1"/>
      <c r="BT291" s="1"/>
      <c r="BU291" s="4"/>
    </row>
    <row r="292">
      <c r="A292" s="1"/>
      <c r="M292" s="1"/>
      <c r="Y292" s="1"/>
      <c r="AK292" s="1"/>
      <c r="AQ292" s="1"/>
      <c r="AW292" s="1"/>
      <c r="BC292" s="1"/>
      <c r="BD292" s="1"/>
      <c r="BE292" s="1"/>
      <c r="BF292" s="1"/>
      <c r="BG292" s="1"/>
      <c r="BH292" s="1"/>
      <c r="BI292" s="1"/>
      <c r="BO292" s="1"/>
      <c r="BP292" s="1"/>
      <c r="BQ292" s="1"/>
      <c r="BR292" s="1"/>
      <c r="BS292" s="1"/>
      <c r="BT292" s="1"/>
      <c r="BU292" s="4"/>
    </row>
    <row r="293">
      <c r="A293" s="1"/>
      <c r="M293" s="1"/>
      <c r="Y293" s="1"/>
      <c r="AK293" s="1"/>
      <c r="AQ293" s="1"/>
      <c r="AW293" s="1"/>
      <c r="BC293" s="1"/>
      <c r="BD293" s="1"/>
      <c r="BE293" s="1"/>
      <c r="BF293" s="1"/>
      <c r="BG293" s="1"/>
      <c r="BH293" s="1"/>
      <c r="BI293" s="1"/>
      <c r="BO293" s="1"/>
      <c r="BP293" s="1"/>
      <c r="BQ293" s="1"/>
      <c r="BR293" s="1"/>
      <c r="BS293" s="1"/>
      <c r="BT293" s="1"/>
      <c r="BU293" s="4"/>
    </row>
    <row r="294">
      <c r="A294" s="1"/>
      <c r="M294" s="1"/>
      <c r="Y294" s="1"/>
      <c r="AK294" s="1"/>
      <c r="AQ294" s="1"/>
      <c r="AW294" s="1"/>
      <c r="BC294" s="1"/>
      <c r="BD294" s="1"/>
      <c r="BE294" s="1"/>
      <c r="BF294" s="1"/>
      <c r="BG294" s="1"/>
      <c r="BH294" s="1"/>
      <c r="BI294" s="1"/>
      <c r="BO294" s="1"/>
      <c r="BP294" s="1"/>
      <c r="BQ294" s="1"/>
      <c r="BR294" s="1"/>
      <c r="BS294" s="1"/>
      <c r="BT294" s="1"/>
      <c r="BU294" s="4"/>
    </row>
    <row r="295">
      <c r="A295" s="1"/>
      <c r="M295" s="1"/>
      <c r="Y295" s="1"/>
      <c r="AK295" s="1"/>
      <c r="AQ295" s="1"/>
      <c r="AW295" s="1"/>
      <c r="BC295" s="1"/>
      <c r="BD295" s="1"/>
      <c r="BE295" s="1"/>
      <c r="BF295" s="1"/>
      <c r="BG295" s="1"/>
      <c r="BH295" s="1"/>
      <c r="BI295" s="1"/>
      <c r="BO295" s="1"/>
      <c r="BP295" s="1"/>
      <c r="BQ295" s="1"/>
      <c r="BR295" s="1"/>
      <c r="BS295" s="1"/>
      <c r="BT295" s="1"/>
      <c r="BU295" s="4"/>
    </row>
    <row r="296">
      <c r="A296" s="1"/>
      <c r="M296" s="1"/>
      <c r="Y296" s="1"/>
      <c r="AK296" s="1"/>
      <c r="AQ296" s="1"/>
      <c r="AW296" s="1"/>
      <c r="BC296" s="1"/>
      <c r="BD296" s="1"/>
      <c r="BE296" s="1"/>
      <c r="BF296" s="1"/>
      <c r="BG296" s="1"/>
      <c r="BH296" s="1"/>
      <c r="BI296" s="1"/>
      <c r="BO296" s="1"/>
      <c r="BP296" s="1"/>
      <c r="BQ296" s="1"/>
      <c r="BR296" s="1"/>
      <c r="BS296" s="1"/>
      <c r="BT296" s="1"/>
      <c r="BU296" s="4"/>
    </row>
    <row r="297">
      <c r="A297" s="1"/>
      <c r="M297" s="1"/>
      <c r="Y297" s="1"/>
      <c r="AK297" s="1"/>
      <c r="AQ297" s="1"/>
      <c r="AW297" s="1"/>
      <c r="BC297" s="1"/>
      <c r="BD297" s="1"/>
      <c r="BE297" s="1"/>
      <c r="BF297" s="1"/>
      <c r="BG297" s="1"/>
      <c r="BH297" s="1"/>
      <c r="BI297" s="1"/>
      <c r="BO297" s="1"/>
      <c r="BP297" s="1"/>
      <c r="BQ297" s="1"/>
      <c r="BR297" s="1"/>
      <c r="BS297" s="1"/>
      <c r="BT297" s="1"/>
      <c r="BU297" s="4"/>
    </row>
    <row r="298">
      <c r="A298" s="1"/>
      <c r="M298" s="1"/>
      <c r="Y298" s="1"/>
      <c r="AK298" s="1"/>
      <c r="AQ298" s="1"/>
      <c r="AW298" s="1"/>
      <c r="BC298" s="1"/>
      <c r="BD298" s="1"/>
      <c r="BE298" s="1"/>
      <c r="BF298" s="1"/>
      <c r="BG298" s="1"/>
      <c r="BH298" s="1"/>
      <c r="BI298" s="1"/>
      <c r="BO298" s="1"/>
      <c r="BP298" s="1"/>
      <c r="BQ298" s="1"/>
      <c r="BR298" s="1"/>
      <c r="BS298" s="1"/>
      <c r="BT298" s="1"/>
      <c r="BU298" s="4"/>
    </row>
    <row r="299">
      <c r="A299" s="1"/>
      <c r="M299" s="1"/>
      <c r="Y299" s="1"/>
      <c r="AK299" s="1"/>
      <c r="AQ299" s="1"/>
      <c r="AW299" s="1"/>
      <c r="BC299" s="1"/>
      <c r="BD299" s="1"/>
      <c r="BE299" s="1"/>
      <c r="BF299" s="1"/>
      <c r="BG299" s="1"/>
      <c r="BH299" s="1"/>
      <c r="BI299" s="1"/>
      <c r="BO299" s="1"/>
      <c r="BP299" s="1"/>
      <c r="BQ299" s="1"/>
      <c r="BR299" s="1"/>
      <c r="BS299" s="1"/>
      <c r="BT299" s="1"/>
      <c r="BU299" s="4"/>
    </row>
    <row r="300">
      <c r="A300" s="1"/>
      <c r="M300" s="1"/>
      <c r="Y300" s="1"/>
      <c r="AK300" s="1"/>
      <c r="AQ300" s="1"/>
      <c r="AW300" s="1"/>
      <c r="BC300" s="1"/>
      <c r="BD300" s="1"/>
      <c r="BE300" s="1"/>
      <c r="BF300" s="1"/>
      <c r="BG300" s="1"/>
      <c r="BH300" s="1"/>
      <c r="BI300" s="1"/>
      <c r="BO300" s="1"/>
      <c r="BP300" s="1"/>
      <c r="BQ300" s="1"/>
      <c r="BR300" s="1"/>
      <c r="BS300" s="1"/>
      <c r="BT300" s="1"/>
      <c r="BU300" s="4"/>
    </row>
    <row r="301">
      <c r="A301" s="1"/>
      <c r="M301" s="1"/>
      <c r="Y301" s="1"/>
      <c r="AK301" s="1"/>
      <c r="AQ301" s="1"/>
      <c r="AW301" s="1"/>
      <c r="BC301" s="1"/>
      <c r="BD301" s="1"/>
      <c r="BE301" s="1"/>
      <c r="BF301" s="1"/>
      <c r="BG301" s="1"/>
      <c r="BH301" s="1"/>
      <c r="BI301" s="1"/>
      <c r="BO301" s="1"/>
      <c r="BP301" s="1"/>
      <c r="BQ301" s="1"/>
      <c r="BR301" s="1"/>
      <c r="BS301" s="1"/>
      <c r="BT301" s="1"/>
      <c r="BU301" s="4"/>
    </row>
    <row r="302">
      <c r="A302" s="1"/>
      <c r="M302" s="1"/>
      <c r="Y302" s="1"/>
      <c r="AK302" s="1"/>
      <c r="AQ302" s="1"/>
      <c r="AW302" s="1"/>
      <c r="BC302" s="1"/>
      <c r="BD302" s="1"/>
      <c r="BE302" s="1"/>
      <c r="BF302" s="1"/>
      <c r="BG302" s="1"/>
      <c r="BH302" s="1"/>
      <c r="BI302" s="1"/>
      <c r="BO302" s="1"/>
      <c r="BP302" s="1"/>
      <c r="BQ302" s="1"/>
      <c r="BR302" s="1"/>
      <c r="BS302" s="1"/>
      <c r="BT302" s="1"/>
      <c r="BU302" s="4"/>
    </row>
    <row r="303">
      <c r="A303" s="1"/>
      <c r="M303" s="1"/>
      <c r="Y303" s="1"/>
      <c r="AK303" s="1"/>
      <c r="AQ303" s="1"/>
      <c r="AW303" s="1"/>
      <c r="BC303" s="1"/>
      <c r="BD303" s="1"/>
      <c r="BE303" s="1"/>
      <c r="BF303" s="1"/>
      <c r="BG303" s="1"/>
      <c r="BH303" s="1"/>
      <c r="BI303" s="1"/>
      <c r="BO303" s="1"/>
      <c r="BP303" s="1"/>
      <c r="BQ303" s="1"/>
      <c r="BR303" s="1"/>
      <c r="BS303" s="1"/>
      <c r="BT303" s="1"/>
      <c r="BU303" s="4"/>
    </row>
    <row r="304">
      <c r="A304" s="1"/>
      <c r="M304" s="1"/>
      <c r="Y304" s="1"/>
      <c r="AK304" s="1"/>
      <c r="AQ304" s="1"/>
      <c r="AW304" s="1"/>
      <c r="BC304" s="1"/>
      <c r="BD304" s="1"/>
      <c r="BE304" s="1"/>
      <c r="BF304" s="1"/>
      <c r="BG304" s="1"/>
      <c r="BH304" s="1"/>
      <c r="BI304" s="1"/>
      <c r="BO304" s="1"/>
      <c r="BP304" s="1"/>
      <c r="BQ304" s="1"/>
      <c r="BR304" s="1"/>
      <c r="BS304" s="1"/>
      <c r="BT304" s="1"/>
      <c r="BU304" s="4"/>
    </row>
    <row r="305">
      <c r="A305" s="1"/>
      <c r="M305" s="1"/>
      <c r="Y305" s="1"/>
      <c r="AK305" s="1"/>
      <c r="AQ305" s="1"/>
      <c r="AW305" s="1"/>
      <c r="BC305" s="1"/>
      <c r="BD305" s="1"/>
      <c r="BE305" s="1"/>
      <c r="BF305" s="1"/>
      <c r="BG305" s="1"/>
      <c r="BH305" s="1"/>
      <c r="BI305" s="1"/>
      <c r="BO305" s="1"/>
      <c r="BP305" s="1"/>
      <c r="BQ305" s="1"/>
      <c r="BR305" s="1"/>
      <c r="BS305" s="1"/>
      <c r="BT305" s="1"/>
      <c r="BU305" s="4"/>
    </row>
    <row r="306">
      <c r="A306" s="1"/>
      <c r="M306" s="1"/>
      <c r="Y306" s="1"/>
      <c r="AK306" s="1"/>
      <c r="AQ306" s="1"/>
      <c r="AW306" s="1"/>
      <c r="BC306" s="1"/>
      <c r="BD306" s="1"/>
      <c r="BE306" s="1"/>
      <c r="BF306" s="1"/>
      <c r="BG306" s="1"/>
      <c r="BH306" s="1"/>
      <c r="BI306" s="1"/>
      <c r="BO306" s="1"/>
      <c r="BP306" s="1"/>
      <c r="BQ306" s="1"/>
      <c r="BR306" s="1"/>
      <c r="BS306" s="1"/>
      <c r="BT306" s="1"/>
      <c r="BU306" s="4"/>
    </row>
    <row r="307">
      <c r="A307" s="1"/>
      <c r="M307" s="1"/>
      <c r="Y307" s="1"/>
      <c r="AK307" s="1"/>
      <c r="AQ307" s="1"/>
      <c r="AW307" s="1"/>
      <c r="BC307" s="1"/>
      <c r="BD307" s="1"/>
      <c r="BE307" s="1"/>
      <c r="BF307" s="1"/>
      <c r="BG307" s="1"/>
      <c r="BH307" s="1"/>
      <c r="BI307" s="1"/>
      <c r="BO307" s="1"/>
      <c r="BP307" s="1"/>
      <c r="BQ307" s="1"/>
      <c r="BR307" s="1"/>
      <c r="BS307" s="1"/>
      <c r="BT307" s="1"/>
      <c r="BU307" s="4"/>
    </row>
    <row r="308">
      <c r="A308" s="1"/>
      <c r="M308" s="1"/>
      <c r="Y308" s="1"/>
      <c r="AK308" s="1"/>
      <c r="AQ308" s="1"/>
      <c r="AW308" s="1"/>
      <c r="BC308" s="1"/>
      <c r="BD308" s="1"/>
      <c r="BE308" s="1"/>
      <c r="BF308" s="1"/>
      <c r="BG308" s="1"/>
      <c r="BH308" s="1"/>
      <c r="BI308" s="1"/>
      <c r="BO308" s="1"/>
      <c r="BP308" s="1"/>
      <c r="BQ308" s="1"/>
      <c r="BR308" s="1"/>
      <c r="BS308" s="1"/>
      <c r="BT308" s="1"/>
      <c r="BU308" s="4"/>
    </row>
    <row r="309">
      <c r="A309" s="1"/>
      <c r="M309" s="1"/>
      <c r="Y309" s="1"/>
      <c r="AK309" s="1"/>
      <c r="AQ309" s="1"/>
      <c r="AW309" s="1"/>
      <c r="BC309" s="1"/>
      <c r="BD309" s="1"/>
      <c r="BE309" s="1"/>
      <c r="BF309" s="1"/>
      <c r="BG309" s="1"/>
      <c r="BH309" s="1"/>
      <c r="BI309" s="1"/>
      <c r="BO309" s="1"/>
      <c r="BP309" s="1"/>
      <c r="BQ309" s="1"/>
      <c r="BR309" s="1"/>
      <c r="BS309" s="1"/>
      <c r="BT309" s="1"/>
      <c r="BU309" s="4"/>
    </row>
    <row r="310">
      <c r="A310" s="1"/>
      <c r="M310" s="1"/>
      <c r="Y310" s="1"/>
      <c r="AK310" s="1"/>
      <c r="AQ310" s="1"/>
      <c r="AW310" s="1"/>
      <c r="BC310" s="1"/>
      <c r="BD310" s="1"/>
      <c r="BE310" s="1"/>
      <c r="BF310" s="1"/>
      <c r="BG310" s="1"/>
      <c r="BH310" s="1"/>
      <c r="BI310" s="1"/>
      <c r="BO310" s="1"/>
      <c r="BP310" s="1"/>
      <c r="BQ310" s="1"/>
      <c r="BR310" s="1"/>
      <c r="BS310" s="1"/>
      <c r="BT310" s="1"/>
      <c r="BU310" s="4"/>
    </row>
    <row r="311">
      <c r="A311" s="1"/>
      <c r="M311" s="1"/>
      <c r="Y311" s="1"/>
      <c r="AK311" s="1"/>
      <c r="AQ311" s="1"/>
      <c r="AW311" s="1"/>
      <c r="BC311" s="1"/>
      <c r="BD311" s="1"/>
      <c r="BE311" s="1"/>
      <c r="BF311" s="1"/>
      <c r="BG311" s="1"/>
      <c r="BH311" s="1"/>
      <c r="BI311" s="1"/>
      <c r="BO311" s="1"/>
      <c r="BP311" s="1"/>
      <c r="BQ311" s="1"/>
      <c r="BR311" s="1"/>
      <c r="BS311" s="1"/>
      <c r="BT311" s="1"/>
      <c r="BU311" s="4"/>
    </row>
    <row r="312">
      <c r="A312" s="1"/>
      <c r="M312" s="1"/>
      <c r="Y312" s="1"/>
      <c r="AK312" s="1"/>
      <c r="AQ312" s="1"/>
      <c r="AW312" s="1"/>
      <c r="BC312" s="1"/>
      <c r="BD312" s="1"/>
      <c r="BE312" s="1"/>
      <c r="BF312" s="1"/>
      <c r="BG312" s="1"/>
      <c r="BH312" s="1"/>
      <c r="BI312" s="1"/>
      <c r="BO312" s="1"/>
      <c r="BP312" s="1"/>
      <c r="BQ312" s="1"/>
      <c r="BR312" s="1"/>
      <c r="BS312" s="1"/>
      <c r="BT312" s="1"/>
      <c r="BU312" s="4"/>
    </row>
    <row r="313">
      <c r="A313" s="1"/>
      <c r="M313" s="1"/>
      <c r="Y313" s="1"/>
      <c r="AK313" s="1"/>
      <c r="AQ313" s="1"/>
      <c r="AW313" s="1"/>
      <c r="BC313" s="1"/>
      <c r="BD313" s="1"/>
      <c r="BE313" s="1"/>
      <c r="BF313" s="1"/>
      <c r="BG313" s="1"/>
      <c r="BH313" s="1"/>
      <c r="BI313" s="1"/>
      <c r="BO313" s="1"/>
      <c r="BP313" s="1"/>
      <c r="BQ313" s="1"/>
      <c r="BR313" s="1"/>
      <c r="BS313" s="1"/>
      <c r="BT313" s="1"/>
      <c r="BU313" s="4"/>
    </row>
    <row r="314">
      <c r="A314" s="1"/>
      <c r="M314" s="1"/>
      <c r="Y314" s="1"/>
      <c r="AK314" s="1"/>
      <c r="AQ314" s="1"/>
      <c r="AW314" s="1"/>
      <c r="BC314" s="1"/>
      <c r="BD314" s="1"/>
      <c r="BE314" s="1"/>
      <c r="BF314" s="1"/>
      <c r="BG314" s="1"/>
      <c r="BH314" s="1"/>
      <c r="BI314" s="1"/>
      <c r="BO314" s="1"/>
      <c r="BP314" s="1"/>
      <c r="BQ314" s="1"/>
      <c r="BR314" s="1"/>
      <c r="BS314" s="1"/>
      <c r="BT314" s="1"/>
      <c r="BU314" s="4"/>
    </row>
    <row r="315">
      <c r="A315" s="1"/>
      <c r="M315" s="1"/>
      <c r="Y315" s="1"/>
      <c r="AK315" s="1"/>
      <c r="AQ315" s="1"/>
      <c r="AW315" s="1"/>
      <c r="BC315" s="1"/>
      <c r="BD315" s="1"/>
      <c r="BE315" s="1"/>
      <c r="BF315" s="1"/>
      <c r="BG315" s="1"/>
      <c r="BH315" s="1"/>
      <c r="BI315" s="1"/>
      <c r="BO315" s="1"/>
      <c r="BP315" s="1"/>
      <c r="BQ315" s="1"/>
      <c r="BR315" s="1"/>
      <c r="BS315" s="1"/>
      <c r="BT315" s="1"/>
      <c r="BU315" s="4"/>
    </row>
    <row r="316">
      <c r="A316" s="1"/>
      <c r="M316" s="1"/>
      <c r="Y316" s="1"/>
      <c r="AK316" s="1"/>
      <c r="AQ316" s="1"/>
      <c r="AW316" s="1"/>
      <c r="BC316" s="1"/>
      <c r="BD316" s="1"/>
      <c r="BE316" s="1"/>
      <c r="BF316" s="1"/>
      <c r="BG316" s="1"/>
      <c r="BH316" s="1"/>
      <c r="BI316" s="1"/>
      <c r="BO316" s="1"/>
      <c r="BP316" s="1"/>
      <c r="BQ316" s="1"/>
      <c r="BR316" s="1"/>
      <c r="BS316" s="1"/>
      <c r="BT316" s="1"/>
      <c r="BU316" s="4"/>
    </row>
    <row r="317">
      <c r="A317" s="1"/>
      <c r="M317" s="1"/>
      <c r="Y317" s="1"/>
      <c r="AK317" s="1"/>
      <c r="AQ317" s="1"/>
      <c r="AW317" s="1"/>
      <c r="BC317" s="1"/>
      <c r="BD317" s="1"/>
      <c r="BE317" s="1"/>
      <c r="BF317" s="1"/>
      <c r="BG317" s="1"/>
      <c r="BH317" s="1"/>
      <c r="BI317" s="1"/>
      <c r="BO317" s="1"/>
      <c r="BP317" s="1"/>
      <c r="BQ317" s="1"/>
      <c r="BR317" s="1"/>
      <c r="BS317" s="1"/>
      <c r="BT317" s="1"/>
      <c r="BU317" s="4"/>
    </row>
    <row r="318">
      <c r="A318" s="1"/>
      <c r="M318" s="1"/>
      <c r="Y318" s="1"/>
      <c r="AK318" s="1"/>
      <c r="AQ318" s="1"/>
      <c r="AW318" s="1"/>
      <c r="BC318" s="1"/>
      <c r="BD318" s="1"/>
      <c r="BE318" s="1"/>
      <c r="BF318" s="1"/>
      <c r="BG318" s="1"/>
      <c r="BH318" s="1"/>
      <c r="BI318" s="1"/>
      <c r="BO318" s="1"/>
      <c r="BP318" s="1"/>
      <c r="BQ318" s="1"/>
      <c r="BR318" s="1"/>
      <c r="BS318" s="1"/>
      <c r="BT318" s="1"/>
      <c r="BU318" s="4"/>
    </row>
    <row r="319">
      <c r="A319" s="1"/>
      <c r="M319" s="1"/>
      <c r="Y319" s="1"/>
      <c r="AK319" s="1"/>
      <c r="AQ319" s="1"/>
      <c r="AW319" s="1"/>
      <c r="BC319" s="1"/>
      <c r="BD319" s="1"/>
      <c r="BE319" s="1"/>
      <c r="BF319" s="1"/>
      <c r="BG319" s="1"/>
      <c r="BH319" s="1"/>
      <c r="BI319" s="1"/>
      <c r="BO319" s="1"/>
      <c r="BP319" s="1"/>
      <c r="BQ319" s="1"/>
      <c r="BR319" s="1"/>
      <c r="BS319" s="1"/>
      <c r="BT319" s="1"/>
      <c r="BU319" s="4"/>
    </row>
    <row r="320">
      <c r="A320" s="1"/>
      <c r="M320" s="1"/>
      <c r="Y320" s="1"/>
      <c r="AK320" s="1"/>
      <c r="AQ320" s="1"/>
      <c r="AW320" s="1"/>
      <c r="BC320" s="1"/>
      <c r="BD320" s="1"/>
      <c r="BE320" s="1"/>
      <c r="BF320" s="1"/>
      <c r="BG320" s="1"/>
      <c r="BH320" s="1"/>
      <c r="BI320" s="1"/>
      <c r="BO320" s="1"/>
      <c r="BP320" s="1"/>
      <c r="BQ320" s="1"/>
      <c r="BR320" s="1"/>
      <c r="BS320" s="1"/>
      <c r="BT320" s="1"/>
      <c r="BU320" s="4"/>
    </row>
    <row r="321">
      <c r="A321" s="1"/>
      <c r="M321" s="1"/>
      <c r="Y321" s="1"/>
      <c r="AK321" s="1"/>
      <c r="AQ321" s="1"/>
      <c r="AW321" s="1"/>
      <c r="BC321" s="1"/>
      <c r="BD321" s="1"/>
      <c r="BE321" s="1"/>
      <c r="BF321" s="1"/>
      <c r="BG321" s="1"/>
      <c r="BH321" s="1"/>
      <c r="BI321" s="1"/>
      <c r="BO321" s="1"/>
      <c r="BP321" s="1"/>
      <c r="BQ321" s="1"/>
      <c r="BR321" s="1"/>
      <c r="BS321" s="1"/>
      <c r="BT321" s="1"/>
      <c r="BU321" s="4"/>
    </row>
    <row r="322">
      <c r="A322" s="1"/>
      <c r="M322" s="1"/>
      <c r="Y322" s="1"/>
      <c r="AK322" s="1"/>
      <c r="AQ322" s="1"/>
      <c r="AW322" s="1"/>
      <c r="BC322" s="1"/>
      <c r="BD322" s="1"/>
      <c r="BE322" s="1"/>
      <c r="BF322" s="1"/>
      <c r="BG322" s="1"/>
      <c r="BH322" s="1"/>
      <c r="BI322" s="1"/>
      <c r="BO322" s="1"/>
      <c r="BP322" s="1"/>
      <c r="BQ322" s="1"/>
      <c r="BR322" s="1"/>
      <c r="BS322" s="1"/>
      <c r="BT322" s="1"/>
      <c r="BU322" s="4"/>
    </row>
    <row r="323">
      <c r="A323" s="1"/>
      <c r="M323" s="1"/>
      <c r="Y323" s="1"/>
      <c r="AK323" s="1"/>
      <c r="AQ323" s="1"/>
      <c r="AW323" s="1"/>
      <c r="BC323" s="1"/>
      <c r="BD323" s="1"/>
      <c r="BE323" s="1"/>
      <c r="BF323" s="1"/>
      <c r="BG323" s="1"/>
      <c r="BH323" s="1"/>
      <c r="BI323" s="1"/>
      <c r="BO323" s="1"/>
      <c r="BP323" s="1"/>
      <c r="BQ323" s="1"/>
      <c r="BR323" s="1"/>
      <c r="BS323" s="1"/>
      <c r="BT323" s="1"/>
      <c r="BU323" s="4"/>
    </row>
    <row r="324">
      <c r="A324" s="1"/>
      <c r="M324" s="1"/>
      <c r="Y324" s="1"/>
      <c r="AK324" s="1"/>
      <c r="AQ324" s="1"/>
      <c r="AW324" s="1"/>
      <c r="BC324" s="1"/>
      <c r="BD324" s="1"/>
      <c r="BE324" s="1"/>
      <c r="BF324" s="1"/>
      <c r="BG324" s="1"/>
      <c r="BH324" s="1"/>
      <c r="BI324" s="1"/>
      <c r="BO324" s="1"/>
      <c r="BP324" s="1"/>
      <c r="BQ324" s="1"/>
      <c r="BR324" s="1"/>
      <c r="BS324" s="1"/>
      <c r="BT324" s="1"/>
      <c r="BU324" s="4"/>
    </row>
    <row r="325">
      <c r="A325" s="1"/>
      <c r="M325" s="1"/>
      <c r="Y325" s="1"/>
      <c r="AK325" s="1"/>
      <c r="AQ325" s="1"/>
      <c r="AW325" s="1"/>
      <c r="BC325" s="1"/>
      <c r="BD325" s="1"/>
      <c r="BE325" s="1"/>
      <c r="BF325" s="1"/>
      <c r="BG325" s="1"/>
      <c r="BH325" s="1"/>
      <c r="BI325" s="1"/>
      <c r="BO325" s="1"/>
      <c r="BP325" s="1"/>
      <c r="BQ325" s="1"/>
      <c r="BR325" s="1"/>
      <c r="BS325" s="1"/>
      <c r="BT325" s="1"/>
      <c r="BU325" s="4"/>
    </row>
    <row r="326">
      <c r="A326" s="1"/>
      <c r="M326" s="1"/>
      <c r="Y326" s="1"/>
      <c r="AK326" s="1"/>
      <c r="AQ326" s="1"/>
      <c r="AW326" s="1"/>
      <c r="BC326" s="1"/>
      <c r="BD326" s="1"/>
      <c r="BE326" s="1"/>
      <c r="BF326" s="1"/>
      <c r="BG326" s="1"/>
      <c r="BH326" s="1"/>
      <c r="BI326" s="1"/>
      <c r="BO326" s="1"/>
      <c r="BP326" s="1"/>
      <c r="BQ326" s="1"/>
      <c r="BR326" s="1"/>
      <c r="BS326" s="1"/>
      <c r="BT326" s="1"/>
      <c r="BU326" s="4"/>
    </row>
    <row r="327">
      <c r="A327" s="1"/>
      <c r="M327" s="1"/>
      <c r="Y327" s="1"/>
      <c r="AK327" s="1"/>
      <c r="AQ327" s="1"/>
      <c r="AW327" s="1"/>
      <c r="BC327" s="1"/>
      <c r="BD327" s="1"/>
      <c r="BE327" s="1"/>
      <c r="BF327" s="1"/>
      <c r="BG327" s="1"/>
      <c r="BH327" s="1"/>
      <c r="BI327" s="1"/>
      <c r="BO327" s="1"/>
      <c r="BP327" s="1"/>
      <c r="BQ327" s="1"/>
      <c r="BR327" s="1"/>
      <c r="BS327" s="1"/>
      <c r="BT327" s="1"/>
      <c r="BU327" s="4"/>
    </row>
    <row r="328">
      <c r="A328" s="1"/>
      <c r="M328" s="1"/>
      <c r="Y328" s="1"/>
      <c r="AK328" s="1"/>
      <c r="AQ328" s="1"/>
      <c r="AW328" s="1"/>
      <c r="BC328" s="1"/>
      <c r="BD328" s="1"/>
      <c r="BE328" s="1"/>
      <c r="BF328" s="1"/>
      <c r="BG328" s="1"/>
      <c r="BH328" s="1"/>
      <c r="BI328" s="1"/>
      <c r="BO328" s="1"/>
      <c r="BP328" s="1"/>
      <c r="BQ328" s="1"/>
      <c r="BR328" s="1"/>
      <c r="BS328" s="1"/>
      <c r="BT328" s="1"/>
      <c r="BU328" s="4"/>
    </row>
    <row r="329">
      <c r="A329" s="1"/>
      <c r="M329" s="1"/>
      <c r="Y329" s="1"/>
      <c r="AK329" s="1"/>
      <c r="AQ329" s="1"/>
      <c r="AW329" s="1"/>
      <c r="BC329" s="1"/>
      <c r="BD329" s="1"/>
      <c r="BE329" s="1"/>
      <c r="BF329" s="1"/>
      <c r="BG329" s="1"/>
      <c r="BH329" s="1"/>
      <c r="BI329" s="1"/>
      <c r="BO329" s="1"/>
      <c r="BP329" s="1"/>
      <c r="BQ329" s="1"/>
      <c r="BR329" s="1"/>
      <c r="BS329" s="1"/>
      <c r="BT329" s="1"/>
      <c r="BU329" s="4"/>
    </row>
    <row r="330">
      <c r="A330" s="1"/>
      <c r="M330" s="1"/>
      <c r="Y330" s="1"/>
      <c r="AK330" s="1"/>
      <c r="AQ330" s="1"/>
      <c r="AW330" s="1"/>
      <c r="BC330" s="1"/>
      <c r="BD330" s="1"/>
      <c r="BE330" s="1"/>
      <c r="BF330" s="1"/>
      <c r="BG330" s="1"/>
      <c r="BH330" s="1"/>
      <c r="BI330" s="1"/>
      <c r="BO330" s="1"/>
      <c r="BP330" s="1"/>
      <c r="BQ330" s="1"/>
      <c r="BR330" s="1"/>
      <c r="BS330" s="1"/>
      <c r="BT330" s="1"/>
      <c r="BU330" s="4"/>
    </row>
    <row r="331">
      <c r="A331" s="1"/>
      <c r="M331" s="1"/>
      <c r="Y331" s="1"/>
      <c r="AK331" s="1"/>
      <c r="AQ331" s="1"/>
      <c r="AW331" s="1"/>
      <c r="BC331" s="1"/>
      <c r="BD331" s="1"/>
      <c r="BE331" s="1"/>
      <c r="BF331" s="1"/>
      <c r="BG331" s="1"/>
      <c r="BH331" s="1"/>
      <c r="BI331" s="1"/>
      <c r="BO331" s="1"/>
      <c r="BP331" s="1"/>
      <c r="BQ331" s="1"/>
      <c r="BR331" s="1"/>
      <c r="BS331" s="1"/>
      <c r="BT331" s="1"/>
      <c r="BU331" s="4"/>
    </row>
    <row r="332">
      <c r="A332" s="1"/>
      <c r="M332" s="1"/>
      <c r="Y332" s="1"/>
      <c r="AK332" s="1"/>
      <c r="AQ332" s="1"/>
      <c r="AW332" s="1"/>
      <c r="BC332" s="1"/>
      <c r="BD332" s="1"/>
      <c r="BE332" s="1"/>
      <c r="BF332" s="1"/>
      <c r="BG332" s="1"/>
      <c r="BH332" s="1"/>
      <c r="BI332" s="1"/>
      <c r="BO332" s="1"/>
      <c r="BP332" s="1"/>
      <c r="BQ332" s="1"/>
      <c r="BR332" s="1"/>
      <c r="BS332" s="1"/>
      <c r="BT332" s="1"/>
      <c r="BU332" s="4"/>
    </row>
    <row r="333">
      <c r="A333" s="1"/>
      <c r="M333" s="1"/>
      <c r="Y333" s="1"/>
      <c r="AK333" s="1"/>
      <c r="AQ333" s="1"/>
      <c r="AW333" s="1"/>
      <c r="BC333" s="1"/>
      <c r="BD333" s="1"/>
      <c r="BE333" s="1"/>
      <c r="BF333" s="1"/>
      <c r="BG333" s="1"/>
      <c r="BH333" s="1"/>
      <c r="BI333" s="1"/>
      <c r="BO333" s="1"/>
      <c r="BP333" s="1"/>
      <c r="BQ333" s="1"/>
      <c r="BR333" s="1"/>
      <c r="BS333" s="1"/>
      <c r="BT333" s="1"/>
      <c r="BU333" s="4"/>
    </row>
    <row r="334">
      <c r="A334" s="1"/>
      <c r="M334" s="1"/>
      <c r="Y334" s="1"/>
      <c r="AK334" s="1"/>
      <c r="AQ334" s="1"/>
      <c r="AW334" s="1"/>
      <c r="BC334" s="1"/>
      <c r="BD334" s="1"/>
      <c r="BE334" s="1"/>
      <c r="BF334" s="1"/>
      <c r="BG334" s="1"/>
      <c r="BH334" s="1"/>
      <c r="BI334" s="1"/>
      <c r="BO334" s="1"/>
      <c r="BP334" s="1"/>
      <c r="BQ334" s="1"/>
      <c r="BR334" s="1"/>
      <c r="BS334" s="1"/>
      <c r="BT334" s="1"/>
      <c r="BU334" s="4"/>
    </row>
    <row r="335">
      <c r="A335" s="1"/>
      <c r="M335" s="1"/>
      <c r="Y335" s="1"/>
      <c r="AK335" s="1"/>
      <c r="AQ335" s="1"/>
      <c r="AW335" s="1"/>
      <c r="BC335" s="1"/>
      <c r="BD335" s="1"/>
      <c r="BE335" s="1"/>
      <c r="BF335" s="1"/>
      <c r="BG335" s="1"/>
      <c r="BH335" s="1"/>
      <c r="BI335" s="1"/>
      <c r="BO335" s="1"/>
      <c r="BP335" s="1"/>
      <c r="BQ335" s="1"/>
      <c r="BR335" s="1"/>
      <c r="BS335" s="1"/>
      <c r="BT335" s="1"/>
      <c r="BU335" s="4"/>
    </row>
    <row r="336">
      <c r="A336" s="1"/>
      <c r="M336" s="1"/>
      <c r="Y336" s="1"/>
      <c r="AK336" s="1"/>
      <c r="AQ336" s="1"/>
      <c r="AW336" s="1"/>
      <c r="BC336" s="1"/>
      <c r="BD336" s="1"/>
      <c r="BE336" s="1"/>
      <c r="BF336" s="1"/>
      <c r="BG336" s="1"/>
      <c r="BH336" s="1"/>
      <c r="BI336" s="1"/>
      <c r="BO336" s="1"/>
      <c r="BP336" s="1"/>
      <c r="BQ336" s="1"/>
      <c r="BR336" s="1"/>
      <c r="BS336" s="1"/>
      <c r="BT336" s="1"/>
      <c r="BU336" s="4"/>
    </row>
    <row r="337">
      <c r="A337" s="1"/>
      <c r="M337" s="1"/>
      <c r="Y337" s="1"/>
      <c r="AK337" s="1"/>
      <c r="AQ337" s="1"/>
      <c r="AW337" s="1"/>
      <c r="BC337" s="1"/>
      <c r="BD337" s="1"/>
      <c r="BE337" s="1"/>
      <c r="BF337" s="1"/>
      <c r="BG337" s="1"/>
      <c r="BH337" s="1"/>
      <c r="BI337" s="1"/>
      <c r="BO337" s="1"/>
      <c r="BP337" s="1"/>
      <c r="BQ337" s="1"/>
      <c r="BR337" s="1"/>
      <c r="BS337" s="1"/>
      <c r="BT337" s="1"/>
      <c r="BU337" s="4"/>
    </row>
    <row r="338">
      <c r="A338" s="1"/>
      <c r="M338" s="1"/>
      <c r="Y338" s="1"/>
      <c r="AK338" s="1"/>
      <c r="AQ338" s="1"/>
      <c r="AW338" s="1"/>
      <c r="BC338" s="1"/>
      <c r="BD338" s="1"/>
      <c r="BE338" s="1"/>
      <c r="BF338" s="1"/>
      <c r="BG338" s="1"/>
      <c r="BH338" s="1"/>
      <c r="BI338" s="1"/>
      <c r="BO338" s="1"/>
      <c r="BP338" s="1"/>
      <c r="BQ338" s="1"/>
      <c r="BR338" s="1"/>
      <c r="BS338" s="1"/>
      <c r="BT338" s="1"/>
      <c r="BU338" s="4"/>
    </row>
    <row r="339">
      <c r="A339" s="1"/>
      <c r="M339" s="1"/>
      <c r="Y339" s="1"/>
      <c r="AK339" s="1"/>
      <c r="AQ339" s="1"/>
      <c r="AW339" s="1"/>
      <c r="BC339" s="1"/>
      <c r="BD339" s="1"/>
      <c r="BE339" s="1"/>
      <c r="BF339" s="1"/>
      <c r="BG339" s="1"/>
      <c r="BH339" s="1"/>
      <c r="BI339" s="1"/>
      <c r="BO339" s="1"/>
      <c r="BP339" s="1"/>
      <c r="BQ339" s="1"/>
      <c r="BR339" s="1"/>
      <c r="BS339" s="1"/>
      <c r="BT339" s="1"/>
      <c r="BU339" s="4"/>
    </row>
    <row r="340">
      <c r="A340" s="1"/>
      <c r="M340" s="1"/>
      <c r="Y340" s="1"/>
      <c r="AK340" s="1"/>
      <c r="AQ340" s="1"/>
      <c r="AW340" s="1"/>
      <c r="BC340" s="1"/>
      <c r="BD340" s="1"/>
      <c r="BE340" s="1"/>
      <c r="BF340" s="1"/>
      <c r="BG340" s="1"/>
      <c r="BH340" s="1"/>
      <c r="BI340" s="1"/>
      <c r="BO340" s="1"/>
      <c r="BP340" s="1"/>
      <c r="BQ340" s="1"/>
      <c r="BR340" s="1"/>
      <c r="BS340" s="1"/>
      <c r="BT340" s="1"/>
      <c r="BU340" s="4"/>
    </row>
    <row r="341">
      <c r="A341" s="1"/>
      <c r="M341" s="1"/>
      <c r="Y341" s="1"/>
      <c r="AK341" s="1"/>
      <c r="AQ341" s="1"/>
      <c r="AW341" s="1"/>
      <c r="BC341" s="1"/>
      <c r="BD341" s="1"/>
      <c r="BE341" s="1"/>
      <c r="BF341" s="1"/>
      <c r="BG341" s="1"/>
      <c r="BH341" s="1"/>
      <c r="BI341" s="1"/>
      <c r="BO341" s="1"/>
      <c r="BP341" s="1"/>
      <c r="BQ341" s="1"/>
      <c r="BR341" s="1"/>
      <c r="BS341" s="1"/>
      <c r="BT341" s="1"/>
      <c r="BU341" s="4"/>
    </row>
    <row r="342">
      <c r="A342" s="1"/>
      <c r="M342" s="1"/>
      <c r="Y342" s="1"/>
      <c r="AK342" s="1"/>
      <c r="AQ342" s="1"/>
      <c r="AW342" s="1"/>
      <c r="BC342" s="1"/>
      <c r="BD342" s="1"/>
      <c r="BE342" s="1"/>
      <c r="BF342" s="1"/>
      <c r="BG342" s="1"/>
      <c r="BH342" s="1"/>
      <c r="BI342" s="1"/>
      <c r="BO342" s="1"/>
      <c r="BP342" s="1"/>
      <c r="BQ342" s="1"/>
      <c r="BR342" s="1"/>
      <c r="BS342" s="1"/>
      <c r="BT342" s="1"/>
      <c r="BU342" s="4"/>
    </row>
    <row r="343">
      <c r="A343" s="1"/>
      <c r="M343" s="1"/>
      <c r="Y343" s="1"/>
      <c r="AK343" s="1"/>
      <c r="AQ343" s="1"/>
      <c r="AW343" s="1"/>
      <c r="BC343" s="1"/>
      <c r="BD343" s="1"/>
      <c r="BE343" s="1"/>
      <c r="BF343" s="1"/>
      <c r="BG343" s="1"/>
      <c r="BH343" s="1"/>
      <c r="BI343" s="1"/>
      <c r="BO343" s="1"/>
      <c r="BP343" s="1"/>
      <c r="BQ343" s="1"/>
      <c r="BR343" s="1"/>
      <c r="BS343" s="1"/>
      <c r="BT343" s="1"/>
      <c r="BU343" s="4"/>
    </row>
    <row r="344">
      <c r="A344" s="1"/>
      <c r="M344" s="1"/>
      <c r="Y344" s="1"/>
      <c r="AK344" s="1"/>
      <c r="AQ344" s="1"/>
      <c r="AW344" s="1"/>
      <c r="BC344" s="1"/>
      <c r="BD344" s="1"/>
      <c r="BE344" s="1"/>
      <c r="BF344" s="1"/>
      <c r="BG344" s="1"/>
      <c r="BH344" s="1"/>
      <c r="BI344" s="1"/>
      <c r="BO344" s="1"/>
      <c r="BP344" s="1"/>
      <c r="BQ344" s="1"/>
      <c r="BR344" s="1"/>
      <c r="BS344" s="1"/>
      <c r="BT344" s="1"/>
      <c r="BU344" s="4"/>
    </row>
    <row r="345">
      <c r="A345" s="1"/>
      <c r="M345" s="1"/>
      <c r="Y345" s="1"/>
      <c r="AK345" s="1"/>
      <c r="AQ345" s="1"/>
      <c r="AW345" s="1"/>
      <c r="BC345" s="1"/>
      <c r="BD345" s="1"/>
      <c r="BE345" s="1"/>
      <c r="BF345" s="1"/>
      <c r="BG345" s="1"/>
      <c r="BH345" s="1"/>
      <c r="BI345" s="1"/>
      <c r="BO345" s="1"/>
      <c r="BP345" s="1"/>
      <c r="BQ345" s="1"/>
      <c r="BR345" s="1"/>
      <c r="BS345" s="1"/>
      <c r="BT345" s="1"/>
      <c r="BU345" s="4"/>
    </row>
    <row r="346">
      <c r="A346" s="1"/>
      <c r="M346" s="1"/>
      <c r="Y346" s="1"/>
      <c r="AK346" s="1"/>
      <c r="AQ346" s="1"/>
      <c r="AW346" s="1"/>
      <c r="BC346" s="1"/>
      <c r="BD346" s="1"/>
      <c r="BE346" s="1"/>
      <c r="BF346" s="1"/>
      <c r="BG346" s="1"/>
      <c r="BH346" s="1"/>
      <c r="BI346" s="1"/>
      <c r="BO346" s="1"/>
      <c r="BP346" s="1"/>
      <c r="BQ346" s="1"/>
      <c r="BR346" s="1"/>
      <c r="BS346" s="1"/>
      <c r="BT346" s="1"/>
      <c r="BU346" s="4"/>
    </row>
    <row r="347">
      <c r="A347" s="1"/>
      <c r="M347" s="1"/>
      <c r="Y347" s="1"/>
      <c r="AK347" s="1"/>
      <c r="AQ347" s="1"/>
      <c r="AW347" s="1"/>
      <c r="BC347" s="1"/>
      <c r="BD347" s="1"/>
      <c r="BE347" s="1"/>
      <c r="BF347" s="1"/>
      <c r="BG347" s="1"/>
      <c r="BH347" s="1"/>
      <c r="BI347" s="1"/>
      <c r="BO347" s="1"/>
      <c r="BP347" s="1"/>
      <c r="BQ347" s="1"/>
      <c r="BR347" s="1"/>
      <c r="BS347" s="1"/>
      <c r="BT347" s="1"/>
      <c r="BU347" s="4"/>
    </row>
    <row r="348">
      <c r="A348" s="1"/>
      <c r="M348" s="1"/>
      <c r="Y348" s="1"/>
      <c r="AK348" s="1"/>
      <c r="AQ348" s="1"/>
      <c r="AW348" s="1"/>
      <c r="BC348" s="1"/>
      <c r="BD348" s="1"/>
      <c r="BE348" s="1"/>
      <c r="BF348" s="1"/>
      <c r="BG348" s="1"/>
      <c r="BH348" s="1"/>
      <c r="BI348" s="1"/>
      <c r="BO348" s="1"/>
      <c r="BP348" s="1"/>
      <c r="BQ348" s="1"/>
      <c r="BR348" s="1"/>
      <c r="BS348" s="1"/>
      <c r="BT348" s="1"/>
      <c r="BU348" s="4"/>
    </row>
    <row r="349">
      <c r="A349" s="1"/>
      <c r="M349" s="1"/>
      <c r="Y349" s="1"/>
      <c r="AK349" s="1"/>
      <c r="AQ349" s="1"/>
      <c r="AW349" s="1"/>
      <c r="BC349" s="1"/>
      <c r="BD349" s="1"/>
      <c r="BE349" s="1"/>
      <c r="BF349" s="1"/>
      <c r="BG349" s="1"/>
      <c r="BH349" s="1"/>
      <c r="BI349" s="1"/>
      <c r="BO349" s="1"/>
      <c r="BP349" s="1"/>
      <c r="BQ349" s="1"/>
      <c r="BR349" s="1"/>
      <c r="BS349" s="1"/>
      <c r="BT349" s="1"/>
      <c r="BU349" s="4"/>
    </row>
    <row r="350">
      <c r="A350" s="1"/>
      <c r="M350" s="1"/>
      <c r="Y350" s="1"/>
      <c r="AK350" s="1"/>
      <c r="AQ350" s="1"/>
      <c r="AW350" s="1"/>
      <c r="BC350" s="1"/>
      <c r="BD350" s="1"/>
      <c r="BE350" s="1"/>
      <c r="BF350" s="1"/>
      <c r="BG350" s="1"/>
      <c r="BH350" s="1"/>
      <c r="BI350" s="1"/>
      <c r="BO350" s="1"/>
      <c r="BP350" s="1"/>
      <c r="BQ350" s="1"/>
      <c r="BR350" s="1"/>
      <c r="BS350" s="1"/>
      <c r="BT350" s="1"/>
      <c r="BU350" s="4"/>
    </row>
    <row r="351">
      <c r="A351" s="1"/>
      <c r="M351" s="1"/>
      <c r="Y351" s="1"/>
      <c r="AK351" s="1"/>
      <c r="AQ351" s="1"/>
      <c r="AW351" s="1"/>
      <c r="BC351" s="1"/>
      <c r="BD351" s="1"/>
      <c r="BE351" s="1"/>
      <c r="BF351" s="1"/>
      <c r="BG351" s="1"/>
      <c r="BH351" s="1"/>
      <c r="BI351" s="1"/>
      <c r="BO351" s="1"/>
      <c r="BP351" s="1"/>
      <c r="BQ351" s="1"/>
      <c r="BR351" s="1"/>
      <c r="BS351" s="1"/>
      <c r="BT351" s="1"/>
      <c r="BU351" s="4"/>
    </row>
    <row r="352">
      <c r="A352" s="1"/>
      <c r="M352" s="1"/>
      <c r="Y352" s="1"/>
      <c r="AK352" s="1"/>
      <c r="AQ352" s="1"/>
      <c r="AW352" s="1"/>
      <c r="BC352" s="1"/>
      <c r="BD352" s="1"/>
      <c r="BE352" s="1"/>
      <c r="BF352" s="1"/>
      <c r="BG352" s="1"/>
      <c r="BH352" s="1"/>
      <c r="BI352" s="1"/>
      <c r="BO352" s="1"/>
      <c r="BP352" s="1"/>
      <c r="BQ352" s="1"/>
      <c r="BR352" s="1"/>
      <c r="BS352" s="1"/>
      <c r="BT352" s="1"/>
      <c r="BU352" s="4"/>
    </row>
    <row r="353">
      <c r="A353" s="1"/>
      <c r="M353" s="1"/>
      <c r="Y353" s="1"/>
      <c r="AK353" s="1"/>
      <c r="AQ353" s="1"/>
      <c r="AW353" s="1"/>
      <c r="BC353" s="1"/>
      <c r="BD353" s="1"/>
      <c r="BE353" s="1"/>
      <c r="BF353" s="1"/>
      <c r="BG353" s="1"/>
      <c r="BH353" s="1"/>
      <c r="BI353" s="1"/>
      <c r="BO353" s="1"/>
      <c r="BP353" s="1"/>
      <c r="BQ353" s="1"/>
      <c r="BR353" s="1"/>
      <c r="BS353" s="1"/>
      <c r="BT353" s="1"/>
      <c r="BU353" s="4"/>
    </row>
    <row r="354">
      <c r="A354" s="1"/>
      <c r="M354" s="1"/>
      <c r="Y354" s="1"/>
      <c r="AK354" s="1"/>
      <c r="AQ354" s="1"/>
      <c r="AW354" s="1"/>
      <c r="BC354" s="1"/>
      <c r="BD354" s="1"/>
      <c r="BE354" s="1"/>
      <c r="BF354" s="1"/>
      <c r="BG354" s="1"/>
      <c r="BH354" s="1"/>
      <c r="BI354" s="1"/>
      <c r="BO354" s="1"/>
      <c r="BP354" s="1"/>
      <c r="BQ354" s="1"/>
      <c r="BR354" s="1"/>
      <c r="BS354" s="1"/>
      <c r="BT354" s="1"/>
      <c r="BU354" s="4"/>
    </row>
    <row r="355">
      <c r="A355" s="1"/>
      <c r="M355" s="1"/>
      <c r="Y355" s="1"/>
      <c r="AK355" s="1"/>
      <c r="AQ355" s="1"/>
      <c r="AW355" s="1"/>
      <c r="BC355" s="1"/>
      <c r="BD355" s="1"/>
      <c r="BE355" s="1"/>
      <c r="BF355" s="1"/>
      <c r="BG355" s="1"/>
      <c r="BH355" s="1"/>
      <c r="BI355" s="1"/>
      <c r="BO355" s="1"/>
      <c r="BP355" s="1"/>
      <c r="BQ355" s="1"/>
      <c r="BR355" s="1"/>
      <c r="BS355" s="1"/>
      <c r="BT355" s="1"/>
      <c r="BU355" s="4"/>
    </row>
    <row r="356">
      <c r="A356" s="1"/>
      <c r="M356" s="1"/>
      <c r="Y356" s="1"/>
      <c r="AK356" s="1"/>
      <c r="AQ356" s="1"/>
      <c r="AW356" s="1"/>
      <c r="BC356" s="1"/>
      <c r="BD356" s="1"/>
      <c r="BE356" s="1"/>
      <c r="BF356" s="1"/>
      <c r="BG356" s="1"/>
      <c r="BH356" s="1"/>
      <c r="BI356" s="1"/>
      <c r="BO356" s="1"/>
      <c r="BP356" s="1"/>
      <c r="BQ356" s="1"/>
      <c r="BR356" s="1"/>
      <c r="BS356" s="1"/>
      <c r="BT356" s="1"/>
      <c r="BU356" s="4"/>
    </row>
    <row r="357">
      <c r="A357" s="1"/>
      <c r="M357" s="1"/>
      <c r="Y357" s="1"/>
      <c r="AK357" s="1"/>
      <c r="AQ357" s="1"/>
      <c r="AW357" s="1"/>
      <c r="BC357" s="1"/>
      <c r="BD357" s="1"/>
      <c r="BE357" s="1"/>
      <c r="BF357" s="1"/>
      <c r="BG357" s="1"/>
      <c r="BH357" s="1"/>
      <c r="BI357" s="1"/>
      <c r="BO357" s="1"/>
      <c r="BP357" s="1"/>
      <c r="BQ357" s="1"/>
      <c r="BR357" s="1"/>
      <c r="BS357" s="1"/>
      <c r="BT357" s="1"/>
      <c r="BU357" s="4"/>
    </row>
    <row r="358">
      <c r="A358" s="1"/>
      <c r="M358" s="1"/>
      <c r="Y358" s="1"/>
      <c r="AK358" s="1"/>
      <c r="AQ358" s="1"/>
      <c r="AW358" s="1"/>
      <c r="BC358" s="1"/>
      <c r="BD358" s="1"/>
      <c r="BE358" s="1"/>
      <c r="BF358" s="1"/>
      <c r="BG358" s="1"/>
      <c r="BH358" s="1"/>
      <c r="BI358" s="1"/>
      <c r="BO358" s="1"/>
      <c r="BP358" s="1"/>
      <c r="BQ358" s="1"/>
      <c r="BR358" s="1"/>
      <c r="BS358" s="1"/>
      <c r="BT358" s="1"/>
      <c r="BU358" s="4"/>
    </row>
    <row r="359">
      <c r="A359" s="1"/>
      <c r="M359" s="1"/>
      <c r="Y359" s="1"/>
      <c r="AK359" s="1"/>
      <c r="AQ359" s="1"/>
      <c r="AW359" s="1"/>
      <c r="BC359" s="1"/>
      <c r="BD359" s="1"/>
      <c r="BE359" s="1"/>
      <c r="BF359" s="1"/>
      <c r="BG359" s="1"/>
      <c r="BH359" s="1"/>
      <c r="BI359" s="1"/>
      <c r="BO359" s="1"/>
      <c r="BP359" s="1"/>
      <c r="BQ359" s="1"/>
      <c r="BR359" s="1"/>
      <c r="BS359" s="1"/>
      <c r="BT359" s="1"/>
      <c r="BU359" s="4"/>
    </row>
    <row r="360">
      <c r="A360" s="1"/>
      <c r="M360" s="1"/>
      <c r="Y360" s="1"/>
      <c r="AK360" s="1"/>
      <c r="AQ360" s="1"/>
      <c r="AW360" s="1"/>
      <c r="BC360" s="1"/>
      <c r="BD360" s="1"/>
      <c r="BE360" s="1"/>
      <c r="BF360" s="1"/>
      <c r="BG360" s="1"/>
      <c r="BH360" s="1"/>
      <c r="BI360" s="1"/>
      <c r="BO360" s="1"/>
      <c r="BP360" s="1"/>
      <c r="BQ360" s="1"/>
      <c r="BR360" s="1"/>
      <c r="BS360" s="1"/>
      <c r="BT360" s="1"/>
      <c r="BU360" s="4"/>
    </row>
    <row r="361">
      <c r="A361" s="1"/>
      <c r="M361" s="1"/>
      <c r="Y361" s="1"/>
      <c r="AK361" s="1"/>
      <c r="AQ361" s="1"/>
      <c r="AW361" s="1"/>
      <c r="BC361" s="1"/>
      <c r="BD361" s="1"/>
      <c r="BE361" s="1"/>
      <c r="BF361" s="1"/>
      <c r="BG361" s="1"/>
      <c r="BH361" s="1"/>
      <c r="BI361" s="1"/>
      <c r="BO361" s="1"/>
      <c r="BP361" s="1"/>
      <c r="BQ361" s="1"/>
      <c r="BR361" s="1"/>
      <c r="BS361" s="1"/>
      <c r="BT361" s="1"/>
      <c r="BU361" s="4"/>
    </row>
    <row r="362">
      <c r="A362" s="1"/>
      <c r="M362" s="1"/>
      <c r="Y362" s="1"/>
      <c r="AK362" s="1"/>
      <c r="AQ362" s="1"/>
      <c r="AW362" s="1"/>
      <c r="BC362" s="1"/>
      <c r="BD362" s="1"/>
      <c r="BE362" s="1"/>
      <c r="BF362" s="1"/>
      <c r="BG362" s="1"/>
      <c r="BH362" s="1"/>
      <c r="BI362" s="1"/>
      <c r="BO362" s="1"/>
      <c r="BP362" s="1"/>
      <c r="BQ362" s="1"/>
      <c r="BR362" s="1"/>
      <c r="BS362" s="1"/>
      <c r="BT362" s="1"/>
      <c r="BU362" s="4"/>
    </row>
    <row r="363">
      <c r="A363" s="1"/>
      <c r="M363" s="1"/>
      <c r="Y363" s="1"/>
      <c r="AK363" s="1"/>
      <c r="AQ363" s="1"/>
      <c r="AW363" s="1"/>
      <c r="BC363" s="1"/>
      <c r="BD363" s="1"/>
      <c r="BE363" s="1"/>
      <c r="BF363" s="1"/>
      <c r="BG363" s="1"/>
      <c r="BH363" s="1"/>
      <c r="BI363" s="1"/>
      <c r="BO363" s="1"/>
      <c r="BP363" s="1"/>
      <c r="BQ363" s="1"/>
      <c r="BR363" s="1"/>
      <c r="BS363" s="1"/>
      <c r="BT363" s="1"/>
      <c r="BU363" s="4"/>
    </row>
    <row r="364">
      <c r="A364" s="1"/>
      <c r="M364" s="1"/>
      <c r="Y364" s="1"/>
      <c r="AK364" s="1"/>
      <c r="AQ364" s="1"/>
      <c r="AW364" s="1"/>
      <c r="BC364" s="1"/>
      <c r="BD364" s="1"/>
      <c r="BE364" s="1"/>
      <c r="BF364" s="1"/>
      <c r="BG364" s="1"/>
      <c r="BH364" s="1"/>
      <c r="BI364" s="1"/>
      <c r="BO364" s="1"/>
      <c r="BP364" s="1"/>
      <c r="BQ364" s="1"/>
      <c r="BR364" s="1"/>
      <c r="BS364" s="1"/>
      <c r="BT364" s="1"/>
      <c r="BU364" s="4"/>
    </row>
    <row r="365">
      <c r="A365" s="1"/>
      <c r="M365" s="1"/>
      <c r="Y365" s="1"/>
      <c r="AK365" s="1"/>
      <c r="AQ365" s="1"/>
      <c r="AW365" s="1"/>
      <c r="BC365" s="1"/>
      <c r="BD365" s="1"/>
      <c r="BE365" s="1"/>
      <c r="BF365" s="1"/>
      <c r="BG365" s="1"/>
      <c r="BH365" s="1"/>
      <c r="BI365" s="1"/>
      <c r="BO365" s="1"/>
      <c r="BP365" s="1"/>
      <c r="BQ365" s="1"/>
      <c r="BR365" s="1"/>
      <c r="BS365" s="1"/>
      <c r="BT365" s="1"/>
      <c r="BU365" s="4"/>
    </row>
    <row r="366">
      <c r="A366" s="1"/>
      <c r="M366" s="1"/>
      <c r="Y366" s="1"/>
      <c r="AK366" s="1"/>
      <c r="AQ366" s="1"/>
      <c r="AW366" s="1"/>
      <c r="BC366" s="1"/>
      <c r="BD366" s="1"/>
      <c r="BE366" s="1"/>
      <c r="BF366" s="1"/>
      <c r="BG366" s="1"/>
      <c r="BH366" s="1"/>
      <c r="BI366" s="1"/>
      <c r="BO366" s="1"/>
      <c r="BP366" s="1"/>
      <c r="BQ366" s="1"/>
      <c r="BR366" s="1"/>
      <c r="BS366" s="1"/>
      <c r="BT366" s="1"/>
      <c r="BU366" s="4"/>
    </row>
    <row r="367">
      <c r="A367" s="1"/>
      <c r="M367" s="1"/>
      <c r="Y367" s="1"/>
      <c r="AK367" s="1"/>
      <c r="AQ367" s="1"/>
      <c r="AW367" s="1"/>
      <c r="BC367" s="1"/>
      <c r="BD367" s="1"/>
      <c r="BE367" s="1"/>
      <c r="BF367" s="1"/>
      <c r="BG367" s="1"/>
      <c r="BH367" s="1"/>
      <c r="BI367" s="1"/>
      <c r="BO367" s="1"/>
      <c r="BP367" s="1"/>
      <c r="BQ367" s="1"/>
      <c r="BR367" s="1"/>
      <c r="BS367" s="1"/>
      <c r="BT367" s="1"/>
      <c r="BU367" s="4"/>
    </row>
    <row r="368">
      <c r="A368" s="1"/>
      <c r="M368" s="1"/>
      <c r="Y368" s="1"/>
      <c r="AK368" s="1"/>
      <c r="AQ368" s="1"/>
      <c r="AW368" s="1"/>
      <c r="BC368" s="1"/>
      <c r="BD368" s="1"/>
      <c r="BE368" s="1"/>
      <c r="BF368" s="1"/>
      <c r="BG368" s="1"/>
      <c r="BH368" s="1"/>
      <c r="BI368" s="1"/>
      <c r="BO368" s="1"/>
      <c r="BP368" s="1"/>
      <c r="BQ368" s="1"/>
      <c r="BR368" s="1"/>
      <c r="BS368" s="1"/>
      <c r="BT368" s="1"/>
      <c r="BU368" s="4"/>
    </row>
    <row r="369">
      <c r="A369" s="1"/>
      <c r="M369" s="1"/>
      <c r="Y369" s="1"/>
      <c r="AK369" s="1"/>
      <c r="AQ369" s="1"/>
      <c r="AW369" s="1"/>
      <c r="BC369" s="1"/>
      <c r="BD369" s="1"/>
      <c r="BE369" s="1"/>
      <c r="BF369" s="1"/>
      <c r="BG369" s="1"/>
      <c r="BH369" s="1"/>
      <c r="BI369" s="1"/>
      <c r="BO369" s="1"/>
      <c r="BP369" s="1"/>
      <c r="BQ369" s="1"/>
      <c r="BR369" s="1"/>
      <c r="BS369" s="1"/>
      <c r="BT369" s="1"/>
      <c r="BU369" s="4"/>
    </row>
    <row r="370">
      <c r="A370" s="1"/>
      <c r="M370" s="1"/>
      <c r="Y370" s="1"/>
      <c r="AK370" s="1"/>
      <c r="AQ370" s="1"/>
      <c r="AW370" s="1"/>
      <c r="BC370" s="1"/>
      <c r="BD370" s="1"/>
      <c r="BE370" s="1"/>
      <c r="BF370" s="1"/>
      <c r="BG370" s="1"/>
      <c r="BH370" s="1"/>
      <c r="BI370" s="1"/>
      <c r="BO370" s="1"/>
      <c r="BP370" s="1"/>
      <c r="BQ370" s="1"/>
      <c r="BR370" s="1"/>
      <c r="BS370" s="1"/>
      <c r="BT370" s="1"/>
      <c r="BU370" s="4"/>
    </row>
    <row r="371">
      <c r="A371" s="1"/>
      <c r="M371" s="1"/>
      <c r="Y371" s="1"/>
      <c r="AK371" s="1"/>
      <c r="AQ371" s="1"/>
      <c r="AW371" s="1"/>
      <c r="BC371" s="1"/>
      <c r="BD371" s="1"/>
      <c r="BE371" s="1"/>
      <c r="BF371" s="1"/>
      <c r="BG371" s="1"/>
      <c r="BH371" s="1"/>
      <c r="BI371" s="1"/>
      <c r="BO371" s="1"/>
      <c r="BP371" s="1"/>
      <c r="BQ371" s="1"/>
      <c r="BR371" s="1"/>
      <c r="BS371" s="1"/>
      <c r="BT371" s="1"/>
      <c r="BU371" s="4"/>
    </row>
    <row r="372">
      <c r="A372" s="1"/>
      <c r="M372" s="1"/>
      <c r="Y372" s="1"/>
      <c r="AK372" s="1"/>
      <c r="AQ372" s="1"/>
      <c r="AW372" s="1"/>
      <c r="BC372" s="1"/>
      <c r="BD372" s="1"/>
      <c r="BE372" s="1"/>
      <c r="BF372" s="1"/>
      <c r="BG372" s="1"/>
      <c r="BH372" s="1"/>
      <c r="BI372" s="1"/>
      <c r="BO372" s="1"/>
      <c r="BP372" s="1"/>
      <c r="BQ372" s="1"/>
      <c r="BR372" s="1"/>
      <c r="BS372" s="1"/>
      <c r="BT372" s="1"/>
      <c r="BU372" s="4"/>
    </row>
    <row r="373">
      <c r="A373" s="1"/>
      <c r="M373" s="1"/>
      <c r="Y373" s="1"/>
      <c r="AK373" s="1"/>
      <c r="AQ373" s="1"/>
      <c r="AW373" s="1"/>
      <c r="BC373" s="1"/>
      <c r="BD373" s="1"/>
      <c r="BE373" s="1"/>
      <c r="BF373" s="1"/>
      <c r="BG373" s="1"/>
      <c r="BH373" s="1"/>
      <c r="BI373" s="1"/>
      <c r="BO373" s="1"/>
      <c r="BP373" s="1"/>
      <c r="BQ373" s="1"/>
      <c r="BR373" s="1"/>
      <c r="BS373" s="1"/>
      <c r="BT373" s="1"/>
      <c r="BU373" s="4"/>
    </row>
    <row r="374">
      <c r="A374" s="1"/>
      <c r="M374" s="1"/>
      <c r="Y374" s="1"/>
      <c r="AK374" s="1"/>
      <c r="AQ374" s="1"/>
      <c r="AW374" s="1"/>
      <c r="BC374" s="1"/>
      <c r="BD374" s="1"/>
      <c r="BE374" s="1"/>
      <c r="BF374" s="1"/>
      <c r="BG374" s="1"/>
      <c r="BH374" s="1"/>
      <c r="BI374" s="1"/>
      <c r="BO374" s="1"/>
      <c r="BP374" s="1"/>
      <c r="BQ374" s="1"/>
      <c r="BR374" s="1"/>
      <c r="BS374" s="1"/>
      <c r="BT374" s="1"/>
      <c r="BU374" s="4"/>
    </row>
    <row r="375">
      <c r="A375" s="1"/>
      <c r="M375" s="1"/>
      <c r="Y375" s="1"/>
      <c r="AK375" s="1"/>
      <c r="AQ375" s="1"/>
      <c r="AW375" s="1"/>
      <c r="BC375" s="1"/>
      <c r="BD375" s="1"/>
      <c r="BE375" s="1"/>
      <c r="BF375" s="1"/>
      <c r="BG375" s="1"/>
      <c r="BH375" s="1"/>
      <c r="BI375" s="1"/>
      <c r="BO375" s="1"/>
      <c r="BP375" s="1"/>
      <c r="BQ375" s="1"/>
      <c r="BR375" s="1"/>
      <c r="BS375" s="1"/>
      <c r="BT375" s="1"/>
      <c r="BU375" s="4"/>
    </row>
    <row r="376">
      <c r="A376" s="1"/>
      <c r="M376" s="1"/>
      <c r="Y376" s="1"/>
      <c r="AK376" s="1"/>
      <c r="AQ376" s="1"/>
      <c r="AW376" s="1"/>
      <c r="BC376" s="1"/>
      <c r="BD376" s="1"/>
      <c r="BE376" s="1"/>
      <c r="BF376" s="1"/>
      <c r="BG376" s="1"/>
      <c r="BH376" s="1"/>
      <c r="BI376" s="1"/>
      <c r="BO376" s="1"/>
      <c r="BP376" s="1"/>
      <c r="BQ376" s="1"/>
      <c r="BR376" s="1"/>
      <c r="BS376" s="1"/>
      <c r="BT376" s="1"/>
      <c r="BU376" s="4"/>
    </row>
    <row r="377">
      <c r="A377" s="1"/>
      <c r="M377" s="1"/>
      <c r="Y377" s="1"/>
      <c r="AK377" s="1"/>
      <c r="AQ377" s="1"/>
      <c r="AW377" s="1"/>
      <c r="BC377" s="1"/>
      <c r="BD377" s="1"/>
      <c r="BE377" s="1"/>
      <c r="BF377" s="1"/>
      <c r="BG377" s="1"/>
      <c r="BH377" s="1"/>
      <c r="BI377" s="1"/>
      <c r="BO377" s="1"/>
      <c r="BP377" s="1"/>
      <c r="BQ377" s="1"/>
      <c r="BR377" s="1"/>
      <c r="BS377" s="1"/>
      <c r="BT377" s="1"/>
      <c r="BU377" s="4"/>
    </row>
    <row r="378">
      <c r="A378" s="1"/>
      <c r="M378" s="1"/>
      <c r="Y378" s="1"/>
      <c r="AK378" s="1"/>
      <c r="AQ378" s="1"/>
      <c r="AW378" s="1"/>
      <c r="BC378" s="1"/>
      <c r="BD378" s="1"/>
      <c r="BE378" s="1"/>
      <c r="BF378" s="1"/>
      <c r="BG378" s="1"/>
      <c r="BH378" s="1"/>
      <c r="BI378" s="1"/>
      <c r="BO378" s="1"/>
      <c r="BP378" s="1"/>
      <c r="BQ378" s="1"/>
      <c r="BR378" s="1"/>
      <c r="BS378" s="1"/>
      <c r="BT378" s="1"/>
      <c r="BU378" s="4"/>
    </row>
    <row r="379">
      <c r="A379" s="1"/>
      <c r="M379" s="1"/>
      <c r="Y379" s="1"/>
      <c r="AK379" s="1"/>
      <c r="AQ379" s="1"/>
      <c r="AW379" s="1"/>
      <c r="BC379" s="1"/>
      <c r="BD379" s="1"/>
      <c r="BE379" s="1"/>
      <c r="BF379" s="1"/>
      <c r="BG379" s="1"/>
      <c r="BH379" s="1"/>
      <c r="BI379" s="1"/>
      <c r="BO379" s="1"/>
      <c r="BP379" s="1"/>
      <c r="BQ379" s="1"/>
      <c r="BR379" s="1"/>
      <c r="BS379" s="1"/>
      <c r="BT379" s="1"/>
      <c r="BU379" s="4"/>
    </row>
    <row r="380">
      <c r="A380" s="1"/>
      <c r="M380" s="1"/>
      <c r="Y380" s="1"/>
      <c r="AK380" s="1"/>
      <c r="AQ380" s="1"/>
      <c r="AW380" s="1"/>
      <c r="BC380" s="1"/>
      <c r="BD380" s="1"/>
      <c r="BE380" s="1"/>
      <c r="BF380" s="1"/>
      <c r="BG380" s="1"/>
      <c r="BH380" s="1"/>
      <c r="BI380" s="1"/>
      <c r="BO380" s="1"/>
      <c r="BP380" s="1"/>
      <c r="BQ380" s="1"/>
      <c r="BR380" s="1"/>
      <c r="BS380" s="1"/>
      <c r="BT380" s="1"/>
      <c r="BU380" s="4"/>
    </row>
    <row r="381">
      <c r="A381" s="1"/>
      <c r="M381" s="1"/>
      <c r="Y381" s="1"/>
      <c r="AK381" s="1"/>
      <c r="AQ381" s="1"/>
      <c r="AW381" s="1"/>
      <c r="BC381" s="1"/>
      <c r="BD381" s="1"/>
      <c r="BE381" s="1"/>
      <c r="BF381" s="1"/>
      <c r="BG381" s="1"/>
      <c r="BH381" s="1"/>
      <c r="BI381" s="1"/>
      <c r="BO381" s="1"/>
      <c r="BP381" s="1"/>
      <c r="BQ381" s="1"/>
      <c r="BR381" s="1"/>
      <c r="BS381" s="1"/>
      <c r="BT381" s="1"/>
      <c r="BU381" s="4"/>
    </row>
    <row r="382">
      <c r="A382" s="1"/>
      <c r="M382" s="1"/>
      <c r="Y382" s="1"/>
      <c r="AK382" s="1"/>
      <c r="AQ382" s="1"/>
      <c r="AW382" s="1"/>
      <c r="BC382" s="1"/>
      <c r="BD382" s="1"/>
      <c r="BE382" s="1"/>
      <c r="BF382" s="1"/>
      <c r="BG382" s="1"/>
      <c r="BH382" s="1"/>
      <c r="BI382" s="1"/>
      <c r="BO382" s="1"/>
      <c r="BP382" s="1"/>
      <c r="BQ382" s="1"/>
      <c r="BR382" s="1"/>
      <c r="BS382" s="1"/>
      <c r="BT382" s="1"/>
      <c r="BU382" s="4"/>
    </row>
    <row r="383">
      <c r="A383" s="1"/>
      <c r="M383" s="1"/>
      <c r="Y383" s="1"/>
      <c r="AK383" s="1"/>
      <c r="AQ383" s="1"/>
      <c r="AW383" s="1"/>
      <c r="BC383" s="1"/>
      <c r="BD383" s="1"/>
      <c r="BE383" s="1"/>
      <c r="BF383" s="1"/>
      <c r="BG383" s="1"/>
      <c r="BH383" s="1"/>
      <c r="BI383" s="1"/>
      <c r="BO383" s="1"/>
      <c r="BP383" s="1"/>
      <c r="BQ383" s="1"/>
      <c r="BR383" s="1"/>
      <c r="BS383" s="1"/>
      <c r="BT383" s="1"/>
      <c r="BU383" s="4"/>
    </row>
    <row r="384">
      <c r="A384" s="1"/>
      <c r="M384" s="1"/>
      <c r="Y384" s="1"/>
      <c r="AK384" s="1"/>
      <c r="AQ384" s="1"/>
      <c r="AW384" s="1"/>
      <c r="BC384" s="1"/>
      <c r="BD384" s="1"/>
      <c r="BE384" s="1"/>
      <c r="BF384" s="1"/>
      <c r="BG384" s="1"/>
      <c r="BH384" s="1"/>
      <c r="BI384" s="1"/>
      <c r="BO384" s="1"/>
      <c r="BP384" s="1"/>
      <c r="BQ384" s="1"/>
      <c r="BR384" s="1"/>
      <c r="BS384" s="1"/>
      <c r="BT384" s="1"/>
      <c r="BU384" s="4"/>
    </row>
    <row r="385">
      <c r="A385" s="1"/>
      <c r="M385" s="1"/>
      <c r="Y385" s="1"/>
      <c r="AK385" s="1"/>
      <c r="AQ385" s="1"/>
      <c r="AW385" s="1"/>
      <c r="BC385" s="1"/>
      <c r="BD385" s="1"/>
      <c r="BE385" s="1"/>
      <c r="BF385" s="1"/>
      <c r="BG385" s="1"/>
      <c r="BH385" s="1"/>
      <c r="BI385" s="1"/>
      <c r="BO385" s="1"/>
      <c r="BP385" s="1"/>
      <c r="BQ385" s="1"/>
      <c r="BR385" s="1"/>
      <c r="BS385" s="1"/>
      <c r="BT385" s="1"/>
      <c r="BU385" s="4"/>
    </row>
    <row r="386">
      <c r="A386" s="1"/>
      <c r="M386" s="1"/>
      <c r="Y386" s="1"/>
      <c r="AK386" s="1"/>
      <c r="AQ386" s="1"/>
      <c r="AW386" s="1"/>
      <c r="BC386" s="1"/>
      <c r="BD386" s="1"/>
      <c r="BE386" s="1"/>
      <c r="BF386" s="1"/>
      <c r="BG386" s="1"/>
      <c r="BH386" s="1"/>
      <c r="BI386" s="1"/>
      <c r="BO386" s="1"/>
      <c r="BP386" s="1"/>
      <c r="BQ386" s="1"/>
      <c r="BR386" s="1"/>
      <c r="BS386" s="1"/>
      <c r="BT386" s="1"/>
      <c r="BU386" s="4"/>
    </row>
    <row r="387">
      <c r="A387" s="1"/>
      <c r="M387" s="1"/>
      <c r="Y387" s="1"/>
      <c r="AK387" s="1"/>
      <c r="AQ387" s="1"/>
      <c r="AW387" s="1"/>
      <c r="BC387" s="1"/>
      <c r="BD387" s="1"/>
      <c r="BE387" s="1"/>
      <c r="BF387" s="1"/>
      <c r="BG387" s="1"/>
      <c r="BH387" s="1"/>
      <c r="BI387" s="1"/>
      <c r="BO387" s="1"/>
      <c r="BP387" s="1"/>
      <c r="BQ387" s="1"/>
      <c r="BR387" s="1"/>
      <c r="BS387" s="1"/>
      <c r="BT387" s="1"/>
      <c r="BU387" s="4"/>
    </row>
    <row r="388">
      <c r="A388" s="1"/>
      <c r="M388" s="1"/>
      <c r="Y388" s="1"/>
      <c r="AK388" s="1"/>
      <c r="AQ388" s="1"/>
      <c r="AW388" s="1"/>
      <c r="BC388" s="1"/>
      <c r="BD388" s="1"/>
      <c r="BE388" s="1"/>
      <c r="BF388" s="1"/>
      <c r="BG388" s="1"/>
      <c r="BH388" s="1"/>
      <c r="BI388" s="1"/>
      <c r="BO388" s="1"/>
      <c r="BP388" s="1"/>
      <c r="BQ388" s="1"/>
      <c r="BR388" s="1"/>
      <c r="BS388" s="1"/>
      <c r="BT388" s="1"/>
      <c r="BU388" s="4"/>
    </row>
    <row r="389">
      <c r="A389" s="1"/>
      <c r="M389" s="1"/>
      <c r="Y389" s="1"/>
      <c r="AK389" s="1"/>
      <c r="AQ389" s="1"/>
      <c r="AW389" s="1"/>
      <c r="BC389" s="1"/>
      <c r="BD389" s="1"/>
      <c r="BE389" s="1"/>
      <c r="BF389" s="1"/>
      <c r="BG389" s="1"/>
      <c r="BH389" s="1"/>
      <c r="BI389" s="1"/>
      <c r="BO389" s="1"/>
      <c r="BP389" s="1"/>
      <c r="BQ389" s="1"/>
      <c r="BR389" s="1"/>
      <c r="BS389" s="1"/>
      <c r="BT389" s="1"/>
      <c r="BU389" s="4"/>
    </row>
    <row r="390">
      <c r="A390" s="1"/>
      <c r="M390" s="1"/>
      <c r="Y390" s="1"/>
      <c r="AK390" s="1"/>
      <c r="AQ390" s="1"/>
      <c r="AW390" s="1"/>
      <c r="BC390" s="1"/>
      <c r="BD390" s="1"/>
      <c r="BE390" s="1"/>
      <c r="BF390" s="1"/>
      <c r="BG390" s="1"/>
      <c r="BH390" s="1"/>
      <c r="BI390" s="1"/>
      <c r="BO390" s="1"/>
      <c r="BP390" s="1"/>
      <c r="BQ390" s="1"/>
      <c r="BR390" s="1"/>
      <c r="BS390" s="1"/>
      <c r="BT390" s="1"/>
      <c r="BU390" s="4"/>
    </row>
    <row r="391">
      <c r="A391" s="1"/>
      <c r="M391" s="1"/>
      <c r="Y391" s="1"/>
      <c r="AK391" s="1"/>
      <c r="AQ391" s="1"/>
      <c r="AW391" s="1"/>
      <c r="BC391" s="1"/>
      <c r="BD391" s="1"/>
      <c r="BE391" s="1"/>
      <c r="BF391" s="1"/>
      <c r="BG391" s="1"/>
      <c r="BH391" s="1"/>
      <c r="BI391" s="1"/>
      <c r="BO391" s="1"/>
      <c r="BP391" s="1"/>
      <c r="BQ391" s="1"/>
      <c r="BR391" s="1"/>
      <c r="BS391" s="1"/>
      <c r="BT391" s="1"/>
      <c r="BU391" s="4"/>
    </row>
    <row r="392">
      <c r="A392" s="1"/>
      <c r="M392" s="1"/>
      <c r="Y392" s="1"/>
      <c r="AK392" s="1"/>
      <c r="AQ392" s="1"/>
      <c r="AW392" s="1"/>
      <c r="BC392" s="1"/>
      <c r="BD392" s="1"/>
      <c r="BE392" s="1"/>
      <c r="BF392" s="1"/>
      <c r="BG392" s="1"/>
      <c r="BH392" s="1"/>
      <c r="BI392" s="1"/>
      <c r="BO392" s="1"/>
      <c r="BP392" s="1"/>
      <c r="BQ392" s="1"/>
      <c r="BR392" s="1"/>
      <c r="BS392" s="1"/>
      <c r="BT392" s="1"/>
      <c r="BU392" s="4"/>
    </row>
    <row r="393">
      <c r="A393" s="1"/>
      <c r="M393" s="1"/>
      <c r="Y393" s="1"/>
      <c r="AK393" s="1"/>
      <c r="AQ393" s="1"/>
      <c r="AW393" s="1"/>
      <c r="BC393" s="1"/>
      <c r="BD393" s="1"/>
      <c r="BE393" s="1"/>
      <c r="BF393" s="1"/>
      <c r="BG393" s="1"/>
      <c r="BH393" s="1"/>
      <c r="BI393" s="1"/>
      <c r="BO393" s="1"/>
      <c r="BP393" s="1"/>
      <c r="BQ393" s="1"/>
      <c r="BR393" s="1"/>
      <c r="BS393" s="1"/>
      <c r="BT393" s="1"/>
      <c r="BU393" s="4"/>
    </row>
    <row r="394">
      <c r="A394" s="1"/>
      <c r="M394" s="1"/>
      <c r="Y394" s="1"/>
      <c r="AK394" s="1"/>
      <c r="AQ394" s="1"/>
      <c r="AW394" s="1"/>
      <c r="BC394" s="1"/>
      <c r="BD394" s="1"/>
      <c r="BE394" s="1"/>
      <c r="BF394" s="1"/>
      <c r="BG394" s="1"/>
      <c r="BH394" s="1"/>
      <c r="BI394" s="1"/>
      <c r="BO394" s="1"/>
      <c r="BP394" s="1"/>
      <c r="BQ394" s="1"/>
      <c r="BR394" s="1"/>
      <c r="BS394" s="1"/>
      <c r="BT394" s="1"/>
      <c r="BU394" s="4"/>
    </row>
    <row r="395">
      <c r="A395" s="1"/>
      <c r="M395" s="1"/>
      <c r="Y395" s="1"/>
      <c r="AK395" s="1"/>
      <c r="AQ395" s="1"/>
      <c r="AW395" s="1"/>
      <c r="BC395" s="1"/>
      <c r="BD395" s="1"/>
      <c r="BE395" s="1"/>
      <c r="BF395" s="1"/>
      <c r="BG395" s="1"/>
      <c r="BH395" s="1"/>
      <c r="BI395" s="1"/>
      <c r="BO395" s="1"/>
      <c r="BP395" s="1"/>
      <c r="BQ395" s="1"/>
      <c r="BR395" s="1"/>
      <c r="BS395" s="1"/>
      <c r="BT395" s="1"/>
      <c r="BU395" s="4"/>
    </row>
    <row r="396">
      <c r="A396" s="1"/>
      <c r="M396" s="1"/>
      <c r="Y396" s="1"/>
      <c r="AK396" s="1"/>
      <c r="AQ396" s="1"/>
      <c r="AW396" s="1"/>
      <c r="BC396" s="1"/>
      <c r="BD396" s="1"/>
      <c r="BE396" s="1"/>
      <c r="BF396" s="1"/>
      <c r="BG396" s="1"/>
      <c r="BH396" s="1"/>
      <c r="BI396" s="1"/>
      <c r="BO396" s="1"/>
      <c r="BP396" s="1"/>
      <c r="BQ396" s="1"/>
      <c r="BR396" s="1"/>
      <c r="BS396" s="1"/>
      <c r="BT396" s="1"/>
      <c r="BU396" s="4"/>
    </row>
    <row r="397">
      <c r="A397" s="1"/>
      <c r="M397" s="1"/>
      <c r="Y397" s="1"/>
      <c r="AK397" s="1"/>
      <c r="AQ397" s="1"/>
      <c r="AW397" s="1"/>
      <c r="BC397" s="1"/>
      <c r="BD397" s="1"/>
      <c r="BE397" s="1"/>
      <c r="BF397" s="1"/>
      <c r="BG397" s="1"/>
      <c r="BH397" s="1"/>
      <c r="BI397" s="1"/>
      <c r="BO397" s="1"/>
      <c r="BP397" s="1"/>
      <c r="BQ397" s="1"/>
      <c r="BR397" s="1"/>
      <c r="BS397" s="1"/>
      <c r="BT397" s="1"/>
      <c r="BU397" s="4"/>
    </row>
    <row r="398">
      <c r="A398" s="1"/>
      <c r="M398" s="1"/>
      <c r="Y398" s="1"/>
      <c r="AK398" s="1"/>
      <c r="AQ398" s="1"/>
      <c r="AW398" s="1"/>
      <c r="BC398" s="1"/>
      <c r="BD398" s="1"/>
      <c r="BE398" s="1"/>
      <c r="BF398" s="1"/>
      <c r="BG398" s="1"/>
      <c r="BH398" s="1"/>
      <c r="BI398" s="1"/>
      <c r="BO398" s="1"/>
      <c r="BP398" s="1"/>
      <c r="BQ398" s="1"/>
      <c r="BR398" s="1"/>
      <c r="BS398" s="1"/>
      <c r="BT398" s="1"/>
      <c r="BU398" s="4"/>
    </row>
    <row r="399">
      <c r="A399" s="1"/>
      <c r="M399" s="1"/>
      <c r="Y399" s="1"/>
      <c r="AK399" s="1"/>
      <c r="AQ399" s="1"/>
      <c r="AW399" s="1"/>
      <c r="BC399" s="1"/>
      <c r="BD399" s="1"/>
      <c r="BE399" s="1"/>
      <c r="BF399" s="1"/>
      <c r="BG399" s="1"/>
      <c r="BH399" s="1"/>
      <c r="BI399" s="1"/>
      <c r="BO399" s="1"/>
      <c r="BP399" s="1"/>
      <c r="BQ399" s="1"/>
      <c r="BR399" s="1"/>
      <c r="BS399" s="1"/>
      <c r="BT399" s="1"/>
      <c r="BU399" s="4"/>
    </row>
    <row r="400">
      <c r="A400" s="1"/>
      <c r="M400" s="1"/>
      <c r="Y400" s="1"/>
      <c r="AK400" s="1"/>
      <c r="AQ400" s="1"/>
      <c r="AW400" s="1"/>
      <c r="BC400" s="1"/>
      <c r="BD400" s="1"/>
      <c r="BE400" s="1"/>
      <c r="BF400" s="1"/>
      <c r="BG400" s="1"/>
      <c r="BH400" s="1"/>
      <c r="BI400" s="1"/>
      <c r="BO400" s="1"/>
      <c r="BP400" s="1"/>
      <c r="BQ400" s="1"/>
      <c r="BR400" s="1"/>
      <c r="BS400" s="1"/>
      <c r="BT400" s="1"/>
      <c r="BU400" s="4"/>
    </row>
    <row r="401">
      <c r="A401" s="1"/>
      <c r="M401" s="1"/>
      <c r="Y401" s="1"/>
      <c r="AK401" s="1"/>
      <c r="AQ401" s="1"/>
      <c r="AW401" s="1"/>
      <c r="BC401" s="1"/>
      <c r="BD401" s="1"/>
      <c r="BE401" s="1"/>
      <c r="BF401" s="1"/>
      <c r="BG401" s="1"/>
      <c r="BH401" s="1"/>
      <c r="BI401" s="1"/>
      <c r="BO401" s="1"/>
      <c r="BP401" s="1"/>
      <c r="BQ401" s="1"/>
      <c r="BR401" s="1"/>
      <c r="BS401" s="1"/>
      <c r="BT401" s="1"/>
      <c r="BU401" s="4"/>
    </row>
    <row r="402">
      <c r="A402" s="1"/>
      <c r="M402" s="1"/>
      <c r="Y402" s="1"/>
      <c r="AK402" s="1"/>
      <c r="AQ402" s="1"/>
      <c r="AW402" s="1"/>
      <c r="BC402" s="1"/>
      <c r="BD402" s="1"/>
      <c r="BE402" s="1"/>
      <c r="BF402" s="1"/>
      <c r="BG402" s="1"/>
      <c r="BH402" s="1"/>
      <c r="BI402" s="1"/>
      <c r="BO402" s="1"/>
      <c r="BP402" s="1"/>
      <c r="BQ402" s="1"/>
      <c r="BR402" s="1"/>
      <c r="BS402" s="1"/>
      <c r="BT402" s="1"/>
      <c r="BU402" s="4"/>
    </row>
    <row r="403">
      <c r="A403" s="1"/>
      <c r="M403" s="1"/>
      <c r="Y403" s="1"/>
      <c r="AK403" s="1"/>
      <c r="AQ403" s="1"/>
      <c r="AW403" s="1"/>
      <c r="BC403" s="1"/>
      <c r="BD403" s="1"/>
      <c r="BE403" s="1"/>
      <c r="BF403" s="1"/>
      <c r="BG403" s="1"/>
      <c r="BH403" s="1"/>
      <c r="BI403" s="1"/>
      <c r="BO403" s="1"/>
      <c r="BP403" s="1"/>
      <c r="BQ403" s="1"/>
      <c r="BR403" s="1"/>
      <c r="BS403" s="1"/>
      <c r="BT403" s="1"/>
      <c r="BU403" s="4"/>
    </row>
    <row r="404">
      <c r="A404" s="1"/>
      <c r="M404" s="1"/>
      <c r="Y404" s="1"/>
      <c r="AK404" s="1"/>
      <c r="AQ404" s="1"/>
      <c r="AW404" s="1"/>
      <c r="BC404" s="1"/>
      <c r="BD404" s="1"/>
      <c r="BE404" s="1"/>
      <c r="BF404" s="1"/>
      <c r="BG404" s="1"/>
      <c r="BH404" s="1"/>
      <c r="BI404" s="1"/>
      <c r="BO404" s="1"/>
      <c r="BP404" s="1"/>
      <c r="BQ404" s="1"/>
      <c r="BR404" s="1"/>
      <c r="BS404" s="1"/>
      <c r="BT404" s="1"/>
      <c r="BU404" s="4"/>
    </row>
    <row r="405">
      <c r="A405" s="1"/>
      <c r="M405" s="1"/>
      <c r="Y405" s="1"/>
      <c r="AK405" s="1"/>
      <c r="AQ405" s="1"/>
      <c r="AW405" s="1"/>
      <c r="BC405" s="1"/>
      <c r="BD405" s="1"/>
      <c r="BE405" s="1"/>
      <c r="BF405" s="1"/>
      <c r="BG405" s="1"/>
      <c r="BH405" s="1"/>
      <c r="BI405" s="1"/>
      <c r="BO405" s="1"/>
      <c r="BP405" s="1"/>
      <c r="BQ405" s="1"/>
      <c r="BR405" s="1"/>
      <c r="BS405" s="1"/>
      <c r="BT405" s="1"/>
      <c r="BU405" s="4"/>
    </row>
    <row r="406">
      <c r="A406" s="1"/>
      <c r="M406" s="1"/>
      <c r="Y406" s="1"/>
      <c r="AK406" s="1"/>
      <c r="AQ406" s="1"/>
      <c r="AW406" s="1"/>
      <c r="BC406" s="1"/>
      <c r="BD406" s="1"/>
      <c r="BE406" s="1"/>
      <c r="BF406" s="1"/>
      <c r="BG406" s="1"/>
      <c r="BH406" s="1"/>
      <c r="BI406" s="1"/>
      <c r="BO406" s="1"/>
      <c r="BP406" s="1"/>
      <c r="BQ406" s="1"/>
      <c r="BR406" s="1"/>
      <c r="BS406" s="1"/>
      <c r="BT406" s="1"/>
      <c r="BU406" s="4"/>
    </row>
    <row r="407">
      <c r="A407" s="1"/>
      <c r="M407" s="1"/>
      <c r="Y407" s="1"/>
      <c r="AK407" s="1"/>
      <c r="AQ407" s="1"/>
      <c r="AW407" s="1"/>
      <c r="BC407" s="1"/>
      <c r="BD407" s="1"/>
      <c r="BE407" s="1"/>
      <c r="BF407" s="1"/>
      <c r="BG407" s="1"/>
      <c r="BH407" s="1"/>
      <c r="BI407" s="1"/>
      <c r="BO407" s="1"/>
      <c r="BP407" s="1"/>
      <c r="BQ407" s="1"/>
      <c r="BR407" s="1"/>
      <c r="BS407" s="1"/>
      <c r="BT407" s="1"/>
      <c r="BU407" s="4"/>
    </row>
    <row r="408">
      <c r="A408" s="1"/>
      <c r="M408" s="1"/>
      <c r="Y408" s="1"/>
      <c r="AK408" s="1"/>
      <c r="AQ408" s="1"/>
      <c r="AW408" s="1"/>
      <c r="BC408" s="1"/>
      <c r="BD408" s="1"/>
      <c r="BE408" s="1"/>
      <c r="BF408" s="1"/>
      <c r="BG408" s="1"/>
      <c r="BH408" s="1"/>
      <c r="BI408" s="1"/>
      <c r="BO408" s="1"/>
      <c r="BP408" s="1"/>
      <c r="BQ408" s="1"/>
      <c r="BR408" s="1"/>
      <c r="BS408" s="1"/>
      <c r="BT408" s="1"/>
      <c r="BU408" s="4"/>
    </row>
    <row r="409">
      <c r="A409" s="1"/>
      <c r="M409" s="1"/>
      <c r="Y409" s="1"/>
      <c r="AK409" s="1"/>
      <c r="AQ409" s="1"/>
      <c r="AW409" s="1"/>
      <c r="BC409" s="1"/>
      <c r="BD409" s="1"/>
      <c r="BE409" s="1"/>
      <c r="BF409" s="1"/>
      <c r="BG409" s="1"/>
      <c r="BH409" s="1"/>
      <c r="BI409" s="1"/>
      <c r="BO409" s="1"/>
      <c r="BP409" s="1"/>
      <c r="BQ409" s="1"/>
      <c r="BR409" s="1"/>
      <c r="BS409" s="1"/>
      <c r="BT409" s="1"/>
      <c r="BU409" s="4"/>
    </row>
    <row r="410">
      <c r="A410" s="1"/>
      <c r="M410" s="1"/>
      <c r="Y410" s="1"/>
      <c r="AK410" s="1"/>
      <c r="AQ410" s="1"/>
      <c r="AW410" s="1"/>
      <c r="BC410" s="1"/>
      <c r="BD410" s="1"/>
      <c r="BE410" s="1"/>
      <c r="BF410" s="1"/>
      <c r="BG410" s="1"/>
      <c r="BH410" s="1"/>
      <c r="BI410" s="1"/>
      <c r="BO410" s="1"/>
      <c r="BP410" s="1"/>
      <c r="BQ410" s="1"/>
      <c r="BR410" s="1"/>
      <c r="BS410" s="1"/>
      <c r="BT410" s="1"/>
      <c r="BU410" s="4"/>
    </row>
    <row r="411">
      <c r="A411" s="1"/>
      <c r="M411" s="1"/>
      <c r="Y411" s="1"/>
      <c r="AK411" s="1"/>
      <c r="AQ411" s="1"/>
      <c r="AW411" s="1"/>
      <c r="BC411" s="1"/>
      <c r="BD411" s="1"/>
      <c r="BE411" s="1"/>
      <c r="BF411" s="1"/>
      <c r="BG411" s="1"/>
      <c r="BH411" s="1"/>
      <c r="BI411" s="1"/>
      <c r="BO411" s="1"/>
      <c r="BP411" s="1"/>
      <c r="BQ411" s="1"/>
      <c r="BR411" s="1"/>
      <c r="BS411" s="1"/>
      <c r="BT411" s="1"/>
      <c r="BU411" s="4"/>
    </row>
    <row r="412">
      <c r="A412" s="1"/>
      <c r="M412" s="1"/>
      <c r="Y412" s="1"/>
      <c r="AK412" s="1"/>
      <c r="AQ412" s="1"/>
      <c r="AW412" s="1"/>
      <c r="BC412" s="1"/>
      <c r="BD412" s="1"/>
      <c r="BE412" s="1"/>
      <c r="BF412" s="1"/>
      <c r="BG412" s="1"/>
      <c r="BH412" s="1"/>
      <c r="BI412" s="1"/>
      <c r="BO412" s="1"/>
      <c r="BP412" s="1"/>
      <c r="BQ412" s="1"/>
      <c r="BR412" s="1"/>
      <c r="BS412" s="1"/>
      <c r="BT412" s="1"/>
      <c r="BU412" s="4"/>
    </row>
    <row r="413">
      <c r="A413" s="1"/>
      <c r="M413" s="1"/>
      <c r="Y413" s="1"/>
      <c r="AK413" s="1"/>
      <c r="AQ413" s="1"/>
      <c r="AW413" s="1"/>
      <c r="BC413" s="1"/>
      <c r="BD413" s="1"/>
      <c r="BE413" s="1"/>
      <c r="BF413" s="1"/>
      <c r="BG413" s="1"/>
      <c r="BH413" s="1"/>
      <c r="BI413" s="1"/>
      <c r="BO413" s="1"/>
      <c r="BP413" s="1"/>
      <c r="BQ413" s="1"/>
      <c r="BR413" s="1"/>
      <c r="BS413" s="1"/>
      <c r="BT413" s="1"/>
      <c r="BU413" s="4"/>
    </row>
    <row r="414">
      <c r="A414" s="1"/>
      <c r="M414" s="1"/>
      <c r="Y414" s="1"/>
      <c r="AK414" s="1"/>
      <c r="AQ414" s="1"/>
      <c r="AW414" s="1"/>
      <c r="BC414" s="1"/>
      <c r="BD414" s="1"/>
      <c r="BE414" s="1"/>
      <c r="BF414" s="1"/>
      <c r="BG414" s="1"/>
      <c r="BH414" s="1"/>
      <c r="BI414" s="1"/>
      <c r="BO414" s="1"/>
      <c r="BP414" s="1"/>
      <c r="BQ414" s="1"/>
      <c r="BR414" s="1"/>
      <c r="BS414" s="1"/>
      <c r="BT414" s="1"/>
      <c r="BU414" s="4"/>
    </row>
    <row r="415">
      <c r="A415" s="1"/>
      <c r="M415" s="1"/>
      <c r="Y415" s="1"/>
      <c r="AK415" s="1"/>
      <c r="AQ415" s="1"/>
      <c r="AW415" s="1"/>
      <c r="BC415" s="1"/>
      <c r="BD415" s="1"/>
      <c r="BE415" s="1"/>
      <c r="BF415" s="1"/>
      <c r="BG415" s="1"/>
      <c r="BH415" s="1"/>
      <c r="BI415" s="1"/>
      <c r="BO415" s="1"/>
      <c r="BP415" s="1"/>
      <c r="BQ415" s="1"/>
      <c r="BR415" s="1"/>
      <c r="BS415" s="1"/>
      <c r="BT415" s="1"/>
      <c r="BU415" s="4"/>
    </row>
    <row r="416">
      <c r="A416" s="1"/>
      <c r="M416" s="1"/>
      <c r="Y416" s="1"/>
      <c r="AK416" s="1"/>
      <c r="AQ416" s="1"/>
      <c r="AW416" s="1"/>
      <c r="BC416" s="1"/>
      <c r="BD416" s="1"/>
      <c r="BE416" s="1"/>
      <c r="BF416" s="1"/>
      <c r="BG416" s="1"/>
      <c r="BH416" s="1"/>
      <c r="BI416" s="1"/>
      <c r="BO416" s="1"/>
      <c r="BP416" s="1"/>
      <c r="BQ416" s="1"/>
      <c r="BR416" s="1"/>
      <c r="BS416" s="1"/>
      <c r="BT416" s="1"/>
      <c r="BU416" s="4"/>
    </row>
    <row r="417">
      <c r="A417" s="1"/>
      <c r="M417" s="1"/>
      <c r="Y417" s="1"/>
      <c r="AK417" s="1"/>
      <c r="AQ417" s="1"/>
      <c r="AW417" s="1"/>
      <c r="BC417" s="1"/>
      <c r="BD417" s="1"/>
      <c r="BE417" s="1"/>
      <c r="BF417" s="1"/>
      <c r="BG417" s="1"/>
      <c r="BH417" s="1"/>
      <c r="BI417" s="1"/>
      <c r="BO417" s="1"/>
      <c r="BP417" s="1"/>
      <c r="BQ417" s="1"/>
      <c r="BR417" s="1"/>
      <c r="BS417" s="1"/>
      <c r="BT417" s="1"/>
      <c r="BU417" s="4"/>
    </row>
    <row r="418">
      <c r="A418" s="1"/>
      <c r="M418" s="1"/>
      <c r="Y418" s="1"/>
      <c r="AK418" s="1"/>
      <c r="AQ418" s="1"/>
      <c r="AW418" s="1"/>
      <c r="BC418" s="1"/>
      <c r="BD418" s="1"/>
      <c r="BE418" s="1"/>
      <c r="BF418" s="1"/>
      <c r="BG418" s="1"/>
      <c r="BH418" s="1"/>
      <c r="BI418" s="1"/>
      <c r="BO418" s="1"/>
      <c r="BP418" s="1"/>
      <c r="BQ418" s="1"/>
      <c r="BR418" s="1"/>
      <c r="BS418" s="1"/>
      <c r="BT418" s="1"/>
      <c r="BU418" s="4"/>
    </row>
    <row r="419">
      <c r="A419" s="1"/>
      <c r="M419" s="1"/>
      <c r="Y419" s="1"/>
      <c r="AK419" s="1"/>
      <c r="AQ419" s="1"/>
      <c r="AW419" s="1"/>
      <c r="BC419" s="1"/>
      <c r="BD419" s="1"/>
      <c r="BE419" s="1"/>
      <c r="BF419" s="1"/>
      <c r="BG419" s="1"/>
      <c r="BH419" s="1"/>
      <c r="BI419" s="1"/>
      <c r="BO419" s="1"/>
      <c r="BP419" s="1"/>
      <c r="BQ419" s="1"/>
      <c r="BR419" s="1"/>
      <c r="BS419" s="1"/>
      <c r="BT419" s="1"/>
      <c r="BU419" s="4"/>
    </row>
    <row r="420">
      <c r="A420" s="1"/>
      <c r="M420" s="1"/>
      <c r="Y420" s="1"/>
      <c r="AK420" s="1"/>
      <c r="AQ420" s="1"/>
      <c r="AW420" s="1"/>
      <c r="BC420" s="1"/>
      <c r="BD420" s="1"/>
      <c r="BE420" s="1"/>
      <c r="BF420" s="1"/>
      <c r="BG420" s="1"/>
      <c r="BH420" s="1"/>
      <c r="BI420" s="1"/>
      <c r="BO420" s="1"/>
      <c r="BP420" s="1"/>
      <c r="BQ420" s="1"/>
      <c r="BR420" s="1"/>
      <c r="BS420" s="1"/>
      <c r="BT420" s="1"/>
      <c r="BU420" s="4"/>
    </row>
    <row r="421">
      <c r="A421" s="1"/>
      <c r="M421" s="1"/>
      <c r="Y421" s="1"/>
      <c r="AK421" s="1"/>
      <c r="AQ421" s="1"/>
      <c r="AW421" s="1"/>
      <c r="BC421" s="1"/>
      <c r="BD421" s="1"/>
      <c r="BE421" s="1"/>
      <c r="BF421" s="1"/>
      <c r="BG421" s="1"/>
      <c r="BH421" s="1"/>
      <c r="BI421" s="1"/>
      <c r="BO421" s="1"/>
      <c r="BP421" s="1"/>
      <c r="BQ421" s="1"/>
      <c r="BR421" s="1"/>
      <c r="BS421" s="1"/>
      <c r="BT421" s="1"/>
      <c r="BU421" s="4"/>
    </row>
    <row r="422">
      <c r="A422" s="1"/>
      <c r="M422" s="1"/>
      <c r="Y422" s="1"/>
      <c r="AK422" s="1"/>
      <c r="AQ422" s="1"/>
      <c r="AW422" s="1"/>
      <c r="BC422" s="1"/>
      <c r="BD422" s="1"/>
      <c r="BE422" s="1"/>
      <c r="BF422" s="1"/>
      <c r="BG422" s="1"/>
      <c r="BH422" s="1"/>
      <c r="BI422" s="1"/>
      <c r="BO422" s="1"/>
      <c r="BP422" s="1"/>
      <c r="BQ422" s="1"/>
      <c r="BR422" s="1"/>
      <c r="BS422" s="1"/>
      <c r="BT422" s="1"/>
      <c r="BU422" s="4"/>
    </row>
    <row r="423">
      <c r="A423" s="1"/>
      <c r="M423" s="1"/>
      <c r="Y423" s="1"/>
      <c r="AK423" s="1"/>
      <c r="AQ423" s="1"/>
      <c r="AW423" s="1"/>
      <c r="BC423" s="1"/>
      <c r="BD423" s="1"/>
      <c r="BE423" s="1"/>
      <c r="BF423" s="1"/>
      <c r="BG423" s="1"/>
      <c r="BH423" s="1"/>
      <c r="BI423" s="1"/>
      <c r="BO423" s="1"/>
      <c r="BP423" s="1"/>
      <c r="BQ423" s="1"/>
      <c r="BR423" s="1"/>
      <c r="BS423" s="1"/>
      <c r="BT423" s="1"/>
      <c r="BU423" s="4"/>
    </row>
    <row r="424">
      <c r="A424" s="1"/>
      <c r="M424" s="1"/>
      <c r="Y424" s="1"/>
      <c r="AK424" s="1"/>
      <c r="AQ424" s="1"/>
      <c r="AW424" s="1"/>
      <c r="BC424" s="1"/>
      <c r="BD424" s="1"/>
      <c r="BE424" s="1"/>
      <c r="BF424" s="1"/>
      <c r="BG424" s="1"/>
      <c r="BH424" s="1"/>
      <c r="BI424" s="1"/>
      <c r="BO424" s="1"/>
      <c r="BP424" s="1"/>
      <c r="BQ424" s="1"/>
      <c r="BR424" s="1"/>
      <c r="BS424" s="1"/>
      <c r="BT424" s="1"/>
      <c r="BU424" s="4"/>
    </row>
    <row r="425">
      <c r="A425" s="1"/>
      <c r="M425" s="1"/>
      <c r="Y425" s="1"/>
      <c r="AK425" s="1"/>
      <c r="AQ425" s="1"/>
      <c r="AW425" s="1"/>
      <c r="BC425" s="1"/>
      <c r="BD425" s="1"/>
      <c r="BE425" s="1"/>
      <c r="BF425" s="1"/>
      <c r="BG425" s="1"/>
      <c r="BH425" s="1"/>
      <c r="BI425" s="1"/>
      <c r="BO425" s="1"/>
      <c r="BP425" s="1"/>
      <c r="BQ425" s="1"/>
      <c r="BR425" s="1"/>
      <c r="BS425" s="1"/>
      <c r="BT425" s="1"/>
      <c r="BU425" s="4"/>
    </row>
    <row r="426">
      <c r="A426" s="1"/>
      <c r="M426" s="1"/>
      <c r="Y426" s="1"/>
      <c r="AK426" s="1"/>
      <c r="AQ426" s="1"/>
      <c r="AW426" s="1"/>
      <c r="BC426" s="1"/>
      <c r="BD426" s="1"/>
      <c r="BE426" s="1"/>
      <c r="BF426" s="1"/>
      <c r="BG426" s="1"/>
      <c r="BH426" s="1"/>
      <c r="BI426" s="1"/>
      <c r="BO426" s="1"/>
      <c r="BP426" s="1"/>
      <c r="BQ426" s="1"/>
      <c r="BR426" s="1"/>
      <c r="BS426" s="1"/>
      <c r="BT426" s="1"/>
      <c r="BU426" s="4"/>
    </row>
    <row r="427">
      <c r="A427" s="1"/>
      <c r="M427" s="1"/>
      <c r="Y427" s="1"/>
      <c r="AK427" s="1"/>
      <c r="AQ427" s="1"/>
      <c r="AW427" s="1"/>
      <c r="BC427" s="1"/>
      <c r="BD427" s="1"/>
      <c r="BE427" s="1"/>
      <c r="BF427" s="1"/>
      <c r="BG427" s="1"/>
      <c r="BH427" s="1"/>
      <c r="BI427" s="1"/>
      <c r="BO427" s="1"/>
      <c r="BP427" s="1"/>
      <c r="BQ427" s="1"/>
      <c r="BR427" s="1"/>
      <c r="BS427" s="1"/>
      <c r="BT427" s="1"/>
      <c r="BU427" s="4"/>
    </row>
    <row r="428">
      <c r="A428" s="1"/>
      <c r="M428" s="1"/>
      <c r="Y428" s="1"/>
      <c r="AK428" s="1"/>
      <c r="AQ428" s="1"/>
      <c r="AW428" s="1"/>
      <c r="BC428" s="1"/>
      <c r="BD428" s="1"/>
      <c r="BE428" s="1"/>
      <c r="BF428" s="1"/>
      <c r="BG428" s="1"/>
      <c r="BH428" s="1"/>
      <c r="BI428" s="1"/>
      <c r="BO428" s="1"/>
      <c r="BP428" s="1"/>
      <c r="BQ428" s="1"/>
      <c r="BR428" s="1"/>
      <c r="BS428" s="1"/>
      <c r="BT428" s="1"/>
      <c r="BU428" s="4"/>
    </row>
    <row r="429">
      <c r="A429" s="1"/>
      <c r="M429" s="1"/>
      <c r="Y429" s="1"/>
      <c r="AK429" s="1"/>
      <c r="AQ429" s="1"/>
      <c r="AW429" s="1"/>
      <c r="BC429" s="1"/>
      <c r="BD429" s="1"/>
      <c r="BE429" s="1"/>
      <c r="BF429" s="1"/>
      <c r="BG429" s="1"/>
      <c r="BH429" s="1"/>
      <c r="BI429" s="1"/>
      <c r="BO429" s="1"/>
      <c r="BP429" s="1"/>
      <c r="BQ429" s="1"/>
      <c r="BR429" s="1"/>
      <c r="BS429" s="1"/>
      <c r="BT429" s="1"/>
      <c r="BU429" s="4"/>
    </row>
    <row r="430">
      <c r="A430" s="1"/>
      <c r="M430" s="1"/>
      <c r="Y430" s="1"/>
      <c r="AK430" s="1"/>
      <c r="AQ430" s="1"/>
      <c r="AW430" s="1"/>
      <c r="BC430" s="1"/>
      <c r="BD430" s="1"/>
      <c r="BE430" s="1"/>
      <c r="BF430" s="1"/>
      <c r="BG430" s="1"/>
      <c r="BH430" s="1"/>
      <c r="BI430" s="1"/>
      <c r="BO430" s="1"/>
      <c r="BP430" s="1"/>
      <c r="BQ430" s="1"/>
      <c r="BR430" s="1"/>
      <c r="BS430" s="1"/>
      <c r="BT430" s="1"/>
      <c r="BU430" s="4"/>
    </row>
    <row r="431">
      <c r="A431" s="1"/>
      <c r="M431" s="1"/>
      <c r="Y431" s="1"/>
      <c r="AK431" s="1"/>
      <c r="AQ431" s="1"/>
      <c r="AW431" s="1"/>
      <c r="BC431" s="1"/>
      <c r="BD431" s="1"/>
      <c r="BE431" s="1"/>
      <c r="BF431" s="1"/>
      <c r="BG431" s="1"/>
      <c r="BH431" s="1"/>
      <c r="BI431" s="1"/>
      <c r="BO431" s="1"/>
      <c r="BP431" s="1"/>
      <c r="BQ431" s="1"/>
      <c r="BR431" s="1"/>
      <c r="BS431" s="1"/>
      <c r="BT431" s="1"/>
      <c r="BU431" s="4"/>
    </row>
    <row r="432">
      <c r="A432" s="1"/>
      <c r="M432" s="1"/>
      <c r="Y432" s="1"/>
      <c r="AK432" s="1"/>
      <c r="AQ432" s="1"/>
      <c r="AW432" s="1"/>
      <c r="BC432" s="1"/>
      <c r="BD432" s="1"/>
      <c r="BE432" s="1"/>
      <c r="BF432" s="1"/>
      <c r="BG432" s="1"/>
      <c r="BH432" s="1"/>
      <c r="BI432" s="1"/>
      <c r="BO432" s="1"/>
      <c r="BP432" s="1"/>
      <c r="BQ432" s="1"/>
      <c r="BR432" s="1"/>
      <c r="BS432" s="1"/>
      <c r="BT432" s="1"/>
      <c r="BU432" s="4"/>
    </row>
    <row r="433">
      <c r="A433" s="1"/>
      <c r="M433" s="1"/>
      <c r="Y433" s="1"/>
      <c r="AK433" s="1"/>
      <c r="AQ433" s="1"/>
      <c r="AW433" s="1"/>
      <c r="BC433" s="1"/>
      <c r="BD433" s="1"/>
      <c r="BE433" s="1"/>
      <c r="BF433" s="1"/>
      <c r="BG433" s="1"/>
      <c r="BH433" s="1"/>
      <c r="BI433" s="1"/>
      <c r="BO433" s="1"/>
      <c r="BP433" s="1"/>
      <c r="BQ433" s="1"/>
      <c r="BR433" s="1"/>
      <c r="BS433" s="1"/>
      <c r="BT433" s="1"/>
      <c r="BU433" s="4"/>
    </row>
    <row r="434">
      <c r="A434" s="1"/>
      <c r="M434" s="1"/>
      <c r="Y434" s="1"/>
      <c r="AK434" s="1"/>
      <c r="AQ434" s="1"/>
      <c r="AW434" s="1"/>
      <c r="BC434" s="1"/>
      <c r="BD434" s="1"/>
      <c r="BE434" s="1"/>
      <c r="BF434" s="1"/>
      <c r="BG434" s="1"/>
      <c r="BH434" s="1"/>
      <c r="BI434" s="1"/>
      <c r="BO434" s="1"/>
      <c r="BP434" s="1"/>
      <c r="BQ434" s="1"/>
      <c r="BR434" s="1"/>
      <c r="BS434" s="1"/>
      <c r="BT434" s="1"/>
      <c r="BU434" s="4"/>
    </row>
    <row r="435">
      <c r="A435" s="1"/>
      <c r="M435" s="1"/>
      <c r="Y435" s="1"/>
      <c r="AK435" s="1"/>
      <c r="AQ435" s="1"/>
      <c r="AW435" s="1"/>
      <c r="BC435" s="1"/>
      <c r="BD435" s="1"/>
      <c r="BE435" s="1"/>
      <c r="BF435" s="1"/>
      <c r="BG435" s="1"/>
      <c r="BH435" s="1"/>
      <c r="BI435" s="1"/>
      <c r="BO435" s="1"/>
      <c r="BP435" s="1"/>
      <c r="BQ435" s="1"/>
      <c r="BR435" s="1"/>
      <c r="BS435" s="1"/>
      <c r="BT435" s="1"/>
      <c r="BU435" s="4"/>
    </row>
    <row r="436">
      <c r="A436" s="1"/>
      <c r="M436" s="1"/>
      <c r="Y436" s="1"/>
      <c r="AK436" s="1"/>
      <c r="AQ436" s="1"/>
      <c r="AW436" s="1"/>
      <c r="BC436" s="1"/>
      <c r="BD436" s="1"/>
      <c r="BE436" s="1"/>
      <c r="BF436" s="1"/>
      <c r="BG436" s="1"/>
      <c r="BH436" s="1"/>
      <c r="BI436" s="1"/>
      <c r="BO436" s="1"/>
      <c r="BP436" s="1"/>
      <c r="BQ436" s="1"/>
      <c r="BR436" s="1"/>
      <c r="BS436" s="1"/>
      <c r="BT436" s="1"/>
      <c r="BU436" s="4"/>
    </row>
    <row r="437">
      <c r="A437" s="1"/>
      <c r="M437" s="1"/>
      <c r="Y437" s="1"/>
      <c r="AK437" s="1"/>
      <c r="AQ437" s="1"/>
      <c r="AW437" s="1"/>
      <c r="BC437" s="1"/>
      <c r="BD437" s="1"/>
      <c r="BE437" s="1"/>
      <c r="BF437" s="1"/>
      <c r="BG437" s="1"/>
      <c r="BH437" s="1"/>
      <c r="BI437" s="1"/>
      <c r="BO437" s="1"/>
      <c r="BP437" s="1"/>
      <c r="BQ437" s="1"/>
      <c r="BR437" s="1"/>
      <c r="BS437" s="1"/>
      <c r="BT437" s="1"/>
      <c r="BU437" s="4"/>
    </row>
    <row r="438">
      <c r="A438" s="1"/>
      <c r="M438" s="1"/>
      <c r="Y438" s="1"/>
      <c r="AK438" s="1"/>
      <c r="AQ438" s="1"/>
      <c r="AW438" s="1"/>
      <c r="BC438" s="1"/>
      <c r="BD438" s="1"/>
      <c r="BE438" s="1"/>
      <c r="BF438" s="1"/>
      <c r="BG438" s="1"/>
      <c r="BH438" s="1"/>
      <c r="BI438" s="1"/>
      <c r="BO438" s="1"/>
      <c r="BP438" s="1"/>
      <c r="BQ438" s="1"/>
      <c r="BR438" s="1"/>
      <c r="BS438" s="1"/>
      <c r="BT438" s="1"/>
      <c r="BU438" s="4"/>
    </row>
    <row r="439">
      <c r="A439" s="1"/>
      <c r="M439" s="1"/>
      <c r="Y439" s="1"/>
      <c r="AK439" s="1"/>
      <c r="AQ439" s="1"/>
      <c r="AW439" s="1"/>
      <c r="BC439" s="1"/>
      <c r="BD439" s="1"/>
      <c r="BE439" s="1"/>
      <c r="BF439" s="1"/>
      <c r="BG439" s="1"/>
      <c r="BH439" s="1"/>
      <c r="BI439" s="1"/>
      <c r="BO439" s="1"/>
      <c r="BP439" s="1"/>
      <c r="BQ439" s="1"/>
      <c r="BR439" s="1"/>
      <c r="BS439" s="1"/>
      <c r="BT439" s="1"/>
      <c r="BU439" s="4"/>
    </row>
    <row r="440">
      <c r="A440" s="1"/>
      <c r="M440" s="1"/>
      <c r="Y440" s="1"/>
      <c r="AK440" s="1"/>
      <c r="AQ440" s="1"/>
      <c r="AW440" s="1"/>
      <c r="BC440" s="1"/>
      <c r="BD440" s="1"/>
      <c r="BE440" s="1"/>
      <c r="BF440" s="1"/>
      <c r="BG440" s="1"/>
      <c r="BH440" s="1"/>
      <c r="BI440" s="1"/>
      <c r="BO440" s="1"/>
      <c r="BP440" s="1"/>
      <c r="BQ440" s="1"/>
      <c r="BR440" s="1"/>
      <c r="BS440" s="1"/>
      <c r="BT440" s="1"/>
      <c r="BU440" s="4"/>
    </row>
    <row r="441">
      <c r="A441" s="1"/>
      <c r="M441" s="1"/>
      <c r="Y441" s="1"/>
      <c r="AK441" s="1"/>
      <c r="AQ441" s="1"/>
      <c r="AW441" s="1"/>
      <c r="BC441" s="1"/>
      <c r="BD441" s="1"/>
      <c r="BE441" s="1"/>
      <c r="BF441" s="1"/>
      <c r="BG441" s="1"/>
      <c r="BH441" s="1"/>
      <c r="BI441" s="1"/>
      <c r="BO441" s="1"/>
      <c r="BP441" s="1"/>
      <c r="BQ441" s="1"/>
      <c r="BR441" s="1"/>
      <c r="BS441" s="1"/>
      <c r="BT441" s="1"/>
      <c r="BU441" s="4"/>
    </row>
    <row r="442">
      <c r="A442" s="1"/>
      <c r="M442" s="1"/>
      <c r="Y442" s="1"/>
      <c r="AK442" s="1"/>
      <c r="AQ442" s="1"/>
      <c r="AW442" s="1"/>
      <c r="BC442" s="1"/>
      <c r="BD442" s="1"/>
      <c r="BE442" s="1"/>
      <c r="BF442" s="1"/>
      <c r="BG442" s="1"/>
      <c r="BH442" s="1"/>
      <c r="BI442" s="1"/>
      <c r="BO442" s="1"/>
      <c r="BP442" s="1"/>
      <c r="BQ442" s="1"/>
      <c r="BR442" s="1"/>
      <c r="BS442" s="1"/>
      <c r="BT442" s="1"/>
      <c r="BU442" s="4"/>
    </row>
    <row r="443">
      <c r="A443" s="1"/>
      <c r="M443" s="1"/>
      <c r="Y443" s="1"/>
      <c r="AK443" s="1"/>
      <c r="AQ443" s="1"/>
      <c r="AW443" s="1"/>
      <c r="BC443" s="1"/>
      <c r="BD443" s="1"/>
      <c r="BE443" s="1"/>
      <c r="BF443" s="1"/>
      <c r="BG443" s="1"/>
      <c r="BH443" s="1"/>
      <c r="BI443" s="1"/>
      <c r="BO443" s="1"/>
      <c r="BP443" s="1"/>
      <c r="BQ443" s="1"/>
      <c r="BR443" s="1"/>
      <c r="BS443" s="1"/>
      <c r="BT443" s="1"/>
      <c r="BU443" s="4"/>
    </row>
    <row r="444">
      <c r="A444" s="1"/>
      <c r="M444" s="1"/>
      <c r="Y444" s="1"/>
      <c r="AK444" s="1"/>
      <c r="AQ444" s="1"/>
      <c r="AW444" s="1"/>
      <c r="BC444" s="1"/>
      <c r="BD444" s="1"/>
      <c r="BE444" s="1"/>
      <c r="BF444" s="1"/>
      <c r="BG444" s="1"/>
      <c r="BH444" s="1"/>
      <c r="BI444" s="1"/>
      <c r="BO444" s="1"/>
      <c r="BP444" s="1"/>
      <c r="BQ444" s="1"/>
      <c r="BR444" s="1"/>
      <c r="BS444" s="1"/>
      <c r="BT444" s="1"/>
      <c r="BU444" s="4"/>
    </row>
    <row r="445">
      <c r="A445" s="1"/>
      <c r="M445" s="1"/>
      <c r="Y445" s="1"/>
      <c r="AK445" s="1"/>
      <c r="AQ445" s="1"/>
      <c r="AW445" s="1"/>
      <c r="BC445" s="1"/>
      <c r="BD445" s="1"/>
      <c r="BE445" s="1"/>
      <c r="BF445" s="1"/>
      <c r="BG445" s="1"/>
      <c r="BH445" s="1"/>
      <c r="BI445" s="1"/>
      <c r="BO445" s="1"/>
      <c r="BP445" s="1"/>
      <c r="BQ445" s="1"/>
      <c r="BR445" s="1"/>
      <c r="BS445" s="1"/>
      <c r="BT445" s="1"/>
      <c r="BU445" s="4"/>
    </row>
    <row r="446">
      <c r="A446" s="1"/>
      <c r="M446" s="1"/>
      <c r="Y446" s="1"/>
      <c r="AK446" s="1"/>
      <c r="AQ446" s="1"/>
      <c r="AW446" s="1"/>
      <c r="BC446" s="1"/>
      <c r="BD446" s="1"/>
      <c r="BE446" s="1"/>
      <c r="BF446" s="1"/>
      <c r="BG446" s="1"/>
      <c r="BH446" s="1"/>
      <c r="BI446" s="1"/>
      <c r="BO446" s="1"/>
      <c r="BP446" s="1"/>
      <c r="BQ446" s="1"/>
      <c r="BR446" s="1"/>
      <c r="BS446" s="1"/>
      <c r="BT446" s="1"/>
      <c r="BU446" s="4"/>
    </row>
    <row r="447">
      <c r="A447" s="1"/>
      <c r="M447" s="1"/>
      <c r="Y447" s="1"/>
      <c r="AK447" s="1"/>
      <c r="AQ447" s="1"/>
      <c r="AW447" s="1"/>
      <c r="BC447" s="1"/>
      <c r="BD447" s="1"/>
      <c r="BE447" s="1"/>
      <c r="BF447" s="1"/>
      <c r="BG447" s="1"/>
      <c r="BH447" s="1"/>
      <c r="BI447" s="1"/>
      <c r="BO447" s="1"/>
      <c r="BP447" s="1"/>
      <c r="BQ447" s="1"/>
      <c r="BR447" s="1"/>
      <c r="BS447" s="1"/>
      <c r="BT447" s="1"/>
      <c r="BU447" s="4"/>
    </row>
    <row r="448">
      <c r="A448" s="1"/>
      <c r="M448" s="1"/>
      <c r="Y448" s="1"/>
      <c r="AK448" s="1"/>
      <c r="AQ448" s="1"/>
      <c r="AW448" s="1"/>
      <c r="BC448" s="1"/>
      <c r="BD448" s="1"/>
      <c r="BE448" s="1"/>
      <c r="BF448" s="1"/>
      <c r="BG448" s="1"/>
      <c r="BH448" s="1"/>
      <c r="BI448" s="1"/>
      <c r="BO448" s="1"/>
      <c r="BP448" s="1"/>
      <c r="BQ448" s="1"/>
      <c r="BR448" s="1"/>
      <c r="BS448" s="1"/>
      <c r="BT448" s="1"/>
      <c r="BU448" s="4"/>
    </row>
    <row r="449">
      <c r="A449" s="1"/>
      <c r="M449" s="1"/>
      <c r="Y449" s="1"/>
      <c r="AK449" s="1"/>
      <c r="AQ449" s="1"/>
      <c r="AW449" s="1"/>
      <c r="BC449" s="1"/>
      <c r="BD449" s="1"/>
      <c r="BE449" s="1"/>
      <c r="BF449" s="1"/>
      <c r="BG449" s="1"/>
      <c r="BH449" s="1"/>
      <c r="BI449" s="1"/>
      <c r="BO449" s="1"/>
      <c r="BP449" s="1"/>
      <c r="BQ449" s="1"/>
      <c r="BR449" s="1"/>
      <c r="BS449" s="1"/>
      <c r="BT449" s="1"/>
      <c r="BU449" s="4"/>
    </row>
    <row r="450">
      <c r="A450" s="1"/>
      <c r="M450" s="1"/>
      <c r="Y450" s="1"/>
      <c r="AK450" s="1"/>
      <c r="AQ450" s="1"/>
      <c r="AW450" s="1"/>
      <c r="BC450" s="1"/>
      <c r="BD450" s="1"/>
      <c r="BE450" s="1"/>
      <c r="BF450" s="1"/>
      <c r="BG450" s="1"/>
      <c r="BH450" s="1"/>
      <c r="BI450" s="1"/>
      <c r="BO450" s="1"/>
      <c r="BP450" s="1"/>
      <c r="BQ450" s="1"/>
      <c r="BR450" s="1"/>
      <c r="BS450" s="1"/>
      <c r="BT450" s="1"/>
      <c r="BU450" s="4"/>
    </row>
    <row r="451">
      <c r="A451" s="1"/>
      <c r="M451" s="1"/>
      <c r="Y451" s="1"/>
      <c r="AK451" s="1"/>
      <c r="AQ451" s="1"/>
      <c r="AW451" s="1"/>
      <c r="BC451" s="1"/>
      <c r="BD451" s="1"/>
      <c r="BE451" s="1"/>
      <c r="BF451" s="1"/>
      <c r="BG451" s="1"/>
      <c r="BH451" s="1"/>
      <c r="BI451" s="1"/>
      <c r="BO451" s="1"/>
      <c r="BP451" s="1"/>
      <c r="BQ451" s="1"/>
      <c r="BR451" s="1"/>
      <c r="BS451" s="1"/>
      <c r="BT451" s="1"/>
      <c r="BU451" s="4"/>
    </row>
    <row r="452">
      <c r="A452" s="1"/>
      <c r="M452" s="1"/>
      <c r="Y452" s="1"/>
      <c r="AK452" s="1"/>
      <c r="AQ452" s="1"/>
      <c r="AW452" s="1"/>
      <c r="BC452" s="1"/>
      <c r="BD452" s="1"/>
      <c r="BE452" s="1"/>
      <c r="BF452" s="1"/>
      <c r="BG452" s="1"/>
      <c r="BH452" s="1"/>
      <c r="BI452" s="1"/>
      <c r="BO452" s="1"/>
      <c r="BP452" s="1"/>
      <c r="BQ452" s="1"/>
      <c r="BR452" s="1"/>
      <c r="BS452" s="1"/>
      <c r="BT452" s="1"/>
      <c r="BU452" s="4"/>
    </row>
    <row r="453">
      <c r="A453" s="1"/>
      <c r="M453" s="1"/>
      <c r="Y453" s="1"/>
      <c r="AK453" s="1"/>
      <c r="AQ453" s="1"/>
      <c r="AW453" s="1"/>
      <c r="BC453" s="1"/>
      <c r="BD453" s="1"/>
      <c r="BE453" s="1"/>
      <c r="BF453" s="1"/>
      <c r="BG453" s="1"/>
      <c r="BH453" s="1"/>
      <c r="BI453" s="1"/>
      <c r="BO453" s="1"/>
      <c r="BP453" s="1"/>
      <c r="BQ453" s="1"/>
      <c r="BR453" s="1"/>
      <c r="BS453" s="1"/>
      <c r="BT453" s="1"/>
      <c r="BU453" s="4"/>
    </row>
    <row r="454">
      <c r="A454" s="1"/>
      <c r="M454" s="1"/>
      <c r="Y454" s="1"/>
      <c r="AK454" s="1"/>
      <c r="AQ454" s="1"/>
      <c r="AW454" s="1"/>
      <c r="BC454" s="1"/>
      <c r="BD454" s="1"/>
      <c r="BE454" s="1"/>
      <c r="BF454" s="1"/>
      <c r="BG454" s="1"/>
      <c r="BH454" s="1"/>
      <c r="BI454" s="1"/>
      <c r="BO454" s="1"/>
      <c r="BP454" s="1"/>
      <c r="BQ454" s="1"/>
      <c r="BR454" s="1"/>
      <c r="BS454" s="1"/>
      <c r="BT454" s="1"/>
      <c r="BU454" s="4"/>
    </row>
    <row r="455">
      <c r="A455" s="1"/>
      <c r="M455" s="1"/>
      <c r="Y455" s="1"/>
      <c r="AK455" s="1"/>
      <c r="AQ455" s="1"/>
      <c r="AW455" s="1"/>
      <c r="BC455" s="1"/>
      <c r="BD455" s="1"/>
      <c r="BE455" s="1"/>
      <c r="BF455" s="1"/>
      <c r="BG455" s="1"/>
      <c r="BH455" s="1"/>
      <c r="BI455" s="1"/>
      <c r="BO455" s="1"/>
      <c r="BP455" s="1"/>
      <c r="BQ455" s="1"/>
      <c r="BR455" s="1"/>
      <c r="BS455" s="1"/>
      <c r="BT455" s="1"/>
      <c r="BU455" s="4"/>
    </row>
    <row r="456">
      <c r="A456" s="1"/>
      <c r="M456" s="1"/>
      <c r="Y456" s="1"/>
      <c r="AK456" s="1"/>
      <c r="AQ456" s="1"/>
      <c r="AW456" s="1"/>
      <c r="BC456" s="1"/>
      <c r="BD456" s="1"/>
      <c r="BE456" s="1"/>
      <c r="BF456" s="1"/>
      <c r="BG456" s="1"/>
      <c r="BH456" s="1"/>
      <c r="BI456" s="1"/>
      <c r="BO456" s="1"/>
      <c r="BP456" s="1"/>
      <c r="BQ456" s="1"/>
      <c r="BR456" s="1"/>
      <c r="BS456" s="1"/>
      <c r="BT456" s="1"/>
      <c r="BU456" s="4"/>
    </row>
    <row r="457">
      <c r="A457" s="1"/>
      <c r="M457" s="1"/>
      <c r="Y457" s="1"/>
      <c r="AK457" s="1"/>
      <c r="AQ457" s="1"/>
      <c r="AW457" s="1"/>
      <c r="BC457" s="1"/>
      <c r="BD457" s="1"/>
      <c r="BE457" s="1"/>
      <c r="BF457" s="1"/>
      <c r="BG457" s="1"/>
      <c r="BH457" s="1"/>
      <c r="BI457" s="1"/>
      <c r="BO457" s="1"/>
      <c r="BP457" s="1"/>
      <c r="BQ457" s="1"/>
      <c r="BR457" s="1"/>
      <c r="BS457" s="1"/>
      <c r="BT457" s="1"/>
      <c r="BU457" s="4"/>
    </row>
    <row r="458">
      <c r="A458" s="1"/>
      <c r="M458" s="1"/>
      <c r="Y458" s="1"/>
      <c r="AK458" s="1"/>
      <c r="AQ458" s="1"/>
      <c r="AW458" s="1"/>
      <c r="BC458" s="1"/>
      <c r="BD458" s="1"/>
      <c r="BE458" s="1"/>
      <c r="BF458" s="1"/>
      <c r="BG458" s="1"/>
      <c r="BH458" s="1"/>
      <c r="BI458" s="1"/>
      <c r="BO458" s="1"/>
      <c r="BP458" s="1"/>
      <c r="BQ458" s="1"/>
      <c r="BR458" s="1"/>
      <c r="BS458" s="1"/>
      <c r="BT458" s="1"/>
      <c r="BU458" s="4"/>
    </row>
    <row r="459">
      <c r="A459" s="1"/>
      <c r="M459" s="1"/>
      <c r="Y459" s="1"/>
      <c r="AK459" s="1"/>
      <c r="AQ459" s="1"/>
      <c r="AW459" s="1"/>
      <c r="BC459" s="1"/>
      <c r="BD459" s="1"/>
      <c r="BE459" s="1"/>
      <c r="BF459" s="1"/>
      <c r="BG459" s="1"/>
      <c r="BH459" s="1"/>
      <c r="BI459" s="1"/>
      <c r="BO459" s="1"/>
      <c r="BP459" s="1"/>
      <c r="BQ459" s="1"/>
      <c r="BR459" s="1"/>
      <c r="BS459" s="1"/>
      <c r="BT459" s="1"/>
      <c r="BU459" s="4"/>
    </row>
    <row r="460">
      <c r="A460" s="1"/>
      <c r="M460" s="1"/>
      <c r="Y460" s="1"/>
      <c r="AK460" s="1"/>
      <c r="AQ460" s="1"/>
      <c r="AW460" s="1"/>
      <c r="BC460" s="1"/>
      <c r="BD460" s="1"/>
      <c r="BE460" s="1"/>
      <c r="BF460" s="1"/>
      <c r="BG460" s="1"/>
      <c r="BH460" s="1"/>
      <c r="BI460" s="1"/>
      <c r="BO460" s="1"/>
      <c r="BP460" s="1"/>
      <c r="BQ460" s="1"/>
      <c r="BR460" s="1"/>
      <c r="BS460" s="1"/>
      <c r="BT460" s="1"/>
      <c r="BU460" s="4"/>
    </row>
    <row r="461">
      <c r="A461" s="1"/>
      <c r="M461" s="1"/>
      <c r="Y461" s="1"/>
      <c r="AK461" s="1"/>
      <c r="AQ461" s="1"/>
      <c r="AW461" s="1"/>
      <c r="BC461" s="1"/>
      <c r="BD461" s="1"/>
      <c r="BE461" s="1"/>
      <c r="BF461" s="1"/>
      <c r="BG461" s="1"/>
      <c r="BH461" s="1"/>
      <c r="BI461" s="1"/>
      <c r="BO461" s="1"/>
      <c r="BP461" s="1"/>
      <c r="BQ461" s="1"/>
      <c r="BR461" s="1"/>
      <c r="BS461" s="1"/>
      <c r="BT461" s="1"/>
      <c r="BU461" s="4"/>
    </row>
    <row r="462">
      <c r="A462" s="1"/>
      <c r="M462" s="1"/>
      <c r="Y462" s="1"/>
      <c r="AK462" s="1"/>
      <c r="AQ462" s="1"/>
      <c r="AW462" s="1"/>
      <c r="BC462" s="1"/>
      <c r="BD462" s="1"/>
      <c r="BE462" s="1"/>
      <c r="BF462" s="1"/>
      <c r="BG462" s="1"/>
      <c r="BH462" s="1"/>
      <c r="BI462" s="1"/>
      <c r="BO462" s="1"/>
      <c r="BP462" s="1"/>
      <c r="BQ462" s="1"/>
      <c r="BR462" s="1"/>
      <c r="BS462" s="1"/>
      <c r="BT462" s="1"/>
      <c r="BU462" s="4"/>
    </row>
    <row r="463">
      <c r="A463" s="1"/>
      <c r="M463" s="1"/>
      <c r="Y463" s="1"/>
      <c r="AK463" s="1"/>
      <c r="AQ463" s="1"/>
      <c r="AW463" s="1"/>
      <c r="BC463" s="1"/>
      <c r="BD463" s="1"/>
      <c r="BE463" s="1"/>
      <c r="BF463" s="1"/>
      <c r="BG463" s="1"/>
      <c r="BH463" s="1"/>
      <c r="BI463" s="1"/>
      <c r="BO463" s="1"/>
      <c r="BP463" s="1"/>
      <c r="BQ463" s="1"/>
      <c r="BR463" s="1"/>
      <c r="BS463" s="1"/>
      <c r="BT463" s="1"/>
      <c r="BU463" s="4"/>
    </row>
    <row r="464">
      <c r="A464" s="1"/>
      <c r="M464" s="1"/>
      <c r="Y464" s="1"/>
      <c r="AK464" s="1"/>
      <c r="AQ464" s="1"/>
      <c r="AW464" s="1"/>
      <c r="BC464" s="1"/>
      <c r="BD464" s="1"/>
      <c r="BE464" s="1"/>
      <c r="BF464" s="1"/>
      <c r="BG464" s="1"/>
      <c r="BH464" s="1"/>
      <c r="BI464" s="1"/>
      <c r="BO464" s="1"/>
      <c r="BP464" s="1"/>
      <c r="BQ464" s="1"/>
      <c r="BR464" s="1"/>
      <c r="BS464" s="1"/>
      <c r="BT464" s="1"/>
      <c r="BU464" s="4"/>
    </row>
    <row r="465">
      <c r="A465" s="1"/>
      <c r="M465" s="1"/>
      <c r="Y465" s="1"/>
      <c r="AK465" s="1"/>
      <c r="AQ465" s="1"/>
      <c r="AW465" s="1"/>
      <c r="BC465" s="1"/>
      <c r="BD465" s="1"/>
      <c r="BE465" s="1"/>
      <c r="BF465" s="1"/>
      <c r="BG465" s="1"/>
      <c r="BH465" s="1"/>
      <c r="BI465" s="1"/>
      <c r="BO465" s="1"/>
      <c r="BP465" s="1"/>
      <c r="BQ465" s="1"/>
      <c r="BR465" s="1"/>
      <c r="BS465" s="1"/>
      <c r="BT465" s="1"/>
      <c r="BU465" s="4"/>
    </row>
    <row r="466">
      <c r="A466" s="1"/>
      <c r="M466" s="1"/>
      <c r="Y466" s="1"/>
      <c r="AK466" s="1"/>
      <c r="AQ466" s="1"/>
      <c r="AW466" s="1"/>
      <c r="BC466" s="1"/>
      <c r="BD466" s="1"/>
      <c r="BE466" s="1"/>
      <c r="BF466" s="1"/>
      <c r="BG466" s="1"/>
      <c r="BH466" s="1"/>
      <c r="BI466" s="1"/>
      <c r="BO466" s="1"/>
      <c r="BP466" s="1"/>
      <c r="BQ466" s="1"/>
      <c r="BR466" s="1"/>
      <c r="BS466" s="1"/>
      <c r="BT466" s="1"/>
      <c r="BU466" s="4"/>
    </row>
    <row r="467">
      <c r="A467" s="1"/>
      <c r="M467" s="1"/>
      <c r="Y467" s="1"/>
      <c r="AK467" s="1"/>
      <c r="AQ467" s="1"/>
      <c r="AW467" s="1"/>
      <c r="BC467" s="1"/>
      <c r="BD467" s="1"/>
      <c r="BE467" s="1"/>
      <c r="BF467" s="1"/>
      <c r="BG467" s="1"/>
      <c r="BH467" s="1"/>
      <c r="BI467" s="1"/>
      <c r="BO467" s="1"/>
      <c r="BP467" s="1"/>
      <c r="BQ467" s="1"/>
      <c r="BR467" s="1"/>
      <c r="BS467" s="1"/>
      <c r="BT467" s="1"/>
      <c r="BU467" s="4"/>
    </row>
    <row r="468">
      <c r="A468" s="1"/>
      <c r="M468" s="1"/>
      <c r="Y468" s="1"/>
      <c r="AK468" s="1"/>
      <c r="AQ468" s="1"/>
      <c r="AW468" s="1"/>
      <c r="BC468" s="1"/>
      <c r="BD468" s="1"/>
      <c r="BE468" s="1"/>
      <c r="BF468" s="1"/>
      <c r="BG468" s="1"/>
      <c r="BH468" s="1"/>
      <c r="BI468" s="1"/>
      <c r="BO468" s="1"/>
      <c r="BP468" s="1"/>
      <c r="BQ468" s="1"/>
      <c r="BR468" s="1"/>
      <c r="BS468" s="1"/>
      <c r="BT468" s="1"/>
      <c r="BU468" s="4"/>
    </row>
    <row r="469">
      <c r="A469" s="1"/>
      <c r="M469" s="1"/>
      <c r="Y469" s="1"/>
      <c r="AK469" s="1"/>
      <c r="AQ469" s="1"/>
      <c r="AW469" s="1"/>
      <c r="BC469" s="1"/>
      <c r="BD469" s="1"/>
      <c r="BE469" s="1"/>
      <c r="BF469" s="1"/>
      <c r="BG469" s="1"/>
      <c r="BH469" s="1"/>
      <c r="BI469" s="1"/>
      <c r="BO469" s="1"/>
      <c r="BP469" s="1"/>
      <c r="BQ469" s="1"/>
      <c r="BR469" s="1"/>
      <c r="BS469" s="1"/>
      <c r="BT469" s="1"/>
      <c r="BU469" s="4"/>
    </row>
    <row r="470">
      <c r="A470" s="1"/>
      <c r="M470" s="1"/>
      <c r="Y470" s="1"/>
      <c r="AK470" s="1"/>
      <c r="AQ470" s="1"/>
      <c r="AW470" s="1"/>
      <c r="BC470" s="1"/>
      <c r="BD470" s="1"/>
      <c r="BE470" s="1"/>
      <c r="BF470" s="1"/>
      <c r="BG470" s="1"/>
      <c r="BH470" s="1"/>
      <c r="BI470" s="1"/>
      <c r="BO470" s="1"/>
      <c r="BP470" s="1"/>
      <c r="BQ470" s="1"/>
      <c r="BR470" s="1"/>
      <c r="BS470" s="1"/>
      <c r="BT470" s="1"/>
      <c r="BU470" s="4"/>
    </row>
    <row r="471">
      <c r="A471" s="1"/>
      <c r="M471" s="1"/>
      <c r="Y471" s="1"/>
      <c r="AK471" s="1"/>
      <c r="AQ471" s="1"/>
      <c r="AW471" s="1"/>
      <c r="BC471" s="1"/>
      <c r="BD471" s="1"/>
      <c r="BE471" s="1"/>
      <c r="BF471" s="1"/>
      <c r="BG471" s="1"/>
      <c r="BH471" s="1"/>
      <c r="BI471" s="1"/>
      <c r="BO471" s="1"/>
      <c r="BP471" s="1"/>
      <c r="BQ471" s="1"/>
      <c r="BR471" s="1"/>
      <c r="BS471" s="1"/>
      <c r="BT471" s="1"/>
      <c r="BU471" s="4"/>
    </row>
    <row r="472">
      <c r="A472" s="1"/>
      <c r="M472" s="1"/>
      <c r="Y472" s="1"/>
      <c r="AK472" s="1"/>
      <c r="AQ472" s="1"/>
      <c r="AW472" s="1"/>
      <c r="BC472" s="1"/>
      <c r="BD472" s="1"/>
      <c r="BE472" s="1"/>
      <c r="BF472" s="1"/>
      <c r="BG472" s="1"/>
      <c r="BH472" s="1"/>
      <c r="BI472" s="1"/>
      <c r="BO472" s="1"/>
      <c r="BP472" s="1"/>
      <c r="BQ472" s="1"/>
      <c r="BR472" s="1"/>
      <c r="BS472" s="1"/>
      <c r="BT472" s="1"/>
      <c r="BU472" s="4"/>
    </row>
    <row r="473">
      <c r="A473" s="1"/>
      <c r="M473" s="1"/>
      <c r="Y473" s="1"/>
      <c r="AK473" s="1"/>
      <c r="AQ473" s="1"/>
      <c r="AW473" s="1"/>
      <c r="BC473" s="1"/>
      <c r="BD473" s="1"/>
      <c r="BE473" s="1"/>
      <c r="BF473" s="1"/>
      <c r="BG473" s="1"/>
      <c r="BH473" s="1"/>
      <c r="BI473" s="1"/>
      <c r="BO473" s="1"/>
      <c r="BP473" s="1"/>
      <c r="BQ473" s="1"/>
      <c r="BR473" s="1"/>
      <c r="BS473" s="1"/>
      <c r="BT473" s="1"/>
      <c r="BU473" s="4"/>
    </row>
    <row r="474">
      <c r="A474" s="1"/>
      <c r="M474" s="1"/>
      <c r="Y474" s="1"/>
      <c r="AK474" s="1"/>
      <c r="AQ474" s="1"/>
      <c r="AW474" s="1"/>
      <c r="BC474" s="1"/>
      <c r="BD474" s="1"/>
      <c r="BE474" s="1"/>
      <c r="BF474" s="1"/>
      <c r="BG474" s="1"/>
      <c r="BH474" s="1"/>
      <c r="BI474" s="1"/>
      <c r="BO474" s="1"/>
      <c r="BP474" s="1"/>
      <c r="BQ474" s="1"/>
      <c r="BR474" s="1"/>
      <c r="BS474" s="1"/>
      <c r="BT474" s="1"/>
      <c r="BU474" s="4"/>
    </row>
    <row r="475">
      <c r="A475" s="1"/>
      <c r="M475" s="1"/>
      <c r="Y475" s="1"/>
      <c r="AK475" s="1"/>
      <c r="AQ475" s="1"/>
      <c r="AW475" s="1"/>
      <c r="BC475" s="1"/>
      <c r="BD475" s="1"/>
      <c r="BE475" s="1"/>
      <c r="BF475" s="1"/>
      <c r="BG475" s="1"/>
      <c r="BH475" s="1"/>
      <c r="BI475" s="1"/>
      <c r="BO475" s="1"/>
      <c r="BP475" s="1"/>
      <c r="BQ475" s="1"/>
      <c r="BR475" s="1"/>
      <c r="BS475" s="1"/>
      <c r="BT475" s="1"/>
      <c r="BU475" s="4"/>
    </row>
    <row r="476">
      <c r="A476" s="1"/>
      <c r="M476" s="1"/>
      <c r="Y476" s="1"/>
      <c r="AK476" s="1"/>
      <c r="AQ476" s="1"/>
      <c r="AW476" s="1"/>
      <c r="BC476" s="1"/>
      <c r="BD476" s="1"/>
      <c r="BE476" s="1"/>
      <c r="BF476" s="1"/>
      <c r="BG476" s="1"/>
      <c r="BH476" s="1"/>
      <c r="BI476" s="1"/>
      <c r="BO476" s="1"/>
      <c r="BP476" s="1"/>
      <c r="BQ476" s="1"/>
      <c r="BR476" s="1"/>
      <c r="BS476" s="1"/>
      <c r="BT476" s="1"/>
      <c r="BU476" s="4"/>
    </row>
    <row r="477">
      <c r="A477" s="1"/>
      <c r="M477" s="1"/>
      <c r="Y477" s="1"/>
      <c r="AK477" s="1"/>
      <c r="AQ477" s="1"/>
      <c r="AW477" s="1"/>
      <c r="BC477" s="1"/>
      <c r="BD477" s="1"/>
      <c r="BE477" s="1"/>
      <c r="BF477" s="1"/>
      <c r="BG477" s="1"/>
      <c r="BH477" s="1"/>
      <c r="BI477" s="1"/>
      <c r="BO477" s="1"/>
      <c r="BP477" s="1"/>
      <c r="BQ477" s="1"/>
      <c r="BR477" s="1"/>
      <c r="BS477" s="1"/>
      <c r="BT477" s="1"/>
      <c r="BU477" s="4"/>
    </row>
    <row r="478">
      <c r="A478" s="1"/>
      <c r="M478" s="1"/>
      <c r="Y478" s="1"/>
      <c r="AK478" s="1"/>
      <c r="AQ478" s="1"/>
      <c r="AW478" s="1"/>
      <c r="BC478" s="1"/>
      <c r="BD478" s="1"/>
      <c r="BE478" s="1"/>
      <c r="BF478" s="1"/>
      <c r="BG478" s="1"/>
      <c r="BH478" s="1"/>
      <c r="BI478" s="1"/>
      <c r="BO478" s="1"/>
      <c r="BP478" s="1"/>
      <c r="BQ478" s="1"/>
      <c r="BR478" s="1"/>
      <c r="BS478" s="1"/>
      <c r="BT478" s="1"/>
      <c r="BU478" s="4"/>
    </row>
    <row r="479">
      <c r="A479" s="1"/>
      <c r="M479" s="1"/>
      <c r="Y479" s="1"/>
      <c r="AK479" s="1"/>
      <c r="AQ479" s="1"/>
      <c r="AW479" s="1"/>
      <c r="BC479" s="1"/>
      <c r="BD479" s="1"/>
      <c r="BE479" s="1"/>
      <c r="BF479" s="1"/>
      <c r="BG479" s="1"/>
      <c r="BH479" s="1"/>
      <c r="BI479" s="1"/>
      <c r="BO479" s="1"/>
      <c r="BP479" s="1"/>
      <c r="BQ479" s="1"/>
      <c r="BR479" s="1"/>
      <c r="BS479" s="1"/>
      <c r="BT479" s="1"/>
      <c r="BU479" s="4"/>
    </row>
    <row r="480">
      <c r="A480" s="1"/>
      <c r="M480" s="1"/>
      <c r="Y480" s="1"/>
      <c r="AK480" s="1"/>
      <c r="AQ480" s="1"/>
      <c r="AW480" s="1"/>
      <c r="BC480" s="1"/>
      <c r="BD480" s="1"/>
      <c r="BE480" s="1"/>
      <c r="BF480" s="1"/>
      <c r="BG480" s="1"/>
      <c r="BH480" s="1"/>
      <c r="BI480" s="1"/>
      <c r="BO480" s="1"/>
      <c r="BP480" s="1"/>
      <c r="BQ480" s="1"/>
      <c r="BR480" s="1"/>
      <c r="BS480" s="1"/>
      <c r="BT480" s="1"/>
      <c r="BU480" s="4"/>
    </row>
    <row r="481">
      <c r="A481" s="1"/>
      <c r="M481" s="1"/>
      <c r="Y481" s="1"/>
      <c r="AK481" s="1"/>
      <c r="AQ481" s="1"/>
      <c r="AW481" s="1"/>
      <c r="BC481" s="1"/>
      <c r="BD481" s="1"/>
      <c r="BE481" s="1"/>
      <c r="BF481" s="1"/>
      <c r="BG481" s="1"/>
      <c r="BH481" s="1"/>
      <c r="BI481" s="1"/>
      <c r="BO481" s="1"/>
      <c r="BP481" s="1"/>
      <c r="BQ481" s="1"/>
      <c r="BR481" s="1"/>
      <c r="BS481" s="1"/>
      <c r="BT481" s="1"/>
      <c r="BU481" s="4"/>
    </row>
    <row r="482">
      <c r="A482" s="1"/>
      <c r="M482" s="1"/>
      <c r="Y482" s="1"/>
      <c r="AK482" s="1"/>
      <c r="AQ482" s="1"/>
      <c r="AW482" s="1"/>
      <c r="BC482" s="1"/>
      <c r="BD482" s="1"/>
      <c r="BE482" s="1"/>
      <c r="BF482" s="1"/>
      <c r="BG482" s="1"/>
      <c r="BH482" s="1"/>
      <c r="BI482" s="1"/>
      <c r="BO482" s="1"/>
      <c r="BP482" s="1"/>
      <c r="BQ482" s="1"/>
      <c r="BR482" s="1"/>
      <c r="BS482" s="1"/>
      <c r="BT482" s="1"/>
      <c r="BU482" s="4"/>
    </row>
    <row r="483">
      <c r="A483" s="1"/>
      <c r="M483" s="1"/>
      <c r="Y483" s="1"/>
      <c r="AK483" s="1"/>
      <c r="AQ483" s="1"/>
      <c r="AW483" s="1"/>
      <c r="BC483" s="1"/>
      <c r="BD483" s="1"/>
      <c r="BE483" s="1"/>
      <c r="BF483" s="1"/>
      <c r="BG483" s="1"/>
      <c r="BH483" s="1"/>
      <c r="BI483" s="1"/>
      <c r="BO483" s="1"/>
      <c r="BP483" s="1"/>
      <c r="BQ483" s="1"/>
      <c r="BR483" s="1"/>
      <c r="BS483" s="1"/>
      <c r="BT483" s="1"/>
      <c r="BU483" s="4"/>
    </row>
    <row r="484">
      <c r="A484" s="1"/>
      <c r="M484" s="1"/>
      <c r="Y484" s="1"/>
      <c r="AK484" s="1"/>
      <c r="AQ484" s="1"/>
      <c r="AW484" s="1"/>
      <c r="BC484" s="1"/>
      <c r="BD484" s="1"/>
      <c r="BE484" s="1"/>
      <c r="BF484" s="1"/>
      <c r="BG484" s="1"/>
      <c r="BH484" s="1"/>
      <c r="BI484" s="1"/>
      <c r="BO484" s="1"/>
      <c r="BP484" s="1"/>
      <c r="BQ484" s="1"/>
      <c r="BR484" s="1"/>
      <c r="BS484" s="1"/>
      <c r="BT484" s="1"/>
      <c r="BU484" s="4"/>
    </row>
    <row r="485">
      <c r="A485" s="1"/>
      <c r="M485" s="1"/>
      <c r="Y485" s="1"/>
      <c r="AK485" s="1"/>
      <c r="AQ485" s="1"/>
      <c r="AW485" s="1"/>
      <c r="BC485" s="1"/>
      <c r="BD485" s="1"/>
      <c r="BE485" s="1"/>
      <c r="BF485" s="1"/>
      <c r="BG485" s="1"/>
      <c r="BH485" s="1"/>
      <c r="BI485" s="1"/>
      <c r="BO485" s="1"/>
      <c r="BP485" s="1"/>
      <c r="BQ485" s="1"/>
      <c r="BR485" s="1"/>
      <c r="BS485" s="1"/>
      <c r="BT485" s="1"/>
      <c r="BU485" s="4"/>
    </row>
    <row r="486">
      <c r="M486" s="1"/>
      <c r="Y486" s="1"/>
      <c r="AK486" s="1"/>
      <c r="AQ486" s="1"/>
      <c r="AW486" s="1"/>
      <c r="BC486" s="1"/>
      <c r="BD486" s="1"/>
      <c r="BE486" s="1"/>
      <c r="BF486" s="1"/>
      <c r="BG486" s="1"/>
      <c r="BH486" s="1"/>
      <c r="BI486" s="1"/>
      <c r="BO486" s="1"/>
      <c r="BP486" s="1"/>
      <c r="BQ486" s="1"/>
      <c r="BR486" s="1"/>
      <c r="BS486" s="1"/>
      <c r="BT486" s="1"/>
      <c r="BU486" s="4"/>
    </row>
    <row r="487">
      <c r="AK487" s="1"/>
      <c r="AQ487" s="1"/>
      <c r="AW487" s="1"/>
      <c r="BC487" s="1"/>
      <c r="BD487" s="1"/>
      <c r="BE487" s="1"/>
      <c r="BF487" s="1"/>
      <c r="BG487" s="1"/>
      <c r="BH487" s="1"/>
      <c r="BI487" s="1"/>
      <c r="BO487" s="1"/>
      <c r="BP487" s="1"/>
      <c r="BQ487" s="1"/>
      <c r="BR487" s="1"/>
      <c r="BS487" s="1"/>
      <c r="BT487" s="1"/>
      <c r="BU487" s="4"/>
    </row>
    <row r="488">
      <c r="AK488" s="1"/>
      <c r="AQ488" s="1"/>
      <c r="AW488" s="1"/>
      <c r="BC488" s="1"/>
      <c r="BD488" s="1"/>
      <c r="BE488" s="1"/>
      <c r="BF488" s="1"/>
      <c r="BG488" s="1"/>
      <c r="BH488" s="1"/>
      <c r="BI488" s="1"/>
      <c r="BO488" s="1"/>
      <c r="BP488" s="1"/>
      <c r="BQ488" s="1"/>
      <c r="BR488" s="1"/>
      <c r="BS488" s="1"/>
      <c r="BT488" s="1"/>
      <c r="BU488" s="4"/>
    </row>
    <row r="489">
      <c r="AK489" s="1"/>
      <c r="AQ489" s="1"/>
      <c r="AW489" s="1"/>
      <c r="BC489" s="1"/>
      <c r="BD489" s="1"/>
      <c r="BE489" s="1"/>
      <c r="BF489" s="1"/>
      <c r="BG489" s="1"/>
      <c r="BH489" s="1"/>
      <c r="BI489" s="1"/>
      <c r="BO489" s="1"/>
      <c r="BP489" s="1"/>
      <c r="BQ489" s="1"/>
      <c r="BR489" s="1"/>
      <c r="BS489" s="1"/>
      <c r="BT489" s="1"/>
      <c r="BU489" s="4"/>
    </row>
    <row r="490">
      <c r="AK490" s="1"/>
      <c r="AQ490" s="1"/>
      <c r="AW490" s="1"/>
      <c r="BC490" s="1"/>
      <c r="BD490" s="1"/>
      <c r="BE490" s="1"/>
      <c r="BF490" s="1"/>
      <c r="BG490" s="1"/>
      <c r="BH490" s="1"/>
      <c r="BI490" s="1"/>
      <c r="BO490" s="1"/>
      <c r="BP490" s="1"/>
      <c r="BQ490" s="1"/>
      <c r="BR490" s="1"/>
      <c r="BS490" s="1"/>
      <c r="BT490" s="1"/>
      <c r="BU490" s="4"/>
    </row>
    <row r="491">
      <c r="AK491" s="1"/>
      <c r="AQ491" s="1"/>
      <c r="AW491" s="1"/>
      <c r="BC491" s="1"/>
      <c r="BD491" s="1"/>
      <c r="BE491" s="1"/>
      <c r="BF491" s="1"/>
      <c r="BG491" s="1"/>
      <c r="BH491" s="1"/>
      <c r="BI491" s="1"/>
      <c r="BO491" s="1"/>
      <c r="BP491" s="1"/>
      <c r="BQ491" s="1"/>
      <c r="BR491" s="1"/>
      <c r="BS491" s="1"/>
      <c r="BT491" s="1"/>
      <c r="BU491" s="4"/>
    </row>
    <row r="492">
      <c r="AK492" s="1"/>
      <c r="AQ492" s="1"/>
      <c r="AW492" s="1"/>
      <c r="BC492" s="1"/>
      <c r="BD492" s="1"/>
      <c r="BE492" s="1"/>
      <c r="BF492" s="1"/>
      <c r="BG492" s="1"/>
      <c r="BH492" s="1"/>
      <c r="BI492" s="1"/>
      <c r="BO492" s="1"/>
      <c r="BP492" s="1"/>
      <c r="BQ492" s="1"/>
      <c r="BR492" s="1"/>
      <c r="BS492" s="1"/>
      <c r="BT492" s="1"/>
      <c r="BU492" s="4"/>
    </row>
    <row r="493">
      <c r="AK493" s="1"/>
      <c r="AQ493" s="1"/>
      <c r="AW493" s="1"/>
      <c r="BC493" s="1"/>
      <c r="BD493" s="1"/>
      <c r="BE493" s="1"/>
      <c r="BF493" s="1"/>
      <c r="BG493" s="1"/>
      <c r="BH493" s="1"/>
      <c r="BI493" s="1"/>
      <c r="BO493" s="1"/>
      <c r="BP493" s="1"/>
      <c r="BQ493" s="1"/>
      <c r="BR493" s="1"/>
      <c r="BS493" s="1"/>
      <c r="BT493" s="1"/>
      <c r="BU493" s="4"/>
    </row>
    <row r="494">
      <c r="AK494" s="1"/>
      <c r="AQ494" s="1"/>
      <c r="AW494" s="1"/>
      <c r="BC494" s="1"/>
      <c r="BD494" s="1"/>
      <c r="BE494" s="1"/>
      <c r="BF494" s="1"/>
      <c r="BG494" s="1"/>
      <c r="BH494" s="1"/>
      <c r="BI494" s="1"/>
      <c r="BO494" s="1"/>
      <c r="BP494" s="1"/>
      <c r="BQ494" s="1"/>
      <c r="BR494" s="1"/>
      <c r="BS494" s="1"/>
      <c r="BT494" s="1"/>
      <c r="BU494" s="4"/>
    </row>
    <row r="495">
      <c r="AK495" s="1"/>
      <c r="AQ495" s="1"/>
      <c r="AW495" s="1"/>
      <c r="BC495" s="1"/>
      <c r="BD495" s="1"/>
      <c r="BE495" s="1"/>
      <c r="BF495" s="1"/>
      <c r="BG495" s="1"/>
      <c r="BH495" s="1"/>
      <c r="BI495" s="1"/>
      <c r="BO495" s="1"/>
      <c r="BP495" s="1"/>
      <c r="BQ495" s="1"/>
      <c r="BR495" s="1"/>
      <c r="BS495" s="1"/>
      <c r="BT495" s="1"/>
      <c r="BU495" s="4"/>
    </row>
    <row r="496">
      <c r="AK496" s="1"/>
      <c r="AQ496" s="1"/>
      <c r="AW496" s="1"/>
      <c r="BC496" s="1"/>
      <c r="BD496" s="1"/>
      <c r="BE496" s="1"/>
      <c r="BF496" s="1"/>
      <c r="BG496" s="1"/>
      <c r="BH496" s="1"/>
      <c r="BI496" s="1"/>
      <c r="BO496" s="1"/>
      <c r="BP496" s="1"/>
      <c r="BQ496" s="1"/>
      <c r="BR496" s="1"/>
      <c r="BS496" s="1"/>
      <c r="BT496" s="1"/>
      <c r="BU496" s="4"/>
    </row>
    <row r="497">
      <c r="AK497" s="1"/>
      <c r="AQ497" s="1"/>
      <c r="AW497" s="1"/>
      <c r="BC497" s="1"/>
      <c r="BD497" s="1"/>
      <c r="BE497" s="1"/>
      <c r="BF497" s="1"/>
      <c r="BG497" s="1"/>
      <c r="BH497" s="1"/>
      <c r="BI497" s="1"/>
      <c r="BO497" s="1"/>
      <c r="BP497" s="1"/>
      <c r="BQ497" s="1"/>
      <c r="BR497" s="1"/>
      <c r="BS497" s="1"/>
      <c r="BT497" s="1"/>
      <c r="BU497" s="4"/>
    </row>
    <row r="498">
      <c r="AK498" s="1"/>
      <c r="AQ498" s="1"/>
      <c r="AW498" s="1"/>
      <c r="BC498" s="1"/>
      <c r="BD498" s="1"/>
      <c r="BE498" s="1"/>
      <c r="BF498" s="1"/>
      <c r="BG498" s="1"/>
      <c r="BH498" s="1"/>
      <c r="BI498" s="1"/>
      <c r="BO498" s="1"/>
      <c r="BP498" s="1"/>
      <c r="BQ498" s="1"/>
      <c r="BR498" s="1"/>
      <c r="BS498" s="1"/>
      <c r="BT498" s="1"/>
      <c r="BU498" s="4"/>
    </row>
    <row r="499">
      <c r="AK499" s="1"/>
      <c r="AQ499" s="1"/>
      <c r="AW499" s="1"/>
      <c r="BC499" s="1"/>
      <c r="BD499" s="1"/>
      <c r="BE499" s="1"/>
      <c r="BF499" s="1"/>
      <c r="BG499" s="1"/>
      <c r="BH499" s="1"/>
      <c r="BI499" s="1"/>
      <c r="BO499" s="1"/>
      <c r="BP499" s="1"/>
      <c r="BQ499" s="1"/>
      <c r="BR499" s="1"/>
      <c r="BS499" s="1"/>
      <c r="BT499" s="1"/>
      <c r="BU499" s="4"/>
    </row>
    <row r="500">
      <c r="AK500" s="1"/>
      <c r="AQ500" s="1"/>
      <c r="AW500" s="1"/>
      <c r="BC500" s="1"/>
      <c r="BD500" s="1"/>
      <c r="BE500" s="1"/>
      <c r="BF500" s="1"/>
      <c r="BG500" s="1"/>
      <c r="BH500" s="1"/>
      <c r="BI500" s="1"/>
      <c r="BO500" s="1"/>
      <c r="BP500" s="1"/>
      <c r="BQ500" s="1"/>
      <c r="BR500" s="1"/>
      <c r="BS500" s="1"/>
      <c r="BT500" s="1"/>
      <c r="BU500" s="4"/>
    </row>
    <row r="501">
      <c r="AK501" s="1"/>
      <c r="AQ501" s="1"/>
      <c r="AW501" s="1"/>
      <c r="BC501" s="1"/>
      <c r="BD501" s="1"/>
      <c r="BE501" s="1"/>
      <c r="BF501" s="1"/>
      <c r="BG501" s="1"/>
      <c r="BH501" s="1"/>
      <c r="BI501" s="1"/>
      <c r="BO501" s="1"/>
      <c r="BP501" s="1"/>
      <c r="BQ501" s="1"/>
      <c r="BR501" s="1"/>
      <c r="BS501" s="1"/>
      <c r="BT501" s="1"/>
      <c r="BU501" s="4"/>
    </row>
    <row r="502">
      <c r="AK502" s="1"/>
      <c r="AQ502" s="1"/>
      <c r="AW502" s="1"/>
      <c r="BC502" s="1"/>
      <c r="BD502" s="1"/>
      <c r="BE502" s="1"/>
      <c r="BF502" s="1"/>
      <c r="BG502" s="1"/>
      <c r="BH502" s="1"/>
      <c r="BI502" s="1"/>
      <c r="BO502" s="1"/>
      <c r="BP502" s="1"/>
      <c r="BQ502" s="1"/>
      <c r="BR502" s="1"/>
      <c r="BS502" s="1"/>
      <c r="BT502" s="1"/>
      <c r="BU502" s="4"/>
    </row>
    <row r="503">
      <c r="AK503" s="1"/>
      <c r="AQ503" s="1"/>
      <c r="AW503" s="1"/>
      <c r="BC503" s="1"/>
      <c r="BD503" s="1"/>
      <c r="BE503" s="1"/>
      <c r="BF503" s="1"/>
      <c r="BG503" s="1"/>
      <c r="BH503" s="1"/>
      <c r="BI503" s="1"/>
      <c r="BO503" s="1"/>
      <c r="BP503" s="1"/>
      <c r="BQ503" s="1"/>
      <c r="BR503" s="1"/>
      <c r="BS503" s="1"/>
      <c r="BT503" s="1"/>
      <c r="BU503" s="4"/>
    </row>
    <row r="504">
      <c r="AK504" s="1"/>
      <c r="AQ504" s="1"/>
      <c r="AW504" s="1"/>
      <c r="BC504" s="1"/>
      <c r="BD504" s="1"/>
      <c r="BE504" s="1"/>
      <c r="BF504" s="1"/>
      <c r="BG504" s="1"/>
      <c r="BH504" s="1"/>
      <c r="BI504" s="1"/>
      <c r="BO504" s="1"/>
      <c r="BP504" s="1"/>
      <c r="BQ504" s="1"/>
      <c r="BR504" s="1"/>
      <c r="BS504" s="1"/>
      <c r="BT504" s="1"/>
      <c r="BU504" s="4"/>
    </row>
    <row r="505">
      <c r="AK505" s="1"/>
      <c r="AQ505" s="1"/>
      <c r="AW505" s="1"/>
      <c r="BC505" s="1"/>
      <c r="BD505" s="1"/>
      <c r="BE505" s="1"/>
      <c r="BF505" s="1"/>
      <c r="BG505" s="1"/>
      <c r="BH505" s="1"/>
      <c r="BI505" s="1"/>
      <c r="BO505" s="1"/>
      <c r="BP505" s="1"/>
      <c r="BQ505" s="1"/>
      <c r="BR505" s="1"/>
      <c r="BS505" s="1"/>
      <c r="BT505" s="1"/>
      <c r="BU505" s="4"/>
    </row>
    <row r="506">
      <c r="AK506" s="1"/>
      <c r="AQ506" s="1"/>
      <c r="AW506" s="1"/>
      <c r="BC506" s="1"/>
      <c r="BD506" s="1"/>
      <c r="BE506" s="1"/>
      <c r="BF506" s="1"/>
      <c r="BG506" s="1"/>
      <c r="BH506" s="1"/>
      <c r="BI506" s="1"/>
      <c r="BO506" s="1"/>
      <c r="BP506" s="1"/>
      <c r="BQ506" s="1"/>
      <c r="BR506" s="1"/>
      <c r="BS506" s="1"/>
      <c r="BT506" s="1"/>
      <c r="BU506" s="4"/>
    </row>
    <row r="507">
      <c r="AK507" s="1"/>
      <c r="AQ507" s="1"/>
      <c r="AW507" s="1"/>
      <c r="BC507" s="1"/>
      <c r="BD507" s="1"/>
      <c r="BE507" s="1"/>
      <c r="BF507" s="1"/>
      <c r="BG507" s="1"/>
      <c r="BH507" s="1"/>
      <c r="BI507" s="1"/>
      <c r="BO507" s="1"/>
      <c r="BP507" s="1"/>
      <c r="BQ507" s="1"/>
      <c r="BR507" s="1"/>
      <c r="BS507" s="1"/>
      <c r="BT507" s="1"/>
      <c r="BU507" s="4"/>
    </row>
    <row r="508">
      <c r="AK508" s="1"/>
      <c r="AQ508" s="1"/>
      <c r="AW508" s="1"/>
      <c r="BC508" s="1"/>
      <c r="BD508" s="1"/>
      <c r="BE508" s="1"/>
      <c r="BF508" s="1"/>
      <c r="BG508" s="1"/>
      <c r="BH508" s="1"/>
      <c r="BI508" s="1"/>
      <c r="BO508" s="1"/>
      <c r="BP508" s="1"/>
      <c r="BQ508" s="1"/>
      <c r="BR508" s="1"/>
      <c r="BS508" s="1"/>
      <c r="BT508" s="1"/>
      <c r="BU508" s="4"/>
    </row>
    <row r="509">
      <c r="AK509" s="1"/>
      <c r="AQ509" s="1"/>
      <c r="AW509" s="1"/>
      <c r="BC509" s="1"/>
      <c r="BD509" s="1"/>
      <c r="BE509" s="1"/>
      <c r="BF509" s="1"/>
      <c r="BG509" s="1"/>
      <c r="BH509" s="1"/>
      <c r="BI509" s="1"/>
      <c r="BO509" s="1"/>
      <c r="BP509" s="1"/>
      <c r="BQ509" s="1"/>
      <c r="BR509" s="1"/>
      <c r="BS509" s="1"/>
      <c r="BT509" s="1"/>
      <c r="BU509" s="4"/>
    </row>
    <row r="510">
      <c r="AK510" s="1"/>
      <c r="AQ510" s="1"/>
      <c r="AW510" s="1"/>
      <c r="BC510" s="1"/>
      <c r="BD510" s="1"/>
      <c r="BE510" s="1"/>
      <c r="BF510" s="1"/>
      <c r="BG510" s="1"/>
      <c r="BH510" s="1"/>
      <c r="BI510" s="1"/>
      <c r="BO510" s="1"/>
      <c r="BP510" s="1"/>
      <c r="BQ510" s="1"/>
      <c r="BR510" s="1"/>
      <c r="BS510" s="1"/>
      <c r="BT510" s="1"/>
      <c r="BU510" s="4"/>
    </row>
    <row r="511">
      <c r="AK511" s="1"/>
      <c r="AQ511" s="1"/>
      <c r="AW511" s="1"/>
      <c r="BC511" s="1"/>
      <c r="BD511" s="1"/>
      <c r="BE511" s="1"/>
      <c r="BF511" s="1"/>
      <c r="BG511" s="1"/>
      <c r="BH511" s="1"/>
      <c r="BI511" s="1"/>
      <c r="BO511" s="1"/>
      <c r="BP511" s="1"/>
      <c r="BQ511" s="1"/>
      <c r="BR511" s="1"/>
      <c r="BS511" s="1"/>
      <c r="BT511" s="1"/>
      <c r="BU511" s="4"/>
    </row>
    <row r="512">
      <c r="AK512" s="1"/>
      <c r="AQ512" s="1"/>
      <c r="AW512" s="1"/>
      <c r="BC512" s="1"/>
      <c r="BD512" s="1"/>
      <c r="BE512" s="1"/>
      <c r="BF512" s="1"/>
      <c r="BG512" s="1"/>
      <c r="BH512" s="1"/>
      <c r="BI512" s="1"/>
      <c r="BO512" s="1"/>
      <c r="BP512" s="1"/>
      <c r="BQ512" s="1"/>
      <c r="BR512" s="1"/>
      <c r="BS512" s="1"/>
      <c r="BT512" s="1"/>
      <c r="BU512" s="4"/>
    </row>
    <row r="513">
      <c r="AK513" s="1"/>
      <c r="AQ513" s="1"/>
      <c r="AW513" s="1"/>
      <c r="BC513" s="1"/>
      <c r="BD513" s="1"/>
      <c r="BE513" s="1"/>
      <c r="BF513" s="1"/>
      <c r="BG513" s="1"/>
      <c r="BH513" s="1"/>
      <c r="BI513" s="1"/>
      <c r="BO513" s="1"/>
      <c r="BP513" s="1"/>
      <c r="BQ513" s="1"/>
      <c r="BR513" s="1"/>
      <c r="BS513" s="1"/>
      <c r="BT513" s="1"/>
      <c r="BU513" s="4"/>
    </row>
    <row r="514">
      <c r="AK514" s="1"/>
      <c r="AQ514" s="1"/>
      <c r="AW514" s="1"/>
      <c r="BC514" s="1"/>
      <c r="BD514" s="1"/>
      <c r="BE514" s="1"/>
      <c r="BF514" s="1"/>
      <c r="BG514" s="1"/>
      <c r="BH514" s="1"/>
      <c r="BI514" s="1"/>
      <c r="BO514" s="1"/>
      <c r="BP514" s="1"/>
      <c r="BQ514" s="1"/>
      <c r="BR514" s="1"/>
      <c r="BS514" s="1"/>
      <c r="BT514" s="1"/>
      <c r="BU514" s="4"/>
    </row>
    <row r="515">
      <c r="AK515" s="1"/>
      <c r="AQ515" s="1"/>
      <c r="AW515" s="1"/>
      <c r="BC515" s="1"/>
      <c r="BD515" s="1"/>
      <c r="BE515" s="1"/>
      <c r="BF515" s="1"/>
      <c r="BG515" s="1"/>
      <c r="BH515" s="1"/>
      <c r="BI515" s="1"/>
      <c r="BO515" s="1"/>
      <c r="BP515" s="1"/>
      <c r="BQ515" s="1"/>
      <c r="BR515" s="1"/>
      <c r="BS515" s="1"/>
      <c r="BT515" s="1"/>
      <c r="BU515" s="4"/>
    </row>
    <row r="516">
      <c r="AK516" s="1"/>
      <c r="AQ516" s="1"/>
      <c r="AW516" s="1"/>
      <c r="BC516" s="1"/>
      <c r="BD516" s="1"/>
      <c r="BE516" s="1"/>
      <c r="BF516" s="1"/>
      <c r="BG516" s="1"/>
      <c r="BH516" s="1"/>
      <c r="BI516" s="1"/>
      <c r="BO516" s="1"/>
      <c r="BP516" s="1"/>
      <c r="BQ516" s="1"/>
      <c r="BR516" s="1"/>
      <c r="BS516" s="1"/>
      <c r="BT516" s="1"/>
      <c r="BU516" s="4"/>
    </row>
    <row r="517">
      <c r="AK517" s="1"/>
      <c r="AQ517" s="1"/>
      <c r="AW517" s="1"/>
      <c r="BC517" s="1"/>
      <c r="BD517" s="1"/>
      <c r="BE517" s="1"/>
      <c r="BF517" s="1"/>
      <c r="BG517" s="1"/>
      <c r="BH517" s="1"/>
      <c r="BI517" s="1"/>
      <c r="BO517" s="1"/>
      <c r="BP517" s="1"/>
      <c r="BQ517" s="1"/>
      <c r="BR517" s="1"/>
      <c r="BS517" s="1"/>
      <c r="BT517" s="1"/>
      <c r="BU517" s="4"/>
    </row>
    <row r="518">
      <c r="AK518" s="1"/>
      <c r="AQ518" s="1"/>
      <c r="AW518" s="1"/>
      <c r="BC518" s="1"/>
      <c r="BD518" s="1"/>
      <c r="BE518" s="1"/>
      <c r="BF518" s="1"/>
      <c r="BG518" s="1"/>
      <c r="BH518" s="1"/>
      <c r="BI518" s="1"/>
      <c r="BO518" s="1"/>
      <c r="BP518" s="1"/>
      <c r="BQ518" s="1"/>
      <c r="BR518" s="1"/>
      <c r="BS518" s="1"/>
      <c r="BT518" s="1"/>
      <c r="BU518" s="4"/>
    </row>
    <row r="519">
      <c r="AK519" s="1"/>
      <c r="AQ519" s="1"/>
      <c r="AW519" s="1"/>
      <c r="BC519" s="1"/>
      <c r="BD519" s="1"/>
      <c r="BE519" s="1"/>
      <c r="BF519" s="1"/>
      <c r="BG519" s="1"/>
      <c r="BH519" s="1"/>
      <c r="BI519" s="1"/>
      <c r="BO519" s="1"/>
      <c r="BP519" s="1"/>
      <c r="BQ519" s="1"/>
      <c r="BR519" s="1"/>
      <c r="BS519" s="1"/>
      <c r="BT519" s="1"/>
      <c r="BU519" s="4"/>
    </row>
    <row r="520">
      <c r="AK520" s="1"/>
      <c r="AQ520" s="1"/>
      <c r="AW520" s="1"/>
      <c r="BC520" s="1"/>
      <c r="BD520" s="1"/>
      <c r="BE520" s="1"/>
      <c r="BF520" s="1"/>
      <c r="BG520" s="1"/>
      <c r="BH520" s="1"/>
      <c r="BI520" s="1"/>
      <c r="BO520" s="1"/>
      <c r="BP520" s="1"/>
      <c r="BQ520" s="1"/>
      <c r="BR520" s="1"/>
      <c r="BS520" s="1"/>
      <c r="BT520" s="1"/>
      <c r="BU520" s="4"/>
    </row>
    <row r="521">
      <c r="AK521" s="1"/>
      <c r="AQ521" s="1"/>
      <c r="AW521" s="1"/>
      <c r="BC521" s="1"/>
      <c r="BD521" s="1"/>
      <c r="BE521" s="1"/>
      <c r="BF521" s="1"/>
      <c r="BG521" s="1"/>
      <c r="BH521" s="1"/>
      <c r="BI521" s="1"/>
      <c r="BO521" s="1"/>
      <c r="BP521" s="1"/>
      <c r="BQ521" s="1"/>
      <c r="BR521" s="1"/>
      <c r="BS521" s="1"/>
      <c r="BT521" s="1"/>
      <c r="BU521" s="4"/>
    </row>
    <row r="522">
      <c r="AK522" s="1"/>
      <c r="AQ522" s="1"/>
      <c r="AW522" s="1"/>
      <c r="BC522" s="1"/>
      <c r="BD522" s="1"/>
      <c r="BE522" s="1"/>
      <c r="BF522" s="1"/>
      <c r="BG522" s="1"/>
      <c r="BH522" s="1"/>
      <c r="BI522" s="1"/>
      <c r="BO522" s="1"/>
      <c r="BP522" s="1"/>
      <c r="BQ522" s="1"/>
      <c r="BR522" s="1"/>
      <c r="BS522" s="1"/>
      <c r="BT522" s="1"/>
      <c r="BU522" s="4"/>
    </row>
    <row r="523">
      <c r="AK523" s="1"/>
      <c r="AQ523" s="1"/>
      <c r="AW523" s="1"/>
      <c r="BC523" s="1"/>
      <c r="BD523" s="1"/>
      <c r="BE523" s="1"/>
      <c r="BF523" s="1"/>
      <c r="BG523" s="1"/>
      <c r="BH523" s="1"/>
      <c r="BI523" s="1"/>
      <c r="BO523" s="1"/>
      <c r="BP523" s="1"/>
      <c r="BQ523" s="1"/>
      <c r="BR523" s="1"/>
      <c r="BS523" s="1"/>
      <c r="BT523" s="1"/>
      <c r="BU523" s="4"/>
    </row>
    <row r="524">
      <c r="AK524" s="1"/>
      <c r="AQ524" s="1"/>
      <c r="AW524" s="1"/>
      <c r="BC524" s="1"/>
      <c r="BD524" s="1"/>
      <c r="BE524" s="1"/>
      <c r="BF524" s="1"/>
      <c r="BG524" s="1"/>
      <c r="BH524" s="1"/>
      <c r="BI524" s="1"/>
      <c r="BO524" s="1"/>
      <c r="BP524" s="1"/>
      <c r="BQ524" s="1"/>
      <c r="BR524" s="1"/>
      <c r="BS524" s="1"/>
      <c r="BT524" s="1"/>
      <c r="BU524" s="4"/>
    </row>
    <row r="525">
      <c r="AK525" s="1"/>
      <c r="AQ525" s="1"/>
      <c r="AW525" s="1"/>
      <c r="BC525" s="1"/>
      <c r="BD525" s="1"/>
      <c r="BE525" s="1"/>
      <c r="BF525" s="1"/>
      <c r="BG525" s="1"/>
      <c r="BH525" s="1"/>
      <c r="BI525" s="1"/>
      <c r="BO525" s="1"/>
      <c r="BP525" s="1"/>
      <c r="BQ525" s="1"/>
      <c r="BR525" s="1"/>
      <c r="BS525" s="1"/>
      <c r="BT525" s="1"/>
      <c r="BU525" s="4"/>
    </row>
    <row r="526">
      <c r="AK526" s="1"/>
      <c r="AQ526" s="1"/>
      <c r="AW526" s="1"/>
      <c r="BC526" s="1"/>
      <c r="BD526" s="1"/>
      <c r="BE526" s="1"/>
      <c r="BF526" s="1"/>
      <c r="BG526" s="1"/>
      <c r="BH526" s="1"/>
      <c r="BI526" s="1"/>
      <c r="BO526" s="1"/>
      <c r="BP526" s="1"/>
      <c r="BQ526" s="1"/>
      <c r="BR526" s="1"/>
      <c r="BS526" s="1"/>
      <c r="BT526" s="1"/>
      <c r="BU526" s="4"/>
    </row>
    <row r="527">
      <c r="AK527" s="1"/>
      <c r="AQ527" s="1"/>
      <c r="AW527" s="1"/>
      <c r="BC527" s="1"/>
      <c r="BD527" s="1"/>
      <c r="BE527" s="1"/>
      <c r="BF527" s="1"/>
      <c r="BG527" s="1"/>
      <c r="BH527" s="1"/>
      <c r="BI527" s="1"/>
      <c r="BO527" s="1"/>
      <c r="BP527" s="1"/>
      <c r="BQ527" s="1"/>
      <c r="BR527" s="1"/>
      <c r="BS527" s="1"/>
      <c r="BT527" s="1"/>
      <c r="BU527" s="4"/>
    </row>
    <row r="528">
      <c r="AK528" s="1"/>
      <c r="AQ528" s="1"/>
      <c r="AW528" s="1"/>
      <c r="BC528" s="1"/>
      <c r="BD528" s="1"/>
      <c r="BE528" s="1"/>
      <c r="BF528" s="1"/>
      <c r="BG528" s="1"/>
      <c r="BH528" s="1"/>
      <c r="BI528" s="1"/>
      <c r="BO528" s="1"/>
      <c r="BP528" s="1"/>
      <c r="BQ528" s="1"/>
      <c r="BR528" s="1"/>
      <c r="BS528" s="1"/>
      <c r="BT528" s="1"/>
      <c r="BU528" s="4"/>
    </row>
    <row r="529">
      <c r="AK529" s="1"/>
      <c r="AQ529" s="1"/>
      <c r="AW529" s="1"/>
      <c r="BC529" s="1"/>
      <c r="BD529" s="1"/>
      <c r="BE529" s="1"/>
      <c r="BF529" s="1"/>
      <c r="BG529" s="1"/>
      <c r="BH529" s="1"/>
      <c r="BI529" s="1"/>
      <c r="BO529" s="1"/>
      <c r="BP529" s="1"/>
      <c r="BQ529" s="1"/>
      <c r="BR529" s="1"/>
      <c r="BS529" s="1"/>
      <c r="BT529" s="1"/>
      <c r="BU529" s="4"/>
    </row>
    <row r="530">
      <c r="AK530" s="1"/>
      <c r="AQ530" s="1"/>
      <c r="AW530" s="1"/>
      <c r="BC530" s="1"/>
      <c r="BD530" s="1"/>
      <c r="BE530" s="1"/>
      <c r="BF530" s="1"/>
      <c r="BG530" s="1"/>
      <c r="BH530" s="1"/>
      <c r="BI530" s="1"/>
      <c r="BO530" s="1"/>
      <c r="BP530" s="1"/>
      <c r="BQ530" s="1"/>
      <c r="BR530" s="1"/>
      <c r="BS530" s="1"/>
      <c r="BT530" s="1"/>
      <c r="BU530" s="4"/>
    </row>
    <row r="531">
      <c r="AK531" s="1"/>
      <c r="AQ531" s="1"/>
      <c r="AW531" s="1"/>
      <c r="BC531" s="1"/>
      <c r="BD531" s="1"/>
      <c r="BE531" s="1"/>
      <c r="BF531" s="1"/>
      <c r="BG531" s="1"/>
      <c r="BH531" s="1"/>
      <c r="BI531" s="1"/>
      <c r="BO531" s="1"/>
      <c r="BP531" s="1"/>
      <c r="BQ531" s="1"/>
      <c r="BR531" s="1"/>
      <c r="BS531" s="1"/>
      <c r="BT531" s="1"/>
      <c r="BU531" s="4"/>
    </row>
    <row r="532">
      <c r="AK532" s="1"/>
      <c r="AQ532" s="1"/>
      <c r="AW532" s="1"/>
      <c r="BC532" s="1"/>
      <c r="BD532" s="1"/>
      <c r="BE532" s="1"/>
      <c r="BF532" s="1"/>
      <c r="BG532" s="1"/>
      <c r="BH532" s="1"/>
      <c r="BI532" s="1"/>
      <c r="BO532" s="1"/>
      <c r="BP532" s="1"/>
      <c r="BQ532" s="1"/>
      <c r="BR532" s="1"/>
      <c r="BS532" s="1"/>
      <c r="BT532" s="1"/>
      <c r="BU532" s="4"/>
    </row>
    <row r="533">
      <c r="AK533" s="1"/>
      <c r="AQ533" s="1"/>
      <c r="AW533" s="1"/>
      <c r="BC533" s="1"/>
      <c r="BD533" s="1"/>
      <c r="BE533" s="1"/>
      <c r="BF533" s="1"/>
      <c r="BG533" s="1"/>
      <c r="BH533" s="1"/>
      <c r="BI533" s="1"/>
      <c r="BO533" s="1"/>
      <c r="BP533" s="1"/>
      <c r="BQ533" s="1"/>
      <c r="BR533" s="1"/>
      <c r="BS533" s="1"/>
      <c r="BT533" s="1"/>
      <c r="BU533" s="4"/>
    </row>
    <row r="534">
      <c r="AK534" s="1"/>
      <c r="AQ534" s="1"/>
      <c r="AW534" s="1"/>
      <c r="BC534" s="1"/>
      <c r="BD534" s="1"/>
      <c r="BE534" s="1"/>
      <c r="BF534" s="1"/>
      <c r="BG534" s="1"/>
      <c r="BH534" s="1"/>
      <c r="BI534" s="1"/>
      <c r="BO534" s="1"/>
      <c r="BP534" s="1"/>
      <c r="BQ534" s="1"/>
      <c r="BR534" s="1"/>
      <c r="BS534" s="1"/>
      <c r="BT534" s="1"/>
      <c r="BU534" s="4"/>
    </row>
    <row r="535">
      <c r="AK535" s="1"/>
      <c r="AQ535" s="1"/>
      <c r="AW535" s="1"/>
      <c r="BC535" s="1"/>
      <c r="BD535" s="1"/>
      <c r="BE535" s="1"/>
      <c r="BF535" s="1"/>
      <c r="BG535" s="1"/>
      <c r="BH535" s="1"/>
      <c r="BI535" s="1"/>
      <c r="BO535" s="1"/>
      <c r="BP535" s="1"/>
      <c r="BQ535" s="1"/>
      <c r="BR535" s="1"/>
      <c r="BS535" s="1"/>
      <c r="BT535" s="1"/>
      <c r="BU535" s="4"/>
    </row>
    <row r="536">
      <c r="AK536" s="1"/>
      <c r="AQ536" s="1"/>
      <c r="AW536" s="1"/>
      <c r="BC536" s="1"/>
      <c r="BD536" s="1"/>
      <c r="BE536" s="1"/>
      <c r="BF536" s="1"/>
      <c r="BG536" s="1"/>
      <c r="BH536" s="1"/>
      <c r="BI536" s="1"/>
      <c r="BO536" s="1"/>
      <c r="BP536" s="1"/>
      <c r="BQ536" s="1"/>
      <c r="BR536" s="1"/>
      <c r="BS536" s="1"/>
      <c r="BT536" s="1"/>
      <c r="BU536" s="4"/>
    </row>
    <row r="537">
      <c r="AK537" s="1"/>
      <c r="AQ537" s="1"/>
      <c r="AW537" s="1"/>
      <c r="BC537" s="1"/>
      <c r="BD537" s="1"/>
      <c r="BE537" s="1"/>
      <c r="BF537" s="1"/>
      <c r="BG537" s="1"/>
      <c r="BH537" s="1"/>
      <c r="BI537" s="1"/>
      <c r="BO537" s="1"/>
      <c r="BP537" s="1"/>
      <c r="BQ537" s="1"/>
      <c r="BR537" s="1"/>
      <c r="BS537" s="1"/>
      <c r="BT537" s="1"/>
      <c r="BU537" s="4"/>
    </row>
    <row r="538">
      <c r="AK538" s="1"/>
      <c r="AQ538" s="1"/>
      <c r="AW538" s="1"/>
      <c r="BC538" s="1"/>
      <c r="BD538" s="1"/>
      <c r="BE538" s="1"/>
      <c r="BF538" s="1"/>
      <c r="BG538" s="1"/>
      <c r="BH538" s="1"/>
      <c r="BI538" s="1"/>
      <c r="BO538" s="1"/>
      <c r="BP538" s="1"/>
      <c r="BQ538" s="1"/>
      <c r="BR538" s="1"/>
      <c r="BS538" s="1"/>
      <c r="BT538" s="1"/>
      <c r="BU538" s="4"/>
    </row>
    <row r="539">
      <c r="AK539" s="1"/>
      <c r="AQ539" s="1"/>
      <c r="AW539" s="1"/>
      <c r="BC539" s="1"/>
      <c r="BD539" s="1"/>
      <c r="BE539" s="1"/>
      <c r="BF539" s="1"/>
      <c r="BG539" s="1"/>
      <c r="BH539" s="1"/>
      <c r="BI539" s="1"/>
      <c r="BO539" s="1"/>
      <c r="BP539" s="1"/>
      <c r="BQ539" s="1"/>
      <c r="BR539" s="1"/>
      <c r="BS539" s="1"/>
      <c r="BT539" s="1"/>
      <c r="BU539" s="4"/>
    </row>
    <row r="540">
      <c r="AK540" s="1"/>
      <c r="AQ540" s="1"/>
      <c r="AW540" s="1"/>
      <c r="BC540" s="1"/>
      <c r="BD540" s="1"/>
      <c r="BE540" s="1"/>
      <c r="BF540" s="1"/>
      <c r="BG540" s="1"/>
      <c r="BH540" s="1"/>
      <c r="BI540" s="1"/>
      <c r="BO540" s="1"/>
      <c r="BP540" s="1"/>
      <c r="BQ540" s="1"/>
      <c r="BR540" s="1"/>
      <c r="BS540" s="1"/>
      <c r="BT540" s="1"/>
      <c r="BU540" s="4"/>
    </row>
    <row r="541">
      <c r="AK541" s="1"/>
      <c r="AQ541" s="1"/>
      <c r="AW541" s="1"/>
      <c r="BC541" s="1"/>
      <c r="BD541" s="1"/>
      <c r="BE541" s="1"/>
      <c r="BF541" s="1"/>
      <c r="BG541" s="1"/>
      <c r="BH541" s="1"/>
      <c r="BI541" s="1"/>
      <c r="BO541" s="1"/>
      <c r="BP541" s="1"/>
      <c r="BQ541" s="1"/>
      <c r="BR541" s="1"/>
      <c r="BS541" s="1"/>
      <c r="BT541" s="1"/>
      <c r="BU541" s="4"/>
    </row>
    <row r="542">
      <c r="AK542" s="1"/>
      <c r="AQ542" s="1"/>
      <c r="AW542" s="1"/>
      <c r="BC542" s="1"/>
      <c r="BD542" s="1"/>
      <c r="BE542" s="1"/>
      <c r="BF542" s="1"/>
      <c r="BG542" s="1"/>
      <c r="BH542" s="1"/>
      <c r="BI542" s="1"/>
      <c r="BO542" s="1"/>
      <c r="BP542" s="1"/>
      <c r="BQ542" s="1"/>
      <c r="BR542" s="1"/>
      <c r="BS542" s="1"/>
      <c r="BT542" s="1"/>
      <c r="BU542" s="4"/>
    </row>
    <row r="543">
      <c r="AK543" s="1"/>
      <c r="AQ543" s="1"/>
      <c r="AW543" s="1"/>
      <c r="BC543" s="1"/>
      <c r="BD543" s="1"/>
      <c r="BE543" s="1"/>
      <c r="BF543" s="1"/>
      <c r="BG543" s="1"/>
      <c r="BH543" s="1"/>
      <c r="BI543" s="1"/>
      <c r="BO543" s="1"/>
      <c r="BP543" s="1"/>
      <c r="BQ543" s="1"/>
      <c r="BR543" s="1"/>
      <c r="BS543" s="1"/>
      <c r="BT543" s="1"/>
      <c r="BU543" s="4"/>
    </row>
    <row r="544">
      <c r="AK544" s="1"/>
      <c r="AQ544" s="1"/>
      <c r="AW544" s="1"/>
      <c r="BC544" s="1"/>
      <c r="BD544" s="1"/>
      <c r="BE544" s="1"/>
      <c r="BF544" s="1"/>
      <c r="BG544" s="1"/>
      <c r="BH544" s="1"/>
      <c r="BI544" s="1"/>
      <c r="BO544" s="1"/>
      <c r="BP544" s="1"/>
      <c r="BQ544" s="1"/>
      <c r="BR544" s="1"/>
      <c r="BS544" s="1"/>
      <c r="BT544" s="1"/>
      <c r="BU544" s="4"/>
    </row>
    <row r="545">
      <c r="AK545" s="1"/>
      <c r="AQ545" s="1"/>
      <c r="AW545" s="1"/>
      <c r="BC545" s="1"/>
      <c r="BD545" s="1"/>
      <c r="BE545" s="1"/>
      <c r="BF545" s="1"/>
      <c r="BG545" s="1"/>
      <c r="BH545" s="1"/>
      <c r="BI545" s="1"/>
      <c r="BO545" s="1"/>
      <c r="BP545" s="1"/>
      <c r="BQ545" s="1"/>
      <c r="BR545" s="1"/>
      <c r="BS545" s="1"/>
      <c r="BT545" s="1"/>
      <c r="BU545" s="4"/>
    </row>
    <row r="546">
      <c r="AK546" s="1"/>
      <c r="AQ546" s="1"/>
      <c r="AW546" s="1"/>
      <c r="BC546" s="1"/>
      <c r="BD546" s="1"/>
      <c r="BE546" s="1"/>
      <c r="BF546" s="1"/>
      <c r="BG546" s="1"/>
      <c r="BH546" s="1"/>
      <c r="BI546" s="1"/>
      <c r="BO546" s="1"/>
      <c r="BP546" s="1"/>
      <c r="BQ546" s="1"/>
      <c r="BR546" s="1"/>
      <c r="BS546" s="1"/>
      <c r="BT546" s="1"/>
      <c r="BU546" s="4"/>
    </row>
    <row r="547">
      <c r="AK547" s="1"/>
      <c r="AQ547" s="1"/>
      <c r="AW547" s="1"/>
      <c r="BC547" s="1"/>
      <c r="BD547" s="1"/>
      <c r="BE547" s="1"/>
      <c r="BF547" s="1"/>
      <c r="BG547" s="1"/>
      <c r="BH547" s="1"/>
      <c r="BI547" s="1"/>
      <c r="BO547" s="1"/>
      <c r="BP547" s="1"/>
      <c r="BQ547" s="1"/>
      <c r="BR547" s="1"/>
      <c r="BS547" s="1"/>
      <c r="BT547" s="1"/>
      <c r="BU547" s="4"/>
    </row>
    <row r="548">
      <c r="AK548" s="1"/>
      <c r="AQ548" s="1"/>
      <c r="AW548" s="1"/>
      <c r="BC548" s="1"/>
      <c r="BD548" s="1"/>
      <c r="BE548" s="1"/>
      <c r="BF548" s="1"/>
      <c r="BG548" s="1"/>
      <c r="BH548" s="1"/>
      <c r="BI548" s="1"/>
      <c r="BO548" s="1"/>
      <c r="BP548" s="1"/>
      <c r="BQ548" s="1"/>
      <c r="BR548" s="1"/>
      <c r="BS548" s="1"/>
      <c r="BT548" s="1"/>
      <c r="BU548" s="4"/>
    </row>
    <row r="549">
      <c r="AK549" s="1"/>
      <c r="AQ549" s="1"/>
      <c r="AW549" s="1"/>
      <c r="BC549" s="1"/>
      <c r="BD549" s="1"/>
      <c r="BE549" s="1"/>
      <c r="BF549" s="1"/>
      <c r="BG549" s="1"/>
      <c r="BH549" s="1"/>
      <c r="BI549" s="1"/>
      <c r="BO549" s="1"/>
      <c r="BP549" s="1"/>
      <c r="BQ549" s="1"/>
      <c r="BR549" s="1"/>
      <c r="BS549" s="1"/>
      <c r="BT549" s="1"/>
      <c r="BU549" s="4"/>
    </row>
    <row r="550">
      <c r="AK550" s="1"/>
      <c r="AQ550" s="1"/>
      <c r="AW550" s="1"/>
      <c r="BC550" s="1"/>
      <c r="BD550" s="1"/>
      <c r="BE550" s="1"/>
      <c r="BF550" s="1"/>
      <c r="BG550" s="1"/>
      <c r="BH550" s="1"/>
      <c r="BI550" s="1"/>
      <c r="BO550" s="1"/>
      <c r="BP550" s="1"/>
      <c r="BQ550" s="1"/>
      <c r="BR550" s="1"/>
      <c r="BS550" s="1"/>
      <c r="BT550" s="1"/>
      <c r="BU550" s="4"/>
    </row>
    <row r="551">
      <c r="AK551" s="1"/>
      <c r="AQ551" s="1"/>
      <c r="AW551" s="1"/>
      <c r="BC551" s="1"/>
      <c r="BD551" s="1"/>
      <c r="BE551" s="1"/>
      <c r="BF551" s="1"/>
      <c r="BG551" s="1"/>
      <c r="BH551" s="1"/>
      <c r="BI551" s="1"/>
      <c r="BO551" s="1"/>
      <c r="BP551" s="1"/>
      <c r="BQ551" s="1"/>
      <c r="BR551" s="1"/>
      <c r="BS551" s="1"/>
      <c r="BT551" s="1"/>
      <c r="BU551" s="4"/>
    </row>
    <row r="552">
      <c r="AK552" s="1"/>
      <c r="AQ552" s="1"/>
      <c r="AW552" s="1"/>
      <c r="BC552" s="1"/>
      <c r="BD552" s="1"/>
      <c r="BE552" s="1"/>
      <c r="BF552" s="1"/>
      <c r="BG552" s="1"/>
      <c r="BH552" s="1"/>
      <c r="BI552" s="1"/>
      <c r="BO552" s="1"/>
      <c r="BP552" s="1"/>
      <c r="BQ552" s="1"/>
      <c r="BR552" s="1"/>
      <c r="BS552" s="1"/>
      <c r="BT552" s="1"/>
      <c r="BU552" s="4"/>
    </row>
    <row r="553">
      <c r="AK553" s="1"/>
      <c r="AQ553" s="1"/>
      <c r="AW553" s="1"/>
      <c r="BC553" s="1"/>
      <c r="BD553" s="1"/>
      <c r="BE553" s="1"/>
      <c r="BF553" s="1"/>
      <c r="BG553" s="1"/>
      <c r="BH553" s="1"/>
      <c r="BI553" s="1"/>
      <c r="BO553" s="1"/>
      <c r="BP553" s="1"/>
      <c r="BQ553" s="1"/>
      <c r="BR553" s="1"/>
      <c r="BS553" s="1"/>
      <c r="BT553" s="1"/>
      <c r="BU553" s="4"/>
    </row>
    <row r="554">
      <c r="AK554" s="1"/>
      <c r="AQ554" s="1"/>
      <c r="AW554" s="1"/>
      <c r="BC554" s="1"/>
      <c r="BD554" s="1"/>
      <c r="BE554" s="1"/>
      <c r="BF554" s="1"/>
      <c r="BG554" s="1"/>
      <c r="BH554" s="1"/>
      <c r="BI554" s="1"/>
      <c r="BO554" s="1"/>
      <c r="BP554" s="1"/>
      <c r="BQ554" s="1"/>
      <c r="BR554" s="1"/>
      <c r="BS554" s="1"/>
      <c r="BT554" s="1"/>
      <c r="BU554" s="4"/>
    </row>
    <row r="555">
      <c r="AK555" s="1"/>
      <c r="AQ555" s="1"/>
      <c r="AW555" s="1"/>
      <c r="BC555" s="1"/>
      <c r="BD555" s="1"/>
      <c r="BE555" s="1"/>
      <c r="BF555" s="1"/>
      <c r="BG555" s="1"/>
      <c r="BH555" s="1"/>
      <c r="BI555" s="1"/>
      <c r="BO555" s="1"/>
      <c r="BP555" s="1"/>
      <c r="BQ555" s="1"/>
      <c r="BR555" s="1"/>
      <c r="BS555" s="1"/>
      <c r="BT555" s="1"/>
      <c r="BU555" s="4"/>
    </row>
    <row r="556">
      <c r="AK556" s="1"/>
      <c r="AQ556" s="1"/>
      <c r="AW556" s="1"/>
      <c r="BC556" s="1"/>
      <c r="BD556" s="1"/>
      <c r="BE556" s="1"/>
      <c r="BF556" s="1"/>
      <c r="BG556" s="1"/>
      <c r="BH556" s="1"/>
      <c r="BI556" s="1"/>
      <c r="BO556" s="1"/>
      <c r="BP556" s="1"/>
      <c r="BQ556" s="1"/>
      <c r="BR556" s="1"/>
      <c r="BS556" s="1"/>
      <c r="BT556" s="1"/>
      <c r="BU556" s="4"/>
    </row>
    <row r="557">
      <c r="AK557" s="1"/>
      <c r="AQ557" s="1"/>
      <c r="AW557" s="1"/>
      <c r="BC557" s="1"/>
      <c r="BD557" s="1"/>
      <c r="BE557" s="1"/>
      <c r="BF557" s="1"/>
      <c r="BG557" s="1"/>
      <c r="BH557" s="1"/>
      <c r="BI557" s="1"/>
      <c r="BO557" s="1"/>
      <c r="BP557" s="1"/>
      <c r="BQ557" s="1"/>
      <c r="BR557" s="1"/>
      <c r="BS557" s="1"/>
      <c r="BT557" s="1"/>
      <c r="BU557" s="4"/>
    </row>
    <row r="558">
      <c r="AK558" s="1"/>
      <c r="AQ558" s="1"/>
      <c r="AW558" s="1"/>
      <c r="BC558" s="1"/>
      <c r="BD558" s="1"/>
      <c r="BE558" s="1"/>
      <c r="BF558" s="1"/>
      <c r="BG558" s="1"/>
      <c r="BH558" s="1"/>
      <c r="BI558" s="1"/>
      <c r="BO558" s="1"/>
      <c r="BP558" s="1"/>
      <c r="BQ558" s="1"/>
      <c r="BR558" s="1"/>
      <c r="BS558" s="1"/>
      <c r="BT558" s="1"/>
      <c r="BU558" s="4"/>
    </row>
    <row r="559">
      <c r="AK559" s="1"/>
      <c r="AQ559" s="1"/>
      <c r="AW559" s="1"/>
      <c r="BC559" s="1"/>
      <c r="BD559" s="1"/>
      <c r="BE559" s="1"/>
      <c r="BF559" s="1"/>
      <c r="BG559" s="1"/>
      <c r="BH559" s="1"/>
      <c r="BI559" s="1"/>
      <c r="BO559" s="1"/>
      <c r="BP559" s="1"/>
      <c r="BQ559" s="1"/>
      <c r="BR559" s="1"/>
      <c r="BS559" s="1"/>
      <c r="BT559" s="1"/>
      <c r="BU559" s="4"/>
    </row>
    <row r="560">
      <c r="AK560" s="1"/>
      <c r="AQ560" s="1"/>
      <c r="AW560" s="1"/>
      <c r="BC560" s="1"/>
      <c r="BD560" s="1"/>
      <c r="BE560" s="1"/>
      <c r="BF560" s="1"/>
      <c r="BG560" s="1"/>
      <c r="BH560" s="1"/>
      <c r="BI560" s="1"/>
      <c r="BO560" s="1"/>
      <c r="BP560" s="1"/>
      <c r="BQ560" s="1"/>
      <c r="BR560" s="1"/>
      <c r="BS560" s="1"/>
      <c r="BT560" s="1"/>
      <c r="BU560" s="4"/>
    </row>
    <row r="561">
      <c r="AK561" s="1"/>
      <c r="AQ561" s="1"/>
      <c r="AW561" s="1"/>
      <c r="BC561" s="1"/>
      <c r="BD561" s="1"/>
      <c r="BE561" s="1"/>
      <c r="BF561" s="1"/>
      <c r="BG561" s="1"/>
      <c r="BH561" s="1"/>
      <c r="BI561" s="1"/>
      <c r="BO561" s="1"/>
      <c r="BP561" s="1"/>
      <c r="BQ561" s="1"/>
      <c r="BR561" s="1"/>
      <c r="BS561" s="1"/>
      <c r="BT561" s="1"/>
      <c r="BU561" s="4"/>
    </row>
    <row r="562">
      <c r="AK562" s="1"/>
      <c r="AQ562" s="1"/>
      <c r="AW562" s="1"/>
      <c r="BC562" s="1"/>
      <c r="BD562" s="1"/>
      <c r="BE562" s="1"/>
      <c r="BF562" s="1"/>
      <c r="BG562" s="1"/>
      <c r="BH562" s="1"/>
      <c r="BI562" s="1"/>
      <c r="BO562" s="1"/>
      <c r="BP562" s="1"/>
      <c r="BQ562" s="1"/>
      <c r="BR562" s="1"/>
      <c r="BS562" s="1"/>
      <c r="BT562" s="1"/>
      <c r="BU562" s="4"/>
    </row>
    <row r="563">
      <c r="AK563" s="1"/>
      <c r="AQ563" s="1"/>
      <c r="AW563" s="1"/>
      <c r="BC563" s="1"/>
      <c r="BD563" s="1"/>
      <c r="BE563" s="1"/>
      <c r="BF563" s="1"/>
      <c r="BG563" s="1"/>
      <c r="BH563" s="1"/>
      <c r="BI563" s="1"/>
      <c r="BO563" s="1"/>
      <c r="BP563" s="1"/>
      <c r="BQ563" s="1"/>
      <c r="BR563" s="1"/>
      <c r="BS563" s="1"/>
      <c r="BT563" s="1"/>
      <c r="BU563" s="4"/>
    </row>
    <row r="564">
      <c r="AK564" s="1"/>
      <c r="AQ564" s="1"/>
      <c r="AW564" s="1"/>
      <c r="BC564" s="1"/>
      <c r="BD564" s="1"/>
      <c r="BE564" s="1"/>
      <c r="BF564" s="1"/>
      <c r="BG564" s="1"/>
      <c r="BH564" s="1"/>
      <c r="BI564" s="1"/>
      <c r="BO564" s="1"/>
      <c r="BP564" s="1"/>
      <c r="BQ564" s="1"/>
      <c r="BR564" s="1"/>
      <c r="BS564" s="1"/>
      <c r="BT564" s="1"/>
      <c r="BU564" s="4"/>
    </row>
    <row r="565">
      <c r="AK565" s="1"/>
      <c r="AQ565" s="1"/>
      <c r="AW565" s="1"/>
      <c r="BC565" s="1"/>
      <c r="BD565" s="1"/>
      <c r="BE565" s="1"/>
      <c r="BF565" s="1"/>
      <c r="BG565" s="1"/>
      <c r="BH565" s="1"/>
      <c r="BI565" s="1"/>
      <c r="BO565" s="1"/>
      <c r="BP565" s="1"/>
      <c r="BQ565" s="1"/>
      <c r="BR565" s="1"/>
      <c r="BS565" s="1"/>
      <c r="BT565" s="1"/>
      <c r="BU565" s="4"/>
    </row>
    <row r="566">
      <c r="AK566" s="1"/>
      <c r="AQ566" s="1"/>
      <c r="AW566" s="1"/>
      <c r="BC566" s="1"/>
      <c r="BD566" s="1"/>
      <c r="BE566" s="1"/>
      <c r="BF566" s="1"/>
      <c r="BG566" s="1"/>
      <c r="BH566" s="1"/>
      <c r="BI566" s="1"/>
      <c r="BO566" s="1"/>
      <c r="BP566" s="1"/>
      <c r="BQ566" s="1"/>
      <c r="BR566" s="1"/>
      <c r="BS566" s="1"/>
      <c r="BT566" s="1"/>
      <c r="BU566" s="4"/>
    </row>
    <row r="567">
      <c r="AK567" s="1"/>
      <c r="AQ567" s="1"/>
      <c r="AW567" s="1"/>
      <c r="BC567" s="1"/>
      <c r="BD567" s="1"/>
      <c r="BE567" s="1"/>
      <c r="BF567" s="1"/>
      <c r="BG567" s="1"/>
      <c r="BH567" s="1"/>
      <c r="BI567" s="1"/>
      <c r="BO567" s="1"/>
      <c r="BP567" s="1"/>
      <c r="BQ567" s="1"/>
      <c r="BR567" s="1"/>
      <c r="BS567" s="1"/>
      <c r="BT567" s="1"/>
      <c r="BU567" s="4"/>
    </row>
    <row r="568">
      <c r="AK568" s="1"/>
      <c r="AQ568" s="1"/>
      <c r="AW568" s="1"/>
      <c r="BC568" s="1"/>
      <c r="BD568" s="1"/>
      <c r="BE568" s="1"/>
      <c r="BF568" s="1"/>
      <c r="BG568" s="1"/>
      <c r="BH568" s="1"/>
      <c r="BI568" s="1"/>
      <c r="BO568" s="1"/>
      <c r="BP568" s="1"/>
      <c r="BQ568" s="1"/>
      <c r="BR568" s="1"/>
      <c r="BS568" s="1"/>
      <c r="BT568" s="1"/>
      <c r="BU568" s="4"/>
    </row>
    <row r="569">
      <c r="AK569" s="1"/>
      <c r="AQ569" s="1"/>
      <c r="AW569" s="1"/>
      <c r="BC569" s="1"/>
      <c r="BD569" s="1"/>
      <c r="BE569" s="1"/>
      <c r="BF569" s="1"/>
      <c r="BG569" s="1"/>
      <c r="BH569" s="1"/>
      <c r="BI569" s="1"/>
      <c r="BO569" s="1"/>
      <c r="BP569" s="1"/>
      <c r="BQ569" s="1"/>
      <c r="BR569" s="1"/>
      <c r="BS569" s="1"/>
      <c r="BT569" s="1"/>
      <c r="BU569" s="4"/>
    </row>
    <row r="570">
      <c r="AK570" s="1"/>
      <c r="AQ570" s="1"/>
      <c r="AW570" s="1"/>
      <c r="BC570" s="1"/>
      <c r="BD570" s="1"/>
      <c r="BE570" s="1"/>
      <c r="BF570" s="1"/>
      <c r="BG570" s="1"/>
      <c r="BH570" s="1"/>
      <c r="BI570" s="1"/>
      <c r="BO570" s="1"/>
      <c r="BP570" s="1"/>
      <c r="BQ570" s="1"/>
      <c r="BR570" s="1"/>
      <c r="BS570" s="1"/>
      <c r="BT570" s="1"/>
      <c r="BU570" s="4"/>
    </row>
    <row r="571">
      <c r="AK571" s="1"/>
      <c r="AQ571" s="1"/>
      <c r="AW571" s="1"/>
      <c r="BC571" s="1"/>
      <c r="BD571" s="1"/>
      <c r="BE571" s="1"/>
      <c r="BF571" s="1"/>
      <c r="BG571" s="1"/>
      <c r="BH571" s="1"/>
      <c r="BI571" s="1"/>
      <c r="BO571" s="1"/>
      <c r="BP571" s="1"/>
      <c r="BQ571" s="1"/>
      <c r="BR571" s="1"/>
      <c r="BS571" s="1"/>
      <c r="BT571" s="1"/>
      <c r="BU571" s="4"/>
    </row>
    <row r="572">
      <c r="AK572" s="1"/>
      <c r="AQ572" s="1"/>
      <c r="AW572" s="1"/>
      <c r="BC572" s="1"/>
      <c r="BD572" s="1"/>
      <c r="BE572" s="1"/>
      <c r="BF572" s="1"/>
      <c r="BG572" s="1"/>
      <c r="BH572" s="1"/>
      <c r="BI572" s="1"/>
      <c r="BO572" s="1"/>
      <c r="BP572" s="1"/>
      <c r="BQ572" s="1"/>
      <c r="BR572" s="1"/>
      <c r="BS572" s="1"/>
      <c r="BT572" s="1"/>
      <c r="BU572" s="4"/>
    </row>
    <row r="573">
      <c r="AK573" s="1"/>
      <c r="AQ573" s="1"/>
      <c r="AW573" s="1"/>
      <c r="BC573" s="1"/>
      <c r="BD573" s="1"/>
      <c r="BE573" s="1"/>
      <c r="BF573" s="1"/>
      <c r="BG573" s="1"/>
      <c r="BH573" s="1"/>
      <c r="BI573" s="1"/>
      <c r="BO573" s="1"/>
      <c r="BP573" s="1"/>
      <c r="BQ573" s="1"/>
      <c r="BR573" s="1"/>
      <c r="BS573" s="1"/>
      <c r="BT573" s="1"/>
      <c r="BU573" s="4"/>
    </row>
    <row r="574">
      <c r="AK574" s="1"/>
      <c r="AQ574" s="1"/>
      <c r="AW574" s="1"/>
      <c r="BC574" s="1"/>
      <c r="BD574" s="1"/>
      <c r="BE574" s="1"/>
      <c r="BF574" s="1"/>
      <c r="BG574" s="1"/>
      <c r="BH574" s="1"/>
      <c r="BI574" s="1"/>
      <c r="BO574" s="1"/>
      <c r="BP574" s="1"/>
      <c r="BQ574" s="1"/>
      <c r="BR574" s="1"/>
      <c r="BS574" s="1"/>
      <c r="BT574" s="1"/>
      <c r="BU574" s="4"/>
    </row>
    <row r="575">
      <c r="AK575" s="1"/>
      <c r="AQ575" s="1"/>
      <c r="AW575" s="1"/>
      <c r="BC575" s="1"/>
      <c r="BD575" s="1"/>
      <c r="BE575" s="1"/>
      <c r="BF575" s="1"/>
      <c r="BG575" s="1"/>
      <c r="BH575" s="1"/>
      <c r="BI575" s="1"/>
      <c r="BO575" s="1"/>
      <c r="BP575" s="1"/>
      <c r="BQ575" s="1"/>
      <c r="BR575" s="1"/>
      <c r="BS575" s="1"/>
      <c r="BT575" s="1"/>
      <c r="BU575" s="4"/>
    </row>
    <row r="576">
      <c r="AK576" s="1"/>
      <c r="AQ576" s="1"/>
      <c r="AW576" s="1"/>
      <c r="BC576" s="1"/>
      <c r="BD576" s="1"/>
      <c r="BE576" s="1"/>
      <c r="BF576" s="1"/>
      <c r="BG576" s="1"/>
      <c r="BH576" s="1"/>
      <c r="BI576" s="1"/>
      <c r="BO576" s="1"/>
      <c r="BP576" s="1"/>
      <c r="BQ576" s="1"/>
      <c r="BR576" s="1"/>
      <c r="BS576" s="1"/>
      <c r="BT576" s="1"/>
      <c r="BU576" s="4"/>
    </row>
    <row r="577">
      <c r="AK577" s="1"/>
      <c r="AQ577" s="1"/>
      <c r="AW577" s="1"/>
      <c r="BC577" s="1"/>
      <c r="BD577" s="1"/>
      <c r="BE577" s="1"/>
      <c r="BF577" s="1"/>
      <c r="BG577" s="1"/>
      <c r="BH577" s="1"/>
      <c r="BI577" s="1"/>
      <c r="BO577" s="1"/>
      <c r="BP577" s="1"/>
      <c r="BQ577" s="1"/>
      <c r="BR577" s="1"/>
      <c r="BS577" s="1"/>
      <c r="BT577" s="1"/>
      <c r="BU577" s="4"/>
    </row>
    <row r="578">
      <c r="AK578" s="1"/>
      <c r="AQ578" s="1"/>
      <c r="AW578" s="1"/>
      <c r="BC578" s="1"/>
      <c r="BD578" s="1"/>
      <c r="BE578" s="1"/>
      <c r="BF578" s="1"/>
      <c r="BG578" s="1"/>
      <c r="BH578" s="1"/>
      <c r="BI578" s="1"/>
      <c r="BO578" s="1"/>
      <c r="BP578" s="1"/>
      <c r="BQ578" s="1"/>
      <c r="BR578" s="1"/>
      <c r="BS578" s="1"/>
      <c r="BT578" s="1"/>
      <c r="BU578" s="4"/>
    </row>
    <row r="579">
      <c r="AK579" s="1"/>
      <c r="AQ579" s="1"/>
      <c r="AW579" s="1"/>
      <c r="BC579" s="1"/>
      <c r="BD579" s="1"/>
      <c r="BE579" s="1"/>
      <c r="BF579" s="1"/>
      <c r="BG579" s="1"/>
      <c r="BH579" s="1"/>
      <c r="BI579" s="1"/>
      <c r="BO579" s="1"/>
      <c r="BP579" s="1"/>
      <c r="BQ579" s="1"/>
      <c r="BR579" s="1"/>
      <c r="BS579" s="1"/>
      <c r="BT579" s="1"/>
      <c r="BU579" s="4"/>
    </row>
    <row r="580">
      <c r="AK580" s="1"/>
      <c r="AQ580" s="1"/>
      <c r="AW580" s="1"/>
      <c r="BC580" s="1"/>
      <c r="BD580" s="1"/>
      <c r="BE580" s="1"/>
      <c r="BF580" s="1"/>
      <c r="BG580" s="1"/>
      <c r="BH580" s="1"/>
      <c r="BI580" s="1"/>
      <c r="BO580" s="1"/>
      <c r="BP580" s="1"/>
      <c r="BQ580" s="1"/>
      <c r="BR580" s="1"/>
      <c r="BS580" s="1"/>
      <c r="BT580" s="1"/>
      <c r="BU580" s="4"/>
    </row>
    <row r="581">
      <c r="AK581" s="1"/>
      <c r="AQ581" s="1"/>
      <c r="AW581" s="1"/>
      <c r="BC581" s="1"/>
      <c r="BD581" s="1"/>
      <c r="BE581" s="1"/>
      <c r="BF581" s="1"/>
      <c r="BG581" s="1"/>
      <c r="BH581" s="1"/>
      <c r="BI581" s="1"/>
      <c r="BO581" s="1"/>
      <c r="BP581" s="1"/>
      <c r="BQ581" s="1"/>
      <c r="BR581" s="1"/>
      <c r="BS581" s="1"/>
      <c r="BT581" s="1"/>
      <c r="BU581" s="4"/>
    </row>
    <row r="582">
      <c r="AK582" s="1"/>
      <c r="AQ582" s="1"/>
      <c r="AW582" s="1"/>
      <c r="BC582" s="1"/>
      <c r="BD582" s="1"/>
      <c r="BE582" s="1"/>
      <c r="BF582" s="1"/>
      <c r="BG582" s="1"/>
      <c r="BH582" s="1"/>
      <c r="BI582" s="1"/>
      <c r="BO582" s="1"/>
      <c r="BP582" s="1"/>
      <c r="BQ582" s="1"/>
      <c r="BR582" s="1"/>
      <c r="BS582" s="1"/>
      <c r="BT582" s="1"/>
      <c r="BU582" s="4"/>
    </row>
    <row r="583">
      <c r="AK583" s="1"/>
      <c r="AQ583" s="1"/>
      <c r="AW583" s="1"/>
      <c r="BC583" s="1"/>
      <c r="BD583" s="1"/>
      <c r="BE583" s="1"/>
      <c r="BF583" s="1"/>
      <c r="BG583" s="1"/>
      <c r="BH583" s="1"/>
      <c r="BI583" s="1"/>
      <c r="BO583" s="1"/>
      <c r="BP583" s="1"/>
      <c r="BQ583" s="1"/>
      <c r="BR583" s="1"/>
      <c r="BS583" s="1"/>
      <c r="BT583" s="1"/>
      <c r="BU583" s="4"/>
    </row>
    <row r="584">
      <c r="AK584" s="1"/>
      <c r="AQ584" s="1"/>
      <c r="AW584" s="1"/>
      <c r="BC584" s="1"/>
      <c r="BD584" s="1"/>
      <c r="BE584" s="1"/>
      <c r="BF584" s="1"/>
      <c r="BG584" s="1"/>
      <c r="BH584" s="1"/>
      <c r="BI584" s="1"/>
      <c r="BO584" s="1"/>
      <c r="BP584" s="1"/>
      <c r="BQ584" s="1"/>
      <c r="BR584" s="1"/>
      <c r="BS584" s="1"/>
      <c r="BT584" s="1"/>
      <c r="BU584" s="4"/>
    </row>
    <row r="585">
      <c r="AK585" s="1"/>
      <c r="AQ585" s="1"/>
      <c r="AW585" s="1"/>
      <c r="BC585" s="1"/>
      <c r="BD585" s="1"/>
      <c r="BE585" s="1"/>
      <c r="BF585" s="1"/>
      <c r="BG585" s="1"/>
      <c r="BH585" s="1"/>
      <c r="BI585" s="1"/>
      <c r="BO585" s="1"/>
      <c r="BP585" s="1"/>
      <c r="BQ585" s="1"/>
      <c r="BR585" s="1"/>
      <c r="BS585" s="1"/>
      <c r="BT585" s="1"/>
      <c r="BU585" s="4"/>
    </row>
    <row r="586">
      <c r="AK586" s="1"/>
      <c r="AQ586" s="1"/>
      <c r="AW586" s="1"/>
      <c r="BC586" s="1"/>
      <c r="BD586" s="1"/>
      <c r="BE586" s="1"/>
      <c r="BF586" s="1"/>
      <c r="BG586" s="1"/>
      <c r="BH586" s="1"/>
      <c r="BI586" s="1"/>
      <c r="BO586" s="1"/>
      <c r="BP586" s="1"/>
      <c r="BQ586" s="1"/>
      <c r="BR586" s="1"/>
      <c r="BS586" s="1"/>
      <c r="BT586" s="1"/>
      <c r="BU586" s="4"/>
    </row>
    <row r="587">
      <c r="AK587" s="1"/>
      <c r="AQ587" s="1"/>
      <c r="AW587" s="1"/>
      <c r="BC587" s="1"/>
      <c r="BD587" s="1"/>
      <c r="BE587" s="1"/>
      <c r="BF587" s="1"/>
      <c r="BG587" s="1"/>
      <c r="BH587" s="1"/>
      <c r="BI587" s="1"/>
      <c r="BO587" s="1"/>
      <c r="BP587" s="1"/>
      <c r="BQ587" s="1"/>
      <c r="BR587" s="1"/>
      <c r="BS587" s="1"/>
      <c r="BT587" s="1"/>
      <c r="BU587" s="4"/>
    </row>
    <row r="588">
      <c r="AK588" s="1"/>
      <c r="AQ588" s="1"/>
      <c r="AW588" s="1"/>
      <c r="BC588" s="1"/>
      <c r="BD588" s="1"/>
      <c r="BE588" s="1"/>
      <c r="BF588" s="1"/>
      <c r="BG588" s="1"/>
      <c r="BH588" s="1"/>
      <c r="BI588" s="1"/>
      <c r="BO588" s="1"/>
      <c r="BP588" s="1"/>
      <c r="BQ588" s="1"/>
      <c r="BR588" s="1"/>
      <c r="BS588" s="1"/>
      <c r="BT588" s="1"/>
      <c r="BU588" s="4"/>
    </row>
    <row r="589">
      <c r="AK589" s="1"/>
      <c r="AQ589" s="1"/>
      <c r="AW589" s="1"/>
      <c r="BC589" s="1"/>
      <c r="BD589" s="1"/>
      <c r="BE589" s="1"/>
      <c r="BF589" s="1"/>
      <c r="BG589" s="1"/>
      <c r="BH589" s="1"/>
      <c r="BI589" s="1"/>
      <c r="BO589" s="1"/>
      <c r="BP589" s="1"/>
      <c r="BQ589" s="1"/>
      <c r="BR589" s="1"/>
      <c r="BS589" s="1"/>
      <c r="BT589" s="1"/>
      <c r="BU589" s="4"/>
    </row>
    <row r="590">
      <c r="AK590" s="1"/>
      <c r="AQ590" s="1"/>
      <c r="AW590" s="1"/>
      <c r="BC590" s="1"/>
      <c r="BD590" s="1"/>
      <c r="BE590" s="1"/>
      <c r="BF590" s="1"/>
      <c r="BG590" s="1"/>
      <c r="BH590" s="1"/>
      <c r="BI590" s="1"/>
      <c r="BO590" s="1"/>
      <c r="BP590" s="1"/>
      <c r="BQ590" s="1"/>
      <c r="BR590" s="1"/>
      <c r="BS590" s="1"/>
      <c r="BT590" s="1"/>
      <c r="BU590" s="4"/>
    </row>
    <row r="591">
      <c r="AK591" s="1"/>
      <c r="AQ591" s="1"/>
      <c r="AW591" s="1"/>
      <c r="BC591" s="1"/>
      <c r="BD591" s="1"/>
      <c r="BE591" s="1"/>
      <c r="BF591" s="1"/>
      <c r="BG591" s="1"/>
      <c r="BH591" s="1"/>
      <c r="BI591" s="1"/>
      <c r="BO591" s="1"/>
      <c r="BP591" s="1"/>
      <c r="BQ591" s="1"/>
      <c r="BR591" s="1"/>
      <c r="BS591" s="1"/>
      <c r="BT591" s="1"/>
      <c r="BU591" s="4"/>
    </row>
    <row r="592">
      <c r="AK592" s="1"/>
      <c r="AQ592" s="1"/>
      <c r="AW592" s="1"/>
      <c r="BC592" s="1"/>
      <c r="BD592" s="1"/>
      <c r="BE592" s="1"/>
      <c r="BF592" s="1"/>
      <c r="BG592" s="1"/>
      <c r="BH592" s="1"/>
      <c r="BI592" s="1"/>
      <c r="BO592" s="1"/>
      <c r="BP592" s="1"/>
      <c r="BQ592" s="1"/>
      <c r="BR592" s="1"/>
      <c r="BS592" s="1"/>
      <c r="BT592" s="1"/>
      <c r="BU592" s="4"/>
    </row>
    <row r="593">
      <c r="AK593" s="1"/>
      <c r="AQ593" s="1"/>
      <c r="AW593" s="1"/>
      <c r="BC593" s="1"/>
      <c r="BD593" s="1"/>
      <c r="BE593" s="1"/>
      <c r="BF593" s="1"/>
      <c r="BG593" s="1"/>
      <c r="BH593" s="1"/>
      <c r="BI593" s="1"/>
      <c r="BO593" s="1"/>
      <c r="BP593" s="1"/>
      <c r="BQ593" s="1"/>
      <c r="BR593" s="1"/>
      <c r="BS593" s="1"/>
      <c r="BT593" s="1"/>
      <c r="BU593" s="4"/>
    </row>
    <row r="594">
      <c r="AK594" s="1"/>
      <c r="AQ594" s="1"/>
      <c r="AW594" s="1"/>
      <c r="BC594" s="1"/>
      <c r="BD594" s="1"/>
      <c r="BE594" s="1"/>
      <c r="BF594" s="1"/>
      <c r="BG594" s="1"/>
      <c r="BH594" s="1"/>
      <c r="BI594" s="1"/>
      <c r="BO594" s="1"/>
      <c r="BP594" s="1"/>
      <c r="BQ594" s="1"/>
      <c r="BR594" s="1"/>
      <c r="BS594" s="1"/>
      <c r="BT594" s="1"/>
      <c r="BU594" s="4"/>
    </row>
    <row r="595">
      <c r="AK595" s="1"/>
      <c r="AQ595" s="1"/>
      <c r="AW595" s="1"/>
      <c r="BC595" s="1"/>
      <c r="BD595" s="1"/>
      <c r="BE595" s="1"/>
      <c r="BF595" s="1"/>
      <c r="BG595" s="1"/>
      <c r="BH595" s="1"/>
      <c r="BI595" s="1"/>
      <c r="BO595" s="1"/>
      <c r="BP595" s="1"/>
      <c r="BQ595" s="1"/>
      <c r="BR595" s="1"/>
      <c r="BS595" s="1"/>
      <c r="BT595" s="1"/>
      <c r="BU595" s="4"/>
    </row>
    <row r="596">
      <c r="AK596" s="1"/>
      <c r="AQ596" s="1"/>
      <c r="AW596" s="1"/>
      <c r="BC596" s="1"/>
      <c r="BD596" s="1"/>
      <c r="BE596" s="1"/>
      <c r="BF596" s="1"/>
      <c r="BG596" s="1"/>
      <c r="BH596" s="1"/>
      <c r="BI596" s="1"/>
      <c r="BO596" s="1"/>
      <c r="BP596" s="1"/>
      <c r="BQ596" s="1"/>
      <c r="BR596" s="1"/>
      <c r="BS596" s="1"/>
      <c r="BT596" s="1"/>
      <c r="BU596" s="4"/>
    </row>
    <row r="597">
      <c r="AK597" s="1"/>
      <c r="AQ597" s="1"/>
      <c r="AW597" s="1"/>
      <c r="BC597" s="1"/>
      <c r="BD597" s="1"/>
      <c r="BE597" s="1"/>
      <c r="BF597" s="1"/>
      <c r="BG597" s="1"/>
      <c r="BH597" s="1"/>
      <c r="BI597" s="1"/>
      <c r="BO597" s="1"/>
      <c r="BP597" s="1"/>
      <c r="BQ597" s="1"/>
      <c r="BR597" s="1"/>
      <c r="BS597" s="1"/>
      <c r="BT597" s="1"/>
      <c r="BU597" s="4"/>
    </row>
    <row r="598">
      <c r="AK598" s="1"/>
      <c r="AQ598" s="1"/>
      <c r="AW598" s="1"/>
      <c r="BC598" s="1"/>
      <c r="BD598" s="1"/>
      <c r="BE598" s="1"/>
      <c r="BF598" s="1"/>
      <c r="BG598" s="1"/>
      <c r="BH598" s="1"/>
      <c r="BI598" s="1"/>
      <c r="BO598" s="1"/>
      <c r="BP598" s="1"/>
      <c r="BQ598" s="1"/>
      <c r="BR598" s="1"/>
      <c r="BS598" s="1"/>
      <c r="BT598" s="1"/>
      <c r="BU598" s="4"/>
    </row>
    <row r="599">
      <c r="AK599" s="1"/>
      <c r="AQ599" s="1"/>
      <c r="AW599" s="1"/>
      <c r="BC599" s="1"/>
      <c r="BD599" s="1"/>
      <c r="BE599" s="1"/>
      <c r="BF599" s="1"/>
      <c r="BG599" s="1"/>
      <c r="BH599" s="1"/>
      <c r="BI599" s="1"/>
      <c r="BO599" s="1"/>
      <c r="BP599" s="1"/>
      <c r="BQ599" s="1"/>
      <c r="BR599" s="1"/>
      <c r="BS599" s="1"/>
      <c r="BT599" s="1"/>
      <c r="BU599" s="4"/>
    </row>
    <row r="600">
      <c r="AK600" s="1"/>
      <c r="AQ600" s="1"/>
      <c r="AW600" s="1"/>
      <c r="BC600" s="1"/>
      <c r="BD600" s="1"/>
      <c r="BE600" s="1"/>
      <c r="BF600" s="1"/>
      <c r="BG600" s="1"/>
      <c r="BH600" s="1"/>
      <c r="BI600" s="1"/>
      <c r="BO600" s="1"/>
      <c r="BP600" s="1"/>
      <c r="BQ600" s="1"/>
      <c r="BR600" s="1"/>
      <c r="BS600" s="1"/>
      <c r="BT600" s="1"/>
      <c r="BU600" s="4"/>
    </row>
    <row r="601">
      <c r="AK601" s="1"/>
      <c r="AQ601" s="1"/>
      <c r="AW601" s="1"/>
      <c r="BC601" s="1"/>
      <c r="BD601" s="1"/>
      <c r="BE601" s="1"/>
      <c r="BF601" s="1"/>
      <c r="BG601" s="1"/>
      <c r="BH601" s="1"/>
      <c r="BI601" s="1"/>
      <c r="BO601" s="1"/>
      <c r="BP601" s="1"/>
      <c r="BQ601" s="1"/>
      <c r="BR601" s="1"/>
      <c r="BS601" s="1"/>
      <c r="BT601" s="1"/>
      <c r="BU601" s="4"/>
    </row>
    <row r="602">
      <c r="AK602" s="1"/>
      <c r="AQ602" s="1"/>
      <c r="AW602" s="1"/>
      <c r="BC602" s="1"/>
      <c r="BD602" s="1"/>
      <c r="BE602" s="1"/>
      <c r="BF602" s="1"/>
      <c r="BG602" s="1"/>
      <c r="BH602" s="1"/>
      <c r="BI602" s="1"/>
      <c r="BO602" s="1"/>
      <c r="BP602" s="1"/>
      <c r="BQ602" s="1"/>
      <c r="BR602" s="1"/>
      <c r="BS602" s="1"/>
      <c r="BT602" s="1"/>
      <c r="BU602" s="4"/>
    </row>
    <row r="603">
      <c r="AK603" s="1"/>
      <c r="AQ603" s="1"/>
      <c r="AW603" s="1"/>
      <c r="BC603" s="1"/>
      <c r="BD603" s="1"/>
      <c r="BE603" s="1"/>
      <c r="BF603" s="1"/>
      <c r="BG603" s="1"/>
      <c r="BH603" s="1"/>
      <c r="BI603" s="1"/>
      <c r="BO603" s="1"/>
      <c r="BP603" s="1"/>
      <c r="BQ603" s="1"/>
      <c r="BR603" s="1"/>
      <c r="BS603" s="1"/>
      <c r="BT603" s="1"/>
      <c r="BU603" s="4"/>
    </row>
    <row r="604">
      <c r="AK604" s="1"/>
      <c r="AQ604" s="1"/>
      <c r="AW604" s="1"/>
      <c r="BC604" s="1"/>
      <c r="BD604" s="1"/>
      <c r="BE604" s="1"/>
      <c r="BF604" s="1"/>
      <c r="BG604" s="1"/>
      <c r="BH604" s="1"/>
      <c r="BI604" s="1"/>
      <c r="BO604" s="1"/>
      <c r="BP604" s="1"/>
      <c r="BQ604" s="1"/>
      <c r="BR604" s="1"/>
      <c r="BS604" s="1"/>
      <c r="BT604" s="1"/>
      <c r="BU604" s="4"/>
    </row>
    <row r="605">
      <c r="AK605" s="1"/>
      <c r="AQ605" s="1"/>
      <c r="AW605" s="1"/>
      <c r="BC605" s="1"/>
      <c r="BD605" s="1"/>
      <c r="BE605" s="1"/>
      <c r="BF605" s="1"/>
      <c r="BG605" s="1"/>
      <c r="BH605" s="1"/>
      <c r="BI605" s="1"/>
      <c r="BO605" s="1"/>
      <c r="BP605" s="1"/>
      <c r="BQ605" s="1"/>
      <c r="BR605" s="1"/>
      <c r="BS605" s="1"/>
      <c r="BT605" s="1"/>
      <c r="BU605" s="4"/>
    </row>
    <row r="606">
      <c r="AK606" s="1"/>
      <c r="AQ606" s="1"/>
      <c r="AW606" s="1"/>
      <c r="BC606" s="1"/>
      <c r="BD606" s="1"/>
      <c r="BE606" s="1"/>
      <c r="BF606" s="1"/>
      <c r="BG606" s="1"/>
      <c r="BH606" s="1"/>
      <c r="BI606" s="1"/>
      <c r="BO606" s="1"/>
      <c r="BP606" s="1"/>
      <c r="BQ606" s="1"/>
      <c r="BR606" s="1"/>
      <c r="BS606" s="1"/>
      <c r="BT606" s="1"/>
      <c r="BU606" s="4"/>
    </row>
    <row r="607">
      <c r="AK607" s="1"/>
      <c r="AQ607" s="1"/>
      <c r="AW607" s="1"/>
      <c r="BC607" s="1"/>
      <c r="BD607" s="1"/>
      <c r="BE607" s="1"/>
      <c r="BF607" s="1"/>
      <c r="BG607" s="1"/>
      <c r="BH607" s="1"/>
      <c r="BI607" s="1"/>
      <c r="BO607" s="1"/>
      <c r="BP607" s="1"/>
      <c r="BQ607" s="1"/>
      <c r="BR607" s="1"/>
      <c r="BS607" s="1"/>
      <c r="BT607" s="1"/>
      <c r="BU607" s="4"/>
    </row>
    <row r="608">
      <c r="AK608" s="1"/>
      <c r="AQ608" s="1"/>
      <c r="AW608" s="1"/>
      <c r="BC608" s="1"/>
      <c r="BD608" s="1"/>
      <c r="BE608" s="1"/>
      <c r="BF608" s="1"/>
      <c r="BG608" s="1"/>
      <c r="BH608" s="1"/>
      <c r="BI608" s="1"/>
      <c r="BO608" s="1"/>
      <c r="BP608" s="1"/>
      <c r="BQ608" s="1"/>
      <c r="BR608" s="1"/>
      <c r="BS608" s="1"/>
      <c r="BT608" s="1"/>
      <c r="BU608" s="4"/>
    </row>
    <row r="609">
      <c r="AK609" s="1"/>
      <c r="AQ609" s="1"/>
      <c r="AW609" s="1"/>
      <c r="BC609" s="1"/>
      <c r="BD609" s="1"/>
      <c r="BE609" s="1"/>
      <c r="BF609" s="1"/>
      <c r="BG609" s="1"/>
      <c r="BH609" s="1"/>
      <c r="BI609" s="1"/>
      <c r="BO609" s="1"/>
      <c r="BP609" s="1"/>
      <c r="BQ609" s="1"/>
      <c r="BR609" s="1"/>
      <c r="BS609" s="1"/>
      <c r="BT609" s="1"/>
      <c r="BU609" s="4"/>
    </row>
    <row r="610">
      <c r="AK610" s="1"/>
      <c r="AQ610" s="1"/>
      <c r="AW610" s="1"/>
      <c r="BC610" s="1"/>
      <c r="BD610" s="1"/>
      <c r="BE610" s="1"/>
      <c r="BF610" s="1"/>
      <c r="BG610" s="1"/>
      <c r="BH610" s="1"/>
      <c r="BI610" s="1"/>
      <c r="BO610" s="1"/>
      <c r="BP610" s="1"/>
      <c r="BQ610" s="1"/>
      <c r="BR610" s="1"/>
      <c r="BS610" s="1"/>
      <c r="BT610" s="1"/>
      <c r="BU610" s="4"/>
    </row>
    <row r="611">
      <c r="AK611" s="1"/>
      <c r="AQ611" s="1"/>
      <c r="AW611" s="1"/>
      <c r="BC611" s="1"/>
      <c r="BD611" s="1"/>
      <c r="BE611" s="1"/>
      <c r="BF611" s="1"/>
      <c r="BG611" s="1"/>
      <c r="BH611" s="1"/>
      <c r="BI611" s="1"/>
      <c r="BO611" s="1"/>
      <c r="BP611" s="1"/>
      <c r="BQ611" s="1"/>
      <c r="BR611" s="1"/>
      <c r="BS611" s="1"/>
      <c r="BT611" s="1"/>
      <c r="BU611" s="4"/>
    </row>
    <row r="612">
      <c r="AK612" s="1"/>
      <c r="AQ612" s="1"/>
      <c r="AW612" s="1"/>
      <c r="BC612" s="1"/>
      <c r="BD612" s="1"/>
      <c r="BE612" s="1"/>
      <c r="BF612" s="1"/>
      <c r="BG612" s="1"/>
      <c r="BH612" s="1"/>
      <c r="BI612" s="1"/>
      <c r="BO612" s="1"/>
      <c r="BP612" s="1"/>
      <c r="BQ612" s="1"/>
      <c r="BR612" s="1"/>
      <c r="BS612" s="1"/>
      <c r="BT612" s="1"/>
      <c r="BU612" s="4"/>
    </row>
    <row r="613">
      <c r="AK613" s="1"/>
      <c r="AQ613" s="1"/>
      <c r="AW613" s="1"/>
      <c r="BC613" s="1"/>
      <c r="BD613" s="1"/>
      <c r="BE613" s="1"/>
      <c r="BF613" s="1"/>
      <c r="BG613" s="1"/>
      <c r="BH613" s="1"/>
      <c r="BI613" s="1"/>
      <c r="BO613" s="1"/>
      <c r="BP613" s="1"/>
      <c r="BQ613" s="1"/>
      <c r="BR613" s="1"/>
      <c r="BS613" s="1"/>
      <c r="BT613" s="1"/>
      <c r="BU613" s="4"/>
    </row>
    <row r="614">
      <c r="AK614" s="1"/>
      <c r="AQ614" s="1"/>
      <c r="AW614" s="1"/>
      <c r="BC614" s="1"/>
      <c r="BD614" s="1"/>
      <c r="BE614" s="1"/>
      <c r="BF614" s="1"/>
      <c r="BG614" s="1"/>
      <c r="BH614" s="1"/>
      <c r="BI614" s="1"/>
      <c r="BO614" s="1"/>
      <c r="BP614" s="1"/>
      <c r="BQ614" s="1"/>
      <c r="BR614" s="1"/>
      <c r="BS614" s="1"/>
      <c r="BT614" s="1"/>
      <c r="BU614" s="4"/>
    </row>
    <row r="615">
      <c r="AK615" s="1"/>
      <c r="AQ615" s="1"/>
      <c r="AW615" s="1"/>
      <c r="BC615" s="1"/>
      <c r="BD615" s="1"/>
      <c r="BE615" s="1"/>
      <c r="BF615" s="1"/>
      <c r="BG615" s="1"/>
      <c r="BH615" s="1"/>
      <c r="BI615" s="1"/>
      <c r="BO615" s="1"/>
      <c r="BP615" s="1"/>
      <c r="BQ615" s="1"/>
      <c r="BR615" s="1"/>
      <c r="BS615" s="1"/>
      <c r="BT615" s="1"/>
      <c r="BU615" s="4"/>
    </row>
    <row r="616">
      <c r="AK616" s="1"/>
      <c r="AQ616" s="1"/>
      <c r="AW616" s="1"/>
      <c r="BC616" s="1"/>
      <c r="BD616" s="1"/>
      <c r="BE616" s="1"/>
      <c r="BF616" s="1"/>
      <c r="BG616" s="1"/>
      <c r="BH616" s="1"/>
      <c r="BI616" s="1"/>
      <c r="BO616" s="1"/>
      <c r="BP616" s="1"/>
      <c r="BQ616" s="1"/>
      <c r="BR616" s="1"/>
      <c r="BS616" s="1"/>
      <c r="BT616" s="1"/>
      <c r="BU616" s="4"/>
    </row>
    <row r="617">
      <c r="AK617" s="1"/>
      <c r="AQ617" s="1"/>
      <c r="AW617" s="1"/>
      <c r="BC617" s="1"/>
      <c r="BD617" s="1"/>
      <c r="BE617" s="1"/>
      <c r="BF617" s="1"/>
      <c r="BG617" s="1"/>
      <c r="BH617" s="1"/>
      <c r="BI617" s="1"/>
      <c r="BO617" s="1"/>
      <c r="BP617" s="1"/>
      <c r="BQ617" s="1"/>
      <c r="BR617" s="1"/>
      <c r="BS617" s="1"/>
      <c r="BT617" s="1"/>
      <c r="BU617" s="4"/>
    </row>
    <row r="618">
      <c r="AK618" s="1"/>
      <c r="AQ618" s="1"/>
      <c r="AW618" s="1"/>
      <c r="BC618" s="1"/>
      <c r="BD618" s="1"/>
      <c r="BE618" s="1"/>
      <c r="BF618" s="1"/>
      <c r="BG618" s="1"/>
      <c r="BH618" s="1"/>
      <c r="BI618" s="1"/>
      <c r="BO618" s="1"/>
      <c r="BP618" s="1"/>
      <c r="BQ618" s="1"/>
      <c r="BR618" s="1"/>
      <c r="BS618" s="1"/>
      <c r="BT618" s="1"/>
      <c r="BU618" s="4"/>
    </row>
    <row r="619">
      <c r="AK619" s="1"/>
      <c r="AQ619" s="1"/>
      <c r="AW619" s="1"/>
      <c r="BC619" s="1"/>
      <c r="BD619" s="1"/>
      <c r="BE619" s="1"/>
      <c r="BF619" s="1"/>
      <c r="BG619" s="1"/>
      <c r="BH619" s="1"/>
      <c r="BI619" s="1"/>
      <c r="BO619" s="1"/>
      <c r="BP619" s="1"/>
      <c r="BQ619" s="1"/>
      <c r="BR619" s="1"/>
      <c r="BS619" s="1"/>
      <c r="BT619" s="1"/>
      <c r="BU619" s="4"/>
    </row>
    <row r="620">
      <c r="AK620" s="1"/>
      <c r="AQ620" s="1"/>
      <c r="AW620" s="1"/>
      <c r="BC620" s="1"/>
      <c r="BD620" s="1"/>
      <c r="BE620" s="1"/>
      <c r="BF620" s="1"/>
      <c r="BG620" s="1"/>
      <c r="BH620" s="1"/>
      <c r="BI620" s="1"/>
      <c r="BO620" s="1"/>
      <c r="BP620" s="1"/>
      <c r="BQ620" s="1"/>
      <c r="BR620" s="1"/>
      <c r="BS620" s="1"/>
      <c r="BT620" s="1"/>
      <c r="BU620" s="4"/>
    </row>
    <row r="621">
      <c r="AK621" s="1"/>
      <c r="AQ621" s="1"/>
      <c r="AW621" s="1"/>
      <c r="BC621" s="1"/>
      <c r="BD621" s="1"/>
      <c r="BE621" s="1"/>
      <c r="BF621" s="1"/>
      <c r="BG621" s="1"/>
      <c r="BH621" s="1"/>
      <c r="BI621" s="1"/>
      <c r="BO621" s="1"/>
      <c r="BP621" s="1"/>
      <c r="BQ621" s="1"/>
      <c r="BR621" s="1"/>
      <c r="BS621" s="1"/>
      <c r="BT621" s="1"/>
      <c r="BU621" s="4"/>
    </row>
    <row r="622">
      <c r="AK622" s="1"/>
      <c r="AQ622" s="1"/>
      <c r="AW622" s="1"/>
      <c r="BC622" s="1"/>
      <c r="BD622" s="1"/>
      <c r="BE622" s="1"/>
      <c r="BF622" s="1"/>
      <c r="BG622" s="1"/>
      <c r="BH622" s="1"/>
      <c r="BI622" s="1"/>
      <c r="BO622" s="1"/>
      <c r="BP622" s="1"/>
      <c r="BQ622" s="1"/>
      <c r="BR622" s="1"/>
      <c r="BS622" s="1"/>
      <c r="BT622" s="1"/>
      <c r="BU622" s="4"/>
    </row>
    <row r="623">
      <c r="AK623" s="1"/>
      <c r="AQ623" s="1"/>
      <c r="AW623" s="1"/>
      <c r="BC623" s="1"/>
      <c r="BD623" s="1"/>
      <c r="BE623" s="1"/>
      <c r="BF623" s="1"/>
      <c r="BG623" s="1"/>
      <c r="BH623" s="1"/>
      <c r="BI623" s="1"/>
      <c r="BO623" s="1"/>
      <c r="BP623" s="1"/>
      <c r="BQ623" s="1"/>
      <c r="BR623" s="1"/>
      <c r="BS623" s="1"/>
      <c r="BT623" s="1"/>
      <c r="BU623" s="4"/>
    </row>
    <row r="624">
      <c r="AK624" s="1"/>
      <c r="AQ624" s="1"/>
      <c r="AW624" s="1"/>
      <c r="BC624" s="1"/>
      <c r="BD624" s="1"/>
      <c r="BE624" s="1"/>
      <c r="BF624" s="1"/>
      <c r="BG624" s="1"/>
      <c r="BH624" s="1"/>
      <c r="BI624" s="1"/>
      <c r="BO624" s="1"/>
      <c r="BP624" s="1"/>
      <c r="BQ624" s="1"/>
      <c r="BR624" s="1"/>
      <c r="BS624" s="1"/>
      <c r="BT624" s="1"/>
      <c r="BU624" s="4"/>
    </row>
    <row r="625">
      <c r="AK625" s="1"/>
      <c r="AQ625" s="1"/>
      <c r="AW625" s="1"/>
      <c r="BC625" s="1"/>
      <c r="BD625" s="1"/>
      <c r="BE625" s="1"/>
      <c r="BF625" s="1"/>
      <c r="BG625" s="1"/>
      <c r="BH625" s="1"/>
      <c r="BI625" s="1"/>
      <c r="BO625" s="1"/>
      <c r="BP625" s="1"/>
      <c r="BQ625" s="1"/>
      <c r="BR625" s="1"/>
      <c r="BS625" s="1"/>
      <c r="BT625" s="1"/>
      <c r="BU625" s="4"/>
    </row>
    <row r="626">
      <c r="AK626" s="1"/>
      <c r="AQ626" s="1"/>
      <c r="AW626" s="1"/>
      <c r="BC626" s="1"/>
      <c r="BD626" s="1"/>
      <c r="BE626" s="1"/>
      <c r="BF626" s="1"/>
      <c r="BG626" s="1"/>
      <c r="BH626" s="1"/>
      <c r="BI626" s="1"/>
      <c r="BO626" s="1"/>
      <c r="BP626" s="1"/>
      <c r="BQ626" s="1"/>
      <c r="BR626" s="1"/>
      <c r="BS626" s="1"/>
      <c r="BT626" s="1"/>
      <c r="BU626" s="4"/>
    </row>
    <row r="627">
      <c r="AK627" s="1"/>
      <c r="AQ627" s="1"/>
      <c r="AW627" s="1"/>
      <c r="BC627" s="1"/>
      <c r="BD627" s="1"/>
      <c r="BE627" s="1"/>
      <c r="BF627" s="1"/>
      <c r="BG627" s="1"/>
      <c r="BH627" s="1"/>
      <c r="BI627" s="1"/>
      <c r="BO627" s="1"/>
      <c r="BP627" s="1"/>
      <c r="BQ627" s="1"/>
      <c r="BR627" s="1"/>
      <c r="BS627" s="1"/>
      <c r="BT627" s="1"/>
      <c r="BU627" s="4"/>
    </row>
    <row r="628">
      <c r="AK628" s="1"/>
      <c r="AQ628" s="1"/>
      <c r="AW628" s="1"/>
      <c r="BC628" s="1"/>
      <c r="BD628" s="1"/>
      <c r="BE628" s="1"/>
      <c r="BF628" s="1"/>
      <c r="BG628" s="1"/>
      <c r="BH628" s="1"/>
      <c r="BI628" s="1"/>
      <c r="BO628" s="1"/>
      <c r="BP628" s="1"/>
      <c r="BQ628" s="1"/>
      <c r="BR628" s="1"/>
      <c r="BS628" s="1"/>
      <c r="BT628" s="1"/>
      <c r="BU628" s="4"/>
    </row>
    <row r="629">
      <c r="AK629" s="1"/>
      <c r="AQ629" s="1"/>
      <c r="AW629" s="1"/>
      <c r="BC629" s="1"/>
      <c r="BD629" s="1"/>
      <c r="BE629" s="1"/>
      <c r="BF629" s="1"/>
      <c r="BG629" s="1"/>
      <c r="BH629" s="1"/>
      <c r="BI629" s="1"/>
      <c r="BO629" s="1"/>
      <c r="BP629" s="1"/>
      <c r="BQ629" s="1"/>
      <c r="BR629" s="1"/>
      <c r="BS629" s="1"/>
      <c r="BT629" s="1"/>
      <c r="BU629" s="4"/>
    </row>
    <row r="630">
      <c r="AK630" s="1"/>
      <c r="AQ630" s="1"/>
      <c r="AW630" s="1"/>
      <c r="BC630" s="1"/>
      <c r="BD630" s="1"/>
      <c r="BE630" s="1"/>
      <c r="BF630" s="1"/>
      <c r="BG630" s="1"/>
      <c r="BH630" s="1"/>
      <c r="BI630" s="1"/>
      <c r="BO630" s="1"/>
      <c r="BP630" s="1"/>
      <c r="BQ630" s="1"/>
      <c r="BR630" s="1"/>
      <c r="BS630" s="1"/>
      <c r="BT630" s="1"/>
      <c r="BU630" s="4"/>
    </row>
    <row r="631">
      <c r="AK631" s="1"/>
      <c r="AQ631" s="1"/>
      <c r="AW631" s="1"/>
      <c r="BC631" s="1"/>
      <c r="BD631" s="1"/>
      <c r="BE631" s="1"/>
      <c r="BF631" s="1"/>
      <c r="BG631" s="1"/>
      <c r="BH631" s="1"/>
      <c r="BI631" s="1"/>
      <c r="BO631" s="1"/>
      <c r="BP631" s="1"/>
      <c r="BQ631" s="1"/>
      <c r="BR631" s="1"/>
      <c r="BS631" s="1"/>
      <c r="BT631" s="1"/>
      <c r="BU631" s="4"/>
    </row>
    <row r="632">
      <c r="AK632" s="1"/>
      <c r="AQ632" s="1"/>
      <c r="AW632" s="1"/>
      <c r="BC632" s="1"/>
      <c r="BD632" s="1"/>
      <c r="BE632" s="1"/>
      <c r="BF632" s="1"/>
      <c r="BG632" s="1"/>
      <c r="BH632" s="1"/>
      <c r="BI632" s="1"/>
      <c r="BO632" s="1"/>
      <c r="BP632" s="1"/>
      <c r="BQ632" s="1"/>
      <c r="BR632" s="1"/>
      <c r="BS632" s="1"/>
      <c r="BT632" s="1"/>
      <c r="BU632" s="4"/>
    </row>
    <row r="633">
      <c r="AK633" s="1"/>
      <c r="AQ633" s="1"/>
      <c r="AW633" s="1"/>
      <c r="BC633" s="1"/>
      <c r="BD633" s="1"/>
      <c r="BE633" s="1"/>
      <c r="BF633" s="1"/>
      <c r="BG633" s="1"/>
      <c r="BH633" s="1"/>
      <c r="BI633" s="1"/>
      <c r="BO633" s="1"/>
      <c r="BP633" s="1"/>
      <c r="BQ633" s="1"/>
      <c r="BR633" s="1"/>
      <c r="BS633" s="1"/>
      <c r="BT633" s="1"/>
      <c r="BU633" s="4"/>
    </row>
    <row r="634">
      <c r="AK634" s="1"/>
      <c r="AQ634" s="1"/>
      <c r="AW634" s="1"/>
      <c r="BC634" s="1"/>
      <c r="BD634" s="1"/>
      <c r="BE634" s="1"/>
      <c r="BF634" s="1"/>
      <c r="BG634" s="1"/>
      <c r="BH634" s="1"/>
      <c r="BI634" s="1"/>
      <c r="BO634" s="1"/>
      <c r="BP634" s="1"/>
      <c r="BQ634" s="1"/>
      <c r="BR634" s="1"/>
      <c r="BS634" s="1"/>
      <c r="BT634" s="1"/>
      <c r="BU634" s="4"/>
    </row>
    <row r="635">
      <c r="AK635" s="1"/>
      <c r="AQ635" s="1"/>
      <c r="AW635" s="1"/>
      <c r="BC635" s="1"/>
      <c r="BD635" s="1"/>
      <c r="BE635" s="1"/>
      <c r="BF635" s="1"/>
      <c r="BG635" s="1"/>
      <c r="BH635" s="1"/>
      <c r="BI635" s="1"/>
      <c r="BO635" s="1"/>
      <c r="BP635" s="1"/>
      <c r="BQ635" s="1"/>
      <c r="BR635" s="1"/>
      <c r="BS635" s="1"/>
      <c r="BT635" s="1"/>
      <c r="BU635" s="4"/>
    </row>
    <row r="636">
      <c r="AK636" s="1"/>
      <c r="AQ636" s="1"/>
      <c r="AW636" s="1"/>
      <c r="BC636" s="1"/>
      <c r="BD636" s="1"/>
      <c r="BE636" s="1"/>
      <c r="BF636" s="1"/>
      <c r="BG636" s="1"/>
      <c r="BH636" s="1"/>
      <c r="BI636" s="1"/>
      <c r="BO636" s="1"/>
      <c r="BP636" s="1"/>
      <c r="BQ636" s="1"/>
      <c r="BR636" s="1"/>
      <c r="BS636" s="1"/>
      <c r="BT636" s="1"/>
      <c r="BU636" s="4"/>
    </row>
    <row r="637">
      <c r="AK637" s="1"/>
      <c r="AQ637" s="1"/>
      <c r="AW637" s="1"/>
      <c r="BC637" s="1"/>
      <c r="BD637" s="1"/>
      <c r="BE637" s="1"/>
      <c r="BF637" s="1"/>
      <c r="BG637" s="1"/>
      <c r="BH637" s="1"/>
      <c r="BI637" s="1"/>
      <c r="BO637" s="1"/>
      <c r="BP637" s="1"/>
      <c r="BQ637" s="1"/>
      <c r="BR637" s="1"/>
      <c r="BS637" s="1"/>
      <c r="BT637" s="1"/>
      <c r="BU637" s="4"/>
    </row>
    <row r="638">
      <c r="AK638" s="1"/>
      <c r="AQ638" s="1"/>
      <c r="AW638" s="1"/>
      <c r="BC638" s="1"/>
      <c r="BD638" s="1"/>
      <c r="BE638" s="1"/>
      <c r="BF638" s="1"/>
      <c r="BG638" s="1"/>
      <c r="BH638" s="1"/>
      <c r="BI638" s="1"/>
      <c r="BO638" s="1"/>
      <c r="BP638" s="1"/>
      <c r="BQ638" s="1"/>
      <c r="BR638" s="1"/>
      <c r="BS638" s="1"/>
      <c r="BT638" s="1"/>
      <c r="BU638" s="4"/>
    </row>
    <row r="639">
      <c r="AK639" s="1"/>
      <c r="AQ639" s="1"/>
      <c r="AW639" s="1"/>
      <c r="BC639" s="1"/>
      <c r="BD639" s="1"/>
      <c r="BE639" s="1"/>
      <c r="BF639" s="1"/>
      <c r="BG639" s="1"/>
      <c r="BH639" s="1"/>
      <c r="BI639" s="1"/>
      <c r="BO639" s="1"/>
      <c r="BP639" s="1"/>
      <c r="BQ639" s="1"/>
      <c r="BR639" s="1"/>
      <c r="BS639" s="1"/>
      <c r="BT639" s="1"/>
      <c r="BU639" s="4"/>
    </row>
    <row r="640">
      <c r="AK640" s="1"/>
      <c r="AQ640" s="1"/>
      <c r="AW640" s="1"/>
      <c r="BC640" s="1"/>
      <c r="BD640" s="1"/>
      <c r="BE640" s="1"/>
      <c r="BF640" s="1"/>
      <c r="BG640" s="1"/>
      <c r="BH640" s="1"/>
      <c r="BI640" s="1"/>
      <c r="BO640" s="1"/>
      <c r="BP640" s="1"/>
      <c r="BQ640" s="1"/>
      <c r="BR640" s="1"/>
      <c r="BS640" s="1"/>
      <c r="BT640" s="1"/>
      <c r="BU640" s="4"/>
    </row>
    <row r="641">
      <c r="AK641" s="1"/>
      <c r="AQ641" s="1"/>
      <c r="AW641" s="1"/>
      <c r="BC641" s="1"/>
      <c r="BD641" s="1"/>
      <c r="BE641" s="1"/>
      <c r="BF641" s="1"/>
      <c r="BG641" s="1"/>
      <c r="BH641" s="1"/>
      <c r="BI641" s="1"/>
      <c r="BO641" s="1"/>
      <c r="BP641" s="1"/>
      <c r="BQ641" s="1"/>
      <c r="BR641" s="1"/>
      <c r="BS641" s="1"/>
      <c r="BT641" s="1"/>
      <c r="BU641" s="4"/>
    </row>
    <row r="642">
      <c r="AK642" s="1"/>
      <c r="AQ642" s="1"/>
      <c r="AW642" s="1"/>
      <c r="BC642" s="1"/>
      <c r="BD642" s="1"/>
      <c r="BE642" s="1"/>
      <c r="BF642" s="1"/>
      <c r="BG642" s="1"/>
      <c r="BH642" s="1"/>
      <c r="BI642" s="1"/>
      <c r="BO642" s="1"/>
      <c r="BP642" s="1"/>
      <c r="BQ642" s="1"/>
      <c r="BR642" s="1"/>
      <c r="BS642" s="1"/>
      <c r="BT642" s="1"/>
      <c r="BU642" s="4"/>
    </row>
    <row r="643">
      <c r="AK643" s="1"/>
      <c r="AQ643" s="1"/>
      <c r="AW643" s="1"/>
      <c r="BC643" s="1"/>
      <c r="BD643" s="1"/>
      <c r="BE643" s="1"/>
      <c r="BF643" s="1"/>
      <c r="BG643" s="1"/>
      <c r="BH643" s="1"/>
      <c r="BI643" s="1"/>
      <c r="BO643" s="1"/>
      <c r="BP643" s="1"/>
      <c r="BQ643" s="1"/>
      <c r="BR643" s="1"/>
      <c r="BS643" s="1"/>
      <c r="BT643" s="1"/>
      <c r="BU643" s="4"/>
    </row>
    <row r="644">
      <c r="AK644" s="1"/>
      <c r="AQ644" s="1"/>
      <c r="AW644" s="1"/>
      <c r="BC644" s="1"/>
      <c r="BD644" s="1"/>
      <c r="BE644" s="1"/>
      <c r="BF644" s="1"/>
      <c r="BG644" s="1"/>
      <c r="BH644" s="1"/>
      <c r="BI644" s="1"/>
      <c r="BO644" s="1"/>
      <c r="BP644" s="1"/>
      <c r="BQ644" s="1"/>
      <c r="BR644" s="1"/>
      <c r="BS644" s="1"/>
      <c r="BT644" s="1"/>
      <c r="BU644" s="4"/>
    </row>
    <row r="645">
      <c r="AK645" s="1"/>
      <c r="AQ645" s="1"/>
      <c r="AW645" s="1"/>
      <c r="BC645" s="1"/>
      <c r="BD645" s="1"/>
      <c r="BE645" s="1"/>
      <c r="BF645" s="1"/>
      <c r="BG645" s="1"/>
      <c r="BH645" s="1"/>
      <c r="BI645" s="1"/>
      <c r="BO645" s="1"/>
      <c r="BP645" s="1"/>
      <c r="BQ645" s="1"/>
      <c r="BR645" s="1"/>
      <c r="BS645" s="1"/>
      <c r="BT645" s="1"/>
      <c r="BU645" s="4"/>
    </row>
    <row r="646">
      <c r="AK646" s="1"/>
      <c r="AQ646" s="1"/>
      <c r="AW646" s="1"/>
      <c r="BC646" s="1"/>
      <c r="BD646" s="1"/>
      <c r="BE646" s="1"/>
      <c r="BF646" s="1"/>
      <c r="BG646" s="1"/>
      <c r="BH646" s="1"/>
      <c r="BI646" s="1"/>
      <c r="BO646" s="1"/>
      <c r="BP646" s="1"/>
      <c r="BQ646" s="1"/>
      <c r="BR646" s="1"/>
      <c r="BS646" s="1"/>
      <c r="BT646" s="1"/>
      <c r="BU646" s="4"/>
    </row>
    <row r="647">
      <c r="AK647" s="1"/>
      <c r="AQ647" s="1"/>
      <c r="AW647" s="1"/>
      <c r="BC647" s="1"/>
      <c r="BD647" s="1"/>
      <c r="BE647" s="1"/>
      <c r="BF647" s="1"/>
      <c r="BG647" s="1"/>
      <c r="BH647" s="1"/>
      <c r="BI647" s="1"/>
      <c r="BO647" s="1"/>
      <c r="BP647" s="1"/>
      <c r="BQ647" s="1"/>
      <c r="BR647" s="1"/>
      <c r="BS647" s="1"/>
      <c r="BT647" s="1"/>
      <c r="BU647" s="4"/>
    </row>
    <row r="648">
      <c r="AK648" s="1"/>
      <c r="AQ648" s="1"/>
      <c r="AW648" s="1"/>
      <c r="BC648" s="1"/>
      <c r="BD648" s="1"/>
      <c r="BE648" s="1"/>
      <c r="BF648" s="1"/>
      <c r="BG648" s="1"/>
      <c r="BH648" s="1"/>
      <c r="BI648" s="1"/>
      <c r="BO648" s="1"/>
      <c r="BP648" s="1"/>
      <c r="BQ648" s="1"/>
      <c r="BR648" s="1"/>
      <c r="BS648" s="1"/>
      <c r="BT648" s="1"/>
      <c r="BU648" s="4"/>
    </row>
    <row r="649">
      <c r="AK649" s="1"/>
      <c r="AQ649" s="1"/>
      <c r="AW649" s="1"/>
      <c r="BC649" s="1"/>
      <c r="BD649" s="1"/>
      <c r="BE649" s="1"/>
      <c r="BF649" s="1"/>
      <c r="BG649" s="1"/>
      <c r="BH649" s="1"/>
      <c r="BI649" s="1"/>
      <c r="BO649" s="1"/>
      <c r="BP649" s="1"/>
      <c r="BQ649" s="1"/>
      <c r="BR649" s="1"/>
      <c r="BS649" s="1"/>
      <c r="BT649" s="1"/>
      <c r="BU649" s="4"/>
    </row>
    <row r="650">
      <c r="AK650" s="1"/>
      <c r="AQ650" s="1"/>
      <c r="AW650" s="1"/>
      <c r="BC650" s="1"/>
      <c r="BD650" s="1"/>
      <c r="BE650" s="1"/>
      <c r="BF650" s="1"/>
      <c r="BG650" s="1"/>
      <c r="BH650" s="1"/>
      <c r="BI650" s="1"/>
      <c r="BO650" s="1"/>
      <c r="BP650" s="1"/>
      <c r="BQ650" s="1"/>
      <c r="BR650" s="1"/>
      <c r="BS650" s="1"/>
      <c r="BT650" s="1"/>
      <c r="BU650" s="4"/>
    </row>
    <row r="651">
      <c r="AK651" s="1"/>
      <c r="AQ651" s="1"/>
      <c r="AW651" s="1"/>
      <c r="BC651" s="1"/>
      <c r="BD651" s="1"/>
      <c r="BE651" s="1"/>
      <c r="BF651" s="1"/>
      <c r="BG651" s="1"/>
      <c r="BH651" s="1"/>
      <c r="BI651" s="1"/>
      <c r="BO651" s="1"/>
      <c r="BP651" s="1"/>
      <c r="BQ651" s="1"/>
      <c r="BR651" s="1"/>
      <c r="BS651" s="1"/>
      <c r="BT651" s="1"/>
      <c r="BU651" s="4"/>
    </row>
    <row r="652">
      <c r="AK652" s="1"/>
      <c r="AQ652" s="1"/>
      <c r="AW652" s="1"/>
      <c r="BC652" s="1"/>
      <c r="BD652" s="1"/>
      <c r="BE652" s="1"/>
      <c r="BF652" s="1"/>
      <c r="BG652" s="1"/>
      <c r="BH652" s="1"/>
      <c r="BI652" s="1"/>
      <c r="BO652" s="1"/>
      <c r="BP652" s="1"/>
      <c r="BQ652" s="1"/>
      <c r="BR652" s="1"/>
      <c r="BS652" s="1"/>
      <c r="BT652" s="1"/>
      <c r="BU652" s="4"/>
    </row>
    <row r="653">
      <c r="AK653" s="1"/>
      <c r="AQ653" s="1"/>
      <c r="AW653" s="1"/>
      <c r="BC653" s="1"/>
      <c r="BD653" s="1"/>
      <c r="BE653" s="1"/>
      <c r="BF653" s="1"/>
      <c r="BG653" s="1"/>
      <c r="BH653" s="1"/>
      <c r="BI653" s="1"/>
      <c r="BO653" s="1"/>
      <c r="BP653" s="1"/>
      <c r="BQ653" s="1"/>
      <c r="BR653" s="1"/>
      <c r="BS653" s="1"/>
      <c r="BT653" s="1"/>
      <c r="BU653" s="4"/>
    </row>
    <row r="654">
      <c r="AK654" s="1"/>
      <c r="AQ654" s="1"/>
      <c r="AW654" s="1"/>
      <c r="BC654" s="1"/>
      <c r="BD654" s="1"/>
      <c r="BE654" s="1"/>
      <c r="BF654" s="1"/>
      <c r="BG654" s="1"/>
      <c r="BH654" s="1"/>
      <c r="BI654" s="1"/>
      <c r="BO654" s="1"/>
      <c r="BP654" s="1"/>
      <c r="BQ654" s="1"/>
      <c r="BR654" s="1"/>
      <c r="BS654" s="1"/>
      <c r="BT654" s="1"/>
      <c r="BU654" s="4"/>
    </row>
    <row r="655">
      <c r="AK655" s="1"/>
      <c r="AQ655" s="1"/>
      <c r="AW655" s="1"/>
      <c r="BC655" s="1"/>
      <c r="BD655" s="1"/>
      <c r="BE655" s="1"/>
      <c r="BF655" s="1"/>
      <c r="BG655" s="1"/>
      <c r="BH655" s="1"/>
      <c r="BI655" s="1"/>
      <c r="BO655" s="1"/>
      <c r="BP655" s="1"/>
      <c r="BQ655" s="1"/>
      <c r="BR655" s="1"/>
      <c r="BS655" s="1"/>
      <c r="BT655" s="1"/>
      <c r="BU655" s="4"/>
    </row>
    <row r="656">
      <c r="AK656" s="1"/>
      <c r="AQ656" s="1"/>
      <c r="AW656" s="1"/>
      <c r="BC656" s="1"/>
      <c r="BD656" s="1"/>
      <c r="BE656" s="1"/>
      <c r="BF656" s="1"/>
      <c r="BG656" s="1"/>
      <c r="BH656" s="1"/>
      <c r="BI656" s="1"/>
      <c r="BO656" s="1"/>
      <c r="BP656" s="1"/>
      <c r="BQ656" s="1"/>
      <c r="BR656" s="1"/>
      <c r="BS656" s="1"/>
      <c r="BT656" s="1"/>
      <c r="BU656" s="4"/>
    </row>
    <row r="657">
      <c r="AK657" s="1"/>
      <c r="AQ657" s="1"/>
      <c r="AW657" s="1"/>
      <c r="BC657" s="1"/>
      <c r="BD657" s="1"/>
      <c r="BE657" s="1"/>
      <c r="BF657" s="1"/>
      <c r="BG657" s="1"/>
      <c r="BH657" s="1"/>
      <c r="BI657" s="1"/>
      <c r="BO657" s="1"/>
      <c r="BP657" s="1"/>
      <c r="BQ657" s="1"/>
      <c r="BR657" s="1"/>
      <c r="BS657" s="1"/>
      <c r="BT657" s="1"/>
      <c r="BU657" s="4"/>
    </row>
    <row r="658">
      <c r="AK658" s="1"/>
      <c r="AQ658" s="1"/>
      <c r="AW658" s="1"/>
      <c r="BC658" s="1"/>
      <c r="BD658" s="1"/>
      <c r="BE658" s="1"/>
      <c r="BF658" s="1"/>
      <c r="BG658" s="1"/>
      <c r="BH658" s="1"/>
      <c r="BI658" s="1"/>
      <c r="BO658" s="1"/>
      <c r="BP658" s="1"/>
      <c r="BQ658" s="1"/>
      <c r="BR658" s="1"/>
      <c r="BS658" s="1"/>
      <c r="BT658" s="1"/>
      <c r="BU658" s="4"/>
    </row>
    <row r="659">
      <c r="AK659" s="1"/>
      <c r="AQ659" s="1"/>
      <c r="AW659" s="1"/>
      <c r="BC659" s="1"/>
      <c r="BD659" s="1"/>
      <c r="BE659" s="1"/>
      <c r="BF659" s="1"/>
      <c r="BG659" s="1"/>
      <c r="BH659" s="1"/>
      <c r="BI659" s="1"/>
      <c r="BO659" s="1"/>
      <c r="BP659" s="1"/>
      <c r="BQ659" s="1"/>
      <c r="BR659" s="1"/>
      <c r="BS659" s="1"/>
      <c r="BT659" s="1"/>
      <c r="BU659" s="4"/>
    </row>
    <row r="660">
      <c r="AK660" s="1"/>
      <c r="AQ660" s="1"/>
      <c r="AW660" s="1"/>
      <c r="BC660" s="1"/>
      <c r="BD660" s="1"/>
      <c r="BE660" s="1"/>
      <c r="BF660" s="1"/>
      <c r="BG660" s="1"/>
      <c r="BH660" s="1"/>
      <c r="BI660" s="1"/>
      <c r="BO660" s="1"/>
      <c r="BP660" s="1"/>
      <c r="BQ660" s="1"/>
      <c r="BR660" s="1"/>
      <c r="BS660" s="1"/>
      <c r="BT660" s="1"/>
      <c r="BU660" s="4"/>
    </row>
    <row r="661">
      <c r="AK661" s="1"/>
      <c r="AQ661" s="1"/>
      <c r="AW661" s="1"/>
      <c r="BC661" s="1"/>
      <c r="BD661" s="1"/>
      <c r="BE661" s="1"/>
      <c r="BF661" s="1"/>
      <c r="BG661" s="1"/>
      <c r="BH661" s="1"/>
      <c r="BI661" s="1"/>
      <c r="BO661" s="1"/>
      <c r="BP661" s="1"/>
      <c r="BQ661" s="1"/>
      <c r="BR661" s="1"/>
      <c r="BS661" s="1"/>
      <c r="BT661" s="1"/>
      <c r="BU661" s="4"/>
    </row>
    <row r="662">
      <c r="AK662" s="1"/>
      <c r="AQ662" s="1"/>
      <c r="AW662" s="1"/>
      <c r="BC662" s="1"/>
      <c r="BD662" s="1"/>
      <c r="BE662" s="1"/>
      <c r="BF662" s="1"/>
      <c r="BG662" s="1"/>
      <c r="BH662" s="1"/>
      <c r="BI662" s="1"/>
      <c r="BO662" s="1"/>
      <c r="BP662" s="1"/>
      <c r="BQ662" s="1"/>
      <c r="BR662" s="1"/>
      <c r="BS662" s="1"/>
      <c r="BT662" s="1"/>
      <c r="BU662" s="4"/>
    </row>
    <row r="663">
      <c r="AK663" s="1"/>
      <c r="AQ663" s="1"/>
      <c r="AW663" s="1"/>
      <c r="BC663" s="1"/>
      <c r="BD663" s="1"/>
      <c r="BE663" s="1"/>
      <c r="BF663" s="1"/>
      <c r="BG663" s="1"/>
      <c r="BH663" s="1"/>
      <c r="BI663" s="1"/>
      <c r="BO663" s="1"/>
      <c r="BP663" s="1"/>
      <c r="BQ663" s="1"/>
      <c r="BR663" s="1"/>
      <c r="BS663" s="1"/>
      <c r="BT663" s="1"/>
      <c r="BU663" s="4"/>
    </row>
    <row r="664">
      <c r="AK664" s="1"/>
      <c r="AQ664" s="1"/>
      <c r="AW664" s="1"/>
      <c r="BC664" s="1"/>
      <c r="BD664" s="1"/>
      <c r="BE664" s="1"/>
      <c r="BF664" s="1"/>
      <c r="BG664" s="1"/>
      <c r="BH664" s="1"/>
      <c r="BI664" s="1"/>
      <c r="BO664" s="1"/>
      <c r="BP664" s="1"/>
      <c r="BQ664" s="1"/>
      <c r="BR664" s="1"/>
      <c r="BS664" s="1"/>
      <c r="BT664" s="1"/>
      <c r="BU664" s="4"/>
    </row>
    <row r="665">
      <c r="AK665" s="1"/>
      <c r="AQ665" s="1"/>
      <c r="AW665" s="1"/>
      <c r="BC665" s="1"/>
      <c r="BD665" s="1"/>
      <c r="BE665" s="1"/>
      <c r="BF665" s="1"/>
      <c r="BG665" s="1"/>
      <c r="BH665" s="1"/>
      <c r="BI665" s="1"/>
      <c r="BO665" s="1"/>
      <c r="BP665" s="1"/>
      <c r="BQ665" s="1"/>
      <c r="BR665" s="1"/>
      <c r="BS665" s="1"/>
      <c r="BT665" s="1"/>
      <c r="BU665" s="4"/>
    </row>
    <row r="666">
      <c r="AK666" s="1"/>
      <c r="AQ666" s="1"/>
      <c r="AW666" s="1"/>
      <c r="BC666" s="1"/>
      <c r="BD666" s="1"/>
      <c r="BE666" s="1"/>
      <c r="BF666" s="1"/>
      <c r="BG666" s="1"/>
      <c r="BH666" s="1"/>
      <c r="BI666" s="1"/>
      <c r="BO666" s="1"/>
      <c r="BP666" s="1"/>
      <c r="BQ666" s="1"/>
      <c r="BR666" s="1"/>
      <c r="BS666" s="1"/>
      <c r="BT666" s="1"/>
      <c r="BU666" s="4"/>
    </row>
    <row r="667">
      <c r="AK667" s="1"/>
      <c r="AQ667" s="1"/>
      <c r="AW667" s="1"/>
      <c r="BC667" s="1"/>
      <c r="BD667" s="1"/>
      <c r="BE667" s="1"/>
      <c r="BF667" s="1"/>
      <c r="BG667" s="1"/>
      <c r="BH667" s="1"/>
      <c r="BI667" s="1"/>
      <c r="BO667" s="1"/>
      <c r="BP667" s="1"/>
      <c r="BQ667" s="1"/>
      <c r="BR667" s="1"/>
      <c r="BS667" s="1"/>
      <c r="BT667" s="1"/>
      <c r="BU667" s="4"/>
    </row>
    <row r="668">
      <c r="AK668" s="1"/>
      <c r="AQ668" s="1"/>
      <c r="AW668" s="1"/>
      <c r="BC668" s="1"/>
      <c r="BD668" s="1"/>
      <c r="BE668" s="1"/>
      <c r="BF668" s="1"/>
      <c r="BG668" s="1"/>
      <c r="BH668" s="1"/>
      <c r="BI668" s="1"/>
      <c r="BO668" s="1"/>
      <c r="BP668" s="1"/>
      <c r="BQ668" s="1"/>
      <c r="BR668" s="1"/>
      <c r="BS668" s="1"/>
      <c r="BT668" s="1"/>
      <c r="BU668" s="4"/>
    </row>
    <row r="669">
      <c r="AK669" s="1"/>
      <c r="AQ669" s="1"/>
      <c r="AW669" s="1"/>
      <c r="BC669" s="1"/>
      <c r="BD669" s="1"/>
      <c r="BE669" s="1"/>
      <c r="BF669" s="1"/>
      <c r="BG669" s="1"/>
      <c r="BH669" s="1"/>
      <c r="BI669" s="1"/>
      <c r="BO669" s="1"/>
      <c r="BP669" s="1"/>
      <c r="BQ669" s="1"/>
      <c r="BR669" s="1"/>
      <c r="BS669" s="1"/>
      <c r="BT669" s="1"/>
      <c r="BU669" s="4"/>
    </row>
    <row r="670">
      <c r="AK670" s="1"/>
      <c r="AQ670" s="1"/>
      <c r="AW670" s="1"/>
      <c r="BC670" s="1"/>
      <c r="BD670" s="1"/>
      <c r="BE670" s="1"/>
      <c r="BF670" s="1"/>
      <c r="BG670" s="1"/>
      <c r="BH670" s="1"/>
      <c r="BI670" s="1"/>
      <c r="BO670" s="1"/>
      <c r="BP670" s="1"/>
      <c r="BQ670" s="1"/>
      <c r="BR670" s="1"/>
      <c r="BS670" s="1"/>
      <c r="BT670" s="1"/>
      <c r="BU670" s="4"/>
    </row>
    <row r="671">
      <c r="AK671" s="1"/>
      <c r="AQ671" s="1"/>
      <c r="AW671" s="1"/>
      <c r="BC671" s="1"/>
      <c r="BD671" s="1"/>
      <c r="BE671" s="1"/>
      <c r="BF671" s="1"/>
      <c r="BG671" s="1"/>
      <c r="BH671" s="1"/>
      <c r="BI671" s="1"/>
      <c r="BO671" s="1"/>
      <c r="BP671" s="1"/>
      <c r="BQ671" s="1"/>
      <c r="BR671" s="1"/>
      <c r="BS671" s="1"/>
      <c r="BT671" s="1"/>
      <c r="BU671" s="4"/>
    </row>
    <row r="672">
      <c r="AK672" s="1"/>
      <c r="AQ672" s="1"/>
      <c r="AW672" s="1"/>
      <c r="BC672" s="1"/>
      <c r="BD672" s="1"/>
      <c r="BE672" s="1"/>
      <c r="BF672" s="1"/>
      <c r="BG672" s="1"/>
      <c r="BH672" s="1"/>
      <c r="BI672" s="1"/>
      <c r="BO672" s="1"/>
      <c r="BP672" s="1"/>
      <c r="BQ672" s="1"/>
      <c r="BR672" s="1"/>
      <c r="BS672" s="1"/>
      <c r="BT672" s="1"/>
      <c r="BU672" s="4"/>
    </row>
    <row r="673">
      <c r="AK673" s="1"/>
      <c r="AQ673" s="1"/>
      <c r="AW673" s="1"/>
      <c r="BC673" s="1"/>
      <c r="BD673" s="1"/>
      <c r="BE673" s="1"/>
      <c r="BF673" s="1"/>
      <c r="BG673" s="1"/>
      <c r="BH673" s="1"/>
      <c r="BI673" s="1"/>
      <c r="BO673" s="1"/>
      <c r="BP673" s="1"/>
      <c r="BQ673" s="1"/>
      <c r="BR673" s="1"/>
      <c r="BS673" s="1"/>
      <c r="BT673" s="1"/>
      <c r="BU673" s="4"/>
    </row>
    <row r="674">
      <c r="AK674" s="1"/>
      <c r="AQ674" s="1"/>
      <c r="AW674" s="1"/>
      <c r="BC674" s="1"/>
      <c r="BD674" s="1"/>
      <c r="BE674" s="1"/>
      <c r="BF674" s="1"/>
      <c r="BG674" s="1"/>
      <c r="BH674" s="1"/>
      <c r="BI674" s="1"/>
      <c r="BO674" s="1"/>
      <c r="BP674" s="1"/>
      <c r="BQ674" s="1"/>
      <c r="BR674" s="1"/>
      <c r="BS674" s="1"/>
      <c r="BT674" s="1"/>
      <c r="BU674" s="4"/>
    </row>
    <row r="675">
      <c r="AK675" s="1"/>
      <c r="AQ675" s="1"/>
      <c r="AW675" s="1"/>
      <c r="BC675" s="1"/>
      <c r="BD675" s="1"/>
      <c r="BE675" s="1"/>
      <c r="BF675" s="1"/>
      <c r="BG675" s="1"/>
      <c r="BH675" s="1"/>
      <c r="BI675" s="1"/>
      <c r="BO675" s="1"/>
      <c r="BP675" s="1"/>
      <c r="BQ675" s="1"/>
      <c r="BR675" s="1"/>
      <c r="BS675" s="1"/>
      <c r="BT675" s="1"/>
      <c r="BU675" s="4"/>
    </row>
    <row r="676">
      <c r="AK676" s="1"/>
      <c r="AQ676" s="1"/>
      <c r="AW676" s="1"/>
      <c r="BC676" s="1"/>
      <c r="BD676" s="1"/>
      <c r="BE676" s="1"/>
      <c r="BF676" s="1"/>
      <c r="BG676" s="1"/>
      <c r="BH676" s="1"/>
      <c r="BI676" s="1"/>
      <c r="BO676" s="1"/>
      <c r="BP676" s="1"/>
      <c r="BQ676" s="1"/>
      <c r="BR676" s="1"/>
      <c r="BS676" s="1"/>
      <c r="BT676" s="1"/>
      <c r="BU676" s="4"/>
    </row>
    <row r="677">
      <c r="AK677" s="1"/>
      <c r="AQ677" s="1"/>
      <c r="AW677" s="1"/>
      <c r="BC677" s="1"/>
      <c r="BD677" s="1"/>
      <c r="BE677" s="1"/>
      <c r="BF677" s="1"/>
      <c r="BG677" s="1"/>
      <c r="BH677" s="1"/>
      <c r="BI677" s="1"/>
      <c r="BO677" s="1"/>
      <c r="BP677" s="1"/>
      <c r="BQ677" s="1"/>
      <c r="BR677" s="1"/>
      <c r="BS677" s="1"/>
      <c r="BT677" s="1"/>
      <c r="BU677" s="4"/>
    </row>
    <row r="678">
      <c r="AK678" s="1"/>
      <c r="AQ678" s="1"/>
      <c r="AW678" s="1"/>
      <c r="BC678" s="1"/>
      <c r="BD678" s="1"/>
      <c r="BE678" s="1"/>
      <c r="BF678" s="1"/>
      <c r="BG678" s="1"/>
      <c r="BH678" s="1"/>
      <c r="BI678" s="1"/>
      <c r="BO678" s="1"/>
      <c r="BP678" s="1"/>
      <c r="BQ678" s="1"/>
      <c r="BR678" s="1"/>
      <c r="BS678" s="1"/>
      <c r="BT678" s="1"/>
      <c r="BU678" s="4"/>
    </row>
    <row r="679">
      <c r="AK679" s="1"/>
      <c r="AQ679" s="1"/>
      <c r="AW679" s="1"/>
      <c r="BC679" s="1"/>
      <c r="BD679" s="1"/>
      <c r="BE679" s="1"/>
      <c r="BF679" s="1"/>
      <c r="BG679" s="1"/>
      <c r="BH679" s="1"/>
      <c r="BI679" s="1"/>
      <c r="BO679" s="1"/>
      <c r="BP679" s="1"/>
      <c r="BQ679" s="1"/>
      <c r="BR679" s="1"/>
      <c r="BS679" s="1"/>
      <c r="BT679" s="1"/>
      <c r="BU679" s="4"/>
    </row>
    <row r="680">
      <c r="AK680" s="1"/>
      <c r="AQ680" s="1"/>
      <c r="AW680" s="1"/>
      <c r="BC680" s="1"/>
      <c r="BD680" s="1"/>
      <c r="BE680" s="1"/>
      <c r="BF680" s="1"/>
      <c r="BG680" s="1"/>
      <c r="BH680" s="1"/>
      <c r="BI680" s="1"/>
      <c r="BO680" s="1"/>
      <c r="BP680" s="1"/>
      <c r="BQ680" s="1"/>
      <c r="BR680" s="1"/>
      <c r="BS680" s="1"/>
      <c r="BT680" s="1"/>
      <c r="BU680" s="4"/>
    </row>
    <row r="681">
      <c r="AK681" s="1"/>
      <c r="AQ681" s="1"/>
      <c r="AW681" s="1"/>
      <c r="BC681" s="1"/>
      <c r="BD681" s="1"/>
      <c r="BE681" s="1"/>
      <c r="BF681" s="1"/>
      <c r="BG681" s="1"/>
      <c r="BH681" s="1"/>
      <c r="BI681" s="1"/>
      <c r="BO681" s="1"/>
      <c r="BP681" s="1"/>
      <c r="BQ681" s="1"/>
      <c r="BR681" s="1"/>
      <c r="BS681" s="1"/>
      <c r="BT681" s="1"/>
      <c r="BU681" s="4"/>
    </row>
    <row r="682">
      <c r="AK682" s="1"/>
      <c r="AQ682" s="1"/>
      <c r="AW682" s="1"/>
      <c r="BC682" s="1"/>
      <c r="BD682" s="1"/>
      <c r="BE682" s="1"/>
      <c r="BF682" s="1"/>
      <c r="BG682" s="1"/>
      <c r="BH682" s="1"/>
      <c r="BI682" s="1"/>
      <c r="BO682" s="1"/>
      <c r="BP682" s="1"/>
      <c r="BQ682" s="1"/>
      <c r="BR682" s="1"/>
      <c r="BS682" s="1"/>
      <c r="BT682" s="1"/>
      <c r="BU682" s="4"/>
    </row>
    <row r="683">
      <c r="AK683" s="1"/>
      <c r="AQ683" s="1"/>
      <c r="AW683" s="1"/>
      <c r="BC683" s="1"/>
      <c r="BD683" s="1"/>
      <c r="BE683" s="1"/>
      <c r="BF683" s="1"/>
      <c r="BG683" s="1"/>
      <c r="BH683" s="1"/>
      <c r="BI683" s="1"/>
      <c r="BO683" s="1"/>
      <c r="BP683" s="1"/>
      <c r="BQ683" s="1"/>
      <c r="BR683" s="1"/>
      <c r="BS683" s="1"/>
      <c r="BT683" s="1"/>
      <c r="BU683" s="4"/>
    </row>
    <row r="684">
      <c r="AK684" s="1"/>
      <c r="AQ684" s="1"/>
      <c r="AW684" s="1"/>
      <c r="BC684" s="1"/>
      <c r="BD684" s="1"/>
      <c r="BE684" s="1"/>
      <c r="BF684" s="1"/>
      <c r="BG684" s="1"/>
      <c r="BH684" s="1"/>
      <c r="BI684" s="1"/>
      <c r="BO684" s="1"/>
      <c r="BP684" s="1"/>
      <c r="BQ684" s="1"/>
      <c r="BR684" s="1"/>
      <c r="BS684" s="1"/>
      <c r="BT684" s="1"/>
      <c r="BU684" s="4"/>
    </row>
    <row r="685">
      <c r="AK685" s="1"/>
      <c r="AQ685" s="1"/>
      <c r="AW685" s="1"/>
      <c r="BC685" s="1"/>
      <c r="BD685" s="1"/>
      <c r="BE685" s="1"/>
      <c r="BF685" s="1"/>
      <c r="BG685" s="1"/>
      <c r="BH685" s="1"/>
      <c r="BI685" s="1"/>
      <c r="BO685" s="1"/>
      <c r="BP685" s="1"/>
      <c r="BQ685" s="1"/>
      <c r="BR685" s="1"/>
      <c r="BS685" s="1"/>
      <c r="BT685" s="1"/>
      <c r="BU685" s="4"/>
    </row>
    <row r="686">
      <c r="AK686" s="1"/>
      <c r="AQ686" s="1"/>
      <c r="AW686" s="1"/>
      <c r="BC686" s="1"/>
      <c r="BD686" s="1"/>
      <c r="BE686" s="1"/>
      <c r="BF686" s="1"/>
      <c r="BG686" s="1"/>
      <c r="BH686" s="1"/>
      <c r="BI686" s="1"/>
      <c r="BO686" s="1"/>
      <c r="BP686" s="1"/>
      <c r="BQ686" s="1"/>
      <c r="BR686" s="1"/>
      <c r="BS686" s="1"/>
      <c r="BT686" s="1"/>
      <c r="BU686" s="4"/>
    </row>
    <row r="687">
      <c r="AK687" s="1"/>
      <c r="AQ687" s="1"/>
      <c r="AW687" s="1"/>
      <c r="BC687" s="1"/>
      <c r="BD687" s="1"/>
      <c r="BE687" s="1"/>
      <c r="BF687" s="1"/>
      <c r="BG687" s="1"/>
      <c r="BH687" s="1"/>
      <c r="BI687" s="1"/>
      <c r="BO687" s="1"/>
      <c r="BP687" s="1"/>
      <c r="BQ687" s="1"/>
      <c r="BR687" s="1"/>
      <c r="BS687" s="1"/>
      <c r="BT687" s="1"/>
      <c r="BU687" s="4"/>
    </row>
    <row r="688">
      <c r="AK688" s="1"/>
      <c r="AQ688" s="1"/>
      <c r="AW688" s="1"/>
      <c r="BC688" s="1"/>
      <c r="BD688" s="1"/>
      <c r="BE688" s="1"/>
      <c r="BF688" s="1"/>
      <c r="BG688" s="1"/>
      <c r="BH688" s="1"/>
      <c r="BI688" s="1"/>
      <c r="BO688" s="1"/>
      <c r="BP688" s="1"/>
      <c r="BQ688" s="1"/>
      <c r="BR688" s="1"/>
      <c r="BS688" s="1"/>
      <c r="BT688" s="1"/>
      <c r="BU688" s="4"/>
    </row>
    <row r="689">
      <c r="AK689" s="1"/>
      <c r="AQ689" s="1"/>
      <c r="AW689" s="1"/>
      <c r="BC689" s="1"/>
      <c r="BD689" s="1"/>
      <c r="BE689" s="1"/>
      <c r="BF689" s="1"/>
      <c r="BG689" s="1"/>
      <c r="BH689" s="1"/>
      <c r="BI689" s="1"/>
      <c r="BO689" s="1"/>
      <c r="BP689" s="1"/>
      <c r="BQ689" s="1"/>
      <c r="BR689" s="1"/>
      <c r="BS689" s="1"/>
      <c r="BT689" s="1"/>
      <c r="BU689" s="4"/>
    </row>
    <row r="690">
      <c r="AK690" s="1"/>
      <c r="AQ690" s="1"/>
      <c r="AW690" s="1"/>
      <c r="BC690" s="1"/>
      <c r="BD690" s="1"/>
      <c r="BE690" s="1"/>
      <c r="BF690" s="1"/>
      <c r="BG690" s="1"/>
      <c r="BH690" s="1"/>
      <c r="BI690" s="1"/>
      <c r="BO690" s="1"/>
      <c r="BP690" s="1"/>
      <c r="BQ690" s="1"/>
      <c r="BR690" s="1"/>
      <c r="BS690" s="1"/>
      <c r="BT690" s="1"/>
      <c r="BU690" s="4"/>
    </row>
    <row r="691">
      <c r="AK691" s="1"/>
      <c r="AQ691" s="1"/>
      <c r="AW691" s="1"/>
      <c r="BC691" s="1"/>
      <c r="BD691" s="1"/>
      <c r="BE691" s="1"/>
      <c r="BF691" s="1"/>
      <c r="BG691" s="1"/>
      <c r="BH691" s="1"/>
      <c r="BI691" s="1"/>
      <c r="BO691" s="1"/>
      <c r="BP691" s="1"/>
      <c r="BQ691" s="1"/>
      <c r="BR691" s="1"/>
      <c r="BS691" s="1"/>
      <c r="BT691" s="1"/>
      <c r="BU691" s="4"/>
    </row>
    <row r="692">
      <c r="AK692" s="1"/>
      <c r="AQ692" s="1"/>
      <c r="AW692" s="1"/>
      <c r="BC692" s="1"/>
      <c r="BD692" s="1"/>
      <c r="BE692" s="1"/>
      <c r="BF692" s="1"/>
      <c r="BG692" s="1"/>
      <c r="BH692" s="1"/>
      <c r="BI692" s="1"/>
      <c r="BO692" s="1"/>
      <c r="BP692" s="1"/>
      <c r="BQ692" s="1"/>
      <c r="BR692" s="1"/>
      <c r="BS692" s="1"/>
      <c r="BT692" s="1"/>
      <c r="BU692" s="4"/>
    </row>
    <row r="693">
      <c r="AK693" s="1"/>
      <c r="AQ693" s="1"/>
      <c r="AW693" s="1"/>
      <c r="BC693" s="1"/>
      <c r="BD693" s="1"/>
      <c r="BE693" s="1"/>
      <c r="BF693" s="1"/>
      <c r="BG693" s="1"/>
      <c r="BH693" s="1"/>
      <c r="BI693" s="1"/>
      <c r="BO693" s="1"/>
      <c r="BP693" s="1"/>
      <c r="BQ693" s="1"/>
      <c r="BR693" s="1"/>
      <c r="BS693" s="1"/>
      <c r="BT693" s="1"/>
      <c r="BU693" s="4"/>
    </row>
    <row r="694">
      <c r="AK694" s="1"/>
      <c r="AQ694" s="1"/>
      <c r="AW694" s="1"/>
      <c r="BC694" s="1"/>
      <c r="BD694" s="1"/>
      <c r="BE694" s="1"/>
      <c r="BF694" s="1"/>
      <c r="BG694" s="1"/>
      <c r="BH694" s="1"/>
      <c r="BI694" s="1"/>
      <c r="BO694" s="1"/>
      <c r="BP694" s="1"/>
      <c r="BQ694" s="1"/>
      <c r="BR694" s="1"/>
      <c r="BS694" s="1"/>
      <c r="BT694" s="1"/>
      <c r="BU694" s="4"/>
    </row>
    <row r="695">
      <c r="AK695" s="1"/>
      <c r="AQ695" s="1"/>
      <c r="AW695" s="1"/>
      <c r="BC695" s="1"/>
      <c r="BD695" s="1"/>
      <c r="BE695" s="1"/>
      <c r="BF695" s="1"/>
      <c r="BG695" s="1"/>
      <c r="BH695" s="1"/>
      <c r="BI695" s="1"/>
      <c r="BO695" s="1"/>
      <c r="BP695" s="1"/>
      <c r="BQ695" s="1"/>
      <c r="BR695" s="1"/>
      <c r="BS695" s="1"/>
      <c r="BT695" s="1"/>
      <c r="BU695" s="4"/>
    </row>
    <row r="696">
      <c r="AK696" s="1"/>
      <c r="AQ696" s="1"/>
      <c r="AW696" s="1"/>
      <c r="BC696" s="1"/>
      <c r="BD696" s="1"/>
      <c r="BE696" s="1"/>
      <c r="BF696" s="1"/>
      <c r="BG696" s="1"/>
      <c r="BH696" s="1"/>
      <c r="BI696" s="1"/>
      <c r="BO696" s="1"/>
      <c r="BP696" s="1"/>
      <c r="BQ696" s="1"/>
      <c r="BR696" s="1"/>
      <c r="BS696" s="1"/>
      <c r="BT696" s="1"/>
      <c r="BU696" s="4"/>
    </row>
    <row r="697">
      <c r="AK697" s="1"/>
      <c r="AQ697" s="1"/>
      <c r="AW697" s="1"/>
      <c r="BC697" s="1"/>
      <c r="BD697" s="1"/>
      <c r="BE697" s="1"/>
      <c r="BF697" s="1"/>
      <c r="BG697" s="1"/>
      <c r="BH697" s="1"/>
      <c r="BI697" s="1"/>
      <c r="BO697" s="1"/>
      <c r="BP697" s="1"/>
      <c r="BQ697" s="1"/>
      <c r="BR697" s="1"/>
      <c r="BS697" s="1"/>
      <c r="BT697" s="1"/>
      <c r="BU697" s="4"/>
    </row>
    <row r="698">
      <c r="AK698" s="1"/>
      <c r="AQ698" s="1"/>
      <c r="AW698" s="1"/>
      <c r="BC698" s="1"/>
      <c r="BD698" s="1"/>
      <c r="BE698" s="1"/>
      <c r="BF698" s="1"/>
      <c r="BG698" s="1"/>
      <c r="BH698" s="1"/>
      <c r="BI698" s="1"/>
      <c r="BO698" s="1"/>
      <c r="BP698" s="1"/>
      <c r="BQ698" s="1"/>
      <c r="BR698" s="1"/>
      <c r="BS698" s="1"/>
      <c r="BT698" s="1"/>
      <c r="BU698" s="4"/>
    </row>
    <row r="699">
      <c r="AK699" s="1"/>
      <c r="AQ699" s="1"/>
      <c r="AW699" s="1"/>
      <c r="BC699" s="1"/>
      <c r="BD699" s="1"/>
      <c r="BE699" s="1"/>
      <c r="BF699" s="1"/>
      <c r="BG699" s="1"/>
      <c r="BH699" s="1"/>
      <c r="BI699" s="1"/>
      <c r="BO699" s="1"/>
      <c r="BP699" s="1"/>
      <c r="BQ699" s="1"/>
      <c r="BR699" s="1"/>
      <c r="BS699" s="1"/>
      <c r="BT699" s="1"/>
      <c r="BU699" s="4"/>
    </row>
    <row r="700">
      <c r="AK700" s="1"/>
      <c r="AQ700" s="1"/>
      <c r="AW700" s="1"/>
      <c r="BC700" s="1"/>
      <c r="BD700" s="1"/>
      <c r="BE700" s="1"/>
      <c r="BF700" s="1"/>
      <c r="BG700" s="1"/>
      <c r="BH700" s="1"/>
      <c r="BI700" s="1"/>
      <c r="BO700" s="1"/>
      <c r="BP700" s="1"/>
      <c r="BQ700" s="1"/>
      <c r="BR700" s="1"/>
      <c r="BS700" s="1"/>
      <c r="BT700" s="1"/>
      <c r="BU700" s="4"/>
    </row>
    <row r="701">
      <c r="AK701" s="1"/>
      <c r="AQ701" s="1"/>
      <c r="AW701" s="1"/>
      <c r="BC701" s="1"/>
      <c r="BD701" s="1"/>
      <c r="BE701" s="1"/>
      <c r="BF701" s="1"/>
      <c r="BG701" s="1"/>
      <c r="BH701" s="1"/>
      <c r="BI701" s="1"/>
      <c r="BO701" s="1"/>
      <c r="BP701" s="1"/>
      <c r="BQ701" s="1"/>
      <c r="BR701" s="1"/>
      <c r="BS701" s="1"/>
      <c r="BT701" s="1"/>
      <c r="BU701" s="4"/>
    </row>
    <row r="702">
      <c r="AK702" s="1"/>
      <c r="AQ702" s="1"/>
      <c r="AW702" s="1"/>
      <c r="BC702" s="1"/>
      <c r="BD702" s="1"/>
      <c r="BE702" s="1"/>
      <c r="BF702" s="1"/>
      <c r="BG702" s="1"/>
      <c r="BH702" s="1"/>
      <c r="BI702" s="1"/>
      <c r="BO702" s="1"/>
      <c r="BP702" s="1"/>
      <c r="BQ702" s="1"/>
      <c r="BR702" s="1"/>
      <c r="BS702" s="1"/>
      <c r="BT702" s="1"/>
      <c r="BU702" s="4"/>
    </row>
    <row r="703">
      <c r="AK703" s="1"/>
      <c r="AQ703" s="1"/>
      <c r="AW703" s="1"/>
      <c r="BC703" s="1"/>
      <c r="BD703" s="1"/>
      <c r="BE703" s="1"/>
      <c r="BF703" s="1"/>
      <c r="BG703" s="1"/>
      <c r="BH703" s="1"/>
      <c r="BI703" s="1"/>
      <c r="BO703" s="1"/>
      <c r="BP703" s="1"/>
      <c r="BQ703" s="1"/>
      <c r="BR703" s="1"/>
      <c r="BS703" s="1"/>
      <c r="BT703" s="1"/>
      <c r="BU703" s="4"/>
    </row>
    <row r="704">
      <c r="AK704" s="1"/>
      <c r="AQ704" s="1"/>
      <c r="AW704" s="1"/>
      <c r="BC704" s="1"/>
      <c r="BD704" s="1"/>
      <c r="BE704" s="1"/>
      <c r="BF704" s="1"/>
      <c r="BG704" s="1"/>
      <c r="BH704" s="1"/>
      <c r="BI704" s="1"/>
      <c r="BO704" s="1"/>
      <c r="BP704" s="1"/>
      <c r="BQ704" s="1"/>
      <c r="BR704" s="1"/>
      <c r="BS704" s="1"/>
      <c r="BT704" s="1"/>
      <c r="BU704" s="4"/>
    </row>
    <row r="705">
      <c r="AK705" s="1"/>
      <c r="AQ705" s="1"/>
      <c r="AW705" s="1"/>
      <c r="BC705" s="1"/>
      <c r="BD705" s="1"/>
      <c r="BE705" s="1"/>
      <c r="BF705" s="1"/>
      <c r="BG705" s="1"/>
      <c r="BH705" s="1"/>
      <c r="BI705" s="1"/>
      <c r="BO705" s="1"/>
      <c r="BP705" s="1"/>
      <c r="BQ705" s="1"/>
      <c r="BR705" s="1"/>
      <c r="BS705" s="1"/>
      <c r="BT705" s="1"/>
      <c r="BU705" s="4"/>
    </row>
    <row r="706">
      <c r="AK706" s="1"/>
      <c r="AQ706" s="1"/>
      <c r="AW706" s="1"/>
      <c r="BC706" s="1"/>
      <c r="BD706" s="1"/>
      <c r="BE706" s="1"/>
      <c r="BF706" s="1"/>
      <c r="BG706" s="1"/>
      <c r="BH706" s="1"/>
      <c r="BI706" s="1"/>
      <c r="BO706" s="1"/>
      <c r="BP706" s="1"/>
      <c r="BQ706" s="1"/>
      <c r="BR706" s="1"/>
      <c r="BS706" s="1"/>
      <c r="BT706" s="1"/>
      <c r="BU706" s="4"/>
    </row>
    <row r="707">
      <c r="AK707" s="1"/>
      <c r="AQ707" s="1"/>
      <c r="AW707" s="1"/>
      <c r="BC707" s="1"/>
      <c r="BD707" s="1"/>
      <c r="BE707" s="1"/>
      <c r="BF707" s="1"/>
      <c r="BG707" s="1"/>
      <c r="BH707" s="1"/>
      <c r="BI707" s="1"/>
      <c r="BO707" s="1"/>
      <c r="BP707" s="1"/>
      <c r="BQ707" s="1"/>
      <c r="BR707" s="1"/>
      <c r="BS707" s="1"/>
      <c r="BT707" s="1"/>
      <c r="BU707" s="4"/>
    </row>
    <row r="708">
      <c r="AK708" s="1"/>
      <c r="AQ708" s="1"/>
      <c r="AW708" s="1"/>
      <c r="BC708" s="1"/>
      <c r="BD708" s="1"/>
      <c r="BE708" s="1"/>
      <c r="BF708" s="1"/>
      <c r="BG708" s="1"/>
      <c r="BH708" s="1"/>
      <c r="BI708" s="1"/>
      <c r="BO708" s="1"/>
      <c r="BP708" s="1"/>
      <c r="BQ708" s="1"/>
      <c r="BR708" s="1"/>
      <c r="BS708" s="1"/>
      <c r="BT708" s="1"/>
      <c r="BU708" s="4"/>
    </row>
    <row r="709">
      <c r="AK709" s="1"/>
      <c r="AQ709" s="1"/>
      <c r="AW709" s="1"/>
      <c r="BC709" s="1"/>
      <c r="BD709" s="1"/>
      <c r="BE709" s="1"/>
      <c r="BF709" s="1"/>
      <c r="BG709" s="1"/>
      <c r="BH709" s="1"/>
      <c r="BI709" s="1"/>
      <c r="BO709" s="1"/>
      <c r="BP709" s="1"/>
      <c r="BQ709" s="1"/>
      <c r="BR709" s="1"/>
      <c r="BS709" s="1"/>
      <c r="BT709" s="1"/>
      <c r="BU709" s="4"/>
    </row>
    <row r="710">
      <c r="AK710" s="1"/>
      <c r="AQ710" s="1"/>
      <c r="AW710" s="1"/>
      <c r="BC710" s="1"/>
      <c r="BD710" s="1"/>
      <c r="BE710" s="1"/>
      <c r="BF710" s="1"/>
      <c r="BG710" s="1"/>
      <c r="BH710" s="1"/>
      <c r="BI710" s="1"/>
      <c r="BO710" s="1"/>
      <c r="BP710" s="1"/>
      <c r="BQ710" s="1"/>
      <c r="BR710" s="1"/>
      <c r="BS710" s="1"/>
      <c r="BT710" s="1"/>
      <c r="BU710" s="4"/>
    </row>
    <row r="711">
      <c r="AK711" s="1"/>
      <c r="AQ711" s="1"/>
      <c r="AW711" s="1"/>
      <c r="BC711" s="1"/>
      <c r="BD711" s="1"/>
      <c r="BE711" s="1"/>
      <c r="BF711" s="1"/>
      <c r="BG711" s="1"/>
      <c r="BH711" s="1"/>
      <c r="BI711" s="1"/>
      <c r="BO711" s="1"/>
      <c r="BP711" s="1"/>
      <c r="BQ711" s="1"/>
      <c r="BR711" s="1"/>
      <c r="BS711" s="1"/>
      <c r="BT711" s="1"/>
      <c r="BU711" s="4"/>
    </row>
    <row r="712">
      <c r="AK712" s="1"/>
      <c r="AQ712" s="1"/>
      <c r="AW712" s="1"/>
      <c r="BC712" s="1"/>
      <c r="BD712" s="1"/>
      <c r="BE712" s="1"/>
      <c r="BF712" s="1"/>
      <c r="BG712" s="1"/>
      <c r="BH712" s="1"/>
      <c r="BI712" s="1"/>
      <c r="BO712" s="1"/>
      <c r="BP712" s="1"/>
      <c r="BQ712" s="1"/>
      <c r="BR712" s="1"/>
      <c r="BS712" s="1"/>
      <c r="BT712" s="1"/>
      <c r="BU712" s="4"/>
    </row>
    <row r="713">
      <c r="AK713" s="1"/>
      <c r="AQ713" s="1"/>
      <c r="AW713" s="1"/>
      <c r="BC713" s="1"/>
      <c r="BD713" s="1"/>
      <c r="BE713" s="1"/>
      <c r="BF713" s="1"/>
      <c r="BG713" s="1"/>
      <c r="BH713" s="1"/>
      <c r="BI713" s="1"/>
      <c r="BO713" s="1"/>
      <c r="BP713" s="1"/>
      <c r="BQ713" s="1"/>
      <c r="BR713" s="1"/>
      <c r="BS713" s="1"/>
      <c r="BT713" s="1"/>
      <c r="BU713" s="4"/>
    </row>
    <row r="714">
      <c r="AK714" s="1"/>
      <c r="AQ714" s="1"/>
      <c r="AW714" s="1"/>
      <c r="BC714" s="1"/>
      <c r="BD714" s="1"/>
      <c r="BE714" s="1"/>
      <c r="BF714" s="1"/>
      <c r="BG714" s="1"/>
      <c r="BH714" s="1"/>
      <c r="BI714" s="1"/>
      <c r="BO714" s="1"/>
      <c r="BP714" s="1"/>
      <c r="BQ714" s="1"/>
      <c r="BR714" s="1"/>
      <c r="BS714" s="1"/>
      <c r="BT714" s="1"/>
      <c r="BU714" s="4"/>
    </row>
    <row r="715">
      <c r="AK715" s="1"/>
      <c r="AQ715" s="1"/>
      <c r="AW715" s="1"/>
      <c r="BC715" s="1"/>
      <c r="BD715" s="1"/>
      <c r="BE715" s="1"/>
      <c r="BF715" s="1"/>
      <c r="BG715" s="1"/>
      <c r="BH715" s="1"/>
      <c r="BI715" s="1"/>
      <c r="BO715" s="1"/>
      <c r="BP715" s="1"/>
      <c r="BQ715" s="1"/>
      <c r="BR715" s="1"/>
      <c r="BS715" s="1"/>
      <c r="BT715" s="1"/>
      <c r="BU715" s="4"/>
    </row>
    <row r="716">
      <c r="AK716" s="1"/>
      <c r="AQ716" s="1"/>
      <c r="AW716" s="1"/>
      <c r="BC716" s="1"/>
      <c r="BD716" s="1"/>
      <c r="BE716" s="1"/>
      <c r="BF716" s="1"/>
      <c r="BG716" s="1"/>
      <c r="BH716" s="1"/>
      <c r="BI716" s="1"/>
      <c r="BO716" s="1"/>
      <c r="BP716" s="1"/>
      <c r="BQ716" s="1"/>
      <c r="BR716" s="1"/>
      <c r="BS716" s="1"/>
      <c r="BT716" s="1"/>
      <c r="BU716" s="4"/>
    </row>
    <row r="717">
      <c r="AK717" s="1"/>
      <c r="AQ717" s="1"/>
      <c r="AW717" s="1"/>
      <c r="BC717" s="1"/>
      <c r="BD717" s="1"/>
      <c r="BE717" s="1"/>
      <c r="BF717" s="1"/>
      <c r="BG717" s="1"/>
      <c r="BH717" s="1"/>
      <c r="BI717" s="1"/>
      <c r="BO717" s="1"/>
      <c r="BP717" s="1"/>
      <c r="BQ717" s="1"/>
      <c r="BR717" s="1"/>
      <c r="BS717" s="1"/>
      <c r="BT717" s="1"/>
      <c r="BU717" s="4"/>
    </row>
    <row r="718">
      <c r="AK718" s="1"/>
      <c r="AQ718" s="1"/>
      <c r="AW718" s="1"/>
      <c r="BC718" s="1"/>
      <c r="BD718" s="1"/>
      <c r="BE718" s="1"/>
      <c r="BF718" s="1"/>
      <c r="BG718" s="1"/>
      <c r="BH718" s="1"/>
      <c r="BI718" s="1"/>
      <c r="BO718" s="1"/>
      <c r="BP718" s="1"/>
      <c r="BQ718" s="1"/>
      <c r="BR718" s="1"/>
      <c r="BS718" s="1"/>
      <c r="BT718" s="1"/>
      <c r="BU718" s="4"/>
    </row>
    <row r="719">
      <c r="AK719" s="1"/>
      <c r="AQ719" s="1"/>
      <c r="AW719" s="1"/>
      <c r="BC719" s="1"/>
      <c r="BD719" s="1"/>
      <c r="BE719" s="1"/>
      <c r="BF719" s="1"/>
      <c r="BG719" s="1"/>
      <c r="BH719" s="1"/>
      <c r="BI719" s="1"/>
      <c r="BO719" s="1"/>
      <c r="BP719" s="1"/>
      <c r="BQ719" s="1"/>
      <c r="BR719" s="1"/>
      <c r="BS719" s="1"/>
      <c r="BT719" s="1"/>
      <c r="BU719" s="4"/>
    </row>
    <row r="720">
      <c r="AK720" s="1"/>
      <c r="AQ720" s="1"/>
      <c r="AW720" s="1"/>
      <c r="BC720" s="1"/>
      <c r="BD720" s="1"/>
      <c r="BE720" s="1"/>
      <c r="BF720" s="1"/>
      <c r="BG720" s="1"/>
      <c r="BH720" s="1"/>
      <c r="BI720" s="1"/>
      <c r="BO720" s="1"/>
      <c r="BP720" s="1"/>
      <c r="BQ720" s="1"/>
      <c r="BR720" s="1"/>
      <c r="BS720" s="1"/>
      <c r="BT720" s="1"/>
      <c r="BU720" s="4"/>
    </row>
    <row r="721">
      <c r="AK721" s="1"/>
      <c r="AQ721" s="1"/>
      <c r="AW721" s="1"/>
      <c r="BC721" s="1"/>
      <c r="BD721" s="1"/>
      <c r="BE721" s="1"/>
      <c r="BF721" s="1"/>
      <c r="BG721" s="1"/>
      <c r="BH721" s="1"/>
      <c r="BI721" s="1"/>
      <c r="BO721" s="1"/>
      <c r="BP721" s="1"/>
      <c r="BQ721" s="1"/>
      <c r="BR721" s="1"/>
      <c r="BS721" s="1"/>
      <c r="BT721" s="1"/>
      <c r="BU721" s="4"/>
    </row>
    <row r="722">
      <c r="AK722" s="1"/>
      <c r="AQ722" s="1"/>
      <c r="AW722" s="1"/>
      <c r="BC722" s="1"/>
      <c r="BD722" s="1"/>
      <c r="BE722" s="1"/>
      <c r="BF722" s="1"/>
      <c r="BG722" s="1"/>
      <c r="BH722" s="1"/>
      <c r="BI722" s="1"/>
      <c r="BO722" s="1"/>
      <c r="BP722" s="1"/>
      <c r="BQ722" s="1"/>
      <c r="BR722" s="1"/>
      <c r="BS722" s="1"/>
      <c r="BT722" s="1"/>
      <c r="BU722" s="4"/>
    </row>
    <row r="723">
      <c r="AK723" s="1"/>
      <c r="AQ723" s="1"/>
      <c r="AW723" s="1"/>
      <c r="BC723" s="1"/>
      <c r="BD723" s="1"/>
      <c r="BE723" s="1"/>
      <c r="BF723" s="1"/>
      <c r="BG723" s="1"/>
      <c r="BH723" s="1"/>
      <c r="BI723" s="1"/>
      <c r="BO723" s="1"/>
      <c r="BP723" s="1"/>
      <c r="BQ723" s="1"/>
      <c r="BR723" s="1"/>
      <c r="BS723" s="1"/>
      <c r="BT723" s="1"/>
      <c r="BU723" s="4"/>
    </row>
    <row r="724">
      <c r="AK724" s="1"/>
      <c r="AQ724" s="1"/>
      <c r="AW724" s="1"/>
      <c r="BC724" s="1"/>
      <c r="BD724" s="1"/>
      <c r="BE724" s="1"/>
      <c r="BF724" s="1"/>
      <c r="BG724" s="1"/>
      <c r="BH724" s="1"/>
      <c r="BI724" s="1"/>
      <c r="BO724" s="1"/>
      <c r="BP724" s="1"/>
      <c r="BQ724" s="1"/>
      <c r="BR724" s="1"/>
      <c r="BS724" s="1"/>
      <c r="BT724" s="1"/>
      <c r="BU724" s="4"/>
    </row>
    <row r="725">
      <c r="AK725" s="1"/>
      <c r="AQ725" s="1"/>
      <c r="AW725" s="1"/>
      <c r="BC725" s="1"/>
      <c r="BD725" s="1"/>
      <c r="BE725" s="1"/>
      <c r="BF725" s="1"/>
      <c r="BG725" s="1"/>
      <c r="BH725" s="1"/>
      <c r="BI725" s="1"/>
      <c r="BO725" s="1"/>
      <c r="BP725" s="1"/>
      <c r="BQ725" s="1"/>
      <c r="BR725" s="1"/>
      <c r="BS725" s="1"/>
      <c r="BT725" s="1"/>
      <c r="BU725" s="4"/>
    </row>
    <row r="726">
      <c r="AK726" s="1"/>
      <c r="AQ726" s="1"/>
      <c r="AW726" s="1"/>
      <c r="BC726" s="1"/>
      <c r="BD726" s="1"/>
      <c r="BE726" s="1"/>
      <c r="BF726" s="1"/>
      <c r="BG726" s="1"/>
      <c r="BH726" s="1"/>
      <c r="BI726" s="1"/>
      <c r="BO726" s="1"/>
      <c r="BP726" s="1"/>
      <c r="BQ726" s="1"/>
      <c r="BR726" s="1"/>
      <c r="BS726" s="1"/>
      <c r="BT726" s="1"/>
      <c r="BU726" s="4"/>
    </row>
    <row r="727">
      <c r="AK727" s="1"/>
      <c r="AQ727" s="1"/>
      <c r="AW727" s="1"/>
      <c r="BC727" s="1"/>
      <c r="BD727" s="1"/>
      <c r="BE727" s="1"/>
      <c r="BF727" s="1"/>
      <c r="BG727" s="1"/>
      <c r="BH727" s="1"/>
      <c r="BI727" s="1"/>
      <c r="BO727" s="1"/>
      <c r="BP727" s="1"/>
      <c r="BQ727" s="1"/>
      <c r="BR727" s="1"/>
      <c r="BS727" s="1"/>
      <c r="BT727" s="1"/>
      <c r="BU727" s="4"/>
    </row>
    <row r="728">
      <c r="AK728" s="1"/>
      <c r="AQ728" s="1"/>
      <c r="AW728" s="1"/>
      <c r="BC728" s="1"/>
      <c r="BD728" s="1"/>
      <c r="BE728" s="1"/>
      <c r="BF728" s="1"/>
      <c r="BG728" s="1"/>
      <c r="BH728" s="1"/>
      <c r="BI728" s="1"/>
      <c r="BO728" s="1"/>
      <c r="BP728" s="1"/>
      <c r="BQ728" s="1"/>
      <c r="BR728" s="1"/>
      <c r="BS728" s="1"/>
      <c r="BT728" s="1"/>
      <c r="BU728" s="4"/>
    </row>
    <row r="729">
      <c r="AK729" s="1"/>
      <c r="AQ729" s="1"/>
      <c r="AW729" s="1"/>
      <c r="BC729" s="1"/>
      <c r="BD729" s="1"/>
      <c r="BE729" s="1"/>
      <c r="BF729" s="1"/>
      <c r="BG729" s="1"/>
      <c r="BH729" s="1"/>
      <c r="BI729" s="1"/>
      <c r="BO729" s="1"/>
      <c r="BP729" s="1"/>
      <c r="BQ729" s="1"/>
      <c r="BR729" s="1"/>
      <c r="BS729" s="1"/>
      <c r="BT729" s="1"/>
      <c r="BU729" s="4"/>
    </row>
    <row r="730">
      <c r="AK730" s="1"/>
      <c r="AQ730" s="1"/>
      <c r="AW730" s="1"/>
      <c r="BC730" s="1"/>
      <c r="BD730" s="1"/>
      <c r="BE730" s="1"/>
      <c r="BF730" s="1"/>
      <c r="BG730" s="1"/>
      <c r="BH730" s="1"/>
      <c r="BI730" s="1"/>
      <c r="BO730" s="1"/>
      <c r="BP730" s="1"/>
      <c r="BQ730" s="1"/>
      <c r="BR730" s="1"/>
      <c r="BS730" s="1"/>
      <c r="BT730" s="1"/>
      <c r="BU730" s="4"/>
    </row>
    <row r="731">
      <c r="AK731" s="1"/>
      <c r="AQ731" s="1"/>
      <c r="AW731" s="1"/>
      <c r="BC731" s="1"/>
      <c r="BD731" s="1"/>
      <c r="BE731" s="1"/>
      <c r="BF731" s="1"/>
      <c r="BG731" s="1"/>
      <c r="BH731" s="1"/>
      <c r="BI731" s="1"/>
      <c r="BO731" s="1"/>
      <c r="BP731" s="1"/>
      <c r="BQ731" s="1"/>
      <c r="BR731" s="1"/>
      <c r="BS731" s="1"/>
      <c r="BT731" s="1"/>
      <c r="BU731" s="4"/>
    </row>
    <row r="732">
      <c r="AK732" s="1"/>
      <c r="AQ732" s="1"/>
      <c r="AW732" s="1"/>
      <c r="BC732" s="1"/>
      <c r="BD732" s="1"/>
      <c r="BE732" s="1"/>
      <c r="BF732" s="1"/>
      <c r="BG732" s="1"/>
      <c r="BH732" s="1"/>
      <c r="BI732" s="1"/>
      <c r="BO732" s="1"/>
      <c r="BP732" s="1"/>
      <c r="BQ732" s="1"/>
      <c r="BR732" s="1"/>
      <c r="BS732" s="1"/>
      <c r="BT732" s="1"/>
      <c r="BU732" s="4"/>
    </row>
    <row r="733">
      <c r="AK733" s="1"/>
      <c r="AQ733" s="1"/>
      <c r="AW733" s="1"/>
      <c r="BC733" s="1"/>
      <c r="BD733" s="1"/>
      <c r="BE733" s="1"/>
      <c r="BF733" s="1"/>
      <c r="BG733" s="1"/>
      <c r="BH733" s="1"/>
      <c r="BI733" s="1"/>
      <c r="BO733" s="1"/>
      <c r="BP733" s="1"/>
      <c r="BQ733" s="1"/>
      <c r="BR733" s="1"/>
      <c r="BS733" s="1"/>
      <c r="BT733" s="1"/>
      <c r="BU733" s="4"/>
    </row>
    <row r="734">
      <c r="AK734" s="1"/>
      <c r="AQ734" s="1"/>
      <c r="AW734" s="1"/>
      <c r="BC734" s="1"/>
      <c r="BD734" s="1"/>
      <c r="BE734" s="1"/>
      <c r="BF734" s="1"/>
      <c r="BG734" s="1"/>
      <c r="BH734" s="1"/>
      <c r="BI734" s="1"/>
      <c r="BO734" s="1"/>
      <c r="BP734" s="1"/>
      <c r="BQ734" s="1"/>
      <c r="BR734" s="1"/>
      <c r="BS734" s="1"/>
      <c r="BT734" s="1"/>
      <c r="BU734" s="4"/>
    </row>
    <row r="735">
      <c r="AK735" s="1"/>
      <c r="AQ735" s="1"/>
      <c r="AW735" s="1"/>
      <c r="BC735" s="1"/>
      <c r="BD735" s="1"/>
      <c r="BE735" s="1"/>
      <c r="BF735" s="1"/>
      <c r="BG735" s="1"/>
      <c r="BH735" s="1"/>
      <c r="BI735" s="1"/>
      <c r="BO735" s="1"/>
      <c r="BP735" s="1"/>
      <c r="BQ735" s="1"/>
      <c r="BR735" s="1"/>
      <c r="BS735" s="1"/>
      <c r="BT735" s="1"/>
      <c r="BU735" s="4"/>
    </row>
    <row r="736">
      <c r="AK736" s="1"/>
      <c r="AQ736" s="1"/>
      <c r="AW736" s="1"/>
      <c r="BC736" s="1"/>
      <c r="BD736" s="1"/>
      <c r="BE736" s="1"/>
      <c r="BF736" s="1"/>
      <c r="BG736" s="1"/>
      <c r="BH736" s="1"/>
      <c r="BI736" s="1"/>
      <c r="BO736" s="1"/>
      <c r="BP736" s="1"/>
      <c r="BQ736" s="1"/>
      <c r="BR736" s="1"/>
      <c r="BS736" s="1"/>
      <c r="BT736" s="1"/>
      <c r="BU736" s="4"/>
    </row>
    <row r="737">
      <c r="AK737" s="1"/>
      <c r="AQ737" s="1"/>
      <c r="AW737" s="1"/>
      <c r="BC737" s="1"/>
      <c r="BD737" s="1"/>
      <c r="BE737" s="1"/>
      <c r="BF737" s="1"/>
      <c r="BG737" s="1"/>
      <c r="BH737" s="1"/>
      <c r="BI737" s="1"/>
      <c r="BO737" s="1"/>
      <c r="BP737" s="1"/>
      <c r="BQ737" s="1"/>
      <c r="BR737" s="1"/>
      <c r="BS737" s="1"/>
      <c r="BT737" s="1"/>
      <c r="BU737" s="4"/>
    </row>
    <row r="738">
      <c r="AK738" s="1"/>
      <c r="AQ738" s="1"/>
      <c r="AW738" s="1"/>
      <c r="BC738" s="1"/>
      <c r="BD738" s="1"/>
      <c r="BE738" s="1"/>
      <c r="BF738" s="1"/>
      <c r="BG738" s="1"/>
      <c r="BH738" s="1"/>
      <c r="BI738" s="1"/>
      <c r="BO738" s="1"/>
      <c r="BP738" s="1"/>
      <c r="BQ738" s="1"/>
      <c r="BR738" s="1"/>
      <c r="BS738" s="1"/>
      <c r="BT738" s="1"/>
      <c r="BU738" s="4"/>
    </row>
    <row r="739">
      <c r="AK739" s="1"/>
      <c r="AQ739" s="1"/>
      <c r="AW739" s="1"/>
      <c r="BC739" s="1"/>
      <c r="BD739" s="1"/>
      <c r="BE739" s="1"/>
      <c r="BF739" s="1"/>
      <c r="BG739" s="1"/>
      <c r="BH739" s="1"/>
      <c r="BI739" s="1"/>
      <c r="BO739" s="1"/>
      <c r="BP739" s="1"/>
      <c r="BQ739" s="1"/>
      <c r="BR739" s="1"/>
      <c r="BS739" s="1"/>
      <c r="BT739" s="1"/>
      <c r="BU739" s="4"/>
    </row>
    <row r="740">
      <c r="AK740" s="1"/>
      <c r="AQ740" s="1"/>
      <c r="AW740" s="1"/>
      <c r="BC740" s="1"/>
      <c r="BD740" s="1"/>
      <c r="BE740" s="1"/>
      <c r="BF740" s="1"/>
      <c r="BG740" s="1"/>
      <c r="BH740" s="1"/>
      <c r="BI740" s="1"/>
      <c r="BO740" s="1"/>
      <c r="BP740" s="1"/>
      <c r="BQ740" s="1"/>
      <c r="BR740" s="1"/>
      <c r="BS740" s="1"/>
      <c r="BT740" s="1"/>
      <c r="BU740" s="4"/>
    </row>
    <row r="741">
      <c r="AK741" s="1"/>
      <c r="AQ741" s="1"/>
      <c r="AW741" s="1"/>
      <c r="BC741" s="1"/>
      <c r="BD741" s="1"/>
      <c r="BE741" s="1"/>
      <c r="BF741" s="1"/>
      <c r="BG741" s="1"/>
      <c r="BH741" s="1"/>
      <c r="BI741" s="1"/>
      <c r="BO741" s="1"/>
      <c r="BP741" s="1"/>
      <c r="BQ741" s="1"/>
      <c r="BR741" s="1"/>
      <c r="BS741" s="1"/>
      <c r="BT741" s="1"/>
      <c r="BU741" s="4"/>
    </row>
    <row r="742">
      <c r="AK742" s="1"/>
      <c r="AQ742" s="1"/>
      <c r="AW742" s="1"/>
      <c r="BC742" s="1"/>
      <c r="BD742" s="1"/>
      <c r="BE742" s="1"/>
      <c r="BF742" s="1"/>
      <c r="BG742" s="1"/>
      <c r="BH742" s="1"/>
      <c r="BI742" s="1"/>
      <c r="BO742" s="1"/>
      <c r="BP742" s="1"/>
      <c r="BQ742" s="1"/>
      <c r="BR742" s="1"/>
      <c r="BS742" s="1"/>
      <c r="BT742" s="1"/>
      <c r="BU742" s="4"/>
    </row>
    <row r="743">
      <c r="AK743" s="1"/>
      <c r="AQ743" s="1"/>
      <c r="AW743" s="1"/>
      <c r="BC743" s="1"/>
      <c r="BD743" s="1"/>
      <c r="BE743" s="1"/>
      <c r="BF743" s="1"/>
      <c r="BG743" s="1"/>
      <c r="BH743" s="1"/>
      <c r="BI743" s="1"/>
      <c r="BO743" s="1"/>
      <c r="BP743" s="1"/>
      <c r="BQ743" s="1"/>
      <c r="BR743" s="1"/>
      <c r="BS743" s="1"/>
      <c r="BT743" s="1"/>
      <c r="BU743" s="4"/>
    </row>
    <row r="744">
      <c r="AK744" s="1"/>
      <c r="AQ744" s="1"/>
      <c r="AW744" s="1"/>
      <c r="BC744" s="1"/>
      <c r="BD744" s="1"/>
      <c r="BE744" s="1"/>
      <c r="BF744" s="1"/>
      <c r="BG744" s="1"/>
      <c r="BH744" s="1"/>
      <c r="BI744" s="1"/>
      <c r="BO744" s="1"/>
      <c r="BP744" s="1"/>
      <c r="BQ744" s="1"/>
      <c r="BR744" s="1"/>
      <c r="BS744" s="1"/>
      <c r="BT744" s="1"/>
      <c r="BU744" s="4"/>
    </row>
    <row r="745">
      <c r="AK745" s="1"/>
      <c r="AQ745" s="1"/>
      <c r="AW745" s="1"/>
      <c r="BC745" s="1"/>
      <c r="BD745" s="1"/>
      <c r="BE745" s="1"/>
      <c r="BF745" s="1"/>
      <c r="BG745" s="1"/>
      <c r="BH745" s="1"/>
      <c r="BI745" s="1"/>
      <c r="BO745" s="1"/>
      <c r="BP745" s="1"/>
      <c r="BQ745" s="1"/>
      <c r="BR745" s="1"/>
      <c r="BS745" s="1"/>
      <c r="BT745" s="1"/>
      <c r="BU745" s="4"/>
    </row>
    <row r="746">
      <c r="AK746" s="1"/>
      <c r="AQ746" s="1"/>
      <c r="AW746" s="1"/>
      <c r="BC746" s="1"/>
      <c r="BD746" s="1"/>
      <c r="BE746" s="1"/>
      <c r="BF746" s="1"/>
      <c r="BG746" s="1"/>
      <c r="BH746" s="1"/>
      <c r="BI746" s="1"/>
      <c r="BO746" s="1"/>
      <c r="BP746" s="1"/>
      <c r="BQ746" s="1"/>
      <c r="BR746" s="1"/>
      <c r="BS746" s="1"/>
      <c r="BT746" s="1"/>
      <c r="BU746" s="4"/>
    </row>
    <row r="747">
      <c r="AK747" s="1"/>
      <c r="AQ747" s="1"/>
      <c r="AW747" s="1"/>
      <c r="BC747" s="1"/>
      <c r="BD747" s="1"/>
      <c r="BE747" s="1"/>
      <c r="BF747" s="1"/>
      <c r="BG747" s="1"/>
      <c r="BH747" s="1"/>
      <c r="BI747" s="1"/>
      <c r="BO747" s="1"/>
      <c r="BP747" s="1"/>
      <c r="BQ747" s="1"/>
      <c r="BR747" s="1"/>
      <c r="BS747" s="1"/>
      <c r="BT747" s="1"/>
      <c r="BU747" s="4"/>
    </row>
    <row r="748">
      <c r="AK748" s="1"/>
      <c r="AQ748" s="1"/>
      <c r="AW748" s="1"/>
      <c r="BC748" s="1"/>
      <c r="BD748" s="1"/>
      <c r="BE748" s="1"/>
      <c r="BF748" s="1"/>
      <c r="BG748" s="1"/>
      <c r="BH748" s="1"/>
      <c r="BI748" s="1"/>
      <c r="BO748" s="1"/>
      <c r="BP748" s="1"/>
      <c r="BQ748" s="1"/>
      <c r="BR748" s="1"/>
      <c r="BS748" s="1"/>
      <c r="BT748" s="1"/>
      <c r="BU748" s="4"/>
    </row>
    <row r="749">
      <c r="AK749" s="1"/>
      <c r="AQ749" s="1"/>
      <c r="AW749" s="1"/>
      <c r="BC749" s="1"/>
      <c r="BD749" s="1"/>
      <c r="BE749" s="1"/>
      <c r="BF749" s="1"/>
      <c r="BG749" s="1"/>
      <c r="BH749" s="1"/>
      <c r="BI749" s="1"/>
      <c r="BO749" s="1"/>
      <c r="BP749" s="1"/>
      <c r="BQ749" s="1"/>
      <c r="BR749" s="1"/>
      <c r="BS749" s="1"/>
      <c r="BT749" s="1"/>
      <c r="BU749" s="4"/>
    </row>
    <row r="750">
      <c r="AK750" s="1"/>
      <c r="AQ750" s="1"/>
      <c r="AW750" s="1"/>
      <c r="BC750" s="1"/>
      <c r="BD750" s="1"/>
      <c r="BE750" s="1"/>
      <c r="BF750" s="1"/>
      <c r="BG750" s="1"/>
      <c r="BH750" s="1"/>
      <c r="BI750" s="1"/>
      <c r="BO750" s="1"/>
      <c r="BP750" s="1"/>
      <c r="BQ750" s="1"/>
      <c r="BR750" s="1"/>
      <c r="BS750" s="1"/>
      <c r="BT750" s="1"/>
      <c r="BU750" s="4"/>
    </row>
    <row r="751">
      <c r="AK751" s="1"/>
      <c r="AQ751" s="1"/>
      <c r="AW751" s="1"/>
      <c r="BC751" s="1"/>
      <c r="BD751" s="1"/>
      <c r="BE751" s="1"/>
      <c r="BF751" s="1"/>
      <c r="BG751" s="1"/>
      <c r="BH751" s="1"/>
      <c r="BI751" s="1"/>
      <c r="BO751" s="1"/>
      <c r="BP751" s="1"/>
      <c r="BQ751" s="1"/>
      <c r="BR751" s="1"/>
      <c r="BS751" s="1"/>
      <c r="BT751" s="1"/>
      <c r="BU751" s="4"/>
    </row>
    <row r="752">
      <c r="AK752" s="1"/>
      <c r="AQ752" s="1"/>
      <c r="AW752" s="1"/>
      <c r="BC752" s="1"/>
      <c r="BD752" s="1"/>
      <c r="BE752" s="1"/>
      <c r="BF752" s="1"/>
      <c r="BG752" s="1"/>
      <c r="BH752" s="1"/>
      <c r="BI752" s="1"/>
      <c r="BO752" s="1"/>
      <c r="BP752" s="1"/>
      <c r="BQ752" s="1"/>
      <c r="BR752" s="1"/>
      <c r="BS752" s="1"/>
      <c r="BT752" s="1"/>
      <c r="BU752" s="4"/>
    </row>
    <row r="753">
      <c r="AK753" s="1"/>
      <c r="AQ753" s="1"/>
      <c r="AW753" s="1"/>
      <c r="BC753" s="1"/>
      <c r="BD753" s="1"/>
      <c r="BE753" s="1"/>
      <c r="BF753" s="1"/>
      <c r="BG753" s="1"/>
      <c r="BH753" s="1"/>
      <c r="BI753" s="1"/>
      <c r="BO753" s="1"/>
      <c r="BP753" s="1"/>
      <c r="BQ753" s="1"/>
      <c r="BR753" s="1"/>
      <c r="BS753" s="1"/>
      <c r="BT753" s="1"/>
      <c r="BU753" s="4"/>
    </row>
    <row r="754">
      <c r="AK754" s="1"/>
      <c r="AQ754" s="1"/>
      <c r="AW754" s="1"/>
      <c r="BC754" s="1"/>
      <c r="BD754" s="1"/>
      <c r="BE754" s="1"/>
      <c r="BF754" s="1"/>
      <c r="BG754" s="1"/>
      <c r="BH754" s="1"/>
      <c r="BI754" s="1"/>
      <c r="BO754" s="1"/>
      <c r="BP754" s="1"/>
      <c r="BQ754" s="1"/>
      <c r="BR754" s="1"/>
      <c r="BS754" s="1"/>
      <c r="BT754" s="1"/>
      <c r="BU754" s="4"/>
    </row>
    <row r="755">
      <c r="AK755" s="1"/>
      <c r="AQ755" s="1"/>
      <c r="AW755" s="1"/>
      <c r="BC755" s="1"/>
      <c r="BD755" s="1"/>
      <c r="BE755" s="1"/>
      <c r="BF755" s="1"/>
      <c r="BG755" s="1"/>
      <c r="BH755" s="1"/>
      <c r="BI755" s="1"/>
      <c r="BO755" s="1"/>
      <c r="BP755" s="1"/>
      <c r="BQ755" s="1"/>
      <c r="BR755" s="1"/>
      <c r="BS755" s="1"/>
      <c r="BT755" s="1"/>
      <c r="BU755" s="4"/>
    </row>
    <row r="756">
      <c r="AK756" s="1"/>
      <c r="AQ756" s="1"/>
      <c r="AW756" s="1"/>
      <c r="BC756" s="1"/>
      <c r="BD756" s="1"/>
      <c r="BE756" s="1"/>
      <c r="BF756" s="1"/>
      <c r="BG756" s="1"/>
      <c r="BH756" s="1"/>
      <c r="BI756" s="1"/>
      <c r="BO756" s="1"/>
      <c r="BP756" s="1"/>
      <c r="BQ756" s="1"/>
      <c r="BR756" s="1"/>
      <c r="BS756" s="1"/>
      <c r="BT756" s="1"/>
      <c r="BU756" s="4"/>
    </row>
    <row r="757">
      <c r="AK757" s="1"/>
      <c r="AQ757" s="1"/>
      <c r="AW757" s="1"/>
      <c r="BC757" s="1"/>
      <c r="BD757" s="1"/>
      <c r="BE757" s="1"/>
      <c r="BF757" s="1"/>
      <c r="BG757" s="1"/>
      <c r="BH757" s="1"/>
      <c r="BI757" s="1"/>
      <c r="BO757" s="1"/>
      <c r="BP757" s="1"/>
      <c r="BQ757" s="1"/>
      <c r="BR757" s="1"/>
      <c r="BS757" s="1"/>
      <c r="BT757" s="1"/>
      <c r="BU757" s="4"/>
    </row>
    <row r="758">
      <c r="AK758" s="1"/>
      <c r="AQ758" s="1"/>
      <c r="AW758" s="1"/>
      <c r="BC758" s="1"/>
      <c r="BD758" s="1"/>
      <c r="BE758" s="1"/>
      <c r="BF758" s="1"/>
      <c r="BG758" s="1"/>
      <c r="BH758" s="1"/>
      <c r="BI758" s="1"/>
      <c r="BO758" s="1"/>
      <c r="BP758" s="1"/>
      <c r="BQ758" s="1"/>
      <c r="BR758" s="1"/>
      <c r="BS758" s="1"/>
      <c r="BT758" s="1"/>
      <c r="BU758" s="4"/>
    </row>
    <row r="759">
      <c r="AK759" s="1"/>
      <c r="AQ759" s="1"/>
      <c r="AW759" s="1"/>
      <c r="BC759" s="1"/>
      <c r="BD759" s="1"/>
      <c r="BE759" s="1"/>
      <c r="BF759" s="1"/>
      <c r="BG759" s="1"/>
      <c r="BH759" s="1"/>
      <c r="BI759" s="1"/>
      <c r="BO759" s="1"/>
      <c r="BP759" s="1"/>
      <c r="BQ759" s="1"/>
      <c r="BR759" s="1"/>
      <c r="BS759" s="1"/>
      <c r="BT759" s="1"/>
      <c r="BU759" s="4"/>
    </row>
    <row r="760">
      <c r="AK760" s="1"/>
      <c r="AQ760" s="1"/>
      <c r="AW760" s="1"/>
      <c r="BC760" s="1"/>
      <c r="BD760" s="1"/>
      <c r="BE760" s="1"/>
      <c r="BF760" s="1"/>
      <c r="BG760" s="1"/>
      <c r="BH760" s="1"/>
      <c r="BI760" s="1"/>
      <c r="BO760" s="1"/>
      <c r="BP760" s="1"/>
      <c r="BQ760" s="1"/>
      <c r="BR760" s="1"/>
      <c r="BS760" s="1"/>
      <c r="BT760" s="1"/>
      <c r="BU760" s="4"/>
    </row>
    <row r="761">
      <c r="AK761" s="1"/>
      <c r="AQ761" s="1"/>
      <c r="AW761" s="1"/>
      <c r="BC761" s="1"/>
      <c r="BD761" s="1"/>
      <c r="BE761" s="1"/>
      <c r="BF761" s="1"/>
      <c r="BG761" s="1"/>
      <c r="BH761" s="1"/>
      <c r="BI761" s="1"/>
      <c r="BO761" s="1"/>
      <c r="BP761" s="1"/>
      <c r="BQ761" s="1"/>
      <c r="BR761" s="1"/>
      <c r="BS761" s="1"/>
      <c r="BT761" s="1"/>
      <c r="BU761" s="4"/>
    </row>
    <row r="762">
      <c r="AK762" s="1"/>
      <c r="AQ762" s="1"/>
      <c r="AW762" s="1"/>
      <c r="BC762" s="1"/>
      <c r="BD762" s="1"/>
      <c r="BE762" s="1"/>
      <c r="BF762" s="1"/>
      <c r="BG762" s="1"/>
      <c r="BH762" s="1"/>
      <c r="BI762" s="1"/>
      <c r="BO762" s="1"/>
      <c r="BP762" s="1"/>
      <c r="BQ762" s="1"/>
      <c r="BR762" s="1"/>
      <c r="BS762" s="1"/>
      <c r="BT762" s="1"/>
      <c r="BU762" s="4"/>
    </row>
    <row r="763">
      <c r="AK763" s="1"/>
      <c r="AQ763" s="1"/>
      <c r="AW763" s="1"/>
      <c r="BC763" s="1"/>
      <c r="BD763" s="1"/>
      <c r="BE763" s="1"/>
      <c r="BF763" s="1"/>
      <c r="BG763" s="1"/>
      <c r="BH763" s="1"/>
      <c r="BI763" s="1"/>
      <c r="BO763" s="1"/>
      <c r="BP763" s="1"/>
      <c r="BQ763" s="1"/>
      <c r="BR763" s="1"/>
      <c r="BS763" s="1"/>
      <c r="BT763" s="1"/>
      <c r="BU763" s="4"/>
    </row>
    <row r="764">
      <c r="AK764" s="1"/>
      <c r="AQ764" s="1"/>
      <c r="AW764" s="1"/>
      <c r="BC764" s="1"/>
      <c r="BD764" s="1"/>
      <c r="BE764" s="1"/>
      <c r="BF764" s="1"/>
      <c r="BG764" s="1"/>
      <c r="BH764" s="1"/>
      <c r="BI764" s="1"/>
      <c r="BO764" s="1"/>
      <c r="BP764" s="1"/>
      <c r="BQ764" s="1"/>
      <c r="BR764" s="1"/>
      <c r="BS764" s="1"/>
      <c r="BT764" s="1"/>
      <c r="BU764" s="4"/>
    </row>
    <row r="765">
      <c r="AK765" s="1"/>
      <c r="AQ765" s="1"/>
      <c r="AW765" s="1"/>
      <c r="BC765" s="1"/>
      <c r="BD765" s="1"/>
      <c r="BE765" s="1"/>
      <c r="BF765" s="1"/>
      <c r="BG765" s="1"/>
      <c r="BH765" s="1"/>
      <c r="BI765" s="1"/>
      <c r="BO765" s="1"/>
      <c r="BP765" s="1"/>
      <c r="BQ765" s="1"/>
      <c r="BR765" s="1"/>
      <c r="BS765" s="1"/>
      <c r="BT765" s="1"/>
      <c r="BU765" s="4"/>
    </row>
    <row r="766">
      <c r="AK766" s="1"/>
      <c r="AQ766" s="1"/>
      <c r="AW766" s="1"/>
      <c r="BC766" s="1"/>
      <c r="BD766" s="1"/>
      <c r="BE766" s="1"/>
      <c r="BF766" s="1"/>
      <c r="BG766" s="1"/>
      <c r="BH766" s="1"/>
      <c r="BI766" s="1"/>
      <c r="BO766" s="1"/>
      <c r="BP766" s="1"/>
      <c r="BQ766" s="1"/>
      <c r="BR766" s="1"/>
      <c r="BS766" s="1"/>
      <c r="BT766" s="1"/>
      <c r="BU766" s="4"/>
    </row>
    <row r="767">
      <c r="AK767" s="1"/>
      <c r="AQ767" s="1"/>
      <c r="AW767" s="1"/>
      <c r="BC767" s="1"/>
      <c r="BD767" s="1"/>
      <c r="BE767" s="1"/>
      <c r="BF767" s="1"/>
      <c r="BG767" s="1"/>
      <c r="BH767" s="1"/>
      <c r="BI767" s="1"/>
      <c r="BO767" s="1"/>
      <c r="BP767" s="1"/>
      <c r="BQ767" s="1"/>
      <c r="BR767" s="1"/>
      <c r="BS767" s="1"/>
      <c r="BT767" s="1"/>
      <c r="BU767" s="4"/>
    </row>
    <row r="768">
      <c r="AK768" s="1"/>
      <c r="AQ768" s="1"/>
      <c r="AW768" s="1"/>
      <c r="BC768" s="1"/>
      <c r="BD768" s="1"/>
      <c r="BE768" s="1"/>
      <c r="BF768" s="1"/>
      <c r="BG768" s="1"/>
      <c r="BH768" s="1"/>
      <c r="BI768" s="1"/>
      <c r="BO768" s="1"/>
      <c r="BP768" s="1"/>
      <c r="BQ768" s="1"/>
      <c r="BR768" s="1"/>
      <c r="BS768" s="1"/>
      <c r="BT768" s="1"/>
      <c r="BU768" s="4"/>
    </row>
    <row r="769">
      <c r="AK769" s="1"/>
      <c r="AQ769" s="1"/>
      <c r="AW769" s="1"/>
      <c r="BC769" s="1"/>
      <c r="BD769" s="1"/>
      <c r="BE769" s="1"/>
      <c r="BF769" s="1"/>
      <c r="BG769" s="1"/>
      <c r="BH769" s="1"/>
      <c r="BI769" s="1"/>
      <c r="BO769" s="1"/>
      <c r="BP769" s="1"/>
      <c r="BQ769" s="1"/>
      <c r="BR769" s="1"/>
      <c r="BS769" s="1"/>
      <c r="BT769" s="1"/>
      <c r="BU769" s="4"/>
    </row>
    <row r="770">
      <c r="AK770" s="1"/>
      <c r="AQ770" s="1"/>
      <c r="AW770" s="1"/>
      <c r="BC770" s="1"/>
      <c r="BD770" s="1"/>
      <c r="BE770" s="1"/>
      <c r="BF770" s="1"/>
      <c r="BG770" s="1"/>
      <c r="BH770" s="1"/>
      <c r="BI770" s="1"/>
      <c r="BO770" s="1"/>
      <c r="BP770" s="1"/>
      <c r="BQ770" s="1"/>
      <c r="BR770" s="1"/>
      <c r="BS770" s="1"/>
      <c r="BT770" s="1"/>
      <c r="BU770" s="4"/>
    </row>
    <row r="771">
      <c r="AK771" s="1"/>
      <c r="AQ771" s="1"/>
      <c r="AW771" s="1"/>
      <c r="BC771" s="1"/>
      <c r="BD771" s="1"/>
      <c r="BE771" s="1"/>
      <c r="BF771" s="1"/>
      <c r="BG771" s="1"/>
      <c r="BH771" s="1"/>
      <c r="BI771" s="1"/>
      <c r="BO771" s="1"/>
      <c r="BP771" s="1"/>
      <c r="BQ771" s="1"/>
      <c r="BR771" s="1"/>
      <c r="BS771" s="1"/>
      <c r="BT771" s="1"/>
      <c r="BU771" s="4"/>
    </row>
    <row r="772">
      <c r="AK772" s="1"/>
      <c r="AQ772" s="1"/>
      <c r="AW772" s="1"/>
      <c r="BC772" s="1"/>
      <c r="BD772" s="1"/>
      <c r="BE772" s="1"/>
      <c r="BF772" s="1"/>
      <c r="BG772" s="1"/>
      <c r="BH772" s="1"/>
      <c r="BI772" s="1"/>
      <c r="BO772" s="1"/>
      <c r="BP772" s="1"/>
      <c r="BQ772" s="1"/>
      <c r="BR772" s="1"/>
      <c r="BS772" s="1"/>
      <c r="BT772" s="1"/>
      <c r="BU772" s="4"/>
    </row>
    <row r="773">
      <c r="AK773" s="1"/>
      <c r="AQ773" s="1"/>
      <c r="AW773" s="1"/>
      <c r="BC773" s="1"/>
      <c r="BD773" s="1"/>
      <c r="BE773" s="1"/>
      <c r="BF773" s="1"/>
      <c r="BG773" s="1"/>
      <c r="BH773" s="1"/>
      <c r="BI773" s="1"/>
      <c r="BO773" s="1"/>
      <c r="BP773" s="1"/>
      <c r="BQ773" s="1"/>
      <c r="BR773" s="1"/>
      <c r="BS773" s="1"/>
      <c r="BT773" s="1"/>
      <c r="BU773" s="4"/>
    </row>
    <row r="774">
      <c r="AK774" s="1"/>
      <c r="AQ774" s="1"/>
      <c r="AW774" s="1"/>
      <c r="BC774" s="1"/>
      <c r="BD774" s="1"/>
      <c r="BE774" s="1"/>
      <c r="BF774" s="1"/>
      <c r="BG774" s="1"/>
      <c r="BH774" s="1"/>
      <c r="BI774" s="1"/>
      <c r="BO774" s="1"/>
      <c r="BP774" s="1"/>
      <c r="BQ774" s="1"/>
      <c r="BR774" s="1"/>
      <c r="BS774" s="1"/>
      <c r="BT774" s="1"/>
      <c r="BU774" s="4"/>
    </row>
    <row r="775">
      <c r="AK775" s="1"/>
      <c r="AQ775" s="1"/>
      <c r="AW775" s="1"/>
      <c r="BC775" s="1"/>
      <c r="BD775" s="1"/>
      <c r="BE775" s="1"/>
      <c r="BF775" s="1"/>
      <c r="BG775" s="1"/>
      <c r="BH775" s="1"/>
      <c r="BI775" s="1"/>
      <c r="BO775" s="1"/>
      <c r="BP775" s="1"/>
      <c r="BQ775" s="1"/>
      <c r="BR775" s="1"/>
      <c r="BS775" s="1"/>
      <c r="BT775" s="1"/>
      <c r="BU775" s="4"/>
    </row>
    <row r="776">
      <c r="AK776" s="1"/>
      <c r="AQ776" s="1"/>
      <c r="AW776" s="1"/>
      <c r="BC776" s="1"/>
      <c r="BD776" s="1"/>
      <c r="BE776" s="1"/>
      <c r="BF776" s="1"/>
      <c r="BG776" s="1"/>
      <c r="BH776" s="1"/>
      <c r="BI776" s="1"/>
      <c r="BO776" s="1"/>
      <c r="BP776" s="1"/>
      <c r="BQ776" s="1"/>
      <c r="BR776" s="1"/>
      <c r="BS776" s="1"/>
      <c r="BT776" s="1"/>
      <c r="BU776" s="4"/>
    </row>
    <row r="777">
      <c r="AK777" s="1"/>
      <c r="AQ777" s="1"/>
      <c r="AW777" s="1"/>
      <c r="BC777" s="1"/>
      <c r="BD777" s="1"/>
      <c r="BE777" s="1"/>
      <c r="BF777" s="1"/>
      <c r="BG777" s="1"/>
      <c r="BH777" s="1"/>
      <c r="BI777" s="1"/>
      <c r="BO777" s="1"/>
      <c r="BP777" s="1"/>
      <c r="BQ777" s="1"/>
      <c r="BR777" s="1"/>
      <c r="BS777" s="1"/>
      <c r="BT777" s="1"/>
      <c r="BU777" s="4"/>
    </row>
    <row r="778">
      <c r="AK778" s="1"/>
      <c r="AQ778" s="1"/>
      <c r="AW778" s="1"/>
      <c r="BC778" s="1"/>
      <c r="BD778" s="1"/>
      <c r="BE778" s="1"/>
      <c r="BF778" s="1"/>
      <c r="BG778" s="1"/>
      <c r="BH778" s="1"/>
      <c r="BI778" s="1"/>
      <c r="BO778" s="1"/>
      <c r="BP778" s="1"/>
      <c r="BQ778" s="1"/>
      <c r="BR778" s="1"/>
      <c r="BS778" s="1"/>
      <c r="BT778" s="1"/>
      <c r="BU778" s="4"/>
    </row>
    <row r="779">
      <c r="AK779" s="1"/>
      <c r="AQ779" s="1"/>
      <c r="AW779" s="1"/>
      <c r="BC779" s="1"/>
      <c r="BD779" s="1"/>
      <c r="BE779" s="1"/>
      <c r="BF779" s="1"/>
      <c r="BG779" s="1"/>
      <c r="BH779" s="1"/>
      <c r="BI779" s="1"/>
      <c r="BO779" s="1"/>
      <c r="BP779" s="1"/>
      <c r="BQ779" s="1"/>
      <c r="BR779" s="1"/>
      <c r="BS779" s="1"/>
      <c r="BT779" s="1"/>
      <c r="BU779" s="4"/>
    </row>
    <row r="780">
      <c r="AK780" s="1"/>
      <c r="AQ780" s="1"/>
      <c r="AW780" s="1"/>
      <c r="BC780" s="1"/>
      <c r="BD780" s="1"/>
      <c r="BE780" s="1"/>
      <c r="BF780" s="1"/>
      <c r="BG780" s="1"/>
      <c r="BH780" s="1"/>
      <c r="BI780" s="1"/>
      <c r="BO780" s="1"/>
      <c r="BP780" s="1"/>
      <c r="BQ780" s="1"/>
      <c r="BR780" s="1"/>
      <c r="BS780" s="1"/>
      <c r="BT780" s="1"/>
      <c r="BU780" s="4"/>
    </row>
    <row r="781">
      <c r="AK781" s="1"/>
      <c r="AQ781" s="1"/>
      <c r="AW781" s="1"/>
      <c r="BC781" s="1"/>
      <c r="BD781" s="1"/>
      <c r="BE781" s="1"/>
      <c r="BF781" s="1"/>
      <c r="BG781" s="1"/>
      <c r="BH781" s="1"/>
      <c r="BI781" s="1"/>
      <c r="BO781" s="1"/>
      <c r="BP781" s="1"/>
      <c r="BQ781" s="1"/>
      <c r="BR781" s="1"/>
      <c r="BS781" s="1"/>
      <c r="BT781" s="1"/>
      <c r="BU781" s="4"/>
    </row>
    <row r="782">
      <c r="AK782" s="1"/>
      <c r="AQ782" s="1"/>
      <c r="AW782" s="1"/>
      <c r="BC782" s="1"/>
      <c r="BD782" s="1"/>
      <c r="BE782" s="1"/>
      <c r="BF782" s="1"/>
      <c r="BG782" s="1"/>
      <c r="BH782" s="1"/>
      <c r="BI782" s="1"/>
      <c r="BO782" s="1"/>
      <c r="BP782" s="1"/>
      <c r="BQ782" s="1"/>
      <c r="BR782" s="1"/>
      <c r="BS782" s="1"/>
      <c r="BT782" s="1"/>
      <c r="BU782" s="4"/>
    </row>
    <row r="783">
      <c r="AK783" s="1"/>
      <c r="AQ783" s="1"/>
      <c r="AW783" s="1"/>
      <c r="BC783" s="1"/>
      <c r="BD783" s="1"/>
      <c r="BE783" s="1"/>
      <c r="BF783" s="1"/>
      <c r="BG783" s="1"/>
      <c r="BH783" s="1"/>
      <c r="BI783" s="1"/>
      <c r="BO783" s="1"/>
      <c r="BP783" s="1"/>
      <c r="BQ783" s="1"/>
      <c r="BR783" s="1"/>
      <c r="BS783" s="1"/>
      <c r="BT783" s="1"/>
      <c r="BU783" s="4"/>
    </row>
    <row r="784">
      <c r="AK784" s="1"/>
      <c r="AQ784" s="1"/>
      <c r="AW784" s="1"/>
      <c r="BC784" s="1"/>
      <c r="BD784" s="1"/>
      <c r="BE784" s="1"/>
      <c r="BF784" s="1"/>
      <c r="BG784" s="1"/>
      <c r="BH784" s="1"/>
      <c r="BI784" s="1"/>
      <c r="BO784" s="1"/>
      <c r="BP784" s="1"/>
      <c r="BQ784" s="1"/>
      <c r="BR784" s="1"/>
      <c r="BS784" s="1"/>
      <c r="BT784" s="1"/>
      <c r="BU784" s="4"/>
    </row>
    <row r="785">
      <c r="AK785" s="1"/>
      <c r="AQ785" s="1"/>
      <c r="AW785" s="1"/>
      <c r="BC785" s="1"/>
      <c r="BD785" s="1"/>
      <c r="BE785" s="1"/>
      <c r="BF785" s="1"/>
      <c r="BG785" s="1"/>
      <c r="BH785" s="1"/>
      <c r="BI785" s="1"/>
      <c r="BO785" s="1"/>
      <c r="BP785" s="1"/>
      <c r="BQ785" s="1"/>
      <c r="BR785" s="1"/>
      <c r="BS785" s="1"/>
      <c r="BT785" s="1"/>
      <c r="BU785" s="4"/>
    </row>
    <row r="786">
      <c r="AK786" s="1"/>
      <c r="AQ786" s="1"/>
      <c r="AW786" s="1"/>
      <c r="BC786" s="1"/>
      <c r="BD786" s="1"/>
      <c r="BE786" s="1"/>
      <c r="BF786" s="1"/>
      <c r="BG786" s="1"/>
      <c r="BH786" s="1"/>
      <c r="BI786" s="1"/>
      <c r="BO786" s="1"/>
      <c r="BP786" s="1"/>
      <c r="BQ786" s="1"/>
      <c r="BR786" s="1"/>
      <c r="BS786" s="1"/>
      <c r="BT786" s="1"/>
      <c r="BU786" s="4"/>
    </row>
    <row r="787">
      <c r="AK787" s="1"/>
      <c r="AQ787" s="1"/>
      <c r="AW787" s="1"/>
      <c r="BC787" s="1"/>
      <c r="BD787" s="1"/>
      <c r="BE787" s="1"/>
      <c r="BF787" s="1"/>
      <c r="BG787" s="1"/>
      <c r="BH787" s="1"/>
      <c r="BI787" s="1"/>
      <c r="BO787" s="1"/>
      <c r="BP787" s="1"/>
      <c r="BQ787" s="1"/>
      <c r="BR787" s="1"/>
      <c r="BS787" s="1"/>
      <c r="BT787" s="1"/>
      <c r="BU787" s="4"/>
    </row>
    <row r="788">
      <c r="AK788" s="1"/>
      <c r="AQ788" s="1"/>
      <c r="AW788" s="1"/>
      <c r="BC788" s="1"/>
      <c r="BD788" s="1"/>
      <c r="BE788" s="1"/>
      <c r="BF788" s="1"/>
      <c r="BG788" s="1"/>
      <c r="BH788" s="1"/>
      <c r="BI788" s="1"/>
      <c r="BO788" s="1"/>
      <c r="BP788" s="1"/>
      <c r="BQ788" s="1"/>
      <c r="BR788" s="1"/>
      <c r="BS788" s="1"/>
      <c r="BT788" s="1"/>
      <c r="BU788" s="4"/>
    </row>
    <row r="789">
      <c r="AK789" s="1"/>
      <c r="AQ789" s="1"/>
      <c r="AW789" s="1"/>
      <c r="BC789" s="1"/>
      <c r="BD789" s="1"/>
      <c r="BE789" s="1"/>
      <c r="BF789" s="1"/>
      <c r="BG789" s="1"/>
      <c r="BH789" s="1"/>
      <c r="BI789" s="1"/>
      <c r="BO789" s="1"/>
      <c r="BP789" s="1"/>
      <c r="BQ789" s="1"/>
      <c r="BR789" s="1"/>
      <c r="BS789" s="1"/>
      <c r="BT789" s="1"/>
      <c r="BU789" s="4"/>
    </row>
    <row r="790">
      <c r="AK790" s="1"/>
      <c r="AQ790" s="1"/>
      <c r="AW790" s="1"/>
      <c r="BC790" s="1"/>
      <c r="BD790" s="1"/>
      <c r="BE790" s="1"/>
      <c r="BF790" s="1"/>
      <c r="BG790" s="1"/>
      <c r="BH790" s="1"/>
      <c r="BI790" s="1"/>
      <c r="BO790" s="1"/>
      <c r="BP790" s="1"/>
      <c r="BQ790" s="1"/>
      <c r="BR790" s="1"/>
      <c r="BS790" s="1"/>
      <c r="BT790" s="1"/>
      <c r="BU790" s="4"/>
    </row>
    <row r="791">
      <c r="AK791" s="1"/>
      <c r="AQ791" s="1"/>
      <c r="AW791" s="1"/>
      <c r="BC791" s="1"/>
      <c r="BD791" s="1"/>
      <c r="BE791" s="1"/>
      <c r="BF791" s="1"/>
      <c r="BG791" s="1"/>
      <c r="BH791" s="1"/>
      <c r="BI791" s="1"/>
      <c r="BO791" s="1"/>
      <c r="BP791" s="1"/>
      <c r="BQ791" s="1"/>
      <c r="BR791" s="1"/>
      <c r="BS791" s="1"/>
      <c r="BT791" s="1"/>
      <c r="BU791" s="4"/>
    </row>
    <row r="792">
      <c r="AK792" s="1"/>
      <c r="AQ792" s="1"/>
      <c r="AW792" s="1"/>
      <c r="BC792" s="1"/>
      <c r="BD792" s="1"/>
      <c r="BE792" s="1"/>
      <c r="BF792" s="1"/>
      <c r="BG792" s="1"/>
      <c r="BH792" s="1"/>
      <c r="BI792" s="1"/>
      <c r="BO792" s="1"/>
      <c r="BP792" s="1"/>
      <c r="BQ792" s="1"/>
      <c r="BR792" s="1"/>
      <c r="BS792" s="1"/>
      <c r="BT792" s="1"/>
      <c r="BU792" s="4"/>
    </row>
    <row r="793">
      <c r="AK793" s="1"/>
      <c r="AQ793" s="1"/>
      <c r="AW793" s="1"/>
      <c r="BC793" s="1"/>
      <c r="BD793" s="1"/>
      <c r="BE793" s="1"/>
      <c r="BF793" s="1"/>
      <c r="BG793" s="1"/>
      <c r="BH793" s="1"/>
      <c r="BI793" s="1"/>
      <c r="BO793" s="1"/>
      <c r="BP793" s="1"/>
      <c r="BQ793" s="1"/>
      <c r="BR793" s="1"/>
      <c r="BS793" s="1"/>
      <c r="BT793" s="1"/>
      <c r="BU793" s="4"/>
    </row>
    <row r="794">
      <c r="AK794" s="1"/>
      <c r="AQ794" s="1"/>
      <c r="AW794" s="1"/>
      <c r="BC794" s="1"/>
      <c r="BD794" s="1"/>
      <c r="BE794" s="1"/>
      <c r="BF794" s="1"/>
      <c r="BG794" s="1"/>
      <c r="BH794" s="1"/>
      <c r="BI794" s="1"/>
      <c r="BO794" s="1"/>
      <c r="BP794" s="1"/>
      <c r="BQ794" s="1"/>
      <c r="BR794" s="1"/>
      <c r="BS794" s="1"/>
      <c r="BT794" s="1"/>
      <c r="BU794" s="4"/>
    </row>
    <row r="795">
      <c r="AK795" s="1"/>
      <c r="AQ795" s="1"/>
      <c r="AW795" s="1"/>
      <c r="BC795" s="1"/>
      <c r="BD795" s="1"/>
      <c r="BE795" s="1"/>
      <c r="BF795" s="1"/>
      <c r="BG795" s="1"/>
      <c r="BH795" s="1"/>
      <c r="BI795" s="1"/>
      <c r="BO795" s="1"/>
      <c r="BP795" s="1"/>
      <c r="BQ795" s="1"/>
      <c r="BR795" s="1"/>
      <c r="BS795" s="1"/>
      <c r="BT795" s="1"/>
      <c r="BU795" s="4"/>
    </row>
    <row r="796">
      <c r="AK796" s="1"/>
      <c r="AQ796" s="1"/>
      <c r="AW796" s="1"/>
      <c r="BC796" s="1"/>
      <c r="BD796" s="1"/>
      <c r="BE796" s="1"/>
      <c r="BF796" s="1"/>
      <c r="BG796" s="1"/>
      <c r="BH796" s="1"/>
      <c r="BI796" s="1"/>
      <c r="BO796" s="1"/>
      <c r="BP796" s="1"/>
      <c r="BQ796" s="1"/>
      <c r="BR796" s="1"/>
      <c r="BS796" s="1"/>
      <c r="BT796" s="1"/>
      <c r="BU796" s="4"/>
    </row>
    <row r="797">
      <c r="AK797" s="1"/>
      <c r="AQ797" s="1"/>
      <c r="AW797" s="1"/>
      <c r="BC797" s="1"/>
      <c r="BD797" s="1"/>
      <c r="BE797" s="1"/>
      <c r="BF797" s="1"/>
      <c r="BG797" s="1"/>
      <c r="BH797" s="1"/>
      <c r="BI797" s="1"/>
      <c r="BO797" s="1"/>
      <c r="BP797" s="1"/>
      <c r="BQ797" s="1"/>
      <c r="BR797" s="1"/>
      <c r="BS797" s="1"/>
      <c r="BT797" s="1"/>
      <c r="BU797" s="4"/>
    </row>
    <row r="798">
      <c r="AK798" s="1"/>
      <c r="AQ798" s="1"/>
      <c r="AW798" s="1"/>
      <c r="BC798" s="1"/>
      <c r="BD798" s="1"/>
      <c r="BE798" s="1"/>
      <c r="BF798" s="1"/>
      <c r="BG798" s="1"/>
      <c r="BH798" s="1"/>
      <c r="BI798" s="1"/>
      <c r="BO798" s="1"/>
      <c r="BP798" s="1"/>
      <c r="BQ798" s="1"/>
      <c r="BR798" s="1"/>
      <c r="BS798" s="1"/>
      <c r="BT798" s="1"/>
      <c r="BU798" s="4"/>
    </row>
    <row r="799">
      <c r="AK799" s="1"/>
      <c r="AQ799" s="1"/>
      <c r="AW799" s="1"/>
      <c r="BC799" s="1"/>
      <c r="BD799" s="1"/>
      <c r="BE799" s="1"/>
      <c r="BF799" s="1"/>
      <c r="BG799" s="1"/>
      <c r="BH799" s="1"/>
      <c r="BI799" s="1"/>
      <c r="BO799" s="1"/>
      <c r="BP799" s="1"/>
      <c r="BQ799" s="1"/>
      <c r="BR799" s="1"/>
      <c r="BS799" s="1"/>
      <c r="BT799" s="1"/>
      <c r="BU799" s="4"/>
    </row>
    <row r="800">
      <c r="AK800" s="1"/>
      <c r="AQ800" s="1"/>
      <c r="AW800" s="1"/>
      <c r="BC800" s="1"/>
      <c r="BD800" s="1"/>
      <c r="BE800" s="1"/>
      <c r="BF800" s="1"/>
      <c r="BG800" s="1"/>
      <c r="BH800" s="1"/>
      <c r="BI800" s="1"/>
      <c r="BO800" s="1"/>
      <c r="BP800" s="1"/>
      <c r="BQ800" s="1"/>
      <c r="BR800" s="1"/>
      <c r="BS800" s="1"/>
      <c r="BT800" s="1"/>
      <c r="BU800" s="4"/>
    </row>
    <row r="801">
      <c r="AK801" s="1"/>
      <c r="AQ801" s="1"/>
      <c r="AW801" s="1"/>
      <c r="BC801" s="1"/>
      <c r="BD801" s="1"/>
      <c r="BE801" s="1"/>
      <c r="BF801" s="1"/>
      <c r="BG801" s="1"/>
      <c r="BH801" s="1"/>
      <c r="BI801" s="1"/>
      <c r="BO801" s="1"/>
      <c r="BP801" s="1"/>
      <c r="BQ801" s="1"/>
      <c r="BR801" s="1"/>
      <c r="BS801" s="1"/>
      <c r="BT801" s="1"/>
      <c r="BU801" s="4"/>
    </row>
    <row r="802">
      <c r="AK802" s="1"/>
      <c r="AQ802" s="1"/>
      <c r="AW802" s="1"/>
      <c r="BC802" s="1"/>
      <c r="BD802" s="1"/>
      <c r="BE802" s="1"/>
      <c r="BF802" s="1"/>
      <c r="BG802" s="1"/>
      <c r="BH802" s="1"/>
      <c r="BI802" s="1"/>
      <c r="BO802" s="1"/>
      <c r="BP802" s="1"/>
      <c r="BQ802" s="1"/>
      <c r="BR802" s="1"/>
      <c r="BS802" s="1"/>
      <c r="BT802" s="1"/>
      <c r="BU802" s="4"/>
    </row>
    <row r="803">
      <c r="AK803" s="1"/>
      <c r="AQ803" s="1"/>
      <c r="AW803" s="1"/>
      <c r="BC803" s="1"/>
      <c r="BD803" s="1"/>
      <c r="BE803" s="1"/>
      <c r="BF803" s="1"/>
      <c r="BG803" s="1"/>
      <c r="BH803" s="1"/>
      <c r="BI803" s="1"/>
      <c r="BO803" s="1"/>
      <c r="BP803" s="1"/>
      <c r="BQ803" s="1"/>
      <c r="BR803" s="1"/>
      <c r="BS803" s="1"/>
      <c r="BT803" s="1"/>
      <c r="BU803" s="4"/>
    </row>
    <row r="804">
      <c r="AK804" s="1"/>
      <c r="AQ804" s="1"/>
      <c r="AW804" s="1"/>
      <c r="BC804" s="1"/>
      <c r="BD804" s="1"/>
      <c r="BE804" s="1"/>
      <c r="BF804" s="1"/>
      <c r="BG804" s="1"/>
      <c r="BH804" s="1"/>
      <c r="BI804" s="1"/>
      <c r="BO804" s="1"/>
      <c r="BP804" s="1"/>
      <c r="BQ804" s="1"/>
      <c r="BR804" s="1"/>
      <c r="BS804" s="1"/>
      <c r="BT804" s="1"/>
      <c r="BU804" s="4"/>
    </row>
    <row r="805">
      <c r="AK805" s="1"/>
      <c r="AQ805" s="1"/>
      <c r="AW805" s="1"/>
      <c r="BC805" s="1"/>
      <c r="BD805" s="1"/>
      <c r="BE805" s="1"/>
      <c r="BF805" s="1"/>
      <c r="BG805" s="1"/>
      <c r="BH805" s="1"/>
      <c r="BI805" s="1"/>
      <c r="BO805" s="1"/>
      <c r="BP805" s="1"/>
      <c r="BQ805" s="1"/>
      <c r="BR805" s="1"/>
      <c r="BS805" s="1"/>
      <c r="BT805" s="1"/>
      <c r="BU805" s="4"/>
    </row>
    <row r="806">
      <c r="AK806" s="1"/>
      <c r="AQ806" s="1"/>
      <c r="AW806" s="1"/>
      <c r="BC806" s="1"/>
      <c r="BD806" s="1"/>
      <c r="BE806" s="1"/>
      <c r="BF806" s="1"/>
      <c r="BG806" s="1"/>
      <c r="BH806" s="1"/>
      <c r="BI806" s="1"/>
      <c r="BO806" s="1"/>
      <c r="BP806" s="1"/>
      <c r="BQ806" s="1"/>
      <c r="BR806" s="1"/>
      <c r="BS806" s="1"/>
      <c r="BT806" s="1"/>
      <c r="BU806" s="4"/>
    </row>
    <row r="807">
      <c r="AK807" s="1"/>
      <c r="AQ807" s="1"/>
      <c r="AW807" s="1"/>
      <c r="BC807" s="1"/>
      <c r="BD807" s="1"/>
      <c r="BE807" s="1"/>
      <c r="BF807" s="1"/>
      <c r="BG807" s="1"/>
      <c r="BH807" s="1"/>
      <c r="BI807" s="1"/>
      <c r="BO807" s="1"/>
      <c r="BP807" s="1"/>
      <c r="BQ807" s="1"/>
      <c r="BR807" s="1"/>
      <c r="BS807" s="1"/>
      <c r="BT807" s="1"/>
      <c r="BU807" s="4"/>
    </row>
    <row r="808">
      <c r="AK808" s="1"/>
      <c r="AQ808" s="1"/>
      <c r="AW808" s="1"/>
      <c r="BC808" s="1"/>
      <c r="BD808" s="1"/>
      <c r="BE808" s="1"/>
      <c r="BF808" s="1"/>
      <c r="BG808" s="1"/>
      <c r="BH808" s="1"/>
      <c r="BI808" s="1"/>
      <c r="BO808" s="1"/>
      <c r="BP808" s="1"/>
      <c r="BQ808" s="1"/>
      <c r="BR808" s="1"/>
      <c r="BS808" s="1"/>
      <c r="BT808" s="1"/>
      <c r="BU808" s="4"/>
    </row>
    <row r="809">
      <c r="AK809" s="1"/>
      <c r="AQ809" s="1"/>
      <c r="AW809" s="1"/>
      <c r="BC809" s="1"/>
      <c r="BD809" s="1"/>
      <c r="BE809" s="1"/>
      <c r="BF809" s="1"/>
      <c r="BG809" s="1"/>
      <c r="BH809" s="1"/>
      <c r="BI809" s="1"/>
      <c r="BO809" s="1"/>
      <c r="BP809" s="1"/>
      <c r="BQ809" s="1"/>
      <c r="BR809" s="1"/>
      <c r="BS809" s="1"/>
      <c r="BT809" s="1"/>
      <c r="BU809" s="4"/>
    </row>
    <row r="810">
      <c r="AK810" s="1"/>
      <c r="AQ810" s="1"/>
      <c r="AW810" s="1"/>
      <c r="BC810" s="1"/>
      <c r="BD810" s="1"/>
      <c r="BE810" s="1"/>
      <c r="BF810" s="1"/>
      <c r="BG810" s="1"/>
      <c r="BH810" s="1"/>
      <c r="BI810" s="1"/>
      <c r="BO810" s="1"/>
      <c r="BP810" s="1"/>
      <c r="BQ810" s="1"/>
      <c r="BR810" s="1"/>
      <c r="BS810" s="1"/>
      <c r="BT810" s="1"/>
      <c r="BU810" s="4"/>
    </row>
    <row r="811">
      <c r="AK811" s="1"/>
      <c r="AQ811" s="1"/>
      <c r="AW811" s="1"/>
      <c r="BC811" s="1"/>
      <c r="BD811" s="1"/>
      <c r="BE811" s="1"/>
      <c r="BF811" s="1"/>
      <c r="BG811" s="1"/>
      <c r="BH811" s="1"/>
      <c r="BI811" s="1"/>
      <c r="BO811" s="1"/>
      <c r="BP811" s="1"/>
      <c r="BQ811" s="1"/>
      <c r="BR811" s="1"/>
      <c r="BS811" s="1"/>
      <c r="BT811" s="1"/>
      <c r="BU811" s="4"/>
    </row>
    <row r="812">
      <c r="AK812" s="1"/>
      <c r="AQ812" s="1"/>
      <c r="AW812" s="1"/>
      <c r="BC812" s="1"/>
      <c r="BD812" s="1"/>
      <c r="BE812" s="1"/>
      <c r="BF812" s="1"/>
      <c r="BG812" s="1"/>
      <c r="BH812" s="1"/>
      <c r="BI812" s="1"/>
      <c r="BO812" s="1"/>
      <c r="BP812" s="1"/>
      <c r="BQ812" s="1"/>
      <c r="BR812" s="1"/>
      <c r="BS812" s="1"/>
      <c r="BT812" s="1"/>
      <c r="BU812" s="4"/>
    </row>
    <row r="813">
      <c r="AK813" s="1"/>
      <c r="AQ813" s="1"/>
      <c r="AW813" s="1"/>
      <c r="BC813" s="1"/>
      <c r="BD813" s="1"/>
      <c r="BE813" s="1"/>
      <c r="BF813" s="1"/>
      <c r="BG813" s="1"/>
      <c r="BH813" s="1"/>
      <c r="BI813" s="1"/>
      <c r="BO813" s="1"/>
      <c r="BP813" s="1"/>
      <c r="BQ813" s="1"/>
      <c r="BR813" s="1"/>
      <c r="BS813" s="1"/>
      <c r="BT813" s="1"/>
      <c r="BU813" s="4"/>
    </row>
    <row r="814">
      <c r="AK814" s="1"/>
      <c r="AQ814" s="1"/>
      <c r="AW814" s="1"/>
      <c r="BC814" s="1"/>
      <c r="BD814" s="1"/>
      <c r="BE814" s="1"/>
      <c r="BF814" s="1"/>
      <c r="BG814" s="1"/>
      <c r="BH814" s="1"/>
      <c r="BI814" s="1"/>
      <c r="BO814" s="1"/>
      <c r="BP814" s="1"/>
      <c r="BQ814" s="1"/>
      <c r="BR814" s="1"/>
      <c r="BS814" s="1"/>
      <c r="BT814" s="1"/>
      <c r="BU814" s="4"/>
    </row>
    <row r="815">
      <c r="AK815" s="1"/>
      <c r="AQ815" s="1"/>
      <c r="AW815" s="1"/>
      <c r="BC815" s="1"/>
      <c r="BD815" s="1"/>
      <c r="BE815" s="1"/>
      <c r="BF815" s="1"/>
      <c r="BG815" s="1"/>
      <c r="BH815" s="1"/>
      <c r="BI815" s="1"/>
      <c r="BO815" s="1"/>
      <c r="BP815" s="1"/>
      <c r="BQ815" s="1"/>
      <c r="BR815" s="1"/>
      <c r="BS815" s="1"/>
      <c r="BT815" s="1"/>
      <c r="BU815" s="4"/>
    </row>
    <row r="816">
      <c r="AK816" s="1"/>
      <c r="AQ816" s="1"/>
      <c r="AW816" s="1"/>
      <c r="BC816" s="1"/>
      <c r="BD816" s="1"/>
      <c r="BE816" s="1"/>
      <c r="BF816" s="1"/>
      <c r="BG816" s="1"/>
      <c r="BH816" s="1"/>
      <c r="BI816" s="1"/>
      <c r="BO816" s="1"/>
      <c r="BP816" s="1"/>
      <c r="BQ816" s="1"/>
      <c r="BR816" s="1"/>
      <c r="BS816" s="1"/>
      <c r="BT816" s="1"/>
      <c r="BU816" s="4"/>
    </row>
    <row r="817">
      <c r="AK817" s="1"/>
      <c r="AQ817" s="1"/>
      <c r="AW817" s="1"/>
      <c r="BC817" s="1"/>
      <c r="BD817" s="1"/>
      <c r="BE817" s="1"/>
      <c r="BF817" s="1"/>
      <c r="BG817" s="1"/>
      <c r="BH817" s="1"/>
      <c r="BI817" s="1"/>
      <c r="BO817" s="1"/>
      <c r="BP817" s="1"/>
      <c r="BQ817" s="1"/>
      <c r="BR817" s="1"/>
      <c r="BS817" s="1"/>
      <c r="BT817" s="1"/>
      <c r="BU817" s="4"/>
    </row>
    <row r="818">
      <c r="AK818" s="1"/>
      <c r="AQ818" s="1"/>
      <c r="AW818" s="1"/>
      <c r="BC818" s="1"/>
      <c r="BD818" s="1"/>
      <c r="BE818" s="1"/>
      <c r="BF818" s="1"/>
      <c r="BG818" s="1"/>
      <c r="BH818" s="1"/>
      <c r="BI818" s="1"/>
      <c r="BO818" s="1"/>
      <c r="BP818" s="1"/>
      <c r="BQ818" s="1"/>
      <c r="BR818" s="1"/>
      <c r="BS818" s="1"/>
      <c r="BT818" s="1"/>
      <c r="BU818" s="4"/>
    </row>
    <row r="819">
      <c r="AK819" s="1"/>
      <c r="AQ819" s="1"/>
      <c r="AW819" s="1"/>
      <c r="BC819" s="1"/>
      <c r="BD819" s="1"/>
      <c r="BE819" s="1"/>
      <c r="BF819" s="1"/>
      <c r="BG819" s="1"/>
      <c r="BH819" s="1"/>
      <c r="BI819" s="1"/>
      <c r="BO819" s="1"/>
      <c r="BP819" s="1"/>
      <c r="BQ819" s="1"/>
      <c r="BR819" s="1"/>
      <c r="BS819" s="1"/>
      <c r="BT819" s="1"/>
      <c r="BU819" s="4"/>
    </row>
    <row r="820">
      <c r="AK820" s="1"/>
      <c r="AQ820" s="1"/>
      <c r="AW820" s="1"/>
      <c r="BC820" s="1"/>
      <c r="BD820" s="1"/>
      <c r="BE820" s="1"/>
      <c r="BF820" s="1"/>
      <c r="BG820" s="1"/>
      <c r="BH820" s="1"/>
      <c r="BI820" s="1"/>
      <c r="BO820" s="1"/>
      <c r="BP820" s="1"/>
      <c r="BQ820" s="1"/>
      <c r="BR820" s="1"/>
      <c r="BS820" s="1"/>
      <c r="BT820" s="1"/>
      <c r="BU820" s="4"/>
    </row>
    <row r="821">
      <c r="AK821" s="1"/>
      <c r="AQ821" s="1"/>
      <c r="AW821" s="1"/>
      <c r="BC821" s="1"/>
      <c r="BD821" s="1"/>
      <c r="BE821" s="1"/>
      <c r="BF821" s="1"/>
      <c r="BG821" s="1"/>
      <c r="BH821" s="1"/>
      <c r="BI821" s="1"/>
      <c r="BO821" s="1"/>
      <c r="BP821" s="1"/>
      <c r="BQ821" s="1"/>
      <c r="BR821" s="1"/>
      <c r="BS821" s="1"/>
      <c r="BT821" s="1"/>
      <c r="BU821" s="4"/>
    </row>
    <row r="822">
      <c r="AK822" s="1"/>
      <c r="AQ822" s="1"/>
      <c r="AW822" s="1"/>
      <c r="BC822" s="1"/>
      <c r="BD822" s="1"/>
      <c r="BE822" s="1"/>
      <c r="BF822" s="1"/>
      <c r="BG822" s="1"/>
      <c r="BH822" s="1"/>
      <c r="BI822" s="1"/>
      <c r="BO822" s="1"/>
      <c r="BP822" s="1"/>
      <c r="BQ822" s="1"/>
      <c r="BR822" s="1"/>
      <c r="BS822" s="1"/>
      <c r="BT822" s="1"/>
      <c r="BU822" s="4"/>
    </row>
    <row r="823">
      <c r="AK823" s="1"/>
      <c r="AQ823" s="1"/>
      <c r="AW823" s="1"/>
      <c r="BC823" s="1"/>
      <c r="BD823" s="1"/>
      <c r="BE823" s="1"/>
      <c r="BF823" s="1"/>
      <c r="BG823" s="1"/>
      <c r="BH823" s="1"/>
      <c r="BI823" s="1"/>
      <c r="BO823" s="1"/>
      <c r="BP823" s="1"/>
      <c r="BQ823" s="1"/>
      <c r="BR823" s="1"/>
      <c r="BS823" s="1"/>
      <c r="BT823" s="1"/>
      <c r="BU823" s="4"/>
    </row>
    <row r="824">
      <c r="AK824" s="1"/>
      <c r="AQ824" s="1"/>
      <c r="AW824" s="1"/>
      <c r="BC824" s="1"/>
      <c r="BD824" s="1"/>
      <c r="BE824" s="1"/>
      <c r="BF824" s="1"/>
      <c r="BG824" s="1"/>
      <c r="BH824" s="1"/>
      <c r="BI824" s="1"/>
      <c r="BO824" s="1"/>
      <c r="BP824" s="1"/>
      <c r="BQ824" s="1"/>
      <c r="BR824" s="1"/>
      <c r="BS824" s="1"/>
      <c r="BT824" s="1"/>
      <c r="BU824" s="4"/>
    </row>
    <row r="825">
      <c r="AK825" s="1"/>
      <c r="AQ825" s="1"/>
      <c r="AW825" s="1"/>
      <c r="BC825" s="1"/>
      <c r="BD825" s="1"/>
      <c r="BE825" s="1"/>
      <c r="BF825" s="1"/>
      <c r="BG825" s="1"/>
      <c r="BH825" s="1"/>
      <c r="BI825" s="1"/>
      <c r="BO825" s="1"/>
      <c r="BP825" s="1"/>
      <c r="BQ825" s="1"/>
      <c r="BR825" s="1"/>
      <c r="BS825" s="1"/>
      <c r="BT825" s="1"/>
      <c r="BU825" s="4"/>
    </row>
    <row r="826">
      <c r="AK826" s="1"/>
      <c r="AQ826" s="1"/>
      <c r="AW826" s="1"/>
      <c r="BC826" s="1"/>
      <c r="BD826" s="1"/>
      <c r="BE826" s="1"/>
      <c r="BF826" s="1"/>
      <c r="BG826" s="1"/>
      <c r="BH826" s="1"/>
      <c r="BI826" s="1"/>
      <c r="BO826" s="1"/>
      <c r="BP826" s="1"/>
      <c r="BQ826" s="1"/>
      <c r="BR826" s="1"/>
      <c r="BS826" s="1"/>
      <c r="BT826" s="1"/>
      <c r="BU826" s="4"/>
    </row>
    <row r="827">
      <c r="AK827" s="1"/>
      <c r="AQ827" s="1"/>
      <c r="AW827" s="1"/>
      <c r="BC827" s="1"/>
      <c r="BD827" s="1"/>
      <c r="BE827" s="1"/>
      <c r="BF827" s="1"/>
      <c r="BG827" s="1"/>
      <c r="BH827" s="1"/>
      <c r="BI827" s="1"/>
      <c r="BO827" s="1"/>
      <c r="BP827" s="1"/>
      <c r="BQ827" s="1"/>
      <c r="BR827" s="1"/>
      <c r="BS827" s="1"/>
      <c r="BT827" s="1"/>
      <c r="BU827" s="4"/>
    </row>
    <row r="828">
      <c r="AK828" s="1"/>
      <c r="AQ828" s="1"/>
      <c r="AW828" s="1"/>
      <c r="BC828" s="1"/>
      <c r="BD828" s="1"/>
      <c r="BE828" s="1"/>
      <c r="BF828" s="1"/>
      <c r="BG828" s="1"/>
      <c r="BH828" s="1"/>
      <c r="BI828" s="1"/>
      <c r="BO828" s="1"/>
      <c r="BP828" s="1"/>
      <c r="BQ828" s="1"/>
      <c r="BR828" s="1"/>
      <c r="BS828" s="1"/>
      <c r="BT828" s="1"/>
      <c r="BU828" s="4"/>
    </row>
    <row r="829">
      <c r="AK829" s="1"/>
      <c r="AQ829" s="1"/>
      <c r="AW829" s="1"/>
      <c r="BC829" s="1"/>
      <c r="BD829" s="1"/>
      <c r="BE829" s="1"/>
      <c r="BF829" s="1"/>
      <c r="BG829" s="1"/>
      <c r="BH829" s="1"/>
      <c r="BI829" s="1"/>
      <c r="BO829" s="1"/>
      <c r="BP829" s="1"/>
      <c r="BQ829" s="1"/>
      <c r="BR829" s="1"/>
      <c r="BS829" s="1"/>
      <c r="BT829" s="1"/>
      <c r="BU829" s="4"/>
    </row>
    <row r="830">
      <c r="AK830" s="1"/>
      <c r="AQ830" s="1"/>
      <c r="AW830" s="1"/>
      <c r="BC830" s="1"/>
      <c r="BD830" s="1"/>
      <c r="BE830" s="1"/>
      <c r="BF830" s="1"/>
      <c r="BG830" s="1"/>
      <c r="BH830" s="1"/>
      <c r="BI830" s="1"/>
      <c r="BO830" s="1"/>
      <c r="BP830" s="1"/>
      <c r="BQ830" s="1"/>
      <c r="BR830" s="1"/>
      <c r="BS830" s="1"/>
      <c r="BT830" s="1"/>
      <c r="BU830" s="4"/>
    </row>
    <row r="831">
      <c r="AK831" s="1"/>
      <c r="AQ831" s="1"/>
      <c r="AW831" s="1"/>
      <c r="BC831" s="1"/>
      <c r="BD831" s="1"/>
      <c r="BE831" s="1"/>
      <c r="BF831" s="1"/>
      <c r="BG831" s="1"/>
      <c r="BH831" s="1"/>
      <c r="BI831" s="1"/>
      <c r="BO831" s="1"/>
      <c r="BP831" s="1"/>
      <c r="BQ831" s="1"/>
      <c r="BR831" s="1"/>
      <c r="BS831" s="1"/>
      <c r="BT831" s="1"/>
      <c r="BU831" s="4"/>
    </row>
    <row r="832">
      <c r="AK832" s="1"/>
      <c r="AQ832" s="1"/>
      <c r="AW832" s="1"/>
      <c r="BC832" s="1"/>
      <c r="BD832" s="1"/>
      <c r="BE832" s="1"/>
      <c r="BF832" s="1"/>
      <c r="BG832" s="1"/>
      <c r="BH832" s="1"/>
      <c r="BI832" s="1"/>
      <c r="BO832" s="1"/>
      <c r="BP832" s="1"/>
      <c r="BQ832" s="1"/>
      <c r="BR832" s="1"/>
      <c r="BS832" s="1"/>
      <c r="BT832" s="1"/>
      <c r="BU832" s="4"/>
    </row>
    <row r="833">
      <c r="AK833" s="1"/>
      <c r="AQ833" s="1"/>
      <c r="AW833" s="1"/>
      <c r="BC833" s="1"/>
      <c r="BD833" s="1"/>
      <c r="BE833" s="1"/>
      <c r="BF833" s="1"/>
      <c r="BG833" s="1"/>
      <c r="BH833" s="1"/>
      <c r="BI833" s="1"/>
      <c r="BO833" s="1"/>
      <c r="BP833" s="1"/>
      <c r="BQ833" s="1"/>
      <c r="BR833" s="1"/>
      <c r="BS833" s="1"/>
      <c r="BT833" s="1"/>
      <c r="BU833" s="4"/>
    </row>
    <row r="834">
      <c r="AK834" s="1"/>
      <c r="AQ834" s="1"/>
      <c r="AW834" s="1"/>
      <c r="BC834" s="1"/>
      <c r="BD834" s="1"/>
      <c r="BE834" s="1"/>
      <c r="BF834" s="1"/>
      <c r="BG834" s="1"/>
      <c r="BH834" s="1"/>
      <c r="BI834" s="1"/>
      <c r="BO834" s="1"/>
      <c r="BP834" s="1"/>
      <c r="BQ834" s="1"/>
      <c r="BR834" s="1"/>
      <c r="BS834" s="1"/>
      <c r="BT834" s="1"/>
      <c r="BU834" s="4"/>
    </row>
    <row r="835">
      <c r="AK835" s="1"/>
      <c r="AQ835" s="1"/>
      <c r="AW835" s="1"/>
      <c r="BC835" s="1"/>
      <c r="BD835" s="1"/>
      <c r="BE835" s="1"/>
      <c r="BF835" s="1"/>
      <c r="BG835" s="1"/>
      <c r="BH835" s="1"/>
      <c r="BI835" s="1"/>
      <c r="BO835" s="1"/>
      <c r="BP835" s="1"/>
      <c r="BQ835" s="1"/>
      <c r="BR835" s="1"/>
      <c r="BS835" s="1"/>
      <c r="BT835" s="1"/>
      <c r="BU835" s="4"/>
    </row>
    <row r="836">
      <c r="AK836" s="1"/>
      <c r="AQ836" s="1"/>
      <c r="AW836" s="1"/>
      <c r="BC836" s="1"/>
      <c r="BD836" s="1"/>
      <c r="BE836" s="1"/>
      <c r="BF836" s="1"/>
      <c r="BG836" s="1"/>
      <c r="BH836" s="1"/>
      <c r="BI836" s="1"/>
      <c r="BO836" s="1"/>
      <c r="BP836" s="1"/>
      <c r="BQ836" s="1"/>
      <c r="BR836" s="1"/>
      <c r="BS836" s="1"/>
      <c r="BT836" s="1"/>
      <c r="BU836" s="4"/>
    </row>
    <row r="837">
      <c r="AK837" s="1"/>
      <c r="AQ837" s="1"/>
      <c r="AW837" s="1"/>
      <c r="BC837" s="1"/>
      <c r="BD837" s="1"/>
      <c r="BE837" s="1"/>
      <c r="BF837" s="1"/>
      <c r="BG837" s="1"/>
      <c r="BH837" s="1"/>
      <c r="BI837" s="1"/>
      <c r="BO837" s="1"/>
      <c r="BP837" s="1"/>
      <c r="BQ837" s="1"/>
      <c r="BR837" s="1"/>
      <c r="BS837" s="1"/>
      <c r="BT837" s="1"/>
      <c r="BU837" s="4"/>
    </row>
    <row r="838">
      <c r="AK838" s="1"/>
      <c r="AQ838" s="1"/>
      <c r="AW838" s="1"/>
      <c r="BC838" s="1"/>
      <c r="BD838" s="1"/>
      <c r="BE838" s="1"/>
      <c r="BF838" s="1"/>
      <c r="BG838" s="1"/>
      <c r="BH838" s="1"/>
      <c r="BI838" s="1"/>
      <c r="BO838" s="1"/>
      <c r="BP838" s="1"/>
      <c r="BQ838" s="1"/>
      <c r="BR838" s="1"/>
      <c r="BS838" s="1"/>
      <c r="BT838" s="1"/>
      <c r="BU838" s="4"/>
    </row>
    <row r="839">
      <c r="AK839" s="1"/>
      <c r="AQ839" s="1"/>
      <c r="AW839" s="1"/>
      <c r="BC839" s="1"/>
      <c r="BD839" s="1"/>
      <c r="BE839" s="1"/>
      <c r="BF839" s="1"/>
      <c r="BG839" s="1"/>
      <c r="BH839" s="1"/>
      <c r="BI839" s="1"/>
      <c r="BO839" s="1"/>
      <c r="BP839" s="1"/>
      <c r="BQ839" s="1"/>
      <c r="BR839" s="1"/>
      <c r="BS839" s="1"/>
      <c r="BT839" s="1"/>
      <c r="BU839" s="4"/>
    </row>
    <row r="840">
      <c r="AK840" s="1"/>
      <c r="AQ840" s="1"/>
      <c r="AW840" s="1"/>
      <c r="BC840" s="1"/>
      <c r="BD840" s="1"/>
      <c r="BE840" s="1"/>
      <c r="BF840" s="1"/>
      <c r="BG840" s="1"/>
      <c r="BH840" s="1"/>
      <c r="BI840" s="1"/>
      <c r="BO840" s="1"/>
      <c r="BP840" s="1"/>
      <c r="BQ840" s="1"/>
      <c r="BR840" s="1"/>
      <c r="BS840" s="1"/>
      <c r="BT840" s="1"/>
      <c r="BU840" s="4"/>
    </row>
    <row r="841">
      <c r="AK841" s="1"/>
      <c r="AQ841" s="1"/>
      <c r="AW841" s="1"/>
      <c r="BC841" s="1"/>
      <c r="BD841" s="1"/>
      <c r="BE841" s="1"/>
      <c r="BF841" s="1"/>
      <c r="BG841" s="1"/>
      <c r="BH841" s="1"/>
      <c r="BI841" s="1"/>
      <c r="BO841" s="1"/>
      <c r="BP841" s="1"/>
      <c r="BQ841" s="1"/>
      <c r="BR841" s="1"/>
      <c r="BS841" s="1"/>
      <c r="BT841" s="1"/>
      <c r="BU841" s="4"/>
    </row>
    <row r="842">
      <c r="AK842" s="1"/>
      <c r="AQ842" s="1"/>
      <c r="AW842" s="1"/>
      <c r="BC842" s="1"/>
      <c r="BD842" s="1"/>
      <c r="BE842" s="1"/>
      <c r="BF842" s="1"/>
      <c r="BG842" s="1"/>
      <c r="BH842" s="1"/>
      <c r="BI842" s="1"/>
      <c r="BO842" s="1"/>
      <c r="BP842" s="1"/>
      <c r="BQ842" s="1"/>
      <c r="BR842" s="1"/>
      <c r="BS842" s="1"/>
      <c r="BT842" s="1"/>
      <c r="BU842" s="4"/>
    </row>
    <row r="843">
      <c r="AK843" s="1"/>
      <c r="AQ843" s="1"/>
      <c r="AW843" s="1"/>
      <c r="BC843" s="1"/>
      <c r="BD843" s="1"/>
      <c r="BE843" s="1"/>
      <c r="BF843" s="1"/>
      <c r="BG843" s="1"/>
      <c r="BH843" s="1"/>
      <c r="BI843" s="1"/>
      <c r="BO843" s="1"/>
      <c r="BP843" s="1"/>
      <c r="BQ843" s="1"/>
      <c r="BR843" s="1"/>
      <c r="BS843" s="1"/>
      <c r="BT843" s="1"/>
      <c r="BU843" s="4"/>
    </row>
    <row r="844">
      <c r="AK844" s="1"/>
      <c r="AQ844" s="1"/>
      <c r="AW844" s="1"/>
      <c r="BC844" s="1"/>
      <c r="BD844" s="1"/>
      <c r="BE844" s="1"/>
      <c r="BF844" s="1"/>
      <c r="BG844" s="1"/>
      <c r="BH844" s="1"/>
      <c r="BI844" s="1"/>
      <c r="BO844" s="1"/>
      <c r="BP844" s="1"/>
      <c r="BQ844" s="1"/>
      <c r="BR844" s="1"/>
      <c r="BS844" s="1"/>
      <c r="BT844" s="1"/>
      <c r="BU844" s="4"/>
    </row>
    <row r="845">
      <c r="AK845" s="1"/>
      <c r="AQ845" s="1"/>
      <c r="AW845" s="1"/>
      <c r="BC845" s="1"/>
      <c r="BD845" s="1"/>
      <c r="BE845" s="1"/>
      <c r="BF845" s="1"/>
      <c r="BG845" s="1"/>
      <c r="BH845" s="1"/>
      <c r="BI845" s="1"/>
      <c r="BO845" s="1"/>
      <c r="BP845" s="1"/>
      <c r="BQ845" s="1"/>
      <c r="BR845" s="1"/>
      <c r="BS845" s="1"/>
      <c r="BT845" s="1"/>
      <c r="BU845" s="4"/>
    </row>
    <row r="846">
      <c r="AK846" s="1"/>
      <c r="AQ846" s="1"/>
      <c r="AW846" s="1"/>
      <c r="BC846" s="1"/>
      <c r="BD846" s="1"/>
      <c r="BE846" s="1"/>
      <c r="BF846" s="1"/>
      <c r="BG846" s="1"/>
      <c r="BH846" s="1"/>
      <c r="BI846" s="1"/>
      <c r="BO846" s="1"/>
      <c r="BP846" s="1"/>
      <c r="BQ846" s="1"/>
      <c r="BR846" s="1"/>
      <c r="BS846" s="1"/>
      <c r="BT846" s="1"/>
      <c r="BU846" s="4"/>
    </row>
    <row r="847">
      <c r="AK847" s="1"/>
      <c r="AQ847" s="1"/>
      <c r="AW847" s="1"/>
      <c r="BC847" s="1"/>
      <c r="BD847" s="1"/>
      <c r="BE847" s="1"/>
      <c r="BF847" s="1"/>
      <c r="BG847" s="1"/>
      <c r="BH847" s="1"/>
      <c r="BI847" s="1"/>
      <c r="BO847" s="1"/>
      <c r="BP847" s="1"/>
      <c r="BQ847" s="1"/>
      <c r="BR847" s="1"/>
      <c r="BS847" s="1"/>
      <c r="BT847" s="1"/>
      <c r="BU847" s="4"/>
    </row>
    <row r="848">
      <c r="AK848" s="1"/>
      <c r="AQ848" s="1"/>
      <c r="AW848" s="1"/>
      <c r="BC848" s="1"/>
      <c r="BD848" s="1"/>
      <c r="BE848" s="1"/>
      <c r="BF848" s="1"/>
      <c r="BG848" s="1"/>
      <c r="BH848" s="1"/>
      <c r="BI848" s="1"/>
      <c r="BO848" s="1"/>
      <c r="BP848" s="1"/>
      <c r="BQ848" s="1"/>
      <c r="BR848" s="1"/>
      <c r="BS848" s="1"/>
      <c r="BT848" s="1"/>
      <c r="BU848" s="4"/>
    </row>
    <row r="849">
      <c r="AK849" s="1"/>
      <c r="AQ849" s="1"/>
      <c r="AW849" s="1"/>
      <c r="BC849" s="1"/>
      <c r="BD849" s="1"/>
      <c r="BE849" s="1"/>
      <c r="BF849" s="1"/>
      <c r="BG849" s="1"/>
      <c r="BH849" s="1"/>
      <c r="BI849" s="1"/>
      <c r="BO849" s="1"/>
      <c r="BP849" s="1"/>
      <c r="BQ849" s="1"/>
      <c r="BR849" s="1"/>
      <c r="BS849" s="1"/>
      <c r="BT849" s="1"/>
      <c r="BU849" s="4"/>
    </row>
    <row r="850">
      <c r="AK850" s="1"/>
      <c r="AQ850" s="1"/>
      <c r="AW850" s="1"/>
      <c r="BC850" s="1"/>
      <c r="BD850" s="1"/>
      <c r="BE850" s="1"/>
      <c r="BF850" s="1"/>
      <c r="BG850" s="1"/>
      <c r="BH850" s="1"/>
      <c r="BI850" s="1"/>
      <c r="BO850" s="1"/>
      <c r="BP850" s="1"/>
      <c r="BQ850" s="1"/>
      <c r="BR850" s="1"/>
      <c r="BS850" s="1"/>
      <c r="BT850" s="1"/>
      <c r="BU850" s="4"/>
    </row>
    <row r="851">
      <c r="AK851" s="1"/>
      <c r="AQ851" s="1"/>
      <c r="AW851" s="1"/>
      <c r="BC851" s="1"/>
      <c r="BD851" s="1"/>
      <c r="BE851" s="1"/>
      <c r="BF851" s="1"/>
      <c r="BG851" s="1"/>
      <c r="BH851" s="1"/>
      <c r="BI851" s="1"/>
      <c r="BO851" s="1"/>
      <c r="BP851" s="1"/>
      <c r="BQ851" s="1"/>
      <c r="BR851" s="1"/>
      <c r="BS851" s="1"/>
      <c r="BT851" s="1"/>
      <c r="BU851" s="4"/>
    </row>
    <row r="852">
      <c r="AK852" s="1"/>
      <c r="AQ852" s="1"/>
      <c r="AW852" s="1"/>
      <c r="BC852" s="1"/>
      <c r="BD852" s="1"/>
      <c r="BE852" s="1"/>
      <c r="BF852" s="1"/>
      <c r="BG852" s="1"/>
      <c r="BH852" s="1"/>
      <c r="BI852" s="1"/>
      <c r="BO852" s="1"/>
      <c r="BP852" s="1"/>
      <c r="BQ852" s="1"/>
      <c r="BR852" s="1"/>
      <c r="BS852" s="1"/>
      <c r="BT852" s="1"/>
      <c r="BU852" s="4"/>
    </row>
    <row r="853">
      <c r="AK853" s="1"/>
      <c r="AQ853" s="1"/>
      <c r="AW853" s="1"/>
      <c r="BC853" s="1"/>
      <c r="BD853" s="1"/>
      <c r="BE853" s="1"/>
      <c r="BF853" s="1"/>
      <c r="BG853" s="1"/>
      <c r="BH853" s="1"/>
      <c r="BI853" s="1"/>
      <c r="BO853" s="1"/>
      <c r="BP853" s="1"/>
      <c r="BQ853" s="1"/>
      <c r="BR853" s="1"/>
      <c r="BS853" s="1"/>
      <c r="BT853" s="1"/>
      <c r="BU853" s="4"/>
    </row>
    <row r="854">
      <c r="AK854" s="1"/>
      <c r="AQ854" s="1"/>
      <c r="AW854" s="1"/>
      <c r="BC854" s="1"/>
      <c r="BD854" s="1"/>
      <c r="BE854" s="1"/>
      <c r="BF854" s="1"/>
      <c r="BG854" s="1"/>
      <c r="BH854" s="1"/>
      <c r="BI854" s="1"/>
      <c r="BO854" s="1"/>
      <c r="BP854" s="1"/>
      <c r="BQ854" s="1"/>
      <c r="BR854" s="1"/>
      <c r="BS854" s="1"/>
      <c r="BT854" s="1"/>
      <c r="BU854" s="4"/>
    </row>
    <row r="855">
      <c r="AK855" s="1"/>
      <c r="AQ855" s="1"/>
      <c r="AW855" s="1"/>
      <c r="BC855" s="1"/>
      <c r="BD855" s="1"/>
      <c r="BE855" s="1"/>
      <c r="BF855" s="1"/>
      <c r="BG855" s="1"/>
      <c r="BH855" s="1"/>
      <c r="BI855" s="1"/>
      <c r="BO855" s="1"/>
      <c r="BP855" s="1"/>
      <c r="BQ855" s="1"/>
      <c r="BR855" s="1"/>
      <c r="BS855" s="1"/>
      <c r="BT855" s="1"/>
      <c r="BU855" s="4"/>
    </row>
    <row r="856">
      <c r="AK856" s="1"/>
      <c r="AQ856" s="1"/>
      <c r="AW856" s="1"/>
      <c r="BC856" s="1"/>
      <c r="BD856" s="1"/>
      <c r="BE856" s="1"/>
      <c r="BF856" s="1"/>
      <c r="BG856" s="1"/>
      <c r="BH856" s="1"/>
      <c r="BI856" s="1"/>
      <c r="BO856" s="1"/>
      <c r="BP856" s="1"/>
      <c r="BQ856" s="1"/>
      <c r="BR856" s="1"/>
      <c r="BS856" s="1"/>
      <c r="BT856" s="1"/>
      <c r="BU856" s="4"/>
    </row>
    <row r="857">
      <c r="AK857" s="1"/>
      <c r="AQ857" s="1"/>
      <c r="AW857" s="1"/>
      <c r="BC857" s="1"/>
      <c r="BD857" s="1"/>
      <c r="BE857" s="1"/>
      <c r="BF857" s="1"/>
      <c r="BG857" s="1"/>
      <c r="BH857" s="1"/>
      <c r="BI857" s="1"/>
      <c r="BO857" s="1"/>
      <c r="BP857" s="1"/>
      <c r="BQ857" s="1"/>
      <c r="BR857" s="1"/>
      <c r="BS857" s="1"/>
      <c r="BT857" s="1"/>
      <c r="BU857" s="4"/>
    </row>
    <row r="858">
      <c r="AK858" s="1"/>
      <c r="AQ858" s="1"/>
      <c r="AW858" s="1"/>
      <c r="BC858" s="1"/>
      <c r="BD858" s="1"/>
      <c r="BE858" s="1"/>
      <c r="BF858" s="1"/>
      <c r="BG858" s="1"/>
      <c r="BH858" s="1"/>
      <c r="BI858" s="1"/>
      <c r="BO858" s="1"/>
      <c r="BP858" s="1"/>
      <c r="BQ858" s="1"/>
      <c r="BR858" s="1"/>
      <c r="BS858" s="1"/>
      <c r="BT858" s="1"/>
      <c r="BU858" s="4"/>
    </row>
    <row r="859">
      <c r="AK859" s="1"/>
      <c r="AQ859" s="1"/>
      <c r="AW859" s="1"/>
      <c r="BC859" s="1"/>
      <c r="BD859" s="1"/>
      <c r="BE859" s="1"/>
      <c r="BF859" s="1"/>
      <c r="BG859" s="1"/>
      <c r="BH859" s="1"/>
      <c r="BI859" s="1"/>
      <c r="BO859" s="1"/>
      <c r="BP859" s="1"/>
      <c r="BQ859" s="1"/>
      <c r="BR859" s="1"/>
      <c r="BS859" s="1"/>
      <c r="BT859" s="1"/>
      <c r="BU859" s="4"/>
    </row>
    <row r="860">
      <c r="AK860" s="1"/>
      <c r="AQ860" s="1"/>
      <c r="AW860" s="1"/>
      <c r="BC860" s="1"/>
      <c r="BD860" s="1"/>
      <c r="BE860" s="1"/>
      <c r="BF860" s="1"/>
      <c r="BG860" s="1"/>
      <c r="BH860" s="1"/>
      <c r="BI860" s="1"/>
      <c r="BO860" s="1"/>
      <c r="BP860" s="1"/>
      <c r="BQ860" s="1"/>
      <c r="BR860" s="1"/>
      <c r="BS860" s="1"/>
      <c r="BT860" s="1"/>
      <c r="BU860" s="4"/>
    </row>
    <row r="861">
      <c r="AK861" s="1"/>
      <c r="AQ861" s="1"/>
      <c r="AW861" s="1"/>
      <c r="BC861" s="1"/>
      <c r="BD861" s="1"/>
      <c r="BE861" s="1"/>
      <c r="BF861" s="1"/>
      <c r="BG861" s="1"/>
      <c r="BH861" s="1"/>
      <c r="BI861" s="1"/>
      <c r="BO861" s="1"/>
      <c r="BP861" s="1"/>
      <c r="BQ861" s="1"/>
      <c r="BR861" s="1"/>
      <c r="BS861" s="1"/>
      <c r="BT861" s="1"/>
      <c r="BU861" s="4"/>
    </row>
    <row r="862">
      <c r="AK862" s="1"/>
      <c r="AQ862" s="1"/>
      <c r="AW862" s="1"/>
      <c r="BC862" s="1"/>
      <c r="BD862" s="1"/>
      <c r="BE862" s="1"/>
      <c r="BF862" s="1"/>
      <c r="BG862" s="1"/>
      <c r="BH862" s="1"/>
      <c r="BI862" s="1"/>
      <c r="BO862" s="1"/>
      <c r="BP862" s="1"/>
      <c r="BQ862" s="1"/>
      <c r="BR862" s="1"/>
      <c r="BS862" s="1"/>
      <c r="BT862" s="1"/>
      <c r="BU862" s="4"/>
    </row>
    <row r="863">
      <c r="AK863" s="1"/>
      <c r="AQ863" s="1"/>
      <c r="AW863" s="1"/>
      <c r="BC863" s="1"/>
      <c r="BD863" s="1"/>
      <c r="BE863" s="1"/>
      <c r="BF863" s="1"/>
      <c r="BG863" s="1"/>
      <c r="BH863" s="1"/>
      <c r="BI863" s="1"/>
      <c r="BO863" s="1"/>
      <c r="BP863" s="1"/>
      <c r="BQ863" s="1"/>
      <c r="BR863" s="1"/>
      <c r="BS863" s="1"/>
      <c r="BT863" s="1"/>
      <c r="BU863" s="4"/>
    </row>
    <row r="864">
      <c r="AK864" s="1"/>
      <c r="AQ864" s="1"/>
      <c r="AW864" s="1"/>
      <c r="BC864" s="1"/>
      <c r="BD864" s="1"/>
      <c r="BE864" s="1"/>
      <c r="BF864" s="1"/>
      <c r="BG864" s="1"/>
      <c r="BH864" s="1"/>
      <c r="BI864" s="1"/>
      <c r="BO864" s="1"/>
      <c r="BP864" s="1"/>
      <c r="BQ864" s="1"/>
      <c r="BR864" s="1"/>
      <c r="BS864" s="1"/>
      <c r="BT864" s="1"/>
      <c r="BU864" s="4"/>
    </row>
    <row r="865">
      <c r="AK865" s="1"/>
      <c r="AQ865" s="1"/>
      <c r="AW865" s="1"/>
      <c r="BC865" s="1"/>
      <c r="BD865" s="1"/>
      <c r="BE865" s="1"/>
      <c r="BF865" s="1"/>
      <c r="BG865" s="1"/>
      <c r="BH865" s="1"/>
      <c r="BI865" s="1"/>
      <c r="BO865" s="1"/>
      <c r="BP865" s="1"/>
      <c r="BQ865" s="1"/>
      <c r="BR865" s="1"/>
      <c r="BS865" s="1"/>
      <c r="BT865" s="1"/>
      <c r="BU865" s="4"/>
    </row>
    <row r="866">
      <c r="AK866" s="1"/>
      <c r="AQ866" s="1"/>
      <c r="AW866" s="1"/>
      <c r="BC866" s="1"/>
      <c r="BD866" s="1"/>
      <c r="BE866" s="1"/>
      <c r="BF866" s="1"/>
      <c r="BG866" s="1"/>
      <c r="BH866" s="1"/>
      <c r="BI866" s="1"/>
      <c r="BO866" s="1"/>
      <c r="BP866" s="1"/>
      <c r="BQ866" s="1"/>
      <c r="BR866" s="1"/>
      <c r="BS866" s="1"/>
      <c r="BT866" s="1"/>
      <c r="BU866" s="4"/>
    </row>
    <row r="867">
      <c r="AK867" s="1"/>
      <c r="AQ867" s="1"/>
      <c r="AW867" s="1"/>
      <c r="BC867" s="1"/>
      <c r="BD867" s="1"/>
      <c r="BE867" s="1"/>
      <c r="BF867" s="1"/>
      <c r="BG867" s="1"/>
      <c r="BH867" s="1"/>
      <c r="BI867" s="1"/>
      <c r="BO867" s="1"/>
      <c r="BP867" s="1"/>
      <c r="BQ867" s="1"/>
      <c r="BR867" s="1"/>
      <c r="BS867" s="1"/>
      <c r="BT867" s="1"/>
      <c r="BU867" s="4"/>
    </row>
    <row r="868">
      <c r="AK868" s="1"/>
      <c r="AQ868" s="1"/>
      <c r="AW868" s="1"/>
      <c r="BC868" s="1"/>
      <c r="BD868" s="1"/>
      <c r="BE868" s="1"/>
      <c r="BF868" s="1"/>
      <c r="BG868" s="1"/>
      <c r="BH868" s="1"/>
      <c r="BI868" s="1"/>
      <c r="BO868" s="1"/>
      <c r="BP868" s="1"/>
      <c r="BQ868" s="1"/>
      <c r="BR868" s="1"/>
      <c r="BS868" s="1"/>
      <c r="BT868" s="1"/>
      <c r="BU868" s="4"/>
    </row>
    <row r="869">
      <c r="AK869" s="1"/>
      <c r="AQ869" s="1"/>
      <c r="AW869" s="1"/>
      <c r="BC869" s="1"/>
      <c r="BD869" s="1"/>
      <c r="BE869" s="1"/>
      <c r="BF869" s="1"/>
      <c r="BG869" s="1"/>
      <c r="BH869" s="1"/>
      <c r="BI869" s="1"/>
      <c r="BO869" s="1"/>
      <c r="BP869" s="1"/>
      <c r="BQ869" s="1"/>
      <c r="BR869" s="1"/>
      <c r="BS869" s="1"/>
      <c r="BT869" s="1"/>
      <c r="BU869" s="4"/>
    </row>
    <row r="870">
      <c r="AK870" s="1"/>
      <c r="AQ870" s="1"/>
      <c r="AW870" s="1"/>
      <c r="BC870" s="1"/>
      <c r="BD870" s="1"/>
      <c r="BE870" s="1"/>
      <c r="BF870" s="1"/>
      <c r="BG870" s="1"/>
      <c r="BH870" s="1"/>
      <c r="BI870" s="1"/>
      <c r="BO870" s="1"/>
      <c r="BP870" s="1"/>
      <c r="BQ870" s="1"/>
      <c r="BR870" s="1"/>
      <c r="BS870" s="1"/>
      <c r="BT870" s="1"/>
      <c r="BU870" s="4"/>
    </row>
    <row r="871">
      <c r="AK871" s="1"/>
      <c r="AQ871" s="1"/>
      <c r="AW871" s="1"/>
      <c r="BC871" s="1"/>
      <c r="BD871" s="1"/>
      <c r="BE871" s="1"/>
      <c r="BF871" s="1"/>
      <c r="BG871" s="1"/>
      <c r="BH871" s="1"/>
      <c r="BI871" s="1"/>
      <c r="BO871" s="1"/>
      <c r="BP871" s="1"/>
      <c r="BQ871" s="1"/>
      <c r="BR871" s="1"/>
      <c r="BS871" s="1"/>
      <c r="BT871" s="1"/>
      <c r="BU871" s="4"/>
    </row>
    <row r="872">
      <c r="AK872" s="1"/>
      <c r="AQ872" s="1"/>
      <c r="AW872" s="1"/>
      <c r="BC872" s="1"/>
      <c r="BD872" s="1"/>
      <c r="BE872" s="1"/>
      <c r="BF872" s="1"/>
      <c r="BG872" s="1"/>
      <c r="BH872" s="1"/>
      <c r="BI872" s="1"/>
      <c r="BO872" s="1"/>
      <c r="BP872" s="1"/>
      <c r="BQ872" s="1"/>
      <c r="BR872" s="1"/>
      <c r="BS872" s="1"/>
      <c r="BT872" s="1"/>
      <c r="BU872" s="4"/>
    </row>
    <row r="873">
      <c r="AK873" s="1"/>
      <c r="AQ873" s="1"/>
      <c r="AW873" s="1"/>
      <c r="BC873" s="1"/>
      <c r="BD873" s="1"/>
      <c r="BE873" s="1"/>
      <c r="BF873" s="1"/>
      <c r="BG873" s="1"/>
      <c r="BH873" s="1"/>
      <c r="BI873" s="1"/>
      <c r="BO873" s="1"/>
      <c r="BP873" s="1"/>
      <c r="BQ873" s="1"/>
      <c r="BR873" s="1"/>
      <c r="BS873" s="1"/>
      <c r="BT873" s="1"/>
      <c r="BU873" s="4"/>
    </row>
    <row r="874">
      <c r="AK874" s="1"/>
      <c r="AQ874" s="1"/>
      <c r="AW874" s="1"/>
      <c r="BC874" s="1"/>
      <c r="BD874" s="1"/>
      <c r="BE874" s="1"/>
      <c r="BF874" s="1"/>
      <c r="BG874" s="1"/>
      <c r="BH874" s="1"/>
      <c r="BI874" s="1"/>
      <c r="BO874" s="1"/>
      <c r="BP874" s="1"/>
      <c r="BQ874" s="1"/>
      <c r="BR874" s="1"/>
      <c r="BS874" s="1"/>
      <c r="BT874" s="1"/>
      <c r="BU874" s="4"/>
    </row>
    <row r="875">
      <c r="AK875" s="1"/>
      <c r="AQ875" s="1"/>
      <c r="AW875" s="1"/>
      <c r="BC875" s="1"/>
      <c r="BD875" s="1"/>
      <c r="BE875" s="1"/>
      <c r="BF875" s="1"/>
      <c r="BG875" s="1"/>
      <c r="BH875" s="1"/>
      <c r="BI875" s="1"/>
      <c r="BO875" s="1"/>
      <c r="BP875" s="1"/>
      <c r="BQ875" s="1"/>
      <c r="BR875" s="1"/>
      <c r="BS875" s="1"/>
      <c r="BT875" s="1"/>
      <c r="BU875" s="4"/>
    </row>
    <row r="876">
      <c r="AK876" s="1"/>
      <c r="AQ876" s="1"/>
      <c r="AW876" s="1"/>
      <c r="BC876" s="1"/>
      <c r="BD876" s="1"/>
      <c r="BE876" s="1"/>
      <c r="BF876" s="1"/>
      <c r="BG876" s="1"/>
      <c r="BH876" s="1"/>
      <c r="BI876" s="1"/>
      <c r="BO876" s="1"/>
      <c r="BP876" s="1"/>
      <c r="BQ876" s="1"/>
      <c r="BR876" s="1"/>
      <c r="BS876" s="1"/>
      <c r="BT876" s="1"/>
      <c r="BU876" s="4"/>
    </row>
    <row r="877">
      <c r="AK877" s="1"/>
      <c r="AQ877" s="1"/>
      <c r="AW877" s="1"/>
      <c r="BC877" s="1"/>
      <c r="BD877" s="1"/>
      <c r="BE877" s="1"/>
      <c r="BF877" s="1"/>
      <c r="BG877" s="1"/>
      <c r="BH877" s="1"/>
      <c r="BI877" s="1"/>
      <c r="BO877" s="1"/>
      <c r="BP877" s="1"/>
      <c r="BQ877" s="1"/>
      <c r="BR877" s="1"/>
      <c r="BS877" s="1"/>
      <c r="BT877" s="1"/>
      <c r="BU877" s="4"/>
    </row>
    <row r="878">
      <c r="AK878" s="1"/>
      <c r="AQ878" s="1"/>
      <c r="AW878" s="1"/>
      <c r="BC878" s="1"/>
      <c r="BD878" s="1"/>
      <c r="BE878" s="1"/>
      <c r="BF878" s="1"/>
      <c r="BG878" s="1"/>
      <c r="BH878" s="1"/>
      <c r="BI878" s="1"/>
      <c r="BO878" s="1"/>
      <c r="BP878" s="1"/>
      <c r="BQ878" s="1"/>
      <c r="BR878" s="1"/>
      <c r="BS878" s="1"/>
      <c r="BT878" s="1"/>
      <c r="BU878" s="4"/>
    </row>
    <row r="879">
      <c r="AK879" s="1"/>
      <c r="AQ879" s="1"/>
      <c r="AW879" s="1"/>
      <c r="BC879" s="1"/>
      <c r="BD879" s="1"/>
      <c r="BE879" s="1"/>
      <c r="BF879" s="1"/>
      <c r="BG879" s="1"/>
      <c r="BH879" s="1"/>
      <c r="BI879" s="1"/>
      <c r="BO879" s="1"/>
      <c r="BP879" s="1"/>
      <c r="BQ879" s="1"/>
      <c r="BR879" s="1"/>
      <c r="BS879" s="1"/>
      <c r="BT879" s="1"/>
      <c r="BU879" s="4"/>
    </row>
    <row r="880">
      <c r="AK880" s="1"/>
      <c r="AQ880" s="1"/>
      <c r="AW880" s="1"/>
      <c r="BC880" s="1"/>
      <c r="BD880" s="1"/>
      <c r="BE880" s="1"/>
      <c r="BF880" s="1"/>
      <c r="BG880" s="1"/>
      <c r="BH880" s="1"/>
      <c r="BI880" s="1"/>
      <c r="BO880" s="1"/>
      <c r="BP880" s="1"/>
      <c r="BQ880" s="1"/>
      <c r="BR880" s="1"/>
      <c r="BS880" s="1"/>
      <c r="BT880" s="1"/>
      <c r="BU880" s="4"/>
    </row>
    <row r="881">
      <c r="AK881" s="1"/>
      <c r="AQ881" s="1"/>
      <c r="AW881" s="1"/>
      <c r="BC881" s="1"/>
      <c r="BD881" s="1"/>
      <c r="BE881" s="1"/>
      <c r="BF881" s="1"/>
      <c r="BG881" s="1"/>
      <c r="BH881" s="1"/>
      <c r="BI881" s="1"/>
      <c r="BO881" s="1"/>
      <c r="BP881" s="1"/>
      <c r="BQ881" s="1"/>
      <c r="BR881" s="1"/>
      <c r="BS881" s="1"/>
      <c r="BT881" s="1"/>
      <c r="BU881" s="4"/>
    </row>
    <row r="882">
      <c r="AK882" s="1"/>
      <c r="AQ882" s="1"/>
      <c r="AW882" s="1"/>
      <c r="BC882" s="1"/>
      <c r="BD882" s="1"/>
      <c r="BE882" s="1"/>
      <c r="BF882" s="1"/>
      <c r="BG882" s="1"/>
      <c r="BH882" s="1"/>
      <c r="BI882" s="1"/>
      <c r="BO882" s="1"/>
      <c r="BP882" s="1"/>
      <c r="BQ882" s="1"/>
      <c r="BR882" s="1"/>
      <c r="BS882" s="1"/>
      <c r="BT882" s="1"/>
      <c r="BU882" s="4"/>
    </row>
    <row r="883">
      <c r="AK883" s="1"/>
      <c r="AQ883" s="1"/>
      <c r="AW883" s="1"/>
      <c r="BC883" s="1"/>
      <c r="BD883" s="1"/>
      <c r="BE883" s="1"/>
      <c r="BF883" s="1"/>
      <c r="BG883" s="1"/>
      <c r="BH883" s="1"/>
      <c r="BI883" s="1"/>
      <c r="BO883" s="1"/>
      <c r="BP883" s="1"/>
      <c r="BQ883" s="1"/>
      <c r="BR883" s="1"/>
      <c r="BS883" s="1"/>
      <c r="BT883" s="1"/>
      <c r="BU883" s="4"/>
    </row>
    <row r="884">
      <c r="AK884" s="1"/>
      <c r="AQ884" s="1"/>
      <c r="AW884" s="1"/>
      <c r="BC884" s="1"/>
      <c r="BD884" s="1"/>
      <c r="BE884" s="1"/>
      <c r="BF884" s="1"/>
      <c r="BG884" s="1"/>
      <c r="BH884" s="1"/>
      <c r="BI884" s="1"/>
      <c r="BO884" s="1"/>
      <c r="BP884" s="1"/>
      <c r="BQ884" s="1"/>
      <c r="BR884" s="1"/>
      <c r="BS884" s="1"/>
      <c r="BT884" s="1"/>
      <c r="BU884" s="4"/>
    </row>
    <row r="885">
      <c r="AK885" s="1"/>
      <c r="AQ885" s="1"/>
      <c r="AW885" s="1"/>
      <c r="BC885" s="1"/>
      <c r="BD885" s="1"/>
      <c r="BE885" s="1"/>
      <c r="BF885" s="1"/>
      <c r="BG885" s="1"/>
      <c r="BH885" s="1"/>
      <c r="BI885" s="1"/>
      <c r="BO885" s="1"/>
      <c r="BP885" s="1"/>
      <c r="BQ885" s="1"/>
      <c r="BR885" s="1"/>
      <c r="BS885" s="1"/>
      <c r="BT885" s="1"/>
      <c r="BU885" s="4"/>
    </row>
    <row r="886">
      <c r="AK886" s="1"/>
      <c r="AQ886" s="1"/>
      <c r="AW886" s="1"/>
      <c r="BC886" s="1"/>
      <c r="BD886" s="1"/>
      <c r="BE886" s="1"/>
      <c r="BF886" s="1"/>
      <c r="BG886" s="1"/>
      <c r="BH886" s="1"/>
      <c r="BI886" s="1"/>
      <c r="BO886" s="1"/>
      <c r="BP886" s="1"/>
      <c r="BQ886" s="1"/>
      <c r="BR886" s="1"/>
      <c r="BS886" s="1"/>
      <c r="BT886" s="1"/>
      <c r="BU886" s="4"/>
    </row>
    <row r="887">
      <c r="AK887" s="1"/>
      <c r="AQ887" s="1"/>
      <c r="AW887" s="1"/>
      <c r="BC887" s="1"/>
      <c r="BD887" s="1"/>
      <c r="BE887" s="1"/>
      <c r="BF887" s="1"/>
      <c r="BG887" s="1"/>
      <c r="BH887" s="1"/>
      <c r="BI887" s="1"/>
      <c r="BO887" s="1"/>
      <c r="BP887" s="1"/>
      <c r="BQ887" s="1"/>
      <c r="BR887" s="1"/>
      <c r="BS887" s="1"/>
      <c r="BT887" s="1"/>
      <c r="BU887" s="4"/>
    </row>
    <row r="888">
      <c r="AK888" s="1"/>
      <c r="AQ888" s="1"/>
      <c r="AW888" s="1"/>
      <c r="BC888" s="1"/>
      <c r="BD888" s="1"/>
      <c r="BE888" s="1"/>
      <c r="BF888" s="1"/>
      <c r="BG888" s="1"/>
      <c r="BH888" s="1"/>
      <c r="BI888" s="1"/>
      <c r="BO888" s="1"/>
      <c r="BP888" s="1"/>
      <c r="BQ888" s="1"/>
      <c r="BR888" s="1"/>
      <c r="BS888" s="1"/>
      <c r="BT888" s="1"/>
      <c r="BU888" s="4"/>
    </row>
    <row r="889">
      <c r="AK889" s="1"/>
      <c r="AQ889" s="1"/>
      <c r="AW889" s="1"/>
      <c r="BC889" s="1"/>
      <c r="BD889" s="1"/>
      <c r="BE889" s="1"/>
      <c r="BF889" s="1"/>
      <c r="BG889" s="1"/>
      <c r="BH889" s="1"/>
      <c r="BI889" s="1"/>
      <c r="BO889" s="1"/>
      <c r="BP889" s="1"/>
      <c r="BQ889" s="1"/>
      <c r="BR889" s="1"/>
      <c r="BS889" s="1"/>
      <c r="BT889" s="1"/>
      <c r="BU889" s="4"/>
    </row>
    <row r="890">
      <c r="AK890" s="1"/>
      <c r="AQ890" s="1"/>
      <c r="AW890" s="1"/>
      <c r="BC890" s="1"/>
      <c r="BD890" s="1"/>
      <c r="BE890" s="1"/>
      <c r="BF890" s="1"/>
      <c r="BG890" s="1"/>
      <c r="BH890" s="1"/>
      <c r="BI890" s="1"/>
      <c r="BO890" s="1"/>
      <c r="BP890" s="1"/>
      <c r="BQ890" s="1"/>
      <c r="BR890" s="1"/>
      <c r="BS890" s="1"/>
      <c r="BT890" s="1"/>
      <c r="BU890" s="4"/>
    </row>
    <row r="891">
      <c r="AK891" s="1"/>
      <c r="AQ891" s="1"/>
      <c r="AW891" s="1"/>
      <c r="BC891" s="1"/>
      <c r="BD891" s="1"/>
      <c r="BE891" s="1"/>
      <c r="BF891" s="1"/>
      <c r="BG891" s="1"/>
      <c r="BH891" s="1"/>
      <c r="BI891" s="1"/>
      <c r="BO891" s="1"/>
      <c r="BP891" s="1"/>
      <c r="BQ891" s="1"/>
      <c r="BR891" s="1"/>
      <c r="BS891" s="1"/>
      <c r="BT891" s="1"/>
      <c r="BU891" s="4"/>
    </row>
    <row r="892">
      <c r="AK892" s="1"/>
      <c r="AQ892" s="1"/>
      <c r="AW892" s="1"/>
      <c r="BC892" s="1"/>
      <c r="BD892" s="1"/>
      <c r="BE892" s="1"/>
      <c r="BF892" s="1"/>
      <c r="BG892" s="1"/>
      <c r="BH892" s="1"/>
      <c r="BI892" s="1"/>
      <c r="BO892" s="1"/>
      <c r="BP892" s="1"/>
      <c r="BQ892" s="1"/>
      <c r="BR892" s="1"/>
      <c r="BS892" s="1"/>
      <c r="BT892" s="1"/>
      <c r="BU892" s="4"/>
    </row>
    <row r="893">
      <c r="AK893" s="1"/>
      <c r="AQ893" s="1"/>
      <c r="AW893" s="1"/>
      <c r="BC893" s="1"/>
      <c r="BD893" s="1"/>
      <c r="BE893" s="1"/>
      <c r="BF893" s="1"/>
      <c r="BG893" s="1"/>
      <c r="BH893" s="1"/>
      <c r="BI893" s="1"/>
      <c r="BO893" s="1"/>
      <c r="BP893" s="1"/>
      <c r="BQ893" s="1"/>
      <c r="BR893" s="1"/>
      <c r="BS893" s="1"/>
      <c r="BT893" s="1"/>
      <c r="BU893" s="4"/>
    </row>
    <row r="894">
      <c r="AK894" s="1"/>
      <c r="AQ894" s="1"/>
      <c r="AW894" s="1"/>
      <c r="BC894" s="1"/>
      <c r="BD894" s="1"/>
      <c r="BE894" s="1"/>
      <c r="BF894" s="1"/>
      <c r="BG894" s="1"/>
      <c r="BH894" s="1"/>
      <c r="BI894" s="1"/>
      <c r="BO894" s="1"/>
      <c r="BP894" s="1"/>
      <c r="BQ894" s="1"/>
      <c r="BR894" s="1"/>
      <c r="BS894" s="1"/>
      <c r="BT894" s="1"/>
      <c r="BU894" s="4"/>
    </row>
    <row r="895">
      <c r="AK895" s="1"/>
      <c r="AQ895" s="1"/>
      <c r="AW895" s="1"/>
      <c r="BC895" s="1"/>
      <c r="BD895" s="1"/>
      <c r="BE895" s="1"/>
      <c r="BF895" s="1"/>
      <c r="BG895" s="1"/>
      <c r="BH895" s="1"/>
      <c r="BI895" s="1"/>
      <c r="BO895" s="1"/>
      <c r="BP895" s="1"/>
      <c r="BQ895" s="1"/>
      <c r="BR895" s="1"/>
      <c r="BS895" s="1"/>
      <c r="BT895" s="1"/>
      <c r="BU895" s="4"/>
    </row>
    <row r="896">
      <c r="AK896" s="1"/>
      <c r="AQ896" s="1"/>
      <c r="AW896" s="1"/>
      <c r="BC896" s="1"/>
      <c r="BD896" s="1"/>
      <c r="BE896" s="1"/>
      <c r="BF896" s="1"/>
      <c r="BG896" s="1"/>
      <c r="BH896" s="1"/>
      <c r="BI896" s="1"/>
      <c r="BO896" s="1"/>
      <c r="BP896" s="1"/>
      <c r="BQ896" s="1"/>
      <c r="BR896" s="1"/>
      <c r="BS896" s="1"/>
      <c r="BT896" s="1"/>
      <c r="BU896" s="4"/>
    </row>
    <row r="897">
      <c r="AK897" s="1"/>
      <c r="AQ897" s="1"/>
      <c r="AW897" s="1"/>
      <c r="BC897" s="1"/>
      <c r="BD897" s="1"/>
      <c r="BE897" s="1"/>
      <c r="BF897" s="1"/>
      <c r="BG897" s="1"/>
      <c r="BH897" s="1"/>
      <c r="BI897" s="1"/>
      <c r="BO897" s="1"/>
      <c r="BP897" s="1"/>
      <c r="BQ897" s="1"/>
      <c r="BR897" s="1"/>
      <c r="BS897" s="1"/>
      <c r="BT897" s="1"/>
      <c r="BU897" s="4"/>
    </row>
    <row r="898">
      <c r="AK898" s="1"/>
      <c r="AQ898" s="1"/>
      <c r="AW898" s="1"/>
      <c r="BC898" s="1"/>
      <c r="BD898" s="1"/>
      <c r="BE898" s="1"/>
      <c r="BF898" s="1"/>
      <c r="BG898" s="1"/>
      <c r="BH898" s="1"/>
      <c r="BI898" s="1"/>
      <c r="BO898" s="1"/>
      <c r="BP898" s="1"/>
      <c r="BQ898" s="1"/>
      <c r="BR898" s="1"/>
      <c r="BS898" s="1"/>
      <c r="BT898" s="1"/>
      <c r="BU898" s="4"/>
    </row>
    <row r="899">
      <c r="AK899" s="1"/>
      <c r="AQ899" s="1"/>
      <c r="AW899" s="1"/>
      <c r="BC899" s="1"/>
      <c r="BD899" s="1"/>
      <c r="BE899" s="1"/>
      <c r="BF899" s="1"/>
      <c r="BG899" s="1"/>
      <c r="BH899" s="1"/>
      <c r="BI899" s="1"/>
      <c r="BO899" s="1"/>
      <c r="BP899" s="1"/>
      <c r="BQ899" s="1"/>
      <c r="BR899" s="1"/>
      <c r="BS899" s="1"/>
      <c r="BT899" s="1"/>
      <c r="BU899" s="4"/>
    </row>
    <row r="900">
      <c r="AK900" s="1"/>
      <c r="AQ900" s="1"/>
      <c r="AW900" s="1"/>
      <c r="BC900" s="1"/>
      <c r="BD900" s="1"/>
      <c r="BE900" s="1"/>
      <c r="BF900" s="1"/>
      <c r="BG900" s="1"/>
      <c r="BH900" s="1"/>
      <c r="BI900" s="1"/>
      <c r="BO900" s="1"/>
      <c r="BP900" s="1"/>
      <c r="BQ900" s="1"/>
      <c r="BR900" s="1"/>
      <c r="BS900" s="1"/>
      <c r="BT900" s="1"/>
      <c r="BU900" s="4"/>
    </row>
    <row r="901">
      <c r="AK901" s="1"/>
      <c r="AQ901" s="1"/>
      <c r="AW901" s="1"/>
      <c r="BC901" s="1"/>
      <c r="BD901" s="1"/>
      <c r="BE901" s="1"/>
      <c r="BF901" s="1"/>
      <c r="BG901" s="1"/>
      <c r="BH901" s="1"/>
      <c r="BI901" s="1"/>
      <c r="BO901" s="1"/>
      <c r="BP901" s="1"/>
      <c r="BQ901" s="1"/>
      <c r="BR901" s="1"/>
      <c r="BS901" s="1"/>
      <c r="BT901" s="1"/>
      <c r="BU901" s="4"/>
    </row>
    <row r="902">
      <c r="AK902" s="1"/>
      <c r="AQ902" s="1"/>
      <c r="AW902" s="1"/>
      <c r="BC902" s="1"/>
      <c r="BD902" s="1"/>
      <c r="BE902" s="1"/>
      <c r="BF902" s="1"/>
      <c r="BG902" s="1"/>
      <c r="BH902" s="1"/>
      <c r="BI902" s="1"/>
      <c r="BO902" s="1"/>
      <c r="BP902" s="1"/>
      <c r="BQ902" s="1"/>
      <c r="BR902" s="1"/>
      <c r="BS902" s="1"/>
      <c r="BT902" s="1"/>
      <c r="BU902" s="4"/>
    </row>
    <row r="903">
      <c r="AK903" s="1"/>
      <c r="AQ903" s="1"/>
      <c r="AW903" s="1"/>
      <c r="BC903" s="1"/>
      <c r="BD903" s="1"/>
      <c r="BE903" s="1"/>
      <c r="BF903" s="1"/>
      <c r="BG903" s="1"/>
      <c r="BH903" s="1"/>
      <c r="BI903" s="1"/>
      <c r="BO903" s="1"/>
      <c r="BP903" s="1"/>
      <c r="BQ903" s="1"/>
      <c r="BR903" s="1"/>
      <c r="BS903" s="1"/>
      <c r="BT903" s="1"/>
      <c r="BU903" s="4"/>
    </row>
    <row r="904">
      <c r="AK904" s="1"/>
      <c r="AQ904" s="1"/>
      <c r="AW904" s="1"/>
      <c r="BC904" s="1"/>
      <c r="BD904" s="1"/>
      <c r="BE904" s="1"/>
      <c r="BF904" s="1"/>
      <c r="BG904" s="1"/>
      <c r="BH904" s="1"/>
      <c r="BI904" s="1"/>
      <c r="BO904" s="1"/>
      <c r="BP904" s="1"/>
      <c r="BQ904" s="1"/>
      <c r="BR904" s="1"/>
      <c r="BS904" s="1"/>
      <c r="BT904" s="1"/>
      <c r="BU904" s="4"/>
    </row>
    <row r="905">
      <c r="AK905" s="1"/>
      <c r="AQ905" s="1"/>
      <c r="AW905" s="1"/>
      <c r="BC905" s="1"/>
      <c r="BD905" s="1"/>
      <c r="BE905" s="1"/>
      <c r="BF905" s="1"/>
      <c r="BG905" s="1"/>
      <c r="BH905" s="1"/>
      <c r="BI905" s="1"/>
      <c r="BO905" s="1"/>
      <c r="BP905" s="1"/>
      <c r="BQ905" s="1"/>
      <c r="BR905" s="1"/>
      <c r="BS905" s="1"/>
      <c r="BT905" s="1"/>
      <c r="BU905" s="4"/>
    </row>
    <row r="906">
      <c r="AK906" s="1"/>
      <c r="AQ906" s="1"/>
      <c r="AW906" s="1"/>
      <c r="BC906" s="1"/>
      <c r="BD906" s="1"/>
      <c r="BE906" s="1"/>
      <c r="BF906" s="1"/>
      <c r="BG906" s="1"/>
      <c r="BH906" s="1"/>
      <c r="BI906" s="1"/>
      <c r="BO906" s="1"/>
      <c r="BP906" s="1"/>
      <c r="BQ906" s="1"/>
      <c r="BR906" s="1"/>
      <c r="BS906" s="1"/>
      <c r="BT906" s="1"/>
      <c r="BU906" s="4"/>
    </row>
    <row r="907">
      <c r="AK907" s="1"/>
      <c r="AQ907" s="1"/>
      <c r="AW907" s="1"/>
      <c r="BC907" s="1"/>
      <c r="BD907" s="1"/>
      <c r="BE907" s="1"/>
      <c r="BF907" s="1"/>
      <c r="BG907" s="1"/>
      <c r="BH907" s="1"/>
      <c r="BI907" s="1"/>
      <c r="BO907" s="1"/>
      <c r="BP907" s="1"/>
      <c r="BQ907" s="1"/>
      <c r="BR907" s="1"/>
      <c r="BS907" s="1"/>
      <c r="BT907" s="1"/>
      <c r="BU907" s="4"/>
    </row>
    <row r="908">
      <c r="AK908" s="1"/>
      <c r="AQ908" s="1"/>
      <c r="AW908" s="1"/>
      <c r="BC908" s="1"/>
      <c r="BD908" s="1"/>
      <c r="BE908" s="1"/>
      <c r="BF908" s="1"/>
      <c r="BG908" s="1"/>
      <c r="BH908" s="1"/>
      <c r="BI908" s="1"/>
      <c r="BO908" s="1"/>
      <c r="BP908" s="1"/>
      <c r="BQ908" s="1"/>
      <c r="BR908" s="1"/>
      <c r="BS908" s="1"/>
      <c r="BT908" s="1"/>
      <c r="BU908" s="4"/>
    </row>
    <row r="909">
      <c r="AK909" s="1"/>
      <c r="AQ909" s="1"/>
      <c r="AW909" s="1"/>
      <c r="BC909" s="1"/>
      <c r="BD909" s="1"/>
      <c r="BE909" s="1"/>
      <c r="BF909" s="1"/>
      <c r="BG909" s="1"/>
      <c r="BH909" s="1"/>
      <c r="BI909" s="1"/>
      <c r="BO909" s="1"/>
      <c r="BP909" s="1"/>
      <c r="BQ909" s="1"/>
      <c r="BR909" s="1"/>
      <c r="BS909" s="1"/>
      <c r="BT909" s="1"/>
      <c r="BU909" s="4"/>
    </row>
    <row r="910">
      <c r="AK910" s="1"/>
      <c r="AQ910" s="1"/>
      <c r="AW910" s="1"/>
      <c r="BC910" s="1"/>
      <c r="BD910" s="1"/>
      <c r="BE910" s="1"/>
      <c r="BF910" s="1"/>
      <c r="BG910" s="1"/>
      <c r="BH910" s="1"/>
      <c r="BI910" s="1"/>
      <c r="BO910" s="1"/>
      <c r="BP910" s="1"/>
      <c r="BQ910" s="1"/>
      <c r="BR910" s="1"/>
      <c r="BS910" s="1"/>
      <c r="BT910" s="1"/>
      <c r="BU910" s="4"/>
    </row>
    <row r="911">
      <c r="AK911" s="1"/>
      <c r="AQ911" s="1"/>
      <c r="AW911" s="1"/>
      <c r="BC911" s="1"/>
      <c r="BD911" s="1"/>
      <c r="BE911" s="1"/>
      <c r="BF911" s="1"/>
      <c r="BG911" s="1"/>
      <c r="BH911" s="1"/>
      <c r="BI911" s="1"/>
      <c r="BO911" s="1"/>
      <c r="BP911" s="1"/>
      <c r="BQ911" s="1"/>
      <c r="BR911" s="1"/>
      <c r="BS911" s="1"/>
      <c r="BT911" s="1"/>
      <c r="BU911" s="4"/>
    </row>
    <row r="912">
      <c r="AK912" s="1"/>
      <c r="AQ912" s="1"/>
      <c r="AW912" s="1"/>
      <c r="BC912" s="1"/>
      <c r="BD912" s="1"/>
      <c r="BE912" s="1"/>
      <c r="BF912" s="1"/>
      <c r="BG912" s="1"/>
      <c r="BH912" s="1"/>
      <c r="BI912" s="1"/>
      <c r="BO912" s="1"/>
      <c r="BP912" s="1"/>
      <c r="BQ912" s="1"/>
      <c r="BR912" s="1"/>
      <c r="BS912" s="1"/>
      <c r="BT912" s="1"/>
      <c r="BU912" s="4"/>
    </row>
    <row r="913">
      <c r="AK913" s="1"/>
      <c r="AQ913" s="1"/>
      <c r="AW913" s="1"/>
      <c r="BC913" s="1"/>
      <c r="BD913" s="1"/>
      <c r="BE913" s="1"/>
      <c r="BF913" s="1"/>
      <c r="BG913" s="1"/>
      <c r="BH913" s="1"/>
      <c r="BI913" s="1"/>
      <c r="BO913" s="1"/>
      <c r="BP913" s="1"/>
      <c r="BQ913" s="1"/>
      <c r="BR913" s="1"/>
      <c r="BS913" s="1"/>
      <c r="BT913" s="1"/>
      <c r="BU913" s="4"/>
    </row>
    <row r="914">
      <c r="AK914" s="1"/>
      <c r="AQ914" s="1"/>
      <c r="AW914" s="1"/>
      <c r="BC914" s="1"/>
      <c r="BD914" s="1"/>
      <c r="BE914" s="1"/>
      <c r="BF914" s="1"/>
      <c r="BG914" s="1"/>
      <c r="BH914" s="1"/>
      <c r="BI914" s="1"/>
      <c r="BO914" s="1"/>
      <c r="BP914" s="1"/>
      <c r="BQ914" s="1"/>
      <c r="BR914" s="1"/>
      <c r="BS914" s="1"/>
      <c r="BT914" s="1"/>
      <c r="BU914" s="4"/>
    </row>
    <row r="915">
      <c r="AK915" s="1"/>
      <c r="AQ915" s="1"/>
      <c r="AW915" s="1"/>
      <c r="BC915" s="1"/>
      <c r="BD915" s="1"/>
      <c r="BE915" s="1"/>
      <c r="BF915" s="1"/>
      <c r="BG915" s="1"/>
      <c r="BH915" s="1"/>
      <c r="BI915" s="1"/>
      <c r="BO915" s="1"/>
      <c r="BP915" s="1"/>
      <c r="BQ915" s="1"/>
      <c r="BR915" s="1"/>
      <c r="BS915" s="1"/>
      <c r="BT915" s="1"/>
      <c r="BU915" s="4"/>
    </row>
    <row r="916">
      <c r="AK916" s="1"/>
      <c r="AQ916" s="1"/>
      <c r="AW916" s="1"/>
      <c r="BC916" s="1"/>
      <c r="BD916" s="1"/>
      <c r="BE916" s="1"/>
      <c r="BF916" s="1"/>
      <c r="BG916" s="1"/>
      <c r="BH916" s="1"/>
      <c r="BI916" s="1"/>
      <c r="BO916" s="1"/>
      <c r="BP916" s="1"/>
      <c r="BQ916" s="1"/>
      <c r="BR916" s="1"/>
      <c r="BS916" s="1"/>
      <c r="BT916" s="1"/>
      <c r="BU916" s="4"/>
    </row>
    <row r="917">
      <c r="AK917" s="1"/>
      <c r="AQ917" s="1"/>
      <c r="AW917" s="1"/>
      <c r="BC917" s="1"/>
      <c r="BD917" s="1"/>
      <c r="BE917" s="1"/>
      <c r="BF917" s="1"/>
      <c r="BG917" s="1"/>
      <c r="BH917" s="1"/>
      <c r="BI917" s="1"/>
      <c r="BO917" s="1"/>
      <c r="BP917" s="1"/>
      <c r="BQ917" s="1"/>
      <c r="BR917" s="1"/>
      <c r="BS917" s="1"/>
      <c r="BT917" s="1"/>
      <c r="BU917" s="4"/>
    </row>
    <row r="918">
      <c r="AK918" s="1"/>
      <c r="AQ918" s="1"/>
      <c r="AW918" s="1"/>
      <c r="BC918" s="1"/>
      <c r="BD918" s="1"/>
      <c r="BE918" s="1"/>
      <c r="BF918" s="1"/>
      <c r="BG918" s="1"/>
      <c r="BH918" s="1"/>
      <c r="BI918" s="1"/>
      <c r="BO918" s="1"/>
      <c r="BP918" s="1"/>
      <c r="BQ918" s="1"/>
      <c r="BR918" s="1"/>
      <c r="BS918" s="1"/>
      <c r="BT918" s="1"/>
      <c r="BU918" s="4"/>
    </row>
    <row r="919">
      <c r="AK919" s="1"/>
      <c r="AQ919" s="1"/>
      <c r="AW919" s="1"/>
      <c r="BC919" s="1"/>
      <c r="BD919" s="1"/>
      <c r="BE919" s="1"/>
      <c r="BF919" s="1"/>
      <c r="BG919" s="1"/>
      <c r="BH919" s="1"/>
      <c r="BI919" s="1"/>
      <c r="BO919" s="1"/>
      <c r="BP919" s="1"/>
      <c r="BQ919" s="1"/>
      <c r="BR919" s="1"/>
      <c r="BS919" s="1"/>
      <c r="BT919" s="1"/>
      <c r="BU919" s="4"/>
    </row>
    <row r="920">
      <c r="AK920" s="1"/>
      <c r="AQ920" s="1"/>
      <c r="AW920" s="1"/>
      <c r="BC920" s="1"/>
      <c r="BD920" s="1"/>
      <c r="BE920" s="1"/>
      <c r="BF920" s="1"/>
      <c r="BG920" s="1"/>
      <c r="BH920" s="1"/>
      <c r="BI920" s="1"/>
      <c r="BO920" s="1"/>
      <c r="BP920" s="1"/>
      <c r="BQ920" s="1"/>
      <c r="BR920" s="1"/>
      <c r="BS920" s="1"/>
      <c r="BT920" s="1"/>
      <c r="BU920" s="4"/>
    </row>
    <row r="921">
      <c r="AK921" s="1"/>
      <c r="AQ921" s="1"/>
      <c r="AW921" s="1"/>
      <c r="BC921" s="1"/>
      <c r="BD921" s="1"/>
      <c r="BE921" s="1"/>
      <c r="BF921" s="1"/>
      <c r="BG921" s="1"/>
      <c r="BH921" s="1"/>
      <c r="BI921" s="1"/>
      <c r="BO921" s="1"/>
      <c r="BP921" s="1"/>
      <c r="BQ921" s="1"/>
      <c r="BR921" s="1"/>
      <c r="BS921" s="1"/>
      <c r="BT921" s="1"/>
      <c r="BU921" s="4"/>
    </row>
    <row r="922">
      <c r="AK922" s="1"/>
      <c r="AQ922" s="1"/>
      <c r="AW922" s="1"/>
      <c r="BC922" s="1"/>
      <c r="BD922" s="1"/>
      <c r="BE922" s="1"/>
      <c r="BF922" s="1"/>
      <c r="BG922" s="1"/>
      <c r="BH922" s="1"/>
      <c r="BI922" s="1"/>
      <c r="BO922" s="1"/>
      <c r="BP922" s="1"/>
      <c r="BQ922" s="1"/>
      <c r="BR922" s="1"/>
      <c r="BS922" s="1"/>
      <c r="BT922" s="1"/>
      <c r="BU922" s="4"/>
    </row>
    <row r="923">
      <c r="AK923" s="1"/>
      <c r="AQ923" s="1"/>
      <c r="AW923" s="1"/>
      <c r="BC923" s="1"/>
      <c r="BD923" s="1"/>
      <c r="BE923" s="1"/>
      <c r="BF923" s="1"/>
      <c r="BG923" s="1"/>
      <c r="BH923" s="1"/>
      <c r="BI923" s="1"/>
      <c r="BO923" s="1"/>
      <c r="BP923" s="1"/>
      <c r="BQ923" s="1"/>
      <c r="BR923" s="1"/>
      <c r="BS923" s="1"/>
      <c r="BT923" s="1"/>
      <c r="BU923" s="4"/>
    </row>
    <row r="924">
      <c r="AK924" s="1"/>
      <c r="AQ924" s="1"/>
      <c r="AW924" s="1"/>
      <c r="BC924" s="1"/>
      <c r="BD924" s="1"/>
      <c r="BE924" s="1"/>
      <c r="BF924" s="1"/>
      <c r="BG924" s="1"/>
      <c r="BH924" s="1"/>
      <c r="BI924" s="1"/>
      <c r="BO924" s="1"/>
      <c r="BP924" s="1"/>
      <c r="BQ924" s="1"/>
      <c r="BR924" s="1"/>
      <c r="BS924" s="1"/>
      <c r="BT924" s="1"/>
      <c r="BU924" s="4"/>
    </row>
    <row r="925">
      <c r="AK925" s="1"/>
      <c r="AQ925" s="1"/>
      <c r="AW925" s="1"/>
      <c r="BC925" s="1"/>
      <c r="BD925" s="1"/>
      <c r="BE925" s="1"/>
      <c r="BF925" s="1"/>
      <c r="BG925" s="1"/>
      <c r="BH925" s="1"/>
      <c r="BI925" s="1"/>
      <c r="BO925" s="1"/>
      <c r="BP925" s="1"/>
      <c r="BQ925" s="1"/>
      <c r="BR925" s="1"/>
      <c r="BS925" s="1"/>
      <c r="BT925" s="1"/>
      <c r="BU925" s="4"/>
    </row>
    <row r="926">
      <c r="AK926" s="1"/>
      <c r="AQ926" s="1"/>
      <c r="AW926" s="1"/>
      <c r="BC926" s="1"/>
      <c r="BD926" s="1"/>
      <c r="BE926" s="1"/>
      <c r="BF926" s="1"/>
      <c r="BG926" s="1"/>
      <c r="BH926" s="1"/>
      <c r="BI926" s="1"/>
      <c r="BO926" s="1"/>
      <c r="BP926" s="1"/>
      <c r="BQ926" s="1"/>
      <c r="BR926" s="1"/>
      <c r="BS926" s="1"/>
      <c r="BT926" s="1"/>
      <c r="BU926" s="4"/>
    </row>
    <row r="927">
      <c r="AK927" s="1"/>
      <c r="AQ927" s="1"/>
      <c r="AW927" s="1"/>
      <c r="BC927" s="1"/>
      <c r="BD927" s="1"/>
      <c r="BE927" s="1"/>
      <c r="BF927" s="1"/>
      <c r="BG927" s="1"/>
      <c r="BH927" s="1"/>
      <c r="BI927" s="1"/>
      <c r="BO927" s="1"/>
      <c r="BP927" s="1"/>
      <c r="BQ927" s="1"/>
      <c r="BR927" s="1"/>
      <c r="BS927" s="1"/>
      <c r="BT927" s="1"/>
      <c r="BU927" s="4"/>
    </row>
    <row r="928">
      <c r="AK928" s="1"/>
      <c r="AQ928" s="1"/>
      <c r="AW928" s="1"/>
      <c r="BC928" s="1"/>
      <c r="BD928" s="1"/>
      <c r="BE928" s="1"/>
      <c r="BF928" s="1"/>
      <c r="BG928" s="1"/>
      <c r="BH928" s="1"/>
      <c r="BI928" s="1"/>
      <c r="BO928" s="1"/>
      <c r="BP928" s="1"/>
      <c r="BQ928" s="1"/>
      <c r="BR928" s="1"/>
      <c r="BS928" s="1"/>
      <c r="BT928" s="1"/>
      <c r="BU928" s="4"/>
    </row>
    <row r="929">
      <c r="AK929" s="1"/>
      <c r="AQ929" s="1"/>
      <c r="AW929" s="1"/>
      <c r="BC929" s="1"/>
      <c r="BD929" s="1"/>
      <c r="BE929" s="1"/>
      <c r="BF929" s="1"/>
      <c r="BG929" s="1"/>
      <c r="BH929" s="1"/>
      <c r="BI929" s="1"/>
      <c r="BO929" s="1"/>
      <c r="BP929" s="1"/>
      <c r="BQ929" s="1"/>
      <c r="BR929" s="1"/>
      <c r="BS929" s="1"/>
      <c r="BT929" s="1"/>
      <c r="BU929" s="4"/>
    </row>
    <row r="930">
      <c r="AK930" s="1"/>
      <c r="AQ930" s="1"/>
      <c r="AW930" s="1"/>
      <c r="BC930" s="1"/>
      <c r="BD930" s="1"/>
      <c r="BE930" s="1"/>
      <c r="BF930" s="1"/>
      <c r="BG930" s="1"/>
      <c r="BH930" s="1"/>
      <c r="BI930" s="1"/>
      <c r="BO930" s="1"/>
      <c r="BP930" s="1"/>
      <c r="BQ930" s="1"/>
      <c r="BR930" s="1"/>
      <c r="BS930" s="1"/>
      <c r="BT930" s="1"/>
      <c r="BU930" s="4"/>
    </row>
    <row r="931">
      <c r="AK931" s="1"/>
      <c r="AQ931" s="1"/>
      <c r="AW931" s="1"/>
      <c r="BC931" s="1"/>
      <c r="BD931" s="1"/>
      <c r="BE931" s="1"/>
      <c r="BF931" s="1"/>
      <c r="BG931" s="1"/>
      <c r="BH931" s="1"/>
      <c r="BI931" s="1"/>
      <c r="BO931" s="1"/>
      <c r="BP931" s="1"/>
      <c r="BQ931" s="1"/>
      <c r="BR931" s="1"/>
      <c r="BS931" s="1"/>
      <c r="BT931" s="1"/>
      <c r="BU931" s="4"/>
    </row>
    <row r="932">
      <c r="AK932" s="1"/>
      <c r="AQ932" s="1"/>
      <c r="AW932" s="1"/>
      <c r="BC932" s="1"/>
      <c r="BD932" s="1"/>
      <c r="BE932" s="1"/>
      <c r="BF932" s="1"/>
      <c r="BG932" s="1"/>
      <c r="BH932" s="1"/>
      <c r="BI932" s="1"/>
      <c r="BO932" s="1"/>
      <c r="BP932" s="1"/>
      <c r="BQ932" s="1"/>
      <c r="BR932" s="1"/>
      <c r="BS932" s="1"/>
      <c r="BT932" s="1"/>
      <c r="BU932" s="4"/>
    </row>
    <row r="933">
      <c r="AK933" s="1"/>
      <c r="AQ933" s="1"/>
      <c r="AW933" s="1"/>
      <c r="BC933" s="1"/>
      <c r="BD933" s="1"/>
      <c r="BE933" s="1"/>
      <c r="BF933" s="1"/>
      <c r="BG933" s="1"/>
      <c r="BH933" s="1"/>
      <c r="BI933" s="1"/>
      <c r="BO933" s="1"/>
      <c r="BP933" s="1"/>
      <c r="BQ933" s="1"/>
      <c r="BR933" s="1"/>
      <c r="BS933" s="1"/>
      <c r="BT933" s="1"/>
      <c r="BU933" s="4"/>
    </row>
    <row r="934">
      <c r="AK934" s="1"/>
      <c r="AQ934" s="1"/>
      <c r="AW934" s="1"/>
      <c r="BC934" s="1"/>
      <c r="BD934" s="1"/>
      <c r="BE934" s="1"/>
      <c r="BF934" s="1"/>
      <c r="BG934" s="1"/>
      <c r="BH934" s="1"/>
      <c r="BI934" s="1"/>
      <c r="BO934" s="1"/>
      <c r="BP934" s="1"/>
      <c r="BQ934" s="1"/>
      <c r="BR934" s="1"/>
      <c r="BS934" s="1"/>
      <c r="BT934" s="1"/>
      <c r="BU934" s="4"/>
    </row>
    <row r="935">
      <c r="AK935" s="1"/>
      <c r="AQ935" s="1"/>
      <c r="AW935" s="1"/>
      <c r="BC935" s="1"/>
      <c r="BD935" s="1"/>
      <c r="BE935" s="1"/>
      <c r="BF935" s="1"/>
      <c r="BG935" s="1"/>
      <c r="BH935" s="1"/>
      <c r="BI935" s="1"/>
      <c r="BO935" s="1"/>
      <c r="BP935" s="1"/>
      <c r="BQ935" s="1"/>
      <c r="BR935" s="1"/>
      <c r="BS935" s="1"/>
      <c r="BT935" s="1"/>
      <c r="BU935" s="4"/>
    </row>
    <row r="936">
      <c r="AK936" s="1"/>
      <c r="AQ936" s="1"/>
      <c r="AW936" s="1"/>
      <c r="BC936" s="1"/>
      <c r="BD936" s="1"/>
      <c r="BE936" s="1"/>
      <c r="BF936" s="1"/>
      <c r="BG936" s="1"/>
      <c r="BH936" s="1"/>
      <c r="BI936" s="1"/>
      <c r="BO936" s="1"/>
      <c r="BP936" s="1"/>
      <c r="BQ936" s="1"/>
      <c r="BR936" s="1"/>
      <c r="BS936" s="1"/>
      <c r="BT936" s="1"/>
      <c r="BU936" s="4"/>
    </row>
    <row r="937">
      <c r="AK937" s="1"/>
      <c r="AQ937" s="1"/>
      <c r="AW937" s="1"/>
      <c r="BC937" s="1"/>
      <c r="BD937" s="1"/>
      <c r="BE937" s="1"/>
      <c r="BF937" s="1"/>
      <c r="BG937" s="1"/>
      <c r="BH937" s="1"/>
      <c r="BI937" s="1"/>
      <c r="BO937" s="1"/>
      <c r="BP937" s="1"/>
      <c r="BQ937" s="1"/>
      <c r="BR937" s="1"/>
      <c r="BS937" s="1"/>
      <c r="BT937" s="1"/>
      <c r="BU937" s="4"/>
    </row>
    <row r="938">
      <c r="AK938" s="1"/>
      <c r="AQ938" s="1"/>
      <c r="AW938" s="1"/>
      <c r="BC938" s="1"/>
      <c r="BD938" s="1"/>
      <c r="BE938" s="1"/>
      <c r="BF938" s="1"/>
      <c r="BG938" s="1"/>
      <c r="BH938" s="1"/>
      <c r="BI938" s="1"/>
      <c r="BO938" s="1"/>
      <c r="BP938" s="1"/>
      <c r="BQ938" s="1"/>
      <c r="BR938" s="1"/>
      <c r="BS938" s="1"/>
      <c r="BT938" s="1"/>
      <c r="BU938" s="4"/>
    </row>
    <row r="939">
      <c r="AK939" s="1"/>
      <c r="AQ939" s="1"/>
      <c r="AW939" s="1"/>
      <c r="BC939" s="1"/>
      <c r="BD939" s="1"/>
      <c r="BE939" s="1"/>
      <c r="BF939" s="1"/>
      <c r="BG939" s="1"/>
      <c r="BH939" s="1"/>
      <c r="BI939" s="1"/>
      <c r="BO939" s="1"/>
      <c r="BP939" s="1"/>
      <c r="BQ939" s="1"/>
      <c r="BR939" s="1"/>
      <c r="BS939" s="1"/>
      <c r="BT939" s="1"/>
      <c r="BU939" s="4"/>
    </row>
    <row r="940">
      <c r="AK940" s="1"/>
      <c r="AQ940" s="1"/>
      <c r="AW940" s="1"/>
      <c r="BC940" s="1"/>
      <c r="BD940" s="1"/>
      <c r="BE940" s="1"/>
      <c r="BF940" s="1"/>
      <c r="BG940" s="1"/>
      <c r="BH940" s="1"/>
      <c r="BI940" s="1"/>
      <c r="BO940" s="1"/>
      <c r="BP940" s="1"/>
      <c r="BQ940" s="1"/>
      <c r="BR940" s="1"/>
      <c r="BS940" s="1"/>
      <c r="BT940" s="1"/>
      <c r="BU940" s="4"/>
    </row>
    <row r="941">
      <c r="AK941" s="1"/>
      <c r="AQ941" s="1"/>
      <c r="AW941" s="1"/>
      <c r="BC941" s="1"/>
      <c r="BD941" s="1"/>
      <c r="BE941" s="1"/>
      <c r="BF941" s="1"/>
      <c r="BG941" s="1"/>
      <c r="BH941" s="1"/>
      <c r="BI941" s="1"/>
      <c r="BO941" s="1"/>
      <c r="BP941" s="1"/>
      <c r="BQ941" s="1"/>
      <c r="BR941" s="1"/>
      <c r="BS941" s="1"/>
      <c r="BT941" s="1"/>
      <c r="BU941" s="4"/>
    </row>
    <row r="942">
      <c r="AK942" s="1"/>
      <c r="AQ942" s="1"/>
      <c r="AW942" s="1"/>
      <c r="BC942" s="1"/>
      <c r="BD942" s="1"/>
      <c r="BE942" s="1"/>
      <c r="BF942" s="1"/>
      <c r="BG942" s="1"/>
      <c r="BH942" s="1"/>
      <c r="BI942" s="1"/>
      <c r="BO942" s="1"/>
      <c r="BP942" s="1"/>
      <c r="BQ942" s="1"/>
      <c r="BR942" s="1"/>
      <c r="BS942" s="1"/>
      <c r="BT942" s="1"/>
      <c r="BU942" s="4"/>
    </row>
    <row r="943">
      <c r="AK943" s="1"/>
      <c r="AQ943" s="1"/>
      <c r="AW943" s="1"/>
      <c r="BC943" s="1"/>
      <c r="BD943" s="1"/>
      <c r="BE943" s="1"/>
      <c r="BF943" s="1"/>
      <c r="BG943" s="1"/>
      <c r="BH943" s="1"/>
      <c r="BI943" s="1"/>
      <c r="BO943" s="1"/>
      <c r="BP943" s="1"/>
      <c r="BQ943" s="1"/>
      <c r="BR943" s="1"/>
      <c r="BS943" s="1"/>
      <c r="BT943" s="1"/>
      <c r="BU943" s="4"/>
    </row>
    <row r="944">
      <c r="AK944" s="1"/>
      <c r="AQ944" s="1"/>
      <c r="AW944" s="1"/>
      <c r="BC944" s="1"/>
      <c r="BD944" s="1"/>
      <c r="BE944" s="1"/>
      <c r="BF944" s="1"/>
      <c r="BG944" s="1"/>
      <c r="BH944" s="1"/>
      <c r="BI944" s="1"/>
      <c r="BO944" s="1"/>
      <c r="BP944" s="1"/>
      <c r="BQ944" s="1"/>
      <c r="BR944" s="1"/>
      <c r="BS944" s="1"/>
      <c r="BT944" s="1"/>
      <c r="BU944" s="4"/>
    </row>
    <row r="945">
      <c r="AK945" s="1"/>
      <c r="AQ945" s="1"/>
      <c r="AW945" s="1"/>
      <c r="BC945" s="1"/>
      <c r="BD945" s="1"/>
      <c r="BE945" s="1"/>
      <c r="BF945" s="1"/>
      <c r="BG945" s="1"/>
      <c r="BH945" s="1"/>
      <c r="BI945" s="1"/>
      <c r="BO945" s="1"/>
      <c r="BP945" s="1"/>
      <c r="BQ945" s="1"/>
      <c r="BR945" s="1"/>
      <c r="BS945" s="1"/>
      <c r="BT945" s="1"/>
      <c r="BU945" s="4"/>
    </row>
    <row r="946">
      <c r="AK946" s="1"/>
      <c r="AQ946" s="1"/>
      <c r="AW946" s="1"/>
      <c r="BC946" s="1"/>
      <c r="BD946" s="1"/>
      <c r="BE946" s="1"/>
      <c r="BF946" s="1"/>
      <c r="BG946" s="1"/>
      <c r="BH946" s="1"/>
      <c r="BI946" s="1"/>
      <c r="BO946" s="1"/>
      <c r="BP946" s="1"/>
      <c r="BQ946" s="1"/>
      <c r="BR946" s="1"/>
      <c r="BS946" s="1"/>
      <c r="BT946" s="1"/>
      <c r="BU946" s="4"/>
    </row>
    <row r="947">
      <c r="AK947" s="1"/>
      <c r="AQ947" s="1"/>
      <c r="AW947" s="1"/>
      <c r="BC947" s="1"/>
      <c r="BD947" s="1"/>
      <c r="BE947" s="1"/>
      <c r="BF947" s="1"/>
      <c r="BG947" s="1"/>
      <c r="BH947" s="1"/>
      <c r="BI947" s="1"/>
      <c r="BO947" s="1"/>
      <c r="BP947" s="1"/>
      <c r="BQ947" s="1"/>
      <c r="BR947" s="1"/>
      <c r="BS947" s="1"/>
      <c r="BT947" s="1"/>
      <c r="BU947" s="4"/>
    </row>
    <row r="948">
      <c r="AK948" s="1"/>
      <c r="AQ948" s="1"/>
      <c r="AW948" s="1"/>
      <c r="BC948" s="1"/>
      <c r="BD948" s="1"/>
      <c r="BE948" s="1"/>
      <c r="BF948" s="1"/>
      <c r="BG948" s="1"/>
      <c r="BH948" s="1"/>
      <c r="BI948" s="1"/>
      <c r="BO948" s="1"/>
      <c r="BP948" s="1"/>
      <c r="BQ948" s="1"/>
      <c r="BR948" s="1"/>
      <c r="BS948" s="1"/>
      <c r="BT948" s="1"/>
      <c r="BU948" s="4"/>
    </row>
    <row r="949">
      <c r="AK949" s="1"/>
      <c r="AQ949" s="1"/>
      <c r="AW949" s="1"/>
      <c r="BC949" s="1"/>
      <c r="BD949" s="1"/>
      <c r="BE949" s="1"/>
      <c r="BF949" s="1"/>
      <c r="BG949" s="1"/>
      <c r="BH949" s="1"/>
      <c r="BI949" s="1"/>
      <c r="BO949" s="1"/>
      <c r="BP949" s="1"/>
      <c r="BQ949" s="1"/>
      <c r="BR949" s="1"/>
      <c r="BS949" s="1"/>
      <c r="BT949" s="1"/>
      <c r="BU949" s="4"/>
    </row>
    <row r="950">
      <c r="AK950" s="1"/>
      <c r="AQ950" s="1"/>
      <c r="AW950" s="1"/>
      <c r="BC950" s="1"/>
      <c r="BD950" s="1"/>
      <c r="BE950" s="1"/>
      <c r="BF950" s="1"/>
      <c r="BG950" s="1"/>
      <c r="BH950" s="1"/>
      <c r="BI950" s="1"/>
      <c r="BO950" s="1"/>
      <c r="BP950" s="1"/>
      <c r="BQ950" s="1"/>
      <c r="BR950" s="1"/>
      <c r="BS950" s="1"/>
      <c r="BT950" s="1"/>
      <c r="BU950" s="4"/>
    </row>
    <row r="951">
      <c r="AK951" s="1"/>
      <c r="AQ951" s="1"/>
      <c r="AW951" s="1"/>
      <c r="BC951" s="1"/>
      <c r="BD951" s="1"/>
      <c r="BE951" s="1"/>
      <c r="BF951" s="1"/>
      <c r="BG951" s="1"/>
      <c r="BH951" s="1"/>
      <c r="BI951" s="1"/>
      <c r="BO951" s="1"/>
      <c r="BP951" s="1"/>
      <c r="BQ951" s="1"/>
      <c r="BR951" s="1"/>
      <c r="BS951" s="1"/>
      <c r="BT951" s="1"/>
      <c r="BU951" s="4"/>
    </row>
    <row r="952">
      <c r="AK952" s="1"/>
      <c r="AQ952" s="1"/>
      <c r="AW952" s="1"/>
      <c r="BC952" s="1"/>
      <c r="BD952" s="1"/>
      <c r="BE952" s="1"/>
      <c r="BF952" s="1"/>
      <c r="BG952" s="1"/>
      <c r="BH952" s="1"/>
      <c r="BI952" s="1"/>
      <c r="BO952" s="1"/>
      <c r="BP952" s="1"/>
      <c r="BQ952" s="1"/>
      <c r="BR952" s="1"/>
      <c r="BS952" s="1"/>
      <c r="BT952" s="1"/>
      <c r="BU952" s="4"/>
    </row>
    <row r="953">
      <c r="AK953" s="1"/>
      <c r="AQ953" s="1"/>
      <c r="AW953" s="1"/>
      <c r="BC953" s="1"/>
      <c r="BD953" s="1"/>
      <c r="BE953" s="1"/>
      <c r="BF953" s="1"/>
      <c r="BG953" s="1"/>
      <c r="BH953" s="1"/>
      <c r="BI953" s="1"/>
      <c r="BO953" s="1"/>
      <c r="BP953" s="1"/>
      <c r="BQ953" s="1"/>
      <c r="BR953" s="1"/>
      <c r="BS953" s="1"/>
      <c r="BT953" s="1"/>
      <c r="BU953" s="4"/>
    </row>
    <row r="954">
      <c r="AK954" s="1"/>
      <c r="AQ954" s="1"/>
      <c r="AW954" s="1"/>
      <c r="BC954" s="1"/>
      <c r="BD954" s="1"/>
      <c r="BE954" s="1"/>
      <c r="BF954" s="1"/>
      <c r="BG954" s="1"/>
      <c r="BH954" s="1"/>
      <c r="BI954" s="1"/>
      <c r="BO954" s="1"/>
      <c r="BP954" s="1"/>
      <c r="BQ954" s="1"/>
      <c r="BR954" s="1"/>
      <c r="BS954" s="1"/>
      <c r="BT954" s="1"/>
      <c r="BU954" s="4"/>
    </row>
    <row r="955">
      <c r="AK955" s="1"/>
      <c r="AQ955" s="1"/>
      <c r="AW955" s="1"/>
      <c r="BC955" s="1"/>
      <c r="BD955" s="1"/>
      <c r="BE955" s="1"/>
      <c r="BF955" s="1"/>
      <c r="BG955" s="1"/>
      <c r="BH955" s="1"/>
      <c r="BI955" s="1"/>
      <c r="BO955" s="1"/>
      <c r="BP955" s="1"/>
      <c r="BQ955" s="1"/>
      <c r="BR955" s="1"/>
      <c r="BS955" s="1"/>
      <c r="BT955" s="1"/>
      <c r="BU955" s="4"/>
    </row>
    <row r="956">
      <c r="AK956" s="1"/>
      <c r="AQ956" s="1"/>
      <c r="AW956" s="1"/>
      <c r="BC956" s="1"/>
      <c r="BD956" s="1"/>
      <c r="BE956" s="1"/>
      <c r="BF956" s="1"/>
      <c r="BG956" s="1"/>
      <c r="BH956" s="1"/>
      <c r="BI956" s="1"/>
      <c r="BO956" s="1"/>
      <c r="BP956" s="1"/>
      <c r="BQ956" s="1"/>
      <c r="BR956" s="1"/>
      <c r="BS956" s="1"/>
      <c r="BT956" s="1"/>
      <c r="BU956" s="4"/>
    </row>
    <row r="957">
      <c r="AK957" s="1"/>
      <c r="AQ957" s="1"/>
      <c r="AW957" s="1"/>
      <c r="BC957" s="1"/>
      <c r="BD957" s="1"/>
      <c r="BE957" s="1"/>
      <c r="BF957" s="1"/>
      <c r="BG957" s="1"/>
      <c r="BH957" s="1"/>
      <c r="BI957" s="1"/>
      <c r="BO957" s="1"/>
      <c r="BP957" s="1"/>
      <c r="BQ957" s="1"/>
      <c r="BR957" s="1"/>
      <c r="BS957" s="1"/>
      <c r="BT957" s="1"/>
      <c r="BU957" s="4"/>
    </row>
    <row r="958">
      <c r="AK958" s="1"/>
      <c r="AQ958" s="1"/>
      <c r="AW958" s="1"/>
      <c r="BC958" s="1"/>
      <c r="BD958" s="1"/>
      <c r="BE958" s="1"/>
      <c r="BF958" s="1"/>
      <c r="BG958" s="1"/>
      <c r="BH958" s="1"/>
      <c r="BI958" s="1"/>
      <c r="BO958" s="1"/>
      <c r="BP958" s="1"/>
      <c r="BQ958" s="1"/>
      <c r="BR958" s="1"/>
      <c r="BS958" s="1"/>
      <c r="BT958" s="1"/>
      <c r="BU958" s="4"/>
    </row>
    <row r="959">
      <c r="AK959" s="1"/>
      <c r="AQ959" s="1"/>
      <c r="AW959" s="1"/>
      <c r="BC959" s="1"/>
      <c r="BD959" s="1"/>
      <c r="BE959" s="1"/>
      <c r="BF959" s="1"/>
      <c r="BG959" s="1"/>
      <c r="BH959" s="1"/>
      <c r="BI959" s="1"/>
      <c r="BO959" s="1"/>
      <c r="BP959" s="1"/>
      <c r="BQ959" s="1"/>
      <c r="BR959" s="1"/>
      <c r="BS959" s="1"/>
      <c r="BT959" s="1"/>
      <c r="BU959" s="4"/>
    </row>
    <row r="960">
      <c r="AK960" s="1"/>
      <c r="AQ960" s="1"/>
      <c r="AW960" s="1"/>
      <c r="BC960" s="1"/>
      <c r="BD960" s="1"/>
      <c r="BE960" s="1"/>
      <c r="BF960" s="1"/>
      <c r="BG960" s="1"/>
      <c r="BH960" s="1"/>
      <c r="BI960" s="1"/>
      <c r="BO960" s="1"/>
      <c r="BP960" s="1"/>
      <c r="BQ960" s="1"/>
      <c r="BR960" s="1"/>
      <c r="BS960" s="1"/>
      <c r="BT960" s="1"/>
      <c r="BU960" s="4"/>
    </row>
    <row r="961">
      <c r="AK961" s="1"/>
      <c r="AQ961" s="1"/>
      <c r="AW961" s="1"/>
      <c r="BC961" s="1"/>
      <c r="BD961" s="1"/>
      <c r="BE961" s="1"/>
      <c r="BF961" s="1"/>
      <c r="BG961" s="1"/>
      <c r="BH961" s="1"/>
      <c r="BI961" s="1"/>
      <c r="BO961" s="1"/>
      <c r="BP961" s="1"/>
      <c r="BQ961" s="1"/>
      <c r="BR961" s="1"/>
      <c r="BS961" s="1"/>
      <c r="BT961" s="1"/>
      <c r="BU961" s="4"/>
    </row>
    <row r="962">
      <c r="AK962" s="1"/>
      <c r="AQ962" s="1"/>
      <c r="AW962" s="1"/>
      <c r="BC962" s="1"/>
      <c r="BD962" s="1"/>
      <c r="BE962" s="1"/>
      <c r="BF962" s="1"/>
      <c r="BG962" s="1"/>
      <c r="BH962" s="1"/>
      <c r="BI962" s="1"/>
      <c r="BO962" s="1"/>
      <c r="BP962" s="1"/>
      <c r="BQ962" s="1"/>
      <c r="BR962" s="1"/>
      <c r="BS962" s="1"/>
      <c r="BT962" s="1"/>
      <c r="BU962" s="4"/>
    </row>
    <row r="963">
      <c r="AK963" s="1"/>
      <c r="AQ963" s="1"/>
      <c r="AW963" s="1"/>
      <c r="BC963" s="1"/>
      <c r="BD963" s="1"/>
      <c r="BE963" s="1"/>
      <c r="BF963" s="1"/>
      <c r="BG963" s="1"/>
      <c r="BH963" s="1"/>
      <c r="BI963" s="1"/>
      <c r="BO963" s="1"/>
      <c r="BP963" s="1"/>
      <c r="BQ963" s="1"/>
      <c r="BR963" s="1"/>
      <c r="BS963" s="1"/>
      <c r="BT963" s="1"/>
      <c r="BU963" s="4"/>
    </row>
    <row r="964">
      <c r="AK964" s="1"/>
      <c r="AQ964" s="1"/>
      <c r="AW964" s="1"/>
      <c r="BC964" s="1"/>
      <c r="BD964" s="1"/>
      <c r="BE964" s="1"/>
      <c r="BF964" s="1"/>
      <c r="BG964" s="1"/>
      <c r="BH964" s="1"/>
      <c r="BI964" s="1"/>
      <c r="BO964" s="1"/>
      <c r="BP964" s="1"/>
      <c r="BQ964" s="1"/>
      <c r="BR964" s="1"/>
      <c r="BS964" s="1"/>
      <c r="BT964" s="1"/>
      <c r="BU964" s="4"/>
    </row>
    <row r="965">
      <c r="AK965" s="1"/>
      <c r="AQ965" s="1"/>
      <c r="AW965" s="1"/>
      <c r="BC965" s="1"/>
      <c r="BD965" s="1"/>
      <c r="BE965" s="1"/>
      <c r="BF965" s="1"/>
      <c r="BG965" s="1"/>
      <c r="BH965" s="1"/>
      <c r="BI965" s="1"/>
      <c r="BO965" s="1"/>
      <c r="BP965" s="1"/>
      <c r="BQ965" s="1"/>
      <c r="BR965" s="1"/>
      <c r="BS965" s="1"/>
      <c r="BT965" s="1"/>
      <c r="BU965" s="4"/>
    </row>
    <row r="966">
      <c r="AK966" s="1"/>
      <c r="AQ966" s="1"/>
      <c r="AW966" s="1"/>
      <c r="BC966" s="1"/>
      <c r="BD966" s="1"/>
      <c r="BE966" s="1"/>
      <c r="BF966" s="1"/>
      <c r="BG966" s="1"/>
      <c r="BH966" s="1"/>
      <c r="BI966" s="1"/>
      <c r="BO966" s="1"/>
      <c r="BP966" s="1"/>
      <c r="BQ966" s="1"/>
      <c r="BR966" s="1"/>
      <c r="BS966" s="1"/>
      <c r="BT966" s="1"/>
      <c r="BU966" s="4"/>
    </row>
    <row r="967">
      <c r="AK967" s="1"/>
      <c r="AQ967" s="1"/>
      <c r="AW967" s="1"/>
      <c r="BC967" s="1"/>
      <c r="BD967" s="1"/>
      <c r="BE967" s="1"/>
      <c r="BF967" s="1"/>
      <c r="BG967" s="1"/>
      <c r="BH967" s="1"/>
      <c r="BI967" s="1"/>
      <c r="BO967" s="1"/>
      <c r="BP967" s="1"/>
      <c r="BQ967" s="1"/>
      <c r="BR967" s="1"/>
      <c r="BS967" s="1"/>
      <c r="BT967" s="1"/>
      <c r="BU967" s="4"/>
    </row>
    <row r="968">
      <c r="AK968" s="1"/>
      <c r="AQ968" s="1"/>
      <c r="AW968" s="1"/>
      <c r="BC968" s="1"/>
      <c r="BD968" s="1"/>
      <c r="BE968" s="1"/>
      <c r="BF968" s="1"/>
      <c r="BG968" s="1"/>
      <c r="BH968" s="1"/>
      <c r="BI968" s="1"/>
      <c r="BO968" s="1"/>
      <c r="BP968" s="1"/>
      <c r="BQ968" s="1"/>
      <c r="BR968" s="1"/>
      <c r="BS968" s="1"/>
      <c r="BT968" s="1"/>
      <c r="BU968" s="4"/>
    </row>
    <row r="969">
      <c r="AK969" s="1"/>
      <c r="AQ969" s="1"/>
      <c r="AW969" s="1"/>
      <c r="BC969" s="1"/>
      <c r="BD969" s="1"/>
      <c r="BE969" s="1"/>
      <c r="BF969" s="1"/>
      <c r="BG969" s="1"/>
      <c r="BH969" s="1"/>
      <c r="BI969" s="1"/>
      <c r="BO969" s="1"/>
      <c r="BP969" s="1"/>
      <c r="BQ969" s="1"/>
      <c r="BR969" s="1"/>
      <c r="BS969" s="1"/>
      <c r="BT969" s="1"/>
      <c r="BU969" s="4"/>
    </row>
    <row r="970">
      <c r="AK970" s="1"/>
      <c r="AQ970" s="1"/>
      <c r="AW970" s="1"/>
      <c r="BC970" s="1"/>
      <c r="BD970" s="1"/>
      <c r="BE970" s="1"/>
      <c r="BF970" s="1"/>
      <c r="BG970" s="1"/>
      <c r="BH970" s="1"/>
      <c r="BI970" s="1"/>
      <c r="BO970" s="1"/>
      <c r="BP970" s="1"/>
      <c r="BQ970" s="1"/>
      <c r="BR970" s="1"/>
      <c r="BS970" s="1"/>
      <c r="BT970" s="1"/>
      <c r="BU970" s="4"/>
    </row>
    <row r="971">
      <c r="AK971" s="1"/>
      <c r="AQ971" s="1"/>
      <c r="AW971" s="1"/>
      <c r="BC971" s="1"/>
      <c r="BD971" s="1"/>
      <c r="BE971" s="1"/>
      <c r="BF971" s="1"/>
      <c r="BG971" s="1"/>
      <c r="BH971" s="1"/>
      <c r="BI971" s="1"/>
      <c r="BO971" s="1"/>
      <c r="BP971" s="1"/>
      <c r="BQ971" s="1"/>
      <c r="BR971" s="1"/>
      <c r="BS971" s="1"/>
      <c r="BT971" s="1"/>
      <c r="BU971" s="4"/>
    </row>
    <row r="972">
      <c r="AK972" s="1"/>
      <c r="AQ972" s="1"/>
      <c r="AW972" s="1"/>
      <c r="BC972" s="1"/>
      <c r="BD972" s="1"/>
      <c r="BE972" s="1"/>
      <c r="BF972" s="1"/>
      <c r="BG972" s="1"/>
      <c r="BH972" s="1"/>
      <c r="BI972" s="1"/>
      <c r="BO972" s="1"/>
      <c r="BP972" s="1"/>
      <c r="BQ972" s="1"/>
      <c r="BR972" s="1"/>
      <c r="BS972" s="1"/>
      <c r="BT972" s="1"/>
      <c r="BU972" s="4"/>
    </row>
    <row r="973">
      <c r="AK973" s="1"/>
      <c r="AQ973" s="1"/>
      <c r="AW973" s="1"/>
      <c r="BC973" s="1"/>
      <c r="BD973" s="1"/>
      <c r="BE973" s="1"/>
      <c r="BF973" s="1"/>
      <c r="BG973" s="1"/>
      <c r="BH973" s="1"/>
      <c r="BI973" s="1"/>
      <c r="BO973" s="1"/>
      <c r="BP973" s="1"/>
      <c r="BQ973" s="1"/>
      <c r="BR973" s="1"/>
      <c r="BS973" s="1"/>
      <c r="BT973" s="1"/>
      <c r="BU973" s="4"/>
    </row>
    <row r="974">
      <c r="AK974" s="1"/>
      <c r="AQ974" s="1"/>
      <c r="AW974" s="1"/>
      <c r="BC974" s="1"/>
      <c r="BD974" s="1"/>
      <c r="BE974" s="1"/>
      <c r="BF974" s="1"/>
      <c r="BG974" s="1"/>
      <c r="BH974" s="1"/>
      <c r="BI974" s="1"/>
      <c r="BO974" s="1"/>
      <c r="BP974" s="1"/>
      <c r="BQ974" s="1"/>
      <c r="BR974" s="1"/>
      <c r="BS974" s="1"/>
      <c r="BT974" s="1"/>
      <c r="BU974" s="4"/>
    </row>
    <row r="975">
      <c r="AK975" s="1"/>
      <c r="AQ975" s="1"/>
      <c r="AW975" s="1"/>
      <c r="BC975" s="1"/>
      <c r="BD975" s="1"/>
      <c r="BE975" s="1"/>
      <c r="BF975" s="1"/>
      <c r="BG975" s="1"/>
      <c r="BH975" s="1"/>
      <c r="BI975" s="1"/>
      <c r="BO975" s="1"/>
      <c r="BP975" s="1"/>
      <c r="BQ975" s="1"/>
      <c r="BR975" s="1"/>
      <c r="BS975" s="1"/>
      <c r="BT975" s="1"/>
      <c r="BU975" s="4"/>
    </row>
    <row r="976">
      <c r="AK976" s="1"/>
      <c r="AQ976" s="1"/>
      <c r="AW976" s="1"/>
      <c r="BC976" s="1"/>
      <c r="BD976" s="1"/>
      <c r="BE976" s="1"/>
      <c r="BF976" s="1"/>
      <c r="BG976" s="1"/>
      <c r="BH976" s="1"/>
      <c r="BI976" s="1"/>
      <c r="BO976" s="1"/>
      <c r="BP976" s="1"/>
      <c r="BQ976" s="1"/>
      <c r="BR976" s="1"/>
      <c r="BS976" s="1"/>
      <c r="BT976" s="1"/>
      <c r="BU976" s="4"/>
    </row>
    <row r="977">
      <c r="AK977" s="1"/>
      <c r="AQ977" s="1"/>
      <c r="AW977" s="1"/>
      <c r="BC977" s="1"/>
      <c r="BD977" s="1"/>
      <c r="BE977" s="1"/>
      <c r="BF977" s="1"/>
      <c r="BG977" s="1"/>
      <c r="BH977" s="1"/>
      <c r="BI977" s="1"/>
      <c r="BO977" s="1"/>
      <c r="BP977" s="1"/>
      <c r="BQ977" s="1"/>
      <c r="BR977" s="1"/>
      <c r="BS977" s="1"/>
      <c r="BT977" s="1"/>
      <c r="BU977" s="4"/>
    </row>
    <row r="978">
      <c r="AK978" s="1"/>
      <c r="AQ978" s="1"/>
      <c r="AW978" s="1"/>
      <c r="BC978" s="1"/>
      <c r="BD978" s="1"/>
      <c r="BE978" s="1"/>
      <c r="BF978" s="1"/>
      <c r="BG978" s="1"/>
      <c r="BH978" s="1"/>
      <c r="BI978" s="1"/>
      <c r="BO978" s="1"/>
      <c r="BP978" s="1"/>
      <c r="BQ978" s="1"/>
      <c r="BR978" s="1"/>
      <c r="BS978" s="1"/>
      <c r="BT978" s="1"/>
      <c r="BU978" s="4"/>
    </row>
    <row r="979">
      <c r="AK979" s="1"/>
      <c r="AQ979" s="1"/>
      <c r="AW979" s="1"/>
      <c r="BC979" s="1"/>
      <c r="BD979" s="1"/>
      <c r="BE979" s="1"/>
      <c r="BF979" s="1"/>
      <c r="BG979" s="1"/>
      <c r="BH979" s="1"/>
      <c r="BI979" s="1"/>
      <c r="BO979" s="1"/>
      <c r="BP979" s="1"/>
      <c r="BQ979" s="1"/>
      <c r="BR979" s="1"/>
      <c r="BS979" s="1"/>
      <c r="BT979" s="1"/>
      <c r="BU979" s="4"/>
    </row>
    <row r="980">
      <c r="AK980" s="1"/>
      <c r="AQ980" s="1"/>
      <c r="AW980" s="1"/>
      <c r="BC980" s="1"/>
      <c r="BD980" s="1"/>
      <c r="BE980" s="1"/>
      <c r="BF980" s="1"/>
      <c r="BG980" s="1"/>
      <c r="BH980" s="1"/>
      <c r="BI980" s="1"/>
      <c r="BO980" s="1"/>
      <c r="BP980" s="1"/>
      <c r="BQ980" s="1"/>
      <c r="BR980" s="1"/>
      <c r="BS980" s="1"/>
      <c r="BT980" s="1"/>
      <c r="BU980" s="4"/>
    </row>
    <row r="981">
      <c r="AK981" s="1"/>
      <c r="AQ981" s="1"/>
      <c r="AW981" s="1"/>
      <c r="BC981" s="1"/>
      <c r="BD981" s="1"/>
      <c r="BE981" s="1"/>
      <c r="BF981" s="1"/>
      <c r="BG981" s="1"/>
      <c r="BH981" s="1"/>
      <c r="BI981" s="1"/>
      <c r="BO981" s="1"/>
      <c r="BP981" s="1"/>
      <c r="BQ981" s="1"/>
      <c r="BR981" s="1"/>
      <c r="BS981" s="1"/>
      <c r="BT981" s="1"/>
      <c r="BU981" s="4"/>
    </row>
    <row r="982">
      <c r="AK982" s="1"/>
      <c r="AQ982" s="1"/>
      <c r="AW982" s="1"/>
      <c r="BC982" s="1"/>
      <c r="BD982" s="1"/>
      <c r="BE982" s="1"/>
      <c r="BF982" s="1"/>
      <c r="BG982" s="1"/>
      <c r="BH982" s="1"/>
      <c r="BI982" s="1"/>
      <c r="BO982" s="1"/>
      <c r="BP982" s="1"/>
      <c r="BQ982" s="1"/>
      <c r="BR982" s="1"/>
      <c r="BS982" s="1"/>
      <c r="BT982" s="1"/>
      <c r="BU982" s="4"/>
    </row>
    <row r="983">
      <c r="AK983" s="1"/>
      <c r="AQ983" s="1"/>
      <c r="AW983" s="1"/>
      <c r="BC983" s="1"/>
      <c r="BD983" s="1"/>
      <c r="BE983" s="1"/>
      <c r="BF983" s="1"/>
      <c r="BG983" s="1"/>
      <c r="BH983" s="1"/>
      <c r="BI983" s="1"/>
      <c r="BO983" s="1"/>
      <c r="BP983" s="1"/>
      <c r="BQ983" s="1"/>
      <c r="BR983" s="1"/>
      <c r="BS983" s="1"/>
      <c r="BT983" s="1"/>
      <c r="BU983" s="4"/>
    </row>
    <row r="984">
      <c r="AK984" s="1"/>
      <c r="AQ984" s="1"/>
      <c r="AW984" s="1"/>
      <c r="BC984" s="1"/>
      <c r="BD984" s="1"/>
      <c r="BE984" s="1"/>
      <c r="BF984" s="1"/>
      <c r="BG984" s="1"/>
      <c r="BH984" s="1"/>
      <c r="BI984" s="1"/>
      <c r="BO984" s="1"/>
      <c r="BP984" s="1"/>
      <c r="BQ984" s="1"/>
      <c r="BR984" s="1"/>
      <c r="BS984" s="1"/>
      <c r="BT984" s="1"/>
      <c r="BU984" s="4"/>
    </row>
    <row r="985">
      <c r="AK985" s="1"/>
      <c r="AQ985" s="1"/>
      <c r="AW985" s="1"/>
      <c r="BC985" s="1"/>
      <c r="BD985" s="1"/>
      <c r="BE985" s="1"/>
      <c r="BF985" s="1"/>
      <c r="BG985" s="1"/>
      <c r="BH985" s="1"/>
      <c r="BI985" s="1"/>
      <c r="BO985" s="1"/>
      <c r="BP985" s="1"/>
      <c r="BQ985" s="1"/>
      <c r="BR985" s="1"/>
      <c r="BS985" s="1"/>
      <c r="BT985" s="1"/>
      <c r="BU985" s="4"/>
    </row>
    <row r="986">
      <c r="AK986" s="1"/>
      <c r="AQ986" s="1"/>
      <c r="AW986" s="1"/>
      <c r="BC986" s="1"/>
      <c r="BD986" s="1"/>
      <c r="BE986" s="1"/>
      <c r="BF986" s="1"/>
      <c r="BG986" s="1"/>
      <c r="BH986" s="1"/>
      <c r="BI986" s="1"/>
      <c r="BO986" s="1"/>
      <c r="BP986" s="1"/>
      <c r="BQ986" s="1"/>
      <c r="BR986" s="1"/>
      <c r="BS986" s="1"/>
      <c r="BT986" s="1"/>
      <c r="BU986" s="4"/>
    </row>
    <row r="987">
      <c r="AK987" s="1"/>
      <c r="AQ987" s="1"/>
      <c r="AW987" s="1"/>
      <c r="BC987" s="1"/>
      <c r="BD987" s="1"/>
      <c r="BE987" s="1"/>
      <c r="BF987" s="1"/>
      <c r="BG987" s="1"/>
      <c r="BH987" s="1"/>
      <c r="BI987" s="1"/>
      <c r="BO987" s="1"/>
      <c r="BP987" s="1"/>
      <c r="BQ987" s="1"/>
      <c r="BR987" s="1"/>
      <c r="BS987" s="1"/>
      <c r="BT987" s="1"/>
      <c r="BU987" s="4"/>
    </row>
    <row r="988">
      <c r="AK988" s="1"/>
      <c r="AQ988" s="1"/>
      <c r="AW988" s="1"/>
      <c r="BC988" s="1"/>
      <c r="BD988" s="1"/>
      <c r="BE988" s="1"/>
      <c r="BF988" s="1"/>
      <c r="BG988" s="1"/>
      <c r="BH988" s="1"/>
      <c r="BI988" s="1"/>
      <c r="BO988" s="1"/>
      <c r="BP988" s="1"/>
      <c r="BQ988" s="1"/>
      <c r="BR988" s="1"/>
      <c r="BS988" s="1"/>
      <c r="BT988" s="1"/>
      <c r="BU988" s="4"/>
    </row>
    <row r="989">
      <c r="AK989" s="1"/>
      <c r="AQ989" s="1"/>
      <c r="AW989" s="1"/>
      <c r="BC989" s="1"/>
      <c r="BD989" s="1"/>
      <c r="BE989" s="1"/>
      <c r="BF989" s="1"/>
      <c r="BG989" s="1"/>
      <c r="BH989" s="1"/>
      <c r="BI989" s="1"/>
      <c r="BO989" s="1"/>
      <c r="BP989" s="1"/>
      <c r="BQ989" s="1"/>
      <c r="BR989" s="1"/>
      <c r="BS989" s="1"/>
      <c r="BT989" s="1"/>
      <c r="BU989" s="4"/>
    </row>
    <row r="990">
      <c r="AK990" s="1"/>
      <c r="AQ990" s="1"/>
      <c r="AW990" s="1"/>
      <c r="BC990" s="1"/>
      <c r="BD990" s="1"/>
      <c r="BE990" s="1"/>
      <c r="BF990" s="1"/>
      <c r="BG990" s="1"/>
      <c r="BH990" s="1"/>
      <c r="BI990" s="1"/>
      <c r="BO990" s="1"/>
      <c r="BP990" s="1"/>
      <c r="BQ990" s="1"/>
      <c r="BR990" s="1"/>
      <c r="BS990" s="1"/>
      <c r="BT990" s="1"/>
      <c r="BU990" s="4"/>
    </row>
    <row r="991">
      <c r="AK991" s="1"/>
      <c r="AQ991" s="1"/>
      <c r="AW991" s="1"/>
      <c r="BC991" s="1"/>
      <c r="BD991" s="1"/>
      <c r="BE991" s="1"/>
      <c r="BF991" s="1"/>
      <c r="BG991" s="1"/>
      <c r="BH991" s="1"/>
      <c r="BI991" s="1"/>
      <c r="BO991" s="1"/>
      <c r="BP991" s="1"/>
      <c r="BQ991" s="1"/>
      <c r="BR991" s="1"/>
      <c r="BS991" s="1"/>
      <c r="BT991" s="1"/>
      <c r="BU991" s="4"/>
    </row>
    <row r="992">
      <c r="AK992" s="1"/>
      <c r="AQ992" s="1"/>
      <c r="AW992" s="1"/>
      <c r="BC992" s="1"/>
      <c r="BD992" s="1"/>
      <c r="BE992" s="1"/>
      <c r="BF992" s="1"/>
      <c r="BG992" s="1"/>
      <c r="BH992" s="1"/>
      <c r="BI992" s="1"/>
      <c r="BO992" s="1"/>
      <c r="BP992" s="1"/>
      <c r="BQ992" s="1"/>
      <c r="BR992" s="1"/>
      <c r="BS992" s="1"/>
      <c r="BT992" s="1"/>
      <c r="BU992" s="4"/>
    </row>
    <row r="993">
      <c r="AK993" s="1"/>
      <c r="AQ993" s="1"/>
      <c r="AW993" s="1"/>
      <c r="BC993" s="1"/>
      <c r="BD993" s="1"/>
      <c r="BE993" s="1"/>
      <c r="BF993" s="1"/>
      <c r="BG993" s="1"/>
      <c r="BH993" s="1"/>
      <c r="BI993" s="1"/>
      <c r="BO993" s="1"/>
      <c r="BP993" s="1"/>
      <c r="BQ993" s="1"/>
      <c r="BR993" s="1"/>
      <c r="BS993" s="1"/>
      <c r="BT993" s="1"/>
      <c r="BU993" s="4"/>
    </row>
    <row r="994">
      <c r="AK994" s="1"/>
      <c r="AQ994" s="1"/>
      <c r="AW994" s="1"/>
      <c r="BC994" s="1"/>
      <c r="BD994" s="1"/>
      <c r="BE994" s="1"/>
      <c r="BF994" s="1"/>
      <c r="BG994" s="1"/>
      <c r="BH994" s="1"/>
      <c r="BI994" s="1"/>
      <c r="BO994" s="1"/>
      <c r="BP994" s="1"/>
      <c r="BQ994" s="1"/>
      <c r="BR994" s="1"/>
      <c r="BS994" s="1"/>
      <c r="BT994" s="1"/>
      <c r="BU994" s="4"/>
    </row>
    <row r="995">
      <c r="AK995" s="1"/>
      <c r="AQ995" s="1"/>
      <c r="AW995" s="1"/>
      <c r="BC995" s="1"/>
      <c r="BD995" s="1"/>
      <c r="BE995" s="1"/>
      <c r="BF995" s="1"/>
      <c r="BG995" s="1"/>
      <c r="BH995" s="1"/>
      <c r="BI995" s="1"/>
      <c r="BO995" s="1"/>
      <c r="BP995" s="1"/>
      <c r="BQ995" s="1"/>
      <c r="BR995" s="1"/>
      <c r="BS995" s="1"/>
      <c r="BT995" s="1"/>
      <c r="BU995" s="4"/>
    </row>
    <row r="996">
      <c r="AK996" s="1"/>
      <c r="AQ996" s="1"/>
      <c r="AW996" s="1"/>
      <c r="BC996" s="1"/>
      <c r="BD996" s="1"/>
      <c r="BE996" s="1"/>
      <c r="BF996" s="1"/>
      <c r="BG996" s="1"/>
      <c r="BH996" s="1"/>
      <c r="BI996" s="1"/>
      <c r="BO996" s="1"/>
      <c r="BP996" s="1"/>
      <c r="BQ996" s="1"/>
      <c r="BR996" s="1"/>
      <c r="BS996" s="1"/>
      <c r="BT996" s="1"/>
      <c r="BU996" s="4"/>
    </row>
    <row r="997">
      <c r="AK997" s="1"/>
      <c r="AQ997" s="1"/>
      <c r="AW997" s="1"/>
      <c r="BC997" s="1"/>
      <c r="BD997" s="1"/>
      <c r="BE997" s="1"/>
      <c r="BF997" s="1"/>
      <c r="BG997" s="1"/>
      <c r="BH997" s="1"/>
      <c r="BI997" s="1"/>
      <c r="BO997" s="1"/>
      <c r="BP997" s="1"/>
      <c r="BQ997" s="1"/>
      <c r="BR997" s="1"/>
      <c r="BS997" s="1"/>
      <c r="BT997" s="1"/>
      <c r="BU997" s="4"/>
    </row>
    <row r="998">
      <c r="AK998" s="1"/>
      <c r="AQ998" s="1"/>
      <c r="AW998" s="1"/>
      <c r="BC998" s="1"/>
      <c r="BD998" s="1"/>
      <c r="BE998" s="1"/>
      <c r="BF998" s="1"/>
      <c r="BG998" s="1"/>
      <c r="BH998" s="1"/>
      <c r="BI998" s="1"/>
      <c r="BO998" s="1"/>
      <c r="BP998" s="1"/>
      <c r="BQ998" s="1"/>
      <c r="BR998" s="1"/>
      <c r="BS998" s="1"/>
      <c r="BT998" s="1"/>
      <c r="BU998" s="4"/>
    </row>
    <row r="999">
      <c r="AK999" s="1"/>
      <c r="AQ999" s="1"/>
      <c r="AW999" s="1"/>
      <c r="BC999" s="1"/>
      <c r="BD999" s="1"/>
      <c r="BE999" s="1"/>
      <c r="BF999" s="1"/>
      <c r="BG999" s="1"/>
      <c r="BH999" s="1"/>
      <c r="BI999" s="1"/>
      <c r="BO999" s="1"/>
      <c r="BP999" s="1"/>
      <c r="BQ999" s="1"/>
      <c r="BR999" s="1"/>
      <c r="BS999" s="1"/>
      <c r="BT999" s="1"/>
      <c r="BU999" s="4"/>
    </row>
    <row r="1000">
      <c r="AK1000" s="1"/>
      <c r="AQ1000" s="1"/>
      <c r="AW1000" s="1"/>
      <c r="BC1000" s="1"/>
      <c r="BD1000" s="1"/>
      <c r="BE1000" s="1"/>
      <c r="BF1000" s="1"/>
      <c r="BG1000" s="1"/>
      <c r="BH1000" s="1"/>
      <c r="BI1000" s="1"/>
      <c r="BO1000" s="1"/>
      <c r="BP1000" s="1"/>
      <c r="BQ1000" s="1"/>
      <c r="BR1000" s="1"/>
      <c r="BS1000" s="1"/>
      <c r="BT1000" s="1"/>
      <c r="BU1000" s="4"/>
    </row>
    <row r="1001">
      <c r="AK1001" s="1"/>
      <c r="AQ1001" s="1"/>
      <c r="AW1001" s="1"/>
      <c r="BC1001" s="1"/>
      <c r="BD1001" s="1"/>
      <c r="BE1001" s="1"/>
      <c r="BF1001" s="1"/>
      <c r="BG1001" s="1"/>
      <c r="BH1001" s="1"/>
      <c r="BI1001" s="1"/>
      <c r="BO1001" s="1"/>
      <c r="BP1001" s="1"/>
      <c r="BQ1001" s="1"/>
      <c r="BR1001" s="1"/>
      <c r="BS1001" s="1"/>
      <c r="BT1001" s="1"/>
      <c r="BU1001" s="4"/>
    </row>
    <row r="1002">
      <c r="AK1002" s="1"/>
      <c r="AQ1002" s="1"/>
      <c r="AW1002" s="1"/>
      <c r="BC1002" s="1"/>
      <c r="BD1002" s="1"/>
      <c r="BE1002" s="1"/>
      <c r="BF1002" s="1"/>
      <c r="BG1002" s="1"/>
      <c r="BH1002" s="1"/>
      <c r="BI1002" s="1"/>
      <c r="BO1002" s="1"/>
      <c r="BP1002" s="1"/>
      <c r="BQ1002" s="1"/>
      <c r="BR1002" s="1"/>
      <c r="BS1002" s="1"/>
      <c r="BT1002" s="1"/>
      <c r="BU1002" s="4"/>
    </row>
    <row r="1003">
      <c r="AK1003" s="1"/>
      <c r="AQ1003" s="1"/>
      <c r="AW1003" s="1"/>
      <c r="BC1003" s="1"/>
      <c r="BD1003" s="1"/>
      <c r="BE1003" s="1"/>
      <c r="BF1003" s="1"/>
      <c r="BG1003" s="1"/>
      <c r="BH1003" s="1"/>
      <c r="BI1003" s="1"/>
      <c r="BO1003" s="1"/>
      <c r="BP1003" s="1"/>
      <c r="BQ1003" s="1"/>
      <c r="BR1003" s="1"/>
      <c r="BS1003" s="1"/>
      <c r="BT1003" s="1"/>
      <c r="BU1003" s="4"/>
    </row>
    <row r="1004">
      <c r="AK1004" s="1"/>
      <c r="AQ1004" s="1"/>
      <c r="AW1004" s="1"/>
      <c r="BC1004" s="1"/>
      <c r="BD1004" s="1"/>
      <c r="BE1004" s="1"/>
      <c r="BF1004" s="1"/>
      <c r="BG1004" s="1"/>
      <c r="BH1004" s="1"/>
      <c r="BI1004" s="1"/>
      <c r="BO1004" s="1"/>
      <c r="BP1004" s="1"/>
      <c r="BQ1004" s="1"/>
      <c r="BR1004" s="1"/>
      <c r="BS1004" s="1"/>
      <c r="BT1004" s="1"/>
      <c r="BU1004" s="4"/>
    </row>
    <row r="1005">
      <c r="AK1005" s="1"/>
      <c r="AQ1005" s="1"/>
      <c r="AW1005" s="1"/>
      <c r="BC1005" s="1"/>
      <c r="BD1005" s="1"/>
      <c r="BE1005" s="1"/>
      <c r="BF1005" s="1"/>
      <c r="BG1005" s="1"/>
      <c r="BH1005" s="1"/>
      <c r="BI1005" s="1"/>
      <c r="BO1005" s="1"/>
      <c r="BU1005" s="4"/>
    </row>
    <row r="1006">
      <c r="AK1006" s="1"/>
      <c r="AQ1006" s="1"/>
      <c r="AW1006" s="1"/>
      <c r="BC1006" s="1"/>
      <c r="BD1006" s="1"/>
      <c r="BE1006" s="1"/>
      <c r="BF1006" s="1"/>
      <c r="BG1006" s="1"/>
      <c r="BH1006" s="1"/>
      <c r="BI1006" s="1"/>
      <c r="BO1006" s="1"/>
      <c r="BU1006" s="4"/>
    </row>
  </sheetData>
  <mergeCells count="48">
    <mergeCell ref="BG11:BH15"/>
    <mergeCell ref="BM11:BN15"/>
    <mergeCell ref="Q11:R15"/>
    <mergeCell ref="W11:X15"/>
    <mergeCell ref="AC11:AD15"/>
    <mergeCell ref="AI11:AJ15"/>
    <mergeCell ref="AO11:AP15"/>
    <mergeCell ref="AU11:AV15"/>
    <mergeCell ref="BA11:BB15"/>
    <mergeCell ref="AR1:AV1"/>
    <mergeCell ref="AX1:BB1"/>
    <mergeCell ref="BD1:BH1"/>
    <mergeCell ref="BJ1:BN1"/>
    <mergeCell ref="BP1:BT1"/>
    <mergeCell ref="B1:F1"/>
    <mergeCell ref="H1:L1"/>
    <mergeCell ref="N1:R1"/>
    <mergeCell ref="T1:X1"/>
    <mergeCell ref="Z1:AD1"/>
    <mergeCell ref="AF1:AJ1"/>
    <mergeCell ref="AL1:AP1"/>
    <mergeCell ref="X3:X9"/>
    <mergeCell ref="AB3:AB9"/>
    <mergeCell ref="AD3:AD9"/>
    <mergeCell ref="AH3:AH9"/>
    <mergeCell ref="AJ3:AJ9"/>
    <mergeCell ref="AN3:AN9"/>
    <mergeCell ref="AP3:AP9"/>
    <mergeCell ref="BN3:BN9"/>
    <mergeCell ref="BR3:BR9"/>
    <mergeCell ref="BT3:BT9"/>
    <mergeCell ref="BS11:BT15"/>
    <mergeCell ref="AT3:AT9"/>
    <mergeCell ref="AV3:AV9"/>
    <mergeCell ref="AZ3:AZ9"/>
    <mergeCell ref="BB3:BB9"/>
    <mergeCell ref="BF3:BF9"/>
    <mergeCell ref="BH3:BH9"/>
    <mergeCell ref="BL3:BL9"/>
    <mergeCell ref="L3:L9"/>
    <mergeCell ref="K11:L15"/>
    <mergeCell ref="D3:D9"/>
    <mergeCell ref="F3:F9"/>
    <mergeCell ref="J3:J9"/>
    <mergeCell ref="P3:P9"/>
    <mergeCell ref="R3:R9"/>
    <mergeCell ref="V3:V9"/>
    <mergeCell ref="E11:F15"/>
  </mergeCells>
  <conditionalFormatting sqref="C17:C31 I17:I31 O17:O31 U17:U31 AA17:AA30 AG17:AG30 AM17:AM30 AS17:AS30 AY17:AY30 BE17:BE30 BK17:BK30 BQ17:BQ30 AM97:AM110 AY97:AY110 BK97:BK110 AM162:AM190 AY162:AY190 BK162:BK190 AM242:AM270 AY242:AY270 BK242:BK270 AM322:AM350 AY322:AY350 BK322:BK350 AM402:AM430 AY402:AY430 BK402:BK430 AM482:AM510 AY482:AY510 BK482:BK510 AM562:AM590 AY562:AY590 BK562:BK590 AM642:AM670 AY642:AY670 BK642:BK670 AM722:AM750 AY722:AY750 BK722:BK750 AM802:AM830 AY802:AY830 BK802:BK830 AM882:AM910 AY882:AY910 BK882:BK910">
    <cfRule type="notContainsBlanks" dxfId="0" priority="1">
      <formula>LEN(TRIM(C17))&gt;0</formula>
    </cfRule>
  </conditionalFormatting>
  <conditionalFormatting sqref="C17:C31 I17:I31 O17:O31 U17:U31 AA17:AA30 AG17:AG31 AM17:AM31 AS17:AS31 AY17:AY30 BE17:BE31 BK17:BK30 BQ17:BQ31">
    <cfRule type="containsBlanks" dxfId="1" priority="2">
      <formula>LEN(TRIM(C17))=0</formula>
    </cfRule>
  </conditionalFormatting>
  <conditionalFormatting sqref="D11:D15 J11:J15 P11:P15 V11:V15 AB11:AB15 AH11:AH15 AN11:AN15 AT11:AT15 AZ11:AZ15 BF11:BF15 BL11:BL15 BR11:BR15 D17:D31 J17:J31 P17:P31 V17:V31 AB17:AB31 AH17:AH31 AN17:AN111 AT17:AT31 AZ17:AZ111 BF17:BF32 BL17:BL111 BR17:BR31 AH109:AH115 AT109:AT115 J111:J115 V111:V115 AN171:AN175 AZ171:AZ175 BL171:BL175 AN177:AN191 AZ177:AZ191 BL177:BL191 AN251:AN255 AZ251:AZ255 BL251:BL255 AN257:AN271 AZ257:AZ271 BL257:BL271 AN331:AN335 AZ331:AZ335 BL331:BL335 AN337:AN351 AZ337:AZ351 BL337:BL351 AN411:AN415 AZ411:AZ415 BL411:BL415 AN417:AN431 AZ417:AZ431 BL417:BL431 AN491:AN495 AZ491:AZ495 BL491:BL495 AN497:AN511 AZ497:AZ511 BL497:BL511 AN571:AN575 AZ571:AZ575 BL571:BL575 AN577:AN591 AZ577:AZ591 BL577:BL591 AN651:AN655 AZ651:AZ655 BL651:BL655 AN657:AN671 AZ657:AZ671 BL657:BL671 AN731:AN735 AZ731:AZ735 BL731:BL735 AN737:AN751 AZ737:AZ751 BL737:BL751 AN811:AN815 AZ811:AZ815 BL811:BL815 AN817:AN831 AZ817:AZ831 BL817:BL831 AN891:AN895 AZ891:AZ895 BL891:BL895 AN897:AN911 AZ897:AZ911 BL897:BL911">
    <cfRule type="cellIs" dxfId="2" priority="3" operator="greaterThan">
      <formula>"6 + DAY(TODAY())"</formula>
    </cfRule>
  </conditionalFormatting>
  <conditionalFormatting sqref="B17:D80 E17:E19 F17:F80 H17:J116 K17:K19 L17:L116 N17:P80 Q17:Q19 R17:R80 T17:V116 W17:W19 X17:X116 Z17:AB80 AD17:AD80 AF17:AH116 AJ17:AJ116 AL17:AN1006 AP17:AP1006 AR17:AT116 AV17:AV116 AX17:AZ1006 BB17:BB1006 BD17:BF129 BH17:BH129 BJ17:BL1006 BN17:BN1006 BP17:BR129 BT17:BT129 E21 K21 Q21 W21 AI21 AU21 BG21 BS21 E23:E25 K23:K25 Q23:Q25 W23:W25 E27:E30 K27 Q27 W27 K29:K30 Q29:Q30 W29:W30 E32:E33 K32:K33 Q32:Q33 W32:W33 E65:E67 Q66:Q67 E69:E71 Q69:Q71 K101:K116 W101:W116">
    <cfRule type="cellIs" dxfId="3" priority="4" operator="equal">
      <formula>"WALKER"</formula>
    </cfRule>
  </conditionalFormatting>
  <conditionalFormatting sqref="C5 I5 O5 U5 AA5 AG5 AM5 AS5 AY5 BE5 BK5 BQ5 AM85 AY85 BK85 AG103 AS103 I105 U105 AM150 AY150 BK150 AM230 AY230 BK230 AM310 AY310 BK310 AM390 AY390 BK390 AM470 AY470 BK470 AM550 AY550 BK550 AM630 AY630 BK630 AM710 AY710 BK710 AM790 AY790 BK790 AM870 AY870 BK870">
    <cfRule type="cellIs" dxfId="4" priority="5" operator="lessThan">
      <formula>0</formula>
    </cfRule>
  </conditionalFormatting>
  <conditionalFormatting sqref="B17:D80 E17:E19 F17:F80 H17:J116 K17:K19 L17:L116 N17:P80 Q17:Q19 R17:R80 T17:V116 W17:W19 X17:X116 Z17:AB80 AD17:AD80 AF17:AH116 AJ17:AJ116 AL17:AN1006 AP17:AP1006 AR17:AT116 AV17:AV116 AX17:AZ1006 BB17:BB1006 BD17:BF129 BH17:BH129 BJ17:BL1006 BN17:BN1006 BP17:BR129 BT17:BT129 E21 K21 Q21 W21 E23:E25 K23:K25 Q23:Q25 W23:W25 E27:E30 K27 Q27 W27 K29:K30 Q29:Q30 W29:W30 E32:E33 K32:K33 Q32:Q33 W32:W33 E65:E67 Q66:Q67 E69:E71 Q69:Q71 K101:K116 W101:W116">
    <cfRule type="cellIs" dxfId="5" priority="6" operator="equal">
      <formula>"DEA"</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1.0"/>
    <col customWidth="1" min="3" max="3" width="10.25"/>
    <col customWidth="1" min="4" max="4" width="5.13"/>
    <col customWidth="1" min="5" max="5" width="14.13"/>
    <col customWidth="1" min="6" max="6" width="10.25"/>
    <col customWidth="1" min="7" max="7" width="6.5"/>
    <col customWidth="1" min="8" max="8" width="21.63"/>
    <col customWidth="1" min="9" max="9" width="10.25"/>
    <col customWidth="1" min="10" max="10" width="5.13"/>
    <col customWidth="1" min="11" max="11" width="14.13"/>
    <col customWidth="1" min="12" max="12" width="10.25"/>
    <col customWidth="1" min="13" max="13" width="6.5"/>
    <col customWidth="1" min="14" max="14" width="21.0"/>
    <col customWidth="1" min="15" max="15" width="10.25"/>
    <col customWidth="1" min="16" max="16" width="5.13"/>
    <col customWidth="1" min="17" max="17" width="14.13"/>
    <col customWidth="1" min="18" max="18" width="10.25"/>
    <col customWidth="1" min="19" max="19" width="6.5"/>
    <col customWidth="1" min="20" max="20" width="21.63"/>
    <col customWidth="1" min="21" max="21" width="10.25"/>
    <col customWidth="1" min="22" max="22" width="5.13"/>
    <col customWidth="1" min="23" max="23" width="14.13"/>
    <col customWidth="1" min="24" max="24" width="10.25"/>
    <col customWidth="1" min="25" max="25" width="6.5"/>
    <col customWidth="1" min="26" max="26" width="21.0"/>
    <col customWidth="1" min="27" max="27" width="10.25"/>
    <col customWidth="1" min="28" max="28" width="5.13"/>
    <col customWidth="1" min="29" max="29" width="14.13"/>
    <col customWidth="1" min="30" max="30" width="10.25"/>
    <col customWidth="1" min="31" max="31" width="6.5"/>
    <col customWidth="1" min="32" max="32" width="21.63"/>
    <col customWidth="1" min="33" max="33" width="10.25"/>
    <col customWidth="1" min="34" max="34" width="5.13"/>
    <col customWidth="1" min="35" max="35" width="14.13"/>
    <col customWidth="1" min="36" max="36" width="10.25"/>
    <col customWidth="1" min="37" max="37" width="6.5"/>
    <col customWidth="1" min="38" max="38" width="21.0"/>
    <col customWidth="1" min="39" max="39" width="10.25"/>
    <col customWidth="1" min="40" max="40" width="5.13"/>
    <col customWidth="1" min="41" max="41" width="14.13"/>
    <col customWidth="1" min="42" max="42" width="10.25"/>
    <col customWidth="1" min="43" max="43" width="6.5"/>
    <col customWidth="1" min="44" max="44" width="21.63"/>
    <col customWidth="1" min="45" max="45" width="10.25"/>
    <col customWidth="1" min="46" max="46" width="5.13"/>
    <col customWidth="1" min="47" max="47" width="14.13"/>
    <col customWidth="1" min="48" max="48" width="10.25"/>
    <col customWidth="1" min="49" max="49" width="6.5"/>
    <col customWidth="1" min="50" max="50" width="21.0"/>
    <col customWidth="1" min="51" max="51" width="10.25"/>
    <col customWidth="1" min="52" max="52" width="5.13"/>
    <col customWidth="1" min="53" max="53" width="14.13"/>
    <col customWidth="1" min="54" max="54" width="10.25"/>
    <col customWidth="1" min="55" max="55" width="6.5"/>
    <col customWidth="1" min="56" max="56" width="21.63"/>
    <col customWidth="1" min="57" max="57" width="10.25"/>
    <col customWidth="1" min="58" max="58" width="5.13"/>
    <col customWidth="1" min="59" max="59" width="14.13"/>
    <col customWidth="1" min="60" max="60" width="10.25"/>
    <col customWidth="1" min="61" max="61" width="6.5"/>
    <col customWidth="1" min="62" max="62" width="21.0"/>
    <col customWidth="1" min="63" max="63" width="10.25"/>
    <col customWidth="1" min="64" max="64" width="5.13"/>
    <col customWidth="1" min="65" max="65" width="14.13"/>
    <col customWidth="1" min="66" max="66" width="10.25"/>
    <col customWidth="1" min="67" max="67" width="6.5"/>
    <col customWidth="1" min="68" max="68" width="21.63"/>
    <col customWidth="1" min="69" max="69" width="10.25"/>
    <col customWidth="1" min="70" max="70" width="5.13"/>
    <col customWidth="1" min="71" max="71" width="14.13"/>
    <col customWidth="1" min="72" max="72" width="10.25"/>
    <col customWidth="1" min="73" max="73" width="6.5"/>
  </cols>
  <sheetData>
    <row r="1">
      <c r="A1" s="66" t="s">
        <v>711</v>
      </c>
      <c r="B1" s="3" t="s">
        <v>0</v>
      </c>
      <c r="G1" s="1"/>
      <c r="H1" s="2" t="s">
        <v>1</v>
      </c>
      <c r="M1" s="1"/>
      <c r="N1" s="3" t="s">
        <v>2</v>
      </c>
      <c r="S1" s="1"/>
      <c r="T1" s="2" t="s">
        <v>3</v>
      </c>
      <c r="Y1" s="1"/>
      <c r="Z1" s="3" t="s">
        <v>4</v>
      </c>
      <c r="AE1" s="1"/>
      <c r="AF1" s="2" t="s">
        <v>5</v>
      </c>
      <c r="AK1" s="1"/>
      <c r="AL1" s="3" t="s">
        <v>6</v>
      </c>
      <c r="AQ1" s="1"/>
      <c r="AR1" s="2" t="s">
        <v>7</v>
      </c>
      <c r="AW1" s="1"/>
      <c r="AX1" s="3" t="s">
        <v>8</v>
      </c>
      <c r="BC1" s="1"/>
      <c r="BD1" s="2" t="s">
        <v>9</v>
      </c>
      <c r="BI1" s="1"/>
      <c r="BJ1" s="3" t="s">
        <v>10</v>
      </c>
      <c r="BO1" s="1"/>
      <c r="BP1" s="2" t="s">
        <v>11</v>
      </c>
      <c r="BU1" s="1"/>
    </row>
    <row r="2">
      <c r="A2" s="1"/>
      <c r="B2" s="3"/>
      <c r="C2" s="3" t="s">
        <v>12</v>
      </c>
      <c r="D2" s="7" t="s">
        <v>13</v>
      </c>
      <c r="E2" s="3" t="s">
        <v>14</v>
      </c>
      <c r="F2" s="3" t="s">
        <v>412</v>
      </c>
      <c r="G2" s="1"/>
      <c r="H2" s="2"/>
      <c r="I2" s="2" t="s">
        <v>12</v>
      </c>
      <c r="J2" s="5" t="s">
        <v>13</v>
      </c>
      <c r="K2" s="2" t="s">
        <v>14</v>
      </c>
      <c r="L2" s="2" t="s">
        <v>412</v>
      </c>
      <c r="M2" s="1"/>
      <c r="N2" s="3"/>
      <c r="O2" s="3" t="s">
        <v>12</v>
      </c>
      <c r="P2" s="7" t="s">
        <v>13</v>
      </c>
      <c r="Q2" s="3" t="s">
        <v>14</v>
      </c>
      <c r="R2" s="3" t="s">
        <v>412</v>
      </c>
      <c r="S2" s="1"/>
      <c r="T2" s="2"/>
      <c r="U2" s="2" t="s">
        <v>12</v>
      </c>
      <c r="V2" s="5" t="s">
        <v>13</v>
      </c>
      <c r="W2" s="2" t="s">
        <v>14</v>
      </c>
      <c r="X2" s="2" t="s">
        <v>412</v>
      </c>
      <c r="Y2" s="1"/>
      <c r="Z2" s="3"/>
      <c r="AA2" s="3" t="s">
        <v>12</v>
      </c>
      <c r="AB2" s="7" t="s">
        <v>13</v>
      </c>
      <c r="AC2" s="3" t="s">
        <v>14</v>
      </c>
      <c r="AD2" s="3" t="s">
        <v>412</v>
      </c>
      <c r="AE2" s="1"/>
      <c r="AF2" s="2"/>
      <c r="AG2" s="2" t="s">
        <v>12</v>
      </c>
      <c r="AH2" s="5" t="s">
        <v>13</v>
      </c>
      <c r="AI2" s="2" t="s">
        <v>14</v>
      </c>
      <c r="AJ2" s="2" t="s">
        <v>412</v>
      </c>
      <c r="AK2" s="1"/>
      <c r="AL2" s="3"/>
      <c r="AM2" s="3" t="s">
        <v>12</v>
      </c>
      <c r="AN2" s="7" t="s">
        <v>13</v>
      </c>
      <c r="AO2" s="3" t="s">
        <v>14</v>
      </c>
      <c r="AP2" s="3" t="s">
        <v>412</v>
      </c>
      <c r="AQ2" s="1"/>
      <c r="AR2" s="2"/>
      <c r="AS2" s="2" t="s">
        <v>12</v>
      </c>
      <c r="AT2" s="5" t="s">
        <v>13</v>
      </c>
      <c r="AU2" s="2" t="s">
        <v>14</v>
      </c>
      <c r="AV2" s="2" t="s">
        <v>412</v>
      </c>
      <c r="AW2" s="1"/>
      <c r="AX2" s="3"/>
      <c r="AY2" s="3" t="s">
        <v>12</v>
      </c>
      <c r="AZ2" s="7" t="s">
        <v>13</v>
      </c>
      <c r="BA2" s="3" t="s">
        <v>14</v>
      </c>
      <c r="BB2" s="3" t="s">
        <v>412</v>
      </c>
      <c r="BC2" s="1"/>
      <c r="BD2" s="2"/>
      <c r="BE2" s="2" t="s">
        <v>12</v>
      </c>
      <c r="BF2" s="5" t="s">
        <v>13</v>
      </c>
      <c r="BG2" s="2" t="s">
        <v>14</v>
      </c>
      <c r="BH2" s="2" t="s">
        <v>412</v>
      </c>
      <c r="BI2" s="1"/>
      <c r="BJ2" s="3"/>
      <c r="BK2" s="3" t="s">
        <v>12</v>
      </c>
      <c r="BL2" s="7" t="s">
        <v>13</v>
      </c>
      <c r="BM2" s="3" t="s">
        <v>14</v>
      </c>
      <c r="BN2" s="3" t="s">
        <v>412</v>
      </c>
      <c r="BO2" s="1"/>
      <c r="BP2" s="2"/>
      <c r="BQ2" s="2" t="s">
        <v>12</v>
      </c>
      <c r="BR2" s="5" t="s">
        <v>13</v>
      </c>
      <c r="BS2" s="2" t="s">
        <v>14</v>
      </c>
      <c r="BT2" s="2" t="s">
        <v>412</v>
      </c>
      <c r="BU2" s="1"/>
    </row>
    <row r="3">
      <c r="A3" s="1"/>
      <c r="B3" s="9" t="s">
        <v>27</v>
      </c>
      <c r="C3" s="10">
        <f>SUMIF(E17:E202,"WALKER",C17:C202)</f>
        <v>8749.99</v>
      </c>
      <c r="D3" s="11">
        <f>sumif(F17:F196, "WALKER", C17:C196)</f>
        <v>17714.9</v>
      </c>
      <c r="E3" s="14" t="s">
        <v>28</v>
      </c>
      <c r="F3" s="13">
        <f>C7+C8 - (C10 - D3)</f>
        <v>0</v>
      </c>
      <c r="G3" s="1"/>
      <c r="H3" s="9" t="s">
        <v>27</v>
      </c>
      <c r="I3" s="10">
        <f>SUMIF(K17:K201,"WALKER",I17:I201)</f>
        <v>6536.78</v>
      </c>
      <c r="J3" s="11">
        <f>sumif(L17:L195, "WALKER", I17:I195)</f>
        <v>22756.56</v>
      </c>
      <c r="K3" s="12" t="s">
        <v>28</v>
      </c>
      <c r="L3" s="13">
        <f>I7+I8- (I10 - J3)</f>
        <v>0</v>
      </c>
      <c r="M3" s="1"/>
      <c r="N3" s="9" t="s">
        <v>27</v>
      </c>
      <c r="O3" s="10">
        <f>SUMIF(Q17:Q202,"WALKER",O17:O202)</f>
        <v>12349.83</v>
      </c>
      <c r="P3" s="11">
        <f>sumif(R17:R196, "WALKER", O17:O196)</f>
        <v>16450.32</v>
      </c>
      <c r="Q3" s="14" t="s">
        <v>28</v>
      </c>
      <c r="R3" s="13">
        <f>O7+O8 - (O10 - P3)</f>
        <v>0</v>
      </c>
      <c r="S3" s="1"/>
      <c r="T3" s="9" t="s">
        <v>27</v>
      </c>
      <c r="U3" s="10">
        <f>SUMIF(W17:W201,"WALKER",U17:U201)</f>
        <v>12829.15</v>
      </c>
      <c r="V3" s="11">
        <f>sumif(X17:X195, "WALKER", U17:U195)</f>
        <v>26535.47</v>
      </c>
      <c r="W3" s="12" t="s">
        <v>28</v>
      </c>
      <c r="X3" s="13">
        <f>U7+U8- (U10 - V3)</f>
        <v>0</v>
      </c>
      <c r="Y3" s="1"/>
      <c r="Z3" s="9" t="s">
        <v>27</v>
      </c>
      <c r="AA3" s="10">
        <f>SUMIF(AC17:AC201,"WALKER",AA17:AA201)</f>
        <v>13019.11</v>
      </c>
      <c r="AB3" s="11">
        <f>sumif(AD17:AD195, "WALKER", AA17:AA195)</f>
        <v>26012.33</v>
      </c>
      <c r="AC3" s="14" t="s">
        <v>28</v>
      </c>
      <c r="AD3" s="13">
        <f>AA7+AA8- (AA10 - AB3)</f>
        <v>0</v>
      </c>
      <c r="AE3" s="1"/>
      <c r="AF3" s="9" t="s">
        <v>27</v>
      </c>
      <c r="AG3" s="10">
        <f>SUMIF(AI17:AI201,"WALKER",AG17:AG201)</f>
        <v>7035.47</v>
      </c>
      <c r="AH3" s="11">
        <f>sumif(AJ17:AJ195, "WALKER", AG17:AG195)</f>
        <v>20936.15</v>
      </c>
      <c r="AI3" s="12" t="s">
        <v>28</v>
      </c>
      <c r="AJ3" s="13">
        <f>AG7+AG8- (AG10 - AH3)</f>
        <v>0</v>
      </c>
      <c r="AK3" s="1"/>
      <c r="AL3" s="9" t="s">
        <v>27</v>
      </c>
      <c r="AM3" s="10">
        <f>SUMIF(AO17:AO201,"WALKER",AM17:AM201)</f>
        <v>7612.04</v>
      </c>
      <c r="AN3" s="11">
        <f>sumif(AP17:AP195, "WALKER", AM17:AM195)</f>
        <v>26489.76</v>
      </c>
      <c r="AO3" s="14" t="s">
        <v>28</v>
      </c>
      <c r="AP3" s="13">
        <f>AM7+AM8- (AM10 - AN3)</f>
        <v>0</v>
      </c>
      <c r="AQ3" s="1"/>
      <c r="AR3" s="9" t="s">
        <v>27</v>
      </c>
      <c r="AS3" s="10">
        <f>SUMIF(AU17:AU201,"WALKER",AS17:AS201)</f>
        <v>9384.16</v>
      </c>
      <c r="AT3" s="11">
        <f>sumif(AV17:AV195, "WALKER", AS17:AS195)</f>
        <v>22271.45</v>
      </c>
      <c r="AU3" s="12" t="s">
        <v>28</v>
      </c>
      <c r="AV3" s="13">
        <f>AS7+AS8- (AS10 - AT3)</f>
        <v>0</v>
      </c>
      <c r="AW3" s="1"/>
      <c r="AX3" s="9" t="s">
        <v>27</v>
      </c>
      <c r="AY3" s="10">
        <f>SUMIF(BA17:BA225,"WALKER",AY17:AY225)</f>
        <v>9579.18</v>
      </c>
      <c r="AZ3" s="11">
        <f>sumif(BB17:BB219, "WALKER", AY17:AY219)</f>
        <v>23099.94</v>
      </c>
      <c r="BA3" s="14" t="s">
        <v>28</v>
      </c>
      <c r="BB3" s="13">
        <f>AY7+AY8- (AY10 - AZ3)</f>
        <v>0</v>
      </c>
      <c r="BC3" s="1"/>
      <c r="BD3" s="9" t="s">
        <v>27</v>
      </c>
      <c r="BE3" s="10">
        <f>SUMIF(BG17:BG201,"WALKER",BE17:BE201)</f>
        <v>6131.96</v>
      </c>
      <c r="BF3" s="11">
        <f>sumif(BH17:BH195, "WALKER", BE17:BE195)</f>
        <v>20254.76</v>
      </c>
      <c r="BG3" s="12" t="s">
        <v>28</v>
      </c>
      <c r="BH3" s="13">
        <f>BE7+BE8- (BE10 - BF3)</f>
        <v>0</v>
      </c>
      <c r="BI3" s="1"/>
      <c r="BJ3" s="9" t="s">
        <v>27</v>
      </c>
      <c r="BK3" s="10">
        <f>SUMIF(BM17:BM116,"WALKER",BK17:BK116)</f>
        <v>13279.04</v>
      </c>
      <c r="BL3" s="11">
        <f>sumif(BN17:BN116, "WALKER", BK17:BK116)</f>
        <v>29306.95</v>
      </c>
      <c r="BM3" s="14" t="s">
        <v>28</v>
      </c>
      <c r="BN3" s="13">
        <f>BK7+BK8- (BK10 - BL3)</f>
        <v>0</v>
      </c>
      <c r="BO3" s="1"/>
      <c r="BP3" s="9" t="s">
        <v>27</v>
      </c>
      <c r="BQ3" s="10">
        <f>SUMIF(BS17:BS81,"WALKER",BQ17:BQ81)</f>
        <v>12277.73</v>
      </c>
      <c r="BR3" s="11">
        <f>sumif(BT17:BT81, "WALKER", BQ17:BQ81)</f>
        <v>36104.77</v>
      </c>
      <c r="BS3" s="12" t="s">
        <v>28</v>
      </c>
      <c r="BT3" s="13">
        <f>BQ7+BQ8- (BQ10 - BR3)</f>
        <v>0</v>
      </c>
      <c r="BU3" s="1"/>
    </row>
    <row r="4">
      <c r="A4" s="1"/>
      <c r="B4" s="9" t="s">
        <v>29</v>
      </c>
      <c r="C4" s="15">
        <f>SUMIF(E17:E202, "WALKER",C17:C202) + 0.6 * SUMIF(E17:E202, "AMBOS",C17:C202) + 0.4 * SUMIF(E17:E202, "AMBOS_I",C17:C202) </f>
        <v>16081.702</v>
      </c>
      <c r="E4" s="14" t="s">
        <v>30</v>
      </c>
      <c r="G4" s="1"/>
      <c r="H4" s="9" t="s">
        <v>29</v>
      </c>
      <c r="I4" s="15">
        <f>SUMIF(K17:K201, "WALKER",I17:I201) + 0.6 * SUMIF(K17:K201, "AMBOS",I17:I201) + 0.4 * SUMIF(K17:K201, "AMBOS_I",I17:I201) </f>
        <v>17756.252</v>
      </c>
      <c r="K4" s="12" t="s">
        <v>30</v>
      </c>
      <c r="M4" s="1"/>
      <c r="N4" s="9" t="s">
        <v>29</v>
      </c>
      <c r="O4" s="15">
        <f>SUMIF(Q17:Q202, "WALKER",O17:O202) + 0.6 * SUMIF(Q17:Q202, "AMBOS",O17:O202) + 0.4 * SUMIF(Q17:Q202, "AMBOS_I",O17:O202) </f>
        <v>15474.324</v>
      </c>
      <c r="Q4" s="14" t="s">
        <v>30</v>
      </c>
      <c r="S4" s="1"/>
      <c r="T4" s="9" t="s">
        <v>29</v>
      </c>
      <c r="U4" s="15">
        <f>SUMIF(W17:W201, "WALKER",U17:U201) + 0.6 * SUMIF(W17:W201, "AMBOS",U17:U201) + 0.4 * SUMIF(W17:W201, "AMBOS_I",U17:U201) </f>
        <v>23605.702</v>
      </c>
      <c r="W4" s="12" t="s">
        <v>30</v>
      </c>
      <c r="Y4" s="1"/>
      <c r="Z4" s="9" t="s">
        <v>29</v>
      </c>
      <c r="AA4" s="15">
        <f>SUMIF(AC17:AC201, "WALKER",AA17:AA201) + 0.6 * SUMIF(AC17:AC201, "AMBOS",AA17:AA201) + 0.4 * SUMIF(AC17:AC201, "AMBOS_I",AA17:AA201) </f>
        <v>22598.074</v>
      </c>
      <c r="AC4" s="14" t="s">
        <v>30</v>
      </c>
      <c r="AE4" s="1"/>
      <c r="AF4" s="9" t="s">
        <v>29</v>
      </c>
      <c r="AG4" s="15">
        <f>SUMIF(AI17:AI201, "WALKER",AG17:AG201) + 0.6 * SUMIF(AI17:AI201, "AMBOS",AG17:AG201) + 0.4 * SUMIF(AI17:AI201, "AMBOS_I",AG17:AG201) </f>
        <v>16352.402</v>
      </c>
      <c r="AI4" s="12" t="s">
        <v>30</v>
      </c>
      <c r="AK4" s="1"/>
      <c r="AL4" s="9" t="s">
        <v>29</v>
      </c>
      <c r="AM4" s="15">
        <f>SUMIF(AO17:AO201, "WALKER",AM17:AM201) + 0.6 * SUMIF(AO17:AO201, "AMBOS",AM17:AM201) + 0.4 * SUMIF(AO17:AO201, "AMBOS_I",AM17:AM201) </f>
        <v>20257.256</v>
      </c>
      <c r="AO4" s="14" t="s">
        <v>30</v>
      </c>
      <c r="AQ4" s="1"/>
      <c r="AR4" s="9" t="s">
        <v>29</v>
      </c>
      <c r="AS4" s="15">
        <f>SUMIF(AU17:AU201, "WALKER",AS17:AS201) + 0.6 * SUMIF(AU17:AU201, "AMBOS",AS17:AS201) + 0.4 * SUMIF(AU17:AU201, "AMBOS_I",AS17:AS201) </f>
        <v>17454.778</v>
      </c>
      <c r="AU4" s="12" t="s">
        <v>30</v>
      </c>
      <c r="AW4" s="1"/>
      <c r="AX4" s="9" t="s">
        <v>29</v>
      </c>
      <c r="AY4" s="15">
        <f>SUMIF(BA17:BA225, "WALKER",AY17:AY225) + 0.6 * SUMIF(BA17:BA225, "AMBOS",AY17:AY225) + 0.4 * SUMIF(BA17:BA225, "AMBOS_I",AY17:AY225) </f>
        <v>19663.638</v>
      </c>
      <c r="BA4" s="14" t="s">
        <v>30</v>
      </c>
      <c r="BC4" s="1"/>
      <c r="BD4" s="9" t="s">
        <v>29</v>
      </c>
      <c r="BE4" s="15">
        <f>SUMIF(BG17:BG201, "WALKER",BE17:BE201) + 0.6 * SUMIF(BG17:BG201, "AMBOS",BE17:BE201) + 0.4 * SUMIF(BG17:BG201, "AMBOS_I",BE17:BE201) </f>
        <v>16140.854</v>
      </c>
      <c r="BG4" s="12" t="s">
        <v>30</v>
      </c>
      <c r="BI4" s="1"/>
      <c r="BJ4" s="9" t="s">
        <v>29</v>
      </c>
      <c r="BK4" s="15">
        <f>SUMIF(BM17:BM116, "WALKER",BK17:BK116) + 0.6 * SUMIF(BM17:BM116, "AMBOS",BK17:BK116) + 0.4 * SUMIF(BM17:BM116, "AMBOS_I",BK17:BK116) </f>
        <v>22314.932</v>
      </c>
      <c r="BM4" s="14" t="s">
        <v>30</v>
      </c>
      <c r="BO4" s="1"/>
      <c r="BP4" s="9" t="s">
        <v>29</v>
      </c>
      <c r="BQ4" s="15">
        <f>SUMIF(BS17:BS81, "WALKER",BQ17:BQ81) + 0.6 * SUMIF(BS17:BS81, "AMBOS",BQ17:BQ81) + 0.4 * SUMIF(BS17:BS81, "AMBOS_I",BQ17:BQ81) </f>
        <v>27282.806</v>
      </c>
      <c r="BS4" s="12" t="s">
        <v>30</v>
      </c>
      <c r="BU4" s="1"/>
    </row>
    <row r="5">
      <c r="A5" s="1"/>
      <c r="B5" s="16" t="s">
        <v>31</v>
      </c>
      <c r="C5" s="17">
        <f>SUMIFS(C17:C202,E17:E202, "DEA",F17:F202, "WALKER") + 0.4*SUMIFS(C17:C202,E17:E202,"AMBOS",F17:F202, "WALKER") + 0.6*SUMIFS(C17:C202,E17:E202,"AMBOS_I",F17:F202, "WALKER") - (SUMIFS(C17:C202,E17:E202,"WALKER",F17:F202, "DEA") + 0.6*SUMIFS(C17:C202,E17:E202,"AMBOS",F17:F202, "DEA") + 0.4*SUMIFS(C17:C202,E17:E202,"AMBOS_I",F17:F202, "DEA"))</f>
        <v>1633.198</v>
      </c>
      <c r="E5" s="14" t="s">
        <v>32</v>
      </c>
      <c r="G5" s="1"/>
      <c r="H5" s="16" t="s">
        <v>31</v>
      </c>
      <c r="I5" s="17">
        <f>SUMIFS(I17:I201,K17:K201, "DEA",L17:L201, "WALKER") + 0.4*SUMIFS(I17:I201,K17:K201,"AMBOS",L17:L201, "WALKER") + 0.6*SUMIFS(I17:I201,K17:K201,"AMBOS_I",L17:L201, "WALKER") - (SUMIFS(I17:I201,K17:K201,"WALKER",L17:L201, "DEA") + 0.6*SUMIFS(I17:I201,K17:K201,"AMBOS",L17:L201, "DEA") + 0.4*SUMIFS(I17:I201,K17:K201,"AMBOS_I",L17:L201, "DEA"))</f>
        <v>5000.308</v>
      </c>
      <c r="K5" s="12" t="s">
        <v>32</v>
      </c>
      <c r="M5" s="1"/>
      <c r="N5" s="16" t="s">
        <v>31</v>
      </c>
      <c r="O5" s="17">
        <f>SUMIFS(O17:O202,Q17:Q202, "DEA",R17:R202, "WALKER") + 0.4*SUMIFS(O17:O202,Q17:Q202,"AMBOS",R17:R202, "WALKER") + 0.6*SUMIFS(O17:O202,Q17:Q202,"AMBOS_I",R17:R202, "WALKER") - (SUMIFS(O17:O202,Q17:Q202,"WALKER",R17:R202, "DEA") + 0.6*SUMIFS(O17:O202,Q17:Q202,"AMBOS",R17:R202, "DEA") + 0.4*SUMIFS(O17:O202,Q17:Q202,"AMBOS_I",R17:R202, "DEA"))</f>
        <v>975.996</v>
      </c>
      <c r="Q5" s="14" t="s">
        <v>32</v>
      </c>
      <c r="S5" s="1"/>
      <c r="T5" s="16" t="s">
        <v>31</v>
      </c>
      <c r="U5" s="17">
        <f>SUMIFS(U17:U201,W17:W201, "DEA",X17:X201, "WALKER") + 0.4*SUMIFS(U17:U201,W17:W201,"AMBOS",X17:X201, "WALKER") + 0.6*SUMIFS(U17:U201,W17:W201,"AMBOS_I",X17:X201, "WALKER") - (SUMIFS(U17:U201,W17:W201,"WALKER",X17:X201, "DEA") + 0.6*SUMIFS(U17:U201,W17:W201,"AMBOS",X17:X201, "DEA") + 0.4*SUMIFS(U17:U201,W17:W201,"AMBOS_I",X17:X201, "DEA"))</f>
        <v>2929.768</v>
      </c>
      <c r="W5" s="12" t="s">
        <v>32</v>
      </c>
      <c r="Y5" s="1"/>
      <c r="Z5" s="16" t="s">
        <v>31</v>
      </c>
      <c r="AA5" s="17">
        <f>SUMIFS(AA17:AA201,AC17:AC201, "DEA",AD17:AD201, "WALKER") + 0.4*SUMIFS(AA17:AA201,AC17:AC201,"AMBOS",AD17:AD201, "WALKER") + 0.6*SUMIFS(AA17:AA201,AC17:AC201,"AMBOS_I",AD17:AD201, "WALKER") - (SUMIFS(AA17:AA201,AC17:AC201,"WALKER",AD17:AD201, "DEA") + 0.6*SUMIFS(AA17:AA201,AC17:AC201,"AMBOS",AD17:AD201, "DEA") + 0.4*SUMIFS(AA17:AA201,AC17:AC201,"AMBOS_I",AD17:AD201, "DEA"))</f>
        <v>3414.256</v>
      </c>
      <c r="AC5" s="14" t="s">
        <v>32</v>
      </c>
      <c r="AE5" s="1"/>
      <c r="AF5" s="16" t="s">
        <v>31</v>
      </c>
      <c r="AG5" s="17">
        <f>SUMIFS(AG17:AG201,AI17:AI201, "DEA",AJ17:AJ201, "WALKER") + 0.4*SUMIFS(AG17:AG201,AI17:AI201,"AMBOS",AJ17:AJ201, "WALKER") + 0.6*SUMIFS(AG17:AG201,AI17:AI201,"AMBOS_I",AJ17:AJ201, "WALKER") - (SUMIFS(AG17:AG201,AI17:AI201,"WALKER",AJ17:AJ201, "DEA") + 0.6*SUMIFS(AG17:AG201,AI17:AI201,"AMBOS",AJ17:AJ201, "DEA") + 0.4*SUMIFS(AG17:AG201,AI17:AI201,"AMBOS_I",AJ17:AJ201, "DEA"))</f>
        <v>4583.748</v>
      </c>
      <c r="AI5" s="12" t="s">
        <v>32</v>
      </c>
      <c r="AK5" s="1"/>
      <c r="AL5" s="16" t="s">
        <v>31</v>
      </c>
      <c r="AM5" s="17">
        <f>SUMIFS(AM17:AM201,AO17:AO201, "DEA",AP17:AP201, "WALKER") + 0.4*SUMIFS(AM17:AM201,AO17:AO201,"AMBOS",AP17:AP201, "WALKER") + 0.6*SUMIFS(AM17:AM201,AO17:AO201,"AMBOS_I",AP17:AP201, "WALKER") - (SUMIFS(AM17:AM201,AO17:AO201,"WALKER",AP17:AP201, "DEA") + 0.6*SUMIFS(AM17:AM201,AO17:AO201,"AMBOS",AP17:AP201, "DEA") + 0.4*SUMIFS(AM17:AM201,AO17:AO201,"AMBOS_I",AP17:AP201, "DEA"))</f>
        <v>6232.504</v>
      </c>
      <c r="AO5" s="14" t="s">
        <v>32</v>
      </c>
      <c r="AQ5" s="1"/>
      <c r="AR5" s="16" t="s">
        <v>31</v>
      </c>
      <c r="AS5" s="17">
        <f>SUMIFS(AS17:AS201,AU17:AU201, "DEA",AV17:AV201, "WALKER") + 0.4*SUMIFS(AS17:AS201,AU17:AU201,"AMBOS",AV17:AV201, "WALKER") + 0.6*SUMIFS(AS17:AS201,AU17:AU201,"AMBOS_I",AV17:AV201, "WALKER") - (SUMIFS(AS17:AS201,AU17:AU201,"WALKER",AV17:AV201, "DEA") + 0.6*SUMIFS(AS17:AS201,AU17:AU201,"AMBOS",AV17:AV201, "DEA") + 0.4*SUMIFS(AS17:AS201,AU17:AU201,"AMBOS_I",AV17:AV201, "DEA"))</f>
        <v>4816.672</v>
      </c>
      <c r="AU5" s="12" t="s">
        <v>32</v>
      </c>
      <c r="AW5" s="1"/>
      <c r="AX5" s="16" t="s">
        <v>31</v>
      </c>
      <c r="AY5" s="17">
        <f>SUMIFS(AY17:AY225,BA17:BA225, "DEA",BB17:BB225, "WALKER") + 0.4*SUMIFS(AY17:AY225,BA17:BA225,"AMBOS",BB17:BB225, "WALKER") + 0.6*SUMIFS(AY17:AY225,BA17:BA225,"AMBOS_I",BB17:BB225, "WALKER") - (SUMIFS(AY17:AY225,BA17:BA225,"WALKER",BB17:BB225, "DEA") + 0.6*SUMIFS(AY17:AY225,BA17:BA225,"AMBOS",BB17:BB225, "DEA") + 0.4*SUMIFS(AY17:AY225,BA17:BA225,"AMBOS_I",BB17:BB225, "DEA"))</f>
        <v>3431.302</v>
      </c>
      <c r="BA5" s="14" t="s">
        <v>32</v>
      </c>
      <c r="BC5" s="1"/>
      <c r="BD5" s="16" t="s">
        <v>31</v>
      </c>
      <c r="BE5" s="17">
        <f>SUMIFS(BE17:BE201,BG17:BG201, "DEA",BH17:BH201, "WALKER") + 0.4*SUMIFS(BE17:BE201,BG17:BG201,"AMBOS",BH17:BH201, "WALKER") + 0.6*SUMIFS(BE17:BE201,BG17:BG201,"AMBOS_I",BH17:BH201, "WALKER") - (SUMIFS(BE17:BE201,BG17:BG201,"WALKER",BH17:BH201, "DEA") + 0.6*SUMIFS(BE17:BE201,BG17:BG201,"AMBOS",BH17:BH201, "DEA") + 0.4*SUMIFS(BE17:BE201,BG17:BG201,"AMBOS_I",BH17:BH201, "DEA"))</f>
        <v>4113.906</v>
      </c>
      <c r="BG5" s="12" t="s">
        <v>32</v>
      </c>
      <c r="BI5" s="1"/>
      <c r="BJ5" s="16" t="s">
        <v>31</v>
      </c>
      <c r="BK5" s="17">
        <f>SUMIFS(BK17:BK116,BM17:BM116, "DEA",BN17:BN116, "WALKER") + 0.4*SUMIFS(BK17:BK116,BM17:BM116,"AMBOS",BN17:BN116, "WALKER") + 0.6*SUMIFS(BK17:BK116,BM17:BM116,"AMBOS_I",BN17:BN116, "WALKER") - (SUMIFS(BK17:BK116,BM17:BM116,"WALKER",BN17:BN116, "DEA") + 0.6*SUMIFS(BK17:BK116,BM17:BM116,"AMBOS",BN17:BN116, "DEA") + 0.4*SUMIFS(BK17:BK116,BM17:BM116,"AMBOS_I",BN17:BN116, "DEA"))</f>
        <v>6992.018</v>
      </c>
      <c r="BM5" s="14" t="s">
        <v>32</v>
      </c>
      <c r="BO5" s="1"/>
      <c r="BP5" s="16" t="s">
        <v>31</v>
      </c>
      <c r="BQ5" s="17">
        <f>SUMIFS(BQ17:BQ81,BS17:BS81, "DEA",BT17:BT81, "WALKER") + 0.4*SUMIFS(BQ17:BQ81,BS17:BS81,"AMBOS",BT17:BT81, "WALKER") + 0.6*SUMIFS(BQ17:BQ81,BS17:BS81,"AMBOS_I",BT17:BT81, "WALKER") - (SUMIFS(BQ17:BQ81,BS17:BS81,"WALKER",BT17:BT81, "DEA") + 0.6*SUMIFS(BQ17:BQ81,BS17:BS81,"AMBOS",BT17:BT81, "DEA") + 0.4*SUMIFS(BQ17:BQ81,BS17:BS81,"AMBOS_I",BT17:BT81, "DEA"))</f>
        <v>8821.964</v>
      </c>
      <c r="BS5" s="12" t="s">
        <v>32</v>
      </c>
      <c r="BU5" s="1"/>
    </row>
    <row r="6">
      <c r="A6" s="1"/>
      <c r="B6" s="9" t="s">
        <v>33</v>
      </c>
      <c r="C6" s="19">
        <f>C10-C4</f>
        <v>8038.778</v>
      </c>
      <c r="E6" s="14" t="s">
        <v>34</v>
      </c>
      <c r="G6" s="1"/>
      <c r="H6" s="9" t="s">
        <v>33</v>
      </c>
      <c r="I6" s="19">
        <f>I10-I4</f>
        <v>6255.788</v>
      </c>
      <c r="K6" s="12" t="s">
        <v>34</v>
      </c>
      <c r="M6" s="1"/>
      <c r="N6" s="9" t="s">
        <v>33</v>
      </c>
      <c r="O6" s="19">
        <f>O10-O4</f>
        <v>7869.646</v>
      </c>
      <c r="Q6" s="14" t="s">
        <v>34</v>
      </c>
      <c r="S6" s="1"/>
      <c r="T6" s="9" t="s">
        <v>33</v>
      </c>
      <c r="U6" s="19">
        <f>U10-U4</f>
        <v>-3314.432</v>
      </c>
      <c r="W6" s="12" t="s">
        <v>34</v>
      </c>
      <c r="Y6" s="1"/>
      <c r="Z6" s="9" t="s">
        <v>33</v>
      </c>
      <c r="AA6" s="19">
        <f>AA10-AA4</f>
        <v>5291.286</v>
      </c>
      <c r="AC6" s="14" t="s">
        <v>34</v>
      </c>
      <c r="AE6" s="1"/>
      <c r="AF6" s="9" t="s">
        <v>33</v>
      </c>
      <c r="AG6" s="19">
        <f>AG10-AG4</f>
        <v>2103.108</v>
      </c>
      <c r="AI6" s="12" t="s">
        <v>34</v>
      </c>
      <c r="AK6" s="1"/>
      <c r="AL6" s="9" t="s">
        <v>33</v>
      </c>
      <c r="AM6" s="19">
        <f>AM10-AM4</f>
        <v>9068.854</v>
      </c>
      <c r="AO6" s="14" t="s">
        <v>34</v>
      </c>
      <c r="AQ6" s="1"/>
      <c r="AR6" s="9" t="s">
        <v>33</v>
      </c>
      <c r="AS6" s="19">
        <f>AS10-AS4</f>
        <v>7537.912</v>
      </c>
      <c r="AU6" s="12" t="s">
        <v>34</v>
      </c>
      <c r="AW6" s="1"/>
      <c r="AX6" s="9" t="s">
        <v>33</v>
      </c>
      <c r="AY6" s="19">
        <f>AY10-AY4</f>
        <v>15215.492</v>
      </c>
      <c r="BA6" s="14" t="s">
        <v>34</v>
      </c>
      <c r="BC6" s="1"/>
      <c r="BD6" s="9" t="s">
        <v>33</v>
      </c>
      <c r="BE6" s="19">
        <f>BE10-BE4</f>
        <v>11755.766</v>
      </c>
      <c r="BG6" s="12" t="s">
        <v>34</v>
      </c>
      <c r="BI6" s="1"/>
      <c r="BJ6" s="9" t="s">
        <v>33</v>
      </c>
      <c r="BK6" s="19">
        <f>BK10-BK4</f>
        <v>14364.618</v>
      </c>
      <c r="BM6" s="14" t="s">
        <v>34</v>
      </c>
      <c r="BO6" s="1"/>
      <c r="BP6" s="9" t="s">
        <v>33</v>
      </c>
      <c r="BQ6" s="19">
        <f>BQ10-BQ4</f>
        <v>34276.954</v>
      </c>
      <c r="BS6" s="12" t="s">
        <v>34</v>
      </c>
      <c r="BU6" s="1"/>
    </row>
    <row r="7">
      <c r="A7" s="1"/>
      <c r="B7" s="20" t="s">
        <v>36</v>
      </c>
      <c r="C7" s="21">
        <v>6155.58</v>
      </c>
      <c r="E7" s="23"/>
      <c r="G7" s="1"/>
      <c r="H7" s="20" t="s">
        <v>36</v>
      </c>
      <c r="I7" s="21">
        <v>707.23</v>
      </c>
      <c r="K7" s="22"/>
      <c r="M7" s="1"/>
      <c r="N7" s="20" t="s">
        <v>36</v>
      </c>
      <c r="O7" s="21">
        <v>6639.65</v>
      </c>
      <c r="Q7" s="23"/>
      <c r="S7" s="1"/>
      <c r="T7" s="20" t="s">
        <v>36</v>
      </c>
      <c r="U7" s="21">
        <v>-6506.2</v>
      </c>
      <c r="W7" s="22"/>
      <c r="Y7" s="1"/>
      <c r="Z7" s="20" t="s">
        <v>36</v>
      </c>
      <c r="AA7" s="21">
        <v>1777.03</v>
      </c>
      <c r="AC7" s="23"/>
      <c r="AE7" s="1"/>
      <c r="AF7" s="20" t="s">
        <v>36</v>
      </c>
      <c r="AG7" s="21">
        <v>-2930.64</v>
      </c>
      <c r="AI7" s="22"/>
      <c r="AK7" s="1"/>
      <c r="AL7" s="20" t="s">
        <v>36</v>
      </c>
      <c r="AM7" s="21">
        <v>2536.35</v>
      </c>
      <c r="AO7" s="23"/>
      <c r="AQ7" s="1"/>
      <c r="AR7" s="20" t="s">
        <v>36</v>
      </c>
      <c r="AS7" s="21">
        <v>2321.24</v>
      </c>
      <c r="AU7" s="22"/>
      <c r="AW7" s="1"/>
      <c r="AX7" s="20" t="s">
        <v>36</v>
      </c>
      <c r="AY7" s="21">
        <v>11225.19</v>
      </c>
      <c r="BA7" s="23"/>
      <c r="BC7" s="1"/>
      <c r="BD7" s="20" t="s">
        <v>36</v>
      </c>
      <c r="BE7" s="21">
        <v>7612.86</v>
      </c>
      <c r="BG7" s="22"/>
      <c r="BI7" s="1"/>
      <c r="BJ7" s="20" t="s">
        <v>36</v>
      </c>
      <c r="BK7" s="21">
        <v>7372.6</v>
      </c>
      <c r="BM7" s="23"/>
      <c r="BO7" s="1"/>
      <c r="BP7" s="20" t="s">
        <v>36</v>
      </c>
      <c r="BQ7" s="21">
        <v>24704.99</v>
      </c>
      <c r="BS7" s="22"/>
      <c r="BU7" s="1"/>
    </row>
    <row r="8">
      <c r="A8" s="1"/>
      <c r="B8" s="20" t="s">
        <v>38</v>
      </c>
      <c r="C8" s="21">
        <v>250.0</v>
      </c>
      <c r="E8" s="23"/>
      <c r="G8" s="1"/>
      <c r="H8" s="20" t="s">
        <v>38</v>
      </c>
      <c r="I8" s="21">
        <v>548.25</v>
      </c>
      <c r="K8" s="22"/>
      <c r="M8" s="1"/>
      <c r="N8" s="20" t="s">
        <v>38</v>
      </c>
      <c r="O8" s="21">
        <v>254.0</v>
      </c>
      <c r="Q8" s="23"/>
      <c r="S8" s="1"/>
      <c r="T8" s="20" t="s">
        <v>38</v>
      </c>
      <c r="U8" s="21">
        <v>262.0</v>
      </c>
      <c r="W8" s="22"/>
      <c r="Y8" s="1"/>
      <c r="Z8" s="20" t="s">
        <v>38</v>
      </c>
      <c r="AA8" s="21">
        <v>100.0</v>
      </c>
      <c r="AC8" s="23"/>
      <c r="AE8" s="1"/>
      <c r="AF8" s="20" t="s">
        <v>38</v>
      </c>
      <c r="AG8" s="21">
        <v>450.0</v>
      </c>
      <c r="AI8" s="22"/>
      <c r="AK8" s="1"/>
      <c r="AL8" s="20" t="s">
        <v>38</v>
      </c>
      <c r="AM8" s="21">
        <v>300.0</v>
      </c>
      <c r="AO8" s="23"/>
      <c r="AQ8" s="1"/>
      <c r="AR8" s="20" t="s">
        <v>38</v>
      </c>
      <c r="AS8" s="21">
        <v>400.0</v>
      </c>
      <c r="AU8" s="22"/>
      <c r="AW8" s="1"/>
      <c r="AX8" s="20" t="s">
        <v>38</v>
      </c>
      <c r="AY8" s="21">
        <v>554.0</v>
      </c>
      <c r="BA8" s="23"/>
      <c r="BC8" s="1"/>
      <c r="BD8" s="20" t="s">
        <v>38</v>
      </c>
      <c r="BE8" s="21">
        <v>29.0</v>
      </c>
      <c r="BG8" s="22"/>
      <c r="BI8" s="1"/>
      <c r="BJ8" s="20" t="s">
        <v>38</v>
      </c>
      <c r="BK8" s="21">
        <v>0.0</v>
      </c>
      <c r="BM8" s="23"/>
      <c r="BO8" s="1"/>
      <c r="BP8" s="20" t="s">
        <v>38</v>
      </c>
      <c r="BQ8" s="21">
        <v>750.0</v>
      </c>
      <c r="BS8" s="22"/>
      <c r="BU8" s="1"/>
    </row>
    <row r="9">
      <c r="A9" s="1"/>
      <c r="B9" s="20"/>
      <c r="C9" s="21"/>
      <c r="E9" s="23"/>
      <c r="G9" s="1"/>
      <c r="H9" s="20"/>
      <c r="I9" s="21"/>
      <c r="K9" s="22"/>
      <c r="M9" s="1"/>
      <c r="N9" s="20"/>
      <c r="O9" s="21"/>
      <c r="Q9" s="23"/>
      <c r="S9" s="1"/>
      <c r="T9" s="20"/>
      <c r="U9" s="21"/>
      <c r="W9" s="22"/>
      <c r="Y9" s="1"/>
      <c r="Z9" s="20"/>
      <c r="AA9" s="21"/>
      <c r="AC9" s="23"/>
      <c r="AE9" s="1"/>
      <c r="AF9" s="20"/>
      <c r="AG9" s="21"/>
      <c r="AI9" s="22"/>
      <c r="AK9" s="1"/>
      <c r="AL9" s="20"/>
      <c r="AM9" s="21"/>
      <c r="AO9" s="23"/>
      <c r="AQ9" s="1"/>
      <c r="AR9" s="20"/>
      <c r="AS9" s="21"/>
      <c r="AU9" s="22"/>
      <c r="AW9" s="1"/>
      <c r="AX9" s="20"/>
      <c r="AY9" s="21"/>
      <c r="BA9" s="23"/>
      <c r="BC9" s="1"/>
      <c r="BD9" s="20"/>
      <c r="BE9" s="21"/>
      <c r="BG9" s="22"/>
      <c r="BI9" s="1"/>
      <c r="BJ9" s="20"/>
      <c r="BK9" s="21"/>
      <c r="BM9" s="23"/>
      <c r="BO9" s="1"/>
      <c r="BP9" s="20"/>
      <c r="BQ9" s="21"/>
      <c r="BS9" s="22"/>
      <c r="BU9" s="1"/>
    </row>
    <row r="10">
      <c r="A10" s="1"/>
      <c r="B10" s="3" t="s">
        <v>39</v>
      </c>
      <c r="C10" s="26">
        <f>SUM(C11:C15)</f>
        <v>24120.48</v>
      </c>
      <c r="D10" s="7" t="s">
        <v>40</v>
      </c>
      <c r="E10" s="3"/>
      <c r="F10" s="3"/>
      <c r="G10" s="1"/>
      <c r="H10" s="24" t="s">
        <v>39</v>
      </c>
      <c r="I10" s="25">
        <f>sum(I11:I15)</f>
        <v>24012.04</v>
      </c>
      <c r="J10" s="24" t="s">
        <v>40</v>
      </c>
      <c r="K10" s="24"/>
      <c r="L10" s="24"/>
      <c r="M10" s="1"/>
      <c r="N10" s="3" t="s">
        <v>39</v>
      </c>
      <c r="O10" s="26">
        <f>SUM(O11:O15)</f>
        <v>23343.97</v>
      </c>
      <c r="P10" s="7" t="s">
        <v>40</v>
      </c>
      <c r="Q10" s="3"/>
      <c r="R10" s="3"/>
      <c r="S10" s="1"/>
      <c r="T10" s="24" t="s">
        <v>39</v>
      </c>
      <c r="U10" s="25">
        <f>sum(U11:U15)</f>
        <v>20291.27</v>
      </c>
      <c r="V10" s="24" t="s">
        <v>40</v>
      </c>
      <c r="W10" s="24"/>
      <c r="X10" s="24"/>
      <c r="Y10" s="1"/>
      <c r="Z10" s="3" t="s">
        <v>39</v>
      </c>
      <c r="AA10" s="26">
        <f>sum(AA11:AA15)</f>
        <v>27889.36</v>
      </c>
      <c r="AB10" s="7" t="s">
        <v>40</v>
      </c>
      <c r="AC10" s="3"/>
      <c r="AD10" s="3"/>
      <c r="AE10" s="1"/>
      <c r="AF10" s="24" t="s">
        <v>39</v>
      </c>
      <c r="AG10" s="25">
        <f>sum(AG11:AG15)</f>
        <v>18455.51</v>
      </c>
      <c r="AH10" s="24" t="s">
        <v>40</v>
      </c>
      <c r="AI10" s="24"/>
      <c r="AJ10" s="24"/>
      <c r="AK10" s="1"/>
      <c r="AL10" s="3" t="s">
        <v>39</v>
      </c>
      <c r="AM10" s="26">
        <f>sum(AM11:AM15)</f>
        <v>29326.11</v>
      </c>
      <c r="AN10" s="7" t="s">
        <v>40</v>
      </c>
      <c r="AO10" s="3"/>
      <c r="AP10" s="3"/>
      <c r="AQ10" s="1"/>
      <c r="AR10" s="24" t="s">
        <v>39</v>
      </c>
      <c r="AS10" s="25">
        <f>sum(AS11:AS15)</f>
        <v>24992.69</v>
      </c>
      <c r="AT10" s="24" t="s">
        <v>40</v>
      </c>
      <c r="AU10" s="24"/>
      <c r="AV10" s="24"/>
      <c r="AW10" s="1"/>
      <c r="AX10" s="3" t="s">
        <v>39</v>
      </c>
      <c r="AY10" s="26">
        <f>sum(AY11:AY15)</f>
        <v>34879.13</v>
      </c>
      <c r="AZ10" s="7" t="s">
        <v>40</v>
      </c>
      <c r="BA10" s="3"/>
      <c r="BB10" s="3"/>
      <c r="BC10" s="1"/>
      <c r="BD10" s="24" t="s">
        <v>39</v>
      </c>
      <c r="BE10" s="25">
        <f>sum(BE11:BE15)</f>
        <v>27896.62</v>
      </c>
      <c r="BF10" s="24" t="s">
        <v>40</v>
      </c>
      <c r="BG10" s="24"/>
      <c r="BH10" s="24"/>
      <c r="BI10" s="1"/>
      <c r="BJ10" s="3" t="s">
        <v>39</v>
      </c>
      <c r="BK10" s="26">
        <f>sum(BK11:BK15)</f>
        <v>36679.55</v>
      </c>
      <c r="BL10" s="7" t="s">
        <v>40</v>
      </c>
      <c r="BM10" s="3"/>
      <c r="BN10" s="3"/>
      <c r="BO10" s="1"/>
      <c r="BP10" s="24" t="s">
        <v>39</v>
      </c>
      <c r="BQ10" s="25">
        <f>sum(BQ11:BQ15)</f>
        <v>61559.76</v>
      </c>
      <c r="BR10" s="24" t="s">
        <v>40</v>
      </c>
      <c r="BS10" s="24"/>
      <c r="BT10" s="24"/>
      <c r="BU10" s="1"/>
    </row>
    <row r="11">
      <c r="A11" s="1"/>
      <c r="B11" s="27" t="s">
        <v>905</v>
      </c>
      <c r="C11" s="28">
        <v>6753.01</v>
      </c>
      <c r="D11" s="29">
        <v>-25.0</v>
      </c>
      <c r="E11" s="30"/>
      <c r="G11" s="1"/>
      <c r="H11" s="27" t="s">
        <v>43</v>
      </c>
      <c r="I11" s="28">
        <v>16958.86</v>
      </c>
      <c r="J11" s="29">
        <v>-25.0</v>
      </c>
      <c r="K11" s="30"/>
      <c r="M11" s="1"/>
      <c r="N11" s="27" t="s">
        <v>43</v>
      </c>
      <c r="O11" s="28">
        <v>8801.42</v>
      </c>
      <c r="P11" s="29">
        <v>-25.0</v>
      </c>
      <c r="Q11" s="30"/>
      <c r="S11" s="1"/>
      <c r="T11" s="27" t="s">
        <v>43</v>
      </c>
      <c r="U11" s="28">
        <v>13727.48</v>
      </c>
      <c r="V11" s="29">
        <v>-25.0</v>
      </c>
      <c r="W11" s="30"/>
      <c r="Y11" s="1"/>
      <c r="Z11" s="27" t="s">
        <v>43</v>
      </c>
      <c r="AA11" s="28">
        <v>17607.9</v>
      </c>
      <c r="AB11" s="29">
        <v>-25.0</v>
      </c>
      <c r="AC11" s="30"/>
      <c r="AE11" s="1"/>
      <c r="AF11" s="27" t="s">
        <v>43</v>
      </c>
      <c r="AG11" s="28">
        <v>8883.21</v>
      </c>
      <c r="AH11" s="29">
        <v>-25.0</v>
      </c>
      <c r="AI11" s="30"/>
      <c r="AK11" s="1"/>
      <c r="AL11" s="27" t="s">
        <v>43</v>
      </c>
      <c r="AM11" s="28">
        <v>8742.25</v>
      </c>
      <c r="AN11" s="29">
        <v>-25.0</v>
      </c>
      <c r="AO11" s="30"/>
      <c r="AQ11" s="1"/>
      <c r="AR11" s="27" t="s">
        <v>43</v>
      </c>
      <c r="AS11" s="28">
        <v>9516.02</v>
      </c>
      <c r="AT11" s="29">
        <v>-25.0</v>
      </c>
      <c r="AU11" s="30"/>
      <c r="AW11" s="1"/>
      <c r="AX11" s="27" t="s">
        <v>43</v>
      </c>
      <c r="AY11" s="28">
        <v>7793.9</v>
      </c>
      <c r="AZ11" s="29">
        <v>-25.0</v>
      </c>
      <c r="BA11" s="30"/>
      <c r="BC11" s="1"/>
      <c r="BD11" s="27" t="s">
        <v>43</v>
      </c>
      <c r="BE11" s="28">
        <v>7855.06</v>
      </c>
      <c r="BF11" s="29">
        <v>-25.0</v>
      </c>
      <c r="BG11" s="30"/>
      <c r="BI11" s="1"/>
      <c r="BJ11" s="27" t="s">
        <v>43</v>
      </c>
      <c r="BK11" s="28">
        <v>8243.29</v>
      </c>
      <c r="BL11" s="29">
        <v>-25.0</v>
      </c>
      <c r="BM11" s="30"/>
      <c r="BO11" s="1"/>
      <c r="BP11" s="27" t="s">
        <v>43</v>
      </c>
      <c r="BQ11" s="28">
        <v>7982.55</v>
      </c>
      <c r="BR11" s="29">
        <v>-25.0</v>
      </c>
      <c r="BS11" s="30"/>
      <c r="BU11" s="1"/>
    </row>
    <row r="12">
      <c r="A12" s="1"/>
      <c r="B12" s="27" t="s">
        <v>906</v>
      </c>
      <c r="C12" s="28">
        <v>11112.89</v>
      </c>
      <c r="D12" s="29">
        <v>10.0</v>
      </c>
      <c r="G12" s="1"/>
      <c r="H12" s="27" t="s">
        <v>55</v>
      </c>
      <c r="I12" s="28">
        <v>7053.18</v>
      </c>
      <c r="J12" s="29">
        <v>10.0</v>
      </c>
      <c r="M12" s="1"/>
      <c r="N12" s="27" t="s">
        <v>169</v>
      </c>
      <c r="O12" s="28">
        <v>8523.43</v>
      </c>
      <c r="P12" s="29">
        <v>4.0</v>
      </c>
      <c r="S12" s="1"/>
      <c r="T12" s="27" t="s">
        <v>55</v>
      </c>
      <c r="U12" s="28">
        <v>6433.79</v>
      </c>
      <c r="V12" s="29">
        <v>10.0</v>
      </c>
      <c r="Y12" s="1"/>
      <c r="Z12" s="27" t="s">
        <v>907</v>
      </c>
      <c r="AA12" s="28">
        <v>3732.34</v>
      </c>
      <c r="AB12" s="29">
        <v>9.0</v>
      </c>
      <c r="AE12" s="1"/>
      <c r="AF12" s="27" t="s">
        <v>55</v>
      </c>
      <c r="AG12" s="28">
        <v>6433.79</v>
      </c>
      <c r="AH12" s="29">
        <v>10.0</v>
      </c>
      <c r="AK12" s="1"/>
      <c r="AL12" s="27" t="s">
        <v>55</v>
      </c>
      <c r="AM12" s="28">
        <v>6347.91</v>
      </c>
      <c r="AN12" s="29">
        <v>10.0</v>
      </c>
      <c r="AQ12" s="1"/>
      <c r="AR12" s="27" t="s">
        <v>55</v>
      </c>
      <c r="AS12" s="28">
        <v>6376.82</v>
      </c>
      <c r="AT12" s="29">
        <v>10.0</v>
      </c>
      <c r="AW12" s="1"/>
      <c r="AX12" s="27" t="s">
        <v>55</v>
      </c>
      <c r="AY12" s="28">
        <v>6376.82</v>
      </c>
      <c r="AZ12" s="29">
        <v>10.0</v>
      </c>
      <c r="BC12" s="1"/>
      <c r="BD12" s="27" t="s">
        <v>55</v>
      </c>
      <c r="BE12" s="28">
        <v>7147.22</v>
      </c>
      <c r="BF12" s="29">
        <v>10.0</v>
      </c>
      <c r="BI12" s="1"/>
      <c r="BJ12" s="27" t="s">
        <v>163</v>
      </c>
      <c r="BK12" s="28">
        <v>11755.77</v>
      </c>
      <c r="BL12" s="29">
        <v>1.0</v>
      </c>
      <c r="BO12" s="1"/>
      <c r="BP12" s="27" t="s">
        <v>55</v>
      </c>
      <c r="BQ12" s="28">
        <v>6811.07</v>
      </c>
      <c r="BR12" s="29">
        <v>10.0</v>
      </c>
      <c r="BU12" s="1"/>
    </row>
    <row r="13">
      <c r="A13" s="1"/>
      <c r="B13" s="27" t="s">
        <v>702</v>
      </c>
      <c r="C13" s="28">
        <v>6054.58</v>
      </c>
      <c r="D13" s="29">
        <v>14.0</v>
      </c>
      <c r="G13" s="1"/>
      <c r="H13" s="27"/>
      <c r="I13" s="28"/>
      <c r="J13" s="29"/>
      <c r="M13" s="1"/>
      <c r="N13" s="27" t="s">
        <v>55</v>
      </c>
      <c r="O13" s="28">
        <v>6019.12</v>
      </c>
      <c r="P13" s="29">
        <v>10.0</v>
      </c>
      <c r="S13" s="1"/>
      <c r="T13" s="27" t="s">
        <v>908</v>
      </c>
      <c r="U13" s="28">
        <v>30.0</v>
      </c>
      <c r="V13" s="29">
        <v>3.0</v>
      </c>
      <c r="Y13" s="1"/>
      <c r="Z13" s="27" t="s">
        <v>55</v>
      </c>
      <c r="AA13" s="28">
        <v>6549.12</v>
      </c>
      <c r="AB13" s="29">
        <v>10.0</v>
      </c>
      <c r="AE13" s="1"/>
      <c r="AF13" s="27" t="s">
        <v>909</v>
      </c>
      <c r="AG13" s="28">
        <v>2000.0</v>
      </c>
      <c r="AH13" s="29">
        <v>10.0</v>
      </c>
      <c r="AK13" s="1"/>
      <c r="AL13" s="27" t="s">
        <v>705</v>
      </c>
      <c r="AM13" s="28">
        <v>276.6</v>
      </c>
      <c r="AN13" s="29">
        <v>8.0</v>
      </c>
      <c r="AQ13" s="1"/>
      <c r="AR13" s="27" t="s">
        <v>163</v>
      </c>
      <c r="AS13" s="28">
        <v>9068.85</v>
      </c>
      <c r="AT13" s="29">
        <v>1.0</v>
      </c>
      <c r="AW13" s="1"/>
      <c r="AX13" s="27" t="s">
        <v>701</v>
      </c>
      <c r="AY13" s="28">
        <v>13170.5</v>
      </c>
      <c r="AZ13" s="29">
        <v>6.0</v>
      </c>
      <c r="BC13" s="1"/>
      <c r="BD13" s="27" t="s">
        <v>910</v>
      </c>
      <c r="BE13" s="28">
        <v>11784.19</v>
      </c>
      <c r="BF13" s="29">
        <v>1.0</v>
      </c>
      <c r="BI13" s="1"/>
      <c r="BJ13" s="27" t="s">
        <v>701</v>
      </c>
      <c r="BK13" s="28">
        <v>10000.0</v>
      </c>
      <c r="BL13" s="29">
        <v>9.0</v>
      </c>
      <c r="BO13" s="1"/>
      <c r="BP13" s="27" t="s">
        <v>163</v>
      </c>
      <c r="BQ13" s="28">
        <v>14364.62</v>
      </c>
      <c r="BR13" s="29">
        <v>1.0</v>
      </c>
      <c r="BU13" s="1"/>
    </row>
    <row r="14">
      <c r="A14" s="1"/>
      <c r="B14" s="27" t="s">
        <v>911</v>
      </c>
      <c r="C14" s="28">
        <v>200.0</v>
      </c>
      <c r="D14" s="29">
        <v>25.0</v>
      </c>
      <c r="G14" s="1"/>
      <c r="H14" s="27"/>
      <c r="I14" s="28"/>
      <c r="J14" s="29"/>
      <c r="M14" s="1"/>
      <c r="N14" s="27"/>
      <c r="O14" s="28"/>
      <c r="P14" s="29"/>
      <c r="S14" s="1"/>
      <c r="T14" s="27" t="s">
        <v>912</v>
      </c>
      <c r="U14" s="28">
        <v>100.0</v>
      </c>
      <c r="V14" s="29">
        <v>22.0</v>
      </c>
      <c r="Y14" s="1"/>
      <c r="Z14" s="27"/>
      <c r="AA14" s="28"/>
      <c r="AB14" s="29"/>
      <c r="AE14" s="1"/>
      <c r="AF14" s="27" t="s">
        <v>909</v>
      </c>
      <c r="AG14" s="28">
        <v>739.32</v>
      </c>
      <c r="AH14" s="29">
        <v>12.0</v>
      </c>
      <c r="AK14" s="1"/>
      <c r="AL14" s="27" t="s">
        <v>701</v>
      </c>
      <c r="AM14" s="28">
        <v>13959.35</v>
      </c>
      <c r="AN14" s="29">
        <v>10.0</v>
      </c>
      <c r="AQ14" s="1"/>
      <c r="AR14" s="27" t="s">
        <v>913</v>
      </c>
      <c r="AS14" s="28">
        <v>31.0</v>
      </c>
      <c r="AT14" s="29">
        <v>24.0</v>
      </c>
      <c r="AW14" s="1"/>
      <c r="AX14" s="27" t="s">
        <v>163</v>
      </c>
      <c r="AY14" s="28">
        <v>7537.91</v>
      </c>
      <c r="AZ14" s="29">
        <v>1.0</v>
      </c>
      <c r="BC14" s="1"/>
      <c r="BD14" s="27" t="s">
        <v>914</v>
      </c>
      <c r="BE14" s="28">
        <v>1110.15</v>
      </c>
      <c r="BF14" s="29">
        <v>-30.0</v>
      </c>
      <c r="BI14" s="1"/>
      <c r="BJ14" s="27" t="s">
        <v>55</v>
      </c>
      <c r="BK14" s="28">
        <v>6680.49</v>
      </c>
      <c r="BL14" s="29">
        <v>10.0</v>
      </c>
      <c r="BO14" s="1"/>
      <c r="BP14" s="27" t="s">
        <v>915</v>
      </c>
      <c r="BQ14" s="28">
        <v>10301.52</v>
      </c>
      <c r="BR14" s="29">
        <v>-21.0</v>
      </c>
      <c r="BU14" s="1"/>
    </row>
    <row r="15">
      <c r="A15" s="1"/>
      <c r="B15" s="27"/>
      <c r="C15" s="28"/>
      <c r="D15" s="29"/>
      <c r="G15" s="1"/>
      <c r="H15" s="27"/>
      <c r="I15" s="28"/>
      <c r="J15" s="29"/>
      <c r="M15" s="1"/>
      <c r="N15" s="27"/>
      <c r="O15" s="28"/>
      <c r="P15" s="29"/>
      <c r="S15" s="1"/>
      <c r="T15" s="27"/>
      <c r="U15" s="28"/>
      <c r="V15" s="29"/>
      <c r="Y15" s="1"/>
      <c r="Z15" s="27"/>
      <c r="AA15" s="28"/>
      <c r="AB15" s="29"/>
      <c r="AE15" s="1"/>
      <c r="AF15" s="27" t="s">
        <v>909</v>
      </c>
      <c r="AG15" s="28">
        <v>399.19</v>
      </c>
      <c r="AH15" s="29">
        <v>15.0</v>
      </c>
      <c r="AK15" s="1"/>
      <c r="AL15" s="27"/>
      <c r="AM15" s="28"/>
      <c r="AN15" s="29"/>
      <c r="AQ15" s="1"/>
      <c r="AR15" s="27"/>
      <c r="AS15" s="28"/>
      <c r="AT15" s="29"/>
      <c r="AW15" s="1"/>
      <c r="AX15" s="27"/>
      <c r="AY15" s="28"/>
      <c r="AZ15" s="29"/>
      <c r="BC15" s="1"/>
      <c r="BD15" s="27"/>
      <c r="BE15" s="28"/>
      <c r="BF15" s="29"/>
      <c r="BI15" s="1"/>
      <c r="BJ15" s="27"/>
      <c r="BK15" s="28"/>
      <c r="BL15" s="29"/>
      <c r="BO15" s="1"/>
      <c r="BP15" s="27" t="s">
        <v>916</v>
      </c>
      <c r="BQ15" s="28">
        <v>22100.0</v>
      </c>
      <c r="BR15" s="29">
        <v>6.0</v>
      </c>
      <c r="BU15" s="1"/>
    </row>
    <row r="16">
      <c r="A16" s="1"/>
      <c r="B16" s="3" t="s">
        <v>61</v>
      </c>
      <c r="C16" s="26">
        <f>SUM(C17:C198)</f>
        <v>21019.51</v>
      </c>
      <c r="D16" s="3"/>
      <c r="E16" s="3" t="s">
        <v>14</v>
      </c>
      <c r="F16" s="3" t="s">
        <v>62</v>
      </c>
      <c r="G16" s="1"/>
      <c r="H16" s="24" t="s">
        <v>61</v>
      </c>
      <c r="I16" s="25">
        <f>SUM(I17:I198)</f>
        <v>26216.33</v>
      </c>
      <c r="J16" s="31"/>
      <c r="K16" s="24" t="s">
        <v>14</v>
      </c>
      <c r="L16" s="24" t="s">
        <v>62</v>
      </c>
      <c r="M16" s="1"/>
      <c r="N16" s="3" t="s">
        <v>917</v>
      </c>
      <c r="O16" s="26">
        <f>SUM(O17:O198)</f>
        <v>17607.32</v>
      </c>
      <c r="P16" s="3"/>
      <c r="Q16" s="3" t="s">
        <v>14</v>
      </c>
      <c r="R16" s="3" t="s">
        <v>62</v>
      </c>
      <c r="S16" s="1"/>
      <c r="T16" s="24" t="s">
        <v>61</v>
      </c>
      <c r="U16" s="25">
        <f>SUM(U17:U198)</f>
        <v>31000.07</v>
      </c>
      <c r="V16" s="31"/>
      <c r="W16" s="24" t="s">
        <v>14</v>
      </c>
      <c r="X16" s="24" t="s">
        <v>62</v>
      </c>
      <c r="Y16" s="1"/>
      <c r="Z16" s="3" t="s">
        <v>61</v>
      </c>
      <c r="AA16" s="26">
        <f>SUM(AA17:AA198)</f>
        <v>29034.05</v>
      </c>
      <c r="AB16" s="3"/>
      <c r="AC16" s="3" t="s">
        <v>14</v>
      </c>
      <c r="AD16" s="3" t="s">
        <v>62</v>
      </c>
      <c r="AE16" s="1"/>
      <c r="AF16" s="24" t="s">
        <v>61</v>
      </c>
      <c r="AG16" s="25">
        <f>SUM(AG17:AG198)</f>
        <v>22813.69</v>
      </c>
      <c r="AH16" s="31"/>
      <c r="AI16" s="24" t="s">
        <v>14</v>
      </c>
      <c r="AJ16" s="24" t="s">
        <v>62</v>
      </c>
      <c r="AK16" s="1"/>
      <c r="AL16" s="3" t="s">
        <v>61</v>
      </c>
      <c r="AM16" s="26">
        <f>SUM(AM17:AM198)</f>
        <v>28737.4</v>
      </c>
      <c r="AN16" s="3"/>
      <c r="AO16" s="3" t="s">
        <v>14</v>
      </c>
      <c r="AP16" s="3" t="s">
        <v>62</v>
      </c>
      <c r="AQ16" s="1"/>
      <c r="AR16" s="24" t="s">
        <v>61</v>
      </c>
      <c r="AS16" s="25">
        <f>SUM(AS17:AS198)</f>
        <v>24624.59</v>
      </c>
      <c r="AT16" s="31"/>
      <c r="AU16" s="24" t="s">
        <v>14</v>
      </c>
      <c r="AV16" s="24" t="s">
        <v>62</v>
      </c>
      <c r="AW16" s="1"/>
      <c r="AX16" s="3" t="s">
        <v>61</v>
      </c>
      <c r="AY16" s="26">
        <f>SUM(AY17:AY222)</f>
        <v>26441.61</v>
      </c>
      <c r="AZ16" s="3"/>
      <c r="BA16" s="3" t="s">
        <v>14</v>
      </c>
      <c r="BB16" s="3" t="s">
        <v>62</v>
      </c>
      <c r="BC16" s="1"/>
      <c r="BD16" s="24" t="s">
        <v>61</v>
      </c>
      <c r="BE16" s="25">
        <f>SUM(BE17:BE198)</f>
        <v>22863.45</v>
      </c>
      <c r="BF16" s="31"/>
      <c r="BG16" s="24" t="s">
        <v>14</v>
      </c>
      <c r="BH16" s="24" t="s">
        <v>62</v>
      </c>
      <c r="BI16" s="1"/>
      <c r="BJ16" s="3" t="s">
        <v>61</v>
      </c>
      <c r="BK16" s="26">
        <f>SUM(BK17:BK116)</f>
        <v>31799.94</v>
      </c>
      <c r="BL16" s="3"/>
      <c r="BM16" s="3" t="s">
        <v>14</v>
      </c>
      <c r="BN16" s="3" t="s">
        <v>62</v>
      </c>
      <c r="BO16" s="1"/>
      <c r="BP16" s="24" t="s">
        <v>61</v>
      </c>
      <c r="BQ16" s="25">
        <f>SUM(BQ17:BQ81)</f>
        <v>38746.93</v>
      </c>
      <c r="BR16" s="31"/>
      <c r="BS16" s="24" t="s">
        <v>14</v>
      </c>
      <c r="BT16" s="24" t="s">
        <v>62</v>
      </c>
      <c r="BU16" s="1"/>
    </row>
    <row r="17">
      <c r="A17" s="1"/>
      <c r="B17" s="32" t="s">
        <v>63</v>
      </c>
      <c r="C17" s="33">
        <v>1893.81</v>
      </c>
      <c r="D17" s="34">
        <v>2.0</v>
      </c>
      <c r="E17" s="35" t="s">
        <v>28</v>
      </c>
      <c r="F17" s="36" t="s">
        <v>34</v>
      </c>
      <c r="G17" s="1"/>
      <c r="H17" s="32" t="s">
        <v>63</v>
      </c>
      <c r="I17" s="33">
        <v>1880.77</v>
      </c>
      <c r="J17" s="34">
        <v>29.0</v>
      </c>
      <c r="K17" s="35" t="s">
        <v>28</v>
      </c>
      <c r="L17" s="36" t="s">
        <v>34</v>
      </c>
      <c r="M17" s="1"/>
      <c r="N17" s="32" t="s">
        <v>63</v>
      </c>
      <c r="O17" s="33"/>
      <c r="P17" s="34">
        <v>2.0</v>
      </c>
      <c r="Q17" s="35" t="s">
        <v>28</v>
      </c>
      <c r="S17" s="1"/>
      <c r="T17" s="32" t="s">
        <v>63</v>
      </c>
      <c r="U17" s="33">
        <v>1879.89</v>
      </c>
      <c r="V17" s="34">
        <v>4.0</v>
      </c>
      <c r="W17" s="35" t="s">
        <v>28</v>
      </c>
      <c r="X17" s="36" t="s">
        <v>34</v>
      </c>
      <c r="Y17" s="1"/>
      <c r="Z17" s="32" t="s">
        <v>63</v>
      </c>
      <c r="AA17" s="33">
        <v>1877.22</v>
      </c>
      <c r="AB17" s="34">
        <v>4.0</v>
      </c>
      <c r="AC17" s="35" t="s">
        <v>28</v>
      </c>
      <c r="AD17" s="36" t="s">
        <v>34</v>
      </c>
      <c r="AE17" s="1"/>
      <c r="AF17" s="32" t="s">
        <v>63</v>
      </c>
      <c r="AG17" s="33">
        <v>1877.54</v>
      </c>
      <c r="AH17" s="34">
        <v>4.0</v>
      </c>
      <c r="AI17" s="35" t="s">
        <v>28</v>
      </c>
      <c r="AJ17" s="36" t="s">
        <v>34</v>
      </c>
      <c r="AK17" s="1"/>
      <c r="AL17" s="32" t="s">
        <v>63</v>
      </c>
      <c r="AM17" s="33">
        <v>1877.04</v>
      </c>
      <c r="AN17" s="34">
        <v>4.0</v>
      </c>
      <c r="AO17" s="35" t="s">
        <v>28</v>
      </c>
      <c r="AP17" s="36" t="s">
        <v>34</v>
      </c>
      <c r="AQ17" s="1"/>
      <c r="AR17" s="32" t="s">
        <v>63</v>
      </c>
      <c r="AS17" s="33">
        <v>1876.94</v>
      </c>
      <c r="AT17" s="34">
        <v>4.0</v>
      </c>
      <c r="AU17" s="35" t="s">
        <v>28</v>
      </c>
      <c r="AV17" s="36" t="s">
        <v>34</v>
      </c>
      <c r="AW17" s="1"/>
      <c r="AX17" s="32" t="s">
        <v>63</v>
      </c>
      <c r="AY17" s="33">
        <v>1878.18</v>
      </c>
      <c r="AZ17" s="34">
        <v>4.0</v>
      </c>
      <c r="BA17" s="35" t="s">
        <v>28</v>
      </c>
      <c r="BB17" s="36" t="s">
        <v>34</v>
      </c>
      <c r="BC17" s="1"/>
      <c r="BD17" s="32" t="s">
        <v>63</v>
      </c>
      <c r="BE17" s="33">
        <v>1877.49</v>
      </c>
      <c r="BF17" s="34">
        <v>4.0</v>
      </c>
      <c r="BG17" s="35" t="s">
        <v>28</v>
      </c>
      <c r="BH17" s="36" t="s">
        <v>34</v>
      </c>
      <c r="BI17" s="1"/>
      <c r="BJ17" s="32" t="s">
        <v>63</v>
      </c>
      <c r="BK17" s="33">
        <v>1877.61</v>
      </c>
      <c r="BL17" s="34">
        <v>4.0</v>
      </c>
      <c r="BM17" s="35" t="s">
        <v>28</v>
      </c>
      <c r="BN17" s="36" t="s">
        <v>34</v>
      </c>
      <c r="BO17" s="1"/>
      <c r="BP17" s="32" t="s">
        <v>63</v>
      </c>
      <c r="BQ17" s="33">
        <v>1877.16</v>
      </c>
      <c r="BR17" s="34">
        <v>4.0</v>
      </c>
      <c r="BS17" s="35" t="s">
        <v>28</v>
      </c>
      <c r="BT17" s="36" t="s">
        <v>34</v>
      </c>
      <c r="BU17" s="1"/>
    </row>
    <row r="18">
      <c r="A18" s="1"/>
      <c r="B18" s="32" t="s">
        <v>64</v>
      </c>
      <c r="C18" s="33">
        <v>309.56</v>
      </c>
      <c r="D18" s="34">
        <v>5.0</v>
      </c>
      <c r="E18" s="35" t="s">
        <v>28</v>
      </c>
      <c r="F18" s="36" t="s">
        <v>32</v>
      </c>
      <c r="G18" s="1"/>
      <c r="H18" s="32" t="s">
        <v>64</v>
      </c>
      <c r="I18" s="33">
        <v>226.4</v>
      </c>
      <c r="J18" s="34">
        <v>5.0</v>
      </c>
      <c r="K18" s="35" t="s">
        <v>28</v>
      </c>
      <c r="L18" s="36" t="s">
        <v>32</v>
      </c>
      <c r="M18" s="1"/>
      <c r="N18" s="32" t="s">
        <v>64</v>
      </c>
      <c r="O18" s="33">
        <v>240.0</v>
      </c>
      <c r="P18" s="34">
        <v>5.0</v>
      </c>
      <c r="Q18" s="35" t="s">
        <v>28</v>
      </c>
      <c r="R18" s="36" t="s">
        <v>32</v>
      </c>
      <c r="S18" s="1"/>
      <c r="T18" s="32" t="s">
        <v>64</v>
      </c>
      <c r="U18" s="33">
        <v>240.0</v>
      </c>
      <c r="V18" s="34">
        <v>5.0</v>
      </c>
      <c r="W18" s="35" t="s">
        <v>28</v>
      </c>
      <c r="X18" s="36" t="s">
        <v>32</v>
      </c>
      <c r="Y18" s="1"/>
      <c r="Z18" s="32" t="s">
        <v>64</v>
      </c>
      <c r="AA18" s="33">
        <v>240.0</v>
      </c>
      <c r="AB18" s="34">
        <v>5.0</v>
      </c>
      <c r="AC18" s="35" t="s">
        <v>28</v>
      </c>
      <c r="AD18" s="36" t="s">
        <v>32</v>
      </c>
      <c r="AE18" s="1"/>
      <c r="AF18" s="32" t="s">
        <v>64</v>
      </c>
      <c r="AG18" s="33">
        <v>278.45</v>
      </c>
      <c r="AH18" s="34">
        <v>5.0</v>
      </c>
      <c r="AI18" s="35" t="s">
        <v>28</v>
      </c>
      <c r="AJ18" s="36" t="s">
        <v>32</v>
      </c>
      <c r="AK18" s="1"/>
      <c r="AL18" s="32" t="s">
        <v>64</v>
      </c>
      <c r="AM18" s="33">
        <v>306.3</v>
      </c>
      <c r="AN18" s="34">
        <v>5.0</v>
      </c>
      <c r="AO18" s="35" t="s">
        <v>28</v>
      </c>
      <c r="AP18" s="36" t="s">
        <v>32</v>
      </c>
      <c r="AQ18" s="1"/>
      <c r="AR18" s="32" t="s">
        <v>64</v>
      </c>
      <c r="AS18" s="33">
        <v>240.0</v>
      </c>
      <c r="AT18" s="34">
        <v>5.0</v>
      </c>
      <c r="AU18" s="35" t="s">
        <v>28</v>
      </c>
      <c r="AV18" s="36" t="s">
        <v>32</v>
      </c>
      <c r="AW18" s="1"/>
      <c r="AX18" s="32" t="s">
        <v>64</v>
      </c>
      <c r="AY18" s="33">
        <v>240.0</v>
      </c>
      <c r="AZ18" s="34">
        <v>5.0</v>
      </c>
      <c r="BA18" s="35" t="s">
        <v>28</v>
      </c>
      <c r="BB18" s="36" t="s">
        <v>32</v>
      </c>
      <c r="BC18" s="1"/>
      <c r="BD18" s="32" t="s">
        <v>64</v>
      </c>
      <c r="BE18" s="33">
        <v>240.0</v>
      </c>
      <c r="BF18" s="34">
        <v>5.0</v>
      </c>
      <c r="BG18" s="35" t="s">
        <v>28</v>
      </c>
      <c r="BH18" s="36" t="s">
        <v>32</v>
      </c>
      <c r="BI18" s="1"/>
      <c r="BJ18" s="32" t="s">
        <v>64</v>
      </c>
      <c r="BK18" s="33">
        <v>240.0</v>
      </c>
      <c r="BL18" s="34">
        <v>5.0</v>
      </c>
      <c r="BM18" s="35" t="s">
        <v>28</v>
      </c>
      <c r="BN18" s="36" t="s">
        <v>32</v>
      </c>
      <c r="BO18" s="1"/>
      <c r="BP18" s="32" t="s">
        <v>64</v>
      </c>
      <c r="BQ18" s="33">
        <v>240.0</v>
      </c>
      <c r="BR18" s="34">
        <v>5.0</v>
      </c>
      <c r="BS18" s="35" t="s">
        <v>28</v>
      </c>
      <c r="BT18" s="36" t="s">
        <v>32</v>
      </c>
      <c r="BU18" s="1"/>
    </row>
    <row r="19">
      <c r="A19" s="1"/>
      <c r="B19" s="32" t="s">
        <v>66</v>
      </c>
      <c r="C19" s="33">
        <v>127.97</v>
      </c>
      <c r="D19" s="34">
        <v>8.0</v>
      </c>
      <c r="E19" s="35" t="s">
        <v>28</v>
      </c>
      <c r="F19" s="36" t="s">
        <v>32</v>
      </c>
      <c r="G19" s="1"/>
      <c r="H19" s="32" t="s">
        <v>66</v>
      </c>
      <c r="I19" s="33">
        <v>304.91</v>
      </c>
      <c r="J19" s="34">
        <v>8.0</v>
      </c>
      <c r="K19" s="35" t="s">
        <v>28</v>
      </c>
      <c r="L19" s="36" t="s">
        <v>32</v>
      </c>
      <c r="M19" s="1"/>
      <c r="N19" s="32" t="s">
        <v>66</v>
      </c>
      <c r="O19" s="33">
        <v>300.76</v>
      </c>
      <c r="P19" s="34">
        <v>8.0</v>
      </c>
      <c r="Q19" s="35" t="s">
        <v>28</v>
      </c>
      <c r="R19" s="36" t="s">
        <v>32</v>
      </c>
      <c r="S19" s="1"/>
      <c r="T19" s="32" t="s">
        <v>66</v>
      </c>
      <c r="U19" s="33">
        <v>300.76</v>
      </c>
      <c r="V19" s="34">
        <v>8.0</v>
      </c>
      <c r="W19" s="35" t="s">
        <v>28</v>
      </c>
      <c r="X19" s="36" t="s">
        <v>32</v>
      </c>
      <c r="Y19" s="1"/>
      <c r="Z19" s="32" t="s">
        <v>66</v>
      </c>
      <c r="AA19" s="33">
        <v>386.52</v>
      </c>
      <c r="AB19" s="34">
        <v>8.0</v>
      </c>
      <c r="AC19" s="35" t="s">
        <v>28</v>
      </c>
      <c r="AD19" s="36" t="s">
        <v>32</v>
      </c>
      <c r="AE19" s="1"/>
      <c r="AF19" s="32" t="s">
        <v>66</v>
      </c>
      <c r="AG19" s="33">
        <v>0.0</v>
      </c>
      <c r="AH19" s="34">
        <v>8.0</v>
      </c>
      <c r="AI19" s="35" t="s">
        <v>28</v>
      </c>
      <c r="AJ19" s="36" t="s">
        <v>32</v>
      </c>
      <c r="AK19" s="1"/>
      <c r="AL19" s="32" t="s">
        <v>66</v>
      </c>
      <c r="AM19" s="33">
        <v>59.68</v>
      </c>
      <c r="AN19" s="34">
        <v>8.0</v>
      </c>
      <c r="AO19" s="35" t="s">
        <v>28</v>
      </c>
      <c r="AP19" s="36" t="s">
        <v>32</v>
      </c>
      <c r="AQ19" s="1"/>
      <c r="AR19" s="32" t="s">
        <v>66</v>
      </c>
      <c r="AS19" s="33">
        <v>177.6</v>
      </c>
      <c r="AT19" s="34">
        <v>8.0</v>
      </c>
      <c r="AU19" s="35" t="s">
        <v>28</v>
      </c>
      <c r="AV19" s="36" t="s">
        <v>32</v>
      </c>
      <c r="AW19" s="1"/>
      <c r="AX19" s="32" t="s">
        <v>66</v>
      </c>
      <c r="AY19" s="33">
        <v>197.01</v>
      </c>
      <c r="AZ19" s="34">
        <v>8.0</v>
      </c>
      <c r="BA19" s="35" t="s">
        <v>28</v>
      </c>
      <c r="BB19" s="36" t="s">
        <v>32</v>
      </c>
      <c r="BC19" s="1"/>
      <c r="BD19" s="32" t="s">
        <v>66</v>
      </c>
      <c r="BE19" s="33">
        <v>401.6</v>
      </c>
      <c r="BF19" s="34">
        <v>8.0</v>
      </c>
      <c r="BG19" s="35" t="s">
        <v>28</v>
      </c>
      <c r="BH19" s="36" t="s">
        <v>32</v>
      </c>
      <c r="BI19" s="1"/>
      <c r="BJ19" s="32" t="s">
        <v>66</v>
      </c>
      <c r="BK19" s="33">
        <v>269.94</v>
      </c>
      <c r="BL19" s="34">
        <v>8.0</v>
      </c>
      <c r="BM19" s="35" t="s">
        <v>28</v>
      </c>
      <c r="BN19" s="36" t="s">
        <v>32</v>
      </c>
      <c r="BO19" s="1"/>
      <c r="BP19" s="32" t="s">
        <v>66</v>
      </c>
      <c r="BQ19" s="33">
        <v>226.96</v>
      </c>
      <c r="BR19" s="34">
        <v>8.0</v>
      </c>
      <c r="BS19" s="35" t="s">
        <v>28</v>
      </c>
      <c r="BT19" s="36" t="s">
        <v>32</v>
      </c>
      <c r="BU19" s="1"/>
    </row>
    <row r="20">
      <c r="A20" s="1"/>
      <c r="B20" s="32" t="s">
        <v>71</v>
      </c>
      <c r="C20" s="52"/>
      <c r="D20" s="34">
        <v>10.0</v>
      </c>
      <c r="E20" s="35" t="s">
        <v>32</v>
      </c>
      <c r="G20" s="1"/>
      <c r="H20" s="32" t="s">
        <v>71</v>
      </c>
      <c r="I20" s="68">
        <v>783.75</v>
      </c>
      <c r="J20" s="34">
        <v>10.0</v>
      </c>
      <c r="K20" s="35" t="s">
        <v>32</v>
      </c>
      <c r="L20" s="36" t="s">
        <v>32</v>
      </c>
      <c r="M20" s="1"/>
      <c r="N20" s="32" t="s">
        <v>71</v>
      </c>
      <c r="O20" s="52">
        <v>865.5</v>
      </c>
      <c r="P20" s="34">
        <v>10.0</v>
      </c>
      <c r="Q20" s="35" t="s">
        <v>32</v>
      </c>
      <c r="R20" s="36" t="s">
        <v>32</v>
      </c>
      <c r="S20" s="1"/>
      <c r="T20" s="32" t="s">
        <v>71</v>
      </c>
      <c r="U20" s="68">
        <v>865.5</v>
      </c>
      <c r="V20" s="34">
        <v>10.0</v>
      </c>
      <c r="W20" s="35" t="s">
        <v>32</v>
      </c>
      <c r="X20" s="36" t="s">
        <v>32</v>
      </c>
      <c r="Y20" s="1"/>
      <c r="Z20" s="32" t="s">
        <v>71</v>
      </c>
      <c r="AA20" s="68">
        <v>865.5</v>
      </c>
      <c r="AB20" s="34">
        <v>10.0</v>
      </c>
      <c r="AC20" s="35" t="s">
        <v>32</v>
      </c>
      <c r="AD20" s="36" t="s">
        <v>32</v>
      </c>
      <c r="AE20" s="1"/>
      <c r="AF20" s="32" t="s">
        <v>71</v>
      </c>
      <c r="AG20" s="68">
        <v>865.5</v>
      </c>
      <c r="AH20" s="34">
        <v>10.0</v>
      </c>
      <c r="AI20" s="35" t="s">
        <v>32</v>
      </c>
      <c r="AJ20" s="36" t="s">
        <v>32</v>
      </c>
      <c r="AK20" s="1"/>
      <c r="AL20" s="32" t="s">
        <v>71</v>
      </c>
      <c r="AM20" s="68">
        <v>865.5</v>
      </c>
      <c r="AN20" s="34">
        <v>10.0</v>
      </c>
      <c r="AO20" s="35" t="s">
        <v>32</v>
      </c>
      <c r="AP20" s="36" t="s">
        <v>32</v>
      </c>
      <c r="AQ20" s="1"/>
      <c r="AR20" s="32" t="s">
        <v>71</v>
      </c>
      <c r="AS20" s="68">
        <v>865.5</v>
      </c>
      <c r="AT20" s="34">
        <v>10.0</v>
      </c>
      <c r="AU20" s="35" t="s">
        <v>32</v>
      </c>
      <c r="AV20" s="36" t="s">
        <v>32</v>
      </c>
      <c r="AW20" s="1"/>
      <c r="AX20" s="32" t="s">
        <v>71</v>
      </c>
      <c r="AY20" s="68">
        <v>865.5</v>
      </c>
      <c r="AZ20" s="34">
        <v>10.0</v>
      </c>
      <c r="BA20" s="35" t="s">
        <v>32</v>
      </c>
      <c r="BB20" s="36" t="s">
        <v>32</v>
      </c>
      <c r="BC20" s="1"/>
      <c r="BD20" s="32" t="s">
        <v>71</v>
      </c>
      <c r="BE20" s="68">
        <v>865.5</v>
      </c>
      <c r="BF20" s="34">
        <v>10.0</v>
      </c>
      <c r="BG20" s="35" t="s">
        <v>32</v>
      </c>
      <c r="BH20" s="36" t="s">
        <v>32</v>
      </c>
      <c r="BI20" s="1"/>
      <c r="BJ20" s="32" t="s">
        <v>71</v>
      </c>
      <c r="BK20" s="68">
        <v>865.5</v>
      </c>
      <c r="BL20" s="34">
        <v>10.0</v>
      </c>
      <c r="BM20" s="35" t="s">
        <v>32</v>
      </c>
      <c r="BN20" s="36" t="s">
        <v>32</v>
      </c>
      <c r="BO20" s="1"/>
      <c r="BP20" s="32" t="s">
        <v>71</v>
      </c>
      <c r="BQ20" s="68">
        <v>865.5</v>
      </c>
      <c r="BR20" s="34">
        <v>10.0</v>
      </c>
      <c r="BS20" s="35" t="s">
        <v>32</v>
      </c>
      <c r="BT20" s="36" t="s">
        <v>32</v>
      </c>
      <c r="BU20" s="1"/>
    </row>
    <row r="21">
      <c r="A21" s="1"/>
      <c r="B21" s="32" t="s">
        <v>73</v>
      </c>
      <c r="C21" s="52"/>
      <c r="D21" s="34">
        <v>10.0</v>
      </c>
      <c r="E21" s="35" t="s">
        <v>28</v>
      </c>
      <c r="G21" s="1"/>
      <c r="H21" s="32" t="s">
        <v>73</v>
      </c>
      <c r="I21" s="68">
        <f>1810.06-I20</f>
        <v>1026.31</v>
      </c>
      <c r="J21" s="34">
        <v>10.0</v>
      </c>
      <c r="K21" s="35" t="s">
        <v>28</v>
      </c>
      <c r="L21" s="36" t="s">
        <v>32</v>
      </c>
      <c r="M21" s="1"/>
      <c r="N21" s="32" t="s">
        <v>73</v>
      </c>
      <c r="O21" s="52">
        <v>425.71</v>
      </c>
      <c r="P21" s="34">
        <v>10.0</v>
      </c>
      <c r="Q21" s="35" t="s">
        <v>28</v>
      </c>
      <c r="R21" s="36" t="s">
        <v>32</v>
      </c>
      <c r="S21" s="1"/>
      <c r="T21" s="32" t="s">
        <v>73</v>
      </c>
      <c r="U21" s="52">
        <v>944.56</v>
      </c>
      <c r="V21" s="34">
        <v>10.0</v>
      </c>
      <c r="W21" s="35" t="s">
        <v>28</v>
      </c>
      <c r="X21" s="36" t="s">
        <v>32</v>
      </c>
      <c r="Y21" s="1"/>
      <c r="Z21" s="32" t="s">
        <v>73</v>
      </c>
      <c r="AA21" s="52">
        <v>944.56</v>
      </c>
      <c r="AB21" s="34">
        <v>10.0</v>
      </c>
      <c r="AC21" s="35" t="s">
        <v>28</v>
      </c>
      <c r="AD21" s="36" t="s">
        <v>32</v>
      </c>
      <c r="AE21" s="1"/>
      <c r="AF21" s="32" t="s">
        <v>73</v>
      </c>
      <c r="AG21" s="52">
        <v>944.56</v>
      </c>
      <c r="AH21" s="34">
        <v>10.0</v>
      </c>
      <c r="AI21" s="35" t="s">
        <v>28</v>
      </c>
      <c r="AJ21" s="36" t="s">
        <v>32</v>
      </c>
      <c r="AK21" s="1"/>
      <c r="AL21" s="32" t="s">
        <v>73</v>
      </c>
      <c r="AM21" s="52">
        <v>944.56</v>
      </c>
      <c r="AN21" s="34">
        <v>10.0</v>
      </c>
      <c r="AO21" s="35" t="s">
        <v>28</v>
      </c>
      <c r="AP21" s="36" t="s">
        <v>32</v>
      </c>
      <c r="AQ21" s="1"/>
      <c r="AR21" s="32" t="s">
        <v>73</v>
      </c>
      <c r="AS21" s="52">
        <v>944.56</v>
      </c>
      <c r="AT21" s="34">
        <v>10.0</v>
      </c>
      <c r="AU21" s="35" t="s">
        <v>28</v>
      </c>
      <c r="AV21" s="36" t="s">
        <v>32</v>
      </c>
      <c r="AW21" s="1"/>
      <c r="AX21" s="32" t="s">
        <v>73</v>
      </c>
      <c r="AY21" s="52">
        <v>944.56</v>
      </c>
      <c r="AZ21" s="34">
        <v>10.0</v>
      </c>
      <c r="BA21" s="35" t="s">
        <v>28</v>
      </c>
      <c r="BB21" s="36" t="s">
        <v>32</v>
      </c>
      <c r="BC21" s="1"/>
      <c r="BD21" s="32" t="s">
        <v>73</v>
      </c>
      <c r="BE21" s="52">
        <v>944.56</v>
      </c>
      <c r="BF21" s="34">
        <v>10.0</v>
      </c>
      <c r="BG21" s="35" t="s">
        <v>28</v>
      </c>
      <c r="BH21" s="36" t="s">
        <v>32</v>
      </c>
      <c r="BI21" s="1"/>
      <c r="BJ21" s="32" t="s">
        <v>73</v>
      </c>
      <c r="BK21" s="52">
        <v>944.56</v>
      </c>
      <c r="BL21" s="34">
        <v>10.0</v>
      </c>
      <c r="BM21" s="35" t="s">
        <v>28</v>
      </c>
      <c r="BN21" s="36" t="s">
        <v>32</v>
      </c>
      <c r="BO21" s="1"/>
      <c r="BP21" s="32" t="s">
        <v>73</v>
      </c>
      <c r="BQ21" s="52">
        <v>944.56</v>
      </c>
      <c r="BR21" s="34">
        <v>10.0</v>
      </c>
      <c r="BS21" s="35" t="s">
        <v>28</v>
      </c>
      <c r="BT21" s="36" t="s">
        <v>32</v>
      </c>
      <c r="BU21" s="1"/>
    </row>
    <row r="22">
      <c r="A22" s="1"/>
      <c r="B22" s="32" t="s">
        <v>74</v>
      </c>
      <c r="C22" s="52"/>
      <c r="D22" s="34">
        <v>10.0</v>
      </c>
      <c r="E22" s="35" t="s">
        <v>32</v>
      </c>
      <c r="G22" s="1"/>
      <c r="H22" s="32" t="s">
        <v>74</v>
      </c>
      <c r="I22" s="68">
        <v>736.93</v>
      </c>
      <c r="J22" s="34">
        <v>10.0</v>
      </c>
      <c r="K22" s="35" t="s">
        <v>32</v>
      </c>
      <c r="L22" s="36" t="s">
        <v>32</v>
      </c>
      <c r="M22" s="1"/>
      <c r="N22" s="32" t="s">
        <v>74</v>
      </c>
      <c r="O22" s="52">
        <v>865.5</v>
      </c>
      <c r="P22" s="34">
        <v>10.0</v>
      </c>
      <c r="Q22" s="35" t="s">
        <v>32</v>
      </c>
      <c r="R22" s="36" t="s">
        <v>32</v>
      </c>
      <c r="S22" s="1"/>
      <c r="T22" s="32" t="s">
        <v>74</v>
      </c>
      <c r="U22" s="68">
        <v>865.5</v>
      </c>
      <c r="V22" s="34">
        <v>10.0</v>
      </c>
      <c r="W22" s="35" t="s">
        <v>32</v>
      </c>
      <c r="X22" s="36" t="s">
        <v>32</v>
      </c>
      <c r="Y22" s="1"/>
      <c r="Z22" s="32" t="s">
        <v>74</v>
      </c>
      <c r="AA22" s="68">
        <v>865.5</v>
      </c>
      <c r="AB22" s="34">
        <v>10.0</v>
      </c>
      <c r="AC22" s="35" t="s">
        <v>32</v>
      </c>
      <c r="AD22" s="36" t="s">
        <v>32</v>
      </c>
      <c r="AE22" s="1"/>
      <c r="AF22" s="32" t="s">
        <v>74</v>
      </c>
      <c r="AG22" s="68">
        <v>865.5</v>
      </c>
      <c r="AH22" s="34">
        <v>10.0</v>
      </c>
      <c r="AI22" s="35" t="s">
        <v>32</v>
      </c>
      <c r="AJ22" s="36" t="s">
        <v>32</v>
      </c>
      <c r="AK22" s="1"/>
      <c r="AL22" s="32" t="s">
        <v>74</v>
      </c>
      <c r="AM22" s="68">
        <v>865.5</v>
      </c>
      <c r="AN22" s="34">
        <v>10.0</v>
      </c>
      <c r="AO22" s="35" t="s">
        <v>32</v>
      </c>
      <c r="AP22" s="36" t="s">
        <v>32</v>
      </c>
      <c r="AQ22" s="1"/>
      <c r="AR22" s="32" t="s">
        <v>74</v>
      </c>
      <c r="AS22" s="68">
        <v>865.5</v>
      </c>
      <c r="AT22" s="34">
        <v>10.0</v>
      </c>
      <c r="AU22" s="35" t="s">
        <v>32</v>
      </c>
      <c r="AV22" s="36" t="s">
        <v>32</v>
      </c>
      <c r="AW22" s="1"/>
      <c r="AX22" s="32" t="s">
        <v>74</v>
      </c>
      <c r="AY22" s="68">
        <v>865.5</v>
      </c>
      <c r="AZ22" s="34">
        <v>10.0</v>
      </c>
      <c r="BA22" s="35" t="s">
        <v>32</v>
      </c>
      <c r="BB22" s="36" t="s">
        <v>32</v>
      </c>
      <c r="BC22" s="1"/>
      <c r="BD22" s="32" t="s">
        <v>74</v>
      </c>
      <c r="BE22" s="68">
        <v>865.5</v>
      </c>
      <c r="BF22" s="34">
        <v>10.0</v>
      </c>
      <c r="BG22" s="35" t="s">
        <v>32</v>
      </c>
      <c r="BH22" s="36" t="s">
        <v>32</v>
      </c>
      <c r="BI22" s="1"/>
      <c r="BJ22" s="32" t="s">
        <v>74</v>
      </c>
      <c r="BK22" s="68">
        <v>865.5</v>
      </c>
      <c r="BL22" s="34">
        <v>10.0</v>
      </c>
      <c r="BM22" s="35" t="s">
        <v>32</v>
      </c>
      <c r="BN22" s="36" t="s">
        <v>32</v>
      </c>
      <c r="BO22" s="1"/>
      <c r="BP22" s="32" t="s">
        <v>74</v>
      </c>
      <c r="BQ22" s="68">
        <v>865.5</v>
      </c>
      <c r="BR22" s="34">
        <v>10.0</v>
      </c>
      <c r="BS22" s="35" t="s">
        <v>32</v>
      </c>
      <c r="BT22" s="36" t="s">
        <v>32</v>
      </c>
      <c r="BU22" s="1"/>
    </row>
    <row r="23">
      <c r="A23" s="1"/>
      <c r="B23" s="32" t="s">
        <v>75</v>
      </c>
      <c r="C23" s="52"/>
      <c r="D23" s="34">
        <v>10.0</v>
      </c>
      <c r="E23" s="35" t="s">
        <v>28</v>
      </c>
      <c r="G23" s="1"/>
      <c r="H23" s="32" t="s">
        <v>75</v>
      </c>
      <c r="I23" s="52">
        <f>1291.21-I22</f>
        <v>554.28</v>
      </c>
      <c r="J23" s="34">
        <v>10.0</v>
      </c>
      <c r="K23" s="35" t="s">
        <v>28</v>
      </c>
      <c r="L23" s="36" t="s">
        <v>32</v>
      </c>
      <c r="M23" s="1"/>
      <c r="N23" s="32" t="s">
        <v>75</v>
      </c>
      <c r="O23" s="52">
        <v>39.55</v>
      </c>
      <c r="P23" s="34">
        <v>10.0</v>
      </c>
      <c r="Q23" s="35" t="s">
        <v>28</v>
      </c>
      <c r="R23" s="36" t="s">
        <v>32</v>
      </c>
      <c r="S23" s="1"/>
      <c r="T23" s="32" t="s">
        <v>75</v>
      </c>
      <c r="U23" s="52">
        <v>425.71</v>
      </c>
      <c r="V23" s="34">
        <v>10.0</v>
      </c>
      <c r="W23" s="35" t="s">
        <v>28</v>
      </c>
      <c r="X23" s="36" t="s">
        <v>32</v>
      </c>
      <c r="Y23" s="1"/>
      <c r="Z23" s="32" t="s">
        <v>75</v>
      </c>
      <c r="AA23" s="52">
        <v>425.71</v>
      </c>
      <c r="AB23" s="34">
        <v>10.0</v>
      </c>
      <c r="AC23" s="35" t="s">
        <v>28</v>
      </c>
      <c r="AD23" s="36" t="s">
        <v>32</v>
      </c>
      <c r="AE23" s="1"/>
      <c r="AF23" s="32" t="s">
        <v>75</v>
      </c>
      <c r="AG23" s="52">
        <v>425.71</v>
      </c>
      <c r="AH23" s="34">
        <v>10.0</v>
      </c>
      <c r="AI23" s="35" t="s">
        <v>28</v>
      </c>
      <c r="AJ23" s="36" t="s">
        <v>32</v>
      </c>
      <c r="AK23" s="1"/>
      <c r="AL23" s="32" t="s">
        <v>75</v>
      </c>
      <c r="AM23" s="52">
        <v>425.71</v>
      </c>
      <c r="AN23" s="34">
        <v>10.0</v>
      </c>
      <c r="AO23" s="35" t="s">
        <v>28</v>
      </c>
      <c r="AP23" s="36" t="s">
        <v>32</v>
      </c>
      <c r="AQ23" s="1"/>
      <c r="AR23" s="32" t="s">
        <v>75</v>
      </c>
      <c r="AS23" s="52">
        <v>425.71</v>
      </c>
      <c r="AT23" s="34">
        <v>10.0</v>
      </c>
      <c r="AU23" s="35" t="s">
        <v>28</v>
      </c>
      <c r="AV23" s="36" t="s">
        <v>32</v>
      </c>
      <c r="AW23" s="1"/>
      <c r="AX23" s="32" t="s">
        <v>75</v>
      </c>
      <c r="AY23" s="52">
        <v>425.71</v>
      </c>
      <c r="AZ23" s="34">
        <v>10.0</v>
      </c>
      <c r="BA23" s="35" t="s">
        <v>28</v>
      </c>
      <c r="BB23" s="36" t="s">
        <v>32</v>
      </c>
      <c r="BC23" s="1"/>
      <c r="BD23" s="32" t="s">
        <v>75</v>
      </c>
      <c r="BE23" s="52">
        <v>425.71</v>
      </c>
      <c r="BF23" s="34">
        <v>10.0</v>
      </c>
      <c r="BG23" s="35" t="s">
        <v>28</v>
      </c>
      <c r="BH23" s="36" t="s">
        <v>32</v>
      </c>
      <c r="BI23" s="1"/>
      <c r="BJ23" s="32" t="s">
        <v>75</v>
      </c>
      <c r="BK23" s="52">
        <v>425.71</v>
      </c>
      <c r="BL23" s="34">
        <v>10.0</v>
      </c>
      <c r="BM23" s="35" t="s">
        <v>28</v>
      </c>
      <c r="BN23" s="36" t="s">
        <v>32</v>
      </c>
      <c r="BO23" s="1"/>
      <c r="BP23" s="32" t="s">
        <v>75</v>
      </c>
      <c r="BQ23" s="52">
        <v>425.71</v>
      </c>
      <c r="BR23" s="34">
        <v>10.0</v>
      </c>
      <c r="BS23" s="35" t="s">
        <v>28</v>
      </c>
      <c r="BT23" s="36" t="s">
        <v>32</v>
      </c>
      <c r="BU23" s="1"/>
    </row>
    <row r="24">
      <c r="A24" s="1"/>
      <c r="B24" s="32" t="s">
        <v>76</v>
      </c>
      <c r="C24" s="33" t="s">
        <v>918</v>
      </c>
      <c r="D24" s="34">
        <v>10.0</v>
      </c>
      <c r="E24" s="35" t="s">
        <v>28</v>
      </c>
      <c r="G24" s="1"/>
      <c r="H24" s="32" t="s">
        <v>76</v>
      </c>
      <c r="I24" s="52">
        <v>438.21</v>
      </c>
      <c r="J24" s="34">
        <v>10.0</v>
      </c>
      <c r="K24" s="35" t="s">
        <v>28</v>
      </c>
      <c r="L24" s="36" t="s">
        <v>32</v>
      </c>
      <c r="M24" s="1"/>
      <c r="N24" s="32" t="s">
        <v>76</v>
      </c>
      <c r="O24" s="33">
        <v>690.78</v>
      </c>
      <c r="P24" s="34">
        <v>10.0</v>
      </c>
      <c r="Q24" s="35" t="s">
        <v>28</v>
      </c>
      <c r="R24" s="36" t="s">
        <v>32</v>
      </c>
      <c r="S24" s="1"/>
      <c r="T24" s="32" t="s">
        <v>76</v>
      </c>
      <c r="U24" s="52">
        <v>623.42</v>
      </c>
      <c r="V24" s="34">
        <v>10.0</v>
      </c>
      <c r="W24" s="35" t="s">
        <v>28</v>
      </c>
      <c r="X24" s="36" t="s">
        <v>32</v>
      </c>
      <c r="Y24" s="1"/>
      <c r="Z24" s="32" t="s">
        <v>76</v>
      </c>
      <c r="AA24" s="33"/>
      <c r="AB24" s="34">
        <v>10.0</v>
      </c>
      <c r="AC24" s="35" t="s">
        <v>28</v>
      </c>
      <c r="AE24" s="1"/>
      <c r="AF24" s="32" t="s">
        <v>76</v>
      </c>
      <c r="AG24" s="52"/>
      <c r="AH24" s="34">
        <v>10.0</v>
      </c>
      <c r="AI24" s="35" t="s">
        <v>28</v>
      </c>
      <c r="AJ24" s="36" t="s">
        <v>32</v>
      </c>
      <c r="AK24" s="1"/>
      <c r="AL24" s="32" t="s">
        <v>76</v>
      </c>
      <c r="AM24" s="33">
        <v>403.47</v>
      </c>
      <c r="AN24" s="34">
        <v>10.0</v>
      </c>
      <c r="AO24" s="35" t="s">
        <v>28</v>
      </c>
      <c r="AP24" s="36" t="s">
        <v>32</v>
      </c>
      <c r="AQ24" s="1"/>
      <c r="AR24" s="32" t="s">
        <v>76</v>
      </c>
      <c r="AS24" s="52">
        <v>353.23</v>
      </c>
      <c r="AT24" s="34">
        <v>10.0</v>
      </c>
      <c r="AU24" s="35" t="s">
        <v>28</v>
      </c>
      <c r="AV24" s="36" t="s">
        <v>32</v>
      </c>
      <c r="AW24" s="1"/>
      <c r="AX24" s="32" t="s">
        <v>76</v>
      </c>
      <c r="AY24" s="33">
        <v>330.25</v>
      </c>
      <c r="AZ24" s="34">
        <v>10.0</v>
      </c>
      <c r="BA24" s="35" t="s">
        <v>28</v>
      </c>
      <c r="BB24" s="36" t="s">
        <v>32</v>
      </c>
      <c r="BC24" s="1"/>
      <c r="BD24" s="32" t="s">
        <v>76</v>
      </c>
      <c r="BE24" s="52">
        <v>329.94</v>
      </c>
      <c r="BF24" s="34">
        <v>10.0</v>
      </c>
      <c r="BG24" s="35" t="s">
        <v>28</v>
      </c>
      <c r="BH24" s="36" t="s">
        <v>32</v>
      </c>
      <c r="BI24" s="1"/>
      <c r="BJ24" s="32" t="s">
        <v>76</v>
      </c>
      <c r="BK24" s="33">
        <v>348.12</v>
      </c>
      <c r="BL24" s="34">
        <v>10.0</v>
      </c>
      <c r="BM24" s="35" t="s">
        <v>28</v>
      </c>
      <c r="BN24" s="36" t="s">
        <v>32</v>
      </c>
      <c r="BO24" s="1"/>
      <c r="BP24" s="32" t="s">
        <v>76</v>
      </c>
      <c r="BQ24" s="52">
        <v>426.54</v>
      </c>
      <c r="BR24" s="34">
        <v>10.0</v>
      </c>
      <c r="BS24" s="35" t="s">
        <v>28</v>
      </c>
      <c r="BT24" s="36" t="s">
        <v>32</v>
      </c>
      <c r="BU24" s="1"/>
    </row>
    <row r="25">
      <c r="A25" s="1"/>
      <c r="B25" s="32" t="s">
        <v>919</v>
      </c>
      <c r="C25" s="33">
        <v>88.89</v>
      </c>
      <c r="D25" s="34">
        <v>10.0</v>
      </c>
      <c r="E25" s="35" t="s">
        <v>28</v>
      </c>
      <c r="F25" s="36" t="s">
        <v>32</v>
      </c>
      <c r="G25" s="1"/>
      <c r="H25" s="40" t="s">
        <v>712</v>
      </c>
      <c r="I25" s="52">
        <v>100.86</v>
      </c>
      <c r="J25" s="34">
        <v>16.0</v>
      </c>
      <c r="K25" s="35" t="s">
        <v>28</v>
      </c>
      <c r="L25" s="36" t="s">
        <v>32</v>
      </c>
      <c r="M25" s="1"/>
      <c r="N25" s="32" t="s">
        <v>712</v>
      </c>
      <c r="O25" s="33">
        <v>88.89</v>
      </c>
      <c r="P25" s="34">
        <v>10.0</v>
      </c>
      <c r="Q25" s="35" t="s">
        <v>28</v>
      </c>
      <c r="R25" s="36" t="s">
        <v>32</v>
      </c>
      <c r="S25" s="1"/>
      <c r="T25" s="40" t="s">
        <v>712</v>
      </c>
      <c r="U25" s="52">
        <v>88.89</v>
      </c>
      <c r="V25" s="34">
        <v>16.0</v>
      </c>
      <c r="W25" s="35" t="s">
        <v>28</v>
      </c>
      <c r="X25" s="36" t="s">
        <v>32</v>
      </c>
      <c r="Y25" s="1"/>
      <c r="Z25" s="32" t="s">
        <v>712</v>
      </c>
      <c r="AA25" s="33">
        <v>88.89</v>
      </c>
      <c r="AB25" s="34">
        <v>16.0</v>
      </c>
      <c r="AC25" s="35" t="s">
        <v>28</v>
      </c>
      <c r="AD25" s="36" t="s">
        <v>32</v>
      </c>
      <c r="AE25" s="1"/>
      <c r="AF25" s="40" t="s">
        <v>712</v>
      </c>
      <c r="AG25" s="52">
        <v>88.89</v>
      </c>
      <c r="AH25" s="34">
        <v>16.0</v>
      </c>
      <c r="AI25" s="35" t="s">
        <v>28</v>
      </c>
      <c r="AJ25" s="36" t="s">
        <v>32</v>
      </c>
      <c r="AK25" s="1"/>
      <c r="AL25" s="32" t="s">
        <v>712</v>
      </c>
      <c r="AM25" s="33">
        <v>100.86</v>
      </c>
      <c r="AN25" s="34">
        <v>16.0</v>
      </c>
      <c r="AO25" s="35" t="s">
        <v>28</v>
      </c>
      <c r="AP25" s="36" t="s">
        <v>32</v>
      </c>
      <c r="AQ25" s="1"/>
      <c r="AR25" s="40" t="s">
        <v>712</v>
      </c>
      <c r="AS25" s="52">
        <v>108.9</v>
      </c>
      <c r="AT25" s="34">
        <v>16.0</v>
      </c>
      <c r="AU25" s="35" t="s">
        <v>28</v>
      </c>
      <c r="AV25" s="36" t="s">
        <v>32</v>
      </c>
      <c r="AW25" s="1"/>
      <c r="AX25" s="32" t="s">
        <v>712</v>
      </c>
      <c r="AY25" s="33">
        <v>108.9</v>
      </c>
      <c r="AZ25" s="34">
        <v>16.0</v>
      </c>
      <c r="BA25" s="35" t="s">
        <v>28</v>
      </c>
      <c r="BB25" s="36" t="s">
        <v>32</v>
      </c>
      <c r="BC25" s="1"/>
      <c r="BD25" s="40" t="s">
        <v>712</v>
      </c>
      <c r="BE25" s="52">
        <v>96.77</v>
      </c>
      <c r="BF25" s="34">
        <v>16.0</v>
      </c>
      <c r="BG25" s="35" t="s">
        <v>28</v>
      </c>
      <c r="BH25" s="36" t="s">
        <v>32</v>
      </c>
      <c r="BI25" s="1"/>
      <c r="BJ25" s="32" t="s">
        <v>712</v>
      </c>
      <c r="BK25" s="33">
        <v>108.9</v>
      </c>
      <c r="BL25" s="34">
        <v>16.0</v>
      </c>
      <c r="BM25" s="35" t="s">
        <v>28</v>
      </c>
      <c r="BN25" s="36" t="s">
        <v>32</v>
      </c>
      <c r="BO25" s="1"/>
      <c r="BP25" s="40" t="s">
        <v>712</v>
      </c>
      <c r="BQ25" s="52">
        <v>105.27</v>
      </c>
      <c r="BR25" s="34">
        <v>16.0</v>
      </c>
      <c r="BS25" s="35" t="s">
        <v>28</v>
      </c>
      <c r="BT25" s="36" t="s">
        <v>32</v>
      </c>
      <c r="BU25" s="1"/>
    </row>
    <row r="26">
      <c r="A26" s="1"/>
      <c r="B26" s="32" t="s">
        <v>77</v>
      </c>
      <c r="C26" s="33">
        <v>50.0</v>
      </c>
      <c r="D26" s="34">
        <v>10.0</v>
      </c>
      <c r="E26" s="35" t="s">
        <v>34</v>
      </c>
      <c r="F26" s="36" t="s">
        <v>32</v>
      </c>
      <c r="G26" s="1"/>
      <c r="H26" s="32" t="s">
        <v>77</v>
      </c>
      <c r="I26" s="33">
        <v>50.0</v>
      </c>
      <c r="J26" s="34">
        <v>10.0</v>
      </c>
      <c r="K26" s="35" t="s">
        <v>34</v>
      </c>
      <c r="L26" s="36" t="s">
        <v>32</v>
      </c>
      <c r="M26" s="1"/>
      <c r="N26" s="32" t="s">
        <v>77</v>
      </c>
      <c r="O26" s="33"/>
      <c r="P26" s="34">
        <v>10.0</v>
      </c>
      <c r="Q26" s="35" t="s">
        <v>34</v>
      </c>
      <c r="S26" s="1"/>
      <c r="T26" s="32" t="s">
        <v>77</v>
      </c>
      <c r="U26" s="33">
        <v>50.0</v>
      </c>
      <c r="V26" s="34">
        <v>10.0</v>
      </c>
      <c r="W26" s="35" t="s">
        <v>34</v>
      </c>
      <c r="X26" s="36" t="s">
        <v>32</v>
      </c>
      <c r="Y26" s="1"/>
      <c r="Z26" s="32" t="s">
        <v>77</v>
      </c>
      <c r="AA26" s="33">
        <v>50.0</v>
      </c>
      <c r="AB26" s="34">
        <v>10.0</v>
      </c>
      <c r="AC26" s="35" t="s">
        <v>34</v>
      </c>
      <c r="AD26" s="36" t="s">
        <v>32</v>
      </c>
      <c r="AE26" s="1"/>
      <c r="AF26" s="32" t="s">
        <v>77</v>
      </c>
      <c r="AG26" s="33">
        <v>50.0</v>
      </c>
      <c r="AH26" s="34">
        <v>10.0</v>
      </c>
      <c r="AI26" s="35" t="s">
        <v>34</v>
      </c>
      <c r="AJ26" s="36" t="s">
        <v>32</v>
      </c>
      <c r="AK26" s="1"/>
      <c r="AL26" s="32" t="s">
        <v>77</v>
      </c>
      <c r="AM26" s="33">
        <v>50.0</v>
      </c>
      <c r="AN26" s="34">
        <v>10.0</v>
      </c>
      <c r="AO26" s="35" t="s">
        <v>34</v>
      </c>
      <c r="AP26" s="36" t="s">
        <v>32</v>
      </c>
      <c r="AQ26" s="1"/>
      <c r="AR26" s="32" t="s">
        <v>77</v>
      </c>
      <c r="AS26" s="33">
        <v>50.0</v>
      </c>
      <c r="AT26" s="34">
        <v>10.0</v>
      </c>
      <c r="AU26" s="35" t="s">
        <v>34</v>
      </c>
      <c r="AV26" s="36" t="s">
        <v>32</v>
      </c>
      <c r="AW26" s="1"/>
      <c r="AX26" s="32" t="s">
        <v>77</v>
      </c>
      <c r="AY26" s="33">
        <v>50.0</v>
      </c>
      <c r="AZ26" s="34">
        <v>10.0</v>
      </c>
      <c r="BA26" s="35" t="s">
        <v>34</v>
      </c>
      <c r="BB26" s="36" t="s">
        <v>32</v>
      </c>
      <c r="BC26" s="1"/>
      <c r="BD26" s="32" t="s">
        <v>77</v>
      </c>
      <c r="BE26" s="33">
        <v>50.0</v>
      </c>
      <c r="BF26" s="34">
        <v>10.0</v>
      </c>
      <c r="BG26" s="35" t="s">
        <v>34</v>
      </c>
      <c r="BH26" s="36" t="s">
        <v>32</v>
      </c>
      <c r="BI26" s="1"/>
      <c r="BJ26" s="32" t="s">
        <v>77</v>
      </c>
      <c r="BK26" s="33"/>
      <c r="BL26" s="34">
        <v>10.0</v>
      </c>
      <c r="BM26" s="35" t="s">
        <v>34</v>
      </c>
      <c r="BN26" s="36" t="s">
        <v>32</v>
      </c>
      <c r="BO26" s="1"/>
      <c r="BP26" s="32" t="s">
        <v>77</v>
      </c>
      <c r="BQ26" s="33">
        <v>50.0</v>
      </c>
      <c r="BR26" s="34">
        <v>10.0</v>
      </c>
      <c r="BS26" s="35" t="s">
        <v>34</v>
      </c>
      <c r="BT26" s="36" t="s">
        <v>32</v>
      </c>
      <c r="BU26" s="1"/>
    </row>
    <row r="27">
      <c r="A27" s="1"/>
      <c r="B27" s="32" t="s">
        <v>78</v>
      </c>
      <c r="C27" s="33">
        <v>100.0</v>
      </c>
      <c r="D27" s="34">
        <v>14.0</v>
      </c>
      <c r="E27" s="35" t="s">
        <v>28</v>
      </c>
      <c r="F27" s="36" t="s">
        <v>32</v>
      </c>
      <c r="G27" s="1"/>
      <c r="H27" s="32" t="s">
        <v>78</v>
      </c>
      <c r="I27" s="33">
        <v>100.0</v>
      </c>
      <c r="J27" s="34">
        <v>14.0</v>
      </c>
      <c r="K27" s="35" t="s">
        <v>28</v>
      </c>
      <c r="L27" s="36" t="s">
        <v>32</v>
      </c>
      <c r="M27" s="1"/>
      <c r="N27" s="32" t="s">
        <v>78</v>
      </c>
      <c r="O27" s="33"/>
      <c r="P27" s="34">
        <v>14.0</v>
      </c>
      <c r="Q27" s="35" t="s">
        <v>28</v>
      </c>
      <c r="S27" s="1"/>
      <c r="T27" s="32" t="s">
        <v>78</v>
      </c>
      <c r="U27" s="33">
        <v>300.0</v>
      </c>
      <c r="V27" s="34">
        <v>3.0</v>
      </c>
      <c r="W27" s="35" t="s">
        <v>28</v>
      </c>
      <c r="X27" s="36" t="s">
        <v>32</v>
      </c>
      <c r="Y27" s="1"/>
      <c r="Z27" s="32" t="s">
        <v>78</v>
      </c>
      <c r="AA27" s="33">
        <v>200.0</v>
      </c>
      <c r="AB27" s="34">
        <v>3.0</v>
      </c>
      <c r="AC27" s="35" t="s">
        <v>28</v>
      </c>
      <c r="AD27" s="36" t="s">
        <v>32</v>
      </c>
      <c r="AE27" s="1"/>
      <c r="AF27" s="32" t="s">
        <v>78</v>
      </c>
      <c r="AG27" s="33">
        <v>200.0</v>
      </c>
      <c r="AH27" s="34">
        <v>3.0</v>
      </c>
      <c r="AI27" s="35" t="s">
        <v>28</v>
      </c>
      <c r="AJ27" s="36" t="s">
        <v>32</v>
      </c>
      <c r="AK27" s="1"/>
      <c r="AL27" s="32" t="s">
        <v>78</v>
      </c>
      <c r="AM27" s="33">
        <v>450.0</v>
      </c>
      <c r="AN27" s="34">
        <v>3.0</v>
      </c>
      <c r="AO27" s="35" t="s">
        <v>28</v>
      </c>
      <c r="AP27" s="36" t="s">
        <v>32</v>
      </c>
      <c r="AQ27" s="1"/>
      <c r="AR27" s="32" t="s">
        <v>78</v>
      </c>
      <c r="AS27" s="33">
        <v>200.0</v>
      </c>
      <c r="AT27" s="34">
        <v>3.0</v>
      </c>
      <c r="AU27" s="35" t="s">
        <v>28</v>
      </c>
      <c r="AV27" s="36" t="s">
        <v>32</v>
      </c>
      <c r="AW27" s="1"/>
      <c r="AX27" s="32" t="s">
        <v>78</v>
      </c>
      <c r="AY27" s="33">
        <v>200.0</v>
      </c>
      <c r="AZ27" s="34">
        <v>3.0</v>
      </c>
      <c r="BA27" s="35" t="s">
        <v>28</v>
      </c>
      <c r="BB27" s="36" t="s">
        <v>32</v>
      </c>
      <c r="BC27" s="1"/>
      <c r="BD27" s="32" t="s">
        <v>78</v>
      </c>
      <c r="BE27" s="33">
        <v>300.0</v>
      </c>
      <c r="BF27" s="34">
        <v>3.0</v>
      </c>
      <c r="BG27" s="35" t="s">
        <v>28</v>
      </c>
      <c r="BH27" s="36" t="s">
        <v>32</v>
      </c>
      <c r="BI27" s="1"/>
      <c r="BJ27" s="32" t="s">
        <v>78</v>
      </c>
      <c r="BK27" s="33">
        <v>400.0</v>
      </c>
      <c r="BL27" s="34">
        <v>3.0</v>
      </c>
      <c r="BM27" s="35" t="s">
        <v>28</v>
      </c>
      <c r="BN27" s="36" t="s">
        <v>32</v>
      </c>
      <c r="BO27" s="1"/>
      <c r="BP27" s="32" t="s">
        <v>78</v>
      </c>
      <c r="BQ27" s="33">
        <v>300.0</v>
      </c>
      <c r="BR27" s="34">
        <v>3.0</v>
      </c>
      <c r="BS27" s="35" t="s">
        <v>28</v>
      </c>
      <c r="BT27" s="36" t="s">
        <v>32</v>
      </c>
      <c r="BU27" s="1"/>
    </row>
    <row r="28">
      <c r="A28" s="1"/>
      <c r="B28" s="32" t="s">
        <v>714</v>
      </c>
      <c r="C28" s="33" t="s">
        <v>920</v>
      </c>
      <c r="D28" s="34">
        <v>25.0</v>
      </c>
      <c r="E28" s="35" t="s">
        <v>32</v>
      </c>
      <c r="G28" s="1"/>
      <c r="H28" s="32" t="s">
        <v>714</v>
      </c>
      <c r="I28" s="33"/>
      <c r="J28" s="34">
        <v>25.0</v>
      </c>
      <c r="K28" s="35" t="s">
        <v>28</v>
      </c>
      <c r="M28" s="1"/>
      <c r="N28" s="32" t="s">
        <v>714</v>
      </c>
      <c r="O28" s="33"/>
      <c r="P28" s="34">
        <v>25.0</v>
      </c>
      <c r="Q28" s="35" t="s">
        <v>32</v>
      </c>
      <c r="S28" s="1"/>
      <c r="T28" s="32" t="s">
        <v>714</v>
      </c>
      <c r="U28" s="33"/>
      <c r="V28" s="34">
        <v>25.0</v>
      </c>
      <c r="W28" s="35" t="s">
        <v>28</v>
      </c>
      <c r="Y28" s="1"/>
      <c r="Z28" s="32" t="s">
        <v>714</v>
      </c>
      <c r="AA28" s="33"/>
      <c r="AB28" s="34">
        <v>25.0</v>
      </c>
      <c r="AC28" s="35" t="s">
        <v>28</v>
      </c>
      <c r="AE28" s="1"/>
      <c r="AF28" s="32" t="s">
        <v>714</v>
      </c>
      <c r="AG28" s="33"/>
      <c r="AH28" s="34">
        <v>25.0</v>
      </c>
      <c r="AI28" s="35" t="s">
        <v>28</v>
      </c>
      <c r="AK28" s="1"/>
      <c r="AL28" s="32" t="s">
        <v>714</v>
      </c>
      <c r="AM28" s="33"/>
      <c r="AN28" s="34">
        <v>25.0</v>
      </c>
      <c r="AO28" s="35" t="s">
        <v>28</v>
      </c>
      <c r="AQ28" s="1"/>
      <c r="AR28" s="32" t="s">
        <v>714</v>
      </c>
      <c r="AS28" s="33"/>
      <c r="AT28" s="34">
        <v>25.0</v>
      </c>
      <c r="AU28" s="35" t="s">
        <v>28</v>
      </c>
      <c r="AW28" s="1"/>
      <c r="AX28" s="32" t="s">
        <v>714</v>
      </c>
      <c r="AY28" s="33"/>
      <c r="AZ28" s="34">
        <v>25.0</v>
      </c>
      <c r="BA28" s="35" t="s">
        <v>28</v>
      </c>
      <c r="BC28" s="1"/>
      <c r="BD28" s="32" t="s">
        <v>714</v>
      </c>
      <c r="BE28" s="33"/>
      <c r="BF28" s="34">
        <v>25.0</v>
      </c>
      <c r="BG28" s="35" t="s">
        <v>28</v>
      </c>
      <c r="BI28" s="1"/>
      <c r="BJ28" s="32" t="s">
        <v>714</v>
      </c>
      <c r="BK28" s="33"/>
      <c r="BL28" s="34">
        <v>25.0</v>
      </c>
      <c r="BM28" s="35" t="s">
        <v>28</v>
      </c>
      <c r="BO28" s="1"/>
      <c r="BP28" s="32" t="s">
        <v>714</v>
      </c>
      <c r="BQ28" s="33"/>
      <c r="BR28" s="34">
        <v>25.0</v>
      </c>
      <c r="BS28" s="35" t="s">
        <v>28</v>
      </c>
      <c r="BU28" s="1"/>
    </row>
    <row r="29">
      <c r="A29" s="1"/>
      <c r="B29" s="32" t="s">
        <v>81</v>
      </c>
      <c r="C29" s="33">
        <v>1121.1</v>
      </c>
      <c r="D29" s="34">
        <v>30.0</v>
      </c>
      <c r="E29" s="35" t="s">
        <v>28</v>
      </c>
      <c r="F29" s="36" t="s">
        <v>32</v>
      </c>
      <c r="G29" s="1"/>
      <c r="H29" s="32" t="s">
        <v>81</v>
      </c>
      <c r="I29" s="26">
        <v>1121.1</v>
      </c>
      <c r="J29" s="34">
        <v>30.0</v>
      </c>
      <c r="K29" s="35" t="s">
        <v>28</v>
      </c>
      <c r="L29" s="36" t="s">
        <v>32</v>
      </c>
      <c r="M29" s="1"/>
      <c r="N29" s="32" t="s">
        <v>81</v>
      </c>
      <c r="O29" s="33">
        <v>1121.1</v>
      </c>
      <c r="P29" s="34">
        <v>30.0</v>
      </c>
      <c r="Q29" s="35" t="s">
        <v>28</v>
      </c>
      <c r="R29" s="36" t="s">
        <v>32</v>
      </c>
      <c r="S29" s="1"/>
      <c r="T29" s="32" t="s">
        <v>81</v>
      </c>
      <c r="U29" s="26">
        <v>1201.1</v>
      </c>
      <c r="V29" s="34">
        <v>30.0</v>
      </c>
      <c r="W29" s="35" t="s">
        <v>28</v>
      </c>
      <c r="X29" s="36" t="s">
        <v>32</v>
      </c>
      <c r="Y29" s="1"/>
      <c r="Z29" s="32" t="s">
        <v>81</v>
      </c>
      <c r="AA29" s="33">
        <v>811.1</v>
      </c>
      <c r="AB29" s="34">
        <v>30.0</v>
      </c>
      <c r="AC29" s="35" t="s">
        <v>28</v>
      </c>
      <c r="AD29" s="36" t="s">
        <v>32</v>
      </c>
      <c r="AE29" s="1"/>
      <c r="AF29" s="32" t="s">
        <v>81</v>
      </c>
      <c r="AG29" s="33">
        <v>1121.1</v>
      </c>
      <c r="AH29" s="34">
        <v>30.0</v>
      </c>
      <c r="AI29" s="35" t="s">
        <v>28</v>
      </c>
      <c r="AJ29" s="36" t="s">
        <v>32</v>
      </c>
      <c r="AK29" s="1"/>
      <c r="AL29" s="32" t="s">
        <v>81</v>
      </c>
      <c r="AM29" s="33">
        <v>1121.1</v>
      </c>
      <c r="AN29" s="34">
        <v>30.0</v>
      </c>
      <c r="AO29" s="35" t="s">
        <v>28</v>
      </c>
      <c r="AP29" s="36" t="s">
        <v>32</v>
      </c>
      <c r="AQ29" s="1"/>
      <c r="AR29" s="32" t="s">
        <v>81</v>
      </c>
      <c r="AS29" s="33">
        <v>1121.1</v>
      </c>
      <c r="AT29" s="34">
        <v>30.0</v>
      </c>
      <c r="AU29" s="35" t="s">
        <v>28</v>
      </c>
      <c r="AV29" s="36" t="s">
        <v>32</v>
      </c>
      <c r="AW29" s="1"/>
      <c r="AX29" s="32" t="s">
        <v>81</v>
      </c>
      <c r="AY29" s="33">
        <v>1121.1</v>
      </c>
      <c r="AZ29" s="34">
        <v>30.0</v>
      </c>
      <c r="BA29" s="35" t="s">
        <v>28</v>
      </c>
      <c r="BB29" s="36" t="s">
        <v>32</v>
      </c>
      <c r="BC29" s="1"/>
      <c r="BD29" s="32" t="s">
        <v>81</v>
      </c>
      <c r="BE29" s="33">
        <v>1121.1</v>
      </c>
      <c r="BF29" s="34">
        <v>30.0</v>
      </c>
      <c r="BG29" s="35" t="s">
        <v>28</v>
      </c>
      <c r="BH29" s="36" t="s">
        <v>32</v>
      </c>
      <c r="BI29" s="1"/>
      <c r="BJ29" s="32" t="s">
        <v>81</v>
      </c>
      <c r="BK29" s="33">
        <v>1488.74</v>
      </c>
      <c r="BL29" s="34">
        <v>30.0</v>
      </c>
      <c r="BM29" s="35" t="s">
        <v>28</v>
      </c>
      <c r="BN29" s="36" t="s">
        <v>32</v>
      </c>
      <c r="BO29" s="1"/>
      <c r="BP29" s="32" t="s">
        <v>81</v>
      </c>
      <c r="BQ29" s="33">
        <v>1121.1</v>
      </c>
      <c r="BR29" s="34">
        <v>30.0</v>
      </c>
      <c r="BS29" s="35" t="s">
        <v>28</v>
      </c>
      <c r="BT29" s="36" t="s">
        <v>32</v>
      </c>
      <c r="BU29" s="1"/>
    </row>
    <row r="30">
      <c r="A30" s="1"/>
      <c r="B30" s="32" t="s">
        <v>83</v>
      </c>
      <c r="C30" s="33">
        <v>333.29</v>
      </c>
      <c r="D30" s="34">
        <v>30.0</v>
      </c>
      <c r="E30" s="35" t="s">
        <v>28</v>
      </c>
      <c r="F30" s="36" t="s">
        <v>32</v>
      </c>
      <c r="G30" s="1"/>
      <c r="H30" s="32" t="s">
        <v>83</v>
      </c>
      <c r="I30" s="26">
        <v>333.29</v>
      </c>
      <c r="J30" s="34">
        <v>30.0</v>
      </c>
      <c r="K30" s="35" t="s">
        <v>28</v>
      </c>
      <c r="L30" s="36" t="s">
        <v>32</v>
      </c>
      <c r="M30" s="1"/>
      <c r="N30" s="32" t="s">
        <v>83</v>
      </c>
      <c r="O30" s="33"/>
      <c r="P30" s="34">
        <v>30.0</v>
      </c>
      <c r="Q30" s="35" t="s">
        <v>28</v>
      </c>
      <c r="S30" s="1"/>
      <c r="T30" s="32" t="s">
        <v>83</v>
      </c>
      <c r="U30" s="26">
        <v>341.36</v>
      </c>
      <c r="V30" s="34">
        <v>30.0</v>
      </c>
      <c r="W30" s="35" t="s">
        <v>28</v>
      </c>
      <c r="X30" s="36" t="s">
        <v>32</v>
      </c>
      <c r="Y30" s="1"/>
      <c r="Z30" s="32" t="s">
        <v>83</v>
      </c>
      <c r="AA30" s="33">
        <v>333.29</v>
      </c>
      <c r="AB30" s="34">
        <v>30.0</v>
      </c>
      <c r="AC30" s="35" t="s">
        <v>28</v>
      </c>
      <c r="AD30" s="36" t="s">
        <v>32</v>
      </c>
      <c r="AE30" s="1"/>
      <c r="AF30" s="32" t="s">
        <v>83</v>
      </c>
      <c r="AG30" s="33">
        <v>346.01</v>
      </c>
      <c r="AH30" s="34">
        <v>30.0</v>
      </c>
      <c r="AI30" s="35" t="s">
        <v>28</v>
      </c>
      <c r="AJ30" s="36" t="s">
        <v>32</v>
      </c>
      <c r="AK30" s="1"/>
      <c r="AL30" s="32" t="s">
        <v>83</v>
      </c>
      <c r="AM30" s="33">
        <v>348.01</v>
      </c>
      <c r="AN30" s="34">
        <v>30.0</v>
      </c>
      <c r="AO30" s="35" t="s">
        <v>28</v>
      </c>
      <c r="AP30" s="36" t="s">
        <v>32</v>
      </c>
      <c r="AQ30" s="1"/>
      <c r="AR30" s="32" t="s">
        <v>83</v>
      </c>
      <c r="AS30" s="33">
        <v>349.97</v>
      </c>
      <c r="AT30" s="34">
        <v>30.0</v>
      </c>
      <c r="AU30" s="35" t="s">
        <v>28</v>
      </c>
      <c r="AV30" s="36" t="s">
        <v>32</v>
      </c>
      <c r="AW30" s="1"/>
      <c r="AX30" s="32" t="s">
        <v>83</v>
      </c>
      <c r="AY30" s="33">
        <v>333.29</v>
      </c>
      <c r="AZ30" s="34">
        <v>30.0</v>
      </c>
      <c r="BA30" s="35" t="s">
        <v>28</v>
      </c>
      <c r="BB30" s="36" t="s">
        <v>32</v>
      </c>
      <c r="BC30" s="1"/>
      <c r="BD30" s="32" t="s">
        <v>83</v>
      </c>
      <c r="BE30" s="33">
        <v>333.29</v>
      </c>
      <c r="BF30" s="34">
        <v>30.0</v>
      </c>
      <c r="BG30" s="35" t="s">
        <v>28</v>
      </c>
      <c r="BH30" s="36" t="s">
        <v>32</v>
      </c>
      <c r="BI30" s="1"/>
      <c r="BJ30" s="32" t="s">
        <v>83</v>
      </c>
      <c r="BK30" s="33">
        <v>445.29</v>
      </c>
      <c r="BL30" s="34">
        <v>30.0</v>
      </c>
      <c r="BM30" s="35" t="s">
        <v>28</v>
      </c>
      <c r="BN30" s="36" t="s">
        <v>32</v>
      </c>
      <c r="BO30" s="1"/>
      <c r="BP30" s="32" t="s">
        <v>83</v>
      </c>
      <c r="BQ30" s="33">
        <v>696.07</v>
      </c>
      <c r="BR30" s="34">
        <v>30.0</v>
      </c>
      <c r="BS30" s="35" t="s">
        <v>28</v>
      </c>
      <c r="BT30" s="36" t="s">
        <v>32</v>
      </c>
      <c r="BU30" s="1"/>
    </row>
    <row r="31">
      <c r="A31" s="1"/>
      <c r="B31" s="55" t="s">
        <v>84</v>
      </c>
      <c r="C31" s="56">
        <v>1755.72</v>
      </c>
      <c r="D31" s="34">
        <v>30.0</v>
      </c>
      <c r="E31" s="57" t="s">
        <v>32</v>
      </c>
      <c r="F31" s="58" t="s">
        <v>32</v>
      </c>
      <c r="G31" s="1"/>
      <c r="H31" s="55" t="s">
        <v>84</v>
      </c>
      <c r="I31" s="33">
        <v>1755.72</v>
      </c>
      <c r="J31" s="34">
        <v>30.0</v>
      </c>
      <c r="K31" s="57" t="s">
        <v>32</v>
      </c>
      <c r="L31" s="58" t="s">
        <v>32</v>
      </c>
      <c r="M31" s="1"/>
      <c r="N31" s="55" t="s">
        <v>84</v>
      </c>
      <c r="O31" s="56"/>
      <c r="P31" s="34">
        <v>30.0</v>
      </c>
      <c r="Q31" s="57" t="s">
        <v>32</v>
      </c>
      <c r="R31" s="58"/>
      <c r="S31" s="1"/>
      <c r="T31" s="55" t="s">
        <v>84</v>
      </c>
      <c r="U31" s="33">
        <v>1611.93</v>
      </c>
      <c r="V31" s="34">
        <v>30.0</v>
      </c>
      <c r="W31" s="57" t="s">
        <v>32</v>
      </c>
      <c r="X31" s="58" t="s">
        <v>32</v>
      </c>
      <c r="Y31" s="1"/>
      <c r="Z31" s="55" t="s">
        <v>84</v>
      </c>
      <c r="AA31" s="56">
        <v>1611.93</v>
      </c>
      <c r="AB31" s="34">
        <v>30.0</v>
      </c>
      <c r="AC31" s="57" t="s">
        <v>32</v>
      </c>
      <c r="AD31" s="58" t="s">
        <v>32</v>
      </c>
      <c r="AE31" s="1"/>
      <c r="AF31" s="55" t="s">
        <v>84</v>
      </c>
      <c r="AG31" s="33">
        <v>1680.42</v>
      </c>
      <c r="AH31" s="34">
        <v>30.0</v>
      </c>
      <c r="AI31" s="57" t="s">
        <v>32</v>
      </c>
      <c r="AJ31" s="58" t="s">
        <v>32</v>
      </c>
      <c r="AK31" s="1"/>
      <c r="AL31" s="55" t="s">
        <v>84</v>
      </c>
      <c r="AM31" s="56">
        <v>1847.7</v>
      </c>
      <c r="AN31" s="34">
        <v>30.0</v>
      </c>
      <c r="AO31" s="57" t="s">
        <v>32</v>
      </c>
      <c r="AP31" s="58" t="s">
        <v>32</v>
      </c>
      <c r="AQ31" s="1"/>
      <c r="AR31" s="55" t="s">
        <v>84</v>
      </c>
      <c r="AS31" s="33">
        <v>1611.93</v>
      </c>
      <c r="AT31" s="34">
        <v>30.0</v>
      </c>
      <c r="AU31" s="57" t="s">
        <v>32</v>
      </c>
      <c r="AV31" s="58" t="s">
        <v>32</v>
      </c>
      <c r="AW31" s="1"/>
      <c r="AX31" s="55" t="s">
        <v>84</v>
      </c>
      <c r="AY31" s="56">
        <v>1666.93</v>
      </c>
      <c r="AZ31" s="34">
        <v>30.0</v>
      </c>
      <c r="BA31" s="57" t="s">
        <v>32</v>
      </c>
      <c r="BB31" s="58" t="s">
        <v>32</v>
      </c>
      <c r="BC31" s="1"/>
      <c r="BD31" s="55" t="s">
        <v>84</v>
      </c>
      <c r="BE31" s="56">
        <v>1647.56</v>
      </c>
      <c r="BF31" s="34">
        <v>30.0</v>
      </c>
      <c r="BG31" s="57" t="s">
        <v>32</v>
      </c>
      <c r="BH31" s="58" t="s">
        <v>32</v>
      </c>
      <c r="BI31" s="1"/>
      <c r="BJ31" s="55" t="s">
        <v>84</v>
      </c>
      <c r="BK31" s="56">
        <v>1646.57</v>
      </c>
      <c r="BL31" s="34">
        <v>30.0</v>
      </c>
      <c r="BM31" s="57" t="s">
        <v>32</v>
      </c>
      <c r="BN31" s="58" t="s">
        <v>32</v>
      </c>
      <c r="BO31" s="1"/>
      <c r="BP31" s="55" t="s">
        <v>84</v>
      </c>
      <c r="BQ31" s="56">
        <v>1611.93</v>
      </c>
      <c r="BR31" s="34">
        <v>30.0</v>
      </c>
      <c r="BS31" s="57" t="s">
        <v>32</v>
      </c>
      <c r="BT31" s="58" t="s">
        <v>32</v>
      </c>
      <c r="BU31" s="1"/>
    </row>
    <row r="32">
      <c r="A32" s="1"/>
      <c r="B32" s="36" t="s">
        <v>921</v>
      </c>
      <c r="C32" s="54">
        <v>644.72</v>
      </c>
      <c r="D32" s="36">
        <v>1.0</v>
      </c>
      <c r="E32" s="35" t="s">
        <v>28</v>
      </c>
      <c r="F32" s="36" t="s">
        <v>32</v>
      </c>
      <c r="G32" s="1"/>
      <c r="H32" s="36" t="s">
        <v>921</v>
      </c>
      <c r="I32" s="54">
        <v>644.72</v>
      </c>
      <c r="J32" s="39">
        <v>1.0</v>
      </c>
      <c r="K32" s="35" t="s">
        <v>28</v>
      </c>
      <c r="L32" s="36" t="s">
        <v>32</v>
      </c>
      <c r="M32" s="1"/>
      <c r="N32" s="36" t="s">
        <v>85</v>
      </c>
      <c r="O32" s="54">
        <v>644.72</v>
      </c>
      <c r="P32" s="39">
        <v>-25.0</v>
      </c>
      <c r="Q32" s="35" t="s">
        <v>28</v>
      </c>
      <c r="R32" s="36" t="s">
        <v>32</v>
      </c>
      <c r="S32" s="1"/>
      <c r="T32" s="36" t="s">
        <v>85</v>
      </c>
      <c r="U32" s="54">
        <v>649.22</v>
      </c>
      <c r="V32" s="39">
        <v>-25.0</v>
      </c>
      <c r="W32" s="35" t="s">
        <v>28</v>
      </c>
      <c r="X32" s="36" t="s">
        <v>32</v>
      </c>
      <c r="Y32" s="1"/>
      <c r="Z32" s="36" t="s">
        <v>85</v>
      </c>
      <c r="AA32" s="54">
        <v>649.22</v>
      </c>
      <c r="AB32" s="39">
        <v>-25.0</v>
      </c>
      <c r="AC32" s="35" t="s">
        <v>28</v>
      </c>
      <c r="AD32" s="36" t="s">
        <v>32</v>
      </c>
      <c r="AE32" s="1"/>
      <c r="AF32" s="36" t="s">
        <v>85</v>
      </c>
      <c r="AG32" s="54">
        <v>649.22</v>
      </c>
      <c r="AH32" s="39">
        <v>-25.0</v>
      </c>
      <c r="AI32" s="35" t="s">
        <v>28</v>
      </c>
      <c r="AJ32" s="36" t="s">
        <v>32</v>
      </c>
      <c r="AK32" s="1"/>
      <c r="AL32" s="36" t="s">
        <v>85</v>
      </c>
      <c r="AM32" s="54">
        <v>649.22</v>
      </c>
      <c r="AN32" s="39">
        <v>-25.0</v>
      </c>
      <c r="AO32" s="35" t="s">
        <v>28</v>
      </c>
      <c r="AP32" s="36" t="s">
        <v>32</v>
      </c>
      <c r="AQ32" s="1"/>
      <c r="AR32" s="36" t="s">
        <v>85</v>
      </c>
      <c r="AS32" s="54">
        <v>649.22</v>
      </c>
      <c r="AT32" s="39">
        <v>-25.0</v>
      </c>
      <c r="AU32" s="35" t="s">
        <v>28</v>
      </c>
      <c r="AV32" s="36" t="s">
        <v>32</v>
      </c>
      <c r="AW32" s="1"/>
      <c r="AX32" s="36" t="s">
        <v>85</v>
      </c>
      <c r="AY32" s="54">
        <v>649.22</v>
      </c>
      <c r="AZ32" s="39">
        <v>-25.0</v>
      </c>
      <c r="BA32" s="35" t="s">
        <v>28</v>
      </c>
      <c r="BB32" s="36" t="s">
        <v>32</v>
      </c>
      <c r="BC32" s="1"/>
      <c r="BD32" s="36" t="s">
        <v>85</v>
      </c>
      <c r="BE32" s="54">
        <v>811.54</v>
      </c>
      <c r="BF32" s="39">
        <v>-25.0</v>
      </c>
      <c r="BG32" s="35" t="s">
        <v>28</v>
      </c>
      <c r="BH32" s="36" t="s">
        <v>32</v>
      </c>
      <c r="BI32" s="1"/>
      <c r="BJ32" s="36" t="s">
        <v>85</v>
      </c>
      <c r="BK32" s="54">
        <v>649.22</v>
      </c>
      <c r="BL32" s="39">
        <v>-25.0</v>
      </c>
      <c r="BM32" s="35" t="s">
        <v>28</v>
      </c>
      <c r="BN32" s="36" t="s">
        <v>32</v>
      </c>
      <c r="BO32" s="1"/>
      <c r="BP32" s="36" t="s">
        <v>85</v>
      </c>
      <c r="BQ32" s="54">
        <v>694.98</v>
      </c>
      <c r="BR32" s="39">
        <v>-25.0</v>
      </c>
      <c r="BS32" s="35" t="s">
        <v>28</v>
      </c>
      <c r="BT32" s="36" t="s">
        <v>32</v>
      </c>
      <c r="BU32" s="1"/>
    </row>
    <row r="33">
      <c r="A33" s="1"/>
      <c r="B33" s="36" t="s">
        <v>922</v>
      </c>
      <c r="C33" s="54">
        <v>101.41</v>
      </c>
      <c r="D33" s="36">
        <v>1.0</v>
      </c>
      <c r="E33" s="35" t="s">
        <v>28</v>
      </c>
      <c r="F33" s="36" t="s">
        <v>32</v>
      </c>
      <c r="G33" s="1"/>
      <c r="H33" s="36" t="s">
        <v>923</v>
      </c>
      <c r="I33" s="54">
        <v>3.0</v>
      </c>
      <c r="J33" s="39">
        <v>1.0</v>
      </c>
      <c r="K33" s="35" t="s">
        <v>32</v>
      </c>
      <c r="L33" s="36" t="s">
        <v>32</v>
      </c>
      <c r="M33" s="1"/>
      <c r="N33" s="36" t="s">
        <v>443</v>
      </c>
      <c r="O33" s="54">
        <v>37.24</v>
      </c>
      <c r="P33" s="39">
        <v>-25.0</v>
      </c>
      <c r="Q33" s="35" t="s">
        <v>28</v>
      </c>
      <c r="R33" s="36" t="s">
        <v>32</v>
      </c>
      <c r="S33" s="1"/>
      <c r="T33" s="36" t="s">
        <v>193</v>
      </c>
      <c r="U33" s="54">
        <v>182.56</v>
      </c>
      <c r="V33" s="39">
        <v>-25.0</v>
      </c>
      <c r="W33" s="35" t="s">
        <v>28</v>
      </c>
      <c r="X33" s="36" t="s">
        <v>32</v>
      </c>
      <c r="Y33" s="1"/>
      <c r="Z33" s="36" t="s">
        <v>439</v>
      </c>
      <c r="AA33" s="54">
        <v>663.77</v>
      </c>
      <c r="AB33" s="39">
        <v>-25.0</v>
      </c>
      <c r="AC33" s="35" t="s">
        <v>28</v>
      </c>
      <c r="AD33" s="36" t="s">
        <v>32</v>
      </c>
      <c r="AE33" s="1"/>
      <c r="AF33" s="36" t="s">
        <v>924</v>
      </c>
      <c r="AG33" s="54">
        <v>145.86</v>
      </c>
      <c r="AH33" s="39">
        <v>-25.0</v>
      </c>
      <c r="AI33" s="35" t="s">
        <v>28</v>
      </c>
      <c r="AJ33" s="36" t="s">
        <v>32</v>
      </c>
      <c r="AK33" s="1"/>
      <c r="AL33" s="36" t="s">
        <v>439</v>
      </c>
      <c r="AM33" s="54">
        <v>97.15</v>
      </c>
      <c r="AN33" s="39">
        <v>-25.0</v>
      </c>
      <c r="AO33" s="35" t="s">
        <v>28</v>
      </c>
      <c r="AP33" s="36" t="s">
        <v>32</v>
      </c>
      <c r="AQ33" s="1"/>
      <c r="AR33" s="36" t="s">
        <v>439</v>
      </c>
      <c r="AS33" s="54">
        <v>43.26</v>
      </c>
      <c r="AT33" s="39">
        <v>-25.0</v>
      </c>
      <c r="AU33" s="35" t="s">
        <v>28</v>
      </c>
      <c r="AV33" s="36" t="s">
        <v>32</v>
      </c>
      <c r="AW33" s="1"/>
      <c r="AX33" s="36" t="s">
        <v>439</v>
      </c>
      <c r="AY33" s="54">
        <v>4.03</v>
      </c>
      <c r="AZ33" s="39">
        <v>-25.0</v>
      </c>
      <c r="BA33" s="35" t="s">
        <v>28</v>
      </c>
      <c r="BB33" s="36" t="s">
        <v>32</v>
      </c>
      <c r="BC33" s="1"/>
      <c r="BD33" s="36" t="s">
        <v>439</v>
      </c>
      <c r="BE33" s="54">
        <v>259.59</v>
      </c>
      <c r="BF33" s="39">
        <v>-25.0</v>
      </c>
      <c r="BG33" s="35" t="s">
        <v>28</v>
      </c>
      <c r="BH33" s="36" t="s">
        <v>32</v>
      </c>
      <c r="BI33" s="1"/>
      <c r="BJ33" s="36" t="s">
        <v>193</v>
      </c>
      <c r="BK33" s="54">
        <v>147.42</v>
      </c>
      <c r="BL33" s="39">
        <v>-25.0</v>
      </c>
      <c r="BM33" s="35" t="s">
        <v>28</v>
      </c>
      <c r="BN33" s="36" t="s">
        <v>32</v>
      </c>
      <c r="BO33" s="1"/>
      <c r="BP33" s="36" t="s">
        <v>439</v>
      </c>
      <c r="BQ33" s="54">
        <v>246.27</v>
      </c>
      <c r="BR33" s="39">
        <v>-25.0</v>
      </c>
      <c r="BS33" s="35" t="s">
        <v>28</v>
      </c>
      <c r="BT33" s="36" t="s">
        <v>32</v>
      </c>
      <c r="BU33" s="1"/>
    </row>
    <row r="34">
      <c r="A34" s="1"/>
      <c r="B34" s="36" t="s">
        <v>925</v>
      </c>
      <c r="C34" s="54">
        <v>43.36</v>
      </c>
      <c r="D34" s="36">
        <v>1.0</v>
      </c>
      <c r="E34" s="35" t="s">
        <v>28</v>
      </c>
      <c r="F34" s="36" t="s">
        <v>32</v>
      </c>
      <c r="G34" s="1"/>
      <c r="H34" s="36" t="s">
        <v>926</v>
      </c>
      <c r="I34" s="54">
        <v>380.0</v>
      </c>
      <c r="J34" s="39">
        <v>1.0</v>
      </c>
      <c r="K34" s="35" t="s">
        <v>28</v>
      </c>
      <c r="L34" s="36" t="s">
        <v>34</v>
      </c>
      <c r="M34" s="1"/>
      <c r="N34" s="36" t="s">
        <v>927</v>
      </c>
      <c r="O34" s="54">
        <v>471.74</v>
      </c>
      <c r="P34" s="39">
        <v>-25.0</v>
      </c>
      <c r="Q34" s="35" t="s">
        <v>28</v>
      </c>
      <c r="R34" s="36" t="s">
        <v>32</v>
      </c>
      <c r="S34" s="1"/>
      <c r="T34" s="36" t="s">
        <v>928</v>
      </c>
      <c r="U34" s="54">
        <v>1880.77</v>
      </c>
      <c r="V34" s="39">
        <v>-4.0</v>
      </c>
      <c r="W34" s="35" t="s">
        <v>28</v>
      </c>
      <c r="X34" s="36" t="s">
        <v>34</v>
      </c>
      <c r="Y34" s="1"/>
      <c r="Z34" s="36" t="s">
        <v>192</v>
      </c>
      <c r="AA34" s="54">
        <v>730.95</v>
      </c>
      <c r="AB34" s="39">
        <v>-25.0</v>
      </c>
      <c r="AC34" s="35" t="s">
        <v>28</v>
      </c>
      <c r="AD34" s="36" t="s">
        <v>32</v>
      </c>
      <c r="AE34" s="1"/>
      <c r="AF34" s="36" t="s">
        <v>929</v>
      </c>
      <c r="AG34" s="54">
        <v>51.04</v>
      </c>
      <c r="AH34" s="39">
        <v>-25.0</v>
      </c>
      <c r="AI34" s="35" t="s">
        <v>28</v>
      </c>
      <c r="AJ34" s="36" t="s">
        <v>32</v>
      </c>
      <c r="AK34" s="1"/>
      <c r="AL34" s="36" t="s">
        <v>192</v>
      </c>
      <c r="AM34" s="54">
        <v>51.04</v>
      </c>
      <c r="AN34" s="39">
        <v>-25.0</v>
      </c>
      <c r="AO34" s="35" t="s">
        <v>28</v>
      </c>
      <c r="AP34" s="36" t="s">
        <v>32</v>
      </c>
      <c r="AQ34" s="1"/>
      <c r="AR34" s="36" t="s">
        <v>192</v>
      </c>
      <c r="AS34" s="54">
        <v>51.04</v>
      </c>
      <c r="AT34" s="39">
        <v>-25.0</v>
      </c>
      <c r="AU34" s="35" t="s">
        <v>28</v>
      </c>
      <c r="AV34" s="36" t="s">
        <v>32</v>
      </c>
      <c r="AW34" s="1"/>
      <c r="AX34" s="36" t="s">
        <v>192</v>
      </c>
      <c r="AY34" s="54">
        <v>51.04</v>
      </c>
      <c r="AZ34" s="39">
        <v>-25.0</v>
      </c>
      <c r="BA34" s="35" t="s">
        <v>28</v>
      </c>
      <c r="BB34" s="36" t="s">
        <v>32</v>
      </c>
      <c r="BC34" s="1"/>
      <c r="BD34" s="36" t="s">
        <v>192</v>
      </c>
      <c r="BE34" s="54">
        <v>51.04</v>
      </c>
      <c r="BF34" s="39">
        <v>-25.0</v>
      </c>
      <c r="BG34" s="35" t="s">
        <v>28</v>
      </c>
      <c r="BH34" s="36" t="s">
        <v>32</v>
      </c>
      <c r="BI34" s="1"/>
      <c r="BJ34" s="36" t="s">
        <v>438</v>
      </c>
      <c r="BK34" s="54">
        <v>72.72</v>
      </c>
      <c r="BL34" s="39">
        <v>-25.0</v>
      </c>
      <c r="BM34" s="35" t="s">
        <v>28</v>
      </c>
      <c r="BN34" s="36" t="s">
        <v>32</v>
      </c>
      <c r="BO34" s="1"/>
      <c r="BP34" s="36" t="s">
        <v>718</v>
      </c>
      <c r="BQ34" s="54">
        <v>694.98</v>
      </c>
      <c r="BR34" s="39">
        <v>-25.0</v>
      </c>
      <c r="BS34" s="35" t="s">
        <v>28</v>
      </c>
      <c r="BT34" s="36" t="s">
        <v>32</v>
      </c>
      <c r="BU34" s="1"/>
    </row>
    <row r="35">
      <c r="A35" s="1"/>
      <c r="B35" s="36" t="s">
        <v>923</v>
      </c>
      <c r="C35" s="54">
        <v>3.0</v>
      </c>
      <c r="D35" s="36">
        <v>3.0</v>
      </c>
      <c r="E35" s="35" t="s">
        <v>32</v>
      </c>
      <c r="F35" s="36" t="s">
        <v>32</v>
      </c>
      <c r="G35" s="1"/>
      <c r="H35" s="36" t="s">
        <v>930</v>
      </c>
      <c r="I35" s="54">
        <v>20.0</v>
      </c>
      <c r="J35" s="39">
        <v>3.0</v>
      </c>
      <c r="K35" s="35" t="s">
        <v>32</v>
      </c>
      <c r="L35" s="36" t="s">
        <v>32</v>
      </c>
      <c r="M35" s="1"/>
      <c r="N35" s="36" t="s">
        <v>931</v>
      </c>
      <c r="O35" s="54">
        <v>500.0</v>
      </c>
      <c r="P35" s="39">
        <v>2.0</v>
      </c>
      <c r="Q35" s="35" t="s">
        <v>32</v>
      </c>
      <c r="R35" s="36" t="s">
        <v>32</v>
      </c>
      <c r="S35" s="1"/>
      <c r="T35" s="36" t="s">
        <v>923</v>
      </c>
      <c r="U35" s="54">
        <v>19.5</v>
      </c>
      <c r="V35" s="39">
        <v>1.0</v>
      </c>
      <c r="W35" s="35" t="s">
        <v>32</v>
      </c>
      <c r="X35" s="36" t="s">
        <v>32</v>
      </c>
      <c r="Y35" s="1"/>
      <c r="Z35" s="36" t="s">
        <v>932</v>
      </c>
      <c r="AA35" s="54">
        <v>3314.43</v>
      </c>
      <c r="AB35" s="39">
        <v>-25.0</v>
      </c>
      <c r="AC35" s="35" t="s">
        <v>32</v>
      </c>
      <c r="AD35" s="36" t="s">
        <v>32</v>
      </c>
      <c r="AE35" s="1"/>
      <c r="AF35" s="36" t="s">
        <v>100</v>
      </c>
      <c r="AG35" s="54">
        <v>50.0</v>
      </c>
      <c r="AH35" s="39">
        <v>5.0</v>
      </c>
      <c r="AI35" s="35" t="s">
        <v>32</v>
      </c>
      <c r="AJ35" s="36" t="s">
        <v>32</v>
      </c>
      <c r="AK35" s="1"/>
      <c r="AL35" s="36" t="s">
        <v>932</v>
      </c>
      <c r="AM35" s="54">
        <v>2480.64</v>
      </c>
      <c r="AN35" s="39">
        <v>1.0</v>
      </c>
      <c r="AO35" s="35" t="s">
        <v>28</v>
      </c>
      <c r="AP35" s="36" t="s">
        <v>32</v>
      </c>
      <c r="AQ35" s="1"/>
      <c r="AR35" s="36" t="s">
        <v>647</v>
      </c>
      <c r="AS35" s="54">
        <v>120.0</v>
      </c>
      <c r="AT35" s="39">
        <v>4.0</v>
      </c>
      <c r="AU35" s="35" t="s">
        <v>32</v>
      </c>
      <c r="AV35" s="36" t="s">
        <v>32</v>
      </c>
      <c r="AW35" s="1"/>
      <c r="AX35" s="36" t="s">
        <v>923</v>
      </c>
      <c r="AY35" s="54">
        <v>19.5</v>
      </c>
      <c r="AZ35" s="39">
        <v>1.0</v>
      </c>
      <c r="BA35" s="35" t="s">
        <v>32</v>
      </c>
      <c r="BB35" s="36" t="s">
        <v>32</v>
      </c>
      <c r="BC35" s="1"/>
      <c r="BD35" s="36" t="s">
        <v>600</v>
      </c>
      <c r="BE35" s="54">
        <v>16.5</v>
      </c>
      <c r="BF35" s="39">
        <v>1.0</v>
      </c>
      <c r="BG35" s="35" t="s">
        <v>28</v>
      </c>
      <c r="BH35" s="36" t="s">
        <v>34</v>
      </c>
      <c r="BI35" s="1"/>
      <c r="BJ35" s="36" t="s">
        <v>310</v>
      </c>
      <c r="BK35" s="54">
        <v>5.0</v>
      </c>
      <c r="BL35" s="39">
        <v>1.0</v>
      </c>
      <c r="BM35" s="35" t="s">
        <v>28</v>
      </c>
      <c r="BN35" s="36" t="s">
        <v>32</v>
      </c>
      <c r="BO35" s="1"/>
      <c r="BP35" s="36" t="s">
        <v>933</v>
      </c>
      <c r="BQ35" s="54">
        <v>1600.0</v>
      </c>
      <c r="BR35" s="39">
        <v>1.0</v>
      </c>
      <c r="BS35" s="35" t="s">
        <v>32</v>
      </c>
      <c r="BT35" s="36" t="s">
        <v>32</v>
      </c>
      <c r="BU35" s="1"/>
    </row>
    <row r="36">
      <c r="A36" s="1"/>
      <c r="B36" s="36" t="s">
        <v>893</v>
      </c>
      <c r="C36" s="54">
        <v>24.0</v>
      </c>
      <c r="D36" s="36">
        <v>4.0</v>
      </c>
      <c r="E36" s="35" t="s">
        <v>28</v>
      </c>
      <c r="F36" s="36" t="s">
        <v>34</v>
      </c>
      <c r="G36" s="1"/>
      <c r="H36" s="36" t="s">
        <v>934</v>
      </c>
      <c r="I36" s="54">
        <v>8.0</v>
      </c>
      <c r="J36" s="39">
        <v>4.0</v>
      </c>
      <c r="K36" s="35" t="s">
        <v>34</v>
      </c>
      <c r="L36" s="36" t="s">
        <v>32</v>
      </c>
      <c r="M36" s="1"/>
      <c r="N36" s="36" t="s">
        <v>923</v>
      </c>
      <c r="O36" s="54">
        <v>3.0</v>
      </c>
      <c r="P36" s="39">
        <v>2.0</v>
      </c>
      <c r="Q36" s="35" t="s">
        <v>32</v>
      </c>
      <c r="R36" s="36" t="s">
        <v>32</v>
      </c>
      <c r="S36" s="1"/>
      <c r="T36" s="36" t="s">
        <v>355</v>
      </c>
      <c r="U36" s="54">
        <v>25.0</v>
      </c>
      <c r="V36" s="39">
        <v>3.0</v>
      </c>
      <c r="W36" s="35" t="s">
        <v>32</v>
      </c>
      <c r="X36" s="36" t="s">
        <v>32</v>
      </c>
      <c r="Y36" s="1"/>
      <c r="Z36" s="36" t="s">
        <v>100</v>
      </c>
      <c r="AA36" s="54">
        <v>100.0</v>
      </c>
      <c r="AB36" s="39">
        <v>1.0</v>
      </c>
      <c r="AC36" s="35" t="s">
        <v>32</v>
      </c>
      <c r="AD36" s="36" t="s">
        <v>32</v>
      </c>
      <c r="AE36" s="1"/>
      <c r="AF36" s="36" t="s">
        <v>495</v>
      </c>
      <c r="AG36" s="54">
        <v>46.0</v>
      </c>
      <c r="AH36" s="39">
        <v>6.0</v>
      </c>
      <c r="AI36" s="35" t="s">
        <v>28</v>
      </c>
      <c r="AJ36" s="36" t="s">
        <v>32</v>
      </c>
      <c r="AK36" s="1"/>
      <c r="AL36" s="36" t="s">
        <v>923</v>
      </c>
      <c r="AM36" s="54">
        <v>19.5</v>
      </c>
      <c r="AN36" s="39">
        <v>1.0</v>
      </c>
      <c r="AO36" s="35" t="s">
        <v>32</v>
      </c>
      <c r="AP36" s="36" t="s">
        <v>32</v>
      </c>
      <c r="AQ36" s="1"/>
      <c r="AR36" s="36" t="s">
        <v>100</v>
      </c>
      <c r="AS36" s="54">
        <v>100.0</v>
      </c>
      <c r="AT36" s="39">
        <v>7.0</v>
      </c>
      <c r="AU36" s="35" t="s">
        <v>32</v>
      </c>
      <c r="AV36" s="36" t="s">
        <v>32</v>
      </c>
      <c r="AW36" s="1"/>
      <c r="AX36" s="36" t="s">
        <v>935</v>
      </c>
      <c r="AY36" s="54">
        <v>150.0</v>
      </c>
      <c r="AZ36" s="39">
        <v>2.0</v>
      </c>
      <c r="BA36" s="35" t="s">
        <v>28</v>
      </c>
      <c r="BB36" s="36" t="s">
        <v>34</v>
      </c>
      <c r="BC36" s="1"/>
      <c r="BD36" s="36" t="s">
        <v>582</v>
      </c>
      <c r="BE36" s="54">
        <v>10.0</v>
      </c>
      <c r="BF36" s="39">
        <v>1.0</v>
      </c>
      <c r="BG36" s="35" t="s">
        <v>28</v>
      </c>
      <c r="BH36" s="36" t="s">
        <v>34</v>
      </c>
      <c r="BI36" s="1"/>
      <c r="BJ36" s="36" t="s">
        <v>88</v>
      </c>
      <c r="BK36" s="54">
        <v>300.0</v>
      </c>
      <c r="BL36" s="39">
        <v>1.0</v>
      </c>
      <c r="BM36" s="35" t="s">
        <v>28</v>
      </c>
      <c r="BN36" s="36" t="s">
        <v>32</v>
      </c>
      <c r="BO36" s="1"/>
      <c r="BP36" s="36" t="s">
        <v>295</v>
      </c>
      <c r="BQ36" s="54">
        <v>10.5</v>
      </c>
      <c r="BR36" s="39">
        <v>1.0</v>
      </c>
      <c r="BS36" s="35" t="s">
        <v>32</v>
      </c>
      <c r="BT36" s="36" t="s">
        <v>32</v>
      </c>
      <c r="BU36" s="1"/>
    </row>
    <row r="37">
      <c r="A37" s="1"/>
      <c r="B37" s="36" t="s">
        <v>854</v>
      </c>
      <c r="C37" s="54">
        <v>35.0</v>
      </c>
      <c r="D37" s="36">
        <v>4.0</v>
      </c>
      <c r="E37" s="35" t="s">
        <v>28</v>
      </c>
      <c r="F37" s="36" t="s">
        <v>34</v>
      </c>
      <c r="G37" s="1"/>
      <c r="H37" s="36" t="s">
        <v>936</v>
      </c>
      <c r="I37" s="54">
        <v>34.0</v>
      </c>
      <c r="J37" s="39">
        <v>4.0</v>
      </c>
      <c r="K37" s="35" t="s">
        <v>28</v>
      </c>
      <c r="L37" s="36" t="s">
        <v>34</v>
      </c>
      <c r="M37" s="1"/>
      <c r="N37" s="36" t="s">
        <v>937</v>
      </c>
      <c r="O37" s="54">
        <v>35.0</v>
      </c>
      <c r="P37" s="39">
        <v>3.0</v>
      </c>
      <c r="Q37" s="35" t="s">
        <v>28</v>
      </c>
      <c r="R37" s="36" t="s">
        <v>34</v>
      </c>
      <c r="S37" s="1"/>
      <c r="T37" s="36" t="s">
        <v>938</v>
      </c>
      <c r="U37" s="54">
        <v>50.0</v>
      </c>
      <c r="V37" s="39">
        <v>3.0</v>
      </c>
      <c r="W37" s="35" t="s">
        <v>34</v>
      </c>
      <c r="X37" s="36" t="s">
        <v>32</v>
      </c>
      <c r="Y37" s="1"/>
      <c r="Z37" s="36" t="s">
        <v>939</v>
      </c>
      <c r="AA37" s="54">
        <v>10.0</v>
      </c>
      <c r="AB37" s="39">
        <v>2.0</v>
      </c>
      <c r="AC37" s="35" t="s">
        <v>28</v>
      </c>
      <c r="AD37" s="36" t="s">
        <v>32</v>
      </c>
      <c r="AE37" s="1"/>
      <c r="AF37" s="36" t="s">
        <v>923</v>
      </c>
      <c r="AG37" s="54">
        <v>19.5</v>
      </c>
      <c r="AH37" s="39">
        <v>1.0</v>
      </c>
      <c r="AI37" s="35" t="s">
        <v>32</v>
      </c>
      <c r="AJ37" s="36" t="s">
        <v>32</v>
      </c>
      <c r="AK37" s="1"/>
      <c r="AL37" s="36" t="s">
        <v>940</v>
      </c>
      <c r="AM37" s="54">
        <v>0.66</v>
      </c>
      <c r="AN37" s="39">
        <v>1.0</v>
      </c>
      <c r="AO37" s="35" t="s">
        <v>32</v>
      </c>
      <c r="AP37" s="36" t="s">
        <v>32</v>
      </c>
      <c r="AQ37" s="1"/>
      <c r="AR37" s="36" t="s">
        <v>305</v>
      </c>
      <c r="AS37" s="54">
        <v>15.0</v>
      </c>
      <c r="AT37" s="39">
        <v>9.0</v>
      </c>
      <c r="AU37" s="35" t="s">
        <v>32</v>
      </c>
      <c r="AV37" s="36" t="s">
        <v>32</v>
      </c>
      <c r="AW37" s="1"/>
      <c r="AX37" s="36" t="s">
        <v>533</v>
      </c>
      <c r="AY37" s="54">
        <v>15.0</v>
      </c>
      <c r="AZ37" s="39">
        <v>2.0</v>
      </c>
      <c r="BA37" s="35" t="s">
        <v>28</v>
      </c>
      <c r="BB37" s="36" t="s">
        <v>34</v>
      </c>
      <c r="BC37" s="1"/>
      <c r="BD37" s="61" t="s">
        <v>941</v>
      </c>
      <c r="BE37" s="54">
        <v>20.0</v>
      </c>
      <c r="BF37" s="39">
        <v>6.0</v>
      </c>
      <c r="BG37" s="35" t="s">
        <v>28</v>
      </c>
      <c r="BH37" s="36" t="s">
        <v>34</v>
      </c>
      <c r="BI37" s="1"/>
      <c r="BJ37" s="36" t="s">
        <v>495</v>
      </c>
      <c r="BK37" s="54">
        <v>24.0</v>
      </c>
      <c r="BL37" s="39">
        <v>3.0</v>
      </c>
      <c r="BM37" s="35" t="s">
        <v>28</v>
      </c>
      <c r="BN37" s="36" t="s">
        <v>32</v>
      </c>
      <c r="BO37" s="1"/>
      <c r="BP37" s="61" t="s">
        <v>942</v>
      </c>
      <c r="BQ37" s="54">
        <v>151.08</v>
      </c>
      <c r="BR37" s="39">
        <v>1.0</v>
      </c>
      <c r="BS37" s="35" t="s">
        <v>32</v>
      </c>
      <c r="BT37" s="36" t="s">
        <v>32</v>
      </c>
      <c r="BU37" s="1"/>
    </row>
    <row r="38">
      <c r="A38" s="1"/>
      <c r="B38" s="36" t="s">
        <v>299</v>
      </c>
      <c r="C38" s="54">
        <v>98.0</v>
      </c>
      <c r="D38" s="36">
        <v>4.0</v>
      </c>
      <c r="E38" s="35" t="s">
        <v>28</v>
      </c>
      <c r="F38" s="36" t="s">
        <v>34</v>
      </c>
      <c r="G38" s="1"/>
      <c r="H38" s="36" t="s">
        <v>943</v>
      </c>
      <c r="I38" s="54">
        <v>2.0</v>
      </c>
      <c r="J38" s="39">
        <v>5.0</v>
      </c>
      <c r="K38" s="35" t="s">
        <v>32</v>
      </c>
      <c r="L38" s="36" t="s">
        <v>32</v>
      </c>
      <c r="M38" s="1"/>
      <c r="N38" s="36" t="s">
        <v>944</v>
      </c>
      <c r="O38" s="54">
        <v>100.0</v>
      </c>
      <c r="P38" s="39">
        <v>5.0</v>
      </c>
      <c r="Q38" s="35" t="s">
        <v>28</v>
      </c>
      <c r="R38" s="36" t="s">
        <v>34</v>
      </c>
      <c r="S38" s="1"/>
      <c r="T38" s="36" t="s">
        <v>945</v>
      </c>
      <c r="U38" s="54">
        <v>8.0</v>
      </c>
      <c r="V38" s="39">
        <v>3.0</v>
      </c>
      <c r="W38" s="35" t="s">
        <v>28</v>
      </c>
      <c r="X38" s="36" t="s">
        <v>34</v>
      </c>
      <c r="Y38" s="1"/>
      <c r="Z38" s="36" t="s">
        <v>923</v>
      </c>
      <c r="AA38" s="54">
        <v>19.5</v>
      </c>
      <c r="AB38" s="39">
        <v>2.0</v>
      </c>
      <c r="AC38" s="35" t="s">
        <v>32</v>
      </c>
      <c r="AD38" s="36" t="s">
        <v>32</v>
      </c>
      <c r="AE38" s="1"/>
      <c r="AF38" s="36" t="s">
        <v>946</v>
      </c>
      <c r="AG38" s="54">
        <v>10.0</v>
      </c>
      <c r="AH38" s="39">
        <v>2.0</v>
      </c>
      <c r="AI38" s="35" t="s">
        <v>28</v>
      </c>
      <c r="AJ38" s="36" t="s">
        <v>32</v>
      </c>
      <c r="AK38" s="1"/>
      <c r="AL38" s="36" t="s">
        <v>100</v>
      </c>
      <c r="AM38" s="54">
        <v>100.0</v>
      </c>
      <c r="AN38" s="39">
        <v>3.0</v>
      </c>
      <c r="AO38" s="35" t="s">
        <v>32</v>
      </c>
      <c r="AP38" s="36" t="s">
        <v>32</v>
      </c>
      <c r="AQ38" s="1"/>
      <c r="AR38" s="36" t="s">
        <v>947</v>
      </c>
      <c r="AS38" s="54">
        <v>100.0</v>
      </c>
      <c r="AT38" s="39">
        <v>9.0</v>
      </c>
      <c r="AU38" s="35" t="s">
        <v>28</v>
      </c>
      <c r="AV38" s="36" t="s">
        <v>34</v>
      </c>
      <c r="AW38" s="1"/>
      <c r="AX38" s="36" t="s">
        <v>948</v>
      </c>
      <c r="AY38" s="54">
        <v>58.69</v>
      </c>
      <c r="AZ38" s="39">
        <v>2.0</v>
      </c>
      <c r="BA38" s="35" t="s">
        <v>28</v>
      </c>
      <c r="BB38" s="36" t="s">
        <v>34</v>
      </c>
      <c r="BC38" s="1"/>
      <c r="BD38" s="36" t="s">
        <v>949</v>
      </c>
      <c r="BE38" s="54">
        <v>93.7</v>
      </c>
      <c r="BF38" s="39">
        <v>8.0</v>
      </c>
      <c r="BG38" s="35" t="s">
        <v>28</v>
      </c>
      <c r="BH38" s="36" t="s">
        <v>34</v>
      </c>
      <c r="BI38" s="1"/>
      <c r="BJ38" s="36" t="s">
        <v>109</v>
      </c>
      <c r="BK38" s="54">
        <v>45.0</v>
      </c>
      <c r="BL38" s="39">
        <v>4.0</v>
      </c>
      <c r="BM38" s="35" t="s">
        <v>28</v>
      </c>
      <c r="BN38" s="36" t="s">
        <v>32</v>
      </c>
      <c r="BO38" s="1"/>
      <c r="BP38" s="36" t="s">
        <v>950</v>
      </c>
      <c r="BQ38" s="54">
        <v>10.0</v>
      </c>
      <c r="BR38" s="39">
        <v>2.0</v>
      </c>
      <c r="BS38" s="35" t="s">
        <v>32</v>
      </c>
      <c r="BT38" s="36" t="s">
        <v>32</v>
      </c>
      <c r="BU38" s="1"/>
    </row>
    <row r="39">
      <c r="A39" s="1"/>
      <c r="B39" s="36" t="s">
        <v>951</v>
      </c>
      <c r="C39" s="54">
        <v>42.0</v>
      </c>
      <c r="D39" s="36">
        <v>4.0</v>
      </c>
      <c r="E39" s="35" t="s">
        <v>28</v>
      </c>
      <c r="F39" s="36" t="s">
        <v>34</v>
      </c>
      <c r="G39" s="1"/>
      <c r="H39" s="36" t="s">
        <v>100</v>
      </c>
      <c r="I39" s="54">
        <v>100.0</v>
      </c>
      <c r="J39" s="39">
        <v>6.0</v>
      </c>
      <c r="K39" s="35" t="s">
        <v>32</v>
      </c>
      <c r="L39" s="36" t="s">
        <v>32</v>
      </c>
      <c r="M39" s="1"/>
      <c r="N39" s="36" t="s">
        <v>109</v>
      </c>
      <c r="O39" s="54">
        <v>40.0</v>
      </c>
      <c r="P39" s="39">
        <v>8.0</v>
      </c>
      <c r="Q39" s="35" t="s">
        <v>28</v>
      </c>
      <c r="R39" s="36" t="s">
        <v>34</v>
      </c>
      <c r="S39" s="1"/>
      <c r="T39" s="36" t="s">
        <v>952</v>
      </c>
      <c r="U39" s="54">
        <v>22.0</v>
      </c>
      <c r="V39" s="39">
        <v>3.0</v>
      </c>
      <c r="W39" s="35" t="s">
        <v>28</v>
      </c>
      <c r="X39" s="36" t="s">
        <v>34</v>
      </c>
      <c r="Y39" s="1"/>
      <c r="Z39" s="36" t="s">
        <v>953</v>
      </c>
      <c r="AA39" s="54">
        <v>110.0</v>
      </c>
      <c r="AB39" s="39">
        <v>5.0</v>
      </c>
      <c r="AC39" s="35" t="s">
        <v>28</v>
      </c>
      <c r="AD39" s="36" t="s">
        <v>34</v>
      </c>
      <c r="AE39" s="1"/>
      <c r="AF39" s="36" t="s">
        <v>220</v>
      </c>
      <c r="AG39" s="54">
        <v>9159.84</v>
      </c>
      <c r="AH39" s="39">
        <v>10.0</v>
      </c>
      <c r="AI39" s="35" t="s">
        <v>28</v>
      </c>
      <c r="AJ39" s="36" t="s">
        <v>32</v>
      </c>
      <c r="AK39" s="1"/>
      <c r="AL39" s="36" t="s">
        <v>954</v>
      </c>
      <c r="AM39" s="54">
        <v>290.0</v>
      </c>
      <c r="AN39" s="39">
        <v>4.0</v>
      </c>
      <c r="AO39" s="35" t="s">
        <v>32</v>
      </c>
      <c r="AP39" s="36" t="s">
        <v>32</v>
      </c>
      <c r="AQ39" s="1"/>
      <c r="AR39" s="36" t="s">
        <v>109</v>
      </c>
      <c r="AS39" s="54">
        <v>45.0</v>
      </c>
      <c r="AT39" s="39">
        <v>9.0</v>
      </c>
      <c r="AU39" s="35" t="s">
        <v>28</v>
      </c>
      <c r="AV39" s="36" t="s">
        <v>34</v>
      </c>
      <c r="AW39" s="1"/>
      <c r="AX39" s="36" t="s">
        <v>495</v>
      </c>
      <c r="AY39" s="54">
        <v>50.0</v>
      </c>
      <c r="AZ39" s="39">
        <v>2.0</v>
      </c>
      <c r="BA39" s="35" t="s">
        <v>28</v>
      </c>
      <c r="BB39" s="36" t="s">
        <v>34</v>
      </c>
      <c r="BC39" s="1"/>
      <c r="BD39" s="36" t="s">
        <v>305</v>
      </c>
      <c r="BE39" s="54">
        <v>15.0</v>
      </c>
      <c r="BF39" s="39">
        <v>10.0</v>
      </c>
      <c r="BG39" s="35" t="s">
        <v>32</v>
      </c>
      <c r="BH39" s="36" t="s">
        <v>32</v>
      </c>
      <c r="BI39" s="1"/>
      <c r="BJ39" s="36" t="s">
        <v>955</v>
      </c>
      <c r="BK39" s="54">
        <v>1500.0</v>
      </c>
      <c r="BL39" s="39">
        <v>5.0</v>
      </c>
      <c r="BM39" s="35" t="s">
        <v>32</v>
      </c>
      <c r="BN39" s="36" t="s">
        <v>32</v>
      </c>
      <c r="BO39" s="1"/>
      <c r="BP39" s="36" t="s">
        <v>88</v>
      </c>
      <c r="BQ39" s="54">
        <v>100.0</v>
      </c>
      <c r="BR39" s="39">
        <v>5.0</v>
      </c>
      <c r="BS39" s="35" t="s">
        <v>32</v>
      </c>
      <c r="BT39" s="36" t="s">
        <v>32</v>
      </c>
      <c r="BU39" s="1"/>
    </row>
    <row r="40">
      <c r="A40" s="1"/>
      <c r="B40" s="36" t="s">
        <v>552</v>
      </c>
      <c r="C40" s="54">
        <v>52.0</v>
      </c>
      <c r="D40" s="36">
        <v>4.0</v>
      </c>
      <c r="E40" s="35" t="s">
        <v>28</v>
      </c>
      <c r="F40" s="36" t="s">
        <v>34</v>
      </c>
      <c r="G40" s="1"/>
      <c r="H40" s="36" t="s">
        <v>956</v>
      </c>
      <c r="I40" s="54">
        <v>14.0</v>
      </c>
      <c r="J40" s="39">
        <v>8.0</v>
      </c>
      <c r="K40" s="35" t="s">
        <v>28</v>
      </c>
      <c r="L40" s="36" t="s">
        <v>34</v>
      </c>
      <c r="M40" s="1"/>
      <c r="N40" s="36" t="s">
        <v>957</v>
      </c>
      <c r="O40" s="54">
        <v>27.0</v>
      </c>
      <c r="P40" s="39">
        <v>8.0</v>
      </c>
      <c r="Q40" s="35" t="s">
        <v>28</v>
      </c>
      <c r="R40" s="36" t="s">
        <v>34</v>
      </c>
      <c r="S40" s="1"/>
      <c r="T40" s="36" t="s">
        <v>958</v>
      </c>
      <c r="U40" s="54">
        <v>75.0</v>
      </c>
      <c r="V40" s="39">
        <v>3.0</v>
      </c>
      <c r="W40" s="35" t="s">
        <v>28</v>
      </c>
      <c r="X40" s="36" t="s">
        <v>34</v>
      </c>
      <c r="Y40" s="1"/>
      <c r="Z40" s="36" t="s">
        <v>611</v>
      </c>
      <c r="AA40" s="54">
        <v>290.0</v>
      </c>
      <c r="AB40" s="39">
        <v>5.0</v>
      </c>
      <c r="AC40" s="35" t="s">
        <v>28</v>
      </c>
      <c r="AD40" s="36" t="s">
        <v>34</v>
      </c>
      <c r="AE40" s="1"/>
      <c r="AF40" s="36" t="s">
        <v>226</v>
      </c>
      <c r="AG40" s="54">
        <v>3001.95</v>
      </c>
      <c r="AH40" s="39">
        <v>10.0</v>
      </c>
      <c r="AI40" s="35" t="s">
        <v>32</v>
      </c>
      <c r="AJ40" s="36" t="s">
        <v>32</v>
      </c>
      <c r="AK40" s="1"/>
      <c r="AL40" s="36" t="s">
        <v>100</v>
      </c>
      <c r="AM40" s="54">
        <v>110.0</v>
      </c>
      <c r="AN40" s="39">
        <v>10.0</v>
      </c>
      <c r="AO40" s="35" t="s">
        <v>32</v>
      </c>
      <c r="AP40" s="36" t="s">
        <v>32</v>
      </c>
      <c r="AQ40" s="1"/>
      <c r="AR40" s="36" t="s">
        <v>220</v>
      </c>
      <c r="AS40" s="54">
        <v>6285.8</v>
      </c>
      <c r="AT40" s="39">
        <v>10.0</v>
      </c>
      <c r="AU40" s="35" t="s">
        <v>28</v>
      </c>
      <c r="AV40" s="36" t="s">
        <v>32</v>
      </c>
      <c r="AW40" s="1"/>
      <c r="AX40" s="36" t="s">
        <v>109</v>
      </c>
      <c r="AY40" s="54">
        <v>81.0</v>
      </c>
      <c r="AZ40" s="39">
        <v>9.0</v>
      </c>
      <c r="BA40" s="35" t="s">
        <v>28</v>
      </c>
      <c r="BB40" s="36" t="s">
        <v>34</v>
      </c>
      <c r="BC40" s="1"/>
      <c r="BD40" s="36" t="s">
        <v>220</v>
      </c>
      <c r="BE40" s="54">
        <v>2060.36</v>
      </c>
      <c r="BF40" s="39">
        <v>10.0</v>
      </c>
      <c r="BG40" s="35" t="s">
        <v>28</v>
      </c>
      <c r="BH40" s="36" t="s">
        <v>32</v>
      </c>
      <c r="BI40" s="1"/>
      <c r="BJ40" s="36" t="s">
        <v>100</v>
      </c>
      <c r="BK40" s="54">
        <v>100.0</v>
      </c>
      <c r="BL40" s="39">
        <v>6.0</v>
      </c>
      <c r="BM40" s="35" t="s">
        <v>32</v>
      </c>
      <c r="BN40" s="36" t="s">
        <v>32</v>
      </c>
      <c r="BO40" s="1"/>
      <c r="BP40" s="36" t="s">
        <v>100</v>
      </c>
      <c r="BQ40" s="54">
        <v>100.0</v>
      </c>
      <c r="BR40" s="39">
        <v>3.0</v>
      </c>
      <c r="BS40" s="35" t="s">
        <v>32</v>
      </c>
      <c r="BT40" s="36" t="s">
        <v>32</v>
      </c>
      <c r="BU40" s="1"/>
    </row>
    <row r="41">
      <c r="A41" s="1"/>
      <c r="B41" s="36" t="s">
        <v>959</v>
      </c>
      <c r="C41" s="54">
        <v>150.0</v>
      </c>
      <c r="D41" s="36">
        <v>5.0</v>
      </c>
      <c r="E41" s="35" t="s">
        <v>32</v>
      </c>
      <c r="F41" s="36" t="s">
        <v>32</v>
      </c>
      <c r="G41" s="1"/>
      <c r="H41" s="36" t="s">
        <v>960</v>
      </c>
      <c r="I41" s="54">
        <v>50.0</v>
      </c>
      <c r="J41" s="39">
        <v>9.0</v>
      </c>
      <c r="K41" s="35" t="s">
        <v>28</v>
      </c>
      <c r="L41" s="36" t="s">
        <v>32</v>
      </c>
      <c r="M41" s="1"/>
      <c r="N41" s="36" t="s">
        <v>961</v>
      </c>
      <c r="O41" s="54">
        <v>24.0</v>
      </c>
      <c r="P41" s="39">
        <v>8.0</v>
      </c>
      <c r="Q41" s="35" t="s">
        <v>28</v>
      </c>
      <c r="R41" s="36" t="s">
        <v>34</v>
      </c>
      <c r="S41" s="1"/>
      <c r="T41" s="36" t="s">
        <v>962</v>
      </c>
      <c r="U41" s="54">
        <v>1803.99</v>
      </c>
      <c r="V41" s="39">
        <v>3.0</v>
      </c>
      <c r="W41" s="35" t="s">
        <v>32</v>
      </c>
      <c r="X41" s="36" t="s">
        <v>32</v>
      </c>
      <c r="Y41" s="1"/>
      <c r="Z41" s="36" t="s">
        <v>963</v>
      </c>
      <c r="AA41" s="54">
        <v>155.0</v>
      </c>
      <c r="AB41" s="39">
        <v>5.0</v>
      </c>
      <c r="AC41" s="35" t="s">
        <v>28</v>
      </c>
      <c r="AD41" s="36" t="s">
        <v>34</v>
      </c>
      <c r="AE41" s="1"/>
      <c r="AF41" s="36" t="s">
        <v>281</v>
      </c>
      <c r="AG41" s="54">
        <v>200.0</v>
      </c>
      <c r="AH41" s="39">
        <v>10.0</v>
      </c>
      <c r="AI41" s="35" t="s">
        <v>34</v>
      </c>
      <c r="AJ41" s="36" t="s">
        <v>32</v>
      </c>
      <c r="AK41" s="1"/>
      <c r="AL41" s="36" t="s">
        <v>226</v>
      </c>
      <c r="AM41" s="54">
        <v>2768.37</v>
      </c>
      <c r="AN41" s="39">
        <v>10.0</v>
      </c>
      <c r="AO41" s="35" t="s">
        <v>32</v>
      </c>
      <c r="AP41" s="36" t="s">
        <v>32</v>
      </c>
      <c r="AQ41" s="1"/>
      <c r="AR41" s="36" t="s">
        <v>281</v>
      </c>
      <c r="AS41" s="54">
        <v>1739.4</v>
      </c>
      <c r="AT41" s="39">
        <v>10.0</v>
      </c>
      <c r="AU41" s="35" t="s">
        <v>34</v>
      </c>
      <c r="AV41" s="36" t="s">
        <v>32</v>
      </c>
      <c r="AW41" s="1"/>
      <c r="AX41" s="36" t="s">
        <v>893</v>
      </c>
      <c r="AY41" s="54">
        <v>23.0</v>
      </c>
      <c r="AZ41" s="39">
        <v>9.0</v>
      </c>
      <c r="BA41" s="35" t="s">
        <v>28</v>
      </c>
      <c r="BB41" s="36" t="s">
        <v>34</v>
      </c>
      <c r="BC41" s="1"/>
      <c r="BD41" s="36" t="s">
        <v>281</v>
      </c>
      <c r="BE41" s="54">
        <v>1531.85</v>
      </c>
      <c r="BF41" s="39">
        <v>10.0</v>
      </c>
      <c r="BG41" s="35" t="s">
        <v>28</v>
      </c>
      <c r="BH41" s="36" t="s">
        <v>32</v>
      </c>
      <c r="BI41" s="1"/>
      <c r="BJ41" s="36" t="s">
        <v>964</v>
      </c>
      <c r="BK41" s="54">
        <v>3.0</v>
      </c>
      <c r="BL41" s="39">
        <v>7.0</v>
      </c>
      <c r="BM41" s="35" t="s">
        <v>28</v>
      </c>
      <c r="BN41" s="36" t="s">
        <v>32</v>
      </c>
      <c r="BO41" s="1"/>
      <c r="BP41" s="36" t="s">
        <v>100</v>
      </c>
      <c r="BQ41" s="54">
        <v>100.0</v>
      </c>
      <c r="BR41" s="39">
        <v>4.0</v>
      </c>
      <c r="BS41" s="35" t="s">
        <v>32</v>
      </c>
      <c r="BT41" s="36" t="s">
        <v>32</v>
      </c>
      <c r="BU41" s="1"/>
    </row>
    <row r="42">
      <c r="A42" s="1"/>
      <c r="B42" s="36" t="s">
        <v>965</v>
      </c>
      <c r="C42" s="54">
        <v>140.0</v>
      </c>
      <c r="D42" s="36">
        <v>6.0</v>
      </c>
      <c r="E42" s="35" t="s">
        <v>32</v>
      </c>
      <c r="F42" s="36" t="s">
        <v>32</v>
      </c>
      <c r="G42" s="1"/>
      <c r="H42" s="36" t="s">
        <v>966</v>
      </c>
      <c r="I42" s="54">
        <v>3.7</v>
      </c>
      <c r="J42" s="39">
        <v>9.0</v>
      </c>
      <c r="K42" s="35" t="s">
        <v>28</v>
      </c>
      <c r="L42" s="36" t="s">
        <v>32</v>
      </c>
      <c r="M42" s="1"/>
      <c r="N42" s="36" t="s">
        <v>967</v>
      </c>
      <c r="O42" s="54">
        <v>12.0</v>
      </c>
      <c r="P42" s="39">
        <v>8.0</v>
      </c>
      <c r="Q42" s="35" t="s">
        <v>28</v>
      </c>
      <c r="R42" s="36" t="s">
        <v>34</v>
      </c>
      <c r="S42" s="1"/>
      <c r="T42" s="36" t="s">
        <v>968</v>
      </c>
      <c r="U42" s="54">
        <v>333.29</v>
      </c>
      <c r="V42" s="39">
        <v>3.0</v>
      </c>
      <c r="W42" s="35" t="s">
        <v>28</v>
      </c>
      <c r="X42" s="36" t="s">
        <v>32</v>
      </c>
      <c r="Y42" s="1"/>
      <c r="Z42" s="36" t="s">
        <v>355</v>
      </c>
      <c r="AA42" s="54">
        <v>25.0</v>
      </c>
      <c r="AB42" s="39">
        <v>6.0</v>
      </c>
      <c r="AC42" s="35" t="s">
        <v>32</v>
      </c>
      <c r="AD42" s="36" t="s">
        <v>32</v>
      </c>
      <c r="AE42" s="1"/>
      <c r="AF42" s="36" t="s">
        <v>969</v>
      </c>
      <c r="AG42" s="54">
        <v>40.0</v>
      </c>
      <c r="AH42" s="39">
        <v>6.0</v>
      </c>
      <c r="AI42" s="35" t="s">
        <v>28</v>
      </c>
      <c r="AJ42" s="36" t="s">
        <v>32</v>
      </c>
      <c r="AK42" s="1"/>
      <c r="AL42" s="36" t="s">
        <v>220</v>
      </c>
      <c r="AM42" s="54">
        <v>11190.98</v>
      </c>
      <c r="AN42" s="39">
        <v>10.0</v>
      </c>
      <c r="AO42" s="35" t="s">
        <v>28</v>
      </c>
      <c r="AP42" s="36" t="s">
        <v>32</v>
      </c>
      <c r="AQ42" s="1"/>
      <c r="AR42" s="36" t="s">
        <v>226</v>
      </c>
      <c r="AS42" s="54">
        <v>3655.8</v>
      </c>
      <c r="AT42" s="39">
        <v>10.0</v>
      </c>
      <c r="AU42" s="35" t="s">
        <v>32</v>
      </c>
      <c r="AV42" s="36" t="s">
        <v>32</v>
      </c>
      <c r="AW42" s="1"/>
      <c r="AX42" s="36" t="s">
        <v>970</v>
      </c>
      <c r="AY42" s="54">
        <v>55.0</v>
      </c>
      <c r="AZ42" s="39">
        <v>9.0</v>
      </c>
      <c r="BA42" s="35" t="s">
        <v>28</v>
      </c>
      <c r="BB42" s="36" t="s">
        <v>34</v>
      </c>
      <c r="BC42" s="1"/>
      <c r="BD42" s="36" t="s">
        <v>226</v>
      </c>
      <c r="BE42" s="54">
        <v>4845.45</v>
      </c>
      <c r="BF42" s="39">
        <v>10.0</v>
      </c>
      <c r="BG42" s="35" t="s">
        <v>28</v>
      </c>
      <c r="BH42" s="36" t="s">
        <v>32</v>
      </c>
      <c r="BI42" s="1"/>
      <c r="BJ42" s="36" t="s">
        <v>305</v>
      </c>
      <c r="BK42" s="54">
        <v>15.0</v>
      </c>
      <c r="BL42" s="39">
        <v>7.0</v>
      </c>
      <c r="BM42" s="35" t="s">
        <v>32</v>
      </c>
      <c r="BN42" s="36" t="s">
        <v>32</v>
      </c>
      <c r="BO42" s="1"/>
      <c r="BP42" s="36" t="s">
        <v>971</v>
      </c>
      <c r="BQ42" s="54">
        <v>70.0</v>
      </c>
      <c r="BR42" s="39">
        <v>5.0</v>
      </c>
      <c r="BS42" s="35" t="s">
        <v>32</v>
      </c>
      <c r="BT42" s="36" t="s">
        <v>32</v>
      </c>
      <c r="BU42" s="1"/>
    </row>
    <row r="43">
      <c r="A43" s="1"/>
      <c r="B43" s="36" t="s">
        <v>109</v>
      </c>
      <c r="C43" s="54">
        <v>64.0</v>
      </c>
      <c r="D43" s="36">
        <v>7.0</v>
      </c>
      <c r="E43" s="35" t="s">
        <v>28</v>
      </c>
      <c r="F43" s="36" t="s">
        <v>32</v>
      </c>
      <c r="G43" s="1"/>
      <c r="H43" s="36" t="s">
        <v>972</v>
      </c>
      <c r="I43" s="54">
        <v>35.0</v>
      </c>
      <c r="J43" s="39">
        <v>9.0</v>
      </c>
      <c r="K43" s="35" t="s">
        <v>32</v>
      </c>
      <c r="L43" s="36" t="s">
        <v>32</v>
      </c>
      <c r="M43" s="1"/>
      <c r="N43" s="36" t="s">
        <v>973</v>
      </c>
      <c r="O43" s="54">
        <v>8.0</v>
      </c>
      <c r="P43" s="39">
        <v>8.0</v>
      </c>
      <c r="Q43" s="35" t="s">
        <v>28</v>
      </c>
      <c r="R43" s="36" t="s">
        <v>34</v>
      </c>
      <c r="S43" s="1"/>
      <c r="T43" s="36" t="s">
        <v>100</v>
      </c>
      <c r="U43" s="54">
        <v>100.0</v>
      </c>
      <c r="V43" s="39">
        <v>3.0</v>
      </c>
      <c r="W43" s="35" t="s">
        <v>32</v>
      </c>
      <c r="X43" s="36" t="s">
        <v>32</v>
      </c>
      <c r="Y43" s="1"/>
      <c r="Z43" s="36" t="s">
        <v>100</v>
      </c>
      <c r="AA43" s="54">
        <v>100.0</v>
      </c>
      <c r="AB43" s="39">
        <v>8.0</v>
      </c>
      <c r="AC43" s="35" t="s">
        <v>32</v>
      </c>
      <c r="AD43" s="36" t="s">
        <v>32</v>
      </c>
      <c r="AE43" s="1"/>
      <c r="AF43" s="36" t="s">
        <v>974</v>
      </c>
      <c r="AG43" s="54">
        <v>3.0</v>
      </c>
      <c r="AH43" s="39">
        <v>10.0</v>
      </c>
      <c r="AI43" s="35" t="s">
        <v>32</v>
      </c>
      <c r="AJ43" s="36" t="s">
        <v>32</v>
      </c>
      <c r="AK43" s="1"/>
      <c r="AL43" s="36" t="s">
        <v>109</v>
      </c>
      <c r="AM43" s="54">
        <v>49.0</v>
      </c>
      <c r="AN43" s="39">
        <v>11.0</v>
      </c>
      <c r="AO43" s="35" t="s">
        <v>28</v>
      </c>
      <c r="AP43" s="36" t="s">
        <v>32</v>
      </c>
      <c r="AQ43" s="1"/>
      <c r="AR43" s="36" t="s">
        <v>975</v>
      </c>
      <c r="AS43" s="54">
        <v>20.0</v>
      </c>
      <c r="AT43" s="39">
        <v>10.0</v>
      </c>
      <c r="AU43" s="35" t="s">
        <v>28</v>
      </c>
      <c r="AV43" s="36" t="s">
        <v>32</v>
      </c>
      <c r="AW43" s="1"/>
      <c r="AX43" s="36" t="s">
        <v>110</v>
      </c>
      <c r="AY43" s="54">
        <v>10.0</v>
      </c>
      <c r="AZ43" s="39">
        <v>10.0</v>
      </c>
      <c r="BA43" s="35" t="s">
        <v>28</v>
      </c>
      <c r="BB43" s="36" t="s">
        <v>34</v>
      </c>
      <c r="BC43" s="1"/>
      <c r="BD43" s="36" t="s">
        <v>115</v>
      </c>
      <c r="BE43" s="54">
        <v>3.0</v>
      </c>
      <c r="BF43" s="39">
        <v>10.0</v>
      </c>
      <c r="BG43" s="35" t="s">
        <v>32</v>
      </c>
      <c r="BH43" s="36" t="s">
        <v>32</v>
      </c>
      <c r="BI43" s="1"/>
      <c r="BJ43" s="36" t="s">
        <v>976</v>
      </c>
      <c r="BK43" s="54">
        <v>15.0</v>
      </c>
      <c r="BL43" s="39">
        <v>7.0</v>
      </c>
      <c r="BM43" s="35" t="s">
        <v>32</v>
      </c>
      <c r="BN43" s="36" t="s">
        <v>32</v>
      </c>
      <c r="BO43" s="1"/>
      <c r="BP43" s="36" t="s">
        <v>950</v>
      </c>
      <c r="BQ43" s="54">
        <v>10.0</v>
      </c>
      <c r="BR43" s="39">
        <v>5.0</v>
      </c>
      <c r="BS43" s="35" t="s">
        <v>32</v>
      </c>
      <c r="BT43" s="36" t="s">
        <v>32</v>
      </c>
      <c r="BU43" s="1"/>
    </row>
    <row r="44">
      <c r="A44" s="1"/>
      <c r="B44" s="36" t="s">
        <v>239</v>
      </c>
      <c r="C44" s="54">
        <v>25.0</v>
      </c>
      <c r="D44" s="36">
        <v>7.0</v>
      </c>
      <c r="E44" s="35" t="s">
        <v>28</v>
      </c>
      <c r="F44" s="36" t="s">
        <v>34</v>
      </c>
      <c r="G44" s="1"/>
      <c r="H44" s="36" t="s">
        <v>689</v>
      </c>
      <c r="I44" s="54">
        <f>268+52</f>
        <v>320</v>
      </c>
      <c r="J44" s="39">
        <v>9.0</v>
      </c>
      <c r="K44" s="35" t="s">
        <v>28</v>
      </c>
      <c r="L44" s="36" t="s">
        <v>34</v>
      </c>
      <c r="M44" s="1"/>
      <c r="N44" s="36" t="s">
        <v>618</v>
      </c>
      <c r="O44" s="54">
        <v>45.0</v>
      </c>
      <c r="P44" s="39">
        <v>9.0</v>
      </c>
      <c r="Q44" s="35" t="s">
        <v>28</v>
      </c>
      <c r="R44" s="36" t="s">
        <v>34</v>
      </c>
      <c r="S44" s="1"/>
      <c r="T44" s="36" t="s">
        <v>313</v>
      </c>
      <c r="U44" s="54">
        <v>1.0</v>
      </c>
      <c r="V44" s="39">
        <v>3.0</v>
      </c>
      <c r="W44" s="35" t="s">
        <v>32</v>
      </c>
      <c r="X44" s="36" t="s">
        <v>32</v>
      </c>
      <c r="Y44" s="1"/>
      <c r="Z44" s="36" t="s">
        <v>977</v>
      </c>
      <c r="AA44" s="54">
        <v>78.0</v>
      </c>
      <c r="AB44" s="39">
        <v>9.0</v>
      </c>
      <c r="AC44" s="35" t="s">
        <v>28</v>
      </c>
      <c r="AD44" s="36" t="s">
        <v>32</v>
      </c>
      <c r="AE44" s="1"/>
      <c r="AF44" s="36" t="s">
        <v>978</v>
      </c>
      <c r="AG44" s="54">
        <v>25.5</v>
      </c>
      <c r="AH44" s="39">
        <v>10.0</v>
      </c>
      <c r="AI44" s="35" t="s">
        <v>32</v>
      </c>
      <c r="AJ44" s="36" t="s">
        <v>32</v>
      </c>
      <c r="AK44" s="1"/>
      <c r="AL44" s="36" t="s">
        <v>979</v>
      </c>
      <c r="AM44" s="54">
        <v>65.9</v>
      </c>
      <c r="AN44" s="39">
        <v>11.0</v>
      </c>
      <c r="AO44" s="35" t="s">
        <v>32</v>
      </c>
      <c r="AP44" s="36" t="s">
        <v>32</v>
      </c>
      <c r="AQ44" s="1"/>
      <c r="AR44" s="36" t="s">
        <v>974</v>
      </c>
      <c r="AS44" s="54">
        <v>64.69</v>
      </c>
      <c r="AT44" s="39">
        <v>10.0</v>
      </c>
      <c r="AU44" s="35" t="s">
        <v>32</v>
      </c>
      <c r="AV44" s="36" t="s">
        <v>32</v>
      </c>
      <c r="AW44" s="1"/>
      <c r="AX44" s="36" t="s">
        <v>618</v>
      </c>
      <c r="AY44" s="54">
        <v>30.0</v>
      </c>
      <c r="AZ44" s="39">
        <v>10.0</v>
      </c>
      <c r="BA44" s="35" t="s">
        <v>28</v>
      </c>
      <c r="BB44" s="36" t="s">
        <v>34</v>
      </c>
      <c r="BC44" s="1"/>
      <c r="BD44" s="36" t="s">
        <v>114</v>
      </c>
      <c r="BE44" s="54">
        <v>65.9</v>
      </c>
      <c r="BF44" s="39">
        <v>10.0</v>
      </c>
      <c r="BG44" s="35" t="s">
        <v>32</v>
      </c>
      <c r="BH44" s="36" t="s">
        <v>32</v>
      </c>
      <c r="BI44" s="1"/>
      <c r="BJ44" s="36" t="s">
        <v>980</v>
      </c>
      <c r="BK44" s="54">
        <v>5.0</v>
      </c>
      <c r="BL44" s="39">
        <v>7.0</v>
      </c>
      <c r="BM44" s="35" t="s">
        <v>28</v>
      </c>
      <c r="BN44" s="36" t="s">
        <v>32</v>
      </c>
      <c r="BO44" s="1"/>
      <c r="BP44" s="36" t="s">
        <v>218</v>
      </c>
      <c r="BQ44" s="54">
        <v>25.0</v>
      </c>
      <c r="BR44" s="39">
        <v>5.0</v>
      </c>
      <c r="BS44" s="35" t="s">
        <v>32</v>
      </c>
      <c r="BT44" s="36" t="s">
        <v>32</v>
      </c>
      <c r="BU44" s="1"/>
    </row>
    <row r="45">
      <c r="A45" s="1"/>
      <c r="B45" s="36" t="s">
        <v>981</v>
      </c>
      <c r="C45" s="54">
        <v>95.95</v>
      </c>
      <c r="D45" s="36">
        <v>10.0</v>
      </c>
      <c r="E45" s="35" t="s">
        <v>28</v>
      </c>
      <c r="F45" s="36" t="s">
        <v>32</v>
      </c>
      <c r="G45" s="1"/>
      <c r="H45" s="36" t="s">
        <v>601</v>
      </c>
      <c r="I45" s="54">
        <v>100.0</v>
      </c>
      <c r="J45" s="39">
        <v>9.0</v>
      </c>
      <c r="K45" s="35" t="s">
        <v>28</v>
      </c>
      <c r="L45" s="36" t="s">
        <v>34</v>
      </c>
      <c r="M45" s="1"/>
      <c r="N45" s="36" t="s">
        <v>982</v>
      </c>
      <c r="O45" s="54">
        <v>32.0</v>
      </c>
      <c r="P45" s="39">
        <v>9.0</v>
      </c>
      <c r="Q45" s="35" t="s">
        <v>28</v>
      </c>
      <c r="R45" s="36" t="s">
        <v>34</v>
      </c>
      <c r="S45" s="1"/>
      <c r="T45" s="36" t="s">
        <v>695</v>
      </c>
      <c r="U45" s="54">
        <v>11.0</v>
      </c>
      <c r="V45" s="39">
        <v>3.0</v>
      </c>
      <c r="W45" s="35" t="s">
        <v>28</v>
      </c>
      <c r="X45" s="36" t="s">
        <v>32</v>
      </c>
      <c r="Y45" s="1"/>
      <c r="Z45" s="36" t="s">
        <v>547</v>
      </c>
      <c r="AA45" s="54">
        <v>125.0</v>
      </c>
      <c r="AB45" s="39">
        <v>9.0</v>
      </c>
      <c r="AC45" s="35" t="s">
        <v>28</v>
      </c>
      <c r="AD45" s="36" t="s">
        <v>32</v>
      </c>
      <c r="AE45" s="1"/>
      <c r="AF45" s="36" t="s">
        <v>983</v>
      </c>
      <c r="AG45" s="54">
        <v>76.8</v>
      </c>
      <c r="AH45" s="39">
        <v>10.0</v>
      </c>
      <c r="AI45" s="35" t="s">
        <v>32</v>
      </c>
      <c r="AJ45" s="36" t="s">
        <v>32</v>
      </c>
      <c r="AK45" s="1"/>
      <c r="AL45" s="36" t="s">
        <v>815</v>
      </c>
      <c r="AM45" s="54">
        <v>150.0</v>
      </c>
      <c r="AN45" s="39">
        <v>12.0</v>
      </c>
      <c r="AO45" s="35" t="s">
        <v>28</v>
      </c>
      <c r="AP45" s="36" t="s">
        <v>32</v>
      </c>
      <c r="AQ45" s="1"/>
      <c r="AR45" s="36" t="s">
        <v>979</v>
      </c>
      <c r="AS45" s="54">
        <v>65.9</v>
      </c>
      <c r="AT45" s="39">
        <v>10.0</v>
      </c>
      <c r="AU45" s="35" t="s">
        <v>32</v>
      </c>
      <c r="AV45" s="36" t="s">
        <v>32</v>
      </c>
      <c r="AW45" s="1"/>
      <c r="AX45" s="36" t="s">
        <v>984</v>
      </c>
      <c r="AY45" s="54">
        <v>25.0</v>
      </c>
      <c r="AZ45" s="39">
        <v>10.0</v>
      </c>
      <c r="BA45" s="35" t="s">
        <v>28</v>
      </c>
      <c r="BB45" s="36" t="s">
        <v>34</v>
      </c>
      <c r="BC45" s="1"/>
      <c r="BD45" s="36" t="s">
        <v>109</v>
      </c>
      <c r="BE45" s="54">
        <v>36.0</v>
      </c>
      <c r="BF45" s="39">
        <v>10.0</v>
      </c>
      <c r="BG45" s="35" t="s">
        <v>28</v>
      </c>
      <c r="BH45" s="36" t="s">
        <v>34</v>
      </c>
      <c r="BI45" s="1"/>
      <c r="BJ45" s="36" t="s">
        <v>985</v>
      </c>
      <c r="BK45" s="54">
        <v>200.0</v>
      </c>
      <c r="BL45" s="39">
        <v>7.0</v>
      </c>
      <c r="BM45" s="35" t="s">
        <v>28</v>
      </c>
      <c r="BN45" s="36" t="s">
        <v>34</v>
      </c>
      <c r="BO45" s="1"/>
      <c r="BP45" s="36" t="s">
        <v>226</v>
      </c>
      <c r="BQ45" s="54">
        <v>4465.4</v>
      </c>
      <c r="BR45" s="39">
        <v>10.0</v>
      </c>
      <c r="BS45" s="35" t="s">
        <v>32</v>
      </c>
      <c r="BT45" s="36" t="s">
        <v>32</v>
      </c>
      <c r="BU45" s="1"/>
    </row>
    <row r="46">
      <c r="A46" s="1"/>
      <c r="B46" s="36" t="s">
        <v>986</v>
      </c>
      <c r="C46" s="54">
        <v>1982.12</v>
      </c>
      <c r="D46" s="36">
        <v>10.0</v>
      </c>
      <c r="E46" s="35" t="s">
        <v>32</v>
      </c>
      <c r="F46" s="36" t="s">
        <v>32</v>
      </c>
      <c r="G46" s="1"/>
      <c r="H46" s="36" t="s">
        <v>978</v>
      </c>
      <c r="I46" s="54">
        <v>25.5</v>
      </c>
      <c r="J46" s="39">
        <v>10.0</v>
      </c>
      <c r="K46" s="35" t="s">
        <v>32</v>
      </c>
      <c r="L46" s="36" t="s">
        <v>32</v>
      </c>
      <c r="M46" s="1"/>
      <c r="N46" s="36" t="s">
        <v>957</v>
      </c>
      <c r="O46" s="54">
        <v>12.0</v>
      </c>
      <c r="P46" s="39">
        <v>10.0</v>
      </c>
      <c r="Q46" s="35" t="s">
        <v>28</v>
      </c>
      <c r="R46" s="36" t="s">
        <v>34</v>
      </c>
      <c r="S46" s="1"/>
      <c r="T46" s="36" t="s">
        <v>987</v>
      </c>
      <c r="U46" s="54">
        <v>250.0</v>
      </c>
      <c r="V46" s="39">
        <v>4.0</v>
      </c>
      <c r="W46" s="35" t="s">
        <v>32</v>
      </c>
      <c r="X46" s="36" t="s">
        <v>32</v>
      </c>
      <c r="Y46" s="1"/>
      <c r="Z46" s="36" t="s">
        <v>695</v>
      </c>
      <c r="AA46" s="54">
        <v>232.0</v>
      </c>
      <c r="AB46" s="39">
        <v>9.0</v>
      </c>
      <c r="AC46" s="35" t="s">
        <v>32</v>
      </c>
      <c r="AD46" s="36" t="s">
        <v>32</v>
      </c>
      <c r="AE46" s="1"/>
      <c r="AF46" s="36" t="s">
        <v>218</v>
      </c>
      <c r="AG46" s="54">
        <v>25.0</v>
      </c>
      <c r="AH46" s="39">
        <v>11.0</v>
      </c>
      <c r="AI46" s="35" t="s">
        <v>32</v>
      </c>
      <c r="AJ46" s="36" t="s">
        <v>32</v>
      </c>
      <c r="AK46" s="1"/>
      <c r="AL46" s="36" t="s">
        <v>988</v>
      </c>
      <c r="AM46" s="54">
        <v>390.0</v>
      </c>
      <c r="AN46" s="39">
        <v>14.0</v>
      </c>
      <c r="AO46" s="35" t="s">
        <v>32</v>
      </c>
      <c r="AP46" s="36" t="s">
        <v>32</v>
      </c>
      <c r="AQ46" s="1"/>
      <c r="AR46" s="36" t="s">
        <v>854</v>
      </c>
      <c r="AS46" s="54">
        <v>20.0</v>
      </c>
      <c r="AT46" s="39">
        <v>12.0</v>
      </c>
      <c r="AU46" s="35" t="s">
        <v>28</v>
      </c>
      <c r="AV46" s="36" t="s">
        <v>34</v>
      </c>
      <c r="AW46" s="1"/>
      <c r="AX46" s="36" t="s">
        <v>226</v>
      </c>
      <c r="AY46" s="54">
        <v>5460.85</v>
      </c>
      <c r="AZ46" s="39">
        <v>10.0</v>
      </c>
      <c r="BA46" s="35" t="s">
        <v>32</v>
      </c>
      <c r="BB46" s="36" t="s">
        <v>32</v>
      </c>
      <c r="BC46" s="1"/>
      <c r="BD46" s="36" t="s">
        <v>684</v>
      </c>
      <c r="BE46" s="54">
        <v>125.0</v>
      </c>
      <c r="BF46" s="39">
        <v>10.0</v>
      </c>
      <c r="BG46" s="35" t="s">
        <v>28</v>
      </c>
      <c r="BH46" s="36" t="s">
        <v>34</v>
      </c>
      <c r="BI46" s="1"/>
      <c r="BJ46" s="36" t="s">
        <v>218</v>
      </c>
      <c r="BK46" s="54">
        <v>25.0</v>
      </c>
      <c r="BL46" s="39">
        <v>8.0</v>
      </c>
      <c r="BM46" s="35" t="s">
        <v>32</v>
      </c>
      <c r="BN46" s="36" t="s">
        <v>32</v>
      </c>
      <c r="BO46" s="1"/>
      <c r="BP46" s="36" t="s">
        <v>281</v>
      </c>
      <c r="BQ46" s="54">
        <v>1410.74</v>
      </c>
      <c r="BR46" s="39">
        <v>10.0</v>
      </c>
      <c r="BS46" s="35" t="s">
        <v>34</v>
      </c>
      <c r="BT46" s="36" t="s">
        <v>32</v>
      </c>
      <c r="BU46" s="1"/>
    </row>
    <row r="47">
      <c r="A47" s="1"/>
      <c r="B47" s="36" t="s">
        <v>121</v>
      </c>
      <c r="C47" s="54">
        <v>1182.77</v>
      </c>
      <c r="D47" s="36">
        <v>10.0</v>
      </c>
      <c r="E47" s="35" t="s">
        <v>28</v>
      </c>
      <c r="F47" s="36" t="s">
        <v>32</v>
      </c>
      <c r="G47" s="1"/>
      <c r="H47" s="36" t="s">
        <v>989</v>
      </c>
      <c r="I47" s="54">
        <v>3.0</v>
      </c>
      <c r="J47" s="39">
        <v>10.0</v>
      </c>
      <c r="K47" s="35" t="s">
        <v>32</v>
      </c>
      <c r="L47" s="36" t="s">
        <v>32</v>
      </c>
      <c r="M47" s="1"/>
      <c r="N47" s="36" t="s">
        <v>226</v>
      </c>
      <c r="O47" s="54">
        <v>3619.14</v>
      </c>
      <c r="P47" s="39">
        <v>10.0</v>
      </c>
      <c r="Q47" s="35" t="s">
        <v>32</v>
      </c>
      <c r="R47" s="36" t="s">
        <v>32</v>
      </c>
      <c r="S47" s="1"/>
      <c r="T47" s="61" t="s">
        <v>990</v>
      </c>
      <c r="U47" s="54">
        <v>110.0</v>
      </c>
      <c r="V47" s="39">
        <v>4.0</v>
      </c>
      <c r="W47" s="35" t="s">
        <v>34</v>
      </c>
      <c r="X47" s="36" t="s">
        <v>32</v>
      </c>
      <c r="Y47" s="1"/>
      <c r="Z47" s="36" t="s">
        <v>313</v>
      </c>
      <c r="AA47" s="54">
        <v>5.0</v>
      </c>
      <c r="AB47" s="39">
        <v>9.0</v>
      </c>
      <c r="AC47" s="35" t="s">
        <v>32</v>
      </c>
      <c r="AD47" s="36" t="s">
        <v>32</v>
      </c>
      <c r="AE47" s="1"/>
      <c r="AF47" s="61" t="s">
        <v>991</v>
      </c>
      <c r="AG47" s="54">
        <v>30.0</v>
      </c>
      <c r="AH47" s="39">
        <v>11.0</v>
      </c>
      <c r="AI47" s="35" t="s">
        <v>32</v>
      </c>
      <c r="AJ47" s="36" t="s">
        <v>32</v>
      </c>
      <c r="AK47" s="1"/>
      <c r="AL47" s="36" t="s">
        <v>100</v>
      </c>
      <c r="AM47" s="54">
        <v>100.0</v>
      </c>
      <c r="AN47" s="39">
        <v>17.0</v>
      </c>
      <c r="AO47" s="35" t="s">
        <v>32</v>
      </c>
      <c r="AP47" s="36" t="s">
        <v>32</v>
      </c>
      <c r="AQ47" s="1"/>
      <c r="AR47" s="36" t="s">
        <v>100</v>
      </c>
      <c r="AS47" s="54">
        <v>100.0</v>
      </c>
      <c r="AT47" s="39">
        <v>14.0</v>
      </c>
      <c r="AU47" s="35" t="s">
        <v>32</v>
      </c>
      <c r="AV47" s="36" t="s">
        <v>32</v>
      </c>
      <c r="AW47" s="1"/>
      <c r="AX47" s="36" t="s">
        <v>220</v>
      </c>
      <c r="AY47" s="54">
        <v>8709.65</v>
      </c>
      <c r="AZ47" s="39">
        <v>10.0</v>
      </c>
      <c r="BA47" s="35" t="s">
        <v>28</v>
      </c>
      <c r="BB47" s="36" t="s">
        <v>32</v>
      </c>
      <c r="BC47" s="1"/>
      <c r="BD47" s="36" t="s">
        <v>110</v>
      </c>
      <c r="BE47" s="54">
        <v>20.0</v>
      </c>
      <c r="BF47" s="39">
        <v>10.0</v>
      </c>
      <c r="BG47" s="35" t="s">
        <v>28</v>
      </c>
      <c r="BH47" s="36" t="s">
        <v>34</v>
      </c>
      <c r="BI47" s="1"/>
      <c r="BJ47" s="36" t="s">
        <v>115</v>
      </c>
      <c r="BK47" s="54">
        <v>3.0</v>
      </c>
      <c r="BL47" s="39">
        <v>10.0</v>
      </c>
      <c r="BM47" s="35" t="s">
        <v>32</v>
      </c>
      <c r="BN47" s="36" t="s">
        <v>32</v>
      </c>
      <c r="BO47" s="1"/>
      <c r="BP47" s="36" t="s">
        <v>220</v>
      </c>
      <c r="BQ47" s="54">
        <v>16161.15</v>
      </c>
      <c r="BR47" s="39">
        <v>10.0</v>
      </c>
      <c r="BS47" s="35" t="s">
        <v>28</v>
      </c>
      <c r="BT47" s="36" t="s">
        <v>32</v>
      </c>
      <c r="BU47" s="1"/>
    </row>
    <row r="48">
      <c r="A48" s="1"/>
      <c r="B48" s="36" t="s">
        <v>346</v>
      </c>
      <c r="C48" s="54">
        <v>1459.6</v>
      </c>
      <c r="D48" s="36">
        <v>10.0</v>
      </c>
      <c r="E48" s="35" t="s">
        <v>32</v>
      </c>
      <c r="F48" s="36" t="s">
        <v>32</v>
      </c>
      <c r="G48" s="1"/>
      <c r="H48" s="36" t="s">
        <v>983</v>
      </c>
      <c r="I48" s="54">
        <v>119.8</v>
      </c>
      <c r="J48" s="39">
        <v>10.0</v>
      </c>
      <c r="K48" s="35" t="s">
        <v>32</v>
      </c>
      <c r="L48" s="36" t="s">
        <v>32</v>
      </c>
      <c r="M48" s="1"/>
      <c r="N48" s="36" t="s">
        <v>220</v>
      </c>
      <c r="O48" s="54">
        <v>3458.89</v>
      </c>
      <c r="P48" s="39">
        <v>10.0</v>
      </c>
      <c r="Q48" s="35" t="s">
        <v>32</v>
      </c>
      <c r="R48" s="36" t="s">
        <v>32</v>
      </c>
      <c r="S48" s="1"/>
      <c r="T48" s="36" t="s">
        <v>109</v>
      </c>
      <c r="U48" s="54">
        <v>40.0</v>
      </c>
      <c r="V48" s="39">
        <v>4.0</v>
      </c>
      <c r="W48" s="35" t="s">
        <v>28</v>
      </c>
      <c r="X48" s="36" t="s">
        <v>34</v>
      </c>
      <c r="Y48" s="1"/>
      <c r="Z48" s="36" t="s">
        <v>110</v>
      </c>
      <c r="AA48" s="54">
        <v>10.0</v>
      </c>
      <c r="AB48" s="39">
        <v>9.0</v>
      </c>
      <c r="AC48" s="35" t="s">
        <v>28</v>
      </c>
      <c r="AD48" s="36" t="s">
        <v>32</v>
      </c>
      <c r="AE48" s="1"/>
      <c r="AF48" s="36" t="s">
        <v>100</v>
      </c>
      <c r="AG48" s="54">
        <v>200.0</v>
      </c>
      <c r="AH48" s="39">
        <v>12.0</v>
      </c>
      <c r="AI48" s="35" t="s">
        <v>32</v>
      </c>
      <c r="AJ48" s="36" t="s">
        <v>32</v>
      </c>
      <c r="AK48" s="1"/>
      <c r="AL48" s="36" t="s">
        <v>992</v>
      </c>
      <c r="AM48" s="54">
        <v>3.91</v>
      </c>
      <c r="AN48" s="39">
        <v>18.0</v>
      </c>
      <c r="AO48" s="35" t="s">
        <v>32</v>
      </c>
      <c r="AP48" s="36" t="s">
        <v>32</v>
      </c>
      <c r="AQ48" s="1"/>
      <c r="AR48" s="36" t="s">
        <v>993</v>
      </c>
      <c r="AS48" s="54">
        <v>20.0</v>
      </c>
      <c r="AT48" s="39">
        <v>15.0</v>
      </c>
      <c r="AU48" s="35" t="s">
        <v>28</v>
      </c>
      <c r="AV48" s="36" t="s">
        <v>32</v>
      </c>
      <c r="AW48" s="1"/>
      <c r="AX48" s="36" t="s">
        <v>989</v>
      </c>
      <c r="AY48" s="54">
        <v>100.0</v>
      </c>
      <c r="AZ48" s="39">
        <v>10.0</v>
      </c>
      <c r="BA48" s="35" t="s">
        <v>32</v>
      </c>
      <c r="BB48" s="36" t="s">
        <v>32</v>
      </c>
      <c r="BC48" s="1"/>
      <c r="BD48" s="36" t="s">
        <v>994</v>
      </c>
      <c r="BE48" s="54">
        <v>15.99</v>
      </c>
      <c r="BF48" s="39">
        <v>11.0</v>
      </c>
      <c r="BG48" s="35" t="s">
        <v>32</v>
      </c>
      <c r="BH48" s="36" t="s">
        <v>32</v>
      </c>
      <c r="BI48" s="1"/>
      <c r="BJ48" s="36" t="s">
        <v>114</v>
      </c>
      <c r="BK48" s="54">
        <v>6.0</v>
      </c>
      <c r="BL48" s="39">
        <v>10.0</v>
      </c>
      <c r="BM48" s="35" t="s">
        <v>32</v>
      </c>
      <c r="BN48" s="36" t="s">
        <v>32</v>
      </c>
      <c r="BO48" s="1"/>
      <c r="BP48" s="36" t="s">
        <v>995</v>
      </c>
      <c r="BQ48" s="54">
        <v>30.0</v>
      </c>
      <c r="BR48" s="39">
        <v>9.0</v>
      </c>
      <c r="BS48" s="35" t="s">
        <v>32</v>
      </c>
      <c r="BT48" s="36" t="s">
        <v>32</v>
      </c>
      <c r="BU48" s="1"/>
    </row>
    <row r="49">
      <c r="A49" s="1"/>
      <c r="B49" s="36" t="s">
        <v>978</v>
      </c>
      <c r="C49" s="54">
        <v>25.5</v>
      </c>
      <c r="D49" s="36">
        <v>10.0</v>
      </c>
      <c r="E49" s="35" t="s">
        <v>32</v>
      </c>
      <c r="F49" s="36" t="s">
        <v>32</v>
      </c>
      <c r="G49" s="1"/>
      <c r="H49" s="36" t="s">
        <v>226</v>
      </c>
      <c r="I49" s="54">
        <v>2422.08</v>
      </c>
      <c r="J49" s="39">
        <v>10.0</v>
      </c>
      <c r="K49" s="35" t="s">
        <v>32</v>
      </c>
      <c r="L49" s="36" t="s">
        <v>32</v>
      </c>
      <c r="M49" s="1"/>
      <c r="N49" s="36" t="s">
        <v>978</v>
      </c>
      <c r="O49" s="54">
        <v>25.5</v>
      </c>
      <c r="P49" s="39">
        <v>10.0</v>
      </c>
      <c r="Q49" s="35" t="s">
        <v>32</v>
      </c>
      <c r="R49" s="36" t="s">
        <v>32</v>
      </c>
      <c r="S49" s="1"/>
      <c r="T49" s="36" t="s">
        <v>224</v>
      </c>
      <c r="U49" s="54">
        <v>238.94</v>
      </c>
      <c r="V49" s="39">
        <v>9.0</v>
      </c>
      <c r="W49" s="35" t="s">
        <v>28</v>
      </c>
      <c r="X49" s="36" t="s">
        <v>34</v>
      </c>
      <c r="Y49" s="1"/>
      <c r="Z49" s="36" t="s">
        <v>313</v>
      </c>
      <c r="AA49" s="54">
        <v>5.0</v>
      </c>
      <c r="AB49" s="39">
        <v>9.0</v>
      </c>
      <c r="AC49" s="35" t="s">
        <v>32</v>
      </c>
      <c r="AD49" s="36" t="s">
        <v>32</v>
      </c>
      <c r="AE49" s="1"/>
      <c r="AF49" s="36" t="s">
        <v>695</v>
      </c>
      <c r="AG49" s="54">
        <v>54.0</v>
      </c>
      <c r="AH49" s="39">
        <v>12.0</v>
      </c>
      <c r="AI49" s="35" t="s">
        <v>28</v>
      </c>
      <c r="AJ49" s="36" t="s">
        <v>32</v>
      </c>
      <c r="AK49" s="1"/>
      <c r="AL49" s="36" t="s">
        <v>218</v>
      </c>
      <c r="AM49" s="54">
        <v>25.0</v>
      </c>
      <c r="AN49" s="39">
        <v>19.0</v>
      </c>
      <c r="AO49" s="35" t="s">
        <v>32</v>
      </c>
      <c r="AP49" s="36" t="s">
        <v>32</v>
      </c>
      <c r="AQ49" s="1"/>
      <c r="AR49" s="36" t="s">
        <v>996</v>
      </c>
      <c r="AS49" s="54">
        <v>120.0</v>
      </c>
      <c r="AT49" s="39">
        <v>15.0</v>
      </c>
      <c r="AU49" s="35" t="s">
        <v>32</v>
      </c>
      <c r="AV49" s="36" t="s">
        <v>32</v>
      </c>
      <c r="AW49" s="1"/>
      <c r="AX49" s="36" t="s">
        <v>983</v>
      </c>
      <c r="AY49" s="54">
        <v>65.9</v>
      </c>
      <c r="AZ49" s="39">
        <v>10.0</v>
      </c>
      <c r="BA49" s="35" t="s">
        <v>32</v>
      </c>
      <c r="BB49" s="36" t="s">
        <v>32</v>
      </c>
      <c r="BC49" s="1"/>
      <c r="BD49" s="36" t="s">
        <v>997</v>
      </c>
      <c r="BE49" s="54">
        <v>50.0</v>
      </c>
      <c r="BF49" s="39">
        <v>11.0</v>
      </c>
      <c r="BG49" s="35" t="s">
        <v>28</v>
      </c>
      <c r="BH49" s="36" t="s">
        <v>34</v>
      </c>
      <c r="BI49" s="1"/>
      <c r="BJ49" s="36" t="s">
        <v>998</v>
      </c>
      <c r="BK49" s="54">
        <v>50.0</v>
      </c>
      <c r="BL49" s="39">
        <v>10.0</v>
      </c>
      <c r="BM49" s="35" t="s">
        <v>28</v>
      </c>
      <c r="BN49" s="36" t="s">
        <v>34</v>
      </c>
      <c r="BO49" s="1"/>
      <c r="BP49" s="36" t="s">
        <v>115</v>
      </c>
      <c r="BQ49" s="54">
        <v>3.0</v>
      </c>
      <c r="BR49" s="39">
        <v>10.0</v>
      </c>
      <c r="BS49" s="35" t="s">
        <v>32</v>
      </c>
      <c r="BT49" s="36" t="s">
        <v>32</v>
      </c>
      <c r="BU49" s="1"/>
    </row>
    <row r="50">
      <c r="A50" s="1"/>
      <c r="B50" s="36" t="s">
        <v>989</v>
      </c>
      <c r="C50" s="54">
        <v>3.0</v>
      </c>
      <c r="D50" s="36">
        <v>10.0</v>
      </c>
      <c r="E50" s="35" t="s">
        <v>32</v>
      </c>
      <c r="F50" s="36" t="s">
        <v>32</v>
      </c>
      <c r="G50" s="1"/>
      <c r="H50" s="36" t="s">
        <v>999</v>
      </c>
      <c r="I50" s="54">
        <v>286.89</v>
      </c>
      <c r="J50" s="39">
        <v>10.0</v>
      </c>
      <c r="K50" s="35" t="s">
        <v>30</v>
      </c>
      <c r="L50" s="36" t="s">
        <v>32</v>
      </c>
      <c r="M50" s="1"/>
      <c r="N50" s="36" t="s">
        <v>115</v>
      </c>
      <c r="O50" s="54">
        <v>3.0</v>
      </c>
      <c r="P50" s="39">
        <v>10.0</v>
      </c>
      <c r="Q50" s="35" t="s">
        <v>32</v>
      </c>
      <c r="R50" s="36" t="s">
        <v>32</v>
      </c>
      <c r="S50" s="1"/>
      <c r="T50" s="36" t="s">
        <v>552</v>
      </c>
      <c r="U50" s="54">
        <v>30.0</v>
      </c>
      <c r="V50" s="39">
        <v>9.0</v>
      </c>
      <c r="W50" s="35" t="s">
        <v>28</v>
      </c>
      <c r="X50" s="36" t="s">
        <v>34</v>
      </c>
      <c r="Y50" s="1"/>
      <c r="Z50" s="36" t="s">
        <v>226</v>
      </c>
      <c r="AA50" s="54">
        <v>1638.51</v>
      </c>
      <c r="AB50" s="39">
        <v>10.0</v>
      </c>
      <c r="AC50" s="35" t="s">
        <v>32</v>
      </c>
      <c r="AD50" s="36" t="s">
        <v>32</v>
      </c>
      <c r="AE50" s="1"/>
      <c r="AF50" s="36" t="s">
        <v>1000</v>
      </c>
      <c r="AG50" s="54">
        <v>90.0</v>
      </c>
      <c r="AH50" s="39">
        <v>13.0</v>
      </c>
      <c r="AI50" s="35" t="s">
        <v>28</v>
      </c>
      <c r="AJ50" s="36" t="s">
        <v>32</v>
      </c>
      <c r="AK50" s="1"/>
      <c r="AL50" s="36" t="s">
        <v>480</v>
      </c>
      <c r="AM50" s="54">
        <v>140.0</v>
      </c>
      <c r="AN50" s="39">
        <v>19.0</v>
      </c>
      <c r="AO50" s="35" t="s">
        <v>32</v>
      </c>
      <c r="AP50" s="36" t="s">
        <v>32</v>
      </c>
      <c r="AQ50" s="1"/>
      <c r="AR50" s="36" t="s">
        <v>993</v>
      </c>
      <c r="AS50" s="54">
        <v>73.0</v>
      </c>
      <c r="AT50" s="39">
        <v>15.0</v>
      </c>
      <c r="AU50" s="35" t="s">
        <v>28</v>
      </c>
      <c r="AV50" s="36" t="s">
        <v>32</v>
      </c>
      <c r="AW50" s="1"/>
      <c r="AX50" s="36" t="s">
        <v>191</v>
      </c>
      <c r="AY50" s="54">
        <v>20.0</v>
      </c>
      <c r="AZ50" s="39">
        <v>12.0</v>
      </c>
      <c r="BA50" s="35" t="s">
        <v>28</v>
      </c>
      <c r="BB50" s="36" t="s">
        <v>32</v>
      </c>
      <c r="BC50" s="1"/>
      <c r="BD50" s="36" t="s">
        <v>94</v>
      </c>
      <c r="BE50" s="54">
        <v>20.0</v>
      </c>
      <c r="BF50" s="39">
        <v>13.0</v>
      </c>
      <c r="BG50" s="35" t="s">
        <v>28</v>
      </c>
      <c r="BH50" s="36" t="s">
        <v>32</v>
      </c>
      <c r="BI50" s="1"/>
      <c r="BJ50" s="36" t="s">
        <v>89</v>
      </c>
      <c r="BK50" s="54">
        <v>38.0</v>
      </c>
      <c r="BL50" s="39">
        <v>10.0</v>
      </c>
      <c r="BM50" s="35" t="s">
        <v>28</v>
      </c>
      <c r="BN50" s="36" t="s">
        <v>34</v>
      </c>
      <c r="BO50" s="1"/>
      <c r="BP50" s="36" t="s">
        <v>114</v>
      </c>
      <c r="BQ50" s="54">
        <v>710.7</v>
      </c>
      <c r="BR50" s="39">
        <v>10.0</v>
      </c>
      <c r="BS50" s="35" t="s">
        <v>32</v>
      </c>
      <c r="BT50" s="36" t="s">
        <v>32</v>
      </c>
      <c r="BU50" s="1"/>
    </row>
    <row r="51">
      <c r="A51" s="1"/>
      <c r="B51" s="36" t="s">
        <v>511</v>
      </c>
      <c r="C51" s="54">
        <v>4541.89</v>
      </c>
      <c r="D51" s="36">
        <v>10.0</v>
      </c>
      <c r="E51" s="35" t="s">
        <v>28</v>
      </c>
      <c r="F51" s="36" t="s">
        <v>32</v>
      </c>
      <c r="G51" s="1"/>
      <c r="H51" s="36" t="s">
        <v>281</v>
      </c>
      <c r="I51" s="54">
        <v>826.8</v>
      </c>
      <c r="J51" s="39">
        <v>10.0</v>
      </c>
      <c r="K51" s="35" t="s">
        <v>34</v>
      </c>
      <c r="L51" s="36" t="s">
        <v>32</v>
      </c>
      <c r="M51" s="1"/>
      <c r="N51" s="36" t="s">
        <v>114</v>
      </c>
      <c r="O51" s="54">
        <v>65.9</v>
      </c>
      <c r="P51" s="39">
        <v>10.0</v>
      </c>
      <c r="Q51" s="35" t="s">
        <v>32</v>
      </c>
      <c r="R51" s="36" t="s">
        <v>32</v>
      </c>
      <c r="S51" s="1"/>
      <c r="T51" s="36" t="s">
        <v>512</v>
      </c>
      <c r="U51" s="54">
        <v>20.0</v>
      </c>
      <c r="V51" s="39">
        <v>9.0</v>
      </c>
      <c r="W51" s="35" t="s">
        <v>28</v>
      </c>
      <c r="X51" s="36" t="s">
        <v>34</v>
      </c>
      <c r="Y51" s="1"/>
      <c r="Z51" s="36" t="s">
        <v>220</v>
      </c>
      <c r="AA51" s="54">
        <v>6746.21</v>
      </c>
      <c r="AB51" s="39">
        <v>10.0</v>
      </c>
      <c r="AC51" s="35" t="s">
        <v>28</v>
      </c>
      <c r="AD51" s="36" t="s">
        <v>32</v>
      </c>
      <c r="AE51" s="1"/>
      <c r="AF51" s="36" t="s">
        <v>1001</v>
      </c>
      <c r="AG51" s="54">
        <v>182.3</v>
      </c>
      <c r="AH51" s="39">
        <v>13.0</v>
      </c>
      <c r="AI51" s="35" t="s">
        <v>32</v>
      </c>
      <c r="AJ51" s="36" t="s">
        <v>32</v>
      </c>
      <c r="AK51" s="1"/>
      <c r="AL51" s="36" t="s">
        <v>1002</v>
      </c>
      <c r="AM51" s="54">
        <v>20.0</v>
      </c>
      <c r="AN51" s="39">
        <v>20.0</v>
      </c>
      <c r="AO51" s="35" t="s">
        <v>32</v>
      </c>
      <c r="AP51" s="36" t="s">
        <v>32</v>
      </c>
      <c r="AQ51" s="1"/>
      <c r="AR51" s="36" t="s">
        <v>110</v>
      </c>
      <c r="AS51" s="54">
        <v>20.0</v>
      </c>
      <c r="AT51" s="39">
        <v>15.0</v>
      </c>
      <c r="AU51" s="35" t="s">
        <v>28</v>
      </c>
      <c r="AV51" s="36" t="s">
        <v>34</v>
      </c>
      <c r="AW51" s="1"/>
      <c r="AX51" s="36" t="s">
        <v>1003</v>
      </c>
      <c r="AY51" s="54">
        <v>24.0</v>
      </c>
      <c r="AZ51" s="39">
        <v>13.0</v>
      </c>
      <c r="BA51" s="35" t="s">
        <v>28</v>
      </c>
      <c r="BB51" s="36" t="s">
        <v>34</v>
      </c>
      <c r="BC51" s="1"/>
      <c r="BD51" s="36" t="s">
        <v>110</v>
      </c>
      <c r="BE51" s="54">
        <v>20.0</v>
      </c>
      <c r="BF51" s="39">
        <v>14.0</v>
      </c>
      <c r="BG51" s="35" t="s">
        <v>28</v>
      </c>
      <c r="BH51" s="36" t="s">
        <v>34</v>
      </c>
      <c r="BI51" s="1"/>
      <c r="BJ51" s="36" t="s">
        <v>89</v>
      </c>
      <c r="BK51" s="54">
        <v>17.0</v>
      </c>
      <c r="BL51" s="39">
        <v>10.0</v>
      </c>
      <c r="BM51" s="35" t="s">
        <v>28</v>
      </c>
      <c r="BN51" s="36" t="s">
        <v>34</v>
      </c>
      <c r="BO51" s="1"/>
      <c r="BP51" s="36" t="s">
        <v>94</v>
      </c>
      <c r="BQ51" s="54">
        <v>20.0</v>
      </c>
      <c r="BR51" s="39">
        <v>16.0</v>
      </c>
      <c r="BS51" s="35" t="s">
        <v>28</v>
      </c>
      <c r="BT51" s="36" t="s">
        <v>32</v>
      </c>
      <c r="BU51" s="1"/>
    </row>
    <row r="52">
      <c r="A52" s="1"/>
      <c r="B52" s="36" t="s">
        <v>502</v>
      </c>
      <c r="C52" s="54">
        <v>251.05</v>
      </c>
      <c r="D52" s="36">
        <v>10.0</v>
      </c>
      <c r="E52" s="35" t="s">
        <v>32</v>
      </c>
      <c r="F52" s="36" t="s">
        <v>32</v>
      </c>
      <c r="G52" s="1"/>
      <c r="H52" s="36" t="s">
        <v>220</v>
      </c>
      <c r="I52" s="54">
        <v>9996.26</v>
      </c>
      <c r="J52" s="39">
        <v>10.0</v>
      </c>
      <c r="K52" s="35" t="s">
        <v>28</v>
      </c>
      <c r="L52" s="36" t="s">
        <v>32</v>
      </c>
      <c r="M52" s="1"/>
      <c r="N52" s="36" t="s">
        <v>1004</v>
      </c>
      <c r="O52" s="54">
        <v>70.0</v>
      </c>
      <c r="P52" s="39">
        <v>11.0</v>
      </c>
      <c r="Q52" s="35" t="s">
        <v>28</v>
      </c>
      <c r="R52" s="36" t="s">
        <v>34</v>
      </c>
      <c r="S52" s="1"/>
      <c r="T52" s="36" t="s">
        <v>1005</v>
      </c>
      <c r="U52" s="54">
        <v>7854.45</v>
      </c>
      <c r="V52" s="39">
        <v>10.0</v>
      </c>
      <c r="W52" s="35" t="s">
        <v>28</v>
      </c>
      <c r="X52" s="36" t="s">
        <v>32</v>
      </c>
      <c r="Y52" s="1"/>
      <c r="Z52" s="36" t="s">
        <v>907</v>
      </c>
      <c r="AA52" s="54">
        <v>3732.34</v>
      </c>
      <c r="AB52" s="39">
        <v>10.0</v>
      </c>
      <c r="AC52" s="35" t="s">
        <v>32</v>
      </c>
      <c r="AD52" s="36" t="s">
        <v>32</v>
      </c>
      <c r="AE52" s="1"/>
      <c r="AF52" s="36" t="s">
        <v>92</v>
      </c>
      <c r="AG52" s="54">
        <v>10.0</v>
      </c>
      <c r="AH52" s="39">
        <v>15.0</v>
      </c>
      <c r="AI52" s="35" t="s">
        <v>32</v>
      </c>
      <c r="AJ52" s="36" t="s">
        <v>32</v>
      </c>
      <c r="AK52" s="1"/>
      <c r="AL52" s="36" t="s">
        <v>109</v>
      </c>
      <c r="AM52" s="54">
        <v>35.0</v>
      </c>
      <c r="AN52" s="39">
        <v>30.0</v>
      </c>
      <c r="AO52" s="35" t="s">
        <v>28</v>
      </c>
      <c r="AP52" s="36" t="s">
        <v>34</v>
      </c>
      <c r="AQ52" s="1"/>
      <c r="AR52" s="36" t="s">
        <v>109</v>
      </c>
      <c r="AS52" s="54">
        <v>45.0</v>
      </c>
      <c r="AT52" s="39">
        <v>15.0</v>
      </c>
      <c r="AU52" s="35" t="s">
        <v>28</v>
      </c>
      <c r="AV52" s="36" t="s">
        <v>34</v>
      </c>
      <c r="AW52" s="1"/>
      <c r="AX52" s="36" t="s">
        <v>368</v>
      </c>
      <c r="AY52" s="54">
        <v>16.0</v>
      </c>
      <c r="AZ52" s="39">
        <v>14.0</v>
      </c>
      <c r="BA52" s="35" t="s">
        <v>28</v>
      </c>
      <c r="BB52" s="36" t="s">
        <v>34</v>
      </c>
      <c r="BC52" s="1"/>
      <c r="BD52" s="36" t="s">
        <v>805</v>
      </c>
      <c r="BE52" s="54">
        <v>20.0</v>
      </c>
      <c r="BF52" s="39">
        <v>14.0</v>
      </c>
      <c r="BG52" s="35" t="s">
        <v>28</v>
      </c>
      <c r="BH52" s="36" t="s">
        <v>34</v>
      </c>
      <c r="BI52" s="1"/>
      <c r="BJ52" s="36" t="s">
        <v>226</v>
      </c>
      <c r="BK52" s="54">
        <v>7036.47</v>
      </c>
      <c r="BL52" s="39">
        <v>10.0</v>
      </c>
      <c r="BM52" s="35" t="s">
        <v>32</v>
      </c>
      <c r="BN52" s="36" t="s">
        <v>32</v>
      </c>
      <c r="BO52" s="1"/>
      <c r="BP52" s="36" t="s">
        <v>305</v>
      </c>
      <c r="BQ52" s="54">
        <v>15.0</v>
      </c>
      <c r="BR52" s="39">
        <v>21.0</v>
      </c>
      <c r="BS52" s="35" t="s">
        <v>32</v>
      </c>
      <c r="BT52" s="36" t="s">
        <v>32</v>
      </c>
      <c r="BU52" s="1"/>
    </row>
    <row r="53">
      <c r="A53" s="1"/>
      <c r="B53" s="36" t="s">
        <v>209</v>
      </c>
      <c r="C53" s="54">
        <v>50.0</v>
      </c>
      <c r="D53" s="36">
        <v>12.0</v>
      </c>
      <c r="E53" s="35" t="s">
        <v>28</v>
      </c>
      <c r="F53" s="36" t="s">
        <v>34</v>
      </c>
      <c r="G53" s="1"/>
      <c r="H53" s="36" t="s">
        <v>109</v>
      </c>
      <c r="I53" s="54">
        <v>80.0</v>
      </c>
      <c r="J53" s="39">
        <v>10.0</v>
      </c>
      <c r="K53" s="35" t="s">
        <v>28</v>
      </c>
      <c r="L53" s="36" t="s">
        <v>34</v>
      </c>
      <c r="M53" s="1"/>
      <c r="N53" s="36" t="s">
        <v>1006</v>
      </c>
      <c r="O53" s="54">
        <v>50.0</v>
      </c>
      <c r="P53" s="39">
        <v>14.0</v>
      </c>
      <c r="Q53" s="35" t="s">
        <v>28</v>
      </c>
      <c r="R53" s="36" t="s">
        <v>34</v>
      </c>
      <c r="S53" s="1"/>
      <c r="T53" s="36" t="s">
        <v>1007</v>
      </c>
      <c r="U53" s="54">
        <v>1745.33</v>
      </c>
      <c r="V53" s="39">
        <v>10.0</v>
      </c>
      <c r="W53" s="35" t="s">
        <v>32</v>
      </c>
      <c r="X53" s="36" t="s">
        <v>32</v>
      </c>
      <c r="Y53" s="1"/>
      <c r="Z53" s="36" t="s">
        <v>524</v>
      </c>
      <c r="AA53" s="54">
        <v>150.0</v>
      </c>
      <c r="AB53" s="39">
        <v>10.0</v>
      </c>
      <c r="AC53" s="35" t="s">
        <v>28</v>
      </c>
      <c r="AD53" s="36" t="s">
        <v>32</v>
      </c>
      <c r="AE53" s="1"/>
      <c r="AG53" s="54"/>
      <c r="AH53" s="39"/>
      <c r="AI53" s="35"/>
      <c r="AK53" s="1"/>
      <c r="AL53" s="36" t="s">
        <v>1008</v>
      </c>
      <c r="AM53" s="54">
        <v>28.0</v>
      </c>
      <c r="AN53" s="39">
        <v>30.0</v>
      </c>
      <c r="AO53" s="35" t="s">
        <v>28</v>
      </c>
      <c r="AP53" s="36" t="s">
        <v>34</v>
      </c>
      <c r="AQ53" s="1"/>
      <c r="AR53" s="36" t="s">
        <v>1009</v>
      </c>
      <c r="AS53" s="54">
        <v>15.0</v>
      </c>
      <c r="AT53" s="39">
        <v>15.0</v>
      </c>
      <c r="AU53" s="35" t="s">
        <v>28</v>
      </c>
      <c r="AV53" s="36" t="s">
        <v>34</v>
      </c>
      <c r="AW53" s="1"/>
      <c r="AX53" s="36" t="s">
        <v>1010</v>
      </c>
      <c r="AY53" s="54">
        <v>20.0</v>
      </c>
      <c r="AZ53" s="39">
        <v>14.0</v>
      </c>
      <c r="BA53" s="35" t="s">
        <v>28</v>
      </c>
      <c r="BB53" s="36" t="s">
        <v>34</v>
      </c>
      <c r="BC53" s="1"/>
      <c r="BD53" s="36" t="s">
        <v>1011</v>
      </c>
      <c r="BE53" s="54">
        <v>100.0</v>
      </c>
      <c r="BF53" s="39">
        <v>16.0</v>
      </c>
      <c r="BG53" s="35" t="s">
        <v>32</v>
      </c>
      <c r="BH53" s="36" t="s">
        <v>32</v>
      </c>
      <c r="BI53" s="1"/>
      <c r="BJ53" s="36" t="s">
        <v>281</v>
      </c>
      <c r="BK53" s="54">
        <v>3461.08</v>
      </c>
      <c r="BL53" s="39">
        <v>10.0</v>
      </c>
      <c r="BM53" s="35" t="s">
        <v>34</v>
      </c>
      <c r="BN53" s="36" t="s">
        <v>32</v>
      </c>
      <c r="BO53" s="1"/>
      <c r="BP53" s="36" t="s">
        <v>1012</v>
      </c>
      <c r="BQ53" s="54">
        <v>645.5</v>
      </c>
      <c r="BR53" s="39">
        <v>26.0</v>
      </c>
      <c r="BS53" s="35" t="s">
        <v>32</v>
      </c>
      <c r="BT53" s="36" t="s">
        <v>32</v>
      </c>
      <c r="BU53" s="1"/>
    </row>
    <row r="54">
      <c r="A54" s="1"/>
      <c r="B54" s="36" t="s">
        <v>1013</v>
      </c>
      <c r="C54" s="54">
        <v>50.0</v>
      </c>
      <c r="D54" s="36">
        <v>12.0</v>
      </c>
      <c r="E54" s="35" t="s">
        <v>28</v>
      </c>
      <c r="F54" s="36" t="s">
        <v>34</v>
      </c>
      <c r="G54" s="1"/>
      <c r="H54" s="36" t="s">
        <v>209</v>
      </c>
      <c r="I54" s="54">
        <v>200.0</v>
      </c>
      <c r="J54" s="39">
        <v>12.0</v>
      </c>
      <c r="K54" s="35" t="s">
        <v>28</v>
      </c>
      <c r="L54" s="36" t="s">
        <v>34</v>
      </c>
      <c r="M54" s="1"/>
      <c r="N54" s="36" t="s">
        <v>109</v>
      </c>
      <c r="O54" s="54">
        <v>24.0</v>
      </c>
      <c r="P54" s="39">
        <v>16.0</v>
      </c>
      <c r="Q54" s="35" t="s">
        <v>28</v>
      </c>
      <c r="R54" s="36" t="s">
        <v>34</v>
      </c>
      <c r="S54" s="1"/>
      <c r="T54" s="36" t="s">
        <v>978</v>
      </c>
      <c r="U54" s="54">
        <v>25.5</v>
      </c>
      <c r="V54" s="39">
        <v>11.0</v>
      </c>
      <c r="W54" s="35" t="s">
        <v>32</v>
      </c>
      <c r="X54" s="36" t="s">
        <v>32</v>
      </c>
      <c r="Y54" s="1"/>
      <c r="Z54" s="36" t="s">
        <v>979</v>
      </c>
      <c r="AA54" s="54">
        <v>65.9</v>
      </c>
      <c r="AB54" s="39">
        <v>10.0</v>
      </c>
      <c r="AC54" s="35" t="s">
        <v>32</v>
      </c>
      <c r="AD54" s="36" t="s">
        <v>32</v>
      </c>
      <c r="AE54" s="1"/>
      <c r="AG54" s="54"/>
      <c r="AH54" s="39"/>
      <c r="AI54" s="35"/>
      <c r="AK54" s="1"/>
      <c r="AL54" s="36" t="s">
        <v>1014</v>
      </c>
      <c r="AM54" s="54">
        <v>27.0</v>
      </c>
      <c r="AN54" s="39">
        <v>30.0</v>
      </c>
      <c r="AO54" s="35" t="s">
        <v>28</v>
      </c>
      <c r="AP54" s="36" t="s">
        <v>34</v>
      </c>
      <c r="AQ54" s="1"/>
      <c r="AR54" s="61" t="s">
        <v>92</v>
      </c>
      <c r="AS54" s="54">
        <v>10.0</v>
      </c>
      <c r="AT54" s="39">
        <v>17.0</v>
      </c>
      <c r="AU54" s="35" t="s">
        <v>32</v>
      </c>
      <c r="AV54" s="36" t="s">
        <v>32</v>
      </c>
      <c r="AW54" s="1"/>
      <c r="AX54" s="36" t="s">
        <v>110</v>
      </c>
      <c r="AY54" s="54">
        <v>10.0</v>
      </c>
      <c r="AZ54" s="39">
        <v>14.0</v>
      </c>
      <c r="BA54" s="35" t="s">
        <v>28</v>
      </c>
      <c r="BB54" s="36" t="s">
        <v>34</v>
      </c>
      <c r="BC54" s="1"/>
      <c r="BD54" s="36" t="s">
        <v>1015</v>
      </c>
      <c r="BE54" s="54">
        <v>2000.0</v>
      </c>
      <c r="BF54" s="39">
        <v>17.0</v>
      </c>
      <c r="BG54" s="35" t="s">
        <v>32</v>
      </c>
      <c r="BH54" s="36" t="s">
        <v>32</v>
      </c>
      <c r="BI54" s="1"/>
      <c r="BJ54" s="36" t="s">
        <v>220</v>
      </c>
      <c r="BK54" s="54">
        <v>4730.21</v>
      </c>
      <c r="BL54" s="39">
        <v>10.0</v>
      </c>
      <c r="BM54" s="35" t="s">
        <v>28</v>
      </c>
      <c r="BN54" s="36" t="s">
        <v>32</v>
      </c>
      <c r="BO54" s="1"/>
      <c r="BP54" s="36" t="s">
        <v>1016</v>
      </c>
      <c r="BQ54" s="54">
        <v>477.62</v>
      </c>
      <c r="BR54" s="39">
        <v>26.0</v>
      </c>
      <c r="BS54" s="35" t="s">
        <v>32</v>
      </c>
      <c r="BT54" s="36" t="s">
        <v>32</v>
      </c>
      <c r="BU54" s="1"/>
    </row>
    <row r="55">
      <c r="A55" s="1"/>
      <c r="B55" s="36" t="s">
        <v>92</v>
      </c>
      <c r="C55" s="54">
        <v>100.0</v>
      </c>
      <c r="D55" s="36">
        <v>13.0</v>
      </c>
      <c r="E55" s="35" t="s">
        <v>32</v>
      </c>
      <c r="F55" s="36" t="s">
        <v>32</v>
      </c>
      <c r="G55" s="1"/>
      <c r="H55" s="36" t="s">
        <v>100</v>
      </c>
      <c r="I55" s="54">
        <v>70.0</v>
      </c>
      <c r="J55" s="39">
        <v>13.0</v>
      </c>
      <c r="K55" s="35" t="s">
        <v>32</v>
      </c>
      <c r="L55" s="36" t="s">
        <v>32</v>
      </c>
      <c r="M55" s="1"/>
      <c r="N55" s="36" t="s">
        <v>1017</v>
      </c>
      <c r="O55" s="54">
        <v>75.0</v>
      </c>
      <c r="P55" s="39">
        <v>17.0</v>
      </c>
      <c r="Q55" s="35" t="s">
        <v>28</v>
      </c>
      <c r="R55" s="36" t="s">
        <v>34</v>
      </c>
      <c r="S55" s="1"/>
      <c r="T55" s="36" t="s">
        <v>115</v>
      </c>
      <c r="U55" s="54">
        <v>3.0</v>
      </c>
      <c r="V55" s="39">
        <v>11.0</v>
      </c>
      <c r="W55" s="35" t="s">
        <v>32</v>
      </c>
      <c r="X55" s="36" t="s">
        <v>32</v>
      </c>
      <c r="Y55" s="1"/>
      <c r="Z55" s="36" t="s">
        <v>989</v>
      </c>
      <c r="AA55" s="54">
        <v>3.0</v>
      </c>
      <c r="AB55" s="39">
        <v>10.0</v>
      </c>
      <c r="AC55" s="35" t="s">
        <v>32</v>
      </c>
      <c r="AD55" s="36" t="s">
        <v>32</v>
      </c>
      <c r="AE55" s="1"/>
      <c r="AG55" s="54"/>
      <c r="AH55" s="39"/>
      <c r="AI55" s="35"/>
      <c r="AK55" s="1"/>
      <c r="AL55" s="36" t="s">
        <v>109</v>
      </c>
      <c r="AM55" s="54">
        <v>45.0</v>
      </c>
      <c r="AN55" s="39">
        <v>30.0</v>
      </c>
      <c r="AO55" s="35" t="s">
        <v>28</v>
      </c>
      <c r="AP55" s="36" t="s">
        <v>34</v>
      </c>
      <c r="AQ55" s="1"/>
      <c r="AR55" s="36" t="s">
        <v>92</v>
      </c>
      <c r="AS55" s="54">
        <v>20.0</v>
      </c>
      <c r="AT55" s="39">
        <v>17.0</v>
      </c>
      <c r="AU55" s="35" t="s">
        <v>32</v>
      </c>
      <c r="AV55" s="36" t="s">
        <v>32</v>
      </c>
      <c r="AW55" s="1"/>
      <c r="AX55" s="36" t="s">
        <v>298</v>
      </c>
      <c r="AY55" s="54">
        <v>150.0</v>
      </c>
      <c r="AZ55" s="39">
        <v>15.0</v>
      </c>
      <c r="BA55" s="35" t="s">
        <v>28</v>
      </c>
      <c r="BB55" s="36" t="s">
        <v>34</v>
      </c>
      <c r="BC55" s="1"/>
      <c r="BD55" s="36" t="s">
        <v>618</v>
      </c>
      <c r="BE55" s="54">
        <v>15.0</v>
      </c>
      <c r="BF55" s="39">
        <v>17.0</v>
      </c>
      <c r="BG55" s="35" t="s">
        <v>28</v>
      </c>
      <c r="BH55" s="36" t="s">
        <v>32</v>
      </c>
      <c r="BI55" s="1"/>
      <c r="BJ55" s="36" t="s">
        <v>89</v>
      </c>
      <c r="BK55" s="54">
        <v>32.38</v>
      </c>
      <c r="BL55" s="39">
        <v>11.0</v>
      </c>
      <c r="BM55" s="35" t="s">
        <v>28</v>
      </c>
      <c r="BN55" s="36" t="s">
        <v>34</v>
      </c>
      <c r="BO55" s="1"/>
      <c r="BP55" s="36" t="s">
        <v>1018</v>
      </c>
      <c r="BQ55" s="54">
        <v>50.0</v>
      </c>
      <c r="BR55" s="39">
        <v>28.0</v>
      </c>
      <c r="BS55" s="35" t="s">
        <v>32</v>
      </c>
      <c r="BT55" s="36" t="s">
        <v>32</v>
      </c>
      <c r="BU55" s="1"/>
    </row>
    <row r="56">
      <c r="A56" s="1"/>
      <c r="B56" s="36" t="s">
        <v>959</v>
      </c>
      <c r="C56" s="54">
        <v>30.0</v>
      </c>
      <c r="D56" s="36">
        <v>17.0</v>
      </c>
      <c r="E56" s="35" t="s">
        <v>32</v>
      </c>
      <c r="F56" s="36" t="s">
        <v>32</v>
      </c>
      <c r="G56" s="1"/>
      <c r="H56" s="36" t="s">
        <v>381</v>
      </c>
      <c r="I56" s="54">
        <v>56.0</v>
      </c>
      <c r="J56" s="39">
        <v>13.0</v>
      </c>
      <c r="K56" s="35" t="s">
        <v>28</v>
      </c>
      <c r="L56" s="36" t="s">
        <v>34</v>
      </c>
      <c r="M56" s="1"/>
      <c r="N56" s="36" t="s">
        <v>951</v>
      </c>
      <c r="O56" s="54">
        <v>46.0</v>
      </c>
      <c r="P56" s="39">
        <v>17.0</v>
      </c>
      <c r="Q56" s="35" t="s">
        <v>28</v>
      </c>
      <c r="R56" s="36" t="s">
        <v>34</v>
      </c>
      <c r="S56" s="1"/>
      <c r="T56" s="36" t="s">
        <v>979</v>
      </c>
      <c r="U56" s="54">
        <v>65.9</v>
      </c>
      <c r="V56" s="39">
        <v>11.0</v>
      </c>
      <c r="W56" s="35" t="s">
        <v>32</v>
      </c>
      <c r="X56" s="36" t="s">
        <v>32</v>
      </c>
      <c r="Y56" s="1"/>
      <c r="Z56" s="36" t="s">
        <v>978</v>
      </c>
      <c r="AA56" s="54">
        <v>25.5</v>
      </c>
      <c r="AB56" s="39">
        <v>10.0</v>
      </c>
      <c r="AC56" s="35" t="s">
        <v>32</v>
      </c>
      <c r="AD56" s="36" t="s">
        <v>32</v>
      </c>
      <c r="AE56" s="1"/>
      <c r="AG56" s="54"/>
      <c r="AH56" s="39"/>
      <c r="AI56" s="35"/>
      <c r="AK56" s="1"/>
      <c r="AL56" s="36" t="s">
        <v>601</v>
      </c>
      <c r="AM56" s="54">
        <v>50.0</v>
      </c>
      <c r="AN56" s="39">
        <v>30.0</v>
      </c>
      <c r="AO56" s="35" t="s">
        <v>28</v>
      </c>
      <c r="AP56" s="36" t="s">
        <v>34</v>
      </c>
      <c r="AQ56" s="1"/>
      <c r="AR56" s="36" t="s">
        <v>512</v>
      </c>
      <c r="AS56" s="54">
        <v>18.0</v>
      </c>
      <c r="AT56" s="39">
        <v>17.0</v>
      </c>
      <c r="AU56" s="35" t="s">
        <v>28</v>
      </c>
      <c r="AV56" s="36" t="s">
        <v>34</v>
      </c>
      <c r="AW56" s="1"/>
      <c r="AX56" s="36" t="s">
        <v>100</v>
      </c>
      <c r="AY56" s="54">
        <v>100.0</v>
      </c>
      <c r="AZ56" s="39">
        <v>18.0</v>
      </c>
      <c r="BA56" s="35" t="s">
        <v>32</v>
      </c>
      <c r="BB56" s="36" t="s">
        <v>32</v>
      </c>
      <c r="BC56" s="1"/>
      <c r="BD56" s="36" t="s">
        <v>1019</v>
      </c>
      <c r="BE56" s="54">
        <v>55.0</v>
      </c>
      <c r="BF56" s="39">
        <v>17.0</v>
      </c>
      <c r="BG56" s="35" t="s">
        <v>28</v>
      </c>
      <c r="BH56" s="36" t="s">
        <v>32</v>
      </c>
      <c r="BI56" s="1"/>
      <c r="BJ56" s="36" t="s">
        <v>100</v>
      </c>
      <c r="BK56" s="54">
        <v>100.0</v>
      </c>
      <c r="BL56" s="39">
        <v>13.0</v>
      </c>
      <c r="BM56" s="35" t="s">
        <v>32</v>
      </c>
      <c r="BN56" s="36" t="s">
        <v>32</v>
      </c>
      <c r="BO56" s="1"/>
      <c r="BP56" s="36" t="s">
        <v>100</v>
      </c>
      <c r="BQ56" s="54">
        <v>100.0</v>
      </c>
      <c r="BR56" s="39">
        <v>24.0</v>
      </c>
      <c r="BS56" s="35" t="s">
        <v>32</v>
      </c>
      <c r="BT56" s="36" t="s">
        <v>32</v>
      </c>
      <c r="BU56" s="1"/>
    </row>
    <row r="57">
      <c r="A57" s="1"/>
      <c r="B57" s="36" t="s">
        <v>1020</v>
      </c>
      <c r="C57" s="54">
        <v>120.0</v>
      </c>
      <c r="D57" s="36">
        <v>17.0</v>
      </c>
      <c r="E57" s="35" t="s">
        <v>28</v>
      </c>
      <c r="F57" s="36" t="s">
        <v>34</v>
      </c>
      <c r="G57" s="1"/>
      <c r="H57" s="36" t="s">
        <v>1021</v>
      </c>
      <c r="I57" s="54">
        <v>30.0</v>
      </c>
      <c r="J57" s="39">
        <v>15.0</v>
      </c>
      <c r="K57" s="35" t="s">
        <v>32</v>
      </c>
      <c r="L57" s="36" t="s">
        <v>32</v>
      </c>
      <c r="M57" s="1"/>
      <c r="N57" s="36" t="s">
        <v>552</v>
      </c>
      <c r="O57" s="54">
        <v>30.0</v>
      </c>
      <c r="P57" s="39">
        <v>19.0</v>
      </c>
      <c r="Q57" s="35" t="s">
        <v>28</v>
      </c>
      <c r="R57" s="36" t="s">
        <v>34</v>
      </c>
      <c r="S57" s="1"/>
      <c r="T57" s="36" t="s">
        <v>552</v>
      </c>
      <c r="U57" s="54">
        <v>45.0</v>
      </c>
      <c r="V57" s="39">
        <v>11.0</v>
      </c>
      <c r="W57" s="35" t="s">
        <v>28</v>
      </c>
      <c r="X57" s="36" t="s">
        <v>34</v>
      </c>
      <c r="Y57" s="1"/>
      <c r="Z57" s="36" t="s">
        <v>1022</v>
      </c>
      <c r="AA57" s="54">
        <v>200.0</v>
      </c>
      <c r="AB57" s="39">
        <v>10.0</v>
      </c>
      <c r="AC57" s="35" t="s">
        <v>28</v>
      </c>
      <c r="AD57" s="36" t="s">
        <v>32</v>
      </c>
      <c r="AE57" s="1"/>
      <c r="AG57" s="54"/>
      <c r="AH57" s="39"/>
      <c r="AI57" s="35"/>
      <c r="AK57" s="1"/>
      <c r="AL57" s="36" t="s">
        <v>1023</v>
      </c>
      <c r="AM57" s="54">
        <v>40.0</v>
      </c>
      <c r="AN57" s="39">
        <v>30.0</v>
      </c>
      <c r="AO57" s="35" t="s">
        <v>28</v>
      </c>
      <c r="AP57" s="36" t="s">
        <v>34</v>
      </c>
      <c r="AQ57" s="1"/>
      <c r="AR57" s="36" t="s">
        <v>591</v>
      </c>
      <c r="AS57" s="54">
        <v>1506.84</v>
      </c>
      <c r="AT57" s="39">
        <v>18.0</v>
      </c>
      <c r="AU57" s="35" t="s">
        <v>32</v>
      </c>
      <c r="AV57" s="36" t="s">
        <v>32</v>
      </c>
      <c r="AW57" s="1"/>
      <c r="AX57" s="36" t="s">
        <v>109</v>
      </c>
      <c r="AY57" s="54">
        <v>45.0</v>
      </c>
      <c r="AZ57" s="39">
        <v>19.0</v>
      </c>
      <c r="BA57" s="35" t="s">
        <v>28</v>
      </c>
      <c r="BB57" s="36" t="s">
        <v>34</v>
      </c>
      <c r="BC57" s="1"/>
      <c r="BD57" s="36" t="s">
        <v>1024</v>
      </c>
      <c r="BE57" s="54">
        <v>350.0</v>
      </c>
      <c r="BF57" s="39">
        <v>19.0</v>
      </c>
      <c r="BG57" s="35" t="s">
        <v>32</v>
      </c>
      <c r="BH57" s="36" t="s">
        <v>32</v>
      </c>
      <c r="BI57" s="1"/>
      <c r="BJ57" s="36" t="s">
        <v>94</v>
      </c>
      <c r="BK57" s="54">
        <v>20.0</v>
      </c>
      <c r="BL57" s="39">
        <v>14.0</v>
      </c>
      <c r="BM57" s="35" t="s">
        <v>28</v>
      </c>
      <c r="BN57" s="36" t="s">
        <v>32</v>
      </c>
      <c r="BO57" s="1"/>
      <c r="BP57" s="36" t="s">
        <v>100</v>
      </c>
      <c r="BQ57" s="54">
        <v>100.0</v>
      </c>
      <c r="BR57" s="39">
        <v>25.0</v>
      </c>
      <c r="BS57" s="35" t="s">
        <v>32</v>
      </c>
      <c r="BT57" s="36" t="s">
        <v>32</v>
      </c>
      <c r="BU57" s="1"/>
    </row>
    <row r="58">
      <c r="A58" s="1"/>
      <c r="B58" s="36" t="s">
        <v>299</v>
      </c>
      <c r="C58" s="54">
        <v>36.0</v>
      </c>
      <c r="D58" s="36">
        <v>17.0</v>
      </c>
      <c r="E58" s="35" t="s">
        <v>28</v>
      </c>
      <c r="F58" s="36" t="s">
        <v>34</v>
      </c>
      <c r="G58" s="1"/>
      <c r="H58" s="36" t="s">
        <v>1025</v>
      </c>
      <c r="I58" s="54">
        <v>20.0</v>
      </c>
      <c r="J58" s="39">
        <v>15.0</v>
      </c>
      <c r="K58" s="35" t="s">
        <v>28</v>
      </c>
      <c r="L58" s="36" t="s">
        <v>32</v>
      </c>
      <c r="M58" s="1"/>
      <c r="N58" s="36" t="s">
        <v>299</v>
      </c>
      <c r="O58" s="54">
        <v>84.0</v>
      </c>
      <c r="P58" s="39">
        <v>19.0</v>
      </c>
      <c r="Q58" s="35" t="s">
        <v>28</v>
      </c>
      <c r="R58" s="36" t="s">
        <v>34</v>
      </c>
      <c r="S58" s="1"/>
      <c r="T58" s="36" t="s">
        <v>945</v>
      </c>
      <c r="U58" s="54">
        <v>7.0</v>
      </c>
      <c r="V58" s="39">
        <v>11.0</v>
      </c>
      <c r="W58" s="35" t="s">
        <v>28</v>
      </c>
      <c r="X58" s="36" t="s">
        <v>34</v>
      </c>
      <c r="Y58" s="1"/>
      <c r="Z58" s="36" t="s">
        <v>310</v>
      </c>
      <c r="AA58" s="54">
        <v>28.0</v>
      </c>
      <c r="AB58" s="39">
        <v>11.0</v>
      </c>
      <c r="AC58" s="35" t="s">
        <v>28</v>
      </c>
      <c r="AD58" s="36" t="s">
        <v>34</v>
      </c>
      <c r="AE58" s="1"/>
      <c r="AG58" s="54"/>
      <c r="AH58" s="39"/>
      <c r="AI58" s="35"/>
      <c r="AK58" s="1"/>
      <c r="AL58" s="36" t="s">
        <v>299</v>
      </c>
      <c r="AM58" s="54">
        <v>60.0</v>
      </c>
      <c r="AN58" s="39">
        <v>30.0</v>
      </c>
      <c r="AO58" s="35" t="s">
        <v>28</v>
      </c>
      <c r="AP58" s="36" t="s">
        <v>34</v>
      </c>
      <c r="AQ58" s="1"/>
      <c r="AR58" s="36" t="s">
        <v>92</v>
      </c>
      <c r="AS58" s="54">
        <v>30.0</v>
      </c>
      <c r="AT58" s="39">
        <v>18.0</v>
      </c>
      <c r="AU58" s="35" t="s">
        <v>32</v>
      </c>
      <c r="AV58" s="36" t="s">
        <v>32</v>
      </c>
      <c r="AW58" s="1"/>
      <c r="AX58" s="36" t="s">
        <v>1026</v>
      </c>
      <c r="AY58" s="54">
        <v>24.0</v>
      </c>
      <c r="AZ58" s="39">
        <v>19.0</v>
      </c>
      <c r="BA58" s="35" t="s">
        <v>28</v>
      </c>
      <c r="BB58" s="36" t="s">
        <v>34</v>
      </c>
      <c r="BC58" s="1"/>
      <c r="BD58" s="36" t="s">
        <v>1027</v>
      </c>
      <c r="BE58" s="54">
        <v>60.0</v>
      </c>
      <c r="BF58" s="39">
        <v>19.0</v>
      </c>
      <c r="BG58" s="35" t="s">
        <v>28</v>
      </c>
      <c r="BH58" s="36" t="s">
        <v>34</v>
      </c>
      <c r="BI58" s="1"/>
      <c r="BJ58" s="36" t="s">
        <v>1028</v>
      </c>
      <c r="BK58" s="54">
        <v>10.0</v>
      </c>
      <c r="BL58" s="39">
        <v>14.0</v>
      </c>
      <c r="BM58" s="35" t="s">
        <v>28</v>
      </c>
      <c r="BN58" s="36" t="s">
        <v>32</v>
      </c>
      <c r="BO58" s="1"/>
      <c r="BP58" s="36" t="s">
        <v>313</v>
      </c>
      <c r="BQ58" s="54">
        <v>100.0</v>
      </c>
      <c r="BR58" s="39">
        <v>25.0</v>
      </c>
      <c r="BS58" s="35" t="s">
        <v>32</v>
      </c>
      <c r="BT58" s="36" t="s">
        <v>32</v>
      </c>
      <c r="BU58" s="1"/>
    </row>
    <row r="59">
      <c r="A59" s="1"/>
      <c r="B59" s="36" t="s">
        <v>1029</v>
      </c>
      <c r="C59" s="54">
        <v>20.0</v>
      </c>
      <c r="D59" s="36">
        <v>17.0</v>
      </c>
      <c r="E59" s="35" t="s">
        <v>28</v>
      </c>
      <c r="F59" s="36" t="s">
        <v>34</v>
      </c>
      <c r="G59" s="1"/>
      <c r="H59" s="36" t="s">
        <v>1030</v>
      </c>
      <c r="I59" s="54">
        <v>10.0</v>
      </c>
      <c r="J59" s="39">
        <v>15.0</v>
      </c>
      <c r="K59" s="35" t="s">
        <v>28</v>
      </c>
      <c r="L59" s="36" t="s">
        <v>32</v>
      </c>
      <c r="M59" s="1"/>
      <c r="N59" s="36" t="s">
        <v>1031</v>
      </c>
      <c r="O59" s="54">
        <v>8.0</v>
      </c>
      <c r="P59" s="39">
        <v>19.0</v>
      </c>
      <c r="Q59" s="35" t="s">
        <v>28</v>
      </c>
      <c r="R59" s="36" t="s">
        <v>34</v>
      </c>
      <c r="S59" s="1"/>
      <c r="T59" s="36" t="s">
        <v>109</v>
      </c>
      <c r="U59" s="54">
        <v>24.0</v>
      </c>
      <c r="V59" s="39">
        <v>11.0</v>
      </c>
      <c r="W59" s="35" t="s">
        <v>28</v>
      </c>
      <c r="X59" s="36" t="s">
        <v>34</v>
      </c>
      <c r="Y59" s="1"/>
      <c r="Z59" s="36" t="s">
        <v>1032</v>
      </c>
      <c r="AA59" s="54">
        <v>50.0</v>
      </c>
      <c r="AB59" s="39">
        <v>15.0</v>
      </c>
      <c r="AC59" s="35" t="s">
        <v>28</v>
      </c>
      <c r="AD59" s="36" t="s">
        <v>34</v>
      </c>
      <c r="AE59" s="1"/>
      <c r="AG59" s="54"/>
      <c r="AH59" s="39"/>
      <c r="AI59" s="35"/>
      <c r="AK59" s="1"/>
      <c r="AL59" s="36" t="s">
        <v>1033</v>
      </c>
      <c r="AM59" s="54">
        <v>14.0</v>
      </c>
      <c r="AN59" s="39">
        <v>30.0</v>
      </c>
      <c r="AO59" s="35" t="s">
        <v>28</v>
      </c>
      <c r="AP59" s="36" t="s">
        <v>34</v>
      </c>
      <c r="AQ59" s="1"/>
      <c r="AR59" s="36" t="s">
        <v>100</v>
      </c>
      <c r="AS59" s="54">
        <v>100.0</v>
      </c>
      <c r="AT59" s="39">
        <v>22.0</v>
      </c>
      <c r="AU59" s="35" t="s">
        <v>32</v>
      </c>
      <c r="AV59" s="36" t="s">
        <v>32</v>
      </c>
      <c r="AW59" s="1"/>
      <c r="AX59" s="36" t="s">
        <v>1034</v>
      </c>
      <c r="AY59" s="54">
        <v>130.0</v>
      </c>
      <c r="AZ59" s="39">
        <v>19.0</v>
      </c>
      <c r="BA59" s="35" t="s">
        <v>28</v>
      </c>
      <c r="BB59" s="36" t="s">
        <v>34</v>
      </c>
      <c r="BC59" s="1"/>
      <c r="BD59" s="36" t="s">
        <v>1035</v>
      </c>
      <c r="BE59" s="54">
        <v>3.51</v>
      </c>
      <c r="BF59" s="39">
        <v>20.0</v>
      </c>
      <c r="BG59" s="35" t="s">
        <v>32</v>
      </c>
      <c r="BH59" s="36" t="s">
        <v>32</v>
      </c>
      <c r="BI59" s="1"/>
      <c r="BJ59" s="36" t="s">
        <v>1028</v>
      </c>
      <c r="BK59" s="54">
        <v>26.0</v>
      </c>
      <c r="BL59" s="39">
        <v>14.0</v>
      </c>
      <c r="BM59" s="35" t="s">
        <v>28</v>
      </c>
      <c r="BN59" s="36" t="s">
        <v>32</v>
      </c>
      <c r="BO59" s="1"/>
      <c r="BP59" s="36" t="s">
        <v>1036</v>
      </c>
      <c r="BQ59" s="54">
        <v>30.0</v>
      </c>
      <c r="BR59" s="39">
        <v>30.0</v>
      </c>
      <c r="BS59" s="35" t="s">
        <v>32</v>
      </c>
      <c r="BT59" s="36" t="s">
        <v>32</v>
      </c>
      <c r="BU59" s="1"/>
    </row>
    <row r="60">
      <c r="A60" s="1"/>
      <c r="B60" s="36" t="s">
        <v>959</v>
      </c>
      <c r="C60" s="54">
        <v>1000.0</v>
      </c>
      <c r="D60" s="36">
        <v>19.0</v>
      </c>
      <c r="E60" s="35" t="s">
        <v>32</v>
      </c>
      <c r="F60" s="36" t="s">
        <v>32</v>
      </c>
      <c r="G60" s="1"/>
      <c r="H60" s="36" t="s">
        <v>695</v>
      </c>
      <c r="I60" s="54">
        <v>16.3</v>
      </c>
      <c r="J60" s="39">
        <v>16.0</v>
      </c>
      <c r="K60" s="35" t="s">
        <v>28</v>
      </c>
      <c r="L60" s="36" t="s">
        <v>32</v>
      </c>
      <c r="M60" s="1"/>
      <c r="N60" s="36" t="s">
        <v>582</v>
      </c>
      <c r="O60" s="54">
        <v>7.0</v>
      </c>
      <c r="P60" s="39">
        <v>19.0</v>
      </c>
      <c r="Q60" s="35" t="s">
        <v>28</v>
      </c>
      <c r="R60" s="36" t="s">
        <v>34</v>
      </c>
      <c r="S60" s="1"/>
      <c r="T60" s="36" t="s">
        <v>582</v>
      </c>
      <c r="U60" s="54">
        <v>2.0</v>
      </c>
      <c r="V60" s="39">
        <v>11.0</v>
      </c>
      <c r="W60" s="35" t="s">
        <v>28</v>
      </c>
      <c r="X60" s="36" t="s">
        <v>34</v>
      </c>
      <c r="Y60" s="1"/>
      <c r="Z60" s="36" t="s">
        <v>807</v>
      </c>
      <c r="AA60" s="54">
        <v>100.0</v>
      </c>
      <c r="AB60" s="39">
        <v>17.0</v>
      </c>
      <c r="AC60" s="35" t="s">
        <v>28</v>
      </c>
      <c r="AD60" s="36" t="s">
        <v>34</v>
      </c>
      <c r="AE60" s="1"/>
      <c r="AG60" s="54"/>
      <c r="AH60" s="39"/>
      <c r="AI60" s="35"/>
      <c r="AK60" s="1"/>
      <c r="AL60" s="36" t="s">
        <v>1037</v>
      </c>
      <c r="AM60" s="54">
        <v>71.6</v>
      </c>
      <c r="AN60" s="39">
        <v>30.0</v>
      </c>
      <c r="AO60" s="35" t="s">
        <v>28</v>
      </c>
      <c r="AP60" s="36" t="s">
        <v>34</v>
      </c>
      <c r="AQ60" s="1"/>
      <c r="AR60" s="36" t="s">
        <v>1038</v>
      </c>
      <c r="AS60" s="54">
        <v>70.0</v>
      </c>
      <c r="AT60" s="39">
        <v>22.0</v>
      </c>
      <c r="AU60" s="35" t="s">
        <v>32</v>
      </c>
      <c r="AV60" s="36" t="s">
        <v>32</v>
      </c>
      <c r="AW60" s="1"/>
      <c r="AX60" s="36" t="s">
        <v>582</v>
      </c>
      <c r="AY60" s="54">
        <v>5.0</v>
      </c>
      <c r="AZ60" s="39">
        <v>19.0</v>
      </c>
      <c r="BA60" s="35" t="s">
        <v>28</v>
      </c>
      <c r="BB60" s="36" t="s">
        <v>34</v>
      </c>
      <c r="BC60" s="1"/>
      <c r="BD60" s="36" t="s">
        <v>1011</v>
      </c>
      <c r="BE60" s="54">
        <v>100.0</v>
      </c>
      <c r="BF60" s="39">
        <v>23.0</v>
      </c>
      <c r="BG60" s="35" t="s">
        <v>32</v>
      </c>
      <c r="BH60" s="36" t="s">
        <v>32</v>
      </c>
      <c r="BI60" s="1"/>
      <c r="BJ60" s="36" t="s">
        <v>1039</v>
      </c>
      <c r="BK60" s="54">
        <v>50.0</v>
      </c>
      <c r="BL60" s="39">
        <v>14.0</v>
      </c>
      <c r="BM60" s="35" t="s">
        <v>32</v>
      </c>
      <c r="BN60" s="36" t="s">
        <v>32</v>
      </c>
      <c r="BO60" s="1"/>
      <c r="BP60" s="36" t="s">
        <v>295</v>
      </c>
      <c r="BQ60" s="54">
        <v>6.0</v>
      </c>
      <c r="BR60" s="39">
        <v>30.0</v>
      </c>
      <c r="BS60" s="35" t="s">
        <v>32</v>
      </c>
      <c r="BT60" s="36" t="s">
        <v>32</v>
      </c>
      <c r="BU60" s="1"/>
    </row>
    <row r="61">
      <c r="A61" s="1"/>
      <c r="B61" s="36" t="s">
        <v>109</v>
      </c>
      <c r="C61" s="54">
        <v>40.0</v>
      </c>
      <c r="D61" s="36">
        <v>19.0</v>
      </c>
      <c r="E61" s="35" t="s">
        <v>28</v>
      </c>
      <c r="F61" s="36" t="s">
        <v>34</v>
      </c>
      <c r="G61" s="1"/>
      <c r="H61" s="36" t="s">
        <v>1040</v>
      </c>
      <c r="I61" s="54">
        <v>47.0</v>
      </c>
      <c r="J61" s="39">
        <v>16.0</v>
      </c>
      <c r="K61" s="35" t="s">
        <v>28</v>
      </c>
      <c r="L61" s="36" t="s">
        <v>34</v>
      </c>
      <c r="M61" s="1"/>
      <c r="N61" s="36" t="s">
        <v>1041</v>
      </c>
      <c r="O61" s="54">
        <v>2484.15</v>
      </c>
      <c r="P61" s="39">
        <v>21.0</v>
      </c>
      <c r="Q61" s="35" t="s">
        <v>32</v>
      </c>
      <c r="R61" s="36" t="s">
        <v>32</v>
      </c>
      <c r="S61" s="1"/>
      <c r="T61" s="36" t="s">
        <v>1042</v>
      </c>
      <c r="U61" s="54">
        <v>12.0</v>
      </c>
      <c r="V61" s="39">
        <v>11.0</v>
      </c>
      <c r="W61" s="35" t="s">
        <v>28</v>
      </c>
      <c r="X61" s="36" t="s">
        <v>34</v>
      </c>
      <c r="Y61" s="1"/>
      <c r="Z61" s="36" t="s">
        <v>109</v>
      </c>
      <c r="AA61" s="54">
        <v>45.0</v>
      </c>
      <c r="AB61" s="39">
        <v>17.0</v>
      </c>
      <c r="AC61" s="35" t="s">
        <v>28</v>
      </c>
      <c r="AD61" s="36" t="s">
        <v>34</v>
      </c>
      <c r="AE61" s="1"/>
      <c r="AG61" s="54"/>
      <c r="AH61" s="39"/>
      <c r="AI61" s="35"/>
      <c r="AK61" s="1"/>
      <c r="AM61" s="54"/>
      <c r="AN61" s="39"/>
      <c r="AO61" s="35"/>
      <c r="AQ61" s="1"/>
      <c r="AR61" s="36" t="s">
        <v>1043</v>
      </c>
      <c r="AS61" s="54">
        <v>50.0</v>
      </c>
      <c r="AT61" s="39">
        <v>22.0</v>
      </c>
      <c r="AU61" s="35" t="s">
        <v>28</v>
      </c>
      <c r="AV61" s="36" t="s">
        <v>34</v>
      </c>
      <c r="AW61" s="1"/>
      <c r="AX61" s="36" t="s">
        <v>305</v>
      </c>
      <c r="AY61" s="54">
        <v>15.0</v>
      </c>
      <c r="AZ61" s="39">
        <v>19.0</v>
      </c>
      <c r="BA61" s="35" t="s">
        <v>32</v>
      </c>
      <c r="BB61" s="36" t="s">
        <v>32</v>
      </c>
      <c r="BC61" s="1"/>
      <c r="BD61" s="36" t="s">
        <v>109</v>
      </c>
      <c r="BE61" s="54">
        <v>71.0</v>
      </c>
      <c r="BF61" s="39">
        <v>28.0</v>
      </c>
      <c r="BG61" s="35" t="s">
        <v>28</v>
      </c>
      <c r="BH61" s="36" t="s">
        <v>34</v>
      </c>
      <c r="BI61" s="1"/>
      <c r="BJ61" s="36" t="s">
        <v>1044</v>
      </c>
      <c r="BK61" s="54">
        <v>166.0</v>
      </c>
      <c r="BL61" s="39">
        <v>14.0</v>
      </c>
      <c r="BM61" s="35" t="s">
        <v>28</v>
      </c>
      <c r="BN61" s="36" t="s">
        <v>32</v>
      </c>
      <c r="BO61" s="1"/>
      <c r="BP61" s="36" t="s">
        <v>218</v>
      </c>
      <c r="BQ61" s="54">
        <v>25.0</v>
      </c>
      <c r="BR61" s="39">
        <v>30.0</v>
      </c>
      <c r="BS61" s="35" t="s">
        <v>32</v>
      </c>
      <c r="BT61" s="36" t="s">
        <v>32</v>
      </c>
      <c r="BU61" s="1"/>
    </row>
    <row r="62">
      <c r="A62" s="1"/>
      <c r="B62" s="36" t="s">
        <v>669</v>
      </c>
      <c r="C62" s="54">
        <v>40.0</v>
      </c>
      <c r="D62" s="36">
        <v>19.0</v>
      </c>
      <c r="E62" s="35" t="s">
        <v>28</v>
      </c>
      <c r="F62" s="36" t="s">
        <v>34</v>
      </c>
      <c r="G62" s="1"/>
      <c r="H62" s="36" t="s">
        <v>1045</v>
      </c>
      <c r="I62" s="54">
        <v>15.0</v>
      </c>
      <c r="J62" s="39">
        <v>17.0</v>
      </c>
      <c r="K62" s="35" t="s">
        <v>28</v>
      </c>
      <c r="L62" s="36" t="s">
        <v>34</v>
      </c>
      <c r="M62" s="1"/>
      <c r="N62" s="36" t="s">
        <v>1046</v>
      </c>
      <c r="O62" s="54">
        <v>65.0</v>
      </c>
      <c r="P62" s="39">
        <v>21.0</v>
      </c>
      <c r="Q62" s="35" t="s">
        <v>32</v>
      </c>
      <c r="R62" s="36" t="s">
        <v>32</v>
      </c>
      <c r="S62" s="1"/>
      <c r="T62" s="36" t="s">
        <v>552</v>
      </c>
      <c r="U62" s="54">
        <v>50.0</v>
      </c>
      <c r="V62" s="39">
        <v>17.0</v>
      </c>
      <c r="W62" s="35" t="s">
        <v>28</v>
      </c>
      <c r="X62" s="36" t="s">
        <v>34</v>
      </c>
      <c r="Y62" s="1"/>
      <c r="Z62" s="36" t="s">
        <v>601</v>
      </c>
      <c r="AA62" s="54">
        <v>20.0</v>
      </c>
      <c r="AB62" s="39">
        <v>17.0</v>
      </c>
      <c r="AC62" s="35" t="s">
        <v>28</v>
      </c>
      <c r="AD62" s="36" t="s">
        <v>34</v>
      </c>
      <c r="AE62" s="1"/>
      <c r="AG62" s="54"/>
      <c r="AH62" s="39"/>
      <c r="AI62" s="35"/>
      <c r="AK62" s="1"/>
      <c r="AM62" s="54"/>
      <c r="AN62" s="39"/>
      <c r="AO62" s="35"/>
      <c r="AQ62" s="1"/>
      <c r="AR62" s="36" t="s">
        <v>1047</v>
      </c>
      <c r="AS62" s="54">
        <v>63.0</v>
      </c>
      <c r="AT62" s="39">
        <v>23.0</v>
      </c>
      <c r="AU62" s="35" t="s">
        <v>32</v>
      </c>
      <c r="AV62" s="36" t="s">
        <v>32</v>
      </c>
      <c r="AW62" s="1"/>
      <c r="AX62" s="36" t="s">
        <v>512</v>
      </c>
      <c r="AY62" s="54">
        <v>12.0</v>
      </c>
      <c r="AZ62" s="39">
        <v>20.0</v>
      </c>
      <c r="BA62" s="35" t="s">
        <v>28</v>
      </c>
      <c r="BB62" s="36" t="s">
        <v>34</v>
      </c>
      <c r="BC62" s="1"/>
      <c r="BD62" s="36" t="s">
        <v>805</v>
      </c>
      <c r="BE62" s="54">
        <v>50.0</v>
      </c>
      <c r="BF62" s="39">
        <v>28.0</v>
      </c>
      <c r="BG62" s="35" t="s">
        <v>28</v>
      </c>
      <c r="BH62" s="36" t="s">
        <v>34</v>
      </c>
      <c r="BI62" s="1"/>
      <c r="BJ62" s="36" t="s">
        <v>224</v>
      </c>
      <c r="BK62" s="54">
        <v>200.0</v>
      </c>
      <c r="BL62" s="39">
        <v>16.0</v>
      </c>
      <c r="BM62" s="35" t="s">
        <v>28</v>
      </c>
      <c r="BN62" s="36" t="s">
        <v>32</v>
      </c>
      <c r="BO62" s="1"/>
      <c r="BP62" s="36" t="s">
        <v>495</v>
      </c>
      <c r="BQ62" s="54">
        <v>62.71</v>
      </c>
      <c r="BR62" s="39">
        <v>31.0</v>
      </c>
      <c r="BS62" s="35" t="s">
        <v>28</v>
      </c>
      <c r="BT62" s="36" t="s">
        <v>32</v>
      </c>
      <c r="BU62" s="1"/>
    </row>
    <row r="63">
      <c r="A63" s="1"/>
      <c r="B63" s="36" t="s">
        <v>959</v>
      </c>
      <c r="C63" s="54">
        <v>200.0</v>
      </c>
      <c r="D63" s="36">
        <v>20.0</v>
      </c>
      <c r="E63" s="35" t="s">
        <v>32</v>
      </c>
      <c r="F63" s="36" t="s">
        <v>32</v>
      </c>
      <c r="G63" s="1"/>
      <c r="H63" s="36" t="s">
        <v>109</v>
      </c>
      <c r="I63" s="54">
        <v>40.0</v>
      </c>
      <c r="J63" s="39">
        <v>17.0</v>
      </c>
      <c r="K63" s="35" t="s">
        <v>28</v>
      </c>
      <c r="L63" s="36" t="s">
        <v>34</v>
      </c>
      <c r="M63" s="1"/>
      <c r="N63" s="36" t="s">
        <v>684</v>
      </c>
      <c r="O63" s="54">
        <v>125.0</v>
      </c>
      <c r="P63" s="39">
        <v>23.0</v>
      </c>
      <c r="Q63" s="35" t="s">
        <v>28</v>
      </c>
      <c r="R63" s="36" t="s">
        <v>34</v>
      </c>
      <c r="S63" s="1"/>
      <c r="T63" s="36" t="s">
        <v>965</v>
      </c>
      <c r="U63" s="54">
        <v>540.0</v>
      </c>
      <c r="V63" s="39">
        <v>22.0</v>
      </c>
      <c r="W63" s="35" t="s">
        <v>32</v>
      </c>
      <c r="X63" s="36" t="s">
        <v>32</v>
      </c>
      <c r="Y63" s="1"/>
      <c r="Z63" s="36" t="s">
        <v>1048</v>
      </c>
      <c r="AA63" s="54">
        <v>40.0</v>
      </c>
      <c r="AB63" s="39">
        <v>17.0</v>
      </c>
      <c r="AC63" s="35" t="s">
        <v>28</v>
      </c>
      <c r="AD63" s="36" t="s">
        <v>34</v>
      </c>
      <c r="AE63" s="1"/>
      <c r="AG63" s="54"/>
      <c r="AH63" s="39"/>
      <c r="AI63" s="35"/>
      <c r="AK63" s="1"/>
      <c r="AM63" s="54"/>
      <c r="AN63" s="39"/>
      <c r="AO63" s="35"/>
      <c r="AQ63" s="1"/>
      <c r="AR63" s="36" t="s">
        <v>495</v>
      </c>
      <c r="AS63" s="54">
        <v>19.5</v>
      </c>
      <c r="AT63" s="39">
        <v>23.0</v>
      </c>
      <c r="AU63" s="35" t="s">
        <v>28</v>
      </c>
      <c r="AV63" s="36" t="s">
        <v>32</v>
      </c>
      <c r="AW63" s="1"/>
      <c r="AX63" s="36" t="s">
        <v>1049</v>
      </c>
      <c r="AY63" s="54">
        <v>10.0</v>
      </c>
      <c r="AZ63" s="39">
        <v>20.0</v>
      </c>
      <c r="BA63" s="35" t="s">
        <v>28</v>
      </c>
      <c r="BB63" s="36" t="s">
        <v>34</v>
      </c>
      <c r="BC63" s="1"/>
      <c r="BD63" s="36" t="s">
        <v>1011</v>
      </c>
      <c r="BE63" s="54">
        <v>100.0</v>
      </c>
      <c r="BF63" s="39">
        <v>30.0</v>
      </c>
      <c r="BG63" s="35" t="s">
        <v>32</v>
      </c>
      <c r="BH63" s="36" t="s">
        <v>32</v>
      </c>
      <c r="BI63" s="1"/>
      <c r="BJ63" s="36" t="s">
        <v>109</v>
      </c>
      <c r="BK63" s="54">
        <v>36.0</v>
      </c>
      <c r="BL63" s="39">
        <v>16.0</v>
      </c>
      <c r="BM63" s="35" t="s">
        <v>28</v>
      </c>
      <c r="BN63" s="36" t="s">
        <v>34</v>
      </c>
      <c r="BO63" s="1"/>
      <c r="BP63" s="36" t="s">
        <v>1050</v>
      </c>
      <c r="BQ63" s="54">
        <v>30.0</v>
      </c>
      <c r="BR63" s="39">
        <v>13.0</v>
      </c>
      <c r="BS63" s="35" t="s">
        <v>28</v>
      </c>
      <c r="BT63" s="36" t="s">
        <v>34</v>
      </c>
      <c r="BU63" s="1"/>
    </row>
    <row r="64">
      <c r="A64" s="1"/>
      <c r="B64" s="36" t="s">
        <v>235</v>
      </c>
      <c r="C64" s="54">
        <v>26.0</v>
      </c>
      <c r="D64" s="36">
        <v>20.0</v>
      </c>
      <c r="E64" s="35" t="s">
        <v>28</v>
      </c>
      <c r="F64" s="36" t="s">
        <v>32</v>
      </c>
      <c r="G64" s="1"/>
      <c r="H64" s="36" t="s">
        <v>299</v>
      </c>
      <c r="I64" s="54">
        <v>41.75</v>
      </c>
      <c r="J64" s="39">
        <v>18.0</v>
      </c>
      <c r="K64" s="35" t="s">
        <v>28</v>
      </c>
      <c r="L64" s="36" t="s">
        <v>32</v>
      </c>
      <c r="M64" s="1"/>
      <c r="N64" s="36" t="s">
        <v>109</v>
      </c>
      <c r="O64" s="54">
        <v>40.0</v>
      </c>
      <c r="P64" s="39">
        <v>23.0</v>
      </c>
      <c r="Q64" s="35" t="s">
        <v>28</v>
      </c>
      <c r="R64" s="36" t="s">
        <v>34</v>
      </c>
      <c r="S64" s="1"/>
      <c r="T64" s="36" t="s">
        <v>1011</v>
      </c>
      <c r="U64" s="54">
        <v>100.0</v>
      </c>
      <c r="V64" s="39">
        <v>24.0</v>
      </c>
      <c r="W64" s="35" t="s">
        <v>32</v>
      </c>
      <c r="X64" s="36" t="s">
        <v>32</v>
      </c>
      <c r="Y64" s="1"/>
      <c r="Z64" s="36" t="s">
        <v>1048</v>
      </c>
      <c r="AA64" s="54">
        <v>28.0</v>
      </c>
      <c r="AB64" s="39">
        <v>19.0</v>
      </c>
      <c r="AC64" s="35" t="s">
        <v>28</v>
      </c>
      <c r="AD64" s="36" t="s">
        <v>34</v>
      </c>
      <c r="AE64" s="1"/>
      <c r="AG64" s="54"/>
      <c r="AH64" s="39"/>
      <c r="AI64" s="35"/>
      <c r="AK64" s="1"/>
      <c r="AM64" s="54"/>
      <c r="AN64" s="39"/>
      <c r="AO64" s="35"/>
      <c r="AQ64" s="1"/>
      <c r="AR64" s="36" t="s">
        <v>870</v>
      </c>
      <c r="AS64" s="54">
        <v>68.2</v>
      </c>
      <c r="AT64" s="39">
        <v>25.0</v>
      </c>
      <c r="AU64" s="35" t="s">
        <v>28</v>
      </c>
      <c r="AV64" s="36" t="s">
        <v>34</v>
      </c>
      <c r="AW64" s="1"/>
      <c r="AX64" s="36" t="s">
        <v>582</v>
      </c>
      <c r="AY64" s="54">
        <v>10.0</v>
      </c>
      <c r="AZ64" s="39">
        <v>20.0</v>
      </c>
      <c r="BA64" s="35" t="s">
        <v>28</v>
      </c>
      <c r="BB64" s="36" t="s">
        <v>34</v>
      </c>
      <c r="BC64" s="1"/>
      <c r="BD64" s="36" t="s">
        <v>495</v>
      </c>
      <c r="BE64" s="54">
        <v>230.0</v>
      </c>
      <c r="BF64" s="39">
        <v>31.0</v>
      </c>
      <c r="BG64" s="35" t="s">
        <v>28</v>
      </c>
      <c r="BH64" s="36" t="s">
        <v>32</v>
      </c>
      <c r="BI64" s="1"/>
      <c r="BJ64" s="36" t="s">
        <v>1051</v>
      </c>
      <c r="BK64" s="54">
        <v>1000.0</v>
      </c>
      <c r="BL64" s="39">
        <v>18.0</v>
      </c>
      <c r="BM64" s="35" t="s">
        <v>28</v>
      </c>
      <c r="BN64" s="36" t="s">
        <v>32</v>
      </c>
      <c r="BO64" s="1"/>
      <c r="BP64" s="36" t="s">
        <v>1052</v>
      </c>
      <c r="BQ64" s="54">
        <v>300.0</v>
      </c>
      <c r="BR64" s="39">
        <v>17.0</v>
      </c>
      <c r="BS64" s="35" t="s">
        <v>28</v>
      </c>
      <c r="BT64" s="36" t="s">
        <v>34</v>
      </c>
      <c r="BU64" s="1"/>
    </row>
    <row r="65">
      <c r="A65" s="1"/>
      <c r="B65" s="36" t="s">
        <v>959</v>
      </c>
      <c r="C65" s="54">
        <v>1500.0</v>
      </c>
      <c r="D65" s="36">
        <v>21.0</v>
      </c>
      <c r="E65" s="35" t="s">
        <v>32</v>
      </c>
      <c r="F65" s="36" t="s">
        <v>32</v>
      </c>
      <c r="G65" s="1"/>
      <c r="H65" s="36" t="s">
        <v>1053</v>
      </c>
      <c r="I65" s="54">
        <v>50.0</v>
      </c>
      <c r="J65" s="39">
        <v>18.0</v>
      </c>
      <c r="K65" s="35" t="s">
        <v>28</v>
      </c>
      <c r="L65" s="36" t="s">
        <v>32</v>
      </c>
      <c r="M65" s="1"/>
      <c r="N65" s="36" t="s">
        <v>1054</v>
      </c>
      <c r="O65" s="54">
        <v>35.0</v>
      </c>
      <c r="P65" s="39">
        <v>23.0</v>
      </c>
      <c r="Q65" s="35" t="s">
        <v>28</v>
      </c>
      <c r="R65" s="36" t="s">
        <v>34</v>
      </c>
      <c r="S65" s="1"/>
      <c r="T65" s="36" t="s">
        <v>1055</v>
      </c>
      <c r="U65" s="54">
        <v>1000.0</v>
      </c>
      <c r="V65" s="39">
        <v>25.0</v>
      </c>
      <c r="W65" s="35" t="s">
        <v>32</v>
      </c>
      <c r="X65" s="36" t="s">
        <v>32</v>
      </c>
      <c r="Y65" s="1"/>
      <c r="Z65" s="36" t="s">
        <v>495</v>
      </c>
      <c r="AA65" s="54">
        <v>20.0</v>
      </c>
      <c r="AB65" s="39">
        <v>19.0</v>
      </c>
      <c r="AC65" s="35" t="s">
        <v>28</v>
      </c>
      <c r="AD65" s="36" t="s">
        <v>34</v>
      </c>
      <c r="AE65" s="1"/>
      <c r="AG65" s="54"/>
      <c r="AH65" s="39"/>
      <c r="AI65" s="35"/>
      <c r="AK65" s="1"/>
      <c r="AM65" s="54"/>
      <c r="AN65" s="39"/>
      <c r="AO65" s="35"/>
      <c r="AQ65" s="1"/>
      <c r="AR65" s="36" t="s">
        <v>109</v>
      </c>
      <c r="AS65" s="54">
        <v>45.0</v>
      </c>
      <c r="AT65" s="39">
        <v>29.0</v>
      </c>
      <c r="AU65" s="35" t="s">
        <v>28</v>
      </c>
      <c r="AV65" s="36" t="s">
        <v>34</v>
      </c>
      <c r="AW65" s="1"/>
      <c r="AX65" s="36" t="s">
        <v>1056</v>
      </c>
      <c r="AY65" s="54">
        <v>400.0</v>
      </c>
      <c r="AZ65" s="39">
        <v>21.0</v>
      </c>
      <c r="BA65" s="35" t="s">
        <v>32</v>
      </c>
      <c r="BB65" s="36" t="s">
        <v>32</v>
      </c>
      <c r="BC65" s="1"/>
      <c r="BD65" s="36" t="s">
        <v>1057</v>
      </c>
      <c r="BE65" s="54">
        <v>80.0</v>
      </c>
      <c r="BF65" s="39">
        <v>31.0</v>
      </c>
      <c r="BG65" s="35" t="s">
        <v>28</v>
      </c>
      <c r="BH65" s="36" t="s">
        <v>34</v>
      </c>
      <c r="BI65" s="1"/>
      <c r="BJ65" s="36" t="s">
        <v>807</v>
      </c>
      <c r="BK65" s="54">
        <v>300.0</v>
      </c>
      <c r="BL65" s="39">
        <v>18.0</v>
      </c>
      <c r="BM65" s="35" t="s">
        <v>28</v>
      </c>
      <c r="BN65" s="36" t="s">
        <v>32</v>
      </c>
      <c r="BO65" s="1"/>
      <c r="BP65" s="36" t="s">
        <v>611</v>
      </c>
      <c r="BQ65" s="54">
        <v>130.0</v>
      </c>
      <c r="BR65" s="39">
        <v>24.0</v>
      </c>
      <c r="BS65" s="35" t="s">
        <v>28</v>
      </c>
      <c r="BT65" s="36" t="s">
        <v>34</v>
      </c>
      <c r="BU65" s="1"/>
    </row>
    <row r="66">
      <c r="A66" s="1"/>
      <c r="B66" s="36" t="s">
        <v>1058</v>
      </c>
      <c r="C66" s="54">
        <v>213.8</v>
      </c>
      <c r="D66" s="36">
        <v>21.0</v>
      </c>
      <c r="E66" s="35" t="s">
        <v>28</v>
      </c>
      <c r="F66" s="36" t="s">
        <v>34</v>
      </c>
      <c r="G66" s="1"/>
      <c r="H66" s="36" t="s">
        <v>1059</v>
      </c>
      <c r="I66" s="54">
        <v>21.0</v>
      </c>
      <c r="J66" s="39">
        <v>19.0</v>
      </c>
      <c r="K66" s="35" t="s">
        <v>28</v>
      </c>
      <c r="L66" s="36" t="s">
        <v>34</v>
      </c>
      <c r="M66" s="1"/>
      <c r="N66" s="36" t="s">
        <v>299</v>
      </c>
      <c r="O66" s="54">
        <v>78.0</v>
      </c>
      <c r="P66" s="39">
        <v>23.0</v>
      </c>
      <c r="Q66" s="35" t="s">
        <v>28</v>
      </c>
      <c r="R66" s="36" t="s">
        <v>34</v>
      </c>
      <c r="S66" s="1"/>
      <c r="T66" s="36" t="s">
        <v>1060</v>
      </c>
      <c r="U66" s="54">
        <v>3500.0</v>
      </c>
      <c r="V66" s="39">
        <v>26.0</v>
      </c>
      <c r="W66" s="35" t="s">
        <v>32</v>
      </c>
      <c r="X66" s="36" t="s">
        <v>32</v>
      </c>
      <c r="Y66" s="1"/>
      <c r="Z66" s="36" t="s">
        <v>1061</v>
      </c>
      <c r="AA66" s="54">
        <v>160.0</v>
      </c>
      <c r="AB66" s="39">
        <v>19.0</v>
      </c>
      <c r="AC66" s="35" t="s">
        <v>28</v>
      </c>
      <c r="AD66" s="36" t="s">
        <v>34</v>
      </c>
      <c r="AE66" s="1"/>
      <c r="AG66" s="54"/>
      <c r="AH66" s="39"/>
      <c r="AI66" s="35"/>
      <c r="AK66" s="1"/>
      <c r="AM66" s="54"/>
      <c r="AN66" s="39"/>
      <c r="AO66" s="35"/>
      <c r="AQ66" s="1"/>
      <c r="AR66" s="36" t="s">
        <v>1062</v>
      </c>
      <c r="AS66" s="54">
        <v>20.0</v>
      </c>
      <c r="AT66" s="39">
        <v>29.0</v>
      </c>
      <c r="AU66" s="35" t="s">
        <v>28</v>
      </c>
      <c r="AV66" s="36" t="s">
        <v>34</v>
      </c>
      <c r="AW66" s="1"/>
      <c r="AX66" s="36" t="s">
        <v>582</v>
      </c>
      <c r="AY66" s="54">
        <v>10.0</v>
      </c>
      <c r="AZ66" s="39">
        <v>21.0</v>
      </c>
      <c r="BA66" s="35" t="s">
        <v>28</v>
      </c>
      <c r="BB66" s="36" t="s">
        <v>34</v>
      </c>
      <c r="BC66" s="1"/>
      <c r="BD66" s="36" t="s">
        <v>1063</v>
      </c>
      <c r="BE66" s="54">
        <v>59.0</v>
      </c>
      <c r="BF66" s="39">
        <v>31.0</v>
      </c>
      <c r="BG66" s="35" t="s">
        <v>28</v>
      </c>
      <c r="BH66" s="36" t="s">
        <v>34</v>
      </c>
      <c r="BI66" s="1"/>
      <c r="BJ66" s="36" t="s">
        <v>100</v>
      </c>
      <c r="BK66" s="54">
        <v>100.0</v>
      </c>
      <c r="BL66" s="39">
        <v>20.0</v>
      </c>
      <c r="BM66" s="35" t="s">
        <v>32</v>
      </c>
      <c r="BN66" s="36" t="s">
        <v>32</v>
      </c>
      <c r="BO66" s="1"/>
      <c r="BP66" s="36" t="s">
        <v>1064</v>
      </c>
      <c r="BQ66" s="54">
        <v>60.0</v>
      </c>
      <c r="BR66" s="39">
        <v>27.0</v>
      </c>
      <c r="BS66" s="35" t="s">
        <v>28</v>
      </c>
      <c r="BT66" s="36" t="s">
        <v>34</v>
      </c>
      <c r="BU66" s="1"/>
    </row>
    <row r="67">
      <c r="A67" s="1"/>
      <c r="B67" s="36" t="s">
        <v>495</v>
      </c>
      <c r="C67" s="54">
        <v>10.0</v>
      </c>
      <c r="D67" s="36">
        <v>21.0</v>
      </c>
      <c r="E67" s="35" t="s">
        <v>28</v>
      </c>
      <c r="F67" s="36" t="s">
        <v>34</v>
      </c>
      <c r="G67" s="1"/>
      <c r="H67" s="36" t="s">
        <v>1065</v>
      </c>
      <c r="I67" s="54">
        <v>10.0</v>
      </c>
      <c r="J67" s="39">
        <v>20.0</v>
      </c>
      <c r="K67" s="35" t="s">
        <v>28</v>
      </c>
      <c r="L67" s="36" t="s">
        <v>32</v>
      </c>
      <c r="M67" s="1"/>
      <c r="N67" s="36" t="s">
        <v>1066</v>
      </c>
      <c r="O67" s="54">
        <v>100.0</v>
      </c>
      <c r="P67" s="39">
        <v>23.0</v>
      </c>
      <c r="Q67" s="35" t="s">
        <v>32</v>
      </c>
      <c r="R67" s="36" t="s">
        <v>32</v>
      </c>
      <c r="S67" s="1"/>
      <c r="T67" s="36" t="s">
        <v>1067</v>
      </c>
      <c r="U67" s="54">
        <v>130.0</v>
      </c>
      <c r="V67" s="39">
        <v>27.0</v>
      </c>
      <c r="W67" s="35" t="s">
        <v>28</v>
      </c>
      <c r="X67" s="36" t="s">
        <v>34</v>
      </c>
      <c r="Y67" s="1"/>
      <c r="Z67" s="36" t="s">
        <v>1068</v>
      </c>
      <c r="AA67" s="54">
        <v>6.5</v>
      </c>
      <c r="AB67" s="39">
        <v>20.0</v>
      </c>
      <c r="AC67" s="35" t="s">
        <v>28</v>
      </c>
      <c r="AD67" s="36" t="s">
        <v>34</v>
      </c>
      <c r="AE67" s="1"/>
      <c r="AG67" s="54"/>
      <c r="AH67" s="39"/>
      <c r="AI67" s="35"/>
      <c r="AK67" s="1"/>
      <c r="AM67" s="54"/>
      <c r="AN67" s="39"/>
      <c r="AO67" s="35"/>
      <c r="AQ67" s="1"/>
      <c r="AR67" s="36" t="s">
        <v>1069</v>
      </c>
      <c r="AS67" s="54">
        <v>15.0</v>
      </c>
      <c r="AT67" s="39">
        <v>29.0</v>
      </c>
      <c r="AU67" s="35" t="s">
        <v>28</v>
      </c>
      <c r="AV67" s="36" t="s">
        <v>34</v>
      </c>
      <c r="AW67" s="1"/>
      <c r="AX67" s="36" t="s">
        <v>1070</v>
      </c>
      <c r="AY67" s="54">
        <v>20.0</v>
      </c>
      <c r="AZ67" s="39">
        <v>21.0</v>
      </c>
      <c r="BA67" s="35" t="s">
        <v>28</v>
      </c>
      <c r="BB67" s="36" t="s">
        <v>32</v>
      </c>
      <c r="BC67" s="1"/>
      <c r="BE67" s="54"/>
      <c r="BF67" s="39"/>
      <c r="BG67" s="35"/>
      <c r="BI67" s="1"/>
      <c r="BJ67" s="36" t="s">
        <v>1071</v>
      </c>
      <c r="BK67" s="54">
        <v>400.0</v>
      </c>
      <c r="BL67" s="39">
        <v>21.0</v>
      </c>
      <c r="BM67" s="35" t="s">
        <v>32</v>
      </c>
      <c r="BN67" s="36" t="s">
        <v>32</v>
      </c>
      <c r="BO67" s="1"/>
      <c r="BP67" s="36" t="s">
        <v>848</v>
      </c>
      <c r="BQ67" s="54">
        <v>20.0</v>
      </c>
      <c r="BR67" s="39">
        <v>30.0</v>
      </c>
      <c r="BS67" s="35" t="s">
        <v>28</v>
      </c>
      <c r="BT67" s="36" t="s">
        <v>34</v>
      </c>
      <c r="BU67" s="1"/>
    </row>
    <row r="68">
      <c r="A68" s="1"/>
      <c r="B68" s="36" t="s">
        <v>1072</v>
      </c>
      <c r="C68" s="54">
        <v>20.0</v>
      </c>
      <c r="D68" s="36">
        <v>24.0</v>
      </c>
      <c r="E68" s="35" t="s">
        <v>28</v>
      </c>
      <c r="F68" s="36" t="s">
        <v>32</v>
      </c>
      <c r="G68" s="1"/>
      <c r="H68" s="36" t="s">
        <v>88</v>
      </c>
      <c r="I68" s="54">
        <v>200.0</v>
      </c>
      <c r="J68" s="39">
        <v>21.0</v>
      </c>
      <c r="K68" s="35" t="s">
        <v>32</v>
      </c>
      <c r="L68" s="36" t="s">
        <v>32</v>
      </c>
      <c r="M68" s="1"/>
      <c r="N68" s="36" t="s">
        <v>100</v>
      </c>
      <c r="O68" s="54">
        <v>100.0</v>
      </c>
      <c r="P68" s="39">
        <v>27.0</v>
      </c>
      <c r="Q68" s="35" t="s">
        <v>32</v>
      </c>
      <c r="R68" s="36" t="s">
        <v>32</v>
      </c>
      <c r="S68" s="1"/>
      <c r="T68" s="36" t="s">
        <v>1073</v>
      </c>
      <c r="U68" s="54">
        <v>300.0</v>
      </c>
      <c r="V68" s="39">
        <v>28.0</v>
      </c>
      <c r="W68" s="35" t="s">
        <v>32</v>
      </c>
      <c r="X68" s="36" t="s">
        <v>32</v>
      </c>
      <c r="Y68" s="1"/>
      <c r="Z68" s="36" t="s">
        <v>1074</v>
      </c>
      <c r="AA68" s="54">
        <v>47.0</v>
      </c>
      <c r="AB68" s="39">
        <v>20.0</v>
      </c>
      <c r="AC68" s="35" t="s">
        <v>28</v>
      </c>
      <c r="AD68" s="36" t="s">
        <v>34</v>
      </c>
      <c r="AE68" s="1"/>
      <c r="AG68" s="54"/>
      <c r="AH68" s="39"/>
      <c r="AI68" s="35"/>
      <c r="AK68" s="1"/>
      <c r="AM68" s="54"/>
      <c r="AN68" s="39"/>
      <c r="AO68" s="35"/>
      <c r="AQ68" s="1"/>
      <c r="AR68" s="36" t="s">
        <v>1075</v>
      </c>
      <c r="AS68" s="54">
        <v>15.0</v>
      </c>
      <c r="AT68" s="39">
        <v>29.0</v>
      </c>
      <c r="AU68" s="35" t="s">
        <v>28</v>
      </c>
      <c r="AV68" s="36" t="s">
        <v>34</v>
      </c>
      <c r="AW68" s="1"/>
      <c r="AX68" s="36" t="s">
        <v>1076</v>
      </c>
      <c r="AY68" s="54">
        <v>26.0</v>
      </c>
      <c r="AZ68" s="39">
        <v>21.0</v>
      </c>
      <c r="BA68" s="35" t="s">
        <v>28</v>
      </c>
      <c r="BB68" s="36" t="s">
        <v>32</v>
      </c>
      <c r="BC68" s="1"/>
      <c r="BE68" s="54"/>
      <c r="BF68" s="39"/>
      <c r="BG68" s="35"/>
      <c r="BI68" s="1"/>
      <c r="BJ68" s="36" t="s">
        <v>1077</v>
      </c>
      <c r="BK68" s="54">
        <v>140.0</v>
      </c>
      <c r="BL68" s="39">
        <v>21.0</v>
      </c>
      <c r="BM68" s="35" t="s">
        <v>28</v>
      </c>
      <c r="BN68" s="36" t="s">
        <v>34</v>
      </c>
      <c r="BO68" s="1"/>
      <c r="BP68" s="36" t="s">
        <v>1078</v>
      </c>
      <c r="BQ68" s="54">
        <v>35.0</v>
      </c>
      <c r="BR68" s="39">
        <v>30.0</v>
      </c>
      <c r="BS68" s="35" t="s">
        <v>28</v>
      </c>
      <c r="BT68" s="36" t="s">
        <v>34</v>
      </c>
      <c r="BU68" s="1"/>
    </row>
    <row r="69">
      <c r="A69" s="1"/>
      <c r="B69" s="36" t="s">
        <v>1079</v>
      </c>
      <c r="C69" s="54">
        <v>149.0</v>
      </c>
      <c r="D69" s="36">
        <v>26.0</v>
      </c>
      <c r="E69" s="35" t="s">
        <v>28</v>
      </c>
      <c r="F69" s="36" t="s">
        <v>34</v>
      </c>
      <c r="G69" s="1"/>
      <c r="H69" s="36" t="s">
        <v>100</v>
      </c>
      <c r="I69" s="54">
        <v>130.0</v>
      </c>
      <c r="J69" s="39">
        <v>21.0</v>
      </c>
      <c r="K69" s="35" t="s">
        <v>32</v>
      </c>
      <c r="L69" s="36" t="s">
        <v>32</v>
      </c>
      <c r="M69" s="1"/>
      <c r="N69" s="36" t="s">
        <v>109</v>
      </c>
      <c r="O69" s="54">
        <v>40.0</v>
      </c>
      <c r="P69" s="39">
        <v>30.0</v>
      </c>
      <c r="Q69" s="35" t="s">
        <v>28</v>
      </c>
      <c r="R69" s="36" t="s">
        <v>32</v>
      </c>
      <c r="S69" s="1"/>
      <c r="T69" s="36" t="s">
        <v>92</v>
      </c>
      <c r="U69" s="54">
        <v>7.0</v>
      </c>
      <c r="V69" s="39">
        <v>29.0</v>
      </c>
      <c r="W69" s="35" t="s">
        <v>32</v>
      </c>
      <c r="X69" s="36" t="s">
        <v>32</v>
      </c>
      <c r="Y69" s="1"/>
      <c r="Z69" s="36" t="s">
        <v>1080</v>
      </c>
      <c r="AA69" s="54">
        <v>45.0</v>
      </c>
      <c r="AB69" s="39">
        <v>23.0</v>
      </c>
      <c r="AC69" s="35" t="s">
        <v>28</v>
      </c>
      <c r="AD69" s="36" t="s">
        <v>34</v>
      </c>
      <c r="AE69" s="1"/>
      <c r="AG69" s="54"/>
      <c r="AH69" s="39"/>
      <c r="AI69" s="35"/>
      <c r="AK69" s="1"/>
      <c r="AM69" s="54"/>
      <c r="AN69" s="39"/>
      <c r="AO69" s="35"/>
      <c r="AQ69" s="1"/>
      <c r="AR69" s="36" t="s">
        <v>191</v>
      </c>
      <c r="AS69" s="54">
        <v>15.0</v>
      </c>
      <c r="AT69" s="39">
        <v>25.0</v>
      </c>
      <c r="AU69" s="35" t="s">
        <v>28</v>
      </c>
      <c r="AV69" s="36" t="s">
        <v>32</v>
      </c>
      <c r="AW69" s="1"/>
      <c r="AX69" s="36" t="s">
        <v>218</v>
      </c>
      <c r="AY69" s="54">
        <v>25.0</v>
      </c>
      <c r="AZ69" s="39">
        <v>23.0</v>
      </c>
      <c r="BA69" s="35" t="s">
        <v>32</v>
      </c>
      <c r="BB69" s="36" t="s">
        <v>32</v>
      </c>
      <c r="BC69" s="1"/>
      <c r="BE69" s="54"/>
      <c r="BF69" s="39"/>
      <c r="BG69" s="35"/>
      <c r="BI69" s="1"/>
      <c r="BJ69" s="36" t="s">
        <v>92</v>
      </c>
      <c r="BK69" s="54">
        <v>50.0</v>
      </c>
      <c r="BL69" s="39">
        <v>23.0</v>
      </c>
      <c r="BM69" s="35" t="s">
        <v>32</v>
      </c>
      <c r="BN69" s="36" t="s">
        <v>32</v>
      </c>
      <c r="BO69" s="1"/>
      <c r="BP69" s="36" t="s">
        <v>1081</v>
      </c>
      <c r="BQ69" s="54">
        <v>60.0</v>
      </c>
      <c r="BR69" s="39">
        <v>30.0</v>
      </c>
      <c r="BS69" s="35" t="s">
        <v>28</v>
      </c>
      <c r="BT69" s="36" t="s">
        <v>34</v>
      </c>
      <c r="BU69" s="1"/>
    </row>
    <row r="70">
      <c r="A70" s="1"/>
      <c r="B70" s="36" t="s">
        <v>310</v>
      </c>
      <c r="C70" s="54">
        <v>114.0</v>
      </c>
      <c r="D70" s="36">
        <v>27.0</v>
      </c>
      <c r="E70" s="35" t="s">
        <v>28</v>
      </c>
      <c r="F70" s="36" t="s">
        <v>32</v>
      </c>
      <c r="G70" s="1"/>
      <c r="H70" s="36" t="s">
        <v>100</v>
      </c>
      <c r="I70" s="54">
        <v>100.0</v>
      </c>
      <c r="J70" s="39">
        <v>20.0</v>
      </c>
      <c r="K70" s="35" t="s">
        <v>32</v>
      </c>
      <c r="L70" s="36" t="s">
        <v>32</v>
      </c>
      <c r="M70" s="1"/>
      <c r="N70" s="36" t="s">
        <v>695</v>
      </c>
      <c r="O70" s="54">
        <v>194.25</v>
      </c>
      <c r="P70" s="39">
        <v>30.0</v>
      </c>
      <c r="Q70" s="35" t="s">
        <v>32</v>
      </c>
      <c r="R70" s="36" t="s">
        <v>32</v>
      </c>
      <c r="S70" s="1"/>
      <c r="T70" s="36"/>
      <c r="U70" s="54"/>
      <c r="V70" s="39"/>
      <c r="W70" s="35"/>
      <c r="X70" s="36"/>
      <c r="Y70" s="1"/>
      <c r="Z70" s="36" t="s">
        <v>1082</v>
      </c>
      <c r="AA70" s="54">
        <v>50.0</v>
      </c>
      <c r="AB70" s="39">
        <v>12.0</v>
      </c>
      <c r="AC70" s="35" t="s">
        <v>28</v>
      </c>
      <c r="AD70" s="36" t="s">
        <v>32</v>
      </c>
      <c r="AE70" s="1"/>
      <c r="AG70" s="54"/>
      <c r="AH70" s="39"/>
      <c r="AI70" s="35"/>
      <c r="AK70" s="1"/>
      <c r="AM70" s="54"/>
      <c r="AN70" s="39"/>
      <c r="AO70" s="35"/>
      <c r="AQ70" s="1"/>
      <c r="AS70" s="54"/>
      <c r="AT70" s="39"/>
      <c r="AU70" s="35"/>
      <c r="AW70" s="1"/>
      <c r="AX70" s="36" t="s">
        <v>1083</v>
      </c>
      <c r="AY70" s="54">
        <v>5.0</v>
      </c>
      <c r="AZ70" s="39">
        <v>26.0</v>
      </c>
      <c r="BA70" s="35" t="s">
        <v>1084</v>
      </c>
      <c r="BB70" s="36" t="s">
        <v>32</v>
      </c>
      <c r="BC70" s="1"/>
      <c r="BE70" s="54"/>
      <c r="BF70" s="39"/>
      <c r="BG70" s="35"/>
      <c r="BI70" s="1"/>
      <c r="BJ70" s="36" t="s">
        <v>1085</v>
      </c>
      <c r="BK70" s="54">
        <v>20.0</v>
      </c>
      <c r="BL70" s="39">
        <v>23.0</v>
      </c>
      <c r="BM70" s="35" t="s">
        <v>28</v>
      </c>
      <c r="BN70" s="36" t="s">
        <v>34</v>
      </c>
      <c r="BO70" s="1"/>
      <c r="BP70" s="36" t="s">
        <v>254</v>
      </c>
      <c r="BQ70" s="54">
        <v>130.0</v>
      </c>
      <c r="BR70" s="39">
        <v>31.0</v>
      </c>
      <c r="BS70" s="35" t="s">
        <v>28</v>
      </c>
      <c r="BT70" s="36" t="s">
        <v>34</v>
      </c>
      <c r="BU70" s="1"/>
    </row>
    <row r="71">
      <c r="A71" s="1"/>
      <c r="B71" s="36" t="s">
        <v>109</v>
      </c>
      <c r="C71" s="54">
        <v>80.0</v>
      </c>
      <c r="D71" s="36">
        <v>27.0</v>
      </c>
      <c r="E71" s="35" t="s">
        <v>28</v>
      </c>
      <c r="F71" s="36" t="s">
        <v>34</v>
      </c>
      <c r="G71" s="1"/>
      <c r="H71" s="36" t="s">
        <v>1086</v>
      </c>
      <c r="I71" s="54">
        <v>75.0</v>
      </c>
      <c r="J71" s="39">
        <v>22.0</v>
      </c>
      <c r="K71" s="35" t="s">
        <v>28</v>
      </c>
      <c r="L71" s="36" t="s">
        <v>34</v>
      </c>
      <c r="M71" s="1"/>
      <c r="N71" s="36" t="s">
        <v>1087</v>
      </c>
      <c r="O71" s="54">
        <v>150.0</v>
      </c>
      <c r="P71" s="39">
        <v>29.0</v>
      </c>
      <c r="Q71" s="35" t="s">
        <v>30</v>
      </c>
      <c r="R71" s="36" t="s">
        <v>34</v>
      </c>
      <c r="S71" s="1"/>
      <c r="T71" s="36"/>
      <c r="U71" s="54"/>
      <c r="V71" s="39"/>
      <c r="W71" s="35"/>
      <c r="X71" s="36"/>
      <c r="Y71" s="1"/>
      <c r="Z71" s="36" t="s">
        <v>298</v>
      </c>
      <c r="AA71" s="54">
        <v>100.0</v>
      </c>
      <c r="AB71" s="39">
        <v>23.0</v>
      </c>
      <c r="AC71" s="35" t="s">
        <v>28</v>
      </c>
      <c r="AD71" s="36" t="s">
        <v>32</v>
      </c>
      <c r="AE71" s="1"/>
      <c r="AG71" s="54"/>
      <c r="AH71" s="39"/>
      <c r="AI71" s="35"/>
      <c r="AK71" s="1"/>
      <c r="AM71" s="54"/>
      <c r="AN71" s="39"/>
      <c r="AO71" s="35"/>
      <c r="AQ71" s="1"/>
      <c r="AS71" s="54"/>
      <c r="AT71" s="39"/>
      <c r="AU71" s="35"/>
      <c r="AW71" s="1"/>
      <c r="AX71" s="36" t="s">
        <v>695</v>
      </c>
      <c r="AY71" s="54">
        <v>20.0</v>
      </c>
      <c r="AZ71" s="39">
        <v>26.0</v>
      </c>
      <c r="BA71" s="35" t="s">
        <v>28</v>
      </c>
      <c r="BB71" s="36" t="s">
        <v>34</v>
      </c>
      <c r="BC71" s="1"/>
      <c r="BE71" s="54"/>
      <c r="BF71" s="39"/>
      <c r="BG71" s="35"/>
      <c r="BI71" s="1"/>
      <c r="BJ71" s="36" t="s">
        <v>92</v>
      </c>
      <c r="BK71" s="54">
        <v>1.0</v>
      </c>
      <c r="BL71" s="39">
        <v>24.0</v>
      </c>
      <c r="BM71" s="35" t="s">
        <v>32</v>
      </c>
      <c r="BN71" s="36" t="s">
        <v>32</v>
      </c>
      <c r="BO71" s="1"/>
      <c r="BQ71" s="54"/>
      <c r="BR71" s="39"/>
      <c r="BS71" s="35"/>
      <c r="BU71" s="1"/>
    </row>
    <row r="72">
      <c r="A72" s="1"/>
      <c r="B72" s="36" t="s">
        <v>1088</v>
      </c>
      <c r="C72" s="54">
        <v>300.0</v>
      </c>
      <c r="D72" s="36">
        <v>27.0</v>
      </c>
      <c r="E72" s="35" t="s">
        <v>28</v>
      </c>
      <c r="F72" s="36" t="s">
        <v>34</v>
      </c>
      <c r="G72" s="1"/>
      <c r="H72" s="36" t="s">
        <v>1026</v>
      </c>
      <c r="I72" s="54">
        <v>20.0</v>
      </c>
      <c r="J72" s="39">
        <v>22.0</v>
      </c>
      <c r="K72" s="35" t="s">
        <v>28</v>
      </c>
      <c r="L72" s="36" t="s">
        <v>34</v>
      </c>
      <c r="M72" s="1"/>
      <c r="N72" s="36"/>
      <c r="O72" s="54"/>
      <c r="P72" s="39"/>
      <c r="Q72" s="35"/>
      <c r="R72" s="36"/>
      <c r="S72" s="1"/>
      <c r="T72" s="36"/>
      <c r="U72" s="54"/>
      <c r="V72" s="39"/>
      <c r="W72" s="35"/>
      <c r="X72" s="36"/>
      <c r="Y72" s="1"/>
      <c r="Z72" s="36" t="s">
        <v>1089</v>
      </c>
      <c r="AA72" s="54">
        <v>10.0</v>
      </c>
      <c r="AB72" s="39">
        <v>26.0</v>
      </c>
      <c r="AC72" s="35" t="s">
        <v>32</v>
      </c>
      <c r="AD72" s="36" t="s">
        <v>32</v>
      </c>
      <c r="AE72" s="1"/>
      <c r="AG72" s="54"/>
      <c r="AH72" s="39"/>
      <c r="AI72" s="35"/>
      <c r="AK72" s="1"/>
      <c r="AM72" s="54"/>
      <c r="AN72" s="39"/>
      <c r="AO72" s="35"/>
      <c r="AQ72" s="1"/>
      <c r="AS72" s="54"/>
      <c r="AT72" s="39"/>
      <c r="AU72" s="35"/>
      <c r="AW72" s="1"/>
      <c r="AX72" s="36" t="s">
        <v>880</v>
      </c>
      <c r="AY72" s="54">
        <v>60.0</v>
      </c>
      <c r="AZ72" s="39">
        <v>26.0</v>
      </c>
      <c r="BA72" s="35" t="s">
        <v>28</v>
      </c>
      <c r="BB72" s="36" t="s">
        <v>34</v>
      </c>
      <c r="BC72" s="1"/>
      <c r="BE72" s="54"/>
      <c r="BF72" s="39"/>
      <c r="BG72" s="35"/>
      <c r="BI72" s="1"/>
      <c r="BJ72" s="36" t="s">
        <v>100</v>
      </c>
      <c r="BK72" s="54">
        <v>100.0</v>
      </c>
      <c r="BL72" s="39">
        <v>25.0</v>
      </c>
      <c r="BM72" s="35" t="s">
        <v>32</v>
      </c>
      <c r="BN72" s="36" t="s">
        <v>32</v>
      </c>
      <c r="BO72" s="1"/>
      <c r="BQ72" s="54"/>
      <c r="BR72" s="39"/>
      <c r="BS72" s="35"/>
      <c r="BU72" s="1"/>
    </row>
    <row r="73">
      <c r="A73" s="1"/>
      <c r="B73" s="36" t="s">
        <v>235</v>
      </c>
      <c r="C73" s="54">
        <v>26.0</v>
      </c>
      <c r="D73" s="36">
        <v>29.0</v>
      </c>
      <c r="E73" s="35" t="s">
        <v>28</v>
      </c>
      <c r="F73" s="36" t="s">
        <v>34</v>
      </c>
      <c r="G73" s="1"/>
      <c r="H73" s="36" t="s">
        <v>552</v>
      </c>
      <c r="I73" s="54">
        <v>45.0</v>
      </c>
      <c r="J73" s="39">
        <v>26.0</v>
      </c>
      <c r="K73" s="35" t="s">
        <v>28</v>
      </c>
      <c r="L73" s="36" t="s">
        <v>34</v>
      </c>
      <c r="M73" s="1"/>
      <c r="N73" s="36"/>
      <c r="O73" s="54"/>
      <c r="P73" s="39"/>
      <c r="Q73" s="35"/>
      <c r="R73" s="36"/>
      <c r="S73" s="1"/>
      <c r="T73" s="36"/>
      <c r="U73" s="54"/>
      <c r="V73" s="39"/>
      <c r="W73" s="35"/>
      <c r="X73" s="36"/>
      <c r="Y73" s="1"/>
      <c r="Z73" s="36" t="s">
        <v>100</v>
      </c>
      <c r="AA73" s="54">
        <v>300.0</v>
      </c>
      <c r="AB73" s="39">
        <v>29.0</v>
      </c>
      <c r="AC73" s="35" t="s">
        <v>32</v>
      </c>
      <c r="AD73" s="36" t="s">
        <v>32</v>
      </c>
      <c r="AE73" s="1"/>
      <c r="AG73" s="54"/>
      <c r="AH73" s="39"/>
      <c r="AI73" s="35"/>
      <c r="AK73" s="1"/>
      <c r="AM73" s="54"/>
      <c r="AN73" s="39"/>
      <c r="AO73" s="35"/>
      <c r="AQ73" s="1"/>
      <c r="AS73" s="54"/>
      <c r="AT73" s="39"/>
      <c r="AU73" s="35"/>
      <c r="AW73" s="1"/>
      <c r="AX73" s="36" t="s">
        <v>660</v>
      </c>
      <c r="AY73" s="54">
        <v>12.0</v>
      </c>
      <c r="AZ73" s="39">
        <v>28.0</v>
      </c>
      <c r="BA73" s="35" t="s">
        <v>28</v>
      </c>
      <c r="BB73" s="36" t="s">
        <v>34</v>
      </c>
      <c r="BC73" s="1"/>
      <c r="BE73" s="54"/>
      <c r="BF73" s="39"/>
      <c r="BG73" s="35"/>
      <c r="BI73" s="1"/>
      <c r="BJ73" s="36" t="s">
        <v>109</v>
      </c>
      <c r="BK73" s="54">
        <v>27.0</v>
      </c>
      <c r="BL73" s="39">
        <v>25.0</v>
      </c>
      <c r="BM73" s="35" t="s">
        <v>28</v>
      </c>
      <c r="BN73" s="36" t="s">
        <v>34</v>
      </c>
      <c r="BO73" s="1"/>
      <c r="BQ73" s="54"/>
      <c r="BR73" s="39"/>
      <c r="BS73" s="35"/>
      <c r="BU73" s="1"/>
    </row>
    <row r="74">
      <c r="A74" s="1"/>
      <c r="B74" s="36" t="s">
        <v>100</v>
      </c>
      <c r="C74" s="54">
        <v>100.0</v>
      </c>
      <c r="D74" s="36">
        <v>30.0</v>
      </c>
      <c r="E74" s="35" t="s">
        <v>32</v>
      </c>
      <c r="F74" s="36" t="s">
        <v>32</v>
      </c>
      <c r="G74" s="1"/>
      <c r="H74" s="36" t="s">
        <v>667</v>
      </c>
      <c r="I74" s="54">
        <v>71.0</v>
      </c>
      <c r="J74" s="39">
        <v>26.0</v>
      </c>
      <c r="K74" s="35" t="s">
        <v>28</v>
      </c>
      <c r="L74" s="36" t="s">
        <v>34</v>
      </c>
      <c r="M74" s="1"/>
      <c r="N74" s="36"/>
      <c r="O74" s="54"/>
      <c r="P74" s="39"/>
      <c r="Q74" s="35"/>
      <c r="R74" s="36"/>
      <c r="S74" s="1"/>
      <c r="T74" s="36"/>
      <c r="U74" s="54"/>
      <c r="V74" s="39"/>
      <c r="W74" s="35"/>
      <c r="X74" s="36"/>
      <c r="Y74" s="1"/>
      <c r="Z74" s="36" t="s">
        <v>1090</v>
      </c>
      <c r="AA74" s="54">
        <v>100.0</v>
      </c>
      <c r="AB74" s="39">
        <v>27.0</v>
      </c>
      <c r="AC74" s="35" t="s">
        <v>32</v>
      </c>
      <c r="AD74" s="36" t="s">
        <v>32</v>
      </c>
      <c r="AE74" s="1"/>
      <c r="AG74" s="54"/>
      <c r="AH74" s="39"/>
      <c r="AI74" s="35"/>
      <c r="AK74" s="1"/>
      <c r="AM74" s="54"/>
      <c r="AN74" s="39"/>
      <c r="AO74" s="35"/>
      <c r="AQ74" s="1"/>
      <c r="AS74" s="54"/>
      <c r="AT74" s="39"/>
      <c r="AU74" s="35"/>
      <c r="AW74" s="1"/>
      <c r="AX74" s="36" t="s">
        <v>582</v>
      </c>
      <c r="AY74" s="54">
        <v>7.55</v>
      </c>
      <c r="AZ74" s="39">
        <v>29.0</v>
      </c>
      <c r="BA74" s="35" t="s">
        <v>28</v>
      </c>
      <c r="BB74" s="36" t="s">
        <v>34</v>
      </c>
      <c r="BC74" s="1"/>
      <c r="BE74" s="54"/>
      <c r="BF74" s="39"/>
      <c r="BG74" s="35"/>
      <c r="BI74" s="1"/>
      <c r="BJ74" s="36" t="s">
        <v>235</v>
      </c>
      <c r="BK74" s="54">
        <v>60.0</v>
      </c>
      <c r="BL74" s="39">
        <v>28.0</v>
      </c>
      <c r="BM74" s="35" t="s">
        <v>28</v>
      </c>
      <c r="BN74" s="36" t="s">
        <v>32</v>
      </c>
      <c r="BO74" s="1"/>
      <c r="BQ74" s="54"/>
      <c r="BR74" s="39"/>
      <c r="BS74" s="35"/>
      <c r="BU74" s="1"/>
    </row>
    <row r="75">
      <c r="A75" s="1"/>
      <c r="B75" s="36" t="s">
        <v>1091</v>
      </c>
      <c r="C75" s="54">
        <v>50.0</v>
      </c>
      <c r="D75" s="36">
        <v>31.0</v>
      </c>
      <c r="E75" s="35" t="s">
        <v>32</v>
      </c>
      <c r="F75" s="36" t="s">
        <v>32</v>
      </c>
      <c r="G75" s="1"/>
      <c r="H75" s="36" t="s">
        <v>951</v>
      </c>
      <c r="I75" s="54">
        <v>41.0</v>
      </c>
      <c r="J75" s="39">
        <v>28.0</v>
      </c>
      <c r="K75" s="35" t="s">
        <v>28</v>
      </c>
      <c r="L75" s="36" t="s">
        <v>34</v>
      </c>
      <c r="M75" s="1"/>
      <c r="N75" s="36"/>
      <c r="O75" s="54"/>
      <c r="P75" s="39"/>
      <c r="Q75" s="35"/>
      <c r="R75" s="36"/>
      <c r="S75" s="1"/>
      <c r="T75" s="36"/>
      <c r="U75" s="54"/>
      <c r="V75" s="39"/>
      <c r="W75" s="35"/>
      <c r="X75" s="36"/>
      <c r="Y75" s="1"/>
      <c r="Z75" s="36"/>
      <c r="AA75" s="54"/>
      <c r="AB75" s="39"/>
      <c r="AC75" s="35"/>
      <c r="AD75" s="36"/>
      <c r="AE75" s="1"/>
      <c r="AG75" s="54"/>
      <c r="AH75" s="39"/>
      <c r="AI75" s="35"/>
      <c r="AK75" s="1"/>
      <c r="AM75" s="54"/>
      <c r="AN75" s="39"/>
      <c r="AO75" s="35"/>
      <c r="AQ75" s="1"/>
      <c r="AS75" s="54"/>
      <c r="AT75" s="39"/>
      <c r="AU75" s="35"/>
      <c r="AW75" s="1"/>
      <c r="AX75" s="36" t="s">
        <v>299</v>
      </c>
      <c r="AY75" s="54">
        <v>83.0</v>
      </c>
      <c r="AZ75" s="39">
        <v>30.0</v>
      </c>
      <c r="BA75" s="35" t="s">
        <v>28</v>
      </c>
      <c r="BB75" s="36" t="s">
        <v>34</v>
      </c>
      <c r="BC75" s="1"/>
      <c r="BE75" s="54"/>
      <c r="BF75" s="39"/>
      <c r="BG75" s="35"/>
      <c r="BI75" s="1"/>
      <c r="BJ75" s="36" t="s">
        <v>288</v>
      </c>
      <c r="BK75" s="54">
        <v>250.0</v>
      </c>
      <c r="BL75" s="39">
        <v>28.0</v>
      </c>
      <c r="BM75" s="35" t="s">
        <v>32</v>
      </c>
      <c r="BN75" s="36" t="s">
        <v>32</v>
      </c>
      <c r="BO75" s="1"/>
      <c r="BQ75" s="54"/>
      <c r="BR75" s="39"/>
      <c r="BS75" s="35"/>
      <c r="BU75" s="1"/>
    </row>
    <row r="76">
      <c r="A76" s="1"/>
      <c r="B76" s="36"/>
      <c r="C76" s="54"/>
      <c r="D76" s="36"/>
      <c r="E76" s="35"/>
      <c r="F76" s="36"/>
      <c r="G76" s="1"/>
      <c r="H76" s="36" t="s">
        <v>1092</v>
      </c>
      <c r="I76" s="54">
        <v>20.0</v>
      </c>
      <c r="J76" s="39">
        <v>28.0</v>
      </c>
      <c r="K76" s="35" t="s">
        <v>28</v>
      </c>
      <c r="L76" s="36" t="s">
        <v>34</v>
      </c>
      <c r="M76" s="1"/>
      <c r="N76" s="36"/>
      <c r="O76" s="54"/>
      <c r="P76" s="39"/>
      <c r="Q76" s="35"/>
      <c r="R76" s="36"/>
      <c r="S76" s="1"/>
      <c r="T76" s="36"/>
      <c r="U76" s="54"/>
      <c r="V76" s="39"/>
      <c r="W76" s="35"/>
      <c r="X76" s="36"/>
      <c r="Y76" s="1"/>
      <c r="Z76" s="36"/>
      <c r="AA76" s="54"/>
      <c r="AB76" s="39"/>
      <c r="AC76" s="35"/>
      <c r="AD76" s="36"/>
      <c r="AE76" s="1"/>
      <c r="AG76" s="54"/>
      <c r="AH76" s="39"/>
      <c r="AI76" s="35"/>
      <c r="AK76" s="1"/>
      <c r="AM76" s="54"/>
      <c r="AN76" s="39"/>
      <c r="AO76" s="35"/>
      <c r="AQ76" s="1"/>
      <c r="AS76" s="54"/>
      <c r="AT76" s="39"/>
      <c r="AU76" s="35"/>
      <c r="AW76" s="1"/>
      <c r="AX76" s="36" t="s">
        <v>1093</v>
      </c>
      <c r="AY76" s="54">
        <v>317.25</v>
      </c>
      <c r="AZ76" s="39">
        <v>30.0</v>
      </c>
      <c r="BA76" s="35" t="s">
        <v>28</v>
      </c>
      <c r="BB76" s="36" t="s">
        <v>34</v>
      </c>
      <c r="BC76" s="1"/>
      <c r="BE76" s="54"/>
      <c r="BF76" s="39"/>
      <c r="BG76" s="35"/>
      <c r="BI76" s="1"/>
      <c r="BJ76" s="36" t="s">
        <v>100</v>
      </c>
      <c r="BK76" s="54">
        <v>100.0</v>
      </c>
      <c r="BL76" s="39">
        <v>28.0</v>
      </c>
      <c r="BM76" s="35" t="s">
        <v>32</v>
      </c>
      <c r="BN76" s="36" t="s">
        <v>32</v>
      </c>
      <c r="BO76" s="1"/>
      <c r="BQ76" s="54"/>
      <c r="BR76" s="39"/>
      <c r="BS76" s="35"/>
      <c r="BU76" s="1"/>
    </row>
    <row r="77">
      <c r="A77" s="1"/>
      <c r="B77" s="36"/>
      <c r="C77" s="54"/>
      <c r="D77" s="36"/>
      <c r="E77" s="35"/>
      <c r="F77" s="36"/>
      <c r="G77" s="1"/>
      <c r="H77" s="36"/>
      <c r="I77" s="54"/>
      <c r="J77" s="39"/>
      <c r="K77" s="35"/>
      <c r="L77" s="36"/>
      <c r="M77" s="1"/>
      <c r="N77" s="36"/>
      <c r="O77" s="54"/>
      <c r="P77" s="39"/>
      <c r="Q77" s="35"/>
      <c r="R77" s="36"/>
      <c r="S77" s="1"/>
      <c r="T77" s="36"/>
      <c r="U77" s="54"/>
      <c r="V77" s="39"/>
      <c r="W77" s="35"/>
      <c r="X77" s="36"/>
      <c r="Y77" s="1"/>
      <c r="Z77" s="36"/>
      <c r="AA77" s="54"/>
      <c r="AB77" s="39"/>
      <c r="AC77" s="35"/>
      <c r="AD77" s="36"/>
      <c r="AE77" s="1"/>
      <c r="AG77" s="54"/>
      <c r="AH77" s="39"/>
      <c r="AI77" s="35"/>
      <c r="AK77" s="1"/>
      <c r="AM77" s="54"/>
      <c r="AN77" s="39"/>
      <c r="AO77" s="35"/>
      <c r="AQ77" s="1"/>
      <c r="AS77" s="54"/>
      <c r="AT77" s="39"/>
      <c r="AU77" s="35"/>
      <c r="AW77" s="1"/>
      <c r="AX77" s="36" t="s">
        <v>109</v>
      </c>
      <c r="AY77" s="54">
        <v>85.0</v>
      </c>
      <c r="AZ77" s="39">
        <v>26.0</v>
      </c>
      <c r="BA77" s="35" t="s">
        <v>28</v>
      </c>
      <c r="BB77" s="36" t="s">
        <v>32</v>
      </c>
      <c r="BC77" s="1"/>
      <c r="BE77" s="54"/>
      <c r="BF77" s="39"/>
      <c r="BG77" s="35"/>
      <c r="BI77" s="1"/>
      <c r="BJ77" s="36" t="s">
        <v>130</v>
      </c>
      <c r="BK77" s="54">
        <v>50.0</v>
      </c>
      <c r="BL77" s="39">
        <v>28.0</v>
      </c>
      <c r="BM77" s="35" t="s">
        <v>32</v>
      </c>
      <c r="BN77" s="36" t="s">
        <v>32</v>
      </c>
      <c r="BO77" s="1"/>
      <c r="BQ77" s="54"/>
      <c r="BR77" s="39"/>
      <c r="BS77" s="35"/>
      <c r="BU77" s="1"/>
    </row>
    <row r="78">
      <c r="A78" s="1"/>
      <c r="B78" s="36"/>
      <c r="C78" s="54"/>
      <c r="D78" s="36"/>
      <c r="E78" s="35"/>
      <c r="F78" s="36"/>
      <c r="G78" s="1"/>
      <c r="H78" s="36"/>
      <c r="I78" s="54"/>
      <c r="J78" s="39"/>
      <c r="K78" s="35"/>
      <c r="L78" s="36"/>
      <c r="M78" s="1"/>
      <c r="N78" s="36"/>
      <c r="O78" s="54"/>
      <c r="P78" s="39"/>
      <c r="Q78" s="35"/>
      <c r="R78" s="36"/>
      <c r="S78" s="1"/>
      <c r="T78" s="36"/>
      <c r="U78" s="54"/>
      <c r="V78" s="39"/>
      <c r="W78" s="35"/>
      <c r="X78" s="36"/>
      <c r="Y78" s="1"/>
      <c r="Z78" s="36"/>
      <c r="AA78" s="54"/>
      <c r="AB78" s="39"/>
      <c r="AC78" s="35"/>
      <c r="AD78" s="36"/>
      <c r="AE78" s="1"/>
      <c r="AG78" s="54"/>
      <c r="AH78" s="39"/>
      <c r="AI78" s="35"/>
      <c r="AK78" s="1"/>
      <c r="AM78" s="54"/>
      <c r="AN78" s="39"/>
      <c r="AO78" s="35"/>
      <c r="AQ78" s="1"/>
      <c r="AS78" s="54"/>
      <c r="AT78" s="39"/>
      <c r="AU78" s="35"/>
      <c r="AW78" s="1"/>
      <c r="AX78" s="36" t="s">
        <v>124</v>
      </c>
      <c r="AY78" s="54">
        <v>-5.0</v>
      </c>
      <c r="AZ78" s="39">
        <v>30.0</v>
      </c>
      <c r="BA78" s="35" t="s">
        <v>32</v>
      </c>
      <c r="BB78" s="36" t="s">
        <v>32</v>
      </c>
      <c r="BC78" s="1"/>
      <c r="BE78" s="54"/>
      <c r="BF78" s="39"/>
      <c r="BG78" s="35"/>
      <c r="BI78" s="1"/>
      <c r="BJ78" s="36" t="s">
        <v>453</v>
      </c>
      <c r="BK78" s="54">
        <v>20.0</v>
      </c>
      <c r="BL78" s="39">
        <v>29.0</v>
      </c>
      <c r="BM78" s="35" t="s">
        <v>28</v>
      </c>
      <c r="BN78" s="36" t="s">
        <v>34</v>
      </c>
      <c r="BO78" s="1"/>
      <c r="BQ78" s="54"/>
      <c r="BR78" s="39"/>
      <c r="BS78" s="35"/>
      <c r="BU78" s="1"/>
    </row>
    <row r="79">
      <c r="A79" s="1"/>
      <c r="B79" s="36"/>
      <c r="C79" s="54"/>
      <c r="D79" s="36"/>
      <c r="E79" s="35"/>
      <c r="F79" s="36"/>
      <c r="G79" s="1"/>
      <c r="H79" s="36"/>
      <c r="I79" s="54"/>
      <c r="J79" s="39"/>
      <c r="K79" s="35"/>
      <c r="L79" s="36"/>
      <c r="M79" s="1"/>
      <c r="N79" s="36"/>
      <c r="O79" s="54"/>
      <c r="P79" s="39"/>
      <c r="Q79" s="35"/>
      <c r="R79" s="36"/>
      <c r="S79" s="1"/>
      <c r="T79" s="36"/>
      <c r="U79" s="54"/>
      <c r="V79" s="39"/>
      <c r="W79" s="35"/>
      <c r="X79" s="36"/>
      <c r="Y79" s="1"/>
      <c r="Z79" s="36"/>
      <c r="AA79" s="54"/>
      <c r="AB79" s="39"/>
      <c r="AC79" s="35"/>
      <c r="AD79" s="36"/>
      <c r="AE79" s="1"/>
      <c r="AG79" s="54"/>
      <c r="AH79" s="39"/>
      <c r="AI79" s="35"/>
      <c r="AK79" s="1"/>
      <c r="AM79" s="54"/>
      <c r="AN79" s="39"/>
      <c r="AO79" s="35"/>
      <c r="AQ79" s="1"/>
      <c r="AS79" s="54"/>
      <c r="AT79" s="39"/>
      <c r="AU79" s="35"/>
      <c r="AW79" s="1"/>
      <c r="AY79" s="54"/>
      <c r="AZ79" s="39"/>
      <c r="BA79" s="35"/>
      <c r="BC79" s="1"/>
      <c r="BE79" s="54"/>
      <c r="BF79" s="39"/>
      <c r="BG79" s="35"/>
      <c r="BI79" s="1"/>
      <c r="BJ79" s="36" t="s">
        <v>495</v>
      </c>
      <c r="BK79" s="54">
        <v>132.0</v>
      </c>
      <c r="BL79" s="39">
        <v>30.0</v>
      </c>
      <c r="BM79" s="35" t="s">
        <v>28</v>
      </c>
      <c r="BN79" s="36" t="s">
        <v>32</v>
      </c>
      <c r="BO79" s="1"/>
      <c r="BQ79" s="54"/>
      <c r="BR79" s="39"/>
      <c r="BS79" s="35"/>
      <c r="BU79" s="1"/>
    </row>
    <row r="80">
      <c r="A80" s="1"/>
      <c r="B80" s="36"/>
      <c r="C80" s="54"/>
      <c r="D80" s="36"/>
      <c r="E80" s="35"/>
      <c r="F80" s="36"/>
      <c r="G80" s="1"/>
      <c r="H80" s="36"/>
      <c r="I80" s="54"/>
      <c r="J80" s="39"/>
      <c r="K80" s="35"/>
      <c r="L80" s="36"/>
      <c r="M80" s="1"/>
      <c r="N80" s="36"/>
      <c r="O80" s="54"/>
      <c r="P80" s="39"/>
      <c r="Q80" s="35"/>
      <c r="R80" s="36"/>
      <c r="S80" s="1"/>
      <c r="T80" s="36"/>
      <c r="U80" s="54"/>
      <c r="V80" s="39"/>
      <c r="W80" s="35"/>
      <c r="X80" s="36"/>
      <c r="Y80" s="1"/>
      <c r="Z80" s="36"/>
      <c r="AA80" s="54"/>
      <c r="AB80" s="39"/>
      <c r="AC80" s="35"/>
      <c r="AD80" s="36"/>
      <c r="AE80" s="1"/>
      <c r="AG80" s="54"/>
      <c r="AH80" s="39"/>
      <c r="AI80" s="35"/>
      <c r="AK80" s="1"/>
      <c r="AM80" s="54"/>
      <c r="AN80" s="39"/>
      <c r="AO80" s="35"/>
      <c r="AQ80" s="1"/>
      <c r="AS80" s="54"/>
      <c r="AT80" s="39"/>
      <c r="AU80" s="35"/>
      <c r="AW80" s="1"/>
      <c r="AY80" s="54"/>
      <c r="AZ80" s="39"/>
      <c r="BA80" s="35"/>
      <c r="BC80" s="1"/>
      <c r="BE80" s="54"/>
      <c r="BF80" s="39"/>
      <c r="BG80" s="35"/>
      <c r="BI80" s="1"/>
      <c r="BJ80" s="36" t="s">
        <v>494</v>
      </c>
      <c r="BK80" s="54">
        <v>30.0</v>
      </c>
      <c r="BL80" s="39">
        <v>30.0</v>
      </c>
      <c r="BM80" s="35" t="s">
        <v>28</v>
      </c>
      <c r="BN80" s="36" t="s">
        <v>34</v>
      </c>
      <c r="BO80" s="1"/>
      <c r="BQ80" s="54"/>
      <c r="BR80" s="39"/>
      <c r="BS80" s="35"/>
      <c r="BU80" s="1"/>
    </row>
    <row r="81">
      <c r="A81" s="1"/>
      <c r="B81" s="36"/>
      <c r="C81" s="54"/>
      <c r="D81" s="36"/>
      <c r="E81" s="35"/>
      <c r="F81" s="36"/>
      <c r="G81" s="1"/>
      <c r="H81" s="36"/>
      <c r="I81" s="54"/>
      <c r="J81" s="39"/>
      <c r="K81" s="35"/>
      <c r="L81" s="36"/>
      <c r="M81" s="1"/>
      <c r="N81" s="36"/>
      <c r="O81" s="54"/>
      <c r="P81" s="39"/>
      <c r="Q81" s="35"/>
      <c r="R81" s="36"/>
      <c r="S81" s="1"/>
      <c r="T81" s="36"/>
      <c r="U81" s="54"/>
      <c r="V81" s="39"/>
      <c r="W81" s="35"/>
      <c r="X81" s="36"/>
      <c r="Y81" s="1"/>
      <c r="Z81" s="36"/>
      <c r="AA81" s="54"/>
      <c r="AB81" s="39"/>
      <c r="AC81" s="35"/>
      <c r="AD81" s="36"/>
      <c r="AE81" s="1"/>
      <c r="AG81" s="54"/>
      <c r="AH81" s="39"/>
      <c r="AI81" s="35"/>
      <c r="AK81" s="1"/>
      <c r="AM81" s="54"/>
      <c r="AN81" s="39"/>
      <c r="AO81" s="35"/>
      <c r="AQ81" s="1"/>
      <c r="AS81" s="54"/>
      <c r="AT81" s="39"/>
      <c r="AU81" s="35"/>
      <c r="AW81" s="1"/>
      <c r="AY81" s="54"/>
      <c r="AZ81" s="39"/>
      <c r="BA81" s="35"/>
      <c r="BC81" s="1"/>
      <c r="BE81" s="54"/>
      <c r="BF81" s="39"/>
      <c r="BG81" s="35"/>
      <c r="BI81" s="1"/>
      <c r="BJ81" s="36" t="s">
        <v>295</v>
      </c>
      <c r="BK81" s="54">
        <v>5.0</v>
      </c>
      <c r="BL81" s="39">
        <v>30.0</v>
      </c>
      <c r="BM81" s="35" t="s">
        <v>28</v>
      </c>
      <c r="BN81" s="36" t="s">
        <v>34</v>
      </c>
      <c r="BO81" s="1"/>
      <c r="BQ81" s="54"/>
      <c r="BR81" s="39"/>
      <c r="BS81" s="35"/>
      <c r="BU81" s="1"/>
    </row>
    <row r="82">
      <c r="A82" s="1"/>
      <c r="B82" s="36"/>
      <c r="C82" s="54"/>
      <c r="D82" s="36"/>
      <c r="E82" s="35"/>
      <c r="F82" s="36"/>
      <c r="G82" s="1"/>
      <c r="H82" s="36"/>
      <c r="I82" s="54"/>
      <c r="J82" s="39"/>
      <c r="K82" s="35"/>
      <c r="L82" s="36"/>
      <c r="M82" s="1"/>
      <c r="N82" s="36"/>
      <c r="O82" s="54"/>
      <c r="P82" s="39"/>
      <c r="Q82" s="35"/>
      <c r="R82" s="36"/>
      <c r="S82" s="1"/>
      <c r="T82" s="36"/>
      <c r="U82" s="54"/>
      <c r="V82" s="39"/>
      <c r="W82" s="35"/>
      <c r="X82" s="36"/>
      <c r="Y82" s="1"/>
      <c r="Z82" s="36"/>
      <c r="AA82" s="54"/>
      <c r="AB82" s="39"/>
      <c r="AC82" s="35"/>
      <c r="AD82" s="36"/>
      <c r="AE82" s="1"/>
      <c r="AG82" s="54"/>
      <c r="AH82" s="39"/>
      <c r="AI82" s="35"/>
      <c r="AK82" s="1"/>
      <c r="AM82" s="54"/>
      <c r="AN82" s="39"/>
      <c r="AO82" s="35"/>
      <c r="AQ82" s="1"/>
      <c r="AS82" s="54"/>
      <c r="AT82" s="39"/>
      <c r="AU82" s="35"/>
      <c r="AW82" s="1"/>
      <c r="AY82" s="54"/>
      <c r="AZ82" s="39"/>
      <c r="BA82" s="35"/>
      <c r="BC82" s="1"/>
      <c r="BE82" s="54"/>
      <c r="BF82" s="39"/>
      <c r="BG82" s="35"/>
      <c r="BI82" s="1"/>
      <c r="BK82" s="54"/>
      <c r="BL82" s="39"/>
      <c r="BM82" s="35"/>
      <c r="BO82" s="1"/>
      <c r="BU82" s="1"/>
    </row>
    <row r="83">
      <c r="A83" s="1"/>
      <c r="B83" s="36"/>
      <c r="C83" s="54"/>
      <c r="D83" s="36"/>
      <c r="E83" s="35"/>
      <c r="F83" s="36"/>
      <c r="G83" s="1"/>
      <c r="H83" s="36"/>
      <c r="I83" s="54"/>
      <c r="J83" s="39"/>
      <c r="K83" s="35"/>
      <c r="L83" s="36"/>
      <c r="M83" s="1"/>
      <c r="N83" s="36"/>
      <c r="O83" s="54"/>
      <c r="P83" s="39"/>
      <c r="Q83" s="35"/>
      <c r="R83" s="36"/>
      <c r="S83" s="1"/>
      <c r="T83" s="36"/>
      <c r="U83" s="54"/>
      <c r="V83" s="39"/>
      <c r="W83" s="35"/>
      <c r="X83" s="36"/>
      <c r="Y83" s="1"/>
      <c r="Z83" s="36"/>
      <c r="AA83" s="54"/>
      <c r="AB83" s="39"/>
      <c r="AC83" s="35"/>
      <c r="AD83" s="36"/>
      <c r="AE83" s="1"/>
      <c r="AG83" s="54"/>
      <c r="AH83" s="39"/>
      <c r="AI83" s="35"/>
      <c r="AK83" s="1"/>
      <c r="AM83" s="54"/>
      <c r="AN83" s="39"/>
      <c r="AO83" s="35"/>
      <c r="AQ83" s="1"/>
      <c r="AS83" s="54"/>
      <c r="AT83" s="39"/>
      <c r="AU83" s="35"/>
      <c r="AW83" s="1"/>
      <c r="AY83" s="54"/>
      <c r="AZ83" s="39"/>
      <c r="BA83" s="35"/>
      <c r="BC83" s="1"/>
      <c r="BE83" s="54"/>
      <c r="BF83" s="39"/>
      <c r="BG83" s="35"/>
      <c r="BI83" s="1"/>
      <c r="BK83" s="54"/>
      <c r="BL83" s="39"/>
      <c r="BM83" s="35"/>
      <c r="BO83" s="1"/>
      <c r="BU83" s="1"/>
    </row>
    <row r="84">
      <c r="A84" s="1"/>
      <c r="B84" s="36"/>
      <c r="C84" s="54"/>
      <c r="D84" s="36"/>
      <c r="E84" s="35"/>
      <c r="F84" s="36"/>
      <c r="G84" s="1"/>
      <c r="H84" s="36"/>
      <c r="I84" s="54"/>
      <c r="J84" s="39"/>
      <c r="K84" s="35"/>
      <c r="L84" s="36"/>
      <c r="M84" s="1"/>
      <c r="N84" s="36"/>
      <c r="O84" s="54"/>
      <c r="P84" s="39"/>
      <c r="Q84" s="35"/>
      <c r="R84" s="36"/>
      <c r="S84" s="1"/>
      <c r="T84" s="36"/>
      <c r="U84" s="54"/>
      <c r="V84" s="39"/>
      <c r="W84" s="35"/>
      <c r="X84" s="36"/>
      <c r="Y84" s="1"/>
      <c r="Z84" s="36"/>
      <c r="AA84" s="54"/>
      <c r="AB84" s="39"/>
      <c r="AC84" s="35"/>
      <c r="AD84" s="36"/>
      <c r="AE84" s="1"/>
      <c r="AG84" s="54"/>
      <c r="AH84" s="39"/>
      <c r="AI84" s="35"/>
      <c r="AK84" s="1"/>
      <c r="AM84" s="54"/>
      <c r="AN84" s="39"/>
      <c r="AO84" s="35"/>
      <c r="AQ84" s="1"/>
      <c r="AS84" s="54"/>
      <c r="AT84" s="39"/>
      <c r="AU84" s="35"/>
      <c r="AW84" s="1"/>
      <c r="AY84" s="54"/>
      <c r="AZ84" s="39"/>
      <c r="BA84" s="35"/>
      <c r="BC84" s="1"/>
      <c r="BE84" s="54"/>
      <c r="BF84" s="39"/>
      <c r="BG84" s="35"/>
      <c r="BI84" s="1"/>
      <c r="BK84" s="54"/>
      <c r="BL84" s="39"/>
      <c r="BM84" s="35"/>
      <c r="BO84" s="1"/>
      <c r="BU84" s="1"/>
    </row>
    <row r="85">
      <c r="A85" s="1"/>
      <c r="B85" s="36"/>
      <c r="C85" s="54"/>
      <c r="D85" s="36"/>
      <c r="E85" s="35"/>
      <c r="F85" s="36"/>
      <c r="G85" s="1"/>
      <c r="H85" s="36"/>
      <c r="I85" s="54"/>
      <c r="J85" s="39"/>
      <c r="K85" s="35"/>
      <c r="L85" s="36"/>
      <c r="M85" s="1"/>
      <c r="N85" s="36"/>
      <c r="O85" s="54"/>
      <c r="P85" s="39"/>
      <c r="Q85" s="35"/>
      <c r="R85" s="36"/>
      <c r="S85" s="1"/>
      <c r="T85" s="36"/>
      <c r="U85" s="54"/>
      <c r="V85" s="39"/>
      <c r="W85" s="35"/>
      <c r="X85" s="36"/>
      <c r="Y85" s="1"/>
      <c r="Z85" s="36"/>
      <c r="AA85" s="54"/>
      <c r="AB85" s="39"/>
      <c r="AC85" s="35"/>
      <c r="AD85" s="36"/>
      <c r="AE85" s="1"/>
      <c r="AG85" s="54"/>
      <c r="AH85" s="39"/>
      <c r="AI85" s="35"/>
      <c r="AK85" s="1"/>
      <c r="AM85" s="54"/>
      <c r="AN85" s="39"/>
      <c r="AO85" s="35"/>
      <c r="AQ85" s="1"/>
      <c r="AS85" s="54"/>
      <c r="AT85" s="39"/>
      <c r="AU85" s="35"/>
      <c r="AW85" s="1"/>
      <c r="AY85" s="54"/>
      <c r="AZ85" s="39"/>
      <c r="BA85" s="35"/>
      <c r="BC85" s="1"/>
      <c r="BE85" s="54"/>
      <c r="BF85" s="39"/>
      <c r="BG85" s="35"/>
      <c r="BI85" s="1"/>
      <c r="BK85" s="54"/>
      <c r="BL85" s="39"/>
      <c r="BM85" s="35"/>
      <c r="BO85" s="1"/>
      <c r="BU85" s="1"/>
    </row>
    <row r="86">
      <c r="A86" s="1"/>
      <c r="B86" s="36"/>
      <c r="C86" s="54"/>
      <c r="D86" s="36"/>
      <c r="E86" s="35"/>
      <c r="F86" s="36"/>
      <c r="G86" s="1"/>
      <c r="H86" s="36"/>
      <c r="I86" s="54"/>
      <c r="J86" s="39"/>
      <c r="K86" s="35"/>
      <c r="L86" s="36"/>
      <c r="M86" s="1"/>
      <c r="N86" s="36"/>
      <c r="O86" s="54"/>
      <c r="P86" s="39"/>
      <c r="Q86" s="35"/>
      <c r="R86" s="36"/>
      <c r="S86" s="1"/>
      <c r="T86" s="36"/>
      <c r="U86" s="54"/>
      <c r="V86" s="39"/>
      <c r="W86" s="35"/>
      <c r="X86" s="36"/>
      <c r="Y86" s="1"/>
      <c r="Z86" s="36"/>
      <c r="AA86" s="54"/>
      <c r="AB86" s="39"/>
      <c r="AC86" s="35"/>
      <c r="AD86" s="36"/>
      <c r="AE86" s="1"/>
      <c r="AG86" s="54"/>
      <c r="AH86" s="39"/>
      <c r="AI86" s="35"/>
      <c r="AK86" s="1"/>
      <c r="AM86" s="54"/>
      <c r="AN86" s="39"/>
      <c r="AO86" s="35"/>
      <c r="AQ86" s="1"/>
      <c r="AS86" s="54"/>
      <c r="AT86" s="39"/>
      <c r="AU86" s="35"/>
      <c r="AW86" s="1"/>
      <c r="AY86" s="54"/>
      <c r="AZ86" s="39"/>
      <c r="BA86" s="35"/>
      <c r="BC86" s="1"/>
      <c r="BE86" s="54"/>
      <c r="BF86" s="39"/>
      <c r="BG86" s="35"/>
      <c r="BI86" s="1"/>
      <c r="BK86" s="54"/>
      <c r="BL86" s="39"/>
      <c r="BM86" s="35"/>
      <c r="BO86" s="1"/>
      <c r="BU86" s="1"/>
    </row>
    <row r="87">
      <c r="A87" s="1"/>
      <c r="B87" s="36"/>
      <c r="C87" s="54"/>
      <c r="D87" s="36"/>
      <c r="E87" s="35"/>
      <c r="F87" s="36"/>
      <c r="G87" s="1"/>
      <c r="H87" s="36"/>
      <c r="I87" s="54"/>
      <c r="J87" s="39"/>
      <c r="K87" s="35"/>
      <c r="L87" s="36"/>
      <c r="M87" s="1"/>
      <c r="N87" s="36"/>
      <c r="O87" s="54"/>
      <c r="P87" s="39"/>
      <c r="Q87" s="35"/>
      <c r="R87" s="36"/>
      <c r="S87" s="1"/>
      <c r="T87" s="36"/>
      <c r="U87" s="54"/>
      <c r="V87" s="39"/>
      <c r="W87" s="35"/>
      <c r="X87" s="36"/>
      <c r="Y87" s="1"/>
      <c r="Z87" s="36"/>
      <c r="AA87" s="54"/>
      <c r="AB87" s="39"/>
      <c r="AC87" s="35"/>
      <c r="AD87" s="36"/>
      <c r="AE87" s="1"/>
      <c r="AG87" s="54"/>
      <c r="AH87" s="39"/>
      <c r="AI87" s="35"/>
      <c r="AK87" s="1"/>
      <c r="AM87" s="54"/>
      <c r="AN87" s="39"/>
      <c r="AO87" s="35"/>
      <c r="AQ87" s="1"/>
      <c r="AS87" s="54"/>
      <c r="AT87" s="39"/>
      <c r="AU87" s="35"/>
      <c r="AW87" s="1"/>
      <c r="AY87" s="54"/>
      <c r="AZ87" s="39"/>
      <c r="BA87" s="35"/>
      <c r="BC87" s="1"/>
      <c r="BE87" s="54"/>
      <c r="BF87" s="39"/>
      <c r="BG87" s="35"/>
      <c r="BI87" s="1"/>
      <c r="BK87" s="54"/>
      <c r="BL87" s="39"/>
      <c r="BM87" s="35"/>
      <c r="BO87" s="1"/>
      <c r="BU87" s="1"/>
    </row>
    <row r="88">
      <c r="A88" s="1"/>
      <c r="B88" s="36"/>
      <c r="C88" s="54"/>
      <c r="D88" s="36"/>
      <c r="E88" s="35"/>
      <c r="F88" s="36"/>
      <c r="G88" s="1"/>
      <c r="H88" s="36"/>
      <c r="I88" s="54"/>
      <c r="J88" s="39"/>
      <c r="K88" s="35"/>
      <c r="L88" s="36"/>
      <c r="M88" s="1"/>
      <c r="N88" s="36"/>
      <c r="O88" s="54"/>
      <c r="P88" s="39"/>
      <c r="Q88" s="35"/>
      <c r="R88" s="36"/>
      <c r="S88" s="1"/>
      <c r="T88" s="36"/>
      <c r="U88" s="54"/>
      <c r="V88" s="39"/>
      <c r="W88" s="35"/>
      <c r="X88" s="36"/>
      <c r="Y88" s="1"/>
      <c r="Z88" s="36"/>
      <c r="AA88" s="54"/>
      <c r="AB88" s="39"/>
      <c r="AC88" s="35"/>
      <c r="AD88" s="36"/>
      <c r="AE88" s="1"/>
      <c r="AG88" s="54"/>
      <c r="AH88" s="39"/>
      <c r="AI88" s="35"/>
      <c r="AK88" s="1"/>
      <c r="AM88" s="54"/>
      <c r="AN88" s="39"/>
      <c r="AO88" s="35"/>
      <c r="AQ88" s="1"/>
      <c r="AS88" s="54"/>
      <c r="AT88" s="39"/>
      <c r="AU88" s="35"/>
      <c r="AW88" s="1"/>
      <c r="AY88" s="54"/>
      <c r="AZ88" s="39"/>
      <c r="BA88" s="35"/>
      <c r="BC88" s="1"/>
      <c r="BE88" s="54"/>
      <c r="BF88" s="39"/>
      <c r="BG88" s="35"/>
      <c r="BI88" s="1"/>
      <c r="BK88" s="54"/>
      <c r="BL88" s="39"/>
      <c r="BM88" s="35"/>
      <c r="BO88" s="1"/>
      <c r="BU88" s="1"/>
    </row>
    <row r="89">
      <c r="A89" s="1"/>
      <c r="B89" s="36"/>
      <c r="C89" s="54"/>
      <c r="D89" s="36"/>
      <c r="E89" s="35"/>
      <c r="F89" s="36"/>
      <c r="G89" s="1"/>
      <c r="H89" s="36"/>
      <c r="I89" s="54"/>
      <c r="J89" s="39"/>
      <c r="K89" s="35"/>
      <c r="L89" s="36"/>
      <c r="M89" s="1"/>
      <c r="N89" s="36"/>
      <c r="O89" s="54"/>
      <c r="P89" s="39"/>
      <c r="Q89" s="35"/>
      <c r="R89" s="36"/>
      <c r="S89" s="1"/>
      <c r="T89" s="36"/>
      <c r="U89" s="54"/>
      <c r="V89" s="39"/>
      <c r="W89" s="35"/>
      <c r="X89" s="36"/>
      <c r="Y89" s="1"/>
      <c r="Z89" s="36"/>
      <c r="AA89" s="54"/>
      <c r="AB89" s="39"/>
      <c r="AC89" s="35"/>
      <c r="AD89" s="36"/>
      <c r="AE89" s="1"/>
      <c r="AG89" s="54"/>
      <c r="AH89" s="39"/>
      <c r="AI89" s="35"/>
      <c r="AK89" s="1"/>
      <c r="AM89" s="54"/>
      <c r="AN89" s="39"/>
      <c r="AO89" s="35"/>
      <c r="AQ89" s="1"/>
      <c r="AS89" s="54"/>
      <c r="AT89" s="39"/>
      <c r="AU89" s="35"/>
      <c r="AW89" s="1"/>
      <c r="AY89" s="54"/>
      <c r="AZ89" s="39"/>
      <c r="BA89" s="35"/>
      <c r="BC89" s="1"/>
      <c r="BE89" s="54"/>
      <c r="BF89" s="39"/>
      <c r="BG89" s="35"/>
      <c r="BI89" s="1"/>
      <c r="BK89" s="54"/>
      <c r="BL89" s="39"/>
      <c r="BM89" s="35"/>
      <c r="BO89" s="1"/>
      <c r="BU89" s="1"/>
    </row>
    <row r="90">
      <c r="A90" s="1"/>
      <c r="B90" s="36"/>
      <c r="C90" s="54"/>
      <c r="D90" s="36"/>
      <c r="E90" s="35"/>
      <c r="F90" s="36"/>
      <c r="G90" s="1"/>
      <c r="H90" s="36"/>
      <c r="I90" s="54"/>
      <c r="J90" s="39"/>
      <c r="K90" s="35"/>
      <c r="L90" s="36"/>
      <c r="M90" s="1"/>
      <c r="N90" s="36"/>
      <c r="O90" s="54"/>
      <c r="P90" s="39"/>
      <c r="Q90" s="35"/>
      <c r="R90" s="36"/>
      <c r="S90" s="1"/>
      <c r="T90" s="36"/>
      <c r="U90" s="54"/>
      <c r="V90" s="39"/>
      <c r="W90" s="35"/>
      <c r="X90" s="36"/>
      <c r="Y90" s="1"/>
      <c r="Z90" s="36"/>
      <c r="AA90" s="54"/>
      <c r="AB90" s="39"/>
      <c r="AC90" s="35"/>
      <c r="AD90" s="36"/>
      <c r="AE90" s="1"/>
      <c r="AG90" s="54"/>
      <c r="AH90" s="39"/>
      <c r="AI90" s="35"/>
      <c r="AK90" s="1"/>
      <c r="AM90" s="54"/>
      <c r="AN90" s="39"/>
      <c r="AO90" s="35"/>
      <c r="AQ90" s="1"/>
      <c r="AS90" s="54"/>
      <c r="AT90" s="39"/>
      <c r="AU90" s="35"/>
      <c r="AW90" s="1"/>
      <c r="AY90" s="54"/>
      <c r="AZ90" s="39"/>
      <c r="BA90" s="35"/>
      <c r="BC90" s="1"/>
      <c r="BE90" s="54"/>
      <c r="BF90" s="39"/>
      <c r="BG90" s="35"/>
      <c r="BI90" s="1"/>
      <c r="BK90" s="54"/>
      <c r="BL90" s="39"/>
      <c r="BM90" s="35"/>
      <c r="BO90" s="1"/>
      <c r="BU90" s="1"/>
    </row>
    <row r="91">
      <c r="A91" s="1"/>
      <c r="B91" s="36"/>
      <c r="C91" s="54"/>
      <c r="D91" s="36"/>
      <c r="E91" s="35"/>
      <c r="F91" s="36"/>
      <c r="G91" s="1"/>
      <c r="H91" s="36"/>
      <c r="I91" s="54"/>
      <c r="J91" s="39"/>
      <c r="K91" s="35"/>
      <c r="L91" s="36"/>
      <c r="M91" s="1"/>
      <c r="N91" s="36"/>
      <c r="O91" s="54"/>
      <c r="P91" s="39"/>
      <c r="Q91" s="35"/>
      <c r="R91" s="36"/>
      <c r="S91" s="1"/>
      <c r="T91" s="36"/>
      <c r="U91" s="54"/>
      <c r="V91" s="39"/>
      <c r="W91" s="35"/>
      <c r="X91" s="36"/>
      <c r="Y91" s="1"/>
      <c r="Z91" s="36"/>
      <c r="AA91" s="54"/>
      <c r="AB91" s="39"/>
      <c r="AC91" s="35"/>
      <c r="AD91" s="36"/>
      <c r="AE91" s="1"/>
      <c r="AG91" s="54"/>
      <c r="AH91" s="39"/>
      <c r="AI91" s="35"/>
      <c r="AK91" s="1"/>
      <c r="AM91" s="54"/>
      <c r="AN91" s="39"/>
      <c r="AO91" s="35"/>
      <c r="AQ91" s="1"/>
      <c r="AS91" s="54"/>
      <c r="AT91" s="39"/>
      <c r="AU91" s="35"/>
      <c r="AW91" s="1"/>
      <c r="AY91" s="54"/>
      <c r="AZ91" s="39"/>
      <c r="BA91" s="35"/>
      <c r="BC91" s="1"/>
      <c r="BE91" s="54"/>
      <c r="BF91" s="39"/>
      <c r="BG91" s="35"/>
      <c r="BI91" s="1"/>
      <c r="BK91" s="54"/>
      <c r="BL91" s="39"/>
      <c r="BM91" s="35"/>
      <c r="BO91" s="1"/>
      <c r="BU91" s="1"/>
    </row>
    <row r="92">
      <c r="A92" s="1"/>
      <c r="B92" s="36"/>
      <c r="C92" s="54"/>
      <c r="D92" s="36"/>
      <c r="E92" s="35"/>
      <c r="F92" s="36"/>
      <c r="G92" s="1"/>
      <c r="H92" s="36"/>
      <c r="I92" s="54"/>
      <c r="J92" s="39"/>
      <c r="K92" s="35"/>
      <c r="L92" s="36"/>
      <c r="M92" s="1"/>
      <c r="N92" s="36"/>
      <c r="O92" s="54"/>
      <c r="P92" s="39"/>
      <c r="Q92" s="35"/>
      <c r="R92" s="36"/>
      <c r="S92" s="1"/>
      <c r="T92" s="36"/>
      <c r="U92" s="54"/>
      <c r="V92" s="39"/>
      <c r="W92" s="35"/>
      <c r="X92" s="36"/>
      <c r="Y92" s="1"/>
      <c r="Z92" s="36"/>
      <c r="AA92" s="54"/>
      <c r="AB92" s="39"/>
      <c r="AC92" s="35"/>
      <c r="AD92" s="36"/>
      <c r="AE92" s="1"/>
      <c r="AG92" s="54"/>
      <c r="AH92" s="39"/>
      <c r="AI92" s="35"/>
      <c r="AK92" s="1"/>
      <c r="AM92" s="54"/>
      <c r="AN92" s="39"/>
      <c r="AO92" s="35"/>
      <c r="AQ92" s="1"/>
      <c r="AS92" s="54"/>
      <c r="AT92" s="39"/>
      <c r="AU92" s="35"/>
      <c r="AW92" s="1"/>
      <c r="AY92" s="54"/>
      <c r="AZ92" s="39"/>
      <c r="BA92" s="35"/>
      <c r="BC92" s="1"/>
      <c r="BE92" s="54"/>
      <c r="BF92" s="39"/>
      <c r="BG92" s="35"/>
      <c r="BI92" s="1"/>
      <c r="BK92" s="54"/>
      <c r="BL92" s="39"/>
      <c r="BM92" s="35"/>
      <c r="BO92" s="1"/>
      <c r="BU92" s="1"/>
    </row>
    <row r="93">
      <c r="A93" s="1"/>
      <c r="B93" s="36"/>
      <c r="C93" s="54"/>
      <c r="D93" s="36"/>
      <c r="E93" s="35"/>
      <c r="F93" s="36"/>
      <c r="G93" s="1"/>
      <c r="H93" s="36"/>
      <c r="I93" s="54"/>
      <c r="J93" s="39"/>
      <c r="K93" s="35"/>
      <c r="L93" s="36"/>
      <c r="M93" s="1"/>
      <c r="N93" s="36"/>
      <c r="O93" s="54"/>
      <c r="P93" s="39"/>
      <c r="Q93" s="35"/>
      <c r="R93" s="36"/>
      <c r="S93" s="1"/>
      <c r="T93" s="36"/>
      <c r="U93" s="54"/>
      <c r="V93" s="39"/>
      <c r="W93" s="35"/>
      <c r="X93" s="36"/>
      <c r="Y93" s="1"/>
      <c r="Z93" s="36"/>
      <c r="AA93" s="54"/>
      <c r="AB93" s="39"/>
      <c r="AC93" s="35"/>
      <c r="AD93" s="36"/>
      <c r="AE93" s="1"/>
      <c r="AG93" s="54"/>
      <c r="AH93" s="39"/>
      <c r="AI93" s="35"/>
      <c r="AK93" s="1"/>
      <c r="AM93" s="54"/>
      <c r="AN93" s="39"/>
      <c r="AO93" s="35"/>
      <c r="AQ93" s="1"/>
      <c r="AS93" s="54"/>
      <c r="AT93" s="39"/>
      <c r="AU93" s="35"/>
      <c r="AW93" s="1"/>
      <c r="AY93" s="54"/>
      <c r="AZ93" s="39"/>
      <c r="BA93" s="35"/>
      <c r="BC93" s="1"/>
      <c r="BE93" s="54"/>
      <c r="BF93" s="39"/>
      <c r="BG93" s="35"/>
      <c r="BI93" s="1"/>
      <c r="BK93" s="54"/>
      <c r="BL93" s="39"/>
      <c r="BM93" s="35"/>
      <c r="BO93" s="1"/>
      <c r="BU93" s="1"/>
    </row>
    <row r="94">
      <c r="A94" s="1"/>
      <c r="B94" s="36"/>
      <c r="C94" s="54"/>
      <c r="D94" s="36"/>
      <c r="E94" s="35"/>
      <c r="F94" s="36"/>
      <c r="G94" s="1"/>
      <c r="H94" s="36"/>
      <c r="I94" s="54"/>
      <c r="J94" s="39"/>
      <c r="K94" s="35"/>
      <c r="L94" s="36"/>
      <c r="M94" s="1"/>
      <c r="N94" s="36"/>
      <c r="O94" s="54"/>
      <c r="P94" s="39"/>
      <c r="Q94" s="35"/>
      <c r="R94" s="36"/>
      <c r="S94" s="1"/>
      <c r="T94" s="36"/>
      <c r="U94" s="54"/>
      <c r="V94" s="39"/>
      <c r="W94" s="35"/>
      <c r="X94" s="36"/>
      <c r="Y94" s="1"/>
      <c r="Z94" s="36"/>
      <c r="AA94" s="54"/>
      <c r="AB94" s="39"/>
      <c r="AC94" s="35"/>
      <c r="AD94" s="36"/>
      <c r="AE94" s="1"/>
      <c r="AG94" s="54"/>
      <c r="AH94" s="39"/>
      <c r="AI94" s="35"/>
      <c r="AK94" s="1"/>
      <c r="AM94" s="54"/>
      <c r="AN94" s="39"/>
      <c r="AO94" s="35"/>
      <c r="AQ94" s="1"/>
      <c r="AS94" s="54"/>
      <c r="AT94" s="39"/>
      <c r="AU94" s="35"/>
      <c r="AW94" s="1"/>
      <c r="AY94" s="54"/>
      <c r="AZ94" s="39"/>
      <c r="BA94" s="35"/>
      <c r="BC94" s="1"/>
      <c r="BE94" s="54"/>
      <c r="BF94" s="39"/>
      <c r="BG94" s="35"/>
      <c r="BI94" s="1"/>
      <c r="BK94" s="54"/>
      <c r="BL94" s="39"/>
      <c r="BM94" s="35"/>
      <c r="BO94" s="1"/>
      <c r="BU94" s="1"/>
    </row>
    <row r="95">
      <c r="A95" s="1"/>
      <c r="B95" s="36"/>
      <c r="C95" s="54"/>
      <c r="D95" s="36"/>
      <c r="E95" s="35"/>
      <c r="F95" s="36"/>
      <c r="G95" s="1"/>
      <c r="H95" s="36"/>
      <c r="I95" s="54"/>
      <c r="J95" s="39"/>
      <c r="K95" s="35"/>
      <c r="L95" s="36"/>
      <c r="M95" s="1"/>
      <c r="N95" s="36"/>
      <c r="O95" s="54"/>
      <c r="P95" s="39"/>
      <c r="Q95" s="35"/>
      <c r="R95" s="36"/>
      <c r="S95" s="1"/>
      <c r="T95" s="36"/>
      <c r="U95" s="54"/>
      <c r="V95" s="39"/>
      <c r="W95" s="35"/>
      <c r="X95" s="36"/>
      <c r="Y95" s="1"/>
      <c r="Z95" s="36"/>
      <c r="AA95" s="54"/>
      <c r="AB95" s="39"/>
      <c r="AC95" s="35"/>
      <c r="AD95" s="36"/>
      <c r="AE95" s="1"/>
      <c r="AG95" s="54"/>
      <c r="AH95" s="39"/>
      <c r="AI95" s="35"/>
      <c r="AK95" s="1"/>
      <c r="AM95" s="54"/>
      <c r="AN95" s="39"/>
      <c r="AO95" s="35"/>
      <c r="AQ95" s="1"/>
      <c r="AS95" s="54"/>
      <c r="AT95" s="39"/>
      <c r="AU95" s="35"/>
      <c r="AW95" s="1"/>
      <c r="AY95" s="54"/>
      <c r="AZ95" s="39"/>
      <c r="BA95" s="35"/>
      <c r="BC95" s="1"/>
      <c r="BE95" s="54"/>
      <c r="BF95" s="39"/>
      <c r="BG95" s="35"/>
      <c r="BI95" s="1"/>
      <c r="BK95" s="54"/>
      <c r="BL95" s="39"/>
      <c r="BM95" s="35"/>
      <c r="BO95" s="1"/>
      <c r="BU95" s="1"/>
    </row>
    <row r="96">
      <c r="A96" s="1"/>
      <c r="B96" s="36"/>
      <c r="C96" s="54"/>
      <c r="D96" s="36"/>
      <c r="E96" s="35"/>
      <c r="F96" s="36"/>
      <c r="G96" s="1"/>
      <c r="H96" s="36"/>
      <c r="I96" s="54"/>
      <c r="J96" s="39"/>
      <c r="K96" s="35"/>
      <c r="L96" s="36"/>
      <c r="M96" s="1"/>
      <c r="N96" s="36"/>
      <c r="O96" s="54"/>
      <c r="P96" s="39"/>
      <c r="Q96" s="35"/>
      <c r="R96" s="36"/>
      <c r="S96" s="1"/>
      <c r="T96" s="36"/>
      <c r="U96" s="54"/>
      <c r="V96" s="39"/>
      <c r="W96" s="35"/>
      <c r="X96" s="36"/>
      <c r="Y96" s="1"/>
      <c r="Z96" s="36"/>
      <c r="AA96" s="54"/>
      <c r="AB96" s="39"/>
      <c r="AC96" s="35"/>
      <c r="AD96" s="36"/>
      <c r="AE96" s="1"/>
      <c r="AG96" s="54"/>
      <c r="AH96" s="39"/>
      <c r="AI96" s="35"/>
      <c r="AK96" s="1"/>
      <c r="AM96" s="54"/>
      <c r="AN96" s="39"/>
      <c r="AO96" s="35"/>
      <c r="AQ96" s="1"/>
      <c r="AS96" s="54"/>
      <c r="AT96" s="39"/>
      <c r="AU96" s="35"/>
      <c r="AW96" s="1"/>
      <c r="AY96" s="54"/>
      <c r="AZ96" s="39"/>
      <c r="BA96" s="35"/>
      <c r="BC96" s="1"/>
      <c r="BE96" s="54"/>
      <c r="BF96" s="39"/>
      <c r="BG96" s="35"/>
      <c r="BI96" s="1"/>
      <c r="BK96" s="54"/>
      <c r="BL96" s="39"/>
      <c r="BM96" s="35"/>
      <c r="BO96" s="1"/>
      <c r="BU96" s="1"/>
    </row>
    <row r="97">
      <c r="A97" s="1"/>
      <c r="B97" s="36"/>
      <c r="C97" s="54"/>
      <c r="D97" s="36"/>
      <c r="E97" s="35"/>
      <c r="F97" s="36"/>
      <c r="G97" s="1"/>
      <c r="H97" s="36"/>
      <c r="I97" s="54"/>
      <c r="J97" s="39"/>
      <c r="K97" s="35"/>
      <c r="L97" s="36"/>
      <c r="M97" s="1"/>
      <c r="N97" s="36"/>
      <c r="O97" s="54"/>
      <c r="P97" s="39"/>
      <c r="Q97" s="35"/>
      <c r="R97" s="36"/>
      <c r="S97" s="1"/>
      <c r="T97" s="36"/>
      <c r="U97" s="54"/>
      <c r="V97" s="39"/>
      <c r="W97" s="35"/>
      <c r="X97" s="36"/>
      <c r="Y97" s="1"/>
      <c r="Z97" s="36"/>
      <c r="AA97" s="54"/>
      <c r="AB97" s="39"/>
      <c r="AC97" s="35"/>
      <c r="AD97" s="36"/>
      <c r="AE97" s="1"/>
      <c r="AG97" s="54"/>
      <c r="AH97" s="39"/>
      <c r="AI97" s="35"/>
      <c r="AK97" s="1"/>
      <c r="AM97" s="54"/>
      <c r="AN97" s="39"/>
      <c r="AO97" s="35"/>
      <c r="AQ97" s="1"/>
      <c r="AS97" s="54"/>
      <c r="AT97" s="39"/>
      <c r="AU97" s="35"/>
      <c r="AW97" s="1"/>
      <c r="AY97" s="54"/>
      <c r="AZ97" s="39"/>
      <c r="BA97" s="35"/>
      <c r="BC97" s="1"/>
      <c r="BE97" s="54"/>
      <c r="BF97" s="39"/>
      <c r="BG97" s="35"/>
      <c r="BI97" s="1"/>
      <c r="BK97" s="54"/>
      <c r="BL97" s="39"/>
      <c r="BM97" s="35"/>
      <c r="BO97" s="1"/>
      <c r="BU97" s="1"/>
    </row>
    <row r="98">
      <c r="A98" s="1"/>
      <c r="B98" s="36"/>
      <c r="C98" s="54"/>
      <c r="D98" s="36"/>
      <c r="E98" s="35"/>
      <c r="F98" s="36"/>
      <c r="G98" s="1"/>
      <c r="H98" s="36"/>
      <c r="I98" s="54"/>
      <c r="J98" s="39"/>
      <c r="K98" s="35"/>
      <c r="L98" s="36"/>
      <c r="M98" s="1"/>
      <c r="N98" s="36"/>
      <c r="O98" s="54"/>
      <c r="P98" s="39"/>
      <c r="Q98" s="35"/>
      <c r="R98" s="36"/>
      <c r="S98" s="1"/>
      <c r="T98" s="36"/>
      <c r="U98" s="54"/>
      <c r="V98" s="39"/>
      <c r="W98" s="35"/>
      <c r="X98" s="36"/>
      <c r="Y98" s="1"/>
      <c r="Z98" s="36"/>
      <c r="AA98" s="54"/>
      <c r="AB98" s="39"/>
      <c r="AC98" s="35"/>
      <c r="AD98" s="36"/>
      <c r="AE98" s="1"/>
      <c r="AG98" s="54"/>
      <c r="AH98" s="39"/>
      <c r="AI98" s="35"/>
      <c r="AK98" s="1"/>
      <c r="AM98" s="54"/>
      <c r="AN98" s="39"/>
      <c r="AO98" s="35"/>
      <c r="AQ98" s="1"/>
      <c r="AS98" s="54"/>
      <c r="AT98" s="39"/>
      <c r="AU98" s="35"/>
      <c r="AW98" s="1"/>
      <c r="AY98" s="54"/>
      <c r="AZ98" s="39"/>
      <c r="BA98" s="35"/>
      <c r="BC98" s="1"/>
      <c r="BE98" s="54"/>
      <c r="BF98" s="39"/>
      <c r="BG98" s="35"/>
      <c r="BI98" s="1"/>
      <c r="BK98" s="54"/>
      <c r="BL98" s="39"/>
      <c r="BM98" s="35"/>
      <c r="BO98" s="1"/>
      <c r="BU98" s="1"/>
    </row>
    <row r="99">
      <c r="A99" s="1"/>
      <c r="B99" s="36"/>
      <c r="C99" s="54"/>
      <c r="D99" s="36"/>
      <c r="E99" s="35"/>
      <c r="F99" s="36"/>
      <c r="G99" s="1"/>
      <c r="H99" s="36"/>
      <c r="I99" s="54"/>
      <c r="J99" s="39"/>
      <c r="K99" s="35"/>
      <c r="L99" s="36"/>
      <c r="M99" s="1"/>
      <c r="N99" s="36"/>
      <c r="O99" s="54"/>
      <c r="P99" s="39"/>
      <c r="Q99" s="35"/>
      <c r="R99" s="36"/>
      <c r="S99" s="1"/>
      <c r="T99" s="36"/>
      <c r="U99" s="54"/>
      <c r="V99" s="39"/>
      <c r="W99" s="35"/>
      <c r="X99" s="36"/>
      <c r="Y99" s="1"/>
      <c r="Z99" s="36"/>
      <c r="AA99" s="54"/>
      <c r="AB99" s="39"/>
      <c r="AC99" s="35"/>
      <c r="AD99" s="36"/>
      <c r="AE99" s="1"/>
      <c r="AG99" s="54"/>
      <c r="AH99" s="39"/>
      <c r="AI99" s="35"/>
      <c r="AK99" s="1"/>
      <c r="AM99" s="54"/>
      <c r="AN99" s="39"/>
      <c r="AO99" s="35"/>
      <c r="AQ99" s="1"/>
      <c r="AS99" s="54"/>
      <c r="AT99" s="39"/>
      <c r="AU99" s="35"/>
      <c r="AW99" s="1"/>
      <c r="AY99" s="54"/>
      <c r="AZ99" s="39"/>
      <c r="BA99" s="35"/>
      <c r="BC99" s="1"/>
      <c r="BE99" s="54"/>
      <c r="BF99" s="39"/>
      <c r="BG99" s="35"/>
      <c r="BI99" s="1"/>
      <c r="BK99" s="54"/>
      <c r="BL99" s="39"/>
      <c r="BM99" s="35"/>
      <c r="BO99" s="1"/>
      <c r="BU99" s="1"/>
    </row>
    <row r="100">
      <c r="A100" s="1"/>
      <c r="B100" s="36"/>
      <c r="C100" s="54"/>
      <c r="D100" s="36"/>
      <c r="E100" s="35"/>
      <c r="F100" s="36"/>
      <c r="G100" s="1"/>
      <c r="H100" s="36"/>
      <c r="I100" s="54"/>
      <c r="J100" s="39"/>
      <c r="K100" s="35"/>
      <c r="L100" s="36"/>
      <c r="M100" s="1"/>
      <c r="N100" s="36"/>
      <c r="O100" s="54"/>
      <c r="P100" s="39"/>
      <c r="Q100" s="35"/>
      <c r="R100" s="36"/>
      <c r="S100" s="1"/>
      <c r="T100" s="36"/>
      <c r="U100" s="54"/>
      <c r="V100" s="39"/>
      <c r="W100" s="35"/>
      <c r="X100" s="36"/>
      <c r="Y100" s="1"/>
      <c r="Z100" s="36"/>
      <c r="AA100" s="54"/>
      <c r="AB100" s="39"/>
      <c r="AC100" s="35"/>
      <c r="AD100" s="36"/>
      <c r="AE100" s="1"/>
      <c r="AG100" s="54"/>
      <c r="AH100" s="39"/>
      <c r="AI100" s="35"/>
      <c r="AK100" s="1"/>
      <c r="AM100" s="54"/>
      <c r="AN100" s="39"/>
      <c r="AO100" s="35"/>
      <c r="AQ100" s="1"/>
      <c r="AS100" s="54"/>
      <c r="AT100" s="39"/>
      <c r="AU100" s="35"/>
      <c r="AW100" s="1"/>
      <c r="AY100" s="54"/>
      <c r="AZ100" s="39"/>
      <c r="BA100" s="35"/>
      <c r="BC100" s="1"/>
      <c r="BE100" s="54"/>
      <c r="BF100" s="39"/>
      <c r="BG100" s="35"/>
      <c r="BI100" s="1"/>
      <c r="BK100" s="54"/>
      <c r="BL100" s="39"/>
      <c r="BM100" s="35"/>
      <c r="BO100" s="1"/>
      <c r="BU100" s="1"/>
    </row>
    <row r="101">
      <c r="A101" s="1"/>
      <c r="B101" s="36"/>
      <c r="C101" s="54"/>
      <c r="D101" s="36"/>
      <c r="E101" s="35"/>
      <c r="F101" s="36"/>
      <c r="G101" s="1"/>
      <c r="H101" s="36"/>
      <c r="I101" s="54"/>
      <c r="J101" s="39"/>
      <c r="K101" s="35"/>
      <c r="L101" s="36"/>
      <c r="M101" s="1"/>
      <c r="N101" s="36"/>
      <c r="O101" s="54"/>
      <c r="P101" s="39"/>
      <c r="Q101" s="35"/>
      <c r="R101" s="36"/>
      <c r="S101" s="1"/>
      <c r="T101" s="36"/>
      <c r="U101" s="54"/>
      <c r="V101" s="39"/>
      <c r="W101" s="35"/>
      <c r="X101" s="36"/>
      <c r="Y101" s="1"/>
      <c r="Z101" s="36"/>
      <c r="AA101" s="54"/>
      <c r="AB101" s="39"/>
      <c r="AC101" s="35"/>
      <c r="AD101" s="36"/>
      <c r="AE101" s="1"/>
      <c r="AG101" s="54"/>
      <c r="AH101" s="39"/>
      <c r="AI101" s="35"/>
      <c r="AK101" s="1"/>
      <c r="AM101" s="54"/>
      <c r="AN101" s="39"/>
      <c r="AO101" s="35"/>
      <c r="AQ101" s="1"/>
      <c r="AS101" s="54"/>
      <c r="AT101" s="39"/>
      <c r="AU101" s="35"/>
      <c r="AW101" s="1"/>
      <c r="AY101" s="54"/>
      <c r="AZ101" s="39"/>
      <c r="BA101" s="35"/>
      <c r="BC101" s="1"/>
      <c r="BE101" s="54"/>
      <c r="BF101" s="39"/>
      <c r="BG101" s="35"/>
      <c r="BI101" s="1"/>
      <c r="BO101" s="1"/>
      <c r="BU101" s="1"/>
    </row>
    <row r="102">
      <c r="A102" s="1"/>
      <c r="B102" s="36"/>
      <c r="C102" s="54"/>
      <c r="D102" s="36"/>
      <c r="E102" s="35"/>
      <c r="F102" s="36"/>
      <c r="G102" s="1"/>
      <c r="H102" s="36"/>
      <c r="I102" s="54"/>
      <c r="J102" s="39"/>
      <c r="K102" s="35"/>
      <c r="L102" s="36"/>
      <c r="M102" s="1"/>
      <c r="N102" s="36"/>
      <c r="O102" s="54"/>
      <c r="P102" s="39"/>
      <c r="Q102" s="35"/>
      <c r="R102" s="36"/>
      <c r="S102" s="1"/>
      <c r="T102" s="36"/>
      <c r="U102" s="54"/>
      <c r="V102" s="39"/>
      <c r="W102" s="35"/>
      <c r="X102" s="36"/>
      <c r="Y102" s="1"/>
      <c r="Z102" s="36"/>
      <c r="AA102" s="54"/>
      <c r="AB102" s="39"/>
      <c r="AC102" s="35"/>
      <c r="AD102" s="36"/>
      <c r="AE102" s="1"/>
      <c r="AG102" s="54"/>
      <c r="AH102" s="39"/>
      <c r="AI102" s="35"/>
      <c r="AK102" s="1"/>
      <c r="AM102" s="54"/>
      <c r="AN102" s="39"/>
      <c r="AO102" s="35"/>
      <c r="AQ102" s="1"/>
      <c r="AS102" s="54"/>
      <c r="AT102" s="39"/>
      <c r="AU102" s="35"/>
      <c r="AW102" s="1"/>
      <c r="AY102" s="54"/>
      <c r="AZ102" s="39"/>
      <c r="BA102" s="35"/>
      <c r="BC102" s="1"/>
      <c r="BE102" s="54"/>
      <c r="BF102" s="39"/>
      <c r="BG102" s="35"/>
      <c r="BI102" s="1"/>
      <c r="BO102" s="1"/>
      <c r="BU102" s="1"/>
    </row>
    <row r="103">
      <c r="A103" s="1"/>
      <c r="B103" s="36"/>
      <c r="C103" s="54"/>
      <c r="D103" s="36"/>
      <c r="E103" s="35"/>
      <c r="F103" s="36"/>
      <c r="G103" s="1"/>
      <c r="H103" s="36"/>
      <c r="I103" s="54"/>
      <c r="J103" s="39"/>
      <c r="K103" s="35"/>
      <c r="L103" s="36"/>
      <c r="M103" s="1"/>
      <c r="N103" s="36"/>
      <c r="O103" s="54"/>
      <c r="P103" s="39"/>
      <c r="Q103" s="35"/>
      <c r="R103" s="36"/>
      <c r="S103" s="1"/>
      <c r="T103" s="36"/>
      <c r="U103" s="54"/>
      <c r="V103" s="39"/>
      <c r="W103" s="35"/>
      <c r="X103" s="36"/>
      <c r="Y103" s="1"/>
      <c r="Z103" s="36"/>
      <c r="AA103" s="54"/>
      <c r="AB103" s="39"/>
      <c r="AC103" s="35"/>
      <c r="AD103" s="36"/>
      <c r="AE103" s="1"/>
      <c r="AG103" s="54"/>
      <c r="AH103" s="39"/>
      <c r="AI103" s="35"/>
      <c r="AK103" s="1"/>
      <c r="AM103" s="54"/>
      <c r="AN103" s="39"/>
      <c r="AO103" s="35"/>
      <c r="AQ103" s="1"/>
      <c r="AS103" s="54"/>
      <c r="AT103" s="39"/>
      <c r="AU103" s="35"/>
      <c r="AW103" s="1"/>
      <c r="AY103" s="54"/>
      <c r="AZ103" s="39"/>
      <c r="BA103" s="35"/>
      <c r="BC103" s="1"/>
      <c r="BE103" s="54"/>
      <c r="BF103" s="39"/>
      <c r="BG103" s="35"/>
      <c r="BI103" s="1"/>
      <c r="BO103" s="1"/>
      <c r="BU103" s="1"/>
    </row>
    <row r="104">
      <c r="A104" s="1"/>
      <c r="B104" s="36"/>
      <c r="C104" s="54"/>
      <c r="D104" s="36"/>
      <c r="E104" s="35"/>
      <c r="F104" s="36"/>
      <c r="G104" s="1"/>
      <c r="H104" s="36"/>
      <c r="I104" s="54"/>
      <c r="J104" s="39"/>
      <c r="K104" s="35"/>
      <c r="L104" s="36"/>
      <c r="M104" s="1"/>
      <c r="N104" s="36"/>
      <c r="O104" s="54"/>
      <c r="P104" s="39"/>
      <c r="Q104" s="35"/>
      <c r="R104" s="36"/>
      <c r="S104" s="1"/>
      <c r="T104" s="36"/>
      <c r="U104" s="54"/>
      <c r="V104" s="39"/>
      <c r="W104" s="35"/>
      <c r="X104" s="36"/>
      <c r="Y104" s="1"/>
      <c r="Z104" s="36"/>
      <c r="AA104" s="54"/>
      <c r="AB104" s="39"/>
      <c r="AC104" s="35"/>
      <c r="AD104" s="36"/>
      <c r="AE104" s="1"/>
      <c r="AG104" s="54"/>
      <c r="AH104" s="39"/>
      <c r="AI104" s="35"/>
      <c r="AK104" s="1"/>
      <c r="AM104" s="54"/>
      <c r="AN104" s="39"/>
      <c r="AO104" s="35"/>
      <c r="AQ104" s="1"/>
      <c r="AS104" s="54"/>
      <c r="AT104" s="39"/>
      <c r="AU104" s="35"/>
      <c r="AW104" s="1"/>
      <c r="AY104" s="54"/>
      <c r="AZ104" s="39"/>
      <c r="BA104" s="35"/>
      <c r="BC104" s="1"/>
      <c r="BE104" s="54"/>
      <c r="BF104" s="39"/>
      <c r="BG104" s="35"/>
      <c r="BI104" s="1"/>
      <c r="BO104" s="1"/>
      <c r="BU104" s="1"/>
    </row>
    <row r="105">
      <c r="A105" s="1"/>
      <c r="B105" s="36"/>
      <c r="C105" s="54"/>
      <c r="D105" s="36"/>
      <c r="E105" s="35"/>
      <c r="F105" s="36"/>
      <c r="G105" s="1"/>
      <c r="H105" s="36"/>
      <c r="I105" s="54"/>
      <c r="J105" s="39"/>
      <c r="K105" s="35"/>
      <c r="L105" s="36"/>
      <c r="M105" s="1"/>
      <c r="N105" s="36"/>
      <c r="O105" s="54"/>
      <c r="P105" s="39"/>
      <c r="Q105" s="35"/>
      <c r="R105" s="36"/>
      <c r="S105" s="1"/>
      <c r="T105" s="36"/>
      <c r="U105" s="54"/>
      <c r="V105" s="39"/>
      <c r="W105" s="35"/>
      <c r="X105" s="36"/>
      <c r="Y105" s="1"/>
      <c r="Z105" s="36"/>
      <c r="AA105" s="54"/>
      <c r="AB105" s="39"/>
      <c r="AC105" s="35"/>
      <c r="AD105" s="36"/>
      <c r="AE105" s="1"/>
      <c r="AG105" s="54"/>
      <c r="AH105" s="39"/>
      <c r="AI105" s="35"/>
      <c r="AK105" s="1"/>
      <c r="AM105" s="54"/>
      <c r="AN105" s="39"/>
      <c r="AO105" s="35"/>
      <c r="AQ105" s="1"/>
      <c r="AS105" s="54"/>
      <c r="AT105" s="39"/>
      <c r="AU105" s="35"/>
      <c r="AW105" s="1"/>
      <c r="AY105" s="54"/>
      <c r="AZ105" s="39"/>
      <c r="BA105" s="35"/>
      <c r="BC105" s="1"/>
      <c r="BE105" s="54"/>
      <c r="BF105" s="39"/>
      <c r="BG105" s="35"/>
      <c r="BI105" s="1"/>
      <c r="BO105" s="1"/>
      <c r="BU105" s="1"/>
    </row>
    <row r="106">
      <c r="A106" s="1"/>
      <c r="B106" s="36"/>
      <c r="C106" s="54"/>
      <c r="D106" s="36"/>
      <c r="E106" s="35"/>
      <c r="F106" s="36"/>
      <c r="G106" s="1"/>
      <c r="H106" s="36"/>
      <c r="I106" s="54"/>
      <c r="J106" s="39"/>
      <c r="K106" s="35"/>
      <c r="L106" s="36"/>
      <c r="M106" s="1"/>
      <c r="N106" s="36"/>
      <c r="O106" s="54"/>
      <c r="P106" s="39"/>
      <c r="Q106" s="35"/>
      <c r="R106" s="36"/>
      <c r="S106" s="1"/>
      <c r="T106" s="36"/>
      <c r="U106" s="54"/>
      <c r="V106" s="39"/>
      <c r="W106" s="35"/>
      <c r="X106" s="36"/>
      <c r="Y106" s="1"/>
      <c r="Z106" s="36"/>
      <c r="AA106" s="54"/>
      <c r="AB106" s="39"/>
      <c r="AC106" s="35"/>
      <c r="AD106" s="36"/>
      <c r="AE106" s="1"/>
      <c r="AG106" s="54"/>
      <c r="AH106" s="39"/>
      <c r="AI106" s="35"/>
      <c r="AK106" s="1"/>
      <c r="AM106" s="54"/>
      <c r="AN106" s="39"/>
      <c r="AO106" s="35"/>
      <c r="AQ106" s="1"/>
      <c r="AS106" s="54"/>
      <c r="AT106" s="39"/>
      <c r="AU106" s="35"/>
      <c r="AW106" s="1"/>
      <c r="AY106" s="54"/>
      <c r="AZ106" s="39"/>
      <c r="BA106" s="35"/>
      <c r="BC106" s="1"/>
      <c r="BE106" s="54"/>
      <c r="BF106" s="39"/>
      <c r="BG106" s="35"/>
      <c r="BI106" s="1"/>
      <c r="BO106" s="1"/>
      <c r="BU106" s="1"/>
    </row>
    <row r="107">
      <c r="A107" s="1"/>
      <c r="B107" s="36"/>
      <c r="C107" s="54"/>
      <c r="D107" s="36"/>
      <c r="E107" s="35"/>
      <c r="F107" s="36"/>
      <c r="G107" s="1"/>
      <c r="H107" s="36"/>
      <c r="I107" s="54"/>
      <c r="J107" s="39"/>
      <c r="K107" s="35"/>
      <c r="L107" s="36"/>
      <c r="M107" s="1"/>
      <c r="N107" s="36"/>
      <c r="O107" s="54"/>
      <c r="P107" s="39"/>
      <c r="Q107" s="35"/>
      <c r="R107" s="36"/>
      <c r="S107" s="1"/>
      <c r="T107" s="36"/>
      <c r="U107" s="54"/>
      <c r="V107" s="39"/>
      <c r="W107" s="35"/>
      <c r="X107" s="36"/>
      <c r="Y107" s="1"/>
      <c r="Z107" s="36"/>
      <c r="AA107" s="54"/>
      <c r="AB107" s="39"/>
      <c r="AC107" s="35"/>
      <c r="AD107" s="36"/>
      <c r="AE107" s="1"/>
      <c r="AG107" s="54"/>
      <c r="AH107" s="39"/>
      <c r="AI107" s="35"/>
      <c r="AK107" s="1"/>
      <c r="AM107" s="54"/>
      <c r="AN107" s="39"/>
      <c r="AO107" s="35"/>
      <c r="AQ107" s="1"/>
      <c r="AS107" s="54"/>
      <c r="AT107" s="39"/>
      <c r="AU107" s="35"/>
      <c r="AW107" s="1"/>
      <c r="AY107" s="54"/>
      <c r="AZ107" s="39"/>
      <c r="BA107" s="35"/>
      <c r="BC107" s="1"/>
      <c r="BE107" s="54"/>
      <c r="BF107" s="39"/>
      <c r="BG107" s="35"/>
      <c r="BI107" s="1"/>
      <c r="BO107" s="1"/>
      <c r="BU107" s="1"/>
    </row>
    <row r="108">
      <c r="A108" s="1"/>
      <c r="B108" s="36"/>
      <c r="C108" s="54"/>
      <c r="D108" s="36"/>
      <c r="E108" s="35"/>
      <c r="F108" s="36"/>
      <c r="G108" s="1"/>
      <c r="H108" s="36"/>
      <c r="I108" s="54"/>
      <c r="J108" s="39"/>
      <c r="K108" s="35"/>
      <c r="L108" s="36"/>
      <c r="M108" s="1"/>
      <c r="N108" s="36"/>
      <c r="O108" s="54"/>
      <c r="P108" s="39"/>
      <c r="Q108" s="35"/>
      <c r="R108" s="36"/>
      <c r="S108" s="1"/>
      <c r="T108" s="36"/>
      <c r="U108" s="54"/>
      <c r="V108" s="39"/>
      <c r="W108" s="35"/>
      <c r="X108" s="36"/>
      <c r="Y108" s="1"/>
      <c r="Z108" s="36"/>
      <c r="AA108" s="54"/>
      <c r="AB108" s="39"/>
      <c r="AC108" s="35"/>
      <c r="AD108" s="36"/>
      <c r="AE108" s="1"/>
      <c r="AG108" s="54"/>
      <c r="AH108" s="39"/>
      <c r="AI108" s="35"/>
      <c r="AK108" s="1"/>
      <c r="AM108" s="54"/>
      <c r="AN108" s="39"/>
      <c r="AO108" s="35"/>
      <c r="AQ108" s="1"/>
      <c r="AS108" s="54"/>
      <c r="AT108" s="39"/>
      <c r="AU108" s="35"/>
      <c r="AW108" s="1"/>
      <c r="AY108" s="54"/>
      <c r="AZ108" s="39"/>
      <c r="BA108" s="35"/>
      <c r="BC108" s="1"/>
      <c r="BE108" s="54"/>
      <c r="BF108" s="39"/>
      <c r="BG108" s="35"/>
      <c r="BI108" s="1"/>
      <c r="BO108" s="1"/>
      <c r="BU108" s="1"/>
    </row>
    <row r="109">
      <c r="A109" s="1"/>
      <c r="B109" s="36"/>
      <c r="C109" s="54"/>
      <c r="D109" s="36"/>
      <c r="E109" s="35"/>
      <c r="F109" s="36"/>
      <c r="G109" s="1"/>
      <c r="H109" s="36"/>
      <c r="I109" s="54"/>
      <c r="J109" s="39"/>
      <c r="K109" s="35"/>
      <c r="L109" s="36"/>
      <c r="M109" s="1"/>
      <c r="N109" s="36"/>
      <c r="O109" s="54"/>
      <c r="P109" s="39"/>
      <c r="Q109" s="35"/>
      <c r="R109" s="36"/>
      <c r="S109" s="1"/>
      <c r="T109" s="36"/>
      <c r="U109" s="54"/>
      <c r="V109" s="39"/>
      <c r="W109" s="35"/>
      <c r="X109" s="36"/>
      <c r="Y109" s="1"/>
      <c r="Z109" s="36"/>
      <c r="AA109" s="54"/>
      <c r="AB109" s="39"/>
      <c r="AC109" s="35"/>
      <c r="AD109" s="36"/>
      <c r="AE109" s="1"/>
      <c r="AG109" s="54"/>
      <c r="AH109" s="39"/>
      <c r="AI109" s="35"/>
      <c r="AK109" s="1"/>
      <c r="AM109" s="54"/>
      <c r="AN109" s="39"/>
      <c r="AO109" s="35"/>
      <c r="AQ109" s="1"/>
      <c r="AS109" s="54"/>
      <c r="AT109" s="39"/>
      <c r="AU109" s="35"/>
      <c r="AW109" s="1"/>
      <c r="AY109" s="54"/>
      <c r="AZ109" s="39"/>
      <c r="BA109" s="35"/>
      <c r="BC109" s="1"/>
      <c r="BE109" s="54"/>
      <c r="BF109" s="39"/>
      <c r="BG109" s="35"/>
      <c r="BI109" s="1"/>
      <c r="BO109" s="1"/>
      <c r="BU109" s="1"/>
    </row>
    <row r="110">
      <c r="A110" s="1"/>
      <c r="B110" s="36"/>
      <c r="C110" s="54"/>
      <c r="D110" s="36"/>
      <c r="E110" s="35"/>
      <c r="F110" s="36"/>
      <c r="G110" s="1"/>
      <c r="H110" s="36"/>
      <c r="I110" s="54"/>
      <c r="J110" s="39"/>
      <c r="K110" s="35"/>
      <c r="L110" s="36"/>
      <c r="M110" s="1"/>
      <c r="N110" s="36"/>
      <c r="O110" s="54"/>
      <c r="P110" s="39"/>
      <c r="Q110" s="35"/>
      <c r="R110" s="36"/>
      <c r="S110" s="1"/>
      <c r="T110" s="36"/>
      <c r="U110" s="54"/>
      <c r="V110" s="39"/>
      <c r="W110" s="35"/>
      <c r="X110" s="36"/>
      <c r="Y110" s="1"/>
      <c r="Z110" s="36"/>
      <c r="AA110" s="54"/>
      <c r="AB110" s="39"/>
      <c r="AC110" s="35"/>
      <c r="AD110" s="36"/>
      <c r="AE110" s="1"/>
      <c r="AG110" s="54"/>
      <c r="AH110" s="39"/>
      <c r="AI110" s="35"/>
      <c r="AK110" s="1"/>
      <c r="AM110" s="54"/>
      <c r="AN110" s="39"/>
      <c r="AO110" s="35"/>
      <c r="AQ110" s="1"/>
      <c r="AS110" s="54"/>
      <c r="AT110" s="39"/>
      <c r="AU110" s="35"/>
      <c r="AW110" s="1"/>
      <c r="AY110" s="54"/>
      <c r="AZ110" s="39"/>
      <c r="BA110" s="35"/>
      <c r="BC110" s="1"/>
      <c r="BE110" s="54"/>
      <c r="BF110" s="39"/>
      <c r="BG110" s="35"/>
      <c r="BI110" s="1"/>
      <c r="BO110" s="1"/>
      <c r="BU110" s="1"/>
    </row>
    <row r="111">
      <c r="A111" s="1"/>
      <c r="B111" s="36"/>
      <c r="C111" s="54"/>
      <c r="D111" s="36"/>
      <c r="E111" s="35"/>
      <c r="F111" s="36"/>
      <c r="G111" s="1"/>
      <c r="H111" s="36"/>
      <c r="I111" s="54"/>
      <c r="J111" s="39"/>
      <c r="K111" s="35"/>
      <c r="L111" s="36"/>
      <c r="M111" s="1"/>
      <c r="N111" s="36"/>
      <c r="O111" s="54"/>
      <c r="P111" s="39"/>
      <c r="Q111" s="35"/>
      <c r="R111" s="36"/>
      <c r="S111" s="1"/>
      <c r="T111" s="36"/>
      <c r="U111" s="54"/>
      <c r="V111" s="39"/>
      <c r="W111" s="35"/>
      <c r="X111" s="36"/>
      <c r="Y111" s="1"/>
      <c r="Z111" s="36"/>
      <c r="AA111" s="54"/>
      <c r="AB111" s="39"/>
      <c r="AC111" s="35"/>
      <c r="AD111" s="36"/>
      <c r="AE111" s="1"/>
      <c r="AG111" s="54"/>
      <c r="AH111" s="39"/>
      <c r="AI111" s="35"/>
      <c r="AK111" s="1"/>
      <c r="AM111" s="54"/>
      <c r="AN111" s="39"/>
      <c r="AO111" s="35"/>
      <c r="AQ111" s="1"/>
      <c r="AS111" s="54"/>
      <c r="AT111" s="39"/>
      <c r="AU111" s="35"/>
      <c r="AW111" s="1"/>
      <c r="AY111" s="54"/>
      <c r="AZ111" s="39"/>
      <c r="BA111" s="35"/>
      <c r="BC111" s="1"/>
      <c r="BE111" s="54"/>
      <c r="BF111" s="39"/>
      <c r="BG111" s="35"/>
      <c r="BI111" s="1"/>
      <c r="BO111" s="1"/>
      <c r="BU111" s="1"/>
    </row>
    <row r="112">
      <c r="A112" s="1"/>
      <c r="B112" s="36"/>
      <c r="C112" s="54"/>
      <c r="D112" s="36"/>
      <c r="E112" s="35"/>
      <c r="F112" s="36"/>
      <c r="G112" s="1"/>
      <c r="H112" s="36"/>
      <c r="I112" s="54"/>
      <c r="J112" s="39"/>
      <c r="K112" s="35"/>
      <c r="L112" s="36"/>
      <c r="M112" s="1"/>
      <c r="N112" s="36"/>
      <c r="O112" s="54"/>
      <c r="P112" s="39"/>
      <c r="Q112" s="35"/>
      <c r="R112" s="36"/>
      <c r="S112" s="1"/>
      <c r="T112" s="36"/>
      <c r="U112" s="54"/>
      <c r="V112" s="39"/>
      <c r="W112" s="35"/>
      <c r="X112" s="36"/>
      <c r="Y112" s="1"/>
      <c r="Z112" s="36"/>
      <c r="AA112" s="54"/>
      <c r="AB112" s="39"/>
      <c r="AC112" s="35"/>
      <c r="AD112" s="36"/>
      <c r="AE112" s="1"/>
      <c r="AG112" s="54"/>
      <c r="AH112" s="39"/>
      <c r="AI112" s="35"/>
      <c r="AK112" s="1"/>
      <c r="AM112" s="54"/>
      <c r="AN112" s="39"/>
      <c r="AO112" s="35"/>
      <c r="AQ112" s="1"/>
      <c r="AS112" s="54"/>
      <c r="AT112" s="39"/>
      <c r="AU112" s="35"/>
      <c r="AW112" s="1"/>
      <c r="AY112" s="54"/>
      <c r="AZ112" s="39"/>
      <c r="BA112" s="35"/>
      <c r="BC112" s="1"/>
      <c r="BE112" s="54"/>
      <c r="BF112" s="39"/>
      <c r="BG112" s="35"/>
      <c r="BI112" s="1"/>
      <c r="BO112" s="1"/>
      <c r="BU112" s="1"/>
    </row>
    <row r="113">
      <c r="A113" s="1"/>
      <c r="B113" s="36"/>
      <c r="C113" s="54"/>
      <c r="D113" s="36"/>
      <c r="E113" s="35"/>
      <c r="F113" s="36"/>
      <c r="G113" s="1"/>
      <c r="H113" s="36"/>
      <c r="I113" s="54"/>
      <c r="J113" s="39"/>
      <c r="K113" s="35"/>
      <c r="L113" s="36"/>
      <c r="M113" s="1"/>
      <c r="N113" s="36"/>
      <c r="O113" s="54"/>
      <c r="P113" s="39"/>
      <c r="Q113" s="35"/>
      <c r="R113" s="36"/>
      <c r="S113" s="1"/>
      <c r="T113" s="36"/>
      <c r="U113" s="54"/>
      <c r="V113" s="39"/>
      <c r="W113" s="35"/>
      <c r="X113" s="36"/>
      <c r="Y113" s="1"/>
      <c r="Z113" s="36"/>
      <c r="AA113" s="54"/>
      <c r="AB113" s="39"/>
      <c r="AC113" s="35"/>
      <c r="AD113" s="36"/>
      <c r="AE113" s="1"/>
      <c r="AG113" s="54"/>
      <c r="AH113" s="39"/>
      <c r="AI113" s="35"/>
      <c r="AK113" s="1"/>
      <c r="AM113" s="54"/>
      <c r="AN113" s="39"/>
      <c r="AO113" s="35"/>
      <c r="AQ113" s="1"/>
      <c r="AS113" s="54"/>
      <c r="AT113" s="39"/>
      <c r="AU113" s="35"/>
      <c r="AW113" s="1"/>
      <c r="AY113" s="54"/>
      <c r="AZ113" s="39"/>
      <c r="BA113" s="35"/>
      <c r="BC113" s="1"/>
      <c r="BE113" s="54"/>
      <c r="BF113" s="39"/>
      <c r="BG113" s="35"/>
      <c r="BI113" s="1"/>
      <c r="BO113" s="1"/>
      <c r="BU113" s="1"/>
    </row>
    <row r="114">
      <c r="A114" s="1"/>
      <c r="B114" s="36"/>
      <c r="C114" s="54"/>
      <c r="D114" s="36"/>
      <c r="E114" s="35"/>
      <c r="F114" s="36"/>
      <c r="G114" s="1"/>
      <c r="H114" s="36"/>
      <c r="I114" s="54"/>
      <c r="J114" s="39"/>
      <c r="K114" s="35"/>
      <c r="L114" s="36"/>
      <c r="M114" s="1"/>
      <c r="N114" s="36"/>
      <c r="O114" s="54"/>
      <c r="P114" s="39"/>
      <c r="Q114" s="35"/>
      <c r="R114" s="36"/>
      <c r="S114" s="1"/>
      <c r="T114" s="36"/>
      <c r="U114" s="54"/>
      <c r="V114" s="39"/>
      <c r="W114" s="35"/>
      <c r="X114" s="36"/>
      <c r="Y114" s="1"/>
      <c r="Z114" s="36"/>
      <c r="AA114" s="54"/>
      <c r="AB114" s="39"/>
      <c r="AC114" s="35"/>
      <c r="AD114" s="36"/>
      <c r="AE114" s="1"/>
      <c r="AG114" s="54"/>
      <c r="AH114" s="39"/>
      <c r="AI114" s="35"/>
      <c r="AK114" s="1"/>
      <c r="AM114" s="54"/>
      <c r="AN114" s="39"/>
      <c r="AO114" s="35"/>
      <c r="AQ114" s="1"/>
      <c r="AS114" s="54"/>
      <c r="AT114" s="39"/>
      <c r="AU114" s="35"/>
      <c r="AW114" s="1"/>
      <c r="AY114" s="54"/>
      <c r="AZ114" s="39"/>
      <c r="BA114" s="35"/>
      <c r="BC114" s="1"/>
      <c r="BE114" s="54"/>
      <c r="BF114" s="39"/>
      <c r="BG114" s="35"/>
      <c r="BI114" s="1"/>
      <c r="BO114" s="1"/>
      <c r="BU114" s="1"/>
    </row>
    <row r="115">
      <c r="A115" s="1"/>
      <c r="B115" s="36"/>
      <c r="C115" s="54"/>
      <c r="D115" s="36"/>
      <c r="E115" s="35"/>
      <c r="F115" s="36"/>
      <c r="G115" s="1"/>
      <c r="H115" s="36"/>
      <c r="I115" s="54"/>
      <c r="J115" s="39"/>
      <c r="K115" s="35"/>
      <c r="L115" s="36"/>
      <c r="M115" s="1"/>
      <c r="N115" s="36"/>
      <c r="O115" s="54"/>
      <c r="P115" s="39"/>
      <c r="Q115" s="35"/>
      <c r="R115" s="36"/>
      <c r="S115" s="1"/>
      <c r="T115" s="36"/>
      <c r="U115" s="54"/>
      <c r="V115" s="39"/>
      <c r="W115" s="35"/>
      <c r="X115" s="36"/>
      <c r="Y115" s="1"/>
      <c r="Z115" s="36"/>
      <c r="AA115" s="54"/>
      <c r="AB115" s="39"/>
      <c r="AC115" s="35"/>
      <c r="AD115" s="36"/>
      <c r="AE115" s="1"/>
      <c r="AG115" s="54"/>
      <c r="AH115" s="39"/>
      <c r="AI115" s="35"/>
      <c r="AK115" s="1"/>
      <c r="AM115" s="54"/>
      <c r="AN115" s="39"/>
      <c r="AO115" s="35"/>
      <c r="AQ115" s="1"/>
      <c r="AS115" s="54"/>
      <c r="AT115" s="39"/>
      <c r="AU115" s="35"/>
      <c r="AW115" s="1"/>
      <c r="AY115" s="54"/>
      <c r="AZ115" s="39"/>
      <c r="BA115" s="35"/>
      <c r="BC115" s="1"/>
      <c r="BE115" s="54"/>
      <c r="BF115" s="39"/>
      <c r="BG115" s="35"/>
      <c r="BI115" s="1"/>
      <c r="BO115" s="1"/>
      <c r="BU115" s="1"/>
    </row>
    <row r="116">
      <c r="A116" s="1"/>
      <c r="B116" s="36"/>
      <c r="C116" s="54"/>
      <c r="D116" s="36"/>
      <c r="E116" s="35"/>
      <c r="F116" s="36"/>
      <c r="G116" s="1"/>
      <c r="I116" s="54"/>
      <c r="J116" s="70"/>
      <c r="K116" s="35"/>
      <c r="M116" s="1"/>
      <c r="U116" s="64"/>
      <c r="BE116" s="54"/>
      <c r="BF116" s="39"/>
      <c r="BG116" s="35"/>
      <c r="BO116" s="1"/>
      <c r="BU116" s="1"/>
    </row>
    <row r="117">
      <c r="A117" s="1"/>
      <c r="B117" s="36"/>
      <c r="C117" s="54"/>
      <c r="D117" s="36"/>
      <c r="E117" s="35"/>
      <c r="F117" s="36"/>
      <c r="G117" s="1"/>
      <c r="I117" s="54"/>
      <c r="J117" s="70"/>
      <c r="K117" s="35"/>
      <c r="M117" s="1"/>
      <c r="U117" s="64"/>
      <c r="BE117" s="54"/>
      <c r="BF117" s="39"/>
      <c r="BG117" s="35"/>
      <c r="BO117" s="1"/>
      <c r="BU117" s="1"/>
    </row>
    <row r="118">
      <c r="A118" s="1"/>
      <c r="B118" s="36"/>
      <c r="C118" s="54"/>
      <c r="D118" s="36"/>
      <c r="E118" s="35"/>
      <c r="F118" s="36"/>
      <c r="G118" s="1"/>
      <c r="I118" s="54"/>
      <c r="J118" s="70"/>
      <c r="K118" s="35"/>
      <c r="M118" s="1"/>
      <c r="U118" s="64"/>
      <c r="BE118" s="54"/>
      <c r="BF118" s="39"/>
      <c r="BG118" s="35"/>
      <c r="BO118" s="1"/>
      <c r="BU118" s="1"/>
    </row>
    <row r="119">
      <c r="A119" s="1"/>
      <c r="B119" s="36"/>
      <c r="C119" s="54"/>
      <c r="D119" s="36"/>
      <c r="E119" s="35"/>
      <c r="F119" s="36"/>
      <c r="G119" s="1"/>
      <c r="I119" s="54"/>
      <c r="J119" s="70"/>
      <c r="K119" s="35"/>
      <c r="M119" s="1"/>
      <c r="BE119" s="54"/>
      <c r="BF119" s="39"/>
      <c r="BG119" s="35"/>
      <c r="BO119" s="1"/>
      <c r="BU119" s="1"/>
    </row>
    <row r="120">
      <c r="A120" s="1"/>
      <c r="B120" s="36"/>
      <c r="C120" s="54"/>
      <c r="D120" s="36"/>
      <c r="E120" s="35"/>
      <c r="F120" s="36"/>
      <c r="G120" s="1"/>
      <c r="I120" s="54"/>
      <c r="J120" s="70"/>
      <c r="K120" s="35"/>
      <c r="M120" s="1"/>
      <c r="BE120" s="54"/>
      <c r="BF120" s="39"/>
      <c r="BG120" s="35"/>
      <c r="BO120" s="1"/>
      <c r="BU120" s="1"/>
    </row>
    <row r="121">
      <c r="A121" s="1"/>
      <c r="B121" s="36"/>
      <c r="C121" s="54"/>
      <c r="D121" s="36"/>
      <c r="E121" s="35"/>
      <c r="F121" s="36"/>
      <c r="G121" s="1"/>
      <c r="I121" s="54"/>
      <c r="J121" s="70"/>
      <c r="K121" s="35"/>
      <c r="M121" s="1"/>
      <c r="BE121" s="54"/>
      <c r="BF121" s="39"/>
      <c r="BG121" s="35"/>
      <c r="BO121" s="1"/>
      <c r="BU121" s="1"/>
    </row>
    <row r="122">
      <c r="A122" s="1"/>
      <c r="B122" s="36"/>
      <c r="C122" s="54"/>
      <c r="D122" s="36"/>
      <c r="E122" s="35"/>
      <c r="F122" s="36"/>
      <c r="G122" s="1"/>
      <c r="I122" s="54"/>
      <c r="J122" s="70"/>
      <c r="K122" s="35"/>
      <c r="M122" s="1"/>
      <c r="BE122" s="54"/>
      <c r="BF122" s="39"/>
      <c r="BG122" s="35"/>
      <c r="BO122" s="1"/>
      <c r="BU122" s="1"/>
    </row>
    <row r="123">
      <c r="A123" s="1"/>
      <c r="B123" s="36"/>
      <c r="C123" s="54"/>
      <c r="D123" s="36"/>
      <c r="E123" s="35"/>
      <c r="F123" s="36"/>
      <c r="G123" s="1"/>
      <c r="I123" s="54"/>
      <c r="J123" s="70"/>
      <c r="K123" s="35"/>
      <c r="M123" s="1"/>
      <c r="BE123" s="54"/>
      <c r="BF123" s="39"/>
      <c r="BG123" s="35"/>
      <c r="BO123" s="1"/>
      <c r="BU123" s="1"/>
    </row>
    <row r="124">
      <c r="A124" s="1"/>
      <c r="B124" s="36"/>
      <c r="C124" s="54"/>
      <c r="D124" s="36"/>
      <c r="E124" s="35"/>
      <c r="F124" s="36"/>
      <c r="G124" s="1"/>
      <c r="I124" s="54"/>
      <c r="J124" s="70"/>
      <c r="M124" s="1"/>
      <c r="BE124" s="54"/>
      <c r="BF124" s="39"/>
      <c r="BG124" s="35"/>
      <c r="BO124" s="1"/>
      <c r="BU124" s="1"/>
    </row>
    <row r="125">
      <c r="A125" s="1"/>
      <c r="B125" s="36"/>
      <c r="C125" s="54"/>
      <c r="D125" s="36"/>
      <c r="E125" s="35"/>
      <c r="F125" s="36"/>
      <c r="G125" s="1"/>
      <c r="I125" s="54"/>
      <c r="J125" s="70"/>
      <c r="M125" s="1"/>
      <c r="BE125" s="54"/>
      <c r="BF125" s="39"/>
      <c r="BG125" s="35"/>
      <c r="BO125" s="1"/>
      <c r="BU125" s="1"/>
    </row>
    <row r="126">
      <c r="A126" s="1"/>
      <c r="B126" s="36"/>
      <c r="C126" s="54"/>
      <c r="D126" s="36"/>
      <c r="E126" s="35"/>
      <c r="F126" s="36"/>
      <c r="G126" s="1"/>
      <c r="I126" s="54"/>
      <c r="J126" s="70"/>
      <c r="M126" s="1"/>
      <c r="BE126" s="54"/>
      <c r="BF126" s="39"/>
      <c r="BG126" s="35"/>
      <c r="BO126" s="1"/>
      <c r="BU126" s="1"/>
    </row>
    <row r="127">
      <c r="A127" s="1"/>
      <c r="B127" s="36"/>
      <c r="C127" s="54"/>
      <c r="D127" s="36"/>
      <c r="E127" s="35"/>
      <c r="F127" s="36"/>
      <c r="G127" s="1"/>
      <c r="I127" s="54"/>
      <c r="J127" s="70"/>
      <c r="M127" s="1"/>
      <c r="BE127" s="54"/>
      <c r="BF127" s="39"/>
      <c r="BG127" s="35"/>
      <c r="BO127" s="1"/>
      <c r="BU127" s="1"/>
    </row>
    <row r="128">
      <c r="A128" s="1"/>
      <c r="B128" s="36"/>
      <c r="C128" s="54"/>
      <c r="D128" s="36"/>
      <c r="E128" s="35"/>
      <c r="F128" s="36"/>
      <c r="G128" s="1"/>
      <c r="I128" s="54"/>
      <c r="J128" s="70"/>
      <c r="M128" s="1"/>
      <c r="BE128" s="54"/>
      <c r="BF128" s="39"/>
      <c r="BG128" s="35"/>
      <c r="BO128" s="1"/>
      <c r="BU128" s="1"/>
    </row>
    <row r="129">
      <c r="A129" s="1"/>
      <c r="B129" s="36"/>
      <c r="C129" s="54"/>
      <c r="D129" s="36"/>
      <c r="E129" s="35"/>
      <c r="F129" s="36"/>
      <c r="G129" s="1"/>
      <c r="I129" s="54"/>
      <c r="J129" s="70"/>
      <c r="M129" s="1"/>
      <c r="BE129" s="54"/>
      <c r="BF129" s="39"/>
      <c r="BG129" s="35"/>
      <c r="BO129" s="1"/>
      <c r="BU129" s="1"/>
    </row>
    <row r="130">
      <c r="A130" s="1"/>
      <c r="B130" s="36"/>
      <c r="C130" s="54"/>
      <c r="D130" s="36"/>
      <c r="E130" s="35"/>
      <c r="F130" s="36"/>
      <c r="G130" s="1"/>
      <c r="I130" s="54"/>
      <c r="J130" s="70"/>
      <c r="M130" s="1"/>
      <c r="BE130" s="54"/>
      <c r="BF130" s="39"/>
      <c r="BG130" s="35"/>
      <c r="BO130" s="1"/>
      <c r="BU130" s="1"/>
    </row>
    <row r="131">
      <c r="A131" s="1"/>
      <c r="B131" s="36"/>
      <c r="C131" s="54"/>
      <c r="D131" s="36"/>
      <c r="E131" s="35"/>
      <c r="F131" s="36"/>
      <c r="G131" s="1"/>
      <c r="I131" s="54"/>
      <c r="J131" s="70"/>
      <c r="M131" s="1"/>
      <c r="BE131" s="54"/>
      <c r="BF131" s="39"/>
      <c r="BG131" s="35"/>
      <c r="BO131" s="1"/>
      <c r="BU131" s="1"/>
    </row>
    <row r="132">
      <c r="A132" s="1"/>
      <c r="B132" s="36"/>
      <c r="C132" s="54"/>
      <c r="D132" s="36"/>
      <c r="E132" s="35"/>
      <c r="F132" s="36"/>
      <c r="G132" s="1"/>
      <c r="I132" s="54"/>
      <c r="J132" s="70"/>
      <c r="M132" s="1"/>
      <c r="BE132" s="54"/>
      <c r="BF132" s="39"/>
      <c r="BG132" s="35"/>
      <c r="BO132" s="1"/>
      <c r="BU132" s="1"/>
    </row>
    <row r="133">
      <c r="A133" s="1"/>
      <c r="B133" s="36"/>
      <c r="C133" s="54"/>
      <c r="D133" s="36"/>
      <c r="E133" s="35"/>
      <c r="F133" s="36"/>
      <c r="G133" s="1"/>
      <c r="I133" s="54"/>
      <c r="J133" s="70"/>
      <c r="M133" s="1"/>
      <c r="BE133" s="54"/>
      <c r="BF133" s="39"/>
      <c r="BG133" s="35"/>
      <c r="BO133" s="1"/>
      <c r="BU133" s="1"/>
    </row>
    <row r="134">
      <c r="A134" s="1"/>
      <c r="B134" s="36"/>
      <c r="C134" s="54"/>
      <c r="D134" s="36"/>
      <c r="E134" s="35"/>
      <c r="F134" s="36"/>
      <c r="G134" s="1"/>
      <c r="I134" s="54"/>
      <c r="J134" s="70"/>
      <c r="M134" s="1"/>
      <c r="BE134" s="54"/>
      <c r="BF134" s="39"/>
      <c r="BG134" s="35"/>
      <c r="BO134" s="1"/>
      <c r="BU134" s="1"/>
    </row>
    <row r="135">
      <c r="A135" s="1"/>
      <c r="B135" s="36"/>
      <c r="C135" s="54"/>
      <c r="D135" s="36"/>
      <c r="E135" s="35"/>
      <c r="F135" s="36"/>
      <c r="G135" s="1"/>
      <c r="I135" s="54"/>
      <c r="J135" s="70"/>
      <c r="M135" s="1"/>
      <c r="BE135" s="54"/>
      <c r="BF135" s="39"/>
      <c r="BG135" s="35"/>
      <c r="BO135" s="1"/>
      <c r="BU135" s="1"/>
    </row>
    <row r="136">
      <c r="A136" s="1"/>
      <c r="B136" s="36"/>
      <c r="C136" s="54"/>
      <c r="D136" s="36"/>
      <c r="E136" s="35"/>
      <c r="F136" s="36"/>
      <c r="G136" s="1"/>
      <c r="I136" s="54"/>
      <c r="J136" s="70"/>
      <c r="M136" s="1"/>
      <c r="BE136" s="54"/>
      <c r="BF136" s="39"/>
      <c r="BG136" s="35"/>
      <c r="BO136" s="1"/>
      <c r="BU136" s="1"/>
    </row>
    <row r="137">
      <c r="A137" s="1"/>
      <c r="B137" s="36"/>
      <c r="C137" s="54"/>
      <c r="D137" s="36"/>
      <c r="E137" s="35"/>
      <c r="F137" s="36"/>
      <c r="G137" s="1"/>
      <c r="I137" s="54"/>
      <c r="J137" s="70"/>
      <c r="M137" s="1"/>
      <c r="BE137" s="54"/>
      <c r="BF137" s="39"/>
      <c r="BG137" s="35"/>
      <c r="BO137" s="1"/>
      <c r="BU137" s="1"/>
    </row>
    <row r="138">
      <c r="A138" s="1"/>
      <c r="B138" s="36"/>
      <c r="C138" s="54"/>
      <c r="D138" s="36"/>
      <c r="E138" s="35"/>
      <c r="F138" s="36"/>
      <c r="G138" s="1"/>
      <c r="I138" s="54"/>
      <c r="J138" s="70"/>
      <c r="M138" s="1"/>
      <c r="BE138" s="54"/>
      <c r="BF138" s="39"/>
      <c r="BG138" s="35"/>
      <c r="BO138" s="1"/>
      <c r="BU138" s="1"/>
    </row>
    <row r="139">
      <c r="A139" s="1"/>
      <c r="B139" s="36"/>
      <c r="C139" s="54"/>
      <c r="D139" s="36"/>
      <c r="E139" s="35"/>
      <c r="F139" s="36"/>
      <c r="G139" s="1"/>
      <c r="I139" s="54"/>
      <c r="J139" s="70"/>
      <c r="M139" s="1"/>
      <c r="BE139" s="54"/>
      <c r="BF139" s="39"/>
      <c r="BG139" s="35"/>
      <c r="BO139" s="1"/>
      <c r="BU139" s="1"/>
    </row>
    <row r="140">
      <c r="A140" s="1"/>
      <c r="B140" s="36"/>
      <c r="C140" s="54"/>
      <c r="D140" s="36"/>
      <c r="E140" s="35"/>
      <c r="F140" s="36"/>
      <c r="G140" s="1"/>
      <c r="I140" s="54"/>
      <c r="J140" s="70"/>
      <c r="M140" s="1"/>
      <c r="BE140" s="54"/>
      <c r="BF140" s="39"/>
      <c r="BG140" s="35"/>
      <c r="BO140" s="1"/>
      <c r="BU140" s="1"/>
    </row>
    <row r="141">
      <c r="A141" s="1"/>
      <c r="B141" s="36"/>
      <c r="C141" s="54"/>
      <c r="D141" s="36"/>
      <c r="E141" s="35"/>
      <c r="F141" s="36"/>
      <c r="G141" s="1"/>
      <c r="I141" s="54"/>
      <c r="J141" s="70"/>
      <c r="M141" s="1"/>
      <c r="BE141" s="54"/>
      <c r="BF141" s="39"/>
      <c r="BG141" s="35"/>
      <c r="BO141" s="1"/>
      <c r="BU141" s="1"/>
    </row>
    <row r="142">
      <c r="A142" s="1"/>
      <c r="B142" s="36"/>
      <c r="C142" s="54"/>
      <c r="D142" s="36"/>
      <c r="E142" s="35"/>
      <c r="F142" s="36"/>
      <c r="G142" s="1"/>
      <c r="I142" s="54"/>
      <c r="J142" s="70"/>
      <c r="M142" s="1"/>
      <c r="BE142" s="54"/>
      <c r="BF142" s="39"/>
      <c r="BG142" s="35"/>
      <c r="BO142" s="1"/>
      <c r="BU142" s="1"/>
    </row>
    <row r="143">
      <c r="A143" s="1"/>
      <c r="B143" s="36"/>
      <c r="C143" s="54"/>
      <c r="D143" s="36"/>
      <c r="E143" s="35"/>
      <c r="F143" s="36"/>
      <c r="G143" s="1"/>
      <c r="I143" s="54"/>
      <c r="J143" s="70"/>
      <c r="M143" s="1"/>
      <c r="BE143" s="54"/>
      <c r="BF143" s="39"/>
      <c r="BG143" s="35"/>
      <c r="BO143" s="1"/>
      <c r="BU143" s="1"/>
    </row>
    <row r="144">
      <c r="A144" s="1"/>
      <c r="B144" s="36"/>
      <c r="C144" s="54"/>
      <c r="D144" s="36"/>
      <c r="E144" s="35"/>
      <c r="F144" s="36"/>
      <c r="G144" s="1"/>
      <c r="I144" s="54"/>
      <c r="J144" s="70"/>
      <c r="M144" s="1"/>
      <c r="BE144" s="54"/>
      <c r="BF144" s="39"/>
      <c r="BG144" s="35"/>
      <c r="BO144" s="1"/>
      <c r="BU144" s="1"/>
    </row>
    <row r="145">
      <c r="A145" s="1"/>
      <c r="B145" s="36"/>
      <c r="C145" s="54"/>
      <c r="D145" s="36"/>
      <c r="E145" s="35"/>
      <c r="F145" s="36"/>
      <c r="G145" s="1"/>
      <c r="I145" s="54"/>
      <c r="J145" s="70"/>
      <c r="M145" s="1"/>
      <c r="BE145" s="54"/>
      <c r="BF145" s="39"/>
      <c r="BG145" s="35"/>
      <c r="BO145" s="1"/>
      <c r="BU145" s="1"/>
    </row>
    <row r="146">
      <c r="A146" s="1"/>
      <c r="B146" s="36"/>
      <c r="C146" s="54"/>
      <c r="D146" s="36"/>
      <c r="E146" s="35"/>
      <c r="F146" s="36"/>
      <c r="G146" s="1"/>
      <c r="I146" s="54"/>
      <c r="J146" s="70"/>
      <c r="M146" s="1"/>
      <c r="BE146" s="54"/>
      <c r="BF146" s="39"/>
      <c r="BG146" s="35"/>
      <c r="BO146" s="1"/>
      <c r="BU146" s="1"/>
    </row>
    <row r="147">
      <c r="A147" s="1"/>
      <c r="B147" s="36"/>
      <c r="C147" s="54"/>
      <c r="D147" s="36"/>
      <c r="E147" s="35"/>
      <c r="F147" s="36"/>
      <c r="G147" s="1"/>
      <c r="J147" s="70"/>
      <c r="M147" s="1"/>
      <c r="BE147" s="54"/>
      <c r="BF147" s="39"/>
      <c r="BG147" s="35"/>
      <c r="BO147" s="1"/>
      <c r="BU147" s="1"/>
    </row>
    <row r="148">
      <c r="A148" s="1"/>
      <c r="B148" s="36"/>
      <c r="C148" s="54"/>
      <c r="D148" s="36"/>
      <c r="E148" s="35"/>
      <c r="F148" s="36"/>
      <c r="G148" s="1"/>
      <c r="J148" s="70"/>
      <c r="M148" s="1"/>
      <c r="BE148" s="54"/>
      <c r="BF148" s="39"/>
      <c r="BG148" s="35"/>
      <c r="BO148" s="1"/>
      <c r="BU148" s="1"/>
    </row>
    <row r="149">
      <c r="A149" s="1"/>
      <c r="B149" s="36"/>
      <c r="C149" s="54"/>
      <c r="D149" s="36"/>
      <c r="E149" s="35"/>
      <c r="F149" s="36"/>
      <c r="G149" s="1"/>
      <c r="J149" s="70"/>
      <c r="M149" s="1"/>
      <c r="BE149" s="54"/>
      <c r="BF149" s="39"/>
      <c r="BG149" s="35"/>
      <c r="BO149" s="1"/>
      <c r="BU149" s="1"/>
    </row>
    <row r="150">
      <c r="A150" s="1"/>
      <c r="B150" s="36"/>
      <c r="C150" s="54"/>
      <c r="D150" s="36"/>
      <c r="E150" s="35"/>
      <c r="F150" s="36"/>
      <c r="G150" s="1"/>
      <c r="J150" s="70"/>
      <c r="M150" s="1"/>
      <c r="BE150" s="54"/>
      <c r="BF150" s="39"/>
      <c r="BG150" s="35"/>
      <c r="BO150" s="1"/>
      <c r="BU150" s="1"/>
    </row>
    <row r="151">
      <c r="A151" s="1"/>
      <c r="B151" s="36"/>
      <c r="C151" s="54"/>
      <c r="D151" s="36"/>
      <c r="E151" s="35"/>
      <c r="F151" s="36"/>
      <c r="G151" s="1"/>
      <c r="J151" s="70"/>
      <c r="M151" s="1"/>
      <c r="BE151" s="54"/>
      <c r="BF151" s="39"/>
      <c r="BG151" s="35"/>
      <c r="BO151" s="1"/>
      <c r="BU151" s="1"/>
    </row>
    <row r="152">
      <c r="A152" s="1"/>
      <c r="B152" s="36"/>
      <c r="C152" s="54"/>
      <c r="D152" s="36"/>
      <c r="E152" s="35"/>
      <c r="F152" s="36"/>
      <c r="G152" s="1"/>
      <c r="J152" s="70"/>
      <c r="M152" s="1"/>
      <c r="BE152" s="54"/>
      <c r="BF152" s="39"/>
      <c r="BG152" s="35"/>
      <c r="BO152" s="1"/>
      <c r="BU152" s="1"/>
    </row>
    <row r="153">
      <c r="A153" s="1"/>
      <c r="B153" s="36"/>
      <c r="C153" s="54"/>
      <c r="D153" s="36"/>
      <c r="E153" s="35"/>
      <c r="F153" s="36"/>
      <c r="G153" s="1"/>
      <c r="J153" s="70"/>
      <c r="M153" s="1"/>
      <c r="BE153" s="54"/>
      <c r="BF153" s="39"/>
      <c r="BG153" s="35"/>
      <c r="BO153" s="1"/>
      <c r="BU153" s="1"/>
    </row>
    <row r="154">
      <c r="A154" s="1"/>
      <c r="B154" s="36"/>
      <c r="C154" s="54"/>
      <c r="D154" s="36"/>
      <c r="E154" s="35"/>
      <c r="F154" s="36"/>
      <c r="G154" s="1"/>
      <c r="J154" s="70"/>
      <c r="M154" s="1"/>
      <c r="BE154" s="54"/>
      <c r="BF154" s="39"/>
      <c r="BG154" s="35"/>
      <c r="BO154" s="1"/>
      <c r="BU154" s="1"/>
    </row>
    <row r="155">
      <c r="A155" s="1"/>
      <c r="B155" s="36"/>
      <c r="C155" s="54"/>
      <c r="D155" s="36"/>
      <c r="E155" s="35"/>
      <c r="F155" s="36"/>
      <c r="G155" s="1"/>
      <c r="J155" s="70"/>
      <c r="M155" s="1"/>
      <c r="BE155" s="54"/>
      <c r="BF155" s="39"/>
      <c r="BG155" s="35"/>
      <c r="BO155" s="1"/>
      <c r="BU155" s="1"/>
    </row>
    <row r="156">
      <c r="A156" s="1"/>
      <c r="B156" s="36"/>
      <c r="C156" s="54"/>
      <c r="D156" s="36"/>
      <c r="E156" s="35"/>
      <c r="F156" s="36"/>
      <c r="G156" s="1"/>
      <c r="J156" s="70"/>
      <c r="M156" s="1"/>
      <c r="BE156" s="54"/>
      <c r="BF156" s="39"/>
      <c r="BG156" s="35"/>
      <c r="BO156" s="1"/>
      <c r="BU156" s="1"/>
    </row>
    <row r="157">
      <c r="A157" s="1"/>
      <c r="B157" s="36"/>
      <c r="C157" s="54"/>
      <c r="D157" s="36"/>
      <c r="E157" s="35"/>
      <c r="F157" s="36"/>
      <c r="G157" s="1"/>
      <c r="J157" s="70"/>
      <c r="M157" s="1"/>
      <c r="BO157" s="1"/>
      <c r="BU157" s="1"/>
    </row>
    <row r="158">
      <c r="A158" s="1"/>
      <c r="B158" s="36"/>
      <c r="C158" s="54"/>
      <c r="D158" s="36"/>
      <c r="E158" s="35"/>
      <c r="F158" s="36"/>
      <c r="G158" s="1"/>
      <c r="J158" s="70"/>
      <c r="M158" s="1"/>
      <c r="BO158" s="1"/>
      <c r="BU158" s="1"/>
    </row>
    <row r="159">
      <c r="A159" s="1"/>
      <c r="B159" s="36"/>
      <c r="C159" s="54"/>
      <c r="D159" s="36"/>
      <c r="E159" s="35"/>
      <c r="F159" s="36"/>
      <c r="G159" s="1"/>
      <c r="J159" s="70"/>
      <c r="M159" s="1"/>
      <c r="BO159" s="1"/>
      <c r="BU159" s="1"/>
    </row>
    <row r="160">
      <c r="A160" s="1"/>
      <c r="B160" s="36"/>
      <c r="C160" s="54"/>
      <c r="D160" s="36"/>
      <c r="E160" s="35"/>
      <c r="F160" s="36"/>
      <c r="G160" s="1"/>
      <c r="I160" s="64"/>
      <c r="J160" s="70"/>
      <c r="M160" s="1"/>
      <c r="BO160" s="1"/>
      <c r="BU160" s="1"/>
    </row>
    <row r="161">
      <c r="A161" s="1"/>
      <c r="B161" s="36"/>
      <c r="C161" s="54"/>
      <c r="D161" s="36"/>
      <c r="E161" s="35"/>
      <c r="F161" s="36"/>
      <c r="G161" s="1"/>
      <c r="I161" s="64"/>
      <c r="J161" s="70"/>
      <c r="M161" s="1"/>
      <c r="BO161" s="1"/>
      <c r="BU161" s="1"/>
    </row>
    <row r="162">
      <c r="A162" s="1"/>
      <c r="B162" s="36"/>
      <c r="C162" s="54"/>
      <c r="D162" s="36"/>
      <c r="E162" s="35"/>
      <c r="F162" s="36"/>
      <c r="G162" s="1"/>
      <c r="I162" s="64"/>
      <c r="J162" s="70"/>
      <c r="M162" s="1"/>
      <c r="BO162" s="1"/>
      <c r="BU162" s="1"/>
    </row>
    <row r="163">
      <c r="A163" s="1"/>
      <c r="G163" s="1"/>
      <c r="I163" s="64"/>
      <c r="J163" s="70"/>
      <c r="M163" s="1"/>
      <c r="BO163" s="1"/>
      <c r="BU163" s="1"/>
    </row>
    <row r="164">
      <c r="A164" s="1"/>
      <c r="G164" s="1"/>
      <c r="I164" s="64"/>
      <c r="J164" s="70"/>
      <c r="M164" s="1"/>
      <c r="BO164" s="1"/>
      <c r="BU164" s="1"/>
    </row>
    <row r="165">
      <c r="A165" s="1"/>
      <c r="G165" s="1"/>
      <c r="I165" s="64"/>
      <c r="J165" s="70"/>
      <c r="M165" s="1"/>
      <c r="BO165" s="1"/>
      <c r="BU165" s="1"/>
    </row>
    <row r="166">
      <c r="A166" s="1"/>
      <c r="G166" s="1"/>
      <c r="I166" s="64"/>
      <c r="J166" s="70"/>
      <c r="M166" s="1"/>
      <c r="BO166" s="1"/>
      <c r="BU166" s="1"/>
    </row>
    <row r="167">
      <c r="A167" s="1"/>
      <c r="G167" s="1"/>
      <c r="I167" s="64"/>
      <c r="J167" s="70"/>
      <c r="M167" s="1"/>
      <c r="BO167" s="1"/>
      <c r="BU167" s="1"/>
    </row>
    <row r="168">
      <c r="A168" s="1"/>
      <c r="G168" s="1"/>
      <c r="I168" s="64"/>
      <c r="J168" s="70"/>
      <c r="M168" s="1"/>
      <c r="BO168" s="1"/>
      <c r="BU168" s="1"/>
    </row>
    <row r="169">
      <c r="A169" s="1"/>
      <c r="G169" s="1"/>
      <c r="I169" s="64"/>
      <c r="J169" s="70"/>
      <c r="M169" s="1"/>
      <c r="BO169" s="1"/>
      <c r="BU169" s="1"/>
    </row>
    <row r="170">
      <c r="A170" s="1"/>
      <c r="G170" s="1"/>
      <c r="I170" s="64"/>
      <c r="J170" s="70"/>
      <c r="M170" s="1"/>
      <c r="BO170" s="1"/>
      <c r="BU170" s="1"/>
    </row>
    <row r="171">
      <c r="A171" s="1"/>
      <c r="G171" s="1"/>
      <c r="I171" s="64"/>
      <c r="J171" s="70"/>
      <c r="M171" s="1"/>
      <c r="BO171" s="1"/>
      <c r="BU171" s="1"/>
    </row>
    <row r="172">
      <c r="A172" s="1"/>
      <c r="G172" s="1"/>
      <c r="I172" s="64"/>
      <c r="J172" s="70"/>
      <c r="M172" s="1"/>
      <c r="BO172" s="1"/>
      <c r="BU172" s="1"/>
    </row>
    <row r="173">
      <c r="A173" s="1"/>
      <c r="G173" s="1"/>
      <c r="I173" s="64"/>
      <c r="J173" s="70"/>
      <c r="M173" s="1"/>
      <c r="BO173" s="1"/>
      <c r="BU173" s="1"/>
    </row>
    <row r="174">
      <c r="A174" s="1"/>
      <c r="G174" s="1"/>
      <c r="I174" s="64"/>
      <c r="J174" s="70"/>
      <c r="M174" s="1"/>
      <c r="BO174" s="1"/>
      <c r="BU174" s="1"/>
    </row>
    <row r="175">
      <c r="A175" s="1"/>
      <c r="G175" s="1"/>
      <c r="I175" s="64"/>
      <c r="J175" s="70"/>
      <c r="M175" s="1"/>
      <c r="BO175" s="1"/>
      <c r="BU175" s="1"/>
    </row>
    <row r="176">
      <c r="A176" s="1"/>
      <c r="G176" s="1"/>
      <c r="J176" s="70"/>
      <c r="M176" s="1"/>
      <c r="BO176" s="1"/>
      <c r="BU176" s="1"/>
    </row>
    <row r="177">
      <c r="A177" s="1"/>
      <c r="G177" s="1"/>
      <c r="J177" s="70"/>
      <c r="M177" s="1"/>
      <c r="BO177" s="1"/>
      <c r="BU177" s="1"/>
    </row>
    <row r="178">
      <c r="A178" s="1"/>
      <c r="G178" s="1"/>
      <c r="J178" s="70"/>
      <c r="M178" s="1"/>
      <c r="BO178" s="1"/>
      <c r="BU178" s="1"/>
    </row>
    <row r="179">
      <c r="A179" s="1"/>
      <c r="G179" s="1"/>
      <c r="J179" s="70"/>
      <c r="M179" s="1"/>
      <c r="BO179" s="1"/>
      <c r="BU179" s="1"/>
    </row>
    <row r="180">
      <c r="A180" s="1"/>
      <c r="G180" s="1"/>
      <c r="J180" s="70"/>
      <c r="M180" s="1"/>
      <c r="BO180" s="1"/>
      <c r="BU180" s="1"/>
    </row>
    <row r="181">
      <c r="A181" s="1"/>
      <c r="G181" s="1"/>
      <c r="J181" s="70"/>
      <c r="M181" s="1"/>
      <c r="BO181" s="1"/>
      <c r="BU181" s="1"/>
    </row>
    <row r="182">
      <c r="A182" s="1"/>
      <c r="G182" s="1"/>
      <c r="J182" s="70"/>
      <c r="M182" s="1"/>
      <c r="BO182" s="1"/>
      <c r="BU182" s="1"/>
    </row>
    <row r="183">
      <c r="A183" s="1"/>
      <c r="G183" s="1"/>
      <c r="J183" s="70"/>
      <c r="M183" s="1"/>
      <c r="BO183" s="1"/>
      <c r="BU183" s="1"/>
    </row>
    <row r="184">
      <c r="A184" s="1"/>
      <c r="G184" s="1"/>
      <c r="J184" s="70"/>
      <c r="M184" s="1"/>
      <c r="BO184" s="1"/>
      <c r="BU184" s="1"/>
    </row>
    <row r="185">
      <c r="A185" s="1"/>
      <c r="G185" s="1"/>
      <c r="J185" s="70"/>
      <c r="M185" s="1"/>
      <c r="BO185" s="1"/>
      <c r="BU185" s="1"/>
    </row>
    <row r="186">
      <c r="A186" s="1"/>
      <c r="G186" s="1"/>
      <c r="J186" s="70"/>
      <c r="M186" s="1"/>
      <c r="BO186" s="1"/>
      <c r="BU186" s="1"/>
    </row>
    <row r="187">
      <c r="A187" s="1"/>
      <c r="G187" s="1"/>
      <c r="J187" s="70"/>
      <c r="M187" s="1"/>
      <c r="BO187" s="1"/>
      <c r="BU187" s="1"/>
    </row>
    <row r="188">
      <c r="A188" s="1"/>
      <c r="G188" s="1"/>
      <c r="J188" s="70"/>
      <c r="M188" s="1"/>
      <c r="BO188" s="1"/>
      <c r="BU188" s="1"/>
    </row>
    <row r="189">
      <c r="A189" s="1"/>
      <c r="G189" s="1"/>
      <c r="J189" s="70"/>
      <c r="M189" s="1"/>
      <c r="BO189" s="1"/>
      <c r="BU189" s="1"/>
    </row>
    <row r="190">
      <c r="A190" s="1"/>
      <c r="G190" s="1"/>
      <c r="J190" s="70"/>
      <c r="M190" s="1"/>
      <c r="BO190" s="1"/>
      <c r="BU190" s="1"/>
    </row>
    <row r="191">
      <c r="A191" s="1"/>
      <c r="G191" s="1"/>
      <c r="J191" s="70"/>
      <c r="M191" s="1"/>
      <c r="U191" s="64"/>
      <c r="BO191" s="1"/>
      <c r="BU191" s="1"/>
    </row>
    <row r="192">
      <c r="A192" s="1"/>
      <c r="G192" s="1"/>
      <c r="J192" s="70"/>
      <c r="M192" s="1"/>
      <c r="U192" s="64"/>
      <c r="BO192" s="1"/>
      <c r="BU192" s="1"/>
    </row>
    <row r="193">
      <c r="A193" s="1"/>
      <c r="G193" s="1"/>
      <c r="J193" s="70"/>
      <c r="M193" s="1"/>
      <c r="U193" s="64"/>
      <c r="BO193" s="1"/>
      <c r="BU193" s="1"/>
    </row>
    <row r="194">
      <c r="A194" s="1"/>
      <c r="G194" s="1"/>
      <c r="J194" s="70"/>
      <c r="M194" s="1"/>
      <c r="U194" s="64"/>
      <c r="BO194" s="1"/>
      <c r="BU194" s="1"/>
    </row>
    <row r="195">
      <c r="A195" s="1"/>
      <c r="G195" s="1"/>
      <c r="J195" s="70"/>
      <c r="M195" s="1"/>
      <c r="U195" s="64"/>
      <c r="BO195" s="1"/>
      <c r="BU195" s="1"/>
    </row>
    <row r="196">
      <c r="A196" s="1"/>
      <c r="G196" s="1"/>
      <c r="J196" s="70"/>
      <c r="M196" s="1"/>
      <c r="U196" s="64"/>
      <c r="BO196" s="1"/>
      <c r="BU196" s="1"/>
    </row>
    <row r="197">
      <c r="A197" s="1"/>
      <c r="G197" s="1"/>
      <c r="J197" s="70"/>
      <c r="M197" s="1"/>
      <c r="U197" s="64"/>
      <c r="BO197" s="1"/>
      <c r="BU197" s="1"/>
    </row>
    <row r="198">
      <c r="A198" s="1"/>
      <c r="G198" s="1"/>
      <c r="J198" s="70"/>
      <c r="M198" s="1"/>
      <c r="U198" s="64"/>
      <c r="BO198" s="1"/>
      <c r="BU198" s="1"/>
    </row>
    <row r="199">
      <c r="A199" s="1"/>
      <c r="G199" s="1"/>
      <c r="J199" s="70"/>
      <c r="M199" s="1"/>
      <c r="U199" s="64"/>
      <c r="BO199" s="1"/>
      <c r="BU199" s="1"/>
    </row>
    <row r="200">
      <c r="A200" s="1"/>
      <c r="G200" s="1"/>
      <c r="J200" s="70"/>
      <c r="M200" s="1"/>
      <c r="U200" s="64"/>
      <c r="BO200" s="1"/>
      <c r="BU200" s="1"/>
    </row>
    <row r="201">
      <c r="A201" s="1"/>
      <c r="G201" s="1"/>
      <c r="J201" s="70"/>
      <c r="M201" s="1"/>
      <c r="U201" s="64"/>
      <c r="BO201" s="1"/>
      <c r="BU201" s="1"/>
    </row>
    <row r="202">
      <c r="A202" s="1"/>
      <c r="G202" s="1"/>
      <c r="J202" s="70"/>
      <c r="M202" s="1"/>
      <c r="U202" s="64"/>
      <c r="BO202" s="1"/>
      <c r="BU202" s="1"/>
    </row>
    <row r="203">
      <c r="A203" s="1"/>
      <c r="G203" s="1"/>
      <c r="J203" s="70"/>
      <c r="M203" s="1"/>
      <c r="U203" s="64"/>
      <c r="BO203" s="1"/>
      <c r="BU203" s="1"/>
    </row>
    <row r="204">
      <c r="A204" s="1"/>
      <c r="G204" s="1"/>
      <c r="J204" s="70"/>
      <c r="M204" s="1"/>
      <c r="U204" s="64"/>
      <c r="BO204" s="1"/>
      <c r="BU204" s="1"/>
    </row>
    <row r="205">
      <c r="A205" s="1"/>
      <c r="G205" s="1"/>
      <c r="J205" s="70"/>
      <c r="M205" s="1"/>
      <c r="U205" s="64"/>
      <c r="BO205" s="1"/>
      <c r="BU205" s="1"/>
    </row>
    <row r="206">
      <c r="A206" s="1"/>
      <c r="G206" s="1"/>
      <c r="J206" s="70"/>
      <c r="M206" s="1"/>
      <c r="BO206" s="1"/>
      <c r="BU206" s="1"/>
    </row>
    <row r="207">
      <c r="A207" s="1"/>
      <c r="G207" s="1"/>
      <c r="J207" s="70"/>
      <c r="M207" s="1"/>
      <c r="BO207" s="1"/>
      <c r="BU207" s="1"/>
    </row>
    <row r="208">
      <c r="A208" s="1"/>
      <c r="G208" s="1"/>
      <c r="J208" s="70"/>
      <c r="M208" s="1"/>
      <c r="BO208" s="1"/>
      <c r="BU208" s="1"/>
    </row>
    <row r="209">
      <c r="A209" s="1"/>
      <c r="G209" s="1"/>
      <c r="J209" s="70"/>
      <c r="M209" s="1"/>
      <c r="BO209" s="1"/>
      <c r="BU209" s="1"/>
    </row>
    <row r="210">
      <c r="A210" s="1"/>
      <c r="G210" s="1"/>
      <c r="J210" s="70"/>
      <c r="M210" s="1"/>
      <c r="BO210" s="1"/>
      <c r="BU210" s="1"/>
    </row>
    <row r="211">
      <c r="A211" s="1"/>
      <c r="G211" s="1"/>
      <c r="J211" s="70"/>
      <c r="M211" s="1"/>
      <c r="BO211" s="1"/>
      <c r="BU211" s="1"/>
    </row>
    <row r="212">
      <c r="A212" s="1"/>
      <c r="G212" s="1"/>
      <c r="J212" s="70"/>
      <c r="M212" s="1"/>
      <c r="BO212" s="1"/>
      <c r="BU212" s="1"/>
    </row>
    <row r="213">
      <c r="A213" s="1"/>
      <c r="G213" s="1"/>
      <c r="J213" s="70"/>
      <c r="M213" s="1"/>
      <c r="BO213" s="1"/>
      <c r="BU213" s="1"/>
    </row>
    <row r="214">
      <c r="A214" s="1"/>
      <c r="G214" s="1"/>
      <c r="J214" s="70"/>
      <c r="M214" s="1"/>
      <c r="BO214" s="1"/>
      <c r="BU214" s="1"/>
    </row>
    <row r="215">
      <c r="A215" s="1"/>
      <c r="G215" s="1"/>
      <c r="J215" s="70"/>
      <c r="M215" s="1"/>
      <c r="BO215" s="1"/>
      <c r="BU215" s="1"/>
    </row>
    <row r="216">
      <c r="A216" s="1"/>
      <c r="G216" s="1"/>
      <c r="J216" s="70"/>
      <c r="M216" s="1"/>
      <c r="BO216" s="1"/>
      <c r="BU216" s="1"/>
    </row>
    <row r="217">
      <c r="A217" s="1"/>
      <c r="G217" s="1"/>
      <c r="J217" s="70"/>
      <c r="M217" s="1"/>
      <c r="BO217" s="1"/>
      <c r="BU217" s="1"/>
    </row>
    <row r="218">
      <c r="A218" s="1"/>
      <c r="G218" s="1"/>
      <c r="J218" s="70"/>
      <c r="M218" s="1"/>
      <c r="BO218" s="1"/>
      <c r="BU218" s="1"/>
    </row>
    <row r="219">
      <c r="A219" s="1"/>
      <c r="G219" s="1"/>
      <c r="J219" s="70"/>
      <c r="M219" s="1"/>
      <c r="BO219" s="1"/>
      <c r="BU219" s="1"/>
    </row>
    <row r="220">
      <c r="A220" s="1"/>
      <c r="G220" s="1"/>
      <c r="J220" s="70"/>
      <c r="M220" s="1"/>
      <c r="BO220" s="1"/>
      <c r="BU220" s="1"/>
    </row>
    <row r="221">
      <c r="A221" s="1"/>
      <c r="G221" s="1"/>
      <c r="J221" s="70"/>
      <c r="M221" s="1"/>
      <c r="BO221" s="1"/>
      <c r="BU221" s="1"/>
    </row>
    <row r="222">
      <c r="A222" s="1"/>
      <c r="G222" s="1"/>
      <c r="J222" s="70"/>
      <c r="M222" s="1"/>
      <c r="BO222" s="1"/>
      <c r="BU222" s="1"/>
    </row>
    <row r="223">
      <c r="A223" s="1"/>
      <c r="G223" s="1"/>
      <c r="J223" s="70"/>
      <c r="M223" s="1"/>
      <c r="BO223" s="1"/>
      <c r="BU223" s="1"/>
    </row>
    <row r="224">
      <c r="A224" s="1"/>
      <c r="G224" s="1"/>
      <c r="J224" s="70"/>
      <c r="M224" s="1"/>
      <c r="BO224" s="1"/>
      <c r="BU224" s="1"/>
    </row>
    <row r="225">
      <c r="A225" s="1"/>
      <c r="G225" s="1"/>
      <c r="J225" s="70"/>
      <c r="M225" s="1"/>
      <c r="BO225" s="1"/>
      <c r="BU225" s="1"/>
    </row>
    <row r="226">
      <c r="A226" s="1"/>
      <c r="G226" s="1"/>
      <c r="J226" s="70"/>
      <c r="M226" s="1"/>
      <c r="BO226" s="1"/>
      <c r="BU226" s="1"/>
    </row>
    <row r="227">
      <c r="A227" s="1"/>
      <c r="G227" s="1"/>
      <c r="J227" s="70"/>
      <c r="M227" s="1"/>
      <c r="BO227" s="1"/>
      <c r="BU227" s="1"/>
    </row>
    <row r="228">
      <c r="A228" s="1"/>
      <c r="G228" s="1"/>
      <c r="J228" s="70"/>
      <c r="M228" s="1"/>
      <c r="BO228" s="1"/>
      <c r="BU228" s="1"/>
    </row>
    <row r="229">
      <c r="A229" s="1"/>
      <c r="G229" s="1"/>
      <c r="J229" s="70"/>
      <c r="M229" s="1"/>
      <c r="BO229" s="1"/>
      <c r="BU229" s="1"/>
    </row>
    <row r="230">
      <c r="A230" s="1"/>
      <c r="G230" s="1"/>
      <c r="J230" s="70"/>
      <c r="M230" s="1"/>
      <c r="BO230" s="1"/>
      <c r="BU230" s="1"/>
    </row>
    <row r="231">
      <c r="A231" s="1"/>
      <c r="G231" s="1"/>
      <c r="J231" s="70"/>
      <c r="M231" s="1"/>
      <c r="BO231" s="1"/>
      <c r="BU231" s="1"/>
    </row>
    <row r="232">
      <c r="A232" s="1"/>
      <c r="G232" s="1"/>
      <c r="I232" s="64"/>
      <c r="J232" s="70"/>
      <c r="M232" s="1"/>
      <c r="BO232" s="1"/>
      <c r="BU232" s="1"/>
    </row>
    <row r="233">
      <c r="A233" s="1"/>
      <c r="G233" s="1"/>
      <c r="I233" s="64"/>
      <c r="J233" s="70"/>
      <c r="M233" s="1"/>
      <c r="BO233" s="1"/>
      <c r="BU233" s="1"/>
    </row>
    <row r="234">
      <c r="A234" s="1"/>
      <c r="G234" s="1"/>
      <c r="I234" s="64"/>
      <c r="J234" s="70"/>
      <c r="M234" s="1"/>
      <c r="BO234" s="1"/>
      <c r="BU234" s="1"/>
    </row>
    <row r="235">
      <c r="A235" s="1"/>
      <c r="G235" s="1"/>
      <c r="I235" s="64"/>
      <c r="J235" s="70"/>
      <c r="M235" s="1"/>
      <c r="BO235" s="1"/>
      <c r="BU235" s="1"/>
    </row>
    <row r="236">
      <c r="A236" s="1"/>
      <c r="G236" s="1"/>
      <c r="I236" s="64"/>
      <c r="J236" s="70"/>
      <c r="M236" s="1"/>
      <c r="BO236" s="1"/>
      <c r="BU236" s="1"/>
    </row>
    <row r="237">
      <c r="A237" s="1"/>
      <c r="G237" s="1"/>
      <c r="I237" s="64"/>
      <c r="J237" s="70"/>
      <c r="M237" s="1"/>
      <c r="BO237" s="1"/>
      <c r="BU237" s="1"/>
    </row>
    <row r="238">
      <c r="A238" s="1"/>
      <c r="G238" s="1"/>
      <c r="I238" s="64"/>
      <c r="J238" s="70"/>
      <c r="M238" s="1"/>
      <c r="BO238" s="1"/>
      <c r="BU238" s="1"/>
    </row>
    <row r="239">
      <c r="A239" s="1"/>
      <c r="G239" s="1"/>
      <c r="I239" s="64"/>
      <c r="J239" s="70"/>
      <c r="M239" s="1"/>
      <c r="BO239" s="1"/>
      <c r="BU239" s="1"/>
    </row>
    <row r="240">
      <c r="A240" s="1"/>
      <c r="G240" s="1"/>
      <c r="I240" s="64"/>
      <c r="J240" s="70"/>
      <c r="M240" s="1"/>
      <c r="BO240" s="1"/>
      <c r="BU240" s="1"/>
    </row>
    <row r="241">
      <c r="A241" s="1"/>
      <c r="G241" s="1"/>
      <c r="I241" s="64"/>
      <c r="J241" s="70"/>
      <c r="M241" s="1"/>
      <c r="BO241" s="1"/>
      <c r="BU241" s="1"/>
    </row>
    <row r="242">
      <c r="A242" s="1"/>
      <c r="G242" s="1"/>
      <c r="I242" s="64"/>
      <c r="J242" s="70"/>
      <c r="M242" s="1"/>
      <c r="BO242" s="1"/>
      <c r="BU242" s="1"/>
    </row>
    <row r="243">
      <c r="A243" s="1"/>
      <c r="G243" s="1"/>
      <c r="I243" s="64"/>
      <c r="J243" s="70"/>
      <c r="M243" s="1"/>
      <c r="BO243" s="1"/>
      <c r="BU243" s="1"/>
    </row>
    <row r="244">
      <c r="A244" s="1"/>
      <c r="G244" s="1"/>
      <c r="I244" s="64"/>
      <c r="J244" s="70"/>
      <c r="M244" s="1"/>
      <c r="BO244" s="1"/>
      <c r="BU244" s="1"/>
    </row>
    <row r="245">
      <c r="A245" s="1"/>
      <c r="G245" s="1"/>
      <c r="I245" s="64"/>
      <c r="J245" s="70"/>
      <c r="M245" s="1"/>
      <c r="BO245" s="1"/>
      <c r="BU245" s="1"/>
    </row>
    <row r="246">
      <c r="A246" s="1"/>
      <c r="G246" s="1"/>
      <c r="I246" s="64"/>
      <c r="J246" s="70"/>
      <c r="M246" s="1"/>
      <c r="BO246" s="1"/>
      <c r="BU246" s="1"/>
    </row>
    <row r="247">
      <c r="A247" s="1"/>
      <c r="G247" s="1"/>
      <c r="I247" s="64"/>
      <c r="J247" s="70"/>
      <c r="M247" s="1"/>
      <c r="BO247" s="1"/>
      <c r="BU247" s="1"/>
    </row>
    <row r="248">
      <c r="A248" s="1"/>
      <c r="G248" s="1"/>
      <c r="J248" s="70"/>
      <c r="M248" s="1"/>
      <c r="BO248" s="1"/>
      <c r="BU248" s="1"/>
    </row>
    <row r="249">
      <c r="A249" s="1"/>
      <c r="G249" s="1"/>
      <c r="J249" s="70"/>
      <c r="M249" s="1"/>
      <c r="BO249" s="1"/>
      <c r="BU249" s="1"/>
    </row>
    <row r="250">
      <c r="A250" s="1"/>
      <c r="G250" s="1"/>
      <c r="J250" s="70"/>
      <c r="M250" s="1"/>
      <c r="BO250" s="1"/>
      <c r="BU250" s="1"/>
    </row>
    <row r="251">
      <c r="A251" s="1"/>
      <c r="G251" s="1"/>
      <c r="J251" s="70"/>
      <c r="M251" s="1"/>
      <c r="BO251" s="1"/>
      <c r="BU251" s="1"/>
    </row>
    <row r="252">
      <c r="A252" s="1"/>
      <c r="G252" s="1"/>
      <c r="J252" s="70"/>
      <c r="M252" s="1"/>
      <c r="BO252" s="1"/>
      <c r="BU252" s="1"/>
    </row>
    <row r="253">
      <c r="A253" s="1"/>
      <c r="G253" s="1"/>
      <c r="J253" s="70"/>
      <c r="M253" s="1"/>
      <c r="BO253" s="1"/>
      <c r="BU253" s="1"/>
    </row>
    <row r="254">
      <c r="A254" s="1"/>
      <c r="G254" s="1"/>
      <c r="J254" s="70"/>
      <c r="M254" s="1"/>
      <c r="BO254" s="1"/>
      <c r="BU254" s="1"/>
    </row>
    <row r="255">
      <c r="A255" s="1"/>
      <c r="G255" s="1"/>
      <c r="J255" s="70"/>
      <c r="M255" s="1"/>
      <c r="BO255" s="1"/>
      <c r="BU255" s="1"/>
    </row>
    <row r="256">
      <c r="A256" s="1"/>
      <c r="G256" s="1"/>
      <c r="J256" s="70"/>
      <c r="M256" s="1"/>
      <c r="BO256" s="1"/>
      <c r="BU256" s="1"/>
    </row>
    <row r="257">
      <c r="A257" s="1"/>
      <c r="G257" s="1"/>
      <c r="J257" s="70"/>
      <c r="M257" s="1"/>
      <c r="BO257" s="1"/>
      <c r="BU257" s="1"/>
    </row>
    <row r="258">
      <c r="A258" s="1"/>
      <c r="G258" s="1"/>
      <c r="J258" s="70"/>
      <c r="M258" s="1"/>
      <c r="BO258" s="1"/>
      <c r="BU258" s="1"/>
    </row>
    <row r="259">
      <c r="A259" s="1"/>
      <c r="G259" s="1"/>
      <c r="J259" s="70"/>
      <c r="M259" s="1"/>
      <c r="BO259" s="1"/>
      <c r="BU259" s="1"/>
    </row>
    <row r="260">
      <c r="A260" s="1"/>
      <c r="G260" s="1"/>
      <c r="J260" s="70"/>
      <c r="M260" s="1"/>
      <c r="BO260" s="1"/>
      <c r="BU260" s="1"/>
    </row>
    <row r="261">
      <c r="A261" s="1"/>
      <c r="G261" s="1"/>
      <c r="J261" s="70"/>
      <c r="M261" s="1"/>
      <c r="BO261" s="1"/>
      <c r="BU261" s="1"/>
    </row>
    <row r="262">
      <c r="A262" s="1"/>
      <c r="G262" s="1"/>
      <c r="J262" s="70"/>
      <c r="M262" s="1"/>
      <c r="BO262" s="1"/>
      <c r="BU262" s="1"/>
    </row>
    <row r="263">
      <c r="A263" s="1"/>
      <c r="G263" s="1"/>
      <c r="J263" s="70"/>
      <c r="M263" s="1"/>
      <c r="BO263" s="1"/>
      <c r="BU263" s="1"/>
    </row>
    <row r="264">
      <c r="A264" s="1"/>
      <c r="G264" s="1"/>
      <c r="J264" s="70"/>
      <c r="M264" s="1"/>
      <c r="BO264" s="1"/>
      <c r="BU264" s="1"/>
    </row>
    <row r="265">
      <c r="A265" s="1"/>
      <c r="G265" s="1"/>
      <c r="J265" s="70"/>
      <c r="M265" s="1"/>
      <c r="BO265" s="1"/>
      <c r="BU265" s="1"/>
    </row>
    <row r="266">
      <c r="A266" s="1"/>
      <c r="G266" s="1"/>
      <c r="J266" s="70"/>
      <c r="M266" s="1"/>
      <c r="BO266" s="1"/>
      <c r="BU266" s="1"/>
    </row>
    <row r="267">
      <c r="A267" s="1"/>
      <c r="G267" s="1"/>
      <c r="J267" s="70"/>
      <c r="M267" s="1"/>
      <c r="BO267" s="1"/>
      <c r="BU267" s="1"/>
    </row>
    <row r="268">
      <c r="A268" s="1"/>
      <c r="G268" s="1"/>
      <c r="J268" s="70"/>
      <c r="M268" s="1"/>
      <c r="BO268" s="1"/>
      <c r="BU268" s="1"/>
    </row>
    <row r="269">
      <c r="A269" s="1"/>
      <c r="G269" s="1"/>
      <c r="J269" s="70"/>
      <c r="M269" s="1"/>
      <c r="BO269" s="1"/>
      <c r="BU269" s="1"/>
    </row>
    <row r="270">
      <c r="A270" s="1"/>
      <c r="G270" s="1"/>
      <c r="J270" s="70"/>
      <c r="M270" s="1"/>
      <c r="BO270" s="1"/>
      <c r="BU270" s="1"/>
    </row>
    <row r="271">
      <c r="A271" s="1"/>
      <c r="G271" s="1"/>
      <c r="J271" s="70"/>
      <c r="M271" s="1"/>
      <c r="BO271" s="1"/>
      <c r="BU271" s="1"/>
    </row>
    <row r="272">
      <c r="A272" s="1"/>
      <c r="G272" s="1"/>
      <c r="J272" s="70"/>
      <c r="M272" s="1"/>
      <c r="BO272" s="1"/>
      <c r="BU272" s="1"/>
    </row>
    <row r="273">
      <c r="A273" s="1"/>
      <c r="G273" s="1"/>
      <c r="J273" s="70"/>
      <c r="M273" s="1"/>
      <c r="BO273" s="1"/>
      <c r="BU273" s="1"/>
    </row>
    <row r="274">
      <c r="A274" s="1"/>
      <c r="G274" s="1"/>
      <c r="J274" s="70"/>
      <c r="M274" s="1"/>
      <c r="BO274" s="1"/>
      <c r="BU274" s="1"/>
    </row>
    <row r="275">
      <c r="A275" s="1"/>
      <c r="G275" s="1"/>
      <c r="J275" s="70"/>
      <c r="M275" s="1"/>
      <c r="BO275" s="1"/>
      <c r="BU275" s="1"/>
    </row>
    <row r="276">
      <c r="A276" s="1"/>
      <c r="G276" s="1"/>
      <c r="J276" s="70"/>
      <c r="M276" s="1"/>
      <c r="BO276" s="1"/>
      <c r="BU276" s="1"/>
    </row>
    <row r="277">
      <c r="A277" s="1"/>
      <c r="G277" s="1"/>
      <c r="J277" s="70"/>
      <c r="M277" s="1"/>
      <c r="BO277" s="1"/>
      <c r="BU277" s="1"/>
    </row>
    <row r="278">
      <c r="A278" s="1"/>
      <c r="G278" s="1"/>
      <c r="J278" s="70"/>
      <c r="M278" s="1"/>
      <c r="U278" s="64"/>
      <c r="BO278" s="1"/>
      <c r="BU278" s="1"/>
    </row>
    <row r="279">
      <c r="A279" s="1"/>
      <c r="G279" s="1"/>
      <c r="J279" s="70"/>
      <c r="M279" s="1"/>
      <c r="U279" s="64"/>
      <c r="BO279" s="1"/>
      <c r="BU279" s="1"/>
    </row>
    <row r="280">
      <c r="A280" s="1"/>
      <c r="G280" s="1"/>
      <c r="J280" s="70"/>
      <c r="M280" s="1"/>
      <c r="U280" s="64"/>
      <c r="BO280" s="1"/>
      <c r="BU280" s="1"/>
    </row>
    <row r="281">
      <c r="A281" s="1"/>
      <c r="G281" s="1"/>
      <c r="J281" s="70"/>
      <c r="M281" s="1"/>
      <c r="U281" s="64"/>
      <c r="BO281" s="1"/>
      <c r="BU281" s="1"/>
    </row>
    <row r="282">
      <c r="A282" s="1"/>
      <c r="G282" s="1"/>
      <c r="J282" s="70"/>
      <c r="M282" s="1"/>
      <c r="U282" s="64"/>
      <c r="BO282" s="1"/>
      <c r="BU282" s="1"/>
    </row>
    <row r="283">
      <c r="A283" s="1"/>
      <c r="G283" s="1"/>
      <c r="J283" s="70"/>
      <c r="M283" s="1"/>
      <c r="U283" s="64"/>
      <c r="BO283" s="1"/>
      <c r="BU283" s="1"/>
    </row>
    <row r="284">
      <c r="A284" s="1"/>
      <c r="G284" s="1"/>
      <c r="J284" s="70"/>
      <c r="M284" s="1"/>
      <c r="U284" s="64"/>
      <c r="BO284" s="1"/>
      <c r="BU284" s="1"/>
    </row>
    <row r="285">
      <c r="A285" s="1"/>
      <c r="G285" s="1"/>
      <c r="J285" s="70"/>
      <c r="M285" s="1"/>
      <c r="U285" s="64"/>
      <c r="BO285" s="1"/>
      <c r="BU285" s="1"/>
    </row>
    <row r="286">
      <c r="A286" s="1"/>
      <c r="G286" s="1"/>
      <c r="J286" s="70"/>
      <c r="M286" s="1"/>
      <c r="U286" s="64"/>
      <c r="BO286" s="1"/>
      <c r="BU286" s="1"/>
    </row>
    <row r="287">
      <c r="A287" s="1"/>
      <c r="G287" s="1"/>
      <c r="J287" s="70"/>
      <c r="M287" s="1"/>
      <c r="U287" s="64"/>
      <c r="BO287" s="1"/>
      <c r="BU287" s="1"/>
    </row>
    <row r="288">
      <c r="A288" s="1"/>
      <c r="G288" s="1"/>
      <c r="J288" s="70"/>
      <c r="M288" s="1"/>
      <c r="U288" s="64"/>
      <c r="BO288" s="1"/>
      <c r="BU288" s="1"/>
    </row>
    <row r="289">
      <c r="A289" s="1"/>
      <c r="G289" s="1"/>
      <c r="J289" s="70"/>
      <c r="M289" s="1"/>
      <c r="U289" s="64"/>
      <c r="BO289" s="1"/>
      <c r="BU289" s="1"/>
    </row>
    <row r="290">
      <c r="A290" s="1"/>
      <c r="G290" s="1"/>
      <c r="J290" s="70"/>
      <c r="M290" s="1"/>
      <c r="U290" s="64"/>
      <c r="BO290" s="1"/>
      <c r="BU290" s="1"/>
    </row>
    <row r="291">
      <c r="A291" s="1"/>
      <c r="G291" s="1"/>
      <c r="J291" s="70"/>
      <c r="M291" s="1"/>
      <c r="U291" s="64"/>
      <c r="BO291" s="1"/>
      <c r="BU291" s="1"/>
    </row>
    <row r="292">
      <c r="A292" s="1"/>
      <c r="G292" s="1"/>
      <c r="J292" s="70"/>
      <c r="M292" s="1"/>
      <c r="U292" s="64"/>
      <c r="BO292" s="1"/>
      <c r="BU292" s="1"/>
    </row>
    <row r="293">
      <c r="A293" s="1"/>
      <c r="G293" s="1"/>
      <c r="J293" s="70"/>
      <c r="M293" s="1"/>
      <c r="BO293" s="1"/>
      <c r="BU293" s="1"/>
    </row>
    <row r="294">
      <c r="A294" s="1"/>
      <c r="G294" s="1"/>
      <c r="J294" s="70"/>
      <c r="M294" s="1"/>
      <c r="BO294" s="1"/>
      <c r="BU294" s="1"/>
    </row>
    <row r="295">
      <c r="A295" s="1"/>
      <c r="G295" s="1"/>
      <c r="J295" s="70"/>
      <c r="M295" s="1"/>
      <c r="BO295" s="1"/>
      <c r="BU295" s="1"/>
    </row>
    <row r="296">
      <c r="A296" s="1"/>
      <c r="G296" s="1"/>
      <c r="J296" s="70"/>
      <c r="M296" s="1"/>
      <c r="BO296" s="1"/>
      <c r="BU296" s="1"/>
    </row>
    <row r="297">
      <c r="A297" s="1"/>
      <c r="G297" s="1"/>
      <c r="J297" s="70"/>
      <c r="M297" s="1"/>
      <c r="BO297" s="1"/>
      <c r="BU297" s="1"/>
    </row>
    <row r="298">
      <c r="A298" s="1"/>
      <c r="G298" s="1"/>
      <c r="J298" s="70"/>
      <c r="M298" s="1"/>
      <c r="BO298" s="1"/>
      <c r="BU298" s="1"/>
    </row>
    <row r="299">
      <c r="A299" s="1"/>
      <c r="G299" s="1"/>
      <c r="J299" s="70"/>
      <c r="M299" s="1"/>
      <c r="BO299" s="1"/>
      <c r="BU299" s="1"/>
    </row>
    <row r="300">
      <c r="A300" s="1"/>
      <c r="G300" s="1"/>
      <c r="J300" s="70"/>
      <c r="M300" s="1"/>
      <c r="BO300" s="1"/>
      <c r="BU300" s="1"/>
    </row>
    <row r="301">
      <c r="A301" s="1"/>
      <c r="G301" s="1"/>
      <c r="J301" s="70"/>
      <c r="M301" s="1"/>
      <c r="BO301" s="1"/>
      <c r="BU301" s="1"/>
    </row>
    <row r="302">
      <c r="A302" s="1"/>
      <c r="G302" s="1"/>
      <c r="J302" s="70"/>
      <c r="M302" s="1"/>
      <c r="BO302" s="1"/>
      <c r="BU302" s="1"/>
    </row>
    <row r="303">
      <c r="A303" s="1"/>
      <c r="G303" s="1"/>
      <c r="J303" s="70"/>
      <c r="M303" s="1"/>
      <c r="BO303" s="1"/>
      <c r="BU303" s="1"/>
    </row>
    <row r="304">
      <c r="A304" s="1"/>
      <c r="G304" s="1"/>
      <c r="I304" s="64"/>
      <c r="J304" s="70"/>
      <c r="M304" s="1"/>
      <c r="BO304" s="1"/>
      <c r="BU304" s="1"/>
    </row>
    <row r="305">
      <c r="A305" s="1"/>
      <c r="G305" s="1"/>
      <c r="I305" s="64"/>
      <c r="J305" s="70"/>
      <c r="M305" s="1"/>
      <c r="BO305" s="1"/>
      <c r="BU305" s="1"/>
    </row>
    <row r="306">
      <c r="A306" s="1"/>
      <c r="G306" s="1"/>
      <c r="I306" s="64"/>
      <c r="J306" s="70"/>
      <c r="M306" s="1"/>
      <c r="BO306" s="1"/>
      <c r="BU306" s="1"/>
    </row>
    <row r="307">
      <c r="A307" s="1"/>
      <c r="G307" s="1"/>
      <c r="I307" s="64"/>
      <c r="J307" s="70"/>
      <c r="M307" s="1"/>
      <c r="BO307" s="1"/>
      <c r="BU307" s="1"/>
    </row>
    <row r="308">
      <c r="A308" s="1"/>
      <c r="G308" s="1"/>
      <c r="I308" s="64"/>
      <c r="J308" s="70"/>
      <c r="M308" s="1"/>
      <c r="BO308" s="1"/>
      <c r="BU308" s="1"/>
    </row>
    <row r="309">
      <c r="A309" s="1"/>
      <c r="G309" s="1"/>
      <c r="I309" s="64"/>
      <c r="J309" s="70"/>
      <c r="M309" s="1"/>
      <c r="BO309" s="1"/>
      <c r="BU309" s="1"/>
    </row>
    <row r="310">
      <c r="A310" s="1"/>
      <c r="G310" s="1"/>
      <c r="I310" s="64"/>
      <c r="J310" s="70"/>
      <c r="M310" s="1"/>
      <c r="BO310" s="1"/>
      <c r="BU310" s="1"/>
    </row>
    <row r="311">
      <c r="A311" s="1"/>
      <c r="G311" s="1"/>
      <c r="I311" s="64"/>
      <c r="J311" s="70"/>
      <c r="M311" s="1"/>
      <c r="BO311" s="1"/>
      <c r="BU311" s="1"/>
    </row>
    <row r="312">
      <c r="A312" s="1"/>
      <c r="G312" s="1"/>
      <c r="I312" s="64"/>
      <c r="J312" s="70"/>
      <c r="M312" s="1"/>
      <c r="BO312" s="1"/>
      <c r="BU312" s="1"/>
    </row>
    <row r="313">
      <c r="A313" s="1"/>
      <c r="G313" s="1"/>
      <c r="I313" s="64"/>
      <c r="J313" s="70"/>
      <c r="M313" s="1"/>
      <c r="BO313" s="1"/>
      <c r="BU313" s="1"/>
    </row>
    <row r="314">
      <c r="A314" s="1"/>
      <c r="G314" s="1"/>
      <c r="I314" s="64"/>
      <c r="J314" s="70"/>
      <c r="M314" s="1"/>
      <c r="BO314" s="1"/>
      <c r="BU314" s="1"/>
    </row>
    <row r="315">
      <c r="A315" s="1"/>
      <c r="G315" s="1"/>
      <c r="I315" s="64"/>
      <c r="J315" s="70"/>
      <c r="M315" s="1"/>
      <c r="BO315" s="1"/>
      <c r="BU315" s="1"/>
    </row>
    <row r="316">
      <c r="A316" s="1"/>
      <c r="G316" s="1"/>
      <c r="I316" s="64"/>
      <c r="J316" s="70"/>
      <c r="M316" s="1"/>
      <c r="BO316" s="1"/>
      <c r="BU316" s="1"/>
    </row>
    <row r="317">
      <c r="A317" s="1"/>
      <c r="G317" s="1"/>
      <c r="I317" s="64"/>
      <c r="J317" s="70"/>
      <c r="M317" s="1"/>
      <c r="BO317" s="1"/>
      <c r="BU317" s="1"/>
    </row>
    <row r="318">
      <c r="A318" s="1"/>
      <c r="G318" s="1"/>
      <c r="I318" s="64"/>
      <c r="J318" s="70"/>
      <c r="M318" s="1"/>
      <c r="BO318" s="1"/>
      <c r="BU318" s="1"/>
    </row>
    <row r="319">
      <c r="A319" s="1"/>
      <c r="G319" s="1"/>
      <c r="I319" s="64"/>
      <c r="J319" s="70"/>
      <c r="M319" s="1"/>
      <c r="BO319" s="1"/>
      <c r="BU319" s="1"/>
    </row>
    <row r="320">
      <c r="A320" s="1"/>
      <c r="G320" s="1"/>
      <c r="J320" s="70"/>
      <c r="M320" s="1"/>
      <c r="BO320" s="1"/>
      <c r="BU320" s="1"/>
    </row>
    <row r="321">
      <c r="A321" s="1"/>
      <c r="G321" s="1"/>
      <c r="J321" s="70"/>
      <c r="M321" s="1"/>
      <c r="BO321" s="1"/>
      <c r="BU321" s="1"/>
    </row>
    <row r="322">
      <c r="A322" s="1"/>
      <c r="G322" s="1"/>
      <c r="J322" s="70"/>
      <c r="M322" s="1"/>
      <c r="BO322" s="1"/>
      <c r="BU322" s="1"/>
    </row>
    <row r="323">
      <c r="A323" s="1"/>
      <c r="G323" s="1"/>
      <c r="J323" s="70"/>
      <c r="M323" s="1"/>
      <c r="BO323" s="1"/>
      <c r="BU323" s="1"/>
    </row>
    <row r="324">
      <c r="A324" s="1"/>
      <c r="G324" s="1"/>
      <c r="J324" s="70"/>
      <c r="M324" s="1"/>
      <c r="BO324" s="1"/>
      <c r="BU324" s="1"/>
    </row>
    <row r="325">
      <c r="A325" s="1"/>
      <c r="G325" s="1"/>
      <c r="J325" s="70"/>
      <c r="M325" s="1"/>
      <c r="BO325" s="1"/>
      <c r="BU325" s="1"/>
    </row>
    <row r="326">
      <c r="A326" s="1"/>
      <c r="G326" s="1"/>
      <c r="J326" s="70"/>
      <c r="M326" s="1"/>
      <c r="BO326" s="1"/>
      <c r="BU326" s="1"/>
    </row>
    <row r="327">
      <c r="A327" s="1"/>
      <c r="G327" s="1"/>
      <c r="J327" s="70"/>
      <c r="M327" s="1"/>
      <c r="BO327" s="1"/>
      <c r="BU327" s="1"/>
    </row>
    <row r="328">
      <c r="A328" s="1"/>
      <c r="G328" s="1"/>
      <c r="J328" s="70"/>
      <c r="M328" s="1"/>
      <c r="BO328" s="1"/>
      <c r="BU328" s="1"/>
    </row>
    <row r="329">
      <c r="A329" s="1"/>
      <c r="G329" s="1"/>
      <c r="J329" s="70"/>
      <c r="M329" s="1"/>
      <c r="BO329" s="1"/>
      <c r="BU329" s="1"/>
    </row>
    <row r="330">
      <c r="A330" s="1"/>
      <c r="G330" s="1"/>
      <c r="J330" s="70"/>
      <c r="M330" s="1"/>
      <c r="BO330" s="1"/>
      <c r="BU330" s="1"/>
    </row>
    <row r="331">
      <c r="A331" s="1"/>
      <c r="G331" s="1"/>
      <c r="J331" s="70"/>
      <c r="M331" s="1"/>
      <c r="BO331" s="1"/>
      <c r="BU331" s="1"/>
    </row>
    <row r="332">
      <c r="A332" s="1"/>
      <c r="G332" s="1"/>
      <c r="J332" s="70"/>
      <c r="M332" s="1"/>
      <c r="BO332" s="1"/>
      <c r="BU332" s="1"/>
    </row>
    <row r="333">
      <c r="A333" s="1"/>
      <c r="G333" s="1"/>
      <c r="J333" s="70"/>
      <c r="M333" s="1"/>
      <c r="BO333" s="1"/>
      <c r="BU333" s="1"/>
    </row>
    <row r="334">
      <c r="A334" s="1"/>
      <c r="G334" s="1"/>
      <c r="J334" s="70"/>
      <c r="M334" s="1"/>
      <c r="BO334" s="1"/>
      <c r="BU334" s="1"/>
    </row>
    <row r="335">
      <c r="A335" s="1"/>
      <c r="G335" s="1"/>
      <c r="J335" s="70"/>
      <c r="M335" s="1"/>
      <c r="BO335" s="1"/>
      <c r="BU335" s="1"/>
    </row>
    <row r="336">
      <c r="A336" s="1"/>
      <c r="G336" s="1"/>
      <c r="J336" s="70"/>
      <c r="M336" s="1"/>
      <c r="BO336" s="1"/>
      <c r="BU336" s="1"/>
    </row>
    <row r="337">
      <c r="A337" s="1"/>
      <c r="G337" s="1"/>
      <c r="J337" s="70"/>
      <c r="M337" s="1"/>
      <c r="BO337" s="1"/>
      <c r="BU337" s="1"/>
    </row>
    <row r="338">
      <c r="A338" s="1"/>
      <c r="G338" s="1"/>
      <c r="J338" s="70"/>
      <c r="M338" s="1"/>
      <c r="BO338" s="1"/>
      <c r="BU338" s="1"/>
    </row>
    <row r="339">
      <c r="A339" s="1"/>
      <c r="G339" s="1"/>
      <c r="J339" s="70"/>
      <c r="M339" s="1"/>
      <c r="BO339" s="1"/>
      <c r="BU339" s="1"/>
    </row>
    <row r="340">
      <c r="A340" s="1"/>
      <c r="G340" s="1"/>
      <c r="J340" s="70"/>
      <c r="M340" s="1"/>
      <c r="BO340" s="1"/>
      <c r="BU340" s="1"/>
    </row>
    <row r="341">
      <c r="A341" s="1"/>
      <c r="G341" s="1"/>
      <c r="J341" s="70"/>
      <c r="M341" s="1"/>
      <c r="BO341" s="1"/>
      <c r="BU341" s="1"/>
    </row>
    <row r="342">
      <c r="A342" s="1"/>
      <c r="G342" s="1"/>
      <c r="J342" s="70"/>
      <c r="M342" s="1"/>
      <c r="BO342" s="1"/>
      <c r="BU342" s="1"/>
    </row>
    <row r="343">
      <c r="A343" s="1"/>
      <c r="G343" s="1"/>
      <c r="J343" s="70"/>
      <c r="M343" s="1"/>
      <c r="BO343" s="1"/>
      <c r="BU343" s="1"/>
    </row>
    <row r="344">
      <c r="A344" s="1"/>
      <c r="G344" s="1"/>
      <c r="J344" s="70"/>
      <c r="M344" s="1"/>
      <c r="BO344" s="1"/>
      <c r="BU344" s="1"/>
    </row>
    <row r="345">
      <c r="A345" s="1"/>
      <c r="G345" s="1"/>
      <c r="J345" s="70"/>
      <c r="M345" s="1"/>
      <c r="BO345" s="1"/>
      <c r="BU345" s="1"/>
    </row>
    <row r="346">
      <c r="A346" s="1"/>
      <c r="G346" s="1"/>
      <c r="J346" s="70"/>
      <c r="M346" s="1"/>
      <c r="BO346" s="1"/>
      <c r="BU346" s="1"/>
    </row>
    <row r="347">
      <c r="A347" s="1"/>
      <c r="G347" s="1"/>
      <c r="J347" s="70"/>
      <c r="M347" s="1"/>
      <c r="BO347" s="1"/>
      <c r="BU347" s="1"/>
    </row>
    <row r="348">
      <c r="A348" s="1"/>
      <c r="G348" s="1"/>
      <c r="J348" s="70"/>
      <c r="M348" s="1"/>
      <c r="BO348" s="1"/>
      <c r="BU348" s="1"/>
    </row>
    <row r="349">
      <c r="A349" s="1"/>
      <c r="G349" s="1"/>
      <c r="J349" s="70"/>
      <c r="M349" s="1"/>
      <c r="BO349" s="1"/>
      <c r="BU349" s="1"/>
    </row>
    <row r="350">
      <c r="A350" s="1"/>
      <c r="G350" s="1"/>
      <c r="J350" s="70"/>
      <c r="M350" s="1"/>
      <c r="BO350" s="1"/>
      <c r="BU350" s="1"/>
    </row>
    <row r="351">
      <c r="A351" s="1"/>
      <c r="G351" s="1"/>
      <c r="J351" s="70"/>
      <c r="M351" s="1"/>
      <c r="BO351" s="1"/>
      <c r="BU351" s="1"/>
    </row>
    <row r="352">
      <c r="A352" s="1"/>
      <c r="G352" s="1"/>
      <c r="J352" s="70"/>
      <c r="M352" s="1"/>
      <c r="BO352" s="1"/>
      <c r="BU352" s="1"/>
    </row>
    <row r="353">
      <c r="A353" s="1"/>
      <c r="G353" s="1"/>
      <c r="J353" s="70"/>
      <c r="M353" s="1"/>
      <c r="BO353" s="1"/>
      <c r="BU353" s="1"/>
    </row>
    <row r="354">
      <c r="A354" s="1"/>
      <c r="G354" s="1"/>
      <c r="J354" s="70"/>
      <c r="M354" s="1"/>
      <c r="BO354" s="1"/>
      <c r="BU354" s="1"/>
    </row>
    <row r="355">
      <c r="A355" s="1"/>
      <c r="G355" s="1"/>
      <c r="J355" s="70"/>
      <c r="M355" s="1"/>
      <c r="BO355" s="1"/>
      <c r="BU355" s="1"/>
    </row>
    <row r="356">
      <c r="A356" s="1"/>
      <c r="G356" s="1"/>
      <c r="J356" s="70"/>
      <c r="M356" s="1"/>
      <c r="BO356" s="1"/>
      <c r="BU356" s="1"/>
    </row>
    <row r="357">
      <c r="A357" s="1"/>
      <c r="G357" s="1"/>
      <c r="J357" s="70"/>
      <c r="M357" s="1"/>
      <c r="BO357" s="1"/>
      <c r="BU357" s="1"/>
    </row>
    <row r="358">
      <c r="A358" s="1"/>
      <c r="G358" s="1"/>
      <c r="J358" s="70"/>
      <c r="M358" s="1"/>
      <c r="BO358" s="1"/>
      <c r="BU358" s="1"/>
    </row>
    <row r="359">
      <c r="A359" s="1"/>
      <c r="G359" s="1"/>
      <c r="J359" s="70"/>
      <c r="M359" s="1"/>
      <c r="BO359" s="1"/>
      <c r="BU359" s="1"/>
    </row>
    <row r="360">
      <c r="A360" s="1"/>
      <c r="G360" s="1"/>
      <c r="J360" s="70"/>
      <c r="M360" s="1"/>
      <c r="BO360" s="1"/>
      <c r="BU360" s="1"/>
    </row>
    <row r="361">
      <c r="A361" s="1"/>
      <c r="G361" s="1"/>
      <c r="J361" s="70"/>
      <c r="M361" s="1"/>
      <c r="BO361" s="1"/>
      <c r="BU361" s="1"/>
    </row>
    <row r="362">
      <c r="A362" s="1"/>
      <c r="G362" s="1"/>
      <c r="J362" s="70"/>
      <c r="M362" s="1"/>
      <c r="BO362" s="1"/>
      <c r="BU362" s="1"/>
    </row>
    <row r="363">
      <c r="A363" s="1"/>
      <c r="G363" s="1"/>
      <c r="J363" s="70"/>
      <c r="M363" s="1"/>
      <c r="BO363" s="1"/>
      <c r="BU363" s="1"/>
    </row>
    <row r="364">
      <c r="A364" s="1"/>
      <c r="G364" s="1"/>
      <c r="J364" s="70"/>
      <c r="M364" s="1"/>
      <c r="BO364" s="1"/>
      <c r="BU364" s="1"/>
    </row>
    <row r="365">
      <c r="A365" s="1"/>
      <c r="G365" s="1"/>
      <c r="J365" s="70"/>
      <c r="M365" s="1"/>
      <c r="U365" s="64"/>
      <c r="BO365" s="1"/>
      <c r="BU365" s="1"/>
    </row>
    <row r="366">
      <c r="A366" s="1"/>
      <c r="G366" s="1"/>
      <c r="J366" s="70"/>
      <c r="M366" s="1"/>
      <c r="U366" s="64"/>
      <c r="BO366" s="1"/>
      <c r="BU366" s="1"/>
    </row>
    <row r="367">
      <c r="A367" s="1"/>
      <c r="G367" s="1"/>
      <c r="J367" s="70"/>
      <c r="M367" s="1"/>
      <c r="U367" s="64"/>
      <c r="BO367" s="1"/>
      <c r="BU367" s="1"/>
    </row>
    <row r="368">
      <c r="A368" s="1"/>
      <c r="G368" s="1"/>
      <c r="J368" s="70"/>
      <c r="M368" s="1"/>
      <c r="U368" s="64"/>
      <c r="BO368" s="1"/>
      <c r="BU368" s="1"/>
    </row>
    <row r="369">
      <c r="A369" s="1"/>
      <c r="G369" s="1"/>
      <c r="J369" s="70"/>
      <c r="M369" s="1"/>
      <c r="U369" s="64"/>
      <c r="BO369" s="1"/>
      <c r="BU369" s="1"/>
    </row>
    <row r="370">
      <c r="A370" s="1"/>
      <c r="G370" s="1"/>
      <c r="J370" s="70"/>
      <c r="M370" s="1"/>
      <c r="U370" s="64"/>
      <c r="BO370" s="1"/>
      <c r="BU370" s="1"/>
    </row>
    <row r="371">
      <c r="A371" s="1"/>
      <c r="G371" s="1"/>
      <c r="J371" s="70"/>
      <c r="M371" s="1"/>
      <c r="U371" s="64"/>
      <c r="BO371" s="1"/>
      <c r="BU371" s="1"/>
    </row>
    <row r="372">
      <c r="A372" s="1"/>
      <c r="G372" s="1"/>
      <c r="J372" s="70"/>
      <c r="M372" s="1"/>
      <c r="U372" s="64"/>
      <c r="BO372" s="1"/>
      <c r="BU372" s="1"/>
    </row>
    <row r="373">
      <c r="A373" s="1"/>
      <c r="G373" s="1"/>
      <c r="J373" s="70"/>
      <c r="M373" s="1"/>
      <c r="U373" s="64"/>
      <c r="BO373" s="1"/>
      <c r="BU373" s="1"/>
    </row>
    <row r="374">
      <c r="A374" s="1"/>
      <c r="G374" s="1"/>
      <c r="J374" s="70"/>
      <c r="M374" s="1"/>
      <c r="U374" s="64"/>
      <c r="BO374" s="1"/>
      <c r="BU374" s="1"/>
    </row>
    <row r="375">
      <c r="A375" s="1"/>
      <c r="G375" s="1"/>
      <c r="J375" s="70"/>
      <c r="M375" s="1"/>
      <c r="U375" s="64"/>
      <c r="BO375" s="1"/>
      <c r="BU375" s="1"/>
    </row>
    <row r="376">
      <c r="A376" s="1"/>
      <c r="G376" s="1"/>
      <c r="I376" s="64"/>
      <c r="J376" s="70"/>
      <c r="M376" s="1"/>
      <c r="U376" s="64"/>
      <c r="BO376" s="1"/>
      <c r="BU376" s="1"/>
    </row>
    <row r="377">
      <c r="A377" s="1"/>
      <c r="G377" s="1"/>
      <c r="I377" s="64"/>
      <c r="J377" s="70"/>
      <c r="M377" s="1"/>
      <c r="U377" s="64"/>
      <c r="BO377" s="1"/>
      <c r="BU377" s="1"/>
    </row>
    <row r="378">
      <c r="A378" s="1"/>
      <c r="G378" s="1"/>
      <c r="I378" s="64"/>
      <c r="J378" s="70"/>
      <c r="M378" s="1"/>
      <c r="U378" s="64"/>
      <c r="BO378" s="1"/>
      <c r="BU378" s="1"/>
    </row>
    <row r="379">
      <c r="A379" s="1"/>
      <c r="G379" s="1"/>
      <c r="I379" s="64"/>
      <c r="J379" s="70"/>
      <c r="M379" s="1"/>
      <c r="U379" s="64"/>
      <c r="BO379" s="1"/>
      <c r="BU379" s="1"/>
    </row>
    <row r="380">
      <c r="A380" s="1"/>
      <c r="G380" s="1"/>
      <c r="I380" s="64"/>
      <c r="J380" s="70"/>
      <c r="M380" s="1"/>
      <c r="BO380" s="1"/>
      <c r="BU380" s="1"/>
    </row>
    <row r="381">
      <c r="A381" s="1"/>
      <c r="G381" s="1"/>
      <c r="I381" s="64"/>
      <c r="J381" s="70"/>
      <c r="M381" s="1"/>
      <c r="BO381" s="1"/>
      <c r="BU381" s="1"/>
    </row>
    <row r="382">
      <c r="A382" s="1"/>
      <c r="G382" s="1"/>
      <c r="I382" s="64"/>
      <c r="J382" s="70"/>
      <c r="M382" s="1"/>
      <c r="BO382" s="1"/>
      <c r="BU382" s="1"/>
    </row>
    <row r="383">
      <c r="A383" s="1"/>
      <c r="G383" s="1"/>
      <c r="I383" s="64"/>
      <c r="J383" s="70"/>
      <c r="M383" s="1"/>
      <c r="BO383" s="1"/>
      <c r="BU383" s="1"/>
    </row>
    <row r="384">
      <c r="A384" s="1"/>
      <c r="G384" s="1"/>
      <c r="I384" s="64"/>
      <c r="J384" s="70"/>
      <c r="M384" s="1"/>
      <c r="BO384" s="1"/>
      <c r="BU384" s="1"/>
    </row>
    <row r="385">
      <c r="A385" s="1"/>
      <c r="G385" s="1"/>
      <c r="I385" s="64"/>
      <c r="J385" s="70"/>
      <c r="M385" s="1"/>
      <c r="BO385" s="1"/>
      <c r="BU385" s="1"/>
    </row>
    <row r="386">
      <c r="A386" s="1"/>
      <c r="G386" s="1"/>
      <c r="I386" s="64"/>
      <c r="J386" s="70"/>
      <c r="M386" s="1"/>
      <c r="BO386" s="1"/>
      <c r="BU386" s="1"/>
    </row>
    <row r="387">
      <c r="A387" s="1"/>
      <c r="G387" s="1"/>
      <c r="I387" s="64"/>
      <c r="J387" s="70"/>
      <c r="M387" s="1"/>
      <c r="BO387" s="1"/>
      <c r="BU387" s="1"/>
    </row>
    <row r="388">
      <c r="A388" s="1"/>
      <c r="G388" s="1"/>
      <c r="I388" s="64"/>
      <c r="J388" s="70"/>
      <c r="M388" s="1"/>
      <c r="BO388" s="1"/>
      <c r="BU388" s="1"/>
    </row>
    <row r="389">
      <c r="A389" s="1"/>
      <c r="G389" s="1"/>
      <c r="I389" s="64"/>
      <c r="J389" s="70"/>
      <c r="M389" s="1"/>
      <c r="BO389" s="1"/>
      <c r="BU389" s="1"/>
    </row>
    <row r="390">
      <c r="A390" s="1"/>
      <c r="G390" s="1"/>
      <c r="I390" s="64"/>
      <c r="J390" s="70"/>
      <c r="M390" s="1"/>
      <c r="BO390" s="1"/>
      <c r="BU390" s="1"/>
    </row>
    <row r="391">
      <c r="A391" s="1"/>
      <c r="G391" s="1"/>
      <c r="I391" s="64"/>
      <c r="J391" s="70"/>
      <c r="M391" s="1"/>
      <c r="BO391" s="1"/>
      <c r="BU391" s="1"/>
    </row>
    <row r="392">
      <c r="A392" s="1"/>
      <c r="G392" s="1"/>
      <c r="J392" s="70"/>
      <c r="M392" s="1"/>
      <c r="BO392" s="1"/>
      <c r="BU392" s="1"/>
    </row>
    <row r="393">
      <c r="A393" s="1"/>
      <c r="G393" s="1"/>
      <c r="J393" s="70"/>
      <c r="M393" s="1"/>
      <c r="BO393" s="1"/>
      <c r="BU393" s="1"/>
    </row>
    <row r="394">
      <c r="A394" s="1"/>
      <c r="G394" s="1"/>
      <c r="J394" s="70"/>
      <c r="M394" s="1"/>
      <c r="BO394" s="1"/>
      <c r="BU394" s="1"/>
    </row>
    <row r="395">
      <c r="A395" s="1"/>
      <c r="G395" s="1"/>
      <c r="J395" s="70"/>
      <c r="M395" s="1"/>
      <c r="BO395" s="1"/>
      <c r="BU395" s="1"/>
    </row>
    <row r="396">
      <c r="A396" s="1"/>
      <c r="G396" s="1"/>
      <c r="J396" s="70"/>
      <c r="M396" s="1"/>
      <c r="BO396" s="1"/>
      <c r="BU396" s="1"/>
    </row>
    <row r="397">
      <c r="A397" s="1"/>
      <c r="G397" s="1"/>
      <c r="J397" s="70"/>
      <c r="M397" s="1"/>
      <c r="BO397" s="1"/>
      <c r="BU397" s="1"/>
    </row>
    <row r="398">
      <c r="A398" s="1"/>
      <c r="G398" s="1"/>
      <c r="J398" s="70"/>
      <c r="M398" s="1"/>
      <c r="BO398" s="1"/>
      <c r="BU398" s="1"/>
    </row>
    <row r="399">
      <c r="A399" s="1"/>
      <c r="G399" s="1"/>
      <c r="J399" s="70"/>
      <c r="M399" s="1"/>
      <c r="BO399" s="1"/>
      <c r="BU399" s="1"/>
    </row>
    <row r="400">
      <c r="A400" s="1"/>
      <c r="G400" s="1"/>
      <c r="J400" s="70"/>
      <c r="M400" s="1"/>
      <c r="BO400" s="1"/>
      <c r="BU400" s="1"/>
    </row>
    <row r="401">
      <c r="A401" s="1"/>
      <c r="G401" s="1"/>
      <c r="J401" s="70"/>
      <c r="M401" s="1"/>
      <c r="BO401" s="1"/>
      <c r="BU401" s="1"/>
    </row>
    <row r="402">
      <c r="A402" s="1"/>
      <c r="G402" s="1"/>
      <c r="J402" s="70"/>
      <c r="M402" s="1"/>
      <c r="BO402" s="1"/>
      <c r="BU402" s="1"/>
    </row>
    <row r="403">
      <c r="A403" s="1"/>
      <c r="G403" s="1"/>
      <c r="J403" s="70"/>
      <c r="M403" s="1"/>
      <c r="BO403" s="1"/>
      <c r="BU403" s="1"/>
    </row>
    <row r="404">
      <c r="A404" s="1"/>
      <c r="G404" s="1"/>
      <c r="J404" s="70"/>
      <c r="M404" s="1"/>
      <c r="BO404" s="1"/>
      <c r="BU404" s="1"/>
    </row>
    <row r="405">
      <c r="A405" s="1"/>
      <c r="G405" s="1"/>
      <c r="J405" s="70"/>
      <c r="M405" s="1"/>
      <c r="BO405" s="1"/>
      <c r="BU405" s="1"/>
    </row>
    <row r="406">
      <c r="A406" s="1"/>
      <c r="G406" s="1"/>
      <c r="J406" s="70"/>
      <c r="M406" s="1"/>
      <c r="BO406" s="1"/>
      <c r="BU406" s="1"/>
    </row>
    <row r="407">
      <c r="A407" s="1"/>
      <c r="G407" s="1"/>
      <c r="J407" s="70"/>
      <c r="M407" s="1"/>
      <c r="BO407" s="1"/>
      <c r="BU407" s="1"/>
    </row>
    <row r="408">
      <c r="A408" s="1"/>
      <c r="G408" s="1"/>
      <c r="J408" s="70"/>
      <c r="M408" s="1"/>
      <c r="BO408" s="1"/>
      <c r="BU408" s="1"/>
    </row>
    <row r="409">
      <c r="A409" s="1"/>
      <c r="G409" s="1"/>
      <c r="J409" s="70"/>
      <c r="M409" s="1"/>
      <c r="BO409" s="1"/>
      <c r="BU409" s="1"/>
    </row>
    <row r="410">
      <c r="A410" s="1"/>
      <c r="G410" s="1"/>
      <c r="J410" s="70"/>
      <c r="M410" s="1"/>
      <c r="BO410" s="1"/>
      <c r="BU410" s="1"/>
    </row>
    <row r="411">
      <c r="A411" s="1"/>
      <c r="G411" s="1"/>
      <c r="J411" s="70"/>
      <c r="M411" s="1"/>
      <c r="BO411" s="1"/>
      <c r="BU411" s="1"/>
    </row>
    <row r="412">
      <c r="A412" s="1"/>
      <c r="G412" s="1"/>
      <c r="J412" s="70"/>
      <c r="M412" s="1"/>
      <c r="BO412" s="1"/>
      <c r="BU412" s="1"/>
    </row>
    <row r="413">
      <c r="A413" s="1"/>
      <c r="G413" s="1"/>
      <c r="J413" s="70"/>
      <c r="M413" s="1"/>
      <c r="BO413" s="1"/>
      <c r="BU413" s="1"/>
    </row>
    <row r="414">
      <c r="A414" s="1"/>
      <c r="G414" s="1"/>
      <c r="J414" s="70"/>
      <c r="M414" s="1"/>
      <c r="BO414" s="1"/>
      <c r="BU414" s="1"/>
    </row>
    <row r="415">
      <c r="A415" s="1"/>
      <c r="G415" s="1"/>
      <c r="J415" s="70"/>
      <c r="M415" s="1"/>
      <c r="BO415" s="1"/>
      <c r="BU415" s="1"/>
    </row>
    <row r="416">
      <c r="A416" s="1"/>
      <c r="G416" s="1"/>
      <c r="J416" s="70"/>
      <c r="M416" s="1"/>
      <c r="BO416" s="1"/>
      <c r="BU416" s="1"/>
    </row>
    <row r="417">
      <c r="A417" s="1"/>
      <c r="G417" s="1"/>
      <c r="J417" s="70"/>
      <c r="M417" s="1"/>
      <c r="BO417" s="1"/>
      <c r="BU417" s="1"/>
    </row>
    <row r="418">
      <c r="A418" s="1"/>
      <c r="G418" s="1"/>
      <c r="J418" s="70"/>
      <c r="M418" s="1"/>
      <c r="BO418" s="1"/>
      <c r="BU418" s="1"/>
    </row>
    <row r="419">
      <c r="A419" s="1"/>
      <c r="G419" s="1"/>
      <c r="J419" s="70"/>
      <c r="M419" s="1"/>
      <c r="BO419" s="1"/>
      <c r="BU419" s="1"/>
    </row>
    <row r="420">
      <c r="A420" s="1"/>
      <c r="G420" s="1"/>
      <c r="J420" s="70"/>
      <c r="M420" s="1"/>
      <c r="BO420" s="1"/>
      <c r="BU420" s="1"/>
    </row>
    <row r="421">
      <c r="A421" s="1"/>
      <c r="G421" s="1"/>
      <c r="J421" s="70"/>
      <c r="M421" s="1"/>
      <c r="BO421" s="1"/>
      <c r="BU421" s="1"/>
    </row>
    <row r="422">
      <c r="A422" s="1"/>
      <c r="G422" s="1"/>
      <c r="J422" s="70"/>
      <c r="M422" s="1"/>
      <c r="BO422" s="1"/>
      <c r="BU422" s="1"/>
    </row>
    <row r="423">
      <c r="A423" s="1"/>
      <c r="G423" s="1"/>
      <c r="J423" s="70"/>
      <c r="M423" s="1"/>
      <c r="BO423" s="1"/>
      <c r="BU423" s="1"/>
    </row>
    <row r="424">
      <c r="A424" s="1"/>
      <c r="G424" s="1"/>
      <c r="J424" s="70"/>
      <c r="M424" s="1"/>
      <c r="BO424" s="1"/>
      <c r="BU424" s="1"/>
    </row>
    <row r="425">
      <c r="A425" s="1"/>
      <c r="G425" s="1"/>
      <c r="J425" s="70"/>
      <c r="M425" s="1"/>
      <c r="BO425" s="1"/>
      <c r="BU425" s="1"/>
    </row>
    <row r="426">
      <c r="A426" s="1"/>
      <c r="G426" s="1"/>
      <c r="J426" s="70"/>
      <c r="M426" s="1"/>
      <c r="BO426" s="1"/>
      <c r="BU426" s="1"/>
    </row>
    <row r="427">
      <c r="A427" s="1"/>
      <c r="G427" s="1"/>
      <c r="J427" s="70"/>
      <c r="M427" s="1"/>
      <c r="BO427" s="1"/>
      <c r="BU427" s="1"/>
    </row>
    <row r="428">
      <c r="A428" s="1"/>
      <c r="G428" s="1"/>
      <c r="J428" s="70"/>
      <c r="M428" s="1"/>
      <c r="BO428" s="1"/>
      <c r="BU428" s="1"/>
    </row>
    <row r="429">
      <c r="A429" s="1"/>
      <c r="G429" s="1"/>
      <c r="J429" s="70"/>
      <c r="M429" s="1"/>
      <c r="BO429" s="1"/>
      <c r="BU429" s="1"/>
    </row>
    <row r="430">
      <c r="A430" s="1"/>
      <c r="G430" s="1"/>
      <c r="J430" s="70"/>
      <c r="M430" s="1"/>
      <c r="BO430" s="1"/>
      <c r="BU430" s="1"/>
    </row>
    <row r="431">
      <c r="A431" s="1"/>
      <c r="G431" s="1"/>
      <c r="J431" s="70"/>
      <c r="M431" s="1"/>
      <c r="BO431" s="1"/>
      <c r="BU431" s="1"/>
    </row>
    <row r="432">
      <c r="A432" s="1"/>
      <c r="G432" s="1"/>
      <c r="J432" s="70"/>
      <c r="M432" s="1"/>
      <c r="BO432" s="1"/>
      <c r="BU432" s="1"/>
    </row>
    <row r="433">
      <c r="A433" s="1"/>
      <c r="G433" s="1"/>
      <c r="J433" s="70"/>
      <c r="M433" s="1"/>
      <c r="BO433" s="1"/>
      <c r="BU433" s="1"/>
    </row>
    <row r="434">
      <c r="A434" s="1"/>
      <c r="G434" s="1"/>
      <c r="J434" s="70"/>
      <c r="M434" s="1"/>
      <c r="BO434" s="1"/>
      <c r="BU434" s="1"/>
    </row>
    <row r="435">
      <c r="A435" s="1"/>
      <c r="G435" s="1"/>
      <c r="J435" s="70"/>
      <c r="M435" s="1"/>
      <c r="BO435" s="1"/>
      <c r="BU435" s="1"/>
    </row>
    <row r="436">
      <c r="A436" s="1"/>
      <c r="G436" s="1"/>
      <c r="J436" s="70"/>
      <c r="M436" s="1"/>
      <c r="BO436" s="1"/>
      <c r="BU436" s="1"/>
    </row>
    <row r="437">
      <c r="A437" s="1"/>
      <c r="G437" s="1"/>
      <c r="J437" s="70"/>
      <c r="M437" s="1"/>
      <c r="BO437" s="1"/>
      <c r="BU437" s="1"/>
    </row>
    <row r="438">
      <c r="A438" s="1"/>
      <c r="G438" s="1"/>
      <c r="J438" s="70"/>
      <c r="M438" s="1"/>
      <c r="BO438" s="1"/>
      <c r="BU438" s="1"/>
    </row>
    <row r="439">
      <c r="A439" s="1"/>
      <c r="G439" s="1"/>
      <c r="J439" s="70"/>
      <c r="M439" s="1"/>
      <c r="BO439" s="1"/>
      <c r="BU439" s="1"/>
    </row>
    <row r="440">
      <c r="A440" s="1"/>
      <c r="G440" s="1"/>
      <c r="J440" s="70"/>
      <c r="M440" s="1"/>
      <c r="BO440" s="1"/>
      <c r="BU440" s="1"/>
    </row>
    <row r="441">
      <c r="A441" s="1"/>
      <c r="G441" s="1"/>
      <c r="J441" s="70"/>
      <c r="M441" s="1"/>
      <c r="BO441" s="1"/>
      <c r="BU441" s="1"/>
    </row>
    <row r="442">
      <c r="A442" s="1"/>
      <c r="G442" s="1"/>
      <c r="J442" s="70"/>
      <c r="M442" s="1"/>
      <c r="BO442" s="1"/>
      <c r="BU442" s="1"/>
    </row>
    <row r="443">
      <c r="A443" s="1"/>
      <c r="G443" s="1"/>
      <c r="J443" s="70"/>
      <c r="M443" s="1"/>
      <c r="BO443" s="1"/>
      <c r="BU443" s="1"/>
    </row>
    <row r="444">
      <c r="A444" s="1"/>
      <c r="G444" s="1"/>
      <c r="J444" s="70"/>
      <c r="M444" s="1"/>
      <c r="BO444" s="1"/>
      <c r="BU444" s="1"/>
    </row>
    <row r="445">
      <c r="A445" s="1"/>
      <c r="G445" s="1"/>
      <c r="J445" s="70"/>
      <c r="M445" s="1"/>
      <c r="BO445" s="1"/>
      <c r="BU445" s="1"/>
    </row>
    <row r="446">
      <c r="A446" s="1"/>
      <c r="G446" s="1"/>
      <c r="J446" s="70"/>
      <c r="M446" s="1"/>
      <c r="BO446" s="1"/>
      <c r="BU446" s="1"/>
    </row>
    <row r="447">
      <c r="A447" s="1"/>
      <c r="G447" s="1"/>
      <c r="J447" s="70"/>
      <c r="M447" s="1"/>
      <c r="BO447" s="1"/>
      <c r="BU447" s="1"/>
    </row>
    <row r="448">
      <c r="A448" s="1"/>
      <c r="G448" s="1"/>
      <c r="I448" s="64"/>
      <c r="J448" s="70"/>
      <c r="M448" s="1"/>
      <c r="BO448" s="1"/>
      <c r="BU448" s="1"/>
    </row>
    <row r="449">
      <c r="A449" s="1"/>
      <c r="G449" s="1"/>
      <c r="I449" s="64"/>
      <c r="J449" s="70"/>
      <c r="M449" s="1"/>
      <c r="BO449" s="1"/>
      <c r="BU449" s="1"/>
    </row>
    <row r="450">
      <c r="A450" s="1"/>
      <c r="G450" s="1"/>
      <c r="I450" s="64"/>
      <c r="J450" s="70"/>
      <c r="M450" s="1"/>
      <c r="BO450" s="1"/>
      <c r="BU450" s="1"/>
    </row>
    <row r="451">
      <c r="A451" s="1"/>
      <c r="G451" s="1"/>
      <c r="I451" s="64"/>
      <c r="J451" s="70"/>
      <c r="M451" s="1"/>
      <c r="BO451" s="1"/>
      <c r="BU451" s="1"/>
    </row>
    <row r="452">
      <c r="A452" s="1"/>
      <c r="G452" s="1"/>
      <c r="I452" s="64"/>
      <c r="J452" s="70"/>
      <c r="M452" s="1"/>
      <c r="U452" s="64"/>
      <c r="BO452" s="1"/>
      <c r="BU452" s="1"/>
    </row>
    <row r="453">
      <c r="A453" s="1"/>
      <c r="G453" s="1"/>
      <c r="I453" s="64"/>
      <c r="J453" s="70"/>
      <c r="M453" s="1"/>
      <c r="U453" s="64"/>
      <c r="BO453" s="1"/>
      <c r="BU453" s="1"/>
    </row>
    <row r="454">
      <c r="A454" s="1"/>
      <c r="G454" s="1"/>
      <c r="I454" s="64"/>
      <c r="J454" s="70"/>
      <c r="M454" s="1"/>
      <c r="U454" s="64"/>
      <c r="BO454" s="1"/>
      <c r="BU454" s="1"/>
    </row>
    <row r="455">
      <c r="A455" s="1"/>
      <c r="G455" s="1"/>
      <c r="I455" s="64"/>
      <c r="J455" s="70"/>
      <c r="M455" s="1"/>
      <c r="U455" s="64"/>
      <c r="BO455" s="1"/>
      <c r="BU455" s="1"/>
    </row>
    <row r="456">
      <c r="A456" s="1"/>
      <c r="G456" s="1"/>
      <c r="I456" s="64"/>
      <c r="J456" s="70"/>
      <c r="M456" s="1"/>
      <c r="U456" s="64"/>
      <c r="BO456" s="1"/>
      <c r="BU456" s="1"/>
    </row>
    <row r="457">
      <c r="A457" s="1"/>
      <c r="G457" s="1"/>
      <c r="I457" s="64"/>
      <c r="J457" s="70"/>
      <c r="M457" s="1"/>
      <c r="U457" s="64"/>
      <c r="BO457" s="1"/>
      <c r="BU457" s="1"/>
    </row>
    <row r="458">
      <c r="A458" s="1"/>
      <c r="G458" s="1"/>
      <c r="I458" s="64"/>
      <c r="J458" s="70"/>
      <c r="M458" s="1"/>
      <c r="U458" s="64"/>
      <c r="BO458" s="1"/>
      <c r="BU458" s="1"/>
    </row>
    <row r="459">
      <c r="A459" s="1"/>
      <c r="G459" s="1"/>
      <c r="I459" s="64"/>
      <c r="J459" s="70"/>
      <c r="M459" s="1"/>
      <c r="U459" s="64"/>
      <c r="BO459" s="1"/>
      <c r="BU459" s="1"/>
    </row>
    <row r="460">
      <c r="A460" s="1"/>
      <c r="G460" s="1"/>
      <c r="I460" s="64"/>
      <c r="J460" s="70"/>
      <c r="M460" s="1"/>
      <c r="U460" s="64"/>
      <c r="BO460" s="1"/>
      <c r="BU460" s="1"/>
    </row>
    <row r="461">
      <c r="A461" s="1"/>
      <c r="G461" s="1"/>
      <c r="I461" s="64"/>
      <c r="J461" s="70"/>
      <c r="M461" s="1"/>
      <c r="U461" s="64"/>
      <c r="BO461" s="1"/>
      <c r="BU461" s="1"/>
    </row>
    <row r="462">
      <c r="A462" s="1"/>
      <c r="G462" s="1"/>
      <c r="I462" s="64"/>
      <c r="J462" s="70"/>
      <c r="M462" s="1"/>
      <c r="U462" s="64"/>
      <c r="BO462" s="1"/>
      <c r="BU462" s="1"/>
    </row>
    <row r="463">
      <c r="A463" s="1"/>
      <c r="G463" s="1"/>
      <c r="I463" s="64"/>
      <c r="J463" s="70"/>
      <c r="M463" s="1"/>
      <c r="U463" s="64"/>
      <c r="BO463" s="1"/>
      <c r="BU463" s="1"/>
    </row>
    <row r="464">
      <c r="A464" s="1"/>
      <c r="G464" s="1"/>
      <c r="J464" s="70"/>
      <c r="M464" s="1"/>
      <c r="U464" s="64"/>
      <c r="BO464" s="1"/>
      <c r="BU464" s="1"/>
    </row>
    <row r="465">
      <c r="A465" s="1"/>
      <c r="G465" s="1"/>
      <c r="J465" s="70"/>
      <c r="M465" s="1"/>
      <c r="U465" s="64"/>
      <c r="BO465" s="1"/>
      <c r="BU465" s="1"/>
    </row>
    <row r="466">
      <c r="A466" s="1"/>
      <c r="G466" s="1"/>
      <c r="J466" s="70"/>
      <c r="M466" s="1"/>
      <c r="U466" s="64"/>
      <c r="BO466" s="1"/>
      <c r="BU466" s="1"/>
    </row>
    <row r="467">
      <c r="A467" s="1"/>
      <c r="G467" s="1"/>
      <c r="J467" s="70"/>
      <c r="M467" s="1"/>
      <c r="BO467" s="1"/>
      <c r="BU467" s="1"/>
    </row>
    <row r="468">
      <c r="A468" s="1"/>
      <c r="G468" s="1"/>
      <c r="J468" s="70"/>
      <c r="M468" s="1"/>
      <c r="BO468" s="1"/>
      <c r="BU468" s="1"/>
    </row>
    <row r="469">
      <c r="A469" s="1"/>
      <c r="G469" s="1"/>
      <c r="J469" s="70"/>
      <c r="M469" s="1"/>
      <c r="BO469" s="1"/>
      <c r="BU469" s="1"/>
    </row>
    <row r="470">
      <c r="A470" s="1"/>
      <c r="G470" s="1"/>
      <c r="J470" s="70"/>
      <c r="M470" s="1"/>
      <c r="BO470" s="1"/>
      <c r="BU470" s="1"/>
    </row>
    <row r="471">
      <c r="A471" s="1"/>
      <c r="G471" s="1"/>
      <c r="J471" s="70"/>
      <c r="M471" s="1"/>
      <c r="BO471" s="1"/>
      <c r="BU471" s="1"/>
    </row>
    <row r="472">
      <c r="A472" s="1"/>
      <c r="G472" s="1"/>
      <c r="J472" s="70"/>
      <c r="M472" s="1"/>
      <c r="BO472" s="1"/>
      <c r="BU472" s="1"/>
    </row>
    <row r="473">
      <c r="A473" s="1"/>
      <c r="G473" s="1"/>
      <c r="J473" s="70"/>
      <c r="M473" s="1"/>
      <c r="BO473" s="1"/>
      <c r="BU473" s="1"/>
    </row>
    <row r="474">
      <c r="A474" s="1"/>
      <c r="G474" s="1"/>
      <c r="J474" s="70"/>
      <c r="M474" s="1"/>
      <c r="BO474" s="1"/>
      <c r="BU474" s="1"/>
    </row>
    <row r="475">
      <c r="A475" s="1"/>
      <c r="G475" s="1"/>
      <c r="J475" s="70"/>
      <c r="M475" s="1"/>
      <c r="BO475" s="1"/>
      <c r="BU475" s="1"/>
    </row>
    <row r="476">
      <c r="A476" s="1"/>
      <c r="G476" s="1"/>
      <c r="J476" s="70"/>
      <c r="M476" s="1"/>
      <c r="BO476" s="1"/>
      <c r="BU476" s="1"/>
    </row>
    <row r="477">
      <c r="A477" s="1"/>
      <c r="G477" s="1"/>
      <c r="J477" s="70"/>
      <c r="M477" s="1"/>
      <c r="BO477" s="1"/>
      <c r="BU477" s="1"/>
    </row>
    <row r="478">
      <c r="A478" s="1"/>
      <c r="G478" s="1"/>
      <c r="J478" s="70"/>
      <c r="M478" s="1"/>
      <c r="BO478" s="1"/>
      <c r="BU478" s="1"/>
    </row>
    <row r="479">
      <c r="A479" s="1"/>
      <c r="G479" s="1"/>
      <c r="J479" s="70"/>
      <c r="M479" s="1"/>
      <c r="BO479" s="1"/>
      <c r="BU479" s="1"/>
    </row>
    <row r="480">
      <c r="A480" s="1"/>
      <c r="G480" s="1"/>
      <c r="J480" s="70"/>
      <c r="M480" s="1"/>
      <c r="BO480" s="1"/>
      <c r="BU480" s="1"/>
    </row>
    <row r="481">
      <c r="A481" s="1"/>
      <c r="G481" s="1"/>
      <c r="J481" s="70"/>
      <c r="M481" s="1"/>
      <c r="BO481" s="1"/>
      <c r="BU481" s="1"/>
    </row>
    <row r="482">
      <c r="A482" s="1"/>
      <c r="G482" s="1"/>
      <c r="J482" s="70"/>
      <c r="M482" s="1"/>
      <c r="BO482" s="1"/>
      <c r="BU482" s="1"/>
    </row>
    <row r="483">
      <c r="A483" s="1"/>
      <c r="G483" s="1"/>
      <c r="J483" s="70"/>
      <c r="M483" s="1"/>
      <c r="BO483" s="1"/>
      <c r="BU483" s="1"/>
    </row>
    <row r="484">
      <c r="A484" s="1"/>
      <c r="G484" s="1"/>
      <c r="J484" s="70"/>
      <c r="M484" s="1"/>
      <c r="BO484" s="1"/>
      <c r="BU484" s="1"/>
    </row>
    <row r="485">
      <c r="A485" s="1"/>
      <c r="G485" s="1"/>
      <c r="J485" s="70"/>
      <c r="M485" s="1"/>
      <c r="BO485" s="1"/>
      <c r="BU485" s="1"/>
    </row>
    <row r="486">
      <c r="A486" s="1"/>
      <c r="G486" s="1"/>
      <c r="J486" s="70"/>
      <c r="M486" s="1"/>
      <c r="BO486" s="1"/>
      <c r="BU486" s="1"/>
    </row>
    <row r="487">
      <c r="A487" s="1"/>
      <c r="G487" s="1"/>
      <c r="J487" s="70"/>
      <c r="M487" s="1"/>
    </row>
    <row r="488">
      <c r="A488" s="1"/>
      <c r="G488" s="1"/>
      <c r="J488" s="70"/>
      <c r="M488" s="1"/>
    </row>
    <row r="489">
      <c r="A489" s="1"/>
      <c r="G489" s="1"/>
      <c r="J489" s="70"/>
      <c r="M489" s="1"/>
    </row>
    <row r="490">
      <c r="A490" s="1"/>
      <c r="G490" s="1"/>
      <c r="J490" s="70"/>
      <c r="M490" s="1"/>
    </row>
    <row r="491">
      <c r="A491" s="1"/>
      <c r="G491" s="1"/>
      <c r="J491" s="70"/>
      <c r="M491" s="1"/>
    </row>
    <row r="492">
      <c r="A492" s="1"/>
      <c r="G492" s="1"/>
      <c r="J492" s="70"/>
      <c r="M492" s="1"/>
    </row>
    <row r="493">
      <c r="A493" s="1"/>
      <c r="G493" s="1"/>
      <c r="J493" s="70"/>
      <c r="M493" s="1"/>
    </row>
    <row r="494">
      <c r="A494" s="1"/>
      <c r="G494" s="1"/>
      <c r="J494" s="70"/>
      <c r="M494" s="1"/>
    </row>
    <row r="495">
      <c r="A495" s="1"/>
      <c r="G495" s="1"/>
      <c r="J495" s="70"/>
      <c r="M495" s="1"/>
    </row>
    <row r="496">
      <c r="A496" s="1"/>
      <c r="G496" s="1"/>
      <c r="J496" s="70"/>
      <c r="M496" s="1"/>
    </row>
    <row r="497">
      <c r="A497" s="1"/>
      <c r="G497" s="1"/>
      <c r="J497" s="70"/>
      <c r="M497" s="1"/>
    </row>
    <row r="498">
      <c r="A498" s="1"/>
      <c r="G498" s="1"/>
      <c r="J498" s="70"/>
      <c r="M498" s="1"/>
    </row>
    <row r="499">
      <c r="A499" s="1"/>
      <c r="G499" s="1"/>
      <c r="J499" s="70"/>
      <c r="M499" s="1"/>
    </row>
    <row r="500">
      <c r="A500" s="1"/>
      <c r="G500" s="1"/>
      <c r="J500" s="70"/>
      <c r="M500" s="1"/>
    </row>
    <row r="501">
      <c r="A501" s="1"/>
      <c r="G501" s="1"/>
      <c r="J501" s="70"/>
      <c r="M501" s="1"/>
    </row>
    <row r="502">
      <c r="A502" s="1"/>
      <c r="G502" s="1"/>
      <c r="J502" s="70"/>
      <c r="M502" s="1"/>
    </row>
    <row r="503">
      <c r="A503" s="1"/>
      <c r="G503" s="1"/>
      <c r="J503" s="70"/>
      <c r="M503" s="1"/>
    </row>
    <row r="504">
      <c r="A504" s="1"/>
      <c r="G504" s="1"/>
      <c r="J504" s="70"/>
      <c r="M504" s="1"/>
    </row>
    <row r="505">
      <c r="A505" s="1"/>
      <c r="G505" s="1"/>
      <c r="J505" s="70"/>
      <c r="M505" s="1"/>
    </row>
    <row r="506">
      <c r="A506" s="1"/>
      <c r="G506" s="1"/>
      <c r="J506" s="70"/>
      <c r="M506" s="1"/>
    </row>
    <row r="507">
      <c r="A507" s="1"/>
      <c r="G507" s="1"/>
      <c r="J507" s="70"/>
      <c r="M507" s="1"/>
    </row>
    <row r="508">
      <c r="A508" s="1"/>
      <c r="G508" s="1"/>
      <c r="J508" s="70"/>
      <c r="M508" s="1"/>
    </row>
    <row r="509">
      <c r="A509" s="1"/>
      <c r="G509" s="1"/>
      <c r="J509" s="70"/>
      <c r="M509" s="1"/>
    </row>
    <row r="510">
      <c r="A510" s="1"/>
      <c r="G510" s="1"/>
      <c r="J510" s="70"/>
      <c r="M510" s="1"/>
    </row>
    <row r="511">
      <c r="A511" s="1"/>
      <c r="G511" s="1"/>
      <c r="J511" s="70"/>
      <c r="M511" s="1"/>
    </row>
    <row r="512">
      <c r="A512" s="1"/>
      <c r="G512" s="1"/>
      <c r="J512" s="70"/>
      <c r="M512" s="1"/>
    </row>
    <row r="513">
      <c r="A513" s="1"/>
      <c r="G513" s="1"/>
      <c r="J513" s="70"/>
      <c r="M513" s="1"/>
    </row>
    <row r="514">
      <c r="A514" s="1"/>
      <c r="G514" s="1"/>
      <c r="J514" s="70"/>
      <c r="M514" s="1"/>
    </row>
    <row r="515">
      <c r="A515" s="1"/>
      <c r="G515" s="1"/>
      <c r="J515" s="70"/>
      <c r="M515" s="1"/>
    </row>
    <row r="516">
      <c r="A516" s="1"/>
      <c r="G516" s="1"/>
      <c r="J516" s="70"/>
      <c r="M516" s="1"/>
    </row>
    <row r="517">
      <c r="A517" s="1"/>
      <c r="G517" s="1"/>
      <c r="J517" s="70"/>
      <c r="M517" s="1"/>
    </row>
    <row r="518">
      <c r="A518" s="1"/>
      <c r="G518" s="1"/>
      <c r="J518" s="70"/>
      <c r="M518" s="1"/>
    </row>
    <row r="519">
      <c r="A519" s="1"/>
      <c r="G519" s="1"/>
      <c r="J519" s="70"/>
      <c r="M519" s="1"/>
    </row>
    <row r="520">
      <c r="A520" s="1"/>
      <c r="G520" s="1"/>
      <c r="I520" s="64"/>
      <c r="J520" s="70"/>
      <c r="M520" s="1"/>
    </row>
    <row r="521">
      <c r="A521" s="1"/>
      <c r="G521" s="1"/>
      <c r="I521" s="64"/>
      <c r="J521" s="70"/>
      <c r="M521" s="1"/>
    </row>
    <row r="522">
      <c r="A522" s="1"/>
      <c r="G522" s="1"/>
      <c r="I522" s="64"/>
      <c r="J522" s="70"/>
      <c r="M522" s="1"/>
    </row>
    <row r="523">
      <c r="A523" s="1"/>
      <c r="G523" s="1"/>
      <c r="I523" s="64"/>
      <c r="J523" s="70"/>
      <c r="M523" s="1"/>
    </row>
    <row r="524">
      <c r="A524" s="1"/>
      <c r="G524" s="1"/>
      <c r="I524" s="64"/>
      <c r="J524" s="70"/>
      <c r="M524" s="1"/>
    </row>
    <row r="525">
      <c r="A525" s="1"/>
      <c r="G525" s="1"/>
      <c r="I525" s="64"/>
      <c r="J525" s="70"/>
      <c r="M525" s="1"/>
    </row>
    <row r="526">
      <c r="A526" s="1"/>
      <c r="G526" s="1"/>
      <c r="I526" s="64"/>
      <c r="J526" s="70"/>
      <c r="M526" s="1"/>
    </row>
    <row r="527">
      <c r="A527" s="1"/>
      <c r="G527" s="1"/>
      <c r="I527" s="64"/>
      <c r="J527" s="70"/>
      <c r="M527" s="1"/>
    </row>
    <row r="528">
      <c r="A528" s="1"/>
      <c r="G528" s="1"/>
      <c r="I528" s="64"/>
      <c r="J528" s="70"/>
      <c r="M528" s="1"/>
    </row>
    <row r="529">
      <c r="A529" s="1"/>
      <c r="G529" s="1"/>
      <c r="I529" s="64"/>
      <c r="J529" s="70"/>
      <c r="M529" s="1"/>
    </row>
    <row r="530">
      <c r="A530" s="1"/>
      <c r="G530" s="1"/>
      <c r="I530" s="64"/>
      <c r="J530" s="70"/>
      <c r="M530" s="1"/>
    </row>
    <row r="531">
      <c r="A531" s="1"/>
      <c r="G531" s="1"/>
      <c r="I531" s="64"/>
      <c r="J531" s="70"/>
      <c r="M531" s="1"/>
    </row>
    <row r="532">
      <c r="A532" s="1"/>
      <c r="G532" s="1"/>
      <c r="I532" s="64"/>
      <c r="J532" s="70"/>
      <c r="M532" s="1"/>
    </row>
    <row r="533">
      <c r="A533" s="1"/>
      <c r="G533" s="1"/>
      <c r="I533" s="64"/>
      <c r="J533" s="70"/>
      <c r="M533" s="1"/>
    </row>
    <row r="534">
      <c r="A534" s="1"/>
      <c r="G534" s="1"/>
      <c r="I534" s="64"/>
      <c r="J534" s="70"/>
      <c r="M534" s="1"/>
    </row>
    <row r="535">
      <c r="A535" s="1"/>
      <c r="G535" s="1"/>
      <c r="I535" s="64"/>
      <c r="J535" s="70"/>
      <c r="M535" s="1"/>
    </row>
    <row r="536">
      <c r="A536" s="1"/>
      <c r="G536" s="1"/>
      <c r="J536" s="70"/>
      <c r="M536" s="1"/>
    </row>
    <row r="537">
      <c r="A537" s="1"/>
      <c r="G537" s="1"/>
      <c r="J537" s="70"/>
      <c r="M537" s="1"/>
    </row>
    <row r="538">
      <c r="A538" s="1"/>
      <c r="G538" s="1"/>
      <c r="J538" s="70"/>
      <c r="M538" s="1"/>
    </row>
    <row r="539">
      <c r="A539" s="1"/>
      <c r="G539" s="1"/>
      <c r="J539" s="70"/>
      <c r="M539" s="1"/>
      <c r="U539" s="64"/>
    </row>
    <row r="540">
      <c r="A540" s="1"/>
      <c r="G540" s="1"/>
      <c r="J540" s="70"/>
      <c r="M540" s="1"/>
      <c r="U540" s="64"/>
    </row>
    <row r="541">
      <c r="A541" s="1"/>
      <c r="G541" s="1"/>
      <c r="J541" s="70"/>
      <c r="M541" s="1"/>
      <c r="U541" s="64"/>
    </row>
    <row r="542">
      <c r="A542" s="1"/>
      <c r="G542" s="1"/>
      <c r="J542" s="70"/>
      <c r="M542" s="1"/>
      <c r="U542" s="64"/>
    </row>
    <row r="543">
      <c r="A543" s="1"/>
      <c r="G543" s="1"/>
      <c r="J543" s="70"/>
      <c r="M543" s="1"/>
      <c r="U543" s="64"/>
    </row>
    <row r="544">
      <c r="A544" s="1"/>
      <c r="G544" s="1"/>
      <c r="J544" s="70"/>
      <c r="M544" s="1"/>
      <c r="U544" s="64"/>
    </row>
    <row r="545">
      <c r="A545" s="1"/>
      <c r="G545" s="1"/>
      <c r="J545" s="70"/>
      <c r="M545" s="1"/>
      <c r="U545" s="64"/>
    </row>
    <row r="546">
      <c r="A546" s="1"/>
      <c r="G546" s="1"/>
      <c r="J546" s="70"/>
      <c r="M546" s="1"/>
      <c r="U546" s="64"/>
    </row>
    <row r="547">
      <c r="A547" s="1"/>
      <c r="G547" s="1"/>
      <c r="J547" s="70"/>
      <c r="M547" s="1"/>
      <c r="U547" s="64"/>
    </row>
    <row r="548">
      <c r="A548" s="1"/>
      <c r="G548" s="1"/>
      <c r="J548" s="70"/>
      <c r="M548" s="1"/>
      <c r="U548" s="64"/>
    </row>
    <row r="549">
      <c r="A549" s="1"/>
      <c r="G549" s="1"/>
      <c r="J549" s="70"/>
      <c r="M549" s="1"/>
      <c r="U549" s="64"/>
    </row>
    <row r="550">
      <c r="A550" s="1"/>
      <c r="G550" s="1"/>
      <c r="J550" s="70"/>
      <c r="M550" s="1"/>
      <c r="U550" s="64"/>
    </row>
    <row r="551">
      <c r="A551" s="1"/>
      <c r="G551" s="1"/>
      <c r="J551" s="70"/>
      <c r="M551" s="1"/>
      <c r="U551" s="64"/>
    </row>
    <row r="552">
      <c r="A552" s="1"/>
      <c r="G552" s="1"/>
      <c r="J552" s="70"/>
      <c r="M552" s="1"/>
      <c r="U552" s="64"/>
    </row>
    <row r="553">
      <c r="A553" s="1"/>
      <c r="G553" s="1"/>
      <c r="J553" s="70"/>
      <c r="M553" s="1"/>
      <c r="U553" s="64"/>
    </row>
    <row r="554">
      <c r="A554" s="1"/>
      <c r="G554" s="1"/>
      <c r="J554" s="70"/>
      <c r="M554" s="1"/>
    </row>
    <row r="555">
      <c r="A555" s="1"/>
      <c r="G555" s="1"/>
      <c r="J555" s="70"/>
      <c r="M555" s="1"/>
    </row>
    <row r="556">
      <c r="A556" s="1"/>
      <c r="G556" s="1"/>
      <c r="J556" s="70"/>
      <c r="M556" s="1"/>
    </row>
    <row r="557">
      <c r="A557" s="1"/>
      <c r="G557" s="1"/>
      <c r="J557" s="70"/>
      <c r="M557" s="1"/>
    </row>
    <row r="558">
      <c r="A558" s="1"/>
      <c r="G558" s="1"/>
      <c r="J558" s="70"/>
      <c r="M558" s="1"/>
    </row>
    <row r="559">
      <c r="A559" s="1"/>
      <c r="G559" s="1"/>
      <c r="J559" s="70"/>
      <c r="M559" s="1"/>
    </row>
    <row r="560">
      <c r="A560" s="1"/>
      <c r="G560" s="1"/>
      <c r="J560" s="70"/>
      <c r="M560" s="1"/>
    </row>
    <row r="561">
      <c r="A561" s="1"/>
      <c r="G561" s="1"/>
      <c r="J561" s="70"/>
      <c r="M561" s="1"/>
    </row>
    <row r="562">
      <c r="A562" s="1"/>
      <c r="G562" s="1"/>
      <c r="J562" s="70"/>
      <c r="M562" s="1"/>
    </row>
    <row r="563">
      <c r="A563" s="1"/>
      <c r="G563" s="1"/>
      <c r="J563" s="70"/>
      <c r="M563" s="1"/>
    </row>
    <row r="564">
      <c r="A564" s="1"/>
      <c r="G564" s="1"/>
      <c r="J564" s="70"/>
      <c r="M564" s="1"/>
    </row>
    <row r="565">
      <c r="A565" s="1"/>
      <c r="G565" s="1"/>
      <c r="J565" s="70"/>
      <c r="M565" s="1"/>
    </row>
    <row r="566">
      <c r="A566" s="1"/>
      <c r="G566" s="1"/>
      <c r="J566" s="70"/>
      <c r="M566" s="1"/>
    </row>
    <row r="567">
      <c r="A567" s="1"/>
      <c r="G567" s="1"/>
      <c r="J567" s="70"/>
      <c r="M567" s="1"/>
    </row>
    <row r="568">
      <c r="A568" s="1"/>
      <c r="G568" s="1"/>
      <c r="J568" s="70"/>
      <c r="M568" s="1"/>
    </row>
    <row r="569">
      <c r="A569" s="1"/>
      <c r="G569" s="1"/>
      <c r="J569" s="70"/>
      <c r="M569" s="1"/>
    </row>
    <row r="570">
      <c r="A570" s="1"/>
      <c r="G570" s="1"/>
      <c r="J570" s="70"/>
      <c r="M570" s="1"/>
    </row>
    <row r="571">
      <c r="A571" s="1"/>
      <c r="G571" s="1"/>
      <c r="J571" s="70"/>
      <c r="M571" s="1"/>
    </row>
    <row r="572">
      <c r="A572" s="1"/>
      <c r="G572" s="1"/>
      <c r="J572" s="70"/>
      <c r="M572" s="1"/>
    </row>
    <row r="573">
      <c r="A573" s="1"/>
      <c r="G573" s="1"/>
      <c r="J573" s="70"/>
      <c r="M573" s="1"/>
    </row>
    <row r="574">
      <c r="A574" s="1"/>
      <c r="G574" s="1"/>
      <c r="J574" s="70"/>
      <c r="M574" s="1"/>
    </row>
    <row r="575">
      <c r="A575" s="1"/>
      <c r="G575" s="1"/>
      <c r="J575" s="70"/>
      <c r="M575" s="1"/>
    </row>
    <row r="576">
      <c r="A576" s="1"/>
      <c r="G576" s="1"/>
      <c r="J576" s="70"/>
      <c r="M576" s="1"/>
    </row>
    <row r="577">
      <c r="A577" s="1"/>
      <c r="G577" s="1"/>
      <c r="J577" s="70"/>
      <c r="M577" s="1"/>
    </row>
    <row r="578">
      <c r="A578" s="1"/>
      <c r="G578" s="1"/>
      <c r="J578" s="70"/>
      <c r="M578" s="1"/>
    </row>
    <row r="579">
      <c r="A579" s="1"/>
      <c r="G579" s="1"/>
      <c r="J579" s="70"/>
      <c r="M579" s="1"/>
    </row>
    <row r="580">
      <c r="A580" s="1"/>
      <c r="G580" s="1"/>
      <c r="J580" s="70"/>
      <c r="M580" s="1"/>
    </row>
    <row r="581">
      <c r="A581" s="1"/>
      <c r="G581" s="1"/>
      <c r="J581" s="70"/>
      <c r="M581" s="1"/>
    </row>
    <row r="582">
      <c r="A582" s="1"/>
      <c r="G582" s="1"/>
      <c r="J582" s="70"/>
      <c r="M582" s="1"/>
    </row>
    <row r="583">
      <c r="A583" s="1"/>
      <c r="G583" s="1"/>
      <c r="J583" s="70"/>
      <c r="M583" s="1"/>
    </row>
    <row r="584">
      <c r="A584" s="1"/>
      <c r="G584" s="1"/>
      <c r="J584" s="70"/>
      <c r="M584" s="1"/>
    </row>
    <row r="585">
      <c r="A585" s="1"/>
      <c r="G585" s="1"/>
      <c r="J585" s="70"/>
      <c r="M585" s="1"/>
    </row>
    <row r="586">
      <c r="A586" s="1"/>
      <c r="G586" s="1"/>
      <c r="J586" s="70"/>
      <c r="M586" s="1"/>
    </row>
    <row r="587">
      <c r="A587" s="1"/>
      <c r="G587" s="1"/>
      <c r="J587" s="70"/>
      <c r="M587" s="1"/>
    </row>
    <row r="588">
      <c r="A588" s="1"/>
      <c r="G588" s="1"/>
      <c r="J588" s="70"/>
      <c r="M588" s="1"/>
    </row>
    <row r="589">
      <c r="A589" s="1"/>
      <c r="G589" s="1"/>
      <c r="J589" s="70"/>
      <c r="M589" s="1"/>
    </row>
    <row r="590">
      <c r="A590" s="1"/>
      <c r="G590" s="1"/>
      <c r="J590" s="70"/>
      <c r="M590" s="1"/>
    </row>
    <row r="591">
      <c r="A591" s="1"/>
      <c r="G591" s="1"/>
      <c r="J591" s="70"/>
      <c r="M591" s="1"/>
    </row>
    <row r="592">
      <c r="A592" s="1"/>
      <c r="G592" s="1"/>
      <c r="I592" s="64"/>
      <c r="J592" s="70"/>
      <c r="M592" s="1"/>
    </row>
    <row r="593">
      <c r="A593" s="1"/>
      <c r="G593" s="1"/>
      <c r="I593" s="64"/>
      <c r="J593" s="70"/>
      <c r="M593" s="1"/>
    </row>
    <row r="594">
      <c r="A594" s="1"/>
      <c r="G594" s="1"/>
      <c r="I594" s="64"/>
      <c r="J594" s="70"/>
      <c r="M594" s="1"/>
    </row>
    <row r="595">
      <c r="A595" s="1"/>
      <c r="G595" s="1"/>
      <c r="I595" s="64"/>
      <c r="J595" s="70"/>
      <c r="M595" s="1"/>
    </row>
    <row r="596">
      <c r="A596" s="1"/>
      <c r="G596" s="1"/>
      <c r="I596" s="64"/>
      <c r="J596" s="70"/>
      <c r="M596" s="1"/>
    </row>
    <row r="597">
      <c r="A597" s="1"/>
      <c r="G597" s="1"/>
      <c r="I597" s="64"/>
      <c r="J597" s="70"/>
      <c r="M597" s="1"/>
    </row>
    <row r="598">
      <c r="A598" s="1"/>
      <c r="G598" s="1"/>
      <c r="I598" s="64"/>
      <c r="J598" s="70"/>
      <c r="M598" s="1"/>
    </row>
    <row r="599">
      <c r="A599" s="1"/>
      <c r="G599" s="1"/>
      <c r="I599" s="64"/>
      <c r="J599" s="70"/>
      <c r="M599" s="1"/>
    </row>
    <row r="600">
      <c r="A600" s="1"/>
      <c r="G600" s="1"/>
      <c r="I600" s="64"/>
      <c r="J600" s="70"/>
      <c r="M600" s="1"/>
    </row>
    <row r="601">
      <c r="A601" s="1"/>
      <c r="G601" s="1"/>
      <c r="I601" s="64"/>
      <c r="J601" s="70"/>
      <c r="M601" s="1"/>
    </row>
    <row r="602">
      <c r="A602" s="1"/>
      <c r="G602" s="1"/>
      <c r="I602" s="64"/>
      <c r="J602" s="70"/>
      <c r="M602" s="1"/>
    </row>
    <row r="603">
      <c r="A603" s="1"/>
      <c r="G603" s="1"/>
      <c r="I603" s="64"/>
      <c r="J603" s="70"/>
      <c r="M603" s="1"/>
    </row>
    <row r="604">
      <c r="A604" s="1"/>
      <c r="G604" s="1"/>
      <c r="I604" s="64"/>
      <c r="J604" s="70"/>
      <c r="M604" s="1"/>
    </row>
    <row r="605">
      <c r="A605" s="1"/>
      <c r="G605" s="1"/>
      <c r="I605" s="64"/>
      <c r="J605" s="70"/>
      <c r="M605" s="1"/>
    </row>
    <row r="606">
      <c r="A606" s="1"/>
      <c r="G606" s="1"/>
      <c r="I606" s="64"/>
      <c r="J606" s="70"/>
      <c r="M606" s="1"/>
    </row>
    <row r="607">
      <c r="A607" s="1"/>
      <c r="G607" s="1"/>
      <c r="I607" s="64"/>
      <c r="J607" s="70"/>
      <c r="M607" s="1"/>
    </row>
    <row r="608">
      <c r="A608" s="1"/>
      <c r="G608" s="1"/>
      <c r="J608" s="70"/>
      <c r="M608" s="1"/>
    </row>
    <row r="609">
      <c r="A609" s="1"/>
      <c r="G609" s="1"/>
      <c r="J609" s="70"/>
      <c r="M609" s="1"/>
    </row>
    <row r="610">
      <c r="A610" s="1"/>
      <c r="G610" s="1"/>
      <c r="J610" s="70"/>
      <c r="M610" s="1"/>
    </row>
    <row r="611">
      <c r="A611" s="1"/>
      <c r="G611" s="1"/>
      <c r="J611" s="70"/>
      <c r="M611" s="1"/>
    </row>
    <row r="612">
      <c r="A612" s="1"/>
      <c r="G612" s="1"/>
      <c r="J612" s="70"/>
      <c r="M612" s="1"/>
    </row>
    <row r="613">
      <c r="A613" s="1"/>
      <c r="G613" s="1"/>
      <c r="J613" s="70"/>
      <c r="M613" s="1"/>
    </row>
    <row r="614">
      <c r="A614" s="1"/>
      <c r="G614" s="1"/>
      <c r="J614" s="70"/>
      <c r="M614" s="1"/>
    </row>
    <row r="615">
      <c r="A615" s="1"/>
      <c r="G615" s="1"/>
      <c r="J615" s="70"/>
      <c r="M615" s="1"/>
    </row>
    <row r="616">
      <c r="A616" s="1"/>
      <c r="G616" s="1"/>
      <c r="J616" s="70"/>
      <c r="M616" s="1"/>
    </row>
    <row r="617">
      <c r="A617" s="1"/>
      <c r="G617" s="1"/>
      <c r="J617" s="70"/>
      <c r="M617" s="1"/>
    </row>
    <row r="618">
      <c r="A618" s="1"/>
      <c r="G618" s="1"/>
      <c r="J618" s="70"/>
      <c r="M618" s="1"/>
    </row>
    <row r="619">
      <c r="A619" s="1"/>
      <c r="G619" s="1"/>
      <c r="J619" s="70"/>
      <c r="M619" s="1"/>
    </row>
    <row r="620">
      <c r="A620" s="1"/>
      <c r="G620" s="1"/>
      <c r="J620" s="70"/>
      <c r="M620" s="1"/>
    </row>
    <row r="621">
      <c r="A621" s="1"/>
      <c r="G621" s="1"/>
      <c r="J621" s="70"/>
      <c r="M621" s="1"/>
    </row>
    <row r="622">
      <c r="A622" s="1"/>
      <c r="G622" s="1"/>
      <c r="J622" s="70"/>
      <c r="M622" s="1"/>
    </row>
    <row r="623">
      <c r="A623" s="1"/>
      <c r="G623" s="1"/>
      <c r="J623" s="70"/>
      <c r="M623" s="1"/>
    </row>
    <row r="624">
      <c r="A624" s="1"/>
      <c r="G624" s="1"/>
      <c r="J624" s="70"/>
      <c r="M624" s="1"/>
    </row>
    <row r="625">
      <c r="A625" s="1"/>
      <c r="G625" s="1"/>
      <c r="J625" s="70"/>
      <c r="M625" s="1"/>
    </row>
    <row r="626">
      <c r="A626" s="1"/>
      <c r="G626" s="1"/>
      <c r="J626" s="70"/>
      <c r="M626" s="1"/>
      <c r="U626" s="64"/>
    </row>
    <row r="627">
      <c r="A627" s="1"/>
      <c r="G627" s="1"/>
      <c r="J627" s="70"/>
      <c r="M627" s="1"/>
      <c r="U627" s="64"/>
    </row>
    <row r="628">
      <c r="A628" s="1"/>
      <c r="G628" s="1"/>
      <c r="J628" s="70"/>
      <c r="M628" s="1"/>
      <c r="U628" s="64"/>
    </row>
    <row r="629">
      <c r="A629" s="1"/>
      <c r="G629" s="1"/>
      <c r="J629" s="70"/>
      <c r="M629" s="1"/>
      <c r="U629" s="64"/>
    </row>
    <row r="630">
      <c r="A630" s="1"/>
      <c r="G630" s="1"/>
      <c r="J630" s="70"/>
      <c r="M630" s="1"/>
      <c r="U630" s="64"/>
    </row>
    <row r="631">
      <c r="A631" s="1"/>
      <c r="G631" s="1"/>
      <c r="J631" s="70"/>
      <c r="M631" s="1"/>
      <c r="U631" s="64"/>
    </row>
    <row r="632">
      <c r="A632" s="1"/>
      <c r="G632" s="1"/>
      <c r="J632" s="70"/>
      <c r="M632" s="1"/>
      <c r="U632" s="64"/>
    </row>
    <row r="633">
      <c r="A633" s="1"/>
      <c r="G633" s="1"/>
      <c r="J633" s="70"/>
      <c r="M633" s="1"/>
      <c r="U633" s="64"/>
    </row>
    <row r="634">
      <c r="A634" s="1"/>
      <c r="G634" s="1"/>
      <c r="J634" s="70"/>
      <c r="M634" s="1"/>
      <c r="U634" s="64"/>
    </row>
    <row r="635">
      <c r="A635" s="1"/>
      <c r="G635" s="1"/>
      <c r="J635" s="70"/>
      <c r="M635" s="1"/>
      <c r="U635" s="64"/>
    </row>
    <row r="636">
      <c r="A636" s="1"/>
      <c r="G636" s="1"/>
      <c r="J636" s="70"/>
      <c r="M636" s="1"/>
      <c r="U636" s="64"/>
    </row>
    <row r="637">
      <c r="A637" s="1"/>
      <c r="G637" s="1"/>
      <c r="J637" s="70"/>
      <c r="M637" s="1"/>
      <c r="U637" s="64"/>
    </row>
    <row r="638">
      <c r="A638" s="1"/>
      <c r="G638" s="1"/>
      <c r="J638" s="70"/>
      <c r="M638" s="1"/>
      <c r="U638" s="64"/>
    </row>
    <row r="639">
      <c r="A639" s="1"/>
      <c r="G639" s="1"/>
      <c r="J639" s="70"/>
      <c r="M639" s="1"/>
      <c r="U639" s="64"/>
    </row>
    <row r="640">
      <c r="A640" s="1"/>
      <c r="G640" s="1"/>
      <c r="J640" s="70"/>
      <c r="M640" s="1"/>
      <c r="U640" s="64"/>
    </row>
    <row r="641">
      <c r="A641" s="1"/>
      <c r="G641" s="1"/>
      <c r="J641" s="70"/>
      <c r="M641" s="1"/>
    </row>
    <row r="642">
      <c r="A642" s="1"/>
      <c r="G642" s="1"/>
      <c r="J642" s="70"/>
      <c r="M642" s="1"/>
    </row>
    <row r="643">
      <c r="A643" s="1"/>
      <c r="G643" s="1"/>
      <c r="J643" s="70"/>
      <c r="M643" s="1"/>
    </row>
    <row r="644">
      <c r="A644" s="1"/>
      <c r="G644" s="1"/>
      <c r="J644" s="70"/>
      <c r="M644" s="1"/>
    </row>
    <row r="645">
      <c r="A645" s="1"/>
      <c r="G645" s="1"/>
      <c r="J645" s="70"/>
      <c r="M645" s="1"/>
    </row>
    <row r="646">
      <c r="A646" s="1"/>
      <c r="G646" s="1"/>
      <c r="J646" s="70"/>
      <c r="M646" s="1"/>
    </row>
    <row r="647">
      <c r="A647" s="1"/>
      <c r="G647" s="1"/>
      <c r="J647" s="70"/>
      <c r="M647" s="1"/>
    </row>
    <row r="648">
      <c r="A648" s="1"/>
      <c r="G648" s="1"/>
      <c r="J648" s="70"/>
      <c r="M648" s="1"/>
    </row>
    <row r="649">
      <c r="A649" s="1"/>
      <c r="G649" s="1"/>
      <c r="J649" s="70"/>
      <c r="M649" s="1"/>
    </row>
    <row r="650">
      <c r="A650" s="1"/>
      <c r="G650" s="1"/>
      <c r="J650" s="70"/>
      <c r="M650" s="1"/>
    </row>
    <row r="651">
      <c r="A651" s="1"/>
      <c r="G651" s="1"/>
      <c r="J651" s="70"/>
      <c r="M651" s="1"/>
    </row>
    <row r="652">
      <c r="A652" s="1"/>
      <c r="G652" s="1"/>
      <c r="J652" s="70"/>
      <c r="M652" s="1"/>
    </row>
    <row r="653">
      <c r="A653" s="1"/>
      <c r="G653" s="1"/>
      <c r="J653" s="70"/>
      <c r="M653" s="1"/>
    </row>
    <row r="654">
      <c r="A654" s="1"/>
      <c r="G654" s="1"/>
      <c r="J654" s="70"/>
      <c r="M654" s="1"/>
    </row>
    <row r="655">
      <c r="A655" s="1"/>
      <c r="G655" s="1"/>
      <c r="J655" s="70"/>
      <c r="M655" s="1"/>
    </row>
    <row r="656">
      <c r="A656" s="1"/>
      <c r="G656" s="1"/>
      <c r="J656" s="70"/>
      <c r="M656" s="1"/>
    </row>
    <row r="657">
      <c r="A657" s="1"/>
      <c r="G657" s="1"/>
      <c r="J657" s="70"/>
      <c r="M657" s="1"/>
    </row>
    <row r="658">
      <c r="A658" s="1"/>
      <c r="G658" s="1"/>
      <c r="J658" s="70"/>
      <c r="M658" s="1"/>
    </row>
    <row r="659">
      <c r="A659" s="1"/>
      <c r="G659" s="1"/>
      <c r="J659" s="70"/>
      <c r="M659" s="1"/>
    </row>
    <row r="660">
      <c r="A660" s="1"/>
      <c r="G660" s="1"/>
      <c r="J660" s="70"/>
      <c r="M660" s="1"/>
    </row>
    <row r="661">
      <c r="A661" s="1"/>
      <c r="G661" s="1"/>
      <c r="J661" s="70"/>
      <c r="M661" s="1"/>
    </row>
    <row r="662">
      <c r="A662" s="1"/>
      <c r="G662" s="1"/>
      <c r="J662" s="70"/>
      <c r="M662" s="1"/>
    </row>
    <row r="663">
      <c r="A663" s="1"/>
      <c r="G663" s="1"/>
      <c r="J663" s="70"/>
      <c r="M663" s="1"/>
    </row>
    <row r="664">
      <c r="A664" s="1"/>
      <c r="G664" s="1"/>
      <c r="I664" s="64"/>
      <c r="J664" s="70"/>
      <c r="M664" s="1"/>
    </row>
    <row r="665">
      <c r="A665" s="1"/>
      <c r="G665" s="1"/>
      <c r="I665" s="64"/>
      <c r="J665" s="70"/>
      <c r="M665" s="1"/>
    </row>
    <row r="666">
      <c r="A666" s="1"/>
      <c r="G666" s="1"/>
      <c r="I666" s="64"/>
      <c r="J666" s="70"/>
      <c r="M666" s="1"/>
    </row>
    <row r="667">
      <c r="A667" s="1"/>
      <c r="G667" s="1"/>
      <c r="I667" s="64"/>
      <c r="J667" s="70"/>
      <c r="M667" s="1"/>
    </row>
    <row r="668">
      <c r="A668" s="1"/>
      <c r="G668" s="1"/>
      <c r="I668" s="64"/>
      <c r="J668" s="70"/>
      <c r="M668" s="1"/>
    </row>
    <row r="669">
      <c r="A669" s="1"/>
      <c r="G669" s="1"/>
      <c r="I669" s="64"/>
      <c r="J669" s="70"/>
      <c r="M669" s="1"/>
    </row>
    <row r="670">
      <c r="A670" s="1"/>
      <c r="G670" s="1"/>
      <c r="I670" s="64"/>
      <c r="J670" s="70"/>
      <c r="M670" s="1"/>
    </row>
    <row r="671">
      <c r="A671" s="1"/>
      <c r="G671" s="1"/>
      <c r="I671" s="64"/>
      <c r="J671" s="70"/>
      <c r="M671" s="1"/>
    </row>
    <row r="672">
      <c r="A672" s="1"/>
      <c r="G672" s="1"/>
      <c r="I672" s="64"/>
      <c r="J672" s="70"/>
      <c r="M672" s="1"/>
    </row>
    <row r="673">
      <c r="A673" s="1"/>
      <c r="G673" s="1"/>
      <c r="I673" s="64"/>
      <c r="J673" s="70"/>
      <c r="M673" s="1"/>
    </row>
    <row r="674">
      <c r="A674" s="1"/>
      <c r="G674" s="1"/>
      <c r="I674" s="64"/>
      <c r="J674" s="70"/>
      <c r="M674" s="1"/>
    </row>
    <row r="675">
      <c r="A675" s="1"/>
      <c r="G675" s="1"/>
      <c r="I675" s="64"/>
      <c r="J675" s="70"/>
      <c r="M675" s="1"/>
    </row>
    <row r="676">
      <c r="A676" s="1"/>
      <c r="G676" s="1"/>
      <c r="I676" s="64"/>
      <c r="J676" s="70"/>
      <c r="M676" s="1"/>
    </row>
    <row r="677">
      <c r="A677" s="1"/>
      <c r="G677" s="1"/>
      <c r="I677" s="64"/>
      <c r="J677" s="70"/>
      <c r="M677" s="1"/>
    </row>
    <row r="678">
      <c r="A678" s="1"/>
      <c r="G678" s="1"/>
      <c r="I678" s="64"/>
      <c r="J678" s="70"/>
      <c r="M678" s="1"/>
    </row>
    <row r="679">
      <c r="A679" s="1"/>
      <c r="G679" s="1"/>
      <c r="I679" s="64"/>
      <c r="J679" s="70"/>
      <c r="M679" s="1"/>
    </row>
    <row r="680">
      <c r="A680" s="1"/>
      <c r="G680" s="1"/>
      <c r="J680" s="70"/>
      <c r="M680" s="1"/>
    </row>
    <row r="681">
      <c r="A681" s="1"/>
      <c r="G681" s="1"/>
      <c r="J681" s="70"/>
      <c r="M681" s="1"/>
    </row>
    <row r="682">
      <c r="A682" s="1"/>
      <c r="G682" s="1"/>
      <c r="J682" s="70"/>
      <c r="M682" s="1"/>
    </row>
    <row r="683">
      <c r="A683" s="1"/>
      <c r="G683" s="1"/>
      <c r="J683" s="70"/>
      <c r="M683" s="1"/>
    </row>
    <row r="684">
      <c r="A684" s="1"/>
      <c r="G684" s="1"/>
      <c r="J684" s="70"/>
      <c r="M684" s="1"/>
    </row>
    <row r="685">
      <c r="A685" s="1"/>
      <c r="G685" s="1"/>
      <c r="J685" s="70"/>
      <c r="M685" s="1"/>
    </row>
    <row r="686">
      <c r="A686" s="1"/>
      <c r="G686" s="1"/>
      <c r="J686" s="70"/>
      <c r="M686" s="1"/>
    </row>
    <row r="687">
      <c r="A687" s="1"/>
      <c r="G687" s="1"/>
      <c r="J687" s="70"/>
      <c r="M687" s="1"/>
    </row>
    <row r="688">
      <c r="A688" s="1"/>
      <c r="G688" s="1"/>
      <c r="J688" s="70"/>
      <c r="M688" s="1"/>
    </row>
    <row r="689">
      <c r="A689" s="1"/>
      <c r="G689" s="1"/>
      <c r="J689" s="70"/>
      <c r="M689" s="1"/>
    </row>
    <row r="690">
      <c r="A690" s="1"/>
      <c r="G690" s="1"/>
      <c r="J690" s="70"/>
      <c r="M690" s="1"/>
    </row>
    <row r="691">
      <c r="A691" s="1"/>
      <c r="G691" s="1"/>
      <c r="J691" s="70"/>
      <c r="M691" s="1"/>
    </row>
    <row r="692">
      <c r="A692" s="1"/>
      <c r="G692" s="1"/>
      <c r="J692" s="70"/>
      <c r="M692" s="1"/>
    </row>
    <row r="693">
      <c r="A693" s="1"/>
      <c r="G693" s="1"/>
      <c r="J693" s="70"/>
      <c r="M693" s="1"/>
    </row>
    <row r="694">
      <c r="A694" s="1"/>
      <c r="G694" s="1"/>
      <c r="J694" s="70"/>
      <c r="M694" s="1"/>
    </row>
    <row r="695">
      <c r="A695" s="1"/>
      <c r="G695" s="1"/>
      <c r="J695" s="70"/>
      <c r="M695" s="1"/>
    </row>
    <row r="696">
      <c r="A696" s="1"/>
      <c r="G696" s="1"/>
      <c r="J696" s="70"/>
      <c r="M696" s="1"/>
    </row>
    <row r="697">
      <c r="A697" s="1"/>
      <c r="G697" s="1"/>
      <c r="J697" s="70"/>
      <c r="M697" s="1"/>
    </row>
    <row r="698">
      <c r="A698" s="1"/>
      <c r="G698" s="1"/>
      <c r="J698" s="70"/>
      <c r="M698" s="1"/>
    </row>
    <row r="699">
      <c r="A699" s="1"/>
      <c r="G699" s="1"/>
      <c r="J699" s="70"/>
      <c r="M699" s="1"/>
    </row>
    <row r="700">
      <c r="A700" s="1"/>
      <c r="G700" s="1"/>
      <c r="J700" s="70"/>
      <c r="M700" s="1"/>
    </row>
    <row r="701">
      <c r="A701" s="1"/>
      <c r="G701" s="1"/>
      <c r="J701" s="70"/>
      <c r="M701" s="1"/>
    </row>
    <row r="702">
      <c r="A702" s="1"/>
      <c r="G702" s="1"/>
      <c r="J702" s="70"/>
      <c r="M702" s="1"/>
    </row>
    <row r="703">
      <c r="A703" s="1"/>
      <c r="G703" s="1"/>
      <c r="J703" s="70"/>
      <c r="M703" s="1"/>
    </row>
    <row r="704">
      <c r="A704" s="1"/>
      <c r="G704" s="1"/>
      <c r="J704" s="70"/>
      <c r="M704" s="1"/>
    </row>
    <row r="705">
      <c r="A705" s="1"/>
      <c r="G705" s="1"/>
      <c r="J705" s="70"/>
      <c r="M705" s="1"/>
    </row>
    <row r="706">
      <c r="A706" s="1"/>
      <c r="G706" s="1"/>
      <c r="J706" s="70"/>
      <c r="M706" s="1"/>
    </row>
    <row r="707">
      <c r="A707" s="1"/>
      <c r="G707" s="1"/>
      <c r="J707" s="70"/>
      <c r="M707" s="1"/>
    </row>
    <row r="708">
      <c r="A708" s="1"/>
      <c r="G708" s="1"/>
      <c r="J708" s="70"/>
      <c r="M708" s="1"/>
    </row>
    <row r="709">
      <c r="A709" s="1"/>
      <c r="G709" s="1"/>
      <c r="J709" s="70"/>
      <c r="M709" s="1"/>
    </row>
    <row r="710">
      <c r="A710" s="1"/>
      <c r="G710" s="1"/>
      <c r="J710" s="70"/>
      <c r="M710" s="1"/>
    </row>
    <row r="711">
      <c r="A711" s="1"/>
      <c r="G711" s="1"/>
      <c r="J711" s="70"/>
      <c r="M711" s="1"/>
    </row>
    <row r="712">
      <c r="A712" s="1"/>
      <c r="G712" s="1"/>
      <c r="J712" s="70"/>
      <c r="M712" s="1"/>
    </row>
    <row r="713">
      <c r="A713" s="1"/>
      <c r="G713" s="1"/>
      <c r="J713" s="70"/>
      <c r="M713" s="1"/>
      <c r="U713" s="64"/>
    </row>
    <row r="714">
      <c r="A714" s="1"/>
      <c r="G714" s="1"/>
      <c r="J714" s="70"/>
      <c r="M714" s="1"/>
      <c r="U714" s="64"/>
    </row>
    <row r="715">
      <c r="A715" s="1"/>
      <c r="G715" s="1"/>
      <c r="J715" s="70"/>
      <c r="M715" s="1"/>
      <c r="U715" s="64"/>
    </row>
    <row r="716">
      <c r="A716" s="1"/>
      <c r="G716" s="1"/>
      <c r="J716" s="70"/>
      <c r="M716" s="1"/>
      <c r="U716" s="64"/>
    </row>
    <row r="717">
      <c r="A717" s="1"/>
      <c r="G717" s="1"/>
      <c r="J717" s="70"/>
      <c r="M717" s="1"/>
      <c r="U717" s="64"/>
    </row>
    <row r="718">
      <c r="A718" s="1"/>
      <c r="G718" s="1"/>
      <c r="J718" s="70"/>
      <c r="M718" s="1"/>
      <c r="U718" s="64"/>
    </row>
    <row r="719">
      <c r="A719" s="1"/>
      <c r="G719" s="1"/>
      <c r="J719" s="70"/>
      <c r="M719" s="1"/>
      <c r="U719" s="64"/>
    </row>
    <row r="720">
      <c r="A720" s="1"/>
      <c r="G720" s="1"/>
      <c r="J720" s="70"/>
      <c r="M720" s="1"/>
      <c r="U720" s="64"/>
    </row>
    <row r="721">
      <c r="A721" s="1"/>
      <c r="G721" s="1"/>
      <c r="J721" s="70"/>
      <c r="M721" s="1"/>
      <c r="U721" s="64"/>
    </row>
    <row r="722">
      <c r="A722" s="1"/>
      <c r="G722" s="1"/>
      <c r="J722" s="70"/>
      <c r="M722" s="1"/>
      <c r="U722" s="64"/>
    </row>
    <row r="723">
      <c r="A723" s="1"/>
      <c r="G723" s="1"/>
      <c r="J723" s="70"/>
      <c r="M723" s="1"/>
      <c r="U723" s="64"/>
    </row>
    <row r="724">
      <c r="A724" s="1"/>
      <c r="G724" s="1"/>
      <c r="J724" s="70"/>
      <c r="M724" s="1"/>
      <c r="U724" s="64"/>
    </row>
    <row r="725">
      <c r="A725" s="1"/>
      <c r="G725" s="1"/>
      <c r="J725" s="70"/>
      <c r="M725" s="1"/>
      <c r="U725" s="64"/>
    </row>
    <row r="726">
      <c r="A726" s="1"/>
      <c r="G726" s="1"/>
      <c r="J726" s="70"/>
      <c r="M726" s="1"/>
      <c r="U726" s="64"/>
    </row>
    <row r="727">
      <c r="A727" s="1"/>
      <c r="G727" s="1"/>
      <c r="J727" s="70"/>
      <c r="M727" s="1"/>
      <c r="U727" s="64"/>
    </row>
    <row r="728">
      <c r="A728" s="1"/>
      <c r="G728" s="1"/>
      <c r="J728" s="70"/>
      <c r="M728" s="1"/>
    </row>
    <row r="729">
      <c r="A729" s="1"/>
      <c r="G729" s="1"/>
      <c r="J729" s="70"/>
      <c r="M729" s="1"/>
    </row>
    <row r="730">
      <c r="A730" s="1"/>
      <c r="G730" s="1"/>
      <c r="J730" s="70"/>
      <c r="M730" s="1"/>
    </row>
    <row r="731">
      <c r="A731" s="1"/>
      <c r="G731" s="1"/>
      <c r="J731" s="70"/>
      <c r="M731" s="1"/>
    </row>
    <row r="732">
      <c r="A732" s="1"/>
      <c r="G732" s="1"/>
      <c r="J732" s="70"/>
      <c r="M732" s="1"/>
    </row>
    <row r="733">
      <c r="A733" s="1"/>
      <c r="G733" s="1"/>
      <c r="J733" s="70"/>
      <c r="M733" s="1"/>
    </row>
    <row r="734">
      <c r="A734" s="1"/>
      <c r="G734" s="1"/>
      <c r="J734" s="70"/>
      <c r="M734" s="1"/>
    </row>
    <row r="735">
      <c r="A735" s="1"/>
      <c r="G735" s="1"/>
      <c r="J735" s="70"/>
      <c r="M735" s="1"/>
    </row>
    <row r="736">
      <c r="A736" s="1"/>
      <c r="G736" s="1"/>
      <c r="I736" s="64"/>
      <c r="J736" s="70"/>
      <c r="M736" s="1"/>
    </row>
    <row r="737">
      <c r="A737" s="1"/>
      <c r="G737" s="1"/>
      <c r="I737" s="64"/>
      <c r="J737" s="70"/>
      <c r="M737" s="1"/>
    </row>
    <row r="738">
      <c r="A738" s="1"/>
      <c r="G738" s="1"/>
      <c r="I738" s="64"/>
      <c r="J738" s="70"/>
      <c r="M738" s="1"/>
    </row>
    <row r="739">
      <c r="A739" s="1"/>
      <c r="G739" s="1"/>
      <c r="I739" s="64"/>
      <c r="J739" s="70"/>
      <c r="M739" s="1"/>
    </row>
    <row r="740">
      <c r="A740" s="1"/>
      <c r="G740" s="1"/>
      <c r="I740" s="64"/>
      <c r="J740" s="70"/>
      <c r="M740" s="1"/>
    </row>
    <row r="741">
      <c r="A741" s="1"/>
      <c r="G741" s="1"/>
      <c r="I741" s="64"/>
      <c r="J741" s="70"/>
      <c r="M741" s="1"/>
    </row>
    <row r="742">
      <c r="A742" s="1"/>
      <c r="G742" s="1"/>
      <c r="I742" s="64"/>
      <c r="J742" s="70"/>
      <c r="M742" s="1"/>
    </row>
    <row r="743">
      <c r="A743" s="1"/>
      <c r="G743" s="1"/>
      <c r="I743" s="64"/>
      <c r="J743" s="70"/>
      <c r="M743" s="1"/>
    </row>
    <row r="744">
      <c r="A744" s="1"/>
      <c r="G744" s="1"/>
      <c r="I744" s="64"/>
      <c r="J744" s="70"/>
      <c r="M744" s="1"/>
    </row>
    <row r="745">
      <c r="A745" s="1"/>
      <c r="G745" s="1"/>
      <c r="I745" s="64"/>
      <c r="J745" s="70"/>
      <c r="M745" s="1"/>
    </row>
    <row r="746">
      <c r="A746" s="1"/>
      <c r="G746" s="1"/>
      <c r="I746" s="64"/>
      <c r="J746" s="70"/>
      <c r="M746" s="1"/>
    </row>
    <row r="747">
      <c r="A747" s="1"/>
      <c r="G747" s="1"/>
      <c r="I747" s="64"/>
      <c r="J747" s="70"/>
      <c r="M747" s="1"/>
    </row>
    <row r="748">
      <c r="A748" s="1"/>
      <c r="G748" s="1"/>
      <c r="I748" s="64"/>
      <c r="J748" s="70"/>
      <c r="M748" s="1"/>
    </row>
    <row r="749">
      <c r="A749" s="1"/>
      <c r="G749" s="1"/>
      <c r="I749" s="64"/>
      <c r="J749" s="70"/>
      <c r="M749" s="1"/>
    </row>
    <row r="750">
      <c r="A750" s="1"/>
      <c r="G750" s="1"/>
      <c r="I750" s="64"/>
      <c r="J750" s="70"/>
      <c r="M750" s="1"/>
    </row>
    <row r="751">
      <c r="A751" s="1"/>
      <c r="G751" s="1"/>
      <c r="I751" s="64"/>
      <c r="J751" s="70"/>
      <c r="M751" s="1"/>
    </row>
    <row r="752">
      <c r="A752" s="1"/>
      <c r="G752" s="1"/>
      <c r="J752" s="70"/>
      <c r="M752" s="1"/>
    </row>
    <row r="753">
      <c r="A753" s="1"/>
      <c r="G753" s="1"/>
      <c r="J753" s="70"/>
      <c r="M753" s="1"/>
    </row>
    <row r="754">
      <c r="A754" s="1"/>
      <c r="G754" s="1"/>
      <c r="J754" s="70"/>
      <c r="M754" s="1"/>
    </row>
    <row r="755">
      <c r="A755" s="1"/>
      <c r="G755" s="1"/>
      <c r="J755" s="70"/>
      <c r="M755" s="1"/>
    </row>
    <row r="756">
      <c r="A756" s="1"/>
      <c r="G756" s="1"/>
      <c r="J756" s="70"/>
      <c r="M756" s="1"/>
    </row>
    <row r="757">
      <c r="A757" s="1"/>
      <c r="G757" s="1"/>
      <c r="J757" s="70"/>
      <c r="M757" s="1"/>
    </row>
    <row r="758">
      <c r="A758" s="1"/>
      <c r="G758" s="1"/>
      <c r="J758" s="70"/>
      <c r="M758" s="1"/>
    </row>
    <row r="759">
      <c r="A759" s="1"/>
      <c r="G759" s="1"/>
      <c r="J759" s="70"/>
      <c r="M759" s="1"/>
    </row>
    <row r="760">
      <c r="A760" s="1"/>
      <c r="G760" s="1"/>
      <c r="J760" s="70"/>
      <c r="M760" s="1"/>
    </row>
    <row r="761">
      <c r="A761" s="1"/>
      <c r="G761" s="1"/>
      <c r="J761" s="70"/>
      <c r="M761" s="1"/>
    </row>
    <row r="762">
      <c r="A762" s="1"/>
      <c r="G762" s="1"/>
      <c r="J762" s="70"/>
      <c r="M762" s="1"/>
    </row>
    <row r="763">
      <c r="A763" s="1"/>
      <c r="G763" s="1"/>
      <c r="J763" s="70"/>
      <c r="M763" s="1"/>
    </row>
    <row r="764">
      <c r="A764" s="1"/>
      <c r="G764" s="1"/>
      <c r="J764" s="70"/>
      <c r="M764" s="1"/>
    </row>
    <row r="765">
      <c r="A765" s="1"/>
      <c r="G765" s="1"/>
      <c r="J765" s="70"/>
      <c r="M765" s="1"/>
    </row>
    <row r="766">
      <c r="A766" s="1"/>
      <c r="G766" s="1"/>
      <c r="J766" s="70"/>
      <c r="M766" s="1"/>
    </row>
    <row r="767">
      <c r="A767" s="1"/>
      <c r="G767" s="1"/>
      <c r="J767" s="70"/>
      <c r="M767" s="1"/>
    </row>
    <row r="768">
      <c r="A768" s="1"/>
      <c r="G768" s="1"/>
      <c r="J768" s="70"/>
      <c r="M768" s="1"/>
    </row>
    <row r="769">
      <c r="A769" s="1"/>
      <c r="G769" s="1"/>
      <c r="J769" s="70"/>
      <c r="M769" s="1"/>
    </row>
    <row r="770">
      <c r="A770" s="1"/>
      <c r="G770" s="1"/>
      <c r="J770" s="70"/>
      <c r="M770" s="1"/>
    </row>
    <row r="771">
      <c r="A771" s="1"/>
      <c r="G771" s="1"/>
      <c r="J771" s="70"/>
      <c r="M771" s="1"/>
    </row>
    <row r="772">
      <c r="A772" s="1"/>
      <c r="G772" s="1"/>
      <c r="J772" s="70"/>
      <c r="M772" s="1"/>
    </row>
    <row r="773">
      <c r="A773" s="1"/>
      <c r="G773" s="1"/>
      <c r="J773" s="70"/>
      <c r="M773" s="1"/>
    </row>
    <row r="774">
      <c r="A774" s="1"/>
      <c r="G774" s="1"/>
      <c r="J774" s="70"/>
      <c r="M774" s="1"/>
    </row>
    <row r="775">
      <c r="A775" s="1"/>
      <c r="G775" s="1"/>
      <c r="J775" s="70"/>
      <c r="M775" s="1"/>
    </row>
    <row r="776">
      <c r="A776" s="1"/>
      <c r="G776" s="1"/>
      <c r="J776" s="70"/>
      <c r="M776" s="1"/>
    </row>
    <row r="777">
      <c r="A777" s="1"/>
      <c r="G777" s="1"/>
      <c r="J777" s="70"/>
      <c r="M777" s="1"/>
    </row>
    <row r="778">
      <c r="A778" s="1"/>
      <c r="G778" s="1"/>
      <c r="J778" s="70"/>
      <c r="M778" s="1"/>
    </row>
    <row r="779">
      <c r="A779" s="1"/>
      <c r="G779" s="1"/>
      <c r="J779" s="70"/>
      <c r="M779" s="1"/>
    </row>
    <row r="780">
      <c r="A780" s="1"/>
      <c r="G780" s="1"/>
      <c r="J780" s="70"/>
      <c r="M780" s="1"/>
    </row>
    <row r="781">
      <c r="A781" s="1"/>
      <c r="G781" s="1"/>
      <c r="J781" s="70"/>
      <c r="M781" s="1"/>
    </row>
    <row r="782">
      <c r="A782" s="1"/>
      <c r="G782" s="1"/>
      <c r="J782" s="70"/>
      <c r="M782" s="1"/>
    </row>
    <row r="783">
      <c r="A783" s="1"/>
      <c r="G783" s="1"/>
      <c r="J783" s="70"/>
      <c r="M783" s="1"/>
    </row>
    <row r="784">
      <c r="A784" s="1"/>
      <c r="G784" s="1"/>
      <c r="J784" s="70"/>
      <c r="M784" s="1"/>
    </row>
    <row r="785">
      <c r="A785" s="1"/>
      <c r="G785" s="1"/>
      <c r="J785" s="70"/>
      <c r="M785" s="1"/>
    </row>
    <row r="786">
      <c r="A786" s="1"/>
      <c r="G786" s="1"/>
      <c r="J786" s="70"/>
      <c r="M786" s="1"/>
    </row>
    <row r="787">
      <c r="A787" s="1"/>
      <c r="G787" s="1"/>
      <c r="J787" s="70"/>
      <c r="M787" s="1"/>
    </row>
    <row r="788">
      <c r="A788" s="1"/>
      <c r="G788" s="1"/>
      <c r="J788" s="70"/>
      <c r="M788" s="1"/>
    </row>
    <row r="789">
      <c r="A789" s="1"/>
      <c r="G789" s="1"/>
      <c r="J789" s="70"/>
      <c r="M789" s="1"/>
    </row>
    <row r="790">
      <c r="A790" s="1"/>
      <c r="G790" s="1"/>
      <c r="J790" s="70"/>
      <c r="M790" s="1"/>
    </row>
    <row r="791">
      <c r="A791" s="1"/>
      <c r="G791" s="1"/>
      <c r="J791" s="70"/>
      <c r="M791" s="1"/>
    </row>
    <row r="792">
      <c r="A792" s="1"/>
      <c r="G792" s="1"/>
      <c r="J792" s="70"/>
      <c r="M792" s="1"/>
    </row>
    <row r="793">
      <c r="A793" s="1"/>
      <c r="G793" s="1"/>
      <c r="J793" s="70"/>
      <c r="M793" s="1"/>
    </row>
    <row r="794">
      <c r="A794" s="1"/>
      <c r="G794" s="1"/>
      <c r="J794" s="70"/>
      <c r="M794" s="1"/>
    </row>
    <row r="795">
      <c r="A795" s="1"/>
      <c r="G795" s="1"/>
      <c r="J795" s="70"/>
      <c r="M795" s="1"/>
    </row>
    <row r="796">
      <c r="A796" s="1"/>
      <c r="G796" s="1"/>
      <c r="J796" s="70"/>
      <c r="M796" s="1"/>
    </row>
    <row r="797">
      <c r="A797" s="1"/>
      <c r="G797" s="1"/>
      <c r="J797" s="70"/>
      <c r="M797" s="1"/>
    </row>
    <row r="798">
      <c r="A798" s="1"/>
      <c r="G798" s="1"/>
      <c r="J798" s="70"/>
      <c r="M798" s="1"/>
    </row>
    <row r="799">
      <c r="A799" s="1"/>
      <c r="G799" s="1"/>
      <c r="J799" s="70"/>
      <c r="M799" s="1"/>
    </row>
    <row r="800">
      <c r="A800" s="1"/>
      <c r="G800" s="1"/>
      <c r="J800" s="70"/>
      <c r="M800" s="1"/>
      <c r="U800" s="64"/>
    </row>
    <row r="801">
      <c r="A801" s="1"/>
      <c r="G801" s="1"/>
      <c r="J801" s="70"/>
      <c r="M801" s="1"/>
      <c r="U801" s="64"/>
    </row>
    <row r="802">
      <c r="A802" s="1"/>
      <c r="G802" s="1"/>
      <c r="J802" s="70"/>
      <c r="M802" s="1"/>
      <c r="U802" s="64"/>
    </row>
    <row r="803">
      <c r="A803" s="1"/>
      <c r="G803" s="1"/>
      <c r="J803" s="70"/>
      <c r="M803" s="1"/>
      <c r="U803" s="64"/>
    </row>
    <row r="804">
      <c r="A804" s="1"/>
      <c r="G804" s="1"/>
      <c r="J804" s="70"/>
      <c r="M804" s="1"/>
      <c r="U804" s="64"/>
    </row>
    <row r="805">
      <c r="A805" s="1"/>
      <c r="G805" s="1"/>
      <c r="J805" s="70"/>
      <c r="M805" s="1"/>
      <c r="U805" s="64"/>
    </row>
    <row r="806">
      <c r="A806" s="1"/>
      <c r="G806" s="1"/>
      <c r="J806" s="70"/>
      <c r="M806" s="1"/>
      <c r="U806" s="64"/>
    </row>
    <row r="807">
      <c r="A807" s="1"/>
      <c r="G807" s="1"/>
      <c r="J807" s="70"/>
      <c r="M807" s="1"/>
      <c r="U807" s="64"/>
    </row>
    <row r="808">
      <c r="A808" s="1"/>
      <c r="G808" s="1"/>
      <c r="I808" s="64"/>
      <c r="J808" s="70"/>
      <c r="M808" s="1"/>
      <c r="U808" s="64"/>
    </row>
    <row r="809">
      <c r="A809" s="1"/>
      <c r="G809" s="1"/>
      <c r="I809" s="64"/>
      <c r="J809" s="70"/>
      <c r="M809" s="1"/>
      <c r="U809" s="64"/>
    </row>
    <row r="810">
      <c r="A810" s="1"/>
      <c r="G810" s="1"/>
      <c r="I810" s="64"/>
      <c r="J810" s="70"/>
      <c r="M810" s="1"/>
      <c r="U810" s="64"/>
    </row>
    <row r="811">
      <c r="A811" s="1"/>
      <c r="G811" s="1"/>
      <c r="I811" s="64"/>
      <c r="J811" s="70"/>
      <c r="M811" s="1"/>
      <c r="U811" s="64"/>
    </row>
    <row r="812">
      <c r="A812" s="1"/>
      <c r="G812" s="1"/>
      <c r="I812" s="64"/>
      <c r="J812" s="70"/>
      <c r="M812" s="1"/>
      <c r="U812" s="64"/>
    </row>
    <row r="813">
      <c r="A813" s="1"/>
      <c r="G813" s="1"/>
      <c r="I813" s="64"/>
      <c r="J813" s="70"/>
      <c r="M813" s="1"/>
      <c r="U813" s="64"/>
    </row>
    <row r="814">
      <c r="A814" s="1"/>
      <c r="G814" s="1"/>
      <c r="I814" s="64"/>
      <c r="J814" s="70"/>
      <c r="M814" s="1"/>
      <c r="U814" s="64"/>
    </row>
    <row r="815">
      <c r="A815" s="1"/>
      <c r="G815" s="1"/>
      <c r="I815" s="64"/>
      <c r="J815" s="70"/>
      <c r="M815" s="1"/>
    </row>
    <row r="816">
      <c r="A816" s="1"/>
      <c r="G816" s="1"/>
      <c r="I816" s="64"/>
      <c r="J816" s="70"/>
      <c r="M816" s="1"/>
    </row>
    <row r="817">
      <c r="A817" s="1"/>
      <c r="G817" s="1"/>
      <c r="I817" s="64"/>
      <c r="J817" s="70"/>
      <c r="M817" s="1"/>
    </row>
    <row r="818">
      <c r="A818" s="1"/>
      <c r="G818" s="1"/>
      <c r="I818" s="64"/>
      <c r="J818" s="70"/>
      <c r="M818" s="1"/>
    </row>
    <row r="819">
      <c r="A819" s="1"/>
      <c r="G819" s="1"/>
      <c r="I819" s="64"/>
      <c r="J819" s="70"/>
      <c r="M819" s="1"/>
    </row>
    <row r="820">
      <c r="A820" s="1"/>
      <c r="G820" s="1"/>
      <c r="I820" s="64"/>
      <c r="J820" s="70"/>
      <c r="M820" s="1"/>
    </row>
    <row r="821">
      <c r="A821" s="1"/>
      <c r="G821" s="1"/>
      <c r="I821" s="64"/>
      <c r="J821" s="70"/>
      <c r="M821" s="1"/>
    </row>
    <row r="822">
      <c r="A822" s="1"/>
      <c r="G822" s="1"/>
      <c r="I822" s="64"/>
      <c r="J822" s="70"/>
      <c r="M822" s="1"/>
    </row>
    <row r="823">
      <c r="A823" s="1"/>
      <c r="G823" s="1"/>
      <c r="I823" s="64"/>
      <c r="J823" s="70"/>
      <c r="M823" s="1"/>
    </row>
    <row r="824">
      <c r="A824" s="1"/>
      <c r="G824" s="1"/>
      <c r="J824" s="70"/>
      <c r="M824" s="1"/>
    </row>
    <row r="825">
      <c r="A825" s="1"/>
      <c r="G825" s="1"/>
      <c r="J825" s="70"/>
      <c r="M825" s="1"/>
    </row>
    <row r="826">
      <c r="A826" s="1"/>
      <c r="G826" s="1"/>
      <c r="J826" s="70"/>
      <c r="M826" s="1"/>
    </row>
    <row r="827">
      <c r="A827" s="1"/>
      <c r="G827" s="1"/>
      <c r="J827" s="70"/>
      <c r="M827" s="1"/>
    </row>
    <row r="828">
      <c r="A828" s="1"/>
      <c r="G828" s="1"/>
      <c r="J828" s="70"/>
      <c r="M828" s="1"/>
    </row>
    <row r="829">
      <c r="A829" s="1"/>
      <c r="G829" s="1"/>
      <c r="J829" s="70"/>
      <c r="M829" s="1"/>
    </row>
    <row r="830">
      <c r="A830" s="1"/>
      <c r="G830" s="1"/>
      <c r="J830" s="70"/>
      <c r="M830" s="1"/>
    </row>
    <row r="831">
      <c r="A831" s="1"/>
      <c r="G831" s="1"/>
      <c r="J831" s="70"/>
      <c r="M831" s="1"/>
    </row>
    <row r="832">
      <c r="A832" s="1"/>
      <c r="G832" s="1"/>
      <c r="J832" s="70"/>
      <c r="M832" s="1"/>
    </row>
    <row r="833">
      <c r="A833" s="1"/>
      <c r="G833" s="1"/>
      <c r="J833" s="70"/>
      <c r="M833" s="1"/>
    </row>
    <row r="834">
      <c r="A834" s="1"/>
      <c r="G834" s="1"/>
      <c r="J834" s="70"/>
      <c r="M834" s="1"/>
    </row>
    <row r="835">
      <c r="A835" s="1"/>
      <c r="G835" s="1"/>
      <c r="J835" s="70"/>
      <c r="M835" s="1"/>
    </row>
    <row r="836">
      <c r="A836" s="1"/>
      <c r="G836" s="1"/>
      <c r="J836" s="70"/>
      <c r="M836" s="1"/>
    </row>
    <row r="837">
      <c r="A837" s="1"/>
      <c r="G837" s="1"/>
      <c r="J837" s="70"/>
      <c r="M837" s="1"/>
    </row>
    <row r="838">
      <c r="A838" s="1"/>
      <c r="G838" s="1"/>
      <c r="J838" s="70"/>
      <c r="M838" s="1"/>
    </row>
    <row r="839">
      <c r="A839" s="1"/>
      <c r="G839" s="1"/>
      <c r="J839" s="70"/>
      <c r="M839" s="1"/>
    </row>
    <row r="840">
      <c r="A840" s="1"/>
      <c r="G840" s="1"/>
      <c r="J840" s="70"/>
      <c r="M840" s="1"/>
    </row>
    <row r="841">
      <c r="A841" s="1"/>
      <c r="G841" s="1"/>
      <c r="J841" s="70"/>
      <c r="M841" s="1"/>
    </row>
    <row r="842">
      <c r="A842" s="1"/>
      <c r="G842" s="1"/>
      <c r="J842" s="70"/>
      <c r="M842" s="1"/>
    </row>
    <row r="843">
      <c r="A843" s="1"/>
      <c r="G843" s="1"/>
      <c r="J843" s="70"/>
      <c r="M843" s="1"/>
    </row>
    <row r="844">
      <c r="A844" s="1"/>
      <c r="G844" s="1"/>
      <c r="J844" s="70"/>
      <c r="M844" s="1"/>
    </row>
    <row r="845">
      <c r="A845" s="1"/>
      <c r="G845" s="1"/>
      <c r="J845" s="70"/>
      <c r="M845" s="1"/>
    </row>
    <row r="846">
      <c r="A846" s="1"/>
      <c r="G846" s="1"/>
      <c r="J846" s="70"/>
      <c r="M846" s="1"/>
    </row>
    <row r="847">
      <c r="A847" s="1"/>
      <c r="G847" s="1"/>
      <c r="J847" s="70"/>
      <c r="M847" s="1"/>
    </row>
    <row r="848">
      <c r="A848" s="1"/>
      <c r="G848" s="1"/>
      <c r="J848" s="70"/>
      <c r="M848" s="1"/>
    </row>
    <row r="849">
      <c r="A849" s="1"/>
      <c r="G849" s="1"/>
      <c r="J849" s="70"/>
      <c r="M849" s="1"/>
    </row>
    <row r="850">
      <c r="A850" s="1"/>
      <c r="G850" s="1"/>
      <c r="J850" s="70"/>
      <c r="M850" s="1"/>
    </row>
    <row r="851">
      <c r="A851" s="1"/>
      <c r="G851" s="1"/>
      <c r="J851" s="70"/>
      <c r="M851" s="1"/>
    </row>
    <row r="852">
      <c r="A852" s="1"/>
      <c r="G852" s="1"/>
      <c r="J852" s="70"/>
      <c r="M852" s="1"/>
    </row>
    <row r="853">
      <c r="A853" s="1"/>
      <c r="G853" s="1"/>
      <c r="J853" s="70"/>
      <c r="M853" s="1"/>
    </row>
    <row r="854">
      <c r="A854" s="1"/>
      <c r="G854" s="1"/>
      <c r="J854" s="70"/>
      <c r="M854" s="1"/>
    </row>
    <row r="855">
      <c r="A855" s="1"/>
      <c r="G855" s="1"/>
      <c r="J855" s="70"/>
      <c r="M855" s="1"/>
    </row>
    <row r="856">
      <c r="A856" s="1"/>
      <c r="G856" s="1"/>
      <c r="J856" s="70"/>
      <c r="M856" s="1"/>
    </row>
    <row r="857">
      <c r="A857" s="1"/>
      <c r="G857" s="1"/>
      <c r="J857" s="70"/>
      <c r="M857" s="1"/>
    </row>
    <row r="858">
      <c r="A858" s="1"/>
      <c r="G858" s="1"/>
      <c r="J858" s="70"/>
      <c r="M858" s="1"/>
    </row>
    <row r="859">
      <c r="A859" s="1"/>
      <c r="G859" s="1"/>
      <c r="J859" s="70"/>
      <c r="M859" s="1"/>
    </row>
    <row r="860">
      <c r="A860" s="1"/>
      <c r="G860" s="1"/>
      <c r="J860" s="70"/>
      <c r="M860" s="1"/>
    </row>
    <row r="861">
      <c r="A861" s="1"/>
      <c r="G861" s="1"/>
      <c r="J861" s="70"/>
      <c r="M861" s="1"/>
    </row>
    <row r="862">
      <c r="A862" s="1"/>
      <c r="G862" s="1"/>
      <c r="J862" s="70"/>
      <c r="M862" s="1"/>
    </row>
    <row r="863">
      <c r="A863" s="1"/>
      <c r="G863" s="1"/>
      <c r="J863" s="70"/>
      <c r="M863" s="1"/>
    </row>
    <row r="864">
      <c r="A864" s="1"/>
      <c r="G864" s="1"/>
      <c r="J864" s="70"/>
      <c r="M864" s="1"/>
    </row>
    <row r="865">
      <c r="A865" s="1"/>
      <c r="G865" s="1"/>
      <c r="J865" s="70"/>
      <c r="M865" s="1"/>
    </row>
    <row r="866">
      <c r="A866" s="1"/>
      <c r="G866" s="1"/>
      <c r="J866" s="70"/>
      <c r="M866" s="1"/>
    </row>
    <row r="867">
      <c r="A867" s="1"/>
      <c r="G867" s="1"/>
      <c r="J867" s="70"/>
      <c r="M867" s="1"/>
    </row>
    <row r="868">
      <c r="A868" s="1"/>
      <c r="G868" s="1"/>
      <c r="J868" s="70"/>
      <c r="M868" s="1"/>
    </row>
    <row r="869">
      <c r="A869" s="1"/>
      <c r="G869" s="1"/>
      <c r="J869" s="70"/>
      <c r="M869" s="1"/>
    </row>
    <row r="870">
      <c r="A870" s="1"/>
      <c r="G870" s="1"/>
      <c r="J870" s="70"/>
      <c r="M870" s="1"/>
    </row>
    <row r="871">
      <c r="A871" s="1"/>
      <c r="G871" s="1"/>
      <c r="J871" s="70"/>
      <c r="M871" s="1"/>
    </row>
    <row r="872">
      <c r="A872" s="1"/>
      <c r="G872" s="1"/>
      <c r="J872" s="70"/>
      <c r="M872" s="1"/>
    </row>
    <row r="873">
      <c r="A873" s="1"/>
      <c r="G873" s="1"/>
      <c r="J873" s="70"/>
      <c r="M873" s="1"/>
    </row>
    <row r="874">
      <c r="A874" s="1"/>
      <c r="G874" s="1"/>
      <c r="J874" s="70"/>
      <c r="M874" s="1"/>
    </row>
    <row r="875">
      <c r="A875" s="1"/>
      <c r="G875" s="1"/>
      <c r="J875" s="70"/>
      <c r="M875" s="1"/>
    </row>
    <row r="876">
      <c r="A876" s="1"/>
      <c r="G876" s="1"/>
      <c r="J876" s="70"/>
      <c r="M876" s="1"/>
    </row>
    <row r="877">
      <c r="A877" s="1"/>
      <c r="G877" s="1"/>
      <c r="J877" s="70"/>
      <c r="M877" s="1"/>
    </row>
    <row r="878">
      <c r="A878" s="1"/>
      <c r="G878" s="1"/>
      <c r="J878" s="70"/>
      <c r="M878" s="1"/>
    </row>
    <row r="879">
      <c r="A879" s="1"/>
      <c r="G879" s="1"/>
      <c r="J879" s="70"/>
      <c r="M879" s="1"/>
    </row>
    <row r="880">
      <c r="A880" s="1"/>
      <c r="G880" s="1"/>
      <c r="I880" s="64"/>
      <c r="J880" s="70"/>
      <c r="M880" s="1"/>
    </row>
    <row r="881">
      <c r="A881" s="1"/>
      <c r="G881" s="1"/>
      <c r="I881" s="64"/>
      <c r="J881" s="70"/>
      <c r="M881" s="1"/>
    </row>
    <row r="882">
      <c r="A882" s="1"/>
      <c r="G882" s="1"/>
      <c r="I882" s="64"/>
      <c r="J882" s="70"/>
      <c r="M882" s="1"/>
    </row>
    <row r="883">
      <c r="A883" s="1"/>
      <c r="G883" s="1"/>
      <c r="I883" s="64"/>
      <c r="J883" s="70"/>
      <c r="M883" s="1"/>
    </row>
    <row r="884">
      <c r="A884" s="1"/>
      <c r="G884" s="1"/>
      <c r="I884" s="64"/>
      <c r="J884" s="70"/>
      <c r="M884" s="1"/>
    </row>
    <row r="885">
      <c r="A885" s="1"/>
      <c r="G885" s="1"/>
      <c r="I885" s="64"/>
      <c r="J885" s="70"/>
      <c r="M885" s="1"/>
    </row>
    <row r="886">
      <c r="A886" s="1"/>
      <c r="G886" s="1"/>
      <c r="I886" s="64"/>
      <c r="J886" s="70"/>
      <c r="M886" s="1"/>
    </row>
    <row r="887">
      <c r="A887" s="1"/>
      <c r="G887" s="1"/>
      <c r="I887" s="64"/>
      <c r="J887" s="70"/>
      <c r="M887" s="1"/>
      <c r="U887" s="64"/>
    </row>
    <row r="888">
      <c r="A888" s="1"/>
      <c r="G888" s="1"/>
      <c r="I888" s="64"/>
      <c r="J888" s="70"/>
      <c r="M888" s="1"/>
      <c r="U888" s="64"/>
    </row>
    <row r="889">
      <c r="A889" s="1"/>
      <c r="G889" s="1"/>
      <c r="I889" s="64"/>
      <c r="J889" s="70"/>
      <c r="M889" s="1"/>
      <c r="U889" s="64"/>
    </row>
    <row r="890">
      <c r="A890" s="1"/>
      <c r="G890" s="1"/>
      <c r="I890" s="64"/>
      <c r="J890" s="70"/>
      <c r="M890" s="1"/>
      <c r="U890" s="64"/>
    </row>
    <row r="891">
      <c r="A891" s="1"/>
      <c r="G891" s="1"/>
      <c r="I891" s="64"/>
      <c r="J891" s="70"/>
      <c r="M891" s="1"/>
      <c r="U891" s="64"/>
    </row>
    <row r="892">
      <c r="A892" s="1"/>
      <c r="G892" s="1"/>
      <c r="I892" s="64"/>
      <c r="J892" s="70"/>
      <c r="M892" s="1"/>
      <c r="U892" s="64"/>
    </row>
    <row r="893">
      <c r="A893" s="1"/>
      <c r="G893" s="1"/>
      <c r="I893" s="64"/>
      <c r="J893" s="70"/>
      <c r="M893" s="1"/>
      <c r="U893" s="64"/>
    </row>
    <row r="894">
      <c r="A894" s="1"/>
      <c r="G894" s="1"/>
      <c r="I894" s="64"/>
      <c r="J894" s="70"/>
      <c r="M894" s="1"/>
      <c r="U894" s="64"/>
    </row>
    <row r="895">
      <c r="A895" s="1"/>
      <c r="G895" s="1"/>
      <c r="I895" s="64"/>
      <c r="J895" s="70"/>
      <c r="M895" s="1"/>
      <c r="U895" s="64"/>
    </row>
    <row r="896">
      <c r="A896" s="1"/>
      <c r="G896" s="1"/>
      <c r="J896" s="70"/>
      <c r="M896" s="1"/>
      <c r="U896" s="64"/>
    </row>
    <row r="897">
      <c r="A897" s="1"/>
      <c r="G897" s="1"/>
      <c r="J897" s="70"/>
      <c r="M897" s="1"/>
      <c r="U897" s="64"/>
    </row>
    <row r="898">
      <c r="A898" s="1"/>
      <c r="G898" s="1"/>
      <c r="J898" s="70"/>
      <c r="M898" s="1"/>
      <c r="U898" s="64"/>
    </row>
    <row r="899">
      <c r="A899" s="1"/>
      <c r="G899" s="1"/>
      <c r="J899" s="70"/>
      <c r="M899" s="1"/>
      <c r="U899" s="64"/>
    </row>
    <row r="900">
      <c r="A900" s="1"/>
      <c r="G900" s="1"/>
      <c r="J900" s="70"/>
      <c r="M900" s="1"/>
      <c r="U900" s="64"/>
    </row>
    <row r="901">
      <c r="A901" s="1"/>
      <c r="G901" s="1"/>
      <c r="J901" s="70"/>
      <c r="M901" s="1"/>
      <c r="U901" s="64"/>
    </row>
    <row r="902">
      <c r="A902" s="1"/>
      <c r="G902" s="1"/>
      <c r="J902" s="70"/>
      <c r="M902" s="1"/>
    </row>
    <row r="903">
      <c r="A903" s="1"/>
      <c r="G903" s="1"/>
      <c r="J903" s="70"/>
      <c r="M903" s="1"/>
    </row>
    <row r="904">
      <c r="A904" s="1"/>
      <c r="G904" s="1"/>
      <c r="J904" s="70"/>
      <c r="M904" s="1"/>
    </row>
    <row r="905">
      <c r="A905" s="1"/>
      <c r="G905" s="1"/>
      <c r="J905" s="70"/>
      <c r="M905" s="1"/>
    </row>
    <row r="906">
      <c r="A906" s="1"/>
      <c r="G906" s="1"/>
      <c r="J906" s="70"/>
      <c r="M906" s="1"/>
    </row>
    <row r="907">
      <c r="A907" s="1"/>
      <c r="G907" s="1"/>
      <c r="J907" s="70"/>
      <c r="M907" s="1"/>
    </row>
    <row r="908">
      <c r="A908" s="1"/>
      <c r="G908" s="1"/>
      <c r="J908" s="70"/>
      <c r="M908" s="1"/>
    </row>
    <row r="909">
      <c r="A909" s="1"/>
      <c r="G909" s="1"/>
      <c r="J909" s="70"/>
      <c r="M909" s="1"/>
    </row>
    <row r="910">
      <c r="A910" s="1"/>
      <c r="G910" s="1"/>
      <c r="J910" s="70"/>
      <c r="M910" s="1"/>
    </row>
    <row r="911">
      <c r="A911" s="1"/>
      <c r="G911" s="1"/>
      <c r="J911" s="70"/>
      <c r="M911" s="1"/>
    </row>
    <row r="912">
      <c r="A912" s="1"/>
      <c r="G912" s="1"/>
      <c r="J912" s="70"/>
      <c r="M912" s="1"/>
    </row>
    <row r="913">
      <c r="A913" s="1"/>
      <c r="G913" s="1"/>
      <c r="J913" s="70"/>
      <c r="M913" s="1"/>
    </row>
    <row r="914">
      <c r="A914" s="1"/>
      <c r="G914" s="1"/>
      <c r="J914" s="70"/>
      <c r="M914" s="1"/>
    </row>
    <row r="915">
      <c r="A915" s="1"/>
      <c r="G915" s="1"/>
      <c r="J915" s="70"/>
      <c r="M915" s="1"/>
    </row>
    <row r="916">
      <c r="A916" s="1"/>
      <c r="G916" s="1"/>
      <c r="J916" s="70"/>
      <c r="M916" s="1"/>
    </row>
    <row r="917">
      <c r="A917" s="1"/>
      <c r="G917" s="1"/>
      <c r="J917" s="70"/>
      <c r="M917" s="1"/>
    </row>
    <row r="918">
      <c r="A918" s="1"/>
      <c r="G918" s="1"/>
      <c r="J918" s="70"/>
      <c r="M918" s="1"/>
    </row>
    <row r="919">
      <c r="A919" s="1"/>
      <c r="G919" s="1"/>
      <c r="J919" s="70"/>
      <c r="M919" s="1"/>
    </row>
    <row r="920">
      <c r="A920" s="1"/>
      <c r="G920" s="1"/>
      <c r="J920" s="70"/>
      <c r="M920" s="1"/>
    </row>
    <row r="921">
      <c r="A921" s="1"/>
      <c r="G921" s="1"/>
      <c r="J921" s="70"/>
      <c r="M921" s="1"/>
    </row>
    <row r="922">
      <c r="A922" s="1"/>
      <c r="G922" s="1"/>
      <c r="J922" s="70"/>
      <c r="M922" s="1"/>
    </row>
    <row r="923">
      <c r="A923" s="1"/>
      <c r="G923" s="1"/>
      <c r="J923" s="70"/>
      <c r="M923" s="1"/>
    </row>
    <row r="924">
      <c r="A924" s="1"/>
      <c r="G924" s="1"/>
      <c r="J924" s="70"/>
      <c r="M924" s="1"/>
    </row>
    <row r="925">
      <c r="A925" s="1"/>
      <c r="G925" s="1"/>
      <c r="J925" s="70"/>
      <c r="M925" s="1"/>
    </row>
    <row r="926">
      <c r="A926" s="1"/>
      <c r="G926" s="1"/>
      <c r="J926" s="70"/>
      <c r="M926" s="1"/>
    </row>
    <row r="927">
      <c r="A927" s="1"/>
      <c r="G927" s="1"/>
      <c r="J927" s="70"/>
      <c r="M927" s="1"/>
    </row>
    <row r="928">
      <c r="A928" s="1"/>
      <c r="G928" s="1"/>
      <c r="J928" s="70"/>
      <c r="M928" s="1"/>
    </row>
    <row r="929">
      <c r="A929" s="1"/>
      <c r="G929" s="1"/>
      <c r="J929" s="70"/>
      <c r="M929" s="1"/>
    </row>
    <row r="930">
      <c r="A930" s="1"/>
      <c r="G930" s="1"/>
      <c r="J930" s="70"/>
      <c r="M930" s="1"/>
    </row>
    <row r="931">
      <c r="A931" s="1"/>
      <c r="G931" s="1"/>
      <c r="J931" s="70"/>
      <c r="M931" s="1"/>
    </row>
    <row r="932">
      <c r="A932" s="1"/>
      <c r="G932" s="1"/>
      <c r="J932" s="70"/>
      <c r="M932" s="1"/>
    </row>
    <row r="933">
      <c r="A933" s="1"/>
      <c r="G933" s="1"/>
      <c r="J933" s="70"/>
      <c r="M933" s="1"/>
    </row>
    <row r="934">
      <c r="A934" s="1"/>
      <c r="G934" s="1"/>
      <c r="J934" s="70"/>
      <c r="M934" s="1"/>
    </row>
    <row r="935">
      <c r="A935" s="1"/>
      <c r="G935" s="1"/>
      <c r="J935" s="70"/>
      <c r="M935" s="1"/>
    </row>
    <row r="936">
      <c r="A936" s="1"/>
      <c r="G936" s="1"/>
      <c r="J936" s="70"/>
    </row>
    <row r="937">
      <c r="A937" s="1"/>
      <c r="G937" s="1"/>
      <c r="J937" s="70"/>
    </row>
    <row r="938">
      <c r="A938" s="1"/>
      <c r="G938" s="1"/>
      <c r="J938" s="70"/>
    </row>
    <row r="939">
      <c r="A939" s="1"/>
      <c r="G939" s="1"/>
      <c r="J939" s="70"/>
    </row>
    <row r="940">
      <c r="A940" s="1"/>
      <c r="G940" s="1"/>
      <c r="J940" s="70"/>
    </row>
    <row r="941">
      <c r="A941" s="1"/>
      <c r="G941" s="1"/>
      <c r="J941" s="70"/>
    </row>
    <row r="942">
      <c r="A942" s="1"/>
      <c r="G942" s="1"/>
      <c r="J942" s="70"/>
    </row>
    <row r="943">
      <c r="A943" s="1"/>
      <c r="G943" s="1"/>
      <c r="J943" s="70"/>
    </row>
    <row r="944">
      <c r="A944" s="1"/>
      <c r="G944" s="1"/>
      <c r="J944" s="70"/>
    </row>
    <row r="945">
      <c r="A945" s="1"/>
      <c r="G945" s="1"/>
      <c r="J945" s="70"/>
    </row>
    <row r="946">
      <c r="A946" s="1"/>
      <c r="G946" s="1"/>
      <c r="J946" s="70"/>
    </row>
    <row r="947">
      <c r="A947" s="1"/>
      <c r="G947" s="1"/>
      <c r="J947" s="70"/>
    </row>
    <row r="948">
      <c r="A948" s="1"/>
      <c r="G948" s="1"/>
      <c r="J948" s="70"/>
    </row>
    <row r="949">
      <c r="A949" s="1"/>
      <c r="G949" s="1"/>
      <c r="J949" s="70"/>
    </row>
    <row r="950">
      <c r="A950" s="1"/>
      <c r="G950" s="1"/>
      <c r="J950" s="70"/>
    </row>
    <row r="951">
      <c r="A951" s="1"/>
      <c r="G951" s="1"/>
      <c r="J951" s="70"/>
    </row>
    <row r="952">
      <c r="A952" s="1"/>
      <c r="G952" s="1"/>
      <c r="J952" s="70"/>
    </row>
    <row r="953">
      <c r="A953" s="1"/>
      <c r="G953" s="1"/>
      <c r="J953" s="70"/>
    </row>
    <row r="954">
      <c r="A954" s="1"/>
      <c r="G954" s="1"/>
      <c r="J954" s="70"/>
    </row>
    <row r="955">
      <c r="A955" s="1"/>
      <c r="G955" s="1"/>
      <c r="J955" s="70"/>
    </row>
    <row r="956">
      <c r="A956" s="1"/>
      <c r="G956" s="1"/>
      <c r="J956" s="70"/>
    </row>
    <row r="957">
      <c r="A957" s="1"/>
      <c r="G957" s="1"/>
      <c r="J957" s="70"/>
    </row>
    <row r="958">
      <c r="A958" s="1"/>
      <c r="G958" s="1"/>
      <c r="J958" s="70"/>
    </row>
    <row r="959">
      <c r="A959" s="1"/>
      <c r="G959" s="1"/>
      <c r="J959" s="70"/>
    </row>
    <row r="960">
      <c r="A960" s="1"/>
      <c r="G960" s="1"/>
      <c r="J960" s="70"/>
    </row>
    <row r="961">
      <c r="A961" s="1"/>
      <c r="G961" s="1"/>
      <c r="J961" s="70"/>
    </row>
    <row r="962">
      <c r="A962" s="1"/>
      <c r="G962" s="1"/>
      <c r="J962" s="70"/>
    </row>
    <row r="963">
      <c r="A963" s="1"/>
      <c r="G963" s="1"/>
      <c r="J963" s="70"/>
    </row>
    <row r="964">
      <c r="A964" s="1"/>
      <c r="G964" s="1"/>
      <c r="J964" s="70"/>
    </row>
    <row r="965">
      <c r="A965" s="1"/>
      <c r="G965" s="1"/>
      <c r="J965" s="70"/>
    </row>
    <row r="966">
      <c r="A966" s="1"/>
      <c r="G966" s="1"/>
      <c r="J966" s="70"/>
    </row>
    <row r="967">
      <c r="A967" s="1"/>
      <c r="G967" s="1"/>
      <c r="J967" s="70"/>
    </row>
    <row r="968">
      <c r="A968" s="1"/>
      <c r="G968" s="1"/>
      <c r="J968" s="70"/>
    </row>
    <row r="969">
      <c r="A969" s="1"/>
      <c r="G969" s="1"/>
      <c r="J969" s="70"/>
    </row>
    <row r="970">
      <c r="A970" s="1"/>
      <c r="G970" s="1"/>
      <c r="J970" s="70"/>
    </row>
    <row r="971">
      <c r="A971" s="1"/>
      <c r="G971" s="1"/>
      <c r="J971" s="70"/>
    </row>
    <row r="972">
      <c r="A972" s="1"/>
      <c r="G972" s="1"/>
      <c r="J972" s="70"/>
    </row>
    <row r="973">
      <c r="A973" s="1"/>
      <c r="G973" s="1"/>
      <c r="J973" s="70"/>
    </row>
    <row r="974">
      <c r="A974" s="1"/>
      <c r="G974" s="1"/>
      <c r="J974" s="70"/>
    </row>
    <row r="975">
      <c r="A975" s="1"/>
      <c r="G975" s="1"/>
      <c r="J975" s="70"/>
    </row>
    <row r="976">
      <c r="A976" s="1"/>
      <c r="G976" s="1"/>
      <c r="J976" s="70"/>
    </row>
    <row r="977">
      <c r="A977" s="1"/>
      <c r="G977" s="1"/>
      <c r="J977" s="70"/>
    </row>
    <row r="978">
      <c r="A978" s="1"/>
      <c r="G978" s="1"/>
      <c r="J978" s="70"/>
    </row>
    <row r="979">
      <c r="A979" s="1"/>
      <c r="G979" s="1"/>
      <c r="J979" s="70"/>
    </row>
    <row r="980">
      <c r="A980" s="1"/>
      <c r="G980" s="1"/>
      <c r="J980" s="70"/>
    </row>
    <row r="981">
      <c r="A981" s="1"/>
      <c r="G981" s="1"/>
      <c r="J981" s="70"/>
    </row>
    <row r="982">
      <c r="A982" s="1"/>
      <c r="G982" s="1"/>
      <c r="J982" s="70"/>
    </row>
    <row r="983">
      <c r="A983" s="1"/>
      <c r="G983" s="1"/>
      <c r="J983" s="70"/>
    </row>
    <row r="984">
      <c r="A984" s="1"/>
      <c r="G984" s="1"/>
      <c r="J984" s="70"/>
    </row>
    <row r="985">
      <c r="A985" s="1"/>
      <c r="G985" s="1"/>
      <c r="J985" s="70"/>
    </row>
    <row r="986">
      <c r="A986" s="1"/>
      <c r="G986" s="1"/>
      <c r="J986" s="70"/>
    </row>
    <row r="987">
      <c r="A987" s="1"/>
      <c r="G987" s="1"/>
      <c r="J987" s="70"/>
    </row>
    <row r="988">
      <c r="A988" s="1"/>
      <c r="G988" s="1"/>
      <c r="J988" s="70"/>
    </row>
    <row r="989">
      <c r="A989" s="1"/>
      <c r="G989" s="1"/>
      <c r="J989" s="70"/>
    </row>
    <row r="990">
      <c r="A990" s="1"/>
      <c r="G990" s="1"/>
      <c r="J990" s="70"/>
    </row>
    <row r="991">
      <c r="A991" s="1"/>
      <c r="G991" s="1"/>
      <c r="J991" s="70"/>
    </row>
    <row r="992">
      <c r="A992" s="1"/>
      <c r="G992" s="1"/>
      <c r="J992" s="70"/>
    </row>
    <row r="993">
      <c r="A993" s="1"/>
      <c r="G993" s="1"/>
      <c r="J993" s="70"/>
    </row>
    <row r="994">
      <c r="A994" s="1"/>
      <c r="G994" s="1"/>
      <c r="J994" s="70"/>
    </row>
    <row r="995">
      <c r="A995" s="1"/>
      <c r="G995" s="1"/>
      <c r="J995" s="70"/>
    </row>
    <row r="996">
      <c r="A996" s="1"/>
      <c r="G996" s="1"/>
      <c r="J996" s="70"/>
    </row>
    <row r="997">
      <c r="A997" s="1"/>
      <c r="G997" s="1"/>
      <c r="J997" s="70"/>
    </row>
    <row r="998">
      <c r="A998" s="1"/>
      <c r="G998" s="1"/>
      <c r="J998" s="70"/>
    </row>
    <row r="999">
      <c r="A999" s="1"/>
      <c r="G999" s="1"/>
      <c r="J999" s="70"/>
    </row>
    <row r="1000">
      <c r="A1000" s="1"/>
      <c r="G1000" s="1"/>
      <c r="J1000" s="70"/>
    </row>
    <row r="1001">
      <c r="A1001" s="1"/>
      <c r="G1001" s="1"/>
      <c r="J1001" s="70"/>
    </row>
    <row r="1002">
      <c r="A1002" s="1"/>
      <c r="G1002" s="1"/>
      <c r="J1002" s="70"/>
    </row>
    <row r="1003">
      <c r="A1003" s="1"/>
      <c r="G1003" s="1"/>
      <c r="J1003" s="70"/>
    </row>
    <row r="1004">
      <c r="A1004" s="1"/>
      <c r="G1004" s="1"/>
      <c r="J1004" s="70"/>
    </row>
    <row r="1005">
      <c r="A1005" s="1"/>
      <c r="G1005" s="1"/>
      <c r="J1005" s="70"/>
    </row>
    <row r="1006">
      <c r="A1006" s="1"/>
      <c r="G1006" s="1"/>
      <c r="J1006" s="70"/>
    </row>
  </sheetData>
  <mergeCells count="48">
    <mergeCell ref="BG11:BH15"/>
    <mergeCell ref="BM11:BN15"/>
    <mergeCell ref="Q11:R15"/>
    <mergeCell ref="W11:X15"/>
    <mergeCell ref="AC11:AD15"/>
    <mergeCell ref="AI11:AJ15"/>
    <mergeCell ref="AO11:AP15"/>
    <mergeCell ref="AU11:AV15"/>
    <mergeCell ref="BA11:BB15"/>
    <mergeCell ref="AR1:AV1"/>
    <mergeCell ref="AX1:BB1"/>
    <mergeCell ref="BD1:BH1"/>
    <mergeCell ref="BJ1:BN1"/>
    <mergeCell ref="BP1:BT1"/>
    <mergeCell ref="B1:F1"/>
    <mergeCell ref="H1:L1"/>
    <mergeCell ref="N1:R1"/>
    <mergeCell ref="T1:X1"/>
    <mergeCell ref="Z1:AD1"/>
    <mergeCell ref="AF1:AJ1"/>
    <mergeCell ref="AL1:AP1"/>
    <mergeCell ref="X3:X9"/>
    <mergeCell ref="AB3:AB9"/>
    <mergeCell ref="AD3:AD9"/>
    <mergeCell ref="AH3:AH9"/>
    <mergeCell ref="AJ3:AJ9"/>
    <mergeCell ref="AN3:AN9"/>
    <mergeCell ref="AP3:AP9"/>
    <mergeCell ref="BN3:BN9"/>
    <mergeCell ref="BR3:BR9"/>
    <mergeCell ref="BT3:BT9"/>
    <mergeCell ref="BS11:BT15"/>
    <mergeCell ref="AT3:AT9"/>
    <mergeCell ref="AV3:AV9"/>
    <mergeCell ref="AZ3:AZ9"/>
    <mergeCell ref="BB3:BB9"/>
    <mergeCell ref="BF3:BF9"/>
    <mergeCell ref="BH3:BH9"/>
    <mergeCell ref="BL3:BL9"/>
    <mergeCell ref="L3:L9"/>
    <mergeCell ref="K11:L15"/>
    <mergeCell ref="D3:D9"/>
    <mergeCell ref="F3:F9"/>
    <mergeCell ref="J3:J9"/>
    <mergeCell ref="P3:P9"/>
    <mergeCell ref="R3:R9"/>
    <mergeCell ref="V3:V9"/>
    <mergeCell ref="E11:F15"/>
  </mergeCells>
  <conditionalFormatting sqref="C17:C31 I17:I31 O17:O31 U17:U31 AA17:AA31 AG17:AG31 AM17:AM31 AS17:AS31 AY17:AY31 BE17:BE31 BK17:BK31 BQ17:BQ31 I88:I103 U104:U118 I160:I175 U191:U205 I232:I247 U278:U292 I304:I319 U365:U379 I376:I391 I448:I463 U452:U466 I520:I535 U539:U553 I592:I607 U626:U640 I664:I679 U713:U727 I736:I751 U800:U814 I808:I823 I880:I895 U887:U901">
    <cfRule type="notContainsBlanks" dxfId="0" priority="1">
      <formula>LEN(TRIM(C17))&gt;0</formula>
    </cfRule>
  </conditionalFormatting>
  <conditionalFormatting sqref="C17:C31 I17:I31 O17:O31 U17:U31 AA17:AA31 AG17:AG31 AM17:AM31 AS17:AS31 AY17:AY31 BE17:BE31 BK17:BK31 BQ17:BQ31 I88:I103 U104:U118 I160:I175 U191:U205 I232:I247 U278:U292 I304:I319 U365:U379 I376:I391 I448:I463 U452:U466 I520:I535 U539:U553 I592:I607 U626:U640 I664:I679 U713:U727 I736:I751 U800:U814 I808:I823 I880:I895 U887:U901">
    <cfRule type="containsBlanks" dxfId="1" priority="2">
      <formula>LEN(TRIM(C17))=0</formula>
    </cfRule>
  </conditionalFormatting>
  <conditionalFormatting sqref="D11:D15 J11:J15 P11:P15 V11:V15 AB11:AB15 AH11:AH15 AN11:AN15 AT11:AT15 AZ11:AZ15 BF11:BF15 BL11:BL15 BR11:BR15 D17:D31 J17:J31 P17:P31 V17:V31 AB17:AB31 AH17:AH31 AN17:AN31 AT17:AT31 AZ17:AZ31 BF17:BF31 BL17:BL31 BR17:BR31 J82:J86 V82:V86 J88:J103 V98:V102 V104:V118 BL111:BL115 J154:J158 J160:J175 V169:V173 V185:V189 V191:V205 J226:J230 J232:J247 V256:V260 V272:V276 V278:V292 J298:J302 J304:J319 V343:V347 V359:V363 V365:V379 J370:J374 J376:J391 V430:V434 J442:J446 V446:V450 J448:J463 V452:V466 J514:J518 V517:V521 J520:J535 V533:V537 V539:V553 J586:J590 J592:J607 V604:V608 V620:V624 V626:V640 J658:J662 J664:J679 V691:V695 V707:V711 V713:V727 J730:J734 J736:J751 V778:V782 V794:V798 V800:V814 J802:J806 J808:J823 V865:V869 J874:J878 J880:J895 V881:V885 V887:V901 V952:V956">
    <cfRule type="cellIs" dxfId="2" priority="3" operator="greaterThan">
      <formula>"6 + DAY(TODAY())"</formula>
    </cfRule>
  </conditionalFormatting>
  <conditionalFormatting sqref="B17:D162 E17:E19 F17:F162 H17:J1006 K17:K19 L17:M1006 N17:P115 Q17:Q19 R17:R115 T17:V174 W17:W19 X17:Y174 Z17:AB115 AC17:AC19 AD17:AD115 AF17:AH115 AI17:AI19 AJ17:AJ115 AL17:AN121 AO17:AO19 AP17:AP121 AR17:AT115 AU17:AU19 AV17:AV115 AX17:AZ115 BA17:BA19 BB17:BB115 BD17:BF156 BG17:BG19 BH17:BH156 BJ17:BL116 BM17:BM19 BN17:BN116 BP17:BR81 BS17:BS19 BT17:BT81 E21 K21 Q21 W21 AC21 AI21 AO21 AU21 BA21 BG21 BM21 BS21 E23:E25 K23:K25 Q23:Q25 W23:W25 AC23:AC25 AI23:AI25 AO23:AO25 AU23:AU25 BA23:BA25 BG23:BG25 BM23:BM25 BS23:BS25 E27 K27:K30 Q27 W27:W30 AC27 AI27:AI30 AO27 AU27:AU30 BA27 BG27:BG30 BM27 BS27:BS30 E29:E30 Q29:Q30 AC29:AC30 AO29:AO30 BA29:BA30 BM29:BM30 E32:E33 Q32:Q33 AC32:AC33 AO32:AO33 AU32:AU33 BA32:BA33 BG32:BG33 BM32:BM33 BS32:BS33 BA41:BA43 BA45 BA47 BA51 BA53:BA54 AI60:AI62 AI64 AI66:AI68 AU66:AU68 BG66:BG68 BS66:BS68 AI70:AI73 AU70:AU72 BG70:BG72 BS70:BS72 AO75:AO121 BM101:BM116 W104:W106 W108 W110:W112 W114:W117 K124:K1006 T191:V261 W191:W193 X191:Y261 W195 W197:W199 W201:W204 T278:V348 W278:W280 X278:Y348 W282 W284:W286 W288:W291 T365:V435 W365:W367 X365:Y435 W369 W371:W373 W375:W378 T452:V522 W452:W454 X452:Y522 W456 W458:W460 W462:W465 T539:V609 W539:W541 X539:Y609 W543 W545:W547 W549:W552 T626:V696 W626:W628 X626:Y696 W630 W632:W634 W636:W639 T713:V783 W713:W715 X713:Y783 W717 W719:W721 W723:W726 T800:V870 W800:W802 X800:Y870 W804 W806:W808 W810:W813 T887:V957 W887:W889 X887:Y957 W891 W893:W895 W897:W900">
    <cfRule type="cellIs" dxfId="3" priority="4" operator="equal">
      <formula>"WALKER"</formula>
    </cfRule>
  </conditionalFormatting>
  <conditionalFormatting sqref="C5 I5 O5 U5 AA5 AG5 AM5 AS5 AY5 BE5 BK5 BQ5 I76 U76 U92 BK105 I148 U163 U179 I220 U250 U266 I292 U337 U353 I364 U424 I436 U440 I508 U511 U527 I580 U598 U614 I652 U685 U701 I724 U772 U788 I796 U859 I868 U875 U946">
    <cfRule type="cellIs" dxfId="4" priority="5" operator="lessThan">
      <formula>0</formula>
    </cfRule>
  </conditionalFormatting>
  <conditionalFormatting sqref="B17:D162 E17:E19 F17:F162 H17:J1006 K17:K19 L17:M1006 N17:P115 Q17:Q19 R17:R115 T17:V174 W17:W19 X17:Y174 Z17:AB115 AC17:AC19 AD17:AD115 AF17:AH115 AI17:AI19 AJ17:AJ115 AL17:AN121 AO17:AO19 AP17:AP121 AR17:AT115 AU17:AU19 AV17:AV115 AX17:AZ115 BA17:BA19 BB17:BB115 BD17:BF156 BG17:BG19 BH17:BH156 BJ17:BL116 BM17:BM19 BN17:BN116 BP17:BR81 BS17:BS19 BT17:BT81 E21 K21 Q21 W21 AC21 AI21 AO21 AU21 BA21 BG21 BM21 BS21 E23:E25 K23:K25 Q23:Q25 W23:W25 AC23:AC25 AI23:AI25 AO23:AO25 AU23:AU25 BA23:BA25 BG23:BG25 BM23:BM25 BS23:BS25 E27 K27:K30 Q27 W27:W30 AC27 AI27:AI30 AO27 AU27:AU30 BA27 BG27:BG30 BM27 BS27:BS30 E29:E30 Q29:Q30 AC29:AC30 AO29:AO30 BA29:BA30 BM29:BM30 E32:E33 Q32:Q33 AC32:AC33 AO32:AO33 AU32:AU33 BA32:BA33 BG32:BG33 BM32:BM33 BS32:BS33 BA41:BA43 BA45 BA47 BA51 BA53:BA54 AI60:AI62 AI64 AI66:AI68 AU66:AU68 BG66:BG68 BS66:BS68 AI70:AI73 AU70:AU72 BG70:BG72 BS70:BS72 AO75:AO121 BM101:BM116 W104:W106 W108 W110:W112 W114:W117 K124:K1006 T191:V261 W191:W193 X191:Y261 W195 W197:W199 W201:W204 T278:V348 W278:W280 X278:Y348 W282 W284:W286 W288:W291 T365:V435 W365:W367 X365:Y435 W369 W371:W373 W375:W378 T452:V522 W452:W454 X452:Y522 W456 W458:W460 W462:W465 T539:V609 W539:W541 X539:Y609 W543 W545:W547 W549:W552 T626:V696 W626:W628 X626:Y696 W630 W632:W634 W636:W639 T713:V783 W713:W715 X713:Y783 W717 W719:W721 W723:W726 T800:V870 W800:W802 X800:Y870 W804 W806:W808 W810:W813 T887:V957 W887:W889 X887:Y957 W891 W893:W895 W897:W900">
    <cfRule type="cellIs" dxfId="5" priority="6" operator="equal">
      <formula>"DEA"</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6.0" topLeftCell="A17" activePane="bottomLeft" state="frozen"/>
      <selection activeCell="B18" sqref="B18" pane="bottomLeft"/>
    </sheetView>
  </sheetViews>
  <sheetFormatPr customHeight="1" defaultColWidth="12.63" defaultRowHeight="15.75"/>
  <cols>
    <col customWidth="1" min="1" max="1" width="21.0"/>
    <col customWidth="1" min="2" max="2" width="10.25"/>
    <col customWidth="1" min="3" max="3" width="5.13"/>
    <col customWidth="1" min="4" max="4" width="14.13"/>
    <col customWidth="1" min="5" max="5" width="10.25"/>
    <col customWidth="1" min="6" max="6" width="6.5"/>
    <col customWidth="1" min="7" max="7" width="21.0"/>
    <col customWidth="1" min="8" max="8" width="10.25"/>
    <col customWidth="1" min="9" max="9" width="5.13"/>
    <col customWidth="1" min="10" max="10" width="14.13"/>
    <col customWidth="1" min="11" max="11" width="10.25"/>
    <col customWidth="1" min="12" max="12" width="6.5"/>
    <col customWidth="1" min="13" max="13" width="21.0"/>
    <col customWidth="1" min="14" max="14" width="10.25"/>
    <col customWidth="1" min="15" max="15" width="5.13"/>
    <col customWidth="1" min="16" max="16" width="14.13"/>
    <col customWidth="1" min="17" max="17" width="10.25"/>
    <col customWidth="1" min="18" max="18" width="6.5"/>
    <col customWidth="1" min="19" max="19" width="21.0"/>
    <col customWidth="1" min="20" max="20" width="10.25"/>
    <col customWidth="1" min="21" max="21" width="5.13"/>
    <col customWidth="1" min="22" max="22" width="14.13"/>
    <col customWidth="1" min="23" max="23" width="10.25"/>
    <col customWidth="1" min="24" max="24" width="6.5"/>
    <col customWidth="1" min="25" max="25" width="21.0"/>
    <col customWidth="1" min="26" max="26" width="10.25"/>
    <col customWidth="1" min="27" max="27" width="5.13"/>
    <col customWidth="1" min="28" max="28" width="14.13"/>
    <col customWidth="1" min="29" max="29" width="10.25"/>
    <col customWidth="1" min="30" max="30" width="6.5"/>
    <col customWidth="1" min="31" max="31" width="21.0"/>
    <col customWidth="1" min="32" max="32" width="10.25"/>
    <col customWidth="1" min="33" max="33" width="5.13"/>
    <col customWidth="1" min="34" max="34" width="14.13"/>
    <col customWidth="1" min="35" max="35" width="10.25"/>
    <col customWidth="1" min="36" max="36" width="6.5"/>
    <col customWidth="1" min="37" max="37" width="21.0"/>
    <col customWidth="1" min="38" max="38" width="10.25"/>
    <col customWidth="1" min="39" max="39" width="5.13"/>
    <col customWidth="1" min="40" max="40" width="14.13"/>
    <col customWidth="1" min="41" max="41" width="10.25"/>
    <col customWidth="1" min="42" max="42" width="6.5"/>
    <col customWidth="1" min="43" max="43" width="29.88"/>
    <col customWidth="1" min="44" max="44" width="10.25"/>
    <col customWidth="1" min="45" max="45" width="5.13"/>
    <col customWidth="1" min="46" max="46" width="14.13"/>
    <col customWidth="1" min="47" max="47" width="10.25"/>
    <col customWidth="1" min="48" max="48" width="6.5"/>
    <col customWidth="1" min="49" max="49" width="21.0"/>
    <col customWidth="1" min="50" max="50" width="10.25"/>
    <col customWidth="1" min="51" max="51" width="5.13"/>
    <col customWidth="1" min="52" max="52" width="14.13"/>
    <col customWidth="1" min="53" max="53" width="10.25"/>
    <col customWidth="1" min="54" max="54" width="6.5"/>
    <col customWidth="1" min="55" max="55" width="21.0"/>
    <col customWidth="1" min="56" max="56" width="10.25"/>
    <col customWidth="1" min="57" max="57" width="5.13"/>
    <col customWidth="1" min="58" max="58" width="14.13"/>
    <col customWidth="1" min="59" max="59" width="10.25"/>
    <col customWidth="1" min="60" max="60" width="6.5"/>
    <col customWidth="1" min="61" max="61" width="21.0"/>
    <col customWidth="1" min="62" max="62" width="10.25"/>
    <col customWidth="1" min="63" max="63" width="5.13"/>
    <col customWidth="1" min="64" max="64" width="14.13"/>
    <col customWidth="1" min="65" max="65" width="10.25"/>
    <col customWidth="1" min="66" max="66" width="6.5"/>
    <col customWidth="1" min="67" max="67" width="21.63"/>
    <col customWidth="1" min="68" max="68" width="10.25"/>
    <col customWidth="1" min="69" max="69" width="5.13"/>
    <col customWidth="1" min="70" max="70" width="14.13"/>
    <col customWidth="1" min="71" max="71" width="10.25"/>
    <col customWidth="1" min="72" max="72" width="6.5"/>
  </cols>
  <sheetData>
    <row r="1">
      <c r="A1" s="3" t="s">
        <v>0</v>
      </c>
      <c r="F1" s="66"/>
      <c r="G1" s="2" t="s">
        <v>1</v>
      </c>
      <c r="L1" s="1"/>
      <c r="M1" s="3" t="s">
        <v>2</v>
      </c>
      <c r="R1" s="1"/>
      <c r="S1" s="2" t="s">
        <v>3</v>
      </c>
      <c r="X1" s="1"/>
      <c r="Y1" s="3" t="s">
        <v>4</v>
      </c>
      <c r="AD1" s="1"/>
      <c r="AE1" s="2" t="s">
        <v>5</v>
      </c>
      <c r="AJ1" s="1"/>
      <c r="AK1" s="3" t="s">
        <v>6</v>
      </c>
      <c r="AP1" s="1"/>
      <c r="AQ1" s="2" t="s">
        <v>7</v>
      </c>
      <c r="AV1" s="1"/>
      <c r="AW1" s="3" t="s">
        <v>8</v>
      </c>
      <c r="BB1" s="1"/>
      <c r="BC1" s="2" t="s">
        <v>9</v>
      </c>
      <c r="BH1" s="1"/>
      <c r="BI1" s="3" t="s">
        <v>10</v>
      </c>
      <c r="BN1" s="1"/>
      <c r="BO1" s="2" t="s">
        <v>11</v>
      </c>
      <c r="BT1" s="1"/>
    </row>
    <row r="2">
      <c r="A2" s="3"/>
      <c r="B2" s="3" t="s">
        <v>12</v>
      </c>
      <c r="C2" s="7" t="s">
        <v>13</v>
      </c>
      <c r="D2" s="3" t="s">
        <v>14</v>
      </c>
      <c r="E2" s="3" t="s">
        <v>412</v>
      </c>
      <c r="F2" s="1"/>
      <c r="G2" s="2"/>
      <c r="H2" s="2" t="s">
        <v>12</v>
      </c>
      <c r="I2" s="5" t="s">
        <v>13</v>
      </c>
      <c r="J2" s="2" t="s">
        <v>14</v>
      </c>
      <c r="K2" s="2" t="s">
        <v>412</v>
      </c>
      <c r="L2" s="1"/>
      <c r="M2" s="3"/>
      <c r="N2" s="3" t="s">
        <v>12</v>
      </c>
      <c r="O2" s="7" t="s">
        <v>13</v>
      </c>
      <c r="P2" s="3" t="s">
        <v>14</v>
      </c>
      <c r="Q2" s="3" t="s">
        <v>412</v>
      </c>
      <c r="R2" s="1"/>
      <c r="S2" s="2"/>
      <c r="T2" s="2" t="s">
        <v>12</v>
      </c>
      <c r="U2" s="5" t="s">
        <v>13</v>
      </c>
      <c r="V2" s="2" t="s">
        <v>14</v>
      </c>
      <c r="W2" s="2" t="s">
        <v>412</v>
      </c>
      <c r="X2" s="1"/>
      <c r="Y2" s="3"/>
      <c r="Z2" s="3" t="s">
        <v>12</v>
      </c>
      <c r="AA2" s="7" t="s">
        <v>13</v>
      </c>
      <c r="AB2" s="3" t="s">
        <v>14</v>
      </c>
      <c r="AC2" s="3" t="s">
        <v>412</v>
      </c>
      <c r="AD2" s="1"/>
      <c r="AE2" s="2"/>
      <c r="AF2" s="2" t="s">
        <v>12</v>
      </c>
      <c r="AG2" s="5" t="s">
        <v>13</v>
      </c>
      <c r="AH2" s="2" t="s">
        <v>14</v>
      </c>
      <c r="AI2" s="2" t="s">
        <v>412</v>
      </c>
      <c r="AJ2" s="1"/>
      <c r="AK2" s="3"/>
      <c r="AL2" s="3" t="s">
        <v>12</v>
      </c>
      <c r="AM2" s="7" t="s">
        <v>13</v>
      </c>
      <c r="AN2" s="3" t="s">
        <v>14</v>
      </c>
      <c r="AO2" s="3" t="s">
        <v>412</v>
      </c>
      <c r="AP2" s="1"/>
      <c r="AQ2" s="2"/>
      <c r="AR2" s="2" t="s">
        <v>12</v>
      </c>
      <c r="AS2" s="5" t="s">
        <v>13</v>
      </c>
      <c r="AT2" s="2" t="s">
        <v>14</v>
      </c>
      <c r="AU2" s="2" t="s">
        <v>412</v>
      </c>
      <c r="AV2" s="1"/>
      <c r="AW2" s="3"/>
      <c r="AX2" s="3" t="s">
        <v>12</v>
      </c>
      <c r="AY2" s="7" t="s">
        <v>13</v>
      </c>
      <c r="AZ2" s="3" t="s">
        <v>14</v>
      </c>
      <c r="BA2" s="3" t="s">
        <v>412</v>
      </c>
      <c r="BB2" s="1"/>
      <c r="BC2" s="2"/>
      <c r="BD2" s="2" t="s">
        <v>12</v>
      </c>
      <c r="BE2" s="5" t="s">
        <v>13</v>
      </c>
      <c r="BF2" s="2" t="s">
        <v>14</v>
      </c>
      <c r="BG2" s="2" t="s">
        <v>412</v>
      </c>
      <c r="BH2" s="1"/>
      <c r="BI2" s="3"/>
      <c r="BJ2" s="3" t="s">
        <v>12</v>
      </c>
      <c r="BK2" s="7" t="s">
        <v>13</v>
      </c>
      <c r="BL2" s="3" t="s">
        <v>14</v>
      </c>
      <c r="BM2" s="3" t="s">
        <v>412</v>
      </c>
      <c r="BN2" s="1"/>
      <c r="BO2" s="2"/>
      <c r="BP2" s="2" t="s">
        <v>12</v>
      </c>
      <c r="BQ2" s="5" t="s">
        <v>13</v>
      </c>
      <c r="BR2" s="2" t="s">
        <v>14</v>
      </c>
      <c r="BS2" s="2" t="s">
        <v>412</v>
      </c>
      <c r="BT2" s="1"/>
    </row>
    <row r="3">
      <c r="A3" s="9" t="s">
        <v>27</v>
      </c>
      <c r="B3" s="10">
        <f>SUMIF(D17:D203,"WALKER",B17:B203)</f>
        <v>6654.44</v>
      </c>
      <c r="C3" s="11">
        <f>sumif(E17:E197, "WALKER", B17:B197)</f>
        <v>16641.36</v>
      </c>
      <c r="D3" s="14" t="s">
        <v>28</v>
      </c>
      <c r="E3" s="13">
        <f>B7+B8 - (B10 - C3)</f>
        <v>0</v>
      </c>
      <c r="F3" s="1"/>
      <c r="G3" s="9" t="s">
        <v>27</v>
      </c>
      <c r="H3" s="10">
        <f>SUMIF(J17:J202,"WALKER",H17:H202)</f>
        <v>5688.99</v>
      </c>
      <c r="I3" s="11">
        <f>sumif(K17:K196, "WALKER", H17:H196)</f>
        <v>20852.92</v>
      </c>
      <c r="J3" s="12" t="s">
        <v>28</v>
      </c>
      <c r="K3" s="13">
        <f>H7+H8- (H10 - I3)</f>
        <v>0</v>
      </c>
      <c r="L3" s="1"/>
      <c r="M3" s="9" t="s">
        <v>27</v>
      </c>
      <c r="N3" s="10">
        <f>SUMIF(P17:P203,"WALKER",N17:N203)</f>
        <v>6177.24</v>
      </c>
      <c r="O3" s="11">
        <f>sumif(Q17:Q197, "WALKER", N17:N197)</f>
        <v>13895.39</v>
      </c>
      <c r="P3" s="14" t="s">
        <v>28</v>
      </c>
      <c r="Q3" s="13">
        <f>N7+N8 - (N10 - O3)</f>
        <v>0</v>
      </c>
      <c r="R3" s="1"/>
      <c r="S3" s="9" t="s">
        <v>27</v>
      </c>
      <c r="T3" s="10">
        <f>SUMIF(V17:V202,"WALKER",T17:T202)</f>
        <v>5757.84</v>
      </c>
      <c r="U3" s="11">
        <f>sumif(W17:W196, "WALKER", T17:T196)</f>
        <v>18760.13</v>
      </c>
      <c r="V3" s="12" t="s">
        <v>28</v>
      </c>
      <c r="W3" s="13">
        <f>T7+T8- (T10 - U3)</f>
        <v>0</v>
      </c>
      <c r="X3" s="1"/>
      <c r="Y3" s="9" t="s">
        <v>27</v>
      </c>
      <c r="Z3" s="10">
        <f>SUMIF(AB17:AB203,"WALKER",Z17:Z203)</f>
        <v>7536.2</v>
      </c>
      <c r="AA3" s="11">
        <f>sumif(AC17:AC197, "WALKER", Z17:Z197)</f>
        <v>21898.44</v>
      </c>
      <c r="AB3" s="14" t="s">
        <v>28</v>
      </c>
      <c r="AC3" s="13">
        <f>Z7+Z8 - (Z10 - AA3)</f>
        <v>0</v>
      </c>
      <c r="AD3" s="1"/>
      <c r="AE3" s="9" t="s">
        <v>27</v>
      </c>
      <c r="AF3" s="10">
        <f>SUMIF(AH17:AH202,"WALKER",AF17:AF202)</f>
        <v>5195.51</v>
      </c>
      <c r="AG3" s="11">
        <f>sumif(AI17:AI196, "WALKER", AF17:AF196)</f>
        <v>16337.92</v>
      </c>
      <c r="AH3" s="12" t="s">
        <v>28</v>
      </c>
      <c r="AI3" s="13">
        <f>AF7+AF8- (AF10 - AG3)</f>
        <v>0</v>
      </c>
      <c r="AJ3" s="1"/>
      <c r="AK3" s="9" t="s">
        <v>27</v>
      </c>
      <c r="AL3" s="10">
        <f>SUMIF(AN17:AN203,"WALKER",AL17:AL203)</f>
        <v>7133.08</v>
      </c>
      <c r="AM3" s="11">
        <f>sumif(AO17:AO197, "WALKER", AL17:AL197)</f>
        <v>19900.03</v>
      </c>
      <c r="AN3" s="14" t="s">
        <v>28</v>
      </c>
      <c r="AO3" s="13">
        <f>AL7+AL8 - (AL10 - AM3)</f>
        <v>0</v>
      </c>
      <c r="AP3" s="1"/>
      <c r="AQ3" s="9" t="s">
        <v>27</v>
      </c>
      <c r="AR3" s="10">
        <f>SUMIF(AT17:AT202,"WALKER",AR17:AR202)</f>
        <v>14518.69</v>
      </c>
      <c r="AS3" s="11">
        <f>sumif(AU17:AU196, "WALKER", AR17:AR196)</f>
        <v>24726.27</v>
      </c>
      <c r="AT3" s="12" t="s">
        <v>28</v>
      </c>
      <c r="AU3" s="13">
        <f>AR7+AR8- (AR10 - AS3)</f>
        <v>0</v>
      </c>
      <c r="AV3" s="1"/>
      <c r="AW3" s="9" t="s">
        <v>27</v>
      </c>
      <c r="AX3" s="10">
        <f>SUMIF(AZ17:AZ203,"WALKER",AX17:AX203)</f>
        <v>3479.47</v>
      </c>
      <c r="AY3" s="11">
        <f>sumif(BA17:BA197, "WALKER", AX17:AX197)</f>
        <v>10695.29</v>
      </c>
      <c r="AZ3" s="14" t="s">
        <v>28</v>
      </c>
      <c r="BA3" s="13">
        <f>AX7+AX8 - (AX10 - AY3)</f>
        <v>0</v>
      </c>
      <c r="BB3" s="1"/>
      <c r="BC3" s="9" t="s">
        <v>27</v>
      </c>
      <c r="BD3" s="10">
        <f>SUMIF(BF17:BF202,"WALKER",BD17:BD202)</f>
        <v>10015.85</v>
      </c>
      <c r="BE3" s="11">
        <f>sumif(BG17:BG196, "WALKER", BD17:BD196)</f>
        <v>26795.26</v>
      </c>
      <c r="BF3" s="12" t="s">
        <v>28</v>
      </c>
      <c r="BG3" s="13">
        <f>BD7+BD8- (BD10 - BE3)</f>
        <v>0</v>
      </c>
      <c r="BH3" s="1"/>
      <c r="BI3" s="9" t="s">
        <v>27</v>
      </c>
      <c r="BJ3" s="10">
        <f>SUMIF(BL17:BL203,"WALKER",BJ17:BJ203)</f>
        <v>15774.18</v>
      </c>
      <c r="BK3" s="11">
        <f>sumif(BM17:BM197, "WALKER", BJ17:BJ197)</f>
        <v>35684.54</v>
      </c>
      <c r="BL3" s="14" t="s">
        <v>28</v>
      </c>
      <c r="BM3" s="13">
        <f>BJ7+BJ8 - (BJ10 - BK3)</f>
        <v>0</v>
      </c>
      <c r="BN3" s="1"/>
      <c r="BO3" s="9" t="s">
        <v>27</v>
      </c>
      <c r="BP3" s="10">
        <f>SUMIF(BR17:BR202,"WALKER",BP17:BP202)</f>
        <v>6888.07</v>
      </c>
      <c r="BQ3" s="11">
        <f>sumif(BS17:BS196, "WALKER", BP17:BP196)</f>
        <v>34921.67</v>
      </c>
      <c r="BR3" s="12" t="s">
        <v>28</v>
      </c>
      <c r="BS3" s="13">
        <f>BP7+BP8- (BP10 - BQ3)</f>
        <v>0</v>
      </c>
      <c r="BT3" s="1"/>
    </row>
    <row r="4">
      <c r="A4" s="9" t="s">
        <v>29</v>
      </c>
      <c r="B4" s="15">
        <f>SUMIF(D17:D203, "WALKER",B17:B203) + 0.6 * SUMIF(D17:D203, "AMBOS",B17:B203) + 0.4 * SUMIF(D17:D203, "AMBOS_I",B17:B203) </f>
        <v>13015.328</v>
      </c>
      <c r="D4" s="14" t="s">
        <v>30</v>
      </c>
      <c r="F4" s="1"/>
      <c r="G4" s="9" t="s">
        <v>29</v>
      </c>
      <c r="H4" s="15">
        <f>SUMIF(J17:J202, "WALKER",H17:H202) + 0.6 * SUMIF(J17:J202, "AMBOS",H17:H202) + 0.4 * SUMIF(J17:J202, "AMBOS_I",H17:H202) </f>
        <v>15372.63</v>
      </c>
      <c r="J4" s="12" t="s">
        <v>30</v>
      </c>
      <c r="L4" s="1"/>
      <c r="M4" s="9" t="s">
        <v>29</v>
      </c>
      <c r="N4" s="15">
        <f>SUMIF(P17:P203, "WALKER",N17:N203) + 0.6 * SUMIF(P17:P203, "AMBOS",N17:N203) + 0.4 * SUMIF(P17:P203, "AMBOS_I",N17:N203) </f>
        <v>11361.962</v>
      </c>
      <c r="P4" s="14" t="s">
        <v>30</v>
      </c>
      <c r="R4" s="1"/>
      <c r="S4" s="9" t="s">
        <v>29</v>
      </c>
      <c r="T4" s="15">
        <f>SUMIF(V17:V202, "WALKER",T17:T202) + 0.6 * SUMIF(V17:V202, "AMBOS",T17:T202) + 0.4 * SUMIF(V17:V202, "AMBOS_I",T17:T202) </f>
        <v>13893.282</v>
      </c>
      <c r="V4" s="12" t="s">
        <v>30</v>
      </c>
      <c r="X4" s="1"/>
      <c r="Y4" s="9" t="s">
        <v>29</v>
      </c>
      <c r="Z4" s="15">
        <f>SUMIF(AB17:AB203, "WALKER",Z17:Z203) + 0.6 * SUMIF(AB17:AB203, "AMBOS",Z17:Z203) + 0.4 * SUMIF(AB17:AB203, "AMBOS_I",Z17:Z203) </f>
        <v>15080.726</v>
      </c>
      <c r="AB4" s="14" t="s">
        <v>30</v>
      </c>
      <c r="AD4" s="1"/>
      <c r="AE4" s="9" t="s">
        <v>29</v>
      </c>
      <c r="AF4" s="15">
        <f>SUMIF(AH17:AH202, "WALKER",AF17:AF202) + 0.6 * SUMIF(AH17:AH202, "AMBOS",AF17:AF202) + 0.4 * SUMIF(AH17:AH202, "AMBOS_I",AF17:AF202) </f>
        <v>11968.062</v>
      </c>
      <c r="AH4" s="12" t="s">
        <v>30</v>
      </c>
      <c r="AJ4" s="1"/>
      <c r="AK4" s="9" t="s">
        <v>29</v>
      </c>
      <c r="AL4" s="15">
        <f>SUMIF(AN17:AN203, "WALKER",AL17:AL203) + 0.6 * SUMIF(AN17:AN203, "AMBOS",AL17:AL203) + 0.4 * SUMIF(AN17:AN203, "AMBOS_I",AL17:AL203) </f>
        <v>15281.32</v>
      </c>
      <c r="AN4" s="14" t="s">
        <v>30</v>
      </c>
      <c r="AP4" s="1"/>
      <c r="AQ4" s="9" t="s">
        <v>29</v>
      </c>
      <c r="AR4" s="15">
        <f>SUMIF(AT17:AT202, "WALKER",AR17:AR202) + 0.6 * SUMIF(AT17:AT202, "AMBOS",AR17:AR202) + 0.4 * SUMIF(AT17:AT202, "AMBOS_I",AR17:AR202) </f>
        <v>21174.868</v>
      </c>
      <c r="AT4" s="12" t="s">
        <v>30</v>
      </c>
      <c r="AV4" s="1"/>
      <c r="AW4" s="9" t="s">
        <v>29</v>
      </c>
      <c r="AX4" s="15">
        <f>SUMIF(AZ17:AZ203, "WALKER",AX17:AX203) + 0.6 * SUMIF(AZ17:AZ203, "AMBOS",AX17:AX203) + 0.4 * SUMIF(AZ17:AZ203, "AMBOS_I",AX17:AX203) </f>
        <v>8593.462</v>
      </c>
      <c r="AZ4" s="14" t="s">
        <v>30</v>
      </c>
      <c r="BB4" s="1"/>
      <c r="BC4" s="9" t="s">
        <v>29</v>
      </c>
      <c r="BD4" s="15">
        <f>SUMIF(BF17:BF202, "WALKER",BD17:BD202) + 0.6 * SUMIF(BF17:BF202, "AMBOS",BD17:BD202) + 0.4 * SUMIF(BF17:BF202, "AMBOS_I",BD17:BD202) </f>
        <v>19699.67</v>
      </c>
      <c r="BF4" s="12" t="s">
        <v>30</v>
      </c>
      <c r="BH4" s="1"/>
      <c r="BI4" s="9" t="s">
        <v>29</v>
      </c>
      <c r="BJ4" s="15">
        <f>SUMIF(BL17:BL203, "WALKER",BJ17:BJ203) + 0.6 * SUMIF(BL17:BL203, "AMBOS",BJ17:BJ203) + 0.4 * SUMIF(BL17:BL203, "AMBOS_I",BJ17:BJ203) </f>
        <v>28038.396</v>
      </c>
      <c r="BL4" s="14" t="s">
        <v>30</v>
      </c>
      <c r="BN4" s="1"/>
      <c r="BO4" s="9" t="s">
        <v>29</v>
      </c>
      <c r="BP4" s="15">
        <f>SUMIF(BR17:BR202, "WALKER",BP17:BP202) + 0.6 * SUMIF(BR17:BR202, "AMBOS",BP17:BP202) + 0.4 * SUMIF(BR17:BR202, "AMBOS_I",BP17:BP202) </f>
        <v>26150.546</v>
      </c>
      <c r="BR4" s="12" t="s">
        <v>30</v>
      </c>
      <c r="BT4" s="1"/>
    </row>
    <row r="5">
      <c r="A5" s="16" t="s">
        <v>31</v>
      </c>
      <c r="B5" s="17">
        <f>SUMIFS(B17:B203,D17:D203, "DEA",E17:E203, "WALKER") + 0.4*SUMIFS(B17:B203,D17:D203,"AMBOS",E17:E203, "WALKER") + 0.6*SUMIFS(B17:B203,D17:D203,"AMBOS_I",E17:E203, "WALKER") - (SUMIFS(B17:B203,D17:D203,"WALKER",E17:E203, "DEA") + 0.6*SUMIFS(B17:B203,D17:D203,"AMBOS",E17:E203, "DEA") + 0.4*SUMIFS(B17:B203,D17:D203,"AMBOS_I",E17:E203, "DEA"))</f>
        <v>3626.032</v>
      </c>
      <c r="D5" s="14" t="s">
        <v>32</v>
      </c>
      <c r="F5" s="1"/>
      <c r="G5" s="16" t="s">
        <v>31</v>
      </c>
      <c r="H5" s="17">
        <f>SUMIFS(H17:H202,J17:J202, "DEA",K17:K202, "WALKER") + 0.4*SUMIFS(H17:H202,J17:J202,"AMBOS",K17:K202, "WALKER") + 0.6*SUMIFS(H17:H202,J17:J202,"AMBOS_I",K17:K202, "WALKER") - (SUMIFS(H17:H202,J17:J202,"WALKER",K17:K202, "DEA") + 0.6*SUMIFS(H17:H202,J17:J202,"AMBOS",K17:K202, "DEA") + 0.4*SUMIFS(H17:H202,J17:J202,"AMBOS_I",K17:K202, "DEA"))</f>
        <v>5480.29</v>
      </c>
      <c r="J5" s="12" t="s">
        <v>32</v>
      </c>
      <c r="L5" s="1"/>
      <c r="M5" s="16" t="s">
        <v>31</v>
      </c>
      <c r="N5" s="17">
        <f>SUMIFS(N17:N203,P17:P203, "DEA",Q17:Q203, "WALKER") + 0.4*SUMIFS(N17:N203,P17:P203,"AMBOS",Q17:Q203, "WALKER") + 0.6*SUMIFS(N17:N203,P17:P203,"AMBOS_I",Q17:Q203, "WALKER") - (SUMIFS(N17:N203,P17:P203,"WALKER",Q17:Q203, "DEA") + 0.6*SUMIFS(N17:N203,P17:P203,"AMBOS",Q17:Q203, "DEA") + 0.4*SUMIFS(N17:N203,P17:P203,"AMBOS_I",Q17:Q203, "DEA"))</f>
        <v>2533.428</v>
      </c>
      <c r="P5" s="14" t="s">
        <v>32</v>
      </c>
      <c r="R5" s="1"/>
      <c r="S5" s="16" t="s">
        <v>31</v>
      </c>
      <c r="T5" s="17">
        <f>SUMIFS(T17:T202,V17:V202, "DEA",W17:W202, "WALKER") + 0.4*SUMIFS(T17:T202,V17:V202,"AMBOS",W17:W202, "WALKER") + 0.6*SUMIFS(T17:T202,V17:V202,"AMBOS_I",W17:W202, "WALKER") - (SUMIFS(T17:T202,V17:V202,"WALKER",W17:W202, "DEA") + 0.6*SUMIFS(T17:T202,V17:V202,"AMBOS",W17:W202, "DEA") + 0.4*SUMIFS(T17:T202,V17:V202,"AMBOS_I",W17:W202, "DEA"))</f>
        <v>4866.848</v>
      </c>
      <c r="V5" s="12" t="s">
        <v>32</v>
      </c>
      <c r="X5" s="1"/>
      <c r="Y5" s="16" t="s">
        <v>31</v>
      </c>
      <c r="Z5" s="17">
        <f>SUMIFS(Z17:Z203,AB17:AB203, "DEA",AC17:AC203, "WALKER") + 0.4*SUMIFS(Z17:Z203,AB17:AB203,"AMBOS",AC17:AC203, "WALKER") + 0.6*SUMIFS(Z17:Z203,AB17:AB203,"AMBOS_I",AC17:AC203, "WALKER") - (SUMIFS(Z17:Z203,AB17:AB203,"WALKER",AC17:AC203, "DEA") + 0.6*SUMIFS(Z17:Z203,AB17:AB203,"AMBOS",AC17:AC203, "DEA") + 0.4*SUMIFS(Z17:Z203,AB17:AB203,"AMBOS_I",AC17:AC203, "DEA"))</f>
        <v>6817.714</v>
      </c>
      <c r="AB5" s="14" t="s">
        <v>32</v>
      </c>
      <c r="AD5" s="1"/>
      <c r="AE5" s="16" t="s">
        <v>31</v>
      </c>
      <c r="AF5" s="17">
        <f>SUMIFS(AF17:AF202,AH17:AH202, "DEA",AI17:AI202, "WALKER") + 0.4*SUMIFS(AF17:AF202,AH17:AH202,"AMBOS",AI17:AI202, "WALKER") + 0.6*SUMIFS(AF17:AF202,AH17:AH202,"AMBOS_I",AI17:AI202, "WALKER") - (SUMIFS(AF17:AF202,AH17:AH202,"WALKER",AI17:AI202, "DEA") + 0.6*SUMIFS(AF17:AF202,AH17:AH202,"AMBOS",AI17:AI202, "DEA") + 0.4*SUMIFS(AF17:AF202,AH17:AH202,"AMBOS_I",AI17:AI202, "DEA"))</f>
        <v>4369.858</v>
      </c>
      <c r="AH5" s="12" t="s">
        <v>32</v>
      </c>
      <c r="AJ5" s="1"/>
      <c r="AK5" s="16" t="s">
        <v>31</v>
      </c>
      <c r="AL5" s="17">
        <f>SUMIFS(AL17:AL203,AN17:AN203, "DEA",AO17:AO203, "WALKER") + 0.4*SUMIFS(AL17:AL203,AN17:AN203,"AMBOS",AO17:AO203, "WALKER") + 0.6*SUMIFS(AL17:AL203,AN17:AN203,"AMBOS_I",AO17:AO203, "WALKER") - (SUMIFS(AL17:AL203,AN17:AN203,"WALKER",AO17:AO203, "DEA") + 0.6*SUMIFS(AL17:AL203,AN17:AN203,"AMBOS",AO17:AO203, "DEA") + 0.4*SUMIFS(AL17:AL203,AN17:AN203,"AMBOS_I",AO17:AO203, "DEA"))</f>
        <v>4618.71</v>
      </c>
      <c r="AN5" s="14" t="s">
        <v>32</v>
      </c>
      <c r="AP5" s="1"/>
      <c r="AQ5" s="16" t="s">
        <v>31</v>
      </c>
      <c r="AR5" s="17">
        <f>SUMIFS(AR17:AR202,AT17:AT202, "DEA",AU17:AU202, "WALKER") + 0.4*SUMIFS(AR17:AR202,AT17:AT202,"AMBOS",AU17:AU202, "WALKER") + 0.6*SUMIFS(AR17:AR202,AT17:AT202,"AMBOS_I",AU17:AU202, "WALKER") - (SUMIFS(AR17:AR202,AT17:AT202,"WALKER",AU17:AU202, "DEA") + 0.6*SUMIFS(AR17:AR202,AT17:AT202,"AMBOS",AU17:AU202, "DEA") + 0.4*SUMIFS(AR17:AR202,AT17:AT202,"AMBOS_I",AU17:AU202, "DEA"))</f>
        <v>3551.402</v>
      </c>
      <c r="AT5" s="12" t="s">
        <v>32</v>
      </c>
      <c r="AV5" s="1"/>
      <c r="AW5" s="16" t="s">
        <v>31</v>
      </c>
      <c r="AX5" s="17">
        <f>SUMIFS(AX17:AX203,AZ17:AZ203, "DEA",BA17:BA203, "WALKER") + 0.4*SUMIFS(AX17:AX203,AZ17:AZ203,"AMBOS",BA17:BA203, "WALKER") + 0.6*SUMIFS(AX17:AX203,AZ17:AZ203,"AMBOS_I",BA17:BA203, "WALKER") - (SUMIFS(AX17:AX203,AZ17:AZ203,"WALKER",BA17:BA203, "DEA") + 0.6*SUMIFS(AX17:AX203,AZ17:AZ203,"AMBOS",BA17:BA203, "DEA") + 0.4*SUMIFS(AX17:AX203,AZ17:AZ203,"AMBOS_I",BA17:BA203, "DEA"))</f>
        <v>2101.828</v>
      </c>
      <c r="AZ5" s="14" t="s">
        <v>32</v>
      </c>
      <c r="BB5" s="1"/>
      <c r="BC5" s="16" t="s">
        <v>31</v>
      </c>
      <c r="BD5" s="17">
        <f>SUMIFS(BD17:BD202,BF17:BF202, "DEA",BG17:BG202, "WALKER") + 0.4*SUMIFS(BD17:BD202,BF17:BF202,"AMBOS",BG17:BG202, "WALKER") + 0.6*SUMIFS(BD17:BD202,BF17:BF202,"AMBOS_I",BG17:BG202, "WALKER") - (SUMIFS(BD17:BD202,BF17:BF202,"WALKER",BG17:BG202, "DEA") + 0.6*SUMIFS(BD17:BD202,BF17:BF202,"AMBOS",BG17:BG202, "DEA") + 0.4*SUMIFS(BD17:BD202,BF17:BF202,"AMBOS_I",BG17:BG202, "DEA"))</f>
        <v>7095.59</v>
      </c>
      <c r="BF5" s="12" t="s">
        <v>32</v>
      </c>
      <c r="BH5" s="1"/>
      <c r="BI5" s="16" t="s">
        <v>31</v>
      </c>
      <c r="BJ5" s="17">
        <f>SUMIFS(BJ17:BJ203,BL17:BL203, "DEA",BM17:BM203, "WALKER") + 0.4*SUMIFS(BJ17:BJ203,BL17:BL203,"AMBOS",BM17:BM203, "WALKER") + 0.6*SUMIFS(BJ17:BJ203,BL17:BL203,"AMBOS_I",BM17:BM203, "WALKER") - (SUMIFS(BJ17:BJ203,BL17:BL203,"WALKER",BM17:BM203, "DEA") + 0.6*SUMIFS(BJ17:BJ203,BL17:BL203,"AMBOS",BM17:BM203, "DEA") + 0.4*SUMIFS(BJ17:BJ203,BL17:BL203,"AMBOS_I",BM17:BM203, "DEA"))</f>
        <v>7646.144</v>
      </c>
      <c r="BL5" s="14" t="s">
        <v>32</v>
      </c>
      <c r="BN5" s="1"/>
      <c r="BO5" s="16" t="s">
        <v>31</v>
      </c>
      <c r="BP5" s="17">
        <f>SUMIFS(BP17:BP202,BR17:BR202, "DEA",BS17:BS202, "WALKER") + 0.4*SUMIFS(BP17:BP202,BR17:BR202,"AMBOS",BS17:BS202, "WALKER") + 0.6*SUMIFS(BP17:BP202,BR17:BR202,"AMBOS_I",BS17:BS202, "WALKER") - (SUMIFS(BP17:BP202,BR17:BR202,"WALKER",BS17:BS202, "DEA") + 0.6*SUMIFS(BP17:BP202,BR17:BR202,"AMBOS",BS17:BS202, "DEA") + 0.4*SUMIFS(BP17:BP202,BR17:BR202,"AMBOS_I",BS17:BS202, "DEA"))</f>
        <v>8771.124</v>
      </c>
      <c r="BR5" s="12" t="s">
        <v>32</v>
      </c>
      <c r="BT5" s="1"/>
    </row>
    <row r="6">
      <c r="A6" s="9" t="s">
        <v>33</v>
      </c>
      <c r="B6" s="19">
        <f>B10-B4</f>
        <v>4605.802</v>
      </c>
      <c r="D6" s="14" t="s">
        <v>34</v>
      </c>
      <c r="F6" s="1"/>
      <c r="G6" s="9" t="s">
        <v>33</v>
      </c>
      <c r="H6" s="19">
        <f>H10-H4</f>
        <v>7201.33</v>
      </c>
      <c r="J6" s="12" t="s">
        <v>34</v>
      </c>
      <c r="L6" s="1"/>
      <c r="M6" s="9" t="s">
        <v>33</v>
      </c>
      <c r="N6" s="19">
        <f>N10-N4</f>
        <v>2104.488</v>
      </c>
      <c r="P6" s="14" t="s">
        <v>34</v>
      </c>
      <c r="R6" s="1"/>
      <c r="S6" s="9" t="s">
        <v>33</v>
      </c>
      <c r="T6" s="19">
        <f>T10-T4</f>
        <v>1684.678</v>
      </c>
      <c r="V6" s="12" t="s">
        <v>34</v>
      </c>
      <c r="X6" s="1"/>
      <c r="Y6" s="9" t="s">
        <v>33</v>
      </c>
      <c r="Z6" s="19">
        <f>Z10-Z4</f>
        <v>1245.594</v>
      </c>
      <c r="AB6" s="14" t="s">
        <v>34</v>
      </c>
      <c r="AD6" s="1"/>
      <c r="AE6" s="9" t="s">
        <v>33</v>
      </c>
      <c r="AF6" s="19">
        <f>AF10-AF4</f>
        <v>1928.418</v>
      </c>
      <c r="AH6" s="12" t="s">
        <v>34</v>
      </c>
      <c r="AJ6" s="1"/>
      <c r="AK6" s="9" t="s">
        <v>33</v>
      </c>
      <c r="AL6" s="19">
        <f>AL10-AL4</f>
        <v>-2116.75</v>
      </c>
      <c r="AN6" s="14" t="s">
        <v>34</v>
      </c>
      <c r="AP6" s="1"/>
      <c r="AQ6" s="9" t="s">
        <v>33</v>
      </c>
      <c r="AR6" s="19">
        <f>AR10-AR4</f>
        <v>328.562</v>
      </c>
      <c r="AT6" s="12" t="s">
        <v>34</v>
      </c>
      <c r="AV6" s="1"/>
      <c r="AW6" s="9" t="s">
        <v>33</v>
      </c>
      <c r="AX6" s="19">
        <f>AX10-AX4</f>
        <v>6548.728</v>
      </c>
      <c r="AZ6" s="14" t="s">
        <v>34</v>
      </c>
      <c r="BB6" s="1"/>
      <c r="BC6" s="9" t="s">
        <v>33</v>
      </c>
      <c r="BD6" s="19">
        <f>BD10-BD4</f>
        <v>6150.09</v>
      </c>
      <c r="BF6" s="12" t="s">
        <v>34</v>
      </c>
      <c r="BH6" s="1"/>
      <c r="BI6" s="9" t="s">
        <v>33</v>
      </c>
      <c r="BJ6" s="19">
        <f>BJ10-BJ4</f>
        <v>-8454.676</v>
      </c>
      <c r="BL6" s="14" t="s">
        <v>34</v>
      </c>
      <c r="BN6" s="1"/>
      <c r="BO6" s="9" t="s">
        <v>33</v>
      </c>
      <c r="BP6" s="19">
        <f>BP10-BP4</f>
        <v>11038.604</v>
      </c>
      <c r="BR6" s="12" t="s">
        <v>34</v>
      </c>
      <c r="BT6" s="1"/>
    </row>
    <row r="7">
      <c r="A7" s="20" t="s">
        <v>36</v>
      </c>
      <c r="B7" s="21">
        <v>914.67</v>
      </c>
      <c r="D7" s="23"/>
      <c r="F7" s="1"/>
      <c r="G7" s="20" t="s">
        <v>36</v>
      </c>
      <c r="H7" s="21">
        <v>1218.04</v>
      </c>
      <c r="J7" s="22"/>
      <c r="L7" s="1"/>
      <c r="M7" s="20" t="s">
        <v>36</v>
      </c>
      <c r="N7" s="21">
        <v>-976.94</v>
      </c>
      <c r="P7" s="23"/>
      <c r="R7" s="1"/>
      <c r="S7" s="20" t="s">
        <v>36</v>
      </c>
      <c r="T7" s="21">
        <v>-3210.17</v>
      </c>
      <c r="V7" s="22"/>
      <c r="X7" s="1"/>
      <c r="Y7" s="20" t="s">
        <v>36</v>
      </c>
      <c r="Z7" s="21">
        <v>-5792.12</v>
      </c>
      <c r="AB7" s="23"/>
      <c r="AD7" s="1"/>
      <c r="AE7" s="20" t="s">
        <v>36</v>
      </c>
      <c r="AF7" s="21">
        <v>-2895.89</v>
      </c>
      <c r="AH7" s="22"/>
      <c r="AJ7" s="1"/>
      <c r="AK7" s="20" t="s">
        <v>36</v>
      </c>
      <c r="AL7" s="21">
        <v>-7185.46</v>
      </c>
      <c r="AN7" s="23"/>
      <c r="AP7" s="1"/>
      <c r="AQ7" s="20" t="s">
        <v>36</v>
      </c>
      <c r="AR7" s="21">
        <v>-3232.84</v>
      </c>
      <c r="AT7" s="22"/>
      <c r="AV7" s="1"/>
      <c r="AW7" s="20" t="s">
        <v>36</v>
      </c>
      <c r="AX7" s="21">
        <v>4438.9</v>
      </c>
      <c r="AZ7" s="23"/>
      <c r="BB7" s="1"/>
      <c r="BC7" s="20" t="s">
        <v>36</v>
      </c>
      <c r="BD7" s="21">
        <v>-1231.5</v>
      </c>
      <c r="BF7" s="22"/>
      <c r="BH7" s="1"/>
      <c r="BI7" s="20" t="s">
        <v>36</v>
      </c>
      <c r="BJ7" s="21">
        <v>-16107.82</v>
      </c>
      <c r="BL7" s="23"/>
      <c r="BN7" s="1"/>
      <c r="BO7" s="20" t="s">
        <v>36</v>
      </c>
      <c r="BP7" s="21">
        <v>2267.48</v>
      </c>
      <c r="BR7" s="22"/>
      <c r="BT7" s="1"/>
    </row>
    <row r="8">
      <c r="A8" s="20" t="s">
        <v>38</v>
      </c>
      <c r="B8" s="21">
        <v>65.1</v>
      </c>
      <c r="D8" s="23"/>
      <c r="F8" s="1"/>
      <c r="G8" s="20" t="s">
        <v>38</v>
      </c>
      <c r="H8" s="21">
        <v>503.0</v>
      </c>
      <c r="J8" s="22"/>
      <c r="L8" s="1"/>
      <c r="M8" s="20" t="s">
        <v>38</v>
      </c>
      <c r="N8" s="21">
        <v>548.0</v>
      </c>
      <c r="P8" s="23"/>
      <c r="R8" s="1"/>
      <c r="S8" s="20" t="s">
        <v>38</v>
      </c>
      <c r="T8" s="21">
        <v>28.0</v>
      </c>
      <c r="V8" s="22"/>
      <c r="X8" s="1"/>
      <c r="Y8" s="20" t="s">
        <v>38</v>
      </c>
      <c r="Z8" s="21">
        <v>220.0</v>
      </c>
      <c r="AB8" s="23"/>
      <c r="AD8" s="1"/>
      <c r="AE8" s="20" t="s">
        <v>38</v>
      </c>
      <c r="AF8" s="21">
        <v>454.45</v>
      </c>
      <c r="AH8" s="22"/>
      <c r="AJ8" s="1"/>
      <c r="AK8" s="20" t="s">
        <v>38</v>
      </c>
      <c r="AL8" s="21">
        <v>450.0</v>
      </c>
      <c r="AN8" s="23"/>
      <c r="AP8" s="1"/>
      <c r="AQ8" s="20" t="s">
        <v>38</v>
      </c>
      <c r="AR8" s="21">
        <v>10.0</v>
      </c>
      <c r="AT8" s="22"/>
      <c r="AV8" s="1"/>
      <c r="AW8" s="20" t="s">
        <v>38</v>
      </c>
      <c r="AX8" s="21">
        <v>8.0</v>
      </c>
      <c r="AZ8" s="23"/>
      <c r="BB8" s="1"/>
      <c r="BC8" s="20" t="s">
        <v>38</v>
      </c>
      <c r="BD8" s="21">
        <v>286.0</v>
      </c>
      <c r="BF8" s="22"/>
      <c r="BH8" s="1"/>
      <c r="BI8" s="20" t="s">
        <v>38</v>
      </c>
      <c r="BJ8" s="21">
        <v>7.0</v>
      </c>
      <c r="BL8" s="23"/>
      <c r="BN8" s="1"/>
      <c r="BO8" s="20" t="s">
        <v>38</v>
      </c>
      <c r="BP8" s="21">
        <v>0.0</v>
      </c>
      <c r="BR8" s="22"/>
      <c r="BT8" s="1"/>
    </row>
    <row r="9">
      <c r="A9" s="20"/>
      <c r="B9" s="21"/>
      <c r="D9" s="23"/>
      <c r="F9" s="1"/>
      <c r="G9" s="20"/>
      <c r="H9" s="21"/>
      <c r="J9" s="22"/>
      <c r="L9" s="1"/>
      <c r="M9" s="20"/>
      <c r="N9" s="21"/>
      <c r="P9" s="23"/>
      <c r="R9" s="1"/>
      <c r="S9" s="20"/>
      <c r="T9" s="21"/>
      <c r="V9" s="22"/>
      <c r="X9" s="1"/>
      <c r="Y9" s="20"/>
      <c r="Z9" s="21"/>
      <c r="AB9" s="23"/>
      <c r="AD9" s="1"/>
      <c r="AE9" s="20"/>
      <c r="AF9" s="21"/>
      <c r="AH9" s="22"/>
      <c r="AJ9" s="1"/>
      <c r="AK9" s="20"/>
      <c r="AL9" s="21"/>
      <c r="AN9" s="23"/>
      <c r="AP9" s="1"/>
      <c r="AQ9" s="20"/>
      <c r="AR9" s="21"/>
      <c r="AT9" s="22"/>
      <c r="AV9" s="1"/>
      <c r="AW9" s="20"/>
      <c r="AX9" s="21"/>
      <c r="AZ9" s="23"/>
      <c r="BB9" s="1"/>
      <c r="BC9" s="20"/>
      <c r="BD9" s="21"/>
      <c r="BF9" s="22"/>
      <c r="BH9" s="1"/>
      <c r="BI9" s="20"/>
      <c r="BJ9" s="21"/>
      <c r="BL9" s="23"/>
      <c r="BN9" s="1"/>
      <c r="BO9" s="20"/>
      <c r="BP9" s="21"/>
      <c r="BR9" s="22"/>
      <c r="BT9" s="1"/>
    </row>
    <row r="10">
      <c r="A10" s="3" t="s">
        <v>39</v>
      </c>
      <c r="B10" s="26">
        <f>SUM(B11:B15)</f>
        <v>17621.13</v>
      </c>
      <c r="C10" s="7" t="s">
        <v>40</v>
      </c>
      <c r="D10" s="3"/>
      <c r="E10" s="3"/>
      <c r="F10" s="1"/>
      <c r="G10" s="24" t="s">
        <v>39</v>
      </c>
      <c r="H10" s="25">
        <f>sum(H11:H15)</f>
        <v>22573.96</v>
      </c>
      <c r="I10" s="24" t="s">
        <v>40</v>
      </c>
      <c r="J10" s="24"/>
      <c r="K10" s="24"/>
      <c r="L10" s="1"/>
      <c r="M10" s="3" t="s">
        <v>39</v>
      </c>
      <c r="N10" s="26">
        <f>SUM(N11:N15)</f>
        <v>13466.45</v>
      </c>
      <c r="O10" s="7" t="s">
        <v>40</v>
      </c>
      <c r="P10" s="3"/>
      <c r="Q10" s="3"/>
      <c r="R10" s="1"/>
      <c r="S10" s="24" t="s">
        <v>39</v>
      </c>
      <c r="T10" s="25">
        <f>sum(T11:T15)</f>
        <v>15577.96</v>
      </c>
      <c r="U10" s="24" t="s">
        <v>40</v>
      </c>
      <c r="V10" s="24"/>
      <c r="W10" s="24"/>
      <c r="X10" s="1"/>
      <c r="Y10" s="3" t="s">
        <v>39</v>
      </c>
      <c r="Z10" s="26">
        <f>SUM(Z11:Z15)</f>
        <v>16326.32</v>
      </c>
      <c r="AA10" s="7" t="s">
        <v>40</v>
      </c>
      <c r="AB10" s="3"/>
      <c r="AC10" s="3"/>
      <c r="AD10" s="1"/>
      <c r="AE10" s="24" t="s">
        <v>39</v>
      </c>
      <c r="AF10" s="25">
        <f>sum(AF11:AF15)</f>
        <v>13896.48</v>
      </c>
      <c r="AG10" s="24" t="s">
        <v>40</v>
      </c>
      <c r="AH10" s="24"/>
      <c r="AI10" s="24"/>
      <c r="AJ10" s="1"/>
      <c r="AK10" s="3" t="s">
        <v>39</v>
      </c>
      <c r="AL10" s="26">
        <f>SUM(AL11:AL15)</f>
        <v>13164.57</v>
      </c>
      <c r="AM10" s="7" t="s">
        <v>40</v>
      </c>
      <c r="AN10" s="3"/>
      <c r="AO10" s="3"/>
      <c r="AP10" s="1"/>
      <c r="AQ10" s="24" t="s">
        <v>39</v>
      </c>
      <c r="AR10" s="25">
        <f>sum(AR11:AR15)</f>
        <v>21503.43</v>
      </c>
      <c r="AS10" s="24" t="s">
        <v>40</v>
      </c>
      <c r="AT10" s="24"/>
      <c r="AU10" s="24"/>
      <c r="AV10" s="1"/>
      <c r="AW10" s="3" t="s">
        <v>39</v>
      </c>
      <c r="AX10" s="26">
        <f>SUM(AX11:AX15)</f>
        <v>15142.19</v>
      </c>
      <c r="AY10" s="7" t="s">
        <v>40</v>
      </c>
      <c r="AZ10" s="3"/>
      <c r="BA10" s="3"/>
      <c r="BB10" s="1"/>
      <c r="BC10" s="24" t="s">
        <v>39</v>
      </c>
      <c r="BD10" s="25">
        <f>sum(BD11:BD15)</f>
        <v>25849.76</v>
      </c>
      <c r="BE10" s="24" t="s">
        <v>40</v>
      </c>
      <c r="BF10" s="24"/>
      <c r="BG10" s="24"/>
      <c r="BH10" s="1"/>
      <c r="BI10" s="3" t="s">
        <v>39</v>
      </c>
      <c r="BJ10" s="26">
        <f>SUM(BJ11:BJ15)</f>
        <v>19583.72</v>
      </c>
      <c r="BK10" s="7" t="s">
        <v>40</v>
      </c>
      <c r="BL10" s="3"/>
      <c r="BM10" s="3"/>
      <c r="BN10" s="1"/>
      <c r="BO10" s="24" t="s">
        <v>39</v>
      </c>
      <c r="BP10" s="25">
        <f>sum(BP11:BP15)</f>
        <v>37189.15</v>
      </c>
      <c r="BQ10" s="24" t="s">
        <v>40</v>
      </c>
      <c r="BR10" s="24"/>
      <c r="BS10" s="24"/>
      <c r="BT10" s="1"/>
    </row>
    <row r="11">
      <c r="A11" s="27" t="s">
        <v>1094</v>
      </c>
      <c r="B11" s="28">
        <v>7419.65</v>
      </c>
      <c r="C11" s="29">
        <v>-21.0</v>
      </c>
      <c r="D11" s="30"/>
      <c r="F11" s="1"/>
      <c r="G11" s="27" t="s">
        <v>43</v>
      </c>
      <c r="H11" s="28">
        <f>7681.73 + SUM(H33:H35)</f>
        <v>9081.48</v>
      </c>
      <c r="I11" s="29">
        <v>-25.0</v>
      </c>
      <c r="J11" s="30"/>
      <c r="L11" s="1"/>
      <c r="M11" s="27" t="s">
        <v>43</v>
      </c>
      <c r="N11" s="28">
        <v>7385.42</v>
      </c>
      <c r="O11" s="29">
        <v>-25.0</v>
      </c>
      <c r="P11" s="30" t="s">
        <v>1095</v>
      </c>
      <c r="R11" s="1"/>
      <c r="S11" s="27" t="s">
        <v>43</v>
      </c>
      <c r="T11" s="28">
        <v>8146.25</v>
      </c>
      <c r="U11" s="29">
        <v>-25.0</v>
      </c>
      <c r="V11" s="30"/>
      <c r="X11" s="1"/>
      <c r="Y11" s="27" t="s">
        <v>43</v>
      </c>
      <c r="Z11" s="28">
        <v>6396.88</v>
      </c>
      <c r="AA11" s="29">
        <v>-25.0</v>
      </c>
      <c r="AB11" s="30"/>
      <c r="AD11" s="1"/>
      <c r="AE11" s="27" t="s">
        <v>43</v>
      </c>
      <c r="AF11" s="28">
        <v>8868.13</v>
      </c>
      <c r="AG11" s="29">
        <v>-25.0</v>
      </c>
      <c r="AH11" s="30"/>
      <c r="AJ11" s="1"/>
      <c r="AK11" s="27" t="s">
        <v>43</v>
      </c>
      <c r="AL11" s="28">
        <v>4179.37</v>
      </c>
      <c r="AM11" s="29">
        <v>-25.0</v>
      </c>
      <c r="AN11" s="30"/>
      <c r="AP11" s="1"/>
      <c r="AQ11" s="27" t="s">
        <v>43</v>
      </c>
      <c r="AR11" s="28">
        <v>8299.55</v>
      </c>
      <c r="AS11" s="29">
        <v>-25.0</v>
      </c>
      <c r="AT11" s="30"/>
      <c r="AV11" s="1"/>
      <c r="AW11" s="27" t="s">
        <v>43</v>
      </c>
      <c r="AX11" s="28">
        <v>6458.46</v>
      </c>
      <c r="AY11" s="29">
        <v>-25.0</v>
      </c>
      <c r="AZ11" s="30"/>
      <c r="BB11" s="1"/>
      <c r="BC11" s="27" t="s">
        <v>43</v>
      </c>
      <c r="BD11" s="28">
        <v>8392.26</v>
      </c>
      <c r="BE11" s="29">
        <v>-25.0</v>
      </c>
      <c r="BF11" s="30"/>
      <c r="BH11" s="1"/>
      <c r="BI11" s="27" t="s">
        <v>43</v>
      </c>
      <c r="BJ11" s="28">
        <v>8387.38</v>
      </c>
      <c r="BK11" s="29">
        <v>-25.0</v>
      </c>
      <c r="BL11" s="30"/>
      <c r="BN11" s="1"/>
      <c r="BO11" s="27" t="s">
        <v>1096</v>
      </c>
      <c r="BP11" s="28">
        <v>11542.13</v>
      </c>
      <c r="BQ11" s="29">
        <v>-25.0</v>
      </c>
      <c r="BR11" s="30"/>
      <c r="BT11" s="1"/>
    </row>
    <row r="12">
      <c r="A12" s="27" t="s">
        <v>1097</v>
      </c>
      <c r="B12" s="28">
        <v>4052.38</v>
      </c>
      <c r="C12" s="29">
        <v>-18.0</v>
      </c>
      <c r="F12" s="1"/>
      <c r="G12" s="27" t="s">
        <v>169</v>
      </c>
      <c r="H12" s="28">
        <v>7449.86</v>
      </c>
      <c r="I12" s="29">
        <v>5.0</v>
      </c>
      <c r="L12" s="1"/>
      <c r="M12" s="27" t="s">
        <v>55</v>
      </c>
      <c r="N12" s="28">
        <v>6081.03</v>
      </c>
      <c r="O12" s="29">
        <v>10.0</v>
      </c>
      <c r="R12" s="1"/>
      <c r="S12" s="27" t="s">
        <v>1098</v>
      </c>
      <c r="T12" s="28">
        <v>100.0</v>
      </c>
      <c r="U12" s="29">
        <v>5.0</v>
      </c>
      <c r="X12" s="1"/>
      <c r="Y12" s="27" t="s">
        <v>55</v>
      </c>
      <c r="Z12" s="28">
        <v>5744.76</v>
      </c>
      <c r="AA12" s="29">
        <v>10.0</v>
      </c>
      <c r="AD12" s="1"/>
      <c r="AE12" s="27" t="s">
        <v>1099</v>
      </c>
      <c r="AF12" s="28">
        <v>1245.59</v>
      </c>
      <c r="AG12" s="29">
        <v>1.0</v>
      </c>
      <c r="AJ12" s="1"/>
      <c r="AK12" s="27" t="s">
        <v>1100</v>
      </c>
      <c r="AL12" s="28">
        <v>1928.42</v>
      </c>
      <c r="AM12" s="29">
        <v>1.0</v>
      </c>
      <c r="AP12" s="1"/>
      <c r="AQ12" s="27" t="s">
        <v>701</v>
      </c>
      <c r="AR12" s="28"/>
      <c r="AS12" s="29">
        <v>2.0</v>
      </c>
      <c r="AV12" s="1"/>
      <c r="AW12" s="27" t="s">
        <v>158</v>
      </c>
      <c r="AX12" s="28">
        <v>328.56</v>
      </c>
      <c r="AY12" s="29">
        <v>1.0</v>
      </c>
      <c r="BB12" s="1"/>
      <c r="BC12" s="27" t="s">
        <v>1101</v>
      </c>
      <c r="BD12" s="28">
        <v>6548.73</v>
      </c>
      <c r="BE12" s="29">
        <v>1.0</v>
      </c>
      <c r="BH12" s="1"/>
      <c r="BI12" s="27" t="s">
        <v>60</v>
      </c>
      <c r="BJ12" s="28">
        <v>6150.09</v>
      </c>
      <c r="BK12" s="29">
        <v>1.0</v>
      </c>
      <c r="BN12" s="1"/>
      <c r="BO12" s="27" t="s">
        <v>163</v>
      </c>
      <c r="BP12" s="28">
        <v>-8454.68</v>
      </c>
      <c r="BQ12" s="29">
        <v>1.0</v>
      </c>
      <c r="BT12" s="1"/>
    </row>
    <row r="13">
      <c r="A13" s="27" t="s">
        <v>55</v>
      </c>
      <c r="B13" s="28">
        <v>5790.1</v>
      </c>
      <c r="C13" s="29">
        <v>11.0</v>
      </c>
      <c r="F13" s="1"/>
      <c r="G13" s="27" t="s">
        <v>55</v>
      </c>
      <c r="H13" s="28">
        <v>6042.62</v>
      </c>
      <c r="I13" s="29">
        <v>10.0</v>
      </c>
      <c r="L13" s="1"/>
      <c r="M13" s="27"/>
      <c r="N13" s="28"/>
      <c r="O13" s="29"/>
      <c r="R13" s="1"/>
      <c r="S13" s="27" t="s">
        <v>55</v>
      </c>
      <c r="T13" s="28">
        <v>5987.75</v>
      </c>
      <c r="U13" s="29">
        <v>10.0</v>
      </c>
      <c r="X13" s="1"/>
      <c r="Y13" s="27" t="s">
        <v>1099</v>
      </c>
      <c r="Z13" s="28">
        <v>1184.68</v>
      </c>
      <c r="AA13" s="29">
        <v>1.0</v>
      </c>
      <c r="AD13" s="1"/>
      <c r="AE13" s="27" t="s">
        <v>55</v>
      </c>
      <c r="AF13" s="28">
        <v>2782.76</v>
      </c>
      <c r="AG13" s="29">
        <v>10.0</v>
      </c>
      <c r="AJ13" s="1"/>
      <c r="AK13" s="27" t="s">
        <v>55</v>
      </c>
      <c r="AL13" s="28">
        <v>6056.78</v>
      </c>
      <c r="AM13" s="29">
        <v>10.0</v>
      </c>
      <c r="AP13" s="1"/>
      <c r="AQ13" s="27" t="s">
        <v>55</v>
      </c>
      <c r="AR13" s="28">
        <v>5415.31</v>
      </c>
      <c r="AS13" s="29">
        <v>10.0</v>
      </c>
      <c r="AV13" s="1"/>
      <c r="AW13" s="27" t="s">
        <v>1102</v>
      </c>
      <c r="AX13" s="28">
        <v>2432.0</v>
      </c>
      <c r="AY13" s="29">
        <v>6.0</v>
      </c>
      <c r="BB13" s="1"/>
      <c r="BC13" s="27" t="s">
        <v>55</v>
      </c>
      <c r="BD13" s="28">
        <v>6184.26</v>
      </c>
      <c r="BE13" s="29">
        <v>10.0</v>
      </c>
      <c r="BH13" s="1"/>
      <c r="BI13" s="27" t="s">
        <v>55</v>
      </c>
      <c r="BJ13" s="28">
        <v>5046.25</v>
      </c>
      <c r="BK13" s="29">
        <v>10.0</v>
      </c>
      <c r="BN13" s="1"/>
      <c r="BO13" s="27" t="s">
        <v>1103</v>
      </c>
      <c r="BP13" s="28">
        <v>13838.18</v>
      </c>
      <c r="BQ13" s="29">
        <v>-19.0</v>
      </c>
      <c r="BT13" s="1"/>
    </row>
    <row r="14">
      <c r="A14" s="27" t="s">
        <v>1104</v>
      </c>
      <c r="B14" s="28">
        <v>200.0</v>
      </c>
      <c r="C14" s="29">
        <v>18.0</v>
      </c>
      <c r="F14" s="1"/>
      <c r="G14" s="27"/>
      <c r="H14" s="28"/>
      <c r="I14" s="29"/>
      <c r="L14" s="1"/>
      <c r="M14" s="27"/>
      <c r="N14" s="28"/>
      <c r="O14" s="29"/>
      <c r="R14" s="1"/>
      <c r="S14" s="27" t="s">
        <v>1105</v>
      </c>
      <c r="T14" s="28">
        <v>1343.96</v>
      </c>
      <c r="U14" s="29">
        <v>14.0</v>
      </c>
      <c r="X14" s="1"/>
      <c r="Y14" s="27" t="s">
        <v>909</v>
      </c>
      <c r="Z14" s="28">
        <v>3000.0</v>
      </c>
      <c r="AA14" s="29">
        <v>11.0</v>
      </c>
      <c r="AD14" s="1"/>
      <c r="AE14" s="27" t="s">
        <v>701</v>
      </c>
      <c r="AF14" s="28">
        <v>500.0</v>
      </c>
      <c r="AG14" s="29">
        <v>17.0</v>
      </c>
      <c r="AJ14" s="1"/>
      <c r="AK14" s="27" t="s">
        <v>1106</v>
      </c>
      <c r="AL14" s="28">
        <v>500.0</v>
      </c>
      <c r="AM14" s="29">
        <v>13.0</v>
      </c>
      <c r="AP14" s="1"/>
      <c r="AQ14" s="27" t="s">
        <v>701</v>
      </c>
      <c r="AR14" s="28">
        <v>4488.57</v>
      </c>
      <c r="AS14" s="29">
        <v>2.0</v>
      </c>
      <c r="AV14" s="1"/>
      <c r="AW14" s="27" t="s">
        <v>55</v>
      </c>
      <c r="AX14" s="28">
        <v>5923.17</v>
      </c>
      <c r="AY14" s="29">
        <v>10.0</v>
      </c>
      <c r="BB14" s="1"/>
      <c r="BC14" s="27" t="s">
        <v>701</v>
      </c>
      <c r="BD14" s="28">
        <v>4724.51</v>
      </c>
      <c r="BE14" s="29">
        <v>11.0</v>
      </c>
      <c r="BH14" s="1"/>
      <c r="BI14" s="27"/>
      <c r="BJ14" s="28"/>
      <c r="BK14" s="29"/>
      <c r="BN14" s="1"/>
      <c r="BO14" s="27" t="s">
        <v>1107</v>
      </c>
      <c r="BP14" s="28">
        <v>4084.95</v>
      </c>
      <c r="BQ14" s="29">
        <v>7.0</v>
      </c>
      <c r="BT14" s="1"/>
    </row>
    <row r="15">
      <c r="A15" s="27" t="s">
        <v>858</v>
      </c>
      <c r="B15" s="28">
        <v>159.0</v>
      </c>
      <c r="C15" s="29">
        <v>22.0</v>
      </c>
      <c r="F15" s="1"/>
      <c r="G15" s="71"/>
      <c r="H15" s="72"/>
      <c r="I15" s="73"/>
      <c r="L15" s="1"/>
      <c r="M15" s="27"/>
      <c r="N15" s="28"/>
      <c r="O15" s="29"/>
      <c r="R15" s="1"/>
      <c r="S15" s="71"/>
      <c r="T15" s="72"/>
      <c r="U15" s="73"/>
      <c r="X15" s="1"/>
      <c r="Y15" s="27"/>
      <c r="Z15" s="28"/>
      <c r="AA15" s="29"/>
      <c r="AD15" s="1"/>
      <c r="AE15" s="27" t="s">
        <v>701</v>
      </c>
      <c r="AF15" s="28">
        <v>500.0</v>
      </c>
      <c r="AG15" s="29">
        <v>24.0</v>
      </c>
      <c r="AJ15" s="1"/>
      <c r="AK15" s="27" t="s">
        <v>701</v>
      </c>
      <c r="AL15" s="28">
        <v>500.0</v>
      </c>
      <c r="AM15" s="29">
        <v>30.0</v>
      </c>
      <c r="AP15" s="1"/>
      <c r="AQ15" s="27" t="s">
        <v>1108</v>
      </c>
      <c r="AR15" s="28">
        <v>3300.0</v>
      </c>
      <c r="AS15" s="29"/>
      <c r="AV15" s="1"/>
      <c r="AW15" s="27"/>
      <c r="AX15" s="28"/>
      <c r="AY15" s="29"/>
      <c r="BB15" s="1"/>
      <c r="BC15" s="27"/>
      <c r="BD15" s="28"/>
      <c r="BE15" s="29"/>
      <c r="BH15" s="1"/>
      <c r="BI15" s="27"/>
      <c r="BJ15" s="28"/>
      <c r="BK15" s="29"/>
      <c r="BN15" s="1"/>
      <c r="BO15" s="27" t="s">
        <v>1109</v>
      </c>
      <c r="BP15" s="28">
        <v>16178.57</v>
      </c>
      <c r="BQ15" s="29">
        <v>1.0</v>
      </c>
      <c r="BT15" s="1"/>
    </row>
    <row r="16">
      <c r="A16" s="3" t="s">
        <v>61</v>
      </c>
      <c r="B16" s="26">
        <f>SUM(B17:B199)</f>
        <v>17627.34</v>
      </c>
      <c r="C16" s="3"/>
      <c r="D16" s="3" t="s">
        <v>14</v>
      </c>
      <c r="E16" s="3" t="s">
        <v>62</v>
      </c>
      <c r="F16" s="1"/>
      <c r="G16" s="24" t="s">
        <v>1110</v>
      </c>
      <c r="H16" s="25">
        <f>SUM(H17:H199)</f>
        <v>21969.05</v>
      </c>
      <c r="I16" s="31"/>
      <c r="J16" s="24" t="s">
        <v>14</v>
      </c>
      <c r="K16" s="24" t="s">
        <v>62</v>
      </c>
      <c r="L16" s="1"/>
      <c r="M16" s="3" t="s">
        <v>61</v>
      </c>
      <c r="N16" s="26">
        <f>SUM(N17:N199)</f>
        <v>15006.53</v>
      </c>
      <c r="O16" s="3"/>
      <c r="P16" s="3" t="s">
        <v>14</v>
      </c>
      <c r="Q16" s="3" t="s">
        <v>62</v>
      </c>
      <c r="R16" s="1"/>
      <c r="S16" s="24" t="s">
        <v>1110</v>
      </c>
      <c r="T16" s="25">
        <f>SUM(T17:T199)</f>
        <v>19886.93</v>
      </c>
      <c r="U16" s="31"/>
      <c r="V16" s="24" t="s">
        <v>14</v>
      </c>
      <c r="W16" s="24" t="s">
        <v>62</v>
      </c>
      <c r="X16" s="1"/>
      <c r="Y16" s="3" t="s">
        <v>61</v>
      </c>
      <c r="Z16" s="26">
        <f>SUM(Z17:Z199)</f>
        <v>22691.48</v>
      </c>
      <c r="AA16" s="3"/>
      <c r="AB16" s="3" t="s">
        <v>14</v>
      </c>
      <c r="AC16" s="3" t="s">
        <v>62</v>
      </c>
      <c r="AD16" s="1"/>
      <c r="AE16" s="24" t="s">
        <v>1110</v>
      </c>
      <c r="AF16" s="25">
        <f>SUM(AF17:AF199)</f>
        <v>17105.32</v>
      </c>
      <c r="AG16" s="31"/>
      <c r="AH16" s="24" t="s">
        <v>14</v>
      </c>
      <c r="AI16" s="24" t="s">
        <v>62</v>
      </c>
      <c r="AJ16" s="1"/>
      <c r="AK16" s="3" t="s">
        <v>61</v>
      </c>
      <c r="AL16" s="26">
        <f>SUM(AL17:AL199)</f>
        <v>21438.48</v>
      </c>
      <c r="AM16" s="3"/>
      <c r="AN16" s="3" t="s">
        <v>14</v>
      </c>
      <c r="AO16" s="3" t="s">
        <v>62</v>
      </c>
      <c r="AP16" s="1"/>
      <c r="AQ16" s="24" t="s">
        <v>1110</v>
      </c>
      <c r="AR16" s="25">
        <f>SUM(AR17:AR199)</f>
        <v>27080.44</v>
      </c>
      <c r="AS16" s="31"/>
      <c r="AT16" s="24" t="s">
        <v>14</v>
      </c>
      <c r="AU16" s="24" t="s">
        <v>62</v>
      </c>
      <c r="AV16" s="1"/>
      <c r="AW16" s="3" t="s">
        <v>61</v>
      </c>
      <c r="AX16" s="26">
        <f>SUM(AX17:AX199)</f>
        <v>17823.3</v>
      </c>
      <c r="AY16" s="3"/>
      <c r="AZ16" s="3" t="s">
        <v>14</v>
      </c>
      <c r="BA16" s="3" t="s">
        <v>62</v>
      </c>
      <c r="BB16" s="1"/>
      <c r="BC16" s="24" t="s">
        <v>61</v>
      </c>
      <c r="BD16" s="25">
        <f>SUM(BD17:BD199)</f>
        <v>27597.04</v>
      </c>
      <c r="BE16" s="31"/>
      <c r="BF16" s="24" t="s">
        <v>14</v>
      </c>
      <c r="BG16" s="24" t="s">
        <v>62</v>
      </c>
      <c r="BH16" s="1"/>
      <c r="BI16" s="3" t="s">
        <v>61</v>
      </c>
      <c r="BJ16" s="26">
        <f>SUM(BJ17:BJ199)</f>
        <v>36284.54</v>
      </c>
      <c r="BK16" s="3"/>
      <c r="BL16" s="3" t="s">
        <v>14</v>
      </c>
      <c r="BM16" s="3" t="s">
        <v>62</v>
      </c>
      <c r="BN16" s="1"/>
      <c r="BO16" s="24" t="s">
        <v>61</v>
      </c>
      <c r="BP16" s="25">
        <f>SUM(BP17:BP199)</f>
        <v>39515.53</v>
      </c>
      <c r="BQ16" s="31"/>
      <c r="BR16" s="24" t="s">
        <v>14</v>
      </c>
      <c r="BS16" s="24" t="s">
        <v>62</v>
      </c>
      <c r="BT16" s="1"/>
    </row>
    <row r="17">
      <c r="A17" s="32" t="s">
        <v>63</v>
      </c>
      <c r="B17" s="33">
        <v>0.0</v>
      </c>
      <c r="C17" s="34">
        <v>2.0</v>
      </c>
      <c r="D17" s="35" t="s">
        <v>28</v>
      </c>
      <c r="F17" s="1"/>
      <c r="G17" s="32" t="s">
        <v>63</v>
      </c>
      <c r="H17" s="33">
        <v>0.0</v>
      </c>
      <c r="I17" s="34">
        <v>2.0</v>
      </c>
      <c r="J17" s="35"/>
      <c r="L17" s="1"/>
      <c r="M17" s="32" t="s">
        <v>63</v>
      </c>
      <c r="N17" s="33"/>
      <c r="O17" s="34">
        <v>2.0</v>
      </c>
      <c r="P17" s="35" t="s">
        <v>28</v>
      </c>
      <c r="R17" s="1"/>
      <c r="S17" s="32" t="s">
        <v>63</v>
      </c>
      <c r="T17" s="33"/>
      <c r="U17" s="34">
        <v>2.0</v>
      </c>
      <c r="V17" s="35"/>
      <c r="X17" s="1"/>
      <c r="Y17" s="32" t="s">
        <v>63</v>
      </c>
      <c r="Z17" s="33"/>
      <c r="AA17" s="34">
        <v>2.0</v>
      </c>
      <c r="AB17" s="35" t="s">
        <v>28</v>
      </c>
      <c r="AD17" s="1"/>
      <c r="AE17" s="32" t="s">
        <v>63</v>
      </c>
      <c r="AF17" s="33">
        <v>0.0</v>
      </c>
      <c r="AG17" s="34">
        <v>2.0</v>
      </c>
      <c r="AH17" s="35" t="s">
        <v>28</v>
      </c>
      <c r="AI17" s="36" t="s">
        <v>32</v>
      </c>
      <c r="AJ17" s="1"/>
      <c r="AK17" s="32" t="s">
        <v>63</v>
      </c>
      <c r="AL17" s="33">
        <v>0.0</v>
      </c>
      <c r="AM17" s="34">
        <v>2.0</v>
      </c>
      <c r="AN17" s="35" t="s">
        <v>28</v>
      </c>
      <c r="AO17" s="36" t="s">
        <v>32</v>
      </c>
      <c r="AP17" s="1"/>
      <c r="AQ17" s="32" t="s">
        <v>63</v>
      </c>
      <c r="AR17" s="33">
        <v>0.0</v>
      </c>
      <c r="AS17" s="34">
        <v>2.0</v>
      </c>
      <c r="AT17" s="35" t="s">
        <v>28</v>
      </c>
      <c r="AU17" s="36" t="s">
        <v>32</v>
      </c>
      <c r="AV17" s="1"/>
      <c r="AW17" s="32" t="s">
        <v>63</v>
      </c>
      <c r="AX17" s="33">
        <v>0.0</v>
      </c>
      <c r="AY17" s="34">
        <v>2.0</v>
      </c>
      <c r="AZ17" s="35"/>
      <c r="BB17" s="1"/>
      <c r="BC17" s="32" t="s">
        <v>63</v>
      </c>
      <c r="BD17" s="33"/>
      <c r="BE17" s="34">
        <v>2.0</v>
      </c>
      <c r="BF17" s="35"/>
      <c r="BH17" s="1"/>
      <c r="BI17" s="32" t="s">
        <v>63</v>
      </c>
      <c r="BJ17" s="33"/>
      <c r="BK17" s="34">
        <v>2.0</v>
      </c>
      <c r="BL17" s="35"/>
      <c r="BN17" s="1"/>
      <c r="BO17" s="32" t="s">
        <v>63</v>
      </c>
      <c r="BP17" s="33">
        <v>1899.36</v>
      </c>
      <c r="BQ17" s="34">
        <v>29.0</v>
      </c>
      <c r="BR17" s="35" t="s">
        <v>28</v>
      </c>
      <c r="BS17" s="36" t="s">
        <v>34</v>
      </c>
      <c r="BT17" s="1"/>
    </row>
    <row r="18">
      <c r="A18" s="32" t="s">
        <v>64</v>
      </c>
      <c r="B18" s="33">
        <v>289.92</v>
      </c>
      <c r="C18" s="34">
        <v>5.0</v>
      </c>
      <c r="D18" s="35" t="s">
        <v>28</v>
      </c>
      <c r="E18" s="36" t="s">
        <v>32</v>
      </c>
      <c r="F18" s="1"/>
      <c r="G18" s="32" t="s">
        <v>64</v>
      </c>
      <c r="H18" s="33">
        <v>226.4</v>
      </c>
      <c r="I18" s="34">
        <v>5.0</v>
      </c>
      <c r="J18" s="35" t="s">
        <v>28</v>
      </c>
      <c r="K18" s="36" t="s">
        <v>32</v>
      </c>
      <c r="L18" s="1"/>
      <c r="M18" s="32" t="s">
        <v>64</v>
      </c>
      <c r="N18" s="33">
        <v>226.4</v>
      </c>
      <c r="O18" s="34">
        <v>5.0</v>
      </c>
      <c r="P18" s="35" t="s">
        <v>28</v>
      </c>
      <c r="Q18" s="36" t="s">
        <v>32</v>
      </c>
      <c r="R18" s="1"/>
      <c r="S18" s="32" t="s">
        <v>64</v>
      </c>
      <c r="T18" s="33">
        <v>288.75</v>
      </c>
      <c r="U18" s="34">
        <v>5.0</v>
      </c>
      <c r="V18" s="35" t="s">
        <v>28</v>
      </c>
      <c r="W18" s="36" t="s">
        <v>32</v>
      </c>
      <c r="X18" s="1"/>
      <c r="Y18" s="32" t="s">
        <v>64</v>
      </c>
      <c r="Z18" s="33">
        <v>226.4</v>
      </c>
      <c r="AA18" s="34">
        <v>5.0</v>
      </c>
      <c r="AB18" s="35" t="s">
        <v>28</v>
      </c>
      <c r="AC18" s="36" t="s">
        <v>32</v>
      </c>
      <c r="AD18" s="1"/>
      <c r="AE18" s="32" t="s">
        <v>64</v>
      </c>
      <c r="AF18" s="33">
        <v>226.4</v>
      </c>
      <c r="AG18" s="34">
        <v>5.0</v>
      </c>
      <c r="AH18" s="35" t="s">
        <v>28</v>
      </c>
      <c r="AI18" s="36" t="s">
        <v>32</v>
      </c>
      <c r="AJ18" s="1"/>
      <c r="AK18" s="32" t="s">
        <v>64</v>
      </c>
      <c r="AL18" s="33">
        <v>226.4</v>
      </c>
      <c r="AM18" s="34">
        <v>5.0</v>
      </c>
      <c r="AN18" s="35" t="s">
        <v>28</v>
      </c>
      <c r="AO18" s="36" t="s">
        <v>32</v>
      </c>
      <c r="AP18" s="1"/>
      <c r="AQ18" s="32" t="s">
        <v>64</v>
      </c>
      <c r="AR18" s="33">
        <v>226.4</v>
      </c>
      <c r="AS18" s="34">
        <v>5.0</v>
      </c>
      <c r="AT18" s="35" t="s">
        <v>28</v>
      </c>
      <c r="AU18" s="36" t="s">
        <v>32</v>
      </c>
      <c r="AV18" s="1"/>
      <c r="AW18" s="32" t="s">
        <v>64</v>
      </c>
      <c r="AX18" s="33">
        <v>226.4</v>
      </c>
      <c r="AY18" s="34">
        <v>5.0</v>
      </c>
      <c r="AZ18" s="35"/>
      <c r="BB18" s="1"/>
      <c r="BC18" s="32" t="s">
        <v>64</v>
      </c>
      <c r="BD18" s="33">
        <v>226.4</v>
      </c>
      <c r="BE18" s="34">
        <v>5.0</v>
      </c>
      <c r="BF18" s="35" t="s">
        <v>28</v>
      </c>
      <c r="BG18" s="36" t="s">
        <v>32</v>
      </c>
      <c r="BH18" s="1"/>
      <c r="BI18" s="32" t="s">
        <v>64</v>
      </c>
      <c r="BJ18" s="33">
        <v>226.4</v>
      </c>
      <c r="BK18" s="34">
        <v>5.0</v>
      </c>
      <c r="BL18" s="35" t="s">
        <v>28</v>
      </c>
      <c r="BM18" s="36" t="s">
        <v>32</v>
      </c>
      <c r="BN18" s="1"/>
      <c r="BO18" s="32" t="s">
        <v>64</v>
      </c>
      <c r="BP18" s="26">
        <v>226.4</v>
      </c>
      <c r="BQ18" s="34">
        <v>5.0</v>
      </c>
      <c r="BR18" s="35" t="s">
        <v>28</v>
      </c>
      <c r="BS18" s="36" t="s">
        <v>32</v>
      </c>
      <c r="BT18" s="1"/>
    </row>
    <row r="19">
      <c r="A19" s="32" t="s">
        <v>66</v>
      </c>
      <c r="B19" s="33">
        <v>88.81</v>
      </c>
      <c r="C19" s="34">
        <v>8.0</v>
      </c>
      <c r="D19" s="35" t="s">
        <v>28</v>
      </c>
      <c r="E19" s="36" t="s">
        <v>32</v>
      </c>
      <c r="F19" s="1"/>
      <c r="G19" s="32" t="s">
        <v>66</v>
      </c>
      <c r="H19" s="33">
        <v>236.69</v>
      </c>
      <c r="I19" s="34">
        <v>8.0</v>
      </c>
      <c r="J19" s="35" t="s">
        <v>28</v>
      </c>
      <c r="K19" s="36" t="s">
        <v>32</v>
      </c>
      <c r="L19" s="1"/>
      <c r="M19" s="32" t="s">
        <v>66</v>
      </c>
      <c r="N19" s="33">
        <v>187.21</v>
      </c>
      <c r="O19" s="34">
        <v>8.0</v>
      </c>
      <c r="P19" s="35" t="s">
        <v>28</v>
      </c>
      <c r="Q19" s="36" t="s">
        <v>32</v>
      </c>
      <c r="R19" s="1"/>
      <c r="S19" s="32" t="s">
        <v>66</v>
      </c>
      <c r="T19" s="33">
        <v>141.15</v>
      </c>
      <c r="U19" s="34">
        <v>8.0</v>
      </c>
      <c r="V19" s="35" t="s">
        <v>28</v>
      </c>
      <c r="W19" s="36" t="s">
        <v>32</v>
      </c>
      <c r="X19" s="1"/>
      <c r="Y19" s="32" t="s">
        <v>66</v>
      </c>
      <c r="Z19" s="33">
        <v>125.04</v>
      </c>
      <c r="AA19" s="34">
        <v>8.0</v>
      </c>
      <c r="AB19" s="35" t="s">
        <v>28</v>
      </c>
      <c r="AC19" s="36" t="s">
        <v>32</v>
      </c>
      <c r="AD19" s="1"/>
      <c r="AE19" s="32" t="s">
        <v>66</v>
      </c>
      <c r="AF19" s="33">
        <v>123.03</v>
      </c>
      <c r="AG19" s="34">
        <v>8.0</v>
      </c>
      <c r="AH19" s="35" t="s">
        <v>28</v>
      </c>
      <c r="AI19" s="36" t="s">
        <v>32</v>
      </c>
      <c r="AJ19" s="1"/>
      <c r="AK19" s="32" t="s">
        <v>66</v>
      </c>
      <c r="AL19" s="33">
        <v>102.83</v>
      </c>
      <c r="AM19" s="34">
        <v>8.0</v>
      </c>
      <c r="AN19" s="35" t="s">
        <v>28</v>
      </c>
      <c r="AO19" s="36" t="s">
        <v>32</v>
      </c>
      <c r="AP19" s="1"/>
      <c r="AQ19" s="32" t="s">
        <v>66</v>
      </c>
      <c r="AR19" s="33">
        <v>93.16</v>
      </c>
      <c r="AS19" s="34">
        <v>8.0</v>
      </c>
      <c r="AT19" s="35" t="s">
        <v>28</v>
      </c>
      <c r="AU19" s="36" t="s">
        <v>32</v>
      </c>
      <c r="AV19" s="1"/>
      <c r="AW19" s="32" t="s">
        <v>66</v>
      </c>
      <c r="AX19" s="33">
        <v>56.47</v>
      </c>
      <c r="AY19" s="34">
        <v>8.0</v>
      </c>
      <c r="AZ19" s="35"/>
      <c r="BB19" s="1"/>
      <c r="BC19" s="32" t="s">
        <v>66</v>
      </c>
      <c r="BD19" s="33">
        <v>56.47</v>
      </c>
      <c r="BE19" s="34">
        <v>8.0</v>
      </c>
      <c r="BF19" s="35" t="s">
        <v>28</v>
      </c>
      <c r="BG19" s="36" t="s">
        <v>32</v>
      </c>
      <c r="BH19" s="1"/>
      <c r="BI19" s="32" t="s">
        <v>66</v>
      </c>
      <c r="BJ19" s="33">
        <v>159.64</v>
      </c>
      <c r="BK19" s="34">
        <v>8.0</v>
      </c>
      <c r="BL19" s="35" t="s">
        <v>28</v>
      </c>
      <c r="BM19" s="36" t="s">
        <v>32</v>
      </c>
      <c r="BN19" s="1"/>
      <c r="BO19" s="32" t="s">
        <v>66</v>
      </c>
      <c r="BP19" s="26">
        <v>311.99</v>
      </c>
      <c r="BQ19" s="34">
        <v>8.0</v>
      </c>
      <c r="BR19" s="35" t="s">
        <v>28</v>
      </c>
      <c r="BS19" s="36" t="s">
        <v>32</v>
      </c>
      <c r="BT19" s="1"/>
    </row>
    <row r="20">
      <c r="A20" s="32" t="s">
        <v>71</v>
      </c>
      <c r="B20" s="74" t="s">
        <v>1111</v>
      </c>
      <c r="C20" s="34">
        <v>10.0</v>
      </c>
      <c r="D20" s="35" t="s">
        <v>32</v>
      </c>
      <c r="F20" s="1"/>
      <c r="G20" s="32" t="s">
        <v>71</v>
      </c>
      <c r="H20" s="52">
        <v>783.75</v>
      </c>
      <c r="I20" s="34">
        <v>10.0</v>
      </c>
      <c r="J20" s="35" t="s">
        <v>32</v>
      </c>
      <c r="K20" s="36" t="s">
        <v>32</v>
      </c>
      <c r="L20" s="1"/>
      <c r="M20" s="32" t="s">
        <v>71</v>
      </c>
      <c r="N20" s="52">
        <v>783.75</v>
      </c>
      <c r="O20" s="34">
        <v>10.0</v>
      </c>
      <c r="P20" s="35" t="s">
        <v>32</v>
      </c>
      <c r="Q20" s="36" t="s">
        <v>32</v>
      </c>
      <c r="R20" s="1"/>
      <c r="S20" s="32" t="s">
        <v>71</v>
      </c>
      <c r="T20" s="68">
        <v>783.75</v>
      </c>
      <c r="U20" s="34">
        <v>10.0</v>
      </c>
      <c r="V20" s="35" t="s">
        <v>32</v>
      </c>
      <c r="W20" s="36" t="s">
        <v>32</v>
      </c>
      <c r="X20" s="1"/>
      <c r="Y20" s="32" t="s">
        <v>71</v>
      </c>
      <c r="Z20" s="68">
        <v>783.75</v>
      </c>
      <c r="AA20" s="34">
        <v>10.0</v>
      </c>
      <c r="AB20" s="35" t="s">
        <v>32</v>
      </c>
      <c r="AC20" s="36" t="s">
        <v>32</v>
      </c>
      <c r="AD20" s="1"/>
      <c r="AE20" s="40" t="s">
        <v>1112</v>
      </c>
      <c r="AF20" s="42">
        <v>1272.08</v>
      </c>
      <c r="AG20" s="34">
        <v>10.0</v>
      </c>
      <c r="AH20" s="75" t="s">
        <v>28</v>
      </c>
      <c r="AI20" s="36" t="s">
        <v>32</v>
      </c>
      <c r="AJ20" s="1"/>
      <c r="AK20" s="32" t="s">
        <v>71</v>
      </c>
      <c r="AL20" s="52">
        <v>783.75</v>
      </c>
      <c r="AM20" s="34">
        <v>10.0</v>
      </c>
      <c r="AN20" s="35" t="s">
        <v>32</v>
      </c>
      <c r="AO20" s="36" t="s">
        <v>32</v>
      </c>
      <c r="AP20" s="1"/>
      <c r="AQ20" s="32" t="s">
        <v>71</v>
      </c>
      <c r="AR20" s="52">
        <v>783.75</v>
      </c>
      <c r="AS20" s="34">
        <v>10.0</v>
      </c>
      <c r="AT20" s="35" t="s">
        <v>32</v>
      </c>
      <c r="AU20" s="36" t="s">
        <v>32</v>
      </c>
      <c r="AV20" s="1"/>
      <c r="AW20" s="32" t="s">
        <v>71</v>
      </c>
      <c r="AX20" s="52">
        <v>783.75</v>
      </c>
      <c r="AY20" s="34">
        <v>10.0</v>
      </c>
      <c r="AZ20" s="35"/>
      <c r="BB20" s="1"/>
      <c r="BC20" s="32" t="s">
        <v>71</v>
      </c>
      <c r="BD20" s="52">
        <v>783.75</v>
      </c>
      <c r="BE20" s="34">
        <v>10.0</v>
      </c>
      <c r="BF20" s="35" t="s">
        <v>32</v>
      </c>
      <c r="BG20" s="36" t="s">
        <v>32</v>
      </c>
      <c r="BH20" s="1"/>
      <c r="BI20" s="32" t="s">
        <v>71</v>
      </c>
      <c r="BJ20" s="52">
        <v>783.75</v>
      </c>
      <c r="BK20" s="34">
        <v>10.0</v>
      </c>
      <c r="BL20" s="35" t="s">
        <v>32</v>
      </c>
      <c r="BM20" s="36" t="s">
        <v>32</v>
      </c>
      <c r="BN20" s="1"/>
      <c r="BO20" s="32" t="s">
        <v>71</v>
      </c>
      <c r="BP20" s="76">
        <v>783.75</v>
      </c>
      <c r="BQ20" s="34">
        <v>10.0</v>
      </c>
      <c r="BR20" s="35" t="s">
        <v>32</v>
      </c>
      <c r="BS20" s="36" t="s">
        <v>32</v>
      </c>
      <c r="BT20" s="1"/>
    </row>
    <row r="21">
      <c r="A21" s="32" t="s">
        <v>73</v>
      </c>
      <c r="C21" s="34">
        <v>10.0</v>
      </c>
      <c r="D21" s="35" t="s">
        <v>28</v>
      </c>
      <c r="F21" s="1"/>
      <c r="G21" s="32" t="s">
        <v>73</v>
      </c>
      <c r="H21" s="52">
        <v>1026.44</v>
      </c>
      <c r="I21" s="34">
        <v>10.0</v>
      </c>
      <c r="J21" s="35" t="s">
        <v>28</v>
      </c>
      <c r="K21" s="36" t="s">
        <v>32</v>
      </c>
      <c r="L21" s="1"/>
      <c r="M21" s="32" t="s">
        <v>73</v>
      </c>
      <c r="N21" s="52">
        <v>1026.44</v>
      </c>
      <c r="O21" s="34">
        <v>10.0</v>
      </c>
      <c r="P21" s="35" t="s">
        <v>28</v>
      </c>
      <c r="Q21" s="36" t="s">
        <v>32</v>
      </c>
      <c r="R21" s="1"/>
      <c r="S21" s="32" t="s">
        <v>73</v>
      </c>
      <c r="T21" s="68">
        <v>1026.44</v>
      </c>
      <c r="U21" s="34">
        <v>10.0</v>
      </c>
      <c r="V21" s="35" t="s">
        <v>28</v>
      </c>
      <c r="W21" s="36" t="s">
        <v>32</v>
      </c>
      <c r="X21" s="1"/>
      <c r="Y21" s="32" t="s">
        <v>73</v>
      </c>
      <c r="Z21" s="68">
        <v>1026.44</v>
      </c>
      <c r="AA21" s="34">
        <v>10.0</v>
      </c>
      <c r="AB21" s="35" t="s">
        <v>28</v>
      </c>
      <c r="AC21" s="36" t="s">
        <v>32</v>
      </c>
      <c r="AD21" s="1"/>
      <c r="AG21" s="34">
        <v>10.0</v>
      </c>
      <c r="AI21" s="36" t="s">
        <v>32</v>
      </c>
      <c r="AJ21" s="1"/>
      <c r="AK21" s="32" t="s">
        <v>73</v>
      </c>
      <c r="AL21" s="52">
        <v>1026.44</v>
      </c>
      <c r="AM21" s="34">
        <v>10.0</v>
      </c>
      <c r="AN21" s="35" t="s">
        <v>28</v>
      </c>
      <c r="AO21" s="36" t="s">
        <v>32</v>
      </c>
      <c r="AP21" s="1"/>
      <c r="AQ21" s="32" t="s">
        <v>73</v>
      </c>
      <c r="AR21" s="52">
        <v>1026.44</v>
      </c>
      <c r="AS21" s="34">
        <v>10.0</v>
      </c>
      <c r="AT21" s="35" t="s">
        <v>28</v>
      </c>
      <c r="AU21" s="36" t="s">
        <v>32</v>
      </c>
      <c r="AV21" s="1"/>
      <c r="AW21" s="32" t="s">
        <v>73</v>
      </c>
      <c r="AX21" s="52">
        <v>1026.44</v>
      </c>
      <c r="AY21" s="34">
        <v>10.0</v>
      </c>
      <c r="AZ21" s="35"/>
      <c r="BB21" s="1"/>
      <c r="BC21" s="32" t="s">
        <v>73</v>
      </c>
      <c r="BD21" s="52">
        <v>1026.44</v>
      </c>
      <c r="BE21" s="34">
        <v>10.0</v>
      </c>
      <c r="BF21" s="35" t="s">
        <v>28</v>
      </c>
      <c r="BG21" s="36" t="s">
        <v>32</v>
      </c>
      <c r="BH21" s="1"/>
      <c r="BI21" s="32" t="s">
        <v>73</v>
      </c>
      <c r="BJ21" s="52">
        <v>1026.44</v>
      </c>
      <c r="BK21" s="34">
        <v>10.0</v>
      </c>
      <c r="BL21" s="35" t="s">
        <v>28</v>
      </c>
      <c r="BM21" s="36" t="s">
        <v>32</v>
      </c>
      <c r="BN21" s="1"/>
      <c r="BO21" s="32" t="s">
        <v>73</v>
      </c>
      <c r="BP21" s="76">
        <v>1026.44</v>
      </c>
      <c r="BQ21" s="34">
        <v>10.0</v>
      </c>
      <c r="BR21" s="35" t="s">
        <v>28</v>
      </c>
      <c r="BS21" s="36" t="s">
        <v>32</v>
      </c>
      <c r="BT21" s="1"/>
    </row>
    <row r="22">
      <c r="A22" s="32" t="s">
        <v>74</v>
      </c>
      <c r="C22" s="34">
        <v>10.0</v>
      </c>
      <c r="D22" s="35" t="s">
        <v>32</v>
      </c>
      <c r="F22" s="1"/>
      <c r="G22" s="32" t="s">
        <v>74</v>
      </c>
      <c r="H22" s="52">
        <v>736.93</v>
      </c>
      <c r="I22" s="34">
        <v>10.0</v>
      </c>
      <c r="J22" s="35" t="s">
        <v>32</v>
      </c>
      <c r="K22" s="36" t="s">
        <v>32</v>
      </c>
      <c r="L22" s="1"/>
      <c r="M22" s="32" t="s">
        <v>74</v>
      </c>
      <c r="N22" s="52">
        <v>736.93</v>
      </c>
      <c r="O22" s="34">
        <v>10.0</v>
      </c>
      <c r="P22" s="35" t="s">
        <v>32</v>
      </c>
      <c r="Q22" s="36" t="s">
        <v>32</v>
      </c>
      <c r="R22" s="1"/>
      <c r="S22" s="32" t="s">
        <v>74</v>
      </c>
      <c r="T22" s="68">
        <v>736.93</v>
      </c>
      <c r="U22" s="34">
        <v>10.0</v>
      </c>
      <c r="V22" s="35" t="s">
        <v>32</v>
      </c>
      <c r="W22" s="36" t="s">
        <v>32</v>
      </c>
      <c r="X22" s="1"/>
      <c r="Y22" s="32" t="s">
        <v>74</v>
      </c>
      <c r="Z22" s="68">
        <v>736.93</v>
      </c>
      <c r="AA22" s="34">
        <v>10.0</v>
      </c>
      <c r="AB22" s="35" t="s">
        <v>32</v>
      </c>
      <c r="AC22" s="36" t="s">
        <v>32</v>
      </c>
      <c r="AD22" s="1"/>
      <c r="AE22" s="40" t="s">
        <v>1113</v>
      </c>
      <c r="AF22" s="77">
        <v>931.7</v>
      </c>
      <c r="AG22" s="34">
        <v>10.0</v>
      </c>
      <c r="AH22" s="75" t="s">
        <v>32</v>
      </c>
      <c r="AI22" s="36" t="s">
        <v>32</v>
      </c>
      <c r="AJ22" s="1"/>
      <c r="AK22" s="32" t="s">
        <v>74</v>
      </c>
      <c r="AL22" s="52">
        <v>736.93</v>
      </c>
      <c r="AM22" s="34">
        <v>10.0</v>
      </c>
      <c r="AN22" s="35" t="s">
        <v>32</v>
      </c>
      <c r="AO22" s="36" t="s">
        <v>32</v>
      </c>
      <c r="AP22" s="1"/>
      <c r="AQ22" s="32" t="s">
        <v>74</v>
      </c>
      <c r="AR22" s="52">
        <v>736.93</v>
      </c>
      <c r="AS22" s="34">
        <v>10.0</v>
      </c>
      <c r="AT22" s="35" t="s">
        <v>32</v>
      </c>
      <c r="AU22" s="36" t="s">
        <v>32</v>
      </c>
      <c r="AV22" s="1"/>
      <c r="AW22" s="32" t="s">
        <v>74</v>
      </c>
      <c r="AX22" s="52">
        <v>736.93</v>
      </c>
      <c r="AY22" s="34">
        <v>10.0</v>
      </c>
      <c r="AZ22" s="35"/>
      <c r="BB22" s="1"/>
      <c r="BC22" s="32" t="s">
        <v>74</v>
      </c>
      <c r="BD22" s="52">
        <v>736.93</v>
      </c>
      <c r="BE22" s="34">
        <v>10.0</v>
      </c>
      <c r="BF22" s="35" t="s">
        <v>32</v>
      </c>
      <c r="BG22" s="36" t="s">
        <v>32</v>
      </c>
      <c r="BH22" s="1"/>
      <c r="BI22" s="32" t="s">
        <v>74</v>
      </c>
      <c r="BJ22" s="52">
        <v>736.93</v>
      </c>
      <c r="BK22" s="34">
        <v>10.0</v>
      </c>
      <c r="BL22" s="35" t="s">
        <v>32</v>
      </c>
      <c r="BM22" s="36" t="s">
        <v>32</v>
      </c>
      <c r="BN22" s="1"/>
      <c r="BO22" s="32" t="s">
        <v>74</v>
      </c>
      <c r="BP22" s="76">
        <v>736.93</v>
      </c>
      <c r="BQ22" s="34">
        <v>10.0</v>
      </c>
      <c r="BR22" s="35" t="s">
        <v>32</v>
      </c>
      <c r="BS22" s="36" t="s">
        <v>32</v>
      </c>
      <c r="BT22" s="1"/>
    </row>
    <row r="23">
      <c r="A23" s="32" t="s">
        <v>75</v>
      </c>
      <c r="C23" s="34">
        <v>10.0</v>
      </c>
      <c r="D23" s="35" t="s">
        <v>28</v>
      </c>
      <c r="F23" s="1"/>
      <c r="G23" s="32" t="s">
        <v>75</v>
      </c>
      <c r="H23" s="52">
        <v>245.64</v>
      </c>
      <c r="I23" s="34">
        <v>10.0</v>
      </c>
      <c r="J23" s="35" t="s">
        <v>28</v>
      </c>
      <c r="K23" s="36" t="s">
        <v>32</v>
      </c>
      <c r="L23" s="1"/>
      <c r="M23" s="32" t="s">
        <v>75</v>
      </c>
      <c r="N23" s="52">
        <v>245.64</v>
      </c>
      <c r="O23" s="34">
        <v>10.0</v>
      </c>
      <c r="P23" s="35" t="s">
        <v>28</v>
      </c>
      <c r="Q23" s="36" t="s">
        <v>32</v>
      </c>
      <c r="R23" s="1"/>
      <c r="S23" s="32" t="s">
        <v>75</v>
      </c>
      <c r="T23" s="68">
        <v>245.64</v>
      </c>
      <c r="U23" s="34">
        <v>10.0</v>
      </c>
      <c r="V23" s="35" t="s">
        <v>28</v>
      </c>
      <c r="W23" s="36" t="s">
        <v>32</v>
      </c>
      <c r="X23" s="1"/>
      <c r="Y23" s="32" t="s">
        <v>75</v>
      </c>
      <c r="Z23" s="68">
        <v>245.64</v>
      </c>
      <c r="AA23" s="34">
        <v>10.0</v>
      </c>
      <c r="AB23" s="35" t="s">
        <v>28</v>
      </c>
      <c r="AC23" s="36" t="s">
        <v>32</v>
      </c>
      <c r="AD23" s="1"/>
      <c r="AG23" s="34">
        <v>10.0</v>
      </c>
      <c r="AI23" s="36" t="s">
        <v>32</v>
      </c>
      <c r="AJ23" s="1"/>
      <c r="AK23" s="32" t="s">
        <v>75</v>
      </c>
      <c r="AL23" s="52">
        <v>245.64</v>
      </c>
      <c r="AM23" s="34">
        <v>10.0</v>
      </c>
      <c r="AN23" s="35" t="s">
        <v>28</v>
      </c>
      <c r="AO23" s="36" t="s">
        <v>32</v>
      </c>
      <c r="AP23" s="1"/>
      <c r="AQ23" s="32" t="s">
        <v>75</v>
      </c>
      <c r="AR23" s="52">
        <v>245.64</v>
      </c>
      <c r="AS23" s="34">
        <v>10.0</v>
      </c>
      <c r="AT23" s="35" t="s">
        <v>28</v>
      </c>
      <c r="AU23" s="36" t="s">
        <v>32</v>
      </c>
      <c r="AV23" s="1"/>
      <c r="AW23" s="32" t="s">
        <v>75</v>
      </c>
      <c r="AX23" s="52">
        <v>245.64</v>
      </c>
      <c r="AY23" s="34">
        <v>10.0</v>
      </c>
      <c r="AZ23" s="35"/>
      <c r="BB23" s="1"/>
      <c r="BC23" s="32" t="s">
        <v>75</v>
      </c>
      <c r="BD23" s="52">
        <v>245.64</v>
      </c>
      <c r="BE23" s="34">
        <v>10.0</v>
      </c>
      <c r="BF23" s="35" t="s">
        <v>28</v>
      </c>
      <c r="BG23" s="36" t="s">
        <v>32</v>
      </c>
      <c r="BH23" s="1"/>
      <c r="BI23" s="32" t="s">
        <v>75</v>
      </c>
      <c r="BJ23" s="52">
        <v>245.64</v>
      </c>
      <c r="BK23" s="34">
        <v>10.0</v>
      </c>
      <c r="BL23" s="35" t="s">
        <v>28</v>
      </c>
      <c r="BM23" s="36" t="s">
        <v>32</v>
      </c>
      <c r="BN23" s="1"/>
      <c r="BO23" s="32" t="s">
        <v>75</v>
      </c>
      <c r="BP23" s="76">
        <v>245.64</v>
      </c>
      <c r="BQ23" s="34">
        <v>10.0</v>
      </c>
      <c r="BR23" s="35" t="s">
        <v>28</v>
      </c>
      <c r="BS23" s="36" t="s">
        <v>32</v>
      </c>
      <c r="BT23" s="1"/>
    </row>
    <row r="24">
      <c r="A24" s="32" t="s">
        <v>76</v>
      </c>
      <c r="B24" s="33">
        <v>223.97</v>
      </c>
      <c r="C24" s="34">
        <v>10.0</v>
      </c>
      <c r="D24" s="35" t="s">
        <v>28</v>
      </c>
      <c r="E24" s="36" t="s">
        <v>32</v>
      </c>
      <c r="F24" s="1"/>
      <c r="G24" s="32" t="s">
        <v>76</v>
      </c>
      <c r="H24" s="33">
        <v>285.16</v>
      </c>
      <c r="I24" s="34">
        <v>10.0</v>
      </c>
      <c r="J24" s="35" t="s">
        <v>28</v>
      </c>
      <c r="K24" s="36" t="s">
        <v>32</v>
      </c>
      <c r="L24" s="1"/>
      <c r="M24" s="32" t="s">
        <v>76</v>
      </c>
      <c r="N24" s="33">
        <v>478.05</v>
      </c>
      <c r="O24" s="34">
        <v>10.0</v>
      </c>
      <c r="P24" s="35" t="s">
        <v>28</v>
      </c>
      <c r="Q24" s="36" t="s">
        <v>32</v>
      </c>
      <c r="R24" s="1"/>
      <c r="S24" s="32" t="s">
        <v>76</v>
      </c>
      <c r="T24" s="33">
        <v>467.59</v>
      </c>
      <c r="U24" s="34">
        <v>10.0</v>
      </c>
      <c r="V24" s="35" t="s">
        <v>28</v>
      </c>
      <c r="W24" s="36" t="s">
        <v>32</v>
      </c>
      <c r="X24" s="1"/>
      <c r="Y24" s="32" t="s">
        <v>76</v>
      </c>
      <c r="Z24" s="33">
        <v>413.17</v>
      </c>
      <c r="AA24" s="34">
        <v>10.0</v>
      </c>
      <c r="AB24" s="35" t="s">
        <v>28</v>
      </c>
      <c r="AC24" s="36" t="s">
        <v>32</v>
      </c>
      <c r="AD24" s="1"/>
      <c r="AE24" s="32" t="s">
        <v>76</v>
      </c>
      <c r="AF24" s="33">
        <v>521.02</v>
      </c>
      <c r="AG24" s="34">
        <v>10.0</v>
      </c>
      <c r="AH24" s="35" t="s">
        <v>28</v>
      </c>
      <c r="AI24" s="36" t="s">
        <v>32</v>
      </c>
      <c r="AJ24" s="1"/>
      <c r="AK24" s="32" t="s">
        <v>76</v>
      </c>
      <c r="AL24" s="33">
        <v>465.38</v>
      </c>
      <c r="AM24" s="34">
        <v>10.0</v>
      </c>
      <c r="AN24" s="35" t="s">
        <v>28</v>
      </c>
      <c r="AO24" s="36" t="s">
        <v>32</v>
      </c>
      <c r="AP24" s="1"/>
      <c r="AQ24" s="32" t="s">
        <v>76</v>
      </c>
      <c r="AR24" s="33">
        <v>298.44</v>
      </c>
      <c r="AS24" s="34">
        <v>10.0</v>
      </c>
      <c r="AT24" s="35" t="s">
        <v>28</v>
      </c>
      <c r="AU24" s="36" t="s">
        <v>32</v>
      </c>
      <c r="AV24" s="1"/>
      <c r="AW24" s="32" t="s">
        <v>76</v>
      </c>
      <c r="AX24" s="33">
        <v>411.26</v>
      </c>
      <c r="AY24" s="34">
        <v>10.0</v>
      </c>
      <c r="AZ24" s="35"/>
      <c r="BB24" s="1"/>
      <c r="BC24" s="32" t="s">
        <v>76</v>
      </c>
      <c r="BD24" s="33">
        <v>411.26</v>
      </c>
      <c r="BE24" s="34">
        <v>10.0</v>
      </c>
      <c r="BF24" s="35" t="s">
        <v>28</v>
      </c>
      <c r="BG24" s="36" t="s">
        <v>32</v>
      </c>
      <c r="BH24" s="1"/>
      <c r="BI24" s="32" t="s">
        <v>76</v>
      </c>
      <c r="BJ24" s="33">
        <v>498.89</v>
      </c>
      <c r="BK24" s="34">
        <v>10.0</v>
      </c>
      <c r="BL24" s="35" t="s">
        <v>28</v>
      </c>
      <c r="BM24" s="36" t="s">
        <v>32</v>
      </c>
      <c r="BN24" s="1"/>
      <c r="BO24" s="32" t="s">
        <v>76</v>
      </c>
      <c r="BP24" s="26">
        <v>658.74</v>
      </c>
      <c r="BQ24" s="34">
        <v>10.0</v>
      </c>
      <c r="BR24" s="35" t="s">
        <v>28</v>
      </c>
      <c r="BS24" s="36" t="s">
        <v>32</v>
      </c>
      <c r="BT24" s="1"/>
    </row>
    <row r="25">
      <c r="A25" s="32" t="s">
        <v>919</v>
      </c>
      <c r="B25" s="33">
        <v>91.93</v>
      </c>
      <c r="C25" s="34">
        <v>10.0</v>
      </c>
      <c r="D25" s="35" t="s">
        <v>28</v>
      </c>
      <c r="E25" s="36" t="s">
        <v>32</v>
      </c>
      <c r="F25" s="1"/>
      <c r="G25" s="32" t="s">
        <v>919</v>
      </c>
      <c r="H25" s="33">
        <v>79.9</v>
      </c>
      <c r="I25" s="34">
        <v>10.0</v>
      </c>
      <c r="J25" s="35" t="s">
        <v>28</v>
      </c>
      <c r="K25" s="36" t="s">
        <v>32</v>
      </c>
      <c r="L25" s="1"/>
      <c r="M25" s="32" t="s">
        <v>919</v>
      </c>
      <c r="N25" s="33">
        <v>79.9</v>
      </c>
      <c r="O25" s="34">
        <v>10.0</v>
      </c>
      <c r="P25" s="35" t="s">
        <v>28</v>
      </c>
      <c r="Q25" s="36" t="s">
        <v>32</v>
      </c>
      <c r="R25" s="1"/>
      <c r="S25" s="32" t="s">
        <v>919</v>
      </c>
      <c r="T25" s="33">
        <v>79.9</v>
      </c>
      <c r="U25" s="34">
        <v>10.0</v>
      </c>
      <c r="V25" s="35" t="s">
        <v>28</v>
      </c>
      <c r="W25" s="36" t="s">
        <v>32</v>
      </c>
      <c r="X25" s="1"/>
      <c r="Y25" s="32" t="s">
        <v>919</v>
      </c>
      <c r="Z25" s="33">
        <v>91.74</v>
      </c>
      <c r="AA25" s="34">
        <v>10.0</v>
      </c>
      <c r="AB25" s="35" t="s">
        <v>28</v>
      </c>
      <c r="AC25" s="36" t="s">
        <v>32</v>
      </c>
      <c r="AD25" s="1"/>
      <c r="AE25" s="32" t="s">
        <v>919</v>
      </c>
      <c r="AF25" s="33">
        <v>88.89</v>
      </c>
      <c r="AG25" s="34">
        <v>10.0</v>
      </c>
      <c r="AH25" s="35" t="s">
        <v>28</v>
      </c>
      <c r="AI25" s="36" t="s">
        <v>32</v>
      </c>
      <c r="AJ25" s="1"/>
      <c r="AK25" s="32" t="s">
        <v>919</v>
      </c>
      <c r="AL25" s="33">
        <v>88.89</v>
      </c>
      <c r="AM25" s="34">
        <v>10.0</v>
      </c>
      <c r="AN25" s="35" t="s">
        <v>28</v>
      </c>
      <c r="AO25" s="36" t="s">
        <v>32</v>
      </c>
      <c r="AP25" s="1"/>
      <c r="AQ25" s="32" t="s">
        <v>919</v>
      </c>
      <c r="AR25" s="33">
        <v>88.89</v>
      </c>
      <c r="AS25" s="34">
        <v>10.0</v>
      </c>
      <c r="AT25" s="35" t="s">
        <v>28</v>
      </c>
      <c r="AU25" s="36" t="s">
        <v>32</v>
      </c>
      <c r="AV25" s="1"/>
      <c r="AW25" s="32" t="s">
        <v>919</v>
      </c>
      <c r="AX25" s="33">
        <v>101.0</v>
      </c>
      <c r="AY25" s="34">
        <v>10.0</v>
      </c>
      <c r="AZ25" s="35"/>
      <c r="BB25" s="1"/>
      <c r="BC25" s="32" t="s">
        <v>919</v>
      </c>
      <c r="BD25" s="33">
        <v>88.89</v>
      </c>
      <c r="BE25" s="34">
        <v>10.0</v>
      </c>
      <c r="BF25" s="35"/>
      <c r="BH25" s="1"/>
      <c r="BI25" s="32" t="s">
        <v>919</v>
      </c>
      <c r="BJ25" s="33">
        <v>88.89</v>
      </c>
      <c r="BK25" s="34">
        <v>10.0</v>
      </c>
      <c r="BL25" s="35" t="s">
        <v>28</v>
      </c>
      <c r="BM25" s="36" t="s">
        <v>32</v>
      </c>
      <c r="BN25" s="1"/>
      <c r="BO25" s="40" t="s">
        <v>919</v>
      </c>
      <c r="BP25" s="78" t="s">
        <v>1114</v>
      </c>
      <c r="BQ25" s="34">
        <v>10.0</v>
      </c>
      <c r="BR25" s="35"/>
      <c r="BT25" s="1"/>
    </row>
    <row r="26">
      <c r="A26" s="32" t="s">
        <v>1115</v>
      </c>
      <c r="B26" s="33">
        <v>0.0</v>
      </c>
      <c r="C26" s="34">
        <v>12.0</v>
      </c>
      <c r="D26" s="35" t="s">
        <v>32</v>
      </c>
      <c r="F26" s="1"/>
      <c r="G26" s="32" t="s">
        <v>1115</v>
      </c>
      <c r="H26" s="33">
        <v>0.0</v>
      </c>
      <c r="I26" s="34">
        <v>12.0</v>
      </c>
      <c r="J26" s="35"/>
      <c r="L26" s="1"/>
      <c r="M26" s="32" t="s">
        <v>1115</v>
      </c>
      <c r="N26" s="33">
        <v>0.0</v>
      </c>
      <c r="O26" s="34">
        <v>12.0</v>
      </c>
      <c r="P26" s="35" t="s">
        <v>32</v>
      </c>
      <c r="Q26" s="36" t="s">
        <v>32</v>
      </c>
      <c r="R26" s="1"/>
      <c r="S26" s="32" t="s">
        <v>1115</v>
      </c>
      <c r="T26" s="33">
        <v>0.0</v>
      </c>
      <c r="U26" s="34">
        <v>12.0</v>
      </c>
      <c r="V26" s="35" t="s">
        <v>32</v>
      </c>
      <c r="W26" s="36" t="s">
        <v>32</v>
      </c>
      <c r="X26" s="1"/>
      <c r="Y26" s="32" t="s">
        <v>1115</v>
      </c>
      <c r="Z26" s="33">
        <v>0.0</v>
      </c>
      <c r="AA26" s="34">
        <v>12.0</v>
      </c>
      <c r="AB26" s="35" t="s">
        <v>32</v>
      </c>
      <c r="AC26" s="36" t="s">
        <v>32</v>
      </c>
      <c r="AD26" s="1"/>
      <c r="AE26" s="32" t="s">
        <v>1115</v>
      </c>
      <c r="AF26" s="33">
        <v>0.0</v>
      </c>
      <c r="AG26" s="34">
        <v>12.0</v>
      </c>
      <c r="AH26" s="35" t="s">
        <v>32</v>
      </c>
      <c r="AI26" s="36" t="s">
        <v>32</v>
      </c>
      <c r="AJ26" s="1"/>
      <c r="AK26" s="32" t="s">
        <v>1115</v>
      </c>
      <c r="AL26" s="33">
        <v>0.0</v>
      </c>
      <c r="AM26" s="34">
        <v>12.0</v>
      </c>
      <c r="AN26" s="35" t="s">
        <v>32</v>
      </c>
      <c r="AO26" s="36" t="s">
        <v>32</v>
      </c>
      <c r="AP26" s="1"/>
      <c r="AQ26" s="32" t="s">
        <v>1115</v>
      </c>
      <c r="AR26" s="33">
        <v>0.0</v>
      </c>
      <c r="AS26" s="34">
        <v>12.0</v>
      </c>
      <c r="AT26" s="35" t="s">
        <v>32</v>
      </c>
      <c r="AU26" s="36" t="s">
        <v>32</v>
      </c>
      <c r="AV26" s="1"/>
      <c r="AW26" s="32" t="s">
        <v>1115</v>
      </c>
      <c r="AX26" s="33">
        <v>0.0</v>
      </c>
      <c r="AY26" s="34">
        <v>12.0</v>
      </c>
      <c r="AZ26" s="35"/>
      <c r="BB26" s="1"/>
      <c r="BC26" s="32" t="s">
        <v>1115</v>
      </c>
      <c r="BD26" s="33">
        <v>0.0</v>
      </c>
      <c r="BE26" s="34">
        <v>12.0</v>
      </c>
      <c r="BF26" s="35"/>
      <c r="BG26" s="36"/>
      <c r="BH26" s="1"/>
      <c r="BI26" s="32" t="s">
        <v>1115</v>
      </c>
      <c r="BJ26" s="33">
        <v>0.0</v>
      </c>
      <c r="BK26" s="34">
        <v>12.0</v>
      </c>
      <c r="BL26" s="35"/>
      <c r="BN26" s="1"/>
      <c r="BO26" s="32" t="s">
        <v>1115</v>
      </c>
      <c r="BP26" s="33">
        <v>0.0</v>
      </c>
      <c r="BQ26" s="34">
        <v>12.0</v>
      </c>
      <c r="BR26" s="35"/>
      <c r="BS26" s="36"/>
      <c r="BT26" s="1"/>
    </row>
    <row r="27">
      <c r="A27" s="32" t="s">
        <v>77</v>
      </c>
      <c r="B27" s="33">
        <v>50.0</v>
      </c>
      <c r="C27" s="34">
        <v>10.0</v>
      </c>
      <c r="D27" s="35" t="s">
        <v>34</v>
      </c>
      <c r="E27" s="36" t="s">
        <v>32</v>
      </c>
      <c r="F27" s="1"/>
      <c r="G27" s="32" t="s">
        <v>77</v>
      </c>
      <c r="H27" s="33">
        <v>50.0</v>
      </c>
      <c r="I27" s="34">
        <v>10.0</v>
      </c>
      <c r="J27" s="35" t="s">
        <v>34</v>
      </c>
      <c r="K27" s="36" t="s">
        <v>32</v>
      </c>
      <c r="L27" s="1"/>
      <c r="M27" s="32" t="s">
        <v>77</v>
      </c>
      <c r="N27" s="33">
        <v>50.0</v>
      </c>
      <c r="O27" s="34">
        <v>10.0</v>
      </c>
      <c r="P27" s="35" t="s">
        <v>34</v>
      </c>
      <c r="Q27" s="36" t="s">
        <v>32</v>
      </c>
      <c r="R27" s="1"/>
      <c r="S27" s="32" t="s">
        <v>77</v>
      </c>
      <c r="T27" s="33">
        <v>50.0</v>
      </c>
      <c r="U27" s="34">
        <v>10.0</v>
      </c>
      <c r="V27" s="35" t="s">
        <v>34</v>
      </c>
      <c r="W27" s="36" t="s">
        <v>32</v>
      </c>
      <c r="X27" s="1"/>
      <c r="Y27" s="32" t="s">
        <v>77</v>
      </c>
      <c r="Z27" s="33">
        <v>50.0</v>
      </c>
      <c r="AA27" s="34">
        <v>10.0</v>
      </c>
      <c r="AB27" s="35" t="s">
        <v>34</v>
      </c>
      <c r="AC27" s="36" t="s">
        <v>32</v>
      </c>
      <c r="AD27" s="1"/>
      <c r="AE27" s="32" t="s">
        <v>77</v>
      </c>
      <c r="AF27" s="33">
        <v>50.0</v>
      </c>
      <c r="AG27" s="34">
        <v>10.0</v>
      </c>
      <c r="AH27" s="35" t="s">
        <v>34</v>
      </c>
      <c r="AI27" s="36" t="s">
        <v>32</v>
      </c>
      <c r="AJ27" s="1"/>
      <c r="AK27" s="32" t="s">
        <v>77</v>
      </c>
      <c r="AL27" s="33">
        <v>50.0</v>
      </c>
      <c r="AM27" s="34">
        <v>10.0</v>
      </c>
      <c r="AN27" s="35" t="s">
        <v>34</v>
      </c>
      <c r="AO27" s="36" t="s">
        <v>32</v>
      </c>
      <c r="AP27" s="1"/>
      <c r="AQ27" s="32" t="s">
        <v>77</v>
      </c>
      <c r="AR27" s="33">
        <v>50.0</v>
      </c>
      <c r="AS27" s="34">
        <v>10.0</v>
      </c>
      <c r="AT27" s="35" t="s">
        <v>34</v>
      </c>
      <c r="AU27" s="36" t="s">
        <v>32</v>
      </c>
      <c r="AV27" s="1"/>
      <c r="AW27" s="32" t="s">
        <v>77</v>
      </c>
      <c r="AX27" s="33">
        <v>50.0</v>
      </c>
      <c r="AY27" s="34">
        <v>10.0</v>
      </c>
      <c r="AZ27" s="35"/>
      <c r="BB27" s="1"/>
      <c r="BC27" s="32" t="s">
        <v>77</v>
      </c>
      <c r="BD27" s="33">
        <v>50.0</v>
      </c>
      <c r="BE27" s="34">
        <v>10.0</v>
      </c>
      <c r="BF27" s="35" t="s">
        <v>34</v>
      </c>
      <c r="BG27" s="36" t="s">
        <v>32</v>
      </c>
      <c r="BH27" s="1"/>
      <c r="BI27" s="32" t="s">
        <v>77</v>
      </c>
      <c r="BJ27" s="33">
        <v>50.0</v>
      </c>
      <c r="BK27" s="34">
        <v>10.0</v>
      </c>
      <c r="BL27" s="35" t="s">
        <v>34</v>
      </c>
      <c r="BM27" s="36" t="s">
        <v>32</v>
      </c>
      <c r="BN27" s="1"/>
      <c r="BO27" s="32" t="s">
        <v>77</v>
      </c>
      <c r="BP27" s="26">
        <v>50.0</v>
      </c>
      <c r="BQ27" s="34">
        <v>10.0</v>
      </c>
      <c r="BR27" s="35" t="s">
        <v>34</v>
      </c>
      <c r="BS27" s="36" t="s">
        <v>32</v>
      </c>
      <c r="BT27" s="1"/>
    </row>
    <row r="28">
      <c r="A28" s="32" t="s">
        <v>78</v>
      </c>
      <c r="B28" s="33">
        <v>100.0</v>
      </c>
      <c r="C28" s="34">
        <v>14.0</v>
      </c>
      <c r="D28" s="35" t="s">
        <v>28</v>
      </c>
      <c r="E28" s="36" t="s">
        <v>32</v>
      </c>
      <c r="F28" s="1"/>
      <c r="G28" s="32" t="s">
        <v>78</v>
      </c>
      <c r="H28" s="33">
        <v>100.0</v>
      </c>
      <c r="I28" s="34">
        <v>14.0</v>
      </c>
      <c r="J28" s="35" t="s">
        <v>28</v>
      </c>
      <c r="K28" s="36" t="s">
        <v>32</v>
      </c>
      <c r="L28" s="1"/>
      <c r="M28" s="32" t="s">
        <v>78</v>
      </c>
      <c r="N28" s="33">
        <v>100.0</v>
      </c>
      <c r="O28" s="34">
        <v>14.0</v>
      </c>
      <c r="P28" s="35" t="s">
        <v>28</v>
      </c>
      <c r="Q28" s="36" t="s">
        <v>32</v>
      </c>
      <c r="R28" s="1"/>
      <c r="S28" s="32" t="s">
        <v>78</v>
      </c>
      <c r="T28" s="33">
        <v>150.0</v>
      </c>
      <c r="U28" s="34">
        <v>14.0</v>
      </c>
      <c r="V28" s="35" t="s">
        <v>28</v>
      </c>
      <c r="W28" s="36" t="s">
        <v>32</v>
      </c>
      <c r="X28" s="1"/>
      <c r="Y28" s="32" t="s">
        <v>78</v>
      </c>
      <c r="Z28" s="33">
        <v>200.0</v>
      </c>
      <c r="AA28" s="34">
        <v>14.0</v>
      </c>
      <c r="AB28" s="35" t="s">
        <v>28</v>
      </c>
      <c r="AC28" s="36" t="s">
        <v>32</v>
      </c>
      <c r="AD28" s="1"/>
      <c r="AE28" s="32" t="s">
        <v>78</v>
      </c>
      <c r="AF28" s="33">
        <v>100.0</v>
      </c>
      <c r="AG28" s="34">
        <v>14.0</v>
      </c>
      <c r="AH28" s="35" t="s">
        <v>28</v>
      </c>
      <c r="AI28" s="36" t="s">
        <v>32</v>
      </c>
      <c r="AJ28" s="1"/>
      <c r="AK28" s="32" t="s">
        <v>78</v>
      </c>
      <c r="AL28" s="33">
        <v>100.0</v>
      </c>
      <c r="AM28" s="34">
        <v>14.0</v>
      </c>
      <c r="AN28" s="35" t="s">
        <v>28</v>
      </c>
      <c r="AO28" s="36" t="s">
        <v>32</v>
      </c>
      <c r="AP28" s="1"/>
      <c r="AQ28" s="32" t="s">
        <v>78</v>
      </c>
      <c r="AR28" s="33">
        <v>100.0</v>
      </c>
      <c r="AS28" s="34">
        <v>14.0</v>
      </c>
      <c r="AT28" s="35" t="s">
        <v>28</v>
      </c>
      <c r="AU28" s="36" t="s">
        <v>32</v>
      </c>
      <c r="AV28" s="1"/>
      <c r="AW28" s="32" t="s">
        <v>78</v>
      </c>
      <c r="AX28" s="33">
        <v>100.0</v>
      </c>
      <c r="AY28" s="34">
        <v>14.0</v>
      </c>
      <c r="AZ28" s="35" t="s">
        <v>28</v>
      </c>
      <c r="BA28" s="36" t="s">
        <v>32</v>
      </c>
      <c r="BB28" s="1"/>
      <c r="BC28" s="32" t="s">
        <v>78</v>
      </c>
      <c r="BD28" s="33"/>
      <c r="BE28" s="34">
        <v>14.0</v>
      </c>
      <c r="BF28" s="35"/>
      <c r="BG28" s="36"/>
      <c r="BH28" s="1"/>
      <c r="BI28" s="32" t="s">
        <v>78</v>
      </c>
      <c r="BJ28" s="33">
        <v>200.0</v>
      </c>
      <c r="BK28" s="34">
        <v>14.0</v>
      </c>
      <c r="BL28" s="35" t="s">
        <v>28</v>
      </c>
      <c r="BM28" s="36" t="s">
        <v>32</v>
      </c>
      <c r="BN28" s="1"/>
      <c r="BO28" s="32" t="s">
        <v>78</v>
      </c>
      <c r="BP28" s="33"/>
      <c r="BQ28" s="34">
        <v>14.0</v>
      </c>
      <c r="BR28" s="35"/>
      <c r="BS28" s="36"/>
      <c r="BT28" s="1"/>
    </row>
    <row r="29">
      <c r="A29" s="32" t="s">
        <v>714</v>
      </c>
      <c r="B29" s="33">
        <v>99.99</v>
      </c>
      <c r="C29" s="34">
        <v>25.0</v>
      </c>
      <c r="D29" s="35" t="s">
        <v>32</v>
      </c>
      <c r="E29" s="36" t="s">
        <v>32</v>
      </c>
      <c r="F29" s="1"/>
      <c r="G29" s="32" t="s">
        <v>714</v>
      </c>
      <c r="H29" s="33">
        <v>100.51</v>
      </c>
      <c r="I29" s="34">
        <v>25.0</v>
      </c>
      <c r="J29" s="35" t="s">
        <v>32</v>
      </c>
      <c r="K29" s="36" t="s">
        <v>32</v>
      </c>
      <c r="L29" s="1"/>
      <c r="M29" s="32" t="s">
        <v>714</v>
      </c>
      <c r="N29" s="33">
        <v>110.52</v>
      </c>
      <c r="O29" s="34">
        <v>25.0</v>
      </c>
      <c r="P29" s="35" t="s">
        <v>32</v>
      </c>
      <c r="Q29" s="36" t="s">
        <v>32</v>
      </c>
      <c r="R29" s="1"/>
      <c r="S29" s="32" t="s">
        <v>714</v>
      </c>
      <c r="T29" s="33">
        <v>100.8</v>
      </c>
      <c r="U29" s="34">
        <v>25.0</v>
      </c>
      <c r="V29" s="35" t="s">
        <v>32</v>
      </c>
      <c r="W29" s="36" t="s">
        <v>32</v>
      </c>
      <c r="X29" s="1"/>
      <c r="Y29" s="32" t="s">
        <v>714</v>
      </c>
      <c r="Z29" s="33">
        <v>99.99</v>
      </c>
      <c r="AA29" s="34">
        <v>25.0</v>
      </c>
      <c r="AB29" s="35" t="s">
        <v>32</v>
      </c>
      <c r="AC29" s="36" t="s">
        <v>32</v>
      </c>
      <c r="AD29" s="1"/>
      <c r="AE29" s="32" t="s">
        <v>714</v>
      </c>
      <c r="AF29" s="33">
        <v>99.99</v>
      </c>
      <c r="AG29" s="34">
        <v>25.0</v>
      </c>
      <c r="AH29" s="35" t="s">
        <v>32</v>
      </c>
      <c r="AI29" s="36" t="s">
        <v>32</v>
      </c>
      <c r="AJ29" s="1"/>
      <c r="AK29" s="32" t="s">
        <v>714</v>
      </c>
      <c r="AL29" s="33">
        <v>99.99</v>
      </c>
      <c r="AM29" s="34">
        <v>25.0</v>
      </c>
      <c r="AN29" s="35" t="s">
        <v>32</v>
      </c>
      <c r="AO29" s="36" t="s">
        <v>32</v>
      </c>
      <c r="AP29" s="1"/>
      <c r="AQ29" s="32" t="s">
        <v>714</v>
      </c>
      <c r="AR29" s="33">
        <v>99.99</v>
      </c>
      <c r="AS29" s="34">
        <v>25.0</v>
      </c>
      <c r="AT29" s="35" t="s">
        <v>32</v>
      </c>
      <c r="AU29" s="36" t="s">
        <v>32</v>
      </c>
      <c r="AV29" s="1"/>
      <c r="AW29" s="32" t="s">
        <v>714</v>
      </c>
      <c r="AX29" s="33">
        <v>99.99</v>
      </c>
      <c r="AY29" s="34">
        <v>25.0</v>
      </c>
      <c r="AZ29" s="35" t="s">
        <v>32</v>
      </c>
      <c r="BA29" s="36" t="s">
        <v>32</v>
      </c>
      <c r="BB29" s="1"/>
      <c r="BC29" s="32" t="s">
        <v>714</v>
      </c>
      <c r="BD29" s="33"/>
      <c r="BE29" s="34">
        <v>25.0</v>
      </c>
      <c r="BF29" s="35"/>
      <c r="BG29" s="36"/>
      <c r="BH29" s="1"/>
      <c r="BI29" s="32" t="s">
        <v>714</v>
      </c>
      <c r="BJ29" s="33">
        <v>99.99</v>
      </c>
      <c r="BK29" s="34">
        <v>25.0</v>
      </c>
      <c r="BL29" s="35" t="s">
        <v>32</v>
      </c>
      <c r="BM29" s="36" t="s">
        <v>32</v>
      </c>
      <c r="BN29" s="1"/>
      <c r="BO29" s="32" t="s">
        <v>714</v>
      </c>
      <c r="BP29" s="33"/>
      <c r="BQ29" s="34">
        <v>25.0</v>
      </c>
      <c r="BR29" s="35"/>
      <c r="BS29" s="36"/>
      <c r="BT29" s="1"/>
    </row>
    <row r="30">
      <c r="A30" s="32" t="s">
        <v>81</v>
      </c>
      <c r="B30" s="33">
        <v>1200.0</v>
      </c>
      <c r="C30" s="34">
        <v>30.0</v>
      </c>
      <c r="D30" s="35" t="s">
        <v>28</v>
      </c>
      <c r="E30" s="36" t="s">
        <v>32</v>
      </c>
      <c r="F30" s="1"/>
      <c r="G30" s="32" t="s">
        <v>81</v>
      </c>
      <c r="H30" s="33">
        <v>1217.5</v>
      </c>
      <c r="I30" s="34">
        <v>30.0</v>
      </c>
      <c r="J30" s="35" t="s">
        <v>28</v>
      </c>
      <c r="K30" s="36" t="s">
        <v>32</v>
      </c>
      <c r="L30" s="1"/>
      <c r="M30" s="32" t="s">
        <v>81</v>
      </c>
      <c r="N30" s="33">
        <v>1000.0</v>
      </c>
      <c r="O30" s="34">
        <v>30.0</v>
      </c>
      <c r="P30" s="35" t="s">
        <v>28</v>
      </c>
      <c r="Q30" s="36" t="s">
        <v>32</v>
      </c>
      <c r="R30" s="1"/>
      <c r="S30" s="32" t="s">
        <v>81</v>
      </c>
      <c r="T30" s="33">
        <v>1017.5</v>
      </c>
      <c r="U30" s="34">
        <v>30.0</v>
      </c>
      <c r="V30" s="35" t="s">
        <v>28</v>
      </c>
      <c r="W30" s="36" t="s">
        <v>32</v>
      </c>
      <c r="X30" s="1"/>
      <c r="Y30" s="32" t="s">
        <v>81</v>
      </c>
      <c r="Z30" s="33">
        <v>1017.5</v>
      </c>
      <c r="AA30" s="34">
        <v>30.0</v>
      </c>
      <c r="AB30" s="35" t="s">
        <v>28</v>
      </c>
      <c r="AC30" s="36" t="s">
        <v>32</v>
      </c>
      <c r="AD30" s="1"/>
      <c r="AE30" s="32" t="s">
        <v>81</v>
      </c>
      <c r="AF30" s="33">
        <v>1017.5</v>
      </c>
      <c r="AG30" s="34">
        <v>30.0</v>
      </c>
      <c r="AH30" s="35" t="s">
        <v>28</v>
      </c>
      <c r="AI30" s="36" t="s">
        <v>32</v>
      </c>
      <c r="AJ30" s="1"/>
      <c r="AK30" s="32" t="s">
        <v>81</v>
      </c>
      <c r="AL30" s="33">
        <v>1017.5</v>
      </c>
      <c r="AM30" s="34">
        <v>30.0</v>
      </c>
      <c r="AN30" s="35" t="s">
        <v>28</v>
      </c>
      <c r="AO30" s="36" t="s">
        <v>32</v>
      </c>
      <c r="AP30" s="1"/>
      <c r="AQ30" s="32" t="s">
        <v>81</v>
      </c>
      <c r="AR30" s="33">
        <v>1017.5</v>
      </c>
      <c r="AS30" s="34">
        <v>30.0</v>
      </c>
      <c r="AT30" s="35" t="s">
        <v>28</v>
      </c>
      <c r="AU30" s="36" t="s">
        <v>32</v>
      </c>
      <c r="AV30" s="1"/>
      <c r="AW30" s="32" t="s">
        <v>81</v>
      </c>
      <c r="AX30" s="33">
        <v>1017.5</v>
      </c>
      <c r="AY30" s="34">
        <v>30.0</v>
      </c>
      <c r="AZ30" s="35" t="s">
        <v>28</v>
      </c>
      <c r="BA30" s="36" t="s">
        <v>32</v>
      </c>
      <c r="BB30" s="1"/>
      <c r="BC30" s="32" t="s">
        <v>81</v>
      </c>
      <c r="BD30" s="33">
        <v>1017.5</v>
      </c>
      <c r="BE30" s="34">
        <v>30.0</v>
      </c>
      <c r="BF30" s="35" t="s">
        <v>28</v>
      </c>
      <c r="BG30" s="36" t="s">
        <v>32</v>
      </c>
      <c r="BH30" s="1"/>
      <c r="BI30" s="32" t="s">
        <v>81</v>
      </c>
      <c r="BJ30" s="33">
        <v>1872.84</v>
      </c>
      <c r="BK30" s="34">
        <v>30.0</v>
      </c>
      <c r="BL30" s="35" t="s">
        <v>28</v>
      </c>
      <c r="BM30" s="36" t="s">
        <v>32</v>
      </c>
      <c r="BN30" s="1"/>
      <c r="BO30" s="32" t="s">
        <v>81</v>
      </c>
      <c r="BP30" s="26">
        <v>520.0</v>
      </c>
      <c r="BQ30" s="34">
        <v>30.0</v>
      </c>
      <c r="BR30" s="35" t="s">
        <v>28</v>
      </c>
      <c r="BS30" s="36" t="s">
        <v>32</v>
      </c>
      <c r="BT30" s="1"/>
    </row>
    <row r="31">
      <c r="A31" s="32" t="s">
        <v>83</v>
      </c>
      <c r="B31" s="33"/>
      <c r="C31" s="34">
        <v>30.0</v>
      </c>
      <c r="D31" s="35" t="s">
        <v>28</v>
      </c>
      <c r="F31" s="1"/>
      <c r="G31" s="32" t="s">
        <v>83</v>
      </c>
      <c r="H31" s="33">
        <v>302.5</v>
      </c>
      <c r="I31" s="34">
        <v>30.0</v>
      </c>
      <c r="J31" s="35" t="s">
        <v>28</v>
      </c>
      <c r="K31" s="36" t="s">
        <v>32</v>
      </c>
      <c r="L31" s="1"/>
      <c r="M31" s="32" t="s">
        <v>83</v>
      </c>
      <c r="N31" s="33">
        <v>302.5</v>
      </c>
      <c r="O31" s="34">
        <v>30.0</v>
      </c>
      <c r="P31" s="35" t="s">
        <v>28</v>
      </c>
      <c r="Q31" s="36" t="s">
        <v>32</v>
      </c>
      <c r="R31" s="1"/>
      <c r="S31" s="32" t="s">
        <v>83</v>
      </c>
      <c r="T31" s="33">
        <v>302.5</v>
      </c>
      <c r="U31" s="34">
        <v>30.0</v>
      </c>
      <c r="V31" s="35" t="s">
        <v>28</v>
      </c>
      <c r="W31" s="36" t="s">
        <v>32</v>
      </c>
      <c r="X31" s="1"/>
      <c r="Y31" s="32" t="s">
        <v>83</v>
      </c>
      <c r="Z31" s="33">
        <v>302.5</v>
      </c>
      <c r="AA31" s="34">
        <v>30.0</v>
      </c>
      <c r="AB31" s="35" t="s">
        <v>28</v>
      </c>
      <c r="AC31" s="36" t="s">
        <v>32</v>
      </c>
      <c r="AD31" s="1"/>
      <c r="AE31" s="32" t="s">
        <v>83</v>
      </c>
      <c r="AF31" s="33">
        <v>302.5</v>
      </c>
      <c r="AG31" s="34">
        <v>30.0</v>
      </c>
      <c r="AH31" s="35" t="s">
        <v>28</v>
      </c>
      <c r="AI31" s="36" t="s">
        <v>32</v>
      </c>
      <c r="AJ31" s="1"/>
      <c r="AK31" s="32" t="s">
        <v>83</v>
      </c>
      <c r="AL31" s="33">
        <v>302.5</v>
      </c>
      <c r="AM31" s="34">
        <v>30.0</v>
      </c>
      <c r="AN31" s="35" t="s">
        <v>28</v>
      </c>
      <c r="AO31" s="36" t="s">
        <v>32</v>
      </c>
      <c r="AP31" s="1"/>
      <c r="AQ31" s="32" t="s">
        <v>83</v>
      </c>
      <c r="AR31" s="33"/>
      <c r="AS31" s="34">
        <v>30.0</v>
      </c>
      <c r="AT31" s="35" t="s">
        <v>28</v>
      </c>
      <c r="AV31" s="1"/>
      <c r="AW31" s="32" t="s">
        <v>83</v>
      </c>
      <c r="AX31" s="33">
        <v>302.5</v>
      </c>
      <c r="AY31" s="34">
        <v>30.0</v>
      </c>
      <c r="AZ31" s="35"/>
      <c r="BB31" s="1"/>
      <c r="BC31" s="32" t="s">
        <v>83</v>
      </c>
      <c r="BD31" s="33">
        <v>302.5</v>
      </c>
      <c r="BE31" s="34">
        <v>30.0</v>
      </c>
      <c r="BF31" s="35" t="s">
        <v>28</v>
      </c>
      <c r="BG31" s="36" t="s">
        <v>32</v>
      </c>
      <c r="BH31" s="1"/>
      <c r="BI31" s="32" t="s">
        <v>83</v>
      </c>
      <c r="BJ31" s="33">
        <v>358.96</v>
      </c>
      <c r="BK31" s="34">
        <v>30.0</v>
      </c>
      <c r="BL31" s="35" t="s">
        <v>28</v>
      </c>
      <c r="BM31" s="36" t="s">
        <v>32</v>
      </c>
      <c r="BN31" s="1"/>
      <c r="BO31" s="32" t="s">
        <v>83</v>
      </c>
      <c r="BP31" s="26">
        <v>675.59</v>
      </c>
      <c r="BQ31" s="34">
        <v>30.0</v>
      </c>
      <c r="BR31" s="35" t="s">
        <v>28</v>
      </c>
      <c r="BS31" s="36" t="s">
        <v>32</v>
      </c>
      <c r="BT31" s="1"/>
    </row>
    <row r="32">
      <c r="A32" s="55" t="s">
        <v>84</v>
      </c>
      <c r="B32" s="56">
        <v>1693.6</v>
      </c>
      <c r="C32" s="79">
        <v>30.0</v>
      </c>
      <c r="D32" s="57" t="s">
        <v>32</v>
      </c>
      <c r="E32" s="58" t="s">
        <v>32</v>
      </c>
      <c r="F32" s="80"/>
      <c r="G32" s="55" t="s">
        <v>84</v>
      </c>
      <c r="H32" s="56">
        <v>1712.05</v>
      </c>
      <c r="I32" s="79">
        <v>30.0</v>
      </c>
      <c r="J32" s="57" t="s">
        <v>32</v>
      </c>
      <c r="K32" s="58" t="s">
        <v>32</v>
      </c>
      <c r="L32" s="80"/>
      <c r="M32" s="55" t="s">
        <v>84</v>
      </c>
      <c r="N32" s="56">
        <v>1825.9</v>
      </c>
      <c r="O32" s="79">
        <v>30.0</v>
      </c>
      <c r="P32" s="57" t="s">
        <v>32</v>
      </c>
      <c r="Q32" s="58" t="s">
        <v>32</v>
      </c>
      <c r="R32" s="80"/>
      <c r="S32" s="55" t="s">
        <v>84</v>
      </c>
      <c r="T32" s="56">
        <v>1855.37</v>
      </c>
      <c r="U32" s="79">
        <v>30.0</v>
      </c>
      <c r="V32" s="57" t="s">
        <v>32</v>
      </c>
      <c r="W32" s="58" t="s">
        <v>32</v>
      </c>
      <c r="X32" s="80"/>
      <c r="Y32" s="55" t="s">
        <v>84</v>
      </c>
      <c r="Z32" s="56">
        <v>1798.73</v>
      </c>
      <c r="AA32" s="79">
        <v>30.0</v>
      </c>
      <c r="AB32" s="57" t="s">
        <v>32</v>
      </c>
      <c r="AC32" s="58" t="s">
        <v>32</v>
      </c>
      <c r="AD32" s="1"/>
      <c r="AE32" s="55" t="s">
        <v>84</v>
      </c>
      <c r="AF32" s="56">
        <v>1755.72</v>
      </c>
      <c r="AG32" s="34">
        <v>30.0</v>
      </c>
      <c r="AH32" s="57" t="s">
        <v>32</v>
      </c>
      <c r="AI32" s="36" t="s">
        <v>32</v>
      </c>
      <c r="AJ32" s="1"/>
      <c r="AK32" s="55" t="s">
        <v>84</v>
      </c>
      <c r="AL32" s="56">
        <v>1804.15</v>
      </c>
      <c r="AM32" s="34">
        <v>30.0</v>
      </c>
      <c r="AN32" s="57" t="s">
        <v>32</v>
      </c>
      <c r="AO32" s="58" t="s">
        <v>32</v>
      </c>
      <c r="AP32" s="1"/>
      <c r="AQ32" s="55" t="s">
        <v>84</v>
      </c>
      <c r="AR32" s="56">
        <v>1755.72</v>
      </c>
      <c r="AS32" s="34">
        <v>30.0</v>
      </c>
      <c r="AT32" s="57" t="s">
        <v>32</v>
      </c>
      <c r="AU32" s="36" t="s">
        <v>32</v>
      </c>
      <c r="AV32" s="1"/>
      <c r="AW32" s="55" t="s">
        <v>84</v>
      </c>
      <c r="AX32" s="56">
        <v>1755.12</v>
      </c>
      <c r="AY32" s="34">
        <v>30.0</v>
      </c>
      <c r="AZ32" s="57"/>
      <c r="BA32" s="58"/>
      <c r="BB32" s="1"/>
      <c r="BC32" s="55" t="s">
        <v>84</v>
      </c>
      <c r="BD32" s="56">
        <v>1755.72</v>
      </c>
      <c r="BE32" s="34">
        <v>30.0</v>
      </c>
      <c r="BF32" s="57" t="s">
        <v>32</v>
      </c>
      <c r="BG32" s="58" t="s">
        <v>32</v>
      </c>
      <c r="BH32" s="1"/>
      <c r="BI32" s="55" t="s">
        <v>84</v>
      </c>
      <c r="BJ32" s="56">
        <v>1755.72</v>
      </c>
      <c r="BK32" s="34">
        <v>30.0</v>
      </c>
      <c r="BL32" s="57" t="s">
        <v>32</v>
      </c>
      <c r="BM32" s="58" t="s">
        <v>32</v>
      </c>
      <c r="BN32" s="1"/>
      <c r="BO32" s="55" t="s">
        <v>84</v>
      </c>
      <c r="BP32" s="81">
        <v>1819.79</v>
      </c>
      <c r="BQ32" s="34">
        <v>30.0</v>
      </c>
      <c r="BR32" s="57" t="s">
        <v>32</v>
      </c>
      <c r="BS32" s="58" t="s">
        <v>32</v>
      </c>
      <c r="BT32" s="1"/>
    </row>
    <row r="33">
      <c r="A33" s="82" t="s">
        <v>1116</v>
      </c>
      <c r="B33" s="83">
        <v>359.96</v>
      </c>
      <c r="C33" s="39">
        <v>-21.0</v>
      </c>
      <c r="D33" s="39" t="s">
        <v>28</v>
      </c>
      <c r="E33" s="36" t="s">
        <v>32</v>
      </c>
      <c r="F33" s="1"/>
      <c r="G33" s="60" t="s">
        <v>85</v>
      </c>
      <c r="H33" s="54">
        <v>573.08</v>
      </c>
      <c r="I33" s="39">
        <v>-25.0</v>
      </c>
      <c r="J33" s="35" t="s">
        <v>28</v>
      </c>
      <c r="K33" s="36" t="s">
        <v>32</v>
      </c>
      <c r="L33" s="1"/>
      <c r="M33" s="60" t="s">
        <v>607</v>
      </c>
      <c r="N33" s="54">
        <v>15.25</v>
      </c>
      <c r="O33" s="39">
        <v>-26.0</v>
      </c>
      <c r="P33" s="35" t="s">
        <v>32</v>
      </c>
      <c r="Q33" s="36" t="s">
        <v>32</v>
      </c>
      <c r="R33" s="1"/>
      <c r="S33" s="60" t="s">
        <v>1116</v>
      </c>
      <c r="T33" s="54">
        <v>644.72</v>
      </c>
      <c r="U33" s="39">
        <v>-25.0</v>
      </c>
      <c r="V33" s="35" t="s">
        <v>28</v>
      </c>
      <c r="W33" s="36" t="s">
        <v>32</v>
      </c>
      <c r="X33" s="1"/>
      <c r="Y33" s="60" t="s">
        <v>1116</v>
      </c>
      <c r="Z33" s="54">
        <v>644.72</v>
      </c>
      <c r="AA33" s="39">
        <v>-25.0</v>
      </c>
      <c r="AB33" s="35" t="s">
        <v>28</v>
      </c>
      <c r="AC33" s="36" t="s">
        <v>32</v>
      </c>
      <c r="AD33" s="1"/>
      <c r="AE33" s="60" t="s">
        <v>1116</v>
      </c>
      <c r="AF33" s="54">
        <v>644.72</v>
      </c>
      <c r="AG33" s="39">
        <v>-25.0</v>
      </c>
      <c r="AH33" s="35" t="s">
        <v>28</v>
      </c>
      <c r="AI33" s="36" t="s">
        <v>32</v>
      </c>
      <c r="AJ33" s="1"/>
      <c r="AK33" s="60" t="s">
        <v>1116</v>
      </c>
      <c r="AL33" s="54">
        <v>644.72</v>
      </c>
      <c r="AM33" s="39">
        <v>-25.0</v>
      </c>
      <c r="AN33" s="35" t="s">
        <v>28</v>
      </c>
      <c r="AO33" s="36" t="s">
        <v>32</v>
      </c>
      <c r="AP33" s="1"/>
      <c r="AQ33" s="60" t="s">
        <v>1117</v>
      </c>
      <c r="AR33" s="54">
        <v>20.0</v>
      </c>
      <c r="AS33" s="39">
        <v>-31.0</v>
      </c>
      <c r="AT33" s="35" t="s">
        <v>28</v>
      </c>
      <c r="AU33" s="36" t="s">
        <v>32</v>
      </c>
      <c r="AV33" s="1"/>
      <c r="AW33" s="36" t="s">
        <v>1116</v>
      </c>
      <c r="AX33" s="36">
        <v>644.72</v>
      </c>
      <c r="AY33" s="36">
        <v>-25.0</v>
      </c>
      <c r="AZ33" s="35" t="s">
        <v>28</v>
      </c>
      <c r="BA33" s="36" t="s">
        <v>32</v>
      </c>
      <c r="BB33" s="1"/>
      <c r="BC33" s="36" t="s">
        <v>85</v>
      </c>
      <c r="BD33" s="54">
        <v>644.72</v>
      </c>
      <c r="BE33" s="39">
        <v>-25.0</v>
      </c>
      <c r="BF33" s="35" t="s">
        <v>28</v>
      </c>
      <c r="BG33" s="36" t="s">
        <v>32</v>
      </c>
      <c r="BH33" s="1"/>
      <c r="BI33" s="36" t="s">
        <v>85</v>
      </c>
      <c r="BJ33" s="54">
        <v>644.72</v>
      </c>
      <c r="BK33" s="36">
        <v>-25.0</v>
      </c>
      <c r="BL33" s="35" t="s">
        <v>28</v>
      </c>
      <c r="BM33" s="36" t="s">
        <v>32</v>
      </c>
      <c r="BN33" s="1"/>
      <c r="BO33" s="36" t="s">
        <v>854</v>
      </c>
      <c r="BP33" s="84">
        <v>2.5</v>
      </c>
      <c r="BQ33" s="39">
        <v>1.0</v>
      </c>
      <c r="BR33" s="35" t="s">
        <v>32</v>
      </c>
      <c r="BS33" s="36" t="s">
        <v>32</v>
      </c>
      <c r="BT33" s="1"/>
    </row>
    <row r="34">
      <c r="A34" s="82" t="s">
        <v>1118</v>
      </c>
      <c r="B34" s="83">
        <v>117.6</v>
      </c>
      <c r="C34" s="39">
        <v>-21.0</v>
      </c>
      <c r="D34" s="39" t="s">
        <v>28</v>
      </c>
      <c r="E34" s="36" t="s">
        <v>32</v>
      </c>
      <c r="F34" s="1"/>
      <c r="G34" s="60" t="s">
        <v>87</v>
      </c>
      <c r="H34" s="54">
        <v>429.78</v>
      </c>
      <c r="I34" s="39">
        <v>-25.0</v>
      </c>
      <c r="J34" s="35" t="s">
        <v>28</v>
      </c>
      <c r="K34" s="36" t="s">
        <v>32</v>
      </c>
      <c r="L34" s="1"/>
      <c r="M34" s="60" t="s">
        <v>85</v>
      </c>
      <c r="N34" s="54">
        <v>573.08</v>
      </c>
      <c r="O34" s="39">
        <v>-25.0</v>
      </c>
      <c r="P34" s="35" t="s">
        <v>28</v>
      </c>
      <c r="Q34" s="36" t="s">
        <v>32</v>
      </c>
      <c r="R34" s="1"/>
      <c r="S34" s="60" t="s">
        <v>923</v>
      </c>
      <c r="T34" s="54">
        <v>3.0</v>
      </c>
      <c r="U34" s="39">
        <v>1.0</v>
      </c>
      <c r="V34" s="35" t="s">
        <v>32</v>
      </c>
      <c r="W34" s="36" t="s">
        <v>32</v>
      </c>
      <c r="X34" s="1"/>
      <c r="Y34" s="60" t="s">
        <v>1119</v>
      </c>
      <c r="Z34" s="54">
        <v>77.3</v>
      </c>
      <c r="AA34" s="39">
        <v>-25.0</v>
      </c>
      <c r="AB34" s="35" t="s">
        <v>28</v>
      </c>
      <c r="AC34" s="36" t="s">
        <v>32</v>
      </c>
      <c r="AD34" s="1"/>
      <c r="AE34" s="60" t="s">
        <v>1120</v>
      </c>
      <c r="AF34" s="54">
        <v>42.0</v>
      </c>
      <c r="AG34" s="39">
        <v>-25.0</v>
      </c>
      <c r="AH34" s="35" t="s">
        <v>28</v>
      </c>
      <c r="AI34" s="36" t="s">
        <v>32</v>
      </c>
      <c r="AJ34" s="1"/>
      <c r="AK34" s="60" t="s">
        <v>1120</v>
      </c>
      <c r="AL34" s="54">
        <v>817.44</v>
      </c>
      <c r="AM34" s="39">
        <v>-25.0</v>
      </c>
      <c r="AN34" s="35" t="s">
        <v>28</v>
      </c>
      <c r="AO34" s="36" t="s">
        <v>32</v>
      </c>
      <c r="AP34" s="1"/>
      <c r="AQ34" s="60" t="s">
        <v>1116</v>
      </c>
      <c r="AR34" s="54">
        <v>644.72</v>
      </c>
      <c r="AS34" s="39">
        <v>-25.0</v>
      </c>
      <c r="AT34" s="35" t="s">
        <v>28</v>
      </c>
      <c r="AU34" s="36" t="s">
        <v>32</v>
      </c>
      <c r="AV34" s="1"/>
      <c r="AW34" s="36" t="s">
        <v>1118</v>
      </c>
      <c r="AX34" s="36">
        <v>145.4</v>
      </c>
      <c r="AY34" s="36">
        <v>-25.0</v>
      </c>
      <c r="AZ34" s="35" t="s">
        <v>28</v>
      </c>
      <c r="BA34" s="36" t="s">
        <v>32</v>
      </c>
      <c r="BB34" s="1"/>
      <c r="BC34" s="36" t="s">
        <v>1118</v>
      </c>
      <c r="BD34" s="54">
        <v>131.61</v>
      </c>
      <c r="BE34" s="39">
        <v>-25.0</v>
      </c>
      <c r="BF34" s="35" t="s">
        <v>28</v>
      </c>
      <c r="BG34" s="36" t="s">
        <v>32</v>
      </c>
      <c r="BH34" s="1"/>
      <c r="BI34" s="36" t="s">
        <v>1118</v>
      </c>
      <c r="BJ34" s="54">
        <v>353.79</v>
      </c>
      <c r="BK34" s="36">
        <v>-25.0</v>
      </c>
      <c r="BL34" s="35" t="s">
        <v>28</v>
      </c>
      <c r="BM34" s="36" t="s">
        <v>32</v>
      </c>
      <c r="BN34" s="1"/>
      <c r="BO34" s="36" t="s">
        <v>235</v>
      </c>
      <c r="BP34" s="84">
        <v>52.0</v>
      </c>
      <c r="BQ34" s="39">
        <v>1.0</v>
      </c>
      <c r="BR34" s="35" t="s">
        <v>28</v>
      </c>
      <c r="BS34" s="36" t="s">
        <v>32</v>
      </c>
      <c r="BT34" s="1"/>
    </row>
    <row r="35">
      <c r="A35" s="82" t="s">
        <v>1121</v>
      </c>
      <c r="B35" s="83">
        <v>149.02</v>
      </c>
      <c r="C35" s="39">
        <v>-21.0</v>
      </c>
      <c r="D35" s="39" t="s">
        <v>28</v>
      </c>
      <c r="E35" s="36" t="s">
        <v>32</v>
      </c>
      <c r="F35" s="1"/>
      <c r="G35" s="60" t="s">
        <v>1122</v>
      </c>
      <c r="H35" s="54">
        <v>396.89</v>
      </c>
      <c r="I35" s="39">
        <v>-25.0</v>
      </c>
      <c r="J35" s="35" t="s">
        <v>28</v>
      </c>
      <c r="K35" s="36" t="s">
        <v>32</v>
      </c>
      <c r="L35" s="1"/>
      <c r="M35" s="60" t="s">
        <v>299</v>
      </c>
      <c r="N35" s="54">
        <v>79.0</v>
      </c>
      <c r="O35" s="39">
        <v>1.0</v>
      </c>
      <c r="P35" s="35" t="s">
        <v>28</v>
      </c>
      <c r="Q35" s="36" t="s">
        <v>32</v>
      </c>
      <c r="R35" s="1"/>
      <c r="S35" s="60" t="s">
        <v>239</v>
      </c>
      <c r="T35" s="54">
        <v>133.0</v>
      </c>
      <c r="U35" s="39">
        <v>3.0</v>
      </c>
      <c r="V35" s="35" t="s">
        <v>28</v>
      </c>
      <c r="W35" s="36" t="s">
        <v>34</v>
      </c>
      <c r="X35" s="1"/>
      <c r="Y35" s="60" t="s">
        <v>923</v>
      </c>
      <c r="Z35" s="54">
        <v>3.0</v>
      </c>
      <c r="AA35" s="39">
        <v>3.0</v>
      </c>
      <c r="AB35" s="35" t="s">
        <v>32</v>
      </c>
      <c r="AC35" s="36" t="s">
        <v>32</v>
      </c>
      <c r="AD35" s="1"/>
      <c r="AE35" s="60" t="s">
        <v>1123</v>
      </c>
      <c r="AF35" s="54">
        <v>63.89</v>
      </c>
      <c r="AG35" s="39">
        <v>1.0</v>
      </c>
      <c r="AH35" s="35" t="s">
        <v>32</v>
      </c>
      <c r="AI35" s="36" t="s">
        <v>32</v>
      </c>
      <c r="AJ35" s="1"/>
      <c r="AK35" s="60" t="s">
        <v>923</v>
      </c>
      <c r="AL35" s="54">
        <v>3.0</v>
      </c>
      <c r="AM35" s="39">
        <v>1.0</v>
      </c>
      <c r="AN35" s="35" t="s">
        <v>32</v>
      </c>
      <c r="AO35" s="36" t="s">
        <v>32</v>
      </c>
      <c r="AP35" s="1"/>
      <c r="AQ35" s="60" t="s">
        <v>1120</v>
      </c>
      <c r="AR35" s="54">
        <v>378.47</v>
      </c>
      <c r="AS35" s="39">
        <v>-25.0</v>
      </c>
      <c r="AT35" s="35" t="s">
        <v>28</v>
      </c>
      <c r="AU35" s="36" t="s">
        <v>32</v>
      </c>
      <c r="AV35" s="1"/>
      <c r="AW35" s="36" t="s">
        <v>1124</v>
      </c>
      <c r="AX35" s="36">
        <v>120.6</v>
      </c>
      <c r="AY35" s="36">
        <v>-25.0</v>
      </c>
      <c r="AZ35" s="35" t="s">
        <v>28</v>
      </c>
      <c r="BA35" s="36" t="s">
        <v>32</v>
      </c>
      <c r="BB35" s="1"/>
      <c r="BC35" s="36" t="s">
        <v>1125</v>
      </c>
      <c r="BD35" s="54">
        <v>120.6</v>
      </c>
      <c r="BE35" s="39">
        <v>-25.0</v>
      </c>
      <c r="BF35" s="35" t="s">
        <v>28</v>
      </c>
      <c r="BG35" s="36" t="s">
        <v>32</v>
      </c>
      <c r="BH35" s="1"/>
      <c r="BI35" s="36" t="s">
        <v>923</v>
      </c>
      <c r="BJ35" s="54">
        <v>3.0</v>
      </c>
      <c r="BK35" s="36">
        <v>1.0</v>
      </c>
      <c r="BL35" s="35" t="s">
        <v>32</v>
      </c>
      <c r="BM35" s="36" t="s">
        <v>32</v>
      </c>
      <c r="BN35" s="1"/>
      <c r="BO35" s="36" t="s">
        <v>1126</v>
      </c>
      <c r="BP35" s="84">
        <v>40.0</v>
      </c>
      <c r="BQ35" s="39">
        <v>1.0</v>
      </c>
      <c r="BR35" s="35" t="s">
        <v>32</v>
      </c>
      <c r="BS35" s="36" t="s">
        <v>32</v>
      </c>
      <c r="BT35" s="1"/>
    </row>
    <row r="36">
      <c r="A36" s="82" t="s">
        <v>923</v>
      </c>
      <c r="B36" s="83">
        <v>3.0</v>
      </c>
      <c r="C36" s="39">
        <v>4.0</v>
      </c>
      <c r="D36" s="39" t="s">
        <v>32</v>
      </c>
      <c r="E36" s="36" t="s">
        <v>32</v>
      </c>
      <c r="F36" s="1"/>
      <c r="G36" s="60" t="s">
        <v>1127</v>
      </c>
      <c r="H36" s="54">
        <v>4.96</v>
      </c>
      <c r="I36" s="39">
        <v>1.0</v>
      </c>
      <c r="J36" s="35" t="s">
        <v>28</v>
      </c>
      <c r="K36" s="36" t="s">
        <v>32</v>
      </c>
      <c r="L36" s="1"/>
      <c r="M36" s="60" t="s">
        <v>295</v>
      </c>
      <c r="N36" s="54">
        <v>3.0</v>
      </c>
      <c r="O36" s="39">
        <v>1.0</v>
      </c>
      <c r="P36" s="35" t="s">
        <v>28</v>
      </c>
      <c r="Q36" s="36" t="s">
        <v>32</v>
      </c>
      <c r="R36" s="1"/>
      <c r="S36" s="60" t="s">
        <v>214</v>
      </c>
      <c r="T36" s="54">
        <v>48.0</v>
      </c>
      <c r="U36" s="39">
        <v>3.0</v>
      </c>
      <c r="V36" s="35" t="s">
        <v>28</v>
      </c>
      <c r="W36" s="36" t="s">
        <v>34</v>
      </c>
      <c r="X36" s="1"/>
      <c r="Y36" s="60" t="s">
        <v>1128</v>
      </c>
      <c r="Z36" s="54">
        <v>0.76</v>
      </c>
      <c r="AA36" s="39">
        <v>3.0</v>
      </c>
      <c r="AB36" s="35" t="s">
        <v>32</v>
      </c>
      <c r="AC36" s="36" t="s">
        <v>32</v>
      </c>
      <c r="AD36" s="1"/>
      <c r="AE36" s="60" t="s">
        <v>923</v>
      </c>
      <c r="AF36" s="54">
        <v>3.0</v>
      </c>
      <c r="AG36" s="39">
        <v>1.0</v>
      </c>
      <c r="AH36" s="35" t="s">
        <v>32</v>
      </c>
      <c r="AI36" s="36" t="s">
        <v>32</v>
      </c>
      <c r="AJ36" s="1"/>
      <c r="AK36" s="60" t="s">
        <v>940</v>
      </c>
      <c r="AL36" s="54">
        <v>0.69</v>
      </c>
      <c r="AM36" s="39">
        <v>1.0</v>
      </c>
      <c r="AN36" s="35" t="s">
        <v>32</v>
      </c>
      <c r="AO36" s="36" t="s">
        <v>32</v>
      </c>
      <c r="AP36" s="1"/>
      <c r="AQ36" s="60" t="s">
        <v>1129</v>
      </c>
      <c r="AR36" s="54">
        <v>1.86</v>
      </c>
      <c r="AS36" s="39">
        <v>1.0</v>
      </c>
      <c r="AT36" s="35" t="s">
        <v>32</v>
      </c>
      <c r="AU36" s="36" t="s">
        <v>32</v>
      </c>
      <c r="AV36" s="1"/>
      <c r="AW36" s="36" t="s">
        <v>1130</v>
      </c>
      <c r="AX36" s="36">
        <v>3.0</v>
      </c>
      <c r="AY36" s="36">
        <v>1.0</v>
      </c>
      <c r="AZ36" s="35" t="s">
        <v>32</v>
      </c>
      <c r="BA36" s="36" t="s">
        <v>32</v>
      </c>
      <c r="BB36" s="1"/>
      <c r="BC36" s="36" t="s">
        <v>923</v>
      </c>
      <c r="BD36" s="54">
        <v>3.0</v>
      </c>
      <c r="BE36" s="39">
        <v>1.0</v>
      </c>
      <c r="BF36" s="35" t="s">
        <v>32</v>
      </c>
      <c r="BG36" s="36" t="s">
        <v>32</v>
      </c>
      <c r="BH36" s="1"/>
      <c r="BI36" s="36" t="s">
        <v>1131</v>
      </c>
      <c r="BJ36" s="54">
        <v>19.0</v>
      </c>
      <c r="BK36" s="36">
        <v>1.0</v>
      </c>
      <c r="BL36" s="35" t="s">
        <v>32</v>
      </c>
      <c r="BM36" s="36" t="s">
        <v>32</v>
      </c>
      <c r="BN36" s="1"/>
      <c r="BO36" s="36" t="s">
        <v>923</v>
      </c>
      <c r="BP36" s="84">
        <v>3.0</v>
      </c>
      <c r="BQ36" s="39">
        <v>1.0</v>
      </c>
      <c r="BR36" s="35" t="s">
        <v>32</v>
      </c>
      <c r="BS36" s="36" t="s">
        <v>32</v>
      </c>
      <c r="BT36" s="1"/>
    </row>
    <row r="37">
      <c r="A37" s="82" t="s">
        <v>1132</v>
      </c>
      <c r="B37" s="83">
        <v>20.0</v>
      </c>
      <c r="C37" s="39">
        <v>7.0</v>
      </c>
      <c r="D37" s="39" t="s">
        <v>28</v>
      </c>
      <c r="E37" s="36" t="s">
        <v>32</v>
      </c>
      <c r="F37" s="1"/>
      <c r="G37" s="60" t="s">
        <v>966</v>
      </c>
      <c r="H37" s="54">
        <v>29.04</v>
      </c>
      <c r="I37" s="39">
        <v>1.0</v>
      </c>
      <c r="J37" s="35" t="s">
        <v>28</v>
      </c>
      <c r="K37" s="36" t="s">
        <v>32</v>
      </c>
      <c r="L37" s="1"/>
      <c r="M37" s="60" t="s">
        <v>1133</v>
      </c>
      <c r="N37" s="54">
        <v>3.0</v>
      </c>
      <c r="O37" s="39">
        <v>1.0</v>
      </c>
      <c r="P37" s="35" t="s">
        <v>32</v>
      </c>
      <c r="Q37" s="36" t="s">
        <v>32</v>
      </c>
      <c r="R37" s="1"/>
      <c r="S37" s="60" t="s">
        <v>552</v>
      </c>
      <c r="T37" s="54">
        <v>36.0</v>
      </c>
      <c r="U37" s="39">
        <v>3.0</v>
      </c>
      <c r="V37" s="35" t="s">
        <v>28</v>
      </c>
      <c r="W37" s="36" t="s">
        <v>34</v>
      </c>
      <c r="X37" s="1"/>
      <c r="Y37" s="60" t="s">
        <v>1134</v>
      </c>
      <c r="Z37" s="54">
        <v>88.9</v>
      </c>
      <c r="AA37" s="39">
        <v>4.0</v>
      </c>
      <c r="AB37" s="35" t="s">
        <v>28</v>
      </c>
      <c r="AC37" s="36" t="s">
        <v>34</v>
      </c>
      <c r="AD37" s="1"/>
      <c r="AE37" s="60" t="s">
        <v>940</v>
      </c>
      <c r="AF37" s="54">
        <v>1.42</v>
      </c>
      <c r="AG37" s="39">
        <v>1.0</v>
      </c>
      <c r="AH37" s="35" t="s">
        <v>32</v>
      </c>
      <c r="AI37" s="36" t="s">
        <v>32</v>
      </c>
      <c r="AJ37" s="1"/>
      <c r="AK37" s="60" t="s">
        <v>121</v>
      </c>
      <c r="AL37" s="54">
        <v>193.65</v>
      </c>
      <c r="AM37" s="39">
        <v>5.0</v>
      </c>
      <c r="AN37" s="35" t="s">
        <v>28</v>
      </c>
      <c r="AO37" s="36" t="s">
        <v>32</v>
      </c>
      <c r="AP37" s="1"/>
      <c r="AQ37" s="60" t="s">
        <v>1135</v>
      </c>
      <c r="AR37" s="54">
        <v>92.5</v>
      </c>
      <c r="AS37" s="39">
        <v>1.0</v>
      </c>
      <c r="AT37" s="35" t="s">
        <v>32</v>
      </c>
      <c r="AU37" s="36" t="s">
        <v>32</v>
      </c>
      <c r="AV37" s="1"/>
      <c r="AW37" s="36" t="s">
        <v>1136</v>
      </c>
      <c r="AX37" s="36">
        <v>121.0</v>
      </c>
      <c r="AY37" s="36">
        <v>1.0</v>
      </c>
      <c r="AZ37" s="35" t="s">
        <v>32</v>
      </c>
      <c r="BA37" s="36" t="s">
        <v>34</v>
      </c>
      <c r="BB37" s="1"/>
      <c r="BC37" s="36" t="s">
        <v>1137</v>
      </c>
      <c r="BD37" s="54">
        <v>60.0</v>
      </c>
      <c r="BE37" s="39">
        <v>2.0</v>
      </c>
      <c r="BF37" s="35" t="s">
        <v>28</v>
      </c>
      <c r="BG37" s="36" t="s">
        <v>34</v>
      </c>
      <c r="BH37" s="1"/>
      <c r="BI37" s="36" t="s">
        <v>201</v>
      </c>
      <c r="BJ37" s="54">
        <v>225.04</v>
      </c>
      <c r="BK37" s="36">
        <v>3.0</v>
      </c>
      <c r="BL37" s="35" t="s">
        <v>28</v>
      </c>
      <c r="BM37" s="36" t="s">
        <v>32</v>
      </c>
      <c r="BN37" s="1"/>
      <c r="BO37" s="36" t="s">
        <v>1138</v>
      </c>
      <c r="BP37" s="54">
        <v>486.9</v>
      </c>
      <c r="BQ37" s="39">
        <v>1.0</v>
      </c>
      <c r="BR37" s="35" t="s">
        <v>28</v>
      </c>
      <c r="BS37" s="36" t="s">
        <v>34</v>
      </c>
      <c r="BT37" s="1"/>
    </row>
    <row r="38">
      <c r="A38" s="82" t="s">
        <v>1139</v>
      </c>
      <c r="B38" s="83">
        <v>2.0</v>
      </c>
      <c r="C38" s="39">
        <v>10.0</v>
      </c>
      <c r="D38" s="39" t="s">
        <v>32</v>
      </c>
      <c r="E38" s="36" t="s">
        <v>32</v>
      </c>
      <c r="F38" s="1"/>
      <c r="G38" s="60" t="s">
        <v>1140</v>
      </c>
      <c r="H38" s="54">
        <v>6.9</v>
      </c>
      <c r="I38" s="39">
        <v>1.0</v>
      </c>
      <c r="J38" s="35" t="s">
        <v>28</v>
      </c>
      <c r="K38" s="36" t="s">
        <v>32</v>
      </c>
      <c r="L38" s="1"/>
      <c r="M38" s="60" t="s">
        <v>878</v>
      </c>
      <c r="N38" s="54">
        <v>239.88</v>
      </c>
      <c r="O38" s="39">
        <v>4.0</v>
      </c>
      <c r="P38" s="35" t="s">
        <v>32</v>
      </c>
      <c r="Q38" s="36" t="s">
        <v>32</v>
      </c>
      <c r="R38" s="1"/>
      <c r="S38" s="60" t="s">
        <v>965</v>
      </c>
      <c r="T38" s="54">
        <v>300.0</v>
      </c>
      <c r="U38" s="39">
        <v>4.0</v>
      </c>
      <c r="V38" s="35" t="s">
        <v>32</v>
      </c>
      <c r="W38" s="36" t="s">
        <v>32</v>
      </c>
      <c r="X38" s="1"/>
      <c r="Y38" s="60" t="s">
        <v>109</v>
      </c>
      <c r="Z38" s="54">
        <v>160.0</v>
      </c>
      <c r="AA38" s="39">
        <v>5.0</v>
      </c>
      <c r="AB38" s="35" t="s">
        <v>28</v>
      </c>
      <c r="AC38" s="36" t="s">
        <v>32</v>
      </c>
      <c r="AD38" s="1"/>
      <c r="AE38" s="60" t="s">
        <v>1141</v>
      </c>
      <c r="AF38" s="54">
        <v>35.0</v>
      </c>
      <c r="AG38" s="39">
        <v>2.0</v>
      </c>
      <c r="AH38" s="35" t="s">
        <v>32</v>
      </c>
      <c r="AI38" s="36" t="s">
        <v>32</v>
      </c>
      <c r="AJ38" s="1"/>
      <c r="AK38" s="36" t="s">
        <v>1142</v>
      </c>
      <c r="AL38" s="54">
        <v>47.0</v>
      </c>
      <c r="AM38" s="39">
        <v>7.0</v>
      </c>
      <c r="AN38" s="35" t="s">
        <v>28</v>
      </c>
      <c r="AO38" s="36" t="s">
        <v>34</v>
      </c>
      <c r="AP38" s="1"/>
      <c r="AQ38" s="60" t="s">
        <v>100</v>
      </c>
      <c r="AR38" s="54">
        <v>100.0</v>
      </c>
      <c r="AS38" s="39">
        <v>1.0</v>
      </c>
      <c r="AT38" s="35" t="s">
        <v>32</v>
      </c>
      <c r="AU38" s="36" t="s">
        <v>32</v>
      </c>
      <c r="AV38" s="1"/>
      <c r="AW38" s="36" t="s">
        <v>310</v>
      </c>
      <c r="AX38" s="36">
        <v>12.6</v>
      </c>
      <c r="AY38" s="36">
        <v>2.0</v>
      </c>
      <c r="AZ38" s="35" t="s">
        <v>28</v>
      </c>
      <c r="BA38" s="36" t="s">
        <v>32</v>
      </c>
      <c r="BB38" s="1"/>
      <c r="BC38" s="36" t="s">
        <v>641</v>
      </c>
      <c r="BD38" s="54">
        <v>29.9</v>
      </c>
      <c r="BE38" s="39">
        <v>2.0</v>
      </c>
      <c r="BF38" s="35" t="s">
        <v>28</v>
      </c>
      <c r="BG38" s="36" t="s">
        <v>34</v>
      </c>
      <c r="BH38" s="1"/>
      <c r="BI38" s="36" t="s">
        <v>1143</v>
      </c>
      <c r="BJ38" s="54">
        <v>10.0</v>
      </c>
      <c r="BK38" s="36">
        <v>4.0</v>
      </c>
      <c r="BL38" s="35" t="s">
        <v>32</v>
      </c>
      <c r="BM38" s="36" t="s">
        <v>32</v>
      </c>
      <c r="BN38" s="1"/>
      <c r="BO38" s="36" t="s">
        <v>85</v>
      </c>
      <c r="BP38" s="84">
        <v>644.72</v>
      </c>
      <c r="BQ38" s="39">
        <v>1.0</v>
      </c>
      <c r="BR38" s="35" t="s">
        <v>28</v>
      </c>
      <c r="BS38" s="36" t="s">
        <v>32</v>
      </c>
      <c r="BT38" s="1"/>
    </row>
    <row r="39">
      <c r="A39" s="82" t="s">
        <v>1144</v>
      </c>
      <c r="B39" s="83">
        <v>100.0</v>
      </c>
      <c r="C39" s="39">
        <v>10.0</v>
      </c>
      <c r="D39" s="39" t="s">
        <v>32</v>
      </c>
      <c r="E39" s="36" t="s">
        <v>32</v>
      </c>
      <c r="F39" s="1"/>
      <c r="G39" s="60" t="s">
        <v>1145</v>
      </c>
      <c r="H39" s="54">
        <v>56.05</v>
      </c>
      <c r="I39" s="39">
        <v>1.0</v>
      </c>
      <c r="J39" s="35" t="s">
        <v>28</v>
      </c>
      <c r="K39" s="36" t="s">
        <v>32</v>
      </c>
      <c r="L39" s="1"/>
      <c r="M39" s="60" t="s">
        <v>1146</v>
      </c>
      <c r="N39" s="54">
        <v>470.82</v>
      </c>
      <c r="O39" s="39">
        <v>4.0</v>
      </c>
      <c r="P39" s="35" t="s">
        <v>32</v>
      </c>
      <c r="Q39" s="36" t="s">
        <v>32</v>
      </c>
      <c r="R39" s="1"/>
      <c r="S39" s="60" t="s">
        <v>1147</v>
      </c>
      <c r="T39" s="54">
        <v>40.0</v>
      </c>
      <c r="U39" s="39">
        <v>4.0</v>
      </c>
      <c r="V39" s="35" t="s">
        <v>32</v>
      </c>
      <c r="W39" s="36" t="s">
        <v>32</v>
      </c>
      <c r="X39" s="1"/>
      <c r="Y39" s="60" t="s">
        <v>1148</v>
      </c>
      <c r="Z39" s="54">
        <v>193.65</v>
      </c>
      <c r="AA39" s="39">
        <v>5.0</v>
      </c>
      <c r="AB39" s="35" t="s">
        <v>28</v>
      </c>
      <c r="AC39" s="36" t="s">
        <v>32</v>
      </c>
      <c r="AD39" s="1"/>
      <c r="AE39" s="60" t="s">
        <v>100</v>
      </c>
      <c r="AF39" s="54">
        <v>100.0</v>
      </c>
      <c r="AG39" s="39">
        <v>3.0</v>
      </c>
      <c r="AH39" s="35" t="s">
        <v>32</v>
      </c>
      <c r="AI39" s="36" t="s">
        <v>32</v>
      </c>
      <c r="AJ39" s="1"/>
      <c r="AK39" s="36" t="s">
        <v>1149</v>
      </c>
      <c r="AL39" s="54">
        <v>150.0</v>
      </c>
      <c r="AM39" s="39">
        <v>7.0</v>
      </c>
      <c r="AN39" s="35" t="s">
        <v>28</v>
      </c>
      <c r="AO39" s="36" t="s">
        <v>34</v>
      </c>
      <c r="AP39" s="1"/>
      <c r="AQ39" s="60" t="s">
        <v>1150</v>
      </c>
      <c r="AR39" s="54">
        <v>28.0</v>
      </c>
      <c r="AS39" s="39">
        <v>1.0</v>
      </c>
      <c r="AT39" s="35" t="s">
        <v>28</v>
      </c>
      <c r="AU39" s="36" t="s">
        <v>32</v>
      </c>
      <c r="AV39" s="1"/>
      <c r="AW39" s="36" t="s">
        <v>935</v>
      </c>
      <c r="AX39" s="36">
        <v>75.0</v>
      </c>
      <c r="AY39" s="36">
        <v>2.0</v>
      </c>
      <c r="AZ39" s="35" t="s">
        <v>34</v>
      </c>
      <c r="BA39" s="36" t="s">
        <v>32</v>
      </c>
      <c r="BB39" s="1"/>
      <c r="BC39" s="36" t="s">
        <v>470</v>
      </c>
      <c r="BD39" s="54">
        <v>52.0</v>
      </c>
      <c r="BE39" s="39">
        <v>4.0</v>
      </c>
      <c r="BF39" s="35" t="s">
        <v>28</v>
      </c>
      <c r="BG39" s="36" t="s">
        <v>32</v>
      </c>
      <c r="BH39" s="1"/>
      <c r="BI39" s="36" t="s">
        <v>1151</v>
      </c>
      <c r="BJ39" s="54">
        <v>219.18</v>
      </c>
      <c r="BK39" s="36">
        <v>4.0</v>
      </c>
      <c r="BL39" s="35" t="s">
        <v>32</v>
      </c>
      <c r="BM39" s="36" t="s">
        <v>32</v>
      </c>
      <c r="BN39" s="1"/>
      <c r="BO39" s="36" t="s">
        <v>1152</v>
      </c>
      <c r="BP39" s="84">
        <v>237.62</v>
      </c>
      <c r="BQ39" s="39">
        <v>1.0</v>
      </c>
      <c r="BR39" s="35" t="s">
        <v>28</v>
      </c>
      <c r="BS39" s="36" t="s">
        <v>32</v>
      </c>
      <c r="BT39" s="1"/>
    </row>
    <row r="40">
      <c r="A40" s="82" t="s">
        <v>502</v>
      </c>
      <c r="B40" s="83">
        <v>1999.63</v>
      </c>
      <c r="C40" s="39">
        <v>10.0</v>
      </c>
      <c r="D40" s="39" t="s">
        <v>32</v>
      </c>
      <c r="E40" s="36" t="s">
        <v>32</v>
      </c>
      <c r="F40" s="1"/>
      <c r="G40" s="60" t="s">
        <v>966</v>
      </c>
      <c r="H40" s="54">
        <v>34.2</v>
      </c>
      <c r="I40" s="39">
        <v>1.0</v>
      </c>
      <c r="J40" s="35" t="s">
        <v>28</v>
      </c>
      <c r="K40" s="36" t="s">
        <v>32</v>
      </c>
      <c r="L40" s="1"/>
      <c r="M40" s="60" t="s">
        <v>945</v>
      </c>
      <c r="N40" s="54">
        <v>10.0</v>
      </c>
      <c r="O40" s="39">
        <v>5.0</v>
      </c>
      <c r="P40" s="35" t="s">
        <v>28</v>
      </c>
      <c r="Q40" s="36" t="s">
        <v>32</v>
      </c>
      <c r="R40" s="1"/>
      <c r="S40" s="60" t="s">
        <v>1153</v>
      </c>
      <c r="T40" s="54">
        <v>7.0</v>
      </c>
      <c r="U40" s="39">
        <v>4.0</v>
      </c>
      <c r="V40" s="35" t="s">
        <v>32</v>
      </c>
      <c r="W40" s="36" t="s">
        <v>32</v>
      </c>
      <c r="X40" s="1"/>
      <c r="Y40" s="60" t="s">
        <v>1154</v>
      </c>
      <c r="Z40" s="54">
        <v>350.0</v>
      </c>
      <c r="AA40" s="39">
        <v>6.0</v>
      </c>
      <c r="AB40" s="35" t="s">
        <v>32</v>
      </c>
      <c r="AC40" s="36" t="s">
        <v>32</v>
      </c>
      <c r="AD40" s="1"/>
      <c r="AE40" s="60" t="s">
        <v>1155</v>
      </c>
      <c r="AF40" s="54">
        <v>71.0</v>
      </c>
      <c r="AG40" s="39">
        <v>4.0</v>
      </c>
      <c r="AH40" s="35" t="s">
        <v>32</v>
      </c>
      <c r="AI40" s="36" t="s">
        <v>32</v>
      </c>
      <c r="AJ40" s="1"/>
      <c r="AK40" s="36" t="s">
        <v>1156</v>
      </c>
      <c r="AL40" s="54">
        <v>70.0</v>
      </c>
      <c r="AM40" s="39">
        <v>7.0</v>
      </c>
      <c r="AN40" s="35" t="s">
        <v>28</v>
      </c>
      <c r="AO40" s="36" t="s">
        <v>34</v>
      </c>
      <c r="AP40" s="1"/>
      <c r="AQ40" s="60" t="s">
        <v>109</v>
      </c>
      <c r="AR40" s="54">
        <v>40.0</v>
      </c>
      <c r="AS40" s="39">
        <v>1.0</v>
      </c>
      <c r="AT40" s="35" t="s">
        <v>28</v>
      </c>
      <c r="AU40" s="36" t="s">
        <v>34</v>
      </c>
      <c r="AV40" s="1"/>
      <c r="AW40" s="36" t="s">
        <v>935</v>
      </c>
      <c r="AX40" s="36">
        <v>125.0</v>
      </c>
      <c r="AY40" s="36">
        <v>2.0</v>
      </c>
      <c r="AZ40" s="35" t="s">
        <v>32</v>
      </c>
      <c r="BA40" s="36" t="s">
        <v>32</v>
      </c>
      <c r="BB40" s="1"/>
      <c r="BC40" s="36" t="s">
        <v>1157</v>
      </c>
      <c r="BD40" s="54">
        <v>4.0</v>
      </c>
      <c r="BE40" s="39">
        <v>5.0</v>
      </c>
      <c r="BF40" s="35" t="s">
        <v>32</v>
      </c>
      <c r="BG40" s="36" t="s">
        <v>32</v>
      </c>
      <c r="BH40" s="1"/>
      <c r="BI40" s="36" t="s">
        <v>1011</v>
      </c>
      <c r="BJ40" s="54">
        <v>100.0</v>
      </c>
      <c r="BK40" s="36">
        <v>7.0</v>
      </c>
      <c r="BL40" s="35" t="s">
        <v>32</v>
      </c>
      <c r="BM40" s="36" t="s">
        <v>32</v>
      </c>
      <c r="BN40" s="1"/>
      <c r="BO40" s="36" t="s">
        <v>235</v>
      </c>
      <c r="BP40" s="84">
        <v>52.0</v>
      </c>
      <c r="BQ40" s="39">
        <v>2.0</v>
      </c>
      <c r="BR40" s="35" t="s">
        <v>28</v>
      </c>
      <c r="BS40" s="36" t="s">
        <v>32</v>
      </c>
      <c r="BT40" s="1"/>
    </row>
    <row r="41">
      <c r="A41" s="82" t="s">
        <v>511</v>
      </c>
      <c r="B41" s="83">
        <v>6174.46</v>
      </c>
      <c r="C41" s="39">
        <v>10.0</v>
      </c>
      <c r="D41" s="39" t="s">
        <v>28</v>
      </c>
      <c r="E41" s="36" t="s">
        <v>32</v>
      </c>
      <c r="F41" s="1"/>
      <c r="G41" s="60" t="s">
        <v>1158</v>
      </c>
      <c r="H41" s="54">
        <v>160.0</v>
      </c>
      <c r="I41" s="39">
        <v>1.0</v>
      </c>
      <c r="J41" s="35" t="s">
        <v>28</v>
      </c>
      <c r="K41" s="36" t="s">
        <v>32</v>
      </c>
      <c r="L41" s="1"/>
      <c r="M41" s="60" t="s">
        <v>633</v>
      </c>
      <c r="N41" s="54">
        <v>10.0</v>
      </c>
      <c r="O41" s="39">
        <v>5.0</v>
      </c>
      <c r="P41" s="35" t="s">
        <v>28</v>
      </c>
      <c r="Q41" s="36" t="s">
        <v>32</v>
      </c>
      <c r="R41" s="1"/>
      <c r="S41" s="60" t="s">
        <v>951</v>
      </c>
      <c r="T41" s="54">
        <v>37.0</v>
      </c>
      <c r="U41" s="39">
        <v>4.0</v>
      </c>
      <c r="V41" s="35" t="s">
        <v>28</v>
      </c>
      <c r="W41" s="36" t="s">
        <v>34</v>
      </c>
      <c r="X41" s="1"/>
      <c r="Y41" s="60" t="s">
        <v>299</v>
      </c>
      <c r="Z41" s="54">
        <v>73.0</v>
      </c>
      <c r="AA41" s="39">
        <v>6.0</v>
      </c>
      <c r="AB41" s="35" t="s">
        <v>28</v>
      </c>
      <c r="AC41" s="36" t="s">
        <v>34</v>
      </c>
      <c r="AD41" s="1"/>
      <c r="AE41" s="60" t="s">
        <v>310</v>
      </c>
      <c r="AF41" s="54">
        <v>14.4</v>
      </c>
      <c r="AG41" s="39">
        <v>4.0</v>
      </c>
      <c r="AH41" s="35" t="s">
        <v>28</v>
      </c>
      <c r="AI41" s="36" t="s">
        <v>32</v>
      </c>
      <c r="AJ41" s="1"/>
      <c r="AK41" s="36" t="s">
        <v>837</v>
      </c>
      <c r="AL41" s="54">
        <v>807.89</v>
      </c>
      <c r="AM41" s="39">
        <v>10.0</v>
      </c>
      <c r="AN41" s="35" t="s">
        <v>32</v>
      </c>
      <c r="AO41" s="36" t="s">
        <v>32</v>
      </c>
      <c r="AP41" s="1"/>
      <c r="AQ41" s="60" t="s">
        <v>1159</v>
      </c>
      <c r="AR41" s="54">
        <v>80.0</v>
      </c>
      <c r="AS41" s="39">
        <v>1.0</v>
      </c>
      <c r="AT41" s="35" t="s">
        <v>28</v>
      </c>
      <c r="AU41" s="36" t="s">
        <v>34</v>
      </c>
      <c r="AV41" s="1"/>
      <c r="AW41" s="36" t="s">
        <v>1160</v>
      </c>
      <c r="AX41" s="36">
        <v>380.0</v>
      </c>
      <c r="AY41" s="36">
        <v>3.0</v>
      </c>
      <c r="AZ41" s="35" t="s">
        <v>28</v>
      </c>
      <c r="BA41" s="36" t="s">
        <v>32</v>
      </c>
      <c r="BB41" s="1"/>
      <c r="BC41" s="36" t="s">
        <v>220</v>
      </c>
      <c r="BD41" s="54">
        <v>1999.21</v>
      </c>
      <c r="BE41" s="39">
        <v>5.0</v>
      </c>
      <c r="BF41" s="35" t="s">
        <v>28</v>
      </c>
      <c r="BG41" s="36" t="s">
        <v>32</v>
      </c>
      <c r="BH41" s="1"/>
      <c r="BI41" s="36" t="s">
        <v>235</v>
      </c>
      <c r="BJ41" s="54">
        <v>52.0</v>
      </c>
      <c r="BK41" s="36">
        <v>8.0</v>
      </c>
      <c r="BL41" s="35" t="s">
        <v>28</v>
      </c>
      <c r="BM41" s="36" t="s">
        <v>32</v>
      </c>
      <c r="BN41" s="1"/>
      <c r="BO41" s="36" t="s">
        <v>685</v>
      </c>
      <c r="BP41" s="54">
        <v>20.0</v>
      </c>
      <c r="BQ41" s="39">
        <v>2.0</v>
      </c>
      <c r="BR41" s="35" t="s">
        <v>28</v>
      </c>
      <c r="BS41" s="36" t="s">
        <v>34</v>
      </c>
      <c r="BT41" s="1"/>
    </row>
    <row r="42">
      <c r="A42" s="82" t="s">
        <v>974</v>
      </c>
      <c r="B42" s="83">
        <v>2094.29</v>
      </c>
      <c r="C42" s="39">
        <v>10.0</v>
      </c>
      <c r="D42" s="39" t="s">
        <v>32</v>
      </c>
      <c r="E42" s="36" t="s">
        <v>32</v>
      </c>
      <c r="F42" s="1"/>
      <c r="G42" s="60" t="s">
        <v>1161</v>
      </c>
      <c r="H42" s="54">
        <v>65.0</v>
      </c>
      <c r="I42" s="39">
        <v>1.0</v>
      </c>
      <c r="J42" s="35" t="s">
        <v>28</v>
      </c>
      <c r="K42" s="36" t="s">
        <v>32</v>
      </c>
      <c r="L42" s="1"/>
      <c r="M42" s="60" t="s">
        <v>299</v>
      </c>
      <c r="N42" s="54">
        <v>47.0</v>
      </c>
      <c r="O42" s="39">
        <v>5.0</v>
      </c>
      <c r="P42" s="35" t="s">
        <v>28</v>
      </c>
      <c r="Q42" s="36" t="s">
        <v>32</v>
      </c>
      <c r="R42" s="1"/>
      <c r="S42" s="60" t="s">
        <v>1162</v>
      </c>
      <c r="T42" s="54">
        <v>23.0</v>
      </c>
      <c r="U42" s="39">
        <v>4.0</v>
      </c>
      <c r="V42" s="35" t="s">
        <v>28</v>
      </c>
      <c r="W42" s="36" t="s">
        <v>34</v>
      </c>
      <c r="X42" s="1"/>
      <c r="Y42" s="60" t="s">
        <v>1163</v>
      </c>
      <c r="Z42" s="54">
        <v>20.0</v>
      </c>
      <c r="AA42" s="39">
        <v>7.0</v>
      </c>
      <c r="AB42" s="35" t="s">
        <v>28</v>
      </c>
      <c r="AC42" s="36" t="s">
        <v>34</v>
      </c>
      <c r="AD42" s="1"/>
      <c r="AE42" s="60" t="s">
        <v>1164</v>
      </c>
      <c r="AF42" s="54">
        <v>12.0</v>
      </c>
      <c r="AG42" s="39">
        <v>4.0</v>
      </c>
      <c r="AH42" s="35" t="s">
        <v>28</v>
      </c>
      <c r="AI42" s="36" t="s">
        <v>32</v>
      </c>
      <c r="AJ42" s="1"/>
      <c r="AK42" s="36" t="s">
        <v>843</v>
      </c>
      <c r="AL42" s="54">
        <v>2231.31</v>
      </c>
      <c r="AM42" s="39">
        <v>10.0</v>
      </c>
      <c r="AN42" s="35" t="s">
        <v>28</v>
      </c>
      <c r="AO42" s="36" t="s">
        <v>32</v>
      </c>
      <c r="AP42" s="1"/>
      <c r="AQ42" s="60" t="s">
        <v>1165</v>
      </c>
      <c r="AR42" s="54">
        <v>10.0</v>
      </c>
      <c r="AS42" s="39">
        <v>1.0</v>
      </c>
      <c r="AT42" s="35" t="s">
        <v>32</v>
      </c>
      <c r="AU42" s="36" t="s">
        <v>32</v>
      </c>
      <c r="AV42" s="1"/>
      <c r="AW42" s="36" t="s">
        <v>552</v>
      </c>
      <c r="AX42" s="36">
        <v>52.0</v>
      </c>
      <c r="AY42" s="36">
        <v>3.0</v>
      </c>
      <c r="AZ42" s="35" t="s">
        <v>28</v>
      </c>
      <c r="BA42" s="36" t="s">
        <v>34</v>
      </c>
      <c r="BB42" s="1"/>
      <c r="BC42" s="36" t="s">
        <v>226</v>
      </c>
      <c r="BD42" s="54">
        <v>775.84</v>
      </c>
      <c r="BE42" s="39">
        <v>5.0</v>
      </c>
      <c r="BF42" s="35" t="s">
        <v>32</v>
      </c>
      <c r="BG42" s="36" t="s">
        <v>32</v>
      </c>
      <c r="BH42" s="1"/>
      <c r="BI42" s="36" t="s">
        <v>238</v>
      </c>
      <c r="BJ42" s="54">
        <v>55.0</v>
      </c>
      <c r="BK42" s="36">
        <v>8.0</v>
      </c>
      <c r="BL42" s="35" t="s">
        <v>32</v>
      </c>
      <c r="BM42" s="36" t="s">
        <v>32</v>
      </c>
      <c r="BN42" s="1"/>
      <c r="BO42" s="36" t="s">
        <v>1166</v>
      </c>
      <c r="BP42" s="54">
        <v>15.0</v>
      </c>
      <c r="BQ42" s="39">
        <v>2.0</v>
      </c>
      <c r="BR42" s="35" t="s">
        <v>28</v>
      </c>
      <c r="BS42" s="36" t="s">
        <v>34</v>
      </c>
      <c r="BT42" s="1"/>
    </row>
    <row r="43">
      <c r="A43" s="82" t="s">
        <v>1139</v>
      </c>
      <c r="B43" s="83">
        <v>22.0</v>
      </c>
      <c r="C43" s="39">
        <v>11.0</v>
      </c>
      <c r="D43" s="39" t="s">
        <v>28</v>
      </c>
      <c r="E43" s="36" t="s">
        <v>32</v>
      </c>
      <c r="F43" s="1"/>
      <c r="G43" s="60" t="s">
        <v>1167</v>
      </c>
      <c r="H43" s="54">
        <v>11.0</v>
      </c>
      <c r="I43" s="39">
        <v>1.0</v>
      </c>
      <c r="J43" s="35" t="s">
        <v>28</v>
      </c>
      <c r="K43" s="36" t="s">
        <v>32</v>
      </c>
      <c r="L43" s="1"/>
      <c r="M43" s="60" t="s">
        <v>1168</v>
      </c>
      <c r="N43" s="54">
        <v>330.0</v>
      </c>
      <c r="O43" s="39">
        <v>5.0</v>
      </c>
      <c r="P43" s="35" t="s">
        <v>32</v>
      </c>
      <c r="Q43" s="36" t="s">
        <v>32</v>
      </c>
      <c r="R43" s="1"/>
      <c r="S43" s="60" t="s">
        <v>1169</v>
      </c>
      <c r="T43" s="54">
        <v>20.0</v>
      </c>
      <c r="U43" s="39">
        <v>5.0</v>
      </c>
      <c r="V43" s="35" t="s">
        <v>34</v>
      </c>
      <c r="W43" s="36" t="s">
        <v>32</v>
      </c>
      <c r="X43" s="1"/>
      <c r="Y43" s="60" t="s">
        <v>792</v>
      </c>
      <c r="Z43" s="54">
        <v>90.0</v>
      </c>
      <c r="AA43" s="39">
        <v>7.0</v>
      </c>
      <c r="AB43" s="35" t="s">
        <v>28</v>
      </c>
      <c r="AC43" s="36" t="s">
        <v>34</v>
      </c>
      <c r="AD43" s="1"/>
      <c r="AE43" s="60" t="s">
        <v>100</v>
      </c>
      <c r="AF43" s="54">
        <v>40.0</v>
      </c>
      <c r="AG43" s="39">
        <v>6.0</v>
      </c>
      <c r="AH43" s="35" t="s">
        <v>32</v>
      </c>
      <c r="AI43" s="36" t="s">
        <v>32</v>
      </c>
      <c r="AJ43" s="1"/>
      <c r="AK43" s="36" t="s">
        <v>1170</v>
      </c>
      <c r="AL43" s="54">
        <v>2358.23</v>
      </c>
      <c r="AM43" s="39">
        <v>10.0</v>
      </c>
      <c r="AN43" s="35" t="s">
        <v>32</v>
      </c>
      <c r="AO43" s="36" t="s">
        <v>32</v>
      </c>
      <c r="AP43" s="1"/>
      <c r="AQ43" s="60" t="s">
        <v>1171</v>
      </c>
      <c r="AR43" s="54">
        <v>19.75</v>
      </c>
      <c r="AS43" s="39">
        <v>2.0</v>
      </c>
      <c r="AT43" s="35" t="s">
        <v>28</v>
      </c>
      <c r="AU43" s="36" t="s">
        <v>32</v>
      </c>
      <c r="AV43" s="1"/>
      <c r="AW43" s="36" t="s">
        <v>582</v>
      </c>
      <c r="AX43" s="36">
        <v>6.0</v>
      </c>
      <c r="AY43" s="36">
        <v>3.0</v>
      </c>
      <c r="AZ43" s="35" t="s">
        <v>28</v>
      </c>
      <c r="BA43" s="36" t="s">
        <v>34</v>
      </c>
      <c r="BB43" s="1"/>
      <c r="BC43" s="36" t="s">
        <v>295</v>
      </c>
      <c r="BD43" s="54">
        <v>8.0</v>
      </c>
      <c r="BE43" s="39">
        <v>5.0</v>
      </c>
      <c r="BF43" s="35" t="s">
        <v>32</v>
      </c>
      <c r="BG43" s="36" t="s">
        <v>32</v>
      </c>
      <c r="BH43" s="1"/>
      <c r="BI43" s="36" t="s">
        <v>1172</v>
      </c>
      <c r="BJ43" s="54">
        <v>2941.0</v>
      </c>
      <c r="BK43" s="36">
        <v>8.0</v>
      </c>
      <c r="BL43" s="35" t="s">
        <v>28</v>
      </c>
      <c r="BM43" s="36" t="s">
        <v>32</v>
      </c>
      <c r="BN43" s="1"/>
      <c r="BO43" s="36" t="s">
        <v>1173</v>
      </c>
      <c r="BP43" s="54">
        <v>40.6</v>
      </c>
      <c r="BQ43" s="39">
        <v>2.0</v>
      </c>
      <c r="BR43" s="35" t="s">
        <v>28</v>
      </c>
      <c r="BS43" s="36" t="s">
        <v>34</v>
      </c>
      <c r="BT43" s="1"/>
    </row>
    <row r="44">
      <c r="A44" s="82" t="s">
        <v>109</v>
      </c>
      <c r="B44" s="83">
        <v>8.0</v>
      </c>
      <c r="C44" s="39">
        <v>11.0</v>
      </c>
      <c r="D44" s="39" t="s">
        <v>28</v>
      </c>
      <c r="E44" s="36" t="s">
        <v>32</v>
      </c>
      <c r="F44" s="1"/>
      <c r="G44" s="60" t="s">
        <v>923</v>
      </c>
      <c r="H44" s="54">
        <v>3.0</v>
      </c>
      <c r="I44" s="39">
        <v>1.0</v>
      </c>
      <c r="J44" s="35" t="s">
        <v>32</v>
      </c>
      <c r="K44" s="36" t="s">
        <v>32</v>
      </c>
      <c r="L44" s="1"/>
      <c r="M44" s="60" t="s">
        <v>1148</v>
      </c>
      <c r="N44" s="54">
        <v>193.65</v>
      </c>
      <c r="O44" s="39">
        <v>5.0</v>
      </c>
      <c r="P44" s="35" t="s">
        <v>28</v>
      </c>
      <c r="Q44" s="36" t="s">
        <v>32</v>
      </c>
      <c r="R44" s="1"/>
      <c r="S44" s="60" t="s">
        <v>109</v>
      </c>
      <c r="T44" s="54">
        <v>40.0</v>
      </c>
      <c r="U44" s="39">
        <v>5.0</v>
      </c>
      <c r="V44" s="35" t="s">
        <v>28</v>
      </c>
      <c r="W44" s="36" t="s">
        <v>32</v>
      </c>
      <c r="X44" s="1"/>
      <c r="Y44" s="60" t="s">
        <v>329</v>
      </c>
      <c r="Z44" s="54">
        <v>20.0</v>
      </c>
      <c r="AA44" s="39">
        <v>7.0</v>
      </c>
      <c r="AB44" s="35" t="s">
        <v>28</v>
      </c>
      <c r="AC44" s="36" t="s">
        <v>34</v>
      </c>
      <c r="AD44" s="1"/>
      <c r="AE44" s="60" t="s">
        <v>582</v>
      </c>
      <c r="AF44" s="54">
        <v>2.0</v>
      </c>
      <c r="AG44" s="39">
        <v>7.0</v>
      </c>
      <c r="AH44" s="35" t="s">
        <v>28</v>
      </c>
      <c r="AI44" s="36" t="s">
        <v>32</v>
      </c>
      <c r="AJ44" s="1"/>
      <c r="AK44" s="36" t="s">
        <v>1174</v>
      </c>
      <c r="AL44" s="54">
        <v>525.0</v>
      </c>
      <c r="AM44" s="39">
        <v>10.0</v>
      </c>
      <c r="AN44" s="35" t="s">
        <v>34</v>
      </c>
      <c r="AO44" s="36" t="s">
        <v>32</v>
      </c>
      <c r="AP44" s="1"/>
      <c r="AQ44" s="60" t="s">
        <v>1175</v>
      </c>
      <c r="AR44" s="54">
        <v>9.0</v>
      </c>
      <c r="AS44" s="39">
        <v>2.0</v>
      </c>
      <c r="AT44" s="35" t="s">
        <v>28</v>
      </c>
      <c r="AU44" s="36" t="s">
        <v>32</v>
      </c>
      <c r="AV44" s="1"/>
      <c r="AW44" s="36" t="s">
        <v>1176</v>
      </c>
      <c r="AX44" s="36">
        <v>150.0</v>
      </c>
      <c r="AY44" s="36">
        <v>3.0</v>
      </c>
      <c r="AZ44" s="35" t="s">
        <v>28</v>
      </c>
      <c r="BA44" s="36" t="s">
        <v>34</v>
      </c>
      <c r="BB44" s="1"/>
      <c r="BC44" s="36" t="s">
        <v>1177</v>
      </c>
      <c r="BD44" s="54">
        <v>100.0</v>
      </c>
      <c r="BE44" s="39">
        <v>5.0</v>
      </c>
      <c r="BF44" s="35" t="s">
        <v>32</v>
      </c>
      <c r="BG44" s="36" t="s">
        <v>32</v>
      </c>
      <c r="BH44" s="1"/>
      <c r="BI44" s="36" t="s">
        <v>1178</v>
      </c>
      <c r="BJ44" s="54">
        <v>1500.0</v>
      </c>
      <c r="BK44" s="36">
        <v>9.0</v>
      </c>
      <c r="BL44" s="35" t="s">
        <v>32</v>
      </c>
      <c r="BM44" s="36" t="s">
        <v>32</v>
      </c>
      <c r="BN44" s="1"/>
      <c r="BO44" s="36" t="s">
        <v>218</v>
      </c>
      <c r="BP44" s="84">
        <v>25.0</v>
      </c>
      <c r="BQ44" s="39">
        <v>3.0</v>
      </c>
      <c r="BR44" s="35" t="s">
        <v>32</v>
      </c>
      <c r="BS44" s="36" t="s">
        <v>32</v>
      </c>
      <c r="BT44" s="1"/>
    </row>
    <row r="45">
      <c r="A45" s="82" t="s">
        <v>978</v>
      </c>
      <c r="B45" s="83">
        <v>3.0</v>
      </c>
      <c r="C45" s="39">
        <v>11.0</v>
      </c>
      <c r="D45" s="39" t="s">
        <v>32</v>
      </c>
      <c r="E45" s="36" t="s">
        <v>32</v>
      </c>
      <c r="F45" s="1"/>
      <c r="G45" s="60" t="s">
        <v>214</v>
      </c>
      <c r="H45" s="54">
        <v>50.4</v>
      </c>
      <c r="I45" s="39">
        <v>1.0</v>
      </c>
      <c r="J45" s="35" t="s">
        <v>28</v>
      </c>
      <c r="K45" s="36" t="s">
        <v>32</v>
      </c>
      <c r="L45" s="1"/>
      <c r="M45" s="60" t="s">
        <v>209</v>
      </c>
      <c r="N45" s="54">
        <v>127.0</v>
      </c>
      <c r="O45" s="39">
        <v>5.0</v>
      </c>
      <c r="P45" s="35" t="s">
        <v>28</v>
      </c>
      <c r="Q45" s="36" t="s">
        <v>34</v>
      </c>
      <c r="R45" s="1"/>
      <c r="S45" s="60" t="s">
        <v>1179</v>
      </c>
      <c r="T45" s="54">
        <v>7.5</v>
      </c>
      <c r="U45" s="39">
        <v>5.0</v>
      </c>
      <c r="V45" s="35" t="s">
        <v>32</v>
      </c>
      <c r="W45" s="36" t="s">
        <v>32</v>
      </c>
      <c r="X45" s="1"/>
      <c r="Y45" s="60" t="s">
        <v>823</v>
      </c>
      <c r="Z45" s="54">
        <v>95.0</v>
      </c>
      <c r="AA45" s="39">
        <v>10.0</v>
      </c>
      <c r="AB45" s="35" t="s">
        <v>28</v>
      </c>
      <c r="AC45" s="36" t="s">
        <v>32</v>
      </c>
      <c r="AD45" s="1"/>
      <c r="AE45" s="60" t="s">
        <v>1148</v>
      </c>
      <c r="AF45" s="54">
        <v>193.65</v>
      </c>
      <c r="AG45" s="39">
        <v>7.0</v>
      </c>
      <c r="AH45" s="35" t="s">
        <v>28</v>
      </c>
      <c r="AI45" s="36" t="s">
        <v>32</v>
      </c>
      <c r="AJ45" s="1"/>
      <c r="AK45" s="36" t="s">
        <v>1180</v>
      </c>
      <c r="AL45" s="54">
        <v>4483.94</v>
      </c>
      <c r="AM45" s="39">
        <v>10.0</v>
      </c>
      <c r="AN45" s="35" t="s">
        <v>28</v>
      </c>
      <c r="AO45" s="36" t="s">
        <v>32</v>
      </c>
      <c r="AP45" s="1"/>
      <c r="AQ45" s="60" t="s">
        <v>923</v>
      </c>
      <c r="AR45" s="54">
        <v>3.0</v>
      </c>
      <c r="AS45" s="39">
        <v>2.0</v>
      </c>
      <c r="AT45" s="35" t="s">
        <v>32</v>
      </c>
      <c r="AU45" s="36" t="s">
        <v>32</v>
      </c>
      <c r="AV45" s="1"/>
      <c r="AW45" s="36" t="s">
        <v>100</v>
      </c>
      <c r="AX45" s="36">
        <v>100.0</v>
      </c>
      <c r="AY45" s="36">
        <v>5.0</v>
      </c>
      <c r="AZ45" s="35" t="s">
        <v>32</v>
      </c>
      <c r="BA45" s="36" t="s">
        <v>32</v>
      </c>
      <c r="BB45" s="1"/>
      <c r="BC45" s="36" t="s">
        <v>547</v>
      </c>
      <c r="BD45" s="54">
        <v>110.0</v>
      </c>
      <c r="BE45" s="39">
        <v>6.0</v>
      </c>
      <c r="BF45" s="35" t="s">
        <v>28</v>
      </c>
      <c r="BG45" s="36" t="s">
        <v>32</v>
      </c>
      <c r="BH45" s="1"/>
      <c r="BI45" s="36" t="s">
        <v>1181</v>
      </c>
      <c r="BJ45" s="54">
        <v>540.0</v>
      </c>
      <c r="BK45" s="36">
        <v>9.0</v>
      </c>
      <c r="BL45" s="35" t="s">
        <v>32</v>
      </c>
      <c r="BM45" s="36" t="s">
        <v>32</v>
      </c>
      <c r="BN45" s="1"/>
      <c r="BO45" s="36" t="s">
        <v>1182</v>
      </c>
      <c r="BP45" s="84">
        <v>127.0</v>
      </c>
      <c r="BQ45" s="39">
        <v>3.0</v>
      </c>
      <c r="BR45" s="35" t="s">
        <v>32</v>
      </c>
      <c r="BS45" s="36" t="s">
        <v>32</v>
      </c>
      <c r="BT45" s="1"/>
    </row>
    <row r="46">
      <c r="A46" s="82" t="s">
        <v>1183</v>
      </c>
      <c r="B46" s="83">
        <v>18.0</v>
      </c>
      <c r="C46" s="39">
        <v>14.0</v>
      </c>
      <c r="D46" s="39" t="s">
        <v>32</v>
      </c>
      <c r="E46" s="36" t="s">
        <v>32</v>
      </c>
      <c r="F46" s="1"/>
      <c r="G46" s="60" t="s">
        <v>299</v>
      </c>
      <c r="H46" s="54">
        <v>10.0</v>
      </c>
      <c r="I46" s="39">
        <v>1.0</v>
      </c>
      <c r="J46" s="35" t="s">
        <v>28</v>
      </c>
      <c r="K46" s="36" t="s">
        <v>32</v>
      </c>
      <c r="L46" s="1"/>
      <c r="M46" s="60" t="s">
        <v>582</v>
      </c>
      <c r="N46" s="54">
        <v>5.0</v>
      </c>
      <c r="O46" s="39">
        <v>5.0</v>
      </c>
      <c r="P46" s="35" t="s">
        <v>28</v>
      </c>
      <c r="Q46" s="36" t="s">
        <v>34</v>
      </c>
      <c r="R46" s="1"/>
      <c r="S46" s="60" t="s">
        <v>1184</v>
      </c>
      <c r="T46" s="54">
        <v>193.65</v>
      </c>
      <c r="U46" s="39">
        <v>5.0</v>
      </c>
      <c r="V46" s="35" t="s">
        <v>28</v>
      </c>
      <c r="W46" s="36" t="s">
        <v>32</v>
      </c>
      <c r="X46" s="1"/>
      <c r="Y46" s="60" t="s">
        <v>310</v>
      </c>
      <c r="Z46" s="54">
        <v>20.0</v>
      </c>
      <c r="AA46" s="39">
        <v>10.0</v>
      </c>
      <c r="AB46" s="35" t="s">
        <v>28</v>
      </c>
      <c r="AC46" s="36" t="s">
        <v>32</v>
      </c>
      <c r="AD46" s="1"/>
      <c r="AE46" s="60" t="s">
        <v>124</v>
      </c>
      <c r="AF46" s="54">
        <v>62.0</v>
      </c>
      <c r="AG46" s="39">
        <v>7.0</v>
      </c>
      <c r="AH46" s="35" t="s">
        <v>32</v>
      </c>
      <c r="AI46" s="36" t="s">
        <v>32</v>
      </c>
      <c r="AJ46" s="1"/>
      <c r="AK46" s="36" t="s">
        <v>1156</v>
      </c>
      <c r="AL46" s="54">
        <v>226.0</v>
      </c>
      <c r="AM46" s="39">
        <v>11.0</v>
      </c>
      <c r="AN46" s="35" t="s">
        <v>28</v>
      </c>
      <c r="AO46" s="36" t="s">
        <v>34</v>
      </c>
      <c r="AP46" s="1"/>
      <c r="AQ46" s="60" t="s">
        <v>1185</v>
      </c>
      <c r="AR46" s="54" t="s">
        <v>1186</v>
      </c>
      <c r="AS46" s="39">
        <v>2.0</v>
      </c>
      <c r="AT46" s="35" t="s">
        <v>32</v>
      </c>
      <c r="AU46" s="36" t="s">
        <v>32</v>
      </c>
      <c r="AV46" s="1"/>
      <c r="AW46" s="36" t="s">
        <v>788</v>
      </c>
      <c r="AX46" s="36">
        <v>20.0</v>
      </c>
      <c r="AY46" s="36">
        <v>6.0</v>
      </c>
      <c r="AZ46" s="35" t="s">
        <v>28</v>
      </c>
      <c r="BA46" s="36" t="s">
        <v>32</v>
      </c>
      <c r="BB46" s="1"/>
      <c r="BC46" s="36" t="s">
        <v>1157</v>
      </c>
      <c r="BD46" s="54">
        <v>4.0</v>
      </c>
      <c r="BE46" s="39">
        <v>6.0</v>
      </c>
      <c r="BF46" s="35" t="s">
        <v>32</v>
      </c>
      <c r="BG46" s="36" t="s">
        <v>32</v>
      </c>
      <c r="BH46" s="1"/>
      <c r="BI46" s="36" t="s">
        <v>226</v>
      </c>
      <c r="BJ46" s="54">
        <v>4062.51</v>
      </c>
      <c r="BK46" s="36">
        <v>10.0</v>
      </c>
      <c r="BL46" s="35" t="s">
        <v>32</v>
      </c>
      <c r="BM46" s="36" t="s">
        <v>32</v>
      </c>
      <c r="BN46" s="1"/>
      <c r="BO46" s="36" t="s">
        <v>235</v>
      </c>
      <c r="BP46" s="54">
        <v>52.0</v>
      </c>
      <c r="BQ46" s="39">
        <v>4.0</v>
      </c>
      <c r="BR46" s="35" t="s">
        <v>28</v>
      </c>
      <c r="BS46" s="36" t="s">
        <v>34</v>
      </c>
      <c r="BT46" s="1"/>
    </row>
    <row r="47">
      <c r="A47" s="82" t="s">
        <v>1187</v>
      </c>
      <c r="B47" s="83">
        <v>3.9</v>
      </c>
      <c r="C47" s="39">
        <v>14.0</v>
      </c>
      <c r="D47" s="39" t="s">
        <v>32</v>
      </c>
      <c r="E47" s="36" t="s">
        <v>32</v>
      </c>
      <c r="F47" s="1"/>
      <c r="G47" s="60" t="s">
        <v>966</v>
      </c>
      <c r="H47" s="54">
        <v>10.0</v>
      </c>
      <c r="I47" s="39">
        <v>1.0</v>
      </c>
      <c r="J47" s="35" t="s">
        <v>28</v>
      </c>
      <c r="K47" s="36" t="s">
        <v>32</v>
      </c>
      <c r="L47" s="1"/>
      <c r="M47" s="60" t="s">
        <v>295</v>
      </c>
      <c r="N47" s="54">
        <v>6.0</v>
      </c>
      <c r="O47" s="39">
        <v>5.0</v>
      </c>
      <c r="P47" s="35" t="s">
        <v>28</v>
      </c>
      <c r="Q47" s="36" t="s">
        <v>34</v>
      </c>
      <c r="R47" s="1"/>
      <c r="S47" s="60" t="s">
        <v>1188</v>
      </c>
      <c r="T47" s="54">
        <v>10.0</v>
      </c>
      <c r="U47" s="39">
        <v>5.0</v>
      </c>
      <c r="V47" s="35" t="s">
        <v>32</v>
      </c>
      <c r="W47" s="36" t="s">
        <v>32</v>
      </c>
      <c r="X47" s="1"/>
      <c r="Y47" s="60" t="s">
        <v>582</v>
      </c>
      <c r="Z47" s="54">
        <v>4.0</v>
      </c>
      <c r="AA47" s="39">
        <v>10.0</v>
      </c>
      <c r="AB47" s="35" t="s">
        <v>28</v>
      </c>
      <c r="AC47" s="36" t="s">
        <v>32</v>
      </c>
      <c r="AD47" s="1"/>
      <c r="AE47" s="60" t="s">
        <v>1189</v>
      </c>
      <c r="AF47" s="54">
        <v>9.0</v>
      </c>
      <c r="AG47" s="39">
        <v>8.0</v>
      </c>
      <c r="AH47" s="35" t="s">
        <v>28</v>
      </c>
      <c r="AI47" s="36" t="s">
        <v>32</v>
      </c>
      <c r="AJ47" s="1"/>
      <c r="AK47" s="60" t="s">
        <v>1190</v>
      </c>
      <c r="AL47" s="54">
        <v>100.0</v>
      </c>
      <c r="AM47" s="39">
        <v>12.0</v>
      </c>
      <c r="AN47" s="35" t="s">
        <v>34</v>
      </c>
      <c r="AO47" s="36" t="s">
        <v>32</v>
      </c>
      <c r="AP47" s="1"/>
      <c r="AQ47" s="60" t="s">
        <v>1191</v>
      </c>
      <c r="AR47" s="54">
        <v>36.4</v>
      </c>
      <c r="AS47" s="39">
        <v>4.0</v>
      </c>
      <c r="AT47" s="35" t="s">
        <v>32</v>
      </c>
      <c r="AU47" s="36" t="s">
        <v>32</v>
      </c>
      <c r="AV47" s="1"/>
      <c r="AW47" s="36" t="s">
        <v>355</v>
      </c>
      <c r="AX47" s="36">
        <v>30.0</v>
      </c>
      <c r="AY47" s="36">
        <v>6.0</v>
      </c>
      <c r="AZ47" s="35" t="s">
        <v>32</v>
      </c>
      <c r="BA47" s="36" t="s">
        <v>32</v>
      </c>
      <c r="BB47" s="1"/>
      <c r="BC47" s="36" t="s">
        <v>695</v>
      </c>
      <c r="BD47" s="54">
        <v>95.0</v>
      </c>
      <c r="BE47" s="39">
        <v>10.0</v>
      </c>
      <c r="BF47" s="35" t="s">
        <v>32</v>
      </c>
      <c r="BG47" s="36" t="s">
        <v>32</v>
      </c>
      <c r="BH47" s="1"/>
      <c r="BI47" s="36" t="s">
        <v>220</v>
      </c>
      <c r="BJ47" s="54">
        <v>10992.25</v>
      </c>
      <c r="BK47" s="36">
        <v>10.0</v>
      </c>
      <c r="BL47" s="35" t="s">
        <v>28</v>
      </c>
      <c r="BM47" s="36" t="s">
        <v>32</v>
      </c>
      <c r="BN47" s="1"/>
      <c r="BO47" s="36" t="s">
        <v>1192</v>
      </c>
      <c r="BP47" s="54">
        <v>50.0</v>
      </c>
      <c r="BQ47" s="39">
        <v>4.0</v>
      </c>
      <c r="BR47" s="35" t="s">
        <v>28</v>
      </c>
      <c r="BS47" s="36" t="s">
        <v>34</v>
      </c>
      <c r="BT47" s="1"/>
    </row>
    <row r="48">
      <c r="A48" s="82" t="s">
        <v>1193</v>
      </c>
      <c r="B48" s="83">
        <v>199.44</v>
      </c>
      <c r="C48" s="39">
        <v>14.0</v>
      </c>
      <c r="D48" s="39" t="s">
        <v>28</v>
      </c>
      <c r="E48" s="36" t="s">
        <v>32</v>
      </c>
      <c r="F48" s="1"/>
      <c r="G48" s="60" t="s">
        <v>1194</v>
      </c>
      <c r="H48" s="54">
        <v>7.0</v>
      </c>
      <c r="I48" s="39">
        <v>2.0</v>
      </c>
      <c r="J48" s="35" t="s">
        <v>28</v>
      </c>
      <c r="K48" s="36" t="s">
        <v>34</v>
      </c>
      <c r="L48" s="1"/>
      <c r="M48" s="60" t="s">
        <v>235</v>
      </c>
      <c r="N48" s="54">
        <v>24.0</v>
      </c>
      <c r="O48" s="39">
        <v>6.0</v>
      </c>
      <c r="P48" s="35" t="s">
        <v>28</v>
      </c>
      <c r="Q48" s="36" t="s">
        <v>32</v>
      </c>
      <c r="R48" s="1"/>
      <c r="S48" s="60" t="s">
        <v>1195</v>
      </c>
      <c r="T48" s="54">
        <v>15.0</v>
      </c>
      <c r="U48" s="39">
        <v>6.0</v>
      </c>
      <c r="V48" s="35" t="s">
        <v>32</v>
      </c>
      <c r="W48" s="36" t="s">
        <v>32</v>
      </c>
      <c r="X48" s="1"/>
      <c r="Y48" s="60" t="s">
        <v>978</v>
      </c>
      <c r="Z48" s="54">
        <v>3.0</v>
      </c>
      <c r="AA48" s="39">
        <v>10.0</v>
      </c>
      <c r="AB48" s="35" t="s">
        <v>32</v>
      </c>
      <c r="AC48" s="36" t="s">
        <v>32</v>
      </c>
      <c r="AD48" s="1"/>
      <c r="AE48" s="60" t="s">
        <v>1196</v>
      </c>
      <c r="AF48" s="54">
        <v>250.0</v>
      </c>
      <c r="AG48" s="39">
        <v>9.0</v>
      </c>
      <c r="AH48" s="35" t="s">
        <v>32</v>
      </c>
      <c r="AI48" s="36" t="s">
        <v>32</v>
      </c>
      <c r="AJ48" s="1"/>
      <c r="AK48" s="60" t="s">
        <v>1190</v>
      </c>
      <c r="AL48" s="54">
        <v>100.0</v>
      </c>
      <c r="AM48" s="39">
        <v>12.0</v>
      </c>
      <c r="AN48" s="35" t="s">
        <v>32</v>
      </c>
      <c r="AO48" s="36" t="s">
        <v>32</v>
      </c>
      <c r="AP48" s="1"/>
      <c r="AQ48" s="60" t="s">
        <v>819</v>
      </c>
      <c r="AR48" s="54">
        <v>20.0</v>
      </c>
      <c r="AS48" s="39">
        <v>4.0</v>
      </c>
      <c r="AT48" s="35" t="s">
        <v>28</v>
      </c>
      <c r="AU48" s="36" t="s">
        <v>32</v>
      </c>
      <c r="AV48" s="1"/>
      <c r="AW48" s="36" t="s">
        <v>653</v>
      </c>
      <c r="AX48" s="36">
        <v>200.0</v>
      </c>
      <c r="AY48" s="36">
        <v>6.0</v>
      </c>
      <c r="AZ48" s="35" t="s">
        <v>28</v>
      </c>
      <c r="BA48" s="36" t="s">
        <v>32</v>
      </c>
      <c r="BB48" s="1"/>
      <c r="BC48" s="36" t="s">
        <v>100</v>
      </c>
      <c r="BD48" s="54">
        <v>100.0</v>
      </c>
      <c r="BE48" s="39">
        <v>10.0</v>
      </c>
      <c r="BF48" s="35" t="s">
        <v>32</v>
      </c>
      <c r="BG48" s="36" t="s">
        <v>32</v>
      </c>
      <c r="BH48" s="1"/>
      <c r="BI48" s="36" t="s">
        <v>978</v>
      </c>
      <c r="BJ48" s="54">
        <v>3.0</v>
      </c>
      <c r="BK48" s="36">
        <v>10.0</v>
      </c>
      <c r="BL48" s="35" t="s">
        <v>32</v>
      </c>
      <c r="BM48" s="36" t="s">
        <v>32</v>
      </c>
      <c r="BN48" s="1"/>
      <c r="BO48" s="36" t="s">
        <v>1182</v>
      </c>
      <c r="BP48" s="84">
        <v>150.0</v>
      </c>
      <c r="BQ48" s="39">
        <v>6.0</v>
      </c>
      <c r="BR48" s="35" t="s">
        <v>32</v>
      </c>
      <c r="BS48" s="36" t="s">
        <v>32</v>
      </c>
      <c r="BT48" s="1"/>
    </row>
    <row r="49">
      <c r="A49" s="82" t="s">
        <v>34</v>
      </c>
      <c r="B49" s="83">
        <v>50.0</v>
      </c>
      <c r="C49" s="39">
        <v>15.0</v>
      </c>
      <c r="D49" s="39" t="s">
        <v>28</v>
      </c>
      <c r="E49" s="36" t="s">
        <v>32</v>
      </c>
      <c r="F49" s="1"/>
      <c r="G49" s="60" t="s">
        <v>299</v>
      </c>
      <c r="H49" s="54">
        <v>43.0</v>
      </c>
      <c r="I49" s="39">
        <v>2.0</v>
      </c>
      <c r="J49" s="35" t="s">
        <v>28</v>
      </c>
      <c r="K49" s="36" t="s">
        <v>34</v>
      </c>
      <c r="L49" s="1"/>
      <c r="M49" s="60" t="s">
        <v>1197</v>
      </c>
      <c r="N49" s="54">
        <v>43.52</v>
      </c>
      <c r="O49" s="39">
        <v>7.0</v>
      </c>
      <c r="P49" s="35" t="s">
        <v>28</v>
      </c>
      <c r="Q49" s="36" t="s">
        <v>34</v>
      </c>
      <c r="R49" s="1"/>
      <c r="S49" s="60" t="s">
        <v>788</v>
      </c>
      <c r="T49" s="54">
        <v>10.0</v>
      </c>
      <c r="U49" s="39">
        <v>6.0</v>
      </c>
      <c r="V49" s="35" t="s">
        <v>28</v>
      </c>
      <c r="W49" s="36" t="s">
        <v>32</v>
      </c>
      <c r="X49" s="1"/>
      <c r="Y49" s="60" t="s">
        <v>1198</v>
      </c>
      <c r="Z49" s="54">
        <v>10.0</v>
      </c>
      <c r="AA49" s="39">
        <v>10.0</v>
      </c>
      <c r="AB49" s="35" t="s">
        <v>28</v>
      </c>
      <c r="AC49" s="36" t="s">
        <v>34</v>
      </c>
      <c r="AD49" s="1"/>
      <c r="AE49" s="60" t="s">
        <v>1199</v>
      </c>
      <c r="AF49" s="54">
        <v>10.0</v>
      </c>
      <c r="AG49" s="39">
        <v>9.0</v>
      </c>
      <c r="AH49" s="35" t="s">
        <v>28</v>
      </c>
      <c r="AI49" s="36" t="s">
        <v>34</v>
      </c>
      <c r="AJ49" s="1"/>
      <c r="AK49" s="60" t="s">
        <v>978</v>
      </c>
      <c r="AL49" s="54">
        <v>3.0</v>
      </c>
      <c r="AM49" s="39">
        <v>12.0</v>
      </c>
      <c r="AN49" s="35" t="s">
        <v>32</v>
      </c>
      <c r="AO49" s="36" t="s">
        <v>32</v>
      </c>
      <c r="AP49" s="1"/>
      <c r="AQ49" s="60" t="s">
        <v>1200</v>
      </c>
      <c r="AR49" s="54">
        <v>50.0</v>
      </c>
      <c r="AS49" s="39">
        <v>4.0</v>
      </c>
      <c r="AT49" s="35" t="s">
        <v>32</v>
      </c>
      <c r="AU49" s="36" t="s">
        <v>34</v>
      </c>
      <c r="AV49" s="1"/>
      <c r="AW49" s="36" t="s">
        <v>109</v>
      </c>
      <c r="AX49" s="36">
        <v>32.0</v>
      </c>
      <c r="AY49" s="36">
        <v>6.0</v>
      </c>
      <c r="AZ49" s="35" t="s">
        <v>28</v>
      </c>
      <c r="BA49" s="36" t="s">
        <v>34</v>
      </c>
      <c r="BB49" s="1"/>
      <c r="BC49" s="36" t="s">
        <v>1201</v>
      </c>
      <c r="BD49" s="54">
        <v>783.75</v>
      </c>
      <c r="BE49" s="39">
        <v>11.0</v>
      </c>
      <c r="BF49" s="35" t="s">
        <v>32</v>
      </c>
      <c r="BG49" s="36" t="s">
        <v>32</v>
      </c>
      <c r="BH49" s="1"/>
      <c r="BI49" s="36" t="s">
        <v>115</v>
      </c>
      <c r="BJ49" s="54">
        <v>3.0</v>
      </c>
      <c r="BK49" s="36">
        <v>10.0</v>
      </c>
      <c r="BL49" s="35" t="s">
        <v>32</v>
      </c>
      <c r="BM49" s="36" t="s">
        <v>32</v>
      </c>
      <c r="BN49" s="1"/>
      <c r="BO49" s="36" t="s">
        <v>1202</v>
      </c>
      <c r="BP49" s="84">
        <v>100.0</v>
      </c>
      <c r="BQ49" s="39">
        <v>6.0</v>
      </c>
      <c r="BR49" s="35" t="s">
        <v>32</v>
      </c>
      <c r="BS49" s="36" t="s">
        <v>32</v>
      </c>
      <c r="BT49" s="1"/>
    </row>
    <row r="50">
      <c r="A50" s="82" t="s">
        <v>1203</v>
      </c>
      <c r="B50" s="83">
        <v>10.0</v>
      </c>
      <c r="C50" s="39">
        <v>16.0</v>
      </c>
      <c r="D50" s="39" t="s">
        <v>32</v>
      </c>
      <c r="E50" s="36" t="s">
        <v>32</v>
      </c>
      <c r="F50" s="1"/>
      <c r="G50" s="60" t="s">
        <v>368</v>
      </c>
      <c r="H50" s="54">
        <v>8.0</v>
      </c>
      <c r="I50" s="39">
        <v>2.0</v>
      </c>
      <c r="J50" s="35" t="s">
        <v>28</v>
      </c>
      <c r="K50" s="36" t="s">
        <v>34</v>
      </c>
      <c r="L50" s="1"/>
      <c r="M50" s="60" t="s">
        <v>100</v>
      </c>
      <c r="N50" s="54">
        <v>100.0</v>
      </c>
      <c r="O50" s="39">
        <v>8.0</v>
      </c>
      <c r="P50" s="35" t="s">
        <v>32</v>
      </c>
      <c r="Q50" s="36" t="s">
        <v>32</v>
      </c>
      <c r="R50" s="1"/>
      <c r="S50" s="60" t="s">
        <v>1204</v>
      </c>
      <c r="T50" s="54">
        <v>6.0</v>
      </c>
      <c r="U50" s="39">
        <v>6.0</v>
      </c>
      <c r="V50" s="35" t="s">
        <v>28</v>
      </c>
      <c r="W50" s="36" t="s">
        <v>32</v>
      </c>
      <c r="X50" s="1"/>
      <c r="Y50" s="60" t="s">
        <v>1205</v>
      </c>
      <c r="Z50" s="54">
        <v>5.0</v>
      </c>
      <c r="AA50" s="39">
        <v>10.0</v>
      </c>
      <c r="AB50" s="35" t="s">
        <v>28</v>
      </c>
      <c r="AC50" s="36" t="s">
        <v>34</v>
      </c>
      <c r="AD50" s="1"/>
      <c r="AE50" s="60" t="s">
        <v>1206</v>
      </c>
      <c r="AF50" s="54">
        <v>10.0</v>
      </c>
      <c r="AG50" s="39">
        <v>9.0</v>
      </c>
      <c r="AH50" s="35" t="s">
        <v>28</v>
      </c>
      <c r="AI50" s="36" t="s">
        <v>34</v>
      </c>
      <c r="AJ50" s="1"/>
      <c r="AK50" s="36" t="s">
        <v>299</v>
      </c>
      <c r="AL50" s="54">
        <v>25.0</v>
      </c>
      <c r="AM50" s="39">
        <v>12.0</v>
      </c>
      <c r="AN50" s="35" t="s">
        <v>28</v>
      </c>
      <c r="AO50" s="36" t="s">
        <v>34</v>
      </c>
      <c r="AP50" s="1"/>
      <c r="AQ50" s="60" t="s">
        <v>1207</v>
      </c>
      <c r="AR50" s="54">
        <v>24.0</v>
      </c>
      <c r="AS50" s="39">
        <v>6.0</v>
      </c>
      <c r="AT50" s="35" t="s">
        <v>28</v>
      </c>
      <c r="AU50" s="36" t="s">
        <v>34</v>
      </c>
      <c r="AV50" s="1"/>
      <c r="AW50" s="36" t="s">
        <v>800</v>
      </c>
      <c r="AX50" s="36">
        <v>140.0</v>
      </c>
      <c r="AY50" s="36">
        <v>6.0</v>
      </c>
      <c r="AZ50" s="35" t="s">
        <v>28</v>
      </c>
      <c r="BA50" s="36" t="s">
        <v>34</v>
      </c>
      <c r="BB50" s="1"/>
      <c r="BC50" s="36" t="s">
        <v>1208</v>
      </c>
      <c r="BD50" s="54">
        <v>1026.44</v>
      </c>
      <c r="BE50" s="39">
        <v>11.0</v>
      </c>
      <c r="BF50" s="35" t="s">
        <v>28</v>
      </c>
      <c r="BG50" s="36" t="s">
        <v>32</v>
      </c>
      <c r="BH50" s="1"/>
      <c r="BI50" s="36" t="s">
        <v>502</v>
      </c>
      <c r="BJ50" s="54">
        <v>2296.5</v>
      </c>
      <c r="BK50" s="36">
        <v>10.0</v>
      </c>
      <c r="BL50" s="35" t="s">
        <v>32</v>
      </c>
      <c r="BM50" s="36" t="s">
        <v>32</v>
      </c>
      <c r="BN50" s="1"/>
      <c r="BO50" s="36" t="s">
        <v>226</v>
      </c>
      <c r="BP50" s="84">
        <v>4360.6</v>
      </c>
      <c r="BQ50" s="39">
        <v>7.0</v>
      </c>
      <c r="BR50" s="35" t="s">
        <v>28</v>
      </c>
      <c r="BS50" s="36" t="s">
        <v>32</v>
      </c>
      <c r="BT50" s="1"/>
    </row>
    <row r="51">
      <c r="A51" s="82" t="s">
        <v>209</v>
      </c>
      <c r="B51" s="83">
        <v>68.0</v>
      </c>
      <c r="C51" s="39">
        <v>16.0</v>
      </c>
      <c r="D51" s="39" t="s">
        <v>28</v>
      </c>
      <c r="E51" s="36" t="s">
        <v>32</v>
      </c>
      <c r="F51" s="1"/>
      <c r="G51" s="60" t="s">
        <v>832</v>
      </c>
      <c r="H51" s="54">
        <v>22.0</v>
      </c>
      <c r="I51" s="39">
        <v>3.0</v>
      </c>
      <c r="J51" s="35" t="s">
        <v>28</v>
      </c>
      <c r="K51" s="36" t="s">
        <v>32</v>
      </c>
      <c r="L51" s="1"/>
      <c r="M51" s="60" t="s">
        <v>1209</v>
      </c>
      <c r="N51" s="54">
        <v>43.0</v>
      </c>
      <c r="O51" s="39">
        <v>8.0</v>
      </c>
      <c r="P51" s="35" t="s">
        <v>32</v>
      </c>
      <c r="Q51" s="36" t="s">
        <v>32</v>
      </c>
      <c r="R51" s="1"/>
      <c r="S51" s="60" t="s">
        <v>1210</v>
      </c>
      <c r="T51" s="54">
        <v>37.0</v>
      </c>
      <c r="U51" s="39">
        <v>6.0</v>
      </c>
      <c r="V51" s="35" t="s">
        <v>28</v>
      </c>
      <c r="W51" s="36" t="s">
        <v>34</v>
      </c>
      <c r="X51" s="1"/>
      <c r="Y51" s="60" t="s">
        <v>1211</v>
      </c>
      <c r="Z51" s="54">
        <v>27.9</v>
      </c>
      <c r="AA51" s="39">
        <v>10.0</v>
      </c>
      <c r="AB51" s="35" t="s">
        <v>28</v>
      </c>
      <c r="AC51" s="36" t="s">
        <v>34</v>
      </c>
      <c r="AD51" s="1"/>
      <c r="AE51" s="60" t="s">
        <v>109</v>
      </c>
      <c r="AF51" s="54">
        <v>24.0</v>
      </c>
      <c r="AG51" s="39">
        <v>10.0</v>
      </c>
      <c r="AH51" s="35" t="s">
        <v>28</v>
      </c>
      <c r="AI51" s="36" t="s">
        <v>32</v>
      </c>
      <c r="AJ51" s="1"/>
      <c r="AK51" s="36" t="s">
        <v>1212</v>
      </c>
      <c r="AL51" s="54">
        <v>16.0</v>
      </c>
      <c r="AM51" s="39">
        <v>12.0</v>
      </c>
      <c r="AN51" s="35" t="s">
        <v>28</v>
      </c>
      <c r="AO51" s="36" t="s">
        <v>34</v>
      </c>
      <c r="AP51" s="1"/>
      <c r="AQ51" s="60" t="s">
        <v>368</v>
      </c>
      <c r="AR51" s="54">
        <v>23.0</v>
      </c>
      <c r="AS51" s="39">
        <v>6.0</v>
      </c>
      <c r="AT51" s="35" t="s">
        <v>28</v>
      </c>
      <c r="AU51" s="36" t="s">
        <v>34</v>
      </c>
      <c r="AV51" s="1"/>
      <c r="AW51" s="36" t="s">
        <v>502</v>
      </c>
      <c r="AX51" s="36">
        <v>1557.36</v>
      </c>
      <c r="AY51" s="36">
        <v>10.0</v>
      </c>
      <c r="AZ51" s="35" t="s">
        <v>32</v>
      </c>
      <c r="BA51" s="36" t="s">
        <v>32</v>
      </c>
      <c r="BB51" s="1"/>
      <c r="BC51" s="36" t="s">
        <v>1213</v>
      </c>
      <c r="BD51" s="54">
        <v>50.0</v>
      </c>
      <c r="BE51" s="39">
        <v>11.0</v>
      </c>
      <c r="BF51" s="35" t="s">
        <v>28</v>
      </c>
      <c r="BG51" s="36" t="s">
        <v>32</v>
      </c>
      <c r="BH51" s="1"/>
      <c r="BI51" s="36" t="s">
        <v>310</v>
      </c>
      <c r="BJ51" s="54">
        <v>114.0</v>
      </c>
      <c r="BK51" s="36">
        <v>12.0</v>
      </c>
      <c r="BL51" s="35" t="s">
        <v>28</v>
      </c>
      <c r="BM51" s="36" t="s">
        <v>32</v>
      </c>
      <c r="BN51" s="1"/>
      <c r="BO51" s="36" t="s">
        <v>220</v>
      </c>
      <c r="BP51" s="84">
        <v>14238.46</v>
      </c>
      <c r="BQ51" s="39">
        <v>7.0</v>
      </c>
      <c r="BR51" s="35" t="s">
        <v>28</v>
      </c>
      <c r="BS51" s="36" t="s">
        <v>32</v>
      </c>
      <c r="BT51" s="1"/>
    </row>
    <row r="52">
      <c r="A52" s="82" t="s">
        <v>214</v>
      </c>
      <c r="B52" s="83">
        <v>56.0</v>
      </c>
      <c r="C52" s="39">
        <v>16.0</v>
      </c>
      <c r="D52" s="39" t="s">
        <v>28</v>
      </c>
      <c r="E52" s="36" t="s">
        <v>32</v>
      </c>
      <c r="F52" s="1"/>
      <c r="G52" s="60" t="s">
        <v>235</v>
      </c>
      <c r="H52" s="54">
        <v>48.0</v>
      </c>
      <c r="I52" s="39">
        <v>3.0</v>
      </c>
      <c r="J52" s="35" t="s">
        <v>28</v>
      </c>
      <c r="K52" s="36" t="s">
        <v>32</v>
      </c>
      <c r="L52" s="1"/>
      <c r="M52" s="60" t="s">
        <v>1214</v>
      </c>
      <c r="N52" s="54">
        <v>40.0</v>
      </c>
      <c r="O52" s="39">
        <v>8.0</v>
      </c>
      <c r="P52" s="35" t="s">
        <v>32</v>
      </c>
      <c r="Q52" s="36" t="s">
        <v>32</v>
      </c>
      <c r="R52" s="1"/>
      <c r="S52" s="60" t="s">
        <v>1215</v>
      </c>
      <c r="T52" s="54">
        <v>40.0</v>
      </c>
      <c r="U52" s="39">
        <v>6.0</v>
      </c>
      <c r="V52" s="35" t="s">
        <v>28</v>
      </c>
      <c r="W52" s="36" t="s">
        <v>34</v>
      </c>
      <c r="X52" s="1"/>
      <c r="Y52" s="60" t="s">
        <v>511</v>
      </c>
      <c r="Z52" s="54">
        <v>6558.27</v>
      </c>
      <c r="AA52" s="39">
        <v>10.0</v>
      </c>
      <c r="AB52" s="35" t="s">
        <v>28</v>
      </c>
      <c r="AC52" s="36" t="s">
        <v>32</v>
      </c>
      <c r="AD52" s="1"/>
      <c r="AE52" s="60" t="s">
        <v>1216</v>
      </c>
      <c r="AF52" s="54">
        <v>100.0</v>
      </c>
      <c r="AG52" s="39">
        <v>10.0</v>
      </c>
      <c r="AH52" s="35" t="s">
        <v>32</v>
      </c>
      <c r="AI52" s="36" t="s">
        <v>32</v>
      </c>
      <c r="AJ52" s="1"/>
      <c r="AK52" s="36" t="s">
        <v>295</v>
      </c>
      <c r="AL52" s="54">
        <v>6.0</v>
      </c>
      <c r="AM52" s="39">
        <v>12.0</v>
      </c>
      <c r="AN52" s="35" t="s">
        <v>28</v>
      </c>
      <c r="AO52" s="36" t="s">
        <v>34</v>
      </c>
      <c r="AP52" s="1"/>
      <c r="AQ52" s="60" t="s">
        <v>1217</v>
      </c>
      <c r="AR52" s="54">
        <v>93.16</v>
      </c>
      <c r="AS52" s="39">
        <v>9.0</v>
      </c>
      <c r="AT52" s="35" t="s">
        <v>28</v>
      </c>
      <c r="AU52" s="36" t="s">
        <v>34</v>
      </c>
      <c r="AV52" s="1"/>
      <c r="AW52" s="36" t="s">
        <v>511</v>
      </c>
      <c r="AX52" s="36">
        <v>4006.22</v>
      </c>
      <c r="AY52" s="36">
        <v>10.0</v>
      </c>
      <c r="AZ52" s="35" t="s">
        <v>28</v>
      </c>
      <c r="BA52" s="36" t="s">
        <v>32</v>
      </c>
      <c r="BB52" s="1"/>
      <c r="BC52" s="36" t="s">
        <v>978</v>
      </c>
      <c r="BD52" s="54">
        <v>3.0</v>
      </c>
      <c r="BE52" s="39">
        <v>11.0</v>
      </c>
      <c r="BF52" s="35" t="s">
        <v>32</v>
      </c>
      <c r="BG52" s="36" t="s">
        <v>32</v>
      </c>
      <c r="BH52" s="1"/>
      <c r="BI52" s="36" t="s">
        <v>1011</v>
      </c>
      <c r="BJ52" s="54">
        <v>100.0</v>
      </c>
      <c r="BK52" s="36">
        <v>14.0</v>
      </c>
      <c r="BL52" s="35" t="s">
        <v>32</v>
      </c>
      <c r="BM52" s="36" t="s">
        <v>32</v>
      </c>
      <c r="BN52" s="1"/>
      <c r="BO52" s="36" t="s">
        <v>281</v>
      </c>
      <c r="BP52" s="84">
        <v>50.0</v>
      </c>
      <c r="BQ52" s="39">
        <v>7.0</v>
      </c>
      <c r="BR52" s="35" t="s">
        <v>34</v>
      </c>
      <c r="BS52" s="36" t="s">
        <v>32</v>
      </c>
      <c r="BT52" s="1"/>
    </row>
    <row r="53">
      <c r="A53" s="82" t="s">
        <v>1218</v>
      </c>
      <c r="B53" s="83">
        <v>71.0</v>
      </c>
      <c r="C53" s="39">
        <v>18.0</v>
      </c>
      <c r="D53" s="39" t="s">
        <v>28</v>
      </c>
      <c r="E53" s="36" t="s">
        <v>32</v>
      </c>
      <c r="F53" s="1"/>
      <c r="G53" s="60" t="s">
        <v>966</v>
      </c>
      <c r="H53" s="54">
        <v>46.0</v>
      </c>
      <c r="I53" s="39">
        <v>4.0</v>
      </c>
      <c r="J53" s="35" t="s">
        <v>28</v>
      </c>
      <c r="K53" s="36" t="s">
        <v>32</v>
      </c>
      <c r="L53" s="1"/>
      <c r="M53" s="60" t="s">
        <v>1219</v>
      </c>
      <c r="N53" s="54">
        <v>55.0</v>
      </c>
      <c r="O53" s="39">
        <v>8.0</v>
      </c>
      <c r="P53" s="35" t="s">
        <v>32</v>
      </c>
      <c r="Q53" s="36" t="s">
        <v>32</v>
      </c>
      <c r="R53" s="1"/>
      <c r="S53" s="60" t="s">
        <v>214</v>
      </c>
      <c r="T53" s="54">
        <v>54.0</v>
      </c>
      <c r="U53" s="39">
        <v>8.0</v>
      </c>
      <c r="V53" s="35" t="s">
        <v>28</v>
      </c>
      <c r="W53" s="36" t="s">
        <v>32</v>
      </c>
      <c r="X53" s="1"/>
      <c r="Y53" s="60" t="s">
        <v>502</v>
      </c>
      <c r="Z53" s="54">
        <v>896.25</v>
      </c>
      <c r="AA53" s="39">
        <v>10.0</v>
      </c>
      <c r="AB53" s="35" t="s">
        <v>32</v>
      </c>
      <c r="AC53" s="36" t="s">
        <v>32</v>
      </c>
      <c r="AD53" s="1"/>
      <c r="AE53" s="60" t="s">
        <v>511</v>
      </c>
      <c r="AF53" s="54">
        <v>4904.6</v>
      </c>
      <c r="AG53" s="39">
        <v>10.0</v>
      </c>
      <c r="AH53" s="35" t="s">
        <v>28</v>
      </c>
      <c r="AI53" s="36" t="s">
        <v>32</v>
      </c>
      <c r="AJ53" s="1"/>
      <c r="AK53" s="36" t="s">
        <v>1220</v>
      </c>
      <c r="AL53" s="54">
        <v>57.4</v>
      </c>
      <c r="AM53" s="39">
        <v>12.0</v>
      </c>
      <c r="AN53" s="35" t="s">
        <v>28</v>
      </c>
      <c r="AO53" s="36" t="s">
        <v>34</v>
      </c>
      <c r="AP53" s="1"/>
      <c r="AQ53" s="60" t="s">
        <v>1221</v>
      </c>
      <c r="AR53" s="54">
        <v>40.0</v>
      </c>
      <c r="AS53" s="39">
        <v>9.0</v>
      </c>
      <c r="AT53" s="35" t="s">
        <v>32</v>
      </c>
      <c r="AU53" s="36" t="s">
        <v>32</v>
      </c>
      <c r="AV53" s="1"/>
      <c r="AW53" s="36" t="s">
        <v>1222</v>
      </c>
      <c r="AX53" s="36">
        <v>172.88</v>
      </c>
      <c r="AY53" s="36">
        <v>10.0</v>
      </c>
      <c r="AZ53" s="35" t="s">
        <v>32</v>
      </c>
      <c r="BA53" s="36" t="s">
        <v>32</v>
      </c>
      <c r="BB53" s="1"/>
      <c r="BC53" s="36" t="s">
        <v>974</v>
      </c>
      <c r="BD53" s="54">
        <v>9.0</v>
      </c>
      <c r="BE53" s="39">
        <v>11.0</v>
      </c>
      <c r="BF53" s="35" t="s">
        <v>32</v>
      </c>
      <c r="BG53" s="36" t="s">
        <v>32</v>
      </c>
      <c r="BH53" s="1"/>
      <c r="BI53" s="36" t="s">
        <v>235</v>
      </c>
      <c r="BJ53" s="54">
        <v>65.0</v>
      </c>
      <c r="BK53" s="36">
        <v>16.0</v>
      </c>
      <c r="BL53" s="35" t="s">
        <v>28</v>
      </c>
      <c r="BM53" s="36" t="s">
        <v>32</v>
      </c>
      <c r="BN53" s="1"/>
      <c r="BO53" s="36" t="s">
        <v>124</v>
      </c>
      <c r="BP53" s="54">
        <v>7.0</v>
      </c>
      <c r="BQ53" s="39">
        <v>8.0</v>
      </c>
      <c r="BR53" s="35" t="s">
        <v>32</v>
      </c>
      <c r="BS53" s="36" t="s">
        <v>32</v>
      </c>
      <c r="BT53" s="1"/>
    </row>
    <row r="54">
      <c r="A54" s="82" t="s">
        <v>1210</v>
      </c>
      <c r="B54" s="83">
        <v>114.48</v>
      </c>
      <c r="C54" s="39">
        <v>18.0</v>
      </c>
      <c r="D54" s="39" t="s">
        <v>28</v>
      </c>
      <c r="E54" s="36" t="s">
        <v>34</v>
      </c>
      <c r="F54" s="1"/>
      <c r="G54" s="60" t="s">
        <v>745</v>
      </c>
      <c r="H54" s="54">
        <v>110.0</v>
      </c>
      <c r="I54" s="39">
        <v>4.0</v>
      </c>
      <c r="J54" s="35" t="s">
        <v>28</v>
      </c>
      <c r="K54" s="36" t="s">
        <v>32</v>
      </c>
      <c r="L54" s="1"/>
      <c r="M54" s="60" t="s">
        <v>1223</v>
      </c>
      <c r="N54" s="54">
        <v>10.45</v>
      </c>
      <c r="O54" s="39">
        <v>8.0</v>
      </c>
      <c r="P54" s="35" t="s">
        <v>28</v>
      </c>
      <c r="Q54" s="36" t="s">
        <v>34</v>
      </c>
      <c r="R54" s="1"/>
      <c r="S54" s="60" t="s">
        <v>1224</v>
      </c>
      <c r="T54" s="54">
        <v>24.0</v>
      </c>
      <c r="U54" s="39">
        <v>9.0</v>
      </c>
      <c r="V54" s="35" t="s">
        <v>28</v>
      </c>
      <c r="W54" s="36" t="s">
        <v>32</v>
      </c>
      <c r="X54" s="1"/>
      <c r="Y54" s="60" t="s">
        <v>505</v>
      </c>
      <c r="Z54" s="54">
        <v>545.89</v>
      </c>
      <c r="AA54" s="39">
        <v>10.0</v>
      </c>
      <c r="AB54" s="35" t="s">
        <v>34</v>
      </c>
      <c r="AC54" s="36" t="s">
        <v>32</v>
      </c>
      <c r="AD54" s="1"/>
      <c r="AE54" s="60" t="s">
        <v>502</v>
      </c>
      <c r="AF54" s="54">
        <v>949.68</v>
      </c>
      <c r="AG54" s="39">
        <v>10.0</v>
      </c>
      <c r="AH54" s="35" t="s">
        <v>32</v>
      </c>
      <c r="AI54" s="36" t="s">
        <v>32</v>
      </c>
      <c r="AJ54" s="1"/>
      <c r="AK54" s="36" t="s">
        <v>1046</v>
      </c>
      <c r="AL54" s="54">
        <v>54.0</v>
      </c>
      <c r="AM54" s="39">
        <v>15.0</v>
      </c>
      <c r="AN54" s="35" t="s">
        <v>32</v>
      </c>
      <c r="AO54" s="36" t="s">
        <v>32</v>
      </c>
      <c r="AP54" s="1"/>
      <c r="AQ54" s="60" t="s">
        <v>1225</v>
      </c>
      <c r="AR54" s="54">
        <v>250.0</v>
      </c>
      <c r="AS54" s="39">
        <v>9.0</v>
      </c>
      <c r="AT54" s="35" t="s">
        <v>28</v>
      </c>
      <c r="AU54" s="36" t="s">
        <v>34</v>
      </c>
      <c r="AV54" s="1"/>
      <c r="AW54" s="36" t="s">
        <v>1226</v>
      </c>
      <c r="AX54" s="36">
        <v>564.78</v>
      </c>
      <c r="AY54" s="36">
        <v>10.0</v>
      </c>
      <c r="AZ54" s="35" t="s">
        <v>28</v>
      </c>
      <c r="BA54" s="36" t="s">
        <v>32</v>
      </c>
      <c r="BB54" s="1"/>
      <c r="BC54" s="36" t="s">
        <v>502</v>
      </c>
      <c r="BD54" s="54">
        <v>4514.86</v>
      </c>
      <c r="BE54" s="39">
        <v>11.0</v>
      </c>
      <c r="BF54" s="35" t="s">
        <v>32</v>
      </c>
      <c r="BG54" s="36" t="s">
        <v>32</v>
      </c>
      <c r="BH54" s="1"/>
      <c r="BI54" s="36" t="s">
        <v>1227</v>
      </c>
      <c r="BJ54" s="54">
        <v>210.0</v>
      </c>
      <c r="BK54" s="36">
        <v>17.0</v>
      </c>
      <c r="BL54" s="35" t="s">
        <v>32</v>
      </c>
      <c r="BM54" s="36" t="s">
        <v>32</v>
      </c>
      <c r="BN54" s="1"/>
      <c r="BO54" s="36" t="s">
        <v>1228</v>
      </c>
      <c r="BP54" s="54">
        <v>120.0</v>
      </c>
      <c r="BQ54" s="39">
        <v>8.0</v>
      </c>
      <c r="BR54" s="35" t="s">
        <v>28</v>
      </c>
      <c r="BS54" s="36" t="s">
        <v>32</v>
      </c>
      <c r="BT54" s="1"/>
    </row>
    <row r="55">
      <c r="A55" s="82" t="s">
        <v>209</v>
      </c>
      <c r="B55" s="83">
        <v>160.0</v>
      </c>
      <c r="C55" s="39">
        <v>18.0</v>
      </c>
      <c r="D55" s="39" t="s">
        <v>28</v>
      </c>
      <c r="E55" s="36" t="s">
        <v>34</v>
      </c>
      <c r="F55" s="1"/>
      <c r="G55" s="60" t="s">
        <v>1229</v>
      </c>
      <c r="H55" s="54">
        <v>27.8</v>
      </c>
      <c r="I55" s="39">
        <v>5.0</v>
      </c>
      <c r="J55" s="35" t="s">
        <v>28</v>
      </c>
      <c r="K55" s="36" t="s">
        <v>32</v>
      </c>
      <c r="L55" s="1"/>
      <c r="M55" s="60" t="s">
        <v>1026</v>
      </c>
      <c r="N55" s="54">
        <v>12.0</v>
      </c>
      <c r="O55" s="39">
        <v>8.0</v>
      </c>
      <c r="P55" s="35" t="s">
        <v>28</v>
      </c>
      <c r="Q55" s="36" t="s">
        <v>34</v>
      </c>
      <c r="R55" s="1"/>
      <c r="S55" s="60" t="s">
        <v>1230</v>
      </c>
      <c r="T55" s="54">
        <v>60.0</v>
      </c>
      <c r="U55" s="39">
        <v>9.0</v>
      </c>
      <c r="V55" s="35" t="s">
        <v>28</v>
      </c>
      <c r="W55" s="36" t="s">
        <v>32</v>
      </c>
      <c r="X55" s="1"/>
      <c r="Y55" s="60" t="s">
        <v>1231</v>
      </c>
      <c r="Z55" s="54">
        <v>43.8</v>
      </c>
      <c r="AA55" s="39">
        <v>10.0</v>
      </c>
      <c r="AB55" s="35" t="s">
        <v>28</v>
      </c>
      <c r="AC55" s="36" t="s">
        <v>32</v>
      </c>
      <c r="AD55" s="1"/>
      <c r="AE55" s="60" t="s">
        <v>505</v>
      </c>
      <c r="AF55" s="54">
        <v>548.89</v>
      </c>
      <c r="AG55" s="39">
        <v>10.0</v>
      </c>
      <c r="AH55" s="35" t="s">
        <v>34</v>
      </c>
      <c r="AI55" s="36" t="s">
        <v>32</v>
      </c>
      <c r="AJ55" s="1"/>
      <c r="AK55" s="36" t="s">
        <v>1232</v>
      </c>
      <c r="AL55" s="54">
        <v>100.0</v>
      </c>
      <c r="AM55" s="39">
        <v>15.0</v>
      </c>
      <c r="AN55" s="35" t="s">
        <v>32</v>
      </c>
      <c r="AO55" s="36" t="s">
        <v>32</v>
      </c>
      <c r="AP55" s="1"/>
      <c r="AQ55" s="60" t="s">
        <v>295</v>
      </c>
      <c r="AR55" s="54">
        <v>12.0</v>
      </c>
      <c r="AS55" s="39">
        <v>9.0</v>
      </c>
      <c r="AT55" s="35" t="s">
        <v>28</v>
      </c>
      <c r="AU55" s="36" t="s">
        <v>34</v>
      </c>
      <c r="AV55" s="1"/>
      <c r="AW55" s="36" t="s">
        <v>978</v>
      </c>
      <c r="AX55" s="36">
        <v>713.24</v>
      </c>
      <c r="AY55" s="36">
        <v>10.0</v>
      </c>
      <c r="AZ55" s="35" t="s">
        <v>32</v>
      </c>
      <c r="BA55" s="36" t="s">
        <v>32</v>
      </c>
      <c r="BB55" s="1"/>
      <c r="BC55" s="36" t="s">
        <v>1233</v>
      </c>
      <c r="BD55" s="54">
        <v>82.8</v>
      </c>
      <c r="BE55" s="39">
        <v>11.0</v>
      </c>
      <c r="BF55" s="35" t="s">
        <v>30</v>
      </c>
      <c r="BG55" s="36" t="s">
        <v>32</v>
      </c>
      <c r="BH55" s="1"/>
      <c r="BI55" s="36" t="s">
        <v>235</v>
      </c>
      <c r="BJ55" s="54">
        <v>52.0</v>
      </c>
      <c r="BK55" s="36">
        <v>17.0</v>
      </c>
      <c r="BL55" s="35" t="s">
        <v>28</v>
      </c>
      <c r="BM55" s="36" t="s">
        <v>32</v>
      </c>
      <c r="BN55" s="1"/>
      <c r="BO55" s="36" t="s">
        <v>978</v>
      </c>
      <c r="BP55" s="84">
        <v>131.88</v>
      </c>
      <c r="BQ55" s="39">
        <v>12.0</v>
      </c>
      <c r="BR55" s="35" t="s">
        <v>28</v>
      </c>
      <c r="BS55" s="36" t="s">
        <v>32</v>
      </c>
      <c r="BT55" s="1"/>
    </row>
    <row r="56">
      <c r="A56" s="82" t="s">
        <v>299</v>
      </c>
      <c r="B56" s="83">
        <v>50.0</v>
      </c>
      <c r="C56" s="39">
        <v>18.0</v>
      </c>
      <c r="D56" s="39" t="s">
        <v>28</v>
      </c>
      <c r="E56" s="36" t="s">
        <v>32</v>
      </c>
      <c r="F56" s="1"/>
      <c r="G56" s="60" t="s">
        <v>344</v>
      </c>
      <c r="H56" s="54">
        <v>3.0</v>
      </c>
      <c r="I56" s="39">
        <v>5.0</v>
      </c>
      <c r="J56" s="35" t="s">
        <v>28</v>
      </c>
      <c r="K56" s="36" t="s">
        <v>32</v>
      </c>
      <c r="L56" s="1"/>
      <c r="M56" s="60" t="s">
        <v>618</v>
      </c>
      <c r="N56" s="54">
        <v>12.0</v>
      </c>
      <c r="O56" s="39">
        <v>9.0</v>
      </c>
      <c r="P56" s="35" t="s">
        <v>28</v>
      </c>
      <c r="Q56" s="36" t="s">
        <v>32</v>
      </c>
      <c r="R56" s="1"/>
      <c r="S56" s="60" t="s">
        <v>1234</v>
      </c>
      <c r="T56" s="54">
        <v>135.73</v>
      </c>
      <c r="U56" s="39">
        <v>10.0</v>
      </c>
      <c r="V56" s="35" t="s">
        <v>28</v>
      </c>
      <c r="W56" s="36" t="s">
        <v>32</v>
      </c>
      <c r="X56" s="1"/>
      <c r="Y56" s="60" t="s">
        <v>1235</v>
      </c>
      <c r="Z56" s="54">
        <v>1851.08</v>
      </c>
      <c r="AA56" s="39">
        <v>10.0</v>
      </c>
      <c r="AB56" s="35" t="s">
        <v>32</v>
      </c>
      <c r="AC56" s="36" t="s">
        <v>32</v>
      </c>
      <c r="AD56" s="1"/>
      <c r="AE56" s="60" t="s">
        <v>1222</v>
      </c>
      <c r="AF56" s="54">
        <v>165.08</v>
      </c>
      <c r="AG56" s="39">
        <v>10.0</v>
      </c>
      <c r="AH56" s="35" t="s">
        <v>32</v>
      </c>
      <c r="AI56" s="36" t="s">
        <v>32</v>
      </c>
      <c r="AJ56" s="1"/>
      <c r="AK56" s="36" t="s">
        <v>209</v>
      </c>
      <c r="AL56" s="54">
        <v>166.0</v>
      </c>
      <c r="AM56" s="39">
        <v>15.0</v>
      </c>
      <c r="AN56" s="35" t="s">
        <v>28</v>
      </c>
      <c r="AO56" s="36" t="s">
        <v>34</v>
      </c>
      <c r="AP56" s="1"/>
      <c r="AQ56" s="60" t="s">
        <v>978</v>
      </c>
      <c r="AR56" s="54">
        <v>3.0</v>
      </c>
      <c r="AS56" s="39">
        <v>10.0</v>
      </c>
      <c r="AT56" s="35" t="s">
        <v>32</v>
      </c>
      <c r="AU56" s="36" t="s">
        <v>32</v>
      </c>
      <c r="AV56" s="1"/>
      <c r="AW56" s="36" t="s">
        <v>1236</v>
      </c>
      <c r="AX56" s="36">
        <v>252.0</v>
      </c>
      <c r="AY56" s="36">
        <v>14.0</v>
      </c>
      <c r="AZ56" s="35" t="s">
        <v>28</v>
      </c>
      <c r="BA56" s="36" t="s">
        <v>34</v>
      </c>
      <c r="BB56" s="1"/>
      <c r="BC56" s="36" t="s">
        <v>505</v>
      </c>
      <c r="BD56" s="54">
        <v>1275.0</v>
      </c>
      <c r="BE56" s="39">
        <v>11.0</v>
      </c>
      <c r="BF56" s="35" t="s">
        <v>34</v>
      </c>
      <c r="BG56" s="36" t="s">
        <v>32</v>
      </c>
      <c r="BH56" s="1"/>
      <c r="BI56" s="36" t="s">
        <v>1237</v>
      </c>
      <c r="BJ56" s="54">
        <v>250.0</v>
      </c>
      <c r="BK56" s="36">
        <v>18.0</v>
      </c>
      <c r="BL56" s="35" t="s">
        <v>32</v>
      </c>
      <c r="BM56" s="36" t="s">
        <v>32</v>
      </c>
      <c r="BN56" s="1"/>
      <c r="BO56" s="36" t="s">
        <v>100</v>
      </c>
      <c r="BP56" s="54">
        <v>100.0</v>
      </c>
      <c r="BQ56" s="39">
        <v>12.0</v>
      </c>
      <c r="BR56" s="35" t="s">
        <v>32</v>
      </c>
      <c r="BS56" s="36" t="s">
        <v>32</v>
      </c>
      <c r="BT56" s="1"/>
    </row>
    <row r="57">
      <c r="A57" s="82" t="s">
        <v>124</v>
      </c>
      <c r="B57" s="83">
        <v>78.0</v>
      </c>
      <c r="C57" s="39">
        <v>19.0</v>
      </c>
      <c r="D57" s="39" t="s">
        <v>28</v>
      </c>
      <c r="E57" s="36" t="s">
        <v>32</v>
      </c>
      <c r="F57" s="1"/>
      <c r="G57" s="60" t="s">
        <v>1157</v>
      </c>
      <c r="H57" s="54">
        <v>3.0</v>
      </c>
      <c r="I57" s="39">
        <v>5.0</v>
      </c>
      <c r="J57" s="35" t="s">
        <v>32</v>
      </c>
      <c r="K57" s="36" t="s">
        <v>32</v>
      </c>
      <c r="L57" s="1"/>
      <c r="M57" s="60" t="s">
        <v>368</v>
      </c>
      <c r="N57" s="54">
        <v>7.8</v>
      </c>
      <c r="O57" s="39">
        <v>9.0</v>
      </c>
      <c r="P57" s="35" t="s">
        <v>28</v>
      </c>
      <c r="Q57" s="36" t="s">
        <v>32</v>
      </c>
      <c r="R57" s="1"/>
      <c r="S57" s="60" t="s">
        <v>1238</v>
      </c>
      <c r="T57" s="54">
        <v>25.0</v>
      </c>
      <c r="U57" s="39">
        <v>11.0</v>
      </c>
      <c r="V57" s="35" t="s">
        <v>32</v>
      </c>
      <c r="W57" s="36" t="s">
        <v>32</v>
      </c>
      <c r="X57" s="1"/>
      <c r="Y57" s="60" t="s">
        <v>1239</v>
      </c>
      <c r="Z57" s="54">
        <v>588.98</v>
      </c>
      <c r="AA57" s="39">
        <v>11.0</v>
      </c>
      <c r="AB57" s="35" t="s">
        <v>32</v>
      </c>
      <c r="AC57" s="36" t="s">
        <v>32</v>
      </c>
      <c r="AD57" s="1"/>
      <c r="AE57" s="60" t="s">
        <v>1226</v>
      </c>
      <c r="AF57" s="54">
        <v>408.69</v>
      </c>
      <c r="AG57" s="39">
        <v>10.0</v>
      </c>
      <c r="AH57" s="35" t="s">
        <v>28</v>
      </c>
      <c r="AI57" s="36" t="s">
        <v>32</v>
      </c>
      <c r="AJ57" s="1"/>
      <c r="AK57" s="36" t="s">
        <v>486</v>
      </c>
      <c r="AL57" s="54">
        <v>111.0</v>
      </c>
      <c r="AM57" s="39">
        <v>15.0</v>
      </c>
      <c r="AN57" s="35" t="s">
        <v>28</v>
      </c>
      <c r="AO57" s="36" t="s">
        <v>34</v>
      </c>
      <c r="AP57" s="1"/>
      <c r="AQ57" s="60" t="s">
        <v>1240</v>
      </c>
      <c r="AR57" s="54">
        <v>2817.88</v>
      </c>
      <c r="AS57" s="39">
        <v>10.0</v>
      </c>
      <c r="AT57" s="35" t="s">
        <v>28</v>
      </c>
      <c r="AU57" s="36" t="s">
        <v>32</v>
      </c>
      <c r="AV57" s="1"/>
      <c r="AW57" s="36" t="s">
        <v>695</v>
      </c>
      <c r="AX57" s="36">
        <v>25.0</v>
      </c>
      <c r="AY57" s="36">
        <v>14.0</v>
      </c>
      <c r="AZ57" s="35" t="s">
        <v>28</v>
      </c>
      <c r="BA57" s="36" t="s">
        <v>34</v>
      </c>
      <c r="BB57" s="1"/>
      <c r="BC57" s="36" t="s">
        <v>1241</v>
      </c>
      <c r="BD57" s="54">
        <v>7916.82</v>
      </c>
      <c r="BE57" s="39">
        <v>11.0</v>
      </c>
      <c r="BF57" s="35" t="s">
        <v>28</v>
      </c>
      <c r="BG57" s="36" t="s">
        <v>32</v>
      </c>
      <c r="BH57" s="1"/>
      <c r="BI57" s="36" t="s">
        <v>1242</v>
      </c>
      <c r="BJ57" s="54">
        <v>980.0</v>
      </c>
      <c r="BK57" s="36">
        <v>19.0</v>
      </c>
      <c r="BL57" s="35" t="s">
        <v>32</v>
      </c>
      <c r="BM57" s="36" t="s">
        <v>32</v>
      </c>
      <c r="BN57" s="1"/>
      <c r="BO57" s="36" t="s">
        <v>511</v>
      </c>
      <c r="BP57" s="84">
        <v>2775.72</v>
      </c>
      <c r="BQ57" s="39">
        <v>12.0</v>
      </c>
      <c r="BR57" s="35" t="s">
        <v>28</v>
      </c>
      <c r="BS57" s="36" t="s">
        <v>32</v>
      </c>
      <c r="BT57" s="1"/>
    </row>
    <row r="58">
      <c r="A58" s="82" t="s">
        <v>402</v>
      </c>
      <c r="B58" s="83">
        <v>271.42</v>
      </c>
      <c r="C58" s="39">
        <v>20.0</v>
      </c>
      <c r="D58" s="39" t="s">
        <v>34</v>
      </c>
      <c r="E58" s="36" t="s">
        <v>32</v>
      </c>
      <c r="F58" s="1"/>
      <c r="G58" s="60" t="s">
        <v>1243</v>
      </c>
      <c r="H58" s="54">
        <v>193.65</v>
      </c>
      <c r="I58" s="39">
        <v>5.0</v>
      </c>
      <c r="J58" s="35" t="s">
        <v>28</v>
      </c>
      <c r="K58" s="36" t="s">
        <v>32</v>
      </c>
      <c r="L58" s="1"/>
      <c r="M58" s="60" t="s">
        <v>1244</v>
      </c>
      <c r="N58" s="54">
        <v>5.0</v>
      </c>
      <c r="O58" s="39">
        <v>10.0</v>
      </c>
      <c r="P58" s="35" t="s">
        <v>32</v>
      </c>
      <c r="Q58" s="36" t="s">
        <v>32</v>
      </c>
      <c r="R58" s="1"/>
      <c r="S58" s="60" t="s">
        <v>1245</v>
      </c>
      <c r="T58" s="54">
        <v>34.62</v>
      </c>
      <c r="U58" s="39">
        <v>12.0</v>
      </c>
      <c r="V58" s="35" t="s">
        <v>28</v>
      </c>
      <c r="W58" s="36" t="s">
        <v>32</v>
      </c>
      <c r="X58" s="1"/>
      <c r="Y58" s="60" t="s">
        <v>124</v>
      </c>
      <c r="Z58" s="54">
        <v>21.9</v>
      </c>
      <c r="AA58" s="39">
        <v>11.0</v>
      </c>
      <c r="AB58" s="35" t="s">
        <v>32</v>
      </c>
      <c r="AC58" s="36" t="s">
        <v>32</v>
      </c>
      <c r="AD58" s="1"/>
      <c r="AE58" s="60" t="s">
        <v>978</v>
      </c>
      <c r="AF58" s="54">
        <v>3.0</v>
      </c>
      <c r="AG58" s="39">
        <v>10.0</v>
      </c>
      <c r="AH58" s="35" t="s">
        <v>32</v>
      </c>
      <c r="AI58" s="36" t="s">
        <v>32</v>
      </c>
      <c r="AJ58" s="1"/>
      <c r="AK58" s="36" t="s">
        <v>1246</v>
      </c>
      <c r="AL58" s="54">
        <v>36.87</v>
      </c>
      <c r="AM58" s="39">
        <v>15.0</v>
      </c>
      <c r="AN58" s="35" t="s">
        <v>28</v>
      </c>
      <c r="AO58" s="36" t="s">
        <v>34</v>
      </c>
      <c r="AP58" s="1"/>
      <c r="AQ58" s="60" t="s">
        <v>1247</v>
      </c>
      <c r="AR58" s="54">
        <v>986.94</v>
      </c>
      <c r="AS58" s="39">
        <v>10.0</v>
      </c>
      <c r="AT58" s="35" t="s">
        <v>34</v>
      </c>
      <c r="AU58" s="36" t="s">
        <v>32</v>
      </c>
      <c r="AV58" s="1"/>
      <c r="AW58" s="36" t="s">
        <v>819</v>
      </c>
      <c r="AX58" s="36">
        <v>20.0</v>
      </c>
      <c r="AY58" s="36">
        <v>20.0</v>
      </c>
      <c r="AZ58" s="35" t="s">
        <v>28</v>
      </c>
      <c r="BA58" s="36" t="s">
        <v>34</v>
      </c>
      <c r="BB58" s="1"/>
      <c r="BC58" s="36" t="s">
        <v>109</v>
      </c>
      <c r="BD58" s="54">
        <v>42.0</v>
      </c>
      <c r="BE58" s="39">
        <v>11.0</v>
      </c>
      <c r="BF58" s="35" t="s">
        <v>28</v>
      </c>
      <c r="BG58" s="36" t="s">
        <v>34</v>
      </c>
      <c r="BH58" s="1"/>
      <c r="BI58" s="36" t="s">
        <v>1011</v>
      </c>
      <c r="BJ58" s="54">
        <v>100.0</v>
      </c>
      <c r="BK58" s="36">
        <v>21.0</v>
      </c>
      <c r="BL58" s="35" t="s">
        <v>32</v>
      </c>
      <c r="BM58" s="36" t="s">
        <v>32</v>
      </c>
      <c r="BN58" s="1"/>
      <c r="BO58" s="36" t="s">
        <v>502</v>
      </c>
      <c r="BP58" s="84">
        <v>464.7</v>
      </c>
      <c r="BQ58" s="39">
        <v>12.0</v>
      </c>
      <c r="BR58" s="35" t="s">
        <v>32</v>
      </c>
      <c r="BS58" s="36" t="s">
        <v>32</v>
      </c>
      <c r="BT58" s="1"/>
    </row>
    <row r="59">
      <c r="A59" s="82" t="s">
        <v>1248</v>
      </c>
      <c r="B59" s="83">
        <v>12.0</v>
      </c>
      <c r="C59" s="39">
        <v>20.0</v>
      </c>
      <c r="D59" s="39" t="s">
        <v>28</v>
      </c>
      <c r="E59" s="36" t="s">
        <v>32</v>
      </c>
      <c r="F59" s="1"/>
      <c r="G59" s="60" t="s">
        <v>1249</v>
      </c>
      <c r="H59" s="54">
        <v>100.0</v>
      </c>
      <c r="I59" s="39">
        <v>5.0</v>
      </c>
      <c r="J59" s="35" t="s">
        <v>28</v>
      </c>
      <c r="K59" s="36" t="s">
        <v>34</v>
      </c>
      <c r="L59" s="1"/>
      <c r="M59" s="60" t="s">
        <v>1250</v>
      </c>
      <c r="N59" s="54">
        <v>18.0</v>
      </c>
      <c r="O59" s="39">
        <v>10.0</v>
      </c>
      <c r="P59" s="35" t="s">
        <v>32</v>
      </c>
      <c r="Q59" s="36" t="s">
        <v>32</v>
      </c>
      <c r="R59" s="1"/>
      <c r="S59" s="60" t="s">
        <v>966</v>
      </c>
      <c r="T59" s="54">
        <v>11.0</v>
      </c>
      <c r="U59" s="39">
        <v>12.0</v>
      </c>
      <c r="V59" s="35" t="s">
        <v>28</v>
      </c>
      <c r="W59" s="36" t="s">
        <v>32</v>
      </c>
      <c r="X59" s="1"/>
      <c r="Y59" s="60" t="s">
        <v>1251</v>
      </c>
      <c r="Z59" s="54">
        <v>17.0</v>
      </c>
      <c r="AA59" s="39">
        <v>12.0</v>
      </c>
      <c r="AB59" s="35" t="s">
        <v>28</v>
      </c>
      <c r="AC59" s="36" t="s">
        <v>32</v>
      </c>
      <c r="AD59" s="1"/>
      <c r="AE59" s="60" t="s">
        <v>92</v>
      </c>
      <c r="AF59" s="54">
        <v>119.0</v>
      </c>
      <c r="AG59" s="39">
        <v>11.0</v>
      </c>
      <c r="AH59" s="35" t="s">
        <v>32</v>
      </c>
      <c r="AI59" s="36" t="s">
        <v>32</v>
      </c>
      <c r="AJ59" s="1"/>
      <c r="AK59" s="36" t="s">
        <v>545</v>
      </c>
      <c r="AL59" s="54">
        <v>100.0</v>
      </c>
      <c r="AM59" s="39">
        <v>18.0</v>
      </c>
      <c r="AN59" s="35" t="s">
        <v>32</v>
      </c>
      <c r="AO59" s="36" t="s">
        <v>32</v>
      </c>
      <c r="AP59" s="1"/>
      <c r="AQ59" s="60" t="s">
        <v>1252</v>
      </c>
      <c r="AR59" s="54">
        <v>7650.7</v>
      </c>
      <c r="AS59" s="39">
        <v>10.0</v>
      </c>
      <c r="AT59" s="35" t="s">
        <v>32</v>
      </c>
      <c r="AU59" s="36" t="s">
        <v>32</v>
      </c>
      <c r="AV59" s="1"/>
      <c r="AW59" s="36" t="s">
        <v>1253</v>
      </c>
      <c r="AX59" s="36">
        <v>80.0</v>
      </c>
      <c r="AY59" s="36">
        <v>21.0</v>
      </c>
      <c r="AZ59" s="35" t="s">
        <v>28</v>
      </c>
      <c r="BA59" s="36" t="s">
        <v>34</v>
      </c>
      <c r="BB59" s="1"/>
      <c r="BC59" s="36" t="s">
        <v>1254</v>
      </c>
      <c r="BD59" s="54">
        <v>80.0</v>
      </c>
      <c r="BE59" s="39">
        <v>13.0</v>
      </c>
      <c r="BF59" s="35" t="s">
        <v>28</v>
      </c>
      <c r="BG59" s="36" t="s">
        <v>34</v>
      </c>
      <c r="BH59" s="1"/>
      <c r="BI59" s="36" t="s">
        <v>1255</v>
      </c>
      <c r="BJ59" s="54">
        <v>236.0</v>
      </c>
      <c r="BK59" s="36">
        <v>22.0</v>
      </c>
      <c r="BL59" s="35" t="s">
        <v>32</v>
      </c>
      <c r="BM59" s="36" t="s">
        <v>32</v>
      </c>
      <c r="BN59" s="1"/>
      <c r="BO59" s="36" t="s">
        <v>1222</v>
      </c>
      <c r="BP59" s="84">
        <v>1978.4</v>
      </c>
      <c r="BQ59" s="39">
        <v>12.0</v>
      </c>
      <c r="BR59" s="35" t="s">
        <v>32</v>
      </c>
      <c r="BS59" s="36" t="s">
        <v>32</v>
      </c>
      <c r="BT59" s="1"/>
    </row>
    <row r="60">
      <c r="A60" s="82" t="s">
        <v>1256</v>
      </c>
      <c r="B60" s="83">
        <v>6.9</v>
      </c>
      <c r="C60" s="39">
        <v>20.0</v>
      </c>
      <c r="D60" s="39" t="s">
        <v>28</v>
      </c>
      <c r="E60" s="36" t="s">
        <v>32</v>
      </c>
      <c r="F60" s="1"/>
      <c r="G60" s="60" t="s">
        <v>582</v>
      </c>
      <c r="H60" s="54">
        <v>2.0</v>
      </c>
      <c r="I60" s="39">
        <v>5.0</v>
      </c>
      <c r="J60" s="35" t="s">
        <v>28</v>
      </c>
      <c r="K60" s="36" t="s">
        <v>34</v>
      </c>
      <c r="L60" s="1"/>
      <c r="M60" s="60" t="s">
        <v>1257</v>
      </c>
      <c r="N60" s="54">
        <v>60.0</v>
      </c>
      <c r="O60" s="39">
        <v>10.0</v>
      </c>
      <c r="P60" s="35" t="s">
        <v>32</v>
      </c>
      <c r="Q60" s="36" t="s">
        <v>32</v>
      </c>
      <c r="R60" s="1"/>
      <c r="S60" s="60" t="s">
        <v>368</v>
      </c>
      <c r="T60" s="54">
        <v>38.0</v>
      </c>
      <c r="U60" s="39">
        <v>12.0</v>
      </c>
      <c r="V60" s="35" t="s">
        <v>28</v>
      </c>
      <c r="W60" s="36" t="s">
        <v>34</v>
      </c>
      <c r="X60" s="1"/>
      <c r="Y60" s="60" t="s">
        <v>1258</v>
      </c>
      <c r="Z60" s="54">
        <v>35.0</v>
      </c>
      <c r="AA60" s="39">
        <v>13.0</v>
      </c>
      <c r="AB60" s="35" t="s">
        <v>28</v>
      </c>
      <c r="AC60" s="36" t="s">
        <v>34</v>
      </c>
      <c r="AD60" s="1"/>
      <c r="AE60" s="60" t="s">
        <v>1259</v>
      </c>
      <c r="AF60" s="54">
        <v>56.0</v>
      </c>
      <c r="AG60" s="39">
        <v>11.0</v>
      </c>
      <c r="AH60" s="35" t="s">
        <v>28</v>
      </c>
      <c r="AI60" s="36" t="s">
        <v>34</v>
      </c>
      <c r="AJ60" s="1"/>
      <c r="AK60" s="36" t="s">
        <v>214</v>
      </c>
      <c r="AL60" s="54">
        <v>81.9</v>
      </c>
      <c r="AM60" s="39">
        <v>18.0</v>
      </c>
      <c r="AN60" s="35" t="s">
        <v>28</v>
      </c>
      <c r="AO60" s="36" t="s">
        <v>34</v>
      </c>
      <c r="AP60" s="1"/>
      <c r="AQ60" s="60" t="s">
        <v>1260</v>
      </c>
      <c r="AR60" s="54">
        <v>1113.57</v>
      </c>
      <c r="AS60" s="39">
        <v>10.0</v>
      </c>
      <c r="AT60" s="35" t="s">
        <v>30</v>
      </c>
      <c r="AU60" s="36" t="s">
        <v>32</v>
      </c>
      <c r="AV60" s="1"/>
      <c r="AW60" s="36" t="s">
        <v>109</v>
      </c>
      <c r="AX60" s="36">
        <v>68.0</v>
      </c>
      <c r="AY60" s="36">
        <v>21.0</v>
      </c>
      <c r="AZ60" s="35" t="s">
        <v>28</v>
      </c>
      <c r="BA60" s="36" t="s">
        <v>34</v>
      </c>
      <c r="BB60" s="1"/>
      <c r="BC60" s="36" t="s">
        <v>1261</v>
      </c>
      <c r="BD60" s="54">
        <v>140.0</v>
      </c>
      <c r="BE60" s="39">
        <v>16.0</v>
      </c>
      <c r="BF60" s="35" t="s">
        <v>28</v>
      </c>
      <c r="BG60" s="36" t="s">
        <v>34</v>
      </c>
      <c r="BH60" s="1"/>
      <c r="BI60" s="36" t="s">
        <v>92</v>
      </c>
      <c r="BJ60" s="54">
        <v>80.0</v>
      </c>
      <c r="BK60" s="36">
        <v>22.0</v>
      </c>
      <c r="BL60" s="35" t="s">
        <v>32</v>
      </c>
      <c r="BM60" s="36" t="s">
        <v>32</v>
      </c>
      <c r="BN60" s="1"/>
      <c r="BO60" s="36" t="s">
        <v>1226</v>
      </c>
      <c r="BP60" s="84">
        <v>232.8</v>
      </c>
      <c r="BQ60" s="39">
        <v>12.0</v>
      </c>
      <c r="BR60" s="35" t="s">
        <v>28</v>
      </c>
      <c r="BS60" s="36" t="s">
        <v>32</v>
      </c>
      <c r="BT60" s="1"/>
    </row>
    <row r="61">
      <c r="A61" s="82" t="s">
        <v>1262</v>
      </c>
      <c r="B61" s="83">
        <v>30.0</v>
      </c>
      <c r="C61" s="39">
        <v>21.0</v>
      </c>
      <c r="D61" s="39" t="s">
        <v>32</v>
      </c>
      <c r="E61" s="36" t="s">
        <v>32</v>
      </c>
      <c r="F61" s="1"/>
      <c r="G61" s="60" t="s">
        <v>218</v>
      </c>
      <c r="H61" s="54">
        <v>50.0</v>
      </c>
      <c r="I61" s="39">
        <v>6.0</v>
      </c>
      <c r="J61" s="35" t="s">
        <v>32</v>
      </c>
      <c r="K61" s="36" t="s">
        <v>32</v>
      </c>
      <c r="L61" s="1"/>
      <c r="M61" s="60" t="s">
        <v>819</v>
      </c>
      <c r="N61" s="54">
        <v>20.0</v>
      </c>
      <c r="O61" s="39">
        <v>10.0</v>
      </c>
      <c r="P61" s="35" t="s">
        <v>28</v>
      </c>
      <c r="Q61" s="36" t="s">
        <v>32</v>
      </c>
      <c r="R61" s="1"/>
      <c r="S61" s="60" t="s">
        <v>502</v>
      </c>
      <c r="T61" s="54">
        <v>1005.87</v>
      </c>
      <c r="U61" s="39">
        <v>12.0</v>
      </c>
      <c r="V61" s="35" t="s">
        <v>32</v>
      </c>
      <c r="W61" s="36" t="s">
        <v>32</v>
      </c>
      <c r="X61" s="1"/>
      <c r="Y61" s="60" t="s">
        <v>299</v>
      </c>
      <c r="Z61" s="54">
        <v>95.0</v>
      </c>
      <c r="AA61" s="39">
        <v>13.0</v>
      </c>
      <c r="AB61" s="35" t="s">
        <v>28</v>
      </c>
      <c r="AC61" s="36" t="s">
        <v>34</v>
      </c>
      <c r="AD61" s="1"/>
      <c r="AE61" s="60" t="s">
        <v>310</v>
      </c>
      <c r="AF61" s="54">
        <v>82.0</v>
      </c>
      <c r="AG61" s="39">
        <v>11.0</v>
      </c>
      <c r="AH61" s="35" t="s">
        <v>28</v>
      </c>
      <c r="AI61" s="36" t="s">
        <v>34</v>
      </c>
      <c r="AJ61" s="1"/>
      <c r="AK61" s="36" t="s">
        <v>1263</v>
      </c>
      <c r="AL61" s="54">
        <v>26.18</v>
      </c>
      <c r="AM61" s="39">
        <v>19.0</v>
      </c>
      <c r="AN61" s="35" t="s">
        <v>28</v>
      </c>
      <c r="AO61" s="36" t="s">
        <v>34</v>
      </c>
      <c r="AP61" s="1"/>
      <c r="AQ61" s="60" t="s">
        <v>1264</v>
      </c>
      <c r="AR61" s="54">
        <v>2146.59</v>
      </c>
      <c r="AS61" s="39">
        <v>10.0</v>
      </c>
      <c r="AT61" s="35" t="s">
        <v>32</v>
      </c>
      <c r="AU61" s="36" t="s">
        <v>32</v>
      </c>
      <c r="AV61" s="1"/>
      <c r="AW61" s="36" t="s">
        <v>1265</v>
      </c>
      <c r="AX61" s="36">
        <v>305.0</v>
      </c>
      <c r="AY61" s="36">
        <v>22.0</v>
      </c>
      <c r="AZ61" s="35" t="s">
        <v>28</v>
      </c>
      <c r="BA61" s="36" t="s">
        <v>34</v>
      </c>
      <c r="BB61" s="1"/>
      <c r="BC61" s="36" t="s">
        <v>641</v>
      </c>
      <c r="BD61" s="54">
        <v>55.0</v>
      </c>
      <c r="BE61" s="39">
        <v>16.0</v>
      </c>
      <c r="BF61" s="35" t="s">
        <v>28</v>
      </c>
      <c r="BG61" s="36" t="s">
        <v>34</v>
      </c>
      <c r="BH61" s="1"/>
      <c r="BI61" s="36" t="s">
        <v>1266</v>
      </c>
      <c r="BJ61" s="54">
        <v>50.0</v>
      </c>
      <c r="BK61" s="36">
        <v>24.0</v>
      </c>
      <c r="BL61" s="35" t="s">
        <v>32</v>
      </c>
      <c r="BM61" s="36" t="s">
        <v>32</v>
      </c>
      <c r="BN61" s="1"/>
      <c r="BO61" s="36" t="s">
        <v>1267</v>
      </c>
      <c r="BP61" s="54">
        <v>20.0</v>
      </c>
      <c r="BQ61" s="39">
        <v>13.0</v>
      </c>
      <c r="BR61" s="35" t="s">
        <v>32</v>
      </c>
      <c r="BS61" s="36" t="s">
        <v>32</v>
      </c>
      <c r="BT61" s="1"/>
    </row>
    <row r="62">
      <c r="A62" s="82" t="s">
        <v>108</v>
      </c>
      <c r="B62" s="83">
        <v>9.0</v>
      </c>
      <c r="C62" s="39">
        <v>21.0</v>
      </c>
      <c r="D62" s="39" t="s">
        <v>28</v>
      </c>
      <c r="E62" s="36" t="s">
        <v>32</v>
      </c>
      <c r="F62" s="1"/>
      <c r="G62" s="60" t="s">
        <v>966</v>
      </c>
      <c r="H62" s="54">
        <v>16.08</v>
      </c>
      <c r="I62" s="39">
        <v>6.0</v>
      </c>
      <c r="J62" s="35" t="s">
        <v>28</v>
      </c>
      <c r="K62" s="36" t="s">
        <v>32</v>
      </c>
      <c r="L62" s="1"/>
      <c r="M62" s="60" t="s">
        <v>974</v>
      </c>
      <c r="N62" s="54">
        <v>468.56</v>
      </c>
      <c r="O62" s="39">
        <v>10.0</v>
      </c>
      <c r="P62" s="35" t="s">
        <v>32</v>
      </c>
      <c r="Q62" s="36" t="s">
        <v>32</v>
      </c>
      <c r="R62" s="1"/>
      <c r="S62" s="60" t="s">
        <v>505</v>
      </c>
      <c r="T62" s="54">
        <v>500.02</v>
      </c>
      <c r="U62" s="39">
        <v>12.0</v>
      </c>
      <c r="V62" s="35" t="s">
        <v>34</v>
      </c>
      <c r="W62" s="36" t="s">
        <v>32</v>
      </c>
      <c r="X62" s="1"/>
      <c r="Y62" s="60" t="s">
        <v>368</v>
      </c>
      <c r="Z62" s="54">
        <v>30.64</v>
      </c>
      <c r="AA62" s="39">
        <v>14.0</v>
      </c>
      <c r="AB62" s="35" t="s">
        <v>28</v>
      </c>
      <c r="AC62" s="36" t="s">
        <v>34</v>
      </c>
      <c r="AD62" s="1"/>
      <c r="AE62" s="60" t="s">
        <v>295</v>
      </c>
      <c r="AF62" s="54">
        <v>8.0</v>
      </c>
      <c r="AG62" s="39">
        <v>11.0</v>
      </c>
      <c r="AH62" s="35" t="s">
        <v>28</v>
      </c>
      <c r="AI62" s="36" t="s">
        <v>34</v>
      </c>
      <c r="AJ62" s="1"/>
      <c r="AK62" s="36" t="s">
        <v>967</v>
      </c>
      <c r="AL62" s="54">
        <v>54.0</v>
      </c>
      <c r="AM62" s="39">
        <v>19.0</v>
      </c>
      <c r="AN62" s="35" t="s">
        <v>28</v>
      </c>
      <c r="AO62" s="36" t="s">
        <v>34</v>
      </c>
      <c r="AP62" s="1"/>
      <c r="AQ62" s="60" t="s">
        <v>1268</v>
      </c>
      <c r="AR62" s="54">
        <v>59.99</v>
      </c>
      <c r="AS62" s="39">
        <v>10.0</v>
      </c>
      <c r="AT62" s="35" t="s">
        <v>34</v>
      </c>
      <c r="AU62" s="36" t="s">
        <v>32</v>
      </c>
      <c r="AV62" s="1"/>
      <c r="AW62" s="36" t="s">
        <v>1253</v>
      </c>
      <c r="AX62" s="36">
        <v>80.0</v>
      </c>
      <c r="AY62" s="36">
        <v>23.0</v>
      </c>
      <c r="AZ62" s="35" t="s">
        <v>28</v>
      </c>
      <c r="BA62" s="36" t="s">
        <v>34</v>
      </c>
      <c r="BB62" s="1"/>
      <c r="BC62" s="36" t="s">
        <v>1078</v>
      </c>
      <c r="BD62" s="54">
        <v>38.0</v>
      </c>
      <c r="BE62" s="39">
        <v>16.0</v>
      </c>
      <c r="BF62" s="35" t="s">
        <v>28</v>
      </c>
      <c r="BG62" s="36" t="s">
        <v>34</v>
      </c>
      <c r="BH62" s="1"/>
      <c r="BI62" s="36" t="s">
        <v>1269</v>
      </c>
      <c r="BJ62" s="54">
        <v>8.0</v>
      </c>
      <c r="BK62" s="36">
        <v>24.0</v>
      </c>
      <c r="BL62" s="35" t="s">
        <v>32</v>
      </c>
      <c r="BM62" s="36" t="s">
        <v>32</v>
      </c>
      <c r="BN62" s="1"/>
      <c r="BO62" s="36" t="s">
        <v>1270</v>
      </c>
      <c r="BP62" s="54">
        <v>90.0</v>
      </c>
      <c r="BQ62" s="39">
        <v>13.0</v>
      </c>
      <c r="BR62" s="35" t="s">
        <v>28</v>
      </c>
      <c r="BS62" s="36" t="s">
        <v>34</v>
      </c>
      <c r="BT62" s="1"/>
    </row>
    <row r="63">
      <c r="A63" s="82" t="s">
        <v>313</v>
      </c>
      <c r="B63" s="83">
        <v>5.0</v>
      </c>
      <c r="C63" s="39">
        <v>22.0</v>
      </c>
      <c r="D63" s="39" t="s">
        <v>32</v>
      </c>
      <c r="E63" s="36" t="s">
        <v>32</v>
      </c>
      <c r="F63" s="1"/>
      <c r="G63" s="60" t="s">
        <v>1271</v>
      </c>
      <c r="H63" s="54">
        <v>10.0</v>
      </c>
      <c r="I63" s="39">
        <v>6.0</v>
      </c>
      <c r="J63" s="35" t="s">
        <v>28</v>
      </c>
      <c r="K63" s="36" t="s">
        <v>32</v>
      </c>
      <c r="L63" s="1"/>
      <c r="M63" s="60" t="s">
        <v>502</v>
      </c>
      <c r="N63" s="54">
        <v>702.1</v>
      </c>
      <c r="O63" s="39">
        <v>10.0</v>
      </c>
      <c r="P63" s="35" t="s">
        <v>32</v>
      </c>
      <c r="Q63" s="36" t="s">
        <v>32</v>
      </c>
      <c r="R63" s="1"/>
      <c r="S63" s="60" t="s">
        <v>511</v>
      </c>
      <c r="T63" s="54">
        <v>7087.43</v>
      </c>
      <c r="U63" s="39">
        <v>12.0</v>
      </c>
      <c r="V63" s="35" t="s">
        <v>28</v>
      </c>
      <c r="W63" s="36" t="s">
        <v>32</v>
      </c>
      <c r="X63" s="1"/>
      <c r="Y63" s="60" t="s">
        <v>582</v>
      </c>
      <c r="Z63" s="54">
        <v>8.0</v>
      </c>
      <c r="AA63" s="39">
        <v>15.0</v>
      </c>
      <c r="AB63" s="35" t="s">
        <v>28</v>
      </c>
      <c r="AC63" s="36" t="s">
        <v>34</v>
      </c>
      <c r="AD63" s="1"/>
      <c r="AE63" s="60" t="s">
        <v>1272</v>
      </c>
      <c r="AF63" s="54">
        <v>32.0</v>
      </c>
      <c r="AG63" s="39">
        <v>14.0</v>
      </c>
      <c r="AH63" s="35" t="s">
        <v>28</v>
      </c>
      <c r="AI63" s="36" t="s">
        <v>32</v>
      </c>
      <c r="AJ63" s="1"/>
      <c r="AK63" s="36" t="s">
        <v>582</v>
      </c>
      <c r="AL63" s="54">
        <v>4.0</v>
      </c>
      <c r="AM63" s="39">
        <v>19.0</v>
      </c>
      <c r="AN63" s="35" t="s">
        <v>28</v>
      </c>
      <c r="AO63" s="36" t="s">
        <v>34</v>
      </c>
      <c r="AP63" s="1"/>
      <c r="AQ63" s="60" t="s">
        <v>1273</v>
      </c>
      <c r="AR63" s="54">
        <v>341.79</v>
      </c>
      <c r="AS63" s="39">
        <v>10.0</v>
      </c>
      <c r="AT63" s="35" t="s">
        <v>28</v>
      </c>
      <c r="AU63" s="36" t="s">
        <v>32</v>
      </c>
      <c r="AV63" s="1"/>
      <c r="AW63" s="36" t="s">
        <v>329</v>
      </c>
      <c r="AX63" s="36">
        <v>22.5</v>
      </c>
      <c r="AY63" s="36">
        <v>23.0</v>
      </c>
      <c r="AZ63" s="35" t="s">
        <v>28</v>
      </c>
      <c r="BA63" s="36" t="s">
        <v>34</v>
      </c>
      <c r="BB63" s="1"/>
      <c r="BC63" s="36" t="s">
        <v>1274</v>
      </c>
      <c r="BD63" s="54">
        <v>78.99</v>
      </c>
      <c r="BE63" s="39">
        <v>19.0</v>
      </c>
      <c r="BF63" s="35" t="s">
        <v>28</v>
      </c>
      <c r="BG63" s="36" t="s">
        <v>34</v>
      </c>
      <c r="BH63" s="1"/>
      <c r="BI63" s="36" t="s">
        <v>1275</v>
      </c>
      <c r="BJ63" s="54">
        <v>1000.0</v>
      </c>
      <c r="BK63" s="36">
        <v>24.0</v>
      </c>
      <c r="BL63" s="35" t="s">
        <v>32</v>
      </c>
      <c r="BM63" s="36" t="s">
        <v>32</v>
      </c>
      <c r="BN63" s="1"/>
      <c r="BO63" s="36" t="s">
        <v>1276</v>
      </c>
      <c r="BP63" s="54">
        <v>150.0</v>
      </c>
      <c r="BQ63" s="39">
        <v>13.0</v>
      </c>
      <c r="BR63" s="35" t="s">
        <v>28</v>
      </c>
      <c r="BS63" s="36" t="s">
        <v>34</v>
      </c>
      <c r="BT63" s="1"/>
    </row>
    <row r="64">
      <c r="A64" s="82" t="s">
        <v>1277</v>
      </c>
      <c r="B64" s="83">
        <v>300.0</v>
      </c>
      <c r="C64" s="39">
        <v>22.0</v>
      </c>
      <c r="D64" s="39" t="s">
        <v>32</v>
      </c>
      <c r="E64" s="36" t="s">
        <v>32</v>
      </c>
      <c r="F64" s="1"/>
      <c r="G64" s="60" t="s">
        <v>545</v>
      </c>
      <c r="H64" s="54">
        <v>100.0</v>
      </c>
      <c r="I64" s="39">
        <v>7.0</v>
      </c>
      <c r="J64" s="35" t="s">
        <v>32</v>
      </c>
      <c r="K64" s="36" t="s">
        <v>32</v>
      </c>
      <c r="L64" s="1"/>
      <c r="M64" s="60" t="s">
        <v>511</v>
      </c>
      <c r="N64" s="54">
        <v>2580.11</v>
      </c>
      <c r="O64" s="39">
        <v>10.0</v>
      </c>
      <c r="P64" s="35" t="s">
        <v>28</v>
      </c>
      <c r="Q64" s="36" t="s">
        <v>32</v>
      </c>
      <c r="R64" s="1"/>
      <c r="S64" s="60" t="s">
        <v>1222</v>
      </c>
      <c r="T64" s="54">
        <v>278.61</v>
      </c>
      <c r="U64" s="39">
        <v>12.0</v>
      </c>
      <c r="V64" s="35" t="s">
        <v>32</v>
      </c>
      <c r="W64" s="36" t="s">
        <v>32</v>
      </c>
      <c r="X64" s="1"/>
      <c r="Y64" s="60" t="s">
        <v>209</v>
      </c>
      <c r="Z64" s="54">
        <v>3.0</v>
      </c>
      <c r="AA64" s="39">
        <v>17.0</v>
      </c>
      <c r="AB64" s="35" t="s">
        <v>28</v>
      </c>
      <c r="AC64" s="36" t="s">
        <v>32</v>
      </c>
      <c r="AD64" s="1"/>
      <c r="AE64" s="60" t="s">
        <v>310</v>
      </c>
      <c r="AF64" s="54">
        <v>20.0</v>
      </c>
      <c r="AG64" s="39">
        <v>14.0</v>
      </c>
      <c r="AH64" s="35" t="s">
        <v>28</v>
      </c>
      <c r="AI64" s="36" t="s">
        <v>32</v>
      </c>
      <c r="AJ64" s="1"/>
      <c r="AK64" s="36" t="s">
        <v>582</v>
      </c>
      <c r="AL64" s="54">
        <v>2.0</v>
      </c>
      <c r="AM64" s="39">
        <v>22.0</v>
      </c>
      <c r="AN64" s="35" t="s">
        <v>28</v>
      </c>
      <c r="AO64" s="36" t="s">
        <v>34</v>
      </c>
      <c r="AP64" s="1"/>
      <c r="AQ64" s="60" t="s">
        <v>533</v>
      </c>
      <c r="AR64" s="54">
        <v>516.21</v>
      </c>
      <c r="AS64" s="39">
        <v>13.0</v>
      </c>
      <c r="AT64" s="35" t="s">
        <v>28</v>
      </c>
      <c r="AU64" s="36" t="s">
        <v>34</v>
      </c>
      <c r="AV64" s="1"/>
      <c r="AW64" s="36" t="s">
        <v>235</v>
      </c>
      <c r="AX64" s="36">
        <v>39.0</v>
      </c>
      <c r="AY64" s="36">
        <v>23.0</v>
      </c>
      <c r="AZ64" s="35" t="s">
        <v>28</v>
      </c>
      <c r="BA64" s="36" t="s">
        <v>34</v>
      </c>
      <c r="BB64" s="1"/>
      <c r="BC64" s="36" t="s">
        <v>209</v>
      </c>
      <c r="BD64" s="54">
        <v>100.0</v>
      </c>
      <c r="BE64" s="39">
        <v>19.0</v>
      </c>
      <c r="BF64" s="35" t="s">
        <v>28</v>
      </c>
      <c r="BG64" s="36" t="s">
        <v>34</v>
      </c>
      <c r="BH64" s="1"/>
      <c r="BI64" s="36" t="s">
        <v>1278</v>
      </c>
      <c r="BJ64" s="54">
        <v>100.0</v>
      </c>
      <c r="BK64" s="36">
        <v>27.0</v>
      </c>
      <c r="BL64" s="35" t="s">
        <v>32</v>
      </c>
      <c r="BM64" s="36" t="s">
        <v>32</v>
      </c>
      <c r="BN64" s="1"/>
      <c r="BO64" s="36" t="s">
        <v>274</v>
      </c>
      <c r="BP64" s="54">
        <v>210.0</v>
      </c>
      <c r="BQ64" s="39">
        <v>13.0</v>
      </c>
      <c r="BR64" s="35" t="s">
        <v>28</v>
      </c>
      <c r="BS64" s="36" t="s">
        <v>34</v>
      </c>
      <c r="BT64" s="1"/>
    </row>
    <row r="65">
      <c r="A65" s="82" t="s">
        <v>1249</v>
      </c>
      <c r="B65" s="83">
        <v>100.0</v>
      </c>
      <c r="C65" s="39">
        <v>22.0</v>
      </c>
      <c r="D65" s="39" t="s">
        <v>28</v>
      </c>
      <c r="E65" s="36" t="s">
        <v>34</v>
      </c>
      <c r="F65" s="1"/>
      <c r="G65" s="60" t="s">
        <v>124</v>
      </c>
      <c r="H65" s="54">
        <v>-38.27</v>
      </c>
      <c r="I65" s="39">
        <v>7.0</v>
      </c>
      <c r="J65" s="35" t="s">
        <v>32</v>
      </c>
      <c r="K65" s="36" t="s">
        <v>32</v>
      </c>
      <c r="L65" s="1"/>
      <c r="M65" s="60" t="s">
        <v>505</v>
      </c>
      <c r="N65" s="54">
        <v>86.42</v>
      </c>
      <c r="O65" s="39">
        <v>10.0</v>
      </c>
      <c r="P65" s="35" t="s">
        <v>34</v>
      </c>
      <c r="Q65" s="36" t="s">
        <v>32</v>
      </c>
      <c r="R65" s="1"/>
      <c r="S65" s="60" t="s">
        <v>978</v>
      </c>
      <c r="T65" s="54">
        <v>3.0</v>
      </c>
      <c r="U65" s="39">
        <v>12.0</v>
      </c>
      <c r="V65" s="35" t="s">
        <v>32</v>
      </c>
      <c r="W65" s="36" t="s">
        <v>32</v>
      </c>
      <c r="X65" s="1"/>
      <c r="Y65" s="60" t="s">
        <v>1279</v>
      </c>
      <c r="Z65" s="54">
        <v>30.0</v>
      </c>
      <c r="AA65" s="39">
        <v>17.0</v>
      </c>
      <c r="AB65" s="35" t="s">
        <v>32</v>
      </c>
      <c r="AC65" s="36" t="s">
        <v>32</v>
      </c>
      <c r="AD65" s="1"/>
      <c r="AE65" s="60" t="s">
        <v>100</v>
      </c>
      <c r="AF65" s="54">
        <v>100.0</v>
      </c>
      <c r="AG65" s="39">
        <v>14.0</v>
      </c>
      <c r="AH65" s="35" t="s">
        <v>32</v>
      </c>
      <c r="AI65" s="36" t="s">
        <v>32</v>
      </c>
      <c r="AJ65" s="1"/>
      <c r="AK65" s="36" t="s">
        <v>329</v>
      </c>
      <c r="AL65" s="54">
        <v>25.0</v>
      </c>
      <c r="AM65" s="39">
        <v>22.0</v>
      </c>
      <c r="AN65" s="35" t="s">
        <v>28</v>
      </c>
      <c r="AO65" s="36" t="s">
        <v>34</v>
      </c>
      <c r="AP65" s="1"/>
      <c r="AQ65" s="60" t="s">
        <v>209</v>
      </c>
      <c r="AR65" s="54">
        <v>165.7</v>
      </c>
      <c r="AS65" s="39">
        <v>13.0</v>
      </c>
      <c r="AT65" s="35" t="s">
        <v>28</v>
      </c>
      <c r="AU65" s="36" t="s">
        <v>34</v>
      </c>
      <c r="AV65" s="1"/>
      <c r="AW65" s="36" t="s">
        <v>100</v>
      </c>
      <c r="AX65" s="36">
        <v>100.0</v>
      </c>
      <c r="AY65" s="36">
        <v>26.0</v>
      </c>
      <c r="AZ65" s="35" t="s">
        <v>32</v>
      </c>
      <c r="BA65" s="36" t="s">
        <v>32</v>
      </c>
      <c r="BB65" s="1"/>
      <c r="BC65" s="36" t="s">
        <v>110</v>
      </c>
      <c r="BD65" s="54">
        <v>9.0</v>
      </c>
      <c r="BE65" s="39">
        <v>22.0</v>
      </c>
      <c r="BF65" s="35" t="s">
        <v>28</v>
      </c>
      <c r="BG65" s="36" t="s">
        <v>34</v>
      </c>
      <c r="BH65" s="1"/>
      <c r="BI65" s="36" t="s">
        <v>1011</v>
      </c>
      <c r="BJ65" s="54">
        <v>100.0</v>
      </c>
      <c r="BK65" s="36">
        <v>28.0</v>
      </c>
      <c r="BL65" s="35" t="s">
        <v>32</v>
      </c>
      <c r="BM65" s="36" t="s">
        <v>32</v>
      </c>
      <c r="BN65" s="1"/>
      <c r="BO65" s="36" t="s">
        <v>1280</v>
      </c>
      <c r="BP65" s="84">
        <v>920.0</v>
      </c>
      <c r="BQ65" s="39">
        <v>14.0</v>
      </c>
      <c r="BR65" s="35" t="s">
        <v>30</v>
      </c>
      <c r="BS65" s="36" t="s">
        <v>32</v>
      </c>
      <c r="BT65" s="1"/>
    </row>
    <row r="66">
      <c r="A66" s="82" t="s">
        <v>1281</v>
      </c>
      <c r="B66" s="83">
        <v>50.0</v>
      </c>
      <c r="C66" s="39">
        <v>22.0</v>
      </c>
      <c r="D66" s="39" t="s">
        <v>28</v>
      </c>
      <c r="E66" s="36" t="s">
        <v>34</v>
      </c>
      <c r="F66" s="1"/>
      <c r="G66" s="60" t="s">
        <v>1282</v>
      </c>
      <c r="H66" s="54">
        <v>75.66</v>
      </c>
      <c r="I66" s="39">
        <v>8.0</v>
      </c>
      <c r="J66" s="35" t="s">
        <v>34</v>
      </c>
      <c r="K66" s="36" t="s">
        <v>32</v>
      </c>
      <c r="L66" s="1"/>
      <c r="M66" s="60" t="s">
        <v>235</v>
      </c>
      <c r="N66" s="54">
        <v>36.0</v>
      </c>
      <c r="O66" s="39">
        <v>10.0</v>
      </c>
      <c r="P66" s="35" t="s">
        <v>28</v>
      </c>
      <c r="Q66" s="36" t="s">
        <v>34</v>
      </c>
      <c r="R66" s="1"/>
      <c r="S66" s="60" t="s">
        <v>1283</v>
      </c>
      <c r="T66" s="54">
        <v>6.0</v>
      </c>
      <c r="U66" s="39">
        <v>13.0</v>
      </c>
      <c r="V66" s="35" t="s">
        <v>32</v>
      </c>
      <c r="W66" s="36" t="s">
        <v>32</v>
      </c>
      <c r="X66" s="1"/>
      <c r="Y66" s="60" t="s">
        <v>313</v>
      </c>
      <c r="Z66" s="54">
        <v>30.0</v>
      </c>
      <c r="AA66" s="39">
        <v>18.0</v>
      </c>
      <c r="AB66" s="35" t="s">
        <v>32</v>
      </c>
      <c r="AC66" s="36" t="s">
        <v>32</v>
      </c>
      <c r="AD66" s="1"/>
      <c r="AE66" s="60" t="s">
        <v>92</v>
      </c>
      <c r="AF66" s="54">
        <v>100.0</v>
      </c>
      <c r="AG66" s="39">
        <v>15.0</v>
      </c>
      <c r="AH66" s="35" t="s">
        <v>28</v>
      </c>
      <c r="AI66" s="36" t="s">
        <v>32</v>
      </c>
      <c r="AJ66" s="1"/>
      <c r="AK66" s="36" t="s">
        <v>1284</v>
      </c>
      <c r="AL66" s="54">
        <v>15.0</v>
      </c>
      <c r="AM66" s="39">
        <v>22.0</v>
      </c>
      <c r="AN66" s="35" t="s">
        <v>28</v>
      </c>
      <c r="AO66" s="36" t="s">
        <v>34</v>
      </c>
      <c r="AP66" s="1"/>
      <c r="AQ66" s="60" t="s">
        <v>1285</v>
      </c>
      <c r="AR66" s="54">
        <v>96.8</v>
      </c>
      <c r="AS66" s="39">
        <v>13.0</v>
      </c>
      <c r="AT66" s="35" t="s">
        <v>28</v>
      </c>
      <c r="AU66" s="36" t="s">
        <v>34</v>
      </c>
      <c r="AV66" s="1"/>
      <c r="AW66" s="36" t="s">
        <v>109</v>
      </c>
      <c r="AX66" s="36">
        <v>40.0</v>
      </c>
      <c r="AY66" s="36">
        <v>27.0</v>
      </c>
      <c r="AZ66" s="35" t="s">
        <v>28</v>
      </c>
      <c r="BA66" s="36" t="s">
        <v>34</v>
      </c>
      <c r="BB66" s="1"/>
      <c r="BC66" s="36" t="s">
        <v>109</v>
      </c>
      <c r="BD66" s="54">
        <v>80.0</v>
      </c>
      <c r="BE66" s="39">
        <v>22.0</v>
      </c>
      <c r="BF66" s="35" t="s">
        <v>28</v>
      </c>
      <c r="BG66" s="36" t="s">
        <v>34</v>
      </c>
      <c r="BH66" s="1"/>
      <c r="BI66" s="36" t="s">
        <v>1286</v>
      </c>
      <c r="BJ66" s="54">
        <v>50.0</v>
      </c>
      <c r="BK66" s="36">
        <v>29.0</v>
      </c>
      <c r="BL66" s="35" t="s">
        <v>32</v>
      </c>
      <c r="BM66" s="36" t="s">
        <v>32</v>
      </c>
      <c r="BN66" s="1"/>
      <c r="BO66" s="36" t="s">
        <v>1287</v>
      </c>
      <c r="BP66" s="54">
        <v>250.0</v>
      </c>
      <c r="BQ66" s="39">
        <v>14.0</v>
      </c>
      <c r="BR66" s="35" t="s">
        <v>28</v>
      </c>
      <c r="BS66" s="36" t="s">
        <v>32</v>
      </c>
      <c r="BT66" s="1"/>
    </row>
    <row r="67">
      <c r="A67" s="82" t="s">
        <v>1288</v>
      </c>
      <c r="B67" s="83">
        <v>10.0</v>
      </c>
      <c r="C67" s="39">
        <v>22.0</v>
      </c>
      <c r="D67" s="39" t="s">
        <v>28</v>
      </c>
      <c r="E67" s="36" t="s">
        <v>34</v>
      </c>
      <c r="F67" s="1"/>
      <c r="G67" s="60" t="s">
        <v>966</v>
      </c>
      <c r="H67" s="54">
        <v>20.0</v>
      </c>
      <c r="I67" s="39">
        <v>8.0</v>
      </c>
      <c r="J67" s="35" t="s">
        <v>28</v>
      </c>
      <c r="K67" s="36" t="s">
        <v>32</v>
      </c>
      <c r="L67" s="1"/>
      <c r="M67" s="60" t="s">
        <v>329</v>
      </c>
      <c r="N67" s="54">
        <v>13.5</v>
      </c>
      <c r="O67" s="39">
        <v>10.0</v>
      </c>
      <c r="P67" s="35" t="s">
        <v>28</v>
      </c>
      <c r="Q67" s="36" t="s">
        <v>34</v>
      </c>
      <c r="R67" s="1"/>
      <c r="S67" s="60" t="s">
        <v>1245</v>
      </c>
      <c r="T67" s="54">
        <v>29.17</v>
      </c>
      <c r="U67" s="39">
        <v>13.0</v>
      </c>
      <c r="V67" s="35" t="s">
        <v>32</v>
      </c>
      <c r="W67" s="36" t="s">
        <v>32</v>
      </c>
      <c r="X67" s="1"/>
      <c r="Y67" s="60" t="s">
        <v>1289</v>
      </c>
      <c r="Z67" s="54">
        <v>20.0</v>
      </c>
      <c r="AA67" s="39">
        <v>18.0</v>
      </c>
      <c r="AB67" s="35" t="s">
        <v>32</v>
      </c>
      <c r="AC67" s="36" t="s">
        <v>32</v>
      </c>
      <c r="AD67" s="1"/>
      <c r="AE67" s="60" t="s">
        <v>214</v>
      </c>
      <c r="AF67" s="54">
        <v>52.9</v>
      </c>
      <c r="AG67" s="39">
        <v>15.0</v>
      </c>
      <c r="AH67" s="35" t="s">
        <v>28</v>
      </c>
      <c r="AI67" s="36" t="s">
        <v>34</v>
      </c>
      <c r="AJ67" s="1"/>
      <c r="AK67" s="36" t="s">
        <v>1290</v>
      </c>
      <c r="AL67" s="54">
        <v>15.78</v>
      </c>
      <c r="AM67" s="39">
        <v>22.0</v>
      </c>
      <c r="AN67" s="35" t="s">
        <v>28</v>
      </c>
      <c r="AO67" s="36" t="s">
        <v>34</v>
      </c>
      <c r="AP67" s="1"/>
      <c r="AQ67" s="60" t="s">
        <v>1291</v>
      </c>
      <c r="AR67" s="54">
        <v>20.0</v>
      </c>
      <c r="AS67" s="39">
        <v>13.0</v>
      </c>
      <c r="AT67" s="35" t="s">
        <v>28</v>
      </c>
      <c r="AU67" s="36" t="s">
        <v>34</v>
      </c>
      <c r="AV67" s="1"/>
      <c r="AW67" s="36" t="s">
        <v>799</v>
      </c>
      <c r="AX67" s="36">
        <v>100.0</v>
      </c>
      <c r="AY67" s="36">
        <v>30.0</v>
      </c>
      <c r="AZ67" s="35" t="s">
        <v>32</v>
      </c>
      <c r="BA67" s="36" t="s">
        <v>32</v>
      </c>
      <c r="BB67" s="1"/>
      <c r="BC67" s="36" t="s">
        <v>1144</v>
      </c>
      <c r="BD67" s="54">
        <v>180.0</v>
      </c>
      <c r="BE67" s="39">
        <v>28.0</v>
      </c>
      <c r="BF67" s="35" t="s">
        <v>32</v>
      </c>
      <c r="BG67" s="36" t="s">
        <v>32</v>
      </c>
      <c r="BH67" s="1"/>
      <c r="BI67" s="36" t="s">
        <v>1292</v>
      </c>
      <c r="BJ67" s="54">
        <v>322.86</v>
      </c>
      <c r="BK67" s="36">
        <v>30.0</v>
      </c>
      <c r="BL67" s="35" t="s">
        <v>28</v>
      </c>
      <c r="BM67" s="36" t="s">
        <v>32</v>
      </c>
      <c r="BN67" s="1"/>
      <c r="BO67" s="36" t="s">
        <v>1293</v>
      </c>
      <c r="BP67" s="54">
        <v>110.0</v>
      </c>
      <c r="BQ67" s="39">
        <v>15.0</v>
      </c>
      <c r="BR67" s="35" t="s">
        <v>28</v>
      </c>
      <c r="BS67" s="36" t="s">
        <v>34</v>
      </c>
      <c r="BT67" s="1"/>
    </row>
    <row r="68">
      <c r="A68" s="82" t="s">
        <v>1294</v>
      </c>
      <c r="B68" s="83">
        <v>21.0</v>
      </c>
      <c r="C68" s="39">
        <v>22.0</v>
      </c>
      <c r="D68" s="39" t="s">
        <v>28</v>
      </c>
      <c r="E68" s="36" t="s">
        <v>34</v>
      </c>
      <c r="F68" s="1"/>
      <c r="G68" s="60" t="s">
        <v>1295</v>
      </c>
      <c r="H68" s="54">
        <v>120.0</v>
      </c>
      <c r="I68" s="39">
        <v>9.0</v>
      </c>
      <c r="J68" s="35" t="s">
        <v>32</v>
      </c>
      <c r="K68" s="36" t="s">
        <v>32</v>
      </c>
      <c r="L68" s="1"/>
      <c r="M68" s="60" t="s">
        <v>978</v>
      </c>
      <c r="N68" s="54">
        <v>3.0</v>
      </c>
      <c r="O68" s="39">
        <v>10.0</v>
      </c>
      <c r="P68" s="35" t="s">
        <v>32</v>
      </c>
      <c r="Q68" s="36" t="s">
        <v>32</v>
      </c>
      <c r="R68" s="1"/>
      <c r="S68" s="60" t="s">
        <v>966</v>
      </c>
      <c r="T68" s="54">
        <v>7.0</v>
      </c>
      <c r="U68" s="39">
        <v>14.0</v>
      </c>
      <c r="V68" s="35" t="s">
        <v>28</v>
      </c>
      <c r="W68" s="36" t="s">
        <v>32</v>
      </c>
      <c r="X68" s="1"/>
      <c r="Y68" s="60" t="s">
        <v>313</v>
      </c>
      <c r="Z68" s="54">
        <v>2.0</v>
      </c>
      <c r="AA68" s="39">
        <v>20.0</v>
      </c>
      <c r="AB68" s="35" t="s">
        <v>32</v>
      </c>
      <c r="AC68" s="36" t="s">
        <v>32</v>
      </c>
      <c r="AD68" s="1"/>
      <c r="AE68" s="60" t="s">
        <v>299</v>
      </c>
      <c r="AF68" s="54">
        <v>62.5</v>
      </c>
      <c r="AG68" s="39">
        <v>16.0</v>
      </c>
      <c r="AH68" s="35" t="s">
        <v>28</v>
      </c>
      <c r="AI68" s="36" t="s">
        <v>34</v>
      </c>
      <c r="AJ68" s="1"/>
      <c r="AK68" s="36" t="s">
        <v>295</v>
      </c>
      <c r="AL68" s="54">
        <v>15.0</v>
      </c>
      <c r="AM68" s="39">
        <v>22.0</v>
      </c>
      <c r="AN68" s="35" t="s">
        <v>28</v>
      </c>
      <c r="AO68" s="36" t="s">
        <v>34</v>
      </c>
      <c r="AP68" s="1"/>
      <c r="AQ68" s="60" t="s">
        <v>618</v>
      </c>
      <c r="AR68" s="54">
        <v>40.0</v>
      </c>
      <c r="AS68" s="39">
        <v>15.0</v>
      </c>
      <c r="AT68" s="35" t="s">
        <v>28</v>
      </c>
      <c r="AU68" s="36" t="s">
        <v>34</v>
      </c>
      <c r="AV68" s="1"/>
      <c r="AW68" s="36" t="s">
        <v>1296</v>
      </c>
      <c r="AX68" s="36">
        <f>5+140+14+12+5+11+4+17+12+6+8</f>
        <v>234</v>
      </c>
      <c r="AY68" s="36">
        <v>30.0</v>
      </c>
      <c r="AZ68" s="35" t="s">
        <v>32</v>
      </c>
      <c r="BA68" s="36" t="s">
        <v>32</v>
      </c>
      <c r="BB68" s="1"/>
      <c r="BC68" s="36" t="s">
        <v>1153</v>
      </c>
      <c r="BD68" s="54">
        <v>13.0</v>
      </c>
      <c r="BE68" s="39">
        <v>28.0</v>
      </c>
      <c r="BF68" s="35" t="s">
        <v>32</v>
      </c>
      <c r="BG68" s="36" t="s">
        <v>32</v>
      </c>
      <c r="BH68" s="1"/>
      <c r="BI68" s="36" t="s">
        <v>1297</v>
      </c>
      <c r="BJ68" s="54">
        <v>93.6</v>
      </c>
      <c r="BK68" s="36">
        <v>30.0</v>
      </c>
      <c r="BL68" s="35" t="s">
        <v>32</v>
      </c>
      <c r="BM68" s="36" t="s">
        <v>32</v>
      </c>
      <c r="BN68" s="1"/>
      <c r="BO68" s="36" t="s">
        <v>1298</v>
      </c>
      <c r="BP68" s="84">
        <v>110.0</v>
      </c>
      <c r="BQ68" s="39">
        <v>16.0</v>
      </c>
      <c r="BR68" s="35" t="s">
        <v>32</v>
      </c>
      <c r="BS68" s="36" t="s">
        <v>32</v>
      </c>
      <c r="BT68" s="1"/>
    </row>
    <row r="69">
      <c r="A69" s="82" t="s">
        <v>1299</v>
      </c>
      <c r="B69" s="83">
        <v>6.0</v>
      </c>
      <c r="C69" s="39">
        <v>22.0</v>
      </c>
      <c r="D69" s="39" t="s">
        <v>28</v>
      </c>
      <c r="E69" s="36" t="s">
        <v>34</v>
      </c>
      <c r="F69" s="1"/>
      <c r="G69" s="60" t="s">
        <v>582</v>
      </c>
      <c r="H69" s="54">
        <v>5.0</v>
      </c>
      <c r="I69" s="39">
        <v>10.0</v>
      </c>
      <c r="J69" s="35" t="s">
        <v>28</v>
      </c>
      <c r="K69" s="36" t="s">
        <v>34</v>
      </c>
      <c r="L69" s="1"/>
      <c r="M69" s="60" t="s">
        <v>1300</v>
      </c>
      <c r="N69" s="54">
        <v>155.0</v>
      </c>
      <c r="O69" s="39">
        <v>11.0</v>
      </c>
      <c r="P69" s="35" t="s">
        <v>30</v>
      </c>
      <c r="Q69" s="36" t="s">
        <v>32</v>
      </c>
      <c r="R69" s="1"/>
      <c r="S69" s="60" t="s">
        <v>299</v>
      </c>
      <c r="T69" s="54">
        <v>67.0</v>
      </c>
      <c r="U69" s="39">
        <v>14.0</v>
      </c>
      <c r="V69" s="35" t="s">
        <v>28</v>
      </c>
      <c r="W69" s="36" t="s">
        <v>34</v>
      </c>
      <c r="X69" s="1"/>
      <c r="Y69" s="60" t="s">
        <v>310</v>
      </c>
      <c r="Z69" s="54">
        <v>11.0</v>
      </c>
      <c r="AA69" s="39">
        <v>20.0</v>
      </c>
      <c r="AB69" s="35" t="s">
        <v>28</v>
      </c>
      <c r="AC69" s="36" t="s">
        <v>32</v>
      </c>
      <c r="AD69" s="1"/>
      <c r="AE69" s="60" t="s">
        <v>547</v>
      </c>
      <c r="AF69" s="54">
        <v>100.0</v>
      </c>
      <c r="AG69" s="39">
        <v>18.0</v>
      </c>
      <c r="AH69" s="35" t="s">
        <v>28</v>
      </c>
      <c r="AI69" s="36" t="s">
        <v>32</v>
      </c>
      <c r="AJ69" s="1"/>
      <c r="AK69" s="36" t="s">
        <v>1301</v>
      </c>
      <c r="AL69" s="54">
        <v>31.31</v>
      </c>
      <c r="AM69" s="39">
        <v>23.0</v>
      </c>
      <c r="AN69" s="35" t="s">
        <v>28</v>
      </c>
      <c r="AO69" s="36" t="s">
        <v>32</v>
      </c>
      <c r="AP69" s="1"/>
      <c r="AQ69" s="60" t="s">
        <v>818</v>
      </c>
      <c r="AR69" s="54">
        <v>105.0</v>
      </c>
      <c r="AS69" s="39">
        <v>16.0</v>
      </c>
      <c r="AT69" s="35" t="s">
        <v>28</v>
      </c>
      <c r="AU69" s="36" t="s">
        <v>34</v>
      </c>
      <c r="AV69" s="1"/>
      <c r="AW69" s="36" t="s">
        <v>1302</v>
      </c>
      <c r="AX69" s="36">
        <v>50.0</v>
      </c>
      <c r="AY69" s="36">
        <v>30.0</v>
      </c>
      <c r="AZ69" s="35" t="s">
        <v>34</v>
      </c>
      <c r="BA69" s="36" t="s">
        <v>32</v>
      </c>
      <c r="BB69" s="1"/>
      <c r="BC69" s="36" t="s">
        <v>1303</v>
      </c>
      <c r="BD69" s="54">
        <v>46.0</v>
      </c>
      <c r="BE69" s="39">
        <v>28.0</v>
      </c>
      <c r="BF69" s="35" t="s">
        <v>32</v>
      </c>
      <c r="BG69" s="36" t="s">
        <v>32</v>
      </c>
      <c r="BH69" s="1"/>
      <c r="BI69" s="36" t="s">
        <v>492</v>
      </c>
      <c r="BJ69" s="54">
        <v>20.0</v>
      </c>
      <c r="BK69" s="36">
        <v>30.0</v>
      </c>
      <c r="BL69" s="35" t="s">
        <v>34</v>
      </c>
      <c r="BM69" s="36" t="s">
        <v>32</v>
      </c>
      <c r="BN69" s="1"/>
      <c r="BO69" s="36" t="s">
        <v>1304</v>
      </c>
      <c r="BP69" s="54">
        <v>350.0</v>
      </c>
      <c r="BQ69" s="39">
        <v>17.0</v>
      </c>
      <c r="BR69" s="35" t="s">
        <v>30</v>
      </c>
      <c r="BS69" s="36" t="s">
        <v>32</v>
      </c>
      <c r="BT69" s="1"/>
    </row>
    <row r="70">
      <c r="A70" s="82" t="s">
        <v>582</v>
      </c>
      <c r="B70" s="83">
        <v>3.0</v>
      </c>
      <c r="C70" s="39">
        <v>22.0</v>
      </c>
      <c r="D70" s="39" t="s">
        <v>28</v>
      </c>
      <c r="E70" s="36" t="s">
        <v>34</v>
      </c>
      <c r="F70" s="1"/>
      <c r="G70" s="60" t="s">
        <v>533</v>
      </c>
      <c r="H70" s="54">
        <v>7.0</v>
      </c>
      <c r="I70" s="39">
        <v>10.0</v>
      </c>
      <c r="J70" s="35" t="s">
        <v>28</v>
      </c>
      <c r="K70" s="36" t="s">
        <v>34</v>
      </c>
      <c r="L70" s="1"/>
      <c r="M70" s="60" t="s">
        <v>235</v>
      </c>
      <c r="N70" s="54">
        <v>48.0</v>
      </c>
      <c r="O70" s="39">
        <v>12.0</v>
      </c>
      <c r="P70" s="35" t="s">
        <v>28</v>
      </c>
      <c r="Q70" s="36" t="s">
        <v>32</v>
      </c>
      <c r="R70" s="1"/>
      <c r="S70" s="60" t="s">
        <v>966</v>
      </c>
      <c r="T70" s="54">
        <v>41.65</v>
      </c>
      <c r="U70" s="39">
        <v>14.0</v>
      </c>
      <c r="V70" s="35" t="s">
        <v>28</v>
      </c>
      <c r="W70" s="36" t="s">
        <v>32</v>
      </c>
      <c r="X70" s="1"/>
      <c r="Y70" s="60" t="s">
        <v>1305</v>
      </c>
      <c r="Z70" s="54">
        <v>50.0</v>
      </c>
      <c r="AA70" s="39">
        <v>21.0</v>
      </c>
      <c r="AB70" s="35" t="s">
        <v>34</v>
      </c>
      <c r="AC70" s="36" t="s">
        <v>32</v>
      </c>
      <c r="AD70" s="1"/>
      <c r="AE70" s="60" t="s">
        <v>209</v>
      </c>
      <c r="AF70" s="54">
        <v>188.0</v>
      </c>
      <c r="AG70" s="39">
        <v>19.0</v>
      </c>
      <c r="AH70" s="35" t="s">
        <v>28</v>
      </c>
      <c r="AI70" s="36" t="s">
        <v>32</v>
      </c>
      <c r="AJ70" s="1"/>
      <c r="AK70" s="36" t="s">
        <v>1306</v>
      </c>
      <c r="AL70" s="54">
        <v>8.0</v>
      </c>
      <c r="AM70" s="39">
        <v>23.0</v>
      </c>
      <c r="AN70" s="35" t="s">
        <v>32</v>
      </c>
      <c r="AO70" s="36" t="s">
        <v>32</v>
      </c>
      <c r="AP70" s="1"/>
      <c r="AQ70" s="60" t="s">
        <v>109</v>
      </c>
      <c r="AR70" s="54">
        <v>40.0</v>
      </c>
      <c r="AS70" s="39">
        <v>16.0</v>
      </c>
      <c r="AT70" s="35" t="s">
        <v>28</v>
      </c>
      <c r="AU70" s="36" t="s">
        <v>34</v>
      </c>
      <c r="AV70" s="1"/>
      <c r="AW70" s="36" t="s">
        <v>124</v>
      </c>
      <c r="AX70" s="36">
        <v>123.0</v>
      </c>
      <c r="AY70" s="36">
        <v>30.0</v>
      </c>
      <c r="AZ70" s="35" t="s">
        <v>32</v>
      </c>
      <c r="BA70" s="36" t="s">
        <v>32</v>
      </c>
      <c r="BB70" s="1"/>
      <c r="BC70" s="36" t="s">
        <v>1307</v>
      </c>
      <c r="BD70" s="54">
        <v>34.0</v>
      </c>
      <c r="BE70" s="39">
        <v>29.0</v>
      </c>
      <c r="BF70" s="35" t="s">
        <v>28</v>
      </c>
      <c r="BG70" s="36" t="s">
        <v>32</v>
      </c>
      <c r="BH70" s="1"/>
      <c r="BI70" s="36" t="s">
        <v>124</v>
      </c>
      <c r="BJ70" s="54">
        <v>-371.0</v>
      </c>
      <c r="BK70" s="36">
        <v>30.0</v>
      </c>
      <c r="BL70" s="35" t="s">
        <v>32</v>
      </c>
      <c r="BM70" s="36" t="s">
        <v>32</v>
      </c>
      <c r="BN70" s="1"/>
      <c r="BO70" s="36" t="s">
        <v>1308</v>
      </c>
      <c r="BP70" s="54">
        <v>290.0</v>
      </c>
      <c r="BQ70" s="39">
        <v>17.0</v>
      </c>
      <c r="BR70" s="35" t="s">
        <v>28</v>
      </c>
      <c r="BS70" s="36" t="s">
        <v>34</v>
      </c>
      <c r="BT70" s="1"/>
    </row>
    <row r="71">
      <c r="A71" s="82" t="s">
        <v>966</v>
      </c>
      <c r="B71" s="83">
        <v>17.14</v>
      </c>
      <c r="C71" s="39">
        <v>22.0</v>
      </c>
      <c r="D71" s="39" t="s">
        <v>28</v>
      </c>
      <c r="E71" s="36" t="s">
        <v>32</v>
      </c>
      <c r="F71" s="1"/>
      <c r="G71" s="60" t="s">
        <v>1309</v>
      </c>
      <c r="H71" s="54">
        <v>200.0</v>
      </c>
      <c r="I71" s="39">
        <v>10.0</v>
      </c>
      <c r="J71" s="35" t="s">
        <v>28</v>
      </c>
      <c r="K71" s="36" t="s">
        <v>34</v>
      </c>
      <c r="L71" s="1"/>
      <c r="M71" s="60" t="s">
        <v>1310</v>
      </c>
      <c r="N71" s="54">
        <v>71.0</v>
      </c>
      <c r="O71" s="39">
        <v>12.0</v>
      </c>
      <c r="P71" s="35" t="s">
        <v>28</v>
      </c>
      <c r="Q71" s="36" t="s">
        <v>32</v>
      </c>
      <c r="R71" s="1"/>
      <c r="S71" s="60" t="s">
        <v>1311</v>
      </c>
      <c r="T71" s="54">
        <v>50.0</v>
      </c>
      <c r="U71" s="39">
        <v>15.0</v>
      </c>
      <c r="V71" s="35" t="s">
        <v>28</v>
      </c>
      <c r="W71" s="36" t="s">
        <v>34</v>
      </c>
      <c r="X71" s="1"/>
      <c r="Y71" s="60" t="s">
        <v>218</v>
      </c>
      <c r="Z71" s="54">
        <v>30.0</v>
      </c>
      <c r="AA71" s="39">
        <v>21.0</v>
      </c>
      <c r="AB71" s="35" t="s">
        <v>32</v>
      </c>
      <c r="AC71" s="36" t="s">
        <v>32</v>
      </c>
      <c r="AD71" s="1"/>
      <c r="AE71" s="60" t="s">
        <v>1312</v>
      </c>
      <c r="AF71" s="54">
        <v>6.0</v>
      </c>
      <c r="AG71" s="39">
        <v>19.0</v>
      </c>
      <c r="AH71" s="35" t="s">
        <v>28</v>
      </c>
      <c r="AI71" s="36" t="s">
        <v>32</v>
      </c>
      <c r="AJ71" s="1"/>
      <c r="AK71" s="36" t="s">
        <v>313</v>
      </c>
      <c r="AL71" s="54">
        <v>6.0</v>
      </c>
      <c r="AM71" s="39">
        <v>23.0</v>
      </c>
      <c r="AN71" s="35" t="s">
        <v>32</v>
      </c>
      <c r="AO71" s="36" t="s">
        <v>32</v>
      </c>
      <c r="AP71" s="1"/>
      <c r="AQ71" s="60" t="s">
        <v>299</v>
      </c>
      <c r="AR71" s="54">
        <v>35.0</v>
      </c>
      <c r="AS71" s="39">
        <v>17.0</v>
      </c>
      <c r="AT71" s="35" t="s">
        <v>28</v>
      </c>
      <c r="AU71" s="36" t="s">
        <v>34</v>
      </c>
      <c r="AV71" s="1"/>
      <c r="AW71" s="36"/>
      <c r="AX71" s="36"/>
      <c r="AY71" s="36"/>
      <c r="AZ71" s="35"/>
      <c r="BA71" s="36"/>
      <c r="BB71" s="1"/>
      <c r="BC71" s="36" t="s">
        <v>100</v>
      </c>
      <c r="BD71" s="54">
        <v>100.0</v>
      </c>
      <c r="BE71" s="39">
        <v>31.0</v>
      </c>
      <c r="BF71" s="35" t="s">
        <v>32</v>
      </c>
      <c r="BG71" s="36" t="s">
        <v>32</v>
      </c>
      <c r="BH71" s="1"/>
      <c r="BI71" s="36" t="s">
        <v>1313</v>
      </c>
      <c r="BJ71" s="54">
        <v>600.0</v>
      </c>
      <c r="BK71" s="36">
        <v>30.0</v>
      </c>
      <c r="BL71" s="35" t="s">
        <v>32</v>
      </c>
      <c r="BM71" s="36" t="s">
        <v>34</v>
      </c>
      <c r="BN71" s="1"/>
      <c r="BO71" s="36" t="s">
        <v>1314</v>
      </c>
      <c r="BP71" s="54">
        <v>120.0</v>
      </c>
      <c r="BQ71" s="39">
        <v>17.0</v>
      </c>
      <c r="BR71" s="35" t="s">
        <v>28</v>
      </c>
      <c r="BS71" s="36" t="s">
        <v>34</v>
      </c>
      <c r="BT71" s="1"/>
    </row>
    <row r="72">
      <c r="A72" s="82" t="s">
        <v>1315</v>
      </c>
      <c r="B72" s="83">
        <v>12.35</v>
      </c>
      <c r="C72" s="39">
        <v>22.0</v>
      </c>
      <c r="D72" s="39" t="s">
        <v>28</v>
      </c>
      <c r="E72" s="36" t="s">
        <v>32</v>
      </c>
      <c r="F72" s="1"/>
      <c r="G72" s="60" t="s">
        <v>1222</v>
      </c>
      <c r="H72" s="54">
        <v>545.32</v>
      </c>
      <c r="I72" s="39">
        <v>10.0</v>
      </c>
      <c r="J72" s="35" t="s">
        <v>32</v>
      </c>
      <c r="K72" s="36" t="s">
        <v>32</v>
      </c>
      <c r="L72" s="1"/>
      <c r="M72" s="60" t="s">
        <v>607</v>
      </c>
      <c r="N72" s="54">
        <v>6.0</v>
      </c>
      <c r="O72" s="39">
        <v>12.0</v>
      </c>
      <c r="P72" s="35" t="s">
        <v>32</v>
      </c>
      <c r="Q72" s="36" t="s">
        <v>32</v>
      </c>
      <c r="R72" s="1"/>
      <c r="S72" s="60" t="s">
        <v>109</v>
      </c>
      <c r="T72" s="54">
        <v>120.0</v>
      </c>
      <c r="U72" s="39">
        <v>15.0</v>
      </c>
      <c r="V72" s="35" t="s">
        <v>28</v>
      </c>
      <c r="W72" s="36" t="s">
        <v>34</v>
      </c>
      <c r="X72" s="1"/>
      <c r="Y72" s="60" t="s">
        <v>1316</v>
      </c>
      <c r="Z72" s="54">
        <v>30.0</v>
      </c>
      <c r="AA72" s="39">
        <v>21.0</v>
      </c>
      <c r="AB72" s="35" t="s">
        <v>34</v>
      </c>
      <c r="AC72" s="36" t="s">
        <v>32</v>
      </c>
      <c r="AD72" s="1"/>
      <c r="AE72" s="60" t="s">
        <v>1317</v>
      </c>
      <c r="AF72" s="54">
        <v>70.0</v>
      </c>
      <c r="AG72" s="39">
        <v>19.0</v>
      </c>
      <c r="AH72" s="35" t="s">
        <v>30</v>
      </c>
      <c r="AI72" s="36" t="s">
        <v>34</v>
      </c>
      <c r="AJ72" s="1"/>
      <c r="AK72" s="36" t="s">
        <v>1318</v>
      </c>
      <c r="AL72" s="54">
        <v>64.0</v>
      </c>
      <c r="AM72" s="39">
        <v>24.0</v>
      </c>
      <c r="AN72" s="35" t="s">
        <v>28</v>
      </c>
      <c r="AO72" s="36" t="s">
        <v>32</v>
      </c>
      <c r="AP72" s="1"/>
      <c r="AQ72" s="60" t="s">
        <v>1319</v>
      </c>
      <c r="AR72" s="54">
        <v>250.0</v>
      </c>
      <c r="AS72" s="39">
        <v>17.0</v>
      </c>
      <c r="AT72" s="35" t="s">
        <v>28</v>
      </c>
      <c r="AU72" s="36" t="s">
        <v>34</v>
      </c>
      <c r="AV72" s="1"/>
      <c r="AW72" s="36"/>
      <c r="AX72" s="36"/>
      <c r="AY72" s="36"/>
      <c r="AZ72" s="35"/>
      <c r="BA72" s="36"/>
      <c r="BB72" s="1"/>
      <c r="BD72" s="54"/>
      <c r="BE72" s="39"/>
      <c r="BF72" s="35"/>
      <c r="BG72" s="36"/>
      <c r="BH72" s="1"/>
      <c r="BL72" s="35"/>
      <c r="BN72" s="1"/>
      <c r="BO72" s="36" t="s">
        <v>1320</v>
      </c>
      <c r="BP72" s="54">
        <v>25.0</v>
      </c>
      <c r="BQ72" s="39">
        <v>17.0</v>
      </c>
      <c r="BR72" s="35" t="s">
        <v>28</v>
      </c>
      <c r="BS72" s="36" t="s">
        <v>34</v>
      </c>
      <c r="BT72" s="1"/>
    </row>
    <row r="73">
      <c r="A73" s="82" t="s">
        <v>1321</v>
      </c>
      <c r="B73" s="83">
        <v>30.0</v>
      </c>
      <c r="C73" s="39">
        <v>22.0</v>
      </c>
      <c r="D73" s="39" t="s">
        <v>32</v>
      </c>
      <c r="E73" s="36" t="s">
        <v>32</v>
      </c>
      <c r="F73" s="1"/>
      <c r="G73" s="60" t="s">
        <v>1226</v>
      </c>
      <c r="H73" s="54">
        <v>26.9</v>
      </c>
      <c r="I73" s="39">
        <v>10.0</v>
      </c>
      <c r="J73" s="35" t="s">
        <v>28</v>
      </c>
      <c r="K73" s="36" t="s">
        <v>32</v>
      </c>
      <c r="L73" s="1"/>
      <c r="M73" s="60" t="s">
        <v>607</v>
      </c>
      <c r="N73" s="54">
        <v>7.0</v>
      </c>
      <c r="O73" s="39">
        <v>12.0</v>
      </c>
      <c r="P73" s="35" t="s">
        <v>32</v>
      </c>
      <c r="Q73" s="36" t="s">
        <v>32</v>
      </c>
      <c r="R73" s="1"/>
      <c r="S73" s="60" t="s">
        <v>1322</v>
      </c>
      <c r="T73" s="54">
        <v>208.0</v>
      </c>
      <c r="U73" s="39">
        <v>15.0</v>
      </c>
      <c r="V73" s="35" t="s">
        <v>28</v>
      </c>
      <c r="W73" s="36" t="s">
        <v>32</v>
      </c>
      <c r="X73" s="1"/>
      <c r="Y73" s="60" t="s">
        <v>1323</v>
      </c>
      <c r="Z73" s="54">
        <v>10.0</v>
      </c>
      <c r="AA73" s="39">
        <v>21.0</v>
      </c>
      <c r="AB73" s="35" t="s">
        <v>28</v>
      </c>
      <c r="AC73" s="36" t="s">
        <v>32</v>
      </c>
      <c r="AD73" s="1"/>
      <c r="AE73" s="60" t="s">
        <v>1324</v>
      </c>
      <c r="AF73" s="54">
        <v>18.0</v>
      </c>
      <c r="AG73" s="39">
        <v>20.0</v>
      </c>
      <c r="AH73" s="35" t="s">
        <v>28</v>
      </c>
      <c r="AI73" s="36" t="s">
        <v>32</v>
      </c>
      <c r="AJ73" s="1"/>
      <c r="AK73" s="36" t="s">
        <v>545</v>
      </c>
      <c r="AL73" s="54">
        <v>50.0</v>
      </c>
      <c r="AM73" s="39">
        <v>25.0</v>
      </c>
      <c r="AN73" s="35" t="s">
        <v>32</v>
      </c>
      <c r="AO73" s="36" t="s">
        <v>32</v>
      </c>
      <c r="AP73" s="1"/>
      <c r="AQ73" s="60" t="s">
        <v>1225</v>
      </c>
      <c r="AR73" s="54">
        <v>250.0</v>
      </c>
      <c r="AS73" s="39">
        <v>17.0</v>
      </c>
      <c r="AT73" s="35" t="s">
        <v>28</v>
      </c>
      <c r="AU73" s="36" t="s">
        <v>34</v>
      </c>
      <c r="AV73" s="1"/>
      <c r="AW73" s="36"/>
      <c r="AX73" s="36"/>
      <c r="AY73" s="36"/>
      <c r="AZ73" s="35"/>
      <c r="BA73" s="36"/>
      <c r="BB73" s="1"/>
      <c r="BD73" s="54"/>
      <c r="BE73" s="39"/>
      <c r="BF73" s="35"/>
      <c r="BG73" s="36"/>
      <c r="BH73" s="1"/>
      <c r="BL73" s="35"/>
      <c r="BN73" s="1"/>
      <c r="BO73" s="36" t="s">
        <v>1325</v>
      </c>
      <c r="BP73" s="54">
        <v>21.0</v>
      </c>
      <c r="BQ73" s="39">
        <v>17.0</v>
      </c>
      <c r="BR73" s="35" t="s">
        <v>28</v>
      </c>
      <c r="BS73" s="36" t="s">
        <v>34</v>
      </c>
      <c r="BT73" s="1"/>
    </row>
    <row r="74">
      <c r="A74" s="82" t="s">
        <v>1326</v>
      </c>
      <c r="B74" s="83">
        <v>44.0</v>
      </c>
      <c r="C74" s="39">
        <v>23.0</v>
      </c>
      <c r="D74" s="39" t="s">
        <v>28</v>
      </c>
      <c r="E74" s="36" t="s">
        <v>32</v>
      </c>
      <c r="F74" s="1"/>
      <c r="G74" s="60" t="s">
        <v>502</v>
      </c>
      <c r="H74" s="54">
        <v>933.27</v>
      </c>
      <c r="I74" s="39">
        <v>10.0</v>
      </c>
      <c r="J74" s="35" t="s">
        <v>32</v>
      </c>
      <c r="K74" s="36" t="s">
        <v>32</v>
      </c>
      <c r="L74" s="1"/>
      <c r="M74" s="60" t="s">
        <v>299</v>
      </c>
      <c r="N74" s="54">
        <v>25.95</v>
      </c>
      <c r="O74" s="39">
        <v>13.0</v>
      </c>
      <c r="P74" s="35" t="s">
        <v>28</v>
      </c>
      <c r="Q74" s="36" t="s">
        <v>32</v>
      </c>
      <c r="R74" s="1"/>
      <c r="S74" s="60" t="s">
        <v>582</v>
      </c>
      <c r="T74" s="54">
        <v>2.0</v>
      </c>
      <c r="U74" s="39">
        <v>16.0</v>
      </c>
      <c r="V74" s="35" t="s">
        <v>28</v>
      </c>
      <c r="W74" s="36" t="s">
        <v>32</v>
      </c>
      <c r="X74" s="1"/>
      <c r="Y74" s="60" t="s">
        <v>368</v>
      </c>
      <c r="Z74" s="54">
        <v>12.6</v>
      </c>
      <c r="AA74" s="39">
        <v>21.0</v>
      </c>
      <c r="AB74" s="35" t="s">
        <v>28</v>
      </c>
      <c r="AC74" s="36" t="s">
        <v>34</v>
      </c>
      <c r="AD74" s="1"/>
      <c r="AE74" s="60" t="s">
        <v>313</v>
      </c>
      <c r="AF74" s="54">
        <v>2.0</v>
      </c>
      <c r="AG74" s="39">
        <v>20.0</v>
      </c>
      <c r="AH74" s="35" t="s">
        <v>32</v>
      </c>
      <c r="AI74" s="36" t="s">
        <v>32</v>
      </c>
      <c r="AJ74" s="1"/>
      <c r="AK74" s="36" t="s">
        <v>109</v>
      </c>
      <c r="AL74" s="54">
        <v>80.0</v>
      </c>
      <c r="AM74" s="39">
        <v>25.0</v>
      </c>
      <c r="AN74" s="35" t="s">
        <v>28</v>
      </c>
      <c r="AO74" s="36" t="s">
        <v>34</v>
      </c>
      <c r="AP74" s="1"/>
      <c r="AQ74" s="60" t="s">
        <v>1327</v>
      </c>
      <c r="AR74" s="54">
        <v>120.0</v>
      </c>
      <c r="AS74" s="39">
        <v>19.0</v>
      </c>
      <c r="AT74" s="35" t="s">
        <v>32</v>
      </c>
      <c r="AU74" s="36" t="s">
        <v>32</v>
      </c>
      <c r="AV74" s="1"/>
      <c r="AW74" s="36"/>
      <c r="AX74" s="36"/>
      <c r="AY74" s="36"/>
      <c r="AZ74" s="35"/>
      <c r="BA74" s="36"/>
      <c r="BB74" s="1"/>
      <c r="BD74" s="54"/>
      <c r="BE74" s="39"/>
      <c r="BF74" s="35"/>
      <c r="BG74" s="36"/>
      <c r="BH74" s="1"/>
      <c r="BL74" s="35"/>
      <c r="BN74" s="1"/>
      <c r="BO74" s="36" t="s">
        <v>61</v>
      </c>
      <c r="BP74" s="54">
        <v>50.0</v>
      </c>
      <c r="BQ74" s="39">
        <v>18.0</v>
      </c>
      <c r="BR74" s="35" t="s">
        <v>28</v>
      </c>
      <c r="BS74" s="36" t="s">
        <v>32</v>
      </c>
      <c r="BT74" s="1"/>
    </row>
    <row r="75">
      <c r="A75" s="82" t="s">
        <v>545</v>
      </c>
      <c r="B75" s="83">
        <v>100.0</v>
      </c>
      <c r="C75" s="39">
        <v>24.0</v>
      </c>
      <c r="D75" s="39" t="s">
        <v>32</v>
      </c>
      <c r="E75" s="36" t="s">
        <v>32</v>
      </c>
      <c r="F75" s="1"/>
      <c r="G75" s="60" t="s">
        <v>511</v>
      </c>
      <c r="H75" s="54">
        <v>8922.31</v>
      </c>
      <c r="I75" s="39">
        <v>10.0</v>
      </c>
      <c r="J75" s="35" t="s">
        <v>28</v>
      </c>
      <c r="K75" s="36" t="s">
        <v>32</v>
      </c>
      <c r="L75" s="1"/>
      <c r="M75" s="60" t="s">
        <v>1328</v>
      </c>
      <c r="N75" s="54">
        <v>34.0</v>
      </c>
      <c r="O75" s="39">
        <v>13.0</v>
      </c>
      <c r="P75" s="35" t="s">
        <v>28</v>
      </c>
      <c r="Q75" s="36" t="s">
        <v>34</v>
      </c>
      <c r="R75" s="1"/>
      <c r="S75" s="60" t="s">
        <v>209</v>
      </c>
      <c r="T75" s="54">
        <v>2.0</v>
      </c>
      <c r="U75" s="39">
        <v>16.0</v>
      </c>
      <c r="V75" s="35" t="s">
        <v>28</v>
      </c>
      <c r="W75" s="36" t="s">
        <v>32</v>
      </c>
      <c r="X75" s="1"/>
      <c r="Y75" s="60" t="s">
        <v>299</v>
      </c>
      <c r="Z75" s="54">
        <v>28.0</v>
      </c>
      <c r="AA75" s="39">
        <v>21.0</v>
      </c>
      <c r="AB75" s="35" t="s">
        <v>28</v>
      </c>
      <c r="AC75" s="36" t="s">
        <v>34</v>
      </c>
      <c r="AD75" s="1"/>
      <c r="AE75" s="60" t="s">
        <v>100</v>
      </c>
      <c r="AF75" s="54">
        <v>100.0</v>
      </c>
      <c r="AG75" s="39">
        <v>20.0</v>
      </c>
      <c r="AH75" s="35" t="s">
        <v>32</v>
      </c>
      <c r="AI75" s="36" t="s">
        <v>32</v>
      </c>
      <c r="AJ75" s="1"/>
      <c r="AK75" s="36" t="s">
        <v>582</v>
      </c>
      <c r="AL75" s="54">
        <v>12.0</v>
      </c>
      <c r="AM75" s="39">
        <v>25.0</v>
      </c>
      <c r="AN75" s="35" t="s">
        <v>28</v>
      </c>
      <c r="AO75" s="36" t="s">
        <v>34</v>
      </c>
      <c r="AP75" s="1"/>
      <c r="AQ75" s="60" t="s">
        <v>1329</v>
      </c>
      <c r="AR75" s="54">
        <v>20.0</v>
      </c>
      <c r="AS75" s="39">
        <v>20.0</v>
      </c>
      <c r="AT75" s="35" t="s">
        <v>32</v>
      </c>
      <c r="AU75" s="36" t="s">
        <v>32</v>
      </c>
      <c r="AV75" s="1"/>
      <c r="AW75" s="36"/>
      <c r="AX75" s="36"/>
      <c r="AY75" s="36"/>
      <c r="AZ75" s="35"/>
      <c r="BA75" s="36"/>
      <c r="BB75" s="1"/>
      <c r="BD75" s="54"/>
      <c r="BE75" s="39"/>
      <c r="BF75" s="35"/>
      <c r="BG75" s="36"/>
      <c r="BH75" s="1"/>
      <c r="BL75" s="35"/>
      <c r="BN75" s="1"/>
      <c r="BO75" s="36" t="s">
        <v>100</v>
      </c>
      <c r="BP75" s="54">
        <v>100.0</v>
      </c>
      <c r="BQ75" s="39">
        <v>19.0</v>
      </c>
      <c r="BR75" s="35" t="s">
        <v>32</v>
      </c>
      <c r="BS75" s="36" t="s">
        <v>32</v>
      </c>
      <c r="BT75" s="1"/>
    </row>
    <row r="76">
      <c r="A76" s="82" t="s">
        <v>1330</v>
      </c>
      <c r="B76" s="83">
        <v>130.0</v>
      </c>
      <c r="C76" s="39">
        <v>25.0</v>
      </c>
      <c r="D76" s="39" t="s">
        <v>28</v>
      </c>
      <c r="E76" s="36" t="s">
        <v>34</v>
      </c>
      <c r="F76" s="1"/>
      <c r="G76" s="60" t="s">
        <v>978</v>
      </c>
      <c r="H76" s="54">
        <v>3.0</v>
      </c>
      <c r="I76" s="39">
        <v>10.0</v>
      </c>
      <c r="J76" s="35" t="s">
        <v>32</v>
      </c>
      <c r="K76" s="36" t="s">
        <v>32</v>
      </c>
      <c r="L76" s="1"/>
      <c r="M76" s="60" t="s">
        <v>235</v>
      </c>
      <c r="N76" s="54">
        <v>36.0</v>
      </c>
      <c r="O76" s="39">
        <v>15.0</v>
      </c>
      <c r="P76" s="35" t="s">
        <v>28</v>
      </c>
      <c r="Q76" s="36" t="s">
        <v>34</v>
      </c>
      <c r="R76" s="1"/>
      <c r="S76" s="60" t="s">
        <v>1331</v>
      </c>
      <c r="T76" s="54">
        <v>30.0</v>
      </c>
      <c r="U76" s="39">
        <v>16.0</v>
      </c>
      <c r="V76" s="35" t="s">
        <v>32</v>
      </c>
      <c r="W76" s="36" t="s">
        <v>34</v>
      </c>
      <c r="X76" s="1"/>
      <c r="Y76" s="60" t="s">
        <v>1098</v>
      </c>
      <c r="Z76" s="54">
        <v>28.0</v>
      </c>
      <c r="AA76" s="39">
        <v>21.0</v>
      </c>
      <c r="AB76" s="35" t="s">
        <v>28</v>
      </c>
      <c r="AC76" s="36" t="s">
        <v>34</v>
      </c>
      <c r="AD76" s="1"/>
      <c r="AE76" s="60" t="s">
        <v>92</v>
      </c>
      <c r="AF76" s="54">
        <v>23.99</v>
      </c>
      <c r="AG76" s="39">
        <v>21.0</v>
      </c>
      <c r="AH76" s="35" t="s">
        <v>28</v>
      </c>
      <c r="AI76" s="36" t="s">
        <v>32</v>
      </c>
      <c r="AJ76" s="1"/>
      <c r="AK76" s="36" t="s">
        <v>209</v>
      </c>
      <c r="AL76" s="54">
        <v>150.0</v>
      </c>
      <c r="AM76" s="39">
        <v>27.0</v>
      </c>
      <c r="AN76" s="35" t="s">
        <v>28</v>
      </c>
      <c r="AO76" s="36" t="s">
        <v>34</v>
      </c>
      <c r="AP76" s="1"/>
      <c r="AQ76" s="60" t="s">
        <v>299</v>
      </c>
      <c r="AR76" s="54">
        <v>73.5</v>
      </c>
      <c r="AS76" s="39">
        <v>20.0</v>
      </c>
      <c r="AT76" s="35" t="s">
        <v>28</v>
      </c>
      <c r="AU76" s="36" t="s">
        <v>34</v>
      </c>
      <c r="AV76" s="1"/>
      <c r="AW76" s="36"/>
      <c r="AX76" s="36"/>
      <c r="AY76" s="36"/>
      <c r="AZ76" s="35"/>
      <c r="BA76" s="36"/>
      <c r="BB76" s="1"/>
      <c r="BD76" s="54"/>
      <c r="BE76" s="39"/>
      <c r="BF76" s="35"/>
      <c r="BG76" s="36"/>
      <c r="BH76" s="1"/>
      <c r="BL76" s="35"/>
      <c r="BN76" s="1"/>
      <c r="BO76" s="36" t="s">
        <v>235</v>
      </c>
      <c r="BP76" s="54">
        <v>13.0</v>
      </c>
      <c r="BQ76" s="39">
        <v>20.0</v>
      </c>
      <c r="BR76" s="35" t="s">
        <v>28</v>
      </c>
      <c r="BS76" s="36" t="s">
        <v>32</v>
      </c>
      <c r="BT76" s="1"/>
    </row>
    <row r="77">
      <c r="A77" s="82" t="s">
        <v>1332</v>
      </c>
      <c r="B77" s="83">
        <v>136.0</v>
      </c>
      <c r="C77" s="39">
        <v>25.0</v>
      </c>
      <c r="D77" s="39" t="s">
        <v>28</v>
      </c>
      <c r="E77" s="36" t="s">
        <v>34</v>
      </c>
      <c r="F77" s="1"/>
      <c r="G77" s="60" t="s">
        <v>1333</v>
      </c>
      <c r="H77" s="54">
        <v>73.0</v>
      </c>
      <c r="I77" s="39">
        <v>12.0</v>
      </c>
      <c r="J77" s="35" t="s">
        <v>28</v>
      </c>
      <c r="K77" s="36" t="s">
        <v>34</v>
      </c>
      <c r="L77" s="1"/>
      <c r="M77" s="60" t="s">
        <v>1334</v>
      </c>
      <c r="N77" s="54">
        <v>44.5</v>
      </c>
      <c r="O77" s="39">
        <v>15.0</v>
      </c>
      <c r="P77" s="35" t="s">
        <v>32</v>
      </c>
      <c r="Q77" s="36" t="s">
        <v>32</v>
      </c>
      <c r="R77" s="1"/>
      <c r="S77" s="60" t="s">
        <v>1215</v>
      </c>
      <c r="T77" s="54">
        <v>15.0</v>
      </c>
      <c r="U77" s="39">
        <v>16.0</v>
      </c>
      <c r="V77" s="35" t="s">
        <v>28</v>
      </c>
      <c r="W77" s="36" t="s">
        <v>34</v>
      </c>
      <c r="X77" s="1"/>
      <c r="Y77" s="60" t="s">
        <v>1335</v>
      </c>
      <c r="Z77" s="54">
        <v>10.0</v>
      </c>
      <c r="AA77" s="39">
        <v>21.0</v>
      </c>
      <c r="AB77" s="35" t="s">
        <v>28</v>
      </c>
      <c r="AC77" s="36" t="s">
        <v>34</v>
      </c>
      <c r="AD77" s="1"/>
      <c r="AE77" s="60" t="s">
        <v>737</v>
      </c>
      <c r="AF77" s="54">
        <v>2.0</v>
      </c>
      <c r="AG77" s="39">
        <v>21.0</v>
      </c>
      <c r="AH77" s="35" t="s">
        <v>32</v>
      </c>
      <c r="AI77" s="36" t="s">
        <v>32</v>
      </c>
      <c r="AJ77" s="1"/>
      <c r="AK77" s="36" t="s">
        <v>1336</v>
      </c>
      <c r="AL77" s="54">
        <v>100.0</v>
      </c>
      <c r="AM77" s="39">
        <v>27.0</v>
      </c>
      <c r="AN77" s="35" t="s">
        <v>28</v>
      </c>
      <c r="AO77" s="36" t="s">
        <v>34</v>
      </c>
      <c r="AP77" s="1"/>
      <c r="AQ77" s="60" t="s">
        <v>368</v>
      </c>
      <c r="AR77" s="54">
        <v>12.8</v>
      </c>
      <c r="AS77" s="39">
        <v>20.0</v>
      </c>
      <c r="AT77" s="35" t="s">
        <v>28</v>
      </c>
      <c r="AU77" s="36" t="s">
        <v>34</v>
      </c>
      <c r="AV77" s="1"/>
      <c r="AW77" s="36"/>
      <c r="AX77" s="36"/>
      <c r="AY77" s="36"/>
      <c r="AZ77" s="35"/>
      <c r="BA77" s="36"/>
      <c r="BB77" s="1"/>
      <c r="BD77" s="54"/>
      <c r="BE77" s="39"/>
      <c r="BF77" s="35"/>
      <c r="BG77" s="36"/>
      <c r="BH77" s="1"/>
      <c r="BI77" s="85"/>
      <c r="BL77" s="35"/>
      <c r="BN77" s="1"/>
      <c r="BO77" s="36" t="s">
        <v>1337</v>
      </c>
      <c r="BP77" s="54">
        <v>124.0</v>
      </c>
      <c r="BQ77" s="39">
        <v>25.0</v>
      </c>
      <c r="BR77" s="35" t="s">
        <v>28</v>
      </c>
      <c r="BS77" s="36" t="s">
        <v>34</v>
      </c>
      <c r="BT77" s="1"/>
    </row>
    <row r="78">
      <c r="A78" s="82" t="s">
        <v>1338</v>
      </c>
      <c r="B78" s="83">
        <v>50.0</v>
      </c>
      <c r="C78" s="39">
        <v>25.0</v>
      </c>
      <c r="D78" s="39" t="s">
        <v>32</v>
      </c>
      <c r="E78" s="36" t="s">
        <v>32</v>
      </c>
      <c r="F78" s="1"/>
      <c r="G78" s="60" t="s">
        <v>368</v>
      </c>
      <c r="H78" s="54">
        <v>25.0</v>
      </c>
      <c r="I78" s="39">
        <v>12.0</v>
      </c>
      <c r="J78" s="35" t="s">
        <v>28</v>
      </c>
      <c r="K78" s="36" t="s">
        <v>34</v>
      </c>
      <c r="L78" s="1"/>
      <c r="M78" s="60" t="s">
        <v>235</v>
      </c>
      <c r="N78" s="54">
        <v>36.0</v>
      </c>
      <c r="O78" s="39">
        <v>16.0</v>
      </c>
      <c r="P78" s="35" t="s">
        <v>28</v>
      </c>
      <c r="Q78" s="36" t="s">
        <v>34</v>
      </c>
      <c r="R78" s="1"/>
      <c r="S78" s="60" t="s">
        <v>209</v>
      </c>
      <c r="T78" s="54">
        <v>200.0</v>
      </c>
      <c r="U78" s="39">
        <v>16.0</v>
      </c>
      <c r="V78" s="35" t="s">
        <v>28</v>
      </c>
      <c r="W78" s="36" t="s">
        <v>34</v>
      </c>
      <c r="X78" s="1"/>
      <c r="Y78" s="60" t="s">
        <v>1339</v>
      </c>
      <c r="Z78" s="54">
        <v>116.68</v>
      </c>
      <c r="AA78" s="39">
        <v>24.0</v>
      </c>
      <c r="AB78" s="35" t="s">
        <v>34</v>
      </c>
      <c r="AC78" s="36" t="s">
        <v>32</v>
      </c>
      <c r="AD78" s="1"/>
      <c r="AE78" s="60" t="s">
        <v>235</v>
      </c>
      <c r="AF78" s="54">
        <v>60.0</v>
      </c>
      <c r="AG78" s="39">
        <v>21.0</v>
      </c>
      <c r="AH78" s="35" t="s">
        <v>32</v>
      </c>
      <c r="AI78" s="36" t="s">
        <v>32</v>
      </c>
      <c r="AJ78" s="1"/>
      <c r="AK78" s="36" t="s">
        <v>329</v>
      </c>
      <c r="AL78" s="54">
        <v>33.32</v>
      </c>
      <c r="AM78" s="39">
        <v>27.0</v>
      </c>
      <c r="AN78" s="35" t="s">
        <v>28</v>
      </c>
      <c r="AO78" s="36" t="s">
        <v>34</v>
      </c>
      <c r="AP78" s="1"/>
      <c r="AQ78" s="60" t="s">
        <v>1340</v>
      </c>
      <c r="AR78" s="54">
        <v>25.0</v>
      </c>
      <c r="AS78" s="39">
        <v>20.0</v>
      </c>
      <c r="AT78" s="35" t="s">
        <v>28</v>
      </c>
      <c r="AU78" s="36" t="s">
        <v>34</v>
      </c>
      <c r="AV78" s="1"/>
      <c r="AW78" s="36"/>
      <c r="AX78" s="36"/>
      <c r="AY78" s="36"/>
      <c r="AZ78" s="35"/>
      <c r="BA78" s="36"/>
      <c r="BB78" s="1"/>
      <c r="BD78" s="54"/>
      <c r="BE78" s="39"/>
      <c r="BF78" s="35"/>
      <c r="BG78" s="36"/>
      <c r="BH78" s="1"/>
      <c r="BL78" s="35"/>
      <c r="BN78" s="1"/>
      <c r="BO78" s="36" t="s">
        <v>1341</v>
      </c>
      <c r="BP78" s="54">
        <v>120.0</v>
      </c>
      <c r="BQ78" s="39">
        <v>25.0</v>
      </c>
      <c r="BR78" s="35" t="s">
        <v>32</v>
      </c>
      <c r="BS78" s="36" t="s">
        <v>34</v>
      </c>
      <c r="BT78" s="1"/>
    </row>
    <row r="79">
      <c r="A79" s="82" t="s">
        <v>1342</v>
      </c>
      <c r="B79" s="83">
        <v>37.0</v>
      </c>
      <c r="C79" s="39">
        <v>25.0</v>
      </c>
      <c r="D79" s="39" t="s">
        <v>28</v>
      </c>
      <c r="E79" s="36" t="s">
        <v>32</v>
      </c>
      <c r="F79" s="1"/>
      <c r="G79" s="60" t="s">
        <v>870</v>
      </c>
      <c r="H79" s="54">
        <v>50.0</v>
      </c>
      <c r="I79" s="39">
        <v>12.0</v>
      </c>
      <c r="J79" s="35" t="s">
        <v>28</v>
      </c>
      <c r="K79" s="36" t="s">
        <v>34</v>
      </c>
      <c r="L79" s="1"/>
      <c r="M79" s="60" t="s">
        <v>1343</v>
      </c>
      <c r="N79" s="54">
        <v>76.0</v>
      </c>
      <c r="O79" s="39">
        <v>25.0</v>
      </c>
      <c r="P79" s="35" t="s">
        <v>28</v>
      </c>
      <c r="Q79" s="36" t="s">
        <v>32</v>
      </c>
      <c r="R79" s="1"/>
      <c r="S79" s="60" t="s">
        <v>313</v>
      </c>
      <c r="T79" s="54">
        <v>1.0</v>
      </c>
      <c r="U79" s="39">
        <v>16.0</v>
      </c>
      <c r="V79" s="35" t="s">
        <v>32</v>
      </c>
      <c r="W79" s="36" t="s">
        <v>32</v>
      </c>
      <c r="X79" s="1"/>
      <c r="Y79" s="60" t="s">
        <v>1344</v>
      </c>
      <c r="Z79" s="54">
        <v>3.5</v>
      </c>
      <c r="AA79" s="39">
        <v>25.0</v>
      </c>
      <c r="AB79" s="35" t="s">
        <v>34</v>
      </c>
      <c r="AC79" s="36" t="s">
        <v>32</v>
      </c>
      <c r="AD79" s="1"/>
      <c r="AE79" s="60" t="s">
        <v>1345</v>
      </c>
      <c r="AF79" s="54">
        <v>10.0</v>
      </c>
      <c r="AG79" s="39">
        <v>21.0</v>
      </c>
      <c r="AH79" s="35" t="s">
        <v>32</v>
      </c>
      <c r="AI79" s="36" t="s">
        <v>32</v>
      </c>
      <c r="AJ79" s="1"/>
      <c r="AK79" s="36" t="s">
        <v>582</v>
      </c>
      <c r="AL79" s="54">
        <v>13.0</v>
      </c>
      <c r="AM79" s="39">
        <v>27.0</v>
      </c>
      <c r="AN79" s="35" t="s">
        <v>28</v>
      </c>
      <c r="AO79" s="36" t="s">
        <v>34</v>
      </c>
      <c r="AP79" s="1"/>
      <c r="AQ79" s="60" t="s">
        <v>368</v>
      </c>
      <c r="AR79" s="54">
        <v>10.0</v>
      </c>
      <c r="AS79" s="39">
        <v>21.0</v>
      </c>
      <c r="AT79" s="35" t="s">
        <v>28</v>
      </c>
      <c r="AU79" s="36" t="s">
        <v>34</v>
      </c>
      <c r="AV79" s="1"/>
      <c r="AW79" s="36"/>
      <c r="AX79" s="36"/>
      <c r="AY79" s="36"/>
      <c r="AZ79" s="35"/>
      <c r="BA79" s="36"/>
      <c r="BB79" s="1"/>
      <c r="BD79" s="54"/>
      <c r="BE79" s="39"/>
      <c r="BF79" s="35"/>
      <c r="BG79" s="36"/>
      <c r="BH79" s="1"/>
      <c r="BL79" s="35"/>
      <c r="BN79" s="1"/>
      <c r="BO79" s="36" t="s">
        <v>1346</v>
      </c>
      <c r="BP79" s="54">
        <v>440.0</v>
      </c>
      <c r="BQ79" s="39">
        <v>25.0</v>
      </c>
      <c r="BR79" s="35" t="s">
        <v>28</v>
      </c>
      <c r="BS79" s="36" t="s">
        <v>34</v>
      </c>
      <c r="BT79" s="1"/>
    </row>
    <row r="80">
      <c r="A80" s="82" t="s">
        <v>108</v>
      </c>
      <c r="B80" s="83">
        <v>15.0</v>
      </c>
      <c r="C80" s="39">
        <v>25.0</v>
      </c>
      <c r="D80" s="39" t="s">
        <v>28</v>
      </c>
      <c r="E80" s="36" t="s">
        <v>32</v>
      </c>
      <c r="F80" s="1"/>
      <c r="G80" s="60" t="s">
        <v>209</v>
      </c>
      <c r="H80" s="54">
        <v>136.0</v>
      </c>
      <c r="I80" s="39">
        <v>13.0</v>
      </c>
      <c r="J80" s="35" t="s">
        <v>28</v>
      </c>
      <c r="K80" s="36" t="s">
        <v>34</v>
      </c>
      <c r="L80" s="1"/>
      <c r="M80" s="60" t="s">
        <v>1347</v>
      </c>
      <c r="N80" s="54">
        <v>112.03</v>
      </c>
      <c r="O80" s="39">
        <v>25.0</v>
      </c>
      <c r="P80" s="35" t="s">
        <v>32</v>
      </c>
      <c r="Q80" s="36" t="s">
        <v>32</v>
      </c>
      <c r="R80" s="1"/>
      <c r="S80" s="60" t="s">
        <v>1348</v>
      </c>
      <c r="T80" s="54">
        <v>100.0</v>
      </c>
      <c r="U80" s="39">
        <v>19.0</v>
      </c>
      <c r="V80" s="35" t="s">
        <v>28</v>
      </c>
      <c r="W80" s="36" t="s">
        <v>32</v>
      </c>
      <c r="X80" s="1"/>
      <c r="Y80" s="60" t="s">
        <v>1347</v>
      </c>
      <c r="Z80" s="54">
        <v>112.03</v>
      </c>
      <c r="AA80" s="39">
        <v>25.0</v>
      </c>
      <c r="AB80" s="35" t="s">
        <v>32</v>
      </c>
      <c r="AC80" s="36" t="s">
        <v>32</v>
      </c>
      <c r="AD80" s="1"/>
      <c r="AE80" s="60" t="s">
        <v>1349</v>
      </c>
      <c r="AF80" s="54">
        <v>6.0</v>
      </c>
      <c r="AG80" s="39">
        <v>22.0</v>
      </c>
      <c r="AH80" s="35" t="s">
        <v>32</v>
      </c>
      <c r="AI80" s="36" t="s">
        <v>32</v>
      </c>
      <c r="AJ80" s="1"/>
      <c r="AK80" s="36" t="s">
        <v>1350</v>
      </c>
      <c r="AL80" s="54">
        <v>50.0</v>
      </c>
      <c r="AM80" s="39">
        <v>28.0</v>
      </c>
      <c r="AN80" s="35" t="s">
        <v>34</v>
      </c>
      <c r="AO80" s="36" t="s">
        <v>32</v>
      </c>
      <c r="AP80" s="1"/>
      <c r="AQ80" s="60" t="s">
        <v>1351</v>
      </c>
      <c r="AR80" s="54">
        <v>20.0</v>
      </c>
      <c r="AS80" s="39">
        <v>24.0</v>
      </c>
      <c r="AT80" s="35" t="s">
        <v>28</v>
      </c>
      <c r="AU80" s="36" t="s">
        <v>34</v>
      </c>
      <c r="AV80" s="1"/>
      <c r="AW80" s="36"/>
      <c r="AX80" s="36"/>
      <c r="AY80" s="36"/>
      <c r="AZ80" s="35"/>
      <c r="BA80" s="36"/>
      <c r="BB80" s="1"/>
      <c r="BD80" s="54"/>
      <c r="BE80" s="39"/>
      <c r="BF80" s="35"/>
      <c r="BG80" s="36"/>
      <c r="BH80" s="1"/>
      <c r="BL80" s="35"/>
      <c r="BN80" s="1"/>
      <c r="BO80" s="36" t="s">
        <v>1352</v>
      </c>
      <c r="BP80" s="54">
        <v>120.0</v>
      </c>
      <c r="BQ80" s="39">
        <v>28.0</v>
      </c>
      <c r="BR80" s="35" t="s">
        <v>28</v>
      </c>
      <c r="BS80" s="36" t="s">
        <v>34</v>
      </c>
      <c r="BT80" s="1"/>
    </row>
    <row r="81">
      <c r="A81" s="82" t="s">
        <v>1353</v>
      </c>
      <c r="B81" s="83">
        <v>12.0</v>
      </c>
      <c r="C81" s="39">
        <v>25.0</v>
      </c>
      <c r="D81" s="39" t="s">
        <v>28</v>
      </c>
      <c r="E81" s="36" t="s">
        <v>32</v>
      </c>
      <c r="F81" s="1"/>
      <c r="G81" s="60" t="s">
        <v>951</v>
      </c>
      <c r="H81" s="54">
        <v>15.0</v>
      </c>
      <c r="I81" s="39">
        <v>15.0</v>
      </c>
      <c r="J81" s="35" t="s">
        <v>28</v>
      </c>
      <c r="K81" s="36" t="s">
        <v>34</v>
      </c>
      <c r="L81" s="1"/>
      <c r="M81" s="60" t="s">
        <v>124</v>
      </c>
      <c r="N81" s="54">
        <v>-3.0</v>
      </c>
      <c r="O81" s="39">
        <v>31.0</v>
      </c>
      <c r="P81" s="35" t="s">
        <v>32</v>
      </c>
      <c r="Q81" s="36" t="s">
        <v>32</v>
      </c>
      <c r="R81" s="1"/>
      <c r="S81" s="60" t="s">
        <v>1204</v>
      </c>
      <c r="T81" s="54">
        <v>6.0</v>
      </c>
      <c r="U81" s="39">
        <v>20.0</v>
      </c>
      <c r="V81" s="35" t="s">
        <v>32</v>
      </c>
      <c r="W81" s="36" t="s">
        <v>32</v>
      </c>
      <c r="X81" s="1"/>
      <c r="Y81" s="60" t="s">
        <v>299</v>
      </c>
      <c r="Z81" s="54">
        <v>52.0</v>
      </c>
      <c r="AA81" s="39">
        <v>25.0</v>
      </c>
      <c r="AB81" s="35" t="s">
        <v>28</v>
      </c>
      <c r="AC81" s="36" t="s">
        <v>34</v>
      </c>
      <c r="AD81" s="1"/>
      <c r="AE81" s="60" t="s">
        <v>295</v>
      </c>
      <c r="AF81" s="54">
        <v>7.5</v>
      </c>
      <c r="AG81" s="39">
        <v>23.0</v>
      </c>
      <c r="AH81" s="35" t="s">
        <v>28</v>
      </c>
      <c r="AI81" s="36" t="s">
        <v>32</v>
      </c>
      <c r="AJ81" s="1"/>
      <c r="AK81" s="36" t="s">
        <v>124</v>
      </c>
      <c r="AL81" s="54">
        <v>70.45</v>
      </c>
      <c r="AM81" s="39">
        <v>28.0</v>
      </c>
      <c r="AN81" s="35" t="s">
        <v>32</v>
      </c>
      <c r="AO81" s="36" t="s">
        <v>32</v>
      </c>
      <c r="AP81" s="1"/>
      <c r="AQ81" s="60" t="s">
        <v>368</v>
      </c>
      <c r="AR81" s="54">
        <v>10.0</v>
      </c>
      <c r="AS81" s="39">
        <v>24.0</v>
      </c>
      <c r="AT81" s="35" t="s">
        <v>28</v>
      </c>
      <c r="AU81" s="36" t="s">
        <v>34</v>
      </c>
      <c r="AV81" s="1"/>
      <c r="AW81" s="36"/>
      <c r="AX81" s="36"/>
      <c r="AY81" s="36"/>
      <c r="AZ81" s="35"/>
      <c r="BA81" s="36"/>
      <c r="BB81" s="1"/>
      <c r="BD81" s="54"/>
      <c r="BE81" s="39"/>
      <c r="BF81" s="35"/>
      <c r="BG81" s="36"/>
      <c r="BH81" s="1"/>
      <c r="BL81" s="35"/>
      <c r="BN81" s="1"/>
      <c r="BO81" s="36" t="s">
        <v>1354</v>
      </c>
      <c r="BP81" s="54">
        <v>100.0</v>
      </c>
      <c r="BQ81" s="39">
        <v>28.0</v>
      </c>
      <c r="BR81" s="35" t="s">
        <v>28</v>
      </c>
      <c r="BS81" s="36" t="s">
        <v>34</v>
      </c>
      <c r="BT81" s="1"/>
    </row>
    <row r="82">
      <c r="A82" s="82" t="s">
        <v>1347</v>
      </c>
      <c r="B82" s="83">
        <v>112.03</v>
      </c>
      <c r="C82" s="39">
        <v>25.0</v>
      </c>
      <c r="D82" s="39" t="s">
        <v>32</v>
      </c>
      <c r="E82" s="36" t="s">
        <v>32</v>
      </c>
      <c r="F82" s="1"/>
      <c r="G82" s="60" t="s">
        <v>1355</v>
      </c>
      <c r="H82" s="54">
        <v>12.0</v>
      </c>
      <c r="I82" s="39">
        <v>15.0</v>
      </c>
      <c r="J82" s="35" t="s">
        <v>28</v>
      </c>
      <c r="K82" s="36" t="s">
        <v>34</v>
      </c>
      <c r="L82" s="1"/>
      <c r="M82" s="60" t="s">
        <v>684</v>
      </c>
      <c r="N82" s="54">
        <v>92.0</v>
      </c>
      <c r="O82" s="39">
        <v>19.0</v>
      </c>
      <c r="P82" s="35" t="s">
        <v>28</v>
      </c>
      <c r="Q82" s="36" t="s">
        <v>34</v>
      </c>
      <c r="R82" s="1"/>
      <c r="S82" s="60" t="s">
        <v>1356</v>
      </c>
      <c r="T82" s="54">
        <v>50.0</v>
      </c>
      <c r="U82" s="39">
        <v>22.0</v>
      </c>
      <c r="V82" s="35" t="s">
        <v>32</v>
      </c>
      <c r="W82" s="36" t="s">
        <v>32</v>
      </c>
      <c r="X82" s="1"/>
      <c r="Y82" s="60" t="s">
        <v>1357</v>
      </c>
      <c r="Z82" s="54">
        <v>8.0</v>
      </c>
      <c r="AA82" s="39">
        <v>25.0</v>
      </c>
      <c r="AB82" s="35" t="s">
        <v>28</v>
      </c>
      <c r="AC82" s="36" t="s">
        <v>34</v>
      </c>
      <c r="AD82" s="1"/>
      <c r="AE82" s="60" t="s">
        <v>310</v>
      </c>
      <c r="AF82" s="54">
        <v>9.0</v>
      </c>
      <c r="AG82" s="39">
        <v>23.0</v>
      </c>
      <c r="AH82" s="35" t="s">
        <v>28</v>
      </c>
      <c r="AI82" s="36" t="s">
        <v>32</v>
      </c>
      <c r="AJ82" s="1"/>
      <c r="AK82" s="36" t="s">
        <v>313</v>
      </c>
      <c r="AL82" s="54">
        <v>2.0</v>
      </c>
      <c r="AM82" s="39">
        <v>30.0</v>
      </c>
      <c r="AN82" s="35" t="s">
        <v>32</v>
      </c>
      <c r="AO82" s="36" t="s">
        <v>32</v>
      </c>
      <c r="AP82" s="1"/>
      <c r="AQ82" s="60" t="s">
        <v>1358</v>
      </c>
      <c r="AR82" s="54">
        <v>657.0</v>
      </c>
      <c r="AS82" s="39">
        <v>25.0</v>
      </c>
      <c r="AT82" s="35" t="s">
        <v>32</v>
      </c>
      <c r="AU82" s="36" t="s">
        <v>32</v>
      </c>
      <c r="AV82" s="1"/>
      <c r="AW82" s="36"/>
      <c r="AX82" s="36"/>
      <c r="AY82" s="36"/>
      <c r="AZ82" s="35"/>
      <c r="BA82" s="36"/>
      <c r="BB82" s="1"/>
      <c r="BD82" s="54"/>
      <c r="BE82" s="39"/>
      <c r="BF82" s="35"/>
      <c r="BG82" s="36"/>
      <c r="BH82" s="1"/>
      <c r="BL82" s="35"/>
      <c r="BN82" s="1"/>
      <c r="BO82" s="36" t="s">
        <v>611</v>
      </c>
      <c r="BP82" s="54">
        <v>110.0</v>
      </c>
      <c r="BQ82" s="39">
        <v>29.0</v>
      </c>
      <c r="BR82" s="35" t="s">
        <v>28</v>
      </c>
      <c r="BS82" s="36" t="s">
        <v>34</v>
      </c>
      <c r="BT82" s="1"/>
    </row>
    <row r="83">
      <c r="A83" s="82" t="s">
        <v>1359</v>
      </c>
      <c r="B83" s="83">
        <v>50.0</v>
      </c>
      <c r="C83" s="39">
        <v>27.0</v>
      </c>
      <c r="D83" s="39" t="s">
        <v>34</v>
      </c>
      <c r="E83" s="36" t="s">
        <v>32</v>
      </c>
      <c r="F83" s="1"/>
      <c r="G83" s="60" t="s">
        <v>239</v>
      </c>
      <c r="H83" s="54">
        <v>68.0</v>
      </c>
      <c r="I83" s="39">
        <v>15.0</v>
      </c>
      <c r="J83" s="35" t="s">
        <v>28</v>
      </c>
      <c r="K83" s="36" t="s">
        <v>34</v>
      </c>
      <c r="L83" s="1"/>
      <c r="M83" s="60" t="s">
        <v>310</v>
      </c>
      <c r="N83" s="54">
        <v>31.0</v>
      </c>
      <c r="O83" s="39">
        <v>19.0</v>
      </c>
      <c r="P83" s="35" t="s">
        <v>28</v>
      </c>
      <c r="Q83" s="36" t="s">
        <v>34</v>
      </c>
      <c r="R83" s="1"/>
      <c r="S83" s="60" t="s">
        <v>1360</v>
      </c>
      <c r="T83" s="54">
        <v>92.81</v>
      </c>
      <c r="U83" s="39">
        <v>26.0</v>
      </c>
      <c r="V83" s="35" t="s">
        <v>32</v>
      </c>
      <c r="W83" s="36" t="s">
        <v>32</v>
      </c>
      <c r="X83" s="1"/>
      <c r="Y83" s="60" t="s">
        <v>1361</v>
      </c>
      <c r="Z83" s="54">
        <v>65.0</v>
      </c>
      <c r="AA83" s="39">
        <v>26.0</v>
      </c>
      <c r="AB83" s="35" t="s">
        <v>34</v>
      </c>
      <c r="AC83" s="36" t="s">
        <v>32</v>
      </c>
      <c r="AD83" s="1"/>
      <c r="AE83" s="60" t="s">
        <v>124</v>
      </c>
      <c r="AF83" s="54">
        <v>7.0</v>
      </c>
      <c r="AG83" s="39">
        <v>24.0</v>
      </c>
      <c r="AH83" s="35" t="s">
        <v>28</v>
      </c>
      <c r="AI83" s="36" t="s">
        <v>32</v>
      </c>
      <c r="AJ83" s="1"/>
      <c r="AK83" s="36" t="s">
        <v>1362</v>
      </c>
      <c r="AL83" s="54">
        <v>45.0</v>
      </c>
      <c r="AM83" s="39">
        <v>30.0</v>
      </c>
      <c r="AN83" s="35" t="s">
        <v>32</v>
      </c>
      <c r="AO83" s="36" t="s">
        <v>32</v>
      </c>
      <c r="AP83" s="1"/>
      <c r="AQ83" s="60" t="s">
        <v>1363</v>
      </c>
      <c r="AR83" s="54">
        <v>72.0</v>
      </c>
      <c r="AS83" s="39">
        <v>25.0</v>
      </c>
      <c r="AT83" s="35" t="s">
        <v>28</v>
      </c>
      <c r="AU83" s="36" t="s">
        <v>34</v>
      </c>
      <c r="AV83" s="1"/>
      <c r="AW83" s="36"/>
      <c r="AX83" s="36"/>
      <c r="AY83" s="36"/>
      <c r="AZ83" s="35"/>
      <c r="BA83" s="36"/>
      <c r="BB83" s="1"/>
      <c r="BD83" s="54"/>
      <c r="BE83" s="39"/>
      <c r="BF83" s="35"/>
      <c r="BG83" s="36"/>
      <c r="BH83" s="1"/>
      <c r="BL83" s="35"/>
      <c r="BN83" s="1"/>
      <c r="BO83" s="36" t="s">
        <v>100</v>
      </c>
      <c r="BP83" s="54">
        <v>200.0</v>
      </c>
      <c r="BQ83" s="39">
        <v>30.0</v>
      </c>
      <c r="BR83" s="35" t="s">
        <v>32</v>
      </c>
      <c r="BS83" s="36" t="s">
        <v>32</v>
      </c>
      <c r="BT83" s="1"/>
    </row>
    <row r="84">
      <c r="A84" s="82" t="s">
        <v>1364</v>
      </c>
      <c r="B84" s="83">
        <v>10.0</v>
      </c>
      <c r="C84" s="39">
        <v>27.0</v>
      </c>
      <c r="D84" s="39" t="s">
        <v>28</v>
      </c>
      <c r="E84" s="36" t="s">
        <v>32</v>
      </c>
      <c r="F84" s="1"/>
      <c r="G84" s="60" t="s">
        <v>533</v>
      </c>
      <c r="H84" s="54">
        <v>38.0</v>
      </c>
      <c r="I84" s="39">
        <v>15.0</v>
      </c>
      <c r="J84" s="35" t="s">
        <v>28</v>
      </c>
      <c r="K84" s="36" t="s">
        <v>34</v>
      </c>
      <c r="L84" s="1"/>
      <c r="M84" s="60" t="s">
        <v>618</v>
      </c>
      <c r="N84" s="54">
        <v>36.0</v>
      </c>
      <c r="O84" s="39">
        <v>18.0</v>
      </c>
      <c r="P84" s="35" t="s">
        <v>28</v>
      </c>
      <c r="Q84" s="36" t="s">
        <v>34</v>
      </c>
      <c r="R84" s="1"/>
      <c r="S84" s="60" t="s">
        <v>647</v>
      </c>
      <c r="T84" s="54">
        <v>250.0</v>
      </c>
      <c r="U84" s="39">
        <v>26.0</v>
      </c>
      <c r="V84" s="35" t="s">
        <v>32</v>
      </c>
      <c r="W84" s="36" t="s">
        <v>32</v>
      </c>
      <c r="X84" s="1"/>
      <c r="Y84" s="60" t="s">
        <v>1365</v>
      </c>
      <c r="Z84" s="54">
        <v>120.0</v>
      </c>
      <c r="AA84" s="39">
        <v>26.0</v>
      </c>
      <c r="AB84" s="35" t="s">
        <v>34</v>
      </c>
      <c r="AC84" s="36" t="s">
        <v>32</v>
      </c>
      <c r="AD84" s="1"/>
      <c r="AE84" s="60" t="s">
        <v>310</v>
      </c>
      <c r="AF84" s="54">
        <v>40.55</v>
      </c>
      <c r="AG84" s="39">
        <v>24.0</v>
      </c>
      <c r="AH84" s="35" t="s">
        <v>28</v>
      </c>
      <c r="AI84" s="36" t="s">
        <v>32</v>
      </c>
      <c r="AJ84" s="1"/>
      <c r="AP84" s="1"/>
      <c r="AQ84" s="60" t="s">
        <v>109</v>
      </c>
      <c r="AR84" s="54">
        <v>40.0</v>
      </c>
      <c r="AS84" s="39">
        <v>25.0</v>
      </c>
      <c r="AT84" s="35" t="s">
        <v>28</v>
      </c>
      <c r="AU84" s="36" t="s">
        <v>34</v>
      </c>
      <c r="AV84" s="1"/>
      <c r="AW84" s="36"/>
      <c r="AX84" s="36"/>
      <c r="AY84" s="36"/>
      <c r="AZ84" s="35"/>
      <c r="BA84" s="36"/>
      <c r="BB84" s="1"/>
      <c r="BF84" s="35"/>
      <c r="BG84" s="36"/>
      <c r="BH84" s="1"/>
      <c r="BL84" s="35"/>
      <c r="BN84" s="1"/>
      <c r="BO84" s="36" t="s">
        <v>695</v>
      </c>
      <c r="BP84" s="54">
        <v>50.0</v>
      </c>
      <c r="BQ84" s="39">
        <v>30.0</v>
      </c>
      <c r="BR84" s="35" t="s">
        <v>28</v>
      </c>
      <c r="BS84" s="36" t="s">
        <v>32</v>
      </c>
      <c r="BT84" s="1"/>
    </row>
    <row r="85">
      <c r="A85" s="82" t="s">
        <v>832</v>
      </c>
      <c r="B85" s="83">
        <v>22.0</v>
      </c>
      <c r="C85" s="39">
        <v>28.0</v>
      </c>
      <c r="D85" s="39" t="s">
        <v>28</v>
      </c>
      <c r="E85" s="36" t="s">
        <v>32</v>
      </c>
      <c r="F85" s="1"/>
      <c r="G85" s="60" t="s">
        <v>368</v>
      </c>
      <c r="H85" s="54">
        <v>21.0</v>
      </c>
      <c r="I85" s="39">
        <v>16.0</v>
      </c>
      <c r="J85" s="35" t="s">
        <v>28</v>
      </c>
      <c r="K85" s="36" t="s">
        <v>34</v>
      </c>
      <c r="L85" s="1"/>
      <c r="M85" s="60" t="s">
        <v>951</v>
      </c>
      <c r="N85" s="54">
        <v>32.97</v>
      </c>
      <c r="O85" s="39">
        <v>19.0</v>
      </c>
      <c r="P85" s="35" t="s">
        <v>28</v>
      </c>
      <c r="Q85" s="36" t="s">
        <v>34</v>
      </c>
      <c r="R85" s="1"/>
      <c r="S85" s="60" t="s">
        <v>1366</v>
      </c>
      <c r="T85" s="54">
        <v>112.03</v>
      </c>
      <c r="U85" s="39">
        <v>26.0</v>
      </c>
      <c r="V85" s="35" t="s">
        <v>32</v>
      </c>
      <c r="W85" s="36" t="s">
        <v>32</v>
      </c>
      <c r="X85" s="1"/>
      <c r="Y85" s="60" t="s">
        <v>310</v>
      </c>
      <c r="Z85" s="54">
        <v>57.0</v>
      </c>
      <c r="AA85" s="39">
        <v>28.0</v>
      </c>
      <c r="AB85" s="35" t="s">
        <v>28</v>
      </c>
      <c r="AC85" s="36" t="s">
        <v>32</v>
      </c>
      <c r="AD85" s="1"/>
      <c r="AE85" s="60" t="s">
        <v>1367</v>
      </c>
      <c r="AF85" s="54">
        <v>40.0</v>
      </c>
      <c r="AG85" s="39">
        <v>24.0</v>
      </c>
      <c r="AH85" s="35" t="s">
        <v>32</v>
      </c>
      <c r="AI85" s="36" t="s">
        <v>32</v>
      </c>
      <c r="AJ85" s="1"/>
      <c r="AP85" s="1"/>
      <c r="AQ85" s="60" t="s">
        <v>1368</v>
      </c>
      <c r="AR85" s="54">
        <v>10.0</v>
      </c>
      <c r="AS85" s="39">
        <v>26.0</v>
      </c>
      <c r="AT85" s="35" t="s">
        <v>32</v>
      </c>
      <c r="AU85" s="36" t="s">
        <v>32</v>
      </c>
      <c r="AV85" s="1"/>
      <c r="AW85" s="36"/>
      <c r="AX85" s="36"/>
      <c r="AY85" s="36"/>
      <c r="AZ85" s="35"/>
      <c r="BA85" s="36"/>
      <c r="BB85" s="1"/>
      <c r="BF85" s="35"/>
      <c r="BG85" s="36"/>
      <c r="BH85" s="1"/>
      <c r="BL85" s="35"/>
      <c r="BN85" s="1"/>
      <c r="BO85" s="36" t="s">
        <v>124</v>
      </c>
      <c r="BP85" s="54">
        <v>-90.0</v>
      </c>
      <c r="BQ85" s="39">
        <v>30.0</v>
      </c>
      <c r="BR85" s="35" t="s">
        <v>28</v>
      </c>
      <c r="BS85" s="36" t="s">
        <v>32</v>
      </c>
      <c r="BT85" s="1"/>
    </row>
    <row r="86">
      <c r="A86" s="82" t="s">
        <v>235</v>
      </c>
      <c r="B86" s="83">
        <v>48.0</v>
      </c>
      <c r="C86" s="39">
        <v>30.0</v>
      </c>
      <c r="D86" s="39" t="s">
        <v>28</v>
      </c>
      <c r="E86" s="36" t="s">
        <v>34</v>
      </c>
      <c r="F86" s="1"/>
      <c r="G86" s="60" t="s">
        <v>1369</v>
      </c>
      <c r="H86" s="54">
        <v>100.0</v>
      </c>
      <c r="I86" s="39">
        <v>17.0</v>
      </c>
      <c r="J86" s="35" t="s">
        <v>32</v>
      </c>
      <c r="K86" s="36" t="s">
        <v>32</v>
      </c>
      <c r="L86" s="1"/>
      <c r="M86" s="60" t="s">
        <v>310</v>
      </c>
      <c r="N86" s="54">
        <v>31.2</v>
      </c>
      <c r="O86" s="39">
        <v>19.0</v>
      </c>
      <c r="P86" s="35" t="s">
        <v>28</v>
      </c>
      <c r="Q86" s="36" t="s">
        <v>34</v>
      </c>
      <c r="R86" s="1"/>
      <c r="S86" s="60" t="s">
        <v>1245</v>
      </c>
      <c r="T86" s="54">
        <v>9.0</v>
      </c>
      <c r="U86" s="39">
        <v>27.0</v>
      </c>
      <c r="V86" s="35" t="s">
        <v>32</v>
      </c>
      <c r="W86" s="36" t="s">
        <v>32</v>
      </c>
      <c r="X86" s="1"/>
      <c r="Y86" s="60" t="s">
        <v>1370</v>
      </c>
      <c r="Z86" s="54">
        <v>1600.0</v>
      </c>
      <c r="AA86" s="39">
        <v>28.0</v>
      </c>
      <c r="AB86" s="35" t="s">
        <v>34</v>
      </c>
      <c r="AC86" s="36" t="s">
        <v>32</v>
      </c>
      <c r="AD86" s="1"/>
      <c r="AE86" s="60" t="s">
        <v>94</v>
      </c>
      <c r="AF86" s="54">
        <v>15.0</v>
      </c>
      <c r="AG86" s="39">
        <v>25.0</v>
      </c>
      <c r="AH86" s="35" t="s">
        <v>28</v>
      </c>
      <c r="AI86" s="36" t="s">
        <v>32</v>
      </c>
      <c r="AJ86" s="1"/>
      <c r="AP86" s="1"/>
      <c r="AQ86" s="60" t="s">
        <v>1371</v>
      </c>
      <c r="AR86" s="54">
        <v>29.65</v>
      </c>
      <c r="AS86" s="39">
        <v>26.0</v>
      </c>
      <c r="AT86" s="35" t="s">
        <v>28</v>
      </c>
      <c r="AU86" s="36" t="s">
        <v>32</v>
      </c>
      <c r="AV86" s="1"/>
      <c r="AW86" s="36"/>
      <c r="AX86" s="36"/>
      <c r="AY86" s="36"/>
      <c r="AZ86" s="35"/>
      <c r="BA86" s="36"/>
      <c r="BB86" s="1"/>
      <c r="BF86" s="35"/>
      <c r="BG86" s="36"/>
      <c r="BH86" s="1"/>
      <c r="BL86" s="35"/>
      <c r="BN86" s="1"/>
      <c r="BP86" s="54"/>
      <c r="BQ86" s="70"/>
      <c r="BR86" s="35"/>
      <c r="BT86" s="1"/>
    </row>
    <row r="87">
      <c r="A87" s="82" t="s">
        <v>209</v>
      </c>
      <c r="B87" s="83">
        <v>163.5</v>
      </c>
      <c r="C87" s="39">
        <v>30.0</v>
      </c>
      <c r="D87" s="39" t="s">
        <v>28</v>
      </c>
      <c r="E87" s="36" t="s">
        <v>34</v>
      </c>
      <c r="F87" s="1"/>
      <c r="G87" s="60" t="s">
        <v>1372</v>
      </c>
      <c r="H87" s="54">
        <v>15.0</v>
      </c>
      <c r="I87" s="39">
        <v>17.0</v>
      </c>
      <c r="J87" s="35" t="s">
        <v>34</v>
      </c>
      <c r="K87" s="36" t="s">
        <v>32</v>
      </c>
      <c r="L87" s="1"/>
      <c r="M87" s="60" t="s">
        <v>310</v>
      </c>
      <c r="N87" s="54">
        <v>25.0</v>
      </c>
      <c r="O87" s="39">
        <v>20.0</v>
      </c>
      <c r="P87" s="35" t="s">
        <v>28</v>
      </c>
      <c r="Q87" s="36" t="s">
        <v>34</v>
      </c>
      <c r="R87" s="1"/>
      <c r="S87" s="60" t="s">
        <v>191</v>
      </c>
      <c r="T87" s="54">
        <v>15.0</v>
      </c>
      <c r="U87" s="39">
        <v>30.0</v>
      </c>
      <c r="V87" s="35" t="s">
        <v>28</v>
      </c>
      <c r="W87" s="36" t="s">
        <v>32</v>
      </c>
      <c r="X87" s="1"/>
      <c r="Y87" s="60" t="s">
        <v>1223</v>
      </c>
      <c r="Z87" s="54">
        <v>18.0</v>
      </c>
      <c r="AA87" s="39">
        <v>28.0</v>
      </c>
      <c r="AB87" s="35" t="s">
        <v>28</v>
      </c>
      <c r="AC87" s="36" t="s">
        <v>34</v>
      </c>
      <c r="AD87" s="1"/>
      <c r="AE87" s="60" t="s">
        <v>819</v>
      </c>
      <c r="AF87" s="54">
        <v>20.0</v>
      </c>
      <c r="AG87" s="39">
        <v>25.0</v>
      </c>
      <c r="AH87" s="35" t="s">
        <v>28</v>
      </c>
      <c r="AI87" s="36" t="s">
        <v>32</v>
      </c>
      <c r="AJ87" s="1"/>
      <c r="AP87" s="1"/>
      <c r="AQ87" s="60" t="s">
        <v>214</v>
      </c>
      <c r="AR87" s="54">
        <v>69.0</v>
      </c>
      <c r="AS87" s="39">
        <v>26.0</v>
      </c>
      <c r="AT87" s="35" t="s">
        <v>28</v>
      </c>
      <c r="AU87" s="36" t="s">
        <v>32</v>
      </c>
      <c r="AV87" s="1"/>
      <c r="AW87" s="36"/>
      <c r="AX87" s="36"/>
      <c r="AY87" s="36"/>
      <c r="AZ87" s="35"/>
      <c r="BA87" s="36"/>
      <c r="BB87" s="1"/>
      <c r="BF87" s="35"/>
      <c r="BG87" s="36"/>
      <c r="BH87" s="1"/>
      <c r="BL87" s="35"/>
      <c r="BN87" s="1"/>
      <c r="BP87" s="54"/>
      <c r="BQ87" s="70"/>
      <c r="BR87" s="35"/>
      <c r="BT87" s="1"/>
    </row>
    <row r="88">
      <c r="A88" s="82" t="s">
        <v>368</v>
      </c>
      <c r="B88" s="83">
        <v>19.0</v>
      </c>
      <c r="C88" s="39">
        <v>30.0</v>
      </c>
      <c r="D88" s="39" t="s">
        <v>28</v>
      </c>
      <c r="E88" s="36" t="s">
        <v>34</v>
      </c>
      <c r="F88" s="1"/>
      <c r="G88" s="60" t="s">
        <v>1373</v>
      </c>
      <c r="H88" s="54">
        <v>20.0</v>
      </c>
      <c r="I88" s="39">
        <v>17.0</v>
      </c>
      <c r="J88" s="35" t="s">
        <v>28</v>
      </c>
      <c r="K88" s="36" t="s">
        <v>32</v>
      </c>
      <c r="L88" s="1"/>
      <c r="M88" s="60" t="s">
        <v>209</v>
      </c>
      <c r="N88" s="54">
        <v>116.0</v>
      </c>
      <c r="O88" s="39">
        <v>20.0</v>
      </c>
      <c r="P88" s="35" t="s">
        <v>28</v>
      </c>
      <c r="Q88" s="36" t="s">
        <v>34</v>
      </c>
      <c r="R88" s="1"/>
      <c r="S88" s="60" t="s">
        <v>901</v>
      </c>
      <c r="T88" s="54">
        <v>20.0</v>
      </c>
      <c r="U88" s="39">
        <v>30.0</v>
      </c>
      <c r="V88" s="35" t="s">
        <v>28</v>
      </c>
      <c r="W88" s="36" t="s">
        <v>32</v>
      </c>
      <c r="X88" s="1"/>
      <c r="Y88" s="60" t="s">
        <v>100</v>
      </c>
      <c r="Z88" s="54">
        <v>100.0</v>
      </c>
      <c r="AA88" s="39">
        <v>30.0</v>
      </c>
      <c r="AB88" s="35" t="s">
        <v>32</v>
      </c>
      <c r="AC88" s="36" t="s">
        <v>32</v>
      </c>
      <c r="AD88" s="1"/>
      <c r="AE88" s="60" t="s">
        <v>1347</v>
      </c>
      <c r="AF88" s="54">
        <v>112.03</v>
      </c>
      <c r="AG88" s="39">
        <v>25.0</v>
      </c>
      <c r="AH88" s="35" t="s">
        <v>32</v>
      </c>
      <c r="AI88" s="36" t="s">
        <v>32</v>
      </c>
      <c r="AJ88" s="1"/>
      <c r="AP88" s="1"/>
      <c r="AQ88" s="60" t="s">
        <v>100</v>
      </c>
      <c r="AR88" s="54">
        <v>100.0</v>
      </c>
      <c r="AS88" s="39">
        <v>26.0</v>
      </c>
      <c r="AT88" s="35" t="s">
        <v>32</v>
      </c>
      <c r="AU88" s="36" t="s">
        <v>32</v>
      </c>
      <c r="AV88" s="1"/>
      <c r="AW88" s="36"/>
      <c r="AX88" s="36"/>
      <c r="AY88" s="36"/>
      <c r="AZ88" s="35"/>
      <c r="BA88" s="36"/>
      <c r="BB88" s="1"/>
      <c r="BF88" s="35"/>
      <c r="BG88" s="36"/>
      <c r="BH88" s="1"/>
      <c r="BL88" s="35"/>
      <c r="BN88" s="1"/>
      <c r="BP88" s="54"/>
      <c r="BQ88" s="70"/>
      <c r="BR88" s="35"/>
      <c r="BT88" s="1"/>
    </row>
    <row r="89">
      <c r="A89" s="82" t="s">
        <v>1374</v>
      </c>
      <c r="B89" s="83">
        <v>25.0</v>
      </c>
      <c r="C89" s="39">
        <v>30.0</v>
      </c>
      <c r="D89" s="39" t="s">
        <v>28</v>
      </c>
      <c r="E89" s="36" t="s">
        <v>34</v>
      </c>
      <c r="F89" s="1"/>
      <c r="G89" s="60" t="s">
        <v>834</v>
      </c>
      <c r="H89" s="54">
        <v>90.0</v>
      </c>
      <c r="I89" s="39">
        <v>25.0</v>
      </c>
      <c r="J89" s="35" t="s">
        <v>32</v>
      </c>
      <c r="K89" s="36" t="s">
        <v>32</v>
      </c>
      <c r="L89" s="1"/>
      <c r="M89" s="60" t="s">
        <v>368</v>
      </c>
      <c r="N89" s="54">
        <v>25.5</v>
      </c>
      <c r="O89" s="39">
        <v>24.0</v>
      </c>
      <c r="P89" s="35" t="s">
        <v>28</v>
      </c>
      <c r="Q89" s="36" t="s">
        <v>34</v>
      </c>
      <c r="R89" s="1"/>
      <c r="S89" s="60" t="s">
        <v>966</v>
      </c>
      <c r="T89" s="54">
        <v>46.0</v>
      </c>
      <c r="U89" s="39">
        <v>30.0</v>
      </c>
      <c r="V89" s="35" t="s">
        <v>28</v>
      </c>
      <c r="W89" s="36" t="s">
        <v>32</v>
      </c>
      <c r="X89" s="1"/>
      <c r="Y89" s="60" t="s">
        <v>582</v>
      </c>
      <c r="Z89" s="54">
        <v>2.0</v>
      </c>
      <c r="AA89" s="39">
        <v>31.0</v>
      </c>
      <c r="AB89" s="35" t="s">
        <v>28</v>
      </c>
      <c r="AC89" s="36" t="s">
        <v>32</v>
      </c>
      <c r="AD89" s="1"/>
      <c r="AE89" s="60" t="s">
        <v>618</v>
      </c>
      <c r="AF89" s="54">
        <v>13.0</v>
      </c>
      <c r="AG89" s="39">
        <v>26.0</v>
      </c>
      <c r="AH89" s="35" t="s">
        <v>32</v>
      </c>
      <c r="AI89" s="36" t="s">
        <v>32</v>
      </c>
      <c r="AJ89" s="1"/>
      <c r="AP89" s="1"/>
      <c r="AQ89" s="60" t="s">
        <v>582</v>
      </c>
      <c r="AR89" s="54">
        <v>4.0</v>
      </c>
      <c r="AS89" s="39">
        <v>26.0</v>
      </c>
      <c r="AT89" s="35" t="s">
        <v>28</v>
      </c>
      <c r="AU89" s="36" t="s">
        <v>32</v>
      </c>
      <c r="AV89" s="1"/>
      <c r="AW89" s="36"/>
      <c r="AX89" s="36"/>
      <c r="AY89" s="36"/>
      <c r="AZ89" s="35"/>
      <c r="BA89" s="36"/>
      <c r="BB89" s="1"/>
      <c r="BF89" s="35"/>
      <c r="BG89" s="36"/>
      <c r="BH89" s="1"/>
      <c r="BL89" s="35"/>
      <c r="BN89" s="1"/>
      <c r="BP89" s="86"/>
      <c r="BQ89" s="70"/>
      <c r="BR89" s="35"/>
      <c r="BT89" s="1"/>
    </row>
    <row r="90">
      <c r="A90" s="82"/>
      <c r="B90" s="83"/>
      <c r="C90" s="39"/>
      <c r="D90" s="39"/>
      <c r="F90" s="1"/>
      <c r="G90" s="60" t="s">
        <v>607</v>
      </c>
      <c r="H90" s="54">
        <v>16.0</v>
      </c>
      <c r="I90" s="39">
        <v>25.0</v>
      </c>
      <c r="J90" s="35" t="s">
        <v>32</v>
      </c>
      <c r="K90" s="36" t="s">
        <v>32</v>
      </c>
      <c r="L90" s="1"/>
      <c r="M90" s="60" t="s">
        <v>618</v>
      </c>
      <c r="N90" s="54">
        <v>48.0</v>
      </c>
      <c r="O90" s="39">
        <v>24.0</v>
      </c>
      <c r="P90" s="35" t="s">
        <v>28</v>
      </c>
      <c r="Q90" s="36" t="s">
        <v>34</v>
      </c>
      <c r="R90" s="1"/>
      <c r="S90" s="60" t="s">
        <v>1375</v>
      </c>
      <c r="T90" s="54">
        <v>15.0</v>
      </c>
      <c r="U90" s="39">
        <v>20.0</v>
      </c>
      <c r="V90" s="35" t="s">
        <v>28</v>
      </c>
      <c r="W90" s="36" t="s">
        <v>34</v>
      </c>
      <c r="X90" s="1"/>
      <c r="Y90" s="60" t="s">
        <v>1376</v>
      </c>
      <c r="Z90" s="54">
        <v>60.0</v>
      </c>
      <c r="AA90" s="39">
        <v>31.0</v>
      </c>
      <c r="AB90" s="35" t="s">
        <v>28</v>
      </c>
      <c r="AC90" s="36" t="s">
        <v>32</v>
      </c>
      <c r="AD90" s="1"/>
      <c r="AE90" s="60" t="s">
        <v>339</v>
      </c>
      <c r="AF90" s="54">
        <v>286.0</v>
      </c>
      <c r="AG90" s="39">
        <v>26.0</v>
      </c>
      <c r="AH90" s="35" t="s">
        <v>28</v>
      </c>
      <c r="AI90" s="36" t="s">
        <v>34</v>
      </c>
      <c r="AJ90" s="1"/>
      <c r="AP90" s="1"/>
      <c r="AQ90" s="60" t="s">
        <v>1377</v>
      </c>
      <c r="AR90" s="54">
        <v>2.0</v>
      </c>
      <c r="AS90" s="39">
        <v>26.0</v>
      </c>
      <c r="AT90" s="35" t="s">
        <v>28</v>
      </c>
      <c r="AU90" s="36" t="s">
        <v>32</v>
      </c>
      <c r="AV90" s="1"/>
      <c r="AW90" s="36"/>
      <c r="AX90" s="36"/>
      <c r="AY90" s="36"/>
      <c r="AZ90" s="35"/>
      <c r="BA90" s="36"/>
      <c r="BB90" s="1"/>
      <c r="BF90" s="35"/>
      <c r="BG90" s="36"/>
      <c r="BH90" s="1"/>
      <c r="BL90" s="35"/>
      <c r="BN90" s="1"/>
      <c r="BP90" s="54"/>
      <c r="BQ90" s="70"/>
      <c r="BR90" s="35"/>
      <c r="BT90" s="1"/>
    </row>
    <row r="91">
      <c r="A91" s="82"/>
      <c r="B91" s="83"/>
      <c r="C91" s="39"/>
      <c r="D91" s="39"/>
      <c r="F91" s="1"/>
      <c r="G91" s="60" t="s">
        <v>1378</v>
      </c>
      <c r="H91" s="54">
        <v>8.0</v>
      </c>
      <c r="I91" s="39">
        <v>25.0</v>
      </c>
      <c r="J91" s="35" t="s">
        <v>32</v>
      </c>
      <c r="K91" s="36" t="s">
        <v>32</v>
      </c>
      <c r="L91" s="1"/>
      <c r="M91" s="60" t="s">
        <v>1213</v>
      </c>
      <c r="N91" s="54">
        <v>25.0</v>
      </c>
      <c r="O91" s="39">
        <v>24.0</v>
      </c>
      <c r="P91" s="35" t="s">
        <v>28</v>
      </c>
      <c r="Q91" s="36" t="s">
        <v>34</v>
      </c>
      <c r="R91" s="1"/>
      <c r="S91" s="60" t="s">
        <v>1379</v>
      </c>
      <c r="T91" s="54">
        <v>90.0</v>
      </c>
      <c r="U91" s="39">
        <v>20.0</v>
      </c>
      <c r="V91" s="35" t="s">
        <v>28</v>
      </c>
      <c r="W91" s="36" t="s">
        <v>34</v>
      </c>
      <c r="X91" s="1"/>
      <c r="Y91" s="60" t="s">
        <v>310</v>
      </c>
      <c r="Z91" s="54">
        <v>16.0</v>
      </c>
      <c r="AA91" s="39">
        <v>31.0</v>
      </c>
      <c r="AB91" s="35" t="s">
        <v>28</v>
      </c>
      <c r="AC91" s="36" t="s">
        <v>32</v>
      </c>
      <c r="AD91" s="1"/>
      <c r="AE91" s="60" t="s">
        <v>1380</v>
      </c>
      <c r="AF91" s="54">
        <v>130.0</v>
      </c>
      <c r="AG91" s="39">
        <v>26.0</v>
      </c>
      <c r="AH91" s="35" t="s">
        <v>28</v>
      </c>
      <c r="AI91" s="36" t="s">
        <v>34</v>
      </c>
      <c r="AJ91" s="1"/>
      <c r="AP91" s="1"/>
      <c r="AQ91" s="60" t="s">
        <v>124</v>
      </c>
      <c r="AR91" s="54">
        <v>1.25</v>
      </c>
      <c r="AS91" s="39">
        <v>26.0</v>
      </c>
      <c r="AT91" s="35" t="s">
        <v>32</v>
      </c>
      <c r="AU91" s="36" t="s">
        <v>32</v>
      </c>
      <c r="AV91" s="1"/>
      <c r="AW91" s="36"/>
      <c r="AX91" s="36"/>
      <c r="AY91" s="36"/>
      <c r="AZ91" s="35"/>
      <c r="BA91" s="36"/>
      <c r="BB91" s="1"/>
      <c r="BF91" s="35"/>
      <c r="BG91" s="36"/>
      <c r="BH91" s="1"/>
      <c r="BL91" s="35"/>
      <c r="BN91" s="1"/>
      <c r="BP91" s="54"/>
      <c r="BQ91" s="70"/>
      <c r="BR91" s="35"/>
      <c r="BT91" s="1"/>
    </row>
    <row r="92">
      <c r="A92" s="82"/>
      <c r="B92" s="83"/>
      <c r="C92" s="39"/>
      <c r="D92" s="39"/>
      <c r="F92" s="1"/>
      <c r="G92" s="60" t="s">
        <v>1381</v>
      </c>
      <c r="H92" s="54">
        <v>30.4</v>
      </c>
      <c r="I92" s="39">
        <v>25.0</v>
      </c>
      <c r="J92" s="35" t="s">
        <v>32</v>
      </c>
      <c r="K92" s="36" t="s">
        <v>32</v>
      </c>
      <c r="L92" s="1"/>
      <c r="M92" s="60" t="s">
        <v>618</v>
      </c>
      <c r="N92" s="54">
        <v>72.0</v>
      </c>
      <c r="O92" s="39">
        <v>25.0</v>
      </c>
      <c r="P92" s="35" t="s">
        <v>28</v>
      </c>
      <c r="Q92" s="36" t="s">
        <v>34</v>
      </c>
      <c r="R92" s="1"/>
      <c r="S92" s="60" t="s">
        <v>1382</v>
      </c>
      <c r="T92" s="54">
        <v>75.0</v>
      </c>
      <c r="U92" s="39">
        <v>23.0</v>
      </c>
      <c r="V92" s="35" t="s">
        <v>28</v>
      </c>
      <c r="W92" s="36" t="s">
        <v>34</v>
      </c>
      <c r="X92" s="1"/>
      <c r="Y92" s="60" t="s">
        <v>109</v>
      </c>
      <c r="Z92" s="54">
        <v>160.0</v>
      </c>
      <c r="AA92" s="39">
        <v>31.0</v>
      </c>
      <c r="AB92" s="35" t="s">
        <v>28</v>
      </c>
      <c r="AC92" s="36" t="s">
        <v>32</v>
      </c>
      <c r="AD92" s="1"/>
      <c r="AE92" s="60" t="s">
        <v>92</v>
      </c>
      <c r="AF92" s="54">
        <v>50.0</v>
      </c>
      <c r="AG92" s="39">
        <v>30.0</v>
      </c>
      <c r="AH92" s="35" t="s">
        <v>28</v>
      </c>
      <c r="AI92" s="36" t="s">
        <v>32</v>
      </c>
      <c r="AJ92" s="1"/>
      <c r="AP92" s="1"/>
      <c r="AQ92" s="60" t="s">
        <v>100</v>
      </c>
      <c r="AR92" s="54">
        <v>100.0</v>
      </c>
      <c r="AS92" s="39">
        <v>30.0</v>
      </c>
      <c r="AT92" s="35" t="s">
        <v>32</v>
      </c>
      <c r="AU92" s="36" t="s">
        <v>32</v>
      </c>
      <c r="AV92" s="1"/>
      <c r="AW92" s="36"/>
      <c r="AX92" s="36"/>
      <c r="AY92" s="36"/>
      <c r="AZ92" s="35"/>
      <c r="BA92" s="36"/>
      <c r="BB92" s="1"/>
      <c r="BF92" s="35"/>
      <c r="BG92" s="36"/>
      <c r="BH92" s="1"/>
      <c r="BL92" s="35"/>
      <c r="BN92" s="1"/>
      <c r="BP92" s="54"/>
      <c r="BQ92" s="70"/>
      <c r="BR92" s="35"/>
      <c r="BT92" s="1"/>
    </row>
    <row r="93">
      <c r="A93" s="82"/>
      <c r="B93" s="83"/>
      <c r="C93" s="39"/>
      <c r="D93" s="39"/>
      <c r="F93" s="1"/>
      <c r="G93" s="60" t="s">
        <v>1366</v>
      </c>
      <c r="H93" s="54">
        <v>112.03</v>
      </c>
      <c r="I93" s="39">
        <v>25.0</v>
      </c>
      <c r="J93" s="35" t="s">
        <v>32</v>
      </c>
      <c r="K93" s="36" t="s">
        <v>32</v>
      </c>
      <c r="L93" s="1"/>
      <c r="M93" s="60" t="s">
        <v>299</v>
      </c>
      <c r="N93" s="54">
        <v>30.0</v>
      </c>
      <c r="O93" s="39">
        <v>26.0</v>
      </c>
      <c r="P93" s="35" t="s">
        <v>28</v>
      </c>
      <c r="Q93" s="36" t="s">
        <v>34</v>
      </c>
      <c r="R93" s="1"/>
      <c r="S93" s="60" t="s">
        <v>299</v>
      </c>
      <c r="T93" s="54">
        <v>43.0</v>
      </c>
      <c r="U93" s="39">
        <v>27.0</v>
      </c>
      <c r="V93" s="35" t="s">
        <v>28</v>
      </c>
      <c r="W93" s="36" t="s">
        <v>34</v>
      </c>
      <c r="X93" s="1"/>
      <c r="Y93" s="60" t="s">
        <v>1383</v>
      </c>
      <c r="Z93" s="54">
        <v>72.8</v>
      </c>
      <c r="AA93" s="39">
        <v>31.0</v>
      </c>
      <c r="AB93" s="35" t="s">
        <v>32</v>
      </c>
      <c r="AC93" s="36" t="s">
        <v>32</v>
      </c>
      <c r="AD93" s="1"/>
      <c r="AE93" s="60"/>
      <c r="AF93" s="54"/>
      <c r="AG93" s="39"/>
      <c r="AH93" s="35"/>
      <c r="AJ93" s="1"/>
      <c r="AP93" s="1"/>
      <c r="AQ93" s="60" t="s">
        <v>1384</v>
      </c>
      <c r="AR93" s="54">
        <v>258.0</v>
      </c>
      <c r="AS93" s="39">
        <v>31.0</v>
      </c>
      <c r="AT93" s="35" t="s">
        <v>28</v>
      </c>
      <c r="AU93" s="36" t="s">
        <v>32</v>
      </c>
      <c r="AV93" s="1"/>
      <c r="AZ93" s="35"/>
      <c r="BA93" s="36"/>
      <c r="BB93" s="1"/>
      <c r="BF93" s="35"/>
      <c r="BG93" s="36"/>
      <c r="BH93" s="1"/>
      <c r="BL93" s="35"/>
      <c r="BN93" s="1"/>
      <c r="BP93" s="54"/>
      <c r="BQ93" s="70"/>
      <c r="BR93" s="35"/>
      <c r="BT93" s="1"/>
    </row>
    <row r="94">
      <c r="A94" s="82"/>
      <c r="B94" s="83"/>
      <c r="C94" s="39"/>
      <c r="D94" s="39"/>
      <c r="F94" s="1"/>
      <c r="G94" s="60" t="s">
        <v>1157</v>
      </c>
      <c r="H94" s="54">
        <v>30.0</v>
      </c>
      <c r="I94" s="39">
        <v>28.0</v>
      </c>
      <c r="J94" s="35" t="s">
        <v>32</v>
      </c>
      <c r="K94" s="36" t="s">
        <v>32</v>
      </c>
      <c r="L94" s="1"/>
      <c r="M94" s="60" t="s">
        <v>214</v>
      </c>
      <c r="N94" s="54">
        <v>48.0</v>
      </c>
      <c r="O94" s="39">
        <v>30.0</v>
      </c>
      <c r="P94" s="35" t="s">
        <v>28</v>
      </c>
      <c r="Q94" s="36" t="s">
        <v>34</v>
      </c>
      <c r="R94" s="1"/>
      <c r="S94" s="60" t="s">
        <v>368</v>
      </c>
      <c r="T94" s="54">
        <v>29.8</v>
      </c>
      <c r="U94" s="39">
        <v>29.0</v>
      </c>
      <c r="V94" s="35" t="s">
        <v>28</v>
      </c>
      <c r="W94" s="36" t="s">
        <v>34</v>
      </c>
      <c r="X94" s="1"/>
      <c r="Y94" s="60" t="s">
        <v>124</v>
      </c>
      <c r="Z94" s="54">
        <v>5.0</v>
      </c>
      <c r="AA94" s="39">
        <v>31.0</v>
      </c>
      <c r="AB94" s="35" t="s">
        <v>32</v>
      </c>
      <c r="AC94" s="36" t="s">
        <v>32</v>
      </c>
      <c r="AD94" s="1"/>
      <c r="AE94" s="60"/>
      <c r="AF94" s="54"/>
      <c r="AG94" s="39"/>
      <c r="AH94" s="35"/>
      <c r="AJ94" s="1"/>
      <c r="AP94" s="1"/>
      <c r="AQ94" s="60" t="s">
        <v>1058</v>
      </c>
      <c r="AR94" s="54">
        <v>217.0</v>
      </c>
      <c r="AS94" s="39">
        <v>31.0</v>
      </c>
      <c r="AT94" s="35" t="s">
        <v>28</v>
      </c>
      <c r="AU94" s="36" t="s">
        <v>32</v>
      </c>
      <c r="AV94" s="1"/>
      <c r="AZ94" s="35"/>
      <c r="BA94" s="36"/>
      <c r="BB94" s="1"/>
      <c r="BF94" s="35"/>
      <c r="BG94" s="36"/>
      <c r="BH94" s="1"/>
      <c r="BL94" s="35"/>
      <c r="BN94" s="1"/>
      <c r="BP94" s="54"/>
      <c r="BQ94" s="70"/>
      <c r="BR94" s="35"/>
      <c r="BT94" s="1"/>
    </row>
    <row r="95">
      <c r="A95" s="82"/>
      <c r="B95" s="83"/>
      <c r="C95" s="39"/>
      <c r="D95" s="39"/>
      <c r="F95" s="1"/>
      <c r="G95" s="60" t="s">
        <v>100</v>
      </c>
      <c r="H95" s="54">
        <v>100.0</v>
      </c>
      <c r="I95" s="39">
        <v>28.0</v>
      </c>
      <c r="J95" s="35" t="s">
        <v>32</v>
      </c>
      <c r="K95" s="36" t="s">
        <v>32</v>
      </c>
      <c r="L95" s="1"/>
      <c r="M95" s="60" t="s">
        <v>533</v>
      </c>
      <c r="N95" s="54">
        <v>65.0</v>
      </c>
      <c r="O95" s="39">
        <v>30.0</v>
      </c>
      <c r="P95" s="35" t="s">
        <v>28</v>
      </c>
      <c r="Q95" s="36" t="s">
        <v>34</v>
      </c>
      <c r="R95" s="1"/>
      <c r="S95" s="60"/>
      <c r="T95" s="54"/>
      <c r="U95" s="39"/>
      <c r="V95" s="35"/>
      <c r="X95" s="1"/>
      <c r="Y95" s="60" t="s">
        <v>1385</v>
      </c>
      <c r="Z95" s="54">
        <v>133.0</v>
      </c>
      <c r="AA95" s="39">
        <v>31.0</v>
      </c>
      <c r="AB95" s="35" t="s">
        <v>28</v>
      </c>
      <c r="AC95" s="36" t="s">
        <v>34</v>
      </c>
      <c r="AD95" s="1"/>
      <c r="AE95" s="60"/>
      <c r="AF95" s="54"/>
      <c r="AG95" s="39"/>
      <c r="AH95" s="35"/>
      <c r="AJ95" s="1"/>
      <c r="AP95" s="1"/>
      <c r="AQ95" s="60" t="s">
        <v>1386</v>
      </c>
      <c r="AR95" s="54">
        <v>91.35</v>
      </c>
      <c r="AS95" s="39">
        <v>31.0</v>
      </c>
      <c r="AT95" s="35" t="s">
        <v>28</v>
      </c>
      <c r="AU95" s="36" t="s">
        <v>32</v>
      </c>
      <c r="AV95" s="1"/>
      <c r="AZ95" s="35"/>
      <c r="BA95" s="36"/>
      <c r="BB95" s="1"/>
      <c r="BF95" s="35"/>
      <c r="BG95" s="36"/>
      <c r="BH95" s="1"/>
      <c r="BL95" s="35"/>
      <c r="BN95" s="1"/>
      <c r="BP95" s="54"/>
      <c r="BQ95" s="70"/>
      <c r="BR95" s="35"/>
      <c r="BT95" s="1"/>
    </row>
    <row r="96">
      <c r="A96" s="82"/>
      <c r="B96" s="83"/>
      <c r="C96" s="39"/>
      <c r="D96" s="39"/>
      <c r="F96" s="1"/>
      <c r="G96" s="60" t="s">
        <v>124</v>
      </c>
      <c r="H96" s="54">
        <v>150.0</v>
      </c>
      <c r="I96" s="39">
        <v>28.0</v>
      </c>
      <c r="J96" s="35" t="s">
        <v>32</v>
      </c>
      <c r="K96" s="36" t="s">
        <v>32</v>
      </c>
      <c r="L96" s="1"/>
      <c r="M96" s="60" t="s">
        <v>951</v>
      </c>
      <c r="N96" s="54">
        <v>26.0</v>
      </c>
      <c r="O96" s="39">
        <v>30.0</v>
      </c>
      <c r="P96" s="35" t="s">
        <v>28</v>
      </c>
      <c r="Q96" s="36" t="s">
        <v>34</v>
      </c>
      <c r="R96" s="1"/>
      <c r="S96" s="60"/>
      <c r="T96" s="54"/>
      <c r="U96" s="39"/>
      <c r="V96" s="35"/>
      <c r="X96" s="1"/>
      <c r="Y96" s="60"/>
      <c r="Z96" s="54"/>
      <c r="AA96" s="39"/>
      <c r="AB96" s="35"/>
      <c r="AD96" s="1"/>
      <c r="AE96" s="60"/>
      <c r="AF96" s="54"/>
      <c r="AG96" s="39"/>
      <c r="AH96" s="35"/>
      <c r="AJ96" s="1"/>
      <c r="AP96" s="1"/>
      <c r="AQ96" s="60"/>
      <c r="AR96" s="54"/>
      <c r="AS96" s="39"/>
      <c r="AT96" s="35"/>
      <c r="AV96" s="1"/>
      <c r="AZ96" s="35"/>
      <c r="BA96" s="36"/>
      <c r="BB96" s="1"/>
      <c r="BF96" s="35"/>
      <c r="BH96" s="1"/>
      <c r="BL96" s="35"/>
      <c r="BN96" s="1"/>
      <c r="BP96" s="54"/>
      <c r="BQ96" s="70"/>
      <c r="BR96" s="35"/>
      <c r="BT96" s="1"/>
    </row>
    <row r="97">
      <c r="A97" s="82"/>
      <c r="B97" s="83"/>
      <c r="C97" s="39"/>
      <c r="D97" s="39"/>
      <c r="F97" s="1"/>
      <c r="G97" s="39" t="s">
        <v>299</v>
      </c>
      <c r="H97" s="83">
        <v>50.0</v>
      </c>
      <c r="I97" s="39">
        <v>19.0</v>
      </c>
      <c r="J97" s="35" t="s">
        <v>28</v>
      </c>
      <c r="K97" s="36" t="s">
        <v>34</v>
      </c>
      <c r="L97" s="1"/>
      <c r="M97" s="60" t="s">
        <v>618</v>
      </c>
      <c r="N97" s="54">
        <v>48.0</v>
      </c>
      <c r="O97" s="39">
        <v>30.0</v>
      </c>
      <c r="P97" s="35" t="s">
        <v>28</v>
      </c>
      <c r="Q97" s="36" t="s">
        <v>34</v>
      </c>
      <c r="R97" s="1"/>
      <c r="S97" s="39"/>
      <c r="T97" s="83"/>
      <c r="U97" s="39"/>
      <c r="V97" s="35"/>
      <c r="X97" s="1"/>
      <c r="Y97" s="60"/>
      <c r="Z97" s="54"/>
      <c r="AA97" s="39"/>
      <c r="AB97" s="35"/>
      <c r="AD97" s="1"/>
      <c r="AE97" s="39"/>
      <c r="AF97" s="83"/>
      <c r="AG97" s="39"/>
      <c r="AH97" s="35"/>
      <c r="AJ97" s="1"/>
      <c r="AP97" s="1"/>
      <c r="AQ97" s="60"/>
      <c r="AR97" s="54"/>
      <c r="AS97" s="39"/>
      <c r="AT97" s="35"/>
      <c r="AV97" s="1"/>
      <c r="AZ97" s="35"/>
      <c r="BA97" s="36"/>
      <c r="BB97" s="1"/>
      <c r="BF97" s="35"/>
      <c r="BH97" s="1"/>
      <c r="BL97" s="35"/>
      <c r="BN97" s="1"/>
      <c r="BP97" s="54"/>
      <c r="BQ97" s="70"/>
      <c r="BR97" s="35"/>
      <c r="BT97" s="1"/>
    </row>
    <row r="98">
      <c r="A98" s="82"/>
      <c r="B98" s="83"/>
      <c r="C98" s="39"/>
      <c r="D98" s="39"/>
      <c r="F98" s="1"/>
      <c r="G98" s="39" t="s">
        <v>533</v>
      </c>
      <c r="H98" s="83">
        <v>135.53</v>
      </c>
      <c r="I98" s="39">
        <v>19.0</v>
      </c>
      <c r="J98" s="35" t="s">
        <v>28</v>
      </c>
      <c r="K98" s="36" t="s">
        <v>34</v>
      </c>
      <c r="L98" s="1"/>
      <c r="M98" s="87"/>
      <c r="N98" s="54"/>
      <c r="O98" s="70"/>
      <c r="P98" s="35"/>
      <c r="Q98" s="36"/>
      <c r="R98" s="1"/>
      <c r="S98" s="39"/>
      <c r="T98" s="83"/>
      <c r="U98" s="39"/>
      <c r="V98" s="35"/>
      <c r="X98" s="1"/>
      <c r="AD98" s="1"/>
      <c r="AE98" s="39"/>
      <c r="AF98" s="83"/>
      <c r="AG98" s="39"/>
      <c r="AH98" s="35"/>
      <c r="AJ98" s="1"/>
      <c r="AP98" s="1"/>
      <c r="AQ98" s="60"/>
      <c r="AR98" s="54"/>
      <c r="AS98" s="39"/>
      <c r="AT98" s="35"/>
      <c r="AV98" s="1"/>
      <c r="AZ98" s="35"/>
      <c r="BA98" s="36"/>
      <c r="BB98" s="1"/>
      <c r="BH98" s="1"/>
      <c r="BL98" s="35"/>
      <c r="BN98" s="1"/>
      <c r="BP98" s="54"/>
      <c r="BQ98" s="70"/>
      <c r="BR98" s="35"/>
      <c r="BT98" s="1"/>
    </row>
    <row r="99">
      <c r="A99" s="82"/>
      <c r="B99" s="83"/>
      <c r="C99" s="39"/>
      <c r="D99" s="39"/>
      <c r="F99" s="1"/>
      <c r="G99" s="39" t="s">
        <v>582</v>
      </c>
      <c r="H99" s="83">
        <v>2.0</v>
      </c>
      <c r="I99" s="39">
        <v>19.0</v>
      </c>
      <c r="J99" s="35" t="s">
        <v>28</v>
      </c>
      <c r="K99" s="36" t="s">
        <v>34</v>
      </c>
      <c r="L99" s="1"/>
      <c r="M99" s="87"/>
      <c r="N99" s="54"/>
      <c r="O99" s="70"/>
      <c r="P99" s="35"/>
      <c r="Q99" s="36"/>
      <c r="R99" s="1"/>
      <c r="S99" s="39"/>
      <c r="T99" s="83"/>
      <c r="U99" s="39"/>
      <c r="V99" s="35"/>
      <c r="X99" s="1"/>
      <c r="AD99" s="1"/>
      <c r="AE99" s="39"/>
      <c r="AF99" s="83"/>
      <c r="AG99" s="39"/>
      <c r="AH99" s="35"/>
      <c r="AJ99" s="1"/>
      <c r="AP99" s="1"/>
      <c r="AQ99" s="60"/>
      <c r="AR99" s="54"/>
      <c r="AS99" s="39"/>
      <c r="AT99" s="35"/>
      <c r="AV99" s="1"/>
      <c r="AZ99" s="35"/>
      <c r="BA99" s="36"/>
      <c r="BB99" s="1"/>
      <c r="BH99" s="1"/>
      <c r="BL99" s="35"/>
      <c r="BN99" s="1"/>
      <c r="BP99" s="54"/>
      <c r="BQ99" s="70"/>
      <c r="BR99" s="35"/>
      <c r="BT99" s="1"/>
    </row>
    <row r="100">
      <c r="A100" s="82"/>
      <c r="B100" s="83"/>
      <c r="C100" s="39"/>
      <c r="D100" s="39"/>
      <c r="F100" s="1"/>
      <c r="G100" s="39" t="s">
        <v>788</v>
      </c>
      <c r="H100" s="83">
        <v>10.0</v>
      </c>
      <c r="I100" s="39">
        <v>19.0</v>
      </c>
      <c r="J100" s="35" t="s">
        <v>28</v>
      </c>
      <c r="K100" s="36" t="s">
        <v>34</v>
      </c>
      <c r="L100" s="1"/>
      <c r="M100" s="87"/>
      <c r="N100" s="54"/>
      <c r="O100" s="70"/>
      <c r="P100" s="35"/>
      <c r="Q100" s="36"/>
      <c r="R100" s="1"/>
      <c r="S100" s="39"/>
      <c r="T100" s="83"/>
      <c r="U100" s="39"/>
      <c r="V100" s="35"/>
      <c r="X100" s="1"/>
      <c r="AD100" s="1"/>
      <c r="AE100" s="39"/>
      <c r="AF100" s="83"/>
      <c r="AG100" s="39"/>
      <c r="AH100" s="35"/>
      <c r="AJ100" s="1"/>
      <c r="AP100" s="1"/>
      <c r="AQ100" s="60"/>
      <c r="AR100" s="54"/>
      <c r="AS100" s="39"/>
      <c r="AT100" s="35"/>
      <c r="AV100" s="1"/>
      <c r="AZ100" s="35"/>
      <c r="BA100" s="36"/>
      <c r="BB100" s="1"/>
      <c r="BH100" s="1"/>
      <c r="BL100" s="35"/>
      <c r="BN100" s="1"/>
      <c r="BP100" s="54"/>
      <c r="BQ100" s="70"/>
      <c r="BR100" s="35"/>
      <c r="BT100" s="1"/>
    </row>
    <row r="101">
      <c r="A101" s="82"/>
      <c r="B101" s="83"/>
      <c r="C101" s="39"/>
      <c r="D101" s="39"/>
      <c r="F101" s="1"/>
      <c r="G101" s="39" t="s">
        <v>295</v>
      </c>
      <c r="H101" s="83">
        <v>37.6</v>
      </c>
      <c r="I101" s="39">
        <v>26.0</v>
      </c>
      <c r="J101" s="35" t="s">
        <v>28</v>
      </c>
      <c r="K101" s="36" t="s">
        <v>34</v>
      </c>
      <c r="L101" s="1"/>
      <c r="M101" s="87"/>
      <c r="N101" s="54"/>
      <c r="O101" s="70"/>
      <c r="P101" s="35"/>
      <c r="Q101" s="36"/>
      <c r="R101" s="1"/>
      <c r="S101" s="39"/>
      <c r="T101" s="83"/>
      <c r="U101" s="39"/>
      <c r="V101" s="35"/>
      <c r="X101" s="1"/>
      <c r="AD101" s="1"/>
      <c r="AE101" s="39"/>
      <c r="AF101" s="83"/>
      <c r="AG101" s="39"/>
      <c r="AH101" s="35"/>
      <c r="AJ101" s="1"/>
      <c r="AP101" s="1"/>
      <c r="AQ101" s="60"/>
      <c r="AR101" s="54"/>
      <c r="AS101" s="39"/>
      <c r="AT101" s="35"/>
      <c r="AV101" s="1"/>
      <c r="AZ101" s="35"/>
      <c r="BA101" s="36"/>
      <c r="BB101" s="1"/>
      <c r="BH101" s="1"/>
      <c r="BL101" s="35"/>
      <c r="BN101" s="1"/>
      <c r="BP101" s="54"/>
      <c r="BQ101" s="70"/>
      <c r="BR101" s="35"/>
      <c r="BT101" s="1"/>
    </row>
    <row r="102">
      <c r="A102" s="82"/>
      <c r="B102" s="83"/>
      <c r="C102" s="39"/>
      <c r="D102" s="39"/>
      <c r="F102" s="1"/>
      <c r="G102" s="39" t="s">
        <v>582</v>
      </c>
      <c r="H102" s="83">
        <v>4.0</v>
      </c>
      <c r="I102" s="39">
        <v>26.0</v>
      </c>
      <c r="J102" s="35" t="s">
        <v>28</v>
      </c>
      <c r="K102" s="36" t="s">
        <v>34</v>
      </c>
      <c r="L102" s="1"/>
      <c r="M102" s="87"/>
      <c r="N102" s="54"/>
      <c r="O102" s="70"/>
      <c r="P102" s="35"/>
      <c r="Q102" s="36"/>
      <c r="R102" s="1"/>
      <c r="S102" s="39"/>
      <c r="T102" s="83"/>
      <c r="U102" s="39"/>
      <c r="V102" s="35"/>
      <c r="X102" s="1"/>
      <c r="AD102" s="1"/>
      <c r="AE102" s="39"/>
      <c r="AF102" s="83"/>
      <c r="AG102" s="39"/>
      <c r="AH102" s="35"/>
      <c r="AJ102" s="1"/>
      <c r="AP102" s="1"/>
      <c r="AQ102" s="60"/>
      <c r="AR102" s="54"/>
      <c r="AS102" s="39"/>
      <c r="AT102" s="35"/>
      <c r="AV102" s="1"/>
      <c r="BA102" s="36"/>
      <c r="BB102" s="1"/>
      <c r="BH102" s="1"/>
      <c r="BL102" s="35"/>
      <c r="BM102" s="36"/>
      <c r="BN102" s="1"/>
      <c r="BP102" s="54"/>
      <c r="BQ102" s="70"/>
      <c r="BR102" s="35"/>
      <c r="BT102" s="1"/>
    </row>
    <row r="103">
      <c r="A103" s="82"/>
      <c r="B103" s="83"/>
      <c r="C103" s="39"/>
      <c r="D103" s="39"/>
      <c r="F103" s="1"/>
      <c r="G103" s="39" t="s">
        <v>214</v>
      </c>
      <c r="H103" s="83">
        <v>67.0</v>
      </c>
      <c r="I103" s="39">
        <v>26.0</v>
      </c>
      <c r="J103" s="35" t="s">
        <v>28</v>
      </c>
      <c r="K103" s="36" t="s">
        <v>34</v>
      </c>
      <c r="L103" s="1"/>
      <c r="M103" s="87"/>
      <c r="N103" s="54"/>
      <c r="O103" s="70"/>
      <c r="P103" s="35"/>
      <c r="Q103" s="36"/>
      <c r="R103" s="1"/>
      <c r="S103" s="39"/>
      <c r="T103" s="83"/>
      <c r="U103" s="39"/>
      <c r="V103" s="35"/>
      <c r="X103" s="1"/>
      <c r="AD103" s="1"/>
      <c r="AE103" s="39"/>
      <c r="AF103" s="83"/>
      <c r="AG103" s="39"/>
      <c r="AH103" s="35"/>
      <c r="AJ103" s="1"/>
      <c r="AP103" s="1"/>
      <c r="AQ103" s="60"/>
      <c r="AR103" s="54"/>
      <c r="AS103" s="39"/>
      <c r="AT103" s="35"/>
      <c r="AV103" s="1"/>
      <c r="BA103" s="36"/>
      <c r="BB103" s="1"/>
      <c r="BH103" s="1"/>
      <c r="BM103" s="36"/>
      <c r="BN103" s="1"/>
      <c r="BP103" s="54"/>
      <c r="BQ103" s="70"/>
      <c r="BR103" s="35"/>
      <c r="BT103" s="1"/>
    </row>
    <row r="104">
      <c r="A104" s="82"/>
      <c r="B104" s="83"/>
      <c r="C104" s="39"/>
      <c r="D104" s="39"/>
      <c r="F104" s="1"/>
      <c r="G104" s="39"/>
      <c r="H104" s="83"/>
      <c r="I104" s="39"/>
      <c r="J104" s="35"/>
      <c r="L104" s="1"/>
      <c r="M104" s="87"/>
      <c r="N104" s="54"/>
      <c r="O104" s="70"/>
      <c r="P104" s="35"/>
      <c r="Q104" s="36"/>
      <c r="R104" s="1"/>
      <c r="S104" s="39"/>
      <c r="T104" s="83"/>
      <c r="U104" s="39"/>
      <c r="V104" s="35"/>
      <c r="X104" s="1"/>
      <c r="AD104" s="1"/>
      <c r="AE104" s="39"/>
      <c r="AF104" s="83"/>
      <c r="AG104" s="39"/>
      <c r="AH104" s="35"/>
      <c r="AJ104" s="1"/>
      <c r="AP104" s="1"/>
      <c r="AQ104" s="60"/>
      <c r="AR104" s="54"/>
      <c r="AS104" s="39"/>
      <c r="AT104" s="35"/>
      <c r="AV104" s="1"/>
      <c r="BA104" s="36"/>
      <c r="BB104" s="1"/>
      <c r="BH104" s="1"/>
      <c r="BM104" s="36"/>
      <c r="BN104" s="1"/>
      <c r="BP104" s="54"/>
      <c r="BQ104" s="70"/>
      <c r="BR104" s="35"/>
      <c r="BT104" s="1"/>
    </row>
    <row r="105">
      <c r="A105" s="82"/>
      <c r="B105" s="83"/>
      <c r="C105" s="88"/>
      <c r="D105" s="39"/>
      <c r="F105" s="1"/>
      <c r="G105" s="39"/>
      <c r="H105" s="83"/>
      <c r="I105" s="39"/>
      <c r="J105" s="35"/>
      <c r="L105" s="1"/>
      <c r="M105" s="87"/>
      <c r="N105" s="54"/>
      <c r="O105" s="70"/>
      <c r="P105" s="35"/>
      <c r="Q105" s="36"/>
      <c r="R105" s="1"/>
      <c r="X105" s="1"/>
      <c r="AD105" s="1"/>
      <c r="AH105" s="35"/>
      <c r="AJ105" s="1"/>
      <c r="AP105" s="1"/>
      <c r="AQ105" s="60"/>
      <c r="AR105" s="54"/>
      <c r="AS105" s="39"/>
      <c r="AT105" s="35"/>
      <c r="AV105" s="1"/>
      <c r="BA105" s="36"/>
      <c r="BB105" s="1"/>
      <c r="BH105" s="1"/>
      <c r="BM105" s="36"/>
      <c r="BN105" s="1"/>
      <c r="BP105" s="54"/>
      <c r="BQ105" s="70"/>
      <c r="BR105" s="35"/>
      <c r="BT105" s="1"/>
    </row>
    <row r="106">
      <c r="A106" s="82"/>
      <c r="B106" s="83"/>
      <c r="C106" s="88"/>
      <c r="D106" s="39"/>
      <c r="F106" s="1"/>
      <c r="G106" s="39"/>
      <c r="H106" s="83"/>
      <c r="I106" s="39"/>
      <c r="J106" s="35"/>
      <c r="L106" s="1"/>
      <c r="M106" s="87"/>
      <c r="N106" s="54"/>
      <c r="O106" s="70"/>
      <c r="P106" s="35"/>
      <c r="Q106" s="36"/>
      <c r="R106" s="1"/>
      <c r="X106" s="1"/>
      <c r="AD106" s="1"/>
      <c r="AH106" s="35"/>
      <c r="AJ106" s="1"/>
      <c r="AP106" s="1"/>
      <c r="AQ106" s="60"/>
      <c r="AR106" s="54"/>
      <c r="AS106" s="39"/>
      <c r="AT106" s="35"/>
      <c r="AV106" s="1"/>
      <c r="BA106" s="36"/>
      <c r="BB106" s="1"/>
      <c r="BH106" s="1"/>
      <c r="BM106" s="36"/>
      <c r="BN106" s="1"/>
      <c r="BP106" s="54"/>
      <c r="BQ106" s="70"/>
      <c r="BR106" s="35"/>
      <c r="BT106" s="1"/>
    </row>
    <row r="107">
      <c r="A107" s="82"/>
      <c r="B107" s="83"/>
      <c r="C107" s="88"/>
      <c r="D107" s="39"/>
      <c r="F107" s="1"/>
      <c r="G107" s="39"/>
      <c r="H107" s="83"/>
      <c r="I107" s="39"/>
      <c r="J107" s="35"/>
      <c r="L107" s="1"/>
      <c r="M107" s="87"/>
      <c r="N107" s="54"/>
      <c r="O107" s="70"/>
      <c r="P107" s="35"/>
      <c r="Q107" s="36"/>
      <c r="R107" s="1"/>
      <c r="X107" s="1"/>
      <c r="AD107" s="1"/>
      <c r="AH107" s="35"/>
      <c r="AJ107" s="1"/>
      <c r="AP107" s="1"/>
      <c r="AQ107" s="60"/>
      <c r="AR107" s="54"/>
      <c r="AS107" s="39"/>
      <c r="AT107" s="35"/>
      <c r="AV107" s="1"/>
      <c r="BA107" s="36"/>
      <c r="BB107" s="1"/>
      <c r="BH107" s="1"/>
      <c r="BM107" s="36"/>
      <c r="BN107" s="1"/>
      <c r="BP107" s="54"/>
      <c r="BQ107" s="70"/>
      <c r="BR107" s="35"/>
      <c r="BT107" s="1"/>
    </row>
    <row r="108">
      <c r="A108" s="89"/>
      <c r="B108" s="83"/>
      <c r="C108" s="90"/>
      <c r="D108" s="70"/>
      <c r="F108" s="1"/>
      <c r="G108" s="39"/>
      <c r="H108" s="83"/>
      <c r="I108" s="39"/>
      <c r="J108" s="35"/>
      <c r="L108" s="1"/>
      <c r="M108" s="87"/>
      <c r="N108" s="54"/>
      <c r="O108" s="70"/>
      <c r="P108" s="35"/>
      <c r="Q108" s="36"/>
      <c r="R108" s="1"/>
      <c r="X108" s="1"/>
      <c r="AD108" s="1"/>
      <c r="AH108" s="35"/>
      <c r="AJ108" s="1"/>
      <c r="AP108" s="1"/>
      <c r="AQ108" s="60"/>
      <c r="AR108" s="54"/>
      <c r="AS108" s="39"/>
      <c r="AT108" s="35"/>
      <c r="AV108" s="1"/>
      <c r="BA108" s="36"/>
      <c r="BB108" s="1"/>
      <c r="BH108" s="1"/>
      <c r="BM108" s="36"/>
      <c r="BN108" s="1"/>
      <c r="BP108" s="54"/>
      <c r="BQ108" s="70"/>
      <c r="BR108" s="35"/>
      <c r="BT108" s="1"/>
    </row>
    <row r="109">
      <c r="A109" s="89"/>
      <c r="B109" s="83"/>
      <c r="C109" s="70"/>
      <c r="D109" s="70"/>
      <c r="F109" s="1"/>
      <c r="G109" s="39"/>
      <c r="H109" s="83"/>
      <c r="I109" s="39"/>
      <c r="J109" s="35"/>
      <c r="L109" s="1"/>
      <c r="M109" s="87"/>
      <c r="N109" s="54"/>
      <c r="O109" s="70"/>
      <c r="P109" s="35"/>
      <c r="Q109" s="36"/>
      <c r="R109" s="1"/>
      <c r="X109" s="1"/>
      <c r="AD109" s="1"/>
      <c r="AH109" s="35"/>
      <c r="AJ109" s="1"/>
      <c r="AP109" s="1"/>
      <c r="AQ109" s="60"/>
      <c r="AR109" s="54"/>
      <c r="AS109" s="39"/>
      <c r="AT109" s="35"/>
      <c r="AV109" s="1"/>
      <c r="BA109" s="36"/>
      <c r="BB109" s="1"/>
      <c r="BH109" s="1"/>
      <c r="BM109" s="36"/>
      <c r="BN109" s="1"/>
      <c r="BP109" s="54"/>
      <c r="BQ109" s="70"/>
      <c r="BR109" s="35"/>
      <c r="BT109" s="1"/>
    </row>
    <row r="110">
      <c r="A110" s="89"/>
      <c r="B110" s="83"/>
      <c r="C110" s="70"/>
      <c r="D110" s="70"/>
      <c r="F110" s="1"/>
      <c r="G110" s="39"/>
      <c r="H110" s="83"/>
      <c r="I110" s="39"/>
      <c r="J110" s="35"/>
      <c r="L110" s="1"/>
      <c r="M110" s="87"/>
      <c r="N110" s="54"/>
      <c r="O110" s="70"/>
      <c r="P110" s="35"/>
      <c r="Q110" s="36"/>
      <c r="R110" s="1"/>
      <c r="X110" s="1"/>
      <c r="AD110" s="1"/>
      <c r="AH110" s="35"/>
      <c r="AJ110" s="1"/>
      <c r="AP110" s="1"/>
      <c r="AQ110" s="60"/>
      <c r="AR110" s="54"/>
      <c r="AS110" s="39"/>
      <c r="AT110" s="35"/>
      <c r="AV110" s="1"/>
      <c r="BA110" s="36"/>
      <c r="BB110" s="1"/>
      <c r="BH110" s="1"/>
      <c r="BM110" s="36"/>
      <c r="BN110" s="1"/>
      <c r="BP110" s="54"/>
      <c r="BQ110" s="70"/>
      <c r="BR110" s="35"/>
      <c r="BT110" s="1"/>
    </row>
    <row r="111">
      <c r="A111" s="89"/>
      <c r="B111" s="83"/>
      <c r="C111" s="70"/>
      <c r="D111" s="70"/>
      <c r="F111" s="1"/>
      <c r="G111" s="39"/>
      <c r="H111" s="83"/>
      <c r="I111" s="39"/>
      <c r="J111" s="35"/>
      <c r="L111" s="1"/>
      <c r="M111" s="87"/>
      <c r="N111" s="54"/>
      <c r="O111" s="70"/>
      <c r="P111" s="35"/>
      <c r="Q111" s="36"/>
      <c r="R111" s="1"/>
      <c r="X111" s="1"/>
      <c r="AD111" s="1"/>
      <c r="AH111" s="35"/>
      <c r="AJ111" s="1"/>
      <c r="AP111" s="1"/>
      <c r="AQ111" s="60"/>
      <c r="AR111" s="54"/>
      <c r="AS111" s="39"/>
      <c r="AT111" s="35"/>
      <c r="AV111" s="1"/>
      <c r="BA111" s="36"/>
      <c r="BB111" s="1"/>
      <c r="BH111" s="1"/>
      <c r="BM111" s="36"/>
      <c r="BN111" s="1"/>
      <c r="BP111" s="54"/>
      <c r="BQ111" s="70"/>
      <c r="BR111" s="35"/>
      <c r="BT111" s="1"/>
    </row>
    <row r="112">
      <c r="A112" s="70"/>
      <c r="B112" s="83"/>
      <c r="C112" s="70"/>
      <c r="D112" s="70"/>
      <c r="F112" s="1"/>
      <c r="G112" s="39"/>
      <c r="H112" s="83"/>
      <c r="I112" s="39"/>
      <c r="J112" s="35"/>
      <c r="L112" s="1"/>
      <c r="M112" s="87"/>
      <c r="N112" s="54"/>
      <c r="O112" s="70"/>
      <c r="P112" s="35"/>
      <c r="Q112" s="36"/>
      <c r="R112" s="1"/>
      <c r="X112" s="1"/>
      <c r="AD112" s="1"/>
      <c r="AH112" s="35"/>
      <c r="AJ112" s="1"/>
      <c r="AP112" s="1"/>
      <c r="AQ112" s="60"/>
      <c r="AR112" s="54"/>
      <c r="AS112" s="39"/>
      <c r="AT112" s="35"/>
      <c r="AV112" s="1"/>
      <c r="BA112" s="36"/>
      <c r="BB112" s="1"/>
      <c r="BH112" s="1"/>
      <c r="BM112" s="36"/>
      <c r="BN112" s="1"/>
      <c r="BP112" s="54"/>
      <c r="BQ112" s="70"/>
      <c r="BR112" s="35"/>
      <c r="BT112" s="1"/>
    </row>
    <row r="113">
      <c r="A113" s="70"/>
      <c r="B113" s="83"/>
      <c r="C113" s="70"/>
      <c r="D113" s="70"/>
      <c r="F113" s="1"/>
      <c r="G113" s="39"/>
      <c r="H113" s="83"/>
      <c r="I113" s="39"/>
      <c r="J113" s="35"/>
      <c r="L113" s="1"/>
      <c r="M113" s="87"/>
      <c r="N113" s="54"/>
      <c r="O113" s="70"/>
      <c r="P113" s="35"/>
      <c r="Q113" s="36"/>
      <c r="R113" s="1"/>
      <c r="X113" s="1"/>
      <c r="AD113" s="1"/>
      <c r="AH113" s="35"/>
      <c r="AJ113" s="1"/>
      <c r="AP113" s="1"/>
      <c r="AQ113" s="60"/>
      <c r="AR113" s="54"/>
      <c r="AS113" s="39"/>
      <c r="AT113" s="35"/>
      <c r="AV113" s="1"/>
      <c r="BA113" s="36"/>
      <c r="BB113" s="1"/>
      <c r="BH113" s="1"/>
      <c r="BM113" s="36"/>
      <c r="BN113" s="1"/>
      <c r="BP113" s="54"/>
      <c r="BQ113" s="70"/>
      <c r="BR113" s="35"/>
      <c r="BT113" s="1"/>
    </row>
    <row r="114">
      <c r="A114" s="70"/>
      <c r="B114" s="83"/>
      <c r="C114" s="70"/>
      <c r="D114" s="70"/>
      <c r="F114" s="1"/>
      <c r="G114" s="39"/>
      <c r="H114" s="83"/>
      <c r="I114" s="39"/>
      <c r="J114" s="35"/>
      <c r="L114" s="1"/>
      <c r="M114" s="87"/>
      <c r="N114" s="54"/>
      <c r="O114" s="70"/>
      <c r="P114" s="35"/>
      <c r="Q114" s="36"/>
      <c r="R114" s="1"/>
      <c r="X114" s="1"/>
      <c r="AD114" s="1"/>
      <c r="AH114" s="35"/>
      <c r="AJ114" s="1"/>
      <c r="AP114" s="1"/>
      <c r="AQ114" s="60"/>
      <c r="AR114" s="54"/>
      <c r="AS114" s="39"/>
      <c r="AT114" s="35"/>
      <c r="AV114" s="1"/>
      <c r="BA114" s="36"/>
      <c r="BB114" s="1"/>
      <c r="BH114" s="1"/>
      <c r="BM114" s="36"/>
      <c r="BN114" s="1"/>
      <c r="BP114" s="54"/>
      <c r="BQ114" s="70"/>
      <c r="BR114" s="35"/>
      <c r="BT114" s="1"/>
    </row>
    <row r="115">
      <c r="A115" s="70"/>
      <c r="B115" s="83"/>
      <c r="C115" s="70"/>
      <c r="D115" s="70"/>
      <c r="F115" s="1"/>
      <c r="G115" s="39"/>
      <c r="H115" s="83"/>
      <c r="I115" s="39"/>
      <c r="J115" s="35"/>
      <c r="L115" s="1"/>
      <c r="M115" s="87"/>
      <c r="N115" s="54"/>
      <c r="O115" s="70"/>
      <c r="P115" s="35"/>
      <c r="Q115" s="36"/>
      <c r="R115" s="1"/>
      <c r="X115" s="1"/>
      <c r="AD115" s="1"/>
      <c r="AH115" s="35"/>
      <c r="AJ115" s="1"/>
      <c r="AP115" s="1"/>
      <c r="AQ115" s="60"/>
      <c r="AR115" s="54"/>
      <c r="AS115" s="39"/>
      <c r="AT115" s="35"/>
      <c r="AV115" s="1"/>
      <c r="BA115" s="36"/>
      <c r="BB115" s="1"/>
      <c r="BH115" s="1"/>
      <c r="BM115" s="36"/>
      <c r="BN115" s="1"/>
      <c r="BP115" s="54"/>
      <c r="BQ115" s="70"/>
      <c r="BR115" s="35"/>
      <c r="BT115" s="1"/>
    </row>
    <row r="116">
      <c r="A116" s="70"/>
      <c r="B116" s="83"/>
      <c r="C116" s="70"/>
      <c r="D116" s="70"/>
      <c r="F116" s="1"/>
      <c r="G116" s="39"/>
      <c r="H116" s="83"/>
      <c r="I116" s="39"/>
      <c r="J116" s="35"/>
      <c r="L116" s="1"/>
      <c r="M116" s="87"/>
      <c r="N116" s="54"/>
      <c r="O116" s="70"/>
      <c r="P116" s="35"/>
      <c r="Q116" s="36"/>
      <c r="R116" s="1"/>
      <c r="X116" s="1"/>
      <c r="AD116" s="1"/>
      <c r="AH116" s="35"/>
      <c r="AJ116" s="1"/>
      <c r="AP116" s="1"/>
      <c r="AQ116" s="60"/>
      <c r="AR116" s="54"/>
      <c r="AS116" s="39"/>
      <c r="AT116" s="35"/>
      <c r="AV116" s="1"/>
      <c r="BA116" s="36"/>
      <c r="BB116" s="1"/>
      <c r="BH116" s="1"/>
      <c r="BM116" s="36"/>
      <c r="BN116" s="1"/>
      <c r="BP116" s="54"/>
      <c r="BQ116" s="70"/>
      <c r="BR116" s="35"/>
      <c r="BT116" s="1"/>
    </row>
    <row r="117">
      <c r="A117" s="70"/>
      <c r="B117" s="83"/>
      <c r="C117" s="70"/>
      <c r="D117" s="70"/>
      <c r="F117" s="1"/>
      <c r="G117" s="39"/>
      <c r="H117" s="83"/>
      <c r="I117" s="39"/>
      <c r="J117" s="35"/>
      <c r="L117" s="1"/>
      <c r="M117" s="87"/>
      <c r="N117" s="54"/>
      <c r="O117" s="70"/>
      <c r="P117" s="35"/>
      <c r="Q117" s="36"/>
      <c r="R117" s="1"/>
      <c r="X117" s="1"/>
      <c r="AD117" s="1"/>
      <c r="AH117" s="35"/>
      <c r="AJ117" s="1"/>
      <c r="AP117" s="1"/>
      <c r="AQ117" s="60"/>
      <c r="AR117" s="54"/>
      <c r="AS117" s="39"/>
      <c r="AT117" s="35"/>
      <c r="AV117" s="1"/>
      <c r="BA117" s="36"/>
      <c r="BB117" s="1"/>
      <c r="BH117" s="1"/>
      <c r="BM117" s="36"/>
      <c r="BN117" s="1"/>
      <c r="BP117" s="54"/>
      <c r="BQ117" s="70"/>
      <c r="BR117" s="35"/>
      <c r="BT117" s="1"/>
    </row>
    <row r="118">
      <c r="A118" s="70"/>
      <c r="B118" s="83"/>
      <c r="C118" s="70"/>
      <c r="D118" s="70"/>
      <c r="F118" s="1"/>
      <c r="G118" s="39"/>
      <c r="H118" s="83"/>
      <c r="I118" s="39"/>
      <c r="J118" s="35"/>
      <c r="L118" s="1"/>
      <c r="M118" s="87"/>
      <c r="N118" s="54"/>
      <c r="O118" s="70"/>
      <c r="P118" s="35"/>
      <c r="Q118" s="36"/>
      <c r="R118" s="1"/>
      <c r="X118" s="1"/>
      <c r="AD118" s="1"/>
      <c r="AH118" s="35"/>
      <c r="AJ118" s="1"/>
      <c r="AP118" s="1"/>
      <c r="AQ118" s="60"/>
      <c r="AR118" s="54"/>
      <c r="AS118" s="39"/>
      <c r="AT118" s="35"/>
      <c r="AV118" s="1"/>
      <c r="BA118" s="36"/>
      <c r="BB118" s="1"/>
      <c r="BH118" s="1"/>
      <c r="BM118" s="36"/>
      <c r="BN118" s="1"/>
      <c r="BP118" s="54"/>
      <c r="BQ118" s="70"/>
      <c r="BR118" s="35"/>
      <c r="BT118" s="1"/>
    </row>
    <row r="119">
      <c r="A119" s="36"/>
      <c r="B119" s="36"/>
      <c r="C119" s="36"/>
      <c r="D119" s="70"/>
      <c r="F119" s="1"/>
      <c r="L119" s="1"/>
      <c r="M119" s="87"/>
      <c r="N119" s="54"/>
      <c r="O119" s="70"/>
      <c r="P119" s="35"/>
      <c r="Q119" s="36"/>
      <c r="R119" s="1"/>
      <c r="X119" s="1"/>
      <c r="AD119" s="1"/>
      <c r="AH119" s="35"/>
      <c r="AJ119" s="1"/>
      <c r="AP119" s="1"/>
      <c r="AQ119" s="60"/>
      <c r="AR119" s="54"/>
      <c r="AS119" s="39"/>
      <c r="AT119" s="35"/>
      <c r="AV119" s="1"/>
      <c r="BA119" s="36"/>
      <c r="BB119" s="1"/>
      <c r="BH119" s="1"/>
      <c r="BM119" s="36"/>
      <c r="BN119" s="1"/>
      <c r="BP119" s="54"/>
      <c r="BQ119" s="70"/>
      <c r="BR119" s="35"/>
      <c r="BT119" s="1"/>
    </row>
    <row r="120">
      <c r="A120" s="36"/>
      <c r="B120" s="36"/>
      <c r="C120" s="36"/>
      <c r="D120" s="70"/>
      <c r="F120" s="1"/>
      <c r="L120" s="1"/>
      <c r="M120" s="87"/>
      <c r="N120" s="54"/>
      <c r="O120" s="70"/>
      <c r="P120" s="35"/>
      <c r="Q120" s="36"/>
      <c r="R120" s="1"/>
      <c r="X120" s="1"/>
      <c r="AD120" s="1"/>
      <c r="AH120" s="35"/>
      <c r="AJ120" s="1"/>
      <c r="AP120" s="1"/>
      <c r="AQ120" s="60"/>
      <c r="AR120" s="54"/>
      <c r="AS120" s="39"/>
      <c r="AT120" s="35"/>
      <c r="AV120" s="1"/>
      <c r="BA120" s="36"/>
      <c r="BB120" s="1"/>
      <c r="BH120" s="1"/>
      <c r="BM120" s="36"/>
      <c r="BN120" s="1"/>
      <c r="BP120" s="54"/>
      <c r="BQ120" s="70"/>
      <c r="BR120" s="35"/>
      <c r="BT120" s="1"/>
    </row>
    <row r="121">
      <c r="A121" s="36"/>
      <c r="B121" s="36"/>
      <c r="C121" s="36"/>
      <c r="D121" s="70"/>
      <c r="F121" s="1"/>
      <c r="L121" s="1"/>
      <c r="M121" s="87"/>
      <c r="N121" s="54"/>
      <c r="O121" s="70"/>
      <c r="P121" s="35"/>
      <c r="Q121" s="36"/>
      <c r="R121" s="1"/>
      <c r="X121" s="1"/>
      <c r="AD121" s="1"/>
      <c r="AH121" s="35"/>
      <c r="AJ121" s="1"/>
      <c r="AP121" s="1"/>
      <c r="AQ121" s="60"/>
      <c r="AR121" s="54"/>
      <c r="AS121" s="39"/>
      <c r="AT121" s="35"/>
      <c r="AV121" s="1"/>
      <c r="BA121" s="36"/>
      <c r="BB121" s="1"/>
      <c r="BH121" s="1"/>
      <c r="BM121" s="36"/>
      <c r="BN121" s="1"/>
      <c r="BP121" s="54"/>
      <c r="BQ121" s="70"/>
      <c r="BR121" s="35"/>
      <c r="BT121" s="1"/>
    </row>
    <row r="122">
      <c r="A122" s="36"/>
      <c r="B122" s="36"/>
      <c r="C122" s="36"/>
      <c r="D122" s="70"/>
      <c r="F122" s="1"/>
      <c r="L122" s="1"/>
      <c r="M122" s="87"/>
      <c r="N122" s="54"/>
      <c r="O122" s="70"/>
      <c r="P122" s="35"/>
      <c r="Q122" s="36"/>
      <c r="R122" s="1"/>
      <c r="X122" s="1"/>
      <c r="AD122" s="1"/>
      <c r="AH122" s="35"/>
      <c r="AJ122" s="1"/>
      <c r="AP122" s="1"/>
      <c r="AQ122" s="60"/>
      <c r="AR122" s="54"/>
      <c r="AS122" s="39"/>
      <c r="AT122" s="35"/>
      <c r="AV122" s="1"/>
      <c r="BA122" s="36"/>
      <c r="BB122" s="1"/>
      <c r="BH122" s="1"/>
      <c r="BM122" s="36"/>
      <c r="BN122" s="1"/>
      <c r="BP122" s="54"/>
      <c r="BQ122" s="70"/>
      <c r="BR122" s="35"/>
      <c r="BT122" s="1"/>
    </row>
    <row r="123">
      <c r="A123" s="36"/>
      <c r="B123" s="36"/>
      <c r="C123" s="36"/>
      <c r="D123" s="70"/>
      <c r="F123" s="1"/>
      <c r="L123" s="1"/>
      <c r="M123" s="87"/>
      <c r="N123" s="54"/>
      <c r="O123" s="70"/>
      <c r="P123" s="35"/>
      <c r="Q123" s="36"/>
      <c r="R123" s="1"/>
      <c r="X123" s="1"/>
      <c r="AD123" s="1"/>
      <c r="AH123" s="35"/>
      <c r="AJ123" s="1"/>
      <c r="AP123" s="1"/>
      <c r="AQ123" s="60"/>
      <c r="AR123" s="54"/>
      <c r="AS123" s="39"/>
      <c r="AT123" s="35"/>
      <c r="AV123" s="1"/>
      <c r="BA123" s="36"/>
      <c r="BB123" s="1"/>
      <c r="BH123" s="1"/>
      <c r="BM123" s="36"/>
      <c r="BN123" s="1"/>
      <c r="BP123" s="54"/>
      <c r="BQ123" s="70"/>
      <c r="BR123" s="35"/>
      <c r="BT123" s="1"/>
    </row>
    <row r="124">
      <c r="A124" s="36"/>
      <c r="B124" s="36"/>
      <c r="C124" s="36"/>
      <c r="D124" s="70"/>
      <c r="F124" s="1"/>
      <c r="L124" s="1"/>
      <c r="M124" s="87"/>
      <c r="N124" s="54"/>
      <c r="O124" s="70"/>
      <c r="P124" s="35"/>
      <c r="Q124" s="36"/>
      <c r="R124" s="1"/>
      <c r="X124" s="1"/>
      <c r="AD124" s="1"/>
      <c r="AH124" s="35"/>
      <c r="AJ124" s="1"/>
      <c r="AP124" s="1"/>
      <c r="AQ124" s="60"/>
      <c r="AR124" s="54"/>
      <c r="AS124" s="39"/>
      <c r="AT124" s="35"/>
      <c r="AV124" s="1"/>
      <c r="BA124" s="36"/>
      <c r="BB124" s="1"/>
      <c r="BH124" s="1"/>
      <c r="BM124" s="36"/>
      <c r="BN124" s="1"/>
      <c r="BP124" s="54"/>
      <c r="BQ124" s="70"/>
      <c r="BR124" s="35"/>
      <c r="BT124" s="1"/>
    </row>
    <row r="125">
      <c r="A125" s="36"/>
      <c r="B125" s="36"/>
      <c r="C125" s="36"/>
      <c r="D125" s="70"/>
      <c r="F125" s="1"/>
      <c r="L125" s="1"/>
      <c r="M125" s="87"/>
      <c r="N125" s="54"/>
      <c r="O125" s="70"/>
      <c r="P125" s="35"/>
      <c r="Q125" s="36"/>
      <c r="R125" s="1"/>
      <c r="X125" s="1"/>
      <c r="AD125" s="1"/>
      <c r="AH125" s="35"/>
      <c r="AJ125" s="1"/>
      <c r="AP125" s="1"/>
      <c r="AQ125" s="60"/>
      <c r="AR125" s="54"/>
      <c r="AS125" s="39"/>
      <c r="AT125" s="35"/>
      <c r="AV125" s="1"/>
      <c r="BA125" s="36"/>
      <c r="BB125" s="1"/>
      <c r="BH125" s="1"/>
      <c r="BM125" s="36"/>
      <c r="BN125" s="1"/>
      <c r="BP125" s="54"/>
      <c r="BQ125" s="70"/>
      <c r="BT125" s="1"/>
    </row>
    <row r="126">
      <c r="A126" s="36"/>
      <c r="B126" s="36"/>
      <c r="C126" s="36"/>
      <c r="D126" s="70"/>
      <c r="F126" s="1"/>
      <c r="L126" s="1"/>
      <c r="M126" s="87"/>
      <c r="N126" s="54"/>
      <c r="O126" s="70"/>
      <c r="P126" s="35"/>
      <c r="Q126" s="36"/>
      <c r="R126" s="1"/>
      <c r="X126" s="1"/>
      <c r="AD126" s="1"/>
      <c r="AH126" s="35"/>
      <c r="AJ126" s="1"/>
      <c r="AP126" s="1"/>
      <c r="AQ126" s="60"/>
      <c r="AR126" s="54"/>
      <c r="AS126" s="39"/>
      <c r="AT126" s="35"/>
      <c r="AV126" s="1"/>
      <c r="BA126" s="36"/>
      <c r="BB126" s="1"/>
      <c r="BH126" s="1"/>
      <c r="BM126" s="36"/>
      <c r="BN126" s="1"/>
      <c r="BP126" s="54"/>
      <c r="BQ126" s="70"/>
      <c r="BT126" s="1"/>
    </row>
    <row r="127">
      <c r="A127" s="36"/>
      <c r="B127" s="36"/>
      <c r="C127" s="36"/>
      <c r="D127" s="70"/>
      <c r="F127" s="1"/>
      <c r="L127" s="1"/>
      <c r="M127" s="87"/>
      <c r="N127" s="54"/>
      <c r="O127" s="70"/>
      <c r="P127" s="35"/>
      <c r="Q127" s="36"/>
      <c r="R127" s="1"/>
      <c r="X127" s="1"/>
      <c r="AD127" s="1"/>
      <c r="AH127" s="35"/>
      <c r="AJ127" s="1"/>
      <c r="AP127" s="1"/>
      <c r="AQ127" s="60"/>
      <c r="AR127" s="54"/>
      <c r="AS127" s="39"/>
      <c r="AT127" s="35"/>
      <c r="AV127" s="1"/>
      <c r="BA127" s="36"/>
      <c r="BB127" s="1"/>
      <c r="BH127" s="1"/>
      <c r="BM127" s="36"/>
      <c r="BN127" s="1"/>
      <c r="BP127" s="54"/>
      <c r="BQ127" s="70"/>
      <c r="BT127" s="1"/>
    </row>
    <row r="128">
      <c r="A128" s="36"/>
      <c r="B128" s="36"/>
      <c r="C128" s="36"/>
      <c r="D128" s="70"/>
      <c r="F128" s="1"/>
      <c r="L128" s="1"/>
      <c r="M128" s="87"/>
      <c r="N128" s="54"/>
      <c r="O128" s="70"/>
      <c r="P128" s="35"/>
      <c r="Q128" s="36"/>
      <c r="R128" s="1"/>
      <c r="X128" s="1"/>
      <c r="AD128" s="1"/>
      <c r="AH128" s="35"/>
      <c r="AJ128" s="1"/>
      <c r="AP128" s="1"/>
      <c r="AQ128" s="60"/>
      <c r="AR128" s="54"/>
      <c r="AS128" s="39"/>
      <c r="AT128" s="35"/>
      <c r="AV128" s="1"/>
      <c r="BA128" s="36"/>
      <c r="BB128" s="1"/>
      <c r="BH128" s="1"/>
      <c r="BM128" s="36"/>
      <c r="BN128" s="1"/>
      <c r="BP128" s="54"/>
      <c r="BQ128" s="70"/>
      <c r="BT128" s="1"/>
    </row>
    <row r="129">
      <c r="A129" s="70"/>
      <c r="B129" s="83"/>
      <c r="C129" s="70"/>
      <c r="D129" s="70"/>
      <c r="F129" s="1"/>
      <c r="L129" s="1"/>
      <c r="M129" s="87"/>
      <c r="N129" s="54"/>
      <c r="O129" s="70"/>
      <c r="P129" s="35"/>
      <c r="Q129" s="36"/>
      <c r="R129" s="1"/>
      <c r="X129" s="1"/>
      <c r="AD129" s="1"/>
      <c r="AH129" s="35"/>
      <c r="AJ129" s="1"/>
      <c r="AP129" s="1"/>
      <c r="AQ129" s="60"/>
      <c r="AR129" s="54"/>
      <c r="AS129" s="39"/>
      <c r="AT129" s="35"/>
      <c r="AV129" s="1"/>
      <c r="BA129" s="36"/>
      <c r="BB129" s="1"/>
      <c r="BH129" s="1"/>
      <c r="BM129" s="36"/>
      <c r="BN129" s="1"/>
      <c r="BP129" s="54"/>
      <c r="BQ129" s="70"/>
      <c r="BT129" s="1"/>
    </row>
    <row r="130">
      <c r="A130" s="70"/>
      <c r="B130" s="83"/>
      <c r="C130" s="70"/>
      <c r="D130" s="70"/>
      <c r="F130" s="1"/>
      <c r="L130" s="1"/>
      <c r="M130" s="87"/>
      <c r="N130" s="54"/>
      <c r="O130" s="70"/>
      <c r="P130" s="35"/>
      <c r="Q130" s="36"/>
      <c r="R130" s="1"/>
      <c r="X130" s="1"/>
      <c r="AD130" s="1"/>
      <c r="AH130" s="35"/>
      <c r="AJ130" s="1"/>
      <c r="AP130" s="1"/>
      <c r="AQ130" s="60"/>
      <c r="AR130" s="54"/>
      <c r="AS130" s="39"/>
      <c r="AT130" s="35"/>
      <c r="AV130" s="1"/>
      <c r="BA130" s="36"/>
      <c r="BB130" s="1"/>
      <c r="BH130" s="1"/>
      <c r="BM130" s="36"/>
      <c r="BN130" s="1"/>
      <c r="BP130" s="54"/>
      <c r="BQ130" s="70"/>
      <c r="BT130" s="1"/>
    </row>
    <row r="131">
      <c r="A131" s="70"/>
      <c r="B131" s="83"/>
      <c r="C131" s="70"/>
      <c r="D131" s="70"/>
      <c r="F131" s="1"/>
      <c r="L131" s="1"/>
      <c r="M131" s="87"/>
      <c r="N131" s="54"/>
      <c r="O131" s="70"/>
      <c r="P131" s="35"/>
      <c r="Q131" s="36"/>
      <c r="R131" s="1"/>
      <c r="X131" s="1"/>
      <c r="AD131" s="1"/>
      <c r="AH131" s="35"/>
      <c r="AJ131" s="1"/>
      <c r="AP131" s="1"/>
      <c r="AQ131" s="60"/>
      <c r="AR131" s="54"/>
      <c r="AS131" s="39"/>
      <c r="AT131" s="35"/>
      <c r="AV131" s="1"/>
      <c r="BA131" s="36"/>
      <c r="BB131" s="1"/>
      <c r="BH131" s="1"/>
      <c r="BM131" s="36"/>
      <c r="BN131" s="1"/>
      <c r="BP131" s="54"/>
      <c r="BQ131" s="70"/>
      <c r="BT131" s="1"/>
    </row>
    <row r="132">
      <c r="A132" s="70"/>
      <c r="B132" s="83"/>
      <c r="C132" s="70"/>
      <c r="D132" s="70"/>
      <c r="F132" s="1"/>
      <c r="L132" s="1"/>
      <c r="M132" s="87"/>
      <c r="N132" s="54"/>
      <c r="O132" s="70"/>
      <c r="P132" s="35"/>
      <c r="Q132" s="36"/>
      <c r="R132" s="1"/>
      <c r="X132" s="1"/>
      <c r="AD132" s="1"/>
      <c r="AH132" s="35"/>
      <c r="AJ132" s="1"/>
      <c r="AP132" s="1"/>
      <c r="AQ132" s="60"/>
      <c r="AR132" s="54"/>
      <c r="AS132" s="39"/>
      <c r="AT132" s="35"/>
      <c r="AV132" s="1"/>
      <c r="BA132" s="36"/>
      <c r="BB132" s="1"/>
      <c r="BH132" s="1"/>
      <c r="BM132" s="36"/>
      <c r="BN132" s="1"/>
      <c r="BP132" s="54"/>
      <c r="BQ132" s="70"/>
      <c r="BT132" s="1"/>
    </row>
    <row r="133">
      <c r="A133" s="70"/>
      <c r="B133" s="83"/>
      <c r="C133" s="70"/>
      <c r="D133" s="70"/>
      <c r="F133" s="1"/>
      <c r="L133" s="1"/>
      <c r="M133" s="87"/>
      <c r="N133" s="54"/>
      <c r="O133" s="70"/>
      <c r="P133" s="35"/>
      <c r="Q133" s="36"/>
      <c r="R133" s="1"/>
      <c r="X133" s="1"/>
      <c r="AD133" s="1"/>
      <c r="AH133" s="35"/>
      <c r="AJ133" s="1"/>
      <c r="AP133" s="1"/>
      <c r="AQ133" s="60"/>
      <c r="AR133" s="54"/>
      <c r="AS133" s="39"/>
      <c r="AT133" s="35"/>
      <c r="AV133" s="1"/>
      <c r="BA133" s="36"/>
      <c r="BB133" s="1"/>
      <c r="BH133" s="1"/>
      <c r="BM133" s="36"/>
      <c r="BN133" s="1"/>
      <c r="BP133" s="54"/>
      <c r="BQ133" s="70"/>
      <c r="BT133" s="1"/>
    </row>
    <row r="134">
      <c r="A134" s="70"/>
      <c r="B134" s="83"/>
      <c r="C134" s="70"/>
      <c r="D134" s="70"/>
      <c r="F134" s="1"/>
      <c r="L134" s="1"/>
      <c r="M134" s="87"/>
      <c r="N134" s="54"/>
      <c r="O134" s="70"/>
      <c r="P134" s="35"/>
      <c r="Q134" s="36"/>
      <c r="R134" s="1"/>
      <c r="X134" s="1"/>
      <c r="AD134" s="1"/>
      <c r="AH134" s="35"/>
      <c r="AJ134" s="1"/>
      <c r="AP134" s="1"/>
      <c r="AQ134" s="60"/>
      <c r="AR134" s="54"/>
      <c r="AS134" s="39"/>
      <c r="AT134" s="35"/>
      <c r="AV134" s="1"/>
      <c r="BA134" s="36"/>
      <c r="BB134" s="1"/>
      <c r="BH134" s="1"/>
      <c r="BM134" s="36"/>
      <c r="BN134" s="1"/>
      <c r="BP134" s="54"/>
      <c r="BQ134" s="70"/>
      <c r="BT134" s="1"/>
    </row>
    <row r="135">
      <c r="A135" s="70"/>
      <c r="B135" s="83"/>
      <c r="C135" s="70"/>
      <c r="D135" s="70"/>
      <c r="F135" s="1"/>
      <c r="L135" s="1"/>
      <c r="M135" s="87"/>
      <c r="N135" s="54"/>
      <c r="O135" s="70"/>
      <c r="P135" s="35"/>
      <c r="Q135" s="36"/>
      <c r="R135" s="1"/>
      <c r="X135" s="1"/>
      <c r="AD135" s="1"/>
      <c r="AJ135" s="1"/>
      <c r="AP135" s="1"/>
      <c r="AQ135" s="60"/>
      <c r="AR135" s="54"/>
      <c r="AS135" s="39"/>
      <c r="AT135" s="35"/>
      <c r="AV135" s="1"/>
      <c r="BA135" s="36"/>
      <c r="BB135" s="1"/>
      <c r="BH135" s="1"/>
      <c r="BM135" s="36"/>
      <c r="BN135" s="1"/>
      <c r="BP135" s="54"/>
      <c r="BQ135" s="70"/>
      <c r="BT135" s="1"/>
    </row>
    <row r="136">
      <c r="A136" s="70"/>
      <c r="B136" s="83"/>
      <c r="C136" s="70"/>
      <c r="D136" s="70"/>
      <c r="F136" s="1"/>
      <c r="L136" s="1"/>
      <c r="M136" s="87"/>
      <c r="N136" s="54"/>
      <c r="O136" s="70"/>
      <c r="P136" s="35"/>
      <c r="Q136" s="36"/>
      <c r="R136" s="1"/>
      <c r="X136" s="1"/>
      <c r="AD136" s="1"/>
      <c r="AJ136" s="1"/>
      <c r="AP136" s="1"/>
      <c r="AQ136" s="60"/>
      <c r="AR136" s="54"/>
      <c r="AS136" s="39"/>
      <c r="AT136" s="35"/>
      <c r="AV136" s="1"/>
      <c r="BA136" s="36"/>
      <c r="BB136" s="1"/>
      <c r="BH136" s="1"/>
      <c r="BM136" s="36"/>
      <c r="BN136" s="1"/>
      <c r="BP136" s="54"/>
      <c r="BQ136" s="70"/>
      <c r="BT136" s="1"/>
    </row>
    <row r="137">
      <c r="A137" s="70"/>
      <c r="B137" s="83"/>
      <c r="C137" s="70"/>
      <c r="D137" s="70"/>
      <c r="F137" s="1"/>
      <c r="L137" s="1"/>
      <c r="M137" s="87"/>
      <c r="N137" s="54"/>
      <c r="O137" s="70"/>
      <c r="P137" s="35"/>
      <c r="Q137" s="36"/>
      <c r="R137" s="1"/>
      <c r="X137" s="1"/>
      <c r="AD137" s="1"/>
      <c r="AJ137" s="1"/>
      <c r="AP137" s="1"/>
      <c r="AQ137" s="60"/>
      <c r="AR137" s="54"/>
      <c r="AS137" s="39"/>
      <c r="AT137" s="35"/>
      <c r="AV137" s="1"/>
      <c r="BA137" s="36"/>
      <c r="BB137" s="1"/>
      <c r="BH137" s="1"/>
      <c r="BM137" s="36"/>
      <c r="BN137" s="1"/>
      <c r="BP137" s="54"/>
      <c r="BQ137" s="70"/>
      <c r="BT137" s="1"/>
    </row>
    <row r="138">
      <c r="A138" s="70"/>
      <c r="B138" s="83"/>
      <c r="C138" s="70"/>
      <c r="D138" s="70"/>
      <c r="F138" s="1"/>
      <c r="L138" s="1"/>
      <c r="M138" s="87"/>
      <c r="N138" s="54"/>
      <c r="O138" s="70"/>
      <c r="P138" s="35"/>
      <c r="Q138" s="36"/>
      <c r="R138" s="1"/>
      <c r="X138" s="1"/>
      <c r="AD138" s="1"/>
      <c r="AJ138" s="1"/>
      <c r="AP138" s="1"/>
      <c r="AQ138" s="60"/>
      <c r="AR138" s="54"/>
      <c r="AS138" s="39"/>
      <c r="AT138" s="35"/>
      <c r="AV138" s="1"/>
      <c r="BB138" s="1"/>
      <c r="BH138" s="1"/>
      <c r="BN138" s="1"/>
      <c r="BP138" s="54"/>
      <c r="BQ138" s="70"/>
      <c r="BT138" s="1"/>
    </row>
    <row r="139">
      <c r="A139" s="70"/>
      <c r="B139" s="83"/>
      <c r="C139" s="70"/>
      <c r="D139" s="70"/>
      <c r="F139" s="1"/>
      <c r="L139" s="1"/>
      <c r="M139" s="87"/>
      <c r="N139" s="54"/>
      <c r="O139" s="70"/>
      <c r="P139" s="35"/>
      <c r="Q139" s="36"/>
      <c r="R139" s="1"/>
      <c r="X139" s="1"/>
      <c r="AD139" s="1"/>
      <c r="AJ139" s="1"/>
      <c r="AP139" s="1"/>
      <c r="AQ139" s="60"/>
      <c r="AR139" s="54"/>
      <c r="AS139" s="39"/>
      <c r="AT139" s="35"/>
      <c r="AV139" s="1"/>
      <c r="BB139" s="1"/>
      <c r="BH139" s="1"/>
      <c r="BN139" s="1"/>
      <c r="BP139" s="54"/>
      <c r="BQ139" s="70"/>
      <c r="BT139" s="1"/>
    </row>
    <row r="140">
      <c r="A140" s="70"/>
      <c r="B140" s="83"/>
      <c r="C140" s="70"/>
      <c r="D140" s="70"/>
      <c r="F140" s="1"/>
      <c r="L140" s="1"/>
      <c r="M140" s="87"/>
      <c r="N140" s="54"/>
      <c r="O140" s="70"/>
      <c r="P140" s="35"/>
      <c r="Q140" s="36"/>
      <c r="R140" s="1"/>
      <c r="X140" s="1"/>
      <c r="AD140" s="1"/>
      <c r="AJ140" s="1"/>
      <c r="AP140" s="1"/>
      <c r="AQ140" s="60"/>
      <c r="AR140" s="54"/>
      <c r="AS140" s="39"/>
      <c r="AT140" s="35"/>
      <c r="AV140" s="1"/>
      <c r="BB140" s="1"/>
      <c r="BH140" s="1"/>
      <c r="BN140" s="1"/>
      <c r="BP140" s="54"/>
      <c r="BQ140" s="70"/>
      <c r="BT140" s="1"/>
    </row>
    <row r="141">
      <c r="A141" s="70"/>
      <c r="C141" s="70"/>
      <c r="D141" s="70"/>
      <c r="F141" s="1"/>
      <c r="L141" s="1"/>
      <c r="M141" s="87"/>
      <c r="N141" s="54"/>
      <c r="O141" s="70"/>
      <c r="P141" s="35"/>
      <c r="Q141" s="36"/>
      <c r="R141" s="1"/>
      <c r="X141" s="1"/>
      <c r="AD141" s="1"/>
      <c r="AJ141" s="1"/>
      <c r="AP141" s="1"/>
      <c r="AQ141" s="60"/>
      <c r="AR141" s="54"/>
      <c r="AS141" s="39"/>
      <c r="AT141" s="35"/>
      <c r="AV141" s="1"/>
      <c r="BB141" s="1"/>
      <c r="BH141" s="1"/>
      <c r="BN141" s="1"/>
      <c r="BP141" s="54"/>
      <c r="BQ141" s="70"/>
      <c r="BT141" s="1"/>
    </row>
    <row r="142">
      <c r="A142" s="70"/>
      <c r="C142" s="70"/>
      <c r="D142" s="70"/>
      <c r="F142" s="1"/>
      <c r="L142" s="1"/>
      <c r="M142" s="87"/>
      <c r="N142" s="54"/>
      <c r="O142" s="70"/>
      <c r="P142" s="35"/>
      <c r="Q142" s="36"/>
      <c r="R142" s="1"/>
      <c r="X142" s="1"/>
      <c r="AD142" s="1"/>
      <c r="AJ142" s="1"/>
      <c r="AP142" s="1"/>
      <c r="AQ142" s="60"/>
      <c r="AR142" s="54"/>
      <c r="AS142" s="39"/>
      <c r="AT142" s="35"/>
      <c r="AV142" s="1"/>
      <c r="BB142" s="1"/>
      <c r="BH142" s="1"/>
      <c r="BN142" s="1"/>
      <c r="BP142" s="54"/>
      <c r="BQ142" s="70"/>
      <c r="BT142" s="1"/>
    </row>
    <row r="143">
      <c r="A143" s="70"/>
      <c r="C143" s="70"/>
      <c r="D143" s="70"/>
      <c r="F143" s="1"/>
      <c r="L143" s="1"/>
      <c r="M143" s="87"/>
      <c r="N143" s="54"/>
      <c r="O143" s="70"/>
      <c r="P143" s="35"/>
      <c r="Q143" s="36"/>
      <c r="R143" s="1"/>
      <c r="X143" s="1"/>
      <c r="AD143" s="1"/>
      <c r="AJ143" s="1"/>
      <c r="AP143" s="1"/>
      <c r="AQ143" s="60"/>
      <c r="AR143" s="54"/>
      <c r="AS143" s="39"/>
      <c r="AT143" s="35"/>
      <c r="AV143" s="1"/>
      <c r="BB143" s="1"/>
      <c r="BH143" s="1"/>
      <c r="BN143" s="1"/>
      <c r="BP143" s="54"/>
      <c r="BQ143" s="70"/>
      <c r="BT143" s="1"/>
    </row>
    <row r="144">
      <c r="A144" s="70"/>
      <c r="C144" s="70"/>
      <c r="D144" s="70"/>
      <c r="F144" s="1"/>
      <c r="L144" s="1"/>
      <c r="M144" s="87"/>
      <c r="N144" s="54"/>
      <c r="O144" s="70"/>
      <c r="P144" s="35"/>
      <c r="Q144" s="36"/>
      <c r="R144" s="1"/>
      <c r="X144" s="1"/>
      <c r="AD144" s="1"/>
      <c r="AJ144" s="1"/>
      <c r="AP144" s="1"/>
      <c r="AQ144" s="60"/>
      <c r="AR144" s="54"/>
      <c r="AS144" s="39"/>
      <c r="AT144" s="35"/>
      <c r="AV144" s="1"/>
      <c r="BB144" s="1"/>
      <c r="BH144" s="1"/>
      <c r="BN144" s="1"/>
      <c r="BP144" s="54"/>
      <c r="BQ144" s="70"/>
      <c r="BT144" s="1"/>
    </row>
    <row r="145">
      <c r="A145" s="70"/>
      <c r="C145" s="70"/>
      <c r="D145" s="70"/>
      <c r="F145" s="1"/>
      <c r="L145" s="1"/>
      <c r="M145" s="87"/>
      <c r="N145" s="54"/>
      <c r="O145" s="70"/>
      <c r="P145" s="35"/>
      <c r="Q145" s="36"/>
      <c r="R145" s="1"/>
      <c r="X145" s="1"/>
      <c r="AD145" s="1"/>
      <c r="AJ145" s="1"/>
      <c r="AP145" s="1"/>
      <c r="AQ145" s="60"/>
      <c r="AR145" s="54"/>
      <c r="AS145" s="39"/>
      <c r="AT145" s="35"/>
      <c r="AV145" s="1"/>
      <c r="BB145" s="1"/>
      <c r="BH145" s="1"/>
      <c r="BN145" s="1"/>
      <c r="BP145" s="54"/>
      <c r="BQ145" s="70"/>
      <c r="BT145" s="1"/>
    </row>
    <row r="146">
      <c r="A146" s="70"/>
      <c r="C146" s="70"/>
      <c r="D146" s="70"/>
      <c r="F146" s="1"/>
      <c r="L146" s="1"/>
      <c r="M146" s="87"/>
      <c r="N146" s="54"/>
      <c r="O146" s="70"/>
      <c r="P146" s="35"/>
      <c r="Q146" s="36"/>
      <c r="R146" s="1"/>
      <c r="X146" s="1"/>
      <c r="AD146" s="1"/>
      <c r="AJ146" s="1"/>
      <c r="AP146" s="1"/>
      <c r="AQ146" s="60"/>
      <c r="AR146" s="54"/>
      <c r="AS146" s="39"/>
      <c r="AT146" s="35"/>
      <c r="AV146" s="1"/>
      <c r="BB146" s="1"/>
      <c r="BH146" s="1"/>
      <c r="BN146" s="1"/>
      <c r="BP146" s="54"/>
      <c r="BQ146" s="70"/>
      <c r="BT146" s="1"/>
    </row>
    <row r="147">
      <c r="A147" s="70"/>
      <c r="C147" s="70"/>
      <c r="D147" s="70"/>
      <c r="F147" s="1"/>
      <c r="L147" s="1"/>
      <c r="M147" s="87"/>
      <c r="N147" s="54"/>
      <c r="O147" s="70"/>
      <c r="P147" s="35"/>
      <c r="Q147" s="36"/>
      <c r="R147" s="1"/>
      <c r="X147" s="1"/>
      <c r="AD147" s="1"/>
      <c r="AJ147" s="1"/>
      <c r="AP147" s="1"/>
      <c r="AQ147" s="60"/>
      <c r="AR147" s="54"/>
      <c r="AS147" s="39"/>
      <c r="AT147" s="35"/>
      <c r="AV147" s="1"/>
      <c r="BB147" s="1"/>
      <c r="BH147" s="1"/>
      <c r="BN147" s="1"/>
      <c r="BP147" s="54"/>
      <c r="BQ147" s="70"/>
      <c r="BT147" s="1"/>
    </row>
    <row r="148">
      <c r="A148" s="70"/>
      <c r="C148" s="70"/>
      <c r="D148" s="70"/>
      <c r="F148" s="1"/>
      <c r="L148" s="1"/>
      <c r="M148" s="87"/>
      <c r="N148" s="54"/>
      <c r="O148" s="70"/>
      <c r="P148" s="35"/>
      <c r="Q148" s="36"/>
      <c r="R148" s="1"/>
      <c r="X148" s="1"/>
      <c r="AD148" s="1"/>
      <c r="AJ148" s="1"/>
      <c r="AP148" s="1"/>
      <c r="AQ148" s="60"/>
      <c r="AR148" s="54"/>
      <c r="AS148" s="39"/>
      <c r="AT148" s="35"/>
      <c r="AV148" s="1"/>
      <c r="BB148" s="1"/>
      <c r="BH148" s="1"/>
      <c r="BN148" s="1"/>
      <c r="BQ148" s="70"/>
      <c r="BT148" s="1"/>
    </row>
    <row r="149">
      <c r="A149" s="70"/>
      <c r="C149" s="70"/>
      <c r="D149" s="70"/>
      <c r="F149" s="1"/>
      <c r="L149" s="1"/>
      <c r="M149" s="87"/>
      <c r="N149" s="54"/>
      <c r="O149" s="70"/>
      <c r="P149" s="35"/>
      <c r="Q149" s="36"/>
      <c r="R149" s="1"/>
      <c r="X149" s="1"/>
      <c r="AD149" s="1"/>
      <c r="AJ149" s="1"/>
      <c r="AP149" s="1"/>
      <c r="AQ149" s="60"/>
      <c r="AR149" s="54"/>
      <c r="AS149" s="39"/>
      <c r="AT149" s="35"/>
      <c r="AV149" s="1"/>
      <c r="BB149" s="1"/>
      <c r="BH149" s="1"/>
      <c r="BN149" s="1"/>
      <c r="BQ149" s="70"/>
      <c r="BT149" s="1"/>
    </row>
    <row r="150">
      <c r="A150" s="70"/>
      <c r="C150" s="70"/>
      <c r="D150" s="70"/>
      <c r="F150" s="1"/>
      <c r="L150" s="1"/>
      <c r="M150" s="87"/>
      <c r="N150" s="54"/>
      <c r="O150" s="70"/>
      <c r="P150" s="35"/>
      <c r="Q150" s="36"/>
      <c r="R150" s="1"/>
      <c r="X150" s="1"/>
      <c r="AD150" s="1"/>
      <c r="AJ150" s="1"/>
      <c r="AP150" s="1"/>
      <c r="AQ150" s="60"/>
      <c r="AR150" s="54"/>
      <c r="AS150" s="39"/>
      <c r="AT150" s="35"/>
      <c r="AV150" s="1"/>
      <c r="BB150" s="1"/>
      <c r="BH150" s="1"/>
      <c r="BN150" s="1"/>
      <c r="BQ150" s="70"/>
      <c r="BT150" s="1"/>
    </row>
    <row r="151">
      <c r="A151" s="70"/>
      <c r="C151" s="70"/>
      <c r="D151" s="70"/>
      <c r="F151" s="1"/>
      <c r="L151" s="1"/>
      <c r="R151" s="1"/>
      <c r="X151" s="1"/>
      <c r="AD151" s="1"/>
      <c r="AJ151" s="1"/>
      <c r="AP151" s="1"/>
      <c r="AQ151" s="60"/>
      <c r="AR151" s="54"/>
      <c r="AS151" s="39"/>
      <c r="AT151" s="35"/>
      <c r="AV151" s="1"/>
      <c r="BB151" s="1"/>
      <c r="BH151" s="1"/>
      <c r="BN151" s="1"/>
      <c r="BQ151" s="70"/>
      <c r="BT151" s="1"/>
    </row>
    <row r="152">
      <c r="A152" s="70"/>
      <c r="C152" s="70"/>
      <c r="D152" s="70"/>
      <c r="F152" s="1"/>
      <c r="L152" s="1"/>
      <c r="R152" s="1"/>
      <c r="X152" s="1"/>
      <c r="AD152" s="1"/>
      <c r="AJ152" s="1"/>
      <c r="AP152" s="1"/>
      <c r="AQ152" s="60"/>
      <c r="AR152" s="54"/>
      <c r="AS152" s="39"/>
      <c r="AT152" s="35"/>
      <c r="AV152" s="1"/>
      <c r="BB152" s="1"/>
      <c r="BH152" s="1"/>
      <c r="BN152" s="1"/>
      <c r="BQ152" s="70"/>
      <c r="BT152" s="1"/>
    </row>
    <row r="153">
      <c r="A153" s="70"/>
      <c r="C153" s="70"/>
      <c r="D153" s="70"/>
      <c r="F153" s="1"/>
      <c r="L153" s="1"/>
      <c r="R153" s="1"/>
      <c r="X153" s="1"/>
      <c r="AD153" s="1"/>
      <c r="AJ153" s="1"/>
      <c r="AP153" s="1"/>
      <c r="AQ153" s="60"/>
      <c r="AR153" s="54"/>
      <c r="AS153" s="39"/>
      <c r="AT153" s="35"/>
      <c r="AV153" s="1"/>
      <c r="BB153" s="1"/>
      <c r="BH153" s="1"/>
      <c r="BN153" s="1"/>
      <c r="BQ153" s="70"/>
      <c r="BT153" s="1"/>
    </row>
    <row r="154">
      <c r="A154" s="70"/>
      <c r="C154" s="70"/>
      <c r="D154" s="70"/>
      <c r="F154" s="1"/>
      <c r="L154" s="1"/>
      <c r="R154" s="1"/>
      <c r="X154" s="1"/>
      <c r="AD154" s="1"/>
      <c r="AJ154" s="1"/>
      <c r="AP154" s="1"/>
      <c r="AQ154" s="60"/>
      <c r="AR154" s="54"/>
      <c r="AS154" s="39"/>
      <c r="AT154" s="35"/>
      <c r="AV154" s="1"/>
      <c r="BB154" s="1"/>
      <c r="BH154" s="1"/>
      <c r="BN154" s="1"/>
      <c r="BQ154" s="70"/>
      <c r="BT154" s="1"/>
    </row>
    <row r="155">
      <c r="A155" s="70"/>
      <c r="C155" s="70"/>
      <c r="D155" s="70"/>
      <c r="F155" s="1"/>
      <c r="L155" s="1"/>
      <c r="R155" s="1"/>
      <c r="X155" s="1"/>
      <c r="AD155" s="1"/>
      <c r="AJ155" s="1"/>
      <c r="AP155" s="1"/>
      <c r="AQ155" s="60"/>
      <c r="AR155" s="54"/>
      <c r="AS155" s="39"/>
      <c r="AT155" s="35"/>
      <c r="AV155" s="1"/>
      <c r="BB155" s="1"/>
      <c r="BH155" s="1"/>
      <c r="BN155" s="1"/>
      <c r="BQ155" s="70"/>
      <c r="BT155" s="1"/>
    </row>
    <row r="156">
      <c r="A156" s="70"/>
      <c r="C156" s="70"/>
      <c r="D156" s="70"/>
      <c r="F156" s="1"/>
      <c r="L156" s="1"/>
      <c r="R156" s="1"/>
      <c r="X156" s="1"/>
      <c r="AD156" s="1"/>
      <c r="AJ156" s="1"/>
      <c r="AP156" s="1"/>
      <c r="AQ156" s="60"/>
      <c r="AR156" s="54"/>
      <c r="AS156" s="39"/>
      <c r="AT156" s="35"/>
      <c r="AV156" s="1"/>
      <c r="BB156" s="1"/>
      <c r="BH156" s="1"/>
      <c r="BN156" s="1"/>
      <c r="BQ156" s="70"/>
      <c r="BT156" s="1"/>
    </row>
    <row r="157">
      <c r="A157" s="70"/>
      <c r="C157" s="70"/>
      <c r="D157" s="70"/>
      <c r="F157" s="1"/>
      <c r="L157" s="1"/>
      <c r="R157" s="1"/>
      <c r="X157" s="1"/>
      <c r="AD157" s="1"/>
      <c r="AJ157" s="1"/>
      <c r="AP157" s="1"/>
      <c r="AQ157" s="60"/>
      <c r="AR157" s="54"/>
      <c r="AS157" s="39"/>
      <c r="AT157" s="35"/>
      <c r="AV157" s="1"/>
      <c r="BB157" s="1"/>
      <c r="BH157" s="1"/>
      <c r="BN157" s="1"/>
      <c r="BQ157" s="70"/>
      <c r="BT157" s="1"/>
    </row>
    <row r="158">
      <c r="A158" s="70"/>
      <c r="C158" s="70"/>
      <c r="D158" s="70"/>
      <c r="F158" s="1"/>
      <c r="L158" s="1"/>
      <c r="R158" s="1"/>
      <c r="X158" s="1"/>
      <c r="AD158" s="1"/>
      <c r="AJ158" s="1"/>
      <c r="AP158" s="1"/>
      <c r="AQ158" s="60"/>
      <c r="AR158" s="54"/>
      <c r="AS158" s="39"/>
      <c r="AT158" s="35"/>
      <c r="AV158" s="1"/>
      <c r="BB158" s="1"/>
      <c r="BH158" s="1"/>
      <c r="BN158" s="1"/>
      <c r="BQ158" s="70"/>
      <c r="BT158" s="1"/>
    </row>
    <row r="159">
      <c r="A159" s="70"/>
      <c r="C159" s="70"/>
      <c r="D159" s="70"/>
      <c r="F159" s="1"/>
      <c r="L159" s="1"/>
      <c r="R159" s="1"/>
      <c r="X159" s="1"/>
      <c r="AD159" s="1"/>
      <c r="AJ159" s="1"/>
      <c r="AP159" s="1"/>
      <c r="AQ159" s="60"/>
      <c r="AR159" s="54"/>
      <c r="AS159" s="39"/>
      <c r="AT159" s="35"/>
      <c r="AV159" s="1"/>
      <c r="BB159" s="1"/>
      <c r="BH159" s="1"/>
      <c r="BN159" s="1"/>
      <c r="BQ159" s="70"/>
      <c r="BT159" s="1"/>
    </row>
    <row r="160">
      <c r="A160" s="70"/>
      <c r="C160" s="70"/>
      <c r="D160" s="70"/>
      <c r="F160" s="1"/>
      <c r="L160" s="1"/>
      <c r="R160" s="1"/>
      <c r="X160" s="1"/>
      <c r="AD160" s="1"/>
      <c r="AJ160" s="1"/>
      <c r="AP160" s="1"/>
      <c r="AQ160" s="60"/>
      <c r="AR160" s="54"/>
      <c r="AS160" s="39"/>
      <c r="AT160" s="35"/>
      <c r="AV160" s="1"/>
      <c r="BB160" s="1"/>
      <c r="BH160" s="1"/>
      <c r="BN160" s="1"/>
      <c r="BQ160" s="70"/>
      <c r="BT160" s="1"/>
    </row>
    <row r="161">
      <c r="A161" s="70"/>
      <c r="C161" s="70"/>
      <c r="D161" s="70"/>
      <c r="F161" s="1"/>
      <c r="L161" s="1"/>
      <c r="R161" s="1"/>
      <c r="X161" s="1"/>
      <c r="AD161" s="1"/>
      <c r="AJ161" s="1"/>
      <c r="AP161" s="1"/>
      <c r="AQ161" s="60"/>
      <c r="AR161" s="54"/>
      <c r="AS161" s="39"/>
      <c r="AT161" s="35"/>
      <c r="AV161" s="1"/>
      <c r="BB161" s="1"/>
      <c r="BH161" s="1"/>
      <c r="BN161" s="1"/>
      <c r="BP161" s="64"/>
      <c r="BQ161" s="70"/>
      <c r="BT161" s="1"/>
    </row>
    <row r="162">
      <c r="A162" s="70"/>
      <c r="C162" s="70"/>
      <c r="D162" s="70"/>
      <c r="F162" s="1"/>
      <c r="L162" s="1"/>
      <c r="R162" s="1"/>
      <c r="X162" s="1"/>
      <c r="AD162" s="1"/>
      <c r="AJ162" s="1"/>
      <c r="AP162" s="1"/>
      <c r="AQ162" s="60"/>
      <c r="AR162" s="54"/>
      <c r="AS162" s="39"/>
      <c r="AT162" s="35"/>
      <c r="AV162" s="1"/>
      <c r="BB162" s="1"/>
      <c r="BH162" s="1"/>
      <c r="BN162" s="1"/>
      <c r="BP162" s="64"/>
      <c r="BQ162" s="70"/>
      <c r="BT162" s="1"/>
    </row>
    <row r="163">
      <c r="A163" s="70"/>
      <c r="C163" s="70"/>
      <c r="D163" s="70"/>
      <c r="F163" s="1"/>
      <c r="L163" s="1"/>
      <c r="R163" s="1"/>
      <c r="X163" s="1"/>
      <c r="AD163" s="1"/>
      <c r="AJ163" s="1"/>
      <c r="AP163" s="1"/>
      <c r="AQ163" s="60"/>
      <c r="AR163" s="54"/>
      <c r="AS163" s="39"/>
      <c r="AT163" s="35"/>
      <c r="AV163" s="1"/>
      <c r="BB163" s="1"/>
      <c r="BH163" s="1"/>
      <c r="BN163" s="1"/>
      <c r="BP163" s="64"/>
      <c r="BQ163" s="70"/>
      <c r="BT163" s="1"/>
    </row>
    <row r="164">
      <c r="A164" s="70"/>
      <c r="C164" s="70"/>
      <c r="D164" s="70"/>
      <c r="F164" s="1"/>
      <c r="L164" s="1"/>
      <c r="R164" s="1"/>
      <c r="X164" s="1"/>
      <c r="AD164" s="1"/>
      <c r="AJ164" s="1"/>
      <c r="AP164" s="1"/>
      <c r="AQ164" s="60"/>
      <c r="AR164" s="54"/>
      <c r="AS164" s="39"/>
      <c r="AT164" s="35"/>
      <c r="AV164" s="1"/>
      <c r="BB164" s="1"/>
      <c r="BH164" s="1"/>
      <c r="BN164" s="1"/>
      <c r="BP164" s="64"/>
      <c r="BQ164" s="70"/>
      <c r="BT164" s="1"/>
    </row>
    <row r="165">
      <c r="A165" s="70"/>
      <c r="C165" s="70"/>
      <c r="D165" s="70"/>
      <c r="F165" s="1"/>
      <c r="L165" s="1"/>
      <c r="R165" s="1"/>
      <c r="X165" s="1"/>
      <c r="AD165" s="1"/>
      <c r="AJ165" s="1"/>
      <c r="AP165" s="1"/>
      <c r="AQ165" s="60"/>
      <c r="AR165" s="54"/>
      <c r="AS165" s="39"/>
      <c r="AT165" s="35"/>
      <c r="AV165" s="1"/>
      <c r="BB165" s="1"/>
      <c r="BH165" s="1"/>
      <c r="BN165" s="1"/>
      <c r="BP165" s="64"/>
      <c r="BQ165" s="70"/>
      <c r="BT165" s="1"/>
    </row>
    <row r="166">
      <c r="A166" s="70"/>
      <c r="C166" s="70"/>
      <c r="D166" s="70"/>
      <c r="F166" s="1"/>
      <c r="L166" s="1"/>
      <c r="R166" s="1"/>
      <c r="X166" s="1"/>
      <c r="AD166" s="1"/>
      <c r="AJ166" s="1"/>
      <c r="AP166" s="1"/>
      <c r="AQ166" s="60"/>
      <c r="AR166" s="54"/>
      <c r="AS166" s="39"/>
      <c r="AT166" s="35"/>
      <c r="AV166" s="1"/>
      <c r="BB166" s="1"/>
      <c r="BH166" s="1"/>
      <c r="BN166" s="1"/>
      <c r="BP166" s="64"/>
      <c r="BQ166" s="70"/>
      <c r="BT166" s="1"/>
    </row>
    <row r="167">
      <c r="A167" s="70"/>
      <c r="C167" s="70"/>
      <c r="D167" s="70"/>
      <c r="F167" s="1"/>
      <c r="L167" s="1"/>
      <c r="R167" s="1"/>
      <c r="X167" s="1"/>
      <c r="AD167" s="1"/>
      <c r="AJ167" s="1"/>
      <c r="AP167" s="1"/>
      <c r="AQ167" s="60"/>
      <c r="AR167" s="54"/>
      <c r="AS167" s="39"/>
      <c r="AT167" s="35"/>
      <c r="AV167" s="1"/>
      <c r="BB167" s="1"/>
      <c r="BH167" s="1"/>
      <c r="BN167" s="1"/>
      <c r="BP167" s="64"/>
      <c r="BQ167" s="70"/>
      <c r="BT167" s="1"/>
    </row>
    <row r="168">
      <c r="A168" s="70"/>
      <c r="C168" s="70"/>
      <c r="D168" s="70"/>
      <c r="F168" s="1"/>
      <c r="L168" s="1"/>
      <c r="R168" s="1"/>
      <c r="X168" s="1"/>
      <c r="AD168" s="1"/>
      <c r="AJ168" s="1"/>
      <c r="AP168" s="1"/>
      <c r="AQ168" s="60"/>
      <c r="AR168" s="54"/>
      <c r="AS168" s="39"/>
      <c r="AT168" s="35"/>
      <c r="AV168" s="1"/>
      <c r="BB168" s="1"/>
      <c r="BH168" s="1"/>
      <c r="BN168" s="1"/>
      <c r="BP168" s="64"/>
      <c r="BQ168" s="70"/>
      <c r="BT168" s="1"/>
    </row>
    <row r="169">
      <c r="A169" s="70"/>
      <c r="C169" s="70"/>
      <c r="D169" s="70"/>
      <c r="F169" s="1"/>
      <c r="L169" s="1"/>
      <c r="R169" s="1"/>
      <c r="X169" s="1"/>
      <c r="AD169" s="1"/>
      <c r="AJ169" s="1"/>
      <c r="AP169" s="1"/>
      <c r="AQ169" s="60"/>
      <c r="AR169" s="54"/>
      <c r="AS169" s="39"/>
      <c r="AT169" s="35"/>
      <c r="AV169" s="1"/>
      <c r="BB169" s="1"/>
      <c r="BH169" s="1"/>
      <c r="BN169" s="1"/>
      <c r="BP169" s="64"/>
      <c r="BQ169" s="70"/>
      <c r="BT169" s="1"/>
    </row>
    <row r="170">
      <c r="A170" s="70"/>
      <c r="C170" s="70"/>
      <c r="D170" s="70"/>
      <c r="F170" s="1"/>
      <c r="L170" s="1"/>
      <c r="R170" s="1"/>
      <c r="X170" s="1"/>
      <c r="AD170" s="1"/>
      <c r="AJ170" s="1"/>
      <c r="AP170" s="1"/>
      <c r="AQ170" s="60"/>
      <c r="AR170" s="54"/>
      <c r="AS170" s="39"/>
      <c r="AT170" s="35"/>
      <c r="AV170" s="1"/>
      <c r="BB170" s="1"/>
      <c r="BH170" s="1"/>
      <c r="BN170" s="1"/>
      <c r="BP170" s="64"/>
      <c r="BQ170" s="70"/>
      <c r="BT170" s="1"/>
    </row>
    <row r="171">
      <c r="A171" s="70"/>
      <c r="C171" s="70"/>
      <c r="D171" s="70"/>
      <c r="F171" s="1"/>
      <c r="L171" s="1"/>
      <c r="R171" s="1"/>
      <c r="X171" s="1"/>
      <c r="AD171" s="1"/>
      <c r="AJ171" s="1"/>
      <c r="AP171" s="1"/>
      <c r="AQ171" s="60"/>
      <c r="AR171" s="54"/>
      <c r="AS171" s="39"/>
      <c r="AT171" s="35"/>
      <c r="AV171" s="1"/>
      <c r="BB171" s="1"/>
      <c r="BH171" s="1"/>
      <c r="BN171" s="1"/>
      <c r="BP171" s="64"/>
      <c r="BQ171" s="70"/>
      <c r="BT171" s="1"/>
    </row>
    <row r="172">
      <c r="A172" s="70"/>
      <c r="C172" s="70"/>
      <c r="D172" s="70"/>
      <c r="F172" s="1"/>
      <c r="L172" s="1"/>
      <c r="R172" s="1"/>
      <c r="X172" s="1"/>
      <c r="AD172" s="1"/>
      <c r="AJ172" s="1"/>
      <c r="AP172" s="1"/>
      <c r="AQ172" s="60"/>
      <c r="AR172" s="54"/>
      <c r="AS172" s="39"/>
      <c r="AT172" s="35"/>
      <c r="AV172" s="1"/>
      <c r="BB172" s="1"/>
      <c r="BH172" s="1"/>
      <c r="BN172" s="1"/>
      <c r="BP172" s="64"/>
      <c r="BQ172" s="70"/>
      <c r="BT172" s="1"/>
    </row>
    <row r="173">
      <c r="A173" s="70"/>
      <c r="C173" s="70"/>
      <c r="D173" s="70"/>
      <c r="F173" s="1"/>
      <c r="L173" s="1"/>
      <c r="R173" s="1"/>
      <c r="X173" s="1"/>
      <c r="AD173" s="1"/>
      <c r="AJ173" s="1"/>
      <c r="AP173" s="1"/>
      <c r="AQ173" s="60"/>
      <c r="AR173" s="54"/>
      <c r="AS173" s="39"/>
      <c r="AT173" s="35"/>
      <c r="AV173" s="1"/>
      <c r="BB173" s="1"/>
      <c r="BH173" s="1"/>
      <c r="BN173" s="1"/>
      <c r="BP173" s="64"/>
      <c r="BQ173" s="70"/>
      <c r="BT173" s="1"/>
    </row>
    <row r="174">
      <c r="A174" s="70"/>
      <c r="C174" s="70"/>
      <c r="D174" s="70"/>
      <c r="F174" s="1"/>
      <c r="L174" s="1"/>
      <c r="R174" s="1"/>
      <c r="X174" s="1"/>
      <c r="AD174" s="1"/>
      <c r="AJ174" s="1"/>
      <c r="AP174" s="1"/>
      <c r="AQ174" s="60"/>
      <c r="AR174" s="54"/>
      <c r="AS174" s="39"/>
      <c r="AT174" s="35"/>
      <c r="AV174" s="1"/>
      <c r="BB174" s="1"/>
      <c r="BH174" s="1"/>
      <c r="BN174" s="1"/>
      <c r="BP174" s="64"/>
      <c r="BQ174" s="70"/>
      <c r="BT174" s="1"/>
    </row>
    <row r="175">
      <c r="A175" s="70"/>
      <c r="C175" s="70"/>
      <c r="D175" s="70"/>
      <c r="F175" s="1"/>
      <c r="L175" s="1"/>
      <c r="R175" s="1"/>
      <c r="X175" s="1"/>
      <c r="AD175" s="1"/>
      <c r="AJ175" s="1"/>
      <c r="AP175" s="1"/>
      <c r="AQ175" s="60"/>
      <c r="AR175" s="54"/>
      <c r="AS175" s="39"/>
      <c r="AT175" s="35"/>
      <c r="AV175" s="1"/>
      <c r="BB175" s="1"/>
      <c r="BH175" s="1"/>
      <c r="BN175" s="1"/>
      <c r="BP175" s="64"/>
      <c r="BQ175" s="70"/>
      <c r="BT175" s="1"/>
    </row>
    <row r="176">
      <c r="A176" s="70"/>
      <c r="C176" s="70"/>
      <c r="D176" s="70"/>
      <c r="F176" s="1"/>
      <c r="L176" s="1"/>
      <c r="R176" s="1"/>
      <c r="X176" s="1"/>
      <c r="AD176" s="1"/>
      <c r="AJ176" s="1"/>
      <c r="AP176" s="1"/>
      <c r="AQ176" s="60"/>
      <c r="AR176" s="54"/>
      <c r="AS176" s="39"/>
      <c r="AT176" s="35"/>
      <c r="AV176" s="1"/>
      <c r="BB176" s="1"/>
      <c r="BH176" s="1"/>
      <c r="BN176" s="1"/>
      <c r="BP176" s="64"/>
      <c r="BQ176" s="70"/>
      <c r="BT176" s="1"/>
    </row>
    <row r="177">
      <c r="A177" s="70"/>
      <c r="C177" s="70"/>
      <c r="D177" s="70"/>
      <c r="F177" s="1"/>
      <c r="L177" s="1"/>
      <c r="R177" s="1"/>
      <c r="X177" s="1"/>
      <c r="AD177" s="1"/>
      <c r="AJ177" s="1"/>
      <c r="AP177" s="1"/>
      <c r="AQ177" s="60"/>
      <c r="AR177" s="54"/>
      <c r="AS177" s="39"/>
      <c r="AT177" s="35"/>
      <c r="AV177" s="1"/>
      <c r="BB177" s="1"/>
      <c r="BH177" s="1"/>
      <c r="BN177" s="1"/>
      <c r="BQ177" s="70"/>
      <c r="BT177" s="1"/>
    </row>
    <row r="178">
      <c r="A178" s="70"/>
      <c r="C178" s="70"/>
      <c r="D178" s="70"/>
      <c r="F178" s="1"/>
      <c r="L178" s="1"/>
      <c r="R178" s="1"/>
      <c r="X178" s="1"/>
      <c r="AD178" s="1"/>
      <c r="AJ178" s="1"/>
      <c r="AP178" s="1"/>
      <c r="AQ178" s="60"/>
      <c r="AR178" s="54"/>
      <c r="AS178" s="39"/>
      <c r="AT178" s="35"/>
      <c r="AV178" s="1"/>
      <c r="BB178" s="1"/>
      <c r="BH178" s="1"/>
      <c r="BN178" s="1"/>
      <c r="BQ178" s="70"/>
      <c r="BT178" s="1"/>
    </row>
    <row r="179">
      <c r="A179" s="70"/>
      <c r="C179" s="70"/>
      <c r="D179" s="70"/>
      <c r="F179" s="1"/>
      <c r="L179" s="1"/>
      <c r="R179" s="1"/>
      <c r="X179" s="1"/>
      <c r="AD179" s="1"/>
      <c r="AJ179" s="1"/>
      <c r="AP179" s="1"/>
      <c r="AQ179" s="60"/>
      <c r="AR179" s="54"/>
      <c r="AS179" s="39"/>
      <c r="AT179" s="35"/>
      <c r="AV179" s="1"/>
      <c r="BB179" s="1"/>
      <c r="BH179" s="1"/>
      <c r="BN179" s="1"/>
      <c r="BQ179" s="70"/>
      <c r="BT179" s="1"/>
    </row>
    <row r="180">
      <c r="A180" s="70"/>
      <c r="C180" s="70"/>
      <c r="D180" s="70"/>
      <c r="F180" s="1"/>
      <c r="L180" s="1"/>
      <c r="R180" s="1"/>
      <c r="X180" s="1"/>
      <c r="AD180" s="1"/>
      <c r="AJ180" s="1"/>
      <c r="AP180" s="1"/>
      <c r="AQ180" s="60"/>
      <c r="AR180" s="54"/>
      <c r="AS180" s="39"/>
      <c r="AT180" s="35"/>
      <c r="AV180" s="1"/>
      <c r="BB180" s="1"/>
      <c r="BH180" s="1"/>
      <c r="BN180" s="1"/>
      <c r="BQ180" s="70"/>
      <c r="BT180" s="1"/>
    </row>
    <row r="181">
      <c r="A181" s="70"/>
      <c r="C181" s="70"/>
      <c r="D181" s="70"/>
      <c r="F181" s="1"/>
      <c r="L181" s="1"/>
      <c r="R181" s="1"/>
      <c r="X181" s="1"/>
      <c r="AD181" s="1"/>
      <c r="AJ181" s="1"/>
      <c r="AP181" s="1"/>
      <c r="AQ181" s="60"/>
      <c r="AR181" s="54"/>
      <c r="AS181" s="39"/>
      <c r="AT181" s="35"/>
      <c r="AV181" s="1"/>
      <c r="BB181" s="1"/>
      <c r="BH181" s="1"/>
      <c r="BN181" s="1"/>
      <c r="BQ181" s="70"/>
      <c r="BT181" s="1"/>
    </row>
    <row r="182">
      <c r="A182" s="70"/>
      <c r="C182" s="70"/>
      <c r="D182" s="70"/>
      <c r="F182" s="1"/>
      <c r="L182" s="1"/>
      <c r="R182" s="1"/>
      <c r="X182" s="1"/>
      <c r="AD182" s="1"/>
      <c r="AJ182" s="1"/>
      <c r="AP182" s="1"/>
      <c r="AQ182" s="60"/>
      <c r="AR182" s="54"/>
      <c r="AS182" s="39"/>
      <c r="AT182" s="35"/>
      <c r="AV182" s="1"/>
      <c r="BB182" s="1"/>
      <c r="BH182" s="1"/>
      <c r="BN182" s="1"/>
      <c r="BQ182" s="70"/>
      <c r="BT182" s="1"/>
    </row>
    <row r="183">
      <c r="A183" s="70"/>
      <c r="C183" s="70"/>
      <c r="D183" s="70"/>
      <c r="F183" s="1"/>
      <c r="L183" s="1"/>
      <c r="R183" s="1"/>
      <c r="X183" s="1"/>
      <c r="AD183" s="1"/>
      <c r="AJ183" s="1"/>
      <c r="AP183" s="1"/>
      <c r="AQ183" s="60"/>
      <c r="AR183" s="54"/>
      <c r="AS183" s="39"/>
      <c r="AT183" s="35"/>
      <c r="AV183" s="1"/>
      <c r="BB183" s="1"/>
      <c r="BH183" s="1"/>
      <c r="BN183" s="1"/>
      <c r="BQ183" s="70"/>
      <c r="BT183" s="1"/>
    </row>
    <row r="184">
      <c r="A184" s="70"/>
      <c r="C184" s="70"/>
      <c r="D184" s="70"/>
      <c r="F184" s="1"/>
      <c r="L184" s="1"/>
      <c r="R184" s="1"/>
      <c r="X184" s="1"/>
      <c r="AD184" s="1"/>
      <c r="AJ184" s="1"/>
      <c r="AP184" s="1"/>
      <c r="AQ184" s="60"/>
      <c r="AR184" s="54"/>
      <c r="AS184" s="39"/>
      <c r="AT184" s="35"/>
      <c r="AV184" s="1"/>
      <c r="BB184" s="1"/>
      <c r="BH184" s="1"/>
      <c r="BN184" s="1"/>
      <c r="BQ184" s="70"/>
      <c r="BT184" s="1"/>
    </row>
    <row r="185">
      <c r="A185" s="70"/>
      <c r="C185" s="70"/>
      <c r="D185" s="70"/>
      <c r="F185" s="1"/>
      <c r="L185" s="1"/>
      <c r="R185" s="1"/>
      <c r="X185" s="1"/>
      <c r="AD185" s="1"/>
      <c r="AJ185" s="1"/>
      <c r="AP185" s="1"/>
      <c r="AQ185" s="60"/>
      <c r="AR185" s="54"/>
      <c r="AS185" s="39"/>
      <c r="AT185" s="35"/>
      <c r="AV185" s="1"/>
      <c r="BB185" s="1"/>
      <c r="BH185" s="1"/>
      <c r="BN185" s="1"/>
      <c r="BQ185" s="70"/>
      <c r="BT185" s="1"/>
    </row>
    <row r="186">
      <c r="A186" s="70"/>
      <c r="C186" s="70"/>
      <c r="D186" s="70"/>
      <c r="F186" s="1"/>
      <c r="L186" s="1"/>
      <c r="R186" s="1"/>
      <c r="X186" s="1"/>
      <c r="AD186" s="1"/>
      <c r="AJ186" s="1"/>
      <c r="AP186" s="1"/>
      <c r="AQ186" s="60"/>
      <c r="AR186" s="54"/>
      <c r="AS186" s="39"/>
      <c r="AT186" s="35"/>
      <c r="AV186" s="1"/>
      <c r="BB186" s="1"/>
      <c r="BH186" s="1"/>
      <c r="BN186" s="1"/>
      <c r="BQ186" s="70"/>
      <c r="BT186" s="1"/>
    </row>
    <row r="187">
      <c r="A187" s="70"/>
      <c r="C187" s="70"/>
      <c r="D187" s="70"/>
      <c r="F187" s="1"/>
      <c r="L187" s="1"/>
      <c r="R187" s="1"/>
      <c r="X187" s="1"/>
      <c r="AD187" s="1"/>
      <c r="AJ187" s="1"/>
      <c r="AP187" s="1"/>
      <c r="AQ187" s="60"/>
      <c r="AR187" s="54"/>
      <c r="AS187" s="39"/>
      <c r="AT187" s="35"/>
      <c r="AV187" s="1"/>
      <c r="BB187" s="1"/>
      <c r="BH187" s="1"/>
      <c r="BN187" s="1"/>
      <c r="BQ187" s="70"/>
      <c r="BT187" s="1"/>
    </row>
    <row r="188">
      <c r="A188" s="70"/>
      <c r="C188" s="70"/>
      <c r="D188" s="70"/>
      <c r="F188" s="1"/>
      <c r="L188" s="1"/>
      <c r="R188" s="1"/>
      <c r="X188" s="1"/>
      <c r="AD188" s="1"/>
      <c r="AJ188" s="1"/>
      <c r="AP188" s="1"/>
      <c r="AQ188" s="60"/>
      <c r="AR188" s="54"/>
      <c r="AS188" s="39"/>
      <c r="AT188" s="35"/>
      <c r="AV188" s="1"/>
      <c r="BB188" s="1"/>
      <c r="BH188" s="1"/>
      <c r="BN188" s="1"/>
      <c r="BQ188" s="70"/>
      <c r="BT188" s="1"/>
    </row>
    <row r="189">
      <c r="A189" s="70"/>
      <c r="C189" s="70"/>
      <c r="D189" s="70"/>
      <c r="F189" s="1"/>
      <c r="L189" s="1"/>
      <c r="R189" s="1"/>
      <c r="X189" s="1"/>
      <c r="AD189" s="1"/>
      <c r="AJ189" s="1"/>
      <c r="AP189" s="1"/>
      <c r="AQ189" s="60"/>
      <c r="AR189" s="54"/>
      <c r="AS189" s="39"/>
      <c r="AT189" s="35"/>
      <c r="AV189" s="1"/>
      <c r="BB189" s="1"/>
      <c r="BH189" s="1"/>
      <c r="BN189" s="1"/>
      <c r="BQ189" s="70"/>
      <c r="BT189" s="1"/>
    </row>
    <row r="190">
      <c r="A190" s="70"/>
      <c r="C190" s="70"/>
      <c r="D190" s="70"/>
      <c r="F190" s="1"/>
      <c r="L190" s="1"/>
      <c r="R190" s="1"/>
      <c r="X190" s="1"/>
      <c r="AD190" s="1"/>
      <c r="AJ190" s="1"/>
      <c r="AP190" s="1"/>
      <c r="AQ190" s="60"/>
      <c r="AR190" s="54"/>
      <c r="AS190" s="39"/>
      <c r="AT190" s="35"/>
      <c r="AV190" s="1"/>
      <c r="BB190" s="1"/>
      <c r="BH190" s="1"/>
      <c r="BN190" s="1"/>
      <c r="BQ190" s="70"/>
      <c r="BT190" s="1"/>
    </row>
    <row r="191">
      <c r="A191" s="70"/>
      <c r="C191" s="70"/>
      <c r="D191" s="70"/>
      <c r="F191" s="1"/>
      <c r="L191" s="1"/>
      <c r="R191" s="1"/>
      <c r="X191" s="1"/>
      <c r="AD191" s="1"/>
      <c r="AJ191" s="1"/>
      <c r="AP191" s="1"/>
      <c r="AQ191" s="60"/>
      <c r="AR191" s="54"/>
      <c r="AS191" s="39"/>
      <c r="AT191" s="35"/>
      <c r="AV191" s="1"/>
      <c r="BB191" s="1"/>
      <c r="BH191" s="1"/>
      <c r="BN191" s="1"/>
      <c r="BQ191" s="70"/>
      <c r="BT191" s="1"/>
    </row>
    <row r="192">
      <c r="A192" s="70"/>
      <c r="C192" s="70"/>
      <c r="D192" s="70"/>
      <c r="F192" s="1"/>
      <c r="L192" s="1"/>
      <c r="R192" s="1"/>
      <c r="X192" s="1"/>
      <c r="AD192" s="1"/>
      <c r="AJ192" s="1"/>
      <c r="AP192" s="1"/>
      <c r="AQ192" s="60"/>
      <c r="AR192" s="54"/>
      <c r="AS192" s="39"/>
      <c r="AT192" s="35"/>
      <c r="AV192" s="1"/>
      <c r="BB192" s="1"/>
      <c r="BH192" s="1"/>
      <c r="BN192" s="1"/>
      <c r="BQ192" s="70"/>
      <c r="BT192" s="1"/>
    </row>
    <row r="193">
      <c r="A193" s="70"/>
      <c r="F193" s="1"/>
      <c r="L193" s="1"/>
      <c r="R193" s="1"/>
      <c r="X193" s="1"/>
      <c r="AD193" s="1"/>
      <c r="AJ193" s="1"/>
      <c r="AP193" s="1"/>
      <c r="AQ193" s="60"/>
      <c r="AR193" s="54"/>
      <c r="AS193" s="39"/>
      <c r="AT193" s="35"/>
      <c r="AV193" s="1"/>
      <c r="BB193" s="1"/>
      <c r="BH193" s="1"/>
      <c r="BN193" s="1"/>
      <c r="BQ193" s="70"/>
      <c r="BT193" s="1"/>
    </row>
    <row r="194">
      <c r="A194" s="70"/>
      <c r="F194" s="1"/>
      <c r="L194" s="1"/>
      <c r="R194" s="1"/>
      <c r="X194" s="1"/>
      <c r="AD194" s="1"/>
      <c r="AJ194" s="1"/>
      <c r="AP194" s="1"/>
      <c r="AQ194" s="60"/>
      <c r="AR194" s="54"/>
      <c r="AS194" s="39"/>
      <c r="AT194" s="35"/>
      <c r="AV194" s="1"/>
      <c r="BB194" s="1"/>
      <c r="BH194" s="1"/>
      <c r="BN194" s="1"/>
      <c r="BQ194" s="70"/>
      <c r="BT194" s="1"/>
    </row>
    <row r="195">
      <c r="A195" s="70"/>
      <c r="F195" s="1"/>
      <c r="L195" s="1"/>
      <c r="R195" s="1"/>
      <c r="X195" s="1"/>
      <c r="AD195" s="1"/>
      <c r="AJ195" s="1"/>
      <c r="AP195" s="1"/>
      <c r="AQ195" s="60"/>
      <c r="AR195" s="54"/>
      <c r="AS195" s="39"/>
      <c r="AT195" s="35"/>
      <c r="AV195" s="1"/>
      <c r="BB195" s="1"/>
      <c r="BH195" s="1"/>
      <c r="BN195" s="1"/>
      <c r="BQ195" s="70"/>
      <c r="BT195" s="1"/>
    </row>
    <row r="196">
      <c r="A196" s="70"/>
      <c r="F196" s="1"/>
      <c r="L196" s="1"/>
      <c r="R196" s="1"/>
      <c r="X196" s="1"/>
      <c r="AD196" s="1"/>
      <c r="AJ196" s="1"/>
      <c r="AP196" s="1"/>
      <c r="AQ196" s="60"/>
      <c r="AR196" s="54"/>
      <c r="AS196" s="39"/>
      <c r="AT196" s="35"/>
      <c r="AV196" s="1"/>
      <c r="BB196" s="1"/>
      <c r="BH196" s="1"/>
      <c r="BN196" s="1"/>
      <c r="BQ196" s="70"/>
      <c r="BT196" s="1"/>
    </row>
    <row r="197">
      <c r="A197" s="70"/>
      <c r="F197" s="1"/>
      <c r="L197" s="1"/>
      <c r="R197" s="1"/>
      <c r="X197" s="1"/>
      <c r="AD197" s="1"/>
      <c r="AJ197" s="1"/>
      <c r="AP197" s="1"/>
      <c r="AQ197" s="60"/>
      <c r="AR197" s="54"/>
      <c r="AS197" s="39"/>
      <c r="AT197" s="35"/>
      <c r="AV197" s="1"/>
      <c r="BB197" s="1"/>
      <c r="BH197" s="1"/>
      <c r="BN197" s="1"/>
      <c r="BQ197" s="70"/>
      <c r="BT197" s="1"/>
    </row>
    <row r="198">
      <c r="A198" s="70"/>
      <c r="F198" s="1"/>
      <c r="L198" s="1"/>
      <c r="R198" s="1"/>
      <c r="X198" s="1"/>
      <c r="AD198" s="1"/>
      <c r="AJ198" s="1"/>
      <c r="AP198" s="1"/>
      <c r="AQ198" s="60"/>
      <c r="AR198" s="54"/>
      <c r="AS198" s="39"/>
      <c r="AT198" s="35"/>
      <c r="AV198" s="1"/>
      <c r="BB198" s="1"/>
      <c r="BH198" s="1"/>
      <c r="BN198" s="1"/>
      <c r="BQ198" s="70"/>
      <c r="BT198" s="1"/>
    </row>
    <row r="199">
      <c r="A199" s="70"/>
      <c r="F199" s="1"/>
      <c r="L199" s="1"/>
      <c r="R199" s="1"/>
      <c r="X199" s="1"/>
      <c r="AD199" s="1"/>
      <c r="AJ199" s="1"/>
      <c r="AP199" s="1"/>
      <c r="AQ199" s="60"/>
      <c r="AR199" s="54"/>
      <c r="AS199" s="39"/>
      <c r="AT199" s="35"/>
      <c r="AV199" s="1"/>
      <c r="BB199" s="1"/>
      <c r="BH199" s="1"/>
      <c r="BN199" s="1"/>
      <c r="BQ199" s="70"/>
      <c r="BT199" s="1"/>
    </row>
    <row r="200">
      <c r="A200" s="70"/>
      <c r="F200" s="1"/>
      <c r="L200" s="1"/>
      <c r="R200" s="1"/>
      <c r="X200" s="1"/>
      <c r="AD200" s="1"/>
      <c r="AJ200" s="1"/>
      <c r="AP200" s="1"/>
      <c r="AQ200" s="60"/>
      <c r="AR200" s="54"/>
      <c r="AS200" s="39"/>
      <c r="AT200" s="35"/>
      <c r="AV200" s="1"/>
      <c r="BB200" s="1"/>
      <c r="BH200" s="1"/>
      <c r="BN200" s="1"/>
      <c r="BQ200" s="70"/>
      <c r="BT200" s="1"/>
    </row>
    <row r="201">
      <c r="A201" s="70"/>
      <c r="F201" s="1"/>
      <c r="L201" s="1"/>
      <c r="R201" s="1"/>
      <c r="X201" s="1"/>
      <c r="AD201" s="1"/>
      <c r="AJ201" s="1"/>
      <c r="AP201" s="1"/>
      <c r="AQ201" s="60"/>
      <c r="AR201" s="54"/>
      <c r="AS201" s="39"/>
      <c r="AT201" s="35"/>
      <c r="AV201" s="1"/>
      <c r="BB201" s="1"/>
      <c r="BH201" s="1"/>
      <c r="BN201" s="1"/>
      <c r="BQ201" s="70"/>
      <c r="BT201" s="1"/>
    </row>
    <row r="202">
      <c r="A202" s="70"/>
      <c r="F202" s="1"/>
      <c r="L202" s="1"/>
      <c r="R202" s="1"/>
      <c r="X202" s="1"/>
      <c r="AD202" s="1"/>
      <c r="AJ202" s="1"/>
      <c r="AP202" s="1"/>
      <c r="AQ202" s="60"/>
      <c r="AR202" s="54"/>
      <c r="AS202" s="39"/>
      <c r="AT202" s="35"/>
      <c r="AV202" s="1"/>
      <c r="BB202" s="1"/>
      <c r="BH202" s="1"/>
      <c r="BN202" s="1"/>
      <c r="BQ202" s="70"/>
      <c r="BT202" s="1"/>
    </row>
    <row r="203">
      <c r="A203" s="70"/>
      <c r="F203" s="1"/>
      <c r="L203" s="1"/>
      <c r="R203" s="1"/>
      <c r="X203" s="1"/>
      <c r="AD203" s="1"/>
      <c r="AJ203" s="1"/>
      <c r="AP203" s="1"/>
      <c r="AQ203" s="60"/>
      <c r="AR203" s="54"/>
      <c r="AS203" s="39"/>
      <c r="AT203" s="35"/>
      <c r="AV203" s="1"/>
      <c r="BB203" s="1"/>
      <c r="BH203" s="1"/>
      <c r="BN203" s="1"/>
      <c r="BQ203" s="70"/>
      <c r="BT203" s="1"/>
    </row>
    <row r="204">
      <c r="A204" s="70"/>
      <c r="F204" s="1"/>
      <c r="L204" s="1"/>
      <c r="R204" s="1"/>
      <c r="X204" s="1"/>
      <c r="AD204" s="1"/>
      <c r="AJ204" s="1"/>
      <c r="AP204" s="1"/>
      <c r="AQ204" s="60"/>
      <c r="AR204" s="54"/>
      <c r="AS204" s="39"/>
      <c r="AT204" s="35"/>
      <c r="AV204" s="1"/>
      <c r="BB204" s="1"/>
      <c r="BH204" s="1"/>
      <c r="BN204" s="1"/>
      <c r="BQ204" s="70"/>
      <c r="BT204" s="1"/>
    </row>
    <row r="205">
      <c r="A205" s="70"/>
      <c r="F205" s="1"/>
      <c r="L205" s="1"/>
      <c r="R205" s="1"/>
      <c r="X205" s="1"/>
      <c r="AD205" s="1"/>
      <c r="AJ205" s="1"/>
      <c r="AP205" s="1"/>
      <c r="AQ205" s="60"/>
      <c r="AR205" s="54"/>
      <c r="AS205" s="39"/>
      <c r="AT205" s="35"/>
      <c r="AV205" s="1"/>
      <c r="BB205" s="1"/>
      <c r="BH205" s="1"/>
      <c r="BN205" s="1"/>
      <c r="BQ205" s="70"/>
      <c r="BT205" s="1"/>
    </row>
    <row r="206">
      <c r="A206" s="70"/>
      <c r="F206" s="1"/>
      <c r="L206" s="1"/>
      <c r="R206" s="1"/>
      <c r="X206" s="1"/>
      <c r="AD206" s="1"/>
      <c r="AJ206" s="1"/>
      <c r="AP206" s="1"/>
      <c r="AQ206" s="60"/>
      <c r="AR206" s="54"/>
      <c r="AS206" s="39"/>
      <c r="AT206" s="35"/>
      <c r="AV206" s="1"/>
      <c r="BB206" s="1"/>
      <c r="BH206" s="1"/>
      <c r="BN206" s="1"/>
      <c r="BQ206" s="70"/>
      <c r="BT206" s="1"/>
    </row>
    <row r="207">
      <c r="A207" s="70"/>
      <c r="F207" s="1"/>
      <c r="L207" s="1"/>
      <c r="R207" s="1"/>
      <c r="X207" s="1"/>
      <c r="AD207" s="1"/>
      <c r="AJ207" s="1"/>
      <c r="AP207" s="1"/>
      <c r="AQ207" s="60"/>
      <c r="AR207" s="54"/>
      <c r="AS207" s="39"/>
      <c r="AT207" s="35"/>
      <c r="AV207" s="1"/>
      <c r="BB207" s="1"/>
      <c r="BH207" s="1"/>
      <c r="BN207" s="1"/>
      <c r="BQ207" s="70"/>
      <c r="BT207" s="1"/>
    </row>
    <row r="208">
      <c r="A208" s="70"/>
      <c r="F208" s="1"/>
      <c r="L208" s="1"/>
      <c r="R208" s="1"/>
      <c r="X208" s="1"/>
      <c r="AD208" s="1"/>
      <c r="AJ208" s="1"/>
      <c r="AP208" s="1"/>
      <c r="AQ208" s="60"/>
      <c r="AR208" s="54"/>
      <c r="AS208" s="39"/>
      <c r="AT208" s="35"/>
      <c r="AV208" s="1"/>
      <c r="BB208" s="1"/>
      <c r="BH208" s="1"/>
      <c r="BN208" s="1"/>
      <c r="BQ208" s="70"/>
      <c r="BT208" s="1"/>
    </row>
    <row r="209">
      <c r="A209" s="70"/>
      <c r="F209" s="1"/>
      <c r="L209" s="1"/>
      <c r="R209" s="1"/>
      <c r="X209" s="1"/>
      <c r="AD209" s="1"/>
      <c r="AJ209" s="1"/>
      <c r="AP209" s="1"/>
      <c r="AQ209" s="60"/>
      <c r="AR209" s="54"/>
      <c r="AS209" s="39"/>
      <c r="AT209" s="35"/>
      <c r="AV209" s="1"/>
      <c r="BB209" s="1"/>
      <c r="BH209" s="1"/>
      <c r="BN209" s="1"/>
      <c r="BQ209" s="70"/>
      <c r="BT209" s="1"/>
    </row>
    <row r="210">
      <c r="A210" s="70"/>
      <c r="F210" s="1"/>
      <c r="L210" s="1"/>
      <c r="R210" s="1"/>
      <c r="X210" s="1"/>
      <c r="AD210" s="1"/>
      <c r="AJ210" s="1"/>
      <c r="AP210" s="1"/>
      <c r="AQ210" s="60"/>
      <c r="AR210" s="54"/>
      <c r="AS210" s="39"/>
      <c r="AT210" s="35"/>
      <c r="AV210" s="1"/>
      <c r="BB210" s="1"/>
      <c r="BH210" s="1"/>
      <c r="BN210" s="1"/>
      <c r="BQ210" s="70"/>
      <c r="BT210" s="1"/>
    </row>
    <row r="211">
      <c r="A211" s="70"/>
      <c r="F211" s="1"/>
      <c r="L211" s="1"/>
      <c r="R211" s="1"/>
      <c r="X211" s="1"/>
      <c r="AD211" s="1"/>
      <c r="AJ211" s="1"/>
      <c r="AP211" s="1"/>
      <c r="AQ211" s="60"/>
      <c r="AR211" s="54"/>
      <c r="AS211" s="39"/>
      <c r="AT211" s="35"/>
      <c r="AV211" s="1"/>
      <c r="BB211" s="1"/>
      <c r="BH211" s="1"/>
      <c r="BN211" s="1"/>
      <c r="BQ211" s="70"/>
      <c r="BT211" s="1"/>
    </row>
    <row r="212">
      <c r="A212" s="70"/>
      <c r="F212" s="1"/>
      <c r="L212" s="1"/>
      <c r="R212" s="1"/>
      <c r="X212" s="1"/>
      <c r="AD212" s="1"/>
      <c r="AJ212" s="1"/>
      <c r="AP212" s="1"/>
      <c r="AQ212" s="60"/>
      <c r="AR212" s="54"/>
      <c r="AS212" s="39"/>
      <c r="AT212" s="35"/>
      <c r="AV212" s="1"/>
      <c r="BB212" s="1"/>
      <c r="BH212" s="1"/>
      <c r="BN212" s="1"/>
      <c r="BQ212" s="70"/>
      <c r="BT212" s="1"/>
    </row>
    <row r="213">
      <c r="A213" s="70"/>
      <c r="F213" s="1"/>
      <c r="L213" s="1"/>
      <c r="R213" s="1"/>
      <c r="X213" s="1"/>
      <c r="AD213" s="1"/>
      <c r="AJ213" s="1"/>
      <c r="AP213" s="1"/>
      <c r="AQ213" s="60"/>
      <c r="AR213" s="54"/>
      <c r="AS213" s="39"/>
      <c r="AT213" s="35"/>
      <c r="AV213" s="1"/>
      <c r="BB213" s="1"/>
      <c r="BH213" s="1"/>
      <c r="BN213" s="1"/>
      <c r="BQ213" s="70"/>
      <c r="BT213" s="1"/>
    </row>
    <row r="214">
      <c r="A214" s="70"/>
      <c r="F214" s="1"/>
      <c r="L214" s="1"/>
      <c r="R214" s="1"/>
      <c r="X214" s="1"/>
      <c r="AD214" s="1"/>
      <c r="AJ214" s="1"/>
      <c r="AP214" s="1"/>
      <c r="AQ214" s="60"/>
      <c r="AR214" s="54"/>
      <c r="AS214" s="39"/>
      <c r="AT214" s="35"/>
      <c r="AV214" s="1"/>
      <c r="BB214" s="1"/>
      <c r="BH214" s="1"/>
      <c r="BN214" s="1"/>
      <c r="BQ214" s="70"/>
      <c r="BT214" s="1"/>
    </row>
    <row r="215">
      <c r="A215" s="70"/>
      <c r="F215" s="1"/>
      <c r="L215" s="1"/>
      <c r="R215" s="1"/>
      <c r="X215" s="1"/>
      <c r="AD215" s="1"/>
      <c r="AJ215" s="1"/>
      <c r="AP215" s="1"/>
      <c r="AQ215" s="60"/>
      <c r="AR215" s="54"/>
      <c r="AS215" s="39"/>
      <c r="AT215" s="35"/>
      <c r="AV215" s="1"/>
      <c r="BB215" s="1"/>
      <c r="BH215" s="1"/>
      <c r="BN215" s="1"/>
      <c r="BQ215" s="70"/>
      <c r="BT215" s="1"/>
    </row>
    <row r="216">
      <c r="A216" s="70"/>
      <c r="F216" s="1"/>
      <c r="L216" s="1"/>
      <c r="R216" s="1"/>
      <c r="X216" s="1"/>
      <c r="AD216" s="1"/>
      <c r="AJ216" s="1"/>
      <c r="AP216" s="1"/>
      <c r="AQ216" s="60"/>
      <c r="AR216" s="54"/>
      <c r="AS216" s="39"/>
      <c r="AT216" s="35"/>
      <c r="AV216" s="1"/>
      <c r="BB216" s="1"/>
      <c r="BH216" s="1"/>
      <c r="BN216" s="1"/>
      <c r="BQ216" s="70"/>
      <c r="BT216" s="1"/>
    </row>
    <row r="217">
      <c r="A217" s="70"/>
      <c r="F217" s="1"/>
      <c r="L217" s="1"/>
      <c r="R217" s="1"/>
      <c r="X217" s="1"/>
      <c r="AD217" s="1"/>
      <c r="AJ217" s="1"/>
      <c r="AP217" s="1"/>
      <c r="AQ217" s="60"/>
      <c r="AR217" s="54"/>
      <c r="AS217" s="39"/>
      <c r="AT217" s="35"/>
      <c r="AV217" s="1"/>
      <c r="BB217" s="1"/>
      <c r="BH217" s="1"/>
      <c r="BN217" s="1"/>
      <c r="BQ217" s="70"/>
      <c r="BT217" s="1"/>
    </row>
    <row r="218">
      <c r="A218" s="70"/>
      <c r="F218" s="1"/>
      <c r="L218" s="1"/>
      <c r="R218" s="1"/>
      <c r="X218" s="1"/>
      <c r="AD218" s="1"/>
      <c r="AJ218" s="1"/>
      <c r="AP218" s="1"/>
      <c r="AQ218" s="60"/>
      <c r="AR218" s="54"/>
      <c r="AS218" s="39"/>
      <c r="AT218" s="35"/>
      <c r="AV218" s="1"/>
      <c r="BB218" s="1"/>
      <c r="BH218" s="1"/>
      <c r="BN218" s="1"/>
      <c r="BQ218" s="70"/>
      <c r="BT218" s="1"/>
    </row>
    <row r="219">
      <c r="A219" s="70"/>
      <c r="F219" s="1"/>
      <c r="L219" s="1"/>
      <c r="R219" s="1"/>
      <c r="X219" s="1"/>
      <c r="AD219" s="1"/>
      <c r="AJ219" s="1"/>
      <c r="AP219" s="1"/>
      <c r="AQ219" s="60"/>
      <c r="AR219" s="54"/>
      <c r="AS219" s="39"/>
      <c r="AT219" s="35"/>
      <c r="AV219" s="1"/>
      <c r="BB219" s="1"/>
      <c r="BH219" s="1"/>
      <c r="BN219" s="1"/>
      <c r="BQ219" s="70"/>
      <c r="BT219" s="1"/>
    </row>
    <row r="220">
      <c r="A220" s="70"/>
      <c r="F220" s="1"/>
      <c r="L220" s="1"/>
      <c r="R220" s="1"/>
      <c r="X220" s="1"/>
      <c r="AD220" s="1"/>
      <c r="AJ220" s="1"/>
      <c r="AP220" s="1"/>
      <c r="AQ220" s="60"/>
      <c r="AR220" s="54"/>
      <c r="AS220" s="39"/>
      <c r="AT220" s="35"/>
      <c r="AV220" s="1"/>
      <c r="BB220" s="1"/>
      <c r="BH220" s="1"/>
      <c r="BN220" s="1"/>
      <c r="BQ220" s="70"/>
      <c r="BT220" s="1"/>
    </row>
    <row r="221">
      <c r="A221" s="70"/>
      <c r="F221" s="1"/>
      <c r="L221" s="1"/>
      <c r="R221" s="1"/>
      <c r="X221" s="1"/>
      <c r="AD221" s="1"/>
      <c r="AJ221" s="1"/>
      <c r="AP221" s="1"/>
      <c r="AQ221" s="60"/>
      <c r="AR221" s="54"/>
      <c r="AS221" s="39"/>
      <c r="AT221" s="35"/>
      <c r="AV221" s="1"/>
      <c r="BB221" s="1"/>
      <c r="BH221" s="1"/>
      <c r="BN221" s="1"/>
      <c r="BQ221" s="70"/>
      <c r="BT221" s="1"/>
    </row>
    <row r="222">
      <c r="A222" s="70"/>
      <c r="F222" s="1"/>
      <c r="L222" s="1"/>
      <c r="R222" s="1"/>
      <c r="X222" s="1"/>
      <c r="AD222" s="1"/>
      <c r="AJ222" s="1"/>
      <c r="AP222" s="1"/>
      <c r="AQ222" s="60"/>
      <c r="AR222" s="54"/>
      <c r="AS222" s="39"/>
      <c r="AT222" s="35"/>
      <c r="AV222" s="1"/>
      <c r="BB222" s="1"/>
      <c r="BH222" s="1"/>
      <c r="BN222" s="1"/>
      <c r="BQ222" s="70"/>
      <c r="BT222" s="1"/>
    </row>
    <row r="223">
      <c r="A223" s="70"/>
      <c r="F223" s="1"/>
      <c r="L223" s="1"/>
      <c r="R223" s="1"/>
      <c r="X223" s="1"/>
      <c r="AD223" s="1"/>
      <c r="AJ223" s="1"/>
      <c r="AP223" s="1"/>
      <c r="AQ223" s="60"/>
      <c r="AR223" s="54"/>
      <c r="AS223" s="39"/>
      <c r="AT223" s="35"/>
      <c r="AV223" s="1"/>
      <c r="BB223" s="1"/>
      <c r="BH223" s="1"/>
      <c r="BN223" s="1"/>
      <c r="BQ223" s="70"/>
      <c r="BT223" s="1"/>
    </row>
    <row r="224">
      <c r="A224" s="70"/>
      <c r="F224" s="1"/>
      <c r="L224" s="1"/>
      <c r="R224" s="1"/>
      <c r="X224" s="1"/>
      <c r="AD224" s="1"/>
      <c r="AJ224" s="1"/>
      <c r="AP224" s="1"/>
      <c r="AQ224" s="60"/>
      <c r="AR224" s="54"/>
      <c r="AS224" s="39"/>
      <c r="AT224" s="35"/>
      <c r="AV224" s="1"/>
      <c r="BB224" s="1"/>
      <c r="BH224" s="1"/>
      <c r="BN224" s="1"/>
      <c r="BQ224" s="70"/>
      <c r="BT224" s="1"/>
    </row>
    <row r="225">
      <c r="A225" s="70"/>
      <c r="F225" s="1"/>
      <c r="L225" s="1"/>
      <c r="R225" s="1"/>
      <c r="X225" s="1"/>
      <c r="AD225" s="1"/>
      <c r="AJ225" s="1"/>
      <c r="AP225" s="1"/>
      <c r="AQ225" s="60"/>
      <c r="AR225" s="54"/>
      <c r="AS225" s="39"/>
      <c r="AT225" s="35"/>
      <c r="AV225" s="1"/>
      <c r="BB225" s="1"/>
      <c r="BH225" s="1"/>
      <c r="BN225" s="1"/>
      <c r="BQ225" s="70"/>
      <c r="BT225" s="1"/>
    </row>
    <row r="226">
      <c r="A226" s="70"/>
      <c r="F226" s="1"/>
      <c r="L226" s="1"/>
      <c r="R226" s="1"/>
      <c r="X226" s="1"/>
      <c r="AD226" s="1"/>
      <c r="AJ226" s="1"/>
      <c r="AP226" s="1"/>
      <c r="AQ226" s="60"/>
      <c r="AR226" s="54"/>
      <c r="AS226" s="39"/>
      <c r="AT226" s="35"/>
      <c r="AV226" s="1"/>
      <c r="BB226" s="1"/>
      <c r="BH226" s="1"/>
      <c r="BN226" s="1"/>
      <c r="BQ226" s="70"/>
      <c r="BT226" s="1"/>
    </row>
    <row r="227">
      <c r="A227" s="70"/>
      <c r="F227" s="1"/>
      <c r="L227" s="1"/>
      <c r="R227" s="1"/>
      <c r="X227" s="1"/>
      <c r="AD227" s="1"/>
      <c r="AJ227" s="1"/>
      <c r="AP227" s="1"/>
      <c r="AQ227" s="60"/>
      <c r="AR227" s="54"/>
      <c r="AS227" s="39"/>
      <c r="AT227" s="35"/>
      <c r="AV227" s="1"/>
      <c r="BB227" s="1"/>
      <c r="BH227" s="1"/>
      <c r="BN227" s="1"/>
      <c r="BQ227" s="70"/>
      <c r="BT227" s="1"/>
    </row>
    <row r="228">
      <c r="A228" s="70"/>
      <c r="F228" s="1"/>
      <c r="L228" s="1"/>
      <c r="R228" s="1"/>
      <c r="X228" s="1"/>
      <c r="AD228" s="1"/>
      <c r="AJ228" s="1"/>
      <c r="AP228" s="1"/>
      <c r="AQ228" s="60"/>
      <c r="AR228" s="54"/>
      <c r="AS228" s="39"/>
      <c r="AT228" s="35"/>
      <c r="AV228" s="1"/>
      <c r="BB228" s="1"/>
      <c r="BH228" s="1"/>
      <c r="BN228" s="1"/>
      <c r="BQ228" s="70"/>
      <c r="BT228" s="1"/>
    </row>
    <row r="229">
      <c r="A229" s="70"/>
      <c r="F229" s="1"/>
      <c r="L229" s="1"/>
      <c r="R229" s="1"/>
      <c r="X229" s="1"/>
      <c r="AD229" s="1"/>
      <c r="AJ229" s="1"/>
      <c r="AP229" s="1"/>
      <c r="AQ229" s="60"/>
      <c r="AR229" s="54"/>
      <c r="AS229" s="39"/>
      <c r="AT229" s="35"/>
      <c r="AV229" s="1"/>
      <c r="BB229" s="1"/>
      <c r="BH229" s="1"/>
      <c r="BN229" s="1"/>
      <c r="BQ229" s="70"/>
      <c r="BT229" s="1"/>
    </row>
    <row r="230">
      <c r="A230" s="70"/>
      <c r="F230" s="1"/>
      <c r="L230" s="1"/>
      <c r="R230" s="1"/>
      <c r="X230" s="1"/>
      <c r="AD230" s="1"/>
      <c r="AJ230" s="1"/>
      <c r="AP230" s="1"/>
      <c r="AQ230" s="60"/>
      <c r="AR230" s="54"/>
      <c r="AS230" s="39"/>
      <c r="AT230" s="35"/>
      <c r="AV230" s="1"/>
      <c r="BB230" s="1"/>
      <c r="BH230" s="1"/>
      <c r="BN230" s="1"/>
      <c r="BQ230" s="70"/>
      <c r="BT230" s="1"/>
    </row>
    <row r="231">
      <c r="A231" s="70"/>
      <c r="F231" s="1"/>
      <c r="L231" s="1"/>
      <c r="R231" s="1"/>
      <c r="X231" s="1"/>
      <c r="AD231" s="1"/>
      <c r="AJ231" s="1"/>
      <c r="AP231" s="1"/>
      <c r="AQ231" s="60"/>
      <c r="AR231" s="54"/>
      <c r="AS231" s="39"/>
      <c r="AT231" s="35"/>
      <c r="AV231" s="1"/>
      <c r="BB231" s="1"/>
      <c r="BH231" s="1"/>
      <c r="BN231" s="1"/>
      <c r="BQ231" s="70"/>
      <c r="BT231" s="1"/>
    </row>
    <row r="232">
      <c r="A232" s="70"/>
      <c r="F232" s="1"/>
      <c r="L232" s="1"/>
      <c r="R232" s="1"/>
      <c r="X232" s="1"/>
      <c r="AD232" s="1"/>
      <c r="AJ232" s="1"/>
      <c r="AP232" s="1"/>
      <c r="AQ232" s="60"/>
      <c r="AR232" s="54"/>
      <c r="AS232" s="39"/>
      <c r="AT232" s="35"/>
      <c r="AV232" s="1"/>
      <c r="BB232" s="1"/>
      <c r="BH232" s="1"/>
      <c r="BN232" s="1"/>
      <c r="BQ232" s="70"/>
      <c r="BT232" s="1"/>
    </row>
    <row r="233">
      <c r="A233" s="70"/>
      <c r="F233" s="1"/>
      <c r="L233" s="1"/>
      <c r="R233" s="1"/>
      <c r="X233" s="1"/>
      <c r="AD233" s="1"/>
      <c r="AJ233" s="1"/>
      <c r="AP233" s="1"/>
      <c r="AQ233" s="60"/>
      <c r="AR233" s="54"/>
      <c r="AS233" s="39"/>
      <c r="AT233" s="35"/>
      <c r="AV233" s="1"/>
      <c r="BB233" s="1"/>
      <c r="BH233" s="1"/>
      <c r="BN233" s="1"/>
      <c r="BP233" s="64"/>
      <c r="BQ233" s="70"/>
      <c r="BT233" s="1"/>
    </row>
    <row r="234">
      <c r="A234" s="70"/>
      <c r="F234" s="1"/>
      <c r="L234" s="1"/>
      <c r="R234" s="1"/>
      <c r="X234" s="1"/>
      <c r="AD234" s="1"/>
      <c r="AJ234" s="1"/>
      <c r="AP234" s="1"/>
      <c r="AQ234" s="60"/>
      <c r="AR234" s="54"/>
      <c r="AS234" s="39"/>
      <c r="AT234" s="35"/>
      <c r="AV234" s="1"/>
      <c r="BB234" s="1"/>
      <c r="BH234" s="1"/>
      <c r="BN234" s="1"/>
      <c r="BP234" s="64"/>
      <c r="BQ234" s="70"/>
      <c r="BT234" s="1"/>
    </row>
    <row r="235">
      <c r="A235" s="70"/>
      <c r="F235" s="1"/>
      <c r="L235" s="1"/>
      <c r="R235" s="1"/>
      <c r="X235" s="1"/>
      <c r="AD235" s="1"/>
      <c r="AJ235" s="1"/>
      <c r="AP235" s="1"/>
      <c r="AQ235" s="60"/>
      <c r="AR235" s="54"/>
      <c r="AS235" s="39"/>
      <c r="AT235" s="35"/>
      <c r="AV235" s="1"/>
      <c r="BB235" s="1"/>
      <c r="BH235" s="1"/>
      <c r="BN235" s="1"/>
      <c r="BP235" s="64"/>
      <c r="BQ235" s="70"/>
      <c r="BT235" s="1"/>
    </row>
    <row r="236">
      <c r="A236" s="70"/>
      <c r="F236" s="1"/>
      <c r="L236" s="1"/>
      <c r="R236" s="1"/>
      <c r="X236" s="1"/>
      <c r="AD236" s="1"/>
      <c r="AJ236" s="1"/>
      <c r="AP236" s="1"/>
      <c r="AQ236" s="60"/>
      <c r="AR236" s="54"/>
      <c r="AS236" s="39"/>
      <c r="AT236" s="35"/>
      <c r="AV236" s="1"/>
      <c r="BB236" s="1"/>
      <c r="BH236" s="1"/>
      <c r="BN236" s="1"/>
      <c r="BP236" s="64"/>
      <c r="BQ236" s="70"/>
      <c r="BT236" s="1"/>
    </row>
    <row r="237">
      <c r="A237" s="70"/>
      <c r="F237" s="1"/>
      <c r="L237" s="1"/>
      <c r="R237" s="1"/>
      <c r="X237" s="1"/>
      <c r="AD237" s="1"/>
      <c r="AJ237" s="1"/>
      <c r="AP237" s="1"/>
      <c r="AQ237" s="60"/>
      <c r="AR237" s="54"/>
      <c r="AS237" s="39"/>
      <c r="AT237" s="35"/>
      <c r="AV237" s="1"/>
      <c r="BB237" s="1"/>
      <c r="BH237" s="1"/>
      <c r="BN237" s="1"/>
      <c r="BP237" s="64"/>
      <c r="BQ237" s="70"/>
      <c r="BT237" s="1"/>
    </row>
    <row r="238">
      <c r="A238" s="70"/>
      <c r="F238" s="1"/>
      <c r="L238" s="1"/>
      <c r="R238" s="1"/>
      <c r="X238" s="1"/>
      <c r="AD238" s="1"/>
      <c r="AJ238" s="1"/>
      <c r="AP238" s="1"/>
      <c r="AQ238" s="60"/>
      <c r="AR238" s="54"/>
      <c r="AS238" s="39"/>
      <c r="AT238" s="35"/>
      <c r="AV238" s="1"/>
      <c r="BB238" s="1"/>
      <c r="BH238" s="1"/>
      <c r="BN238" s="1"/>
      <c r="BP238" s="64"/>
      <c r="BQ238" s="70"/>
      <c r="BT238" s="1"/>
    </row>
    <row r="239">
      <c r="A239" s="70"/>
      <c r="F239" s="1"/>
      <c r="L239" s="1"/>
      <c r="R239" s="1"/>
      <c r="X239" s="1"/>
      <c r="AD239" s="1"/>
      <c r="AJ239" s="1"/>
      <c r="AP239" s="1"/>
      <c r="AQ239" s="60"/>
      <c r="AR239" s="54"/>
      <c r="AS239" s="39"/>
      <c r="AT239" s="35"/>
      <c r="AV239" s="1"/>
      <c r="BB239" s="1"/>
      <c r="BH239" s="1"/>
      <c r="BN239" s="1"/>
      <c r="BP239" s="64"/>
      <c r="BQ239" s="70"/>
      <c r="BT239" s="1"/>
    </row>
    <row r="240">
      <c r="A240" s="70"/>
      <c r="F240" s="1"/>
      <c r="L240" s="1"/>
      <c r="R240" s="1"/>
      <c r="X240" s="1"/>
      <c r="AD240" s="1"/>
      <c r="AJ240" s="1"/>
      <c r="AP240" s="1"/>
      <c r="AQ240" s="60"/>
      <c r="AR240" s="54"/>
      <c r="AS240" s="39"/>
      <c r="AT240" s="35"/>
      <c r="AV240" s="1"/>
      <c r="BB240" s="1"/>
      <c r="BH240" s="1"/>
      <c r="BN240" s="1"/>
      <c r="BP240" s="64"/>
      <c r="BQ240" s="70"/>
      <c r="BT240" s="1"/>
    </row>
    <row r="241">
      <c r="A241" s="70"/>
      <c r="F241" s="1"/>
      <c r="L241" s="1"/>
      <c r="R241" s="1"/>
      <c r="X241" s="1"/>
      <c r="AD241" s="1"/>
      <c r="AJ241" s="1"/>
      <c r="AP241" s="1"/>
      <c r="AQ241" s="60"/>
      <c r="AR241" s="54"/>
      <c r="AS241" s="39"/>
      <c r="AT241" s="35"/>
      <c r="AV241" s="1"/>
      <c r="BB241" s="1"/>
      <c r="BH241" s="1"/>
      <c r="BN241" s="1"/>
      <c r="BP241" s="64"/>
      <c r="BQ241" s="70"/>
      <c r="BT241" s="1"/>
    </row>
    <row r="242">
      <c r="A242" s="70"/>
      <c r="F242" s="1"/>
      <c r="L242" s="1"/>
      <c r="R242" s="1"/>
      <c r="X242" s="1"/>
      <c r="AD242" s="1"/>
      <c r="AJ242" s="1"/>
      <c r="AP242" s="1"/>
      <c r="AQ242" s="60"/>
      <c r="AR242" s="54"/>
      <c r="AS242" s="39"/>
      <c r="AT242" s="35"/>
      <c r="AV242" s="1"/>
      <c r="BB242" s="1"/>
      <c r="BH242" s="1"/>
      <c r="BN242" s="1"/>
      <c r="BP242" s="64"/>
      <c r="BQ242" s="70"/>
      <c r="BT242" s="1"/>
    </row>
    <row r="243">
      <c r="A243" s="70"/>
      <c r="F243" s="1"/>
      <c r="L243" s="1"/>
      <c r="R243" s="1"/>
      <c r="X243" s="1"/>
      <c r="AD243" s="1"/>
      <c r="AJ243" s="1"/>
      <c r="AP243" s="1"/>
      <c r="AQ243" s="60"/>
      <c r="AR243" s="54"/>
      <c r="AS243" s="39"/>
      <c r="AT243" s="35"/>
      <c r="AV243" s="1"/>
      <c r="BB243" s="1"/>
      <c r="BH243" s="1"/>
      <c r="BN243" s="1"/>
      <c r="BP243" s="64"/>
      <c r="BQ243" s="70"/>
      <c r="BT243" s="1"/>
    </row>
    <row r="244">
      <c r="A244" s="70"/>
      <c r="F244" s="1"/>
      <c r="L244" s="1"/>
      <c r="R244" s="1"/>
      <c r="X244" s="1"/>
      <c r="AD244" s="1"/>
      <c r="AJ244" s="1"/>
      <c r="AP244" s="1"/>
      <c r="AQ244" s="60"/>
      <c r="AR244" s="54"/>
      <c r="AS244" s="39"/>
      <c r="AT244" s="35"/>
      <c r="AV244" s="1"/>
      <c r="BB244" s="1"/>
      <c r="BH244" s="1"/>
      <c r="BN244" s="1"/>
      <c r="BP244" s="64"/>
      <c r="BQ244" s="70"/>
      <c r="BT244" s="1"/>
    </row>
    <row r="245">
      <c r="A245" s="70"/>
      <c r="F245" s="1"/>
      <c r="L245" s="1"/>
      <c r="R245" s="1"/>
      <c r="X245" s="1"/>
      <c r="AD245" s="1"/>
      <c r="AJ245" s="1"/>
      <c r="AP245" s="1"/>
      <c r="AQ245" s="60"/>
      <c r="AR245" s="54"/>
      <c r="AS245" s="39"/>
      <c r="AT245" s="35"/>
      <c r="AV245" s="1"/>
      <c r="BB245" s="1"/>
      <c r="BH245" s="1"/>
      <c r="BN245" s="1"/>
      <c r="BP245" s="64"/>
      <c r="BQ245" s="70"/>
      <c r="BT245" s="1"/>
    </row>
    <row r="246">
      <c r="A246" s="70"/>
      <c r="F246" s="1"/>
      <c r="L246" s="1"/>
      <c r="R246" s="1"/>
      <c r="X246" s="1"/>
      <c r="AD246" s="1"/>
      <c r="AJ246" s="1"/>
      <c r="AP246" s="1"/>
      <c r="AQ246" s="60"/>
      <c r="AR246" s="54"/>
      <c r="AS246" s="39"/>
      <c r="AT246" s="35"/>
      <c r="AV246" s="1"/>
      <c r="BB246" s="1"/>
      <c r="BH246" s="1"/>
      <c r="BN246" s="1"/>
      <c r="BP246" s="64"/>
      <c r="BQ246" s="70"/>
      <c r="BT246" s="1"/>
    </row>
    <row r="247">
      <c r="A247" s="70"/>
      <c r="F247" s="1"/>
      <c r="L247" s="1"/>
      <c r="R247" s="1"/>
      <c r="X247" s="1"/>
      <c r="AD247" s="1"/>
      <c r="AJ247" s="1"/>
      <c r="AP247" s="1"/>
      <c r="AQ247" s="60"/>
      <c r="AR247" s="54"/>
      <c r="AS247" s="39"/>
      <c r="AT247" s="35"/>
      <c r="AV247" s="1"/>
      <c r="BB247" s="1"/>
      <c r="BH247" s="1"/>
      <c r="BN247" s="1"/>
      <c r="BP247" s="64"/>
      <c r="BQ247" s="70"/>
      <c r="BT247" s="1"/>
    </row>
    <row r="248">
      <c r="A248" s="70"/>
      <c r="F248" s="1"/>
      <c r="L248" s="1"/>
      <c r="R248" s="1"/>
      <c r="X248" s="1"/>
      <c r="AD248" s="1"/>
      <c r="AJ248" s="1"/>
      <c r="AP248" s="1"/>
      <c r="AQ248" s="60"/>
      <c r="AR248" s="54"/>
      <c r="AS248" s="39"/>
      <c r="AT248" s="35"/>
      <c r="AV248" s="1"/>
      <c r="BB248" s="1"/>
      <c r="BH248" s="1"/>
      <c r="BN248" s="1"/>
      <c r="BP248" s="64"/>
      <c r="BQ248" s="70"/>
      <c r="BT248" s="1"/>
    </row>
    <row r="249">
      <c r="A249" s="70"/>
      <c r="F249" s="1"/>
      <c r="L249" s="1"/>
      <c r="R249" s="1"/>
      <c r="X249" s="1"/>
      <c r="AD249" s="1"/>
      <c r="AJ249" s="1"/>
      <c r="AP249" s="1"/>
      <c r="AQ249" s="60"/>
      <c r="AR249" s="54"/>
      <c r="AS249" s="39"/>
      <c r="AT249" s="35"/>
      <c r="AV249" s="1"/>
      <c r="BB249" s="1"/>
      <c r="BH249" s="1"/>
      <c r="BN249" s="1"/>
      <c r="BQ249" s="70"/>
      <c r="BT249" s="1"/>
    </row>
    <row r="250">
      <c r="A250" s="70"/>
      <c r="F250" s="1"/>
      <c r="L250" s="1"/>
      <c r="R250" s="1"/>
      <c r="X250" s="1"/>
      <c r="AD250" s="1"/>
      <c r="AJ250" s="1"/>
      <c r="AP250" s="1"/>
      <c r="AQ250" s="60"/>
      <c r="AR250" s="54"/>
      <c r="AS250" s="39"/>
      <c r="AT250" s="35"/>
      <c r="AV250" s="1"/>
      <c r="BB250" s="1"/>
      <c r="BH250" s="1"/>
      <c r="BN250" s="1"/>
      <c r="BQ250" s="70"/>
      <c r="BT250" s="1"/>
    </row>
    <row r="251">
      <c r="A251" s="70"/>
      <c r="F251" s="1"/>
      <c r="L251" s="1"/>
      <c r="R251" s="1"/>
      <c r="X251" s="1"/>
      <c r="AD251" s="1"/>
      <c r="AJ251" s="1"/>
      <c r="AP251" s="1"/>
      <c r="AQ251" s="60"/>
      <c r="AR251" s="54"/>
      <c r="AS251" s="39"/>
      <c r="AT251" s="35"/>
      <c r="AV251" s="1"/>
      <c r="BB251" s="1"/>
      <c r="BH251" s="1"/>
      <c r="BN251" s="1"/>
      <c r="BQ251" s="70"/>
      <c r="BT251" s="1"/>
    </row>
    <row r="252">
      <c r="A252" s="70"/>
      <c r="F252" s="1"/>
      <c r="L252" s="1"/>
      <c r="R252" s="1"/>
      <c r="X252" s="1"/>
      <c r="AD252" s="1"/>
      <c r="AJ252" s="1"/>
      <c r="AP252" s="1"/>
      <c r="AQ252" s="60"/>
      <c r="AR252" s="54"/>
      <c r="AS252" s="39"/>
      <c r="AT252" s="35"/>
      <c r="AV252" s="1"/>
      <c r="BB252" s="1"/>
      <c r="BH252" s="1"/>
      <c r="BN252" s="1"/>
      <c r="BQ252" s="70"/>
      <c r="BT252" s="1"/>
    </row>
    <row r="253">
      <c r="A253" s="70"/>
      <c r="F253" s="1"/>
      <c r="L253" s="1"/>
      <c r="R253" s="1"/>
      <c r="X253" s="1"/>
      <c r="AD253" s="1"/>
      <c r="AJ253" s="1"/>
      <c r="AP253" s="1"/>
      <c r="AQ253" s="60"/>
      <c r="AR253" s="54"/>
      <c r="AS253" s="39"/>
      <c r="AT253" s="35"/>
      <c r="AV253" s="1"/>
      <c r="BB253" s="1"/>
      <c r="BH253" s="1"/>
      <c r="BN253" s="1"/>
      <c r="BQ253" s="70"/>
      <c r="BT253" s="1"/>
    </row>
    <row r="254">
      <c r="A254" s="70"/>
      <c r="F254" s="1"/>
      <c r="L254" s="1"/>
      <c r="R254" s="1"/>
      <c r="X254" s="1"/>
      <c r="AD254" s="1"/>
      <c r="AJ254" s="1"/>
      <c r="AP254" s="1"/>
      <c r="AQ254" s="60"/>
      <c r="AR254" s="54"/>
      <c r="AS254" s="39"/>
      <c r="AT254" s="35"/>
      <c r="AV254" s="1"/>
      <c r="BB254" s="1"/>
      <c r="BH254" s="1"/>
      <c r="BN254" s="1"/>
      <c r="BQ254" s="70"/>
      <c r="BT254" s="1"/>
    </row>
    <row r="255">
      <c r="A255" s="70"/>
      <c r="F255" s="1"/>
      <c r="L255" s="1"/>
      <c r="R255" s="1"/>
      <c r="X255" s="1"/>
      <c r="AD255" s="1"/>
      <c r="AJ255" s="1"/>
      <c r="AP255" s="1"/>
      <c r="AQ255" s="60"/>
      <c r="AR255" s="54"/>
      <c r="AS255" s="39"/>
      <c r="AT255" s="35"/>
      <c r="AV255" s="1"/>
      <c r="BB255" s="1"/>
      <c r="BH255" s="1"/>
      <c r="BN255" s="1"/>
      <c r="BQ255" s="70"/>
      <c r="BT255" s="1"/>
    </row>
    <row r="256">
      <c r="A256" s="70"/>
      <c r="F256" s="1"/>
      <c r="L256" s="1"/>
      <c r="R256" s="1"/>
      <c r="X256" s="1"/>
      <c r="AD256" s="1"/>
      <c r="AJ256" s="1"/>
      <c r="AP256" s="1"/>
      <c r="AQ256" s="60"/>
      <c r="AR256" s="54"/>
      <c r="AS256" s="39"/>
      <c r="AT256" s="35"/>
      <c r="AV256" s="1"/>
      <c r="BB256" s="1"/>
      <c r="BH256" s="1"/>
      <c r="BN256" s="1"/>
      <c r="BQ256" s="70"/>
      <c r="BT256" s="1"/>
    </row>
    <row r="257">
      <c r="A257" s="70"/>
      <c r="F257" s="1"/>
      <c r="L257" s="1"/>
      <c r="R257" s="1"/>
      <c r="X257" s="1"/>
      <c r="AD257" s="1"/>
      <c r="AJ257" s="1"/>
      <c r="AP257" s="1"/>
      <c r="AQ257" s="60"/>
      <c r="AR257" s="54"/>
      <c r="AS257" s="39"/>
      <c r="AT257" s="35"/>
      <c r="AV257" s="1"/>
      <c r="BB257" s="1"/>
      <c r="BH257" s="1"/>
      <c r="BN257" s="1"/>
      <c r="BQ257" s="70"/>
      <c r="BT257" s="1"/>
    </row>
    <row r="258">
      <c r="A258" s="70"/>
      <c r="F258" s="1"/>
      <c r="L258" s="1"/>
      <c r="R258" s="1"/>
      <c r="X258" s="1"/>
      <c r="AD258" s="1"/>
      <c r="AJ258" s="1"/>
      <c r="AP258" s="1"/>
      <c r="AQ258" s="60"/>
      <c r="AR258" s="54"/>
      <c r="AS258" s="39"/>
      <c r="AT258" s="35"/>
      <c r="AV258" s="1"/>
      <c r="BB258" s="1"/>
      <c r="BH258" s="1"/>
      <c r="BN258" s="1"/>
      <c r="BQ258" s="70"/>
      <c r="BT258" s="1"/>
    </row>
    <row r="259">
      <c r="A259" s="70"/>
      <c r="F259" s="1"/>
      <c r="L259" s="1"/>
      <c r="R259" s="1"/>
      <c r="X259" s="1"/>
      <c r="AD259" s="1"/>
      <c r="AJ259" s="1"/>
      <c r="AP259" s="1"/>
      <c r="AQ259" s="60"/>
      <c r="AR259" s="54"/>
      <c r="AS259" s="39"/>
      <c r="AT259" s="35"/>
      <c r="AV259" s="1"/>
      <c r="BB259" s="1"/>
      <c r="BH259" s="1"/>
      <c r="BN259" s="1"/>
      <c r="BQ259" s="70"/>
      <c r="BT259" s="1"/>
    </row>
    <row r="260">
      <c r="A260" s="70"/>
      <c r="F260" s="1"/>
      <c r="L260" s="1"/>
      <c r="R260" s="1"/>
      <c r="X260" s="1"/>
      <c r="AD260" s="1"/>
      <c r="AJ260" s="1"/>
      <c r="AP260" s="1"/>
      <c r="AQ260" s="60"/>
      <c r="AR260" s="54"/>
      <c r="AS260" s="39"/>
      <c r="AT260" s="35"/>
      <c r="AV260" s="1"/>
      <c r="BB260" s="1"/>
      <c r="BH260" s="1"/>
      <c r="BN260" s="1"/>
      <c r="BQ260" s="70"/>
      <c r="BT260" s="1"/>
    </row>
    <row r="261">
      <c r="A261" s="70"/>
      <c r="F261" s="1"/>
      <c r="L261" s="1"/>
      <c r="R261" s="1"/>
      <c r="X261" s="1"/>
      <c r="AD261" s="1"/>
      <c r="AJ261" s="1"/>
      <c r="AP261" s="1"/>
      <c r="AQ261" s="60"/>
      <c r="AR261" s="54"/>
      <c r="AS261" s="39"/>
      <c r="AT261" s="35"/>
      <c r="AV261" s="1"/>
      <c r="BB261" s="1"/>
      <c r="BH261" s="1"/>
      <c r="BN261" s="1"/>
      <c r="BQ261" s="70"/>
      <c r="BT261" s="1"/>
    </row>
    <row r="262">
      <c r="A262" s="70"/>
      <c r="F262" s="1"/>
      <c r="L262" s="1"/>
      <c r="R262" s="1"/>
      <c r="X262" s="1"/>
      <c r="AD262" s="1"/>
      <c r="AJ262" s="1"/>
      <c r="AP262" s="1"/>
      <c r="AQ262" s="60"/>
      <c r="AR262" s="54"/>
      <c r="AS262" s="39"/>
      <c r="AT262" s="35"/>
      <c r="AV262" s="1"/>
      <c r="BB262" s="1"/>
      <c r="BH262" s="1"/>
      <c r="BN262" s="1"/>
      <c r="BQ262" s="70"/>
      <c r="BT262" s="1"/>
    </row>
    <row r="263">
      <c r="A263" s="70"/>
      <c r="F263" s="1"/>
      <c r="L263" s="1"/>
      <c r="R263" s="1"/>
      <c r="X263" s="1"/>
      <c r="AD263" s="1"/>
      <c r="AJ263" s="1"/>
      <c r="AP263" s="1"/>
      <c r="AQ263" s="60"/>
      <c r="AR263" s="54"/>
      <c r="AS263" s="39"/>
      <c r="AT263" s="35"/>
      <c r="AV263" s="1"/>
      <c r="BB263" s="1"/>
      <c r="BH263" s="1"/>
      <c r="BN263" s="1"/>
      <c r="BQ263" s="70"/>
      <c r="BT263" s="1"/>
    </row>
    <row r="264">
      <c r="A264" s="70"/>
      <c r="F264" s="1"/>
      <c r="L264" s="1"/>
      <c r="R264" s="1"/>
      <c r="X264" s="1"/>
      <c r="AD264" s="1"/>
      <c r="AJ264" s="1"/>
      <c r="AP264" s="1"/>
      <c r="AQ264" s="60"/>
      <c r="AR264" s="54"/>
      <c r="AS264" s="39"/>
      <c r="AT264" s="35"/>
      <c r="AV264" s="1"/>
      <c r="BB264" s="1"/>
      <c r="BH264" s="1"/>
      <c r="BN264" s="1"/>
      <c r="BQ264" s="70"/>
      <c r="BT264" s="1"/>
    </row>
    <row r="265">
      <c r="A265" s="70"/>
      <c r="F265" s="1"/>
      <c r="L265" s="1"/>
      <c r="R265" s="1"/>
      <c r="X265" s="1"/>
      <c r="AD265" s="1"/>
      <c r="AJ265" s="1"/>
      <c r="AP265" s="1"/>
      <c r="AQ265" s="60"/>
      <c r="AR265" s="54"/>
      <c r="AS265" s="39"/>
      <c r="AT265" s="35"/>
      <c r="AV265" s="1"/>
      <c r="BB265" s="1"/>
      <c r="BH265" s="1"/>
      <c r="BN265" s="1"/>
      <c r="BQ265" s="70"/>
      <c r="BT265" s="1"/>
    </row>
    <row r="266">
      <c r="A266" s="70"/>
      <c r="F266" s="1"/>
      <c r="L266" s="1"/>
      <c r="R266" s="1"/>
      <c r="X266" s="1"/>
      <c r="AD266" s="1"/>
      <c r="AJ266" s="1"/>
      <c r="AP266" s="1"/>
      <c r="AQ266" s="60"/>
      <c r="AR266" s="54"/>
      <c r="AS266" s="39"/>
      <c r="AT266" s="35"/>
      <c r="AV266" s="1"/>
      <c r="BB266" s="1"/>
      <c r="BH266" s="1"/>
      <c r="BN266" s="1"/>
      <c r="BQ266" s="70"/>
      <c r="BT266" s="1"/>
    </row>
    <row r="267">
      <c r="A267" s="70"/>
      <c r="F267" s="1"/>
      <c r="L267" s="1"/>
      <c r="R267" s="1"/>
      <c r="X267" s="1"/>
      <c r="AD267" s="1"/>
      <c r="AJ267" s="1"/>
      <c r="AP267" s="1"/>
      <c r="AQ267" s="60"/>
      <c r="AR267" s="54"/>
      <c r="AS267" s="39"/>
      <c r="AT267" s="35"/>
      <c r="AV267" s="1"/>
      <c r="BB267" s="1"/>
      <c r="BH267" s="1"/>
      <c r="BN267" s="1"/>
      <c r="BQ267" s="70"/>
      <c r="BT267" s="1"/>
    </row>
    <row r="268">
      <c r="A268" s="70"/>
      <c r="F268" s="1"/>
      <c r="L268" s="1"/>
      <c r="R268" s="1"/>
      <c r="X268" s="1"/>
      <c r="AD268" s="1"/>
      <c r="AJ268" s="1"/>
      <c r="AP268" s="1"/>
      <c r="AQ268" s="60"/>
      <c r="AR268" s="54"/>
      <c r="AS268" s="39"/>
      <c r="AT268" s="35"/>
      <c r="AV268" s="1"/>
      <c r="BB268" s="1"/>
      <c r="BH268" s="1"/>
      <c r="BN268" s="1"/>
      <c r="BQ268" s="70"/>
      <c r="BT268" s="1"/>
    </row>
    <row r="269">
      <c r="A269" s="70"/>
      <c r="F269" s="1"/>
      <c r="L269" s="1"/>
      <c r="R269" s="1"/>
      <c r="X269" s="1"/>
      <c r="AD269" s="1"/>
      <c r="AJ269" s="1"/>
      <c r="AP269" s="1"/>
      <c r="AQ269" s="60"/>
      <c r="AR269" s="54"/>
      <c r="AS269" s="39"/>
      <c r="AT269" s="35"/>
      <c r="AV269" s="1"/>
      <c r="BB269" s="1"/>
      <c r="BH269" s="1"/>
      <c r="BN269" s="1"/>
      <c r="BQ269" s="70"/>
      <c r="BT269" s="1"/>
    </row>
    <row r="270">
      <c r="A270" s="70"/>
      <c r="F270" s="1"/>
      <c r="L270" s="1"/>
      <c r="R270" s="1"/>
      <c r="X270" s="1"/>
      <c r="AD270" s="1"/>
      <c r="AJ270" s="1"/>
      <c r="AP270" s="1"/>
      <c r="AQ270" s="60"/>
      <c r="AR270" s="54"/>
      <c r="AS270" s="39"/>
      <c r="AT270" s="35"/>
      <c r="AV270" s="1"/>
      <c r="BB270" s="1"/>
      <c r="BH270" s="1"/>
      <c r="BN270" s="1"/>
      <c r="BQ270" s="70"/>
      <c r="BT270" s="1"/>
    </row>
    <row r="271">
      <c r="A271" s="70"/>
      <c r="F271" s="1"/>
      <c r="L271" s="1"/>
      <c r="R271" s="1"/>
      <c r="X271" s="1"/>
      <c r="AD271" s="1"/>
      <c r="AJ271" s="1"/>
      <c r="AP271" s="1"/>
      <c r="AQ271" s="60"/>
      <c r="AR271" s="54"/>
      <c r="AS271" s="39"/>
      <c r="AT271" s="35"/>
      <c r="AV271" s="1"/>
      <c r="BB271" s="1"/>
      <c r="BH271" s="1"/>
      <c r="BN271" s="1"/>
      <c r="BQ271" s="70"/>
      <c r="BT271" s="1"/>
    </row>
    <row r="272">
      <c r="A272" s="70"/>
      <c r="F272" s="1"/>
      <c r="L272" s="1"/>
      <c r="R272" s="1"/>
      <c r="X272" s="1"/>
      <c r="AD272" s="1"/>
      <c r="AJ272" s="1"/>
      <c r="AP272" s="1"/>
      <c r="AQ272" s="60"/>
      <c r="AR272" s="54"/>
      <c r="AS272" s="39"/>
      <c r="AT272" s="35"/>
      <c r="AV272" s="1"/>
      <c r="BB272" s="1"/>
      <c r="BH272" s="1"/>
      <c r="BN272" s="1"/>
      <c r="BQ272" s="70"/>
      <c r="BT272" s="1"/>
    </row>
    <row r="273">
      <c r="A273" s="70"/>
      <c r="F273" s="1"/>
      <c r="L273" s="1"/>
      <c r="R273" s="1"/>
      <c r="X273" s="1"/>
      <c r="AD273" s="1"/>
      <c r="AJ273" s="1"/>
      <c r="AP273" s="1"/>
      <c r="AQ273" s="60"/>
      <c r="AR273" s="54"/>
      <c r="AS273" s="39"/>
      <c r="AT273" s="35"/>
      <c r="AV273" s="1"/>
      <c r="BB273" s="1"/>
      <c r="BH273" s="1"/>
      <c r="BN273" s="1"/>
      <c r="BQ273" s="70"/>
      <c r="BT273" s="1"/>
    </row>
    <row r="274">
      <c r="A274" s="70"/>
      <c r="F274" s="1"/>
      <c r="L274" s="1"/>
      <c r="R274" s="1"/>
      <c r="X274" s="1"/>
      <c r="AD274" s="1"/>
      <c r="AJ274" s="1"/>
      <c r="AP274" s="1"/>
      <c r="AQ274" s="60"/>
      <c r="AR274" s="54"/>
      <c r="AS274" s="39"/>
      <c r="AT274" s="35"/>
      <c r="AV274" s="1"/>
      <c r="BB274" s="1"/>
      <c r="BH274" s="1"/>
      <c r="BN274" s="1"/>
      <c r="BQ274" s="70"/>
      <c r="BT274" s="1"/>
    </row>
    <row r="275">
      <c r="A275" s="70"/>
      <c r="F275" s="1"/>
      <c r="L275" s="1"/>
      <c r="R275" s="1"/>
      <c r="X275" s="1"/>
      <c r="AD275" s="1"/>
      <c r="AJ275" s="1"/>
      <c r="AP275" s="1"/>
      <c r="AQ275" s="60"/>
      <c r="AR275" s="54"/>
      <c r="AS275" s="39"/>
      <c r="AT275" s="35"/>
      <c r="AV275" s="1"/>
      <c r="BB275" s="1"/>
      <c r="BH275" s="1"/>
      <c r="BN275" s="1"/>
      <c r="BQ275" s="70"/>
      <c r="BT275" s="1"/>
    </row>
    <row r="276">
      <c r="A276" s="70"/>
      <c r="F276" s="1"/>
      <c r="L276" s="1"/>
      <c r="R276" s="1"/>
      <c r="X276" s="1"/>
      <c r="AD276" s="1"/>
      <c r="AJ276" s="1"/>
      <c r="AP276" s="1"/>
      <c r="AQ276" s="60"/>
      <c r="AR276" s="54"/>
      <c r="AS276" s="39"/>
      <c r="AT276" s="35"/>
      <c r="AV276" s="1"/>
      <c r="BB276" s="1"/>
      <c r="BH276" s="1"/>
      <c r="BN276" s="1"/>
      <c r="BQ276" s="70"/>
      <c r="BT276" s="1"/>
    </row>
    <row r="277">
      <c r="A277" s="70"/>
      <c r="F277" s="1"/>
      <c r="L277" s="1"/>
      <c r="R277" s="1"/>
      <c r="X277" s="1"/>
      <c r="AD277" s="1"/>
      <c r="AJ277" s="1"/>
      <c r="AP277" s="1"/>
      <c r="AQ277" s="60"/>
      <c r="AR277" s="54"/>
      <c r="AS277" s="39"/>
      <c r="AT277" s="35"/>
      <c r="AV277" s="1"/>
      <c r="BB277" s="1"/>
      <c r="BH277" s="1"/>
      <c r="BN277" s="1"/>
      <c r="BQ277" s="70"/>
      <c r="BT277" s="1"/>
    </row>
    <row r="278">
      <c r="A278" s="70"/>
      <c r="F278" s="1"/>
      <c r="L278" s="1"/>
      <c r="R278" s="1"/>
      <c r="X278" s="1"/>
      <c r="AD278" s="1"/>
      <c r="AJ278" s="1"/>
      <c r="AP278" s="1"/>
      <c r="AQ278" s="60"/>
      <c r="AR278" s="54"/>
      <c r="AS278" s="39"/>
      <c r="AT278" s="35"/>
      <c r="AV278" s="1"/>
      <c r="BB278" s="1"/>
      <c r="BH278" s="1"/>
      <c r="BN278" s="1"/>
      <c r="BQ278" s="70"/>
      <c r="BT278" s="1"/>
    </row>
    <row r="279">
      <c r="A279" s="70"/>
      <c r="F279" s="1"/>
      <c r="L279" s="1"/>
      <c r="R279" s="1"/>
      <c r="X279" s="1"/>
      <c r="AD279" s="1"/>
      <c r="AJ279" s="1"/>
      <c r="AP279" s="1"/>
      <c r="AQ279" s="60"/>
      <c r="AR279" s="54"/>
      <c r="AS279" s="39"/>
      <c r="AT279" s="35"/>
      <c r="AV279" s="1"/>
      <c r="BB279" s="1"/>
      <c r="BH279" s="1"/>
      <c r="BN279" s="1"/>
      <c r="BQ279" s="70"/>
      <c r="BT279" s="1"/>
    </row>
    <row r="280">
      <c r="A280" s="70"/>
      <c r="F280" s="1"/>
      <c r="L280" s="1"/>
      <c r="R280" s="1"/>
      <c r="X280" s="1"/>
      <c r="AD280" s="1"/>
      <c r="AJ280" s="1"/>
      <c r="AP280" s="1"/>
      <c r="AQ280" s="60"/>
      <c r="AR280" s="54"/>
      <c r="AS280" s="39"/>
      <c r="AT280" s="35"/>
      <c r="AV280" s="1"/>
      <c r="BB280" s="1"/>
      <c r="BH280" s="1"/>
      <c r="BN280" s="1"/>
      <c r="BQ280" s="70"/>
      <c r="BT280" s="1"/>
    </row>
    <row r="281">
      <c r="A281" s="70"/>
      <c r="F281" s="1"/>
      <c r="L281" s="1"/>
      <c r="R281" s="1"/>
      <c r="X281" s="1"/>
      <c r="AD281" s="1"/>
      <c r="AJ281" s="1"/>
      <c r="AP281" s="1"/>
      <c r="AQ281" s="60"/>
      <c r="AR281" s="54"/>
      <c r="AS281" s="39"/>
      <c r="AT281" s="35"/>
      <c r="AV281" s="1"/>
      <c r="BB281" s="1"/>
      <c r="BH281" s="1"/>
      <c r="BN281" s="1"/>
      <c r="BQ281" s="70"/>
      <c r="BT281" s="1"/>
    </row>
    <row r="282">
      <c r="A282" s="70"/>
      <c r="F282" s="1"/>
      <c r="L282" s="1"/>
      <c r="R282" s="1"/>
      <c r="X282" s="1"/>
      <c r="AD282" s="1"/>
      <c r="AJ282" s="1"/>
      <c r="AP282" s="1"/>
      <c r="AQ282" s="60"/>
      <c r="AR282" s="54"/>
      <c r="AS282" s="39"/>
      <c r="AT282" s="35"/>
      <c r="AV282" s="1"/>
      <c r="BB282" s="1"/>
      <c r="BH282" s="1"/>
      <c r="BN282" s="1"/>
      <c r="BQ282" s="70"/>
      <c r="BT282" s="1"/>
    </row>
    <row r="283">
      <c r="A283" s="70"/>
      <c r="F283" s="1"/>
      <c r="L283" s="1"/>
      <c r="R283" s="1"/>
      <c r="X283" s="1"/>
      <c r="AD283" s="1"/>
      <c r="AJ283" s="1"/>
      <c r="AP283" s="1"/>
      <c r="AQ283" s="60"/>
      <c r="AR283" s="54"/>
      <c r="AS283" s="39"/>
      <c r="AT283" s="35"/>
      <c r="AV283" s="1"/>
      <c r="BB283" s="1"/>
      <c r="BH283" s="1"/>
      <c r="BN283" s="1"/>
      <c r="BQ283" s="70"/>
      <c r="BT283" s="1"/>
    </row>
    <row r="284">
      <c r="A284" s="70"/>
      <c r="F284" s="1"/>
      <c r="L284" s="1"/>
      <c r="R284" s="1"/>
      <c r="X284" s="1"/>
      <c r="AD284" s="1"/>
      <c r="AJ284" s="1"/>
      <c r="AP284" s="1"/>
      <c r="AQ284" s="60"/>
      <c r="AR284" s="54"/>
      <c r="AS284" s="39"/>
      <c r="AT284" s="35"/>
      <c r="AV284" s="1"/>
      <c r="BB284" s="1"/>
      <c r="BH284" s="1"/>
      <c r="BN284" s="1"/>
      <c r="BQ284" s="70"/>
      <c r="BT284" s="1"/>
    </row>
    <row r="285">
      <c r="A285" s="70"/>
      <c r="F285" s="1"/>
      <c r="L285" s="1"/>
      <c r="R285" s="1"/>
      <c r="X285" s="1"/>
      <c r="AD285" s="1"/>
      <c r="AJ285" s="1"/>
      <c r="AP285" s="1"/>
      <c r="AQ285" s="60"/>
      <c r="AR285" s="54"/>
      <c r="AS285" s="39"/>
      <c r="AT285" s="35"/>
      <c r="AV285" s="1"/>
      <c r="BB285" s="1"/>
      <c r="BH285" s="1"/>
      <c r="BN285" s="1"/>
      <c r="BQ285" s="70"/>
      <c r="BT285" s="1"/>
    </row>
    <row r="286">
      <c r="A286" s="70"/>
      <c r="F286" s="1"/>
      <c r="L286" s="1"/>
      <c r="R286" s="1"/>
      <c r="X286" s="1"/>
      <c r="AD286" s="1"/>
      <c r="AJ286" s="1"/>
      <c r="AP286" s="1"/>
      <c r="AQ286" s="60"/>
      <c r="AR286" s="54"/>
      <c r="AS286" s="39"/>
      <c r="AT286" s="35"/>
      <c r="AV286" s="1"/>
      <c r="BB286" s="1"/>
      <c r="BH286" s="1"/>
      <c r="BN286" s="1"/>
      <c r="BQ286" s="70"/>
      <c r="BT286" s="1"/>
    </row>
    <row r="287">
      <c r="A287" s="70"/>
      <c r="F287" s="1"/>
      <c r="L287" s="1"/>
      <c r="R287" s="1"/>
      <c r="X287" s="1"/>
      <c r="AD287" s="1"/>
      <c r="AJ287" s="1"/>
      <c r="AP287" s="1"/>
      <c r="AQ287" s="60"/>
      <c r="AR287" s="54"/>
      <c r="AS287" s="39"/>
      <c r="AT287" s="35"/>
      <c r="AV287" s="1"/>
      <c r="BB287" s="1"/>
      <c r="BH287" s="1"/>
      <c r="BN287" s="1"/>
      <c r="BQ287" s="70"/>
      <c r="BT287" s="1"/>
    </row>
    <row r="288">
      <c r="A288" s="70"/>
      <c r="F288" s="1"/>
      <c r="L288" s="1"/>
      <c r="R288" s="1"/>
      <c r="X288" s="1"/>
      <c r="AD288" s="1"/>
      <c r="AJ288" s="1"/>
      <c r="AP288" s="1"/>
      <c r="AQ288" s="60"/>
      <c r="AR288" s="54"/>
      <c r="AS288" s="39"/>
      <c r="AT288" s="35"/>
      <c r="AV288" s="1"/>
      <c r="BB288" s="1"/>
      <c r="BH288" s="1"/>
      <c r="BN288" s="1"/>
      <c r="BQ288" s="70"/>
      <c r="BT288" s="1"/>
    </row>
    <row r="289">
      <c r="A289" s="70"/>
      <c r="F289" s="1"/>
      <c r="L289" s="1"/>
      <c r="R289" s="1"/>
      <c r="X289" s="1"/>
      <c r="AD289" s="1"/>
      <c r="AJ289" s="1"/>
      <c r="AP289" s="1"/>
      <c r="AQ289" s="60"/>
      <c r="AR289" s="54"/>
      <c r="AS289" s="39"/>
      <c r="AT289" s="35"/>
      <c r="AV289" s="1"/>
      <c r="BB289" s="1"/>
      <c r="BH289" s="1"/>
      <c r="BN289" s="1"/>
      <c r="BQ289" s="70"/>
      <c r="BT289" s="1"/>
    </row>
    <row r="290">
      <c r="A290" s="70"/>
      <c r="F290" s="1"/>
      <c r="L290" s="1"/>
      <c r="R290" s="1"/>
      <c r="X290" s="1"/>
      <c r="AD290" s="1"/>
      <c r="AJ290" s="1"/>
      <c r="AP290" s="1"/>
      <c r="AQ290" s="60"/>
      <c r="AR290" s="54"/>
      <c r="AS290" s="39"/>
      <c r="AT290" s="35"/>
      <c r="AV290" s="1"/>
      <c r="BB290" s="1"/>
      <c r="BH290" s="1"/>
      <c r="BN290" s="1"/>
      <c r="BQ290" s="70"/>
      <c r="BT290" s="1"/>
    </row>
    <row r="291">
      <c r="A291" s="70"/>
      <c r="F291" s="1"/>
      <c r="L291" s="1"/>
      <c r="R291" s="1"/>
      <c r="X291" s="1"/>
      <c r="AD291" s="1"/>
      <c r="AJ291" s="1"/>
      <c r="AP291" s="1"/>
      <c r="AQ291" s="60"/>
      <c r="AR291" s="54"/>
      <c r="AS291" s="39"/>
      <c r="AT291" s="35"/>
      <c r="AV291" s="1"/>
      <c r="BB291" s="1"/>
      <c r="BH291" s="1"/>
      <c r="BN291" s="1"/>
      <c r="BQ291" s="70"/>
      <c r="BT291" s="1"/>
    </row>
    <row r="292">
      <c r="A292" s="70"/>
      <c r="F292" s="1"/>
      <c r="L292" s="1"/>
      <c r="R292" s="1"/>
      <c r="X292" s="1"/>
      <c r="AD292" s="1"/>
      <c r="AJ292" s="1"/>
      <c r="AP292" s="1"/>
      <c r="AQ292" s="60"/>
      <c r="AR292" s="54"/>
      <c r="AS292" s="39"/>
      <c r="AT292" s="35"/>
      <c r="AV292" s="1"/>
      <c r="BB292" s="1"/>
      <c r="BH292" s="1"/>
      <c r="BN292" s="1"/>
      <c r="BQ292" s="70"/>
      <c r="BT292" s="1"/>
    </row>
    <row r="293">
      <c r="A293" s="70"/>
      <c r="F293" s="1"/>
      <c r="L293" s="1"/>
      <c r="R293" s="1"/>
      <c r="X293" s="1"/>
      <c r="AD293" s="1"/>
      <c r="AJ293" s="1"/>
      <c r="AP293" s="1"/>
      <c r="AQ293" s="60"/>
      <c r="AR293" s="54"/>
      <c r="AS293" s="39"/>
      <c r="AT293" s="35"/>
      <c r="AV293" s="1"/>
      <c r="BB293" s="1"/>
      <c r="BH293" s="1"/>
      <c r="BN293" s="1"/>
      <c r="BQ293" s="70"/>
      <c r="BT293" s="1"/>
    </row>
    <row r="294">
      <c r="A294" s="70"/>
      <c r="F294" s="1"/>
      <c r="L294" s="1"/>
      <c r="R294" s="1"/>
      <c r="X294" s="1"/>
      <c r="AD294" s="1"/>
      <c r="AJ294" s="1"/>
      <c r="AP294" s="1"/>
      <c r="AQ294" s="60"/>
      <c r="AR294" s="54"/>
      <c r="AS294" s="39"/>
      <c r="AT294" s="35"/>
      <c r="AV294" s="1"/>
      <c r="BB294" s="1"/>
      <c r="BH294" s="1"/>
      <c r="BN294" s="1"/>
      <c r="BQ294" s="70"/>
      <c r="BT294" s="1"/>
    </row>
    <row r="295">
      <c r="A295" s="70"/>
      <c r="F295" s="1"/>
      <c r="L295" s="1"/>
      <c r="R295" s="1"/>
      <c r="X295" s="1"/>
      <c r="AD295" s="1"/>
      <c r="AJ295" s="1"/>
      <c r="AP295" s="1"/>
      <c r="AQ295" s="60"/>
      <c r="AR295" s="54"/>
      <c r="AS295" s="39"/>
      <c r="AT295" s="35"/>
      <c r="AV295" s="1"/>
      <c r="BB295" s="1"/>
      <c r="BH295" s="1"/>
      <c r="BN295" s="1"/>
      <c r="BQ295" s="70"/>
      <c r="BT295" s="1"/>
    </row>
    <row r="296">
      <c r="A296" s="70"/>
      <c r="F296" s="1"/>
      <c r="L296" s="1"/>
      <c r="R296" s="1"/>
      <c r="X296" s="1"/>
      <c r="AD296" s="1"/>
      <c r="AJ296" s="1"/>
      <c r="AP296" s="1"/>
      <c r="AQ296" s="60"/>
      <c r="AR296" s="54"/>
      <c r="AS296" s="39"/>
      <c r="AT296" s="35"/>
      <c r="AV296" s="1"/>
      <c r="BB296" s="1"/>
      <c r="BH296" s="1"/>
      <c r="BN296" s="1"/>
      <c r="BQ296" s="70"/>
      <c r="BT296" s="1"/>
    </row>
    <row r="297">
      <c r="A297" s="70"/>
      <c r="F297" s="1"/>
      <c r="L297" s="1"/>
      <c r="R297" s="1"/>
      <c r="X297" s="1"/>
      <c r="AD297" s="1"/>
      <c r="AJ297" s="1"/>
      <c r="AP297" s="1"/>
      <c r="AQ297" s="60"/>
      <c r="AR297" s="54"/>
      <c r="AS297" s="39"/>
      <c r="AT297" s="35"/>
      <c r="AV297" s="1"/>
      <c r="BB297" s="1"/>
      <c r="BH297" s="1"/>
      <c r="BN297" s="1"/>
      <c r="BQ297" s="70"/>
      <c r="BT297" s="1"/>
    </row>
    <row r="298">
      <c r="A298" s="70"/>
      <c r="F298" s="1"/>
      <c r="L298" s="1"/>
      <c r="R298" s="1"/>
      <c r="X298" s="1"/>
      <c r="AD298" s="1"/>
      <c r="AJ298" s="1"/>
      <c r="AP298" s="1"/>
      <c r="AQ298" s="60"/>
      <c r="AR298" s="54"/>
      <c r="AS298" s="39"/>
      <c r="AT298" s="35"/>
      <c r="AV298" s="1"/>
      <c r="BB298" s="1"/>
      <c r="BH298" s="1"/>
      <c r="BN298" s="1"/>
      <c r="BQ298" s="70"/>
      <c r="BT298" s="1"/>
    </row>
    <row r="299">
      <c r="A299" s="70"/>
      <c r="F299" s="1"/>
      <c r="L299" s="1"/>
      <c r="R299" s="1"/>
      <c r="X299" s="1"/>
      <c r="AD299" s="1"/>
      <c r="AJ299" s="1"/>
      <c r="AP299" s="1"/>
      <c r="AQ299" s="60"/>
      <c r="AR299" s="54"/>
      <c r="AS299" s="39"/>
      <c r="AT299" s="35"/>
      <c r="AV299" s="1"/>
      <c r="BB299" s="1"/>
      <c r="BH299" s="1"/>
      <c r="BN299" s="1"/>
      <c r="BQ299" s="70"/>
      <c r="BT299" s="1"/>
    </row>
    <row r="300">
      <c r="A300" s="70"/>
      <c r="F300" s="1"/>
      <c r="L300" s="1"/>
      <c r="R300" s="1"/>
      <c r="X300" s="1"/>
      <c r="AD300" s="1"/>
      <c r="AJ300" s="1"/>
      <c r="AP300" s="1"/>
      <c r="AQ300" s="60"/>
      <c r="AR300" s="54"/>
      <c r="AS300" s="39"/>
      <c r="AT300" s="35"/>
      <c r="AV300" s="1"/>
      <c r="BB300" s="1"/>
      <c r="BH300" s="1"/>
      <c r="BN300" s="1"/>
      <c r="BQ300" s="70"/>
      <c r="BT300" s="1"/>
    </row>
    <row r="301">
      <c r="A301" s="70"/>
      <c r="F301" s="1"/>
      <c r="L301" s="1"/>
      <c r="R301" s="1"/>
      <c r="X301" s="1"/>
      <c r="AD301" s="1"/>
      <c r="AJ301" s="1"/>
      <c r="AP301" s="1"/>
      <c r="AQ301" s="60"/>
      <c r="AR301" s="54"/>
      <c r="AS301" s="39"/>
      <c r="AT301" s="35"/>
      <c r="AV301" s="1"/>
      <c r="BB301" s="1"/>
      <c r="BH301" s="1"/>
      <c r="BN301" s="1"/>
      <c r="BQ301" s="70"/>
      <c r="BT301" s="1"/>
    </row>
    <row r="302">
      <c r="A302" s="70"/>
      <c r="F302" s="1"/>
      <c r="L302" s="1"/>
      <c r="R302" s="1"/>
      <c r="X302" s="1"/>
      <c r="AD302" s="1"/>
      <c r="AJ302" s="1"/>
      <c r="AP302" s="1"/>
      <c r="AQ302" s="60"/>
      <c r="AR302" s="54"/>
      <c r="AS302" s="39"/>
      <c r="AT302" s="35"/>
      <c r="AV302" s="1"/>
      <c r="BB302" s="1"/>
      <c r="BH302" s="1"/>
      <c r="BN302" s="1"/>
      <c r="BQ302" s="70"/>
      <c r="BT302" s="1"/>
    </row>
    <row r="303">
      <c r="A303" s="70"/>
      <c r="F303" s="1"/>
      <c r="L303" s="1"/>
      <c r="R303" s="1"/>
      <c r="X303" s="1"/>
      <c r="AD303" s="1"/>
      <c r="AJ303" s="1"/>
      <c r="AP303" s="1"/>
      <c r="AQ303" s="60"/>
      <c r="AR303" s="54"/>
      <c r="AS303" s="39"/>
      <c r="AT303" s="35"/>
      <c r="AV303" s="1"/>
      <c r="BB303" s="1"/>
      <c r="BH303" s="1"/>
      <c r="BN303" s="1"/>
      <c r="BQ303" s="70"/>
      <c r="BT303" s="1"/>
    </row>
    <row r="304">
      <c r="A304" s="70"/>
      <c r="F304" s="1"/>
      <c r="L304" s="1"/>
      <c r="R304" s="1"/>
      <c r="X304" s="1"/>
      <c r="AD304" s="1"/>
      <c r="AJ304" s="1"/>
      <c r="AP304" s="1"/>
      <c r="AQ304" s="60"/>
      <c r="AR304" s="54"/>
      <c r="AS304" s="39"/>
      <c r="AT304" s="35"/>
      <c r="AV304" s="1"/>
      <c r="BB304" s="1"/>
      <c r="BH304" s="1"/>
      <c r="BN304" s="1"/>
      <c r="BQ304" s="70"/>
      <c r="BT304" s="1"/>
    </row>
    <row r="305">
      <c r="A305" s="70"/>
      <c r="F305" s="1"/>
      <c r="L305" s="1"/>
      <c r="R305" s="1"/>
      <c r="X305" s="1"/>
      <c r="AD305" s="1"/>
      <c r="AJ305" s="1"/>
      <c r="AP305" s="1"/>
      <c r="AQ305" s="60"/>
      <c r="AR305" s="54"/>
      <c r="AS305" s="39"/>
      <c r="AT305" s="35"/>
      <c r="AV305" s="1"/>
      <c r="BB305" s="1"/>
      <c r="BH305" s="1"/>
      <c r="BN305" s="1"/>
      <c r="BP305" s="64"/>
      <c r="BQ305" s="70"/>
      <c r="BT305" s="1"/>
    </row>
    <row r="306">
      <c r="A306" s="70"/>
      <c r="F306" s="1"/>
      <c r="L306" s="1"/>
      <c r="R306" s="1"/>
      <c r="X306" s="1"/>
      <c r="AD306" s="1"/>
      <c r="AJ306" s="1"/>
      <c r="AP306" s="1"/>
      <c r="AQ306" s="60"/>
      <c r="AR306" s="54"/>
      <c r="AS306" s="39"/>
      <c r="AT306" s="35"/>
      <c r="AV306" s="1"/>
      <c r="BB306" s="1"/>
      <c r="BH306" s="1"/>
      <c r="BN306" s="1"/>
      <c r="BP306" s="64"/>
      <c r="BQ306" s="70"/>
      <c r="BT306" s="1"/>
    </row>
    <row r="307">
      <c r="A307" s="70"/>
      <c r="F307" s="1"/>
      <c r="L307" s="1"/>
      <c r="R307" s="1"/>
      <c r="X307" s="1"/>
      <c r="AD307" s="1"/>
      <c r="AJ307" s="1"/>
      <c r="AP307" s="1"/>
      <c r="AQ307" s="60"/>
      <c r="AR307" s="54"/>
      <c r="AS307" s="39"/>
      <c r="AT307" s="35"/>
      <c r="AV307" s="1"/>
      <c r="BB307" s="1"/>
      <c r="BH307" s="1"/>
      <c r="BN307" s="1"/>
      <c r="BP307" s="64"/>
      <c r="BQ307" s="70"/>
      <c r="BT307" s="1"/>
    </row>
    <row r="308">
      <c r="A308" s="70"/>
      <c r="F308" s="1"/>
      <c r="L308" s="1"/>
      <c r="R308" s="1"/>
      <c r="X308" s="1"/>
      <c r="AD308" s="1"/>
      <c r="AJ308" s="1"/>
      <c r="AP308" s="1"/>
      <c r="AQ308" s="60"/>
      <c r="AR308" s="54"/>
      <c r="AS308" s="39"/>
      <c r="AT308" s="35"/>
      <c r="AV308" s="1"/>
      <c r="BB308" s="1"/>
      <c r="BH308" s="1"/>
      <c r="BN308" s="1"/>
      <c r="BP308" s="64"/>
      <c r="BQ308" s="70"/>
      <c r="BT308" s="1"/>
    </row>
    <row r="309">
      <c r="A309" s="70"/>
      <c r="F309" s="1"/>
      <c r="L309" s="1"/>
      <c r="R309" s="1"/>
      <c r="X309" s="1"/>
      <c r="AD309" s="1"/>
      <c r="AJ309" s="1"/>
      <c r="AP309" s="1"/>
      <c r="AQ309" s="60"/>
      <c r="AR309" s="54"/>
      <c r="AS309" s="39"/>
      <c r="AT309" s="35"/>
      <c r="AV309" s="1"/>
      <c r="BB309" s="1"/>
      <c r="BH309" s="1"/>
      <c r="BN309" s="1"/>
      <c r="BP309" s="64"/>
      <c r="BQ309" s="70"/>
      <c r="BT309" s="1"/>
    </row>
    <row r="310">
      <c r="A310" s="70"/>
      <c r="F310" s="1"/>
      <c r="L310" s="1"/>
      <c r="R310" s="1"/>
      <c r="X310" s="1"/>
      <c r="AD310" s="1"/>
      <c r="AJ310" s="1"/>
      <c r="AP310" s="1"/>
      <c r="AQ310" s="60"/>
      <c r="AR310" s="54"/>
      <c r="AS310" s="39"/>
      <c r="AT310" s="35"/>
      <c r="AV310" s="1"/>
      <c r="BB310" s="1"/>
      <c r="BH310" s="1"/>
      <c r="BN310" s="1"/>
      <c r="BP310" s="64"/>
      <c r="BQ310" s="70"/>
      <c r="BT310" s="1"/>
    </row>
    <row r="311">
      <c r="A311" s="70"/>
      <c r="F311" s="1"/>
      <c r="L311" s="1"/>
      <c r="R311" s="1"/>
      <c r="X311" s="1"/>
      <c r="AD311" s="1"/>
      <c r="AJ311" s="1"/>
      <c r="AP311" s="1"/>
      <c r="AQ311" s="60"/>
      <c r="AR311" s="54"/>
      <c r="AS311" s="39"/>
      <c r="AT311" s="35"/>
      <c r="AV311" s="1"/>
      <c r="BB311" s="1"/>
      <c r="BH311" s="1"/>
      <c r="BN311" s="1"/>
      <c r="BP311" s="64"/>
      <c r="BQ311" s="70"/>
      <c r="BT311" s="1"/>
    </row>
    <row r="312">
      <c r="A312" s="70"/>
      <c r="F312" s="1"/>
      <c r="L312" s="1"/>
      <c r="R312" s="1"/>
      <c r="X312" s="1"/>
      <c r="AD312" s="1"/>
      <c r="AJ312" s="1"/>
      <c r="AP312" s="1"/>
      <c r="AQ312" s="60"/>
      <c r="AR312" s="54"/>
      <c r="AS312" s="39"/>
      <c r="AT312" s="35"/>
      <c r="AV312" s="1"/>
      <c r="BB312" s="1"/>
      <c r="BH312" s="1"/>
      <c r="BN312" s="1"/>
      <c r="BP312" s="64"/>
      <c r="BQ312" s="70"/>
      <c r="BT312" s="1"/>
    </row>
    <row r="313">
      <c r="A313" s="70"/>
      <c r="F313" s="1"/>
      <c r="L313" s="1"/>
      <c r="R313" s="1"/>
      <c r="X313" s="1"/>
      <c r="AD313" s="1"/>
      <c r="AJ313" s="1"/>
      <c r="AP313" s="1"/>
      <c r="AQ313" s="60"/>
      <c r="AR313" s="54"/>
      <c r="AS313" s="39"/>
      <c r="AT313" s="35"/>
      <c r="AV313" s="1"/>
      <c r="BB313" s="1"/>
      <c r="BH313" s="1"/>
      <c r="BN313" s="1"/>
      <c r="BP313" s="64"/>
      <c r="BQ313" s="70"/>
      <c r="BT313" s="1"/>
    </row>
    <row r="314">
      <c r="A314" s="70"/>
      <c r="F314" s="1"/>
      <c r="L314" s="1"/>
      <c r="R314" s="1"/>
      <c r="X314" s="1"/>
      <c r="AD314" s="1"/>
      <c r="AJ314" s="1"/>
      <c r="AP314" s="1"/>
      <c r="AQ314" s="60"/>
      <c r="AR314" s="54"/>
      <c r="AS314" s="39"/>
      <c r="AT314" s="35"/>
      <c r="AV314" s="1"/>
      <c r="BB314" s="1"/>
      <c r="BH314" s="1"/>
      <c r="BN314" s="1"/>
      <c r="BP314" s="64"/>
      <c r="BQ314" s="70"/>
      <c r="BT314" s="1"/>
    </row>
    <row r="315">
      <c r="A315" s="70"/>
      <c r="F315" s="1"/>
      <c r="L315" s="1"/>
      <c r="R315" s="1"/>
      <c r="X315" s="1"/>
      <c r="AD315" s="1"/>
      <c r="AJ315" s="1"/>
      <c r="AP315" s="1"/>
      <c r="AQ315" s="60"/>
      <c r="AR315" s="54"/>
      <c r="AS315" s="39"/>
      <c r="AT315" s="35"/>
      <c r="AV315" s="1"/>
      <c r="BB315" s="1"/>
      <c r="BH315" s="1"/>
      <c r="BN315" s="1"/>
      <c r="BP315" s="64"/>
      <c r="BQ315" s="70"/>
      <c r="BT315" s="1"/>
    </row>
    <row r="316">
      <c r="A316" s="70"/>
      <c r="F316" s="1"/>
      <c r="L316" s="1"/>
      <c r="R316" s="1"/>
      <c r="X316" s="1"/>
      <c r="AD316" s="1"/>
      <c r="AJ316" s="1"/>
      <c r="AP316" s="1"/>
      <c r="AQ316" s="60"/>
      <c r="AR316" s="54"/>
      <c r="AS316" s="39"/>
      <c r="AT316" s="35"/>
      <c r="AV316" s="1"/>
      <c r="BB316" s="1"/>
      <c r="BH316" s="1"/>
      <c r="BN316" s="1"/>
      <c r="BP316" s="64"/>
      <c r="BQ316" s="70"/>
      <c r="BT316" s="1"/>
    </row>
    <row r="317">
      <c r="A317" s="70"/>
      <c r="F317" s="1"/>
      <c r="L317" s="1"/>
      <c r="R317" s="1"/>
      <c r="X317" s="1"/>
      <c r="AD317" s="1"/>
      <c r="AJ317" s="1"/>
      <c r="AP317" s="1"/>
      <c r="AQ317" s="60"/>
      <c r="AR317" s="54"/>
      <c r="AS317" s="39"/>
      <c r="AT317" s="35"/>
      <c r="AV317" s="1"/>
      <c r="BB317" s="1"/>
      <c r="BH317" s="1"/>
      <c r="BN317" s="1"/>
      <c r="BP317" s="64"/>
      <c r="BQ317" s="70"/>
      <c r="BT317" s="1"/>
    </row>
    <row r="318">
      <c r="A318" s="70"/>
      <c r="F318" s="1"/>
      <c r="L318" s="1"/>
      <c r="R318" s="1"/>
      <c r="X318" s="1"/>
      <c r="AD318" s="1"/>
      <c r="AJ318" s="1"/>
      <c r="AP318" s="1"/>
      <c r="AQ318" s="60"/>
      <c r="AR318" s="54"/>
      <c r="AS318" s="39"/>
      <c r="AT318" s="35"/>
      <c r="AV318" s="1"/>
      <c r="BB318" s="1"/>
      <c r="BH318" s="1"/>
      <c r="BN318" s="1"/>
      <c r="BP318" s="64"/>
      <c r="BQ318" s="70"/>
      <c r="BT318" s="1"/>
    </row>
    <row r="319">
      <c r="A319" s="70"/>
      <c r="F319" s="1"/>
      <c r="L319" s="1"/>
      <c r="R319" s="1"/>
      <c r="X319" s="1"/>
      <c r="AD319" s="1"/>
      <c r="AJ319" s="1"/>
      <c r="AP319" s="1"/>
      <c r="AQ319" s="60"/>
      <c r="AR319" s="54"/>
      <c r="AS319" s="39"/>
      <c r="AT319" s="35"/>
      <c r="AV319" s="1"/>
      <c r="BB319" s="1"/>
      <c r="BH319" s="1"/>
      <c r="BN319" s="1"/>
      <c r="BP319" s="64"/>
      <c r="BQ319" s="70"/>
      <c r="BT319" s="1"/>
    </row>
    <row r="320">
      <c r="A320" s="70"/>
      <c r="F320" s="1"/>
      <c r="L320" s="1"/>
      <c r="R320" s="1"/>
      <c r="X320" s="1"/>
      <c r="AD320" s="1"/>
      <c r="AJ320" s="1"/>
      <c r="AP320" s="1"/>
      <c r="AQ320" s="60"/>
      <c r="AR320" s="54"/>
      <c r="AS320" s="39"/>
      <c r="AT320" s="35"/>
      <c r="AV320" s="1"/>
      <c r="BB320" s="1"/>
      <c r="BH320" s="1"/>
      <c r="BN320" s="1"/>
      <c r="BP320" s="64"/>
      <c r="BQ320" s="70"/>
      <c r="BT320" s="1"/>
    </row>
    <row r="321">
      <c r="A321" s="70"/>
      <c r="F321" s="1"/>
      <c r="L321" s="1"/>
      <c r="R321" s="1"/>
      <c r="X321" s="1"/>
      <c r="AD321" s="1"/>
      <c r="AJ321" s="1"/>
      <c r="AP321" s="1"/>
      <c r="AQ321" s="60"/>
      <c r="AR321" s="54"/>
      <c r="AS321" s="39"/>
      <c r="AT321" s="35"/>
      <c r="AV321" s="1"/>
      <c r="BB321" s="1"/>
      <c r="BH321" s="1"/>
      <c r="BN321" s="1"/>
      <c r="BQ321" s="70"/>
      <c r="BT321" s="1"/>
    </row>
    <row r="322">
      <c r="A322" s="70"/>
      <c r="F322" s="1"/>
      <c r="L322" s="1"/>
      <c r="R322" s="1"/>
      <c r="X322" s="1"/>
      <c r="AD322" s="1"/>
      <c r="AJ322" s="1"/>
      <c r="AP322" s="1"/>
      <c r="AQ322" s="60"/>
      <c r="AR322" s="54"/>
      <c r="AS322" s="39"/>
      <c r="AT322" s="35"/>
      <c r="AV322" s="1"/>
      <c r="BB322" s="1"/>
      <c r="BH322" s="1"/>
      <c r="BN322" s="1"/>
      <c r="BQ322" s="70"/>
      <c r="BT322" s="1"/>
    </row>
    <row r="323">
      <c r="A323" s="70"/>
      <c r="F323" s="1"/>
      <c r="L323" s="1"/>
      <c r="R323" s="1"/>
      <c r="X323" s="1"/>
      <c r="AD323" s="1"/>
      <c r="AJ323" s="1"/>
      <c r="AP323" s="1"/>
      <c r="AQ323" s="60"/>
      <c r="AR323" s="54"/>
      <c r="AS323" s="39"/>
      <c r="AT323" s="35"/>
      <c r="AV323" s="1"/>
      <c r="BB323" s="1"/>
      <c r="BH323" s="1"/>
      <c r="BN323" s="1"/>
      <c r="BQ323" s="70"/>
      <c r="BT323" s="1"/>
    </row>
    <row r="324">
      <c r="A324" s="70"/>
      <c r="F324" s="1"/>
      <c r="L324" s="1"/>
      <c r="R324" s="1"/>
      <c r="X324" s="1"/>
      <c r="AD324" s="1"/>
      <c r="AJ324" s="1"/>
      <c r="AP324" s="1"/>
      <c r="AQ324" s="60"/>
      <c r="AR324" s="54"/>
      <c r="AS324" s="39"/>
      <c r="AT324" s="35"/>
      <c r="AV324" s="1"/>
      <c r="BB324" s="1"/>
      <c r="BH324" s="1"/>
      <c r="BN324" s="1"/>
      <c r="BQ324" s="70"/>
      <c r="BT324" s="1"/>
    </row>
    <row r="325">
      <c r="A325" s="70"/>
      <c r="F325" s="1"/>
      <c r="L325" s="1"/>
      <c r="R325" s="1"/>
      <c r="X325" s="1"/>
      <c r="AD325" s="1"/>
      <c r="AJ325" s="1"/>
      <c r="AP325" s="1"/>
      <c r="AQ325" s="60"/>
      <c r="AR325" s="54"/>
      <c r="AS325" s="39"/>
      <c r="AT325" s="35"/>
      <c r="AV325" s="1"/>
      <c r="BB325" s="1"/>
      <c r="BH325" s="1"/>
      <c r="BN325" s="1"/>
      <c r="BQ325" s="70"/>
      <c r="BT325" s="1"/>
    </row>
    <row r="326">
      <c r="A326" s="70"/>
      <c r="F326" s="1"/>
      <c r="L326" s="1"/>
      <c r="R326" s="1"/>
      <c r="X326" s="1"/>
      <c r="AD326" s="1"/>
      <c r="AJ326" s="1"/>
      <c r="AP326" s="1"/>
      <c r="AQ326" s="60"/>
      <c r="AR326" s="54"/>
      <c r="AS326" s="39"/>
      <c r="AT326" s="35"/>
      <c r="AV326" s="1"/>
      <c r="BB326" s="1"/>
      <c r="BH326" s="1"/>
      <c r="BN326" s="1"/>
      <c r="BQ326" s="70"/>
      <c r="BT326" s="1"/>
    </row>
    <row r="327">
      <c r="A327" s="70"/>
      <c r="F327" s="1"/>
      <c r="L327" s="1"/>
      <c r="R327" s="1"/>
      <c r="X327" s="1"/>
      <c r="AD327" s="1"/>
      <c r="AJ327" s="1"/>
      <c r="AP327" s="1"/>
      <c r="AQ327" s="60"/>
      <c r="AR327" s="54"/>
      <c r="AS327" s="39"/>
      <c r="AT327" s="35"/>
      <c r="AV327" s="1"/>
      <c r="BB327" s="1"/>
      <c r="BH327" s="1"/>
      <c r="BN327" s="1"/>
      <c r="BQ327" s="70"/>
      <c r="BT327" s="1"/>
    </row>
    <row r="328">
      <c r="A328" s="70"/>
      <c r="F328" s="1"/>
      <c r="L328" s="1"/>
      <c r="R328" s="1"/>
      <c r="X328" s="1"/>
      <c r="AD328" s="1"/>
      <c r="AJ328" s="1"/>
      <c r="AP328" s="1"/>
      <c r="AQ328" s="60"/>
      <c r="AR328" s="54"/>
      <c r="AS328" s="39"/>
      <c r="AT328" s="35"/>
      <c r="AV328" s="1"/>
      <c r="BB328" s="1"/>
      <c r="BH328" s="1"/>
      <c r="BN328" s="1"/>
      <c r="BQ328" s="70"/>
      <c r="BT328" s="1"/>
    </row>
    <row r="329">
      <c r="A329" s="70"/>
      <c r="F329" s="1"/>
      <c r="L329" s="1"/>
      <c r="R329" s="1"/>
      <c r="X329" s="1"/>
      <c r="AD329" s="1"/>
      <c r="AJ329" s="1"/>
      <c r="AP329" s="1"/>
      <c r="AQ329" s="60"/>
      <c r="AR329" s="54"/>
      <c r="AS329" s="39"/>
      <c r="AT329" s="35"/>
      <c r="AV329" s="1"/>
      <c r="BB329" s="1"/>
      <c r="BH329" s="1"/>
      <c r="BN329" s="1"/>
      <c r="BQ329" s="70"/>
      <c r="BT329" s="1"/>
    </row>
    <row r="330">
      <c r="A330" s="70"/>
      <c r="F330" s="1"/>
      <c r="L330" s="1"/>
      <c r="R330" s="1"/>
      <c r="X330" s="1"/>
      <c r="AD330" s="1"/>
      <c r="AJ330" s="1"/>
      <c r="AP330" s="1"/>
      <c r="AQ330" s="60"/>
      <c r="AR330" s="54"/>
      <c r="AS330" s="39"/>
      <c r="AT330" s="35"/>
      <c r="AV330" s="1"/>
      <c r="BB330" s="1"/>
      <c r="BH330" s="1"/>
      <c r="BN330" s="1"/>
      <c r="BQ330" s="70"/>
      <c r="BT330" s="1"/>
    </row>
    <row r="331">
      <c r="A331" s="70"/>
      <c r="F331" s="1"/>
      <c r="L331" s="1"/>
      <c r="R331" s="1"/>
      <c r="X331" s="1"/>
      <c r="AD331" s="1"/>
      <c r="AJ331" s="1"/>
      <c r="AP331" s="1"/>
      <c r="AQ331" s="60"/>
      <c r="AR331" s="54"/>
      <c r="AS331" s="39"/>
      <c r="AT331" s="35"/>
      <c r="AV331" s="1"/>
      <c r="BB331" s="1"/>
      <c r="BH331" s="1"/>
      <c r="BN331" s="1"/>
      <c r="BQ331" s="70"/>
      <c r="BT331" s="1"/>
    </row>
    <row r="332">
      <c r="A332" s="70"/>
      <c r="F332" s="1"/>
      <c r="L332" s="1"/>
      <c r="R332" s="1"/>
      <c r="X332" s="1"/>
      <c r="AD332" s="1"/>
      <c r="AJ332" s="1"/>
      <c r="AP332" s="1"/>
      <c r="AQ332" s="60"/>
      <c r="AR332" s="54"/>
      <c r="AS332" s="39"/>
      <c r="AT332" s="35"/>
      <c r="AV332" s="1"/>
      <c r="BB332" s="1"/>
      <c r="BH332" s="1"/>
      <c r="BN332" s="1"/>
      <c r="BQ332" s="70"/>
      <c r="BT332" s="1"/>
    </row>
    <row r="333">
      <c r="A333" s="70"/>
      <c r="F333" s="1"/>
      <c r="L333" s="1"/>
      <c r="R333" s="1"/>
      <c r="X333" s="1"/>
      <c r="AD333" s="1"/>
      <c r="AJ333" s="1"/>
      <c r="AP333" s="1"/>
      <c r="AQ333" s="60"/>
      <c r="AR333" s="54"/>
      <c r="AS333" s="39"/>
      <c r="AT333" s="35"/>
      <c r="AV333" s="1"/>
      <c r="BB333" s="1"/>
      <c r="BH333" s="1"/>
      <c r="BN333" s="1"/>
      <c r="BQ333" s="70"/>
      <c r="BT333" s="1"/>
    </row>
    <row r="334">
      <c r="A334" s="70"/>
      <c r="F334" s="1"/>
      <c r="L334" s="1"/>
      <c r="R334" s="1"/>
      <c r="X334" s="1"/>
      <c r="AD334" s="1"/>
      <c r="AJ334" s="1"/>
      <c r="AP334" s="1"/>
      <c r="AQ334" s="60"/>
      <c r="AR334" s="54"/>
      <c r="AS334" s="39"/>
      <c r="AT334" s="35"/>
      <c r="AV334" s="1"/>
      <c r="BB334" s="1"/>
      <c r="BH334" s="1"/>
      <c r="BN334" s="1"/>
      <c r="BQ334" s="70"/>
      <c r="BT334" s="1"/>
    </row>
    <row r="335">
      <c r="A335" s="70"/>
      <c r="F335" s="1"/>
      <c r="L335" s="1"/>
      <c r="R335" s="1"/>
      <c r="X335" s="1"/>
      <c r="AD335" s="1"/>
      <c r="AJ335" s="1"/>
      <c r="AP335" s="1"/>
      <c r="AQ335" s="60"/>
      <c r="AR335" s="54"/>
      <c r="AS335" s="39"/>
      <c r="AT335" s="35"/>
      <c r="AV335" s="1"/>
      <c r="BB335" s="1"/>
      <c r="BH335" s="1"/>
      <c r="BN335" s="1"/>
      <c r="BQ335" s="70"/>
      <c r="BT335" s="1"/>
    </row>
    <row r="336">
      <c r="A336" s="70"/>
      <c r="F336" s="1"/>
      <c r="L336" s="1"/>
      <c r="R336" s="1"/>
      <c r="X336" s="1"/>
      <c r="AD336" s="1"/>
      <c r="AJ336" s="1"/>
      <c r="AP336" s="1"/>
      <c r="AQ336" s="60"/>
      <c r="AR336" s="54"/>
      <c r="AS336" s="39"/>
      <c r="AT336" s="35"/>
      <c r="AV336" s="1"/>
      <c r="BB336" s="1"/>
      <c r="BH336" s="1"/>
      <c r="BN336" s="1"/>
      <c r="BQ336" s="70"/>
      <c r="BT336" s="1"/>
    </row>
    <row r="337">
      <c r="A337" s="70"/>
      <c r="F337" s="1"/>
      <c r="L337" s="1"/>
      <c r="R337" s="1"/>
      <c r="X337" s="1"/>
      <c r="AD337" s="1"/>
      <c r="AJ337" s="1"/>
      <c r="AP337" s="1"/>
      <c r="AQ337" s="60"/>
      <c r="AR337" s="54"/>
      <c r="AS337" s="39"/>
      <c r="AT337" s="35"/>
      <c r="AV337" s="1"/>
      <c r="BB337" s="1"/>
      <c r="BH337" s="1"/>
      <c r="BN337" s="1"/>
      <c r="BQ337" s="70"/>
      <c r="BT337" s="1"/>
    </row>
    <row r="338">
      <c r="A338" s="70"/>
      <c r="F338" s="1"/>
      <c r="L338" s="1"/>
      <c r="R338" s="1"/>
      <c r="X338" s="1"/>
      <c r="AD338" s="1"/>
      <c r="AJ338" s="1"/>
      <c r="AP338" s="1"/>
      <c r="AQ338" s="60"/>
      <c r="AR338" s="54"/>
      <c r="AS338" s="39"/>
      <c r="AT338" s="35"/>
      <c r="AV338" s="1"/>
      <c r="BB338" s="1"/>
      <c r="BH338" s="1"/>
      <c r="BN338" s="1"/>
      <c r="BQ338" s="70"/>
      <c r="BT338" s="1"/>
    </row>
    <row r="339">
      <c r="A339" s="70"/>
      <c r="F339" s="1"/>
      <c r="L339" s="1"/>
      <c r="R339" s="1"/>
      <c r="X339" s="1"/>
      <c r="AD339" s="1"/>
      <c r="AJ339" s="1"/>
      <c r="AP339" s="1"/>
      <c r="AQ339" s="60"/>
      <c r="AR339" s="54"/>
      <c r="AS339" s="39"/>
      <c r="AT339" s="35"/>
      <c r="AV339" s="1"/>
      <c r="BB339" s="1"/>
      <c r="BH339" s="1"/>
      <c r="BN339" s="1"/>
      <c r="BQ339" s="70"/>
      <c r="BT339" s="1"/>
    </row>
    <row r="340">
      <c r="A340" s="70"/>
      <c r="F340" s="1"/>
      <c r="L340" s="1"/>
      <c r="R340" s="1"/>
      <c r="X340" s="1"/>
      <c r="AD340" s="1"/>
      <c r="AJ340" s="1"/>
      <c r="AP340" s="1"/>
      <c r="AQ340" s="60"/>
      <c r="AR340" s="54"/>
      <c r="AS340" s="39"/>
      <c r="AT340" s="35"/>
      <c r="AV340" s="1"/>
      <c r="BB340" s="1"/>
      <c r="BH340" s="1"/>
      <c r="BN340" s="1"/>
      <c r="BQ340" s="70"/>
      <c r="BT340" s="1"/>
    </row>
    <row r="341">
      <c r="A341" s="70"/>
      <c r="F341" s="1"/>
      <c r="L341" s="1"/>
      <c r="R341" s="1"/>
      <c r="X341" s="1"/>
      <c r="AD341" s="1"/>
      <c r="AJ341" s="1"/>
      <c r="AP341" s="1"/>
      <c r="AQ341" s="60"/>
      <c r="AR341" s="54"/>
      <c r="AS341" s="39"/>
      <c r="AT341" s="35"/>
      <c r="AV341" s="1"/>
      <c r="BB341" s="1"/>
      <c r="BH341" s="1"/>
      <c r="BN341" s="1"/>
      <c r="BQ341" s="70"/>
      <c r="BT341" s="1"/>
    </row>
    <row r="342">
      <c r="A342" s="70"/>
      <c r="F342" s="1"/>
      <c r="L342" s="1"/>
      <c r="R342" s="1"/>
      <c r="X342" s="1"/>
      <c r="AD342" s="1"/>
      <c r="AJ342" s="1"/>
      <c r="AP342" s="1"/>
      <c r="AQ342" s="60"/>
      <c r="AR342" s="54"/>
      <c r="AS342" s="39"/>
      <c r="AT342" s="35"/>
      <c r="AV342" s="1"/>
      <c r="BB342" s="1"/>
      <c r="BH342" s="1"/>
      <c r="BN342" s="1"/>
      <c r="BQ342" s="70"/>
      <c r="BT342" s="1"/>
    </row>
    <row r="343">
      <c r="A343" s="70"/>
      <c r="F343" s="1"/>
      <c r="L343" s="1"/>
      <c r="R343" s="1"/>
      <c r="X343" s="1"/>
      <c r="AD343" s="1"/>
      <c r="AJ343" s="1"/>
      <c r="AP343" s="1"/>
      <c r="AQ343" s="60"/>
      <c r="AR343" s="54"/>
      <c r="AS343" s="39"/>
      <c r="AT343" s="35"/>
      <c r="AV343" s="1"/>
      <c r="BB343" s="1"/>
      <c r="BH343" s="1"/>
      <c r="BN343" s="1"/>
      <c r="BQ343" s="70"/>
      <c r="BT343" s="1"/>
    </row>
    <row r="344">
      <c r="A344" s="70"/>
      <c r="F344" s="1"/>
      <c r="L344" s="1"/>
      <c r="R344" s="1"/>
      <c r="X344" s="1"/>
      <c r="AD344" s="1"/>
      <c r="AJ344" s="1"/>
      <c r="AP344" s="1"/>
      <c r="AQ344" s="60"/>
      <c r="AR344" s="54"/>
      <c r="AS344" s="39"/>
      <c r="AT344" s="35"/>
      <c r="AV344" s="1"/>
      <c r="BB344" s="1"/>
      <c r="BH344" s="1"/>
      <c r="BN344" s="1"/>
      <c r="BQ344" s="70"/>
      <c r="BT344" s="1"/>
    </row>
    <row r="345">
      <c r="A345" s="70"/>
      <c r="F345" s="1"/>
      <c r="L345" s="1"/>
      <c r="R345" s="1"/>
      <c r="X345" s="1"/>
      <c r="AD345" s="1"/>
      <c r="AJ345" s="1"/>
      <c r="AP345" s="1"/>
      <c r="AQ345" s="60"/>
      <c r="AR345" s="54"/>
      <c r="AS345" s="39"/>
      <c r="AT345" s="35"/>
      <c r="AV345" s="1"/>
      <c r="BB345" s="1"/>
      <c r="BH345" s="1"/>
      <c r="BN345" s="1"/>
      <c r="BQ345" s="70"/>
      <c r="BT345" s="1"/>
    </row>
    <row r="346">
      <c r="A346" s="70"/>
      <c r="F346" s="1"/>
      <c r="L346" s="1"/>
      <c r="R346" s="1"/>
      <c r="X346" s="1"/>
      <c r="AD346" s="1"/>
      <c r="AJ346" s="1"/>
      <c r="AP346" s="1"/>
      <c r="AQ346" s="60"/>
      <c r="AR346" s="54"/>
      <c r="AS346" s="39"/>
      <c r="AT346" s="35"/>
      <c r="AV346" s="1"/>
      <c r="BB346" s="1"/>
      <c r="BH346" s="1"/>
      <c r="BN346" s="1"/>
      <c r="BQ346" s="70"/>
      <c r="BT346" s="1"/>
    </row>
    <row r="347">
      <c r="A347" s="70"/>
      <c r="F347" s="1"/>
      <c r="L347" s="1"/>
      <c r="R347" s="1"/>
      <c r="X347" s="1"/>
      <c r="AD347" s="1"/>
      <c r="AJ347" s="1"/>
      <c r="AP347" s="1"/>
      <c r="AQ347" s="60"/>
      <c r="AR347" s="54"/>
      <c r="AS347" s="39"/>
      <c r="AT347" s="35"/>
      <c r="AV347" s="1"/>
      <c r="BB347" s="1"/>
      <c r="BH347" s="1"/>
      <c r="BN347" s="1"/>
      <c r="BQ347" s="70"/>
      <c r="BT347" s="1"/>
    </row>
    <row r="348">
      <c r="A348" s="70"/>
      <c r="F348" s="1"/>
      <c r="L348" s="1"/>
      <c r="R348" s="1"/>
      <c r="X348" s="1"/>
      <c r="AD348" s="1"/>
      <c r="AJ348" s="1"/>
      <c r="AP348" s="1"/>
      <c r="AQ348" s="60"/>
      <c r="AR348" s="54"/>
      <c r="AS348" s="39"/>
      <c r="AT348" s="35"/>
      <c r="AV348" s="1"/>
      <c r="BB348" s="1"/>
      <c r="BH348" s="1"/>
      <c r="BN348" s="1"/>
      <c r="BQ348" s="70"/>
      <c r="BT348" s="1"/>
    </row>
    <row r="349">
      <c r="A349" s="70"/>
      <c r="F349" s="1"/>
      <c r="L349" s="1"/>
      <c r="R349" s="1"/>
      <c r="X349" s="1"/>
      <c r="AD349" s="1"/>
      <c r="AJ349" s="1"/>
      <c r="AP349" s="1"/>
      <c r="AQ349" s="60"/>
      <c r="AR349" s="54"/>
      <c r="AS349" s="39"/>
      <c r="AT349" s="35"/>
      <c r="AV349" s="1"/>
      <c r="BB349" s="1"/>
      <c r="BH349" s="1"/>
      <c r="BN349" s="1"/>
      <c r="BQ349" s="70"/>
      <c r="BT349" s="1"/>
    </row>
    <row r="350">
      <c r="A350" s="70"/>
      <c r="F350" s="1"/>
      <c r="L350" s="1"/>
      <c r="R350" s="1"/>
      <c r="X350" s="1"/>
      <c r="AD350" s="1"/>
      <c r="AJ350" s="1"/>
      <c r="AP350" s="1"/>
      <c r="AQ350" s="60"/>
      <c r="AR350" s="54"/>
      <c r="AS350" s="39"/>
      <c r="AT350" s="35"/>
      <c r="AV350" s="1"/>
      <c r="BB350" s="1"/>
      <c r="BH350" s="1"/>
      <c r="BN350" s="1"/>
      <c r="BQ350" s="70"/>
      <c r="BT350" s="1"/>
    </row>
    <row r="351">
      <c r="A351" s="70"/>
      <c r="F351" s="1"/>
      <c r="L351" s="1"/>
      <c r="R351" s="1"/>
      <c r="X351" s="1"/>
      <c r="AD351" s="1"/>
      <c r="AJ351" s="1"/>
      <c r="AP351" s="1"/>
      <c r="AQ351" s="60"/>
      <c r="AR351" s="54"/>
      <c r="AS351" s="39"/>
      <c r="AT351" s="35"/>
      <c r="AV351" s="1"/>
      <c r="BB351" s="1"/>
      <c r="BH351" s="1"/>
      <c r="BN351" s="1"/>
      <c r="BQ351" s="70"/>
      <c r="BT351" s="1"/>
    </row>
    <row r="352">
      <c r="A352" s="70"/>
      <c r="F352" s="1"/>
      <c r="L352" s="1"/>
      <c r="R352" s="1"/>
      <c r="X352" s="1"/>
      <c r="AD352" s="1"/>
      <c r="AJ352" s="1"/>
      <c r="AP352" s="1"/>
      <c r="AQ352" s="60"/>
      <c r="AR352" s="54"/>
      <c r="AS352" s="39"/>
      <c r="AT352" s="35"/>
      <c r="AV352" s="1"/>
      <c r="BB352" s="1"/>
      <c r="BH352" s="1"/>
      <c r="BN352" s="1"/>
      <c r="BQ352" s="70"/>
      <c r="BT352" s="1"/>
    </row>
    <row r="353">
      <c r="A353" s="70"/>
      <c r="F353" s="1"/>
      <c r="L353" s="1"/>
      <c r="R353" s="1"/>
      <c r="X353" s="1"/>
      <c r="AD353" s="1"/>
      <c r="AJ353" s="1"/>
      <c r="AP353" s="1"/>
      <c r="AQ353" s="60"/>
      <c r="AR353" s="54"/>
      <c r="AS353" s="39"/>
      <c r="AT353" s="35"/>
      <c r="AV353" s="1"/>
      <c r="BB353" s="1"/>
      <c r="BH353" s="1"/>
      <c r="BN353" s="1"/>
      <c r="BQ353" s="70"/>
      <c r="BT353" s="1"/>
    </row>
    <row r="354">
      <c r="A354" s="70"/>
      <c r="F354" s="1"/>
      <c r="L354" s="1"/>
      <c r="R354" s="1"/>
      <c r="X354" s="1"/>
      <c r="AD354" s="1"/>
      <c r="AJ354" s="1"/>
      <c r="AP354" s="1"/>
      <c r="AQ354" s="60"/>
      <c r="AR354" s="54"/>
      <c r="AS354" s="39"/>
      <c r="AT354" s="35"/>
      <c r="AV354" s="1"/>
      <c r="BB354" s="1"/>
      <c r="BH354" s="1"/>
      <c r="BN354" s="1"/>
      <c r="BQ354" s="70"/>
      <c r="BT354" s="1"/>
    </row>
    <row r="355">
      <c r="A355" s="70"/>
      <c r="F355" s="1"/>
      <c r="L355" s="1"/>
      <c r="R355" s="1"/>
      <c r="X355" s="1"/>
      <c r="AD355" s="1"/>
      <c r="AJ355" s="1"/>
      <c r="AP355" s="1"/>
      <c r="AQ355" s="60"/>
      <c r="AR355" s="54"/>
      <c r="AS355" s="39"/>
      <c r="AT355" s="35"/>
      <c r="AV355" s="1"/>
      <c r="BB355" s="1"/>
      <c r="BH355" s="1"/>
      <c r="BN355" s="1"/>
      <c r="BQ355" s="70"/>
      <c r="BT355" s="1"/>
    </row>
    <row r="356">
      <c r="A356" s="70"/>
      <c r="F356" s="1"/>
      <c r="L356" s="1"/>
      <c r="R356" s="1"/>
      <c r="X356" s="1"/>
      <c r="AD356" s="1"/>
      <c r="AJ356" s="1"/>
      <c r="AP356" s="1"/>
      <c r="AQ356" s="60"/>
      <c r="AR356" s="54"/>
      <c r="AS356" s="39"/>
      <c r="AT356" s="35"/>
      <c r="AV356" s="1"/>
      <c r="BB356" s="1"/>
      <c r="BH356" s="1"/>
      <c r="BN356" s="1"/>
      <c r="BQ356" s="70"/>
      <c r="BT356" s="1"/>
    </row>
    <row r="357">
      <c r="A357" s="70"/>
      <c r="F357" s="1"/>
      <c r="L357" s="1"/>
      <c r="R357" s="1"/>
      <c r="X357" s="1"/>
      <c r="AD357" s="1"/>
      <c r="AJ357" s="1"/>
      <c r="AP357" s="1"/>
      <c r="AQ357" s="60"/>
      <c r="AR357" s="54"/>
      <c r="AS357" s="39"/>
      <c r="AT357" s="35"/>
      <c r="AV357" s="1"/>
      <c r="BB357" s="1"/>
      <c r="BH357" s="1"/>
      <c r="BN357" s="1"/>
      <c r="BQ357" s="70"/>
      <c r="BT357" s="1"/>
    </row>
    <row r="358">
      <c r="A358" s="70"/>
      <c r="F358" s="1"/>
      <c r="L358" s="1"/>
      <c r="R358" s="1"/>
      <c r="X358" s="1"/>
      <c r="AD358" s="1"/>
      <c r="AJ358" s="1"/>
      <c r="AP358" s="1"/>
      <c r="AQ358" s="60"/>
      <c r="AR358" s="54"/>
      <c r="AS358" s="39"/>
      <c r="AT358" s="35"/>
      <c r="AV358" s="1"/>
      <c r="BB358" s="1"/>
      <c r="BH358" s="1"/>
      <c r="BN358" s="1"/>
      <c r="BQ358" s="70"/>
      <c r="BT358" s="1"/>
    </row>
    <row r="359">
      <c r="A359" s="70"/>
      <c r="F359" s="1"/>
      <c r="L359" s="1"/>
      <c r="R359" s="1"/>
      <c r="X359" s="1"/>
      <c r="AD359" s="1"/>
      <c r="AJ359" s="1"/>
      <c r="AP359" s="1"/>
      <c r="AQ359" s="60"/>
      <c r="AR359" s="54"/>
      <c r="AS359" s="39"/>
      <c r="AT359" s="35"/>
      <c r="AV359" s="1"/>
      <c r="BB359" s="1"/>
      <c r="BH359" s="1"/>
      <c r="BN359" s="1"/>
      <c r="BQ359" s="70"/>
      <c r="BT359" s="1"/>
    </row>
    <row r="360">
      <c r="A360" s="70"/>
      <c r="F360" s="1"/>
      <c r="L360" s="1"/>
      <c r="R360" s="1"/>
      <c r="X360" s="1"/>
      <c r="AD360" s="1"/>
      <c r="AJ360" s="1"/>
      <c r="AP360" s="1"/>
      <c r="AQ360" s="60"/>
      <c r="AR360" s="54"/>
      <c r="AS360" s="39"/>
      <c r="AT360" s="35"/>
      <c r="AV360" s="1"/>
      <c r="BB360" s="1"/>
      <c r="BH360" s="1"/>
      <c r="BN360" s="1"/>
      <c r="BQ360" s="70"/>
      <c r="BT360" s="1"/>
    </row>
    <row r="361">
      <c r="A361" s="70"/>
      <c r="F361" s="1"/>
      <c r="L361" s="1"/>
      <c r="R361" s="1"/>
      <c r="X361" s="1"/>
      <c r="AD361" s="1"/>
      <c r="AJ361" s="1"/>
      <c r="AP361" s="1"/>
      <c r="AQ361" s="60"/>
      <c r="AR361" s="54"/>
      <c r="AS361" s="39"/>
      <c r="AT361" s="35"/>
      <c r="AV361" s="1"/>
      <c r="BB361" s="1"/>
      <c r="BH361" s="1"/>
      <c r="BN361" s="1"/>
      <c r="BQ361" s="70"/>
      <c r="BT361" s="1"/>
    </row>
    <row r="362">
      <c r="A362" s="70"/>
      <c r="F362" s="1"/>
      <c r="L362" s="1"/>
      <c r="R362" s="1"/>
      <c r="X362" s="1"/>
      <c r="AD362" s="1"/>
      <c r="AJ362" s="1"/>
      <c r="AP362" s="1"/>
      <c r="AQ362" s="60"/>
      <c r="AR362" s="54"/>
      <c r="AS362" s="39"/>
      <c r="AT362" s="35"/>
      <c r="AV362" s="1"/>
      <c r="BB362" s="1"/>
      <c r="BH362" s="1"/>
      <c r="BN362" s="1"/>
      <c r="BQ362" s="70"/>
      <c r="BT362" s="1"/>
    </row>
    <row r="363">
      <c r="A363" s="70"/>
      <c r="F363" s="1"/>
      <c r="L363" s="1"/>
      <c r="R363" s="1"/>
      <c r="X363" s="1"/>
      <c r="AD363" s="1"/>
      <c r="AJ363" s="1"/>
      <c r="AP363" s="1"/>
      <c r="AQ363" s="60"/>
      <c r="AR363" s="54"/>
      <c r="AS363" s="39"/>
      <c r="AT363" s="35"/>
      <c r="AV363" s="1"/>
      <c r="BB363" s="1"/>
      <c r="BH363" s="1"/>
      <c r="BN363" s="1"/>
      <c r="BQ363" s="70"/>
      <c r="BT363" s="1"/>
    </row>
    <row r="364">
      <c r="A364" s="70"/>
      <c r="F364" s="1"/>
      <c r="L364" s="1"/>
      <c r="R364" s="1"/>
      <c r="X364" s="1"/>
      <c r="AD364" s="1"/>
      <c r="AJ364" s="1"/>
      <c r="AP364" s="1"/>
      <c r="AQ364" s="60"/>
      <c r="AR364" s="54"/>
      <c r="AS364" s="39"/>
      <c r="AT364" s="35"/>
      <c r="AV364" s="1"/>
      <c r="BB364" s="1"/>
      <c r="BH364" s="1"/>
      <c r="BN364" s="1"/>
      <c r="BQ364" s="70"/>
      <c r="BT364" s="1"/>
    </row>
    <row r="365">
      <c r="A365" s="70"/>
      <c r="F365" s="1"/>
      <c r="L365" s="1"/>
      <c r="R365" s="1"/>
      <c r="X365" s="1"/>
      <c r="AD365" s="1"/>
      <c r="AJ365" s="1"/>
      <c r="AP365" s="1"/>
      <c r="AQ365" s="60"/>
      <c r="AR365" s="54"/>
      <c r="AS365" s="39"/>
      <c r="AT365" s="35"/>
      <c r="AV365" s="1"/>
      <c r="BB365" s="1"/>
      <c r="BH365" s="1"/>
      <c r="BN365" s="1"/>
      <c r="BQ365" s="70"/>
      <c r="BT365" s="1"/>
    </row>
    <row r="366">
      <c r="A366" s="70"/>
      <c r="F366" s="1"/>
      <c r="L366" s="1"/>
      <c r="R366" s="1"/>
      <c r="X366" s="1"/>
      <c r="AD366" s="1"/>
      <c r="AJ366" s="1"/>
      <c r="AP366" s="1"/>
      <c r="AQ366" s="60"/>
      <c r="AR366" s="54"/>
      <c r="AS366" s="39"/>
      <c r="AT366" s="35"/>
      <c r="AV366" s="1"/>
      <c r="BB366" s="1"/>
      <c r="BH366" s="1"/>
      <c r="BN366" s="1"/>
      <c r="BQ366" s="70"/>
      <c r="BT366" s="1"/>
    </row>
    <row r="367">
      <c r="A367" s="70"/>
      <c r="F367" s="1"/>
      <c r="L367" s="1"/>
      <c r="R367" s="1"/>
      <c r="X367" s="1"/>
      <c r="AD367" s="1"/>
      <c r="AJ367" s="1"/>
      <c r="AP367" s="1"/>
      <c r="AQ367" s="60"/>
      <c r="AR367" s="54"/>
      <c r="AS367" s="39"/>
      <c r="AT367" s="35"/>
      <c r="AV367" s="1"/>
      <c r="BB367" s="1"/>
      <c r="BH367" s="1"/>
      <c r="BN367" s="1"/>
      <c r="BQ367" s="70"/>
      <c r="BT367" s="1"/>
    </row>
    <row r="368">
      <c r="A368" s="70"/>
      <c r="F368" s="1"/>
      <c r="L368" s="1"/>
      <c r="R368" s="1"/>
      <c r="X368" s="1"/>
      <c r="AD368" s="1"/>
      <c r="AJ368" s="1"/>
      <c r="AP368" s="1"/>
      <c r="AQ368" s="60"/>
      <c r="AR368" s="54"/>
      <c r="AS368" s="39"/>
      <c r="AT368" s="35"/>
      <c r="AV368" s="1"/>
      <c r="BB368" s="1"/>
      <c r="BH368" s="1"/>
      <c r="BN368" s="1"/>
      <c r="BQ368" s="70"/>
      <c r="BT368" s="1"/>
    </row>
    <row r="369">
      <c r="A369" s="70"/>
      <c r="F369" s="1"/>
      <c r="L369" s="1"/>
      <c r="R369" s="1"/>
      <c r="X369" s="1"/>
      <c r="AD369" s="1"/>
      <c r="AJ369" s="1"/>
      <c r="AP369" s="1"/>
      <c r="AQ369" s="60"/>
      <c r="AR369" s="54"/>
      <c r="AS369" s="39"/>
      <c r="AT369" s="35"/>
      <c r="AV369" s="1"/>
      <c r="BB369" s="1"/>
      <c r="BH369" s="1"/>
      <c r="BN369" s="1"/>
      <c r="BQ369" s="70"/>
      <c r="BT369" s="1"/>
    </row>
    <row r="370">
      <c r="A370" s="70"/>
      <c r="F370" s="1"/>
      <c r="L370" s="1"/>
      <c r="R370" s="1"/>
      <c r="X370" s="1"/>
      <c r="AD370" s="1"/>
      <c r="AJ370" s="1"/>
      <c r="AP370" s="1"/>
      <c r="AQ370" s="60"/>
      <c r="AR370" s="54"/>
      <c r="AS370" s="39"/>
      <c r="AT370" s="35"/>
      <c r="AV370" s="1"/>
      <c r="BB370" s="1"/>
      <c r="BH370" s="1"/>
      <c r="BN370" s="1"/>
      <c r="BQ370" s="70"/>
      <c r="BT370" s="1"/>
    </row>
    <row r="371">
      <c r="A371" s="70"/>
      <c r="F371" s="1"/>
      <c r="L371" s="1"/>
      <c r="R371" s="1"/>
      <c r="X371" s="1"/>
      <c r="AD371" s="1"/>
      <c r="AJ371" s="1"/>
      <c r="AP371" s="1"/>
      <c r="AQ371" s="60"/>
      <c r="AR371" s="54"/>
      <c r="AS371" s="39"/>
      <c r="AT371" s="35"/>
      <c r="AV371" s="1"/>
      <c r="BB371" s="1"/>
      <c r="BH371" s="1"/>
      <c r="BN371" s="1"/>
      <c r="BQ371" s="70"/>
      <c r="BT371" s="1"/>
    </row>
    <row r="372">
      <c r="A372" s="70"/>
      <c r="F372" s="1"/>
      <c r="L372" s="1"/>
      <c r="R372" s="1"/>
      <c r="X372" s="1"/>
      <c r="AD372" s="1"/>
      <c r="AJ372" s="1"/>
      <c r="AP372" s="1"/>
      <c r="AQ372" s="60"/>
      <c r="AR372" s="54"/>
      <c r="AS372" s="39"/>
      <c r="AT372" s="35"/>
      <c r="AV372" s="1"/>
      <c r="BB372" s="1"/>
      <c r="BH372" s="1"/>
      <c r="BN372" s="1"/>
      <c r="BQ372" s="70"/>
      <c r="BT372" s="1"/>
    </row>
    <row r="373">
      <c r="A373" s="70"/>
      <c r="F373" s="1"/>
      <c r="L373" s="1"/>
      <c r="R373" s="1"/>
      <c r="X373" s="1"/>
      <c r="AD373" s="1"/>
      <c r="AJ373" s="1"/>
      <c r="AP373" s="1"/>
      <c r="AQ373" s="60"/>
      <c r="AR373" s="54"/>
      <c r="AS373" s="39"/>
      <c r="AT373" s="35"/>
      <c r="AV373" s="1"/>
      <c r="BB373" s="1"/>
      <c r="BH373" s="1"/>
      <c r="BN373" s="1"/>
      <c r="BQ373" s="70"/>
      <c r="BT373" s="1"/>
    </row>
    <row r="374">
      <c r="A374" s="70"/>
      <c r="F374" s="1"/>
      <c r="L374" s="1"/>
      <c r="R374" s="1"/>
      <c r="X374" s="1"/>
      <c r="AD374" s="1"/>
      <c r="AJ374" s="1"/>
      <c r="AP374" s="1"/>
      <c r="AQ374" s="60"/>
      <c r="AR374" s="54"/>
      <c r="AS374" s="39"/>
      <c r="AT374" s="35"/>
      <c r="AV374" s="1"/>
      <c r="BB374" s="1"/>
      <c r="BH374" s="1"/>
      <c r="BN374" s="1"/>
      <c r="BQ374" s="70"/>
      <c r="BT374" s="1"/>
    </row>
    <row r="375">
      <c r="A375" s="70"/>
      <c r="F375" s="1"/>
      <c r="L375" s="1"/>
      <c r="R375" s="1"/>
      <c r="X375" s="1"/>
      <c r="AD375" s="1"/>
      <c r="AJ375" s="1"/>
      <c r="AP375" s="1"/>
      <c r="AQ375" s="60"/>
      <c r="AR375" s="54"/>
      <c r="AS375" s="39"/>
      <c r="AT375" s="35"/>
      <c r="AV375" s="1"/>
      <c r="BB375" s="1"/>
      <c r="BH375" s="1"/>
      <c r="BN375" s="1"/>
      <c r="BQ375" s="70"/>
      <c r="BT375" s="1"/>
    </row>
    <row r="376">
      <c r="A376" s="70"/>
      <c r="F376" s="1"/>
      <c r="L376" s="1"/>
      <c r="R376" s="1"/>
      <c r="X376" s="1"/>
      <c r="AD376" s="1"/>
      <c r="AJ376" s="1"/>
      <c r="AP376" s="1"/>
      <c r="AQ376" s="60"/>
      <c r="AR376" s="54"/>
      <c r="AS376" s="39"/>
      <c r="AT376" s="35"/>
      <c r="AV376" s="1"/>
      <c r="BB376" s="1"/>
      <c r="BH376" s="1"/>
      <c r="BN376" s="1"/>
      <c r="BQ376" s="70"/>
      <c r="BT376" s="1"/>
    </row>
    <row r="377">
      <c r="A377" s="70"/>
      <c r="F377" s="1"/>
      <c r="L377" s="1"/>
      <c r="R377" s="1"/>
      <c r="X377" s="1"/>
      <c r="AD377" s="1"/>
      <c r="AJ377" s="1"/>
      <c r="AP377" s="1"/>
      <c r="AQ377" s="60"/>
      <c r="AR377" s="54"/>
      <c r="AS377" s="39"/>
      <c r="AT377" s="35"/>
      <c r="AV377" s="1"/>
      <c r="BB377" s="1"/>
      <c r="BH377" s="1"/>
      <c r="BN377" s="1"/>
      <c r="BP377" s="64"/>
      <c r="BQ377" s="70"/>
      <c r="BT377" s="1"/>
    </row>
    <row r="378">
      <c r="A378" s="70"/>
      <c r="F378" s="1"/>
      <c r="L378" s="1"/>
      <c r="R378" s="1"/>
      <c r="X378" s="1"/>
      <c r="AD378" s="1"/>
      <c r="AJ378" s="1"/>
      <c r="AP378" s="1"/>
      <c r="AQ378" s="60"/>
      <c r="AR378" s="54"/>
      <c r="AS378" s="39"/>
      <c r="AT378" s="35"/>
      <c r="AV378" s="1"/>
      <c r="BB378" s="1"/>
      <c r="BH378" s="1"/>
      <c r="BN378" s="1"/>
      <c r="BP378" s="64"/>
      <c r="BQ378" s="70"/>
      <c r="BT378" s="1"/>
    </row>
    <row r="379">
      <c r="A379" s="70"/>
      <c r="F379" s="1"/>
      <c r="L379" s="1"/>
      <c r="R379" s="1"/>
      <c r="X379" s="1"/>
      <c r="AD379" s="1"/>
      <c r="AJ379" s="1"/>
      <c r="AP379" s="1"/>
      <c r="AQ379" s="60"/>
      <c r="AR379" s="54"/>
      <c r="AS379" s="39"/>
      <c r="AT379" s="35"/>
      <c r="AV379" s="1"/>
      <c r="BB379" s="1"/>
      <c r="BH379" s="1"/>
      <c r="BN379" s="1"/>
      <c r="BP379" s="64"/>
      <c r="BQ379" s="70"/>
      <c r="BT379" s="1"/>
    </row>
    <row r="380">
      <c r="A380" s="70"/>
      <c r="F380" s="1"/>
      <c r="L380" s="1"/>
      <c r="R380" s="1"/>
      <c r="X380" s="1"/>
      <c r="AD380" s="1"/>
      <c r="AJ380" s="1"/>
      <c r="AP380" s="1"/>
      <c r="AQ380" s="60"/>
      <c r="AR380" s="54"/>
      <c r="AS380" s="39"/>
      <c r="AT380" s="35"/>
      <c r="AV380" s="1"/>
      <c r="BB380" s="1"/>
      <c r="BH380" s="1"/>
      <c r="BN380" s="1"/>
      <c r="BP380" s="64"/>
      <c r="BQ380" s="70"/>
      <c r="BT380" s="1"/>
    </row>
    <row r="381">
      <c r="A381" s="70"/>
      <c r="F381" s="1"/>
      <c r="L381" s="1"/>
      <c r="R381" s="1"/>
      <c r="X381" s="1"/>
      <c r="AD381" s="1"/>
      <c r="AJ381" s="1"/>
      <c r="AP381" s="1"/>
      <c r="AQ381" s="60"/>
      <c r="AR381" s="54"/>
      <c r="AS381" s="39"/>
      <c r="AT381" s="35"/>
      <c r="AV381" s="1"/>
      <c r="BB381" s="1"/>
      <c r="BH381" s="1"/>
      <c r="BN381" s="1"/>
      <c r="BP381" s="64"/>
      <c r="BQ381" s="70"/>
      <c r="BT381" s="1"/>
    </row>
    <row r="382">
      <c r="A382" s="70"/>
      <c r="F382" s="1"/>
      <c r="L382" s="1"/>
      <c r="R382" s="1"/>
      <c r="X382" s="1"/>
      <c r="AD382" s="1"/>
      <c r="AJ382" s="1"/>
      <c r="AP382" s="1"/>
      <c r="AQ382" s="60"/>
      <c r="AR382" s="54"/>
      <c r="AS382" s="39"/>
      <c r="AT382" s="35"/>
      <c r="AV382" s="1"/>
      <c r="BB382" s="1"/>
      <c r="BH382" s="1"/>
      <c r="BN382" s="1"/>
      <c r="BP382" s="64"/>
      <c r="BQ382" s="70"/>
      <c r="BT382" s="1"/>
    </row>
    <row r="383">
      <c r="A383" s="70"/>
      <c r="F383" s="1"/>
      <c r="L383" s="1"/>
      <c r="R383" s="1"/>
      <c r="X383" s="1"/>
      <c r="AD383" s="1"/>
      <c r="AJ383" s="1"/>
      <c r="AP383" s="1"/>
      <c r="AQ383" s="60"/>
      <c r="AR383" s="54"/>
      <c r="AS383" s="39"/>
      <c r="AT383" s="35"/>
      <c r="AV383" s="1"/>
      <c r="BB383" s="1"/>
      <c r="BH383" s="1"/>
      <c r="BN383" s="1"/>
      <c r="BP383" s="64"/>
      <c r="BQ383" s="70"/>
      <c r="BT383" s="1"/>
    </row>
    <row r="384">
      <c r="A384" s="70"/>
      <c r="F384" s="1"/>
      <c r="L384" s="1"/>
      <c r="R384" s="1"/>
      <c r="X384" s="1"/>
      <c r="AD384" s="1"/>
      <c r="AJ384" s="1"/>
      <c r="AP384" s="1"/>
      <c r="AQ384" s="60"/>
      <c r="AR384" s="54"/>
      <c r="AS384" s="39"/>
      <c r="AT384" s="35"/>
      <c r="AV384" s="1"/>
      <c r="BB384" s="1"/>
      <c r="BH384" s="1"/>
      <c r="BN384" s="1"/>
      <c r="BP384" s="64"/>
      <c r="BQ384" s="70"/>
      <c r="BT384" s="1"/>
    </row>
    <row r="385">
      <c r="A385" s="70"/>
      <c r="F385" s="1"/>
      <c r="L385" s="1"/>
      <c r="R385" s="1"/>
      <c r="X385" s="1"/>
      <c r="AD385" s="1"/>
      <c r="AJ385" s="1"/>
      <c r="AP385" s="1"/>
      <c r="AQ385" s="60"/>
      <c r="AR385" s="54"/>
      <c r="AS385" s="39"/>
      <c r="AT385" s="35"/>
      <c r="AV385" s="1"/>
      <c r="BB385" s="1"/>
      <c r="BH385" s="1"/>
      <c r="BN385" s="1"/>
      <c r="BP385" s="64"/>
      <c r="BQ385" s="70"/>
      <c r="BT385" s="1"/>
    </row>
    <row r="386">
      <c r="A386" s="70"/>
      <c r="F386" s="1"/>
      <c r="L386" s="1"/>
      <c r="R386" s="1"/>
      <c r="X386" s="1"/>
      <c r="AD386" s="1"/>
      <c r="AJ386" s="1"/>
      <c r="AP386" s="1"/>
      <c r="AQ386" s="60"/>
      <c r="AR386" s="54"/>
      <c r="AS386" s="39"/>
      <c r="AT386" s="35"/>
      <c r="AV386" s="1"/>
      <c r="BB386" s="1"/>
      <c r="BH386" s="1"/>
      <c r="BN386" s="1"/>
      <c r="BP386" s="64"/>
      <c r="BQ386" s="70"/>
      <c r="BT386" s="1"/>
    </row>
    <row r="387">
      <c r="A387" s="70"/>
      <c r="F387" s="1"/>
      <c r="L387" s="1"/>
      <c r="R387" s="1"/>
      <c r="X387" s="1"/>
      <c r="AD387" s="1"/>
      <c r="AJ387" s="1"/>
      <c r="AP387" s="1"/>
      <c r="AQ387" s="60"/>
      <c r="AR387" s="54"/>
      <c r="AS387" s="39"/>
      <c r="AT387" s="35"/>
      <c r="AV387" s="1"/>
      <c r="BB387" s="1"/>
      <c r="BH387" s="1"/>
      <c r="BN387" s="1"/>
      <c r="BP387" s="64"/>
      <c r="BQ387" s="70"/>
      <c r="BT387" s="1"/>
    </row>
    <row r="388">
      <c r="A388" s="70"/>
      <c r="F388" s="1"/>
      <c r="L388" s="1"/>
      <c r="R388" s="1"/>
      <c r="X388" s="1"/>
      <c r="AD388" s="1"/>
      <c r="AJ388" s="1"/>
      <c r="AP388" s="1"/>
      <c r="AQ388" s="60"/>
      <c r="AR388" s="54"/>
      <c r="AS388" s="39"/>
      <c r="AT388" s="35"/>
      <c r="AV388" s="1"/>
      <c r="BB388" s="1"/>
      <c r="BH388" s="1"/>
      <c r="BN388" s="1"/>
      <c r="BP388" s="64"/>
      <c r="BQ388" s="70"/>
      <c r="BT388" s="1"/>
    </row>
    <row r="389">
      <c r="A389" s="70"/>
      <c r="F389" s="1"/>
      <c r="L389" s="1"/>
      <c r="R389" s="1"/>
      <c r="X389" s="1"/>
      <c r="AD389" s="1"/>
      <c r="AJ389" s="1"/>
      <c r="AP389" s="1"/>
      <c r="AQ389" s="60"/>
      <c r="AR389" s="54"/>
      <c r="AS389" s="39"/>
      <c r="AT389" s="35"/>
      <c r="AV389" s="1"/>
      <c r="BB389" s="1"/>
      <c r="BH389" s="1"/>
      <c r="BN389" s="1"/>
      <c r="BP389" s="64"/>
      <c r="BQ389" s="70"/>
      <c r="BT389" s="1"/>
    </row>
    <row r="390">
      <c r="A390" s="70"/>
      <c r="F390" s="1"/>
      <c r="L390" s="1"/>
      <c r="R390" s="1"/>
      <c r="X390" s="1"/>
      <c r="AD390" s="1"/>
      <c r="AJ390" s="1"/>
      <c r="AP390" s="1"/>
      <c r="AQ390" s="60"/>
      <c r="AR390" s="54"/>
      <c r="AS390" s="39"/>
      <c r="AT390" s="35"/>
      <c r="AV390" s="1"/>
      <c r="BB390" s="1"/>
      <c r="BH390" s="1"/>
      <c r="BN390" s="1"/>
      <c r="BP390" s="64"/>
      <c r="BQ390" s="70"/>
      <c r="BT390" s="1"/>
    </row>
    <row r="391">
      <c r="A391" s="70"/>
      <c r="F391" s="1"/>
      <c r="L391" s="1"/>
      <c r="R391" s="1"/>
      <c r="X391" s="1"/>
      <c r="AD391" s="1"/>
      <c r="AJ391" s="1"/>
      <c r="AP391" s="1"/>
      <c r="AQ391" s="60"/>
      <c r="AR391" s="54"/>
      <c r="AS391" s="39"/>
      <c r="AT391" s="35"/>
      <c r="AV391" s="1"/>
      <c r="BB391" s="1"/>
      <c r="BH391" s="1"/>
      <c r="BN391" s="1"/>
      <c r="BP391" s="64"/>
      <c r="BQ391" s="70"/>
      <c r="BT391" s="1"/>
    </row>
    <row r="392">
      <c r="A392" s="70"/>
      <c r="F392" s="1"/>
      <c r="L392" s="1"/>
      <c r="R392" s="1"/>
      <c r="X392" s="1"/>
      <c r="AD392" s="1"/>
      <c r="AJ392" s="1"/>
      <c r="AP392" s="1"/>
      <c r="AQ392" s="60"/>
      <c r="AR392" s="54"/>
      <c r="AS392" s="39"/>
      <c r="AT392" s="35"/>
      <c r="AV392" s="1"/>
      <c r="BB392" s="1"/>
      <c r="BH392" s="1"/>
      <c r="BN392" s="1"/>
      <c r="BP392" s="64"/>
      <c r="BQ392" s="70"/>
      <c r="BT392" s="1"/>
    </row>
    <row r="393">
      <c r="A393" s="70"/>
      <c r="F393" s="1"/>
      <c r="L393" s="1"/>
      <c r="R393" s="1"/>
      <c r="X393" s="1"/>
      <c r="AD393" s="1"/>
      <c r="AJ393" s="1"/>
      <c r="AP393" s="1"/>
      <c r="AQ393" s="60"/>
      <c r="AR393" s="54"/>
      <c r="AS393" s="39"/>
      <c r="AT393" s="35"/>
      <c r="AV393" s="1"/>
      <c r="BB393" s="1"/>
      <c r="BH393" s="1"/>
      <c r="BN393" s="1"/>
      <c r="BQ393" s="70"/>
      <c r="BT393" s="1"/>
    </row>
    <row r="394">
      <c r="A394" s="70"/>
      <c r="F394" s="1"/>
      <c r="L394" s="1"/>
      <c r="R394" s="1"/>
      <c r="X394" s="1"/>
      <c r="AD394" s="1"/>
      <c r="AJ394" s="1"/>
      <c r="AP394" s="1"/>
      <c r="AQ394" s="60"/>
      <c r="AR394" s="54"/>
      <c r="AS394" s="39"/>
      <c r="AT394" s="35"/>
      <c r="AV394" s="1"/>
      <c r="BB394" s="1"/>
      <c r="BH394" s="1"/>
      <c r="BN394" s="1"/>
      <c r="BQ394" s="70"/>
      <c r="BT394" s="1"/>
    </row>
    <row r="395">
      <c r="A395" s="70"/>
      <c r="F395" s="1"/>
      <c r="L395" s="1"/>
      <c r="R395" s="1"/>
      <c r="X395" s="1"/>
      <c r="AD395" s="1"/>
      <c r="AJ395" s="1"/>
      <c r="AP395" s="1"/>
      <c r="AQ395" s="60"/>
      <c r="AR395" s="54"/>
      <c r="AS395" s="39"/>
      <c r="AT395" s="35"/>
      <c r="AV395" s="1"/>
      <c r="BB395" s="1"/>
      <c r="BH395" s="1"/>
      <c r="BN395" s="1"/>
      <c r="BQ395" s="70"/>
      <c r="BT395" s="1"/>
    </row>
    <row r="396">
      <c r="A396" s="70"/>
      <c r="F396" s="1"/>
      <c r="L396" s="1"/>
      <c r="R396" s="1"/>
      <c r="X396" s="1"/>
      <c r="AD396" s="1"/>
      <c r="AJ396" s="1"/>
      <c r="AP396" s="1"/>
      <c r="AQ396" s="60"/>
      <c r="AR396" s="54"/>
      <c r="AS396" s="39"/>
      <c r="AT396" s="35"/>
      <c r="AV396" s="1"/>
      <c r="BB396" s="1"/>
      <c r="BH396" s="1"/>
      <c r="BN396" s="1"/>
      <c r="BQ396" s="70"/>
      <c r="BT396" s="1"/>
    </row>
    <row r="397">
      <c r="A397" s="70"/>
      <c r="F397" s="1"/>
      <c r="L397" s="1"/>
      <c r="R397" s="1"/>
      <c r="X397" s="1"/>
      <c r="AD397" s="1"/>
      <c r="AJ397" s="1"/>
      <c r="AP397" s="1"/>
      <c r="AQ397" s="60"/>
      <c r="AR397" s="54"/>
      <c r="AS397" s="39"/>
      <c r="AT397" s="35"/>
      <c r="AV397" s="1"/>
      <c r="BB397" s="1"/>
      <c r="BH397" s="1"/>
      <c r="BN397" s="1"/>
      <c r="BQ397" s="70"/>
      <c r="BT397" s="1"/>
    </row>
    <row r="398">
      <c r="A398" s="70"/>
      <c r="F398" s="1"/>
      <c r="L398" s="1"/>
      <c r="R398" s="1"/>
      <c r="X398" s="1"/>
      <c r="AD398" s="1"/>
      <c r="AJ398" s="1"/>
      <c r="AP398" s="1"/>
      <c r="AQ398" s="60"/>
      <c r="AR398" s="54"/>
      <c r="AS398" s="39"/>
      <c r="AT398" s="35"/>
      <c r="AV398" s="1"/>
      <c r="BB398" s="1"/>
      <c r="BH398" s="1"/>
      <c r="BN398" s="1"/>
      <c r="BQ398" s="70"/>
      <c r="BT398" s="1"/>
    </row>
    <row r="399">
      <c r="A399" s="70"/>
      <c r="F399" s="1"/>
      <c r="L399" s="1"/>
      <c r="R399" s="1"/>
      <c r="X399" s="1"/>
      <c r="AD399" s="1"/>
      <c r="AJ399" s="1"/>
      <c r="AP399" s="1"/>
      <c r="AQ399" s="60"/>
      <c r="AR399" s="54"/>
      <c r="AS399" s="39"/>
      <c r="AT399" s="35"/>
      <c r="AV399" s="1"/>
      <c r="BB399" s="1"/>
      <c r="BH399" s="1"/>
      <c r="BN399" s="1"/>
      <c r="BQ399" s="70"/>
      <c r="BT399" s="1"/>
    </row>
    <row r="400">
      <c r="A400" s="70"/>
      <c r="F400" s="1"/>
      <c r="L400" s="1"/>
      <c r="R400" s="1"/>
      <c r="X400" s="1"/>
      <c r="AD400" s="1"/>
      <c r="AJ400" s="1"/>
      <c r="AP400" s="1"/>
      <c r="AQ400" s="60"/>
      <c r="AR400" s="54"/>
      <c r="AS400" s="39"/>
      <c r="AT400" s="35"/>
      <c r="AV400" s="1"/>
      <c r="BB400" s="1"/>
      <c r="BH400" s="1"/>
      <c r="BN400" s="1"/>
      <c r="BQ400" s="70"/>
      <c r="BT400" s="1"/>
    </row>
    <row r="401">
      <c r="A401" s="70"/>
      <c r="F401" s="1"/>
      <c r="L401" s="1"/>
      <c r="R401" s="1"/>
      <c r="X401" s="1"/>
      <c r="AD401" s="1"/>
      <c r="AJ401" s="1"/>
      <c r="AP401" s="1"/>
      <c r="AQ401" s="60"/>
      <c r="AR401" s="54"/>
      <c r="AS401" s="39"/>
      <c r="AT401" s="35"/>
      <c r="AV401" s="1"/>
      <c r="BB401" s="1"/>
      <c r="BH401" s="1"/>
      <c r="BN401" s="1"/>
      <c r="BQ401" s="70"/>
      <c r="BT401" s="1"/>
    </row>
    <row r="402">
      <c r="A402" s="70"/>
      <c r="F402" s="1"/>
      <c r="L402" s="1"/>
      <c r="R402" s="1"/>
      <c r="X402" s="1"/>
      <c r="AD402" s="1"/>
      <c r="AJ402" s="1"/>
      <c r="AP402" s="1"/>
      <c r="AQ402" s="60"/>
      <c r="AR402" s="54"/>
      <c r="AS402" s="39"/>
      <c r="AT402" s="35"/>
      <c r="AV402" s="1"/>
      <c r="BB402" s="1"/>
      <c r="BH402" s="1"/>
      <c r="BN402" s="1"/>
      <c r="BQ402" s="70"/>
      <c r="BT402" s="1"/>
    </row>
    <row r="403">
      <c r="A403" s="70"/>
      <c r="F403" s="1"/>
      <c r="L403" s="1"/>
      <c r="R403" s="1"/>
      <c r="X403" s="1"/>
      <c r="AD403" s="1"/>
      <c r="AJ403" s="1"/>
      <c r="AP403" s="1"/>
      <c r="AQ403" s="60"/>
      <c r="AR403" s="54"/>
      <c r="AS403" s="39"/>
      <c r="AT403" s="35"/>
      <c r="AV403" s="1"/>
      <c r="BB403" s="1"/>
      <c r="BH403" s="1"/>
      <c r="BN403" s="1"/>
      <c r="BQ403" s="70"/>
      <c r="BT403" s="1"/>
    </row>
    <row r="404">
      <c r="A404" s="70"/>
      <c r="F404" s="1"/>
      <c r="L404" s="1"/>
      <c r="R404" s="1"/>
      <c r="X404" s="1"/>
      <c r="AD404" s="1"/>
      <c r="AJ404" s="1"/>
      <c r="AP404" s="1"/>
      <c r="AQ404" s="60"/>
      <c r="AR404" s="54"/>
      <c r="AS404" s="39"/>
      <c r="AT404" s="35"/>
      <c r="AV404" s="1"/>
      <c r="BB404" s="1"/>
      <c r="BH404" s="1"/>
      <c r="BN404" s="1"/>
      <c r="BQ404" s="70"/>
      <c r="BT404" s="1"/>
    </row>
    <row r="405">
      <c r="A405" s="70"/>
      <c r="F405" s="1"/>
      <c r="L405" s="1"/>
      <c r="R405" s="1"/>
      <c r="X405" s="1"/>
      <c r="AD405" s="1"/>
      <c r="AJ405" s="1"/>
      <c r="AP405" s="1"/>
      <c r="AQ405" s="60"/>
      <c r="AR405" s="54"/>
      <c r="AS405" s="39"/>
      <c r="AT405" s="35"/>
      <c r="AV405" s="1"/>
      <c r="BB405" s="1"/>
      <c r="BH405" s="1"/>
      <c r="BN405" s="1"/>
      <c r="BQ405" s="70"/>
      <c r="BT405" s="1"/>
    </row>
    <row r="406">
      <c r="A406" s="70"/>
      <c r="F406" s="1"/>
      <c r="L406" s="1"/>
      <c r="R406" s="1"/>
      <c r="X406" s="1"/>
      <c r="AD406" s="1"/>
      <c r="AJ406" s="1"/>
      <c r="AP406" s="1"/>
      <c r="AQ406" s="60"/>
      <c r="AR406" s="54"/>
      <c r="AS406" s="39"/>
      <c r="AT406" s="35"/>
      <c r="AV406" s="1"/>
      <c r="BB406" s="1"/>
      <c r="BH406" s="1"/>
      <c r="BN406" s="1"/>
      <c r="BQ406" s="70"/>
      <c r="BT406" s="1"/>
    </row>
    <row r="407">
      <c r="A407" s="70"/>
      <c r="F407" s="1"/>
      <c r="L407" s="1"/>
      <c r="R407" s="1"/>
      <c r="X407" s="1"/>
      <c r="AD407" s="1"/>
      <c r="AJ407" s="1"/>
      <c r="AP407" s="1"/>
      <c r="AQ407" s="60"/>
      <c r="AR407" s="54"/>
      <c r="AS407" s="39"/>
      <c r="AT407" s="35"/>
      <c r="AV407" s="1"/>
      <c r="BB407" s="1"/>
      <c r="BH407" s="1"/>
      <c r="BN407" s="1"/>
      <c r="BQ407" s="70"/>
      <c r="BT407" s="1"/>
    </row>
    <row r="408">
      <c r="A408" s="70"/>
      <c r="F408" s="1"/>
      <c r="L408" s="1"/>
      <c r="R408" s="1"/>
      <c r="X408" s="1"/>
      <c r="AD408" s="1"/>
      <c r="AJ408" s="1"/>
      <c r="AP408" s="1"/>
      <c r="AQ408" s="60"/>
      <c r="AR408" s="54"/>
      <c r="AS408" s="39"/>
      <c r="AT408" s="35"/>
      <c r="AV408" s="1"/>
      <c r="BB408" s="1"/>
      <c r="BH408" s="1"/>
      <c r="BN408" s="1"/>
      <c r="BQ408" s="70"/>
      <c r="BT408" s="1"/>
    </row>
    <row r="409">
      <c r="A409" s="70"/>
      <c r="F409" s="1"/>
      <c r="L409" s="1"/>
      <c r="R409" s="1"/>
      <c r="X409" s="1"/>
      <c r="AD409" s="1"/>
      <c r="AJ409" s="1"/>
      <c r="AP409" s="1"/>
      <c r="AQ409" s="60"/>
      <c r="AR409" s="54"/>
      <c r="AS409" s="39"/>
      <c r="AT409" s="35"/>
      <c r="AV409" s="1"/>
      <c r="BB409" s="1"/>
      <c r="BH409" s="1"/>
      <c r="BN409" s="1"/>
      <c r="BQ409" s="70"/>
      <c r="BT409" s="1"/>
    </row>
    <row r="410">
      <c r="A410" s="70"/>
      <c r="F410" s="1"/>
      <c r="L410" s="1"/>
      <c r="R410" s="1"/>
      <c r="X410" s="1"/>
      <c r="AD410" s="1"/>
      <c r="AJ410" s="1"/>
      <c r="AP410" s="1"/>
      <c r="AQ410" s="60"/>
      <c r="AR410" s="54"/>
      <c r="AS410" s="39"/>
      <c r="AT410" s="35"/>
      <c r="AV410" s="1"/>
      <c r="BB410" s="1"/>
      <c r="BH410" s="1"/>
      <c r="BN410" s="1"/>
      <c r="BQ410" s="70"/>
      <c r="BT410" s="1"/>
    </row>
    <row r="411">
      <c r="A411" s="70"/>
      <c r="F411" s="1"/>
      <c r="L411" s="1"/>
      <c r="R411" s="1"/>
      <c r="X411" s="1"/>
      <c r="AD411" s="1"/>
      <c r="AJ411" s="1"/>
      <c r="AP411" s="1"/>
      <c r="AQ411" s="60"/>
      <c r="AR411" s="54"/>
      <c r="AS411" s="39"/>
      <c r="AT411" s="35"/>
      <c r="AV411" s="1"/>
      <c r="BB411" s="1"/>
      <c r="BH411" s="1"/>
      <c r="BN411" s="1"/>
      <c r="BQ411" s="70"/>
      <c r="BT411" s="1"/>
    </row>
    <row r="412">
      <c r="A412" s="70"/>
      <c r="F412" s="1"/>
      <c r="L412" s="1"/>
      <c r="R412" s="1"/>
      <c r="X412" s="1"/>
      <c r="AD412" s="1"/>
      <c r="AJ412" s="1"/>
      <c r="AP412" s="1"/>
      <c r="AQ412" s="60"/>
      <c r="AR412" s="54"/>
      <c r="AS412" s="39"/>
      <c r="AT412" s="35"/>
      <c r="AV412" s="1"/>
      <c r="BB412" s="1"/>
      <c r="BH412" s="1"/>
      <c r="BN412" s="1"/>
      <c r="BQ412" s="70"/>
      <c r="BT412" s="1"/>
    </row>
    <row r="413">
      <c r="A413" s="70"/>
      <c r="F413" s="1"/>
      <c r="L413" s="1"/>
      <c r="R413" s="1"/>
      <c r="X413" s="1"/>
      <c r="AD413" s="1"/>
      <c r="AJ413" s="1"/>
      <c r="AP413" s="1"/>
      <c r="AQ413" s="60"/>
      <c r="AR413" s="54"/>
      <c r="AS413" s="39"/>
      <c r="AT413" s="35"/>
      <c r="AV413" s="1"/>
      <c r="BB413" s="1"/>
      <c r="BH413" s="1"/>
      <c r="BN413" s="1"/>
      <c r="BQ413" s="70"/>
      <c r="BT413" s="1"/>
    </row>
    <row r="414">
      <c r="A414" s="70"/>
      <c r="F414" s="1"/>
      <c r="L414" s="1"/>
      <c r="R414" s="1"/>
      <c r="X414" s="1"/>
      <c r="AD414" s="1"/>
      <c r="AJ414" s="1"/>
      <c r="AP414" s="1"/>
      <c r="AQ414" s="60"/>
      <c r="AR414" s="54"/>
      <c r="AS414" s="39"/>
      <c r="AT414" s="35"/>
      <c r="AV414" s="1"/>
      <c r="BB414" s="1"/>
      <c r="BH414" s="1"/>
      <c r="BN414" s="1"/>
      <c r="BQ414" s="70"/>
      <c r="BT414" s="1"/>
    </row>
    <row r="415">
      <c r="A415" s="70"/>
      <c r="F415" s="1"/>
      <c r="L415" s="1"/>
      <c r="R415" s="1"/>
      <c r="X415" s="1"/>
      <c r="AD415" s="1"/>
      <c r="AJ415" s="1"/>
      <c r="AP415" s="1"/>
      <c r="AQ415" s="60"/>
      <c r="AR415" s="54"/>
      <c r="AS415" s="39"/>
      <c r="AT415" s="35"/>
      <c r="AV415" s="1"/>
      <c r="BB415" s="1"/>
      <c r="BH415" s="1"/>
      <c r="BN415" s="1"/>
      <c r="BQ415" s="70"/>
      <c r="BT415" s="1"/>
    </row>
    <row r="416">
      <c r="A416" s="70"/>
      <c r="F416" s="1"/>
      <c r="L416" s="1"/>
      <c r="R416" s="1"/>
      <c r="X416" s="1"/>
      <c r="AD416" s="1"/>
      <c r="AJ416" s="1"/>
      <c r="AP416" s="1"/>
      <c r="AQ416" s="60"/>
      <c r="AR416" s="54"/>
      <c r="AS416" s="39"/>
      <c r="AT416" s="35"/>
      <c r="AV416" s="1"/>
      <c r="BB416" s="1"/>
      <c r="BH416" s="1"/>
      <c r="BN416" s="1"/>
      <c r="BQ416" s="70"/>
      <c r="BT416" s="1"/>
    </row>
    <row r="417">
      <c r="A417" s="70"/>
      <c r="F417" s="1"/>
      <c r="L417" s="1"/>
      <c r="R417" s="1"/>
      <c r="X417" s="1"/>
      <c r="AD417" s="1"/>
      <c r="AJ417" s="1"/>
      <c r="AP417" s="1"/>
      <c r="AQ417" s="60"/>
      <c r="AR417" s="54"/>
      <c r="AS417" s="39"/>
      <c r="AT417" s="35"/>
      <c r="AV417" s="1"/>
      <c r="BB417" s="1"/>
      <c r="BH417" s="1"/>
      <c r="BN417" s="1"/>
      <c r="BQ417" s="70"/>
      <c r="BT417" s="1"/>
    </row>
    <row r="418">
      <c r="A418" s="70"/>
      <c r="F418" s="1"/>
      <c r="L418" s="1"/>
      <c r="R418" s="1"/>
      <c r="X418" s="1"/>
      <c r="AD418" s="1"/>
      <c r="AJ418" s="1"/>
      <c r="AP418" s="1"/>
      <c r="AQ418" s="60"/>
      <c r="AR418" s="54"/>
      <c r="AS418" s="39"/>
      <c r="AT418" s="35"/>
      <c r="AV418" s="1"/>
      <c r="BB418" s="1"/>
      <c r="BH418" s="1"/>
      <c r="BN418" s="1"/>
      <c r="BQ418" s="70"/>
      <c r="BT418" s="1"/>
    </row>
    <row r="419">
      <c r="A419" s="70"/>
      <c r="F419" s="1"/>
      <c r="L419" s="1"/>
      <c r="R419" s="1"/>
      <c r="X419" s="1"/>
      <c r="AD419" s="1"/>
      <c r="AJ419" s="1"/>
      <c r="AP419" s="1"/>
      <c r="AQ419" s="60"/>
      <c r="AR419" s="54"/>
      <c r="AS419" s="39"/>
      <c r="AT419" s="35"/>
      <c r="AV419" s="1"/>
      <c r="BB419" s="1"/>
      <c r="BH419" s="1"/>
      <c r="BN419" s="1"/>
      <c r="BQ419" s="70"/>
      <c r="BT419" s="1"/>
    </row>
    <row r="420">
      <c r="A420" s="70"/>
      <c r="F420" s="1"/>
      <c r="L420" s="1"/>
      <c r="R420" s="1"/>
      <c r="X420" s="1"/>
      <c r="AD420" s="1"/>
      <c r="AJ420" s="1"/>
      <c r="AP420" s="1"/>
      <c r="AQ420" s="60"/>
      <c r="AR420" s="54"/>
      <c r="AS420" s="39"/>
      <c r="AT420" s="35"/>
      <c r="AV420" s="1"/>
      <c r="BB420" s="1"/>
      <c r="BH420" s="1"/>
      <c r="BN420" s="1"/>
      <c r="BQ420" s="70"/>
      <c r="BT420" s="1"/>
    </row>
    <row r="421">
      <c r="A421" s="70"/>
      <c r="F421" s="1"/>
      <c r="L421" s="1"/>
      <c r="R421" s="1"/>
      <c r="X421" s="1"/>
      <c r="AD421" s="1"/>
      <c r="AJ421" s="1"/>
      <c r="AP421" s="1"/>
      <c r="AQ421" s="60"/>
      <c r="AR421" s="54"/>
      <c r="AS421" s="39"/>
      <c r="AT421" s="35"/>
      <c r="AV421" s="1"/>
      <c r="BB421" s="1"/>
      <c r="BH421" s="1"/>
      <c r="BN421" s="1"/>
      <c r="BQ421" s="70"/>
      <c r="BT421" s="1"/>
    </row>
    <row r="422">
      <c r="A422" s="70"/>
      <c r="F422" s="1"/>
      <c r="L422" s="1"/>
      <c r="R422" s="1"/>
      <c r="X422" s="1"/>
      <c r="AD422" s="1"/>
      <c r="AJ422" s="1"/>
      <c r="AP422" s="1"/>
      <c r="AQ422" s="60"/>
      <c r="AR422" s="54"/>
      <c r="AS422" s="39"/>
      <c r="AT422" s="35"/>
      <c r="AV422" s="1"/>
      <c r="BB422" s="1"/>
      <c r="BH422" s="1"/>
      <c r="BN422" s="1"/>
      <c r="BQ422" s="70"/>
      <c r="BT422" s="1"/>
    </row>
    <row r="423">
      <c r="A423" s="70"/>
      <c r="F423" s="1"/>
      <c r="L423" s="1"/>
      <c r="R423" s="1"/>
      <c r="X423" s="1"/>
      <c r="AD423" s="1"/>
      <c r="AJ423" s="1"/>
      <c r="AP423" s="1"/>
      <c r="AQ423" s="60"/>
      <c r="AR423" s="54"/>
      <c r="AS423" s="39"/>
      <c r="AT423" s="35"/>
      <c r="AV423" s="1"/>
      <c r="BB423" s="1"/>
      <c r="BH423" s="1"/>
      <c r="BN423" s="1"/>
      <c r="BQ423" s="70"/>
      <c r="BT423" s="1"/>
    </row>
    <row r="424">
      <c r="A424" s="70"/>
      <c r="F424" s="1"/>
      <c r="L424" s="1"/>
      <c r="R424" s="1"/>
      <c r="X424" s="1"/>
      <c r="AD424" s="1"/>
      <c r="AJ424" s="1"/>
      <c r="AP424" s="1"/>
      <c r="AQ424" s="60"/>
      <c r="AR424" s="54"/>
      <c r="AS424" s="39"/>
      <c r="AT424" s="35"/>
      <c r="AV424" s="1"/>
      <c r="BB424" s="1"/>
      <c r="BH424" s="1"/>
      <c r="BN424" s="1"/>
      <c r="BQ424" s="70"/>
      <c r="BT424" s="1"/>
    </row>
    <row r="425">
      <c r="A425" s="70"/>
      <c r="F425" s="1"/>
      <c r="L425" s="1"/>
      <c r="R425" s="1"/>
      <c r="X425" s="1"/>
      <c r="AD425" s="1"/>
      <c r="AJ425" s="1"/>
      <c r="AP425" s="1"/>
      <c r="AQ425" s="60"/>
      <c r="AR425" s="54"/>
      <c r="AS425" s="39"/>
      <c r="AT425" s="35"/>
      <c r="AV425" s="1"/>
      <c r="BB425" s="1"/>
      <c r="BH425" s="1"/>
      <c r="BN425" s="1"/>
      <c r="BQ425" s="70"/>
      <c r="BT425" s="1"/>
    </row>
    <row r="426">
      <c r="A426" s="70"/>
      <c r="F426" s="1"/>
      <c r="L426" s="1"/>
      <c r="R426" s="1"/>
      <c r="X426" s="1"/>
      <c r="AD426" s="1"/>
      <c r="AJ426" s="1"/>
      <c r="AP426" s="1"/>
      <c r="AQ426" s="60"/>
      <c r="AR426" s="54"/>
      <c r="AS426" s="39"/>
      <c r="AT426" s="35"/>
      <c r="AV426" s="1"/>
      <c r="BB426" s="1"/>
      <c r="BH426" s="1"/>
      <c r="BN426" s="1"/>
      <c r="BQ426" s="70"/>
      <c r="BT426" s="1"/>
    </row>
    <row r="427">
      <c r="A427" s="70"/>
      <c r="F427" s="1"/>
      <c r="L427" s="1"/>
      <c r="R427" s="1"/>
      <c r="X427" s="1"/>
      <c r="AD427" s="1"/>
      <c r="AJ427" s="1"/>
      <c r="AP427" s="1"/>
      <c r="AQ427" s="60"/>
      <c r="AR427" s="54"/>
      <c r="AS427" s="39"/>
      <c r="AT427" s="35"/>
      <c r="AV427" s="1"/>
      <c r="BB427" s="1"/>
      <c r="BH427" s="1"/>
      <c r="BN427" s="1"/>
      <c r="BQ427" s="70"/>
      <c r="BT427" s="1"/>
    </row>
    <row r="428">
      <c r="A428" s="70"/>
      <c r="F428" s="1"/>
      <c r="L428" s="1"/>
      <c r="R428" s="1"/>
      <c r="X428" s="1"/>
      <c r="AD428" s="1"/>
      <c r="AJ428" s="1"/>
      <c r="AP428" s="1"/>
      <c r="AQ428" s="60"/>
      <c r="AR428" s="54"/>
      <c r="AS428" s="39"/>
      <c r="AT428" s="35"/>
      <c r="AV428" s="1"/>
      <c r="BB428" s="1"/>
      <c r="BH428" s="1"/>
      <c r="BN428" s="1"/>
      <c r="BQ428" s="70"/>
      <c r="BT428" s="1"/>
    </row>
    <row r="429">
      <c r="A429" s="70"/>
      <c r="F429" s="1"/>
      <c r="L429" s="1"/>
      <c r="R429" s="1"/>
      <c r="X429" s="1"/>
      <c r="AD429" s="1"/>
      <c r="AJ429" s="1"/>
      <c r="AP429" s="1"/>
      <c r="AQ429" s="60"/>
      <c r="AR429" s="54"/>
      <c r="AS429" s="39"/>
      <c r="AT429" s="35"/>
      <c r="AV429" s="1"/>
      <c r="BB429" s="1"/>
      <c r="BH429" s="1"/>
      <c r="BN429" s="1"/>
      <c r="BQ429" s="70"/>
      <c r="BT429" s="1"/>
    </row>
    <row r="430">
      <c r="A430" s="70"/>
      <c r="F430" s="1"/>
      <c r="L430" s="1"/>
      <c r="R430" s="1"/>
      <c r="X430" s="1"/>
      <c r="AD430" s="1"/>
      <c r="AJ430" s="1"/>
      <c r="AP430" s="1"/>
      <c r="AQ430" s="60"/>
      <c r="AR430" s="54"/>
      <c r="AS430" s="39"/>
      <c r="AT430" s="35"/>
      <c r="AV430" s="1"/>
      <c r="BB430" s="1"/>
      <c r="BH430" s="1"/>
      <c r="BN430" s="1"/>
      <c r="BQ430" s="70"/>
      <c r="BT430" s="1"/>
    </row>
    <row r="431">
      <c r="A431" s="70"/>
      <c r="F431" s="1"/>
      <c r="L431" s="1"/>
      <c r="R431" s="1"/>
      <c r="X431" s="1"/>
      <c r="AD431" s="1"/>
      <c r="AJ431" s="1"/>
      <c r="AP431" s="1"/>
      <c r="AQ431" s="60"/>
      <c r="AR431" s="54"/>
      <c r="AS431" s="39"/>
      <c r="AT431" s="35"/>
      <c r="AV431" s="1"/>
      <c r="BB431" s="1"/>
      <c r="BH431" s="1"/>
      <c r="BN431" s="1"/>
      <c r="BQ431" s="70"/>
      <c r="BT431" s="1"/>
    </row>
    <row r="432">
      <c r="A432" s="70"/>
      <c r="F432" s="1"/>
      <c r="L432" s="1"/>
      <c r="R432" s="1"/>
      <c r="X432" s="1"/>
      <c r="AD432" s="1"/>
      <c r="AJ432" s="1"/>
      <c r="AP432" s="1"/>
      <c r="AQ432" s="60"/>
      <c r="AR432" s="54"/>
      <c r="AS432" s="39"/>
      <c r="AT432" s="35"/>
      <c r="AV432" s="1"/>
      <c r="BB432" s="1"/>
      <c r="BH432" s="1"/>
      <c r="BN432" s="1"/>
      <c r="BQ432" s="70"/>
      <c r="BT432" s="1"/>
    </row>
    <row r="433">
      <c r="A433" s="70"/>
      <c r="F433" s="1"/>
      <c r="L433" s="1"/>
      <c r="R433" s="1"/>
      <c r="X433" s="1"/>
      <c r="AD433" s="1"/>
      <c r="AJ433" s="1"/>
      <c r="AP433" s="1"/>
      <c r="AQ433" s="60"/>
      <c r="AR433" s="54"/>
      <c r="AS433" s="39"/>
      <c r="AT433" s="35"/>
      <c r="AV433" s="1"/>
      <c r="BB433" s="1"/>
      <c r="BH433" s="1"/>
      <c r="BN433" s="1"/>
      <c r="BQ433" s="70"/>
      <c r="BT433" s="1"/>
    </row>
    <row r="434">
      <c r="A434" s="70"/>
      <c r="F434" s="1"/>
      <c r="L434" s="1"/>
      <c r="R434" s="1"/>
      <c r="X434" s="1"/>
      <c r="AD434" s="1"/>
      <c r="AJ434" s="1"/>
      <c r="AP434" s="1"/>
      <c r="AQ434" s="60"/>
      <c r="AR434" s="54"/>
      <c r="AS434" s="39"/>
      <c r="AT434" s="35"/>
      <c r="AV434" s="1"/>
      <c r="BB434" s="1"/>
      <c r="BH434" s="1"/>
      <c r="BN434" s="1"/>
      <c r="BQ434" s="70"/>
      <c r="BT434" s="1"/>
    </row>
    <row r="435">
      <c r="A435" s="70"/>
      <c r="F435" s="1"/>
      <c r="L435" s="1"/>
      <c r="R435" s="1"/>
      <c r="X435" s="1"/>
      <c r="AD435" s="1"/>
      <c r="AJ435" s="1"/>
      <c r="AP435" s="1"/>
      <c r="AQ435" s="60"/>
      <c r="AR435" s="54"/>
      <c r="AS435" s="39"/>
      <c r="AT435" s="35"/>
      <c r="AV435" s="1"/>
      <c r="BB435" s="1"/>
      <c r="BH435" s="1"/>
      <c r="BN435" s="1"/>
      <c r="BQ435" s="70"/>
      <c r="BT435" s="1"/>
    </row>
    <row r="436">
      <c r="A436" s="70"/>
      <c r="F436" s="1"/>
      <c r="L436" s="1"/>
      <c r="R436" s="1"/>
      <c r="X436" s="1"/>
      <c r="AD436" s="1"/>
      <c r="AJ436" s="1"/>
      <c r="AP436" s="1"/>
      <c r="AQ436" s="60"/>
      <c r="AR436" s="54"/>
      <c r="AS436" s="39"/>
      <c r="AT436" s="35"/>
      <c r="AV436" s="1"/>
      <c r="BB436" s="1"/>
      <c r="BH436" s="1"/>
      <c r="BN436" s="1"/>
      <c r="BQ436" s="70"/>
      <c r="BT436" s="1"/>
    </row>
    <row r="437">
      <c r="A437" s="70"/>
      <c r="F437" s="1"/>
      <c r="L437" s="1"/>
      <c r="R437" s="1"/>
      <c r="X437" s="1"/>
      <c r="AD437" s="1"/>
      <c r="AJ437" s="1"/>
      <c r="AP437" s="1"/>
      <c r="AQ437" s="60"/>
      <c r="AR437" s="54"/>
      <c r="AS437" s="39"/>
      <c r="AT437" s="35"/>
      <c r="AV437" s="1"/>
      <c r="BB437" s="1"/>
      <c r="BH437" s="1"/>
      <c r="BN437" s="1"/>
      <c r="BQ437" s="70"/>
      <c r="BT437" s="1"/>
    </row>
    <row r="438">
      <c r="A438" s="70"/>
      <c r="F438" s="1"/>
      <c r="L438" s="1"/>
      <c r="R438" s="1"/>
      <c r="X438" s="1"/>
      <c r="AD438" s="1"/>
      <c r="AJ438" s="1"/>
      <c r="AP438" s="1"/>
      <c r="AQ438" s="60"/>
      <c r="AR438" s="54"/>
      <c r="AS438" s="39"/>
      <c r="AT438" s="35"/>
      <c r="AV438" s="1"/>
      <c r="BB438" s="1"/>
      <c r="BH438" s="1"/>
      <c r="BN438" s="1"/>
      <c r="BQ438" s="70"/>
      <c r="BT438" s="1"/>
    </row>
    <row r="439">
      <c r="A439" s="70"/>
      <c r="F439" s="1"/>
      <c r="L439" s="1"/>
      <c r="R439" s="1"/>
      <c r="X439" s="1"/>
      <c r="AD439" s="1"/>
      <c r="AJ439" s="1"/>
      <c r="AP439" s="1"/>
      <c r="AQ439" s="60"/>
      <c r="AR439" s="54"/>
      <c r="AS439" s="39"/>
      <c r="AT439" s="35"/>
      <c r="AV439" s="1"/>
      <c r="BB439" s="1"/>
      <c r="BH439" s="1"/>
      <c r="BN439" s="1"/>
      <c r="BQ439" s="70"/>
      <c r="BT439" s="1"/>
    </row>
    <row r="440">
      <c r="A440" s="70"/>
      <c r="F440" s="1"/>
      <c r="L440" s="1"/>
      <c r="R440" s="1"/>
      <c r="X440" s="1"/>
      <c r="AD440" s="1"/>
      <c r="AJ440" s="1"/>
      <c r="AP440" s="1"/>
      <c r="AQ440" s="60"/>
      <c r="AR440" s="54"/>
      <c r="AS440" s="39"/>
      <c r="AT440" s="35"/>
      <c r="AV440" s="1"/>
      <c r="BB440" s="1"/>
      <c r="BH440" s="1"/>
      <c r="BN440" s="1"/>
      <c r="BQ440" s="70"/>
      <c r="BT440" s="1"/>
    </row>
    <row r="441">
      <c r="A441" s="70"/>
      <c r="F441" s="1"/>
      <c r="L441" s="1"/>
      <c r="R441" s="1"/>
      <c r="X441" s="1"/>
      <c r="AD441" s="1"/>
      <c r="AJ441" s="1"/>
      <c r="AP441" s="1"/>
      <c r="AQ441" s="60"/>
      <c r="AR441" s="54"/>
      <c r="AS441" s="39"/>
      <c r="AT441" s="35"/>
      <c r="AV441" s="1"/>
      <c r="BB441" s="1"/>
      <c r="BH441" s="1"/>
      <c r="BN441" s="1"/>
      <c r="BQ441" s="70"/>
      <c r="BT441" s="1"/>
    </row>
    <row r="442">
      <c r="A442" s="70"/>
      <c r="F442" s="1"/>
      <c r="L442" s="1"/>
      <c r="R442" s="1"/>
      <c r="X442" s="1"/>
      <c r="AD442" s="1"/>
      <c r="AJ442" s="1"/>
      <c r="AP442" s="1"/>
      <c r="AQ442" s="60"/>
      <c r="AR442" s="54"/>
      <c r="AS442" s="39"/>
      <c r="AT442" s="35"/>
      <c r="AV442" s="1"/>
      <c r="BB442" s="1"/>
      <c r="BH442" s="1"/>
      <c r="BN442" s="1"/>
      <c r="BQ442" s="70"/>
      <c r="BT442" s="1"/>
    </row>
    <row r="443">
      <c r="A443" s="70"/>
      <c r="F443" s="1"/>
      <c r="L443" s="1"/>
      <c r="R443" s="1"/>
      <c r="X443" s="1"/>
      <c r="AD443" s="1"/>
      <c r="AJ443" s="1"/>
      <c r="AP443" s="1"/>
      <c r="AQ443" s="60"/>
      <c r="AR443" s="54"/>
      <c r="AS443" s="39"/>
      <c r="AT443" s="35"/>
      <c r="AV443" s="1"/>
      <c r="BB443" s="1"/>
      <c r="BH443" s="1"/>
      <c r="BN443" s="1"/>
      <c r="BQ443" s="70"/>
      <c r="BT443" s="1"/>
    </row>
    <row r="444">
      <c r="A444" s="70"/>
      <c r="F444" s="1"/>
      <c r="L444" s="1"/>
      <c r="R444" s="1"/>
      <c r="X444" s="1"/>
      <c r="AD444" s="1"/>
      <c r="AJ444" s="1"/>
      <c r="AP444" s="1"/>
      <c r="AQ444" s="60"/>
      <c r="AR444" s="54"/>
      <c r="AS444" s="39"/>
      <c r="AT444" s="35"/>
      <c r="AV444" s="1"/>
      <c r="BB444" s="1"/>
      <c r="BH444" s="1"/>
      <c r="BN444" s="1"/>
      <c r="BQ444" s="70"/>
      <c r="BT444" s="1"/>
    </row>
    <row r="445">
      <c r="A445" s="70"/>
      <c r="F445" s="1"/>
      <c r="L445" s="1"/>
      <c r="R445" s="1"/>
      <c r="X445" s="1"/>
      <c r="AD445" s="1"/>
      <c r="AJ445" s="1"/>
      <c r="AP445" s="1"/>
      <c r="AQ445" s="60"/>
      <c r="AR445" s="54"/>
      <c r="AS445" s="39"/>
      <c r="AT445" s="35"/>
      <c r="AV445" s="1"/>
      <c r="BB445" s="1"/>
      <c r="BH445" s="1"/>
      <c r="BN445" s="1"/>
      <c r="BQ445" s="70"/>
      <c r="BT445" s="1"/>
    </row>
    <row r="446">
      <c r="A446" s="70"/>
      <c r="F446" s="1"/>
      <c r="L446" s="1"/>
      <c r="R446" s="1"/>
      <c r="X446" s="1"/>
      <c r="AD446" s="1"/>
      <c r="AJ446" s="1"/>
      <c r="AP446" s="1"/>
      <c r="AQ446" s="60"/>
      <c r="AR446" s="54"/>
      <c r="AS446" s="39"/>
      <c r="AT446" s="35"/>
      <c r="AV446" s="1"/>
      <c r="BB446" s="1"/>
      <c r="BH446" s="1"/>
      <c r="BN446" s="1"/>
      <c r="BQ446" s="70"/>
      <c r="BT446" s="1"/>
    </row>
    <row r="447">
      <c r="A447" s="70"/>
      <c r="F447" s="1"/>
      <c r="L447" s="1"/>
      <c r="R447" s="1"/>
      <c r="X447" s="1"/>
      <c r="AD447" s="1"/>
      <c r="AJ447" s="1"/>
      <c r="AP447" s="1"/>
      <c r="AQ447" s="60"/>
      <c r="AR447" s="54"/>
      <c r="AS447" s="39"/>
      <c r="AT447" s="35"/>
      <c r="AV447" s="1"/>
      <c r="BB447" s="1"/>
      <c r="BH447" s="1"/>
      <c r="BN447" s="1"/>
      <c r="BQ447" s="70"/>
      <c r="BT447" s="1"/>
    </row>
    <row r="448">
      <c r="A448" s="70"/>
      <c r="F448" s="1"/>
      <c r="L448" s="1"/>
      <c r="R448" s="1"/>
      <c r="X448" s="1"/>
      <c r="AD448" s="1"/>
      <c r="AJ448" s="1"/>
      <c r="AP448" s="1"/>
      <c r="AQ448" s="60"/>
      <c r="AR448" s="54"/>
      <c r="AS448" s="39"/>
      <c r="AT448" s="35"/>
      <c r="AV448" s="1"/>
      <c r="BB448" s="1"/>
      <c r="BH448" s="1"/>
      <c r="BN448" s="1"/>
      <c r="BQ448" s="70"/>
      <c r="BT448" s="1"/>
    </row>
    <row r="449">
      <c r="A449" s="70"/>
      <c r="F449" s="1"/>
      <c r="L449" s="1"/>
      <c r="R449" s="1"/>
      <c r="X449" s="1"/>
      <c r="AD449" s="1"/>
      <c r="AJ449" s="1"/>
      <c r="AP449" s="1"/>
      <c r="AQ449" s="60"/>
      <c r="AR449" s="54"/>
      <c r="AS449" s="39"/>
      <c r="AT449" s="35"/>
      <c r="AV449" s="1"/>
      <c r="BB449" s="1"/>
      <c r="BH449" s="1"/>
      <c r="BN449" s="1"/>
      <c r="BP449" s="64"/>
      <c r="BQ449" s="70"/>
      <c r="BT449" s="1"/>
    </row>
    <row r="450">
      <c r="A450" s="70"/>
      <c r="F450" s="1"/>
      <c r="L450" s="1"/>
      <c r="R450" s="1"/>
      <c r="X450" s="1"/>
      <c r="AD450" s="1"/>
      <c r="AJ450" s="1"/>
      <c r="AP450" s="1"/>
      <c r="AQ450" s="60"/>
      <c r="AR450" s="54"/>
      <c r="AS450" s="39"/>
      <c r="AT450" s="35"/>
      <c r="AV450" s="1"/>
      <c r="BB450" s="1"/>
      <c r="BH450" s="1"/>
      <c r="BN450" s="1"/>
      <c r="BP450" s="64"/>
      <c r="BQ450" s="70"/>
      <c r="BT450" s="1"/>
    </row>
    <row r="451">
      <c r="A451" s="70"/>
      <c r="F451" s="1"/>
      <c r="L451" s="1"/>
      <c r="R451" s="1"/>
      <c r="X451" s="1"/>
      <c r="AD451" s="1"/>
      <c r="AJ451" s="1"/>
      <c r="AP451" s="1"/>
      <c r="AQ451" s="60"/>
      <c r="AR451" s="54"/>
      <c r="AS451" s="39"/>
      <c r="AT451" s="35"/>
      <c r="AV451" s="1"/>
      <c r="BB451" s="1"/>
      <c r="BH451" s="1"/>
      <c r="BN451" s="1"/>
      <c r="BP451" s="64"/>
      <c r="BQ451" s="70"/>
      <c r="BT451" s="1"/>
    </row>
    <row r="452">
      <c r="A452" s="70"/>
      <c r="F452" s="1"/>
      <c r="L452" s="1"/>
      <c r="R452" s="1"/>
      <c r="X452" s="1"/>
      <c r="AD452" s="1"/>
      <c r="AJ452" s="1"/>
      <c r="AP452" s="1"/>
      <c r="AQ452" s="60"/>
      <c r="AR452" s="54"/>
      <c r="AS452" s="39"/>
      <c r="AT452" s="35"/>
      <c r="AV452" s="1"/>
      <c r="BB452" s="1"/>
      <c r="BH452" s="1"/>
      <c r="BN452" s="1"/>
      <c r="BP452" s="64"/>
      <c r="BQ452" s="70"/>
      <c r="BT452" s="1"/>
    </row>
    <row r="453">
      <c r="A453" s="70"/>
      <c r="F453" s="1"/>
      <c r="L453" s="1"/>
      <c r="R453" s="1"/>
      <c r="X453" s="1"/>
      <c r="AD453" s="1"/>
      <c r="AJ453" s="1"/>
      <c r="AP453" s="1"/>
      <c r="AQ453" s="60"/>
      <c r="AR453" s="54"/>
      <c r="AS453" s="39"/>
      <c r="AT453" s="35"/>
      <c r="AV453" s="1"/>
      <c r="BB453" s="1"/>
      <c r="BH453" s="1"/>
      <c r="BN453" s="1"/>
      <c r="BP453" s="64"/>
      <c r="BQ453" s="70"/>
      <c r="BT453" s="1"/>
    </row>
    <row r="454">
      <c r="A454" s="70"/>
      <c r="F454" s="1"/>
      <c r="L454" s="1"/>
      <c r="R454" s="1"/>
      <c r="X454" s="1"/>
      <c r="AD454" s="1"/>
      <c r="AJ454" s="1"/>
      <c r="AP454" s="1"/>
      <c r="AQ454" s="60"/>
      <c r="AR454" s="54"/>
      <c r="AS454" s="39"/>
      <c r="AT454" s="35"/>
      <c r="AV454" s="1"/>
      <c r="BB454" s="1"/>
      <c r="BH454" s="1"/>
      <c r="BN454" s="1"/>
      <c r="BP454" s="64"/>
      <c r="BQ454" s="70"/>
      <c r="BT454" s="1"/>
    </row>
    <row r="455">
      <c r="A455" s="70"/>
      <c r="F455" s="1"/>
      <c r="L455" s="1"/>
      <c r="R455" s="1"/>
      <c r="X455" s="1"/>
      <c r="AD455" s="1"/>
      <c r="AJ455" s="1"/>
      <c r="AP455" s="1"/>
      <c r="AQ455" s="60"/>
      <c r="AR455" s="54"/>
      <c r="AS455" s="39"/>
      <c r="AT455" s="35"/>
      <c r="AV455" s="1"/>
      <c r="BB455" s="1"/>
      <c r="BH455" s="1"/>
      <c r="BN455" s="1"/>
      <c r="BP455" s="64"/>
      <c r="BQ455" s="70"/>
      <c r="BT455" s="1"/>
    </row>
    <row r="456">
      <c r="A456" s="70"/>
      <c r="F456" s="1"/>
      <c r="L456" s="1"/>
      <c r="R456" s="1"/>
      <c r="X456" s="1"/>
      <c r="AD456" s="1"/>
      <c r="AJ456" s="1"/>
      <c r="AP456" s="1"/>
      <c r="AQ456" s="60"/>
      <c r="AR456" s="54"/>
      <c r="AS456" s="39"/>
      <c r="AT456" s="35"/>
      <c r="AV456" s="1"/>
      <c r="BB456" s="1"/>
      <c r="BH456" s="1"/>
      <c r="BN456" s="1"/>
      <c r="BP456" s="64"/>
      <c r="BQ456" s="70"/>
      <c r="BT456" s="1"/>
    </row>
    <row r="457">
      <c r="A457" s="70"/>
      <c r="F457" s="1"/>
      <c r="L457" s="1"/>
      <c r="R457" s="1"/>
      <c r="X457" s="1"/>
      <c r="AD457" s="1"/>
      <c r="AJ457" s="1"/>
      <c r="AP457" s="1"/>
      <c r="AQ457" s="60"/>
      <c r="AR457" s="54"/>
      <c r="AS457" s="39"/>
      <c r="AT457" s="35"/>
      <c r="AV457" s="1"/>
      <c r="BB457" s="1"/>
      <c r="BH457" s="1"/>
      <c r="BN457" s="1"/>
      <c r="BP457" s="64"/>
      <c r="BQ457" s="70"/>
      <c r="BT457" s="1"/>
    </row>
    <row r="458">
      <c r="A458" s="70"/>
      <c r="F458" s="1"/>
      <c r="L458" s="1"/>
      <c r="R458" s="1"/>
      <c r="X458" s="1"/>
      <c r="AD458" s="1"/>
      <c r="AJ458" s="1"/>
      <c r="AP458" s="1"/>
      <c r="AQ458" s="60"/>
      <c r="AR458" s="54"/>
      <c r="AS458" s="39"/>
      <c r="AT458" s="35"/>
      <c r="AV458" s="1"/>
      <c r="BB458" s="1"/>
      <c r="BH458" s="1"/>
      <c r="BN458" s="1"/>
      <c r="BP458" s="64"/>
      <c r="BQ458" s="70"/>
      <c r="BT458" s="1"/>
    </row>
    <row r="459">
      <c r="A459" s="70"/>
      <c r="F459" s="1"/>
      <c r="L459" s="1"/>
      <c r="R459" s="1"/>
      <c r="X459" s="1"/>
      <c r="AD459" s="1"/>
      <c r="AJ459" s="1"/>
      <c r="AP459" s="1"/>
      <c r="AQ459" s="60"/>
      <c r="AR459" s="54"/>
      <c r="AS459" s="39"/>
      <c r="AT459" s="35"/>
      <c r="AV459" s="1"/>
      <c r="BB459" s="1"/>
      <c r="BH459" s="1"/>
      <c r="BN459" s="1"/>
      <c r="BP459" s="64"/>
      <c r="BQ459" s="70"/>
      <c r="BT459" s="1"/>
    </row>
    <row r="460">
      <c r="A460" s="70"/>
      <c r="F460" s="1"/>
      <c r="L460" s="1"/>
      <c r="R460" s="1"/>
      <c r="X460" s="1"/>
      <c r="AD460" s="1"/>
      <c r="AJ460" s="1"/>
      <c r="AP460" s="1"/>
      <c r="AQ460" s="60"/>
      <c r="AR460" s="54"/>
      <c r="AS460" s="39"/>
      <c r="AT460" s="35"/>
      <c r="AV460" s="1"/>
      <c r="BB460" s="1"/>
      <c r="BH460" s="1"/>
      <c r="BN460" s="1"/>
      <c r="BP460" s="64"/>
      <c r="BQ460" s="70"/>
      <c r="BT460" s="1"/>
    </row>
    <row r="461">
      <c r="A461" s="70"/>
      <c r="F461" s="1"/>
      <c r="L461" s="1"/>
      <c r="R461" s="1"/>
      <c r="X461" s="1"/>
      <c r="AD461" s="1"/>
      <c r="AJ461" s="1"/>
      <c r="AP461" s="1"/>
      <c r="AQ461" s="60"/>
      <c r="AR461" s="54"/>
      <c r="AS461" s="39"/>
      <c r="AT461" s="35"/>
      <c r="AV461" s="1"/>
      <c r="BB461" s="1"/>
      <c r="BH461" s="1"/>
      <c r="BN461" s="1"/>
      <c r="BP461" s="64"/>
      <c r="BQ461" s="70"/>
      <c r="BT461" s="1"/>
    </row>
    <row r="462">
      <c r="A462" s="70"/>
      <c r="F462" s="1"/>
      <c r="L462" s="1"/>
      <c r="R462" s="1"/>
      <c r="X462" s="1"/>
      <c r="AD462" s="1"/>
      <c r="AJ462" s="1"/>
      <c r="AP462" s="1"/>
      <c r="AQ462" s="60"/>
      <c r="AR462" s="54"/>
      <c r="AS462" s="39"/>
      <c r="AT462" s="35"/>
      <c r="AV462" s="1"/>
      <c r="BB462" s="1"/>
      <c r="BH462" s="1"/>
      <c r="BN462" s="1"/>
      <c r="BP462" s="64"/>
      <c r="BQ462" s="70"/>
      <c r="BT462" s="1"/>
    </row>
    <row r="463">
      <c r="A463" s="70"/>
      <c r="F463" s="1"/>
      <c r="L463" s="1"/>
      <c r="R463" s="1"/>
      <c r="X463" s="1"/>
      <c r="AD463" s="1"/>
      <c r="AJ463" s="1"/>
      <c r="AP463" s="1"/>
      <c r="AQ463" s="60"/>
      <c r="AR463" s="54"/>
      <c r="AS463" s="39"/>
      <c r="AT463" s="35"/>
      <c r="AV463" s="1"/>
      <c r="BB463" s="1"/>
      <c r="BH463" s="1"/>
      <c r="BN463" s="1"/>
      <c r="BP463" s="64"/>
      <c r="BQ463" s="70"/>
      <c r="BT463" s="1"/>
    </row>
    <row r="464">
      <c r="A464" s="70"/>
      <c r="F464" s="1"/>
      <c r="L464" s="1"/>
      <c r="R464" s="1"/>
      <c r="X464" s="1"/>
      <c r="AD464" s="1"/>
      <c r="AJ464" s="1"/>
      <c r="AP464" s="1"/>
      <c r="AQ464" s="60"/>
      <c r="AR464" s="54"/>
      <c r="AS464" s="39"/>
      <c r="AT464" s="35"/>
      <c r="AV464" s="1"/>
      <c r="BB464" s="1"/>
      <c r="BH464" s="1"/>
      <c r="BN464" s="1"/>
      <c r="BP464" s="64"/>
      <c r="BQ464" s="70"/>
      <c r="BT464" s="1"/>
    </row>
    <row r="465">
      <c r="A465" s="70"/>
      <c r="F465" s="1"/>
      <c r="L465" s="1"/>
      <c r="R465" s="1"/>
      <c r="X465" s="1"/>
      <c r="AD465" s="1"/>
      <c r="AJ465" s="1"/>
      <c r="AP465" s="1"/>
      <c r="AQ465" s="60"/>
      <c r="AR465" s="54"/>
      <c r="AS465" s="39"/>
      <c r="AT465" s="35"/>
      <c r="AV465" s="1"/>
      <c r="BB465" s="1"/>
      <c r="BH465" s="1"/>
      <c r="BN465" s="1"/>
      <c r="BQ465" s="70"/>
      <c r="BT465" s="1"/>
    </row>
    <row r="466">
      <c r="A466" s="70"/>
      <c r="F466" s="1"/>
      <c r="L466" s="1"/>
      <c r="R466" s="1"/>
      <c r="X466" s="1"/>
      <c r="AD466" s="1"/>
      <c r="AJ466" s="1"/>
      <c r="AP466" s="1"/>
      <c r="AQ466" s="60"/>
      <c r="AR466" s="54"/>
      <c r="AS466" s="39"/>
      <c r="AT466" s="35"/>
      <c r="AV466" s="1"/>
      <c r="BB466" s="1"/>
      <c r="BH466" s="1"/>
      <c r="BN466" s="1"/>
      <c r="BQ466" s="70"/>
      <c r="BT466" s="1"/>
    </row>
    <row r="467">
      <c r="A467" s="70"/>
      <c r="F467" s="1"/>
      <c r="L467" s="1"/>
      <c r="R467" s="1"/>
      <c r="X467" s="1"/>
      <c r="AD467" s="1"/>
      <c r="AJ467" s="1"/>
      <c r="AP467" s="1"/>
      <c r="AQ467" s="60"/>
      <c r="AR467" s="54"/>
      <c r="AS467" s="39"/>
      <c r="AT467" s="35"/>
      <c r="AV467" s="1"/>
      <c r="BB467" s="1"/>
      <c r="BH467" s="1"/>
      <c r="BN467" s="1"/>
      <c r="BQ467" s="70"/>
      <c r="BT467" s="1"/>
    </row>
    <row r="468">
      <c r="A468" s="70"/>
      <c r="F468" s="1"/>
      <c r="L468" s="1"/>
      <c r="R468" s="1"/>
      <c r="X468" s="1"/>
      <c r="AD468" s="1"/>
      <c r="AJ468" s="1"/>
      <c r="AP468" s="1"/>
      <c r="AQ468" s="60"/>
      <c r="AR468" s="54"/>
      <c r="AS468" s="39"/>
      <c r="AT468" s="35"/>
      <c r="AV468" s="1"/>
      <c r="BB468" s="1"/>
      <c r="BH468" s="1"/>
      <c r="BN468" s="1"/>
      <c r="BQ468" s="70"/>
      <c r="BT468" s="1"/>
    </row>
    <row r="469">
      <c r="A469" s="70"/>
      <c r="F469" s="1"/>
      <c r="L469" s="1"/>
      <c r="R469" s="1"/>
      <c r="X469" s="1"/>
      <c r="AD469" s="1"/>
      <c r="AJ469" s="1"/>
      <c r="AP469" s="1"/>
      <c r="AQ469" s="60"/>
      <c r="AR469" s="54"/>
      <c r="AS469" s="39"/>
      <c r="AT469" s="35"/>
      <c r="AV469" s="1"/>
      <c r="BB469" s="1"/>
      <c r="BH469" s="1"/>
      <c r="BN469" s="1"/>
      <c r="BQ469" s="70"/>
      <c r="BT469" s="1"/>
    </row>
    <row r="470">
      <c r="A470" s="70"/>
      <c r="F470" s="1"/>
      <c r="L470" s="1"/>
      <c r="R470" s="1"/>
      <c r="X470" s="1"/>
      <c r="AD470" s="1"/>
      <c r="AJ470" s="1"/>
      <c r="AP470" s="1"/>
      <c r="AQ470" s="60"/>
      <c r="AR470" s="54"/>
      <c r="AS470" s="39"/>
      <c r="AT470" s="35"/>
      <c r="AV470" s="1"/>
      <c r="BB470" s="1"/>
      <c r="BH470" s="1"/>
      <c r="BN470" s="1"/>
      <c r="BQ470" s="70"/>
      <c r="BT470" s="1"/>
    </row>
    <row r="471">
      <c r="A471" s="70"/>
      <c r="F471" s="1"/>
      <c r="L471" s="1"/>
      <c r="R471" s="1"/>
      <c r="X471" s="1"/>
      <c r="AD471" s="1"/>
      <c r="AJ471" s="1"/>
      <c r="AP471" s="1"/>
      <c r="AQ471" s="60"/>
      <c r="AR471" s="54"/>
      <c r="AS471" s="39"/>
      <c r="AT471" s="35"/>
      <c r="AV471" s="1"/>
      <c r="BB471" s="1"/>
      <c r="BH471" s="1"/>
      <c r="BN471" s="1"/>
      <c r="BQ471" s="70"/>
      <c r="BT471" s="1"/>
    </row>
    <row r="472">
      <c r="A472" s="70"/>
      <c r="F472" s="1"/>
      <c r="L472" s="1"/>
      <c r="R472" s="1"/>
      <c r="X472" s="1"/>
      <c r="AD472" s="1"/>
      <c r="AJ472" s="1"/>
      <c r="AP472" s="1"/>
      <c r="AQ472" s="60"/>
      <c r="AR472" s="54"/>
      <c r="AS472" s="39"/>
      <c r="AT472" s="35"/>
      <c r="AV472" s="1"/>
      <c r="BB472" s="1"/>
      <c r="BH472" s="1"/>
      <c r="BN472" s="1"/>
      <c r="BQ472" s="70"/>
      <c r="BT472" s="1"/>
    </row>
    <row r="473">
      <c r="A473" s="70"/>
      <c r="F473" s="1"/>
      <c r="L473" s="1"/>
      <c r="R473" s="1"/>
      <c r="X473" s="1"/>
      <c r="AD473" s="1"/>
      <c r="AJ473" s="1"/>
      <c r="AP473" s="1"/>
      <c r="AQ473" s="60"/>
      <c r="AR473" s="54"/>
      <c r="AS473" s="39"/>
      <c r="AT473" s="35"/>
      <c r="AV473" s="1"/>
      <c r="BB473" s="1"/>
      <c r="BH473" s="1"/>
      <c r="BN473" s="1"/>
      <c r="BQ473" s="70"/>
      <c r="BT473" s="1"/>
    </row>
    <row r="474">
      <c r="A474" s="70"/>
      <c r="F474" s="1"/>
      <c r="L474" s="1"/>
      <c r="R474" s="1"/>
      <c r="X474" s="1"/>
      <c r="AD474" s="1"/>
      <c r="AJ474" s="1"/>
      <c r="AP474" s="1"/>
      <c r="AQ474" s="60"/>
      <c r="AR474" s="54"/>
      <c r="AS474" s="39"/>
      <c r="AT474" s="35"/>
      <c r="AV474" s="1"/>
      <c r="BB474" s="1"/>
      <c r="BH474" s="1"/>
      <c r="BN474" s="1"/>
      <c r="BQ474" s="70"/>
      <c r="BT474" s="1"/>
    </row>
    <row r="475">
      <c r="A475" s="70"/>
      <c r="F475" s="1"/>
      <c r="L475" s="1"/>
      <c r="R475" s="1"/>
      <c r="X475" s="1"/>
      <c r="AD475" s="1"/>
      <c r="AJ475" s="1"/>
      <c r="AP475" s="1"/>
      <c r="AQ475" s="60"/>
      <c r="AR475" s="54"/>
      <c r="AS475" s="39"/>
      <c r="AT475" s="35"/>
      <c r="AV475" s="1"/>
      <c r="BB475" s="1"/>
      <c r="BH475" s="1"/>
      <c r="BN475" s="1"/>
      <c r="BQ475" s="70"/>
      <c r="BT475" s="1"/>
    </row>
    <row r="476">
      <c r="A476" s="70"/>
      <c r="F476" s="1"/>
      <c r="L476" s="1"/>
      <c r="R476" s="1"/>
      <c r="X476" s="1"/>
      <c r="AD476" s="1"/>
      <c r="AJ476" s="1"/>
      <c r="AP476" s="1"/>
      <c r="AQ476" s="60"/>
      <c r="AR476" s="54"/>
      <c r="AS476" s="39"/>
      <c r="AT476" s="35"/>
      <c r="AV476" s="1"/>
      <c r="BB476" s="1"/>
      <c r="BH476" s="1"/>
      <c r="BN476" s="1"/>
      <c r="BQ476" s="70"/>
      <c r="BT476" s="1"/>
    </row>
    <row r="477">
      <c r="A477" s="70"/>
      <c r="F477" s="1"/>
      <c r="L477" s="1"/>
      <c r="R477" s="1"/>
      <c r="X477" s="1"/>
      <c r="AD477" s="1"/>
      <c r="AJ477" s="1"/>
      <c r="AP477" s="1"/>
      <c r="AQ477" s="60"/>
      <c r="AR477" s="54"/>
      <c r="AS477" s="39"/>
      <c r="AT477" s="35"/>
      <c r="AV477" s="1"/>
      <c r="BB477" s="1"/>
      <c r="BH477" s="1"/>
      <c r="BN477" s="1"/>
      <c r="BQ477" s="70"/>
      <c r="BT477" s="1"/>
    </row>
    <row r="478">
      <c r="A478" s="70"/>
      <c r="F478" s="1"/>
      <c r="L478" s="1"/>
      <c r="R478" s="1"/>
      <c r="X478" s="1"/>
      <c r="AD478" s="1"/>
      <c r="AJ478" s="1"/>
      <c r="AP478" s="1"/>
      <c r="AQ478" s="60"/>
      <c r="AR478" s="54"/>
      <c r="AS478" s="39"/>
      <c r="AT478" s="35"/>
      <c r="AV478" s="1"/>
      <c r="BB478" s="1"/>
      <c r="BH478" s="1"/>
      <c r="BN478" s="1"/>
      <c r="BQ478" s="70"/>
      <c r="BT478" s="1"/>
    </row>
    <row r="479">
      <c r="A479" s="70"/>
      <c r="F479" s="1"/>
      <c r="L479" s="1"/>
      <c r="R479" s="1"/>
      <c r="X479" s="1"/>
      <c r="AD479" s="1"/>
      <c r="AJ479" s="1"/>
      <c r="AP479" s="1"/>
      <c r="AQ479" s="60"/>
      <c r="AR479" s="54"/>
      <c r="AS479" s="39"/>
      <c r="AT479" s="35"/>
      <c r="AV479" s="1"/>
      <c r="BB479" s="1"/>
      <c r="BH479" s="1"/>
      <c r="BN479" s="1"/>
      <c r="BQ479" s="70"/>
      <c r="BT479" s="1"/>
    </row>
    <row r="480">
      <c r="A480" s="70"/>
      <c r="F480" s="1"/>
      <c r="L480" s="1"/>
      <c r="R480" s="1"/>
      <c r="X480" s="1"/>
      <c r="AD480" s="1"/>
      <c r="AJ480" s="1"/>
      <c r="AP480" s="1"/>
      <c r="AQ480" s="60"/>
      <c r="AR480" s="54"/>
      <c r="AS480" s="39"/>
      <c r="AT480" s="35"/>
      <c r="AV480" s="1"/>
      <c r="BB480" s="1"/>
      <c r="BH480" s="1"/>
      <c r="BN480" s="1"/>
      <c r="BQ480" s="70"/>
      <c r="BT480" s="1"/>
    </row>
    <row r="481">
      <c r="A481" s="70"/>
      <c r="F481" s="1"/>
      <c r="L481" s="1"/>
      <c r="R481" s="1"/>
      <c r="X481" s="1"/>
      <c r="AD481" s="1"/>
      <c r="AJ481" s="1"/>
      <c r="AP481" s="1"/>
      <c r="AQ481" s="60"/>
      <c r="AR481" s="54"/>
      <c r="AS481" s="39"/>
      <c r="AT481" s="35"/>
      <c r="AV481" s="1"/>
      <c r="BB481" s="1"/>
      <c r="BH481" s="1"/>
      <c r="BN481" s="1"/>
      <c r="BQ481" s="70"/>
      <c r="BT481" s="1"/>
    </row>
    <row r="482">
      <c r="A482" s="70"/>
      <c r="F482" s="1"/>
      <c r="L482" s="1"/>
      <c r="R482" s="1"/>
      <c r="X482" s="1"/>
      <c r="AD482" s="1"/>
      <c r="AJ482" s="1"/>
      <c r="AP482" s="1"/>
      <c r="AQ482" s="60"/>
      <c r="AR482" s="54"/>
      <c r="AS482" s="39"/>
      <c r="AT482" s="35"/>
      <c r="AV482" s="1"/>
      <c r="BB482" s="1"/>
      <c r="BH482" s="1"/>
      <c r="BN482" s="1"/>
      <c r="BQ482" s="70"/>
      <c r="BT482" s="1"/>
    </row>
    <row r="483">
      <c r="A483" s="70"/>
      <c r="F483" s="1"/>
      <c r="L483" s="1"/>
      <c r="R483" s="1"/>
      <c r="X483" s="1"/>
      <c r="AD483" s="1"/>
      <c r="AJ483" s="1"/>
      <c r="AP483" s="1"/>
      <c r="AQ483" s="60"/>
      <c r="AR483" s="54"/>
      <c r="AS483" s="39"/>
      <c r="AT483" s="35"/>
      <c r="AV483" s="1"/>
      <c r="BB483" s="1"/>
      <c r="BH483" s="1"/>
      <c r="BN483" s="1"/>
      <c r="BQ483" s="70"/>
      <c r="BT483" s="1"/>
    </row>
    <row r="484">
      <c r="A484" s="70"/>
      <c r="F484" s="1"/>
      <c r="L484" s="1"/>
      <c r="R484" s="1"/>
      <c r="X484" s="1"/>
      <c r="AD484" s="1"/>
      <c r="AJ484" s="1"/>
      <c r="AP484" s="1"/>
      <c r="AQ484" s="60"/>
      <c r="AR484" s="54"/>
      <c r="AS484" s="39"/>
      <c r="AT484" s="35"/>
      <c r="AV484" s="1"/>
      <c r="BB484" s="1"/>
      <c r="BH484" s="1"/>
      <c r="BN484" s="1"/>
      <c r="BQ484" s="70"/>
      <c r="BT484" s="1"/>
    </row>
    <row r="485">
      <c r="A485" s="70"/>
      <c r="F485" s="1"/>
      <c r="L485" s="1"/>
      <c r="R485" s="1"/>
      <c r="X485" s="1"/>
      <c r="AD485" s="1"/>
      <c r="AJ485" s="1"/>
      <c r="AP485" s="1"/>
      <c r="AQ485" s="60"/>
      <c r="AR485" s="54"/>
      <c r="AS485" s="39"/>
      <c r="AT485" s="35"/>
      <c r="AV485" s="1"/>
      <c r="BB485" s="1"/>
      <c r="BH485" s="1"/>
      <c r="BN485" s="1"/>
      <c r="BQ485" s="70"/>
      <c r="BT485" s="1"/>
    </row>
    <row r="486">
      <c r="A486" s="70"/>
      <c r="F486" s="1"/>
      <c r="L486" s="1"/>
      <c r="R486" s="1"/>
      <c r="X486" s="1"/>
      <c r="AD486" s="1"/>
      <c r="AJ486" s="1"/>
      <c r="AP486" s="1"/>
      <c r="AQ486" s="60"/>
      <c r="AR486" s="54"/>
      <c r="AS486" s="39"/>
      <c r="AT486" s="35"/>
      <c r="AV486" s="1"/>
      <c r="BB486" s="1"/>
      <c r="BH486" s="1"/>
      <c r="BN486" s="1"/>
      <c r="BQ486" s="70"/>
      <c r="BT486" s="1"/>
    </row>
    <row r="487">
      <c r="A487" s="70"/>
      <c r="F487" s="1"/>
      <c r="L487" s="1"/>
      <c r="R487" s="1"/>
      <c r="X487" s="1"/>
      <c r="AD487" s="1"/>
      <c r="AJ487" s="1"/>
      <c r="AP487" s="1"/>
      <c r="AQ487" s="60"/>
      <c r="AR487" s="54"/>
      <c r="AS487" s="39"/>
      <c r="AT487" s="35"/>
      <c r="AV487" s="1"/>
      <c r="BB487" s="1"/>
      <c r="BH487" s="1"/>
      <c r="BN487" s="1"/>
      <c r="BQ487" s="70"/>
      <c r="BT487" s="1"/>
    </row>
    <row r="488">
      <c r="A488" s="70"/>
      <c r="F488" s="1"/>
      <c r="L488" s="1"/>
      <c r="R488" s="1"/>
      <c r="X488" s="1"/>
      <c r="AD488" s="1"/>
      <c r="AJ488" s="1"/>
      <c r="AP488" s="1"/>
      <c r="AQ488" s="60"/>
      <c r="AR488" s="54"/>
      <c r="AS488" s="39"/>
      <c r="AT488" s="35"/>
      <c r="AV488" s="1"/>
      <c r="BB488" s="1"/>
      <c r="BH488" s="1"/>
      <c r="BN488" s="1"/>
      <c r="BQ488" s="70"/>
      <c r="BT488" s="1"/>
    </row>
    <row r="489">
      <c r="A489" s="70"/>
      <c r="F489" s="1"/>
      <c r="L489" s="1"/>
      <c r="R489" s="1"/>
      <c r="X489" s="1"/>
      <c r="AD489" s="1"/>
      <c r="AJ489" s="1"/>
      <c r="AP489" s="1"/>
      <c r="AQ489" s="60"/>
      <c r="AR489" s="54"/>
      <c r="AS489" s="39"/>
      <c r="AT489" s="35"/>
      <c r="AV489" s="1"/>
      <c r="BB489" s="1"/>
      <c r="BH489" s="1"/>
      <c r="BN489" s="1"/>
      <c r="BQ489" s="70"/>
      <c r="BT489" s="1"/>
    </row>
    <row r="490">
      <c r="A490" s="70"/>
      <c r="F490" s="1"/>
      <c r="L490" s="1"/>
      <c r="R490" s="1"/>
      <c r="X490" s="1"/>
      <c r="AD490" s="1"/>
      <c r="AJ490" s="1"/>
      <c r="AP490" s="1"/>
      <c r="AQ490" s="60"/>
      <c r="AR490" s="54"/>
      <c r="AS490" s="39"/>
      <c r="AT490" s="35"/>
      <c r="AV490" s="1"/>
      <c r="BB490" s="1"/>
      <c r="BH490" s="1"/>
      <c r="BN490" s="1"/>
      <c r="BQ490" s="70"/>
      <c r="BT490" s="1"/>
    </row>
    <row r="491">
      <c r="A491" s="70"/>
      <c r="F491" s="1"/>
      <c r="L491" s="1"/>
      <c r="R491" s="1"/>
      <c r="X491" s="1"/>
      <c r="AD491" s="1"/>
      <c r="AJ491" s="1"/>
      <c r="AP491" s="1"/>
      <c r="AQ491" s="60"/>
      <c r="AR491" s="54"/>
      <c r="AS491" s="39"/>
      <c r="AT491" s="35"/>
      <c r="AV491" s="1"/>
      <c r="BB491" s="1"/>
      <c r="BH491" s="1"/>
      <c r="BN491" s="1"/>
      <c r="BQ491" s="70"/>
      <c r="BT491" s="1"/>
    </row>
    <row r="492">
      <c r="A492" s="70"/>
      <c r="F492" s="1"/>
      <c r="L492" s="1"/>
      <c r="R492" s="1"/>
      <c r="X492" s="1"/>
      <c r="AD492" s="1"/>
      <c r="AJ492" s="1"/>
      <c r="AP492" s="1"/>
      <c r="AQ492" s="60"/>
      <c r="AR492" s="54"/>
      <c r="AS492" s="39"/>
      <c r="AT492" s="35"/>
      <c r="AV492" s="1"/>
      <c r="BB492" s="1"/>
      <c r="BH492" s="1"/>
      <c r="BN492" s="1"/>
      <c r="BQ492" s="70"/>
      <c r="BT492" s="1"/>
    </row>
    <row r="493">
      <c r="A493" s="70"/>
      <c r="F493" s="1"/>
      <c r="L493" s="1"/>
      <c r="R493" s="1"/>
      <c r="X493" s="1"/>
      <c r="AD493" s="1"/>
      <c r="AJ493" s="1"/>
      <c r="AP493" s="1"/>
      <c r="AQ493" s="60"/>
      <c r="AR493" s="54"/>
      <c r="AS493" s="39"/>
      <c r="AT493" s="35"/>
      <c r="AV493" s="1"/>
      <c r="BB493" s="1"/>
      <c r="BH493" s="1"/>
      <c r="BN493" s="1"/>
      <c r="BQ493" s="70"/>
      <c r="BT493" s="1"/>
    </row>
    <row r="494">
      <c r="A494" s="70"/>
      <c r="F494" s="1"/>
      <c r="L494" s="1"/>
      <c r="R494" s="1"/>
      <c r="X494" s="1"/>
      <c r="AD494" s="1"/>
      <c r="AJ494" s="1"/>
      <c r="AP494" s="1"/>
      <c r="AQ494" s="60"/>
      <c r="AR494" s="54"/>
      <c r="AS494" s="39"/>
      <c r="AT494" s="35"/>
      <c r="AV494" s="1"/>
      <c r="BB494" s="1"/>
      <c r="BH494" s="1"/>
      <c r="BN494" s="1"/>
      <c r="BQ494" s="70"/>
      <c r="BT494" s="1"/>
    </row>
    <row r="495">
      <c r="A495" s="70"/>
      <c r="F495" s="1"/>
      <c r="L495" s="1"/>
      <c r="R495" s="1"/>
      <c r="X495" s="1"/>
      <c r="AD495" s="1"/>
      <c r="AJ495" s="1"/>
      <c r="AP495" s="1"/>
      <c r="AQ495" s="60"/>
      <c r="AR495" s="54"/>
      <c r="AS495" s="39"/>
      <c r="AT495" s="35"/>
      <c r="AV495" s="1"/>
      <c r="BB495" s="1"/>
      <c r="BH495" s="1"/>
      <c r="BN495" s="1"/>
      <c r="BQ495" s="70"/>
      <c r="BT495" s="1"/>
    </row>
    <row r="496">
      <c r="A496" s="70"/>
      <c r="F496" s="1"/>
      <c r="L496" s="1"/>
      <c r="R496" s="1"/>
      <c r="X496" s="1"/>
      <c r="AD496" s="1"/>
      <c r="AJ496" s="1"/>
      <c r="AP496" s="1"/>
      <c r="AQ496" s="60"/>
      <c r="AR496" s="54"/>
      <c r="AS496" s="39"/>
      <c r="AT496" s="35"/>
      <c r="AV496" s="1"/>
      <c r="BB496" s="1"/>
      <c r="BH496" s="1"/>
      <c r="BN496" s="1"/>
      <c r="BQ496" s="70"/>
      <c r="BT496" s="1"/>
    </row>
    <row r="497">
      <c r="A497" s="70"/>
      <c r="F497" s="1"/>
      <c r="L497" s="1"/>
      <c r="R497" s="1"/>
      <c r="X497" s="1"/>
      <c r="AD497" s="1"/>
      <c r="AJ497" s="1"/>
      <c r="AP497" s="1"/>
      <c r="AQ497" s="60"/>
      <c r="AR497" s="54"/>
      <c r="AS497" s="39"/>
      <c r="AT497" s="35"/>
      <c r="AV497" s="1"/>
      <c r="BB497" s="1"/>
      <c r="BH497" s="1"/>
      <c r="BN497" s="1"/>
      <c r="BQ497" s="70"/>
      <c r="BT497" s="1"/>
    </row>
    <row r="498">
      <c r="A498" s="70"/>
      <c r="F498" s="1"/>
      <c r="L498" s="1"/>
      <c r="R498" s="1"/>
      <c r="X498" s="1"/>
      <c r="AD498" s="1"/>
      <c r="AJ498" s="1"/>
      <c r="AP498" s="1"/>
      <c r="AQ498" s="60"/>
      <c r="AR498" s="54"/>
      <c r="AS498" s="39"/>
      <c r="AT498" s="35"/>
      <c r="AV498" s="1"/>
      <c r="BB498" s="1"/>
      <c r="BH498" s="1"/>
      <c r="BN498" s="1"/>
      <c r="BQ498" s="70"/>
      <c r="BT498" s="1"/>
    </row>
    <row r="499">
      <c r="A499" s="70"/>
      <c r="F499" s="1"/>
      <c r="L499" s="1"/>
      <c r="R499" s="1"/>
      <c r="X499" s="1"/>
      <c r="AD499" s="1"/>
      <c r="AJ499" s="1"/>
      <c r="AP499" s="1"/>
      <c r="AQ499" s="60"/>
      <c r="AR499" s="54"/>
      <c r="AS499" s="39"/>
      <c r="AT499" s="35"/>
      <c r="AV499" s="1"/>
      <c r="BB499" s="1"/>
      <c r="BH499" s="1"/>
      <c r="BN499" s="1"/>
      <c r="BQ499" s="70"/>
      <c r="BT499" s="1"/>
    </row>
    <row r="500">
      <c r="A500" s="70"/>
      <c r="F500" s="1"/>
      <c r="L500" s="1"/>
      <c r="R500" s="1"/>
      <c r="X500" s="1"/>
      <c r="AD500" s="1"/>
      <c r="AJ500" s="1"/>
      <c r="AP500" s="1"/>
      <c r="AQ500" s="60"/>
      <c r="AR500" s="54"/>
      <c r="AS500" s="39"/>
      <c r="AT500" s="35"/>
      <c r="AV500" s="1"/>
      <c r="BB500" s="1"/>
      <c r="BH500" s="1"/>
      <c r="BN500" s="1"/>
      <c r="BQ500" s="70"/>
      <c r="BT500" s="1"/>
    </row>
    <row r="501">
      <c r="A501" s="70"/>
      <c r="F501" s="1"/>
      <c r="L501" s="1"/>
      <c r="R501" s="1"/>
      <c r="X501" s="1"/>
      <c r="AD501" s="1"/>
      <c r="AJ501" s="1"/>
      <c r="AP501" s="1"/>
      <c r="AQ501" s="60"/>
      <c r="AR501" s="54"/>
      <c r="AS501" s="39"/>
      <c r="AT501" s="35"/>
      <c r="AV501" s="1"/>
      <c r="BB501" s="1"/>
      <c r="BH501" s="1"/>
      <c r="BN501" s="1"/>
      <c r="BQ501" s="70"/>
      <c r="BT501" s="1"/>
    </row>
    <row r="502">
      <c r="A502" s="70"/>
      <c r="F502" s="1"/>
      <c r="L502" s="1"/>
      <c r="R502" s="1"/>
      <c r="X502" s="1"/>
      <c r="AD502" s="1"/>
      <c r="AJ502" s="1"/>
      <c r="AP502" s="1"/>
      <c r="AQ502" s="60"/>
      <c r="AR502" s="54"/>
      <c r="AS502" s="39"/>
      <c r="AT502" s="35"/>
      <c r="AV502" s="1"/>
      <c r="BB502" s="1"/>
      <c r="BH502" s="1"/>
      <c r="BN502" s="1"/>
      <c r="BQ502" s="70"/>
      <c r="BT502" s="1"/>
    </row>
    <row r="503">
      <c r="A503" s="70"/>
      <c r="F503" s="1"/>
      <c r="L503" s="1"/>
      <c r="R503" s="1"/>
      <c r="X503" s="1"/>
      <c r="AD503" s="1"/>
      <c r="AJ503" s="1"/>
      <c r="AP503" s="1"/>
      <c r="AQ503" s="60"/>
      <c r="AR503" s="54"/>
      <c r="AS503" s="39"/>
      <c r="AT503" s="35"/>
      <c r="AV503" s="1"/>
      <c r="BB503" s="1"/>
      <c r="BH503" s="1"/>
      <c r="BN503" s="1"/>
      <c r="BQ503" s="70"/>
      <c r="BT503" s="1"/>
    </row>
    <row r="504">
      <c r="A504" s="70"/>
      <c r="F504" s="1"/>
      <c r="L504" s="1"/>
      <c r="R504" s="1"/>
      <c r="X504" s="1"/>
      <c r="AD504" s="1"/>
      <c r="AJ504" s="1"/>
      <c r="AP504" s="1"/>
      <c r="AQ504" s="60"/>
      <c r="AR504" s="54"/>
      <c r="AS504" s="39"/>
      <c r="AT504" s="35"/>
      <c r="AV504" s="1"/>
      <c r="BB504" s="1"/>
      <c r="BH504" s="1"/>
      <c r="BN504" s="1"/>
      <c r="BQ504" s="70"/>
      <c r="BT504" s="1"/>
    </row>
    <row r="505">
      <c r="A505" s="70"/>
      <c r="F505" s="1"/>
      <c r="L505" s="1"/>
      <c r="R505" s="1"/>
      <c r="X505" s="1"/>
      <c r="AD505" s="1"/>
      <c r="AJ505" s="1"/>
      <c r="AP505" s="1"/>
      <c r="AQ505" s="60"/>
      <c r="AR505" s="54"/>
      <c r="AS505" s="39"/>
      <c r="AT505" s="35"/>
      <c r="AV505" s="1"/>
      <c r="BB505" s="1"/>
      <c r="BH505" s="1"/>
      <c r="BN505" s="1"/>
      <c r="BQ505" s="70"/>
      <c r="BT505" s="1"/>
    </row>
    <row r="506">
      <c r="A506" s="70"/>
      <c r="F506" s="1"/>
      <c r="L506" s="1"/>
      <c r="R506" s="1"/>
      <c r="X506" s="1"/>
      <c r="AD506" s="1"/>
      <c r="AJ506" s="1"/>
      <c r="AP506" s="1"/>
      <c r="AQ506" s="60"/>
      <c r="AR506" s="54"/>
      <c r="AS506" s="39"/>
      <c r="AT506" s="35"/>
      <c r="AV506" s="1"/>
      <c r="BB506" s="1"/>
      <c r="BH506" s="1"/>
      <c r="BN506" s="1"/>
      <c r="BQ506" s="70"/>
      <c r="BT506" s="1"/>
    </row>
    <row r="507">
      <c r="A507" s="70"/>
      <c r="F507" s="1"/>
      <c r="L507" s="1"/>
      <c r="R507" s="1"/>
      <c r="X507" s="1"/>
      <c r="AD507" s="1"/>
      <c r="AJ507" s="1"/>
      <c r="AP507" s="1"/>
      <c r="AQ507" s="60"/>
      <c r="AR507" s="54"/>
      <c r="AS507" s="39"/>
      <c r="AT507" s="35"/>
      <c r="AV507" s="1"/>
      <c r="BB507" s="1"/>
      <c r="BH507" s="1"/>
      <c r="BN507" s="1"/>
      <c r="BQ507" s="70"/>
      <c r="BT507" s="1"/>
    </row>
    <row r="508">
      <c r="A508" s="70"/>
      <c r="F508" s="1"/>
      <c r="L508" s="1"/>
      <c r="R508" s="1"/>
      <c r="X508" s="1"/>
      <c r="AD508" s="1"/>
      <c r="AJ508" s="1"/>
      <c r="AP508" s="1"/>
      <c r="AQ508" s="60"/>
      <c r="AR508" s="54"/>
      <c r="AS508" s="39"/>
      <c r="AT508" s="35"/>
      <c r="AV508" s="1"/>
      <c r="BB508" s="1"/>
      <c r="BH508" s="1"/>
      <c r="BN508" s="1"/>
      <c r="BQ508" s="70"/>
      <c r="BT508" s="1"/>
    </row>
    <row r="509">
      <c r="A509" s="70"/>
      <c r="F509" s="1"/>
      <c r="L509" s="1"/>
      <c r="R509" s="1"/>
      <c r="X509" s="1"/>
      <c r="AD509" s="1"/>
      <c r="AJ509" s="1"/>
      <c r="AP509" s="1"/>
      <c r="AQ509" s="60"/>
      <c r="AR509" s="54"/>
      <c r="AS509" s="39"/>
      <c r="AT509" s="35"/>
      <c r="AV509" s="1"/>
      <c r="BB509" s="1"/>
      <c r="BH509" s="1"/>
      <c r="BN509" s="1"/>
      <c r="BQ509" s="70"/>
      <c r="BT509" s="1"/>
    </row>
    <row r="510">
      <c r="A510" s="70"/>
      <c r="F510" s="1"/>
      <c r="L510" s="1"/>
      <c r="R510" s="1"/>
      <c r="X510" s="1"/>
      <c r="AD510" s="1"/>
      <c r="AJ510" s="1"/>
      <c r="AP510" s="1"/>
      <c r="AQ510" s="60"/>
      <c r="AR510" s="54"/>
      <c r="AS510" s="39"/>
      <c r="AT510" s="35"/>
      <c r="AV510" s="1"/>
      <c r="BB510" s="1"/>
      <c r="BH510" s="1"/>
      <c r="BN510" s="1"/>
      <c r="BQ510" s="70"/>
      <c r="BT510" s="1"/>
    </row>
    <row r="511">
      <c r="A511" s="70"/>
      <c r="F511" s="1"/>
      <c r="L511" s="1"/>
      <c r="R511" s="1"/>
      <c r="X511" s="1"/>
      <c r="AD511" s="1"/>
      <c r="AJ511" s="1"/>
      <c r="AP511" s="1"/>
      <c r="AQ511" s="60"/>
      <c r="AR511" s="54"/>
      <c r="AS511" s="39"/>
      <c r="AT511" s="35"/>
      <c r="AV511" s="1"/>
      <c r="BB511" s="1"/>
      <c r="BH511" s="1"/>
      <c r="BN511" s="1"/>
      <c r="BQ511" s="70"/>
      <c r="BT511" s="1"/>
    </row>
    <row r="512">
      <c r="A512" s="70"/>
      <c r="F512" s="1"/>
      <c r="L512" s="1"/>
      <c r="R512" s="1"/>
      <c r="X512" s="1"/>
      <c r="AD512" s="1"/>
      <c r="AJ512" s="1"/>
      <c r="AP512" s="1"/>
      <c r="AQ512" s="60"/>
      <c r="AR512" s="54"/>
      <c r="AS512" s="39"/>
      <c r="AT512" s="35"/>
      <c r="AV512" s="1"/>
      <c r="BB512" s="1"/>
      <c r="BH512" s="1"/>
      <c r="BN512" s="1"/>
      <c r="BQ512" s="70"/>
      <c r="BT512" s="1"/>
    </row>
    <row r="513">
      <c r="A513" s="70"/>
      <c r="F513" s="1"/>
      <c r="L513" s="1"/>
      <c r="R513" s="1"/>
      <c r="X513" s="1"/>
      <c r="AD513" s="1"/>
      <c r="AJ513" s="1"/>
      <c r="AP513" s="1"/>
      <c r="AQ513" s="60"/>
      <c r="AR513" s="54"/>
      <c r="AS513" s="39"/>
      <c r="AT513" s="35"/>
      <c r="AV513" s="1"/>
      <c r="BB513" s="1"/>
      <c r="BH513" s="1"/>
      <c r="BN513" s="1"/>
      <c r="BQ513" s="70"/>
      <c r="BT513" s="1"/>
    </row>
    <row r="514">
      <c r="A514" s="70"/>
      <c r="F514" s="1"/>
      <c r="L514" s="1"/>
      <c r="R514" s="1"/>
      <c r="X514" s="1"/>
      <c r="AD514" s="1"/>
      <c r="AJ514" s="1"/>
      <c r="AP514" s="1"/>
      <c r="AQ514" s="60"/>
      <c r="AR514" s="54"/>
      <c r="AS514" s="39"/>
      <c r="AT514" s="35"/>
      <c r="AV514" s="1"/>
      <c r="BB514" s="1"/>
      <c r="BH514" s="1"/>
      <c r="BN514" s="1"/>
      <c r="BQ514" s="70"/>
      <c r="BT514" s="1"/>
    </row>
    <row r="515">
      <c r="A515" s="70"/>
      <c r="F515" s="1"/>
      <c r="L515" s="1"/>
      <c r="R515" s="1"/>
      <c r="X515" s="1"/>
      <c r="AD515" s="1"/>
      <c r="AJ515" s="1"/>
      <c r="AP515" s="1"/>
      <c r="AQ515" s="60"/>
      <c r="AR515" s="54"/>
      <c r="AS515" s="39"/>
      <c r="AT515" s="35"/>
      <c r="AV515" s="1"/>
      <c r="BB515" s="1"/>
      <c r="BH515" s="1"/>
      <c r="BN515" s="1"/>
      <c r="BQ515" s="70"/>
      <c r="BT515" s="1"/>
    </row>
    <row r="516">
      <c r="A516" s="70"/>
      <c r="F516" s="1"/>
      <c r="L516" s="1"/>
      <c r="R516" s="1"/>
      <c r="X516" s="1"/>
      <c r="AD516" s="1"/>
      <c r="AJ516" s="1"/>
      <c r="AP516" s="1"/>
      <c r="AQ516" s="60"/>
      <c r="AR516" s="54"/>
      <c r="AS516" s="39"/>
      <c r="AT516" s="35"/>
      <c r="AV516" s="1"/>
      <c r="BB516" s="1"/>
      <c r="BH516" s="1"/>
      <c r="BN516" s="1"/>
      <c r="BQ516" s="70"/>
      <c r="BT516" s="1"/>
    </row>
    <row r="517">
      <c r="A517" s="70"/>
      <c r="F517" s="1"/>
      <c r="L517" s="1"/>
      <c r="R517" s="1"/>
      <c r="X517" s="1"/>
      <c r="AD517" s="1"/>
      <c r="AJ517" s="1"/>
      <c r="AP517" s="1"/>
      <c r="AQ517" s="60"/>
      <c r="AR517" s="54"/>
      <c r="AS517" s="39"/>
      <c r="AT517" s="35"/>
      <c r="AV517" s="1"/>
      <c r="BB517" s="1"/>
      <c r="BH517" s="1"/>
      <c r="BN517" s="1"/>
      <c r="BQ517" s="70"/>
      <c r="BT517" s="1"/>
    </row>
    <row r="518">
      <c r="A518" s="70"/>
      <c r="F518" s="1"/>
      <c r="L518" s="1"/>
      <c r="R518" s="1"/>
      <c r="X518" s="1"/>
      <c r="AD518" s="1"/>
      <c r="AJ518" s="1"/>
      <c r="AP518" s="1"/>
      <c r="AQ518" s="60"/>
      <c r="AR518" s="54"/>
      <c r="AS518" s="39"/>
      <c r="AT518" s="35"/>
      <c r="AV518" s="1"/>
      <c r="BB518" s="1"/>
      <c r="BH518" s="1"/>
      <c r="BN518" s="1"/>
      <c r="BQ518" s="70"/>
      <c r="BT518" s="1"/>
    </row>
    <row r="519">
      <c r="A519" s="70"/>
      <c r="F519" s="1"/>
      <c r="L519" s="1"/>
      <c r="R519" s="1"/>
      <c r="X519" s="1"/>
      <c r="AD519" s="1"/>
      <c r="AJ519" s="1"/>
      <c r="AP519" s="1"/>
      <c r="AQ519" s="60"/>
      <c r="AR519" s="54"/>
      <c r="AS519" s="39"/>
      <c r="AT519" s="35"/>
      <c r="AV519" s="1"/>
      <c r="BB519" s="1"/>
      <c r="BH519" s="1"/>
      <c r="BN519" s="1"/>
      <c r="BQ519" s="70"/>
      <c r="BT519" s="1"/>
    </row>
    <row r="520">
      <c r="A520" s="70"/>
      <c r="F520" s="1"/>
      <c r="L520" s="1"/>
      <c r="R520" s="1"/>
      <c r="X520" s="1"/>
      <c r="AD520" s="1"/>
      <c r="AJ520" s="1"/>
      <c r="AP520" s="1"/>
      <c r="AQ520" s="60"/>
      <c r="AR520" s="54"/>
      <c r="AS520" s="39"/>
      <c r="AT520" s="35"/>
      <c r="AV520" s="1"/>
      <c r="BB520" s="1"/>
      <c r="BH520" s="1"/>
      <c r="BN520" s="1"/>
      <c r="BQ520" s="70"/>
      <c r="BT520" s="1"/>
    </row>
    <row r="521">
      <c r="A521" s="70"/>
      <c r="F521" s="1"/>
      <c r="L521" s="1"/>
      <c r="R521" s="1"/>
      <c r="X521" s="1"/>
      <c r="AD521" s="1"/>
      <c r="AJ521" s="1"/>
      <c r="AP521" s="1"/>
      <c r="AQ521" s="60"/>
      <c r="AR521" s="54"/>
      <c r="AS521" s="39"/>
      <c r="AT521" s="35"/>
      <c r="AV521" s="1"/>
      <c r="BB521" s="1"/>
      <c r="BH521" s="1"/>
      <c r="BN521" s="1"/>
      <c r="BP521" s="64"/>
      <c r="BQ521" s="70"/>
      <c r="BT521" s="1"/>
    </row>
    <row r="522">
      <c r="A522" s="70"/>
      <c r="F522" s="1"/>
      <c r="L522" s="1"/>
      <c r="R522" s="1"/>
      <c r="X522" s="1"/>
      <c r="AD522" s="1"/>
      <c r="AJ522" s="1"/>
      <c r="AP522" s="1"/>
      <c r="AQ522" s="60"/>
      <c r="AR522" s="54"/>
      <c r="AS522" s="39"/>
      <c r="AT522" s="35"/>
      <c r="AV522" s="1"/>
      <c r="BB522" s="1"/>
      <c r="BH522" s="1"/>
      <c r="BN522" s="1"/>
      <c r="BP522" s="64"/>
      <c r="BQ522" s="70"/>
      <c r="BT522" s="1"/>
    </row>
    <row r="523">
      <c r="A523" s="70"/>
      <c r="F523" s="1"/>
      <c r="L523" s="1"/>
      <c r="R523" s="1"/>
      <c r="X523" s="1"/>
      <c r="AD523" s="1"/>
      <c r="AJ523" s="1"/>
      <c r="AP523" s="1"/>
      <c r="AQ523" s="60"/>
      <c r="AR523" s="54"/>
      <c r="AS523" s="39"/>
      <c r="AT523" s="35"/>
      <c r="AV523" s="1"/>
      <c r="BB523" s="1"/>
      <c r="BH523" s="1"/>
      <c r="BN523" s="1"/>
      <c r="BP523" s="64"/>
      <c r="BQ523" s="70"/>
      <c r="BT523" s="1"/>
    </row>
    <row r="524">
      <c r="A524" s="70"/>
      <c r="F524" s="1"/>
      <c r="L524" s="1"/>
      <c r="R524" s="1"/>
      <c r="X524" s="1"/>
      <c r="AD524" s="1"/>
      <c r="AJ524" s="1"/>
      <c r="AP524" s="1"/>
      <c r="AQ524" s="60"/>
      <c r="AR524" s="54"/>
      <c r="AS524" s="39"/>
      <c r="AT524" s="35"/>
      <c r="AV524" s="1"/>
      <c r="BB524" s="1"/>
      <c r="BH524" s="1"/>
      <c r="BN524" s="1"/>
      <c r="BP524" s="64"/>
      <c r="BQ524" s="70"/>
      <c r="BT524" s="1"/>
    </row>
    <row r="525">
      <c r="A525" s="70"/>
      <c r="F525" s="1"/>
      <c r="L525" s="1"/>
      <c r="R525" s="1"/>
      <c r="X525" s="1"/>
      <c r="AD525" s="1"/>
      <c r="AJ525" s="1"/>
      <c r="AP525" s="1"/>
      <c r="AQ525" s="60"/>
      <c r="AR525" s="54"/>
      <c r="AS525" s="39"/>
      <c r="AT525" s="35"/>
      <c r="AV525" s="1"/>
      <c r="BB525" s="1"/>
      <c r="BH525" s="1"/>
      <c r="BN525" s="1"/>
      <c r="BP525" s="64"/>
      <c r="BQ525" s="70"/>
      <c r="BT525" s="1"/>
    </row>
    <row r="526">
      <c r="A526" s="70"/>
      <c r="F526" s="1"/>
      <c r="L526" s="1"/>
      <c r="R526" s="1"/>
      <c r="X526" s="1"/>
      <c r="AD526" s="1"/>
      <c r="AJ526" s="1"/>
      <c r="AP526" s="1"/>
      <c r="AQ526" s="60"/>
      <c r="AR526" s="54"/>
      <c r="AS526" s="39"/>
      <c r="AT526" s="35"/>
      <c r="AV526" s="1"/>
      <c r="BB526" s="1"/>
      <c r="BH526" s="1"/>
      <c r="BN526" s="1"/>
      <c r="BP526" s="64"/>
      <c r="BQ526" s="70"/>
      <c r="BT526" s="1"/>
    </row>
    <row r="527">
      <c r="A527" s="70"/>
      <c r="F527" s="1"/>
      <c r="L527" s="1"/>
      <c r="R527" s="1"/>
      <c r="X527" s="1"/>
      <c r="AD527" s="1"/>
      <c r="AJ527" s="1"/>
      <c r="AP527" s="1"/>
      <c r="AQ527" s="60"/>
      <c r="AR527" s="54"/>
      <c r="AS527" s="39"/>
      <c r="AT527" s="35"/>
      <c r="AV527" s="1"/>
      <c r="BB527" s="1"/>
      <c r="BH527" s="1"/>
      <c r="BN527" s="1"/>
      <c r="BP527" s="64"/>
      <c r="BQ527" s="70"/>
      <c r="BT527" s="1"/>
    </row>
    <row r="528">
      <c r="A528" s="70"/>
      <c r="F528" s="1"/>
      <c r="L528" s="1"/>
      <c r="R528" s="1"/>
      <c r="X528" s="1"/>
      <c r="AD528" s="1"/>
      <c r="AJ528" s="1"/>
      <c r="AP528" s="1"/>
      <c r="AQ528" s="60"/>
      <c r="AR528" s="54"/>
      <c r="AS528" s="39"/>
      <c r="AT528" s="35"/>
      <c r="AV528" s="1"/>
      <c r="BB528" s="1"/>
      <c r="BH528" s="1"/>
      <c r="BN528" s="1"/>
      <c r="BP528" s="64"/>
      <c r="BQ528" s="70"/>
      <c r="BT528" s="1"/>
    </row>
    <row r="529">
      <c r="A529" s="70"/>
      <c r="F529" s="1"/>
      <c r="L529" s="1"/>
      <c r="R529" s="1"/>
      <c r="X529" s="1"/>
      <c r="AD529" s="1"/>
      <c r="AJ529" s="1"/>
      <c r="AP529" s="1"/>
      <c r="AQ529" s="60"/>
      <c r="AR529" s="54"/>
      <c r="AS529" s="39"/>
      <c r="AT529" s="35"/>
      <c r="AV529" s="1"/>
      <c r="BB529" s="1"/>
      <c r="BH529" s="1"/>
      <c r="BN529" s="1"/>
      <c r="BP529" s="64"/>
      <c r="BQ529" s="70"/>
      <c r="BT529" s="1"/>
    </row>
    <row r="530">
      <c r="A530" s="70"/>
      <c r="F530" s="1"/>
      <c r="L530" s="1"/>
      <c r="R530" s="1"/>
      <c r="X530" s="1"/>
      <c r="AD530" s="1"/>
      <c r="AJ530" s="1"/>
      <c r="AP530" s="1"/>
      <c r="AQ530" s="60"/>
      <c r="AR530" s="54"/>
      <c r="AS530" s="39"/>
      <c r="AT530" s="35"/>
      <c r="AV530" s="1"/>
      <c r="BB530" s="1"/>
      <c r="BH530" s="1"/>
      <c r="BN530" s="1"/>
      <c r="BP530" s="64"/>
      <c r="BQ530" s="70"/>
      <c r="BT530" s="1"/>
    </row>
    <row r="531">
      <c r="A531" s="70"/>
      <c r="F531" s="1"/>
      <c r="L531" s="1"/>
      <c r="R531" s="1"/>
      <c r="X531" s="1"/>
      <c r="AD531" s="1"/>
      <c r="AJ531" s="1"/>
      <c r="AP531" s="1"/>
      <c r="AQ531" s="60"/>
      <c r="AR531" s="54"/>
      <c r="AS531" s="39"/>
      <c r="AT531" s="35"/>
      <c r="AV531" s="1"/>
      <c r="BB531" s="1"/>
      <c r="BH531" s="1"/>
      <c r="BN531" s="1"/>
      <c r="BP531" s="64"/>
      <c r="BQ531" s="70"/>
      <c r="BT531" s="1"/>
    </row>
    <row r="532">
      <c r="A532" s="70"/>
      <c r="F532" s="1"/>
      <c r="L532" s="1"/>
      <c r="R532" s="1"/>
      <c r="X532" s="1"/>
      <c r="AD532" s="1"/>
      <c r="AJ532" s="1"/>
      <c r="AP532" s="1"/>
      <c r="AQ532" s="60"/>
      <c r="AR532" s="54"/>
      <c r="AS532" s="39"/>
      <c r="AT532" s="35"/>
      <c r="AV532" s="1"/>
      <c r="BB532" s="1"/>
      <c r="BH532" s="1"/>
      <c r="BN532" s="1"/>
      <c r="BP532" s="64"/>
      <c r="BQ532" s="70"/>
      <c r="BT532" s="1"/>
    </row>
    <row r="533">
      <c r="A533" s="70"/>
      <c r="F533" s="1"/>
      <c r="L533" s="1"/>
      <c r="R533" s="1"/>
      <c r="X533" s="1"/>
      <c r="AD533" s="1"/>
      <c r="AJ533" s="1"/>
      <c r="AP533" s="1"/>
      <c r="AQ533" s="60"/>
      <c r="AR533" s="54"/>
      <c r="AS533" s="39"/>
      <c r="AT533" s="35"/>
      <c r="AV533" s="1"/>
      <c r="BB533" s="1"/>
      <c r="BH533" s="1"/>
      <c r="BN533" s="1"/>
      <c r="BP533" s="64"/>
      <c r="BQ533" s="70"/>
      <c r="BT533" s="1"/>
    </row>
    <row r="534">
      <c r="A534" s="70"/>
      <c r="F534" s="1"/>
      <c r="L534" s="1"/>
      <c r="R534" s="1"/>
      <c r="X534" s="1"/>
      <c r="AD534" s="1"/>
      <c r="AJ534" s="1"/>
      <c r="AP534" s="1"/>
      <c r="AQ534" s="60"/>
      <c r="AR534" s="54"/>
      <c r="AS534" s="39"/>
      <c r="AT534" s="35"/>
      <c r="AV534" s="1"/>
      <c r="BB534" s="1"/>
      <c r="BH534" s="1"/>
      <c r="BN534" s="1"/>
      <c r="BP534" s="64"/>
      <c r="BQ534" s="70"/>
      <c r="BT534" s="1"/>
    </row>
    <row r="535">
      <c r="A535" s="70"/>
      <c r="F535" s="1"/>
      <c r="L535" s="1"/>
      <c r="R535" s="1"/>
      <c r="X535" s="1"/>
      <c r="AD535" s="1"/>
      <c r="AJ535" s="1"/>
      <c r="AP535" s="1"/>
      <c r="AQ535" s="60"/>
      <c r="AR535" s="54"/>
      <c r="AS535" s="39"/>
      <c r="AT535" s="35"/>
      <c r="AV535" s="1"/>
      <c r="BB535" s="1"/>
      <c r="BH535" s="1"/>
      <c r="BN535" s="1"/>
      <c r="BP535" s="64"/>
      <c r="BQ535" s="70"/>
      <c r="BT535" s="1"/>
    </row>
    <row r="536">
      <c r="A536" s="70"/>
      <c r="F536" s="1"/>
      <c r="L536" s="1"/>
      <c r="R536" s="1"/>
      <c r="X536" s="1"/>
      <c r="AD536" s="1"/>
      <c r="AJ536" s="1"/>
      <c r="AP536" s="1"/>
      <c r="AQ536" s="60"/>
      <c r="AR536" s="54"/>
      <c r="AS536" s="39"/>
      <c r="AT536" s="35"/>
      <c r="AV536" s="1"/>
      <c r="BB536" s="1"/>
      <c r="BH536" s="1"/>
      <c r="BN536" s="1"/>
      <c r="BP536" s="64"/>
      <c r="BQ536" s="70"/>
      <c r="BT536" s="1"/>
    </row>
    <row r="537">
      <c r="A537" s="70"/>
      <c r="F537" s="1"/>
      <c r="L537" s="1"/>
      <c r="R537" s="1"/>
      <c r="X537" s="1"/>
      <c r="AD537" s="1"/>
      <c r="AJ537" s="1"/>
      <c r="AP537" s="1"/>
      <c r="AQ537" s="60"/>
      <c r="AR537" s="54"/>
      <c r="AS537" s="39"/>
      <c r="AT537" s="35"/>
      <c r="AV537" s="1"/>
      <c r="BB537" s="1"/>
      <c r="BH537" s="1"/>
      <c r="BN537" s="1"/>
      <c r="BQ537" s="70"/>
      <c r="BT537" s="1"/>
    </row>
    <row r="538">
      <c r="A538" s="70"/>
      <c r="F538" s="1"/>
      <c r="L538" s="1"/>
      <c r="R538" s="1"/>
      <c r="X538" s="1"/>
      <c r="AD538" s="1"/>
      <c r="AJ538" s="1"/>
      <c r="AP538" s="1"/>
      <c r="AQ538" s="60"/>
      <c r="AR538" s="54"/>
      <c r="AS538" s="39"/>
      <c r="AT538" s="35"/>
      <c r="AV538" s="1"/>
      <c r="BB538" s="1"/>
      <c r="BH538" s="1"/>
      <c r="BN538" s="1"/>
      <c r="BQ538" s="70"/>
      <c r="BT538" s="1"/>
    </row>
    <row r="539">
      <c r="A539" s="70"/>
      <c r="F539" s="1"/>
      <c r="L539" s="1"/>
      <c r="R539" s="1"/>
      <c r="X539" s="1"/>
      <c r="AD539" s="1"/>
      <c r="AJ539" s="1"/>
      <c r="AP539" s="1"/>
      <c r="AQ539" s="60"/>
      <c r="AR539" s="54"/>
      <c r="AS539" s="39"/>
      <c r="AT539" s="35"/>
      <c r="AV539" s="1"/>
      <c r="BB539" s="1"/>
      <c r="BH539" s="1"/>
      <c r="BN539" s="1"/>
      <c r="BQ539" s="70"/>
      <c r="BT539" s="1"/>
    </row>
    <row r="540">
      <c r="A540" s="70"/>
      <c r="F540" s="1"/>
      <c r="L540" s="1"/>
      <c r="R540" s="1"/>
      <c r="X540" s="1"/>
      <c r="AD540" s="1"/>
      <c r="AJ540" s="1"/>
      <c r="AP540" s="1"/>
      <c r="AQ540" s="60"/>
      <c r="AR540" s="54"/>
      <c r="AS540" s="39"/>
      <c r="AT540" s="35"/>
      <c r="AV540" s="1"/>
      <c r="BB540" s="1"/>
      <c r="BH540" s="1"/>
      <c r="BN540" s="1"/>
      <c r="BQ540" s="70"/>
      <c r="BT540" s="1"/>
    </row>
    <row r="541">
      <c r="A541" s="70"/>
      <c r="F541" s="1"/>
      <c r="L541" s="1"/>
      <c r="R541" s="1"/>
      <c r="X541" s="1"/>
      <c r="AD541" s="1"/>
      <c r="AJ541" s="1"/>
      <c r="AP541" s="1"/>
      <c r="AQ541" s="60"/>
      <c r="AR541" s="54"/>
      <c r="AS541" s="39"/>
      <c r="AT541" s="35"/>
      <c r="AV541" s="1"/>
      <c r="BB541" s="1"/>
      <c r="BH541" s="1"/>
      <c r="BN541" s="1"/>
      <c r="BQ541" s="70"/>
      <c r="BT541" s="1"/>
    </row>
    <row r="542">
      <c r="A542" s="70"/>
      <c r="F542" s="1"/>
      <c r="L542" s="1"/>
      <c r="R542" s="1"/>
      <c r="X542" s="1"/>
      <c r="AD542" s="1"/>
      <c r="AJ542" s="1"/>
      <c r="AP542" s="1"/>
      <c r="AQ542" s="60"/>
      <c r="AR542" s="54"/>
      <c r="AS542" s="39"/>
      <c r="AT542" s="35"/>
      <c r="AV542" s="1"/>
      <c r="BB542" s="1"/>
      <c r="BH542" s="1"/>
      <c r="BN542" s="1"/>
      <c r="BQ542" s="70"/>
      <c r="BT542" s="1"/>
    </row>
    <row r="543">
      <c r="A543" s="70"/>
      <c r="F543" s="1"/>
      <c r="L543" s="1"/>
      <c r="R543" s="1"/>
      <c r="X543" s="1"/>
      <c r="AD543" s="1"/>
      <c r="AJ543" s="1"/>
      <c r="AP543" s="1"/>
      <c r="AQ543" s="60"/>
      <c r="AR543" s="54"/>
      <c r="AS543" s="39"/>
      <c r="AT543" s="35"/>
      <c r="AV543" s="1"/>
      <c r="BB543" s="1"/>
      <c r="BH543" s="1"/>
      <c r="BN543" s="1"/>
      <c r="BQ543" s="70"/>
      <c r="BT543" s="1"/>
    </row>
    <row r="544">
      <c r="A544" s="70"/>
      <c r="F544" s="1"/>
      <c r="L544" s="1"/>
      <c r="R544" s="1"/>
      <c r="X544" s="1"/>
      <c r="AD544" s="1"/>
      <c r="AJ544" s="1"/>
      <c r="AP544" s="1"/>
      <c r="AQ544" s="60"/>
      <c r="AR544" s="54"/>
      <c r="AS544" s="39"/>
      <c r="AT544" s="35"/>
      <c r="AV544" s="1"/>
      <c r="BB544" s="1"/>
      <c r="BH544" s="1"/>
      <c r="BN544" s="1"/>
      <c r="BQ544" s="70"/>
      <c r="BT544" s="1"/>
    </row>
    <row r="545">
      <c r="A545" s="70"/>
      <c r="F545" s="1"/>
      <c r="L545" s="1"/>
      <c r="R545" s="1"/>
      <c r="X545" s="1"/>
      <c r="AD545" s="1"/>
      <c r="AJ545" s="1"/>
      <c r="AP545" s="1"/>
      <c r="AQ545" s="60"/>
      <c r="AR545" s="54"/>
      <c r="AS545" s="39"/>
      <c r="AT545" s="35"/>
      <c r="AV545" s="1"/>
      <c r="BB545" s="1"/>
      <c r="BH545" s="1"/>
      <c r="BN545" s="1"/>
      <c r="BQ545" s="70"/>
      <c r="BT545" s="1"/>
    </row>
    <row r="546">
      <c r="A546" s="70"/>
      <c r="F546" s="1"/>
      <c r="L546" s="1"/>
      <c r="R546" s="1"/>
      <c r="X546" s="1"/>
      <c r="AD546" s="1"/>
      <c r="AJ546" s="1"/>
      <c r="AP546" s="1"/>
      <c r="AQ546" s="60"/>
      <c r="AR546" s="54"/>
      <c r="AS546" s="39"/>
      <c r="AT546" s="35"/>
      <c r="AV546" s="1"/>
      <c r="BB546" s="1"/>
      <c r="BH546" s="1"/>
      <c r="BN546" s="1"/>
      <c r="BQ546" s="70"/>
      <c r="BT546" s="1"/>
    </row>
    <row r="547">
      <c r="A547" s="70"/>
      <c r="F547" s="1"/>
      <c r="L547" s="1"/>
      <c r="R547" s="1"/>
      <c r="X547" s="1"/>
      <c r="AD547" s="1"/>
      <c r="AJ547" s="1"/>
      <c r="AP547" s="1"/>
      <c r="AQ547" s="60"/>
      <c r="AR547" s="54"/>
      <c r="AS547" s="39"/>
      <c r="AT547" s="35"/>
      <c r="AV547" s="1"/>
      <c r="BB547" s="1"/>
      <c r="BH547" s="1"/>
      <c r="BN547" s="1"/>
      <c r="BQ547" s="70"/>
      <c r="BT547" s="1"/>
    </row>
    <row r="548">
      <c r="A548" s="70"/>
      <c r="F548" s="1"/>
      <c r="L548" s="1"/>
      <c r="R548" s="1"/>
      <c r="X548" s="1"/>
      <c r="AD548" s="1"/>
      <c r="AJ548" s="1"/>
      <c r="AP548" s="1"/>
      <c r="AQ548" s="60"/>
      <c r="AR548" s="54"/>
      <c r="AS548" s="39"/>
      <c r="AT548" s="35"/>
      <c r="AV548" s="1"/>
      <c r="BB548" s="1"/>
      <c r="BH548" s="1"/>
      <c r="BN548" s="1"/>
      <c r="BQ548" s="70"/>
      <c r="BT548" s="1"/>
    </row>
    <row r="549">
      <c r="A549" s="70"/>
      <c r="F549" s="1"/>
      <c r="L549" s="1"/>
      <c r="R549" s="1"/>
      <c r="X549" s="1"/>
      <c r="AD549" s="1"/>
      <c r="AJ549" s="1"/>
      <c r="AP549" s="1"/>
      <c r="AQ549" s="60"/>
      <c r="AR549" s="54"/>
      <c r="AS549" s="39"/>
      <c r="AT549" s="35"/>
      <c r="AV549" s="1"/>
      <c r="BB549" s="1"/>
      <c r="BH549" s="1"/>
      <c r="BN549" s="1"/>
      <c r="BQ549" s="70"/>
      <c r="BT549" s="1"/>
    </row>
    <row r="550">
      <c r="A550" s="70"/>
      <c r="F550" s="1"/>
      <c r="L550" s="1"/>
      <c r="R550" s="1"/>
      <c r="X550" s="1"/>
      <c r="AD550" s="1"/>
      <c r="AJ550" s="1"/>
      <c r="AP550" s="1"/>
      <c r="AQ550" s="60"/>
      <c r="AR550" s="54"/>
      <c r="AS550" s="39"/>
      <c r="AT550" s="35"/>
      <c r="AV550" s="1"/>
      <c r="BB550" s="1"/>
      <c r="BH550" s="1"/>
      <c r="BN550" s="1"/>
      <c r="BQ550" s="70"/>
      <c r="BT550" s="1"/>
    </row>
    <row r="551">
      <c r="A551" s="70"/>
      <c r="F551" s="1"/>
      <c r="L551" s="1"/>
      <c r="R551" s="1"/>
      <c r="X551" s="1"/>
      <c r="AD551" s="1"/>
      <c r="AJ551" s="1"/>
      <c r="AP551" s="1"/>
      <c r="AQ551" s="60"/>
      <c r="AR551" s="54"/>
      <c r="AS551" s="39"/>
      <c r="AT551" s="35"/>
      <c r="AV551" s="1"/>
      <c r="BB551" s="1"/>
      <c r="BH551" s="1"/>
      <c r="BN551" s="1"/>
      <c r="BQ551" s="70"/>
      <c r="BT551" s="1"/>
    </row>
    <row r="552">
      <c r="A552" s="70"/>
      <c r="F552" s="1"/>
      <c r="L552" s="1"/>
      <c r="R552" s="1"/>
      <c r="X552" s="1"/>
      <c r="AD552" s="1"/>
      <c r="AJ552" s="1"/>
      <c r="AP552" s="1"/>
      <c r="AQ552" s="60"/>
      <c r="AR552" s="54"/>
      <c r="AS552" s="39"/>
      <c r="AT552" s="35"/>
      <c r="AV552" s="1"/>
      <c r="BB552" s="1"/>
      <c r="BH552" s="1"/>
      <c r="BN552" s="1"/>
      <c r="BQ552" s="70"/>
      <c r="BT552" s="1"/>
    </row>
    <row r="553">
      <c r="A553" s="70"/>
      <c r="F553" s="1"/>
      <c r="L553" s="1"/>
      <c r="R553" s="1"/>
      <c r="X553" s="1"/>
      <c r="AD553" s="1"/>
      <c r="AJ553" s="1"/>
      <c r="AP553" s="1"/>
      <c r="AQ553" s="60"/>
      <c r="AR553" s="54"/>
      <c r="AS553" s="39"/>
      <c r="AT553" s="35"/>
      <c r="AV553" s="1"/>
      <c r="BB553" s="1"/>
      <c r="BH553" s="1"/>
      <c r="BN553" s="1"/>
      <c r="BQ553" s="70"/>
      <c r="BT553" s="1"/>
    </row>
    <row r="554">
      <c r="A554" s="70"/>
      <c r="F554" s="1"/>
      <c r="L554" s="1"/>
      <c r="R554" s="1"/>
      <c r="X554" s="1"/>
      <c r="AD554" s="1"/>
      <c r="AJ554" s="1"/>
      <c r="AP554" s="1"/>
      <c r="AQ554" s="60"/>
      <c r="AR554" s="54"/>
      <c r="AS554" s="39"/>
      <c r="AT554" s="35"/>
      <c r="AV554" s="1"/>
      <c r="BB554" s="1"/>
      <c r="BH554" s="1"/>
      <c r="BN554" s="1"/>
      <c r="BQ554" s="70"/>
      <c r="BT554" s="1"/>
    </row>
    <row r="555">
      <c r="A555" s="70"/>
      <c r="F555" s="1"/>
      <c r="L555" s="1"/>
      <c r="R555" s="1"/>
      <c r="X555" s="1"/>
      <c r="AD555" s="1"/>
      <c r="AJ555" s="1"/>
      <c r="AP555" s="1"/>
      <c r="AQ555" s="60"/>
      <c r="AR555" s="54"/>
      <c r="AS555" s="39"/>
      <c r="AT555" s="35"/>
      <c r="AV555" s="1"/>
      <c r="BB555" s="1"/>
      <c r="BH555" s="1"/>
      <c r="BN555" s="1"/>
      <c r="BQ555" s="70"/>
      <c r="BT555" s="1"/>
    </row>
    <row r="556">
      <c r="A556" s="70"/>
      <c r="F556" s="1"/>
      <c r="L556" s="1"/>
      <c r="R556" s="1"/>
      <c r="X556" s="1"/>
      <c r="AD556" s="1"/>
      <c r="AJ556" s="1"/>
      <c r="AP556" s="1"/>
      <c r="AQ556" s="60"/>
      <c r="AR556" s="54"/>
      <c r="AS556" s="39"/>
      <c r="AT556" s="35"/>
      <c r="AV556" s="1"/>
      <c r="BB556" s="1"/>
      <c r="BH556" s="1"/>
      <c r="BN556" s="1"/>
      <c r="BQ556" s="70"/>
      <c r="BT556" s="1"/>
    </row>
    <row r="557">
      <c r="A557" s="70"/>
      <c r="F557" s="1"/>
      <c r="L557" s="1"/>
      <c r="R557" s="1"/>
      <c r="X557" s="1"/>
      <c r="AD557" s="1"/>
      <c r="AJ557" s="1"/>
      <c r="AP557" s="1"/>
      <c r="AQ557" s="60"/>
      <c r="AR557" s="54"/>
      <c r="AS557" s="39"/>
      <c r="AT557" s="35"/>
      <c r="AV557" s="1"/>
      <c r="BB557" s="1"/>
      <c r="BH557" s="1"/>
      <c r="BN557" s="1"/>
      <c r="BQ557" s="70"/>
      <c r="BT557" s="1"/>
    </row>
    <row r="558">
      <c r="A558" s="70"/>
      <c r="F558" s="1"/>
      <c r="L558" s="1"/>
      <c r="R558" s="1"/>
      <c r="X558" s="1"/>
      <c r="AD558" s="1"/>
      <c r="AJ558" s="1"/>
      <c r="AP558" s="1"/>
      <c r="AQ558" s="60"/>
      <c r="AR558" s="54"/>
      <c r="AS558" s="39"/>
      <c r="AT558" s="35"/>
      <c r="AV558" s="1"/>
      <c r="BB558" s="1"/>
      <c r="BH558" s="1"/>
      <c r="BN558" s="1"/>
      <c r="BQ558" s="70"/>
      <c r="BT558" s="1"/>
    </row>
    <row r="559">
      <c r="A559" s="70"/>
      <c r="F559" s="1"/>
      <c r="L559" s="1"/>
      <c r="R559" s="1"/>
      <c r="X559" s="1"/>
      <c r="AD559" s="1"/>
      <c r="AJ559" s="1"/>
      <c r="AP559" s="1"/>
      <c r="AQ559" s="60"/>
      <c r="AR559" s="54"/>
      <c r="AS559" s="39"/>
      <c r="AT559" s="35"/>
      <c r="AV559" s="1"/>
      <c r="BB559" s="1"/>
      <c r="BH559" s="1"/>
      <c r="BN559" s="1"/>
      <c r="BQ559" s="70"/>
      <c r="BT559" s="1"/>
    </row>
    <row r="560">
      <c r="A560" s="70"/>
      <c r="F560" s="1"/>
      <c r="L560" s="1"/>
      <c r="R560" s="1"/>
      <c r="X560" s="1"/>
      <c r="AD560" s="1"/>
      <c r="AJ560" s="1"/>
      <c r="AP560" s="1"/>
      <c r="AQ560" s="60"/>
      <c r="AR560" s="54"/>
      <c r="AS560" s="39"/>
      <c r="AT560" s="35"/>
      <c r="AV560" s="1"/>
      <c r="BB560" s="1"/>
      <c r="BH560" s="1"/>
      <c r="BN560" s="1"/>
      <c r="BQ560" s="70"/>
      <c r="BT560" s="1"/>
    </row>
    <row r="561">
      <c r="A561" s="70"/>
      <c r="F561" s="1"/>
      <c r="L561" s="1"/>
      <c r="R561" s="1"/>
      <c r="X561" s="1"/>
      <c r="AD561" s="1"/>
      <c r="AJ561" s="1"/>
      <c r="AP561" s="1"/>
      <c r="AQ561" s="60"/>
      <c r="AR561" s="54"/>
      <c r="AS561" s="39"/>
      <c r="AT561" s="35"/>
      <c r="AV561" s="1"/>
      <c r="BB561" s="1"/>
      <c r="BH561" s="1"/>
      <c r="BN561" s="1"/>
      <c r="BQ561" s="70"/>
      <c r="BT561" s="1"/>
    </row>
    <row r="562">
      <c r="A562" s="70"/>
      <c r="F562" s="1"/>
      <c r="L562" s="1"/>
      <c r="R562" s="1"/>
      <c r="X562" s="1"/>
      <c r="AD562" s="1"/>
      <c r="AJ562" s="1"/>
      <c r="AP562" s="1"/>
      <c r="AQ562" s="60"/>
      <c r="AR562" s="54"/>
      <c r="AS562" s="39"/>
      <c r="AT562" s="35"/>
      <c r="AV562" s="1"/>
      <c r="BB562" s="1"/>
      <c r="BH562" s="1"/>
      <c r="BN562" s="1"/>
      <c r="BQ562" s="70"/>
      <c r="BT562" s="1"/>
    </row>
    <row r="563">
      <c r="A563" s="70"/>
      <c r="F563" s="1"/>
      <c r="L563" s="1"/>
      <c r="R563" s="1"/>
      <c r="X563" s="1"/>
      <c r="AD563" s="1"/>
      <c r="AJ563" s="1"/>
      <c r="AP563" s="1"/>
      <c r="AQ563" s="60"/>
      <c r="AR563" s="54"/>
      <c r="AS563" s="39"/>
      <c r="AT563" s="35"/>
      <c r="AV563" s="1"/>
      <c r="BB563" s="1"/>
      <c r="BH563" s="1"/>
      <c r="BN563" s="1"/>
      <c r="BQ563" s="70"/>
      <c r="BT563" s="1"/>
    </row>
    <row r="564">
      <c r="A564" s="70"/>
      <c r="F564" s="1"/>
      <c r="L564" s="1"/>
      <c r="R564" s="1"/>
      <c r="X564" s="1"/>
      <c r="AD564" s="1"/>
      <c r="AJ564" s="1"/>
      <c r="AP564" s="1"/>
      <c r="AQ564" s="60"/>
      <c r="AR564" s="54"/>
      <c r="AS564" s="39"/>
      <c r="AT564" s="35"/>
      <c r="AV564" s="1"/>
      <c r="BB564" s="1"/>
      <c r="BH564" s="1"/>
      <c r="BN564" s="1"/>
      <c r="BQ564" s="70"/>
      <c r="BT564" s="1"/>
    </row>
    <row r="565">
      <c r="A565" s="70"/>
      <c r="F565" s="1"/>
      <c r="L565" s="1"/>
      <c r="R565" s="1"/>
      <c r="X565" s="1"/>
      <c r="AD565" s="1"/>
      <c r="AJ565" s="1"/>
      <c r="AP565" s="1"/>
      <c r="AQ565" s="60"/>
      <c r="AR565" s="54"/>
      <c r="AS565" s="39"/>
      <c r="AT565" s="35"/>
      <c r="AV565" s="1"/>
      <c r="BB565" s="1"/>
      <c r="BH565" s="1"/>
      <c r="BN565" s="1"/>
      <c r="BQ565" s="70"/>
      <c r="BT565" s="1"/>
    </row>
    <row r="566">
      <c r="A566" s="70"/>
      <c r="F566" s="1"/>
      <c r="L566" s="1"/>
      <c r="R566" s="1"/>
      <c r="X566" s="1"/>
      <c r="AD566" s="1"/>
      <c r="AJ566" s="1"/>
      <c r="AP566" s="1"/>
      <c r="AQ566" s="60"/>
      <c r="AR566" s="54"/>
      <c r="AS566" s="39"/>
      <c r="AT566" s="35"/>
      <c r="AV566" s="1"/>
      <c r="BB566" s="1"/>
      <c r="BH566" s="1"/>
      <c r="BN566" s="1"/>
      <c r="BQ566" s="70"/>
      <c r="BT566" s="1"/>
    </row>
    <row r="567">
      <c r="A567" s="70"/>
      <c r="F567" s="1"/>
      <c r="L567" s="1"/>
      <c r="R567" s="1"/>
      <c r="X567" s="1"/>
      <c r="AD567" s="1"/>
      <c r="AJ567" s="1"/>
      <c r="AP567" s="1"/>
      <c r="AQ567" s="60"/>
      <c r="AR567" s="54"/>
      <c r="AS567" s="39"/>
      <c r="AT567" s="35"/>
      <c r="AV567" s="1"/>
      <c r="BB567" s="1"/>
      <c r="BH567" s="1"/>
      <c r="BN567" s="1"/>
      <c r="BQ567" s="70"/>
      <c r="BT567" s="1"/>
    </row>
    <row r="568">
      <c r="A568" s="70"/>
      <c r="F568" s="1"/>
      <c r="L568" s="1"/>
      <c r="R568" s="1"/>
      <c r="X568" s="1"/>
      <c r="AD568" s="1"/>
      <c r="AJ568" s="1"/>
      <c r="AP568" s="1"/>
      <c r="AQ568" s="60"/>
      <c r="AR568" s="54"/>
      <c r="AS568" s="39"/>
      <c r="AT568" s="35"/>
      <c r="AV568" s="1"/>
      <c r="BB568" s="1"/>
      <c r="BH568" s="1"/>
      <c r="BN568" s="1"/>
      <c r="BQ568" s="70"/>
      <c r="BT568" s="1"/>
    </row>
    <row r="569">
      <c r="A569" s="70"/>
      <c r="F569" s="1"/>
      <c r="L569" s="1"/>
      <c r="R569" s="1"/>
      <c r="X569" s="1"/>
      <c r="AD569" s="1"/>
      <c r="AJ569" s="1"/>
      <c r="AP569" s="1"/>
      <c r="AQ569" s="60"/>
      <c r="AR569" s="54"/>
      <c r="AS569" s="39"/>
      <c r="AT569" s="35"/>
      <c r="AV569" s="1"/>
      <c r="BB569" s="1"/>
      <c r="BH569" s="1"/>
      <c r="BN569" s="1"/>
      <c r="BQ569" s="70"/>
      <c r="BT569" s="1"/>
    </row>
    <row r="570">
      <c r="A570" s="70"/>
      <c r="F570" s="1"/>
      <c r="L570" s="1"/>
      <c r="R570" s="1"/>
      <c r="X570" s="1"/>
      <c r="AD570" s="1"/>
      <c r="AJ570" s="1"/>
      <c r="AP570" s="1"/>
      <c r="AQ570" s="60"/>
      <c r="AR570" s="54"/>
      <c r="AS570" s="39"/>
      <c r="AT570" s="35"/>
      <c r="AV570" s="1"/>
      <c r="BB570" s="1"/>
      <c r="BH570" s="1"/>
      <c r="BN570" s="1"/>
      <c r="BQ570" s="70"/>
      <c r="BT570" s="1"/>
    </row>
    <row r="571">
      <c r="A571" s="70"/>
      <c r="F571" s="1"/>
      <c r="L571" s="1"/>
      <c r="R571" s="1"/>
      <c r="X571" s="1"/>
      <c r="AD571" s="1"/>
      <c r="AJ571" s="1"/>
      <c r="AP571" s="1"/>
      <c r="AQ571" s="60"/>
      <c r="AR571" s="54"/>
      <c r="AS571" s="39"/>
      <c r="AT571" s="35"/>
      <c r="AV571" s="1"/>
      <c r="BB571" s="1"/>
      <c r="BH571" s="1"/>
      <c r="BN571" s="1"/>
      <c r="BQ571" s="70"/>
      <c r="BT571" s="1"/>
    </row>
    <row r="572">
      <c r="A572" s="70"/>
      <c r="F572" s="1"/>
      <c r="L572" s="1"/>
      <c r="R572" s="1"/>
      <c r="X572" s="1"/>
      <c r="AD572" s="1"/>
      <c r="AJ572" s="1"/>
      <c r="AP572" s="1"/>
      <c r="AQ572" s="60"/>
      <c r="AR572" s="54"/>
      <c r="AS572" s="39"/>
      <c r="AT572" s="35"/>
      <c r="AV572" s="1"/>
      <c r="BB572" s="1"/>
      <c r="BH572" s="1"/>
      <c r="BN572" s="1"/>
      <c r="BQ572" s="70"/>
      <c r="BT572" s="1"/>
    </row>
    <row r="573">
      <c r="A573" s="70"/>
      <c r="F573" s="1"/>
      <c r="L573" s="1"/>
      <c r="R573" s="1"/>
      <c r="X573" s="1"/>
      <c r="AD573" s="1"/>
      <c r="AJ573" s="1"/>
      <c r="AP573" s="1"/>
      <c r="AQ573" s="60"/>
      <c r="AR573" s="54"/>
      <c r="AS573" s="39"/>
      <c r="AT573" s="35"/>
      <c r="AV573" s="1"/>
      <c r="BB573" s="1"/>
      <c r="BH573" s="1"/>
      <c r="BN573" s="1"/>
      <c r="BQ573" s="70"/>
      <c r="BT573" s="1"/>
    </row>
    <row r="574">
      <c r="A574" s="70"/>
      <c r="F574" s="1"/>
      <c r="L574" s="1"/>
      <c r="R574" s="1"/>
      <c r="X574" s="1"/>
      <c r="AD574" s="1"/>
      <c r="AJ574" s="1"/>
      <c r="AP574" s="1"/>
      <c r="AQ574" s="60"/>
      <c r="AR574" s="54"/>
      <c r="AS574" s="39"/>
      <c r="AT574" s="35"/>
      <c r="AV574" s="1"/>
      <c r="BB574" s="1"/>
      <c r="BH574" s="1"/>
      <c r="BN574" s="1"/>
      <c r="BQ574" s="70"/>
      <c r="BT574" s="1"/>
    </row>
    <row r="575">
      <c r="A575" s="70"/>
      <c r="F575" s="1"/>
      <c r="L575" s="1"/>
      <c r="R575" s="1"/>
      <c r="X575" s="1"/>
      <c r="AD575" s="1"/>
      <c r="AJ575" s="1"/>
      <c r="AP575" s="1"/>
      <c r="AQ575" s="60"/>
      <c r="AR575" s="54"/>
      <c r="AS575" s="39"/>
      <c r="AT575" s="35"/>
      <c r="AV575" s="1"/>
      <c r="BB575" s="1"/>
      <c r="BH575" s="1"/>
      <c r="BN575" s="1"/>
      <c r="BQ575" s="70"/>
      <c r="BT575" s="1"/>
    </row>
    <row r="576">
      <c r="A576" s="70"/>
      <c r="F576" s="1"/>
      <c r="L576" s="1"/>
      <c r="R576" s="1"/>
      <c r="X576" s="1"/>
      <c r="AD576" s="1"/>
      <c r="AJ576" s="1"/>
      <c r="AP576" s="1"/>
      <c r="AQ576" s="60"/>
      <c r="AR576" s="54"/>
      <c r="AS576" s="39"/>
      <c r="AT576" s="35"/>
      <c r="AV576" s="1"/>
      <c r="BB576" s="1"/>
      <c r="BH576" s="1"/>
      <c r="BN576" s="1"/>
      <c r="BQ576" s="70"/>
      <c r="BT576" s="1"/>
    </row>
    <row r="577">
      <c r="A577" s="70"/>
      <c r="F577" s="1"/>
      <c r="L577" s="1"/>
      <c r="R577" s="1"/>
      <c r="X577" s="1"/>
      <c r="AD577" s="1"/>
      <c r="AJ577" s="1"/>
      <c r="AP577" s="1"/>
      <c r="AQ577" s="60"/>
      <c r="AR577" s="54"/>
      <c r="AS577" s="39"/>
      <c r="AT577" s="35"/>
      <c r="AV577" s="1"/>
      <c r="BB577" s="1"/>
      <c r="BH577" s="1"/>
      <c r="BN577" s="1"/>
      <c r="BQ577" s="70"/>
      <c r="BT577" s="1"/>
    </row>
    <row r="578">
      <c r="A578" s="70"/>
      <c r="F578" s="1"/>
      <c r="L578" s="1"/>
      <c r="R578" s="1"/>
      <c r="X578" s="1"/>
      <c r="AD578" s="1"/>
      <c r="AJ578" s="1"/>
      <c r="AP578" s="1"/>
      <c r="AQ578" s="60"/>
      <c r="AR578" s="54"/>
      <c r="AS578" s="39"/>
      <c r="AT578" s="35"/>
      <c r="AV578" s="1"/>
      <c r="BB578" s="1"/>
      <c r="BH578" s="1"/>
      <c r="BN578" s="1"/>
      <c r="BQ578" s="70"/>
      <c r="BT578" s="1"/>
    </row>
    <row r="579">
      <c r="A579" s="70"/>
      <c r="F579" s="1"/>
      <c r="L579" s="1"/>
      <c r="R579" s="1"/>
      <c r="X579" s="1"/>
      <c r="AD579" s="1"/>
      <c r="AJ579" s="1"/>
      <c r="AP579" s="1"/>
      <c r="AQ579" s="60"/>
      <c r="AR579" s="54"/>
      <c r="AS579" s="39"/>
      <c r="AT579" s="35"/>
      <c r="AV579" s="1"/>
      <c r="BB579" s="1"/>
      <c r="BH579" s="1"/>
      <c r="BN579" s="1"/>
      <c r="BQ579" s="70"/>
      <c r="BT579" s="1"/>
    </row>
    <row r="580">
      <c r="A580" s="70"/>
      <c r="F580" s="1"/>
      <c r="L580" s="1"/>
      <c r="R580" s="1"/>
      <c r="X580" s="1"/>
      <c r="AD580" s="1"/>
      <c r="AJ580" s="1"/>
      <c r="AP580" s="1"/>
      <c r="AQ580" s="60"/>
      <c r="AR580" s="54"/>
      <c r="AS580" s="39"/>
      <c r="AT580" s="35"/>
      <c r="AV580" s="1"/>
      <c r="BB580" s="1"/>
      <c r="BH580" s="1"/>
      <c r="BN580" s="1"/>
      <c r="BQ580" s="70"/>
      <c r="BT580" s="1"/>
    </row>
    <row r="581">
      <c r="A581" s="70"/>
      <c r="F581" s="1"/>
      <c r="L581" s="1"/>
      <c r="R581" s="1"/>
      <c r="X581" s="1"/>
      <c r="AD581" s="1"/>
      <c r="AJ581" s="1"/>
      <c r="AP581" s="1"/>
      <c r="AQ581" s="60"/>
      <c r="AR581" s="54"/>
      <c r="AS581" s="39"/>
      <c r="AT581" s="35"/>
      <c r="AV581" s="1"/>
      <c r="BB581" s="1"/>
      <c r="BH581" s="1"/>
      <c r="BN581" s="1"/>
      <c r="BQ581" s="70"/>
      <c r="BT581" s="1"/>
    </row>
    <row r="582">
      <c r="A582" s="70"/>
      <c r="F582" s="1"/>
      <c r="L582" s="1"/>
      <c r="R582" s="1"/>
      <c r="X582" s="1"/>
      <c r="AD582" s="1"/>
      <c r="AJ582" s="1"/>
      <c r="AP582" s="1"/>
      <c r="AQ582" s="60"/>
      <c r="AR582" s="54"/>
      <c r="AS582" s="39"/>
      <c r="AT582" s="35"/>
      <c r="AV582" s="1"/>
      <c r="BB582" s="1"/>
      <c r="BH582" s="1"/>
      <c r="BN582" s="1"/>
      <c r="BQ582" s="70"/>
      <c r="BT582" s="1"/>
    </row>
    <row r="583">
      <c r="A583" s="70"/>
      <c r="F583" s="1"/>
      <c r="L583" s="1"/>
      <c r="R583" s="1"/>
      <c r="X583" s="1"/>
      <c r="AD583" s="1"/>
      <c r="AJ583" s="1"/>
      <c r="AP583" s="1"/>
      <c r="AQ583" s="60"/>
      <c r="AR583" s="54"/>
      <c r="AS583" s="39"/>
      <c r="AT583" s="35"/>
      <c r="AV583" s="1"/>
      <c r="BB583" s="1"/>
      <c r="BH583" s="1"/>
      <c r="BN583" s="1"/>
      <c r="BQ583" s="70"/>
      <c r="BT583" s="1"/>
    </row>
    <row r="584">
      <c r="A584" s="70"/>
      <c r="F584" s="1"/>
      <c r="L584" s="1"/>
      <c r="R584" s="1"/>
      <c r="X584" s="1"/>
      <c r="AD584" s="1"/>
      <c r="AJ584" s="1"/>
      <c r="AP584" s="1"/>
      <c r="AQ584" s="60"/>
      <c r="AR584" s="54"/>
      <c r="AS584" s="39"/>
      <c r="AT584" s="35"/>
      <c r="AV584" s="1"/>
      <c r="BB584" s="1"/>
      <c r="BH584" s="1"/>
      <c r="BN584" s="1"/>
      <c r="BQ584" s="70"/>
      <c r="BT584" s="1"/>
    </row>
    <row r="585">
      <c r="A585" s="70"/>
      <c r="F585" s="1"/>
      <c r="L585" s="1"/>
      <c r="R585" s="1"/>
      <c r="X585" s="1"/>
      <c r="AD585" s="1"/>
      <c r="AJ585" s="1"/>
      <c r="AP585" s="1"/>
      <c r="AQ585" s="60"/>
      <c r="AR585" s="54"/>
      <c r="AS585" s="39"/>
      <c r="AT585" s="35"/>
      <c r="AV585" s="1"/>
      <c r="BB585" s="1"/>
      <c r="BH585" s="1"/>
      <c r="BN585" s="1"/>
      <c r="BQ585" s="70"/>
      <c r="BT585" s="1"/>
    </row>
    <row r="586">
      <c r="A586" s="70"/>
      <c r="F586" s="1"/>
      <c r="L586" s="1"/>
      <c r="R586" s="1"/>
      <c r="X586" s="1"/>
      <c r="AD586" s="1"/>
      <c r="AJ586" s="1"/>
      <c r="AP586" s="1"/>
      <c r="AQ586" s="60"/>
      <c r="AR586" s="54"/>
      <c r="AS586" s="39"/>
      <c r="AT586" s="35"/>
      <c r="AV586" s="1"/>
      <c r="BB586" s="1"/>
      <c r="BH586" s="1"/>
      <c r="BN586" s="1"/>
      <c r="BQ586" s="70"/>
      <c r="BT586" s="1"/>
    </row>
    <row r="587">
      <c r="A587" s="70"/>
      <c r="F587" s="1"/>
      <c r="L587" s="1"/>
      <c r="R587" s="1"/>
      <c r="X587" s="1"/>
      <c r="AD587" s="1"/>
      <c r="AJ587" s="1"/>
      <c r="AP587" s="1"/>
      <c r="AQ587" s="60"/>
      <c r="AR587" s="54"/>
      <c r="AS587" s="39"/>
      <c r="AT587" s="35"/>
      <c r="AV587" s="1"/>
      <c r="BB587" s="1"/>
      <c r="BH587" s="1"/>
      <c r="BN587" s="1"/>
      <c r="BQ587" s="70"/>
      <c r="BT587" s="1"/>
    </row>
    <row r="588">
      <c r="A588" s="70"/>
      <c r="F588" s="1"/>
      <c r="L588" s="1"/>
      <c r="R588" s="1"/>
      <c r="X588" s="1"/>
      <c r="AD588" s="1"/>
      <c r="AJ588" s="1"/>
      <c r="AP588" s="1"/>
      <c r="AQ588" s="60"/>
      <c r="AR588" s="54"/>
      <c r="AS588" s="39"/>
      <c r="AT588" s="35"/>
      <c r="AV588" s="1"/>
      <c r="BB588" s="1"/>
      <c r="BH588" s="1"/>
      <c r="BN588" s="1"/>
      <c r="BQ588" s="70"/>
      <c r="BT588" s="1"/>
    </row>
    <row r="589">
      <c r="A589" s="70"/>
      <c r="F589" s="1"/>
      <c r="L589" s="1"/>
      <c r="R589" s="1"/>
      <c r="X589" s="1"/>
      <c r="AD589" s="1"/>
      <c r="AJ589" s="1"/>
      <c r="AP589" s="1"/>
      <c r="AQ589" s="60"/>
      <c r="AR589" s="54"/>
      <c r="AS589" s="39"/>
      <c r="AT589" s="35"/>
      <c r="AV589" s="1"/>
      <c r="BB589" s="1"/>
      <c r="BH589" s="1"/>
      <c r="BN589" s="1"/>
      <c r="BQ589" s="70"/>
      <c r="BT589" s="1"/>
    </row>
    <row r="590">
      <c r="A590" s="70"/>
      <c r="F590" s="1"/>
      <c r="L590" s="1"/>
      <c r="R590" s="1"/>
      <c r="X590" s="1"/>
      <c r="AD590" s="1"/>
      <c r="AJ590" s="1"/>
      <c r="AP590" s="1"/>
      <c r="AQ590" s="60"/>
      <c r="AR590" s="54"/>
      <c r="AS590" s="39"/>
      <c r="AT590" s="35"/>
      <c r="AV590" s="1"/>
      <c r="BB590" s="1"/>
      <c r="BH590" s="1"/>
      <c r="BN590" s="1"/>
      <c r="BQ590" s="70"/>
      <c r="BT590" s="1"/>
    </row>
    <row r="591">
      <c r="A591" s="70"/>
      <c r="F591" s="1"/>
      <c r="L591" s="1"/>
      <c r="R591" s="1"/>
      <c r="X591" s="1"/>
      <c r="AD591" s="1"/>
      <c r="AJ591" s="1"/>
      <c r="AP591" s="1"/>
      <c r="AQ591" s="60"/>
      <c r="AR591" s="54"/>
      <c r="AS591" s="39"/>
      <c r="AT591" s="35"/>
      <c r="AV591" s="1"/>
      <c r="BB591" s="1"/>
      <c r="BH591" s="1"/>
      <c r="BN591" s="1"/>
      <c r="BQ591" s="70"/>
      <c r="BT591" s="1"/>
    </row>
    <row r="592">
      <c r="A592" s="70"/>
      <c r="F592" s="1"/>
      <c r="L592" s="1"/>
      <c r="R592" s="1"/>
      <c r="X592" s="1"/>
      <c r="AD592" s="1"/>
      <c r="AJ592" s="1"/>
      <c r="AP592" s="1"/>
      <c r="AQ592" s="60"/>
      <c r="AR592" s="54"/>
      <c r="AS592" s="39"/>
      <c r="AT592" s="35"/>
      <c r="AV592" s="1"/>
      <c r="BB592" s="1"/>
      <c r="BH592" s="1"/>
      <c r="BN592" s="1"/>
      <c r="BQ592" s="70"/>
      <c r="BT592" s="1"/>
    </row>
    <row r="593">
      <c r="A593" s="70"/>
      <c r="F593" s="1"/>
      <c r="L593" s="1"/>
      <c r="R593" s="1"/>
      <c r="X593" s="1"/>
      <c r="AD593" s="1"/>
      <c r="AJ593" s="1"/>
      <c r="AP593" s="1"/>
      <c r="AQ593" s="60"/>
      <c r="AR593" s="54"/>
      <c r="AS593" s="39"/>
      <c r="AT593" s="35"/>
      <c r="AV593" s="1"/>
      <c r="BB593" s="1"/>
      <c r="BH593" s="1"/>
      <c r="BN593" s="1"/>
      <c r="BP593" s="64"/>
      <c r="BQ593" s="70"/>
      <c r="BT593" s="1"/>
    </row>
    <row r="594">
      <c r="A594" s="70"/>
      <c r="F594" s="1"/>
      <c r="L594" s="1"/>
      <c r="R594" s="1"/>
      <c r="X594" s="1"/>
      <c r="AD594" s="1"/>
      <c r="AJ594" s="1"/>
      <c r="AP594" s="1"/>
      <c r="AQ594" s="60"/>
      <c r="AR594" s="54"/>
      <c r="AS594" s="39"/>
      <c r="AT594" s="35"/>
      <c r="AV594" s="1"/>
      <c r="BB594" s="1"/>
      <c r="BH594" s="1"/>
      <c r="BN594" s="1"/>
      <c r="BP594" s="64"/>
      <c r="BQ594" s="70"/>
      <c r="BT594" s="1"/>
    </row>
    <row r="595">
      <c r="A595" s="70"/>
      <c r="F595" s="1"/>
      <c r="L595" s="1"/>
      <c r="R595" s="1"/>
      <c r="X595" s="1"/>
      <c r="AD595" s="1"/>
      <c r="AJ595" s="1"/>
      <c r="AP595" s="1"/>
      <c r="AQ595" s="60"/>
      <c r="AR595" s="54"/>
      <c r="AS595" s="39"/>
      <c r="AT595" s="35"/>
      <c r="AV595" s="1"/>
      <c r="BB595" s="1"/>
      <c r="BH595" s="1"/>
      <c r="BN595" s="1"/>
      <c r="BP595" s="64"/>
      <c r="BQ595" s="70"/>
      <c r="BT595" s="1"/>
    </row>
    <row r="596">
      <c r="A596" s="70"/>
      <c r="F596" s="1"/>
      <c r="L596" s="1"/>
      <c r="R596" s="1"/>
      <c r="X596" s="1"/>
      <c r="AD596" s="1"/>
      <c r="AJ596" s="1"/>
      <c r="AP596" s="1"/>
      <c r="AQ596" s="60"/>
      <c r="AR596" s="54"/>
      <c r="AS596" s="39"/>
      <c r="AT596" s="35"/>
      <c r="AV596" s="1"/>
      <c r="BB596" s="1"/>
      <c r="BH596" s="1"/>
      <c r="BN596" s="1"/>
      <c r="BP596" s="64"/>
      <c r="BQ596" s="70"/>
      <c r="BT596" s="1"/>
    </row>
    <row r="597">
      <c r="A597" s="70"/>
      <c r="F597" s="1"/>
      <c r="L597" s="1"/>
      <c r="R597" s="1"/>
      <c r="X597" s="1"/>
      <c r="AD597" s="1"/>
      <c r="AJ597" s="1"/>
      <c r="AP597" s="1"/>
      <c r="AQ597" s="60"/>
      <c r="AR597" s="54"/>
      <c r="AS597" s="39"/>
      <c r="AT597" s="35"/>
      <c r="AV597" s="1"/>
      <c r="BB597" s="1"/>
      <c r="BH597" s="1"/>
      <c r="BN597" s="1"/>
      <c r="BP597" s="64"/>
      <c r="BQ597" s="70"/>
      <c r="BT597" s="1"/>
    </row>
    <row r="598">
      <c r="A598" s="70"/>
      <c r="F598" s="1"/>
      <c r="L598" s="1"/>
      <c r="R598" s="1"/>
      <c r="X598" s="1"/>
      <c r="AD598" s="1"/>
      <c r="AJ598" s="1"/>
      <c r="AP598" s="1"/>
      <c r="AQ598" s="60"/>
      <c r="AR598" s="54"/>
      <c r="AS598" s="39"/>
      <c r="AT598" s="35"/>
      <c r="AV598" s="1"/>
      <c r="BB598" s="1"/>
      <c r="BH598" s="1"/>
      <c r="BN598" s="1"/>
      <c r="BP598" s="64"/>
      <c r="BQ598" s="70"/>
      <c r="BT598" s="1"/>
    </row>
    <row r="599">
      <c r="A599" s="70"/>
      <c r="F599" s="1"/>
      <c r="L599" s="1"/>
      <c r="R599" s="1"/>
      <c r="X599" s="1"/>
      <c r="AD599" s="1"/>
      <c r="AJ599" s="1"/>
      <c r="AP599" s="1"/>
      <c r="AQ599" s="60"/>
      <c r="AR599" s="54"/>
      <c r="AS599" s="39"/>
      <c r="AT599" s="35"/>
      <c r="AV599" s="1"/>
      <c r="BB599" s="1"/>
      <c r="BH599" s="1"/>
      <c r="BN599" s="1"/>
      <c r="BP599" s="64"/>
      <c r="BQ599" s="70"/>
      <c r="BT599" s="1"/>
    </row>
    <row r="600">
      <c r="A600" s="70"/>
      <c r="F600" s="1"/>
      <c r="L600" s="1"/>
      <c r="R600" s="1"/>
      <c r="X600" s="1"/>
      <c r="AD600" s="1"/>
      <c r="AJ600" s="1"/>
      <c r="AP600" s="1"/>
      <c r="AQ600" s="60"/>
      <c r="AR600" s="54"/>
      <c r="AS600" s="39"/>
      <c r="AT600" s="35"/>
      <c r="AV600" s="1"/>
      <c r="BB600" s="1"/>
      <c r="BH600" s="1"/>
      <c r="BN600" s="1"/>
      <c r="BP600" s="64"/>
      <c r="BQ600" s="70"/>
      <c r="BT600" s="1"/>
    </row>
    <row r="601">
      <c r="A601" s="70"/>
      <c r="F601" s="1"/>
      <c r="L601" s="1"/>
      <c r="R601" s="1"/>
      <c r="X601" s="1"/>
      <c r="AD601" s="1"/>
      <c r="AJ601" s="1"/>
      <c r="AP601" s="1"/>
      <c r="AQ601" s="60"/>
      <c r="AR601" s="54"/>
      <c r="AS601" s="39"/>
      <c r="AT601" s="35"/>
      <c r="AV601" s="1"/>
      <c r="BB601" s="1"/>
      <c r="BH601" s="1"/>
      <c r="BN601" s="1"/>
      <c r="BP601" s="64"/>
      <c r="BQ601" s="70"/>
      <c r="BT601" s="1"/>
    </row>
    <row r="602">
      <c r="A602" s="70"/>
      <c r="F602" s="1"/>
      <c r="L602" s="1"/>
      <c r="R602" s="1"/>
      <c r="X602" s="1"/>
      <c r="AD602" s="1"/>
      <c r="AJ602" s="1"/>
      <c r="AP602" s="1"/>
      <c r="AQ602" s="60"/>
      <c r="AR602" s="54"/>
      <c r="AS602" s="39"/>
      <c r="AT602" s="35"/>
      <c r="AV602" s="1"/>
      <c r="BB602" s="1"/>
      <c r="BH602" s="1"/>
      <c r="BN602" s="1"/>
      <c r="BP602" s="64"/>
      <c r="BQ602" s="70"/>
      <c r="BT602" s="1"/>
    </row>
    <row r="603">
      <c r="A603" s="70"/>
      <c r="F603" s="1"/>
      <c r="L603" s="1"/>
      <c r="R603" s="1"/>
      <c r="X603" s="1"/>
      <c r="AD603" s="1"/>
      <c r="AJ603" s="1"/>
      <c r="AP603" s="1"/>
      <c r="AQ603" s="60"/>
      <c r="AR603" s="54"/>
      <c r="AS603" s="39"/>
      <c r="AT603" s="35"/>
      <c r="AV603" s="1"/>
      <c r="BB603" s="1"/>
      <c r="BH603" s="1"/>
      <c r="BN603" s="1"/>
      <c r="BP603" s="64"/>
      <c r="BQ603" s="70"/>
      <c r="BT603" s="1"/>
    </row>
    <row r="604">
      <c r="A604" s="70"/>
      <c r="F604" s="1"/>
      <c r="L604" s="1"/>
      <c r="R604" s="1"/>
      <c r="X604" s="1"/>
      <c r="AD604" s="1"/>
      <c r="AJ604" s="1"/>
      <c r="AP604" s="1"/>
      <c r="AQ604" s="60"/>
      <c r="AR604" s="54"/>
      <c r="AS604" s="39"/>
      <c r="AT604" s="35"/>
      <c r="AV604" s="1"/>
      <c r="BB604" s="1"/>
      <c r="BH604" s="1"/>
      <c r="BN604" s="1"/>
      <c r="BP604" s="64"/>
      <c r="BQ604" s="70"/>
      <c r="BT604" s="1"/>
    </row>
    <row r="605">
      <c r="A605" s="70"/>
      <c r="F605" s="1"/>
      <c r="L605" s="1"/>
      <c r="R605" s="1"/>
      <c r="X605" s="1"/>
      <c r="AD605" s="1"/>
      <c r="AJ605" s="1"/>
      <c r="AP605" s="1"/>
      <c r="AQ605" s="60"/>
      <c r="AR605" s="54"/>
      <c r="AS605" s="39"/>
      <c r="AT605" s="35"/>
      <c r="AV605" s="1"/>
      <c r="BB605" s="1"/>
      <c r="BH605" s="1"/>
      <c r="BN605" s="1"/>
      <c r="BP605" s="64"/>
      <c r="BQ605" s="70"/>
      <c r="BT605" s="1"/>
    </row>
    <row r="606">
      <c r="A606" s="70"/>
      <c r="F606" s="1"/>
      <c r="L606" s="1"/>
      <c r="R606" s="1"/>
      <c r="X606" s="1"/>
      <c r="AD606" s="1"/>
      <c r="AJ606" s="1"/>
      <c r="AP606" s="1"/>
      <c r="AQ606" s="60"/>
      <c r="AR606" s="54"/>
      <c r="AS606" s="39"/>
      <c r="AT606" s="35"/>
      <c r="AV606" s="1"/>
      <c r="BB606" s="1"/>
      <c r="BH606" s="1"/>
      <c r="BN606" s="1"/>
      <c r="BP606" s="64"/>
      <c r="BQ606" s="70"/>
      <c r="BT606" s="1"/>
    </row>
    <row r="607">
      <c r="A607" s="70"/>
      <c r="F607" s="1"/>
      <c r="L607" s="1"/>
      <c r="R607" s="1"/>
      <c r="X607" s="1"/>
      <c r="AD607" s="1"/>
      <c r="AJ607" s="1"/>
      <c r="AP607" s="1"/>
      <c r="AQ607" s="60"/>
      <c r="AR607" s="54"/>
      <c r="AS607" s="39"/>
      <c r="AT607" s="35"/>
      <c r="AV607" s="1"/>
      <c r="BB607" s="1"/>
      <c r="BH607" s="1"/>
      <c r="BN607" s="1"/>
      <c r="BP607" s="64"/>
      <c r="BQ607" s="70"/>
      <c r="BT607" s="1"/>
    </row>
    <row r="608">
      <c r="A608" s="70"/>
      <c r="F608" s="1"/>
      <c r="L608" s="1"/>
      <c r="R608" s="1"/>
      <c r="X608" s="1"/>
      <c r="AD608" s="1"/>
      <c r="AJ608" s="1"/>
      <c r="AP608" s="1"/>
      <c r="AQ608" s="60"/>
      <c r="AR608" s="54"/>
      <c r="AS608" s="39"/>
      <c r="AT608" s="35"/>
      <c r="AV608" s="1"/>
      <c r="BB608" s="1"/>
      <c r="BH608" s="1"/>
      <c r="BN608" s="1"/>
      <c r="BP608" s="64"/>
      <c r="BQ608" s="70"/>
      <c r="BT608" s="1"/>
    </row>
    <row r="609">
      <c r="A609" s="70"/>
      <c r="F609" s="1"/>
      <c r="L609" s="1"/>
      <c r="R609" s="1"/>
      <c r="X609" s="1"/>
      <c r="AD609" s="1"/>
      <c r="AJ609" s="1"/>
      <c r="AP609" s="1"/>
      <c r="AQ609" s="60"/>
      <c r="AR609" s="54"/>
      <c r="AS609" s="39"/>
      <c r="AT609" s="35"/>
      <c r="AV609" s="1"/>
      <c r="BB609" s="1"/>
      <c r="BH609" s="1"/>
      <c r="BN609" s="1"/>
      <c r="BQ609" s="70"/>
      <c r="BT609" s="1"/>
    </row>
    <row r="610">
      <c r="A610" s="70"/>
      <c r="F610" s="1"/>
      <c r="L610" s="1"/>
      <c r="R610" s="1"/>
      <c r="X610" s="1"/>
      <c r="AD610" s="1"/>
      <c r="AJ610" s="1"/>
      <c r="AP610" s="1"/>
      <c r="AQ610" s="60"/>
      <c r="AR610" s="54"/>
      <c r="AS610" s="39"/>
      <c r="AT610" s="35"/>
      <c r="AV610" s="1"/>
      <c r="BB610" s="1"/>
      <c r="BH610" s="1"/>
      <c r="BN610" s="1"/>
      <c r="BQ610" s="70"/>
      <c r="BT610" s="1"/>
    </row>
    <row r="611">
      <c r="A611" s="70"/>
      <c r="F611" s="1"/>
      <c r="L611" s="1"/>
      <c r="R611" s="1"/>
      <c r="X611" s="1"/>
      <c r="AD611" s="1"/>
      <c r="AJ611" s="1"/>
      <c r="AP611" s="1"/>
      <c r="AQ611" s="60"/>
      <c r="AR611" s="54"/>
      <c r="AS611" s="39"/>
      <c r="AT611" s="35"/>
      <c r="AV611" s="1"/>
      <c r="BB611" s="1"/>
      <c r="BH611" s="1"/>
      <c r="BN611" s="1"/>
      <c r="BQ611" s="70"/>
      <c r="BT611" s="1"/>
    </row>
    <row r="612">
      <c r="A612" s="70"/>
      <c r="F612" s="1"/>
      <c r="L612" s="1"/>
      <c r="R612" s="1"/>
      <c r="X612" s="1"/>
      <c r="AD612" s="1"/>
      <c r="AJ612" s="1"/>
      <c r="AP612" s="1"/>
      <c r="AQ612" s="60"/>
      <c r="AR612" s="54"/>
      <c r="AS612" s="39"/>
      <c r="AT612" s="35"/>
      <c r="AV612" s="1"/>
      <c r="BB612" s="1"/>
      <c r="BH612" s="1"/>
      <c r="BN612" s="1"/>
      <c r="BQ612" s="70"/>
      <c r="BT612" s="1"/>
    </row>
    <row r="613">
      <c r="A613" s="70"/>
      <c r="F613" s="1"/>
      <c r="L613" s="1"/>
      <c r="R613" s="1"/>
      <c r="X613" s="1"/>
      <c r="AD613" s="1"/>
      <c r="AJ613" s="1"/>
      <c r="AP613" s="1"/>
      <c r="AQ613" s="60"/>
      <c r="AR613" s="54"/>
      <c r="AS613" s="39"/>
      <c r="AT613" s="35"/>
      <c r="AV613" s="1"/>
      <c r="BB613" s="1"/>
      <c r="BH613" s="1"/>
      <c r="BN613" s="1"/>
      <c r="BQ613" s="70"/>
      <c r="BT613" s="1"/>
    </row>
    <row r="614">
      <c r="A614" s="70"/>
      <c r="F614" s="1"/>
      <c r="L614" s="1"/>
      <c r="R614" s="1"/>
      <c r="X614" s="1"/>
      <c r="AD614" s="1"/>
      <c r="AJ614" s="1"/>
      <c r="AP614" s="1"/>
      <c r="AQ614" s="60"/>
      <c r="AR614" s="54"/>
      <c r="AS614" s="39"/>
      <c r="AT614" s="35"/>
      <c r="AV614" s="1"/>
      <c r="BB614" s="1"/>
      <c r="BH614" s="1"/>
      <c r="BN614" s="1"/>
      <c r="BQ614" s="70"/>
      <c r="BT614" s="1"/>
    </row>
    <row r="615">
      <c r="A615" s="70"/>
      <c r="F615" s="1"/>
      <c r="L615" s="1"/>
      <c r="R615" s="1"/>
      <c r="X615" s="1"/>
      <c r="AD615" s="1"/>
      <c r="AJ615" s="1"/>
      <c r="AP615" s="1"/>
      <c r="AQ615" s="60"/>
      <c r="AR615" s="54"/>
      <c r="AS615" s="39"/>
      <c r="AT615" s="35"/>
      <c r="AV615" s="1"/>
      <c r="BB615" s="1"/>
      <c r="BH615" s="1"/>
      <c r="BN615" s="1"/>
      <c r="BQ615" s="70"/>
      <c r="BT615" s="1"/>
    </row>
    <row r="616">
      <c r="A616" s="70"/>
      <c r="F616" s="1"/>
      <c r="L616" s="1"/>
      <c r="R616" s="1"/>
      <c r="X616" s="1"/>
      <c r="AD616" s="1"/>
      <c r="AJ616" s="1"/>
      <c r="AP616" s="1"/>
      <c r="AQ616" s="60"/>
      <c r="AR616" s="54"/>
      <c r="AS616" s="39"/>
      <c r="AT616" s="35"/>
      <c r="AV616" s="1"/>
      <c r="BB616" s="1"/>
      <c r="BH616" s="1"/>
      <c r="BN616" s="1"/>
      <c r="BQ616" s="70"/>
      <c r="BT616" s="1"/>
    </row>
    <row r="617">
      <c r="A617" s="70"/>
      <c r="F617" s="1"/>
      <c r="L617" s="1"/>
      <c r="R617" s="1"/>
      <c r="X617" s="1"/>
      <c r="AD617" s="1"/>
      <c r="AJ617" s="1"/>
      <c r="AP617" s="1"/>
      <c r="AQ617" s="60"/>
      <c r="AR617" s="54"/>
      <c r="AS617" s="39"/>
      <c r="AT617" s="35"/>
      <c r="AV617" s="1"/>
      <c r="BB617" s="1"/>
      <c r="BH617" s="1"/>
      <c r="BN617" s="1"/>
      <c r="BQ617" s="70"/>
      <c r="BT617" s="1"/>
    </row>
    <row r="618">
      <c r="A618" s="70"/>
      <c r="F618" s="1"/>
      <c r="L618" s="1"/>
      <c r="R618" s="1"/>
      <c r="X618" s="1"/>
      <c r="AD618" s="1"/>
      <c r="AJ618" s="1"/>
      <c r="AP618" s="1"/>
      <c r="AQ618" s="60"/>
      <c r="AR618" s="54"/>
      <c r="AS618" s="39"/>
      <c r="AT618" s="35"/>
      <c r="AV618" s="1"/>
      <c r="BB618" s="1"/>
      <c r="BH618" s="1"/>
      <c r="BN618" s="1"/>
      <c r="BQ618" s="70"/>
      <c r="BT618" s="1"/>
    </row>
    <row r="619">
      <c r="A619" s="70"/>
      <c r="F619" s="1"/>
      <c r="L619" s="1"/>
      <c r="R619" s="1"/>
      <c r="X619" s="1"/>
      <c r="AD619" s="1"/>
      <c r="AJ619" s="1"/>
      <c r="AP619" s="1"/>
      <c r="AQ619" s="60"/>
      <c r="AR619" s="54"/>
      <c r="AS619" s="39"/>
      <c r="AT619" s="35"/>
      <c r="AV619" s="1"/>
      <c r="BB619" s="1"/>
      <c r="BH619" s="1"/>
      <c r="BN619" s="1"/>
      <c r="BQ619" s="70"/>
      <c r="BT619" s="1"/>
    </row>
    <row r="620">
      <c r="A620" s="70"/>
      <c r="F620" s="1"/>
      <c r="L620" s="1"/>
      <c r="R620" s="1"/>
      <c r="X620" s="1"/>
      <c r="AD620" s="1"/>
      <c r="AJ620" s="1"/>
      <c r="AP620" s="1"/>
      <c r="AQ620" s="60"/>
      <c r="AR620" s="54"/>
      <c r="AS620" s="39"/>
      <c r="AT620" s="35"/>
      <c r="AV620" s="1"/>
      <c r="BB620" s="1"/>
      <c r="BH620" s="1"/>
      <c r="BN620" s="1"/>
      <c r="BQ620" s="70"/>
      <c r="BT620" s="1"/>
    </row>
    <row r="621">
      <c r="A621" s="70"/>
      <c r="F621" s="1"/>
      <c r="L621" s="1"/>
      <c r="R621" s="1"/>
      <c r="X621" s="1"/>
      <c r="AD621" s="1"/>
      <c r="AJ621" s="1"/>
      <c r="AP621" s="1"/>
      <c r="AQ621" s="60"/>
      <c r="AR621" s="54"/>
      <c r="AS621" s="39"/>
      <c r="AT621" s="35"/>
      <c r="AV621" s="1"/>
      <c r="BB621" s="1"/>
      <c r="BH621" s="1"/>
      <c r="BN621" s="1"/>
      <c r="BQ621" s="70"/>
      <c r="BT621" s="1"/>
    </row>
    <row r="622">
      <c r="A622" s="70"/>
      <c r="F622" s="1"/>
      <c r="L622" s="1"/>
      <c r="R622" s="1"/>
      <c r="X622" s="1"/>
      <c r="AD622" s="1"/>
      <c r="AJ622" s="1"/>
      <c r="AP622" s="1"/>
      <c r="AQ622" s="60"/>
      <c r="AR622" s="54"/>
      <c r="AS622" s="39"/>
      <c r="AT622" s="35"/>
      <c r="AV622" s="1"/>
      <c r="BB622" s="1"/>
      <c r="BH622" s="1"/>
      <c r="BN622" s="1"/>
      <c r="BQ622" s="70"/>
      <c r="BT622" s="1"/>
    </row>
    <row r="623">
      <c r="A623" s="70"/>
      <c r="F623" s="1"/>
      <c r="L623" s="1"/>
      <c r="R623" s="1"/>
      <c r="X623" s="1"/>
      <c r="AD623" s="1"/>
      <c r="AJ623" s="1"/>
      <c r="AP623" s="1"/>
      <c r="AQ623" s="60"/>
      <c r="AR623" s="54"/>
      <c r="AS623" s="39"/>
      <c r="AT623" s="35"/>
      <c r="AV623" s="1"/>
      <c r="BB623" s="1"/>
      <c r="BH623" s="1"/>
      <c r="BN623" s="1"/>
      <c r="BQ623" s="70"/>
      <c r="BT623" s="1"/>
    </row>
    <row r="624">
      <c r="A624" s="70"/>
      <c r="F624" s="1"/>
      <c r="L624" s="1"/>
      <c r="R624" s="1"/>
      <c r="X624" s="1"/>
      <c r="AD624" s="1"/>
      <c r="AJ624" s="1"/>
      <c r="AP624" s="1"/>
      <c r="AQ624" s="60"/>
      <c r="AR624" s="54"/>
      <c r="AS624" s="39"/>
      <c r="AT624" s="35"/>
      <c r="AV624" s="1"/>
      <c r="BB624" s="1"/>
      <c r="BH624" s="1"/>
      <c r="BN624" s="1"/>
      <c r="BQ624" s="70"/>
      <c r="BT624" s="1"/>
    </row>
    <row r="625">
      <c r="A625" s="70"/>
      <c r="F625" s="1"/>
      <c r="L625" s="1"/>
      <c r="R625" s="1"/>
      <c r="X625" s="1"/>
      <c r="AD625" s="1"/>
      <c r="AJ625" s="1"/>
      <c r="AP625" s="1"/>
      <c r="AQ625" s="60"/>
      <c r="AR625" s="54"/>
      <c r="AS625" s="39"/>
      <c r="AT625" s="35"/>
      <c r="AV625" s="1"/>
      <c r="BB625" s="1"/>
      <c r="BH625" s="1"/>
      <c r="BN625" s="1"/>
      <c r="BQ625" s="70"/>
      <c r="BT625" s="1"/>
    </row>
    <row r="626">
      <c r="A626" s="70"/>
      <c r="F626" s="1"/>
      <c r="L626" s="1"/>
      <c r="R626" s="1"/>
      <c r="X626" s="1"/>
      <c r="AD626" s="1"/>
      <c r="AJ626" s="1"/>
      <c r="AP626" s="1"/>
      <c r="AQ626" s="60"/>
      <c r="AR626" s="54"/>
      <c r="AS626" s="39"/>
      <c r="AT626" s="35"/>
      <c r="AV626" s="1"/>
      <c r="BB626" s="1"/>
      <c r="BH626" s="1"/>
      <c r="BN626" s="1"/>
      <c r="BQ626" s="70"/>
      <c r="BT626" s="1"/>
    </row>
    <row r="627">
      <c r="A627" s="70"/>
      <c r="F627" s="1"/>
      <c r="L627" s="1"/>
      <c r="R627" s="1"/>
      <c r="X627" s="1"/>
      <c r="AD627" s="1"/>
      <c r="AJ627" s="1"/>
      <c r="AP627" s="1"/>
      <c r="AQ627" s="60"/>
      <c r="AR627" s="54"/>
      <c r="AS627" s="39"/>
      <c r="AT627" s="35"/>
      <c r="AV627" s="1"/>
      <c r="BB627" s="1"/>
      <c r="BH627" s="1"/>
      <c r="BN627" s="1"/>
      <c r="BQ627" s="70"/>
      <c r="BT627" s="1"/>
    </row>
    <row r="628">
      <c r="A628" s="70"/>
      <c r="F628" s="1"/>
      <c r="L628" s="1"/>
      <c r="R628" s="1"/>
      <c r="X628" s="1"/>
      <c r="AD628" s="1"/>
      <c r="AJ628" s="1"/>
      <c r="AP628" s="1"/>
      <c r="AQ628" s="60"/>
      <c r="AR628" s="54"/>
      <c r="AS628" s="39"/>
      <c r="AT628" s="35"/>
      <c r="AV628" s="1"/>
      <c r="BB628" s="1"/>
      <c r="BH628" s="1"/>
      <c r="BN628" s="1"/>
      <c r="BQ628" s="70"/>
      <c r="BT628" s="1"/>
    </row>
    <row r="629">
      <c r="A629" s="70"/>
      <c r="F629" s="1"/>
      <c r="L629" s="1"/>
      <c r="R629" s="1"/>
      <c r="X629" s="1"/>
      <c r="AD629" s="1"/>
      <c r="AJ629" s="1"/>
      <c r="AP629" s="1"/>
      <c r="AQ629" s="60"/>
      <c r="AR629" s="54"/>
      <c r="AS629" s="39"/>
      <c r="AT629" s="35"/>
      <c r="AV629" s="1"/>
      <c r="BB629" s="1"/>
      <c r="BH629" s="1"/>
      <c r="BN629" s="1"/>
      <c r="BQ629" s="70"/>
      <c r="BT629" s="1"/>
    </row>
    <row r="630">
      <c r="A630" s="70"/>
      <c r="F630" s="1"/>
      <c r="L630" s="1"/>
      <c r="R630" s="1"/>
      <c r="X630" s="1"/>
      <c r="AD630" s="1"/>
      <c r="AJ630" s="1"/>
      <c r="AP630" s="1"/>
      <c r="AQ630" s="60"/>
      <c r="AR630" s="54"/>
      <c r="AS630" s="39"/>
      <c r="AT630" s="35"/>
      <c r="AV630" s="1"/>
      <c r="BB630" s="1"/>
      <c r="BH630" s="1"/>
      <c r="BN630" s="1"/>
      <c r="BQ630" s="70"/>
      <c r="BT630" s="1"/>
    </row>
    <row r="631">
      <c r="A631" s="70"/>
      <c r="F631" s="1"/>
      <c r="L631" s="1"/>
      <c r="R631" s="1"/>
      <c r="X631" s="1"/>
      <c r="AD631" s="1"/>
      <c r="AJ631" s="1"/>
      <c r="AP631" s="1"/>
      <c r="AQ631" s="60"/>
      <c r="AR631" s="54"/>
      <c r="AS631" s="39"/>
      <c r="AT631" s="35"/>
      <c r="AV631" s="1"/>
      <c r="BB631" s="1"/>
      <c r="BH631" s="1"/>
      <c r="BN631" s="1"/>
      <c r="BQ631" s="70"/>
      <c r="BT631" s="1"/>
    </row>
    <row r="632">
      <c r="A632" s="70"/>
      <c r="F632" s="1"/>
      <c r="L632" s="1"/>
      <c r="R632" s="1"/>
      <c r="X632" s="1"/>
      <c r="AD632" s="1"/>
      <c r="AJ632" s="1"/>
      <c r="AP632" s="1"/>
      <c r="AQ632" s="60"/>
      <c r="AR632" s="54"/>
      <c r="AS632" s="39"/>
      <c r="AT632" s="35"/>
      <c r="AV632" s="1"/>
      <c r="BB632" s="1"/>
      <c r="BH632" s="1"/>
      <c r="BN632" s="1"/>
      <c r="BQ632" s="70"/>
      <c r="BT632" s="1"/>
    </row>
    <row r="633">
      <c r="A633" s="70"/>
      <c r="F633" s="1"/>
      <c r="L633" s="1"/>
      <c r="R633" s="1"/>
      <c r="X633" s="1"/>
      <c r="AD633" s="1"/>
      <c r="AJ633" s="1"/>
      <c r="AP633" s="1"/>
      <c r="AQ633" s="60"/>
      <c r="AR633" s="54"/>
      <c r="AS633" s="39"/>
      <c r="AT633" s="35"/>
      <c r="AV633" s="1"/>
      <c r="BB633" s="1"/>
      <c r="BH633" s="1"/>
      <c r="BN633" s="1"/>
      <c r="BQ633" s="70"/>
      <c r="BT633" s="1"/>
    </row>
    <row r="634">
      <c r="A634" s="70"/>
      <c r="F634" s="1"/>
      <c r="L634" s="1"/>
      <c r="R634" s="1"/>
      <c r="X634" s="1"/>
      <c r="AD634" s="1"/>
      <c r="AJ634" s="1"/>
      <c r="AP634" s="1"/>
      <c r="AQ634" s="60"/>
      <c r="AR634" s="54"/>
      <c r="AS634" s="39"/>
      <c r="AT634" s="35"/>
      <c r="AV634" s="1"/>
      <c r="BB634" s="1"/>
      <c r="BH634" s="1"/>
      <c r="BN634" s="1"/>
      <c r="BQ634" s="70"/>
      <c r="BT634" s="1"/>
    </row>
    <row r="635">
      <c r="A635" s="70"/>
      <c r="F635" s="1"/>
      <c r="L635" s="1"/>
      <c r="R635" s="1"/>
      <c r="X635" s="1"/>
      <c r="AD635" s="1"/>
      <c r="AJ635" s="1"/>
      <c r="AP635" s="1"/>
      <c r="AQ635" s="60"/>
      <c r="AR635" s="54"/>
      <c r="AS635" s="39"/>
      <c r="AT635" s="35"/>
      <c r="AV635" s="1"/>
      <c r="BB635" s="1"/>
      <c r="BH635" s="1"/>
      <c r="BN635" s="1"/>
      <c r="BQ635" s="70"/>
      <c r="BT635" s="1"/>
    </row>
    <row r="636">
      <c r="A636" s="70"/>
      <c r="F636" s="1"/>
      <c r="L636" s="1"/>
      <c r="R636" s="1"/>
      <c r="X636" s="1"/>
      <c r="AD636" s="1"/>
      <c r="AJ636" s="1"/>
      <c r="AP636" s="1"/>
      <c r="AQ636" s="60"/>
      <c r="AR636" s="54"/>
      <c r="AS636" s="39"/>
      <c r="AT636" s="35"/>
      <c r="AV636" s="1"/>
      <c r="BB636" s="1"/>
      <c r="BH636" s="1"/>
      <c r="BN636" s="1"/>
      <c r="BQ636" s="70"/>
      <c r="BT636" s="1"/>
    </row>
    <row r="637">
      <c r="A637" s="70"/>
      <c r="F637" s="1"/>
      <c r="L637" s="1"/>
      <c r="R637" s="1"/>
      <c r="X637" s="1"/>
      <c r="AD637" s="1"/>
      <c r="AJ637" s="1"/>
      <c r="AP637" s="1"/>
      <c r="AQ637" s="60"/>
      <c r="AR637" s="54"/>
      <c r="AS637" s="39"/>
      <c r="AT637" s="35"/>
      <c r="AV637" s="1"/>
      <c r="BB637" s="1"/>
      <c r="BH637" s="1"/>
      <c r="BN637" s="1"/>
      <c r="BQ637" s="70"/>
      <c r="BT637" s="1"/>
    </row>
    <row r="638">
      <c r="A638" s="70"/>
      <c r="F638" s="1"/>
      <c r="L638" s="1"/>
      <c r="R638" s="1"/>
      <c r="X638" s="1"/>
      <c r="AD638" s="1"/>
      <c r="AJ638" s="1"/>
      <c r="AP638" s="1"/>
      <c r="AQ638" s="60"/>
      <c r="AR638" s="54"/>
      <c r="AS638" s="39"/>
      <c r="AT638" s="35"/>
      <c r="AV638" s="1"/>
      <c r="BB638" s="1"/>
      <c r="BH638" s="1"/>
      <c r="BN638" s="1"/>
      <c r="BQ638" s="70"/>
      <c r="BT638" s="1"/>
    </row>
    <row r="639">
      <c r="A639" s="70"/>
      <c r="F639" s="1"/>
      <c r="L639" s="1"/>
      <c r="R639" s="1"/>
      <c r="X639" s="1"/>
      <c r="AD639" s="1"/>
      <c r="AJ639" s="1"/>
      <c r="AP639" s="1"/>
      <c r="AQ639" s="60"/>
      <c r="AR639" s="54"/>
      <c r="AS639" s="39"/>
      <c r="AT639" s="35"/>
      <c r="AV639" s="1"/>
      <c r="BB639" s="1"/>
      <c r="BH639" s="1"/>
      <c r="BN639" s="1"/>
      <c r="BQ639" s="70"/>
      <c r="BT639" s="1"/>
    </row>
    <row r="640">
      <c r="A640" s="70"/>
      <c r="F640" s="1"/>
      <c r="L640" s="1"/>
      <c r="R640" s="1"/>
      <c r="X640" s="1"/>
      <c r="AD640" s="1"/>
      <c r="AJ640" s="1"/>
      <c r="AP640" s="1"/>
      <c r="AQ640" s="60"/>
      <c r="AR640" s="54"/>
      <c r="AS640" s="39"/>
      <c r="AT640" s="35"/>
      <c r="AV640" s="1"/>
      <c r="BB640" s="1"/>
      <c r="BH640" s="1"/>
      <c r="BN640" s="1"/>
      <c r="BQ640" s="70"/>
      <c r="BT640" s="1"/>
    </row>
    <row r="641">
      <c r="A641" s="70"/>
      <c r="F641" s="1"/>
      <c r="L641" s="1"/>
      <c r="R641" s="1"/>
      <c r="X641" s="1"/>
      <c r="AD641" s="1"/>
      <c r="AJ641" s="1"/>
      <c r="AP641" s="1"/>
      <c r="AQ641" s="60"/>
      <c r="AR641" s="54"/>
      <c r="AS641" s="39"/>
      <c r="AT641" s="35"/>
      <c r="AV641" s="1"/>
      <c r="BB641" s="1"/>
      <c r="BH641" s="1"/>
      <c r="BN641" s="1"/>
      <c r="BQ641" s="70"/>
      <c r="BT641" s="1"/>
    </row>
    <row r="642">
      <c r="A642" s="70"/>
      <c r="F642" s="1"/>
      <c r="L642" s="1"/>
      <c r="R642" s="1"/>
      <c r="X642" s="1"/>
      <c r="AD642" s="1"/>
      <c r="AJ642" s="1"/>
      <c r="AP642" s="1"/>
      <c r="AQ642" s="60"/>
      <c r="AR642" s="54"/>
      <c r="AS642" s="39"/>
      <c r="AT642" s="35"/>
      <c r="AV642" s="1"/>
      <c r="BB642" s="1"/>
      <c r="BH642" s="1"/>
      <c r="BN642" s="1"/>
      <c r="BQ642" s="70"/>
      <c r="BT642" s="1"/>
    </row>
    <row r="643">
      <c r="A643" s="70"/>
      <c r="F643" s="1"/>
      <c r="L643" s="1"/>
      <c r="R643" s="1"/>
      <c r="X643" s="1"/>
      <c r="AD643" s="1"/>
      <c r="AJ643" s="1"/>
      <c r="AP643" s="1"/>
      <c r="AQ643" s="60"/>
      <c r="AR643" s="54"/>
      <c r="AS643" s="39"/>
      <c r="AT643" s="35"/>
      <c r="AV643" s="1"/>
      <c r="BB643" s="1"/>
      <c r="BH643" s="1"/>
      <c r="BN643" s="1"/>
      <c r="BQ643" s="70"/>
      <c r="BT643" s="1"/>
    </row>
    <row r="644">
      <c r="A644" s="70"/>
      <c r="F644" s="1"/>
      <c r="L644" s="1"/>
      <c r="R644" s="1"/>
      <c r="X644" s="1"/>
      <c r="AD644" s="1"/>
      <c r="AJ644" s="1"/>
      <c r="AP644" s="1"/>
      <c r="AQ644" s="60"/>
      <c r="AR644" s="54"/>
      <c r="AS644" s="39"/>
      <c r="AT644" s="35"/>
      <c r="AV644" s="1"/>
      <c r="BB644" s="1"/>
      <c r="BH644" s="1"/>
      <c r="BN644" s="1"/>
      <c r="BQ644" s="70"/>
      <c r="BT644" s="1"/>
    </row>
    <row r="645">
      <c r="A645" s="70"/>
      <c r="F645" s="1"/>
      <c r="L645" s="1"/>
      <c r="R645" s="1"/>
      <c r="X645" s="1"/>
      <c r="AD645" s="1"/>
      <c r="AJ645" s="1"/>
      <c r="AP645" s="1"/>
      <c r="AQ645" s="60"/>
      <c r="AR645" s="54"/>
      <c r="AS645" s="39"/>
      <c r="AT645" s="35"/>
      <c r="AV645" s="1"/>
      <c r="BB645" s="1"/>
      <c r="BH645" s="1"/>
      <c r="BN645" s="1"/>
      <c r="BQ645" s="70"/>
      <c r="BT645" s="1"/>
    </row>
    <row r="646">
      <c r="A646" s="70"/>
      <c r="F646" s="1"/>
      <c r="L646" s="1"/>
      <c r="R646" s="1"/>
      <c r="X646" s="1"/>
      <c r="AD646" s="1"/>
      <c r="AJ646" s="1"/>
      <c r="AP646" s="1"/>
      <c r="AQ646" s="60"/>
      <c r="AR646" s="54"/>
      <c r="AS646" s="39"/>
      <c r="AT646" s="35"/>
      <c r="AV646" s="1"/>
      <c r="BB646" s="1"/>
      <c r="BH646" s="1"/>
      <c r="BN646" s="1"/>
      <c r="BQ646" s="70"/>
      <c r="BT646" s="1"/>
    </row>
    <row r="647">
      <c r="A647" s="70"/>
      <c r="F647" s="1"/>
      <c r="L647" s="1"/>
      <c r="R647" s="1"/>
      <c r="X647" s="1"/>
      <c r="AD647" s="1"/>
      <c r="AJ647" s="1"/>
      <c r="AP647" s="1"/>
      <c r="AQ647" s="60"/>
      <c r="AR647" s="54"/>
      <c r="AS647" s="39"/>
      <c r="AT647" s="35"/>
      <c r="AV647" s="1"/>
      <c r="BB647" s="1"/>
      <c r="BH647" s="1"/>
      <c r="BN647" s="1"/>
      <c r="BQ647" s="70"/>
      <c r="BT647" s="1"/>
    </row>
    <row r="648">
      <c r="A648" s="70"/>
      <c r="F648" s="1"/>
      <c r="L648" s="1"/>
      <c r="R648" s="1"/>
      <c r="X648" s="1"/>
      <c r="AD648" s="1"/>
      <c r="AJ648" s="1"/>
      <c r="AP648" s="1"/>
      <c r="AQ648" s="60"/>
      <c r="AR648" s="54"/>
      <c r="AS648" s="39"/>
      <c r="AT648" s="35"/>
      <c r="AV648" s="1"/>
      <c r="BB648" s="1"/>
      <c r="BH648" s="1"/>
      <c r="BN648" s="1"/>
      <c r="BQ648" s="70"/>
      <c r="BT648" s="1"/>
    </row>
    <row r="649">
      <c r="A649" s="70"/>
      <c r="F649" s="1"/>
      <c r="L649" s="1"/>
      <c r="R649" s="1"/>
      <c r="X649" s="1"/>
      <c r="AD649" s="1"/>
      <c r="AJ649" s="1"/>
      <c r="AP649" s="1"/>
      <c r="AQ649" s="60"/>
      <c r="AR649" s="54"/>
      <c r="AS649" s="39"/>
      <c r="AT649" s="35"/>
      <c r="AV649" s="1"/>
      <c r="BB649" s="1"/>
      <c r="BH649" s="1"/>
      <c r="BN649" s="1"/>
      <c r="BQ649" s="70"/>
      <c r="BT649" s="1"/>
    </row>
    <row r="650">
      <c r="A650" s="70"/>
      <c r="F650" s="1"/>
      <c r="L650" s="1"/>
      <c r="R650" s="1"/>
      <c r="X650" s="1"/>
      <c r="AD650" s="1"/>
      <c r="AJ650" s="1"/>
      <c r="AP650" s="1"/>
      <c r="AQ650" s="60"/>
      <c r="AR650" s="54"/>
      <c r="AS650" s="39"/>
      <c r="AT650" s="35"/>
      <c r="AV650" s="1"/>
      <c r="BB650" s="1"/>
      <c r="BH650" s="1"/>
      <c r="BN650" s="1"/>
      <c r="BQ650" s="70"/>
      <c r="BT650" s="1"/>
    </row>
    <row r="651">
      <c r="A651" s="70"/>
      <c r="F651" s="1"/>
      <c r="L651" s="1"/>
      <c r="R651" s="1"/>
      <c r="X651" s="1"/>
      <c r="AD651" s="1"/>
      <c r="AJ651" s="1"/>
      <c r="AP651" s="1"/>
      <c r="AQ651" s="60"/>
      <c r="AR651" s="54"/>
      <c r="AS651" s="39"/>
      <c r="AT651" s="35"/>
      <c r="AV651" s="1"/>
      <c r="BB651" s="1"/>
      <c r="BH651" s="1"/>
      <c r="BN651" s="1"/>
      <c r="BQ651" s="70"/>
      <c r="BT651" s="1"/>
    </row>
    <row r="652">
      <c r="A652" s="70"/>
      <c r="F652" s="1"/>
      <c r="L652" s="1"/>
      <c r="R652" s="1"/>
      <c r="X652" s="1"/>
      <c r="AD652" s="1"/>
      <c r="AJ652" s="1"/>
      <c r="AP652" s="1"/>
      <c r="AQ652" s="60"/>
      <c r="AR652" s="54"/>
      <c r="AS652" s="39"/>
      <c r="AT652" s="35"/>
      <c r="AV652" s="1"/>
      <c r="BB652" s="1"/>
      <c r="BH652" s="1"/>
      <c r="BN652" s="1"/>
      <c r="BQ652" s="70"/>
      <c r="BT652" s="1"/>
    </row>
    <row r="653">
      <c r="A653" s="70"/>
      <c r="F653" s="1"/>
      <c r="L653" s="1"/>
      <c r="R653" s="1"/>
      <c r="X653" s="1"/>
      <c r="AD653" s="1"/>
      <c r="AJ653" s="1"/>
      <c r="AP653" s="1"/>
      <c r="AQ653" s="60"/>
      <c r="AR653" s="54"/>
      <c r="AS653" s="39"/>
      <c r="AT653" s="35"/>
      <c r="AV653" s="1"/>
      <c r="BB653" s="1"/>
      <c r="BH653" s="1"/>
      <c r="BN653" s="1"/>
      <c r="BQ653" s="70"/>
      <c r="BT653" s="1"/>
    </row>
    <row r="654">
      <c r="A654" s="70"/>
      <c r="F654" s="1"/>
      <c r="L654" s="1"/>
      <c r="R654" s="1"/>
      <c r="X654" s="1"/>
      <c r="AD654" s="1"/>
      <c r="AJ654" s="1"/>
      <c r="AP654" s="1"/>
      <c r="AQ654" s="60"/>
      <c r="AR654" s="54"/>
      <c r="AS654" s="39"/>
      <c r="AT654" s="35"/>
      <c r="AV654" s="1"/>
      <c r="BB654" s="1"/>
      <c r="BH654" s="1"/>
      <c r="BN654" s="1"/>
      <c r="BQ654" s="70"/>
      <c r="BT654" s="1"/>
    </row>
    <row r="655">
      <c r="A655" s="70"/>
      <c r="F655" s="1"/>
      <c r="L655" s="1"/>
      <c r="R655" s="1"/>
      <c r="X655" s="1"/>
      <c r="AD655" s="1"/>
      <c r="AJ655" s="1"/>
      <c r="AP655" s="1"/>
      <c r="AQ655" s="60"/>
      <c r="AR655" s="54"/>
      <c r="AS655" s="39"/>
      <c r="AT655" s="35"/>
      <c r="AV655" s="1"/>
      <c r="BB655" s="1"/>
      <c r="BH655" s="1"/>
      <c r="BN655" s="1"/>
      <c r="BQ655" s="70"/>
      <c r="BT655" s="1"/>
    </row>
    <row r="656">
      <c r="A656" s="70"/>
      <c r="F656" s="1"/>
      <c r="L656" s="1"/>
      <c r="R656" s="1"/>
      <c r="X656" s="1"/>
      <c r="AD656" s="1"/>
      <c r="AJ656" s="1"/>
      <c r="AP656" s="1"/>
      <c r="AQ656" s="60"/>
      <c r="AR656" s="54"/>
      <c r="AS656" s="39"/>
      <c r="AT656" s="35"/>
      <c r="AV656" s="1"/>
      <c r="BB656" s="1"/>
      <c r="BH656" s="1"/>
      <c r="BN656" s="1"/>
      <c r="BQ656" s="70"/>
      <c r="BT656" s="1"/>
    </row>
    <row r="657">
      <c r="A657" s="70"/>
      <c r="F657" s="1"/>
      <c r="L657" s="1"/>
      <c r="R657" s="1"/>
      <c r="X657" s="1"/>
      <c r="AD657" s="1"/>
      <c r="AJ657" s="1"/>
      <c r="AP657" s="1"/>
      <c r="AQ657" s="60"/>
      <c r="AR657" s="54"/>
      <c r="AS657" s="39"/>
      <c r="AT657" s="35"/>
      <c r="AV657" s="1"/>
      <c r="BB657" s="1"/>
      <c r="BH657" s="1"/>
      <c r="BN657" s="1"/>
      <c r="BQ657" s="70"/>
      <c r="BT657" s="1"/>
    </row>
    <row r="658">
      <c r="A658" s="70"/>
      <c r="F658" s="1"/>
      <c r="L658" s="1"/>
      <c r="R658" s="1"/>
      <c r="X658" s="1"/>
      <c r="AD658" s="1"/>
      <c r="AJ658" s="1"/>
      <c r="AP658" s="1"/>
      <c r="AQ658" s="60"/>
      <c r="AR658" s="54"/>
      <c r="AS658" s="39"/>
      <c r="AT658" s="35"/>
      <c r="AV658" s="1"/>
      <c r="BB658" s="1"/>
      <c r="BH658" s="1"/>
      <c r="BN658" s="1"/>
      <c r="BQ658" s="70"/>
      <c r="BT658" s="1"/>
    </row>
    <row r="659">
      <c r="A659" s="70"/>
      <c r="F659" s="1"/>
      <c r="L659" s="1"/>
      <c r="R659" s="1"/>
      <c r="X659" s="1"/>
      <c r="AD659" s="1"/>
      <c r="AJ659" s="1"/>
      <c r="AP659" s="1"/>
      <c r="AQ659" s="60"/>
      <c r="AR659" s="54"/>
      <c r="AS659" s="39"/>
      <c r="AT659" s="35"/>
      <c r="AV659" s="1"/>
      <c r="BB659" s="1"/>
      <c r="BH659" s="1"/>
      <c r="BN659" s="1"/>
      <c r="BQ659" s="70"/>
      <c r="BT659" s="1"/>
    </row>
    <row r="660">
      <c r="A660" s="70"/>
      <c r="F660" s="1"/>
      <c r="L660" s="1"/>
      <c r="R660" s="1"/>
      <c r="X660" s="1"/>
      <c r="AD660" s="1"/>
      <c r="AJ660" s="1"/>
      <c r="AP660" s="1"/>
      <c r="AQ660" s="60"/>
      <c r="AR660" s="54"/>
      <c r="AS660" s="39"/>
      <c r="AT660" s="35"/>
      <c r="AV660" s="1"/>
      <c r="BB660" s="1"/>
      <c r="BH660" s="1"/>
      <c r="BN660" s="1"/>
      <c r="BQ660" s="70"/>
      <c r="BT660" s="1"/>
    </row>
    <row r="661">
      <c r="A661" s="70"/>
      <c r="F661" s="1"/>
      <c r="L661" s="1"/>
      <c r="R661" s="1"/>
      <c r="X661" s="1"/>
      <c r="AD661" s="1"/>
      <c r="AJ661" s="1"/>
      <c r="AP661" s="1"/>
      <c r="AQ661" s="60"/>
      <c r="AR661" s="54"/>
      <c r="AS661" s="39"/>
      <c r="AT661" s="35"/>
      <c r="AV661" s="1"/>
      <c r="BB661" s="1"/>
      <c r="BH661" s="1"/>
      <c r="BN661" s="1"/>
      <c r="BQ661" s="70"/>
      <c r="BT661" s="1"/>
    </row>
    <row r="662">
      <c r="A662" s="70"/>
      <c r="F662" s="1"/>
      <c r="L662" s="1"/>
      <c r="R662" s="1"/>
      <c r="X662" s="1"/>
      <c r="AD662" s="1"/>
      <c r="AJ662" s="1"/>
      <c r="AP662" s="1"/>
      <c r="AQ662" s="60"/>
      <c r="AR662" s="54"/>
      <c r="AS662" s="39"/>
      <c r="AT662" s="35"/>
      <c r="AV662" s="1"/>
      <c r="BB662" s="1"/>
      <c r="BH662" s="1"/>
      <c r="BN662" s="1"/>
      <c r="BQ662" s="70"/>
      <c r="BT662" s="1"/>
    </row>
    <row r="663">
      <c r="A663" s="70"/>
      <c r="F663" s="1"/>
      <c r="L663" s="1"/>
      <c r="R663" s="1"/>
      <c r="X663" s="1"/>
      <c r="AD663" s="1"/>
      <c r="AJ663" s="1"/>
      <c r="AP663" s="1"/>
      <c r="AQ663" s="60"/>
      <c r="AR663" s="54"/>
      <c r="AS663" s="39"/>
      <c r="AT663" s="35"/>
      <c r="AV663" s="1"/>
      <c r="BB663" s="1"/>
      <c r="BH663" s="1"/>
      <c r="BN663" s="1"/>
      <c r="BQ663" s="70"/>
      <c r="BT663" s="1"/>
    </row>
    <row r="664">
      <c r="A664" s="70"/>
      <c r="F664" s="1"/>
      <c r="L664" s="1"/>
      <c r="R664" s="1"/>
      <c r="X664" s="1"/>
      <c r="AD664" s="1"/>
      <c r="AJ664" s="1"/>
      <c r="AP664" s="1"/>
      <c r="AQ664" s="60"/>
      <c r="AR664" s="54"/>
      <c r="AS664" s="39"/>
      <c r="AT664" s="35"/>
      <c r="AV664" s="1"/>
      <c r="BB664" s="1"/>
      <c r="BH664" s="1"/>
      <c r="BN664" s="1"/>
      <c r="BQ664" s="70"/>
      <c r="BT664" s="1"/>
    </row>
    <row r="665">
      <c r="A665" s="70"/>
      <c r="F665" s="1"/>
      <c r="L665" s="1"/>
      <c r="R665" s="1"/>
      <c r="X665" s="1"/>
      <c r="AD665" s="1"/>
      <c r="AJ665" s="1"/>
      <c r="AP665" s="1"/>
      <c r="AQ665" s="60"/>
      <c r="AR665" s="54"/>
      <c r="AS665" s="39"/>
      <c r="AT665" s="35"/>
      <c r="AV665" s="1"/>
      <c r="BB665" s="1"/>
      <c r="BH665" s="1"/>
      <c r="BN665" s="1"/>
      <c r="BP665" s="64"/>
      <c r="BQ665" s="70"/>
      <c r="BT665" s="1"/>
    </row>
    <row r="666">
      <c r="A666" s="70"/>
      <c r="F666" s="1"/>
      <c r="L666" s="1"/>
      <c r="R666" s="1"/>
      <c r="X666" s="1"/>
      <c r="AD666" s="1"/>
      <c r="AJ666" s="1"/>
      <c r="AP666" s="1"/>
      <c r="AQ666" s="60"/>
      <c r="AR666" s="54"/>
      <c r="AS666" s="39"/>
      <c r="AT666" s="35"/>
      <c r="AV666" s="1"/>
      <c r="BB666" s="1"/>
      <c r="BH666" s="1"/>
      <c r="BN666" s="1"/>
      <c r="BP666" s="64"/>
      <c r="BQ666" s="70"/>
      <c r="BT666" s="1"/>
    </row>
    <row r="667">
      <c r="A667" s="70"/>
      <c r="F667" s="1"/>
      <c r="L667" s="1"/>
      <c r="R667" s="1"/>
      <c r="X667" s="1"/>
      <c r="AD667" s="1"/>
      <c r="AJ667" s="1"/>
      <c r="AP667" s="1"/>
      <c r="AQ667" s="60"/>
      <c r="AR667" s="54"/>
      <c r="AS667" s="39"/>
      <c r="AT667" s="35"/>
      <c r="AV667" s="1"/>
      <c r="BB667" s="1"/>
      <c r="BH667" s="1"/>
      <c r="BN667" s="1"/>
      <c r="BP667" s="64"/>
      <c r="BQ667" s="70"/>
      <c r="BT667" s="1"/>
    </row>
    <row r="668">
      <c r="A668" s="70"/>
      <c r="F668" s="1"/>
      <c r="L668" s="1"/>
      <c r="R668" s="1"/>
      <c r="X668" s="1"/>
      <c r="AD668" s="1"/>
      <c r="AJ668" s="1"/>
      <c r="AP668" s="1"/>
      <c r="AQ668" s="60"/>
      <c r="AR668" s="54"/>
      <c r="AS668" s="39"/>
      <c r="AT668" s="35"/>
      <c r="AV668" s="1"/>
      <c r="BB668" s="1"/>
      <c r="BH668" s="1"/>
      <c r="BN668" s="1"/>
      <c r="BP668" s="64"/>
      <c r="BQ668" s="70"/>
      <c r="BT668" s="1"/>
    </row>
    <row r="669">
      <c r="A669" s="70"/>
      <c r="F669" s="1"/>
      <c r="L669" s="1"/>
      <c r="R669" s="1"/>
      <c r="X669" s="1"/>
      <c r="AD669" s="1"/>
      <c r="AJ669" s="1"/>
      <c r="AP669" s="1"/>
      <c r="AQ669" s="60"/>
      <c r="AR669" s="54"/>
      <c r="AS669" s="39"/>
      <c r="AT669" s="35"/>
      <c r="AV669" s="1"/>
      <c r="BB669" s="1"/>
      <c r="BH669" s="1"/>
      <c r="BN669" s="1"/>
      <c r="BP669" s="64"/>
      <c r="BQ669" s="70"/>
      <c r="BT669" s="1"/>
    </row>
    <row r="670">
      <c r="A670" s="70"/>
      <c r="F670" s="1"/>
      <c r="L670" s="1"/>
      <c r="R670" s="1"/>
      <c r="X670" s="1"/>
      <c r="AD670" s="1"/>
      <c r="AJ670" s="1"/>
      <c r="AP670" s="1"/>
      <c r="AQ670" s="60"/>
      <c r="AR670" s="54"/>
      <c r="AS670" s="39"/>
      <c r="AT670" s="35"/>
      <c r="AV670" s="1"/>
      <c r="BB670" s="1"/>
      <c r="BH670" s="1"/>
      <c r="BN670" s="1"/>
      <c r="BP670" s="64"/>
      <c r="BQ670" s="70"/>
      <c r="BT670" s="1"/>
    </row>
    <row r="671">
      <c r="A671" s="70"/>
      <c r="F671" s="1"/>
      <c r="L671" s="1"/>
      <c r="R671" s="1"/>
      <c r="X671" s="1"/>
      <c r="AD671" s="1"/>
      <c r="AJ671" s="1"/>
      <c r="AP671" s="1"/>
      <c r="AQ671" s="60"/>
      <c r="AR671" s="54"/>
      <c r="AS671" s="39"/>
      <c r="AT671" s="35"/>
      <c r="AV671" s="1"/>
      <c r="BB671" s="1"/>
      <c r="BH671" s="1"/>
      <c r="BN671" s="1"/>
      <c r="BP671" s="64"/>
      <c r="BQ671" s="70"/>
      <c r="BT671" s="1"/>
    </row>
    <row r="672">
      <c r="A672" s="70"/>
      <c r="F672" s="1"/>
      <c r="L672" s="1"/>
      <c r="R672" s="1"/>
      <c r="X672" s="1"/>
      <c r="AD672" s="1"/>
      <c r="AJ672" s="1"/>
      <c r="AP672" s="1"/>
      <c r="AQ672" s="60"/>
      <c r="AR672" s="54"/>
      <c r="AS672" s="39"/>
      <c r="AT672" s="35"/>
      <c r="AV672" s="1"/>
      <c r="BB672" s="1"/>
      <c r="BH672" s="1"/>
      <c r="BN672" s="1"/>
      <c r="BP672" s="64"/>
      <c r="BQ672" s="70"/>
      <c r="BT672" s="1"/>
    </row>
    <row r="673">
      <c r="A673" s="70"/>
      <c r="F673" s="1"/>
      <c r="L673" s="1"/>
      <c r="R673" s="1"/>
      <c r="X673" s="1"/>
      <c r="AD673" s="1"/>
      <c r="AJ673" s="1"/>
      <c r="AP673" s="1"/>
      <c r="AQ673" s="60"/>
      <c r="AR673" s="54"/>
      <c r="AS673" s="39"/>
      <c r="AT673" s="35"/>
      <c r="AV673" s="1"/>
      <c r="BB673" s="1"/>
      <c r="BH673" s="1"/>
      <c r="BN673" s="1"/>
      <c r="BP673" s="64"/>
      <c r="BQ673" s="70"/>
      <c r="BT673" s="1"/>
    </row>
    <row r="674">
      <c r="A674" s="70"/>
      <c r="F674" s="1"/>
      <c r="L674" s="1"/>
      <c r="R674" s="1"/>
      <c r="X674" s="1"/>
      <c r="AD674" s="1"/>
      <c r="AJ674" s="1"/>
      <c r="AP674" s="1"/>
      <c r="AQ674" s="60"/>
      <c r="AR674" s="54"/>
      <c r="AS674" s="39"/>
      <c r="AT674" s="35"/>
      <c r="AV674" s="1"/>
      <c r="BB674" s="1"/>
      <c r="BH674" s="1"/>
      <c r="BN674" s="1"/>
      <c r="BP674" s="64"/>
      <c r="BQ674" s="70"/>
      <c r="BT674" s="1"/>
    </row>
    <row r="675">
      <c r="A675" s="70"/>
      <c r="F675" s="1"/>
      <c r="L675" s="1"/>
      <c r="R675" s="1"/>
      <c r="X675" s="1"/>
      <c r="AD675" s="1"/>
      <c r="AJ675" s="1"/>
      <c r="AP675" s="1"/>
      <c r="AQ675" s="60"/>
      <c r="AR675" s="54"/>
      <c r="AS675" s="39"/>
      <c r="AT675" s="35"/>
      <c r="AV675" s="1"/>
      <c r="BB675" s="1"/>
      <c r="BH675" s="1"/>
      <c r="BN675" s="1"/>
      <c r="BP675" s="64"/>
      <c r="BQ675" s="70"/>
      <c r="BT675" s="1"/>
    </row>
    <row r="676">
      <c r="A676" s="70"/>
      <c r="F676" s="1"/>
      <c r="L676" s="1"/>
      <c r="R676" s="1"/>
      <c r="X676" s="1"/>
      <c r="AD676" s="1"/>
      <c r="AJ676" s="1"/>
      <c r="AP676" s="1"/>
      <c r="AQ676" s="60"/>
      <c r="AR676" s="54"/>
      <c r="AS676" s="39"/>
      <c r="AT676" s="35"/>
      <c r="AV676" s="1"/>
      <c r="BB676" s="1"/>
      <c r="BH676" s="1"/>
      <c r="BN676" s="1"/>
      <c r="BP676" s="64"/>
      <c r="BQ676" s="70"/>
      <c r="BT676" s="1"/>
    </row>
    <row r="677">
      <c r="A677" s="70"/>
      <c r="F677" s="1"/>
      <c r="L677" s="1"/>
      <c r="R677" s="1"/>
      <c r="X677" s="1"/>
      <c r="AD677" s="1"/>
      <c r="AJ677" s="1"/>
      <c r="AP677" s="1"/>
      <c r="AQ677" s="60"/>
      <c r="AR677" s="54"/>
      <c r="AS677" s="39"/>
      <c r="AT677" s="35"/>
      <c r="AV677" s="1"/>
      <c r="BB677" s="1"/>
      <c r="BH677" s="1"/>
      <c r="BN677" s="1"/>
      <c r="BP677" s="64"/>
      <c r="BQ677" s="70"/>
      <c r="BT677" s="1"/>
    </row>
    <row r="678">
      <c r="A678" s="70"/>
      <c r="F678" s="1"/>
      <c r="L678" s="1"/>
      <c r="R678" s="1"/>
      <c r="X678" s="1"/>
      <c r="AD678" s="1"/>
      <c r="AJ678" s="1"/>
      <c r="AP678" s="1"/>
      <c r="AQ678" s="60"/>
      <c r="AR678" s="54"/>
      <c r="AS678" s="39"/>
      <c r="AT678" s="35"/>
      <c r="AV678" s="1"/>
      <c r="BB678" s="1"/>
      <c r="BH678" s="1"/>
      <c r="BN678" s="1"/>
      <c r="BP678" s="64"/>
      <c r="BQ678" s="70"/>
      <c r="BT678" s="1"/>
    </row>
    <row r="679">
      <c r="A679" s="70"/>
      <c r="F679" s="1"/>
      <c r="L679" s="1"/>
      <c r="R679" s="1"/>
      <c r="X679" s="1"/>
      <c r="AD679" s="1"/>
      <c r="AJ679" s="1"/>
      <c r="AP679" s="1"/>
      <c r="AQ679" s="60"/>
      <c r="AR679" s="54"/>
      <c r="AS679" s="39"/>
      <c r="AT679" s="35"/>
      <c r="AV679" s="1"/>
      <c r="BB679" s="1"/>
      <c r="BH679" s="1"/>
      <c r="BN679" s="1"/>
      <c r="BP679" s="64"/>
      <c r="BQ679" s="70"/>
      <c r="BT679" s="1"/>
    </row>
    <row r="680">
      <c r="A680" s="70"/>
      <c r="F680" s="1"/>
      <c r="L680" s="1"/>
      <c r="R680" s="1"/>
      <c r="X680" s="1"/>
      <c r="AD680" s="1"/>
      <c r="AJ680" s="1"/>
      <c r="AP680" s="1"/>
      <c r="AQ680" s="60"/>
      <c r="AR680" s="54"/>
      <c r="AS680" s="39"/>
      <c r="AT680" s="35"/>
      <c r="AV680" s="1"/>
      <c r="BB680" s="1"/>
      <c r="BH680" s="1"/>
      <c r="BN680" s="1"/>
      <c r="BP680" s="64"/>
      <c r="BQ680" s="70"/>
      <c r="BT680" s="1"/>
    </row>
    <row r="681">
      <c r="A681" s="70"/>
      <c r="F681" s="1"/>
      <c r="L681" s="1"/>
      <c r="R681" s="1"/>
      <c r="X681" s="1"/>
      <c r="AD681" s="1"/>
      <c r="AJ681" s="1"/>
      <c r="AP681" s="1"/>
      <c r="AQ681" s="60"/>
      <c r="AR681" s="54"/>
      <c r="AS681" s="39"/>
      <c r="AT681" s="35"/>
      <c r="AV681" s="1"/>
      <c r="BB681" s="1"/>
      <c r="BH681" s="1"/>
      <c r="BN681" s="1"/>
      <c r="BQ681" s="70"/>
      <c r="BT681" s="1"/>
    </row>
    <row r="682">
      <c r="A682" s="70"/>
      <c r="F682" s="1"/>
      <c r="L682" s="1"/>
      <c r="R682" s="1"/>
      <c r="X682" s="1"/>
      <c r="AD682" s="1"/>
      <c r="AJ682" s="1"/>
      <c r="AP682" s="1"/>
      <c r="AQ682" s="60"/>
      <c r="AR682" s="54"/>
      <c r="AS682" s="39"/>
      <c r="AT682" s="35"/>
      <c r="AV682" s="1"/>
      <c r="BB682" s="1"/>
      <c r="BH682" s="1"/>
      <c r="BN682" s="1"/>
      <c r="BQ682" s="70"/>
      <c r="BT682" s="1"/>
    </row>
    <row r="683">
      <c r="A683" s="70"/>
      <c r="F683" s="1"/>
      <c r="L683" s="1"/>
      <c r="R683" s="1"/>
      <c r="X683" s="1"/>
      <c r="AD683" s="1"/>
      <c r="AJ683" s="1"/>
      <c r="AP683" s="1"/>
      <c r="AQ683" s="60"/>
      <c r="AR683" s="54"/>
      <c r="AS683" s="39"/>
      <c r="AT683" s="35"/>
      <c r="AV683" s="1"/>
      <c r="BB683" s="1"/>
      <c r="BH683" s="1"/>
      <c r="BN683" s="1"/>
      <c r="BQ683" s="70"/>
      <c r="BT683" s="1"/>
    </row>
    <row r="684">
      <c r="A684" s="70"/>
      <c r="F684" s="1"/>
      <c r="L684" s="1"/>
      <c r="R684" s="1"/>
      <c r="X684" s="1"/>
      <c r="AD684" s="1"/>
      <c r="AJ684" s="1"/>
      <c r="AP684" s="1"/>
      <c r="AQ684" s="60"/>
      <c r="AR684" s="54"/>
      <c r="AS684" s="39"/>
      <c r="AT684" s="35"/>
      <c r="AV684" s="1"/>
      <c r="BB684" s="1"/>
      <c r="BH684" s="1"/>
      <c r="BN684" s="1"/>
      <c r="BQ684" s="70"/>
      <c r="BT684" s="1"/>
    </row>
    <row r="685">
      <c r="A685" s="70"/>
      <c r="F685" s="1"/>
      <c r="L685" s="1"/>
      <c r="R685" s="1"/>
      <c r="X685" s="1"/>
      <c r="AD685" s="1"/>
      <c r="AJ685" s="1"/>
      <c r="AP685" s="1"/>
      <c r="AQ685" s="60"/>
      <c r="AR685" s="54"/>
      <c r="AS685" s="39"/>
      <c r="AT685" s="35"/>
      <c r="AV685" s="1"/>
      <c r="BB685" s="1"/>
      <c r="BH685" s="1"/>
      <c r="BN685" s="1"/>
      <c r="BQ685" s="70"/>
      <c r="BT685" s="1"/>
    </row>
    <row r="686">
      <c r="A686" s="70"/>
      <c r="F686" s="1"/>
      <c r="L686" s="1"/>
      <c r="R686" s="1"/>
      <c r="X686" s="1"/>
      <c r="AD686" s="1"/>
      <c r="AJ686" s="1"/>
      <c r="AP686" s="1"/>
      <c r="AQ686" s="60"/>
      <c r="AR686" s="54"/>
      <c r="AS686" s="39"/>
      <c r="AT686" s="35"/>
      <c r="AV686" s="1"/>
      <c r="BB686" s="1"/>
      <c r="BH686" s="1"/>
      <c r="BN686" s="1"/>
      <c r="BQ686" s="70"/>
      <c r="BT686" s="1"/>
    </row>
    <row r="687">
      <c r="A687" s="70"/>
      <c r="F687" s="1"/>
      <c r="L687" s="1"/>
      <c r="R687" s="1"/>
      <c r="X687" s="1"/>
      <c r="AD687" s="1"/>
      <c r="AJ687" s="1"/>
      <c r="AP687" s="1"/>
      <c r="AQ687" s="60"/>
      <c r="AR687" s="54"/>
      <c r="AS687" s="39"/>
      <c r="AT687" s="35"/>
      <c r="AV687" s="1"/>
      <c r="BB687" s="1"/>
      <c r="BH687" s="1"/>
      <c r="BN687" s="1"/>
      <c r="BQ687" s="70"/>
      <c r="BT687" s="1"/>
    </row>
    <row r="688">
      <c r="A688" s="70"/>
      <c r="F688" s="1"/>
      <c r="L688" s="1"/>
      <c r="R688" s="1"/>
      <c r="X688" s="1"/>
      <c r="AD688" s="1"/>
      <c r="AJ688" s="1"/>
      <c r="AP688" s="1"/>
      <c r="AQ688" s="60"/>
      <c r="AR688" s="54"/>
      <c r="AS688" s="39"/>
      <c r="AT688" s="35"/>
      <c r="AV688" s="1"/>
      <c r="BB688" s="1"/>
      <c r="BH688" s="1"/>
      <c r="BN688" s="1"/>
      <c r="BQ688" s="70"/>
      <c r="BT688" s="1"/>
    </row>
    <row r="689">
      <c r="A689" s="70"/>
      <c r="F689" s="1"/>
      <c r="L689" s="1"/>
      <c r="R689" s="1"/>
      <c r="X689" s="1"/>
      <c r="AD689" s="1"/>
      <c r="AJ689" s="1"/>
      <c r="AP689" s="1"/>
      <c r="AQ689" s="60"/>
      <c r="AR689" s="54"/>
      <c r="AS689" s="39"/>
      <c r="AT689" s="35"/>
      <c r="AV689" s="1"/>
      <c r="BB689" s="1"/>
      <c r="BH689" s="1"/>
      <c r="BN689" s="1"/>
      <c r="BQ689" s="70"/>
      <c r="BT689" s="1"/>
    </row>
    <row r="690">
      <c r="A690" s="70"/>
      <c r="F690" s="1"/>
      <c r="L690" s="1"/>
      <c r="R690" s="1"/>
      <c r="X690" s="1"/>
      <c r="AD690" s="1"/>
      <c r="AJ690" s="1"/>
      <c r="AP690" s="1"/>
      <c r="AQ690" s="60"/>
      <c r="AR690" s="54"/>
      <c r="AS690" s="39"/>
      <c r="AT690" s="35"/>
      <c r="AV690" s="1"/>
      <c r="BB690" s="1"/>
      <c r="BH690" s="1"/>
      <c r="BN690" s="1"/>
      <c r="BQ690" s="70"/>
      <c r="BT690" s="1"/>
    </row>
    <row r="691">
      <c r="A691" s="70"/>
      <c r="F691" s="1"/>
      <c r="L691" s="1"/>
      <c r="R691" s="1"/>
      <c r="X691" s="1"/>
      <c r="AD691" s="1"/>
      <c r="AJ691" s="1"/>
      <c r="AP691" s="1"/>
      <c r="AQ691" s="60"/>
      <c r="AR691" s="54"/>
      <c r="AS691" s="39"/>
      <c r="AT691" s="35"/>
      <c r="AV691" s="1"/>
      <c r="BB691" s="1"/>
      <c r="BH691" s="1"/>
      <c r="BN691" s="1"/>
      <c r="BQ691" s="70"/>
      <c r="BT691" s="1"/>
    </row>
    <row r="692">
      <c r="A692" s="70"/>
      <c r="F692" s="1"/>
      <c r="L692" s="1"/>
      <c r="R692" s="1"/>
      <c r="X692" s="1"/>
      <c r="AD692" s="1"/>
      <c r="AJ692" s="1"/>
      <c r="AP692" s="1"/>
      <c r="AQ692" s="60"/>
      <c r="AR692" s="54"/>
      <c r="AS692" s="39"/>
      <c r="AT692" s="35"/>
      <c r="AV692" s="1"/>
      <c r="BB692" s="1"/>
      <c r="BH692" s="1"/>
      <c r="BN692" s="1"/>
      <c r="BQ692" s="70"/>
      <c r="BT692" s="1"/>
    </row>
    <row r="693">
      <c r="A693" s="70"/>
      <c r="F693" s="1"/>
      <c r="L693" s="1"/>
      <c r="R693" s="1"/>
      <c r="X693" s="1"/>
      <c r="AD693" s="1"/>
      <c r="AJ693" s="1"/>
      <c r="AP693" s="1"/>
      <c r="AQ693" s="60"/>
      <c r="AR693" s="54"/>
      <c r="AS693" s="39"/>
      <c r="AT693" s="35"/>
      <c r="AV693" s="1"/>
      <c r="BB693" s="1"/>
      <c r="BH693" s="1"/>
      <c r="BN693" s="1"/>
      <c r="BQ693" s="70"/>
      <c r="BT693" s="1"/>
    </row>
    <row r="694">
      <c r="A694" s="70"/>
      <c r="F694" s="1"/>
      <c r="L694" s="1"/>
      <c r="R694" s="1"/>
      <c r="X694" s="1"/>
      <c r="AD694" s="1"/>
      <c r="AJ694" s="1"/>
      <c r="AP694" s="1"/>
      <c r="AQ694" s="60"/>
      <c r="AR694" s="54"/>
      <c r="AS694" s="39"/>
      <c r="AT694" s="35"/>
      <c r="AV694" s="1"/>
      <c r="BB694" s="1"/>
      <c r="BH694" s="1"/>
      <c r="BN694" s="1"/>
      <c r="BQ694" s="70"/>
      <c r="BT694" s="1"/>
    </row>
    <row r="695">
      <c r="A695" s="70"/>
      <c r="F695" s="1"/>
      <c r="L695" s="1"/>
      <c r="R695" s="1"/>
      <c r="X695" s="1"/>
      <c r="AD695" s="1"/>
      <c r="AJ695" s="1"/>
      <c r="AP695" s="1"/>
      <c r="AQ695" s="60"/>
      <c r="AR695" s="54"/>
      <c r="AS695" s="39"/>
      <c r="AT695" s="35"/>
      <c r="AV695" s="1"/>
      <c r="BB695" s="1"/>
      <c r="BH695" s="1"/>
      <c r="BN695" s="1"/>
      <c r="BQ695" s="70"/>
      <c r="BT695" s="1"/>
    </row>
    <row r="696">
      <c r="A696" s="70"/>
      <c r="F696" s="1"/>
      <c r="L696" s="1"/>
      <c r="R696" s="1"/>
      <c r="X696" s="1"/>
      <c r="AD696" s="1"/>
      <c r="AJ696" s="1"/>
      <c r="AP696" s="1"/>
      <c r="AQ696" s="60"/>
      <c r="AR696" s="54"/>
      <c r="AS696" s="39"/>
      <c r="AT696" s="35"/>
      <c r="AV696" s="1"/>
      <c r="BB696" s="1"/>
      <c r="BH696" s="1"/>
      <c r="BN696" s="1"/>
      <c r="BQ696" s="70"/>
      <c r="BT696" s="1"/>
    </row>
    <row r="697">
      <c r="A697" s="70"/>
      <c r="F697" s="1"/>
      <c r="L697" s="1"/>
      <c r="R697" s="1"/>
      <c r="X697" s="1"/>
      <c r="AD697" s="1"/>
      <c r="AJ697" s="1"/>
      <c r="AP697" s="1"/>
      <c r="AQ697" s="60"/>
      <c r="AR697" s="54"/>
      <c r="AS697" s="39"/>
      <c r="AT697" s="35"/>
      <c r="AV697" s="1"/>
      <c r="BB697" s="1"/>
      <c r="BH697" s="1"/>
      <c r="BN697" s="1"/>
      <c r="BQ697" s="70"/>
      <c r="BT697" s="1"/>
    </row>
    <row r="698">
      <c r="A698" s="70"/>
      <c r="F698" s="1"/>
      <c r="L698" s="1"/>
      <c r="R698" s="1"/>
      <c r="X698" s="1"/>
      <c r="AD698" s="1"/>
      <c r="AJ698" s="1"/>
      <c r="AP698" s="1"/>
      <c r="AQ698" s="60"/>
      <c r="AR698" s="54"/>
      <c r="AS698" s="39"/>
      <c r="AT698" s="35"/>
      <c r="AV698" s="1"/>
      <c r="BB698" s="1"/>
      <c r="BH698" s="1"/>
      <c r="BN698" s="1"/>
      <c r="BQ698" s="70"/>
      <c r="BT698" s="1"/>
    </row>
    <row r="699">
      <c r="A699" s="70"/>
      <c r="F699" s="1"/>
      <c r="L699" s="1"/>
      <c r="R699" s="1"/>
      <c r="X699" s="1"/>
      <c r="AD699" s="1"/>
      <c r="AJ699" s="1"/>
      <c r="AP699" s="1"/>
      <c r="AQ699" s="60"/>
      <c r="AR699" s="54"/>
      <c r="AS699" s="39"/>
      <c r="AT699" s="35"/>
      <c r="AV699" s="1"/>
      <c r="BB699" s="1"/>
      <c r="BH699" s="1"/>
      <c r="BN699" s="1"/>
      <c r="BQ699" s="70"/>
      <c r="BT699" s="1"/>
    </row>
    <row r="700">
      <c r="A700" s="70"/>
      <c r="F700" s="1"/>
      <c r="L700" s="1"/>
      <c r="R700" s="1"/>
      <c r="X700" s="1"/>
      <c r="AD700" s="1"/>
      <c r="AJ700" s="1"/>
      <c r="AP700" s="1"/>
      <c r="AQ700" s="60"/>
      <c r="AR700" s="54"/>
      <c r="AS700" s="39"/>
      <c r="AT700" s="35"/>
      <c r="AV700" s="1"/>
      <c r="BB700" s="1"/>
      <c r="BH700" s="1"/>
      <c r="BN700" s="1"/>
      <c r="BQ700" s="70"/>
      <c r="BT700" s="1"/>
    </row>
    <row r="701">
      <c r="A701" s="70"/>
      <c r="F701" s="1"/>
      <c r="L701" s="1"/>
      <c r="R701" s="1"/>
      <c r="X701" s="1"/>
      <c r="AD701" s="1"/>
      <c r="AJ701" s="1"/>
      <c r="AP701" s="1"/>
      <c r="AQ701" s="60"/>
      <c r="AR701" s="54"/>
      <c r="AS701" s="39"/>
      <c r="AT701" s="35"/>
      <c r="AV701" s="1"/>
      <c r="BB701" s="1"/>
      <c r="BH701" s="1"/>
      <c r="BN701" s="1"/>
      <c r="BQ701" s="70"/>
      <c r="BT701" s="1"/>
    </row>
    <row r="702">
      <c r="A702" s="70"/>
      <c r="F702" s="1"/>
      <c r="L702" s="1"/>
      <c r="R702" s="1"/>
      <c r="X702" s="1"/>
      <c r="AD702" s="1"/>
      <c r="AJ702" s="1"/>
      <c r="AP702" s="1"/>
      <c r="AQ702" s="60"/>
      <c r="AR702" s="54"/>
      <c r="AS702" s="39"/>
      <c r="AT702" s="35"/>
      <c r="AV702" s="1"/>
      <c r="BB702" s="1"/>
      <c r="BH702" s="1"/>
      <c r="BN702" s="1"/>
      <c r="BQ702" s="70"/>
      <c r="BT702" s="1"/>
    </row>
    <row r="703">
      <c r="A703" s="70"/>
      <c r="F703" s="1"/>
      <c r="L703" s="1"/>
      <c r="R703" s="1"/>
      <c r="X703" s="1"/>
      <c r="AD703" s="1"/>
      <c r="AJ703" s="1"/>
      <c r="AP703" s="1"/>
      <c r="AQ703" s="60"/>
      <c r="AR703" s="54"/>
      <c r="AS703" s="39"/>
      <c r="AT703" s="35"/>
      <c r="AV703" s="1"/>
      <c r="BB703" s="1"/>
      <c r="BH703" s="1"/>
      <c r="BN703" s="1"/>
      <c r="BQ703" s="70"/>
      <c r="BT703" s="1"/>
    </row>
    <row r="704">
      <c r="A704" s="70"/>
      <c r="F704" s="1"/>
      <c r="L704" s="1"/>
      <c r="R704" s="1"/>
      <c r="X704" s="1"/>
      <c r="AD704" s="1"/>
      <c r="AJ704" s="1"/>
      <c r="AP704" s="1"/>
      <c r="AQ704" s="60"/>
      <c r="AR704" s="54"/>
      <c r="AS704" s="39"/>
      <c r="AT704" s="35"/>
      <c r="AV704" s="1"/>
      <c r="BB704" s="1"/>
      <c r="BH704" s="1"/>
      <c r="BN704" s="1"/>
      <c r="BQ704" s="70"/>
      <c r="BT704" s="1"/>
    </row>
    <row r="705">
      <c r="A705" s="70"/>
      <c r="F705" s="1"/>
      <c r="L705" s="1"/>
      <c r="R705" s="1"/>
      <c r="X705" s="1"/>
      <c r="AD705" s="1"/>
      <c r="AJ705" s="1"/>
      <c r="AP705" s="1"/>
      <c r="AQ705" s="60"/>
      <c r="AR705" s="54"/>
      <c r="AS705" s="39"/>
      <c r="AT705" s="35"/>
      <c r="AV705" s="1"/>
      <c r="BB705" s="1"/>
      <c r="BH705" s="1"/>
      <c r="BN705" s="1"/>
      <c r="BQ705" s="70"/>
      <c r="BT705" s="1"/>
    </row>
    <row r="706">
      <c r="A706" s="70"/>
      <c r="F706" s="1"/>
      <c r="L706" s="1"/>
      <c r="R706" s="1"/>
      <c r="X706" s="1"/>
      <c r="AD706" s="1"/>
      <c r="AJ706" s="1"/>
      <c r="AP706" s="1"/>
      <c r="AQ706" s="60"/>
      <c r="AR706" s="54"/>
      <c r="AS706" s="39"/>
      <c r="AT706" s="35"/>
      <c r="AV706" s="1"/>
      <c r="BB706" s="1"/>
      <c r="BH706" s="1"/>
      <c r="BN706" s="1"/>
      <c r="BQ706" s="70"/>
      <c r="BT706" s="1"/>
    </row>
    <row r="707">
      <c r="A707" s="70"/>
      <c r="F707" s="1"/>
      <c r="L707" s="1"/>
      <c r="R707" s="1"/>
      <c r="X707" s="1"/>
      <c r="AD707" s="1"/>
      <c r="AJ707" s="1"/>
      <c r="AP707" s="1"/>
      <c r="AQ707" s="60"/>
      <c r="AR707" s="54"/>
      <c r="AS707" s="39"/>
      <c r="AT707" s="35"/>
      <c r="AV707" s="1"/>
      <c r="BB707" s="1"/>
      <c r="BH707" s="1"/>
      <c r="BN707" s="1"/>
      <c r="BQ707" s="70"/>
      <c r="BT707" s="1"/>
    </row>
    <row r="708">
      <c r="A708" s="70"/>
      <c r="F708" s="1"/>
      <c r="L708" s="1"/>
      <c r="R708" s="1"/>
      <c r="X708" s="1"/>
      <c r="AD708" s="1"/>
      <c r="AJ708" s="1"/>
      <c r="AP708" s="1"/>
      <c r="AQ708" s="60"/>
      <c r="AR708" s="54"/>
      <c r="AS708" s="39"/>
      <c r="AT708" s="35"/>
      <c r="AV708" s="1"/>
      <c r="BB708" s="1"/>
      <c r="BH708" s="1"/>
      <c r="BN708" s="1"/>
      <c r="BQ708" s="70"/>
      <c r="BT708" s="1"/>
    </row>
    <row r="709">
      <c r="A709" s="70"/>
      <c r="F709" s="1"/>
      <c r="L709" s="1"/>
      <c r="R709" s="1"/>
      <c r="X709" s="1"/>
      <c r="AD709" s="1"/>
      <c r="AJ709" s="1"/>
      <c r="AP709" s="1"/>
      <c r="AQ709" s="60"/>
      <c r="AR709" s="54"/>
      <c r="AS709" s="39"/>
      <c r="AT709" s="35"/>
      <c r="AV709" s="1"/>
      <c r="BB709" s="1"/>
      <c r="BH709" s="1"/>
      <c r="BN709" s="1"/>
      <c r="BQ709" s="70"/>
      <c r="BT709" s="1"/>
    </row>
    <row r="710">
      <c r="A710" s="70"/>
      <c r="F710" s="1"/>
      <c r="L710" s="1"/>
      <c r="R710" s="1"/>
      <c r="X710" s="1"/>
      <c r="AD710" s="1"/>
      <c r="AJ710" s="1"/>
      <c r="AP710" s="1"/>
      <c r="AQ710" s="60"/>
      <c r="AR710" s="54"/>
      <c r="AS710" s="39"/>
      <c r="AT710" s="35"/>
      <c r="AV710" s="1"/>
      <c r="BB710" s="1"/>
      <c r="BH710" s="1"/>
      <c r="BN710" s="1"/>
      <c r="BQ710" s="70"/>
      <c r="BT710" s="1"/>
    </row>
    <row r="711">
      <c r="A711" s="70"/>
      <c r="F711" s="1"/>
      <c r="L711" s="1"/>
      <c r="R711" s="1"/>
      <c r="X711" s="1"/>
      <c r="AD711" s="1"/>
      <c r="AJ711" s="1"/>
      <c r="AP711" s="1"/>
      <c r="AQ711" s="60"/>
      <c r="AR711" s="54"/>
      <c r="AS711" s="39"/>
      <c r="AT711" s="35"/>
      <c r="AV711" s="1"/>
      <c r="BB711" s="1"/>
      <c r="BH711" s="1"/>
      <c r="BN711" s="1"/>
      <c r="BQ711" s="70"/>
      <c r="BT711" s="1"/>
    </row>
    <row r="712">
      <c r="A712" s="70"/>
      <c r="F712" s="1"/>
      <c r="L712" s="1"/>
      <c r="R712" s="1"/>
      <c r="X712" s="1"/>
      <c r="AD712" s="1"/>
      <c r="AJ712" s="1"/>
      <c r="AP712" s="1"/>
      <c r="AQ712" s="60"/>
      <c r="AR712" s="54"/>
      <c r="AS712" s="39"/>
      <c r="AT712" s="35"/>
      <c r="AV712" s="1"/>
      <c r="BB712" s="1"/>
      <c r="BH712" s="1"/>
      <c r="BN712" s="1"/>
      <c r="BQ712" s="70"/>
      <c r="BT712" s="1"/>
    </row>
    <row r="713">
      <c r="A713" s="70"/>
      <c r="F713" s="1"/>
      <c r="L713" s="1"/>
      <c r="R713" s="1"/>
      <c r="X713" s="1"/>
      <c r="AD713" s="1"/>
      <c r="AJ713" s="1"/>
      <c r="AP713" s="1"/>
      <c r="AQ713" s="60"/>
      <c r="AR713" s="54"/>
      <c r="AS713" s="39"/>
      <c r="AT713" s="35"/>
      <c r="AV713" s="1"/>
      <c r="BB713" s="1"/>
      <c r="BH713" s="1"/>
      <c r="BN713" s="1"/>
      <c r="BQ713" s="70"/>
      <c r="BT713" s="1"/>
    </row>
    <row r="714">
      <c r="A714" s="70"/>
      <c r="F714" s="1"/>
      <c r="L714" s="1"/>
      <c r="R714" s="1"/>
      <c r="X714" s="1"/>
      <c r="AD714" s="1"/>
      <c r="AJ714" s="1"/>
      <c r="AP714" s="1"/>
      <c r="AQ714" s="60"/>
      <c r="AR714" s="54"/>
      <c r="AS714" s="39"/>
      <c r="AT714" s="35"/>
      <c r="AV714" s="1"/>
      <c r="BB714" s="1"/>
      <c r="BH714" s="1"/>
      <c r="BN714" s="1"/>
      <c r="BQ714" s="70"/>
      <c r="BT714" s="1"/>
    </row>
    <row r="715">
      <c r="A715" s="70"/>
      <c r="F715" s="1"/>
      <c r="L715" s="1"/>
      <c r="R715" s="1"/>
      <c r="X715" s="1"/>
      <c r="AD715" s="1"/>
      <c r="AJ715" s="1"/>
      <c r="AP715" s="1"/>
      <c r="AQ715" s="60"/>
      <c r="AR715" s="54"/>
      <c r="AS715" s="39"/>
      <c r="AT715" s="35"/>
      <c r="AV715" s="1"/>
      <c r="BB715" s="1"/>
      <c r="BH715" s="1"/>
      <c r="BN715" s="1"/>
      <c r="BQ715" s="70"/>
      <c r="BT715" s="1"/>
    </row>
    <row r="716">
      <c r="A716" s="70"/>
      <c r="F716" s="1"/>
      <c r="L716" s="1"/>
      <c r="R716" s="1"/>
      <c r="X716" s="1"/>
      <c r="AD716" s="1"/>
      <c r="AJ716" s="1"/>
      <c r="AP716" s="1"/>
      <c r="AQ716" s="60"/>
      <c r="AR716" s="54"/>
      <c r="AS716" s="39"/>
      <c r="AT716" s="35"/>
      <c r="AV716" s="1"/>
      <c r="BB716" s="1"/>
      <c r="BH716" s="1"/>
      <c r="BN716" s="1"/>
      <c r="BQ716" s="70"/>
      <c r="BT716" s="1"/>
    </row>
    <row r="717">
      <c r="A717" s="70"/>
      <c r="F717" s="1"/>
      <c r="L717" s="1"/>
      <c r="R717" s="1"/>
      <c r="X717" s="1"/>
      <c r="AD717" s="1"/>
      <c r="AJ717" s="1"/>
      <c r="AP717" s="1"/>
      <c r="AQ717" s="60"/>
      <c r="AR717" s="54"/>
      <c r="AS717" s="39"/>
      <c r="AT717" s="35"/>
      <c r="AV717" s="1"/>
      <c r="BB717" s="1"/>
      <c r="BH717" s="1"/>
      <c r="BN717" s="1"/>
      <c r="BQ717" s="70"/>
      <c r="BT717" s="1"/>
    </row>
    <row r="718">
      <c r="A718" s="70"/>
      <c r="F718" s="1"/>
      <c r="L718" s="1"/>
      <c r="R718" s="1"/>
      <c r="X718" s="1"/>
      <c r="AD718" s="1"/>
      <c r="AJ718" s="1"/>
      <c r="AP718" s="1"/>
      <c r="AQ718" s="60"/>
      <c r="AR718" s="54"/>
      <c r="AS718" s="39"/>
      <c r="AT718" s="35"/>
      <c r="AV718" s="1"/>
      <c r="BB718" s="1"/>
      <c r="BH718" s="1"/>
      <c r="BN718" s="1"/>
      <c r="BQ718" s="70"/>
      <c r="BT718" s="1"/>
    </row>
    <row r="719">
      <c r="A719" s="70"/>
      <c r="F719" s="1"/>
      <c r="L719" s="1"/>
      <c r="R719" s="1"/>
      <c r="X719" s="1"/>
      <c r="AD719" s="1"/>
      <c r="AJ719" s="1"/>
      <c r="AP719" s="1"/>
      <c r="AQ719" s="60"/>
      <c r="AR719" s="54"/>
      <c r="AS719" s="39"/>
      <c r="AT719" s="35"/>
      <c r="AV719" s="1"/>
      <c r="BB719" s="1"/>
      <c r="BH719" s="1"/>
      <c r="BN719" s="1"/>
      <c r="BQ719" s="70"/>
      <c r="BT719" s="1"/>
    </row>
    <row r="720">
      <c r="A720" s="70"/>
      <c r="F720" s="1"/>
      <c r="L720" s="1"/>
      <c r="R720" s="1"/>
      <c r="X720" s="1"/>
      <c r="AD720" s="1"/>
      <c r="AJ720" s="1"/>
      <c r="AP720" s="1"/>
      <c r="AQ720" s="60"/>
      <c r="AR720" s="54"/>
      <c r="AS720" s="39"/>
      <c r="AT720" s="35"/>
      <c r="AV720" s="1"/>
      <c r="BB720" s="1"/>
      <c r="BH720" s="1"/>
      <c r="BN720" s="1"/>
      <c r="BQ720" s="70"/>
      <c r="BT720" s="1"/>
    </row>
    <row r="721">
      <c r="A721" s="70"/>
      <c r="F721" s="1"/>
      <c r="L721" s="1"/>
      <c r="R721" s="1"/>
      <c r="X721" s="1"/>
      <c r="AD721" s="1"/>
      <c r="AJ721" s="1"/>
      <c r="AP721" s="1"/>
      <c r="AQ721" s="60"/>
      <c r="AR721" s="54"/>
      <c r="AS721" s="39"/>
      <c r="AT721" s="35"/>
      <c r="AV721" s="1"/>
      <c r="BB721" s="1"/>
      <c r="BH721" s="1"/>
      <c r="BN721" s="1"/>
      <c r="BQ721" s="70"/>
      <c r="BT721" s="1"/>
    </row>
    <row r="722">
      <c r="A722" s="70"/>
      <c r="F722" s="1"/>
      <c r="L722" s="1"/>
      <c r="R722" s="1"/>
      <c r="X722" s="1"/>
      <c r="AD722" s="1"/>
      <c r="AJ722" s="1"/>
      <c r="AP722" s="1"/>
      <c r="AQ722" s="60"/>
      <c r="AR722" s="54"/>
      <c r="AS722" s="39"/>
      <c r="AT722" s="35"/>
      <c r="AV722" s="1"/>
      <c r="BB722" s="1"/>
      <c r="BH722" s="1"/>
      <c r="BN722" s="1"/>
      <c r="BQ722" s="70"/>
      <c r="BT722" s="1"/>
    </row>
    <row r="723">
      <c r="A723" s="70"/>
      <c r="F723" s="1"/>
      <c r="L723" s="1"/>
      <c r="R723" s="1"/>
      <c r="X723" s="1"/>
      <c r="AD723" s="1"/>
      <c r="AJ723" s="1"/>
      <c r="AP723" s="1"/>
      <c r="AQ723" s="60"/>
      <c r="AR723" s="54"/>
      <c r="AS723" s="39"/>
      <c r="AT723" s="35"/>
      <c r="AV723" s="1"/>
      <c r="BB723" s="1"/>
      <c r="BH723" s="1"/>
      <c r="BN723" s="1"/>
      <c r="BQ723" s="70"/>
      <c r="BT723" s="1"/>
    </row>
    <row r="724">
      <c r="A724" s="70"/>
      <c r="F724" s="1"/>
      <c r="L724" s="1"/>
      <c r="R724" s="1"/>
      <c r="X724" s="1"/>
      <c r="AD724" s="1"/>
      <c r="AJ724" s="1"/>
      <c r="AP724" s="1"/>
      <c r="AQ724" s="60"/>
      <c r="AR724" s="54"/>
      <c r="AS724" s="39"/>
      <c r="AT724" s="35"/>
      <c r="AV724" s="1"/>
      <c r="BB724" s="1"/>
      <c r="BH724" s="1"/>
      <c r="BN724" s="1"/>
      <c r="BQ724" s="70"/>
      <c r="BT724" s="1"/>
    </row>
    <row r="725">
      <c r="A725" s="70"/>
      <c r="F725" s="1"/>
      <c r="L725" s="1"/>
      <c r="R725" s="1"/>
      <c r="X725" s="1"/>
      <c r="AD725" s="1"/>
      <c r="AJ725" s="1"/>
      <c r="AP725" s="1"/>
      <c r="AQ725" s="60"/>
      <c r="AR725" s="54"/>
      <c r="AS725" s="39"/>
      <c r="AT725" s="35"/>
      <c r="AV725" s="1"/>
      <c r="BB725" s="1"/>
      <c r="BH725" s="1"/>
      <c r="BN725" s="1"/>
      <c r="BQ725" s="70"/>
      <c r="BT725" s="1"/>
    </row>
    <row r="726">
      <c r="A726" s="70"/>
      <c r="F726" s="1"/>
      <c r="L726" s="1"/>
      <c r="R726" s="1"/>
      <c r="X726" s="1"/>
      <c r="AD726" s="1"/>
      <c r="AJ726" s="1"/>
      <c r="AP726" s="1"/>
      <c r="AQ726" s="60"/>
      <c r="AR726" s="54"/>
      <c r="AS726" s="39"/>
      <c r="AT726" s="35"/>
      <c r="AV726" s="1"/>
      <c r="BB726" s="1"/>
      <c r="BH726" s="1"/>
      <c r="BN726" s="1"/>
      <c r="BQ726" s="70"/>
      <c r="BT726" s="1"/>
    </row>
    <row r="727">
      <c r="A727" s="70"/>
      <c r="F727" s="1"/>
      <c r="L727" s="1"/>
      <c r="R727" s="1"/>
      <c r="X727" s="1"/>
      <c r="AD727" s="1"/>
      <c r="AJ727" s="1"/>
      <c r="AP727" s="1"/>
      <c r="AQ727" s="60"/>
      <c r="AR727" s="54"/>
      <c r="AS727" s="39"/>
      <c r="AT727" s="35"/>
      <c r="AV727" s="1"/>
      <c r="BB727" s="1"/>
      <c r="BH727" s="1"/>
      <c r="BN727" s="1"/>
      <c r="BQ727" s="70"/>
      <c r="BT727" s="1"/>
    </row>
    <row r="728">
      <c r="A728" s="70"/>
      <c r="F728" s="1"/>
      <c r="L728" s="1"/>
      <c r="R728" s="1"/>
      <c r="X728" s="1"/>
      <c r="AD728" s="1"/>
      <c r="AJ728" s="1"/>
      <c r="AP728" s="1"/>
      <c r="AQ728" s="60"/>
      <c r="AR728" s="54"/>
      <c r="AS728" s="39"/>
      <c r="AT728" s="35"/>
      <c r="AV728" s="1"/>
      <c r="BB728" s="1"/>
      <c r="BH728" s="1"/>
      <c r="BN728" s="1"/>
      <c r="BQ728" s="70"/>
      <c r="BT728" s="1"/>
    </row>
    <row r="729">
      <c r="A729" s="70"/>
      <c r="F729" s="1"/>
      <c r="L729" s="1"/>
      <c r="R729" s="1"/>
      <c r="X729" s="1"/>
      <c r="AD729" s="1"/>
      <c r="AJ729" s="1"/>
      <c r="AP729" s="1"/>
      <c r="AQ729" s="60"/>
      <c r="AR729" s="54"/>
      <c r="AS729" s="39"/>
      <c r="AT729" s="35"/>
      <c r="AV729" s="1"/>
      <c r="BB729" s="1"/>
      <c r="BH729" s="1"/>
      <c r="BN729" s="1"/>
      <c r="BQ729" s="70"/>
      <c r="BT729" s="1"/>
    </row>
    <row r="730">
      <c r="A730" s="70"/>
      <c r="F730" s="1"/>
      <c r="L730" s="1"/>
      <c r="R730" s="1"/>
      <c r="X730" s="1"/>
      <c r="AD730" s="1"/>
      <c r="AJ730" s="1"/>
      <c r="AP730" s="1"/>
      <c r="AQ730" s="60"/>
      <c r="AR730" s="54"/>
      <c r="AS730" s="39"/>
      <c r="AT730" s="35"/>
      <c r="AV730" s="1"/>
      <c r="BB730" s="1"/>
      <c r="BH730" s="1"/>
      <c r="BN730" s="1"/>
      <c r="BQ730" s="70"/>
      <c r="BT730" s="1"/>
    </row>
    <row r="731">
      <c r="A731" s="70"/>
      <c r="F731" s="1"/>
      <c r="L731" s="1"/>
      <c r="R731" s="1"/>
      <c r="X731" s="1"/>
      <c r="AD731" s="1"/>
      <c r="AJ731" s="1"/>
      <c r="AP731" s="1"/>
      <c r="AQ731" s="60"/>
      <c r="AR731" s="54"/>
      <c r="AS731" s="39"/>
      <c r="AT731" s="35"/>
      <c r="AV731" s="1"/>
      <c r="BB731" s="1"/>
      <c r="BH731" s="1"/>
      <c r="BN731" s="1"/>
      <c r="BQ731" s="70"/>
      <c r="BT731" s="1"/>
    </row>
    <row r="732">
      <c r="A732" s="70"/>
      <c r="F732" s="1"/>
      <c r="L732" s="1"/>
      <c r="R732" s="1"/>
      <c r="X732" s="1"/>
      <c r="AD732" s="1"/>
      <c r="AJ732" s="1"/>
      <c r="AP732" s="1"/>
      <c r="AQ732" s="60"/>
      <c r="AR732" s="54"/>
      <c r="AS732" s="39"/>
      <c r="AT732" s="35"/>
      <c r="AV732" s="1"/>
      <c r="BB732" s="1"/>
      <c r="BH732" s="1"/>
      <c r="BN732" s="1"/>
      <c r="BQ732" s="70"/>
      <c r="BT732" s="1"/>
    </row>
    <row r="733">
      <c r="A733" s="70"/>
      <c r="F733" s="1"/>
      <c r="L733" s="1"/>
      <c r="R733" s="1"/>
      <c r="X733" s="1"/>
      <c r="AD733" s="1"/>
      <c r="AJ733" s="1"/>
      <c r="AP733" s="1"/>
      <c r="AQ733" s="60"/>
      <c r="AR733" s="54"/>
      <c r="AS733" s="39"/>
      <c r="AT733" s="35"/>
      <c r="AV733" s="1"/>
      <c r="BB733" s="1"/>
      <c r="BH733" s="1"/>
      <c r="BN733" s="1"/>
      <c r="BQ733" s="70"/>
      <c r="BT733" s="1"/>
    </row>
    <row r="734">
      <c r="A734" s="70"/>
      <c r="F734" s="1"/>
      <c r="L734" s="1"/>
      <c r="R734" s="1"/>
      <c r="X734" s="1"/>
      <c r="AD734" s="1"/>
      <c r="AJ734" s="1"/>
      <c r="AP734" s="1"/>
      <c r="AQ734" s="60"/>
      <c r="AR734" s="54"/>
      <c r="AS734" s="39"/>
      <c r="AT734" s="35"/>
      <c r="AV734" s="1"/>
      <c r="BB734" s="1"/>
      <c r="BH734" s="1"/>
      <c r="BN734" s="1"/>
      <c r="BQ734" s="70"/>
      <c r="BT734" s="1"/>
    </row>
    <row r="735">
      <c r="A735" s="70"/>
      <c r="F735" s="1"/>
      <c r="L735" s="1"/>
      <c r="R735" s="1"/>
      <c r="X735" s="1"/>
      <c r="AD735" s="1"/>
      <c r="AJ735" s="1"/>
      <c r="AP735" s="1"/>
      <c r="AQ735" s="60"/>
      <c r="AR735" s="54"/>
      <c r="AS735" s="39"/>
      <c r="AT735" s="35"/>
      <c r="AV735" s="1"/>
      <c r="BB735" s="1"/>
      <c r="BH735" s="1"/>
      <c r="BN735" s="1"/>
      <c r="BQ735" s="70"/>
      <c r="BT735" s="1"/>
    </row>
    <row r="736">
      <c r="A736" s="70"/>
      <c r="F736" s="1"/>
      <c r="L736" s="1"/>
      <c r="R736" s="1"/>
      <c r="X736" s="1"/>
      <c r="AD736" s="1"/>
      <c r="AJ736" s="1"/>
      <c r="AP736" s="1"/>
      <c r="AQ736" s="60"/>
      <c r="AR736" s="54"/>
      <c r="AS736" s="39"/>
      <c r="AT736" s="35"/>
      <c r="AV736" s="1"/>
      <c r="BB736" s="1"/>
      <c r="BH736" s="1"/>
      <c r="BN736" s="1"/>
      <c r="BQ736" s="70"/>
      <c r="BT736" s="1"/>
    </row>
    <row r="737">
      <c r="A737" s="70"/>
      <c r="F737" s="1"/>
      <c r="L737" s="1"/>
      <c r="R737" s="1"/>
      <c r="X737" s="1"/>
      <c r="AD737" s="1"/>
      <c r="AJ737" s="1"/>
      <c r="AP737" s="1"/>
      <c r="AQ737" s="60"/>
      <c r="AR737" s="54"/>
      <c r="AS737" s="39"/>
      <c r="AT737" s="35"/>
      <c r="AV737" s="1"/>
      <c r="BB737" s="1"/>
      <c r="BH737" s="1"/>
      <c r="BN737" s="1"/>
      <c r="BP737" s="64"/>
      <c r="BQ737" s="70"/>
      <c r="BT737" s="1"/>
    </row>
    <row r="738">
      <c r="A738" s="70"/>
      <c r="F738" s="1"/>
      <c r="L738" s="1"/>
      <c r="R738" s="1"/>
      <c r="X738" s="1"/>
      <c r="AD738" s="1"/>
      <c r="AJ738" s="1"/>
      <c r="AP738" s="1"/>
      <c r="AQ738" s="60"/>
      <c r="AR738" s="54"/>
      <c r="AS738" s="39"/>
      <c r="AT738" s="35"/>
      <c r="AV738" s="1"/>
      <c r="BB738" s="1"/>
      <c r="BH738" s="1"/>
      <c r="BN738" s="1"/>
      <c r="BP738" s="64"/>
      <c r="BQ738" s="70"/>
      <c r="BT738" s="1"/>
    </row>
    <row r="739">
      <c r="A739" s="70"/>
      <c r="F739" s="1"/>
      <c r="L739" s="1"/>
      <c r="R739" s="1"/>
      <c r="X739" s="1"/>
      <c r="AD739" s="1"/>
      <c r="AJ739" s="1"/>
      <c r="AP739" s="1"/>
      <c r="AQ739" s="60"/>
      <c r="AR739" s="54"/>
      <c r="AS739" s="39"/>
      <c r="AT739" s="35"/>
      <c r="AV739" s="1"/>
      <c r="BB739" s="1"/>
      <c r="BH739" s="1"/>
      <c r="BN739" s="1"/>
      <c r="BP739" s="64"/>
      <c r="BQ739" s="70"/>
      <c r="BT739" s="1"/>
    </row>
    <row r="740">
      <c r="A740" s="70"/>
      <c r="F740" s="1"/>
      <c r="L740" s="1"/>
      <c r="R740" s="1"/>
      <c r="X740" s="1"/>
      <c r="AD740" s="1"/>
      <c r="AJ740" s="1"/>
      <c r="AP740" s="1"/>
      <c r="AQ740" s="60"/>
      <c r="AR740" s="54"/>
      <c r="AS740" s="39"/>
      <c r="AT740" s="35"/>
      <c r="AV740" s="1"/>
      <c r="BB740" s="1"/>
      <c r="BH740" s="1"/>
      <c r="BN740" s="1"/>
      <c r="BP740" s="64"/>
      <c r="BQ740" s="70"/>
      <c r="BT740" s="1"/>
    </row>
    <row r="741">
      <c r="A741" s="70"/>
      <c r="F741" s="1"/>
      <c r="L741" s="1"/>
      <c r="R741" s="1"/>
      <c r="X741" s="1"/>
      <c r="AD741" s="1"/>
      <c r="AJ741" s="1"/>
      <c r="AP741" s="1"/>
      <c r="AQ741" s="60"/>
      <c r="AR741" s="54"/>
      <c r="AS741" s="39"/>
      <c r="AT741" s="35"/>
      <c r="AV741" s="1"/>
      <c r="BB741" s="1"/>
      <c r="BH741" s="1"/>
      <c r="BN741" s="1"/>
      <c r="BP741" s="64"/>
      <c r="BQ741" s="70"/>
      <c r="BT741" s="1"/>
    </row>
    <row r="742">
      <c r="A742" s="70"/>
      <c r="F742" s="1"/>
      <c r="L742" s="1"/>
      <c r="R742" s="1"/>
      <c r="X742" s="1"/>
      <c r="AD742" s="1"/>
      <c r="AJ742" s="1"/>
      <c r="AP742" s="1"/>
      <c r="AQ742" s="60"/>
      <c r="AR742" s="54"/>
      <c r="AS742" s="39"/>
      <c r="AT742" s="35"/>
      <c r="AV742" s="1"/>
      <c r="BB742" s="1"/>
      <c r="BH742" s="1"/>
      <c r="BN742" s="1"/>
      <c r="BP742" s="64"/>
      <c r="BQ742" s="70"/>
      <c r="BT742" s="1"/>
    </row>
    <row r="743">
      <c r="A743" s="70"/>
      <c r="F743" s="1"/>
      <c r="L743" s="1"/>
      <c r="R743" s="1"/>
      <c r="X743" s="1"/>
      <c r="AD743" s="1"/>
      <c r="AJ743" s="1"/>
      <c r="AP743" s="1"/>
      <c r="AQ743" s="60"/>
      <c r="AR743" s="54"/>
      <c r="AS743" s="39"/>
      <c r="AT743" s="35"/>
      <c r="AV743" s="1"/>
      <c r="BB743" s="1"/>
      <c r="BH743" s="1"/>
      <c r="BN743" s="1"/>
      <c r="BP743" s="64"/>
      <c r="BQ743" s="70"/>
      <c r="BT743" s="1"/>
    </row>
    <row r="744">
      <c r="A744" s="70"/>
      <c r="F744" s="1"/>
      <c r="L744" s="1"/>
      <c r="R744" s="1"/>
      <c r="X744" s="1"/>
      <c r="AD744" s="1"/>
      <c r="AJ744" s="1"/>
      <c r="AP744" s="1"/>
      <c r="AQ744" s="60"/>
      <c r="AR744" s="54"/>
      <c r="AS744" s="39"/>
      <c r="AT744" s="35"/>
      <c r="AV744" s="1"/>
      <c r="BB744" s="1"/>
      <c r="BH744" s="1"/>
      <c r="BN744" s="1"/>
      <c r="BP744" s="64"/>
      <c r="BQ744" s="70"/>
      <c r="BT744" s="1"/>
    </row>
    <row r="745">
      <c r="A745" s="70"/>
      <c r="F745" s="1"/>
      <c r="L745" s="1"/>
      <c r="R745" s="1"/>
      <c r="X745" s="1"/>
      <c r="AD745" s="1"/>
      <c r="AJ745" s="1"/>
      <c r="AP745" s="1"/>
      <c r="AQ745" s="60"/>
      <c r="AR745" s="54"/>
      <c r="AS745" s="39"/>
      <c r="AT745" s="35"/>
      <c r="AV745" s="1"/>
      <c r="BB745" s="1"/>
      <c r="BH745" s="1"/>
      <c r="BN745" s="1"/>
      <c r="BP745" s="64"/>
      <c r="BQ745" s="70"/>
      <c r="BT745" s="1"/>
    </row>
    <row r="746">
      <c r="A746" s="70"/>
      <c r="F746" s="1"/>
      <c r="L746" s="1"/>
      <c r="R746" s="1"/>
      <c r="X746" s="1"/>
      <c r="AD746" s="1"/>
      <c r="AJ746" s="1"/>
      <c r="AP746" s="1"/>
      <c r="AQ746" s="60"/>
      <c r="AR746" s="54"/>
      <c r="AS746" s="39"/>
      <c r="AT746" s="35"/>
      <c r="AV746" s="1"/>
      <c r="BB746" s="1"/>
      <c r="BH746" s="1"/>
      <c r="BN746" s="1"/>
      <c r="BP746" s="64"/>
      <c r="BQ746" s="70"/>
      <c r="BT746" s="1"/>
    </row>
    <row r="747">
      <c r="A747" s="70"/>
      <c r="F747" s="1"/>
      <c r="L747" s="1"/>
      <c r="R747" s="1"/>
      <c r="X747" s="1"/>
      <c r="AD747" s="1"/>
      <c r="AJ747" s="1"/>
      <c r="AP747" s="1"/>
      <c r="AQ747" s="60"/>
      <c r="AR747" s="54"/>
      <c r="AS747" s="39"/>
      <c r="AT747" s="35"/>
      <c r="AV747" s="1"/>
      <c r="BB747" s="1"/>
      <c r="BH747" s="1"/>
      <c r="BN747" s="1"/>
      <c r="BP747" s="64"/>
      <c r="BQ747" s="70"/>
      <c r="BT747" s="1"/>
    </row>
    <row r="748">
      <c r="A748" s="70"/>
      <c r="F748" s="1"/>
      <c r="L748" s="1"/>
      <c r="R748" s="1"/>
      <c r="X748" s="1"/>
      <c r="AD748" s="1"/>
      <c r="AJ748" s="1"/>
      <c r="AP748" s="1"/>
      <c r="AQ748" s="60"/>
      <c r="AR748" s="54"/>
      <c r="AS748" s="39"/>
      <c r="AT748" s="35"/>
      <c r="AV748" s="1"/>
      <c r="BB748" s="1"/>
      <c r="BH748" s="1"/>
      <c r="BN748" s="1"/>
      <c r="BP748" s="64"/>
      <c r="BQ748" s="70"/>
      <c r="BT748" s="1"/>
    </row>
    <row r="749">
      <c r="A749" s="70"/>
      <c r="F749" s="1"/>
      <c r="L749" s="1"/>
      <c r="R749" s="1"/>
      <c r="X749" s="1"/>
      <c r="AD749" s="1"/>
      <c r="AJ749" s="1"/>
      <c r="AP749" s="1"/>
      <c r="AQ749" s="60"/>
      <c r="AR749" s="54"/>
      <c r="AS749" s="39"/>
      <c r="AT749" s="35"/>
      <c r="AV749" s="1"/>
      <c r="BB749" s="1"/>
      <c r="BH749" s="1"/>
      <c r="BN749" s="1"/>
      <c r="BP749" s="64"/>
      <c r="BQ749" s="70"/>
      <c r="BT749" s="1"/>
    </row>
    <row r="750">
      <c r="A750" s="70"/>
      <c r="F750" s="1"/>
      <c r="L750" s="1"/>
      <c r="R750" s="1"/>
      <c r="X750" s="1"/>
      <c r="AD750" s="1"/>
      <c r="AJ750" s="1"/>
      <c r="AP750" s="1"/>
      <c r="AQ750" s="60"/>
      <c r="AR750" s="54"/>
      <c r="AS750" s="39"/>
      <c r="AT750" s="35"/>
      <c r="AV750" s="1"/>
      <c r="BB750" s="1"/>
      <c r="BH750" s="1"/>
      <c r="BN750" s="1"/>
      <c r="BP750" s="64"/>
      <c r="BQ750" s="70"/>
      <c r="BT750" s="1"/>
    </row>
    <row r="751">
      <c r="A751" s="70"/>
      <c r="F751" s="1"/>
      <c r="L751" s="1"/>
      <c r="R751" s="1"/>
      <c r="X751" s="1"/>
      <c r="AD751" s="1"/>
      <c r="AJ751" s="1"/>
      <c r="AP751" s="1"/>
      <c r="AQ751" s="60"/>
      <c r="AR751" s="54"/>
      <c r="AS751" s="39"/>
      <c r="AT751" s="35"/>
      <c r="AV751" s="1"/>
      <c r="BB751" s="1"/>
      <c r="BH751" s="1"/>
      <c r="BN751" s="1"/>
      <c r="BP751" s="64"/>
      <c r="BQ751" s="70"/>
      <c r="BT751" s="1"/>
    </row>
    <row r="752">
      <c r="A752" s="70"/>
      <c r="F752" s="1"/>
      <c r="L752" s="1"/>
      <c r="R752" s="1"/>
      <c r="X752" s="1"/>
      <c r="AD752" s="1"/>
      <c r="AJ752" s="1"/>
      <c r="AP752" s="1"/>
      <c r="AQ752" s="60"/>
      <c r="AR752" s="54"/>
      <c r="AS752" s="39"/>
      <c r="AT752" s="35"/>
      <c r="AV752" s="1"/>
      <c r="BB752" s="1"/>
      <c r="BH752" s="1"/>
      <c r="BN752" s="1"/>
      <c r="BP752" s="64"/>
      <c r="BQ752" s="70"/>
      <c r="BT752" s="1"/>
    </row>
    <row r="753">
      <c r="A753" s="70"/>
      <c r="F753" s="1"/>
      <c r="L753" s="1"/>
      <c r="R753" s="1"/>
      <c r="X753" s="1"/>
      <c r="AD753" s="1"/>
      <c r="AJ753" s="1"/>
      <c r="AP753" s="1"/>
      <c r="AQ753" s="60"/>
      <c r="AR753" s="54"/>
      <c r="AS753" s="39"/>
      <c r="AT753" s="35"/>
      <c r="AV753" s="1"/>
      <c r="BB753" s="1"/>
      <c r="BH753" s="1"/>
      <c r="BN753" s="1"/>
      <c r="BQ753" s="70"/>
      <c r="BT753" s="1"/>
    </row>
    <row r="754">
      <c r="A754" s="70"/>
      <c r="F754" s="1"/>
      <c r="L754" s="1"/>
      <c r="R754" s="1"/>
      <c r="X754" s="1"/>
      <c r="AD754" s="1"/>
      <c r="AJ754" s="1"/>
      <c r="AP754" s="1"/>
      <c r="AQ754" s="60"/>
      <c r="AR754" s="54"/>
      <c r="AS754" s="39"/>
      <c r="AT754" s="35"/>
      <c r="AV754" s="1"/>
      <c r="BB754" s="1"/>
      <c r="BH754" s="1"/>
      <c r="BN754" s="1"/>
      <c r="BQ754" s="70"/>
      <c r="BT754" s="1"/>
    </row>
    <row r="755">
      <c r="A755" s="70"/>
      <c r="F755" s="1"/>
      <c r="L755" s="1"/>
      <c r="R755" s="1"/>
      <c r="X755" s="1"/>
      <c r="AD755" s="1"/>
      <c r="AJ755" s="1"/>
      <c r="AP755" s="1"/>
      <c r="AQ755" s="60"/>
      <c r="AR755" s="54"/>
      <c r="AS755" s="39"/>
      <c r="AT755" s="35"/>
      <c r="AV755" s="1"/>
      <c r="BB755" s="1"/>
      <c r="BH755" s="1"/>
      <c r="BN755" s="1"/>
      <c r="BQ755" s="70"/>
      <c r="BT755" s="1"/>
    </row>
    <row r="756">
      <c r="A756" s="70"/>
      <c r="F756" s="1"/>
      <c r="L756" s="1"/>
      <c r="R756" s="1"/>
      <c r="X756" s="1"/>
      <c r="AD756" s="1"/>
      <c r="AJ756" s="1"/>
      <c r="AP756" s="1"/>
      <c r="AQ756" s="60"/>
      <c r="AR756" s="54"/>
      <c r="AS756" s="39"/>
      <c r="AT756" s="35"/>
      <c r="AV756" s="1"/>
      <c r="BB756" s="1"/>
      <c r="BH756" s="1"/>
      <c r="BN756" s="1"/>
      <c r="BQ756" s="70"/>
      <c r="BT756" s="1"/>
    </row>
    <row r="757">
      <c r="A757" s="70"/>
      <c r="F757" s="1"/>
      <c r="L757" s="1"/>
      <c r="R757" s="1"/>
      <c r="X757" s="1"/>
      <c r="AD757" s="1"/>
      <c r="AJ757" s="1"/>
      <c r="AP757" s="1"/>
      <c r="AQ757" s="60"/>
      <c r="AR757" s="54"/>
      <c r="AS757" s="39"/>
      <c r="AT757" s="35"/>
      <c r="AV757" s="1"/>
      <c r="BB757" s="1"/>
      <c r="BH757" s="1"/>
      <c r="BN757" s="1"/>
      <c r="BQ757" s="70"/>
      <c r="BT757" s="1"/>
    </row>
    <row r="758">
      <c r="A758" s="70"/>
      <c r="F758" s="1"/>
      <c r="L758" s="1"/>
      <c r="R758" s="1"/>
      <c r="X758" s="1"/>
      <c r="AD758" s="1"/>
      <c r="AJ758" s="1"/>
      <c r="AP758" s="1"/>
      <c r="AQ758" s="60"/>
      <c r="AR758" s="54"/>
      <c r="AS758" s="39"/>
      <c r="AT758" s="35"/>
      <c r="AV758" s="1"/>
      <c r="BB758" s="1"/>
      <c r="BH758" s="1"/>
      <c r="BN758" s="1"/>
      <c r="BQ758" s="70"/>
      <c r="BT758" s="1"/>
    </row>
    <row r="759">
      <c r="A759" s="70"/>
      <c r="F759" s="1"/>
      <c r="L759" s="1"/>
      <c r="R759" s="1"/>
      <c r="X759" s="1"/>
      <c r="AD759" s="1"/>
      <c r="AJ759" s="1"/>
      <c r="AP759" s="1"/>
      <c r="AQ759" s="60"/>
      <c r="AR759" s="54"/>
      <c r="AS759" s="39"/>
      <c r="AT759" s="35"/>
      <c r="AV759" s="1"/>
      <c r="BB759" s="1"/>
      <c r="BH759" s="1"/>
      <c r="BN759" s="1"/>
      <c r="BQ759" s="70"/>
      <c r="BT759" s="1"/>
    </row>
    <row r="760">
      <c r="A760" s="70"/>
      <c r="F760" s="1"/>
      <c r="L760" s="1"/>
      <c r="R760" s="1"/>
      <c r="X760" s="1"/>
      <c r="AD760" s="1"/>
      <c r="AJ760" s="1"/>
      <c r="AP760" s="1"/>
      <c r="AQ760" s="60"/>
      <c r="AR760" s="54"/>
      <c r="AS760" s="39"/>
      <c r="AT760" s="35"/>
      <c r="AV760" s="1"/>
      <c r="BB760" s="1"/>
      <c r="BH760" s="1"/>
      <c r="BN760" s="1"/>
      <c r="BQ760" s="70"/>
      <c r="BT760" s="1"/>
    </row>
    <row r="761">
      <c r="A761" s="70"/>
      <c r="F761" s="1"/>
      <c r="L761" s="1"/>
      <c r="R761" s="1"/>
      <c r="X761" s="1"/>
      <c r="AD761" s="1"/>
      <c r="AJ761" s="1"/>
      <c r="AP761" s="1"/>
      <c r="AQ761" s="60"/>
      <c r="AR761" s="54"/>
      <c r="AS761" s="39"/>
      <c r="AT761" s="35"/>
      <c r="AV761" s="1"/>
      <c r="BB761" s="1"/>
      <c r="BH761" s="1"/>
      <c r="BN761" s="1"/>
      <c r="BQ761" s="70"/>
      <c r="BT761" s="1"/>
    </row>
    <row r="762">
      <c r="A762" s="70"/>
      <c r="F762" s="1"/>
      <c r="L762" s="1"/>
      <c r="R762" s="1"/>
      <c r="X762" s="1"/>
      <c r="AD762" s="1"/>
      <c r="AJ762" s="1"/>
      <c r="AP762" s="1"/>
      <c r="AQ762" s="60"/>
      <c r="AR762" s="54"/>
      <c r="AS762" s="39"/>
      <c r="AT762" s="35"/>
      <c r="AV762" s="1"/>
      <c r="BB762" s="1"/>
      <c r="BH762" s="1"/>
      <c r="BN762" s="1"/>
      <c r="BQ762" s="70"/>
      <c r="BT762" s="1"/>
    </row>
    <row r="763">
      <c r="A763" s="70"/>
      <c r="F763" s="1"/>
      <c r="L763" s="1"/>
      <c r="R763" s="1"/>
      <c r="X763" s="1"/>
      <c r="AD763" s="1"/>
      <c r="AJ763" s="1"/>
      <c r="AP763" s="1"/>
      <c r="AQ763" s="60"/>
      <c r="AR763" s="54"/>
      <c r="AS763" s="39"/>
      <c r="AT763" s="35"/>
      <c r="AV763" s="1"/>
      <c r="BB763" s="1"/>
      <c r="BH763" s="1"/>
      <c r="BN763" s="1"/>
      <c r="BQ763" s="70"/>
      <c r="BT763" s="1"/>
    </row>
    <row r="764">
      <c r="A764" s="70"/>
      <c r="F764" s="1"/>
      <c r="L764" s="1"/>
      <c r="R764" s="1"/>
      <c r="X764" s="1"/>
      <c r="AD764" s="1"/>
      <c r="AJ764" s="1"/>
      <c r="AP764" s="1"/>
      <c r="AQ764" s="60"/>
      <c r="AR764" s="54"/>
      <c r="AS764" s="39"/>
      <c r="AT764" s="35"/>
      <c r="AV764" s="1"/>
      <c r="BB764" s="1"/>
      <c r="BH764" s="1"/>
      <c r="BN764" s="1"/>
      <c r="BQ764" s="70"/>
      <c r="BT764" s="1"/>
    </row>
    <row r="765">
      <c r="A765" s="70"/>
      <c r="F765" s="1"/>
      <c r="L765" s="1"/>
      <c r="R765" s="1"/>
      <c r="X765" s="1"/>
      <c r="AD765" s="1"/>
      <c r="AJ765" s="1"/>
      <c r="AP765" s="1"/>
      <c r="AQ765" s="60"/>
      <c r="AR765" s="54"/>
      <c r="AS765" s="39"/>
      <c r="AT765" s="35"/>
      <c r="AV765" s="1"/>
      <c r="BB765" s="1"/>
      <c r="BH765" s="1"/>
      <c r="BN765" s="1"/>
      <c r="BQ765" s="70"/>
      <c r="BT765" s="1"/>
    </row>
    <row r="766">
      <c r="A766" s="70"/>
      <c r="F766" s="1"/>
      <c r="L766" s="1"/>
      <c r="R766" s="1"/>
      <c r="X766" s="1"/>
      <c r="AD766" s="1"/>
      <c r="AJ766" s="1"/>
      <c r="AP766" s="1"/>
      <c r="AQ766" s="60"/>
      <c r="AR766" s="54"/>
      <c r="AS766" s="39"/>
      <c r="AT766" s="35"/>
      <c r="AV766" s="1"/>
      <c r="BB766" s="1"/>
      <c r="BH766" s="1"/>
      <c r="BN766" s="1"/>
      <c r="BQ766" s="70"/>
      <c r="BT766" s="1"/>
    </row>
    <row r="767">
      <c r="A767" s="70"/>
      <c r="F767" s="1"/>
      <c r="L767" s="1"/>
      <c r="R767" s="1"/>
      <c r="X767" s="1"/>
      <c r="AD767" s="1"/>
      <c r="AJ767" s="1"/>
      <c r="AP767" s="1"/>
      <c r="AQ767" s="60"/>
      <c r="AR767" s="54"/>
      <c r="AS767" s="39"/>
      <c r="AT767" s="35"/>
      <c r="AV767" s="1"/>
      <c r="BB767" s="1"/>
      <c r="BH767" s="1"/>
      <c r="BN767" s="1"/>
      <c r="BQ767" s="70"/>
      <c r="BT767" s="1"/>
    </row>
    <row r="768">
      <c r="A768" s="70"/>
      <c r="F768" s="1"/>
      <c r="L768" s="1"/>
      <c r="R768" s="1"/>
      <c r="X768" s="1"/>
      <c r="AD768" s="1"/>
      <c r="AJ768" s="1"/>
      <c r="AP768" s="1"/>
      <c r="AQ768" s="60"/>
      <c r="AR768" s="54"/>
      <c r="AS768" s="39"/>
      <c r="AT768" s="35"/>
      <c r="AV768" s="1"/>
      <c r="BB768" s="1"/>
      <c r="BH768" s="1"/>
      <c r="BN768" s="1"/>
      <c r="BQ768" s="70"/>
      <c r="BT768" s="1"/>
    </row>
    <row r="769">
      <c r="A769" s="70"/>
      <c r="F769" s="1"/>
      <c r="L769" s="1"/>
      <c r="R769" s="1"/>
      <c r="X769" s="1"/>
      <c r="AD769" s="1"/>
      <c r="AJ769" s="1"/>
      <c r="AP769" s="1"/>
      <c r="AQ769" s="60"/>
      <c r="AR769" s="54"/>
      <c r="AS769" s="39"/>
      <c r="AT769" s="35"/>
      <c r="AV769" s="1"/>
      <c r="BB769" s="1"/>
      <c r="BH769" s="1"/>
      <c r="BN769" s="1"/>
      <c r="BQ769" s="70"/>
      <c r="BT769" s="1"/>
    </row>
    <row r="770">
      <c r="A770" s="70"/>
      <c r="F770" s="1"/>
      <c r="L770" s="1"/>
      <c r="R770" s="1"/>
      <c r="X770" s="1"/>
      <c r="AD770" s="1"/>
      <c r="AJ770" s="1"/>
      <c r="AP770" s="1"/>
      <c r="AQ770" s="60"/>
      <c r="AR770" s="54"/>
      <c r="AS770" s="39"/>
      <c r="AT770" s="35"/>
      <c r="AV770" s="1"/>
      <c r="BB770" s="1"/>
      <c r="BH770" s="1"/>
      <c r="BN770" s="1"/>
      <c r="BQ770" s="70"/>
      <c r="BT770" s="1"/>
    </row>
    <row r="771">
      <c r="A771" s="70"/>
      <c r="F771" s="1"/>
      <c r="L771" s="1"/>
      <c r="R771" s="1"/>
      <c r="X771" s="1"/>
      <c r="AD771" s="1"/>
      <c r="AJ771" s="1"/>
      <c r="AP771" s="1"/>
      <c r="AQ771" s="60"/>
      <c r="AR771" s="54"/>
      <c r="AS771" s="39"/>
      <c r="AT771" s="35"/>
      <c r="AV771" s="1"/>
      <c r="BB771" s="1"/>
      <c r="BH771" s="1"/>
      <c r="BN771" s="1"/>
      <c r="BQ771" s="70"/>
      <c r="BT771" s="1"/>
    </row>
    <row r="772">
      <c r="A772" s="70"/>
      <c r="F772" s="1"/>
      <c r="L772" s="1"/>
      <c r="R772" s="1"/>
      <c r="X772" s="1"/>
      <c r="AD772" s="1"/>
      <c r="AJ772" s="1"/>
      <c r="AP772" s="1"/>
      <c r="AQ772" s="60"/>
      <c r="AR772" s="54"/>
      <c r="AS772" s="39"/>
      <c r="AT772" s="35"/>
      <c r="AV772" s="1"/>
      <c r="BB772" s="1"/>
      <c r="BH772" s="1"/>
      <c r="BN772" s="1"/>
      <c r="BQ772" s="70"/>
      <c r="BT772" s="1"/>
    </row>
    <row r="773">
      <c r="A773" s="70"/>
      <c r="F773" s="1"/>
      <c r="L773" s="1"/>
      <c r="R773" s="1"/>
      <c r="X773" s="1"/>
      <c r="AD773" s="1"/>
      <c r="AJ773" s="1"/>
      <c r="AP773" s="1"/>
      <c r="AQ773" s="60"/>
      <c r="AR773" s="54"/>
      <c r="AS773" s="39"/>
      <c r="AT773" s="35"/>
      <c r="AV773" s="1"/>
      <c r="BB773" s="1"/>
      <c r="BH773" s="1"/>
      <c r="BN773" s="1"/>
      <c r="BQ773" s="70"/>
      <c r="BT773" s="1"/>
    </row>
    <row r="774">
      <c r="A774" s="70"/>
      <c r="F774" s="1"/>
      <c r="L774" s="1"/>
      <c r="R774" s="1"/>
      <c r="X774" s="1"/>
      <c r="AD774" s="1"/>
      <c r="AJ774" s="1"/>
      <c r="AP774" s="1"/>
      <c r="AQ774" s="60"/>
      <c r="AR774" s="54"/>
      <c r="AS774" s="39"/>
      <c r="AT774" s="35"/>
      <c r="AV774" s="1"/>
      <c r="BB774" s="1"/>
      <c r="BH774" s="1"/>
      <c r="BN774" s="1"/>
      <c r="BQ774" s="70"/>
      <c r="BT774" s="1"/>
    </row>
    <row r="775">
      <c r="A775" s="70"/>
      <c r="F775" s="1"/>
      <c r="L775" s="1"/>
      <c r="R775" s="1"/>
      <c r="X775" s="1"/>
      <c r="AD775" s="1"/>
      <c r="AJ775" s="1"/>
      <c r="AP775" s="1"/>
      <c r="AQ775" s="60"/>
      <c r="AR775" s="54"/>
      <c r="AS775" s="39"/>
      <c r="AT775" s="35"/>
      <c r="AV775" s="1"/>
      <c r="BB775" s="1"/>
      <c r="BH775" s="1"/>
      <c r="BN775" s="1"/>
      <c r="BQ775" s="70"/>
      <c r="BT775" s="1"/>
    </row>
    <row r="776">
      <c r="A776" s="70"/>
      <c r="F776" s="1"/>
      <c r="L776" s="1"/>
      <c r="R776" s="1"/>
      <c r="X776" s="1"/>
      <c r="AD776" s="1"/>
      <c r="AJ776" s="1"/>
      <c r="AP776" s="1"/>
      <c r="AQ776" s="60"/>
      <c r="AR776" s="54"/>
      <c r="AS776" s="39"/>
      <c r="AT776" s="35"/>
      <c r="AV776" s="1"/>
      <c r="BB776" s="1"/>
      <c r="BH776" s="1"/>
      <c r="BN776" s="1"/>
      <c r="BQ776" s="70"/>
      <c r="BT776" s="1"/>
    </row>
    <row r="777">
      <c r="A777" s="70"/>
      <c r="F777" s="1"/>
      <c r="L777" s="1"/>
      <c r="R777" s="1"/>
      <c r="X777" s="1"/>
      <c r="AD777" s="1"/>
      <c r="AJ777" s="1"/>
      <c r="AP777" s="1"/>
      <c r="AQ777" s="60"/>
      <c r="AR777" s="54"/>
      <c r="AS777" s="39"/>
      <c r="AT777" s="35"/>
      <c r="AV777" s="1"/>
      <c r="BB777" s="1"/>
      <c r="BH777" s="1"/>
      <c r="BN777" s="1"/>
      <c r="BQ777" s="70"/>
      <c r="BT777" s="1"/>
    </row>
    <row r="778">
      <c r="A778" s="70"/>
      <c r="F778" s="1"/>
      <c r="L778" s="1"/>
      <c r="R778" s="1"/>
      <c r="X778" s="1"/>
      <c r="AD778" s="1"/>
      <c r="AJ778" s="1"/>
      <c r="AP778" s="1"/>
      <c r="AQ778" s="60"/>
      <c r="AR778" s="54"/>
      <c r="AS778" s="39"/>
      <c r="AT778" s="35"/>
      <c r="AV778" s="1"/>
      <c r="BB778" s="1"/>
      <c r="BH778" s="1"/>
      <c r="BN778" s="1"/>
      <c r="BQ778" s="70"/>
      <c r="BT778" s="1"/>
    </row>
    <row r="779">
      <c r="A779" s="70"/>
      <c r="F779" s="1"/>
      <c r="L779" s="1"/>
      <c r="R779" s="1"/>
      <c r="X779" s="1"/>
      <c r="AD779" s="1"/>
      <c r="AJ779" s="1"/>
      <c r="AP779" s="1"/>
      <c r="AQ779" s="60"/>
      <c r="AR779" s="54"/>
      <c r="AS779" s="39"/>
      <c r="AT779" s="35"/>
      <c r="AV779" s="1"/>
      <c r="BB779" s="1"/>
      <c r="BH779" s="1"/>
      <c r="BN779" s="1"/>
      <c r="BQ779" s="70"/>
      <c r="BT779" s="1"/>
    </row>
    <row r="780">
      <c r="A780" s="70"/>
      <c r="F780" s="1"/>
      <c r="L780" s="1"/>
      <c r="R780" s="1"/>
      <c r="X780" s="1"/>
      <c r="AD780" s="1"/>
      <c r="AJ780" s="1"/>
      <c r="AP780" s="1"/>
      <c r="AQ780" s="60"/>
      <c r="AR780" s="54"/>
      <c r="AS780" s="39"/>
      <c r="AT780" s="35"/>
      <c r="AV780" s="1"/>
      <c r="BB780" s="1"/>
      <c r="BH780" s="1"/>
      <c r="BN780" s="1"/>
      <c r="BQ780" s="70"/>
      <c r="BT780" s="1"/>
    </row>
    <row r="781">
      <c r="A781" s="70"/>
      <c r="F781" s="1"/>
      <c r="L781" s="1"/>
      <c r="R781" s="1"/>
      <c r="X781" s="1"/>
      <c r="AD781" s="1"/>
      <c r="AJ781" s="1"/>
      <c r="AP781" s="1"/>
      <c r="AQ781" s="60"/>
      <c r="AR781" s="54"/>
      <c r="AS781" s="39"/>
      <c r="AT781" s="35"/>
      <c r="AV781" s="1"/>
      <c r="BB781" s="1"/>
      <c r="BH781" s="1"/>
      <c r="BN781" s="1"/>
      <c r="BQ781" s="70"/>
      <c r="BT781" s="1"/>
    </row>
    <row r="782">
      <c r="A782" s="70"/>
      <c r="F782" s="1"/>
      <c r="L782" s="1"/>
      <c r="R782" s="1"/>
      <c r="X782" s="1"/>
      <c r="AD782" s="1"/>
      <c r="AJ782" s="1"/>
      <c r="AP782" s="1"/>
      <c r="AQ782" s="60"/>
      <c r="AR782" s="54"/>
      <c r="AS782" s="39"/>
      <c r="AT782" s="35"/>
      <c r="AV782" s="1"/>
      <c r="BB782" s="1"/>
      <c r="BH782" s="1"/>
      <c r="BN782" s="1"/>
      <c r="BQ782" s="70"/>
      <c r="BT782" s="1"/>
    </row>
    <row r="783">
      <c r="A783" s="70"/>
      <c r="F783" s="1"/>
      <c r="L783" s="1"/>
      <c r="R783" s="1"/>
      <c r="X783" s="1"/>
      <c r="AD783" s="1"/>
      <c r="AJ783" s="1"/>
      <c r="AP783" s="1"/>
      <c r="AQ783" s="60"/>
      <c r="AR783" s="54"/>
      <c r="AS783" s="39"/>
      <c r="AT783" s="35"/>
      <c r="AV783" s="1"/>
      <c r="BB783" s="1"/>
      <c r="BH783" s="1"/>
      <c r="BN783" s="1"/>
      <c r="BQ783" s="70"/>
      <c r="BT783" s="1"/>
    </row>
    <row r="784">
      <c r="A784" s="70"/>
      <c r="F784" s="1"/>
      <c r="L784" s="1"/>
      <c r="R784" s="1"/>
      <c r="X784" s="1"/>
      <c r="AD784" s="1"/>
      <c r="AJ784" s="1"/>
      <c r="AP784" s="1"/>
      <c r="AQ784" s="60"/>
      <c r="AR784" s="54"/>
      <c r="AS784" s="39"/>
      <c r="AT784" s="35"/>
      <c r="AV784" s="1"/>
      <c r="BB784" s="1"/>
      <c r="BH784" s="1"/>
      <c r="BN784" s="1"/>
      <c r="BQ784" s="70"/>
      <c r="BT784" s="1"/>
    </row>
    <row r="785">
      <c r="A785" s="70"/>
      <c r="F785" s="1"/>
      <c r="L785" s="1"/>
      <c r="R785" s="1"/>
      <c r="X785" s="1"/>
      <c r="AD785" s="1"/>
      <c r="AJ785" s="1"/>
      <c r="AP785" s="1"/>
      <c r="AQ785" s="60"/>
      <c r="AR785" s="54"/>
      <c r="AS785" s="39"/>
      <c r="AT785" s="35"/>
      <c r="AV785" s="1"/>
      <c r="BB785" s="1"/>
      <c r="BH785" s="1"/>
      <c r="BN785" s="1"/>
      <c r="BQ785" s="70"/>
      <c r="BT785" s="1"/>
    </row>
    <row r="786">
      <c r="A786" s="70"/>
      <c r="F786" s="1"/>
      <c r="L786" s="1"/>
      <c r="R786" s="1"/>
      <c r="X786" s="1"/>
      <c r="AD786" s="1"/>
      <c r="AJ786" s="1"/>
      <c r="AP786" s="1"/>
      <c r="AQ786" s="60"/>
      <c r="AR786" s="54"/>
      <c r="AS786" s="39"/>
      <c r="AT786" s="35"/>
      <c r="AV786" s="1"/>
      <c r="BB786" s="1"/>
      <c r="BH786" s="1"/>
      <c r="BN786" s="1"/>
      <c r="BQ786" s="70"/>
      <c r="BT786" s="1"/>
    </row>
    <row r="787">
      <c r="A787" s="70"/>
      <c r="F787" s="1"/>
      <c r="L787" s="1"/>
      <c r="R787" s="1"/>
      <c r="X787" s="1"/>
      <c r="AD787" s="1"/>
      <c r="AJ787" s="1"/>
      <c r="AP787" s="1"/>
      <c r="AQ787" s="60"/>
      <c r="AR787" s="54"/>
      <c r="AS787" s="39"/>
      <c r="AT787" s="35"/>
      <c r="AV787" s="1"/>
      <c r="BB787" s="1"/>
      <c r="BH787" s="1"/>
      <c r="BN787" s="1"/>
      <c r="BQ787" s="70"/>
      <c r="BT787" s="1"/>
    </row>
    <row r="788">
      <c r="A788" s="70"/>
      <c r="F788" s="1"/>
      <c r="L788" s="1"/>
      <c r="R788" s="1"/>
      <c r="X788" s="1"/>
      <c r="AD788" s="1"/>
      <c r="AJ788" s="1"/>
      <c r="AP788" s="1"/>
      <c r="AQ788" s="60"/>
      <c r="AR788" s="54"/>
      <c r="AS788" s="39"/>
      <c r="AT788" s="35"/>
      <c r="AV788" s="1"/>
      <c r="BB788" s="1"/>
      <c r="BH788" s="1"/>
      <c r="BN788" s="1"/>
      <c r="BQ788" s="70"/>
      <c r="BT788" s="1"/>
    </row>
    <row r="789">
      <c r="A789" s="70"/>
      <c r="F789" s="1"/>
      <c r="L789" s="1"/>
      <c r="R789" s="1"/>
      <c r="X789" s="1"/>
      <c r="AD789" s="1"/>
      <c r="AJ789" s="1"/>
      <c r="AP789" s="1"/>
      <c r="AQ789" s="60"/>
      <c r="AR789" s="54"/>
      <c r="AS789" s="39"/>
      <c r="AT789" s="35"/>
      <c r="AV789" s="1"/>
      <c r="BB789" s="1"/>
      <c r="BH789" s="1"/>
      <c r="BN789" s="1"/>
      <c r="BQ789" s="70"/>
      <c r="BT789" s="1"/>
    </row>
    <row r="790">
      <c r="A790" s="70"/>
      <c r="F790" s="1"/>
      <c r="L790" s="1"/>
      <c r="R790" s="1"/>
      <c r="X790" s="1"/>
      <c r="AD790" s="1"/>
      <c r="AJ790" s="1"/>
      <c r="AP790" s="1"/>
      <c r="AQ790" s="60"/>
      <c r="AR790" s="54"/>
      <c r="AS790" s="39"/>
      <c r="AT790" s="35"/>
      <c r="AV790" s="1"/>
      <c r="BB790" s="1"/>
      <c r="BH790" s="1"/>
      <c r="BN790" s="1"/>
      <c r="BQ790" s="70"/>
      <c r="BT790" s="1"/>
    </row>
    <row r="791">
      <c r="A791" s="70"/>
      <c r="F791" s="1"/>
      <c r="L791" s="1"/>
      <c r="R791" s="1"/>
      <c r="X791" s="1"/>
      <c r="AD791" s="1"/>
      <c r="AJ791" s="1"/>
      <c r="AP791" s="1"/>
      <c r="AQ791" s="60"/>
      <c r="AR791" s="54"/>
      <c r="AS791" s="39"/>
      <c r="AT791" s="35"/>
      <c r="AV791" s="1"/>
      <c r="BB791" s="1"/>
      <c r="BH791" s="1"/>
      <c r="BN791" s="1"/>
      <c r="BQ791" s="70"/>
      <c r="BT791" s="1"/>
    </row>
    <row r="792">
      <c r="A792" s="70"/>
      <c r="F792" s="1"/>
      <c r="L792" s="1"/>
      <c r="R792" s="1"/>
      <c r="X792" s="1"/>
      <c r="AD792" s="1"/>
      <c r="AJ792" s="1"/>
      <c r="AP792" s="1"/>
      <c r="AQ792" s="60"/>
      <c r="AR792" s="54"/>
      <c r="AS792" s="39"/>
      <c r="AT792" s="35"/>
      <c r="AV792" s="1"/>
      <c r="BB792" s="1"/>
      <c r="BH792" s="1"/>
      <c r="BN792" s="1"/>
      <c r="BQ792" s="70"/>
      <c r="BT792" s="1"/>
    </row>
    <row r="793">
      <c r="A793" s="70"/>
      <c r="F793" s="1"/>
      <c r="L793" s="1"/>
      <c r="R793" s="1"/>
      <c r="X793" s="1"/>
      <c r="AD793" s="1"/>
      <c r="AJ793" s="1"/>
      <c r="AP793" s="1"/>
      <c r="AQ793" s="60"/>
      <c r="AR793" s="54"/>
      <c r="AS793" s="39"/>
      <c r="AT793" s="35"/>
      <c r="AV793" s="1"/>
      <c r="BB793" s="1"/>
      <c r="BH793" s="1"/>
      <c r="BN793" s="1"/>
      <c r="BQ793" s="70"/>
      <c r="BT793" s="1"/>
    </row>
    <row r="794">
      <c r="A794" s="70"/>
      <c r="F794" s="1"/>
      <c r="L794" s="1"/>
      <c r="R794" s="1"/>
      <c r="X794" s="1"/>
      <c r="AD794" s="1"/>
      <c r="AJ794" s="1"/>
      <c r="AP794" s="1"/>
      <c r="AQ794" s="60"/>
      <c r="AR794" s="54"/>
      <c r="AS794" s="39"/>
      <c r="AT794" s="35"/>
      <c r="AV794" s="1"/>
      <c r="BB794" s="1"/>
      <c r="BH794" s="1"/>
      <c r="BN794" s="1"/>
      <c r="BQ794" s="70"/>
      <c r="BT794" s="1"/>
    </row>
    <row r="795">
      <c r="A795" s="70"/>
      <c r="F795" s="1"/>
      <c r="L795" s="1"/>
      <c r="R795" s="1"/>
      <c r="X795" s="1"/>
      <c r="AD795" s="1"/>
      <c r="AJ795" s="1"/>
      <c r="AP795" s="1"/>
      <c r="AQ795" s="60"/>
      <c r="AR795" s="54"/>
      <c r="AS795" s="39"/>
      <c r="AT795" s="35"/>
      <c r="AV795" s="1"/>
      <c r="BB795" s="1"/>
      <c r="BH795" s="1"/>
      <c r="BN795" s="1"/>
      <c r="BQ795" s="70"/>
      <c r="BT795" s="1"/>
    </row>
    <row r="796">
      <c r="A796" s="70"/>
      <c r="F796" s="1"/>
      <c r="L796" s="1"/>
      <c r="R796" s="1"/>
      <c r="X796" s="1"/>
      <c r="AD796" s="1"/>
      <c r="AJ796" s="1"/>
      <c r="AP796" s="1"/>
      <c r="AQ796" s="60"/>
      <c r="AR796" s="54"/>
      <c r="AS796" s="39"/>
      <c r="AT796" s="35"/>
      <c r="AV796" s="1"/>
      <c r="BB796" s="1"/>
      <c r="BH796" s="1"/>
      <c r="BN796" s="1"/>
      <c r="BQ796" s="70"/>
      <c r="BT796" s="1"/>
    </row>
    <row r="797">
      <c r="A797" s="70"/>
      <c r="F797" s="1"/>
      <c r="L797" s="1"/>
      <c r="R797" s="1"/>
      <c r="X797" s="1"/>
      <c r="AD797" s="1"/>
      <c r="AJ797" s="1"/>
      <c r="AP797" s="1"/>
      <c r="AQ797" s="60"/>
      <c r="AR797" s="54"/>
      <c r="AS797" s="39"/>
      <c r="AT797" s="35"/>
      <c r="AV797" s="1"/>
      <c r="BB797" s="1"/>
      <c r="BH797" s="1"/>
      <c r="BN797" s="1"/>
      <c r="BQ797" s="70"/>
      <c r="BT797" s="1"/>
    </row>
    <row r="798">
      <c r="A798" s="70"/>
      <c r="F798" s="1"/>
      <c r="L798" s="1"/>
      <c r="R798" s="1"/>
      <c r="X798" s="1"/>
      <c r="AD798" s="1"/>
      <c r="AJ798" s="1"/>
      <c r="AP798" s="1"/>
      <c r="AQ798" s="60"/>
      <c r="AR798" s="54"/>
      <c r="AS798" s="39"/>
      <c r="AT798" s="35"/>
      <c r="AV798" s="1"/>
      <c r="BB798" s="1"/>
      <c r="BH798" s="1"/>
      <c r="BN798" s="1"/>
      <c r="BQ798" s="70"/>
      <c r="BT798" s="1"/>
    </row>
    <row r="799">
      <c r="A799" s="70"/>
      <c r="F799" s="1"/>
      <c r="L799" s="1"/>
      <c r="R799" s="1"/>
      <c r="X799" s="1"/>
      <c r="AD799" s="1"/>
      <c r="AJ799" s="1"/>
      <c r="AP799" s="1"/>
      <c r="AQ799" s="60"/>
      <c r="AR799" s="54"/>
      <c r="AS799" s="39"/>
      <c r="AT799" s="35"/>
      <c r="AV799" s="1"/>
      <c r="BB799" s="1"/>
      <c r="BH799" s="1"/>
      <c r="BN799" s="1"/>
      <c r="BQ799" s="70"/>
      <c r="BT799" s="1"/>
    </row>
    <row r="800">
      <c r="A800" s="70"/>
      <c r="F800" s="1"/>
      <c r="L800" s="1"/>
      <c r="R800" s="1"/>
      <c r="X800" s="1"/>
      <c r="AD800" s="1"/>
      <c r="AJ800" s="1"/>
      <c r="AP800" s="1"/>
      <c r="AQ800" s="60"/>
      <c r="AR800" s="54"/>
      <c r="AS800" s="39"/>
      <c r="AT800" s="35"/>
      <c r="AV800" s="1"/>
      <c r="BB800" s="1"/>
      <c r="BH800" s="1"/>
      <c r="BN800" s="1"/>
      <c r="BQ800" s="70"/>
      <c r="BT800" s="1"/>
    </row>
    <row r="801">
      <c r="A801" s="70"/>
      <c r="F801" s="1"/>
      <c r="L801" s="1"/>
      <c r="R801" s="1"/>
      <c r="X801" s="1"/>
      <c r="AD801" s="1"/>
      <c r="AJ801" s="1"/>
      <c r="AP801" s="1"/>
      <c r="AQ801" s="60"/>
      <c r="AR801" s="54"/>
      <c r="AS801" s="39"/>
      <c r="AT801" s="35"/>
      <c r="AV801" s="1"/>
      <c r="BB801" s="1"/>
      <c r="BH801" s="1"/>
      <c r="BN801" s="1"/>
      <c r="BQ801" s="70"/>
      <c r="BT801" s="1"/>
    </row>
    <row r="802">
      <c r="A802" s="70"/>
      <c r="F802" s="1"/>
      <c r="L802" s="1"/>
      <c r="R802" s="1"/>
      <c r="X802" s="1"/>
      <c r="AD802" s="1"/>
      <c r="AJ802" s="1"/>
      <c r="AP802" s="1"/>
      <c r="AQ802" s="60"/>
      <c r="AR802" s="54"/>
      <c r="AS802" s="39"/>
      <c r="AT802" s="35"/>
      <c r="AV802" s="1"/>
      <c r="BB802" s="1"/>
      <c r="BH802" s="1"/>
      <c r="BN802" s="1"/>
      <c r="BQ802" s="70"/>
      <c r="BT802" s="1"/>
    </row>
    <row r="803">
      <c r="A803" s="70"/>
      <c r="F803" s="1"/>
      <c r="L803" s="1"/>
      <c r="R803" s="1"/>
      <c r="X803" s="1"/>
      <c r="AD803" s="1"/>
      <c r="AJ803" s="1"/>
      <c r="AP803" s="1"/>
      <c r="AQ803" s="60"/>
      <c r="AR803" s="54"/>
      <c r="AS803" s="39"/>
      <c r="AT803" s="35"/>
      <c r="AV803" s="1"/>
      <c r="BB803" s="1"/>
      <c r="BH803" s="1"/>
      <c r="BN803" s="1"/>
      <c r="BQ803" s="70"/>
      <c r="BT803" s="1"/>
    </row>
    <row r="804">
      <c r="A804" s="70"/>
      <c r="F804" s="1"/>
      <c r="L804" s="1"/>
      <c r="R804" s="1"/>
      <c r="X804" s="1"/>
      <c r="AD804" s="1"/>
      <c r="AJ804" s="1"/>
      <c r="AP804" s="1"/>
      <c r="AQ804" s="60"/>
      <c r="AR804" s="54"/>
      <c r="AS804" s="39"/>
      <c r="AT804" s="35"/>
      <c r="AV804" s="1"/>
      <c r="BB804" s="1"/>
      <c r="BH804" s="1"/>
      <c r="BN804" s="1"/>
      <c r="BQ804" s="70"/>
      <c r="BT804" s="1"/>
    </row>
    <row r="805">
      <c r="A805" s="70"/>
      <c r="F805" s="1"/>
      <c r="L805" s="1"/>
      <c r="R805" s="1"/>
      <c r="X805" s="1"/>
      <c r="AD805" s="1"/>
      <c r="AJ805" s="1"/>
      <c r="AP805" s="1"/>
      <c r="AQ805" s="60"/>
      <c r="AR805" s="54"/>
      <c r="AS805" s="39"/>
      <c r="AT805" s="35"/>
      <c r="AV805" s="1"/>
      <c r="BB805" s="1"/>
      <c r="BH805" s="1"/>
      <c r="BN805" s="1"/>
      <c r="BQ805" s="70"/>
      <c r="BT805" s="1"/>
    </row>
    <row r="806">
      <c r="A806" s="70"/>
      <c r="F806" s="1"/>
      <c r="L806" s="1"/>
      <c r="R806" s="1"/>
      <c r="X806" s="1"/>
      <c r="AD806" s="1"/>
      <c r="AJ806" s="1"/>
      <c r="AP806" s="1"/>
      <c r="AQ806" s="60"/>
      <c r="AR806" s="54"/>
      <c r="AS806" s="39"/>
      <c r="AT806" s="35"/>
      <c r="AV806" s="1"/>
      <c r="BB806" s="1"/>
      <c r="BH806" s="1"/>
      <c r="BN806" s="1"/>
      <c r="BQ806" s="70"/>
      <c r="BT806" s="1"/>
    </row>
    <row r="807">
      <c r="A807" s="70"/>
      <c r="F807" s="1"/>
      <c r="L807" s="1"/>
      <c r="R807" s="1"/>
      <c r="X807" s="1"/>
      <c r="AD807" s="1"/>
      <c r="AJ807" s="1"/>
      <c r="AP807" s="1"/>
      <c r="AQ807" s="60"/>
      <c r="AR807" s="54"/>
      <c r="AS807" s="39"/>
      <c r="AT807" s="35"/>
      <c r="AV807" s="1"/>
      <c r="BB807" s="1"/>
      <c r="BH807" s="1"/>
      <c r="BN807" s="1"/>
      <c r="BQ807" s="70"/>
      <c r="BT807" s="1"/>
    </row>
    <row r="808">
      <c r="A808" s="70"/>
      <c r="F808" s="1"/>
      <c r="L808" s="1"/>
      <c r="R808" s="1"/>
      <c r="X808" s="1"/>
      <c r="AD808" s="1"/>
      <c r="AJ808" s="1"/>
      <c r="AP808" s="1"/>
      <c r="AQ808" s="60"/>
      <c r="AR808" s="54"/>
      <c r="AS808" s="39"/>
      <c r="AT808" s="35"/>
      <c r="AV808" s="1"/>
      <c r="BB808" s="1"/>
      <c r="BH808" s="1"/>
      <c r="BN808" s="1"/>
      <c r="BQ808" s="70"/>
      <c r="BT808" s="1"/>
    </row>
    <row r="809">
      <c r="A809" s="70"/>
      <c r="F809" s="1"/>
      <c r="L809" s="1"/>
      <c r="R809" s="1"/>
      <c r="X809" s="1"/>
      <c r="AD809" s="1"/>
      <c r="AJ809" s="1"/>
      <c r="AP809" s="1"/>
      <c r="AQ809" s="60"/>
      <c r="AR809" s="54"/>
      <c r="AS809" s="39"/>
      <c r="AT809" s="35"/>
      <c r="AV809" s="1"/>
      <c r="BB809" s="1"/>
      <c r="BH809" s="1"/>
      <c r="BN809" s="1"/>
      <c r="BP809" s="64"/>
      <c r="BQ809" s="70"/>
      <c r="BT809" s="1"/>
    </row>
    <row r="810">
      <c r="A810" s="70"/>
      <c r="F810" s="1"/>
      <c r="L810" s="1"/>
      <c r="R810" s="1"/>
      <c r="X810" s="1"/>
      <c r="AD810" s="1"/>
      <c r="AJ810" s="1"/>
      <c r="AP810" s="1"/>
      <c r="AQ810" s="60"/>
      <c r="AR810" s="54"/>
      <c r="AS810" s="39"/>
      <c r="AT810" s="35"/>
      <c r="AV810" s="1"/>
      <c r="BB810" s="1"/>
      <c r="BH810" s="1"/>
      <c r="BN810" s="1"/>
      <c r="BP810" s="64"/>
      <c r="BQ810" s="70"/>
      <c r="BT810" s="1"/>
    </row>
    <row r="811">
      <c r="A811" s="70"/>
      <c r="F811" s="1"/>
      <c r="L811" s="1"/>
      <c r="R811" s="1"/>
      <c r="X811" s="1"/>
      <c r="AD811" s="1"/>
      <c r="AJ811" s="1"/>
      <c r="AP811" s="1"/>
      <c r="AQ811" s="60"/>
      <c r="AR811" s="54"/>
      <c r="AS811" s="39"/>
      <c r="AT811" s="35"/>
      <c r="AV811" s="1"/>
      <c r="BB811" s="1"/>
      <c r="BH811" s="1"/>
      <c r="BN811" s="1"/>
      <c r="BP811" s="64"/>
      <c r="BQ811" s="70"/>
      <c r="BT811" s="1"/>
    </row>
    <row r="812">
      <c r="A812" s="70"/>
      <c r="F812" s="1"/>
      <c r="L812" s="1"/>
      <c r="R812" s="1"/>
      <c r="X812" s="1"/>
      <c r="AD812" s="1"/>
      <c r="AJ812" s="1"/>
      <c r="AP812" s="1"/>
      <c r="AQ812" s="60"/>
      <c r="AR812" s="54"/>
      <c r="AS812" s="39"/>
      <c r="AT812" s="35"/>
      <c r="AV812" s="1"/>
      <c r="BB812" s="1"/>
      <c r="BH812" s="1"/>
      <c r="BN812" s="1"/>
      <c r="BP812" s="64"/>
      <c r="BQ812" s="70"/>
      <c r="BT812" s="1"/>
    </row>
    <row r="813">
      <c r="A813" s="70"/>
      <c r="F813" s="1"/>
      <c r="L813" s="1"/>
      <c r="R813" s="1"/>
      <c r="X813" s="1"/>
      <c r="AD813" s="1"/>
      <c r="AJ813" s="1"/>
      <c r="AP813" s="1"/>
      <c r="AQ813" s="60"/>
      <c r="AR813" s="54"/>
      <c r="AS813" s="39"/>
      <c r="AT813" s="35"/>
      <c r="AV813" s="1"/>
      <c r="BB813" s="1"/>
      <c r="BH813" s="1"/>
      <c r="BN813" s="1"/>
      <c r="BP813" s="64"/>
      <c r="BQ813" s="70"/>
      <c r="BT813" s="1"/>
    </row>
    <row r="814">
      <c r="A814" s="70"/>
      <c r="F814" s="1"/>
      <c r="L814" s="1"/>
      <c r="R814" s="1"/>
      <c r="X814" s="1"/>
      <c r="AD814" s="1"/>
      <c r="AJ814" s="1"/>
      <c r="AP814" s="1"/>
      <c r="AQ814" s="60"/>
      <c r="AR814" s="54"/>
      <c r="AS814" s="39"/>
      <c r="AT814" s="35"/>
      <c r="AV814" s="1"/>
      <c r="BB814" s="1"/>
      <c r="BH814" s="1"/>
      <c r="BN814" s="1"/>
      <c r="BP814" s="64"/>
      <c r="BQ814" s="70"/>
      <c r="BT814" s="1"/>
    </row>
    <row r="815">
      <c r="A815" s="70"/>
      <c r="F815" s="1"/>
      <c r="L815" s="1"/>
      <c r="R815" s="1"/>
      <c r="X815" s="1"/>
      <c r="AD815" s="1"/>
      <c r="AJ815" s="1"/>
      <c r="AP815" s="1"/>
      <c r="AQ815" s="60"/>
      <c r="AR815" s="54"/>
      <c r="AS815" s="39"/>
      <c r="AT815" s="35"/>
      <c r="AV815" s="1"/>
      <c r="BB815" s="1"/>
      <c r="BH815" s="1"/>
      <c r="BN815" s="1"/>
      <c r="BP815" s="64"/>
      <c r="BQ815" s="70"/>
      <c r="BT815" s="1"/>
    </row>
    <row r="816">
      <c r="A816" s="70"/>
      <c r="F816" s="1"/>
      <c r="L816" s="1"/>
      <c r="R816" s="1"/>
      <c r="X816" s="1"/>
      <c r="AD816" s="1"/>
      <c r="AJ816" s="1"/>
      <c r="AP816" s="1"/>
      <c r="AQ816" s="60"/>
      <c r="AR816" s="54"/>
      <c r="AS816" s="39"/>
      <c r="AT816" s="35"/>
      <c r="AV816" s="1"/>
      <c r="BB816" s="1"/>
      <c r="BH816" s="1"/>
      <c r="BN816" s="1"/>
      <c r="BP816" s="64"/>
      <c r="BQ816" s="70"/>
      <c r="BT816" s="1"/>
    </row>
    <row r="817">
      <c r="A817" s="70"/>
      <c r="F817" s="1"/>
      <c r="L817" s="1"/>
      <c r="R817" s="1"/>
      <c r="X817" s="1"/>
      <c r="AD817" s="1"/>
      <c r="AJ817" s="1"/>
      <c r="AP817" s="1"/>
      <c r="AQ817" s="60"/>
      <c r="AR817" s="54"/>
      <c r="AS817" s="39"/>
      <c r="AT817" s="35"/>
      <c r="AV817" s="1"/>
      <c r="BB817" s="1"/>
      <c r="BH817" s="1"/>
      <c r="BN817" s="1"/>
      <c r="BP817" s="64"/>
      <c r="BQ817" s="70"/>
      <c r="BT817" s="1"/>
    </row>
    <row r="818">
      <c r="A818" s="70"/>
      <c r="F818" s="1"/>
      <c r="L818" s="1"/>
      <c r="R818" s="1"/>
      <c r="X818" s="1"/>
      <c r="AD818" s="1"/>
      <c r="AJ818" s="1"/>
      <c r="AP818" s="1"/>
      <c r="AQ818" s="60"/>
      <c r="AR818" s="54"/>
      <c r="AS818" s="39"/>
      <c r="AT818" s="35"/>
      <c r="AV818" s="1"/>
      <c r="BB818" s="1"/>
      <c r="BH818" s="1"/>
      <c r="BN818" s="1"/>
      <c r="BP818" s="64"/>
      <c r="BQ818" s="70"/>
      <c r="BT818" s="1"/>
    </row>
    <row r="819">
      <c r="A819" s="70"/>
      <c r="F819" s="1"/>
      <c r="L819" s="1"/>
      <c r="R819" s="1"/>
      <c r="X819" s="1"/>
      <c r="AD819" s="1"/>
      <c r="AJ819" s="1"/>
      <c r="AP819" s="1"/>
      <c r="AQ819" s="60"/>
      <c r="AR819" s="54"/>
      <c r="AS819" s="39"/>
      <c r="AT819" s="35"/>
      <c r="AV819" s="1"/>
      <c r="BB819" s="1"/>
      <c r="BH819" s="1"/>
      <c r="BN819" s="1"/>
      <c r="BP819" s="64"/>
      <c r="BQ819" s="70"/>
      <c r="BT819" s="1"/>
    </row>
    <row r="820">
      <c r="A820" s="70"/>
      <c r="F820" s="1"/>
      <c r="L820" s="1"/>
      <c r="R820" s="1"/>
      <c r="X820" s="1"/>
      <c r="AD820" s="1"/>
      <c r="AJ820" s="1"/>
      <c r="AP820" s="1"/>
      <c r="AQ820" s="60"/>
      <c r="AR820" s="54"/>
      <c r="AS820" s="39"/>
      <c r="AT820" s="35"/>
      <c r="AV820" s="1"/>
      <c r="BB820" s="1"/>
      <c r="BH820" s="1"/>
      <c r="BN820" s="1"/>
      <c r="BP820" s="64"/>
      <c r="BQ820" s="70"/>
      <c r="BT820" s="1"/>
    </row>
    <row r="821">
      <c r="A821" s="70"/>
      <c r="F821" s="1"/>
      <c r="L821" s="1"/>
      <c r="R821" s="1"/>
      <c r="X821" s="1"/>
      <c r="AD821" s="1"/>
      <c r="AJ821" s="1"/>
      <c r="AP821" s="1"/>
      <c r="AQ821" s="60"/>
      <c r="AR821" s="54"/>
      <c r="AS821" s="39"/>
      <c r="AT821" s="35"/>
      <c r="AV821" s="1"/>
      <c r="BB821" s="1"/>
      <c r="BH821" s="1"/>
      <c r="BN821" s="1"/>
      <c r="BP821" s="64"/>
      <c r="BQ821" s="70"/>
      <c r="BT821" s="1"/>
    </row>
    <row r="822">
      <c r="A822" s="70"/>
      <c r="F822" s="1"/>
      <c r="L822" s="1"/>
      <c r="R822" s="1"/>
      <c r="X822" s="1"/>
      <c r="AD822" s="1"/>
      <c r="AJ822" s="1"/>
      <c r="AP822" s="1"/>
      <c r="AQ822" s="60"/>
      <c r="AR822" s="54"/>
      <c r="AS822" s="39"/>
      <c r="AT822" s="35"/>
      <c r="AV822" s="1"/>
      <c r="BB822" s="1"/>
      <c r="BH822" s="1"/>
      <c r="BN822" s="1"/>
      <c r="BP822" s="64"/>
      <c r="BQ822" s="70"/>
      <c r="BT822" s="1"/>
    </row>
    <row r="823">
      <c r="A823" s="70"/>
      <c r="F823" s="1"/>
      <c r="L823" s="1"/>
      <c r="R823" s="1"/>
      <c r="X823" s="1"/>
      <c r="AD823" s="1"/>
      <c r="AJ823" s="1"/>
      <c r="AP823" s="1"/>
      <c r="AQ823" s="60"/>
      <c r="AR823" s="54"/>
      <c r="AS823" s="39"/>
      <c r="AT823" s="35"/>
      <c r="AV823" s="1"/>
      <c r="BB823" s="1"/>
      <c r="BH823" s="1"/>
      <c r="BN823" s="1"/>
      <c r="BP823" s="64"/>
      <c r="BQ823" s="70"/>
      <c r="BT823" s="1"/>
    </row>
    <row r="824">
      <c r="A824" s="70"/>
      <c r="F824" s="1"/>
      <c r="L824" s="1"/>
      <c r="R824" s="1"/>
      <c r="X824" s="1"/>
      <c r="AD824" s="1"/>
      <c r="AJ824" s="1"/>
      <c r="AP824" s="1"/>
      <c r="AQ824" s="60"/>
      <c r="AR824" s="54"/>
      <c r="AS824" s="39"/>
      <c r="AT824" s="35"/>
      <c r="AV824" s="1"/>
      <c r="BB824" s="1"/>
      <c r="BH824" s="1"/>
      <c r="BN824" s="1"/>
      <c r="BP824" s="64"/>
      <c r="BQ824" s="70"/>
      <c r="BT824" s="1"/>
    </row>
    <row r="825">
      <c r="A825" s="70"/>
      <c r="F825" s="1"/>
      <c r="L825" s="1"/>
      <c r="R825" s="1"/>
      <c r="X825" s="1"/>
      <c r="AD825" s="1"/>
      <c r="AJ825" s="1"/>
      <c r="AP825" s="1"/>
      <c r="AQ825" s="60"/>
      <c r="AR825" s="54"/>
      <c r="AS825" s="39"/>
      <c r="AT825" s="35"/>
      <c r="AV825" s="1"/>
      <c r="BB825" s="1"/>
      <c r="BH825" s="1"/>
      <c r="BN825" s="1"/>
      <c r="BQ825" s="70"/>
      <c r="BT825" s="1"/>
    </row>
    <row r="826">
      <c r="A826" s="70"/>
      <c r="F826" s="1"/>
      <c r="L826" s="1"/>
      <c r="R826" s="1"/>
      <c r="X826" s="1"/>
      <c r="AD826" s="1"/>
      <c r="AJ826" s="1"/>
      <c r="AP826" s="1"/>
      <c r="AQ826" s="60"/>
      <c r="AR826" s="54"/>
      <c r="AS826" s="39"/>
      <c r="AT826" s="35"/>
      <c r="AV826" s="1"/>
      <c r="BB826" s="1"/>
      <c r="BH826" s="1"/>
      <c r="BN826" s="1"/>
      <c r="BQ826" s="70"/>
      <c r="BT826" s="1"/>
    </row>
    <row r="827">
      <c r="A827" s="70"/>
      <c r="F827" s="1"/>
      <c r="L827" s="1"/>
      <c r="R827" s="1"/>
      <c r="X827" s="1"/>
      <c r="AD827" s="1"/>
      <c r="AJ827" s="1"/>
      <c r="AP827" s="1"/>
      <c r="AQ827" s="60"/>
      <c r="AR827" s="54"/>
      <c r="AS827" s="39"/>
      <c r="AT827" s="35"/>
      <c r="AV827" s="1"/>
      <c r="BB827" s="1"/>
      <c r="BH827" s="1"/>
      <c r="BN827" s="1"/>
      <c r="BQ827" s="70"/>
      <c r="BT827" s="1"/>
    </row>
    <row r="828">
      <c r="A828" s="70"/>
      <c r="F828" s="1"/>
      <c r="L828" s="1"/>
      <c r="R828" s="1"/>
      <c r="X828" s="1"/>
      <c r="AD828" s="1"/>
      <c r="AJ828" s="1"/>
      <c r="AP828" s="1"/>
      <c r="AQ828" s="60"/>
      <c r="AR828" s="54"/>
      <c r="AS828" s="39"/>
      <c r="AT828" s="35"/>
      <c r="AV828" s="1"/>
      <c r="BB828" s="1"/>
      <c r="BH828" s="1"/>
      <c r="BN828" s="1"/>
      <c r="BQ828" s="70"/>
      <c r="BT828" s="1"/>
    </row>
    <row r="829">
      <c r="A829" s="70"/>
      <c r="F829" s="1"/>
      <c r="L829" s="1"/>
      <c r="R829" s="1"/>
      <c r="X829" s="1"/>
      <c r="AD829" s="1"/>
      <c r="AJ829" s="1"/>
      <c r="AP829" s="1"/>
      <c r="AQ829" s="60"/>
      <c r="AR829" s="54"/>
      <c r="AS829" s="39"/>
      <c r="AT829" s="35"/>
      <c r="AV829" s="1"/>
      <c r="BB829" s="1"/>
      <c r="BH829" s="1"/>
      <c r="BN829" s="1"/>
      <c r="BQ829" s="70"/>
      <c r="BT829" s="1"/>
    </row>
    <row r="830">
      <c r="A830" s="70"/>
      <c r="F830" s="1"/>
      <c r="L830" s="1"/>
      <c r="R830" s="1"/>
      <c r="X830" s="1"/>
      <c r="AD830" s="1"/>
      <c r="AJ830" s="1"/>
      <c r="AP830" s="1"/>
      <c r="AQ830" s="60"/>
      <c r="AR830" s="54"/>
      <c r="AS830" s="39"/>
      <c r="AT830" s="35"/>
      <c r="AV830" s="1"/>
      <c r="BB830" s="1"/>
      <c r="BH830" s="1"/>
      <c r="BN830" s="1"/>
      <c r="BQ830" s="70"/>
      <c r="BT830" s="1"/>
    </row>
    <row r="831">
      <c r="A831" s="70"/>
      <c r="F831" s="1"/>
      <c r="L831" s="1"/>
      <c r="R831" s="1"/>
      <c r="X831" s="1"/>
      <c r="AD831" s="1"/>
      <c r="AJ831" s="1"/>
      <c r="AP831" s="1"/>
      <c r="AQ831" s="60"/>
      <c r="AR831" s="54"/>
      <c r="AS831" s="39"/>
      <c r="AT831" s="35"/>
      <c r="AV831" s="1"/>
      <c r="BB831" s="1"/>
      <c r="BH831" s="1"/>
      <c r="BN831" s="1"/>
      <c r="BQ831" s="70"/>
      <c r="BT831" s="1"/>
    </row>
    <row r="832">
      <c r="A832" s="70"/>
      <c r="F832" s="1"/>
      <c r="L832" s="1"/>
      <c r="R832" s="1"/>
      <c r="X832" s="1"/>
      <c r="AD832" s="1"/>
      <c r="AJ832" s="1"/>
      <c r="AP832" s="1"/>
      <c r="AQ832" s="60"/>
      <c r="AR832" s="54"/>
      <c r="AS832" s="39"/>
      <c r="AT832" s="35"/>
      <c r="AV832" s="1"/>
      <c r="BB832" s="1"/>
      <c r="BH832" s="1"/>
      <c r="BN832" s="1"/>
      <c r="BQ832" s="70"/>
      <c r="BT832" s="1"/>
    </row>
    <row r="833">
      <c r="A833" s="70"/>
      <c r="F833" s="1"/>
      <c r="L833" s="1"/>
      <c r="R833" s="1"/>
      <c r="X833" s="1"/>
      <c r="AD833" s="1"/>
      <c r="AJ833" s="1"/>
      <c r="AP833" s="1"/>
      <c r="AQ833" s="60"/>
      <c r="AR833" s="54"/>
      <c r="AS833" s="39"/>
      <c r="AT833" s="35"/>
      <c r="AV833" s="1"/>
      <c r="BB833" s="1"/>
      <c r="BH833" s="1"/>
      <c r="BN833" s="1"/>
      <c r="BQ833" s="70"/>
      <c r="BT833" s="1"/>
    </row>
    <row r="834">
      <c r="A834" s="70"/>
      <c r="F834" s="1"/>
      <c r="L834" s="1"/>
      <c r="R834" s="1"/>
      <c r="X834" s="1"/>
      <c r="AD834" s="1"/>
      <c r="AJ834" s="1"/>
      <c r="AP834" s="1"/>
      <c r="AQ834" s="60"/>
      <c r="AR834" s="54"/>
      <c r="AS834" s="39"/>
      <c r="AT834" s="35"/>
      <c r="AV834" s="1"/>
      <c r="BB834" s="1"/>
      <c r="BH834" s="1"/>
      <c r="BN834" s="1"/>
      <c r="BQ834" s="70"/>
      <c r="BT834" s="1"/>
    </row>
    <row r="835">
      <c r="A835" s="70"/>
      <c r="F835" s="1"/>
      <c r="L835" s="1"/>
      <c r="R835" s="1"/>
      <c r="X835" s="1"/>
      <c r="AD835" s="1"/>
      <c r="AJ835" s="1"/>
      <c r="AP835" s="1"/>
      <c r="AQ835" s="60"/>
      <c r="AR835" s="54"/>
      <c r="AS835" s="39"/>
      <c r="AT835" s="35"/>
      <c r="AV835" s="1"/>
      <c r="BB835" s="1"/>
      <c r="BH835" s="1"/>
      <c r="BN835" s="1"/>
      <c r="BQ835" s="70"/>
      <c r="BT835" s="1"/>
    </row>
    <row r="836">
      <c r="A836" s="70"/>
      <c r="F836" s="1"/>
      <c r="L836" s="1"/>
      <c r="R836" s="1"/>
      <c r="X836" s="1"/>
      <c r="AD836" s="1"/>
      <c r="AJ836" s="1"/>
      <c r="AP836" s="1"/>
      <c r="AQ836" s="60"/>
      <c r="AR836" s="54"/>
      <c r="AS836" s="39"/>
      <c r="AT836" s="35"/>
      <c r="AV836" s="1"/>
      <c r="BB836" s="1"/>
      <c r="BH836" s="1"/>
      <c r="BN836" s="1"/>
      <c r="BQ836" s="70"/>
      <c r="BT836" s="1"/>
    </row>
    <row r="837">
      <c r="A837" s="70"/>
      <c r="F837" s="1"/>
      <c r="L837" s="1"/>
      <c r="R837" s="1"/>
      <c r="X837" s="1"/>
      <c r="AD837" s="1"/>
      <c r="AJ837" s="1"/>
      <c r="AP837" s="1"/>
      <c r="AQ837" s="60"/>
      <c r="AR837" s="54"/>
      <c r="AS837" s="39"/>
      <c r="AT837" s="35"/>
      <c r="AV837" s="1"/>
      <c r="BB837" s="1"/>
      <c r="BH837" s="1"/>
      <c r="BN837" s="1"/>
      <c r="BQ837" s="70"/>
      <c r="BT837" s="1"/>
    </row>
    <row r="838">
      <c r="A838" s="70"/>
      <c r="F838" s="1"/>
      <c r="L838" s="1"/>
      <c r="R838" s="1"/>
      <c r="X838" s="1"/>
      <c r="AD838" s="1"/>
      <c r="AJ838" s="1"/>
      <c r="AP838" s="1"/>
      <c r="AQ838" s="60"/>
      <c r="AR838" s="54"/>
      <c r="AS838" s="39"/>
      <c r="AT838" s="35"/>
      <c r="AV838" s="1"/>
      <c r="BB838" s="1"/>
      <c r="BH838" s="1"/>
      <c r="BN838" s="1"/>
      <c r="BQ838" s="70"/>
      <c r="BT838" s="1"/>
    </row>
    <row r="839">
      <c r="A839" s="70"/>
      <c r="F839" s="1"/>
      <c r="L839" s="1"/>
      <c r="R839" s="1"/>
      <c r="X839" s="1"/>
      <c r="AD839" s="1"/>
      <c r="AJ839" s="1"/>
      <c r="AP839" s="1"/>
      <c r="AQ839" s="60"/>
      <c r="AR839" s="54"/>
      <c r="AS839" s="39"/>
      <c r="AT839" s="35"/>
      <c r="AV839" s="1"/>
      <c r="BB839" s="1"/>
      <c r="BH839" s="1"/>
      <c r="BN839" s="1"/>
      <c r="BQ839" s="70"/>
      <c r="BT839" s="1"/>
    </row>
    <row r="840">
      <c r="A840" s="70"/>
      <c r="F840" s="1"/>
      <c r="L840" s="1"/>
      <c r="R840" s="1"/>
      <c r="X840" s="1"/>
      <c r="AD840" s="1"/>
      <c r="AJ840" s="1"/>
      <c r="AP840" s="1"/>
      <c r="AQ840" s="60"/>
      <c r="AR840" s="54"/>
      <c r="AS840" s="39"/>
      <c r="AT840" s="35"/>
      <c r="AV840" s="1"/>
      <c r="BB840" s="1"/>
      <c r="BH840" s="1"/>
      <c r="BN840" s="1"/>
      <c r="BQ840" s="70"/>
      <c r="BT840" s="1"/>
    </row>
    <row r="841">
      <c r="A841" s="70"/>
      <c r="F841" s="1"/>
      <c r="L841" s="1"/>
      <c r="R841" s="1"/>
      <c r="X841" s="1"/>
      <c r="AD841" s="1"/>
      <c r="AJ841" s="1"/>
      <c r="AP841" s="1"/>
      <c r="AQ841" s="60"/>
      <c r="AR841" s="54"/>
      <c r="AS841" s="39"/>
      <c r="AT841" s="35"/>
      <c r="AV841" s="1"/>
      <c r="BB841" s="1"/>
      <c r="BH841" s="1"/>
      <c r="BN841" s="1"/>
      <c r="BQ841" s="70"/>
      <c r="BT841" s="1"/>
    </row>
    <row r="842">
      <c r="A842" s="70"/>
      <c r="F842" s="1"/>
      <c r="L842" s="1"/>
      <c r="R842" s="1"/>
      <c r="X842" s="1"/>
      <c r="AD842" s="1"/>
      <c r="AJ842" s="1"/>
      <c r="AP842" s="1"/>
      <c r="AQ842" s="60"/>
      <c r="AR842" s="54"/>
      <c r="AS842" s="39"/>
      <c r="AT842" s="35"/>
      <c r="AV842" s="1"/>
      <c r="BB842" s="1"/>
      <c r="BH842" s="1"/>
      <c r="BN842" s="1"/>
      <c r="BQ842" s="70"/>
      <c r="BT842" s="1"/>
    </row>
    <row r="843">
      <c r="A843" s="70"/>
      <c r="F843" s="1"/>
      <c r="L843" s="1"/>
      <c r="R843" s="1"/>
      <c r="X843" s="1"/>
      <c r="AD843" s="1"/>
      <c r="AJ843" s="1"/>
      <c r="AP843" s="1"/>
      <c r="AQ843" s="60"/>
      <c r="AR843" s="54"/>
      <c r="AS843" s="39"/>
      <c r="AT843" s="35"/>
      <c r="AV843" s="1"/>
      <c r="BB843" s="1"/>
      <c r="BH843" s="1"/>
      <c r="BN843" s="1"/>
      <c r="BQ843" s="70"/>
      <c r="BT843" s="1"/>
    </row>
    <row r="844">
      <c r="A844" s="70"/>
      <c r="F844" s="1"/>
      <c r="L844" s="1"/>
      <c r="R844" s="1"/>
      <c r="X844" s="1"/>
      <c r="AD844" s="1"/>
      <c r="AJ844" s="1"/>
      <c r="AP844" s="1"/>
      <c r="AQ844" s="60"/>
      <c r="AR844" s="54"/>
      <c r="AS844" s="39"/>
      <c r="AT844" s="35"/>
      <c r="AV844" s="1"/>
      <c r="BB844" s="1"/>
      <c r="BH844" s="1"/>
      <c r="BN844" s="1"/>
      <c r="BQ844" s="70"/>
      <c r="BT844" s="1"/>
    </row>
    <row r="845">
      <c r="A845" s="70"/>
      <c r="F845" s="1"/>
      <c r="L845" s="1"/>
      <c r="R845" s="1"/>
      <c r="X845" s="1"/>
      <c r="AD845" s="1"/>
      <c r="AJ845" s="1"/>
      <c r="AP845" s="1"/>
      <c r="AQ845" s="60"/>
      <c r="AR845" s="54"/>
      <c r="AS845" s="39"/>
      <c r="AT845" s="35"/>
      <c r="AV845" s="1"/>
      <c r="BB845" s="1"/>
      <c r="BH845" s="1"/>
      <c r="BN845" s="1"/>
      <c r="BQ845" s="70"/>
      <c r="BT845" s="1"/>
    </row>
    <row r="846">
      <c r="A846" s="70"/>
      <c r="F846" s="1"/>
      <c r="L846" s="1"/>
      <c r="R846" s="1"/>
      <c r="X846" s="1"/>
      <c r="AD846" s="1"/>
      <c r="AJ846" s="1"/>
      <c r="AP846" s="1"/>
      <c r="AQ846" s="60"/>
      <c r="AR846" s="54"/>
      <c r="AS846" s="39"/>
      <c r="AT846" s="35"/>
      <c r="AV846" s="1"/>
      <c r="BB846" s="1"/>
      <c r="BH846" s="1"/>
      <c r="BN846" s="1"/>
      <c r="BQ846" s="70"/>
      <c r="BT846" s="1"/>
    </row>
    <row r="847">
      <c r="A847" s="70"/>
      <c r="F847" s="1"/>
      <c r="L847" s="1"/>
      <c r="R847" s="1"/>
      <c r="X847" s="1"/>
      <c r="AD847" s="1"/>
      <c r="AJ847" s="1"/>
      <c r="AP847" s="1"/>
      <c r="AQ847" s="60"/>
      <c r="AR847" s="54"/>
      <c r="AS847" s="39"/>
      <c r="AT847" s="35"/>
      <c r="AV847" s="1"/>
      <c r="BB847" s="1"/>
      <c r="BH847" s="1"/>
      <c r="BN847" s="1"/>
      <c r="BQ847" s="70"/>
      <c r="BT847" s="1"/>
    </row>
    <row r="848">
      <c r="A848" s="70"/>
      <c r="F848" s="1"/>
      <c r="L848" s="1"/>
      <c r="R848" s="1"/>
      <c r="X848" s="1"/>
      <c r="AD848" s="1"/>
      <c r="AJ848" s="1"/>
      <c r="AP848" s="1"/>
      <c r="AQ848" s="60"/>
      <c r="AR848" s="54"/>
      <c r="AS848" s="39"/>
      <c r="AT848" s="35"/>
      <c r="AV848" s="1"/>
      <c r="BB848" s="1"/>
      <c r="BH848" s="1"/>
      <c r="BN848" s="1"/>
      <c r="BQ848" s="70"/>
      <c r="BT848" s="1"/>
    </row>
    <row r="849">
      <c r="A849" s="70"/>
      <c r="F849" s="1"/>
      <c r="L849" s="1"/>
      <c r="R849" s="1"/>
      <c r="X849" s="1"/>
      <c r="AD849" s="1"/>
      <c r="AJ849" s="1"/>
      <c r="AP849" s="1"/>
      <c r="AQ849" s="60"/>
      <c r="AR849" s="54"/>
      <c r="AS849" s="39"/>
      <c r="AT849" s="35"/>
      <c r="AV849" s="1"/>
      <c r="BB849" s="1"/>
      <c r="BH849" s="1"/>
      <c r="BN849" s="1"/>
      <c r="BQ849" s="70"/>
      <c r="BT849" s="1"/>
    </row>
    <row r="850">
      <c r="A850" s="70"/>
      <c r="F850" s="1"/>
      <c r="L850" s="1"/>
      <c r="R850" s="1"/>
      <c r="X850" s="1"/>
      <c r="AD850" s="1"/>
      <c r="AJ850" s="1"/>
      <c r="AP850" s="1"/>
      <c r="AQ850" s="60"/>
      <c r="AR850" s="54"/>
      <c r="AS850" s="39"/>
      <c r="AT850" s="35"/>
      <c r="AV850" s="1"/>
      <c r="BB850" s="1"/>
      <c r="BH850" s="1"/>
      <c r="BN850" s="1"/>
      <c r="BQ850" s="70"/>
      <c r="BT850" s="1"/>
    </row>
    <row r="851">
      <c r="A851" s="70"/>
      <c r="F851" s="1"/>
      <c r="L851" s="1"/>
      <c r="R851" s="1"/>
      <c r="X851" s="1"/>
      <c r="AD851" s="1"/>
      <c r="AJ851" s="1"/>
      <c r="AP851" s="1"/>
      <c r="AQ851" s="60"/>
      <c r="AR851" s="54"/>
      <c r="AS851" s="39"/>
      <c r="AT851" s="35"/>
      <c r="AV851" s="1"/>
      <c r="BB851" s="1"/>
      <c r="BH851" s="1"/>
      <c r="BN851" s="1"/>
      <c r="BQ851" s="70"/>
      <c r="BT851" s="1"/>
    </row>
    <row r="852">
      <c r="A852" s="70"/>
      <c r="F852" s="1"/>
      <c r="L852" s="1"/>
      <c r="R852" s="1"/>
      <c r="X852" s="1"/>
      <c r="AD852" s="1"/>
      <c r="AJ852" s="1"/>
      <c r="AP852" s="1"/>
      <c r="AQ852" s="60"/>
      <c r="AR852" s="54"/>
      <c r="AS852" s="39"/>
      <c r="AT852" s="35"/>
      <c r="AV852" s="1"/>
      <c r="BB852" s="1"/>
      <c r="BH852" s="1"/>
      <c r="BN852" s="1"/>
      <c r="BQ852" s="70"/>
      <c r="BT852" s="1"/>
    </row>
    <row r="853">
      <c r="A853" s="70"/>
      <c r="F853" s="1"/>
      <c r="L853" s="1"/>
      <c r="R853" s="1"/>
      <c r="X853" s="1"/>
      <c r="AD853" s="1"/>
      <c r="AJ853" s="1"/>
      <c r="AP853" s="1"/>
      <c r="AQ853" s="60"/>
      <c r="AR853" s="54"/>
      <c r="AS853" s="39"/>
      <c r="AT853" s="35"/>
      <c r="AV853" s="1"/>
      <c r="BB853" s="1"/>
      <c r="BH853" s="1"/>
      <c r="BN853" s="1"/>
      <c r="BQ853" s="70"/>
      <c r="BT853" s="1"/>
    </row>
    <row r="854">
      <c r="A854" s="70"/>
      <c r="F854" s="1"/>
      <c r="L854" s="1"/>
      <c r="R854" s="1"/>
      <c r="X854" s="1"/>
      <c r="AD854" s="1"/>
      <c r="AJ854" s="1"/>
      <c r="AP854" s="1"/>
      <c r="AQ854" s="60"/>
      <c r="AR854" s="54"/>
      <c r="AS854" s="39"/>
      <c r="AT854" s="35"/>
      <c r="AV854" s="1"/>
      <c r="BB854" s="1"/>
      <c r="BH854" s="1"/>
      <c r="BN854" s="1"/>
      <c r="BQ854" s="70"/>
      <c r="BT854" s="1"/>
    </row>
    <row r="855">
      <c r="A855" s="70"/>
      <c r="F855" s="1"/>
      <c r="L855" s="1"/>
      <c r="R855" s="1"/>
      <c r="X855" s="1"/>
      <c r="AD855" s="1"/>
      <c r="AJ855" s="1"/>
      <c r="AP855" s="1"/>
      <c r="AQ855" s="60"/>
      <c r="AR855" s="54"/>
      <c r="AS855" s="39"/>
      <c r="AT855" s="35"/>
      <c r="AV855" s="1"/>
      <c r="BB855" s="1"/>
      <c r="BH855" s="1"/>
      <c r="BN855" s="1"/>
      <c r="BQ855" s="70"/>
      <c r="BT855" s="1"/>
    </row>
    <row r="856">
      <c r="A856" s="70"/>
      <c r="F856" s="1"/>
      <c r="L856" s="1"/>
      <c r="R856" s="1"/>
      <c r="X856" s="1"/>
      <c r="AD856" s="1"/>
      <c r="AJ856" s="1"/>
      <c r="AP856" s="1"/>
      <c r="AQ856" s="60"/>
      <c r="AR856" s="54"/>
      <c r="AS856" s="39"/>
      <c r="AT856" s="35"/>
      <c r="AV856" s="1"/>
      <c r="BB856" s="1"/>
      <c r="BH856" s="1"/>
      <c r="BN856" s="1"/>
      <c r="BQ856" s="70"/>
      <c r="BT856" s="1"/>
    </row>
    <row r="857">
      <c r="A857" s="70"/>
      <c r="F857" s="1"/>
      <c r="L857" s="1"/>
      <c r="R857" s="1"/>
      <c r="X857" s="1"/>
      <c r="AD857" s="1"/>
      <c r="AJ857" s="1"/>
      <c r="AP857" s="1"/>
      <c r="AQ857" s="60"/>
      <c r="AR857" s="54"/>
      <c r="AS857" s="39"/>
      <c r="AT857" s="35"/>
      <c r="AV857" s="1"/>
      <c r="BB857" s="1"/>
      <c r="BH857" s="1"/>
      <c r="BN857" s="1"/>
      <c r="BQ857" s="70"/>
      <c r="BT857" s="1"/>
    </row>
    <row r="858">
      <c r="A858" s="70"/>
      <c r="F858" s="1"/>
      <c r="L858" s="1"/>
      <c r="R858" s="1"/>
      <c r="X858" s="1"/>
      <c r="AD858" s="1"/>
      <c r="AJ858" s="1"/>
      <c r="AP858" s="1"/>
      <c r="AQ858" s="60"/>
      <c r="AR858" s="54"/>
      <c r="AS858" s="39"/>
      <c r="AT858" s="35"/>
      <c r="AV858" s="1"/>
      <c r="BB858" s="1"/>
      <c r="BH858" s="1"/>
      <c r="BN858" s="1"/>
      <c r="BQ858" s="70"/>
      <c r="BT858" s="1"/>
    </row>
    <row r="859">
      <c r="A859" s="70"/>
      <c r="F859" s="1"/>
      <c r="L859" s="1"/>
      <c r="R859" s="1"/>
      <c r="X859" s="1"/>
      <c r="AD859" s="1"/>
      <c r="AJ859" s="1"/>
      <c r="AP859" s="1"/>
      <c r="AQ859" s="60"/>
      <c r="AR859" s="54"/>
      <c r="AS859" s="39"/>
      <c r="AT859" s="35"/>
      <c r="AV859" s="1"/>
      <c r="BB859" s="1"/>
      <c r="BH859" s="1"/>
      <c r="BN859" s="1"/>
      <c r="BQ859" s="70"/>
      <c r="BT859" s="1"/>
    </row>
    <row r="860">
      <c r="A860" s="70"/>
      <c r="F860" s="1"/>
      <c r="L860" s="1"/>
      <c r="R860" s="1"/>
      <c r="X860" s="1"/>
      <c r="AD860" s="1"/>
      <c r="AJ860" s="1"/>
      <c r="AP860" s="1"/>
      <c r="AQ860" s="60"/>
      <c r="AR860" s="54"/>
      <c r="AS860" s="39"/>
      <c r="AT860" s="35"/>
      <c r="AV860" s="1"/>
      <c r="BB860" s="1"/>
      <c r="BH860" s="1"/>
      <c r="BN860" s="1"/>
      <c r="BQ860" s="70"/>
      <c r="BT860" s="1"/>
    </row>
    <row r="861">
      <c r="A861" s="70"/>
      <c r="F861" s="1"/>
      <c r="L861" s="1"/>
      <c r="R861" s="1"/>
      <c r="X861" s="1"/>
      <c r="AD861" s="1"/>
      <c r="AJ861" s="1"/>
      <c r="AP861" s="1"/>
      <c r="AQ861" s="60"/>
      <c r="AR861" s="54"/>
      <c r="AS861" s="39"/>
      <c r="AT861" s="35"/>
      <c r="AV861" s="1"/>
      <c r="BB861" s="1"/>
      <c r="BH861" s="1"/>
      <c r="BN861" s="1"/>
      <c r="BQ861" s="70"/>
      <c r="BT861" s="1"/>
    </row>
    <row r="862">
      <c r="A862" s="70"/>
      <c r="F862" s="1"/>
      <c r="L862" s="1"/>
      <c r="R862" s="1"/>
      <c r="X862" s="1"/>
      <c r="AD862" s="1"/>
      <c r="AJ862" s="1"/>
      <c r="AP862" s="1"/>
      <c r="AQ862" s="60"/>
      <c r="AR862" s="54"/>
      <c r="AS862" s="39"/>
      <c r="AT862" s="35"/>
      <c r="AV862" s="1"/>
      <c r="BB862" s="1"/>
      <c r="BH862" s="1"/>
      <c r="BN862" s="1"/>
      <c r="BQ862" s="70"/>
      <c r="BT862" s="1"/>
    </row>
    <row r="863">
      <c r="A863" s="70"/>
      <c r="F863" s="1"/>
      <c r="L863" s="1"/>
      <c r="R863" s="1"/>
      <c r="X863" s="1"/>
      <c r="AD863" s="1"/>
      <c r="AJ863" s="1"/>
      <c r="AP863" s="1"/>
      <c r="AQ863" s="60"/>
      <c r="AR863" s="54"/>
      <c r="AS863" s="39"/>
      <c r="AT863" s="35"/>
      <c r="AV863" s="1"/>
      <c r="BB863" s="1"/>
      <c r="BH863" s="1"/>
      <c r="BN863" s="1"/>
      <c r="BQ863" s="70"/>
      <c r="BT863" s="1"/>
    </row>
    <row r="864">
      <c r="A864" s="70"/>
      <c r="F864" s="1"/>
      <c r="L864" s="1"/>
      <c r="R864" s="1"/>
      <c r="X864" s="1"/>
      <c r="AD864" s="1"/>
      <c r="AJ864" s="1"/>
      <c r="AP864" s="1"/>
      <c r="AQ864" s="60"/>
      <c r="AR864" s="54"/>
      <c r="AS864" s="39"/>
      <c r="AT864" s="35"/>
      <c r="AV864" s="1"/>
      <c r="BB864" s="1"/>
      <c r="BH864" s="1"/>
      <c r="BN864" s="1"/>
      <c r="BQ864" s="70"/>
      <c r="BT864" s="1"/>
    </row>
    <row r="865">
      <c r="A865" s="70"/>
      <c r="F865" s="1"/>
      <c r="L865" s="1"/>
      <c r="R865" s="1"/>
      <c r="X865" s="1"/>
      <c r="AD865" s="1"/>
      <c r="AJ865" s="1"/>
      <c r="AP865" s="1"/>
      <c r="AQ865" s="60"/>
      <c r="AR865" s="54"/>
      <c r="AS865" s="39"/>
      <c r="AT865" s="35"/>
      <c r="AV865" s="1"/>
      <c r="BB865" s="1"/>
      <c r="BH865" s="1"/>
      <c r="BN865" s="1"/>
      <c r="BQ865" s="70"/>
      <c r="BT865" s="1"/>
    </row>
    <row r="866">
      <c r="A866" s="70"/>
      <c r="F866" s="1"/>
      <c r="L866" s="1"/>
      <c r="R866" s="1"/>
      <c r="X866" s="1"/>
      <c r="AD866" s="1"/>
      <c r="AJ866" s="1"/>
      <c r="AP866" s="1"/>
      <c r="AQ866" s="60"/>
      <c r="AR866" s="54"/>
      <c r="AS866" s="39"/>
      <c r="AT866" s="35"/>
      <c r="AV866" s="1"/>
      <c r="BB866" s="1"/>
      <c r="BH866" s="1"/>
      <c r="BN866" s="1"/>
      <c r="BQ866" s="70"/>
      <c r="BT866" s="1"/>
    </row>
    <row r="867">
      <c r="A867" s="70"/>
      <c r="F867" s="1"/>
      <c r="L867" s="1"/>
      <c r="R867" s="1"/>
      <c r="X867" s="1"/>
      <c r="AD867" s="1"/>
      <c r="AJ867" s="1"/>
      <c r="AP867" s="1"/>
      <c r="AQ867" s="60"/>
      <c r="AR867" s="54"/>
      <c r="AS867" s="39"/>
      <c r="AT867" s="35"/>
      <c r="AV867" s="1"/>
      <c r="BB867" s="1"/>
      <c r="BH867" s="1"/>
      <c r="BN867" s="1"/>
      <c r="BQ867" s="70"/>
      <c r="BT867" s="1"/>
    </row>
    <row r="868">
      <c r="A868" s="70"/>
      <c r="F868" s="1"/>
      <c r="L868" s="1"/>
      <c r="R868" s="1"/>
      <c r="X868" s="1"/>
      <c r="AD868" s="1"/>
      <c r="AJ868" s="1"/>
      <c r="AP868" s="1"/>
      <c r="AQ868" s="60"/>
      <c r="AR868" s="54"/>
      <c r="AS868" s="39"/>
      <c r="AT868" s="35"/>
      <c r="AV868" s="1"/>
      <c r="BB868" s="1"/>
      <c r="BH868" s="1"/>
      <c r="BN868" s="1"/>
      <c r="BQ868" s="70"/>
      <c r="BT868" s="1"/>
    </row>
    <row r="869">
      <c r="A869" s="70"/>
      <c r="F869" s="1"/>
      <c r="L869" s="1"/>
      <c r="R869" s="1"/>
      <c r="X869" s="1"/>
      <c r="AD869" s="1"/>
      <c r="AJ869" s="1"/>
      <c r="AP869" s="1"/>
      <c r="AQ869" s="60"/>
      <c r="AR869" s="54"/>
      <c r="AS869" s="39"/>
      <c r="AT869" s="35"/>
      <c r="AV869" s="1"/>
      <c r="BB869" s="1"/>
      <c r="BH869" s="1"/>
      <c r="BN869" s="1"/>
      <c r="BQ869" s="70"/>
      <c r="BT869" s="1"/>
    </row>
    <row r="870">
      <c r="A870" s="70"/>
      <c r="F870" s="1"/>
      <c r="L870" s="1"/>
      <c r="R870" s="1"/>
      <c r="X870" s="1"/>
      <c r="AD870" s="1"/>
      <c r="AJ870" s="1"/>
      <c r="AP870" s="1"/>
      <c r="AQ870" s="60"/>
      <c r="AR870" s="54"/>
      <c r="AS870" s="39"/>
      <c r="AT870" s="35"/>
      <c r="AV870" s="1"/>
      <c r="BB870" s="1"/>
      <c r="BH870" s="1"/>
      <c r="BN870" s="1"/>
      <c r="BQ870" s="70"/>
      <c r="BT870" s="1"/>
    </row>
    <row r="871">
      <c r="A871" s="70"/>
      <c r="F871" s="1"/>
      <c r="L871" s="1"/>
      <c r="R871" s="1"/>
      <c r="X871" s="1"/>
      <c r="AD871" s="1"/>
      <c r="AJ871" s="1"/>
      <c r="AP871" s="1"/>
      <c r="AQ871" s="60"/>
      <c r="AR871" s="54"/>
      <c r="AS871" s="39"/>
      <c r="AT871" s="35"/>
      <c r="AV871" s="1"/>
      <c r="BB871" s="1"/>
      <c r="BH871" s="1"/>
      <c r="BN871" s="1"/>
      <c r="BQ871" s="70"/>
      <c r="BT871" s="1"/>
    </row>
    <row r="872">
      <c r="A872" s="70"/>
      <c r="F872" s="1"/>
      <c r="L872" s="1"/>
      <c r="R872" s="1"/>
      <c r="X872" s="1"/>
      <c r="AD872" s="1"/>
      <c r="AJ872" s="1"/>
      <c r="AP872" s="1"/>
      <c r="AQ872" s="60"/>
      <c r="AR872" s="54"/>
      <c r="AS872" s="39"/>
      <c r="AT872" s="35"/>
      <c r="AV872" s="1"/>
      <c r="BB872" s="1"/>
      <c r="BH872" s="1"/>
      <c r="BN872" s="1"/>
      <c r="BQ872" s="70"/>
      <c r="BT872" s="1"/>
    </row>
    <row r="873">
      <c r="A873" s="70"/>
      <c r="F873" s="1"/>
      <c r="L873" s="1"/>
      <c r="R873" s="1"/>
      <c r="X873" s="1"/>
      <c r="AD873" s="1"/>
      <c r="AJ873" s="1"/>
      <c r="AP873" s="1"/>
      <c r="AQ873" s="60"/>
      <c r="AR873" s="54"/>
      <c r="AS873" s="39"/>
      <c r="AT873" s="35"/>
      <c r="AV873" s="1"/>
      <c r="BB873" s="1"/>
      <c r="BH873" s="1"/>
      <c r="BN873" s="1"/>
      <c r="BQ873" s="70"/>
      <c r="BT873" s="1"/>
    </row>
    <row r="874">
      <c r="A874" s="70"/>
      <c r="F874" s="1"/>
      <c r="L874" s="1"/>
      <c r="R874" s="1"/>
      <c r="X874" s="1"/>
      <c r="AD874" s="1"/>
      <c r="AJ874" s="1"/>
      <c r="AP874" s="1"/>
      <c r="AQ874" s="60"/>
      <c r="AR874" s="54"/>
      <c r="AS874" s="39"/>
      <c r="AT874" s="35"/>
      <c r="AV874" s="1"/>
      <c r="BB874" s="1"/>
      <c r="BH874" s="1"/>
      <c r="BN874" s="1"/>
      <c r="BQ874" s="70"/>
      <c r="BT874" s="1"/>
    </row>
    <row r="875">
      <c r="A875" s="70"/>
      <c r="F875" s="1"/>
      <c r="L875" s="1"/>
      <c r="R875" s="1"/>
      <c r="X875" s="1"/>
      <c r="AD875" s="1"/>
      <c r="AJ875" s="1"/>
      <c r="AP875" s="1"/>
      <c r="AQ875" s="60"/>
      <c r="AR875" s="54"/>
      <c r="AS875" s="39"/>
      <c r="AT875" s="35"/>
      <c r="AV875" s="1"/>
      <c r="BB875" s="1"/>
      <c r="BH875" s="1"/>
      <c r="BN875" s="1"/>
      <c r="BQ875" s="70"/>
      <c r="BT875" s="1"/>
    </row>
    <row r="876">
      <c r="A876" s="70"/>
      <c r="F876" s="1"/>
      <c r="L876" s="1"/>
      <c r="R876" s="1"/>
      <c r="X876" s="1"/>
      <c r="AD876" s="1"/>
      <c r="AJ876" s="1"/>
      <c r="AP876" s="1"/>
      <c r="AQ876" s="60"/>
      <c r="AR876" s="54"/>
      <c r="AS876" s="39"/>
      <c r="AT876" s="35"/>
      <c r="AV876" s="1"/>
      <c r="BB876" s="1"/>
      <c r="BH876" s="1"/>
      <c r="BN876" s="1"/>
      <c r="BQ876" s="70"/>
      <c r="BT876" s="1"/>
    </row>
    <row r="877">
      <c r="A877" s="70"/>
      <c r="F877" s="1"/>
      <c r="L877" s="1"/>
      <c r="R877" s="1"/>
      <c r="X877" s="1"/>
      <c r="AD877" s="1"/>
      <c r="AJ877" s="1"/>
      <c r="AP877" s="1"/>
      <c r="AQ877" s="60"/>
      <c r="AR877" s="54"/>
      <c r="AS877" s="39"/>
      <c r="AT877" s="35"/>
      <c r="AV877" s="1"/>
      <c r="BB877" s="1"/>
      <c r="BH877" s="1"/>
      <c r="BN877" s="1"/>
      <c r="BQ877" s="70"/>
      <c r="BT877" s="1"/>
    </row>
    <row r="878">
      <c r="A878" s="70"/>
      <c r="F878" s="1"/>
      <c r="L878" s="1"/>
      <c r="R878" s="1"/>
      <c r="X878" s="1"/>
      <c r="AD878" s="1"/>
      <c r="AJ878" s="1"/>
      <c r="AP878" s="1"/>
      <c r="AQ878" s="60"/>
      <c r="AR878" s="54"/>
      <c r="AS878" s="39"/>
      <c r="AT878" s="35"/>
      <c r="AV878" s="1"/>
      <c r="BB878" s="1"/>
      <c r="BH878" s="1"/>
      <c r="BN878" s="1"/>
      <c r="BQ878" s="70"/>
      <c r="BT878" s="1"/>
    </row>
    <row r="879">
      <c r="A879" s="70"/>
      <c r="F879" s="1"/>
      <c r="L879" s="1"/>
      <c r="R879" s="1"/>
      <c r="X879" s="1"/>
      <c r="AD879" s="1"/>
      <c r="AJ879" s="1"/>
      <c r="AP879" s="1"/>
      <c r="AQ879" s="60"/>
      <c r="AR879" s="54"/>
      <c r="AS879" s="39"/>
      <c r="AT879" s="35"/>
      <c r="AV879" s="1"/>
      <c r="BB879" s="1"/>
      <c r="BH879" s="1"/>
      <c r="BN879" s="1"/>
      <c r="BQ879" s="70"/>
      <c r="BT879" s="1"/>
    </row>
    <row r="880">
      <c r="A880" s="70"/>
      <c r="F880" s="1"/>
      <c r="L880" s="1"/>
      <c r="R880" s="1"/>
      <c r="X880" s="1"/>
      <c r="AD880" s="1"/>
      <c r="AJ880" s="1"/>
      <c r="AP880" s="1"/>
      <c r="AQ880" s="60"/>
      <c r="AR880" s="54"/>
      <c r="AS880" s="39"/>
      <c r="AT880" s="35"/>
      <c r="AV880" s="1"/>
      <c r="BB880" s="1"/>
      <c r="BH880" s="1"/>
      <c r="BN880" s="1"/>
      <c r="BQ880" s="70"/>
      <c r="BT880" s="1"/>
    </row>
    <row r="881">
      <c r="A881" s="70"/>
      <c r="F881" s="1"/>
      <c r="L881" s="1"/>
      <c r="R881" s="1"/>
      <c r="X881" s="1"/>
      <c r="AD881" s="1"/>
      <c r="AJ881" s="1"/>
      <c r="AP881" s="1"/>
      <c r="AQ881" s="60"/>
      <c r="AR881" s="54"/>
      <c r="AS881" s="39"/>
      <c r="AT881" s="35"/>
      <c r="AV881" s="1"/>
      <c r="BB881" s="1"/>
      <c r="BH881" s="1"/>
      <c r="BN881" s="1"/>
      <c r="BP881" s="64"/>
      <c r="BQ881" s="70"/>
      <c r="BT881" s="1"/>
    </row>
    <row r="882">
      <c r="A882" s="70"/>
      <c r="F882" s="1"/>
      <c r="L882" s="1"/>
      <c r="R882" s="1"/>
      <c r="X882" s="1"/>
      <c r="AD882" s="1"/>
      <c r="AJ882" s="1"/>
      <c r="AP882" s="1"/>
      <c r="AQ882" s="60"/>
      <c r="AR882" s="54"/>
      <c r="AS882" s="39"/>
      <c r="AT882" s="35"/>
      <c r="AV882" s="1"/>
      <c r="BB882" s="1"/>
      <c r="BH882" s="1"/>
      <c r="BN882" s="1"/>
      <c r="BP882" s="64"/>
      <c r="BQ882" s="70"/>
      <c r="BT882" s="1"/>
    </row>
    <row r="883">
      <c r="A883" s="70"/>
      <c r="F883" s="1"/>
      <c r="L883" s="1"/>
      <c r="R883" s="1"/>
      <c r="X883" s="1"/>
      <c r="AD883" s="1"/>
      <c r="AJ883" s="1"/>
      <c r="AP883" s="1"/>
      <c r="AQ883" s="60"/>
      <c r="AR883" s="54"/>
      <c r="AS883" s="39"/>
      <c r="AT883" s="35"/>
      <c r="AV883" s="1"/>
      <c r="BB883" s="1"/>
      <c r="BH883" s="1"/>
      <c r="BN883" s="1"/>
      <c r="BP883" s="64"/>
      <c r="BQ883" s="70"/>
      <c r="BT883" s="1"/>
    </row>
    <row r="884">
      <c r="A884" s="70"/>
      <c r="F884" s="1"/>
      <c r="L884" s="1"/>
      <c r="R884" s="1"/>
      <c r="X884" s="1"/>
      <c r="AD884" s="1"/>
      <c r="AJ884" s="1"/>
      <c r="AP884" s="1"/>
      <c r="AQ884" s="60"/>
      <c r="AR884" s="54"/>
      <c r="AS884" s="39"/>
      <c r="AT884" s="35"/>
      <c r="AV884" s="1"/>
      <c r="BB884" s="1"/>
      <c r="BH884" s="1"/>
      <c r="BN884" s="1"/>
      <c r="BP884" s="64"/>
      <c r="BQ884" s="70"/>
      <c r="BT884" s="1"/>
    </row>
    <row r="885">
      <c r="A885" s="70"/>
      <c r="F885" s="1"/>
      <c r="L885" s="1"/>
      <c r="R885" s="1"/>
      <c r="X885" s="1"/>
      <c r="AD885" s="1"/>
      <c r="AJ885" s="1"/>
      <c r="AP885" s="1"/>
      <c r="AQ885" s="60"/>
      <c r="AR885" s="54"/>
      <c r="AS885" s="39"/>
      <c r="AT885" s="35"/>
      <c r="AV885" s="1"/>
      <c r="BB885" s="1"/>
      <c r="BH885" s="1"/>
      <c r="BN885" s="1"/>
      <c r="BP885" s="64"/>
      <c r="BQ885" s="70"/>
      <c r="BT885" s="1"/>
    </row>
    <row r="886">
      <c r="A886" s="70"/>
      <c r="F886" s="1"/>
      <c r="L886" s="1"/>
      <c r="R886" s="1"/>
      <c r="X886" s="1"/>
      <c r="AD886" s="1"/>
      <c r="AJ886" s="1"/>
      <c r="AP886" s="1"/>
      <c r="AQ886" s="60"/>
      <c r="AR886" s="54"/>
      <c r="AS886" s="39"/>
      <c r="AT886" s="35"/>
      <c r="AV886" s="1"/>
      <c r="BB886" s="1"/>
      <c r="BH886" s="1"/>
      <c r="BN886" s="1"/>
      <c r="BP886" s="64"/>
      <c r="BQ886" s="70"/>
      <c r="BT886" s="1"/>
    </row>
    <row r="887">
      <c r="A887" s="70"/>
      <c r="F887" s="1"/>
      <c r="L887" s="1"/>
      <c r="R887" s="1"/>
      <c r="X887" s="1"/>
      <c r="AD887" s="1"/>
      <c r="AJ887" s="1"/>
      <c r="AP887" s="1"/>
      <c r="AQ887" s="60"/>
      <c r="AR887" s="54"/>
      <c r="AS887" s="39"/>
      <c r="AT887" s="35"/>
      <c r="AV887" s="1"/>
      <c r="BB887" s="1"/>
      <c r="BH887" s="1"/>
      <c r="BN887" s="1"/>
      <c r="BP887" s="64"/>
      <c r="BQ887" s="70"/>
      <c r="BT887" s="1"/>
    </row>
    <row r="888">
      <c r="A888" s="70"/>
      <c r="F888" s="1"/>
      <c r="L888" s="1"/>
      <c r="R888" s="1"/>
      <c r="X888" s="1"/>
      <c r="AD888" s="1"/>
      <c r="AJ888" s="1"/>
      <c r="AP888" s="1"/>
      <c r="AQ888" s="60"/>
      <c r="AR888" s="54"/>
      <c r="AS888" s="39"/>
      <c r="AT888" s="35"/>
      <c r="AV888" s="1"/>
      <c r="BB888" s="1"/>
      <c r="BH888" s="1"/>
      <c r="BN888" s="1"/>
      <c r="BP888" s="64"/>
      <c r="BQ888" s="70"/>
      <c r="BT888" s="1"/>
    </row>
    <row r="889">
      <c r="A889" s="70"/>
      <c r="F889" s="1"/>
      <c r="L889" s="1"/>
      <c r="R889" s="1"/>
      <c r="X889" s="1"/>
      <c r="AD889" s="1"/>
      <c r="AJ889" s="1"/>
      <c r="AP889" s="1"/>
      <c r="AQ889" s="60"/>
      <c r="AR889" s="54"/>
      <c r="AS889" s="39"/>
      <c r="AT889" s="35"/>
      <c r="AV889" s="1"/>
      <c r="BB889" s="1"/>
      <c r="BH889" s="1"/>
      <c r="BN889" s="1"/>
      <c r="BP889" s="64"/>
      <c r="BQ889" s="70"/>
      <c r="BT889" s="1"/>
    </row>
    <row r="890">
      <c r="A890" s="70"/>
      <c r="F890" s="1"/>
      <c r="L890" s="1"/>
      <c r="R890" s="1"/>
      <c r="X890" s="1"/>
      <c r="AD890" s="1"/>
      <c r="AJ890" s="1"/>
      <c r="AP890" s="1"/>
      <c r="AQ890" s="60"/>
      <c r="AR890" s="54"/>
      <c r="AS890" s="39"/>
      <c r="AT890" s="35"/>
      <c r="AV890" s="1"/>
      <c r="BB890" s="1"/>
      <c r="BH890" s="1"/>
      <c r="BN890" s="1"/>
      <c r="BP890" s="64"/>
      <c r="BQ890" s="70"/>
      <c r="BT890" s="1"/>
    </row>
    <row r="891">
      <c r="A891" s="70"/>
      <c r="F891" s="1"/>
      <c r="L891" s="1"/>
      <c r="R891" s="1"/>
      <c r="X891" s="1"/>
      <c r="AD891" s="1"/>
      <c r="AJ891" s="1"/>
      <c r="AP891" s="1"/>
      <c r="AQ891" s="60"/>
      <c r="AR891" s="54"/>
      <c r="AS891" s="39"/>
      <c r="AT891" s="35"/>
      <c r="AV891" s="1"/>
      <c r="BB891" s="1"/>
      <c r="BH891" s="1"/>
      <c r="BN891" s="1"/>
      <c r="BP891" s="64"/>
      <c r="BQ891" s="70"/>
      <c r="BT891" s="1"/>
    </row>
    <row r="892">
      <c r="A892" s="70"/>
      <c r="F892" s="1"/>
      <c r="L892" s="1"/>
      <c r="R892" s="1"/>
      <c r="X892" s="1"/>
      <c r="AD892" s="1"/>
      <c r="AJ892" s="1"/>
      <c r="AP892" s="1"/>
      <c r="AQ892" s="60"/>
      <c r="AR892" s="54"/>
      <c r="AS892" s="39"/>
      <c r="AT892" s="35"/>
      <c r="AV892" s="1"/>
      <c r="BB892" s="1"/>
      <c r="BH892" s="1"/>
      <c r="BN892" s="1"/>
      <c r="BP892" s="64"/>
      <c r="BQ892" s="70"/>
      <c r="BT892" s="1"/>
    </row>
    <row r="893">
      <c r="A893" s="70"/>
      <c r="F893" s="1"/>
      <c r="L893" s="1"/>
      <c r="R893" s="1"/>
      <c r="X893" s="1"/>
      <c r="AD893" s="1"/>
      <c r="AJ893" s="1"/>
      <c r="AP893" s="1"/>
      <c r="AQ893" s="60"/>
      <c r="AR893" s="54"/>
      <c r="AS893" s="39"/>
      <c r="AT893" s="35"/>
      <c r="AV893" s="1"/>
      <c r="BB893" s="1"/>
      <c r="BH893" s="1"/>
      <c r="BN893" s="1"/>
      <c r="BP893" s="64"/>
      <c r="BQ893" s="70"/>
      <c r="BT893" s="1"/>
    </row>
    <row r="894">
      <c r="A894" s="70"/>
      <c r="F894" s="1"/>
      <c r="L894" s="1"/>
      <c r="R894" s="1"/>
      <c r="X894" s="1"/>
      <c r="AD894" s="1"/>
      <c r="AJ894" s="1"/>
      <c r="AP894" s="1"/>
      <c r="AQ894" s="60"/>
      <c r="AR894" s="54"/>
      <c r="AS894" s="39"/>
      <c r="AT894" s="35"/>
      <c r="AV894" s="1"/>
      <c r="BB894" s="1"/>
      <c r="BH894" s="1"/>
      <c r="BN894" s="1"/>
      <c r="BP894" s="64"/>
      <c r="BQ894" s="70"/>
      <c r="BT894" s="1"/>
    </row>
    <row r="895">
      <c r="A895" s="70"/>
      <c r="F895" s="1"/>
      <c r="L895" s="1"/>
      <c r="R895" s="1"/>
      <c r="X895" s="1"/>
      <c r="AD895" s="1"/>
      <c r="AJ895" s="1"/>
      <c r="AP895" s="1"/>
      <c r="AQ895" s="60"/>
      <c r="AR895" s="54"/>
      <c r="AS895" s="39"/>
      <c r="AT895" s="35"/>
      <c r="AV895" s="1"/>
      <c r="BB895" s="1"/>
      <c r="BH895" s="1"/>
      <c r="BN895" s="1"/>
      <c r="BP895" s="64"/>
      <c r="BQ895" s="70"/>
      <c r="BT895" s="1"/>
    </row>
    <row r="896">
      <c r="A896" s="70"/>
      <c r="F896" s="1"/>
      <c r="L896" s="1"/>
      <c r="R896" s="1"/>
      <c r="X896" s="1"/>
      <c r="AD896" s="1"/>
      <c r="AJ896" s="1"/>
      <c r="AP896" s="1"/>
      <c r="AQ896" s="60"/>
      <c r="AR896" s="54"/>
      <c r="AS896" s="39"/>
      <c r="AT896" s="35"/>
      <c r="AV896" s="1"/>
      <c r="BB896" s="1"/>
      <c r="BH896" s="1"/>
      <c r="BN896" s="1"/>
      <c r="BP896" s="64"/>
      <c r="BQ896" s="70"/>
      <c r="BT896" s="1"/>
    </row>
    <row r="897">
      <c r="A897" s="70"/>
      <c r="F897" s="1"/>
      <c r="L897" s="1"/>
      <c r="R897" s="1"/>
      <c r="X897" s="1"/>
      <c r="AD897" s="1"/>
      <c r="AJ897" s="1"/>
      <c r="AP897" s="1"/>
      <c r="AQ897" s="60"/>
      <c r="AR897" s="54"/>
      <c r="AS897" s="39"/>
      <c r="AT897" s="35"/>
      <c r="AV897" s="1"/>
      <c r="BB897" s="1"/>
      <c r="BH897" s="1"/>
      <c r="BN897" s="1"/>
      <c r="BQ897" s="70"/>
      <c r="BT897" s="1"/>
    </row>
    <row r="898">
      <c r="A898" s="70"/>
      <c r="F898" s="1"/>
      <c r="L898" s="1"/>
      <c r="R898" s="1"/>
      <c r="X898" s="1"/>
      <c r="AD898" s="1"/>
      <c r="AJ898" s="1"/>
      <c r="AP898" s="1"/>
      <c r="AQ898" s="60"/>
      <c r="AR898" s="54"/>
      <c r="AS898" s="39"/>
      <c r="AT898" s="35"/>
      <c r="AV898" s="1"/>
      <c r="BB898" s="1"/>
      <c r="BH898" s="1"/>
      <c r="BN898" s="1"/>
      <c r="BQ898" s="70"/>
      <c r="BT898" s="1"/>
    </row>
    <row r="899">
      <c r="A899" s="70"/>
      <c r="F899" s="1"/>
      <c r="L899" s="1"/>
      <c r="R899" s="1"/>
      <c r="X899" s="1"/>
      <c r="AD899" s="1"/>
      <c r="AJ899" s="1"/>
      <c r="AP899" s="1"/>
      <c r="AQ899" s="60"/>
      <c r="AR899" s="54"/>
      <c r="AS899" s="39"/>
      <c r="AT899" s="35"/>
      <c r="AV899" s="1"/>
      <c r="BB899" s="1"/>
      <c r="BH899" s="1"/>
      <c r="BN899" s="1"/>
      <c r="BQ899" s="70"/>
      <c r="BT899" s="1"/>
    </row>
    <row r="900">
      <c r="A900" s="70"/>
      <c r="F900" s="1"/>
      <c r="L900" s="1"/>
      <c r="R900" s="1"/>
      <c r="X900" s="1"/>
      <c r="AD900" s="1"/>
      <c r="AJ900" s="1"/>
      <c r="AP900" s="1"/>
      <c r="AQ900" s="60"/>
      <c r="AR900" s="54"/>
      <c r="AS900" s="39"/>
      <c r="AT900" s="35"/>
      <c r="AV900" s="1"/>
      <c r="BB900" s="1"/>
      <c r="BH900" s="1"/>
      <c r="BN900" s="1"/>
      <c r="BQ900" s="70"/>
      <c r="BT900" s="1"/>
    </row>
    <row r="901">
      <c r="A901" s="70"/>
      <c r="F901" s="1"/>
      <c r="L901" s="1"/>
      <c r="R901" s="1"/>
      <c r="X901" s="1"/>
      <c r="AD901" s="1"/>
      <c r="AJ901" s="1"/>
      <c r="AP901" s="1"/>
      <c r="AQ901" s="60"/>
      <c r="AR901" s="54"/>
      <c r="AS901" s="39"/>
      <c r="AT901" s="35"/>
      <c r="AV901" s="1"/>
      <c r="BB901" s="1"/>
      <c r="BH901" s="1"/>
      <c r="BN901" s="1"/>
      <c r="BQ901" s="70"/>
      <c r="BT901" s="1"/>
    </row>
    <row r="902">
      <c r="A902" s="70"/>
      <c r="F902" s="1"/>
      <c r="L902" s="1"/>
      <c r="R902" s="1"/>
      <c r="X902" s="1"/>
      <c r="AD902" s="1"/>
      <c r="AJ902" s="1"/>
      <c r="AP902" s="1"/>
      <c r="AQ902" s="60"/>
      <c r="AR902" s="54"/>
      <c r="AS902" s="39"/>
      <c r="AT902" s="35"/>
      <c r="AV902" s="1"/>
      <c r="BB902" s="1"/>
      <c r="BH902" s="1"/>
      <c r="BN902" s="1"/>
      <c r="BQ902" s="70"/>
      <c r="BT902" s="1"/>
    </row>
    <row r="903">
      <c r="A903" s="70"/>
      <c r="F903" s="1"/>
      <c r="L903" s="1"/>
      <c r="R903" s="1"/>
      <c r="X903" s="1"/>
      <c r="AD903" s="1"/>
      <c r="AJ903" s="1"/>
      <c r="AP903" s="1"/>
      <c r="AQ903" s="60"/>
      <c r="AR903" s="54"/>
      <c r="AS903" s="39"/>
      <c r="AT903" s="35"/>
      <c r="AV903" s="1"/>
      <c r="BB903" s="1"/>
      <c r="BH903" s="1"/>
      <c r="BN903" s="1"/>
      <c r="BQ903" s="70"/>
      <c r="BT903" s="1"/>
    </row>
    <row r="904">
      <c r="A904" s="70"/>
      <c r="F904" s="1"/>
      <c r="L904" s="1"/>
      <c r="R904" s="1"/>
      <c r="X904" s="1"/>
      <c r="AD904" s="1"/>
      <c r="AJ904" s="1"/>
      <c r="AP904" s="1"/>
      <c r="AQ904" s="60"/>
      <c r="AR904" s="54"/>
      <c r="AS904" s="39"/>
      <c r="AT904" s="35"/>
      <c r="AV904" s="1"/>
      <c r="BB904" s="1"/>
      <c r="BH904" s="1"/>
      <c r="BN904" s="1"/>
      <c r="BQ904" s="70"/>
      <c r="BT904" s="1"/>
    </row>
    <row r="905">
      <c r="A905" s="70"/>
      <c r="F905" s="1"/>
      <c r="L905" s="1"/>
      <c r="R905" s="1"/>
      <c r="X905" s="1"/>
      <c r="AD905" s="1"/>
      <c r="AJ905" s="1"/>
      <c r="AP905" s="1"/>
      <c r="AQ905" s="60"/>
      <c r="AR905" s="54"/>
      <c r="AS905" s="39"/>
      <c r="AT905" s="35"/>
      <c r="AV905" s="1"/>
      <c r="BB905" s="1"/>
      <c r="BH905" s="1"/>
      <c r="BN905" s="1"/>
      <c r="BQ905" s="70"/>
      <c r="BT905" s="1"/>
    </row>
    <row r="906">
      <c r="A906" s="70"/>
      <c r="F906" s="1"/>
      <c r="L906" s="1"/>
      <c r="R906" s="1"/>
      <c r="X906" s="1"/>
      <c r="AD906" s="1"/>
      <c r="AJ906" s="1"/>
      <c r="AP906" s="1"/>
      <c r="AQ906" s="60"/>
      <c r="AR906" s="54"/>
      <c r="AS906" s="39"/>
      <c r="AT906" s="35"/>
      <c r="AV906" s="1"/>
      <c r="BB906" s="1"/>
      <c r="BH906" s="1"/>
      <c r="BN906" s="1"/>
      <c r="BQ906" s="70"/>
      <c r="BT906" s="1"/>
    </row>
    <row r="907">
      <c r="A907" s="70"/>
      <c r="F907" s="1"/>
      <c r="L907" s="1"/>
      <c r="R907" s="1"/>
      <c r="X907" s="1"/>
      <c r="AD907" s="1"/>
      <c r="AJ907" s="1"/>
      <c r="AP907" s="1"/>
      <c r="AQ907" s="60"/>
      <c r="AR907" s="54"/>
      <c r="AS907" s="39"/>
      <c r="AT907" s="35"/>
      <c r="AV907" s="1"/>
      <c r="BB907" s="1"/>
      <c r="BH907" s="1"/>
      <c r="BN907" s="1"/>
      <c r="BQ907" s="70"/>
      <c r="BT907" s="1"/>
    </row>
    <row r="908">
      <c r="A908" s="70"/>
      <c r="F908" s="1"/>
      <c r="L908" s="1"/>
      <c r="R908" s="1"/>
      <c r="X908" s="1"/>
      <c r="AD908" s="1"/>
      <c r="AJ908" s="1"/>
      <c r="AP908" s="1"/>
      <c r="AQ908" s="60"/>
      <c r="AR908" s="54"/>
      <c r="AS908" s="39"/>
      <c r="AT908" s="35"/>
      <c r="AV908" s="1"/>
      <c r="BB908" s="1"/>
      <c r="BH908" s="1"/>
      <c r="BN908" s="1"/>
      <c r="BQ908" s="70"/>
      <c r="BT908" s="1"/>
    </row>
    <row r="909">
      <c r="A909" s="70"/>
      <c r="F909" s="1"/>
      <c r="L909" s="1"/>
      <c r="R909" s="1"/>
      <c r="X909" s="1"/>
      <c r="AD909" s="1"/>
      <c r="AJ909" s="1"/>
      <c r="AP909" s="1"/>
      <c r="AQ909" s="60"/>
      <c r="AR909" s="54"/>
      <c r="AS909" s="39"/>
      <c r="AT909" s="35"/>
      <c r="AV909" s="1"/>
      <c r="BB909" s="1"/>
      <c r="BH909" s="1"/>
      <c r="BN909" s="1"/>
      <c r="BQ909" s="70"/>
      <c r="BT909" s="1"/>
    </row>
    <row r="910">
      <c r="A910" s="70"/>
      <c r="F910" s="1"/>
      <c r="L910" s="1"/>
      <c r="R910" s="1"/>
      <c r="X910" s="1"/>
      <c r="AD910" s="1"/>
      <c r="AJ910" s="1"/>
      <c r="AP910" s="1"/>
      <c r="AQ910" s="60"/>
      <c r="AR910" s="54"/>
      <c r="AS910" s="39"/>
      <c r="AT910" s="35"/>
      <c r="AV910" s="1"/>
      <c r="BB910" s="1"/>
      <c r="BH910" s="1"/>
      <c r="BN910" s="1"/>
      <c r="BQ910" s="70"/>
      <c r="BT910" s="1"/>
    </row>
    <row r="911">
      <c r="A911" s="70"/>
      <c r="F911" s="1"/>
      <c r="L911" s="1"/>
      <c r="R911" s="1"/>
      <c r="X911" s="1"/>
      <c r="AD911" s="1"/>
      <c r="AJ911" s="1"/>
      <c r="AP911" s="1"/>
      <c r="AQ911" s="60"/>
      <c r="AR911" s="54"/>
      <c r="AS911" s="39"/>
      <c r="AT911" s="35"/>
      <c r="AV911" s="1"/>
      <c r="BB911" s="1"/>
      <c r="BH911" s="1"/>
      <c r="BN911" s="1"/>
      <c r="BQ911" s="70"/>
      <c r="BT911" s="1"/>
    </row>
    <row r="912">
      <c r="A912" s="70"/>
      <c r="F912" s="1"/>
      <c r="L912" s="1"/>
      <c r="R912" s="1"/>
      <c r="X912" s="1"/>
      <c r="AD912" s="1"/>
      <c r="AJ912" s="1"/>
      <c r="AP912" s="1"/>
      <c r="AQ912" s="60"/>
      <c r="AR912" s="54"/>
      <c r="AS912" s="39"/>
      <c r="AT912" s="35"/>
      <c r="AV912" s="1"/>
      <c r="BB912" s="1"/>
      <c r="BH912" s="1"/>
      <c r="BN912" s="1"/>
      <c r="BQ912" s="70"/>
      <c r="BT912" s="1"/>
    </row>
    <row r="913">
      <c r="A913" s="70"/>
      <c r="F913" s="1"/>
      <c r="L913" s="1"/>
      <c r="R913" s="1"/>
      <c r="X913" s="1"/>
      <c r="AD913" s="1"/>
      <c r="AJ913" s="1"/>
      <c r="AP913" s="1"/>
      <c r="AQ913" s="60"/>
      <c r="AR913" s="54"/>
      <c r="AS913" s="39"/>
      <c r="AT913" s="35"/>
      <c r="AV913" s="1"/>
      <c r="BB913" s="1"/>
      <c r="BH913" s="1"/>
      <c r="BN913" s="1"/>
      <c r="BQ913" s="70"/>
      <c r="BT913" s="1"/>
    </row>
    <row r="914">
      <c r="A914" s="70"/>
      <c r="F914" s="1"/>
      <c r="L914" s="1"/>
      <c r="R914" s="1"/>
      <c r="X914" s="1"/>
      <c r="AD914" s="1"/>
      <c r="AJ914" s="1"/>
      <c r="AP914" s="1"/>
      <c r="AQ914" s="60"/>
      <c r="AR914" s="54"/>
      <c r="AS914" s="39"/>
      <c r="AT914" s="35"/>
      <c r="AV914" s="1"/>
      <c r="BB914" s="1"/>
      <c r="BH914" s="1"/>
      <c r="BN914" s="1"/>
      <c r="BQ914" s="70"/>
      <c r="BT914" s="1"/>
    </row>
    <row r="915">
      <c r="A915" s="70"/>
      <c r="F915" s="1"/>
      <c r="L915" s="1"/>
      <c r="R915" s="1"/>
      <c r="X915" s="1"/>
      <c r="AD915" s="1"/>
      <c r="AJ915" s="1"/>
      <c r="AP915" s="1"/>
      <c r="AQ915" s="60"/>
      <c r="AR915" s="54"/>
      <c r="AS915" s="39"/>
      <c r="AT915" s="35"/>
      <c r="AV915" s="1"/>
      <c r="BB915" s="1"/>
      <c r="BH915" s="1"/>
      <c r="BN915" s="1"/>
      <c r="BQ915" s="70"/>
      <c r="BT915" s="1"/>
    </row>
    <row r="916">
      <c r="A916" s="70"/>
      <c r="F916" s="1"/>
      <c r="L916" s="1"/>
      <c r="R916" s="1"/>
      <c r="X916" s="1"/>
      <c r="AD916" s="1"/>
      <c r="AJ916" s="1"/>
      <c r="AP916" s="1"/>
      <c r="AQ916" s="60"/>
      <c r="AR916" s="54"/>
      <c r="AS916" s="39"/>
      <c r="AT916" s="35"/>
      <c r="AV916" s="1"/>
      <c r="BB916" s="1"/>
      <c r="BH916" s="1"/>
      <c r="BN916" s="1"/>
      <c r="BQ916" s="70"/>
      <c r="BT916" s="1"/>
    </row>
    <row r="917">
      <c r="A917" s="70"/>
      <c r="F917" s="1"/>
      <c r="L917" s="1"/>
      <c r="R917" s="1"/>
      <c r="X917" s="1"/>
      <c r="AD917" s="1"/>
      <c r="AJ917" s="1"/>
      <c r="AP917" s="1"/>
      <c r="AQ917" s="60"/>
      <c r="AR917" s="54"/>
      <c r="AS917" s="39"/>
      <c r="AT917" s="35"/>
      <c r="AV917" s="1"/>
      <c r="BB917" s="1"/>
      <c r="BH917" s="1"/>
      <c r="BN917" s="1"/>
      <c r="BQ917" s="70"/>
      <c r="BT917" s="1"/>
    </row>
    <row r="918">
      <c r="A918" s="70"/>
      <c r="F918" s="1"/>
      <c r="L918" s="1"/>
      <c r="R918" s="1"/>
      <c r="X918" s="1"/>
      <c r="AD918" s="1"/>
      <c r="AJ918" s="1"/>
      <c r="AP918" s="1"/>
      <c r="AQ918" s="60"/>
      <c r="AR918" s="54"/>
      <c r="AS918" s="39"/>
      <c r="AT918" s="35"/>
      <c r="AV918" s="1"/>
      <c r="BB918" s="1"/>
      <c r="BH918" s="1"/>
      <c r="BN918" s="1"/>
      <c r="BQ918" s="70"/>
      <c r="BT918" s="1"/>
    </row>
    <row r="919">
      <c r="A919" s="70"/>
      <c r="F919" s="1"/>
      <c r="L919" s="1"/>
      <c r="R919" s="1"/>
      <c r="X919" s="1"/>
      <c r="AD919" s="1"/>
      <c r="AJ919" s="1"/>
      <c r="AP919" s="1"/>
      <c r="AQ919" s="60"/>
      <c r="AR919" s="54"/>
      <c r="AS919" s="39"/>
      <c r="AT919" s="35"/>
      <c r="AV919" s="1"/>
      <c r="BB919" s="1"/>
      <c r="BH919" s="1"/>
      <c r="BN919" s="1"/>
      <c r="BQ919" s="70"/>
      <c r="BT919" s="1"/>
    </row>
    <row r="920">
      <c r="A920" s="70"/>
      <c r="F920" s="1"/>
      <c r="L920" s="1"/>
      <c r="R920" s="1"/>
      <c r="X920" s="1"/>
      <c r="AD920" s="1"/>
      <c r="AJ920" s="1"/>
      <c r="AP920" s="1"/>
      <c r="AQ920" s="60"/>
      <c r="AR920" s="54"/>
      <c r="AS920" s="39"/>
      <c r="AT920" s="35"/>
      <c r="AV920" s="1"/>
      <c r="BB920" s="1"/>
      <c r="BH920" s="1"/>
      <c r="BN920" s="1"/>
      <c r="BQ920" s="70"/>
      <c r="BT920" s="1"/>
    </row>
    <row r="921">
      <c r="A921" s="70"/>
      <c r="F921" s="1"/>
      <c r="L921" s="1"/>
      <c r="R921" s="1"/>
      <c r="X921" s="1"/>
      <c r="AD921" s="1"/>
      <c r="AJ921" s="1"/>
      <c r="AP921" s="1"/>
      <c r="AQ921" s="60"/>
      <c r="AR921" s="54"/>
      <c r="AS921" s="39"/>
      <c r="AT921" s="35"/>
      <c r="AV921" s="1"/>
      <c r="BB921" s="1"/>
      <c r="BH921" s="1"/>
      <c r="BN921" s="1"/>
      <c r="BQ921" s="70"/>
      <c r="BT921" s="1"/>
    </row>
    <row r="922">
      <c r="A922" s="70"/>
      <c r="F922" s="1"/>
      <c r="L922" s="1"/>
      <c r="R922" s="1"/>
      <c r="X922" s="1"/>
      <c r="AD922" s="1"/>
      <c r="AJ922" s="1"/>
      <c r="AP922" s="1"/>
      <c r="AQ922" s="60"/>
      <c r="AR922" s="54"/>
      <c r="AS922" s="39"/>
      <c r="AT922" s="35"/>
      <c r="AV922" s="1"/>
      <c r="BB922" s="1"/>
      <c r="BH922" s="1"/>
      <c r="BN922" s="1"/>
      <c r="BQ922" s="70"/>
      <c r="BT922" s="1"/>
    </row>
    <row r="923">
      <c r="A923" s="70"/>
      <c r="F923" s="1"/>
      <c r="L923" s="1"/>
      <c r="R923" s="1"/>
      <c r="X923" s="1"/>
      <c r="AD923" s="1"/>
      <c r="AJ923" s="1"/>
      <c r="AP923" s="1"/>
      <c r="AQ923" s="60"/>
      <c r="AR923" s="54"/>
      <c r="AS923" s="39"/>
      <c r="AT923" s="35"/>
      <c r="AV923" s="1"/>
      <c r="BB923" s="1"/>
      <c r="BH923" s="1"/>
      <c r="BN923" s="1"/>
      <c r="BQ923" s="70"/>
      <c r="BT923" s="1"/>
    </row>
    <row r="924">
      <c r="A924" s="70"/>
      <c r="F924" s="1"/>
      <c r="L924" s="1"/>
      <c r="R924" s="1"/>
      <c r="X924" s="1"/>
      <c r="AD924" s="1"/>
      <c r="AJ924" s="1"/>
      <c r="AP924" s="1"/>
      <c r="AQ924" s="60"/>
      <c r="AR924" s="54"/>
      <c r="AS924" s="39"/>
      <c r="AT924" s="35"/>
      <c r="AV924" s="1"/>
      <c r="BB924" s="1"/>
      <c r="BH924" s="1"/>
      <c r="BN924" s="1"/>
      <c r="BQ924" s="70"/>
      <c r="BT924" s="1"/>
    </row>
    <row r="925">
      <c r="A925" s="70"/>
      <c r="F925" s="1"/>
      <c r="L925" s="1"/>
      <c r="R925" s="1"/>
      <c r="X925" s="1"/>
      <c r="AD925" s="1"/>
      <c r="AJ925" s="1"/>
      <c r="AP925" s="1"/>
      <c r="AQ925" s="60"/>
      <c r="AR925" s="54"/>
      <c r="AS925" s="39"/>
      <c r="AT925" s="35"/>
      <c r="AV925" s="1"/>
      <c r="BB925" s="1"/>
      <c r="BH925" s="1"/>
      <c r="BN925" s="1"/>
      <c r="BQ925" s="70"/>
      <c r="BT925" s="1"/>
    </row>
    <row r="926">
      <c r="A926" s="70"/>
      <c r="F926" s="1"/>
      <c r="L926" s="1"/>
      <c r="R926" s="1"/>
      <c r="X926" s="1"/>
      <c r="AD926" s="1"/>
      <c r="AJ926" s="1"/>
      <c r="AP926" s="1"/>
      <c r="AQ926" s="60"/>
      <c r="AR926" s="54"/>
      <c r="AS926" s="39"/>
      <c r="AT926" s="35"/>
      <c r="AV926" s="1"/>
      <c r="BB926" s="1"/>
      <c r="BH926" s="1"/>
      <c r="BN926" s="1"/>
      <c r="BQ926" s="70"/>
      <c r="BT926" s="1"/>
    </row>
    <row r="927">
      <c r="A927" s="70"/>
      <c r="F927" s="1"/>
      <c r="L927" s="1"/>
      <c r="R927" s="1"/>
      <c r="X927" s="1"/>
      <c r="AD927" s="1"/>
      <c r="AJ927" s="1"/>
      <c r="AP927" s="1"/>
      <c r="AQ927" s="60"/>
      <c r="AR927" s="54"/>
      <c r="AS927" s="39"/>
      <c r="AT927" s="35"/>
      <c r="AV927" s="1"/>
      <c r="BB927" s="1"/>
      <c r="BH927" s="1"/>
      <c r="BN927" s="1"/>
      <c r="BQ927" s="70"/>
      <c r="BT927" s="1"/>
    </row>
    <row r="928">
      <c r="A928" s="70"/>
      <c r="F928" s="1"/>
      <c r="L928" s="1"/>
      <c r="R928" s="1"/>
      <c r="X928" s="1"/>
      <c r="AD928" s="1"/>
      <c r="AJ928" s="1"/>
      <c r="AP928" s="1"/>
      <c r="AQ928" s="60"/>
      <c r="AR928" s="54"/>
      <c r="AS928" s="39"/>
      <c r="AT928" s="35"/>
      <c r="AV928" s="1"/>
      <c r="BB928" s="1"/>
      <c r="BH928" s="1"/>
      <c r="BN928" s="1"/>
      <c r="BQ928" s="70"/>
      <c r="BT928" s="1"/>
    </row>
    <row r="929">
      <c r="A929" s="70"/>
      <c r="F929" s="1"/>
      <c r="L929" s="1"/>
      <c r="R929" s="1"/>
      <c r="X929" s="1"/>
      <c r="AD929" s="1"/>
      <c r="AJ929" s="1"/>
      <c r="AP929" s="1"/>
      <c r="AQ929" s="60"/>
      <c r="AR929" s="54"/>
      <c r="AS929" s="39"/>
      <c r="AT929" s="35"/>
      <c r="AV929" s="1"/>
      <c r="BB929" s="1"/>
      <c r="BH929" s="1"/>
      <c r="BN929" s="1"/>
      <c r="BQ929" s="70"/>
      <c r="BT929" s="1"/>
    </row>
    <row r="930">
      <c r="A930" s="70"/>
      <c r="F930" s="1"/>
      <c r="L930" s="1"/>
      <c r="R930" s="1"/>
      <c r="X930" s="1"/>
      <c r="AD930" s="1"/>
      <c r="AJ930" s="1"/>
      <c r="AP930" s="1"/>
      <c r="AQ930" s="60"/>
      <c r="AR930" s="54"/>
      <c r="AS930" s="39"/>
      <c r="AT930" s="35"/>
      <c r="AV930" s="1"/>
      <c r="BB930" s="1"/>
      <c r="BH930" s="1"/>
      <c r="BN930" s="1"/>
      <c r="BQ930" s="70"/>
      <c r="BT930" s="1"/>
    </row>
    <row r="931">
      <c r="A931" s="70"/>
      <c r="F931" s="1"/>
      <c r="L931" s="1"/>
      <c r="R931" s="1"/>
      <c r="X931" s="1"/>
      <c r="AD931" s="1"/>
      <c r="AJ931" s="1"/>
      <c r="AP931" s="1"/>
      <c r="AQ931" s="60"/>
      <c r="AR931" s="54"/>
      <c r="AS931" s="39"/>
      <c r="AT931" s="35"/>
      <c r="AV931" s="1"/>
      <c r="BB931" s="1"/>
      <c r="BH931" s="1"/>
      <c r="BN931" s="1"/>
      <c r="BQ931" s="70"/>
      <c r="BT931" s="1"/>
    </row>
    <row r="932">
      <c r="A932" s="70"/>
      <c r="F932" s="1"/>
      <c r="L932" s="1"/>
      <c r="R932" s="1"/>
      <c r="X932" s="1"/>
      <c r="AD932" s="1"/>
      <c r="AJ932" s="1"/>
      <c r="AP932" s="1"/>
      <c r="AQ932" s="60"/>
      <c r="AR932" s="54"/>
      <c r="AS932" s="39"/>
      <c r="AT932" s="35"/>
      <c r="AV932" s="1"/>
      <c r="BB932" s="1"/>
      <c r="BH932" s="1"/>
      <c r="BN932" s="1"/>
      <c r="BQ932" s="70"/>
      <c r="BT932" s="1"/>
    </row>
    <row r="933">
      <c r="A933" s="70"/>
      <c r="F933" s="1"/>
      <c r="L933" s="1"/>
      <c r="R933" s="1"/>
      <c r="X933" s="1"/>
      <c r="AD933" s="1"/>
      <c r="AJ933" s="1"/>
      <c r="AP933" s="1"/>
      <c r="AQ933" s="60"/>
      <c r="AR933" s="54"/>
      <c r="AS933" s="39"/>
      <c r="AT933" s="35"/>
      <c r="AV933" s="1"/>
      <c r="BB933" s="1"/>
      <c r="BH933" s="1"/>
      <c r="BN933" s="1"/>
      <c r="BQ933" s="70"/>
      <c r="BT933" s="1"/>
    </row>
    <row r="934">
      <c r="A934" s="70"/>
      <c r="F934" s="1"/>
      <c r="L934" s="1"/>
      <c r="R934" s="1"/>
      <c r="X934" s="1"/>
      <c r="AD934" s="1"/>
      <c r="AJ934" s="1"/>
      <c r="AP934" s="1"/>
      <c r="AQ934" s="60"/>
      <c r="AR934" s="54"/>
      <c r="AS934" s="39"/>
      <c r="AT934" s="35"/>
      <c r="AV934" s="1"/>
      <c r="BB934" s="1"/>
      <c r="BH934" s="1"/>
      <c r="BN934" s="1"/>
      <c r="BQ934" s="70"/>
      <c r="BT934" s="1"/>
    </row>
    <row r="935">
      <c r="A935" s="70"/>
      <c r="F935" s="1"/>
      <c r="L935" s="1"/>
      <c r="R935" s="1"/>
      <c r="X935" s="1"/>
      <c r="AD935" s="1"/>
      <c r="AJ935" s="1"/>
      <c r="AP935" s="1"/>
      <c r="AQ935" s="60"/>
      <c r="AR935" s="54"/>
      <c r="AS935" s="39"/>
      <c r="AT935" s="35"/>
      <c r="AV935" s="1"/>
      <c r="BB935" s="1"/>
      <c r="BH935" s="1"/>
      <c r="BN935" s="1"/>
      <c r="BQ935" s="70"/>
      <c r="BT935" s="1"/>
    </row>
    <row r="936">
      <c r="A936" s="70"/>
      <c r="F936" s="1"/>
      <c r="L936" s="1"/>
      <c r="R936" s="1"/>
      <c r="X936" s="1"/>
      <c r="AD936" s="1"/>
      <c r="AJ936" s="1"/>
      <c r="AP936" s="1"/>
      <c r="AQ936" s="60"/>
      <c r="AR936" s="54"/>
      <c r="AS936" s="39"/>
      <c r="AT936" s="35"/>
      <c r="AV936" s="1"/>
      <c r="BB936" s="1"/>
      <c r="BH936" s="1"/>
      <c r="BN936" s="1"/>
      <c r="BQ936" s="70"/>
      <c r="BT936" s="1"/>
    </row>
    <row r="937">
      <c r="A937" s="70"/>
      <c r="F937" s="1"/>
      <c r="L937" s="1"/>
      <c r="R937" s="1"/>
      <c r="X937" s="1"/>
      <c r="AD937" s="1"/>
      <c r="AJ937" s="1"/>
      <c r="AP937" s="1"/>
      <c r="AQ937" s="60"/>
      <c r="AR937" s="54"/>
      <c r="AS937" s="39"/>
      <c r="AT937" s="35"/>
      <c r="AV937" s="1"/>
      <c r="BB937" s="1"/>
      <c r="BH937" s="1"/>
      <c r="BQ937" s="70"/>
    </row>
    <row r="938">
      <c r="A938" s="70"/>
      <c r="F938" s="1"/>
      <c r="L938" s="1"/>
      <c r="R938" s="1"/>
      <c r="X938" s="1"/>
      <c r="AD938" s="1"/>
      <c r="AJ938" s="1"/>
      <c r="AP938" s="1"/>
      <c r="AQ938" s="60"/>
      <c r="AR938" s="54"/>
      <c r="AS938" s="39"/>
      <c r="AT938" s="35"/>
      <c r="AV938" s="1"/>
      <c r="BB938" s="1"/>
      <c r="BH938" s="1"/>
      <c r="BQ938" s="70"/>
    </row>
    <row r="939">
      <c r="A939" s="70"/>
      <c r="F939" s="1"/>
      <c r="L939" s="1"/>
      <c r="R939" s="1"/>
      <c r="X939" s="1"/>
      <c r="AD939" s="1"/>
      <c r="AJ939" s="1"/>
      <c r="AP939" s="1"/>
      <c r="AQ939" s="60"/>
      <c r="AR939" s="54"/>
      <c r="AS939" s="39"/>
      <c r="AT939" s="35"/>
      <c r="AV939" s="1"/>
      <c r="BB939" s="1"/>
      <c r="BH939" s="1"/>
      <c r="BQ939" s="70"/>
    </row>
    <row r="940">
      <c r="A940" s="70"/>
      <c r="F940" s="1"/>
      <c r="L940" s="1"/>
      <c r="R940" s="1"/>
      <c r="X940" s="1"/>
      <c r="AD940" s="1"/>
      <c r="AJ940" s="1"/>
      <c r="AP940" s="1"/>
      <c r="AQ940" s="60"/>
      <c r="AR940" s="54"/>
      <c r="AS940" s="39"/>
      <c r="AT940" s="35"/>
      <c r="AV940" s="1"/>
      <c r="BB940" s="1"/>
      <c r="BH940" s="1"/>
      <c r="BQ940" s="70"/>
    </row>
    <row r="941">
      <c r="A941" s="70"/>
      <c r="F941" s="1"/>
      <c r="L941" s="1"/>
      <c r="R941" s="1"/>
      <c r="X941" s="1"/>
      <c r="AD941" s="1"/>
      <c r="AJ941" s="1"/>
      <c r="AP941" s="1"/>
      <c r="AQ941" s="60"/>
      <c r="AR941" s="54"/>
      <c r="AS941" s="39"/>
      <c r="AT941" s="35"/>
      <c r="AV941" s="1"/>
      <c r="BB941" s="1"/>
      <c r="BH941" s="1"/>
      <c r="BQ941" s="70"/>
    </row>
    <row r="942">
      <c r="A942" s="70"/>
      <c r="F942" s="1"/>
      <c r="L942" s="1"/>
      <c r="R942" s="1"/>
      <c r="X942" s="1"/>
      <c r="AD942" s="1"/>
      <c r="AJ942" s="1"/>
      <c r="AP942" s="1"/>
      <c r="AQ942" s="60"/>
      <c r="AR942" s="54"/>
      <c r="AS942" s="39"/>
      <c r="AT942" s="35"/>
      <c r="AV942" s="1"/>
      <c r="BB942" s="1"/>
      <c r="BH942" s="1"/>
      <c r="BQ942" s="70"/>
    </row>
    <row r="943">
      <c r="A943" s="70"/>
      <c r="F943" s="1"/>
      <c r="L943" s="1"/>
      <c r="R943" s="1"/>
      <c r="X943" s="1"/>
      <c r="AD943" s="1"/>
      <c r="AJ943" s="1"/>
      <c r="AP943" s="1"/>
      <c r="AQ943" s="60"/>
      <c r="AR943" s="54"/>
      <c r="AS943" s="39"/>
      <c r="AT943" s="35"/>
      <c r="AV943" s="1"/>
      <c r="BB943" s="1"/>
      <c r="BH943" s="1"/>
      <c r="BQ943" s="70"/>
    </row>
    <row r="944">
      <c r="A944" s="70"/>
      <c r="F944" s="1"/>
      <c r="L944" s="1"/>
      <c r="R944" s="1"/>
      <c r="X944" s="1"/>
      <c r="AD944" s="1"/>
      <c r="AJ944" s="1"/>
      <c r="AP944" s="1"/>
      <c r="AQ944" s="60"/>
      <c r="AR944" s="54"/>
      <c r="AS944" s="39"/>
      <c r="AT944" s="35"/>
      <c r="AV944" s="1"/>
      <c r="BB944" s="1"/>
      <c r="BH944" s="1"/>
      <c r="BQ944" s="70"/>
    </row>
    <row r="945">
      <c r="A945" s="70"/>
      <c r="F945" s="1"/>
      <c r="L945" s="1"/>
      <c r="R945" s="1"/>
      <c r="X945" s="1"/>
      <c r="AD945" s="1"/>
      <c r="AJ945" s="1"/>
      <c r="AP945" s="1"/>
      <c r="AQ945" s="60"/>
      <c r="AR945" s="54"/>
      <c r="AS945" s="39"/>
      <c r="AT945" s="35"/>
      <c r="AV945" s="1"/>
      <c r="BB945" s="1"/>
      <c r="BH945" s="1"/>
      <c r="BQ945" s="70"/>
    </row>
    <row r="946">
      <c r="A946" s="70"/>
      <c r="F946" s="1"/>
      <c r="L946" s="1"/>
      <c r="R946" s="1"/>
      <c r="X946" s="1"/>
      <c r="AD946" s="1"/>
      <c r="AJ946" s="1"/>
      <c r="AP946" s="1"/>
      <c r="AQ946" s="60"/>
      <c r="AR946" s="54"/>
      <c r="AS946" s="39"/>
      <c r="AT946" s="35"/>
      <c r="AV946" s="1"/>
      <c r="BB946" s="1"/>
      <c r="BH946" s="1"/>
      <c r="BQ946" s="70"/>
    </row>
    <row r="947">
      <c r="A947" s="70"/>
      <c r="F947" s="1"/>
      <c r="L947" s="1"/>
      <c r="R947" s="1"/>
      <c r="X947" s="1"/>
      <c r="AD947" s="1"/>
      <c r="AJ947" s="1"/>
      <c r="AP947" s="1"/>
      <c r="AQ947" s="60"/>
      <c r="AR947" s="54"/>
      <c r="AS947" s="39"/>
      <c r="AT947" s="35"/>
      <c r="AV947" s="1"/>
      <c r="BB947" s="1"/>
      <c r="BH947" s="1"/>
      <c r="BQ947" s="70"/>
    </row>
    <row r="948">
      <c r="A948" s="70"/>
      <c r="F948" s="1"/>
      <c r="L948" s="1"/>
      <c r="R948" s="1"/>
      <c r="X948" s="1"/>
      <c r="AD948" s="1"/>
      <c r="AJ948" s="1"/>
      <c r="AP948" s="1"/>
      <c r="AQ948" s="60"/>
      <c r="AR948" s="54"/>
      <c r="AS948" s="39"/>
      <c r="AT948" s="35"/>
      <c r="AV948" s="1"/>
      <c r="BB948" s="1"/>
      <c r="BH948" s="1"/>
      <c r="BQ948" s="70"/>
    </row>
    <row r="949">
      <c r="A949" s="70"/>
      <c r="F949" s="1"/>
      <c r="L949" s="1"/>
      <c r="R949" s="1"/>
      <c r="X949" s="1"/>
      <c r="AD949" s="1"/>
      <c r="AJ949" s="1"/>
      <c r="AP949" s="1"/>
      <c r="AQ949" s="60"/>
      <c r="AR949" s="54"/>
      <c r="AS949" s="39"/>
      <c r="AT949" s="35"/>
      <c r="AV949" s="1"/>
      <c r="BB949" s="1"/>
      <c r="BH949" s="1"/>
      <c r="BQ949" s="70"/>
    </row>
    <row r="950">
      <c r="A950" s="70"/>
      <c r="F950" s="1"/>
      <c r="L950" s="1"/>
      <c r="R950" s="1"/>
      <c r="X950" s="1"/>
      <c r="AD950" s="1"/>
      <c r="AJ950" s="1"/>
      <c r="AP950" s="1"/>
      <c r="AQ950" s="60"/>
      <c r="AR950" s="54"/>
      <c r="AS950" s="39"/>
      <c r="AT950" s="35"/>
      <c r="AV950" s="1"/>
      <c r="BB950" s="1"/>
      <c r="BH950" s="1"/>
      <c r="BQ950" s="70"/>
    </row>
    <row r="951">
      <c r="A951" s="70"/>
      <c r="F951" s="1"/>
      <c r="L951" s="1"/>
      <c r="R951" s="1"/>
      <c r="X951" s="1"/>
      <c r="AD951" s="1"/>
      <c r="AJ951" s="1"/>
      <c r="AP951" s="1"/>
      <c r="AQ951" s="60"/>
      <c r="AR951" s="54"/>
      <c r="AS951" s="39"/>
      <c r="AT951" s="35"/>
      <c r="AV951" s="1"/>
      <c r="BB951" s="1"/>
      <c r="BH951" s="1"/>
      <c r="BQ951" s="70"/>
    </row>
    <row r="952">
      <c r="A952" s="70"/>
      <c r="F952" s="1"/>
      <c r="L952" s="1"/>
      <c r="R952" s="1"/>
      <c r="X952" s="1"/>
      <c r="AD952" s="1"/>
      <c r="AJ952" s="1"/>
      <c r="AP952" s="1"/>
      <c r="AQ952" s="60"/>
      <c r="AR952" s="54"/>
      <c r="AS952" s="39"/>
      <c r="AT952" s="35"/>
      <c r="AV952" s="1"/>
      <c r="BB952" s="1"/>
      <c r="BH952" s="1"/>
      <c r="BQ952" s="70"/>
    </row>
    <row r="953">
      <c r="A953" s="70"/>
      <c r="F953" s="1"/>
      <c r="L953" s="1"/>
      <c r="R953" s="1"/>
      <c r="X953" s="1"/>
      <c r="AD953" s="1"/>
      <c r="AJ953" s="1"/>
      <c r="AP953" s="1"/>
      <c r="AQ953" s="60"/>
      <c r="AR953" s="54"/>
      <c r="AS953" s="39"/>
      <c r="AT953" s="35"/>
      <c r="AV953" s="1"/>
      <c r="BB953" s="1"/>
      <c r="BH953" s="1"/>
      <c r="BQ953" s="70"/>
    </row>
    <row r="954">
      <c r="A954" s="70"/>
      <c r="F954" s="1"/>
      <c r="L954" s="1"/>
      <c r="R954" s="1"/>
      <c r="X954" s="1"/>
      <c r="AD954" s="1"/>
      <c r="AJ954" s="1"/>
      <c r="AP954" s="1"/>
      <c r="AQ954" s="60"/>
      <c r="AR954" s="54"/>
      <c r="AS954" s="39"/>
      <c r="AT954" s="35"/>
      <c r="AV954" s="1"/>
      <c r="BB954" s="1"/>
      <c r="BH954" s="1"/>
      <c r="BQ954" s="70"/>
    </row>
    <row r="955">
      <c r="A955" s="70"/>
      <c r="F955" s="1"/>
      <c r="L955" s="1"/>
      <c r="R955" s="1"/>
      <c r="X955" s="1"/>
      <c r="AD955" s="1"/>
      <c r="AJ955" s="1"/>
      <c r="AP955" s="1"/>
      <c r="AQ955" s="60"/>
      <c r="AR955" s="54"/>
      <c r="AS955" s="39"/>
      <c r="AT955" s="35"/>
      <c r="AV955" s="1"/>
      <c r="BB955" s="1"/>
      <c r="BH955" s="1"/>
      <c r="BQ955" s="70"/>
    </row>
    <row r="956">
      <c r="A956" s="70"/>
      <c r="F956" s="1"/>
      <c r="L956" s="1"/>
      <c r="R956" s="1"/>
      <c r="X956" s="1"/>
      <c r="AD956" s="1"/>
      <c r="AJ956" s="1"/>
      <c r="AP956" s="1"/>
      <c r="AQ956" s="60"/>
      <c r="AR956" s="54"/>
      <c r="AS956" s="39"/>
      <c r="AT956" s="35"/>
      <c r="AV956" s="1"/>
      <c r="BB956" s="1"/>
      <c r="BH956" s="1"/>
      <c r="BQ956" s="70"/>
    </row>
    <row r="957">
      <c r="A957" s="70"/>
      <c r="F957" s="1"/>
      <c r="L957" s="1"/>
      <c r="R957" s="1"/>
      <c r="X957" s="1"/>
      <c r="AD957" s="1"/>
      <c r="AJ957" s="1"/>
      <c r="AP957" s="1"/>
      <c r="AQ957" s="60"/>
      <c r="AR957" s="54"/>
      <c r="AS957" s="39"/>
      <c r="AT957" s="35"/>
      <c r="AV957" s="1"/>
      <c r="BB957" s="1"/>
      <c r="BH957" s="1"/>
      <c r="BQ957" s="70"/>
    </row>
    <row r="958">
      <c r="A958" s="70"/>
      <c r="F958" s="1"/>
      <c r="L958" s="1"/>
      <c r="R958" s="1"/>
      <c r="X958" s="1"/>
      <c r="AD958" s="1"/>
      <c r="AJ958" s="1"/>
      <c r="AP958" s="1"/>
      <c r="AQ958" s="60"/>
      <c r="AR958" s="54"/>
      <c r="AS958" s="39"/>
      <c r="AT958" s="35"/>
      <c r="AV958" s="1"/>
      <c r="BB958" s="1"/>
      <c r="BH958" s="1"/>
      <c r="BQ958" s="70"/>
    </row>
    <row r="959">
      <c r="A959" s="70"/>
      <c r="F959" s="1"/>
      <c r="L959" s="1"/>
      <c r="R959" s="1"/>
      <c r="X959" s="1"/>
      <c r="AD959" s="1"/>
      <c r="AJ959" s="1"/>
      <c r="AP959" s="1"/>
      <c r="AQ959" s="60"/>
      <c r="AR959" s="54"/>
      <c r="AS959" s="39"/>
      <c r="AT959" s="35"/>
      <c r="AV959" s="1"/>
      <c r="BB959" s="1"/>
      <c r="BH959" s="1"/>
      <c r="BQ959" s="70"/>
    </row>
    <row r="960">
      <c r="A960" s="70"/>
      <c r="F960" s="1"/>
      <c r="L960" s="1"/>
      <c r="R960" s="1"/>
      <c r="X960" s="1"/>
      <c r="AD960" s="1"/>
      <c r="AJ960" s="1"/>
      <c r="AP960" s="1"/>
      <c r="AQ960" s="60"/>
      <c r="AR960" s="54"/>
      <c r="AS960" s="39"/>
      <c r="AT960" s="35"/>
      <c r="AV960" s="1"/>
      <c r="BB960" s="1"/>
      <c r="BH960" s="1"/>
      <c r="BQ960" s="70"/>
    </row>
    <row r="961">
      <c r="A961" s="70"/>
      <c r="F961" s="1"/>
      <c r="L961" s="1"/>
      <c r="R961" s="1"/>
      <c r="X961" s="1"/>
      <c r="AD961" s="1"/>
      <c r="AJ961" s="1"/>
      <c r="AP961" s="1"/>
      <c r="AQ961" s="60"/>
      <c r="AR961" s="54"/>
      <c r="AS961" s="39"/>
      <c r="AT961" s="35"/>
      <c r="AV961" s="1"/>
      <c r="BB961" s="1"/>
      <c r="BH961" s="1"/>
      <c r="BQ961" s="70"/>
    </row>
    <row r="962">
      <c r="A962" s="70"/>
      <c r="F962" s="1"/>
      <c r="L962" s="1"/>
      <c r="R962" s="1"/>
      <c r="X962" s="1"/>
      <c r="AD962" s="1"/>
      <c r="AJ962" s="1"/>
      <c r="AP962" s="1"/>
      <c r="AQ962" s="60"/>
      <c r="AR962" s="54"/>
      <c r="AS962" s="39"/>
      <c r="AT962" s="35"/>
      <c r="AV962" s="1"/>
      <c r="BB962" s="1"/>
      <c r="BH962" s="1"/>
      <c r="BQ962" s="70"/>
    </row>
    <row r="963">
      <c r="A963" s="70"/>
      <c r="F963" s="1"/>
      <c r="L963" s="1"/>
      <c r="R963" s="1"/>
      <c r="X963" s="1"/>
      <c r="AD963" s="1"/>
      <c r="AJ963" s="1"/>
      <c r="AP963" s="1"/>
      <c r="AQ963" s="60"/>
      <c r="AR963" s="54"/>
      <c r="AS963" s="39"/>
      <c r="AT963" s="35"/>
      <c r="AV963" s="1"/>
      <c r="BB963" s="1"/>
      <c r="BH963" s="1"/>
      <c r="BQ963" s="70"/>
    </row>
    <row r="964">
      <c r="A964" s="70"/>
      <c r="F964" s="1"/>
      <c r="L964" s="1"/>
      <c r="R964" s="1"/>
      <c r="X964" s="1"/>
      <c r="AD964" s="1"/>
      <c r="AJ964" s="1"/>
      <c r="AP964" s="1"/>
      <c r="AQ964" s="60"/>
      <c r="AR964" s="54"/>
      <c r="AS964" s="39"/>
      <c r="AT964" s="35"/>
      <c r="AV964" s="1"/>
      <c r="BB964" s="1"/>
      <c r="BH964" s="1"/>
      <c r="BQ964" s="70"/>
    </row>
    <row r="965">
      <c r="A965" s="70"/>
      <c r="F965" s="1"/>
      <c r="L965" s="1"/>
      <c r="R965" s="1"/>
      <c r="X965" s="1"/>
      <c r="AD965" s="1"/>
      <c r="AJ965" s="1"/>
      <c r="AP965" s="1"/>
      <c r="AQ965" s="60"/>
      <c r="AR965" s="54"/>
      <c r="AS965" s="39"/>
      <c r="AT965" s="35"/>
      <c r="AV965" s="1"/>
      <c r="BB965" s="1"/>
      <c r="BH965" s="1"/>
      <c r="BQ965" s="70"/>
    </row>
    <row r="966">
      <c r="A966" s="70"/>
      <c r="F966" s="1"/>
      <c r="L966" s="1"/>
      <c r="R966" s="1"/>
      <c r="X966" s="1"/>
      <c r="AD966" s="1"/>
      <c r="AJ966" s="1"/>
      <c r="AP966" s="1"/>
      <c r="AQ966" s="60"/>
      <c r="AR966" s="54"/>
      <c r="AS966" s="39"/>
      <c r="AT966" s="35"/>
      <c r="AV966" s="1"/>
      <c r="BB966" s="1"/>
      <c r="BH966" s="1"/>
      <c r="BQ966" s="70"/>
    </row>
    <row r="967">
      <c r="A967" s="70"/>
      <c r="F967" s="1"/>
      <c r="L967" s="1"/>
      <c r="R967" s="1"/>
      <c r="X967" s="1"/>
      <c r="AD967" s="1"/>
      <c r="AJ967" s="1"/>
      <c r="AP967" s="1"/>
      <c r="AQ967" s="60"/>
      <c r="AR967" s="54"/>
      <c r="AS967" s="39"/>
      <c r="AT967" s="35"/>
      <c r="AV967" s="1"/>
      <c r="BB967" s="1"/>
      <c r="BH967" s="1"/>
      <c r="BQ967" s="70"/>
    </row>
    <row r="968">
      <c r="A968" s="70"/>
      <c r="F968" s="1"/>
      <c r="L968" s="1"/>
      <c r="R968" s="1"/>
      <c r="X968" s="1"/>
      <c r="AD968" s="1"/>
      <c r="AJ968" s="1"/>
      <c r="AP968" s="1"/>
      <c r="AQ968" s="60"/>
      <c r="AR968" s="54"/>
      <c r="AS968" s="39"/>
      <c r="AT968" s="35"/>
      <c r="AV968" s="1"/>
      <c r="BB968" s="1"/>
      <c r="BH968" s="1"/>
      <c r="BQ968" s="70"/>
    </row>
    <row r="969">
      <c r="A969" s="70"/>
      <c r="F969" s="1"/>
      <c r="L969" s="1"/>
      <c r="R969" s="1"/>
      <c r="X969" s="1"/>
      <c r="AD969" s="1"/>
      <c r="AJ969" s="1"/>
      <c r="AP969" s="1"/>
      <c r="AQ969" s="60"/>
      <c r="AR969" s="54"/>
      <c r="AS969" s="39"/>
      <c r="AT969" s="35"/>
      <c r="AV969" s="1"/>
      <c r="BB969" s="1"/>
      <c r="BH969" s="1"/>
      <c r="BQ969" s="70"/>
    </row>
    <row r="970">
      <c r="A970" s="70"/>
      <c r="F970" s="1"/>
      <c r="L970" s="1"/>
      <c r="R970" s="1"/>
      <c r="X970" s="1"/>
      <c r="AD970" s="1"/>
      <c r="AJ970" s="1"/>
      <c r="AP970" s="1"/>
      <c r="AQ970" s="60"/>
      <c r="AR970" s="54"/>
      <c r="AS970" s="39"/>
      <c r="AT970" s="35"/>
      <c r="AV970" s="1"/>
      <c r="BB970" s="1"/>
      <c r="BH970" s="1"/>
      <c r="BQ970" s="70"/>
    </row>
    <row r="971">
      <c r="A971" s="70"/>
      <c r="F971" s="1"/>
      <c r="L971" s="1"/>
      <c r="R971" s="1"/>
      <c r="X971" s="1"/>
      <c r="AD971" s="1"/>
      <c r="AJ971" s="1"/>
      <c r="AP971" s="1"/>
      <c r="AQ971" s="60"/>
      <c r="AR971" s="54"/>
      <c r="AS971" s="39"/>
      <c r="AT971" s="35"/>
      <c r="AV971" s="1"/>
      <c r="BB971" s="1"/>
      <c r="BH971" s="1"/>
      <c r="BQ971" s="70"/>
    </row>
    <row r="972">
      <c r="A972" s="70"/>
      <c r="F972" s="1"/>
      <c r="L972" s="1"/>
      <c r="R972" s="1"/>
      <c r="X972" s="1"/>
      <c r="AD972" s="1"/>
      <c r="AJ972" s="1"/>
      <c r="AP972" s="1"/>
      <c r="AQ972" s="60"/>
      <c r="AR972" s="54"/>
      <c r="AS972" s="39"/>
      <c r="AT972" s="35"/>
      <c r="AV972" s="1"/>
      <c r="BB972" s="1"/>
      <c r="BH972" s="1"/>
      <c r="BQ972" s="70"/>
    </row>
    <row r="973">
      <c r="A973" s="70"/>
      <c r="F973" s="1"/>
      <c r="L973" s="1"/>
      <c r="R973" s="1"/>
      <c r="X973" s="1"/>
      <c r="AD973" s="1"/>
      <c r="AJ973" s="1"/>
      <c r="AP973" s="1"/>
      <c r="AQ973" s="60"/>
      <c r="AR973" s="54"/>
      <c r="AS973" s="39"/>
      <c r="AT973" s="35"/>
      <c r="AV973" s="1"/>
      <c r="BB973" s="1"/>
      <c r="BH973" s="1"/>
      <c r="BQ973" s="70"/>
    </row>
    <row r="974">
      <c r="A974" s="70"/>
      <c r="F974" s="1"/>
      <c r="L974" s="1"/>
      <c r="R974" s="1"/>
      <c r="X974" s="1"/>
      <c r="AD974" s="1"/>
      <c r="AJ974" s="1"/>
      <c r="AP974" s="1"/>
      <c r="AQ974" s="60"/>
      <c r="AR974" s="54"/>
      <c r="AS974" s="39"/>
      <c r="AT974" s="35"/>
      <c r="AV974" s="1"/>
      <c r="BB974" s="1"/>
      <c r="BH974" s="1"/>
      <c r="BQ974" s="70"/>
    </row>
    <row r="975">
      <c r="A975" s="70"/>
      <c r="F975" s="1"/>
      <c r="L975" s="1"/>
      <c r="R975" s="1"/>
      <c r="X975" s="1"/>
      <c r="AD975" s="1"/>
      <c r="AJ975" s="1"/>
      <c r="AP975" s="1"/>
      <c r="AQ975" s="60"/>
      <c r="AR975" s="54"/>
      <c r="AS975" s="39"/>
      <c r="AT975" s="35"/>
      <c r="AV975" s="1"/>
      <c r="BB975" s="1"/>
      <c r="BH975" s="1"/>
      <c r="BQ975" s="70"/>
    </row>
    <row r="976">
      <c r="A976" s="70"/>
      <c r="F976" s="1"/>
      <c r="L976" s="1"/>
      <c r="R976" s="1"/>
      <c r="X976" s="1"/>
      <c r="AD976" s="1"/>
      <c r="AJ976" s="1"/>
      <c r="AP976" s="1"/>
      <c r="AQ976" s="60"/>
      <c r="AR976" s="54"/>
      <c r="AS976" s="39"/>
      <c r="AT976" s="35"/>
      <c r="AV976" s="1"/>
      <c r="BB976" s="1"/>
      <c r="BH976" s="1"/>
      <c r="BQ976" s="70"/>
    </row>
    <row r="977">
      <c r="A977" s="70"/>
      <c r="F977" s="1"/>
      <c r="L977" s="1"/>
      <c r="R977" s="1"/>
      <c r="X977" s="1"/>
      <c r="AD977" s="1"/>
      <c r="AJ977" s="1"/>
      <c r="AP977" s="1"/>
      <c r="AQ977" s="60"/>
      <c r="AR977" s="54"/>
      <c r="AS977" s="39"/>
      <c r="AT977" s="35"/>
      <c r="AV977" s="1"/>
      <c r="BB977" s="1"/>
      <c r="BH977" s="1"/>
      <c r="BQ977" s="70"/>
    </row>
    <row r="978">
      <c r="A978" s="70"/>
      <c r="F978" s="1"/>
      <c r="L978" s="1"/>
      <c r="R978" s="1"/>
      <c r="X978" s="1"/>
      <c r="AD978" s="1"/>
      <c r="AJ978" s="1"/>
      <c r="AP978" s="1"/>
      <c r="AQ978" s="60"/>
      <c r="AR978" s="54"/>
      <c r="AS978" s="39"/>
      <c r="AT978" s="35"/>
      <c r="AV978" s="1"/>
      <c r="BB978" s="1"/>
      <c r="BH978" s="1"/>
      <c r="BQ978" s="70"/>
    </row>
    <row r="979">
      <c r="A979" s="70"/>
      <c r="F979" s="1"/>
      <c r="L979" s="1"/>
      <c r="R979" s="1"/>
      <c r="X979" s="1"/>
      <c r="AD979" s="1"/>
      <c r="AJ979" s="1"/>
      <c r="AP979" s="1"/>
      <c r="AQ979" s="60"/>
      <c r="AR979" s="54"/>
      <c r="AS979" s="39"/>
      <c r="AT979" s="35"/>
      <c r="AV979" s="1"/>
      <c r="BB979" s="1"/>
      <c r="BH979" s="1"/>
      <c r="BQ979" s="70"/>
    </row>
    <row r="980">
      <c r="A980" s="70"/>
      <c r="F980" s="1"/>
      <c r="L980" s="1"/>
      <c r="R980" s="1"/>
      <c r="X980" s="1"/>
      <c r="AD980" s="1"/>
      <c r="AJ980" s="1"/>
      <c r="AP980" s="1"/>
      <c r="AQ980" s="60"/>
      <c r="AR980" s="54"/>
      <c r="AS980" s="39"/>
      <c r="AT980" s="35"/>
      <c r="AV980" s="1"/>
      <c r="BB980" s="1"/>
      <c r="BH980" s="1"/>
      <c r="BQ980" s="70"/>
    </row>
    <row r="981">
      <c r="A981" s="70"/>
      <c r="F981" s="1"/>
      <c r="L981" s="1"/>
      <c r="R981" s="1"/>
      <c r="X981" s="1"/>
      <c r="AD981" s="1"/>
      <c r="AJ981" s="1"/>
      <c r="AP981" s="1"/>
      <c r="AQ981" s="60"/>
      <c r="AR981" s="54"/>
      <c r="AS981" s="39"/>
      <c r="AT981" s="35"/>
      <c r="AV981" s="1"/>
      <c r="BB981" s="1"/>
      <c r="BH981" s="1"/>
      <c r="BQ981" s="70"/>
    </row>
    <row r="982">
      <c r="A982" s="70"/>
      <c r="F982" s="1"/>
      <c r="L982" s="1"/>
      <c r="R982" s="1"/>
      <c r="X982" s="1"/>
      <c r="AD982" s="1"/>
      <c r="AJ982" s="1"/>
      <c r="AP982" s="1"/>
      <c r="AQ982" s="60"/>
      <c r="AR982" s="54"/>
      <c r="AS982" s="39"/>
      <c r="AT982" s="35"/>
      <c r="AV982" s="1"/>
      <c r="BB982" s="1"/>
      <c r="BH982" s="1"/>
      <c r="BQ982" s="70"/>
    </row>
    <row r="983">
      <c r="A983" s="70"/>
      <c r="F983" s="1"/>
      <c r="L983" s="1"/>
      <c r="R983" s="1"/>
      <c r="X983" s="1"/>
      <c r="AD983" s="1"/>
      <c r="AJ983" s="1"/>
      <c r="AP983" s="1"/>
      <c r="AQ983" s="60"/>
      <c r="AR983" s="54"/>
      <c r="AS983" s="39"/>
      <c r="AT983" s="35"/>
      <c r="AV983" s="1"/>
      <c r="BB983" s="1"/>
      <c r="BH983" s="1"/>
      <c r="BQ983" s="70"/>
    </row>
    <row r="984">
      <c r="A984" s="70"/>
      <c r="F984" s="1"/>
      <c r="L984" s="1"/>
      <c r="R984" s="1"/>
      <c r="X984" s="1"/>
      <c r="AD984" s="1"/>
      <c r="AJ984" s="1"/>
      <c r="AP984" s="1"/>
      <c r="AQ984" s="60"/>
      <c r="AR984" s="54"/>
      <c r="AS984" s="39"/>
      <c r="AT984" s="35"/>
      <c r="AV984" s="1"/>
      <c r="BB984" s="1"/>
      <c r="BH984" s="1"/>
      <c r="BQ984" s="70"/>
    </row>
    <row r="985">
      <c r="A985" s="70"/>
      <c r="F985" s="1"/>
      <c r="L985" s="1"/>
      <c r="R985" s="1"/>
      <c r="X985" s="1"/>
      <c r="AD985" s="1"/>
      <c r="AJ985" s="1"/>
      <c r="AP985" s="1"/>
      <c r="AQ985" s="60"/>
      <c r="AR985" s="54"/>
      <c r="AS985" s="39"/>
      <c r="AT985" s="35"/>
      <c r="AV985" s="1"/>
      <c r="BB985" s="1"/>
      <c r="BH985" s="1"/>
      <c r="BQ985" s="70"/>
    </row>
    <row r="986">
      <c r="A986" s="70"/>
      <c r="F986" s="1"/>
      <c r="L986" s="1"/>
      <c r="R986" s="1"/>
      <c r="X986" s="1"/>
      <c r="AD986" s="1"/>
      <c r="AJ986" s="1"/>
      <c r="AP986" s="1"/>
      <c r="AQ986" s="60"/>
      <c r="AR986" s="54"/>
      <c r="AS986" s="39"/>
      <c r="AT986" s="35"/>
      <c r="AV986" s="1"/>
      <c r="BB986" s="1"/>
      <c r="BH986" s="1"/>
      <c r="BQ986" s="70"/>
    </row>
    <row r="987">
      <c r="A987" s="70"/>
      <c r="F987" s="1"/>
      <c r="L987" s="1"/>
      <c r="R987" s="1"/>
      <c r="X987" s="1"/>
      <c r="AD987" s="1"/>
      <c r="AJ987" s="1"/>
      <c r="AP987" s="1"/>
      <c r="AQ987" s="60"/>
      <c r="AR987" s="54"/>
      <c r="AS987" s="39"/>
      <c r="AT987" s="35"/>
      <c r="AV987" s="1"/>
      <c r="BB987" s="1"/>
      <c r="BH987" s="1"/>
      <c r="BQ987" s="70"/>
    </row>
    <row r="988">
      <c r="A988" s="70"/>
      <c r="F988" s="1"/>
      <c r="L988" s="1"/>
      <c r="R988" s="1"/>
      <c r="X988" s="1"/>
      <c r="AD988" s="1"/>
      <c r="AJ988" s="1"/>
      <c r="AP988" s="1"/>
      <c r="AQ988" s="60"/>
      <c r="AR988" s="54"/>
      <c r="AS988" s="39"/>
      <c r="AT988" s="35"/>
      <c r="AV988" s="1"/>
      <c r="BB988" s="1"/>
      <c r="BH988" s="1"/>
      <c r="BQ988" s="70"/>
    </row>
    <row r="989">
      <c r="A989" s="70"/>
      <c r="F989" s="1"/>
      <c r="L989" s="1"/>
      <c r="R989" s="1"/>
      <c r="X989" s="1"/>
      <c r="AD989" s="1"/>
      <c r="AJ989" s="1"/>
      <c r="AP989" s="1"/>
      <c r="AQ989" s="60"/>
      <c r="AR989" s="54"/>
      <c r="AS989" s="39"/>
      <c r="AT989" s="35"/>
      <c r="AV989" s="1"/>
      <c r="BB989" s="1"/>
      <c r="BH989" s="1"/>
      <c r="BQ989" s="70"/>
    </row>
    <row r="990">
      <c r="A990" s="70"/>
      <c r="F990" s="1"/>
      <c r="L990" s="1"/>
      <c r="R990" s="1"/>
      <c r="X990" s="1"/>
      <c r="AD990" s="1"/>
      <c r="AJ990" s="1"/>
      <c r="AP990" s="1"/>
      <c r="AQ990" s="60"/>
      <c r="AR990" s="54"/>
      <c r="AS990" s="39"/>
      <c r="AT990" s="35"/>
      <c r="AV990" s="1"/>
      <c r="BB990" s="1"/>
      <c r="BH990" s="1"/>
      <c r="BQ990" s="70"/>
    </row>
    <row r="991">
      <c r="A991" s="70"/>
      <c r="F991" s="1"/>
      <c r="L991" s="1"/>
      <c r="R991" s="1"/>
      <c r="X991" s="1"/>
      <c r="AD991" s="1"/>
      <c r="AJ991" s="1"/>
      <c r="AP991" s="1"/>
      <c r="AQ991" s="60"/>
      <c r="AR991" s="54"/>
      <c r="AS991" s="39"/>
      <c r="AT991" s="35"/>
      <c r="AV991" s="1"/>
      <c r="BB991" s="1"/>
      <c r="BH991" s="1"/>
      <c r="BQ991" s="70"/>
    </row>
    <row r="992">
      <c r="A992" s="70"/>
      <c r="F992" s="1"/>
      <c r="L992" s="1"/>
      <c r="R992" s="1"/>
      <c r="X992" s="1"/>
      <c r="AD992" s="1"/>
      <c r="AJ992" s="1"/>
      <c r="AP992" s="1"/>
      <c r="AQ992" s="60"/>
      <c r="AR992" s="54"/>
      <c r="AS992" s="39"/>
      <c r="AT992" s="35"/>
      <c r="AV992" s="1"/>
      <c r="BB992" s="1"/>
      <c r="BH992" s="1"/>
      <c r="BQ992" s="70"/>
    </row>
    <row r="993">
      <c r="A993" s="70"/>
      <c r="F993" s="1"/>
      <c r="L993" s="1"/>
      <c r="R993" s="1"/>
      <c r="X993" s="1"/>
      <c r="AD993" s="1"/>
      <c r="AJ993" s="1"/>
      <c r="AP993" s="1"/>
      <c r="AQ993" s="60"/>
      <c r="AR993" s="54"/>
      <c r="AS993" s="39"/>
      <c r="AT993" s="35"/>
      <c r="AV993" s="1"/>
      <c r="BB993" s="1"/>
      <c r="BH993" s="1"/>
      <c r="BQ993" s="70"/>
    </row>
    <row r="994">
      <c r="A994" s="70"/>
      <c r="F994" s="1"/>
      <c r="L994" s="1"/>
      <c r="R994" s="1"/>
      <c r="X994" s="1"/>
      <c r="AD994" s="1"/>
      <c r="AJ994" s="1"/>
      <c r="AP994" s="1"/>
      <c r="AQ994" s="60"/>
      <c r="AR994" s="54"/>
      <c r="AS994" s="39"/>
      <c r="AT994" s="35"/>
      <c r="AV994" s="1"/>
      <c r="BB994" s="1"/>
      <c r="BH994" s="1"/>
      <c r="BQ994" s="70"/>
    </row>
    <row r="995">
      <c r="A995" s="70"/>
      <c r="F995" s="1"/>
      <c r="L995" s="1"/>
      <c r="R995" s="1"/>
      <c r="X995" s="1"/>
      <c r="AD995" s="1"/>
      <c r="AJ995" s="1"/>
      <c r="AP995" s="1"/>
      <c r="AQ995" s="60"/>
      <c r="AR995" s="54"/>
      <c r="AS995" s="39"/>
      <c r="AT995" s="35"/>
      <c r="AV995" s="1"/>
      <c r="BB995" s="1"/>
      <c r="BH995" s="1"/>
      <c r="BQ995" s="70"/>
    </row>
    <row r="996">
      <c r="A996" s="70"/>
      <c r="F996" s="1"/>
      <c r="L996" s="1"/>
      <c r="R996" s="1"/>
      <c r="X996" s="1"/>
      <c r="AD996" s="1"/>
      <c r="AJ996" s="1"/>
      <c r="AP996" s="1"/>
      <c r="AQ996" s="60"/>
      <c r="AR996" s="54"/>
      <c r="AS996" s="39"/>
      <c r="AT996" s="35"/>
      <c r="AV996" s="1"/>
      <c r="BB996" s="1"/>
      <c r="BH996" s="1"/>
      <c r="BQ996" s="70"/>
    </row>
    <row r="997">
      <c r="A997" s="70"/>
      <c r="F997" s="1"/>
      <c r="L997" s="1"/>
      <c r="R997" s="1"/>
      <c r="X997" s="1"/>
      <c r="AD997" s="1"/>
      <c r="AJ997" s="1"/>
      <c r="AP997" s="1"/>
      <c r="AQ997" s="60"/>
      <c r="AR997" s="54"/>
      <c r="AS997" s="39"/>
      <c r="AT997" s="35"/>
      <c r="AV997" s="1"/>
      <c r="BB997" s="1"/>
      <c r="BH997" s="1"/>
      <c r="BQ997" s="70"/>
    </row>
    <row r="998">
      <c r="A998" s="70"/>
      <c r="F998" s="1"/>
      <c r="L998" s="1"/>
      <c r="R998" s="1"/>
      <c r="X998" s="1"/>
      <c r="AD998" s="1"/>
      <c r="AJ998" s="1"/>
      <c r="AP998" s="1"/>
      <c r="AQ998" s="60"/>
      <c r="AR998" s="54"/>
      <c r="AS998" s="39"/>
      <c r="AT998" s="35"/>
      <c r="AV998" s="1"/>
      <c r="BB998" s="1"/>
      <c r="BH998" s="1"/>
      <c r="BQ998" s="70"/>
    </row>
    <row r="999">
      <c r="A999" s="70"/>
      <c r="F999" s="1"/>
      <c r="L999" s="1"/>
      <c r="R999" s="1"/>
      <c r="X999" s="1"/>
      <c r="AD999" s="1"/>
      <c r="AJ999" s="1"/>
      <c r="AP999" s="1"/>
      <c r="AQ999" s="60"/>
      <c r="AR999" s="54"/>
      <c r="AS999" s="39"/>
      <c r="AT999" s="35"/>
      <c r="AV999" s="1"/>
      <c r="BB999" s="1"/>
      <c r="BH999" s="1"/>
      <c r="BQ999" s="70"/>
    </row>
    <row r="1000">
      <c r="A1000" s="70"/>
      <c r="F1000" s="1"/>
      <c r="L1000" s="1"/>
      <c r="R1000" s="1"/>
      <c r="X1000" s="1"/>
      <c r="AD1000" s="1"/>
      <c r="AJ1000" s="1"/>
      <c r="AP1000" s="1"/>
      <c r="AQ1000" s="60"/>
      <c r="AR1000" s="54"/>
      <c r="AS1000" s="39"/>
      <c r="AT1000" s="35"/>
      <c r="AV1000" s="1"/>
      <c r="BB1000" s="1"/>
      <c r="BH1000" s="1"/>
      <c r="BQ1000" s="70"/>
    </row>
    <row r="1001">
      <c r="A1001" s="70"/>
      <c r="F1001" s="1"/>
      <c r="L1001" s="1"/>
      <c r="R1001" s="1"/>
      <c r="X1001" s="1"/>
      <c r="AD1001" s="1"/>
      <c r="AJ1001" s="1"/>
      <c r="AP1001" s="1"/>
      <c r="AQ1001" s="60"/>
      <c r="AR1001" s="54"/>
      <c r="AS1001" s="39"/>
      <c r="AT1001" s="35"/>
      <c r="AV1001" s="1"/>
      <c r="BB1001" s="1"/>
      <c r="BH1001" s="1"/>
      <c r="BQ1001" s="70"/>
    </row>
    <row r="1002">
      <c r="A1002" s="70"/>
      <c r="F1002" s="1"/>
      <c r="L1002" s="1"/>
      <c r="R1002" s="1"/>
      <c r="X1002" s="1"/>
      <c r="AD1002" s="1"/>
      <c r="AJ1002" s="1"/>
      <c r="AP1002" s="1"/>
      <c r="AQ1002" s="60"/>
      <c r="AR1002" s="54"/>
      <c r="AS1002" s="39"/>
      <c r="AT1002" s="35"/>
      <c r="AV1002" s="1"/>
      <c r="BB1002" s="1"/>
      <c r="BH1002" s="1"/>
      <c r="BQ1002" s="70"/>
    </row>
    <row r="1003">
      <c r="A1003" s="70"/>
      <c r="F1003" s="1"/>
      <c r="L1003" s="1"/>
      <c r="R1003" s="1"/>
      <c r="X1003" s="1"/>
      <c r="AD1003" s="1"/>
      <c r="AJ1003" s="1"/>
      <c r="AP1003" s="1"/>
      <c r="AQ1003" s="60"/>
      <c r="AR1003" s="54"/>
      <c r="AS1003" s="39"/>
      <c r="AT1003" s="35"/>
      <c r="AV1003" s="1"/>
      <c r="BB1003" s="1"/>
      <c r="BH1003" s="1"/>
      <c r="BQ1003" s="70"/>
    </row>
    <row r="1004">
      <c r="A1004" s="70"/>
      <c r="F1004" s="1"/>
      <c r="L1004" s="1"/>
      <c r="R1004" s="1"/>
      <c r="X1004" s="1"/>
      <c r="AD1004" s="1"/>
      <c r="AJ1004" s="1"/>
      <c r="AP1004" s="1"/>
      <c r="AQ1004" s="60"/>
      <c r="AR1004" s="54"/>
      <c r="AS1004" s="39"/>
      <c r="AT1004" s="35"/>
      <c r="AV1004" s="1"/>
      <c r="BB1004" s="1"/>
      <c r="BH1004" s="1"/>
      <c r="BQ1004" s="70"/>
    </row>
    <row r="1005">
      <c r="A1005" s="70"/>
      <c r="F1005" s="1"/>
      <c r="L1005" s="1"/>
      <c r="R1005" s="1"/>
      <c r="X1005" s="1"/>
      <c r="AD1005" s="1"/>
      <c r="AJ1005" s="1"/>
      <c r="AP1005" s="1"/>
      <c r="AQ1005" s="60"/>
      <c r="AR1005" s="54"/>
      <c r="AS1005" s="39"/>
      <c r="AT1005" s="35"/>
      <c r="AV1005" s="1"/>
      <c r="BB1005" s="1"/>
      <c r="BH1005" s="1"/>
      <c r="BQ1005" s="70"/>
    </row>
    <row r="1006">
      <c r="A1006" s="70"/>
      <c r="F1006" s="1"/>
      <c r="L1006" s="1"/>
      <c r="R1006" s="1"/>
      <c r="X1006" s="1"/>
      <c r="AD1006" s="1"/>
      <c r="AJ1006" s="1"/>
      <c r="AP1006" s="1"/>
      <c r="AQ1006" s="60"/>
      <c r="AR1006" s="54"/>
      <c r="AS1006" s="39"/>
      <c r="AT1006" s="35"/>
      <c r="AV1006" s="1"/>
      <c r="BB1006" s="1"/>
      <c r="BH1006" s="1"/>
      <c r="BQ1006" s="70"/>
    </row>
    <row r="1007">
      <c r="A1007" s="70"/>
      <c r="F1007" s="1"/>
      <c r="L1007" s="1"/>
      <c r="R1007" s="1"/>
      <c r="X1007" s="1"/>
      <c r="AD1007" s="1"/>
      <c r="AJ1007" s="1"/>
      <c r="AP1007" s="1"/>
      <c r="AQ1007" s="60"/>
      <c r="AR1007" s="54"/>
      <c r="AS1007" s="39"/>
      <c r="AT1007" s="35"/>
      <c r="AV1007" s="1"/>
      <c r="BB1007" s="1"/>
      <c r="BH1007" s="1"/>
      <c r="BQ1007" s="70"/>
    </row>
  </sheetData>
  <mergeCells count="55">
    <mergeCell ref="BF11:BG15"/>
    <mergeCell ref="BL11:BM15"/>
    <mergeCell ref="P11:Q15"/>
    <mergeCell ref="V11:W15"/>
    <mergeCell ref="AB11:AC15"/>
    <mergeCell ref="AH11:AI15"/>
    <mergeCell ref="AN11:AO15"/>
    <mergeCell ref="AT11:AU15"/>
    <mergeCell ref="AZ11:BA15"/>
    <mergeCell ref="AQ1:AU1"/>
    <mergeCell ref="AW1:BA1"/>
    <mergeCell ref="BC1:BG1"/>
    <mergeCell ref="BI1:BM1"/>
    <mergeCell ref="BO1:BS1"/>
    <mergeCell ref="A1:E1"/>
    <mergeCell ref="G1:K1"/>
    <mergeCell ref="M1:Q1"/>
    <mergeCell ref="S1:W1"/>
    <mergeCell ref="Y1:AC1"/>
    <mergeCell ref="AE1:AI1"/>
    <mergeCell ref="AK1:AO1"/>
    <mergeCell ref="W3:W9"/>
    <mergeCell ref="AA3:AA9"/>
    <mergeCell ref="AC3:AC9"/>
    <mergeCell ref="AG3:AG9"/>
    <mergeCell ref="AI3:AI9"/>
    <mergeCell ref="AM3:AM9"/>
    <mergeCell ref="AO3:AO9"/>
    <mergeCell ref="BM3:BM9"/>
    <mergeCell ref="BQ3:BQ9"/>
    <mergeCell ref="BS3:BS9"/>
    <mergeCell ref="BR11:BS15"/>
    <mergeCell ref="AS3:AS9"/>
    <mergeCell ref="AU3:AU9"/>
    <mergeCell ref="AY3:AY9"/>
    <mergeCell ref="BA3:BA9"/>
    <mergeCell ref="BE3:BE9"/>
    <mergeCell ref="BG3:BG9"/>
    <mergeCell ref="BK3:BK9"/>
    <mergeCell ref="K3:K9"/>
    <mergeCell ref="J11:K15"/>
    <mergeCell ref="B20:B23"/>
    <mergeCell ref="AE20:AE21"/>
    <mergeCell ref="AF20:AF21"/>
    <mergeCell ref="AH20:AH21"/>
    <mergeCell ref="AE22:AE23"/>
    <mergeCell ref="AF22:AF23"/>
    <mergeCell ref="AH22:AH23"/>
    <mergeCell ref="C3:C9"/>
    <mergeCell ref="E3:E9"/>
    <mergeCell ref="I3:I9"/>
    <mergeCell ref="O3:O9"/>
    <mergeCell ref="Q3:Q9"/>
    <mergeCell ref="U3:U9"/>
    <mergeCell ref="D11:E15"/>
  </mergeCells>
  <conditionalFormatting sqref="B17:B32 H17:H32 N17:N32 T17:T32 Z17:Z32 AF17:AF32 AL17:AL32 AR17:AR32 AX17:AX32 BD17:BD32 BJ17:BJ32 BP17:BP32 BP89:BP104 AR109:AR124 BP161:BP176 AR201:AR216 BP233:BP248 AR293:AR308 BP305:BP320 BP377:BP392 AR385:AR400 BP449:BP464 AR477:AR492 BP521:BP536 AR569:AR584 BP593:BP608 AR661:AR676 BP665:BP680 BP737:BP752 AR753:AR768 BP809:BP824 AR845:AR860 BP881:BP896">
    <cfRule type="notContainsBlanks" dxfId="0" priority="1">
      <formula>LEN(TRIM(B17))&gt;0</formula>
    </cfRule>
  </conditionalFormatting>
  <conditionalFormatting sqref="B17:B32 H17:H32 N17:N32 T17:T32 Z17:Z32 AF17:AF32 AL17:AL32 AR17:AR32 AX17:AX32 BD17:BD32 BJ17:BJ32 BP17:BP32 BP89:BP104 AR109:AR124 BP161:BP176 AR201:AR216 BP233:BP248 AR293:AR308 BP305:BP320 BP377:BP392 AR385:AR400 BP449:BP464 AR477:AR492 BP521:BP536 AR569:AR584 BP593:BP608 AR661:AR676 BP665:BP680 BP737:BP752 AR753:AR768 BP809:BP824 AR845:AR860 BP881:BP896">
    <cfRule type="containsBlanks" dxfId="1" priority="2">
      <formula>LEN(TRIM(B17))=0</formula>
    </cfRule>
  </conditionalFormatting>
  <conditionalFormatting sqref="C11:C15 I11:I14 O11:O15 U11:U14 AA11:AA15 AG11:AG15 AM11:AM15 AS11:AS15 AY11:AY15 BE11:BE15 BK11:BK15 BQ11:BQ15 C17:C32 I17:I32 O17:O32 U17:U32 AA17:AA32 AG17:AG32 AM17:AM32 AS17:AS32 AY17:AY32 BE17:BE32 BK17:BK32 BQ17:BQ32 BQ83:BQ87 BQ89:BQ104 AS103:AS107 AS109:AS124 BQ155:BQ159 BQ161:BQ176 AS195:AS199 AS201:AS216 BQ227:BQ231 BQ233:BQ248 AS287:AS291 AS293:AS308 BQ299:BQ303 BQ305:BQ320 BQ371:BQ375 BQ377:BQ392 AS379:AS383 AS385:AS400 BQ443:BQ447 BQ449:BQ464 AS471:AS475 AS477:AS492 BQ515:BQ519 BQ521:BQ536 AS563:AS567 AS569:AS584 BQ587:BQ591 BQ593:BQ608 AS655:AS659 BQ659:BQ663 AS661:AS676 BQ665:BQ680 BQ731:BQ735 BQ737:BQ752 AS747:AS751 AS753:AS768 BQ803:BQ807 BQ809:BQ824 AS839:AS843 AS845:AS860 BQ875:BQ879 BQ881:BQ896">
    <cfRule type="cellIs" dxfId="2" priority="3" operator="greaterThan">
      <formula>"6 + DAY(TODAY())"</formula>
    </cfRule>
  </conditionalFormatting>
  <conditionalFormatting sqref="E17:E114 K17:K118 Q17:Q150 W17:W104 AC17:AD97 AE17:AE31 AF17:AG97 AI17:AI104 AJ17:AJ97 AL17:AM97 AO17:AP97 AQ17:AS1007 AU17:AY1007 BA17:BE1007 BG17:BK1007 BL17:BL19 BM17:BQ1007 BR17:BR19 BS17:BT1007 BF21 BL21 BR21 BF23:BF26 BL23:BL26 BR23:BR25 BF28:BF31 BL28 BR28:BR31 BL30:BL31 AE33:AE97 AK33:AK97 BL33:BL34 BR38 BF72:BF1007 AN84:AN97 AT84 AT87 AT90 AT94:AT97 AZ102:AZ1007 BL103:BL1007 BR125:BR1007">
    <cfRule type="cellIs" dxfId="3" priority="4" operator="equal">
      <formula>"WALKER"</formula>
    </cfRule>
  </conditionalFormatting>
  <conditionalFormatting sqref="E17:E114 K17:K118 Q17:Q150 W17:W104 AC17:AD97 AE17:AE31 AF17:AG97 AI17:AI104 AJ17:AJ97 AL17:AM97 AO17:AP97 AQ17:AS1007 AU17:AY1007 BA17:BE1007 BG17:BK1007 BL17:BL19 BM17:BQ1007 BR17:BR19 BS17:BT1007 BF21 BL21 BR21 BF23:BF26 BL23:BL26 BR23:BR25 BF28:BF31 BL28 BR28:BR31 BL30:BL31 AE33:AE97 AK33:AK97 BL33:BL34 BR38 BF72:BF1007 AN84:AN97 AT84 AT87 AT90 AT94:AT97 AZ102:AZ1007 BL103:BL1007 BR125:BR1007">
    <cfRule type="cellIs" dxfId="5" priority="5" operator="equal">
      <formula>"DEA"</formula>
    </cfRule>
  </conditionalFormatting>
  <conditionalFormatting sqref="B5 H5 N5 T5 Z5 AF5 AL5 AR5 AX5 BD5 BJ5 BP5 BP77 AR97 BP149 AR189 BP221 AR281 BP293 BP365 AR373 BP437 AR465 BP509 AR557 BP581 AR649 BP653 BP725 AR741 BP797 AR833 BP869">
    <cfRule type="cellIs" dxfId="4" priority="6" operator="lessThan">
      <formula>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5"/>
    <col customWidth="1" min="2" max="2" width="21.0"/>
    <col customWidth="1" min="3" max="3" width="10.25"/>
    <col customWidth="1" min="4" max="4" width="5.13"/>
    <col customWidth="1" min="5" max="5" width="14.13"/>
    <col customWidth="1" min="6" max="6" width="10.25"/>
    <col customWidth="1" min="7" max="7" width="6.5"/>
    <col customWidth="1" min="8" max="8" width="21.0"/>
    <col customWidth="1" min="9" max="9" width="10.25"/>
    <col customWidth="1" min="10" max="10" width="5.13"/>
    <col customWidth="1" min="11" max="11" width="14.13"/>
    <col customWidth="1" min="12" max="12" width="9.13"/>
    <col customWidth="1" min="13" max="13" width="6.5"/>
    <col customWidth="1" min="14" max="14" width="21.0"/>
    <col customWidth="1" min="15" max="15" width="10.25"/>
    <col customWidth="1" min="16" max="16" width="5.13"/>
    <col customWidth="1" min="17" max="17" width="14.13"/>
    <col customWidth="1" min="18" max="18" width="10.25"/>
    <col customWidth="1" min="19" max="19" width="6.5"/>
    <col customWidth="1" min="20" max="20" width="21.0"/>
    <col customWidth="1" min="21" max="21" width="10.25"/>
    <col customWidth="1" min="22" max="22" width="5.13"/>
    <col customWidth="1" min="23" max="23" width="14.13"/>
    <col customWidth="1" min="24" max="24" width="9.13"/>
    <col customWidth="1" min="25" max="25" width="6.5"/>
    <col customWidth="1" min="26" max="26" width="21.0"/>
    <col customWidth="1" min="27" max="27" width="10.25"/>
    <col customWidth="1" min="28" max="28" width="5.13"/>
    <col customWidth="1" min="29" max="29" width="14.13"/>
    <col customWidth="1" min="30" max="30" width="10.25"/>
    <col customWidth="1" min="31" max="31" width="6.5"/>
    <col customWidth="1" min="32" max="32" width="21.0"/>
    <col customWidth="1" min="33" max="33" width="10.25"/>
    <col customWidth="1" min="34" max="34" width="5.13"/>
    <col customWidth="1" min="35" max="35" width="14.13"/>
    <col customWidth="1" min="36" max="36" width="10.25"/>
  </cols>
  <sheetData>
    <row r="1">
      <c r="A1" s="3"/>
      <c r="B1" s="3" t="s">
        <v>6</v>
      </c>
      <c r="G1" s="1"/>
      <c r="H1" s="2" t="s">
        <v>7</v>
      </c>
      <c r="M1" s="1"/>
      <c r="N1" s="3" t="s">
        <v>8</v>
      </c>
      <c r="S1" s="1"/>
      <c r="T1" s="2" t="s">
        <v>9</v>
      </c>
      <c r="Y1" s="1"/>
      <c r="Z1" s="3" t="s">
        <v>10</v>
      </c>
      <c r="AE1" s="1"/>
      <c r="AF1" s="2" t="s">
        <v>11</v>
      </c>
    </row>
    <row r="2">
      <c r="A2" s="3"/>
      <c r="B2" s="3"/>
      <c r="C2" s="3" t="s">
        <v>12</v>
      </c>
      <c r="D2" s="7" t="s">
        <v>13</v>
      </c>
      <c r="E2" s="3" t="s">
        <v>14</v>
      </c>
      <c r="F2" s="3" t="s">
        <v>412</v>
      </c>
      <c r="G2" s="1"/>
      <c r="H2" s="2"/>
      <c r="I2" s="2" t="s">
        <v>12</v>
      </c>
      <c r="J2" s="5" t="s">
        <v>13</v>
      </c>
      <c r="K2" s="2" t="s">
        <v>14</v>
      </c>
      <c r="L2" s="2" t="s">
        <v>412</v>
      </c>
      <c r="M2" s="1"/>
      <c r="N2" s="3"/>
      <c r="O2" s="3" t="s">
        <v>12</v>
      </c>
      <c r="P2" s="7" t="s">
        <v>13</v>
      </c>
      <c r="Q2" s="3" t="s">
        <v>14</v>
      </c>
      <c r="R2" s="3" t="s">
        <v>412</v>
      </c>
      <c r="S2" s="1"/>
      <c r="T2" s="2"/>
      <c r="U2" s="2" t="s">
        <v>12</v>
      </c>
      <c r="V2" s="5" t="s">
        <v>13</v>
      </c>
      <c r="W2" s="2" t="s">
        <v>14</v>
      </c>
      <c r="X2" s="2" t="s">
        <v>412</v>
      </c>
      <c r="Y2" s="1"/>
      <c r="Z2" s="3"/>
      <c r="AA2" s="3" t="s">
        <v>12</v>
      </c>
      <c r="AB2" s="7" t="s">
        <v>13</v>
      </c>
      <c r="AC2" s="3" t="s">
        <v>14</v>
      </c>
      <c r="AD2" s="3" t="s">
        <v>412</v>
      </c>
      <c r="AE2" s="1"/>
      <c r="AF2" s="2"/>
      <c r="AG2" s="2" t="s">
        <v>12</v>
      </c>
      <c r="AH2" s="5" t="s">
        <v>13</v>
      </c>
      <c r="AI2" s="2" t="s">
        <v>14</v>
      </c>
      <c r="AJ2" s="2" t="s">
        <v>412</v>
      </c>
    </row>
    <row r="3">
      <c r="A3" s="91" t="s">
        <v>32</v>
      </c>
      <c r="B3" s="92" t="s">
        <v>27</v>
      </c>
      <c r="C3" s="10">
        <f>SUMIF(E17:E204,"WALKER",C17:C204)</f>
        <v>4650.57</v>
      </c>
      <c r="D3" s="11">
        <f>sumif(F17:F198, "WALKER", C17:C198)</f>
        <v>15077.82</v>
      </c>
      <c r="E3" s="14" t="s">
        <v>28</v>
      </c>
      <c r="F3" s="13">
        <f>C7+C8+C9 - (C15 - D3)</f>
        <v>0</v>
      </c>
      <c r="G3" s="1"/>
      <c r="H3" s="9" t="s">
        <v>27</v>
      </c>
      <c r="I3" s="10">
        <f>SUMIF(K17:K203,"WALKER",I17:I203)</f>
        <v>6031.46</v>
      </c>
      <c r="J3" s="11">
        <f>sumif(L17:L197, "WALKER", I17:I197)</f>
        <v>20537.67</v>
      </c>
      <c r="K3" s="12" t="s">
        <v>28</v>
      </c>
      <c r="L3" s="13">
        <f>I7+I8+I9 - (I15 - J3)</f>
        <v>0</v>
      </c>
      <c r="M3" s="1"/>
      <c r="N3" s="9" t="s">
        <v>27</v>
      </c>
      <c r="O3" s="10">
        <f>SUMIF(Q17:Q204,"WALKER",O17:O204)</f>
        <v>6254.13</v>
      </c>
      <c r="P3" s="11">
        <f>sumif(R17:R198, "WALKER", O17:O198)</f>
        <v>16575.18</v>
      </c>
      <c r="Q3" s="14" t="s">
        <v>28</v>
      </c>
      <c r="R3" s="13">
        <f>O7+O8+O9 - (O15 - P3)</f>
        <v>0</v>
      </c>
      <c r="S3" s="1"/>
      <c r="T3" s="9" t="s">
        <v>27</v>
      </c>
      <c r="U3" s="10">
        <f>SUMIF(W17:W203,"WALKER",U17:U203)</f>
        <v>5848.94</v>
      </c>
      <c r="V3" s="11">
        <f>sumif(X17:X197, "WALKER", U17:U197)</f>
        <v>21759.84</v>
      </c>
      <c r="W3" s="12" t="s">
        <v>28</v>
      </c>
      <c r="X3" s="13">
        <f>U7+U8+U9 - (U15 - V3)</f>
        <v>0</v>
      </c>
      <c r="Y3" s="1"/>
      <c r="Z3" s="9" t="s">
        <v>27</v>
      </c>
      <c r="AA3" s="10">
        <f>SUMIF(AC17:AC204,"WALKER",AA17:AA204)</f>
        <v>9645.67</v>
      </c>
      <c r="AB3" s="11">
        <f>sumif(AD17:AD198, "WALKER", AA17:AA198)</f>
        <v>18534.63</v>
      </c>
      <c r="AC3" s="14" t="s">
        <v>28</v>
      </c>
      <c r="AD3" s="13">
        <f>AA7+AA8 - (AA15 - AB3)</f>
        <v>0</v>
      </c>
      <c r="AE3" s="1"/>
      <c r="AF3" s="9" t="s">
        <v>27</v>
      </c>
      <c r="AG3" s="10">
        <f>SUMIF(AI17:AI203,"WALKER",AG17:AG203)</f>
        <v>10964.53</v>
      </c>
      <c r="AH3" s="11">
        <f>sumif(AJ17:AJ197, "WALKER", AG17:AG197)</f>
        <v>27450.36</v>
      </c>
      <c r="AI3" s="12" t="s">
        <v>28</v>
      </c>
      <c r="AJ3" s="13">
        <f>AG7+AG8- (AG15 - AH3)</f>
        <v>0</v>
      </c>
    </row>
    <row r="4">
      <c r="B4" s="92" t="s">
        <v>29</v>
      </c>
      <c r="C4" s="15">
        <f>SUMIF(E17:E204, "WALKER",C17:C204) + 0.6 * SUMIF(E17:E204, "AMBOS",C17:C204) + 0.4 * SUMIF(E17:E204, "AMBOS_I",C17:C204) </f>
        <v>11463.606</v>
      </c>
      <c r="E4" s="14" t="s">
        <v>30</v>
      </c>
      <c r="G4" s="1"/>
      <c r="H4" s="9" t="s">
        <v>29</v>
      </c>
      <c r="I4" s="15">
        <f>SUMIF(K17:K203, "WALKER",I17:I203) + 0.6 * SUMIF(K17:K203, "AMBOS",I17:I203) + 0.4 * SUMIF(K17:K203, "AMBOS_I",I17:I203) </f>
        <v>13234.676</v>
      </c>
      <c r="K4" s="12" t="s">
        <v>30</v>
      </c>
      <c r="M4" s="1"/>
      <c r="N4" s="9" t="s">
        <v>29</v>
      </c>
      <c r="O4" s="15">
        <f>SUMIF(Q17:Q204, "WALKER",O17:O204) + 0.6 * SUMIF(Q17:Q204, "AMBOS",O17:O204) + 0.4 * SUMIF(Q17:Q204, "AMBOS_I",O17:O204) </f>
        <v>12442.498</v>
      </c>
      <c r="Q4" s="14" t="s">
        <v>30</v>
      </c>
      <c r="S4" s="1"/>
      <c r="T4" s="9" t="s">
        <v>29</v>
      </c>
      <c r="U4" s="15">
        <f>SUMIF(W17:W203, "WALKER",U17:U203) + 0.6 * SUMIF(W17:W203, "AMBOS",U17:U203) + 0.4 * SUMIF(W17:W203, "AMBOS_I",U17:U203) </f>
        <v>15150.546</v>
      </c>
      <c r="W4" s="12" t="s">
        <v>30</v>
      </c>
      <c r="Y4" s="1"/>
      <c r="Z4" s="9" t="s">
        <v>29</v>
      </c>
      <c r="AA4" s="15">
        <f>SUMIF(AC17:AC204, "WALKER",AA17:AA204) + 0.6 * SUMIF(AC17:AC204, "AMBOS",AA17:AA204) + 0.4 * SUMIF(AC17:AC204, "AMBOS_I",AA17:AA204) </f>
        <v>15851.086</v>
      </c>
      <c r="AC4" s="14" t="s">
        <v>30</v>
      </c>
      <c r="AE4" s="1"/>
      <c r="AF4" s="9" t="s">
        <v>29</v>
      </c>
      <c r="AG4" s="15">
        <f>SUMIF(AI17:AI203, "WALKER",AG17:AG203) + 0.6 * SUMIF(AI17:AI203, "AMBOS",AG17:AG203) + 0.4 * SUMIF(AI17:AI203, "AMBOS_I",AG17:AG203) </f>
        <v>20554.384</v>
      </c>
      <c r="AI4" s="12" t="s">
        <v>30</v>
      </c>
    </row>
    <row r="5">
      <c r="B5" s="93" t="s">
        <v>31</v>
      </c>
      <c r="C5" s="17">
        <f>SUMIFS(C17:C204,E17:E204, "DEA",F17:F204, "WALKER") + 0.4*SUMIFS(C17:C204,E17:E204,"AMBOS",F17:F204, "WALKER") + 0.6*SUMIFS(C17:C204,E17:E204,"AMBOS_I",F17:F204, "WALKER") - (SUMIFS(C17:C204,E17:E204,"WALKER",F17:F204, "DEA") + 0.6*SUMIFS(C17:C204,E17:E204,"AMBOS",F17:F204, "DEA") + 0.4*SUMIFS(C17:C204,E17:E204,"AMBOS_I",F17:F204, "DEA"))</f>
        <v>3614.214</v>
      </c>
      <c r="E5" s="14" t="s">
        <v>32</v>
      </c>
      <c r="G5" s="1"/>
      <c r="H5" s="16" t="s">
        <v>31</v>
      </c>
      <c r="I5" s="17">
        <f>SUMIFS(I17:I203,K17:K203, "DEA",L17:L203, "WALKER") + 0.4*SUMIFS(I17:I203,K17:K203,"AMBOS",L17:L203, "WALKER") + 0.6*SUMIFS(I17:I203,K17:K203,"AMBOS_I",L17:L203, "WALKER") - (SUMIFS(I17:I203,K17:K203,"WALKER",L17:L203, "DEA") + 0.6*SUMIFS(I17:I203,K17:K203,"AMBOS",L17:L203, "DEA") + 0.4*SUMIFS(I17:I203,K17:K203,"AMBOS_I",L17:L203, "DEA"))</f>
        <v>7302.994</v>
      </c>
      <c r="K5" s="12" t="s">
        <v>32</v>
      </c>
      <c r="M5" s="1"/>
      <c r="N5" s="16" t="s">
        <v>31</v>
      </c>
      <c r="O5" s="17">
        <f>SUMIFS(O17:O204,Q17:Q204, "DEA",R17:R204, "WALKER") + 0.4*SUMIFS(O17:O204,Q17:Q204,"AMBOS",R17:R204, "WALKER") + 0.6*SUMIFS(O17:O204,Q17:Q204,"AMBOS_I",R17:R204, "WALKER") - (SUMIFS(O17:O204,Q17:Q204,"WALKER",R17:R204, "DEA") + 0.6*SUMIFS(O17:O204,Q17:Q204,"AMBOS",R17:R204, "DEA") + 0.4*SUMIFS(O17:O204,Q17:Q204,"AMBOS_I",R17:R204, "DEA"))</f>
        <v>4132.682</v>
      </c>
      <c r="Q5" s="14" t="s">
        <v>32</v>
      </c>
      <c r="S5" s="1"/>
      <c r="T5" s="16" t="s">
        <v>31</v>
      </c>
      <c r="U5" s="17">
        <f>SUMIFS(U17:U203,W17:W203, "DEA",X17:X203, "WALKER") + 0.4*SUMIFS(U17:U203,W17:W203,"AMBOS",X17:X203, "WALKER") + 0.6*SUMIFS(U17:U203,W17:W203,"AMBOS_I",X17:X203, "WALKER") - (SUMIFS(U17:U203,W17:W203,"WALKER",X17:X203, "DEA") + 0.6*SUMIFS(U17:U203,W17:W203,"AMBOS",X17:X203, "DEA") + 0.4*SUMIFS(U17:U203,W17:W203,"AMBOS_I",X17:X203, "DEA"))</f>
        <v>6609.294</v>
      </c>
      <c r="W5" s="12" t="s">
        <v>32</v>
      </c>
      <c r="Y5" s="1"/>
      <c r="Z5" s="16" t="s">
        <v>31</v>
      </c>
      <c r="AA5" s="17">
        <f>SUMIFS(AA17:AA204,AC17:AC204, "DEA",AD17:AD204, "WALKER") + 0.4*SUMIFS(AA17:AA204,AC17:AC204,"AMBOS",AD17:AD204, "WALKER") + 0.6*SUMIFS(AA17:AA204,AC17:AC204,"AMBOS_I",AD17:AD204, "WALKER") - (SUMIFS(AA17:AA204,AC17:AC204,"WALKER",AD17:AD204, "DEA") + 0.6*SUMIFS(AA17:AA204,AC17:AC204,"AMBOS",AD17:AD204, "DEA") + 0.4*SUMIFS(AA17:AA204,AC17:AC204,"AMBOS_I",AD17:AD204, "DEA"))</f>
        <v>2683.544</v>
      </c>
      <c r="AC5" s="14" t="s">
        <v>32</v>
      </c>
      <c r="AE5" s="1"/>
      <c r="AF5" s="16" t="s">
        <v>31</v>
      </c>
      <c r="AG5" s="17">
        <f>SUMIFS(AG17:AG203,AI17:AI203, "DEA",AJ17:AJ203, "WALKER") + 0.4*SUMIFS(AG17:AG203,AI17:AI203,"AMBOS",AJ17:AJ203, "WALKER") + 0.6*SUMIFS(AG17:AG203,AI17:AI203,"AMBOS_I",AJ17:AJ203, "WALKER") - (SUMIFS(AG17:AG203,AI17:AI203,"WALKER",AJ17:AJ203, "DEA") + 0.6*SUMIFS(AG17:AG203,AI17:AI203,"AMBOS",AJ17:AJ203, "DEA") + 0.4*SUMIFS(AG17:AG203,AI17:AI203,"AMBOS_I",AJ17:AJ203, "DEA"))</f>
        <v>6895.976</v>
      </c>
      <c r="AI5" s="12" t="s">
        <v>32</v>
      </c>
    </row>
    <row r="6">
      <c r="B6" s="92" t="s">
        <v>33</v>
      </c>
      <c r="C6" s="19">
        <f>C15-C4</f>
        <v>5936.844</v>
      </c>
      <c r="E6" s="14" t="s">
        <v>34</v>
      </c>
      <c r="G6" s="1"/>
      <c r="H6" s="9" t="s">
        <v>33</v>
      </c>
      <c r="I6" s="19">
        <f>I15-I4</f>
        <v>11532.704</v>
      </c>
      <c r="K6" s="12" t="s">
        <v>34</v>
      </c>
      <c r="M6" s="1"/>
      <c r="N6" s="9" t="s">
        <v>33</v>
      </c>
      <c r="O6" s="19">
        <f>O15-O4</f>
        <v>3462.942</v>
      </c>
      <c r="Q6" s="14" t="s">
        <v>34</v>
      </c>
      <c r="S6" s="1"/>
      <c r="T6" s="9" t="s">
        <v>33</v>
      </c>
      <c r="U6" s="19">
        <f>U15-U4</f>
        <v>5176.644</v>
      </c>
      <c r="W6" s="12" t="s">
        <v>34</v>
      </c>
      <c r="Y6" s="1"/>
      <c r="Z6" s="9" t="s">
        <v>33</v>
      </c>
      <c r="AA6" s="19">
        <f>AA15-AA4</f>
        <v>3659.774</v>
      </c>
      <c r="AC6" s="14" t="s">
        <v>34</v>
      </c>
      <c r="AE6" s="1"/>
      <c r="AF6" s="9" t="s">
        <v>33</v>
      </c>
      <c r="AG6" s="19">
        <f>AG15-AG4</f>
        <v>3318.406</v>
      </c>
      <c r="AI6" s="12" t="s">
        <v>34</v>
      </c>
    </row>
    <row r="7">
      <c r="B7" s="94" t="s">
        <v>36</v>
      </c>
      <c r="C7" s="21">
        <v>662.8</v>
      </c>
      <c r="E7" s="23"/>
      <c r="G7" s="1"/>
      <c r="H7" s="20" t="s">
        <v>36</v>
      </c>
      <c r="I7" s="21">
        <v>2912.66</v>
      </c>
      <c r="K7" s="22"/>
      <c r="M7" s="1"/>
      <c r="N7" s="20" t="s">
        <v>36</v>
      </c>
      <c r="O7" s="21">
        <v>-1972.49</v>
      </c>
      <c r="Q7" s="23"/>
      <c r="S7" s="1"/>
      <c r="T7" s="20" t="s">
        <v>36</v>
      </c>
      <c r="U7" s="21">
        <v>-3869.17</v>
      </c>
      <c r="W7" s="22"/>
      <c r="Y7" s="1"/>
      <c r="Z7" s="20" t="s">
        <v>36</v>
      </c>
      <c r="AA7" s="21">
        <v>17.23</v>
      </c>
      <c r="AC7" s="23"/>
      <c r="AE7" s="1"/>
      <c r="AF7" s="20" t="s">
        <v>36</v>
      </c>
      <c r="AG7" s="21">
        <v>-4030.57</v>
      </c>
      <c r="AI7" s="22"/>
    </row>
    <row r="8">
      <c r="B8" s="94" t="s">
        <v>38</v>
      </c>
      <c r="C8" s="21">
        <v>560.0</v>
      </c>
      <c r="E8" s="23"/>
      <c r="G8" s="1"/>
      <c r="H8" s="20" t="s">
        <v>38</v>
      </c>
      <c r="I8" s="21">
        <v>388.3</v>
      </c>
      <c r="K8" s="22"/>
      <c r="M8" s="1"/>
      <c r="N8" s="20" t="s">
        <v>38</v>
      </c>
      <c r="O8" s="21">
        <v>374.0</v>
      </c>
      <c r="Q8" s="23"/>
      <c r="S8" s="1"/>
      <c r="T8" s="20" t="s">
        <v>38</v>
      </c>
      <c r="U8" s="21">
        <v>418.75</v>
      </c>
      <c r="W8" s="22"/>
      <c r="Y8" s="1"/>
      <c r="Z8" s="20" t="s">
        <v>38</v>
      </c>
      <c r="AA8" s="21">
        <v>959.0</v>
      </c>
      <c r="AC8" s="23"/>
      <c r="AE8" s="1"/>
      <c r="AF8" s="20" t="s">
        <v>38</v>
      </c>
      <c r="AG8" s="21">
        <v>453.0</v>
      </c>
      <c r="AI8" s="22"/>
    </row>
    <row r="9">
      <c r="B9" s="94" t="s">
        <v>1387</v>
      </c>
      <c r="C9" s="21">
        <f>1075.01 + 24.82</f>
        <v>1099.83</v>
      </c>
      <c r="E9" s="23"/>
      <c r="G9" s="1"/>
      <c r="H9" s="20" t="s">
        <v>1387</v>
      </c>
      <c r="I9" s="21">
        <f>903.93 + 24.82</f>
        <v>928.75</v>
      </c>
      <c r="K9" s="22"/>
      <c r="M9" s="1"/>
      <c r="N9" s="20" t="s">
        <v>1387</v>
      </c>
      <c r="O9" s="21">
        <f>903.93 + 24.82</f>
        <v>928.75</v>
      </c>
      <c r="Q9" s="23"/>
      <c r="S9" s="1"/>
      <c r="T9" s="20" t="s">
        <v>1387</v>
      </c>
      <c r="U9" s="21">
        <f>1242.64+775.13</f>
        <v>2017.77</v>
      </c>
      <c r="W9" s="22"/>
      <c r="Y9" s="1"/>
      <c r="Z9" s="20"/>
      <c r="AA9" s="21"/>
      <c r="AC9" s="23"/>
      <c r="AE9" s="1"/>
      <c r="AF9" s="20"/>
      <c r="AG9" s="21"/>
      <c r="AI9" s="22"/>
    </row>
    <row r="10">
      <c r="B10" s="3" t="s">
        <v>39</v>
      </c>
      <c r="C10" s="26"/>
      <c r="D10" s="7" t="s">
        <v>40</v>
      </c>
      <c r="E10" s="3"/>
      <c r="F10" s="3"/>
      <c r="G10" s="1"/>
      <c r="H10" s="24" t="s">
        <v>39</v>
      </c>
      <c r="I10" s="25"/>
      <c r="J10" s="24" t="s">
        <v>40</v>
      </c>
      <c r="K10" s="24"/>
      <c r="L10" s="24"/>
      <c r="M10" s="1"/>
      <c r="N10" s="3" t="s">
        <v>39</v>
      </c>
      <c r="O10" s="26"/>
      <c r="P10" s="7" t="s">
        <v>40</v>
      </c>
      <c r="Q10" s="3"/>
      <c r="R10" s="3"/>
      <c r="S10" s="1"/>
      <c r="T10" s="24" t="s">
        <v>39</v>
      </c>
      <c r="U10" s="25"/>
      <c r="V10" s="24" t="s">
        <v>40</v>
      </c>
      <c r="W10" s="24"/>
      <c r="X10" s="24"/>
      <c r="Y10" s="1"/>
      <c r="Z10" s="3" t="s">
        <v>39</v>
      </c>
      <c r="AA10" s="26"/>
      <c r="AB10" s="7" t="s">
        <v>40</v>
      </c>
      <c r="AC10" s="3"/>
      <c r="AD10" s="3"/>
      <c r="AE10" s="1"/>
      <c r="AF10" s="24" t="s">
        <v>39</v>
      </c>
      <c r="AG10" s="25"/>
      <c r="AH10" s="24" t="s">
        <v>40</v>
      </c>
      <c r="AI10" s="24"/>
      <c r="AJ10" s="24"/>
    </row>
    <row r="11">
      <c r="B11" s="95" t="s">
        <v>43</v>
      </c>
      <c r="C11" s="28">
        <v>5710.59</v>
      </c>
      <c r="D11" s="29">
        <v>-25.0</v>
      </c>
      <c r="E11" s="30" t="s">
        <v>1388</v>
      </c>
      <c r="G11" s="1"/>
      <c r="H11" s="27" t="s">
        <v>43</v>
      </c>
      <c r="I11" s="28">
        <v>15039.23</v>
      </c>
      <c r="J11" s="29">
        <v>-25.0</v>
      </c>
      <c r="K11" s="30" t="s">
        <v>1389</v>
      </c>
      <c r="M11" s="1"/>
      <c r="N11" s="27" t="s">
        <v>43</v>
      </c>
      <c r="O11" s="28">
        <v>7102.85</v>
      </c>
      <c r="P11" s="29">
        <v>-25.0</v>
      </c>
      <c r="Q11" s="30"/>
      <c r="S11" s="1"/>
      <c r="T11" s="27" t="s">
        <v>43</v>
      </c>
      <c r="U11" s="28">
        <v>8463.41</v>
      </c>
      <c r="V11" s="29">
        <v>-25.0</v>
      </c>
      <c r="W11" s="30"/>
      <c r="Y11" s="1"/>
      <c r="Z11" s="27" t="s">
        <v>43</v>
      </c>
      <c r="AA11" s="28">
        <f>5695.81 + 823.65</f>
        <v>6519.46</v>
      </c>
      <c r="AB11" s="29">
        <v>-25.0</v>
      </c>
      <c r="AC11" s="30"/>
      <c r="AE11" s="1"/>
      <c r="AF11" s="27" t="s">
        <v>43</v>
      </c>
      <c r="AG11" s="28">
        <v>6337.58</v>
      </c>
      <c r="AH11" s="29">
        <v>-25.0</v>
      </c>
      <c r="AI11" s="30"/>
    </row>
    <row r="12">
      <c r="B12" s="95" t="s">
        <v>1390</v>
      </c>
      <c r="C12" s="28">
        <v>702.21</v>
      </c>
      <c r="D12" s="29">
        <v>-30.0</v>
      </c>
      <c r="G12" s="1"/>
      <c r="H12" s="27" t="s">
        <v>55</v>
      </c>
      <c r="I12" s="28">
        <v>4968.32</v>
      </c>
      <c r="J12" s="29">
        <v>10.0</v>
      </c>
      <c r="M12" s="1"/>
      <c r="N12" s="27" t="s">
        <v>55</v>
      </c>
      <c r="O12" s="28">
        <v>5302.59</v>
      </c>
      <c r="P12" s="29">
        <v>10.0</v>
      </c>
      <c r="S12" s="1"/>
      <c r="T12" s="27" t="s">
        <v>55</v>
      </c>
      <c r="U12" s="28">
        <v>5645.96</v>
      </c>
      <c r="V12" s="29">
        <v>10.0</v>
      </c>
      <c r="Y12" s="1"/>
      <c r="Z12" s="27" t="s">
        <v>55</v>
      </c>
      <c r="AA12" s="28">
        <v>5657.4</v>
      </c>
      <c r="AB12" s="29">
        <v>10.0</v>
      </c>
      <c r="AE12" s="1"/>
      <c r="AF12" s="27" t="s">
        <v>701</v>
      </c>
      <c r="AG12" s="28">
        <v>11747.81</v>
      </c>
      <c r="AH12" s="29">
        <v>2.0</v>
      </c>
    </row>
    <row r="13">
      <c r="B13" s="95" t="s">
        <v>55</v>
      </c>
      <c r="C13" s="28">
        <v>10987.65</v>
      </c>
      <c r="D13" s="29">
        <v>10.0</v>
      </c>
      <c r="G13" s="1"/>
      <c r="H13" s="27" t="s">
        <v>1391</v>
      </c>
      <c r="I13" s="28">
        <f>560+1099.83</f>
        <v>1659.83</v>
      </c>
      <c r="J13" s="29">
        <v>1.0</v>
      </c>
      <c r="M13" s="1"/>
      <c r="N13" s="27" t="s">
        <v>701</v>
      </c>
      <c r="O13" s="28">
        <v>3500.0</v>
      </c>
      <c r="P13" s="29">
        <v>13.0</v>
      </c>
      <c r="S13" s="1"/>
      <c r="T13" s="27" t="s">
        <v>701</v>
      </c>
      <c r="U13" s="28">
        <v>5000.0</v>
      </c>
      <c r="V13" s="29">
        <v>8.0</v>
      </c>
      <c r="Y13" s="1"/>
      <c r="Z13" s="27" t="s">
        <v>701</v>
      </c>
      <c r="AA13" s="28">
        <v>6000.0</v>
      </c>
      <c r="AB13" s="29">
        <v>18.0</v>
      </c>
      <c r="AE13" s="1"/>
      <c r="AF13" s="27" t="s">
        <v>1392</v>
      </c>
      <c r="AG13" s="28">
        <v>130.0</v>
      </c>
      <c r="AH13" s="29">
        <v>1.0</v>
      </c>
    </row>
    <row r="14">
      <c r="B14" s="96"/>
      <c r="C14" s="97"/>
      <c r="D14" s="73"/>
      <c r="G14" s="1"/>
      <c r="H14" s="27" t="s">
        <v>1393</v>
      </c>
      <c r="I14" s="28">
        <v>3100.0</v>
      </c>
      <c r="J14" s="29">
        <v>7.0</v>
      </c>
      <c r="M14" s="1"/>
      <c r="N14" s="98"/>
      <c r="O14" s="97"/>
      <c r="P14" s="73"/>
      <c r="S14" s="1"/>
      <c r="T14" s="27" t="s">
        <v>1394</v>
      </c>
      <c r="U14" s="28">
        <f>843.1+374.72</f>
        <v>1217.82</v>
      </c>
      <c r="V14" s="29">
        <v>-25.0</v>
      </c>
      <c r="Y14" s="1"/>
      <c r="Z14" s="27" t="s">
        <v>1395</v>
      </c>
      <c r="AA14" s="28">
        <v>1334.0</v>
      </c>
      <c r="AB14" s="29">
        <v>13.0</v>
      </c>
      <c r="AE14" s="1"/>
      <c r="AF14" s="27" t="s">
        <v>55</v>
      </c>
      <c r="AG14" s="28">
        <v>5657.4</v>
      </c>
      <c r="AH14" s="29">
        <v>10.0</v>
      </c>
    </row>
    <row r="15">
      <c r="B15" s="99" t="s">
        <v>1396</v>
      </c>
      <c r="C15" s="72">
        <f>SUM(C11:C14)</f>
        <v>17400.45</v>
      </c>
      <c r="D15" s="73"/>
      <c r="G15" s="1"/>
      <c r="H15" s="71" t="s">
        <v>1396</v>
      </c>
      <c r="I15" s="72">
        <f>SUM(I11:I14)</f>
        <v>24767.38</v>
      </c>
      <c r="J15" s="73"/>
      <c r="M15" s="1"/>
      <c r="N15" s="71" t="s">
        <v>1396</v>
      </c>
      <c r="O15" s="72">
        <f>SUM(O11:O14)</f>
        <v>15905.44</v>
      </c>
      <c r="P15" s="73"/>
      <c r="S15" s="1"/>
      <c r="T15" s="71" t="s">
        <v>1396</v>
      </c>
      <c r="U15" s="72">
        <f>SUM(U11:U14)</f>
        <v>20327.19</v>
      </c>
      <c r="V15" s="73"/>
      <c r="Y15" s="1"/>
      <c r="Z15" s="71" t="s">
        <v>1396</v>
      </c>
      <c r="AA15" s="72">
        <f>SUM(AA11:AA14)</f>
        <v>19510.86</v>
      </c>
      <c r="AB15" s="73"/>
      <c r="AE15" s="1"/>
      <c r="AF15" s="71" t="s">
        <v>1396</v>
      </c>
      <c r="AG15" s="72">
        <f>SUM(AG11:AG14)</f>
        <v>23872.79</v>
      </c>
      <c r="AH15" s="73"/>
    </row>
    <row r="16">
      <c r="A16" s="3"/>
      <c r="B16" s="3" t="s">
        <v>1110</v>
      </c>
      <c r="C16" s="26"/>
      <c r="D16" s="100"/>
      <c r="E16" s="3" t="s">
        <v>14</v>
      </c>
      <c r="F16" s="3" t="s">
        <v>62</v>
      </c>
      <c r="G16" s="1"/>
      <c r="H16" s="24" t="s">
        <v>1110</v>
      </c>
      <c r="I16" s="25">
        <f>SUM(I17:I200)</f>
        <v>21022.17</v>
      </c>
      <c r="J16" s="31"/>
      <c r="K16" s="24" t="s">
        <v>14</v>
      </c>
      <c r="L16" s="24" t="s">
        <v>62</v>
      </c>
      <c r="M16" s="1"/>
      <c r="N16" s="3" t="s">
        <v>1110</v>
      </c>
      <c r="O16" s="26">
        <f>SUM(O17:O200)</f>
        <v>17059.37</v>
      </c>
      <c r="P16" s="100"/>
      <c r="Q16" s="3" t="s">
        <v>14</v>
      </c>
      <c r="R16" s="3" t="s">
        <v>62</v>
      </c>
      <c r="S16" s="1"/>
      <c r="T16" s="24" t="s">
        <v>1110</v>
      </c>
      <c r="U16" s="25">
        <f>SUM(U17:U200)</f>
        <v>22860.89</v>
      </c>
      <c r="V16" s="31"/>
      <c r="W16" s="24" t="s">
        <v>14</v>
      </c>
      <c r="X16" s="24" t="s">
        <v>62</v>
      </c>
      <c r="Y16" s="1"/>
      <c r="Z16" s="3" t="s">
        <v>1110</v>
      </c>
      <c r="AA16" s="26">
        <f>SUM(AA17:AA200)</f>
        <v>20994.32</v>
      </c>
      <c r="AB16" s="100"/>
      <c r="AC16" s="3" t="s">
        <v>14</v>
      </c>
      <c r="AD16" s="3" t="s">
        <v>62</v>
      </c>
      <c r="AE16" s="1"/>
      <c r="AF16" s="24" t="s">
        <v>1110</v>
      </c>
      <c r="AG16" s="25">
        <f>SUM(AG17:AG200)</f>
        <v>28804.87</v>
      </c>
      <c r="AH16" s="31"/>
      <c r="AI16" s="24" t="s">
        <v>14</v>
      </c>
      <c r="AJ16" s="24" t="s">
        <v>62</v>
      </c>
    </row>
    <row r="17">
      <c r="A17" s="101" t="s">
        <v>1397</v>
      </c>
      <c r="B17" s="32" t="s">
        <v>63</v>
      </c>
      <c r="C17" s="33">
        <v>0.0</v>
      </c>
      <c r="D17" s="34">
        <v>2.0</v>
      </c>
      <c r="E17" s="35" t="s">
        <v>28</v>
      </c>
      <c r="F17" s="36" t="s">
        <v>34</v>
      </c>
      <c r="G17" s="1"/>
      <c r="H17" s="32" t="s">
        <v>63</v>
      </c>
      <c r="I17" s="33">
        <v>0.0</v>
      </c>
      <c r="J17" s="34">
        <v>2.0</v>
      </c>
      <c r="K17" s="35" t="s">
        <v>28</v>
      </c>
      <c r="L17" s="36" t="s">
        <v>34</v>
      </c>
      <c r="M17" s="1"/>
      <c r="N17" s="32" t="s">
        <v>63</v>
      </c>
      <c r="O17" s="33"/>
      <c r="P17" s="34">
        <v>2.0</v>
      </c>
      <c r="Q17" s="35" t="s">
        <v>28</v>
      </c>
      <c r="S17" s="1"/>
      <c r="T17" s="32" t="s">
        <v>63</v>
      </c>
      <c r="U17" s="33"/>
      <c r="V17" s="34">
        <v>2.0</v>
      </c>
      <c r="W17" s="35" t="s">
        <v>28</v>
      </c>
      <c r="Y17" s="1"/>
      <c r="Z17" s="32" t="s">
        <v>63</v>
      </c>
      <c r="AA17" s="33">
        <v>0.0</v>
      </c>
      <c r="AB17" s="34">
        <v>2.0</v>
      </c>
      <c r="AC17" s="35" t="s">
        <v>28</v>
      </c>
      <c r="AE17" s="1"/>
      <c r="AF17" s="32" t="s">
        <v>63</v>
      </c>
      <c r="AG17" s="33">
        <v>0.0</v>
      </c>
      <c r="AH17" s="34">
        <v>2.0</v>
      </c>
      <c r="AI17" s="35"/>
    </row>
    <row r="18">
      <c r="B18" s="32" t="s">
        <v>64</v>
      </c>
      <c r="C18" s="33">
        <v>226.4</v>
      </c>
      <c r="D18" s="34">
        <v>5.0</v>
      </c>
      <c r="E18" s="39" t="s">
        <v>28</v>
      </c>
      <c r="F18" s="36" t="s">
        <v>32</v>
      </c>
      <c r="G18" s="1"/>
      <c r="H18" s="32" t="s">
        <v>64</v>
      </c>
      <c r="I18" s="33">
        <v>226.4</v>
      </c>
      <c r="J18" s="34">
        <v>5.0</v>
      </c>
      <c r="K18" s="35" t="s">
        <v>28</v>
      </c>
      <c r="L18" s="36" t="s">
        <v>32</v>
      </c>
      <c r="M18" s="1"/>
      <c r="N18" s="32" t="s">
        <v>64</v>
      </c>
      <c r="O18" s="33">
        <v>226.4</v>
      </c>
      <c r="P18" s="34">
        <v>5.0</v>
      </c>
      <c r="Q18" s="35" t="s">
        <v>28</v>
      </c>
      <c r="R18" s="36" t="s">
        <v>32</v>
      </c>
      <c r="S18" s="1"/>
      <c r="T18" s="32" t="s">
        <v>64</v>
      </c>
      <c r="U18" s="33">
        <v>226.4</v>
      </c>
      <c r="V18" s="34">
        <v>5.0</v>
      </c>
      <c r="W18" s="35" t="s">
        <v>28</v>
      </c>
      <c r="X18" s="36" t="s">
        <v>32</v>
      </c>
      <c r="Y18" s="1"/>
      <c r="Z18" s="32" t="s">
        <v>64</v>
      </c>
      <c r="AA18" s="33">
        <v>283.0</v>
      </c>
      <c r="AB18" s="34">
        <v>5.0</v>
      </c>
      <c r="AC18" s="35" t="s">
        <v>28</v>
      </c>
      <c r="AD18" s="36" t="s">
        <v>32</v>
      </c>
      <c r="AE18" s="1"/>
      <c r="AF18" s="32" t="s">
        <v>64</v>
      </c>
      <c r="AG18" s="33">
        <v>226.4</v>
      </c>
      <c r="AH18" s="34">
        <v>5.0</v>
      </c>
      <c r="AI18" s="35" t="s">
        <v>28</v>
      </c>
      <c r="AJ18" s="36" t="s">
        <v>32</v>
      </c>
    </row>
    <row r="19">
      <c r="B19" s="32" t="s">
        <v>66</v>
      </c>
      <c r="C19" s="33">
        <v>146.72</v>
      </c>
      <c r="D19" s="34">
        <v>8.0</v>
      </c>
      <c r="E19" s="39" t="s">
        <v>28</v>
      </c>
      <c r="F19" s="36" t="s">
        <v>32</v>
      </c>
      <c r="G19" s="1"/>
      <c r="H19" s="32" t="s">
        <v>66</v>
      </c>
      <c r="I19" s="33">
        <v>162.13</v>
      </c>
      <c r="J19" s="34">
        <v>8.0</v>
      </c>
      <c r="K19" s="35" t="s">
        <v>28</v>
      </c>
      <c r="L19" s="36" t="s">
        <v>32</v>
      </c>
      <c r="M19" s="1"/>
      <c r="N19" s="32" t="s">
        <v>66</v>
      </c>
      <c r="O19" s="33">
        <v>144.41</v>
      </c>
      <c r="P19" s="34">
        <v>8.0</v>
      </c>
      <c r="Q19" s="35" t="s">
        <v>28</v>
      </c>
      <c r="R19" s="36" t="s">
        <v>32</v>
      </c>
      <c r="S19" s="1"/>
      <c r="T19" s="32" t="s">
        <v>66</v>
      </c>
      <c r="U19" s="33">
        <v>192.53</v>
      </c>
      <c r="V19" s="34">
        <v>8.0</v>
      </c>
      <c r="W19" s="35" t="s">
        <v>28</v>
      </c>
      <c r="X19" s="36" t="s">
        <v>32</v>
      </c>
      <c r="Y19" s="1"/>
      <c r="Z19" s="32" t="s">
        <v>66</v>
      </c>
      <c r="AA19" s="33">
        <v>177.97</v>
      </c>
      <c r="AB19" s="34">
        <v>8.0</v>
      </c>
      <c r="AC19" s="35" t="s">
        <v>28</v>
      </c>
      <c r="AD19" s="36" t="s">
        <v>32</v>
      </c>
      <c r="AE19" s="1"/>
      <c r="AF19" s="32" t="s">
        <v>66</v>
      </c>
      <c r="AG19" s="33">
        <v>152.31</v>
      </c>
      <c r="AH19" s="34">
        <v>8.0</v>
      </c>
      <c r="AI19" s="35" t="s">
        <v>28</v>
      </c>
      <c r="AJ19" s="36" t="s">
        <v>32</v>
      </c>
    </row>
    <row r="20">
      <c r="B20" s="32" t="s">
        <v>71</v>
      </c>
      <c r="C20" s="33">
        <v>760.35</v>
      </c>
      <c r="D20" s="34">
        <v>10.0</v>
      </c>
      <c r="E20" s="39" t="s">
        <v>32</v>
      </c>
      <c r="F20" s="36" t="s">
        <v>32</v>
      </c>
      <c r="G20" s="1"/>
      <c r="H20" s="32" t="s">
        <v>71</v>
      </c>
      <c r="I20" s="33">
        <v>760.35</v>
      </c>
      <c r="J20" s="34">
        <v>10.0</v>
      </c>
      <c r="K20" s="35" t="s">
        <v>32</v>
      </c>
      <c r="L20" s="36" t="s">
        <v>32</v>
      </c>
      <c r="M20" s="1"/>
      <c r="N20" s="32" t="s">
        <v>71</v>
      </c>
      <c r="O20" s="33">
        <v>760.35</v>
      </c>
      <c r="P20" s="34">
        <v>10.0</v>
      </c>
      <c r="Q20" s="35" t="s">
        <v>32</v>
      </c>
      <c r="R20" s="36" t="s">
        <v>32</v>
      </c>
      <c r="S20" s="1"/>
      <c r="T20" s="32" t="s">
        <v>71</v>
      </c>
      <c r="U20" s="33">
        <v>760.35</v>
      </c>
      <c r="V20" s="34">
        <v>10.0</v>
      </c>
      <c r="W20" s="35" t="s">
        <v>32</v>
      </c>
      <c r="X20" s="36" t="s">
        <v>32</v>
      </c>
      <c r="Y20" s="1"/>
      <c r="Z20" s="32" t="s">
        <v>71</v>
      </c>
      <c r="AA20" s="33">
        <v>760.35</v>
      </c>
      <c r="AB20" s="34">
        <v>10.0</v>
      </c>
      <c r="AC20" s="35" t="s">
        <v>32</v>
      </c>
      <c r="AD20" s="36" t="s">
        <v>32</v>
      </c>
      <c r="AE20" s="1"/>
      <c r="AF20" s="32" t="s">
        <v>71</v>
      </c>
      <c r="AG20" s="33">
        <v>760.35</v>
      </c>
      <c r="AH20" s="34">
        <v>10.0</v>
      </c>
      <c r="AI20" s="35" t="s">
        <v>32</v>
      </c>
      <c r="AJ20" s="36" t="s">
        <v>32</v>
      </c>
    </row>
    <row r="21">
      <c r="B21" s="32" t="s">
        <v>73</v>
      </c>
      <c r="C21" s="33">
        <v>959.77</v>
      </c>
      <c r="D21" s="34">
        <v>10.0</v>
      </c>
      <c r="E21" s="39" t="s">
        <v>28</v>
      </c>
      <c r="F21" s="36" t="s">
        <v>32</v>
      </c>
      <c r="G21" s="1"/>
      <c r="H21" s="32" t="s">
        <v>73</v>
      </c>
      <c r="I21" s="33">
        <v>959.77</v>
      </c>
      <c r="J21" s="34">
        <v>10.0</v>
      </c>
      <c r="K21" s="35" t="s">
        <v>28</v>
      </c>
      <c r="L21" s="36" t="s">
        <v>32</v>
      </c>
      <c r="M21" s="1"/>
      <c r="N21" s="32" t="s">
        <v>73</v>
      </c>
      <c r="O21" s="33">
        <v>959.77</v>
      </c>
      <c r="P21" s="34">
        <v>10.0</v>
      </c>
      <c r="Q21" s="35" t="s">
        <v>28</v>
      </c>
      <c r="R21" s="36" t="s">
        <v>32</v>
      </c>
      <c r="S21" s="1"/>
      <c r="T21" s="32" t="s">
        <v>73</v>
      </c>
      <c r="U21" s="33">
        <v>959.77</v>
      </c>
      <c r="V21" s="34">
        <v>10.0</v>
      </c>
      <c r="W21" s="35" t="s">
        <v>28</v>
      </c>
      <c r="X21" s="36" t="s">
        <v>32</v>
      </c>
      <c r="Y21" s="1"/>
      <c r="Z21" s="32" t="s">
        <v>73</v>
      </c>
      <c r="AA21" s="33">
        <v>959.77</v>
      </c>
      <c r="AB21" s="34">
        <v>10.0</v>
      </c>
      <c r="AC21" s="35" t="s">
        <v>28</v>
      </c>
      <c r="AD21" s="36" t="s">
        <v>32</v>
      </c>
      <c r="AE21" s="1"/>
      <c r="AF21" s="32" t="s">
        <v>73</v>
      </c>
      <c r="AG21" s="33">
        <v>959.77</v>
      </c>
      <c r="AH21" s="34">
        <v>10.0</v>
      </c>
      <c r="AI21" s="35" t="s">
        <v>28</v>
      </c>
      <c r="AJ21" s="36" t="s">
        <v>32</v>
      </c>
    </row>
    <row r="22">
      <c r="B22" s="32" t="s">
        <v>74</v>
      </c>
      <c r="C22" s="33">
        <v>760.35</v>
      </c>
      <c r="D22" s="34">
        <v>10.0</v>
      </c>
      <c r="E22" s="39" t="s">
        <v>32</v>
      </c>
      <c r="F22" s="36" t="s">
        <v>32</v>
      </c>
      <c r="G22" s="1"/>
      <c r="H22" s="32" t="s">
        <v>74</v>
      </c>
      <c r="I22" s="33">
        <v>760.35</v>
      </c>
      <c r="J22" s="34">
        <v>10.0</v>
      </c>
      <c r="K22" s="35" t="s">
        <v>32</v>
      </c>
      <c r="L22" s="36" t="s">
        <v>32</v>
      </c>
      <c r="M22" s="1"/>
      <c r="N22" s="32" t="s">
        <v>74</v>
      </c>
      <c r="O22" s="33">
        <v>760.35</v>
      </c>
      <c r="P22" s="34">
        <v>10.0</v>
      </c>
      <c r="Q22" s="35" t="s">
        <v>32</v>
      </c>
      <c r="R22" s="36" t="s">
        <v>32</v>
      </c>
      <c r="S22" s="1"/>
      <c r="T22" s="32" t="s">
        <v>74</v>
      </c>
      <c r="U22" s="33">
        <v>760.35</v>
      </c>
      <c r="V22" s="34">
        <v>10.0</v>
      </c>
      <c r="W22" s="35" t="s">
        <v>32</v>
      </c>
      <c r="X22" s="36" t="s">
        <v>32</v>
      </c>
      <c r="Y22" s="1"/>
      <c r="Z22" s="32" t="s">
        <v>74</v>
      </c>
      <c r="AA22" s="33">
        <v>760.35</v>
      </c>
      <c r="AB22" s="34">
        <v>10.0</v>
      </c>
      <c r="AC22" s="35" t="s">
        <v>32</v>
      </c>
      <c r="AD22" s="36" t="s">
        <v>32</v>
      </c>
      <c r="AE22" s="1"/>
      <c r="AF22" s="32" t="s">
        <v>74</v>
      </c>
      <c r="AG22" s="33">
        <v>760.35</v>
      </c>
      <c r="AH22" s="34">
        <v>10.0</v>
      </c>
      <c r="AI22" s="35" t="s">
        <v>32</v>
      </c>
      <c r="AJ22" s="36" t="s">
        <v>32</v>
      </c>
    </row>
    <row r="23">
      <c r="B23" s="32" t="s">
        <v>75</v>
      </c>
      <c r="C23" s="33">
        <v>222.22</v>
      </c>
      <c r="D23" s="34">
        <v>10.0</v>
      </c>
      <c r="E23" s="39" t="s">
        <v>28</v>
      </c>
      <c r="F23" s="36" t="s">
        <v>32</v>
      </c>
      <c r="G23" s="1"/>
      <c r="H23" s="32" t="s">
        <v>75</v>
      </c>
      <c r="I23" s="33">
        <v>222.22</v>
      </c>
      <c r="J23" s="34">
        <v>10.0</v>
      </c>
      <c r="K23" s="35" t="s">
        <v>28</v>
      </c>
      <c r="L23" s="36" t="s">
        <v>32</v>
      </c>
      <c r="M23" s="1"/>
      <c r="N23" s="32" t="s">
        <v>75</v>
      </c>
      <c r="O23" s="33">
        <v>222.22</v>
      </c>
      <c r="P23" s="34">
        <v>10.0</v>
      </c>
      <c r="Q23" s="35" t="s">
        <v>28</v>
      </c>
      <c r="R23" s="36" t="s">
        <v>32</v>
      </c>
      <c r="S23" s="1"/>
      <c r="T23" s="32" t="s">
        <v>75</v>
      </c>
      <c r="U23" s="33">
        <v>222.22</v>
      </c>
      <c r="V23" s="34">
        <v>10.0</v>
      </c>
      <c r="W23" s="35" t="s">
        <v>28</v>
      </c>
      <c r="X23" s="36" t="s">
        <v>32</v>
      </c>
      <c r="Y23" s="1"/>
      <c r="Z23" s="32" t="s">
        <v>75</v>
      </c>
      <c r="AA23" s="33">
        <v>222.22</v>
      </c>
      <c r="AB23" s="34">
        <v>10.0</v>
      </c>
      <c r="AC23" s="35" t="s">
        <v>28</v>
      </c>
      <c r="AD23" s="36" t="s">
        <v>32</v>
      </c>
      <c r="AE23" s="1"/>
      <c r="AF23" s="32" t="s">
        <v>75</v>
      </c>
      <c r="AG23" s="33">
        <v>222.22</v>
      </c>
      <c r="AH23" s="34">
        <v>10.0</v>
      </c>
      <c r="AI23" s="35" t="s">
        <v>28</v>
      </c>
      <c r="AJ23" s="36" t="s">
        <v>32</v>
      </c>
    </row>
    <row r="24">
      <c r="B24" s="32" t="s">
        <v>76</v>
      </c>
      <c r="C24" s="33">
        <v>451.34</v>
      </c>
      <c r="D24" s="34">
        <v>10.0</v>
      </c>
      <c r="E24" s="39" t="s">
        <v>28</v>
      </c>
      <c r="F24" s="36" t="s">
        <v>32</v>
      </c>
      <c r="G24" s="1"/>
      <c r="H24" s="32" t="s">
        <v>76</v>
      </c>
      <c r="I24" s="33">
        <v>378.73</v>
      </c>
      <c r="J24" s="34">
        <v>10.0</v>
      </c>
      <c r="K24" s="35" t="s">
        <v>28</v>
      </c>
      <c r="L24" s="36" t="s">
        <v>32</v>
      </c>
      <c r="M24" s="1"/>
      <c r="N24" s="32" t="s">
        <v>76</v>
      </c>
      <c r="O24" s="33">
        <v>313.52</v>
      </c>
      <c r="P24" s="34">
        <v>10.0</v>
      </c>
      <c r="Q24" s="35" t="s">
        <v>28</v>
      </c>
      <c r="R24" s="36" t="s">
        <v>32</v>
      </c>
      <c r="S24" s="1"/>
      <c r="T24" s="32" t="s">
        <v>76</v>
      </c>
      <c r="U24" s="33">
        <v>396.78</v>
      </c>
      <c r="V24" s="34">
        <v>10.0</v>
      </c>
      <c r="W24" s="35" t="s">
        <v>28</v>
      </c>
      <c r="X24" s="36" t="s">
        <v>32</v>
      </c>
      <c r="Y24" s="1"/>
      <c r="Z24" s="32" t="s">
        <v>76</v>
      </c>
      <c r="AA24" s="33">
        <v>395.32</v>
      </c>
      <c r="AB24" s="34">
        <v>10.0</v>
      </c>
      <c r="AC24" s="35" t="s">
        <v>28</v>
      </c>
      <c r="AD24" s="36" t="s">
        <v>32</v>
      </c>
      <c r="AE24" s="1"/>
      <c r="AF24" s="32" t="s">
        <v>76</v>
      </c>
      <c r="AG24" s="33">
        <v>429.43</v>
      </c>
      <c r="AH24" s="34">
        <v>10.0</v>
      </c>
      <c r="AI24" s="35" t="s">
        <v>28</v>
      </c>
      <c r="AJ24" s="36" t="s">
        <v>32</v>
      </c>
    </row>
    <row r="25">
      <c r="B25" s="32" t="s">
        <v>919</v>
      </c>
      <c r="C25" s="33">
        <v>79.9</v>
      </c>
      <c r="D25" s="34">
        <v>10.0</v>
      </c>
      <c r="E25" s="39" t="s">
        <v>28</v>
      </c>
      <c r="F25" s="36" t="s">
        <v>32</v>
      </c>
      <c r="G25" s="1"/>
      <c r="H25" s="32" t="s">
        <v>919</v>
      </c>
      <c r="I25" s="33">
        <v>81.53</v>
      </c>
      <c r="J25" s="34">
        <v>10.0</v>
      </c>
      <c r="K25" s="35" t="s">
        <v>28</v>
      </c>
      <c r="L25" s="36" t="s">
        <v>32</v>
      </c>
      <c r="M25" s="1"/>
      <c r="N25" s="32" t="s">
        <v>919</v>
      </c>
      <c r="O25" s="33">
        <v>79.9</v>
      </c>
      <c r="P25" s="34">
        <v>10.0</v>
      </c>
      <c r="Q25" s="35" t="s">
        <v>28</v>
      </c>
      <c r="R25" s="36" t="s">
        <v>32</v>
      </c>
      <c r="S25" s="1"/>
      <c r="T25" s="32" t="s">
        <v>919</v>
      </c>
      <c r="U25" s="33">
        <v>79.9</v>
      </c>
      <c r="V25" s="34">
        <v>10.0</v>
      </c>
      <c r="W25" s="35" t="s">
        <v>28</v>
      </c>
      <c r="X25" s="36" t="s">
        <v>32</v>
      </c>
      <c r="Y25" s="1"/>
      <c r="Z25" s="32" t="s">
        <v>919</v>
      </c>
      <c r="AA25" s="33">
        <v>73.23</v>
      </c>
      <c r="AB25" s="34">
        <v>10.0</v>
      </c>
      <c r="AC25" s="35" t="s">
        <v>28</v>
      </c>
      <c r="AD25" s="36" t="s">
        <v>32</v>
      </c>
      <c r="AE25" s="1"/>
      <c r="AF25" s="32" t="s">
        <v>919</v>
      </c>
      <c r="AG25" s="33">
        <v>79.9</v>
      </c>
      <c r="AH25" s="34">
        <v>10.0</v>
      </c>
      <c r="AI25" s="35" t="s">
        <v>28</v>
      </c>
      <c r="AJ25" s="36" t="s">
        <v>32</v>
      </c>
    </row>
    <row r="26">
      <c r="B26" s="32" t="s">
        <v>1115</v>
      </c>
      <c r="C26" s="33">
        <v>0.0</v>
      </c>
      <c r="D26" s="34">
        <v>12.0</v>
      </c>
      <c r="E26" s="39" t="s">
        <v>32</v>
      </c>
      <c r="F26" s="36" t="s">
        <v>32</v>
      </c>
      <c r="G26" s="1"/>
      <c r="H26" s="32" t="s">
        <v>1115</v>
      </c>
      <c r="I26" s="33">
        <v>0.0</v>
      </c>
      <c r="J26" s="34">
        <v>12.0</v>
      </c>
      <c r="K26" s="35" t="s">
        <v>32</v>
      </c>
      <c r="L26" s="36" t="s">
        <v>32</v>
      </c>
      <c r="M26" s="1"/>
      <c r="N26" s="32" t="s">
        <v>1115</v>
      </c>
      <c r="O26" s="33">
        <v>0.0</v>
      </c>
      <c r="P26" s="34">
        <v>12.0</v>
      </c>
      <c r="Q26" s="35" t="s">
        <v>32</v>
      </c>
      <c r="S26" s="1"/>
      <c r="T26" s="32" t="s">
        <v>1115</v>
      </c>
      <c r="U26" s="33">
        <v>0.0</v>
      </c>
      <c r="V26" s="34">
        <v>12.0</v>
      </c>
      <c r="W26" s="35" t="s">
        <v>32</v>
      </c>
      <c r="X26" s="36" t="s">
        <v>32</v>
      </c>
      <c r="Y26" s="1"/>
      <c r="Z26" s="32" t="s">
        <v>1115</v>
      </c>
      <c r="AA26" s="33">
        <v>0.0</v>
      </c>
      <c r="AB26" s="34">
        <v>12.0</v>
      </c>
      <c r="AC26" s="35" t="s">
        <v>32</v>
      </c>
      <c r="AD26" s="36" t="s">
        <v>32</v>
      </c>
      <c r="AE26" s="1"/>
      <c r="AF26" s="32" t="s">
        <v>1115</v>
      </c>
      <c r="AG26" s="33"/>
      <c r="AH26" s="34">
        <v>12.0</v>
      </c>
      <c r="AI26" s="35"/>
      <c r="AJ26" s="36"/>
    </row>
    <row r="27">
      <c r="B27" s="32" t="s">
        <v>77</v>
      </c>
      <c r="C27" s="33">
        <v>50.0</v>
      </c>
      <c r="D27" s="34">
        <v>10.0</v>
      </c>
      <c r="E27" s="39" t="s">
        <v>34</v>
      </c>
      <c r="F27" s="36" t="s">
        <v>32</v>
      </c>
      <c r="G27" s="1"/>
      <c r="H27" s="32" t="s">
        <v>77</v>
      </c>
      <c r="I27" s="33">
        <v>50.0</v>
      </c>
      <c r="J27" s="34">
        <v>10.0</v>
      </c>
      <c r="K27" s="35" t="s">
        <v>34</v>
      </c>
      <c r="L27" s="36" t="s">
        <v>32</v>
      </c>
      <c r="M27" s="1"/>
      <c r="N27" s="32" t="s">
        <v>77</v>
      </c>
      <c r="O27" s="33">
        <v>50.0</v>
      </c>
      <c r="P27" s="34">
        <v>10.0</v>
      </c>
      <c r="Q27" s="35" t="s">
        <v>34</v>
      </c>
      <c r="R27" s="36" t="s">
        <v>32</v>
      </c>
      <c r="S27" s="1"/>
      <c r="T27" s="32" t="s">
        <v>77</v>
      </c>
      <c r="U27" s="33">
        <v>50.0</v>
      </c>
      <c r="V27" s="34">
        <v>10.0</v>
      </c>
      <c r="W27" s="35" t="s">
        <v>34</v>
      </c>
      <c r="X27" s="36" t="s">
        <v>32</v>
      </c>
      <c r="Y27" s="1"/>
      <c r="Z27" s="32" t="s">
        <v>77</v>
      </c>
      <c r="AA27" s="33">
        <v>50.0</v>
      </c>
      <c r="AB27" s="34">
        <v>10.0</v>
      </c>
      <c r="AC27" s="35" t="s">
        <v>34</v>
      </c>
      <c r="AD27" s="36" t="s">
        <v>32</v>
      </c>
      <c r="AE27" s="1"/>
      <c r="AF27" s="32" t="s">
        <v>77</v>
      </c>
      <c r="AG27" s="33">
        <v>50.0</v>
      </c>
      <c r="AH27" s="34">
        <v>10.0</v>
      </c>
      <c r="AI27" s="35" t="s">
        <v>34</v>
      </c>
      <c r="AJ27" s="36" t="s">
        <v>32</v>
      </c>
    </row>
    <row r="28">
      <c r="B28" s="32" t="s">
        <v>78</v>
      </c>
      <c r="C28" s="33">
        <v>100.0</v>
      </c>
      <c r="D28" s="34">
        <v>14.0</v>
      </c>
      <c r="E28" s="39" t="s">
        <v>28</v>
      </c>
      <c r="F28" s="36" t="s">
        <v>32</v>
      </c>
      <c r="G28" s="1"/>
      <c r="H28" s="32" t="s">
        <v>78</v>
      </c>
      <c r="I28" s="33">
        <v>100.0</v>
      </c>
      <c r="J28" s="34">
        <v>14.0</v>
      </c>
      <c r="K28" s="35" t="s">
        <v>28</v>
      </c>
      <c r="L28" s="36" t="s">
        <v>32</v>
      </c>
      <c r="M28" s="1"/>
      <c r="N28" s="32" t="s">
        <v>78</v>
      </c>
      <c r="O28" s="33">
        <v>100.0</v>
      </c>
      <c r="P28" s="34">
        <v>14.0</v>
      </c>
      <c r="Q28" s="35" t="s">
        <v>28</v>
      </c>
      <c r="R28" s="36" t="s">
        <v>32</v>
      </c>
      <c r="S28" s="1"/>
      <c r="T28" s="32" t="s">
        <v>78</v>
      </c>
      <c r="U28" s="33">
        <v>200.0</v>
      </c>
      <c r="V28" s="34">
        <v>14.0</v>
      </c>
      <c r="W28" s="35" t="s">
        <v>28</v>
      </c>
      <c r="X28" s="36" t="s">
        <v>32</v>
      </c>
      <c r="Y28" s="1"/>
      <c r="Z28" s="32" t="s">
        <v>78</v>
      </c>
      <c r="AA28" s="33">
        <v>100.0</v>
      </c>
      <c r="AB28" s="34">
        <v>14.0</v>
      </c>
      <c r="AC28" s="35" t="s">
        <v>28</v>
      </c>
      <c r="AD28" s="36" t="s">
        <v>32</v>
      </c>
      <c r="AE28" s="1"/>
      <c r="AF28" s="32" t="s">
        <v>78</v>
      </c>
      <c r="AG28" s="33">
        <v>100.0</v>
      </c>
      <c r="AH28" s="34">
        <v>14.0</v>
      </c>
      <c r="AI28" s="35" t="s">
        <v>28</v>
      </c>
      <c r="AJ28" s="36" t="s">
        <v>32</v>
      </c>
    </row>
    <row r="29">
      <c r="B29" s="32" t="s">
        <v>714</v>
      </c>
      <c r="C29" s="33">
        <v>108.25</v>
      </c>
      <c r="D29" s="34">
        <v>25.0</v>
      </c>
      <c r="E29" s="39" t="s">
        <v>32</v>
      </c>
      <c r="F29" s="36" t="s">
        <v>32</v>
      </c>
      <c r="G29" s="1"/>
      <c r="H29" s="32" t="s">
        <v>714</v>
      </c>
      <c r="I29" s="33">
        <v>108.0</v>
      </c>
      <c r="J29" s="34">
        <v>25.0</v>
      </c>
      <c r="K29" s="35" t="s">
        <v>32</v>
      </c>
      <c r="L29" s="36" t="s">
        <v>32</v>
      </c>
      <c r="M29" s="1"/>
      <c r="N29" s="32" t="s">
        <v>714</v>
      </c>
      <c r="O29" s="33">
        <v>108.0</v>
      </c>
      <c r="P29" s="34">
        <v>25.0</v>
      </c>
      <c r="Q29" s="35" t="s">
        <v>32</v>
      </c>
      <c r="R29" s="36" t="s">
        <v>32</v>
      </c>
      <c r="S29" s="1"/>
      <c r="T29" s="32" t="s">
        <v>714</v>
      </c>
      <c r="U29" s="33">
        <v>108.0</v>
      </c>
      <c r="V29" s="34">
        <v>25.0</v>
      </c>
      <c r="W29" s="35" t="s">
        <v>32</v>
      </c>
      <c r="X29" s="36" t="s">
        <v>32</v>
      </c>
      <c r="Y29" s="1"/>
      <c r="Z29" s="32" t="s">
        <v>714</v>
      </c>
      <c r="AA29" s="33">
        <v>179.99</v>
      </c>
      <c r="AB29" s="34">
        <v>25.0</v>
      </c>
      <c r="AC29" s="35" t="s">
        <v>32</v>
      </c>
      <c r="AD29" s="36" t="s">
        <v>32</v>
      </c>
      <c r="AE29" s="1"/>
      <c r="AF29" s="32" t="s">
        <v>714</v>
      </c>
      <c r="AG29" s="33">
        <v>28.0</v>
      </c>
      <c r="AH29" s="34">
        <v>25.0</v>
      </c>
      <c r="AI29" s="35" t="s">
        <v>32</v>
      </c>
      <c r="AJ29" s="36" t="s">
        <v>32</v>
      </c>
    </row>
    <row r="30">
      <c r="B30" s="32" t="s">
        <v>81</v>
      </c>
      <c r="C30" s="33">
        <v>1045.0</v>
      </c>
      <c r="D30" s="34">
        <v>30.0</v>
      </c>
      <c r="E30" s="39" t="s">
        <v>28</v>
      </c>
      <c r="F30" s="36" t="s">
        <v>32</v>
      </c>
      <c r="G30" s="1"/>
      <c r="H30" s="32" t="s">
        <v>81</v>
      </c>
      <c r="I30" s="33">
        <v>1104.0</v>
      </c>
      <c r="J30" s="34">
        <v>30.0</v>
      </c>
      <c r="K30" s="35" t="s">
        <v>28</v>
      </c>
      <c r="L30" s="36" t="s">
        <v>32</v>
      </c>
      <c r="M30" s="1"/>
      <c r="N30" s="32" t="s">
        <v>81</v>
      </c>
      <c r="O30" s="33">
        <v>1045.0</v>
      </c>
      <c r="P30" s="34">
        <v>30.0</v>
      </c>
      <c r="Q30" s="35" t="s">
        <v>28</v>
      </c>
      <c r="R30" s="36" t="s">
        <v>32</v>
      </c>
      <c r="S30" s="1"/>
      <c r="T30" s="32" t="s">
        <v>81</v>
      </c>
      <c r="U30" s="33">
        <v>1145.0</v>
      </c>
      <c r="V30" s="34">
        <v>30.0</v>
      </c>
      <c r="W30" s="35" t="s">
        <v>28</v>
      </c>
      <c r="X30" s="36" t="s">
        <v>32</v>
      </c>
      <c r="Y30" s="1"/>
      <c r="Z30" s="32" t="s">
        <v>81</v>
      </c>
      <c r="AA30" s="33">
        <v>1439.0</v>
      </c>
      <c r="AB30" s="34">
        <v>30.0</v>
      </c>
      <c r="AC30" s="35" t="s">
        <v>28</v>
      </c>
      <c r="AD30" s="36" t="s">
        <v>32</v>
      </c>
      <c r="AE30" s="1"/>
      <c r="AF30" s="32" t="s">
        <v>81</v>
      </c>
      <c r="AG30" s="33">
        <v>1045.0</v>
      </c>
      <c r="AH30" s="34">
        <v>30.0</v>
      </c>
      <c r="AI30" s="35" t="s">
        <v>28</v>
      </c>
      <c r="AJ30" s="36" t="s">
        <v>32</v>
      </c>
    </row>
    <row r="31">
      <c r="B31" s="32" t="s">
        <v>83</v>
      </c>
      <c r="C31" s="33">
        <v>0.0</v>
      </c>
      <c r="D31" s="34">
        <v>30.0</v>
      </c>
      <c r="E31" s="39" t="s">
        <v>28</v>
      </c>
      <c r="F31" s="36" t="s">
        <v>32</v>
      </c>
      <c r="G31" s="1"/>
      <c r="H31" s="32" t="s">
        <v>83</v>
      </c>
      <c r="I31" s="33">
        <v>0.0</v>
      </c>
      <c r="J31" s="34">
        <v>30.0</v>
      </c>
      <c r="K31" s="35" t="s">
        <v>28</v>
      </c>
      <c r="L31" s="36" t="s">
        <v>32</v>
      </c>
      <c r="M31" s="1"/>
      <c r="N31" s="32" t="s">
        <v>83</v>
      </c>
      <c r="O31" s="33">
        <v>0.0</v>
      </c>
      <c r="P31" s="34">
        <v>30.0</v>
      </c>
      <c r="Q31" s="35" t="s">
        <v>28</v>
      </c>
      <c r="S31" s="1"/>
      <c r="T31" s="32" t="s">
        <v>83</v>
      </c>
      <c r="U31" s="33">
        <v>0.0</v>
      </c>
      <c r="V31" s="34">
        <v>30.0</v>
      </c>
      <c r="W31" s="35" t="s">
        <v>28</v>
      </c>
      <c r="X31" s="36" t="s">
        <v>32</v>
      </c>
      <c r="Y31" s="1"/>
      <c r="Z31" s="32" t="s">
        <v>83</v>
      </c>
      <c r="AA31" s="33">
        <v>0.0</v>
      </c>
      <c r="AB31" s="34">
        <v>30.0</v>
      </c>
      <c r="AC31" s="35" t="s">
        <v>28</v>
      </c>
      <c r="AD31" s="36" t="s">
        <v>32</v>
      </c>
      <c r="AE31" s="1"/>
      <c r="AF31" s="32" t="s">
        <v>83</v>
      </c>
      <c r="AG31" s="33"/>
      <c r="AH31" s="34">
        <v>30.0</v>
      </c>
      <c r="AI31" s="35"/>
      <c r="AJ31" s="36"/>
    </row>
    <row r="32">
      <c r="B32" s="55" t="s">
        <v>84</v>
      </c>
      <c r="C32" s="56">
        <v>1623.56</v>
      </c>
      <c r="D32" s="79">
        <v>30.0</v>
      </c>
      <c r="E32" s="102" t="s">
        <v>32</v>
      </c>
      <c r="F32" s="58" t="s">
        <v>32</v>
      </c>
      <c r="G32" s="80"/>
      <c r="H32" s="55" t="s">
        <v>84</v>
      </c>
      <c r="I32" s="56">
        <v>1623.56</v>
      </c>
      <c r="J32" s="79">
        <v>30.0</v>
      </c>
      <c r="K32" s="57" t="s">
        <v>32</v>
      </c>
      <c r="L32" s="58" t="s">
        <v>32</v>
      </c>
      <c r="M32" s="80"/>
      <c r="N32" s="55" t="s">
        <v>84</v>
      </c>
      <c r="O32" s="56">
        <v>1623.56</v>
      </c>
      <c r="P32" s="79">
        <v>30.0</v>
      </c>
      <c r="Q32" s="57" t="s">
        <v>32</v>
      </c>
      <c r="R32" s="58" t="s">
        <v>32</v>
      </c>
      <c r="S32" s="80"/>
      <c r="T32" s="55" t="s">
        <v>84</v>
      </c>
      <c r="U32" s="56">
        <v>1790.24</v>
      </c>
      <c r="V32" s="79">
        <v>30.0</v>
      </c>
      <c r="W32" s="57" t="s">
        <v>32</v>
      </c>
      <c r="X32" s="58" t="s">
        <v>32</v>
      </c>
      <c r="Y32" s="80"/>
      <c r="Z32" s="55" t="s">
        <v>84</v>
      </c>
      <c r="AA32" s="56">
        <v>1623.56</v>
      </c>
      <c r="AB32" s="79">
        <v>30.0</v>
      </c>
      <c r="AC32" s="57" t="s">
        <v>32</v>
      </c>
      <c r="AD32" s="58" t="s">
        <v>32</v>
      </c>
      <c r="AE32" s="80"/>
      <c r="AF32" s="55" t="s">
        <v>84</v>
      </c>
      <c r="AG32" s="56">
        <v>1673.56</v>
      </c>
      <c r="AH32" s="79">
        <v>30.0</v>
      </c>
      <c r="AI32" s="57" t="s">
        <v>32</v>
      </c>
      <c r="AJ32" s="58" t="s">
        <v>32</v>
      </c>
    </row>
    <row r="33">
      <c r="B33" s="39" t="s">
        <v>1116</v>
      </c>
      <c r="C33" s="83">
        <v>199.52</v>
      </c>
      <c r="D33" s="88">
        <v>1.0</v>
      </c>
      <c r="E33" s="35" t="s">
        <v>28</v>
      </c>
      <c r="F33" s="103" t="s">
        <v>32</v>
      </c>
      <c r="G33" s="1"/>
      <c r="H33" s="39" t="s">
        <v>921</v>
      </c>
      <c r="I33" s="83">
        <v>280.0</v>
      </c>
      <c r="J33" s="88">
        <v>1.0</v>
      </c>
      <c r="K33" s="39" t="s">
        <v>28</v>
      </c>
      <c r="L33" s="36" t="s">
        <v>32</v>
      </c>
      <c r="M33" s="1"/>
      <c r="N33" s="39" t="s">
        <v>1398</v>
      </c>
      <c r="O33" s="83">
        <v>22.0</v>
      </c>
      <c r="P33" s="39">
        <v>1.0</v>
      </c>
      <c r="Q33" s="39" t="s">
        <v>28</v>
      </c>
      <c r="R33" s="36" t="s">
        <v>32</v>
      </c>
      <c r="S33" s="1"/>
      <c r="T33" s="39" t="s">
        <v>368</v>
      </c>
      <c r="U33" s="83">
        <v>38.0</v>
      </c>
      <c r="V33" s="39">
        <v>1.0</v>
      </c>
      <c r="W33" s="35" t="s">
        <v>28</v>
      </c>
      <c r="X33" s="36" t="s">
        <v>34</v>
      </c>
      <c r="Y33" s="1"/>
      <c r="Z33" s="82" t="s">
        <v>239</v>
      </c>
      <c r="AA33" s="83">
        <v>52.0</v>
      </c>
      <c r="AB33" s="39">
        <v>1.0</v>
      </c>
      <c r="AC33" s="39" t="s">
        <v>28</v>
      </c>
      <c r="AD33" s="36" t="s">
        <v>34</v>
      </c>
      <c r="AE33" s="1"/>
      <c r="AF33" s="39" t="s">
        <v>277</v>
      </c>
      <c r="AG33" s="83">
        <v>25.0</v>
      </c>
      <c r="AH33" s="39">
        <v>1.0</v>
      </c>
      <c r="AI33" s="35" t="s">
        <v>32</v>
      </c>
      <c r="AJ33" s="36" t="s">
        <v>32</v>
      </c>
    </row>
    <row r="34">
      <c r="B34" s="39" t="s">
        <v>1399</v>
      </c>
      <c r="C34" s="83">
        <v>853.29</v>
      </c>
      <c r="D34" s="88">
        <v>1.0</v>
      </c>
      <c r="E34" s="35" t="s">
        <v>28</v>
      </c>
      <c r="F34" s="103" t="s">
        <v>32</v>
      </c>
      <c r="G34" s="1"/>
      <c r="H34" s="39" t="s">
        <v>1124</v>
      </c>
      <c r="I34" s="83">
        <v>149.02</v>
      </c>
      <c r="J34" s="88">
        <v>1.0</v>
      </c>
      <c r="K34" s="39" t="s">
        <v>28</v>
      </c>
      <c r="L34" s="36" t="s">
        <v>32</v>
      </c>
      <c r="M34" s="1"/>
      <c r="N34" s="39" t="s">
        <v>829</v>
      </c>
      <c r="O34" s="83">
        <v>50.0</v>
      </c>
      <c r="P34" s="39">
        <v>1.0</v>
      </c>
      <c r="Q34" s="39" t="s">
        <v>28</v>
      </c>
      <c r="R34" s="36" t="s">
        <v>32</v>
      </c>
      <c r="S34" s="1"/>
      <c r="T34" s="39" t="s">
        <v>689</v>
      </c>
      <c r="U34" s="83">
        <v>40.0</v>
      </c>
      <c r="V34" s="39">
        <v>1.0</v>
      </c>
      <c r="W34" s="35" t="s">
        <v>28</v>
      </c>
      <c r="X34" s="36" t="s">
        <v>34</v>
      </c>
      <c r="Y34" s="1"/>
      <c r="Z34" s="82" t="s">
        <v>1400</v>
      </c>
      <c r="AA34" s="83">
        <v>14.0</v>
      </c>
      <c r="AB34" s="39">
        <v>1.0</v>
      </c>
      <c r="AC34" s="39" t="s">
        <v>28</v>
      </c>
      <c r="AD34" s="36" t="s">
        <v>34</v>
      </c>
      <c r="AE34" s="1"/>
      <c r="AF34" s="39" t="s">
        <v>582</v>
      </c>
      <c r="AG34" s="83">
        <v>2.4</v>
      </c>
      <c r="AH34" s="39">
        <v>1.0</v>
      </c>
      <c r="AI34" s="35" t="s">
        <v>32</v>
      </c>
      <c r="AJ34" s="36" t="s">
        <v>32</v>
      </c>
    </row>
    <row r="35">
      <c r="B35" s="39" t="s">
        <v>1401</v>
      </c>
      <c r="C35" s="83">
        <v>53.08</v>
      </c>
      <c r="D35" s="88">
        <v>1.0</v>
      </c>
      <c r="E35" s="39" t="s">
        <v>28</v>
      </c>
      <c r="F35" s="36" t="s">
        <v>32</v>
      </c>
      <c r="G35" s="1"/>
      <c r="H35" s="39" t="s">
        <v>966</v>
      </c>
      <c r="I35" s="83">
        <v>14.9</v>
      </c>
      <c r="J35" s="88">
        <v>3.0</v>
      </c>
      <c r="K35" s="39" t="s">
        <v>28</v>
      </c>
      <c r="L35" s="36" t="s">
        <v>32</v>
      </c>
      <c r="M35" s="1"/>
      <c r="N35" s="39" t="s">
        <v>1402</v>
      </c>
      <c r="O35" s="83">
        <v>15.0</v>
      </c>
      <c r="P35" s="39">
        <v>1.0</v>
      </c>
      <c r="Q35" s="39" t="s">
        <v>28</v>
      </c>
      <c r="R35" s="36" t="s">
        <v>32</v>
      </c>
      <c r="S35" s="1"/>
      <c r="T35" s="39" t="s">
        <v>1249</v>
      </c>
      <c r="U35" s="83">
        <v>60.0</v>
      </c>
      <c r="V35" s="39">
        <v>1.0</v>
      </c>
      <c r="W35" s="35" t="s">
        <v>28</v>
      </c>
      <c r="X35" s="36" t="s">
        <v>34</v>
      </c>
      <c r="Y35" s="1"/>
      <c r="Z35" s="82" t="s">
        <v>85</v>
      </c>
      <c r="AA35" s="83">
        <v>359.96</v>
      </c>
      <c r="AB35" s="39">
        <v>1.0</v>
      </c>
      <c r="AC35" s="39" t="s">
        <v>28</v>
      </c>
      <c r="AD35" s="36" t="s">
        <v>32</v>
      </c>
      <c r="AE35" s="1"/>
      <c r="AF35" s="39" t="s">
        <v>1116</v>
      </c>
      <c r="AG35" s="83">
        <v>359.96</v>
      </c>
      <c r="AH35" s="39">
        <v>1.0</v>
      </c>
      <c r="AI35" s="35" t="s">
        <v>28</v>
      </c>
      <c r="AJ35" s="36" t="s">
        <v>32</v>
      </c>
    </row>
    <row r="36">
      <c r="B36" s="39" t="s">
        <v>1403</v>
      </c>
      <c r="C36" s="83">
        <v>90.96</v>
      </c>
      <c r="D36" s="88">
        <v>1.0</v>
      </c>
      <c r="E36" s="39" t="s">
        <v>28</v>
      </c>
      <c r="F36" s="36" t="s">
        <v>32</v>
      </c>
      <c r="G36" s="1"/>
      <c r="H36" s="39" t="s">
        <v>1404</v>
      </c>
      <c r="I36" s="83">
        <v>3.0</v>
      </c>
      <c r="J36" s="88">
        <v>3.0</v>
      </c>
      <c r="K36" s="39" t="s">
        <v>32</v>
      </c>
      <c r="L36" s="36" t="s">
        <v>32</v>
      </c>
      <c r="M36" s="1"/>
      <c r="N36" s="39" t="s">
        <v>923</v>
      </c>
      <c r="O36" s="83">
        <v>3.0</v>
      </c>
      <c r="P36" s="39">
        <v>1.0</v>
      </c>
      <c r="Q36" s="39" t="s">
        <v>32</v>
      </c>
      <c r="R36" s="36" t="s">
        <v>32</v>
      </c>
      <c r="S36" s="1"/>
      <c r="T36" s="39" t="s">
        <v>966</v>
      </c>
      <c r="U36" s="83">
        <v>42.0</v>
      </c>
      <c r="V36" s="39">
        <v>1.0</v>
      </c>
      <c r="W36" s="35" t="s">
        <v>28</v>
      </c>
      <c r="X36" s="36" t="s">
        <v>34</v>
      </c>
      <c r="Y36" s="1"/>
      <c r="Z36" s="82" t="s">
        <v>1118</v>
      </c>
      <c r="AA36" s="83">
        <v>269.19</v>
      </c>
      <c r="AB36" s="39">
        <v>1.0</v>
      </c>
      <c r="AC36" s="39" t="s">
        <v>28</v>
      </c>
      <c r="AD36" s="36" t="s">
        <v>32</v>
      </c>
      <c r="AE36" s="1"/>
      <c r="AF36" s="39" t="s">
        <v>1118</v>
      </c>
      <c r="AG36" s="83">
        <v>512.4</v>
      </c>
      <c r="AH36" s="39">
        <v>1.0</v>
      </c>
      <c r="AI36" s="35" t="s">
        <v>28</v>
      </c>
      <c r="AJ36" s="36" t="s">
        <v>32</v>
      </c>
    </row>
    <row r="37">
      <c r="B37" s="39" t="s">
        <v>1405</v>
      </c>
      <c r="C37" s="83">
        <v>73.43</v>
      </c>
      <c r="D37" s="88">
        <v>1.0</v>
      </c>
      <c r="E37" s="39" t="s">
        <v>32</v>
      </c>
      <c r="F37" s="36" t="s">
        <v>32</v>
      </c>
      <c r="G37" s="1"/>
      <c r="H37" s="39" t="s">
        <v>299</v>
      </c>
      <c r="I37" s="83">
        <v>40.0</v>
      </c>
      <c r="J37" s="88">
        <v>4.0</v>
      </c>
      <c r="K37" s="35" t="s">
        <v>28</v>
      </c>
      <c r="L37" s="103" t="s">
        <v>32</v>
      </c>
      <c r="M37" s="1"/>
      <c r="N37" s="39" t="s">
        <v>921</v>
      </c>
      <c r="O37" s="83">
        <v>359.96</v>
      </c>
      <c r="P37" s="39">
        <v>1.0</v>
      </c>
      <c r="Q37" s="39" t="s">
        <v>28</v>
      </c>
      <c r="R37" s="36" t="s">
        <v>32</v>
      </c>
      <c r="S37" s="1"/>
      <c r="T37" s="39" t="s">
        <v>1406</v>
      </c>
      <c r="U37" s="83">
        <v>46.5</v>
      </c>
      <c r="V37" s="39">
        <v>1.0</v>
      </c>
      <c r="W37" s="35" t="s">
        <v>28</v>
      </c>
      <c r="X37" s="36" t="s">
        <v>34</v>
      </c>
      <c r="Y37" s="1"/>
      <c r="Z37" s="82" t="s">
        <v>1407</v>
      </c>
      <c r="AA37" s="83">
        <v>45.48</v>
      </c>
      <c r="AB37" s="39">
        <v>1.0</v>
      </c>
      <c r="AC37" s="39" t="s">
        <v>28</v>
      </c>
      <c r="AD37" s="36" t="s">
        <v>32</v>
      </c>
      <c r="AE37" s="1"/>
      <c r="AF37" s="39" t="s">
        <v>1121</v>
      </c>
      <c r="AG37" s="83">
        <v>508.98</v>
      </c>
      <c r="AH37" s="39">
        <v>1.0</v>
      </c>
      <c r="AI37" s="35" t="s">
        <v>28</v>
      </c>
      <c r="AJ37" s="36" t="s">
        <v>32</v>
      </c>
    </row>
    <row r="38">
      <c r="B38" s="39" t="s">
        <v>1408</v>
      </c>
      <c r="C38" s="83">
        <v>3.0</v>
      </c>
      <c r="D38" s="88">
        <v>1.0</v>
      </c>
      <c r="E38" s="39" t="s">
        <v>32</v>
      </c>
      <c r="F38" s="36" t="s">
        <v>32</v>
      </c>
      <c r="G38" s="1"/>
      <c r="H38" s="39" t="s">
        <v>1058</v>
      </c>
      <c r="I38" s="83">
        <v>158.0</v>
      </c>
      <c r="J38" s="88">
        <v>4.0</v>
      </c>
      <c r="K38" s="35" t="s">
        <v>28</v>
      </c>
      <c r="L38" s="103" t="s">
        <v>34</v>
      </c>
      <c r="M38" s="1"/>
      <c r="N38" s="39" t="s">
        <v>1124</v>
      </c>
      <c r="O38" s="83">
        <v>149.02</v>
      </c>
      <c r="P38" s="39">
        <v>1.0</v>
      </c>
      <c r="Q38" s="39" t="s">
        <v>28</v>
      </c>
      <c r="R38" s="36" t="s">
        <v>32</v>
      </c>
      <c r="S38" s="1"/>
      <c r="T38" s="39" t="s">
        <v>1409</v>
      </c>
      <c r="U38" s="83">
        <v>21.3</v>
      </c>
      <c r="V38" s="39">
        <v>1.0</v>
      </c>
      <c r="W38" s="35" t="s">
        <v>28</v>
      </c>
      <c r="X38" s="36" t="s">
        <v>34</v>
      </c>
      <c r="Y38" s="1"/>
      <c r="Z38" s="82" t="s">
        <v>718</v>
      </c>
      <c r="AA38" s="83">
        <v>149.02</v>
      </c>
      <c r="AB38" s="39">
        <v>1.0</v>
      </c>
      <c r="AC38" s="39" t="s">
        <v>28</v>
      </c>
      <c r="AD38" s="36" t="s">
        <v>32</v>
      </c>
      <c r="AE38" s="1"/>
      <c r="AF38" s="39" t="s">
        <v>310</v>
      </c>
      <c r="AG38" s="83">
        <v>33.0</v>
      </c>
      <c r="AH38" s="39">
        <v>1.0</v>
      </c>
      <c r="AI38" s="35" t="s">
        <v>32</v>
      </c>
      <c r="AJ38" s="36" t="s">
        <v>32</v>
      </c>
    </row>
    <row r="39">
      <c r="B39" s="39" t="s">
        <v>1410</v>
      </c>
      <c r="C39" s="83">
        <v>135.0</v>
      </c>
      <c r="D39" s="88">
        <v>2.0</v>
      </c>
      <c r="E39" s="39" t="s">
        <v>30</v>
      </c>
      <c r="F39" s="36" t="s">
        <v>32</v>
      </c>
      <c r="G39" s="1"/>
      <c r="H39" s="39" t="s">
        <v>368</v>
      </c>
      <c r="I39" s="83">
        <v>36.5</v>
      </c>
      <c r="J39" s="88">
        <v>4.0</v>
      </c>
      <c r="K39" s="39" t="s">
        <v>28</v>
      </c>
      <c r="L39" s="36" t="s">
        <v>34</v>
      </c>
      <c r="M39" s="1"/>
      <c r="N39" s="39" t="s">
        <v>966</v>
      </c>
      <c r="O39" s="83">
        <v>39.0</v>
      </c>
      <c r="P39" s="39">
        <v>3.0</v>
      </c>
      <c r="Q39" s="39" t="s">
        <v>28</v>
      </c>
      <c r="R39" s="36" t="s">
        <v>32</v>
      </c>
      <c r="S39" s="1"/>
      <c r="T39" s="39" t="s">
        <v>533</v>
      </c>
      <c r="U39" s="83">
        <v>10.05</v>
      </c>
      <c r="V39" s="39">
        <v>1.0</v>
      </c>
      <c r="W39" s="35" t="s">
        <v>28</v>
      </c>
      <c r="X39" s="36" t="s">
        <v>34</v>
      </c>
      <c r="Y39" s="1"/>
      <c r="Z39" s="82" t="s">
        <v>1411</v>
      </c>
      <c r="AA39" s="83">
        <v>60.45</v>
      </c>
      <c r="AB39" s="39">
        <v>2.0</v>
      </c>
      <c r="AC39" s="39" t="s">
        <v>28</v>
      </c>
      <c r="AD39" s="36" t="s">
        <v>34</v>
      </c>
      <c r="AE39" s="1"/>
      <c r="AF39" s="39" t="s">
        <v>1412</v>
      </c>
      <c r="AG39" s="83">
        <v>39.0</v>
      </c>
      <c r="AH39" s="39">
        <v>1.0</v>
      </c>
      <c r="AI39" s="35" t="s">
        <v>32</v>
      </c>
      <c r="AJ39" s="36" t="s">
        <v>32</v>
      </c>
    </row>
    <row r="40">
      <c r="B40" s="39" t="s">
        <v>235</v>
      </c>
      <c r="C40" s="83">
        <v>24.0</v>
      </c>
      <c r="D40" s="88">
        <v>3.0</v>
      </c>
      <c r="E40" s="39" t="s">
        <v>28</v>
      </c>
      <c r="F40" s="36" t="s">
        <v>32</v>
      </c>
      <c r="G40" s="1"/>
      <c r="H40" s="39" t="s">
        <v>832</v>
      </c>
      <c r="I40" s="83">
        <v>22.0</v>
      </c>
      <c r="J40" s="88">
        <v>4.0</v>
      </c>
      <c r="K40" s="39" t="s">
        <v>28</v>
      </c>
      <c r="L40" s="36" t="s">
        <v>34</v>
      </c>
      <c r="M40" s="1"/>
      <c r="N40" s="39" t="s">
        <v>951</v>
      </c>
      <c r="O40" s="83">
        <v>70.0</v>
      </c>
      <c r="P40" s="39">
        <v>3.0</v>
      </c>
      <c r="Q40" s="39" t="s">
        <v>28</v>
      </c>
      <c r="R40" s="36" t="s">
        <v>34</v>
      </c>
      <c r="S40" s="1"/>
      <c r="T40" s="39" t="s">
        <v>1249</v>
      </c>
      <c r="U40" s="83">
        <v>40.0</v>
      </c>
      <c r="V40" s="39">
        <v>1.0</v>
      </c>
      <c r="W40" s="35" t="s">
        <v>28</v>
      </c>
      <c r="X40" s="36" t="s">
        <v>34</v>
      </c>
      <c r="Y40" s="1"/>
      <c r="Z40" s="82" t="s">
        <v>1139</v>
      </c>
      <c r="AA40" s="83">
        <v>22.0</v>
      </c>
      <c r="AB40" s="39">
        <v>2.0</v>
      </c>
      <c r="AC40" s="39" t="s">
        <v>28</v>
      </c>
      <c r="AD40" s="36" t="s">
        <v>34</v>
      </c>
      <c r="AE40" s="1"/>
      <c r="AF40" s="39" t="s">
        <v>668</v>
      </c>
      <c r="AG40" s="83">
        <v>35.0</v>
      </c>
      <c r="AH40" s="39">
        <v>1.0</v>
      </c>
      <c r="AI40" s="35" t="s">
        <v>32</v>
      </c>
      <c r="AJ40" s="36" t="s">
        <v>32</v>
      </c>
    </row>
    <row r="41">
      <c r="B41" s="39" t="s">
        <v>1413</v>
      </c>
      <c r="C41" s="83">
        <v>53.0</v>
      </c>
      <c r="D41" s="88">
        <v>3.0</v>
      </c>
      <c r="E41" s="39" t="s">
        <v>28</v>
      </c>
      <c r="F41" s="36" t="s">
        <v>32</v>
      </c>
      <c r="G41" s="1"/>
      <c r="H41" s="39" t="s">
        <v>1414</v>
      </c>
      <c r="I41" s="83">
        <v>72.0</v>
      </c>
      <c r="J41" s="88">
        <v>4.0</v>
      </c>
      <c r="K41" s="39" t="s">
        <v>32</v>
      </c>
      <c r="L41" s="36" t="s">
        <v>32</v>
      </c>
      <c r="M41" s="1"/>
      <c r="N41" s="39" t="s">
        <v>310</v>
      </c>
      <c r="O41" s="83">
        <v>10.0</v>
      </c>
      <c r="P41" s="39">
        <v>4.0</v>
      </c>
      <c r="Q41" s="39" t="s">
        <v>28</v>
      </c>
      <c r="R41" s="36" t="s">
        <v>32</v>
      </c>
      <c r="S41" s="1"/>
      <c r="T41" s="39" t="s">
        <v>582</v>
      </c>
      <c r="U41" s="83">
        <v>4.0</v>
      </c>
      <c r="V41" s="39">
        <v>1.0</v>
      </c>
      <c r="W41" s="35" t="s">
        <v>28</v>
      </c>
      <c r="X41" s="36" t="s">
        <v>34</v>
      </c>
      <c r="Y41" s="1"/>
      <c r="Z41" s="82" t="s">
        <v>214</v>
      </c>
      <c r="AA41" s="83">
        <v>53.0</v>
      </c>
      <c r="AB41" s="39">
        <v>2.0</v>
      </c>
      <c r="AC41" s="39" t="s">
        <v>28</v>
      </c>
      <c r="AD41" s="36" t="s">
        <v>34</v>
      </c>
      <c r="AE41" s="1"/>
      <c r="AF41" s="39" t="s">
        <v>295</v>
      </c>
      <c r="AG41" s="83">
        <v>3.0</v>
      </c>
      <c r="AH41" s="39">
        <v>1.0</v>
      </c>
      <c r="AI41" s="35" t="s">
        <v>32</v>
      </c>
      <c r="AJ41" s="36" t="s">
        <v>32</v>
      </c>
    </row>
    <row r="42">
      <c r="B42" s="39" t="s">
        <v>368</v>
      </c>
      <c r="C42" s="83">
        <v>53.24</v>
      </c>
      <c r="D42" s="88">
        <v>3.0</v>
      </c>
      <c r="E42" s="39" t="s">
        <v>28</v>
      </c>
      <c r="F42" s="36" t="s">
        <v>34</v>
      </c>
      <c r="G42" s="1"/>
      <c r="H42" s="39" t="s">
        <v>1415</v>
      </c>
      <c r="I42" s="83">
        <v>13.0</v>
      </c>
      <c r="J42" s="88">
        <v>6.0</v>
      </c>
      <c r="K42" s="39" t="s">
        <v>28</v>
      </c>
      <c r="L42" s="36" t="s">
        <v>34</v>
      </c>
      <c r="M42" s="1"/>
      <c r="N42" s="39" t="s">
        <v>214</v>
      </c>
      <c r="O42" s="83">
        <v>62.9</v>
      </c>
      <c r="P42" s="39">
        <v>4.0</v>
      </c>
      <c r="Q42" s="39" t="s">
        <v>28</v>
      </c>
      <c r="R42" s="36" t="s">
        <v>34</v>
      </c>
      <c r="S42" s="1"/>
      <c r="T42" s="39" t="s">
        <v>1272</v>
      </c>
      <c r="U42" s="83">
        <v>15.0</v>
      </c>
      <c r="V42" s="39">
        <v>1.0</v>
      </c>
      <c r="W42" s="35" t="s">
        <v>28</v>
      </c>
      <c r="X42" s="36" t="s">
        <v>34</v>
      </c>
      <c r="Y42" s="1"/>
      <c r="Z42" s="82" t="s">
        <v>819</v>
      </c>
      <c r="AA42" s="83">
        <v>20.0</v>
      </c>
      <c r="AB42" s="39">
        <v>3.0</v>
      </c>
      <c r="AC42" s="39" t="s">
        <v>32</v>
      </c>
      <c r="AD42" s="36" t="s">
        <v>32</v>
      </c>
      <c r="AE42" s="1"/>
      <c r="AF42" s="39" t="s">
        <v>1416</v>
      </c>
      <c r="AG42" s="83">
        <v>2727.0</v>
      </c>
      <c r="AH42" s="39">
        <v>1.0</v>
      </c>
      <c r="AI42" s="35" t="s">
        <v>28</v>
      </c>
      <c r="AJ42" s="36" t="s">
        <v>32</v>
      </c>
    </row>
    <row r="43">
      <c r="B43" s="39" t="s">
        <v>209</v>
      </c>
      <c r="C43" s="83">
        <v>173.7</v>
      </c>
      <c r="D43" s="88">
        <v>3.0</v>
      </c>
      <c r="E43" s="39" t="s">
        <v>28</v>
      </c>
      <c r="F43" s="36" t="s">
        <v>34</v>
      </c>
      <c r="G43" s="1"/>
      <c r="H43" s="39" t="s">
        <v>1417</v>
      </c>
      <c r="I43" s="83">
        <v>33.0</v>
      </c>
      <c r="J43" s="88">
        <v>6.0</v>
      </c>
      <c r="K43" s="39" t="s">
        <v>28</v>
      </c>
      <c r="L43" s="36" t="s">
        <v>32</v>
      </c>
      <c r="M43" s="1"/>
      <c r="N43" s="39" t="s">
        <v>124</v>
      </c>
      <c r="O43" s="83">
        <v>40.0</v>
      </c>
      <c r="P43" s="39">
        <v>6.0</v>
      </c>
      <c r="Q43" s="39" t="s">
        <v>28</v>
      </c>
      <c r="R43" s="36" t="s">
        <v>32</v>
      </c>
      <c r="S43" s="1"/>
      <c r="T43" s="39" t="s">
        <v>295</v>
      </c>
      <c r="U43" s="83">
        <v>3.0</v>
      </c>
      <c r="V43" s="39">
        <v>1.0</v>
      </c>
      <c r="W43" s="35" t="s">
        <v>28</v>
      </c>
      <c r="X43" s="36" t="s">
        <v>34</v>
      </c>
      <c r="Y43" s="1"/>
      <c r="Z43" s="82" t="s">
        <v>1418</v>
      </c>
      <c r="AA43" s="83">
        <v>11.0</v>
      </c>
      <c r="AB43" s="39">
        <v>4.0</v>
      </c>
      <c r="AC43" s="39" t="s">
        <v>32</v>
      </c>
      <c r="AD43" s="36" t="s">
        <v>32</v>
      </c>
      <c r="AE43" s="1"/>
      <c r="AF43" s="39" t="s">
        <v>1419</v>
      </c>
      <c r="AG43" s="83">
        <v>148.0</v>
      </c>
      <c r="AH43" s="39">
        <v>1.0</v>
      </c>
      <c r="AI43" s="35" t="s">
        <v>28</v>
      </c>
      <c r="AJ43" s="36" t="s">
        <v>32</v>
      </c>
    </row>
    <row r="44">
      <c r="B44" s="39" t="s">
        <v>299</v>
      </c>
      <c r="C44" s="83">
        <v>63.0</v>
      </c>
      <c r="D44" s="88">
        <v>5.0</v>
      </c>
      <c r="E44" s="39" t="s">
        <v>28</v>
      </c>
      <c r="F44" s="36" t="s">
        <v>32</v>
      </c>
      <c r="G44" s="1"/>
      <c r="H44" s="39" t="s">
        <v>313</v>
      </c>
      <c r="I44" s="83">
        <v>2.0</v>
      </c>
      <c r="J44" s="88">
        <v>6.0</v>
      </c>
      <c r="K44" s="39" t="s">
        <v>32</v>
      </c>
      <c r="L44" s="36" t="s">
        <v>32</v>
      </c>
      <c r="M44" s="1"/>
      <c r="N44" s="39" t="s">
        <v>1420</v>
      </c>
      <c r="O44" s="83">
        <v>5.3</v>
      </c>
      <c r="P44" s="39">
        <v>6.0</v>
      </c>
      <c r="Q44" s="39" t="s">
        <v>32</v>
      </c>
      <c r="R44" s="36" t="s">
        <v>32</v>
      </c>
      <c r="S44" s="1"/>
      <c r="T44" s="39" t="s">
        <v>1421</v>
      </c>
      <c r="U44" s="83">
        <v>16.5</v>
      </c>
      <c r="V44" s="39">
        <v>1.0</v>
      </c>
      <c r="W44" s="35" t="s">
        <v>28</v>
      </c>
      <c r="X44" s="36" t="s">
        <v>34</v>
      </c>
      <c r="Y44" s="1"/>
      <c r="Z44" s="82" t="s">
        <v>1422</v>
      </c>
      <c r="AA44" s="83">
        <v>178.49</v>
      </c>
      <c r="AB44" s="39">
        <v>4.0</v>
      </c>
      <c r="AC44" s="39" t="s">
        <v>34</v>
      </c>
      <c r="AD44" s="36" t="s">
        <v>34</v>
      </c>
      <c r="AE44" s="1"/>
      <c r="AF44" s="39" t="s">
        <v>923</v>
      </c>
      <c r="AG44" s="83">
        <v>3.0</v>
      </c>
      <c r="AH44" s="39">
        <v>1.0</v>
      </c>
      <c r="AI44" s="35" t="s">
        <v>32</v>
      </c>
      <c r="AJ44" s="36" t="s">
        <v>32</v>
      </c>
    </row>
    <row r="45">
      <c r="B45" s="39" t="s">
        <v>124</v>
      </c>
      <c r="C45" s="83">
        <v>17.0</v>
      </c>
      <c r="D45" s="88">
        <v>7.0</v>
      </c>
      <c r="E45" s="39" t="s">
        <v>28</v>
      </c>
      <c r="F45" s="36" t="s">
        <v>32</v>
      </c>
      <c r="G45" s="1"/>
      <c r="H45" s="39" t="s">
        <v>689</v>
      </c>
      <c r="I45" s="83">
        <v>42.0</v>
      </c>
      <c r="J45" s="88">
        <v>7.0</v>
      </c>
      <c r="K45" s="39" t="s">
        <v>28</v>
      </c>
      <c r="L45" s="36" t="s">
        <v>34</v>
      </c>
      <c r="M45" s="1"/>
      <c r="N45" s="39" t="s">
        <v>1423</v>
      </c>
      <c r="O45" s="83">
        <v>100.0</v>
      </c>
      <c r="P45" s="39">
        <v>7.0</v>
      </c>
      <c r="Q45" s="39" t="s">
        <v>28</v>
      </c>
      <c r="R45" s="36" t="s">
        <v>32</v>
      </c>
      <c r="S45" s="1"/>
      <c r="T45" s="39" t="s">
        <v>1116</v>
      </c>
      <c r="U45" s="83">
        <v>359.96</v>
      </c>
      <c r="V45" s="39">
        <v>1.0</v>
      </c>
      <c r="W45" s="35" t="s">
        <v>28</v>
      </c>
      <c r="X45" s="36" t="s">
        <v>32</v>
      </c>
      <c r="Y45" s="1"/>
      <c r="Z45" s="82" t="s">
        <v>1424</v>
      </c>
      <c r="AA45" s="83">
        <v>250.0</v>
      </c>
      <c r="AB45" s="39">
        <v>5.0</v>
      </c>
      <c r="AC45" s="39" t="s">
        <v>32</v>
      </c>
      <c r="AD45" s="36" t="s">
        <v>32</v>
      </c>
      <c r="AE45" s="1"/>
      <c r="AF45" s="39" t="s">
        <v>618</v>
      </c>
      <c r="AG45" s="83">
        <v>12.0</v>
      </c>
      <c r="AH45" s="39">
        <v>2.0</v>
      </c>
      <c r="AI45" s="35" t="s">
        <v>32</v>
      </c>
      <c r="AJ45" s="36" t="s">
        <v>32</v>
      </c>
    </row>
    <row r="46">
      <c r="B46" s="39" t="s">
        <v>235</v>
      </c>
      <c r="C46" s="83">
        <v>24.0</v>
      </c>
      <c r="D46" s="88">
        <v>7.0</v>
      </c>
      <c r="E46" s="39" t="s">
        <v>28</v>
      </c>
      <c r="F46" s="36" t="s">
        <v>32</v>
      </c>
      <c r="G46" s="1"/>
      <c r="H46" s="39" t="s">
        <v>1425</v>
      </c>
      <c r="I46" s="83">
        <v>18.0</v>
      </c>
      <c r="J46" s="88">
        <v>7.0</v>
      </c>
      <c r="K46" s="39" t="s">
        <v>32</v>
      </c>
      <c r="L46" s="36" t="s">
        <v>32</v>
      </c>
      <c r="M46" s="1"/>
      <c r="N46" s="39" t="s">
        <v>201</v>
      </c>
      <c r="O46" s="83">
        <v>65.3</v>
      </c>
      <c r="P46" s="39">
        <v>8.0</v>
      </c>
      <c r="Q46" s="39" t="s">
        <v>32</v>
      </c>
      <c r="R46" s="36" t="s">
        <v>32</v>
      </c>
      <c r="S46" s="1"/>
      <c r="T46" s="39" t="s">
        <v>1426</v>
      </c>
      <c r="U46" s="83">
        <v>149.02</v>
      </c>
      <c r="V46" s="39">
        <v>1.0</v>
      </c>
      <c r="W46" s="35" t="s">
        <v>28</v>
      </c>
      <c r="X46" s="36" t="s">
        <v>32</v>
      </c>
      <c r="Y46" s="1"/>
      <c r="Z46" s="82" t="s">
        <v>1249</v>
      </c>
      <c r="AA46" s="83">
        <v>100.0</v>
      </c>
      <c r="AB46" s="39">
        <v>6.0</v>
      </c>
      <c r="AC46" s="39" t="s">
        <v>28</v>
      </c>
      <c r="AD46" s="36" t="s">
        <v>34</v>
      </c>
      <c r="AE46" s="1"/>
      <c r="AF46" s="39" t="s">
        <v>310</v>
      </c>
      <c r="AG46" s="83">
        <v>44.9</v>
      </c>
      <c r="AH46" s="39">
        <v>3.0</v>
      </c>
      <c r="AI46" s="35" t="s">
        <v>32</v>
      </c>
      <c r="AJ46" s="36" t="s">
        <v>32</v>
      </c>
    </row>
    <row r="47">
      <c r="B47" s="39" t="s">
        <v>235</v>
      </c>
      <c r="C47" s="83">
        <v>36.0</v>
      </c>
      <c r="D47" s="88">
        <v>8.0</v>
      </c>
      <c r="E47" s="39" t="s">
        <v>28</v>
      </c>
      <c r="F47" s="36" t="s">
        <v>32</v>
      </c>
      <c r="G47" s="1"/>
      <c r="H47" s="39" t="s">
        <v>1427</v>
      </c>
      <c r="I47" s="83">
        <v>10.0</v>
      </c>
      <c r="J47" s="88">
        <v>8.0</v>
      </c>
      <c r="K47" s="39" t="s">
        <v>28</v>
      </c>
      <c r="L47" s="36" t="s">
        <v>34</v>
      </c>
      <c r="M47" s="1"/>
      <c r="N47" s="39" t="s">
        <v>299</v>
      </c>
      <c r="O47" s="83">
        <v>60.0</v>
      </c>
      <c r="P47" s="39">
        <v>8.0</v>
      </c>
      <c r="Q47" s="39" t="s">
        <v>28</v>
      </c>
      <c r="R47" s="36" t="s">
        <v>32</v>
      </c>
      <c r="S47" s="1"/>
      <c r="T47" s="39" t="s">
        <v>923</v>
      </c>
      <c r="U47" s="83">
        <v>3.0</v>
      </c>
      <c r="V47" s="39">
        <v>1.0</v>
      </c>
      <c r="W47" s="35" t="s">
        <v>32</v>
      </c>
      <c r="X47" s="36" t="s">
        <v>32</v>
      </c>
      <c r="Y47" s="1"/>
      <c r="Z47" s="82" t="s">
        <v>299</v>
      </c>
      <c r="AA47" s="83">
        <v>70.0</v>
      </c>
      <c r="AB47" s="39">
        <v>6.0</v>
      </c>
      <c r="AC47" s="39" t="s">
        <v>28</v>
      </c>
      <c r="AD47" s="36" t="s">
        <v>34</v>
      </c>
      <c r="AE47" s="1"/>
      <c r="AF47" s="39" t="s">
        <v>1428</v>
      </c>
      <c r="AG47" s="83">
        <v>25.0</v>
      </c>
      <c r="AH47" s="39">
        <v>4.0</v>
      </c>
      <c r="AI47" s="35" t="s">
        <v>32</v>
      </c>
      <c r="AJ47" s="36" t="s">
        <v>32</v>
      </c>
    </row>
    <row r="48">
      <c r="B48" s="39" t="s">
        <v>368</v>
      </c>
      <c r="C48" s="83">
        <v>17.5</v>
      </c>
      <c r="D48" s="88">
        <v>8.0</v>
      </c>
      <c r="E48" s="39" t="s">
        <v>28</v>
      </c>
      <c r="F48" s="36" t="s">
        <v>34</v>
      </c>
      <c r="G48" s="1"/>
      <c r="H48" s="39" t="s">
        <v>832</v>
      </c>
      <c r="I48" s="83">
        <v>22.0</v>
      </c>
      <c r="J48" s="88">
        <v>10.0</v>
      </c>
      <c r="K48" s="39" t="s">
        <v>28</v>
      </c>
      <c r="L48" s="36" t="s">
        <v>34</v>
      </c>
      <c r="M48" s="1"/>
      <c r="N48" s="39" t="s">
        <v>832</v>
      </c>
      <c r="O48" s="83">
        <v>22.0</v>
      </c>
      <c r="P48" s="39">
        <v>8.0</v>
      </c>
      <c r="Q48" s="39" t="s">
        <v>28</v>
      </c>
      <c r="R48" s="36" t="s">
        <v>32</v>
      </c>
      <c r="S48" s="1"/>
      <c r="T48" s="39" t="s">
        <v>1429</v>
      </c>
      <c r="U48" s="83">
        <v>20.0</v>
      </c>
      <c r="V48" s="39">
        <v>8.0</v>
      </c>
      <c r="W48" s="35" t="s">
        <v>28</v>
      </c>
      <c r="X48" s="36" t="s">
        <v>32</v>
      </c>
      <c r="Y48" s="1"/>
      <c r="Z48" s="82" t="s">
        <v>582</v>
      </c>
      <c r="AA48" s="83">
        <v>3.0</v>
      </c>
      <c r="AB48" s="39">
        <v>6.0</v>
      </c>
      <c r="AC48" s="39" t="s">
        <v>28</v>
      </c>
      <c r="AD48" s="36" t="s">
        <v>34</v>
      </c>
      <c r="AE48" s="1"/>
      <c r="AF48" s="39" t="s">
        <v>299</v>
      </c>
      <c r="AG48" s="83">
        <v>44.0</v>
      </c>
      <c r="AH48" s="39">
        <v>4.0</v>
      </c>
      <c r="AI48" s="35" t="s">
        <v>32</v>
      </c>
      <c r="AJ48" s="36" t="s">
        <v>32</v>
      </c>
    </row>
    <row r="49">
      <c r="B49" s="39" t="s">
        <v>299</v>
      </c>
      <c r="C49" s="83">
        <v>15.0</v>
      </c>
      <c r="D49" s="88">
        <v>8.0</v>
      </c>
      <c r="E49" s="39" t="s">
        <v>28</v>
      </c>
      <c r="F49" s="36" t="s">
        <v>34</v>
      </c>
      <c r="G49" s="1"/>
      <c r="H49" s="39" t="s">
        <v>1430</v>
      </c>
      <c r="I49" s="83">
        <v>2.0</v>
      </c>
      <c r="J49" s="88">
        <v>10.0</v>
      </c>
      <c r="K49" s="39" t="s">
        <v>28</v>
      </c>
      <c r="L49" s="36" t="s">
        <v>34</v>
      </c>
      <c r="M49" s="1"/>
      <c r="N49" s="39" t="s">
        <v>108</v>
      </c>
      <c r="O49" s="83">
        <v>3.0</v>
      </c>
      <c r="P49" s="39">
        <v>8.0</v>
      </c>
      <c r="Q49" s="39" t="s">
        <v>32</v>
      </c>
      <c r="R49" s="36" t="s">
        <v>32</v>
      </c>
      <c r="S49" s="1"/>
      <c r="T49" s="39" t="s">
        <v>1431</v>
      </c>
      <c r="U49" s="83">
        <v>100.0</v>
      </c>
      <c r="V49" s="39">
        <v>10.0</v>
      </c>
      <c r="W49" s="35" t="s">
        <v>28</v>
      </c>
      <c r="X49" s="36" t="s">
        <v>34</v>
      </c>
      <c r="Y49" s="1"/>
      <c r="Z49" s="82" t="s">
        <v>898</v>
      </c>
      <c r="AA49" s="83">
        <v>10.0</v>
      </c>
      <c r="AB49" s="39">
        <v>6.0</v>
      </c>
      <c r="AC49" s="39" t="s">
        <v>28</v>
      </c>
      <c r="AD49" s="36" t="s">
        <v>34</v>
      </c>
      <c r="AE49" s="1"/>
      <c r="AF49" s="39" t="s">
        <v>637</v>
      </c>
      <c r="AG49" s="83">
        <v>2.4</v>
      </c>
      <c r="AH49" s="39">
        <v>4.0</v>
      </c>
      <c r="AI49" s="35" t="s">
        <v>32</v>
      </c>
      <c r="AJ49" s="36" t="s">
        <v>32</v>
      </c>
    </row>
    <row r="50">
      <c r="B50" s="39" t="s">
        <v>1432</v>
      </c>
      <c r="C50" s="83">
        <v>3.0</v>
      </c>
      <c r="D50" s="88">
        <v>8.0</v>
      </c>
      <c r="E50" s="39" t="s">
        <v>28</v>
      </c>
      <c r="F50" s="36" t="s">
        <v>34</v>
      </c>
      <c r="G50" s="1"/>
      <c r="H50" s="39" t="s">
        <v>313</v>
      </c>
      <c r="I50" s="83">
        <v>2.0</v>
      </c>
      <c r="J50" s="88">
        <v>10.0</v>
      </c>
      <c r="K50" s="39" t="s">
        <v>32</v>
      </c>
      <c r="L50" s="36" t="s">
        <v>32</v>
      </c>
      <c r="M50" s="1"/>
      <c r="N50" s="39" t="s">
        <v>1406</v>
      </c>
      <c r="O50" s="83">
        <v>57.3</v>
      </c>
      <c r="P50" s="39">
        <v>8.0</v>
      </c>
      <c r="Q50" s="39" t="s">
        <v>28</v>
      </c>
      <c r="R50" s="36" t="s">
        <v>34</v>
      </c>
      <c r="S50" s="1"/>
      <c r="T50" s="39" t="s">
        <v>1433</v>
      </c>
      <c r="U50" s="83">
        <v>50.0</v>
      </c>
      <c r="V50" s="39">
        <v>10.0</v>
      </c>
      <c r="W50" s="35" t="s">
        <v>28</v>
      </c>
      <c r="X50" s="36" t="s">
        <v>34</v>
      </c>
      <c r="Y50" s="1"/>
      <c r="Z50" s="82" t="s">
        <v>339</v>
      </c>
      <c r="AA50" s="83">
        <v>27.0</v>
      </c>
      <c r="AB50" s="39">
        <v>7.0</v>
      </c>
      <c r="AC50" s="39" t="s">
        <v>28</v>
      </c>
      <c r="AD50" s="36" t="s">
        <v>34</v>
      </c>
      <c r="AE50" s="1"/>
      <c r="AF50" s="39" t="s">
        <v>552</v>
      </c>
      <c r="AG50" s="83">
        <v>26.67</v>
      </c>
      <c r="AH50" s="39">
        <v>4.0</v>
      </c>
      <c r="AI50" s="35" t="s">
        <v>32</v>
      </c>
      <c r="AJ50" s="36" t="s">
        <v>32</v>
      </c>
    </row>
    <row r="51">
      <c r="B51" s="39" t="s">
        <v>1434</v>
      </c>
      <c r="C51" s="83">
        <v>1.0</v>
      </c>
      <c r="D51" s="88">
        <v>9.0</v>
      </c>
      <c r="E51" s="39" t="s">
        <v>32</v>
      </c>
      <c r="F51" s="36" t="s">
        <v>32</v>
      </c>
      <c r="G51" s="1"/>
      <c r="H51" s="39" t="s">
        <v>1435</v>
      </c>
      <c r="I51" s="83">
        <v>40.0</v>
      </c>
      <c r="J51" s="88">
        <v>10.0</v>
      </c>
      <c r="K51" s="39" t="s">
        <v>32</v>
      </c>
      <c r="L51" s="36" t="s">
        <v>32</v>
      </c>
      <c r="M51" s="1"/>
      <c r="N51" s="39" t="s">
        <v>823</v>
      </c>
      <c r="O51" s="83">
        <v>80.0</v>
      </c>
      <c r="P51" s="39">
        <v>9.0</v>
      </c>
      <c r="Q51" s="39" t="s">
        <v>28</v>
      </c>
      <c r="R51" s="36" t="s">
        <v>32</v>
      </c>
      <c r="S51" s="1"/>
      <c r="T51" s="39" t="s">
        <v>832</v>
      </c>
      <c r="U51" s="83">
        <v>11.0</v>
      </c>
      <c r="V51" s="39">
        <v>10.0</v>
      </c>
      <c r="W51" s="35" t="s">
        <v>28</v>
      </c>
      <c r="X51" s="36" t="s">
        <v>34</v>
      </c>
      <c r="Y51" s="1"/>
      <c r="Z51" s="82" t="s">
        <v>295</v>
      </c>
      <c r="AA51" s="83">
        <v>6.0</v>
      </c>
      <c r="AB51" s="39">
        <v>7.0</v>
      </c>
      <c r="AC51" s="39" t="s">
        <v>28</v>
      </c>
      <c r="AD51" s="36" t="s">
        <v>34</v>
      </c>
      <c r="AE51" s="1"/>
      <c r="AF51" s="39" t="s">
        <v>201</v>
      </c>
      <c r="AG51" s="83">
        <v>12.35</v>
      </c>
      <c r="AH51" s="39">
        <v>4.0</v>
      </c>
      <c r="AI51" s="35" t="s">
        <v>32</v>
      </c>
      <c r="AJ51" s="36" t="s">
        <v>32</v>
      </c>
    </row>
    <row r="52">
      <c r="B52" s="39" t="s">
        <v>1436</v>
      </c>
      <c r="C52" s="83">
        <v>8.6</v>
      </c>
      <c r="D52" s="88">
        <v>9.0</v>
      </c>
      <c r="E52" s="39" t="s">
        <v>32</v>
      </c>
      <c r="F52" s="36" t="s">
        <v>32</v>
      </c>
      <c r="G52" s="1"/>
      <c r="H52" s="39" t="s">
        <v>1437</v>
      </c>
      <c r="I52" s="83">
        <v>450.0</v>
      </c>
      <c r="J52" s="88">
        <v>10.0</v>
      </c>
      <c r="K52" s="39" t="s">
        <v>28</v>
      </c>
      <c r="L52" s="36" t="s">
        <v>32</v>
      </c>
      <c r="M52" s="1"/>
      <c r="N52" s="39" t="s">
        <v>1438</v>
      </c>
      <c r="O52" s="83">
        <v>80.0</v>
      </c>
      <c r="P52" s="39">
        <v>9.0</v>
      </c>
      <c r="Q52" s="39" t="s">
        <v>32</v>
      </c>
      <c r="R52" s="36" t="s">
        <v>32</v>
      </c>
      <c r="S52" s="1"/>
      <c r="T52" s="39" t="s">
        <v>978</v>
      </c>
      <c r="U52" s="83">
        <v>3.0</v>
      </c>
      <c r="V52" s="39">
        <v>10.0</v>
      </c>
      <c r="W52" s="35" t="s">
        <v>32</v>
      </c>
      <c r="X52" s="36" t="s">
        <v>32</v>
      </c>
      <c r="Y52" s="1"/>
      <c r="Z52" s="82" t="s">
        <v>295</v>
      </c>
      <c r="AA52" s="83">
        <v>3.0</v>
      </c>
      <c r="AB52" s="39">
        <v>9.0</v>
      </c>
      <c r="AC52" s="39" t="s">
        <v>28</v>
      </c>
      <c r="AD52" s="36" t="s">
        <v>34</v>
      </c>
      <c r="AE52" s="1"/>
      <c r="AF52" s="39" t="s">
        <v>201</v>
      </c>
      <c r="AG52" s="83">
        <v>10.99</v>
      </c>
      <c r="AH52" s="39">
        <v>4.0</v>
      </c>
      <c r="AI52" s="35" t="s">
        <v>32</v>
      </c>
      <c r="AJ52" s="36" t="s">
        <v>32</v>
      </c>
    </row>
    <row r="53">
      <c r="B53" s="39" t="s">
        <v>313</v>
      </c>
      <c r="C53" s="83">
        <v>2.25</v>
      </c>
      <c r="D53" s="88">
        <v>9.0</v>
      </c>
      <c r="E53" s="39" t="s">
        <v>32</v>
      </c>
      <c r="F53" s="36" t="s">
        <v>32</v>
      </c>
      <c r="G53" s="1"/>
      <c r="H53" s="39" t="s">
        <v>815</v>
      </c>
      <c r="I53" s="83">
        <v>150.0</v>
      </c>
      <c r="J53" s="88">
        <v>10.0</v>
      </c>
      <c r="K53" s="39" t="s">
        <v>32</v>
      </c>
      <c r="L53" s="36" t="s">
        <v>32</v>
      </c>
      <c r="M53" s="1"/>
      <c r="N53" s="39" t="s">
        <v>310</v>
      </c>
      <c r="O53" s="83">
        <v>65.48</v>
      </c>
      <c r="P53" s="39">
        <v>9.0</v>
      </c>
      <c r="Q53" s="39" t="s">
        <v>28</v>
      </c>
      <c r="R53" s="36" t="s">
        <v>32</v>
      </c>
      <c r="S53" s="1"/>
      <c r="T53" s="39" t="s">
        <v>1439</v>
      </c>
      <c r="U53" s="83">
        <v>1125.94</v>
      </c>
      <c r="V53" s="39">
        <v>10.0</v>
      </c>
      <c r="W53" s="35" t="s">
        <v>34</v>
      </c>
      <c r="X53" s="36" t="s">
        <v>32</v>
      </c>
      <c r="Y53" s="1"/>
      <c r="Z53" s="82" t="s">
        <v>115</v>
      </c>
      <c r="AA53" s="83">
        <v>1181.5</v>
      </c>
      <c r="AB53" s="39">
        <v>10.0</v>
      </c>
      <c r="AC53" s="39" t="s">
        <v>32</v>
      </c>
      <c r="AD53" s="36" t="s">
        <v>32</v>
      </c>
      <c r="AE53" s="1"/>
      <c r="AF53" s="39" t="s">
        <v>1440</v>
      </c>
      <c r="AG53" s="83">
        <v>15.0</v>
      </c>
      <c r="AH53" s="39">
        <v>5.0</v>
      </c>
      <c r="AI53" s="35" t="s">
        <v>32</v>
      </c>
      <c r="AJ53" s="36" t="s">
        <v>32</v>
      </c>
    </row>
    <row r="54">
      <c r="B54" s="39" t="s">
        <v>832</v>
      </c>
      <c r="C54" s="83">
        <v>22.0</v>
      </c>
      <c r="D54" s="88">
        <v>9.0</v>
      </c>
      <c r="E54" s="39" t="s">
        <v>32</v>
      </c>
      <c r="F54" s="36" t="s">
        <v>32</v>
      </c>
      <c r="G54" s="1"/>
      <c r="H54" s="39" t="s">
        <v>1441</v>
      </c>
      <c r="I54" s="83">
        <v>100.0</v>
      </c>
      <c r="J54" s="88">
        <v>10.0</v>
      </c>
      <c r="K54" s="39" t="s">
        <v>32</v>
      </c>
      <c r="L54" s="36" t="s">
        <v>32</v>
      </c>
      <c r="M54" s="1"/>
      <c r="N54" s="39" t="s">
        <v>209</v>
      </c>
      <c r="O54" s="83">
        <v>124.5</v>
      </c>
      <c r="P54" s="39">
        <v>10.0</v>
      </c>
      <c r="Q54" s="39" t="s">
        <v>28</v>
      </c>
      <c r="R54" s="36" t="s">
        <v>32</v>
      </c>
      <c r="S54" s="1"/>
      <c r="T54" s="39" t="s">
        <v>1442</v>
      </c>
      <c r="U54" s="83">
        <f>19.9 + 9.9 + 26.9</f>
        <v>56.7</v>
      </c>
      <c r="V54" s="39">
        <v>10.0</v>
      </c>
      <c r="W54" s="35" t="s">
        <v>28</v>
      </c>
      <c r="X54" s="36" t="s">
        <v>32</v>
      </c>
      <c r="Y54" s="1"/>
      <c r="Z54" s="82" t="s">
        <v>502</v>
      </c>
      <c r="AA54" s="83">
        <v>1816.61</v>
      </c>
      <c r="AB54" s="39">
        <v>10.0</v>
      </c>
      <c r="AC54" s="39" t="s">
        <v>32</v>
      </c>
      <c r="AD54" s="36" t="s">
        <v>32</v>
      </c>
      <c r="AE54" s="1"/>
      <c r="AF54" s="39" t="s">
        <v>1443</v>
      </c>
      <c r="AG54" s="83">
        <v>10.0</v>
      </c>
      <c r="AH54" s="39">
        <v>5.0</v>
      </c>
      <c r="AI54" s="35" t="s">
        <v>32</v>
      </c>
      <c r="AJ54" s="36" t="s">
        <v>32</v>
      </c>
    </row>
    <row r="55">
      <c r="B55" s="39" t="s">
        <v>1444</v>
      </c>
      <c r="C55" s="83">
        <v>107.0</v>
      </c>
      <c r="D55" s="88">
        <v>11.0</v>
      </c>
      <c r="E55" s="39" t="s">
        <v>28</v>
      </c>
      <c r="F55" s="36" t="s">
        <v>32</v>
      </c>
      <c r="G55" s="1"/>
      <c r="H55" s="39" t="s">
        <v>511</v>
      </c>
      <c r="I55" s="83">
        <v>2459.54</v>
      </c>
      <c r="J55" s="88">
        <v>10.0</v>
      </c>
      <c r="K55" s="39" t="s">
        <v>28</v>
      </c>
      <c r="L55" s="36" t="s">
        <v>32</v>
      </c>
      <c r="M55" s="1"/>
      <c r="N55" s="39" t="s">
        <v>1445</v>
      </c>
      <c r="O55" s="83">
        <v>169.83</v>
      </c>
      <c r="P55" s="39">
        <v>10.0</v>
      </c>
      <c r="Q55" s="39" t="s">
        <v>32</v>
      </c>
      <c r="R55" s="36" t="s">
        <v>32</v>
      </c>
      <c r="S55" s="1"/>
      <c r="T55" s="39" t="s">
        <v>1446</v>
      </c>
      <c r="U55" s="83">
        <v>3.0</v>
      </c>
      <c r="V55" s="39">
        <v>10.0</v>
      </c>
      <c r="W55" s="35" t="s">
        <v>32</v>
      </c>
      <c r="X55" s="36" t="s">
        <v>32</v>
      </c>
      <c r="Y55" s="1"/>
      <c r="Z55" s="82" t="s">
        <v>511</v>
      </c>
      <c r="AA55" s="83">
        <v>3823.89</v>
      </c>
      <c r="AB55" s="39">
        <v>10.0</v>
      </c>
      <c r="AC55" s="39" t="s">
        <v>28</v>
      </c>
      <c r="AD55" s="36" t="s">
        <v>32</v>
      </c>
      <c r="AE55" s="1"/>
      <c r="AF55" s="39" t="s">
        <v>618</v>
      </c>
      <c r="AG55" s="83">
        <v>12.0</v>
      </c>
      <c r="AH55" s="39">
        <v>5.0</v>
      </c>
      <c r="AI55" s="35" t="s">
        <v>32</v>
      </c>
      <c r="AJ55" s="36" t="s">
        <v>32</v>
      </c>
    </row>
    <row r="56">
      <c r="B56" s="39" t="s">
        <v>124</v>
      </c>
      <c r="C56" s="83">
        <v>-100.0</v>
      </c>
      <c r="D56" s="88">
        <v>11.0</v>
      </c>
      <c r="E56" s="39" t="s">
        <v>28</v>
      </c>
      <c r="F56" s="36" t="s">
        <v>32</v>
      </c>
      <c r="G56" s="1"/>
      <c r="H56" s="39" t="s">
        <v>505</v>
      </c>
      <c r="I56" s="83">
        <v>2109.67</v>
      </c>
      <c r="J56" s="88">
        <v>10.0</v>
      </c>
      <c r="K56" s="39" t="s">
        <v>34</v>
      </c>
      <c r="L56" s="36" t="s">
        <v>32</v>
      </c>
      <c r="M56" s="1"/>
      <c r="N56" s="39" t="s">
        <v>502</v>
      </c>
      <c r="O56" s="83">
        <v>2284.64</v>
      </c>
      <c r="P56" s="39">
        <v>10.0</v>
      </c>
      <c r="Q56" s="39" t="s">
        <v>32</v>
      </c>
      <c r="R56" s="36" t="s">
        <v>32</v>
      </c>
      <c r="S56" s="1"/>
      <c r="T56" s="39" t="s">
        <v>502</v>
      </c>
      <c r="U56" s="83">
        <f> 188.33 + 78 + 77.09 + 60 + 450 + 26.74 + 11.11 + 0.7 + 3 + 292</f>
        <v>1186.97</v>
      </c>
      <c r="V56" s="39">
        <v>10.0</v>
      </c>
      <c r="W56" s="35" t="s">
        <v>32</v>
      </c>
      <c r="X56" s="36" t="s">
        <v>32</v>
      </c>
      <c r="Y56" s="1"/>
      <c r="Z56" s="82" t="s">
        <v>978</v>
      </c>
      <c r="AA56" s="83">
        <v>102.9</v>
      </c>
      <c r="AB56" s="39">
        <v>10.0</v>
      </c>
      <c r="AC56" s="39" t="s">
        <v>32</v>
      </c>
      <c r="AD56" s="36" t="s">
        <v>32</v>
      </c>
      <c r="AE56" s="1"/>
      <c r="AF56" s="39" t="s">
        <v>832</v>
      </c>
      <c r="AG56" s="83">
        <v>22.0</v>
      </c>
      <c r="AH56" s="39">
        <v>5.0</v>
      </c>
      <c r="AI56" s="35" t="s">
        <v>32</v>
      </c>
      <c r="AJ56" s="36" t="s">
        <v>32</v>
      </c>
    </row>
    <row r="57">
      <c r="B57" s="39" t="s">
        <v>512</v>
      </c>
      <c r="C57" s="83">
        <v>18.0</v>
      </c>
      <c r="D57" s="88">
        <v>11.0</v>
      </c>
      <c r="E57" s="39" t="s">
        <v>28</v>
      </c>
      <c r="F57" s="36" t="s">
        <v>32</v>
      </c>
      <c r="G57" s="1"/>
      <c r="H57" s="39" t="s">
        <v>502</v>
      </c>
      <c r="I57" s="83">
        <v>1573.22</v>
      </c>
      <c r="J57" s="88">
        <v>10.0</v>
      </c>
      <c r="K57" s="39" t="s">
        <v>32</v>
      </c>
      <c r="L57" s="36" t="s">
        <v>32</v>
      </c>
      <c r="M57" s="1"/>
      <c r="N57" s="39" t="s">
        <v>511</v>
      </c>
      <c r="O57" s="83">
        <v>4432.01</v>
      </c>
      <c r="P57" s="39">
        <v>10.0</v>
      </c>
      <c r="Q57" s="39" t="s">
        <v>28</v>
      </c>
      <c r="R57" s="36" t="s">
        <v>32</v>
      </c>
      <c r="S57" s="1"/>
      <c r="T57" s="39" t="s">
        <v>511</v>
      </c>
      <c r="U57" s="83">
        <f>9754.92 - U56</f>
        <v>8567.95</v>
      </c>
      <c r="V57" s="39">
        <v>10.0</v>
      </c>
      <c r="W57" s="35" t="s">
        <v>28</v>
      </c>
      <c r="X57" s="36" t="s">
        <v>32</v>
      </c>
      <c r="Y57" s="1"/>
      <c r="Z57" s="82" t="s">
        <v>310</v>
      </c>
      <c r="AA57" s="83">
        <v>21.7</v>
      </c>
      <c r="AB57" s="39">
        <v>10.0</v>
      </c>
      <c r="AC57" s="39" t="s">
        <v>28</v>
      </c>
      <c r="AD57" s="36" t="s">
        <v>34</v>
      </c>
      <c r="AE57" s="1"/>
      <c r="AF57" s="39" t="s">
        <v>1447</v>
      </c>
      <c r="AG57" s="83">
        <v>200.0</v>
      </c>
      <c r="AH57" s="39">
        <v>5.0</v>
      </c>
      <c r="AI57" s="35" t="s">
        <v>28</v>
      </c>
      <c r="AJ57" s="36" t="s">
        <v>32</v>
      </c>
    </row>
    <row r="58">
      <c r="B58" s="39" t="s">
        <v>1448</v>
      </c>
      <c r="C58" s="83">
        <v>21.0</v>
      </c>
      <c r="D58" s="88">
        <v>11.0</v>
      </c>
      <c r="E58" s="39" t="s">
        <v>28</v>
      </c>
      <c r="F58" s="36" t="s">
        <v>32</v>
      </c>
      <c r="G58" s="1"/>
      <c r="H58" s="39" t="s">
        <v>1222</v>
      </c>
      <c r="I58" s="83">
        <v>637.96</v>
      </c>
      <c r="J58" s="88">
        <v>10.0</v>
      </c>
      <c r="K58" s="39" t="s">
        <v>32</v>
      </c>
      <c r="L58" s="36" t="s">
        <v>32</v>
      </c>
      <c r="M58" s="1"/>
      <c r="N58" s="39" t="s">
        <v>1222</v>
      </c>
      <c r="O58" s="83">
        <v>234.6</v>
      </c>
      <c r="P58" s="39">
        <v>10.0</v>
      </c>
      <c r="Q58" s="39" t="s">
        <v>32</v>
      </c>
      <c r="R58" s="36" t="s">
        <v>32</v>
      </c>
      <c r="S58" s="1"/>
      <c r="T58" s="39" t="s">
        <v>239</v>
      </c>
      <c r="U58" s="83">
        <v>112.6</v>
      </c>
      <c r="V58" s="39">
        <v>12.0</v>
      </c>
      <c r="W58" s="35" t="s">
        <v>28</v>
      </c>
      <c r="X58" s="36" t="s">
        <v>34</v>
      </c>
      <c r="Y58" s="1"/>
      <c r="Z58" s="82" t="s">
        <v>214</v>
      </c>
      <c r="AA58" s="83">
        <v>53.0</v>
      </c>
      <c r="AB58" s="39">
        <v>10.0</v>
      </c>
      <c r="AC58" s="39" t="s">
        <v>28</v>
      </c>
      <c r="AD58" s="36" t="s">
        <v>34</v>
      </c>
      <c r="AE58" s="1"/>
      <c r="AF58" s="39" t="s">
        <v>100</v>
      </c>
      <c r="AG58" s="83">
        <v>100.0</v>
      </c>
      <c r="AH58" s="39">
        <v>6.0</v>
      </c>
      <c r="AI58" s="35" t="s">
        <v>32</v>
      </c>
      <c r="AJ58" s="36" t="s">
        <v>32</v>
      </c>
    </row>
    <row r="59">
      <c r="B59" s="39" t="s">
        <v>978</v>
      </c>
      <c r="C59" s="83">
        <v>3.0</v>
      </c>
      <c r="D59" s="88">
        <v>11.0</v>
      </c>
      <c r="E59" s="39" t="s">
        <v>28</v>
      </c>
      <c r="F59" s="36" t="s">
        <v>32</v>
      </c>
      <c r="G59" s="1"/>
      <c r="H59" s="39" t="s">
        <v>1449</v>
      </c>
      <c r="I59" s="83">
        <v>48.9</v>
      </c>
      <c r="J59" s="88">
        <v>10.0</v>
      </c>
      <c r="K59" s="39" t="s">
        <v>34</v>
      </c>
      <c r="L59" s="36" t="s">
        <v>32</v>
      </c>
      <c r="M59" s="1"/>
      <c r="N59" s="39" t="s">
        <v>1226</v>
      </c>
      <c r="O59" s="83">
        <v>375.1</v>
      </c>
      <c r="P59" s="39">
        <v>10.0</v>
      </c>
      <c r="Q59" s="39" t="s">
        <v>28</v>
      </c>
      <c r="R59" s="36" t="s">
        <v>32</v>
      </c>
      <c r="S59" s="1"/>
      <c r="T59" s="39" t="s">
        <v>1144</v>
      </c>
      <c r="U59" s="83">
        <v>150.0</v>
      </c>
      <c r="V59" s="39">
        <v>15.0</v>
      </c>
      <c r="W59" s="35" t="s">
        <v>32</v>
      </c>
      <c r="X59" s="36" t="s">
        <v>32</v>
      </c>
      <c r="Y59" s="1"/>
      <c r="Z59" s="82" t="s">
        <v>1139</v>
      </c>
      <c r="AA59" s="83">
        <v>22.0</v>
      </c>
      <c r="AB59" s="39">
        <v>10.0</v>
      </c>
      <c r="AC59" s="39" t="s">
        <v>28</v>
      </c>
      <c r="AD59" s="36" t="s">
        <v>34</v>
      </c>
      <c r="AE59" s="1"/>
      <c r="AF59" s="39" t="s">
        <v>1450</v>
      </c>
      <c r="AG59" s="83">
        <v>1.0</v>
      </c>
      <c r="AH59" s="39">
        <v>7.0</v>
      </c>
      <c r="AI59" s="35" t="s">
        <v>32</v>
      </c>
      <c r="AJ59" s="36" t="s">
        <v>32</v>
      </c>
    </row>
    <row r="60">
      <c r="B60" s="39" t="s">
        <v>1451</v>
      </c>
      <c r="C60" s="83">
        <v>364.0</v>
      </c>
      <c r="D60" s="88">
        <v>11.0</v>
      </c>
      <c r="E60" s="39" t="s">
        <v>32</v>
      </c>
      <c r="F60" s="36" t="s">
        <v>32</v>
      </c>
      <c r="G60" s="1"/>
      <c r="H60" s="39" t="s">
        <v>1431</v>
      </c>
      <c r="I60" s="83">
        <v>100.0</v>
      </c>
      <c r="J60" s="88">
        <v>11.0</v>
      </c>
      <c r="K60" s="39" t="s">
        <v>28</v>
      </c>
      <c r="L60" s="36" t="s">
        <v>32</v>
      </c>
      <c r="M60" s="1"/>
      <c r="N60" s="39" t="s">
        <v>1452</v>
      </c>
      <c r="O60" s="83">
        <v>250.0</v>
      </c>
      <c r="P60" s="39">
        <v>13.0</v>
      </c>
      <c r="Q60" s="39" t="s">
        <v>30</v>
      </c>
      <c r="R60" s="36" t="s">
        <v>32</v>
      </c>
      <c r="S60" s="1"/>
      <c r="T60" s="39" t="s">
        <v>313</v>
      </c>
      <c r="U60" s="83">
        <v>2.0</v>
      </c>
      <c r="V60" s="39">
        <v>15.0</v>
      </c>
      <c r="W60" s="35" t="s">
        <v>32</v>
      </c>
      <c r="X60" s="36" t="s">
        <v>32</v>
      </c>
      <c r="Y60" s="1"/>
      <c r="Z60" s="82" t="s">
        <v>854</v>
      </c>
      <c r="AA60" s="83">
        <v>5.0</v>
      </c>
      <c r="AB60" s="39">
        <v>12.0</v>
      </c>
      <c r="AC60" s="39" t="s">
        <v>32</v>
      </c>
      <c r="AD60" s="36" t="s">
        <v>32</v>
      </c>
      <c r="AE60" s="1"/>
      <c r="AF60" s="39" t="s">
        <v>310</v>
      </c>
      <c r="AG60" s="83">
        <v>47.1</v>
      </c>
      <c r="AH60" s="39">
        <v>7.0</v>
      </c>
      <c r="AI60" s="35" t="s">
        <v>32</v>
      </c>
      <c r="AJ60" s="36" t="s">
        <v>32</v>
      </c>
    </row>
    <row r="61">
      <c r="B61" s="39" t="s">
        <v>1453</v>
      </c>
      <c r="C61" s="83">
        <v>1388.01</v>
      </c>
      <c r="D61" s="88">
        <v>11.0</v>
      </c>
      <c r="E61" s="39" t="s">
        <v>28</v>
      </c>
      <c r="F61" s="36" t="s">
        <v>32</v>
      </c>
      <c r="G61" s="1"/>
      <c r="H61" s="39" t="s">
        <v>124</v>
      </c>
      <c r="I61" s="83">
        <v>4.0</v>
      </c>
      <c r="J61" s="88">
        <v>11.0</v>
      </c>
      <c r="K61" s="39" t="s">
        <v>32</v>
      </c>
      <c r="L61" s="36" t="s">
        <v>32</v>
      </c>
      <c r="M61" s="1"/>
      <c r="N61" s="39" t="s">
        <v>124</v>
      </c>
      <c r="O61" s="83">
        <v>182.33</v>
      </c>
      <c r="P61" s="39">
        <v>13.0</v>
      </c>
      <c r="Q61" s="39" t="s">
        <v>28</v>
      </c>
      <c r="R61" s="36" t="s">
        <v>32</v>
      </c>
      <c r="S61" s="1"/>
      <c r="T61" s="39" t="s">
        <v>1454</v>
      </c>
      <c r="U61" s="83">
        <v>10.0</v>
      </c>
      <c r="V61" s="39">
        <v>15.0</v>
      </c>
      <c r="W61" s="35" t="s">
        <v>32</v>
      </c>
      <c r="X61" s="36" t="s">
        <v>32</v>
      </c>
      <c r="Y61" s="1"/>
      <c r="Z61" s="82" t="s">
        <v>834</v>
      </c>
      <c r="AA61" s="83">
        <v>150.0</v>
      </c>
      <c r="AB61" s="39">
        <v>12.0</v>
      </c>
      <c r="AC61" s="39" t="s">
        <v>32</v>
      </c>
      <c r="AD61" s="36" t="s">
        <v>32</v>
      </c>
      <c r="AE61" s="1"/>
      <c r="AF61" s="39" t="s">
        <v>124</v>
      </c>
      <c r="AG61" s="83">
        <v>20.54</v>
      </c>
      <c r="AH61" s="39">
        <v>7.0</v>
      </c>
      <c r="AI61" s="35" t="s">
        <v>32</v>
      </c>
      <c r="AJ61" s="36" t="s">
        <v>32</v>
      </c>
    </row>
    <row r="62">
      <c r="B62" s="39" t="s">
        <v>1455</v>
      </c>
      <c r="C62" s="83">
        <v>463.56</v>
      </c>
      <c r="D62" s="88">
        <v>11.0</v>
      </c>
      <c r="E62" s="39" t="s">
        <v>32</v>
      </c>
      <c r="F62" s="36" t="s">
        <v>32</v>
      </c>
      <c r="G62" s="1"/>
      <c r="H62" s="39" t="s">
        <v>1098</v>
      </c>
      <c r="I62" s="83">
        <v>20.0</v>
      </c>
      <c r="J62" s="88">
        <v>12.0</v>
      </c>
      <c r="K62" s="39" t="s">
        <v>28</v>
      </c>
      <c r="L62" s="36" t="s">
        <v>34</v>
      </c>
      <c r="M62" s="1"/>
      <c r="N62" s="39" t="s">
        <v>108</v>
      </c>
      <c r="O62" s="83">
        <v>6.0</v>
      </c>
      <c r="P62" s="39">
        <v>14.0</v>
      </c>
      <c r="Q62" s="39" t="s">
        <v>28</v>
      </c>
      <c r="R62" s="36" t="s">
        <v>32</v>
      </c>
      <c r="S62" s="1"/>
      <c r="T62" s="39" t="s">
        <v>1456</v>
      </c>
      <c r="U62" s="83">
        <v>14.0</v>
      </c>
      <c r="V62" s="39">
        <v>16.0</v>
      </c>
      <c r="W62" s="35" t="s">
        <v>32</v>
      </c>
      <c r="X62" s="36" t="s">
        <v>32</v>
      </c>
      <c r="Y62" s="1"/>
      <c r="Z62" s="82" t="s">
        <v>1457</v>
      </c>
      <c r="AA62" s="83">
        <v>12.84</v>
      </c>
      <c r="AB62" s="39">
        <v>13.0</v>
      </c>
      <c r="AC62" s="39" t="s">
        <v>32</v>
      </c>
      <c r="AD62" s="36" t="s">
        <v>32</v>
      </c>
      <c r="AE62" s="1"/>
      <c r="AF62" s="39" t="s">
        <v>1458</v>
      </c>
      <c r="AG62" s="83">
        <v>386.0</v>
      </c>
      <c r="AH62" s="39">
        <v>7.0</v>
      </c>
      <c r="AI62" s="35" t="s">
        <v>28</v>
      </c>
      <c r="AJ62" s="36" t="s">
        <v>32</v>
      </c>
    </row>
    <row r="63">
      <c r="B63" s="39" t="s">
        <v>1459</v>
      </c>
      <c r="C63" s="83">
        <v>634.75</v>
      </c>
      <c r="D63" s="88">
        <v>11.0</v>
      </c>
      <c r="E63" s="39" t="s">
        <v>28</v>
      </c>
      <c r="F63" s="36" t="s">
        <v>32</v>
      </c>
      <c r="G63" s="1"/>
      <c r="H63" s="39" t="s">
        <v>310</v>
      </c>
      <c r="I63" s="83">
        <v>5.0</v>
      </c>
      <c r="J63" s="88">
        <v>12.0</v>
      </c>
      <c r="K63" s="39" t="s">
        <v>28</v>
      </c>
      <c r="L63" s="36" t="s">
        <v>34</v>
      </c>
      <c r="M63" s="1"/>
      <c r="N63" s="39" t="s">
        <v>108</v>
      </c>
      <c r="O63" s="83">
        <v>3.0</v>
      </c>
      <c r="P63" s="39">
        <v>14.0</v>
      </c>
      <c r="Q63" s="39" t="s">
        <v>32</v>
      </c>
      <c r="R63" s="36" t="s">
        <v>32</v>
      </c>
      <c r="S63" s="1"/>
      <c r="T63" s="39" t="s">
        <v>1431</v>
      </c>
      <c r="U63" s="83">
        <v>100.0</v>
      </c>
      <c r="V63" s="39">
        <v>16.0</v>
      </c>
      <c r="W63" s="35" t="s">
        <v>28</v>
      </c>
      <c r="X63" s="36" t="s">
        <v>32</v>
      </c>
      <c r="Y63" s="1"/>
      <c r="Z63" s="82" t="s">
        <v>1460</v>
      </c>
      <c r="AA63" s="83">
        <v>6.5</v>
      </c>
      <c r="AB63" s="39">
        <v>13.0</v>
      </c>
      <c r="AC63" s="39" t="s">
        <v>32</v>
      </c>
      <c r="AD63" s="36" t="s">
        <v>32</v>
      </c>
      <c r="AE63" s="1"/>
      <c r="AF63" s="39" t="s">
        <v>313</v>
      </c>
      <c r="AG63" s="83">
        <v>2.0</v>
      </c>
      <c r="AH63" s="39">
        <v>7.0</v>
      </c>
      <c r="AI63" s="35" t="s">
        <v>32</v>
      </c>
      <c r="AJ63" s="36" t="s">
        <v>32</v>
      </c>
    </row>
    <row r="64">
      <c r="B64" s="39" t="s">
        <v>1461</v>
      </c>
      <c r="C64" s="83">
        <v>6.0</v>
      </c>
      <c r="D64" s="88">
        <v>12.0</v>
      </c>
      <c r="E64" s="39" t="s">
        <v>28</v>
      </c>
      <c r="F64" s="36" t="s">
        <v>32</v>
      </c>
      <c r="G64" s="1"/>
      <c r="H64" s="39" t="s">
        <v>1462</v>
      </c>
      <c r="I64" s="83">
        <v>250.0</v>
      </c>
      <c r="J64" s="88">
        <v>12.0</v>
      </c>
      <c r="K64" s="39" t="s">
        <v>34</v>
      </c>
      <c r="L64" s="36" t="s">
        <v>32</v>
      </c>
      <c r="M64" s="1"/>
      <c r="N64" s="39" t="s">
        <v>832</v>
      </c>
      <c r="O64" s="83">
        <v>22.0</v>
      </c>
      <c r="P64" s="39">
        <v>14.0</v>
      </c>
      <c r="Q64" s="39" t="s">
        <v>28</v>
      </c>
      <c r="R64" s="36" t="s">
        <v>32</v>
      </c>
      <c r="S64" s="1"/>
      <c r="T64" s="39" t="s">
        <v>1159</v>
      </c>
      <c r="U64" s="83">
        <v>100.0</v>
      </c>
      <c r="V64" s="39">
        <v>16.0</v>
      </c>
      <c r="W64" s="35" t="s">
        <v>28</v>
      </c>
      <c r="X64" s="36" t="s">
        <v>34</v>
      </c>
      <c r="Y64" s="1"/>
      <c r="Z64" s="82" t="s">
        <v>1159</v>
      </c>
      <c r="AA64" s="83">
        <v>288.0</v>
      </c>
      <c r="AB64" s="39">
        <v>13.0</v>
      </c>
      <c r="AC64" s="39" t="s">
        <v>28</v>
      </c>
      <c r="AD64" s="36" t="s">
        <v>34</v>
      </c>
      <c r="AE64" s="1"/>
      <c r="AF64" s="39" t="s">
        <v>618</v>
      </c>
      <c r="AG64" s="83">
        <v>12.0</v>
      </c>
      <c r="AH64" s="39">
        <v>7.0</v>
      </c>
      <c r="AI64" s="35" t="s">
        <v>32</v>
      </c>
      <c r="AJ64" s="36" t="s">
        <v>32</v>
      </c>
    </row>
    <row r="65">
      <c r="B65" s="39" t="s">
        <v>1403</v>
      </c>
      <c r="C65" s="83">
        <v>112.95</v>
      </c>
      <c r="D65" s="88">
        <v>12.0</v>
      </c>
      <c r="E65" s="39" t="s">
        <v>28</v>
      </c>
      <c r="F65" s="36" t="s">
        <v>32</v>
      </c>
      <c r="G65" s="1"/>
      <c r="H65" s="39" t="s">
        <v>1463</v>
      </c>
      <c r="I65" s="83">
        <v>500.0</v>
      </c>
      <c r="J65" s="88">
        <v>12.0</v>
      </c>
      <c r="K65" s="39" t="s">
        <v>34</v>
      </c>
      <c r="L65" s="36" t="s">
        <v>32</v>
      </c>
      <c r="M65" s="1"/>
      <c r="N65" s="39" t="s">
        <v>966</v>
      </c>
      <c r="O65" s="83">
        <v>28.97</v>
      </c>
      <c r="P65" s="39">
        <v>14.0</v>
      </c>
      <c r="Q65" s="39" t="s">
        <v>28</v>
      </c>
      <c r="R65" s="36" t="s">
        <v>32</v>
      </c>
      <c r="S65" s="1"/>
      <c r="T65" s="39" t="s">
        <v>1464</v>
      </c>
      <c r="U65" s="83">
        <v>93.0</v>
      </c>
      <c r="V65" s="39">
        <v>16.0</v>
      </c>
      <c r="W65" s="35" t="s">
        <v>28</v>
      </c>
      <c r="X65" s="36" t="s">
        <v>34</v>
      </c>
      <c r="Y65" s="1"/>
      <c r="Z65" s="82" t="s">
        <v>1249</v>
      </c>
      <c r="AA65" s="83">
        <v>100.0</v>
      </c>
      <c r="AB65" s="39">
        <v>13.0</v>
      </c>
      <c r="AC65" s="39" t="s">
        <v>28</v>
      </c>
      <c r="AD65" s="36" t="s">
        <v>34</v>
      </c>
      <c r="AE65" s="1"/>
      <c r="AF65" s="39" t="s">
        <v>1465</v>
      </c>
      <c r="AG65" s="83">
        <v>100.0</v>
      </c>
      <c r="AH65" s="39">
        <v>7.0</v>
      </c>
      <c r="AI65" s="35" t="s">
        <v>28</v>
      </c>
      <c r="AJ65" s="36" t="s">
        <v>32</v>
      </c>
    </row>
    <row r="66">
      <c r="B66" s="39" t="s">
        <v>737</v>
      </c>
      <c r="C66" s="83">
        <v>10.0</v>
      </c>
      <c r="D66" s="88">
        <v>13.0</v>
      </c>
      <c r="E66" s="39" t="s">
        <v>32</v>
      </c>
      <c r="F66" s="36" t="s">
        <v>32</v>
      </c>
      <c r="G66" s="1"/>
      <c r="H66" s="39" t="s">
        <v>299</v>
      </c>
      <c r="I66" s="83">
        <v>18.0</v>
      </c>
      <c r="J66" s="88">
        <v>13.0</v>
      </c>
      <c r="K66" s="39" t="s">
        <v>28</v>
      </c>
      <c r="L66" s="36" t="s">
        <v>32</v>
      </c>
      <c r="M66" s="1"/>
      <c r="N66" s="39" t="s">
        <v>1431</v>
      </c>
      <c r="O66" s="83">
        <v>100.0</v>
      </c>
      <c r="P66" s="39">
        <v>14.0</v>
      </c>
      <c r="Q66" s="39" t="s">
        <v>28</v>
      </c>
      <c r="R66" s="36" t="s">
        <v>34</v>
      </c>
      <c r="S66" s="1"/>
      <c r="T66" s="39" t="s">
        <v>1466</v>
      </c>
      <c r="U66" s="83">
        <v>60.0</v>
      </c>
      <c r="V66" s="39">
        <v>17.0</v>
      </c>
      <c r="W66" s="35" t="s">
        <v>28</v>
      </c>
      <c r="X66" s="36" t="s">
        <v>34</v>
      </c>
      <c r="Y66" s="1"/>
      <c r="Z66" s="82" t="s">
        <v>1335</v>
      </c>
      <c r="AA66" s="83">
        <v>10.0</v>
      </c>
      <c r="AB66" s="39">
        <v>13.0</v>
      </c>
      <c r="AC66" s="39" t="s">
        <v>28</v>
      </c>
      <c r="AD66" s="36" t="s">
        <v>34</v>
      </c>
      <c r="AE66" s="1"/>
      <c r="AF66" s="39" t="s">
        <v>1467</v>
      </c>
      <c r="AG66" s="83">
        <v>80.0</v>
      </c>
      <c r="AH66" s="39">
        <v>8.0</v>
      </c>
      <c r="AI66" s="35" t="s">
        <v>28</v>
      </c>
      <c r="AJ66" s="36" t="s">
        <v>32</v>
      </c>
    </row>
    <row r="67">
      <c r="B67" s="39" t="s">
        <v>1468</v>
      </c>
      <c r="C67" s="83">
        <v>95.0</v>
      </c>
      <c r="D67" s="88">
        <v>14.0</v>
      </c>
      <c r="E67" s="39" t="s">
        <v>28</v>
      </c>
      <c r="F67" s="36" t="s">
        <v>34</v>
      </c>
      <c r="G67" s="1"/>
      <c r="H67" s="39" t="s">
        <v>966</v>
      </c>
      <c r="I67" s="83">
        <v>13.0</v>
      </c>
      <c r="J67" s="88">
        <v>13.0</v>
      </c>
      <c r="K67" s="39" t="s">
        <v>28</v>
      </c>
      <c r="L67" s="36" t="s">
        <v>34</v>
      </c>
      <c r="M67" s="1"/>
      <c r="N67" s="39" t="s">
        <v>1335</v>
      </c>
      <c r="O67" s="83">
        <v>10.0</v>
      </c>
      <c r="P67" s="39">
        <v>14.0</v>
      </c>
      <c r="Q67" s="39" t="s">
        <v>28</v>
      </c>
      <c r="R67" s="36" t="s">
        <v>34</v>
      </c>
      <c r="S67" s="1"/>
      <c r="T67" s="39" t="s">
        <v>100</v>
      </c>
      <c r="U67" s="83">
        <v>20.0</v>
      </c>
      <c r="V67" s="39">
        <v>18.0</v>
      </c>
      <c r="W67" s="35" t="s">
        <v>32</v>
      </c>
      <c r="X67" s="36" t="s">
        <v>32</v>
      </c>
      <c r="Y67" s="1"/>
      <c r="Z67" s="82" t="s">
        <v>1469</v>
      </c>
      <c r="AA67" s="83">
        <v>11.0</v>
      </c>
      <c r="AB67" s="39">
        <v>13.0</v>
      </c>
      <c r="AC67" s="39" t="s">
        <v>28</v>
      </c>
      <c r="AD67" s="36" t="s">
        <v>34</v>
      </c>
      <c r="AE67" s="1"/>
      <c r="AF67" s="39" t="s">
        <v>832</v>
      </c>
      <c r="AG67" s="83">
        <v>3.0</v>
      </c>
      <c r="AH67" s="39">
        <v>9.0</v>
      </c>
      <c r="AI67" s="35" t="s">
        <v>32</v>
      </c>
      <c r="AJ67" s="36" t="s">
        <v>32</v>
      </c>
    </row>
    <row r="68">
      <c r="B68" s="39" t="s">
        <v>299</v>
      </c>
      <c r="C68" s="83">
        <v>20.0</v>
      </c>
      <c r="D68" s="88">
        <v>14.0</v>
      </c>
      <c r="E68" s="39" t="s">
        <v>28</v>
      </c>
      <c r="F68" s="36" t="s">
        <v>34</v>
      </c>
      <c r="G68" s="1"/>
      <c r="H68" s="39" t="s">
        <v>594</v>
      </c>
      <c r="I68" s="83">
        <v>50.0</v>
      </c>
      <c r="J68" s="88">
        <v>13.0</v>
      </c>
      <c r="K68" s="39" t="s">
        <v>28</v>
      </c>
      <c r="L68" s="36" t="s">
        <v>34</v>
      </c>
      <c r="M68" s="1"/>
      <c r="N68" s="39" t="s">
        <v>1470</v>
      </c>
      <c r="O68" s="83">
        <v>50.0</v>
      </c>
      <c r="P68" s="39">
        <v>15.0</v>
      </c>
      <c r="Q68" s="39" t="s">
        <v>28</v>
      </c>
      <c r="R68" s="36" t="s">
        <v>32</v>
      </c>
      <c r="S68" s="1"/>
      <c r="T68" s="39" t="s">
        <v>1471</v>
      </c>
      <c r="U68" s="83">
        <v>40.0</v>
      </c>
      <c r="V68" s="39">
        <v>18.0</v>
      </c>
      <c r="W68" s="35" t="s">
        <v>28</v>
      </c>
      <c r="X68" s="36" t="s">
        <v>32</v>
      </c>
      <c r="Y68" s="1"/>
      <c r="Z68" s="82" t="s">
        <v>582</v>
      </c>
      <c r="AA68" s="83">
        <v>6.0</v>
      </c>
      <c r="AB68" s="39">
        <v>13.0</v>
      </c>
      <c r="AC68" s="39" t="s">
        <v>28</v>
      </c>
      <c r="AD68" s="36" t="s">
        <v>34</v>
      </c>
      <c r="AE68" s="1"/>
      <c r="AF68" s="39" t="s">
        <v>1472</v>
      </c>
      <c r="AG68" s="83">
        <v>12.0</v>
      </c>
      <c r="AH68" s="39">
        <v>9.0</v>
      </c>
      <c r="AI68" s="35" t="s">
        <v>28</v>
      </c>
      <c r="AJ68" s="36" t="s">
        <v>32</v>
      </c>
    </row>
    <row r="69">
      <c r="B69" s="39" t="s">
        <v>1473</v>
      </c>
      <c r="C69" s="83">
        <v>22.0</v>
      </c>
      <c r="D69" s="88">
        <v>15.0</v>
      </c>
      <c r="E69" s="39" t="s">
        <v>28</v>
      </c>
      <c r="F69" s="36" t="s">
        <v>34</v>
      </c>
      <c r="G69" s="1"/>
      <c r="H69" s="39" t="s">
        <v>201</v>
      </c>
      <c r="I69" s="83">
        <v>31.0</v>
      </c>
      <c r="J69" s="88">
        <v>13.0</v>
      </c>
      <c r="K69" s="39" t="s">
        <v>28</v>
      </c>
      <c r="L69" s="36" t="s">
        <v>32</v>
      </c>
      <c r="M69" s="1"/>
      <c r="N69" s="39" t="s">
        <v>1474</v>
      </c>
      <c r="O69" s="83">
        <v>6.0</v>
      </c>
      <c r="P69" s="39">
        <v>17.0</v>
      </c>
      <c r="Q69" s="39" t="s">
        <v>32</v>
      </c>
      <c r="R69" s="36" t="s">
        <v>32</v>
      </c>
      <c r="S69" s="1"/>
      <c r="T69" s="39" t="s">
        <v>1475</v>
      </c>
      <c r="U69" s="83">
        <v>4.0</v>
      </c>
      <c r="V69" s="39">
        <v>18.0</v>
      </c>
      <c r="W69" s="35" t="s">
        <v>28</v>
      </c>
      <c r="X69" s="36" t="s">
        <v>32</v>
      </c>
      <c r="Y69" s="1"/>
      <c r="Z69" s="82" t="s">
        <v>295</v>
      </c>
      <c r="AA69" s="83">
        <v>5.0</v>
      </c>
      <c r="AB69" s="39">
        <v>13.0</v>
      </c>
      <c r="AC69" s="39" t="s">
        <v>28</v>
      </c>
      <c r="AD69" s="36" t="s">
        <v>34</v>
      </c>
      <c r="AE69" s="1"/>
      <c r="AF69" s="39" t="s">
        <v>1226</v>
      </c>
      <c r="AG69" s="83">
        <v>88.5</v>
      </c>
      <c r="AH69" s="39">
        <v>10.0</v>
      </c>
      <c r="AI69" s="35" t="s">
        <v>28</v>
      </c>
      <c r="AJ69" s="36" t="s">
        <v>32</v>
      </c>
    </row>
    <row r="70">
      <c r="B70" s="39" t="s">
        <v>1476</v>
      </c>
      <c r="C70" s="83">
        <v>48.0</v>
      </c>
      <c r="D70" s="88">
        <v>15.0</v>
      </c>
      <c r="E70" s="39" t="s">
        <v>28</v>
      </c>
      <c r="F70" s="36" t="s">
        <v>34</v>
      </c>
      <c r="G70" s="1"/>
      <c r="H70" s="39" t="s">
        <v>1477</v>
      </c>
      <c r="I70" s="83">
        <v>35.0</v>
      </c>
      <c r="J70" s="88">
        <v>14.0</v>
      </c>
      <c r="K70" s="39" t="s">
        <v>28</v>
      </c>
      <c r="L70" s="36" t="s">
        <v>32</v>
      </c>
      <c r="M70" s="1"/>
      <c r="N70" s="39" t="s">
        <v>893</v>
      </c>
      <c r="O70" s="83">
        <v>10.0</v>
      </c>
      <c r="P70" s="39">
        <v>17.0</v>
      </c>
      <c r="Q70" s="39" t="s">
        <v>28</v>
      </c>
      <c r="R70" s="36" t="s">
        <v>32</v>
      </c>
      <c r="S70" s="1"/>
      <c r="T70" s="39" t="s">
        <v>310</v>
      </c>
      <c r="U70" s="83">
        <v>84.68</v>
      </c>
      <c r="V70" s="39">
        <v>19.0</v>
      </c>
      <c r="W70" s="35" t="s">
        <v>28</v>
      </c>
      <c r="X70" s="36" t="s">
        <v>32</v>
      </c>
      <c r="Y70" s="1"/>
      <c r="Z70" s="82" t="s">
        <v>545</v>
      </c>
      <c r="AA70" s="83">
        <v>100.0</v>
      </c>
      <c r="AB70" s="39">
        <v>15.0</v>
      </c>
      <c r="AC70" s="39" t="s">
        <v>32</v>
      </c>
      <c r="AD70" s="36" t="s">
        <v>32</v>
      </c>
      <c r="AE70" s="1"/>
      <c r="AF70" s="39" t="s">
        <v>1222</v>
      </c>
      <c r="AG70" s="83">
        <v>4596.16</v>
      </c>
      <c r="AH70" s="39">
        <v>10.0</v>
      </c>
      <c r="AI70" s="35" t="s">
        <v>32</v>
      </c>
      <c r="AJ70" s="36" t="s">
        <v>32</v>
      </c>
    </row>
    <row r="71">
      <c r="B71" s="39" t="s">
        <v>1478</v>
      </c>
      <c r="C71" s="83">
        <v>12.5</v>
      </c>
      <c r="D71" s="88">
        <v>15.0</v>
      </c>
      <c r="E71" s="39" t="s">
        <v>28</v>
      </c>
      <c r="F71" s="36" t="s">
        <v>34</v>
      </c>
      <c r="G71" s="1"/>
      <c r="H71" s="39" t="s">
        <v>832</v>
      </c>
      <c r="I71" s="83">
        <v>11.0</v>
      </c>
      <c r="J71" s="88">
        <v>14.0</v>
      </c>
      <c r="K71" s="39" t="s">
        <v>28</v>
      </c>
      <c r="L71" s="36" t="s">
        <v>32</v>
      </c>
      <c r="M71" s="1"/>
      <c r="N71" s="39" t="s">
        <v>295</v>
      </c>
      <c r="O71" s="83">
        <v>2.0</v>
      </c>
      <c r="P71" s="39">
        <v>17.0</v>
      </c>
      <c r="Q71" s="39" t="s">
        <v>28</v>
      </c>
      <c r="R71" s="36" t="s">
        <v>32</v>
      </c>
      <c r="S71" s="1"/>
      <c r="T71" s="39" t="s">
        <v>1479</v>
      </c>
      <c r="U71" s="83">
        <v>600.0</v>
      </c>
      <c r="V71" s="39">
        <v>19.0</v>
      </c>
      <c r="W71" s="35" t="s">
        <v>32</v>
      </c>
      <c r="X71" s="36" t="s">
        <v>32</v>
      </c>
      <c r="Y71" s="1"/>
      <c r="Z71" s="82" t="s">
        <v>1480</v>
      </c>
      <c r="AA71" s="83">
        <v>20.0</v>
      </c>
      <c r="AB71" s="39">
        <v>16.0</v>
      </c>
      <c r="AC71" s="39" t="s">
        <v>32</v>
      </c>
      <c r="AD71" s="36" t="s">
        <v>32</v>
      </c>
      <c r="AE71" s="1"/>
      <c r="AF71" s="39" t="s">
        <v>502</v>
      </c>
      <c r="AG71" s="83">
        <v>1846.55</v>
      </c>
      <c r="AH71" s="39">
        <v>10.0</v>
      </c>
      <c r="AI71" s="35" t="s">
        <v>32</v>
      </c>
      <c r="AJ71" s="36" t="s">
        <v>32</v>
      </c>
    </row>
    <row r="72">
      <c r="B72" s="39" t="s">
        <v>299</v>
      </c>
      <c r="C72" s="83">
        <v>69.0</v>
      </c>
      <c r="D72" s="88">
        <v>17.0</v>
      </c>
      <c r="E72" s="39" t="s">
        <v>28</v>
      </c>
      <c r="F72" s="36" t="s">
        <v>34</v>
      </c>
      <c r="G72" s="1"/>
      <c r="H72" s="39" t="s">
        <v>209</v>
      </c>
      <c r="I72" s="83">
        <v>118.0</v>
      </c>
      <c r="J72" s="88">
        <v>14.0</v>
      </c>
      <c r="K72" s="39" t="s">
        <v>28</v>
      </c>
      <c r="L72" s="36" t="s">
        <v>32</v>
      </c>
      <c r="M72" s="1"/>
      <c r="N72" s="39" t="s">
        <v>313</v>
      </c>
      <c r="O72" s="83">
        <v>6.0</v>
      </c>
      <c r="P72" s="39">
        <v>17.0</v>
      </c>
      <c r="Q72" s="39" t="s">
        <v>32</v>
      </c>
      <c r="R72" s="36" t="s">
        <v>32</v>
      </c>
      <c r="S72" s="1"/>
      <c r="T72" s="39" t="s">
        <v>78</v>
      </c>
      <c r="U72" s="83">
        <v>200.0</v>
      </c>
      <c r="V72" s="39">
        <v>19.0</v>
      </c>
      <c r="W72" s="35" t="s">
        <v>28</v>
      </c>
      <c r="X72" s="36" t="s">
        <v>32</v>
      </c>
      <c r="Y72" s="1"/>
      <c r="Z72" s="82" t="s">
        <v>1481</v>
      </c>
      <c r="AA72" s="83">
        <v>122.0</v>
      </c>
      <c r="AB72" s="39">
        <v>16.0</v>
      </c>
      <c r="AC72" s="39" t="s">
        <v>32</v>
      </c>
      <c r="AD72" s="36" t="s">
        <v>32</v>
      </c>
      <c r="AE72" s="1"/>
      <c r="AF72" s="39" t="s">
        <v>505</v>
      </c>
      <c r="AG72" s="83">
        <v>1533.25</v>
      </c>
      <c r="AH72" s="39">
        <v>10.0</v>
      </c>
      <c r="AI72" s="35" t="s">
        <v>34</v>
      </c>
      <c r="AJ72" s="36" t="s">
        <v>32</v>
      </c>
    </row>
    <row r="73">
      <c r="B73" s="39" t="s">
        <v>1482</v>
      </c>
      <c r="C73" s="83">
        <v>25.0</v>
      </c>
      <c r="D73" s="88">
        <v>17.0</v>
      </c>
      <c r="E73" s="39" t="s">
        <v>28</v>
      </c>
      <c r="F73" s="36" t="s">
        <v>34</v>
      </c>
      <c r="G73" s="1"/>
      <c r="H73" s="39" t="s">
        <v>1483</v>
      </c>
      <c r="I73" s="83">
        <v>14.0</v>
      </c>
      <c r="J73" s="88">
        <v>14.0</v>
      </c>
      <c r="K73" s="39" t="s">
        <v>28</v>
      </c>
      <c r="L73" s="36" t="s">
        <v>34</v>
      </c>
      <c r="M73" s="1"/>
      <c r="N73" s="39" t="s">
        <v>1484</v>
      </c>
      <c r="O73" s="83">
        <v>357.96</v>
      </c>
      <c r="P73" s="39">
        <v>17.0</v>
      </c>
      <c r="Q73" s="39" t="s">
        <v>34</v>
      </c>
      <c r="R73" s="36" t="s">
        <v>32</v>
      </c>
      <c r="S73" s="1"/>
      <c r="T73" s="39" t="s">
        <v>88</v>
      </c>
      <c r="U73" s="83">
        <v>50.0</v>
      </c>
      <c r="V73" s="39">
        <v>19.0</v>
      </c>
      <c r="W73" s="35" t="s">
        <v>32</v>
      </c>
      <c r="X73" s="36" t="s">
        <v>32</v>
      </c>
      <c r="Y73" s="1"/>
      <c r="Z73" s="82" t="s">
        <v>1485</v>
      </c>
      <c r="AA73" s="83">
        <v>375.0</v>
      </c>
      <c r="AB73" s="39">
        <v>16.0</v>
      </c>
      <c r="AC73" s="39" t="s">
        <v>32</v>
      </c>
      <c r="AD73" s="36" t="s">
        <v>32</v>
      </c>
      <c r="AE73" s="1"/>
      <c r="AF73" s="39" t="s">
        <v>1486</v>
      </c>
      <c r="AG73" s="83">
        <v>530.0</v>
      </c>
      <c r="AH73" s="39">
        <v>10.0</v>
      </c>
      <c r="AI73" s="35" t="s">
        <v>30</v>
      </c>
      <c r="AJ73" s="36" t="s">
        <v>32</v>
      </c>
    </row>
    <row r="74">
      <c r="B74" s="39" t="s">
        <v>1487</v>
      </c>
      <c r="C74" s="83">
        <v>35.5</v>
      </c>
      <c r="D74" s="88">
        <v>17.0</v>
      </c>
      <c r="E74" s="39" t="s">
        <v>28</v>
      </c>
      <c r="F74" s="36" t="s">
        <v>34</v>
      </c>
      <c r="G74" s="1"/>
      <c r="H74" s="39" t="s">
        <v>1488</v>
      </c>
      <c r="I74" s="83">
        <v>7.8</v>
      </c>
      <c r="J74" s="88">
        <v>14.0</v>
      </c>
      <c r="K74" s="39" t="s">
        <v>28</v>
      </c>
      <c r="L74" s="36" t="s">
        <v>32</v>
      </c>
      <c r="M74" s="1"/>
      <c r="N74" s="39" t="s">
        <v>689</v>
      </c>
      <c r="O74" s="83">
        <v>51.0</v>
      </c>
      <c r="P74" s="39">
        <v>18.0</v>
      </c>
      <c r="Q74" s="39" t="s">
        <v>28</v>
      </c>
      <c r="R74" s="36" t="s">
        <v>32</v>
      </c>
      <c r="S74" s="1"/>
      <c r="T74" s="39" t="s">
        <v>313</v>
      </c>
      <c r="U74" s="83">
        <v>2.0</v>
      </c>
      <c r="V74" s="39">
        <v>20.0</v>
      </c>
      <c r="W74" s="35" t="s">
        <v>32</v>
      </c>
      <c r="X74" s="36" t="s">
        <v>32</v>
      </c>
      <c r="Y74" s="1"/>
      <c r="Z74" s="82" t="s">
        <v>1489</v>
      </c>
      <c r="AA74" s="83">
        <v>630.0</v>
      </c>
      <c r="AB74" s="39">
        <v>16.0</v>
      </c>
      <c r="AC74" s="39" t="s">
        <v>32</v>
      </c>
      <c r="AD74" s="36" t="s">
        <v>32</v>
      </c>
      <c r="AE74" s="1"/>
      <c r="AF74" s="39" t="s">
        <v>511</v>
      </c>
      <c r="AG74" s="83">
        <v>4782.71</v>
      </c>
      <c r="AH74" s="39">
        <v>10.0</v>
      </c>
      <c r="AI74" s="35" t="s">
        <v>28</v>
      </c>
      <c r="AJ74" s="36" t="s">
        <v>32</v>
      </c>
    </row>
    <row r="75">
      <c r="B75" s="39" t="s">
        <v>1490</v>
      </c>
      <c r="C75" s="83">
        <v>28.75</v>
      </c>
      <c r="D75" s="88">
        <v>17.0</v>
      </c>
      <c r="E75" s="39" t="s">
        <v>28</v>
      </c>
      <c r="F75" s="36" t="s">
        <v>34</v>
      </c>
      <c r="G75" s="1"/>
      <c r="H75" s="39" t="s">
        <v>1491</v>
      </c>
      <c r="I75" s="83">
        <v>20.0</v>
      </c>
      <c r="J75" s="88">
        <v>14.0</v>
      </c>
      <c r="K75" s="39" t="s">
        <v>28</v>
      </c>
      <c r="L75" s="36" t="s">
        <v>32</v>
      </c>
      <c r="M75" s="1"/>
      <c r="N75" s="39" t="s">
        <v>966</v>
      </c>
      <c r="O75" s="83">
        <v>14.0</v>
      </c>
      <c r="P75" s="39">
        <v>18.0</v>
      </c>
      <c r="Q75" s="39" t="s">
        <v>28</v>
      </c>
      <c r="R75" s="36" t="s">
        <v>32</v>
      </c>
      <c r="S75" s="1"/>
      <c r="T75" s="39" t="s">
        <v>832</v>
      </c>
      <c r="U75" s="83">
        <v>22.0</v>
      </c>
      <c r="V75" s="39">
        <v>20.0</v>
      </c>
      <c r="W75" s="35" t="s">
        <v>32</v>
      </c>
      <c r="X75" s="36" t="s">
        <v>32</v>
      </c>
      <c r="Y75" s="1"/>
      <c r="Z75" s="82" t="s">
        <v>299</v>
      </c>
      <c r="AA75" s="83">
        <v>28.0</v>
      </c>
      <c r="AB75" s="39">
        <v>16.0</v>
      </c>
      <c r="AC75" s="39" t="s">
        <v>28</v>
      </c>
      <c r="AD75" s="36" t="s">
        <v>34</v>
      </c>
      <c r="AE75" s="1"/>
      <c r="AF75" s="39" t="s">
        <v>295</v>
      </c>
      <c r="AG75" s="83">
        <v>2.0</v>
      </c>
      <c r="AH75" s="39">
        <v>10.0</v>
      </c>
      <c r="AI75" s="35" t="s">
        <v>32</v>
      </c>
      <c r="AJ75" s="36" t="s">
        <v>32</v>
      </c>
    </row>
    <row r="76">
      <c r="B76" s="39" t="s">
        <v>1245</v>
      </c>
      <c r="C76" s="83">
        <v>104.26</v>
      </c>
      <c r="D76" s="88">
        <v>17.0</v>
      </c>
      <c r="E76" s="39" t="s">
        <v>28</v>
      </c>
      <c r="F76" s="36" t="s">
        <v>32</v>
      </c>
      <c r="G76" s="1"/>
      <c r="H76" s="39" t="s">
        <v>1492</v>
      </c>
      <c r="I76" s="83">
        <v>45.0</v>
      </c>
      <c r="J76" s="88">
        <v>14.0</v>
      </c>
      <c r="K76" s="39" t="s">
        <v>28</v>
      </c>
      <c r="L76" s="36" t="s">
        <v>34</v>
      </c>
      <c r="M76" s="1"/>
      <c r="N76" s="39" t="s">
        <v>124</v>
      </c>
      <c r="O76" s="83">
        <v>34.0</v>
      </c>
      <c r="P76" s="39">
        <v>18.0</v>
      </c>
      <c r="Q76" s="39" t="s">
        <v>28</v>
      </c>
      <c r="R76" s="36" t="s">
        <v>32</v>
      </c>
      <c r="S76" s="1"/>
      <c r="T76" s="39" t="s">
        <v>214</v>
      </c>
      <c r="U76" s="83">
        <v>63.0</v>
      </c>
      <c r="V76" s="39">
        <v>20.0</v>
      </c>
      <c r="W76" s="35" t="s">
        <v>28</v>
      </c>
      <c r="X76" s="36" t="s">
        <v>32</v>
      </c>
      <c r="Y76" s="1"/>
      <c r="Z76" s="82" t="s">
        <v>329</v>
      </c>
      <c r="AA76" s="83">
        <v>32.0</v>
      </c>
      <c r="AB76" s="39">
        <v>16.0</v>
      </c>
      <c r="AC76" s="39" t="s">
        <v>28</v>
      </c>
      <c r="AD76" s="36" t="s">
        <v>34</v>
      </c>
      <c r="AE76" s="1"/>
      <c r="AF76" s="39" t="s">
        <v>313</v>
      </c>
      <c r="AG76" s="83">
        <v>2.2</v>
      </c>
      <c r="AH76" s="39">
        <v>10.0</v>
      </c>
      <c r="AI76" s="35" t="s">
        <v>32</v>
      </c>
      <c r="AJ76" s="36" t="s">
        <v>32</v>
      </c>
    </row>
    <row r="77">
      <c r="B77" s="39" t="s">
        <v>1493</v>
      </c>
      <c r="C77" s="83">
        <v>22.0</v>
      </c>
      <c r="D77" s="88">
        <v>20.0</v>
      </c>
      <c r="E77" s="39" t="s">
        <v>28</v>
      </c>
      <c r="F77" s="36" t="s">
        <v>34</v>
      </c>
      <c r="G77" s="1"/>
      <c r="H77" s="39" t="s">
        <v>1494</v>
      </c>
      <c r="I77" s="83">
        <v>20.0</v>
      </c>
      <c r="J77" s="88">
        <v>15.0</v>
      </c>
      <c r="K77" s="39" t="s">
        <v>32</v>
      </c>
      <c r="L77" s="36" t="s">
        <v>32</v>
      </c>
      <c r="M77" s="1"/>
      <c r="N77" s="39" t="s">
        <v>1495</v>
      </c>
      <c r="O77" s="83">
        <v>10.99</v>
      </c>
      <c r="P77" s="39">
        <v>18.0</v>
      </c>
      <c r="Q77" s="39" t="s">
        <v>28</v>
      </c>
      <c r="R77" s="36" t="s">
        <v>34</v>
      </c>
      <c r="S77" s="1"/>
      <c r="T77" s="39" t="s">
        <v>295</v>
      </c>
      <c r="U77" s="83">
        <v>9.0</v>
      </c>
      <c r="V77" s="39">
        <v>22.0</v>
      </c>
      <c r="W77" s="35" t="s">
        <v>32</v>
      </c>
      <c r="X77" s="36" t="s">
        <v>32</v>
      </c>
      <c r="Y77" s="1"/>
      <c r="Z77" s="82" t="s">
        <v>1284</v>
      </c>
      <c r="AA77" s="83">
        <v>10.0</v>
      </c>
      <c r="AB77" s="39">
        <v>16.0</v>
      </c>
      <c r="AC77" s="39" t="s">
        <v>28</v>
      </c>
      <c r="AD77" s="36" t="s">
        <v>34</v>
      </c>
      <c r="AE77" s="1"/>
      <c r="AF77" s="39" t="s">
        <v>978</v>
      </c>
      <c r="AG77" s="83">
        <v>3.0</v>
      </c>
      <c r="AH77" s="39">
        <v>10.0</v>
      </c>
      <c r="AI77" s="35" t="s">
        <v>32</v>
      </c>
      <c r="AJ77" s="36" t="s">
        <v>32</v>
      </c>
    </row>
    <row r="78">
      <c r="B78" s="39" t="s">
        <v>1496</v>
      </c>
      <c r="C78" s="83">
        <v>63.37</v>
      </c>
      <c r="D78" s="88">
        <v>20.0</v>
      </c>
      <c r="E78" s="39" t="s">
        <v>32</v>
      </c>
      <c r="F78" s="36" t="s">
        <v>32</v>
      </c>
      <c r="G78" s="1"/>
      <c r="H78" s="39" t="s">
        <v>1497</v>
      </c>
      <c r="I78" s="83">
        <v>117.08</v>
      </c>
      <c r="J78" s="88">
        <v>15.0</v>
      </c>
      <c r="K78" s="39" t="s">
        <v>28</v>
      </c>
      <c r="L78" s="36" t="s">
        <v>32</v>
      </c>
      <c r="M78" s="1"/>
      <c r="N78" s="39" t="s">
        <v>301</v>
      </c>
      <c r="O78" s="83">
        <v>30.0</v>
      </c>
      <c r="P78" s="39">
        <v>18.0</v>
      </c>
      <c r="Q78" s="39" t="s">
        <v>28</v>
      </c>
      <c r="R78" s="36" t="s">
        <v>32</v>
      </c>
      <c r="S78" s="1"/>
      <c r="T78" s="39" t="s">
        <v>1498</v>
      </c>
      <c r="U78" s="83">
        <v>10.0</v>
      </c>
      <c r="V78" s="39">
        <v>23.0</v>
      </c>
      <c r="W78" s="35" t="s">
        <v>28</v>
      </c>
      <c r="X78" s="36" t="s">
        <v>32</v>
      </c>
      <c r="Y78" s="1"/>
      <c r="Z78" s="82" t="s">
        <v>582</v>
      </c>
      <c r="AA78" s="83">
        <v>2.0</v>
      </c>
      <c r="AB78" s="39">
        <v>17.0</v>
      </c>
      <c r="AC78" s="39" t="s">
        <v>32</v>
      </c>
      <c r="AD78" s="36" t="s">
        <v>32</v>
      </c>
      <c r="AE78" s="1"/>
      <c r="AF78" s="39" t="s">
        <v>1499</v>
      </c>
      <c r="AG78" s="83">
        <v>100.0</v>
      </c>
      <c r="AH78" s="39">
        <v>10.0</v>
      </c>
      <c r="AI78" s="35" t="s">
        <v>28</v>
      </c>
      <c r="AJ78" s="36" t="s">
        <v>32</v>
      </c>
    </row>
    <row r="79">
      <c r="B79" s="39" t="s">
        <v>1500</v>
      </c>
      <c r="C79" s="83">
        <v>24.0</v>
      </c>
      <c r="D79" s="88">
        <v>21.0</v>
      </c>
      <c r="E79" s="39" t="s">
        <v>28</v>
      </c>
      <c r="F79" s="36" t="s">
        <v>34</v>
      </c>
      <c r="G79" s="1"/>
      <c r="H79" s="39" t="s">
        <v>1501</v>
      </c>
      <c r="I79" s="83">
        <v>30.0</v>
      </c>
      <c r="J79" s="88">
        <v>17.0</v>
      </c>
      <c r="K79" s="39" t="s">
        <v>28</v>
      </c>
      <c r="L79" s="36" t="s">
        <v>32</v>
      </c>
      <c r="M79" s="1"/>
      <c r="N79" s="39" t="s">
        <v>832</v>
      </c>
      <c r="O79" s="83">
        <v>22.0</v>
      </c>
      <c r="P79" s="39">
        <v>19.0</v>
      </c>
      <c r="Q79" s="39" t="s">
        <v>28</v>
      </c>
      <c r="R79" s="36" t="s">
        <v>32</v>
      </c>
      <c r="S79" s="1"/>
      <c r="T79" s="39" t="s">
        <v>1159</v>
      </c>
      <c r="U79" s="83">
        <v>188.0</v>
      </c>
      <c r="V79" s="39">
        <v>23.0</v>
      </c>
      <c r="W79" s="35" t="s">
        <v>28</v>
      </c>
      <c r="X79" s="36" t="s">
        <v>32</v>
      </c>
      <c r="Y79" s="1"/>
      <c r="Z79" s="82" t="s">
        <v>310</v>
      </c>
      <c r="AA79" s="83">
        <v>26.0</v>
      </c>
      <c r="AB79" s="39">
        <v>17.0</v>
      </c>
      <c r="AC79" s="39" t="s">
        <v>32</v>
      </c>
      <c r="AD79" s="36" t="s">
        <v>32</v>
      </c>
      <c r="AE79" s="1"/>
      <c r="AF79" s="39" t="s">
        <v>100</v>
      </c>
      <c r="AG79" s="83">
        <v>50.0</v>
      </c>
      <c r="AH79" s="39">
        <v>13.0</v>
      </c>
      <c r="AI79" s="35" t="s">
        <v>32</v>
      </c>
      <c r="AJ79" s="36" t="s">
        <v>32</v>
      </c>
    </row>
    <row r="80">
      <c r="B80" s="39" t="s">
        <v>1502</v>
      </c>
      <c r="C80" s="83">
        <v>9.0</v>
      </c>
      <c r="D80" s="88">
        <v>21.0</v>
      </c>
      <c r="E80" s="39" t="s">
        <v>34</v>
      </c>
      <c r="F80" s="36" t="s">
        <v>32</v>
      </c>
      <c r="G80" s="1"/>
      <c r="H80" s="39" t="s">
        <v>108</v>
      </c>
      <c r="I80" s="83">
        <v>3.0</v>
      </c>
      <c r="J80" s="88">
        <v>18.0</v>
      </c>
      <c r="K80" s="39" t="s">
        <v>28</v>
      </c>
      <c r="L80" s="36" t="s">
        <v>32</v>
      </c>
      <c r="M80" s="1"/>
      <c r="N80" s="39" t="s">
        <v>1503</v>
      </c>
      <c r="O80" s="83">
        <v>4.5</v>
      </c>
      <c r="P80" s="39">
        <v>19.0</v>
      </c>
      <c r="Q80" s="39" t="s">
        <v>28</v>
      </c>
      <c r="R80" s="36" t="s">
        <v>32</v>
      </c>
      <c r="S80" s="1"/>
      <c r="T80" s="39" t="s">
        <v>689</v>
      </c>
      <c r="U80" s="83">
        <v>57.0</v>
      </c>
      <c r="V80" s="39">
        <v>23.0</v>
      </c>
      <c r="W80" s="35" t="s">
        <v>28</v>
      </c>
      <c r="X80" s="36" t="s">
        <v>32</v>
      </c>
      <c r="Y80" s="1"/>
      <c r="Z80" s="82" t="s">
        <v>832</v>
      </c>
      <c r="AA80" s="83">
        <v>22.0</v>
      </c>
      <c r="AB80" s="39">
        <v>18.0</v>
      </c>
      <c r="AC80" s="39" t="s">
        <v>32</v>
      </c>
      <c r="AD80" s="36" t="s">
        <v>32</v>
      </c>
      <c r="AE80" s="1"/>
      <c r="AF80" s="39" t="s">
        <v>313</v>
      </c>
      <c r="AG80" s="83">
        <v>10.0</v>
      </c>
      <c r="AH80" s="39">
        <v>15.0</v>
      </c>
      <c r="AI80" s="35" t="s">
        <v>32</v>
      </c>
      <c r="AJ80" s="36" t="s">
        <v>32</v>
      </c>
    </row>
    <row r="81">
      <c r="B81" s="39" t="s">
        <v>1282</v>
      </c>
      <c r="C81" s="83">
        <v>20.08</v>
      </c>
      <c r="D81" s="88">
        <v>21.0</v>
      </c>
      <c r="E81" s="39" t="s">
        <v>34</v>
      </c>
      <c r="F81" s="36" t="s">
        <v>32</v>
      </c>
      <c r="G81" s="1"/>
      <c r="H81" s="39" t="s">
        <v>832</v>
      </c>
      <c r="I81" s="83">
        <v>22.0</v>
      </c>
      <c r="J81" s="88">
        <v>19.0</v>
      </c>
      <c r="K81" s="39" t="s">
        <v>28</v>
      </c>
      <c r="L81" s="36" t="s">
        <v>32</v>
      </c>
      <c r="M81" s="1"/>
      <c r="N81" s="39" t="s">
        <v>305</v>
      </c>
      <c r="O81" s="83">
        <v>15.0</v>
      </c>
      <c r="P81" s="39">
        <v>21.0</v>
      </c>
      <c r="Q81" s="39" t="s">
        <v>32</v>
      </c>
      <c r="R81" s="36" t="s">
        <v>32</v>
      </c>
      <c r="S81" s="1"/>
      <c r="T81" s="39" t="s">
        <v>1249</v>
      </c>
      <c r="U81" s="83">
        <v>100.0</v>
      </c>
      <c r="V81" s="39">
        <v>23.0</v>
      </c>
      <c r="W81" s="35" t="s">
        <v>28</v>
      </c>
      <c r="X81" s="36" t="s">
        <v>32</v>
      </c>
      <c r="Y81" s="1"/>
      <c r="Z81" s="82" t="s">
        <v>1422</v>
      </c>
      <c r="AA81" s="83">
        <v>170.9</v>
      </c>
      <c r="AB81" s="39">
        <v>18.0</v>
      </c>
      <c r="AC81" s="39" t="s">
        <v>34</v>
      </c>
      <c r="AD81" s="36" t="s">
        <v>34</v>
      </c>
      <c r="AE81" s="1"/>
      <c r="AF81" s="39" t="s">
        <v>1504</v>
      </c>
      <c r="AG81" s="83">
        <v>183.0</v>
      </c>
      <c r="AH81" s="39">
        <v>15.0</v>
      </c>
      <c r="AI81" s="35" t="s">
        <v>30</v>
      </c>
      <c r="AJ81" s="36" t="s">
        <v>34</v>
      </c>
    </row>
    <row r="82">
      <c r="B82" s="39" t="s">
        <v>1505</v>
      </c>
      <c r="C82" s="83">
        <v>70.0</v>
      </c>
      <c r="D82" s="88">
        <v>21.0</v>
      </c>
      <c r="E82" s="39" t="s">
        <v>32</v>
      </c>
      <c r="F82" s="36" t="s">
        <v>32</v>
      </c>
      <c r="G82" s="1"/>
      <c r="H82" s="39" t="s">
        <v>1506</v>
      </c>
      <c r="I82" s="83">
        <v>11.99</v>
      </c>
      <c r="J82" s="88">
        <v>19.0</v>
      </c>
      <c r="K82" s="39" t="s">
        <v>28</v>
      </c>
      <c r="L82" s="36" t="s">
        <v>32</v>
      </c>
      <c r="M82" s="1"/>
      <c r="N82" s="39" t="s">
        <v>901</v>
      </c>
      <c r="O82" s="83">
        <v>20.0</v>
      </c>
      <c r="P82" s="39">
        <v>21.0</v>
      </c>
      <c r="Q82" s="39" t="s">
        <v>28</v>
      </c>
      <c r="R82" s="36" t="s">
        <v>32</v>
      </c>
      <c r="S82" s="1"/>
      <c r="T82" s="39" t="s">
        <v>235</v>
      </c>
      <c r="U82" s="83">
        <v>22.0</v>
      </c>
      <c r="V82" s="39">
        <v>24.0</v>
      </c>
      <c r="W82" s="35" t="s">
        <v>28</v>
      </c>
      <c r="X82" s="36" t="s">
        <v>32</v>
      </c>
      <c r="Y82" s="1"/>
      <c r="Z82" s="82" t="s">
        <v>310</v>
      </c>
      <c r="AA82" s="83">
        <v>29.99</v>
      </c>
      <c r="AB82" s="39">
        <v>19.0</v>
      </c>
      <c r="AC82" s="39" t="s">
        <v>32</v>
      </c>
      <c r="AD82" s="36" t="s">
        <v>32</v>
      </c>
      <c r="AE82" s="1"/>
      <c r="AF82" s="39" t="s">
        <v>689</v>
      </c>
      <c r="AG82" s="83">
        <v>427.0</v>
      </c>
      <c r="AH82" s="39">
        <v>15.0</v>
      </c>
      <c r="AI82" s="35" t="s">
        <v>28</v>
      </c>
      <c r="AJ82" s="36" t="s">
        <v>34</v>
      </c>
    </row>
    <row r="83">
      <c r="B83" s="39" t="s">
        <v>235</v>
      </c>
      <c r="C83" s="83">
        <v>36.0</v>
      </c>
      <c r="D83" s="88">
        <v>22.0</v>
      </c>
      <c r="E83" s="39" t="s">
        <v>28</v>
      </c>
      <c r="F83" s="36" t="s">
        <v>34</v>
      </c>
      <c r="G83" s="1"/>
      <c r="H83" s="39" t="s">
        <v>1507</v>
      </c>
      <c r="I83" s="83">
        <v>26.78</v>
      </c>
      <c r="J83" s="88">
        <v>19.0</v>
      </c>
      <c r="K83" s="39" t="s">
        <v>34</v>
      </c>
      <c r="L83" s="36" t="s">
        <v>32</v>
      </c>
      <c r="M83" s="1"/>
      <c r="N83" s="39" t="s">
        <v>191</v>
      </c>
      <c r="O83" s="83">
        <v>20.0</v>
      </c>
      <c r="P83" s="39">
        <v>21.0</v>
      </c>
      <c r="Q83" s="39" t="s">
        <v>28</v>
      </c>
      <c r="R83" s="36" t="s">
        <v>32</v>
      </c>
      <c r="S83" s="1"/>
      <c r="T83" s="39" t="s">
        <v>310</v>
      </c>
      <c r="U83" s="83">
        <v>11.0</v>
      </c>
      <c r="V83" s="39">
        <v>26.0</v>
      </c>
      <c r="W83" s="35" t="s">
        <v>28</v>
      </c>
      <c r="X83" s="36" t="s">
        <v>32</v>
      </c>
      <c r="Y83" s="1"/>
      <c r="Z83" s="82" t="s">
        <v>1508</v>
      </c>
      <c r="AA83" s="83">
        <v>111.57</v>
      </c>
      <c r="AB83" s="39">
        <v>19.0</v>
      </c>
      <c r="AC83" s="39" t="s">
        <v>32</v>
      </c>
      <c r="AD83" s="36" t="s">
        <v>32</v>
      </c>
      <c r="AE83" s="1"/>
      <c r="AF83" s="39" t="s">
        <v>209</v>
      </c>
      <c r="AG83" s="83">
        <v>160.0</v>
      </c>
      <c r="AH83" s="39">
        <v>15.0</v>
      </c>
      <c r="AI83" s="35" t="s">
        <v>28</v>
      </c>
      <c r="AJ83" s="36" t="s">
        <v>34</v>
      </c>
    </row>
    <row r="84">
      <c r="B84" s="39" t="s">
        <v>368</v>
      </c>
      <c r="C84" s="83">
        <v>28.45</v>
      </c>
      <c r="D84" s="88">
        <v>22.0</v>
      </c>
      <c r="E84" s="39" t="s">
        <v>28</v>
      </c>
      <c r="F84" s="36" t="s">
        <v>34</v>
      </c>
      <c r="G84" s="1"/>
      <c r="H84" s="39" t="s">
        <v>108</v>
      </c>
      <c r="I84" s="83">
        <v>6.0</v>
      </c>
      <c r="J84" s="88">
        <v>19.0</v>
      </c>
      <c r="K84" s="39" t="s">
        <v>28</v>
      </c>
      <c r="L84" s="36" t="s">
        <v>32</v>
      </c>
      <c r="M84" s="1"/>
      <c r="N84" s="39" t="s">
        <v>1431</v>
      </c>
      <c r="O84" s="83">
        <v>50.0</v>
      </c>
      <c r="P84" s="39">
        <v>21.0</v>
      </c>
      <c r="Q84" s="39" t="s">
        <v>28</v>
      </c>
      <c r="R84" s="36" t="s">
        <v>34</v>
      </c>
      <c r="S84" s="1"/>
      <c r="T84" s="39" t="s">
        <v>124</v>
      </c>
      <c r="U84" s="83">
        <v>205.05</v>
      </c>
      <c r="V84" s="39">
        <v>26.0</v>
      </c>
      <c r="W84" s="35" t="s">
        <v>28</v>
      </c>
      <c r="X84" s="36" t="s">
        <v>32</v>
      </c>
      <c r="Y84" s="1"/>
      <c r="Z84" s="82" t="s">
        <v>310</v>
      </c>
      <c r="AA84" s="83">
        <v>58.25</v>
      </c>
      <c r="AB84" s="39">
        <v>20.0</v>
      </c>
      <c r="AC84" s="39" t="s">
        <v>28</v>
      </c>
      <c r="AD84" s="36" t="s">
        <v>34</v>
      </c>
      <c r="AE84" s="1"/>
      <c r="AF84" s="39" t="s">
        <v>1509</v>
      </c>
      <c r="AG84" s="83">
        <v>23.0</v>
      </c>
      <c r="AH84" s="39">
        <v>16.0</v>
      </c>
      <c r="AI84" s="35" t="s">
        <v>28</v>
      </c>
      <c r="AJ84" s="36" t="s">
        <v>32</v>
      </c>
    </row>
    <row r="85">
      <c r="B85" s="39" t="s">
        <v>1510</v>
      </c>
      <c r="C85" s="83">
        <v>55.0</v>
      </c>
      <c r="D85" s="88">
        <v>22.0</v>
      </c>
      <c r="E85" s="39" t="s">
        <v>28</v>
      </c>
      <c r="F85" s="36" t="s">
        <v>34</v>
      </c>
      <c r="G85" s="1"/>
      <c r="H85" s="39" t="s">
        <v>1511</v>
      </c>
      <c r="I85" s="83">
        <v>19.8</v>
      </c>
      <c r="J85" s="88">
        <v>19.0</v>
      </c>
      <c r="K85" s="39" t="s">
        <v>28</v>
      </c>
      <c r="L85" s="36" t="s">
        <v>32</v>
      </c>
      <c r="M85" s="1"/>
      <c r="N85" s="39" t="s">
        <v>1431</v>
      </c>
      <c r="O85" s="83">
        <v>50.0</v>
      </c>
      <c r="P85" s="39">
        <v>21.0</v>
      </c>
      <c r="Q85" s="39" t="s">
        <v>28</v>
      </c>
      <c r="R85" s="36" t="s">
        <v>32</v>
      </c>
      <c r="S85" s="1"/>
      <c r="T85" s="39" t="s">
        <v>1406</v>
      </c>
      <c r="U85" s="83">
        <v>74.0</v>
      </c>
      <c r="V85" s="39">
        <v>20.0</v>
      </c>
      <c r="W85" s="35" t="s">
        <v>28</v>
      </c>
      <c r="X85" s="36" t="s">
        <v>32</v>
      </c>
      <c r="Y85" s="1"/>
      <c r="Z85" s="82" t="s">
        <v>100</v>
      </c>
      <c r="AA85" s="83">
        <v>200.0</v>
      </c>
      <c r="AB85" s="39">
        <v>22.0</v>
      </c>
      <c r="AC85" s="39" t="s">
        <v>32</v>
      </c>
      <c r="AD85" s="36" t="s">
        <v>32</v>
      </c>
      <c r="AE85" s="1"/>
      <c r="AF85" s="39" t="s">
        <v>1512</v>
      </c>
      <c r="AG85" s="83">
        <v>26.0</v>
      </c>
      <c r="AH85" s="39">
        <v>16.0</v>
      </c>
      <c r="AI85" s="35" t="s">
        <v>28</v>
      </c>
      <c r="AJ85" s="36" t="s">
        <v>32</v>
      </c>
    </row>
    <row r="86">
      <c r="B86" s="39" t="s">
        <v>761</v>
      </c>
      <c r="C86" s="83">
        <v>130.0</v>
      </c>
      <c r="D86" s="88">
        <v>22.0</v>
      </c>
      <c r="E86" s="39" t="s">
        <v>32</v>
      </c>
      <c r="F86" s="36" t="s">
        <v>32</v>
      </c>
      <c r="G86" s="1"/>
      <c r="H86" s="39" t="s">
        <v>1513</v>
      </c>
      <c r="I86" s="83">
        <v>3000.0</v>
      </c>
      <c r="J86" s="88">
        <v>19.0</v>
      </c>
      <c r="K86" s="39" t="s">
        <v>28</v>
      </c>
      <c r="L86" s="36" t="s">
        <v>32</v>
      </c>
      <c r="M86" s="1"/>
      <c r="N86" s="39" t="s">
        <v>966</v>
      </c>
      <c r="O86" s="83">
        <v>2.0</v>
      </c>
      <c r="P86" s="39">
        <v>22.0</v>
      </c>
      <c r="Q86" s="39" t="s">
        <v>28</v>
      </c>
      <c r="R86" s="36" t="s">
        <v>32</v>
      </c>
      <c r="S86" s="1"/>
      <c r="T86" s="39" t="s">
        <v>684</v>
      </c>
      <c r="U86" s="83">
        <v>80.0</v>
      </c>
      <c r="V86" s="39">
        <v>28.0</v>
      </c>
      <c r="W86" s="35" t="s">
        <v>28</v>
      </c>
      <c r="X86" s="36" t="s">
        <v>34</v>
      </c>
      <c r="Y86" s="1"/>
      <c r="Z86" s="82" t="s">
        <v>124</v>
      </c>
      <c r="AA86" s="83">
        <v>9.91</v>
      </c>
      <c r="AB86" s="39">
        <v>23.0</v>
      </c>
      <c r="AC86" s="39" t="s">
        <v>32</v>
      </c>
      <c r="AD86" s="36" t="s">
        <v>32</v>
      </c>
      <c r="AE86" s="1"/>
      <c r="AF86" s="39" t="s">
        <v>1162</v>
      </c>
      <c r="AG86" s="83">
        <v>160.0</v>
      </c>
      <c r="AH86" s="39">
        <v>16.0</v>
      </c>
      <c r="AI86" s="35" t="s">
        <v>28</v>
      </c>
      <c r="AJ86" s="36" t="s">
        <v>32</v>
      </c>
    </row>
    <row r="87">
      <c r="B87" s="39" t="s">
        <v>1514</v>
      </c>
      <c r="C87" s="83">
        <v>8.0</v>
      </c>
      <c r="D87" s="88">
        <v>22.0</v>
      </c>
      <c r="E87" s="39" t="s">
        <v>32</v>
      </c>
      <c r="F87" s="36" t="s">
        <v>32</v>
      </c>
      <c r="G87" s="1"/>
      <c r="H87" s="39" t="s">
        <v>1515</v>
      </c>
      <c r="I87" s="83">
        <v>30.0</v>
      </c>
      <c r="J87" s="88">
        <v>19.0</v>
      </c>
      <c r="K87" s="39" t="s">
        <v>32</v>
      </c>
      <c r="L87" s="36" t="s">
        <v>32</v>
      </c>
      <c r="M87" s="1"/>
      <c r="N87" s="39" t="s">
        <v>832</v>
      </c>
      <c r="O87" s="83">
        <v>11.0</v>
      </c>
      <c r="P87" s="39">
        <v>23.0</v>
      </c>
      <c r="Q87" s="39" t="s">
        <v>28</v>
      </c>
      <c r="R87" s="36" t="s">
        <v>34</v>
      </c>
      <c r="S87" s="1"/>
      <c r="T87" s="39" t="s">
        <v>1516</v>
      </c>
      <c r="U87" s="83">
        <v>32.0</v>
      </c>
      <c r="V87" s="39">
        <v>28.0</v>
      </c>
      <c r="W87" s="35" t="s">
        <v>28</v>
      </c>
      <c r="X87" s="36" t="s">
        <v>34</v>
      </c>
      <c r="Y87" s="1"/>
      <c r="Z87" s="82" t="s">
        <v>1139</v>
      </c>
      <c r="AA87" s="83">
        <v>22.0</v>
      </c>
      <c r="AB87" s="39">
        <v>23.0</v>
      </c>
      <c r="AC87" s="39" t="s">
        <v>28</v>
      </c>
      <c r="AD87" s="36" t="s">
        <v>32</v>
      </c>
      <c r="AE87" s="1"/>
      <c r="AF87" s="39" t="s">
        <v>1517</v>
      </c>
      <c r="AG87" s="83">
        <v>229.0</v>
      </c>
      <c r="AH87" s="39">
        <v>16.0</v>
      </c>
      <c r="AI87" s="35" t="s">
        <v>28</v>
      </c>
      <c r="AJ87" s="36" t="s">
        <v>32</v>
      </c>
    </row>
    <row r="88">
      <c r="B88" s="39" t="s">
        <v>1132</v>
      </c>
      <c r="C88" s="83">
        <v>20.0</v>
      </c>
      <c r="D88" s="88">
        <v>23.0</v>
      </c>
      <c r="E88" s="39" t="s">
        <v>28</v>
      </c>
      <c r="F88" s="36" t="s">
        <v>32</v>
      </c>
      <c r="G88" s="1"/>
      <c r="H88" s="39" t="s">
        <v>1409</v>
      </c>
      <c r="I88" s="83">
        <v>16.0</v>
      </c>
      <c r="J88" s="88">
        <v>20.0</v>
      </c>
      <c r="K88" s="39" t="s">
        <v>28</v>
      </c>
      <c r="L88" s="36" t="s">
        <v>34</v>
      </c>
      <c r="M88" s="1"/>
      <c r="N88" s="39" t="s">
        <v>339</v>
      </c>
      <c r="O88" s="83">
        <v>36.0</v>
      </c>
      <c r="P88" s="39">
        <v>23.0</v>
      </c>
      <c r="Q88" s="39" t="s">
        <v>28</v>
      </c>
      <c r="R88" s="36" t="s">
        <v>34</v>
      </c>
      <c r="S88" s="1"/>
      <c r="T88" s="39" t="s">
        <v>1518</v>
      </c>
      <c r="U88" s="83">
        <v>6.5</v>
      </c>
      <c r="V88" s="39">
        <v>28.0</v>
      </c>
      <c r="W88" s="35" t="s">
        <v>28</v>
      </c>
      <c r="X88" s="36" t="s">
        <v>34</v>
      </c>
      <c r="Y88" s="1"/>
      <c r="Z88" s="82" t="s">
        <v>235</v>
      </c>
      <c r="AA88" s="83">
        <v>36.0</v>
      </c>
      <c r="AB88" s="39">
        <v>23.0</v>
      </c>
      <c r="AC88" s="39" t="s">
        <v>28</v>
      </c>
      <c r="AD88" s="36" t="s">
        <v>32</v>
      </c>
      <c r="AE88" s="1"/>
      <c r="AF88" s="39" t="s">
        <v>1519</v>
      </c>
      <c r="AG88" s="83">
        <v>5.0</v>
      </c>
      <c r="AH88" s="39">
        <v>17.0</v>
      </c>
      <c r="AI88" s="35" t="s">
        <v>32</v>
      </c>
      <c r="AJ88" s="36" t="s">
        <v>32</v>
      </c>
    </row>
    <row r="89">
      <c r="B89" s="39" t="s">
        <v>299</v>
      </c>
      <c r="C89" s="83">
        <v>50.0</v>
      </c>
      <c r="D89" s="88">
        <v>24.0</v>
      </c>
      <c r="E89" s="39" t="s">
        <v>28</v>
      </c>
      <c r="F89" s="36" t="s">
        <v>34</v>
      </c>
      <c r="G89" s="1"/>
      <c r="H89" s="39" t="s">
        <v>966</v>
      </c>
      <c r="I89" s="83">
        <v>16.0</v>
      </c>
      <c r="J89" s="88">
        <v>20.0</v>
      </c>
      <c r="K89" s="39" t="s">
        <v>28</v>
      </c>
      <c r="L89" s="36" t="s">
        <v>34</v>
      </c>
      <c r="M89" s="1"/>
      <c r="N89" s="39" t="s">
        <v>299</v>
      </c>
      <c r="O89" s="83">
        <v>14.0</v>
      </c>
      <c r="P89" s="39">
        <v>24.0</v>
      </c>
      <c r="Q89" s="39" t="s">
        <v>28</v>
      </c>
      <c r="R89" s="36" t="s">
        <v>34</v>
      </c>
      <c r="S89" s="1"/>
      <c r="T89" s="39" t="s">
        <v>368</v>
      </c>
      <c r="U89" s="83">
        <v>12.0</v>
      </c>
      <c r="V89" s="39">
        <v>26.0</v>
      </c>
      <c r="W89" s="35" t="s">
        <v>28</v>
      </c>
      <c r="X89" s="36" t="s">
        <v>34</v>
      </c>
      <c r="Y89" s="1"/>
      <c r="Z89" s="82" t="s">
        <v>310</v>
      </c>
      <c r="AA89" s="83">
        <v>16.0</v>
      </c>
      <c r="AB89" s="39">
        <v>23.0</v>
      </c>
      <c r="AC89" s="39" t="s">
        <v>28</v>
      </c>
      <c r="AD89" s="36" t="s">
        <v>32</v>
      </c>
      <c r="AE89" s="1"/>
      <c r="AF89" s="39" t="s">
        <v>1520</v>
      </c>
      <c r="AG89" s="83">
        <v>5.0</v>
      </c>
      <c r="AH89" s="39">
        <v>19.0</v>
      </c>
      <c r="AI89" s="35" t="s">
        <v>32</v>
      </c>
      <c r="AJ89" s="36" t="s">
        <v>32</v>
      </c>
    </row>
    <row r="90">
      <c r="B90" s="39" t="s">
        <v>1521</v>
      </c>
      <c r="C90" s="83">
        <v>29.9</v>
      </c>
      <c r="D90" s="88">
        <v>24.0</v>
      </c>
      <c r="E90" s="39" t="s">
        <v>32</v>
      </c>
      <c r="F90" s="36" t="s">
        <v>32</v>
      </c>
      <c r="G90" s="1"/>
      <c r="H90" s="39" t="s">
        <v>1522</v>
      </c>
      <c r="I90" s="83">
        <v>450.0</v>
      </c>
      <c r="J90" s="88">
        <v>21.0</v>
      </c>
      <c r="K90" s="39" t="s">
        <v>28</v>
      </c>
      <c r="L90" s="36" t="s">
        <v>32</v>
      </c>
      <c r="M90" s="1"/>
      <c r="N90" s="39" t="s">
        <v>310</v>
      </c>
      <c r="O90" s="83">
        <v>22.0</v>
      </c>
      <c r="P90" s="39">
        <v>25.0</v>
      </c>
      <c r="Q90" s="39" t="s">
        <v>28</v>
      </c>
      <c r="R90" s="36" t="s">
        <v>32</v>
      </c>
      <c r="S90" s="1"/>
      <c r="T90" s="39" t="s">
        <v>1139</v>
      </c>
      <c r="U90" s="83">
        <v>11.0</v>
      </c>
      <c r="V90" s="39">
        <v>30.0</v>
      </c>
      <c r="W90" s="35" t="s">
        <v>28</v>
      </c>
      <c r="X90" s="36" t="s">
        <v>34</v>
      </c>
      <c r="Y90" s="1"/>
      <c r="Z90" s="82" t="s">
        <v>214</v>
      </c>
      <c r="AA90" s="83">
        <v>41.0</v>
      </c>
      <c r="AB90" s="39">
        <v>23.0</v>
      </c>
      <c r="AC90" s="39" t="s">
        <v>28</v>
      </c>
      <c r="AD90" s="36" t="s">
        <v>32</v>
      </c>
      <c r="AE90" s="1"/>
      <c r="AF90" s="39" t="s">
        <v>1523</v>
      </c>
      <c r="AG90" s="83">
        <v>10.0</v>
      </c>
      <c r="AH90" s="39">
        <v>19.0</v>
      </c>
      <c r="AI90" s="35" t="s">
        <v>32</v>
      </c>
      <c r="AJ90" s="36" t="s">
        <v>32</v>
      </c>
    </row>
    <row r="91">
      <c r="B91" s="39" t="s">
        <v>1347</v>
      </c>
      <c r="C91" s="83">
        <v>111.95</v>
      </c>
      <c r="D91" s="88">
        <v>24.0</v>
      </c>
      <c r="E91" s="39" t="s">
        <v>32</v>
      </c>
      <c r="F91" s="36" t="s">
        <v>32</v>
      </c>
      <c r="G91" s="1"/>
      <c r="H91" s="39" t="s">
        <v>299</v>
      </c>
      <c r="I91" s="83">
        <v>50.0</v>
      </c>
      <c r="J91" s="88">
        <v>21.0</v>
      </c>
      <c r="K91" s="39" t="s">
        <v>28</v>
      </c>
      <c r="L91" s="36" t="s">
        <v>32</v>
      </c>
      <c r="M91" s="1"/>
      <c r="N91" s="39" t="s">
        <v>201</v>
      </c>
      <c r="O91" s="83">
        <v>11.37</v>
      </c>
      <c r="P91" s="39">
        <v>25.0</v>
      </c>
      <c r="Q91" s="39" t="s">
        <v>32</v>
      </c>
      <c r="R91" s="36" t="s">
        <v>32</v>
      </c>
      <c r="S91" s="1"/>
      <c r="T91" s="39" t="s">
        <v>310</v>
      </c>
      <c r="U91" s="83">
        <v>37.0</v>
      </c>
      <c r="V91" s="39">
        <v>30.0</v>
      </c>
      <c r="W91" s="35" t="s">
        <v>28</v>
      </c>
      <c r="X91" s="36" t="s">
        <v>34</v>
      </c>
      <c r="Y91" s="1"/>
      <c r="Z91" s="82" t="s">
        <v>1524</v>
      </c>
      <c r="AA91" s="83">
        <v>31.7</v>
      </c>
      <c r="AB91" s="39">
        <v>23.0</v>
      </c>
      <c r="AC91" s="39" t="s">
        <v>32</v>
      </c>
      <c r="AD91" s="36" t="s">
        <v>32</v>
      </c>
      <c r="AE91" s="1"/>
      <c r="AF91" s="39" t="s">
        <v>209</v>
      </c>
      <c r="AG91" s="83">
        <v>94.0</v>
      </c>
      <c r="AH91" s="39">
        <v>19.0</v>
      </c>
      <c r="AI91" s="35" t="s">
        <v>28</v>
      </c>
      <c r="AJ91" s="36" t="s">
        <v>32</v>
      </c>
    </row>
    <row r="92">
      <c r="B92" s="39" t="s">
        <v>305</v>
      </c>
      <c r="C92" s="83">
        <v>15.0</v>
      </c>
      <c r="D92" s="88">
        <v>27.0</v>
      </c>
      <c r="E92" s="39" t="s">
        <v>32</v>
      </c>
      <c r="F92" s="36" t="s">
        <v>32</v>
      </c>
      <c r="G92" s="1"/>
      <c r="H92" s="39" t="s">
        <v>512</v>
      </c>
      <c r="I92" s="83">
        <v>25.0</v>
      </c>
      <c r="J92" s="88">
        <v>21.0</v>
      </c>
      <c r="K92" s="39" t="s">
        <v>28</v>
      </c>
      <c r="L92" s="36" t="s">
        <v>32</v>
      </c>
      <c r="M92" s="1"/>
      <c r="N92" s="39" t="s">
        <v>1347</v>
      </c>
      <c r="O92" s="83">
        <v>112.03</v>
      </c>
      <c r="P92" s="39">
        <v>25.0</v>
      </c>
      <c r="Q92" s="39" t="s">
        <v>32</v>
      </c>
      <c r="R92" s="36" t="s">
        <v>32</v>
      </c>
      <c r="S92" s="1"/>
      <c r="T92" s="39" t="s">
        <v>689</v>
      </c>
      <c r="U92" s="83">
        <v>33.0</v>
      </c>
      <c r="V92" s="39">
        <v>30.0</v>
      </c>
      <c r="W92" s="35" t="s">
        <v>28</v>
      </c>
      <c r="X92" s="36" t="s">
        <v>34</v>
      </c>
      <c r="Y92" s="1"/>
      <c r="Z92" s="82" t="s">
        <v>1525</v>
      </c>
      <c r="AA92" s="83">
        <v>15.0</v>
      </c>
      <c r="AB92" s="39">
        <v>23.0</v>
      </c>
      <c r="AC92" s="39" t="s">
        <v>32</v>
      </c>
      <c r="AD92" s="36" t="s">
        <v>32</v>
      </c>
      <c r="AE92" s="1"/>
      <c r="AF92" s="39" t="s">
        <v>1526</v>
      </c>
      <c r="AG92" s="83">
        <v>36.0</v>
      </c>
      <c r="AH92" s="39">
        <v>21.0</v>
      </c>
      <c r="AI92" s="35" t="s">
        <v>28</v>
      </c>
      <c r="AJ92" s="36" t="s">
        <v>34</v>
      </c>
    </row>
    <row r="93">
      <c r="B93" s="39" t="s">
        <v>1527</v>
      </c>
      <c r="C93" s="83">
        <v>22.0</v>
      </c>
      <c r="D93" s="88">
        <v>28.0</v>
      </c>
      <c r="E93" s="39" t="s">
        <v>32</v>
      </c>
      <c r="F93" s="36" t="s">
        <v>32</v>
      </c>
      <c r="G93" s="1"/>
      <c r="H93" s="39" t="s">
        <v>582</v>
      </c>
      <c r="I93" s="83">
        <v>5.0</v>
      </c>
      <c r="J93" s="88">
        <v>21.0</v>
      </c>
      <c r="K93" s="39" t="s">
        <v>28</v>
      </c>
      <c r="L93" s="36" t="s">
        <v>32</v>
      </c>
      <c r="M93" s="1"/>
      <c r="N93" s="39" t="s">
        <v>368</v>
      </c>
      <c r="O93" s="83">
        <v>10.0</v>
      </c>
      <c r="P93" s="39">
        <v>25.0</v>
      </c>
      <c r="Q93" s="39" t="s">
        <v>28</v>
      </c>
      <c r="R93" s="36" t="s">
        <v>34</v>
      </c>
      <c r="S93" s="1"/>
      <c r="T93" s="39" t="s">
        <v>1528</v>
      </c>
      <c r="U93" s="83">
        <v>1000.0</v>
      </c>
      <c r="V93" s="39">
        <v>30.0</v>
      </c>
      <c r="W93" s="35" t="s">
        <v>30</v>
      </c>
      <c r="X93" s="36" t="s">
        <v>32</v>
      </c>
      <c r="Y93" s="1"/>
      <c r="Z93" s="82" t="s">
        <v>1529</v>
      </c>
      <c r="AA93" s="83">
        <v>20.0</v>
      </c>
      <c r="AB93" s="39">
        <v>23.0</v>
      </c>
      <c r="AC93" s="39" t="s">
        <v>34</v>
      </c>
      <c r="AD93" s="36" t="s">
        <v>32</v>
      </c>
      <c r="AE93" s="1"/>
      <c r="AF93" s="39" t="s">
        <v>533</v>
      </c>
      <c r="AG93" s="83">
        <v>176.51</v>
      </c>
      <c r="AH93" s="39">
        <v>21.0</v>
      </c>
      <c r="AI93" s="35" t="s">
        <v>28</v>
      </c>
      <c r="AJ93" s="36" t="s">
        <v>34</v>
      </c>
    </row>
    <row r="94">
      <c r="B94" s="39" t="s">
        <v>1530</v>
      </c>
      <c r="C94" s="83">
        <v>300.0</v>
      </c>
      <c r="D94" s="88">
        <v>28.0</v>
      </c>
      <c r="E94" s="39" t="s">
        <v>28</v>
      </c>
      <c r="F94" s="36" t="s">
        <v>32</v>
      </c>
      <c r="G94" s="1"/>
      <c r="H94" s="39" t="s">
        <v>1531</v>
      </c>
      <c r="I94" s="83">
        <v>54.0</v>
      </c>
      <c r="J94" s="88">
        <v>21.0</v>
      </c>
      <c r="K94" s="39" t="s">
        <v>28</v>
      </c>
      <c r="L94" s="36" t="s">
        <v>32</v>
      </c>
      <c r="M94" s="1"/>
      <c r="N94" s="39" t="s">
        <v>1433</v>
      </c>
      <c r="O94" s="83">
        <v>52.0</v>
      </c>
      <c r="P94" s="39">
        <v>25.0</v>
      </c>
      <c r="Q94" s="39" t="s">
        <v>28</v>
      </c>
      <c r="R94" s="36" t="s">
        <v>34</v>
      </c>
      <c r="S94" s="1"/>
      <c r="T94" s="39" t="s">
        <v>1532</v>
      </c>
      <c r="U94" s="83">
        <v>26.6</v>
      </c>
      <c r="V94" s="39">
        <v>31.0</v>
      </c>
      <c r="W94" s="35" t="s">
        <v>28</v>
      </c>
      <c r="X94" s="36" t="s">
        <v>34</v>
      </c>
      <c r="Y94" s="1"/>
      <c r="Z94" s="82" t="s">
        <v>295</v>
      </c>
      <c r="AA94" s="83">
        <v>6.0</v>
      </c>
      <c r="AB94" s="39">
        <v>23.0</v>
      </c>
      <c r="AC94" s="39" t="s">
        <v>28</v>
      </c>
      <c r="AD94" s="36" t="s">
        <v>32</v>
      </c>
      <c r="AE94" s="1"/>
      <c r="AF94" s="39" t="s">
        <v>1533</v>
      </c>
      <c r="AG94" s="83">
        <v>20.0</v>
      </c>
      <c r="AH94" s="39">
        <v>21.0</v>
      </c>
      <c r="AI94" s="35" t="s">
        <v>28</v>
      </c>
      <c r="AJ94" s="36" t="s">
        <v>34</v>
      </c>
    </row>
    <row r="95">
      <c r="B95" s="39" t="s">
        <v>1534</v>
      </c>
      <c r="C95" s="83">
        <v>800.0</v>
      </c>
      <c r="D95" s="88">
        <v>28.0</v>
      </c>
      <c r="E95" s="39" t="s">
        <v>28</v>
      </c>
      <c r="F95" s="36" t="s">
        <v>32</v>
      </c>
      <c r="G95" s="1"/>
      <c r="H95" s="39" t="s">
        <v>310</v>
      </c>
      <c r="I95" s="83">
        <v>19.0</v>
      </c>
      <c r="J95" s="88">
        <v>24.0</v>
      </c>
      <c r="K95" s="39" t="s">
        <v>28</v>
      </c>
      <c r="L95" s="36" t="s">
        <v>32</v>
      </c>
      <c r="M95" s="1"/>
      <c r="N95" s="39" t="s">
        <v>1535</v>
      </c>
      <c r="O95" s="83">
        <v>35.0</v>
      </c>
      <c r="P95" s="39">
        <v>26.0</v>
      </c>
      <c r="Q95" s="39" t="s">
        <v>28</v>
      </c>
      <c r="R95" s="36" t="s">
        <v>32</v>
      </c>
      <c r="S95" s="1"/>
      <c r="T95" s="39" t="s">
        <v>1536</v>
      </c>
      <c r="U95" s="83">
        <v>70.0</v>
      </c>
      <c r="V95" s="39">
        <v>26.0</v>
      </c>
      <c r="W95" s="35" t="s">
        <v>32</v>
      </c>
      <c r="X95" s="36" t="s">
        <v>32</v>
      </c>
      <c r="Y95" s="1"/>
      <c r="Z95" s="82" t="s">
        <v>1537</v>
      </c>
      <c r="AA95" s="83">
        <v>400.0</v>
      </c>
      <c r="AB95" s="39">
        <v>23.0</v>
      </c>
      <c r="AC95" s="39" t="s">
        <v>28</v>
      </c>
      <c r="AD95" s="36" t="s">
        <v>32</v>
      </c>
      <c r="AE95" s="1"/>
      <c r="AF95" s="39" t="s">
        <v>1538</v>
      </c>
      <c r="AG95" s="83">
        <v>12.0</v>
      </c>
      <c r="AH95" s="39">
        <v>21.0</v>
      </c>
      <c r="AI95" s="35" t="s">
        <v>28</v>
      </c>
      <c r="AJ95" s="36" t="s">
        <v>34</v>
      </c>
    </row>
    <row r="96">
      <c r="B96" s="39" t="s">
        <v>1539</v>
      </c>
      <c r="C96" s="83">
        <v>8.0</v>
      </c>
      <c r="D96" s="88">
        <v>29.0</v>
      </c>
      <c r="E96" s="39" t="s">
        <v>28</v>
      </c>
      <c r="F96" s="36" t="s">
        <v>34</v>
      </c>
      <c r="G96" s="1"/>
      <c r="H96" s="39" t="s">
        <v>1540</v>
      </c>
      <c r="I96" s="83">
        <v>9.0</v>
      </c>
      <c r="J96" s="88">
        <v>24.0</v>
      </c>
      <c r="K96" s="39" t="s">
        <v>28</v>
      </c>
      <c r="L96" s="36" t="s">
        <v>32</v>
      </c>
      <c r="M96" s="1"/>
      <c r="N96" s="39" t="s">
        <v>1541</v>
      </c>
      <c r="O96" s="83">
        <v>1.0</v>
      </c>
      <c r="P96" s="39">
        <v>26.0</v>
      </c>
      <c r="Q96" s="39" t="s">
        <v>32</v>
      </c>
      <c r="R96" s="36" t="s">
        <v>32</v>
      </c>
      <c r="S96" s="1"/>
      <c r="T96" s="39" t="s">
        <v>1542</v>
      </c>
      <c r="U96" s="83">
        <v>112.03</v>
      </c>
      <c r="V96" s="39">
        <v>26.0</v>
      </c>
      <c r="W96" s="35" t="s">
        <v>32</v>
      </c>
      <c r="X96" s="36" t="s">
        <v>32</v>
      </c>
      <c r="Y96" s="1"/>
      <c r="Z96" s="82" t="s">
        <v>1543</v>
      </c>
      <c r="AA96" s="83">
        <v>170.0</v>
      </c>
      <c r="AB96" s="39">
        <v>23.0</v>
      </c>
      <c r="AC96" s="39" t="s">
        <v>32</v>
      </c>
      <c r="AD96" s="36" t="s">
        <v>32</v>
      </c>
      <c r="AE96" s="1"/>
      <c r="AF96" s="39" t="s">
        <v>1544</v>
      </c>
      <c r="AG96" s="83">
        <v>10.0</v>
      </c>
      <c r="AH96" s="39">
        <v>22.0</v>
      </c>
      <c r="AI96" s="35" t="s">
        <v>32</v>
      </c>
      <c r="AJ96" s="36" t="s">
        <v>32</v>
      </c>
    </row>
    <row r="97">
      <c r="B97" s="39" t="s">
        <v>209</v>
      </c>
      <c r="C97" s="83">
        <v>106.0</v>
      </c>
      <c r="D97" s="88">
        <v>29.0</v>
      </c>
      <c r="E97" s="39" t="s">
        <v>28</v>
      </c>
      <c r="F97" s="36" t="s">
        <v>34</v>
      </c>
      <c r="G97" s="1"/>
      <c r="H97" s="39" t="s">
        <v>1545</v>
      </c>
      <c r="I97" s="83">
        <v>12.0</v>
      </c>
      <c r="J97" s="88">
        <v>24.0</v>
      </c>
      <c r="K97" s="39" t="s">
        <v>28</v>
      </c>
      <c r="L97" s="36" t="s">
        <v>32</v>
      </c>
      <c r="M97" s="1"/>
      <c r="N97" s="39" t="s">
        <v>124</v>
      </c>
      <c r="O97" s="83">
        <v>22.0</v>
      </c>
      <c r="P97" s="39">
        <v>28.0</v>
      </c>
      <c r="Q97" s="39" t="s">
        <v>28</v>
      </c>
      <c r="R97" s="36" t="s">
        <v>32</v>
      </c>
      <c r="S97" s="1"/>
      <c r="T97" s="39" t="s">
        <v>124</v>
      </c>
      <c r="U97" s="83">
        <v>173.0</v>
      </c>
      <c r="V97" s="39">
        <v>31.0</v>
      </c>
      <c r="W97" s="35" t="s">
        <v>32</v>
      </c>
      <c r="X97" s="36" t="s">
        <v>32</v>
      </c>
      <c r="Y97" s="1"/>
      <c r="Z97" s="82" t="s">
        <v>347</v>
      </c>
      <c r="AA97" s="83">
        <v>5.99</v>
      </c>
      <c r="AB97" s="39">
        <v>24.0</v>
      </c>
      <c r="AC97" s="39" t="s">
        <v>28</v>
      </c>
      <c r="AD97" s="36" t="s">
        <v>32</v>
      </c>
      <c r="AE97" s="1"/>
      <c r="AF97" s="39" t="s">
        <v>1546</v>
      </c>
      <c r="AG97" s="83">
        <v>39.0</v>
      </c>
      <c r="AH97" s="39">
        <v>22.0</v>
      </c>
      <c r="AI97" s="35" t="s">
        <v>30</v>
      </c>
      <c r="AJ97" s="36" t="s">
        <v>32</v>
      </c>
    </row>
    <row r="98">
      <c r="B98" s="39" t="s">
        <v>1547</v>
      </c>
      <c r="C98" s="83">
        <v>80.25</v>
      </c>
      <c r="D98" s="88">
        <v>29.0</v>
      </c>
      <c r="E98" s="39" t="s">
        <v>28</v>
      </c>
      <c r="F98" s="36" t="s">
        <v>34</v>
      </c>
      <c r="G98" s="1"/>
      <c r="H98" s="39" t="s">
        <v>1249</v>
      </c>
      <c r="I98" s="83">
        <v>102.0</v>
      </c>
      <c r="J98" s="88">
        <v>24.0</v>
      </c>
      <c r="K98" s="39" t="s">
        <v>28</v>
      </c>
      <c r="L98" s="36" t="s">
        <v>32</v>
      </c>
      <c r="M98" s="1"/>
      <c r="N98" s="39" t="s">
        <v>1420</v>
      </c>
      <c r="O98" s="83">
        <v>1.8</v>
      </c>
      <c r="P98" s="39">
        <v>28.0</v>
      </c>
      <c r="Q98" s="39" t="s">
        <v>32</v>
      </c>
      <c r="R98" s="36" t="s">
        <v>32</v>
      </c>
      <c r="S98" s="1"/>
      <c r="T98" s="70"/>
      <c r="U98" s="83"/>
      <c r="V98" s="39"/>
      <c r="W98" s="35"/>
      <c r="X98" s="36"/>
      <c r="Y98" s="1"/>
      <c r="Z98" s="82" t="s">
        <v>201</v>
      </c>
      <c r="AA98" s="83">
        <v>107.0</v>
      </c>
      <c r="AB98" s="39">
        <v>24.0</v>
      </c>
      <c r="AC98" s="39" t="s">
        <v>28</v>
      </c>
      <c r="AD98" s="36" t="s">
        <v>34</v>
      </c>
      <c r="AE98" s="1"/>
      <c r="AF98" s="39" t="s">
        <v>124</v>
      </c>
      <c r="AG98" s="83">
        <v>24.0</v>
      </c>
      <c r="AH98" s="39">
        <v>23.0</v>
      </c>
      <c r="AI98" s="35" t="s">
        <v>28</v>
      </c>
      <c r="AJ98" s="36" t="s">
        <v>32</v>
      </c>
    </row>
    <row r="99">
      <c r="B99" s="39" t="s">
        <v>1548</v>
      </c>
      <c r="C99" s="83">
        <v>6.0</v>
      </c>
      <c r="D99" s="88">
        <v>29.0</v>
      </c>
      <c r="E99" s="39" t="s">
        <v>28</v>
      </c>
      <c r="F99" s="36" t="s">
        <v>34</v>
      </c>
      <c r="G99" s="1"/>
      <c r="H99" s="39" t="s">
        <v>310</v>
      </c>
      <c r="I99" s="83">
        <v>35.1</v>
      </c>
      <c r="J99" s="88">
        <v>25.0</v>
      </c>
      <c r="K99" s="39" t="s">
        <v>28</v>
      </c>
      <c r="L99" s="36" t="s">
        <v>32</v>
      </c>
      <c r="M99" s="1"/>
      <c r="N99" s="70"/>
      <c r="O99" s="83"/>
      <c r="P99" s="70"/>
      <c r="Q99" s="70"/>
      <c r="S99" s="1"/>
      <c r="T99" s="70"/>
      <c r="U99" s="83"/>
      <c r="V99" s="39"/>
      <c r="W99" s="35"/>
      <c r="X99" s="36"/>
      <c r="Y99" s="1"/>
      <c r="Z99" s="82" t="s">
        <v>100</v>
      </c>
      <c r="AA99" s="83">
        <v>100.0</v>
      </c>
      <c r="AB99" s="39">
        <v>29.0</v>
      </c>
      <c r="AC99" s="39" t="s">
        <v>32</v>
      </c>
      <c r="AD99" s="36" t="s">
        <v>32</v>
      </c>
      <c r="AE99" s="1"/>
      <c r="AF99" s="39" t="s">
        <v>1549</v>
      </c>
      <c r="AG99" s="83">
        <v>64.0</v>
      </c>
      <c r="AH99" s="39">
        <v>24.0</v>
      </c>
      <c r="AI99" s="35" t="s">
        <v>28</v>
      </c>
      <c r="AJ99" s="36" t="s">
        <v>32</v>
      </c>
    </row>
    <row r="100">
      <c r="B100" s="39" t="s">
        <v>1550</v>
      </c>
      <c r="C100" s="83">
        <v>2000.0</v>
      </c>
      <c r="D100" s="88">
        <v>29.0</v>
      </c>
      <c r="E100" s="39" t="s">
        <v>28</v>
      </c>
      <c r="F100" s="36" t="s">
        <v>32</v>
      </c>
      <c r="G100" s="1"/>
      <c r="H100" s="39" t="s">
        <v>1347</v>
      </c>
      <c r="I100" s="83">
        <v>112.03</v>
      </c>
      <c r="J100" s="88">
        <v>25.0</v>
      </c>
      <c r="K100" s="39" t="s">
        <v>32</v>
      </c>
      <c r="L100" s="36" t="s">
        <v>32</v>
      </c>
      <c r="M100" s="1"/>
      <c r="N100" s="70"/>
      <c r="O100" s="83"/>
      <c r="P100" s="70"/>
      <c r="Q100" s="70"/>
      <c r="S100" s="1"/>
      <c r="T100" s="70"/>
      <c r="U100" s="83"/>
      <c r="V100" s="39"/>
      <c r="W100" s="35"/>
      <c r="X100" s="36"/>
      <c r="Y100" s="1"/>
      <c r="Z100" s="82" t="s">
        <v>618</v>
      </c>
      <c r="AA100" s="83">
        <v>12.0</v>
      </c>
      <c r="AB100" s="39">
        <v>30.0</v>
      </c>
      <c r="AC100" s="39" t="s">
        <v>32</v>
      </c>
      <c r="AD100" s="36" t="s">
        <v>32</v>
      </c>
      <c r="AE100" s="1"/>
      <c r="AF100" s="39" t="s">
        <v>1551</v>
      </c>
      <c r="AG100" s="83">
        <v>150.0</v>
      </c>
      <c r="AH100" s="39">
        <v>24.0</v>
      </c>
      <c r="AI100" s="35" t="s">
        <v>28</v>
      </c>
      <c r="AJ100" s="36" t="s">
        <v>32</v>
      </c>
    </row>
    <row r="101">
      <c r="B101" s="39" t="s">
        <v>1552</v>
      </c>
      <c r="C101" s="83">
        <v>16.0</v>
      </c>
      <c r="D101" s="88">
        <v>30.0</v>
      </c>
      <c r="E101" s="39" t="s">
        <v>28</v>
      </c>
      <c r="F101" s="36" t="s">
        <v>34</v>
      </c>
      <c r="G101" s="1"/>
      <c r="H101" s="39" t="s">
        <v>1553</v>
      </c>
      <c r="I101" s="83">
        <v>100.0</v>
      </c>
      <c r="J101" s="88">
        <v>26.0</v>
      </c>
      <c r="K101" s="39" t="s">
        <v>28</v>
      </c>
      <c r="L101" s="36" t="s">
        <v>32</v>
      </c>
      <c r="M101" s="1"/>
      <c r="N101" s="70"/>
      <c r="O101" s="83"/>
      <c r="P101" s="70"/>
      <c r="Q101" s="70"/>
      <c r="S101" s="1"/>
      <c r="T101" s="70"/>
      <c r="U101" s="83"/>
      <c r="V101" s="39"/>
      <c r="W101" s="35"/>
      <c r="X101" s="36"/>
      <c r="Y101" s="1"/>
      <c r="Z101" s="82" t="s">
        <v>1554</v>
      </c>
      <c r="AA101" s="83">
        <v>100.0</v>
      </c>
      <c r="AB101" s="39">
        <v>27.0</v>
      </c>
      <c r="AC101" s="39" t="s">
        <v>32</v>
      </c>
      <c r="AD101" s="36" t="s">
        <v>32</v>
      </c>
      <c r="AE101" s="1"/>
      <c r="AF101" s="39" t="s">
        <v>1555</v>
      </c>
      <c r="AG101" s="83">
        <v>20.0</v>
      </c>
      <c r="AH101" s="39">
        <v>24.0</v>
      </c>
      <c r="AI101" s="35" t="s">
        <v>32</v>
      </c>
      <c r="AJ101" s="36" t="s">
        <v>32</v>
      </c>
    </row>
    <row r="102">
      <c r="B102" s="39" t="s">
        <v>582</v>
      </c>
      <c r="C102" s="83">
        <v>2.0</v>
      </c>
      <c r="D102" s="88">
        <v>30.0</v>
      </c>
      <c r="E102" s="39" t="s">
        <v>28</v>
      </c>
      <c r="F102" s="36" t="s">
        <v>34</v>
      </c>
      <c r="G102" s="1"/>
      <c r="H102" s="39" t="s">
        <v>124</v>
      </c>
      <c r="I102" s="83">
        <v>100.2</v>
      </c>
      <c r="J102" s="88">
        <v>26.0</v>
      </c>
      <c r="K102" s="39" t="s">
        <v>28</v>
      </c>
      <c r="L102" s="36" t="s">
        <v>32</v>
      </c>
      <c r="M102" s="1"/>
      <c r="N102" s="70"/>
      <c r="O102" s="83"/>
      <c r="P102" s="70"/>
      <c r="Q102" s="70"/>
      <c r="S102" s="1"/>
      <c r="T102" s="70"/>
      <c r="U102" s="83"/>
      <c r="V102" s="39"/>
      <c r="W102" s="35"/>
      <c r="X102" s="36"/>
      <c r="Y102" s="1"/>
      <c r="Z102" s="82" t="s">
        <v>1556</v>
      </c>
      <c r="AA102" s="83">
        <v>188.92</v>
      </c>
      <c r="AB102" s="39">
        <v>30.0</v>
      </c>
      <c r="AC102" s="39" t="s">
        <v>28</v>
      </c>
      <c r="AD102" s="36" t="s">
        <v>32</v>
      </c>
      <c r="AE102" s="1"/>
      <c r="AF102" s="39" t="s">
        <v>533</v>
      </c>
      <c r="AG102" s="83">
        <v>45.0</v>
      </c>
      <c r="AH102" s="39">
        <v>24.0</v>
      </c>
      <c r="AI102" s="35" t="s">
        <v>28</v>
      </c>
      <c r="AJ102" s="36" t="s">
        <v>34</v>
      </c>
    </row>
    <row r="103">
      <c r="B103" s="39" t="s">
        <v>1335</v>
      </c>
      <c r="C103" s="83">
        <v>11.0</v>
      </c>
      <c r="D103" s="88">
        <v>30.0</v>
      </c>
      <c r="E103" s="39" t="s">
        <v>28</v>
      </c>
      <c r="F103" s="36" t="s">
        <v>32</v>
      </c>
      <c r="G103" s="1"/>
      <c r="H103" s="39" t="s">
        <v>310</v>
      </c>
      <c r="I103" s="83">
        <v>38.95</v>
      </c>
      <c r="J103" s="88">
        <v>28.0</v>
      </c>
      <c r="K103" s="39" t="s">
        <v>28</v>
      </c>
      <c r="L103" s="36" t="s">
        <v>32</v>
      </c>
      <c r="M103" s="1"/>
      <c r="N103" s="70"/>
      <c r="O103" s="83"/>
      <c r="P103" s="70"/>
      <c r="Q103" s="70"/>
      <c r="S103" s="1"/>
      <c r="T103" s="70"/>
      <c r="U103" s="83"/>
      <c r="V103" s="39"/>
      <c r="W103" s="35"/>
      <c r="X103" s="36"/>
      <c r="Y103" s="1"/>
      <c r="Z103" s="82" t="s">
        <v>310</v>
      </c>
      <c r="AA103" s="83">
        <v>15.9</v>
      </c>
      <c r="AB103" s="39">
        <v>30.0</v>
      </c>
      <c r="AC103" s="39" t="s">
        <v>32</v>
      </c>
      <c r="AD103" s="36" t="s">
        <v>32</v>
      </c>
      <c r="AE103" s="1"/>
      <c r="AF103" s="39" t="s">
        <v>1557</v>
      </c>
      <c r="AG103" s="83">
        <v>82.0</v>
      </c>
      <c r="AH103" s="39">
        <v>24.0</v>
      </c>
      <c r="AI103" s="35" t="s">
        <v>28</v>
      </c>
      <c r="AJ103" s="36" t="s">
        <v>34</v>
      </c>
    </row>
    <row r="104">
      <c r="B104" s="39" t="s">
        <v>966</v>
      </c>
      <c r="C104" s="83">
        <v>22.0</v>
      </c>
      <c r="D104" s="88">
        <v>31.0</v>
      </c>
      <c r="E104" s="39" t="s">
        <v>28</v>
      </c>
      <c r="F104" s="36" t="s">
        <v>32</v>
      </c>
      <c r="G104" s="1"/>
      <c r="H104" s="39" t="s">
        <v>209</v>
      </c>
      <c r="I104" s="83">
        <v>196.0</v>
      </c>
      <c r="J104" s="88">
        <v>28.0</v>
      </c>
      <c r="K104" s="39" t="s">
        <v>28</v>
      </c>
      <c r="L104" s="36" t="s">
        <v>32</v>
      </c>
      <c r="M104" s="1"/>
      <c r="N104" s="70"/>
      <c r="O104" s="83"/>
      <c r="P104" s="70"/>
      <c r="Q104" s="70"/>
      <c r="S104" s="1"/>
      <c r="T104" s="70"/>
      <c r="U104" s="83"/>
      <c r="V104" s="39"/>
      <c r="W104" s="35"/>
      <c r="X104" s="36"/>
      <c r="Y104" s="1"/>
      <c r="Z104" s="82" t="s">
        <v>1558</v>
      </c>
      <c r="AA104" s="83">
        <v>156.0</v>
      </c>
      <c r="AB104" s="39">
        <v>30.0</v>
      </c>
      <c r="AC104" s="39" t="s">
        <v>28</v>
      </c>
      <c r="AD104" s="36" t="s">
        <v>32</v>
      </c>
      <c r="AE104" s="1"/>
      <c r="AF104" s="39" t="s">
        <v>1559</v>
      </c>
      <c r="AG104" s="83">
        <v>70.0</v>
      </c>
      <c r="AH104" s="39">
        <v>24.0</v>
      </c>
      <c r="AI104" s="35" t="s">
        <v>30</v>
      </c>
      <c r="AJ104" s="36" t="s">
        <v>34</v>
      </c>
    </row>
    <row r="105">
      <c r="B105" s="39" t="s">
        <v>1560</v>
      </c>
      <c r="C105" s="83">
        <v>100.0</v>
      </c>
      <c r="D105" s="88">
        <v>31.0</v>
      </c>
      <c r="E105" s="39" t="s">
        <v>28</v>
      </c>
      <c r="F105" s="36" t="s">
        <v>32</v>
      </c>
      <c r="G105" s="1"/>
      <c r="H105" s="39" t="s">
        <v>1288</v>
      </c>
      <c r="I105" s="83">
        <v>8.5</v>
      </c>
      <c r="J105" s="88">
        <v>31.0</v>
      </c>
      <c r="K105" s="39" t="s">
        <v>28</v>
      </c>
      <c r="L105" s="36" t="s">
        <v>32</v>
      </c>
      <c r="M105" s="1"/>
      <c r="N105" s="70"/>
      <c r="O105" s="83"/>
      <c r="P105" s="70"/>
      <c r="Q105" s="70"/>
      <c r="S105" s="1"/>
      <c r="T105" s="70"/>
      <c r="U105" s="83"/>
      <c r="V105" s="39"/>
      <c r="W105" s="35"/>
      <c r="X105" s="36"/>
      <c r="Y105" s="1"/>
      <c r="Z105" s="82" t="s">
        <v>1561</v>
      </c>
      <c r="AA105" s="83">
        <v>15.0</v>
      </c>
      <c r="AB105" s="39">
        <v>30.0</v>
      </c>
      <c r="AC105" s="39" t="s">
        <v>32</v>
      </c>
      <c r="AD105" s="36" t="s">
        <v>32</v>
      </c>
      <c r="AE105" s="1"/>
      <c r="AF105" s="39" t="s">
        <v>1562</v>
      </c>
      <c r="AG105" s="83">
        <v>23.0</v>
      </c>
      <c r="AH105" s="39">
        <v>24.0</v>
      </c>
      <c r="AI105" s="35" t="s">
        <v>28</v>
      </c>
      <c r="AJ105" s="36" t="s">
        <v>34</v>
      </c>
    </row>
    <row r="106">
      <c r="B106" s="39" t="s">
        <v>1425</v>
      </c>
      <c r="C106" s="83">
        <v>20.0</v>
      </c>
      <c r="D106" s="88">
        <v>31.0</v>
      </c>
      <c r="E106" s="39" t="s">
        <v>28</v>
      </c>
      <c r="F106" s="36" t="s">
        <v>32</v>
      </c>
      <c r="G106" s="1"/>
      <c r="H106" s="39" t="s">
        <v>1491</v>
      </c>
      <c r="I106" s="83">
        <v>20.0</v>
      </c>
      <c r="J106" s="88">
        <v>31.0</v>
      </c>
      <c r="K106" s="39" t="s">
        <v>28</v>
      </c>
      <c r="L106" s="36" t="s">
        <v>32</v>
      </c>
      <c r="M106" s="1"/>
      <c r="N106" s="39"/>
      <c r="O106" s="83"/>
      <c r="P106" s="88"/>
      <c r="Q106" s="70"/>
      <c r="S106" s="1"/>
      <c r="T106" s="70"/>
      <c r="U106" s="83"/>
      <c r="V106" s="39"/>
      <c r="W106" s="35"/>
      <c r="X106" s="36"/>
      <c r="Y106" s="1"/>
      <c r="Z106" s="82" t="s">
        <v>1563</v>
      </c>
      <c r="AA106" s="83">
        <v>249.0</v>
      </c>
      <c r="AB106" s="88">
        <v>30.0</v>
      </c>
      <c r="AC106" s="39" t="s">
        <v>34</v>
      </c>
      <c r="AD106" s="36" t="s">
        <v>32</v>
      </c>
      <c r="AE106" s="1"/>
      <c r="AF106" s="39" t="s">
        <v>209</v>
      </c>
      <c r="AG106" s="83">
        <v>120.0</v>
      </c>
      <c r="AH106" s="39">
        <v>24.0</v>
      </c>
      <c r="AI106" s="35" t="s">
        <v>28</v>
      </c>
      <c r="AJ106" s="36" t="s">
        <v>34</v>
      </c>
    </row>
    <row r="107">
      <c r="B107" s="39" t="s">
        <v>1501</v>
      </c>
      <c r="C107" s="83">
        <v>30.0</v>
      </c>
      <c r="D107" s="90"/>
      <c r="E107" s="70"/>
      <c r="F107" s="64"/>
      <c r="G107" s="1"/>
      <c r="H107" s="39" t="s">
        <v>1431</v>
      </c>
      <c r="I107" s="83">
        <v>100.0</v>
      </c>
      <c r="J107" s="88">
        <v>31.0</v>
      </c>
      <c r="K107" s="39" t="s">
        <v>28</v>
      </c>
      <c r="L107" s="36" t="s">
        <v>32</v>
      </c>
      <c r="M107" s="1"/>
      <c r="N107" s="39"/>
      <c r="O107" s="83"/>
      <c r="P107" s="88"/>
      <c r="Q107" s="70"/>
      <c r="S107" s="1"/>
      <c r="T107" s="70"/>
      <c r="U107" s="83"/>
      <c r="V107" s="39"/>
      <c r="W107" s="35"/>
      <c r="X107" s="36"/>
      <c r="Y107" s="1"/>
      <c r="Z107" s="82" t="s">
        <v>124</v>
      </c>
      <c r="AA107" s="83">
        <v>57.0</v>
      </c>
      <c r="AB107" s="88">
        <v>30.0</v>
      </c>
      <c r="AC107" s="39" t="s">
        <v>32</v>
      </c>
      <c r="AD107" s="36" t="s">
        <v>32</v>
      </c>
      <c r="AE107" s="1"/>
      <c r="AF107" s="39" t="s">
        <v>1564</v>
      </c>
      <c r="AG107" s="83">
        <v>46.0</v>
      </c>
      <c r="AH107" s="39">
        <v>24.0</v>
      </c>
      <c r="AI107" s="35" t="s">
        <v>28</v>
      </c>
      <c r="AJ107" s="36" t="s">
        <v>32</v>
      </c>
    </row>
    <row r="108">
      <c r="B108" s="70"/>
      <c r="C108" s="104"/>
      <c r="D108" s="90"/>
      <c r="E108" s="70"/>
      <c r="F108" s="64"/>
      <c r="G108" s="1"/>
      <c r="H108" s="39" t="s">
        <v>310</v>
      </c>
      <c r="I108" s="83">
        <v>11.0</v>
      </c>
      <c r="J108" s="88">
        <v>31.0</v>
      </c>
      <c r="K108" s="39" t="s">
        <v>28</v>
      </c>
      <c r="L108" s="36" t="s">
        <v>32</v>
      </c>
      <c r="M108" s="1"/>
      <c r="N108" s="70"/>
      <c r="O108" s="83"/>
      <c r="P108" s="90"/>
      <c r="Q108" s="70"/>
      <c r="S108" s="1"/>
      <c r="T108" s="70"/>
      <c r="U108" s="83"/>
      <c r="V108" s="39"/>
      <c r="W108" s="35"/>
      <c r="X108" s="36"/>
      <c r="Y108" s="1"/>
      <c r="Z108" s="82" t="s">
        <v>1565</v>
      </c>
      <c r="AA108" s="83">
        <v>600.0</v>
      </c>
      <c r="AB108" s="88">
        <v>30.0</v>
      </c>
      <c r="AC108" s="39" t="s">
        <v>32</v>
      </c>
      <c r="AD108" s="36" t="s">
        <v>34</v>
      </c>
      <c r="AE108" s="1"/>
      <c r="AF108" s="39" t="s">
        <v>232</v>
      </c>
      <c r="AG108" s="83">
        <v>80.0</v>
      </c>
      <c r="AH108" s="39">
        <v>26.0</v>
      </c>
      <c r="AI108" s="35" t="s">
        <v>28</v>
      </c>
      <c r="AJ108" s="36" t="s">
        <v>32</v>
      </c>
    </row>
    <row r="109">
      <c r="B109" s="70"/>
      <c r="C109" s="104"/>
      <c r="D109" s="90"/>
      <c r="E109" s="70"/>
      <c r="F109" s="64"/>
      <c r="G109" s="1"/>
      <c r="H109" s="39" t="s">
        <v>1566</v>
      </c>
      <c r="I109" s="83">
        <v>14.99</v>
      </c>
      <c r="J109" s="88">
        <v>31.0</v>
      </c>
      <c r="K109" s="39" t="s">
        <v>32</v>
      </c>
      <c r="L109" s="36" t="s">
        <v>32</v>
      </c>
      <c r="M109" s="1"/>
      <c r="N109" s="70"/>
      <c r="O109" s="83"/>
      <c r="P109" s="90"/>
      <c r="Q109" s="70"/>
      <c r="S109" s="1"/>
      <c r="T109" s="70"/>
      <c r="U109" s="83"/>
      <c r="V109" s="39"/>
      <c r="W109" s="35"/>
      <c r="X109" s="36"/>
      <c r="Y109" s="1"/>
      <c r="Z109" s="89"/>
      <c r="AA109" s="83"/>
      <c r="AB109" s="90"/>
      <c r="AC109" s="70"/>
      <c r="AE109" s="1"/>
      <c r="AF109" s="39" t="s">
        <v>1567</v>
      </c>
      <c r="AG109" s="83">
        <v>46.8</v>
      </c>
      <c r="AH109" s="39">
        <v>26.0</v>
      </c>
      <c r="AI109" s="35" t="s">
        <v>28</v>
      </c>
      <c r="AJ109" s="36" t="s">
        <v>32</v>
      </c>
    </row>
    <row r="110">
      <c r="B110" s="70"/>
      <c r="C110" s="104"/>
      <c r="D110" s="90"/>
      <c r="E110" s="70"/>
      <c r="F110" s="64"/>
      <c r="G110" s="1"/>
      <c r="H110" s="39" t="s">
        <v>124</v>
      </c>
      <c r="I110" s="83">
        <v>-26.8</v>
      </c>
      <c r="J110" s="88">
        <v>31.0</v>
      </c>
      <c r="K110" s="39" t="s">
        <v>28</v>
      </c>
      <c r="L110" s="36" t="s">
        <v>32</v>
      </c>
      <c r="M110" s="1"/>
      <c r="N110" s="70"/>
      <c r="O110" s="83"/>
      <c r="P110" s="70"/>
      <c r="Q110" s="70"/>
      <c r="S110" s="1"/>
      <c r="T110" s="70"/>
      <c r="U110" s="83"/>
      <c r="V110" s="39"/>
      <c r="W110" s="35"/>
      <c r="X110" s="36"/>
      <c r="Y110" s="1"/>
      <c r="Z110" s="89"/>
      <c r="AA110" s="83"/>
      <c r="AB110" s="70"/>
      <c r="AC110" s="70"/>
      <c r="AE110" s="1"/>
      <c r="AF110" s="39" t="s">
        <v>214</v>
      </c>
      <c r="AG110" s="83">
        <v>70.0</v>
      </c>
      <c r="AH110" s="39">
        <v>26.0</v>
      </c>
      <c r="AI110" s="35" t="s">
        <v>28</v>
      </c>
      <c r="AJ110" s="36" t="s">
        <v>32</v>
      </c>
    </row>
    <row r="111">
      <c r="B111" s="70"/>
      <c r="C111" s="104"/>
      <c r="D111" s="90"/>
      <c r="E111" s="70"/>
      <c r="F111" s="64"/>
      <c r="G111" s="1"/>
      <c r="H111" s="70"/>
      <c r="I111" s="104"/>
      <c r="J111" s="90"/>
      <c r="K111" s="70"/>
      <c r="M111" s="1"/>
      <c r="N111" s="70"/>
      <c r="O111" s="83"/>
      <c r="P111" s="70"/>
      <c r="Q111" s="70"/>
      <c r="S111" s="1"/>
      <c r="T111" s="70"/>
      <c r="U111" s="83"/>
      <c r="V111" s="39"/>
      <c r="W111" s="35"/>
      <c r="X111" s="36"/>
      <c r="Y111" s="1"/>
      <c r="Z111" s="89"/>
      <c r="AA111" s="83"/>
      <c r="AB111" s="70"/>
      <c r="AC111" s="70"/>
      <c r="AE111" s="1"/>
      <c r="AF111" s="39" t="s">
        <v>966</v>
      </c>
      <c r="AG111" s="83">
        <v>23.23</v>
      </c>
      <c r="AH111" s="39">
        <v>28.0</v>
      </c>
      <c r="AI111" s="35" t="s">
        <v>32</v>
      </c>
      <c r="AJ111" s="36" t="s">
        <v>32</v>
      </c>
    </row>
    <row r="112">
      <c r="B112" s="70"/>
      <c r="C112" s="104"/>
      <c r="D112" s="90"/>
      <c r="E112" s="70"/>
      <c r="F112" s="64"/>
      <c r="G112" s="1"/>
      <c r="H112" s="70"/>
      <c r="I112" s="104"/>
      <c r="J112" s="90"/>
      <c r="K112" s="70"/>
      <c r="M112" s="1"/>
      <c r="N112" s="70"/>
      <c r="O112" s="83"/>
      <c r="P112" s="70"/>
      <c r="Q112" s="70"/>
      <c r="S112" s="1"/>
      <c r="T112" s="70"/>
      <c r="U112" s="83"/>
      <c r="V112" s="39"/>
      <c r="W112" s="35"/>
      <c r="X112" s="36"/>
      <c r="Y112" s="1"/>
      <c r="Z112" s="89"/>
      <c r="AA112" s="83"/>
      <c r="AB112" s="70"/>
      <c r="AC112" s="70"/>
      <c r="AE112" s="1"/>
      <c r="AF112" s="39" t="s">
        <v>124</v>
      </c>
      <c r="AG112" s="83">
        <v>72.2</v>
      </c>
      <c r="AH112" s="39">
        <v>28.0</v>
      </c>
      <c r="AI112" s="35" t="s">
        <v>28</v>
      </c>
      <c r="AJ112" s="36" t="s">
        <v>32</v>
      </c>
    </row>
    <row r="113">
      <c r="B113" s="70"/>
      <c r="C113" s="104"/>
      <c r="D113" s="90"/>
      <c r="E113" s="70"/>
      <c r="F113" s="64"/>
      <c r="G113" s="1"/>
      <c r="H113" s="70"/>
      <c r="I113" s="104"/>
      <c r="J113" s="90"/>
      <c r="K113" s="70"/>
      <c r="M113" s="1"/>
      <c r="N113" s="70"/>
      <c r="O113" s="83"/>
      <c r="P113" s="70"/>
      <c r="Q113" s="70"/>
      <c r="S113" s="1"/>
      <c r="T113" s="70"/>
      <c r="U113" s="83"/>
      <c r="V113" s="39"/>
      <c r="W113" s="35"/>
      <c r="X113" s="36"/>
      <c r="Y113" s="1"/>
      <c r="Z113" s="70"/>
      <c r="AA113" s="83"/>
      <c r="AB113" s="70"/>
      <c r="AC113" s="70"/>
      <c r="AE113" s="1"/>
      <c r="AF113" s="39" t="s">
        <v>299</v>
      </c>
      <c r="AG113" s="83">
        <v>28.0</v>
      </c>
      <c r="AH113" s="39">
        <v>28.0</v>
      </c>
      <c r="AI113" s="35" t="s">
        <v>28</v>
      </c>
      <c r="AJ113" s="36" t="s">
        <v>32</v>
      </c>
    </row>
    <row r="114">
      <c r="B114" s="70"/>
      <c r="C114" s="104"/>
      <c r="D114" s="90"/>
      <c r="E114" s="70"/>
      <c r="F114" s="64"/>
      <c r="G114" s="1"/>
      <c r="H114" s="70"/>
      <c r="I114" s="104"/>
      <c r="J114" s="90"/>
      <c r="K114" s="70"/>
      <c r="M114" s="1"/>
      <c r="N114" s="70"/>
      <c r="O114" s="83"/>
      <c r="P114" s="70"/>
      <c r="Q114" s="70"/>
      <c r="S114" s="1"/>
      <c r="T114" s="70"/>
      <c r="U114" s="83"/>
      <c r="V114" s="39"/>
      <c r="W114" s="35"/>
      <c r="X114" s="36"/>
      <c r="Y114" s="1"/>
      <c r="Z114" s="70"/>
      <c r="AA114" s="83"/>
      <c r="AB114" s="70"/>
      <c r="AC114" s="70"/>
      <c r="AE114" s="1"/>
      <c r="AF114" s="39" t="s">
        <v>1568</v>
      </c>
      <c r="AG114" s="83">
        <v>250.0</v>
      </c>
      <c r="AH114" s="39">
        <v>28.0</v>
      </c>
      <c r="AI114" s="35" t="s">
        <v>32</v>
      </c>
      <c r="AJ114" s="36" t="s">
        <v>32</v>
      </c>
    </row>
    <row r="115">
      <c r="B115" s="70"/>
      <c r="C115" s="104"/>
      <c r="D115" s="90"/>
      <c r="E115" s="70"/>
      <c r="F115" s="64"/>
      <c r="G115" s="1"/>
      <c r="H115" s="70"/>
      <c r="I115" s="104"/>
      <c r="J115" s="90"/>
      <c r="K115" s="70"/>
      <c r="M115" s="1"/>
      <c r="N115" s="70"/>
      <c r="O115" s="83"/>
      <c r="P115" s="70"/>
      <c r="Q115" s="70"/>
      <c r="S115" s="1"/>
      <c r="T115" s="70"/>
      <c r="U115" s="83"/>
      <c r="V115" s="39"/>
      <c r="W115" s="35"/>
      <c r="X115" s="36"/>
      <c r="Y115" s="1"/>
      <c r="Z115" s="70"/>
      <c r="AA115" s="83"/>
      <c r="AB115" s="70"/>
      <c r="AC115" s="70"/>
      <c r="AE115" s="1"/>
      <c r="AF115" s="39" t="s">
        <v>218</v>
      </c>
      <c r="AG115" s="83">
        <v>50.0</v>
      </c>
      <c r="AH115" s="39">
        <v>28.0</v>
      </c>
      <c r="AI115" s="35" t="s">
        <v>32</v>
      </c>
      <c r="AJ115" s="36" t="s">
        <v>32</v>
      </c>
    </row>
    <row r="116">
      <c r="B116" s="70"/>
      <c r="C116" s="104"/>
      <c r="D116" s="90"/>
      <c r="E116" s="70"/>
      <c r="F116" s="64"/>
      <c r="G116" s="1"/>
      <c r="H116" s="70"/>
      <c r="I116" s="104"/>
      <c r="J116" s="90"/>
      <c r="K116" s="70"/>
      <c r="M116" s="1"/>
      <c r="N116" s="70"/>
      <c r="O116" s="83"/>
      <c r="P116" s="70"/>
      <c r="Q116" s="70"/>
      <c r="S116" s="1"/>
      <c r="T116" s="70"/>
      <c r="U116" s="83"/>
      <c r="V116" s="39"/>
      <c r="W116" s="35"/>
      <c r="X116" s="36"/>
      <c r="Y116" s="1"/>
      <c r="Z116" s="70"/>
      <c r="AA116" s="83"/>
      <c r="AB116" s="70"/>
      <c r="AC116" s="70"/>
      <c r="AE116" s="1"/>
      <c r="AF116" s="39" t="s">
        <v>1347</v>
      </c>
      <c r="AG116" s="83">
        <v>112.03</v>
      </c>
      <c r="AH116" s="39">
        <v>28.0</v>
      </c>
      <c r="AI116" s="35" t="s">
        <v>32</v>
      </c>
      <c r="AJ116" s="36" t="s">
        <v>32</v>
      </c>
    </row>
    <row r="117">
      <c r="B117" s="70"/>
      <c r="C117" s="104"/>
      <c r="D117" s="90"/>
      <c r="E117" s="70"/>
      <c r="F117" s="64"/>
      <c r="G117" s="1"/>
      <c r="H117" s="70"/>
      <c r="I117" s="104"/>
      <c r="J117" s="90"/>
      <c r="K117" s="70"/>
      <c r="M117" s="1"/>
      <c r="N117" s="70"/>
      <c r="O117" s="83"/>
      <c r="P117" s="70"/>
      <c r="Q117" s="70"/>
      <c r="S117" s="1"/>
      <c r="T117" s="70"/>
      <c r="U117" s="83"/>
      <c r="V117" s="39"/>
      <c r="W117" s="35"/>
      <c r="X117" s="36"/>
      <c r="Y117" s="1"/>
      <c r="Z117" s="70"/>
      <c r="AA117" s="83"/>
      <c r="AB117" s="70"/>
      <c r="AC117" s="70"/>
      <c r="AE117" s="1"/>
      <c r="AF117" s="39" t="s">
        <v>1569</v>
      </c>
      <c r="AG117" s="83">
        <v>15.5</v>
      </c>
      <c r="AH117" s="39">
        <v>29.0</v>
      </c>
      <c r="AI117" s="35" t="s">
        <v>32</v>
      </c>
      <c r="AJ117" s="36" t="s">
        <v>32</v>
      </c>
    </row>
    <row r="118">
      <c r="B118" s="70"/>
      <c r="C118" s="104"/>
      <c r="D118" s="90"/>
      <c r="E118" s="70"/>
      <c r="F118" s="64"/>
      <c r="G118" s="1"/>
      <c r="H118" s="70"/>
      <c r="I118" s="104"/>
      <c r="J118" s="90"/>
      <c r="K118" s="70"/>
      <c r="M118" s="1"/>
      <c r="N118" s="70"/>
      <c r="O118" s="83"/>
      <c r="P118" s="70"/>
      <c r="Q118" s="70"/>
      <c r="S118" s="1"/>
      <c r="T118" s="70"/>
      <c r="U118" s="83"/>
      <c r="V118" s="39"/>
      <c r="W118" s="35"/>
      <c r="X118" s="36"/>
      <c r="Y118" s="1"/>
      <c r="Z118" s="70"/>
      <c r="AA118" s="83"/>
      <c r="AB118" s="70"/>
      <c r="AC118" s="70"/>
      <c r="AE118" s="1"/>
      <c r="AF118" s="39" t="s">
        <v>1570</v>
      </c>
      <c r="AG118" s="83">
        <v>5.5</v>
      </c>
      <c r="AH118" s="39">
        <v>31.0</v>
      </c>
      <c r="AI118" s="35" t="s">
        <v>32</v>
      </c>
      <c r="AJ118" s="36" t="s">
        <v>32</v>
      </c>
    </row>
    <row r="119">
      <c r="B119" s="70"/>
      <c r="C119" s="104"/>
      <c r="D119" s="90"/>
      <c r="E119" s="70"/>
      <c r="F119" s="64"/>
      <c r="G119" s="1"/>
      <c r="H119" s="70"/>
      <c r="I119" s="104"/>
      <c r="J119" s="90"/>
      <c r="K119" s="70"/>
      <c r="M119" s="1"/>
      <c r="N119" s="70"/>
      <c r="O119" s="83"/>
      <c r="P119" s="70"/>
      <c r="Q119" s="70"/>
      <c r="S119" s="1"/>
      <c r="T119" s="70"/>
      <c r="U119" s="83"/>
      <c r="V119" s="39"/>
      <c r="W119" s="35"/>
      <c r="X119" s="36"/>
      <c r="Y119" s="1"/>
      <c r="Z119" s="70"/>
      <c r="AA119" s="83"/>
      <c r="AB119" s="70"/>
      <c r="AC119" s="70"/>
      <c r="AE119" s="1"/>
      <c r="AF119" s="39" t="s">
        <v>1571</v>
      </c>
      <c r="AG119" s="83">
        <v>162.75</v>
      </c>
      <c r="AH119" s="39">
        <v>31.0</v>
      </c>
      <c r="AI119" s="35" t="s">
        <v>32</v>
      </c>
      <c r="AJ119" s="36" t="s">
        <v>32</v>
      </c>
    </row>
    <row r="120">
      <c r="B120" s="70"/>
      <c r="C120" s="104"/>
      <c r="D120" s="90"/>
      <c r="E120" s="70"/>
      <c r="F120" s="64"/>
      <c r="G120" s="1"/>
      <c r="H120" s="70"/>
      <c r="I120" s="104"/>
      <c r="J120" s="90"/>
      <c r="K120" s="70"/>
      <c r="M120" s="1"/>
      <c r="N120" s="70"/>
      <c r="O120" s="83"/>
      <c r="P120" s="70"/>
      <c r="Q120" s="70"/>
      <c r="S120" s="1"/>
      <c r="T120" s="70"/>
      <c r="U120" s="83"/>
      <c r="V120" s="39"/>
      <c r="W120" s="35"/>
      <c r="X120" s="36"/>
      <c r="Y120" s="1"/>
      <c r="Z120" s="36" t="s">
        <v>1139</v>
      </c>
      <c r="AA120" s="36">
        <v>2.0</v>
      </c>
      <c r="AB120" s="36">
        <v>10.0</v>
      </c>
      <c r="AC120" s="70"/>
      <c r="AE120" s="1"/>
    </row>
    <row r="121">
      <c r="B121" s="70"/>
      <c r="C121" s="104"/>
      <c r="D121" s="90"/>
      <c r="E121" s="70"/>
      <c r="F121" s="64"/>
      <c r="G121" s="1"/>
      <c r="H121" s="70"/>
      <c r="I121" s="104"/>
      <c r="J121" s="90"/>
      <c r="K121" s="70"/>
      <c r="M121" s="1"/>
      <c r="N121" s="70"/>
      <c r="O121" s="83"/>
      <c r="P121" s="70"/>
      <c r="Q121" s="70"/>
      <c r="S121" s="1"/>
      <c r="T121" s="70"/>
      <c r="U121" s="83"/>
      <c r="V121" s="39"/>
      <c r="W121" s="35"/>
      <c r="X121" s="36"/>
      <c r="Y121" s="1"/>
      <c r="Z121" s="36" t="s">
        <v>1144</v>
      </c>
      <c r="AA121" s="36">
        <v>100.0</v>
      </c>
      <c r="AB121" s="36">
        <v>10.0</v>
      </c>
      <c r="AC121" s="70"/>
      <c r="AE121" s="1"/>
    </row>
    <row r="122">
      <c r="B122" s="70"/>
      <c r="C122" s="104"/>
      <c r="D122" s="90"/>
      <c r="E122" s="70"/>
      <c r="F122" s="64"/>
      <c r="G122" s="1"/>
      <c r="H122" s="70"/>
      <c r="I122" s="104"/>
      <c r="J122" s="90"/>
      <c r="K122" s="70"/>
      <c r="M122" s="1"/>
      <c r="N122" s="70"/>
      <c r="O122" s="83"/>
      <c r="P122" s="70"/>
      <c r="Q122" s="70"/>
      <c r="S122" s="1"/>
      <c r="T122" s="70"/>
      <c r="U122" s="83"/>
      <c r="V122" s="39"/>
      <c r="W122" s="35"/>
      <c r="X122" s="36"/>
      <c r="Y122" s="1"/>
      <c r="Z122" s="36" t="s">
        <v>1139</v>
      </c>
      <c r="AA122" s="36">
        <v>22.0</v>
      </c>
      <c r="AB122" s="36">
        <v>11.0</v>
      </c>
      <c r="AC122" s="70"/>
      <c r="AE122" s="1"/>
    </row>
    <row r="123">
      <c r="B123" s="70"/>
      <c r="C123" s="104"/>
      <c r="D123" s="90"/>
      <c r="E123" s="70"/>
      <c r="F123" s="64"/>
      <c r="G123" s="1"/>
      <c r="H123" s="70"/>
      <c r="I123" s="104"/>
      <c r="J123" s="90"/>
      <c r="K123" s="70"/>
      <c r="M123" s="1"/>
      <c r="N123" s="70"/>
      <c r="O123" s="83"/>
      <c r="P123" s="70"/>
      <c r="Q123" s="70"/>
      <c r="S123" s="1"/>
      <c r="T123" s="70"/>
      <c r="U123" s="83"/>
      <c r="V123" s="39"/>
      <c r="W123" s="35"/>
      <c r="X123" s="36"/>
      <c r="Y123" s="1"/>
      <c r="Z123" s="36" t="s">
        <v>109</v>
      </c>
      <c r="AA123" s="36">
        <v>8.0</v>
      </c>
      <c r="AB123" s="36">
        <v>11.0</v>
      </c>
      <c r="AC123" s="70"/>
      <c r="AE123" s="1"/>
    </row>
    <row r="124">
      <c r="B124" s="70"/>
      <c r="C124" s="104"/>
      <c r="D124" s="90"/>
      <c r="E124" s="70"/>
      <c r="F124" s="64"/>
      <c r="G124" s="1"/>
      <c r="H124" s="70"/>
      <c r="I124" s="104"/>
      <c r="J124" s="90"/>
      <c r="K124" s="70"/>
      <c r="M124" s="1"/>
      <c r="N124" s="70"/>
      <c r="O124" s="83"/>
      <c r="P124" s="70"/>
      <c r="Q124" s="70"/>
      <c r="S124" s="1"/>
      <c r="T124" s="70"/>
      <c r="U124" s="83"/>
      <c r="V124" s="39"/>
      <c r="W124" s="35"/>
      <c r="X124" s="36"/>
      <c r="Y124" s="1"/>
      <c r="Z124" s="36" t="s">
        <v>1183</v>
      </c>
      <c r="AA124" s="36">
        <v>18.0</v>
      </c>
      <c r="AB124" s="36">
        <v>14.0</v>
      </c>
      <c r="AC124" s="70"/>
      <c r="AE124" s="1"/>
    </row>
    <row r="125">
      <c r="B125" s="70"/>
      <c r="C125" s="104"/>
      <c r="D125" s="90"/>
      <c r="E125" s="70"/>
      <c r="F125" s="64"/>
      <c r="G125" s="1"/>
      <c r="H125" s="70"/>
      <c r="I125" s="104"/>
      <c r="J125" s="90"/>
      <c r="K125" s="70"/>
      <c r="M125" s="1"/>
      <c r="N125" s="70"/>
      <c r="O125" s="83"/>
      <c r="P125" s="70"/>
      <c r="Q125" s="70"/>
      <c r="S125" s="1"/>
      <c r="T125" s="70"/>
      <c r="U125" s="83"/>
      <c r="V125" s="39"/>
      <c r="W125" s="35"/>
      <c r="X125" s="36"/>
      <c r="Y125" s="1"/>
      <c r="Z125" s="36" t="s">
        <v>1187</v>
      </c>
      <c r="AA125" s="36">
        <v>3.9</v>
      </c>
      <c r="AB125" s="36">
        <v>14.0</v>
      </c>
      <c r="AC125" s="70"/>
      <c r="AE125" s="1"/>
    </row>
    <row r="126">
      <c r="B126" s="70"/>
      <c r="C126" s="104"/>
      <c r="D126" s="90"/>
      <c r="E126" s="70"/>
      <c r="F126" s="64"/>
      <c r="G126" s="1"/>
      <c r="H126" s="70"/>
      <c r="I126" s="104"/>
      <c r="J126" s="90"/>
      <c r="K126" s="70"/>
      <c r="M126" s="1"/>
      <c r="N126" s="70"/>
      <c r="O126" s="83"/>
      <c r="P126" s="70"/>
      <c r="Q126" s="70"/>
      <c r="S126" s="1"/>
      <c r="T126" s="70"/>
      <c r="U126" s="83"/>
      <c r="V126" s="39"/>
      <c r="W126" s="35"/>
      <c r="X126" s="36"/>
      <c r="Y126" s="1"/>
      <c r="Z126" s="36" t="s">
        <v>34</v>
      </c>
      <c r="AA126" s="36">
        <v>50.0</v>
      </c>
      <c r="AB126" s="36">
        <v>15.0</v>
      </c>
      <c r="AC126" s="70"/>
      <c r="AE126" s="1"/>
    </row>
    <row r="127">
      <c r="B127" s="70"/>
      <c r="C127" s="104"/>
      <c r="D127" s="90"/>
      <c r="E127" s="70"/>
      <c r="F127" s="64"/>
      <c r="G127" s="1"/>
      <c r="H127" s="70"/>
      <c r="I127" s="104"/>
      <c r="J127" s="90"/>
      <c r="K127" s="70"/>
      <c r="M127" s="1"/>
      <c r="N127" s="70"/>
      <c r="O127" s="83"/>
      <c r="P127" s="70"/>
      <c r="Q127" s="70"/>
      <c r="S127" s="1"/>
      <c r="T127" s="70"/>
      <c r="U127" s="83"/>
      <c r="V127" s="39"/>
      <c r="W127" s="35"/>
      <c r="X127" s="36"/>
      <c r="Y127" s="1"/>
      <c r="Z127" s="36" t="s">
        <v>1203</v>
      </c>
      <c r="AA127" s="36">
        <v>10.0</v>
      </c>
      <c r="AB127" s="36">
        <v>16.0</v>
      </c>
      <c r="AC127" s="70"/>
      <c r="AE127" s="1"/>
    </row>
    <row r="128">
      <c r="B128" s="70"/>
      <c r="C128" s="104"/>
      <c r="D128" s="90"/>
      <c r="E128" s="70"/>
      <c r="F128" s="64"/>
      <c r="G128" s="1"/>
      <c r="H128" s="70"/>
      <c r="I128" s="104"/>
      <c r="J128" s="90"/>
      <c r="K128" s="70"/>
      <c r="M128" s="1"/>
      <c r="N128" s="70"/>
      <c r="O128" s="83"/>
      <c r="P128" s="70"/>
      <c r="Q128" s="70"/>
      <c r="S128" s="1"/>
      <c r="T128" s="70"/>
      <c r="U128" s="83"/>
      <c r="V128" s="39"/>
      <c r="W128" s="35"/>
      <c r="X128" s="36"/>
      <c r="Y128" s="1"/>
      <c r="Z128" s="36" t="s">
        <v>209</v>
      </c>
      <c r="AA128" s="36">
        <v>68.0</v>
      </c>
      <c r="AB128" s="36">
        <v>16.0</v>
      </c>
      <c r="AC128" s="70"/>
      <c r="AE128" s="1"/>
    </row>
    <row r="129">
      <c r="B129" s="70"/>
      <c r="C129" s="104"/>
      <c r="D129" s="90"/>
      <c r="E129" s="70"/>
      <c r="F129" s="64"/>
      <c r="G129" s="1"/>
      <c r="H129" s="70"/>
      <c r="I129" s="104"/>
      <c r="J129" s="90"/>
      <c r="K129" s="70"/>
      <c r="M129" s="1"/>
      <c r="N129" s="70"/>
      <c r="O129" s="83"/>
      <c r="P129" s="70"/>
      <c r="Q129" s="70"/>
      <c r="S129" s="1"/>
      <c r="T129" s="70"/>
      <c r="U129" s="83"/>
      <c r="V129" s="39"/>
      <c r="W129" s="35"/>
      <c r="X129" s="36"/>
      <c r="Y129" s="1"/>
      <c r="Z129" s="36" t="s">
        <v>214</v>
      </c>
      <c r="AA129" s="36">
        <v>56.0</v>
      </c>
      <c r="AB129" s="36">
        <v>16.0</v>
      </c>
      <c r="AC129" s="70"/>
      <c r="AE129" s="1"/>
    </row>
    <row r="130">
      <c r="B130" s="70"/>
      <c r="C130" s="104"/>
      <c r="D130" s="90"/>
      <c r="E130" s="70"/>
      <c r="F130" s="64"/>
      <c r="G130" s="1"/>
      <c r="H130" s="70"/>
      <c r="I130" s="104"/>
      <c r="J130" s="90"/>
      <c r="K130" s="70"/>
      <c r="M130" s="1"/>
      <c r="N130" s="70"/>
      <c r="O130" s="83"/>
      <c r="P130" s="70"/>
      <c r="Q130" s="70"/>
      <c r="S130" s="1"/>
      <c r="T130" s="70"/>
      <c r="U130" s="83"/>
      <c r="V130" s="39"/>
      <c r="W130" s="35"/>
      <c r="X130" s="36"/>
      <c r="Y130" s="1"/>
      <c r="Z130" s="70"/>
      <c r="AA130" s="83"/>
      <c r="AB130" s="70"/>
      <c r="AC130" s="70"/>
      <c r="AE130" s="1"/>
    </row>
    <row r="131">
      <c r="B131" s="70"/>
      <c r="C131" s="104"/>
      <c r="D131" s="90"/>
      <c r="E131" s="70"/>
      <c r="F131" s="64"/>
      <c r="G131" s="1"/>
      <c r="H131" s="70"/>
      <c r="I131" s="104"/>
      <c r="J131" s="90"/>
      <c r="K131" s="70"/>
      <c r="M131" s="1"/>
      <c r="N131" s="70"/>
      <c r="O131" s="83"/>
      <c r="P131" s="70"/>
      <c r="Q131" s="70"/>
      <c r="S131" s="1"/>
      <c r="T131" s="70"/>
      <c r="U131" s="83"/>
      <c r="V131" s="39"/>
      <c r="W131" s="35"/>
      <c r="X131" s="36"/>
      <c r="Y131" s="1"/>
      <c r="Z131" s="70"/>
      <c r="AA131" s="83"/>
      <c r="AB131" s="70"/>
      <c r="AC131" s="70"/>
      <c r="AE131" s="1"/>
    </row>
    <row r="132">
      <c r="B132" s="70"/>
      <c r="C132" s="104"/>
      <c r="D132" s="90"/>
      <c r="E132" s="70"/>
      <c r="F132" s="64"/>
      <c r="G132" s="1"/>
      <c r="H132" s="70"/>
      <c r="I132" s="104"/>
      <c r="J132" s="90"/>
      <c r="K132" s="70"/>
      <c r="M132" s="1"/>
      <c r="N132" s="70"/>
      <c r="O132" s="83"/>
      <c r="P132" s="70"/>
      <c r="Q132" s="70"/>
      <c r="S132" s="1"/>
      <c r="T132" s="70"/>
      <c r="U132" s="83"/>
      <c r="V132" s="39"/>
      <c r="W132" s="35"/>
      <c r="X132" s="36"/>
      <c r="Y132" s="1"/>
      <c r="Z132" s="70"/>
      <c r="AA132" s="83"/>
      <c r="AB132" s="70"/>
      <c r="AC132" s="70"/>
      <c r="AE132" s="1"/>
    </row>
    <row r="133">
      <c r="B133" s="70"/>
      <c r="C133" s="104"/>
      <c r="D133" s="90"/>
      <c r="E133" s="70"/>
      <c r="F133" s="64"/>
      <c r="G133" s="1"/>
      <c r="H133" s="70"/>
      <c r="I133" s="104"/>
      <c r="J133" s="90"/>
      <c r="K133" s="70"/>
      <c r="M133" s="1"/>
      <c r="N133" s="70"/>
      <c r="O133" s="83"/>
      <c r="P133" s="70"/>
      <c r="Q133" s="70"/>
      <c r="S133" s="1"/>
      <c r="T133" s="70"/>
      <c r="U133" s="83"/>
      <c r="V133" s="39"/>
      <c r="W133" s="35"/>
      <c r="X133" s="36"/>
      <c r="Y133" s="1"/>
      <c r="Z133" s="70"/>
      <c r="AA133" s="83"/>
      <c r="AB133" s="70"/>
      <c r="AC133" s="70"/>
      <c r="AE133" s="1"/>
    </row>
    <row r="134">
      <c r="B134" s="70"/>
      <c r="C134" s="104"/>
      <c r="D134" s="90"/>
      <c r="E134" s="70"/>
      <c r="F134" s="64"/>
      <c r="G134" s="1"/>
      <c r="H134" s="70"/>
      <c r="I134" s="104"/>
      <c r="J134" s="90"/>
      <c r="K134" s="70"/>
      <c r="M134" s="1"/>
      <c r="N134" s="70"/>
      <c r="O134" s="83"/>
      <c r="P134" s="70"/>
      <c r="Q134" s="70"/>
      <c r="S134" s="1"/>
      <c r="T134" s="70"/>
      <c r="U134" s="83"/>
      <c r="V134" s="39"/>
      <c r="W134" s="35"/>
      <c r="X134" s="36"/>
      <c r="Y134" s="1"/>
      <c r="Z134" s="70"/>
      <c r="AA134" s="83"/>
      <c r="AB134" s="70"/>
      <c r="AC134" s="70"/>
      <c r="AE134" s="1"/>
    </row>
    <row r="135">
      <c r="B135" s="70"/>
      <c r="C135" s="104"/>
      <c r="D135" s="90"/>
      <c r="E135" s="70"/>
      <c r="F135" s="64"/>
      <c r="G135" s="1"/>
      <c r="H135" s="70"/>
      <c r="I135" s="104"/>
      <c r="J135" s="90"/>
      <c r="K135" s="70"/>
      <c r="M135" s="1"/>
      <c r="N135" s="70"/>
      <c r="O135" s="83"/>
      <c r="P135" s="70"/>
      <c r="Q135" s="70"/>
      <c r="S135" s="1"/>
      <c r="T135" s="70"/>
      <c r="U135" s="83"/>
      <c r="V135" s="39"/>
      <c r="W135" s="35"/>
      <c r="X135" s="36"/>
      <c r="Y135" s="1"/>
      <c r="Z135" s="70"/>
      <c r="AA135" s="83"/>
      <c r="AB135" s="70"/>
      <c r="AC135" s="70"/>
      <c r="AE135" s="1"/>
    </row>
    <row r="136">
      <c r="B136" s="70"/>
      <c r="C136" s="104"/>
      <c r="D136" s="90"/>
      <c r="E136" s="70"/>
      <c r="F136" s="64"/>
      <c r="G136" s="1"/>
      <c r="H136" s="70"/>
      <c r="I136" s="104"/>
      <c r="J136" s="90"/>
      <c r="K136" s="70"/>
      <c r="M136" s="1"/>
      <c r="N136" s="70"/>
      <c r="O136" s="83"/>
      <c r="P136" s="70"/>
      <c r="Q136" s="70"/>
      <c r="S136" s="1"/>
      <c r="T136" s="70"/>
      <c r="U136" s="83"/>
      <c r="V136" s="39"/>
      <c r="W136" s="35"/>
      <c r="X136" s="36"/>
      <c r="Y136" s="1"/>
      <c r="Z136" s="70"/>
      <c r="AA136" s="83"/>
      <c r="AB136" s="70"/>
      <c r="AC136" s="70"/>
      <c r="AE136" s="1"/>
    </row>
    <row r="137">
      <c r="B137" s="70"/>
      <c r="C137" s="104"/>
      <c r="D137" s="90"/>
      <c r="E137" s="70"/>
      <c r="F137" s="64"/>
      <c r="G137" s="1"/>
      <c r="H137" s="70"/>
      <c r="I137" s="104"/>
      <c r="J137" s="90"/>
      <c r="K137" s="70"/>
      <c r="M137" s="1"/>
      <c r="N137" s="70"/>
      <c r="O137" s="83"/>
      <c r="P137" s="70"/>
      <c r="Q137" s="70"/>
      <c r="S137" s="1"/>
      <c r="T137" s="70"/>
      <c r="U137" s="83"/>
      <c r="V137" s="39"/>
      <c r="W137" s="35"/>
      <c r="X137" s="36"/>
      <c r="Y137" s="1"/>
      <c r="Z137" s="70"/>
      <c r="AA137" s="83"/>
      <c r="AB137" s="70"/>
      <c r="AC137" s="70"/>
      <c r="AE137" s="1"/>
    </row>
    <row r="138">
      <c r="B138" s="70"/>
      <c r="C138" s="104"/>
      <c r="D138" s="90"/>
      <c r="E138" s="70"/>
      <c r="F138" s="64"/>
      <c r="G138" s="1"/>
      <c r="H138" s="70"/>
      <c r="I138" s="104"/>
      <c r="J138" s="90"/>
      <c r="K138" s="70"/>
      <c r="M138" s="1"/>
      <c r="N138" s="70"/>
      <c r="O138" s="83"/>
      <c r="P138" s="70"/>
      <c r="Q138" s="70"/>
      <c r="S138" s="1"/>
      <c r="T138" s="70"/>
      <c r="U138" s="83"/>
      <c r="V138" s="39"/>
      <c r="W138" s="35"/>
      <c r="X138" s="36"/>
      <c r="Y138" s="1"/>
      <c r="Z138" s="70"/>
      <c r="AA138" s="83"/>
      <c r="AB138" s="70"/>
      <c r="AC138" s="70"/>
      <c r="AE138" s="1"/>
    </row>
    <row r="139">
      <c r="B139" s="70"/>
      <c r="C139" s="104"/>
      <c r="D139" s="90"/>
      <c r="E139" s="70"/>
      <c r="F139" s="64"/>
      <c r="G139" s="1"/>
      <c r="H139" s="70"/>
      <c r="I139" s="104"/>
      <c r="J139" s="90"/>
      <c r="K139" s="70"/>
      <c r="M139" s="1"/>
      <c r="N139" s="70"/>
      <c r="O139" s="83"/>
      <c r="P139" s="70"/>
      <c r="Q139" s="70"/>
      <c r="S139" s="1"/>
      <c r="T139" s="70"/>
      <c r="U139" s="83"/>
      <c r="V139" s="39"/>
      <c r="W139" s="35"/>
      <c r="X139" s="36"/>
      <c r="Y139" s="1"/>
      <c r="Z139" s="70"/>
      <c r="AA139" s="83"/>
      <c r="AB139" s="70"/>
      <c r="AC139" s="70"/>
      <c r="AE139" s="1"/>
    </row>
    <row r="140">
      <c r="B140" s="70"/>
      <c r="C140" s="104"/>
      <c r="D140" s="90"/>
      <c r="E140" s="70"/>
      <c r="F140" s="64"/>
      <c r="G140" s="1"/>
      <c r="H140" s="70"/>
      <c r="I140" s="104"/>
      <c r="J140" s="90"/>
      <c r="K140" s="70"/>
      <c r="M140" s="1"/>
      <c r="N140" s="70"/>
      <c r="O140" s="83"/>
      <c r="P140" s="70"/>
      <c r="Q140" s="70"/>
      <c r="S140" s="1"/>
      <c r="T140" s="70"/>
      <c r="U140" s="83"/>
      <c r="V140" s="39"/>
      <c r="W140" s="35"/>
      <c r="X140" s="36"/>
      <c r="Y140" s="1"/>
      <c r="Z140" s="70"/>
      <c r="AA140" s="83"/>
      <c r="AB140" s="70"/>
      <c r="AC140" s="70"/>
      <c r="AE140" s="1"/>
    </row>
    <row r="141">
      <c r="B141" s="70"/>
      <c r="C141" s="104"/>
      <c r="D141" s="90"/>
      <c r="E141" s="70"/>
      <c r="F141" s="64"/>
      <c r="G141" s="1"/>
      <c r="H141" s="70"/>
      <c r="I141" s="104"/>
      <c r="J141" s="90"/>
      <c r="K141" s="70"/>
      <c r="M141" s="1"/>
      <c r="N141" s="70"/>
      <c r="O141" s="83"/>
      <c r="P141" s="70"/>
      <c r="Q141" s="70"/>
      <c r="S141" s="1"/>
      <c r="T141" s="70"/>
      <c r="U141" s="83"/>
      <c r="V141" s="39"/>
      <c r="W141" s="35"/>
      <c r="X141" s="36"/>
      <c r="Y141" s="1"/>
      <c r="Z141" s="70"/>
      <c r="AA141" s="83"/>
      <c r="AB141" s="70"/>
      <c r="AC141" s="70"/>
      <c r="AE141" s="1"/>
    </row>
    <row r="142">
      <c r="B142" s="70"/>
      <c r="C142" s="104"/>
      <c r="D142" s="90"/>
      <c r="E142" s="70"/>
      <c r="F142" s="64"/>
      <c r="G142" s="1"/>
      <c r="H142" s="70"/>
      <c r="I142" s="104"/>
      <c r="J142" s="90"/>
      <c r="K142" s="70"/>
      <c r="M142" s="1"/>
      <c r="N142" s="70"/>
      <c r="P142" s="70"/>
      <c r="Q142" s="70"/>
      <c r="S142" s="1"/>
      <c r="T142" s="70"/>
      <c r="U142" s="83"/>
      <c r="V142" s="39"/>
      <c r="W142" s="35"/>
      <c r="X142" s="36"/>
      <c r="Y142" s="1"/>
      <c r="Z142" s="70"/>
      <c r="AB142" s="70"/>
      <c r="AC142" s="70"/>
      <c r="AE142" s="1"/>
    </row>
    <row r="143">
      <c r="B143" s="70"/>
      <c r="C143" s="104"/>
      <c r="D143" s="90"/>
      <c r="E143" s="70"/>
      <c r="F143" s="64"/>
      <c r="G143" s="1"/>
      <c r="H143" s="70"/>
      <c r="I143" s="104"/>
      <c r="J143" s="90"/>
      <c r="K143" s="70"/>
      <c r="M143" s="1"/>
      <c r="N143" s="70"/>
      <c r="P143" s="70"/>
      <c r="Q143" s="70"/>
      <c r="S143" s="1"/>
      <c r="T143" s="70"/>
      <c r="U143" s="83"/>
      <c r="V143" s="39"/>
      <c r="W143" s="35"/>
      <c r="X143" s="36"/>
      <c r="Y143" s="1"/>
      <c r="Z143" s="70"/>
      <c r="AB143" s="70"/>
      <c r="AC143" s="70"/>
      <c r="AE143" s="1"/>
    </row>
    <row r="144">
      <c r="B144" s="70"/>
      <c r="C144" s="104"/>
      <c r="D144" s="90"/>
      <c r="E144" s="70"/>
      <c r="F144" s="64"/>
      <c r="G144" s="1"/>
      <c r="H144" s="70"/>
      <c r="I144" s="104"/>
      <c r="J144" s="90"/>
      <c r="K144" s="70"/>
      <c r="M144" s="1"/>
      <c r="N144" s="70"/>
      <c r="P144" s="70"/>
      <c r="Q144" s="70"/>
      <c r="S144" s="1"/>
      <c r="T144" s="70"/>
      <c r="U144" s="83"/>
      <c r="V144" s="39"/>
      <c r="W144" s="35"/>
      <c r="X144" s="36"/>
      <c r="Y144" s="1"/>
      <c r="Z144" s="70"/>
      <c r="AB144" s="70"/>
      <c r="AC144" s="70"/>
      <c r="AE144" s="1"/>
    </row>
    <row r="145">
      <c r="B145" s="70"/>
      <c r="C145" s="104"/>
      <c r="D145" s="90"/>
      <c r="E145" s="70"/>
      <c r="F145" s="64"/>
      <c r="G145" s="1"/>
      <c r="H145" s="70"/>
      <c r="I145" s="104"/>
      <c r="J145" s="90"/>
      <c r="K145" s="70"/>
      <c r="M145" s="1"/>
      <c r="N145" s="70"/>
      <c r="P145" s="70"/>
      <c r="Q145" s="70"/>
      <c r="S145" s="1"/>
      <c r="T145" s="70"/>
      <c r="U145" s="83"/>
      <c r="V145" s="39"/>
      <c r="W145" s="35"/>
      <c r="X145" s="36"/>
      <c r="Y145" s="1"/>
      <c r="Z145" s="70"/>
      <c r="AB145" s="70"/>
      <c r="AC145" s="70"/>
      <c r="AE145" s="1"/>
    </row>
    <row r="146">
      <c r="B146" s="70"/>
      <c r="C146" s="104"/>
      <c r="D146" s="90"/>
      <c r="E146" s="70"/>
      <c r="F146" s="64"/>
      <c r="G146" s="1"/>
      <c r="H146" s="70"/>
      <c r="I146" s="104"/>
      <c r="J146" s="90"/>
      <c r="K146" s="70"/>
      <c r="M146" s="1"/>
      <c r="N146" s="70"/>
      <c r="P146" s="70"/>
      <c r="Q146" s="70"/>
      <c r="S146" s="1"/>
      <c r="T146" s="70"/>
      <c r="U146" s="83"/>
      <c r="V146" s="39"/>
      <c r="W146" s="35"/>
      <c r="X146" s="36"/>
      <c r="Y146" s="1"/>
      <c r="Z146" s="70"/>
      <c r="AB146" s="70"/>
      <c r="AC146" s="70"/>
      <c r="AE146" s="1"/>
    </row>
    <row r="147">
      <c r="B147" s="70"/>
      <c r="C147" s="104"/>
      <c r="D147" s="90"/>
      <c r="E147" s="70"/>
      <c r="F147" s="64"/>
      <c r="G147" s="1"/>
      <c r="H147" s="70"/>
      <c r="I147" s="104"/>
      <c r="J147" s="90"/>
      <c r="K147" s="70"/>
      <c r="M147" s="1"/>
      <c r="N147" s="70"/>
      <c r="P147" s="70"/>
      <c r="Q147" s="70"/>
      <c r="S147" s="1"/>
      <c r="T147" s="70"/>
      <c r="U147" s="83"/>
      <c r="V147" s="39"/>
      <c r="W147" s="35"/>
      <c r="X147" s="36"/>
      <c r="Y147" s="1"/>
      <c r="Z147" s="70"/>
      <c r="AB147" s="70"/>
      <c r="AC147" s="70"/>
      <c r="AE147" s="1"/>
    </row>
    <row r="148">
      <c r="B148" s="70"/>
      <c r="C148" s="104"/>
      <c r="D148" s="90"/>
      <c r="E148" s="70"/>
      <c r="F148" s="64"/>
      <c r="G148" s="1"/>
      <c r="H148" s="70"/>
      <c r="I148" s="104"/>
      <c r="J148" s="90"/>
      <c r="K148" s="70"/>
      <c r="M148" s="1"/>
      <c r="N148" s="70"/>
      <c r="P148" s="70"/>
      <c r="Q148" s="70"/>
      <c r="S148" s="1"/>
      <c r="T148" s="70"/>
      <c r="U148" s="83"/>
      <c r="V148" s="39"/>
      <c r="W148" s="35"/>
      <c r="X148" s="36"/>
      <c r="Y148" s="1"/>
      <c r="Z148" s="70"/>
      <c r="AB148" s="70"/>
      <c r="AC148" s="70"/>
      <c r="AE148" s="1"/>
    </row>
    <row r="149">
      <c r="B149" s="70"/>
      <c r="C149" s="104"/>
      <c r="D149" s="90"/>
      <c r="E149" s="70"/>
      <c r="F149" s="64"/>
      <c r="G149" s="1"/>
      <c r="H149" s="70"/>
      <c r="I149" s="104"/>
      <c r="J149" s="90"/>
      <c r="K149" s="70"/>
      <c r="M149" s="1"/>
      <c r="N149" s="70"/>
      <c r="P149" s="70"/>
      <c r="Q149" s="70"/>
      <c r="S149" s="1"/>
      <c r="T149" s="70"/>
      <c r="U149" s="83"/>
      <c r="V149" s="39"/>
      <c r="W149" s="35"/>
      <c r="X149" s="36"/>
      <c r="Y149" s="1"/>
      <c r="Z149" s="70"/>
      <c r="AB149" s="70"/>
      <c r="AC149" s="70"/>
      <c r="AE149" s="1"/>
    </row>
    <row r="150">
      <c r="B150" s="70"/>
      <c r="C150" s="104"/>
      <c r="D150" s="90"/>
      <c r="E150" s="70"/>
      <c r="F150" s="64"/>
      <c r="G150" s="1"/>
      <c r="H150" s="70"/>
      <c r="I150" s="104"/>
      <c r="J150" s="90"/>
      <c r="K150" s="70"/>
      <c r="M150" s="1"/>
      <c r="N150" s="70"/>
      <c r="P150" s="70"/>
      <c r="Q150" s="70"/>
      <c r="S150" s="1"/>
      <c r="T150" s="70"/>
      <c r="U150" s="83"/>
      <c r="V150" s="39"/>
      <c r="W150" s="35"/>
      <c r="X150" s="36"/>
      <c r="Y150" s="1"/>
      <c r="Z150" s="70"/>
      <c r="AB150" s="70"/>
      <c r="AC150" s="70"/>
      <c r="AE150" s="1"/>
    </row>
    <row r="151">
      <c r="B151" s="70"/>
      <c r="C151" s="104"/>
      <c r="D151" s="90"/>
      <c r="E151" s="70"/>
      <c r="F151" s="64"/>
      <c r="G151" s="1"/>
      <c r="H151" s="70"/>
      <c r="I151" s="104"/>
      <c r="J151" s="90"/>
      <c r="K151" s="70"/>
      <c r="M151" s="1"/>
      <c r="N151" s="70"/>
      <c r="P151" s="70"/>
      <c r="Q151" s="70"/>
      <c r="S151" s="1"/>
      <c r="T151" s="70"/>
      <c r="U151" s="83"/>
      <c r="V151" s="39"/>
      <c r="W151" s="35"/>
      <c r="X151" s="36"/>
      <c r="Y151" s="1"/>
      <c r="Z151" s="70"/>
      <c r="AB151" s="70"/>
      <c r="AC151" s="70"/>
      <c r="AE151" s="1"/>
    </row>
    <row r="152">
      <c r="B152" s="70"/>
      <c r="C152" s="104"/>
      <c r="D152" s="90"/>
      <c r="E152" s="70"/>
      <c r="F152" s="64"/>
      <c r="G152" s="1"/>
      <c r="H152" s="70"/>
      <c r="I152" s="104"/>
      <c r="J152" s="90"/>
      <c r="K152" s="70"/>
      <c r="M152" s="1"/>
      <c r="N152" s="70"/>
      <c r="P152" s="70"/>
      <c r="Q152" s="70"/>
      <c r="S152" s="1"/>
      <c r="T152" s="70"/>
      <c r="U152" s="83"/>
      <c r="V152" s="39"/>
      <c r="W152" s="35"/>
      <c r="X152" s="36"/>
      <c r="Y152" s="1"/>
      <c r="Z152" s="70"/>
      <c r="AB152" s="70"/>
      <c r="AC152" s="70"/>
      <c r="AE152" s="1"/>
    </row>
    <row r="153">
      <c r="B153" s="70"/>
      <c r="C153" s="104"/>
      <c r="D153" s="90"/>
      <c r="E153" s="70"/>
      <c r="F153" s="64"/>
      <c r="G153" s="1"/>
      <c r="H153" s="70"/>
      <c r="I153" s="104"/>
      <c r="J153" s="90"/>
      <c r="K153" s="70"/>
      <c r="M153" s="1"/>
      <c r="N153" s="70"/>
      <c r="P153" s="70"/>
      <c r="Q153" s="70"/>
      <c r="S153" s="1"/>
      <c r="T153" s="70"/>
      <c r="U153" s="83"/>
      <c r="V153" s="39"/>
      <c r="Y153" s="1"/>
      <c r="Z153" s="70"/>
      <c r="AB153" s="70"/>
      <c r="AC153" s="70"/>
      <c r="AE153" s="1"/>
    </row>
    <row r="154">
      <c r="B154" s="70"/>
      <c r="C154" s="104"/>
      <c r="D154" s="90"/>
      <c r="E154" s="70"/>
      <c r="F154" s="64"/>
      <c r="G154" s="1"/>
      <c r="H154" s="70"/>
      <c r="I154" s="104"/>
      <c r="J154" s="90"/>
      <c r="K154" s="70"/>
      <c r="M154" s="1"/>
      <c r="N154" s="70"/>
      <c r="P154" s="70"/>
      <c r="Q154" s="70"/>
      <c r="S154" s="1"/>
      <c r="T154" s="70"/>
      <c r="U154" s="83"/>
      <c r="V154" s="39"/>
      <c r="Y154" s="1"/>
      <c r="Z154" s="70"/>
      <c r="AB154" s="70"/>
      <c r="AC154" s="70"/>
      <c r="AE154" s="1"/>
    </row>
    <row r="155">
      <c r="B155" s="70"/>
      <c r="C155" s="104"/>
      <c r="D155" s="90"/>
      <c r="E155" s="70"/>
      <c r="F155" s="64"/>
      <c r="G155" s="1"/>
      <c r="H155" s="70"/>
      <c r="I155" s="104"/>
      <c r="J155" s="90"/>
      <c r="K155" s="70"/>
      <c r="M155" s="1"/>
      <c r="N155" s="70"/>
      <c r="P155" s="70"/>
      <c r="Q155" s="70"/>
      <c r="S155" s="1"/>
      <c r="T155" s="70"/>
      <c r="U155" s="83"/>
      <c r="V155" s="39"/>
      <c r="Y155" s="1"/>
      <c r="Z155" s="70"/>
      <c r="AB155" s="70"/>
      <c r="AC155" s="70"/>
      <c r="AE155" s="1"/>
    </row>
    <row r="156">
      <c r="B156" s="70"/>
      <c r="C156" s="104"/>
      <c r="D156" s="90"/>
      <c r="E156" s="70"/>
      <c r="F156" s="64"/>
      <c r="G156" s="1"/>
      <c r="H156" s="70"/>
      <c r="I156" s="104"/>
      <c r="J156" s="90"/>
      <c r="K156" s="70"/>
      <c r="M156" s="1"/>
      <c r="N156" s="70"/>
      <c r="P156" s="70"/>
      <c r="Q156" s="70"/>
      <c r="S156" s="1"/>
      <c r="T156" s="70"/>
      <c r="U156" s="83"/>
      <c r="V156" s="39"/>
      <c r="Y156" s="1"/>
      <c r="Z156" s="70"/>
      <c r="AB156" s="70"/>
      <c r="AC156" s="70"/>
      <c r="AE156" s="1"/>
    </row>
    <row r="157">
      <c r="B157" s="70"/>
      <c r="C157" s="104"/>
      <c r="D157" s="90"/>
      <c r="E157" s="70"/>
      <c r="F157" s="64"/>
      <c r="G157" s="1"/>
      <c r="H157" s="70"/>
      <c r="I157" s="104"/>
      <c r="J157" s="90"/>
      <c r="K157" s="70"/>
      <c r="M157" s="1"/>
      <c r="N157" s="70"/>
      <c r="P157" s="70"/>
      <c r="Q157" s="70"/>
      <c r="S157" s="1"/>
      <c r="T157" s="70"/>
      <c r="U157" s="83"/>
      <c r="V157" s="39"/>
      <c r="Y157" s="1"/>
      <c r="Z157" s="70"/>
      <c r="AB157" s="70"/>
      <c r="AC157" s="70"/>
      <c r="AE157" s="1"/>
    </row>
    <row r="158">
      <c r="B158" s="70"/>
      <c r="C158" s="104"/>
      <c r="D158" s="90"/>
      <c r="E158" s="70"/>
      <c r="F158" s="64"/>
      <c r="G158" s="1"/>
      <c r="H158" s="70"/>
      <c r="I158" s="104"/>
      <c r="J158" s="90"/>
      <c r="K158" s="70"/>
      <c r="M158" s="1"/>
      <c r="N158" s="70"/>
      <c r="P158" s="70"/>
      <c r="Q158" s="70"/>
      <c r="S158" s="1"/>
      <c r="T158" s="70"/>
      <c r="U158" s="83"/>
      <c r="V158" s="39"/>
      <c r="Y158" s="1"/>
      <c r="Z158" s="70"/>
      <c r="AB158" s="70"/>
      <c r="AC158" s="70"/>
      <c r="AE158" s="1"/>
    </row>
    <row r="159">
      <c r="B159" s="70"/>
      <c r="C159" s="104"/>
      <c r="D159" s="90"/>
      <c r="E159" s="70"/>
      <c r="F159" s="64"/>
      <c r="G159" s="1"/>
      <c r="H159" s="70"/>
      <c r="I159" s="104"/>
      <c r="J159" s="90"/>
      <c r="K159" s="70"/>
      <c r="M159" s="1"/>
      <c r="N159" s="70"/>
      <c r="P159" s="70"/>
      <c r="Q159" s="70"/>
      <c r="S159" s="1"/>
      <c r="T159" s="70"/>
      <c r="U159" s="83"/>
      <c r="V159" s="39"/>
      <c r="Y159" s="1"/>
      <c r="Z159" s="70"/>
      <c r="AB159" s="70"/>
      <c r="AC159" s="70"/>
      <c r="AE159" s="1"/>
    </row>
    <row r="160">
      <c r="B160" s="70"/>
      <c r="C160" s="104"/>
      <c r="D160" s="90"/>
      <c r="E160" s="70"/>
      <c r="F160" s="64"/>
      <c r="G160" s="1"/>
      <c r="H160" s="70"/>
      <c r="I160" s="104"/>
      <c r="J160" s="90"/>
      <c r="K160" s="70"/>
      <c r="M160" s="1"/>
      <c r="N160" s="70"/>
      <c r="P160" s="70"/>
      <c r="Q160" s="70"/>
      <c r="S160" s="1"/>
      <c r="T160" s="70"/>
      <c r="U160" s="83"/>
      <c r="V160" s="39"/>
      <c r="Y160" s="1"/>
      <c r="Z160" s="70"/>
      <c r="AB160" s="70"/>
      <c r="AC160" s="70"/>
      <c r="AE160" s="1"/>
    </row>
    <row r="161">
      <c r="B161" s="70"/>
      <c r="C161" s="104"/>
      <c r="D161" s="90"/>
      <c r="E161" s="70"/>
      <c r="F161" s="64"/>
      <c r="G161" s="1"/>
      <c r="H161" s="70"/>
      <c r="I161" s="104"/>
      <c r="J161" s="90"/>
      <c r="K161" s="70"/>
      <c r="M161" s="1"/>
      <c r="N161" s="70"/>
      <c r="P161" s="70"/>
      <c r="Q161" s="70"/>
      <c r="S161" s="1"/>
      <c r="T161" s="70"/>
      <c r="U161" s="83"/>
      <c r="V161" s="39"/>
      <c r="Y161" s="1"/>
      <c r="Z161" s="70"/>
      <c r="AB161" s="70"/>
      <c r="AC161" s="70"/>
      <c r="AE161" s="1"/>
    </row>
    <row r="162">
      <c r="B162" s="70"/>
      <c r="C162" s="104"/>
      <c r="D162" s="90"/>
      <c r="E162" s="70"/>
      <c r="F162" s="64"/>
      <c r="G162" s="1"/>
      <c r="H162" s="70"/>
      <c r="I162" s="104"/>
      <c r="J162" s="90"/>
      <c r="K162" s="70"/>
      <c r="M162" s="1"/>
      <c r="N162" s="70"/>
      <c r="P162" s="70"/>
      <c r="Q162" s="70"/>
      <c r="S162" s="1"/>
      <c r="T162" s="70"/>
      <c r="U162" s="83"/>
      <c r="V162" s="39"/>
      <c r="Y162" s="1"/>
      <c r="Z162" s="70"/>
      <c r="AB162" s="70"/>
      <c r="AC162" s="70"/>
      <c r="AE162" s="1"/>
    </row>
    <row r="163">
      <c r="B163" s="70"/>
      <c r="C163" s="104"/>
      <c r="D163" s="90"/>
      <c r="E163" s="70"/>
      <c r="F163" s="64"/>
      <c r="G163" s="1"/>
      <c r="H163" s="70"/>
      <c r="I163" s="104"/>
      <c r="J163" s="90"/>
      <c r="K163" s="70"/>
      <c r="M163" s="1"/>
      <c r="N163" s="70"/>
      <c r="P163" s="70"/>
      <c r="Q163" s="70"/>
      <c r="S163" s="1"/>
      <c r="T163" s="70"/>
      <c r="U163" s="83"/>
      <c r="V163" s="39"/>
      <c r="Y163" s="1"/>
      <c r="Z163" s="70"/>
      <c r="AB163" s="70"/>
      <c r="AC163" s="70"/>
      <c r="AE163" s="1"/>
    </row>
    <row r="164">
      <c r="B164" s="70"/>
      <c r="C164" s="104"/>
      <c r="D164" s="90"/>
      <c r="E164" s="70"/>
      <c r="F164" s="64"/>
      <c r="G164" s="1"/>
      <c r="H164" s="70"/>
      <c r="I164" s="104"/>
      <c r="J164" s="90"/>
      <c r="K164" s="70"/>
      <c r="M164" s="1"/>
      <c r="N164" s="70"/>
      <c r="P164" s="70"/>
      <c r="Q164" s="70"/>
      <c r="S164" s="1"/>
      <c r="T164" s="70"/>
      <c r="U164" s="83"/>
      <c r="V164" s="39"/>
      <c r="Y164" s="1"/>
      <c r="Z164" s="70"/>
      <c r="AB164" s="70"/>
      <c r="AC164" s="70"/>
      <c r="AE164" s="1"/>
    </row>
    <row r="165">
      <c r="B165" s="70"/>
      <c r="C165" s="104"/>
      <c r="D165" s="90"/>
      <c r="E165" s="70"/>
      <c r="F165" s="64"/>
      <c r="G165" s="1"/>
      <c r="H165" s="70"/>
      <c r="I165" s="104"/>
      <c r="J165" s="90"/>
      <c r="K165" s="70"/>
      <c r="M165" s="1"/>
      <c r="N165" s="70"/>
      <c r="P165" s="70"/>
      <c r="Q165" s="70"/>
      <c r="S165" s="1"/>
      <c r="T165" s="70"/>
      <c r="U165" s="83"/>
      <c r="V165" s="39"/>
      <c r="Y165" s="1"/>
      <c r="Z165" s="70"/>
      <c r="AB165" s="70"/>
      <c r="AC165" s="70"/>
      <c r="AE165" s="1"/>
    </row>
    <row r="166">
      <c r="B166" s="70"/>
      <c r="C166" s="104"/>
      <c r="D166" s="90"/>
      <c r="E166" s="70"/>
      <c r="F166" s="64"/>
      <c r="G166" s="1"/>
      <c r="H166" s="70"/>
      <c r="I166" s="104"/>
      <c r="J166" s="90"/>
      <c r="K166" s="70"/>
      <c r="M166" s="1"/>
      <c r="N166" s="70"/>
      <c r="P166" s="70"/>
      <c r="Q166" s="70"/>
      <c r="S166" s="1"/>
      <c r="T166" s="70"/>
      <c r="U166" s="83"/>
      <c r="V166" s="39"/>
      <c r="Y166" s="1"/>
      <c r="Z166" s="70"/>
      <c r="AB166" s="70"/>
      <c r="AC166" s="70"/>
      <c r="AE166" s="1"/>
    </row>
    <row r="167">
      <c r="B167" s="70"/>
      <c r="C167" s="104"/>
      <c r="D167" s="90"/>
      <c r="E167" s="70"/>
      <c r="F167" s="64"/>
      <c r="G167" s="1"/>
      <c r="H167" s="70"/>
      <c r="I167" s="104"/>
      <c r="J167" s="90"/>
      <c r="K167" s="70"/>
      <c r="M167" s="1"/>
      <c r="N167" s="70"/>
      <c r="P167" s="70"/>
      <c r="Q167" s="70"/>
      <c r="S167" s="1"/>
      <c r="T167" s="70"/>
      <c r="U167" s="83"/>
      <c r="V167" s="39"/>
      <c r="Y167" s="1"/>
      <c r="Z167" s="70"/>
      <c r="AB167" s="70"/>
      <c r="AC167" s="70"/>
      <c r="AE167" s="1"/>
    </row>
    <row r="168">
      <c r="B168" s="70"/>
      <c r="C168" s="104"/>
      <c r="D168" s="90"/>
      <c r="E168" s="70"/>
      <c r="F168" s="64"/>
      <c r="G168" s="1"/>
      <c r="H168" s="70"/>
      <c r="I168" s="104"/>
      <c r="J168" s="90"/>
      <c r="K168" s="70"/>
      <c r="M168" s="1"/>
      <c r="N168" s="70"/>
      <c r="P168" s="70"/>
      <c r="Q168" s="70"/>
      <c r="S168" s="1"/>
      <c r="T168" s="70"/>
      <c r="U168" s="83"/>
      <c r="V168" s="39"/>
      <c r="Y168" s="1"/>
      <c r="Z168" s="70"/>
      <c r="AB168" s="70"/>
      <c r="AC168" s="70"/>
      <c r="AE168" s="1"/>
    </row>
    <row r="169">
      <c r="B169" s="70"/>
      <c r="C169" s="104"/>
      <c r="D169" s="90"/>
      <c r="E169" s="70"/>
      <c r="F169" s="64"/>
      <c r="G169" s="1"/>
      <c r="H169" s="70"/>
      <c r="I169" s="104"/>
      <c r="J169" s="90"/>
      <c r="K169" s="70"/>
      <c r="M169" s="1"/>
      <c r="N169" s="70"/>
      <c r="P169" s="70"/>
      <c r="Q169" s="70"/>
      <c r="S169" s="1"/>
      <c r="T169" s="70"/>
      <c r="U169" s="83"/>
      <c r="V169" s="39"/>
      <c r="Y169" s="1"/>
      <c r="Z169" s="70"/>
      <c r="AB169" s="70"/>
      <c r="AC169" s="70"/>
      <c r="AE169" s="1"/>
    </row>
    <row r="170">
      <c r="B170" s="70"/>
      <c r="C170" s="104"/>
      <c r="D170" s="90"/>
      <c r="E170" s="70"/>
      <c r="F170" s="64"/>
      <c r="G170" s="1"/>
      <c r="H170" s="70"/>
      <c r="I170" s="104"/>
      <c r="J170" s="90"/>
      <c r="K170" s="70"/>
      <c r="M170" s="1"/>
      <c r="N170" s="70"/>
      <c r="P170" s="70"/>
      <c r="Q170" s="70"/>
      <c r="S170" s="1"/>
      <c r="T170" s="70"/>
      <c r="U170" s="83"/>
      <c r="V170" s="39"/>
      <c r="Y170" s="1"/>
      <c r="Z170" s="70"/>
      <c r="AB170" s="70"/>
      <c r="AC170" s="70"/>
      <c r="AE170" s="1"/>
    </row>
    <row r="171">
      <c r="B171" s="70"/>
      <c r="C171" s="104"/>
      <c r="D171" s="90"/>
      <c r="E171" s="70"/>
      <c r="F171" s="64"/>
      <c r="G171" s="1"/>
      <c r="H171" s="70"/>
      <c r="I171" s="104"/>
      <c r="J171" s="90"/>
      <c r="K171" s="70"/>
      <c r="M171" s="1"/>
      <c r="N171" s="70"/>
      <c r="P171" s="70"/>
      <c r="Q171" s="70"/>
      <c r="S171" s="1"/>
      <c r="T171" s="70"/>
      <c r="U171" s="83"/>
      <c r="V171" s="39"/>
      <c r="Y171" s="1"/>
      <c r="Z171" s="70"/>
      <c r="AB171" s="70"/>
      <c r="AC171" s="70"/>
      <c r="AE171" s="1"/>
    </row>
    <row r="172">
      <c r="B172" s="70"/>
      <c r="C172" s="104"/>
      <c r="D172" s="90"/>
      <c r="E172" s="70"/>
      <c r="F172" s="64"/>
      <c r="G172" s="1"/>
      <c r="H172" s="70"/>
      <c r="I172" s="104"/>
      <c r="J172" s="90"/>
      <c r="K172" s="70"/>
      <c r="M172" s="1"/>
      <c r="N172" s="70"/>
      <c r="P172" s="70"/>
      <c r="Q172" s="70"/>
      <c r="S172" s="1"/>
      <c r="T172" s="70"/>
      <c r="U172" s="83"/>
      <c r="V172" s="39"/>
      <c r="Y172" s="1"/>
      <c r="Z172" s="70"/>
      <c r="AB172" s="70"/>
      <c r="AC172" s="70"/>
      <c r="AE172" s="1"/>
    </row>
    <row r="173">
      <c r="B173" s="70"/>
      <c r="C173" s="104"/>
      <c r="D173" s="90"/>
      <c r="E173" s="70"/>
      <c r="F173" s="64"/>
      <c r="G173" s="1"/>
      <c r="H173" s="70"/>
      <c r="I173" s="104"/>
      <c r="J173" s="90"/>
      <c r="K173" s="70"/>
      <c r="M173" s="1"/>
      <c r="N173" s="70"/>
      <c r="P173" s="70"/>
      <c r="Q173" s="70"/>
      <c r="S173" s="1"/>
      <c r="T173" s="70"/>
      <c r="U173" s="83"/>
      <c r="V173" s="39"/>
      <c r="Y173" s="1"/>
      <c r="Z173" s="70"/>
      <c r="AB173" s="70"/>
      <c r="AC173" s="70"/>
      <c r="AE173" s="1"/>
    </row>
    <row r="174">
      <c r="B174" s="70"/>
      <c r="C174" s="104"/>
      <c r="D174" s="90"/>
      <c r="E174" s="70"/>
      <c r="F174" s="64"/>
      <c r="G174" s="1"/>
      <c r="H174" s="70"/>
      <c r="I174" s="104"/>
      <c r="J174" s="90"/>
      <c r="K174" s="70"/>
      <c r="M174" s="1"/>
      <c r="N174" s="70"/>
      <c r="P174" s="70"/>
      <c r="Q174" s="70"/>
      <c r="S174" s="1"/>
      <c r="T174" s="70"/>
      <c r="U174" s="83"/>
      <c r="V174" s="39"/>
      <c r="Y174" s="1"/>
      <c r="Z174" s="70"/>
      <c r="AB174" s="70"/>
      <c r="AC174" s="70"/>
      <c r="AE174" s="1"/>
    </row>
    <row r="175">
      <c r="B175" s="70"/>
      <c r="C175" s="104"/>
      <c r="D175" s="90"/>
      <c r="E175" s="70"/>
      <c r="F175" s="64"/>
      <c r="G175" s="1"/>
      <c r="H175" s="70"/>
      <c r="I175" s="104"/>
      <c r="J175" s="90"/>
      <c r="K175" s="70"/>
      <c r="M175" s="1"/>
      <c r="N175" s="70"/>
      <c r="P175" s="70"/>
      <c r="Q175" s="70"/>
      <c r="S175" s="1"/>
      <c r="T175" s="70"/>
      <c r="U175" s="83"/>
      <c r="V175" s="39"/>
      <c r="Y175" s="1"/>
      <c r="Z175" s="70"/>
      <c r="AB175" s="70"/>
      <c r="AC175" s="70"/>
      <c r="AE175" s="1"/>
    </row>
    <row r="176">
      <c r="B176" s="70"/>
      <c r="C176" s="104"/>
      <c r="D176" s="90"/>
      <c r="E176" s="70"/>
      <c r="F176" s="64"/>
      <c r="G176" s="1"/>
      <c r="H176" s="70"/>
      <c r="I176" s="104"/>
      <c r="J176" s="90"/>
      <c r="K176" s="70"/>
      <c r="M176" s="1"/>
      <c r="N176" s="70"/>
      <c r="P176" s="70"/>
      <c r="Q176" s="70"/>
      <c r="S176" s="1"/>
      <c r="T176" s="70"/>
      <c r="U176" s="83"/>
      <c r="V176" s="39"/>
      <c r="Y176" s="1"/>
      <c r="Z176" s="70"/>
      <c r="AB176" s="70"/>
      <c r="AC176" s="70"/>
      <c r="AE176" s="1"/>
    </row>
    <row r="177">
      <c r="B177" s="70"/>
      <c r="C177" s="104"/>
      <c r="D177" s="90"/>
      <c r="E177" s="70"/>
      <c r="F177" s="64"/>
      <c r="G177" s="1"/>
      <c r="H177" s="70"/>
      <c r="I177" s="104"/>
      <c r="J177" s="90"/>
      <c r="K177" s="70"/>
      <c r="M177" s="1"/>
      <c r="N177" s="70"/>
      <c r="P177" s="70"/>
      <c r="Q177" s="70"/>
      <c r="S177" s="1"/>
      <c r="T177" s="70"/>
      <c r="U177" s="83"/>
      <c r="V177" s="39"/>
      <c r="Y177" s="1"/>
      <c r="Z177" s="70"/>
      <c r="AB177" s="70"/>
      <c r="AC177" s="70"/>
      <c r="AE177" s="1"/>
    </row>
    <row r="178">
      <c r="B178" s="70"/>
      <c r="C178" s="104"/>
      <c r="D178" s="90"/>
      <c r="E178" s="70"/>
      <c r="F178" s="64"/>
      <c r="G178" s="1"/>
      <c r="H178" s="70"/>
      <c r="I178" s="104"/>
      <c r="J178" s="90"/>
      <c r="K178" s="70"/>
      <c r="M178" s="1"/>
      <c r="N178" s="70"/>
      <c r="P178" s="70"/>
      <c r="Q178" s="70"/>
      <c r="S178" s="1"/>
      <c r="T178" s="70"/>
      <c r="U178" s="83"/>
      <c r="V178" s="39"/>
      <c r="Y178" s="1"/>
      <c r="Z178" s="70"/>
      <c r="AB178" s="70"/>
      <c r="AC178" s="70"/>
      <c r="AE178" s="1"/>
    </row>
    <row r="179">
      <c r="B179" s="70"/>
      <c r="C179" s="104"/>
      <c r="D179" s="90"/>
      <c r="E179" s="70"/>
      <c r="F179" s="64"/>
      <c r="G179" s="1"/>
      <c r="H179" s="70"/>
      <c r="I179" s="104"/>
      <c r="J179" s="90"/>
      <c r="K179" s="70"/>
      <c r="M179" s="1"/>
      <c r="N179" s="70"/>
      <c r="P179" s="70"/>
      <c r="Q179" s="70"/>
      <c r="S179" s="1"/>
      <c r="T179" s="70"/>
      <c r="U179" s="83"/>
      <c r="V179" s="39"/>
      <c r="Y179" s="1"/>
      <c r="Z179" s="70"/>
      <c r="AB179" s="70"/>
      <c r="AC179" s="70"/>
      <c r="AE179" s="1"/>
    </row>
    <row r="180">
      <c r="B180" s="70"/>
      <c r="C180" s="104"/>
      <c r="D180" s="90"/>
      <c r="E180" s="70"/>
      <c r="F180" s="64"/>
      <c r="G180" s="1"/>
      <c r="H180" s="70"/>
      <c r="I180" s="104"/>
      <c r="J180" s="90"/>
      <c r="K180" s="70"/>
      <c r="M180" s="1"/>
      <c r="N180" s="70"/>
      <c r="P180" s="70"/>
      <c r="Q180" s="70"/>
      <c r="S180" s="1"/>
      <c r="T180" s="70"/>
      <c r="U180" s="83"/>
      <c r="V180" s="39"/>
      <c r="Y180" s="1"/>
      <c r="Z180" s="70"/>
      <c r="AB180" s="70"/>
      <c r="AC180" s="70"/>
      <c r="AE180" s="1"/>
    </row>
    <row r="181">
      <c r="B181" s="70"/>
      <c r="C181" s="104"/>
      <c r="D181" s="90"/>
      <c r="E181" s="70"/>
      <c r="F181" s="64"/>
      <c r="G181" s="1"/>
      <c r="H181" s="70"/>
      <c r="I181" s="104"/>
      <c r="J181" s="90"/>
      <c r="K181" s="70"/>
      <c r="M181" s="1"/>
      <c r="N181" s="70"/>
      <c r="P181" s="70"/>
      <c r="Q181" s="70"/>
      <c r="S181" s="1"/>
      <c r="T181" s="70"/>
      <c r="U181" s="83"/>
      <c r="V181" s="39"/>
      <c r="Y181" s="1"/>
      <c r="Z181" s="70"/>
      <c r="AB181" s="70"/>
      <c r="AC181" s="70"/>
      <c r="AE181" s="1"/>
    </row>
    <row r="182">
      <c r="B182" s="70"/>
      <c r="C182" s="104"/>
      <c r="D182" s="90"/>
      <c r="E182" s="70"/>
      <c r="F182" s="64"/>
      <c r="G182" s="1"/>
      <c r="H182" s="70"/>
      <c r="I182" s="104"/>
      <c r="J182" s="90"/>
      <c r="K182" s="70"/>
      <c r="M182" s="1"/>
      <c r="N182" s="70"/>
      <c r="P182" s="70"/>
      <c r="Q182" s="70"/>
      <c r="S182" s="1"/>
      <c r="T182" s="70"/>
      <c r="U182" s="83"/>
      <c r="V182" s="39"/>
      <c r="Y182" s="1"/>
      <c r="Z182" s="70"/>
      <c r="AB182" s="70"/>
      <c r="AC182" s="70"/>
      <c r="AE182" s="1"/>
    </row>
    <row r="183">
      <c r="B183" s="70"/>
      <c r="C183" s="104"/>
      <c r="D183" s="90"/>
      <c r="E183" s="70"/>
      <c r="F183" s="64"/>
      <c r="G183" s="1"/>
      <c r="H183" s="70"/>
      <c r="I183" s="104"/>
      <c r="J183" s="90"/>
      <c r="K183" s="70"/>
      <c r="M183" s="1"/>
      <c r="N183" s="70"/>
      <c r="P183" s="70"/>
      <c r="Q183" s="70"/>
      <c r="S183" s="1"/>
      <c r="T183" s="70"/>
      <c r="U183" s="83"/>
      <c r="V183" s="39"/>
      <c r="Y183" s="1"/>
      <c r="Z183" s="70"/>
      <c r="AB183" s="70"/>
      <c r="AC183" s="70"/>
      <c r="AE183" s="1"/>
    </row>
    <row r="184">
      <c r="B184" s="70"/>
      <c r="C184" s="104"/>
      <c r="D184" s="90"/>
      <c r="E184" s="70"/>
      <c r="F184" s="64"/>
      <c r="G184" s="1"/>
      <c r="H184" s="70"/>
      <c r="I184" s="104"/>
      <c r="J184" s="90"/>
      <c r="K184" s="70"/>
      <c r="M184" s="1"/>
      <c r="N184" s="70"/>
      <c r="P184" s="70"/>
      <c r="Q184" s="70"/>
      <c r="S184" s="1"/>
      <c r="T184" s="70"/>
      <c r="U184" s="83"/>
      <c r="V184" s="39"/>
      <c r="Y184" s="1"/>
      <c r="Z184" s="70"/>
      <c r="AB184" s="70"/>
      <c r="AC184" s="70"/>
      <c r="AE184" s="1"/>
    </row>
    <row r="185">
      <c r="B185" s="70"/>
      <c r="C185" s="104"/>
      <c r="D185" s="90"/>
      <c r="E185" s="70"/>
      <c r="F185" s="64"/>
      <c r="G185" s="1"/>
      <c r="H185" s="70"/>
      <c r="I185" s="104"/>
      <c r="J185" s="90"/>
      <c r="K185" s="70"/>
      <c r="M185" s="1"/>
      <c r="N185" s="70"/>
      <c r="P185" s="70"/>
      <c r="Q185" s="70"/>
      <c r="S185" s="1"/>
      <c r="T185" s="70"/>
      <c r="U185" s="83"/>
      <c r="V185" s="39"/>
      <c r="Y185" s="1"/>
      <c r="Z185" s="70"/>
      <c r="AB185" s="70"/>
      <c r="AC185" s="70"/>
      <c r="AE185" s="1"/>
    </row>
    <row r="186">
      <c r="B186" s="70"/>
      <c r="C186" s="104"/>
      <c r="D186" s="90"/>
      <c r="E186" s="70"/>
      <c r="F186" s="64"/>
      <c r="G186" s="1"/>
      <c r="H186" s="70"/>
      <c r="I186" s="104"/>
      <c r="J186" s="90"/>
      <c r="K186" s="70"/>
      <c r="M186" s="1"/>
      <c r="N186" s="70"/>
      <c r="P186" s="70"/>
      <c r="Q186" s="70"/>
      <c r="S186" s="1"/>
      <c r="T186" s="70"/>
      <c r="U186" s="83"/>
      <c r="V186" s="39"/>
      <c r="Y186" s="1"/>
      <c r="Z186" s="70"/>
      <c r="AB186" s="70"/>
      <c r="AC186" s="70"/>
      <c r="AE186" s="1"/>
    </row>
    <row r="187">
      <c r="B187" s="70"/>
      <c r="C187" s="104"/>
      <c r="D187" s="90"/>
      <c r="E187" s="70"/>
      <c r="F187" s="64"/>
      <c r="G187" s="1"/>
      <c r="H187" s="70"/>
      <c r="I187" s="104"/>
      <c r="J187" s="90"/>
      <c r="K187" s="70"/>
      <c r="M187" s="1"/>
      <c r="N187" s="70"/>
      <c r="P187" s="70"/>
      <c r="Q187" s="70"/>
      <c r="S187" s="1"/>
      <c r="T187" s="70"/>
      <c r="U187" s="83"/>
      <c r="V187" s="39"/>
      <c r="Y187" s="1"/>
      <c r="Z187" s="70"/>
      <c r="AB187" s="70"/>
      <c r="AC187" s="70"/>
      <c r="AE187" s="1"/>
    </row>
    <row r="188">
      <c r="B188" s="70"/>
      <c r="C188" s="104"/>
      <c r="D188" s="90"/>
      <c r="E188" s="70"/>
      <c r="F188" s="64"/>
      <c r="G188" s="1"/>
      <c r="H188" s="70"/>
      <c r="I188" s="104"/>
      <c r="J188" s="90"/>
      <c r="K188" s="70"/>
      <c r="M188" s="1"/>
      <c r="N188" s="70"/>
      <c r="P188" s="70"/>
      <c r="Q188" s="70"/>
      <c r="S188" s="1"/>
      <c r="T188" s="70"/>
      <c r="U188" s="83"/>
      <c r="V188" s="39"/>
      <c r="Y188" s="1"/>
      <c r="Z188" s="70"/>
      <c r="AB188" s="70"/>
      <c r="AC188" s="70"/>
      <c r="AE188" s="1"/>
    </row>
    <row r="189">
      <c r="B189" s="70"/>
      <c r="C189" s="104"/>
      <c r="D189" s="90"/>
      <c r="E189" s="70"/>
      <c r="F189" s="64"/>
      <c r="G189" s="1"/>
      <c r="H189" s="70"/>
      <c r="I189" s="104"/>
      <c r="J189" s="90"/>
      <c r="K189" s="70"/>
      <c r="M189" s="1"/>
      <c r="N189" s="70"/>
      <c r="P189" s="70"/>
      <c r="Q189" s="70"/>
      <c r="S189" s="1"/>
      <c r="T189" s="70"/>
      <c r="U189" s="83"/>
      <c r="V189" s="39"/>
      <c r="Y189" s="1"/>
      <c r="Z189" s="70"/>
      <c r="AB189" s="70"/>
      <c r="AC189" s="70"/>
      <c r="AE189" s="1"/>
    </row>
    <row r="190">
      <c r="B190" s="70"/>
      <c r="C190" s="104"/>
      <c r="D190" s="90"/>
      <c r="E190" s="70"/>
      <c r="F190" s="64"/>
      <c r="G190" s="1"/>
      <c r="H190" s="70"/>
      <c r="I190" s="104"/>
      <c r="J190" s="90"/>
      <c r="K190" s="70"/>
      <c r="M190" s="1"/>
      <c r="N190" s="70"/>
      <c r="P190" s="70"/>
      <c r="Q190" s="70"/>
      <c r="S190" s="1"/>
      <c r="T190" s="70"/>
      <c r="U190" s="83"/>
      <c r="V190" s="39"/>
      <c r="Y190" s="1"/>
      <c r="Z190" s="70"/>
      <c r="AB190" s="70"/>
      <c r="AC190" s="70"/>
      <c r="AE190" s="1"/>
    </row>
    <row r="191">
      <c r="B191" s="70"/>
      <c r="C191" s="104"/>
      <c r="D191" s="90"/>
      <c r="E191" s="70"/>
      <c r="F191" s="64"/>
      <c r="G191" s="1"/>
      <c r="H191" s="70"/>
      <c r="I191" s="104"/>
      <c r="J191" s="90"/>
      <c r="K191" s="70"/>
      <c r="M191" s="1"/>
      <c r="N191" s="70"/>
      <c r="P191" s="70"/>
      <c r="Q191" s="70"/>
      <c r="S191" s="1"/>
      <c r="T191" s="70"/>
      <c r="U191" s="83"/>
      <c r="V191" s="39"/>
      <c r="Y191" s="1"/>
      <c r="Z191" s="70"/>
      <c r="AB191" s="70"/>
      <c r="AC191" s="70"/>
      <c r="AE191" s="1"/>
    </row>
    <row r="192">
      <c r="B192" s="70"/>
      <c r="C192" s="104"/>
      <c r="D192" s="90"/>
      <c r="E192" s="70"/>
      <c r="F192" s="64"/>
      <c r="G192" s="1"/>
      <c r="H192" s="70"/>
      <c r="I192" s="104"/>
      <c r="J192" s="90"/>
      <c r="K192" s="70"/>
      <c r="M192" s="1"/>
      <c r="N192" s="70"/>
      <c r="P192" s="70"/>
      <c r="Q192" s="70"/>
      <c r="S192" s="1"/>
      <c r="T192" s="70"/>
      <c r="U192" s="83"/>
      <c r="V192" s="39"/>
      <c r="Y192" s="1"/>
      <c r="Z192" s="70"/>
      <c r="AB192" s="70"/>
      <c r="AC192" s="70"/>
      <c r="AE192" s="1"/>
    </row>
    <row r="193">
      <c r="B193" s="70"/>
      <c r="C193" s="104"/>
      <c r="D193" s="90"/>
      <c r="E193" s="70"/>
      <c r="F193" s="64"/>
      <c r="G193" s="1"/>
      <c r="H193" s="70"/>
      <c r="I193" s="104"/>
      <c r="J193" s="90"/>
      <c r="K193" s="70"/>
      <c r="M193" s="1"/>
      <c r="N193" s="70"/>
      <c r="P193" s="70"/>
      <c r="Q193" s="70"/>
      <c r="S193" s="1"/>
      <c r="T193" s="70"/>
      <c r="U193" s="83"/>
      <c r="V193" s="39"/>
      <c r="Y193" s="1"/>
      <c r="Z193" s="70"/>
      <c r="AB193" s="70"/>
      <c r="AC193" s="70"/>
      <c r="AE193" s="1"/>
    </row>
    <row r="194">
      <c r="B194" s="70"/>
      <c r="C194" s="104"/>
      <c r="D194" s="90"/>
      <c r="E194" s="70"/>
      <c r="F194" s="64"/>
      <c r="G194" s="1"/>
      <c r="H194" s="70"/>
      <c r="I194" s="104"/>
      <c r="J194" s="90"/>
      <c r="K194" s="70"/>
      <c r="M194" s="1"/>
      <c r="N194" s="70"/>
      <c r="S194" s="1"/>
      <c r="T194" s="70"/>
      <c r="U194" s="83"/>
      <c r="V194" s="39"/>
      <c r="Y194" s="1"/>
      <c r="Z194" s="70"/>
      <c r="AE194" s="1"/>
    </row>
    <row r="195">
      <c r="B195" s="70"/>
      <c r="C195" s="104"/>
      <c r="D195" s="90"/>
      <c r="E195" s="70"/>
      <c r="F195" s="64"/>
      <c r="G195" s="1"/>
      <c r="H195" s="70"/>
      <c r="I195" s="104"/>
      <c r="J195" s="90"/>
      <c r="K195" s="70"/>
      <c r="M195" s="1"/>
      <c r="N195" s="70"/>
      <c r="S195" s="1"/>
      <c r="T195" s="70"/>
      <c r="U195" s="83"/>
      <c r="V195" s="39"/>
      <c r="Y195" s="1"/>
      <c r="Z195" s="70"/>
      <c r="AE195" s="1"/>
    </row>
    <row r="196">
      <c r="B196" s="70"/>
      <c r="C196" s="104"/>
      <c r="D196" s="90"/>
      <c r="E196" s="70"/>
      <c r="F196" s="64"/>
      <c r="G196" s="1"/>
      <c r="H196" s="70"/>
      <c r="I196" s="104"/>
      <c r="J196" s="90"/>
      <c r="K196" s="70"/>
      <c r="M196" s="1"/>
      <c r="N196" s="70"/>
      <c r="S196" s="1"/>
      <c r="T196" s="70"/>
      <c r="U196" s="83"/>
      <c r="V196" s="39"/>
      <c r="Y196" s="1"/>
      <c r="Z196" s="70"/>
      <c r="AE196" s="1"/>
    </row>
    <row r="197">
      <c r="B197" s="70"/>
      <c r="C197" s="104"/>
      <c r="D197" s="90"/>
      <c r="E197" s="70"/>
      <c r="F197" s="64"/>
      <c r="G197" s="1"/>
      <c r="H197" s="70"/>
      <c r="I197" s="104"/>
      <c r="J197" s="90"/>
      <c r="K197" s="70"/>
      <c r="M197" s="1"/>
      <c r="N197" s="70"/>
      <c r="S197" s="1"/>
      <c r="T197" s="70"/>
      <c r="U197" s="83"/>
      <c r="V197" s="39"/>
      <c r="Y197" s="1"/>
      <c r="Z197" s="70"/>
      <c r="AE197" s="1"/>
    </row>
    <row r="198">
      <c r="B198" s="70"/>
      <c r="C198" s="104"/>
      <c r="D198" s="90"/>
      <c r="E198" s="70"/>
      <c r="F198" s="64"/>
      <c r="G198" s="1"/>
      <c r="H198" s="70"/>
      <c r="I198" s="104"/>
      <c r="J198" s="90"/>
      <c r="K198" s="70"/>
      <c r="M198" s="1"/>
      <c r="N198" s="70"/>
      <c r="S198" s="1"/>
      <c r="T198" s="70"/>
      <c r="U198" s="83"/>
      <c r="V198" s="39"/>
      <c r="Y198" s="1"/>
      <c r="Z198" s="70"/>
      <c r="AE198" s="1"/>
    </row>
    <row r="199">
      <c r="B199" s="70"/>
      <c r="C199" s="104"/>
      <c r="D199" s="90"/>
      <c r="E199" s="70"/>
      <c r="F199" s="64"/>
      <c r="G199" s="1"/>
      <c r="H199" s="70"/>
      <c r="I199" s="104"/>
      <c r="J199" s="90"/>
      <c r="K199" s="70"/>
      <c r="M199" s="1"/>
      <c r="N199" s="70"/>
      <c r="S199" s="1"/>
      <c r="T199" s="70"/>
      <c r="U199" s="83"/>
      <c r="V199" s="39"/>
      <c r="Y199" s="1"/>
      <c r="Z199" s="70"/>
      <c r="AE199" s="1"/>
    </row>
    <row r="200">
      <c r="B200" s="70"/>
      <c r="C200" s="104"/>
      <c r="D200" s="90"/>
      <c r="E200" s="70"/>
      <c r="F200" s="64"/>
      <c r="G200" s="1"/>
      <c r="H200" s="70"/>
      <c r="I200" s="104"/>
      <c r="J200" s="90"/>
      <c r="K200" s="70"/>
      <c r="M200" s="1"/>
      <c r="N200" s="70"/>
      <c r="S200" s="1"/>
      <c r="T200" s="70"/>
      <c r="U200" s="83"/>
      <c r="V200" s="39"/>
      <c r="Y200" s="1"/>
      <c r="Z200" s="70"/>
      <c r="AE200" s="1"/>
    </row>
    <row r="201">
      <c r="B201" s="70"/>
      <c r="C201" s="104"/>
      <c r="D201" s="90"/>
      <c r="E201" s="70"/>
      <c r="F201" s="64"/>
      <c r="G201" s="1"/>
      <c r="H201" s="70"/>
      <c r="I201" s="104"/>
      <c r="J201" s="90"/>
      <c r="K201" s="70"/>
      <c r="M201" s="1"/>
      <c r="N201" s="70"/>
      <c r="S201" s="1"/>
      <c r="T201" s="70"/>
      <c r="U201" s="83"/>
      <c r="V201" s="39"/>
      <c r="Y201" s="1"/>
      <c r="Z201" s="70"/>
      <c r="AE201" s="1"/>
    </row>
    <row r="202">
      <c r="B202" s="70"/>
      <c r="C202" s="104"/>
      <c r="D202" s="90"/>
      <c r="E202" s="70"/>
      <c r="F202" s="64"/>
      <c r="G202" s="1"/>
      <c r="H202" s="70"/>
      <c r="I202" s="104"/>
      <c r="J202" s="90"/>
      <c r="K202" s="70"/>
      <c r="M202" s="1"/>
      <c r="N202" s="70"/>
      <c r="S202" s="1"/>
      <c r="T202" s="70"/>
      <c r="U202" s="83"/>
      <c r="V202" s="39"/>
      <c r="Y202" s="1"/>
      <c r="Z202" s="70"/>
      <c r="AE202" s="1"/>
    </row>
    <row r="203">
      <c r="B203" s="70"/>
      <c r="C203" s="104"/>
      <c r="D203" s="90"/>
      <c r="E203" s="70"/>
      <c r="F203" s="64"/>
      <c r="G203" s="1"/>
      <c r="H203" s="70"/>
      <c r="I203" s="104"/>
      <c r="J203" s="90"/>
      <c r="K203" s="70"/>
      <c r="M203" s="1"/>
      <c r="N203" s="70"/>
      <c r="S203" s="1"/>
      <c r="T203" s="70"/>
      <c r="U203" s="83"/>
      <c r="V203" s="39"/>
      <c r="Y203" s="1"/>
      <c r="Z203" s="70"/>
      <c r="AE203" s="1"/>
    </row>
    <row r="204">
      <c r="B204" s="70"/>
      <c r="C204" s="104"/>
      <c r="D204" s="90"/>
      <c r="E204" s="70"/>
      <c r="F204" s="64"/>
      <c r="G204" s="1"/>
      <c r="H204" s="70"/>
      <c r="I204" s="104"/>
      <c r="J204" s="90"/>
      <c r="K204" s="70"/>
      <c r="M204" s="1"/>
      <c r="N204" s="70"/>
      <c r="S204" s="1"/>
      <c r="T204" s="70"/>
      <c r="U204" s="83"/>
      <c r="V204" s="39"/>
      <c r="Y204" s="1"/>
      <c r="Z204" s="70"/>
      <c r="AE204" s="1"/>
    </row>
    <row r="205">
      <c r="B205" s="70"/>
      <c r="C205" s="104"/>
      <c r="D205" s="90"/>
      <c r="E205" s="70"/>
      <c r="G205" s="1"/>
      <c r="H205" s="70"/>
      <c r="I205" s="104"/>
      <c r="J205" s="90"/>
      <c r="K205" s="70"/>
      <c r="M205" s="1"/>
      <c r="N205" s="70"/>
      <c r="S205" s="1"/>
      <c r="T205" s="70"/>
      <c r="U205" s="83"/>
      <c r="V205" s="39"/>
      <c r="Y205" s="1"/>
      <c r="Z205" s="70"/>
      <c r="AE205" s="1"/>
    </row>
    <row r="206">
      <c r="B206" s="70"/>
      <c r="C206" s="104"/>
      <c r="D206" s="90"/>
      <c r="E206" s="70"/>
      <c r="G206" s="1"/>
      <c r="H206" s="70"/>
      <c r="I206" s="104"/>
      <c r="J206" s="90"/>
      <c r="K206" s="70"/>
      <c r="M206" s="1"/>
      <c r="N206" s="70"/>
      <c r="S206" s="1"/>
      <c r="T206" s="70"/>
      <c r="U206" s="83"/>
      <c r="V206" s="39"/>
      <c r="Y206" s="1"/>
      <c r="Z206" s="70"/>
      <c r="AE206" s="1"/>
    </row>
    <row r="207">
      <c r="B207" s="70"/>
      <c r="C207" s="104"/>
      <c r="D207" s="90"/>
      <c r="E207" s="70"/>
      <c r="G207" s="1"/>
      <c r="H207" s="70"/>
      <c r="I207" s="104"/>
      <c r="J207" s="90"/>
      <c r="K207" s="70"/>
      <c r="M207" s="1"/>
      <c r="N207" s="70"/>
      <c r="S207" s="1"/>
      <c r="T207" s="70"/>
      <c r="U207" s="83"/>
      <c r="V207" s="39"/>
      <c r="Y207" s="1"/>
      <c r="Z207" s="70"/>
      <c r="AE207" s="1"/>
    </row>
    <row r="208">
      <c r="B208" s="70"/>
      <c r="C208" s="104"/>
      <c r="D208" s="90"/>
      <c r="E208" s="70"/>
      <c r="G208" s="1"/>
      <c r="H208" s="70"/>
      <c r="I208" s="104"/>
      <c r="J208" s="90"/>
      <c r="K208" s="70"/>
      <c r="M208" s="1"/>
      <c r="N208" s="70"/>
      <c r="S208" s="1"/>
      <c r="T208" s="70"/>
      <c r="U208" s="83"/>
      <c r="V208" s="39"/>
      <c r="Y208" s="1"/>
      <c r="Z208" s="70"/>
      <c r="AE208" s="1"/>
    </row>
    <row r="209">
      <c r="B209" s="70"/>
      <c r="C209" s="104"/>
      <c r="D209" s="90"/>
      <c r="E209" s="70"/>
      <c r="G209" s="1"/>
      <c r="H209" s="70"/>
      <c r="I209" s="104"/>
      <c r="J209" s="90"/>
      <c r="K209" s="70"/>
      <c r="M209" s="1"/>
      <c r="N209" s="70"/>
      <c r="S209" s="1"/>
      <c r="T209" s="70"/>
      <c r="U209" s="83"/>
      <c r="V209" s="39"/>
      <c r="Y209" s="1"/>
      <c r="Z209" s="70"/>
      <c r="AE209" s="1"/>
    </row>
    <row r="210">
      <c r="B210" s="70"/>
      <c r="C210" s="104"/>
      <c r="D210" s="90"/>
      <c r="E210" s="70"/>
      <c r="G210" s="1"/>
      <c r="H210" s="70"/>
      <c r="I210" s="104"/>
      <c r="J210" s="90"/>
      <c r="K210" s="70"/>
      <c r="M210" s="1"/>
      <c r="N210" s="70"/>
      <c r="S210" s="1"/>
      <c r="T210" s="70"/>
      <c r="U210" s="83"/>
      <c r="V210" s="39"/>
      <c r="Y210" s="1"/>
      <c r="Z210" s="70"/>
      <c r="AE210" s="1"/>
    </row>
    <row r="211">
      <c r="B211" s="70"/>
      <c r="C211" s="104"/>
      <c r="D211" s="90"/>
      <c r="E211" s="70"/>
      <c r="G211" s="1"/>
      <c r="H211" s="70"/>
      <c r="I211" s="104"/>
      <c r="J211" s="90"/>
      <c r="K211" s="70"/>
      <c r="M211" s="1"/>
      <c r="N211" s="70"/>
      <c r="S211" s="1"/>
      <c r="T211" s="70"/>
      <c r="U211" s="83"/>
      <c r="V211" s="39"/>
      <c r="Y211" s="1"/>
      <c r="Z211" s="70"/>
      <c r="AE211" s="1"/>
    </row>
    <row r="212">
      <c r="B212" s="70"/>
      <c r="C212" s="104"/>
      <c r="D212" s="90"/>
      <c r="E212" s="70"/>
      <c r="G212" s="1"/>
      <c r="H212" s="70"/>
      <c r="I212" s="104"/>
      <c r="J212" s="90"/>
      <c r="K212" s="70"/>
      <c r="M212" s="1"/>
      <c r="N212" s="70"/>
      <c r="S212" s="1"/>
      <c r="T212" s="70"/>
      <c r="U212" s="83"/>
      <c r="V212" s="39"/>
      <c r="Y212" s="1"/>
      <c r="Z212" s="70"/>
      <c r="AE212" s="1"/>
    </row>
    <row r="213">
      <c r="B213" s="70"/>
      <c r="C213" s="104"/>
      <c r="D213" s="90"/>
      <c r="E213" s="70"/>
      <c r="G213" s="1"/>
      <c r="H213" s="70"/>
      <c r="I213" s="104"/>
      <c r="J213" s="90"/>
      <c r="K213" s="70"/>
      <c r="M213" s="1"/>
      <c r="N213" s="70"/>
      <c r="S213" s="1"/>
      <c r="T213" s="70"/>
      <c r="U213" s="83"/>
      <c r="V213" s="39"/>
      <c r="Y213" s="1"/>
      <c r="Z213" s="70"/>
      <c r="AE213" s="1"/>
    </row>
    <row r="214">
      <c r="B214" s="70"/>
      <c r="C214" s="104"/>
      <c r="D214" s="90"/>
      <c r="E214" s="70"/>
      <c r="G214" s="1"/>
      <c r="H214" s="70"/>
      <c r="I214" s="104"/>
      <c r="J214" s="90"/>
      <c r="K214" s="70"/>
      <c r="M214" s="1"/>
      <c r="N214" s="70"/>
      <c r="S214" s="1"/>
      <c r="T214" s="70"/>
      <c r="U214" s="83"/>
      <c r="V214" s="39"/>
      <c r="Y214" s="1"/>
      <c r="Z214" s="70"/>
      <c r="AE214" s="1"/>
    </row>
    <row r="215">
      <c r="B215" s="70"/>
      <c r="C215" s="104"/>
      <c r="D215" s="90"/>
      <c r="E215" s="70"/>
      <c r="G215" s="1"/>
      <c r="H215" s="70"/>
      <c r="I215" s="104"/>
      <c r="J215" s="90"/>
      <c r="K215" s="70"/>
      <c r="M215" s="1"/>
      <c r="N215" s="70"/>
      <c r="S215" s="1"/>
      <c r="T215" s="70"/>
      <c r="U215" s="83"/>
      <c r="V215" s="39"/>
      <c r="Y215" s="1"/>
      <c r="Z215" s="70"/>
      <c r="AE215" s="1"/>
    </row>
    <row r="216">
      <c r="B216" s="70"/>
      <c r="C216" s="104"/>
      <c r="D216" s="90"/>
      <c r="E216" s="70"/>
      <c r="G216" s="1"/>
      <c r="H216" s="70"/>
      <c r="I216" s="104"/>
      <c r="J216" s="90"/>
      <c r="K216" s="70"/>
      <c r="M216" s="1"/>
      <c r="N216" s="70"/>
      <c r="S216" s="1"/>
      <c r="T216" s="70"/>
      <c r="U216" s="83"/>
      <c r="V216" s="39"/>
      <c r="Y216" s="1"/>
      <c r="Z216" s="70"/>
      <c r="AE216" s="1"/>
    </row>
    <row r="217">
      <c r="B217" s="70"/>
      <c r="C217" s="104"/>
      <c r="D217" s="90"/>
      <c r="E217" s="70"/>
      <c r="G217" s="1"/>
      <c r="H217" s="70"/>
      <c r="I217" s="104"/>
      <c r="J217" s="90"/>
      <c r="K217" s="70"/>
      <c r="M217" s="1"/>
      <c r="N217" s="70"/>
      <c r="S217" s="1"/>
      <c r="T217" s="70"/>
      <c r="U217" s="83"/>
      <c r="V217" s="39"/>
      <c r="Y217" s="1"/>
      <c r="Z217" s="70"/>
      <c r="AE217" s="1"/>
    </row>
    <row r="218">
      <c r="B218" s="70"/>
      <c r="C218" s="104"/>
      <c r="D218" s="90"/>
      <c r="E218" s="70"/>
      <c r="G218" s="1"/>
      <c r="H218" s="70"/>
      <c r="I218" s="104"/>
      <c r="J218" s="90"/>
      <c r="K218" s="70"/>
      <c r="M218" s="1"/>
      <c r="N218" s="70"/>
      <c r="S218" s="1"/>
      <c r="T218" s="70"/>
      <c r="U218" s="83"/>
      <c r="V218" s="39"/>
      <c r="Y218" s="1"/>
      <c r="Z218" s="70"/>
      <c r="AE218" s="1"/>
    </row>
    <row r="219">
      <c r="B219" s="70"/>
      <c r="C219" s="104"/>
      <c r="D219" s="90"/>
      <c r="E219" s="70"/>
      <c r="G219" s="1"/>
      <c r="H219" s="70"/>
      <c r="I219" s="104"/>
      <c r="J219" s="90"/>
      <c r="K219" s="70"/>
      <c r="M219" s="1"/>
      <c r="N219" s="70"/>
      <c r="S219" s="1"/>
      <c r="T219" s="70"/>
      <c r="U219" s="83"/>
      <c r="V219" s="39"/>
      <c r="Y219" s="1"/>
      <c r="Z219" s="70"/>
      <c r="AE219" s="1"/>
    </row>
    <row r="220">
      <c r="B220" s="70"/>
      <c r="C220" s="104"/>
      <c r="D220" s="90"/>
      <c r="E220" s="70"/>
      <c r="G220" s="1"/>
      <c r="H220" s="70"/>
      <c r="I220" s="104"/>
      <c r="J220" s="90"/>
      <c r="K220" s="70"/>
      <c r="M220" s="1"/>
      <c r="N220" s="70"/>
      <c r="S220" s="1"/>
      <c r="T220" s="70"/>
      <c r="U220" s="83"/>
      <c r="V220" s="39"/>
      <c r="Y220" s="1"/>
      <c r="Z220" s="70"/>
      <c r="AE220" s="1"/>
    </row>
    <row r="221">
      <c r="B221" s="70"/>
      <c r="C221" s="104"/>
      <c r="D221" s="90"/>
      <c r="E221" s="70"/>
      <c r="G221" s="1"/>
      <c r="H221" s="70"/>
      <c r="I221" s="104"/>
      <c r="J221" s="90"/>
      <c r="K221" s="70"/>
      <c r="M221" s="1"/>
      <c r="N221" s="70"/>
      <c r="S221" s="1"/>
      <c r="T221" s="70"/>
      <c r="U221" s="83"/>
      <c r="V221" s="39"/>
      <c r="Y221" s="1"/>
      <c r="Z221" s="70"/>
      <c r="AE221" s="1"/>
    </row>
    <row r="222">
      <c r="B222" s="70"/>
      <c r="C222" s="104"/>
      <c r="D222" s="90"/>
      <c r="E222" s="70"/>
      <c r="G222" s="1"/>
      <c r="H222" s="70"/>
      <c r="I222" s="104"/>
      <c r="J222" s="90"/>
      <c r="K222" s="70"/>
      <c r="M222" s="1"/>
      <c r="N222" s="70"/>
      <c r="S222" s="1"/>
      <c r="T222" s="70"/>
      <c r="U222" s="83"/>
      <c r="V222" s="39"/>
      <c r="Y222" s="1"/>
      <c r="Z222" s="70"/>
      <c r="AE222" s="1"/>
    </row>
    <row r="223">
      <c r="B223" s="70"/>
      <c r="C223" s="104"/>
      <c r="D223" s="90"/>
      <c r="E223" s="70"/>
      <c r="G223" s="1"/>
      <c r="H223" s="70"/>
      <c r="I223" s="104"/>
      <c r="J223" s="90"/>
      <c r="K223" s="70"/>
      <c r="M223" s="1"/>
      <c r="N223" s="70"/>
      <c r="S223" s="1"/>
      <c r="T223" s="70"/>
      <c r="U223" s="83"/>
      <c r="V223" s="39"/>
      <c r="Y223" s="1"/>
      <c r="Z223" s="70"/>
      <c r="AE223" s="1"/>
    </row>
    <row r="224">
      <c r="B224" s="70"/>
      <c r="C224" s="104"/>
      <c r="D224" s="90"/>
      <c r="E224" s="70"/>
      <c r="G224" s="1"/>
      <c r="H224" s="70"/>
      <c r="I224" s="104"/>
      <c r="J224" s="90"/>
      <c r="K224" s="70"/>
      <c r="M224" s="1"/>
      <c r="N224" s="70"/>
      <c r="S224" s="1"/>
      <c r="T224" s="70"/>
      <c r="U224" s="83"/>
      <c r="V224" s="39"/>
      <c r="Y224" s="1"/>
      <c r="Z224" s="70"/>
      <c r="AE224" s="1"/>
    </row>
    <row r="225">
      <c r="B225" s="70"/>
      <c r="C225" s="104"/>
      <c r="D225" s="90"/>
      <c r="E225" s="70"/>
      <c r="G225" s="1"/>
      <c r="H225" s="70"/>
      <c r="I225" s="104"/>
      <c r="J225" s="90"/>
      <c r="K225" s="70"/>
      <c r="M225" s="1"/>
      <c r="N225" s="70"/>
      <c r="S225" s="1"/>
      <c r="T225" s="70"/>
      <c r="U225" s="83"/>
      <c r="V225" s="39"/>
      <c r="Y225" s="1"/>
      <c r="Z225" s="70"/>
      <c r="AE225" s="1"/>
    </row>
    <row r="226">
      <c r="B226" s="70"/>
      <c r="C226" s="104"/>
      <c r="D226" s="90"/>
      <c r="E226" s="70"/>
      <c r="G226" s="1"/>
      <c r="H226" s="70"/>
      <c r="I226" s="104"/>
      <c r="J226" s="90"/>
      <c r="K226" s="70"/>
      <c r="M226" s="1"/>
      <c r="N226" s="70"/>
      <c r="S226" s="1"/>
      <c r="T226" s="70"/>
      <c r="U226" s="83"/>
      <c r="V226" s="39"/>
      <c r="Y226" s="1"/>
      <c r="Z226" s="70"/>
      <c r="AE226" s="1"/>
    </row>
    <row r="227">
      <c r="B227" s="70"/>
      <c r="C227" s="104"/>
      <c r="D227" s="90"/>
      <c r="E227" s="70"/>
      <c r="G227" s="1"/>
      <c r="H227" s="70"/>
      <c r="I227" s="104"/>
      <c r="J227" s="90"/>
      <c r="K227" s="70"/>
      <c r="M227" s="1"/>
      <c r="N227" s="70"/>
      <c r="S227" s="1"/>
      <c r="T227" s="70"/>
      <c r="U227" s="83"/>
      <c r="V227" s="39"/>
      <c r="Y227" s="1"/>
      <c r="Z227" s="70"/>
      <c r="AE227" s="1"/>
    </row>
    <row r="228">
      <c r="B228" s="70"/>
      <c r="C228" s="104"/>
      <c r="D228" s="90"/>
      <c r="E228" s="70"/>
      <c r="G228" s="1"/>
      <c r="H228" s="70"/>
      <c r="I228" s="104"/>
      <c r="J228" s="90"/>
      <c r="K228" s="70"/>
      <c r="M228" s="1"/>
      <c r="N228" s="70"/>
      <c r="S228" s="1"/>
      <c r="T228" s="70"/>
      <c r="U228" s="83"/>
      <c r="V228" s="39"/>
      <c r="Y228" s="1"/>
      <c r="Z228" s="70"/>
      <c r="AE228" s="1"/>
    </row>
    <row r="229">
      <c r="B229" s="70"/>
      <c r="C229" s="104"/>
      <c r="D229" s="90"/>
      <c r="E229" s="70"/>
      <c r="G229" s="1"/>
      <c r="H229" s="70"/>
      <c r="I229" s="104"/>
      <c r="J229" s="90"/>
      <c r="K229" s="70"/>
      <c r="M229" s="1"/>
      <c r="N229" s="70"/>
      <c r="S229" s="1"/>
      <c r="T229" s="70"/>
      <c r="U229" s="83"/>
      <c r="V229" s="39"/>
      <c r="Y229" s="1"/>
      <c r="Z229" s="70"/>
      <c r="AE229" s="1"/>
    </row>
    <row r="230">
      <c r="B230" s="70"/>
      <c r="C230" s="104"/>
      <c r="D230" s="90"/>
      <c r="E230" s="70"/>
      <c r="G230" s="1"/>
      <c r="H230" s="70"/>
      <c r="I230" s="104"/>
      <c r="J230" s="90"/>
      <c r="K230" s="70"/>
      <c r="M230" s="1"/>
      <c r="N230" s="70"/>
      <c r="S230" s="1"/>
      <c r="T230" s="70"/>
      <c r="U230" s="83"/>
      <c r="V230" s="39"/>
      <c r="Y230" s="1"/>
      <c r="Z230" s="70"/>
      <c r="AE230" s="1"/>
    </row>
    <row r="231">
      <c r="B231" s="70"/>
      <c r="C231" s="104"/>
      <c r="D231" s="90"/>
      <c r="E231" s="70"/>
      <c r="G231" s="1"/>
      <c r="H231" s="70"/>
      <c r="I231" s="104"/>
      <c r="J231" s="90"/>
      <c r="K231" s="70"/>
      <c r="M231" s="1"/>
      <c r="N231" s="70"/>
      <c r="S231" s="1"/>
      <c r="T231" s="70"/>
      <c r="U231" s="83"/>
      <c r="V231" s="39"/>
      <c r="Y231" s="1"/>
      <c r="Z231" s="70"/>
      <c r="AE231" s="1"/>
    </row>
    <row r="232">
      <c r="B232" s="70"/>
      <c r="C232" s="104"/>
      <c r="D232" s="90"/>
      <c r="E232" s="70"/>
      <c r="G232" s="1"/>
      <c r="H232" s="70"/>
      <c r="I232" s="104"/>
      <c r="J232" s="90"/>
      <c r="K232" s="70"/>
      <c r="M232" s="1"/>
      <c r="N232" s="70"/>
      <c r="S232" s="1"/>
      <c r="T232" s="70"/>
      <c r="U232" s="83"/>
      <c r="V232" s="39"/>
      <c r="Y232" s="1"/>
      <c r="Z232" s="70"/>
      <c r="AE232" s="1"/>
    </row>
    <row r="233">
      <c r="B233" s="70"/>
      <c r="C233" s="104"/>
      <c r="D233" s="90"/>
      <c r="E233" s="70"/>
      <c r="G233" s="1"/>
      <c r="H233" s="70"/>
      <c r="I233" s="104"/>
      <c r="J233" s="90"/>
      <c r="K233" s="70"/>
      <c r="M233" s="1"/>
      <c r="N233" s="70"/>
      <c r="S233" s="1"/>
      <c r="T233" s="70"/>
      <c r="U233" s="83"/>
      <c r="V233" s="39"/>
      <c r="Y233" s="1"/>
      <c r="Z233" s="70"/>
      <c r="AE233" s="1"/>
    </row>
    <row r="234">
      <c r="B234" s="70"/>
      <c r="C234" s="104"/>
      <c r="D234" s="90"/>
      <c r="E234" s="70"/>
      <c r="G234" s="1"/>
      <c r="H234" s="70"/>
      <c r="I234" s="104"/>
      <c r="J234" s="90"/>
      <c r="K234" s="70"/>
      <c r="M234" s="1"/>
      <c r="N234" s="70"/>
      <c r="S234" s="1"/>
      <c r="T234" s="70"/>
      <c r="U234" s="83"/>
      <c r="V234" s="39"/>
      <c r="Y234" s="1"/>
      <c r="Z234" s="70"/>
      <c r="AE234" s="1"/>
    </row>
    <row r="235">
      <c r="B235" s="70"/>
      <c r="C235" s="104"/>
      <c r="D235" s="90"/>
      <c r="E235" s="70"/>
      <c r="G235" s="1"/>
      <c r="H235" s="70"/>
      <c r="I235" s="104"/>
      <c r="J235" s="90"/>
      <c r="K235" s="70"/>
      <c r="M235" s="1"/>
      <c r="N235" s="70"/>
      <c r="S235" s="1"/>
      <c r="T235" s="70"/>
      <c r="U235" s="83"/>
      <c r="V235" s="39"/>
      <c r="Y235" s="1"/>
      <c r="Z235" s="70"/>
      <c r="AE235" s="1"/>
    </row>
    <row r="236">
      <c r="B236" s="70"/>
      <c r="C236" s="104"/>
      <c r="D236" s="90"/>
      <c r="E236" s="70"/>
      <c r="G236" s="1"/>
      <c r="H236" s="70"/>
      <c r="I236" s="104"/>
      <c r="J236" s="90"/>
      <c r="K236" s="70"/>
      <c r="M236" s="1"/>
      <c r="N236" s="70"/>
      <c r="S236" s="1"/>
      <c r="T236" s="70"/>
      <c r="U236" s="83"/>
      <c r="V236" s="39"/>
      <c r="Y236" s="1"/>
      <c r="Z236" s="70"/>
      <c r="AE236" s="1"/>
    </row>
    <row r="237">
      <c r="B237" s="70"/>
      <c r="C237" s="104"/>
      <c r="D237" s="90"/>
      <c r="E237" s="70"/>
      <c r="G237" s="1"/>
      <c r="H237" s="70"/>
      <c r="I237" s="104"/>
      <c r="J237" s="90"/>
      <c r="K237" s="70"/>
      <c r="M237" s="1"/>
      <c r="N237" s="70"/>
      <c r="S237" s="1"/>
      <c r="T237" s="70"/>
      <c r="U237" s="83"/>
      <c r="V237" s="39"/>
      <c r="Y237" s="1"/>
      <c r="Z237" s="70"/>
      <c r="AE237" s="1"/>
    </row>
    <row r="238">
      <c r="B238" s="70"/>
      <c r="C238" s="104"/>
      <c r="D238" s="90"/>
      <c r="E238" s="70"/>
      <c r="G238" s="1"/>
      <c r="H238" s="70"/>
      <c r="I238" s="104"/>
      <c r="J238" s="90"/>
      <c r="K238" s="70"/>
      <c r="M238" s="1"/>
      <c r="N238" s="70"/>
      <c r="S238" s="1"/>
      <c r="T238" s="70"/>
      <c r="U238" s="83"/>
      <c r="V238" s="39"/>
      <c r="Y238" s="1"/>
      <c r="Z238" s="70"/>
      <c r="AE238" s="1"/>
    </row>
    <row r="239">
      <c r="B239" s="70"/>
      <c r="C239" s="104"/>
      <c r="D239" s="90"/>
      <c r="E239" s="70"/>
      <c r="G239" s="1"/>
      <c r="H239" s="70"/>
      <c r="I239" s="104"/>
      <c r="J239" s="90"/>
      <c r="K239" s="70"/>
      <c r="M239" s="1"/>
      <c r="N239" s="70"/>
      <c r="S239" s="1"/>
      <c r="T239" s="70"/>
      <c r="U239" s="83"/>
      <c r="V239" s="39"/>
      <c r="Y239" s="1"/>
      <c r="Z239" s="70"/>
      <c r="AE239" s="1"/>
    </row>
    <row r="240">
      <c r="B240" s="70"/>
      <c r="C240" s="104"/>
      <c r="D240" s="90"/>
      <c r="E240" s="70"/>
      <c r="G240" s="1"/>
      <c r="H240" s="70"/>
      <c r="I240" s="104"/>
      <c r="J240" s="90"/>
      <c r="K240" s="70"/>
      <c r="M240" s="1"/>
      <c r="N240" s="70"/>
      <c r="S240" s="1"/>
      <c r="T240" s="70"/>
      <c r="U240" s="83"/>
      <c r="V240" s="39"/>
      <c r="Y240" s="1"/>
      <c r="Z240" s="70"/>
      <c r="AE240" s="1"/>
    </row>
    <row r="241">
      <c r="B241" s="70"/>
      <c r="C241" s="104"/>
      <c r="D241" s="90"/>
      <c r="E241" s="70"/>
      <c r="G241" s="1"/>
      <c r="H241" s="70"/>
      <c r="I241" s="104"/>
      <c r="J241" s="90"/>
      <c r="K241" s="70"/>
      <c r="M241" s="1"/>
      <c r="N241" s="70"/>
      <c r="S241" s="1"/>
      <c r="T241" s="70"/>
      <c r="U241" s="83"/>
      <c r="V241" s="39"/>
      <c r="Y241" s="1"/>
      <c r="Z241" s="70"/>
      <c r="AE241" s="1"/>
    </row>
    <row r="242">
      <c r="B242" s="70"/>
      <c r="C242" s="104"/>
      <c r="D242" s="90"/>
      <c r="E242" s="70"/>
      <c r="G242" s="1"/>
      <c r="H242" s="70"/>
      <c r="I242" s="104"/>
      <c r="J242" s="90"/>
      <c r="K242" s="70"/>
      <c r="M242" s="1"/>
      <c r="N242" s="70"/>
      <c r="S242" s="1"/>
      <c r="T242" s="70"/>
      <c r="U242" s="83"/>
      <c r="V242" s="39"/>
      <c r="Y242" s="1"/>
      <c r="Z242" s="70"/>
      <c r="AE242" s="1"/>
    </row>
    <row r="243">
      <c r="B243" s="70"/>
      <c r="C243" s="104"/>
      <c r="D243" s="90"/>
      <c r="E243" s="70"/>
      <c r="G243" s="1"/>
      <c r="H243" s="70"/>
      <c r="I243" s="104"/>
      <c r="J243" s="90"/>
      <c r="K243" s="70"/>
      <c r="M243" s="1"/>
      <c r="N243" s="70"/>
      <c r="S243" s="1"/>
      <c r="T243" s="70"/>
      <c r="U243" s="83"/>
      <c r="V243" s="39"/>
      <c r="Y243" s="1"/>
      <c r="Z243" s="70"/>
      <c r="AE243" s="1"/>
    </row>
    <row r="244">
      <c r="B244" s="70"/>
      <c r="C244" s="104"/>
      <c r="D244" s="90"/>
      <c r="E244" s="70"/>
      <c r="G244" s="1"/>
      <c r="H244" s="70"/>
      <c r="I244" s="104"/>
      <c r="J244" s="90"/>
      <c r="K244" s="70"/>
      <c r="M244" s="1"/>
      <c r="N244" s="70"/>
      <c r="S244" s="1"/>
      <c r="T244" s="70"/>
      <c r="U244" s="83"/>
      <c r="V244" s="39"/>
      <c r="Y244" s="1"/>
      <c r="Z244" s="70"/>
      <c r="AE244" s="1"/>
    </row>
    <row r="245">
      <c r="B245" s="70"/>
      <c r="C245" s="104"/>
      <c r="D245" s="90"/>
      <c r="E245" s="70"/>
      <c r="G245" s="1"/>
      <c r="H245" s="70"/>
      <c r="I245" s="104"/>
      <c r="J245" s="90"/>
      <c r="K245" s="70"/>
      <c r="M245" s="1"/>
      <c r="N245" s="70"/>
      <c r="S245" s="1"/>
      <c r="T245" s="70"/>
      <c r="U245" s="83"/>
      <c r="V245" s="39"/>
      <c r="Y245" s="1"/>
      <c r="Z245" s="70"/>
      <c r="AE245" s="1"/>
    </row>
    <row r="246">
      <c r="B246" s="70"/>
      <c r="C246" s="104"/>
      <c r="D246" s="90"/>
      <c r="E246" s="70"/>
      <c r="G246" s="1"/>
      <c r="H246" s="70"/>
      <c r="I246" s="104"/>
      <c r="J246" s="90"/>
      <c r="K246" s="70"/>
      <c r="M246" s="1"/>
      <c r="N246" s="70"/>
      <c r="S246" s="1"/>
      <c r="T246" s="70"/>
      <c r="U246" s="83"/>
      <c r="V246" s="39"/>
      <c r="Y246" s="1"/>
      <c r="Z246" s="70"/>
      <c r="AE246" s="1"/>
    </row>
    <row r="247">
      <c r="B247" s="70"/>
      <c r="C247" s="104"/>
      <c r="D247" s="90"/>
      <c r="E247" s="70"/>
      <c r="G247" s="1"/>
      <c r="H247" s="70"/>
      <c r="I247" s="104"/>
      <c r="J247" s="90"/>
      <c r="K247" s="70"/>
      <c r="M247" s="1"/>
      <c r="N247" s="70"/>
      <c r="S247" s="1"/>
      <c r="T247" s="70"/>
      <c r="U247" s="83"/>
      <c r="V247" s="39"/>
      <c r="Y247" s="1"/>
      <c r="Z247" s="70"/>
      <c r="AE247" s="1"/>
    </row>
    <row r="248">
      <c r="B248" s="70"/>
      <c r="C248" s="104"/>
      <c r="D248" s="90"/>
      <c r="E248" s="70"/>
      <c r="G248" s="1"/>
      <c r="H248" s="70"/>
      <c r="I248" s="104"/>
      <c r="J248" s="90"/>
      <c r="K248" s="70"/>
      <c r="M248" s="1"/>
      <c r="N248" s="70"/>
      <c r="S248" s="1"/>
      <c r="T248" s="70"/>
      <c r="U248" s="83"/>
      <c r="V248" s="39"/>
      <c r="Y248" s="1"/>
      <c r="Z248" s="70"/>
      <c r="AE248" s="1"/>
    </row>
    <row r="249">
      <c r="B249" s="70"/>
      <c r="C249" s="104"/>
      <c r="D249" s="90"/>
      <c r="E249" s="70"/>
      <c r="G249" s="1"/>
      <c r="H249" s="70"/>
      <c r="I249" s="104"/>
      <c r="J249" s="90"/>
      <c r="K249" s="70"/>
      <c r="M249" s="1"/>
      <c r="N249" s="70"/>
      <c r="S249" s="1"/>
      <c r="T249" s="70"/>
      <c r="U249" s="83"/>
      <c r="V249" s="39"/>
      <c r="Y249" s="1"/>
      <c r="Z249" s="70"/>
      <c r="AE249" s="1"/>
    </row>
    <row r="250">
      <c r="B250" s="70"/>
      <c r="C250" s="104"/>
      <c r="D250" s="90"/>
      <c r="E250" s="70"/>
      <c r="G250" s="1"/>
      <c r="H250" s="70"/>
      <c r="I250" s="104"/>
      <c r="J250" s="90"/>
      <c r="K250" s="70"/>
      <c r="M250" s="1"/>
      <c r="N250" s="70"/>
      <c r="S250" s="1"/>
      <c r="T250" s="70"/>
      <c r="U250" s="83"/>
      <c r="V250" s="39"/>
      <c r="Y250" s="1"/>
      <c r="Z250" s="70"/>
      <c r="AE250" s="1"/>
    </row>
    <row r="251">
      <c r="B251" s="70"/>
      <c r="C251" s="104"/>
      <c r="D251" s="90"/>
      <c r="E251" s="70"/>
      <c r="G251" s="1"/>
      <c r="H251" s="70"/>
      <c r="I251" s="104"/>
      <c r="J251" s="90"/>
      <c r="K251" s="70"/>
      <c r="M251" s="1"/>
      <c r="N251" s="70"/>
      <c r="S251" s="1"/>
      <c r="T251" s="70"/>
      <c r="U251" s="83"/>
      <c r="V251" s="39"/>
      <c r="Y251" s="1"/>
      <c r="Z251" s="70"/>
      <c r="AE251" s="1"/>
    </row>
    <row r="252">
      <c r="B252" s="70"/>
      <c r="C252" s="104"/>
      <c r="D252" s="90"/>
      <c r="E252" s="70"/>
      <c r="G252" s="1"/>
      <c r="H252" s="70"/>
      <c r="I252" s="104"/>
      <c r="J252" s="90"/>
      <c r="K252" s="70"/>
      <c r="M252" s="1"/>
      <c r="N252" s="70"/>
      <c r="S252" s="1"/>
      <c r="T252" s="70"/>
      <c r="U252" s="83"/>
      <c r="V252" s="39"/>
      <c r="Y252" s="1"/>
      <c r="Z252" s="70"/>
      <c r="AE252" s="1"/>
    </row>
    <row r="253">
      <c r="B253" s="70"/>
      <c r="C253" s="104"/>
      <c r="D253" s="90"/>
      <c r="E253" s="70"/>
      <c r="G253" s="1"/>
      <c r="H253" s="70"/>
      <c r="I253" s="104"/>
      <c r="J253" s="90"/>
      <c r="K253" s="70"/>
      <c r="M253" s="1"/>
      <c r="N253" s="70"/>
      <c r="S253" s="1"/>
      <c r="T253" s="70"/>
      <c r="U253" s="83"/>
      <c r="V253" s="39"/>
      <c r="Y253" s="1"/>
      <c r="Z253" s="70"/>
      <c r="AE253" s="1"/>
    </row>
    <row r="254">
      <c r="B254" s="70"/>
      <c r="C254" s="104"/>
      <c r="D254" s="90"/>
      <c r="E254" s="70"/>
      <c r="G254" s="1"/>
      <c r="H254" s="70"/>
      <c r="I254" s="104"/>
      <c r="J254" s="90"/>
      <c r="K254" s="70"/>
      <c r="M254" s="1"/>
      <c r="N254" s="70"/>
      <c r="S254" s="1"/>
      <c r="T254" s="70"/>
      <c r="U254" s="83"/>
      <c r="V254" s="39"/>
      <c r="Y254" s="1"/>
      <c r="Z254" s="70"/>
      <c r="AE254" s="1"/>
    </row>
    <row r="255">
      <c r="B255" s="70"/>
      <c r="C255" s="104"/>
      <c r="D255" s="90"/>
      <c r="E255" s="70"/>
      <c r="G255" s="1"/>
      <c r="H255" s="70"/>
      <c r="I255" s="104"/>
      <c r="J255" s="90"/>
      <c r="K255" s="70"/>
      <c r="M255" s="1"/>
      <c r="N255" s="70"/>
      <c r="S255" s="1"/>
      <c r="T255" s="70"/>
      <c r="U255" s="83"/>
      <c r="V255" s="39"/>
      <c r="Y255" s="1"/>
      <c r="Z255" s="70"/>
      <c r="AE255" s="1"/>
    </row>
    <row r="256">
      <c r="B256" s="70"/>
      <c r="C256" s="104"/>
      <c r="D256" s="90"/>
      <c r="E256" s="70"/>
      <c r="G256" s="1"/>
      <c r="H256" s="70"/>
      <c r="I256" s="104"/>
      <c r="J256" s="90"/>
      <c r="K256" s="70"/>
      <c r="M256" s="1"/>
      <c r="N256" s="70"/>
      <c r="S256" s="1"/>
      <c r="T256" s="70"/>
      <c r="Y256" s="1"/>
      <c r="Z256" s="70"/>
      <c r="AE256" s="1"/>
    </row>
    <row r="257">
      <c r="B257" s="70"/>
      <c r="C257" s="104"/>
      <c r="D257" s="90"/>
      <c r="E257" s="70"/>
      <c r="G257" s="1"/>
      <c r="H257" s="70"/>
      <c r="I257" s="104"/>
      <c r="J257" s="90"/>
      <c r="K257" s="70"/>
      <c r="M257" s="1"/>
      <c r="N257" s="70"/>
      <c r="S257" s="1"/>
      <c r="T257" s="70"/>
      <c r="Y257" s="1"/>
      <c r="Z257" s="70"/>
      <c r="AE257" s="1"/>
    </row>
    <row r="258">
      <c r="B258" s="70"/>
      <c r="C258" s="104"/>
      <c r="D258" s="90"/>
      <c r="E258" s="70"/>
      <c r="G258" s="1"/>
      <c r="H258" s="70"/>
      <c r="I258" s="104"/>
      <c r="J258" s="90"/>
      <c r="K258" s="70"/>
      <c r="M258" s="1"/>
      <c r="N258" s="70"/>
      <c r="S258" s="1"/>
      <c r="T258" s="70"/>
      <c r="Y258" s="1"/>
      <c r="Z258" s="70"/>
      <c r="AE258" s="1"/>
    </row>
    <row r="259">
      <c r="B259" s="70"/>
      <c r="C259" s="104"/>
      <c r="D259" s="90"/>
      <c r="E259" s="70"/>
      <c r="G259" s="1"/>
      <c r="H259" s="70"/>
      <c r="I259" s="104"/>
      <c r="J259" s="90"/>
      <c r="K259" s="70"/>
      <c r="M259" s="1"/>
      <c r="N259" s="70"/>
      <c r="S259" s="1"/>
      <c r="T259" s="70"/>
      <c r="Y259" s="1"/>
      <c r="Z259" s="70"/>
      <c r="AE259" s="1"/>
    </row>
    <row r="260">
      <c r="B260" s="70"/>
      <c r="C260" s="104"/>
      <c r="D260" s="90"/>
      <c r="E260" s="70"/>
      <c r="G260" s="1"/>
      <c r="H260" s="70"/>
      <c r="I260" s="104"/>
      <c r="J260" s="90"/>
      <c r="K260" s="70"/>
      <c r="M260" s="1"/>
      <c r="N260" s="70"/>
      <c r="S260" s="1"/>
      <c r="T260" s="70"/>
      <c r="Y260" s="1"/>
      <c r="Z260" s="70"/>
      <c r="AE260" s="1"/>
    </row>
    <row r="261">
      <c r="B261" s="70"/>
      <c r="C261" s="104"/>
      <c r="D261" s="90"/>
      <c r="E261" s="70"/>
      <c r="G261" s="1"/>
      <c r="H261" s="70"/>
      <c r="I261" s="104"/>
      <c r="J261" s="90"/>
      <c r="K261" s="70"/>
      <c r="M261" s="1"/>
      <c r="N261" s="70"/>
      <c r="S261" s="1"/>
      <c r="T261" s="70"/>
      <c r="Y261" s="1"/>
      <c r="Z261" s="70"/>
      <c r="AE261" s="1"/>
    </row>
    <row r="262">
      <c r="B262" s="70"/>
      <c r="C262" s="104"/>
      <c r="D262" s="90"/>
      <c r="E262" s="70"/>
      <c r="G262" s="1"/>
      <c r="H262" s="70"/>
      <c r="I262" s="104"/>
      <c r="J262" s="90"/>
      <c r="K262" s="70"/>
      <c r="M262" s="1"/>
      <c r="N262" s="70"/>
      <c r="S262" s="1"/>
      <c r="T262" s="70"/>
      <c r="Y262" s="1"/>
      <c r="Z262" s="70"/>
      <c r="AE262" s="1"/>
    </row>
    <row r="263">
      <c r="B263" s="70"/>
      <c r="C263" s="104"/>
      <c r="D263" s="90"/>
      <c r="E263" s="70"/>
      <c r="G263" s="1"/>
      <c r="H263" s="70"/>
      <c r="I263" s="104"/>
      <c r="J263" s="90"/>
      <c r="K263" s="70"/>
      <c r="M263" s="1"/>
      <c r="N263" s="70"/>
      <c r="S263" s="1"/>
      <c r="T263" s="70"/>
      <c r="Y263" s="1"/>
      <c r="Z263" s="70"/>
      <c r="AE263" s="1"/>
    </row>
    <row r="264">
      <c r="B264" s="70"/>
      <c r="C264" s="104"/>
      <c r="D264" s="90"/>
      <c r="E264" s="70"/>
      <c r="G264" s="1"/>
      <c r="H264" s="70"/>
      <c r="I264" s="104"/>
      <c r="J264" s="90"/>
      <c r="K264" s="70"/>
      <c r="M264" s="1"/>
      <c r="N264" s="70"/>
      <c r="S264" s="1"/>
      <c r="T264" s="70"/>
      <c r="Y264" s="1"/>
      <c r="Z264" s="70"/>
      <c r="AE264" s="1"/>
    </row>
    <row r="265">
      <c r="B265" s="70"/>
      <c r="C265" s="104"/>
      <c r="D265" s="90"/>
      <c r="E265" s="70"/>
      <c r="G265" s="1"/>
      <c r="H265" s="70"/>
      <c r="I265" s="104"/>
      <c r="J265" s="90"/>
      <c r="K265" s="70"/>
      <c r="M265" s="1"/>
      <c r="N265" s="70"/>
      <c r="S265" s="1"/>
      <c r="T265" s="70"/>
      <c r="Y265" s="1"/>
      <c r="Z265" s="70"/>
      <c r="AE265" s="1"/>
    </row>
    <row r="266">
      <c r="B266" s="70"/>
      <c r="C266" s="104"/>
      <c r="D266" s="90"/>
      <c r="E266" s="70"/>
      <c r="G266" s="1"/>
      <c r="H266" s="70"/>
      <c r="I266" s="104"/>
      <c r="J266" s="90"/>
      <c r="K266" s="70"/>
      <c r="M266" s="1"/>
      <c r="N266" s="70"/>
      <c r="S266" s="1"/>
      <c r="T266" s="70"/>
      <c r="Y266" s="1"/>
      <c r="Z266" s="70"/>
      <c r="AE266" s="1"/>
    </row>
    <row r="267">
      <c r="B267" s="70"/>
      <c r="C267" s="104"/>
      <c r="D267" s="90"/>
      <c r="E267" s="70"/>
      <c r="G267" s="1"/>
      <c r="H267" s="70"/>
      <c r="I267" s="104"/>
      <c r="J267" s="90"/>
      <c r="K267" s="70"/>
      <c r="M267" s="1"/>
      <c r="N267" s="70"/>
      <c r="S267" s="1"/>
      <c r="T267" s="70"/>
      <c r="Y267" s="1"/>
      <c r="Z267" s="70"/>
      <c r="AE267" s="1"/>
    </row>
    <row r="268">
      <c r="B268" s="70"/>
      <c r="C268" s="104"/>
      <c r="D268" s="90"/>
      <c r="E268" s="70"/>
      <c r="G268" s="1"/>
      <c r="H268" s="70"/>
      <c r="I268" s="104"/>
      <c r="J268" s="90"/>
      <c r="K268" s="70"/>
      <c r="M268" s="1"/>
      <c r="N268" s="70"/>
      <c r="S268" s="1"/>
      <c r="T268" s="70"/>
      <c r="Y268" s="1"/>
      <c r="Z268" s="70"/>
      <c r="AE268" s="1"/>
    </row>
    <row r="269">
      <c r="B269" s="70"/>
      <c r="C269" s="104"/>
      <c r="D269" s="90"/>
      <c r="E269" s="70"/>
      <c r="G269" s="1"/>
      <c r="H269" s="70"/>
      <c r="I269" s="104"/>
      <c r="J269" s="90"/>
      <c r="K269" s="70"/>
      <c r="M269" s="1"/>
      <c r="N269" s="70"/>
      <c r="S269" s="1"/>
      <c r="T269" s="70"/>
      <c r="Y269" s="1"/>
      <c r="Z269" s="70"/>
      <c r="AE269" s="1"/>
    </row>
    <row r="270">
      <c r="B270" s="70"/>
      <c r="C270" s="104"/>
      <c r="D270" s="90"/>
      <c r="E270" s="70"/>
      <c r="G270" s="1"/>
      <c r="H270" s="70"/>
      <c r="I270" s="104"/>
      <c r="J270" s="90"/>
      <c r="K270" s="70"/>
      <c r="M270" s="1"/>
      <c r="N270" s="70"/>
      <c r="S270" s="1"/>
      <c r="T270" s="70"/>
      <c r="Y270" s="1"/>
      <c r="Z270" s="70"/>
      <c r="AE270" s="1"/>
    </row>
    <row r="271">
      <c r="B271" s="70"/>
      <c r="C271" s="104"/>
      <c r="D271" s="90"/>
      <c r="E271" s="70"/>
      <c r="G271" s="1"/>
      <c r="H271" s="70"/>
      <c r="I271" s="104"/>
      <c r="J271" s="90"/>
      <c r="K271" s="70"/>
      <c r="M271" s="1"/>
      <c r="N271" s="70"/>
      <c r="S271" s="1"/>
      <c r="T271" s="70"/>
      <c r="Y271" s="1"/>
      <c r="Z271" s="70"/>
      <c r="AE271" s="1"/>
    </row>
    <row r="272">
      <c r="B272" s="70"/>
      <c r="C272" s="104"/>
      <c r="D272" s="90"/>
      <c r="E272" s="70"/>
      <c r="G272" s="1"/>
      <c r="H272" s="70"/>
      <c r="I272" s="104"/>
      <c r="J272" s="90"/>
      <c r="K272" s="70"/>
      <c r="M272" s="1"/>
      <c r="N272" s="70"/>
      <c r="S272" s="1"/>
      <c r="T272" s="70"/>
      <c r="Y272" s="1"/>
      <c r="Z272" s="70"/>
      <c r="AE272" s="1"/>
    </row>
    <row r="273">
      <c r="B273" s="70"/>
      <c r="C273" s="104"/>
      <c r="D273" s="90"/>
      <c r="E273" s="70"/>
      <c r="G273" s="1"/>
      <c r="H273" s="70"/>
      <c r="I273" s="104"/>
      <c r="J273" s="90"/>
      <c r="K273" s="70"/>
      <c r="M273" s="1"/>
      <c r="N273" s="70"/>
      <c r="S273" s="1"/>
      <c r="T273" s="70"/>
      <c r="Y273" s="1"/>
      <c r="Z273" s="70"/>
      <c r="AE273" s="1"/>
    </row>
    <row r="274">
      <c r="B274" s="70"/>
      <c r="C274" s="104"/>
      <c r="D274" s="90"/>
      <c r="E274" s="70"/>
      <c r="G274" s="1"/>
      <c r="H274" s="70"/>
      <c r="I274" s="104"/>
      <c r="J274" s="90"/>
      <c r="K274" s="70"/>
      <c r="M274" s="1"/>
      <c r="N274" s="70"/>
      <c r="S274" s="1"/>
      <c r="T274" s="70"/>
      <c r="Y274" s="1"/>
      <c r="Z274" s="70"/>
      <c r="AE274" s="1"/>
    </row>
    <row r="275">
      <c r="B275" s="70"/>
      <c r="C275" s="104"/>
      <c r="D275" s="90"/>
      <c r="E275" s="70"/>
      <c r="G275" s="1"/>
      <c r="H275" s="70"/>
      <c r="I275" s="104"/>
      <c r="J275" s="90"/>
      <c r="K275" s="70"/>
      <c r="M275" s="1"/>
      <c r="N275" s="70"/>
      <c r="S275" s="1"/>
      <c r="T275" s="70"/>
      <c r="Y275" s="1"/>
      <c r="Z275" s="70"/>
      <c r="AE275" s="1"/>
    </row>
    <row r="276">
      <c r="B276" s="70"/>
      <c r="C276" s="104"/>
      <c r="D276" s="90"/>
      <c r="E276" s="70"/>
      <c r="G276" s="1"/>
      <c r="H276" s="70"/>
      <c r="I276" s="104"/>
      <c r="J276" s="90"/>
      <c r="K276" s="70"/>
      <c r="M276" s="1"/>
      <c r="N276" s="70"/>
      <c r="S276" s="1"/>
      <c r="T276" s="70"/>
      <c r="Y276" s="1"/>
      <c r="Z276" s="70"/>
      <c r="AE276" s="1"/>
    </row>
    <row r="277">
      <c r="B277" s="70"/>
      <c r="C277" s="104"/>
      <c r="D277" s="90"/>
      <c r="E277" s="70"/>
      <c r="G277" s="1"/>
      <c r="H277" s="70"/>
      <c r="I277" s="104"/>
      <c r="J277" s="90"/>
      <c r="K277" s="70"/>
      <c r="M277" s="1"/>
      <c r="N277" s="70"/>
      <c r="S277" s="1"/>
      <c r="T277" s="70"/>
      <c r="Y277" s="1"/>
      <c r="Z277" s="70"/>
      <c r="AE277" s="1"/>
    </row>
    <row r="278">
      <c r="B278" s="70"/>
      <c r="C278" s="104"/>
      <c r="D278" s="90"/>
      <c r="E278" s="70"/>
      <c r="G278" s="1"/>
      <c r="H278" s="70"/>
      <c r="I278" s="104"/>
      <c r="J278" s="90"/>
      <c r="K278" s="70"/>
      <c r="M278" s="1"/>
      <c r="N278" s="70"/>
      <c r="S278" s="1"/>
      <c r="T278" s="70"/>
      <c r="Y278" s="1"/>
      <c r="Z278" s="70"/>
      <c r="AE278" s="1"/>
    </row>
    <row r="279">
      <c r="B279" s="70"/>
      <c r="C279" s="104"/>
      <c r="D279" s="90"/>
      <c r="E279" s="70"/>
      <c r="G279" s="1"/>
      <c r="H279" s="70"/>
      <c r="I279" s="104"/>
      <c r="J279" s="90"/>
      <c r="K279" s="70"/>
      <c r="M279" s="1"/>
      <c r="N279" s="70"/>
      <c r="S279" s="1"/>
      <c r="T279" s="70"/>
      <c r="Y279" s="1"/>
      <c r="Z279" s="70"/>
      <c r="AE279" s="1"/>
    </row>
    <row r="280">
      <c r="B280" s="70"/>
      <c r="C280" s="104"/>
      <c r="D280" s="90"/>
      <c r="E280" s="70"/>
      <c r="G280" s="1"/>
      <c r="H280" s="70"/>
      <c r="I280" s="104"/>
      <c r="J280" s="90"/>
      <c r="K280" s="70"/>
      <c r="M280" s="1"/>
      <c r="N280" s="70"/>
      <c r="S280" s="1"/>
      <c r="T280" s="70"/>
      <c r="Y280" s="1"/>
      <c r="Z280" s="70"/>
      <c r="AE280" s="1"/>
    </row>
    <row r="281">
      <c r="B281" s="70"/>
      <c r="C281" s="104"/>
      <c r="D281" s="90"/>
      <c r="E281" s="70"/>
      <c r="G281" s="1"/>
      <c r="H281" s="70"/>
      <c r="I281" s="104"/>
      <c r="J281" s="90"/>
      <c r="K281" s="70"/>
      <c r="M281" s="1"/>
      <c r="N281" s="70"/>
      <c r="S281" s="1"/>
      <c r="T281" s="70"/>
      <c r="Y281" s="1"/>
      <c r="Z281" s="70"/>
      <c r="AE281" s="1"/>
    </row>
    <row r="282">
      <c r="B282" s="70"/>
      <c r="C282" s="104"/>
      <c r="D282" s="90"/>
      <c r="E282" s="70"/>
      <c r="G282" s="1"/>
      <c r="H282" s="70"/>
      <c r="I282" s="104"/>
      <c r="J282" s="90"/>
      <c r="K282" s="70"/>
      <c r="M282" s="1"/>
      <c r="N282" s="70"/>
      <c r="S282" s="1"/>
      <c r="T282" s="70"/>
      <c r="Y282" s="1"/>
      <c r="Z282" s="70"/>
      <c r="AE282" s="1"/>
    </row>
    <row r="283">
      <c r="B283" s="70"/>
      <c r="C283" s="104"/>
      <c r="D283" s="90"/>
      <c r="E283" s="70"/>
      <c r="G283" s="1"/>
      <c r="H283" s="70"/>
      <c r="I283" s="104"/>
      <c r="J283" s="90"/>
      <c r="K283" s="70"/>
      <c r="M283" s="1"/>
      <c r="N283" s="70"/>
      <c r="S283" s="1"/>
      <c r="T283" s="70"/>
      <c r="Y283" s="1"/>
      <c r="Z283" s="70"/>
      <c r="AE283" s="1"/>
    </row>
    <row r="284">
      <c r="B284" s="70"/>
      <c r="C284" s="104"/>
      <c r="D284" s="90"/>
      <c r="E284" s="70"/>
      <c r="G284" s="1"/>
      <c r="H284" s="70"/>
      <c r="I284" s="104"/>
      <c r="J284" s="90"/>
      <c r="K284" s="70"/>
      <c r="M284" s="1"/>
      <c r="N284" s="70"/>
      <c r="S284" s="1"/>
      <c r="T284" s="70"/>
      <c r="Y284" s="1"/>
      <c r="Z284" s="70"/>
      <c r="AE284" s="1"/>
    </row>
    <row r="285">
      <c r="B285" s="70"/>
      <c r="C285" s="104"/>
      <c r="D285" s="90"/>
      <c r="E285" s="70"/>
      <c r="G285" s="1"/>
      <c r="H285" s="70"/>
      <c r="I285" s="104"/>
      <c r="J285" s="90"/>
      <c r="K285" s="70"/>
      <c r="M285" s="1"/>
      <c r="N285" s="70"/>
      <c r="S285" s="1"/>
      <c r="T285" s="70"/>
      <c r="Y285" s="1"/>
      <c r="Z285" s="70"/>
      <c r="AE285" s="1"/>
    </row>
    <row r="286">
      <c r="B286" s="70"/>
      <c r="C286" s="104"/>
      <c r="D286" s="90"/>
      <c r="E286" s="70"/>
      <c r="G286" s="1"/>
      <c r="H286" s="70"/>
      <c r="I286" s="104"/>
      <c r="J286" s="90"/>
      <c r="K286" s="70"/>
      <c r="M286" s="1"/>
      <c r="N286" s="70"/>
      <c r="S286" s="1"/>
      <c r="T286" s="70"/>
      <c r="Y286" s="1"/>
      <c r="Z286" s="70"/>
      <c r="AE286" s="1"/>
    </row>
    <row r="287">
      <c r="B287" s="70"/>
      <c r="C287" s="104"/>
      <c r="D287" s="90"/>
      <c r="E287" s="70"/>
      <c r="G287" s="1"/>
      <c r="H287" s="70"/>
      <c r="I287" s="104"/>
      <c r="J287" s="90"/>
      <c r="K287" s="70"/>
      <c r="M287" s="1"/>
      <c r="N287" s="70"/>
      <c r="S287" s="1"/>
      <c r="T287" s="70"/>
      <c r="Y287" s="1"/>
      <c r="Z287" s="70"/>
      <c r="AE287" s="1"/>
    </row>
    <row r="288">
      <c r="B288" s="70"/>
      <c r="C288" s="104"/>
      <c r="D288" s="90"/>
      <c r="E288" s="70"/>
      <c r="G288" s="1"/>
      <c r="H288" s="70"/>
      <c r="I288" s="104"/>
      <c r="J288" s="90"/>
      <c r="K288" s="70"/>
      <c r="M288" s="1"/>
      <c r="N288" s="70"/>
      <c r="S288" s="1"/>
      <c r="T288" s="70"/>
      <c r="Y288" s="1"/>
      <c r="Z288" s="70"/>
      <c r="AE288" s="1"/>
    </row>
    <row r="289">
      <c r="B289" s="70"/>
      <c r="C289" s="104"/>
      <c r="D289" s="90"/>
      <c r="E289" s="70"/>
      <c r="G289" s="1"/>
      <c r="H289" s="70"/>
      <c r="I289" s="104"/>
      <c r="J289" s="90"/>
      <c r="K289" s="70"/>
      <c r="M289" s="1"/>
      <c r="N289" s="70"/>
      <c r="S289" s="1"/>
      <c r="T289" s="70"/>
      <c r="Y289" s="1"/>
      <c r="Z289" s="70"/>
      <c r="AE289" s="1"/>
    </row>
    <row r="290">
      <c r="B290" s="70"/>
      <c r="C290" s="104"/>
      <c r="D290" s="90"/>
      <c r="E290" s="70"/>
      <c r="G290" s="1"/>
      <c r="H290" s="70"/>
      <c r="I290" s="104"/>
      <c r="J290" s="90"/>
      <c r="K290" s="70"/>
      <c r="M290" s="1"/>
      <c r="N290" s="70"/>
      <c r="S290" s="1"/>
      <c r="T290" s="70"/>
      <c r="Y290" s="1"/>
      <c r="Z290" s="70"/>
      <c r="AE290" s="1"/>
    </row>
    <row r="291">
      <c r="B291" s="70"/>
      <c r="C291" s="104"/>
      <c r="D291" s="90"/>
      <c r="E291" s="70"/>
      <c r="G291" s="1"/>
      <c r="H291" s="70"/>
      <c r="I291" s="104"/>
      <c r="J291" s="90"/>
      <c r="K291" s="70"/>
      <c r="M291" s="1"/>
      <c r="N291" s="70"/>
      <c r="S291" s="1"/>
      <c r="T291" s="70"/>
      <c r="Y291" s="1"/>
      <c r="Z291" s="70"/>
      <c r="AE291" s="1"/>
    </row>
    <row r="292">
      <c r="B292" s="70"/>
      <c r="C292" s="104"/>
      <c r="D292" s="90"/>
      <c r="E292" s="70"/>
      <c r="G292" s="1"/>
      <c r="H292" s="70"/>
      <c r="I292" s="104"/>
      <c r="J292" s="90"/>
      <c r="K292" s="70"/>
      <c r="M292" s="1"/>
      <c r="N292" s="70"/>
      <c r="S292" s="1"/>
      <c r="T292" s="70"/>
      <c r="Y292" s="1"/>
      <c r="Z292" s="70"/>
      <c r="AE292" s="1"/>
    </row>
    <row r="293">
      <c r="B293" s="70"/>
      <c r="C293" s="104"/>
      <c r="D293" s="90"/>
      <c r="E293" s="70"/>
      <c r="G293" s="1"/>
      <c r="H293" s="70"/>
      <c r="I293" s="104"/>
      <c r="J293" s="90"/>
      <c r="K293" s="70"/>
      <c r="M293" s="1"/>
      <c r="N293" s="70"/>
      <c r="S293" s="1"/>
      <c r="T293" s="70"/>
      <c r="Y293" s="1"/>
      <c r="Z293" s="70"/>
      <c r="AE293" s="1"/>
    </row>
    <row r="294">
      <c r="B294" s="70"/>
      <c r="C294" s="104"/>
      <c r="D294" s="90"/>
      <c r="E294" s="70"/>
      <c r="G294" s="1"/>
      <c r="H294" s="70"/>
      <c r="I294" s="104"/>
      <c r="J294" s="90"/>
      <c r="K294" s="70"/>
      <c r="M294" s="1"/>
      <c r="N294" s="70"/>
      <c r="S294" s="1"/>
      <c r="T294" s="70"/>
      <c r="Y294" s="1"/>
      <c r="Z294" s="70"/>
      <c r="AE294" s="1"/>
    </row>
    <row r="295">
      <c r="B295" s="70"/>
      <c r="C295" s="104"/>
      <c r="D295" s="90"/>
      <c r="E295" s="70"/>
      <c r="G295" s="1"/>
      <c r="H295" s="70"/>
      <c r="I295" s="104"/>
      <c r="J295" s="90"/>
      <c r="K295" s="70"/>
      <c r="M295" s="1"/>
      <c r="N295" s="70"/>
      <c r="S295" s="1"/>
      <c r="T295" s="70"/>
      <c r="Y295" s="1"/>
      <c r="Z295" s="70"/>
      <c r="AE295" s="1"/>
    </row>
    <row r="296">
      <c r="B296" s="70"/>
      <c r="C296" s="104"/>
      <c r="D296" s="90"/>
      <c r="E296" s="70"/>
      <c r="G296" s="1"/>
      <c r="H296" s="70"/>
      <c r="I296" s="104"/>
      <c r="J296" s="90"/>
      <c r="K296" s="70"/>
      <c r="M296" s="1"/>
      <c r="N296" s="70"/>
      <c r="S296" s="1"/>
      <c r="T296" s="70"/>
      <c r="Y296" s="1"/>
      <c r="Z296" s="70"/>
      <c r="AE296" s="1"/>
    </row>
    <row r="297">
      <c r="B297" s="70"/>
      <c r="C297" s="104"/>
      <c r="D297" s="90"/>
      <c r="E297" s="70"/>
      <c r="G297" s="1"/>
      <c r="H297" s="70"/>
      <c r="I297" s="104"/>
      <c r="J297" s="90"/>
      <c r="K297" s="70"/>
      <c r="M297" s="1"/>
      <c r="N297" s="70"/>
      <c r="S297" s="1"/>
      <c r="T297" s="70"/>
      <c r="Y297" s="1"/>
      <c r="Z297" s="70"/>
      <c r="AE297" s="1"/>
    </row>
    <row r="298">
      <c r="B298" s="70"/>
      <c r="C298" s="104"/>
      <c r="D298" s="90"/>
      <c r="E298" s="70"/>
      <c r="G298" s="1"/>
      <c r="H298" s="70"/>
      <c r="I298" s="104"/>
      <c r="J298" s="90"/>
      <c r="K298" s="70"/>
      <c r="M298" s="1"/>
      <c r="N298" s="70"/>
      <c r="S298" s="1"/>
      <c r="T298" s="70"/>
      <c r="Y298" s="1"/>
      <c r="Z298" s="70"/>
      <c r="AE298" s="1"/>
    </row>
    <row r="299">
      <c r="B299" s="70"/>
      <c r="C299" s="104"/>
      <c r="D299" s="90"/>
      <c r="E299" s="70"/>
      <c r="G299" s="1"/>
      <c r="H299" s="70"/>
      <c r="I299" s="104"/>
      <c r="J299" s="90"/>
      <c r="K299" s="70"/>
      <c r="M299" s="1"/>
      <c r="N299" s="70"/>
      <c r="S299" s="1"/>
      <c r="T299" s="70"/>
      <c r="Y299" s="1"/>
      <c r="Z299" s="70"/>
      <c r="AE299" s="1"/>
    </row>
    <row r="300">
      <c r="B300" s="70"/>
      <c r="C300" s="104"/>
      <c r="D300" s="90"/>
      <c r="E300" s="70"/>
      <c r="G300" s="1"/>
      <c r="H300" s="70"/>
      <c r="I300" s="104"/>
      <c r="J300" s="90"/>
      <c r="K300" s="70"/>
      <c r="M300" s="1"/>
      <c r="N300" s="70"/>
      <c r="S300" s="1"/>
      <c r="T300" s="70"/>
      <c r="Y300" s="1"/>
      <c r="Z300" s="70"/>
      <c r="AE300" s="1"/>
    </row>
    <row r="301">
      <c r="B301" s="70"/>
      <c r="C301" s="104"/>
      <c r="D301" s="90"/>
      <c r="E301" s="70"/>
      <c r="G301" s="1"/>
      <c r="H301" s="70"/>
      <c r="I301" s="104"/>
      <c r="J301" s="90"/>
      <c r="K301" s="70"/>
      <c r="M301" s="1"/>
      <c r="N301" s="70"/>
      <c r="S301" s="1"/>
      <c r="T301" s="70"/>
      <c r="Y301" s="1"/>
      <c r="Z301" s="70"/>
      <c r="AE301" s="1"/>
    </row>
    <row r="302">
      <c r="B302" s="70"/>
      <c r="C302" s="104"/>
      <c r="D302" s="90"/>
      <c r="E302" s="70"/>
      <c r="G302" s="1"/>
      <c r="H302" s="70"/>
      <c r="I302" s="104"/>
      <c r="J302" s="90"/>
      <c r="K302" s="70"/>
      <c r="M302" s="1"/>
      <c r="N302" s="70"/>
      <c r="S302" s="1"/>
      <c r="T302" s="70"/>
      <c r="Y302" s="1"/>
      <c r="Z302" s="70"/>
      <c r="AE302" s="1"/>
    </row>
    <row r="303">
      <c r="B303" s="70"/>
      <c r="C303" s="104"/>
      <c r="D303" s="90"/>
      <c r="E303" s="70"/>
      <c r="G303" s="1"/>
      <c r="H303" s="70"/>
      <c r="I303" s="104"/>
      <c r="J303" s="90"/>
      <c r="K303" s="70"/>
      <c r="M303" s="1"/>
      <c r="N303" s="70"/>
      <c r="S303" s="1"/>
      <c r="T303" s="70"/>
      <c r="Y303" s="1"/>
      <c r="Z303" s="70"/>
      <c r="AE303" s="1"/>
    </row>
    <row r="304">
      <c r="B304" s="70"/>
      <c r="C304" s="104"/>
      <c r="D304" s="90"/>
      <c r="E304" s="70"/>
      <c r="G304" s="1"/>
      <c r="H304" s="70"/>
      <c r="I304" s="104"/>
      <c r="J304" s="90"/>
      <c r="K304" s="70"/>
      <c r="M304" s="1"/>
      <c r="N304" s="70"/>
      <c r="S304" s="1"/>
      <c r="T304" s="70"/>
      <c r="Y304" s="1"/>
      <c r="Z304" s="70"/>
      <c r="AE304" s="1"/>
    </row>
    <row r="305">
      <c r="B305" s="70"/>
      <c r="C305" s="104"/>
      <c r="D305" s="90"/>
      <c r="E305" s="70"/>
      <c r="G305" s="1"/>
      <c r="H305" s="70"/>
      <c r="I305" s="104"/>
      <c r="J305" s="90"/>
      <c r="K305" s="70"/>
      <c r="M305" s="1"/>
      <c r="N305" s="70"/>
      <c r="S305" s="1"/>
      <c r="T305" s="70"/>
      <c r="Y305" s="1"/>
      <c r="Z305" s="70"/>
      <c r="AE305" s="1"/>
    </row>
    <row r="306">
      <c r="B306" s="70"/>
      <c r="C306" s="104"/>
      <c r="D306" s="90"/>
      <c r="E306" s="70"/>
      <c r="G306" s="1"/>
      <c r="H306" s="70"/>
      <c r="I306" s="104"/>
      <c r="J306" s="90"/>
      <c r="K306" s="70"/>
      <c r="M306" s="1"/>
      <c r="N306" s="70"/>
      <c r="S306" s="1"/>
      <c r="T306" s="70"/>
      <c r="Y306" s="1"/>
      <c r="Z306" s="70"/>
      <c r="AE306" s="1"/>
    </row>
    <row r="307">
      <c r="B307" s="70"/>
      <c r="C307" s="104"/>
      <c r="D307" s="90"/>
      <c r="E307" s="70"/>
      <c r="G307" s="1"/>
      <c r="H307" s="70"/>
      <c r="I307" s="104"/>
      <c r="J307" s="90"/>
      <c r="K307" s="70"/>
      <c r="M307" s="1"/>
      <c r="N307" s="70"/>
      <c r="S307" s="1"/>
      <c r="T307" s="70"/>
      <c r="Y307" s="1"/>
      <c r="Z307" s="70"/>
      <c r="AE307" s="1"/>
    </row>
    <row r="308">
      <c r="B308" s="70"/>
      <c r="C308" s="104"/>
      <c r="D308" s="90"/>
      <c r="E308" s="70"/>
      <c r="G308" s="1"/>
      <c r="H308" s="70"/>
      <c r="I308" s="104"/>
      <c r="J308" s="90"/>
      <c r="K308" s="70"/>
      <c r="M308" s="1"/>
      <c r="N308" s="70"/>
      <c r="S308" s="1"/>
      <c r="T308" s="70"/>
      <c r="Y308" s="1"/>
      <c r="Z308" s="70"/>
      <c r="AE308" s="1"/>
    </row>
    <row r="309">
      <c r="B309" s="70"/>
      <c r="C309" s="104"/>
      <c r="D309" s="90"/>
      <c r="E309" s="70"/>
      <c r="G309" s="1"/>
      <c r="H309" s="70"/>
      <c r="I309" s="104"/>
      <c r="J309" s="90"/>
      <c r="K309" s="70"/>
      <c r="M309" s="1"/>
      <c r="N309" s="70"/>
      <c r="S309" s="1"/>
      <c r="T309" s="70"/>
      <c r="Y309" s="1"/>
      <c r="Z309" s="70"/>
      <c r="AE309" s="1"/>
    </row>
    <row r="310">
      <c r="B310" s="70"/>
      <c r="C310" s="104"/>
      <c r="D310" s="90"/>
      <c r="E310" s="70"/>
      <c r="G310" s="1"/>
      <c r="H310" s="70"/>
      <c r="I310" s="104"/>
      <c r="J310" s="90"/>
      <c r="K310" s="70"/>
      <c r="M310" s="1"/>
      <c r="N310" s="70"/>
      <c r="S310" s="1"/>
      <c r="T310" s="70"/>
      <c r="Y310" s="1"/>
      <c r="Z310" s="70"/>
      <c r="AE310" s="1"/>
    </row>
    <row r="311">
      <c r="B311" s="70"/>
      <c r="C311" s="104"/>
      <c r="D311" s="90"/>
      <c r="E311" s="70"/>
      <c r="G311" s="1"/>
      <c r="H311" s="70"/>
      <c r="I311" s="104"/>
      <c r="J311" s="90"/>
      <c r="K311" s="70"/>
      <c r="M311" s="1"/>
      <c r="N311" s="70"/>
      <c r="S311" s="1"/>
      <c r="T311" s="70"/>
      <c r="Y311" s="1"/>
      <c r="Z311" s="70"/>
      <c r="AE311" s="1"/>
    </row>
    <row r="312">
      <c r="B312" s="70"/>
      <c r="C312" s="104"/>
      <c r="D312" s="90"/>
      <c r="E312" s="70"/>
      <c r="G312" s="1"/>
      <c r="H312" s="70"/>
      <c r="I312" s="104"/>
      <c r="J312" s="90"/>
      <c r="K312" s="70"/>
      <c r="M312" s="1"/>
      <c r="N312" s="70"/>
      <c r="S312" s="1"/>
      <c r="T312" s="70"/>
      <c r="Y312" s="1"/>
      <c r="Z312" s="70"/>
      <c r="AE312" s="1"/>
    </row>
    <row r="313">
      <c r="B313" s="70"/>
      <c r="C313" s="104"/>
      <c r="D313" s="90"/>
      <c r="E313" s="70"/>
      <c r="G313" s="1"/>
      <c r="H313" s="70"/>
      <c r="I313" s="104"/>
      <c r="J313" s="90"/>
      <c r="K313" s="70"/>
      <c r="M313" s="1"/>
      <c r="N313" s="70"/>
      <c r="S313" s="1"/>
      <c r="T313" s="70"/>
      <c r="Y313" s="1"/>
      <c r="Z313" s="70"/>
      <c r="AE313" s="1"/>
    </row>
    <row r="314">
      <c r="B314" s="70"/>
      <c r="C314" s="104"/>
      <c r="D314" s="90"/>
      <c r="E314" s="70"/>
      <c r="G314" s="1"/>
      <c r="H314" s="70"/>
      <c r="I314" s="104"/>
      <c r="J314" s="90"/>
      <c r="K314" s="70"/>
      <c r="M314" s="1"/>
      <c r="N314" s="70"/>
      <c r="S314" s="1"/>
      <c r="T314" s="70"/>
      <c r="Y314" s="1"/>
      <c r="Z314" s="70"/>
      <c r="AE314" s="1"/>
    </row>
    <row r="315">
      <c r="B315" s="70"/>
      <c r="C315" s="104"/>
      <c r="D315" s="90"/>
      <c r="E315" s="70"/>
      <c r="G315" s="1"/>
      <c r="H315" s="70"/>
      <c r="I315" s="104"/>
      <c r="J315" s="90"/>
      <c r="K315" s="70"/>
      <c r="M315" s="1"/>
      <c r="N315" s="70"/>
      <c r="S315" s="1"/>
      <c r="T315" s="70"/>
      <c r="Y315" s="1"/>
      <c r="Z315" s="70"/>
      <c r="AE315" s="1"/>
    </row>
    <row r="316">
      <c r="B316" s="70"/>
      <c r="C316" s="104"/>
      <c r="D316" s="90"/>
      <c r="E316" s="70"/>
      <c r="G316" s="1"/>
      <c r="H316" s="70"/>
      <c r="I316" s="104"/>
      <c r="J316" s="90"/>
      <c r="K316" s="70"/>
      <c r="M316" s="1"/>
      <c r="N316" s="70"/>
      <c r="S316" s="1"/>
      <c r="T316" s="70"/>
      <c r="Y316" s="1"/>
      <c r="Z316" s="70"/>
      <c r="AE316" s="1"/>
    </row>
    <row r="317">
      <c r="B317" s="70"/>
      <c r="C317" s="104"/>
      <c r="D317" s="90"/>
      <c r="E317" s="70"/>
      <c r="G317" s="1"/>
      <c r="H317" s="70"/>
      <c r="I317" s="104"/>
      <c r="J317" s="90"/>
      <c r="K317" s="70"/>
      <c r="M317" s="1"/>
      <c r="N317" s="70"/>
      <c r="S317" s="1"/>
      <c r="T317" s="70"/>
      <c r="Y317" s="1"/>
      <c r="Z317" s="70"/>
      <c r="AE317" s="1"/>
    </row>
    <row r="318">
      <c r="B318" s="70"/>
      <c r="C318" s="104"/>
      <c r="D318" s="90"/>
      <c r="E318" s="70"/>
      <c r="G318" s="1"/>
      <c r="H318" s="70"/>
      <c r="I318" s="104"/>
      <c r="J318" s="90"/>
      <c r="K318" s="70"/>
      <c r="M318" s="1"/>
      <c r="N318" s="70"/>
      <c r="S318" s="1"/>
      <c r="T318" s="70"/>
      <c r="Y318" s="1"/>
      <c r="Z318" s="70"/>
      <c r="AE318" s="1"/>
    </row>
    <row r="319">
      <c r="B319" s="70"/>
      <c r="C319" s="104"/>
      <c r="D319" s="90"/>
      <c r="E319" s="70"/>
      <c r="G319" s="1"/>
      <c r="H319" s="70"/>
      <c r="I319" s="104"/>
      <c r="J319" s="90"/>
      <c r="K319" s="70"/>
      <c r="M319" s="1"/>
      <c r="N319" s="70"/>
      <c r="S319" s="1"/>
      <c r="T319" s="70"/>
      <c r="Y319" s="1"/>
      <c r="Z319" s="70"/>
      <c r="AE319" s="1"/>
    </row>
    <row r="320">
      <c r="B320" s="70"/>
      <c r="C320" s="104"/>
      <c r="D320" s="90"/>
      <c r="E320" s="70"/>
      <c r="G320" s="1"/>
      <c r="H320" s="70"/>
      <c r="I320" s="104"/>
      <c r="J320" s="90"/>
      <c r="K320" s="70"/>
      <c r="M320" s="1"/>
      <c r="N320" s="70"/>
      <c r="S320" s="1"/>
      <c r="T320" s="70"/>
      <c r="Y320" s="1"/>
      <c r="Z320" s="70"/>
      <c r="AE320" s="1"/>
    </row>
    <row r="321">
      <c r="B321" s="70"/>
      <c r="C321" s="104"/>
      <c r="D321" s="90"/>
      <c r="E321" s="70"/>
      <c r="G321" s="1"/>
      <c r="H321" s="70"/>
      <c r="I321" s="104"/>
      <c r="J321" s="90"/>
      <c r="K321" s="70"/>
      <c r="M321" s="1"/>
      <c r="N321" s="70"/>
      <c r="S321" s="1"/>
      <c r="T321" s="70"/>
      <c r="Y321" s="1"/>
      <c r="Z321" s="70"/>
      <c r="AE321" s="1"/>
    </row>
    <row r="322">
      <c r="B322" s="70"/>
      <c r="C322" s="104"/>
      <c r="D322" s="90"/>
      <c r="E322" s="70"/>
      <c r="G322" s="1"/>
      <c r="H322" s="70"/>
      <c r="I322" s="104"/>
      <c r="J322" s="90"/>
      <c r="K322" s="70"/>
      <c r="M322" s="1"/>
      <c r="N322" s="70"/>
      <c r="S322" s="1"/>
      <c r="T322" s="70"/>
      <c r="Y322" s="1"/>
      <c r="Z322" s="70"/>
      <c r="AE322" s="1"/>
    </row>
    <row r="323">
      <c r="B323" s="70"/>
      <c r="C323" s="104"/>
      <c r="D323" s="90"/>
      <c r="E323" s="70"/>
      <c r="G323" s="1"/>
      <c r="H323" s="70"/>
      <c r="I323" s="104"/>
      <c r="J323" s="90"/>
      <c r="K323" s="70"/>
      <c r="M323" s="1"/>
      <c r="N323" s="70"/>
      <c r="S323" s="1"/>
      <c r="T323" s="70"/>
      <c r="Y323" s="1"/>
      <c r="Z323" s="70"/>
      <c r="AE323" s="1"/>
    </row>
    <row r="324">
      <c r="B324" s="70"/>
      <c r="C324" s="104"/>
      <c r="D324" s="90"/>
      <c r="E324" s="70"/>
      <c r="G324" s="1"/>
      <c r="H324" s="70"/>
      <c r="I324" s="104"/>
      <c r="J324" s="90"/>
      <c r="K324" s="70"/>
      <c r="M324" s="1"/>
      <c r="N324" s="70"/>
      <c r="S324" s="1"/>
      <c r="T324" s="70"/>
      <c r="Y324" s="1"/>
      <c r="Z324" s="70"/>
      <c r="AE324" s="1"/>
    </row>
    <row r="325">
      <c r="B325" s="70"/>
      <c r="C325" s="104"/>
      <c r="D325" s="90"/>
      <c r="E325" s="70"/>
      <c r="G325" s="1"/>
      <c r="H325" s="70"/>
      <c r="I325" s="104"/>
      <c r="J325" s="90"/>
      <c r="K325" s="70"/>
      <c r="M325" s="1"/>
      <c r="N325" s="70"/>
      <c r="S325" s="1"/>
      <c r="T325" s="70"/>
      <c r="Y325" s="1"/>
      <c r="Z325" s="70"/>
      <c r="AE325" s="1"/>
    </row>
    <row r="326">
      <c r="B326" s="70"/>
      <c r="C326" s="104"/>
      <c r="D326" s="90"/>
      <c r="E326" s="70"/>
      <c r="G326" s="1"/>
      <c r="H326" s="70"/>
      <c r="I326" s="104"/>
      <c r="J326" s="90"/>
      <c r="K326" s="70"/>
      <c r="M326" s="1"/>
      <c r="N326" s="70"/>
      <c r="S326" s="1"/>
      <c r="T326" s="70"/>
      <c r="Y326" s="1"/>
      <c r="Z326" s="70"/>
      <c r="AE326" s="1"/>
    </row>
    <row r="327">
      <c r="B327" s="70"/>
      <c r="C327" s="104"/>
      <c r="D327" s="90"/>
      <c r="E327" s="70"/>
      <c r="G327" s="1"/>
      <c r="H327" s="70"/>
      <c r="I327" s="104"/>
      <c r="J327" s="90"/>
      <c r="K327" s="70"/>
      <c r="M327" s="1"/>
      <c r="N327" s="70"/>
      <c r="S327" s="1"/>
      <c r="T327" s="70"/>
      <c r="Y327" s="1"/>
      <c r="Z327" s="70"/>
      <c r="AE327" s="1"/>
    </row>
    <row r="328">
      <c r="B328" s="70"/>
      <c r="C328" s="104"/>
      <c r="D328" s="90"/>
      <c r="E328" s="70"/>
      <c r="G328" s="1"/>
      <c r="H328" s="70"/>
      <c r="I328" s="104"/>
      <c r="J328" s="90"/>
      <c r="K328" s="70"/>
      <c r="M328" s="1"/>
      <c r="N328" s="70"/>
      <c r="S328" s="1"/>
      <c r="T328" s="70"/>
      <c r="Y328" s="1"/>
      <c r="Z328" s="70"/>
      <c r="AE328" s="1"/>
    </row>
    <row r="329">
      <c r="B329" s="70"/>
      <c r="C329" s="104"/>
      <c r="D329" s="90"/>
      <c r="E329" s="70"/>
      <c r="G329" s="1"/>
      <c r="H329" s="70"/>
      <c r="I329" s="104"/>
      <c r="J329" s="90"/>
      <c r="K329" s="70"/>
      <c r="M329" s="1"/>
      <c r="N329" s="70"/>
      <c r="S329" s="1"/>
      <c r="T329" s="70"/>
      <c r="Y329" s="1"/>
      <c r="Z329" s="70"/>
      <c r="AE329" s="1"/>
    </row>
    <row r="330">
      <c r="B330" s="70"/>
      <c r="C330" s="104"/>
      <c r="D330" s="90"/>
      <c r="E330" s="70"/>
      <c r="G330" s="1"/>
      <c r="H330" s="70"/>
      <c r="I330" s="104"/>
      <c r="J330" s="90"/>
      <c r="K330" s="70"/>
      <c r="M330" s="1"/>
      <c r="N330" s="70"/>
      <c r="S330" s="1"/>
      <c r="T330" s="70"/>
      <c r="Y330" s="1"/>
      <c r="Z330" s="70"/>
      <c r="AE330" s="1"/>
    </row>
    <row r="331">
      <c r="B331" s="70"/>
      <c r="C331" s="104"/>
      <c r="D331" s="90"/>
      <c r="E331" s="70"/>
      <c r="G331" s="1"/>
      <c r="H331" s="70"/>
      <c r="I331" s="104"/>
      <c r="J331" s="90"/>
      <c r="K331" s="70"/>
      <c r="M331" s="1"/>
      <c r="N331" s="70"/>
      <c r="S331" s="1"/>
      <c r="T331" s="70"/>
      <c r="Y331" s="1"/>
      <c r="Z331" s="70"/>
      <c r="AE331" s="1"/>
    </row>
    <row r="332">
      <c r="B332" s="70"/>
      <c r="C332" s="104"/>
      <c r="D332" s="90"/>
      <c r="E332" s="70"/>
      <c r="G332" s="1"/>
      <c r="H332" s="70"/>
      <c r="I332" s="104"/>
      <c r="J332" s="90"/>
      <c r="K332" s="70"/>
      <c r="M332" s="1"/>
      <c r="N332" s="70"/>
      <c r="S332" s="1"/>
      <c r="T332" s="70"/>
      <c r="Y332" s="1"/>
      <c r="Z332" s="70"/>
      <c r="AE332" s="1"/>
    </row>
    <row r="333">
      <c r="B333" s="70"/>
      <c r="C333" s="104"/>
      <c r="D333" s="90"/>
      <c r="E333" s="70"/>
      <c r="G333" s="1"/>
      <c r="H333" s="70"/>
      <c r="I333" s="104"/>
      <c r="J333" s="90"/>
      <c r="K333" s="70"/>
      <c r="M333" s="1"/>
      <c r="N333" s="70"/>
      <c r="S333" s="1"/>
      <c r="T333" s="70"/>
      <c r="Y333" s="1"/>
      <c r="Z333" s="70"/>
      <c r="AE333" s="1"/>
    </row>
    <row r="334">
      <c r="B334" s="70"/>
      <c r="C334" s="104"/>
      <c r="D334" s="90"/>
      <c r="E334" s="70"/>
      <c r="G334" s="1"/>
      <c r="H334" s="70"/>
      <c r="I334" s="104"/>
      <c r="J334" s="90"/>
      <c r="K334" s="70"/>
      <c r="M334" s="1"/>
      <c r="N334" s="70"/>
      <c r="S334" s="1"/>
      <c r="T334" s="70"/>
      <c r="Y334" s="1"/>
      <c r="Z334" s="70"/>
      <c r="AE334" s="1"/>
    </row>
    <row r="335">
      <c r="B335" s="70"/>
      <c r="C335" s="104"/>
      <c r="D335" s="90"/>
      <c r="E335" s="70"/>
      <c r="G335" s="1"/>
      <c r="H335" s="70"/>
      <c r="I335" s="104"/>
      <c r="J335" s="90"/>
      <c r="K335" s="70"/>
      <c r="M335" s="1"/>
      <c r="N335" s="70"/>
      <c r="S335" s="1"/>
      <c r="T335" s="70"/>
      <c r="Y335" s="1"/>
      <c r="Z335" s="70"/>
      <c r="AE335" s="1"/>
    </row>
    <row r="336">
      <c r="B336" s="70"/>
      <c r="C336" s="104"/>
      <c r="D336" s="90"/>
      <c r="E336" s="70"/>
      <c r="G336" s="1"/>
      <c r="H336" s="70"/>
      <c r="I336" s="104"/>
      <c r="J336" s="90"/>
      <c r="K336" s="70"/>
      <c r="M336" s="1"/>
      <c r="N336" s="70"/>
      <c r="S336" s="1"/>
      <c r="T336" s="70"/>
      <c r="Y336" s="1"/>
      <c r="Z336" s="70"/>
      <c r="AE336" s="1"/>
    </row>
    <row r="337">
      <c r="B337" s="70"/>
      <c r="C337" s="104"/>
      <c r="D337" s="90"/>
      <c r="E337" s="70"/>
      <c r="G337" s="1"/>
      <c r="H337" s="70"/>
      <c r="I337" s="104"/>
      <c r="J337" s="90"/>
      <c r="K337" s="70"/>
      <c r="M337" s="1"/>
      <c r="N337" s="70"/>
      <c r="S337" s="1"/>
      <c r="T337" s="70"/>
      <c r="Y337" s="1"/>
      <c r="Z337" s="70"/>
      <c r="AE337" s="1"/>
    </row>
    <row r="338">
      <c r="B338" s="70"/>
      <c r="C338" s="104"/>
      <c r="D338" s="90"/>
      <c r="E338" s="70"/>
      <c r="G338" s="1"/>
      <c r="H338" s="70"/>
      <c r="I338" s="104"/>
      <c r="J338" s="90"/>
      <c r="K338" s="70"/>
      <c r="M338" s="1"/>
      <c r="N338" s="70"/>
      <c r="S338" s="1"/>
      <c r="T338" s="70"/>
      <c r="Y338" s="1"/>
      <c r="Z338" s="70"/>
      <c r="AE338" s="1"/>
    </row>
    <row r="339">
      <c r="B339" s="70"/>
      <c r="C339" s="104"/>
      <c r="D339" s="90"/>
      <c r="E339" s="70"/>
      <c r="G339" s="1"/>
      <c r="H339" s="70"/>
      <c r="I339" s="104"/>
      <c r="J339" s="90"/>
      <c r="K339" s="70"/>
      <c r="M339" s="1"/>
      <c r="N339" s="70"/>
      <c r="S339" s="1"/>
      <c r="T339" s="70"/>
      <c r="Y339" s="1"/>
      <c r="Z339" s="70"/>
      <c r="AE339" s="1"/>
    </row>
    <row r="340">
      <c r="B340" s="70"/>
      <c r="C340" s="104"/>
      <c r="D340" s="90"/>
      <c r="E340" s="70"/>
      <c r="G340" s="1"/>
      <c r="H340" s="70"/>
      <c r="I340" s="104"/>
      <c r="J340" s="90"/>
      <c r="K340" s="70"/>
      <c r="M340" s="1"/>
      <c r="N340" s="70"/>
      <c r="S340" s="1"/>
      <c r="T340" s="70"/>
      <c r="Y340" s="1"/>
      <c r="Z340" s="70"/>
      <c r="AE340" s="1"/>
    </row>
    <row r="341">
      <c r="B341" s="70"/>
      <c r="C341" s="104"/>
      <c r="D341" s="90"/>
      <c r="E341" s="70"/>
      <c r="G341" s="1"/>
      <c r="H341" s="70"/>
      <c r="I341" s="104"/>
      <c r="J341" s="90"/>
      <c r="K341" s="70"/>
      <c r="M341" s="1"/>
      <c r="N341" s="70"/>
      <c r="S341" s="1"/>
      <c r="T341" s="70"/>
      <c r="Y341" s="1"/>
      <c r="Z341" s="70"/>
      <c r="AE341" s="1"/>
    </row>
    <row r="342">
      <c r="B342" s="70"/>
      <c r="C342" s="104"/>
      <c r="D342" s="90"/>
      <c r="E342" s="70"/>
      <c r="G342" s="1"/>
      <c r="H342" s="70"/>
      <c r="I342" s="104"/>
      <c r="J342" s="90"/>
      <c r="K342" s="70"/>
      <c r="M342" s="1"/>
      <c r="N342" s="70"/>
      <c r="S342" s="1"/>
      <c r="T342" s="70"/>
      <c r="Y342" s="1"/>
      <c r="Z342" s="70"/>
      <c r="AE342" s="1"/>
    </row>
    <row r="343">
      <c r="B343" s="70"/>
      <c r="C343" s="104"/>
      <c r="D343" s="90"/>
      <c r="E343" s="70"/>
      <c r="G343" s="1"/>
      <c r="H343" s="70"/>
      <c r="I343" s="104"/>
      <c r="J343" s="90"/>
      <c r="K343" s="70"/>
      <c r="M343" s="1"/>
      <c r="N343" s="70"/>
      <c r="S343" s="1"/>
      <c r="T343" s="70"/>
      <c r="Y343" s="1"/>
      <c r="Z343" s="70"/>
      <c r="AE343" s="1"/>
    </row>
    <row r="344">
      <c r="B344" s="70"/>
      <c r="C344" s="104"/>
      <c r="D344" s="90"/>
      <c r="E344" s="70"/>
      <c r="G344" s="1"/>
      <c r="H344" s="70"/>
      <c r="I344" s="104"/>
      <c r="J344" s="90"/>
      <c r="K344" s="70"/>
      <c r="M344" s="1"/>
      <c r="N344" s="70"/>
      <c r="S344" s="1"/>
      <c r="T344" s="70"/>
      <c r="Y344" s="1"/>
      <c r="Z344" s="70"/>
      <c r="AE344" s="1"/>
    </row>
    <row r="345">
      <c r="B345" s="70"/>
      <c r="C345" s="104"/>
      <c r="D345" s="90"/>
      <c r="E345" s="70"/>
      <c r="G345" s="1"/>
      <c r="H345" s="70"/>
      <c r="I345" s="104"/>
      <c r="J345" s="90"/>
      <c r="K345" s="70"/>
      <c r="M345" s="1"/>
      <c r="N345" s="70"/>
      <c r="S345" s="1"/>
      <c r="T345" s="70"/>
      <c r="Y345" s="1"/>
      <c r="Z345" s="70"/>
      <c r="AE345" s="1"/>
    </row>
    <row r="346">
      <c r="B346" s="70"/>
      <c r="C346" s="104"/>
      <c r="D346" s="90"/>
      <c r="E346" s="70"/>
      <c r="G346" s="1"/>
      <c r="H346" s="70"/>
      <c r="I346" s="104"/>
      <c r="J346" s="90"/>
      <c r="K346" s="70"/>
      <c r="M346" s="1"/>
      <c r="N346" s="70"/>
      <c r="S346" s="1"/>
      <c r="T346" s="70"/>
      <c r="Y346" s="1"/>
      <c r="Z346" s="70"/>
      <c r="AE346" s="1"/>
    </row>
    <row r="347">
      <c r="B347" s="70"/>
      <c r="C347" s="104"/>
      <c r="D347" s="90"/>
      <c r="E347" s="70"/>
      <c r="G347" s="1"/>
      <c r="H347" s="70"/>
      <c r="I347" s="104"/>
      <c r="J347" s="90"/>
      <c r="K347" s="70"/>
      <c r="M347" s="1"/>
      <c r="N347" s="70"/>
      <c r="S347" s="1"/>
      <c r="T347" s="70"/>
      <c r="Y347" s="1"/>
      <c r="Z347" s="70"/>
      <c r="AE347" s="1"/>
    </row>
    <row r="348">
      <c r="B348" s="70"/>
      <c r="C348" s="104"/>
      <c r="D348" s="90"/>
      <c r="E348" s="70"/>
      <c r="G348" s="1"/>
      <c r="H348" s="70"/>
      <c r="I348" s="104"/>
      <c r="J348" s="90"/>
      <c r="K348" s="70"/>
      <c r="M348" s="1"/>
      <c r="N348" s="70"/>
      <c r="S348" s="1"/>
      <c r="T348" s="70"/>
      <c r="Y348" s="1"/>
      <c r="Z348" s="70"/>
      <c r="AE348" s="1"/>
    </row>
    <row r="349">
      <c r="B349" s="70"/>
      <c r="C349" s="104"/>
      <c r="D349" s="90"/>
      <c r="E349" s="70"/>
      <c r="G349" s="1"/>
      <c r="H349" s="70"/>
      <c r="I349" s="104"/>
      <c r="J349" s="90"/>
      <c r="K349" s="70"/>
      <c r="M349" s="1"/>
      <c r="N349" s="70"/>
      <c r="S349" s="1"/>
      <c r="T349" s="70"/>
      <c r="Y349" s="1"/>
      <c r="Z349" s="70"/>
      <c r="AE349" s="1"/>
    </row>
    <row r="350">
      <c r="B350" s="70"/>
      <c r="C350" s="104"/>
      <c r="D350" s="90"/>
      <c r="E350" s="70"/>
      <c r="G350" s="1"/>
      <c r="H350" s="70"/>
      <c r="I350" s="104"/>
      <c r="J350" s="90"/>
      <c r="K350" s="70"/>
      <c r="M350" s="1"/>
      <c r="N350" s="70"/>
      <c r="S350" s="1"/>
      <c r="T350" s="70"/>
      <c r="Y350" s="1"/>
      <c r="Z350" s="70"/>
      <c r="AE350" s="1"/>
    </row>
    <row r="351">
      <c r="B351" s="70"/>
      <c r="C351" s="104"/>
      <c r="D351" s="90"/>
      <c r="E351" s="70"/>
      <c r="G351" s="1"/>
      <c r="H351" s="70"/>
      <c r="I351" s="104"/>
      <c r="J351" s="90"/>
      <c r="K351" s="70"/>
      <c r="M351" s="1"/>
      <c r="N351" s="70"/>
      <c r="S351" s="1"/>
      <c r="T351" s="70"/>
      <c r="Y351" s="1"/>
      <c r="Z351" s="70"/>
      <c r="AE351" s="1"/>
    </row>
    <row r="352">
      <c r="B352" s="70"/>
      <c r="C352" s="104"/>
      <c r="D352" s="90"/>
      <c r="E352" s="70"/>
      <c r="G352" s="1"/>
      <c r="H352" s="70"/>
      <c r="I352" s="104"/>
      <c r="J352" s="90"/>
      <c r="K352" s="70"/>
      <c r="M352" s="1"/>
      <c r="N352" s="70"/>
      <c r="S352" s="1"/>
      <c r="T352" s="70"/>
      <c r="Y352" s="1"/>
      <c r="Z352" s="70"/>
      <c r="AE352" s="1"/>
    </row>
    <row r="353">
      <c r="B353" s="70"/>
      <c r="C353" s="104"/>
      <c r="D353" s="90"/>
      <c r="E353" s="70"/>
      <c r="G353" s="1"/>
      <c r="H353" s="70"/>
      <c r="I353" s="104"/>
      <c r="J353" s="90"/>
      <c r="K353" s="70"/>
      <c r="M353" s="1"/>
      <c r="N353" s="70"/>
      <c r="S353" s="1"/>
      <c r="T353" s="70"/>
      <c r="Y353" s="1"/>
      <c r="Z353" s="70"/>
      <c r="AE353" s="1"/>
    </row>
    <row r="354">
      <c r="B354" s="70"/>
      <c r="C354" s="104"/>
      <c r="D354" s="90"/>
      <c r="E354" s="70"/>
      <c r="G354" s="1"/>
      <c r="H354" s="70"/>
      <c r="I354" s="104"/>
      <c r="J354" s="90"/>
      <c r="K354" s="70"/>
      <c r="M354" s="1"/>
      <c r="N354" s="70"/>
      <c r="S354" s="1"/>
      <c r="T354" s="70"/>
      <c r="Y354" s="1"/>
      <c r="Z354" s="70"/>
      <c r="AE354" s="1"/>
    </row>
    <row r="355">
      <c r="B355" s="70"/>
      <c r="C355" s="104"/>
      <c r="D355" s="90"/>
      <c r="E355" s="70"/>
      <c r="G355" s="1"/>
      <c r="H355" s="70"/>
      <c r="I355" s="104"/>
      <c r="J355" s="90"/>
      <c r="K355" s="70"/>
      <c r="M355" s="1"/>
      <c r="N355" s="70"/>
      <c r="S355" s="1"/>
      <c r="T355" s="70"/>
      <c r="Y355" s="1"/>
      <c r="Z355" s="70"/>
      <c r="AE355" s="1"/>
    </row>
    <row r="356">
      <c r="B356" s="70"/>
      <c r="C356" s="104"/>
      <c r="D356" s="90"/>
      <c r="E356" s="70"/>
      <c r="G356" s="1"/>
      <c r="H356" s="70"/>
      <c r="I356" s="104"/>
      <c r="J356" s="90"/>
      <c r="K356" s="70"/>
      <c r="M356" s="1"/>
      <c r="N356" s="70"/>
      <c r="S356" s="1"/>
      <c r="T356" s="70"/>
      <c r="Y356" s="1"/>
      <c r="Z356" s="70"/>
      <c r="AE356" s="1"/>
    </row>
    <row r="357">
      <c r="B357" s="70"/>
      <c r="C357" s="104"/>
      <c r="D357" s="90"/>
      <c r="E357" s="70"/>
      <c r="G357" s="1"/>
      <c r="H357" s="70"/>
      <c r="I357" s="104"/>
      <c r="J357" s="90"/>
      <c r="K357" s="70"/>
      <c r="M357" s="1"/>
      <c r="N357" s="70"/>
      <c r="S357" s="1"/>
      <c r="T357" s="70"/>
      <c r="Y357" s="1"/>
      <c r="Z357" s="70"/>
      <c r="AE357" s="1"/>
    </row>
    <row r="358">
      <c r="B358" s="70"/>
      <c r="C358" s="104"/>
      <c r="D358" s="90"/>
      <c r="E358" s="70"/>
      <c r="G358" s="1"/>
      <c r="H358" s="70"/>
      <c r="I358" s="104"/>
      <c r="J358" s="90"/>
      <c r="K358" s="70"/>
      <c r="M358" s="1"/>
      <c r="N358" s="70"/>
      <c r="S358" s="1"/>
      <c r="T358" s="70"/>
      <c r="Y358" s="1"/>
      <c r="Z358" s="70"/>
      <c r="AE358" s="1"/>
    </row>
    <row r="359">
      <c r="B359" s="70"/>
      <c r="C359" s="104"/>
      <c r="D359" s="90"/>
      <c r="E359" s="70"/>
      <c r="G359" s="1"/>
      <c r="H359" s="70"/>
      <c r="I359" s="104"/>
      <c r="J359" s="90"/>
      <c r="K359" s="70"/>
      <c r="M359" s="1"/>
      <c r="N359" s="70"/>
      <c r="S359" s="1"/>
      <c r="T359" s="70"/>
      <c r="Y359" s="1"/>
      <c r="Z359" s="70"/>
      <c r="AE359" s="1"/>
    </row>
    <row r="360">
      <c r="B360" s="70"/>
      <c r="C360" s="104"/>
      <c r="D360" s="90"/>
      <c r="E360" s="70"/>
      <c r="G360" s="1"/>
      <c r="H360" s="70"/>
      <c r="I360" s="104"/>
      <c r="J360" s="90"/>
      <c r="K360" s="70"/>
      <c r="M360" s="1"/>
      <c r="N360" s="70"/>
      <c r="S360" s="1"/>
      <c r="T360" s="70"/>
      <c r="Y360" s="1"/>
      <c r="Z360" s="70"/>
      <c r="AE360" s="1"/>
    </row>
    <row r="361">
      <c r="B361" s="70"/>
      <c r="C361" s="104"/>
      <c r="D361" s="90"/>
      <c r="E361" s="70"/>
      <c r="G361" s="1"/>
      <c r="H361" s="70"/>
      <c r="I361" s="104"/>
      <c r="J361" s="90"/>
      <c r="K361" s="70"/>
      <c r="M361" s="1"/>
      <c r="N361" s="70"/>
      <c r="S361" s="1"/>
      <c r="T361" s="70"/>
      <c r="Y361" s="1"/>
      <c r="Z361" s="70"/>
      <c r="AE361" s="1"/>
    </row>
    <row r="362">
      <c r="B362" s="70"/>
      <c r="C362" s="104"/>
      <c r="D362" s="90"/>
      <c r="E362" s="70"/>
      <c r="G362" s="1"/>
      <c r="H362" s="70"/>
      <c r="I362" s="104"/>
      <c r="J362" s="90"/>
      <c r="K362" s="70"/>
      <c r="M362" s="1"/>
      <c r="N362" s="70"/>
      <c r="S362" s="1"/>
      <c r="T362" s="70"/>
      <c r="Y362" s="1"/>
      <c r="Z362" s="70"/>
      <c r="AE362" s="1"/>
    </row>
    <row r="363">
      <c r="B363" s="70"/>
      <c r="C363" s="104"/>
      <c r="D363" s="90"/>
      <c r="E363" s="70"/>
      <c r="G363" s="1"/>
      <c r="H363" s="70"/>
      <c r="I363" s="104"/>
      <c r="J363" s="90"/>
      <c r="K363" s="70"/>
      <c r="M363" s="1"/>
      <c r="N363" s="70"/>
      <c r="S363" s="1"/>
      <c r="T363" s="70"/>
      <c r="Y363" s="1"/>
      <c r="Z363" s="70"/>
      <c r="AE363" s="1"/>
    </row>
    <row r="364">
      <c r="B364" s="70"/>
      <c r="C364" s="104"/>
      <c r="D364" s="90"/>
      <c r="E364" s="70"/>
      <c r="G364" s="1"/>
      <c r="H364" s="70"/>
      <c r="I364" s="104"/>
      <c r="J364" s="90"/>
      <c r="K364" s="70"/>
      <c r="M364" s="1"/>
      <c r="N364" s="70"/>
      <c r="S364" s="1"/>
      <c r="T364" s="70"/>
      <c r="Y364" s="1"/>
      <c r="Z364" s="70"/>
      <c r="AE364" s="1"/>
    </row>
    <row r="365">
      <c r="B365" s="70"/>
      <c r="C365" s="104"/>
      <c r="D365" s="90"/>
      <c r="E365" s="70"/>
      <c r="G365" s="1"/>
      <c r="H365" s="70"/>
      <c r="I365" s="104"/>
      <c r="J365" s="90"/>
      <c r="K365" s="70"/>
      <c r="M365" s="1"/>
      <c r="N365" s="70"/>
      <c r="S365" s="1"/>
      <c r="T365" s="70"/>
      <c r="Y365" s="1"/>
      <c r="Z365" s="70"/>
      <c r="AE365" s="1"/>
    </row>
    <row r="366">
      <c r="B366" s="70"/>
      <c r="C366" s="104"/>
      <c r="D366" s="90"/>
      <c r="E366" s="70"/>
      <c r="G366" s="1"/>
      <c r="H366" s="70"/>
      <c r="I366" s="104"/>
      <c r="J366" s="90"/>
      <c r="K366" s="70"/>
      <c r="M366" s="1"/>
      <c r="N366" s="70"/>
      <c r="S366" s="1"/>
      <c r="T366" s="70"/>
      <c r="Y366" s="1"/>
      <c r="Z366" s="70"/>
      <c r="AE366" s="1"/>
    </row>
    <row r="367">
      <c r="B367" s="70"/>
      <c r="C367" s="104"/>
      <c r="D367" s="90"/>
      <c r="E367" s="70"/>
      <c r="G367" s="1"/>
      <c r="H367" s="70"/>
      <c r="I367" s="104"/>
      <c r="J367" s="90"/>
      <c r="K367" s="70"/>
      <c r="M367" s="1"/>
      <c r="N367" s="70"/>
      <c r="S367" s="1"/>
      <c r="T367" s="70"/>
      <c r="Y367" s="1"/>
      <c r="Z367" s="70"/>
      <c r="AE367" s="1"/>
    </row>
    <row r="368">
      <c r="B368" s="70"/>
      <c r="C368" s="104"/>
      <c r="D368" s="90"/>
      <c r="E368" s="70"/>
      <c r="G368" s="1"/>
      <c r="H368" s="70"/>
      <c r="I368" s="104"/>
      <c r="J368" s="90"/>
      <c r="K368" s="70"/>
      <c r="M368" s="1"/>
      <c r="N368" s="70"/>
      <c r="S368" s="1"/>
      <c r="T368" s="70"/>
      <c r="Y368" s="1"/>
      <c r="Z368" s="70"/>
      <c r="AE368" s="1"/>
    </row>
    <row r="369">
      <c r="B369" s="70"/>
      <c r="C369" s="104"/>
      <c r="D369" s="90"/>
      <c r="E369" s="70"/>
      <c r="G369" s="1"/>
      <c r="H369" s="70"/>
      <c r="I369" s="104"/>
      <c r="J369" s="90"/>
      <c r="K369" s="70"/>
      <c r="M369" s="1"/>
      <c r="N369" s="70"/>
      <c r="S369" s="1"/>
      <c r="T369" s="70"/>
      <c r="Y369" s="1"/>
      <c r="Z369" s="70"/>
      <c r="AE369" s="1"/>
    </row>
    <row r="370">
      <c r="B370" s="70"/>
      <c r="C370" s="104"/>
      <c r="D370" s="90"/>
      <c r="E370" s="70"/>
      <c r="G370" s="1"/>
      <c r="H370" s="70"/>
      <c r="I370" s="104"/>
      <c r="J370" s="90"/>
      <c r="K370" s="70"/>
      <c r="M370" s="1"/>
      <c r="N370" s="70"/>
      <c r="S370" s="1"/>
      <c r="T370" s="70"/>
      <c r="Y370" s="1"/>
      <c r="Z370" s="70"/>
      <c r="AE370" s="1"/>
    </row>
    <row r="371">
      <c r="B371" s="70"/>
      <c r="C371" s="104"/>
      <c r="D371" s="90"/>
      <c r="E371" s="70"/>
      <c r="G371" s="1"/>
      <c r="H371" s="70"/>
      <c r="I371" s="104"/>
      <c r="J371" s="90"/>
      <c r="K371" s="70"/>
      <c r="M371" s="1"/>
      <c r="N371" s="70"/>
      <c r="S371" s="1"/>
      <c r="T371" s="70"/>
      <c r="Y371" s="1"/>
      <c r="Z371" s="70"/>
      <c r="AE371" s="1"/>
    </row>
    <row r="372">
      <c r="B372" s="70"/>
      <c r="C372" s="104"/>
      <c r="D372" s="90"/>
      <c r="E372" s="70"/>
      <c r="G372" s="1"/>
      <c r="H372" s="70"/>
      <c r="I372" s="104"/>
      <c r="J372" s="90"/>
      <c r="K372" s="70"/>
      <c r="M372" s="1"/>
      <c r="N372" s="70"/>
      <c r="S372" s="1"/>
      <c r="T372" s="70"/>
      <c r="Y372" s="1"/>
      <c r="Z372" s="70"/>
      <c r="AE372" s="1"/>
    </row>
    <row r="373">
      <c r="B373" s="70"/>
      <c r="C373" s="104"/>
      <c r="D373" s="90"/>
      <c r="E373" s="70"/>
      <c r="G373" s="1"/>
      <c r="H373" s="70"/>
      <c r="I373" s="104"/>
      <c r="J373" s="90"/>
      <c r="K373" s="70"/>
      <c r="M373" s="1"/>
      <c r="N373" s="70"/>
      <c r="S373" s="1"/>
      <c r="T373" s="70"/>
      <c r="Y373" s="1"/>
      <c r="Z373" s="70"/>
      <c r="AE373" s="1"/>
    </row>
    <row r="374">
      <c r="B374" s="70"/>
      <c r="C374" s="104"/>
      <c r="D374" s="90"/>
      <c r="E374" s="70"/>
      <c r="G374" s="1"/>
      <c r="H374" s="70"/>
      <c r="I374" s="104"/>
      <c r="J374" s="90"/>
      <c r="K374" s="70"/>
      <c r="M374" s="1"/>
      <c r="N374" s="70"/>
      <c r="S374" s="1"/>
      <c r="T374" s="70"/>
      <c r="Y374" s="1"/>
      <c r="Z374" s="70"/>
      <c r="AE374" s="1"/>
    </row>
    <row r="375">
      <c r="B375" s="70"/>
      <c r="C375" s="104"/>
      <c r="D375" s="90"/>
      <c r="E375" s="70"/>
      <c r="G375" s="1"/>
      <c r="H375" s="70"/>
      <c r="I375" s="104"/>
      <c r="J375" s="90"/>
      <c r="K375" s="70"/>
      <c r="M375" s="1"/>
      <c r="N375" s="70"/>
      <c r="S375" s="1"/>
      <c r="T375" s="70"/>
      <c r="Y375" s="1"/>
      <c r="Z375" s="70"/>
      <c r="AE375" s="1"/>
    </row>
    <row r="376">
      <c r="B376" s="70"/>
      <c r="C376" s="104"/>
      <c r="D376" s="90"/>
      <c r="E376" s="70"/>
      <c r="G376" s="1"/>
      <c r="H376" s="70"/>
      <c r="I376" s="104"/>
      <c r="J376" s="90"/>
      <c r="K376" s="70"/>
      <c r="M376" s="1"/>
      <c r="N376" s="70"/>
      <c r="S376" s="1"/>
      <c r="T376" s="70"/>
      <c r="Y376" s="1"/>
      <c r="Z376" s="70"/>
      <c r="AE376" s="1"/>
    </row>
    <row r="377">
      <c r="B377" s="70"/>
      <c r="C377" s="104"/>
      <c r="D377" s="90"/>
      <c r="E377" s="70"/>
      <c r="G377" s="1"/>
      <c r="H377" s="70"/>
      <c r="I377" s="104"/>
      <c r="J377" s="90"/>
      <c r="K377" s="70"/>
      <c r="M377" s="1"/>
      <c r="N377" s="70"/>
      <c r="S377" s="1"/>
      <c r="T377" s="70"/>
      <c r="Y377" s="1"/>
      <c r="Z377" s="70"/>
      <c r="AE377" s="1"/>
    </row>
    <row r="378">
      <c r="B378" s="70"/>
      <c r="C378" s="104"/>
      <c r="D378" s="90"/>
      <c r="E378" s="70"/>
      <c r="G378" s="1"/>
      <c r="H378" s="70"/>
      <c r="I378" s="104"/>
      <c r="J378" s="90"/>
      <c r="K378" s="70"/>
      <c r="M378" s="1"/>
      <c r="N378" s="70"/>
      <c r="S378" s="1"/>
      <c r="T378" s="70"/>
      <c r="Y378" s="1"/>
      <c r="Z378" s="70"/>
      <c r="AE378" s="1"/>
    </row>
    <row r="379">
      <c r="B379" s="70"/>
      <c r="C379" s="104"/>
      <c r="D379" s="90"/>
      <c r="E379" s="70"/>
      <c r="G379" s="1"/>
      <c r="H379" s="70"/>
      <c r="I379" s="104"/>
      <c r="J379" s="90"/>
      <c r="K379" s="70"/>
      <c r="M379" s="1"/>
      <c r="N379" s="70"/>
      <c r="S379" s="1"/>
      <c r="T379" s="70"/>
      <c r="Y379" s="1"/>
      <c r="Z379" s="70"/>
      <c r="AE379" s="1"/>
    </row>
    <row r="380">
      <c r="B380" s="70"/>
      <c r="C380" s="104"/>
      <c r="D380" s="90"/>
      <c r="E380" s="70"/>
      <c r="G380" s="1"/>
      <c r="H380" s="70"/>
      <c r="I380" s="104"/>
      <c r="J380" s="90"/>
      <c r="K380" s="70"/>
      <c r="M380" s="1"/>
      <c r="N380" s="70"/>
      <c r="S380" s="1"/>
      <c r="T380" s="70"/>
      <c r="Y380" s="1"/>
      <c r="Z380" s="70"/>
      <c r="AE380" s="1"/>
    </row>
    <row r="381">
      <c r="B381" s="70"/>
      <c r="C381" s="104"/>
      <c r="D381" s="90"/>
      <c r="E381" s="70"/>
      <c r="G381" s="1"/>
      <c r="H381" s="70"/>
      <c r="I381" s="104"/>
      <c r="J381" s="90"/>
      <c r="K381" s="70"/>
      <c r="M381" s="1"/>
      <c r="N381" s="70"/>
      <c r="S381" s="1"/>
      <c r="T381" s="70"/>
      <c r="Y381" s="1"/>
      <c r="Z381" s="70"/>
      <c r="AE381" s="1"/>
    </row>
    <row r="382">
      <c r="B382" s="70"/>
      <c r="C382" s="104"/>
      <c r="D382" s="90"/>
      <c r="E382" s="70"/>
      <c r="G382" s="1"/>
      <c r="H382" s="70"/>
      <c r="I382" s="104"/>
      <c r="J382" s="90"/>
      <c r="K382" s="70"/>
      <c r="M382" s="1"/>
      <c r="N382" s="70"/>
      <c r="S382" s="1"/>
      <c r="T382" s="70"/>
      <c r="Y382" s="1"/>
      <c r="Z382" s="70"/>
      <c r="AE382" s="1"/>
    </row>
    <row r="383">
      <c r="B383" s="70"/>
      <c r="C383" s="104"/>
      <c r="D383" s="90"/>
      <c r="E383" s="70"/>
      <c r="G383" s="1"/>
      <c r="H383" s="70"/>
      <c r="I383" s="104"/>
      <c r="J383" s="90"/>
      <c r="K383" s="70"/>
      <c r="M383" s="1"/>
      <c r="N383" s="70"/>
      <c r="S383" s="1"/>
      <c r="T383" s="70"/>
      <c r="Y383" s="1"/>
      <c r="Z383" s="70"/>
      <c r="AE383" s="1"/>
    </row>
    <row r="384">
      <c r="B384" s="70"/>
      <c r="C384" s="104"/>
      <c r="D384" s="90"/>
      <c r="E384" s="70"/>
      <c r="G384" s="1"/>
      <c r="H384" s="70"/>
      <c r="I384" s="104"/>
      <c r="J384" s="90"/>
      <c r="K384" s="70"/>
      <c r="M384" s="1"/>
      <c r="N384" s="70"/>
      <c r="S384" s="1"/>
      <c r="T384" s="70"/>
      <c r="Y384" s="1"/>
      <c r="Z384" s="70"/>
      <c r="AE384" s="1"/>
    </row>
    <row r="385">
      <c r="B385" s="70"/>
      <c r="C385" s="104"/>
      <c r="D385" s="90"/>
      <c r="E385" s="70"/>
      <c r="G385" s="1"/>
      <c r="H385" s="70"/>
      <c r="I385" s="104"/>
      <c r="J385" s="90"/>
      <c r="K385" s="70"/>
      <c r="M385" s="1"/>
      <c r="N385" s="70"/>
      <c r="S385" s="1"/>
      <c r="T385" s="70"/>
      <c r="Y385" s="1"/>
      <c r="Z385" s="70"/>
      <c r="AE385" s="1"/>
    </row>
    <row r="386">
      <c r="B386" s="70"/>
      <c r="C386" s="104"/>
      <c r="D386" s="90"/>
      <c r="E386" s="70"/>
      <c r="G386" s="1"/>
      <c r="H386" s="70"/>
      <c r="I386" s="104"/>
      <c r="J386" s="90"/>
      <c r="K386" s="70"/>
      <c r="M386" s="1"/>
      <c r="N386" s="70"/>
      <c r="S386" s="1"/>
      <c r="T386" s="70"/>
      <c r="Y386" s="1"/>
      <c r="Z386" s="70"/>
      <c r="AE386" s="1"/>
    </row>
    <row r="387">
      <c r="B387" s="70"/>
      <c r="C387" s="104"/>
      <c r="D387" s="90"/>
      <c r="E387" s="70"/>
      <c r="G387" s="1"/>
      <c r="H387" s="70"/>
      <c r="I387" s="104"/>
      <c r="J387" s="90"/>
      <c r="K387" s="70"/>
      <c r="M387" s="1"/>
      <c r="N387" s="70"/>
      <c r="S387" s="1"/>
      <c r="T387" s="70"/>
      <c r="Y387" s="1"/>
      <c r="Z387" s="70"/>
      <c r="AE387" s="1"/>
    </row>
    <row r="388">
      <c r="B388" s="70"/>
      <c r="C388" s="104"/>
      <c r="D388" s="90"/>
      <c r="E388" s="70"/>
      <c r="G388" s="1"/>
      <c r="H388" s="70"/>
      <c r="I388" s="104"/>
      <c r="J388" s="90"/>
      <c r="K388" s="70"/>
      <c r="M388" s="1"/>
      <c r="N388" s="70"/>
      <c r="S388" s="1"/>
      <c r="T388" s="70"/>
      <c r="Y388" s="1"/>
      <c r="Z388" s="70"/>
      <c r="AE388" s="1"/>
    </row>
    <row r="389">
      <c r="B389" s="70"/>
      <c r="C389" s="104"/>
      <c r="D389" s="90"/>
      <c r="E389" s="70"/>
      <c r="G389" s="1"/>
      <c r="H389" s="70"/>
      <c r="I389" s="104"/>
      <c r="J389" s="90"/>
      <c r="K389" s="70"/>
      <c r="M389" s="1"/>
      <c r="N389" s="70"/>
      <c r="S389" s="1"/>
      <c r="T389" s="70"/>
      <c r="Y389" s="1"/>
      <c r="Z389" s="70"/>
      <c r="AE389" s="1"/>
    </row>
    <row r="390">
      <c r="B390" s="70"/>
      <c r="C390" s="104"/>
      <c r="D390" s="90"/>
      <c r="E390" s="70"/>
      <c r="G390" s="1"/>
      <c r="H390" s="70"/>
      <c r="I390" s="104"/>
      <c r="J390" s="90"/>
      <c r="K390" s="70"/>
      <c r="M390" s="1"/>
      <c r="N390" s="70"/>
      <c r="S390" s="1"/>
      <c r="T390" s="70"/>
      <c r="Y390" s="1"/>
      <c r="Z390" s="70"/>
      <c r="AE390" s="1"/>
    </row>
    <row r="391">
      <c r="B391" s="70"/>
      <c r="C391" s="104"/>
      <c r="D391" s="90"/>
      <c r="E391" s="70"/>
      <c r="G391" s="1"/>
      <c r="H391" s="70"/>
      <c r="I391" s="104"/>
      <c r="J391" s="90"/>
      <c r="K391" s="70"/>
      <c r="M391" s="1"/>
      <c r="N391" s="70"/>
      <c r="S391" s="1"/>
      <c r="T391" s="70"/>
      <c r="Y391" s="1"/>
      <c r="Z391" s="70"/>
      <c r="AE391" s="1"/>
    </row>
    <row r="392">
      <c r="B392" s="70"/>
      <c r="C392" s="104"/>
      <c r="D392" s="90"/>
      <c r="E392" s="70"/>
      <c r="G392" s="1"/>
      <c r="H392" s="70"/>
      <c r="I392" s="104"/>
      <c r="J392" s="90"/>
      <c r="K392" s="70"/>
      <c r="M392" s="1"/>
      <c r="N392" s="70"/>
      <c r="S392" s="1"/>
      <c r="T392" s="70"/>
      <c r="Y392" s="1"/>
      <c r="Z392" s="70"/>
      <c r="AE392" s="1"/>
    </row>
    <row r="393">
      <c r="B393" s="70"/>
      <c r="C393" s="104"/>
      <c r="D393" s="90"/>
      <c r="E393" s="70"/>
      <c r="G393" s="1"/>
      <c r="H393" s="70"/>
      <c r="I393" s="104"/>
      <c r="J393" s="90"/>
      <c r="K393" s="70"/>
      <c r="M393" s="1"/>
      <c r="N393" s="70"/>
      <c r="S393" s="1"/>
      <c r="T393" s="70"/>
      <c r="Y393" s="1"/>
      <c r="Z393" s="70"/>
      <c r="AE393" s="1"/>
    </row>
    <row r="394">
      <c r="B394" s="70"/>
      <c r="C394" s="104"/>
      <c r="D394" s="90"/>
      <c r="E394" s="70"/>
      <c r="G394" s="1"/>
      <c r="H394" s="70"/>
      <c r="I394" s="104"/>
      <c r="J394" s="90"/>
      <c r="K394" s="70"/>
      <c r="M394" s="1"/>
      <c r="N394" s="70"/>
      <c r="S394" s="1"/>
      <c r="T394" s="70"/>
      <c r="Y394" s="1"/>
      <c r="Z394" s="70"/>
      <c r="AE394" s="1"/>
    </row>
    <row r="395">
      <c r="B395" s="70"/>
      <c r="C395" s="104"/>
      <c r="D395" s="90"/>
      <c r="E395" s="70"/>
      <c r="G395" s="1"/>
      <c r="H395" s="70"/>
      <c r="I395" s="104"/>
      <c r="J395" s="90"/>
      <c r="K395" s="70"/>
      <c r="M395" s="1"/>
      <c r="N395" s="70"/>
      <c r="S395" s="1"/>
      <c r="T395" s="70"/>
      <c r="Y395" s="1"/>
      <c r="Z395" s="70"/>
      <c r="AE395" s="1"/>
    </row>
    <row r="396">
      <c r="B396" s="70"/>
      <c r="C396" s="104"/>
      <c r="D396" s="90"/>
      <c r="E396" s="70"/>
      <c r="G396" s="1"/>
      <c r="H396" s="70"/>
      <c r="I396" s="104"/>
      <c r="J396" s="90"/>
      <c r="K396" s="70"/>
      <c r="M396" s="1"/>
      <c r="N396" s="70"/>
      <c r="S396" s="1"/>
      <c r="T396" s="70"/>
      <c r="Y396" s="1"/>
      <c r="Z396" s="70"/>
      <c r="AE396" s="1"/>
    </row>
    <row r="397">
      <c r="B397" s="70"/>
      <c r="C397" s="104"/>
      <c r="D397" s="90"/>
      <c r="E397" s="70"/>
      <c r="G397" s="1"/>
      <c r="H397" s="70"/>
      <c r="I397" s="104"/>
      <c r="J397" s="90"/>
      <c r="K397" s="70"/>
      <c r="M397" s="1"/>
      <c r="N397" s="70"/>
      <c r="S397" s="1"/>
      <c r="T397" s="70"/>
      <c r="Y397" s="1"/>
      <c r="Z397" s="70"/>
      <c r="AE397" s="1"/>
    </row>
    <row r="398">
      <c r="B398" s="70"/>
      <c r="C398" s="104"/>
      <c r="D398" s="90"/>
      <c r="E398" s="70"/>
      <c r="G398" s="1"/>
      <c r="H398" s="70"/>
      <c r="I398" s="104"/>
      <c r="J398" s="90"/>
      <c r="K398" s="70"/>
      <c r="M398" s="1"/>
      <c r="N398" s="70"/>
      <c r="S398" s="1"/>
      <c r="T398" s="70"/>
      <c r="Y398" s="1"/>
      <c r="Z398" s="70"/>
      <c r="AE398" s="1"/>
    </row>
    <row r="399">
      <c r="B399" s="70"/>
      <c r="C399" s="104"/>
      <c r="D399" s="90"/>
      <c r="E399" s="70"/>
      <c r="G399" s="1"/>
      <c r="H399" s="70"/>
      <c r="I399" s="104"/>
      <c r="J399" s="90"/>
      <c r="K399" s="70"/>
      <c r="M399" s="1"/>
      <c r="N399" s="70"/>
      <c r="S399" s="1"/>
      <c r="T399" s="70"/>
      <c r="Y399" s="1"/>
      <c r="Z399" s="70"/>
      <c r="AE399" s="1"/>
    </row>
    <row r="400">
      <c r="B400" s="70"/>
      <c r="C400" s="104"/>
      <c r="D400" s="90"/>
      <c r="E400" s="70"/>
      <c r="G400" s="1"/>
      <c r="H400" s="70"/>
      <c r="I400" s="104"/>
      <c r="J400" s="90"/>
      <c r="K400" s="70"/>
      <c r="M400" s="1"/>
      <c r="N400" s="70"/>
      <c r="S400" s="1"/>
      <c r="T400" s="70"/>
      <c r="Y400" s="1"/>
      <c r="Z400" s="70"/>
      <c r="AE400" s="1"/>
    </row>
    <row r="401">
      <c r="B401" s="70"/>
      <c r="C401" s="104"/>
      <c r="D401" s="90"/>
      <c r="E401" s="70"/>
      <c r="G401" s="1"/>
      <c r="H401" s="70"/>
      <c r="I401" s="104"/>
      <c r="J401" s="90"/>
      <c r="K401" s="70"/>
      <c r="M401" s="1"/>
      <c r="N401" s="70"/>
      <c r="S401" s="1"/>
      <c r="T401" s="70"/>
      <c r="Y401" s="1"/>
      <c r="Z401" s="70"/>
      <c r="AE401" s="1"/>
    </row>
    <row r="402">
      <c r="B402" s="70"/>
      <c r="C402" s="104"/>
      <c r="D402" s="90"/>
      <c r="E402" s="70"/>
      <c r="G402" s="1"/>
      <c r="H402" s="70"/>
      <c r="I402" s="104"/>
      <c r="J402" s="90"/>
      <c r="K402" s="70"/>
      <c r="M402" s="1"/>
      <c r="N402" s="70"/>
      <c r="S402" s="1"/>
      <c r="T402" s="70"/>
      <c r="Y402" s="1"/>
      <c r="Z402" s="70"/>
      <c r="AE402" s="1"/>
    </row>
    <row r="403">
      <c r="B403" s="70"/>
      <c r="C403" s="104"/>
      <c r="D403" s="90"/>
      <c r="E403" s="70"/>
      <c r="G403" s="1"/>
      <c r="H403" s="70"/>
      <c r="I403" s="104"/>
      <c r="J403" s="90"/>
      <c r="K403" s="70"/>
      <c r="M403" s="1"/>
      <c r="N403" s="70"/>
      <c r="S403" s="1"/>
      <c r="T403" s="70"/>
      <c r="Y403" s="1"/>
      <c r="Z403" s="70"/>
      <c r="AE403" s="1"/>
    </row>
    <row r="404">
      <c r="B404" s="70"/>
      <c r="C404" s="104"/>
      <c r="D404" s="90"/>
      <c r="E404" s="70"/>
      <c r="G404" s="1"/>
      <c r="H404" s="70"/>
      <c r="I404" s="104"/>
      <c r="J404" s="90"/>
      <c r="K404" s="70"/>
      <c r="M404" s="1"/>
      <c r="N404" s="70"/>
      <c r="S404" s="1"/>
      <c r="T404" s="70"/>
      <c r="Y404" s="1"/>
      <c r="Z404" s="70"/>
      <c r="AE404" s="1"/>
    </row>
    <row r="405">
      <c r="B405" s="70"/>
      <c r="C405" s="104"/>
      <c r="D405" s="90"/>
      <c r="E405" s="70"/>
      <c r="G405" s="1"/>
      <c r="H405" s="70"/>
      <c r="I405" s="104"/>
      <c r="J405" s="90"/>
      <c r="K405" s="70"/>
      <c r="M405" s="1"/>
      <c r="N405" s="70"/>
      <c r="S405" s="1"/>
      <c r="T405" s="70"/>
      <c r="Y405" s="1"/>
      <c r="Z405" s="70"/>
      <c r="AE405" s="1"/>
    </row>
    <row r="406">
      <c r="B406" s="70"/>
      <c r="C406" s="104"/>
      <c r="D406" s="90"/>
      <c r="E406" s="70"/>
      <c r="G406" s="1"/>
      <c r="H406" s="70"/>
      <c r="I406" s="104"/>
      <c r="J406" s="90"/>
      <c r="K406" s="70"/>
      <c r="M406" s="1"/>
      <c r="N406" s="70"/>
      <c r="S406" s="1"/>
      <c r="T406" s="70"/>
      <c r="Y406" s="1"/>
      <c r="Z406" s="70"/>
      <c r="AE406" s="1"/>
    </row>
    <row r="407">
      <c r="B407" s="70"/>
      <c r="C407" s="104"/>
      <c r="D407" s="90"/>
      <c r="E407" s="70"/>
      <c r="G407" s="1"/>
      <c r="H407" s="70"/>
      <c r="I407" s="104"/>
      <c r="J407" s="90"/>
      <c r="K407" s="70"/>
      <c r="M407" s="1"/>
      <c r="N407" s="70"/>
      <c r="S407" s="1"/>
      <c r="T407" s="70"/>
      <c r="Y407" s="1"/>
      <c r="Z407" s="70"/>
      <c r="AE407" s="1"/>
    </row>
    <row r="408">
      <c r="B408" s="70"/>
      <c r="C408" s="104"/>
      <c r="D408" s="90"/>
      <c r="E408" s="70"/>
      <c r="G408" s="1"/>
      <c r="H408" s="70"/>
      <c r="I408" s="104"/>
      <c r="J408" s="90"/>
      <c r="K408" s="70"/>
      <c r="M408" s="1"/>
      <c r="N408" s="70"/>
      <c r="S408" s="1"/>
      <c r="T408" s="70"/>
      <c r="Y408" s="1"/>
      <c r="Z408" s="70"/>
      <c r="AE408" s="1"/>
    </row>
    <row r="409">
      <c r="B409" s="70"/>
      <c r="C409" s="104"/>
      <c r="D409" s="90"/>
      <c r="E409" s="70"/>
      <c r="G409" s="1"/>
      <c r="H409" s="70"/>
      <c r="I409" s="104"/>
      <c r="J409" s="90"/>
      <c r="K409" s="70"/>
      <c r="M409" s="1"/>
      <c r="N409" s="70"/>
      <c r="S409" s="1"/>
      <c r="T409" s="70"/>
      <c r="Y409" s="1"/>
      <c r="Z409" s="70"/>
      <c r="AE409" s="1"/>
    </row>
    <row r="410">
      <c r="B410" s="70"/>
      <c r="C410" s="104"/>
      <c r="D410" s="90"/>
      <c r="E410" s="70"/>
      <c r="G410" s="1"/>
      <c r="H410" s="70"/>
      <c r="I410" s="104"/>
      <c r="J410" s="90"/>
      <c r="K410" s="70"/>
      <c r="M410" s="1"/>
      <c r="N410" s="70"/>
      <c r="S410" s="1"/>
      <c r="T410" s="70"/>
      <c r="Y410" s="1"/>
      <c r="Z410" s="70"/>
      <c r="AE410" s="1"/>
    </row>
    <row r="411">
      <c r="B411" s="70"/>
      <c r="C411" s="104"/>
      <c r="D411" s="90"/>
      <c r="E411" s="70"/>
      <c r="G411" s="1"/>
      <c r="H411" s="70"/>
      <c r="I411" s="104"/>
      <c r="J411" s="90"/>
      <c r="K411" s="70"/>
      <c r="M411" s="1"/>
      <c r="N411" s="70"/>
      <c r="S411" s="1"/>
      <c r="T411" s="70"/>
      <c r="Y411" s="1"/>
      <c r="Z411" s="70"/>
      <c r="AE411" s="1"/>
    </row>
    <row r="412">
      <c r="B412" s="70"/>
      <c r="C412" s="104"/>
      <c r="D412" s="90"/>
      <c r="E412" s="70"/>
      <c r="G412" s="1"/>
      <c r="H412" s="70"/>
      <c r="I412" s="104"/>
      <c r="J412" s="90"/>
      <c r="K412" s="70"/>
      <c r="M412" s="1"/>
      <c r="N412" s="70"/>
      <c r="S412" s="1"/>
      <c r="T412" s="70"/>
      <c r="Y412" s="1"/>
      <c r="Z412" s="70"/>
      <c r="AE412" s="1"/>
    </row>
    <row r="413">
      <c r="B413" s="70"/>
      <c r="C413" s="104"/>
      <c r="D413" s="90"/>
      <c r="E413" s="70"/>
      <c r="G413" s="1"/>
      <c r="H413" s="70"/>
      <c r="I413" s="104"/>
      <c r="J413" s="90"/>
      <c r="K413" s="70"/>
      <c r="M413" s="1"/>
      <c r="N413" s="70"/>
      <c r="S413" s="1"/>
      <c r="T413" s="70"/>
      <c r="Y413" s="1"/>
      <c r="Z413" s="70"/>
      <c r="AE413" s="1"/>
    </row>
    <row r="414">
      <c r="B414" s="70"/>
      <c r="C414" s="104"/>
      <c r="D414" s="90"/>
      <c r="E414" s="70"/>
      <c r="G414" s="1"/>
      <c r="H414" s="70"/>
      <c r="I414" s="104"/>
      <c r="J414" s="90"/>
      <c r="K414" s="70"/>
      <c r="M414" s="1"/>
      <c r="N414" s="70"/>
      <c r="S414" s="1"/>
      <c r="T414" s="70"/>
      <c r="Y414" s="1"/>
      <c r="Z414" s="70"/>
      <c r="AE414" s="1"/>
    </row>
    <row r="415">
      <c r="B415" s="70"/>
      <c r="C415" s="104"/>
      <c r="D415" s="90"/>
      <c r="E415" s="70"/>
      <c r="G415" s="1"/>
      <c r="H415" s="70"/>
      <c r="I415" s="104"/>
      <c r="J415" s="90"/>
      <c r="K415" s="70"/>
      <c r="M415" s="1"/>
      <c r="N415" s="70"/>
      <c r="S415" s="1"/>
      <c r="T415" s="70"/>
      <c r="Y415" s="1"/>
      <c r="Z415" s="70"/>
      <c r="AE415" s="1"/>
    </row>
    <row r="416">
      <c r="B416" s="70"/>
      <c r="C416" s="104"/>
      <c r="D416" s="90"/>
      <c r="E416" s="70"/>
      <c r="G416" s="1"/>
      <c r="H416" s="70"/>
      <c r="I416" s="104"/>
      <c r="J416" s="90"/>
      <c r="K416" s="70"/>
      <c r="M416" s="1"/>
      <c r="N416" s="70"/>
      <c r="S416" s="1"/>
      <c r="T416" s="70"/>
      <c r="Y416" s="1"/>
      <c r="Z416" s="70"/>
      <c r="AE416" s="1"/>
    </row>
    <row r="417">
      <c r="B417" s="70"/>
      <c r="C417" s="104"/>
      <c r="D417" s="90"/>
      <c r="E417" s="70"/>
      <c r="G417" s="1"/>
      <c r="H417" s="70"/>
      <c r="I417" s="104"/>
      <c r="J417" s="90"/>
      <c r="K417" s="70"/>
      <c r="M417" s="1"/>
      <c r="N417" s="70"/>
      <c r="S417" s="1"/>
      <c r="T417" s="70"/>
      <c r="Y417" s="1"/>
      <c r="Z417" s="70"/>
      <c r="AE417" s="1"/>
    </row>
    <row r="418">
      <c r="B418" s="70"/>
      <c r="C418" s="104"/>
      <c r="D418" s="90"/>
      <c r="E418" s="70"/>
      <c r="G418" s="1"/>
      <c r="H418" s="70"/>
      <c r="I418" s="104"/>
      <c r="J418" s="90"/>
      <c r="K418" s="70"/>
      <c r="M418" s="1"/>
      <c r="N418" s="70"/>
      <c r="S418" s="1"/>
      <c r="T418" s="70"/>
      <c r="Y418" s="1"/>
      <c r="Z418" s="70"/>
      <c r="AE418" s="1"/>
    </row>
    <row r="419">
      <c r="B419" s="70"/>
      <c r="C419" s="104"/>
      <c r="D419" s="90"/>
      <c r="E419" s="70"/>
      <c r="G419" s="1"/>
      <c r="H419" s="70"/>
      <c r="I419" s="104"/>
      <c r="J419" s="90"/>
      <c r="K419" s="70"/>
      <c r="M419" s="1"/>
      <c r="N419" s="70"/>
      <c r="S419" s="1"/>
      <c r="T419" s="70"/>
      <c r="Y419" s="1"/>
      <c r="Z419" s="70"/>
      <c r="AE419" s="1"/>
    </row>
    <row r="420">
      <c r="B420" s="70"/>
      <c r="C420" s="104"/>
      <c r="D420" s="90"/>
      <c r="E420" s="70"/>
      <c r="G420" s="1"/>
      <c r="H420" s="70"/>
      <c r="I420" s="104"/>
      <c r="J420" s="90"/>
      <c r="K420" s="70"/>
      <c r="M420" s="1"/>
      <c r="N420" s="70"/>
      <c r="S420" s="1"/>
      <c r="T420" s="70"/>
      <c r="Y420" s="1"/>
      <c r="Z420" s="70"/>
      <c r="AE420" s="1"/>
    </row>
    <row r="421">
      <c r="B421" s="70"/>
      <c r="C421" s="104"/>
      <c r="D421" s="90"/>
      <c r="E421" s="70"/>
      <c r="G421" s="1"/>
      <c r="H421" s="70"/>
      <c r="I421" s="104"/>
      <c r="J421" s="90"/>
      <c r="K421" s="70"/>
      <c r="M421" s="1"/>
      <c r="N421" s="70"/>
      <c r="S421" s="1"/>
      <c r="T421" s="70"/>
      <c r="Y421" s="1"/>
      <c r="Z421" s="70"/>
      <c r="AE421" s="1"/>
    </row>
    <row r="422">
      <c r="B422" s="70"/>
      <c r="C422" s="104"/>
      <c r="D422" s="90"/>
      <c r="E422" s="70"/>
      <c r="G422" s="1"/>
      <c r="H422" s="70"/>
      <c r="I422" s="104"/>
      <c r="J422" s="90"/>
      <c r="K422" s="70"/>
      <c r="M422" s="1"/>
      <c r="N422" s="70"/>
      <c r="S422" s="1"/>
      <c r="T422" s="70"/>
      <c r="Y422" s="1"/>
      <c r="Z422" s="70"/>
      <c r="AE422" s="1"/>
    </row>
    <row r="423">
      <c r="B423" s="70"/>
      <c r="C423" s="104"/>
      <c r="D423" s="90"/>
      <c r="E423" s="70"/>
      <c r="G423" s="1"/>
      <c r="H423" s="70"/>
      <c r="I423" s="104"/>
      <c r="J423" s="90"/>
      <c r="K423" s="70"/>
      <c r="M423" s="1"/>
      <c r="N423" s="70"/>
      <c r="S423" s="1"/>
      <c r="T423" s="70"/>
      <c r="Y423" s="1"/>
      <c r="Z423" s="70"/>
      <c r="AE423" s="1"/>
    </row>
    <row r="424">
      <c r="B424" s="70"/>
      <c r="C424" s="104"/>
      <c r="D424" s="90"/>
      <c r="E424" s="70"/>
      <c r="G424" s="1"/>
      <c r="H424" s="70"/>
      <c r="I424" s="104"/>
      <c r="J424" s="90"/>
      <c r="K424" s="70"/>
      <c r="M424" s="1"/>
      <c r="N424" s="70"/>
      <c r="S424" s="1"/>
      <c r="T424" s="70"/>
      <c r="Y424" s="1"/>
      <c r="Z424" s="70"/>
      <c r="AE424" s="1"/>
    </row>
    <row r="425">
      <c r="B425" s="70"/>
      <c r="C425" s="104"/>
      <c r="D425" s="90"/>
      <c r="E425" s="70"/>
      <c r="G425" s="1"/>
      <c r="H425" s="70"/>
      <c r="I425" s="104"/>
      <c r="J425" s="90"/>
      <c r="K425" s="70"/>
      <c r="M425" s="1"/>
      <c r="N425" s="70"/>
      <c r="S425" s="1"/>
      <c r="T425" s="70"/>
      <c r="Y425" s="1"/>
      <c r="Z425" s="70"/>
      <c r="AE425" s="1"/>
    </row>
    <row r="426">
      <c r="B426" s="70"/>
      <c r="C426" s="104"/>
      <c r="D426" s="90"/>
      <c r="E426" s="70"/>
      <c r="G426" s="1"/>
      <c r="H426" s="70"/>
      <c r="I426" s="104"/>
      <c r="J426" s="90"/>
      <c r="K426" s="70"/>
      <c r="M426" s="1"/>
      <c r="N426" s="70"/>
      <c r="S426" s="1"/>
      <c r="T426" s="70"/>
      <c r="Y426" s="1"/>
      <c r="Z426" s="70"/>
      <c r="AE426" s="1"/>
    </row>
    <row r="427">
      <c r="B427" s="70"/>
      <c r="C427" s="104"/>
      <c r="D427" s="90"/>
      <c r="E427" s="70"/>
      <c r="G427" s="1"/>
      <c r="H427" s="70"/>
      <c r="I427" s="104"/>
      <c r="J427" s="90"/>
      <c r="K427" s="70"/>
      <c r="M427" s="1"/>
      <c r="N427" s="70"/>
      <c r="S427" s="1"/>
      <c r="T427" s="70"/>
      <c r="Y427" s="1"/>
      <c r="Z427" s="70"/>
      <c r="AE427" s="1"/>
    </row>
    <row r="428">
      <c r="B428" s="70"/>
      <c r="C428" s="104"/>
      <c r="D428" s="90"/>
      <c r="E428" s="70"/>
      <c r="G428" s="1"/>
      <c r="H428" s="70"/>
      <c r="I428" s="104"/>
      <c r="J428" s="90"/>
      <c r="K428" s="70"/>
      <c r="M428" s="1"/>
      <c r="N428" s="70"/>
      <c r="S428" s="1"/>
      <c r="T428" s="70"/>
      <c r="Y428" s="1"/>
      <c r="Z428" s="70"/>
      <c r="AE428" s="1"/>
    </row>
    <row r="429">
      <c r="B429" s="70"/>
      <c r="C429" s="104"/>
      <c r="D429" s="90"/>
      <c r="E429" s="70"/>
      <c r="G429" s="1"/>
      <c r="H429" s="70"/>
      <c r="I429" s="104"/>
      <c r="J429" s="90"/>
      <c r="K429" s="70"/>
      <c r="M429" s="1"/>
      <c r="N429" s="70"/>
      <c r="S429" s="1"/>
      <c r="T429" s="70"/>
      <c r="Y429" s="1"/>
      <c r="Z429" s="70"/>
      <c r="AE429" s="1"/>
    </row>
    <row r="430">
      <c r="B430" s="70"/>
      <c r="C430" s="104"/>
      <c r="D430" s="90"/>
      <c r="E430" s="70"/>
      <c r="G430" s="1"/>
      <c r="H430" s="70"/>
      <c r="I430" s="104"/>
      <c r="J430" s="90"/>
      <c r="K430" s="70"/>
      <c r="M430" s="1"/>
      <c r="N430" s="70"/>
      <c r="S430" s="1"/>
      <c r="T430" s="70"/>
      <c r="Y430" s="1"/>
      <c r="Z430" s="70"/>
      <c r="AE430" s="1"/>
    </row>
    <row r="431">
      <c r="B431" s="70"/>
      <c r="C431" s="104"/>
      <c r="D431" s="90"/>
      <c r="E431" s="70"/>
      <c r="G431" s="1"/>
      <c r="H431" s="70"/>
      <c r="I431" s="104"/>
      <c r="J431" s="90"/>
      <c r="K431" s="70"/>
      <c r="M431" s="1"/>
      <c r="N431" s="70"/>
      <c r="S431" s="1"/>
      <c r="T431" s="70"/>
      <c r="Y431" s="1"/>
      <c r="Z431" s="70"/>
      <c r="AE431" s="1"/>
    </row>
    <row r="432">
      <c r="B432" s="70"/>
      <c r="C432" s="104"/>
      <c r="D432" s="90"/>
      <c r="E432" s="70"/>
      <c r="G432" s="1"/>
      <c r="H432" s="70"/>
      <c r="I432" s="104"/>
      <c r="J432" s="90"/>
      <c r="K432" s="70"/>
      <c r="M432" s="1"/>
      <c r="N432" s="70"/>
      <c r="S432" s="1"/>
      <c r="T432" s="70"/>
      <c r="Y432" s="1"/>
      <c r="Z432" s="70"/>
      <c r="AE432" s="1"/>
    </row>
    <row r="433">
      <c r="B433" s="70"/>
      <c r="C433" s="104"/>
      <c r="D433" s="90"/>
      <c r="E433" s="70"/>
      <c r="G433" s="1"/>
      <c r="H433" s="70"/>
      <c r="I433" s="104"/>
      <c r="J433" s="90"/>
      <c r="K433" s="70"/>
      <c r="M433" s="1"/>
      <c r="N433" s="70"/>
      <c r="S433" s="1"/>
      <c r="T433" s="70"/>
      <c r="Y433" s="1"/>
      <c r="Z433" s="70"/>
      <c r="AE433" s="1"/>
    </row>
    <row r="434">
      <c r="B434" s="70"/>
      <c r="C434" s="104"/>
      <c r="D434" s="90"/>
      <c r="E434" s="70"/>
      <c r="G434" s="1"/>
      <c r="H434" s="70"/>
      <c r="I434" s="104"/>
      <c r="J434" s="90"/>
      <c r="K434" s="70"/>
      <c r="M434" s="1"/>
      <c r="N434" s="70"/>
      <c r="S434" s="1"/>
      <c r="T434" s="70"/>
      <c r="Y434" s="1"/>
      <c r="Z434" s="70"/>
      <c r="AE434" s="1"/>
    </row>
    <row r="435">
      <c r="B435" s="70"/>
      <c r="C435" s="104"/>
      <c r="D435" s="90"/>
      <c r="E435" s="70"/>
      <c r="G435" s="1"/>
      <c r="H435" s="70"/>
      <c r="I435" s="104"/>
      <c r="J435" s="90"/>
      <c r="K435" s="70"/>
      <c r="M435" s="1"/>
      <c r="N435" s="70"/>
      <c r="S435" s="1"/>
      <c r="T435" s="70"/>
      <c r="Y435" s="1"/>
      <c r="Z435" s="70"/>
      <c r="AE435" s="1"/>
    </row>
    <row r="436">
      <c r="B436" s="70"/>
      <c r="C436" s="104"/>
      <c r="D436" s="90"/>
      <c r="E436" s="70"/>
      <c r="G436" s="1"/>
      <c r="H436" s="70"/>
      <c r="I436" s="104"/>
      <c r="J436" s="90"/>
      <c r="K436" s="70"/>
      <c r="M436" s="1"/>
      <c r="N436" s="70"/>
      <c r="S436" s="1"/>
      <c r="T436" s="70"/>
      <c r="Y436" s="1"/>
      <c r="Z436" s="70"/>
      <c r="AE436" s="1"/>
    </row>
    <row r="437">
      <c r="B437" s="70"/>
      <c r="C437" s="104"/>
      <c r="D437" s="90"/>
      <c r="E437" s="70"/>
      <c r="G437" s="1"/>
      <c r="H437" s="70"/>
      <c r="I437" s="104"/>
      <c r="J437" s="90"/>
      <c r="K437" s="70"/>
      <c r="M437" s="1"/>
      <c r="N437" s="70"/>
      <c r="S437" s="1"/>
      <c r="T437" s="70"/>
      <c r="Y437" s="1"/>
      <c r="Z437" s="70"/>
      <c r="AE437" s="1"/>
    </row>
    <row r="438">
      <c r="B438" s="70"/>
      <c r="C438" s="104"/>
      <c r="D438" s="90"/>
      <c r="E438" s="70"/>
      <c r="G438" s="1"/>
      <c r="H438" s="70"/>
      <c r="I438" s="104"/>
      <c r="J438" s="90"/>
      <c r="K438" s="70"/>
      <c r="M438" s="1"/>
      <c r="N438" s="70"/>
      <c r="S438" s="1"/>
      <c r="T438" s="70"/>
      <c r="Y438" s="1"/>
      <c r="Z438" s="70"/>
      <c r="AE438" s="1"/>
    </row>
    <row r="439">
      <c r="B439" s="70"/>
      <c r="C439" s="104"/>
      <c r="D439" s="90"/>
      <c r="E439" s="70"/>
      <c r="G439" s="1"/>
      <c r="H439" s="70"/>
      <c r="I439" s="104"/>
      <c r="J439" s="90"/>
      <c r="K439" s="70"/>
      <c r="M439" s="1"/>
      <c r="N439" s="70"/>
      <c r="S439" s="1"/>
      <c r="T439" s="70"/>
      <c r="Y439" s="1"/>
      <c r="Z439" s="70"/>
      <c r="AE439" s="1"/>
    </row>
    <row r="440">
      <c r="B440" s="70"/>
      <c r="C440" s="104"/>
      <c r="D440" s="90"/>
      <c r="E440" s="70"/>
      <c r="G440" s="1"/>
      <c r="H440" s="70"/>
      <c r="I440" s="104"/>
      <c r="J440" s="90"/>
      <c r="K440" s="70"/>
      <c r="M440" s="1"/>
      <c r="N440" s="70"/>
      <c r="S440" s="1"/>
      <c r="T440" s="70"/>
      <c r="Y440" s="1"/>
      <c r="Z440" s="70"/>
      <c r="AE440" s="1"/>
    </row>
    <row r="441">
      <c r="B441" s="70"/>
      <c r="C441" s="104"/>
      <c r="D441" s="90"/>
      <c r="E441" s="70"/>
      <c r="G441" s="1"/>
      <c r="H441" s="70"/>
      <c r="I441" s="104"/>
      <c r="J441" s="90"/>
      <c r="K441" s="70"/>
      <c r="M441" s="1"/>
      <c r="N441" s="70"/>
      <c r="S441" s="1"/>
      <c r="T441" s="70"/>
      <c r="Y441" s="1"/>
      <c r="Z441" s="70"/>
      <c r="AE441" s="1"/>
    </row>
    <row r="442">
      <c r="B442" s="70"/>
      <c r="C442" s="104"/>
      <c r="D442" s="90"/>
      <c r="E442" s="70"/>
      <c r="G442" s="1"/>
      <c r="H442" s="70"/>
      <c r="I442" s="104"/>
      <c r="J442" s="90"/>
      <c r="K442" s="70"/>
      <c r="M442" s="1"/>
      <c r="N442" s="70"/>
      <c r="S442" s="1"/>
      <c r="T442" s="70"/>
      <c r="Y442" s="1"/>
      <c r="Z442" s="70"/>
      <c r="AE442" s="1"/>
    </row>
    <row r="443">
      <c r="B443" s="70"/>
      <c r="C443" s="104"/>
      <c r="D443" s="90"/>
      <c r="E443" s="70"/>
      <c r="G443" s="1"/>
      <c r="H443" s="70"/>
      <c r="I443" s="104"/>
      <c r="J443" s="90"/>
      <c r="K443" s="70"/>
      <c r="M443" s="1"/>
      <c r="N443" s="70"/>
      <c r="S443" s="1"/>
      <c r="T443" s="70"/>
      <c r="Y443" s="1"/>
      <c r="Z443" s="70"/>
      <c r="AE443" s="1"/>
    </row>
    <row r="444">
      <c r="B444" s="70"/>
      <c r="C444" s="104"/>
      <c r="D444" s="90"/>
      <c r="E444" s="70"/>
      <c r="G444" s="1"/>
      <c r="H444" s="70"/>
      <c r="I444" s="104"/>
      <c r="J444" s="90"/>
      <c r="K444" s="70"/>
      <c r="M444" s="1"/>
      <c r="N444" s="70"/>
      <c r="S444" s="1"/>
      <c r="T444" s="70"/>
      <c r="Y444" s="1"/>
      <c r="Z444" s="70"/>
      <c r="AE444" s="1"/>
    </row>
    <row r="445">
      <c r="B445" s="70"/>
      <c r="C445" s="104"/>
      <c r="D445" s="90"/>
      <c r="E445" s="70"/>
      <c r="G445" s="1"/>
      <c r="H445" s="70"/>
      <c r="I445" s="104"/>
      <c r="J445" s="90"/>
      <c r="K445" s="70"/>
      <c r="M445" s="1"/>
      <c r="N445" s="70"/>
      <c r="S445" s="1"/>
      <c r="T445" s="70"/>
      <c r="Y445" s="1"/>
      <c r="Z445" s="70"/>
      <c r="AE445" s="1"/>
    </row>
    <row r="446">
      <c r="B446" s="70"/>
      <c r="C446" s="104"/>
      <c r="D446" s="90"/>
      <c r="E446" s="70"/>
      <c r="G446" s="1"/>
      <c r="H446" s="70"/>
      <c r="I446" s="104"/>
      <c r="J446" s="90"/>
      <c r="K446" s="70"/>
      <c r="M446" s="1"/>
      <c r="N446" s="70"/>
      <c r="S446" s="1"/>
      <c r="T446" s="70"/>
      <c r="Y446" s="1"/>
      <c r="Z446" s="70"/>
      <c r="AE446" s="1"/>
    </row>
    <row r="447">
      <c r="B447" s="70"/>
      <c r="C447" s="104"/>
      <c r="D447" s="90"/>
      <c r="E447" s="70"/>
      <c r="G447" s="1"/>
      <c r="H447" s="70"/>
      <c r="I447" s="104"/>
      <c r="J447" s="90"/>
      <c r="K447" s="70"/>
      <c r="M447" s="1"/>
      <c r="N447" s="70"/>
      <c r="S447" s="1"/>
      <c r="T447" s="70"/>
      <c r="Y447" s="1"/>
      <c r="Z447" s="70"/>
      <c r="AE447" s="1"/>
    </row>
    <row r="448">
      <c r="B448" s="70"/>
      <c r="C448" s="104"/>
      <c r="D448" s="90"/>
      <c r="E448" s="70"/>
      <c r="G448" s="1"/>
      <c r="H448" s="70"/>
      <c r="I448" s="104"/>
      <c r="J448" s="90"/>
      <c r="K448" s="70"/>
      <c r="M448" s="1"/>
      <c r="N448" s="70"/>
      <c r="S448" s="1"/>
      <c r="T448" s="70"/>
      <c r="Y448" s="1"/>
      <c r="Z448" s="70"/>
      <c r="AE448" s="1"/>
    </row>
    <row r="449">
      <c r="B449" s="70"/>
      <c r="C449" s="104"/>
      <c r="D449" s="90"/>
      <c r="E449" s="70"/>
      <c r="G449" s="1"/>
      <c r="H449" s="70"/>
      <c r="I449" s="104"/>
      <c r="J449" s="90"/>
      <c r="K449" s="70"/>
      <c r="M449" s="1"/>
      <c r="N449" s="70"/>
      <c r="S449" s="1"/>
      <c r="T449" s="70"/>
      <c r="Y449" s="1"/>
      <c r="Z449" s="70"/>
      <c r="AE449" s="1"/>
    </row>
    <row r="450">
      <c r="B450" s="70"/>
      <c r="C450" s="104"/>
      <c r="D450" s="90"/>
      <c r="E450" s="70"/>
      <c r="G450" s="1"/>
      <c r="H450" s="70"/>
      <c r="I450" s="104"/>
      <c r="J450" s="90"/>
      <c r="K450" s="70"/>
      <c r="M450" s="1"/>
      <c r="N450" s="70"/>
      <c r="S450" s="1"/>
      <c r="T450" s="70"/>
      <c r="Y450" s="1"/>
      <c r="Z450" s="70"/>
      <c r="AE450" s="1"/>
    </row>
    <row r="451">
      <c r="B451" s="70"/>
      <c r="C451" s="104"/>
      <c r="D451" s="90"/>
      <c r="E451" s="70"/>
      <c r="G451" s="1"/>
      <c r="H451" s="70"/>
      <c r="I451" s="104"/>
      <c r="J451" s="90"/>
      <c r="K451" s="70"/>
      <c r="M451" s="1"/>
      <c r="N451" s="70"/>
      <c r="S451" s="1"/>
      <c r="T451" s="70"/>
      <c r="Y451" s="1"/>
      <c r="Z451" s="70"/>
      <c r="AE451" s="1"/>
    </row>
    <row r="452">
      <c r="B452" s="70"/>
      <c r="C452" s="104"/>
      <c r="D452" s="90"/>
      <c r="E452" s="70"/>
      <c r="G452" s="1"/>
      <c r="H452" s="70"/>
      <c r="I452" s="104"/>
      <c r="J452" s="90"/>
      <c r="K452" s="70"/>
      <c r="M452" s="1"/>
      <c r="N452" s="70"/>
      <c r="S452" s="1"/>
      <c r="T452" s="70"/>
      <c r="Y452" s="1"/>
      <c r="Z452" s="70"/>
      <c r="AE452" s="1"/>
    </row>
    <row r="453">
      <c r="B453" s="70"/>
      <c r="C453" s="104"/>
      <c r="D453" s="90"/>
      <c r="E453" s="70"/>
      <c r="G453" s="1"/>
      <c r="H453" s="70"/>
      <c r="I453" s="104"/>
      <c r="J453" s="90"/>
      <c r="K453" s="70"/>
      <c r="M453" s="1"/>
      <c r="N453" s="70"/>
      <c r="S453" s="1"/>
      <c r="T453" s="70"/>
      <c r="Y453" s="1"/>
      <c r="Z453" s="70"/>
      <c r="AE453" s="1"/>
    </row>
    <row r="454">
      <c r="B454" s="70"/>
      <c r="C454" s="104"/>
      <c r="D454" s="90"/>
      <c r="E454" s="70"/>
      <c r="G454" s="1"/>
      <c r="H454" s="70"/>
      <c r="I454" s="104"/>
      <c r="J454" s="90"/>
      <c r="K454" s="70"/>
      <c r="M454" s="1"/>
      <c r="N454" s="70"/>
      <c r="S454" s="1"/>
      <c r="T454" s="70"/>
      <c r="Y454" s="1"/>
      <c r="Z454" s="70"/>
      <c r="AE454" s="1"/>
    </row>
    <row r="455">
      <c r="B455" s="70"/>
      <c r="C455" s="104"/>
      <c r="D455" s="90"/>
      <c r="E455" s="70"/>
      <c r="G455" s="1"/>
      <c r="H455" s="70"/>
      <c r="I455" s="104"/>
      <c r="J455" s="90"/>
      <c r="K455" s="70"/>
      <c r="M455" s="1"/>
      <c r="N455" s="70"/>
      <c r="S455" s="1"/>
      <c r="T455" s="70"/>
      <c r="Y455" s="1"/>
      <c r="Z455" s="70"/>
      <c r="AE455" s="1"/>
    </row>
    <row r="456">
      <c r="B456" s="70"/>
      <c r="C456" s="104"/>
      <c r="D456" s="90"/>
      <c r="E456" s="70"/>
      <c r="G456" s="1"/>
      <c r="H456" s="70"/>
      <c r="I456" s="104"/>
      <c r="J456" s="90"/>
      <c r="K456" s="70"/>
      <c r="M456" s="1"/>
      <c r="N456" s="70"/>
      <c r="S456" s="1"/>
      <c r="T456" s="70"/>
      <c r="Y456" s="1"/>
      <c r="Z456" s="70"/>
      <c r="AE456" s="1"/>
    </row>
    <row r="457">
      <c r="B457" s="70"/>
      <c r="C457" s="104"/>
      <c r="D457" s="90"/>
      <c r="E457" s="70"/>
      <c r="G457" s="1"/>
      <c r="H457" s="70"/>
      <c r="I457" s="104"/>
      <c r="J457" s="90"/>
      <c r="K457" s="70"/>
      <c r="M457" s="1"/>
      <c r="N457" s="70"/>
      <c r="S457" s="1"/>
      <c r="T457" s="70"/>
      <c r="Y457" s="1"/>
      <c r="Z457" s="70"/>
      <c r="AE457" s="1"/>
    </row>
    <row r="458">
      <c r="B458" s="70"/>
      <c r="C458" s="104"/>
      <c r="D458" s="90"/>
      <c r="E458" s="70"/>
      <c r="G458" s="1"/>
      <c r="H458" s="70"/>
      <c r="I458" s="104"/>
      <c r="J458" s="90"/>
      <c r="K458" s="70"/>
      <c r="M458" s="1"/>
      <c r="N458" s="70"/>
      <c r="S458" s="1"/>
      <c r="T458" s="70"/>
      <c r="Y458" s="1"/>
      <c r="Z458" s="70"/>
      <c r="AE458" s="1"/>
    </row>
    <row r="459">
      <c r="B459" s="70"/>
      <c r="C459" s="104"/>
      <c r="D459" s="90"/>
      <c r="E459" s="70"/>
      <c r="G459" s="1"/>
      <c r="H459" s="70"/>
      <c r="I459" s="104"/>
      <c r="J459" s="90"/>
      <c r="K459" s="70"/>
      <c r="M459" s="1"/>
      <c r="N459" s="70"/>
      <c r="S459" s="1"/>
      <c r="T459" s="70"/>
      <c r="Y459" s="1"/>
      <c r="Z459" s="70"/>
      <c r="AE459" s="1"/>
    </row>
    <row r="460">
      <c r="B460" s="70"/>
      <c r="C460" s="104"/>
      <c r="D460" s="90"/>
      <c r="E460" s="70"/>
      <c r="G460" s="1"/>
      <c r="H460" s="70"/>
      <c r="I460" s="104"/>
      <c r="J460" s="90"/>
      <c r="K460" s="70"/>
      <c r="M460" s="1"/>
      <c r="N460" s="70"/>
      <c r="S460" s="1"/>
      <c r="T460" s="70"/>
      <c r="Y460" s="1"/>
      <c r="Z460" s="70"/>
      <c r="AE460" s="1"/>
    </row>
    <row r="461">
      <c r="B461" s="70"/>
      <c r="C461" s="104"/>
      <c r="D461" s="90"/>
      <c r="E461" s="70"/>
      <c r="G461" s="1"/>
      <c r="H461" s="70"/>
      <c r="I461" s="104"/>
      <c r="J461" s="90"/>
      <c r="K461" s="70"/>
      <c r="M461" s="1"/>
      <c r="N461" s="70"/>
      <c r="S461" s="1"/>
      <c r="T461" s="70"/>
      <c r="Y461" s="1"/>
      <c r="Z461" s="70"/>
      <c r="AE461" s="1"/>
    </row>
    <row r="462">
      <c r="B462" s="70"/>
      <c r="C462" s="104"/>
      <c r="D462" s="90"/>
      <c r="E462" s="70"/>
      <c r="G462" s="1"/>
      <c r="H462" s="70"/>
      <c r="I462" s="104"/>
      <c r="J462" s="90"/>
      <c r="K462" s="70"/>
      <c r="M462" s="1"/>
      <c r="N462" s="70"/>
      <c r="S462" s="1"/>
      <c r="T462" s="70"/>
      <c r="Y462" s="1"/>
      <c r="Z462" s="70"/>
      <c r="AE462" s="1"/>
    </row>
    <row r="463">
      <c r="B463" s="70"/>
      <c r="C463" s="104"/>
      <c r="D463" s="90"/>
      <c r="E463" s="70"/>
      <c r="G463" s="1"/>
      <c r="H463" s="70"/>
      <c r="I463" s="104"/>
      <c r="J463" s="90"/>
      <c r="K463" s="70"/>
      <c r="M463" s="1"/>
      <c r="N463" s="70"/>
      <c r="S463" s="1"/>
      <c r="T463" s="70"/>
      <c r="Y463" s="1"/>
      <c r="Z463" s="70"/>
      <c r="AE463" s="1"/>
    </row>
    <row r="464">
      <c r="B464" s="70"/>
      <c r="C464" s="104"/>
      <c r="D464" s="90"/>
      <c r="E464" s="70"/>
      <c r="G464" s="1"/>
      <c r="H464" s="70"/>
      <c r="I464" s="104"/>
      <c r="J464" s="90"/>
      <c r="K464" s="70"/>
      <c r="M464" s="1"/>
      <c r="N464" s="70"/>
      <c r="S464" s="1"/>
      <c r="T464" s="70"/>
      <c r="Y464" s="1"/>
      <c r="Z464" s="70"/>
      <c r="AE464" s="1"/>
    </row>
    <row r="465">
      <c r="B465" s="70"/>
      <c r="C465" s="104"/>
      <c r="D465" s="90"/>
      <c r="E465" s="70"/>
      <c r="G465" s="1"/>
      <c r="H465" s="70"/>
      <c r="I465" s="104"/>
      <c r="J465" s="90"/>
      <c r="K465" s="70"/>
      <c r="M465" s="1"/>
      <c r="N465" s="70"/>
      <c r="S465" s="1"/>
      <c r="T465" s="70"/>
      <c r="Y465" s="1"/>
      <c r="Z465" s="70"/>
      <c r="AE465" s="1"/>
    </row>
    <row r="466">
      <c r="B466" s="70"/>
      <c r="C466" s="104"/>
      <c r="D466" s="90"/>
      <c r="E466" s="70"/>
      <c r="G466" s="1"/>
      <c r="H466" s="70"/>
      <c r="I466" s="104"/>
      <c r="J466" s="90"/>
      <c r="K466" s="70"/>
      <c r="M466" s="1"/>
      <c r="N466" s="70"/>
      <c r="S466" s="1"/>
      <c r="T466" s="70"/>
      <c r="Y466" s="1"/>
      <c r="Z466" s="70"/>
      <c r="AE466" s="1"/>
    </row>
    <row r="467">
      <c r="B467" s="70"/>
      <c r="C467" s="104"/>
      <c r="D467" s="90"/>
      <c r="E467" s="70"/>
      <c r="G467" s="1"/>
      <c r="H467" s="70"/>
      <c r="I467" s="104"/>
      <c r="J467" s="90"/>
      <c r="K467" s="70"/>
      <c r="M467" s="1"/>
      <c r="N467" s="70"/>
      <c r="S467" s="1"/>
      <c r="T467" s="70"/>
      <c r="Y467" s="1"/>
      <c r="Z467" s="70"/>
      <c r="AE467" s="1"/>
    </row>
    <row r="468">
      <c r="B468" s="70"/>
      <c r="C468" s="104"/>
      <c r="D468" s="90"/>
      <c r="E468" s="70"/>
      <c r="G468" s="1"/>
      <c r="H468" s="70"/>
      <c r="I468" s="104"/>
      <c r="J468" s="90"/>
      <c r="K468" s="70"/>
      <c r="M468" s="1"/>
      <c r="N468" s="70"/>
      <c r="S468" s="1"/>
      <c r="T468" s="70"/>
      <c r="Y468" s="1"/>
      <c r="Z468" s="70"/>
      <c r="AE468" s="1"/>
    </row>
    <row r="469">
      <c r="B469" s="70"/>
      <c r="C469" s="104"/>
      <c r="D469" s="90"/>
      <c r="E469" s="70"/>
      <c r="G469" s="1"/>
      <c r="H469" s="70"/>
      <c r="I469" s="104"/>
      <c r="J469" s="90"/>
      <c r="K469" s="70"/>
      <c r="M469" s="1"/>
      <c r="N469" s="70"/>
      <c r="S469" s="1"/>
      <c r="T469" s="70"/>
      <c r="Y469" s="1"/>
      <c r="Z469" s="70"/>
      <c r="AE469" s="1"/>
    </row>
    <row r="470">
      <c r="B470" s="70"/>
      <c r="C470" s="104"/>
      <c r="D470" s="90"/>
      <c r="E470" s="70"/>
      <c r="G470" s="1"/>
      <c r="H470" s="70"/>
      <c r="I470" s="104"/>
      <c r="J470" s="90"/>
      <c r="K470" s="70"/>
      <c r="M470" s="1"/>
      <c r="N470" s="70"/>
      <c r="S470" s="1"/>
      <c r="T470" s="70"/>
      <c r="Y470" s="1"/>
      <c r="Z470" s="70"/>
      <c r="AE470" s="1"/>
    </row>
    <row r="471">
      <c r="B471" s="70"/>
      <c r="C471" s="104"/>
      <c r="D471" s="90"/>
      <c r="E471" s="70"/>
      <c r="G471" s="1"/>
      <c r="H471" s="70"/>
      <c r="I471" s="104"/>
      <c r="J471" s="90"/>
      <c r="K471" s="70"/>
      <c r="M471" s="1"/>
      <c r="N471" s="70"/>
      <c r="S471" s="1"/>
      <c r="T471" s="70"/>
      <c r="Y471" s="1"/>
      <c r="Z471" s="70"/>
      <c r="AE471" s="1"/>
    </row>
    <row r="472">
      <c r="B472" s="70"/>
      <c r="C472" s="104"/>
      <c r="D472" s="90"/>
      <c r="E472" s="70"/>
      <c r="G472" s="1"/>
      <c r="H472" s="70"/>
      <c r="I472" s="104"/>
      <c r="J472" s="90"/>
      <c r="K472" s="70"/>
      <c r="M472" s="1"/>
      <c r="N472" s="70"/>
      <c r="S472" s="1"/>
      <c r="T472" s="70"/>
      <c r="Y472" s="1"/>
      <c r="Z472" s="70"/>
      <c r="AE472" s="1"/>
    </row>
    <row r="473">
      <c r="B473" s="70"/>
      <c r="C473" s="104"/>
      <c r="D473" s="90"/>
      <c r="E473" s="70"/>
      <c r="G473" s="1"/>
      <c r="H473" s="70"/>
      <c r="I473" s="104"/>
      <c r="J473" s="90"/>
      <c r="K473" s="70"/>
      <c r="M473" s="1"/>
      <c r="N473" s="70"/>
      <c r="S473" s="1"/>
      <c r="T473" s="70"/>
      <c r="Y473" s="1"/>
      <c r="Z473" s="70"/>
      <c r="AE473" s="1"/>
    </row>
    <row r="474">
      <c r="B474" s="70"/>
      <c r="C474" s="104"/>
      <c r="D474" s="90"/>
      <c r="E474" s="70"/>
      <c r="G474" s="1"/>
      <c r="H474" s="70"/>
      <c r="I474" s="104"/>
      <c r="J474" s="90"/>
      <c r="K474" s="70"/>
      <c r="M474" s="1"/>
      <c r="N474" s="70"/>
      <c r="S474" s="1"/>
      <c r="T474" s="70"/>
      <c r="Y474" s="1"/>
      <c r="Z474" s="70"/>
      <c r="AE474" s="1"/>
    </row>
    <row r="475">
      <c r="B475" s="70"/>
      <c r="C475" s="104"/>
      <c r="D475" s="90"/>
      <c r="E475" s="70"/>
      <c r="G475" s="1"/>
      <c r="H475" s="70"/>
      <c r="I475" s="104"/>
      <c r="J475" s="90"/>
      <c r="K475" s="70"/>
      <c r="M475" s="1"/>
      <c r="N475" s="70"/>
      <c r="S475" s="1"/>
      <c r="T475" s="70"/>
      <c r="Y475" s="1"/>
      <c r="Z475" s="70"/>
      <c r="AE475" s="1"/>
    </row>
    <row r="476">
      <c r="B476" s="70"/>
      <c r="C476" s="104"/>
      <c r="D476" s="90"/>
      <c r="E476" s="70"/>
      <c r="G476" s="1"/>
      <c r="H476" s="70"/>
      <c r="I476" s="104"/>
      <c r="J476" s="90"/>
      <c r="K476" s="70"/>
      <c r="M476" s="1"/>
      <c r="N476" s="70"/>
      <c r="S476" s="1"/>
      <c r="T476" s="70"/>
      <c r="Y476" s="1"/>
      <c r="Z476" s="70"/>
      <c r="AE476" s="1"/>
    </row>
    <row r="477">
      <c r="B477" s="70"/>
      <c r="C477" s="104"/>
      <c r="D477" s="90"/>
      <c r="E477" s="70"/>
      <c r="G477" s="1"/>
      <c r="H477" s="70"/>
      <c r="I477" s="104"/>
      <c r="J477" s="90"/>
      <c r="K477" s="70"/>
      <c r="M477" s="1"/>
      <c r="N477" s="70"/>
      <c r="S477" s="1"/>
      <c r="T477" s="70"/>
      <c r="Y477" s="1"/>
      <c r="Z477" s="70"/>
      <c r="AE477" s="1"/>
    </row>
    <row r="478">
      <c r="B478" s="70"/>
      <c r="C478" s="104"/>
      <c r="D478" s="90"/>
      <c r="E478" s="70"/>
      <c r="G478" s="1"/>
      <c r="H478" s="70"/>
      <c r="I478" s="104"/>
      <c r="J478" s="90"/>
      <c r="K478" s="70"/>
      <c r="M478" s="1"/>
      <c r="N478" s="70"/>
      <c r="S478" s="1"/>
      <c r="T478" s="70"/>
      <c r="Y478" s="1"/>
      <c r="Z478" s="70"/>
      <c r="AE478" s="1"/>
    </row>
    <row r="479">
      <c r="B479" s="70"/>
      <c r="C479" s="104"/>
      <c r="D479" s="90"/>
      <c r="E479" s="70"/>
      <c r="G479" s="1"/>
      <c r="H479" s="70"/>
      <c r="I479" s="104"/>
      <c r="J479" s="90"/>
      <c r="K479" s="70"/>
      <c r="M479" s="1"/>
      <c r="N479" s="70"/>
      <c r="S479" s="1"/>
      <c r="T479" s="70"/>
      <c r="Y479" s="1"/>
      <c r="Z479" s="70"/>
      <c r="AE479" s="1"/>
    </row>
    <row r="480">
      <c r="B480" s="70"/>
      <c r="C480" s="104"/>
      <c r="D480" s="90"/>
      <c r="E480" s="70"/>
      <c r="G480" s="1"/>
      <c r="H480" s="70"/>
      <c r="I480" s="104"/>
      <c r="J480" s="90"/>
      <c r="K480" s="70"/>
      <c r="M480" s="1"/>
      <c r="N480" s="70"/>
      <c r="S480" s="1"/>
      <c r="T480" s="70"/>
      <c r="Y480" s="1"/>
      <c r="Z480" s="70"/>
      <c r="AE480" s="1"/>
    </row>
    <row r="481">
      <c r="B481" s="70"/>
      <c r="C481" s="104"/>
      <c r="D481" s="90"/>
      <c r="E481" s="70"/>
      <c r="G481" s="1"/>
      <c r="H481" s="70"/>
      <c r="I481" s="104"/>
      <c r="J481" s="90"/>
      <c r="K481" s="70"/>
      <c r="M481" s="1"/>
      <c r="N481" s="70"/>
      <c r="S481" s="1"/>
      <c r="T481" s="70"/>
      <c r="Y481" s="1"/>
      <c r="Z481" s="70"/>
      <c r="AE481" s="1"/>
    </row>
    <row r="482">
      <c r="B482" s="70"/>
      <c r="C482" s="104"/>
      <c r="D482" s="90"/>
      <c r="E482" s="70"/>
      <c r="G482" s="1"/>
      <c r="H482" s="70"/>
      <c r="I482" s="104"/>
      <c r="J482" s="90"/>
      <c r="K482" s="70"/>
      <c r="M482" s="1"/>
      <c r="N482" s="70"/>
      <c r="S482" s="1"/>
      <c r="T482" s="70"/>
      <c r="Y482" s="1"/>
      <c r="Z482" s="70"/>
      <c r="AE482" s="1"/>
    </row>
    <row r="483">
      <c r="B483" s="70"/>
      <c r="C483" s="104"/>
      <c r="D483" s="90"/>
      <c r="E483" s="70"/>
      <c r="G483" s="1"/>
      <c r="H483" s="70"/>
      <c r="I483" s="104"/>
      <c r="J483" s="90"/>
      <c r="K483" s="70"/>
      <c r="M483" s="1"/>
      <c r="N483" s="70"/>
      <c r="S483" s="1"/>
      <c r="T483" s="70"/>
      <c r="Y483" s="1"/>
      <c r="Z483" s="70"/>
      <c r="AE483" s="1"/>
    </row>
    <row r="484">
      <c r="B484" s="70"/>
      <c r="C484" s="104"/>
      <c r="D484" s="90"/>
      <c r="E484" s="70"/>
      <c r="G484" s="1"/>
      <c r="H484" s="70"/>
      <c r="I484" s="104"/>
      <c r="J484" s="90"/>
      <c r="K484" s="70"/>
      <c r="M484" s="1"/>
      <c r="N484" s="70"/>
      <c r="S484" s="1"/>
      <c r="T484" s="70"/>
      <c r="Y484" s="1"/>
      <c r="Z484" s="70"/>
      <c r="AE484" s="1"/>
    </row>
    <row r="485">
      <c r="B485" s="70"/>
      <c r="C485" s="104"/>
      <c r="D485" s="90"/>
      <c r="E485" s="70"/>
      <c r="G485" s="1"/>
      <c r="H485" s="70"/>
      <c r="I485" s="104"/>
      <c r="J485" s="90"/>
      <c r="K485" s="70"/>
      <c r="M485" s="1"/>
      <c r="N485" s="70"/>
      <c r="S485" s="1"/>
      <c r="T485" s="70"/>
      <c r="Y485" s="1"/>
      <c r="Z485" s="70"/>
      <c r="AE485" s="1"/>
    </row>
    <row r="486">
      <c r="B486" s="70"/>
      <c r="C486" s="104"/>
      <c r="D486" s="90"/>
      <c r="E486" s="70"/>
      <c r="G486" s="1"/>
      <c r="H486" s="70"/>
      <c r="I486" s="104"/>
      <c r="J486" s="90"/>
      <c r="K486" s="70"/>
      <c r="M486" s="1"/>
      <c r="N486" s="70"/>
      <c r="S486" s="1"/>
      <c r="T486" s="70"/>
      <c r="Y486" s="1"/>
      <c r="Z486" s="70"/>
      <c r="AE486" s="1"/>
    </row>
    <row r="487">
      <c r="B487" s="70"/>
      <c r="C487" s="104"/>
      <c r="D487" s="90"/>
      <c r="E487" s="70"/>
      <c r="G487" s="1"/>
      <c r="H487" s="70"/>
      <c r="I487" s="104"/>
      <c r="J487" s="90"/>
      <c r="K487" s="70"/>
      <c r="M487" s="1"/>
      <c r="N487" s="70"/>
      <c r="S487" s="1"/>
      <c r="T487" s="70"/>
      <c r="Y487" s="1"/>
      <c r="Z487" s="70"/>
      <c r="AE487" s="1"/>
    </row>
    <row r="488">
      <c r="B488" s="70"/>
      <c r="C488" s="104"/>
      <c r="D488" s="90"/>
      <c r="E488" s="70"/>
      <c r="G488" s="1"/>
      <c r="H488" s="70"/>
      <c r="I488" s="104"/>
      <c r="J488" s="90"/>
      <c r="K488" s="70"/>
      <c r="M488" s="1"/>
      <c r="N488" s="70"/>
      <c r="S488" s="1"/>
      <c r="T488" s="70"/>
      <c r="Y488" s="1"/>
      <c r="Z488" s="70"/>
      <c r="AE488" s="1"/>
    </row>
    <row r="489">
      <c r="B489" s="70"/>
      <c r="C489" s="104"/>
      <c r="D489" s="90"/>
      <c r="E489" s="70"/>
      <c r="G489" s="1"/>
      <c r="H489" s="70"/>
      <c r="I489" s="104"/>
      <c r="J489" s="90"/>
      <c r="K489" s="70"/>
      <c r="M489" s="1"/>
      <c r="N489" s="70"/>
      <c r="S489" s="1"/>
      <c r="T489" s="70"/>
      <c r="Y489" s="1"/>
      <c r="Z489" s="70"/>
      <c r="AE489" s="1"/>
    </row>
    <row r="490">
      <c r="B490" s="70"/>
      <c r="C490" s="104"/>
      <c r="D490" s="90"/>
      <c r="E490" s="70"/>
      <c r="G490" s="1"/>
      <c r="H490" s="70"/>
      <c r="I490" s="104"/>
      <c r="J490" s="90"/>
      <c r="K490" s="70"/>
      <c r="M490" s="1"/>
      <c r="N490" s="70"/>
      <c r="S490" s="1"/>
      <c r="T490" s="70"/>
      <c r="Y490" s="1"/>
      <c r="Z490" s="70"/>
      <c r="AE490" s="1"/>
    </row>
    <row r="491">
      <c r="B491" s="70"/>
      <c r="C491" s="104"/>
      <c r="D491" s="90"/>
      <c r="E491" s="70"/>
      <c r="G491" s="1"/>
      <c r="H491" s="70"/>
      <c r="I491" s="104"/>
      <c r="J491" s="90"/>
      <c r="K491" s="70"/>
      <c r="M491" s="1"/>
      <c r="N491" s="70"/>
      <c r="S491" s="1"/>
      <c r="T491" s="70"/>
      <c r="Y491" s="1"/>
      <c r="Z491" s="70"/>
      <c r="AE491" s="1"/>
    </row>
    <row r="492">
      <c r="B492" s="70"/>
      <c r="C492" s="104"/>
      <c r="D492" s="90"/>
      <c r="E492" s="70"/>
      <c r="G492" s="1"/>
      <c r="H492" s="70"/>
      <c r="I492" s="104"/>
      <c r="J492" s="90"/>
      <c r="K492" s="70"/>
      <c r="M492" s="1"/>
      <c r="N492" s="70"/>
      <c r="S492" s="1"/>
      <c r="T492" s="70"/>
      <c r="Y492" s="1"/>
      <c r="Z492" s="70"/>
      <c r="AE492" s="1"/>
    </row>
    <row r="493">
      <c r="B493" s="70"/>
      <c r="C493" s="104"/>
      <c r="D493" s="90"/>
      <c r="E493" s="70"/>
      <c r="G493" s="1"/>
      <c r="H493" s="70"/>
      <c r="I493" s="104"/>
      <c r="J493" s="90"/>
      <c r="K493" s="70"/>
      <c r="M493" s="1"/>
      <c r="N493" s="70"/>
      <c r="S493" s="1"/>
      <c r="T493" s="70"/>
      <c r="Y493" s="1"/>
      <c r="Z493" s="70"/>
      <c r="AE493" s="1"/>
    </row>
    <row r="494">
      <c r="B494" s="70"/>
      <c r="C494" s="104"/>
      <c r="D494" s="90"/>
      <c r="E494" s="70"/>
      <c r="G494" s="1"/>
      <c r="H494" s="70"/>
      <c r="I494" s="104"/>
      <c r="J494" s="90"/>
      <c r="K494" s="70"/>
      <c r="M494" s="1"/>
      <c r="N494" s="70"/>
      <c r="S494" s="1"/>
      <c r="T494" s="70"/>
      <c r="Y494" s="1"/>
      <c r="Z494" s="70"/>
      <c r="AE494" s="1"/>
    </row>
    <row r="495">
      <c r="B495" s="70"/>
      <c r="C495" s="104"/>
      <c r="D495" s="90"/>
      <c r="E495" s="70"/>
      <c r="G495" s="1"/>
      <c r="H495" s="70"/>
      <c r="I495" s="104"/>
      <c r="J495" s="90"/>
      <c r="K495" s="70"/>
      <c r="M495" s="1"/>
      <c r="N495" s="70"/>
      <c r="S495" s="1"/>
      <c r="T495" s="70"/>
      <c r="Y495" s="1"/>
      <c r="Z495" s="70"/>
      <c r="AE495" s="1"/>
    </row>
    <row r="496">
      <c r="B496" s="70"/>
      <c r="C496" s="104"/>
      <c r="D496" s="90"/>
      <c r="E496" s="70"/>
      <c r="G496" s="1"/>
      <c r="H496" s="70"/>
      <c r="I496" s="104"/>
      <c r="J496" s="90"/>
      <c r="K496" s="70"/>
      <c r="M496" s="1"/>
      <c r="N496" s="70"/>
      <c r="S496" s="1"/>
      <c r="T496" s="70"/>
      <c r="Y496" s="1"/>
      <c r="Z496" s="70"/>
      <c r="AE496" s="1"/>
    </row>
    <row r="497">
      <c r="B497" s="70"/>
      <c r="C497" s="104"/>
      <c r="D497" s="90"/>
      <c r="E497" s="70"/>
      <c r="G497" s="1"/>
      <c r="H497" s="70"/>
      <c r="I497" s="104"/>
      <c r="J497" s="90"/>
      <c r="K497" s="70"/>
      <c r="M497" s="1"/>
      <c r="N497" s="70"/>
      <c r="S497" s="1"/>
      <c r="T497" s="70"/>
      <c r="Y497" s="1"/>
      <c r="Z497" s="70"/>
      <c r="AE497" s="1"/>
    </row>
    <row r="498">
      <c r="B498" s="70"/>
      <c r="C498" s="104"/>
      <c r="D498" s="90"/>
      <c r="E498" s="70"/>
      <c r="G498" s="1"/>
      <c r="H498" s="70"/>
      <c r="I498" s="104"/>
      <c r="J498" s="90"/>
      <c r="K498" s="70"/>
      <c r="M498" s="1"/>
      <c r="N498" s="70"/>
      <c r="S498" s="1"/>
      <c r="T498" s="70"/>
      <c r="Y498" s="1"/>
      <c r="Z498" s="70"/>
      <c r="AE498" s="1"/>
    </row>
    <row r="499">
      <c r="B499" s="70"/>
      <c r="C499" s="104"/>
      <c r="D499" s="90"/>
      <c r="E499" s="70"/>
      <c r="G499" s="1"/>
      <c r="H499" s="70"/>
      <c r="I499" s="104"/>
      <c r="J499" s="90"/>
      <c r="K499" s="70"/>
      <c r="M499" s="1"/>
      <c r="N499" s="70"/>
      <c r="S499" s="1"/>
      <c r="T499" s="70"/>
      <c r="Y499" s="1"/>
      <c r="Z499" s="70"/>
      <c r="AE499" s="1"/>
    </row>
    <row r="500">
      <c r="B500" s="70"/>
      <c r="C500" s="104"/>
      <c r="D500" s="90"/>
      <c r="E500" s="70"/>
      <c r="G500" s="1"/>
      <c r="H500" s="70"/>
      <c r="I500" s="104"/>
      <c r="J500" s="90"/>
      <c r="K500" s="70"/>
      <c r="M500" s="1"/>
      <c r="N500" s="70"/>
      <c r="S500" s="1"/>
      <c r="T500" s="70"/>
      <c r="Y500" s="1"/>
      <c r="Z500" s="70"/>
      <c r="AE500" s="1"/>
    </row>
    <row r="501">
      <c r="B501" s="70"/>
      <c r="C501" s="104"/>
      <c r="D501" s="90"/>
      <c r="E501" s="70"/>
      <c r="G501" s="1"/>
      <c r="H501" s="70"/>
      <c r="I501" s="104"/>
      <c r="J501" s="90"/>
      <c r="K501" s="70"/>
      <c r="M501" s="1"/>
      <c r="N501" s="70"/>
      <c r="S501" s="1"/>
      <c r="T501" s="70"/>
      <c r="Y501" s="1"/>
      <c r="Z501" s="70"/>
      <c r="AE501" s="1"/>
    </row>
    <row r="502">
      <c r="B502" s="70"/>
      <c r="C502" s="104"/>
      <c r="D502" s="90"/>
      <c r="E502" s="70"/>
      <c r="G502" s="1"/>
      <c r="H502" s="70"/>
      <c r="I502" s="104"/>
      <c r="J502" s="90"/>
      <c r="K502" s="70"/>
      <c r="M502" s="1"/>
      <c r="N502" s="70"/>
      <c r="S502" s="1"/>
      <c r="T502" s="70"/>
      <c r="Y502" s="1"/>
      <c r="Z502" s="70"/>
      <c r="AE502" s="1"/>
    </row>
    <row r="503">
      <c r="B503" s="70"/>
      <c r="C503" s="104"/>
      <c r="D503" s="90"/>
      <c r="E503" s="70"/>
      <c r="G503" s="1"/>
      <c r="H503" s="70"/>
      <c r="I503" s="104"/>
      <c r="J503" s="90"/>
      <c r="K503" s="70"/>
      <c r="M503" s="1"/>
      <c r="N503" s="70"/>
      <c r="S503" s="1"/>
      <c r="T503" s="70"/>
      <c r="Y503" s="1"/>
      <c r="Z503" s="70"/>
      <c r="AE503" s="1"/>
    </row>
    <row r="504">
      <c r="B504" s="70"/>
      <c r="C504" s="104"/>
      <c r="D504" s="90"/>
      <c r="E504" s="70"/>
      <c r="G504" s="1"/>
      <c r="H504" s="70"/>
      <c r="I504" s="104"/>
      <c r="J504" s="90"/>
      <c r="K504" s="70"/>
      <c r="M504" s="1"/>
      <c r="N504" s="70"/>
      <c r="S504" s="1"/>
      <c r="T504" s="70"/>
      <c r="Y504" s="1"/>
      <c r="Z504" s="70"/>
      <c r="AE504" s="1"/>
    </row>
    <row r="505">
      <c r="B505" s="70"/>
      <c r="C505" s="104"/>
      <c r="D505" s="90"/>
      <c r="E505" s="70"/>
      <c r="G505" s="1"/>
      <c r="H505" s="70"/>
      <c r="I505" s="104"/>
      <c r="J505" s="90"/>
      <c r="K505" s="70"/>
      <c r="M505" s="1"/>
      <c r="N505" s="70"/>
      <c r="S505" s="1"/>
      <c r="T505" s="70"/>
      <c r="Y505" s="1"/>
      <c r="Z505" s="70"/>
      <c r="AE505" s="1"/>
    </row>
    <row r="506">
      <c r="B506" s="70"/>
      <c r="C506" s="104"/>
      <c r="D506" s="90"/>
      <c r="E506" s="70"/>
      <c r="G506" s="1"/>
      <c r="H506" s="70"/>
      <c r="I506" s="104"/>
      <c r="J506" s="90"/>
      <c r="K506" s="70"/>
      <c r="M506" s="1"/>
      <c r="N506" s="70"/>
      <c r="S506" s="1"/>
      <c r="T506" s="70"/>
      <c r="Y506" s="1"/>
      <c r="Z506" s="70"/>
      <c r="AE506" s="1"/>
    </row>
    <row r="507">
      <c r="B507" s="70"/>
      <c r="C507" s="104"/>
      <c r="D507" s="90"/>
      <c r="E507" s="70"/>
      <c r="G507" s="1"/>
      <c r="H507" s="70"/>
      <c r="I507" s="104"/>
      <c r="J507" s="90"/>
      <c r="K507" s="70"/>
      <c r="M507" s="1"/>
      <c r="N507" s="70"/>
      <c r="S507" s="1"/>
      <c r="T507" s="70"/>
      <c r="Y507" s="1"/>
      <c r="Z507" s="70"/>
      <c r="AE507" s="1"/>
    </row>
    <row r="508">
      <c r="B508" s="70"/>
      <c r="C508" s="104"/>
      <c r="D508" s="90"/>
      <c r="E508" s="70"/>
      <c r="G508" s="1"/>
      <c r="H508" s="70"/>
      <c r="I508" s="104"/>
      <c r="J508" s="90"/>
      <c r="K508" s="70"/>
      <c r="M508" s="1"/>
      <c r="N508" s="70"/>
      <c r="S508" s="1"/>
      <c r="T508" s="70"/>
      <c r="Y508" s="1"/>
      <c r="Z508" s="70"/>
      <c r="AE508" s="1"/>
    </row>
    <row r="509">
      <c r="B509" s="70"/>
      <c r="C509" s="104"/>
      <c r="D509" s="90"/>
      <c r="E509" s="70"/>
      <c r="G509" s="1"/>
      <c r="H509" s="70"/>
      <c r="I509" s="104"/>
      <c r="J509" s="90"/>
      <c r="K509" s="70"/>
      <c r="M509" s="1"/>
      <c r="N509" s="70"/>
      <c r="S509" s="1"/>
      <c r="T509" s="70"/>
      <c r="Y509" s="1"/>
      <c r="Z509" s="70"/>
      <c r="AE509" s="1"/>
    </row>
    <row r="510">
      <c r="B510" s="70"/>
      <c r="C510" s="104"/>
      <c r="D510" s="90"/>
      <c r="E510" s="70"/>
      <c r="G510" s="1"/>
      <c r="H510" s="70"/>
      <c r="I510" s="104"/>
      <c r="J510" s="90"/>
      <c r="K510" s="70"/>
      <c r="M510" s="1"/>
      <c r="N510" s="70"/>
      <c r="S510" s="1"/>
      <c r="T510" s="70"/>
      <c r="Y510" s="1"/>
      <c r="Z510" s="70"/>
      <c r="AE510" s="1"/>
    </row>
    <row r="511">
      <c r="B511" s="70"/>
      <c r="C511" s="104"/>
      <c r="D511" s="90"/>
      <c r="E511" s="70"/>
      <c r="G511" s="1"/>
      <c r="H511" s="70"/>
      <c r="I511" s="104"/>
      <c r="J511" s="90"/>
      <c r="K511" s="70"/>
      <c r="M511" s="1"/>
      <c r="N511" s="70"/>
      <c r="S511" s="1"/>
      <c r="T511" s="70"/>
      <c r="Y511" s="1"/>
      <c r="Z511" s="70"/>
      <c r="AE511" s="1"/>
    </row>
    <row r="512">
      <c r="B512" s="70"/>
      <c r="C512" s="104"/>
      <c r="D512" s="90"/>
      <c r="E512" s="70"/>
      <c r="G512" s="1"/>
      <c r="H512" s="70"/>
      <c r="I512" s="104"/>
      <c r="J512" s="90"/>
      <c r="K512" s="70"/>
      <c r="M512" s="1"/>
      <c r="N512" s="70"/>
      <c r="S512" s="1"/>
      <c r="T512" s="70"/>
      <c r="Y512" s="1"/>
      <c r="Z512" s="70"/>
      <c r="AE512" s="1"/>
    </row>
    <row r="513">
      <c r="B513" s="70"/>
      <c r="C513" s="104"/>
      <c r="D513" s="90"/>
      <c r="E513" s="70"/>
      <c r="G513" s="1"/>
      <c r="H513" s="70"/>
      <c r="I513" s="104"/>
      <c r="J513" s="90"/>
      <c r="K513" s="70"/>
      <c r="M513" s="1"/>
      <c r="N513" s="70"/>
      <c r="S513" s="1"/>
      <c r="T513" s="70"/>
      <c r="Y513" s="1"/>
      <c r="Z513" s="70"/>
      <c r="AE513" s="1"/>
    </row>
    <row r="514">
      <c r="B514" s="70"/>
      <c r="C514" s="104"/>
      <c r="D514" s="90"/>
      <c r="E514" s="70"/>
      <c r="G514" s="1"/>
      <c r="H514" s="70"/>
      <c r="I514" s="104"/>
      <c r="J514" s="90"/>
      <c r="K514" s="70"/>
      <c r="M514" s="1"/>
      <c r="N514" s="70"/>
      <c r="S514" s="1"/>
      <c r="T514" s="70"/>
      <c r="Y514" s="1"/>
      <c r="Z514" s="70"/>
      <c r="AE514" s="1"/>
    </row>
    <row r="515">
      <c r="B515" s="70"/>
      <c r="C515" s="104"/>
      <c r="D515" s="90"/>
      <c r="E515" s="70"/>
      <c r="G515" s="1"/>
      <c r="H515" s="70"/>
      <c r="I515" s="104"/>
      <c r="J515" s="90"/>
      <c r="K515" s="70"/>
      <c r="M515" s="1"/>
      <c r="N515" s="70"/>
      <c r="S515" s="1"/>
      <c r="T515" s="70"/>
      <c r="Y515" s="1"/>
      <c r="Z515" s="70"/>
      <c r="AE515" s="1"/>
    </row>
    <row r="516">
      <c r="B516" s="70"/>
      <c r="C516" s="104"/>
      <c r="D516" s="90"/>
      <c r="E516" s="70"/>
      <c r="G516" s="1"/>
      <c r="H516" s="70"/>
      <c r="I516" s="104"/>
      <c r="J516" s="90"/>
      <c r="K516" s="70"/>
      <c r="M516" s="1"/>
      <c r="N516" s="70"/>
      <c r="S516" s="1"/>
      <c r="T516" s="70"/>
      <c r="Y516" s="1"/>
      <c r="Z516" s="70"/>
      <c r="AE516" s="1"/>
    </row>
    <row r="517">
      <c r="B517" s="70"/>
      <c r="C517" s="104"/>
      <c r="D517" s="90"/>
      <c r="E517" s="70"/>
      <c r="G517" s="1"/>
      <c r="H517" s="70"/>
      <c r="I517" s="104"/>
      <c r="J517" s="90"/>
      <c r="K517" s="70"/>
      <c r="M517" s="1"/>
      <c r="N517" s="70"/>
      <c r="S517" s="1"/>
      <c r="T517" s="70"/>
      <c r="Y517" s="1"/>
      <c r="Z517" s="70"/>
      <c r="AE517" s="1"/>
    </row>
    <row r="518">
      <c r="B518" s="70"/>
      <c r="C518" s="104"/>
      <c r="D518" s="90"/>
      <c r="E518" s="70"/>
      <c r="G518" s="1"/>
      <c r="H518" s="70"/>
      <c r="I518" s="104"/>
      <c r="J518" s="90"/>
      <c r="K518" s="70"/>
      <c r="M518" s="1"/>
      <c r="N518" s="70"/>
      <c r="S518" s="1"/>
      <c r="T518" s="70"/>
      <c r="Y518" s="1"/>
      <c r="Z518" s="70"/>
      <c r="AE518" s="1"/>
    </row>
    <row r="519">
      <c r="B519" s="70"/>
      <c r="C519" s="104"/>
      <c r="D519" s="90"/>
      <c r="E519" s="70"/>
      <c r="G519" s="1"/>
      <c r="H519" s="70"/>
      <c r="I519" s="104"/>
      <c r="J519" s="90"/>
      <c r="K519" s="70"/>
      <c r="M519" s="1"/>
      <c r="N519" s="70"/>
      <c r="S519" s="1"/>
      <c r="T519" s="70"/>
      <c r="Y519" s="1"/>
      <c r="Z519" s="70"/>
      <c r="AE519" s="1"/>
    </row>
    <row r="520">
      <c r="B520" s="70"/>
      <c r="C520" s="104"/>
      <c r="D520" s="90"/>
      <c r="E520" s="70"/>
      <c r="G520" s="1"/>
      <c r="H520" s="70"/>
      <c r="I520" s="104"/>
      <c r="J520" s="90"/>
      <c r="K520" s="70"/>
      <c r="M520" s="1"/>
      <c r="N520" s="70"/>
      <c r="S520" s="1"/>
      <c r="T520" s="70"/>
      <c r="Y520" s="1"/>
      <c r="Z520" s="70"/>
      <c r="AE520" s="1"/>
    </row>
    <row r="521">
      <c r="B521" s="70"/>
      <c r="C521" s="104"/>
      <c r="D521" s="90"/>
      <c r="E521" s="70"/>
      <c r="G521" s="1"/>
      <c r="H521" s="70"/>
      <c r="I521" s="104"/>
      <c r="J521" s="90"/>
      <c r="K521" s="70"/>
      <c r="M521" s="1"/>
      <c r="N521" s="70"/>
      <c r="S521" s="1"/>
      <c r="T521" s="70"/>
      <c r="Y521" s="1"/>
      <c r="Z521" s="70"/>
      <c r="AE521" s="1"/>
    </row>
    <row r="522">
      <c r="B522" s="70"/>
      <c r="C522" s="104"/>
      <c r="D522" s="90"/>
      <c r="E522" s="70"/>
      <c r="G522" s="1"/>
      <c r="H522" s="70"/>
      <c r="I522" s="104"/>
      <c r="J522" s="90"/>
      <c r="K522" s="70"/>
      <c r="M522" s="1"/>
      <c r="N522" s="70"/>
      <c r="S522" s="1"/>
      <c r="T522" s="70"/>
      <c r="Y522" s="1"/>
      <c r="Z522" s="70"/>
      <c r="AE522" s="1"/>
    </row>
    <row r="523">
      <c r="B523" s="70"/>
      <c r="C523" s="104"/>
      <c r="D523" s="90"/>
      <c r="E523" s="70"/>
      <c r="G523" s="1"/>
      <c r="H523" s="70"/>
      <c r="I523" s="104"/>
      <c r="J523" s="90"/>
      <c r="K523" s="70"/>
      <c r="M523" s="1"/>
      <c r="N523" s="70"/>
      <c r="S523" s="1"/>
      <c r="T523" s="70"/>
      <c r="Y523" s="1"/>
      <c r="Z523" s="70"/>
      <c r="AE523" s="1"/>
    </row>
    <row r="524">
      <c r="B524" s="70"/>
      <c r="C524" s="104"/>
      <c r="D524" s="90"/>
      <c r="E524" s="70"/>
      <c r="G524" s="1"/>
      <c r="H524" s="70"/>
      <c r="I524" s="104"/>
      <c r="J524" s="90"/>
      <c r="K524" s="70"/>
      <c r="M524" s="1"/>
      <c r="N524" s="70"/>
      <c r="S524" s="1"/>
      <c r="T524" s="70"/>
      <c r="Y524" s="1"/>
      <c r="Z524" s="70"/>
      <c r="AE524" s="1"/>
    </row>
    <row r="525">
      <c r="B525" s="70"/>
      <c r="C525" s="104"/>
      <c r="D525" s="90"/>
      <c r="E525" s="70"/>
      <c r="G525" s="1"/>
      <c r="H525" s="70"/>
      <c r="I525" s="104"/>
      <c r="J525" s="90"/>
      <c r="K525" s="70"/>
      <c r="M525" s="1"/>
      <c r="N525" s="70"/>
      <c r="S525" s="1"/>
      <c r="T525" s="70"/>
      <c r="Y525" s="1"/>
      <c r="Z525" s="70"/>
      <c r="AE525" s="1"/>
    </row>
    <row r="526">
      <c r="B526" s="70"/>
      <c r="C526" s="104"/>
      <c r="D526" s="90"/>
      <c r="E526" s="70"/>
      <c r="G526" s="1"/>
      <c r="H526" s="70"/>
      <c r="I526" s="104"/>
      <c r="J526" s="90"/>
      <c r="K526" s="70"/>
      <c r="M526" s="1"/>
      <c r="N526" s="70"/>
      <c r="S526" s="1"/>
      <c r="T526" s="70"/>
      <c r="Y526" s="1"/>
      <c r="Z526" s="70"/>
      <c r="AE526" s="1"/>
    </row>
    <row r="527">
      <c r="B527" s="70"/>
      <c r="C527" s="104"/>
      <c r="D527" s="90"/>
      <c r="E527" s="70"/>
      <c r="G527" s="1"/>
      <c r="H527" s="70"/>
      <c r="I527" s="104"/>
      <c r="J527" s="90"/>
      <c r="K527" s="70"/>
      <c r="M527" s="1"/>
      <c r="N527" s="70"/>
      <c r="S527" s="1"/>
      <c r="T527" s="70"/>
      <c r="Y527" s="1"/>
      <c r="Z527" s="70"/>
      <c r="AE527" s="1"/>
    </row>
    <row r="528">
      <c r="B528" s="70"/>
      <c r="C528" s="104"/>
      <c r="D528" s="90"/>
      <c r="E528" s="70"/>
      <c r="G528" s="1"/>
      <c r="H528" s="70"/>
      <c r="I528" s="104"/>
      <c r="J528" s="90"/>
      <c r="K528" s="70"/>
      <c r="M528" s="1"/>
      <c r="N528" s="70"/>
      <c r="S528" s="1"/>
      <c r="T528" s="70"/>
      <c r="Y528" s="1"/>
      <c r="Z528" s="70"/>
      <c r="AE528" s="1"/>
    </row>
    <row r="529">
      <c r="B529" s="70"/>
      <c r="C529" s="104"/>
      <c r="D529" s="90"/>
      <c r="E529" s="70"/>
      <c r="G529" s="1"/>
      <c r="H529" s="70"/>
      <c r="I529" s="104"/>
      <c r="J529" s="90"/>
      <c r="K529" s="70"/>
      <c r="M529" s="1"/>
      <c r="N529" s="70"/>
      <c r="S529" s="1"/>
      <c r="T529" s="70"/>
      <c r="Y529" s="1"/>
      <c r="Z529" s="70"/>
      <c r="AE529" s="1"/>
    </row>
    <row r="530">
      <c r="B530" s="70"/>
      <c r="C530" s="104"/>
      <c r="D530" s="90"/>
      <c r="E530" s="70"/>
      <c r="G530" s="1"/>
      <c r="H530" s="70"/>
      <c r="I530" s="104"/>
      <c r="J530" s="90"/>
      <c r="K530" s="70"/>
      <c r="M530" s="1"/>
      <c r="N530" s="70"/>
      <c r="S530" s="1"/>
      <c r="T530" s="70"/>
      <c r="Y530" s="1"/>
      <c r="Z530" s="70"/>
      <c r="AE530" s="1"/>
    </row>
    <row r="531">
      <c r="B531" s="70"/>
      <c r="C531" s="104"/>
      <c r="D531" s="90"/>
      <c r="E531" s="70"/>
      <c r="G531" s="1"/>
      <c r="H531" s="70"/>
      <c r="I531" s="104"/>
      <c r="J531" s="90"/>
      <c r="K531" s="70"/>
      <c r="M531" s="1"/>
      <c r="N531" s="70"/>
      <c r="S531" s="1"/>
      <c r="T531" s="70"/>
      <c r="Y531" s="1"/>
      <c r="Z531" s="70"/>
      <c r="AE531" s="1"/>
    </row>
    <row r="532">
      <c r="B532" s="70"/>
      <c r="C532" s="104"/>
      <c r="D532" s="90"/>
      <c r="E532" s="70"/>
      <c r="G532" s="1"/>
      <c r="H532" s="70"/>
      <c r="I532" s="104"/>
      <c r="J532" s="90"/>
      <c r="K532" s="70"/>
      <c r="M532" s="1"/>
      <c r="N532" s="70"/>
      <c r="S532" s="1"/>
      <c r="T532" s="70"/>
      <c r="Y532" s="1"/>
      <c r="Z532" s="70"/>
      <c r="AE532" s="1"/>
    </row>
    <row r="533">
      <c r="B533" s="70"/>
      <c r="C533" s="104"/>
      <c r="D533" s="90"/>
      <c r="E533" s="70"/>
      <c r="G533" s="1"/>
      <c r="H533" s="70"/>
      <c r="I533" s="104"/>
      <c r="J533" s="90"/>
      <c r="K533" s="70"/>
      <c r="M533" s="1"/>
      <c r="N533" s="70"/>
      <c r="S533" s="1"/>
      <c r="T533" s="70"/>
      <c r="Y533" s="1"/>
      <c r="Z533" s="70"/>
      <c r="AE533" s="1"/>
    </row>
    <row r="534">
      <c r="B534" s="70"/>
      <c r="C534" s="104"/>
      <c r="D534" s="90"/>
      <c r="E534" s="70"/>
      <c r="G534" s="1"/>
      <c r="H534" s="70"/>
      <c r="I534" s="104"/>
      <c r="J534" s="90"/>
      <c r="K534" s="70"/>
      <c r="M534" s="1"/>
      <c r="N534" s="70"/>
      <c r="S534" s="1"/>
      <c r="T534" s="70"/>
      <c r="Y534" s="1"/>
      <c r="Z534" s="70"/>
      <c r="AE534" s="1"/>
    </row>
    <row r="535">
      <c r="B535" s="70"/>
      <c r="C535" s="104"/>
      <c r="D535" s="90"/>
      <c r="E535" s="70"/>
      <c r="G535" s="1"/>
      <c r="H535" s="70"/>
      <c r="I535" s="104"/>
      <c r="J535" s="90"/>
      <c r="K535" s="70"/>
      <c r="M535" s="1"/>
      <c r="N535" s="70"/>
      <c r="S535" s="1"/>
      <c r="T535" s="70"/>
      <c r="Y535" s="1"/>
      <c r="Z535" s="70"/>
      <c r="AE535" s="1"/>
    </row>
    <row r="536">
      <c r="B536" s="70"/>
      <c r="C536" s="104"/>
      <c r="D536" s="90"/>
      <c r="E536" s="70"/>
      <c r="G536" s="1"/>
      <c r="H536" s="70"/>
      <c r="I536" s="104"/>
      <c r="J536" s="90"/>
      <c r="K536" s="70"/>
      <c r="M536" s="1"/>
      <c r="N536" s="70"/>
      <c r="S536" s="1"/>
      <c r="T536" s="70"/>
      <c r="Y536" s="1"/>
      <c r="Z536" s="70"/>
      <c r="AE536" s="1"/>
    </row>
    <row r="537">
      <c r="B537" s="70"/>
      <c r="C537" s="104"/>
      <c r="D537" s="90"/>
      <c r="E537" s="70"/>
      <c r="G537" s="1"/>
      <c r="H537" s="70"/>
      <c r="I537" s="104"/>
      <c r="J537" s="90"/>
      <c r="K537" s="70"/>
      <c r="M537" s="1"/>
      <c r="N537" s="70"/>
      <c r="S537" s="1"/>
      <c r="T537" s="70"/>
      <c r="Y537" s="1"/>
      <c r="Z537" s="70"/>
      <c r="AE537" s="1"/>
    </row>
    <row r="538">
      <c r="B538" s="70"/>
      <c r="C538" s="104"/>
      <c r="D538" s="90"/>
      <c r="E538" s="70"/>
      <c r="G538" s="1"/>
      <c r="H538" s="70"/>
      <c r="I538" s="104"/>
      <c r="J538" s="90"/>
      <c r="K538" s="70"/>
      <c r="M538" s="1"/>
      <c r="N538" s="70"/>
      <c r="S538" s="1"/>
      <c r="T538" s="70"/>
      <c r="Y538" s="1"/>
      <c r="Z538" s="70"/>
      <c r="AE538" s="1"/>
    </row>
    <row r="539">
      <c r="B539" s="70"/>
      <c r="C539" s="104"/>
      <c r="D539" s="90"/>
      <c r="E539" s="70"/>
      <c r="G539" s="1"/>
      <c r="H539" s="70"/>
      <c r="I539" s="104"/>
      <c r="J539" s="90"/>
      <c r="K539" s="70"/>
      <c r="M539" s="1"/>
      <c r="N539" s="70"/>
      <c r="S539" s="1"/>
      <c r="T539" s="70"/>
      <c r="Y539" s="1"/>
      <c r="Z539" s="70"/>
      <c r="AE539" s="1"/>
    </row>
    <row r="540">
      <c r="B540" s="70"/>
      <c r="C540" s="104"/>
      <c r="D540" s="90"/>
      <c r="E540" s="70"/>
      <c r="G540" s="1"/>
      <c r="H540" s="70"/>
      <c r="I540" s="104"/>
      <c r="J540" s="90"/>
      <c r="K540" s="70"/>
      <c r="M540" s="1"/>
      <c r="N540" s="70"/>
      <c r="S540" s="1"/>
      <c r="T540" s="70"/>
      <c r="Y540" s="1"/>
      <c r="Z540" s="70"/>
      <c r="AE540" s="1"/>
    </row>
    <row r="541">
      <c r="B541" s="70"/>
      <c r="C541" s="104"/>
      <c r="D541" s="90"/>
      <c r="E541" s="70"/>
      <c r="G541" s="1"/>
      <c r="H541" s="70"/>
      <c r="I541" s="104"/>
      <c r="J541" s="90"/>
      <c r="K541" s="70"/>
      <c r="M541" s="1"/>
      <c r="N541" s="70"/>
      <c r="S541" s="1"/>
      <c r="T541" s="70"/>
      <c r="Y541" s="1"/>
      <c r="Z541" s="70"/>
      <c r="AE541" s="1"/>
    </row>
    <row r="542">
      <c r="B542" s="70"/>
      <c r="C542" s="104"/>
      <c r="D542" s="90"/>
      <c r="E542" s="70"/>
      <c r="G542" s="1"/>
      <c r="H542" s="70"/>
      <c r="I542" s="104"/>
      <c r="J542" s="90"/>
      <c r="K542" s="70"/>
      <c r="M542" s="1"/>
      <c r="N542" s="70"/>
      <c r="S542" s="1"/>
      <c r="T542" s="70"/>
      <c r="Y542" s="1"/>
      <c r="Z542" s="70"/>
      <c r="AE542" s="1"/>
    </row>
    <row r="543">
      <c r="B543" s="70"/>
      <c r="C543" s="104"/>
      <c r="D543" s="90"/>
      <c r="E543" s="70"/>
      <c r="G543" s="1"/>
      <c r="H543" s="70"/>
      <c r="I543" s="104"/>
      <c r="J543" s="90"/>
      <c r="K543" s="70"/>
      <c r="M543" s="1"/>
      <c r="N543" s="70"/>
      <c r="S543" s="1"/>
      <c r="T543" s="70"/>
      <c r="Y543" s="1"/>
      <c r="Z543" s="70"/>
      <c r="AE543" s="1"/>
    </row>
    <row r="544">
      <c r="B544" s="70"/>
      <c r="C544" s="104"/>
      <c r="D544" s="90"/>
      <c r="E544" s="70"/>
      <c r="G544" s="1"/>
      <c r="H544" s="70"/>
      <c r="I544" s="104"/>
      <c r="J544" s="90"/>
      <c r="K544" s="70"/>
      <c r="M544" s="1"/>
      <c r="N544" s="70"/>
      <c r="S544" s="1"/>
      <c r="T544" s="70"/>
      <c r="Y544" s="1"/>
      <c r="Z544" s="70"/>
      <c r="AE544" s="1"/>
    </row>
    <row r="545">
      <c r="B545" s="70"/>
      <c r="C545" s="104"/>
      <c r="D545" s="90"/>
      <c r="E545" s="70"/>
      <c r="G545" s="1"/>
      <c r="H545" s="70"/>
      <c r="I545" s="104"/>
      <c r="J545" s="90"/>
      <c r="K545" s="70"/>
      <c r="M545" s="1"/>
      <c r="N545" s="70"/>
      <c r="S545" s="1"/>
      <c r="T545" s="70"/>
      <c r="Y545" s="1"/>
      <c r="Z545" s="70"/>
      <c r="AE545" s="1"/>
    </row>
    <row r="546">
      <c r="B546" s="70"/>
      <c r="C546" s="104"/>
      <c r="D546" s="90"/>
      <c r="E546" s="70"/>
      <c r="G546" s="1"/>
      <c r="H546" s="70"/>
      <c r="I546" s="104"/>
      <c r="J546" s="90"/>
      <c r="K546" s="70"/>
      <c r="M546" s="1"/>
      <c r="N546" s="70"/>
      <c r="S546" s="1"/>
      <c r="T546" s="70"/>
      <c r="Y546" s="1"/>
      <c r="Z546" s="70"/>
      <c r="AE546" s="1"/>
    </row>
    <row r="547">
      <c r="B547" s="70"/>
      <c r="C547" s="104"/>
      <c r="D547" s="90"/>
      <c r="E547" s="70"/>
      <c r="G547" s="1"/>
      <c r="H547" s="70"/>
      <c r="I547" s="104"/>
      <c r="J547" s="90"/>
      <c r="K547" s="70"/>
      <c r="M547" s="1"/>
      <c r="N547" s="70"/>
      <c r="S547" s="1"/>
      <c r="T547" s="70"/>
      <c r="Y547" s="1"/>
      <c r="Z547" s="70"/>
      <c r="AE547" s="1"/>
    </row>
    <row r="548">
      <c r="B548" s="70"/>
      <c r="C548" s="104"/>
      <c r="D548" s="90"/>
      <c r="E548" s="70"/>
      <c r="G548" s="1"/>
      <c r="H548" s="70"/>
      <c r="I548" s="104"/>
      <c r="J548" s="90"/>
      <c r="K548" s="70"/>
      <c r="M548" s="1"/>
      <c r="N548" s="70"/>
      <c r="S548" s="1"/>
      <c r="T548" s="70"/>
      <c r="Y548" s="1"/>
      <c r="Z548" s="70"/>
      <c r="AE548" s="1"/>
    </row>
    <row r="549">
      <c r="B549" s="70"/>
      <c r="C549" s="104"/>
      <c r="D549" s="90"/>
      <c r="E549" s="70"/>
      <c r="G549" s="1"/>
      <c r="H549" s="70"/>
      <c r="I549" s="104"/>
      <c r="J549" s="90"/>
      <c r="K549" s="70"/>
      <c r="M549" s="1"/>
      <c r="N549" s="70"/>
      <c r="S549" s="1"/>
      <c r="T549" s="70"/>
      <c r="Y549" s="1"/>
      <c r="Z549" s="70"/>
      <c r="AE549" s="1"/>
    </row>
    <row r="550">
      <c r="B550" s="70"/>
      <c r="C550" s="104"/>
      <c r="D550" s="90"/>
      <c r="E550" s="70"/>
      <c r="G550" s="1"/>
      <c r="H550" s="70"/>
      <c r="I550" s="104"/>
      <c r="J550" s="90"/>
      <c r="K550" s="70"/>
      <c r="M550" s="1"/>
      <c r="N550" s="70"/>
      <c r="S550" s="1"/>
      <c r="T550" s="70"/>
      <c r="Y550" s="1"/>
      <c r="Z550" s="70"/>
      <c r="AE550" s="1"/>
    </row>
    <row r="551">
      <c r="B551" s="70"/>
      <c r="C551" s="104"/>
      <c r="D551" s="90"/>
      <c r="E551" s="70"/>
      <c r="G551" s="1"/>
      <c r="H551" s="70"/>
      <c r="I551" s="104"/>
      <c r="J551" s="90"/>
      <c r="K551" s="70"/>
      <c r="M551" s="1"/>
      <c r="N551" s="70"/>
      <c r="S551" s="1"/>
      <c r="T551" s="70"/>
      <c r="Y551" s="1"/>
      <c r="Z551" s="70"/>
      <c r="AE551" s="1"/>
    </row>
    <row r="552">
      <c r="B552" s="70"/>
      <c r="C552" s="104"/>
      <c r="D552" s="90"/>
      <c r="E552" s="70"/>
      <c r="G552" s="1"/>
      <c r="H552" s="70"/>
      <c r="I552" s="104"/>
      <c r="J552" s="90"/>
      <c r="K552" s="70"/>
      <c r="M552" s="1"/>
      <c r="N552" s="70"/>
      <c r="S552" s="1"/>
      <c r="T552" s="70"/>
      <c r="Y552" s="1"/>
      <c r="Z552" s="70"/>
      <c r="AE552" s="1"/>
    </row>
    <row r="553">
      <c r="B553" s="70"/>
      <c r="C553" s="104"/>
      <c r="D553" s="90"/>
      <c r="E553" s="70"/>
      <c r="G553" s="1"/>
      <c r="H553" s="70"/>
      <c r="I553" s="104"/>
      <c r="J553" s="90"/>
      <c r="K553" s="70"/>
      <c r="M553" s="1"/>
      <c r="N553" s="70"/>
      <c r="S553" s="1"/>
      <c r="T553" s="70"/>
      <c r="Y553" s="1"/>
      <c r="Z553" s="70"/>
      <c r="AE553" s="1"/>
    </row>
    <row r="554">
      <c r="B554" s="70"/>
      <c r="C554" s="104"/>
      <c r="D554" s="90"/>
      <c r="E554" s="70"/>
      <c r="G554" s="1"/>
      <c r="H554" s="70"/>
      <c r="I554" s="104"/>
      <c r="J554" s="90"/>
      <c r="K554" s="70"/>
      <c r="M554" s="1"/>
      <c r="N554" s="70"/>
      <c r="S554" s="1"/>
      <c r="T554" s="70"/>
      <c r="Y554" s="1"/>
      <c r="Z554" s="70"/>
      <c r="AE554" s="1"/>
    </row>
    <row r="555">
      <c r="B555" s="70"/>
      <c r="C555" s="104"/>
      <c r="D555" s="90"/>
      <c r="E555" s="70"/>
      <c r="G555" s="1"/>
      <c r="H555" s="70"/>
      <c r="I555" s="104"/>
      <c r="J555" s="90"/>
      <c r="K555" s="70"/>
      <c r="M555" s="1"/>
      <c r="N555" s="70"/>
      <c r="S555" s="1"/>
      <c r="T555" s="70"/>
      <c r="Y555" s="1"/>
      <c r="Z555" s="70"/>
      <c r="AE555" s="1"/>
    </row>
    <row r="556">
      <c r="B556" s="70"/>
      <c r="C556" s="104"/>
      <c r="D556" s="90"/>
      <c r="E556" s="70"/>
      <c r="G556" s="1"/>
      <c r="H556" s="70"/>
      <c r="I556" s="104"/>
      <c r="J556" s="90"/>
      <c r="K556" s="70"/>
      <c r="M556" s="1"/>
      <c r="N556" s="70"/>
      <c r="S556" s="1"/>
      <c r="T556" s="70"/>
      <c r="Y556" s="1"/>
      <c r="Z556" s="70"/>
      <c r="AE556" s="1"/>
    </row>
    <row r="557">
      <c r="B557" s="70"/>
      <c r="C557" s="104"/>
      <c r="D557" s="90"/>
      <c r="E557" s="70"/>
      <c r="G557" s="1"/>
      <c r="H557" s="70"/>
      <c r="I557" s="104"/>
      <c r="J557" s="90"/>
      <c r="K557" s="70"/>
      <c r="M557" s="1"/>
      <c r="N557" s="70"/>
      <c r="S557" s="1"/>
      <c r="T557" s="70"/>
      <c r="Y557" s="1"/>
      <c r="Z557" s="70"/>
      <c r="AE557" s="1"/>
    </row>
    <row r="558">
      <c r="B558" s="70"/>
      <c r="C558" s="104"/>
      <c r="D558" s="90"/>
      <c r="E558" s="70"/>
      <c r="G558" s="1"/>
      <c r="H558" s="70"/>
      <c r="I558" s="104"/>
      <c r="J558" s="90"/>
      <c r="K558" s="70"/>
      <c r="M558" s="1"/>
      <c r="N558" s="70"/>
      <c r="S558" s="1"/>
      <c r="T558" s="70"/>
      <c r="Y558" s="1"/>
      <c r="Z558" s="70"/>
      <c r="AE558" s="1"/>
    </row>
    <row r="559">
      <c r="B559" s="70"/>
      <c r="C559" s="104"/>
      <c r="D559" s="90"/>
      <c r="E559" s="70"/>
      <c r="G559" s="1"/>
      <c r="H559" s="70"/>
      <c r="I559" s="104"/>
      <c r="J559" s="90"/>
      <c r="K559" s="70"/>
      <c r="M559" s="1"/>
      <c r="N559" s="70"/>
      <c r="S559" s="1"/>
      <c r="T559" s="70"/>
      <c r="Y559" s="1"/>
      <c r="Z559" s="70"/>
      <c r="AE559" s="1"/>
    </row>
    <row r="560">
      <c r="B560" s="70"/>
      <c r="C560" s="104"/>
      <c r="D560" s="90"/>
      <c r="E560" s="70"/>
      <c r="G560" s="1"/>
      <c r="H560" s="70"/>
      <c r="I560" s="104"/>
      <c r="J560" s="90"/>
      <c r="K560" s="70"/>
      <c r="M560" s="1"/>
      <c r="N560" s="70"/>
      <c r="S560" s="1"/>
      <c r="T560" s="70"/>
      <c r="Y560" s="1"/>
      <c r="Z560" s="70"/>
      <c r="AE560" s="1"/>
    </row>
    <row r="561">
      <c r="B561" s="70"/>
      <c r="C561" s="104"/>
      <c r="D561" s="90"/>
      <c r="E561" s="70"/>
      <c r="G561" s="1"/>
      <c r="H561" s="70"/>
      <c r="I561" s="104"/>
      <c r="J561" s="90"/>
      <c r="K561" s="70"/>
      <c r="M561" s="1"/>
      <c r="N561" s="70"/>
      <c r="S561" s="1"/>
      <c r="T561" s="70"/>
      <c r="Y561" s="1"/>
      <c r="Z561" s="70"/>
      <c r="AE561" s="1"/>
    </row>
    <row r="562">
      <c r="B562" s="70"/>
      <c r="C562" s="104"/>
      <c r="D562" s="90"/>
      <c r="E562" s="70"/>
      <c r="G562" s="1"/>
      <c r="H562" s="70"/>
      <c r="I562" s="104"/>
      <c r="J562" s="90"/>
      <c r="K562" s="70"/>
      <c r="M562" s="1"/>
      <c r="N562" s="70"/>
      <c r="S562" s="1"/>
      <c r="T562" s="70"/>
      <c r="Y562" s="1"/>
      <c r="Z562" s="70"/>
      <c r="AE562" s="1"/>
    </row>
    <row r="563">
      <c r="B563" s="70"/>
      <c r="C563" s="104"/>
      <c r="D563" s="90"/>
      <c r="E563" s="70"/>
      <c r="G563" s="1"/>
      <c r="H563" s="70"/>
      <c r="I563" s="104"/>
      <c r="J563" s="90"/>
      <c r="K563" s="70"/>
      <c r="M563" s="1"/>
      <c r="N563" s="70"/>
      <c r="S563" s="1"/>
      <c r="T563" s="70"/>
      <c r="Y563" s="1"/>
      <c r="Z563" s="70"/>
      <c r="AE563" s="1"/>
    </row>
    <row r="564">
      <c r="B564" s="70"/>
      <c r="C564" s="104"/>
      <c r="D564" s="90"/>
      <c r="E564" s="70"/>
      <c r="G564" s="1"/>
      <c r="H564" s="70"/>
      <c r="I564" s="104"/>
      <c r="J564" s="90"/>
      <c r="K564" s="70"/>
      <c r="M564" s="1"/>
      <c r="N564" s="70"/>
      <c r="S564" s="1"/>
      <c r="T564" s="70"/>
      <c r="Y564" s="1"/>
      <c r="Z564" s="70"/>
      <c r="AE564" s="1"/>
    </row>
    <row r="565">
      <c r="B565" s="70"/>
      <c r="C565" s="104"/>
      <c r="D565" s="90"/>
      <c r="E565" s="70"/>
      <c r="G565" s="1"/>
      <c r="H565" s="70"/>
      <c r="I565" s="104"/>
      <c r="J565" s="90"/>
      <c r="K565" s="70"/>
      <c r="M565" s="1"/>
      <c r="N565" s="70"/>
      <c r="S565" s="1"/>
      <c r="T565" s="70"/>
      <c r="Y565" s="1"/>
      <c r="Z565" s="70"/>
      <c r="AE565" s="1"/>
    </row>
    <row r="566">
      <c r="B566" s="70"/>
      <c r="C566" s="104"/>
      <c r="D566" s="90"/>
      <c r="E566" s="70"/>
      <c r="G566" s="1"/>
      <c r="H566" s="70"/>
      <c r="I566" s="104"/>
      <c r="J566" s="90"/>
      <c r="K566" s="70"/>
      <c r="M566" s="1"/>
      <c r="N566" s="70"/>
      <c r="S566" s="1"/>
      <c r="T566" s="70"/>
      <c r="Y566" s="1"/>
      <c r="Z566" s="70"/>
      <c r="AE566" s="1"/>
    </row>
    <row r="567">
      <c r="B567" s="70"/>
      <c r="C567" s="104"/>
      <c r="D567" s="90"/>
      <c r="E567" s="70"/>
      <c r="G567" s="1"/>
      <c r="H567" s="70"/>
      <c r="I567" s="104"/>
      <c r="J567" s="90"/>
      <c r="K567" s="70"/>
      <c r="M567" s="1"/>
      <c r="N567" s="70"/>
      <c r="S567" s="1"/>
      <c r="T567" s="70"/>
      <c r="Y567" s="1"/>
      <c r="Z567" s="70"/>
      <c r="AE567" s="1"/>
    </row>
    <row r="568">
      <c r="B568" s="70"/>
      <c r="C568" s="104"/>
      <c r="D568" s="90"/>
      <c r="E568" s="70"/>
      <c r="G568" s="1"/>
      <c r="H568" s="70"/>
      <c r="I568" s="104"/>
      <c r="J568" s="90"/>
      <c r="K568" s="70"/>
      <c r="M568" s="1"/>
      <c r="N568" s="70"/>
      <c r="S568" s="1"/>
      <c r="T568" s="70"/>
      <c r="Y568" s="1"/>
      <c r="Z568" s="70"/>
      <c r="AE568" s="1"/>
    </row>
    <row r="569">
      <c r="B569" s="70"/>
      <c r="C569" s="104"/>
      <c r="D569" s="90"/>
      <c r="E569" s="70"/>
      <c r="G569" s="1"/>
      <c r="H569" s="70"/>
      <c r="I569" s="104"/>
      <c r="J569" s="90"/>
      <c r="K569" s="70"/>
      <c r="M569" s="1"/>
      <c r="N569" s="70"/>
      <c r="S569" s="1"/>
      <c r="T569" s="70"/>
      <c r="Y569" s="1"/>
      <c r="Z569" s="70"/>
      <c r="AE569" s="1"/>
    </row>
    <row r="570">
      <c r="B570" s="70"/>
      <c r="C570" s="104"/>
      <c r="D570" s="90"/>
      <c r="E570" s="70"/>
      <c r="G570" s="1"/>
      <c r="H570" s="70"/>
      <c r="I570" s="104"/>
      <c r="J570" s="90"/>
      <c r="K570" s="70"/>
      <c r="M570" s="1"/>
      <c r="N570" s="70"/>
      <c r="S570" s="1"/>
      <c r="T570" s="70"/>
      <c r="Y570" s="1"/>
      <c r="Z570" s="70"/>
      <c r="AE570" s="1"/>
    </row>
    <row r="571">
      <c r="B571" s="70"/>
      <c r="C571" s="104"/>
      <c r="D571" s="90"/>
      <c r="E571" s="70"/>
      <c r="G571" s="1"/>
      <c r="H571" s="70"/>
      <c r="I571" s="104"/>
      <c r="J571" s="90"/>
      <c r="K571" s="70"/>
      <c r="M571" s="1"/>
      <c r="N571" s="70"/>
      <c r="S571" s="1"/>
      <c r="T571" s="70"/>
      <c r="Y571" s="1"/>
      <c r="Z571" s="70"/>
      <c r="AE571" s="1"/>
    </row>
    <row r="572">
      <c r="B572" s="70"/>
      <c r="C572" s="104"/>
      <c r="D572" s="90"/>
      <c r="E572" s="70"/>
      <c r="G572" s="1"/>
      <c r="H572" s="70"/>
      <c r="I572" s="104"/>
      <c r="J572" s="90"/>
      <c r="K572" s="70"/>
      <c r="M572" s="1"/>
      <c r="N572" s="70"/>
      <c r="S572" s="1"/>
      <c r="T572" s="70"/>
      <c r="Y572" s="1"/>
      <c r="Z572" s="70"/>
      <c r="AE572" s="1"/>
    </row>
    <row r="573">
      <c r="B573" s="70"/>
      <c r="C573" s="104"/>
      <c r="D573" s="90"/>
      <c r="E573" s="70"/>
      <c r="G573" s="1"/>
      <c r="H573" s="70"/>
      <c r="I573" s="104"/>
      <c r="J573" s="90"/>
      <c r="K573" s="70"/>
      <c r="M573" s="1"/>
      <c r="N573" s="70"/>
      <c r="S573" s="1"/>
      <c r="T573" s="70"/>
      <c r="Y573" s="1"/>
      <c r="Z573" s="70"/>
      <c r="AE573" s="1"/>
    </row>
    <row r="574">
      <c r="B574" s="70"/>
      <c r="C574" s="104"/>
      <c r="D574" s="90"/>
      <c r="E574" s="70"/>
      <c r="G574" s="1"/>
      <c r="H574" s="70"/>
      <c r="I574" s="104"/>
      <c r="J574" s="90"/>
      <c r="K574" s="70"/>
      <c r="M574" s="1"/>
      <c r="N574" s="70"/>
      <c r="S574" s="1"/>
      <c r="T574" s="70"/>
      <c r="Y574" s="1"/>
      <c r="Z574" s="70"/>
      <c r="AE574" s="1"/>
    </row>
    <row r="575">
      <c r="B575" s="70"/>
      <c r="C575" s="104"/>
      <c r="D575" s="90"/>
      <c r="E575" s="70"/>
      <c r="G575" s="1"/>
      <c r="H575" s="70"/>
      <c r="I575" s="104"/>
      <c r="J575" s="90"/>
      <c r="K575" s="70"/>
      <c r="M575" s="1"/>
      <c r="N575" s="70"/>
      <c r="S575" s="1"/>
      <c r="T575" s="70"/>
      <c r="Y575" s="1"/>
      <c r="Z575" s="70"/>
      <c r="AE575" s="1"/>
    </row>
    <row r="576">
      <c r="B576" s="70"/>
      <c r="C576" s="104"/>
      <c r="D576" s="90"/>
      <c r="E576" s="70"/>
      <c r="G576" s="1"/>
      <c r="H576" s="70"/>
      <c r="I576" s="104"/>
      <c r="J576" s="90"/>
      <c r="K576" s="70"/>
      <c r="M576" s="1"/>
      <c r="N576" s="70"/>
      <c r="S576" s="1"/>
      <c r="T576" s="70"/>
      <c r="Y576" s="1"/>
      <c r="Z576" s="70"/>
      <c r="AE576" s="1"/>
    </row>
    <row r="577">
      <c r="B577" s="70"/>
      <c r="C577" s="104"/>
      <c r="D577" s="90"/>
      <c r="E577" s="70"/>
      <c r="G577" s="1"/>
      <c r="H577" s="70"/>
      <c r="I577" s="104"/>
      <c r="J577" s="90"/>
      <c r="K577" s="70"/>
      <c r="M577" s="1"/>
      <c r="N577" s="70"/>
      <c r="S577" s="1"/>
      <c r="T577" s="70"/>
      <c r="Y577" s="1"/>
      <c r="Z577" s="70"/>
      <c r="AE577" s="1"/>
    </row>
    <row r="578">
      <c r="B578" s="70"/>
      <c r="C578" s="104"/>
      <c r="D578" s="90"/>
      <c r="E578" s="70"/>
      <c r="G578" s="1"/>
      <c r="H578" s="70"/>
      <c r="I578" s="104"/>
      <c r="J578" s="90"/>
      <c r="K578" s="70"/>
      <c r="M578" s="1"/>
      <c r="N578" s="70"/>
      <c r="S578" s="1"/>
      <c r="T578" s="70"/>
      <c r="Y578" s="1"/>
      <c r="Z578" s="70"/>
      <c r="AE578" s="1"/>
    </row>
    <row r="579">
      <c r="B579" s="70"/>
      <c r="C579" s="104"/>
      <c r="D579" s="90"/>
      <c r="E579" s="70"/>
      <c r="G579" s="1"/>
      <c r="H579" s="70"/>
      <c r="I579" s="104"/>
      <c r="J579" s="90"/>
      <c r="K579" s="70"/>
      <c r="M579" s="1"/>
      <c r="N579" s="70"/>
      <c r="S579" s="1"/>
      <c r="T579" s="70"/>
      <c r="Y579" s="1"/>
      <c r="Z579" s="70"/>
      <c r="AE579" s="1"/>
    </row>
    <row r="580">
      <c r="B580" s="70"/>
      <c r="C580" s="104"/>
      <c r="D580" s="90"/>
      <c r="E580" s="70"/>
      <c r="G580" s="1"/>
      <c r="H580" s="70"/>
      <c r="I580" s="104"/>
      <c r="J580" s="90"/>
      <c r="K580" s="70"/>
      <c r="M580" s="1"/>
      <c r="N580" s="70"/>
      <c r="S580" s="1"/>
      <c r="T580" s="70"/>
      <c r="Y580" s="1"/>
      <c r="Z580" s="70"/>
      <c r="AE580" s="1"/>
    </row>
    <row r="581">
      <c r="B581" s="70"/>
      <c r="C581" s="104"/>
      <c r="D581" s="90"/>
      <c r="E581" s="70"/>
      <c r="G581" s="1"/>
      <c r="H581" s="70"/>
      <c r="I581" s="104"/>
      <c r="J581" s="90"/>
      <c r="K581" s="70"/>
      <c r="M581" s="1"/>
      <c r="N581" s="70"/>
      <c r="S581" s="1"/>
      <c r="T581" s="70"/>
      <c r="Y581" s="1"/>
      <c r="Z581" s="70"/>
      <c r="AE581" s="1"/>
    </row>
    <row r="582">
      <c r="B582" s="70"/>
      <c r="C582" s="104"/>
      <c r="D582" s="90"/>
      <c r="E582" s="70"/>
      <c r="G582" s="1"/>
      <c r="H582" s="70"/>
      <c r="I582" s="104"/>
      <c r="J582" s="90"/>
      <c r="K582" s="70"/>
      <c r="M582" s="1"/>
      <c r="N582" s="70"/>
      <c r="S582" s="1"/>
      <c r="T582" s="70"/>
      <c r="Y582" s="1"/>
      <c r="Z582" s="70"/>
      <c r="AE582" s="1"/>
    </row>
    <row r="583">
      <c r="B583" s="70"/>
      <c r="C583" s="104"/>
      <c r="D583" s="90"/>
      <c r="E583" s="70"/>
      <c r="G583" s="1"/>
      <c r="H583" s="70"/>
      <c r="I583" s="104"/>
      <c r="J583" s="90"/>
      <c r="K583" s="70"/>
      <c r="M583" s="1"/>
      <c r="N583" s="70"/>
      <c r="S583" s="1"/>
      <c r="T583" s="70"/>
      <c r="Y583" s="1"/>
      <c r="Z583" s="70"/>
      <c r="AE583" s="1"/>
    </row>
    <row r="584">
      <c r="B584" s="70"/>
      <c r="C584" s="104"/>
      <c r="D584" s="90"/>
      <c r="E584" s="70"/>
      <c r="G584" s="1"/>
      <c r="H584" s="70"/>
      <c r="I584" s="104"/>
      <c r="J584" s="90"/>
      <c r="K584" s="70"/>
      <c r="M584" s="1"/>
      <c r="N584" s="70"/>
      <c r="S584" s="1"/>
      <c r="T584" s="70"/>
      <c r="Y584" s="1"/>
      <c r="Z584" s="70"/>
      <c r="AE584" s="1"/>
    </row>
    <row r="585">
      <c r="B585" s="70"/>
      <c r="C585" s="104"/>
      <c r="D585" s="90"/>
      <c r="E585" s="70"/>
      <c r="G585" s="1"/>
      <c r="H585" s="70"/>
      <c r="I585" s="104"/>
      <c r="J585" s="90"/>
      <c r="K585" s="70"/>
      <c r="M585" s="1"/>
      <c r="N585" s="70"/>
      <c r="S585" s="1"/>
      <c r="T585" s="70"/>
      <c r="Y585" s="1"/>
      <c r="Z585" s="70"/>
      <c r="AE585" s="1"/>
    </row>
    <row r="586">
      <c r="B586" s="70"/>
      <c r="C586" s="104"/>
      <c r="D586" s="90"/>
      <c r="E586" s="70"/>
      <c r="G586" s="1"/>
      <c r="H586" s="70"/>
      <c r="I586" s="104"/>
      <c r="J586" s="90"/>
      <c r="K586" s="70"/>
      <c r="M586" s="1"/>
      <c r="N586" s="70"/>
      <c r="S586" s="1"/>
      <c r="T586" s="70"/>
      <c r="Y586" s="1"/>
      <c r="Z586" s="70"/>
      <c r="AE586" s="1"/>
    </row>
    <row r="587">
      <c r="B587" s="70"/>
      <c r="C587" s="104"/>
      <c r="D587" s="90"/>
      <c r="E587" s="70"/>
      <c r="G587" s="1"/>
      <c r="H587" s="70"/>
      <c r="I587" s="104"/>
      <c r="J587" s="90"/>
      <c r="K587" s="70"/>
      <c r="M587" s="1"/>
      <c r="N587" s="70"/>
      <c r="S587" s="1"/>
      <c r="T587" s="70"/>
      <c r="Y587" s="1"/>
      <c r="Z587" s="70"/>
      <c r="AE587" s="1"/>
    </row>
    <row r="588">
      <c r="B588" s="70"/>
      <c r="C588" s="104"/>
      <c r="D588" s="90"/>
      <c r="E588" s="70"/>
      <c r="G588" s="1"/>
      <c r="H588" s="70"/>
      <c r="I588" s="104"/>
      <c r="J588" s="90"/>
      <c r="K588" s="70"/>
      <c r="M588" s="1"/>
      <c r="N588" s="70"/>
      <c r="S588" s="1"/>
      <c r="T588" s="70"/>
      <c r="Y588" s="1"/>
      <c r="Z588" s="70"/>
      <c r="AE588" s="1"/>
    </row>
    <row r="589">
      <c r="B589" s="70"/>
      <c r="C589" s="104"/>
      <c r="D589" s="90"/>
      <c r="E589" s="70"/>
      <c r="G589" s="1"/>
      <c r="H589" s="70"/>
      <c r="I589" s="104"/>
      <c r="J589" s="90"/>
      <c r="K589" s="70"/>
      <c r="M589" s="1"/>
      <c r="N589" s="70"/>
      <c r="S589" s="1"/>
      <c r="T589" s="70"/>
      <c r="Y589" s="1"/>
      <c r="Z589" s="70"/>
      <c r="AE589" s="1"/>
    </row>
    <row r="590">
      <c r="B590" s="70"/>
      <c r="C590" s="104"/>
      <c r="D590" s="90"/>
      <c r="E590" s="70"/>
      <c r="G590" s="1"/>
      <c r="H590" s="70"/>
      <c r="I590" s="104"/>
      <c r="J590" s="90"/>
      <c r="K590" s="70"/>
      <c r="M590" s="1"/>
      <c r="N590" s="70"/>
      <c r="S590" s="1"/>
      <c r="T590" s="70"/>
      <c r="Y590" s="1"/>
      <c r="Z590" s="70"/>
      <c r="AE590" s="1"/>
    </row>
    <row r="591">
      <c r="B591" s="70"/>
      <c r="C591" s="104"/>
      <c r="D591" s="90"/>
      <c r="E591" s="70"/>
      <c r="G591" s="1"/>
      <c r="H591" s="70"/>
      <c r="I591" s="104"/>
      <c r="J591" s="90"/>
      <c r="K591" s="70"/>
      <c r="M591" s="1"/>
      <c r="N591" s="70"/>
      <c r="S591" s="1"/>
      <c r="T591" s="70"/>
      <c r="Y591" s="1"/>
      <c r="Z591" s="70"/>
      <c r="AE591" s="1"/>
    </row>
    <row r="592">
      <c r="B592" s="70"/>
      <c r="C592" s="104"/>
      <c r="D592" s="90"/>
      <c r="E592" s="70"/>
      <c r="G592" s="1"/>
      <c r="H592" s="70"/>
      <c r="I592" s="104"/>
      <c r="J592" s="90"/>
      <c r="K592" s="70"/>
      <c r="M592" s="1"/>
      <c r="N592" s="70"/>
      <c r="S592" s="1"/>
      <c r="T592" s="70"/>
      <c r="Y592" s="1"/>
      <c r="Z592" s="70"/>
      <c r="AE592" s="1"/>
    </row>
    <row r="593">
      <c r="B593" s="70"/>
      <c r="C593" s="104"/>
      <c r="D593" s="90"/>
      <c r="E593" s="70"/>
      <c r="G593" s="1"/>
      <c r="H593" s="70"/>
      <c r="I593" s="104"/>
      <c r="J593" s="90"/>
      <c r="K593" s="70"/>
      <c r="M593" s="1"/>
      <c r="N593" s="70"/>
      <c r="S593" s="1"/>
      <c r="T593" s="70"/>
      <c r="Y593" s="1"/>
      <c r="Z593" s="70"/>
      <c r="AE593" s="1"/>
    </row>
    <row r="594">
      <c r="B594" s="70"/>
      <c r="C594" s="104"/>
      <c r="D594" s="90"/>
      <c r="E594" s="70"/>
      <c r="G594" s="1"/>
      <c r="H594" s="70"/>
      <c r="I594" s="104"/>
      <c r="J594" s="90"/>
      <c r="K594" s="70"/>
      <c r="M594" s="1"/>
      <c r="N594" s="70"/>
      <c r="S594" s="1"/>
      <c r="T594" s="70"/>
      <c r="Y594" s="1"/>
      <c r="Z594" s="70"/>
      <c r="AE594" s="1"/>
    </row>
    <row r="595">
      <c r="B595" s="70"/>
      <c r="C595" s="104"/>
      <c r="D595" s="90"/>
      <c r="E595" s="70"/>
      <c r="G595" s="1"/>
      <c r="H595" s="70"/>
      <c r="I595" s="104"/>
      <c r="J595" s="90"/>
      <c r="K595" s="70"/>
      <c r="M595" s="1"/>
      <c r="N595" s="70"/>
      <c r="S595" s="1"/>
      <c r="T595" s="70"/>
      <c r="Y595" s="1"/>
      <c r="Z595" s="70"/>
      <c r="AE595" s="1"/>
    </row>
    <row r="596">
      <c r="B596" s="70"/>
      <c r="C596" s="104"/>
      <c r="D596" s="90"/>
      <c r="E596" s="70"/>
      <c r="G596" s="1"/>
      <c r="H596" s="70"/>
      <c r="I596" s="104"/>
      <c r="J596" s="90"/>
      <c r="K596" s="70"/>
      <c r="M596" s="1"/>
      <c r="N596" s="70"/>
      <c r="S596" s="1"/>
      <c r="T596" s="70"/>
      <c r="Y596" s="1"/>
      <c r="Z596" s="70"/>
      <c r="AE596" s="1"/>
    </row>
    <row r="597">
      <c r="B597" s="70"/>
      <c r="C597" s="104"/>
      <c r="D597" s="90"/>
      <c r="E597" s="70"/>
      <c r="G597" s="1"/>
      <c r="H597" s="70"/>
      <c r="I597" s="104"/>
      <c r="J597" s="90"/>
      <c r="K597" s="70"/>
      <c r="M597" s="1"/>
      <c r="N597" s="70"/>
      <c r="S597" s="1"/>
      <c r="T597" s="70"/>
      <c r="Y597" s="1"/>
      <c r="Z597" s="70"/>
      <c r="AE597" s="1"/>
    </row>
    <row r="598">
      <c r="B598" s="70"/>
      <c r="C598" s="104"/>
      <c r="D598" s="90"/>
      <c r="E598" s="70"/>
      <c r="G598" s="1"/>
      <c r="H598" s="70"/>
      <c r="I598" s="104"/>
      <c r="J598" s="90"/>
      <c r="K598" s="70"/>
      <c r="M598" s="1"/>
      <c r="N598" s="70"/>
      <c r="S598" s="1"/>
      <c r="T598" s="70"/>
      <c r="Y598" s="1"/>
      <c r="Z598" s="70"/>
      <c r="AE598" s="1"/>
    </row>
    <row r="599">
      <c r="B599" s="70"/>
      <c r="C599" s="104"/>
      <c r="D599" s="90"/>
      <c r="E599" s="70"/>
      <c r="G599" s="1"/>
      <c r="H599" s="70"/>
      <c r="I599" s="104"/>
      <c r="J599" s="90"/>
      <c r="K599" s="70"/>
      <c r="M599" s="1"/>
      <c r="N599" s="70"/>
      <c r="S599" s="1"/>
      <c r="T599" s="70"/>
      <c r="Y599" s="1"/>
      <c r="Z599" s="70"/>
      <c r="AE599" s="1"/>
    </row>
    <row r="600">
      <c r="B600" s="70"/>
      <c r="C600" s="104"/>
      <c r="D600" s="90"/>
      <c r="E600" s="70"/>
      <c r="G600" s="1"/>
      <c r="H600" s="70"/>
      <c r="I600" s="104"/>
      <c r="J600" s="90"/>
      <c r="K600" s="70"/>
      <c r="M600" s="1"/>
      <c r="N600" s="70"/>
      <c r="S600" s="1"/>
      <c r="T600" s="70"/>
      <c r="Y600" s="1"/>
      <c r="Z600" s="70"/>
      <c r="AE600" s="1"/>
    </row>
    <row r="601">
      <c r="B601" s="70"/>
      <c r="C601" s="104"/>
      <c r="D601" s="90"/>
      <c r="E601" s="70"/>
      <c r="G601" s="1"/>
      <c r="H601" s="70"/>
      <c r="I601" s="104"/>
      <c r="J601" s="90"/>
      <c r="K601" s="70"/>
      <c r="M601" s="1"/>
      <c r="N601" s="70"/>
      <c r="S601" s="1"/>
      <c r="T601" s="70"/>
      <c r="Y601" s="1"/>
      <c r="Z601" s="70"/>
      <c r="AE601" s="1"/>
    </row>
    <row r="602">
      <c r="B602" s="70"/>
      <c r="C602" s="104"/>
      <c r="D602" s="90"/>
      <c r="E602" s="70"/>
      <c r="G602" s="1"/>
      <c r="H602" s="70"/>
      <c r="I602" s="104"/>
      <c r="J602" s="90"/>
      <c r="K602" s="70"/>
      <c r="M602" s="1"/>
      <c r="N602" s="70"/>
      <c r="S602" s="1"/>
      <c r="T602" s="70"/>
      <c r="Y602" s="1"/>
      <c r="Z602" s="70"/>
      <c r="AE602" s="1"/>
    </row>
    <row r="603">
      <c r="B603" s="70"/>
      <c r="C603" s="104"/>
      <c r="D603" s="90"/>
      <c r="E603" s="70"/>
      <c r="G603" s="1"/>
      <c r="H603" s="70"/>
      <c r="I603" s="104"/>
      <c r="J603" s="90"/>
      <c r="K603" s="70"/>
      <c r="M603" s="1"/>
      <c r="N603" s="70"/>
      <c r="S603" s="1"/>
      <c r="T603" s="70"/>
      <c r="Y603" s="1"/>
      <c r="Z603" s="70"/>
      <c r="AE603" s="1"/>
    </row>
    <row r="604">
      <c r="B604" s="70"/>
      <c r="C604" s="104"/>
      <c r="D604" s="90"/>
      <c r="E604" s="70"/>
      <c r="G604" s="1"/>
      <c r="H604" s="70"/>
      <c r="I604" s="104"/>
      <c r="J604" s="90"/>
      <c r="K604" s="70"/>
      <c r="M604" s="1"/>
      <c r="N604" s="70"/>
      <c r="S604" s="1"/>
      <c r="T604" s="70"/>
      <c r="Y604" s="1"/>
      <c r="Z604" s="70"/>
      <c r="AE604" s="1"/>
    </row>
    <row r="605">
      <c r="B605" s="70"/>
      <c r="C605" s="104"/>
      <c r="D605" s="90"/>
      <c r="E605" s="70"/>
      <c r="G605" s="1"/>
      <c r="H605" s="70"/>
      <c r="I605" s="104"/>
      <c r="J605" s="90"/>
      <c r="K605" s="70"/>
      <c r="M605" s="1"/>
      <c r="N605" s="70"/>
      <c r="S605" s="1"/>
      <c r="T605" s="70"/>
      <c r="Y605" s="1"/>
      <c r="Z605" s="70"/>
      <c r="AE605" s="1"/>
    </row>
    <row r="606">
      <c r="B606" s="70"/>
      <c r="C606" s="104"/>
      <c r="D606" s="90"/>
      <c r="E606" s="70"/>
      <c r="G606" s="1"/>
      <c r="H606" s="70"/>
      <c r="I606" s="104"/>
      <c r="J606" s="90"/>
      <c r="K606" s="70"/>
      <c r="M606" s="1"/>
      <c r="N606" s="70"/>
      <c r="S606" s="1"/>
      <c r="T606" s="70"/>
      <c r="Y606" s="1"/>
      <c r="Z606" s="70"/>
      <c r="AE606" s="1"/>
    </row>
    <row r="607">
      <c r="B607" s="70"/>
      <c r="C607" s="104"/>
      <c r="D607" s="90"/>
      <c r="E607" s="70"/>
      <c r="G607" s="1"/>
      <c r="H607" s="70"/>
      <c r="I607" s="104"/>
      <c r="J607" s="90"/>
      <c r="K607" s="70"/>
      <c r="M607" s="1"/>
      <c r="N607" s="70"/>
      <c r="S607" s="1"/>
      <c r="T607" s="70"/>
      <c r="Y607" s="1"/>
      <c r="Z607" s="70"/>
      <c r="AE607" s="1"/>
    </row>
    <row r="608">
      <c r="B608" s="70"/>
      <c r="C608" s="104"/>
      <c r="D608" s="90"/>
      <c r="E608" s="70"/>
      <c r="G608" s="1"/>
      <c r="H608" s="70"/>
      <c r="I608" s="104"/>
      <c r="J608" s="90"/>
      <c r="K608" s="70"/>
      <c r="M608" s="1"/>
      <c r="N608" s="70"/>
      <c r="S608" s="1"/>
      <c r="T608" s="70"/>
      <c r="Y608" s="1"/>
      <c r="Z608" s="70"/>
      <c r="AE608" s="1"/>
    </row>
    <row r="609">
      <c r="B609" s="70"/>
      <c r="C609" s="104"/>
      <c r="D609" s="90"/>
      <c r="E609" s="70"/>
      <c r="G609" s="1"/>
      <c r="H609" s="70"/>
      <c r="I609" s="104"/>
      <c r="J609" s="90"/>
      <c r="K609" s="70"/>
      <c r="M609" s="1"/>
      <c r="N609" s="70"/>
      <c r="S609" s="1"/>
      <c r="T609" s="70"/>
      <c r="Y609" s="1"/>
      <c r="Z609" s="70"/>
      <c r="AE609" s="1"/>
    </row>
    <row r="610">
      <c r="B610" s="70"/>
      <c r="C610" s="104"/>
      <c r="D610" s="90"/>
      <c r="E610" s="70"/>
      <c r="G610" s="1"/>
      <c r="H610" s="70"/>
      <c r="I610" s="104"/>
      <c r="J610" s="90"/>
      <c r="K610" s="70"/>
      <c r="M610" s="1"/>
      <c r="N610" s="70"/>
      <c r="S610" s="1"/>
      <c r="T610" s="70"/>
      <c r="Y610" s="1"/>
      <c r="Z610" s="70"/>
      <c r="AE610" s="1"/>
    </row>
    <row r="611">
      <c r="B611" s="70"/>
      <c r="C611" s="104"/>
      <c r="D611" s="90"/>
      <c r="E611" s="70"/>
      <c r="G611" s="1"/>
      <c r="H611" s="70"/>
      <c r="I611" s="104"/>
      <c r="J611" s="90"/>
      <c r="K611" s="70"/>
      <c r="M611" s="1"/>
      <c r="N611" s="70"/>
      <c r="S611" s="1"/>
      <c r="T611" s="70"/>
      <c r="Y611" s="1"/>
      <c r="Z611" s="70"/>
      <c r="AE611" s="1"/>
    </row>
    <row r="612">
      <c r="B612" s="70"/>
      <c r="C612" s="104"/>
      <c r="D612" s="90"/>
      <c r="E612" s="70"/>
      <c r="G612" s="1"/>
      <c r="H612" s="70"/>
      <c r="I612" s="104"/>
      <c r="J612" s="90"/>
      <c r="K612" s="70"/>
      <c r="M612" s="1"/>
      <c r="N612" s="70"/>
      <c r="S612" s="1"/>
      <c r="T612" s="70"/>
      <c r="Y612" s="1"/>
      <c r="Z612" s="70"/>
      <c r="AE612" s="1"/>
    </row>
    <row r="613">
      <c r="B613" s="70"/>
      <c r="C613" s="104"/>
      <c r="D613" s="90"/>
      <c r="E613" s="70"/>
      <c r="G613" s="1"/>
      <c r="H613" s="70"/>
      <c r="I613" s="104"/>
      <c r="J613" s="90"/>
      <c r="K613" s="70"/>
      <c r="M613" s="1"/>
      <c r="N613" s="70"/>
      <c r="S613" s="1"/>
      <c r="T613" s="70"/>
      <c r="Y613" s="1"/>
      <c r="Z613" s="70"/>
      <c r="AE613" s="1"/>
    </row>
    <row r="614">
      <c r="B614" s="70"/>
      <c r="C614" s="104"/>
      <c r="D614" s="90"/>
      <c r="E614" s="70"/>
      <c r="G614" s="1"/>
      <c r="H614" s="70"/>
      <c r="I614" s="104"/>
      <c r="J614" s="90"/>
      <c r="K614" s="70"/>
      <c r="M614" s="1"/>
      <c r="N614" s="70"/>
      <c r="S614" s="1"/>
      <c r="T614" s="70"/>
      <c r="Y614" s="1"/>
      <c r="Z614" s="70"/>
      <c r="AE614" s="1"/>
    </row>
    <row r="615">
      <c r="B615" s="70"/>
      <c r="C615" s="104"/>
      <c r="D615" s="90"/>
      <c r="E615" s="70"/>
      <c r="G615" s="1"/>
      <c r="H615" s="70"/>
      <c r="I615" s="104"/>
      <c r="J615" s="90"/>
      <c r="K615" s="70"/>
      <c r="M615" s="1"/>
      <c r="N615" s="70"/>
      <c r="S615" s="1"/>
      <c r="T615" s="70"/>
      <c r="Y615" s="1"/>
      <c r="Z615" s="70"/>
      <c r="AE615" s="1"/>
    </row>
    <row r="616">
      <c r="B616" s="70"/>
      <c r="C616" s="104"/>
      <c r="D616" s="90"/>
      <c r="E616" s="70"/>
      <c r="G616" s="1"/>
      <c r="H616" s="70"/>
      <c r="I616" s="104"/>
      <c r="J616" s="90"/>
      <c r="K616" s="70"/>
      <c r="M616" s="1"/>
      <c r="N616" s="70"/>
      <c r="S616" s="1"/>
      <c r="T616" s="70"/>
      <c r="Y616" s="1"/>
      <c r="Z616" s="70"/>
      <c r="AE616" s="1"/>
    </row>
    <row r="617">
      <c r="B617" s="70"/>
      <c r="C617" s="104"/>
      <c r="D617" s="90"/>
      <c r="E617" s="70"/>
      <c r="G617" s="1"/>
      <c r="H617" s="70"/>
      <c r="I617" s="104"/>
      <c r="J617" s="90"/>
      <c r="K617" s="70"/>
      <c r="M617" s="1"/>
      <c r="N617" s="70"/>
      <c r="S617" s="1"/>
      <c r="T617" s="70"/>
      <c r="Y617" s="1"/>
      <c r="Z617" s="70"/>
      <c r="AE617" s="1"/>
    </row>
    <row r="618">
      <c r="B618" s="70"/>
      <c r="C618" s="104"/>
      <c r="D618" s="90"/>
      <c r="E618" s="70"/>
      <c r="G618" s="1"/>
      <c r="H618" s="70"/>
      <c r="I618" s="104"/>
      <c r="J618" s="90"/>
      <c r="K618" s="70"/>
      <c r="M618" s="1"/>
      <c r="N618" s="70"/>
      <c r="S618" s="1"/>
      <c r="T618" s="70"/>
      <c r="Y618" s="1"/>
      <c r="Z618" s="70"/>
      <c r="AE618" s="1"/>
    </row>
    <row r="619">
      <c r="B619" s="70"/>
      <c r="C619" s="104"/>
      <c r="D619" s="90"/>
      <c r="E619" s="70"/>
      <c r="G619" s="1"/>
      <c r="H619" s="70"/>
      <c r="I619" s="104"/>
      <c r="J619" s="90"/>
      <c r="K619" s="70"/>
      <c r="M619" s="1"/>
      <c r="N619" s="70"/>
      <c r="S619" s="1"/>
      <c r="T619" s="70"/>
      <c r="Y619" s="1"/>
      <c r="Z619" s="70"/>
      <c r="AE619" s="1"/>
    </row>
    <row r="620">
      <c r="B620" s="70"/>
      <c r="C620" s="104"/>
      <c r="D620" s="90"/>
      <c r="E620" s="70"/>
      <c r="G620" s="1"/>
      <c r="H620" s="70"/>
      <c r="I620" s="104"/>
      <c r="J620" s="90"/>
      <c r="K620" s="70"/>
      <c r="M620" s="1"/>
      <c r="N620" s="70"/>
      <c r="S620" s="1"/>
      <c r="T620" s="70"/>
      <c r="Y620" s="1"/>
      <c r="Z620" s="70"/>
      <c r="AE620" s="1"/>
    </row>
    <row r="621">
      <c r="B621" s="70"/>
      <c r="C621" s="104"/>
      <c r="D621" s="90"/>
      <c r="E621" s="70"/>
      <c r="G621" s="1"/>
      <c r="H621" s="70"/>
      <c r="I621" s="104"/>
      <c r="J621" s="90"/>
      <c r="K621" s="70"/>
      <c r="M621" s="1"/>
      <c r="N621" s="70"/>
      <c r="S621" s="1"/>
      <c r="T621" s="70"/>
      <c r="Y621" s="1"/>
      <c r="Z621" s="70"/>
      <c r="AE621" s="1"/>
    </row>
    <row r="622">
      <c r="B622" s="70"/>
      <c r="C622" s="104"/>
      <c r="D622" s="90"/>
      <c r="E622" s="70"/>
      <c r="G622" s="1"/>
      <c r="H622" s="70"/>
      <c r="I622" s="104"/>
      <c r="J622" s="90"/>
      <c r="K622" s="70"/>
      <c r="M622" s="1"/>
      <c r="N622" s="70"/>
      <c r="S622" s="1"/>
      <c r="T622" s="70"/>
      <c r="Y622" s="1"/>
      <c r="Z622" s="70"/>
      <c r="AE622" s="1"/>
    </row>
    <row r="623">
      <c r="B623" s="70"/>
      <c r="C623" s="104"/>
      <c r="D623" s="90"/>
      <c r="E623" s="70"/>
      <c r="G623" s="1"/>
      <c r="H623" s="70"/>
      <c r="I623" s="104"/>
      <c r="J623" s="90"/>
      <c r="K623" s="70"/>
      <c r="M623" s="1"/>
      <c r="N623" s="70"/>
      <c r="S623" s="1"/>
      <c r="T623" s="70"/>
      <c r="Y623" s="1"/>
      <c r="Z623" s="70"/>
      <c r="AE623" s="1"/>
    </row>
    <row r="624">
      <c r="B624" s="70"/>
      <c r="C624" s="104"/>
      <c r="D624" s="90"/>
      <c r="E624" s="70"/>
      <c r="G624" s="1"/>
      <c r="H624" s="70"/>
      <c r="I624" s="104"/>
      <c r="J624" s="90"/>
      <c r="K624" s="70"/>
      <c r="M624" s="1"/>
      <c r="N624" s="70"/>
      <c r="S624" s="1"/>
      <c r="T624" s="70"/>
      <c r="Y624" s="1"/>
      <c r="Z624" s="70"/>
      <c r="AE624" s="1"/>
    </row>
    <row r="625">
      <c r="B625" s="70"/>
      <c r="C625" s="104"/>
      <c r="D625" s="90"/>
      <c r="E625" s="70"/>
      <c r="G625" s="1"/>
      <c r="H625" s="70"/>
      <c r="I625" s="104"/>
      <c r="J625" s="90"/>
      <c r="K625" s="70"/>
      <c r="M625" s="1"/>
      <c r="N625" s="70"/>
      <c r="S625" s="1"/>
      <c r="T625" s="70"/>
      <c r="Y625" s="1"/>
      <c r="Z625" s="70"/>
      <c r="AE625" s="1"/>
    </row>
    <row r="626">
      <c r="B626" s="70"/>
      <c r="C626" s="104"/>
      <c r="D626" s="90"/>
      <c r="E626" s="70"/>
      <c r="G626" s="1"/>
      <c r="H626" s="70"/>
      <c r="I626" s="104"/>
      <c r="J626" s="90"/>
      <c r="K626" s="70"/>
      <c r="M626" s="1"/>
      <c r="N626" s="70"/>
      <c r="S626" s="1"/>
      <c r="T626" s="70"/>
      <c r="Y626" s="1"/>
      <c r="Z626" s="70"/>
      <c r="AE626" s="1"/>
    </row>
    <row r="627">
      <c r="B627" s="70"/>
      <c r="C627" s="104"/>
      <c r="D627" s="90"/>
      <c r="E627" s="70"/>
      <c r="G627" s="1"/>
      <c r="H627" s="70"/>
      <c r="I627" s="104"/>
      <c r="J627" s="90"/>
      <c r="K627" s="70"/>
      <c r="M627" s="1"/>
      <c r="N627" s="70"/>
      <c r="S627" s="1"/>
      <c r="T627" s="70"/>
      <c r="Y627" s="1"/>
      <c r="Z627" s="70"/>
      <c r="AE627" s="1"/>
    </row>
    <row r="628">
      <c r="B628" s="70"/>
      <c r="C628" s="104"/>
      <c r="D628" s="90"/>
      <c r="E628" s="70"/>
      <c r="G628" s="1"/>
      <c r="H628" s="70"/>
      <c r="I628" s="104"/>
      <c r="J628" s="90"/>
      <c r="K628" s="70"/>
      <c r="M628" s="1"/>
      <c r="N628" s="70"/>
      <c r="S628" s="1"/>
      <c r="T628" s="70"/>
      <c r="Y628" s="1"/>
      <c r="Z628" s="70"/>
      <c r="AE628" s="1"/>
    </row>
    <row r="629">
      <c r="B629" s="70"/>
      <c r="C629" s="104"/>
      <c r="D629" s="90"/>
      <c r="E629" s="70"/>
      <c r="G629" s="1"/>
      <c r="H629" s="70"/>
      <c r="I629" s="104"/>
      <c r="J629" s="90"/>
      <c r="K629" s="70"/>
      <c r="M629" s="1"/>
      <c r="N629" s="70"/>
      <c r="S629" s="1"/>
      <c r="T629" s="70"/>
      <c r="Y629" s="1"/>
      <c r="Z629" s="70"/>
      <c r="AE629" s="1"/>
    </row>
    <row r="630">
      <c r="B630" s="70"/>
      <c r="C630" s="104"/>
      <c r="D630" s="90"/>
      <c r="E630" s="70"/>
      <c r="G630" s="1"/>
      <c r="H630" s="70"/>
      <c r="I630" s="104"/>
      <c r="J630" s="90"/>
      <c r="K630" s="70"/>
      <c r="M630" s="1"/>
      <c r="N630" s="70"/>
      <c r="S630" s="1"/>
      <c r="T630" s="70"/>
      <c r="Y630" s="1"/>
      <c r="Z630" s="70"/>
      <c r="AE630" s="1"/>
    </row>
    <row r="631">
      <c r="B631" s="70"/>
      <c r="C631" s="104"/>
      <c r="D631" s="90"/>
      <c r="E631" s="70"/>
      <c r="G631" s="1"/>
      <c r="H631" s="70"/>
      <c r="I631" s="104"/>
      <c r="J631" s="90"/>
      <c r="K631" s="70"/>
      <c r="M631" s="1"/>
      <c r="N631" s="70"/>
      <c r="S631" s="1"/>
      <c r="T631" s="70"/>
      <c r="Y631" s="1"/>
      <c r="Z631" s="70"/>
      <c r="AE631" s="1"/>
    </row>
    <row r="632">
      <c r="B632" s="70"/>
      <c r="C632" s="104"/>
      <c r="D632" s="90"/>
      <c r="E632" s="70"/>
      <c r="G632" s="1"/>
      <c r="H632" s="70"/>
      <c r="I632" s="104"/>
      <c r="J632" s="90"/>
      <c r="K632" s="70"/>
      <c r="M632" s="1"/>
      <c r="N632" s="70"/>
      <c r="S632" s="1"/>
      <c r="T632" s="70"/>
      <c r="Y632" s="1"/>
      <c r="Z632" s="70"/>
      <c r="AE632" s="1"/>
    </row>
    <row r="633">
      <c r="B633" s="70"/>
      <c r="C633" s="104"/>
      <c r="D633" s="90"/>
      <c r="E633" s="70"/>
      <c r="G633" s="1"/>
      <c r="H633" s="70"/>
      <c r="I633" s="104"/>
      <c r="J633" s="90"/>
      <c r="K633" s="70"/>
      <c r="M633" s="1"/>
      <c r="N633" s="70"/>
      <c r="S633" s="1"/>
      <c r="T633" s="70"/>
      <c r="Y633" s="1"/>
      <c r="Z633" s="70"/>
      <c r="AE633" s="1"/>
    </row>
    <row r="634">
      <c r="B634" s="70"/>
      <c r="C634" s="104"/>
      <c r="D634" s="90"/>
      <c r="E634" s="70"/>
      <c r="G634" s="1"/>
      <c r="H634" s="70"/>
      <c r="I634" s="104"/>
      <c r="J634" s="90"/>
      <c r="K634" s="70"/>
      <c r="M634" s="1"/>
      <c r="N634" s="70"/>
      <c r="S634" s="1"/>
      <c r="T634" s="70"/>
      <c r="Y634" s="1"/>
      <c r="Z634" s="70"/>
      <c r="AE634" s="1"/>
    </row>
    <row r="635">
      <c r="B635" s="70"/>
      <c r="C635" s="104"/>
      <c r="D635" s="90"/>
      <c r="E635" s="70"/>
      <c r="G635" s="1"/>
      <c r="H635" s="70"/>
      <c r="I635" s="104"/>
      <c r="J635" s="90"/>
      <c r="K635" s="70"/>
      <c r="M635" s="1"/>
      <c r="N635" s="70"/>
      <c r="S635" s="1"/>
      <c r="T635" s="70"/>
      <c r="Y635" s="1"/>
      <c r="Z635" s="70"/>
      <c r="AE635" s="1"/>
    </row>
    <row r="636">
      <c r="B636" s="70"/>
      <c r="C636" s="104"/>
      <c r="D636" s="90"/>
      <c r="E636" s="70"/>
      <c r="G636" s="1"/>
      <c r="H636" s="70"/>
      <c r="I636" s="104"/>
      <c r="J636" s="90"/>
      <c r="K636" s="70"/>
      <c r="M636" s="1"/>
      <c r="N636" s="70"/>
      <c r="S636" s="1"/>
      <c r="T636" s="70"/>
      <c r="Y636" s="1"/>
      <c r="Z636" s="70"/>
      <c r="AE636" s="1"/>
    </row>
    <row r="637">
      <c r="B637" s="70"/>
      <c r="C637" s="104"/>
      <c r="D637" s="90"/>
      <c r="E637" s="70"/>
      <c r="G637" s="1"/>
      <c r="H637" s="70"/>
      <c r="I637" s="104"/>
      <c r="J637" s="90"/>
      <c r="K637" s="70"/>
      <c r="M637" s="1"/>
      <c r="N637" s="70"/>
      <c r="S637" s="1"/>
      <c r="T637" s="70"/>
      <c r="Y637" s="1"/>
      <c r="Z637" s="70"/>
      <c r="AE637" s="1"/>
    </row>
    <row r="638">
      <c r="B638" s="70"/>
      <c r="C638" s="104"/>
      <c r="D638" s="90"/>
      <c r="E638" s="70"/>
      <c r="G638" s="1"/>
      <c r="H638" s="70"/>
      <c r="I638" s="104"/>
      <c r="J638" s="90"/>
      <c r="K638" s="70"/>
      <c r="M638" s="1"/>
      <c r="N638" s="70"/>
      <c r="S638" s="1"/>
      <c r="T638" s="70"/>
      <c r="Y638" s="1"/>
      <c r="Z638" s="70"/>
      <c r="AE638" s="1"/>
    </row>
    <row r="639">
      <c r="B639" s="70"/>
      <c r="C639" s="104"/>
      <c r="D639" s="90"/>
      <c r="E639" s="70"/>
      <c r="G639" s="1"/>
      <c r="H639" s="70"/>
      <c r="I639" s="104"/>
      <c r="J639" s="90"/>
      <c r="K639" s="70"/>
      <c r="M639" s="1"/>
      <c r="N639" s="70"/>
      <c r="S639" s="1"/>
      <c r="T639" s="70"/>
      <c r="Y639" s="1"/>
      <c r="Z639" s="70"/>
      <c r="AE639" s="1"/>
    </row>
    <row r="640">
      <c r="B640" s="70"/>
      <c r="C640" s="104"/>
      <c r="D640" s="90"/>
      <c r="E640" s="70"/>
      <c r="G640" s="1"/>
      <c r="H640" s="70"/>
      <c r="I640" s="104"/>
      <c r="J640" s="90"/>
      <c r="K640" s="70"/>
      <c r="M640" s="1"/>
      <c r="N640" s="70"/>
      <c r="S640" s="1"/>
      <c r="T640" s="70"/>
      <c r="Y640" s="1"/>
      <c r="Z640" s="70"/>
      <c r="AE640" s="1"/>
    </row>
    <row r="641">
      <c r="B641" s="70"/>
      <c r="C641" s="104"/>
      <c r="D641" s="90"/>
      <c r="E641" s="70"/>
      <c r="G641" s="1"/>
      <c r="H641" s="70"/>
      <c r="I641" s="104"/>
      <c r="J641" s="90"/>
      <c r="K641" s="70"/>
      <c r="M641" s="1"/>
      <c r="N641" s="70"/>
      <c r="S641" s="1"/>
      <c r="T641" s="70"/>
      <c r="Y641" s="1"/>
      <c r="Z641" s="70"/>
      <c r="AE641" s="1"/>
    </row>
    <row r="642">
      <c r="B642" s="70"/>
      <c r="C642" s="104"/>
      <c r="D642" s="90"/>
      <c r="E642" s="70"/>
      <c r="G642" s="1"/>
      <c r="H642" s="70"/>
      <c r="I642" s="104"/>
      <c r="J642" s="90"/>
      <c r="K642" s="70"/>
      <c r="M642" s="1"/>
      <c r="N642" s="70"/>
      <c r="S642" s="1"/>
      <c r="T642" s="70"/>
      <c r="Y642" s="1"/>
      <c r="Z642" s="70"/>
      <c r="AE642" s="1"/>
    </row>
    <row r="643">
      <c r="B643" s="70"/>
      <c r="C643" s="104"/>
      <c r="D643" s="90"/>
      <c r="E643" s="70"/>
      <c r="G643" s="1"/>
      <c r="H643" s="70"/>
      <c r="I643" s="104"/>
      <c r="J643" s="90"/>
      <c r="K643" s="70"/>
      <c r="M643" s="1"/>
      <c r="N643" s="70"/>
      <c r="S643" s="1"/>
      <c r="T643" s="70"/>
      <c r="Y643" s="1"/>
      <c r="Z643" s="70"/>
      <c r="AE643" s="1"/>
    </row>
    <row r="644">
      <c r="B644" s="70"/>
      <c r="C644" s="104"/>
      <c r="D644" s="90"/>
      <c r="E644" s="70"/>
      <c r="G644" s="1"/>
      <c r="H644" s="70"/>
      <c r="I644" s="104"/>
      <c r="J644" s="90"/>
      <c r="K644" s="70"/>
      <c r="M644" s="1"/>
      <c r="N644" s="70"/>
      <c r="S644" s="1"/>
      <c r="T644" s="70"/>
      <c r="Y644" s="1"/>
      <c r="Z644" s="70"/>
      <c r="AE644" s="1"/>
    </row>
    <row r="645">
      <c r="B645" s="70"/>
      <c r="C645" s="104"/>
      <c r="D645" s="90"/>
      <c r="E645" s="70"/>
      <c r="G645" s="1"/>
      <c r="H645" s="70"/>
      <c r="I645" s="104"/>
      <c r="J645" s="90"/>
      <c r="K645" s="70"/>
      <c r="M645" s="1"/>
      <c r="N645" s="70"/>
      <c r="S645" s="1"/>
      <c r="T645" s="70"/>
      <c r="Y645" s="1"/>
      <c r="Z645" s="70"/>
      <c r="AE645" s="1"/>
    </row>
    <row r="646">
      <c r="B646" s="70"/>
      <c r="C646" s="104"/>
      <c r="D646" s="90"/>
      <c r="E646" s="70"/>
      <c r="G646" s="1"/>
      <c r="H646" s="70"/>
      <c r="I646" s="104"/>
      <c r="J646" s="90"/>
      <c r="K646" s="70"/>
      <c r="M646" s="1"/>
      <c r="N646" s="70"/>
      <c r="S646" s="1"/>
      <c r="T646" s="70"/>
      <c r="Y646" s="1"/>
      <c r="Z646" s="70"/>
      <c r="AE646" s="1"/>
    </row>
    <row r="647">
      <c r="B647" s="70"/>
      <c r="C647" s="104"/>
      <c r="D647" s="90"/>
      <c r="E647" s="70"/>
      <c r="G647" s="1"/>
      <c r="H647" s="70"/>
      <c r="I647" s="104"/>
      <c r="J647" s="90"/>
      <c r="K647" s="70"/>
      <c r="M647" s="1"/>
      <c r="N647" s="70"/>
      <c r="S647" s="1"/>
      <c r="T647" s="70"/>
      <c r="Y647" s="1"/>
      <c r="Z647" s="70"/>
      <c r="AE647" s="1"/>
    </row>
    <row r="648">
      <c r="B648" s="70"/>
      <c r="C648" s="104"/>
      <c r="D648" s="90"/>
      <c r="E648" s="70"/>
      <c r="G648" s="1"/>
      <c r="H648" s="70"/>
      <c r="I648" s="104"/>
      <c r="J648" s="90"/>
      <c r="K648" s="70"/>
      <c r="M648" s="1"/>
      <c r="N648" s="70"/>
      <c r="S648" s="1"/>
      <c r="T648" s="70"/>
      <c r="Y648" s="1"/>
      <c r="Z648" s="70"/>
      <c r="AE648" s="1"/>
    </row>
    <row r="649">
      <c r="B649" s="70"/>
      <c r="C649" s="104"/>
      <c r="D649" s="90"/>
      <c r="E649" s="70"/>
      <c r="G649" s="1"/>
      <c r="H649" s="70"/>
      <c r="I649" s="104"/>
      <c r="J649" s="90"/>
      <c r="K649" s="70"/>
      <c r="M649" s="1"/>
      <c r="N649" s="70"/>
      <c r="S649" s="1"/>
      <c r="T649" s="70"/>
      <c r="Y649" s="1"/>
      <c r="Z649" s="70"/>
      <c r="AE649" s="1"/>
    </row>
    <row r="650">
      <c r="B650" s="70"/>
      <c r="C650" s="104"/>
      <c r="D650" s="90"/>
      <c r="E650" s="70"/>
      <c r="G650" s="1"/>
      <c r="H650" s="70"/>
      <c r="I650" s="104"/>
      <c r="J650" s="90"/>
      <c r="K650" s="70"/>
      <c r="M650" s="1"/>
      <c r="N650" s="70"/>
      <c r="S650" s="1"/>
      <c r="T650" s="70"/>
      <c r="Y650" s="1"/>
      <c r="Z650" s="70"/>
      <c r="AE650" s="1"/>
    </row>
    <row r="651">
      <c r="B651" s="70"/>
      <c r="C651" s="104"/>
      <c r="D651" s="90"/>
      <c r="E651" s="70"/>
      <c r="G651" s="1"/>
      <c r="H651" s="70"/>
      <c r="I651" s="104"/>
      <c r="J651" s="90"/>
      <c r="K651" s="70"/>
      <c r="M651" s="1"/>
      <c r="N651" s="70"/>
      <c r="S651" s="1"/>
      <c r="T651" s="70"/>
      <c r="Y651" s="1"/>
      <c r="Z651" s="70"/>
      <c r="AE651" s="1"/>
    </row>
    <row r="652">
      <c r="B652" s="70"/>
      <c r="C652" s="104"/>
      <c r="D652" s="90"/>
      <c r="E652" s="70"/>
      <c r="G652" s="1"/>
      <c r="H652" s="70"/>
      <c r="I652" s="104"/>
      <c r="J652" s="90"/>
      <c r="K652" s="70"/>
      <c r="M652" s="1"/>
      <c r="N652" s="70"/>
      <c r="S652" s="1"/>
      <c r="T652" s="70"/>
      <c r="Y652" s="1"/>
      <c r="Z652" s="70"/>
      <c r="AE652" s="1"/>
    </row>
    <row r="653">
      <c r="B653" s="70"/>
      <c r="C653" s="104"/>
      <c r="D653" s="90"/>
      <c r="E653" s="70"/>
      <c r="G653" s="1"/>
      <c r="H653" s="70"/>
      <c r="I653" s="104"/>
      <c r="J653" s="90"/>
      <c r="K653" s="70"/>
      <c r="M653" s="1"/>
      <c r="N653" s="70"/>
      <c r="S653" s="1"/>
      <c r="T653" s="70"/>
      <c r="Y653" s="1"/>
      <c r="Z653" s="70"/>
      <c r="AE653" s="1"/>
    </row>
    <row r="654">
      <c r="B654" s="70"/>
      <c r="C654" s="104"/>
      <c r="D654" s="90"/>
      <c r="E654" s="70"/>
      <c r="G654" s="1"/>
      <c r="H654" s="70"/>
      <c r="I654" s="104"/>
      <c r="J654" s="90"/>
      <c r="K654" s="70"/>
      <c r="M654" s="1"/>
      <c r="N654" s="70"/>
      <c r="S654" s="1"/>
      <c r="T654" s="70"/>
      <c r="Y654" s="1"/>
      <c r="Z654" s="70"/>
      <c r="AE654" s="1"/>
    </row>
    <row r="655">
      <c r="B655" s="70"/>
      <c r="C655" s="104"/>
      <c r="D655" s="90"/>
      <c r="E655" s="70"/>
      <c r="G655" s="1"/>
      <c r="H655" s="70"/>
      <c r="I655" s="104"/>
      <c r="J655" s="90"/>
      <c r="K655" s="70"/>
      <c r="M655" s="1"/>
      <c r="N655" s="70"/>
      <c r="S655" s="1"/>
      <c r="T655" s="70"/>
      <c r="Y655" s="1"/>
      <c r="Z655" s="70"/>
      <c r="AE655" s="1"/>
    </row>
    <row r="656">
      <c r="B656" s="70"/>
      <c r="C656" s="104"/>
      <c r="D656" s="90"/>
      <c r="E656" s="70"/>
      <c r="G656" s="1"/>
      <c r="H656" s="70"/>
      <c r="I656" s="104"/>
      <c r="J656" s="90"/>
      <c r="K656" s="70"/>
      <c r="M656" s="1"/>
      <c r="N656" s="70"/>
      <c r="S656" s="1"/>
      <c r="T656" s="70"/>
      <c r="Y656" s="1"/>
      <c r="Z656" s="70"/>
      <c r="AE656" s="1"/>
    </row>
    <row r="657">
      <c r="B657" s="70"/>
      <c r="C657" s="104"/>
      <c r="D657" s="90"/>
      <c r="E657" s="70"/>
      <c r="G657" s="1"/>
      <c r="H657" s="70"/>
      <c r="I657" s="104"/>
      <c r="J657" s="90"/>
      <c r="K657" s="70"/>
      <c r="M657" s="1"/>
      <c r="N657" s="70"/>
      <c r="S657" s="1"/>
      <c r="T657" s="70"/>
      <c r="Y657" s="1"/>
      <c r="Z657" s="70"/>
      <c r="AE657" s="1"/>
    </row>
    <row r="658">
      <c r="B658" s="70"/>
      <c r="C658" s="104"/>
      <c r="D658" s="90"/>
      <c r="E658" s="70"/>
      <c r="G658" s="1"/>
      <c r="H658" s="70"/>
      <c r="I658" s="104"/>
      <c r="J658" s="90"/>
      <c r="K658" s="70"/>
      <c r="M658" s="1"/>
      <c r="N658" s="70"/>
      <c r="S658" s="1"/>
      <c r="T658" s="70"/>
      <c r="Y658" s="1"/>
      <c r="Z658" s="70"/>
      <c r="AE658" s="1"/>
    </row>
    <row r="659">
      <c r="B659" s="70"/>
      <c r="C659" s="104"/>
      <c r="D659" s="90"/>
      <c r="E659" s="70"/>
      <c r="G659" s="1"/>
      <c r="H659" s="70"/>
      <c r="I659" s="104"/>
      <c r="J659" s="90"/>
      <c r="K659" s="70"/>
      <c r="M659" s="1"/>
      <c r="N659" s="70"/>
      <c r="S659" s="1"/>
      <c r="T659" s="70"/>
      <c r="Y659" s="1"/>
      <c r="Z659" s="70"/>
      <c r="AE659" s="1"/>
    </row>
    <row r="660">
      <c r="B660" s="70"/>
      <c r="C660" s="104"/>
      <c r="D660" s="90"/>
      <c r="E660" s="70"/>
      <c r="G660" s="1"/>
      <c r="H660" s="70"/>
      <c r="I660" s="104"/>
      <c r="J660" s="90"/>
      <c r="K660" s="70"/>
      <c r="M660" s="1"/>
      <c r="N660" s="70"/>
      <c r="S660" s="1"/>
      <c r="T660" s="70"/>
      <c r="Y660" s="1"/>
      <c r="Z660" s="70"/>
      <c r="AE660" s="1"/>
    </row>
    <row r="661">
      <c r="B661" s="70"/>
      <c r="C661" s="104"/>
      <c r="D661" s="90"/>
      <c r="E661" s="70"/>
      <c r="G661" s="1"/>
      <c r="H661" s="70"/>
      <c r="I661" s="104"/>
      <c r="J661" s="90"/>
      <c r="K661" s="70"/>
      <c r="M661" s="1"/>
      <c r="N661" s="70"/>
      <c r="S661" s="1"/>
      <c r="T661" s="70"/>
      <c r="Y661" s="1"/>
      <c r="Z661" s="70"/>
      <c r="AE661" s="1"/>
    </row>
    <row r="662">
      <c r="B662" s="70"/>
      <c r="C662" s="104"/>
      <c r="D662" s="90"/>
      <c r="E662" s="70"/>
      <c r="G662" s="1"/>
      <c r="H662" s="70"/>
      <c r="I662" s="104"/>
      <c r="J662" s="90"/>
      <c r="K662" s="70"/>
      <c r="M662" s="1"/>
      <c r="N662" s="70"/>
      <c r="S662" s="1"/>
      <c r="T662" s="70"/>
      <c r="Y662" s="1"/>
      <c r="Z662" s="70"/>
      <c r="AE662" s="1"/>
    </row>
    <row r="663">
      <c r="B663" s="70"/>
      <c r="C663" s="104"/>
      <c r="D663" s="90"/>
      <c r="E663" s="70"/>
      <c r="G663" s="1"/>
      <c r="H663" s="70"/>
      <c r="I663" s="104"/>
      <c r="J663" s="90"/>
      <c r="K663" s="70"/>
      <c r="M663" s="1"/>
      <c r="N663" s="70"/>
      <c r="S663" s="1"/>
      <c r="T663" s="70"/>
      <c r="Y663" s="1"/>
      <c r="Z663" s="70"/>
      <c r="AE663" s="1"/>
    </row>
    <row r="664">
      <c r="B664" s="70"/>
      <c r="C664" s="104"/>
      <c r="D664" s="90"/>
      <c r="E664" s="70"/>
      <c r="G664" s="1"/>
      <c r="H664" s="70"/>
      <c r="I664" s="104"/>
      <c r="J664" s="90"/>
      <c r="K664" s="70"/>
      <c r="M664" s="1"/>
      <c r="N664" s="70"/>
      <c r="S664" s="1"/>
      <c r="T664" s="70"/>
      <c r="Y664" s="1"/>
      <c r="Z664" s="70"/>
      <c r="AE664" s="1"/>
    </row>
    <row r="665">
      <c r="B665" s="70"/>
      <c r="C665" s="104"/>
      <c r="D665" s="90"/>
      <c r="E665" s="70"/>
      <c r="G665" s="1"/>
      <c r="H665" s="70"/>
      <c r="I665" s="104"/>
      <c r="J665" s="90"/>
      <c r="K665" s="70"/>
      <c r="M665" s="1"/>
      <c r="N665" s="70"/>
      <c r="S665" s="1"/>
      <c r="T665" s="70"/>
      <c r="Y665" s="1"/>
      <c r="Z665" s="70"/>
      <c r="AE665" s="1"/>
    </row>
    <row r="666">
      <c r="B666" s="70"/>
      <c r="C666" s="104"/>
      <c r="D666" s="90"/>
      <c r="E666" s="70"/>
      <c r="G666" s="1"/>
      <c r="H666" s="70"/>
      <c r="I666" s="104"/>
      <c r="J666" s="90"/>
      <c r="K666" s="70"/>
      <c r="M666" s="1"/>
      <c r="N666" s="70"/>
      <c r="S666" s="1"/>
      <c r="T666" s="70"/>
      <c r="Y666" s="1"/>
      <c r="Z666" s="70"/>
      <c r="AE666" s="1"/>
    </row>
    <row r="667">
      <c r="B667" s="70"/>
      <c r="C667" s="104"/>
      <c r="D667" s="90"/>
      <c r="E667" s="70"/>
      <c r="G667" s="1"/>
      <c r="H667" s="70"/>
      <c r="I667" s="104"/>
      <c r="J667" s="90"/>
      <c r="K667" s="70"/>
      <c r="M667" s="1"/>
      <c r="N667" s="70"/>
      <c r="S667" s="1"/>
      <c r="T667" s="70"/>
      <c r="Y667" s="1"/>
      <c r="Z667" s="70"/>
      <c r="AE667" s="1"/>
    </row>
    <row r="668">
      <c r="B668" s="70"/>
      <c r="C668" s="104"/>
      <c r="D668" s="90"/>
      <c r="E668" s="70"/>
      <c r="G668" s="1"/>
      <c r="H668" s="70"/>
      <c r="I668" s="104"/>
      <c r="J668" s="90"/>
      <c r="K668" s="70"/>
      <c r="M668" s="1"/>
      <c r="N668" s="70"/>
      <c r="S668" s="1"/>
      <c r="T668" s="70"/>
      <c r="Y668" s="1"/>
      <c r="Z668" s="70"/>
      <c r="AE668" s="1"/>
    </row>
    <row r="669">
      <c r="B669" s="70"/>
      <c r="C669" s="104"/>
      <c r="D669" s="90"/>
      <c r="E669" s="70"/>
      <c r="G669" s="1"/>
      <c r="H669" s="70"/>
      <c r="I669" s="104"/>
      <c r="J669" s="90"/>
      <c r="K669" s="70"/>
      <c r="M669" s="1"/>
      <c r="N669" s="70"/>
      <c r="S669" s="1"/>
      <c r="T669" s="70"/>
      <c r="Y669" s="1"/>
      <c r="Z669" s="70"/>
      <c r="AE669" s="1"/>
    </row>
    <row r="670">
      <c r="B670" s="70"/>
      <c r="C670" s="104"/>
      <c r="D670" s="90"/>
      <c r="E670" s="70"/>
      <c r="G670" s="1"/>
      <c r="H670" s="70"/>
      <c r="I670" s="104"/>
      <c r="J670" s="90"/>
      <c r="K670" s="70"/>
      <c r="M670" s="1"/>
      <c r="N670" s="70"/>
      <c r="S670" s="1"/>
      <c r="T670" s="70"/>
      <c r="Y670" s="1"/>
      <c r="Z670" s="70"/>
      <c r="AE670" s="1"/>
    </row>
    <row r="671">
      <c r="B671" s="70"/>
      <c r="C671" s="104"/>
      <c r="D671" s="90"/>
      <c r="E671" s="70"/>
      <c r="G671" s="1"/>
      <c r="H671" s="70"/>
      <c r="I671" s="104"/>
      <c r="J671" s="90"/>
      <c r="K671" s="70"/>
      <c r="M671" s="1"/>
      <c r="N671" s="70"/>
      <c r="S671" s="1"/>
      <c r="T671" s="70"/>
      <c r="Y671" s="1"/>
      <c r="Z671" s="70"/>
      <c r="AE671" s="1"/>
    </row>
    <row r="672">
      <c r="B672" s="70"/>
      <c r="C672" s="104"/>
      <c r="D672" s="90"/>
      <c r="E672" s="70"/>
      <c r="G672" s="1"/>
      <c r="H672" s="70"/>
      <c r="I672" s="104"/>
      <c r="J672" s="90"/>
      <c r="K672" s="70"/>
      <c r="M672" s="1"/>
      <c r="N672" s="70"/>
      <c r="S672" s="1"/>
      <c r="T672" s="70"/>
      <c r="Y672" s="1"/>
      <c r="Z672" s="70"/>
      <c r="AE672" s="1"/>
    </row>
    <row r="673">
      <c r="B673" s="70"/>
      <c r="C673" s="104"/>
      <c r="D673" s="90"/>
      <c r="E673" s="70"/>
      <c r="G673" s="1"/>
      <c r="H673" s="70"/>
      <c r="I673" s="104"/>
      <c r="J673" s="90"/>
      <c r="K673" s="70"/>
      <c r="M673" s="1"/>
      <c r="N673" s="70"/>
      <c r="S673" s="1"/>
      <c r="T673" s="70"/>
      <c r="Y673" s="1"/>
      <c r="Z673" s="70"/>
      <c r="AE673" s="1"/>
    </row>
    <row r="674">
      <c r="B674" s="70"/>
      <c r="C674" s="104"/>
      <c r="D674" s="90"/>
      <c r="E674" s="70"/>
      <c r="G674" s="1"/>
      <c r="H674" s="70"/>
      <c r="I674" s="104"/>
      <c r="J674" s="90"/>
      <c r="K674" s="70"/>
      <c r="M674" s="1"/>
      <c r="N674" s="70"/>
      <c r="S674" s="1"/>
      <c r="T674" s="70"/>
      <c r="Y674" s="1"/>
      <c r="Z674" s="70"/>
      <c r="AE674" s="1"/>
    </row>
    <row r="675">
      <c r="B675" s="70"/>
      <c r="C675" s="104"/>
      <c r="D675" s="90"/>
      <c r="E675" s="70"/>
      <c r="G675" s="1"/>
      <c r="H675" s="70"/>
      <c r="I675" s="104"/>
      <c r="J675" s="90"/>
      <c r="K675" s="70"/>
      <c r="M675" s="1"/>
      <c r="N675" s="70"/>
      <c r="S675" s="1"/>
      <c r="T675" s="70"/>
      <c r="Y675" s="1"/>
      <c r="Z675" s="70"/>
      <c r="AE675" s="1"/>
    </row>
    <row r="676">
      <c r="B676" s="70"/>
      <c r="C676" s="104"/>
      <c r="D676" s="90"/>
      <c r="E676" s="70"/>
      <c r="G676" s="1"/>
      <c r="H676" s="70"/>
      <c r="I676" s="104"/>
      <c r="J676" s="90"/>
      <c r="K676" s="70"/>
      <c r="M676" s="1"/>
      <c r="N676" s="70"/>
      <c r="S676" s="1"/>
      <c r="T676" s="70"/>
      <c r="Y676" s="1"/>
      <c r="Z676" s="70"/>
      <c r="AE676" s="1"/>
    </row>
    <row r="677">
      <c r="B677" s="70"/>
      <c r="C677" s="104"/>
      <c r="D677" s="90"/>
      <c r="E677" s="70"/>
      <c r="G677" s="1"/>
      <c r="H677" s="70"/>
      <c r="I677" s="104"/>
      <c r="J677" s="90"/>
      <c r="K677" s="70"/>
      <c r="M677" s="1"/>
      <c r="N677" s="70"/>
      <c r="S677" s="1"/>
      <c r="T677" s="70"/>
      <c r="Y677" s="1"/>
      <c r="Z677" s="70"/>
      <c r="AE677" s="1"/>
    </row>
    <row r="678">
      <c r="B678" s="70"/>
      <c r="C678" s="104"/>
      <c r="D678" s="90"/>
      <c r="E678" s="70"/>
      <c r="G678" s="1"/>
      <c r="H678" s="70"/>
      <c r="I678" s="104"/>
      <c r="J678" s="90"/>
      <c r="K678" s="70"/>
      <c r="M678" s="1"/>
      <c r="N678" s="70"/>
      <c r="S678" s="1"/>
      <c r="T678" s="70"/>
      <c r="Y678" s="1"/>
      <c r="Z678" s="70"/>
      <c r="AE678" s="1"/>
    </row>
    <row r="679">
      <c r="B679" s="70"/>
      <c r="C679" s="104"/>
      <c r="D679" s="90"/>
      <c r="E679" s="70"/>
      <c r="G679" s="1"/>
      <c r="H679" s="70"/>
      <c r="I679" s="104"/>
      <c r="J679" s="90"/>
      <c r="K679" s="70"/>
      <c r="M679" s="1"/>
      <c r="N679" s="70"/>
      <c r="S679" s="1"/>
      <c r="T679" s="70"/>
      <c r="Y679" s="1"/>
      <c r="Z679" s="70"/>
      <c r="AE679" s="1"/>
    </row>
    <row r="680">
      <c r="B680" s="70"/>
      <c r="C680" s="104"/>
      <c r="D680" s="90"/>
      <c r="E680" s="70"/>
      <c r="G680" s="1"/>
      <c r="H680" s="70"/>
      <c r="I680" s="104"/>
      <c r="J680" s="90"/>
      <c r="K680" s="70"/>
      <c r="M680" s="1"/>
      <c r="N680" s="70"/>
      <c r="S680" s="1"/>
      <c r="T680" s="70"/>
      <c r="Y680" s="1"/>
      <c r="Z680" s="70"/>
      <c r="AE680" s="1"/>
    </row>
    <row r="681">
      <c r="B681" s="70"/>
      <c r="C681" s="104"/>
      <c r="D681" s="90"/>
      <c r="E681" s="70"/>
      <c r="G681" s="1"/>
      <c r="H681" s="70"/>
      <c r="I681" s="104"/>
      <c r="J681" s="90"/>
      <c r="K681" s="70"/>
      <c r="M681" s="1"/>
      <c r="N681" s="70"/>
      <c r="S681" s="1"/>
      <c r="T681" s="70"/>
      <c r="Y681" s="1"/>
      <c r="Z681" s="70"/>
      <c r="AE681" s="1"/>
    </row>
    <row r="682">
      <c r="B682" s="70"/>
      <c r="C682" s="104"/>
      <c r="D682" s="90"/>
      <c r="E682" s="70"/>
      <c r="G682" s="1"/>
      <c r="H682" s="70"/>
      <c r="I682" s="104"/>
      <c r="J682" s="90"/>
      <c r="K682" s="70"/>
      <c r="M682" s="1"/>
      <c r="N682" s="70"/>
      <c r="S682" s="1"/>
      <c r="T682" s="70"/>
      <c r="Y682" s="1"/>
      <c r="Z682" s="70"/>
      <c r="AE682" s="1"/>
    </row>
    <row r="683">
      <c r="B683" s="70"/>
      <c r="C683" s="104"/>
      <c r="D683" s="90"/>
      <c r="E683" s="70"/>
      <c r="G683" s="1"/>
      <c r="H683" s="70"/>
      <c r="I683" s="104"/>
      <c r="J683" s="90"/>
      <c r="K683" s="70"/>
      <c r="M683" s="1"/>
      <c r="N683" s="70"/>
      <c r="S683" s="1"/>
      <c r="T683" s="70"/>
      <c r="Y683" s="1"/>
      <c r="Z683" s="70"/>
      <c r="AE683" s="1"/>
    </row>
    <row r="684">
      <c r="B684" s="70"/>
      <c r="C684" s="104"/>
      <c r="D684" s="90"/>
      <c r="E684" s="70"/>
      <c r="G684" s="1"/>
      <c r="H684" s="70"/>
      <c r="I684" s="104"/>
      <c r="J684" s="90"/>
      <c r="K684" s="70"/>
      <c r="M684" s="1"/>
      <c r="N684" s="70"/>
      <c r="S684" s="1"/>
      <c r="T684" s="70"/>
      <c r="Y684" s="1"/>
      <c r="Z684" s="70"/>
      <c r="AE684" s="1"/>
    </row>
    <row r="685">
      <c r="B685" s="70"/>
      <c r="C685" s="104"/>
      <c r="D685" s="90"/>
      <c r="E685" s="70"/>
      <c r="G685" s="1"/>
      <c r="H685" s="70"/>
      <c r="I685" s="104"/>
      <c r="J685" s="90"/>
      <c r="K685" s="70"/>
      <c r="M685" s="1"/>
      <c r="N685" s="70"/>
      <c r="S685" s="1"/>
      <c r="T685" s="70"/>
      <c r="Y685" s="1"/>
      <c r="Z685" s="70"/>
      <c r="AE685" s="1"/>
    </row>
    <row r="686">
      <c r="B686" s="70"/>
      <c r="C686" s="104"/>
      <c r="D686" s="90"/>
      <c r="E686" s="70"/>
      <c r="G686" s="1"/>
      <c r="H686" s="70"/>
      <c r="I686" s="104"/>
      <c r="J686" s="90"/>
      <c r="K686" s="70"/>
      <c r="M686" s="1"/>
      <c r="N686" s="70"/>
      <c r="S686" s="1"/>
      <c r="T686" s="70"/>
      <c r="Y686" s="1"/>
      <c r="Z686" s="70"/>
      <c r="AE686" s="1"/>
    </row>
    <row r="687">
      <c r="B687" s="70"/>
      <c r="C687" s="104"/>
      <c r="D687" s="90"/>
      <c r="E687" s="70"/>
      <c r="G687" s="1"/>
      <c r="H687" s="70"/>
      <c r="I687" s="104"/>
      <c r="J687" s="90"/>
      <c r="K687" s="70"/>
      <c r="M687" s="1"/>
      <c r="N687" s="70"/>
      <c r="S687" s="1"/>
      <c r="T687" s="70"/>
      <c r="Y687" s="1"/>
      <c r="Z687" s="70"/>
      <c r="AE687" s="1"/>
    </row>
    <row r="688">
      <c r="B688" s="70"/>
      <c r="C688" s="104"/>
      <c r="D688" s="90"/>
      <c r="E688" s="70"/>
      <c r="G688" s="1"/>
      <c r="H688" s="70"/>
      <c r="I688" s="104"/>
      <c r="J688" s="90"/>
      <c r="K688" s="70"/>
      <c r="M688" s="1"/>
      <c r="N688" s="70"/>
      <c r="S688" s="1"/>
      <c r="T688" s="70"/>
      <c r="Y688" s="1"/>
      <c r="Z688" s="70"/>
      <c r="AE688" s="1"/>
    </row>
    <row r="689">
      <c r="B689" s="70"/>
      <c r="C689" s="104"/>
      <c r="D689" s="90"/>
      <c r="E689" s="70"/>
      <c r="G689" s="1"/>
      <c r="H689" s="70"/>
      <c r="I689" s="104"/>
      <c r="J689" s="90"/>
      <c r="K689" s="70"/>
      <c r="M689" s="1"/>
      <c r="N689" s="70"/>
      <c r="S689" s="1"/>
      <c r="T689" s="70"/>
      <c r="Y689" s="1"/>
      <c r="Z689" s="70"/>
      <c r="AE689" s="1"/>
    </row>
    <row r="690">
      <c r="B690" s="70"/>
      <c r="C690" s="104"/>
      <c r="D690" s="90"/>
      <c r="E690" s="70"/>
      <c r="G690" s="1"/>
      <c r="H690" s="70"/>
      <c r="I690" s="104"/>
      <c r="J690" s="90"/>
      <c r="K690" s="70"/>
      <c r="M690" s="1"/>
      <c r="N690" s="70"/>
      <c r="S690" s="1"/>
      <c r="T690" s="70"/>
      <c r="Y690" s="1"/>
      <c r="Z690" s="70"/>
      <c r="AE690" s="1"/>
    </row>
    <row r="691">
      <c r="B691" s="70"/>
      <c r="C691" s="104"/>
      <c r="D691" s="90"/>
      <c r="E691" s="70"/>
      <c r="G691" s="1"/>
      <c r="H691" s="70"/>
      <c r="I691" s="104"/>
      <c r="J691" s="90"/>
      <c r="K691" s="70"/>
      <c r="M691" s="1"/>
      <c r="N691" s="70"/>
      <c r="S691" s="1"/>
      <c r="T691" s="70"/>
      <c r="Y691" s="1"/>
      <c r="Z691" s="70"/>
      <c r="AE691" s="1"/>
    </row>
    <row r="692">
      <c r="B692" s="70"/>
      <c r="C692" s="104"/>
      <c r="D692" s="90"/>
      <c r="E692" s="70"/>
      <c r="G692" s="1"/>
      <c r="H692" s="70"/>
      <c r="I692" s="104"/>
      <c r="J692" s="90"/>
      <c r="K692" s="70"/>
      <c r="M692" s="1"/>
      <c r="N692" s="70"/>
      <c r="S692" s="1"/>
      <c r="T692" s="70"/>
      <c r="Y692" s="1"/>
      <c r="Z692" s="70"/>
      <c r="AE692" s="1"/>
    </row>
    <row r="693">
      <c r="B693" s="70"/>
      <c r="C693" s="104"/>
      <c r="D693" s="90"/>
      <c r="E693" s="70"/>
      <c r="G693" s="1"/>
      <c r="H693" s="70"/>
      <c r="I693" s="104"/>
      <c r="J693" s="90"/>
      <c r="K693" s="70"/>
      <c r="M693" s="1"/>
      <c r="N693" s="70"/>
      <c r="S693" s="1"/>
      <c r="T693" s="70"/>
      <c r="Y693" s="1"/>
      <c r="Z693" s="70"/>
      <c r="AE693" s="1"/>
    </row>
    <row r="694">
      <c r="B694" s="70"/>
      <c r="C694" s="104"/>
      <c r="D694" s="90"/>
      <c r="E694" s="70"/>
      <c r="G694" s="1"/>
      <c r="H694" s="70"/>
      <c r="I694" s="104"/>
      <c r="J694" s="90"/>
      <c r="K694" s="70"/>
      <c r="M694" s="1"/>
      <c r="N694" s="70"/>
      <c r="S694" s="1"/>
      <c r="T694" s="70"/>
      <c r="Y694" s="1"/>
      <c r="Z694" s="70"/>
      <c r="AE694" s="1"/>
    </row>
    <row r="695">
      <c r="B695" s="70"/>
      <c r="C695" s="104"/>
      <c r="D695" s="90"/>
      <c r="E695" s="70"/>
      <c r="G695" s="1"/>
      <c r="H695" s="70"/>
      <c r="I695" s="104"/>
      <c r="J695" s="90"/>
      <c r="K695" s="70"/>
      <c r="M695" s="1"/>
      <c r="N695" s="70"/>
      <c r="S695" s="1"/>
      <c r="T695" s="70"/>
      <c r="Y695" s="1"/>
      <c r="Z695" s="70"/>
      <c r="AE695" s="1"/>
    </row>
    <row r="696">
      <c r="B696" s="70"/>
      <c r="C696" s="104"/>
      <c r="D696" s="90"/>
      <c r="E696" s="70"/>
      <c r="G696" s="1"/>
      <c r="H696" s="70"/>
      <c r="I696" s="104"/>
      <c r="J696" s="90"/>
      <c r="K696" s="70"/>
      <c r="M696" s="1"/>
      <c r="N696" s="70"/>
      <c r="S696" s="1"/>
      <c r="T696" s="70"/>
      <c r="Y696" s="1"/>
      <c r="Z696" s="70"/>
      <c r="AE696" s="1"/>
    </row>
    <row r="697">
      <c r="B697" s="70"/>
      <c r="C697" s="104"/>
      <c r="D697" s="90"/>
      <c r="E697" s="70"/>
      <c r="G697" s="1"/>
      <c r="H697" s="70"/>
      <c r="I697" s="104"/>
      <c r="J697" s="90"/>
      <c r="K697" s="70"/>
      <c r="M697" s="1"/>
      <c r="N697" s="70"/>
      <c r="S697" s="1"/>
      <c r="T697" s="70"/>
      <c r="Y697" s="1"/>
      <c r="Z697" s="70"/>
      <c r="AE697" s="1"/>
    </row>
    <row r="698">
      <c r="B698" s="70"/>
      <c r="C698" s="104"/>
      <c r="D698" s="90"/>
      <c r="E698" s="70"/>
      <c r="G698" s="1"/>
      <c r="H698" s="70"/>
      <c r="I698" s="104"/>
      <c r="J698" s="90"/>
      <c r="K698" s="70"/>
      <c r="M698" s="1"/>
      <c r="N698" s="70"/>
      <c r="S698" s="1"/>
      <c r="T698" s="70"/>
      <c r="Y698" s="1"/>
      <c r="Z698" s="70"/>
      <c r="AE698" s="1"/>
    </row>
    <row r="699">
      <c r="B699" s="70"/>
      <c r="C699" s="104"/>
      <c r="D699" s="90"/>
      <c r="E699" s="70"/>
      <c r="G699" s="1"/>
      <c r="H699" s="70"/>
      <c r="I699" s="104"/>
      <c r="J699" s="90"/>
      <c r="K699" s="70"/>
      <c r="M699" s="1"/>
      <c r="N699" s="70"/>
      <c r="S699" s="1"/>
      <c r="T699" s="70"/>
      <c r="Y699" s="1"/>
      <c r="Z699" s="70"/>
      <c r="AE699" s="1"/>
    </row>
    <row r="700">
      <c r="B700" s="70"/>
      <c r="C700" s="104"/>
      <c r="D700" s="90"/>
      <c r="E700" s="70"/>
      <c r="G700" s="1"/>
      <c r="H700" s="70"/>
      <c r="I700" s="104"/>
      <c r="J700" s="90"/>
      <c r="K700" s="70"/>
      <c r="M700" s="1"/>
      <c r="N700" s="70"/>
      <c r="S700" s="1"/>
      <c r="T700" s="70"/>
      <c r="Y700" s="1"/>
      <c r="Z700" s="70"/>
      <c r="AE700" s="1"/>
    </row>
    <row r="701">
      <c r="B701" s="70"/>
      <c r="C701" s="104"/>
      <c r="D701" s="90"/>
      <c r="E701" s="70"/>
      <c r="G701" s="1"/>
      <c r="H701" s="70"/>
      <c r="I701" s="104"/>
      <c r="J701" s="90"/>
      <c r="K701" s="70"/>
      <c r="M701" s="1"/>
      <c r="N701" s="70"/>
      <c r="S701" s="1"/>
      <c r="T701" s="70"/>
      <c r="Y701" s="1"/>
      <c r="Z701" s="70"/>
      <c r="AE701" s="1"/>
    </row>
    <row r="702">
      <c r="B702" s="70"/>
      <c r="C702" s="104"/>
      <c r="D702" s="90"/>
      <c r="E702" s="70"/>
      <c r="G702" s="1"/>
      <c r="H702" s="70"/>
      <c r="I702" s="104"/>
      <c r="J702" s="90"/>
      <c r="K702" s="70"/>
      <c r="M702" s="1"/>
      <c r="N702" s="70"/>
      <c r="S702" s="1"/>
      <c r="T702" s="70"/>
      <c r="Y702" s="1"/>
      <c r="Z702" s="70"/>
      <c r="AE702" s="1"/>
    </row>
    <row r="703">
      <c r="B703" s="70"/>
      <c r="C703" s="104"/>
      <c r="D703" s="90"/>
      <c r="E703" s="70"/>
      <c r="G703" s="1"/>
      <c r="H703" s="70"/>
      <c r="I703" s="104"/>
      <c r="J703" s="90"/>
      <c r="K703" s="70"/>
      <c r="M703" s="1"/>
      <c r="N703" s="70"/>
      <c r="S703" s="1"/>
      <c r="T703" s="70"/>
      <c r="Y703" s="1"/>
      <c r="Z703" s="70"/>
      <c r="AE703" s="1"/>
    </row>
    <row r="704">
      <c r="B704" s="70"/>
      <c r="C704" s="104"/>
      <c r="D704" s="90"/>
      <c r="E704" s="70"/>
      <c r="G704" s="1"/>
      <c r="H704" s="70"/>
      <c r="I704" s="104"/>
      <c r="J704" s="90"/>
      <c r="K704" s="70"/>
      <c r="M704" s="1"/>
      <c r="N704" s="70"/>
      <c r="S704" s="1"/>
      <c r="T704" s="70"/>
      <c r="Y704" s="1"/>
      <c r="Z704" s="70"/>
      <c r="AE704" s="1"/>
    </row>
    <row r="705">
      <c r="B705" s="70"/>
      <c r="C705" s="104"/>
      <c r="D705" s="90"/>
      <c r="E705" s="70"/>
      <c r="G705" s="1"/>
      <c r="H705" s="70"/>
      <c r="I705" s="104"/>
      <c r="J705" s="90"/>
      <c r="K705" s="70"/>
      <c r="M705" s="1"/>
      <c r="N705" s="70"/>
      <c r="S705" s="1"/>
      <c r="T705" s="70"/>
      <c r="Y705" s="1"/>
      <c r="Z705" s="70"/>
      <c r="AE705" s="1"/>
    </row>
    <row r="706">
      <c r="B706" s="70"/>
      <c r="C706" s="104"/>
      <c r="D706" s="90"/>
      <c r="E706" s="70"/>
      <c r="G706" s="1"/>
      <c r="H706" s="70"/>
      <c r="I706" s="104"/>
      <c r="J706" s="90"/>
      <c r="K706" s="70"/>
      <c r="M706" s="1"/>
      <c r="N706" s="70"/>
      <c r="S706" s="1"/>
      <c r="T706" s="70"/>
      <c r="Y706" s="1"/>
      <c r="Z706" s="70"/>
      <c r="AE706" s="1"/>
    </row>
    <row r="707">
      <c r="B707" s="70"/>
      <c r="C707" s="104"/>
      <c r="D707" s="90"/>
      <c r="E707" s="70"/>
      <c r="G707" s="1"/>
      <c r="H707" s="70"/>
      <c r="I707" s="104"/>
      <c r="J707" s="90"/>
      <c r="K707" s="70"/>
      <c r="M707" s="1"/>
      <c r="N707" s="70"/>
      <c r="S707" s="1"/>
      <c r="T707" s="70"/>
      <c r="Y707" s="1"/>
      <c r="Z707" s="70"/>
      <c r="AE707" s="1"/>
    </row>
    <row r="708">
      <c r="B708" s="70"/>
      <c r="C708" s="104"/>
      <c r="D708" s="90"/>
      <c r="E708" s="70"/>
      <c r="G708" s="1"/>
      <c r="H708" s="70"/>
      <c r="I708" s="104"/>
      <c r="J708" s="90"/>
      <c r="K708" s="70"/>
      <c r="M708" s="1"/>
      <c r="N708" s="70"/>
      <c r="S708" s="1"/>
      <c r="T708" s="70"/>
      <c r="Y708" s="1"/>
      <c r="Z708" s="70"/>
      <c r="AE708" s="1"/>
    </row>
    <row r="709">
      <c r="B709" s="70"/>
      <c r="C709" s="104"/>
      <c r="D709" s="90"/>
      <c r="E709" s="70"/>
      <c r="G709" s="1"/>
      <c r="H709" s="70"/>
      <c r="I709" s="104"/>
      <c r="J709" s="90"/>
      <c r="K709" s="70"/>
      <c r="M709" s="1"/>
      <c r="N709" s="70"/>
      <c r="S709" s="1"/>
      <c r="T709" s="70"/>
      <c r="Y709" s="1"/>
      <c r="Z709" s="70"/>
      <c r="AE709" s="1"/>
    </row>
    <row r="710">
      <c r="B710" s="70"/>
      <c r="C710" s="104"/>
      <c r="D710" s="90"/>
      <c r="E710" s="70"/>
      <c r="G710" s="1"/>
      <c r="H710" s="70"/>
      <c r="I710" s="104"/>
      <c r="J710" s="90"/>
      <c r="K710" s="70"/>
      <c r="M710" s="1"/>
      <c r="N710" s="70"/>
      <c r="S710" s="1"/>
      <c r="T710" s="70"/>
      <c r="Y710" s="1"/>
      <c r="Z710" s="70"/>
      <c r="AE710" s="1"/>
    </row>
    <row r="711">
      <c r="B711" s="70"/>
      <c r="C711" s="104"/>
      <c r="D711" s="90"/>
      <c r="E711" s="70"/>
      <c r="G711" s="1"/>
      <c r="H711" s="70"/>
      <c r="I711" s="104"/>
      <c r="J711" s="90"/>
      <c r="K711" s="70"/>
      <c r="M711" s="1"/>
      <c r="N711" s="70"/>
      <c r="S711" s="1"/>
      <c r="T711" s="70"/>
      <c r="Y711" s="1"/>
      <c r="Z711" s="70"/>
      <c r="AE711" s="1"/>
    </row>
    <row r="712">
      <c r="B712" s="70"/>
      <c r="C712" s="104"/>
      <c r="D712" s="90"/>
      <c r="E712" s="70"/>
      <c r="G712" s="1"/>
      <c r="H712" s="70"/>
      <c r="I712" s="104"/>
      <c r="J712" s="90"/>
      <c r="K712" s="70"/>
      <c r="M712" s="1"/>
      <c r="N712" s="70"/>
      <c r="S712" s="1"/>
      <c r="T712" s="70"/>
      <c r="Y712" s="1"/>
      <c r="Z712" s="70"/>
      <c r="AE712" s="1"/>
    </row>
    <row r="713">
      <c r="B713" s="70"/>
      <c r="C713" s="104"/>
      <c r="D713" s="90"/>
      <c r="E713" s="70"/>
      <c r="G713" s="1"/>
      <c r="H713" s="70"/>
      <c r="I713" s="104"/>
      <c r="J713" s="90"/>
      <c r="K713" s="70"/>
      <c r="M713" s="1"/>
      <c r="N713" s="70"/>
      <c r="S713" s="1"/>
      <c r="T713" s="70"/>
      <c r="Y713" s="1"/>
      <c r="Z713" s="70"/>
      <c r="AE713" s="1"/>
    </row>
    <row r="714">
      <c r="B714" s="70"/>
      <c r="C714" s="104"/>
      <c r="D714" s="90"/>
      <c r="E714" s="70"/>
      <c r="G714" s="1"/>
      <c r="H714" s="70"/>
      <c r="I714" s="104"/>
      <c r="J714" s="90"/>
      <c r="K714" s="70"/>
      <c r="M714" s="1"/>
      <c r="N714" s="70"/>
      <c r="S714" s="1"/>
      <c r="T714" s="70"/>
      <c r="Y714" s="1"/>
      <c r="Z714" s="70"/>
      <c r="AE714" s="1"/>
    </row>
    <row r="715">
      <c r="B715" s="70"/>
      <c r="C715" s="104"/>
      <c r="D715" s="90"/>
      <c r="E715" s="70"/>
      <c r="G715" s="1"/>
      <c r="H715" s="70"/>
      <c r="I715" s="104"/>
      <c r="J715" s="90"/>
      <c r="K715" s="70"/>
      <c r="M715" s="1"/>
      <c r="N715" s="70"/>
      <c r="S715" s="1"/>
      <c r="T715" s="70"/>
      <c r="Y715" s="1"/>
      <c r="Z715" s="70"/>
      <c r="AE715" s="1"/>
    </row>
    <row r="716">
      <c r="B716" s="70"/>
      <c r="C716" s="104"/>
      <c r="D716" s="90"/>
      <c r="E716" s="70"/>
      <c r="G716" s="1"/>
      <c r="H716" s="70"/>
      <c r="I716" s="104"/>
      <c r="J716" s="90"/>
      <c r="K716" s="70"/>
      <c r="M716" s="1"/>
      <c r="N716" s="70"/>
      <c r="S716" s="1"/>
      <c r="T716" s="70"/>
      <c r="Y716" s="1"/>
      <c r="Z716" s="70"/>
      <c r="AE716" s="1"/>
    </row>
    <row r="717">
      <c r="B717" s="70"/>
      <c r="C717" s="104"/>
      <c r="D717" s="90"/>
      <c r="E717" s="70"/>
      <c r="G717" s="1"/>
      <c r="H717" s="70"/>
      <c r="I717" s="104"/>
      <c r="J717" s="90"/>
      <c r="K717" s="70"/>
      <c r="M717" s="1"/>
      <c r="N717" s="70"/>
      <c r="S717" s="1"/>
      <c r="T717" s="70"/>
      <c r="Y717" s="1"/>
      <c r="Z717" s="70"/>
      <c r="AE717" s="1"/>
    </row>
    <row r="718">
      <c r="B718" s="70"/>
      <c r="C718" s="104"/>
      <c r="D718" s="90"/>
      <c r="E718" s="70"/>
      <c r="G718" s="1"/>
      <c r="H718" s="70"/>
      <c r="I718" s="104"/>
      <c r="J718" s="90"/>
      <c r="K718" s="70"/>
      <c r="M718" s="1"/>
      <c r="N718" s="70"/>
      <c r="S718" s="1"/>
      <c r="T718" s="70"/>
      <c r="Y718" s="1"/>
      <c r="Z718" s="70"/>
      <c r="AE718" s="1"/>
    </row>
    <row r="719">
      <c r="B719" s="70"/>
      <c r="C719" s="104"/>
      <c r="D719" s="90"/>
      <c r="E719" s="70"/>
      <c r="G719" s="1"/>
      <c r="H719" s="70"/>
      <c r="I719" s="104"/>
      <c r="J719" s="90"/>
      <c r="K719" s="70"/>
      <c r="M719" s="1"/>
      <c r="N719" s="70"/>
      <c r="S719" s="1"/>
      <c r="T719" s="70"/>
      <c r="Y719" s="1"/>
      <c r="Z719" s="70"/>
      <c r="AE719" s="1"/>
    </row>
    <row r="720">
      <c r="B720" s="70"/>
      <c r="C720" s="104"/>
      <c r="D720" s="90"/>
      <c r="E720" s="70"/>
      <c r="G720" s="1"/>
      <c r="H720" s="70"/>
      <c r="I720" s="104"/>
      <c r="J720" s="90"/>
      <c r="K720" s="70"/>
      <c r="M720" s="1"/>
      <c r="N720" s="70"/>
      <c r="S720" s="1"/>
      <c r="T720" s="70"/>
      <c r="Y720" s="1"/>
      <c r="Z720" s="70"/>
      <c r="AE720" s="1"/>
    </row>
    <row r="721">
      <c r="B721" s="70"/>
      <c r="C721" s="104"/>
      <c r="D721" s="90"/>
      <c r="E721" s="70"/>
      <c r="G721" s="1"/>
      <c r="H721" s="70"/>
      <c r="I721" s="104"/>
      <c r="J721" s="90"/>
      <c r="K721" s="70"/>
      <c r="M721" s="1"/>
      <c r="N721" s="70"/>
      <c r="S721" s="1"/>
      <c r="T721" s="70"/>
      <c r="Y721" s="1"/>
      <c r="Z721" s="70"/>
      <c r="AE721" s="1"/>
    </row>
    <row r="722">
      <c r="B722" s="70"/>
      <c r="C722" s="104"/>
      <c r="D722" s="90"/>
      <c r="E722" s="70"/>
      <c r="G722" s="1"/>
      <c r="H722" s="70"/>
      <c r="I722" s="104"/>
      <c r="J722" s="90"/>
      <c r="K722" s="70"/>
      <c r="M722" s="1"/>
      <c r="N722" s="70"/>
      <c r="S722" s="1"/>
      <c r="T722" s="70"/>
      <c r="Y722" s="1"/>
      <c r="Z722" s="70"/>
      <c r="AE722" s="1"/>
    </row>
    <row r="723">
      <c r="B723" s="70"/>
      <c r="C723" s="104"/>
      <c r="D723" s="90"/>
      <c r="E723" s="70"/>
      <c r="G723" s="1"/>
      <c r="H723" s="70"/>
      <c r="I723" s="104"/>
      <c r="J723" s="90"/>
      <c r="K723" s="70"/>
      <c r="M723" s="1"/>
      <c r="N723" s="70"/>
      <c r="S723" s="1"/>
      <c r="T723" s="70"/>
      <c r="Y723" s="1"/>
      <c r="Z723" s="70"/>
      <c r="AE723" s="1"/>
    </row>
    <row r="724">
      <c r="B724" s="70"/>
      <c r="C724" s="104"/>
      <c r="D724" s="90"/>
      <c r="E724" s="70"/>
      <c r="G724" s="1"/>
      <c r="H724" s="70"/>
      <c r="I724" s="104"/>
      <c r="J724" s="90"/>
      <c r="K724" s="70"/>
      <c r="M724" s="1"/>
      <c r="N724" s="70"/>
      <c r="S724" s="1"/>
      <c r="T724" s="70"/>
      <c r="Y724" s="1"/>
      <c r="Z724" s="70"/>
      <c r="AE724" s="1"/>
    </row>
    <row r="725">
      <c r="B725" s="70"/>
      <c r="C725" s="104"/>
      <c r="D725" s="90"/>
      <c r="E725" s="70"/>
      <c r="G725" s="1"/>
      <c r="H725" s="70"/>
      <c r="I725" s="104"/>
      <c r="J725" s="90"/>
      <c r="K725" s="70"/>
      <c r="M725" s="1"/>
      <c r="N725" s="70"/>
      <c r="S725" s="1"/>
      <c r="T725" s="70"/>
      <c r="Y725" s="1"/>
      <c r="Z725" s="70"/>
      <c r="AE725" s="1"/>
    </row>
    <row r="726">
      <c r="B726" s="70"/>
      <c r="C726" s="104"/>
      <c r="D726" s="90"/>
      <c r="E726" s="70"/>
      <c r="G726" s="1"/>
      <c r="H726" s="70"/>
      <c r="I726" s="104"/>
      <c r="J726" s="90"/>
      <c r="K726" s="70"/>
      <c r="M726" s="1"/>
      <c r="N726" s="70"/>
      <c r="S726" s="1"/>
      <c r="T726" s="70"/>
      <c r="Y726" s="1"/>
      <c r="Z726" s="70"/>
      <c r="AE726" s="1"/>
    </row>
    <row r="727">
      <c r="B727" s="70"/>
      <c r="C727" s="104"/>
      <c r="D727" s="90"/>
      <c r="E727" s="70"/>
      <c r="G727" s="1"/>
      <c r="H727" s="70"/>
      <c r="I727" s="104"/>
      <c r="J727" s="90"/>
      <c r="K727" s="70"/>
      <c r="M727" s="1"/>
      <c r="N727" s="70"/>
      <c r="S727" s="1"/>
      <c r="T727" s="70"/>
      <c r="Y727" s="1"/>
      <c r="Z727" s="70"/>
      <c r="AE727" s="1"/>
    </row>
    <row r="728">
      <c r="B728" s="70"/>
      <c r="C728" s="104"/>
      <c r="D728" s="90"/>
      <c r="E728" s="70"/>
      <c r="G728" s="1"/>
      <c r="H728" s="70"/>
      <c r="I728" s="104"/>
      <c r="J728" s="90"/>
      <c r="K728" s="70"/>
      <c r="M728" s="1"/>
      <c r="N728" s="70"/>
      <c r="S728" s="1"/>
      <c r="T728" s="70"/>
      <c r="Y728" s="1"/>
      <c r="Z728" s="70"/>
      <c r="AE728" s="1"/>
    </row>
    <row r="729">
      <c r="B729" s="70"/>
      <c r="C729" s="104"/>
      <c r="D729" s="90"/>
      <c r="E729" s="70"/>
      <c r="G729" s="1"/>
      <c r="H729" s="70"/>
      <c r="I729" s="104"/>
      <c r="J729" s="90"/>
      <c r="K729" s="70"/>
      <c r="M729" s="1"/>
      <c r="N729" s="70"/>
      <c r="S729" s="1"/>
      <c r="T729" s="70"/>
      <c r="Y729" s="1"/>
      <c r="Z729" s="70"/>
      <c r="AE729" s="1"/>
    </row>
    <row r="730">
      <c r="B730" s="70"/>
      <c r="C730" s="104"/>
      <c r="D730" s="90"/>
      <c r="E730" s="70"/>
      <c r="G730" s="1"/>
      <c r="H730" s="70"/>
      <c r="I730" s="104"/>
      <c r="J730" s="90"/>
      <c r="K730" s="70"/>
      <c r="M730" s="1"/>
      <c r="N730" s="70"/>
      <c r="S730" s="1"/>
      <c r="T730" s="70"/>
      <c r="Y730" s="1"/>
      <c r="Z730" s="70"/>
      <c r="AE730" s="1"/>
    </row>
    <row r="731">
      <c r="B731" s="70"/>
      <c r="C731" s="104"/>
      <c r="D731" s="90"/>
      <c r="E731" s="70"/>
      <c r="G731" s="1"/>
      <c r="H731" s="70"/>
      <c r="I731" s="104"/>
      <c r="J731" s="90"/>
      <c r="K731" s="70"/>
      <c r="M731" s="1"/>
      <c r="N731" s="70"/>
      <c r="S731" s="1"/>
      <c r="T731" s="70"/>
      <c r="Y731" s="1"/>
      <c r="Z731" s="70"/>
      <c r="AE731" s="1"/>
    </row>
    <row r="732">
      <c r="B732" s="70"/>
      <c r="C732" s="104"/>
      <c r="D732" s="90"/>
      <c r="E732" s="70"/>
      <c r="G732" s="1"/>
      <c r="H732" s="70"/>
      <c r="I732" s="104"/>
      <c r="J732" s="90"/>
      <c r="K732" s="70"/>
      <c r="M732" s="1"/>
      <c r="N732" s="70"/>
      <c r="S732" s="1"/>
      <c r="T732" s="70"/>
      <c r="Y732" s="1"/>
      <c r="Z732" s="70"/>
      <c r="AE732" s="1"/>
    </row>
    <row r="733">
      <c r="B733" s="70"/>
      <c r="C733" s="104"/>
      <c r="D733" s="90"/>
      <c r="E733" s="70"/>
      <c r="G733" s="1"/>
      <c r="H733" s="70"/>
      <c r="I733" s="104"/>
      <c r="J733" s="90"/>
      <c r="K733" s="70"/>
      <c r="M733" s="1"/>
      <c r="N733" s="70"/>
      <c r="S733" s="1"/>
      <c r="T733" s="70"/>
      <c r="Y733" s="1"/>
      <c r="Z733" s="70"/>
      <c r="AE733" s="1"/>
    </row>
    <row r="734">
      <c r="B734" s="70"/>
      <c r="C734" s="104"/>
      <c r="D734" s="90"/>
      <c r="E734" s="70"/>
      <c r="G734" s="1"/>
      <c r="H734" s="70"/>
      <c r="I734" s="104"/>
      <c r="J734" s="90"/>
      <c r="K734" s="70"/>
      <c r="M734" s="1"/>
      <c r="N734" s="70"/>
      <c r="S734" s="1"/>
      <c r="T734" s="70"/>
      <c r="Y734" s="1"/>
      <c r="Z734" s="70"/>
      <c r="AE734" s="1"/>
    </row>
    <row r="735">
      <c r="B735" s="70"/>
      <c r="C735" s="104"/>
      <c r="D735" s="90"/>
      <c r="E735" s="70"/>
      <c r="G735" s="1"/>
      <c r="H735" s="70"/>
      <c r="I735" s="104"/>
      <c r="J735" s="90"/>
      <c r="K735" s="70"/>
      <c r="M735" s="1"/>
      <c r="N735" s="70"/>
      <c r="S735" s="1"/>
      <c r="T735" s="70"/>
      <c r="Y735" s="1"/>
      <c r="Z735" s="70"/>
      <c r="AE735" s="1"/>
    </row>
    <row r="736">
      <c r="B736" s="70"/>
      <c r="C736" s="104"/>
      <c r="D736" s="90"/>
      <c r="E736" s="70"/>
      <c r="G736" s="1"/>
      <c r="H736" s="70"/>
      <c r="I736" s="104"/>
      <c r="J736" s="90"/>
      <c r="K736" s="70"/>
      <c r="M736" s="1"/>
      <c r="N736" s="70"/>
      <c r="S736" s="1"/>
      <c r="T736" s="70"/>
      <c r="Y736" s="1"/>
      <c r="Z736" s="70"/>
      <c r="AE736" s="1"/>
    </row>
    <row r="737">
      <c r="B737" s="70"/>
      <c r="C737" s="104"/>
      <c r="D737" s="90"/>
      <c r="E737" s="70"/>
      <c r="G737" s="1"/>
      <c r="H737" s="70"/>
      <c r="I737" s="104"/>
      <c r="J737" s="90"/>
      <c r="K737" s="70"/>
      <c r="M737" s="1"/>
      <c r="N737" s="70"/>
      <c r="S737" s="1"/>
      <c r="T737" s="70"/>
      <c r="Y737" s="1"/>
      <c r="Z737" s="70"/>
      <c r="AE737" s="1"/>
    </row>
    <row r="738">
      <c r="B738" s="70"/>
      <c r="C738" s="104"/>
      <c r="D738" s="90"/>
      <c r="E738" s="70"/>
      <c r="G738" s="1"/>
      <c r="H738" s="70"/>
      <c r="I738" s="104"/>
      <c r="J738" s="90"/>
      <c r="K738" s="70"/>
      <c r="M738" s="1"/>
      <c r="N738" s="70"/>
      <c r="S738" s="1"/>
      <c r="T738" s="70"/>
      <c r="Y738" s="1"/>
      <c r="Z738" s="70"/>
      <c r="AE738" s="1"/>
    </row>
    <row r="739">
      <c r="B739" s="70"/>
      <c r="C739" s="104"/>
      <c r="D739" s="90"/>
      <c r="E739" s="70"/>
      <c r="G739" s="1"/>
      <c r="H739" s="70"/>
      <c r="I739" s="104"/>
      <c r="J739" s="90"/>
      <c r="K739" s="70"/>
      <c r="M739" s="1"/>
      <c r="N739" s="70"/>
      <c r="S739" s="1"/>
      <c r="T739" s="70"/>
      <c r="Y739" s="1"/>
      <c r="Z739" s="70"/>
      <c r="AE739" s="1"/>
    </row>
    <row r="740">
      <c r="B740" s="70"/>
      <c r="C740" s="104"/>
      <c r="D740" s="90"/>
      <c r="E740" s="70"/>
      <c r="G740" s="1"/>
      <c r="H740" s="70"/>
      <c r="I740" s="104"/>
      <c r="J740" s="90"/>
      <c r="K740" s="70"/>
      <c r="M740" s="1"/>
      <c r="N740" s="70"/>
      <c r="S740" s="1"/>
      <c r="T740" s="70"/>
      <c r="Y740" s="1"/>
      <c r="Z740" s="70"/>
      <c r="AE740" s="1"/>
    </row>
    <row r="741">
      <c r="B741" s="70"/>
      <c r="C741" s="104"/>
      <c r="D741" s="90"/>
      <c r="E741" s="70"/>
      <c r="G741" s="1"/>
      <c r="H741" s="70"/>
      <c r="I741" s="104"/>
      <c r="J741" s="90"/>
      <c r="K741" s="70"/>
      <c r="M741" s="1"/>
      <c r="N741" s="70"/>
      <c r="S741" s="1"/>
      <c r="T741" s="70"/>
      <c r="Y741" s="1"/>
      <c r="Z741" s="70"/>
      <c r="AE741" s="1"/>
    </row>
    <row r="742">
      <c r="B742" s="70"/>
      <c r="C742" s="104"/>
      <c r="D742" s="90"/>
      <c r="E742" s="70"/>
      <c r="G742" s="1"/>
      <c r="H742" s="70"/>
      <c r="I742" s="104"/>
      <c r="J742" s="90"/>
      <c r="K742" s="70"/>
      <c r="M742" s="1"/>
      <c r="N742" s="70"/>
      <c r="S742" s="1"/>
      <c r="T742" s="70"/>
      <c r="Y742" s="1"/>
      <c r="Z742" s="70"/>
      <c r="AE742" s="1"/>
    </row>
    <row r="743">
      <c r="B743" s="70"/>
      <c r="C743" s="104"/>
      <c r="D743" s="90"/>
      <c r="E743" s="70"/>
      <c r="G743" s="1"/>
      <c r="H743" s="70"/>
      <c r="I743" s="104"/>
      <c r="J743" s="90"/>
      <c r="K743" s="70"/>
      <c r="M743" s="1"/>
      <c r="N743" s="70"/>
      <c r="S743" s="1"/>
      <c r="T743" s="70"/>
      <c r="Y743" s="1"/>
      <c r="Z743" s="70"/>
      <c r="AE743" s="1"/>
    </row>
    <row r="744">
      <c r="B744" s="70"/>
      <c r="C744" s="104"/>
      <c r="D744" s="90"/>
      <c r="E744" s="70"/>
      <c r="G744" s="1"/>
      <c r="H744" s="70"/>
      <c r="I744" s="104"/>
      <c r="J744" s="90"/>
      <c r="K744" s="70"/>
      <c r="M744" s="1"/>
      <c r="N744" s="70"/>
      <c r="S744" s="1"/>
      <c r="T744" s="70"/>
      <c r="Y744" s="1"/>
      <c r="Z744" s="70"/>
      <c r="AE744" s="1"/>
    </row>
    <row r="745">
      <c r="B745" s="70"/>
      <c r="C745" s="104"/>
      <c r="D745" s="90"/>
      <c r="E745" s="70"/>
      <c r="G745" s="1"/>
      <c r="H745" s="70"/>
      <c r="I745" s="104"/>
      <c r="J745" s="90"/>
      <c r="K745" s="70"/>
      <c r="M745" s="1"/>
      <c r="N745" s="70"/>
      <c r="S745" s="1"/>
      <c r="T745" s="70"/>
      <c r="Y745" s="1"/>
      <c r="Z745" s="70"/>
      <c r="AE745" s="1"/>
    </row>
    <row r="746">
      <c r="B746" s="70"/>
      <c r="C746" s="104"/>
      <c r="D746" s="90"/>
      <c r="E746" s="70"/>
      <c r="G746" s="1"/>
      <c r="H746" s="70"/>
      <c r="I746" s="104"/>
      <c r="J746" s="90"/>
      <c r="K746" s="70"/>
      <c r="M746" s="1"/>
      <c r="N746" s="70"/>
      <c r="S746" s="1"/>
      <c r="T746" s="70"/>
      <c r="Y746" s="1"/>
      <c r="Z746" s="70"/>
      <c r="AE746" s="1"/>
    </row>
    <row r="747">
      <c r="B747" s="70"/>
      <c r="C747" s="104"/>
      <c r="D747" s="90"/>
      <c r="E747" s="70"/>
      <c r="G747" s="1"/>
      <c r="H747" s="70"/>
      <c r="I747" s="104"/>
      <c r="J747" s="90"/>
      <c r="K747" s="70"/>
      <c r="M747" s="1"/>
      <c r="N747" s="70"/>
      <c r="S747" s="1"/>
      <c r="T747" s="70"/>
      <c r="Y747" s="1"/>
      <c r="Z747" s="70"/>
      <c r="AE747" s="1"/>
    </row>
    <row r="748">
      <c r="B748" s="70"/>
      <c r="C748" s="104"/>
      <c r="D748" s="90"/>
      <c r="E748" s="70"/>
      <c r="G748" s="1"/>
      <c r="H748" s="70"/>
      <c r="I748" s="104"/>
      <c r="J748" s="90"/>
      <c r="K748" s="70"/>
      <c r="M748" s="1"/>
      <c r="N748" s="70"/>
      <c r="S748" s="1"/>
      <c r="T748" s="70"/>
      <c r="Y748" s="1"/>
      <c r="Z748" s="70"/>
      <c r="AE748" s="1"/>
    </row>
    <row r="749">
      <c r="B749" s="70"/>
      <c r="C749" s="104"/>
      <c r="D749" s="90"/>
      <c r="E749" s="70"/>
      <c r="G749" s="1"/>
      <c r="H749" s="70"/>
      <c r="I749" s="104"/>
      <c r="J749" s="90"/>
      <c r="K749" s="70"/>
      <c r="M749" s="1"/>
      <c r="N749" s="70"/>
      <c r="S749" s="1"/>
      <c r="T749" s="70"/>
      <c r="Y749" s="1"/>
      <c r="Z749" s="70"/>
      <c r="AE749" s="1"/>
    </row>
    <row r="750">
      <c r="B750" s="70"/>
      <c r="C750" s="104"/>
      <c r="D750" s="90"/>
      <c r="E750" s="70"/>
      <c r="G750" s="1"/>
      <c r="H750" s="70"/>
      <c r="I750" s="104"/>
      <c r="J750" s="90"/>
      <c r="K750" s="70"/>
      <c r="M750" s="1"/>
      <c r="N750" s="70"/>
      <c r="S750" s="1"/>
      <c r="T750" s="70"/>
      <c r="Y750" s="1"/>
      <c r="Z750" s="70"/>
      <c r="AE750" s="1"/>
    </row>
    <row r="751">
      <c r="B751" s="70"/>
      <c r="C751" s="104"/>
      <c r="D751" s="90"/>
      <c r="E751" s="70"/>
      <c r="G751" s="1"/>
      <c r="H751" s="70"/>
      <c r="I751" s="104"/>
      <c r="J751" s="90"/>
      <c r="K751" s="70"/>
      <c r="M751" s="1"/>
      <c r="N751" s="70"/>
      <c r="S751" s="1"/>
      <c r="T751" s="70"/>
      <c r="Y751" s="1"/>
      <c r="Z751" s="70"/>
      <c r="AE751" s="1"/>
    </row>
    <row r="752">
      <c r="B752" s="70"/>
      <c r="C752" s="104"/>
      <c r="D752" s="90"/>
      <c r="E752" s="70"/>
      <c r="G752" s="1"/>
      <c r="H752" s="70"/>
      <c r="I752" s="104"/>
      <c r="J752" s="90"/>
      <c r="K752" s="70"/>
      <c r="M752" s="1"/>
      <c r="N752" s="70"/>
      <c r="S752" s="1"/>
      <c r="T752" s="70"/>
      <c r="Y752" s="1"/>
      <c r="Z752" s="70"/>
      <c r="AE752" s="1"/>
    </row>
    <row r="753">
      <c r="B753" s="70"/>
      <c r="C753" s="104"/>
      <c r="D753" s="90"/>
      <c r="E753" s="70"/>
      <c r="G753" s="1"/>
      <c r="H753" s="70"/>
      <c r="I753" s="104"/>
      <c r="J753" s="90"/>
      <c r="K753" s="70"/>
      <c r="M753" s="1"/>
      <c r="N753" s="70"/>
      <c r="S753" s="1"/>
      <c r="T753" s="70"/>
      <c r="Y753" s="1"/>
      <c r="Z753" s="70"/>
      <c r="AE753" s="1"/>
    </row>
    <row r="754">
      <c r="B754" s="70"/>
      <c r="C754" s="104"/>
      <c r="D754" s="90"/>
      <c r="E754" s="70"/>
      <c r="G754" s="1"/>
      <c r="H754" s="70"/>
      <c r="I754" s="104"/>
      <c r="J754" s="90"/>
      <c r="K754" s="70"/>
      <c r="M754" s="1"/>
      <c r="N754" s="70"/>
      <c r="S754" s="1"/>
      <c r="T754" s="70"/>
      <c r="Y754" s="1"/>
      <c r="Z754" s="70"/>
      <c r="AE754" s="1"/>
    </row>
    <row r="755">
      <c r="B755" s="70"/>
      <c r="C755" s="104"/>
      <c r="D755" s="90"/>
      <c r="E755" s="70"/>
      <c r="G755" s="1"/>
      <c r="H755" s="70"/>
      <c r="I755" s="104"/>
      <c r="J755" s="90"/>
      <c r="K755" s="70"/>
      <c r="M755" s="1"/>
      <c r="N755" s="70"/>
      <c r="S755" s="1"/>
      <c r="T755" s="70"/>
      <c r="Y755" s="1"/>
      <c r="Z755" s="70"/>
      <c r="AE755" s="1"/>
    </row>
    <row r="756">
      <c r="B756" s="70"/>
      <c r="C756" s="104"/>
      <c r="D756" s="90"/>
      <c r="E756" s="70"/>
      <c r="G756" s="1"/>
      <c r="H756" s="70"/>
      <c r="I756" s="104"/>
      <c r="J756" s="90"/>
      <c r="K756" s="70"/>
      <c r="M756" s="1"/>
      <c r="N756" s="70"/>
      <c r="S756" s="1"/>
      <c r="T756" s="70"/>
      <c r="Y756" s="1"/>
      <c r="Z756" s="70"/>
      <c r="AE756" s="1"/>
    </row>
    <row r="757">
      <c r="B757" s="70"/>
      <c r="C757" s="104"/>
      <c r="D757" s="90"/>
      <c r="E757" s="70"/>
      <c r="G757" s="1"/>
      <c r="H757" s="70"/>
      <c r="I757" s="104"/>
      <c r="J757" s="90"/>
      <c r="K757" s="70"/>
      <c r="M757" s="1"/>
      <c r="N757" s="70"/>
      <c r="S757" s="1"/>
      <c r="T757" s="70"/>
      <c r="Y757" s="1"/>
      <c r="Z757" s="70"/>
      <c r="AE757" s="1"/>
    </row>
    <row r="758">
      <c r="B758" s="70"/>
      <c r="C758" s="104"/>
      <c r="D758" s="90"/>
      <c r="E758" s="70"/>
      <c r="G758" s="1"/>
      <c r="H758" s="70"/>
      <c r="I758" s="104"/>
      <c r="J758" s="90"/>
      <c r="K758" s="70"/>
      <c r="M758" s="1"/>
      <c r="N758" s="70"/>
      <c r="S758" s="1"/>
      <c r="T758" s="70"/>
      <c r="Y758" s="1"/>
      <c r="Z758" s="70"/>
      <c r="AE758" s="1"/>
    </row>
    <row r="759">
      <c r="B759" s="70"/>
      <c r="C759" s="104"/>
      <c r="D759" s="90"/>
      <c r="E759" s="70"/>
      <c r="G759" s="1"/>
      <c r="H759" s="70"/>
      <c r="I759" s="104"/>
      <c r="J759" s="90"/>
      <c r="K759" s="70"/>
      <c r="M759" s="1"/>
      <c r="N759" s="70"/>
      <c r="S759" s="1"/>
      <c r="T759" s="70"/>
      <c r="Y759" s="1"/>
      <c r="Z759" s="70"/>
      <c r="AE759" s="1"/>
    </row>
    <row r="760">
      <c r="B760" s="70"/>
      <c r="C760" s="104"/>
      <c r="D760" s="90"/>
      <c r="E760" s="70"/>
      <c r="G760" s="1"/>
      <c r="H760" s="70"/>
      <c r="I760" s="104"/>
      <c r="J760" s="90"/>
      <c r="K760" s="70"/>
      <c r="M760" s="1"/>
      <c r="N760" s="70"/>
      <c r="S760" s="1"/>
      <c r="T760" s="70"/>
      <c r="Y760" s="1"/>
      <c r="Z760" s="70"/>
      <c r="AE760" s="1"/>
    </row>
    <row r="761">
      <c r="B761" s="70"/>
      <c r="C761" s="104"/>
      <c r="D761" s="90"/>
      <c r="E761" s="70"/>
      <c r="G761" s="1"/>
      <c r="H761" s="70"/>
      <c r="I761" s="104"/>
      <c r="J761" s="90"/>
      <c r="K761" s="70"/>
      <c r="M761" s="1"/>
      <c r="N761" s="70"/>
      <c r="S761" s="1"/>
      <c r="T761" s="70"/>
      <c r="Y761" s="1"/>
      <c r="Z761" s="70"/>
      <c r="AE761" s="1"/>
    </row>
    <row r="762">
      <c r="B762" s="70"/>
      <c r="C762" s="104"/>
      <c r="D762" s="90"/>
      <c r="E762" s="70"/>
      <c r="G762" s="1"/>
      <c r="H762" s="70"/>
      <c r="I762" s="104"/>
      <c r="J762" s="90"/>
      <c r="K762" s="70"/>
      <c r="M762" s="1"/>
      <c r="N762" s="70"/>
      <c r="S762" s="1"/>
      <c r="T762" s="70"/>
      <c r="Y762" s="1"/>
      <c r="Z762" s="70"/>
      <c r="AE762" s="1"/>
    </row>
    <row r="763">
      <c r="B763" s="70"/>
      <c r="C763" s="104"/>
      <c r="D763" s="90"/>
      <c r="E763" s="70"/>
      <c r="G763" s="1"/>
      <c r="H763" s="70"/>
      <c r="I763" s="104"/>
      <c r="J763" s="90"/>
      <c r="K763" s="70"/>
      <c r="M763" s="1"/>
      <c r="N763" s="70"/>
      <c r="S763" s="1"/>
      <c r="T763" s="70"/>
      <c r="Y763" s="1"/>
      <c r="Z763" s="70"/>
      <c r="AE763" s="1"/>
    </row>
    <row r="764">
      <c r="B764" s="70"/>
      <c r="C764" s="104"/>
      <c r="D764" s="90"/>
      <c r="E764" s="70"/>
      <c r="G764" s="1"/>
      <c r="H764" s="70"/>
      <c r="I764" s="104"/>
      <c r="J764" s="90"/>
      <c r="K764" s="70"/>
      <c r="M764" s="1"/>
      <c r="N764" s="70"/>
      <c r="S764" s="1"/>
      <c r="T764" s="70"/>
      <c r="Y764" s="1"/>
      <c r="Z764" s="70"/>
      <c r="AE764" s="1"/>
    </row>
    <row r="765">
      <c r="B765" s="70"/>
      <c r="C765" s="104"/>
      <c r="D765" s="90"/>
      <c r="E765" s="70"/>
      <c r="G765" s="1"/>
      <c r="H765" s="70"/>
      <c r="I765" s="104"/>
      <c r="J765" s="90"/>
      <c r="K765" s="70"/>
      <c r="M765" s="1"/>
      <c r="N765" s="70"/>
      <c r="S765" s="1"/>
      <c r="T765" s="70"/>
      <c r="Y765" s="1"/>
      <c r="Z765" s="70"/>
      <c r="AE765" s="1"/>
    </row>
    <row r="766">
      <c r="B766" s="70"/>
      <c r="C766" s="104"/>
      <c r="D766" s="90"/>
      <c r="E766" s="70"/>
      <c r="G766" s="1"/>
      <c r="H766" s="70"/>
      <c r="I766" s="104"/>
      <c r="J766" s="90"/>
      <c r="K766" s="70"/>
      <c r="M766" s="1"/>
      <c r="N766" s="70"/>
      <c r="S766" s="1"/>
      <c r="T766" s="70"/>
      <c r="Y766" s="1"/>
      <c r="Z766" s="70"/>
      <c r="AE766" s="1"/>
    </row>
    <row r="767">
      <c r="B767" s="70"/>
      <c r="C767" s="104"/>
      <c r="D767" s="90"/>
      <c r="E767" s="70"/>
      <c r="G767" s="1"/>
      <c r="H767" s="70"/>
      <c r="I767" s="104"/>
      <c r="J767" s="90"/>
      <c r="K767" s="70"/>
      <c r="M767" s="1"/>
      <c r="N767" s="70"/>
      <c r="S767" s="1"/>
      <c r="T767" s="70"/>
      <c r="Y767" s="1"/>
      <c r="Z767" s="70"/>
      <c r="AE767" s="1"/>
    </row>
    <row r="768">
      <c r="B768" s="70"/>
      <c r="C768" s="104"/>
      <c r="D768" s="90"/>
      <c r="E768" s="70"/>
      <c r="G768" s="1"/>
      <c r="H768" s="70"/>
      <c r="I768" s="104"/>
      <c r="J768" s="90"/>
      <c r="K768" s="70"/>
      <c r="M768" s="1"/>
      <c r="N768" s="70"/>
      <c r="S768" s="1"/>
      <c r="T768" s="70"/>
      <c r="Y768" s="1"/>
      <c r="Z768" s="70"/>
      <c r="AE768" s="1"/>
    </row>
    <row r="769">
      <c r="B769" s="70"/>
      <c r="C769" s="104"/>
      <c r="D769" s="90"/>
      <c r="E769" s="70"/>
      <c r="G769" s="1"/>
      <c r="H769" s="70"/>
      <c r="I769" s="104"/>
      <c r="J769" s="90"/>
      <c r="K769" s="70"/>
      <c r="M769" s="1"/>
      <c r="N769" s="70"/>
      <c r="S769" s="1"/>
      <c r="T769" s="70"/>
      <c r="Y769" s="1"/>
      <c r="Z769" s="70"/>
      <c r="AE769" s="1"/>
    </row>
    <row r="770">
      <c r="B770" s="70"/>
      <c r="C770" s="104"/>
      <c r="D770" s="90"/>
      <c r="E770" s="70"/>
      <c r="G770" s="1"/>
      <c r="H770" s="70"/>
      <c r="I770" s="104"/>
      <c r="J770" s="90"/>
      <c r="K770" s="70"/>
      <c r="M770" s="1"/>
      <c r="N770" s="70"/>
      <c r="S770" s="1"/>
      <c r="T770" s="70"/>
      <c r="Y770" s="1"/>
      <c r="Z770" s="70"/>
      <c r="AE770" s="1"/>
    </row>
    <row r="771">
      <c r="B771" s="70"/>
      <c r="C771" s="104"/>
      <c r="D771" s="90"/>
      <c r="E771" s="70"/>
      <c r="G771" s="1"/>
      <c r="H771" s="70"/>
      <c r="I771" s="104"/>
      <c r="J771" s="90"/>
      <c r="K771" s="70"/>
      <c r="M771" s="1"/>
      <c r="N771" s="70"/>
      <c r="S771" s="1"/>
      <c r="T771" s="70"/>
      <c r="Y771" s="1"/>
      <c r="Z771" s="70"/>
      <c r="AE771" s="1"/>
    </row>
    <row r="772">
      <c r="B772" s="70"/>
      <c r="C772" s="104"/>
      <c r="D772" s="90"/>
      <c r="E772" s="70"/>
      <c r="G772" s="1"/>
      <c r="H772" s="70"/>
      <c r="I772" s="104"/>
      <c r="J772" s="90"/>
      <c r="K772" s="70"/>
      <c r="M772" s="1"/>
      <c r="N772" s="70"/>
      <c r="S772" s="1"/>
      <c r="T772" s="70"/>
      <c r="Y772" s="1"/>
      <c r="Z772" s="70"/>
      <c r="AE772" s="1"/>
    </row>
    <row r="773">
      <c r="B773" s="70"/>
      <c r="C773" s="104"/>
      <c r="D773" s="90"/>
      <c r="E773" s="70"/>
      <c r="G773" s="1"/>
      <c r="H773" s="70"/>
      <c r="I773" s="104"/>
      <c r="J773" s="90"/>
      <c r="K773" s="70"/>
      <c r="M773" s="1"/>
      <c r="N773" s="70"/>
      <c r="S773" s="1"/>
      <c r="T773" s="70"/>
      <c r="Y773" s="1"/>
      <c r="Z773" s="70"/>
      <c r="AE773" s="1"/>
    </row>
    <row r="774">
      <c r="B774" s="70"/>
      <c r="C774" s="104"/>
      <c r="D774" s="90"/>
      <c r="E774" s="70"/>
      <c r="G774" s="1"/>
      <c r="H774" s="70"/>
      <c r="I774" s="104"/>
      <c r="J774" s="90"/>
      <c r="K774" s="70"/>
      <c r="M774" s="1"/>
      <c r="N774" s="70"/>
      <c r="S774" s="1"/>
      <c r="T774" s="70"/>
      <c r="Y774" s="1"/>
      <c r="Z774" s="70"/>
      <c r="AE774" s="1"/>
    </row>
    <row r="775">
      <c r="B775" s="70"/>
      <c r="C775" s="104"/>
      <c r="D775" s="90"/>
      <c r="E775" s="70"/>
      <c r="G775" s="1"/>
      <c r="H775" s="70"/>
      <c r="I775" s="104"/>
      <c r="J775" s="90"/>
      <c r="K775" s="70"/>
      <c r="M775" s="1"/>
      <c r="N775" s="70"/>
      <c r="S775" s="1"/>
      <c r="T775" s="70"/>
      <c r="Y775" s="1"/>
      <c r="Z775" s="70"/>
      <c r="AE775" s="1"/>
    </row>
    <row r="776">
      <c r="B776" s="70"/>
      <c r="C776" s="104"/>
      <c r="D776" s="90"/>
      <c r="E776" s="70"/>
      <c r="G776" s="1"/>
      <c r="H776" s="70"/>
      <c r="I776" s="104"/>
      <c r="J776" s="90"/>
      <c r="K776" s="70"/>
      <c r="M776" s="1"/>
      <c r="N776" s="70"/>
      <c r="S776" s="1"/>
      <c r="T776" s="70"/>
      <c r="Y776" s="1"/>
      <c r="Z776" s="70"/>
      <c r="AE776" s="1"/>
    </row>
    <row r="777">
      <c r="B777" s="70"/>
      <c r="C777" s="104"/>
      <c r="D777" s="90"/>
      <c r="E777" s="70"/>
      <c r="G777" s="1"/>
      <c r="H777" s="70"/>
      <c r="I777" s="104"/>
      <c r="J777" s="90"/>
      <c r="K777" s="70"/>
      <c r="M777" s="1"/>
      <c r="N777" s="70"/>
      <c r="S777" s="1"/>
      <c r="T777" s="70"/>
      <c r="Y777" s="1"/>
      <c r="Z777" s="70"/>
      <c r="AE777" s="1"/>
    </row>
    <row r="778">
      <c r="B778" s="70"/>
      <c r="C778" s="104"/>
      <c r="D778" s="90"/>
      <c r="E778" s="70"/>
      <c r="G778" s="1"/>
      <c r="H778" s="70"/>
      <c r="I778" s="104"/>
      <c r="J778" s="90"/>
      <c r="K778" s="70"/>
      <c r="M778" s="1"/>
      <c r="N778" s="70"/>
      <c r="S778" s="1"/>
      <c r="T778" s="70"/>
      <c r="Y778" s="1"/>
      <c r="Z778" s="70"/>
      <c r="AE778" s="1"/>
    </row>
    <row r="779">
      <c r="B779" s="70"/>
      <c r="C779" s="104"/>
      <c r="D779" s="90"/>
      <c r="E779" s="70"/>
      <c r="G779" s="1"/>
      <c r="H779" s="70"/>
      <c r="I779" s="104"/>
      <c r="J779" s="90"/>
      <c r="K779" s="70"/>
      <c r="M779" s="1"/>
      <c r="N779" s="70"/>
      <c r="S779" s="1"/>
      <c r="T779" s="70"/>
      <c r="Y779" s="1"/>
      <c r="Z779" s="70"/>
      <c r="AE779" s="1"/>
    </row>
    <row r="780">
      <c r="B780" s="70"/>
      <c r="C780" s="104"/>
      <c r="D780" s="90"/>
      <c r="E780" s="70"/>
      <c r="G780" s="1"/>
      <c r="H780" s="70"/>
      <c r="I780" s="104"/>
      <c r="J780" s="90"/>
      <c r="K780" s="70"/>
      <c r="M780" s="1"/>
      <c r="N780" s="70"/>
      <c r="S780" s="1"/>
      <c r="T780" s="70"/>
      <c r="Y780" s="1"/>
      <c r="Z780" s="70"/>
      <c r="AE780" s="1"/>
    </row>
    <row r="781">
      <c r="B781" s="70"/>
      <c r="C781" s="104"/>
      <c r="D781" s="90"/>
      <c r="E781" s="70"/>
      <c r="G781" s="1"/>
      <c r="H781" s="70"/>
      <c r="I781" s="104"/>
      <c r="J781" s="90"/>
      <c r="K781" s="70"/>
      <c r="M781" s="1"/>
      <c r="N781" s="70"/>
      <c r="S781" s="1"/>
      <c r="T781" s="70"/>
      <c r="Y781" s="1"/>
      <c r="Z781" s="70"/>
      <c r="AE781" s="1"/>
    </row>
    <row r="782">
      <c r="B782" s="70"/>
      <c r="C782" s="104"/>
      <c r="D782" s="90"/>
      <c r="E782" s="70"/>
      <c r="G782" s="1"/>
      <c r="H782" s="70"/>
      <c r="I782" s="104"/>
      <c r="J782" s="90"/>
      <c r="K782" s="70"/>
      <c r="M782" s="1"/>
      <c r="N782" s="70"/>
      <c r="S782" s="1"/>
      <c r="T782" s="70"/>
      <c r="Y782" s="1"/>
      <c r="Z782" s="70"/>
      <c r="AE782" s="1"/>
    </row>
    <row r="783">
      <c r="B783" s="70"/>
      <c r="C783" s="104"/>
      <c r="D783" s="90"/>
      <c r="E783" s="70"/>
      <c r="G783" s="1"/>
      <c r="H783" s="70"/>
      <c r="I783" s="104"/>
      <c r="J783" s="90"/>
      <c r="K783" s="70"/>
      <c r="M783" s="1"/>
      <c r="N783" s="70"/>
      <c r="S783" s="1"/>
      <c r="T783" s="70"/>
      <c r="Y783" s="1"/>
      <c r="Z783" s="70"/>
      <c r="AE783" s="1"/>
    </row>
    <row r="784">
      <c r="B784" s="70"/>
      <c r="C784" s="104"/>
      <c r="D784" s="90"/>
      <c r="E784" s="70"/>
      <c r="G784" s="1"/>
      <c r="H784" s="70"/>
      <c r="I784" s="104"/>
      <c r="J784" s="90"/>
      <c r="K784" s="70"/>
      <c r="M784" s="1"/>
      <c r="N784" s="70"/>
      <c r="S784" s="1"/>
      <c r="T784" s="70"/>
      <c r="Y784" s="1"/>
      <c r="Z784" s="70"/>
      <c r="AE784" s="1"/>
    </row>
    <row r="785">
      <c r="B785" s="70"/>
      <c r="C785" s="104"/>
      <c r="D785" s="90"/>
      <c r="E785" s="70"/>
      <c r="G785" s="1"/>
      <c r="H785" s="70"/>
      <c r="I785" s="104"/>
      <c r="J785" s="90"/>
      <c r="K785" s="70"/>
      <c r="M785" s="1"/>
      <c r="N785" s="70"/>
      <c r="S785" s="1"/>
      <c r="T785" s="70"/>
      <c r="Y785" s="1"/>
      <c r="Z785" s="70"/>
      <c r="AE785" s="1"/>
    </row>
    <row r="786">
      <c r="B786" s="70"/>
      <c r="C786" s="104"/>
      <c r="D786" s="90"/>
      <c r="E786" s="70"/>
      <c r="G786" s="1"/>
      <c r="H786" s="70"/>
      <c r="I786" s="104"/>
      <c r="J786" s="90"/>
      <c r="K786" s="70"/>
      <c r="M786" s="1"/>
      <c r="N786" s="70"/>
      <c r="S786" s="1"/>
      <c r="T786" s="70"/>
      <c r="Y786" s="1"/>
      <c r="Z786" s="70"/>
      <c r="AE786" s="1"/>
    </row>
    <row r="787">
      <c r="B787" s="70"/>
      <c r="C787" s="104"/>
      <c r="D787" s="90"/>
      <c r="E787" s="70"/>
      <c r="G787" s="1"/>
      <c r="H787" s="70"/>
      <c r="I787" s="104"/>
      <c r="J787" s="90"/>
      <c r="K787" s="70"/>
      <c r="M787" s="1"/>
      <c r="N787" s="70"/>
      <c r="S787" s="1"/>
      <c r="T787" s="70"/>
      <c r="Y787" s="1"/>
      <c r="Z787" s="70"/>
      <c r="AE787" s="1"/>
    </row>
    <row r="788">
      <c r="B788" s="70"/>
      <c r="C788" s="104"/>
      <c r="D788" s="90"/>
      <c r="E788" s="70"/>
      <c r="G788" s="1"/>
      <c r="H788" s="70"/>
      <c r="I788" s="104"/>
      <c r="J788" s="90"/>
      <c r="K788" s="70"/>
      <c r="M788" s="1"/>
      <c r="N788" s="70"/>
      <c r="S788" s="1"/>
      <c r="T788" s="70"/>
      <c r="Y788" s="1"/>
      <c r="Z788" s="70"/>
      <c r="AE788" s="1"/>
    </row>
    <row r="789">
      <c r="B789" s="70"/>
      <c r="C789" s="104"/>
      <c r="D789" s="90"/>
      <c r="E789" s="70"/>
      <c r="G789" s="1"/>
      <c r="H789" s="70"/>
      <c r="I789" s="104"/>
      <c r="J789" s="90"/>
      <c r="K789" s="70"/>
      <c r="M789" s="1"/>
      <c r="N789" s="70"/>
      <c r="S789" s="1"/>
      <c r="T789" s="70"/>
      <c r="Y789" s="1"/>
      <c r="Z789" s="70"/>
      <c r="AE789" s="1"/>
    </row>
    <row r="790">
      <c r="B790" s="70"/>
      <c r="C790" s="104"/>
      <c r="D790" s="90"/>
      <c r="E790" s="70"/>
      <c r="G790" s="1"/>
      <c r="H790" s="70"/>
      <c r="I790" s="104"/>
      <c r="J790" s="90"/>
      <c r="K790" s="70"/>
      <c r="M790" s="1"/>
      <c r="N790" s="70"/>
      <c r="S790" s="1"/>
      <c r="T790" s="70"/>
      <c r="Y790" s="1"/>
      <c r="Z790" s="70"/>
      <c r="AE790" s="1"/>
    </row>
    <row r="791">
      <c r="B791" s="70"/>
      <c r="C791" s="104"/>
      <c r="D791" s="90"/>
      <c r="E791" s="70"/>
      <c r="G791" s="1"/>
      <c r="H791" s="70"/>
      <c r="I791" s="104"/>
      <c r="J791" s="90"/>
      <c r="K791" s="70"/>
      <c r="M791" s="1"/>
      <c r="N791" s="70"/>
      <c r="S791" s="1"/>
      <c r="T791" s="70"/>
      <c r="Y791" s="1"/>
      <c r="Z791" s="70"/>
      <c r="AE791" s="1"/>
    </row>
    <row r="792">
      <c r="B792" s="70"/>
      <c r="C792" s="104"/>
      <c r="D792" s="90"/>
      <c r="E792" s="70"/>
      <c r="G792" s="1"/>
      <c r="H792" s="70"/>
      <c r="I792" s="104"/>
      <c r="J792" s="90"/>
      <c r="K792" s="70"/>
      <c r="M792" s="1"/>
      <c r="N792" s="70"/>
      <c r="S792" s="1"/>
      <c r="T792" s="70"/>
      <c r="Y792" s="1"/>
      <c r="Z792" s="70"/>
      <c r="AE792" s="1"/>
    </row>
    <row r="793">
      <c r="B793" s="70"/>
      <c r="C793" s="104"/>
      <c r="D793" s="90"/>
      <c r="E793" s="70"/>
      <c r="G793" s="1"/>
      <c r="H793" s="70"/>
      <c r="I793" s="104"/>
      <c r="J793" s="90"/>
      <c r="K793" s="70"/>
      <c r="M793" s="1"/>
      <c r="N793" s="70"/>
      <c r="S793" s="1"/>
      <c r="T793" s="70"/>
      <c r="Y793" s="1"/>
      <c r="Z793" s="70"/>
      <c r="AE793" s="1"/>
    </row>
    <row r="794">
      <c r="B794" s="70"/>
      <c r="C794" s="104"/>
      <c r="D794" s="90"/>
      <c r="E794" s="70"/>
      <c r="G794" s="1"/>
      <c r="H794" s="70"/>
      <c r="I794" s="104"/>
      <c r="J794" s="90"/>
      <c r="K794" s="70"/>
      <c r="M794" s="1"/>
      <c r="N794" s="70"/>
      <c r="S794" s="1"/>
      <c r="T794" s="70"/>
      <c r="Y794" s="1"/>
      <c r="Z794" s="70"/>
      <c r="AE794" s="1"/>
    </row>
    <row r="795">
      <c r="B795" s="70"/>
      <c r="C795" s="104"/>
      <c r="D795" s="90"/>
      <c r="E795" s="70"/>
      <c r="G795" s="1"/>
      <c r="H795" s="70"/>
      <c r="I795" s="104"/>
      <c r="J795" s="90"/>
      <c r="K795" s="70"/>
      <c r="M795" s="1"/>
      <c r="N795" s="70"/>
      <c r="S795" s="1"/>
      <c r="T795" s="70"/>
      <c r="Y795" s="1"/>
      <c r="Z795" s="70"/>
      <c r="AE795" s="1"/>
    </row>
    <row r="796">
      <c r="B796" s="70"/>
      <c r="C796" s="104"/>
      <c r="D796" s="90"/>
      <c r="E796" s="70"/>
      <c r="G796" s="1"/>
      <c r="H796" s="70"/>
      <c r="I796" s="104"/>
      <c r="J796" s="90"/>
      <c r="K796" s="70"/>
      <c r="M796" s="1"/>
      <c r="N796" s="70"/>
      <c r="S796" s="1"/>
      <c r="T796" s="70"/>
      <c r="Y796" s="1"/>
      <c r="Z796" s="70"/>
      <c r="AE796" s="1"/>
    </row>
    <row r="797">
      <c r="B797" s="70"/>
      <c r="C797" s="104"/>
      <c r="D797" s="90"/>
      <c r="E797" s="70"/>
      <c r="G797" s="1"/>
      <c r="H797" s="70"/>
      <c r="I797" s="104"/>
      <c r="J797" s="90"/>
      <c r="K797" s="70"/>
      <c r="M797" s="1"/>
      <c r="N797" s="70"/>
      <c r="S797" s="1"/>
      <c r="T797" s="70"/>
      <c r="Y797" s="1"/>
      <c r="Z797" s="70"/>
      <c r="AE797" s="1"/>
    </row>
    <row r="798">
      <c r="B798" s="70"/>
      <c r="C798" s="104"/>
      <c r="D798" s="90"/>
      <c r="E798" s="70"/>
      <c r="G798" s="1"/>
      <c r="H798" s="70"/>
      <c r="I798" s="104"/>
      <c r="J798" s="90"/>
      <c r="K798" s="70"/>
      <c r="M798" s="1"/>
      <c r="N798" s="70"/>
      <c r="S798" s="1"/>
      <c r="T798" s="70"/>
      <c r="Y798" s="1"/>
      <c r="Z798" s="70"/>
      <c r="AE798" s="1"/>
    </row>
    <row r="799">
      <c r="B799" s="70"/>
      <c r="C799" s="104"/>
      <c r="D799" s="90"/>
      <c r="E799" s="70"/>
      <c r="G799" s="1"/>
      <c r="H799" s="70"/>
      <c r="I799" s="104"/>
      <c r="J799" s="90"/>
      <c r="K799" s="70"/>
      <c r="M799" s="1"/>
      <c r="N799" s="70"/>
      <c r="S799" s="1"/>
      <c r="T799" s="70"/>
      <c r="Y799" s="1"/>
      <c r="Z799" s="70"/>
      <c r="AE799" s="1"/>
    </row>
    <row r="800">
      <c r="B800" s="70"/>
      <c r="C800" s="104"/>
      <c r="D800" s="90"/>
      <c r="E800" s="70"/>
      <c r="G800" s="1"/>
      <c r="H800" s="70"/>
      <c r="I800" s="104"/>
      <c r="J800" s="90"/>
      <c r="K800" s="70"/>
      <c r="M800" s="1"/>
      <c r="N800" s="70"/>
      <c r="S800" s="1"/>
      <c r="T800" s="70"/>
      <c r="Y800" s="1"/>
      <c r="Z800" s="70"/>
      <c r="AE800" s="1"/>
    </row>
    <row r="801">
      <c r="B801" s="70"/>
      <c r="C801" s="104"/>
      <c r="D801" s="90"/>
      <c r="E801" s="70"/>
      <c r="G801" s="1"/>
      <c r="H801" s="70"/>
      <c r="I801" s="104"/>
      <c r="J801" s="90"/>
      <c r="K801" s="70"/>
      <c r="M801" s="1"/>
      <c r="N801" s="70"/>
      <c r="S801" s="1"/>
      <c r="T801" s="70"/>
      <c r="Y801" s="1"/>
      <c r="Z801" s="70"/>
      <c r="AE801" s="1"/>
    </row>
    <row r="802">
      <c r="B802" s="70"/>
      <c r="C802" s="104"/>
      <c r="D802" s="90"/>
      <c r="E802" s="70"/>
      <c r="G802" s="1"/>
      <c r="H802" s="70"/>
      <c r="I802" s="104"/>
      <c r="J802" s="90"/>
      <c r="K802" s="70"/>
      <c r="M802" s="1"/>
      <c r="N802" s="70"/>
      <c r="S802" s="1"/>
      <c r="T802" s="70"/>
      <c r="Y802" s="1"/>
      <c r="Z802" s="70"/>
      <c r="AE802" s="1"/>
    </row>
    <row r="803">
      <c r="B803" s="70"/>
      <c r="C803" s="104"/>
      <c r="D803" s="90"/>
      <c r="E803" s="70"/>
      <c r="G803" s="1"/>
      <c r="H803" s="70"/>
      <c r="I803" s="104"/>
      <c r="J803" s="90"/>
      <c r="K803" s="70"/>
      <c r="M803" s="1"/>
      <c r="N803" s="70"/>
      <c r="S803" s="1"/>
      <c r="T803" s="70"/>
      <c r="Y803" s="1"/>
      <c r="Z803" s="70"/>
      <c r="AE803" s="1"/>
    </row>
    <row r="804">
      <c r="B804" s="70"/>
      <c r="C804" s="104"/>
      <c r="D804" s="90"/>
      <c r="E804" s="70"/>
      <c r="G804" s="1"/>
      <c r="H804" s="70"/>
      <c r="I804" s="104"/>
      <c r="J804" s="90"/>
      <c r="K804" s="70"/>
      <c r="M804" s="1"/>
      <c r="N804" s="70"/>
      <c r="S804" s="1"/>
      <c r="T804" s="70"/>
      <c r="Y804" s="1"/>
      <c r="Z804" s="70"/>
      <c r="AE804" s="1"/>
    </row>
    <row r="805">
      <c r="B805" s="70"/>
      <c r="C805" s="104"/>
      <c r="D805" s="90"/>
      <c r="E805" s="70"/>
      <c r="G805" s="1"/>
      <c r="H805" s="70"/>
      <c r="I805" s="104"/>
      <c r="J805" s="90"/>
      <c r="K805" s="70"/>
      <c r="M805" s="1"/>
      <c r="N805" s="70"/>
      <c r="S805" s="1"/>
      <c r="T805" s="70"/>
      <c r="Y805" s="1"/>
      <c r="Z805" s="70"/>
      <c r="AE805" s="1"/>
    </row>
    <row r="806">
      <c r="B806" s="70"/>
      <c r="C806" s="104"/>
      <c r="D806" s="90"/>
      <c r="E806" s="70"/>
      <c r="G806" s="1"/>
      <c r="H806" s="70"/>
      <c r="I806" s="104"/>
      <c r="J806" s="90"/>
      <c r="K806" s="70"/>
      <c r="M806" s="1"/>
      <c r="N806" s="70"/>
      <c r="S806" s="1"/>
      <c r="T806" s="70"/>
      <c r="Y806" s="1"/>
      <c r="Z806" s="70"/>
      <c r="AE806" s="1"/>
    </row>
    <row r="807">
      <c r="B807" s="70"/>
      <c r="C807" s="104"/>
      <c r="D807" s="90"/>
      <c r="E807" s="70"/>
      <c r="G807" s="1"/>
      <c r="H807" s="70"/>
      <c r="I807" s="104"/>
      <c r="J807" s="90"/>
      <c r="K807" s="70"/>
      <c r="M807" s="1"/>
      <c r="N807" s="70"/>
      <c r="S807" s="1"/>
      <c r="T807" s="70"/>
      <c r="Y807" s="1"/>
      <c r="Z807" s="70"/>
      <c r="AE807" s="1"/>
    </row>
    <row r="808">
      <c r="B808" s="70"/>
      <c r="C808" s="104"/>
      <c r="D808" s="90"/>
      <c r="E808" s="70"/>
      <c r="G808" s="1"/>
      <c r="H808" s="70"/>
      <c r="I808" s="104"/>
      <c r="J808" s="90"/>
      <c r="K808" s="70"/>
      <c r="M808" s="1"/>
      <c r="N808" s="70"/>
      <c r="S808" s="1"/>
      <c r="T808" s="70"/>
      <c r="Y808" s="1"/>
      <c r="Z808" s="70"/>
      <c r="AE808" s="1"/>
    </row>
    <row r="809">
      <c r="B809" s="70"/>
      <c r="C809" s="104"/>
      <c r="D809" s="90"/>
      <c r="E809" s="70"/>
      <c r="G809" s="1"/>
      <c r="H809" s="70"/>
      <c r="I809" s="104"/>
      <c r="J809" s="90"/>
      <c r="K809" s="70"/>
      <c r="M809" s="1"/>
      <c r="N809" s="70"/>
      <c r="S809" s="1"/>
      <c r="T809" s="70"/>
      <c r="Y809" s="1"/>
      <c r="Z809" s="70"/>
      <c r="AE809" s="1"/>
    </row>
    <row r="810">
      <c r="B810" s="70"/>
      <c r="C810" s="104"/>
      <c r="D810" s="90"/>
      <c r="E810" s="70"/>
      <c r="G810" s="1"/>
      <c r="H810" s="70"/>
      <c r="I810" s="104"/>
      <c r="J810" s="90"/>
      <c r="K810" s="70"/>
      <c r="M810" s="1"/>
      <c r="N810" s="70"/>
      <c r="S810" s="1"/>
      <c r="T810" s="70"/>
      <c r="Y810" s="1"/>
      <c r="Z810" s="70"/>
      <c r="AE810" s="1"/>
    </row>
    <row r="811">
      <c r="B811" s="70"/>
      <c r="C811" s="104"/>
      <c r="D811" s="90"/>
      <c r="E811" s="70"/>
      <c r="G811" s="1"/>
      <c r="H811" s="70"/>
      <c r="I811" s="104"/>
      <c r="J811" s="90"/>
      <c r="K811" s="70"/>
      <c r="M811" s="1"/>
      <c r="N811" s="70"/>
      <c r="S811" s="1"/>
      <c r="T811" s="70"/>
      <c r="Y811" s="1"/>
      <c r="Z811" s="70"/>
      <c r="AE811" s="1"/>
    </row>
    <row r="812">
      <c r="B812" s="70"/>
      <c r="C812" s="104"/>
      <c r="D812" s="90"/>
      <c r="E812" s="70"/>
      <c r="G812" s="1"/>
      <c r="H812" s="70"/>
      <c r="I812" s="104"/>
      <c r="J812" s="90"/>
      <c r="K812" s="70"/>
      <c r="M812" s="1"/>
      <c r="N812" s="70"/>
      <c r="S812" s="1"/>
      <c r="T812" s="70"/>
      <c r="Y812" s="1"/>
      <c r="Z812" s="70"/>
      <c r="AE812" s="1"/>
    </row>
    <row r="813">
      <c r="B813" s="70"/>
      <c r="C813" s="104"/>
      <c r="D813" s="90"/>
      <c r="E813" s="70"/>
      <c r="G813" s="1"/>
      <c r="H813" s="70"/>
      <c r="I813" s="104"/>
      <c r="J813" s="90"/>
      <c r="K813" s="70"/>
      <c r="M813" s="1"/>
      <c r="N813" s="70"/>
      <c r="S813" s="1"/>
      <c r="T813" s="70"/>
      <c r="Y813" s="1"/>
      <c r="Z813" s="70"/>
      <c r="AE813" s="1"/>
    </row>
    <row r="814">
      <c r="B814" s="70"/>
      <c r="C814" s="104"/>
      <c r="D814" s="90"/>
      <c r="E814" s="70"/>
      <c r="G814" s="1"/>
      <c r="H814" s="70"/>
      <c r="I814" s="104"/>
      <c r="J814" s="90"/>
      <c r="K814" s="70"/>
      <c r="M814" s="1"/>
      <c r="N814" s="70"/>
      <c r="S814" s="1"/>
      <c r="T814" s="70"/>
      <c r="Y814" s="1"/>
      <c r="Z814" s="70"/>
      <c r="AE814" s="1"/>
    </row>
    <row r="815">
      <c r="B815" s="70"/>
      <c r="C815" s="104"/>
      <c r="D815" s="90"/>
      <c r="E815" s="70"/>
      <c r="G815" s="1"/>
      <c r="H815" s="70"/>
      <c r="I815" s="104"/>
      <c r="J815" s="90"/>
      <c r="K815" s="70"/>
      <c r="M815" s="1"/>
      <c r="N815" s="70"/>
      <c r="S815" s="1"/>
      <c r="T815" s="70"/>
      <c r="Y815" s="1"/>
      <c r="Z815" s="70"/>
      <c r="AE815" s="1"/>
    </row>
    <row r="816">
      <c r="B816" s="70"/>
      <c r="C816" s="104"/>
      <c r="D816" s="90"/>
      <c r="E816" s="70"/>
      <c r="G816" s="1"/>
      <c r="H816" s="70"/>
      <c r="I816" s="104"/>
      <c r="J816" s="90"/>
      <c r="K816" s="70"/>
      <c r="M816" s="1"/>
      <c r="N816" s="70"/>
      <c r="S816" s="1"/>
      <c r="T816" s="70"/>
      <c r="Y816" s="1"/>
      <c r="Z816" s="70"/>
      <c r="AE816" s="1"/>
    </row>
    <row r="817">
      <c r="B817" s="70"/>
      <c r="C817" s="104"/>
      <c r="D817" s="90"/>
      <c r="E817" s="70"/>
      <c r="G817" s="1"/>
      <c r="H817" s="70"/>
      <c r="I817" s="104"/>
      <c r="J817" s="90"/>
      <c r="K817" s="70"/>
      <c r="M817" s="1"/>
      <c r="N817" s="70"/>
      <c r="S817" s="1"/>
      <c r="T817" s="70"/>
      <c r="Y817" s="1"/>
      <c r="Z817" s="70"/>
      <c r="AE817" s="1"/>
    </row>
    <row r="818">
      <c r="B818" s="70"/>
      <c r="C818" s="104"/>
      <c r="D818" s="90"/>
      <c r="E818" s="70"/>
      <c r="G818" s="1"/>
      <c r="H818" s="70"/>
      <c r="I818" s="104"/>
      <c r="J818" s="90"/>
      <c r="K818" s="70"/>
      <c r="M818" s="1"/>
      <c r="N818" s="70"/>
      <c r="S818" s="1"/>
      <c r="T818" s="70"/>
      <c r="Y818" s="1"/>
      <c r="Z818" s="70"/>
      <c r="AE818" s="1"/>
    </row>
    <row r="819">
      <c r="B819" s="70"/>
      <c r="C819" s="104"/>
      <c r="D819" s="90"/>
      <c r="E819" s="70"/>
      <c r="G819" s="1"/>
      <c r="H819" s="70"/>
      <c r="I819" s="104"/>
      <c r="J819" s="90"/>
      <c r="K819" s="70"/>
      <c r="M819" s="1"/>
      <c r="N819" s="70"/>
      <c r="S819" s="1"/>
      <c r="T819" s="70"/>
      <c r="Y819" s="1"/>
      <c r="Z819" s="70"/>
      <c r="AE819" s="1"/>
    </row>
    <row r="820">
      <c r="B820" s="70"/>
      <c r="C820" s="104"/>
      <c r="D820" s="90"/>
      <c r="E820" s="70"/>
      <c r="G820" s="1"/>
      <c r="H820" s="70"/>
      <c r="I820" s="104"/>
      <c r="J820" s="90"/>
      <c r="K820" s="70"/>
      <c r="M820" s="1"/>
      <c r="N820" s="70"/>
      <c r="S820" s="1"/>
      <c r="T820" s="70"/>
      <c r="Y820" s="1"/>
      <c r="Z820" s="70"/>
      <c r="AE820" s="1"/>
    </row>
    <row r="821">
      <c r="B821" s="70"/>
      <c r="C821" s="104"/>
      <c r="D821" s="90"/>
      <c r="E821" s="70"/>
      <c r="G821" s="1"/>
      <c r="H821" s="70"/>
      <c r="I821" s="104"/>
      <c r="J821" s="90"/>
      <c r="K821" s="70"/>
      <c r="M821" s="1"/>
      <c r="N821" s="70"/>
      <c r="S821" s="1"/>
      <c r="T821" s="70"/>
      <c r="Y821" s="1"/>
      <c r="Z821" s="70"/>
      <c r="AE821" s="1"/>
    </row>
    <row r="822">
      <c r="B822" s="70"/>
      <c r="C822" s="104"/>
      <c r="D822" s="90"/>
      <c r="E822" s="70"/>
      <c r="G822" s="1"/>
      <c r="H822" s="70"/>
      <c r="I822" s="104"/>
      <c r="J822" s="90"/>
      <c r="K822" s="70"/>
      <c r="M822" s="1"/>
      <c r="N822" s="70"/>
      <c r="S822" s="1"/>
      <c r="T822" s="70"/>
      <c r="Y822" s="1"/>
      <c r="Z822" s="70"/>
      <c r="AE822" s="1"/>
    </row>
    <row r="823">
      <c r="B823" s="70"/>
      <c r="C823" s="104"/>
      <c r="D823" s="90"/>
      <c r="E823" s="70"/>
      <c r="G823" s="1"/>
      <c r="H823" s="70"/>
      <c r="I823" s="104"/>
      <c r="J823" s="90"/>
      <c r="K823" s="70"/>
      <c r="M823" s="1"/>
      <c r="N823" s="70"/>
      <c r="S823" s="1"/>
      <c r="T823" s="70"/>
      <c r="Y823" s="1"/>
      <c r="Z823" s="70"/>
      <c r="AE823" s="1"/>
    </row>
    <row r="824">
      <c r="B824" s="70"/>
      <c r="C824" s="104"/>
      <c r="D824" s="90"/>
      <c r="E824" s="70"/>
      <c r="G824" s="1"/>
      <c r="H824" s="70"/>
      <c r="I824" s="104"/>
      <c r="J824" s="90"/>
      <c r="K824" s="70"/>
      <c r="M824" s="1"/>
      <c r="N824" s="70"/>
      <c r="S824" s="1"/>
      <c r="T824" s="70"/>
      <c r="Y824" s="1"/>
      <c r="Z824" s="70"/>
      <c r="AE824" s="1"/>
    </row>
    <row r="825">
      <c r="B825" s="70"/>
      <c r="C825" s="104"/>
      <c r="D825" s="90"/>
      <c r="E825" s="70"/>
      <c r="G825" s="1"/>
      <c r="H825" s="70"/>
      <c r="I825" s="104"/>
      <c r="J825" s="90"/>
      <c r="K825" s="70"/>
      <c r="M825" s="1"/>
      <c r="N825" s="70"/>
      <c r="S825" s="1"/>
      <c r="T825" s="70"/>
      <c r="Y825" s="1"/>
      <c r="Z825" s="70"/>
      <c r="AE825" s="1"/>
    </row>
    <row r="826">
      <c r="B826" s="70"/>
      <c r="C826" s="104"/>
      <c r="D826" s="90"/>
      <c r="E826" s="70"/>
      <c r="G826" s="1"/>
      <c r="H826" s="70"/>
      <c r="I826" s="104"/>
      <c r="J826" s="90"/>
      <c r="K826" s="70"/>
      <c r="M826" s="1"/>
      <c r="N826" s="70"/>
      <c r="S826" s="1"/>
      <c r="T826" s="70"/>
      <c r="Y826" s="1"/>
      <c r="Z826" s="70"/>
      <c r="AE826" s="1"/>
    </row>
    <row r="827">
      <c r="B827" s="70"/>
      <c r="C827" s="104"/>
      <c r="D827" s="90"/>
      <c r="E827" s="70"/>
      <c r="G827" s="1"/>
      <c r="H827" s="70"/>
      <c r="I827" s="104"/>
      <c r="J827" s="90"/>
      <c r="K827" s="70"/>
      <c r="M827" s="1"/>
      <c r="N827" s="70"/>
      <c r="S827" s="1"/>
      <c r="T827" s="70"/>
      <c r="Y827" s="1"/>
      <c r="Z827" s="70"/>
      <c r="AE827" s="1"/>
    </row>
    <row r="828">
      <c r="B828" s="70"/>
      <c r="C828" s="104"/>
      <c r="D828" s="90"/>
      <c r="E828" s="70"/>
      <c r="G828" s="1"/>
      <c r="H828" s="70"/>
      <c r="I828" s="104"/>
      <c r="J828" s="90"/>
      <c r="K828" s="70"/>
      <c r="M828" s="1"/>
      <c r="N828" s="70"/>
      <c r="S828" s="1"/>
      <c r="T828" s="70"/>
      <c r="Y828" s="1"/>
      <c r="Z828" s="70"/>
      <c r="AE828" s="1"/>
    </row>
    <row r="829">
      <c r="B829" s="70"/>
      <c r="C829" s="104"/>
      <c r="D829" s="90"/>
      <c r="E829" s="70"/>
      <c r="G829" s="1"/>
      <c r="H829" s="70"/>
      <c r="I829" s="104"/>
      <c r="J829" s="90"/>
      <c r="K829" s="70"/>
      <c r="M829" s="1"/>
      <c r="N829" s="70"/>
      <c r="S829" s="1"/>
      <c r="T829" s="70"/>
      <c r="Y829" s="1"/>
      <c r="Z829" s="70"/>
      <c r="AE829" s="1"/>
    </row>
    <row r="830">
      <c r="B830" s="70"/>
      <c r="C830" s="104"/>
      <c r="D830" s="90"/>
      <c r="E830" s="70"/>
      <c r="G830" s="1"/>
      <c r="H830" s="70"/>
      <c r="I830" s="104"/>
      <c r="J830" s="90"/>
      <c r="K830" s="70"/>
      <c r="M830" s="1"/>
      <c r="N830" s="70"/>
      <c r="S830" s="1"/>
      <c r="T830" s="70"/>
      <c r="Y830" s="1"/>
      <c r="Z830" s="70"/>
      <c r="AE830" s="1"/>
    </row>
    <row r="831">
      <c r="B831" s="70"/>
      <c r="C831" s="104"/>
      <c r="D831" s="90"/>
      <c r="E831" s="70"/>
      <c r="G831" s="1"/>
      <c r="H831" s="70"/>
      <c r="I831" s="104"/>
      <c r="J831" s="90"/>
      <c r="K831" s="70"/>
      <c r="M831" s="1"/>
      <c r="N831" s="70"/>
      <c r="S831" s="1"/>
      <c r="T831" s="70"/>
      <c r="Y831" s="1"/>
      <c r="Z831" s="70"/>
      <c r="AE831" s="1"/>
    </row>
    <row r="832">
      <c r="B832" s="70"/>
      <c r="C832" s="104"/>
      <c r="D832" s="90"/>
      <c r="E832" s="70"/>
      <c r="G832" s="1"/>
      <c r="H832" s="70"/>
      <c r="I832" s="104"/>
      <c r="J832" s="90"/>
      <c r="K832" s="70"/>
      <c r="M832" s="1"/>
      <c r="N832" s="70"/>
      <c r="S832" s="1"/>
      <c r="T832" s="70"/>
      <c r="Y832" s="1"/>
      <c r="Z832" s="70"/>
      <c r="AE832" s="1"/>
    </row>
    <row r="833">
      <c r="B833" s="70"/>
      <c r="C833" s="104"/>
      <c r="D833" s="90"/>
      <c r="E833" s="70"/>
      <c r="G833" s="1"/>
      <c r="H833" s="70"/>
      <c r="I833" s="104"/>
      <c r="J833" s="90"/>
      <c r="K833" s="70"/>
      <c r="M833" s="1"/>
      <c r="N833" s="70"/>
      <c r="S833" s="1"/>
      <c r="T833" s="70"/>
      <c r="Y833" s="1"/>
      <c r="Z833" s="70"/>
      <c r="AE833" s="1"/>
    </row>
    <row r="834">
      <c r="B834" s="70"/>
      <c r="C834" s="104"/>
      <c r="D834" s="90"/>
      <c r="E834" s="70"/>
      <c r="G834" s="1"/>
      <c r="H834" s="70"/>
      <c r="I834" s="104"/>
      <c r="J834" s="90"/>
      <c r="K834" s="70"/>
      <c r="M834" s="1"/>
      <c r="N834" s="70"/>
      <c r="S834" s="1"/>
      <c r="T834" s="70"/>
      <c r="Y834" s="1"/>
      <c r="Z834" s="70"/>
      <c r="AE834" s="1"/>
    </row>
    <row r="835">
      <c r="B835" s="70"/>
      <c r="C835" s="104"/>
      <c r="D835" s="90"/>
      <c r="E835" s="70"/>
      <c r="G835" s="1"/>
      <c r="H835" s="70"/>
      <c r="I835" s="104"/>
      <c r="J835" s="90"/>
      <c r="K835" s="70"/>
      <c r="M835" s="1"/>
      <c r="N835" s="70"/>
      <c r="S835" s="1"/>
      <c r="T835" s="70"/>
      <c r="Y835" s="1"/>
      <c r="Z835" s="70"/>
      <c r="AE835" s="1"/>
    </row>
    <row r="836">
      <c r="B836" s="70"/>
      <c r="C836" s="104"/>
      <c r="D836" s="90"/>
      <c r="E836" s="70"/>
      <c r="G836" s="1"/>
      <c r="H836" s="70"/>
      <c r="I836" s="104"/>
      <c r="J836" s="90"/>
      <c r="K836" s="70"/>
      <c r="M836" s="1"/>
      <c r="N836" s="70"/>
      <c r="S836" s="1"/>
      <c r="T836" s="70"/>
      <c r="Y836" s="1"/>
      <c r="Z836" s="70"/>
      <c r="AE836" s="1"/>
    </row>
    <row r="837">
      <c r="B837" s="70"/>
      <c r="C837" s="104"/>
      <c r="D837" s="90"/>
      <c r="E837" s="70"/>
      <c r="G837" s="1"/>
      <c r="H837" s="70"/>
      <c r="I837" s="104"/>
      <c r="J837" s="90"/>
      <c r="K837" s="70"/>
      <c r="M837" s="1"/>
      <c r="N837" s="70"/>
      <c r="S837" s="1"/>
      <c r="T837" s="70"/>
      <c r="Y837" s="1"/>
      <c r="Z837" s="70"/>
      <c r="AE837" s="1"/>
    </row>
    <row r="838">
      <c r="B838" s="70"/>
      <c r="C838" s="104"/>
      <c r="D838" s="90"/>
      <c r="E838" s="70"/>
      <c r="G838" s="1"/>
      <c r="H838" s="70"/>
      <c r="I838" s="104"/>
      <c r="J838" s="90"/>
      <c r="K838" s="70"/>
      <c r="M838" s="1"/>
      <c r="N838" s="70"/>
      <c r="S838" s="1"/>
      <c r="T838" s="70"/>
      <c r="Y838" s="1"/>
      <c r="Z838" s="70"/>
      <c r="AE838" s="1"/>
    </row>
    <row r="839">
      <c r="B839" s="70"/>
      <c r="C839" s="104"/>
      <c r="D839" s="90"/>
      <c r="E839" s="70"/>
      <c r="G839" s="1"/>
      <c r="H839" s="70"/>
      <c r="I839" s="104"/>
      <c r="J839" s="90"/>
      <c r="K839" s="70"/>
      <c r="M839" s="1"/>
      <c r="N839" s="70"/>
      <c r="S839" s="1"/>
      <c r="T839" s="70"/>
      <c r="Y839" s="1"/>
      <c r="Z839" s="70"/>
      <c r="AE839" s="1"/>
    </row>
    <row r="840">
      <c r="B840" s="70"/>
      <c r="C840" s="104"/>
      <c r="D840" s="90"/>
      <c r="E840" s="70"/>
      <c r="G840" s="1"/>
      <c r="H840" s="70"/>
      <c r="I840" s="104"/>
      <c r="J840" s="90"/>
      <c r="K840" s="70"/>
      <c r="M840" s="1"/>
      <c r="N840" s="70"/>
      <c r="S840" s="1"/>
      <c r="T840" s="70"/>
      <c r="Y840" s="1"/>
      <c r="Z840" s="70"/>
      <c r="AE840" s="1"/>
    </row>
    <row r="841">
      <c r="B841" s="70"/>
      <c r="C841" s="104"/>
      <c r="D841" s="90"/>
      <c r="E841" s="70"/>
      <c r="G841" s="1"/>
      <c r="H841" s="70"/>
      <c r="I841" s="104"/>
      <c r="J841" s="90"/>
      <c r="K841" s="70"/>
      <c r="M841" s="1"/>
      <c r="N841" s="70"/>
      <c r="S841" s="1"/>
      <c r="T841" s="70"/>
      <c r="Y841" s="1"/>
      <c r="Z841" s="70"/>
      <c r="AE841" s="1"/>
    </row>
    <row r="842">
      <c r="B842" s="70"/>
      <c r="C842" s="104"/>
      <c r="D842" s="90"/>
      <c r="E842" s="70"/>
      <c r="G842" s="1"/>
      <c r="H842" s="70"/>
      <c r="I842" s="104"/>
      <c r="J842" s="90"/>
      <c r="K842" s="70"/>
      <c r="M842" s="1"/>
      <c r="N842" s="70"/>
      <c r="S842" s="1"/>
      <c r="T842" s="70"/>
      <c r="Y842" s="1"/>
      <c r="Z842" s="70"/>
      <c r="AE842" s="1"/>
    </row>
    <row r="843">
      <c r="B843" s="70"/>
      <c r="C843" s="104"/>
      <c r="D843" s="90"/>
      <c r="E843" s="70"/>
      <c r="G843" s="1"/>
      <c r="H843" s="70"/>
      <c r="I843" s="104"/>
      <c r="J843" s="90"/>
      <c r="K843" s="70"/>
      <c r="M843" s="1"/>
      <c r="N843" s="70"/>
      <c r="S843" s="1"/>
      <c r="T843" s="70"/>
      <c r="Y843" s="1"/>
      <c r="Z843" s="70"/>
      <c r="AE843" s="1"/>
    </row>
    <row r="844">
      <c r="B844" s="70"/>
      <c r="C844" s="104"/>
      <c r="D844" s="90"/>
      <c r="E844" s="70"/>
      <c r="G844" s="1"/>
      <c r="H844" s="70"/>
      <c r="I844" s="104"/>
      <c r="J844" s="90"/>
      <c r="K844" s="70"/>
      <c r="M844" s="1"/>
      <c r="N844" s="70"/>
      <c r="S844" s="1"/>
      <c r="T844" s="70"/>
      <c r="Y844" s="1"/>
      <c r="Z844" s="70"/>
      <c r="AE844" s="1"/>
    </row>
    <row r="845">
      <c r="B845" s="70"/>
      <c r="C845" s="104"/>
      <c r="D845" s="90"/>
      <c r="E845" s="70"/>
      <c r="G845" s="1"/>
      <c r="H845" s="70"/>
      <c r="I845" s="104"/>
      <c r="J845" s="90"/>
      <c r="K845" s="70"/>
      <c r="M845" s="1"/>
      <c r="N845" s="70"/>
      <c r="S845" s="1"/>
      <c r="T845" s="70"/>
      <c r="Y845" s="1"/>
      <c r="Z845" s="70"/>
      <c r="AE845" s="1"/>
    </row>
    <row r="846">
      <c r="B846" s="70"/>
      <c r="C846" s="104"/>
      <c r="D846" s="90"/>
      <c r="E846" s="70"/>
      <c r="G846" s="1"/>
      <c r="H846" s="70"/>
      <c r="I846" s="104"/>
      <c r="J846" s="90"/>
      <c r="K846" s="70"/>
      <c r="M846" s="1"/>
      <c r="N846" s="70"/>
      <c r="S846" s="1"/>
      <c r="T846" s="70"/>
      <c r="Y846" s="1"/>
      <c r="Z846" s="70"/>
      <c r="AE846" s="1"/>
    </row>
    <row r="847">
      <c r="B847" s="70"/>
      <c r="C847" s="104"/>
      <c r="D847" s="90"/>
      <c r="E847" s="70"/>
      <c r="G847" s="1"/>
      <c r="H847" s="70"/>
      <c r="I847" s="104"/>
      <c r="J847" s="90"/>
      <c r="K847" s="70"/>
      <c r="M847" s="1"/>
      <c r="N847" s="70"/>
      <c r="S847" s="1"/>
      <c r="T847" s="70"/>
      <c r="Y847" s="1"/>
      <c r="Z847" s="70"/>
      <c r="AE847" s="1"/>
    </row>
    <row r="848">
      <c r="B848" s="70"/>
      <c r="C848" s="104"/>
      <c r="D848" s="90"/>
      <c r="E848" s="70"/>
      <c r="G848" s="1"/>
      <c r="H848" s="70"/>
      <c r="I848" s="104"/>
      <c r="J848" s="90"/>
      <c r="K848" s="70"/>
      <c r="M848" s="1"/>
      <c r="N848" s="70"/>
      <c r="S848" s="1"/>
      <c r="T848" s="70"/>
      <c r="Y848" s="1"/>
      <c r="Z848" s="70"/>
      <c r="AE848" s="1"/>
    </row>
    <row r="849">
      <c r="B849" s="70"/>
      <c r="C849" s="104"/>
      <c r="D849" s="90"/>
      <c r="E849" s="70"/>
      <c r="G849" s="1"/>
      <c r="H849" s="70"/>
      <c r="I849" s="104"/>
      <c r="J849" s="90"/>
      <c r="K849" s="70"/>
      <c r="M849" s="1"/>
      <c r="N849" s="70"/>
      <c r="S849" s="1"/>
      <c r="T849" s="70"/>
      <c r="Y849" s="1"/>
      <c r="Z849" s="70"/>
      <c r="AE849" s="1"/>
    </row>
    <row r="850">
      <c r="B850" s="70"/>
      <c r="C850" s="104"/>
      <c r="D850" s="90"/>
      <c r="E850" s="70"/>
      <c r="G850" s="1"/>
      <c r="H850" s="70"/>
      <c r="I850" s="104"/>
      <c r="J850" s="90"/>
      <c r="K850" s="70"/>
      <c r="M850" s="1"/>
      <c r="N850" s="70"/>
      <c r="S850" s="1"/>
      <c r="T850" s="70"/>
      <c r="Y850" s="1"/>
      <c r="Z850" s="70"/>
      <c r="AE850" s="1"/>
    </row>
    <row r="851">
      <c r="B851" s="70"/>
      <c r="C851" s="104"/>
      <c r="D851" s="90"/>
      <c r="E851" s="70"/>
      <c r="G851" s="1"/>
      <c r="H851" s="70"/>
      <c r="I851" s="104"/>
      <c r="J851" s="90"/>
      <c r="K851" s="70"/>
      <c r="M851" s="1"/>
      <c r="N851" s="70"/>
      <c r="S851" s="1"/>
      <c r="T851" s="70"/>
      <c r="Y851" s="1"/>
      <c r="Z851" s="70"/>
      <c r="AE851" s="1"/>
    </row>
    <row r="852">
      <c r="B852" s="70"/>
      <c r="C852" s="104"/>
      <c r="D852" s="90"/>
      <c r="E852" s="70"/>
      <c r="G852" s="1"/>
      <c r="H852" s="70"/>
      <c r="I852" s="104"/>
      <c r="J852" s="90"/>
      <c r="K852" s="70"/>
      <c r="M852" s="1"/>
      <c r="N852" s="70"/>
      <c r="S852" s="1"/>
      <c r="T852" s="70"/>
      <c r="Y852" s="1"/>
      <c r="Z852" s="70"/>
      <c r="AE852" s="1"/>
    </row>
    <row r="853">
      <c r="B853" s="70"/>
      <c r="C853" s="104"/>
      <c r="D853" s="90"/>
      <c r="E853" s="70"/>
      <c r="G853" s="1"/>
      <c r="H853" s="70"/>
      <c r="I853" s="104"/>
      <c r="J853" s="90"/>
      <c r="K853" s="70"/>
      <c r="M853" s="1"/>
      <c r="N853" s="70"/>
      <c r="S853" s="1"/>
      <c r="T853" s="70"/>
      <c r="Y853" s="1"/>
      <c r="Z853" s="70"/>
      <c r="AE853" s="1"/>
    </row>
    <row r="854">
      <c r="B854" s="70"/>
      <c r="C854" s="104"/>
      <c r="D854" s="90"/>
      <c r="E854" s="70"/>
      <c r="G854" s="1"/>
      <c r="H854" s="70"/>
      <c r="I854" s="104"/>
      <c r="J854" s="90"/>
      <c r="K854" s="70"/>
      <c r="M854" s="1"/>
      <c r="N854" s="70"/>
      <c r="S854" s="1"/>
      <c r="T854" s="70"/>
      <c r="Y854" s="1"/>
      <c r="Z854" s="70"/>
      <c r="AE854" s="1"/>
    </row>
    <row r="855">
      <c r="B855" s="70"/>
      <c r="C855" s="104"/>
      <c r="D855" s="90"/>
      <c r="E855" s="70"/>
      <c r="G855" s="1"/>
      <c r="H855" s="70"/>
      <c r="I855" s="104"/>
      <c r="J855" s="90"/>
      <c r="K855" s="70"/>
      <c r="M855" s="1"/>
      <c r="N855" s="70"/>
      <c r="S855" s="1"/>
      <c r="T855" s="70"/>
      <c r="Y855" s="1"/>
      <c r="Z855" s="70"/>
      <c r="AE855" s="1"/>
    </row>
    <row r="856">
      <c r="B856" s="70"/>
      <c r="C856" s="104"/>
      <c r="D856" s="90"/>
      <c r="E856" s="70"/>
      <c r="G856" s="1"/>
      <c r="H856" s="70"/>
      <c r="I856" s="104"/>
      <c r="J856" s="90"/>
      <c r="K856" s="70"/>
      <c r="M856" s="1"/>
      <c r="N856" s="70"/>
      <c r="S856" s="1"/>
      <c r="T856" s="70"/>
      <c r="Y856" s="1"/>
      <c r="Z856" s="70"/>
      <c r="AE856" s="1"/>
    </row>
    <row r="857">
      <c r="B857" s="70"/>
      <c r="C857" s="104"/>
      <c r="D857" s="90"/>
      <c r="E857" s="70"/>
      <c r="G857" s="1"/>
      <c r="H857" s="70"/>
      <c r="I857" s="104"/>
      <c r="J857" s="90"/>
      <c r="K857" s="70"/>
      <c r="M857" s="1"/>
      <c r="N857" s="70"/>
      <c r="S857" s="1"/>
      <c r="T857" s="70"/>
      <c r="Y857" s="1"/>
      <c r="Z857" s="70"/>
      <c r="AE857" s="1"/>
    </row>
    <row r="858">
      <c r="B858" s="70"/>
      <c r="C858" s="104"/>
      <c r="D858" s="90"/>
      <c r="E858" s="70"/>
      <c r="G858" s="1"/>
      <c r="H858" s="70"/>
      <c r="I858" s="104"/>
      <c r="J858" s="90"/>
      <c r="K858" s="70"/>
      <c r="M858" s="1"/>
      <c r="N858" s="70"/>
      <c r="S858" s="1"/>
      <c r="T858" s="70"/>
      <c r="Y858" s="1"/>
      <c r="Z858" s="70"/>
      <c r="AE858" s="1"/>
    </row>
    <row r="859">
      <c r="B859" s="70"/>
      <c r="C859" s="104"/>
      <c r="D859" s="90"/>
      <c r="E859" s="70"/>
      <c r="G859" s="1"/>
      <c r="H859" s="70"/>
      <c r="I859" s="104"/>
      <c r="J859" s="90"/>
      <c r="K859" s="70"/>
      <c r="M859" s="1"/>
      <c r="N859" s="70"/>
      <c r="S859" s="1"/>
      <c r="T859" s="70"/>
      <c r="Y859" s="1"/>
      <c r="Z859" s="70"/>
      <c r="AE859" s="1"/>
    </row>
    <row r="860">
      <c r="B860" s="70"/>
      <c r="C860" s="104"/>
      <c r="D860" s="90"/>
      <c r="E860" s="70"/>
      <c r="G860" s="1"/>
      <c r="H860" s="70"/>
      <c r="I860" s="104"/>
      <c r="J860" s="90"/>
      <c r="K860" s="70"/>
      <c r="M860" s="1"/>
      <c r="N860" s="70"/>
      <c r="S860" s="1"/>
      <c r="T860" s="70"/>
      <c r="Y860" s="1"/>
      <c r="Z860" s="70"/>
      <c r="AE860" s="1"/>
    </row>
    <row r="861">
      <c r="B861" s="70"/>
      <c r="C861" s="104"/>
      <c r="D861" s="90"/>
      <c r="E861" s="70"/>
      <c r="G861" s="1"/>
      <c r="H861" s="70"/>
      <c r="I861" s="104"/>
      <c r="J861" s="90"/>
      <c r="K861" s="70"/>
      <c r="M861" s="1"/>
      <c r="N861" s="70"/>
      <c r="S861" s="1"/>
      <c r="T861" s="70"/>
      <c r="Y861" s="1"/>
      <c r="Z861" s="70"/>
      <c r="AE861" s="1"/>
    </row>
    <row r="862">
      <c r="B862" s="70"/>
      <c r="C862" s="104"/>
      <c r="D862" s="90"/>
      <c r="E862" s="70"/>
      <c r="G862" s="1"/>
      <c r="H862" s="70"/>
      <c r="I862" s="104"/>
      <c r="J862" s="90"/>
      <c r="K862" s="70"/>
      <c r="M862" s="1"/>
      <c r="N862" s="70"/>
      <c r="S862" s="1"/>
      <c r="T862" s="70"/>
      <c r="Y862" s="1"/>
      <c r="Z862" s="70"/>
      <c r="AE862" s="1"/>
    </row>
    <row r="863">
      <c r="B863" s="70"/>
      <c r="C863" s="104"/>
      <c r="D863" s="90"/>
      <c r="E863" s="70"/>
      <c r="G863" s="1"/>
      <c r="H863" s="70"/>
      <c r="I863" s="104"/>
      <c r="J863" s="90"/>
      <c r="K863" s="70"/>
      <c r="M863" s="1"/>
      <c r="N863" s="70"/>
      <c r="S863" s="1"/>
      <c r="T863" s="70"/>
      <c r="Y863" s="1"/>
      <c r="Z863" s="70"/>
      <c r="AE863" s="1"/>
    </row>
    <row r="864">
      <c r="B864" s="70"/>
      <c r="C864" s="104"/>
      <c r="D864" s="90"/>
      <c r="E864" s="70"/>
      <c r="G864" s="1"/>
      <c r="H864" s="70"/>
      <c r="I864" s="104"/>
      <c r="J864" s="90"/>
      <c r="K864" s="70"/>
      <c r="M864" s="1"/>
      <c r="N864" s="70"/>
      <c r="S864" s="1"/>
      <c r="T864" s="70"/>
      <c r="Y864" s="1"/>
      <c r="Z864" s="70"/>
      <c r="AE864" s="1"/>
    </row>
    <row r="865">
      <c r="B865" s="70"/>
      <c r="C865" s="104"/>
      <c r="D865" s="90"/>
      <c r="E865" s="70"/>
      <c r="G865" s="1"/>
      <c r="H865" s="70"/>
      <c r="I865" s="104"/>
      <c r="J865" s="90"/>
      <c r="K865" s="70"/>
      <c r="M865" s="1"/>
      <c r="N865" s="70"/>
      <c r="S865" s="1"/>
      <c r="T865" s="70"/>
      <c r="Y865" s="1"/>
      <c r="Z865" s="70"/>
      <c r="AE865" s="1"/>
    </row>
    <row r="866">
      <c r="B866" s="70"/>
      <c r="C866" s="104"/>
      <c r="D866" s="90"/>
      <c r="E866" s="70"/>
      <c r="G866" s="1"/>
      <c r="H866" s="70"/>
      <c r="I866" s="104"/>
      <c r="J866" s="90"/>
      <c r="K866" s="70"/>
      <c r="M866" s="1"/>
      <c r="N866" s="70"/>
      <c r="S866" s="1"/>
      <c r="T866" s="70"/>
      <c r="Y866" s="1"/>
      <c r="Z866" s="70"/>
      <c r="AE866" s="1"/>
    </row>
    <row r="867">
      <c r="B867" s="70"/>
      <c r="C867" s="104"/>
      <c r="D867" s="90"/>
      <c r="E867" s="70"/>
      <c r="G867" s="1"/>
      <c r="H867" s="70"/>
      <c r="I867" s="104"/>
      <c r="J867" s="90"/>
      <c r="K867" s="70"/>
      <c r="M867" s="1"/>
      <c r="N867" s="70"/>
      <c r="S867" s="1"/>
      <c r="T867" s="70"/>
      <c r="Y867" s="1"/>
      <c r="Z867" s="70"/>
      <c r="AE867" s="1"/>
    </row>
    <row r="868">
      <c r="B868" s="70"/>
      <c r="C868" s="104"/>
      <c r="D868" s="90"/>
      <c r="E868" s="70"/>
      <c r="G868" s="1"/>
      <c r="H868" s="70"/>
      <c r="I868" s="104"/>
      <c r="J868" s="90"/>
      <c r="K868" s="70"/>
      <c r="M868" s="1"/>
      <c r="N868" s="70"/>
      <c r="S868" s="1"/>
      <c r="T868" s="70"/>
      <c r="Y868" s="1"/>
      <c r="Z868" s="70"/>
      <c r="AE868" s="1"/>
    </row>
    <row r="869">
      <c r="B869" s="70"/>
      <c r="C869" s="104"/>
      <c r="D869" s="90"/>
      <c r="E869" s="70"/>
      <c r="G869" s="1"/>
      <c r="H869" s="70"/>
      <c r="I869" s="104"/>
      <c r="J869" s="90"/>
      <c r="K869" s="70"/>
      <c r="M869" s="1"/>
      <c r="N869" s="70"/>
      <c r="S869" s="1"/>
      <c r="T869" s="70"/>
      <c r="Y869" s="1"/>
      <c r="Z869" s="70"/>
      <c r="AE869" s="1"/>
    </row>
    <row r="870">
      <c r="B870" s="70"/>
      <c r="C870" s="104"/>
      <c r="D870" s="90"/>
      <c r="E870" s="70"/>
      <c r="G870" s="1"/>
      <c r="H870" s="70"/>
      <c r="I870" s="104"/>
      <c r="J870" s="90"/>
      <c r="K870" s="70"/>
      <c r="M870" s="1"/>
      <c r="N870" s="70"/>
      <c r="S870" s="1"/>
      <c r="T870" s="70"/>
      <c r="Y870" s="1"/>
      <c r="Z870" s="70"/>
      <c r="AE870" s="1"/>
    </row>
    <row r="871">
      <c r="B871" s="70"/>
      <c r="C871" s="104"/>
      <c r="D871" s="90"/>
      <c r="E871" s="70"/>
      <c r="G871" s="1"/>
      <c r="H871" s="70"/>
      <c r="I871" s="104"/>
      <c r="J871" s="90"/>
      <c r="K871" s="70"/>
      <c r="M871" s="1"/>
      <c r="N871" s="70"/>
      <c r="S871" s="1"/>
      <c r="T871" s="70"/>
      <c r="Y871" s="1"/>
      <c r="Z871" s="70"/>
      <c r="AE871" s="1"/>
    </row>
    <row r="872">
      <c r="B872" s="70"/>
      <c r="C872" s="104"/>
      <c r="D872" s="90"/>
      <c r="E872" s="70"/>
      <c r="G872" s="1"/>
      <c r="H872" s="70"/>
      <c r="I872" s="104"/>
      <c r="J872" s="90"/>
      <c r="K872" s="70"/>
      <c r="M872" s="1"/>
      <c r="N872" s="70"/>
      <c r="S872" s="1"/>
      <c r="T872" s="70"/>
      <c r="Y872" s="1"/>
      <c r="Z872" s="70"/>
      <c r="AE872" s="1"/>
    </row>
    <row r="873">
      <c r="B873" s="70"/>
      <c r="C873" s="104"/>
      <c r="D873" s="90"/>
      <c r="E873" s="70"/>
      <c r="G873" s="1"/>
      <c r="H873" s="70"/>
      <c r="I873" s="104"/>
      <c r="J873" s="90"/>
      <c r="K873" s="70"/>
      <c r="M873" s="1"/>
      <c r="N873" s="70"/>
      <c r="S873" s="1"/>
      <c r="T873" s="70"/>
      <c r="Y873" s="1"/>
      <c r="Z873" s="70"/>
      <c r="AE873" s="1"/>
    </row>
    <row r="874">
      <c r="B874" s="70"/>
      <c r="C874" s="104"/>
      <c r="D874" s="90"/>
      <c r="E874" s="70"/>
      <c r="G874" s="1"/>
      <c r="H874" s="70"/>
      <c r="I874" s="104"/>
      <c r="J874" s="90"/>
      <c r="K874" s="70"/>
      <c r="M874" s="1"/>
      <c r="N874" s="70"/>
      <c r="S874" s="1"/>
      <c r="T874" s="70"/>
      <c r="Y874" s="1"/>
      <c r="Z874" s="70"/>
      <c r="AE874" s="1"/>
    </row>
    <row r="875">
      <c r="B875" s="70"/>
      <c r="C875" s="104"/>
      <c r="D875" s="90"/>
      <c r="E875" s="70"/>
      <c r="G875" s="1"/>
      <c r="H875" s="70"/>
      <c r="I875" s="104"/>
      <c r="J875" s="90"/>
      <c r="K875" s="70"/>
      <c r="M875" s="1"/>
      <c r="N875" s="70"/>
      <c r="S875" s="1"/>
      <c r="T875" s="70"/>
      <c r="Y875" s="1"/>
      <c r="Z875" s="70"/>
      <c r="AE875" s="1"/>
    </row>
    <row r="876">
      <c r="B876" s="70"/>
      <c r="C876" s="104"/>
      <c r="D876" s="90"/>
      <c r="E876" s="70"/>
      <c r="G876" s="1"/>
      <c r="H876" s="70"/>
      <c r="I876" s="104"/>
      <c r="J876" s="90"/>
      <c r="K876" s="70"/>
      <c r="M876" s="1"/>
      <c r="N876" s="70"/>
      <c r="S876" s="1"/>
      <c r="T876" s="70"/>
      <c r="Y876" s="1"/>
      <c r="Z876" s="70"/>
      <c r="AE876" s="1"/>
    </row>
    <row r="877">
      <c r="B877" s="70"/>
      <c r="C877" s="104"/>
      <c r="D877" s="90"/>
      <c r="E877" s="70"/>
      <c r="G877" s="1"/>
      <c r="H877" s="70"/>
      <c r="I877" s="104"/>
      <c r="J877" s="90"/>
      <c r="K877" s="70"/>
      <c r="M877" s="1"/>
      <c r="N877" s="70"/>
      <c r="S877" s="1"/>
      <c r="T877" s="70"/>
      <c r="Y877" s="1"/>
      <c r="Z877" s="70"/>
      <c r="AE877" s="1"/>
    </row>
    <row r="878">
      <c r="B878" s="70"/>
      <c r="C878" s="104"/>
      <c r="D878" s="90"/>
      <c r="E878" s="70"/>
      <c r="G878" s="1"/>
      <c r="H878" s="70"/>
      <c r="I878" s="104"/>
      <c r="J878" s="90"/>
      <c r="K878" s="70"/>
      <c r="M878" s="1"/>
      <c r="N878" s="70"/>
      <c r="S878" s="1"/>
      <c r="T878" s="70"/>
      <c r="Y878" s="1"/>
      <c r="Z878" s="70"/>
      <c r="AE878" s="1"/>
    </row>
    <row r="879">
      <c r="B879" s="70"/>
      <c r="C879" s="104"/>
      <c r="D879" s="90"/>
      <c r="E879" s="70"/>
      <c r="G879" s="1"/>
      <c r="H879" s="70"/>
      <c r="I879" s="104"/>
      <c r="J879" s="90"/>
      <c r="K879" s="70"/>
      <c r="M879" s="1"/>
      <c r="N879" s="70"/>
      <c r="S879" s="1"/>
      <c r="T879" s="70"/>
      <c r="Y879" s="1"/>
      <c r="Z879" s="70"/>
      <c r="AE879" s="1"/>
    </row>
    <row r="880">
      <c r="B880" s="70"/>
      <c r="C880" s="104"/>
      <c r="D880" s="90"/>
      <c r="E880" s="70"/>
      <c r="G880" s="1"/>
      <c r="H880" s="70"/>
      <c r="I880" s="104"/>
      <c r="J880" s="90"/>
      <c r="K880" s="70"/>
      <c r="M880" s="1"/>
      <c r="N880" s="70"/>
      <c r="S880" s="1"/>
      <c r="T880" s="70"/>
      <c r="Y880" s="1"/>
      <c r="Z880" s="70"/>
      <c r="AE880" s="1"/>
    </row>
    <row r="881">
      <c r="B881" s="70"/>
      <c r="C881" s="104"/>
      <c r="D881" s="90"/>
      <c r="E881" s="70"/>
      <c r="G881" s="1"/>
      <c r="H881" s="70"/>
      <c r="I881" s="104"/>
      <c r="J881" s="90"/>
      <c r="K881" s="70"/>
      <c r="M881" s="1"/>
      <c r="N881" s="70"/>
      <c r="S881" s="1"/>
      <c r="T881" s="70"/>
      <c r="Y881" s="1"/>
      <c r="Z881" s="70"/>
      <c r="AE881" s="1"/>
    </row>
    <row r="882">
      <c r="B882" s="70"/>
      <c r="C882" s="104"/>
      <c r="D882" s="90"/>
      <c r="E882" s="70"/>
      <c r="G882" s="1"/>
      <c r="H882" s="70"/>
      <c r="I882" s="104"/>
      <c r="J882" s="90"/>
      <c r="K882" s="70"/>
      <c r="M882" s="1"/>
      <c r="N882" s="70"/>
      <c r="S882" s="1"/>
      <c r="T882" s="70"/>
      <c r="Y882" s="1"/>
      <c r="Z882" s="70"/>
      <c r="AE882" s="1"/>
    </row>
    <row r="883">
      <c r="B883" s="70"/>
      <c r="C883" s="104"/>
      <c r="D883" s="90"/>
      <c r="E883" s="70"/>
      <c r="G883" s="1"/>
      <c r="H883" s="70"/>
      <c r="I883" s="104"/>
      <c r="J883" s="90"/>
      <c r="K883" s="70"/>
      <c r="M883" s="1"/>
      <c r="N883" s="70"/>
      <c r="S883" s="1"/>
      <c r="T883" s="70"/>
      <c r="Y883" s="1"/>
      <c r="Z883" s="70"/>
      <c r="AE883" s="1"/>
    </row>
    <row r="884">
      <c r="B884" s="70"/>
      <c r="C884" s="104"/>
      <c r="D884" s="90"/>
      <c r="E884" s="70"/>
      <c r="G884" s="1"/>
      <c r="H884" s="70"/>
      <c r="I884" s="104"/>
      <c r="J884" s="90"/>
      <c r="K884" s="70"/>
      <c r="M884" s="1"/>
      <c r="N884" s="70"/>
      <c r="S884" s="1"/>
      <c r="T884" s="70"/>
      <c r="Y884" s="1"/>
      <c r="Z884" s="70"/>
      <c r="AE884" s="1"/>
    </row>
    <row r="885">
      <c r="B885" s="70"/>
      <c r="C885" s="104"/>
      <c r="D885" s="90"/>
      <c r="E885" s="70"/>
      <c r="G885" s="1"/>
      <c r="H885" s="70"/>
      <c r="I885" s="104"/>
      <c r="J885" s="90"/>
      <c r="K885" s="70"/>
      <c r="M885" s="1"/>
      <c r="N885" s="70"/>
      <c r="S885" s="1"/>
      <c r="T885" s="70"/>
      <c r="Y885" s="1"/>
      <c r="Z885" s="70"/>
      <c r="AE885" s="1"/>
    </row>
    <row r="886">
      <c r="B886" s="70"/>
      <c r="C886" s="104"/>
      <c r="D886" s="90"/>
      <c r="E886" s="70"/>
      <c r="G886" s="1"/>
      <c r="H886" s="70"/>
      <c r="I886" s="104"/>
      <c r="J886" s="90"/>
      <c r="K886" s="70"/>
      <c r="M886" s="1"/>
      <c r="N886" s="70"/>
      <c r="S886" s="1"/>
      <c r="T886" s="70"/>
      <c r="Y886" s="1"/>
      <c r="Z886" s="70"/>
      <c r="AE886" s="1"/>
    </row>
    <row r="887">
      <c r="B887" s="70"/>
      <c r="C887" s="104"/>
      <c r="D887" s="90"/>
      <c r="E887" s="70"/>
      <c r="G887" s="1"/>
      <c r="H887" s="70"/>
      <c r="I887" s="104"/>
      <c r="J887" s="90"/>
      <c r="K887" s="70"/>
      <c r="M887" s="1"/>
      <c r="N887" s="70"/>
      <c r="S887" s="1"/>
      <c r="T887" s="70"/>
      <c r="Y887" s="1"/>
      <c r="Z887" s="70"/>
      <c r="AE887" s="1"/>
    </row>
    <row r="888">
      <c r="B888" s="70"/>
      <c r="C888" s="104"/>
      <c r="D888" s="90"/>
      <c r="E888" s="70"/>
      <c r="G888" s="1"/>
      <c r="H888" s="70"/>
      <c r="I888" s="104"/>
      <c r="J888" s="90"/>
      <c r="K888" s="70"/>
      <c r="M888" s="1"/>
      <c r="N888" s="70"/>
      <c r="S888" s="1"/>
      <c r="T888" s="70"/>
      <c r="Y888" s="1"/>
      <c r="Z888" s="70"/>
      <c r="AE888" s="1"/>
    </row>
    <row r="889">
      <c r="B889" s="70"/>
      <c r="C889" s="104"/>
      <c r="D889" s="90"/>
      <c r="E889" s="70"/>
      <c r="G889" s="1"/>
      <c r="H889" s="70"/>
      <c r="I889" s="104"/>
      <c r="J889" s="90"/>
      <c r="K889" s="70"/>
      <c r="M889" s="1"/>
      <c r="N889" s="70"/>
      <c r="S889" s="1"/>
      <c r="T889" s="70"/>
      <c r="Y889" s="1"/>
      <c r="Z889" s="70"/>
      <c r="AE889" s="1"/>
    </row>
    <row r="890">
      <c r="B890" s="70"/>
      <c r="C890" s="104"/>
      <c r="D890" s="90"/>
      <c r="E890" s="70"/>
      <c r="G890" s="1"/>
      <c r="H890" s="70"/>
      <c r="I890" s="104"/>
      <c r="J890" s="90"/>
      <c r="K890" s="70"/>
      <c r="M890" s="1"/>
      <c r="N890" s="70"/>
      <c r="S890" s="1"/>
      <c r="T890" s="70"/>
      <c r="Y890" s="1"/>
      <c r="Z890" s="70"/>
      <c r="AE890" s="1"/>
    </row>
    <row r="891">
      <c r="B891" s="70"/>
      <c r="C891" s="104"/>
      <c r="D891" s="90"/>
      <c r="E891" s="70"/>
      <c r="G891" s="1"/>
      <c r="H891" s="70"/>
      <c r="I891" s="104"/>
      <c r="J891" s="90"/>
      <c r="K891" s="70"/>
      <c r="M891" s="1"/>
      <c r="N891" s="70"/>
      <c r="S891" s="1"/>
      <c r="T891" s="70"/>
      <c r="Y891" s="1"/>
      <c r="Z891" s="70"/>
      <c r="AE891" s="1"/>
    </row>
    <row r="892">
      <c r="B892" s="70"/>
      <c r="C892" s="104"/>
      <c r="D892" s="90"/>
      <c r="E892" s="70"/>
      <c r="G892" s="1"/>
      <c r="H892" s="70"/>
      <c r="I892" s="104"/>
      <c r="J892" s="90"/>
      <c r="K892" s="70"/>
      <c r="M892" s="1"/>
      <c r="N892" s="70"/>
      <c r="S892" s="1"/>
      <c r="T892" s="70"/>
      <c r="Y892" s="1"/>
      <c r="Z892" s="70"/>
      <c r="AE892" s="1"/>
    </row>
    <row r="893">
      <c r="B893" s="70"/>
      <c r="C893" s="104"/>
      <c r="D893" s="90"/>
      <c r="E893" s="70"/>
      <c r="G893" s="1"/>
      <c r="H893" s="70"/>
      <c r="I893" s="104"/>
      <c r="J893" s="90"/>
      <c r="K893" s="70"/>
      <c r="M893" s="1"/>
      <c r="N893" s="70"/>
      <c r="S893" s="1"/>
      <c r="T893" s="70"/>
      <c r="Y893" s="1"/>
      <c r="Z893" s="70"/>
      <c r="AE893" s="1"/>
    </row>
    <row r="894">
      <c r="B894" s="70"/>
      <c r="C894" s="104"/>
      <c r="D894" s="90"/>
      <c r="E894" s="70"/>
      <c r="G894" s="1"/>
      <c r="H894" s="70"/>
      <c r="I894" s="104"/>
      <c r="J894" s="90"/>
      <c r="K894" s="70"/>
      <c r="M894" s="1"/>
      <c r="N894" s="70"/>
      <c r="S894" s="1"/>
      <c r="T894" s="70"/>
      <c r="Y894" s="1"/>
      <c r="Z894" s="70"/>
      <c r="AE894" s="1"/>
    </row>
    <row r="895">
      <c r="B895" s="70"/>
      <c r="C895" s="104"/>
      <c r="D895" s="90"/>
      <c r="E895" s="70"/>
      <c r="G895" s="1"/>
      <c r="H895" s="70"/>
      <c r="I895" s="104"/>
      <c r="J895" s="90"/>
      <c r="K895" s="70"/>
      <c r="M895" s="1"/>
      <c r="N895" s="70"/>
      <c r="S895" s="1"/>
      <c r="T895" s="70"/>
      <c r="Y895" s="1"/>
      <c r="Z895" s="70"/>
      <c r="AE895" s="1"/>
    </row>
    <row r="896">
      <c r="B896" s="70"/>
      <c r="C896" s="104"/>
      <c r="D896" s="90"/>
      <c r="E896" s="70"/>
      <c r="G896" s="1"/>
      <c r="H896" s="70"/>
      <c r="I896" s="104"/>
      <c r="J896" s="90"/>
      <c r="K896" s="70"/>
      <c r="M896" s="1"/>
      <c r="N896" s="70"/>
      <c r="S896" s="1"/>
      <c r="T896" s="70"/>
      <c r="Y896" s="1"/>
      <c r="Z896" s="70"/>
      <c r="AE896" s="1"/>
    </row>
    <row r="897">
      <c r="B897" s="70"/>
      <c r="C897" s="104"/>
      <c r="D897" s="90"/>
      <c r="E897" s="70"/>
      <c r="G897" s="1"/>
      <c r="H897" s="70"/>
      <c r="I897" s="104"/>
      <c r="J897" s="90"/>
      <c r="K897" s="70"/>
      <c r="M897" s="1"/>
      <c r="N897" s="70"/>
      <c r="S897" s="1"/>
      <c r="T897" s="70"/>
      <c r="Y897" s="1"/>
      <c r="Z897" s="70"/>
      <c r="AE897" s="1"/>
    </row>
    <row r="898">
      <c r="B898" s="70"/>
      <c r="C898" s="104"/>
      <c r="D898" s="90"/>
      <c r="E898" s="70"/>
      <c r="G898" s="1"/>
      <c r="H898" s="70"/>
      <c r="I898" s="104"/>
      <c r="J898" s="90"/>
      <c r="K898" s="70"/>
      <c r="M898" s="1"/>
      <c r="N898" s="70"/>
      <c r="S898" s="1"/>
      <c r="T898" s="70"/>
      <c r="Y898" s="1"/>
      <c r="Z898" s="70"/>
      <c r="AE898" s="1"/>
    </row>
    <row r="899">
      <c r="B899" s="70"/>
      <c r="C899" s="104"/>
      <c r="D899" s="90"/>
      <c r="E899" s="70"/>
      <c r="G899" s="1"/>
      <c r="H899" s="70"/>
      <c r="I899" s="104"/>
      <c r="J899" s="90"/>
      <c r="K899" s="70"/>
      <c r="M899" s="1"/>
      <c r="N899" s="70"/>
      <c r="S899" s="1"/>
      <c r="T899" s="70"/>
      <c r="Y899" s="1"/>
      <c r="Z899" s="70"/>
      <c r="AE899" s="1"/>
    </row>
    <row r="900">
      <c r="B900" s="70"/>
      <c r="C900" s="104"/>
      <c r="D900" s="90"/>
      <c r="E900" s="70"/>
      <c r="G900" s="1"/>
      <c r="H900" s="70"/>
      <c r="I900" s="104"/>
      <c r="J900" s="90"/>
      <c r="K900" s="70"/>
      <c r="M900" s="1"/>
      <c r="N900" s="70"/>
      <c r="S900" s="1"/>
      <c r="T900" s="70"/>
      <c r="Y900" s="1"/>
      <c r="Z900" s="70"/>
      <c r="AE900" s="1"/>
    </row>
    <row r="901">
      <c r="B901" s="70"/>
      <c r="C901" s="104"/>
      <c r="D901" s="90"/>
      <c r="E901" s="70"/>
      <c r="G901" s="1"/>
      <c r="H901" s="70"/>
      <c r="I901" s="104"/>
      <c r="J901" s="90"/>
      <c r="K901" s="70"/>
      <c r="M901" s="1"/>
      <c r="N901" s="70"/>
      <c r="S901" s="1"/>
      <c r="T901" s="70"/>
      <c r="Y901" s="1"/>
      <c r="Z901" s="70"/>
      <c r="AE901" s="1"/>
    </row>
    <row r="902">
      <c r="B902" s="70"/>
      <c r="C902" s="104"/>
      <c r="D902" s="90"/>
      <c r="E902" s="70"/>
      <c r="G902" s="1"/>
      <c r="H902" s="70"/>
      <c r="I902" s="104"/>
      <c r="J902" s="90"/>
      <c r="K902" s="70"/>
      <c r="M902" s="1"/>
      <c r="N902" s="70"/>
      <c r="S902" s="1"/>
      <c r="T902" s="70"/>
      <c r="Y902" s="1"/>
      <c r="Z902" s="70"/>
      <c r="AE902" s="1"/>
    </row>
    <row r="903">
      <c r="B903" s="70"/>
      <c r="C903" s="104"/>
      <c r="D903" s="90"/>
      <c r="E903" s="70"/>
      <c r="G903" s="1"/>
      <c r="H903" s="70"/>
      <c r="I903" s="104"/>
      <c r="J903" s="90"/>
      <c r="K903" s="70"/>
      <c r="M903" s="1"/>
      <c r="N903" s="70"/>
      <c r="S903" s="1"/>
      <c r="T903" s="70"/>
      <c r="Y903" s="1"/>
      <c r="Z903" s="70"/>
      <c r="AE903" s="1"/>
    </row>
    <row r="904">
      <c r="B904" s="70"/>
      <c r="C904" s="104"/>
      <c r="D904" s="90"/>
      <c r="E904" s="70"/>
      <c r="G904" s="1"/>
      <c r="H904" s="70"/>
      <c r="I904" s="104"/>
      <c r="J904" s="90"/>
      <c r="K904" s="70"/>
      <c r="M904" s="1"/>
      <c r="N904" s="70"/>
      <c r="S904" s="1"/>
      <c r="T904" s="70"/>
      <c r="Y904" s="1"/>
      <c r="Z904" s="70"/>
      <c r="AE904" s="1"/>
    </row>
    <row r="905">
      <c r="B905" s="70"/>
      <c r="C905" s="104"/>
      <c r="D905" s="90"/>
      <c r="E905" s="70"/>
      <c r="G905" s="1"/>
      <c r="H905" s="70"/>
      <c r="I905" s="104"/>
      <c r="J905" s="90"/>
      <c r="K905" s="70"/>
      <c r="M905" s="1"/>
      <c r="N905" s="70"/>
      <c r="S905" s="1"/>
      <c r="T905" s="70"/>
      <c r="Y905" s="1"/>
      <c r="Z905" s="70"/>
      <c r="AE905" s="1"/>
    </row>
    <row r="906">
      <c r="B906" s="70"/>
      <c r="C906" s="104"/>
      <c r="D906" s="90"/>
      <c r="E906" s="70"/>
      <c r="G906" s="1"/>
      <c r="H906" s="70"/>
      <c r="I906" s="104"/>
      <c r="J906" s="90"/>
      <c r="K906" s="70"/>
      <c r="M906" s="1"/>
      <c r="N906" s="70"/>
      <c r="S906" s="1"/>
      <c r="T906" s="70"/>
      <c r="Y906" s="1"/>
      <c r="Z906" s="70"/>
      <c r="AE906" s="1"/>
    </row>
    <row r="907">
      <c r="B907" s="70"/>
      <c r="C907" s="104"/>
      <c r="D907" s="90"/>
      <c r="E907" s="70"/>
      <c r="G907" s="1"/>
      <c r="H907" s="70"/>
      <c r="I907" s="104"/>
      <c r="J907" s="90"/>
      <c r="K907" s="70"/>
      <c r="M907" s="1"/>
      <c r="N907" s="70"/>
      <c r="S907" s="1"/>
      <c r="T907" s="70"/>
      <c r="Y907" s="1"/>
      <c r="Z907" s="70"/>
      <c r="AE907" s="1"/>
    </row>
    <row r="908">
      <c r="B908" s="70"/>
      <c r="C908" s="104"/>
      <c r="D908" s="90"/>
      <c r="E908" s="70"/>
      <c r="G908" s="1"/>
      <c r="H908" s="70"/>
      <c r="I908" s="104"/>
      <c r="J908" s="90"/>
      <c r="K908" s="70"/>
      <c r="M908" s="1"/>
      <c r="N908" s="70"/>
      <c r="S908" s="1"/>
      <c r="T908" s="70"/>
      <c r="Y908" s="1"/>
      <c r="Z908" s="70"/>
      <c r="AE908" s="1"/>
    </row>
    <row r="909">
      <c r="B909" s="70"/>
      <c r="C909" s="104"/>
      <c r="D909" s="90"/>
      <c r="E909" s="70"/>
      <c r="G909" s="1"/>
      <c r="H909" s="70"/>
      <c r="I909" s="104"/>
      <c r="J909" s="90"/>
      <c r="K909" s="70"/>
      <c r="M909" s="1"/>
      <c r="N909" s="70"/>
      <c r="S909" s="1"/>
      <c r="T909" s="70"/>
      <c r="Y909" s="1"/>
      <c r="Z909" s="70"/>
      <c r="AE909" s="1"/>
    </row>
    <row r="910">
      <c r="B910" s="70"/>
      <c r="C910" s="104"/>
      <c r="D910" s="90"/>
      <c r="E910" s="70"/>
      <c r="G910" s="1"/>
      <c r="H910" s="70"/>
      <c r="I910" s="104"/>
      <c r="J910" s="90"/>
      <c r="K910" s="70"/>
      <c r="M910" s="1"/>
      <c r="N910" s="70"/>
      <c r="S910" s="1"/>
      <c r="T910" s="70"/>
      <c r="Y910" s="1"/>
      <c r="Z910" s="70"/>
      <c r="AE910" s="1"/>
    </row>
    <row r="911">
      <c r="B911" s="70"/>
      <c r="C911" s="104"/>
      <c r="D911" s="90"/>
      <c r="E911" s="70"/>
      <c r="G911" s="1"/>
      <c r="H911" s="70"/>
      <c r="I911" s="104"/>
      <c r="J911" s="90"/>
      <c r="K911" s="70"/>
      <c r="M911" s="1"/>
      <c r="N911" s="70"/>
      <c r="S911" s="1"/>
      <c r="T911" s="70"/>
      <c r="Y911" s="1"/>
      <c r="Z911" s="70"/>
      <c r="AE911" s="1"/>
    </row>
    <row r="912">
      <c r="B912" s="70"/>
      <c r="C912" s="104"/>
      <c r="D912" s="90"/>
      <c r="E912" s="70"/>
      <c r="G912" s="1"/>
      <c r="H912" s="70"/>
      <c r="I912" s="104"/>
      <c r="J912" s="90"/>
      <c r="K912" s="70"/>
      <c r="M912" s="1"/>
      <c r="N912" s="70"/>
      <c r="S912" s="1"/>
      <c r="T912" s="70"/>
      <c r="Y912" s="1"/>
      <c r="Z912" s="70"/>
      <c r="AE912" s="1"/>
    </row>
    <row r="913">
      <c r="B913" s="70"/>
      <c r="C913" s="104"/>
      <c r="D913" s="90"/>
      <c r="E913" s="70"/>
      <c r="G913" s="1"/>
      <c r="H913" s="70"/>
      <c r="I913" s="104"/>
      <c r="J913" s="90"/>
      <c r="K913" s="70"/>
      <c r="M913" s="1"/>
      <c r="N913" s="70"/>
      <c r="S913" s="1"/>
      <c r="T913" s="70"/>
      <c r="Y913" s="1"/>
      <c r="Z913" s="70"/>
      <c r="AE913" s="1"/>
    </row>
    <row r="914">
      <c r="B914" s="70"/>
      <c r="C914" s="104"/>
      <c r="D914" s="90"/>
      <c r="E914" s="70"/>
      <c r="G914" s="1"/>
      <c r="H914" s="70"/>
      <c r="I914" s="104"/>
      <c r="J914" s="90"/>
      <c r="K914" s="70"/>
      <c r="M914" s="1"/>
      <c r="N914" s="70"/>
      <c r="S914" s="1"/>
      <c r="T914" s="70"/>
      <c r="Y914" s="1"/>
      <c r="Z914" s="70"/>
      <c r="AE914" s="1"/>
    </row>
    <row r="915">
      <c r="B915" s="70"/>
      <c r="C915" s="104"/>
      <c r="D915" s="90"/>
      <c r="E915" s="70"/>
      <c r="G915" s="1"/>
      <c r="H915" s="70"/>
      <c r="I915" s="104"/>
      <c r="J915" s="90"/>
      <c r="K915" s="70"/>
      <c r="M915" s="1"/>
      <c r="N915" s="70"/>
      <c r="S915" s="1"/>
      <c r="T915" s="70"/>
      <c r="Y915" s="1"/>
      <c r="Z915" s="70"/>
      <c r="AE915" s="1"/>
    </row>
    <row r="916">
      <c r="B916" s="70"/>
      <c r="C916" s="104"/>
      <c r="D916" s="90"/>
      <c r="E916" s="70"/>
      <c r="G916" s="1"/>
      <c r="H916" s="70"/>
      <c r="I916" s="104"/>
      <c r="J916" s="90"/>
      <c r="K916" s="70"/>
      <c r="M916" s="1"/>
      <c r="N916" s="70"/>
      <c r="S916" s="1"/>
      <c r="T916" s="70"/>
      <c r="Y916" s="1"/>
      <c r="Z916" s="70"/>
      <c r="AE916" s="1"/>
    </row>
    <row r="917">
      <c r="B917" s="70"/>
      <c r="C917" s="104"/>
      <c r="D917" s="90"/>
      <c r="E917" s="70"/>
      <c r="G917" s="1"/>
      <c r="H917" s="70"/>
      <c r="I917" s="104"/>
      <c r="J917" s="90"/>
      <c r="K917" s="70"/>
      <c r="M917" s="1"/>
      <c r="N917" s="70"/>
      <c r="S917" s="1"/>
      <c r="T917" s="70"/>
      <c r="Y917" s="1"/>
      <c r="Z917" s="70"/>
      <c r="AE917" s="1"/>
    </row>
    <row r="918">
      <c r="B918" s="70"/>
      <c r="C918" s="104"/>
      <c r="D918" s="90"/>
      <c r="E918" s="70"/>
      <c r="G918" s="1"/>
      <c r="H918" s="70"/>
      <c r="I918" s="104"/>
      <c r="J918" s="90"/>
      <c r="K918" s="70"/>
      <c r="M918" s="1"/>
      <c r="N918" s="70"/>
      <c r="S918" s="1"/>
      <c r="T918" s="70"/>
      <c r="Y918" s="1"/>
      <c r="Z918" s="70"/>
      <c r="AE918" s="1"/>
    </row>
    <row r="919">
      <c r="B919" s="70"/>
      <c r="C919" s="104"/>
      <c r="D919" s="90"/>
      <c r="E919" s="70"/>
      <c r="G919" s="1"/>
      <c r="H919" s="70"/>
      <c r="I919" s="104"/>
      <c r="J919" s="90"/>
      <c r="K919" s="70"/>
      <c r="M919" s="1"/>
      <c r="N919" s="70"/>
      <c r="S919" s="1"/>
      <c r="T919" s="70"/>
      <c r="Y919" s="1"/>
      <c r="Z919" s="70"/>
      <c r="AE919" s="1"/>
    </row>
    <row r="920">
      <c r="B920" s="70"/>
      <c r="C920" s="104"/>
      <c r="D920" s="90"/>
      <c r="E920" s="70"/>
      <c r="G920" s="1"/>
      <c r="H920" s="70"/>
      <c r="I920" s="104"/>
      <c r="J920" s="90"/>
      <c r="K920" s="70"/>
      <c r="M920" s="1"/>
      <c r="N920" s="70"/>
      <c r="S920" s="1"/>
      <c r="T920" s="70"/>
      <c r="Y920" s="1"/>
      <c r="Z920" s="70"/>
      <c r="AE920" s="1"/>
    </row>
    <row r="921">
      <c r="B921" s="70"/>
      <c r="C921" s="104"/>
      <c r="D921" s="90"/>
      <c r="E921" s="70"/>
      <c r="G921" s="1"/>
      <c r="H921" s="70"/>
      <c r="I921" s="104"/>
      <c r="J921" s="90"/>
      <c r="K921" s="70"/>
      <c r="M921" s="1"/>
      <c r="N921" s="70"/>
      <c r="S921" s="1"/>
      <c r="T921" s="70"/>
      <c r="Y921" s="1"/>
      <c r="Z921" s="70"/>
      <c r="AE921" s="1"/>
    </row>
    <row r="922">
      <c r="B922" s="70"/>
      <c r="C922" s="104"/>
      <c r="D922" s="90"/>
      <c r="E922" s="70"/>
      <c r="G922" s="1"/>
      <c r="H922" s="70"/>
      <c r="I922" s="104"/>
      <c r="J922" s="90"/>
      <c r="K922" s="70"/>
      <c r="M922" s="1"/>
      <c r="N922" s="70"/>
      <c r="S922" s="1"/>
      <c r="T922" s="70"/>
      <c r="Y922" s="1"/>
      <c r="Z922" s="70"/>
      <c r="AE922" s="1"/>
    </row>
    <row r="923">
      <c r="B923" s="70"/>
      <c r="C923" s="104"/>
      <c r="D923" s="90"/>
      <c r="E923" s="70"/>
      <c r="G923" s="1"/>
      <c r="H923" s="70"/>
      <c r="I923" s="104"/>
      <c r="J923" s="90"/>
      <c r="K923" s="70"/>
      <c r="M923" s="1"/>
      <c r="N923" s="70"/>
      <c r="S923" s="1"/>
      <c r="T923" s="70"/>
      <c r="Y923" s="1"/>
      <c r="Z923" s="70"/>
      <c r="AE923" s="1"/>
    </row>
    <row r="924">
      <c r="B924" s="70"/>
      <c r="C924" s="104"/>
      <c r="D924" s="90"/>
      <c r="E924" s="70"/>
      <c r="G924" s="1"/>
      <c r="H924" s="70"/>
      <c r="I924" s="104"/>
      <c r="J924" s="90"/>
      <c r="K924" s="70"/>
      <c r="M924" s="1"/>
      <c r="N924" s="70"/>
      <c r="S924" s="1"/>
      <c r="T924" s="70"/>
      <c r="Y924" s="1"/>
      <c r="Z924" s="70"/>
      <c r="AE924" s="1"/>
    </row>
    <row r="925">
      <c r="B925" s="70"/>
      <c r="C925" s="104"/>
      <c r="D925" s="90"/>
      <c r="E925" s="70"/>
      <c r="G925" s="1"/>
      <c r="H925" s="70"/>
      <c r="I925" s="104"/>
      <c r="J925" s="90"/>
      <c r="K925" s="70"/>
      <c r="M925" s="1"/>
      <c r="N925" s="70"/>
      <c r="S925" s="1"/>
      <c r="T925" s="70"/>
      <c r="Y925" s="1"/>
      <c r="Z925" s="70"/>
      <c r="AE925" s="1"/>
    </row>
    <row r="926">
      <c r="B926" s="70"/>
      <c r="C926" s="104"/>
      <c r="D926" s="90"/>
      <c r="E926" s="70"/>
      <c r="G926" s="1"/>
      <c r="H926" s="70"/>
      <c r="I926" s="104"/>
      <c r="J926" s="90"/>
      <c r="K926" s="70"/>
      <c r="M926" s="1"/>
      <c r="N926" s="70"/>
      <c r="S926" s="1"/>
      <c r="T926" s="70"/>
      <c r="Y926" s="1"/>
      <c r="Z926" s="70"/>
      <c r="AE926" s="1"/>
    </row>
    <row r="927">
      <c r="B927" s="70"/>
      <c r="C927" s="104"/>
      <c r="D927" s="90"/>
      <c r="E927" s="70"/>
      <c r="G927" s="1"/>
      <c r="H927" s="70"/>
      <c r="I927" s="104"/>
      <c r="J927" s="90"/>
      <c r="K927" s="70"/>
      <c r="M927" s="1"/>
      <c r="N927" s="70"/>
      <c r="S927" s="1"/>
      <c r="T927" s="70"/>
      <c r="Y927" s="1"/>
      <c r="Z927" s="70"/>
      <c r="AE927" s="1"/>
    </row>
    <row r="928">
      <c r="B928" s="70"/>
      <c r="C928" s="104"/>
      <c r="D928" s="90"/>
      <c r="E928" s="70"/>
      <c r="G928" s="1"/>
      <c r="H928" s="70"/>
      <c r="I928" s="104"/>
      <c r="J928" s="90"/>
      <c r="K928" s="70"/>
      <c r="M928" s="1"/>
      <c r="N928" s="70"/>
      <c r="S928" s="1"/>
      <c r="T928" s="70"/>
      <c r="Y928" s="1"/>
      <c r="Z928" s="70"/>
      <c r="AE928" s="1"/>
    </row>
    <row r="929">
      <c r="B929" s="70"/>
      <c r="C929" s="104"/>
      <c r="D929" s="90"/>
      <c r="E929" s="70"/>
      <c r="G929" s="1"/>
      <c r="H929" s="70"/>
      <c r="I929" s="104"/>
      <c r="J929" s="90"/>
      <c r="K929" s="70"/>
      <c r="M929" s="1"/>
      <c r="N929" s="70"/>
      <c r="S929" s="1"/>
      <c r="T929" s="70"/>
      <c r="Y929" s="1"/>
      <c r="Z929" s="70"/>
      <c r="AE929" s="1"/>
    </row>
    <row r="930">
      <c r="B930" s="70"/>
      <c r="C930" s="104"/>
      <c r="D930" s="90"/>
      <c r="E930" s="70"/>
      <c r="G930" s="1"/>
      <c r="H930" s="70"/>
      <c r="I930" s="104"/>
      <c r="J930" s="90"/>
      <c r="K930" s="70"/>
      <c r="M930" s="1"/>
      <c r="N930" s="70"/>
      <c r="S930" s="1"/>
      <c r="T930" s="70"/>
      <c r="Y930" s="1"/>
      <c r="Z930" s="70"/>
      <c r="AE930" s="1"/>
    </row>
    <row r="931">
      <c r="B931" s="70"/>
      <c r="C931" s="104"/>
      <c r="D931" s="90"/>
      <c r="E931" s="70"/>
      <c r="G931" s="1"/>
      <c r="H931" s="70"/>
      <c r="I931" s="104"/>
      <c r="J931" s="90"/>
      <c r="K931" s="70"/>
      <c r="M931" s="1"/>
      <c r="N931" s="70"/>
      <c r="S931" s="1"/>
      <c r="T931" s="70"/>
      <c r="Y931" s="1"/>
      <c r="Z931" s="70"/>
      <c r="AE931" s="1"/>
    </row>
    <row r="932">
      <c r="B932" s="70"/>
      <c r="C932" s="104"/>
      <c r="D932" s="90"/>
      <c r="E932" s="70"/>
      <c r="G932" s="1"/>
      <c r="H932" s="70"/>
      <c r="I932" s="104"/>
      <c r="J932" s="90"/>
      <c r="K932" s="70"/>
      <c r="M932" s="1"/>
      <c r="N932" s="70"/>
      <c r="S932" s="1"/>
      <c r="T932" s="70"/>
      <c r="Y932" s="1"/>
      <c r="Z932" s="70"/>
      <c r="AE932" s="1"/>
    </row>
    <row r="933">
      <c r="B933" s="70"/>
      <c r="C933" s="104"/>
      <c r="D933" s="90"/>
      <c r="E933" s="70"/>
      <c r="G933" s="1"/>
      <c r="H933" s="70"/>
      <c r="I933" s="104"/>
      <c r="J933" s="90"/>
      <c r="K933" s="70"/>
      <c r="M933" s="1"/>
      <c r="N933" s="70"/>
      <c r="S933" s="1"/>
      <c r="T933" s="70"/>
      <c r="Y933" s="1"/>
      <c r="Z933" s="70"/>
      <c r="AE933" s="1"/>
    </row>
    <row r="934">
      <c r="B934" s="70"/>
      <c r="C934" s="104"/>
      <c r="D934" s="90"/>
      <c r="E934" s="70"/>
      <c r="G934" s="1"/>
      <c r="H934" s="70"/>
      <c r="I934" s="104"/>
      <c r="J934" s="90"/>
      <c r="K934" s="70"/>
      <c r="M934" s="1"/>
      <c r="N934" s="70"/>
      <c r="S934" s="1"/>
      <c r="T934" s="70"/>
      <c r="Y934" s="1"/>
      <c r="Z934" s="70"/>
      <c r="AE934" s="1"/>
    </row>
    <row r="935">
      <c r="B935" s="70"/>
      <c r="C935" s="104"/>
      <c r="D935" s="90"/>
      <c r="E935" s="70"/>
      <c r="G935" s="1"/>
      <c r="H935" s="70"/>
      <c r="I935" s="104"/>
      <c r="J935" s="90"/>
      <c r="K935" s="70"/>
      <c r="M935" s="1"/>
      <c r="N935" s="70"/>
      <c r="S935" s="1"/>
      <c r="T935" s="70"/>
      <c r="Y935" s="1"/>
      <c r="Z935" s="70"/>
      <c r="AE935" s="1"/>
    </row>
    <row r="936">
      <c r="B936" s="70"/>
      <c r="C936" s="104"/>
      <c r="D936" s="90"/>
      <c r="E936" s="70"/>
      <c r="G936" s="1"/>
      <c r="H936" s="70"/>
      <c r="I936" s="104"/>
      <c r="J936" s="90"/>
      <c r="K936" s="70"/>
      <c r="M936" s="1"/>
      <c r="N936" s="70"/>
      <c r="S936" s="1"/>
      <c r="T936" s="70"/>
      <c r="Y936" s="1"/>
      <c r="Z936" s="70"/>
      <c r="AE936" s="1"/>
    </row>
    <row r="937">
      <c r="B937" s="70"/>
      <c r="C937" s="104"/>
      <c r="D937" s="90"/>
      <c r="E937" s="70"/>
      <c r="G937" s="1"/>
      <c r="H937" s="70"/>
      <c r="I937" s="104"/>
      <c r="J937" s="90"/>
      <c r="K937" s="70"/>
      <c r="M937" s="1"/>
      <c r="N937" s="70"/>
      <c r="S937" s="1"/>
      <c r="T937" s="70"/>
      <c r="Y937" s="1"/>
      <c r="Z937" s="70"/>
      <c r="AE937" s="1"/>
    </row>
    <row r="938">
      <c r="B938" s="70"/>
      <c r="C938" s="104"/>
      <c r="D938" s="90"/>
      <c r="E938" s="70"/>
      <c r="G938" s="1"/>
      <c r="H938" s="70"/>
      <c r="I938" s="104"/>
      <c r="J938" s="90"/>
      <c r="K938" s="70"/>
      <c r="M938" s="1"/>
      <c r="N938" s="70"/>
      <c r="S938" s="1"/>
      <c r="T938" s="70"/>
      <c r="Y938" s="1"/>
      <c r="Z938" s="70"/>
      <c r="AE938" s="1"/>
    </row>
    <row r="939">
      <c r="B939" s="70"/>
      <c r="C939" s="104"/>
      <c r="D939" s="90"/>
      <c r="E939" s="70"/>
      <c r="G939" s="1"/>
      <c r="H939" s="70"/>
      <c r="I939" s="104"/>
      <c r="J939" s="90"/>
      <c r="K939" s="70"/>
      <c r="M939" s="1"/>
      <c r="N939" s="70"/>
      <c r="S939" s="1"/>
      <c r="T939" s="70"/>
      <c r="Y939" s="1"/>
      <c r="Z939" s="70"/>
      <c r="AE939" s="1"/>
    </row>
    <row r="940">
      <c r="B940" s="70"/>
      <c r="C940" s="104"/>
      <c r="D940" s="90"/>
      <c r="E940" s="70"/>
      <c r="G940" s="1"/>
      <c r="H940" s="70"/>
      <c r="I940" s="104"/>
      <c r="J940" s="90"/>
      <c r="K940" s="70"/>
      <c r="M940" s="1"/>
      <c r="N940" s="70"/>
      <c r="S940" s="1"/>
      <c r="T940" s="70"/>
      <c r="Y940" s="1"/>
      <c r="Z940" s="70"/>
      <c r="AE940" s="1"/>
    </row>
    <row r="941">
      <c r="B941" s="70"/>
      <c r="C941" s="104"/>
      <c r="D941" s="90"/>
      <c r="E941" s="70"/>
      <c r="G941" s="1"/>
      <c r="H941" s="70"/>
      <c r="I941" s="104"/>
      <c r="J941" s="90"/>
      <c r="K941" s="70"/>
      <c r="M941" s="1"/>
      <c r="N941" s="70"/>
      <c r="S941" s="1"/>
      <c r="T941" s="70"/>
      <c r="Y941" s="1"/>
      <c r="Z941" s="70"/>
      <c r="AE941" s="1"/>
    </row>
    <row r="942">
      <c r="B942" s="70"/>
      <c r="C942" s="104"/>
      <c r="D942" s="90"/>
      <c r="E942" s="70"/>
      <c r="G942" s="1"/>
      <c r="H942" s="70"/>
      <c r="I942" s="104"/>
      <c r="J942" s="90"/>
      <c r="K942" s="70"/>
      <c r="M942" s="1"/>
      <c r="N942" s="70"/>
      <c r="S942" s="1"/>
      <c r="T942" s="70"/>
      <c r="Y942" s="1"/>
      <c r="Z942" s="70"/>
      <c r="AE942" s="1"/>
    </row>
    <row r="943">
      <c r="B943" s="70"/>
      <c r="C943" s="104"/>
      <c r="D943" s="90"/>
      <c r="E943" s="70"/>
      <c r="G943" s="1"/>
      <c r="H943" s="70"/>
      <c r="I943" s="104"/>
      <c r="J943" s="90"/>
      <c r="K943" s="70"/>
      <c r="M943" s="1"/>
      <c r="N943" s="70"/>
      <c r="S943" s="1"/>
      <c r="T943" s="70"/>
      <c r="Y943" s="1"/>
      <c r="Z943" s="70"/>
      <c r="AE943" s="1"/>
    </row>
    <row r="944">
      <c r="B944" s="70"/>
      <c r="C944" s="104"/>
      <c r="D944" s="90"/>
      <c r="E944" s="70"/>
      <c r="G944" s="1"/>
      <c r="H944" s="70"/>
      <c r="I944" s="104"/>
      <c r="J944" s="90"/>
      <c r="K944" s="70"/>
      <c r="M944" s="1"/>
      <c r="N944" s="70"/>
      <c r="S944" s="1"/>
      <c r="T944" s="70"/>
      <c r="Y944" s="1"/>
      <c r="Z944" s="70"/>
      <c r="AE944" s="1"/>
    </row>
    <row r="945">
      <c r="B945" s="70"/>
      <c r="C945" s="104"/>
      <c r="D945" s="90"/>
      <c r="E945" s="70"/>
      <c r="G945" s="1"/>
      <c r="H945" s="70"/>
      <c r="I945" s="104"/>
      <c r="J945" s="90"/>
      <c r="K945" s="70"/>
      <c r="M945" s="1"/>
      <c r="N945" s="70"/>
      <c r="S945" s="1"/>
      <c r="T945" s="70"/>
      <c r="Y945" s="1"/>
      <c r="Z945" s="70"/>
      <c r="AE945" s="1"/>
    </row>
    <row r="946">
      <c r="B946" s="70"/>
      <c r="C946" s="104"/>
      <c r="D946" s="90"/>
      <c r="E946" s="70"/>
      <c r="G946" s="1"/>
      <c r="H946" s="70"/>
      <c r="I946" s="104"/>
      <c r="J946" s="90"/>
      <c r="K946" s="70"/>
      <c r="M946" s="1"/>
      <c r="N946" s="70"/>
      <c r="S946" s="1"/>
      <c r="T946" s="70"/>
      <c r="Y946" s="1"/>
      <c r="Z946" s="70"/>
      <c r="AE946" s="1"/>
    </row>
    <row r="947">
      <c r="B947" s="70"/>
      <c r="C947" s="104"/>
      <c r="D947" s="90"/>
      <c r="E947" s="70"/>
      <c r="G947" s="1"/>
      <c r="H947" s="70"/>
      <c r="I947" s="104"/>
      <c r="J947" s="90"/>
      <c r="K947" s="70"/>
      <c r="M947" s="1"/>
      <c r="N947" s="70"/>
      <c r="S947" s="1"/>
      <c r="T947" s="70"/>
      <c r="Y947" s="1"/>
      <c r="Z947" s="70"/>
      <c r="AE947" s="1"/>
    </row>
    <row r="948">
      <c r="B948" s="70"/>
      <c r="C948" s="104"/>
      <c r="D948" s="90"/>
      <c r="E948" s="70"/>
      <c r="G948" s="1"/>
      <c r="H948" s="70"/>
      <c r="I948" s="104"/>
      <c r="J948" s="90"/>
      <c r="K948" s="70"/>
      <c r="M948" s="1"/>
      <c r="N948" s="70"/>
      <c r="S948" s="1"/>
      <c r="T948" s="70"/>
      <c r="Y948" s="1"/>
      <c r="Z948" s="70"/>
      <c r="AE948" s="1"/>
    </row>
    <row r="949">
      <c r="B949" s="70"/>
      <c r="C949" s="104"/>
      <c r="D949" s="90"/>
      <c r="E949" s="70"/>
      <c r="G949" s="1"/>
      <c r="H949" s="70"/>
      <c r="I949" s="104"/>
      <c r="J949" s="90"/>
      <c r="K949" s="70"/>
      <c r="M949" s="1"/>
      <c r="N949" s="70"/>
      <c r="S949" s="1"/>
      <c r="T949" s="70"/>
      <c r="Y949" s="1"/>
      <c r="Z949" s="70"/>
      <c r="AE949" s="1"/>
    </row>
    <row r="950">
      <c r="B950" s="70"/>
      <c r="C950" s="104"/>
      <c r="D950" s="90"/>
      <c r="E950" s="70"/>
      <c r="G950" s="1"/>
      <c r="H950" s="70"/>
      <c r="I950" s="104"/>
      <c r="J950" s="90"/>
      <c r="K950" s="70"/>
      <c r="M950" s="1"/>
      <c r="N950" s="70"/>
      <c r="S950" s="1"/>
      <c r="T950" s="70"/>
      <c r="Y950" s="1"/>
      <c r="Z950" s="70"/>
      <c r="AE950" s="1"/>
    </row>
    <row r="951">
      <c r="B951" s="70"/>
      <c r="C951" s="104"/>
      <c r="D951" s="90"/>
      <c r="E951" s="70"/>
      <c r="G951" s="1"/>
      <c r="H951" s="70"/>
      <c r="I951" s="104"/>
      <c r="J951" s="90"/>
      <c r="K951" s="70"/>
      <c r="M951" s="1"/>
      <c r="N951" s="70"/>
      <c r="S951" s="1"/>
      <c r="T951" s="70"/>
      <c r="Y951" s="1"/>
      <c r="Z951" s="70"/>
      <c r="AE951" s="1"/>
    </row>
    <row r="952">
      <c r="B952" s="70"/>
      <c r="C952" s="104"/>
      <c r="D952" s="90"/>
      <c r="E952" s="70"/>
      <c r="G952" s="1"/>
      <c r="H952" s="70"/>
      <c r="I952" s="104"/>
      <c r="J952" s="90"/>
      <c r="K952" s="70"/>
      <c r="M952" s="1"/>
      <c r="N952" s="70"/>
      <c r="S952" s="1"/>
      <c r="T952" s="70"/>
      <c r="Y952" s="1"/>
      <c r="Z952" s="70"/>
      <c r="AE952" s="1"/>
    </row>
    <row r="953">
      <c r="B953" s="70"/>
      <c r="C953" s="104"/>
      <c r="D953" s="90"/>
      <c r="E953" s="70"/>
      <c r="G953" s="1"/>
      <c r="H953" s="70"/>
      <c r="I953" s="104"/>
      <c r="J953" s="90"/>
      <c r="K953" s="70"/>
      <c r="M953" s="1"/>
      <c r="N953" s="70"/>
      <c r="S953" s="1"/>
      <c r="T953" s="70"/>
      <c r="Y953" s="1"/>
      <c r="Z953" s="70"/>
      <c r="AE953" s="1"/>
    </row>
    <row r="954">
      <c r="B954" s="70"/>
      <c r="C954" s="104"/>
      <c r="D954" s="90"/>
      <c r="E954" s="70"/>
      <c r="G954" s="1"/>
      <c r="H954" s="70"/>
      <c r="I954" s="104"/>
      <c r="J954" s="90"/>
      <c r="K954" s="70"/>
      <c r="M954" s="1"/>
      <c r="N954" s="70"/>
      <c r="S954" s="1"/>
      <c r="T954" s="70"/>
      <c r="Y954" s="1"/>
      <c r="Z954" s="70"/>
      <c r="AE954" s="1"/>
    </row>
    <row r="955">
      <c r="B955" s="70"/>
      <c r="C955" s="104"/>
      <c r="D955" s="90"/>
      <c r="E955" s="70"/>
      <c r="G955" s="1"/>
      <c r="H955" s="70"/>
      <c r="I955" s="104"/>
      <c r="J955" s="90"/>
      <c r="K955" s="70"/>
      <c r="M955" s="1"/>
      <c r="N955" s="70"/>
      <c r="S955" s="1"/>
      <c r="T955" s="70"/>
      <c r="Y955" s="1"/>
      <c r="Z955" s="70"/>
      <c r="AE955" s="1"/>
    </row>
    <row r="956">
      <c r="B956" s="70"/>
      <c r="C956" s="104"/>
      <c r="D956" s="90"/>
      <c r="E956" s="70"/>
      <c r="G956" s="1"/>
      <c r="H956" s="70"/>
      <c r="I956" s="104"/>
      <c r="J956" s="90"/>
      <c r="K956" s="70"/>
      <c r="M956" s="1"/>
      <c r="N956" s="70"/>
      <c r="S956" s="1"/>
      <c r="T956" s="70"/>
      <c r="Y956" s="1"/>
      <c r="Z956" s="70"/>
      <c r="AE956" s="1"/>
    </row>
    <row r="957">
      <c r="B957" s="70"/>
      <c r="C957" s="104"/>
      <c r="D957" s="90"/>
      <c r="E957" s="70"/>
      <c r="G957" s="1"/>
      <c r="H957" s="70"/>
      <c r="I957" s="104"/>
      <c r="J957" s="90"/>
      <c r="K957" s="70"/>
      <c r="M957" s="1"/>
      <c r="N957" s="70"/>
      <c r="S957" s="1"/>
      <c r="T957" s="70"/>
      <c r="Y957" s="1"/>
      <c r="Z957" s="70"/>
      <c r="AE957" s="1"/>
    </row>
    <row r="958">
      <c r="B958" s="70"/>
      <c r="C958" s="104"/>
      <c r="D958" s="90"/>
      <c r="E958" s="70"/>
      <c r="G958" s="1"/>
      <c r="H958" s="70"/>
      <c r="I958" s="104"/>
      <c r="J958" s="90"/>
      <c r="K958" s="70"/>
      <c r="M958" s="1"/>
      <c r="N958" s="70"/>
      <c r="S958" s="1"/>
      <c r="T958" s="70"/>
      <c r="Y958" s="1"/>
      <c r="Z958" s="70"/>
      <c r="AE958" s="1"/>
    </row>
    <row r="959">
      <c r="B959" s="70"/>
      <c r="C959" s="104"/>
      <c r="D959" s="90"/>
      <c r="E959" s="70"/>
      <c r="G959" s="1"/>
      <c r="H959" s="70"/>
      <c r="I959" s="104"/>
      <c r="J959" s="90"/>
      <c r="K959" s="70"/>
      <c r="M959" s="1"/>
      <c r="N959" s="70"/>
      <c r="S959" s="1"/>
      <c r="T959" s="70"/>
      <c r="Y959" s="1"/>
      <c r="Z959" s="70"/>
      <c r="AE959" s="1"/>
    </row>
    <row r="960">
      <c r="B960" s="70"/>
      <c r="C960" s="104"/>
      <c r="D960" s="90"/>
      <c r="E960" s="70"/>
      <c r="G960" s="1"/>
      <c r="H960" s="70"/>
      <c r="I960" s="104"/>
      <c r="J960" s="90"/>
      <c r="K960" s="70"/>
      <c r="M960" s="1"/>
      <c r="N960" s="70"/>
      <c r="S960" s="1"/>
      <c r="T960" s="70"/>
      <c r="Y960" s="1"/>
      <c r="Z960" s="70"/>
      <c r="AE960" s="1"/>
    </row>
    <row r="961">
      <c r="B961" s="70"/>
      <c r="C961" s="104"/>
      <c r="D961" s="90"/>
      <c r="E961" s="70"/>
      <c r="G961" s="1"/>
      <c r="H961" s="70"/>
      <c r="I961" s="104"/>
      <c r="J961" s="90"/>
      <c r="K961" s="70"/>
      <c r="M961" s="1"/>
      <c r="N961" s="70"/>
      <c r="S961" s="1"/>
      <c r="T961" s="70"/>
      <c r="Y961" s="1"/>
      <c r="Z961" s="70"/>
      <c r="AE961" s="1"/>
    </row>
    <row r="962">
      <c r="B962" s="70"/>
      <c r="C962" s="104"/>
      <c r="D962" s="90"/>
      <c r="E962" s="70"/>
      <c r="G962" s="1"/>
      <c r="H962" s="70"/>
      <c r="I962" s="104"/>
      <c r="J962" s="90"/>
      <c r="K962" s="70"/>
      <c r="M962" s="1"/>
      <c r="N962" s="70"/>
      <c r="S962" s="1"/>
      <c r="T962" s="70"/>
      <c r="Y962" s="1"/>
      <c r="Z962" s="70"/>
      <c r="AE962" s="1"/>
    </row>
    <row r="963">
      <c r="B963" s="70"/>
      <c r="C963" s="104"/>
      <c r="D963" s="90"/>
      <c r="E963" s="70"/>
      <c r="G963" s="1"/>
      <c r="H963" s="70"/>
      <c r="I963" s="104"/>
      <c r="J963" s="90"/>
      <c r="K963" s="70"/>
      <c r="M963" s="1"/>
      <c r="N963" s="70"/>
      <c r="S963" s="1"/>
      <c r="T963" s="70"/>
      <c r="Y963" s="1"/>
      <c r="Z963" s="70"/>
      <c r="AE963" s="1"/>
    </row>
    <row r="964">
      <c r="B964" s="70"/>
      <c r="C964" s="104"/>
      <c r="D964" s="90"/>
      <c r="E964" s="70"/>
      <c r="G964" s="1"/>
      <c r="H964" s="70"/>
      <c r="I964" s="104"/>
      <c r="J964" s="90"/>
      <c r="K964" s="70"/>
      <c r="M964" s="1"/>
      <c r="N964" s="70"/>
      <c r="S964" s="1"/>
      <c r="T964" s="70"/>
      <c r="Y964" s="1"/>
      <c r="Z964" s="70"/>
      <c r="AE964" s="1"/>
    </row>
    <row r="965">
      <c r="B965" s="70"/>
      <c r="C965" s="104"/>
      <c r="D965" s="90"/>
      <c r="E965" s="70"/>
      <c r="G965" s="1"/>
      <c r="H965" s="70"/>
      <c r="I965" s="104"/>
      <c r="J965" s="90"/>
      <c r="K965" s="70"/>
      <c r="M965" s="1"/>
      <c r="N965" s="70"/>
      <c r="S965" s="1"/>
      <c r="T965" s="70"/>
      <c r="Y965" s="1"/>
      <c r="Z965" s="70"/>
      <c r="AE965" s="1"/>
    </row>
    <row r="966">
      <c r="B966" s="70"/>
      <c r="C966" s="104"/>
      <c r="D966" s="90"/>
      <c r="E966" s="70"/>
      <c r="G966" s="1"/>
      <c r="H966" s="70"/>
      <c r="I966" s="104"/>
      <c r="J966" s="90"/>
      <c r="K966" s="70"/>
      <c r="M966" s="1"/>
      <c r="N966" s="70"/>
      <c r="S966" s="1"/>
      <c r="T966" s="70"/>
      <c r="Y966" s="1"/>
      <c r="Z966" s="70"/>
      <c r="AE966" s="1"/>
    </row>
    <row r="967">
      <c r="B967" s="70"/>
      <c r="C967" s="104"/>
      <c r="D967" s="90"/>
      <c r="E967" s="70"/>
      <c r="G967" s="1"/>
      <c r="H967" s="70"/>
      <c r="I967" s="104"/>
      <c r="J967" s="90"/>
      <c r="K967" s="70"/>
      <c r="M967" s="1"/>
      <c r="N967" s="70"/>
      <c r="S967" s="1"/>
      <c r="T967" s="70"/>
      <c r="Y967" s="1"/>
      <c r="Z967" s="70"/>
      <c r="AE967" s="1"/>
    </row>
    <row r="968">
      <c r="B968" s="70"/>
      <c r="C968" s="104"/>
      <c r="D968" s="90"/>
      <c r="E968" s="70"/>
      <c r="G968" s="1"/>
      <c r="H968" s="70"/>
      <c r="I968" s="104"/>
      <c r="J968" s="90"/>
      <c r="K968" s="70"/>
      <c r="M968" s="1"/>
      <c r="N968" s="70"/>
      <c r="S968" s="1"/>
      <c r="T968" s="70"/>
      <c r="Y968" s="1"/>
      <c r="Z968" s="70"/>
      <c r="AE968" s="1"/>
    </row>
    <row r="969">
      <c r="B969" s="70"/>
      <c r="C969" s="104"/>
      <c r="D969" s="90"/>
      <c r="E969" s="70"/>
      <c r="G969" s="1"/>
      <c r="H969" s="70"/>
      <c r="I969" s="104"/>
      <c r="J969" s="90"/>
      <c r="K969" s="70"/>
      <c r="M969" s="1"/>
      <c r="N969" s="70"/>
      <c r="S969" s="1"/>
      <c r="T969" s="70"/>
      <c r="Y969" s="1"/>
      <c r="Z969" s="70"/>
      <c r="AE969" s="1"/>
    </row>
    <row r="970">
      <c r="B970" s="70"/>
      <c r="C970" s="104"/>
      <c r="D970" s="90"/>
      <c r="E970" s="70"/>
      <c r="G970" s="1"/>
      <c r="H970" s="70"/>
      <c r="I970" s="104"/>
      <c r="J970" s="90"/>
      <c r="K970" s="70"/>
      <c r="M970" s="1"/>
      <c r="N970" s="70"/>
      <c r="S970" s="1"/>
      <c r="T970" s="70"/>
      <c r="Y970" s="1"/>
      <c r="Z970" s="70"/>
      <c r="AE970" s="1"/>
    </row>
    <row r="971">
      <c r="B971" s="70"/>
      <c r="C971" s="104"/>
      <c r="D971" s="90"/>
      <c r="E971" s="70"/>
      <c r="G971" s="1"/>
      <c r="H971" s="70"/>
      <c r="I971" s="104"/>
      <c r="J971" s="90"/>
      <c r="K971" s="70"/>
      <c r="M971" s="1"/>
      <c r="N971" s="70"/>
      <c r="S971" s="1"/>
      <c r="T971" s="70"/>
      <c r="Y971" s="1"/>
      <c r="Z971" s="70"/>
      <c r="AE971" s="1"/>
    </row>
    <row r="972">
      <c r="B972" s="70"/>
      <c r="C972" s="104"/>
      <c r="D972" s="90"/>
      <c r="E972" s="70"/>
      <c r="G972" s="1"/>
      <c r="H972" s="70"/>
      <c r="I972" s="104"/>
      <c r="J972" s="90"/>
      <c r="K972" s="70"/>
      <c r="M972" s="1"/>
      <c r="N972" s="70"/>
      <c r="S972" s="1"/>
      <c r="T972" s="70"/>
      <c r="Y972" s="1"/>
      <c r="Z972" s="70"/>
      <c r="AE972" s="1"/>
    </row>
    <row r="973">
      <c r="B973" s="70"/>
      <c r="C973" s="104"/>
      <c r="D973" s="90"/>
      <c r="E973" s="70"/>
      <c r="G973" s="1"/>
      <c r="H973" s="70"/>
      <c r="I973" s="104"/>
      <c r="J973" s="90"/>
      <c r="K973" s="70"/>
      <c r="M973" s="1"/>
      <c r="N973" s="70"/>
      <c r="S973" s="1"/>
      <c r="T973" s="70"/>
      <c r="Y973" s="1"/>
      <c r="Z973" s="70"/>
      <c r="AE973" s="1"/>
    </row>
    <row r="974">
      <c r="B974" s="70"/>
      <c r="C974" s="104"/>
      <c r="D974" s="90"/>
      <c r="E974" s="70"/>
      <c r="G974" s="1"/>
      <c r="H974" s="70"/>
      <c r="I974" s="104"/>
      <c r="J974" s="90"/>
      <c r="K974" s="70"/>
      <c r="M974" s="1"/>
      <c r="N974" s="70"/>
      <c r="S974" s="1"/>
      <c r="T974" s="70"/>
      <c r="Y974" s="1"/>
      <c r="Z974" s="70"/>
      <c r="AE974" s="1"/>
    </row>
    <row r="975">
      <c r="B975" s="70"/>
      <c r="C975" s="104"/>
      <c r="D975" s="90"/>
      <c r="E975" s="70"/>
      <c r="G975" s="1"/>
      <c r="H975" s="70"/>
      <c r="I975" s="104"/>
      <c r="J975" s="90"/>
      <c r="K975" s="70"/>
      <c r="M975" s="1"/>
      <c r="N975" s="70"/>
      <c r="S975" s="1"/>
      <c r="T975" s="70"/>
      <c r="Y975" s="1"/>
      <c r="Z975" s="70"/>
      <c r="AE975" s="1"/>
    </row>
    <row r="976">
      <c r="B976" s="70"/>
      <c r="C976" s="104"/>
      <c r="D976" s="90"/>
      <c r="E976" s="70"/>
      <c r="G976" s="1"/>
      <c r="H976" s="70"/>
      <c r="I976" s="104"/>
      <c r="J976" s="90"/>
      <c r="K976" s="70"/>
      <c r="M976" s="1"/>
      <c r="N976" s="70"/>
      <c r="S976" s="1"/>
      <c r="T976" s="70"/>
      <c r="Y976" s="1"/>
      <c r="Z976" s="70"/>
      <c r="AE976" s="1"/>
    </row>
    <row r="977">
      <c r="B977" s="70"/>
      <c r="C977" s="104"/>
      <c r="D977" s="90"/>
      <c r="E977" s="70"/>
      <c r="G977" s="1"/>
      <c r="H977" s="70"/>
      <c r="I977" s="104"/>
      <c r="J977" s="90"/>
      <c r="K977" s="70"/>
      <c r="M977" s="1"/>
      <c r="N977" s="70"/>
      <c r="S977" s="1"/>
      <c r="T977" s="70"/>
      <c r="Y977" s="1"/>
      <c r="Z977" s="70"/>
      <c r="AE977" s="1"/>
    </row>
    <row r="978">
      <c r="B978" s="70"/>
      <c r="C978" s="104"/>
      <c r="D978" s="90"/>
      <c r="E978" s="70"/>
      <c r="G978" s="1"/>
      <c r="H978" s="70"/>
      <c r="I978" s="104"/>
      <c r="J978" s="90"/>
      <c r="K978" s="70"/>
      <c r="M978" s="1"/>
      <c r="N978" s="70"/>
      <c r="S978" s="1"/>
      <c r="T978" s="70"/>
      <c r="Y978" s="1"/>
      <c r="Z978" s="70"/>
      <c r="AE978" s="1"/>
    </row>
    <row r="979">
      <c r="B979" s="70"/>
      <c r="C979" s="104"/>
      <c r="D979" s="90"/>
      <c r="E979" s="70"/>
      <c r="G979" s="1"/>
      <c r="H979" s="70"/>
      <c r="I979" s="104"/>
      <c r="J979" s="90"/>
      <c r="K979" s="70"/>
      <c r="M979" s="1"/>
      <c r="N979" s="70"/>
      <c r="S979" s="1"/>
      <c r="T979" s="70"/>
      <c r="Y979" s="1"/>
      <c r="Z979" s="70"/>
      <c r="AE979" s="1"/>
    </row>
    <row r="980">
      <c r="B980" s="70"/>
      <c r="C980" s="104"/>
      <c r="D980" s="90"/>
      <c r="E980" s="70"/>
      <c r="G980" s="1"/>
      <c r="H980" s="70"/>
      <c r="I980" s="104"/>
      <c r="J980" s="90"/>
      <c r="K980" s="70"/>
      <c r="M980" s="1"/>
      <c r="N980" s="70"/>
      <c r="S980" s="1"/>
      <c r="T980" s="70"/>
      <c r="Y980" s="1"/>
      <c r="Z980" s="70"/>
      <c r="AE980" s="1"/>
    </row>
    <row r="981">
      <c r="B981" s="70"/>
      <c r="C981" s="104"/>
      <c r="D981" s="90"/>
      <c r="E981" s="70"/>
      <c r="G981" s="1"/>
      <c r="H981" s="70"/>
      <c r="I981" s="104"/>
      <c r="J981" s="90"/>
      <c r="K981" s="70"/>
      <c r="M981" s="1"/>
      <c r="N981" s="70"/>
      <c r="S981" s="1"/>
      <c r="T981" s="70"/>
      <c r="Y981" s="1"/>
      <c r="Z981" s="70"/>
      <c r="AE981" s="1"/>
    </row>
    <row r="982">
      <c r="B982" s="70"/>
      <c r="C982" s="104"/>
      <c r="D982" s="90"/>
      <c r="E982" s="70"/>
      <c r="G982" s="1"/>
      <c r="H982" s="70"/>
      <c r="I982" s="104"/>
      <c r="J982" s="90"/>
      <c r="K982" s="70"/>
      <c r="M982" s="1"/>
      <c r="N982" s="70"/>
      <c r="S982" s="1"/>
      <c r="T982" s="70"/>
      <c r="Y982" s="1"/>
      <c r="Z982" s="70"/>
      <c r="AE982" s="1"/>
    </row>
    <row r="983">
      <c r="B983" s="70"/>
      <c r="C983" s="104"/>
      <c r="D983" s="90"/>
      <c r="E983" s="70"/>
      <c r="G983" s="1"/>
      <c r="H983" s="70"/>
      <c r="I983" s="104"/>
      <c r="J983" s="90"/>
      <c r="K983" s="70"/>
      <c r="M983" s="1"/>
      <c r="N983" s="70"/>
      <c r="S983" s="1"/>
      <c r="T983" s="70"/>
      <c r="Y983" s="1"/>
      <c r="Z983" s="70"/>
      <c r="AE983" s="1"/>
    </row>
    <row r="984">
      <c r="B984" s="70"/>
      <c r="C984" s="104"/>
      <c r="D984" s="90"/>
      <c r="E984" s="70"/>
      <c r="G984" s="1"/>
      <c r="H984" s="70"/>
      <c r="I984" s="104"/>
      <c r="J984" s="90"/>
      <c r="K984" s="70"/>
      <c r="M984" s="1"/>
      <c r="N984" s="70"/>
      <c r="S984" s="1"/>
      <c r="T984" s="70"/>
      <c r="Y984" s="1"/>
      <c r="Z984" s="70"/>
      <c r="AE984" s="1"/>
    </row>
    <row r="985">
      <c r="B985" s="70"/>
      <c r="C985" s="104"/>
      <c r="D985" s="90"/>
      <c r="E985" s="70"/>
      <c r="G985" s="1"/>
      <c r="H985" s="70"/>
      <c r="I985" s="104"/>
      <c r="J985" s="90"/>
      <c r="K985" s="70"/>
      <c r="M985" s="1"/>
      <c r="N985" s="70"/>
      <c r="S985" s="1"/>
      <c r="T985" s="70"/>
      <c r="Y985" s="1"/>
      <c r="Z985" s="70"/>
      <c r="AE985" s="1"/>
    </row>
    <row r="986">
      <c r="B986" s="70"/>
      <c r="C986" s="104"/>
      <c r="D986" s="90"/>
      <c r="E986" s="70"/>
      <c r="G986" s="1"/>
      <c r="H986" s="70"/>
      <c r="I986" s="104"/>
      <c r="J986" s="90"/>
      <c r="K986" s="70"/>
      <c r="M986" s="1"/>
      <c r="N986" s="70"/>
      <c r="S986" s="1"/>
      <c r="T986" s="70"/>
      <c r="Y986" s="1"/>
      <c r="Z986" s="70"/>
      <c r="AE986" s="1"/>
    </row>
    <row r="987">
      <c r="B987" s="70"/>
      <c r="C987" s="104"/>
      <c r="D987" s="90"/>
      <c r="E987" s="70"/>
      <c r="G987" s="1"/>
      <c r="H987" s="70"/>
      <c r="I987" s="104"/>
      <c r="J987" s="90"/>
      <c r="K987" s="70"/>
      <c r="M987" s="1"/>
      <c r="N987" s="70"/>
      <c r="S987" s="1"/>
      <c r="T987" s="70"/>
      <c r="Y987" s="1"/>
      <c r="Z987" s="70"/>
      <c r="AE987" s="1"/>
    </row>
    <row r="988">
      <c r="B988" s="70"/>
      <c r="C988" s="104"/>
      <c r="D988" s="90"/>
      <c r="E988" s="70"/>
      <c r="G988" s="1"/>
      <c r="H988" s="70"/>
      <c r="I988" s="104"/>
      <c r="J988" s="90"/>
      <c r="K988" s="70"/>
      <c r="M988" s="1"/>
      <c r="N988" s="70"/>
      <c r="S988" s="1"/>
      <c r="T988" s="70"/>
      <c r="Y988" s="1"/>
      <c r="Z988" s="70"/>
      <c r="AE988" s="1"/>
    </row>
    <row r="989">
      <c r="B989" s="70"/>
      <c r="C989" s="104"/>
      <c r="D989" s="90"/>
      <c r="E989" s="70"/>
      <c r="G989" s="1"/>
      <c r="H989" s="70"/>
      <c r="I989" s="104"/>
      <c r="J989" s="90"/>
      <c r="K989" s="70"/>
      <c r="M989" s="1"/>
      <c r="N989" s="70"/>
      <c r="S989" s="1"/>
      <c r="T989" s="70"/>
      <c r="Y989" s="1"/>
      <c r="Z989" s="70"/>
      <c r="AE989" s="1"/>
    </row>
    <row r="990">
      <c r="B990" s="70"/>
      <c r="C990" s="104"/>
      <c r="D990" s="90"/>
      <c r="E990" s="70"/>
      <c r="G990" s="1"/>
      <c r="H990" s="70"/>
      <c r="I990" s="104"/>
      <c r="J990" s="90"/>
      <c r="K990" s="70"/>
      <c r="M990" s="1"/>
      <c r="N990" s="70"/>
      <c r="S990" s="1"/>
      <c r="T990" s="70"/>
      <c r="Y990" s="1"/>
      <c r="Z990" s="70"/>
      <c r="AE990" s="1"/>
    </row>
    <row r="991">
      <c r="B991" s="70"/>
      <c r="C991" s="104"/>
      <c r="D991" s="90"/>
      <c r="E991" s="70"/>
      <c r="G991" s="1"/>
      <c r="H991" s="70"/>
      <c r="I991" s="104"/>
      <c r="J991" s="90"/>
      <c r="K991" s="70"/>
      <c r="M991" s="1"/>
      <c r="N991" s="70"/>
      <c r="S991" s="1"/>
      <c r="T991" s="70"/>
      <c r="Y991" s="1"/>
      <c r="Z991" s="70"/>
      <c r="AE991" s="1"/>
    </row>
    <row r="992">
      <c r="B992" s="70"/>
      <c r="C992" s="104"/>
      <c r="D992" s="90"/>
      <c r="E992" s="70"/>
      <c r="G992" s="1"/>
      <c r="H992" s="70"/>
      <c r="I992" s="104"/>
      <c r="J992" s="90"/>
      <c r="K992" s="70"/>
      <c r="M992" s="1"/>
      <c r="N992" s="70"/>
      <c r="S992" s="1"/>
      <c r="T992" s="70"/>
      <c r="Y992" s="1"/>
      <c r="Z992" s="70"/>
      <c r="AE992" s="1"/>
    </row>
    <row r="993">
      <c r="B993" s="70"/>
      <c r="C993" s="104"/>
      <c r="D993" s="90"/>
      <c r="E993" s="70"/>
      <c r="G993" s="1"/>
      <c r="H993" s="70"/>
      <c r="I993" s="104"/>
      <c r="J993" s="90"/>
      <c r="K993" s="70"/>
      <c r="M993" s="1"/>
      <c r="N993" s="70"/>
      <c r="S993" s="1"/>
      <c r="T993" s="70"/>
      <c r="Y993" s="1"/>
      <c r="Z993" s="70"/>
      <c r="AE993" s="1"/>
    </row>
    <row r="994">
      <c r="B994" s="70"/>
      <c r="C994" s="104"/>
      <c r="D994" s="90"/>
      <c r="E994" s="70"/>
      <c r="G994" s="1"/>
      <c r="H994" s="70"/>
      <c r="I994" s="104"/>
      <c r="J994" s="90"/>
      <c r="K994" s="70"/>
      <c r="M994" s="1"/>
      <c r="N994" s="70"/>
      <c r="S994" s="1"/>
      <c r="T994" s="70"/>
      <c r="Y994" s="1"/>
      <c r="Z994" s="70"/>
      <c r="AE994" s="1"/>
    </row>
    <row r="995">
      <c r="B995" s="70"/>
      <c r="C995" s="104"/>
      <c r="D995" s="90"/>
      <c r="E995" s="70"/>
      <c r="G995" s="1"/>
      <c r="H995" s="70"/>
      <c r="I995" s="104"/>
      <c r="J995" s="90"/>
      <c r="K995" s="70"/>
      <c r="M995" s="1"/>
      <c r="N995" s="70"/>
      <c r="S995" s="1"/>
      <c r="T995" s="70"/>
      <c r="Y995" s="1"/>
      <c r="Z995" s="70"/>
      <c r="AE995" s="1"/>
    </row>
    <row r="996">
      <c r="B996" s="70"/>
      <c r="C996" s="104"/>
      <c r="D996" s="90"/>
      <c r="E996" s="70"/>
      <c r="G996" s="1"/>
      <c r="H996" s="70"/>
      <c r="I996" s="104"/>
      <c r="J996" s="90"/>
      <c r="K996" s="70"/>
      <c r="M996" s="1"/>
      <c r="N996" s="70"/>
      <c r="S996" s="1"/>
      <c r="T996" s="70"/>
      <c r="Y996" s="1"/>
      <c r="Z996" s="70"/>
      <c r="AE996" s="1"/>
    </row>
    <row r="997">
      <c r="B997" s="70"/>
      <c r="C997" s="104"/>
      <c r="D997" s="90"/>
      <c r="E997" s="70"/>
      <c r="G997" s="1"/>
      <c r="H997" s="70"/>
      <c r="I997" s="104"/>
      <c r="J997" s="90"/>
      <c r="K997" s="70"/>
      <c r="M997" s="1"/>
      <c r="N997" s="70"/>
      <c r="S997" s="1"/>
      <c r="T997" s="70"/>
      <c r="Y997" s="1"/>
      <c r="Z997" s="70"/>
      <c r="AE997" s="1"/>
    </row>
    <row r="998">
      <c r="B998" s="70"/>
      <c r="C998" s="104"/>
      <c r="D998" s="90"/>
      <c r="E998" s="70"/>
      <c r="G998" s="1"/>
      <c r="H998" s="70"/>
      <c r="I998" s="104"/>
      <c r="J998" s="90"/>
      <c r="K998" s="70"/>
      <c r="M998" s="1"/>
      <c r="N998" s="70"/>
      <c r="S998" s="1"/>
      <c r="T998" s="70"/>
      <c r="Y998" s="1"/>
      <c r="Z998" s="70"/>
      <c r="AE998" s="1"/>
    </row>
    <row r="999">
      <c r="B999" s="70"/>
      <c r="C999" s="104"/>
      <c r="D999" s="90"/>
      <c r="E999" s="70"/>
      <c r="G999" s="1"/>
      <c r="H999" s="70"/>
      <c r="I999" s="104"/>
      <c r="J999" s="90"/>
      <c r="K999" s="70"/>
      <c r="M999" s="1"/>
      <c r="N999" s="70"/>
      <c r="S999" s="1"/>
      <c r="T999" s="70"/>
      <c r="Y999" s="1"/>
      <c r="Z999" s="70"/>
      <c r="AE999" s="1"/>
    </row>
    <row r="1000">
      <c r="B1000" s="70"/>
      <c r="C1000" s="104"/>
      <c r="D1000" s="90"/>
      <c r="E1000" s="70"/>
      <c r="G1000" s="1"/>
      <c r="H1000" s="70"/>
      <c r="I1000" s="104"/>
      <c r="J1000" s="90"/>
      <c r="K1000" s="70"/>
      <c r="M1000" s="1"/>
      <c r="N1000" s="70"/>
      <c r="S1000" s="1"/>
      <c r="T1000" s="70"/>
      <c r="Y1000" s="1"/>
      <c r="Z1000" s="70"/>
      <c r="AE1000" s="1"/>
    </row>
    <row r="1001">
      <c r="B1001" s="70"/>
      <c r="C1001" s="104"/>
      <c r="D1001" s="90"/>
      <c r="E1001" s="70"/>
      <c r="G1001" s="1"/>
      <c r="H1001" s="70"/>
      <c r="I1001" s="104"/>
      <c r="J1001" s="90"/>
      <c r="K1001" s="70"/>
      <c r="M1001" s="1"/>
      <c r="N1001" s="70"/>
      <c r="S1001" s="1"/>
      <c r="T1001" s="70"/>
      <c r="Y1001" s="1"/>
      <c r="Z1001" s="70"/>
      <c r="AE1001" s="1"/>
    </row>
    <row r="1002">
      <c r="B1002" s="70"/>
      <c r="C1002" s="104"/>
      <c r="D1002" s="90"/>
      <c r="E1002" s="70"/>
      <c r="G1002" s="1"/>
      <c r="H1002" s="70"/>
      <c r="I1002" s="104"/>
      <c r="J1002" s="90"/>
      <c r="K1002" s="70"/>
      <c r="M1002" s="1"/>
      <c r="N1002" s="70"/>
      <c r="S1002" s="1"/>
      <c r="T1002" s="70"/>
      <c r="Y1002" s="1"/>
      <c r="Z1002" s="70"/>
      <c r="AE1002" s="1"/>
    </row>
    <row r="1003">
      <c r="B1003" s="70"/>
      <c r="C1003" s="104"/>
      <c r="D1003" s="90"/>
      <c r="E1003" s="70"/>
      <c r="G1003" s="1"/>
      <c r="H1003" s="70"/>
      <c r="I1003" s="104"/>
      <c r="J1003" s="90"/>
      <c r="K1003" s="70"/>
      <c r="M1003" s="1"/>
      <c r="N1003" s="70"/>
      <c r="S1003" s="1"/>
      <c r="T1003" s="70"/>
      <c r="Y1003" s="1"/>
      <c r="Z1003" s="70"/>
      <c r="AE1003" s="1"/>
    </row>
    <row r="1004">
      <c r="B1004" s="70"/>
      <c r="C1004" s="104"/>
      <c r="D1004" s="90"/>
      <c r="E1004" s="70"/>
      <c r="G1004" s="1"/>
      <c r="H1004" s="70"/>
      <c r="I1004" s="104"/>
      <c r="J1004" s="90"/>
      <c r="K1004" s="70"/>
      <c r="M1004" s="1"/>
      <c r="N1004" s="70"/>
      <c r="S1004" s="1"/>
      <c r="T1004" s="70"/>
      <c r="Y1004" s="1"/>
      <c r="Z1004" s="70"/>
      <c r="AE1004" s="1"/>
    </row>
    <row r="1005">
      <c r="B1005" s="70"/>
      <c r="C1005" s="104"/>
      <c r="D1005" s="90"/>
      <c r="E1005" s="70"/>
      <c r="G1005" s="1"/>
      <c r="H1005" s="70"/>
      <c r="I1005" s="104"/>
      <c r="J1005" s="90"/>
      <c r="K1005" s="70"/>
      <c r="M1005" s="1"/>
      <c r="N1005" s="70"/>
      <c r="S1005" s="1"/>
      <c r="T1005" s="70"/>
      <c r="Y1005" s="1"/>
      <c r="Z1005" s="70"/>
      <c r="AE1005" s="1"/>
    </row>
    <row r="1006">
      <c r="B1006" s="70"/>
      <c r="C1006" s="104"/>
      <c r="D1006" s="90"/>
      <c r="E1006" s="70"/>
      <c r="G1006" s="1"/>
      <c r="H1006" s="70"/>
      <c r="I1006" s="104"/>
      <c r="J1006" s="90"/>
      <c r="K1006" s="70"/>
      <c r="M1006" s="1"/>
      <c r="N1006" s="70"/>
      <c r="S1006" s="1"/>
      <c r="T1006" s="70"/>
      <c r="Y1006" s="1"/>
      <c r="Z1006" s="70"/>
      <c r="AE1006" s="1"/>
    </row>
    <row r="1007">
      <c r="B1007" s="70"/>
      <c r="C1007" s="104"/>
      <c r="D1007" s="90"/>
      <c r="E1007" s="70"/>
      <c r="G1007" s="1"/>
      <c r="M1007" s="1"/>
      <c r="N1007" s="70"/>
      <c r="S1007" s="1"/>
      <c r="T1007" s="70"/>
      <c r="Y1007" s="1"/>
      <c r="Z1007" s="70"/>
      <c r="AE1007" s="1"/>
    </row>
  </sheetData>
  <mergeCells count="26">
    <mergeCell ref="Q11:R15"/>
    <mergeCell ref="W11:X15"/>
    <mergeCell ref="A17:A32"/>
    <mergeCell ref="AC11:AD15"/>
    <mergeCell ref="AI11:AJ15"/>
    <mergeCell ref="B1:F1"/>
    <mergeCell ref="H1:L1"/>
    <mergeCell ref="N1:R1"/>
    <mergeCell ref="T1:X1"/>
    <mergeCell ref="Z1:AD1"/>
    <mergeCell ref="AF1:AJ1"/>
    <mergeCell ref="A3:A15"/>
    <mergeCell ref="D3:D9"/>
    <mergeCell ref="F3:F9"/>
    <mergeCell ref="J3:J9"/>
    <mergeCell ref="L3:L9"/>
    <mergeCell ref="P3:P9"/>
    <mergeCell ref="R3:R9"/>
    <mergeCell ref="V3:V9"/>
    <mergeCell ref="X3:X9"/>
    <mergeCell ref="AB3:AB9"/>
    <mergeCell ref="AD3:AD9"/>
    <mergeCell ref="AH3:AH9"/>
    <mergeCell ref="AJ3:AJ9"/>
    <mergeCell ref="E11:F15"/>
    <mergeCell ref="K11:L15"/>
  </mergeCells>
  <conditionalFormatting sqref="O16:O32 AA16:AA32 C17:C32 I17:I32 U17:U32 AG17:AG32">
    <cfRule type="notContainsBlanks" dxfId="0" priority="1">
      <formula>LEN(TRIM(O16))&gt;0</formula>
    </cfRule>
  </conditionalFormatting>
  <conditionalFormatting sqref="O16:O32 AA16:AA32 C17:C32 I17:I32 U17:U32 AG17:AG32">
    <cfRule type="containsBlanks" dxfId="1" priority="2">
      <formula>LEN(TRIM(O16))=0</formula>
    </cfRule>
  </conditionalFormatting>
  <conditionalFormatting sqref="D11:D13 J11:J14 P11:P13 V11:V14 AB11:AB14 AH11:AH14 D17:D32 J17:J32 P17:P32 V17:V32 AB17:AB32 AH17:AH32">
    <cfRule type="cellIs" dxfId="2" priority="3" operator="greaterThan">
      <formula>"6 + DAY(TODAY())"</formula>
    </cfRule>
  </conditionalFormatting>
  <conditionalFormatting sqref="F17:F204 L17:L203 R17:R115 X17:X152 AD17:AD115 AJ17:AJ119">
    <cfRule type="cellIs" dxfId="3" priority="4" operator="equal">
      <formula>"WALKER"</formula>
    </cfRule>
  </conditionalFormatting>
  <conditionalFormatting sqref="F17:F204 L17:L203 R17:R115 X17:X152 AD17:AD115 AJ17:AJ119">
    <cfRule type="cellIs" dxfId="5" priority="5" operator="equal">
      <formula>"DEA"</formula>
    </cfRule>
  </conditionalFormatting>
  <conditionalFormatting sqref="C5 I5 O5 U5 AA5 AG5">
    <cfRule type="cellIs" dxfId="4" priority="6" operator="lessThan">
      <formula>0</formula>
    </cfRule>
  </conditionalFormatting>
  <dataValidations>
    <dataValidation type="list" allowBlank="1" sqref="E17:E198">
      <formula1>'2020'!$E$3:$E$6</formula1>
    </dataValidation>
    <dataValidation type="list" allowBlank="1" sqref="F17:F204">
      <formula1>'2020'!$E$5:$E$6</formula1>
    </dataValidation>
    <dataValidation type="list" allowBlank="1" sqref="E199:E204">
      <formula1>'2020'!$E$3:$E$6</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5.25"/>
    <col customWidth="1" min="4" max="4" width="21.5"/>
  </cols>
  <sheetData>
    <row r="1">
      <c r="B1" s="105" t="s">
        <v>1572</v>
      </c>
      <c r="C1" s="105" t="s">
        <v>12</v>
      </c>
      <c r="D1" s="105" t="s">
        <v>1573</v>
      </c>
    </row>
    <row r="2">
      <c r="A2" s="106" t="s">
        <v>1574</v>
      </c>
      <c r="B2" s="107">
        <v>44844.0</v>
      </c>
      <c r="C2" s="108">
        <v>16000.0</v>
      </c>
      <c r="D2" s="36" t="s">
        <v>1575</v>
      </c>
      <c r="E2" s="36" t="s">
        <v>1576</v>
      </c>
    </row>
    <row r="3">
      <c r="A3" s="106" t="s">
        <v>1577</v>
      </c>
      <c r="B3" s="39" t="s">
        <v>1578</v>
      </c>
      <c r="C3" s="108">
        <v>16000.0</v>
      </c>
      <c r="D3" s="36" t="s">
        <v>1579</v>
      </c>
      <c r="E3" s="36" t="s">
        <v>1576</v>
      </c>
    </row>
    <row r="4">
      <c r="A4" s="106" t="s">
        <v>1580</v>
      </c>
      <c r="B4" s="39" t="s">
        <v>1581</v>
      </c>
      <c r="C4" s="109">
        <v>9000.0</v>
      </c>
      <c r="D4" s="36" t="s">
        <v>1582</v>
      </c>
      <c r="E4" s="36" t="s">
        <v>1576</v>
      </c>
    </row>
    <row r="5">
      <c r="A5" s="36" t="s">
        <v>1583</v>
      </c>
      <c r="B5" s="110">
        <v>45109.0</v>
      </c>
      <c r="C5" s="109">
        <v>25972.79</v>
      </c>
      <c r="D5" s="36" t="s">
        <v>1584</v>
      </c>
      <c r="E5" s="36" t="s">
        <v>1585</v>
      </c>
    </row>
    <row r="6">
      <c r="A6" s="111" t="s">
        <v>671</v>
      </c>
      <c r="B6" s="112">
        <v>45175.0</v>
      </c>
      <c r="C6" s="113">
        <v>8500.0</v>
      </c>
      <c r="D6" s="114"/>
      <c r="E6" s="111" t="s">
        <v>1586</v>
      </c>
      <c r="F6" s="114"/>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9.25"/>
    <col customWidth="1" min="3" max="3" width="26.5"/>
    <col customWidth="1" min="4" max="5" width="29.25"/>
    <col customWidth="1" min="6" max="6" width="3.0"/>
    <col customWidth="1" min="8" max="8" width="16.5"/>
    <col customWidth="1" min="9" max="9" width="3.0"/>
    <col customWidth="1" min="10" max="10" width="17.88"/>
    <col customWidth="1" min="11" max="11" width="11.88"/>
    <col customWidth="1" min="12" max="12" width="3.0"/>
    <col customWidth="1" min="13" max="13" width="10.88"/>
    <col customWidth="1" min="16" max="16" width="2.13"/>
  </cols>
  <sheetData>
    <row r="1">
      <c r="A1" s="115" t="s">
        <v>1587</v>
      </c>
      <c r="B1" s="115" t="s">
        <v>1588</v>
      </c>
      <c r="C1" s="115" t="s">
        <v>1589</v>
      </c>
      <c r="D1" s="115" t="s">
        <v>1590</v>
      </c>
      <c r="E1" s="115" t="s">
        <v>1591</v>
      </c>
      <c r="F1" s="116"/>
      <c r="I1" s="116"/>
      <c r="L1" s="116"/>
    </row>
    <row r="2">
      <c r="A2" s="117">
        <f>H4+E4+K4+H10+H13+H16+B20+H21+H26+H31+H34+K13+K16+H37+H40</f>
        <v>76321.93</v>
      </c>
      <c r="B2" s="118">
        <f>E4+H6+K6+H10+K9+H7+H13+H18+B20+H19+K7+H8+H23+H28+H31+H34+K13+K16+H37+H40+H24</f>
        <v>72976.93</v>
      </c>
      <c r="C2" s="119">
        <f>A2-B2</f>
        <v>3345</v>
      </c>
      <c r="D2" s="120">
        <f>N4-B2</f>
        <v>3165.83</v>
      </c>
      <c r="E2" s="121">
        <f>D2-C2</f>
        <v>-179.17</v>
      </c>
    </row>
    <row r="4">
      <c r="A4" s="106" t="s">
        <v>1592</v>
      </c>
      <c r="B4" s="122">
        <f>A2-B20</f>
        <v>56721.93</v>
      </c>
      <c r="E4" s="123">
        <f>SUM(E7:E17)</f>
        <v>9027.41</v>
      </c>
      <c r="H4" s="124">
        <f>sum(H6:H8)</f>
        <v>18500</v>
      </c>
      <c r="K4" s="125">
        <f>K6+K7+K9+K8</f>
        <v>15730</v>
      </c>
      <c r="N4" s="122">
        <f>SUM(N6:N10)</f>
        <v>76142.76</v>
      </c>
    </row>
    <row r="5">
      <c r="A5" s="126" t="s">
        <v>1593</v>
      </c>
      <c r="G5" s="127" t="s">
        <v>1594</v>
      </c>
      <c r="J5" s="128" t="s">
        <v>1595</v>
      </c>
      <c r="M5" s="105" t="s">
        <v>39</v>
      </c>
    </row>
    <row r="6">
      <c r="B6" s="106" t="s">
        <v>1596</v>
      </c>
      <c r="C6" s="105" t="s">
        <v>1597</v>
      </c>
      <c r="D6" s="106" t="s">
        <v>1598</v>
      </c>
      <c r="E6" s="106" t="s">
        <v>1599</v>
      </c>
      <c r="G6" s="129" t="s">
        <v>1600</v>
      </c>
      <c r="H6" s="123">
        <v>9250.0</v>
      </c>
      <c r="J6" s="129" t="s">
        <v>1600</v>
      </c>
      <c r="K6" s="123">
        <v>9000.0</v>
      </c>
      <c r="M6" s="130" t="s">
        <v>1601</v>
      </c>
      <c r="N6" s="131">
        <v>13485.41</v>
      </c>
    </row>
    <row r="7">
      <c r="A7" s="132" t="s">
        <v>1602</v>
      </c>
      <c r="B7" s="133">
        <v>180.0</v>
      </c>
      <c r="C7" s="134">
        <v>25.0</v>
      </c>
      <c r="D7" s="131">
        <f t="shared" ref="D7:D10" si="1">C7*B7</f>
        <v>4500</v>
      </c>
      <c r="E7" s="131">
        <v>4330.0</v>
      </c>
      <c r="G7" s="132" t="s">
        <v>1603</v>
      </c>
      <c r="H7" s="123">
        <v>7400.0</v>
      </c>
      <c r="J7" s="132" t="s">
        <v>1604</v>
      </c>
      <c r="K7" s="123">
        <v>3000.0</v>
      </c>
      <c r="M7" s="130" t="s">
        <v>909</v>
      </c>
      <c r="N7" s="131">
        <v>14247.35</v>
      </c>
    </row>
    <row r="8">
      <c r="A8" s="132" t="s">
        <v>1605</v>
      </c>
      <c r="B8" s="133">
        <v>30.0</v>
      </c>
      <c r="C8" s="134">
        <v>60.0</v>
      </c>
      <c r="D8" s="133">
        <f t="shared" si="1"/>
        <v>1800</v>
      </c>
      <c r="E8" s="133">
        <f t="shared" ref="E8:E15" si="2">D8</f>
        <v>1800</v>
      </c>
      <c r="G8" s="132" t="s">
        <v>1606</v>
      </c>
      <c r="H8" s="123">
        <v>1850.0</v>
      </c>
      <c r="J8" s="132" t="s">
        <v>1607</v>
      </c>
      <c r="K8" s="133">
        <v>3000.0</v>
      </c>
      <c r="M8" s="36" t="s">
        <v>1608</v>
      </c>
      <c r="N8" s="131">
        <v>38648.0</v>
      </c>
    </row>
    <row r="9">
      <c r="A9" s="132" t="s">
        <v>1609</v>
      </c>
      <c r="B9" s="133">
        <v>26.0</v>
      </c>
      <c r="C9" s="134">
        <v>35.0</v>
      </c>
      <c r="D9" s="133">
        <f t="shared" si="1"/>
        <v>910</v>
      </c>
      <c r="E9" s="133">
        <f t="shared" si="2"/>
        <v>910</v>
      </c>
      <c r="J9" s="135" t="s">
        <v>1610</v>
      </c>
      <c r="K9" s="136">
        <v>730.0</v>
      </c>
      <c r="M9" s="36" t="s">
        <v>1608</v>
      </c>
      <c r="N9" s="131">
        <v>9662.0</v>
      </c>
    </row>
    <row r="10">
      <c r="A10" s="132" t="s">
        <v>1611</v>
      </c>
      <c r="B10" s="133">
        <v>42.0</v>
      </c>
      <c r="C10" s="134">
        <v>4.0</v>
      </c>
      <c r="D10" s="133">
        <f t="shared" si="1"/>
        <v>168</v>
      </c>
      <c r="E10" s="133">
        <f t="shared" si="2"/>
        <v>168</v>
      </c>
      <c r="H10" s="137">
        <v>2500.0</v>
      </c>
      <c r="J10" s="138"/>
      <c r="M10" s="36" t="s">
        <v>1612</v>
      </c>
      <c r="N10" s="131">
        <v>100.0</v>
      </c>
    </row>
    <row r="11">
      <c r="A11" s="85"/>
      <c r="B11" s="139"/>
      <c r="C11" s="70"/>
      <c r="D11" s="139"/>
      <c r="E11" s="139" t="str">
        <f t="shared" si="2"/>
        <v/>
      </c>
      <c r="G11" s="127" t="s">
        <v>1613</v>
      </c>
      <c r="J11" s="140"/>
    </row>
    <row r="12">
      <c r="A12" s="132" t="s">
        <v>1614</v>
      </c>
      <c r="B12" s="133">
        <v>77.0</v>
      </c>
      <c r="C12" s="134">
        <v>2.0</v>
      </c>
      <c r="D12" s="133">
        <f t="shared" ref="D12:D14" si="3">C12*B12</f>
        <v>154</v>
      </c>
      <c r="E12" s="133">
        <f t="shared" si="2"/>
        <v>154</v>
      </c>
    </row>
    <row r="13">
      <c r="A13" s="132" t="s">
        <v>1615</v>
      </c>
      <c r="B13" s="133">
        <v>202.0</v>
      </c>
      <c r="C13" s="134">
        <v>1.0</v>
      </c>
      <c r="D13" s="133">
        <f t="shared" si="3"/>
        <v>202</v>
      </c>
      <c r="E13" s="133">
        <f t="shared" si="2"/>
        <v>202</v>
      </c>
      <c r="H13" s="141">
        <v>3996.0</v>
      </c>
      <c r="K13" s="142">
        <v>2339.0</v>
      </c>
    </row>
    <row r="14">
      <c r="A14" s="132" t="s">
        <v>1616</v>
      </c>
      <c r="B14" s="133">
        <v>129.0</v>
      </c>
      <c r="C14" s="134">
        <v>1.0</v>
      </c>
      <c r="D14" s="133">
        <f t="shared" si="3"/>
        <v>129</v>
      </c>
      <c r="E14" s="133">
        <f t="shared" si="2"/>
        <v>129</v>
      </c>
      <c r="G14" s="127" t="s">
        <v>1617</v>
      </c>
      <c r="J14" s="128" t="s">
        <v>1618</v>
      </c>
    </row>
    <row r="15">
      <c r="A15" s="132" t="s">
        <v>1619</v>
      </c>
      <c r="B15" s="133"/>
      <c r="C15" s="134"/>
      <c r="D15" s="133">
        <v>720.0</v>
      </c>
      <c r="E15" s="133">
        <f t="shared" si="2"/>
        <v>720</v>
      </c>
    </row>
    <row r="16">
      <c r="A16" s="132" t="s">
        <v>1620</v>
      </c>
      <c r="B16" s="133">
        <v>200.0</v>
      </c>
      <c r="C16" s="134">
        <v>1.0</v>
      </c>
      <c r="D16" s="133">
        <f>C16*B16</f>
        <v>200</v>
      </c>
      <c r="E16" s="133">
        <v>200.0</v>
      </c>
      <c r="H16" s="122">
        <f>sum(H18:H19)</f>
        <v>1300</v>
      </c>
      <c r="K16" s="142">
        <v>300.0</v>
      </c>
    </row>
    <row r="17">
      <c r="A17" s="132" t="s">
        <v>1621</v>
      </c>
      <c r="B17" s="133"/>
      <c r="C17" s="134"/>
      <c r="D17" s="133">
        <v>414.41</v>
      </c>
      <c r="E17" s="133">
        <v>414.41</v>
      </c>
      <c r="G17" s="127" t="s">
        <v>1622</v>
      </c>
      <c r="J17" s="128" t="s">
        <v>1623</v>
      </c>
    </row>
    <row r="18">
      <c r="G18" s="129" t="s">
        <v>1600</v>
      </c>
      <c r="H18" s="123">
        <v>650.0</v>
      </c>
    </row>
    <row r="19">
      <c r="C19" s="105" t="s">
        <v>1624</v>
      </c>
      <c r="D19" s="143" t="s">
        <v>1625</v>
      </c>
      <c r="G19" s="132" t="s">
        <v>1626</v>
      </c>
      <c r="H19" s="123">
        <v>650.0</v>
      </c>
    </row>
    <row r="20">
      <c r="A20" s="144" t="s">
        <v>1627</v>
      </c>
      <c r="B20" s="131">
        <v>19600.0</v>
      </c>
      <c r="C20" s="131">
        <f>1254+1000+8000</f>
        <v>10254</v>
      </c>
      <c r="D20" s="131">
        <f>B20-C20</f>
        <v>9346</v>
      </c>
    </row>
    <row r="21" ht="13.5" customHeight="1">
      <c r="H21" s="122">
        <f>SUM(H23:H24)</f>
        <v>640</v>
      </c>
    </row>
    <row r="22">
      <c r="G22" s="145" t="s">
        <v>1628</v>
      </c>
    </row>
    <row r="23">
      <c r="G23" s="39" t="s">
        <v>1600</v>
      </c>
      <c r="H23" s="123">
        <v>320.0</v>
      </c>
    </row>
    <row r="24">
      <c r="G24" s="39" t="s">
        <v>1629</v>
      </c>
      <c r="H24" s="123">
        <v>320.0</v>
      </c>
    </row>
    <row r="25">
      <c r="G25" s="70"/>
    </row>
    <row r="26">
      <c r="H26" s="122">
        <v>690.0</v>
      </c>
    </row>
    <row r="27">
      <c r="G27" s="127" t="s">
        <v>1630</v>
      </c>
    </row>
    <row r="28">
      <c r="G28" s="39" t="s">
        <v>1600</v>
      </c>
      <c r="H28" s="146">
        <v>345.0</v>
      </c>
    </row>
    <row r="29">
      <c r="G29" s="39" t="s">
        <v>1629</v>
      </c>
      <c r="H29" s="133">
        <v>345.0</v>
      </c>
    </row>
    <row r="30">
      <c r="G30" s="70"/>
    </row>
    <row r="31">
      <c r="G31" s="147" t="s">
        <v>432</v>
      </c>
      <c r="H31" s="141">
        <v>210.52</v>
      </c>
    </row>
    <row r="32">
      <c r="G32" s="127" t="s">
        <v>1631</v>
      </c>
    </row>
    <row r="33">
      <c r="G33" s="70"/>
    </row>
    <row r="34">
      <c r="G34" s="147" t="s">
        <v>432</v>
      </c>
      <c r="H34" s="141">
        <v>632.41</v>
      </c>
    </row>
    <row r="35">
      <c r="G35" s="127" t="s">
        <v>1632</v>
      </c>
    </row>
    <row r="36">
      <c r="G36" s="70"/>
    </row>
    <row r="37">
      <c r="G37" s="39" t="s">
        <v>1633</v>
      </c>
      <c r="H37" s="141">
        <v>350.0</v>
      </c>
    </row>
    <row r="38">
      <c r="G38" s="127" t="s">
        <v>1634</v>
      </c>
    </row>
    <row r="39">
      <c r="G39" s="70"/>
    </row>
    <row r="40">
      <c r="G40" s="105"/>
      <c r="H40" s="141">
        <v>506.59</v>
      </c>
    </row>
    <row r="41">
      <c r="G41" s="127" t="s">
        <v>1635</v>
      </c>
    </row>
    <row r="42">
      <c r="G42" s="70"/>
    </row>
    <row r="43">
      <c r="G43" s="148" t="s">
        <v>1636</v>
      </c>
    </row>
    <row r="44">
      <c r="G44" s="133" t="s">
        <v>485</v>
      </c>
      <c r="H44" s="133">
        <v>80.0</v>
      </c>
    </row>
    <row r="45">
      <c r="G45" s="133" t="s">
        <v>526</v>
      </c>
      <c r="H45" s="133">
        <v>100.0</v>
      </c>
    </row>
    <row r="46">
      <c r="G46" s="70"/>
    </row>
    <row r="47">
      <c r="G47" s="70"/>
    </row>
    <row r="48">
      <c r="G48" s="70"/>
    </row>
    <row r="49">
      <c r="G49" s="70"/>
    </row>
    <row r="50">
      <c r="G50" s="70"/>
    </row>
    <row r="51">
      <c r="G51" s="70"/>
    </row>
    <row r="52">
      <c r="G52" s="70"/>
    </row>
    <row r="53">
      <c r="G53" s="70"/>
    </row>
    <row r="54">
      <c r="G54" s="70"/>
    </row>
    <row r="55">
      <c r="G55" s="70"/>
    </row>
    <row r="56">
      <c r="G56" s="70"/>
    </row>
    <row r="57">
      <c r="G57" s="70"/>
    </row>
    <row r="58">
      <c r="G58" s="70"/>
    </row>
    <row r="59">
      <c r="G59" s="70"/>
    </row>
    <row r="60">
      <c r="G60" s="70"/>
    </row>
    <row r="61">
      <c r="G61" s="70"/>
    </row>
    <row r="62">
      <c r="G62" s="70"/>
    </row>
    <row r="63">
      <c r="G63" s="70"/>
    </row>
    <row r="64">
      <c r="G64" s="70"/>
    </row>
    <row r="65">
      <c r="G65" s="70"/>
    </row>
    <row r="66">
      <c r="G66" s="70"/>
    </row>
    <row r="67">
      <c r="G67" s="70"/>
    </row>
    <row r="68">
      <c r="G68" s="70"/>
    </row>
    <row r="69">
      <c r="G69" s="70"/>
    </row>
    <row r="70">
      <c r="G70" s="70"/>
    </row>
    <row r="71">
      <c r="G71" s="70"/>
    </row>
    <row r="72">
      <c r="G72" s="70"/>
    </row>
    <row r="73">
      <c r="G73" s="70"/>
    </row>
    <row r="74">
      <c r="G74" s="70"/>
    </row>
    <row r="75">
      <c r="G75" s="70"/>
    </row>
    <row r="76">
      <c r="G76" s="70"/>
    </row>
    <row r="77">
      <c r="G77" s="70"/>
    </row>
    <row r="78">
      <c r="G78" s="70"/>
    </row>
    <row r="79">
      <c r="G79" s="70"/>
    </row>
    <row r="80">
      <c r="G80" s="70"/>
    </row>
    <row r="81">
      <c r="G81" s="70"/>
    </row>
    <row r="82">
      <c r="G82" s="70"/>
    </row>
    <row r="83">
      <c r="G83" s="70"/>
    </row>
    <row r="84">
      <c r="G84" s="70"/>
    </row>
    <row r="85">
      <c r="G85" s="70"/>
    </row>
    <row r="86">
      <c r="G86" s="70"/>
    </row>
    <row r="87">
      <c r="G87" s="70"/>
    </row>
    <row r="88">
      <c r="G88" s="70"/>
    </row>
    <row r="89">
      <c r="G89" s="70"/>
    </row>
    <row r="90">
      <c r="G90" s="70"/>
    </row>
    <row r="91">
      <c r="G91" s="70"/>
    </row>
    <row r="92">
      <c r="G92" s="70"/>
    </row>
    <row r="93">
      <c r="G93" s="70"/>
    </row>
    <row r="94">
      <c r="G94" s="70"/>
    </row>
    <row r="95">
      <c r="G95" s="70"/>
    </row>
    <row r="96">
      <c r="G96" s="70"/>
    </row>
    <row r="97">
      <c r="G97" s="70"/>
    </row>
    <row r="98">
      <c r="G98" s="70"/>
    </row>
    <row r="99">
      <c r="G99" s="70"/>
    </row>
    <row r="100">
      <c r="G100" s="70"/>
    </row>
    <row r="101">
      <c r="G101" s="70"/>
    </row>
    <row r="102">
      <c r="G102" s="70"/>
    </row>
    <row r="103">
      <c r="G103" s="70"/>
    </row>
    <row r="104">
      <c r="G104" s="70"/>
    </row>
    <row r="105">
      <c r="G105" s="70"/>
    </row>
    <row r="106">
      <c r="G106" s="70"/>
    </row>
    <row r="107">
      <c r="G107" s="70"/>
    </row>
    <row r="108">
      <c r="G108" s="70"/>
    </row>
    <row r="109">
      <c r="G109" s="70"/>
    </row>
    <row r="110">
      <c r="G110" s="70"/>
    </row>
    <row r="111">
      <c r="G111" s="70"/>
    </row>
    <row r="112">
      <c r="G112" s="70"/>
    </row>
    <row r="113">
      <c r="G113" s="70"/>
    </row>
    <row r="114">
      <c r="G114" s="70"/>
    </row>
    <row r="115">
      <c r="G115" s="70"/>
    </row>
    <row r="116">
      <c r="G116" s="70"/>
    </row>
    <row r="117">
      <c r="G117" s="70"/>
    </row>
    <row r="118">
      <c r="G118" s="70"/>
    </row>
    <row r="119">
      <c r="G119" s="70"/>
    </row>
    <row r="120">
      <c r="G120" s="70"/>
    </row>
    <row r="121">
      <c r="G121" s="70"/>
    </row>
    <row r="122">
      <c r="G122" s="70"/>
    </row>
    <row r="123">
      <c r="G123" s="70"/>
    </row>
    <row r="124">
      <c r="G124" s="70"/>
    </row>
    <row r="125">
      <c r="G125" s="70"/>
    </row>
    <row r="126">
      <c r="G126" s="70"/>
    </row>
    <row r="127">
      <c r="G127" s="70"/>
    </row>
    <row r="128">
      <c r="G128" s="70"/>
    </row>
    <row r="129">
      <c r="G129" s="70"/>
    </row>
    <row r="130">
      <c r="G130" s="70"/>
    </row>
    <row r="131">
      <c r="G131" s="70"/>
    </row>
    <row r="132">
      <c r="G132" s="70"/>
    </row>
    <row r="133">
      <c r="G133" s="70"/>
    </row>
    <row r="134">
      <c r="G134" s="70"/>
    </row>
    <row r="135">
      <c r="G135" s="70"/>
    </row>
    <row r="136">
      <c r="G136" s="70"/>
    </row>
    <row r="137">
      <c r="G137" s="70"/>
    </row>
    <row r="138">
      <c r="G138" s="70"/>
    </row>
    <row r="139">
      <c r="G139" s="70"/>
    </row>
    <row r="140">
      <c r="G140" s="70"/>
    </row>
    <row r="141">
      <c r="G141" s="70"/>
    </row>
    <row r="142">
      <c r="G142" s="70"/>
    </row>
    <row r="143">
      <c r="G143" s="70"/>
    </row>
    <row r="144">
      <c r="G144" s="70"/>
    </row>
    <row r="145">
      <c r="G145" s="70"/>
    </row>
    <row r="146">
      <c r="G146" s="70"/>
    </row>
    <row r="147">
      <c r="G147" s="70"/>
    </row>
    <row r="148">
      <c r="G148" s="70"/>
    </row>
    <row r="149">
      <c r="G149" s="70"/>
    </row>
    <row r="150">
      <c r="G150" s="70"/>
    </row>
    <row r="151">
      <c r="G151" s="70"/>
    </row>
    <row r="152">
      <c r="G152" s="70"/>
    </row>
    <row r="153">
      <c r="G153" s="70"/>
    </row>
    <row r="154">
      <c r="G154" s="70"/>
    </row>
    <row r="155">
      <c r="G155" s="70"/>
    </row>
    <row r="156">
      <c r="G156" s="70"/>
    </row>
    <row r="157">
      <c r="G157" s="70"/>
    </row>
    <row r="158">
      <c r="G158" s="70"/>
    </row>
    <row r="159">
      <c r="G159" s="70"/>
    </row>
    <row r="160">
      <c r="G160" s="70"/>
    </row>
    <row r="161">
      <c r="G161" s="70"/>
    </row>
    <row r="162">
      <c r="G162" s="70"/>
    </row>
    <row r="163">
      <c r="G163" s="70"/>
    </row>
    <row r="164">
      <c r="G164" s="70"/>
    </row>
    <row r="165">
      <c r="G165" s="70"/>
    </row>
    <row r="166">
      <c r="G166" s="70"/>
    </row>
    <row r="167">
      <c r="G167" s="70"/>
    </row>
    <row r="168">
      <c r="G168" s="70"/>
    </row>
    <row r="169">
      <c r="G169" s="70"/>
    </row>
    <row r="170">
      <c r="G170" s="70"/>
    </row>
    <row r="171">
      <c r="G171" s="70"/>
    </row>
    <row r="172">
      <c r="G172" s="70"/>
    </row>
    <row r="173">
      <c r="G173" s="70"/>
    </row>
    <row r="174">
      <c r="G174" s="70"/>
    </row>
    <row r="175">
      <c r="G175" s="70"/>
    </row>
    <row r="176">
      <c r="G176" s="70"/>
    </row>
    <row r="177">
      <c r="G177" s="70"/>
    </row>
    <row r="178">
      <c r="G178" s="70"/>
    </row>
    <row r="179">
      <c r="G179" s="70"/>
    </row>
    <row r="180">
      <c r="G180" s="70"/>
    </row>
    <row r="181">
      <c r="G181" s="70"/>
    </row>
    <row r="182">
      <c r="G182" s="70"/>
    </row>
    <row r="183">
      <c r="G183" s="70"/>
    </row>
    <row r="184">
      <c r="G184" s="70"/>
    </row>
    <row r="185">
      <c r="G185" s="70"/>
    </row>
    <row r="186">
      <c r="G186" s="70"/>
    </row>
    <row r="187">
      <c r="G187" s="70"/>
    </row>
    <row r="188">
      <c r="G188" s="70"/>
    </row>
    <row r="189">
      <c r="G189" s="70"/>
    </row>
    <row r="190">
      <c r="G190" s="70"/>
    </row>
    <row r="191">
      <c r="G191" s="70"/>
    </row>
    <row r="192">
      <c r="G192" s="70"/>
    </row>
    <row r="193">
      <c r="G193" s="70"/>
    </row>
    <row r="194">
      <c r="G194" s="70"/>
    </row>
    <row r="195">
      <c r="G195" s="70"/>
    </row>
    <row r="196">
      <c r="G196" s="70"/>
    </row>
    <row r="197">
      <c r="G197" s="70"/>
    </row>
    <row r="198">
      <c r="G198" s="70"/>
    </row>
    <row r="199">
      <c r="G199" s="70"/>
    </row>
    <row r="200">
      <c r="G200" s="70"/>
    </row>
    <row r="201">
      <c r="G201" s="70"/>
    </row>
    <row r="202">
      <c r="G202" s="70"/>
    </row>
    <row r="203">
      <c r="G203" s="70"/>
    </row>
    <row r="204">
      <c r="G204" s="70"/>
    </row>
    <row r="205">
      <c r="G205" s="70"/>
    </row>
    <row r="206">
      <c r="G206" s="70"/>
    </row>
    <row r="207">
      <c r="G207" s="70"/>
    </row>
    <row r="208">
      <c r="G208" s="70"/>
    </row>
    <row r="209">
      <c r="G209" s="70"/>
    </row>
    <row r="210">
      <c r="G210" s="70"/>
    </row>
    <row r="211">
      <c r="G211" s="70"/>
    </row>
    <row r="212">
      <c r="G212" s="70"/>
    </row>
    <row r="213">
      <c r="G213" s="70"/>
    </row>
    <row r="214">
      <c r="G214" s="70"/>
    </row>
    <row r="215">
      <c r="G215" s="70"/>
    </row>
    <row r="216">
      <c r="G216" s="70"/>
    </row>
    <row r="217">
      <c r="G217" s="70"/>
    </row>
    <row r="218">
      <c r="G218" s="70"/>
    </row>
    <row r="219">
      <c r="G219" s="70"/>
    </row>
    <row r="220">
      <c r="G220" s="70"/>
    </row>
    <row r="221">
      <c r="G221" s="70"/>
    </row>
    <row r="222">
      <c r="G222" s="70"/>
    </row>
    <row r="223">
      <c r="G223" s="70"/>
    </row>
    <row r="224">
      <c r="G224" s="70"/>
    </row>
    <row r="225">
      <c r="G225" s="70"/>
    </row>
    <row r="226">
      <c r="G226" s="70"/>
    </row>
    <row r="227">
      <c r="G227" s="70"/>
    </row>
    <row r="228">
      <c r="G228" s="70"/>
    </row>
    <row r="229">
      <c r="G229" s="70"/>
    </row>
    <row r="230">
      <c r="G230" s="70"/>
    </row>
    <row r="231">
      <c r="G231" s="70"/>
    </row>
    <row r="232">
      <c r="G232" s="70"/>
    </row>
    <row r="233">
      <c r="G233" s="70"/>
    </row>
    <row r="234">
      <c r="G234" s="70"/>
    </row>
    <row r="235">
      <c r="G235" s="70"/>
    </row>
    <row r="236">
      <c r="G236" s="70"/>
    </row>
    <row r="237">
      <c r="G237" s="70"/>
    </row>
    <row r="238">
      <c r="G238" s="70"/>
    </row>
    <row r="239">
      <c r="G239" s="70"/>
    </row>
    <row r="240">
      <c r="G240" s="70"/>
    </row>
    <row r="241">
      <c r="G241" s="70"/>
    </row>
    <row r="242">
      <c r="G242" s="70"/>
    </row>
    <row r="243">
      <c r="G243" s="70"/>
    </row>
    <row r="244">
      <c r="G244" s="70"/>
    </row>
    <row r="245">
      <c r="G245" s="70"/>
    </row>
    <row r="246">
      <c r="G246" s="70"/>
    </row>
    <row r="247">
      <c r="G247" s="70"/>
    </row>
    <row r="248">
      <c r="G248" s="70"/>
    </row>
    <row r="249">
      <c r="G249" s="70"/>
    </row>
    <row r="250">
      <c r="G250" s="70"/>
    </row>
    <row r="251">
      <c r="G251" s="70"/>
    </row>
    <row r="252">
      <c r="G252" s="70"/>
    </row>
    <row r="253">
      <c r="G253" s="70"/>
    </row>
    <row r="254">
      <c r="G254" s="70"/>
    </row>
    <row r="255">
      <c r="G255" s="70"/>
    </row>
    <row r="256">
      <c r="G256" s="70"/>
    </row>
    <row r="257">
      <c r="G257" s="70"/>
    </row>
    <row r="258">
      <c r="G258" s="70"/>
    </row>
    <row r="259">
      <c r="G259" s="70"/>
    </row>
    <row r="260">
      <c r="G260" s="70"/>
    </row>
    <row r="261">
      <c r="G261" s="70"/>
    </row>
    <row r="262">
      <c r="G262" s="70"/>
    </row>
    <row r="263">
      <c r="G263" s="70"/>
    </row>
    <row r="264">
      <c r="G264" s="70"/>
    </row>
    <row r="265">
      <c r="G265" s="70"/>
    </row>
    <row r="266">
      <c r="G266" s="70"/>
    </row>
    <row r="267">
      <c r="G267" s="70"/>
    </row>
    <row r="268">
      <c r="G268" s="70"/>
    </row>
    <row r="269">
      <c r="G269" s="70"/>
    </row>
    <row r="270">
      <c r="G270" s="70"/>
    </row>
    <row r="271">
      <c r="G271" s="70"/>
    </row>
    <row r="272">
      <c r="G272" s="70"/>
    </row>
    <row r="273">
      <c r="G273" s="70"/>
    </row>
    <row r="274">
      <c r="G274" s="70"/>
    </row>
    <row r="275">
      <c r="G275" s="70"/>
    </row>
    <row r="276">
      <c r="G276" s="70"/>
    </row>
    <row r="277">
      <c r="G277" s="70"/>
    </row>
    <row r="278">
      <c r="G278" s="70"/>
    </row>
    <row r="279">
      <c r="G279" s="70"/>
    </row>
    <row r="280">
      <c r="G280" s="70"/>
    </row>
    <row r="281">
      <c r="G281" s="70"/>
    </row>
    <row r="282">
      <c r="G282" s="70"/>
    </row>
    <row r="283">
      <c r="G283" s="70"/>
    </row>
    <row r="284">
      <c r="G284" s="70"/>
    </row>
    <row r="285">
      <c r="G285" s="70"/>
    </row>
    <row r="286">
      <c r="G286" s="70"/>
    </row>
    <row r="287">
      <c r="G287" s="70"/>
    </row>
    <row r="288">
      <c r="G288" s="70"/>
    </row>
    <row r="289">
      <c r="G289" s="70"/>
    </row>
    <row r="290">
      <c r="G290" s="70"/>
    </row>
    <row r="291">
      <c r="G291" s="70"/>
    </row>
    <row r="292">
      <c r="G292" s="70"/>
    </row>
    <row r="293">
      <c r="G293" s="70"/>
    </row>
    <row r="294">
      <c r="G294" s="70"/>
    </row>
    <row r="295">
      <c r="G295" s="70"/>
    </row>
    <row r="296">
      <c r="G296" s="70"/>
    </row>
    <row r="297">
      <c r="G297" s="70"/>
    </row>
    <row r="298">
      <c r="G298" s="70"/>
    </row>
    <row r="299">
      <c r="G299" s="70"/>
    </row>
    <row r="300">
      <c r="G300" s="70"/>
    </row>
    <row r="301">
      <c r="G301" s="70"/>
    </row>
    <row r="302">
      <c r="G302" s="70"/>
    </row>
    <row r="303">
      <c r="G303" s="70"/>
    </row>
    <row r="304">
      <c r="G304" s="70"/>
    </row>
    <row r="305">
      <c r="G305" s="70"/>
    </row>
    <row r="306">
      <c r="G306" s="70"/>
    </row>
    <row r="307">
      <c r="G307" s="70"/>
    </row>
    <row r="308">
      <c r="G308" s="70"/>
    </row>
    <row r="309">
      <c r="G309" s="70"/>
    </row>
    <row r="310">
      <c r="G310" s="70"/>
    </row>
    <row r="311">
      <c r="G311" s="70"/>
    </row>
    <row r="312">
      <c r="G312" s="70"/>
    </row>
    <row r="313">
      <c r="G313" s="70"/>
    </row>
    <row r="314">
      <c r="G314" s="70"/>
    </row>
    <row r="315">
      <c r="G315" s="70"/>
    </row>
    <row r="316">
      <c r="G316" s="70"/>
    </row>
    <row r="317">
      <c r="G317" s="70"/>
    </row>
    <row r="318">
      <c r="G318" s="70"/>
    </row>
    <row r="319">
      <c r="G319" s="70"/>
    </row>
    <row r="320">
      <c r="G320" s="70"/>
    </row>
    <row r="321">
      <c r="G321" s="70"/>
    </row>
    <row r="322">
      <c r="G322" s="70"/>
    </row>
    <row r="323">
      <c r="G323" s="70"/>
    </row>
    <row r="324">
      <c r="G324" s="70"/>
    </row>
    <row r="325">
      <c r="G325" s="70"/>
    </row>
    <row r="326">
      <c r="G326" s="70"/>
    </row>
    <row r="327">
      <c r="G327" s="70"/>
    </row>
    <row r="328">
      <c r="G328" s="70"/>
    </row>
    <row r="329">
      <c r="G329" s="70"/>
    </row>
    <row r="330">
      <c r="G330" s="70"/>
    </row>
    <row r="331">
      <c r="G331" s="70"/>
    </row>
    <row r="332">
      <c r="G332" s="70"/>
    </row>
    <row r="333">
      <c r="G333" s="70"/>
    </row>
    <row r="334">
      <c r="G334" s="70"/>
    </row>
    <row r="335">
      <c r="G335" s="70"/>
    </row>
    <row r="336">
      <c r="G336" s="70"/>
    </row>
    <row r="337">
      <c r="G337" s="70"/>
    </row>
    <row r="338">
      <c r="G338" s="70"/>
    </row>
    <row r="339">
      <c r="G339" s="70"/>
    </row>
    <row r="340">
      <c r="G340" s="70"/>
    </row>
    <row r="341">
      <c r="G341" s="70"/>
    </row>
    <row r="342">
      <c r="G342" s="70"/>
    </row>
    <row r="343">
      <c r="G343" s="70"/>
    </row>
    <row r="344">
      <c r="G344" s="70"/>
    </row>
    <row r="345">
      <c r="G345" s="70"/>
    </row>
    <row r="346">
      <c r="G346" s="70"/>
    </row>
    <row r="347">
      <c r="G347" s="70"/>
    </row>
    <row r="348">
      <c r="G348" s="70"/>
    </row>
    <row r="349">
      <c r="G349" s="70"/>
    </row>
    <row r="350">
      <c r="G350" s="70"/>
    </row>
    <row r="351">
      <c r="G351" s="70"/>
    </row>
    <row r="352">
      <c r="G352" s="70"/>
    </row>
    <row r="353">
      <c r="G353" s="70"/>
    </row>
    <row r="354">
      <c r="G354" s="70"/>
    </row>
    <row r="355">
      <c r="G355" s="70"/>
    </row>
    <row r="356">
      <c r="G356" s="70"/>
    </row>
    <row r="357">
      <c r="G357" s="70"/>
    </row>
    <row r="358">
      <c r="G358" s="70"/>
    </row>
    <row r="359">
      <c r="G359" s="70"/>
    </row>
    <row r="360">
      <c r="G360" s="70"/>
    </row>
    <row r="361">
      <c r="G361" s="70"/>
    </row>
    <row r="362">
      <c r="G362" s="70"/>
    </row>
    <row r="363">
      <c r="G363" s="70"/>
    </row>
    <row r="364">
      <c r="G364" s="70"/>
    </row>
    <row r="365">
      <c r="G365" s="70"/>
    </row>
    <row r="366">
      <c r="G366" s="70"/>
    </row>
    <row r="367">
      <c r="G367" s="70"/>
    </row>
    <row r="368">
      <c r="G368" s="70"/>
    </row>
    <row r="369">
      <c r="G369" s="70"/>
    </row>
    <row r="370">
      <c r="G370" s="70"/>
    </row>
    <row r="371">
      <c r="G371" s="70"/>
    </row>
    <row r="372">
      <c r="G372" s="70"/>
    </row>
    <row r="373">
      <c r="G373" s="70"/>
    </row>
    <row r="374">
      <c r="G374" s="70"/>
    </row>
    <row r="375">
      <c r="G375" s="70"/>
    </row>
    <row r="376">
      <c r="G376" s="70"/>
    </row>
    <row r="377">
      <c r="G377" s="70"/>
    </row>
    <row r="378">
      <c r="G378" s="70"/>
    </row>
    <row r="379">
      <c r="G379" s="70"/>
    </row>
    <row r="380">
      <c r="G380" s="70"/>
    </row>
    <row r="381">
      <c r="G381" s="70"/>
    </row>
    <row r="382">
      <c r="G382" s="70"/>
    </row>
    <row r="383">
      <c r="G383" s="70"/>
    </row>
    <row r="384">
      <c r="G384" s="70"/>
    </row>
    <row r="385">
      <c r="G385" s="70"/>
    </row>
    <row r="386">
      <c r="G386" s="70"/>
    </row>
    <row r="387">
      <c r="G387" s="70"/>
    </row>
    <row r="388">
      <c r="G388" s="70"/>
    </row>
    <row r="389">
      <c r="G389" s="70"/>
    </row>
    <row r="390">
      <c r="G390" s="70"/>
    </row>
    <row r="391">
      <c r="G391" s="70"/>
    </row>
    <row r="392">
      <c r="G392" s="70"/>
    </row>
    <row r="393">
      <c r="G393" s="70"/>
    </row>
    <row r="394">
      <c r="G394" s="70"/>
    </row>
    <row r="395">
      <c r="G395" s="70"/>
    </row>
    <row r="396">
      <c r="G396" s="70"/>
    </row>
    <row r="397">
      <c r="G397" s="70"/>
    </row>
    <row r="398">
      <c r="G398" s="70"/>
    </row>
    <row r="399">
      <c r="G399" s="70"/>
    </row>
    <row r="400">
      <c r="G400" s="70"/>
    </row>
    <row r="401">
      <c r="G401" s="70"/>
    </row>
    <row r="402">
      <c r="G402" s="70"/>
    </row>
    <row r="403">
      <c r="G403" s="70"/>
    </row>
    <row r="404">
      <c r="G404" s="70"/>
    </row>
    <row r="405">
      <c r="G405" s="70"/>
    </row>
    <row r="406">
      <c r="G406" s="70"/>
    </row>
    <row r="407">
      <c r="G407" s="70"/>
    </row>
    <row r="408">
      <c r="G408" s="70"/>
    </row>
    <row r="409">
      <c r="G409" s="70"/>
    </row>
    <row r="410">
      <c r="G410" s="70"/>
    </row>
    <row r="411">
      <c r="G411" s="70"/>
    </row>
    <row r="412">
      <c r="G412" s="70"/>
    </row>
    <row r="413">
      <c r="G413" s="70"/>
    </row>
    <row r="414">
      <c r="G414" s="70"/>
    </row>
    <row r="415">
      <c r="G415" s="70"/>
    </row>
    <row r="416">
      <c r="G416" s="70"/>
    </row>
    <row r="417">
      <c r="G417" s="70"/>
    </row>
    <row r="418">
      <c r="G418" s="70"/>
    </row>
    <row r="419">
      <c r="G419" s="70"/>
    </row>
    <row r="420">
      <c r="G420" s="70"/>
    </row>
    <row r="421">
      <c r="G421" s="70"/>
    </row>
    <row r="422">
      <c r="G422" s="70"/>
    </row>
    <row r="423">
      <c r="G423" s="70"/>
    </row>
    <row r="424">
      <c r="G424" s="70"/>
    </row>
    <row r="425">
      <c r="G425" s="70"/>
    </row>
    <row r="426">
      <c r="G426" s="70"/>
    </row>
    <row r="427">
      <c r="G427" s="70"/>
    </row>
    <row r="428">
      <c r="G428" s="70"/>
    </row>
    <row r="429">
      <c r="G429" s="70"/>
    </row>
    <row r="430">
      <c r="G430" s="70"/>
    </row>
    <row r="431">
      <c r="G431" s="70"/>
    </row>
    <row r="432">
      <c r="G432" s="70"/>
    </row>
    <row r="433">
      <c r="G433" s="70"/>
    </row>
    <row r="434">
      <c r="G434" s="70"/>
    </row>
    <row r="435">
      <c r="G435" s="70"/>
    </row>
    <row r="436">
      <c r="G436" s="70"/>
    </row>
    <row r="437">
      <c r="G437" s="70"/>
    </row>
    <row r="438">
      <c r="G438" s="70"/>
    </row>
    <row r="439">
      <c r="G439" s="70"/>
    </row>
    <row r="440">
      <c r="G440" s="70"/>
    </row>
    <row r="441">
      <c r="G441" s="70"/>
    </row>
    <row r="442">
      <c r="G442" s="70"/>
    </row>
    <row r="443">
      <c r="G443" s="70"/>
    </row>
    <row r="444">
      <c r="G444" s="70"/>
    </row>
    <row r="445">
      <c r="G445" s="70"/>
    </row>
    <row r="446">
      <c r="G446" s="70"/>
    </row>
    <row r="447">
      <c r="G447" s="70"/>
    </row>
    <row r="448">
      <c r="G448" s="70"/>
    </row>
    <row r="449">
      <c r="G449" s="70"/>
    </row>
    <row r="450">
      <c r="G450" s="70"/>
    </row>
    <row r="451">
      <c r="G451" s="70"/>
    </row>
    <row r="452">
      <c r="G452" s="70"/>
    </row>
    <row r="453">
      <c r="G453" s="70"/>
    </row>
    <row r="454">
      <c r="G454" s="70"/>
    </row>
    <row r="455">
      <c r="G455" s="70"/>
    </row>
    <row r="456">
      <c r="G456" s="70"/>
    </row>
    <row r="457">
      <c r="G457" s="70"/>
    </row>
    <row r="458">
      <c r="G458" s="70"/>
    </row>
    <row r="459">
      <c r="G459" s="70"/>
    </row>
    <row r="460">
      <c r="G460" s="70"/>
    </row>
    <row r="461">
      <c r="G461" s="70"/>
    </row>
    <row r="462">
      <c r="G462" s="70"/>
    </row>
    <row r="463">
      <c r="G463" s="70"/>
    </row>
    <row r="464">
      <c r="G464" s="70"/>
    </row>
    <row r="465">
      <c r="G465" s="70"/>
    </row>
    <row r="466">
      <c r="G466" s="70"/>
    </row>
    <row r="467">
      <c r="G467" s="70"/>
    </row>
    <row r="468">
      <c r="G468" s="70"/>
    </row>
    <row r="469">
      <c r="G469" s="70"/>
    </row>
    <row r="470">
      <c r="G470" s="70"/>
    </row>
    <row r="471">
      <c r="G471" s="70"/>
    </row>
    <row r="472">
      <c r="G472" s="70"/>
    </row>
    <row r="473">
      <c r="G473" s="70"/>
    </row>
    <row r="474">
      <c r="G474" s="70"/>
    </row>
    <row r="475">
      <c r="G475" s="70"/>
    </row>
    <row r="476">
      <c r="G476" s="70"/>
    </row>
    <row r="477">
      <c r="G477" s="70"/>
    </row>
    <row r="478">
      <c r="G478" s="70"/>
    </row>
    <row r="479">
      <c r="G479" s="70"/>
    </row>
    <row r="480">
      <c r="G480" s="70"/>
    </row>
    <row r="481">
      <c r="G481" s="70"/>
    </row>
    <row r="482">
      <c r="G482" s="70"/>
    </row>
    <row r="483">
      <c r="G483" s="70"/>
    </row>
    <row r="484">
      <c r="G484" s="70"/>
    </row>
    <row r="485">
      <c r="G485" s="70"/>
    </row>
    <row r="486">
      <c r="G486" s="70"/>
    </row>
    <row r="487">
      <c r="G487" s="70"/>
    </row>
    <row r="488">
      <c r="G488" s="70"/>
    </row>
    <row r="489">
      <c r="G489" s="70"/>
    </row>
    <row r="490">
      <c r="G490" s="70"/>
    </row>
    <row r="491">
      <c r="G491" s="70"/>
    </row>
    <row r="492">
      <c r="G492" s="70"/>
    </row>
    <row r="493">
      <c r="G493" s="70"/>
    </row>
    <row r="494">
      <c r="G494" s="70"/>
    </row>
    <row r="495">
      <c r="G495" s="70"/>
    </row>
    <row r="496">
      <c r="G496" s="70"/>
    </row>
    <row r="497">
      <c r="G497" s="70"/>
    </row>
    <row r="498">
      <c r="G498" s="70"/>
    </row>
    <row r="499">
      <c r="G499" s="70"/>
    </row>
    <row r="500">
      <c r="G500" s="70"/>
    </row>
    <row r="501">
      <c r="G501" s="70"/>
    </row>
    <row r="502">
      <c r="G502" s="70"/>
    </row>
    <row r="503">
      <c r="G503" s="70"/>
    </row>
    <row r="504">
      <c r="G504" s="70"/>
    </row>
    <row r="505">
      <c r="G505" s="70"/>
    </row>
    <row r="506">
      <c r="G506" s="70"/>
    </row>
    <row r="507">
      <c r="G507" s="70"/>
    </row>
    <row r="508">
      <c r="G508" s="70"/>
    </row>
    <row r="509">
      <c r="G509" s="70"/>
    </row>
    <row r="510">
      <c r="G510" s="70"/>
    </row>
    <row r="511">
      <c r="G511" s="70"/>
    </row>
    <row r="512">
      <c r="G512" s="70"/>
    </row>
    <row r="513">
      <c r="G513" s="70"/>
    </row>
    <row r="514">
      <c r="G514" s="70"/>
    </row>
    <row r="515">
      <c r="G515" s="70"/>
    </row>
    <row r="516">
      <c r="G516" s="70"/>
    </row>
    <row r="517">
      <c r="G517" s="70"/>
    </row>
    <row r="518">
      <c r="G518" s="70"/>
    </row>
    <row r="519">
      <c r="G519" s="70"/>
    </row>
    <row r="520">
      <c r="G520" s="70"/>
    </row>
    <row r="521">
      <c r="G521" s="70"/>
    </row>
    <row r="522">
      <c r="G522" s="70"/>
    </row>
    <row r="523">
      <c r="G523" s="70"/>
    </row>
    <row r="524">
      <c r="G524" s="70"/>
    </row>
    <row r="525">
      <c r="G525" s="70"/>
    </row>
    <row r="526">
      <c r="G526" s="70"/>
    </row>
    <row r="527">
      <c r="G527" s="70"/>
    </row>
    <row r="528">
      <c r="G528" s="70"/>
    </row>
    <row r="529">
      <c r="G529" s="70"/>
    </row>
    <row r="530">
      <c r="G530" s="70"/>
    </row>
    <row r="531">
      <c r="G531" s="70"/>
    </row>
    <row r="532">
      <c r="G532" s="70"/>
    </row>
    <row r="533">
      <c r="G533" s="70"/>
    </row>
    <row r="534">
      <c r="G534" s="70"/>
    </row>
    <row r="535">
      <c r="G535" s="70"/>
    </row>
    <row r="536">
      <c r="G536" s="70"/>
    </row>
    <row r="537">
      <c r="G537" s="70"/>
    </row>
    <row r="538">
      <c r="G538" s="70"/>
    </row>
    <row r="539">
      <c r="G539" s="70"/>
    </row>
    <row r="540">
      <c r="G540" s="70"/>
    </row>
    <row r="541">
      <c r="G541" s="70"/>
    </row>
    <row r="542">
      <c r="G542" s="70"/>
    </row>
    <row r="543">
      <c r="G543" s="70"/>
    </row>
    <row r="544">
      <c r="G544" s="70"/>
    </row>
    <row r="545">
      <c r="G545" s="70"/>
    </row>
    <row r="546">
      <c r="G546" s="70"/>
    </row>
    <row r="547">
      <c r="G547" s="70"/>
    </row>
    <row r="548">
      <c r="G548" s="70"/>
    </row>
    <row r="549">
      <c r="G549" s="70"/>
    </row>
    <row r="550">
      <c r="G550" s="70"/>
    </row>
    <row r="551">
      <c r="G551" s="70"/>
    </row>
    <row r="552">
      <c r="G552" s="70"/>
    </row>
    <row r="553">
      <c r="G553" s="70"/>
    </row>
    <row r="554">
      <c r="G554" s="70"/>
    </row>
    <row r="555">
      <c r="G555" s="70"/>
    </row>
    <row r="556">
      <c r="G556" s="70"/>
    </row>
    <row r="557">
      <c r="G557" s="70"/>
    </row>
    <row r="558">
      <c r="G558" s="70"/>
    </row>
    <row r="559">
      <c r="G559" s="70"/>
    </row>
    <row r="560">
      <c r="G560" s="70"/>
    </row>
    <row r="561">
      <c r="G561" s="70"/>
    </row>
    <row r="562">
      <c r="G562" s="70"/>
    </row>
    <row r="563">
      <c r="G563" s="70"/>
    </row>
    <row r="564">
      <c r="G564" s="70"/>
    </row>
    <row r="565">
      <c r="G565" s="70"/>
    </row>
    <row r="566">
      <c r="G566" s="70"/>
    </row>
    <row r="567">
      <c r="G567" s="70"/>
    </row>
    <row r="568">
      <c r="G568" s="70"/>
    </row>
    <row r="569">
      <c r="G569" s="70"/>
    </row>
    <row r="570">
      <c r="G570" s="70"/>
    </row>
    <row r="571">
      <c r="G571" s="70"/>
    </row>
    <row r="572">
      <c r="G572" s="70"/>
    </row>
    <row r="573">
      <c r="G573" s="70"/>
    </row>
    <row r="574">
      <c r="G574" s="70"/>
    </row>
    <row r="575">
      <c r="G575" s="70"/>
    </row>
    <row r="576">
      <c r="G576" s="70"/>
    </row>
    <row r="577">
      <c r="G577" s="70"/>
    </row>
    <row r="578">
      <c r="G578" s="70"/>
    </row>
    <row r="579">
      <c r="G579" s="70"/>
    </row>
    <row r="580">
      <c r="G580" s="70"/>
    </row>
    <row r="581">
      <c r="G581" s="70"/>
    </row>
    <row r="582">
      <c r="G582" s="70"/>
    </row>
    <row r="583">
      <c r="G583" s="70"/>
    </row>
    <row r="584">
      <c r="G584" s="70"/>
    </row>
    <row r="585">
      <c r="G585" s="70"/>
    </row>
    <row r="586">
      <c r="G586" s="70"/>
    </row>
    <row r="587">
      <c r="G587" s="70"/>
    </row>
    <row r="588">
      <c r="G588" s="70"/>
    </row>
    <row r="589">
      <c r="G589" s="70"/>
    </row>
    <row r="590">
      <c r="G590" s="70"/>
    </row>
    <row r="591">
      <c r="G591" s="70"/>
    </row>
    <row r="592">
      <c r="G592" s="70"/>
    </row>
    <row r="593">
      <c r="G593" s="70"/>
    </row>
    <row r="594">
      <c r="G594" s="70"/>
    </row>
    <row r="595">
      <c r="G595" s="70"/>
    </row>
    <row r="596">
      <c r="G596" s="70"/>
    </row>
    <row r="597">
      <c r="G597" s="70"/>
    </row>
    <row r="598">
      <c r="G598" s="70"/>
    </row>
    <row r="599">
      <c r="G599" s="70"/>
    </row>
    <row r="600">
      <c r="G600" s="70"/>
    </row>
    <row r="601">
      <c r="G601" s="70"/>
    </row>
    <row r="602">
      <c r="G602" s="70"/>
    </row>
    <row r="603">
      <c r="G603" s="70"/>
    </row>
    <row r="604">
      <c r="G604" s="70"/>
    </row>
    <row r="605">
      <c r="G605" s="70"/>
    </row>
    <row r="606">
      <c r="G606" s="70"/>
    </row>
    <row r="607">
      <c r="G607" s="70"/>
    </row>
    <row r="608">
      <c r="G608" s="70"/>
    </row>
    <row r="609">
      <c r="G609" s="70"/>
    </row>
    <row r="610">
      <c r="G610" s="70"/>
    </row>
    <row r="611">
      <c r="G611" s="70"/>
    </row>
    <row r="612">
      <c r="G612" s="70"/>
    </row>
    <row r="613">
      <c r="G613" s="70"/>
    </row>
    <row r="614">
      <c r="G614" s="70"/>
    </row>
    <row r="615">
      <c r="G615" s="70"/>
    </row>
    <row r="616">
      <c r="G616" s="70"/>
    </row>
    <row r="617">
      <c r="G617" s="70"/>
    </row>
    <row r="618">
      <c r="G618" s="70"/>
    </row>
    <row r="619">
      <c r="G619" s="70"/>
    </row>
    <row r="620">
      <c r="G620" s="70"/>
    </row>
    <row r="621">
      <c r="G621" s="70"/>
    </row>
    <row r="622">
      <c r="G622" s="70"/>
    </row>
    <row r="623">
      <c r="G623" s="70"/>
    </row>
    <row r="624">
      <c r="G624" s="70"/>
    </row>
    <row r="625">
      <c r="G625" s="70"/>
    </row>
    <row r="626">
      <c r="G626" s="70"/>
    </row>
    <row r="627">
      <c r="G627" s="70"/>
    </row>
    <row r="628">
      <c r="G628" s="70"/>
    </row>
    <row r="629">
      <c r="G629" s="70"/>
    </row>
    <row r="630">
      <c r="G630" s="70"/>
    </row>
    <row r="631">
      <c r="G631" s="70"/>
    </row>
    <row r="632">
      <c r="G632" s="70"/>
    </row>
    <row r="633">
      <c r="G633" s="70"/>
    </row>
    <row r="634">
      <c r="G634" s="70"/>
    </row>
    <row r="635">
      <c r="G635" s="70"/>
    </row>
    <row r="636">
      <c r="G636" s="70"/>
    </row>
    <row r="637">
      <c r="G637" s="70"/>
    </row>
    <row r="638">
      <c r="G638" s="70"/>
    </row>
    <row r="639">
      <c r="G639" s="70"/>
    </row>
    <row r="640">
      <c r="G640" s="70"/>
    </row>
    <row r="641">
      <c r="G641" s="70"/>
    </row>
    <row r="642">
      <c r="G642" s="70"/>
    </row>
    <row r="643">
      <c r="G643" s="70"/>
    </row>
    <row r="644">
      <c r="G644" s="70"/>
    </row>
    <row r="645">
      <c r="G645" s="70"/>
    </row>
    <row r="646">
      <c r="G646" s="70"/>
    </row>
    <row r="647">
      <c r="G647" s="70"/>
    </row>
    <row r="648">
      <c r="G648" s="70"/>
    </row>
    <row r="649">
      <c r="G649" s="70"/>
    </row>
    <row r="650">
      <c r="G650" s="70"/>
    </row>
    <row r="651">
      <c r="G651" s="70"/>
    </row>
    <row r="652">
      <c r="G652" s="70"/>
    </row>
    <row r="653">
      <c r="G653" s="70"/>
    </row>
    <row r="654">
      <c r="G654" s="70"/>
    </row>
    <row r="655">
      <c r="G655" s="70"/>
    </row>
    <row r="656">
      <c r="G656" s="70"/>
    </row>
    <row r="657">
      <c r="G657" s="70"/>
    </row>
    <row r="658">
      <c r="G658" s="70"/>
    </row>
    <row r="659">
      <c r="G659" s="70"/>
    </row>
    <row r="660">
      <c r="G660" s="70"/>
    </row>
    <row r="661">
      <c r="G661" s="70"/>
    </row>
    <row r="662">
      <c r="G662" s="70"/>
    </row>
    <row r="663">
      <c r="G663" s="70"/>
    </row>
    <row r="664">
      <c r="G664" s="70"/>
    </row>
    <row r="665">
      <c r="G665" s="70"/>
    </row>
    <row r="666">
      <c r="G666" s="70"/>
    </row>
    <row r="667">
      <c r="G667" s="70"/>
    </row>
    <row r="668">
      <c r="G668" s="70"/>
    </row>
    <row r="669">
      <c r="G669" s="70"/>
    </row>
    <row r="670">
      <c r="G670" s="70"/>
    </row>
    <row r="671">
      <c r="G671" s="70"/>
    </row>
    <row r="672">
      <c r="G672" s="70"/>
    </row>
    <row r="673">
      <c r="G673" s="70"/>
    </row>
    <row r="674">
      <c r="G674" s="70"/>
    </row>
    <row r="675">
      <c r="G675" s="70"/>
    </row>
    <row r="676">
      <c r="G676" s="70"/>
    </row>
    <row r="677">
      <c r="G677" s="70"/>
    </row>
    <row r="678">
      <c r="G678" s="70"/>
    </row>
    <row r="679">
      <c r="G679" s="70"/>
    </row>
    <row r="680">
      <c r="G680" s="70"/>
    </row>
    <row r="681">
      <c r="G681" s="70"/>
    </row>
    <row r="682">
      <c r="G682" s="70"/>
    </row>
    <row r="683">
      <c r="G683" s="70"/>
    </row>
    <row r="684">
      <c r="G684" s="70"/>
    </row>
    <row r="685">
      <c r="G685" s="70"/>
    </row>
    <row r="686">
      <c r="G686" s="70"/>
    </row>
    <row r="687">
      <c r="G687" s="70"/>
    </row>
    <row r="688">
      <c r="G688" s="70"/>
    </row>
    <row r="689">
      <c r="G689" s="70"/>
    </row>
    <row r="690">
      <c r="G690" s="70"/>
    </row>
    <row r="691">
      <c r="G691" s="70"/>
    </row>
    <row r="692">
      <c r="G692" s="70"/>
    </row>
    <row r="693">
      <c r="G693" s="70"/>
    </row>
    <row r="694">
      <c r="G694" s="70"/>
    </row>
    <row r="695">
      <c r="G695" s="70"/>
    </row>
    <row r="696">
      <c r="G696" s="70"/>
    </row>
    <row r="697">
      <c r="G697" s="70"/>
    </row>
    <row r="698">
      <c r="G698" s="70"/>
    </row>
    <row r="699">
      <c r="G699" s="70"/>
    </row>
    <row r="700">
      <c r="G700" s="70"/>
    </row>
    <row r="701">
      <c r="G701" s="70"/>
    </row>
    <row r="702">
      <c r="G702" s="70"/>
    </row>
    <row r="703">
      <c r="G703" s="70"/>
    </row>
    <row r="704">
      <c r="G704" s="70"/>
    </row>
    <row r="705">
      <c r="G705" s="70"/>
    </row>
    <row r="706">
      <c r="G706" s="70"/>
    </row>
    <row r="707">
      <c r="G707" s="70"/>
    </row>
    <row r="708">
      <c r="G708" s="70"/>
    </row>
    <row r="709">
      <c r="G709" s="70"/>
    </row>
    <row r="710">
      <c r="G710" s="70"/>
    </row>
    <row r="711">
      <c r="G711" s="70"/>
    </row>
    <row r="712">
      <c r="G712" s="70"/>
    </row>
    <row r="713">
      <c r="G713" s="70"/>
    </row>
    <row r="714">
      <c r="G714" s="70"/>
    </row>
    <row r="715">
      <c r="G715" s="70"/>
    </row>
    <row r="716">
      <c r="G716" s="70"/>
    </row>
    <row r="717">
      <c r="G717" s="70"/>
    </row>
    <row r="718">
      <c r="G718" s="70"/>
    </row>
    <row r="719">
      <c r="G719" s="70"/>
    </row>
    <row r="720">
      <c r="G720" s="70"/>
    </row>
    <row r="721">
      <c r="G721" s="70"/>
    </row>
    <row r="722">
      <c r="G722" s="70"/>
    </row>
    <row r="723">
      <c r="G723" s="70"/>
    </row>
    <row r="724">
      <c r="G724" s="70"/>
    </row>
    <row r="725">
      <c r="G725" s="70"/>
    </row>
    <row r="726">
      <c r="G726" s="70"/>
    </row>
    <row r="727">
      <c r="G727" s="70"/>
    </row>
    <row r="728">
      <c r="G728" s="70"/>
    </row>
    <row r="729">
      <c r="G729" s="70"/>
    </row>
    <row r="730">
      <c r="G730" s="70"/>
    </row>
    <row r="731">
      <c r="G731" s="70"/>
    </row>
    <row r="732">
      <c r="G732" s="70"/>
    </row>
    <row r="733">
      <c r="G733" s="70"/>
    </row>
    <row r="734">
      <c r="G734" s="70"/>
    </row>
    <row r="735">
      <c r="G735" s="70"/>
    </row>
    <row r="736">
      <c r="G736" s="70"/>
    </row>
    <row r="737">
      <c r="G737" s="70"/>
    </row>
    <row r="738">
      <c r="G738" s="70"/>
    </row>
    <row r="739">
      <c r="G739" s="70"/>
    </row>
    <row r="740">
      <c r="G740" s="70"/>
    </row>
    <row r="741">
      <c r="G741" s="70"/>
    </row>
    <row r="742">
      <c r="G742" s="70"/>
    </row>
    <row r="743">
      <c r="G743" s="70"/>
    </row>
    <row r="744">
      <c r="G744" s="70"/>
    </row>
    <row r="745">
      <c r="G745" s="70"/>
    </row>
    <row r="746">
      <c r="G746" s="70"/>
    </row>
    <row r="747">
      <c r="G747" s="70"/>
    </row>
    <row r="748">
      <c r="G748" s="70"/>
    </row>
    <row r="749">
      <c r="G749" s="70"/>
    </row>
    <row r="750">
      <c r="G750" s="70"/>
    </row>
    <row r="751">
      <c r="G751" s="70"/>
    </row>
    <row r="752">
      <c r="G752" s="70"/>
    </row>
    <row r="753">
      <c r="G753" s="70"/>
    </row>
    <row r="754">
      <c r="G754" s="70"/>
    </row>
    <row r="755">
      <c r="G755" s="70"/>
    </row>
    <row r="756">
      <c r="G756" s="70"/>
    </row>
    <row r="757">
      <c r="G757" s="70"/>
    </row>
    <row r="758">
      <c r="G758" s="70"/>
    </row>
    <row r="759">
      <c r="G759" s="70"/>
    </row>
    <row r="760">
      <c r="G760" s="70"/>
    </row>
    <row r="761">
      <c r="G761" s="70"/>
    </row>
    <row r="762">
      <c r="G762" s="70"/>
    </row>
    <row r="763">
      <c r="G763" s="70"/>
    </row>
    <row r="764">
      <c r="G764" s="70"/>
    </row>
    <row r="765">
      <c r="G765" s="70"/>
    </row>
    <row r="766">
      <c r="G766" s="70"/>
    </row>
    <row r="767">
      <c r="G767" s="70"/>
    </row>
    <row r="768">
      <c r="G768" s="70"/>
    </row>
    <row r="769">
      <c r="G769" s="70"/>
    </row>
    <row r="770">
      <c r="G770" s="70"/>
    </row>
    <row r="771">
      <c r="G771" s="70"/>
    </row>
    <row r="772">
      <c r="G772" s="70"/>
    </row>
    <row r="773">
      <c r="G773" s="70"/>
    </row>
    <row r="774">
      <c r="G774" s="70"/>
    </row>
    <row r="775">
      <c r="G775" s="70"/>
    </row>
    <row r="776">
      <c r="G776" s="70"/>
    </row>
    <row r="777">
      <c r="G777" s="70"/>
    </row>
    <row r="778">
      <c r="G778" s="70"/>
    </row>
    <row r="779">
      <c r="G779" s="70"/>
    </row>
    <row r="780">
      <c r="G780" s="70"/>
    </row>
    <row r="781">
      <c r="G781" s="70"/>
    </row>
    <row r="782">
      <c r="G782" s="70"/>
    </row>
    <row r="783">
      <c r="G783" s="70"/>
    </row>
    <row r="784">
      <c r="G784" s="70"/>
    </row>
    <row r="785">
      <c r="G785" s="70"/>
    </row>
    <row r="786">
      <c r="G786" s="70"/>
    </row>
    <row r="787">
      <c r="G787" s="70"/>
    </row>
    <row r="788">
      <c r="G788" s="70"/>
    </row>
    <row r="789">
      <c r="G789" s="70"/>
    </row>
    <row r="790">
      <c r="G790" s="70"/>
    </row>
    <row r="791">
      <c r="G791" s="70"/>
    </row>
    <row r="792">
      <c r="G792" s="70"/>
    </row>
    <row r="793">
      <c r="G793" s="70"/>
    </row>
    <row r="794">
      <c r="G794" s="70"/>
    </row>
    <row r="795">
      <c r="G795" s="70"/>
    </row>
    <row r="796">
      <c r="G796" s="70"/>
    </row>
    <row r="797">
      <c r="G797" s="70"/>
    </row>
    <row r="798">
      <c r="G798" s="70"/>
    </row>
    <row r="799">
      <c r="G799" s="70"/>
    </row>
    <row r="800">
      <c r="G800" s="70"/>
    </row>
    <row r="801">
      <c r="G801" s="70"/>
    </row>
    <row r="802">
      <c r="G802" s="70"/>
    </row>
    <row r="803">
      <c r="G803" s="70"/>
    </row>
    <row r="804">
      <c r="G804" s="70"/>
    </row>
    <row r="805">
      <c r="G805" s="70"/>
    </row>
    <row r="806">
      <c r="G806" s="70"/>
    </row>
    <row r="807">
      <c r="G807" s="70"/>
    </row>
    <row r="808">
      <c r="G808" s="70"/>
    </row>
    <row r="809">
      <c r="G809" s="70"/>
    </row>
    <row r="810">
      <c r="G810" s="70"/>
    </row>
    <row r="811">
      <c r="G811" s="70"/>
    </row>
    <row r="812">
      <c r="G812" s="70"/>
    </row>
    <row r="813">
      <c r="G813" s="70"/>
    </row>
    <row r="814">
      <c r="G814" s="70"/>
    </row>
    <row r="815">
      <c r="G815" s="70"/>
    </row>
    <row r="816">
      <c r="G816" s="70"/>
    </row>
    <row r="817">
      <c r="G817" s="70"/>
    </row>
    <row r="818">
      <c r="G818" s="70"/>
    </row>
    <row r="819">
      <c r="G819" s="70"/>
    </row>
    <row r="820">
      <c r="G820" s="70"/>
    </row>
    <row r="821">
      <c r="G821" s="70"/>
    </row>
    <row r="822">
      <c r="G822" s="70"/>
    </row>
    <row r="823">
      <c r="G823" s="70"/>
    </row>
    <row r="824">
      <c r="G824" s="70"/>
    </row>
    <row r="825">
      <c r="G825" s="70"/>
    </row>
    <row r="826">
      <c r="G826" s="70"/>
    </row>
    <row r="827">
      <c r="G827" s="70"/>
    </row>
    <row r="828">
      <c r="G828" s="70"/>
    </row>
    <row r="829">
      <c r="G829" s="70"/>
    </row>
    <row r="830">
      <c r="G830" s="70"/>
    </row>
    <row r="831">
      <c r="G831" s="70"/>
    </row>
    <row r="832">
      <c r="G832" s="70"/>
    </row>
    <row r="833">
      <c r="G833" s="70"/>
    </row>
    <row r="834">
      <c r="G834" s="70"/>
    </row>
    <row r="835">
      <c r="G835" s="70"/>
    </row>
    <row r="836">
      <c r="G836" s="70"/>
    </row>
    <row r="837">
      <c r="G837" s="70"/>
    </row>
    <row r="838">
      <c r="G838" s="70"/>
    </row>
    <row r="839">
      <c r="G839" s="70"/>
    </row>
    <row r="840">
      <c r="G840" s="70"/>
    </row>
    <row r="841">
      <c r="G841" s="70"/>
    </row>
    <row r="842">
      <c r="G842" s="70"/>
    </row>
    <row r="843">
      <c r="G843" s="70"/>
    </row>
    <row r="844">
      <c r="G844" s="70"/>
    </row>
    <row r="845">
      <c r="G845" s="70"/>
    </row>
    <row r="846">
      <c r="G846" s="70"/>
    </row>
    <row r="847">
      <c r="G847" s="70"/>
    </row>
    <row r="848">
      <c r="G848" s="70"/>
    </row>
    <row r="849">
      <c r="G849" s="70"/>
    </row>
    <row r="850">
      <c r="G850" s="70"/>
    </row>
    <row r="851">
      <c r="G851" s="70"/>
    </row>
    <row r="852">
      <c r="G852" s="70"/>
    </row>
    <row r="853">
      <c r="G853" s="70"/>
    </row>
    <row r="854">
      <c r="G854" s="70"/>
    </row>
    <row r="855">
      <c r="G855" s="70"/>
    </row>
    <row r="856">
      <c r="G856" s="70"/>
    </row>
    <row r="857">
      <c r="G857" s="70"/>
    </row>
    <row r="858">
      <c r="G858" s="70"/>
    </row>
    <row r="859">
      <c r="G859" s="70"/>
    </row>
    <row r="860">
      <c r="G860" s="70"/>
    </row>
    <row r="861">
      <c r="G861" s="70"/>
    </row>
    <row r="862">
      <c r="G862" s="70"/>
    </row>
    <row r="863">
      <c r="G863" s="70"/>
    </row>
    <row r="864">
      <c r="G864" s="70"/>
    </row>
    <row r="865">
      <c r="G865" s="70"/>
    </row>
    <row r="866">
      <c r="G866" s="70"/>
    </row>
    <row r="867">
      <c r="G867" s="70"/>
    </row>
    <row r="868">
      <c r="G868" s="70"/>
    </row>
    <row r="869">
      <c r="G869" s="70"/>
    </row>
    <row r="870">
      <c r="G870" s="70"/>
    </row>
    <row r="871">
      <c r="G871" s="70"/>
    </row>
    <row r="872">
      <c r="G872" s="70"/>
    </row>
    <row r="873">
      <c r="G873" s="70"/>
    </row>
    <row r="874">
      <c r="G874" s="70"/>
    </row>
    <row r="875">
      <c r="G875" s="70"/>
    </row>
    <row r="876">
      <c r="G876" s="70"/>
    </row>
    <row r="877">
      <c r="G877" s="70"/>
    </row>
    <row r="878">
      <c r="G878" s="70"/>
    </row>
    <row r="879">
      <c r="G879" s="70"/>
    </row>
    <row r="880">
      <c r="G880" s="70"/>
    </row>
    <row r="881">
      <c r="G881" s="70"/>
    </row>
    <row r="882">
      <c r="G882" s="70"/>
    </row>
    <row r="883">
      <c r="G883" s="70"/>
    </row>
    <row r="884">
      <c r="G884" s="70"/>
    </row>
    <row r="885">
      <c r="G885" s="70"/>
    </row>
    <row r="886">
      <c r="G886" s="70"/>
    </row>
    <row r="887">
      <c r="G887" s="70"/>
    </row>
    <row r="888">
      <c r="G888" s="70"/>
    </row>
    <row r="889">
      <c r="G889" s="70"/>
    </row>
    <row r="890">
      <c r="G890" s="70"/>
    </row>
    <row r="891">
      <c r="G891" s="70"/>
    </row>
    <row r="892">
      <c r="G892" s="70"/>
    </row>
    <row r="893">
      <c r="G893" s="70"/>
    </row>
    <row r="894">
      <c r="G894" s="70"/>
    </row>
    <row r="895">
      <c r="G895" s="70"/>
    </row>
    <row r="896">
      <c r="G896" s="70"/>
    </row>
    <row r="897">
      <c r="G897" s="70"/>
    </row>
    <row r="898">
      <c r="G898" s="70"/>
    </row>
    <row r="899">
      <c r="G899" s="70"/>
    </row>
    <row r="900">
      <c r="G900" s="70"/>
    </row>
    <row r="901">
      <c r="G901" s="70"/>
    </row>
    <row r="902">
      <c r="G902" s="70"/>
    </row>
    <row r="903">
      <c r="G903" s="70"/>
    </row>
    <row r="904">
      <c r="G904" s="70"/>
    </row>
    <row r="905">
      <c r="G905" s="70"/>
    </row>
    <row r="906">
      <c r="G906" s="70"/>
    </row>
    <row r="907">
      <c r="G907" s="70"/>
    </row>
    <row r="908">
      <c r="G908" s="70"/>
    </row>
    <row r="909">
      <c r="G909" s="70"/>
    </row>
    <row r="910">
      <c r="G910" s="70"/>
    </row>
    <row r="911">
      <c r="G911" s="70"/>
    </row>
    <row r="912">
      <c r="G912" s="70"/>
    </row>
    <row r="913">
      <c r="G913" s="70"/>
    </row>
    <row r="914">
      <c r="G914" s="70"/>
    </row>
    <row r="915">
      <c r="G915" s="70"/>
    </row>
    <row r="916">
      <c r="G916" s="70"/>
    </row>
    <row r="917">
      <c r="G917" s="70"/>
    </row>
    <row r="918">
      <c r="G918" s="70"/>
    </row>
    <row r="919">
      <c r="G919" s="70"/>
    </row>
    <row r="920">
      <c r="G920" s="70"/>
    </row>
    <row r="921">
      <c r="G921" s="70"/>
    </row>
    <row r="922">
      <c r="G922" s="70"/>
    </row>
    <row r="923">
      <c r="G923" s="70"/>
    </row>
    <row r="924">
      <c r="G924" s="70"/>
    </row>
    <row r="925">
      <c r="G925" s="70"/>
    </row>
    <row r="926">
      <c r="G926" s="70"/>
    </row>
    <row r="927">
      <c r="G927" s="70"/>
    </row>
    <row r="928">
      <c r="G928" s="70"/>
    </row>
    <row r="929">
      <c r="G929" s="70"/>
    </row>
    <row r="930">
      <c r="G930" s="70"/>
    </row>
    <row r="931">
      <c r="G931" s="70"/>
    </row>
    <row r="932">
      <c r="G932" s="70"/>
    </row>
    <row r="933">
      <c r="G933" s="70"/>
    </row>
    <row r="934">
      <c r="G934" s="70"/>
    </row>
    <row r="935">
      <c r="G935" s="70"/>
    </row>
    <row r="936">
      <c r="G936" s="70"/>
    </row>
    <row r="937">
      <c r="G937" s="70"/>
    </row>
    <row r="938">
      <c r="G938" s="70"/>
    </row>
    <row r="939">
      <c r="G939" s="70"/>
    </row>
    <row r="940">
      <c r="G940" s="70"/>
    </row>
    <row r="941">
      <c r="G941" s="70"/>
    </row>
    <row r="942">
      <c r="G942" s="70"/>
    </row>
    <row r="943">
      <c r="G943" s="70"/>
    </row>
    <row r="944">
      <c r="G944" s="70"/>
    </row>
    <row r="945">
      <c r="G945" s="70"/>
    </row>
    <row r="946">
      <c r="G946" s="70"/>
    </row>
    <row r="947">
      <c r="G947" s="70"/>
    </row>
    <row r="948">
      <c r="G948" s="70"/>
    </row>
    <row r="949">
      <c r="G949" s="70"/>
    </row>
    <row r="950">
      <c r="G950" s="70"/>
    </row>
    <row r="951">
      <c r="G951" s="70"/>
    </row>
    <row r="952">
      <c r="G952" s="70"/>
    </row>
    <row r="953">
      <c r="G953" s="70"/>
    </row>
    <row r="954">
      <c r="G954" s="70"/>
    </row>
    <row r="955">
      <c r="G955" s="70"/>
    </row>
    <row r="956">
      <c r="G956" s="70"/>
    </row>
    <row r="957">
      <c r="G957" s="70"/>
    </row>
    <row r="958">
      <c r="G958" s="70"/>
    </row>
    <row r="959">
      <c r="G959" s="70"/>
    </row>
    <row r="960">
      <c r="G960" s="70"/>
    </row>
    <row r="961">
      <c r="G961" s="70"/>
    </row>
    <row r="962">
      <c r="G962" s="70"/>
    </row>
    <row r="963">
      <c r="G963" s="70"/>
    </row>
    <row r="964">
      <c r="G964" s="70"/>
    </row>
    <row r="965">
      <c r="G965" s="70"/>
    </row>
    <row r="966">
      <c r="G966" s="70"/>
    </row>
    <row r="967">
      <c r="G967" s="70"/>
    </row>
    <row r="968">
      <c r="G968" s="70"/>
    </row>
    <row r="969">
      <c r="G969" s="70"/>
    </row>
    <row r="970">
      <c r="G970" s="70"/>
    </row>
    <row r="971">
      <c r="G971" s="70"/>
    </row>
    <row r="972">
      <c r="G972" s="70"/>
    </row>
    <row r="973">
      <c r="G973" s="70"/>
    </row>
    <row r="974">
      <c r="G974" s="70"/>
    </row>
    <row r="975">
      <c r="G975" s="70"/>
    </row>
    <row r="976">
      <c r="G976" s="70"/>
    </row>
    <row r="977">
      <c r="G977" s="70"/>
    </row>
    <row r="978">
      <c r="G978" s="70"/>
    </row>
    <row r="979">
      <c r="G979" s="70"/>
    </row>
    <row r="980">
      <c r="G980" s="70"/>
    </row>
    <row r="981">
      <c r="G981" s="70"/>
    </row>
    <row r="982">
      <c r="G982" s="70"/>
    </row>
    <row r="983">
      <c r="G983" s="70"/>
    </row>
    <row r="984">
      <c r="G984" s="70"/>
    </row>
    <row r="985">
      <c r="G985" s="70"/>
    </row>
    <row r="986">
      <c r="G986" s="70"/>
    </row>
    <row r="987">
      <c r="G987" s="70"/>
    </row>
    <row r="988">
      <c r="G988" s="70"/>
    </row>
    <row r="989">
      <c r="G989" s="70"/>
    </row>
    <row r="990">
      <c r="G990" s="70"/>
    </row>
    <row r="991">
      <c r="G991" s="70"/>
    </row>
    <row r="992">
      <c r="G992" s="70"/>
    </row>
    <row r="993">
      <c r="G993" s="70"/>
    </row>
    <row r="994">
      <c r="G994" s="70"/>
    </row>
    <row r="995">
      <c r="G995" s="70"/>
    </row>
    <row r="996">
      <c r="G996" s="70"/>
    </row>
    <row r="997">
      <c r="G997" s="70"/>
    </row>
    <row r="998">
      <c r="G998" s="70"/>
    </row>
    <row r="999">
      <c r="G999" s="70"/>
    </row>
    <row r="1000">
      <c r="G1000" s="70"/>
    </row>
  </sheetData>
  <mergeCells count="20">
    <mergeCell ref="J9:J11"/>
    <mergeCell ref="G11:H11"/>
    <mergeCell ref="G14:H14"/>
    <mergeCell ref="J14:K14"/>
    <mergeCell ref="G17:H17"/>
    <mergeCell ref="J17:K17"/>
    <mergeCell ref="G22:H22"/>
    <mergeCell ref="G27:H27"/>
    <mergeCell ref="G32:H32"/>
    <mergeCell ref="G35:H35"/>
    <mergeCell ref="G38:H38"/>
    <mergeCell ref="G41:H41"/>
    <mergeCell ref="F1:F1000"/>
    <mergeCell ref="I1:I1000"/>
    <mergeCell ref="L1:L1000"/>
    <mergeCell ref="A5:E5"/>
    <mergeCell ref="G5:H5"/>
    <mergeCell ref="J5:K5"/>
    <mergeCell ref="M5:N5"/>
    <mergeCell ref="G43:H4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2.88"/>
    <col customWidth="1" min="3" max="14" width="1.5"/>
    <col customWidth="1" min="15" max="26" width="5.63"/>
  </cols>
  <sheetData>
    <row r="1" ht="16.5" customHeight="1">
      <c r="A1" s="149"/>
      <c r="B1" s="149"/>
      <c r="C1" s="149"/>
      <c r="D1" s="149"/>
      <c r="E1" s="149"/>
      <c r="F1" s="149"/>
      <c r="G1" s="149"/>
      <c r="H1" s="149"/>
      <c r="I1" s="149"/>
      <c r="J1" s="149"/>
      <c r="K1" s="149"/>
      <c r="L1" s="149"/>
      <c r="M1" s="149"/>
      <c r="N1" s="149"/>
      <c r="O1" s="150"/>
      <c r="P1" s="150"/>
      <c r="Q1" s="150"/>
      <c r="R1" s="150"/>
      <c r="S1" s="150"/>
      <c r="T1" s="150"/>
      <c r="U1" s="150"/>
      <c r="V1" s="150"/>
      <c r="W1" s="150"/>
      <c r="X1" s="150"/>
      <c r="Y1" s="150"/>
      <c r="Z1" s="150"/>
    </row>
    <row r="2" ht="33.0" customHeight="1">
      <c r="A2" s="149"/>
      <c r="B2" s="149"/>
      <c r="C2" s="149"/>
      <c r="D2" s="149"/>
      <c r="E2" s="149"/>
      <c r="F2" s="149"/>
      <c r="G2" s="149"/>
      <c r="H2" s="149"/>
      <c r="I2" s="149"/>
      <c r="J2" s="149"/>
      <c r="K2" s="149"/>
      <c r="L2" s="149"/>
      <c r="M2" s="149"/>
      <c r="N2" s="149"/>
      <c r="O2" s="150"/>
      <c r="P2" s="150"/>
      <c r="Q2" s="150"/>
      <c r="R2" s="150"/>
      <c r="S2" s="150"/>
      <c r="T2" s="150"/>
      <c r="U2" s="150"/>
      <c r="V2" s="150"/>
      <c r="W2" s="150"/>
      <c r="X2" s="150"/>
      <c r="Y2" s="150"/>
      <c r="Z2" s="150"/>
    </row>
    <row r="3" ht="33.0" customHeight="1">
      <c r="A3" s="151"/>
      <c r="B3" s="151"/>
      <c r="C3" s="151"/>
      <c r="D3" s="151"/>
      <c r="E3" s="151"/>
      <c r="F3" s="151"/>
      <c r="G3" s="151"/>
      <c r="H3" s="151"/>
      <c r="I3" s="151"/>
      <c r="J3" s="151"/>
      <c r="K3" s="151"/>
      <c r="L3" s="151"/>
      <c r="M3" s="151"/>
      <c r="N3" s="151"/>
      <c r="O3" s="152"/>
      <c r="P3" s="152"/>
      <c r="Q3" s="152"/>
      <c r="R3" s="152"/>
      <c r="S3" s="152"/>
      <c r="T3" s="152"/>
      <c r="U3" s="152"/>
      <c r="V3" s="152"/>
      <c r="W3" s="152"/>
      <c r="X3" s="152"/>
      <c r="Y3" s="152"/>
      <c r="Z3" s="152"/>
    </row>
    <row r="4" ht="16.5" customHeight="1">
      <c r="A4" s="149"/>
      <c r="B4" s="149"/>
      <c r="C4" s="149"/>
      <c r="D4" s="149"/>
      <c r="E4" s="149"/>
      <c r="F4" s="149"/>
      <c r="G4" s="149"/>
      <c r="H4" s="149"/>
      <c r="I4" s="149"/>
      <c r="J4" s="149"/>
      <c r="K4" s="149"/>
      <c r="L4" s="149"/>
      <c r="M4" s="149"/>
      <c r="N4" s="149"/>
      <c r="O4" s="150"/>
      <c r="P4" s="150"/>
      <c r="Q4" s="150"/>
      <c r="R4" s="150"/>
      <c r="S4" s="150"/>
      <c r="T4" s="150"/>
      <c r="U4" s="150"/>
      <c r="V4" s="150"/>
      <c r="W4" s="150"/>
      <c r="X4" s="150"/>
      <c r="Y4" s="150"/>
      <c r="Z4" s="150"/>
    </row>
    <row r="5" ht="33.0" customHeight="1">
      <c r="A5" s="149"/>
      <c r="B5" s="149"/>
      <c r="C5" s="149"/>
      <c r="D5" s="149"/>
      <c r="E5" s="149"/>
      <c r="F5" s="149"/>
      <c r="G5" s="149"/>
      <c r="H5" s="149"/>
      <c r="I5" s="149"/>
      <c r="J5" s="149"/>
      <c r="K5" s="149"/>
      <c r="L5" s="149"/>
      <c r="M5" s="149"/>
      <c r="N5" s="149"/>
      <c r="O5" s="150"/>
      <c r="P5" s="150"/>
      <c r="Q5" s="150"/>
      <c r="R5" s="150"/>
      <c r="S5" s="150"/>
      <c r="T5" s="150"/>
      <c r="U5" s="150"/>
      <c r="V5" s="150"/>
      <c r="W5" s="150"/>
      <c r="X5" s="150"/>
      <c r="Y5" s="150"/>
      <c r="Z5" s="150"/>
    </row>
    <row r="6" ht="33.0" customHeight="1">
      <c r="A6" s="151"/>
      <c r="B6" s="151"/>
      <c r="C6" s="151"/>
      <c r="D6" s="151"/>
      <c r="E6" s="151"/>
      <c r="F6" s="151"/>
      <c r="G6" s="151"/>
      <c r="H6" s="151"/>
      <c r="I6" s="151"/>
      <c r="J6" s="151"/>
      <c r="K6" s="151"/>
      <c r="L6" s="151"/>
      <c r="M6" s="151"/>
      <c r="N6" s="151"/>
      <c r="O6" s="152"/>
      <c r="P6" s="152"/>
      <c r="Q6" s="152"/>
      <c r="R6" s="152"/>
      <c r="S6" s="152"/>
      <c r="T6" s="152"/>
      <c r="U6" s="152"/>
      <c r="V6" s="152"/>
      <c r="W6" s="152"/>
      <c r="X6" s="152"/>
      <c r="Y6" s="152"/>
      <c r="Z6" s="152"/>
    </row>
    <row r="7" ht="16.5" customHeight="1">
      <c r="A7" s="149"/>
      <c r="B7" s="149"/>
      <c r="C7" s="149"/>
      <c r="D7" s="149"/>
      <c r="E7" s="149"/>
      <c r="F7" s="149"/>
      <c r="G7" s="149"/>
      <c r="H7" s="149"/>
      <c r="I7" s="149"/>
      <c r="J7" s="149"/>
      <c r="K7" s="149"/>
      <c r="L7" s="149"/>
      <c r="M7" s="149"/>
      <c r="N7" s="149"/>
      <c r="O7" s="150"/>
      <c r="P7" s="150"/>
      <c r="Q7" s="150"/>
      <c r="R7" s="150"/>
      <c r="S7" s="150"/>
      <c r="T7" s="150"/>
      <c r="U7" s="150"/>
      <c r="V7" s="150"/>
      <c r="W7" s="150"/>
      <c r="X7" s="150"/>
      <c r="Y7" s="150"/>
      <c r="Z7" s="150"/>
    </row>
    <row r="8" ht="33.0" customHeight="1">
      <c r="A8" s="149"/>
      <c r="B8" s="149"/>
      <c r="C8" s="149"/>
      <c r="D8" s="149"/>
      <c r="E8" s="149"/>
      <c r="F8" s="149"/>
      <c r="G8" s="149"/>
      <c r="H8" s="149"/>
      <c r="I8" s="149"/>
      <c r="J8" s="149"/>
      <c r="K8" s="149"/>
      <c r="L8" s="149"/>
      <c r="M8" s="149"/>
      <c r="N8" s="149"/>
      <c r="O8" s="150"/>
      <c r="P8" s="150"/>
      <c r="Q8" s="150"/>
      <c r="R8" s="150"/>
      <c r="S8" s="150"/>
      <c r="T8" s="150"/>
      <c r="U8" s="150"/>
      <c r="V8" s="150"/>
      <c r="W8" s="150"/>
      <c r="X8" s="150"/>
      <c r="Y8" s="150"/>
      <c r="Z8" s="150"/>
    </row>
    <row r="9" ht="33.0" customHeight="1">
      <c r="A9" s="151"/>
      <c r="B9" s="151"/>
      <c r="C9" s="151"/>
      <c r="D9" s="151"/>
      <c r="E9" s="151"/>
      <c r="F9" s="151"/>
      <c r="G9" s="151"/>
      <c r="H9" s="151"/>
      <c r="I9" s="151"/>
      <c r="J9" s="151"/>
      <c r="K9" s="151"/>
      <c r="L9" s="151"/>
      <c r="M9" s="151"/>
      <c r="N9" s="151"/>
      <c r="O9" s="152"/>
      <c r="P9" s="152"/>
      <c r="Q9" s="152"/>
      <c r="R9" s="152"/>
      <c r="S9" s="152"/>
      <c r="T9" s="152"/>
      <c r="U9" s="152"/>
      <c r="V9" s="152"/>
      <c r="W9" s="152"/>
      <c r="X9" s="152"/>
      <c r="Y9" s="152"/>
      <c r="Z9" s="152"/>
    </row>
    <row r="10" ht="16.5" customHeight="1">
      <c r="A10" s="149"/>
      <c r="B10" s="149"/>
      <c r="C10" s="149"/>
      <c r="D10" s="149"/>
      <c r="E10" s="149"/>
      <c r="F10" s="149"/>
      <c r="G10" s="149"/>
      <c r="H10" s="149"/>
      <c r="I10" s="149"/>
      <c r="J10" s="149"/>
      <c r="K10" s="149"/>
      <c r="L10" s="149"/>
      <c r="M10" s="149"/>
      <c r="N10" s="149"/>
      <c r="O10" s="150"/>
      <c r="P10" s="150"/>
      <c r="Q10" s="150"/>
      <c r="R10" s="150"/>
      <c r="S10" s="150"/>
      <c r="T10" s="150"/>
      <c r="U10" s="150"/>
      <c r="V10" s="150"/>
      <c r="W10" s="150"/>
      <c r="X10" s="150"/>
      <c r="Y10" s="150"/>
      <c r="Z10" s="150"/>
    </row>
    <row r="11" ht="33.0" customHeight="1">
      <c r="A11" s="149"/>
      <c r="B11" s="149"/>
      <c r="C11" s="149"/>
      <c r="D11" s="149"/>
      <c r="E11" s="149"/>
      <c r="F11" s="149"/>
      <c r="G11" s="149"/>
      <c r="H11" s="149"/>
      <c r="I11" s="149"/>
      <c r="J11" s="149"/>
      <c r="K11" s="149"/>
      <c r="L11" s="149"/>
      <c r="M11" s="149"/>
      <c r="N11" s="149"/>
      <c r="O11" s="150"/>
      <c r="P11" s="150"/>
      <c r="Q11" s="150"/>
      <c r="R11" s="150"/>
      <c r="S11" s="150"/>
      <c r="T11" s="150"/>
      <c r="U11" s="150"/>
      <c r="V11" s="150"/>
      <c r="W11" s="150"/>
      <c r="X11" s="150"/>
      <c r="Y11" s="150"/>
      <c r="Z11" s="150"/>
    </row>
    <row r="12" ht="33.0" customHeight="1">
      <c r="A12" s="151"/>
      <c r="B12" s="151"/>
      <c r="C12" s="151"/>
      <c r="D12" s="151"/>
      <c r="E12" s="151"/>
      <c r="F12" s="151"/>
      <c r="G12" s="151"/>
      <c r="H12" s="151"/>
      <c r="I12" s="151"/>
      <c r="J12" s="151"/>
      <c r="K12" s="151"/>
      <c r="L12" s="151"/>
      <c r="M12" s="151"/>
      <c r="N12" s="151"/>
      <c r="O12" s="152"/>
      <c r="P12" s="152"/>
      <c r="Q12" s="152"/>
      <c r="R12" s="152"/>
      <c r="S12" s="152"/>
      <c r="T12" s="152"/>
      <c r="U12" s="152"/>
      <c r="V12" s="152"/>
      <c r="W12" s="152"/>
      <c r="X12" s="152"/>
      <c r="Y12" s="152"/>
      <c r="Z12" s="152"/>
    </row>
    <row r="13" ht="16.5" customHeight="1">
      <c r="A13" s="149"/>
      <c r="B13" s="149"/>
      <c r="C13" s="149"/>
      <c r="D13" s="149"/>
      <c r="E13" s="149"/>
      <c r="F13" s="149"/>
      <c r="G13" s="149"/>
      <c r="H13" s="149"/>
      <c r="I13" s="149"/>
      <c r="J13" s="149"/>
      <c r="K13" s="149"/>
      <c r="L13" s="149"/>
      <c r="M13" s="149"/>
      <c r="N13" s="149"/>
      <c r="O13" s="150"/>
      <c r="P13" s="150"/>
      <c r="Q13" s="150"/>
      <c r="R13" s="150"/>
      <c r="S13" s="150"/>
      <c r="T13" s="150"/>
      <c r="U13" s="150"/>
      <c r="V13" s="150"/>
      <c r="W13" s="150"/>
      <c r="X13" s="150"/>
      <c r="Y13" s="150"/>
      <c r="Z13" s="150"/>
    </row>
    <row r="14" ht="33.0" customHeight="1">
      <c r="A14" s="149"/>
      <c r="B14" s="149"/>
      <c r="C14" s="149"/>
      <c r="D14" s="149"/>
      <c r="E14" s="149"/>
      <c r="F14" s="149"/>
      <c r="G14" s="149"/>
      <c r="H14" s="149"/>
      <c r="I14" s="149"/>
      <c r="J14" s="149"/>
      <c r="K14" s="149"/>
      <c r="L14" s="149"/>
      <c r="M14" s="149"/>
      <c r="N14" s="149"/>
      <c r="O14" s="150"/>
      <c r="P14" s="150"/>
      <c r="Q14" s="150"/>
      <c r="R14" s="150"/>
      <c r="S14" s="150"/>
      <c r="T14" s="150"/>
      <c r="U14" s="150"/>
      <c r="V14" s="150"/>
      <c r="W14" s="150"/>
      <c r="X14" s="150"/>
      <c r="Y14" s="150"/>
      <c r="Z14" s="150"/>
    </row>
    <row r="15" ht="33.0" customHeight="1">
      <c r="A15" s="151"/>
      <c r="B15" s="151"/>
      <c r="C15" s="151"/>
      <c r="D15" s="151"/>
      <c r="E15" s="151"/>
      <c r="F15" s="151"/>
      <c r="G15" s="151"/>
      <c r="H15" s="151"/>
      <c r="I15" s="151"/>
      <c r="J15" s="151"/>
      <c r="K15" s="151"/>
      <c r="L15" s="151"/>
      <c r="M15" s="151"/>
      <c r="N15" s="151"/>
      <c r="O15" s="152"/>
      <c r="P15" s="152"/>
      <c r="Q15" s="152"/>
      <c r="R15" s="152"/>
      <c r="S15" s="152"/>
      <c r="T15" s="152"/>
      <c r="U15" s="152"/>
      <c r="V15" s="152"/>
      <c r="W15" s="152"/>
      <c r="X15" s="152"/>
      <c r="Y15" s="152"/>
      <c r="Z15" s="152"/>
    </row>
    <row r="16" ht="16.5" customHeight="1">
      <c r="A16" s="149"/>
      <c r="B16" s="149"/>
      <c r="C16" s="149"/>
      <c r="D16" s="149"/>
      <c r="E16" s="149"/>
      <c r="F16" s="149"/>
      <c r="G16" s="149"/>
      <c r="H16" s="149"/>
      <c r="I16" s="149"/>
      <c r="J16" s="149"/>
      <c r="K16" s="149"/>
      <c r="L16" s="149"/>
      <c r="M16" s="149"/>
      <c r="N16" s="149"/>
      <c r="O16" s="150"/>
      <c r="P16" s="150"/>
      <c r="Q16" s="150"/>
      <c r="R16" s="150"/>
      <c r="S16" s="150"/>
      <c r="T16" s="150"/>
      <c r="U16" s="150"/>
      <c r="V16" s="150"/>
      <c r="W16" s="150"/>
      <c r="X16" s="150"/>
      <c r="Y16" s="150"/>
      <c r="Z16" s="150"/>
    </row>
    <row r="17" ht="33.0" customHeight="1">
      <c r="A17" s="149"/>
      <c r="B17" s="149"/>
      <c r="C17" s="149"/>
      <c r="D17" s="149"/>
      <c r="E17" s="149"/>
      <c r="F17" s="149"/>
      <c r="G17" s="149"/>
      <c r="H17" s="149"/>
      <c r="I17" s="149"/>
      <c r="J17" s="149"/>
      <c r="K17" s="149"/>
      <c r="L17" s="149"/>
      <c r="M17" s="149"/>
      <c r="N17" s="149"/>
      <c r="O17" s="150"/>
      <c r="P17" s="150"/>
      <c r="Q17" s="150"/>
      <c r="R17" s="150"/>
      <c r="S17" s="150"/>
      <c r="T17" s="150"/>
      <c r="U17" s="150"/>
      <c r="V17" s="150"/>
      <c r="W17" s="150"/>
      <c r="X17" s="150"/>
      <c r="Y17" s="150"/>
      <c r="Z17" s="150"/>
    </row>
    <row r="18" ht="33.0" customHeight="1">
      <c r="A18" s="151"/>
      <c r="B18" s="151"/>
      <c r="C18" s="151"/>
      <c r="D18" s="151"/>
      <c r="E18" s="151"/>
      <c r="F18" s="151"/>
      <c r="G18" s="151"/>
      <c r="H18" s="151"/>
      <c r="I18" s="151"/>
      <c r="J18" s="151"/>
      <c r="K18" s="151"/>
      <c r="L18" s="151"/>
      <c r="M18" s="151"/>
      <c r="N18" s="151"/>
      <c r="O18" s="152"/>
      <c r="P18" s="152"/>
      <c r="Q18" s="152"/>
      <c r="R18" s="152"/>
      <c r="S18" s="152"/>
      <c r="T18" s="152"/>
      <c r="U18" s="152"/>
      <c r="V18" s="152"/>
      <c r="W18" s="152"/>
      <c r="X18" s="152"/>
      <c r="Y18" s="152"/>
      <c r="Z18" s="152"/>
    </row>
    <row r="19" ht="16.5" customHeight="1">
      <c r="A19" s="149"/>
      <c r="B19" s="149"/>
      <c r="C19" s="149"/>
      <c r="D19" s="149"/>
      <c r="E19" s="149"/>
      <c r="F19" s="149"/>
      <c r="G19" s="149"/>
      <c r="H19" s="149"/>
      <c r="I19" s="149"/>
      <c r="J19" s="149"/>
      <c r="K19" s="149"/>
      <c r="L19" s="149"/>
      <c r="M19" s="149"/>
      <c r="N19" s="149"/>
      <c r="O19" s="150"/>
      <c r="P19" s="150"/>
      <c r="Q19" s="150"/>
      <c r="R19" s="150"/>
      <c r="S19" s="150"/>
      <c r="T19" s="150"/>
      <c r="U19" s="150"/>
      <c r="V19" s="150"/>
      <c r="W19" s="150"/>
      <c r="X19" s="150"/>
      <c r="Y19" s="150"/>
      <c r="Z19" s="150"/>
    </row>
    <row r="20" ht="33.0" customHeight="1">
      <c r="A20" s="149"/>
      <c r="B20" s="149"/>
      <c r="C20" s="149"/>
      <c r="D20" s="149"/>
      <c r="E20" s="149"/>
      <c r="F20" s="149"/>
      <c r="G20" s="149"/>
      <c r="H20" s="149"/>
      <c r="I20" s="149"/>
      <c r="J20" s="149"/>
      <c r="K20" s="149"/>
      <c r="L20" s="149"/>
      <c r="M20" s="149"/>
      <c r="N20" s="149"/>
      <c r="O20" s="150"/>
      <c r="P20" s="150"/>
      <c r="Q20" s="150"/>
      <c r="R20" s="150"/>
      <c r="S20" s="150"/>
      <c r="T20" s="150"/>
      <c r="U20" s="150"/>
      <c r="V20" s="150"/>
      <c r="W20" s="150"/>
      <c r="X20" s="150"/>
      <c r="Y20" s="150"/>
      <c r="Z20" s="150"/>
    </row>
    <row r="21" ht="33.0" customHeight="1">
      <c r="A21" s="151"/>
      <c r="B21" s="151"/>
      <c r="C21" s="151"/>
      <c r="D21" s="151"/>
      <c r="E21" s="151"/>
      <c r="F21" s="151"/>
      <c r="G21" s="151"/>
      <c r="H21" s="151"/>
      <c r="I21" s="151"/>
      <c r="J21" s="151"/>
      <c r="K21" s="151"/>
      <c r="L21" s="151"/>
      <c r="M21" s="151"/>
      <c r="N21" s="151"/>
      <c r="O21" s="152"/>
      <c r="P21" s="152"/>
      <c r="Q21" s="152"/>
      <c r="R21" s="152"/>
      <c r="S21" s="152"/>
      <c r="T21" s="152"/>
      <c r="U21" s="152"/>
      <c r="V21" s="152"/>
      <c r="W21" s="152"/>
      <c r="X21" s="152"/>
      <c r="Y21" s="152"/>
      <c r="Z21" s="152"/>
    </row>
    <row r="22" ht="16.5" customHeight="1">
      <c r="A22" s="149"/>
      <c r="B22" s="149"/>
      <c r="C22" s="149"/>
      <c r="D22" s="149"/>
      <c r="E22" s="149"/>
      <c r="F22" s="149"/>
      <c r="G22" s="149"/>
      <c r="H22" s="149"/>
      <c r="I22" s="149"/>
      <c r="J22" s="149"/>
      <c r="K22" s="149"/>
      <c r="L22" s="149"/>
      <c r="M22" s="149"/>
      <c r="N22" s="149"/>
      <c r="O22" s="150"/>
      <c r="P22" s="150"/>
      <c r="Q22" s="150"/>
      <c r="R22" s="150"/>
      <c r="S22" s="150"/>
      <c r="T22" s="150"/>
      <c r="U22" s="150"/>
      <c r="V22" s="150"/>
      <c r="W22" s="150"/>
      <c r="X22" s="150"/>
      <c r="Y22" s="150"/>
      <c r="Z22" s="150"/>
    </row>
    <row r="23" ht="33.0" customHeight="1">
      <c r="A23" s="149"/>
      <c r="B23" s="149"/>
      <c r="C23" s="149"/>
      <c r="D23" s="149"/>
      <c r="E23" s="149"/>
      <c r="F23" s="149"/>
      <c r="G23" s="149"/>
      <c r="H23" s="149"/>
      <c r="I23" s="149"/>
      <c r="J23" s="149"/>
      <c r="K23" s="149"/>
      <c r="L23" s="149"/>
      <c r="M23" s="149"/>
      <c r="N23" s="149"/>
      <c r="O23" s="150"/>
      <c r="P23" s="150"/>
      <c r="Q23" s="150"/>
      <c r="R23" s="150"/>
      <c r="S23" s="150"/>
      <c r="T23" s="150"/>
      <c r="U23" s="150"/>
      <c r="V23" s="150"/>
      <c r="W23" s="150"/>
      <c r="X23" s="150"/>
      <c r="Y23" s="150"/>
      <c r="Z23" s="150"/>
    </row>
    <row r="24" ht="33.0" customHeight="1">
      <c r="A24" s="151"/>
      <c r="B24" s="151"/>
      <c r="C24" s="151"/>
      <c r="D24" s="151"/>
      <c r="E24" s="151"/>
      <c r="F24" s="151"/>
      <c r="G24" s="151"/>
      <c r="H24" s="151"/>
      <c r="I24" s="151"/>
      <c r="J24" s="151"/>
      <c r="K24" s="151"/>
      <c r="L24" s="151"/>
      <c r="M24" s="151"/>
      <c r="N24" s="151"/>
      <c r="O24" s="152"/>
      <c r="P24" s="152"/>
      <c r="Q24" s="152"/>
      <c r="R24" s="152"/>
      <c r="S24" s="152"/>
      <c r="T24" s="152"/>
      <c r="U24" s="152"/>
      <c r="V24" s="152"/>
      <c r="W24" s="152"/>
      <c r="X24" s="152"/>
      <c r="Y24" s="152"/>
      <c r="Z24" s="152"/>
    </row>
    <row r="25" ht="16.5" customHeight="1">
      <c r="A25" s="149"/>
      <c r="B25" s="149"/>
      <c r="C25" s="149"/>
      <c r="D25" s="149"/>
      <c r="E25" s="149"/>
      <c r="F25" s="149"/>
      <c r="G25" s="149"/>
      <c r="H25" s="149"/>
      <c r="I25" s="149"/>
      <c r="J25" s="149"/>
      <c r="K25" s="149"/>
      <c r="L25" s="149"/>
      <c r="M25" s="149"/>
      <c r="N25" s="149"/>
      <c r="O25" s="150"/>
      <c r="P25" s="150"/>
      <c r="Q25" s="150"/>
      <c r="R25" s="150"/>
      <c r="S25" s="150"/>
      <c r="T25" s="150"/>
      <c r="U25" s="150"/>
      <c r="V25" s="150"/>
      <c r="W25" s="150"/>
      <c r="X25" s="150"/>
      <c r="Y25" s="150"/>
      <c r="Z25" s="150"/>
    </row>
    <row r="26" ht="33.0" customHeight="1">
      <c r="A26" s="149"/>
      <c r="B26" s="149"/>
      <c r="C26" s="149"/>
      <c r="D26" s="149"/>
      <c r="E26" s="149"/>
      <c r="F26" s="149"/>
      <c r="G26" s="149"/>
      <c r="H26" s="149"/>
      <c r="I26" s="149"/>
      <c r="J26" s="149"/>
      <c r="K26" s="149"/>
      <c r="L26" s="149"/>
      <c r="M26" s="149"/>
      <c r="N26" s="149"/>
      <c r="O26" s="150"/>
      <c r="P26" s="150"/>
      <c r="Q26" s="150"/>
      <c r="R26" s="150"/>
      <c r="S26" s="150"/>
      <c r="T26" s="150"/>
      <c r="U26" s="150"/>
      <c r="V26" s="150"/>
      <c r="W26" s="150"/>
      <c r="X26" s="150"/>
      <c r="Y26" s="150"/>
      <c r="Z26" s="150"/>
    </row>
    <row r="27" ht="33.0" customHeight="1">
      <c r="A27" s="151"/>
      <c r="B27" s="151"/>
      <c r="C27" s="151"/>
      <c r="D27" s="151"/>
      <c r="E27" s="151"/>
      <c r="F27" s="151"/>
      <c r="G27" s="151"/>
      <c r="H27" s="151"/>
      <c r="I27" s="151"/>
      <c r="J27" s="151"/>
      <c r="K27" s="151"/>
      <c r="L27" s="151"/>
      <c r="M27" s="151"/>
      <c r="N27" s="151"/>
      <c r="O27" s="152"/>
      <c r="P27" s="152"/>
      <c r="Q27" s="152"/>
      <c r="R27" s="152"/>
      <c r="S27" s="152"/>
      <c r="T27" s="152"/>
      <c r="U27" s="152"/>
      <c r="V27" s="152"/>
      <c r="W27" s="152"/>
      <c r="X27" s="152"/>
      <c r="Y27" s="152"/>
      <c r="Z27" s="152"/>
    </row>
    <row r="28" ht="16.5" customHeight="1">
      <c r="A28" s="149"/>
      <c r="B28" s="149"/>
      <c r="C28" s="149"/>
      <c r="D28" s="149"/>
      <c r="E28" s="149"/>
      <c r="F28" s="149"/>
      <c r="G28" s="149"/>
      <c r="H28" s="149"/>
      <c r="I28" s="149"/>
      <c r="J28" s="149"/>
      <c r="K28" s="149"/>
      <c r="L28" s="149"/>
      <c r="M28" s="149"/>
      <c r="N28" s="149"/>
      <c r="O28" s="150"/>
      <c r="P28" s="150"/>
      <c r="Q28" s="150"/>
      <c r="R28" s="150"/>
      <c r="S28" s="150"/>
      <c r="T28" s="150"/>
      <c r="U28" s="150"/>
      <c r="V28" s="150"/>
      <c r="W28" s="150"/>
      <c r="X28" s="150"/>
      <c r="Y28" s="150"/>
      <c r="Z28" s="150"/>
    </row>
    <row r="29" ht="33.0" customHeight="1">
      <c r="A29" s="149"/>
      <c r="B29" s="149"/>
      <c r="C29" s="149"/>
      <c r="D29" s="149"/>
      <c r="E29" s="149"/>
      <c r="F29" s="149"/>
      <c r="G29" s="149"/>
      <c r="H29" s="149"/>
      <c r="I29" s="149"/>
      <c r="J29" s="149"/>
      <c r="K29" s="149"/>
      <c r="L29" s="149"/>
      <c r="M29" s="149"/>
      <c r="N29" s="149"/>
      <c r="O29" s="150"/>
      <c r="P29" s="150"/>
      <c r="Q29" s="150"/>
      <c r="R29" s="150"/>
      <c r="S29" s="150"/>
      <c r="T29" s="150"/>
      <c r="U29" s="150"/>
      <c r="V29" s="150"/>
      <c r="W29" s="150"/>
      <c r="X29" s="150"/>
      <c r="Y29" s="150"/>
      <c r="Z29" s="150"/>
    </row>
    <row r="30" ht="33.0" customHeight="1">
      <c r="A30" s="151"/>
      <c r="B30" s="151"/>
      <c r="C30" s="151"/>
      <c r="D30" s="151"/>
      <c r="E30" s="151"/>
      <c r="F30" s="151"/>
      <c r="G30" s="151"/>
      <c r="H30" s="151"/>
      <c r="I30" s="151"/>
      <c r="J30" s="151"/>
      <c r="K30" s="151"/>
      <c r="L30" s="151"/>
      <c r="M30" s="151"/>
      <c r="N30" s="151"/>
      <c r="O30" s="152"/>
      <c r="P30" s="152"/>
      <c r="Q30" s="152"/>
      <c r="R30" s="152"/>
      <c r="S30" s="152"/>
      <c r="T30" s="152"/>
      <c r="U30" s="152"/>
      <c r="V30" s="152"/>
      <c r="W30" s="152"/>
      <c r="X30" s="152"/>
      <c r="Y30" s="152"/>
      <c r="Z30" s="152"/>
    </row>
    <row r="31" ht="16.5" customHeight="1">
      <c r="A31" s="149"/>
      <c r="B31" s="149"/>
      <c r="C31" s="149"/>
      <c r="D31" s="149"/>
      <c r="E31" s="149"/>
      <c r="F31" s="149"/>
      <c r="G31" s="149"/>
      <c r="H31" s="149"/>
      <c r="I31" s="149"/>
      <c r="J31" s="149"/>
      <c r="K31" s="149"/>
      <c r="L31" s="149"/>
      <c r="M31" s="149"/>
      <c r="N31" s="149"/>
      <c r="O31" s="150"/>
      <c r="P31" s="150"/>
      <c r="Q31" s="150"/>
      <c r="R31" s="150"/>
      <c r="S31" s="150"/>
      <c r="T31" s="150"/>
      <c r="U31" s="150"/>
      <c r="V31" s="150"/>
      <c r="W31" s="150"/>
      <c r="X31" s="150"/>
      <c r="Y31" s="150"/>
      <c r="Z31" s="150"/>
    </row>
    <row r="32" ht="33.0" customHeight="1">
      <c r="A32" s="149"/>
      <c r="B32" s="149"/>
      <c r="C32" s="149"/>
      <c r="D32" s="149"/>
      <c r="E32" s="149"/>
      <c r="F32" s="149"/>
      <c r="G32" s="149"/>
      <c r="H32" s="149"/>
      <c r="I32" s="149"/>
      <c r="J32" s="149"/>
      <c r="K32" s="149"/>
      <c r="L32" s="149"/>
      <c r="M32" s="149"/>
      <c r="N32" s="149"/>
      <c r="O32" s="150"/>
      <c r="P32" s="150"/>
      <c r="Q32" s="150"/>
      <c r="R32" s="150"/>
      <c r="S32" s="150"/>
      <c r="T32" s="150"/>
      <c r="U32" s="150"/>
      <c r="V32" s="150"/>
      <c r="W32" s="150"/>
      <c r="X32" s="150"/>
      <c r="Y32" s="150"/>
      <c r="Z32" s="150"/>
    </row>
    <row r="33" ht="33.0" customHeight="1">
      <c r="A33" s="151"/>
      <c r="B33" s="151"/>
      <c r="C33" s="151"/>
      <c r="D33" s="151"/>
      <c r="E33" s="151"/>
      <c r="F33" s="151"/>
      <c r="G33" s="151"/>
      <c r="H33" s="151"/>
      <c r="I33" s="151"/>
      <c r="J33" s="151"/>
      <c r="K33" s="151"/>
      <c r="L33" s="151"/>
      <c r="M33" s="151"/>
      <c r="N33" s="151"/>
      <c r="O33" s="152"/>
      <c r="P33" s="152"/>
      <c r="Q33" s="152"/>
      <c r="R33" s="152"/>
      <c r="S33" s="152"/>
      <c r="T33" s="152"/>
      <c r="U33" s="152"/>
      <c r="V33" s="152"/>
      <c r="W33" s="152"/>
      <c r="X33" s="152"/>
      <c r="Y33" s="152"/>
      <c r="Z33" s="152"/>
    </row>
    <row r="34" ht="16.5" customHeight="1">
      <c r="A34" s="149"/>
      <c r="B34" s="149"/>
      <c r="C34" s="149"/>
      <c r="D34" s="149"/>
      <c r="E34" s="149"/>
      <c r="F34" s="149"/>
      <c r="G34" s="149"/>
      <c r="H34" s="149"/>
      <c r="I34" s="149"/>
      <c r="J34" s="149"/>
      <c r="K34" s="149"/>
      <c r="L34" s="149"/>
      <c r="M34" s="149"/>
      <c r="N34" s="149"/>
      <c r="O34" s="150"/>
      <c r="P34" s="150"/>
      <c r="Q34" s="150"/>
      <c r="R34" s="150"/>
      <c r="S34" s="150"/>
      <c r="T34" s="150"/>
      <c r="U34" s="150"/>
      <c r="V34" s="150"/>
      <c r="W34" s="150"/>
      <c r="X34" s="150"/>
      <c r="Y34" s="150"/>
      <c r="Z34" s="150"/>
    </row>
    <row r="35" ht="33.0" customHeight="1">
      <c r="A35" s="149"/>
      <c r="B35" s="149"/>
      <c r="C35" s="149"/>
      <c r="D35" s="149"/>
      <c r="E35" s="149"/>
      <c r="F35" s="149"/>
      <c r="G35" s="149"/>
      <c r="H35" s="149"/>
      <c r="I35" s="149"/>
      <c r="J35" s="149"/>
      <c r="K35" s="149"/>
      <c r="L35" s="149"/>
      <c r="M35" s="149"/>
      <c r="N35" s="149"/>
      <c r="O35" s="150"/>
      <c r="P35" s="150"/>
      <c r="Q35" s="150"/>
      <c r="R35" s="150"/>
      <c r="S35" s="150"/>
      <c r="T35" s="150"/>
      <c r="U35" s="150"/>
      <c r="V35" s="150"/>
      <c r="W35" s="150"/>
      <c r="X35" s="150"/>
      <c r="Y35" s="150"/>
      <c r="Z35" s="150"/>
    </row>
    <row r="36" ht="33.0" customHeight="1">
      <c r="A36" s="151"/>
      <c r="B36" s="151"/>
      <c r="C36" s="151"/>
      <c r="D36" s="151"/>
      <c r="E36" s="151"/>
      <c r="F36" s="151"/>
      <c r="G36" s="151"/>
      <c r="H36" s="151"/>
      <c r="I36" s="151"/>
      <c r="J36" s="151"/>
      <c r="K36" s="151"/>
      <c r="L36" s="151"/>
      <c r="M36" s="151"/>
      <c r="N36" s="151"/>
      <c r="O36" s="152"/>
      <c r="P36" s="152"/>
      <c r="Q36" s="152"/>
      <c r="R36" s="152"/>
      <c r="S36" s="152"/>
      <c r="T36" s="152"/>
      <c r="U36" s="152"/>
      <c r="V36" s="152"/>
      <c r="W36" s="152"/>
      <c r="X36" s="152"/>
      <c r="Y36" s="152"/>
      <c r="Z36" s="152"/>
    </row>
    <row r="37" ht="16.5" customHeight="1">
      <c r="A37" s="149"/>
      <c r="B37" s="149"/>
      <c r="C37" s="149"/>
      <c r="D37" s="149"/>
      <c r="E37" s="149"/>
      <c r="F37" s="149"/>
      <c r="G37" s="149"/>
      <c r="H37" s="149"/>
      <c r="I37" s="149"/>
      <c r="J37" s="149"/>
      <c r="K37" s="149"/>
      <c r="L37" s="149"/>
      <c r="M37" s="149"/>
      <c r="N37" s="149"/>
      <c r="O37" s="150"/>
      <c r="P37" s="150"/>
      <c r="Q37" s="150"/>
      <c r="R37" s="150"/>
      <c r="S37" s="150"/>
      <c r="T37" s="150"/>
      <c r="U37" s="150"/>
      <c r="V37" s="150"/>
      <c r="W37" s="150"/>
      <c r="X37" s="150"/>
      <c r="Y37" s="150"/>
      <c r="Z37" s="150"/>
    </row>
    <row r="38" ht="33.0" customHeight="1">
      <c r="A38" s="149"/>
      <c r="B38" s="149"/>
      <c r="C38" s="149"/>
      <c r="D38" s="149"/>
      <c r="E38" s="149"/>
      <c r="F38" s="149"/>
      <c r="G38" s="149"/>
      <c r="H38" s="149"/>
      <c r="I38" s="149"/>
      <c r="J38" s="149"/>
      <c r="K38" s="149"/>
      <c r="L38" s="149"/>
      <c r="M38" s="149"/>
      <c r="N38" s="149"/>
      <c r="O38" s="150"/>
      <c r="P38" s="150"/>
      <c r="Q38" s="150"/>
      <c r="R38" s="150"/>
      <c r="S38" s="150"/>
      <c r="T38" s="150"/>
      <c r="U38" s="150"/>
      <c r="V38" s="150"/>
      <c r="W38" s="150"/>
      <c r="X38" s="150"/>
      <c r="Y38" s="150"/>
      <c r="Z38" s="150"/>
    </row>
    <row r="39" ht="33.0" customHeight="1">
      <c r="A39" s="151"/>
      <c r="B39" s="151"/>
      <c r="C39" s="151"/>
      <c r="D39" s="151"/>
      <c r="E39" s="151"/>
      <c r="F39" s="151"/>
      <c r="G39" s="151"/>
      <c r="H39" s="151"/>
      <c r="I39" s="151"/>
      <c r="J39" s="151"/>
      <c r="K39" s="151"/>
      <c r="L39" s="151"/>
      <c r="M39" s="151"/>
      <c r="N39" s="151"/>
      <c r="O39" s="152"/>
      <c r="P39" s="152"/>
      <c r="Q39" s="152"/>
      <c r="R39" s="152"/>
      <c r="S39" s="152"/>
      <c r="T39" s="152"/>
      <c r="U39" s="152"/>
      <c r="V39" s="152"/>
      <c r="W39" s="152"/>
      <c r="X39" s="152"/>
      <c r="Y39" s="152"/>
      <c r="Z39" s="152"/>
    </row>
    <row r="40" ht="16.5" customHeight="1">
      <c r="A40" s="149"/>
      <c r="B40" s="149"/>
      <c r="C40" s="149"/>
      <c r="D40" s="149"/>
      <c r="E40" s="149"/>
      <c r="F40" s="149"/>
      <c r="G40" s="149"/>
      <c r="H40" s="149"/>
      <c r="I40" s="149"/>
      <c r="J40" s="149"/>
      <c r="K40" s="149"/>
      <c r="L40" s="149"/>
      <c r="M40" s="149"/>
      <c r="N40" s="149"/>
      <c r="O40" s="150"/>
      <c r="P40" s="150"/>
      <c r="Q40" s="150"/>
      <c r="R40" s="150"/>
      <c r="S40" s="150"/>
      <c r="T40" s="150"/>
      <c r="U40" s="150"/>
      <c r="V40" s="150"/>
      <c r="W40" s="150"/>
      <c r="X40" s="150"/>
      <c r="Y40" s="150"/>
      <c r="Z40" s="150"/>
    </row>
    <row r="41" ht="33.0" customHeight="1">
      <c r="A41" s="149"/>
      <c r="B41" s="149"/>
      <c r="C41" s="149"/>
      <c r="D41" s="149"/>
      <c r="E41" s="149"/>
      <c r="F41" s="149"/>
      <c r="G41" s="149"/>
      <c r="H41" s="149"/>
      <c r="I41" s="149"/>
      <c r="J41" s="149"/>
      <c r="K41" s="149"/>
      <c r="L41" s="149"/>
      <c r="M41" s="149"/>
      <c r="N41" s="149"/>
      <c r="O41" s="150"/>
      <c r="P41" s="150"/>
      <c r="Q41" s="150"/>
      <c r="R41" s="150"/>
      <c r="S41" s="150"/>
      <c r="T41" s="150"/>
      <c r="U41" s="150"/>
      <c r="V41" s="150"/>
      <c r="W41" s="150"/>
      <c r="X41" s="150"/>
      <c r="Y41" s="150"/>
      <c r="Z41" s="150"/>
    </row>
    <row r="42" ht="33.0" customHeight="1">
      <c r="A42" s="151"/>
      <c r="B42" s="151"/>
      <c r="C42" s="151"/>
      <c r="D42" s="151"/>
      <c r="E42" s="151"/>
      <c r="F42" s="151"/>
      <c r="G42" s="151"/>
      <c r="H42" s="151"/>
      <c r="I42" s="151"/>
      <c r="J42" s="151"/>
      <c r="K42" s="151"/>
      <c r="L42" s="151"/>
      <c r="M42" s="151"/>
      <c r="N42" s="151"/>
      <c r="O42" s="152"/>
      <c r="P42" s="152"/>
      <c r="Q42" s="152"/>
      <c r="R42" s="152"/>
      <c r="S42" s="152"/>
      <c r="T42" s="152"/>
      <c r="U42" s="152"/>
      <c r="V42" s="152"/>
      <c r="W42" s="152"/>
      <c r="X42" s="152"/>
      <c r="Y42" s="152"/>
      <c r="Z42" s="152"/>
    </row>
    <row r="43" ht="16.5" customHeight="1">
      <c r="A43" s="149"/>
      <c r="B43" s="149"/>
      <c r="C43" s="149"/>
      <c r="D43" s="149"/>
      <c r="E43" s="149"/>
      <c r="F43" s="149"/>
      <c r="G43" s="149"/>
      <c r="H43" s="149"/>
      <c r="I43" s="149"/>
      <c r="J43" s="149"/>
      <c r="K43" s="149"/>
      <c r="L43" s="149"/>
      <c r="M43" s="149"/>
      <c r="N43" s="149"/>
      <c r="O43" s="150"/>
      <c r="P43" s="150"/>
      <c r="Q43" s="150"/>
      <c r="R43" s="150"/>
      <c r="S43" s="150"/>
      <c r="T43" s="150"/>
      <c r="U43" s="150"/>
      <c r="V43" s="150"/>
      <c r="W43" s="150"/>
      <c r="X43" s="150"/>
      <c r="Y43" s="150"/>
      <c r="Z43" s="150"/>
    </row>
    <row r="44" ht="33.0" customHeight="1">
      <c r="A44" s="149"/>
      <c r="B44" s="149"/>
      <c r="C44" s="149"/>
      <c r="D44" s="149"/>
      <c r="E44" s="149"/>
      <c r="F44" s="149"/>
      <c r="G44" s="149"/>
      <c r="H44" s="149"/>
      <c r="I44" s="149"/>
      <c r="J44" s="149"/>
      <c r="K44" s="149"/>
      <c r="L44" s="149"/>
      <c r="M44" s="149"/>
      <c r="N44" s="149"/>
      <c r="O44" s="150"/>
      <c r="P44" s="150"/>
      <c r="Q44" s="150"/>
      <c r="R44" s="150"/>
      <c r="S44" s="150"/>
      <c r="T44" s="150"/>
      <c r="U44" s="150"/>
      <c r="V44" s="150"/>
      <c r="W44" s="150"/>
      <c r="X44" s="150"/>
      <c r="Y44" s="150"/>
      <c r="Z44" s="150"/>
    </row>
    <row r="45" ht="33.0" customHeight="1">
      <c r="A45" s="151"/>
      <c r="B45" s="151"/>
      <c r="C45" s="151"/>
      <c r="D45" s="151"/>
      <c r="E45" s="151"/>
      <c r="F45" s="151"/>
      <c r="G45" s="151"/>
      <c r="H45" s="151"/>
      <c r="I45" s="151"/>
      <c r="J45" s="151"/>
      <c r="K45" s="151"/>
      <c r="L45" s="151"/>
      <c r="M45" s="151"/>
      <c r="N45" s="151"/>
      <c r="O45" s="152"/>
      <c r="P45" s="152"/>
      <c r="Q45" s="152"/>
      <c r="R45" s="152"/>
      <c r="S45" s="152"/>
      <c r="T45" s="152"/>
      <c r="U45" s="152"/>
      <c r="V45" s="152"/>
      <c r="W45" s="152"/>
      <c r="X45" s="152"/>
      <c r="Y45" s="152"/>
      <c r="Z45" s="152"/>
    </row>
    <row r="46" ht="16.5" customHeight="1">
      <c r="A46" s="149"/>
      <c r="B46" s="149"/>
      <c r="C46" s="149"/>
      <c r="D46" s="149"/>
      <c r="E46" s="149"/>
      <c r="F46" s="149"/>
      <c r="G46" s="149"/>
      <c r="H46" s="149"/>
      <c r="I46" s="149"/>
      <c r="J46" s="149"/>
      <c r="K46" s="149"/>
      <c r="L46" s="149"/>
      <c r="M46" s="149"/>
      <c r="N46" s="149"/>
      <c r="O46" s="150"/>
      <c r="P46" s="150"/>
      <c r="Q46" s="150"/>
      <c r="R46" s="150"/>
      <c r="S46" s="150"/>
      <c r="T46" s="150"/>
      <c r="U46" s="150"/>
      <c r="V46" s="150"/>
      <c r="W46" s="150"/>
      <c r="X46" s="150"/>
      <c r="Y46" s="150"/>
      <c r="Z46" s="150"/>
    </row>
    <row r="47" ht="33.0" customHeight="1">
      <c r="A47" s="149"/>
      <c r="B47" s="149"/>
      <c r="C47" s="149"/>
      <c r="D47" s="149"/>
      <c r="E47" s="149"/>
      <c r="F47" s="149"/>
      <c r="G47" s="149"/>
      <c r="H47" s="149"/>
      <c r="I47" s="149"/>
      <c r="J47" s="149"/>
      <c r="K47" s="149"/>
      <c r="L47" s="149"/>
      <c r="M47" s="149"/>
      <c r="N47" s="149"/>
      <c r="O47" s="150"/>
      <c r="P47" s="150"/>
      <c r="Q47" s="150"/>
      <c r="R47" s="150"/>
      <c r="S47" s="150"/>
      <c r="T47" s="150"/>
      <c r="U47" s="150"/>
      <c r="V47" s="150"/>
      <c r="W47" s="150"/>
      <c r="X47" s="150"/>
      <c r="Y47" s="150"/>
      <c r="Z47" s="150"/>
    </row>
    <row r="48" ht="33.0" customHeight="1">
      <c r="A48" s="151"/>
      <c r="B48" s="151"/>
      <c r="C48" s="151"/>
      <c r="D48" s="151"/>
      <c r="E48" s="151"/>
      <c r="F48" s="151"/>
      <c r="G48" s="151"/>
      <c r="H48" s="151"/>
      <c r="I48" s="151"/>
      <c r="J48" s="151"/>
      <c r="K48" s="151"/>
      <c r="L48" s="151"/>
      <c r="M48" s="151"/>
      <c r="N48" s="151"/>
      <c r="O48" s="152"/>
      <c r="P48" s="152"/>
      <c r="Q48" s="152"/>
      <c r="R48" s="152"/>
      <c r="S48" s="152"/>
      <c r="T48" s="152"/>
      <c r="U48" s="152"/>
      <c r="V48" s="152"/>
      <c r="W48" s="152"/>
      <c r="X48" s="152"/>
      <c r="Y48" s="152"/>
      <c r="Z48" s="152"/>
    </row>
    <row r="49" ht="16.5" customHeight="1">
      <c r="A49" s="149"/>
      <c r="B49" s="149"/>
      <c r="C49" s="149"/>
      <c r="D49" s="149"/>
      <c r="E49" s="149"/>
      <c r="F49" s="149"/>
      <c r="G49" s="149"/>
      <c r="H49" s="149"/>
      <c r="I49" s="149"/>
      <c r="J49" s="149"/>
      <c r="K49" s="149"/>
      <c r="L49" s="149"/>
      <c r="M49" s="149"/>
      <c r="N49" s="149"/>
      <c r="O49" s="150"/>
      <c r="P49" s="150"/>
      <c r="Q49" s="150"/>
      <c r="R49" s="150"/>
      <c r="S49" s="150"/>
      <c r="T49" s="150"/>
      <c r="U49" s="150"/>
      <c r="V49" s="150"/>
      <c r="W49" s="150"/>
      <c r="X49" s="150"/>
      <c r="Y49" s="150"/>
      <c r="Z49" s="150"/>
    </row>
    <row r="50" ht="33.0" customHeight="1">
      <c r="A50" s="149"/>
      <c r="B50" s="149"/>
      <c r="C50" s="149"/>
      <c r="D50" s="149"/>
      <c r="E50" s="149"/>
      <c r="F50" s="149"/>
      <c r="G50" s="149"/>
      <c r="H50" s="149"/>
      <c r="I50" s="149"/>
      <c r="J50" s="149"/>
      <c r="K50" s="149"/>
      <c r="L50" s="149"/>
      <c r="M50" s="149"/>
      <c r="N50" s="149"/>
      <c r="O50" s="150"/>
      <c r="P50" s="150"/>
      <c r="Q50" s="150"/>
      <c r="R50" s="150"/>
      <c r="S50" s="150"/>
      <c r="T50" s="150"/>
      <c r="U50" s="150"/>
      <c r="V50" s="150"/>
      <c r="W50" s="150"/>
      <c r="X50" s="150"/>
      <c r="Y50" s="150"/>
      <c r="Z50" s="150"/>
    </row>
    <row r="51" ht="33.0" customHeight="1">
      <c r="A51" s="151"/>
      <c r="B51" s="151"/>
      <c r="C51" s="151"/>
      <c r="D51" s="151"/>
      <c r="E51" s="151"/>
      <c r="F51" s="151"/>
      <c r="G51" s="151"/>
      <c r="H51" s="151"/>
      <c r="I51" s="151"/>
      <c r="J51" s="151"/>
      <c r="K51" s="151"/>
      <c r="L51" s="151"/>
      <c r="M51" s="151"/>
      <c r="N51" s="151"/>
      <c r="O51" s="152"/>
      <c r="P51" s="152"/>
      <c r="Q51" s="152"/>
      <c r="R51" s="152"/>
      <c r="S51" s="152"/>
      <c r="T51" s="152"/>
      <c r="U51" s="152"/>
      <c r="V51" s="152"/>
      <c r="W51" s="152"/>
      <c r="X51" s="152"/>
      <c r="Y51" s="152"/>
      <c r="Z51" s="152"/>
    </row>
    <row r="52" ht="16.5" customHeight="1">
      <c r="A52" s="149"/>
      <c r="B52" s="149"/>
      <c r="C52" s="149"/>
      <c r="D52" s="149"/>
      <c r="E52" s="149"/>
      <c r="F52" s="149"/>
      <c r="G52" s="149"/>
      <c r="H52" s="149"/>
      <c r="I52" s="149"/>
      <c r="J52" s="149"/>
      <c r="K52" s="149"/>
      <c r="L52" s="149"/>
      <c r="M52" s="149"/>
      <c r="N52" s="149"/>
      <c r="O52" s="150"/>
      <c r="P52" s="150"/>
      <c r="Q52" s="150"/>
      <c r="R52" s="150"/>
      <c r="S52" s="150"/>
      <c r="T52" s="150"/>
      <c r="U52" s="150"/>
      <c r="V52" s="150"/>
      <c r="W52" s="150"/>
      <c r="X52" s="150"/>
      <c r="Y52" s="150"/>
      <c r="Z52" s="150"/>
    </row>
    <row r="53" ht="33.0" customHeight="1">
      <c r="A53" s="149"/>
      <c r="B53" s="149"/>
      <c r="C53" s="149"/>
      <c r="D53" s="149"/>
      <c r="E53" s="149"/>
      <c r="F53" s="149"/>
      <c r="G53" s="149"/>
      <c r="H53" s="149"/>
      <c r="I53" s="149"/>
      <c r="J53" s="149"/>
      <c r="K53" s="149"/>
      <c r="L53" s="149"/>
      <c r="M53" s="149"/>
      <c r="N53" s="149"/>
      <c r="O53" s="150"/>
      <c r="P53" s="150"/>
      <c r="Q53" s="150"/>
      <c r="R53" s="150"/>
      <c r="S53" s="150"/>
      <c r="T53" s="150"/>
      <c r="U53" s="150"/>
      <c r="V53" s="150"/>
      <c r="W53" s="150"/>
      <c r="X53" s="150"/>
      <c r="Y53" s="150"/>
      <c r="Z53" s="150"/>
    </row>
    <row r="54" ht="33.0" customHeight="1">
      <c r="A54" s="151"/>
      <c r="B54" s="151"/>
      <c r="C54" s="151"/>
      <c r="D54" s="151"/>
      <c r="E54" s="151"/>
      <c r="F54" s="151"/>
      <c r="G54" s="151"/>
      <c r="H54" s="151"/>
      <c r="I54" s="151"/>
      <c r="J54" s="151"/>
      <c r="K54" s="151"/>
      <c r="L54" s="151"/>
      <c r="M54" s="151"/>
      <c r="N54" s="151"/>
      <c r="O54" s="152"/>
      <c r="P54" s="152"/>
      <c r="Q54" s="152"/>
      <c r="R54" s="152"/>
      <c r="S54" s="152"/>
      <c r="T54" s="152"/>
      <c r="U54" s="152"/>
      <c r="V54" s="152"/>
      <c r="W54" s="152"/>
      <c r="X54" s="152"/>
      <c r="Y54" s="152"/>
      <c r="Z54" s="152"/>
    </row>
    <row r="55" ht="16.5" customHeight="1">
      <c r="A55" s="149"/>
      <c r="B55" s="149"/>
      <c r="C55" s="149"/>
      <c r="D55" s="149"/>
      <c r="E55" s="149"/>
      <c r="F55" s="149"/>
      <c r="G55" s="149"/>
      <c r="H55" s="149"/>
      <c r="I55" s="149"/>
      <c r="J55" s="149"/>
      <c r="K55" s="149"/>
      <c r="L55" s="149"/>
      <c r="M55" s="149"/>
      <c r="N55" s="149"/>
      <c r="O55" s="150"/>
      <c r="P55" s="150"/>
      <c r="Q55" s="150"/>
      <c r="R55" s="150"/>
      <c r="S55" s="150"/>
      <c r="T55" s="150"/>
      <c r="U55" s="150"/>
      <c r="V55" s="150"/>
      <c r="W55" s="150"/>
      <c r="X55" s="150"/>
      <c r="Y55" s="150"/>
      <c r="Z55" s="150"/>
    </row>
    <row r="56" ht="33.0" customHeight="1">
      <c r="A56" s="149"/>
      <c r="B56" s="149"/>
      <c r="C56" s="149"/>
      <c r="D56" s="149"/>
      <c r="E56" s="149"/>
      <c r="F56" s="149"/>
      <c r="G56" s="149"/>
      <c r="H56" s="149"/>
      <c r="I56" s="149"/>
      <c r="J56" s="149"/>
      <c r="K56" s="149"/>
      <c r="L56" s="149"/>
      <c r="M56" s="149"/>
      <c r="N56" s="149"/>
      <c r="O56" s="150"/>
      <c r="P56" s="150"/>
      <c r="Q56" s="150"/>
      <c r="R56" s="150"/>
      <c r="S56" s="150"/>
      <c r="T56" s="150"/>
      <c r="U56" s="150"/>
      <c r="V56" s="150"/>
      <c r="W56" s="150"/>
      <c r="X56" s="150"/>
      <c r="Y56" s="150"/>
      <c r="Z56" s="150"/>
    </row>
    <row r="57" ht="33.0" customHeight="1">
      <c r="A57" s="151"/>
      <c r="B57" s="151"/>
      <c r="C57" s="151"/>
      <c r="D57" s="151"/>
      <c r="E57" s="151"/>
      <c r="F57" s="151"/>
      <c r="G57" s="151"/>
      <c r="H57" s="151"/>
      <c r="I57" s="151"/>
      <c r="J57" s="151"/>
      <c r="K57" s="151"/>
      <c r="L57" s="151"/>
      <c r="M57" s="151"/>
      <c r="N57" s="151"/>
      <c r="O57" s="152"/>
      <c r="P57" s="152"/>
      <c r="Q57" s="152"/>
      <c r="R57" s="152"/>
      <c r="S57" s="152"/>
      <c r="T57" s="152"/>
      <c r="U57" s="152"/>
      <c r="V57" s="152"/>
      <c r="W57" s="152"/>
      <c r="X57" s="152"/>
      <c r="Y57" s="152"/>
      <c r="Z57" s="152"/>
    </row>
    <row r="58" ht="16.5" customHeight="1">
      <c r="A58" s="149"/>
      <c r="B58" s="149"/>
      <c r="C58" s="149"/>
      <c r="D58" s="149"/>
      <c r="E58" s="149"/>
      <c r="F58" s="149"/>
      <c r="G58" s="149"/>
      <c r="H58" s="149"/>
      <c r="I58" s="149"/>
      <c r="J58" s="149"/>
      <c r="K58" s="149"/>
      <c r="L58" s="149"/>
      <c r="M58" s="149"/>
      <c r="N58" s="149"/>
      <c r="O58" s="150"/>
      <c r="P58" s="150"/>
      <c r="Q58" s="150"/>
      <c r="R58" s="150"/>
      <c r="S58" s="150"/>
      <c r="T58" s="150"/>
      <c r="U58" s="150"/>
      <c r="V58" s="150"/>
      <c r="W58" s="150"/>
      <c r="X58" s="150"/>
      <c r="Y58" s="150"/>
      <c r="Z58" s="150"/>
    </row>
    <row r="59" ht="33.0" customHeight="1">
      <c r="A59" s="149"/>
      <c r="B59" s="149"/>
      <c r="C59" s="149"/>
      <c r="D59" s="149"/>
      <c r="E59" s="149"/>
      <c r="F59" s="149"/>
      <c r="G59" s="149"/>
      <c r="H59" s="149"/>
      <c r="I59" s="149"/>
      <c r="J59" s="149"/>
      <c r="K59" s="149"/>
      <c r="L59" s="149"/>
      <c r="M59" s="149"/>
      <c r="N59" s="149"/>
      <c r="O59" s="150"/>
      <c r="P59" s="150"/>
      <c r="Q59" s="150"/>
      <c r="R59" s="150"/>
      <c r="S59" s="150"/>
      <c r="T59" s="150"/>
      <c r="U59" s="150"/>
      <c r="V59" s="150"/>
      <c r="W59" s="150"/>
      <c r="X59" s="150"/>
      <c r="Y59" s="150"/>
      <c r="Z59" s="150"/>
    </row>
    <row r="60" ht="33.0" customHeight="1">
      <c r="A60" s="151"/>
      <c r="B60" s="151"/>
      <c r="C60" s="151"/>
      <c r="D60" s="151"/>
      <c r="E60" s="151"/>
      <c r="F60" s="151"/>
      <c r="G60" s="151"/>
      <c r="H60" s="151"/>
      <c r="I60" s="151"/>
      <c r="J60" s="151"/>
      <c r="K60" s="151"/>
      <c r="L60" s="151"/>
      <c r="M60" s="151"/>
      <c r="N60" s="151"/>
      <c r="O60" s="152"/>
      <c r="P60" s="152"/>
      <c r="Q60" s="152"/>
      <c r="R60" s="152"/>
      <c r="S60" s="152"/>
      <c r="T60" s="152"/>
      <c r="U60" s="152"/>
      <c r="V60" s="152"/>
      <c r="W60" s="152"/>
      <c r="X60" s="152"/>
      <c r="Y60" s="152"/>
      <c r="Z60" s="152"/>
    </row>
    <row r="61" ht="16.5" customHeight="1">
      <c r="A61" s="149"/>
      <c r="B61" s="149"/>
      <c r="C61" s="149"/>
      <c r="D61" s="149"/>
      <c r="E61" s="149"/>
      <c r="F61" s="149"/>
      <c r="G61" s="149"/>
      <c r="H61" s="149"/>
      <c r="I61" s="149"/>
      <c r="J61" s="149"/>
      <c r="K61" s="149"/>
      <c r="L61" s="149"/>
      <c r="M61" s="149"/>
      <c r="N61" s="149"/>
    </row>
    <row r="62" ht="33.0" customHeight="1">
      <c r="A62" s="149"/>
      <c r="B62" s="149"/>
      <c r="C62" s="149"/>
      <c r="D62" s="149"/>
      <c r="E62" s="149"/>
      <c r="F62" s="149"/>
      <c r="G62" s="149"/>
      <c r="H62" s="149"/>
      <c r="I62" s="149"/>
      <c r="J62" s="149"/>
      <c r="K62" s="149"/>
      <c r="L62" s="149"/>
      <c r="M62" s="149"/>
      <c r="N62" s="149"/>
    </row>
    <row r="63" ht="33.0" customHeight="1">
      <c r="A63" s="153"/>
      <c r="B63" s="153"/>
      <c r="C63" s="153"/>
      <c r="D63" s="153"/>
      <c r="E63" s="153"/>
      <c r="F63" s="153"/>
      <c r="G63" s="153"/>
      <c r="H63" s="153"/>
      <c r="I63" s="153"/>
      <c r="J63" s="153"/>
      <c r="K63" s="153"/>
      <c r="L63" s="153"/>
      <c r="M63" s="153"/>
      <c r="N63" s="153"/>
    </row>
    <row r="64" ht="16.5" customHeight="1"/>
    <row r="65" ht="33.0" customHeight="1"/>
    <row r="66" ht="33.0" customHeight="1"/>
    <row r="67" ht="16.5" customHeight="1"/>
    <row r="68" ht="33.0" customHeight="1"/>
    <row r="69" ht="33.0" customHeight="1"/>
    <row r="70" ht="16.5" customHeight="1"/>
    <row r="71" ht="33.0" customHeight="1"/>
    <row r="72" ht="33.0" customHeight="1"/>
  </sheetData>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1638</v>
      </c>
      <c r="C1" s="36" t="s">
        <v>1639</v>
      </c>
      <c r="D1" s="36" t="s">
        <v>1640</v>
      </c>
      <c r="E1" s="36" t="s">
        <v>1641</v>
      </c>
      <c r="F1" s="36" t="s">
        <v>1642</v>
      </c>
      <c r="G1" s="36" t="s">
        <v>1643</v>
      </c>
      <c r="H1" s="36" t="s">
        <v>1644</v>
      </c>
      <c r="I1" s="36" t="s">
        <v>1645</v>
      </c>
      <c r="J1" s="36" t="s">
        <v>1646</v>
      </c>
      <c r="K1" s="36" t="s">
        <v>1647</v>
      </c>
      <c r="L1" s="36" t="s">
        <v>1648</v>
      </c>
      <c r="M1" s="36" t="s">
        <v>1649</v>
      </c>
      <c r="N1" s="36" t="s">
        <v>1650</v>
      </c>
    </row>
    <row r="2">
      <c r="A2" s="36" t="s">
        <v>1651</v>
      </c>
      <c r="B2" s="154" t="s">
        <v>1652</v>
      </c>
      <c r="C2" s="36" t="s">
        <v>1653</v>
      </c>
      <c r="D2" s="36" t="s">
        <v>43</v>
      </c>
      <c r="E2" s="36" t="s">
        <v>39</v>
      </c>
      <c r="F2" s="154" t="s">
        <v>1654</v>
      </c>
      <c r="G2" s="36" t="s">
        <v>32</v>
      </c>
      <c r="H2" s="36" t="s">
        <v>1655</v>
      </c>
      <c r="I2" s="36" t="s">
        <v>1656</v>
      </c>
      <c r="J2" s="36" t="s">
        <v>1656</v>
      </c>
      <c r="K2" s="36" t="s">
        <v>1657</v>
      </c>
      <c r="L2" s="36" t="s">
        <v>1658</v>
      </c>
      <c r="M2" s="36" t="s">
        <v>1658</v>
      </c>
      <c r="N2" s="36" t="s">
        <v>32</v>
      </c>
    </row>
    <row r="3">
      <c r="A3" s="36" t="s">
        <v>1659</v>
      </c>
      <c r="B3" s="154" t="s">
        <v>1652</v>
      </c>
      <c r="C3" s="36" t="s">
        <v>1653</v>
      </c>
      <c r="D3" s="36" t="s">
        <v>1390</v>
      </c>
      <c r="E3" s="36" t="s">
        <v>39</v>
      </c>
      <c r="F3" s="154" t="s">
        <v>1660</v>
      </c>
      <c r="G3" s="36" t="s">
        <v>32</v>
      </c>
      <c r="H3" s="36" t="s">
        <v>1655</v>
      </c>
      <c r="I3" s="36" t="s">
        <v>1656</v>
      </c>
      <c r="J3" s="36" t="s">
        <v>1656</v>
      </c>
      <c r="K3" s="36" t="s">
        <v>1661</v>
      </c>
      <c r="L3" s="36" t="s">
        <v>1658</v>
      </c>
      <c r="M3" s="36" t="s">
        <v>1658</v>
      </c>
      <c r="N3" s="36" t="s">
        <v>32</v>
      </c>
    </row>
    <row r="4">
      <c r="A4" s="36" t="s">
        <v>1662</v>
      </c>
      <c r="B4" s="154" t="s">
        <v>1652</v>
      </c>
      <c r="C4" s="36" t="s">
        <v>1653</v>
      </c>
      <c r="D4" s="36" t="s">
        <v>1396</v>
      </c>
      <c r="E4" s="36" t="s">
        <v>39</v>
      </c>
      <c r="F4" s="154" t="s">
        <v>1663</v>
      </c>
      <c r="G4" s="36" t="s">
        <v>32</v>
      </c>
      <c r="H4" s="36" t="s">
        <v>1655</v>
      </c>
      <c r="I4" s="36" t="s">
        <v>1656</v>
      </c>
      <c r="J4" s="36" t="s">
        <v>1656</v>
      </c>
      <c r="K4" s="36" t="s">
        <v>1664</v>
      </c>
      <c r="L4" s="36" t="s">
        <v>1658</v>
      </c>
      <c r="M4" s="36" t="s">
        <v>1658</v>
      </c>
      <c r="N4" s="36" t="s">
        <v>32</v>
      </c>
    </row>
    <row r="5">
      <c r="A5" s="36" t="s">
        <v>1665</v>
      </c>
      <c r="B5" s="154" t="s">
        <v>1652</v>
      </c>
      <c r="C5" s="36" t="s">
        <v>1666</v>
      </c>
      <c r="D5" s="36" t="s">
        <v>1116</v>
      </c>
      <c r="E5" s="36" t="s">
        <v>1116</v>
      </c>
      <c r="F5" s="154" t="s">
        <v>1667</v>
      </c>
      <c r="G5" s="36" t="s">
        <v>28</v>
      </c>
      <c r="H5" s="36" t="s">
        <v>1655</v>
      </c>
      <c r="I5" s="36" t="s">
        <v>1656</v>
      </c>
      <c r="J5" s="36" t="s">
        <v>1656</v>
      </c>
      <c r="K5" s="36" t="s">
        <v>1668</v>
      </c>
      <c r="L5" s="36" t="s">
        <v>1669</v>
      </c>
      <c r="M5" s="36" t="s">
        <v>1669</v>
      </c>
      <c r="N5" s="36" t="s">
        <v>32</v>
      </c>
    </row>
    <row r="6">
      <c r="A6" s="36" t="s">
        <v>1670</v>
      </c>
      <c r="B6" s="154" t="s">
        <v>1652</v>
      </c>
      <c r="C6" s="36" t="s">
        <v>1666</v>
      </c>
      <c r="D6" s="36" t="s">
        <v>1399</v>
      </c>
      <c r="E6" s="36" t="s">
        <v>1399</v>
      </c>
      <c r="F6" s="154" t="s">
        <v>1671</v>
      </c>
      <c r="G6" s="36" t="s">
        <v>28</v>
      </c>
      <c r="H6" s="36" t="s">
        <v>1655</v>
      </c>
      <c r="I6" s="36" t="s">
        <v>1656</v>
      </c>
      <c r="J6" s="36" t="s">
        <v>1656</v>
      </c>
      <c r="K6" s="36" t="s">
        <v>1672</v>
      </c>
      <c r="L6" s="36" t="s">
        <v>1669</v>
      </c>
      <c r="M6" s="36" t="s">
        <v>1669</v>
      </c>
      <c r="N6" s="36" t="s">
        <v>32</v>
      </c>
    </row>
    <row r="7">
      <c r="A7" s="36" t="s">
        <v>1673</v>
      </c>
      <c r="B7" s="154" t="s">
        <v>1652</v>
      </c>
      <c r="C7" s="36" t="s">
        <v>1666</v>
      </c>
      <c r="D7" s="36" t="s">
        <v>1401</v>
      </c>
      <c r="E7" s="36" t="s">
        <v>1401</v>
      </c>
      <c r="F7" s="154" t="s">
        <v>1674</v>
      </c>
      <c r="G7" s="36" t="s">
        <v>28</v>
      </c>
      <c r="H7" s="36" t="s">
        <v>1655</v>
      </c>
      <c r="I7" s="36" t="s">
        <v>1656</v>
      </c>
      <c r="J7" s="36" t="s">
        <v>1656</v>
      </c>
      <c r="K7" s="36" t="s">
        <v>1675</v>
      </c>
      <c r="L7" s="36" t="s">
        <v>1669</v>
      </c>
      <c r="M7" s="36" t="s">
        <v>1669</v>
      </c>
      <c r="N7" s="36" t="s">
        <v>32</v>
      </c>
    </row>
    <row r="8">
      <c r="A8" s="36" t="s">
        <v>1676</v>
      </c>
      <c r="B8" s="154" t="s">
        <v>1652</v>
      </c>
      <c r="C8" s="36" t="s">
        <v>1666</v>
      </c>
      <c r="D8" s="36" t="s">
        <v>1403</v>
      </c>
      <c r="E8" s="36" t="s">
        <v>1403</v>
      </c>
      <c r="F8" s="154" t="s">
        <v>1677</v>
      </c>
      <c r="G8" s="36" t="s">
        <v>28</v>
      </c>
      <c r="H8" s="36" t="s">
        <v>1655</v>
      </c>
      <c r="I8" s="36" t="s">
        <v>1656</v>
      </c>
      <c r="J8" s="36" t="s">
        <v>1656</v>
      </c>
      <c r="K8" s="36" t="s">
        <v>1678</v>
      </c>
      <c r="L8" s="36" t="s">
        <v>1669</v>
      </c>
      <c r="M8" s="36" t="s">
        <v>1669</v>
      </c>
      <c r="N8" s="36" t="s">
        <v>32</v>
      </c>
    </row>
    <row r="9">
      <c r="A9" s="36" t="s">
        <v>1679</v>
      </c>
      <c r="B9" s="154" t="s">
        <v>1652</v>
      </c>
      <c r="C9" s="36" t="s">
        <v>1666</v>
      </c>
      <c r="D9" s="36" t="s">
        <v>1405</v>
      </c>
      <c r="E9" s="36" t="s">
        <v>1405</v>
      </c>
      <c r="F9" s="154" t="s">
        <v>1680</v>
      </c>
      <c r="G9" s="36" t="s">
        <v>32</v>
      </c>
      <c r="H9" s="36" t="s">
        <v>1655</v>
      </c>
      <c r="I9" s="36" t="s">
        <v>1656</v>
      </c>
      <c r="J9" s="36" t="s">
        <v>1656</v>
      </c>
      <c r="K9" s="36" t="s">
        <v>1681</v>
      </c>
      <c r="L9" s="36" t="s">
        <v>1669</v>
      </c>
      <c r="M9" s="36" t="s">
        <v>1669</v>
      </c>
      <c r="N9" s="36" t="s">
        <v>32</v>
      </c>
    </row>
    <row r="10">
      <c r="A10" s="36" t="s">
        <v>1682</v>
      </c>
      <c r="B10" s="154" t="s">
        <v>1652</v>
      </c>
      <c r="C10" s="36" t="s">
        <v>1666</v>
      </c>
      <c r="D10" s="36" t="s">
        <v>1408</v>
      </c>
      <c r="E10" s="36" t="s">
        <v>1408</v>
      </c>
      <c r="F10" s="154" t="s">
        <v>1683</v>
      </c>
      <c r="G10" s="36" t="s">
        <v>32</v>
      </c>
      <c r="H10" s="36" t="s">
        <v>1655</v>
      </c>
      <c r="I10" s="36" t="s">
        <v>1656</v>
      </c>
      <c r="J10" s="36" t="s">
        <v>1656</v>
      </c>
      <c r="K10" s="36" t="s">
        <v>1684</v>
      </c>
      <c r="L10" s="36" t="s">
        <v>1669</v>
      </c>
      <c r="M10" s="36" t="s">
        <v>1669</v>
      </c>
      <c r="N10" s="36" t="s">
        <v>32</v>
      </c>
    </row>
    <row r="11">
      <c r="A11" s="36" t="s">
        <v>1685</v>
      </c>
      <c r="B11" s="154" t="s">
        <v>1652</v>
      </c>
      <c r="C11" s="36" t="s">
        <v>1666</v>
      </c>
      <c r="D11" s="36" t="s">
        <v>1501</v>
      </c>
      <c r="E11" s="36" t="s">
        <v>1501</v>
      </c>
      <c r="F11" s="154" t="s">
        <v>1686</v>
      </c>
      <c r="G11" s="36" t="s">
        <v>28</v>
      </c>
      <c r="H11" s="36" t="s">
        <v>1655</v>
      </c>
      <c r="I11" s="36" t="s">
        <v>1656</v>
      </c>
      <c r="J11" s="36" t="s">
        <v>1656</v>
      </c>
      <c r="K11" s="36" t="s">
        <v>1687</v>
      </c>
      <c r="L11" s="36" t="s">
        <v>1669</v>
      </c>
      <c r="M11" s="36" t="s">
        <v>1669</v>
      </c>
      <c r="N11" s="36" t="s">
        <v>32</v>
      </c>
    </row>
    <row r="12">
      <c r="A12" s="36" t="s">
        <v>1688</v>
      </c>
      <c r="B12" s="154" t="s">
        <v>1689</v>
      </c>
      <c r="C12" s="36" t="s">
        <v>1666</v>
      </c>
      <c r="D12" s="36" t="s">
        <v>1410</v>
      </c>
      <c r="E12" s="36" t="s">
        <v>1410</v>
      </c>
      <c r="F12" s="154" t="s">
        <v>1690</v>
      </c>
      <c r="G12" s="36" t="s">
        <v>30</v>
      </c>
      <c r="H12" s="36" t="s">
        <v>1655</v>
      </c>
      <c r="I12" s="36" t="s">
        <v>1656</v>
      </c>
      <c r="J12" s="36" t="s">
        <v>1656</v>
      </c>
      <c r="K12" s="36" t="s">
        <v>1691</v>
      </c>
      <c r="L12" s="36" t="s">
        <v>1669</v>
      </c>
      <c r="M12" s="36" t="s">
        <v>1669</v>
      </c>
      <c r="N12" s="36" t="s">
        <v>32</v>
      </c>
    </row>
    <row r="13">
      <c r="A13" s="36" t="s">
        <v>1692</v>
      </c>
      <c r="B13" s="154" t="s">
        <v>1693</v>
      </c>
      <c r="C13" s="36" t="s">
        <v>1666</v>
      </c>
      <c r="D13" s="36" t="s">
        <v>235</v>
      </c>
      <c r="E13" s="36" t="s">
        <v>235</v>
      </c>
      <c r="F13" s="154" t="s">
        <v>1694</v>
      </c>
      <c r="G13" s="36" t="s">
        <v>28</v>
      </c>
      <c r="H13" s="36" t="s">
        <v>1655</v>
      </c>
      <c r="I13" s="36" t="s">
        <v>1656</v>
      </c>
      <c r="J13" s="36" t="s">
        <v>1656</v>
      </c>
      <c r="K13" s="36" t="s">
        <v>1695</v>
      </c>
      <c r="L13" s="36" t="s">
        <v>1669</v>
      </c>
      <c r="M13" s="36" t="s">
        <v>1669</v>
      </c>
      <c r="N13" s="36" t="s">
        <v>32</v>
      </c>
    </row>
    <row r="14">
      <c r="A14" s="36" t="s">
        <v>1696</v>
      </c>
      <c r="B14" s="154" t="s">
        <v>1693</v>
      </c>
      <c r="C14" s="36" t="s">
        <v>1666</v>
      </c>
      <c r="D14" s="36" t="s">
        <v>1413</v>
      </c>
      <c r="E14" s="36" t="s">
        <v>1413</v>
      </c>
      <c r="F14" s="154" t="s">
        <v>1697</v>
      </c>
      <c r="G14" s="36" t="s">
        <v>28</v>
      </c>
      <c r="H14" s="36" t="s">
        <v>1655</v>
      </c>
      <c r="I14" s="36" t="s">
        <v>1656</v>
      </c>
      <c r="J14" s="36" t="s">
        <v>1656</v>
      </c>
      <c r="K14" s="36" t="s">
        <v>1698</v>
      </c>
      <c r="L14" s="36" t="s">
        <v>1669</v>
      </c>
      <c r="M14" s="36" t="s">
        <v>1669</v>
      </c>
      <c r="N14" s="36" t="s">
        <v>32</v>
      </c>
    </row>
    <row r="15">
      <c r="A15" s="36" t="s">
        <v>1699</v>
      </c>
      <c r="B15" s="154" t="s">
        <v>1693</v>
      </c>
      <c r="C15" s="36" t="s">
        <v>1666</v>
      </c>
      <c r="D15" s="36" t="s">
        <v>368</v>
      </c>
      <c r="E15" s="36" t="s">
        <v>368</v>
      </c>
      <c r="F15" s="154" t="s">
        <v>1700</v>
      </c>
      <c r="G15" s="36" t="s">
        <v>28</v>
      </c>
      <c r="H15" s="36" t="s">
        <v>1655</v>
      </c>
      <c r="I15" s="36" t="s">
        <v>1656</v>
      </c>
      <c r="J15" s="36" t="s">
        <v>1656</v>
      </c>
      <c r="K15" s="36" t="s">
        <v>1701</v>
      </c>
      <c r="L15" s="36" t="s">
        <v>1669</v>
      </c>
      <c r="M15" s="36" t="s">
        <v>1669</v>
      </c>
      <c r="N15" s="36" t="s">
        <v>34</v>
      </c>
    </row>
    <row r="16">
      <c r="A16" s="36" t="s">
        <v>1702</v>
      </c>
      <c r="B16" s="154" t="s">
        <v>1693</v>
      </c>
      <c r="C16" s="36" t="s">
        <v>1666</v>
      </c>
      <c r="D16" s="36" t="s">
        <v>209</v>
      </c>
      <c r="E16" s="36" t="s">
        <v>209</v>
      </c>
      <c r="F16" s="154" t="s">
        <v>1703</v>
      </c>
      <c r="G16" s="36" t="s">
        <v>28</v>
      </c>
      <c r="H16" s="36" t="s">
        <v>1655</v>
      </c>
      <c r="I16" s="36" t="s">
        <v>1656</v>
      </c>
      <c r="J16" s="36" t="s">
        <v>1656</v>
      </c>
      <c r="K16" s="36" t="s">
        <v>1704</v>
      </c>
      <c r="L16" s="36" t="s">
        <v>1669</v>
      </c>
      <c r="M16" s="36" t="s">
        <v>1669</v>
      </c>
      <c r="N16" s="36" t="s">
        <v>34</v>
      </c>
    </row>
    <row r="17">
      <c r="A17" s="36" t="s">
        <v>1705</v>
      </c>
      <c r="B17" s="154" t="s">
        <v>1706</v>
      </c>
      <c r="C17" s="36" t="s">
        <v>1666</v>
      </c>
      <c r="D17" s="36" t="s">
        <v>64</v>
      </c>
      <c r="E17" s="36" t="s">
        <v>64</v>
      </c>
      <c r="F17" s="154" t="s">
        <v>1707</v>
      </c>
      <c r="G17" s="36" t="s">
        <v>28</v>
      </c>
      <c r="H17" s="36" t="s">
        <v>1655</v>
      </c>
      <c r="I17" s="36" t="s">
        <v>1656</v>
      </c>
      <c r="J17" s="36" t="s">
        <v>1656</v>
      </c>
      <c r="K17" s="36" t="s">
        <v>1708</v>
      </c>
      <c r="L17" s="36" t="s">
        <v>1669</v>
      </c>
      <c r="M17" s="36" t="s">
        <v>1669</v>
      </c>
      <c r="N17" s="36" t="s">
        <v>32</v>
      </c>
    </row>
    <row r="18">
      <c r="A18" s="36" t="s">
        <v>1709</v>
      </c>
      <c r="B18" s="154" t="s">
        <v>1706</v>
      </c>
      <c r="C18" s="36" t="s">
        <v>1666</v>
      </c>
      <c r="D18" s="36" t="s">
        <v>299</v>
      </c>
      <c r="E18" s="36" t="s">
        <v>299</v>
      </c>
      <c r="F18" s="154" t="s">
        <v>1710</v>
      </c>
      <c r="G18" s="36" t="s">
        <v>28</v>
      </c>
      <c r="H18" s="36" t="s">
        <v>1655</v>
      </c>
      <c r="I18" s="36" t="s">
        <v>1656</v>
      </c>
      <c r="J18" s="36" t="s">
        <v>1656</v>
      </c>
      <c r="K18" s="36" t="s">
        <v>1711</v>
      </c>
      <c r="L18" s="36" t="s">
        <v>1669</v>
      </c>
      <c r="M18" s="36" t="s">
        <v>1669</v>
      </c>
      <c r="N18" s="36" t="s">
        <v>32</v>
      </c>
    </row>
    <row r="19">
      <c r="A19" s="36" t="s">
        <v>1712</v>
      </c>
      <c r="B19" s="154" t="s">
        <v>1713</v>
      </c>
      <c r="C19" s="36" t="s">
        <v>1666</v>
      </c>
      <c r="D19" s="36" t="s">
        <v>124</v>
      </c>
      <c r="E19" s="36" t="s">
        <v>124</v>
      </c>
      <c r="F19" s="154" t="s">
        <v>1714</v>
      </c>
      <c r="G19" s="36" t="s">
        <v>28</v>
      </c>
      <c r="H19" s="36" t="s">
        <v>1655</v>
      </c>
      <c r="I19" s="36" t="s">
        <v>1656</v>
      </c>
      <c r="J19" s="36" t="s">
        <v>1656</v>
      </c>
      <c r="K19" s="36" t="s">
        <v>1715</v>
      </c>
      <c r="L19" s="36" t="s">
        <v>1669</v>
      </c>
      <c r="M19" s="36" t="s">
        <v>1669</v>
      </c>
      <c r="N19" s="36" t="s">
        <v>32</v>
      </c>
    </row>
    <row r="20">
      <c r="A20" s="36" t="s">
        <v>1716</v>
      </c>
      <c r="B20" s="154" t="s">
        <v>1713</v>
      </c>
      <c r="C20" s="36" t="s">
        <v>1666</v>
      </c>
      <c r="D20" s="36" t="s">
        <v>235</v>
      </c>
      <c r="E20" s="36" t="s">
        <v>235</v>
      </c>
      <c r="F20" s="154" t="s">
        <v>1694</v>
      </c>
      <c r="G20" s="36" t="s">
        <v>28</v>
      </c>
      <c r="H20" s="36" t="s">
        <v>1655</v>
      </c>
      <c r="I20" s="36" t="s">
        <v>1656</v>
      </c>
      <c r="J20" s="36" t="s">
        <v>1656</v>
      </c>
      <c r="K20" s="36" t="s">
        <v>1717</v>
      </c>
      <c r="L20" s="36" t="s">
        <v>1669</v>
      </c>
      <c r="M20" s="36" t="s">
        <v>1669</v>
      </c>
      <c r="N20" s="36" t="s">
        <v>32</v>
      </c>
    </row>
    <row r="21">
      <c r="A21" s="36" t="s">
        <v>1718</v>
      </c>
      <c r="B21" s="154" t="s">
        <v>1719</v>
      </c>
      <c r="C21" s="36" t="s">
        <v>1666</v>
      </c>
      <c r="D21" s="36" t="s">
        <v>66</v>
      </c>
      <c r="E21" s="36" t="s">
        <v>66</v>
      </c>
      <c r="F21" s="154" t="s">
        <v>1720</v>
      </c>
      <c r="G21" s="36" t="s">
        <v>28</v>
      </c>
      <c r="H21" s="36" t="s">
        <v>1655</v>
      </c>
      <c r="I21" s="36" t="s">
        <v>1656</v>
      </c>
      <c r="J21" s="36" t="s">
        <v>1656</v>
      </c>
      <c r="K21" s="36" t="s">
        <v>1721</v>
      </c>
      <c r="L21" s="36" t="s">
        <v>1669</v>
      </c>
      <c r="M21" s="36" t="s">
        <v>1669</v>
      </c>
      <c r="N21" s="36" t="s">
        <v>32</v>
      </c>
    </row>
    <row r="22">
      <c r="A22" s="36" t="s">
        <v>1722</v>
      </c>
      <c r="B22" s="154" t="s">
        <v>1719</v>
      </c>
      <c r="C22" s="36" t="s">
        <v>1666</v>
      </c>
      <c r="D22" s="36" t="s">
        <v>235</v>
      </c>
      <c r="E22" s="36" t="s">
        <v>235</v>
      </c>
      <c r="F22" s="154" t="s">
        <v>1723</v>
      </c>
      <c r="G22" s="36" t="s">
        <v>28</v>
      </c>
      <c r="H22" s="36" t="s">
        <v>1655</v>
      </c>
      <c r="I22" s="36" t="s">
        <v>1656</v>
      </c>
      <c r="J22" s="36" t="s">
        <v>1656</v>
      </c>
      <c r="K22" s="36" t="s">
        <v>1724</v>
      </c>
      <c r="L22" s="36" t="s">
        <v>1669</v>
      </c>
      <c r="M22" s="36" t="s">
        <v>1669</v>
      </c>
      <c r="N22" s="36" t="s">
        <v>32</v>
      </c>
    </row>
    <row r="23">
      <c r="A23" s="36" t="s">
        <v>1725</v>
      </c>
      <c r="B23" s="154" t="s">
        <v>1719</v>
      </c>
      <c r="C23" s="36" t="s">
        <v>1666</v>
      </c>
      <c r="D23" s="36" t="s">
        <v>368</v>
      </c>
      <c r="E23" s="36" t="s">
        <v>368</v>
      </c>
      <c r="F23" s="154" t="s">
        <v>1726</v>
      </c>
      <c r="G23" s="36" t="s">
        <v>28</v>
      </c>
      <c r="H23" s="36" t="s">
        <v>1655</v>
      </c>
      <c r="I23" s="36" t="s">
        <v>1656</v>
      </c>
      <c r="J23" s="36" t="s">
        <v>1656</v>
      </c>
      <c r="K23" s="36" t="s">
        <v>1727</v>
      </c>
      <c r="L23" s="36" t="s">
        <v>1669</v>
      </c>
      <c r="M23" s="36" t="s">
        <v>1669</v>
      </c>
      <c r="N23" s="36" t="s">
        <v>34</v>
      </c>
    </row>
    <row r="24">
      <c r="A24" s="36" t="s">
        <v>1728</v>
      </c>
      <c r="B24" s="154" t="s">
        <v>1719</v>
      </c>
      <c r="C24" s="36" t="s">
        <v>1666</v>
      </c>
      <c r="D24" s="36" t="s">
        <v>299</v>
      </c>
      <c r="E24" s="36" t="s">
        <v>299</v>
      </c>
      <c r="F24" s="154" t="s">
        <v>1729</v>
      </c>
      <c r="G24" s="36" t="s">
        <v>28</v>
      </c>
      <c r="H24" s="36" t="s">
        <v>1655</v>
      </c>
      <c r="I24" s="36" t="s">
        <v>1656</v>
      </c>
      <c r="J24" s="36" t="s">
        <v>1656</v>
      </c>
      <c r="K24" s="36" t="s">
        <v>1730</v>
      </c>
      <c r="L24" s="36" t="s">
        <v>1669</v>
      </c>
      <c r="M24" s="36" t="s">
        <v>1669</v>
      </c>
      <c r="N24" s="36" t="s">
        <v>34</v>
      </c>
    </row>
    <row r="25">
      <c r="A25" s="36" t="s">
        <v>1731</v>
      </c>
      <c r="B25" s="154" t="s">
        <v>1719</v>
      </c>
      <c r="C25" s="36" t="s">
        <v>1666</v>
      </c>
      <c r="D25" s="36" t="s">
        <v>1432</v>
      </c>
      <c r="E25" s="36" t="s">
        <v>1432</v>
      </c>
      <c r="F25" s="154" t="s">
        <v>1683</v>
      </c>
      <c r="G25" s="36" t="s">
        <v>28</v>
      </c>
      <c r="H25" s="36" t="s">
        <v>1655</v>
      </c>
      <c r="I25" s="36" t="s">
        <v>1656</v>
      </c>
      <c r="J25" s="36" t="s">
        <v>1656</v>
      </c>
      <c r="K25" s="36" t="s">
        <v>1732</v>
      </c>
      <c r="L25" s="36" t="s">
        <v>1669</v>
      </c>
      <c r="M25" s="36" t="s">
        <v>1669</v>
      </c>
      <c r="N25" s="36" t="s">
        <v>34</v>
      </c>
    </row>
    <row r="26">
      <c r="A26" s="36" t="s">
        <v>1733</v>
      </c>
      <c r="B26" s="154" t="s">
        <v>1734</v>
      </c>
      <c r="C26" s="36" t="s">
        <v>1666</v>
      </c>
      <c r="D26" s="36" t="s">
        <v>1434</v>
      </c>
      <c r="E26" s="36" t="s">
        <v>1434</v>
      </c>
      <c r="F26" s="154" t="s">
        <v>1735</v>
      </c>
      <c r="G26" s="36" t="s">
        <v>32</v>
      </c>
      <c r="H26" s="36" t="s">
        <v>1655</v>
      </c>
      <c r="I26" s="36" t="s">
        <v>1656</v>
      </c>
      <c r="J26" s="36" t="s">
        <v>1656</v>
      </c>
      <c r="K26" s="36" t="s">
        <v>1736</v>
      </c>
      <c r="L26" s="36" t="s">
        <v>1669</v>
      </c>
      <c r="M26" s="36" t="s">
        <v>1669</v>
      </c>
      <c r="N26" s="36" t="s">
        <v>32</v>
      </c>
    </row>
    <row r="27">
      <c r="A27" s="36" t="s">
        <v>1737</v>
      </c>
      <c r="B27" s="154" t="s">
        <v>1734</v>
      </c>
      <c r="C27" s="36" t="s">
        <v>1666</v>
      </c>
      <c r="D27" s="36" t="s">
        <v>1436</v>
      </c>
      <c r="E27" s="36" t="s">
        <v>1436</v>
      </c>
      <c r="F27" s="154" t="s">
        <v>1738</v>
      </c>
      <c r="G27" s="36" t="s">
        <v>32</v>
      </c>
      <c r="H27" s="36" t="s">
        <v>1655</v>
      </c>
      <c r="I27" s="36" t="s">
        <v>1656</v>
      </c>
      <c r="J27" s="36" t="s">
        <v>1656</v>
      </c>
      <c r="K27" s="36" t="s">
        <v>1739</v>
      </c>
      <c r="L27" s="36" t="s">
        <v>1669</v>
      </c>
      <c r="M27" s="36" t="s">
        <v>1669</v>
      </c>
      <c r="N27" s="36" t="s">
        <v>32</v>
      </c>
    </row>
    <row r="28">
      <c r="A28" s="36" t="s">
        <v>1740</v>
      </c>
      <c r="B28" s="154" t="s">
        <v>1734</v>
      </c>
      <c r="C28" s="36" t="s">
        <v>1666</v>
      </c>
      <c r="D28" s="36" t="s">
        <v>313</v>
      </c>
      <c r="E28" s="36" t="s">
        <v>313</v>
      </c>
      <c r="F28" s="154" t="s">
        <v>1741</v>
      </c>
      <c r="G28" s="36" t="s">
        <v>32</v>
      </c>
      <c r="H28" s="36" t="s">
        <v>1655</v>
      </c>
      <c r="I28" s="36" t="s">
        <v>1656</v>
      </c>
      <c r="J28" s="36" t="s">
        <v>1656</v>
      </c>
      <c r="K28" s="36" t="s">
        <v>1742</v>
      </c>
      <c r="L28" s="36" t="s">
        <v>1669</v>
      </c>
      <c r="M28" s="36" t="s">
        <v>1669</v>
      </c>
      <c r="N28" s="36" t="s">
        <v>32</v>
      </c>
    </row>
    <row r="29">
      <c r="A29" s="36" t="s">
        <v>1743</v>
      </c>
      <c r="B29" s="154" t="s">
        <v>1734</v>
      </c>
      <c r="C29" s="36" t="s">
        <v>1666</v>
      </c>
      <c r="D29" s="36" t="s">
        <v>832</v>
      </c>
      <c r="E29" s="36" t="s">
        <v>832</v>
      </c>
      <c r="F29" s="154" t="s">
        <v>1744</v>
      </c>
      <c r="G29" s="36" t="s">
        <v>32</v>
      </c>
      <c r="H29" s="36" t="s">
        <v>1655</v>
      </c>
      <c r="I29" s="36" t="s">
        <v>1656</v>
      </c>
      <c r="J29" s="36" t="s">
        <v>1656</v>
      </c>
      <c r="K29" s="36" t="s">
        <v>1745</v>
      </c>
      <c r="L29" s="36" t="s">
        <v>1669</v>
      </c>
      <c r="M29" s="36" t="s">
        <v>1669</v>
      </c>
      <c r="N29" s="36" t="s">
        <v>32</v>
      </c>
    </row>
    <row r="30">
      <c r="A30" s="36" t="s">
        <v>1746</v>
      </c>
      <c r="B30" s="154" t="s">
        <v>1747</v>
      </c>
      <c r="C30" s="36" t="s">
        <v>1653</v>
      </c>
      <c r="D30" s="36" t="s">
        <v>55</v>
      </c>
      <c r="E30" s="36" t="s">
        <v>39</v>
      </c>
      <c r="F30" s="154" t="s">
        <v>1748</v>
      </c>
      <c r="G30" s="36" t="s">
        <v>32</v>
      </c>
      <c r="H30" s="36" t="s">
        <v>1655</v>
      </c>
      <c r="I30" s="36" t="s">
        <v>1656</v>
      </c>
      <c r="J30" s="36" t="s">
        <v>1656</v>
      </c>
      <c r="K30" s="36" t="s">
        <v>1749</v>
      </c>
      <c r="L30" s="36" t="s">
        <v>1658</v>
      </c>
      <c r="M30" s="36" t="s">
        <v>1658</v>
      </c>
      <c r="N30" s="36" t="s">
        <v>32</v>
      </c>
    </row>
    <row r="31">
      <c r="A31" s="36" t="s">
        <v>1750</v>
      </c>
      <c r="B31" s="154" t="s">
        <v>1747</v>
      </c>
      <c r="C31" s="36" t="s">
        <v>1666</v>
      </c>
      <c r="D31" s="36" t="s">
        <v>71</v>
      </c>
      <c r="E31" s="36" t="s">
        <v>71</v>
      </c>
      <c r="F31" s="154" t="s">
        <v>1751</v>
      </c>
      <c r="G31" s="36" t="s">
        <v>32</v>
      </c>
      <c r="H31" s="36" t="s">
        <v>1655</v>
      </c>
      <c r="I31" s="36" t="s">
        <v>1656</v>
      </c>
      <c r="J31" s="36" t="s">
        <v>1656</v>
      </c>
      <c r="K31" s="36" t="s">
        <v>1752</v>
      </c>
      <c r="L31" s="36" t="s">
        <v>1669</v>
      </c>
      <c r="M31" s="36" t="s">
        <v>1669</v>
      </c>
      <c r="N31" s="36" t="s">
        <v>32</v>
      </c>
    </row>
    <row r="32">
      <c r="A32" s="36" t="s">
        <v>1753</v>
      </c>
      <c r="B32" s="154" t="s">
        <v>1747</v>
      </c>
      <c r="C32" s="36" t="s">
        <v>1666</v>
      </c>
      <c r="D32" s="36" t="s">
        <v>73</v>
      </c>
      <c r="E32" s="36" t="s">
        <v>73</v>
      </c>
      <c r="F32" s="154" t="s">
        <v>1754</v>
      </c>
      <c r="G32" s="36" t="s">
        <v>28</v>
      </c>
      <c r="H32" s="36" t="s">
        <v>1655</v>
      </c>
      <c r="I32" s="36" t="s">
        <v>1656</v>
      </c>
      <c r="J32" s="36" t="s">
        <v>1656</v>
      </c>
      <c r="K32" s="36" t="s">
        <v>1755</v>
      </c>
      <c r="L32" s="36" t="s">
        <v>1669</v>
      </c>
      <c r="M32" s="36" t="s">
        <v>1669</v>
      </c>
      <c r="N32" s="36" t="s">
        <v>32</v>
      </c>
    </row>
    <row r="33">
      <c r="A33" s="36" t="s">
        <v>1756</v>
      </c>
      <c r="B33" s="154" t="s">
        <v>1747</v>
      </c>
      <c r="C33" s="36" t="s">
        <v>1666</v>
      </c>
      <c r="D33" s="36" t="s">
        <v>74</v>
      </c>
      <c r="E33" s="36" t="s">
        <v>74</v>
      </c>
      <c r="F33" s="154" t="s">
        <v>1751</v>
      </c>
      <c r="G33" s="36" t="s">
        <v>32</v>
      </c>
      <c r="H33" s="36" t="s">
        <v>1655</v>
      </c>
      <c r="I33" s="36" t="s">
        <v>1656</v>
      </c>
      <c r="J33" s="36" t="s">
        <v>1656</v>
      </c>
      <c r="K33" s="36" t="s">
        <v>1757</v>
      </c>
      <c r="L33" s="36" t="s">
        <v>1669</v>
      </c>
      <c r="M33" s="36" t="s">
        <v>1669</v>
      </c>
      <c r="N33" s="36" t="s">
        <v>32</v>
      </c>
    </row>
    <row r="34">
      <c r="A34" s="36" t="s">
        <v>1758</v>
      </c>
      <c r="B34" s="154" t="s">
        <v>1747</v>
      </c>
      <c r="C34" s="36" t="s">
        <v>1666</v>
      </c>
      <c r="D34" s="36" t="s">
        <v>75</v>
      </c>
      <c r="E34" s="36" t="s">
        <v>75</v>
      </c>
      <c r="F34" s="154" t="s">
        <v>1759</v>
      </c>
      <c r="G34" s="36" t="s">
        <v>28</v>
      </c>
      <c r="H34" s="36" t="s">
        <v>1655</v>
      </c>
      <c r="I34" s="36" t="s">
        <v>1656</v>
      </c>
      <c r="J34" s="36" t="s">
        <v>1656</v>
      </c>
      <c r="K34" s="36" t="s">
        <v>1760</v>
      </c>
      <c r="L34" s="36" t="s">
        <v>1669</v>
      </c>
      <c r="M34" s="36" t="s">
        <v>1669</v>
      </c>
      <c r="N34" s="36" t="s">
        <v>32</v>
      </c>
    </row>
    <row r="35">
      <c r="A35" s="36" t="s">
        <v>1761</v>
      </c>
      <c r="B35" s="154" t="s">
        <v>1747</v>
      </c>
      <c r="C35" s="36" t="s">
        <v>1666</v>
      </c>
      <c r="D35" s="36" t="s">
        <v>76</v>
      </c>
      <c r="E35" s="36" t="s">
        <v>76</v>
      </c>
      <c r="F35" s="154" t="s">
        <v>1762</v>
      </c>
      <c r="G35" s="36" t="s">
        <v>28</v>
      </c>
      <c r="H35" s="36" t="s">
        <v>1655</v>
      </c>
      <c r="I35" s="36" t="s">
        <v>1656</v>
      </c>
      <c r="J35" s="36" t="s">
        <v>1656</v>
      </c>
      <c r="K35" s="36" t="s">
        <v>1763</v>
      </c>
      <c r="L35" s="36" t="s">
        <v>1669</v>
      </c>
      <c r="M35" s="36" t="s">
        <v>1669</v>
      </c>
      <c r="N35" s="36" t="s">
        <v>32</v>
      </c>
    </row>
    <row r="36">
      <c r="A36" s="36" t="s">
        <v>1764</v>
      </c>
      <c r="B36" s="154" t="s">
        <v>1747</v>
      </c>
      <c r="C36" s="36" t="s">
        <v>1666</v>
      </c>
      <c r="D36" s="36" t="s">
        <v>919</v>
      </c>
      <c r="E36" s="36" t="s">
        <v>919</v>
      </c>
      <c r="F36" s="154" t="s">
        <v>1765</v>
      </c>
      <c r="G36" s="36" t="s">
        <v>28</v>
      </c>
      <c r="H36" s="36" t="s">
        <v>1655</v>
      </c>
      <c r="I36" s="36" t="s">
        <v>1656</v>
      </c>
      <c r="J36" s="36" t="s">
        <v>1656</v>
      </c>
      <c r="K36" s="36" t="s">
        <v>1766</v>
      </c>
      <c r="L36" s="36" t="s">
        <v>1669</v>
      </c>
      <c r="M36" s="36" t="s">
        <v>1669</v>
      </c>
      <c r="N36" s="36" t="s">
        <v>32</v>
      </c>
    </row>
    <row r="37">
      <c r="A37" s="36" t="s">
        <v>1767</v>
      </c>
      <c r="B37" s="154" t="s">
        <v>1747</v>
      </c>
      <c r="C37" s="36" t="s">
        <v>1666</v>
      </c>
      <c r="D37" s="36" t="s">
        <v>77</v>
      </c>
      <c r="E37" s="36" t="s">
        <v>77</v>
      </c>
      <c r="F37" s="154" t="s">
        <v>1768</v>
      </c>
      <c r="G37" s="36" t="s">
        <v>34</v>
      </c>
      <c r="H37" s="36" t="s">
        <v>1655</v>
      </c>
      <c r="I37" s="36" t="s">
        <v>1656</v>
      </c>
      <c r="J37" s="36" t="s">
        <v>1656</v>
      </c>
      <c r="K37" s="36" t="s">
        <v>1769</v>
      </c>
      <c r="L37" s="36" t="s">
        <v>1669</v>
      </c>
      <c r="M37" s="36" t="s">
        <v>1669</v>
      </c>
      <c r="N37" s="36" t="s">
        <v>32</v>
      </c>
    </row>
    <row r="38">
      <c r="A38" s="36" t="s">
        <v>1770</v>
      </c>
      <c r="B38" s="154" t="s">
        <v>1771</v>
      </c>
      <c r="C38" s="36" t="s">
        <v>1666</v>
      </c>
      <c r="D38" s="36" t="s">
        <v>1444</v>
      </c>
      <c r="E38" s="36" t="s">
        <v>1444</v>
      </c>
      <c r="F38" s="154" t="s">
        <v>1772</v>
      </c>
      <c r="G38" s="36" t="s">
        <v>28</v>
      </c>
      <c r="H38" s="36" t="s">
        <v>1655</v>
      </c>
      <c r="I38" s="36" t="s">
        <v>1656</v>
      </c>
      <c r="J38" s="36" t="s">
        <v>1656</v>
      </c>
      <c r="K38" s="36" t="s">
        <v>1773</v>
      </c>
      <c r="L38" s="36" t="s">
        <v>1669</v>
      </c>
      <c r="M38" s="36" t="s">
        <v>1669</v>
      </c>
      <c r="N38" s="36" t="s">
        <v>32</v>
      </c>
    </row>
    <row r="39">
      <c r="A39" s="36" t="s">
        <v>1774</v>
      </c>
      <c r="B39" s="154" t="s">
        <v>1771</v>
      </c>
      <c r="C39" s="36" t="s">
        <v>1666</v>
      </c>
      <c r="D39" s="36" t="s">
        <v>124</v>
      </c>
      <c r="E39" s="36" t="s">
        <v>124</v>
      </c>
      <c r="F39" s="154" t="s">
        <v>1775</v>
      </c>
      <c r="G39" s="36" t="s">
        <v>28</v>
      </c>
      <c r="H39" s="36" t="s">
        <v>1655</v>
      </c>
      <c r="I39" s="36" t="s">
        <v>1656</v>
      </c>
      <c r="J39" s="36" t="s">
        <v>1656</v>
      </c>
      <c r="K39" s="36" t="s">
        <v>1776</v>
      </c>
      <c r="L39" s="36" t="s">
        <v>1669</v>
      </c>
      <c r="M39" s="36" t="s">
        <v>1669</v>
      </c>
      <c r="N39" s="36" t="s">
        <v>32</v>
      </c>
    </row>
    <row r="40">
      <c r="A40" s="36" t="s">
        <v>1777</v>
      </c>
      <c r="B40" s="154" t="s">
        <v>1771</v>
      </c>
      <c r="C40" s="36" t="s">
        <v>1666</v>
      </c>
      <c r="D40" s="36" t="s">
        <v>512</v>
      </c>
      <c r="E40" s="36" t="s">
        <v>512</v>
      </c>
      <c r="F40" s="154" t="s">
        <v>1778</v>
      </c>
      <c r="G40" s="36" t="s">
        <v>28</v>
      </c>
      <c r="H40" s="36" t="s">
        <v>1655</v>
      </c>
      <c r="I40" s="36" t="s">
        <v>1656</v>
      </c>
      <c r="J40" s="36" t="s">
        <v>1656</v>
      </c>
      <c r="K40" s="36" t="s">
        <v>1779</v>
      </c>
      <c r="L40" s="36" t="s">
        <v>1669</v>
      </c>
      <c r="M40" s="36" t="s">
        <v>1669</v>
      </c>
      <c r="N40" s="36" t="s">
        <v>32</v>
      </c>
    </row>
    <row r="41">
      <c r="A41" s="36" t="s">
        <v>1780</v>
      </c>
      <c r="B41" s="154" t="s">
        <v>1771</v>
      </c>
      <c r="C41" s="36" t="s">
        <v>1666</v>
      </c>
      <c r="D41" s="36" t="s">
        <v>1448</v>
      </c>
      <c r="E41" s="36" t="s">
        <v>1448</v>
      </c>
      <c r="F41" s="154" t="s">
        <v>1781</v>
      </c>
      <c r="G41" s="36" t="s">
        <v>28</v>
      </c>
      <c r="H41" s="36" t="s">
        <v>1655</v>
      </c>
      <c r="I41" s="36" t="s">
        <v>1656</v>
      </c>
      <c r="J41" s="36" t="s">
        <v>1656</v>
      </c>
      <c r="K41" s="36" t="s">
        <v>1782</v>
      </c>
      <c r="L41" s="36" t="s">
        <v>1669</v>
      </c>
      <c r="M41" s="36" t="s">
        <v>1669</v>
      </c>
      <c r="N41" s="36" t="s">
        <v>32</v>
      </c>
    </row>
    <row r="42">
      <c r="A42" s="36" t="s">
        <v>1783</v>
      </c>
      <c r="B42" s="154" t="s">
        <v>1771</v>
      </c>
      <c r="C42" s="36" t="s">
        <v>1666</v>
      </c>
      <c r="D42" s="36" t="s">
        <v>978</v>
      </c>
      <c r="E42" s="36" t="s">
        <v>978</v>
      </c>
      <c r="F42" s="154" t="s">
        <v>1683</v>
      </c>
      <c r="G42" s="36" t="s">
        <v>28</v>
      </c>
      <c r="H42" s="36" t="s">
        <v>1655</v>
      </c>
      <c r="I42" s="36" t="s">
        <v>1656</v>
      </c>
      <c r="J42" s="36" t="s">
        <v>1656</v>
      </c>
      <c r="K42" s="36" t="s">
        <v>1784</v>
      </c>
      <c r="L42" s="36" t="s">
        <v>1669</v>
      </c>
      <c r="M42" s="36" t="s">
        <v>1669</v>
      </c>
      <c r="N42" s="36" t="s">
        <v>32</v>
      </c>
    </row>
    <row r="43">
      <c r="A43" s="36" t="s">
        <v>1785</v>
      </c>
      <c r="B43" s="154" t="s">
        <v>1771</v>
      </c>
      <c r="C43" s="36" t="s">
        <v>1666</v>
      </c>
      <c r="D43" s="36" t="s">
        <v>1451</v>
      </c>
      <c r="E43" s="36" t="s">
        <v>1451</v>
      </c>
      <c r="F43" s="154" t="s">
        <v>1786</v>
      </c>
      <c r="G43" s="36" t="s">
        <v>32</v>
      </c>
      <c r="H43" s="36" t="s">
        <v>1655</v>
      </c>
      <c r="I43" s="36" t="s">
        <v>1656</v>
      </c>
      <c r="J43" s="36" t="s">
        <v>1656</v>
      </c>
      <c r="K43" s="36" t="s">
        <v>1787</v>
      </c>
      <c r="L43" s="36" t="s">
        <v>1669</v>
      </c>
      <c r="M43" s="36" t="s">
        <v>1669</v>
      </c>
      <c r="N43" s="36" t="s">
        <v>32</v>
      </c>
    </row>
    <row r="44">
      <c r="A44" s="36" t="s">
        <v>1788</v>
      </c>
      <c r="B44" s="154" t="s">
        <v>1771</v>
      </c>
      <c r="C44" s="36" t="s">
        <v>1666</v>
      </c>
      <c r="D44" s="36" t="s">
        <v>1453</v>
      </c>
      <c r="E44" s="36" t="s">
        <v>1453</v>
      </c>
      <c r="F44" s="154" t="s">
        <v>1789</v>
      </c>
      <c r="G44" s="36" t="s">
        <v>28</v>
      </c>
      <c r="H44" s="36" t="s">
        <v>1655</v>
      </c>
      <c r="I44" s="36" t="s">
        <v>1656</v>
      </c>
      <c r="J44" s="36" t="s">
        <v>1656</v>
      </c>
      <c r="K44" s="36" t="s">
        <v>1790</v>
      </c>
      <c r="L44" s="36" t="s">
        <v>1669</v>
      </c>
      <c r="M44" s="36" t="s">
        <v>1669</v>
      </c>
      <c r="N44" s="36" t="s">
        <v>32</v>
      </c>
    </row>
    <row r="45">
      <c r="A45" s="36" t="s">
        <v>1791</v>
      </c>
      <c r="B45" s="154" t="s">
        <v>1771</v>
      </c>
      <c r="C45" s="36" t="s">
        <v>1666</v>
      </c>
      <c r="D45" s="36" t="s">
        <v>1455</v>
      </c>
      <c r="E45" s="36" t="s">
        <v>1455</v>
      </c>
      <c r="F45" s="154" t="s">
        <v>1792</v>
      </c>
      <c r="G45" s="36" t="s">
        <v>32</v>
      </c>
      <c r="H45" s="36" t="s">
        <v>1655</v>
      </c>
      <c r="I45" s="36" t="s">
        <v>1656</v>
      </c>
      <c r="J45" s="36" t="s">
        <v>1656</v>
      </c>
      <c r="K45" s="36" t="s">
        <v>1793</v>
      </c>
      <c r="L45" s="36" t="s">
        <v>1669</v>
      </c>
      <c r="M45" s="36" t="s">
        <v>1669</v>
      </c>
      <c r="N45" s="36" t="s">
        <v>32</v>
      </c>
    </row>
    <row r="46">
      <c r="A46" s="36" t="s">
        <v>1794</v>
      </c>
      <c r="B46" s="154" t="s">
        <v>1771</v>
      </c>
      <c r="C46" s="36" t="s">
        <v>1666</v>
      </c>
      <c r="D46" s="36" t="s">
        <v>1459</v>
      </c>
      <c r="E46" s="36" t="s">
        <v>1459</v>
      </c>
      <c r="F46" s="154" t="s">
        <v>1795</v>
      </c>
      <c r="G46" s="36" t="s">
        <v>28</v>
      </c>
      <c r="H46" s="36" t="s">
        <v>1655</v>
      </c>
      <c r="I46" s="36" t="s">
        <v>1656</v>
      </c>
      <c r="J46" s="36" t="s">
        <v>1656</v>
      </c>
      <c r="K46" s="36" t="s">
        <v>1796</v>
      </c>
      <c r="L46" s="36" t="s">
        <v>1669</v>
      </c>
      <c r="M46" s="36" t="s">
        <v>1669</v>
      </c>
      <c r="N46" s="36" t="s">
        <v>32</v>
      </c>
    </row>
    <row r="47">
      <c r="A47" s="36" t="s">
        <v>1797</v>
      </c>
      <c r="B47" s="154" t="s">
        <v>1798</v>
      </c>
      <c r="C47" s="36" t="s">
        <v>1666</v>
      </c>
      <c r="D47" s="36" t="s">
        <v>1461</v>
      </c>
      <c r="E47" s="36" t="s">
        <v>1461</v>
      </c>
      <c r="F47" s="154" t="s">
        <v>1799</v>
      </c>
      <c r="G47" s="36" t="s">
        <v>28</v>
      </c>
      <c r="H47" s="36" t="s">
        <v>1655</v>
      </c>
      <c r="I47" s="36" t="s">
        <v>1656</v>
      </c>
      <c r="J47" s="36" t="s">
        <v>1656</v>
      </c>
      <c r="K47" s="36" t="s">
        <v>1800</v>
      </c>
      <c r="L47" s="36" t="s">
        <v>1669</v>
      </c>
      <c r="M47" s="36" t="s">
        <v>1669</v>
      </c>
      <c r="N47" s="36" t="s">
        <v>32</v>
      </c>
    </row>
    <row r="48">
      <c r="A48" s="36" t="s">
        <v>1801</v>
      </c>
      <c r="B48" s="154" t="s">
        <v>1798</v>
      </c>
      <c r="C48" s="36" t="s">
        <v>1666</v>
      </c>
      <c r="D48" s="36" t="s">
        <v>1403</v>
      </c>
      <c r="E48" s="36" t="s">
        <v>1403</v>
      </c>
      <c r="F48" s="154" t="s">
        <v>1802</v>
      </c>
      <c r="G48" s="36" t="s">
        <v>28</v>
      </c>
      <c r="H48" s="36" t="s">
        <v>1655</v>
      </c>
      <c r="I48" s="36" t="s">
        <v>1656</v>
      </c>
      <c r="J48" s="36" t="s">
        <v>1656</v>
      </c>
      <c r="K48" s="36" t="s">
        <v>1803</v>
      </c>
      <c r="L48" s="36" t="s">
        <v>1669</v>
      </c>
      <c r="M48" s="36" t="s">
        <v>1669</v>
      </c>
      <c r="N48" s="36" t="s">
        <v>32</v>
      </c>
    </row>
    <row r="49">
      <c r="A49" s="36" t="s">
        <v>1804</v>
      </c>
      <c r="B49" s="154" t="s">
        <v>1805</v>
      </c>
      <c r="C49" s="36" t="s">
        <v>1666</v>
      </c>
      <c r="D49" s="36" t="s">
        <v>737</v>
      </c>
      <c r="E49" s="36" t="s">
        <v>737</v>
      </c>
      <c r="F49" s="154" t="s">
        <v>1806</v>
      </c>
      <c r="G49" s="36" t="s">
        <v>32</v>
      </c>
      <c r="H49" s="36" t="s">
        <v>1655</v>
      </c>
      <c r="I49" s="36" t="s">
        <v>1656</v>
      </c>
      <c r="J49" s="36" t="s">
        <v>1656</v>
      </c>
      <c r="K49" s="36" t="s">
        <v>1807</v>
      </c>
      <c r="L49" s="36" t="s">
        <v>1669</v>
      </c>
      <c r="M49" s="36" t="s">
        <v>1669</v>
      </c>
      <c r="N49" s="36" t="s">
        <v>32</v>
      </c>
    </row>
    <row r="50">
      <c r="A50" s="36" t="s">
        <v>1808</v>
      </c>
      <c r="B50" s="154" t="s">
        <v>1809</v>
      </c>
      <c r="C50" s="36" t="s">
        <v>1666</v>
      </c>
      <c r="D50" s="36" t="s">
        <v>78</v>
      </c>
      <c r="E50" s="36" t="s">
        <v>78</v>
      </c>
      <c r="F50" s="154" t="s">
        <v>1810</v>
      </c>
      <c r="G50" s="36" t="s">
        <v>28</v>
      </c>
      <c r="H50" s="36" t="s">
        <v>1655</v>
      </c>
      <c r="I50" s="36" t="s">
        <v>1656</v>
      </c>
      <c r="J50" s="36" t="s">
        <v>1656</v>
      </c>
      <c r="K50" s="36" t="s">
        <v>1811</v>
      </c>
      <c r="L50" s="36" t="s">
        <v>1669</v>
      </c>
      <c r="M50" s="36" t="s">
        <v>1669</v>
      </c>
      <c r="N50" s="36" t="s">
        <v>32</v>
      </c>
    </row>
    <row r="51">
      <c r="A51" s="36" t="s">
        <v>1812</v>
      </c>
      <c r="B51" s="154" t="s">
        <v>1809</v>
      </c>
      <c r="C51" s="36" t="s">
        <v>1666</v>
      </c>
      <c r="D51" s="36" t="s">
        <v>1468</v>
      </c>
      <c r="E51" s="36" t="s">
        <v>1468</v>
      </c>
      <c r="F51" s="154" t="s">
        <v>1813</v>
      </c>
      <c r="G51" s="36" t="s">
        <v>28</v>
      </c>
      <c r="H51" s="36" t="s">
        <v>1655</v>
      </c>
      <c r="I51" s="36" t="s">
        <v>1656</v>
      </c>
      <c r="J51" s="36" t="s">
        <v>1656</v>
      </c>
      <c r="K51" s="36" t="s">
        <v>1814</v>
      </c>
      <c r="L51" s="36" t="s">
        <v>1669</v>
      </c>
      <c r="M51" s="36" t="s">
        <v>1669</v>
      </c>
      <c r="N51" s="36" t="s">
        <v>34</v>
      </c>
    </row>
    <row r="52">
      <c r="A52" s="36" t="s">
        <v>1815</v>
      </c>
      <c r="B52" s="154" t="s">
        <v>1809</v>
      </c>
      <c r="C52" s="36" t="s">
        <v>1666</v>
      </c>
      <c r="D52" s="36" t="s">
        <v>299</v>
      </c>
      <c r="E52" s="36" t="s">
        <v>299</v>
      </c>
      <c r="F52" s="154" t="s">
        <v>1816</v>
      </c>
      <c r="G52" s="36" t="s">
        <v>28</v>
      </c>
      <c r="H52" s="36" t="s">
        <v>1655</v>
      </c>
      <c r="I52" s="36" t="s">
        <v>1656</v>
      </c>
      <c r="J52" s="36" t="s">
        <v>1656</v>
      </c>
      <c r="K52" s="36" t="s">
        <v>1817</v>
      </c>
      <c r="L52" s="36" t="s">
        <v>1669</v>
      </c>
      <c r="M52" s="36" t="s">
        <v>1669</v>
      </c>
      <c r="N52" s="36" t="s">
        <v>34</v>
      </c>
    </row>
    <row r="53">
      <c r="A53" s="36" t="s">
        <v>1818</v>
      </c>
      <c r="B53" s="154" t="s">
        <v>1819</v>
      </c>
      <c r="C53" s="36" t="s">
        <v>1666</v>
      </c>
      <c r="D53" s="36" t="s">
        <v>1473</v>
      </c>
      <c r="E53" s="36" t="s">
        <v>1473</v>
      </c>
      <c r="F53" s="154" t="s">
        <v>1744</v>
      </c>
      <c r="G53" s="36" t="s">
        <v>28</v>
      </c>
      <c r="H53" s="36" t="s">
        <v>1655</v>
      </c>
      <c r="I53" s="36" t="s">
        <v>1656</v>
      </c>
      <c r="J53" s="36" t="s">
        <v>1656</v>
      </c>
      <c r="K53" s="36" t="s">
        <v>1820</v>
      </c>
      <c r="L53" s="36" t="s">
        <v>1669</v>
      </c>
      <c r="M53" s="36" t="s">
        <v>1669</v>
      </c>
      <c r="N53" s="36" t="s">
        <v>34</v>
      </c>
    </row>
    <row r="54">
      <c r="A54" s="36" t="s">
        <v>1821</v>
      </c>
      <c r="B54" s="154" t="s">
        <v>1819</v>
      </c>
      <c r="C54" s="36" t="s">
        <v>1666</v>
      </c>
      <c r="D54" s="36" t="s">
        <v>1476</v>
      </c>
      <c r="E54" s="36" t="s">
        <v>1476</v>
      </c>
      <c r="F54" s="154" t="s">
        <v>1822</v>
      </c>
      <c r="G54" s="36" t="s">
        <v>28</v>
      </c>
      <c r="H54" s="36" t="s">
        <v>1655</v>
      </c>
      <c r="I54" s="36" t="s">
        <v>1656</v>
      </c>
      <c r="J54" s="36" t="s">
        <v>1656</v>
      </c>
      <c r="K54" s="36" t="s">
        <v>1823</v>
      </c>
      <c r="L54" s="36" t="s">
        <v>1669</v>
      </c>
      <c r="M54" s="36" t="s">
        <v>1669</v>
      </c>
      <c r="N54" s="36" t="s">
        <v>34</v>
      </c>
    </row>
    <row r="55">
      <c r="A55" s="36" t="s">
        <v>1824</v>
      </c>
      <c r="B55" s="154" t="s">
        <v>1819</v>
      </c>
      <c r="C55" s="36" t="s">
        <v>1666</v>
      </c>
      <c r="D55" s="36" t="s">
        <v>1478</v>
      </c>
      <c r="E55" s="36" t="s">
        <v>1478</v>
      </c>
      <c r="F55" s="154" t="s">
        <v>1825</v>
      </c>
      <c r="G55" s="36" t="s">
        <v>28</v>
      </c>
      <c r="H55" s="36" t="s">
        <v>1655</v>
      </c>
      <c r="I55" s="36" t="s">
        <v>1656</v>
      </c>
      <c r="J55" s="36" t="s">
        <v>1656</v>
      </c>
      <c r="K55" s="36" t="s">
        <v>1826</v>
      </c>
      <c r="L55" s="36" t="s">
        <v>1669</v>
      </c>
      <c r="M55" s="36" t="s">
        <v>1669</v>
      </c>
      <c r="N55" s="36" t="s">
        <v>34</v>
      </c>
    </row>
    <row r="56">
      <c r="A56" s="36" t="s">
        <v>1827</v>
      </c>
      <c r="B56" s="154" t="s">
        <v>1828</v>
      </c>
      <c r="C56" s="36" t="s">
        <v>1666</v>
      </c>
      <c r="D56" s="36" t="s">
        <v>299</v>
      </c>
      <c r="E56" s="36" t="s">
        <v>299</v>
      </c>
      <c r="F56" s="154" t="s">
        <v>1829</v>
      </c>
      <c r="G56" s="36" t="s">
        <v>28</v>
      </c>
      <c r="H56" s="36" t="s">
        <v>1655</v>
      </c>
      <c r="I56" s="36" t="s">
        <v>1656</v>
      </c>
      <c r="J56" s="36" t="s">
        <v>1656</v>
      </c>
      <c r="K56" s="36" t="s">
        <v>1830</v>
      </c>
      <c r="L56" s="36" t="s">
        <v>1669</v>
      </c>
      <c r="M56" s="36" t="s">
        <v>1669</v>
      </c>
      <c r="N56" s="36" t="s">
        <v>34</v>
      </c>
    </row>
    <row r="57">
      <c r="A57" s="36" t="s">
        <v>1831</v>
      </c>
      <c r="B57" s="154" t="s">
        <v>1828</v>
      </c>
      <c r="C57" s="36" t="s">
        <v>1666</v>
      </c>
      <c r="D57" s="36" t="s">
        <v>1482</v>
      </c>
      <c r="E57" s="36" t="s">
        <v>1482</v>
      </c>
      <c r="F57" s="154" t="s">
        <v>1832</v>
      </c>
      <c r="G57" s="36" t="s">
        <v>28</v>
      </c>
      <c r="H57" s="36" t="s">
        <v>1655</v>
      </c>
      <c r="I57" s="36" t="s">
        <v>1656</v>
      </c>
      <c r="J57" s="36" t="s">
        <v>1656</v>
      </c>
      <c r="K57" s="36" t="s">
        <v>1833</v>
      </c>
      <c r="L57" s="36" t="s">
        <v>1669</v>
      </c>
      <c r="M57" s="36" t="s">
        <v>1669</v>
      </c>
      <c r="N57" s="36" t="s">
        <v>34</v>
      </c>
    </row>
    <row r="58">
      <c r="A58" s="36" t="s">
        <v>1834</v>
      </c>
      <c r="B58" s="154" t="s">
        <v>1828</v>
      </c>
      <c r="C58" s="36" t="s">
        <v>1666</v>
      </c>
      <c r="D58" s="36" t="s">
        <v>1487</v>
      </c>
      <c r="E58" s="36" t="s">
        <v>1487</v>
      </c>
      <c r="F58" s="154" t="s">
        <v>1835</v>
      </c>
      <c r="G58" s="36" t="s">
        <v>28</v>
      </c>
      <c r="H58" s="36" t="s">
        <v>1655</v>
      </c>
      <c r="I58" s="36" t="s">
        <v>1656</v>
      </c>
      <c r="J58" s="36" t="s">
        <v>1656</v>
      </c>
      <c r="K58" s="36" t="s">
        <v>1836</v>
      </c>
      <c r="L58" s="36" t="s">
        <v>1669</v>
      </c>
      <c r="M58" s="36" t="s">
        <v>1669</v>
      </c>
      <c r="N58" s="36" t="s">
        <v>34</v>
      </c>
    </row>
    <row r="59">
      <c r="A59" s="36" t="s">
        <v>1837</v>
      </c>
      <c r="B59" s="154" t="s">
        <v>1828</v>
      </c>
      <c r="C59" s="36" t="s">
        <v>1666</v>
      </c>
      <c r="D59" s="36" t="s">
        <v>1490</v>
      </c>
      <c r="E59" s="36" t="s">
        <v>1490</v>
      </c>
      <c r="F59" s="154" t="s">
        <v>1838</v>
      </c>
      <c r="G59" s="36" t="s">
        <v>28</v>
      </c>
      <c r="H59" s="36" t="s">
        <v>1655</v>
      </c>
      <c r="I59" s="36" t="s">
        <v>1656</v>
      </c>
      <c r="J59" s="36" t="s">
        <v>1656</v>
      </c>
      <c r="K59" s="36" t="s">
        <v>1839</v>
      </c>
      <c r="L59" s="36" t="s">
        <v>1669</v>
      </c>
      <c r="M59" s="36" t="s">
        <v>1669</v>
      </c>
      <c r="N59" s="36" t="s">
        <v>34</v>
      </c>
    </row>
    <row r="60">
      <c r="A60" s="36" t="s">
        <v>1840</v>
      </c>
      <c r="B60" s="154" t="s">
        <v>1828</v>
      </c>
      <c r="C60" s="36" t="s">
        <v>1666</v>
      </c>
      <c r="D60" s="36" t="s">
        <v>1245</v>
      </c>
      <c r="E60" s="36" t="s">
        <v>1245</v>
      </c>
      <c r="F60" s="154" t="s">
        <v>1841</v>
      </c>
      <c r="G60" s="36" t="s">
        <v>28</v>
      </c>
      <c r="H60" s="36" t="s">
        <v>1655</v>
      </c>
      <c r="I60" s="36" t="s">
        <v>1656</v>
      </c>
      <c r="J60" s="36" t="s">
        <v>1656</v>
      </c>
      <c r="K60" s="36" t="s">
        <v>1842</v>
      </c>
      <c r="L60" s="36" t="s">
        <v>1669</v>
      </c>
      <c r="M60" s="36" t="s">
        <v>1669</v>
      </c>
      <c r="N60" s="36" t="s">
        <v>32</v>
      </c>
    </row>
    <row r="61">
      <c r="A61" s="36" t="s">
        <v>1843</v>
      </c>
      <c r="B61" s="154" t="s">
        <v>1844</v>
      </c>
      <c r="C61" s="36" t="s">
        <v>1666</v>
      </c>
      <c r="D61" s="36" t="s">
        <v>1493</v>
      </c>
      <c r="E61" s="36" t="s">
        <v>1493</v>
      </c>
      <c r="F61" s="154" t="s">
        <v>1744</v>
      </c>
      <c r="G61" s="36" t="s">
        <v>28</v>
      </c>
      <c r="H61" s="36" t="s">
        <v>1655</v>
      </c>
      <c r="I61" s="36" t="s">
        <v>1656</v>
      </c>
      <c r="J61" s="36" t="s">
        <v>1656</v>
      </c>
      <c r="K61" s="36" t="s">
        <v>1845</v>
      </c>
      <c r="L61" s="36" t="s">
        <v>1669</v>
      </c>
      <c r="M61" s="36" t="s">
        <v>1669</v>
      </c>
      <c r="N61" s="36" t="s">
        <v>34</v>
      </c>
    </row>
    <row r="62">
      <c r="A62" s="36" t="s">
        <v>1846</v>
      </c>
      <c r="B62" s="154" t="s">
        <v>1844</v>
      </c>
      <c r="C62" s="36" t="s">
        <v>1666</v>
      </c>
      <c r="D62" s="36" t="s">
        <v>1496</v>
      </c>
      <c r="E62" s="36" t="s">
        <v>1496</v>
      </c>
      <c r="F62" s="154" t="s">
        <v>1847</v>
      </c>
      <c r="G62" s="36" t="s">
        <v>32</v>
      </c>
      <c r="H62" s="36" t="s">
        <v>1655</v>
      </c>
      <c r="I62" s="36" t="s">
        <v>1656</v>
      </c>
      <c r="J62" s="36" t="s">
        <v>1656</v>
      </c>
      <c r="K62" s="36" t="s">
        <v>1848</v>
      </c>
      <c r="L62" s="36" t="s">
        <v>1669</v>
      </c>
      <c r="M62" s="36" t="s">
        <v>1669</v>
      </c>
      <c r="N62" s="36" t="s">
        <v>32</v>
      </c>
    </row>
    <row r="63">
      <c r="A63" s="36" t="s">
        <v>1849</v>
      </c>
      <c r="B63" s="154" t="s">
        <v>1850</v>
      </c>
      <c r="C63" s="36" t="s">
        <v>1666</v>
      </c>
      <c r="D63" s="36" t="s">
        <v>1500</v>
      </c>
      <c r="E63" s="36" t="s">
        <v>1500</v>
      </c>
      <c r="F63" s="154" t="s">
        <v>1694</v>
      </c>
      <c r="G63" s="36" t="s">
        <v>28</v>
      </c>
      <c r="H63" s="36" t="s">
        <v>1655</v>
      </c>
      <c r="I63" s="36" t="s">
        <v>1656</v>
      </c>
      <c r="J63" s="36" t="s">
        <v>1656</v>
      </c>
      <c r="K63" s="36" t="s">
        <v>1851</v>
      </c>
      <c r="L63" s="36" t="s">
        <v>1669</v>
      </c>
      <c r="M63" s="36" t="s">
        <v>1669</v>
      </c>
      <c r="N63" s="36" t="s">
        <v>34</v>
      </c>
    </row>
    <row r="64">
      <c r="A64" s="36" t="s">
        <v>1852</v>
      </c>
      <c r="B64" s="154" t="s">
        <v>1850</v>
      </c>
      <c r="C64" s="36" t="s">
        <v>1666</v>
      </c>
      <c r="D64" s="36" t="s">
        <v>1502</v>
      </c>
      <c r="E64" s="36" t="s">
        <v>1502</v>
      </c>
      <c r="F64" s="154" t="s">
        <v>1853</v>
      </c>
      <c r="G64" s="36" t="s">
        <v>34</v>
      </c>
      <c r="H64" s="36" t="s">
        <v>1655</v>
      </c>
      <c r="I64" s="36" t="s">
        <v>1656</v>
      </c>
      <c r="J64" s="36" t="s">
        <v>1656</v>
      </c>
      <c r="K64" s="36" t="s">
        <v>1854</v>
      </c>
      <c r="L64" s="36" t="s">
        <v>1669</v>
      </c>
      <c r="M64" s="36" t="s">
        <v>1669</v>
      </c>
      <c r="N64" s="36" t="s">
        <v>32</v>
      </c>
    </row>
    <row r="65">
      <c r="A65" s="36" t="s">
        <v>1855</v>
      </c>
      <c r="B65" s="154" t="s">
        <v>1850</v>
      </c>
      <c r="C65" s="36" t="s">
        <v>1666</v>
      </c>
      <c r="D65" s="36" t="s">
        <v>1282</v>
      </c>
      <c r="E65" s="36" t="s">
        <v>1282</v>
      </c>
      <c r="F65" s="154" t="s">
        <v>1856</v>
      </c>
      <c r="G65" s="36" t="s">
        <v>34</v>
      </c>
      <c r="H65" s="36" t="s">
        <v>1655</v>
      </c>
      <c r="I65" s="36" t="s">
        <v>1656</v>
      </c>
      <c r="J65" s="36" t="s">
        <v>1656</v>
      </c>
      <c r="K65" s="36" t="s">
        <v>1857</v>
      </c>
      <c r="L65" s="36" t="s">
        <v>1669</v>
      </c>
      <c r="M65" s="36" t="s">
        <v>1669</v>
      </c>
      <c r="N65" s="36" t="s">
        <v>32</v>
      </c>
    </row>
    <row r="66">
      <c r="A66" s="36" t="s">
        <v>1858</v>
      </c>
      <c r="B66" s="154" t="s">
        <v>1850</v>
      </c>
      <c r="C66" s="36" t="s">
        <v>1666</v>
      </c>
      <c r="D66" s="36" t="s">
        <v>1505</v>
      </c>
      <c r="E66" s="36" t="s">
        <v>1505</v>
      </c>
      <c r="F66" s="154" t="s">
        <v>1859</v>
      </c>
      <c r="G66" s="36" t="s">
        <v>32</v>
      </c>
      <c r="H66" s="36" t="s">
        <v>1655</v>
      </c>
      <c r="I66" s="36" t="s">
        <v>1656</v>
      </c>
      <c r="J66" s="36" t="s">
        <v>1656</v>
      </c>
      <c r="K66" s="36" t="s">
        <v>1860</v>
      </c>
      <c r="L66" s="36" t="s">
        <v>1669</v>
      </c>
      <c r="M66" s="36" t="s">
        <v>1669</v>
      </c>
      <c r="N66" s="36" t="s">
        <v>32</v>
      </c>
    </row>
    <row r="67">
      <c r="A67" s="36" t="s">
        <v>1861</v>
      </c>
      <c r="B67" s="154" t="s">
        <v>1862</v>
      </c>
      <c r="C67" s="36" t="s">
        <v>1666</v>
      </c>
      <c r="D67" s="36" t="s">
        <v>235</v>
      </c>
      <c r="E67" s="36" t="s">
        <v>235</v>
      </c>
      <c r="F67" s="154" t="s">
        <v>1723</v>
      </c>
      <c r="G67" s="36" t="s">
        <v>28</v>
      </c>
      <c r="H67" s="36" t="s">
        <v>1655</v>
      </c>
      <c r="I67" s="36" t="s">
        <v>1656</v>
      </c>
      <c r="J67" s="36" t="s">
        <v>1656</v>
      </c>
      <c r="K67" s="36" t="s">
        <v>1863</v>
      </c>
      <c r="L67" s="36" t="s">
        <v>1669</v>
      </c>
      <c r="M67" s="36" t="s">
        <v>1669</v>
      </c>
      <c r="N67" s="36" t="s">
        <v>34</v>
      </c>
    </row>
    <row r="68">
      <c r="A68" s="36" t="s">
        <v>1864</v>
      </c>
      <c r="B68" s="154" t="s">
        <v>1862</v>
      </c>
      <c r="C68" s="36" t="s">
        <v>1666</v>
      </c>
      <c r="D68" s="36" t="s">
        <v>368</v>
      </c>
      <c r="E68" s="36" t="s">
        <v>368</v>
      </c>
      <c r="F68" s="154" t="s">
        <v>1865</v>
      </c>
      <c r="G68" s="36" t="s">
        <v>28</v>
      </c>
      <c r="H68" s="36" t="s">
        <v>1655</v>
      </c>
      <c r="I68" s="36" t="s">
        <v>1656</v>
      </c>
      <c r="J68" s="36" t="s">
        <v>1656</v>
      </c>
      <c r="K68" s="36" t="s">
        <v>1866</v>
      </c>
      <c r="L68" s="36" t="s">
        <v>1669</v>
      </c>
      <c r="M68" s="36" t="s">
        <v>1669</v>
      </c>
      <c r="N68" s="36" t="s">
        <v>34</v>
      </c>
    </row>
    <row r="69">
      <c r="A69" s="36" t="s">
        <v>1867</v>
      </c>
      <c r="B69" s="154" t="s">
        <v>1862</v>
      </c>
      <c r="C69" s="36" t="s">
        <v>1666</v>
      </c>
      <c r="D69" s="36" t="s">
        <v>1510</v>
      </c>
      <c r="E69" s="36" t="s">
        <v>1510</v>
      </c>
      <c r="F69" s="154" t="s">
        <v>1868</v>
      </c>
      <c r="G69" s="36" t="s">
        <v>28</v>
      </c>
      <c r="H69" s="36" t="s">
        <v>1655</v>
      </c>
      <c r="I69" s="36" t="s">
        <v>1656</v>
      </c>
      <c r="J69" s="36" t="s">
        <v>1656</v>
      </c>
      <c r="K69" s="36" t="s">
        <v>1869</v>
      </c>
      <c r="L69" s="36" t="s">
        <v>1669</v>
      </c>
      <c r="M69" s="36" t="s">
        <v>1669</v>
      </c>
      <c r="N69" s="36" t="s">
        <v>34</v>
      </c>
    </row>
    <row r="70">
      <c r="A70" s="36" t="s">
        <v>1870</v>
      </c>
      <c r="B70" s="154" t="s">
        <v>1862</v>
      </c>
      <c r="C70" s="36" t="s">
        <v>1666</v>
      </c>
      <c r="D70" s="36" t="s">
        <v>761</v>
      </c>
      <c r="E70" s="36" t="s">
        <v>761</v>
      </c>
      <c r="F70" s="154" t="s">
        <v>1871</v>
      </c>
      <c r="G70" s="36" t="s">
        <v>32</v>
      </c>
      <c r="H70" s="36" t="s">
        <v>1655</v>
      </c>
      <c r="I70" s="36" t="s">
        <v>1656</v>
      </c>
      <c r="J70" s="36" t="s">
        <v>1656</v>
      </c>
      <c r="K70" s="36" t="s">
        <v>1872</v>
      </c>
      <c r="L70" s="36" t="s">
        <v>1669</v>
      </c>
      <c r="M70" s="36" t="s">
        <v>1669</v>
      </c>
      <c r="N70" s="36" t="s">
        <v>32</v>
      </c>
    </row>
    <row r="71">
      <c r="A71" s="36" t="s">
        <v>1873</v>
      </c>
      <c r="B71" s="154" t="s">
        <v>1862</v>
      </c>
      <c r="C71" s="36" t="s">
        <v>1666</v>
      </c>
      <c r="D71" s="36" t="s">
        <v>1514</v>
      </c>
      <c r="E71" s="36" t="s">
        <v>1514</v>
      </c>
      <c r="F71" s="154" t="s">
        <v>1874</v>
      </c>
      <c r="G71" s="36" t="s">
        <v>32</v>
      </c>
      <c r="H71" s="36" t="s">
        <v>1655</v>
      </c>
      <c r="I71" s="36" t="s">
        <v>1656</v>
      </c>
      <c r="J71" s="36" t="s">
        <v>1656</v>
      </c>
      <c r="K71" s="36" t="s">
        <v>1875</v>
      </c>
      <c r="L71" s="36" t="s">
        <v>1669</v>
      </c>
      <c r="M71" s="36" t="s">
        <v>1669</v>
      </c>
      <c r="N71" s="36" t="s">
        <v>32</v>
      </c>
    </row>
    <row r="72">
      <c r="A72" s="36" t="s">
        <v>1876</v>
      </c>
      <c r="B72" s="154" t="s">
        <v>1877</v>
      </c>
      <c r="C72" s="36" t="s">
        <v>1666</v>
      </c>
      <c r="D72" s="36" t="s">
        <v>1132</v>
      </c>
      <c r="E72" s="36" t="s">
        <v>1132</v>
      </c>
      <c r="F72" s="154" t="s">
        <v>1816</v>
      </c>
      <c r="G72" s="36" t="s">
        <v>28</v>
      </c>
      <c r="H72" s="36" t="s">
        <v>1655</v>
      </c>
      <c r="I72" s="36" t="s">
        <v>1656</v>
      </c>
      <c r="J72" s="36" t="s">
        <v>1656</v>
      </c>
      <c r="K72" s="36" t="s">
        <v>1878</v>
      </c>
      <c r="L72" s="36" t="s">
        <v>1669</v>
      </c>
      <c r="M72" s="36" t="s">
        <v>1669</v>
      </c>
      <c r="N72" s="36" t="s">
        <v>32</v>
      </c>
    </row>
    <row r="73">
      <c r="A73" s="36" t="s">
        <v>1879</v>
      </c>
      <c r="B73" s="154" t="s">
        <v>1880</v>
      </c>
      <c r="C73" s="36" t="s">
        <v>1666</v>
      </c>
      <c r="D73" s="36" t="s">
        <v>299</v>
      </c>
      <c r="E73" s="36" t="s">
        <v>299</v>
      </c>
      <c r="F73" s="154" t="s">
        <v>1768</v>
      </c>
      <c r="G73" s="36" t="s">
        <v>28</v>
      </c>
      <c r="H73" s="36" t="s">
        <v>1655</v>
      </c>
      <c r="I73" s="36" t="s">
        <v>1656</v>
      </c>
      <c r="J73" s="36" t="s">
        <v>1656</v>
      </c>
      <c r="K73" s="36" t="s">
        <v>1881</v>
      </c>
      <c r="L73" s="36" t="s">
        <v>1669</v>
      </c>
      <c r="M73" s="36" t="s">
        <v>1669</v>
      </c>
      <c r="N73" s="36" t="s">
        <v>34</v>
      </c>
    </row>
    <row r="74">
      <c r="A74" s="36" t="s">
        <v>1882</v>
      </c>
      <c r="B74" s="154" t="s">
        <v>1880</v>
      </c>
      <c r="C74" s="36" t="s">
        <v>1666</v>
      </c>
      <c r="D74" s="36" t="s">
        <v>1521</v>
      </c>
      <c r="E74" s="36" t="s">
        <v>1521</v>
      </c>
      <c r="F74" s="154" t="s">
        <v>1883</v>
      </c>
      <c r="G74" s="36" t="s">
        <v>32</v>
      </c>
      <c r="H74" s="36" t="s">
        <v>1655</v>
      </c>
      <c r="I74" s="36" t="s">
        <v>1656</v>
      </c>
      <c r="J74" s="36" t="s">
        <v>1656</v>
      </c>
      <c r="K74" s="36" t="s">
        <v>1884</v>
      </c>
      <c r="L74" s="36" t="s">
        <v>1669</v>
      </c>
      <c r="M74" s="36" t="s">
        <v>1669</v>
      </c>
      <c r="N74" s="36" t="s">
        <v>32</v>
      </c>
    </row>
    <row r="75">
      <c r="A75" s="36" t="s">
        <v>1885</v>
      </c>
      <c r="B75" s="154" t="s">
        <v>1880</v>
      </c>
      <c r="C75" s="36" t="s">
        <v>1666</v>
      </c>
      <c r="D75" s="36" t="s">
        <v>1347</v>
      </c>
      <c r="E75" s="36" t="s">
        <v>1347</v>
      </c>
      <c r="F75" s="154" t="s">
        <v>1886</v>
      </c>
      <c r="G75" s="36" t="s">
        <v>32</v>
      </c>
      <c r="H75" s="36" t="s">
        <v>1655</v>
      </c>
      <c r="I75" s="36" t="s">
        <v>1656</v>
      </c>
      <c r="J75" s="36" t="s">
        <v>1656</v>
      </c>
      <c r="K75" s="36" t="s">
        <v>1887</v>
      </c>
      <c r="L75" s="36" t="s">
        <v>1669</v>
      </c>
      <c r="M75" s="36" t="s">
        <v>1669</v>
      </c>
      <c r="N75" s="36" t="s">
        <v>32</v>
      </c>
    </row>
    <row r="76">
      <c r="A76" s="36" t="s">
        <v>1888</v>
      </c>
      <c r="B76" s="154" t="s">
        <v>1889</v>
      </c>
      <c r="C76" s="36" t="s">
        <v>1666</v>
      </c>
      <c r="D76" s="36" t="s">
        <v>714</v>
      </c>
      <c r="E76" s="36" t="s">
        <v>714</v>
      </c>
      <c r="F76" s="154" t="s">
        <v>1890</v>
      </c>
      <c r="G76" s="36" t="s">
        <v>32</v>
      </c>
      <c r="H76" s="36" t="s">
        <v>1655</v>
      </c>
      <c r="I76" s="36" t="s">
        <v>1656</v>
      </c>
      <c r="J76" s="36" t="s">
        <v>1656</v>
      </c>
      <c r="K76" s="36" t="s">
        <v>1891</v>
      </c>
      <c r="L76" s="36" t="s">
        <v>1669</v>
      </c>
      <c r="M76" s="36" t="s">
        <v>1669</v>
      </c>
      <c r="N76" s="36" t="s">
        <v>32</v>
      </c>
    </row>
    <row r="77">
      <c r="A77" s="36" t="s">
        <v>1892</v>
      </c>
      <c r="B77" s="154" t="s">
        <v>1893</v>
      </c>
      <c r="C77" s="36" t="s">
        <v>1666</v>
      </c>
      <c r="D77" s="36" t="s">
        <v>305</v>
      </c>
      <c r="E77" s="36" t="s">
        <v>305</v>
      </c>
      <c r="F77" s="154" t="s">
        <v>1729</v>
      </c>
      <c r="G77" s="36" t="s">
        <v>32</v>
      </c>
      <c r="H77" s="36" t="s">
        <v>1655</v>
      </c>
      <c r="I77" s="36" t="s">
        <v>1656</v>
      </c>
      <c r="J77" s="36" t="s">
        <v>1656</v>
      </c>
      <c r="K77" s="36" t="s">
        <v>1894</v>
      </c>
      <c r="L77" s="36" t="s">
        <v>1669</v>
      </c>
      <c r="M77" s="36" t="s">
        <v>1669</v>
      </c>
      <c r="N77" s="36" t="s">
        <v>32</v>
      </c>
    </row>
    <row r="78">
      <c r="A78" s="36" t="s">
        <v>1895</v>
      </c>
      <c r="B78" s="154" t="s">
        <v>1896</v>
      </c>
      <c r="C78" s="36" t="s">
        <v>1666</v>
      </c>
      <c r="D78" s="36" t="s">
        <v>1527</v>
      </c>
      <c r="E78" s="36" t="s">
        <v>1527</v>
      </c>
      <c r="F78" s="154" t="s">
        <v>1744</v>
      </c>
      <c r="G78" s="36" t="s">
        <v>32</v>
      </c>
      <c r="H78" s="36" t="s">
        <v>1655</v>
      </c>
      <c r="I78" s="36" t="s">
        <v>1656</v>
      </c>
      <c r="J78" s="36" t="s">
        <v>1656</v>
      </c>
      <c r="K78" s="36" t="s">
        <v>1897</v>
      </c>
      <c r="L78" s="36" t="s">
        <v>1669</v>
      </c>
      <c r="M78" s="36" t="s">
        <v>1669</v>
      </c>
      <c r="N78" s="36" t="s">
        <v>32</v>
      </c>
    </row>
    <row r="79">
      <c r="A79" s="36" t="s">
        <v>1898</v>
      </c>
      <c r="B79" s="154" t="s">
        <v>1896</v>
      </c>
      <c r="C79" s="36" t="s">
        <v>1666</v>
      </c>
      <c r="D79" s="36" t="s">
        <v>1530</v>
      </c>
      <c r="E79" s="36" t="s">
        <v>1530</v>
      </c>
      <c r="F79" s="154" t="s">
        <v>1899</v>
      </c>
      <c r="G79" s="36" t="s">
        <v>28</v>
      </c>
      <c r="H79" s="36" t="s">
        <v>1655</v>
      </c>
      <c r="I79" s="36" t="s">
        <v>1656</v>
      </c>
      <c r="J79" s="36" t="s">
        <v>1656</v>
      </c>
      <c r="K79" s="36" t="s">
        <v>1900</v>
      </c>
      <c r="L79" s="36" t="s">
        <v>1669</v>
      </c>
      <c r="M79" s="36" t="s">
        <v>1669</v>
      </c>
      <c r="N79" s="36" t="s">
        <v>32</v>
      </c>
    </row>
    <row r="80">
      <c r="A80" s="36" t="s">
        <v>1901</v>
      </c>
      <c r="B80" s="154" t="s">
        <v>1896</v>
      </c>
      <c r="C80" s="36" t="s">
        <v>1666</v>
      </c>
      <c r="D80" s="36" t="s">
        <v>1534</v>
      </c>
      <c r="E80" s="36" t="s">
        <v>1534</v>
      </c>
      <c r="F80" s="154" t="s">
        <v>1902</v>
      </c>
      <c r="G80" s="36" t="s">
        <v>28</v>
      </c>
      <c r="H80" s="36" t="s">
        <v>1655</v>
      </c>
      <c r="I80" s="36" t="s">
        <v>1656</v>
      </c>
      <c r="J80" s="36" t="s">
        <v>1656</v>
      </c>
      <c r="K80" s="36" t="s">
        <v>1903</v>
      </c>
      <c r="L80" s="36" t="s">
        <v>1669</v>
      </c>
      <c r="M80" s="36" t="s">
        <v>1669</v>
      </c>
      <c r="N80" s="36" t="s">
        <v>32</v>
      </c>
    </row>
    <row r="81">
      <c r="A81" s="36" t="s">
        <v>1904</v>
      </c>
      <c r="B81" s="154" t="s">
        <v>1905</v>
      </c>
      <c r="C81" s="36" t="s">
        <v>1666</v>
      </c>
      <c r="D81" s="36" t="s">
        <v>1539</v>
      </c>
      <c r="E81" s="36" t="s">
        <v>1539</v>
      </c>
      <c r="F81" s="154" t="s">
        <v>1874</v>
      </c>
      <c r="G81" s="36" t="s">
        <v>28</v>
      </c>
      <c r="H81" s="36" t="s">
        <v>1655</v>
      </c>
      <c r="I81" s="36" t="s">
        <v>1656</v>
      </c>
      <c r="J81" s="36" t="s">
        <v>1656</v>
      </c>
      <c r="K81" s="36" t="s">
        <v>1906</v>
      </c>
      <c r="L81" s="36" t="s">
        <v>1669</v>
      </c>
      <c r="M81" s="36" t="s">
        <v>1669</v>
      </c>
      <c r="N81" s="36" t="s">
        <v>34</v>
      </c>
    </row>
    <row r="82">
      <c r="A82" s="36" t="s">
        <v>1907</v>
      </c>
      <c r="B82" s="154" t="s">
        <v>1905</v>
      </c>
      <c r="C82" s="36" t="s">
        <v>1666</v>
      </c>
      <c r="D82" s="36" t="s">
        <v>209</v>
      </c>
      <c r="E82" s="36" t="s">
        <v>209</v>
      </c>
      <c r="F82" s="154" t="s">
        <v>1908</v>
      </c>
      <c r="G82" s="36" t="s">
        <v>28</v>
      </c>
      <c r="H82" s="36" t="s">
        <v>1655</v>
      </c>
      <c r="I82" s="36" t="s">
        <v>1656</v>
      </c>
      <c r="J82" s="36" t="s">
        <v>1656</v>
      </c>
      <c r="K82" s="36" t="s">
        <v>1909</v>
      </c>
      <c r="L82" s="36" t="s">
        <v>1669</v>
      </c>
      <c r="M82" s="36" t="s">
        <v>1669</v>
      </c>
      <c r="N82" s="36" t="s">
        <v>34</v>
      </c>
    </row>
    <row r="83">
      <c r="A83" s="36" t="s">
        <v>1910</v>
      </c>
      <c r="B83" s="154" t="s">
        <v>1905</v>
      </c>
      <c r="C83" s="36" t="s">
        <v>1666</v>
      </c>
      <c r="D83" s="36" t="s">
        <v>1547</v>
      </c>
      <c r="E83" s="36" t="s">
        <v>1547</v>
      </c>
      <c r="F83" s="154" t="s">
        <v>1911</v>
      </c>
      <c r="G83" s="36" t="s">
        <v>28</v>
      </c>
      <c r="H83" s="36" t="s">
        <v>1655</v>
      </c>
      <c r="I83" s="36" t="s">
        <v>1656</v>
      </c>
      <c r="J83" s="36" t="s">
        <v>1656</v>
      </c>
      <c r="K83" s="36" t="s">
        <v>1912</v>
      </c>
      <c r="L83" s="36" t="s">
        <v>1669</v>
      </c>
      <c r="M83" s="36" t="s">
        <v>1669</v>
      </c>
      <c r="N83" s="36" t="s">
        <v>34</v>
      </c>
    </row>
    <row r="84">
      <c r="A84" s="36" t="s">
        <v>1913</v>
      </c>
      <c r="B84" s="154" t="s">
        <v>1905</v>
      </c>
      <c r="C84" s="36" t="s">
        <v>1666</v>
      </c>
      <c r="D84" s="36" t="s">
        <v>1548</v>
      </c>
      <c r="E84" s="36" t="s">
        <v>1548</v>
      </c>
      <c r="F84" s="154" t="s">
        <v>1799</v>
      </c>
      <c r="G84" s="36" t="s">
        <v>28</v>
      </c>
      <c r="H84" s="36" t="s">
        <v>1655</v>
      </c>
      <c r="I84" s="36" t="s">
        <v>1656</v>
      </c>
      <c r="J84" s="36" t="s">
        <v>1656</v>
      </c>
      <c r="K84" s="36" t="s">
        <v>1914</v>
      </c>
      <c r="L84" s="36" t="s">
        <v>1669</v>
      </c>
      <c r="M84" s="36" t="s">
        <v>1669</v>
      </c>
      <c r="N84" s="36" t="s">
        <v>34</v>
      </c>
    </row>
    <row r="85">
      <c r="A85" s="36" t="s">
        <v>1915</v>
      </c>
      <c r="B85" s="154" t="s">
        <v>1905</v>
      </c>
      <c r="C85" s="36" t="s">
        <v>1666</v>
      </c>
      <c r="D85" s="36" t="s">
        <v>1550</v>
      </c>
      <c r="E85" s="36" t="s">
        <v>1550</v>
      </c>
      <c r="F85" s="154" t="s">
        <v>1916</v>
      </c>
      <c r="G85" s="36" t="s">
        <v>28</v>
      </c>
      <c r="H85" s="36" t="s">
        <v>1655</v>
      </c>
      <c r="I85" s="36" t="s">
        <v>1656</v>
      </c>
      <c r="J85" s="36" t="s">
        <v>1656</v>
      </c>
      <c r="K85" s="36" t="s">
        <v>1917</v>
      </c>
      <c r="L85" s="36" t="s">
        <v>1669</v>
      </c>
      <c r="M85" s="36" t="s">
        <v>1669</v>
      </c>
      <c r="N85" s="36" t="s">
        <v>32</v>
      </c>
    </row>
    <row r="86">
      <c r="A86" s="36" t="s">
        <v>1918</v>
      </c>
      <c r="B86" s="154" t="s">
        <v>1919</v>
      </c>
      <c r="C86" s="36" t="s">
        <v>1666</v>
      </c>
      <c r="D86" s="36" t="s">
        <v>81</v>
      </c>
      <c r="E86" s="36" t="s">
        <v>81</v>
      </c>
      <c r="F86" s="154" t="s">
        <v>1920</v>
      </c>
      <c r="G86" s="36" t="s">
        <v>28</v>
      </c>
      <c r="H86" s="36" t="s">
        <v>1655</v>
      </c>
      <c r="I86" s="36" t="s">
        <v>1656</v>
      </c>
      <c r="J86" s="36" t="s">
        <v>1656</v>
      </c>
      <c r="K86" s="36" t="s">
        <v>1921</v>
      </c>
      <c r="L86" s="36" t="s">
        <v>1669</v>
      </c>
      <c r="M86" s="36" t="s">
        <v>1669</v>
      </c>
      <c r="N86" s="36" t="s">
        <v>32</v>
      </c>
    </row>
    <row r="87">
      <c r="A87" s="36" t="s">
        <v>1922</v>
      </c>
      <c r="B87" s="154" t="s">
        <v>1919</v>
      </c>
      <c r="C87" s="36" t="s">
        <v>1666</v>
      </c>
      <c r="D87" s="36" t="s">
        <v>84</v>
      </c>
      <c r="E87" s="36" t="s">
        <v>84</v>
      </c>
      <c r="F87" s="154" t="s">
        <v>1923</v>
      </c>
      <c r="G87" s="36" t="s">
        <v>32</v>
      </c>
      <c r="H87" s="36" t="s">
        <v>1655</v>
      </c>
      <c r="I87" s="36" t="s">
        <v>1656</v>
      </c>
      <c r="J87" s="36" t="s">
        <v>1656</v>
      </c>
      <c r="K87" s="36" t="s">
        <v>1924</v>
      </c>
      <c r="L87" s="36" t="s">
        <v>1669</v>
      </c>
      <c r="M87" s="36" t="s">
        <v>1669</v>
      </c>
      <c r="N87" s="36" t="s">
        <v>32</v>
      </c>
    </row>
    <row r="88">
      <c r="A88" s="36" t="s">
        <v>1925</v>
      </c>
      <c r="B88" s="154" t="s">
        <v>1919</v>
      </c>
      <c r="C88" s="36" t="s">
        <v>1666</v>
      </c>
      <c r="D88" s="36" t="s">
        <v>1552</v>
      </c>
      <c r="E88" s="36" t="s">
        <v>1552</v>
      </c>
      <c r="F88" s="154" t="s">
        <v>1926</v>
      </c>
      <c r="G88" s="36" t="s">
        <v>28</v>
      </c>
      <c r="H88" s="36" t="s">
        <v>1655</v>
      </c>
      <c r="I88" s="36" t="s">
        <v>1656</v>
      </c>
      <c r="J88" s="36" t="s">
        <v>1656</v>
      </c>
      <c r="K88" s="36" t="s">
        <v>1927</v>
      </c>
      <c r="L88" s="36" t="s">
        <v>1669</v>
      </c>
      <c r="M88" s="36" t="s">
        <v>1669</v>
      </c>
      <c r="N88" s="36" t="s">
        <v>34</v>
      </c>
    </row>
    <row r="89">
      <c r="A89" s="36" t="s">
        <v>1928</v>
      </c>
      <c r="B89" s="154" t="s">
        <v>1919</v>
      </c>
      <c r="C89" s="36" t="s">
        <v>1666</v>
      </c>
      <c r="D89" s="36" t="s">
        <v>582</v>
      </c>
      <c r="E89" s="36" t="s">
        <v>582</v>
      </c>
      <c r="F89" s="154" t="s">
        <v>1929</v>
      </c>
      <c r="G89" s="36" t="s">
        <v>28</v>
      </c>
      <c r="H89" s="36" t="s">
        <v>1655</v>
      </c>
      <c r="I89" s="36" t="s">
        <v>1656</v>
      </c>
      <c r="J89" s="36" t="s">
        <v>1656</v>
      </c>
      <c r="K89" s="36" t="s">
        <v>1930</v>
      </c>
      <c r="L89" s="36" t="s">
        <v>1669</v>
      </c>
      <c r="M89" s="36" t="s">
        <v>1669</v>
      </c>
      <c r="N89" s="36" t="s">
        <v>34</v>
      </c>
    </row>
    <row r="90">
      <c r="A90" s="36" t="s">
        <v>1931</v>
      </c>
      <c r="B90" s="154" t="s">
        <v>1919</v>
      </c>
      <c r="C90" s="36" t="s">
        <v>1666</v>
      </c>
      <c r="D90" s="36" t="s">
        <v>1335</v>
      </c>
      <c r="E90" s="36" t="s">
        <v>1335</v>
      </c>
      <c r="F90" s="154" t="s">
        <v>1932</v>
      </c>
      <c r="G90" s="36" t="s">
        <v>28</v>
      </c>
      <c r="H90" s="36" t="s">
        <v>1655</v>
      </c>
      <c r="I90" s="36" t="s">
        <v>1656</v>
      </c>
      <c r="J90" s="36" t="s">
        <v>1656</v>
      </c>
      <c r="K90" s="36" t="s">
        <v>1933</v>
      </c>
      <c r="L90" s="36" t="s">
        <v>1669</v>
      </c>
      <c r="M90" s="36" t="s">
        <v>1669</v>
      </c>
      <c r="N90" s="36" t="s">
        <v>32</v>
      </c>
    </row>
    <row r="91">
      <c r="A91" s="36" t="s">
        <v>1934</v>
      </c>
      <c r="B91" s="154" t="s">
        <v>1935</v>
      </c>
      <c r="C91" s="36" t="s">
        <v>1666</v>
      </c>
      <c r="D91" s="36" t="s">
        <v>966</v>
      </c>
      <c r="E91" s="36" t="s">
        <v>966</v>
      </c>
      <c r="F91" s="154" t="s">
        <v>1744</v>
      </c>
      <c r="G91" s="36" t="s">
        <v>28</v>
      </c>
      <c r="H91" s="36" t="s">
        <v>1655</v>
      </c>
      <c r="I91" s="36" t="s">
        <v>1656</v>
      </c>
      <c r="J91" s="36" t="s">
        <v>1656</v>
      </c>
      <c r="K91" s="36" t="s">
        <v>1936</v>
      </c>
      <c r="L91" s="36" t="s">
        <v>1669</v>
      </c>
      <c r="M91" s="36" t="s">
        <v>1669</v>
      </c>
      <c r="N91" s="36" t="s">
        <v>32</v>
      </c>
    </row>
    <row r="92">
      <c r="A92" s="36" t="s">
        <v>1937</v>
      </c>
      <c r="B92" s="154" t="s">
        <v>1935</v>
      </c>
      <c r="C92" s="36" t="s">
        <v>1666</v>
      </c>
      <c r="D92" s="36" t="s">
        <v>1560</v>
      </c>
      <c r="E92" s="36" t="s">
        <v>1560</v>
      </c>
      <c r="F92" s="154" t="s">
        <v>1810</v>
      </c>
      <c r="G92" s="36" t="s">
        <v>28</v>
      </c>
      <c r="H92" s="36" t="s">
        <v>1655</v>
      </c>
      <c r="I92" s="36" t="s">
        <v>1656</v>
      </c>
      <c r="J92" s="36" t="s">
        <v>1656</v>
      </c>
      <c r="K92" s="36" t="s">
        <v>1938</v>
      </c>
      <c r="L92" s="36" t="s">
        <v>1669</v>
      </c>
      <c r="M92" s="36" t="s">
        <v>1669</v>
      </c>
      <c r="N92" s="36" t="s">
        <v>32</v>
      </c>
    </row>
    <row r="93">
      <c r="A93" s="36" t="s">
        <v>1939</v>
      </c>
      <c r="B93" s="154" t="s">
        <v>1935</v>
      </c>
      <c r="C93" s="36" t="s">
        <v>1666</v>
      </c>
      <c r="D93" s="36" t="s">
        <v>1425</v>
      </c>
      <c r="E93" s="36" t="s">
        <v>1425</v>
      </c>
      <c r="F93" s="154" t="s">
        <v>1816</v>
      </c>
      <c r="G93" s="36" t="s">
        <v>28</v>
      </c>
      <c r="H93" s="36" t="s">
        <v>1655</v>
      </c>
      <c r="I93" s="36" t="s">
        <v>1656</v>
      </c>
      <c r="J93" s="36" t="s">
        <v>1656</v>
      </c>
      <c r="K93" s="36" t="s">
        <v>1940</v>
      </c>
      <c r="L93" s="36" t="s">
        <v>1669</v>
      </c>
      <c r="M93" s="36" t="s">
        <v>1669</v>
      </c>
      <c r="N93" s="36" t="s">
        <v>32</v>
      </c>
    </row>
    <row r="94">
      <c r="A94" s="36" t="s">
        <v>1941</v>
      </c>
      <c r="B94" s="154" t="s">
        <v>1942</v>
      </c>
      <c r="C94" s="36" t="s">
        <v>1653</v>
      </c>
      <c r="D94" s="36" t="s">
        <v>43</v>
      </c>
      <c r="E94" s="36" t="s">
        <v>39</v>
      </c>
      <c r="F94" s="154" t="s">
        <v>1943</v>
      </c>
      <c r="G94" s="36" t="s">
        <v>32</v>
      </c>
      <c r="H94" s="36" t="s">
        <v>1655</v>
      </c>
      <c r="I94" s="36" t="s">
        <v>1656</v>
      </c>
      <c r="J94" s="36" t="s">
        <v>1656</v>
      </c>
      <c r="K94" s="36" t="s">
        <v>1657</v>
      </c>
      <c r="L94" s="36" t="s">
        <v>1944</v>
      </c>
      <c r="M94" s="36" t="s">
        <v>1944</v>
      </c>
      <c r="N94" s="36" t="s">
        <v>32</v>
      </c>
    </row>
    <row r="95">
      <c r="A95" s="36" t="s">
        <v>1945</v>
      </c>
      <c r="B95" s="154" t="s">
        <v>1942</v>
      </c>
      <c r="C95" s="36" t="s">
        <v>1653</v>
      </c>
      <c r="D95" s="36" t="s">
        <v>1391</v>
      </c>
      <c r="E95" s="36" t="s">
        <v>39</v>
      </c>
      <c r="F95" s="154" t="s">
        <v>1946</v>
      </c>
      <c r="G95" s="36" t="s">
        <v>32</v>
      </c>
      <c r="H95" s="36" t="s">
        <v>1655</v>
      </c>
      <c r="I95" s="36" t="s">
        <v>1656</v>
      </c>
      <c r="J95" s="36" t="s">
        <v>1656</v>
      </c>
      <c r="K95" s="36" t="s">
        <v>1749</v>
      </c>
      <c r="L95" s="36" t="s">
        <v>1944</v>
      </c>
      <c r="M95" s="36" t="s">
        <v>1944</v>
      </c>
      <c r="N95" s="36" t="s">
        <v>32</v>
      </c>
    </row>
    <row r="96">
      <c r="A96" s="36" t="s">
        <v>1947</v>
      </c>
      <c r="B96" s="154" t="s">
        <v>1942</v>
      </c>
      <c r="C96" s="36" t="s">
        <v>1653</v>
      </c>
      <c r="D96" s="36" t="s">
        <v>1396</v>
      </c>
      <c r="E96" s="36" t="s">
        <v>39</v>
      </c>
      <c r="F96" s="154" t="s">
        <v>1948</v>
      </c>
      <c r="G96" s="36" t="s">
        <v>32</v>
      </c>
      <c r="H96" s="36" t="s">
        <v>1655</v>
      </c>
      <c r="I96" s="36" t="s">
        <v>1656</v>
      </c>
      <c r="J96" s="36" t="s">
        <v>1656</v>
      </c>
      <c r="K96" s="36" t="s">
        <v>1664</v>
      </c>
      <c r="L96" s="36" t="s">
        <v>1944</v>
      </c>
      <c r="M96" s="36" t="s">
        <v>1944</v>
      </c>
      <c r="N96" s="36" t="s">
        <v>32</v>
      </c>
    </row>
    <row r="97">
      <c r="A97" s="36" t="s">
        <v>1949</v>
      </c>
      <c r="B97" s="154" t="s">
        <v>1942</v>
      </c>
      <c r="C97" s="36" t="s">
        <v>1666</v>
      </c>
      <c r="D97" s="36" t="s">
        <v>921</v>
      </c>
      <c r="E97" s="36" t="s">
        <v>921</v>
      </c>
      <c r="F97" s="154" t="s">
        <v>1950</v>
      </c>
      <c r="G97" s="36" t="s">
        <v>28</v>
      </c>
      <c r="H97" s="36" t="s">
        <v>1655</v>
      </c>
      <c r="I97" s="36" t="s">
        <v>1656</v>
      </c>
      <c r="J97" s="36" t="s">
        <v>1656</v>
      </c>
      <c r="K97" s="36" t="s">
        <v>1668</v>
      </c>
      <c r="L97" s="36" t="s">
        <v>1669</v>
      </c>
      <c r="M97" s="36" t="s">
        <v>1669</v>
      </c>
      <c r="N97" s="36" t="s">
        <v>32</v>
      </c>
    </row>
    <row r="98">
      <c r="A98" s="36" t="s">
        <v>1951</v>
      </c>
      <c r="B98" s="154" t="s">
        <v>1942</v>
      </c>
      <c r="C98" s="36" t="s">
        <v>1666</v>
      </c>
      <c r="D98" s="36" t="s">
        <v>1124</v>
      </c>
      <c r="E98" s="36" t="s">
        <v>1124</v>
      </c>
      <c r="F98" s="154" t="s">
        <v>1952</v>
      </c>
      <c r="G98" s="36" t="s">
        <v>28</v>
      </c>
      <c r="H98" s="36" t="s">
        <v>1655</v>
      </c>
      <c r="I98" s="36" t="s">
        <v>1656</v>
      </c>
      <c r="J98" s="36" t="s">
        <v>1656</v>
      </c>
      <c r="K98" s="36" t="s">
        <v>1672</v>
      </c>
      <c r="L98" s="36" t="s">
        <v>1669</v>
      </c>
      <c r="M98" s="36" t="s">
        <v>1669</v>
      </c>
      <c r="N98" s="36" t="s">
        <v>32</v>
      </c>
    </row>
    <row r="99">
      <c r="A99" s="36" t="s">
        <v>1953</v>
      </c>
      <c r="B99" s="154" t="s">
        <v>1954</v>
      </c>
      <c r="C99" s="36" t="s">
        <v>1666</v>
      </c>
      <c r="D99" s="36" t="s">
        <v>966</v>
      </c>
      <c r="E99" s="36" t="s">
        <v>966</v>
      </c>
      <c r="F99" s="154" t="s">
        <v>1955</v>
      </c>
      <c r="G99" s="36" t="s">
        <v>28</v>
      </c>
      <c r="H99" s="36" t="s">
        <v>1655</v>
      </c>
      <c r="I99" s="36" t="s">
        <v>1656</v>
      </c>
      <c r="J99" s="36" t="s">
        <v>1656</v>
      </c>
      <c r="K99" s="36" t="s">
        <v>1675</v>
      </c>
      <c r="L99" s="36" t="s">
        <v>1669</v>
      </c>
      <c r="M99" s="36" t="s">
        <v>1669</v>
      </c>
      <c r="N99" s="36" t="s">
        <v>32</v>
      </c>
    </row>
    <row r="100">
      <c r="A100" s="36" t="s">
        <v>1956</v>
      </c>
      <c r="B100" s="154" t="s">
        <v>1954</v>
      </c>
      <c r="C100" s="36" t="s">
        <v>1666</v>
      </c>
      <c r="D100" s="36" t="s">
        <v>1404</v>
      </c>
      <c r="E100" s="36" t="s">
        <v>1404</v>
      </c>
      <c r="F100" s="154" t="s">
        <v>1683</v>
      </c>
      <c r="G100" s="36" t="s">
        <v>32</v>
      </c>
      <c r="H100" s="36" t="s">
        <v>1655</v>
      </c>
      <c r="I100" s="36" t="s">
        <v>1656</v>
      </c>
      <c r="J100" s="36" t="s">
        <v>1656</v>
      </c>
      <c r="K100" s="36" t="s">
        <v>1678</v>
      </c>
      <c r="L100" s="36" t="s">
        <v>1669</v>
      </c>
      <c r="M100" s="36" t="s">
        <v>1669</v>
      </c>
      <c r="N100" s="36" t="s">
        <v>32</v>
      </c>
    </row>
    <row r="101">
      <c r="A101" s="36" t="s">
        <v>1957</v>
      </c>
      <c r="B101" s="154" t="s">
        <v>1958</v>
      </c>
      <c r="C101" s="36" t="s">
        <v>1666</v>
      </c>
      <c r="D101" s="36" t="s">
        <v>299</v>
      </c>
      <c r="E101" s="36" t="s">
        <v>299</v>
      </c>
      <c r="F101" s="154" t="s">
        <v>1959</v>
      </c>
      <c r="G101" s="36" t="s">
        <v>28</v>
      </c>
      <c r="H101" s="36" t="s">
        <v>1655</v>
      </c>
      <c r="I101" s="36" t="s">
        <v>1656</v>
      </c>
      <c r="J101" s="36" t="s">
        <v>1656</v>
      </c>
      <c r="K101" s="36" t="s">
        <v>1681</v>
      </c>
      <c r="L101" s="36" t="s">
        <v>1669</v>
      </c>
      <c r="M101" s="36" t="s">
        <v>1669</v>
      </c>
      <c r="N101" s="36" t="s">
        <v>32</v>
      </c>
    </row>
    <row r="102">
      <c r="A102" s="36" t="s">
        <v>1960</v>
      </c>
      <c r="B102" s="154" t="s">
        <v>1958</v>
      </c>
      <c r="C102" s="36" t="s">
        <v>1666</v>
      </c>
      <c r="D102" s="36" t="s">
        <v>1058</v>
      </c>
      <c r="E102" s="36" t="s">
        <v>1058</v>
      </c>
      <c r="F102" s="154" t="s">
        <v>1961</v>
      </c>
      <c r="G102" s="36" t="s">
        <v>28</v>
      </c>
      <c r="H102" s="36" t="s">
        <v>1655</v>
      </c>
      <c r="I102" s="36" t="s">
        <v>1656</v>
      </c>
      <c r="J102" s="36" t="s">
        <v>1656</v>
      </c>
      <c r="K102" s="36" t="s">
        <v>1684</v>
      </c>
      <c r="L102" s="36" t="s">
        <v>1669</v>
      </c>
      <c r="M102" s="36" t="s">
        <v>1669</v>
      </c>
      <c r="N102" s="36" t="s">
        <v>34</v>
      </c>
    </row>
    <row r="103">
      <c r="A103" s="36" t="s">
        <v>1962</v>
      </c>
      <c r="B103" s="154" t="s">
        <v>1958</v>
      </c>
      <c r="C103" s="36" t="s">
        <v>1666</v>
      </c>
      <c r="D103" s="36" t="s">
        <v>368</v>
      </c>
      <c r="E103" s="36" t="s">
        <v>368</v>
      </c>
      <c r="F103" s="154" t="s">
        <v>1963</v>
      </c>
      <c r="G103" s="36" t="s">
        <v>28</v>
      </c>
      <c r="H103" s="36" t="s">
        <v>1655</v>
      </c>
      <c r="I103" s="36" t="s">
        <v>1656</v>
      </c>
      <c r="J103" s="36" t="s">
        <v>1656</v>
      </c>
      <c r="K103" s="36" t="s">
        <v>1691</v>
      </c>
      <c r="L103" s="36" t="s">
        <v>1669</v>
      </c>
      <c r="M103" s="36" t="s">
        <v>1669</v>
      </c>
      <c r="N103" s="36" t="s">
        <v>34</v>
      </c>
    </row>
    <row r="104">
      <c r="A104" s="36" t="s">
        <v>1964</v>
      </c>
      <c r="B104" s="154" t="s">
        <v>1958</v>
      </c>
      <c r="C104" s="36" t="s">
        <v>1666</v>
      </c>
      <c r="D104" s="36" t="s">
        <v>832</v>
      </c>
      <c r="E104" s="36" t="s">
        <v>832</v>
      </c>
      <c r="F104" s="154" t="s">
        <v>1744</v>
      </c>
      <c r="G104" s="36" t="s">
        <v>28</v>
      </c>
      <c r="H104" s="36" t="s">
        <v>1655</v>
      </c>
      <c r="I104" s="36" t="s">
        <v>1656</v>
      </c>
      <c r="J104" s="36" t="s">
        <v>1656</v>
      </c>
      <c r="K104" s="36" t="s">
        <v>1695</v>
      </c>
      <c r="L104" s="36" t="s">
        <v>1669</v>
      </c>
      <c r="M104" s="36" t="s">
        <v>1669</v>
      </c>
      <c r="N104" s="36" t="s">
        <v>34</v>
      </c>
    </row>
    <row r="105">
      <c r="A105" s="36" t="s">
        <v>1965</v>
      </c>
      <c r="B105" s="154" t="s">
        <v>1958</v>
      </c>
      <c r="C105" s="36" t="s">
        <v>1666</v>
      </c>
      <c r="D105" s="36" t="s">
        <v>1414</v>
      </c>
      <c r="E105" s="36" t="s">
        <v>1414</v>
      </c>
      <c r="F105" s="154" t="s">
        <v>1966</v>
      </c>
      <c r="G105" s="36" t="s">
        <v>32</v>
      </c>
      <c r="H105" s="36" t="s">
        <v>1655</v>
      </c>
      <c r="I105" s="36" t="s">
        <v>1656</v>
      </c>
      <c r="J105" s="36" t="s">
        <v>1656</v>
      </c>
      <c r="K105" s="36" t="s">
        <v>1698</v>
      </c>
      <c r="L105" s="36" t="s">
        <v>1669</v>
      </c>
      <c r="M105" s="36" t="s">
        <v>1669</v>
      </c>
      <c r="N105" s="36" t="s">
        <v>32</v>
      </c>
    </row>
    <row r="106">
      <c r="A106" s="36" t="s">
        <v>1967</v>
      </c>
      <c r="B106" s="154" t="s">
        <v>1968</v>
      </c>
      <c r="C106" s="36" t="s">
        <v>1666</v>
      </c>
      <c r="D106" s="36" t="s">
        <v>64</v>
      </c>
      <c r="E106" s="36" t="s">
        <v>64</v>
      </c>
      <c r="F106" s="154" t="s">
        <v>1707</v>
      </c>
      <c r="G106" s="36" t="s">
        <v>28</v>
      </c>
      <c r="H106" s="36" t="s">
        <v>1655</v>
      </c>
      <c r="I106" s="36" t="s">
        <v>1656</v>
      </c>
      <c r="J106" s="36" t="s">
        <v>1656</v>
      </c>
      <c r="K106" s="36" t="s">
        <v>1708</v>
      </c>
      <c r="L106" s="36" t="s">
        <v>1669</v>
      </c>
      <c r="M106" s="36" t="s">
        <v>1669</v>
      </c>
      <c r="N106" s="36" t="s">
        <v>32</v>
      </c>
    </row>
    <row r="107">
      <c r="A107" s="36" t="s">
        <v>1969</v>
      </c>
      <c r="B107" s="154" t="s">
        <v>1970</v>
      </c>
      <c r="C107" s="36" t="s">
        <v>1666</v>
      </c>
      <c r="D107" s="36" t="s">
        <v>1415</v>
      </c>
      <c r="E107" s="36" t="s">
        <v>1415</v>
      </c>
      <c r="F107" s="154" t="s">
        <v>1971</v>
      </c>
      <c r="G107" s="36" t="s">
        <v>28</v>
      </c>
      <c r="H107" s="36" t="s">
        <v>1655</v>
      </c>
      <c r="I107" s="36" t="s">
        <v>1656</v>
      </c>
      <c r="J107" s="36" t="s">
        <v>1656</v>
      </c>
      <c r="K107" s="36" t="s">
        <v>1701</v>
      </c>
      <c r="L107" s="36" t="s">
        <v>1669</v>
      </c>
      <c r="M107" s="36" t="s">
        <v>1669</v>
      </c>
      <c r="N107" s="36" t="s">
        <v>34</v>
      </c>
    </row>
    <row r="108">
      <c r="A108" s="36" t="s">
        <v>1972</v>
      </c>
      <c r="B108" s="154" t="s">
        <v>1970</v>
      </c>
      <c r="C108" s="36" t="s">
        <v>1666</v>
      </c>
      <c r="D108" s="36" t="s">
        <v>1417</v>
      </c>
      <c r="E108" s="36" t="s">
        <v>1417</v>
      </c>
      <c r="F108" s="154" t="s">
        <v>1973</v>
      </c>
      <c r="G108" s="36" t="s">
        <v>28</v>
      </c>
      <c r="H108" s="36" t="s">
        <v>1655</v>
      </c>
      <c r="I108" s="36" t="s">
        <v>1656</v>
      </c>
      <c r="J108" s="36" t="s">
        <v>1656</v>
      </c>
      <c r="K108" s="36" t="s">
        <v>1704</v>
      </c>
      <c r="L108" s="36" t="s">
        <v>1669</v>
      </c>
      <c r="M108" s="36" t="s">
        <v>1669</v>
      </c>
      <c r="N108" s="36" t="s">
        <v>32</v>
      </c>
    </row>
    <row r="109">
      <c r="A109" s="36" t="s">
        <v>1974</v>
      </c>
      <c r="B109" s="154" t="s">
        <v>1970</v>
      </c>
      <c r="C109" s="36" t="s">
        <v>1666</v>
      </c>
      <c r="D109" s="36" t="s">
        <v>313</v>
      </c>
      <c r="E109" s="36" t="s">
        <v>313</v>
      </c>
      <c r="F109" s="154" t="s">
        <v>1929</v>
      </c>
      <c r="G109" s="36" t="s">
        <v>32</v>
      </c>
      <c r="H109" s="36" t="s">
        <v>1655</v>
      </c>
      <c r="I109" s="36" t="s">
        <v>1656</v>
      </c>
      <c r="J109" s="36" t="s">
        <v>1656</v>
      </c>
      <c r="K109" s="36" t="s">
        <v>1711</v>
      </c>
      <c r="L109" s="36" t="s">
        <v>1669</v>
      </c>
      <c r="M109" s="36" t="s">
        <v>1669</v>
      </c>
      <c r="N109" s="36" t="s">
        <v>32</v>
      </c>
    </row>
    <row r="110">
      <c r="A110" s="36" t="s">
        <v>1975</v>
      </c>
      <c r="B110" s="154" t="s">
        <v>1976</v>
      </c>
      <c r="C110" s="36" t="s">
        <v>1653</v>
      </c>
      <c r="D110" s="36" t="s">
        <v>1393</v>
      </c>
      <c r="E110" s="36" t="s">
        <v>39</v>
      </c>
      <c r="F110" s="154" t="s">
        <v>1977</v>
      </c>
      <c r="G110" s="36" t="s">
        <v>32</v>
      </c>
      <c r="H110" s="36" t="s">
        <v>1655</v>
      </c>
      <c r="I110" s="36" t="s">
        <v>1656</v>
      </c>
      <c r="J110" s="36" t="s">
        <v>1656</v>
      </c>
      <c r="K110" s="36" t="s">
        <v>1978</v>
      </c>
      <c r="L110" s="36" t="s">
        <v>1944</v>
      </c>
      <c r="M110" s="36" t="s">
        <v>1944</v>
      </c>
      <c r="N110" s="36" t="s">
        <v>32</v>
      </c>
    </row>
    <row r="111">
      <c r="A111" s="36" t="s">
        <v>1979</v>
      </c>
      <c r="B111" s="154" t="s">
        <v>1976</v>
      </c>
      <c r="C111" s="36" t="s">
        <v>1666</v>
      </c>
      <c r="D111" s="36" t="s">
        <v>689</v>
      </c>
      <c r="E111" s="36" t="s">
        <v>689</v>
      </c>
      <c r="F111" s="154" t="s">
        <v>1980</v>
      </c>
      <c r="G111" s="36" t="s">
        <v>28</v>
      </c>
      <c r="H111" s="36" t="s">
        <v>1655</v>
      </c>
      <c r="I111" s="36" t="s">
        <v>1656</v>
      </c>
      <c r="J111" s="36" t="s">
        <v>1656</v>
      </c>
      <c r="K111" s="36" t="s">
        <v>1715</v>
      </c>
      <c r="L111" s="36" t="s">
        <v>1669</v>
      </c>
      <c r="M111" s="36" t="s">
        <v>1669</v>
      </c>
      <c r="N111" s="36" t="s">
        <v>34</v>
      </c>
    </row>
    <row r="112">
      <c r="A112" s="36" t="s">
        <v>1981</v>
      </c>
      <c r="B112" s="154" t="s">
        <v>1976</v>
      </c>
      <c r="C112" s="36" t="s">
        <v>1666</v>
      </c>
      <c r="D112" s="36" t="s">
        <v>1425</v>
      </c>
      <c r="E112" s="36" t="s">
        <v>1425</v>
      </c>
      <c r="F112" s="154" t="s">
        <v>1778</v>
      </c>
      <c r="G112" s="36" t="s">
        <v>32</v>
      </c>
      <c r="H112" s="36" t="s">
        <v>1655</v>
      </c>
      <c r="I112" s="36" t="s">
        <v>1656</v>
      </c>
      <c r="J112" s="36" t="s">
        <v>1656</v>
      </c>
      <c r="K112" s="36" t="s">
        <v>1717</v>
      </c>
      <c r="L112" s="36" t="s">
        <v>1669</v>
      </c>
      <c r="M112" s="36" t="s">
        <v>1669</v>
      </c>
      <c r="N112" s="36" t="s">
        <v>32</v>
      </c>
    </row>
    <row r="113">
      <c r="A113" s="36" t="s">
        <v>1982</v>
      </c>
      <c r="B113" s="154" t="s">
        <v>1983</v>
      </c>
      <c r="C113" s="36" t="s">
        <v>1666</v>
      </c>
      <c r="D113" s="36" t="s">
        <v>66</v>
      </c>
      <c r="E113" s="36" t="s">
        <v>66</v>
      </c>
      <c r="F113" s="154" t="s">
        <v>1984</v>
      </c>
      <c r="G113" s="36" t="s">
        <v>28</v>
      </c>
      <c r="H113" s="36" t="s">
        <v>1655</v>
      </c>
      <c r="I113" s="36" t="s">
        <v>1656</v>
      </c>
      <c r="J113" s="36" t="s">
        <v>1656</v>
      </c>
      <c r="K113" s="36" t="s">
        <v>1721</v>
      </c>
      <c r="L113" s="36" t="s">
        <v>1669</v>
      </c>
      <c r="M113" s="36" t="s">
        <v>1669</v>
      </c>
      <c r="N113" s="36" t="s">
        <v>32</v>
      </c>
    </row>
    <row r="114">
      <c r="A114" s="36" t="s">
        <v>1985</v>
      </c>
      <c r="B114" s="154" t="s">
        <v>1983</v>
      </c>
      <c r="C114" s="36" t="s">
        <v>1666</v>
      </c>
      <c r="D114" s="36" t="s">
        <v>1427</v>
      </c>
      <c r="E114" s="36" t="s">
        <v>1427</v>
      </c>
      <c r="F114" s="154" t="s">
        <v>1806</v>
      </c>
      <c r="G114" s="36" t="s">
        <v>28</v>
      </c>
      <c r="H114" s="36" t="s">
        <v>1655</v>
      </c>
      <c r="I114" s="36" t="s">
        <v>1656</v>
      </c>
      <c r="J114" s="36" t="s">
        <v>1656</v>
      </c>
      <c r="K114" s="36" t="s">
        <v>1724</v>
      </c>
      <c r="L114" s="36" t="s">
        <v>1669</v>
      </c>
      <c r="M114" s="36" t="s">
        <v>1669</v>
      </c>
      <c r="N114" s="36" t="s">
        <v>34</v>
      </c>
    </row>
    <row r="115">
      <c r="A115" s="36" t="s">
        <v>1986</v>
      </c>
      <c r="B115" s="154" t="s">
        <v>1987</v>
      </c>
      <c r="C115" s="36" t="s">
        <v>1653</v>
      </c>
      <c r="D115" s="36" t="s">
        <v>55</v>
      </c>
      <c r="E115" s="36" t="s">
        <v>39</v>
      </c>
      <c r="F115" s="154" t="s">
        <v>1988</v>
      </c>
      <c r="G115" s="36" t="s">
        <v>32</v>
      </c>
      <c r="H115" s="36" t="s">
        <v>1655</v>
      </c>
      <c r="I115" s="36" t="s">
        <v>1656</v>
      </c>
      <c r="J115" s="36" t="s">
        <v>1656</v>
      </c>
      <c r="K115" s="36" t="s">
        <v>1989</v>
      </c>
      <c r="L115" s="36" t="s">
        <v>1944</v>
      </c>
      <c r="M115" s="36" t="s">
        <v>1944</v>
      </c>
      <c r="N115" s="36" t="s">
        <v>32</v>
      </c>
    </row>
    <row r="116">
      <c r="A116" s="36" t="s">
        <v>1990</v>
      </c>
      <c r="B116" s="154" t="s">
        <v>1987</v>
      </c>
      <c r="C116" s="36" t="s">
        <v>1666</v>
      </c>
      <c r="D116" s="36" t="s">
        <v>71</v>
      </c>
      <c r="E116" s="36" t="s">
        <v>71</v>
      </c>
      <c r="F116" s="154" t="s">
        <v>1751</v>
      </c>
      <c r="G116" s="36" t="s">
        <v>32</v>
      </c>
      <c r="H116" s="36" t="s">
        <v>1655</v>
      </c>
      <c r="I116" s="36" t="s">
        <v>1656</v>
      </c>
      <c r="J116" s="36" t="s">
        <v>1656</v>
      </c>
      <c r="K116" s="36" t="s">
        <v>1752</v>
      </c>
      <c r="L116" s="36" t="s">
        <v>1669</v>
      </c>
      <c r="M116" s="36" t="s">
        <v>1669</v>
      </c>
      <c r="N116" s="36" t="s">
        <v>32</v>
      </c>
    </row>
    <row r="117">
      <c r="A117" s="36" t="s">
        <v>1991</v>
      </c>
      <c r="B117" s="154" t="s">
        <v>1987</v>
      </c>
      <c r="C117" s="36" t="s">
        <v>1666</v>
      </c>
      <c r="D117" s="36" t="s">
        <v>73</v>
      </c>
      <c r="E117" s="36" t="s">
        <v>73</v>
      </c>
      <c r="F117" s="154" t="s">
        <v>1754</v>
      </c>
      <c r="G117" s="36" t="s">
        <v>28</v>
      </c>
      <c r="H117" s="36" t="s">
        <v>1655</v>
      </c>
      <c r="I117" s="36" t="s">
        <v>1656</v>
      </c>
      <c r="J117" s="36" t="s">
        <v>1656</v>
      </c>
      <c r="K117" s="36" t="s">
        <v>1755</v>
      </c>
      <c r="L117" s="36" t="s">
        <v>1669</v>
      </c>
      <c r="M117" s="36" t="s">
        <v>1669</v>
      </c>
      <c r="N117" s="36" t="s">
        <v>32</v>
      </c>
    </row>
    <row r="118">
      <c r="A118" s="36" t="s">
        <v>1992</v>
      </c>
      <c r="B118" s="154" t="s">
        <v>1987</v>
      </c>
      <c r="C118" s="36" t="s">
        <v>1666</v>
      </c>
      <c r="D118" s="36" t="s">
        <v>74</v>
      </c>
      <c r="E118" s="36" t="s">
        <v>74</v>
      </c>
      <c r="F118" s="154" t="s">
        <v>1751</v>
      </c>
      <c r="G118" s="36" t="s">
        <v>32</v>
      </c>
      <c r="H118" s="36" t="s">
        <v>1655</v>
      </c>
      <c r="I118" s="36" t="s">
        <v>1656</v>
      </c>
      <c r="J118" s="36" t="s">
        <v>1656</v>
      </c>
      <c r="K118" s="36" t="s">
        <v>1757</v>
      </c>
      <c r="L118" s="36" t="s">
        <v>1669</v>
      </c>
      <c r="M118" s="36" t="s">
        <v>1669</v>
      </c>
      <c r="N118" s="36" t="s">
        <v>32</v>
      </c>
    </row>
    <row r="119">
      <c r="A119" s="36" t="s">
        <v>1993</v>
      </c>
      <c r="B119" s="154" t="s">
        <v>1987</v>
      </c>
      <c r="C119" s="36" t="s">
        <v>1666</v>
      </c>
      <c r="D119" s="36" t="s">
        <v>75</v>
      </c>
      <c r="E119" s="36" t="s">
        <v>75</v>
      </c>
      <c r="F119" s="154" t="s">
        <v>1759</v>
      </c>
      <c r="G119" s="36" t="s">
        <v>28</v>
      </c>
      <c r="H119" s="36" t="s">
        <v>1655</v>
      </c>
      <c r="I119" s="36" t="s">
        <v>1656</v>
      </c>
      <c r="J119" s="36" t="s">
        <v>1656</v>
      </c>
      <c r="K119" s="36" t="s">
        <v>1760</v>
      </c>
      <c r="L119" s="36" t="s">
        <v>1669</v>
      </c>
      <c r="M119" s="36" t="s">
        <v>1669</v>
      </c>
      <c r="N119" s="36" t="s">
        <v>32</v>
      </c>
    </row>
    <row r="120">
      <c r="A120" s="36" t="s">
        <v>1994</v>
      </c>
      <c r="B120" s="154" t="s">
        <v>1987</v>
      </c>
      <c r="C120" s="36" t="s">
        <v>1666</v>
      </c>
      <c r="D120" s="36" t="s">
        <v>76</v>
      </c>
      <c r="E120" s="36" t="s">
        <v>76</v>
      </c>
      <c r="F120" s="154" t="s">
        <v>1995</v>
      </c>
      <c r="G120" s="36" t="s">
        <v>28</v>
      </c>
      <c r="H120" s="36" t="s">
        <v>1655</v>
      </c>
      <c r="I120" s="36" t="s">
        <v>1656</v>
      </c>
      <c r="J120" s="36" t="s">
        <v>1656</v>
      </c>
      <c r="K120" s="36" t="s">
        <v>1763</v>
      </c>
      <c r="L120" s="36" t="s">
        <v>1669</v>
      </c>
      <c r="M120" s="36" t="s">
        <v>1669</v>
      </c>
      <c r="N120" s="36" t="s">
        <v>32</v>
      </c>
    </row>
    <row r="121">
      <c r="A121" s="36" t="s">
        <v>1996</v>
      </c>
      <c r="B121" s="154" t="s">
        <v>1987</v>
      </c>
      <c r="C121" s="36" t="s">
        <v>1666</v>
      </c>
      <c r="D121" s="36" t="s">
        <v>919</v>
      </c>
      <c r="E121" s="36" t="s">
        <v>919</v>
      </c>
      <c r="F121" s="154" t="s">
        <v>1997</v>
      </c>
      <c r="G121" s="36" t="s">
        <v>28</v>
      </c>
      <c r="H121" s="36" t="s">
        <v>1655</v>
      </c>
      <c r="I121" s="36" t="s">
        <v>1656</v>
      </c>
      <c r="J121" s="36" t="s">
        <v>1656</v>
      </c>
      <c r="K121" s="36" t="s">
        <v>1766</v>
      </c>
      <c r="L121" s="36" t="s">
        <v>1669</v>
      </c>
      <c r="M121" s="36" t="s">
        <v>1669</v>
      </c>
      <c r="N121" s="36" t="s">
        <v>32</v>
      </c>
    </row>
    <row r="122">
      <c r="A122" s="36" t="s">
        <v>1998</v>
      </c>
      <c r="B122" s="154" t="s">
        <v>1987</v>
      </c>
      <c r="C122" s="36" t="s">
        <v>1666</v>
      </c>
      <c r="D122" s="36" t="s">
        <v>77</v>
      </c>
      <c r="E122" s="36" t="s">
        <v>77</v>
      </c>
      <c r="F122" s="154" t="s">
        <v>1768</v>
      </c>
      <c r="G122" s="36" t="s">
        <v>34</v>
      </c>
      <c r="H122" s="36" t="s">
        <v>1655</v>
      </c>
      <c r="I122" s="36" t="s">
        <v>1656</v>
      </c>
      <c r="J122" s="36" t="s">
        <v>1656</v>
      </c>
      <c r="K122" s="36" t="s">
        <v>1769</v>
      </c>
      <c r="L122" s="36" t="s">
        <v>1669</v>
      </c>
      <c r="M122" s="36" t="s">
        <v>1669</v>
      </c>
      <c r="N122" s="36" t="s">
        <v>32</v>
      </c>
    </row>
    <row r="123">
      <c r="A123" s="36" t="s">
        <v>1999</v>
      </c>
      <c r="B123" s="154" t="s">
        <v>1987</v>
      </c>
      <c r="C123" s="36" t="s">
        <v>1666</v>
      </c>
      <c r="D123" s="36" t="s">
        <v>832</v>
      </c>
      <c r="E123" s="36" t="s">
        <v>832</v>
      </c>
      <c r="F123" s="154" t="s">
        <v>1744</v>
      </c>
      <c r="G123" s="36" t="s">
        <v>28</v>
      </c>
      <c r="H123" s="36" t="s">
        <v>1655</v>
      </c>
      <c r="I123" s="36" t="s">
        <v>1656</v>
      </c>
      <c r="J123" s="36" t="s">
        <v>1656</v>
      </c>
      <c r="K123" s="36" t="s">
        <v>1727</v>
      </c>
      <c r="L123" s="36" t="s">
        <v>1669</v>
      </c>
      <c r="M123" s="36" t="s">
        <v>1669</v>
      </c>
      <c r="N123" s="36" t="s">
        <v>34</v>
      </c>
    </row>
    <row r="124">
      <c r="A124" s="36" t="s">
        <v>2000</v>
      </c>
      <c r="B124" s="154" t="s">
        <v>1987</v>
      </c>
      <c r="C124" s="36" t="s">
        <v>1666</v>
      </c>
      <c r="D124" s="36" t="s">
        <v>1430</v>
      </c>
      <c r="E124" s="36" t="s">
        <v>1430</v>
      </c>
      <c r="F124" s="154" t="s">
        <v>1929</v>
      </c>
      <c r="G124" s="36" t="s">
        <v>28</v>
      </c>
      <c r="H124" s="36" t="s">
        <v>1655</v>
      </c>
      <c r="I124" s="36" t="s">
        <v>1656</v>
      </c>
      <c r="J124" s="36" t="s">
        <v>1656</v>
      </c>
      <c r="K124" s="36" t="s">
        <v>1730</v>
      </c>
      <c r="L124" s="36" t="s">
        <v>1669</v>
      </c>
      <c r="M124" s="36" t="s">
        <v>1669</v>
      </c>
      <c r="N124" s="36" t="s">
        <v>34</v>
      </c>
    </row>
    <row r="125">
      <c r="A125" s="36" t="s">
        <v>2001</v>
      </c>
      <c r="B125" s="154" t="s">
        <v>1987</v>
      </c>
      <c r="C125" s="36" t="s">
        <v>1666</v>
      </c>
      <c r="D125" s="36" t="s">
        <v>313</v>
      </c>
      <c r="E125" s="36" t="s">
        <v>313</v>
      </c>
      <c r="F125" s="154" t="s">
        <v>1929</v>
      </c>
      <c r="G125" s="36" t="s">
        <v>32</v>
      </c>
      <c r="H125" s="36" t="s">
        <v>1655</v>
      </c>
      <c r="I125" s="36" t="s">
        <v>1656</v>
      </c>
      <c r="J125" s="36" t="s">
        <v>1656</v>
      </c>
      <c r="K125" s="36" t="s">
        <v>1732</v>
      </c>
      <c r="L125" s="36" t="s">
        <v>1669</v>
      </c>
      <c r="M125" s="36" t="s">
        <v>1669</v>
      </c>
      <c r="N125" s="36" t="s">
        <v>32</v>
      </c>
    </row>
    <row r="126">
      <c r="A126" s="36" t="s">
        <v>2002</v>
      </c>
      <c r="B126" s="154" t="s">
        <v>1987</v>
      </c>
      <c r="C126" s="36" t="s">
        <v>1666</v>
      </c>
      <c r="D126" s="36" t="s">
        <v>1435</v>
      </c>
      <c r="E126" s="36" t="s">
        <v>1435</v>
      </c>
      <c r="F126" s="154" t="s">
        <v>1959</v>
      </c>
      <c r="G126" s="36" t="s">
        <v>32</v>
      </c>
      <c r="H126" s="36" t="s">
        <v>1655</v>
      </c>
      <c r="I126" s="36" t="s">
        <v>1656</v>
      </c>
      <c r="J126" s="36" t="s">
        <v>1656</v>
      </c>
      <c r="K126" s="36" t="s">
        <v>1736</v>
      </c>
      <c r="L126" s="36" t="s">
        <v>1669</v>
      </c>
      <c r="M126" s="36" t="s">
        <v>1669</v>
      </c>
      <c r="N126" s="36" t="s">
        <v>32</v>
      </c>
    </row>
    <row r="127">
      <c r="A127" s="36" t="s">
        <v>2003</v>
      </c>
      <c r="B127" s="154" t="s">
        <v>1987</v>
      </c>
      <c r="C127" s="36" t="s">
        <v>1666</v>
      </c>
      <c r="D127" s="36" t="s">
        <v>1437</v>
      </c>
      <c r="E127" s="36" t="s">
        <v>1437</v>
      </c>
      <c r="F127" s="154" t="s">
        <v>2004</v>
      </c>
      <c r="G127" s="36" t="s">
        <v>28</v>
      </c>
      <c r="H127" s="36" t="s">
        <v>1655</v>
      </c>
      <c r="I127" s="36" t="s">
        <v>1656</v>
      </c>
      <c r="J127" s="36" t="s">
        <v>1656</v>
      </c>
      <c r="K127" s="36" t="s">
        <v>1739</v>
      </c>
      <c r="L127" s="36" t="s">
        <v>1669</v>
      </c>
      <c r="M127" s="36" t="s">
        <v>1669</v>
      </c>
      <c r="N127" s="36" t="s">
        <v>32</v>
      </c>
    </row>
    <row r="128">
      <c r="A128" s="36" t="s">
        <v>2005</v>
      </c>
      <c r="B128" s="154" t="s">
        <v>1987</v>
      </c>
      <c r="C128" s="36" t="s">
        <v>1666</v>
      </c>
      <c r="D128" s="36" t="s">
        <v>815</v>
      </c>
      <c r="E128" s="36" t="s">
        <v>815</v>
      </c>
      <c r="F128" s="154" t="s">
        <v>2006</v>
      </c>
      <c r="G128" s="36" t="s">
        <v>32</v>
      </c>
      <c r="H128" s="36" t="s">
        <v>1655</v>
      </c>
      <c r="I128" s="36" t="s">
        <v>1656</v>
      </c>
      <c r="J128" s="36" t="s">
        <v>1656</v>
      </c>
      <c r="K128" s="36" t="s">
        <v>1742</v>
      </c>
      <c r="L128" s="36" t="s">
        <v>1669</v>
      </c>
      <c r="M128" s="36" t="s">
        <v>1669</v>
      </c>
      <c r="N128" s="36" t="s">
        <v>32</v>
      </c>
    </row>
    <row r="129">
      <c r="A129" s="36" t="s">
        <v>2007</v>
      </c>
      <c r="B129" s="154" t="s">
        <v>1987</v>
      </c>
      <c r="C129" s="36" t="s">
        <v>1666</v>
      </c>
      <c r="D129" s="36" t="s">
        <v>1441</v>
      </c>
      <c r="E129" s="36" t="s">
        <v>1441</v>
      </c>
      <c r="F129" s="154" t="s">
        <v>1810</v>
      </c>
      <c r="G129" s="36" t="s">
        <v>32</v>
      </c>
      <c r="H129" s="36" t="s">
        <v>1655</v>
      </c>
      <c r="I129" s="36" t="s">
        <v>1656</v>
      </c>
      <c r="J129" s="36" t="s">
        <v>1656</v>
      </c>
      <c r="K129" s="36" t="s">
        <v>1745</v>
      </c>
      <c r="L129" s="36" t="s">
        <v>1669</v>
      </c>
      <c r="M129" s="36" t="s">
        <v>1669</v>
      </c>
      <c r="N129" s="36" t="s">
        <v>32</v>
      </c>
    </row>
    <row r="130">
      <c r="A130" s="36" t="s">
        <v>2008</v>
      </c>
      <c r="B130" s="154" t="s">
        <v>1987</v>
      </c>
      <c r="C130" s="36" t="s">
        <v>1666</v>
      </c>
      <c r="D130" s="36" t="s">
        <v>511</v>
      </c>
      <c r="E130" s="36" t="s">
        <v>511</v>
      </c>
      <c r="F130" s="154" t="s">
        <v>2009</v>
      </c>
      <c r="G130" s="36" t="s">
        <v>28</v>
      </c>
      <c r="H130" s="36" t="s">
        <v>1655</v>
      </c>
      <c r="I130" s="36" t="s">
        <v>1656</v>
      </c>
      <c r="J130" s="36" t="s">
        <v>1656</v>
      </c>
      <c r="K130" s="36" t="s">
        <v>1773</v>
      </c>
      <c r="L130" s="36" t="s">
        <v>1669</v>
      </c>
      <c r="M130" s="36" t="s">
        <v>1669</v>
      </c>
      <c r="N130" s="36" t="s">
        <v>32</v>
      </c>
    </row>
    <row r="131">
      <c r="A131" s="36" t="s">
        <v>2010</v>
      </c>
      <c r="B131" s="154" t="s">
        <v>1987</v>
      </c>
      <c r="C131" s="36" t="s">
        <v>1666</v>
      </c>
      <c r="D131" s="36" t="s">
        <v>505</v>
      </c>
      <c r="E131" s="36" t="s">
        <v>505</v>
      </c>
      <c r="F131" s="154" t="s">
        <v>2011</v>
      </c>
      <c r="G131" s="36" t="s">
        <v>34</v>
      </c>
      <c r="H131" s="36" t="s">
        <v>1655</v>
      </c>
      <c r="I131" s="36" t="s">
        <v>1656</v>
      </c>
      <c r="J131" s="36" t="s">
        <v>1656</v>
      </c>
      <c r="K131" s="36" t="s">
        <v>1776</v>
      </c>
      <c r="L131" s="36" t="s">
        <v>1669</v>
      </c>
      <c r="M131" s="36" t="s">
        <v>1669</v>
      </c>
      <c r="N131" s="36" t="s">
        <v>32</v>
      </c>
    </row>
    <row r="132">
      <c r="A132" s="36" t="s">
        <v>2012</v>
      </c>
      <c r="B132" s="154" t="s">
        <v>1987</v>
      </c>
      <c r="C132" s="36" t="s">
        <v>1666</v>
      </c>
      <c r="D132" s="36" t="s">
        <v>502</v>
      </c>
      <c r="E132" s="36" t="s">
        <v>502</v>
      </c>
      <c r="F132" s="154" t="s">
        <v>2013</v>
      </c>
      <c r="G132" s="36" t="s">
        <v>32</v>
      </c>
      <c r="H132" s="36" t="s">
        <v>1655</v>
      </c>
      <c r="I132" s="36" t="s">
        <v>1656</v>
      </c>
      <c r="J132" s="36" t="s">
        <v>1656</v>
      </c>
      <c r="K132" s="36" t="s">
        <v>1779</v>
      </c>
      <c r="L132" s="36" t="s">
        <v>1669</v>
      </c>
      <c r="M132" s="36" t="s">
        <v>1669</v>
      </c>
      <c r="N132" s="36" t="s">
        <v>32</v>
      </c>
    </row>
    <row r="133">
      <c r="A133" s="36" t="s">
        <v>2014</v>
      </c>
      <c r="B133" s="154" t="s">
        <v>1987</v>
      </c>
      <c r="C133" s="36" t="s">
        <v>1666</v>
      </c>
      <c r="D133" s="36" t="s">
        <v>1222</v>
      </c>
      <c r="E133" s="36" t="s">
        <v>1222</v>
      </c>
      <c r="F133" s="154" t="s">
        <v>2015</v>
      </c>
      <c r="G133" s="36" t="s">
        <v>32</v>
      </c>
      <c r="H133" s="36" t="s">
        <v>1655</v>
      </c>
      <c r="I133" s="36" t="s">
        <v>1656</v>
      </c>
      <c r="J133" s="36" t="s">
        <v>1656</v>
      </c>
      <c r="K133" s="36" t="s">
        <v>1782</v>
      </c>
      <c r="L133" s="36" t="s">
        <v>1669</v>
      </c>
      <c r="M133" s="36" t="s">
        <v>1669</v>
      </c>
      <c r="N133" s="36" t="s">
        <v>32</v>
      </c>
    </row>
    <row r="134">
      <c r="A134" s="36" t="s">
        <v>2016</v>
      </c>
      <c r="B134" s="154" t="s">
        <v>1987</v>
      </c>
      <c r="C134" s="36" t="s">
        <v>1666</v>
      </c>
      <c r="D134" s="36" t="s">
        <v>1449</v>
      </c>
      <c r="E134" s="36" t="s">
        <v>1449</v>
      </c>
      <c r="F134" s="154" t="s">
        <v>2017</v>
      </c>
      <c r="G134" s="36" t="s">
        <v>34</v>
      </c>
      <c r="H134" s="36" t="s">
        <v>1655</v>
      </c>
      <c r="I134" s="36" t="s">
        <v>1656</v>
      </c>
      <c r="J134" s="36" t="s">
        <v>1656</v>
      </c>
      <c r="K134" s="36" t="s">
        <v>1784</v>
      </c>
      <c r="L134" s="36" t="s">
        <v>1669</v>
      </c>
      <c r="M134" s="36" t="s">
        <v>1669</v>
      </c>
      <c r="N134" s="36" t="s">
        <v>32</v>
      </c>
    </row>
    <row r="135">
      <c r="A135" s="36" t="s">
        <v>2018</v>
      </c>
      <c r="B135" s="154" t="s">
        <v>2019</v>
      </c>
      <c r="C135" s="36" t="s">
        <v>1666</v>
      </c>
      <c r="D135" s="36" t="s">
        <v>1431</v>
      </c>
      <c r="E135" s="36" t="s">
        <v>1431</v>
      </c>
      <c r="F135" s="154" t="s">
        <v>1810</v>
      </c>
      <c r="G135" s="36" t="s">
        <v>28</v>
      </c>
      <c r="H135" s="36" t="s">
        <v>1655</v>
      </c>
      <c r="I135" s="36" t="s">
        <v>1656</v>
      </c>
      <c r="J135" s="36" t="s">
        <v>1656</v>
      </c>
      <c r="K135" s="36" t="s">
        <v>1787</v>
      </c>
      <c r="L135" s="36" t="s">
        <v>1669</v>
      </c>
      <c r="M135" s="36" t="s">
        <v>1669</v>
      </c>
      <c r="N135" s="36" t="s">
        <v>32</v>
      </c>
    </row>
    <row r="136">
      <c r="A136" s="36" t="s">
        <v>2020</v>
      </c>
      <c r="B136" s="154" t="s">
        <v>2019</v>
      </c>
      <c r="C136" s="36" t="s">
        <v>1666</v>
      </c>
      <c r="D136" s="36" t="s">
        <v>124</v>
      </c>
      <c r="E136" s="36" t="s">
        <v>124</v>
      </c>
      <c r="F136" s="154" t="s">
        <v>2021</v>
      </c>
      <c r="G136" s="36" t="s">
        <v>32</v>
      </c>
      <c r="H136" s="36" t="s">
        <v>1655</v>
      </c>
      <c r="I136" s="36" t="s">
        <v>1656</v>
      </c>
      <c r="J136" s="36" t="s">
        <v>1656</v>
      </c>
      <c r="K136" s="36" t="s">
        <v>1790</v>
      </c>
      <c r="L136" s="36" t="s">
        <v>1669</v>
      </c>
      <c r="M136" s="36" t="s">
        <v>1669</v>
      </c>
      <c r="N136" s="36" t="s">
        <v>32</v>
      </c>
    </row>
    <row r="137">
      <c r="A137" s="36" t="s">
        <v>2022</v>
      </c>
      <c r="B137" s="154" t="s">
        <v>2023</v>
      </c>
      <c r="C137" s="36" t="s">
        <v>1666</v>
      </c>
      <c r="D137" s="36" t="s">
        <v>1098</v>
      </c>
      <c r="E137" s="36" t="s">
        <v>1098</v>
      </c>
      <c r="F137" s="154" t="s">
        <v>1816</v>
      </c>
      <c r="G137" s="36" t="s">
        <v>28</v>
      </c>
      <c r="H137" s="36" t="s">
        <v>1655</v>
      </c>
      <c r="I137" s="36" t="s">
        <v>1656</v>
      </c>
      <c r="J137" s="36" t="s">
        <v>1656</v>
      </c>
      <c r="K137" s="36" t="s">
        <v>1793</v>
      </c>
      <c r="L137" s="36" t="s">
        <v>1669</v>
      </c>
      <c r="M137" s="36" t="s">
        <v>1669</v>
      </c>
      <c r="N137" s="36" t="s">
        <v>34</v>
      </c>
    </row>
    <row r="138">
      <c r="A138" s="36" t="s">
        <v>2024</v>
      </c>
      <c r="B138" s="154" t="s">
        <v>2023</v>
      </c>
      <c r="C138" s="36" t="s">
        <v>1666</v>
      </c>
      <c r="D138" s="36" t="s">
        <v>310</v>
      </c>
      <c r="E138" s="36" t="s">
        <v>310</v>
      </c>
      <c r="F138" s="154" t="s">
        <v>2025</v>
      </c>
      <c r="G138" s="36" t="s">
        <v>28</v>
      </c>
      <c r="H138" s="36" t="s">
        <v>1655</v>
      </c>
      <c r="I138" s="36" t="s">
        <v>1656</v>
      </c>
      <c r="J138" s="36" t="s">
        <v>1656</v>
      </c>
      <c r="K138" s="36" t="s">
        <v>1796</v>
      </c>
      <c r="L138" s="36" t="s">
        <v>1669</v>
      </c>
      <c r="M138" s="36" t="s">
        <v>1669</v>
      </c>
      <c r="N138" s="36" t="s">
        <v>34</v>
      </c>
    </row>
    <row r="139">
      <c r="A139" s="36" t="s">
        <v>2026</v>
      </c>
      <c r="B139" s="154" t="s">
        <v>2023</v>
      </c>
      <c r="C139" s="36" t="s">
        <v>1666</v>
      </c>
      <c r="D139" s="36" t="s">
        <v>1462</v>
      </c>
      <c r="E139" s="36" t="s">
        <v>1462</v>
      </c>
      <c r="F139" s="154" t="s">
        <v>2027</v>
      </c>
      <c r="G139" s="36" t="s">
        <v>34</v>
      </c>
      <c r="H139" s="36" t="s">
        <v>1655</v>
      </c>
      <c r="I139" s="36" t="s">
        <v>1656</v>
      </c>
      <c r="J139" s="36" t="s">
        <v>1656</v>
      </c>
      <c r="K139" s="36" t="s">
        <v>1800</v>
      </c>
      <c r="L139" s="36" t="s">
        <v>1669</v>
      </c>
      <c r="M139" s="36" t="s">
        <v>1669</v>
      </c>
      <c r="N139" s="36" t="s">
        <v>32</v>
      </c>
    </row>
    <row r="140">
      <c r="A140" s="36" t="s">
        <v>2028</v>
      </c>
      <c r="B140" s="154" t="s">
        <v>2023</v>
      </c>
      <c r="C140" s="36" t="s">
        <v>1666</v>
      </c>
      <c r="D140" s="36" t="s">
        <v>1463</v>
      </c>
      <c r="E140" s="36" t="s">
        <v>1463</v>
      </c>
      <c r="F140" s="154" t="s">
        <v>2029</v>
      </c>
      <c r="G140" s="36" t="s">
        <v>34</v>
      </c>
      <c r="H140" s="36" t="s">
        <v>1655</v>
      </c>
      <c r="I140" s="36" t="s">
        <v>1656</v>
      </c>
      <c r="J140" s="36" t="s">
        <v>1656</v>
      </c>
      <c r="K140" s="36" t="s">
        <v>1803</v>
      </c>
      <c r="L140" s="36" t="s">
        <v>1669</v>
      </c>
      <c r="M140" s="36" t="s">
        <v>1669</v>
      </c>
      <c r="N140" s="36" t="s">
        <v>32</v>
      </c>
    </row>
    <row r="141">
      <c r="A141" s="36" t="s">
        <v>2030</v>
      </c>
      <c r="B141" s="154" t="s">
        <v>2031</v>
      </c>
      <c r="C141" s="36" t="s">
        <v>1666</v>
      </c>
      <c r="D141" s="36" t="s">
        <v>299</v>
      </c>
      <c r="E141" s="36" t="s">
        <v>299</v>
      </c>
      <c r="F141" s="154" t="s">
        <v>1778</v>
      </c>
      <c r="G141" s="36" t="s">
        <v>28</v>
      </c>
      <c r="H141" s="36" t="s">
        <v>1655</v>
      </c>
      <c r="I141" s="36" t="s">
        <v>1656</v>
      </c>
      <c r="J141" s="36" t="s">
        <v>1656</v>
      </c>
      <c r="K141" s="36" t="s">
        <v>1807</v>
      </c>
      <c r="L141" s="36" t="s">
        <v>1669</v>
      </c>
      <c r="M141" s="36" t="s">
        <v>1669</v>
      </c>
      <c r="N141" s="36" t="s">
        <v>32</v>
      </c>
    </row>
    <row r="142">
      <c r="A142" s="36" t="s">
        <v>2032</v>
      </c>
      <c r="B142" s="154" t="s">
        <v>2031</v>
      </c>
      <c r="C142" s="36" t="s">
        <v>1666</v>
      </c>
      <c r="D142" s="36" t="s">
        <v>966</v>
      </c>
      <c r="E142" s="36" t="s">
        <v>966</v>
      </c>
      <c r="F142" s="154" t="s">
        <v>1971</v>
      </c>
      <c r="G142" s="36" t="s">
        <v>28</v>
      </c>
      <c r="H142" s="36" t="s">
        <v>1655</v>
      </c>
      <c r="I142" s="36" t="s">
        <v>1656</v>
      </c>
      <c r="J142" s="36" t="s">
        <v>1656</v>
      </c>
      <c r="K142" s="36" t="s">
        <v>1814</v>
      </c>
      <c r="L142" s="36" t="s">
        <v>1669</v>
      </c>
      <c r="M142" s="36" t="s">
        <v>1669</v>
      </c>
      <c r="N142" s="36" t="s">
        <v>34</v>
      </c>
    </row>
    <row r="143">
      <c r="A143" s="36" t="s">
        <v>2033</v>
      </c>
      <c r="B143" s="154" t="s">
        <v>2031</v>
      </c>
      <c r="C143" s="36" t="s">
        <v>1666</v>
      </c>
      <c r="D143" s="36" t="s">
        <v>594</v>
      </c>
      <c r="E143" s="36" t="s">
        <v>594</v>
      </c>
      <c r="F143" s="154" t="s">
        <v>1768</v>
      </c>
      <c r="G143" s="36" t="s">
        <v>28</v>
      </c>
      <c r="H143" s="36" t="s">
        <v>1655</v>
      </c>
      <c r="I143" s="36" t="s">
        <v>1656</v>
      </c>
      <c r="J143" s="36" t="s">
        <v>1656</v>
      </c>
      <c r="K143" s="36" t="s">
        <v>1817</v>
      </c>
      <c r="L143" s="36" t="s">
        <v>1669</v>
      </c>
      <c r="M143" s="36" t="s">
        <v>1669</v>
      </c>
      <c r="N143" s="36" t="s">
        <v>34</v>
      </c>
    </row>
    <row r="144">
      <c r="A144" s="36" t="s">
        <v>2034</v>
      </c>
      <c r="B144" s="154" t="s">
        <v>2031</v>
      </c>
      <c r="C144" s="36" t="s">
        <v>1666</v>
      </c>
      <c r="D144" s="36" t="s">
        <v>201</v>
      </c>
      <c r="E144" s="36" t="s">
        <v>201</v>
      </c>
      <c r="F144" s="154" t="s">
        <v>2035</v>
      </c>
      <c r="G144" s="36" t="s">
        <v>28</v>
      </c>
      <c r="H144" s="36" t="s">
        <v>1655</v>
      </c>
      <c r="I144" s="36" t="s">
        <v>1656</v>
      </c>
      <c r="J144" s="36" t="s">
        <v>1656</v>
      </c>
      <c r="K144" s="36" t="s">
        <v>1820</v>
      </c>
      <c r="L144" s="36" t="s">
        <v>1669</v>
      </c>
      <c r="M144" s="36" t="s">
        <v>1669</v>
      </c>
      <c r="N144" s="36" t="s">
        <v>32</v>
      </c>
    </row>
    <row r="145">
      <c r="A145" s="36" t="s">
        <v>2036</v>
      </c>
      <c r="B145" s="154" t="s">
        <v>2037</v>
      </c>
      <c r="C145" s="36" t="s">
        <v>1666</v>
      </c>
      <c r="D145" s="36" t="s">
        <v>78</v>
      </c>
      <c r="E145" s="36" t="s">
        <v>78</v>
      </c>
      <c r="F145" s="154" t="s">
        <v>1810</v>
      </c>
      <c r="G145" s="36" t="s">
        <v>28</v>
      </c>
      <c r="H145" s="36" t="s">
        <v>1655</v>
      </c>
      <c r="I145" s="36" t="s">
        <v>1656</v>
      </c>
      <c r="J145" s="36" t="s">
        <v>1656</v>
      </c>
      <c r="K145" s="36" t="s">
        <v>1811</v>
      </c>
      <c r="L145" s="36" t="s">
        <v>1669</v>
      </c>
      <c r="M145" s="36" t="s">
        <v>1669</v>
      </c>
      <c r="N145" s="36" t="s">
        <v>32</v>
      </c>
    </row>
    <row r="146">
      <c r="A146" s="36" t="s">
        <v>2038</v>
      </c>
      <c r="B146" s="154" t="s">
        <v>2037</v>
      </c>
      <c r="C146" s="36" t="s">
        <v>1666</v>
      </c>
      <c r="D146" s="36" t="s">
        <v>1477</v>
      </c>
      <c r="E146" s="36" t="s">
        <v>1477</v>
      </c>
      <c r="F146" s="154" t="s">
        <v>2039</v>
      </c>
      <c r="G146" s="36" t="s">
        <v>28</v>
      </c>
      <c r="H146" s="36" t="s">
        <v>1655</v>
      </c>
      <c r="I146" s="36" t="s">
        <v>1656</v>
      </c>
      <c r="J146" s="36" t="s">
        <v>1656</v>
      </c>
      <c r="K146" s="36" t="s">
        <v>1823</v>
      </c>
      <c r="L146" s="36" t="s">
        <v>1669</v>
      </c>
      <c r="M146" s="36" t="s">
        <v>1669</v>
      </c>
      <c r="N146" s="36" t="s">
        <v>32</v>
      </c>
    </row>
    <row r="147">
      <c r="A147" s="36" t="s">
        <v>2040</v>
      </c>
      <c r="B147" s="154" t="s">
        <v>2037</v>
      </c>
      <c r="C147" s="36" t="s">
        <v>1666</v>
      </c>
      <c r="D147" s="36" t="s">
        <v>832</v>
      </c>
      <c r="E147" s="36" t="s">
        <v>832</v>
      </c>
      <c r="F147" s="154" t="s">
        <v>1932</v>
      </c>
      <c r="G147" s="36" t="s">
        <v>28</v>
      </c>
      <c r="H147" s="36" t="s">
        <v>1655</v>
      </c>
      <c r="I147" s="36" t="s">
        <v>1656</v>
      </c>
      <c r="J147" s="36" t="s">
        <v>1656</v>
      </c>
      <c r="K147" s="36" t="s">
        <v>1826</v>
      </c>
      <c r="L147" s="36" t="s">
        <v>1669</v>
      </c>
      <c r="M147" s="36" t="s">
        <v>1669</v>
      </c>
      <c r="N147" s="36" t="s">
        <v>32</v>
      </c>
    </row>
    <row r="148">
      <c r="A148" s="36" t="s">
        <v>2041</v>
      </c>
      <c r="B148" s="154" t="s">
        <v>2037</v>
      </c>
      <c r="C148" s="36" t="s">
        <v>1666</v>
      </c>
      <c r="D148" s="36" t="s">
        <v>209</v>
      </c>
      <c r="E148" s="36" t="s">
        <v>209</v>
      </c>
      <c r="F148" s="154" t="s">
        <v>2042</v>
      </c>
      <c r="G148" s="36" t="s">
        <v>28</v>
      </c>
      <c r="H148" s="36" t="s">
        <v>1655</v>
      </c>
      <c r="I148" s="36" t="s">
        <v>1656</v>
      </c>
      <c r="J148" s="36" t="s">
        <v>1656</v>
      </c>
      <c r="K148" s="36" t="s">
        <v>1830</v>
      </c>
      <c r="L148" s="36" t="s">
        <v>1669</v>
      </c>
      <c r="M148" s="36" t="s">
        <v>1669</v>
      </c>
      <c r="N148" s="36" t="s">
        <v>32</v>
      </c>
    </row>
    <row r="149">
      <c r="A149" s="36" t="s">
        <v>2043</v>
      </c>
      <c r="B149" s="154" t="s">
        <v>2037</v>
      </c>
      <c r="C149" s="36" t="s">
        <v>1666</v>
      </c>
      <c r="D149" s="36" t="s">
        <v>1483</v>
      </c>
      <c r="E149" s="36" t="s">
        <v>1483</v>
      </c>
      <c r="F149" s="154" t="s">
        <v>2044</v>
      </c>
      <c r="G149" s="36" t="s">
        <v>28</v>
      </c>
      <c r="H149" s="36" t="s">
        <v>1655</v>
      </c>
      <c r="I149" s="36" t="s">
        <v>1656</v>
      </c>
      <c r="J149" s="36" t="s">
        <v>1656</v>
      </c>
      <c r="K149" s="36" t="s">
        <v>1833</v>
      </c>
      <c r="L149" s="36" t="s">
        <v>1669</v>
      </c>
      <c r="M149" s="36" t="s">
        <v>1669</v>
      </c>
      <c r="N149" s="36" t="s">
        <v>34</v>
      </c>
    </row>
    <row r="150">
      <c r="A150" s="36" t="s">
        <v>2045</v>
      </c>
      <c r="B150" s="154" t="s">
        <v>2037</v>
      </c>
      <c r="C150" s="36" t="s">
        <v>1666</v>
      </c>
      <c r="D150" s="36" t="s">
        <v>1488</v>
      </c>
      <c r="E150" s="36" t="s">
        <v>1488</v>
      </c>
      <c r="F150" s="154" t="s">
        <v>2046</v>
      </c>
      <c r="G150" s="36" t="s">
        <v>28</v>
      </c>
      <c r="H150" s="36" t="s">
        <v>1655</v>
      </c>
      <c r="I150" s="36" t="s">
        <v>1656</v>
      </c>
      <c r="J150" s="36" t="s">
        <v>1656</v>
      </c>
      <c r="K150" s="36" t="s">
        <v>1836</v>
      </c>
      <c r="L150" s="36" t="s">
        <v>1669</v>
      </c>
      <c r="M150" s="36" t="s">
        <v>1669</v>
      </c>
      <c r="N150" s="36" t="s">
        <v>32</v>
      </c>
    </row>
    <row r="151">
      <c r="A151" s="36" t="s">
        <v>2047</v>
      </c>
      <c r="B151" s="154" t="s">
        <v>2037</v>
      </c>
      <c r="C151" s="36" t="s">
        <v>1666</v>
      </c>
      <c r="D151" s="36" t="s">
        <v>1491</v>
      </c>
      <c r="E151" s="36" t="s">
        <v>1491</v>
      </c>
      <c r="F151" s="154" t="s">
        <v>1816</v>
      </c>
      <c r="G151" s="36" t="s">
        <v>28</v>
      </c>
      <c r="H151" s="36" t="s">
        <v>1655</v>
      </c>
      <c r="I151" s="36" t="s">
        <v>1656</v>
      </c>
      <c r="J151" s="36" t="s">
        <v>1656</v>
      </c>
      <c r="K151" s="36" t="s">
        <v>1839</v>
      </c>
      <c r="L151" s="36" t="s">
        <v>1669</v>
      </c>
      <c r="M151" s="36" t="s">
        <v>1669</v>
      </c>
      <c r="N151" s="36" t="s">
        <v>32</v>
      </c>
    </row>
    <row r="152">
      <c r="A152" s="36" t="s">
        <v>2048</v>
      </c>
      <c r="B152" s="154" t="s">
        <v>2037</v>
      </c>
      <c r="C152" s="36" t="s">
        <v>1666</v>
      </c>
      <c r="D152" s="36" t="s">
        <v>1492</v>
      </c>
      <c r="E152" s="36" t="s">
        <v>1492</v>
      </c>
      <c r="F152" s="154" t="s">
        <v>2049</v>
      </c>
      <c r="G152" s="36" t="s">
        <v>28</v>
      </c>
      <c r="H152" s="36" t="s">
        <v>1655</v>
      </c>
      <c r="I152" s="36" t="s">
        <v>1656</v>
      </c>
      <c r="J152" s="36" t="s">
        <v>1656</v>
      </c>
      <c r="K152" s="36" t="s">
        <v>1842</v>
      </c>
      <c r="L152" s="36" t="s">
        <v>1669</v>
      </c>
      <c r="M152" s="36" t="s">
        <v>1669</v>
      </c>
      <c r="N152" s="36" t="s">
        <v>34</v>
      </c>
    </row>
    <row r="153">
      <c r="A153" s="36" t="s">
        <v>2050</v>
      </c>
      <c r="B153" s="154" t="s">
        <v>2051</v>
      </c>
      <c r="C153" s="36" t="s">
        <v>1666</v>
      </c>
      <c r="D153" s="36" t="s">
        <v>1494</v>
      </c>
      <c r="E153" s="36" t="s">
        <v>1494</v>
      </c>
      <c r="F153" s="154" t="s">
        <v>1816</v>
      </c>
      <c r="G153" s="36" t="s">
        <v>32</v>
      </c>
      <c r="H153" s="36" t="s">
        <v>1655</v>
      </c>
      <c r="I153" s="36" t="s">
        <v>1656</v>
      </c>
      <c r="J153" s="36" t="s">
        <v>1656</v>
      </c>
      <c r="K153" s="36" t="s">
        <v>1845</v>
      </c>
      <c r="L153" s="36" t="s">
        <v>1669</v>
      </c>
      <c r="M153" s="36" t="s">
        <v>1669</v>
      </c>
      <c r="N153" s="36" t="s">
        <v>32</v>
      </c>
    </row>
    <row r="154">
      <c r="A154" s="36" t="s">
        <v>2052</v>
      </c>
      <c r="B154" s="154" t="s">
        <v>2051</v>
      </c>
      <c r="C154" s="36" t="s">
        <v>1666</v>
      </c>
      <c r="D154" s="36" t="s">
        <v>1497</v>
      </c>
      <c r="E154" s="36" t="s">
        <v>1497</v>
      </c>
      <c r="F154" s="154" t="s">
        <v>2053</v>
      </c>
      <c r="G154" s="36" t="s">
        <v>28</v>
      </c>
      <c r="H154" s="36" t="s">
        <v>1655</v>
      </c>
      <c r="I154" s="36" t="s">
        <v>1656</v>
      </c>
      <c r="J154" s="36" t="s">
        <v>1656</v>
      </c>
      <c r="K154" s="36" t="s">
        <v>1848</v>
      </c>
      <c r="L154" s="36" t="s">
        <v>1669</v>
      </c>
      <c r="M154" s="36" t="s">
        <v>1669</v>
      </c>
      <c r="N154" s="36" t="s">
        <v>32</v>
      </c>
    </row>
    <row r="155">
      <c r="A155" s="36" t="s">
        <v>2054</v>
      </c>
      <c r="B155" s="154" t="s">
        <v>2055</v>
      </c>
      <c r="C155" s="36" t="s">
        <v>1666</v>
      </c>
      <c r="D155" s="36" t="s">
        <v>1501</v>
      </c>
      <c r="E155" s="36" t="s">
        <v>1501</v>
      </c>
      <c r="F155" s="154" t="s">
        <v>1686</v>
      </c>
      <c r="G155" s="36" t="s">
        <v>28</v>
      </c>
      <c r="H155" s="36" t="s">
        <v>1655</v>
      </c>
      <c r="I155" s="36" t="s">
        <v>1656</v>
      </c>
      <c r="J155" s="36" t="s">
        <v>1656</v>
      </c>
      <c r="K155" s="36" t="s">
        <v>1851</v>
      </c>
      <c r="L155" s="36" t="s">
        <v>1669</v>
      </c>
      <c r="M155" s="36" t="s">
        <v>1669</v>
      </c>
      <c r="N155" s="36" t="s">
        <v>32</v>
      </c>
    </row>
    <row r="156">
      <c r="A156" s="36" t="s">
        <v>2056</v>
      </c>
      <c r="B156" s="154" t="s">
        <v>2057</v>
      </c>
      <c r="C156" s="36" t="s">
        <v>1666</v>
      </c>
      <c r="D156" s="36" t="s">
        <v>108</v>
      </c>
      <c r="E156" s="36" t="s">
        <v>108</v>
      </c>
      <c r="F156" s="154" t="s">
        <v>1683</v>
      </c>
      <c r="G156" s="36" t="s">
        <v>28</v>
      </c>
      <c r="H156" s="36" t="s">
        <v>1655</v>
      </c>
      <c r="I156" s="36" t="s">
        <v>1656</v>
      </c>
      <c r="J156" s="36" t="s">
        <v>1656</v>
      </c>
      <c r="K156" s="36" t="s">
        <v>1854</v>
      </c>
      <c r="L156" s="36" t="s">
        <v>1669</v>
      </c>
      <c r="M156" s="36" t="s">
        <v>1669</v>
      </c>
      <c r="N156" s="36" t="s">
        <v>32</v>
      </c>
    </row>
    <row r="157">
      <c r="A157" s="36" t="s">
        <v>2058</v>
      </c>
      <c r="B157" s="154" t="s">
        <v>2059</v>
      </c>
      <c r="C157" s="36" t="s">
        <v>1666</v>
      </c>
      <c r="D157" s="36" t="s">
        <v>832</v>
      </c>
      <c r="E157" s="36" t="s">
        <v>832</v>
      </c>
      <c r="F157" s="154" t="s">
        <v>1744</v>
      </c>
      <c r="G157" s="36" t="s">
        <v>28</v>
      </c>
      <c r="H157" s="36" t="s">
        <v>1655</v>
      </c>
      <c r="I157" s="36" t="s">
        <v>1656</v>
      </c>
      <c r="J157" s="36" t="s">
        <v>1656</v>
      </c>
      <c r="K157" s="36" t="s">
        <v>1857</v>
      </c>
      <c r="L157" s="36" t="s">
        <v>1669</v>
      </c>
      <c r="M157" s="36" t="s">
        <v>1669</v>
      </c>
      <c r="N157" s="36" t="s">
        <v>32</v>
      </c>
    </row>
    <row r="158">
      <c r="A158" s="36" t="s">
        <v>2060</v>
      </c>
      <c r="B158" s="154" t="s">
        <v>2059</v>
      </c>
      <c r="C158" s="36" t="s">
        <v>1666</v>
      </c>
      <c r="D158" s="36" t="s">
        <v>1506</v>
      </c>
      <c r="E158" s="36" t="s">
        <v>1506</v>
      </c>
      <c r="F158" s="154" t="s">
        <v>2061</v>
      </c>
      <c r="G158" s="36" t="s">
        <v>28</v>
      </c>
      <c r="H158" s="36" t="s">
        <v>1655</v>
      </c>
      <c r="I158" s="36" t="s">
        <v>1656</v>
      </c>
      <c r="J158" s="36" t="s">
        <v>1656</v>
      </c>
      <c r="K158" s="36" t="s">
        <v>1860</v>
      </c>
      <c r="L158" s="36" t="s">
        <v>1669</v>
      </c>
      <c r="M158" s="36" t="s">
        <v>1669</v>
      </c>
      <c r="N158" s="36" t="s">
        <v>32</v>
      </c>
    </row>
    <row r="159">
      <c r="A159" s="36" t="s">
        <v>2062</v>
      </c>
      <c r="B159" s="154" t="s">
        <v>2059</v>
      </c>
      <c r="C159" s="36" t="s">
        <v>1666</v>
      </c>
      <c r="D159" s="36" t="s">
        <v>1507</v>
      </c>
      <c r="E159" s="36" t="s">
        <v>1507</v>
      </c>
      <c r="F159" s="154" t="s">
        <v>2063</v>
      </c>
      <c r="G159" s="36" t="s">
        <v>34</v>
      </c>
      <c r="H159" s="36" t="s">
        <v>1655</v>
      </c>
      <c r="I159" s="36" t="s">
        <v>1656</v>
      </c>
      <c r="J159" s="36" t="s">
        <v>1656</v>
      </c>
      <c r="K159" s="36" t="s">
        <v>1863</v>
      </c>
      <c r="L159" s="36" t="s">
        <v>1669</v>
      </c>
      <c r="M159" s="36" t="s">
        <v>1669</v>
      </c>
      <c r="N159" s="36" t="s">
        <v>32</v>
      </c>
    </row>
    <row r="160">
      <c r="A160" s="36" t="s">
        <v>2064</v>
      </c>
      <c r="B160" s="154" t="s">
        <v>2059</v>
      </c>
      <c r="C160" s="36" t="s">
        <v>1666</v>
      </c>
      <c r="D160" s="36" t="s">
        <v>108</v>
      </c>
      <c r="E160" s="36" t="s">
        <v>108</v>
      </c>
      <c r="F160" s="154" t="s">
        <v>1799</v>
      </c>
      <c r="G160" s="36" t="s">
        <v>28</v>
      </c>
      <c r="H160" s="36" t="s">
        <v>1655</v>
      </c>
      <c r="I160" s="36" t="s">
        <v>1656</v>
      </c>
      <c r="J160" s="36" t="s">
        <v>1656</v>
      </c>
      <c r="K160" s="36" t="s">
        <v>1866</v>
      </c>
      <c r="L160" s="36" t="s">
        <v>1669</v>
      </c>
      <c r="M160" s="36" t="s">
        <v>1669</v>
      </c>
      <c r="N160" s="36" t="s">
        <v>32</v>
      </c>
    </row>
    <row r="161">
      <c r="A161" s="36" t="s">
        <v>2065</v>
      </c>
      <c r="B161" s="154" t="s">
        <v>2059</v>
      </c>
      <c r="C161" s="36" t="s">
        <v>1666</v>
      </c>
      <c r="D161" s="36" t="s">
        <v>1511</v>
      </c>
      <c r="E161" s="36" t="s">
        <v>1511</v>
      </c>
      <c r="F161" s="154" t="s">
        <v>2066</v>
      </c>
      <c r="G161" s="36" t="s">
        <v>28</v>
      </c>
      <c r="H161" s="36" t="s">
        <v>1655</v>
      </c>
      <c r="I161" s="36" t="s">
        <v>1656</v>
      </c>
      <c r="J161" s="36" t="s">
        <v>1656</v>
      </c>
      <c r="K161" s="36" t="s">
        <v>1869</v>
      </c>
      <c r="L161" s="36" t="s">
        <v>1669</v>
      </c>
      <c r="M161" s="36" t="s">
        <v>1669</v>
      </c>
      <c r="N161" s="36" t="s">
        <v>32</v>
      </c>
    </row>
    <row r="162">
      <c r="A162" s="36" t="s">
        <v>2067</v>
      </c>
      <c r="B162" s="154" t="s">
        <v>2059</v>
      </c>
      <c r="C162" s="36" t="s">
        <v>1666</v>
      </c>
      <c r="D162" s="36" t="s">
        <v>1513</v>
      </c>
      <c r="E162" s="36" t="s">
        <v>1513</v>
      </c>
      <c r="F162" s="154" t="s">
        <v>2068</v>
      </c>
      <c r="G162" s="36" t="s">
        <v>28</v>
      </c>
      <c r="H162" s="36" t="s">
        <v>1655</v>
      </c>
      <c r="I162" s="36" t="s">
        <v>1656</v>
      </c>
      <c r="J162" s="36" t="s">
        <v>1656</v>
      </c>
      <c r="K162" s="36" t="s">
        <v>1872</v>
      </c>
      <c r="L162" s="36" t="s">
        <v>1669</v>
      </c>
      <c r="M162" s="36" t="s">
        <v>1669</v>
      </c>
      <c r="N162" s="36" t="s">
        <v>32</v>
      </c>
    </row>
    <row r="163">
      <c r="A163" s="36" t="s">
        <v>2069</v>
      </c>
      <c r="B163" s="154" t="s">
        <v>2059</v>
      </c>
      <c r="C163" s="36" t="s">
        <v>1666</v>
      </c>
      <c r="D163" s="36" t="s">
        <v>1515</v>
      </c>
      <c r="E163" s="36" t="s">
        <v>1515</v>
      </c>
      <c r="F163" s="154" t="s">
        <v>1686</v>
      </c>
      <c r="G163" s="36" t="s">
        <v>32</v>
      </c>
      <c r="H163" s="36" t="s">
        <v>1655</v>
      </c>
      <c r="I163" s="36" t="s">
        <v>1656</v>
      </c>
      <c r="J163" s="36" t="s">
        <v>1656</v>
      </c>
      <c r="K163" s="36" t="s">
        <v>1875</v>
      </c>
      <c r="L163" s="36" t="s">
        <v>1669</v>
      </c>
      <c r="M163" s="36" t="s">
        <v>1669</v>
      </c>
      <c r="N163" s="36" t="s">
        <v>32</v>
      </c>
    </row>
    <row r="164">
      <c r="A164" s="36" t="s">
        <v>2070</v>
      </c>
      <c r="B164" s="154" t="s">
        <v>2071</v>
      </c>
      <c r="C164" s="36" t="s">
        <v>1666</v>
      </c>
      <c r="D164" s="36" t="s">
        <v>1409</v>
      </c>
      <c r="E164" s="36" t="s">
        <v>1409</v>
      </c>
      <c r="F164" s="154" t="s">
        <v>1926</v>
      </c>
      <c r="G164" s="36" t="s">
        <v>28</v>
      </c>
      <c r="H164" s="36" t="s">
        <v>1655</v>
      </c>
      <c r="I164" s="36" t="s">
        <v>1656</v>
      </c>
      <c r="J164" s="36" t="s">
        <v>1656</v>
      </c>
      <c r="K164" s="36" t="s">
        <v>1878</v>
      </c>
      <c r="L164" s="36" t="s">
        <v>1669</v>
      </c>
      <c r="M164" s="36" t="s">
        <v>1669</v>
      </c>
      <c r="N164" s="36" t="s">
        <v>34</v>
      </c>
    </row>
    <row r="165">
      <c r="A165" s="36" t="s">
        <v>2072</v>
      </c>
      <c r="B165" s="154" t="s">
        <v>2071</v>
      </c>
      <c r="C165" s="36" t="s">
        <v>1666</v>
      </c>
      <c r="D165" s="36" t="s">
        <v>966</v>
      </c>
      <c r="E165" s="36" t="s">
        <v>966</v>
      </c>
      <c r="F165" s="154" t="s">
        <v>1926</v>
      </c>
      <c r="G165" s="36" t="s">
        <v>28</v>
      </c>
      <c r="H165" s="36" t="s">
        <v>1655</v>
      </c>
      <c r="I165" s="36" t="s">
        <v>1656</v>
      </c>
      <c r="J165" s="36" t="s">
        <v>1656</v>
      </c>
      <c r="K165" s="36" t="s">
        <v>1881</v>
      </c>
      <c r="L165" s="36" t="s">
        <v>1669</v>
      </c>
      <c r="M165" s="36" t="s">
        <v>1669</v>
      </c>
      <c r="N165" s="36" t="s">
        <v>34</v>
      </c>
    </row>
    <row r="166">
      <c r="A166" s="36" t="s">
        <v>2073</v>
      </c>
      <c r="B166" s="154" t="s">
        <v>2074</v>
      </c>
      <c r="C166" s="36" t="s">
        <v>1666</v>
      </c>
      <c r="D166" s="36" t="s">
        <v>1522</v>
      </c>
      <c r="E166" s="36" t="s">
        <v>1522</v>
      </c>
      <c r="F166" s="154" t="s">
        <v>2004</v>
      </c>
      <c r="G166" s="36" t="s">
        <v>28</v>
      </c>
      <c r="H166" s="36" t="s">
        <v>1655</v>
      </c>
      <c r="I166" s="36" t="s">
        <v>1656</v>
      </c>
      <c r="J166" s="36" t="s">
        <v>1656</v>
      </c>
      <c r="K166" s="36" t="s">
        <v>1884</v>
      </c>
      <c r="L166" s="36" t="s">
        <v>1669</v>
      </c>
      <c r="M166" s="36" t="s">
        <v>1669</v>
      </c>
      <c r="N166" s="36" t="s">
        <v>32</v>
      </c>
    </row>
    <row r="167">
      <c r="A167" s="36" t="s">
        <v>2075</v>
      </c>
      <c r="B167" s="154" t="s">
        <v>2074</v>
      </c>
      <c r="C167" s="36" t="s">
        <v>1666</v>
      </c>
      <c r="D167" s="36" t="s">
        <v>299</v>
      </c>
      <c r="E167" s="36" t="s">
        <v>299</v>
      </c>
      <c r="F167" s="154" t="s">
        <v>1768</v>
      </c>
      <c r="G167" s="36" t="s">
        <v>28</v>
      </c>
      <c r="H167" s="36" t="s">
        <v>1655</v>
      </c>
      <c r="I167" s="36" t="s">
        <v>1656</v>
      </c>
      <c r="J167" s="36" t="s">
        <v>1656</v>
      </c>
      <c r="K167" s="36" t="s">
        <v>1887</v>
      </c>
      <c r="L167" s="36" t="s">
        <v>1669</v>
      </c>
      <c r="M167" s="36" t="s">
        <v>1669</v>
      </c>
      <c r="N167" s="36" t="s">
        <v>32</v>
      </c>
    </row>
    <row r="168">
      <c r="A168" s="36" t="s">
        <v>2076</v>
      </c>
      <c r="B168" s="154" t="s">
        <v>2074</v>
      </c>
      <c r="C168" s="36" t="s">
        <v>1666</v>
      </c>
      <c r="D168" s="36" t="s">
        <v>512</v>
      </c>
      <c r="E168" s="36" t="s">
        <v>512</v>
      </c>
      <c r="F168" s="154" t="s">
        <v>1832</v>
      </c>
      <c r="G168" s="36" t="s">
        <v>28</v>
      </c>
      <c r="H168" s="36" t="s">
        <v>1655</v>
      </c>
      <c r="I168" s="36" t="s">
        <v>1656</v>
      </c>
      <c r="J168" s="36" t="s">
        <v>1656</v>
      </c>
      <c r="K168" s="36" t="s">
        <v>1894</v>
      </c>
      <c r="L168" s="36" t="s">
        <v>1669</v>
      </c>
      <c r="M168" s="36" t="s">
        <v>1669</v>
      </c>
      <c r="N168" s="36" t="s">
        <v>32</v>
      </c>
    </row>
    <row r="169">
      <c r="A169" s="36" t="s">
        <v>2077</v>
      </c>
      <c r="B169" s="154" t="s">
        <v>2074</v>
      </c>
      <c r="C169" s="36" t="s">
        <v>1666</v>
      </c>
      <c r="D169" s="36" t="s">
        <v>582</v>
      </c>
      <c r="E169" s="36" t="s">
        <v>582</v>
      </c>
      <c r="F169" s="154" t="s">
        <v>2025</v>
      </c>
      <c r="G169" s="36" t="s">
        <v>28</v>
      </c>
      <c r="H169" s="36" t="s">
        <v>1655</v>
      </c>
      <c r="I169" s="36" t="s">
        <v>1656</v>
      </c>
      <c r="J169" s="36" t="s">
        <v>1656</v>
      </c>
      <c r="K169" s="36" t="s">
        <v>1897</v>
      </c>
      <c r="L169" s="36" t="s">
        <v>1669</v>
      </c>
      <c r="M169" s="36" t="s">
        <v>1669</v>
      </c>
      <c r="N169" s="36" t="s">
        <v>32</v>
      </c>
    </row>
    <row r="170">
      <c r="A170" s="36" t="s">
        <v>2078</v>
      </c>
      <c r="B170" s="154" t="s">
        <v>2074</v>
      </c>
      <c r="C170" s="36" t="s">
        <v>1666</v>
      </c>
      <c r="D170" s="36" t="s">
        <v>1531</v>
      </c>
      <c r="E170" s="36" t="s">
        <v>1531</v>
      </c>
      <c r="F170" s="154" t="s">
        <v>2079</v>
      </c>
      <c r="G170" s="36" t="s">
        <v>28</v>
      </c>
      <c r="H170" s="36" t="s">
        <v>1655</v>
      </c>
      <c r="I170" s="36" t="s">
        <v>1656</v>
      </c>
      <c r="J170" s="36" t="s">
        <v>1656</v>
      </c>
      <c r="K170" s="36" t="s">
        <v>1900</v>
      </c>
      <c r="L170" s="36" t="s">
        <v>1669</v>
      </c>
      <c r="M170" s="36" t="s">
        <v>1669</v>
      </c>
      <c r="N170" s="36" t="s">
        <v>32</v>
      </c>
    </row>
    <row r="171">
      <c r="A171" s="36" t="s">
        <v>2080</v>
      </c>
      <c r="B171" s="154" t="s">
        <v>2081</v>
      </c>
      <c r="C171" s="36" t="s">
        <v>1666</v>
      </c>
      <c r="D171" s="36" t="s">
        <v>310</v>
      </c>
      <c r="E171" s="36" t="s">
        <v>310</v>
      </c>
      <c r="F171" s="154" t="s">
        <v>2082</v>
      </c>
      <c r="G171" s="36" t="s">
        <v>28</v>
      </c>
      <c r="H171" s="36" t="s">
        <v>1655</v>
      </c>
      <c r="I171" s="36" t="s">
        <v>1656</v>
      </c>
      <c r="J171" s="36" t="s">
        <v>1656</v>
      </c>
      <c r="K171" s="36" t="s">
        <v>1903</v>
      </c>
      <c r="L171" s="36" t="s">
        <v>1669</v>
      </c>
      <c r="M171" s="36" t="s">
        <v>1669</v>
      </c>
      <c r="N171" s="36" t="s">
        <v>32</v>
      </c>
    </row>
    <row r="172">
      <c r="A172" s="36" t="s">
        <v>2083</v>
      </c>
      <c r="B172" s="154" t="s">
        <v>2081</v>
      </c>
      <c r="C172" s="36" t="s">
        <v>1666</v>
      </c>
      <c r="D172" s="36" t="s">
        <v>1540</v>
      </c>
      <c r="E172" s="36" t="s">
        <v>1540</v>
      </c>
      <c r="F172" s="154" t="s">
        <v>1853</v>
      </c>
      <c r="G172" s="36" t="s">
        <v>28</v>
      </c>
      <c r="H172" s="36" t="s">
        <v>1655</v>
      </c>
      <c r="I172" s="36" t="s">
        <v>1656</v>
      </c>
      <c r="J172" s="36" t="s">
        <v>1656</v>
      </c>
      <c r="K172" s="36" t="s">
        <v>1906</v>
      </c>
      <c r="L172" s="36" t="s">
        <v>1669</v>
      </c>
      <c r="M172" s="36" t="s">
        <v>1669</v>
      </c>
      <c r="N172" s="36" t="s">
        <v>32</v>
      </c>
    </row>
    <row r="173">
      <c r="A173" s="36" t="s">
        <v>2084</v>
      </c>
      <c r="B173" s="154" t="s">
        <v>2081</v>
      </c>
      <c r="C173" s="36" t="s">
        <v>1666</v>
      </c>
      <c r="D173" s="36" t="s">
        <v>1545</v>
      </c>
      <c r="E173" s="36" t="s">
        <v>1545</v>
      </c>
      <c r="F173" s="154" t="s">
        <v>2085</v>
      </c>
      <c r="G173" s="36" t="s">
        <v>28</v>
      </c>
      <c r="H173" s="36" t="s">
        <v>1655</v>
      </c>
      <c r="I173" s="36" t="s">
        <v>1656</v>
      </c>
      <c r="J173" s="36" t="s">
        <v>1656</v>
      </c>
      <c r="K173" s="36" t="s">
        <v>1909</v>
      </c>
      <c r="L173" s="36" t="s">
        <v>1669</v>
      </c>
      <c r="M173" s="36" t="s">
        <v>1669</v>
      </c>
      <c r="N173" s="36" t="s">
        <v>32</v>
      </c>
    </row>
    <row r="174">
      <c r="A174" s="36" t="s">
        <v>2086</v>
      </c>
      <c r="B174" s="154" t="s">
        <v>2081</v>
      </c>
      <c r="C174" s="36" t="s">
        <v>1666</v>
      </c>
      <c r="D174" s="36" t="s">
        <v>1249</v>
      </c>
      <c r="E174" s="36" t="s">
        <v>1249</v>
      </c>
      <c r="F174" s="154" t="s">
        <v>2087</v>
      </c>
      <c r="G174" s="36" t="s">
        <v>28</v>
      </c>
      <c r="H174" s="36" t="s">
        <v>1655</v>
      </c>
      <c r="I174" s="36" t="s">
        <v>1656</v>
      </c>
      <c r="J174" s="36" t="s">
        <v>1656</v>
      </c>
      <c r="K174" s="36" t="s">
        <v>1912</v>
      </c>
      <c r="L174" s="36" t="s">
        <v>1669</v>
      </c>
      <c r="M174" s="36" t="s">
        <v>1669</v>
      </c>
      <c r="N174" s="36" t="s">
        <v>32</v>
      </c>
    </row>
    <row r="175">
      <c r="A175" s="36" t="s">
        <v>2088</v>
      </c>
      <c r="B175" s="154" t="s">
        <v>2089</v>
      </c>
      <c r="C175" s="36" t="s">
        <v>1666</v>
      </c>
      <c r="D175" s="36" t="s">
        <v>714</v>
      </c>
      <c r="E175" s="36" t="s">
        <v>714</v>
      </c>
      <c r="F175" s="154" t="s">
        <v>2090</v>
      </c>
      <c r="G175" s="36" t="s">
        <v>32</v>
      </c>
      <c r="H175" s="36" t="s">
        <v>1655</v>
      </c>
      <c r="I175" s="36" t="s">
        <v>1656</v>
      </c>
      <c r="J175" s="36" t="s">
        <v>1656</v>
      </c>
      <c r="K175" s="36" t="s">
        <v>1891</v>
      </c>
      <c r="L175" s="36" t="s">
        <v>1669</v>
      </c>
      <c r="M175" s="36" t="s">
        <v>1669</v>
      </c>
      <c r="N175" s="36" t="s">
        <v>32</v>
      </c>
    </row>
    <row r="176">
      <c r="A176" s="36" t="s">
        <v>2091</v>
      </c>
      <c r="B176" s="154" t="s">
        <v>2089</v>
      </c>
      <c r="C176" s="36" t="s">
        <v>1666</v>
      </c>
      <c r="D176" s="36" t="s">
        <v>310</v>
      </c>
      <c r="E176" s="36" t="s">
        <v>310</v>
      </c>
      <c r="F176" s="154" t="s">
        <v>2092</v>
      </c>
      <c r="G176" s="36" t="s">
        <v>28</v>
      </c>
      <c r="H176" s="36" t="s">
        <v>1655</v>
      </c>
      <c r="I176" s="36" t="s">
        <v>1656</v>
      </c>
      <c r="J176" s="36" t="s">
        <v>1656</v>
      </c>
      <c r="K176" s="36" t="s">
        <v>1914</v>
      </c>
      <c r="L176" s="36" t="s">
        <v>1669</v>
      </c>
      <c r="M176" s="36" t="s">
        <v>1669</v>
      </c>
      <c r="N176" s="36" t="s">
        <v>32</v>
      </c>
    </row>
    <row r="177">
      <c r="A177" s="36" t="s">
        <v>2093</v>
      </c>
      <c r="B177" s="154" t="s">
        <v>2089</v>
      </c>
      <c r="C177" s="36" t="s">
        <v>1666</v>
      </c>
      <c r="D177" s="36" t="s">
        <v>1347</v>
      </c>
      <c r="E177" s="36" t="s">
        <v>1347</v>
      </c>
      <c r="F177" s="154" t="s">
        <v>2094</v>
      </c>
      <c r="G177" s="36" t="s">
        <v>32</v>
      </c>
      <c r="H177" s="36" t="s">
        <v>1655</v>
      </c>
      <c r="I177" s="36" t="s">
        <v>1656</v>
      </c>
      <c r="J177" s="36" t="s">
        <v>1656</v>
      </c>
      <c r="K177" s="36" t="s">
        <v>1917</v>
      </c>
      <c r="L177" s="36" t="s">
        <v>1669</v>
      </c>
      <c r="M177" s="36" t="s">
        <v>1669</v>
      </c>
      <c r="N177" s="36" t="s">
        <v>32</v>
      </c>
    </row>
    <row r="178">
      <c r="A178" s="36" t="s">
        <v>2095</v>
      </c>
      <c r="B178" s="154" t="s">
        <v>2096</v>
      </c>
      <c r="C178" s="36" t="s">
        <v>1666</v>
      </c>
      <c r="D178" s="36" t="s">
        <v>1553</v>
      </c>
      <c r="E178" s="36" t="s">
        <v>1553</v>
      </c>
      <c r="F178" s="154" t="s">
        <v>1810</v>
      </c>
      <c r="G178" s="36" t="s">
        <v>28</v>
      </c>
      <c r="H178" s="36" t="s">
        <v>1655</v>
      </c>
      <c r="I178" s="36" t="s">
        <v>1656</v>
      </c>
      <c r="J178" s="36" t="s">
        <v>1656</v>
      </c>
      <c r="K178" s="36" t="s">
        <v>1927</v>
      </c>
      <c r="L178" s="36" t="s">
        <v>1669</v>
      </c>
      <c r="M178" s="36" t="s">
        <v>1669</v>
      </c>
      <c r="N178" s="36" t="s">
        <v>32</v>
      </c>
    </row>
    <row r="179">
      <c r="A179" s="36" t="s">
        <v>2097</v>
      </c>
      <c r="B179" s="154" t="s">
        <v>2096</v>
      </c>
      <c r="C179" s="36" t="s">
        <v>1666</v>
      </c>
      <c r="D179" s="36" t="s">
        <v>124</v>
      </c>
      <c r="E179" s="36" t="s">
        <v>124</v>
      </c>
      <c r="F179" s="154" t="s">
        <v>2098</v>
      </c>
      <c r="G179" s="36" t="s">
        <v>28</v>
      </c>
      <c r="H179" s="36" t="s">
        <v>1655</v>
      </c>
      <c r="I179" s="36" t="s">
        <v>1656</v>
      </c>
      <c r="J179" s="36" t="s">
        <v>1656</v>
      </c>
      <c r="K179" s="36" t="s">
        <v>1930</v>
      </c>
      <c r="L179" s="36" t="s">
        <v>1669</v>
      </c>
      <c r="M179" s="36" t="s">
        <v>1669</v>
      </c>
      <c r="N179" s="36" t="s">
        <v>32</v>
      </c>
    </row>
    <row r="180">
      <c r="A180" s="36" t="s">
        <v>2099</v>
      </c>
      <c r="B180" s="154" t="s">
        <v>2100</v>
      </c>
      <c r="C180" s="36" t="s">
        <v>1666</v>
      </c>
      <c r="D180" s="36" t="s">
        <v>310</v>
      </c>
      <c r="E180" s="36" t="s">
        <v>310</v>
      </c>
      <c r="F180" s="154" t="s">
        <v>2101</v>
      </c>
      <c r="G180" s="36" t="s">
        <v>28</v>
      </c>
      <c r="H180" s="36" t="s">
        <v>1655</v>
      </c>
      <c r="I180" s="36" t="s">
        <v>1656</v>
      </c>
      <c r="J180" s="36" t="s">
        <v>1656</v>
      </c>
      <c r="K180" s="36" t="s">
        <v>1933</v>
      </c>
      <c r="L180" s="36" t="s">
        <v>1669</v>
      </c>
      <c r="M180" s="36" t="s">
        <v>1669</v>
      </c>
      <c r="N180" s="36" t="s">
        <v>32</v>
      </c>
    </row>
    <row r="181">
      <c r="A181" s="36" t="s">
        <v>2102</v>
      </c>
      <c r="B181" s="154" t="s">
        <v>2100</v>
      </c>
      <c r="C181" s="36" t="s">
        <v>1666</v>
      </c>
      <c r="D181" s="36" t="s">
        <v>209</v>
      </c>
      <c r="E181" s="36" t="s">
        <v>209</v>
      </c>
      <c r="F181" s="154" t="s">
        <v>2103</v>
      </c>
      <c r="G181" s="36" t="s">
        <v>28</v>
      </c>
      <c r="H181" s="36" t="s">
        <v>1655</v>
      </c>
      <c r="I181" s="36" t="s">
        <v>1656</v>
      </c>
      <c r="J181" s="36" t="s">
        <v>1656</v>
      </c>
      <c r="K181" s="36" t="s">
        <v>1936</v>
      </c>
      <c r="L181" s="36" t="s">
        <v>1669</v>
      </c>
      <c r="M181" s="36" t="s">
        <v>1669</v>
      </c>
      <c r="N181" s="36" t="s">
        <v>32</v>
      </c>
    </row>
    <row r="182">
      <c r="A182" s="36" t="s">
        <v>2104</v>
      </c>
      <c r="B182" s="154" t="s">
        <v>2105</v>
      </c>
      <c r="C182" s="36" t="s">
        <v>1666</v>
      </c>
      <c r="D182" s="36" t="s">
        <v>81</v>
      </c>
      <c r="E182" s="36" t="s">
        <v>81</v>
      </c>
      <c r="F182" s="154" t="s">
        <v>2106</v>
      </c>
      <c r="G182" s="36" t="s">
        <v>28</v>
      </c>
      <c r="H182" s="36" t="s">
        <v>1655</v>
      </c>
      <c r="I182" s="36" t="s">
        <v>1656</v>
      </c>
      <c r="J182" s="36" t="s">
        <v>1656</v>
      </c>
      <c r="K182" s="36" t="s">
        <v>1921</v>
      </c>
      <c r="L182" s="36" t="s">
        <v>1669</v>
      </c>
      <c r="M182" s="36" t="s">
        <v>1669</v>
      </c>
      <c r="N182" s="36" t="s">
        <v>32</v>
      </c>
    </row>
    <row r="183">
      <c r="A183" s="36" t="s">
        <v>2107</v>
      </c>
      <c r="B183" s="154" t="s">
        <v>2105</v>
      </c>
      <c r="C183" s="36" t="s">
        <v>1666</v>
      </c>
      <c r="D183" s="36" t="s">
        <v>84</v>
      </c>
      <c r="E183" s="36" t="s">
        <v>84</v>
      </c>
      <c r="F183" s="154" t="s">
        <v>1923</v>
      </c>
      <c r="G183" s="36" t="s">
        <v>32</v>
      </c>
      <c r="H183" s="36" t="s">
        <v>1655</v>
      </c>
      <c r="I183" s="36" t="s">
        <v>1656</v>
      </c>
      <c r="J183" s="36" t="s">
        <v>1656</v>
      </c>
      <c r="K183" s="36" t="s">
        <v>1924</v>
      </c>
      <c r="L183" s="36" t="s">
        <v>1669</v>
      </c>
      <c r="M183" s="36" t="s">
        <v>1669</v>
      </c>
      <c r="N183" s="36" t="s">
        <v>32</v>
      </c>
    </row>
    <row r="184">
      <c r="A184" s="36" t="s">
        <v>2108</v>
      </c>
      <c r="B184" s="154" t="s">
        <v>2109</v>
      </c>
      <c r="C184" s="36" t="s">
        <v>1666</v>
      </c>
      <c r="D184" s="36" t="s">
        <v>1288</v>
      </c>
      <c r="E184" s="36" t="s">
        <v>1288</v>
      </c>
      <c r="F184" s="154" t="s">
        <v>2110</v>
      </c>
      <c r="G184" s="36" t="s">
        <v>28</v>
      </c>
      <c r="H184" s="36" t="s">
        <v>1655</v>
      </c>
      <c r="I184" s="36" t="s">
        <v>1656</v>
      </c>
      <c r="J184" s="36" t="s">
        <v>1656</v>
      </c>
      <c r="K184" s="36" t="s">
        <v>1938</v>
      </c>
      <c r="L184" s="36" t="s">
        <v>1669</v>
      </c>
      <c r="M184" s="36" t="s">
        <v>1669</v>
      </c>
      <c r="N184" s="36" t="s">
        <v>32</v>
      </c>
    </row>
    <row r="185">
      <c r="A185" s="36" t="s">
        <v>2111</v>
      </c>
      <c r="B185" s="154" t="s">
        <v>2109</v>
      </c>
      <c r="C185" s="36" t="s">
        <v>1666</v>
      </c>
      <c r="D185" s="36" t="s">
        <v>1491</v>
      </c>
      <c r="E185" s="36" t="s">
        <v>1491</v>
      </c>
      <c r="F185" s="154" t="s">
        <v>1816</v>
      </c>
      <c r="G185" s="36" t="s">
        <v>28</v>
      </c>
      <c r="H185" s="36" t="s">
        <v>1655</v>
      </c>
      <c r="I185" s="36" t="s">
        <v>1656</v>
      </c>
      <c r="J185" s="36" t="s">
        <v>1656</v>
      </c>
      <c r="K185" s="36" t="s">
        <v>1940</v>
      </c>
      <c r="L185" s="36" t="s">
        <v>1669</v>
      </c>
      <c r="M185" s="36" t="s">
        <v>1669</v>
      </c>
      <c r="N185" s="36" t="s">
        <v>32</v>
      </c>
    </row>
    <row r="186">
      <c r="A186" s="36" t="s">
        <v>2112</v>
      </c>
      <c r="B186" s="154" t="s">
        <v>2109</v>
      </c>
      <c r="C186" s="36" t="s">
        <v>1666</v>
      </c>
      <c r="D186" s="36" t="s">
        <v>1431</v>
      </c>
      <c r="E186" s="36" t="s">
        <v>1431</v>
      </c>
      <c r="F186" s="154" t="s">
        <v>1810</v>
      </c>
      <c r="G186" s="36" t="s">
        <v>28</v>
      </c>
      <c r="H186" s="36" t="s">
        <v>1655</v>
      </c>
      <c r="I186" s="36" t="s">
        <v>1656</v>
      </c>
      <c r="J186" s="36" t="s">
        <v>1656</v>
      </c>
      <c r="K186" s="36" t="s">
        <v>2113</v>
      </c>
      <c r="L186" s="36" t="s">
        <v>1669</v>
      </c>
      <c r="M186" s="36" t="s">
        <v>1669</v>
      </c>
      <c r="N186" s="36" t="s">
        <v>32</v>
      </c>
    </row>
    <row r="187">
      <c r="A187" s="36" t="s">
        <v>2114</v>
      </c>
      <c r="B187" s="154" t="s">
        <v>2109</v>
      </c>
      <c r="C187" s="36" t="s">
        <v>1666</v>
      </c>
      <c r="D187" s="36" t="s">
        <v>310</v>
      </c>
      <c r="E187" s="36" t="s">
        <v>310</v>
      </c>
      <c r="F187" s="154" t="s">
        <v>1932</v>
      </c>
      <c r="G187" s="36" t="s">
        <v>28</v>
      </c>
      <c r="H187" s="36" t="s">
        <v>1655</v>
      </c>
      <c r="I187" s="36" t="s">
        <v>1656</v>
      </c>
      <c r="J187" s="36" t="s">
        <v>1656</v>
      </c>
      <c r="K187" s="36" t="s">
        <v>2115</v>
      </c>
      <c r="L187" s="36" t="s">
        <v>1669</v>
      </c>
      <c r="M187" s="36" t="s">
        <v>1669</v>
      </c>
      <c r="N187" s="36" t="s">
        <v>32</v>
      </c>
    </row>
    <row r="188">
      <c r="A188" s="36" t="s">
        <v>2116</v>
      </c>
      <c r="B188" s="154" t="s">
        <v>2109</v>
      </c>
      <c r="C188" s="36" t="s">
        <v>1666</v>
      </c>
      <c r="D188" s="36" t="s">
        <v>1566</v>
      </c>
      <c r="E188" s="36" t="s">
        <v>1566</v>
      </c>
      <c r="F188" s="154" t="s">
        <v>2117</v>
      </c>
      <c r="G188" s="36" t="s">
        <v>32</v>
      </c>
      <c r="H188" s="36" t="s">
        <v>1655</v>
      </c>
      <c r="I188" s="36" t="s">
        <v>1656</v>
      </c>
      <c r="J188" s="36" t="s">
        <v>1656</v>
      </c>
      <c r="K188" s="36" t="s">
        <v>2118</v>
      </c>
      <c r="L188" s="36" t="s">
        <v>1669</v>
      </c>
      <c r="M188" s="36" t="s">
        <v>1669</v>
      </c>
      <c r="N188" s="36" t="s">
        <v>32</v>
      </c>
    </row>
    <row r="189">
      <c r="A189" s="36" t="s">
        <v>2119</v>
      </c>
      <c r="B189" s="154" t="s">
        <v>2109</v>
      </c>
      <c r="C189" s="36" t="s">
        <v>1666</v>
      </c>
      <c r="D189" s="36" t="s">
        <v>124</v>
      </c>
      <c r="E189" s="36" t="s">
        <v>124</v>
      </c>
      <c r="F189" s="154" t="s">
        <v>2120</v>
      </c>
      <c r="G189" s="36" t="s">
        <v>28</v>
      </c>
      <c r="H189" s="36" t="s">
        <v>1655</v>
      </c>
      <c r="I189" s="36" t="s">
        <v>1656</v>
      </c>
      <c r="J189" s="36" t="s">
        <v>1656</v>
      </c>
      <c r="K189" s="36" t="s">
        <v>2121</v>
      </c>
      <c r="L189" s="36" t="s">
        <v>1669</v>
      </c>
      <c r="M189" s="36" t="s">
        <v>1669</v>
      </c>
      <c r="N189" s="36" t="s">
        <v>32</v>
      </c>
    </row>
    <row r="190">
      <c r="A190" s="36" t="s">
        <v>2122</v>
      </c>
      <c r="B190" s="154" t="s">
        <v>2123</v>
      </c>
      <c r="C190" s="36" t="s">
        <v>1653</v>
      </c>
      <c r="D190" s="36" t="s">
        <v>43</v>
      </c>
      <c r="E190" s="36" t="s">
        <v>39</v>
      </c>
      <c r="F190" s="154" t="s">
        <v>2124</v>
      </c>
      <c r="G190" s="36" t="s">
        <v>32</v>
      </c>
      <c r="H190" s="36" t="s">
        <v>1655</v>
      </c>
      <c r="I190" s="36" t="s">
        <v>1656</v>
      </c>
      <c r="J190" s="36" t="s">
        <v>1656</v>
      </c>
      <c r="K190" s="36" t="s">
        <v>1657</v>
      </c>
      <c r="L190" s="36" t="s">
        <v>1944</v>
      </c>
      <c r="M190" s="36" t="s">
        <v>1944</v>
      </c>
      <c r="N190" s="36" t="s">
        <v>32</v>
      </c>
    </row>
    <row r="191">
      <c r="A191" s="36" t="s">
        <v>2125</v>
      </c>
      <c r="B191" s="154" t="s">
        <v>2123</v>
      </c>
      <c r="C191" s="36" t="s">
        <v>1653</v>
      </c>
      <c r="D191" s="36" t="s">
        <v>1396</v>
      </c>
      <c r="E191" s="36" t="s">
        <v>39</v>
      </c>
      <c r="F191" s="154" t="s">
        <v>2126</v>
      </c>
      <c r="G191" s="36" t="s">
        <v>32</v>
      </c>
      <c r="H191" s="36" t="s">
        <v>1655</v>
      </c>
      <c r="I191" s="36" t="s">
        <v>1656</v>
      </c>
      <c r="J191" s="36" t="s">
        <v>1656</v>
      </c>
      <c r="K191" s="36" t="s">
        <v>1664</v>
      </c>
      <c r="L191" s="36" t="s">
        <v>1944</v>
      </c>
      <c r="M191" s="36" t="s">
        <v>1944</v>
      </c>
      <c r="N191" s="36" t="s">
        <v>32</v>
      </c>
    </row>
    <row r="192">
      <c r="A192" s="36" t="s">
        <v>2127</v>
      </c>
      <c r="B192" s="154" t="s">
        <v>2123</v>
      </c>
      <c r="C192" s="36" t="s">
        <v>1666</v>
      </c>
      <c r="D192" s="36" t="s">
        <v>1139</v>
      </c>
      <c r="E192" s="36" t="s">
        <v>1139</v>
      </c>
      <c r="F192" s="154" t="s">
        <v>1744</v>
      </c>
      <c r="G192" s="36" t="s">
        <v>28</v>
      </c>
      <c r="H192" s="36" t="s">
        <v>1655</v>
      </c>
      <c r="I192" s="36" t="s">
        <v>1656</v>
      </c>
      <c r="J192" s="36" t="s">
        <v>1656</v>
      </c>
      <c r="K192" s="36" t="s">
        <v>1668</v>
      </c>
      <c r="L192" s="36" t="s">
        <v>1669</v>
      </c>
      <c r="M192" s="36" t="s">
        <v>1669</v>
      </c>
      <c r="N192" s="36" t="s">
        <v>32</v>
      </c>
    </row>
    <row r="193">
      <c r="A193" s="36" t="s">
        <v>2128</v>
      </c>
      <c r="B193" s="154" t="s">
        <v>2123</v>
      </c>
      <c r="C193" s="36" t="s">
        <v>1666</v>
      </c>
      <c r="D193" s="36" t="s">
        <v>829</v>
      </c>
      <c r="E193" s="36" t="s">
        <v>829</v>
      </c>
      <c r="F193" s="154" t="s">
        <v>1768</v>
      </c>
      <c r="G193" s="36" t="s">
        <v>28</v>
      </c>
      <c r="H193" s="36" t="s">
        <v>1655</v>
      </c>
      <c r="I193" s="36" t="s">
        <v>1656</v>
      </c>
      <c r="J193" s="36" t="s">
        <v>1656</v>
      </c>
      <c r="K193" s="36" t="s">
        <v>1672</v>
      </c>
      <c r="L193" s="36" t="s">
        <v>1669</v>
      </c>
      <c r="M193" s="36" t="s">
        <v>1669</v>
      </c>
      <c r="N193" s="36" t="s">
        <v>32</v>
      </c>
    </row>
    <row r="194">
      <c r="A194" s="36" t="s">
        <v>2129</v>
      </c>
      <c r="B194" s="154" t="s">
        <v>2123</v>
      </c>
      <c r="C194" s="36" t="s">
        <v>1666</v>
      </c>
      <c r="D194" s="36" t="s">
        <v>1402</v>
      </c>
      <c r="E194" s="36" t="s">
        <v>1402</v>
      </c>
      <c r="F194" s="154" t="s">
        <v>1729</v>
      </c>
      <c r="G194" s="36" t="s">
        <v>28</v>
      </c>
      <c r="H194" s="36" t="s">
        <v>1655</v>
      </c>
      <c r="I194" s="36" t="s">
        <v>1656</v>
      </c>
      <c r="J194" s="36" t="s">
        <v>1656</v>
      </c>
      <c r="K194" s="36" t="s">
        <v>1675</v>
      </c>
      <c r="L194" s="36" t="s">
        <v>1669</v>
      </c>
      <c r="M194" s="36" t="s">
        <v>1669</v>
      </c>
      <c r="N194" s="36" t="s">
        <v>32</v>
      </c>
    </row>
    <row r="195">
      <c r="A195" s="36" t="s">
        <v>2130</v>
      </c>
      <c r="B195" s="154" t="s">
        <v>2123</v>
      </c>
      <c r="C195" s="36" t="s">
        <v>1666</v>
      </c>
      <c r="D195" s="36" t="s">
        <v>923</v>
      </c>
      <c r="E195" s="36" t="s">
        <v>923</v>
      </c>
      <c r="F195" s="154" t="s">
        <v>1683</v>
      </c>
      <c r="G195" s="36" t="s">
        <v>32</v>
      </c>
      <c r="H195" s="36" t="s">
        <v>1655</v>
      </c>
      <c r="I195" s="36" t="s">
        <v>1656</v>
      </c>
      <c r="J195" s="36" t="s">
        <v>1656</v>
      </c>
      <c r="K195" s="36" t="s">
        <v>1678</v>
      </c>
      <c r="L195" s="36" t="s">
        <v>1669</v>
      </c>
      <c r="M195" s="36" t="s">
        <v>1669</v>
      </c>
      <c r="N195" s="36" t="s">
        <v>32</v>
      </c>
    </row>
    <row r="196">
      <c r="A196" s="36" t="s">
        <v>2131</v>
      </c>
      <c r="B196" s="154" t="s">
        <v>2123</v>
      </c>
      <c r="C196" s="36" t="s">
        <v>1666</v>
      </c>
      <c r="D196" s="36" t="s">
        <v>921</v>
      </c>
      <c r="E196" s="36" t="s">
        <v>921</v>
      </c>
      <c r="F196" s="154" t="s">
        <v>2132</v>
      </c>
      <c r="G196" s="36" t="s">
        <v>28</v>
      </c>
      <c r="H196" s="36" t="s">
        <v>1655</v>
      </c>
      <c r="I196" s="36" t="s">
        <v>1656</v>
      </c>
      <c r="J196" s="36" t="s">
        <v>1656</v>
      </c>
      <c r="K196" s="36" t="s">
        <v>1681</v>
      </c>
      <c r="L196" s="36" t="s">
        <v>1669</v>
      </c>
      <c r="M196" s="36" t="s">
        <v>1669</v>
      </c>
      <c r="N196" s="36" t="s">
        <v>32</v>
      </c>
    </row>
    <row r="197">
      <c r="A197" s="36" t="s">
        <v>2133</v>
      </c>
      <c r="B197" s="154" t="s">
        <v>2123</v>
      </c>
      <c r="C197" s="36" t="s">
        <v>1666</v>
      </c>
      <c r="D197" s="36" t="s">
        <v>1124</v>
      </c>
      <c r="E197" s="36" t="s">
        <v>1124</v>
      </c>
      <c r="F197" s="154" t="s">
        <v>1952</v>
      </c>
      <c r="G197" s="36" t="s">
        <v>28</v>
      </c>
      <c r="H197" s="36" t="s">
        <v>1655</v>
      </c>
      <c r="I197" s="36" t="s">
        <v>1656</v>
      </c>
      <c r="J197" s="36" t="s">
        <v>1656</v>
      </c>
      <c r="K197" s="36" t="s">
        <v>1684</v>
      </c>
      <c r="L197" s="36" t="s">
        <v>1669</v>
      </c>
      <c r="M197" s="36" t="s">
        <v>1669</v>
      </c>
      <c r="N197" s="36" t="s">
        <v>32</v>
      </c>
    </row>
    <row r="198">
      <c r="A198" s="36" t="s">
        <v>2134</v>
      </c>
      <c r="B198" s="154" t="s">
        <v>2135</v>
      </c>
      <c r="C198" s="36" t="s">
        <v>1666</v>
      </c>
      <c r="D198" s="36" t="s">
        <v>966</v>
      </c>
      <c r="E198" s="36" t="s">
        <v>966</v>
      </c>
      <c r="F198" s="154" t="s">
        <v>2136</v>
      </c>
      <c r="G198" s="36" t="s">
        <v>28</v>
      </c>
      <c r="H198" s="36" t="s">
        <v>1655</v>
      </c>
      <c r="I198" s="36" t="s">
        <v>1656</v>
      </c>
      <c r="J198" s="36" t="s">
        <v>1656</v>
      </c>
      <c r="K198" s="36" t="s">
        <v>1691</v>
      </c>
      <c r="L198" s="36" t="s">
        <v>1669</v>
      </c>
      <c r="M198" s="36" t="s">
        <v>1669</v>
      </c>
      <c r="N198" s="36" t="s">
        <v>32</v>
      </c>
    </row>
    <row r="199">
      <c r="A199" s="36" t="s">
        <v>2137</v>
      </c>
      <c r="B199" s="154" t="s">
        <v>2135</v>
      </c>
      <c r="C199" s="36" t="s">
        <v>1666</v>
      </c>
      <c r="D199" s="36" t="s">
        <v>951</v>
      </c>
      <c r="E199" s="36" t="s">
        <v>951</v>
      </c>
      <c r="F199" s="154" t="s">
        <v>1859</v>
      </c>
      <c r="G199" s="36" t="s">
        <v>28</v>
      </c>
      <c r="H199" s="36" t="s">
        <v>1655</v>
      </c>
      <c r="I199" s="36" t="s">
        <v>1656</v>
      </c>
      <c r="J199" s="36" t="s">
        <v>1656</v>
      </c>
      <c r="K199" s="36" t="s">
        <v>1695</v>
      </c>
      <c r="L199" s="36" t="s">
        <v>1669</v>
      </c>
      <c r="M199" s="36" t="s">
        <v>1669</v>
      </c>
      <c r="N199" s="36" t="s">
        <v>34</v>
      </c>
    </row>
    <row r="200">
      <c r="A200" s="36" t="s">
        <v>2138</v>
      </c>
      <c r="B200" s="154" t="s">
        <v>2139</v>
      </c>
      <c r="C200" s="36" t="s">
        <v>1666</v>
      </c>
      <c r="D200" s="36" t="s">
        <v>310</v>
      </c>
      <c r="E200" s="36" t="s">
        <v>310</v>
      </c>
      <c r="F200" s="154" t="s">
        <v>1806</v>
      </c>
      <c r="G200" s="36" t="s">
        <v>28</v>
      </c>
      <c r="H200" s="36" t="s">
        <v>1655</v>
      </c>
      <c r="I200" s="36" t="s">
        <v>1656</v>
      </c>
      <c r="J200" s="36" t="s">
        <v>1656</v>
      </c>
      <c r="K200" s="36" t="s">
        <v>1698</v>
      </c>
      <c r="L200" s="36" t="s">
        <v>1669</v>
      </c>
      <c r="M200" s="36" t="s">
        <v>1669</v>
      </c>
      <c r="N200" s="36" t="s">
        <v>32</v>
      </c>
    </row>
    <row r="201">
      <c r="A201" s="36" t="s">
        <v>2140</v>
      </c>
      <c r="B201" s="154" t="s">
        <v>2139</v>
      </c>
      <c r="C201" s="36" t="s">
        <v>1666</v>
      </c>
      <c r="D201" s="36" t="s">
        <v>214</v>
      </c>
      <c r="E201" s="36" t="s">
        <v>214</v>
      </c>
      <c r="F201" s="154" t="s">
        <v>2141</v>
      </c>
      <c r="G201" s="36" t="s">
        <v>28</v>
      </c>
      <c r="H201" s="36" t="s">
        <v>1655</v>
      </c>
      <c r="I201" s="36" t="s">
        <v>1656</v>
      </c>
      <c r="J201" s="36" t="s">
        <v>1656</v>
      </c>
      <c r="K201" s="36" t="s">
        <v>1701</v>
      </c>
      <c r="L201" s="36" t="s">
        <v>1669</v>
      </c>
      <c r="M201" s="36" t="s">
        <v>1669</v>
      </c>
      <c r="N201" s="36" t="s">
        <v>34</v>
      </c>
    </row>
    <row r="202">
      <c r="A202" s="36" t="s">
        <v>2142</v>
      </c>
      <c r="B202" s="154" t="s">
        <v>2143</v>
      </c>
      <c r="C202" s="36" t="s">
        <v>1666</v>
      </c>
      <c r="D202" s="36" t="s">
        <v>64</v>
      </c>
      <c r="E202" s="36" t="s">
        <v>64</v>
      </c>
      <c r="F202" s="154" t="s">
        <v>1707</v>
      </c>
      <c r="G202" s="36" t="s">
        <v>28</v>
      </c>
      <c r="H202" s="36" t="s">
        <v>1655</v>
      </c>
      <c r="I202" s="36" t="s">
        <v>1656</v>
      </c>
      <c r="J202" s="36" t="s">
        <v>1656</v>
      </c>
      <c r="K202" s="36" t="s">
        <v>1708</v>
      </c>
      <c r="L202" s="36" t="s">
        <v>1669</v>
      </c>
      <c r="M202" s="36" t="s">
        <v>1669</v>
      </c>
      <c r="N202" s="36" t="s">
        <v>32</v>
      </c>
    </row>
    <row r="203">
      <c r="A203" s="36" t="s">
        <v>2144</v>
      </c>
      <c r="B203" s="154" t="s">
        <v>2145</v>
      </c>
      <c r="C203" s="36" t="s">
        <v>1666</v>
      </c>
      <c r="D203" s="36" t="s">
        <v>124</v>
      </c>
      <c r="E203" s="36" t="s">
        <v>124</v>
      </c>
      <c r="F203" s="154" t="s">
        <v>1959</v>
      </c>
      <c r="G203" s="36" t="s">
        <v>28</v>
      </c>
      <c r="H203" s="36" t="s">
        <v>1655</v>
      </c>
      <c r="I203" s="36" t="s">
        <v>1656</v>
      </c>
      <c r="J203" s="36" t="s">
        <v>1656</v>
      </c>
      <c r="K203" s="36" t="s">
        <v>1704</v>
      </c>
      <c r="L203" s="36" t="s">
        <v>1669</v>
      </c>
      <c r="M203" s="36" t="s">
        <v>1669</v>
      </c>
      <c r="N203" s="36" t="s">
        <v>32</v>
      </c>
    </row>
    <row r="204">
      <c r="A204" s="36" t="s">
        <v>2146</v>
      </c>
      <c r="B204" s="154" t="s">
        <v>2145</v>
      </c>
      <c r="C204" s="36" t="s">
        <v>1666</v>
      </c>
      <c r="D204" s="36" t="s">
        <v>1420</v>
      </c>
      <c r="E204" s="36" t="s">
        <v>1420</v>
      </c>
      <c r="F204" s="154" t="s">
        <v>2147</v>
      </c>
      <c r="G204" s="36" t="s">
        <v>32</v>
      </c>
      <c r="H204" s="36" t="s">
        <v>1655</v>
      </c>
      <c r="I204" s="36" t="s">
        <v>1656</v>
      </c>
      <c r="J204" s="36" t="s">
        <v>1656</v>
      </c>
      <c r="K204" s="36" t="s">
        <v>1711</v>
      </c>
      <c r="L204" s="36" t="s">
        <v>1669</v>
      </c>
      <c r="M204" s="36" t="s">
        <v>1669</v>
      </c>
      <c r="N204" s="36" t="s">
        <v>32</v>
      </c>
    </row>
    <row r="205">
      <c r="A205" s="36" t="s">
        <v>2148</v>
      </c>
      <c r="B205" s="154" t="s">
        <v>2149</v>
      </c>
      <c r="C205" s="36" t="s">
        <v>1666</v>
      </c>
      <c r="D205" s="36" t="s">
        <v>1423</v>
      </c>
      <c r="E205" s="36" t="s">
        <v>1423</v>
      </c>
      <c r="F205" s="154" t="s">
        <v>1810</v>
      </c>
      <c r="G205" s="36" t="s">
        <v>28</v>
      </c>
      <c r="H205" s="36" t="s">
        <v>1655</v>
      </c>
      <c r="I205" s="36" t="s">
        <v>1656</v>
      </c>
      <c r="J205" s="36" t="s">
        <v>1656</v>
      </c>
      <c r="K205" s="36" t="s">
        <v>1715</v>
      </c>
      <c r="L205" s="36" t="s">
        <v>1669</v>
      </c>
      <c r="M205" s="36" t="s">
        <v>1669</v>
      </c>
      <c r="N205" s="36" t="s">
        <v>32</v>
      </c>
    </row>
    <row r="206">
      <c r="A206" s="36" t="s">
        <v>2150</v>
      </c>
      <c r="B206" s="154" t="s">
        <v>2151</v>
      </c>
      <c r="C206" s="36" t="s">
        <v>1666</v>
      </c>
      <c r="D206" s="36" t="s">
        <v>66</v>
      </c>
      <c r="E206" s="36" t="s">
        <v>66</v>
      </c>
      <c r="F206" s="154" t="s">
        <v>2152</v>
      </c>
      <c r="G206" s="36" t="s">
        <v>28</v>
      </c>
      <c r="H206" s="36" t="s">
        <v>1655</v>
      </c>
      <c r="I206" s="36" t="s">
        <v>1656</v>
      </c>
      <c r="J206" s="36" t="s">
        <v>1656</v>
      </c>
      <c r="K206" s="36" t="s">
        <v>1721</v>
      </c>
      <c r="L206" s="36" t="s">
        <v>1669</v>
      </c>
      <c r="M206" s="36" t="s">
        <v>1669</v>
      </c>
      <c r="N206" s="36" t="s">
        <v>32</v>
      </c>
    </row>
    <row r="207">
      <c r="A207" s="36" t="s">
        <v>2153</v>
      </c>
      <c r="B207" s="154" t="s">
        <v>2151</v>
      </c>
      <c r="C207" s="36" t="s">
        <v>1666</v>
      </c>
      <c r="D207" s="36" t="s">
        <v>201</v>
      </c>
      <c r="E207" s="36" t="s">
        <v>201</v>
      </c>
      <c r="F207" s="154" t="s">
        <v>2154</v>
      </c>
      <c r="G207" s="36" t="s">
        <v>32</v>
      </c>
      <c r="H207" s="36" t="s">
        <v>1655</v>
      </c>
      <c r="I207" s="36" t="s">
        <v>1656</v>
      </c>
      <c r="J207" s="36" t="s">
        <v>1656</v>
      </c>
      <c r="K207" s="36" t="s">
        <v>1717</v>
      </c>
      <c r="L207" s="36" t="s">
        <v>1669</v>
      </c>
      <c r="M207" s="36" t="s">
        <v>1669</v>
      </c>
      <c r="N207" s="36" t="s">
        <v>32</v>
      </c>
    </row>
    <row r="208">
      <c r="A208" s="36" t="s">
        <v>2155</v>
      </c>
      <c r="B208" s="154" t="s">
        <v>2151</v>
      </c>
      <c r="C208" s="36" t="s">
        <v>1666</v>
      </c>
      <c r="D208" s="36" t="s">
        <v>299</v>
      </c>
      <c r="E208" s="36" t="s">
        <v>299</v>
      </c>
      <c r="F208" s="154" t="s">
        <v>2156</v>
      </c>
      <c r="G208" s="36" t="s">
        <v>28</v>
      </c>
      <c r="H208" s="36" t="s">
        <v>1655</v>
      </c>
      <c r="I208" s="36" t="s">
        <v>1656</v>
      </c>
      <c r="J208" s="36" t="s">
        <v>1656</v>
      </c>
      <c r="K208" s="36" t="s">
        <v>1724</v>
      </c>
      <c r="L208" s="36" t="s">
        <v>1669</v>
      </c>
      <c r="M208" s="36" t="s">
        <v>1669</v>
      </c>
      <c r="N208" s="36" t="s">
        <v>32</v>
      </c>
    </row>
    <row r="209">
      <c r="A209" s="36" t="s">
        <v>2157</v>
      </c>
      <c r="B209" s="154" t="s">
        <v>2151</v>
      </c>
      <c r="C209" s="36" t="s">
        <v>1666</v>
      </c>
      <c r="D209" s="36" t="s">
        <v>832</v>
      </c>
      <c r="E209" s="36" t="s">
        <v>832</v>
      </c>
      <c r="F209" s="154" t="s">
        <v>1744</v>
      </c>
      <c r="G209" s="36" t="s">
        <v>28</v>
      </c>
      <c r="H209" s="36" t="s">
        <v>1655</v>
      </c>
      <c r="I209" s="36" t="s">
        <v>1656</v>
      </c>
      <c r="J209" s="36" t="s">
        <v>1656</v>
      </c>
      <c r="K209" s="36" t="s">
        <v>1727</v>
      </c>
      <c r="L209" s="36" t="s">
        <v>1669</v>
      </c>
      <c r="M209" s="36" t="s">
        <v>1669</v>
      </c>
      <c r="N209" s="36" t="s">
        <v>32</v>
      </c>
    </row>
    <row r="210">
      <c r="A210" s="36" t="s">
        <v>2158</v>
      </c>
      <c r="B210" s="154" t="s">
        <v>2151</v>
      </c>
      <c r="C210" s="36" t="s">
        <v>1666</v>
      </c>
      <c r="D210" s="36" t="s">
        <v>108</v>
      </c>
      <c r="E210" s="36" t="s">
        <v>108</v>
      </c>
      <c r="F210" s="154" t="s">
        <v>1683</v>
      </c>
      <c r="G210" s="36" t="s">
        <v>32</v>
      </c>
      <c r="H210" s="36" t="s">
        <v>1655</v>
      </c>
      <c r="I210" s="36" t="s">
        <v>1656</v>
      </c>
      <c r="J210" s="36" t="s">
        <v>1656</v>
      </c>
      <c r="K210" s="36" t="s">
        <v>1730</v>
      </c>
      <c r="L210" s="36" t="s">
        <v>1669</v>
      </c>
      <c r="M210" s="36" t="s">
        <v>1669</v>
      </c>
      <c r="N210" s="36" t="s">
        <v>32</v>
      </c>
    </row>
    <row r="211">
      <c r="A211" s="36" t="s">
        <v>2159</v>
      </c>
      <c r="B211" s="154" t="s">
        <v>2151</v>
      </c>
      <c r="C211" s="36" t="s">
        <v>1666</v>
      </c>
      <c r="D211" s="36" t="s">
        <v>1406</v>
      </c>
      <c r="E211" s="36" t="s">
        <v>1406</v>
      </c>
      <c r="F211" s="154" t="s">
        <v>2160</v>
      </c>
      <c r="G211" s="36" t="s">
        <v>28</v>
      </c>
      <c r="H211" s="36" t="s">
        <v>1655</v>
      </c>
      <c r="I211" s="36" t="s">
        <v>1656</v>
      </c>
      <c r="J211" s="36" t="s">
        <v>1656</v>
      </c>
      <c r="K211" s="36" t="s">
        <v>1732</v>
      </c>
      <c r="L211" s="36" t="s">
        <v>1669</v>
      </c>
      <c r="M211" s="36" t="s">
        <v>1669</v>
      </c>
      <c r="N211" s="36" t="s">
        <v>34</v>
      </c>
    </row>
    <row r="212">
      <c r="A212" s="36" t="s">
        <v>2161</v>
      </c>
      <c r="B212" s="154" t="s">
        <v>2162</v>
      </c>
      <c r="C212" s="36" t="s">
        <v>1666</v>
      </c>
      <c r="D212" s="36" t="s">
        <v>823</v>
      </c>
      <c r="E212" s="36" t="s">
        <v>823</v>
      </c>
      <c r="F212" s="154" t="s">
        <v>2163</v>
      </c>
      <c r="G212" s="36" t="s">
        <v>28</v>
      </c>
      <c r="H212" s="36" t="s">
        <v>1655</v>
      </c>
      <c r="I212" s="36" t="s">
        <v>1656</v>
      </c>
      <c r="J212" s="36" t="s">
        <v>1656</v>
      </c>
      <c r="K212" s="36" t="s">
        <v>1736</v>
      </c>
      <c r="L212" s="36" t="s">
        <v>1669</v>
      </c>
      <c r="M212" s="36" t="s">
        <v>1669</v>
      </c>
      <c r="N212" s="36" t="s">
        <v>32</v>
      </c>
    </row>
    <row r="213">
      <c r="A213" s="36" t="s">
        <v>2164</v>
      </c>
      <c r="B213" s="154" t="s">
        <v>2162</v>
      </c>
      <c r="C213" s="36" t="s">
        <v>1666</v>
      </c>
      <c r="D213" s="36" t="s">
        <v>1438</v>
      </c>
      <c r="E213" s="36" t="s">
        <v>1438</v>
      </c>
      <c r="F213" s="154" t="s">
        <v>2163</v>
      </c>
      <c r="G213" s="36" t="s">
        <v>32</v>
      </c>
      <c r="H213" s="36" t="s">
        <v>1655</v>
      </c>
      <c r="I213" s="36" t="s">
        <v>1656</v>
      </c>
      <c r="J213" s="36" t="s">
        <v>1656</v>
      </c>
      <c r="K213" s="36" t="s">
        <v>1739</v>
      </c>
      <c r="L213" s="36" t="s">
        <v>1669</v>
      </c>
      <c r="M213" s="36" t="s">
        <v>1669</v>
      </c>
      <c r="N213" s="36" t="s">
        <v>32</v>
      </c>
    </row>
    <row r="214">
      <c r="A214" s="36" t="s">
        <v>2165</v>
      </c>
      <c r="B214" s="154" t="s">
        <v>2162</v>
      </c>
      <c r="C214" s="36" t="s">
        <v>1666</v>
      </c>
      <c r="D214" s="36" t="s">
        <v>310</v>
      </c>
      <c r="E214" s="36" t="s">
        <v>310</v>
      </c>
      <c r="F214" s="154" t="s">
        <v>2166</v>
      </c>
      <c r="G214" s="36" t="s">
        <v>28</v>
      </c>
      <c r="H214" s="36" t="s">
        <v>1655</v>
      </c>
      <c r="I214" s="36" t="s">
        <v>1656</v>
      </c>
      <c r="J214" s="36" t="s">
        <v>1656</v>
      </c>
      <c r="K214" s="36" t="s">
        <v>1742</v>
      </c>
      <c r="L214" s="36" t="s">
        <v>1669</v>
      </c>
      <c r="M214" s="36" t="s">
        <v>1669</v>
      </c>
      <c r="N214" s="36" t="s">
        <v>32</v>
      </c>
    </row>
    <row r="215">
      <c r="A215" s="36" t="s">
        <v>2167</v>
      </c>
      <c r="B215" s="154" t="s">
        <v>2168</v>
      </c>
      <c r="C215" s="36" t="s">
        <v>1653</v>
      </c>
      <c r="D215" s="36" t="s">
        <v>55</v>
      </c>
      <c r="E215" s="36" t="s">
        <v>39</v>
      </c>
      <c r="F215" s="154" t="s">
        <v>2169</v>
      </c>
      <c r="G215" s="36" t="s">
        <v>32</v>
      </c>
      <c r="H215" s="36" t="s">
        <v>1655</v>
      </c>
      <c r="I215" s="36" t="s">
        <v>1656</v>
      </c>
      <c r="J215" s="36" t="s">
        <v>1656</v>
      </c>
      <c r="K215" s="36" t="s">
        <v>1989</v>
      </c>
      <c r="L215" s="36" t="s">
        <v>1944</v>
      </c>
      <c r="M215" s="36" t="s">
        <v>1944</v>
      </c>
      <c r="N215" s="36" t="s">
        <v>32</v>
      </c>
    </row>
    <row r="216">
      <c r="A216" s="36" t="s">
        <v>2170</v>
      </c>
      <c r="B216" s="154" t="s">
        <v>2168</v>
      </c>
      <c r="C216" s="36" t="s">
        <v>1666</v>
      </c>
      <c r="D216" s="36" t="s">
        <v>71</v>
      </c>
      <c r="E216" s="36" t="s">
        <v>71</v>
      </c>
      <c r="F216" s="154" t="s">
        <v>1751</v>
      </c>
      <c r="G216" s="36" t="s">
        <v>32</v>
      </c>
      <c r="H216" s="36" t="s">
        <v>1655</v>
      </c>
      <c r="I216" s="36" t="s">
        <v>1656</v>
      </c>
      <c r="J216" s="36" t="s">
        <v>1656</v>
      </c>
      <c r="K216" s="36" t="s">
        <v>1752</v>
      </c>
      <c r="L216" s="36" t="s">
        <v>1669</v>
      </c>
      <c r="M216" s="36" t="s">
        <v>1669</v>
      </c>
      <c r="N216" s="36" t="s">
        <v>32</v>
      </c>
    </row>
    <row r="217">
      <c r="A217" s="36" t="s">
        <v>2171</v>
      </c>
      <c r="B217" s="154" t="s">
        <v>2168</v>
      </c>
      <c r="C217" s="36" t="s">
        <v>1666</v>
      </c>
      <c r="D217" s="36" t="s">
        <v>73</v>
      </c>
      <c r="E217" s="36" t="s">
        <v>73</v>
      </c>
      <c r="F217" s="154" t="s">
        <v>1754</v>
      </c>
      <c r="G217" s="36" t="s">
        <v>28</v>
      </c>
      <c r="H217" s="36" t="s">
        <v>1655</v>
      </c>
      <c r="I217" s="36" t="s">
        <v>1656</v>
      </c>
      <c r="J217" s="36" t="s">
        <v>1656</v>
      </c>
      <c r="K217" s="36" t="s">
        <v>1755</v>
      </c>
      <c r="L217" s="36" t="s">
        <v>1669</v>
      </c>
      <c r="M217" s="36" t="s">
        <v>1669</v>
      </c>
      <c r="N217" s="36" t="s">
        <v>32</v>
      </c>
    </row>
    <row r="218">
      <c r="A218" s="36" t="s">
        <v>2172</v>
      </c>
      <c r="B218" s="154" t="s">
        <v>2168</v>
      </c>
      <c r="C218" s="36" t="s">
        <v>1666</v>
      </c>
      <c r="D218" s="36" t="s">
        <v>74</v>
      </c>
      <c r="E218" s="36" t="s">
        <v>74</v>
      </c>
      <c r="F218" s="154" t="s">
        <v>1751</v>
      </c>
      <c r="G218" s="36" t="s">
        <v>32</v>
      </c>
      <c r="H218" s="36" t="s">
        <v>1655</v>
      </c>
      <c r="I218" s="36" t="s">
        <v>1656</v>
      </c>
      <c r="J218" s="36" t="s">
        <v>1656</v>
      </c>
      <c r="K218" s="36" t="s">
        <v>1757</v>
      </c>
      <c r="L218" s="36" t="s">
        <v>1669</v>
      </c>
      <c r="M218" s="36" t="s">
        <v>1669</v>
      </c>
      <c r="N218" s="36" t="s">
        <v>32</v>
      </c>
    </row>
    <row r="219">
      <c r="A219" s="36" t="s">
        <v>2173</v>
      </c>
      <c r="B219" s="154" t="s">
        <v>2168</v>
      </c>
      <c r="C219" s="36" t="s">
        <v>1666</v>
      </c>
      <c r="D219" s="36" t="s">
        <v>75</v>
      </c>
      <c r="E219" s="36" t="s">
        <v>75</v>
      </c>
      <c r="F219" s="154" t="s">
        <v>1759</v>
      </c>
      <c r="G219" s="36" t="s">
        <v>28</v>
      </c>
      <c r="H219" s="36" t="s">
        <v>1655</v>
      </c>
      <c r="I219" s="36" t="s">
        <v>1656</v>
      </c>
      <c r="J219" s="36" t="s">
        <v>1656</v>
      </c>
      <c r="K219" s="36" t="s">
        <v>1760</v>
      </c>
      <c r="L219" s="36" t="s">
        <v>1669</v>
      </c>
      <c r="M219" s="36" t="s">
        <v>1669</v>
      </c>
      <c r="N219" s="36" t="s">
        <v>32</v>
      </c>
    </row>
    <row r="220">
      <c r="A220" s="36" t="s">
        <v>2174</v>
      </c>
      <c r="B220" s="154" t="s">
        <v>2168</v>
      </c>
      <c r="C220" s="36" t="s">
        <v>1666</v>
      </c>
      <c r="D220" s="36" t="s">
        <v>76</v>
      </c>
      <c r="E220" s="36" t="s">
        <v>76</v>
      </c>
      <c r="F220" s="154" t="s">
        <v>2175</v>
      </c>
      <c r="G220" s="36" t="s">
        <v>28</v>
      </c>
      <c r="H220" s="36" t="s">
        <v>1655</v>
      </c>
      <c r="I220" s="36" t="s">
        <v>1656</v>
      </c>
      <c r="J220" s="36" t="s">
        <v>1656</v>
      </c>
      <c r="K220" s="36" t="s">
        <v>1763</v>
      </c>
      <c r="L220" s="36" t="s">
        <v>1669</v>
      </c>
      <c r="M220" s="36" t="s">
        <v>1669</v>
      </c>
      <c r="N220" s="36" t="s">
        <v>32</v>
      </c>
    </row>
    <row r="221">
      <c r="A221" s="36" t="s">
        <v>2176</v>
      </c>
      <c r="B221" s="154" t="s">
        <v>2168</v>
      </c>
      <c r="C221" s="36" t="s">
        <v>1666</v>
      </c>
      <c r="D221" s="36" t="s">
        <v>919</v>
      </c>
      <c r="E221" s="36" t="s">
        <v>919</v>
      </c>
      <c r="F221" s="154" t="s">
        <v>1765</v>
      </c>
      <c r="G221" s="36" t="s">
        <v>28</v>
      </c>
      <c r="H221" s="36" t="s">
        <v>1655</v>
      </c>
      <c r="I221" s="36" t="s">
        <v>1656</v>
      </c>
      <c r="J221" s="36" t="s">
        <v>1656</v>
      </c>
      <c r="K221" s="36" t="s">
        <v>1766</v>
      </c>
      <c r="L221" s="36" t="s">
        <v>1669</v>
      </c>
      <c r="M221" s="36" t="s">
        <v>1669</v>
      </c>
      <c r="N221" s="36" t="s">
        <v>32</v>
      </c>
    </row>
    <row r="222">
      <c r="A222" s="36" t="s">
        <v>2177</v>
      </c>
      <c r="B222" s="154" t="s">
        <v>2168</v>
      </c>
      <c r="C222" s="36" t="s">
        <v>1666</v>
      </c>
      <c r="D222" s="36" t="s">
        <v>77</v>
      </c>
      <c r="E222" s="36" t="s">
        <v>77</v>
      </c>
      <c r="F222" s="154" t="s">
        <v>1768</v>
      </c>
      <c r="G222" s="36" t="s">
        <v>34</v>
      </c>
      <c r="H222" s="36" t="s">
        <v>1655</v>
      </c>
      <c r="I222" s="36" t="s">
        <v>1656</v>
      </c>
      <c r="J222" s="36" t="s">
        <v>1656</v>
      </c>
      <c r="K222" s="36" t="s">
        <v>1769</v>
      </c>
      <c r="L222" s="36" t="s">
        <v>1669</v>
      </c>
      <c r="M222" s="36" t="s">
        <v>1669</v>
      </c>
      <c r="N222" s="36" t="s">
        <v>32</v>
      </c>
    </row>
    <row r="223">
      <c r="A223" s="36" t="s">
        <v>2178</v>
      </c>
      <c r="B223" s="154" t="s">
        <v>2168</v>
      </c>
      <c r="C223" s="36" t="s">
        <v>1666</v>
      </c>
      <c r="D223" s="36" t="s">
        <v>209</v>
      </c>
      <c r="E223" s="36" t="s">
        <v>209</v>
      </c>
      <c r="F223" s="154" t="s">
        <v>2179</v>
      </c>
      <c r="G223" s="36" t="s">
        <v>28</v>
      </c>
      <c r="H223" s="36" t="s">
        <v>1655</v>
      </c>
      <c r="I223" s="36" t="s">
        <v>1656</v>
      </c>
      <c r="J223" s="36" t="s">
        <v>1656</v>
      </c>
      <c r="K223" s="36" t="s">
        <v>1745</v>
      </c>
      <c r="L223" s="36" t="s">
        <v>1669</v>
      </c>
      <c r="M223" s="36" t="s">
        <v>1669</v>
      </c>
      <c r="N223" s="36" t="s">
        <v>32</v>
      </c>
    </row>
    <row r="224">
      <c r="A224" s="36" t="s">
        <v>2180</v>
      </c>
      <c r="B224" s="154" t="s">
        <v>2168</v>
      </c>
      <c r="C224" s="36" t="s">
        <v>1666</v>
      </c>
      <c r="D224" s="36" t="s">
        <v>1445</v>
      </c>
      <c r="E224" s="36" t="s">
        <v>1445</v>
      </c>
      <c r="F224" s="154" t="s">
        <v>2181</v>
      </c>
      <c r="G224" s="36" t="s">
        <v>32</v>
      </c>
      <c r="H224" s="36" t="s">
        <v>1655</v>
      </c>
      <c r="I224" s="36" t="s">
        <v>1656</v>
      </c>
      <c r="J224" s="36" t="s">
        <v>1656</v>
      </c>
      <c r="K224" s="36" t="s">
        <v>1773</v>
      </c>
      <c r="L224" s="36" t="s">
        <v>1669</v>
      </c>
      <c r="M224" s="36" t="s">
        <v>1669</v>
      </c>
      <c r="N224" s="36" t="s">
        <v>32</v>
      </c>
    </row>
    <row r="225">
      <c r="A225" s="36" t="s">
        <v>2182</v>
      </c>
      <c r="B225" s="154" t="s">
        <v>2168</v>
      </c>
      <c r="C225" s="36" t="s">
        <v>1666</v>
      </c>
      <c r="D225" s="36" t="s">
        <v>502</v>
      </c>
      <c r="E225" s="36" t="s">
        <v>502</v>
      </c>
      <c r="F225" s="154" t="s">
        <v>2183</v>
      </c>
      <c r="G225" s="36" t="s">
        <v>32</v>
      </c>
      <c r="H225" s="36" t="s">
        <v>1655</v>
      </c>
      <c r="I225" s="36" t="s">
        <v>1656</v>
      </c>
      <c r="J225" s="36" t="s">
        <v>1656</v>
      </c>
      <c r="K225" s="36" t="s">
        <v>1776</v>
      </c>
      <c r="L225" s="36" t="s">
        <v>1669</v>
      </c>
      <c r="M225" s="36" t="s">
        <v>1669</v>
      </c>
      <c r="N225" s="36" t="s">
        <v>32</v>
      </c>
    </row>
    <row r="226">
      <c r="A226" s="36" t="s">
        <v>2184</v>
      </c>
      <c r="B226" s="154" t="s">
        <v>2168</v>
      </c>
      <c r="C226" s="36" t="s">
        <v>1666</v>
      </c>
      <c r="D226" s="36" t="s">
        <v>511</v>
      </c>
      <c r="E226" s="36" t="s">
        <v>511</v>
      </c>
      <c r="F226" s="154" t="s">
        <v>2185</v>
      </c>
      <c r="G226" s="36" t="s">
        <v>28</v>
      </c>
      <c r="H226" s="36" t="s">
        <v>1655</v>
      </c>
      <c r="I226" s="36" t="s">
        <v>1656</v>
      </c>
      <c r="J226" s="36" t="s">
        <v>1656</v>
      </c>
      <c r="K226" s="36" t="s">
        <v>1779</v>
      </c>
      <c r="L226" s="36" t="s">
        <v>1669</v>
      </c>
      <c r="M226" s="36" t="s">
        <v>1669</v>
      </c>
      <c r="N226" s="36" t="s">
        <v>32</v>
      </c>
    </row>
    <row r="227">
      <c r="A227" s="36" t="s">
        <v>2186</v>
      </c>
      <c r="B227" s="154" t="s">
        <v>2168</v>
      </c>
      <c r="C227" s="36" t="s">
        <v>1666</v>
      </c>
      <c r="D227" s="36" t="s">
        <v>1222</v>
      </c>
      <c r="E227" s="36" t="s">
        <v>1222</v>
      </c>
      <c r="F227" s="154" t="s">
        <v>2187</v>
      </c>
      <c r="G227" s="36" t="s">
        <v>32</v>
      </c>
      <c r="H227" s="36" t="s">
        <v>1655</v>
      </c>
      <c r="I227" s="36" t="s">
        <v>1656</v>
      </c>
      <c r="J227" s="36" t="s">
        <v>1656</v>
      </c>
      <c r="K227" s="36" t="s">
        <v>1782</v>
      </c>
      <c r="L227" s="36" t="s">
        <v>1669</v>
      </c>
      <c r="M227" s="36" t="s">
        <v>1669</v>
      </c>
      <c r="N227" s="36" t="s">
        <v>32</v>
      </c>
    </row>
    <row r="228">
      <c r="A228" s="36" t="s">
        <v>2188</v>
      </c>
      <c r="B228" s="154" t="s">
        <v>2168</v>
      </c>
      <c r="C228" s="36" t="s">
        <v>1666</v>
      </c>
      <c r="D228" s="36" t="s">
        <v>1226</v>
      </c>
      <c r="E228" s="36" t="s">
        <v>1226</v>
      </c>
      <c r="F228" s="154" t="s">
        <v>2189</v>
      </c>
      <c r="G228" s="36" t="s">
        <v>28</v>
      </c>
      <c r="H228" s="36" t="s">
        <v>1655</v>
      </c>
      <c r="I228" s="36" t="s">
        <v>1656</v>
      </c>
      <c r="J228" s="36" t="s">
        <v>1656</v>
      </c>
      <c r="K228" s="36" t="s">
        <v>1784</v>
      </c>
      <c r="L228" s="36" t="s">
        <v>1669</v>
      </c>
      <c r="M228" s="36" t="s">
        <v>1669</v>
      </c>
      <c r="N228" s="36" t="s">
        <v>32</v>
      </c>
    </row>
    <row r="229">
      <c r="A229" s="36" t="s">
        <v>2190</v>
      </c>
      <c r="B229" s="154" t="s">
        <v>2191</v>
      </c>
      <c r="C229" s="36" t="s">
        <v>1653</v>
      </c>
      <c r="D229" s="36" t="s">
        <v>701</v>
      </c>
      <c r="E229" s="36" t="s">
        <v>39</v>
      </c>
      <c r="F229" s="154" t="s">
        <v>2192</v>
      </c>
      <c r="G229" s="36" t="s">
        <v>32</v>
      </c>
      <c r="H229" s="36" t="s">
        <v>1655</v>
      </c>
      <c r="I229" s="36" t="s">
        <v>1656</v>
      </c>
      <c r="J229" s="36" t="s">
        <v>1656</v>
      </c>
      <c r="K229" s="36" t="s">
        <v>1749</v>
      </c>
      <c r="L229" s="36" t="s">
        <v>1944</v>
      </c>
      <c r="M229" s="36" t="s">
        <v>1944</v>
      </c>
      <c r="N229" s="36" t="s">
        <v>32</v>
      </c>
    </row>
    <row r="230">
      <c r="A230" s="36" t="s">
        <v>2193</v>
      </c>
      <c r="B230" s="154" t="s">
        <v>2191</v>
      </c>
      <c r="C230" s="36" t="s">
        <v>1666</v>
      </c>
      <c r="D230" s="36" t="s">
        <v>1452</v>
      </c>
      <c r="E230" s="36" t="s">
        <v>1452</v>
      </c>
      <c r="F230" s="154" t="s">
        <v>2027</v>
      </c>
      <c r="G230" s="36" t="s">
        <v>30</v>
      </c>
      <c r="H230" s="36" t="s">
        <v>1655</v>
      </c>
      <c r="I230" s="36" t="s">
        <v>1656</v>
      </c>
      <c r="J230" s="36" t="s">
        <v>1656</v>
      </c>
      <c r="K230" s="36" t="s">
        <v>1787</v>
      </c>
      <c r="L230" s="36" t="s">
        <v>1669</v>
      </c>
      <c r="M230" s="36" t="s">
        <v>1669</v>
      </c>
      <c r="N230" s="36" t="s">
        <v>32</v>
      </c>
    </row>
    <row r="231">
      <c r="A231" s="36" t="s">
        <v>2194</v>
      </c>
      <c r="B231" s="154" t="s">
        <v>2191</v>
      </c>
      <c r="C231" s="36" t="s">
        <v>1666</v>
      </c>
      <c r="D231" s="36" t="s">
        <v>124</v>
      </c>
      <c r="E231" s="36" t="s">
        <v>124</v>
      </c>
      <c r="F231" s="154" t="s">
        <v>2195</v>
      </c>
      <c r="G231" s="36" t="s">
        <v>28</v>
      </c>
      <c r="H231" s="36" t="s">
        <v>1655</v>
      </c>
      <c r="I231" s="36" t="s">
        <v>1656</v>
      </c>
      <c r="J231" s="36" t="s">
        <v>1656</v>
      </c>
      <c r="K231" s="36" t="s">
        <v>1790</v>
      </c>
      <c r="L231" s="36" t="s">
        <v>1669</v>
      </c>
      <c r="M231" s="36" t="s">
        <v>1669</v>
      </c>
      <c r="N231" s="36" t="s">
        <v>32</v>
      </c>
    </row>
    <row r="232">
      <c r="A232" s="36" t="s">
        <v>2196</v>
      </c>
      <c r="B232" s="154" t="s">
        <v>2197</v>
      </c>
      <c r="C232" s="36" t="s">
        <v>1666</v>
      </c>
      <c r="D232" s="36" t="s">
        <v>78</v>
      </c>
      <c r="E232" s="36" t="s">
        <v>78</v>
      </c>
      <c r="F232" s="154" t="s">
        <v>1810</v>
      </c>
      <c r="G232" s="36" t="s">
        <v>28</v>
      </c>
      <c r="H232" s="36" t="s">
        <v>1655</v>
      </c>
      <c r="I232" s="36" t="s">
        <v>1656</v>
      </c>
      <c r="J232" s="36" t="s">
        <v>1656</v>
      </c>
      <c r="K232" s="36" t="s">
        <v>1811</v>
      </c>
      <c r="L232" s="36" t="s">
        <v>1669</v>
      </c>
      <c r="M232" s="36" t="s">
        <v>1669</v>
      </c>
      <c r="N232" s="36" t="s">
        <v>32</v>
      </c>
    </row>
    <row r="233">
      <c r="A233" s="36" t="s">
        <v>2198</v>
      </c>
      <c r="B233" s="154" t="s">
        <v>2197</v>
      </c>
      <c r="C233" s="36" t="s">
        <v>1666</v>
      </c>
      <c r="D233" s="36" t="s">
        <v>108</v>
      </c>
      <c r="E233" s="36" t="s">
        <v>108</v>
      </c>
      <c r="F233" s="154" t="s">
        <v>1799</v>
      </c>
      <c r="G233" s="36" t="s">
        <v>28</v>
      </c>
      <c r="H233" s="36" t="s">
        <v>1655</v>
      </c>
      <c r="I233" s="36" t="s">
        <v>1656</v>
      </c>
      <c r="J233" s="36" t="s">
        <v>1656</v>
      </c>
      <c r="K233" s="36" t="s">
        <v>1793</v>
      </c>
      <c r="L233" s="36" t="s">
        <v>1669</v>
      </c>
      <c r="M233" s="36" t="s">
        <v>1669</v>
      </c>
      <c r="N233" s="36" t="s">
        <v>32</v>
      </c>
    </row>
    <row r="234">
      <c r="A234" s="36" t="s">
        <v>2199</v>
      </c>
      <c r="B234" s="154" t="s">
        <v>2197</v>
      </c>
      <c r="C234" s="36" t="s">
        <v>1666</v>
      </c>
      <c r="D234" s="36" t="s">
        <v>108</v>
      </c>
      <c r="E234" s="36" t="s">
        <v>108</v>
      </c>
      <c r="F234" s="154" t="s">
        <v>1683</v>
      </c>
      <c r="G234" s="36" t="s">
        <v>32</v>
      </c>
      <c r="H234" s="36" t="s">
        <v>1655</v>
      </c>
      <c r="I234" s="36" t="s">
        <v>1656</v>
      </c>
      <c r="J234" s="36" t="s">
        <v>1656</v>
      </c>
      <c r="K234" s="36" t="s">
        <v>1796</v>
      </c>
      <c r="L234" s="36" t="s">
        <v>1669</v>
      </c>
      <c r="M234" s="36" t="s">
        <v>1669</v>
      </c>
      <c r="N234" s="36" t="s">
        <v>32</v>
      </c>
    </row>
    <row r="235">
      <c r="A235" s="36" t="s">
        <v>2200</v>
      </c>
      <c r="B235" s="154" t="s">
        <v>2197</v>
      </c>
      <c r="C235" s="36" t="s">
        <v>1666</v>
      </c>
      <c r="D235" s="36" t="s">
        <v>832</v>
      </c>
      <c r="E235" s="36" t="s">
        <v>832</v>
      </c>
      <c r="F235" s="154" t="s">
        <v>1744</v>
      </c>
      <c r="G235" s="36" t="s">
        <v>28</v>
      </c>
      <c r="H235" s="36" t="s">
        <v>1655</v>
      </c>
      <c r="I235" s="36" t="s">
        <v>1656</v>
      </c>
      <c r="J235" s="36" t="s">
        <v>1656</v>
      </c>
      <c r="K235" s="36" t="s">
        <v>1800</v>
      </c>
      <c r="L235" s="36" t="s">
        <v>1669</v>
      </c>
      <c r="M235" s="36" t="s">
        <v>1669</v>
      </c>
      <c r="N235" s="36" t="s">
        <v>32</v>
      </c>
    </row>
    <row r="236">
      <c r="A236" s="36" t="s">
        <v>2201</v>
      </c>
      <c r="B236" s="154" t="s">
        <v>2197</v>
      </c>
      <c r="C236" s="36" t="s">
        <v>1666</v>
      </c>
      <c r="D236" s="36" t="s">
        <v>966</v>
      </c>
      <c r="E236" s="36" t="s">
        <v>966</v>
      </c>
      <c r="F236" s="154" t="s">
        <v>2202</v>
      </c>
      <c r="G236" s="36" t="s">
        <v>28</v>
      </c>
      <c r="H236" s="36" t="s">
        <v>1655</v>
      </c>
      <c r="I236" s="36" t="s">
        <v>1656</v>
      </c>
      <c r="J236" s="36" t="s">
        <v>1656</v>
      </c>
      <c r="K236" s="36" t="s">
        <v>1803</v>
      </c>
      <c r="L236" s="36" t="s">
        <v>1669</v>
      </c>
      <c r="M236" s="36" t="s">
        <v>1669</v>
      </c>
      <c r="N236" s="36" t="s">
        <v>32</v>
      </c>
    </row>
    <row r="237">
      <c r="A237" s="36" t="s">
        <v>2203</v>
      </c>
      <c r="B237" s="154" t="s">
        <v>2197</v>
      </c>
      <c r="C237" s="36" t="s">
        <v>1666</v>
      </c>
      <c r="D237" s="36" t="s">
        <v>1431</v>
      </c>
      <c r="E237" s="36" t="s">
        <v>1431</v>
      </c>
      <c r="F237" s="154" t="s">
        <v>1810</v>
      </c>
      <c r="G237" s="36" t="s">
        <v>28</v>
      </c>
      <c r="H237" s="36" t="s">
        <v>1655</v>
      </c>
      <c r="I237" s="36" t="s">
        <v>1656</v>
      </c>
      <c r="J237" s="36" t="s">
        <v>1656</v>
      </c>
      <c r="K237" s="36" t="s">
        <v>1807</v>
      </c>
      <c r="L237" s="36" t="s">
        <v>1669</v>
      </c>
      <c r="M237" s="36" t="s">
        <v>1669</v>
      </c>
      <c r="N237" s="36" t="s">
        <v>34</v>
      </c>
    </row>
    <row r="238">
      <c r="A238" s="36" t="s">
        <v>2204</v>
      </c>
      <c r="B238" s="154" t="s">
        <v>2197</v>
      </c>
      <c r="C238" s="36" t="s">
        <v>1666</v>
      </c>
      <c r="D238" s="36" t="s">
        <v>1335</v>
      </c>
      <c r="E238" s="36" t="s">
        <v>1335</v>
      </c>
      <c r="F238" s="154" t="s">
        <v>1806</v>
      </c>
      <c r="G238" s="36" t="s">
        <v>28</v>
      </c>
      <c r="H238" s="36" t="s">
        <v>1655</v>
      </c>
      <c r="I238" s="36" t="s">
        <v>1656</v>
      </c>
      <c r="J238" s="36" t="s">
        <v>1656</v>
      </c>
      <c r="K238" s="36" t="s">
        <v>1814</v>
      </c>
      <c r="L238" s="36" t="s">
        <v>1669</v>
      </c>
      <c r="M238" s="36" t="s">
        <v>1669</v>
      </c>
      <c r="N238" s="36" t="s">
        <v>34</v>
      </c>
    </row>
    <row r="239">
      <c r="A239" s="36" t="s">
        <v>2205</v>
      </c>
      <c r="B239" s="154" t="s">
        <v>2206</v>
      </c>
      <c r="C239" s="36" t="s">
        <v>1666</v>
      </c>
      <c r="D239" s="36" t="s">
        <v>2207</v>
      </c>
      <c r="E239" s="36" t="s">
        <v>2207</v>
      </c>
      <c r="F239" s="154" t="s">
        <v>1768</v>
      </c>
      <c r="G239" s="36" t="s">
        <v>28</v>
      </c>
      <c r="H239" s="36" t="s">
        <v>1655</v>
      </c>
      <c r="I239" s="36" t="s">
        <v>1656</v>
      </c>
      <c r="J239" s="36" t="s">
        <v>1656</v>
      </c>
      <c r="K239" s="36" t="s">
        <v>1817</v>
      </c>
      <c r="L239" s="36" t="s">
        <v>1669</v>
      </c>
      <c r="M239" s="36" t="s">
        <v>1669</v>
      </c>
      <c r="N239" s="36" t="s">
        <v>32</v>
      </c>
    </row>
    <row r="240">
      <c r="A240" s="36" t="s">
        <v>2208</v>
      </c>
      <c r="B240" s="154" t="s">
        <v>2209</v>
      </c>
      <c r="C240" s="36" t="s">
        <v>1666</v>
      </c>
      <c r="D240" s="36" t="s">
        <v>1474</v>
      </c>
      <c r="E240" s="36" t="s">
        <v>1474</v>
      </c>
      <c r="F240" s="154" t="s">
        <v>1799</v>
      </c>
      <c r="G240" s="36" t="s">
        <v>32</v>
      </c>
      <c r="H240" s="36" t="s">
        <v>1655</v>
      </c>
      <c r="I240" s="36" t="s">
        <v>1656</v>
      </c>
      <c r="J240" s="36" t="s">
        <v>1656</v>
      </c>
      <c r="K240" s="36" t="s">
        <v>1820</v>
      </c>
      <c r="L240" s="36" t="s">
        <v>1669</v>
      </c>
      <c r="M240" s="36" t="s">
        <v>1669</v>
      </c>
      <c r="N240" s="36" t="s">
        <v>32</v>
      </c>
    </row>
    <row r="241">
      <c r="A241" s="36" t="s">
        <v>2210</v>
      </c>
      <c r="B241" s="154" t="s">
        <v>2209</v>
      </c>
      <c r="C241" s="36" t="s">
        <v>1666</v>
      </c>
      <c r="D241" s="36" t="s">
        <v>893</v>
      </c>
      <c r="E241" s="36" t="s">
        <v>893</v>
      </c>
      <c r="F241" s="154" t="s">
        <v>1806</v>
      </c>
      <c r="G241" s="36" t="s">
        <v>28</v>
      </c>
      <c r="H241" s="36" t="s">
        <v>1655</v>
      </c>
      <c r="I241" s="36" t="s">
        <v>1656</v>
      </c>
      <c r="J241" s="36" t="s">
        <v>1656</v>
      </c>
      <c r="K241" s="36" t="s">
        <v>1823</v>
      </c>
      <c r="L241" s="36" t="s">
        <v>1669</v>
      </c>
      <c r="M241" s="36" t="s">
        <v>1669</v>
      </c>
      <c r="N241" s="36" t="s">
        <v>32</v>
      </c>
    </row>
    <row r="242">
      <c r="A242" s="36" t="s">
        <v>2211</v>
      </c>
      <c r="B242" s="154" t="s">
        <v>2209</v>
      </c>
      <c r="C242" s="36" t="s">
        <v>1666</v>
      </c>
      <c r="D242" s="36" t="s">
        <v>295</v>
      </c>
      <c r="E242" s="36" t="s">
        <v>295</v>
      </c>
      <c r="F242" s="154" t="s">
        <v>1929</v>
      </c>
      <c r="G242" s="36" t="s">
        <v>28</v>
      </c>
      <c r="H242" s="36" t="s">
        <v>1655</v>
      </c>
      <c r="I242" s="36" t="s">
        <v>1656</v>
      </c>
      <c r="J242" s="36" t="s">
        <v>1656</v>
      </c>
      <c r="K242" s="36" t="s">
        <v>1826</v>
      </c>
      <c r="L242" s="36" t="s">
        <v>1669</v>
      </c>
      <c r="M242" s="36" t="s">
        <v>1669</v>
      </c>
      <c r="N242" s="36" t="s">
        <v>32</v>
      </c>
    </row>
    <row r="243">
      <c r="A243" s="36" t="s">
        <v>2212</v>
      </c>
      <c r="B243" s="154" t="s">
        <v>2209</v>
      </c>
      <c r="C243" s="36" t="s">
        <v>1666</v>
      </c>
      <c r="D243" s="36" t="s">
        <v>313</v>
      </c>
      <c r="E243" s="36" t="s">
        <v>313</v>
      </c>
      <c r="F243" s="154" t="s">
        <v>1799</v>
      </c>
      <c r="G243" s="36" t="s">
        <v>32</v>
      </c>
      <c r="H243" s="36" t="s">
        <v>1655</v>
      </c>
      <c r="I243" s="36" t="s">
        <v>1656</v>
      </c>
      <c r="J243" s="36" t="s">
        <v>1656</v>
      </c>
      <c r="K243" s="36" t="s">
        <v>1830</v>
      </c>
      <c r="L243" s="36" t="s">
        <v>1669</v>
      </c>
      <c r="M243" s="36" t="s">
        <v>1669</v>
      </c>
      <c r="N243" s="36" t="s">
        <v>32</v>
      </c>
    </row>
    <row r="244">
      <c r="A244" s="36" t="s">
        <v>2213</v>
      </c>
      <c r="B244" s="154" t="s">
        <v>2209</v>
      </c>
      <c r="C244" s="36" t="s">
        <v>1666</v>
      </c>
      <c r="D244" s="36" t="s">
        <v>1484</v>
      </c>
      <c r="E244" s="36" t="s">
        <v>1484</v>
      </c>
      <c r="F244" s="154" t="s">
        <v>2214</v>
      </c>
      <c r="G244" s="36" t="s">
        <v>34</v>
      </c>
      <c r="H244" s="36" t="s">
        <v>1655</v>
      </c>
      <c r="I244" s="36" t="s">
        <v>1656</v>
      </c>
      <c r="J244" s="36" t="s">
        <v>1656</v>
      </c>
      <c r="K244" s="36" t="s">
        <v>1833</v>
      </c>
      <c r="L244" s="36" t="s">
        <v>1669</v>
      </c>
      <c r="M244" s="36" t="s">
        <v>1669</v>
      </c>
      <c r="N244" s="36" t="s">
        <v>32</v>
      </c>
    </row>
    <row r="245">
      <c r="A245" s="36" t="s">
        <v>2215</v>
      </c>
      <c r="B245" s="154" t="s">
        <v>2216</v>
      </c>
      <c r="C245" s="36" t="s">
        <v>1666</v>
      </c>
      <c r="D245" s="36" t="s">
        <v>689</v>
      </c>
      <c r="E245" s="36" t="s">
        <v>689</v>
      </c>
      <c r="F245" s="154" t="s">
        <v>2217</v>
      </c>
      <c r="G245" s="36" t="s">
        <v>28</v>
      </c>
      <c r="H245" s="36" t="s">
        <v>1655</v>
      </c>
      <c r="I245" s="36" t="s">
        <v>1656</v>
      </c>
      <c r="J245" s="36" t="s">
        <v>1656</v>
      </c>
      <c r="K245" s="36" t="s">
        <v>1836</v>
      </c>
      <c r="L245" s="36" t="s">
        <v>1669</v>
      </c>
      <c r="M245" s="36" t="s">
        <v>1669</v>
      </c>
      <c r="N245" s="36" t="s">
        <v>32</v>
      </c>
    </row>
    <row r="246">
      <c r="A246" s="36" t="s">
        <v>2218</v>
      </c>
      <c r="B246" s="154" t="s">
        <v>2216</v>
      </c>
      <c r="C246" s="36" t="s">
        <v>1666</v>
      </c>
      <c r="D246" s="36" t="s">
        <v>966</v>
      </c>
      <c r="E246" s="36" t="s">
        <v>966</v>
      </c>
      <c r="F246" s="154" t="s">
        <v>2044</v>
      </c>
      <c r="G246" s="36" t="s">
        <v>28</v>
      </c>
      <c r="H246" s="36" t="s">
        <v>1655</v>
      </c>
      <c r="I246" s="36" t="s">
        <v>1656</v>
      </c>
      <c r="J246" s="36" t="s">
        <v>1656</v>
      </c>
      <c r="K246" s="36" t="s">
        <v>1839</v>
      </c>
      <c r="L246" s="36" t="s">
        <v>1669</v>
      </c>
      <c r="M246" s="36" t="s">
        <v>1669</v>
      </c>
      <c r="N246" s="36" t="s">
        <v>32</v>
      </c>
    </row>
    <row r="247">
      <c r="A247" s="36" t="s">
        <v>2219</v>
      </c>
      <c r="B247" s="154" t="s">
        <v>2216</v>
      </c>
      <c r="C247" s="36" t="s">
        <v>1666</v>
      </c>
      <c r="D247" s="36" t="s">
        <v>124</v>
      </c>
      <c r="E247" s="36" t="s">
        <v>124</v>
      </c>
      <c r="F247" s="154" t="s">
        <v>2220</v>
      </c>
      <c r="G247" s="36" t="s">
        <v>28</v>
      </c>
      <c r="H247" s="36" t="s">
        <v>1655</v>
      </c>
      <c r="I247" s="36" t="s">
        <v>1656</v>
      </c>
      <c r="J247" s="36" t="s">
        <v>1656</v>
      </c>
      <c r="K247" s="36" t="s">
        <v>1842</v>
      </c>
      <c r="L247" s="36" t="s">
        <v>1669</v>
      </c>
      <c r="M247" s="36" t="s">
        <v>1669</v>
      </c>
      <c r="N247" s="36" t="s">
        <v>32</v>
      </c>
    </row>
    <row r="248">
      <c r="A248" s="36" t="s">
        <v>2221</v>
      </c>
      <c r="B248" s="154" t="s">
        <v>2216</v>
      </c>
      <c r="C248" s="36" t="s">
        <v>1666</v>
      </c>
      <c r="D248" s="36" t="s">
        <v>1495</v>
      </c>
      <c r="E248" s="36" t="s">
        <v>1495</v>
      </c>
      <c r="F248" s="154" t="s">
        <v>2222</v>
      </c>
      <c r="G248" s="36" t="s">
        <v>28</v>
      </c>
      <c r="H248" s="36" t="s">
        <v>1655</v>
      </c>
      <c r="I248" s="36" t="s">
        <v>1656</v>
      </c>
      <c r="J248" s="36" t="s">
        <v>1656</v>
      </c>
      <c r="K248" s="36" t="s">
        <v>1845</v>
      </c>
      <c r="L248" s="36" t="s">
        <v>1669</v>
      </c>
      <c r="M248" s="36" t="s">
        <v>1669</v>
      </c>
      <c r="N248" s="36" t="s">
        <v>34</v>
      </c>
    </row>
    <row r="249">
      <c r="A249" s="36" t="s">
        <v>2223</v>
      </c>
      <c r="B249" s="154" t="s">
        <v>2216</v>
      </c>
      <c r="C249" s="36" t="s">
        <v>1666</v>
      </c>
      <c r="D249" s="36" t="s">
        <v>301</v>
      </c>
      <c r="E249" s="36" t="s">
        <v>301</v>
      </c>
      <c r="F249" s="154" t="s">
        <v>1686</v>
      </c>
      <c r="G249" s="36" t="s">
        <v>28</v>
      </c>
      <c r="H249" s="36" t="s">
        <v>1655</v>
      </c>
      <c r="I249" s="36" t="s">
        <v>1656</v>
      </c>
      <c r="J249" s="36" t="s">
        <v>1656</v>
      </c>
      <c r="K249" s="36" t="s">
        <v>1848</v>
      </c>
      <c r="L249" s="36" t="s">
        <v>1669</v>
      </c>
      <c r="M249" s="36" t="s">
        <v>1669</v>
      </c>
      <c r="N249" s="36" t="s">
        <v>32</v>
      </c>
    </row>
    <row r="250">
      <c r="A250" s="36" t="s">
        <v>2224</v>
      </c>
      <c r="B250" s="154" t="s">
        <v>2225</v>
      </c>
      <c r="C250" s="36" t="s">
        <v>1666</v>
      </c>
      <c r="D250" s="36" t="s">
        <v>832</v>
      </c>
      <c r="E250" s="36" t="s">
        <v>832</v>
      </c>
      <c r="F250" s="154" t="s">
        <v>1744</v>
      </c>
      <c r="G250" s="36" t="s">
        <v>28</v>
      </c>
      <c r="H250" s="36" t="s">
        <v>1655</v>
      </c>
      <c r="I250" s="36" t="s">
        <v>1656</v>
      </c>
      <c r="J250" s="36" t="s">
        <v>1656</v>
      </c>
      <c r="K250" s="36" t="s">
        <v>1851</v>
      </c>
      <c r="L250" s="36" t="s">
        <v>1669</v>
      </c>
      <c r="M250" s="36" t="s">
        <v>1669</v>
      </c>
      <c r="N250" s="36" t="s">
        <v>32</v>
      </c>
    </row>
    <row r="251">
      <c r="A251" s="36" t="s">
        <v>2226</v>
      </c>
      <c r="B251" s="154" t="s">
        <v>2225</v>
      </c>
      <c r="C251" s="36" t="s">
        <v>1666</v>
      </c>
      <c r="D251" s="36" t="s">
        <v>1503</v>
      </c>
      <c r="E251" s="36" t="s">
        <v>1503</v>
      </c>
      <c r="F251" s="154" t="s">
        <v>2227</v>
      </c>
      <c r="G251" s="36" t="s">
        <v>28</v>
      </c>
      <c r="H251" s="36" t="s">
        <v>1655</v>
      </c>
      <c r="I251" s="36" t="s">
        <v>1656</v>
      </c>
      <c r="J251" s="36" t="s">
        <v>1656</v>
      </c>
      <c r="K251" s="36" t="s">
        <v>1854</v>
      </c>
      <c r="L251" s="36" t="s">
        <v>1669</v>
      </c>
      <c r="M251" s="36" t="s">
        <v>1669</v>
      </c>
      <c r="N251" s="36" t="s">
        <v>32</v>
      </c>
    </row>
    <row r="252">
      <c r="A252" s="36" t="s">
        <v>2228</v>
      </c>
      <c r="B252" s="154" t="s">
        <v>2229</v>
      </c>
      <c r="C252" s="36" t="s">
        <v>1666</v>
      </c>
      <c r="D252" s="36" t="s">
        <v>305</v>
      </c>
      <c r="E252" s="36" t="s">
        <v>305</v>
      </c>
      <c r="F252" s="154" t="s">
        <v>1729</v>
      </c>
      <c r="G252" s="36" t="s">
        <v>32</v>
      </c>
      <c r="H252" s="36" t="s">
        <v>1655</v>
      </c>
      <c r="I252" s="36" t="s">
        <v>1656</v>
      </c>
      <c r="J252" s="36" t="s">
        <v>1656</v>
      </c>
      <c r="K252" s="36" t="s">
        <v>1857</v>
      </c>
      <c r="L252" s="36" t="s">
        <v>1669</v>
      </c>
      <c r="M252" s="36" t="s">
        <v>1669</v>
      </c>
      <c r="N252" s="36" t="s">
        <v>32</v>
      </c>
    </row>
    <row r="253">
      <c r="A253" s="36" t="s">
        <v>2230</v>
      </c>
      <c r="B253" s="154" t="s">
        <v>2229</v>
      </c>
      <c r="C253" s="36" t="s">
        <v>1666</v>
      </c>
      <c r="D253" s="36" t="s">
        <v>901</v>
      </c>
      <c r="E253" s="36" t="s">
        <v>901</v>
      </c>
      <c r="F253" s="154" t="s">
        <v>1816</v>
      </c>
      <c r="G253" s="36" t="s">
        <v>28</v>
      </c>
      <c r="H253" s="36" t="s">
        <v>1655</v>
      </c>
      <c r="I253" s="36" t="s">
        <v>1656</v>
      </c>
      <c r="J253" s="36" t="s">
        <v>1656</v>
      </c>
      <c r="K253" s="36" t="s">
        <v>1860</v>
      </c>
      <c r="L253" s="36" t="s">
        <v>1669</v>
      </c>
      <c r="M253" s="36" t="s">
        <v>1669</v>
      </c>
      <c r="N253" s="36" t="s">
        <v>32</v>
      </c>
    </row>
    <row r="254">
      <c r="A254" s="36" t="s">
        <v>2231</v>
      </c>
      <c r="B254" s="154" t="s">
        <v>2229</v>
      </c>
      <c r="C254" s="36" t="s">
        <v>1666</v>
      </c>
      <c r="D254" s="36" t="s">
        <v>191</v>
      </c>
      <c r="E254" s="36" t="s">
        <v>191</v>
      </c>
      <c r="F254" s="154" t="s">
        <v>1816</v>
      </c>
      <c r="G254" s="36" t="s">
        <v>28</v>
      </c>
      <c r="H254" s="36" t="s">
        <v>1655</v>
      </c>
      <c r="I254" s="36" t="s">
        <v>1656</v>
      </c>
      <c r="J254" s="36" t="s">
        <v>1656</v>
      </c>
      <c r="K254" s="36" t="s">
        <v>1863</v>
      </c>
      <c r="L254" s="36" t="s">
        <v>1669</v>
      </c>
      <c r="M254" s="36" t="s">
        <v>1669</v>
      </c>
      <c r="N254" s="36" t="s">
        <v>32</v>
      </c>
    </row>
    <row r="255">
      <c r="A255" s="36" t="s">
        <v>2232</v>
      </c>
      <c r="B255" s="154" t="s">
        <v>2229</v>
      </c>
      <c r="C255" s="36" t="s">
        <v>1666</v>
      </c>
      <c r="D255" s="36" t="s">
        <v>1431</v>
      </c>
      <c r="E255" s="36" t="s">
        <v>1431</v>
      </c>
      <c r="F255" s="154" t="s">
        <v>1768</v>
      </c>
      <c r="G255" s="36" t="s">
        <v>28</v>
      </c>
      <c r="H255" s="36" t="s">
        <v>1655</v>
      </c>
      <c r="I255" s="36" t="s">
        <v>1656</v>
      </c>
      <c r="J255" s="36" t="s">
        <v>1656</v>
      </c>
      <c r="K255" s="36" t="s">
        <v>1866</v>
      </c>
      <c r="L255" s="36" t="s">
        <v>1669</v>
      </c>
      <c r="M255" s="36" t="s">
        <v>1669</v>
      </c>
      <c r="N255" s="36" t="s">
        <v>34</v>
      </c>
    </row>
    <row r="256">
      <c r="A256" s="36" t="s">
        <v>2233</v>
      </c>
      <c r="B256" s="154" t="s">
        <v>2229</v>
      </c>
      <c r="C256" s="36" t="s">
        <v>1666</v>
      </c>
      <c r="D256" s="36" t="s">
        <v>1431</v>
      </c>
      <c r="E256" s="36" t="s">
        <v>1431</v>
      </c>
      <c r="F256" s="154" t="s">
        <v>1768</v>
      </c>
      <c r="G256" s="36" t="s">
        <v>28</v>
      </c>
      <c r="H256" s="36" t="s">
        <v>1655</v>
      </c>
      <c r="I256" s="36" t="s">
        <v>1656</v>
      </c>
      <c r="J256" s="36" t="s">
        <v>1656</v>
      </c>
      <c r="K256" s="36" t="s">
        <v>1869</v>
      </c>
      <c r="L256" s="36" t="s">
        <v>1669</v>
      </c>
      <c r="M256" s="36" t="s">
        <v>1669</v>
      </c>
      <c r="N256" s="36" t="s">
        <v>32</v>
      </c>
    </row>
    <row r="257">
      <c r="A257" s="36" t="s">
        <v>2234</v>
      </c>
      <c r="B257" s="154" t="s">
        <v>2235</v>
      </c>
      <c r="C257" s="36" t="s">
        <v>1666</v>
      </c>
      <c r="D257" s="36" t="s">
        <v>966</v>
      </c>
      <c r="E257" s="36" t="s">
        <v>966</v>
      </c>
      <c r="F257" s="154" t="s">
        <v>1929</v>
      </c>
      <c r="G257" s="36" t="s">
        <v>28</v>
      </c>
      <c r="H257" s="36" t="s">
        <v>1655</v>
      </c>
      <c r="I257" s="36" t="s">
        <v>1656</v>
      </c>
      <c r="J257" s="36" t="s">
        <v>1656</v>
      </c>
      <c r="K257" s="36" t="s">
        <v>1872</v>
      </c>
      <c r="L257" s="36" t="s">
        <v>1669</v>
      </c>
      <c r="M257" s="36" t="s">
        <v>1669</v>
      </c>
      <c r="N257" s="36" t="s">
        <v>32</v>
      </c>
    </row>
    <row r="258">
      <c r="A258" s="36" t="s">
        <v>2236</v>
      </c>
      <c r="B258" s="154" t="s">
        <v>2237</v>
      </c>
      <c r="C258" s="36" t="s">
        <v>1666</v>
      </c>
      <c r="D258" s="36" t="s">
        <v>832</v>
      </c>
      <c r="E258" s="36" t="s">
        <v>832</v>
      </c>
      <c r="F258" s="154" t="s">
        <v>1932</v>
      </c>
      <c r="G258" s="36" t="s">
        <v>28</v>
      </c>
      <c r="H258" s="36" t="s">
        <v>1655</v>
      </c>
      <c r="I258" s="36" t="s">
        <v>1656</v>
      </c>
      <c r="J258" s="36" t="s">
        <v>1656</v>
      </c>
      <c r="K258" s="36" t="s">
        <v>1875</v>
      </c>
      <c r="L258" s="36" t="s">
        <v>1669</v>
      </c>
      <c r="M258" s="36" t="s">
        <v>1669</v>
      </c>
      <c r="N258" s="36" t="s">
        <v>34</v>
      </c>
    </row>
    <row r="259">
      <c r="A259" s="36" t="s">
        <v>2238</v>
      </c>
      <c r="B259" s="154" t="s">
        <v>2237</v>
      </c>
      <c r="C259" s="36" t="s">
        <v>1666</v>
      </c>
      <c r="D259" s="36" t="s">
        <v>339</v>
      </c>
      <c r="E259" s="36" t="s">
        <v>339</v>
      </c>
      <c r="F259" s="154" t="s">
        <v>1723</v>
      </c>
      <c r="G259" s="36" t="s">
        <v>28</v>
      </c>
      <c r="H259" s="36" t="s">
        <v>1655</v>
      </c>
      <c r="I259" s="36" t="s">
        <v>1656</v>
      </c>
      <c r="J259" s="36" t="s">
        <v>1656</v>
      </c>
      <c r="K259" s="36" t="s">
        <v>1878</v>
      </c>
      <c r="L259" s="36" t="s">
        <v>1669</v>
      </c>
      <c r="M259" s="36" t="s">
        <v>1669</v>
      </c>
      <c r="N259" s="36" t="s">
        <v>34</v>
      </c>
    </row>
    <row r="260">
      <c r="A260" s="36" t="s">
        <v>2239</v>
      </c>
      <c r="B260" s="154" t="s">
        <v>2240</v>
      </c>
      <c r="C260" s="36" t="s">
        <v>1666</v>
      </c>
      <c r="D260" s="36" t="s">
        <v>299</v>
      </c>
      <c r="E260" s="36" t="s">
        <v>299</v>
      </c>
      <c r="F260" s="154" t="s">
        <v>2044</v>
      </c>
      <c r="G260" s="36" t="s">
        <v>28</v>
      </c>
      <c r="H260" s="36" t="s">
        <v>1655</v>
      </c>
      <c r="I260" s="36" t="s">
        <v>1656</v>
      </c>
      <c r="J260" s="36" t="s">
        <v>1656</v>
      </c>
      <c r="K260" s="36" t="s">
        <v>1881</v>
      </c>
      <c r="L260" s="36" t="s">
        <v>1669</v>
      </c>
      <c r="M260" s="36" t="s">
        <v>1669</v>
      </c>
      <c r="N260" s="36" t="s">
        <v>34</v>
      </c>
    </row>
    <row r="261">
      <c r="A261" s="36" t="s">
        <v>2241</v>
      </c>
      <c r="B261" s="154" t="s">
        <v>2242</v>
      </c>
      <c r="C261" s="36" t="s">
        <v>1666</v>
      </c>
      <c r="D261" s="36" t="s">
        <v>714</v>
      </c>
      <c r="E261" s="36" t="s">
        <v>714</v>
      </c>
      <c r="F261" s="154" t="s">
        <v>2090</v>
      </c>
      <c r="G261" s="36" t="s">
        <v>32</v>
      </c>
      <c r="H261" s="36" t="s">
        <v>1655</v>
      </c>
      <c r="I261" s="36" t="s">
        <v>1656</v>
      </c>
      <c r="J261" s="36" t="s">
        <v>1656</v>
      </c>
      <c r="K261" s="36" t="s">
        <v>1891</v>
      </c>
      <c r="L261" s="36" t="s">
        <v>1669</v>
      </c>
      <c r="M261" s="36" t="s">
        <v>1669</v>
      </c>
      <c r="N261" s="36" t="s">
        <v>32</v>
      </c>
    </row>
    <row r="262">
      <c r="A262" s="36" t="s">
        <v>2243</v>
      </c>
      <c r="B262" s="154" t="s">
        <v>2242</v>
      </c>
      <c r="C262" s="36" t="s">
        <v>1666</v>
      </c>
      <c r="D262" s="36" t="s">
        <v>310</v>
      </c>
      <c r="E262" s="36" t="s">
        <v>310</v>
      </c>
      <c r="F262" s="154" t="s">
        <v>1744</v>
      </c>
      <c r="G262" s="36" t="s">
        <v>28</v>
      </c>
      <c r="H262" s="36" t="s">
        <v>1655</v>
      </c>
      <c r="I262" s="36" t="s">
        <v>1656</v>
      </c>
      <c r="J262" s="36" t="s">
        <v>1656</v>
      </c>
      <c r="K262" s="36" t="s">
        <v>1884</v>
      </c>
      <c r="L262" s="36" t="s">
        <v>1669</v>
      </c>
      <c r="M262" s="36" t="s">
        <v>1669</v>
      </c>
      <c r="N262" s="36" t="s">
        <v>32</v>
      </c>
    </row>
    <row r="263">
      <c r="A263" s="36" t="s">
        <v>2244</v>
      </c>
      <c r="B263" s="154" t="s">
        <v>2242</v>
      </c>
      <c r="C263" s="36" t="s">
        <v>1666</v>
      </c>
      <c r="D263" s="36" t="s">
        <v>201</v>
      </c>
      <c r="E263" s="36" t="s">
        <v>201</v>
      </c>
      <c r="F263" s="154" t="s">
        <v>2245</v>
      </c>
      <c r="G263" s="36" t="s">
        <v>32</v>
      </c>
      <c r="H263" s="36" t="s">
        <v>1655</v>
      </c>
      <c r="I263" s="36" t="s">
        <v>1656</v>
      </c>
      <c r="J263" s="36" t="s">
        <v>1656</v>
      </c>
      <c r="K263" s="36" t="s">
        <v>1887</v>
      </c>
      <c r="L263" s="36" t="s">
        <v>1669</v>
      </c>
      <c r="M263" s="36" t="s">
        <v>1669</v>
      </c>
      <c r="N263" s="36" t="s">
        <v>32</v>
      </c>
    </row>
    <row r="264">
      <c r="A264" s="36" t="s">
        <v>2246</v>
      </c>
      <c r="B264" s="154" t="s">
        <v>2242</v>
      </c>
      <c r="C264" s="36" t="s">
        <v>1666</v>
      </c>
      <c r="D264" s="36" t="s">
        <v>1347</v>
      </c>
      <c r="E264" s="36" t="s">
        <v>1347</v>
      </c>
      <c r="F264" s="154" t="s">
        <v>2094</v>
      </c>
      <c r="G264" s="36" t="s">
        <v>32</v>
      </c>
      <c r="H264" s="36" t="s">
        <v>1655</v>
      </c>
      <c r="I264" s="36" t="s">
        <v>1656</v>
      </c>
      <c r="J264" s="36" t="s">
        <v>1656</v>
      </c>
      <c r="K264" s="36" t="s">
        <v>1894</v>
      </c>
      <c r="L264" s="36" t="s">
        <v>1669</v>
      </c>
      <c r="M264" s="36" t="s">
        <v>1669</v>
      </c>
      <c r="N264" s="36" t="s">
        <v>32</v>
      </c>
    </row>
    <row r="265">
      <c r="A265" s="36" t="s">
        <v>2247</v>
      </c>
      <c r="B265" s="154" t="s">
        <v>2242</v>
      </c>
      <c r="C265" s="36" t="s">
        <v>1666</v>
      </c>
      <c r="D265" s="36" t="s">
        <v>368</v>
      </c>
      <c r="E265" s="36" t="s">
        <v>368</v>
      </c>
      <c r="F265" s="154" t="s">
        <v>1806</v>
      </c>
      <c r="G265" s="36" t="s">
        <v>28</v>
      </c>
      <c r="H265" s="36" t="s">
        <v>1655</v>
      </c>
      <c r="I265" s="36" t="s">
        <v>1656</v>
      </c>
      <c r="J265" s="36" t="s">
        <v>1656</v>
      </c>
      <c r="K265" s="36" t="s">
        <v>1897</v>
      </c>
      <c r="L265" s="36" t="s">
        <v>1669</v>
      </c>
      <c r="M265" s="36" t="s">
        <v>1669</v>
      </c>
      <c r="N265" s="36" t="s">
        <v>34</v>
      </c>
    </row>
    <row r="266">
      <c r="A266" s="36" t="s">
        <v>2248</v>
      </c>
      <c r="B266" s="154" t="s">
        <v>2242</v>
      </c>
      <c r="C266" s="36" t="s">
        <v>1666</v>
      </c>
      <c r="D266" s="36" t="s">
        <v>1433</v>
      </c>
      <c r="E266" s="36" t="s">
        <v>1433</v>
      </c>
      <c r="F266" s="154" t="s">
        <v>2249</v>
      </c>
      <c r="G266" s="36" t="s">
        <v>28</v>
      </c>
      <c r="H266" s="36" t="s">
        <v>1655</v>
      </c>
      <c r="I266" s="36" t="s">
        <v>1656</v>
      </c>
      <c r="J266" s="36" t="s">
        <v>1656</v>
      </c>
      <c r="K266" s="36" t="s">
        <v>1900</v>
      </c>
      <c r="L266" s="36" t="s">
        <v>1669</v>
      </c>
      <c r="M266" s="36" t="s">
        <v>1669</v>
      </c>
      <c r="N266" s="36" t="s">
        <v>34</v>
      </c>
    </row>
    <row r="267">
      <c r="A267" s="36" t="s">
        <v>2250</v>
      </c>
      <c r="B267" s="154" t="s">
        <v>2251</v>
      </c>
      <c r="C267" s="36" t="s">
        <v>1666</v>
      </c>
      <c r="D267" s="36" t="s">
        <v>1535</v>
      </c>
      <c r="E267" s="36" t="s">
        <v>1535</v>
      </c>
      <c r="F267" s="154" t="s">
        <v>2039</v>
      </c>
      <c r="G267" s="36" t="s">
        <v>28</v>
      </c>
      <c r="H267" s="36" t="s">
        <v>1655</v>
      </c>
      <c r="I267" s="36" t="s">
        <v>1656</v>
      </c>
      <c r="J267" s="36" t="s">
        <v>1656</v>
      </c>
      <c r="K267" s="36" t="s">
        <v>1903</v>
      </c>
      <c r="L267" s="36" t="s">
        <v>1669</v>
      </c>
      <c r="M267" s="36" t="s">
        <v>1669</v>
      </c>
      <c r="N267" s="36" t="s">
        <v>32</v>
      </c>
    </row>
    <row r="268">
      <c r="A268" s="36" t="s">
        <v>2252</v>
      </c>
      <c r="B268" s="154" t="s">
        <v>2251</v>
      </c>
      <c r="C268" s="36" t="s">
        <v>1666</v>
      </c>
      <c r="D268" s="36" t="s">
        <v>1541</v>
      </c>
      <c r="E268" s="36" t="s">
        <v>1541</v>
      </c>
      <c r="F268" s="154" t="s">
        <v>1735</v>
      </c>
      <c r="G268" s="36" t="s">
        <v>32</v>
      </c>
      <c r="H268" s="36" t="s">
        <v>1655</v>
      </c>
      <c r="I268" s="36" t="s">
        <v>1656</v>
      </c>
      <c r="J268" s="36" t="s">
        <v>1656</v>
      </c>
      <c r="K268" s="36" t="s">
        <v>1906</v>
      </c>
      <c r="L268" s="36" t="s">
        <v>1669</v>
      </c>
      <c r="M268" s="36" t="s">
        <v>1669</v>
      </c>
      <c r="N268" s="36" t="s">
        <v>32</v>
      </c>
    </row>
    <row r="269">
      <c r="A269" s="36" t="s">
        <v>2253</v>
      </c>
      <c r="B269" s="154" t="s">
        <v>2254</v>
      </c>
      <c r="C269" s="36" t="s">
        <v>1666</v>
      </c>
      <c r="D269" s="36" t="s">
        <v>124</v>
      </c>
      <c r="E269" s="36" t="s">
        <v>124</v>
      </c>
      <c r="F269" s="154" t="s">
        <v>1744</v>
      </c>
      <c r="G269" s="36" t="s">
        <v>28</v>
      </c>
      <c r="H269" s="36" t="s">
        <v>1655</v>
      </c>
      <c r="I269" s="36" t="s">
        <v>1656</v>
      </c>
      <c r="J269" s="36" t="s">
        <v>1656</v>
      </c>
      <c r="K269" s="36" t="s">
        <v>1909</v>
      </c>
      <c r="L269" s="36" t="s">
        <v>1669</v>
      </c>
      <c r="M269" s="36" t="s">
        <v>1669</v>
      </c>
      <c r="N269" s="36" t="s">
        <v>32</v>
      </c>
    </row>
    <row r="270">
      <c r="A270" s="36" t="s">
        <v>2255</v>
      </c>
      <c r="B270" s="154" t="s">
        <v>2254</v>
      </c>
      <c r="C270" s="36" t="s">
        <v>1666</v>
      </c>
      <c r="D270" s="36" t="s">
        <v>1420</v>
      </c>
      <c r="E270" s="36" t="s">
        <v>1420</v>
      </c>
      <c r="F270" s="154" t="s">
        <v>2256</v>
      </c>
      <c r="G270" s="36" t="s">
        <v>32</v>
      </c>
      <c r="H270" s="36" t="s">
        <v>1655</v>
      </c>
      <c r="I270" s="36" t="s">
        <v>1656</v>
      </c>
      <c r="J270" s="36" t="s">
        <v>1656</v>
      </c>
      <c r="K270" s="36" t="s">
        <v>1912</v>
      </c>
      <c r="L270" s="36" t="s">
        <v>1669</v>
      </c>
      <c r="M270" s="36" t="s">
        <v>1669</v>
      </c>
      <c r="N270" s="36" t="s">
        <v>32</v>
      </c>
    </row>
    <row r="271">
      <c r="A271" s="36" t="s">
        <v>2257</v>
      </c>
      <c r="B271" s="154" t="s">
        <v>2258</v>
      </c>
      <c r="C271" s="36" t="s">
        <v>1666</v>
      </c>
      <c r="D271" s="36" t="s">
        <v>81</v>
      </c>
      <c r="E271" s="36" t="s">
        <v>81</v>
      </c>
      <c r="F271" s="154" t="s">
        <v>1920</v>
      </c>
      <c r="G271" s="36" t="s">
        <v>28</v>
      </c>
      <c r="H271" s="36" t="s">
        <v>1655</v>
      </c>
      <c r="I271" s="36" t="s">
        <v>1656</v>
      </c>
      <c r="J271" s="36" t="s">
        <v>1656</v>
      </c>
      <c r="K271" s="36" t="s">
        <v>1921</v>
      </c>
      <c r="L271" s="36" t="s">
        <v>1669</v>
      </c>
      <c r="M271" s="36" t="s">
        <v>1669</v>
      </c>
      <c r="N271" s="36" t="s">
        <v>32</v>
      </c>
    </row>
    <row r="272">
      <c r="A272" s="36" t="s">
        <v>2259</v>
      </c>
      <c r="B272" s="154" t="s">
        <v>2258</v>
      </c>
      <c r="C272" s="36" t="s">
        <v>1666</v>
      </c>
      <c r="D272" s="36" t="s">
        <v>84</v>
      </c>
      <c r="E272" s="36" t="s">
        <v>84</v>
      </c>
      <c r="F272" s="154" t="s">
        <v>1923</v>
      </c>
      <c r="G272" s="36" t="s">
        <v>32</v>
      </c>
      <c r="H272" s="36" t="s">
        <v>1655</v>
      </c>
      <c r="I272" s="36" t="s">
        <v>1656</v>
      </c>
      <c r="J272" s="36" t="s">
        <v>1656</v>
      </c>
      <c r="K272" s="36" t="s">
        <v>1924</v>
      </c>
      <c r="L272" s="36" t="s">
        <v>1669</v>
      </c>
      <c r="M272" s="36" t="s">
        <v>1669</v>
      </c>
      <c r="N272" s="36" t="s">
        <v>32</v>
      </c>
    </row>
    <row r="273">
      <c r="A273" s="36" t="s">
        <v>2260</v>
      </c>
      <c r="B273" s="154" t="s">
        <v>2261</v>
      </c>
      <c r="C273" s="36" t="s">
        <v>1653</v>
      </c>
      <c r="D273" s="36" t="s">
        <v>43</v>
      </c>
      <c r="E273" s="36" t="s">
        <v>39</v>
      </c>
      <c r="F273" s="154" t="s">
        <v>2262</v>
      </c>
      <c r="G273" s="36" t="s">
        <v>32</v>
      </c>
      <c r="H273" s="36" t="s">
        <v>1655</v>
      </c>
      <c r="I273" s="36" t="s">
        <v>1656</v>
      </c>
      <c r="J273" s="36" t="s">
        <v>1656</v>
      </c>
      <c r="K273" s="36" t="s">
        <v>1657</v>
      </c>
      <c r="L273" s="36" t="s">
        <v>1944</v>
      </c>
      <c r="M273" s="36" t="s">
        <v>1944</v>
      </c>
      <c r="N273" s="36" t="s">
        <v>32</v>
      </c>
    </row>
    <row r="274">
      <c r="A274" s="36" t="s">
        <v>2263</v>
      </c>
      <c r="B274" s="154" t="s">
        <v>2261</v>
      </c>
      <c r="C274" s="36" t="s">
        <v>1653</v>
      </c>
      <c r="D274" s="36" t="s">
        <v>1394</v>
      </c>
      <c r="E274" s="36" t="s">
        <v>39</v>
      </c>
      <c r="F274" s="154" t="s">
        <v>2264</v>
      </c>
      <c r="G274" s="36" t="s">
        <v>32</v>
      </c>
      <c r="H274" s="36" t="s">
        <v>1655</v>
      </c>
      <c r="I274" s="36" t="s">
        <v>1656</v>
      </c>
      <c r="J274" s="36" t="s">
        <v>1656</v>
      </c>
      <c r="K274" s="36" t="s">
        <v>2265</v>
      </c>
      <c r="L274" s="36" t="s">
        <v>1944</v>
      </c>
      <c r="M274" s="36" t="s">
        <v>1944</v>
      </c>
      <c r="N274" s="36" t="s">
        <v>32</v>
      </c>
    </row>
    <row r="275">
      <c r="A275" s="36" t="s">
        <v>2266</v>
      </c>
      <c r="B275" s="154" t="s">
        <v>2261</v>
      </c>
      <c r="C275" s="36" t="s">
        <v>1653</v>
      </c>
      <c r="D275" s="36" t="s">
        <v>1396</v>
      </c>
      <c r="E275" s="36" t="s">
        <v>39</v>
      </c>
      <c r="F275" s="154" t="s">
        <v>2267</v>
      </c>
      <c r="G275" s="36" t="s">
        <v>32</v>
      </c>
      <c r="H275" s="36" t="s">
        <v>1655</v>
      </c>
      <c r="I275" s="36" t="s">
        <v>1656</v>
      </c>
      <c r="J275" s="36" t="s">
        <v>1656</v>
      </c>
      <c r="K275" s="36" t="s">
        <v>1664</v>
      </c>
      <c r="L275" s="36" t="s">
        <v>1944</v>
      </c>
      <c r="M275" s="36" t="s">
        <v>1944</v>
      </c>
      <c r="N275" s="36" t="s">
        <v>32</v>
      </c>
    </row>
    <row r="276">
      <c r="A276" s="36" t="s">
        <v>2268</v>
      </c>
      <c r="B276" s="154" t="s">
        <v>2261</v>
      </c>
      <c r="C276" s="36" t="s">
        <v>1666</v>
      </c>
      <c r="D276" s="36" t="s">
        <v>368</v>
      </c>
      <c r="E276" s="36" t="s">
        <v>368</v>
      </c>
      <c r="F276" s="154" t="s">
        <v>2269</v>
      </c>
      <c r="G276" s="36" t="s">
        <v>28</v>
      </c>
      <c r="H276" s="36" t="s">
        <v>1655</v>
      </c>
      <c r="I276" s="36" t="s">
        <v>1656</v>
      </c>
      <c r="J276" s="36" t="s">
        <v>1656</v>
      </c>
      <c r="K276" s="36" t="s">
        <v>1668</v>
      </c>
      <c r="L276" s="36" t="s">
        <v>1669</v>
      </c>
      <c r="M276" s="36" t="s">
        <v>1669</v>
      </c>
      <c r="N276" s="36" t="s">
        <v>34</v>
      </c>
    </row>
    <row r="277">
      <c r="A277" s="36" t="s">
        <v>2270</v>
      </c>
      <c r="B277" s="154" t="s">
        <v>2261</v>
      </c>
      <c r="C277" s="36" t="s">
        <v>1666</v>
      </c>
      <c r="D277" s="36" t="s">
        <v>689</v>
      </c>
      <c r="E277" s="36" t="s">
        <v>689</v>
      </c>
      <c r="F277" s="154" t="s">
        <v>1959</v>
      </c>
      <c r="G277" s="36" t="s">
        <v>28</v>
      </c>
      <c r="H277" s="36" t="s">
        <v>1655</v>
      </c>
      <c r="I277" s="36" t="s">
        <v>1656</v>
      </c>
      <c r="J277" s="36" t="s">
        <v>1656</v>
      </c>
      <c r="K277" s="36" t="s">
        <v>1672</v>
      </c>
      <c r="L277" s="36" t="s">
        <v>1669</v>
      </c>
      <c r="M277" s="36" t="s">
        <v>1669</v>
      </c>
      <c r="N277" s="36" t="s">
        <v>34</v>
      </c>
    </row>
    <row r="278">
      <c r="A278" s="36" t="s">
        <v>2271</v>
      </c>
      <c r="B278" s="154" t="s">
        <v>2261</v>
      </c>
      <c r="C278" s="36" t="s">
        <v>1666</v>
      </c>
      <c r="D278" s="36" t="s">
        <v>1249</v>
      </c>
      <c r="E278" s="36" t="s">
        <v>1249</v>
      </c>
      <c r="F278" s="154" t="s">
        <v>2156</v>
      </c>
      <c r="G278" s="36" t="s">
        <v>28</v>
      </c>
      <c r="H278" s="36" t="s">
        <v>1655</v>
      </c>
      <c r="I278" s="36" t="s">
        <v>1656</v>
      </c>
      <c r="J278" s="36" t="s">
        <v>1656</v>
      </c>
      <c r="K278" s="36" t="s">
        <v>1675</v>
      </c>
      <c r="L278" s="36" t="s">
        <v>1669</v>
      </c>
      <c r="M278" s="36" t="s">
        <v>1669</v>
      </c>
      <c r="N278" s="36" t="s">
        <v>34</v>
      </c>
    </row>
    <row r="279">
      <c r="A279" s="36" t="s">
        <v>2272</v>
      </c>
      <c r="B279" s="154" t="s">
        <v>2261</v>
      </c>
      <c r="C279" s="36" t="s">
        <v>1666</v>
      </c>
      <c r="D279" s="36" t="s">
        <v>966</v>
      </c>
      <c r="E279" s="36" t="s">
        <v>966</v>
      </c>
      <c r="F279" s="154" t="s">
        <v>1980</v>
      </c>
      <c r="G279" s="36" t="s">
        <v>28</v>
      </c>
      <c r="H279" s="36" t="s">
        <v>1655</v>
      </c>
      <c r="I279" s="36" t="s">
        <v>1656</v>
      </c>
      <c r="J279" s="36" t="s">
        <v>1656</v>
      </c>
      <c r="K279" s="36" t="s">
        <v>1678</v>
      </c>
      <c r="L279" s="36" t="s">
        <v>1669</v>
      </c>
      <c r="M279" s="36" t="s">
        <v>1669</v>
      </c>
      <c r="N279" s="36" t="s">
        <v>34</v>
      </c>
    </row>
    <row r="280">
      <c r="A280" s="36" t="s">
        <v>2273</v>
      </c>
      <c r="B280" s="154" t="s">
        <v>2261</v>
      </c>
      <c r="C280" s="36" t="s">
        <v>1666</v>
      </c>
      <c r="D280" s="36" t="s">
        <v>1406</v>
      </c>
      <c r="E280" s="36" t="s">
        <v>1406</v>
      </c>
      <c r="F280" s="154" t="s">
        <v>2274</v>
      </c>
      <c r="G280" s="36" t="s">
        <v>28</v>
      </c>
      <c r="H280" s="36" t="s">
        <v>1655</v>
      </c>
      <c r="I280" s="36" t="s">
        <v>1656</v>
      </c>
      <c r="J280" s="36" t="s">
        <v>1656</v>
      </c>
      <c r="K280" s="36" t="s">
        <v>1681</v>
      </c>
      <c r="L280" s="36" t="s">
        <v>1669</v>
      </c>
      <c r="M280" s="36" t="s">
        <v>1669</v>
      </c>
      <c r="N280" s="36" t="s">
        <v>34</v>
      </c>
    </row>
    <row r="281">
      <c r="A281" s="36" t="s">
        <v>2275</v>
      </c>
      <c r="B281" s="154" t="s">
        <v>2261</v>
      </c>
      <c r="C281" s="36" t="s">
        <v>1666</v>
      </c>
      <c r="D281" s="36" t="s">
        <v>1409</v>
      </c>
      <c r="E281" s="36" t="s">
        <v>1409</v>
      </c>
      <c r="F281" s="154" t="s">
        <v>2276</v>
      </c>
      <c r="G281" s="36" t="s">
        <v>28</v>
      </c>
      <c r="H281" s="36" t="s">
        <v>1655</v>
      </c>
      <c r="I281" s="36" t="s">
        <v>1656</v>
      </c>
      <c r="J281" s="36" t="s">
        <v>1656</v>
      </c>
      <c r="K281" s="36" t="s">
        <v>1684</v>
      </c>
      <c r="L281" s="36" t="s">
        <v>1669</v>
      </c>
      <c r="M281" s="36" t="s">
        <v>1669</v>
      </c>
      <c r="N281" s="36" t="s">
        <v>34</v>
      </c>
    </row>
    <row r="282">
      <c r="A282" s="36" t="s">
        <v>2277</v>
      </c>
      <c r="B282" s="154" t="s">
        <v>2261</v>
      </c>
      <c r="C282" s="36" t="s">
        <v>1666</v>
      </c>
      <c r="D282" s="36" t="s">
        <v>533</v>
      </c>
      <c r="E282" s="36" t="s">
        <v>533</v>
      </c>
      <c r="F282" s="154" t="s">
        <v>2278</v>
      </c>
      <c r="G282" s="36" t="s">
        <v>28</v>
      </c>
      <c r="H282" s="36" t="s">
        <v>1655</v>
      </c>
      <c r="I282" s="36" t="s">
        <v>1656</v>
      </c>
      <c r="J282" s="36" t="s">
        <v>1656</v>
      </c>
      <c r="K282" s="36" t="s">
        <v>1691</v>
      </c>
      <c r="L282" s="36" t="s">
        <v>1669</v>
      </c>
      <c r="M282" s="36" t="s">
        <v>1669</v>
      </c>
      <c r="N282" s="36" t="s">
        <v>34</v>
      </c>
    </row>
    <row r="283">
      <c r="A283" s="36" t="s">
        <v>2279</v>
      </c>
      <c r="B283" s="154" t="s">
        <v>2261</v>
      </c>
      <c r="C283" s="36" t="s">
        <v>1666</v>
      </c>
      <c r="D283" s="36" t="s">
        <v>1249</v>
      </c>
      <c r="E283" s="36" t="s">
        <v>1249</v>
      </c>
      <c r="F283" s="154" t="s">
        <v>1959</v>
      </c>
      <c r="G283" s="36" t="s">
        <v>28</v>
      </c>
      <c r="H283" s="36" t="s">
        <v>1655</v>
      </c>
      <c r="I283" s="36" t="s">
        <v>1656</v>
      </c>
      <c r="J283" s="36" t="s">
        <v>1656</v>
      </c>
      <c r="K283" s="36" t="s">
        <v>1695</v>
      </c>
      <c r="L283" s="36" t="s">
        <v>1669</v>
      </c>
      <c r="M283" s="36" t="s">
        <v>1669</v>
      </c>
      <c r="N283" s="36" t="s">
        <v>34</v>
      </c>
    </row>
    <row r="284">
      <c r="A284" s="36" t="s">
        <v>2280</v>
      </c>
      <c r="B284" s="154" t="s">
        <v>2261</v>
      </c>
      <c r="C284" s="36" t="s">
        <v>1666</v>
      </c>
      <c r="D284" s="36" t="s">
        <v>582</v>
      </c>
      <c r="E284" s="36" t="s">
        <v>582</v>
      </c>
      <c r="F284" s="154" t="s">
        <v>2021</v>
      </c>
      <c r="G284" s="36" t="s">
        <v>28</v>
      </c>
      <c r="H284" s="36" t="s">
        <v>1655</v>
      </c>
      <c r="I284" s="36" t="s">
        <v>1656</v>
      </c>
      <c r="J284" s="36" t="s">
        <v>1656</v>
      </c>
      <c r="K284" s="36" t="s">
        <v>1698</v>
      </c>
      <c r="L284" s="36" t="s">
        <v>1669</v>
      </c>
      <c r="M284" s="36" t="s">
        <v>1669</v>
      </c>
      <c r="N284" s="36" t="s">
        <v>34</v>
      </c>
    </row>
    <row r="285">
      <c r="A285" s="36" t="s">
        <v>2281</v>
      </c>
      <c r="B285" s="154" t="s">
        <v>2261</v>
      </c>
      <c r="C285" s="36" t="s">
        <v>1666</v>
      </c>
      <c r="D285" s="36" t="s">
        <v>1272</v>
      </c>
      <c r="E285" s="36" t="s">
        <v>1272</v>
      </c>
      <c r="F285" s="154" t="s">
        <v>1729</v>
      </c>
      <c r="G285" s="36" t="s">
        <v>28</v>
      </c>
      <c r="H285" s="36" t="s">
        <v>1655</v>
      </c>
      <c r="I285" s="36" t="s">
        <v>1656</v>
      </c>
      <c r="J285" s="36" t="s">
        <v>1656</v>
      </c>
      <c r="K285" s="36" t="s">
        <v>1701</v>
      </c>
      <c r="L285" s="36" t="s">
        <v>1669</v>
      </c>
      <c r="M285" s="36" t="s">
        <v>1669</v>
      </c>
      <c r="N285" s="36" t="s">
        <v>34</v>
      </c>
    </row>
    <row r="286">
      <c r="A286" s="36" t="s">
        <v>2282</v>
      </c>
      <c r="B286" s="154" t="s">
        <v>2261</v>
      </c>
      <c r="C286" s="36" t="s">
        <v>1666</v>
      </c>
      <c r="D286" s="36" t="s">
        <v>295</v>
      </c>
      <c r="E286" s="36" t="s">
        <v>295</v>
      </c>
      <c r="F286" s="154" t="s">
        <v>1683</v>
      </c>
      <c r="G286" s="36" t="s">
        <v>28</v>
      </c>
      <c r="H286" s="36" t="s">
        <v>1655</v>
      </c>
      <c r="I286" s="36" t="s">
        <v>1656</v>
      </c>
      <c r="J286" s="36" t="s">
        <v>1656</v>
      </c>
      <c r="K286" s="36" t="s">
        <v>1704</v>
      </c>
      <c r="L286" s="36" t="s">
        <v>1669</v>
      </c>
      <c r="M286" s="36" t="s">
        <v>1669</v>
      </c>
      <c r="N286" s="36" t="s">
        <v>34</v>
      </c>
    </row>
    <row r="287">
      <c r="A287" s="36" t="s">
        <v>2283</v>
      </c>
      <c r="B287" s="154" t="s">
        <v>2261</v>
      </c>
      <c r="C287" s="36" t="s">
        <v>1666</v>
      </c>
      <c r="D287" s="36" t="s">
        <v>1421</v>
      </c>
      <c r="E287" s="36" t="s">
        <v>1421</v>
      </c>
      <c r="F287" s="154" t="s">
        <v>2284</v>
      </c>
      <c r="G287" s="36" t="s">
        <v>28</v>
      </c>
      <c r="H287" s="36" t="s">
        <v>1655</v>
      </c>
      <c r="I287" s="36" t="s">
        <v>1656</v>
      </c>
      <c r="J287" s="36" t="s">
        <v>1656</v>
      </c>
      <c r="K287" s="36" t="s">
        <v>1711</v>
      </c>
      <c r="L287" s="36" t="s">
        <v>1669</v>
      </c>
      <c r="M287" s="36" t="s">
        <v>1669</v>
      </c>
      <c r="N287" s="36" t="s">
        <v>34</v>
      </c>
    </row>
    <row r="288">
      <c r="A288" s="36" t="s">
        <v>2285</v>
      </c>
      <c r="B288" s="154" t="s">
        <v>2261</v>
      </c>
      <c r="C288" s="36" t="s">
        <v>1666</v>
      </c>
      <c r="D288" s="36" t="s">
        <v>1116</v>
      </c>
      <c r="E288" s="36" t="s">
        <v>1116</v>
      </c>
      <c r="F288" s="154" t="s">
        <v>2132</v>
      </c>
      <c r="G288" s="36" t="s">
        <v>28</v>
      </c>
      <c r="H288" s="36" t="s">
        <v>1655</v>
      </c>
      <c r="I288" s="36" t="s">
        <v>1656</v>
      </c>
      <c r="J288" s="36" t="s">
        <v>1656</v>
      </c>
      <c r="K288" s="36" t="s">
        <v>1715</v>
      </c>
      <c r="L288" s="36" t="s">
        <v>1669</v>
      </c>
      <c r="M288" s="36" t="s">
        <v>1669</v>
      </c>
      <c r="N288" s="36" t="s">
        <v>32</v>
      </c>
    </row>
    <row r="289">
      <c r="A289" s="36" t="s">
        <v>2286</v>
      </c>
      <c r="B289" s="154" t="s">
        <v>2261</v>
      </c>
      <c r="C289" s="36" t="s">
        <v>1666</v>
      </c>
      <c r="D289" s="36" t="s">
        <v>1426</v>
      </c>
      <c r="E289" s="36" t="s">
        <v>1426</v>
      </c>
      <c r="F289" s="154" t="s">
        <v>1952</v>
      </c>
      <c r="G289" s="36" t="s">
        <v>28</v>
      </c>
      <c r="H289" s="36" t="s">
        <v>1655</v>
      </c>
      <c r="I289" s="36" t="s">
        <v>1656</v>
      </c>
      <c r="J289" s="36" t="s">
        <v>1656</v>
      </c>
      <c r="K289" s="36" t="s">
        <v>1717</v>
      </c>
      <c r="L289" s="36" t="s">
        <v>1669</v>
      </c>
      <c r="M289" s="36" t="s">
        <v>1669</v>
      </c>
      <c r="N289" s="36" t="s">
        <v>32</v>
      </c>
    </row>
    <row r="290">
      <c r="A290" s="36" t="s">
        <v>2287</v>
      </c>
      <c r="B290" s="154" t="s">
        <v>2261</v>
      </c>
      <c r="C290" s="36" t="s">
        <v>1666</v>
      </c>
      <c r="D290" s="36" t="s">
        <v>923</v>
      </c>
      <c r="E290" s="36" t="s">
        <v>923</v>
      </c>
      <c r="F290" s="154" t="s">
        <v>1683</v>
      </c>
      <c r="G290" s="36" t="s">
        <v>32</v>
      </c>
      <c r="H290" s="36" t="s">
        <v>1655</v>
      </c>
      <c r="I290" s="36" t="s">
        <v>1656</v>
      </c>
      <c r="J290" s="36" t="s">
        <v>1656</v>
      </c>
      <c r="K290" s="36" t="s">
        <v>1724</v>
      </c>
      <c r="L290" s="36" t="s">
        <v>1669</v>
      </c>
      <c r="M290" s="36" t="s">
        <v>1669</v>
      </c>
      <c r="N290" s="36" t="s">
        <v>32</v>
      </c>
    </row>
    <row r="291">
      <c r="A291" s="36" t="s">
        <v>2288</v>
      </c>
      <c r="B291" s="154" t="s">
        <v>2289</v>
      </c>
      <c r="C291" s="36" t="s">
        <v>1666</v>
      </c>
      <c r="D291" s="36" t="s">
        <v>64</v>
      </c>
      <c r="E291" s="36" t="s">
        <v>64</v>
      </c>
      <c r="F291" s="154" t="s">
        <v>1707</v>
      </c>
      <c r="G291" s="36" t="s">
        <v>28</v>
      </c>
      <c r="H291" s="36" t="s">
        <v>1655</v>
      </c>
      <c r="I291" s="36" t="s">
        <v>1656</v>
      </c>
      <c r="J291" s="36" t="s">
        <v>1656</v>
      </c>
      <c r="K291" s="36" t="s">
        <v>1708</v>
      </c>
      <c r="L291" s="36" t="s">
        <v>1669</v>
      </c>
      <c r="M291" s="36" t="s">
        <v>1669</v>
      </c>
      <c r="N291" s="36" t="s">
        <v>32</v>
      </c>
    </row>
    <row r="292">
      <c r="A292" s="36" t="s">
        <v>2290</v>
      </c>
      <c r="B292" s="154" t="s">
        <v>2291</v>
      </c>
      <c r="C292" s="36" t="s">
        <v>1653</v>
      </c>
      <c r="D292" s="36" t="s">
        <v>701</v>
      </c>
      <c r="E292" s="36" t="s">
        <v>39</v>
      </c>
      <c r="F292" s="154" t="s">
        <v>2292</v>
      </c>
      <c r="G292" s="36" t="s">
        <v>32</v>
      </c>
      <c r="H292" s="36" t="s">
        <v>1655</v>
      </c>
      <c r="I292" s="36" t="s">
        <v>1656</v>
      </c>
      <c r="J292" s="36" t="s">
        <v>1656</v>
      </c>
      <c r="K292" s="36" t="s">
        <v>1749</v>
      </c>
      <c r="L292" s="36" t="s">
        <v>1944</v>
      </c>
      <c r="M292" s="36" t="s">
        <v>1944</v>
      </c>
      <c r="N292" s="36" t="s">
        <v>32</v>
      </c>
    </row>
    <row r="293">
      <c r="A293" s="36" t="s">
        <v>2293</v>
      </c>
      <c r="B293" s="154" t="s">
        <v>2291</v>
      </c>
      <c r="C293" s="36" t="s">
        <v>1666</v>
      </c>
      <c r="D293" s="36" t="s">
        <v>66</v>
      </c>
      <c r="E293" s="36" t="s">
        <v>66</v>
      </c>
      <c r="F293" s="154" t="s">
        <v>2294</v>
      </c>
      <c r="G293" s="36" t="s">
        <v>28</v>
      </c>
      <c r="H293" s="36" t="s">
        <v>1655</v>
      </c>
      <c r="I293" s="36" t="s">
        <v>1656</v>
      </c>
      <c r="J293" s="36" t="s">
        <v>1656</v>
      </c>
      <c r="K293" s="36" t="s">
        <v>1721</v>
      </c>
      <c r="L293" s="36" t="s">
        <v>1669</v>
      </c>
      <c r="M293" s="36" t="s">
        <v>1669</v>
      </c>
      <c r="N293" s="36" t="s">
        <v>32</v>
      </c>
    </row>
    <row r="294">
      <c r="A294" s="36" t="s">
        <v>2295</v>
      </c>
      <c r="B294" s="154" t="s">
        <v>2291</v>
      </c>
      <c r="C294" s="36" t="s">
        <v>1666</v>
      </c>
      <c r="D294" s="36" t="s">
        <v>1429</v>
      </c>
      <c r="E294" s="36" t="s">
        <v>1429</v>
      </c>
      <c r="F294" s="154" t="s">
        <v>1816</v>
      </c>
      <c r="G294" s="36" t="s">
        <v>28</v>
      </c>
      <c r="H294" s="36" t="s">
        <v>1655</v>
      </c>
      <c r="I294" s="36" t="s">
        <v>1656</v>
      </c>
      <c r="J294" s="36" t="s">
        <v>1656</v>
      </c>
      <c r="K294" s="36" t="s">
        <v>1727</v>
      </c>
      <c r="L294" s="36" t="s">
        <v>1669</v>
      </c>
      <c r="M294" s="36" t="s">
        <v>1669</v>
      </c>
      <c r="N294" s="36" t="s">
        <v>32</v>
      </c>
    </row>
    <row r="295">
      <c r="A295" s="36" t="s">
        <v>2296</v>
      </c>
      <c r="B295" s="154" t="s">
        <v>2297</v>
      </c>
      <c r="C295" s="36" t="s">
        <v>1653</v>
      </c>
      <c r="D295" s="36" t="s">
        <v>55</v>
      </c>
      <c r="E295" s="36" t="s">
        <v>39</v>
      </c>
      <c r="F295" s="154" t="s">
        <v>2298</v>
      </c>
      <c r="G295" s="36" t="s">
        <v>32</v>
      </c>
      <c r="H295" s="36" t="s">
        <v>1655</v>
      </c>
      <c r="I295" s="36" t="s">
        <v>1656</v>
      </c>
      <c r="J295" s="36" t="s">
        <v>1656</v>
      </c>
      <c r="K295" s="36" t="s">
        <v>1989</v>
      </c>
      <c r="L295" s="36" t="s">
        <v>1944</v>
      </c>
      <c r="M295" s="36" t="s">
        <v>1944</v>
      </c>
      <c r="N295" s="36" t="s">
        <v>32</v>
      </c>
    </row>
    <row r="296">
      <c r="A296" s="36" t="s">
        <v>2299</v>
      </c>
      <c r="B296" s="154" t="s">
        <v>2297</v>
      </c>
      <c r="C296" s="36" t="s">
        <v>1666</v>
      </c>
      <c r="D296" s="36" t="s">
        <v>71</v>
      </c>
      <c r="E296" s="36" t="s">
        <v>71</v>
      </c>
      <c r="F296" s="154" t="s">
        <v>1751</v>
      </c>
      <c r="G296" s="36" t="s">
        <v>32</v>
      </c>
      <c r="H296" s="36" t="s">
        <v>1655</v>
      </c>
      <c r="I296" s="36" t="s">
        <v>1656</v>
      </c>
      <c r="J296" s="36" t="s">
        <v>1656</v>
      </c>
      <c r="K296" s="36" t="s">
        <v>1752</v>
      </c>
      <c r="L296" s="36" t="s">
        <v>1669</v>
      </c>
      <c r="M296" s="36" t="s">
        <v>1669</v>
      </c>
      <c r="N296" s="36" t="s">
        <v>32</v>
      </c>
    </row>
    <row r="297">
      <c r="A297" s="36" t="s">
        <v>2300</v>
      </c>
      <c r="B297" s="154" t="s">
        <v>2297</v>
      </c>
      <c r="C297" s="36" t="s">
        <v>1666</v>
      </c>
      <c r="D297" s="36" t="s">
        <v>73</v>
      </c>
      <c r="E297" s="36" t="s">
        <v>73</v>
      </c>
      <c r="F297" s="154" t="s">
        <v>1754</v>
      </c>
      <c r="G297" s="36" t="s">
        <v>28</v>
      </c>
      <c r="H297" s="36" t="s">
        <v>1655</v>
      </c>
      <c r="I297" s="36" t="s">
        <v>1656</v>
      </c>
      <c r="J297" s="36" t="s">
        <v>1656</v>
      </c>
      <c r="K297" s="36" t="s">
        <v>1755</v>
      </c>
      <c r="L297" s="36" t="s">
        <v>1669</v>
      </c>
      <c r="M297" s="36" t="s">
        <v>1669</v>
      </c>
      <c r="N297" s="36" t="s">
        <v>32</v>
      </c>
    </row>
    <row r="298">
      <c r="A298" s="36" t="s">
        <v>2301</v>
      </c>
      <c r="B298" s="154" t="s">
        <v>2297</v>
      </c>
      <c r="C298" s="36" t="s">
        <v>1666</v>
      </c>
      <c r="D298" s="36" t="s">
        <v>74</v>
      </c>
      <c r="E298" s="36" t="s">
        <v>74</v>
      </c>
      <c r="F298" s="154" t="s">
        <v>1751</v>
      </c>
      <c r="G298" s="36" t="s">
        <v>32</v>
      </c>
      <c r="H298" s="36" t="s">
        <v>1655</v>
      </c>
      <c r="I298" s="36" t="s">
        <v>1656</v>
      </c>
      <c r="J298" s="36" t="s">
        <v>1656</v>
      </c>
      <c r="K298" s="36" t="s">
        <v>1757</v>
      </c>
      <c r="L298" s="36" t="s">
        <v>1669</v>
      </c>
      <c r="M298" s="36" t="s">
        <v>1669</v>
      </c>
      <c r="N298" s="36" t="s">
        <v>32</v>
      </c>
    </row>
    <row r="299">
      <c r="A299" s="36" t="s">
        <v>2302</v>
      </c>
      <c r="B299" s="154" t="s">
        <v>2297</v>
      </c>
      <c r="C299" s="36" t="s">
        <v>1666</v>
      </c>
      <c r="D299" s="36" t="s">
        <v>75</v>
      </c>
      <c r="E299" s="36" t="s">
        <v>75</v>
      </c>
      <c r="F299" s="154" t="s">
        <v>1759</v>
      </c>
      <c r="G299" s="36" t="s">
        <v>28</v>
      </c>
      <c r="H299" s="36" t="s">
        <v>1655</v>
      </c>
      <c r="I299" s="36" t="s">
        <v>1656</v>
      </c>
      <c r="J299" s="36" t="s">
        <v>1656</v>
      </c>
      <c r="K299" s="36" t="s">
        <v>1760</v>
      </c>
      <c r="L299" s="36" t="s">
        <v>1669</v>
      </c>
      <c r="M299" s="36" t="s">
        <v>1669</v>
      </c>
      <c r="N299" s="36" t="s">
        <v>32</v>
      </c>
    </row>
    <row r="300">
      <c r="A300" s="36" t="s">
        <v>2303</v>
      </c>
      <c r="B300" s="154" t="s">
        <v>2297</v>
      </c>
      <c r="C300" s="36" t="s">
        <v>1666</v>
      </c>
      <c r="D300" s="36" t="s">
        <v>76</v>
      </c>
      <c r="E300" s="36" t="s">
        <v>76</v>
      </c>
      <c r="F300" s="154" t="s">
        <v>2304</v>
      </c>
      <c r="G300" s="36" t="s">
        <v>28</v>
      </c>
      <c r="H300" s="36" t="s">
        <v>1655</v>
      </c>
      <c r="I300" s="36" t="s">
        <v>1656</v>
      </c>
      <c r="J300" s="36" t="s">
        <v>1656</v>
      </c>
      <c r="K300" s="36" t="s">
        <v>1763</v>
      </c>
      <c r="L300" s="36" t="s">
        <v>1669</v>
      </c>
      <c r="M300" s="36" t="s">
        <v>1669</v>
      </c>
      <c r="N300" s="36" t="s">
        <v>32</v>
      </c>
    </row>
    <row r="301">
      <c r="A301" s="36" t="s">
        <v>2305</v>
      </c>
      <c r="B301" s="154" t="s">
        <v>2297</v>
      </c>
      <c r="C301" s="36" t="s">
        <v>1666</v>
      </c>
      <c r="D301" s="36" t="s">
        <v>919</v>
      </c>
      <c r="E301" s="36" t="s">
        <v>919</v>
      </c>
      <c r="F301" s="154" t="s">
        <v>1765</v>
      </c>
      <c r="G301" s="36" t="s">
        <v>28</v>
      </c>
      <c r="H301" s="36" t="s">
        <v>1655</v>
      </c>
      <c r="I301" s="36" t="s">
        <v>1656</v>
      </c>
      <c r="J301" s="36" t="s">
        <v>1656</v>
      </c>
      <c r="K301" s="36" t="s">
        <v>1766</v>
      </c>
      <c r="L301" s="36" t="s">
        <v>1669</v>
      </c>
      <c r="M301" s="36" t="s">
        <v>1669</v>
      </c>
      <c r="N301" s="36" t="s">
        <v>32</v>
      </c>
    </row>
    <row r="302">
      <c r="A302" s="36" t="s">
        <v>2306</v>
      </c>
      <c r="B302" s="154" t="s">
        <v>2297</v>
      </c>
      <c r="C302" s="36" t="s">
        <v>1666</v>
      </c>
      <c r="D302" s="36" t="s">
        <v>77</v>
      </c>
      <c r="E302" s="36" t="s">
        <v>77</v>
      </c>
      <c r="F302" s="154" t="s">
        <v>1768</v>
      </c>
      <c r="G302" s="36" t="s">
        <v>34</v>
      </c>
      <c r="H302" s="36" t="s">
        <v>1655</v>
      </c>
      <c r="I302" s="36" t="s">
        <v>1656</v>
      </c>
      <c r="J302" s="36" t="s">
        <v>1656</v>
      </c>
      <c r="K302" s="36" t="s">
        <v>1769</v>
      </c>
      <c r="L302" s="36" t="s">
        <v>1669</v>
      </c>
      <c r="M302" s="36" t="s">
        <v>1669</v>
      </c>
      <c r="N302" s="36" t="s">
        <v>32</v>
      </c>
    </row>
    <row r="303">
      <c r="A303" s="36" t="s">
        <v>2307</v>
      </c>
      <c r="B303" s="154" t="s">
        <v>2297</v>
      </c>
      <c r="C303" s="36" t="s">
        <v>1666</v>
      </c>
      <c r="D303" s="36" t="s">
        <v>1431</v>
      </c>
      <c r="E303" s="36" t="s">
        <v>1431</v>
      </c>
      <c r="F303" s="154" t="s">
        <v>1810</v>
      </c>
      <c r="G303" s="36" t="s">
        <v>28</v>
      </c>
      <c r="H303" s="36" t="s">
        <v>1655</v>
      </c>
      <c r="I303" s="36" t="s">
        <v>1656</v>
      </c>
      <c r="J303" s="36" t="s">
        <v>1656</v>
      </c>
      <c r="K303" s="36" t="s">
        <v>1730</v>
      </c>
      <c r="L303" s="36" t="s">
        <v>1669</v>
      </c>
      <c r="M303" s="36" t="s">
        <v>1669</v>
      </c>
      <c r="N303" s="36" t="s">
        <v>34</v>
      </c>
    </row>
    <row r="304">
      <c r="A304" s="36" t="s">
        <v>2308</v>
      </c>
      <c r="B304" s="154" t="s">
        <v>2297</v>
      </c>
      <c r="C304" s="36" t="s">
        <v>1666</v>
      </c>
      <c r="D304" s="36" t="s">
        <v>1433</v>
      </c>
      <c r="E304" s="36" t="s">
        <v>1433</v>
      </c>
      <c r="F304" s="154" t="s">
        <v>1768</v>
      </c>
      <c r="G304" s="36" t="s">
        <v>28</v>
      </c>
      <c r="H304" s="36" t="s">
        <v>1655</v>
      </c>
      <c r="I304" s="36" t="s">
        <v>1656</v>
      </c>
      <c r="J304" s="36" t="s">
        <v>1656</v>
      </c>
      <c r="K304" s="36" t="s">
        <v>1732</v>
      </c>
      <c r="L304" s="36" t="s">
        <v>1669</v>
      </c>
      <c r="M304" s="36" t="s">
        <v>1669</v>
      </c>
      <c r="N304" s="36" t="s">
        <v>34</v>
      </c>
    </row>
    <row r="305">
      <c r="A305" s="36" t="s">
        <v>2309</v>
      </c>
      <c r="B305" s="154" t="s">
        <v>2297</v>
      </c>
      <c r="C305" s="36" t="s">
        <v>1666</v>
      </c>
      <c r="D305" s="36" t="s">
        <v>832</v>
      </c>
      <c r="E305" s="36" t="s">
        <v>832</v>
      </c>
      <c r="F305" s="154" t="s">
        <v>1932</v>
      </c>
      <c r="G305" s="36" t="s">
        <v>28</v>
      </c>
      <c r="H305" s="36" t="s">
        <v>1655</v>
      </c>
      <c r="I305" s="36" t="s">
        <v>1656</v>
      </c>
      <c r="J305" s="36" t="s">
        <v>1656</v>
      </c>
      <c r="K305" s="36" t="s">
        <v>1736</v>
      </c>
      <c r="L305" s="36" t="s">
        <v>1669</v>
      </c>
      <c r="M305" s="36" t="s">
        <v>1669</v>
      </c>
      <c r="N305" s="36" t="s">
        <v>34</v>
      </c>
    </row>
    <row r="306">
      <c r="A306" s="36" t="s">
        <v>2310</v>
      </c>
      <c r="B306" s="154" t="s">
        <v>2297</v>
      </c>
      <c r="C306" s="36" t="s">
        <v>1666</v>
      </c>
      <c r="D306" s="36" t="s">
        <v>978</v>
      </c>
      <c r="E306" s="36" t="s">
        <v>978</v>
      </c>
      <c r="F306" s="154" t="s">
        <v>1683</v>
      </c>
      <c r="G306" s="36" t="s">
        <v>32</v>
      </c>
      <c r="H306" s="36" t="s">
        <v>1655</v>
      </c>
      <c r="I306" s="36" t="s">
        <v>1656</v>
      </c>
      <c r="J306" s="36" t="s">
        <v>1656</v>
      </c>
      <c r="K306" s="36" t="s">
        <v>1739</v>
      </c>
      <c r="L306" s="36" t="s">
        <v>1669</v>
      </c>
      <c r="M306" s="36" t="s">
        <v>1669</v>
      </c>
      <c r="N306" s="36" t="s">
        <v>32</v>
      </c>
    </row>
    <row r="307">
      <c r="A307" s="36" t="s">
        <v>2311</v>
      </c>
      <c r="B307" s="154" t="s">
        <v>2297</v>
      </c>
      <c r="C307" s="36" t="s">
        <v>1666</v>
      </c>
      <c r="D307" s="36" t="s">
        <v>1439</v>
      </c>
      <c r="E307" s="36" t="s">
        <v>1439</v>
      </c>
      <c r="F307" s="154" t="s">
        <v>2312</v>
      </c>
      <c r="G307" s="36" t="s">
        <v>34</v>
      </c>
      <c r="H307" s="36" t="s">
        <v>1655</v>
      </c>
      <c r="I307" s="36" t="s">
        <v>1656</v>
      </c>
      <c r="J307" s="36" t="s">
        <v>1656</v>
      </c>
      <c r="K307" s="36" t="s">
        <v>1742</v>
      </c>
      <c r="L307" s="36" t="s">
        <v>1669</v>
      </c>
      <c r="M307" s="36" t="s">
        <v>1669</v>
      </c>
      <c r="N307" s="36" t="s">
        <v>32</v>
      </c>
    </row>
    <row r="308">
      <c r="A308" s="36" t="s">
        <v>2313</v>
      </c>
      <c r="B308" s="154" t="s">
        <v>2297</v>
      </c>
      <c r="C308" s="36" t="s">
        <v>1666</v>
      </c>
      <c r="D308" s="36" t="s">
        <v>1442</v>
      </c>
      <c r="E308" s="36" t="s">
        <v>1442</v>
      </c>
      <c r="F308" s="154" t="s">
        <v>2314</v>
      </c>
      <c r="G308" s="36" t="s">
        <v>28</v>
      </c>
      <c r="H308" s="36" t="s">
        <v>1655</v>
      </c>
      <c r="I308" s="36" t="s">
        <v>1656</v>
      </c>
      <c r="J308" s="36" t="s">
        <v>1656</v>
      </c>
      <c r="K308" s="36" t="s">
        <v>1745</v>
      </c>
      <c r="L308" s="36" t="s">
        <v>1669</v>
      </c>
      <c r="M308" s="36" t="s">
        <v>1669</v>
      </c>
      <c r="N308" s="36" t="s">
        <v>32</v>
      </c>
    </row>
    <row r="309">
      <c r="A309" s="36" t="s">
        <v>2315</v>
      </c>
      <c r="B309" s="154" t="s">
        <v>2297</v>
      </c>
      <c r="C309" s="36" t="s">
        <v>1666</v>
      </c>
      <c r="D309" s="36" t="s">
        <v>1446</v>
      </c>
      <c r="E309" s="36" t="s">
        <v>1446</v>
      </c>
      <c r="F309" s="154" t="s">
        <v>1683</v>
      </c>
      <c r="G309" s="36" t="s">
        <v>32</v>
      </c>
      <c r="H309" s="36" t="s">
        <v>1655</v>
      </c>
      <c r="I309" s="36" t="s">
        <v>1656</v>
      </c>
      <c r="J309" s="36" t="s">
        <v>1656</v>
      </c>
      <c r="K309" s="36" t="s">
        <v>1773</v>
      </c>
      <c r="L309" s="36" t="s">
        <v>1669</v>
      </c>
      <c r="M309" s="36" t="s">
        <v>1669</v>
      </c>
      <c r="N309" s="36" t="s">
        <v>32</v>
      </c>
    </row>
    <row r="310">
      <c r="A310" s="36" t="s">
        <v>2316</v>
      </c>
      <c r="B310" s="154" t="s">
        <v>2297</v>
      </c>
      <c r="C310" s="36" t="s">
        <v>1666</v>
      </c>
      <c r="D310" s="36" t="s">
        <v>502</v>
      </c>
      <c r="E310" s="36" t="s">
        <v>502</v>
      </c>
      <c r="F310" s="154" t="s">
        <v>2317</v>
      </c>
      <c r="G310" s="36" t="s">
        <v>32</v>
      </c>
      <c r="H310" s="36" t="s">
        <v>1655</v>
      </c>
      <c r="I310" s="36" t="s">
        <v>1656</v>
      </c>
      <c r="J310" s="36" t="s">
        <v>1656</v>
      </c>
      <c r="K310" s="36" t="s">
        <v>1776</v>
      </c>
      <c r="L310" s="36" t="s">
        <v>1669</v>
      </c>
      <c r="M310" s="36" t="s">
        <v>1669</v>
      </c>
      <c r="N310" s="36" t="s">
        <v>32</v>
      </c>
    </row>
    <row r="311">
      <c r="A311" s="36" t="s">
        <v>2318</v>
      </c>
      <c r="B311" s="154" t="s">
        <v>2297</v>
      </c>
      <c r="C311" s="36" t="s">
        <v>1666</v>
      </c>
      <c r="D311" s="36" t="s">
        <v>511</v>
      </c>
      <c r="E311" s="36" t="s">
        <v>511</v>
      </c>
      <c r="F311" s="154" t="s">
        <v>2319</v>
      </c>
      <c r="G311" s="36" t="s">
        <v>28</v>
      </c>
      <c r="H311" s="36" t="s">
        <v>1655</v>
      </c>
      <c r="I311" s="36" t="s">
        <v>1656</v>
      </c>
      <c r="J311" s="36" t="s">
        <v>1656</v>
      </c>
      <c r="K311" s="36" t="s">
        <v>1779</v>
      </c>
      <c r="L311" s="36" t="s">
        <v>1669</v>
      </c>
      <c r="M311" s="36" t="s">
        <v>1669</v>
      </c>
      <c r="N311" s="36" t="s">
        <v>32</v>
      </c>
    </row>
    <row r="312">
      <c r="A312" s="36" t="s">
        <v>2320</v>
      </c>
      <c r="B312" s="154" t="s">
        <v>2321</v>
      </c>
      <c r="C312" s="36" t="s">
        <v>1666</v>
      </c>
      <c r="D312" s="36" t="s">
        <v>239</v>
      </c>
      <c r="E312" s="36" t="s">
        <v>239</v>
      </c>
      <c r="F312" s="154" t="s">
        <v>2322</v>
      </c>
      <c r="G312" s="36" t="s">
        <v>28</v>
      </c>
      <c r="H312" s="36" t="s">
        <v>1655</v>
      </c>
      <c r="I312" s="36" t="s">
        <v>1656</v>
      </c>
      <c r="J312" s="36" t="s">
        <v>1656</v>
      </c>
      <c r="K312" s="36" t="s">
        <v>1782</v>
      </c>
      <c r="L312" s="36" t="s">
        <v>1669</v>
      </c>
      <c r="M312" s="36" t="s">
        <v>1669</v>
      </c>
      <c r="N312" s="36" t="s">
        <v>34</v>
      </c>
    </row>
    <row r="313">
      <c r="A313" s="36" t="s">
        <v>2323</v>
      </c>
      <c r="B313" s="154" t="s">
        <v>2324</v>
      </c>
      <c r="C313" s="36" t="s">
        <v>1666</v>
      </c>
      <c r="D313" s="36" t="s">
        <v>78</v>
      </c>
      <c r="E313" s="36" t="s">
        <v>78</v>
      </c>
      <c r="F313" s="154" t="s">
        <v>2325</v>
      </c>
      <c r="G313" s="36" t="s">
        <v>28</v>
      </c>
      <c r="H313" s="36" t="s">
        <v>1655</v>
      </c>
      <c r="I313" s="36" t="s">
        <v>1656</v>
      </c>
      <c r="J313" s="36" t="s">
        <v>1656</v>
      </c>
      <c r="K313" s="36" t="s">
        <v>1811</v>
      </c>
      <c r="L313" s="36" t="s">
        <v>1669</v>
      </c>
      <c r="M313" s="36" t="s">
        <v>1669</v>
      </c>
      <c r="N313" s="36" t="s">
        <v>32</v>
      </c>
    </row>
    <row r="314">
      <c r="A314" s="36" t="s">
        <v>2326</v>
      </c>
      <c r="B314" s="154" t="s">
        <v>2327</v>
      </c>
      <c r="C314" s="36" t="s">
        <v>1666</v>
      </c>
      <c r="D314" s="36" t="s">
        <v>1144</v>
      </c>
      <c r="E314" s="36" t="s">
        <v>1144</v>
      </c>
      <c r="F314" s="154" t="s">
        <v>2006</v>
      </c>
      <c r="G314" s="36" t="s">
        <v>32</v>
      </c>
      <c r="H314" s="36" t="s">
        <v>1655</v>
      </c>
      <c r="I314" s="36" t="s">
        <v>1656</v>
      </c>
      <c r="J314" s="36" t="s">
        <v>1656</v>
      </c>
      <c r="K314" s="36" t="s">
        <v>1784</v>
      </c>
      <c r="L314" s="36" t="s">
        <v>1669</v>
      </c>
      <c r="M314" s="36" t="s">
        <v>1669</v>
      </c>
      <c r="N314" s="36" t="s">
        <v>32</v>
      </c>
    </row>
    <row r="315">
      <c r="A315" s="36" t="s">
        <v>2328</v>
      </c>
      <c r="B315" s="154" t="s">
        <v>2327</v>
      </c>
      <c r="C315" s="36" t="s">
        <v>1666</v>
      </c>
      <c r="D315" s="36" t="s">
        <v>313</v>
      </c>
      <c r="E315" s="36" t="s">
        <v>313</v>
      </c>
      <c r="F315" s="154" t="s">
        <v>1929</v>
      </c>
      <c r="G315" s="36" t="s">
        <v>32</v>
      </c>
      <c r="H315" s="36" t="s">
        <v>1655</v>
      </c>
      <c r="I315" s="36" t="s">
        <v>1656</v>
      </c>
      <c r="J315" s="36" t="s">
        <v>1656</v>
      </c>
      <c r="K315" s="36" t="s">
        <v>1787</v>
      </c>
      <c r="L315" s="36" t="s">
        <v>1669</v>
      </c>
      <c r="M315" s="36" t="s">
        <v>1669</v>
      </c>
      <c r="N315" s="36" t="s">
        <v>32</v>
      </c>
    </row>
    <row r="316">
      <c r="A316" s="36" t="s">
        <v>2329</v>
      </c>
      <c r="B316" s="154" t="s">
        <v>2327</v>
      </c>
      <c r="C316" s="36" t="s">
        <v>1666</v>
      </c>
      <c r="D316" s="36" t="s">
        <v>1454</v>
      </c>
      <c r="E316" s="36" t="s">
        <v>1454</v>
      </c>
      <c r="F316" s="154" t="s">
        <v>1806</v>
      </c>
      <c r="G316" s="36" t="s">
        <v>32</v>
      </c>
      <c r="H316" s="36" t="s">
        <v>1655</v>
      </c>
      <c r="I316" s="36" t="s">
        <v>1656</v>
      </c>
      <c r="J316" s="36" t="s">
        <v>1656</v>
      </c>
      <c r="K316" s="36" t="s">
        <v>1790</v>
      </c>
      <c r="L316" s="36" t="s">
        <v>1669</v>
      </c>
      <c r="M316" s="36" t="s">
        <v>1669</v>
      </c>
      <c r="N316" s="36" t="s">
        <v>32</v>
      </c>
    </row>
    <row r="317">
      <c r="A317" s="36" t="s">
        <v>2330</v>
      </c>
      <c r="B317" s="154" t="s">
        <v>2331</v>
      </c>
      <c r="C317" s="36" t="s">
        <v>1666</v>
      </c>
      <c r="D317" s="36" t="s">
        <v>299</v>
      </c>
      <c r="E317" s="36" t="s">
        <v>299</v>
      </c>
      <c r="F317" s="154" t="s">
        <v>2044</v>
      </c>
      <c r="G317" s="36" t="s">
        <v>32</v>
      </c>
      <c r="H317" s="36" t="s">
        <v>1655</v>
      </c>
      <c r="I317" s="36" t="s">
        <v>1656</v>
      </c>
      <c r="J317" s="36" t="s">
        <v>1656</v>
      </c>
      <c r="K317" s="36" t="s">
        <v>1793</v>
      </c>
      <c r="L317" s="36" t="s">
        <v>1669</v>
      </c>
      <c r="M317" s="36" t="s">
        <v>1669</v>
      </c>
      <c r="N317" s="36" t="s">
        <v>32</v>
      </c>
    </row>
    <row r="318">
      <c r="A318" s="36" t="s">
        <v>2332</v>
      </c>
      <c r="B318" s="154" t="s">
        <v>2331</v>
      </c>
      <c r="C318" s="36" t="s">
        <v>1666</v>
      </c>
      <c r="D318" s="36" t="s">
        <v>1431</v>
      </c>
      <c r="E318" s="36" t="s">
        <v>1431</v>
      </c>
      <c r="F318" s="154" t="s">
        <v>1810</v>
      </c>
      <c r="G318" s="36" t="s">
        <v>28</v>
      </c>
      <c r="H318" s="36" t="s">
        <v>1655</v>
      </c>
      <c r="I318" s="36" t="s">
        <v>1656</v>
      </c>
      <c r="J318" s="36" t="s">
        <v>1656</v>
      </c>
      <c r="K318" s="36" t="s">
        <v>1796</v>
      </c>
      <c r="L318" s="36" t="s">
        <v>1669</v>
      </c>
      <c r="M318" s="36" t="s">
        <v>1669</v>
      </c>
      <c r="N318" s="36" t="s">
        <v>32</v>
      </c>
    </row>
    <row r="319">
      <c r="A319" s="36" t="s">
        <v>2333</v>
      </c>
      <c r="B319" s="154" t="s">
        <v>2331</v>
      </c>
      <c r="C319" s="36" t="s">
        <v>1666</v>
      </c>
      <c r="D319" s="36" t="s">
        <v>1159</v>
      </c>
      <c r="E319" s="36" t="s">
        <v>1159</v>
      </c>
      <c r="F319" s="154" t="s">
        <v>1810</v>
      </c>
      <c r="G319" s="36" t="s">
        <v>28</v>
      </c>
      <c r="H319" s="36" t="s">
        <v>1655</v>
      </c>
      <c r="I319" s="36" t="s">
        <v>1656</v>
      </c>
      <c r="J319" s="36" t="s">
        <v>1656</v>
      </c>
      <c r="K319" s="36" t="s">
        <v>1800</v>
      </c>
      <c r="L319" s="36" t="s">
        <v>1669</v>
      </c>
      <c r="M319" s="36" t="s">
        <v>1669</v>
      </c>
      <c r="N319" s="36" t="s">
        <v>34</v>
      </c>
    </row>
    <row r="320">
      <c r="A320" s="36" t="s">
        <v>2334</v>
      </c>
      <c r="B320" s="154" t="s">
        <v>2331</v>
      </c>
      <c r="C320" s="36" t="s">
        <v>1666</v>
      </c>
      <c r="D320" s="36" t="s">
        <v>1464</v>
      </c>
      <c r="E320" s="36" t="s">
        <v>1464</v>
      </c>
      <c r="F320" s="154" t="s">
        <v>2335</v>
      </c>
      <c r="G320" s="36" t="s">
        <v>28</v>
      </c>
      <c r="H320" s="36" t="s">
        <v>1655</v>
      </c>
      <c r="I320" s="36" t="s">
        <v>1656</v>
      </c>
      <c r="J320" s="36" t="s">
        <v>1656</v>
      </c>
      <c r="K320" s="36" t="s">
        <v>1803</v>
      </c>
      <c r="L320" s="36" t="s">
        <v>1669</v>
      </c>
      <c r="M320" s="36" t="s">
        <v>1669</v>
      </c>
      <c r="N320" s="36" t="s">
        <v>34</v>
      </c>
    </row>
    <row r="321">
      <c r="A321" s="36" t="s">
        <v>2336</v>
      </c>
      <c r="B321" s="154" t="s">
        <v>2337</v>
      </c>
      <c r="C321" s="36" t="s">
        <v>1666</v>
      </c>
      <c r="D321" s="36" t="s">
        <v>1466</v>
      </c>
      <c r="E321" s="36" t="s">
        <v>1466</v>
      </c>
      <c r="F321" s="154" t="s">
        <v>2156</v>
      </c>
      <c r="G321" s="36" t="s">
        <v>28</v>
      </c>
      <c r="H321" s="36" t="s">
        <v>1655</v>
      </c>
      <c r="I321" s="36" t="s">
        <v>1656</v>
      </c>
      <c r="J321" s="36" t="s">
        <v>1656</v>
      </c>
      <c r="K321" s="36" t="s">
        <v>1807</v>
      </c>
      <c r="L321" s="36" t="s">
        <v>1669</v>
      </c>
      <c r="M321" s="36" t="s">
        <v>1669</v>
      </c>
      <c r="N321" s="36" t="s">
        <v>34</v>
      </c>
    </row>
    <row r="322">
      <c r="A322" s="36" t="s">
        <v>2338</v>
      </c>
      <c r="B322" s="154" t="s">
        <v>2339</v>
      </c>
      <c r="C322" s="36" t="s">
        <v>1666</v>
      </c>
      <c r="D322" s="36" t="s">
        <v>100</v>
      </c>
      <c r="E322" s="36" t="s">
        <v>100</v>
      </c>
      <c r="F322" s="154" t="s">
        <v>1816</v>
      </c>
      <c r="G322" s="36" t="s">
        <v>32</v>
      </c>
      <c r="H322" s="36" t="s">
        <v>1655</v>
      </c>
      <c r="I322" s="36" t="s">
        <v>1656</v>
      </c>
      <c r="J322" s="36" t="s">
        <v>1656</v>
      </c>
      <c r="K322" s="36" t="s">
        <v>1814</v>
      </c>
      <c r="L322" s="36" t="s">
        <v>1669</v>
      </c>
      <c r="M322" s="36" t="s">
        <v>1669</v>
      </c>
      <c r="N322" s="36" t="s">
        <v>32</v>
      </c>
    </row>
    <row r="323">
      <c r="A323" s="36" t="s">
        <v>2340</v>
      </c>
      <c r="B323" s="154" t="s">
        <v>2339</v>
      </c>
      <c r="C323" s="36" t="s">
        <v>1666</v>
      </c>
      <c r="D323" s="36" t="s">
        <v>1471</v>
      </c>
      <c r="E323" s="36" t="s">
        <v>1471</v>
      </c>
      <c r="F323" s="154" t="s">
        <v>1959</v>
      </c>
      <c r="G323" s="36" t="s">
        <v>28</v>
      </c>
      <c r="H323" s="36" t="s">
        <v>1655</v>
      </c>
      <c r="I323" s="36" t="s">
        <v>1656</v>
      </c>
      <c r="J323" s="36" t="s">
        <v>1656</v>
      </c>
      <c r="K323" s="36" t="s">
        <v>1817</v>
      </c>
      <c r="L323" s="36" t="s">
        <v>1669</v>
      </c>
      <c r="M323" s="36" t="s">
        <v>1669</v>
      </c>
      <c r="N323" s="36" t="s">
        <v>32</v>
      </c>
    </row>
    <row r="324">
      <c r="A324" s="36" t="s">
        <v>2341</v>
      </c>
      <c r="B324" s="154" t="s">
        <v>2339</v>
      </c>
      <c r="C324" s="36" t="s">
        <v>1666</v>
      </c>
      <c r="D324" s="36" t="s">
        <v>1475</v>
      </c>
      <c r="E324" s="36" t="s">
        <v>1475</v>
      </c>
      <c r="F324" s="154" t="s">
        <v>2021</v>
      </c>
      <c r="G324" s="36" t="s">
        <v>28</v>
      </c>
      <c r="H324" s="36" t="s">
        <v>1655</v>
      </c>
      <c r="I324" s="36" t="s">
        <v>1656</v>
      </c>
      <c r="J324" s="36" t="s">
        <v>1656</v>
      </c>
      <c r="K324" s="36" t="s">
        <v>1820</v>
      </c>
      <c r="L324" s="36" t="s">
        <v>1669</v>
      </c>
      <c r="M324" s="36" t="s">
        <v>1669</v>
      </c>
      <c r="N324" s="36" t="s">
        <v>32</v>
      </c>
    </row>
    <row r="325">
      <c r="A325" s="36" t="s">
        <v>2342</v>
      </c>
      <c r="B325" s="154" t="s">
        <v>2343</v>
      </c>
      <c r="C325" s="36" t="s">
        <v>1666</v>
      </c>
      <c r="D325" s="36" t="s">
        <v>310</v>
      </c>
      <c r="E325" s="36" t="s">
        <v>310</v>
      </c>
      <c r="F325" s="154" t="s">
        <v>2344</v>
      </c>
      <c r="G325" s="36" t="s">
        <v>28</v>
      </c>
      <c r="H325" s="36" t="s">
        <v>1655</v>
      </c>
      <c r="I325" s="36" t="s">
        <v>1656</v>
      </c>
      <c r="J325" s="36" t="s">
        <v>1656</v>
      </c>
      <c r="K325" s="36" t="s">
        <v>1823</v>
      </c>
      <c r="L325" s="36" t="s">
        <v>1669</v>
      </c>
      <c r="M325" s="36" t="s">
        <v>1669</v>
      </c>
      <c r="N325" s="36" t="s">
        <v>32</v>
      </c>
    </row>
    <row r="326">
      <c r="A326" s="36" t="s">
        <v>2345</v>
      </c>
      <c r="B326" s="154" t="s">
        <v>2343</v>
      </c>
      <c r="C326" s="36" t="s">
        <v>1666</v>
      </c>
      <c r="D326" s="36" t="s">
        <v>1479</v>
      </c>
      <c r="E326" s="36" t="s">
        <v>1479</v>
      </c>
      <c r="F326" s="154" t="s">
        <v>2346</v>
      </c>
      <c r="G326" s="36" t="s">
        <v>32</v>
      </c>
      <c r="H326" s="36" t="s">
        <v>1655</v>
      </c>
      <c r="I326" s="36" t="s">
        <v>1656</v>
      </c>
      <c r="J326" s="36" t="s">
        <v>1656</v>
      </c>
      <c r="K326" s="36" t="s">
        <v>1826</v>
      </c>
      <c r="L326" s="36" t="s">
        <v>1669</v>
      </c>
      <c r="M326" s="36" t="s">
        <v>1669</v>
      </c>
      <c r="N326" s="36" t="s">
        <v>32</v>
      </c>
    </row>
    <row r="327">
      <c r="A327" s="36" t="s">
        <v>2347</v>
      </c>
      <c r="B327" s="154" t="s">
        <v>2343</v>
      </c>
      <c r="C327" s="36" t="s">
        <v>1666</v>
      </c>
      <c r="D327" s="36" t="s">
        <v>78</v>
      </c>
      <c r="E327" s="36" t="s">
        <v>78</v>
      </c>
      <c r="F327" s="154" t="s">
        <v>2325</v>
      </c>
      <c r="G327" s="36" t="s">
        <v>28</v>
      </c>
      <c r="H327" s="36" t="s">
        <v>1655</v>
      </c>
      <c r="I327" s="36" t="s">
        <v>1656</v>
      </c>
      <c r="J327" s="36" t="s">
        <v>1656</v>
      </c>
      <c r="K327" s="36" t="s">
        <v>1830</v>
      </c>
      <c r="L327" s="36" t="s">
        <v>1669</v>
      </c>
      <c r="M327" s="36" t="s">
        <v>1669</v>
      </c>
      <c r="N327" s="36" t="s">
        <v>32</v>
      </c>
    </row>
    <row r="328">
      <c r="A328" s="36" t="s">
        <v>2348</v>
      </c>
      <c r="B328" s="154" t="s">
        <v>2343</v>
      </c>
      <c r="C328" s="36" t="s">
        <v>1666</v>
      </c>
      <c r="D328" s="36" t="s">
        <v>88</v>
      </c>
      <c r="E328" s="36" t="s">
        <v>88</v>
      </c>
      <c r="F328" s="154" t="s">
        <v>1768</v>
      </c>
      <c r="G328" s="36" t="s">
        <v>32</v>
      </c>
      <c r="H328" s="36" t="s">
        <v>1655</v>
      </c>
      <c r="I328" s="36" t="s">
        <v>1656</v>
      </c>
      <c r="J328" s="36" t="s">
        <v>1656</v>
      </c>
      <c r="K328" s="36" t="s">
        <v>1833</v>
      </c>
      <c r="L328" s="36" t="s">
        <v>1669</v>
      </c>
      <c r="M328" s="36" t="s">
        <v>1669</v>
      </c>
      <c r="N328" s="36" t="s">
        <v>32</v>
      </c>
    </row>
    <row r="329">
      <c r="A329" s="36" t="s">
        <v>2349</v>
      </c>
      <c r="B329" s="154" t="s">
        <v>2350</v>
      </c>
      <c r="C329" s="36" t="s">
        <v>1666</v>
      </c>
      <c r="D329" s="36" t="s">
        <v>313</v>
      </c>
      <c r="E329" s="36" t="s">
        <v>313</v>
      </c>
      <c r="F329" s="154" t="s">
        <v>1929</v>
      </c>
      <c r="G329" s="36" t="s">
        <v>32</v>
      </c>
      <c r="H329" s="36" t="s">
        <v>1655</v>
      </c>
      <c r="I329" s="36" t="s">
        <v>1656</v>
      </c>
      <c r="J329" s="36" t="s">
        <v>1656</v>
      </c>
      <c r="K329" s="36" t="s">
        <v>1836</v>
      </c>
      <c r="L329" s="36" t="s">
        <v>1669</v>
      </c>
      <c r="M329" s="36" t="s">
        <v>1669</v>
      </c>
      <c r="N329" s="36" t="s">
        <v>32</v>
      </c>
    </row>
    <row r="330">
      <c r="A330" s="36" t="s">
        <v>2351</v>
      </c>
      <c r="B330" s="154" t="s">
        <v>2350</v>
      </c>
      <c r="C330" s="36" t="s">
        <v>1666</v>
      </c>
      <c r="D330" s="36" t="s">
        <v>832</v>
      </c>
      <c r="E330" s="36" t="s">
        <v>832</v>
      </c>
      <c r="F330" s="154" t="s">
        <v>1744</v>
      </c>
      <c r="G330" s="36" t="s">
        <v>32</v>
      </c>
      <c r="H330" s="36" t="s">
        <v>1655</v>
      </c>
      <c r="I330" s="36" t="s">
        <v>1656</v>
      </c>
      <c r="J330" s="36" t="s">
        <v>1656</v>
      </c>
      <c r="K330" s="36" t="s">
        <v>1839</v>
      </c>
      <c r="L330" s="36" t="s">
        <v>1669</v>
      </c>
      <c r="M330" s="36" t="s">
        <v>1669</v>
      </c>
      <c r="N330" s="36" t="s">
        <v>32</v>
      </c>
    </row>
    <row r="331">
      <c r="A331" s="36" t="s">
        <v>2352</v>
      </c>
      <c r="B331" s="154" t="s">
        <v>2350</v>
      </c>
      <c r="C331" s="36" t="s">
        <v>1666</v>
      </c>
      <c r="D331" s="36" t="s">
        <v>214</v>
      </c>
      <c r="E331" s="36" t="s">
        <v>214</v>
      </c>
      <c r="F331" s="154" t="s">
        <v>1710</v>
      </c>
      <c r="G331" s="36" t="s">
        <v>28</v>
      </c>
      <c r="H331" s="36" t="s">
        <v>1655</v>
      </c>
      <c r="I331" s="36" t="s">
        <v>1656</v>
      </c>
      <c r="J331" s="36" t="s">
        <v>1656</v>
      </c>
      <c r="K331" s="36" t="s">
        <v>1842</v>
      </c>
      <c r="L331" s="36" t="s">
        <v>1669</v>
      </c>
      <c r="M331" s="36" t="s">
        <v>1669</v>
      </c>
      <c r="N331" s="36" t="s">
        <v>32</v>
      </c>
    </row>
    <row r="332">
      <c r="A332" s="36" t="s">
        <v>2353</v>
      </c>
      <c r="B332" s="154" t="s">
        <v>2350</v>
      </c>
      <c r="C332" s="36" t="s">
        <v>1666</v>
      </c>
      <c r="D332" s="36" t="s">
        <v>1406</v>
      </c>
      <c r="E332" s="36" t="s">
        <v>1406</v>
      </c>
      <c r="F332" s="154" t="s">
        <v>2354</v>
      </c>
      <c r="G332" s="36" t="s">
        <v>28</v>
      </c>
      <c r="H332" s="36" t="s">
        <v>1655</v>
      </c>
      <c r="I332" s="36" t="s">
        <v>1656</v>
      </c>
      <c r="J332" s="36" t="s">
        <v>1656</v>
      </c>
      <c r="K332" s="36" t="s">
        <v>1869</v>
      </c>
      <c r="L332" s="36" t="s">
        <v>1669</v>
      </c>
      <c r="M332" s="36" t="s">
        <v>1669</v>
      </c>
      <c r="N332" s="36" t="s">
        <v>32</v>
      </c>
    </row>
    <row r="333">
      <c r="A333" s="36" t="s">
        <v>2355</v>
      </c>
      <c r="B333" s="154" t="s">
        <v>2356</v>
      </c>
      <c r="C333" s="36" t="s">
        <v>1666</v>
      </c>
      <c r="D333" s="36" t="s">
        <v>295</v>
      </c>
      <c r="E333" s="36" t="s">
        <v>295</v>
      </c>
      <c r="F333" s="154" t="s">
        <v>1853</v>
      </c>
      <c r="G333" s="36" t="s">
        <v>32</v>
      </c>
      <c r="H333" s="36" t="s">
        <v>1655</v>
      </c>
      <c r="I333" s="36" t="s">
        <v>1656</v>
      </c>
      <c r="J333" s="36" t="s">
        <v>1656</v>
      </c>
      <c r="K333" s="36" t="s">
        <v>1845</v>
      </c>
      <c r="L333" s="36" t="s">
        <v>1669</v>
      </c>
      <c r="M333" s="36" t="s">
        <v>1669</v>
      </c>
      <c r="N333" s="36" t="s">
        <v>32</v>
      </c>
    </row>
    <row r="334">
      <c r="A334" s="36" t="s">
        <v>2357</v>
      </c>
      <c r="B334" s="154" t="s">
        <v>2358</v>
      </c>
      <c r="C334" s="36" t="s">
        <v>1666</v>
      </c>
      <c r="D334" s="36" t="s">
        <v>1498</v>
      </c>
      <c r="E334" s="36" t="s">
        <v>1498</v>
      </c>
      <c r="F334" s="154" t="s">
        <v>1806</v>
      </c>
      <c r="G334" s="36" t="s">
        <v>28</v>
      </c>
      <c r="H334" s="36" t="s">
        <v>1655</v>
      </c>
      <c r="I334" s="36" t="s">
        <v>1656</v>
      </c>
      <c r="J334" s="36" t="s">
        <v>1656</v>
      </c>
      <c r="K334" s="36" t="s">
        <v>1848</v>
      </c>
      <c r="L334" s="36" t="s">
        <v>1669</v>
      </c>
      <c r="M334" s="36" t="s">
        <v>1669</v>
      </c>
      <c r="N334" s="36" t="s">
        <v>32</v>
      </c>
    </row>
    <row r="335">
      <c r="A335" s="36" t="s">
        <v>2359</v>
      </c>
      <c r="B335" s="154" t="s">
        <v>2358</v>
      </c>
      <c r="C335" s="36" t="s">
        <v>1666</v>
      </c>
      <c r="D335" s="36" t="s">
        <v>1159</v>
      </c>
      <c r="E335" s="36" t="s">
        <v>1159</v>
      </c>
      <c r="F335" s="154" t="s">
        <v>2360</v>
      </c>
      <c r="G335" s="36" t="s">
        <v>28</v>
      </c>
      <c r="H335" s="36" t="s">
        <v>1655</v>
      </c>
      <c r="I335" s="36" t="s">
        <v>1656</v>
      </c>
      <c r="J335" s="36" t="s">
        <v>1656</v>
      </c>
      <c r="K335" s="36" t="s">
        <v>1851</v>
      </c>
      <c r="L335" s="36" t="s">
        <v>1669</v>
      </c>
      <c r="M335" s="36" t="s">
        <v>1669</v>
      </c>
      <c r="N335" s="36" t="s">
        <v>32</v>
      </c>
    </row>
    <row r="336">
      <c r="A336" s="36" t="s">
        <v>2361</v>
      </c>
      <c r="B336" s="154" t="s">
        <v>2358</v>
      </c>
      <c r="C336" s="36" t="s">
        <v>1666</v>
      </c>
      <c r="D336" s="36" t="s">
        <v>689</v>
      </c>
      <c r="E336" s="36" t="s">
        <v>689</v>
      </c>
      <c r="F336" s="154" t="s">
        <v>2362</v>
      </c>
      <c r="G336" s="36" t="s">
        <v>28</v>
      </c>
      <c r="H336" s="36" t="s">
        <v>1655</v>
      </c>
      <c r="I336" s="36" t="s">
        <v>1656</v>
      </c>
      <c r="J336" s="36" t="s">
        <v>1656</v>
      </c>
      <c r="K336" s="36" t="s">
        <v>1854</v>
      </c>
      <c r="L336" s="36" t="s">
        <v>1669</v>
      </c>
      <c r="M336" s="36" t="s">
        <v>1669</v>
      </c>
      <c r="N336" s="36" t="s">
        <v>32</v>
      </c>
    </row>
    <row r="337">
      <c r="A337" s="36" t="s">
        <v>2363</v>
      </c>
      <c r="B337" s="154" t="s">
        <v>2358</v>
      </c>
      <c r="C337" s="36" t="s">
        <v>1666</v>
      </c>
      <c r="D337" s="36" t="s">
        <v>1249</v>
      </c>
      <c r="E337" s="36" t="s">
        <v>1249</v>
      </c>
      <c r="F337" s="154" t="s">
        <v>1810</v>
      </c>
      <c r="G337" s="36" t="s">
        <v>28</v>
      </c>
      <c r="H337" s="36" t="s">
        <v>1655</v>
      </c>
      <c r="I337" s="36" t="s">
        <v>1656</v>
      </c>
      <c r="J337" s="36" t="s">
        <v>1656</v>
      </c>
      <c r="K337" s="36" t="s">
        <v>1857</v>
      </c>
      <c r="L337" s="36" t="s">
        <v>1669</v>
      </c>
      <c r="M337" s="36" t="s">
        <v>1669</v>
      </c>
      <c r="N337" s="36" t="s">
        <v>32</v>
      </c>
    </row>
    <row r="338">
      <c r="A338" s="36" t="s">
        <v>2364</v>
      </c>
      <c r="B338" s="154" t="s">
        <v>2365</v>
      </c>
      <c r="C338" s="36" t="s">
        <v>1666</v>
      </c>
      <c r="D338" s="36" t="s">
        <v>235</v>
      </c>
      <c r="E338" s="36" t="s">
        <v>235</v>
      </c>
      <c r="F338" s="154" t="s">
        <v>1744</v>
      </c>
      <c r="G338" s="36" t="s">
        <v>28</v>
      </c>
      <c r="H338" s="36" t="s">
        <v>1655</v>
      </c>
      <c r="I338" s="36" t="s">
        <v>1656</v>
      </c>
      <c r="J338" s="36" t="s">
        <v>1656</v>
      </c>
      <c r="K338" s="36" t="s">
        <v>1860</v>
      </c>
      <c r="L338" s="36" t="s">
        <v>1669</v>
      </c>
      <c r="M338" s="36" t="s">
        <v>1669</v>
      </c>
      <c r="N338" s="36" t="s">
        <v>32</v>
      </c>
    </row>
    <row r="339">
      <c r="A339" s="36" t="s">
        <v>2366</v>
      </c>
      <c r="B339" s="154" t="s">
        <v>2367</v>
      </c>
      <c r="C339" s="36" t="s">
        <v>1666</v>
      </c>
      <c r="D339" s="36" t="s">
        <v>714</v>
      </c>
      <c r="E339" s="36" t="s">
        <v>714</v>
      </c>
      <c r="F339" s="154" t="s">
        <v>2090</v>
      </c>
      <c r="G339" s="36" t="s">
        <v>32</v>
      </c>
      <c r="H339" s="36" t="s">
        <v>1655</v>
      </c>
      <c r="I339" s="36" t="s">
        <v>1656</v>
      </c>
      <c r="J339" s="36" t="s">
        <v>1656</v>
      </c>
      <c r="K339" s="36" t="s">
        <v>1891</v>
      </c>
      <c r="L339" s="36" t="s">
        <v>1669</v>
      </c>
      <c r="M339" s="36" t="s">
        <v>1669</v>
      </c>
      <c r="N339" s="36" t="s">
        <v>32</v>
      </c>
    </row>
    <row r="340">
      <c r="A340" s="36" t="s">
        <v>2368</v>
      </c>
      <c r="B340" s="154" t="s">
        <v>2369</v>
      </c>
      <c r="C340" s="36" t="s">
        <v>1666</v>
      </c>
      <c r="D340" s="36" t="s">
        <v>310</v>
      </c>
      <c r="E340" s="36" t="s">
        <v>310</v>
      </c>
      <c r="F340" s="154" t="s">
        <v>1932</v>
      </c>
      <c r="G340" s="36" t="s">
        <v>28</v>
      </c>
      <c r="H340" s="36" t="s">
        <v>1655</v>
      </c>
      <c r="I340" s="36" t="s">
        <v>1656</v>
      </c>
      <c r="J340" s="36" t="s">
        <v>1656</v>
      </c>
      <c r="K340" s="36" t="s">
        <v>1863</v>
      </c>
      <c r="L340" s="36" t="s">
        <v>1669</v>
      </c>
      <c r="M340" s="36" t="s">
        <v>1669</v>
      </c>
      <c r="N340" s="36" t="s">
        <v>32</v>
      </c>
    </row>
    <row r="341">
      <c r="A341" s="36" t="s">
        <v>2370</v>
      </c>
      <c r="B341" s="154" t="s">
        <v>2369</v>
      </c>
      <c r="C341" s="36" t="s">
        <v>1666</v>
      </c>
      <c r="D341" s="36" t="s">
        <v>124</v>
      </c>
      <c r="E341" s="36" t="s">
        <v>124</v>
      </c>
      <c r="F341" s="154" t="s">
        <v>2371</v>
      </c>
      <c r="G341" s="36" t="s">
        <v>28</v>
      </c>
      <c r="H341" s="36" t="s">
        <v>1655</v>
      </c>
      <c r="I341" s="36" t="s">
        <v>1656</v>
      </c>
      <c r="J341" s="36" t="s">
        <v>1656</v>
      </c>
      <c r="K341" s="36" t="s">
        <v>1866</v>
      </c>
      <c r="L341" s="36" t="s">
        <v>1669</v>
      </c>
      <c r="M341" s="36" t="s">
        <v>1669</v>
      </c>
      <c r="N341" s="36" t="s">
        <v>32</v>
      </c>
    </row>
    <row r="342">
      <c r="A342" s="36" t="s">
        <v>2372</v>
      </c>
      <c r="B342" s="154" t="s">
        <v>2369</v>
      </c>
      <c r="C342" s="36" t="s">
        <v>1666</v>
      </c>
      <c r="D342" s="36" t="s">
        <v>368</v>
      </c>
      <c r="E342" s="36" t="s">
        <v>368</v>
      </c>
      <c r="F342" s="154" t="s">
        <v>2085</v>
      </c>
      <c r="G342" s="36" t="s">
        <v>28</v>
      </c>
      <c r="H342" s="36" t="s">
        <v>1655</v>
      </c>
      <c r="I342" s="36" t="s">
        <v>1656</v>
      </c>
      <c r="J342" s="36" t="s">
        <v>1656</v>
      </c>
      <c r="K342" s="36" t="s">
        <v>1881</v>
      </c>
      <c r="L342" s="36" t="s">
        <v>1669</v>
      </c>
      <c r="M342" s="36" t="s">
        <v>1669</v>
      </c>
      <c r="N342" s="36" t="s">
        <v>34</v>
      </c>
    </row>
    <row r="343">
      <c r="A343" s="36" t="s">
        <v>2373</v>
      </c>
      <c r="B343" s="154" t="s">
        <v>2369</v>
      </c>
      <c r="C343" s="36" t="s">
        <v>1666</v>
      </c>
      <c r="D343" s="36" t="s">
        <v>1536</v>
      </c>
      <c r="E343" s="36" t="s">
        <v>1536</v>
      </c>
      <c r="F343" s="154" t="s">
        <v>1859</v>
      </c>
      <c r="G343" s="36" t="s">
        <v>32</v>
      </c>
      <c r="H343" s="36" t="s">
        <v>1655</v>
      </c>
      <c r="I343" s="36" t="s">
        <v>1656</v>
      </c>
      <c r="J343" s="36" t="s">
        <v>1656</v>
      </c>
      <c r="K343" s="36" t="s">
        <v>1903</v>
      </c>
      <c r="L343" s="36" t="s">
        <v>1669</v>
      </c>
      <c r="M343" s="36" t="s">
        <v>1669</v>
      </c>
      <c r="N343" s="36" t="s">
        <v>32</v>
      </c>
    </row>
    <row r="344">
      <c r="A344" s="36" t="s">
        <v>2374</v>
      </c>
      <c r="B344" s="154" t="s">
        <v>2369</v>
      </c>
      <c r="C344" s="36" t="s">
        <v>1666</v>
      </c>
      <c r="D344" s="36" t="s">
        <v>1542</v>
      </c>
      <c r="E344" s="36" t="s">
        <v>1542</v>
      </c>
      <c r="F344" s="154" t="s">
        <v>2094</v>
      </c>
      <c r="G344" s="36" t="s">
        <v>32</v>
      </c>
      <c r="H344" s="36" t="s">
        <v>1655</v>
      </c>
      <c r="I344" s="36" t="s">
        <v>1656</v>
      </c>
      <c r="J344" s="36" t="s">
        <v>1656</v>
      </c>
      <c r="K344" s="36" t="s">
        <v>1906</v>
      </c>
      <c r="L344" s="36" t="s">
        <v>1669</v>
      </c>
      <c r="M344" s="36" t="s">
        <v>1669</v>
      </c>
      <c r="N344" s="36" t="s">
        <v>32</v>
      </c>
    </row>
    <row r="345">
      <c r="A345" s="36" t="s">
        <v>2375</v>
      </c>
      <c r="B345" s="154" t="s">
        <v>2376</v>
      </c>
      <c r="C345" s="36" t="s">
        <v>1666</v>
      </c>
      <c r="D345" s="36" t="s">
        <v>684</v>
      </c>
      <c r="E345" s="36" t="s">
        <v>684</v>
      </c>
      <c r="F345" s="154" t="s">
        <v>2163</v>
      </c>
      <c r="G345" s="36" t="s">
        <v>28</v>
      </c>
      <c r="H345" s="36" t="s">
        <v>1655</v>
      </c>
      <c r="I345" s="36" t="s">
        <v>1656</v>
      </c>
      <c r="J345" s="36" t="s">
        <v>1656</v>
      </c>
      <c r="K345" s="36" t="s">
        <v>1872</v>
      </c>
      <c r="L345" s="36" t="s">
        <v>1669</v>
      </c>
      <c r="M345" s="36" t="s">
        <v>1669</v>
      </c>
      <c r="N345" s="36" t="s">
        <v>34</v>
      </c>
    </row>
    <row r="346">
      <c r="A346" s="36" t="s">
        <v>2377</v>
      </c>
      <c r="B346" s="154" t="s">
        <v>2376</v>
      </c>
      <c r="C346" s="36" t="s">
        <v>1666</v>
      </c>
      <c r="D346" s="36" t="s">
        <v>1516</v>
      </c>
      <c r="E346" s="36" t="s">
        <v>1516</v>
      </c>
      <c r="F346" s="154" t="s">
        <v>2378</v>
      </c>
      <c r="G346" s="36" t="s">
        <v>28</v>
      </c>
      <c r="H346" s="36" t="s">
        <v>1655</v>
      </c>
      <c r="I346" s="36" t="s">
        <v>1656</v>
      </c>
      <c r="J346" s="36" t="s">
        <v>1656</v>
      </c>
      <c r="K346" s="36" t="s">
        <v>1875</v>
      </c>
      <c r="L346" s="36" t="s">
        <v>1669</v>
      </c>
      <c r="M346" s="36" t="s">
        <v>1669</v>
      </c>
      <c r="N346" s="36" t="s">
        <v>34</v>
      </c>
    </row>
    <row r="347">
      <c r="A347" s="36" t="s">
        <v>2379</v>
      </c>
      <c r="B347" s="154" t="s">
        <v>2376</v>
      </c>
      <c r="C347" s="36" t="s">
        <v>1666</v>
      </c>
      <c r="D347" s="36" t="s">
        <v>1518</v>
      </c>
      <c r="E347" s="36" t="s">
        <v>1518</v>
      </c>
      <c r="F347" s="154" t="s">
        <v>2380</v>
      </c>
      <c r="G347" s="36" t="s">
        <v>28</v>
      </c>
      <c r="H347" s="36" t="s">
        <v>1655</v>
      </c>
      <c r="I347" s="36" t="s">
        <v>1656</v>
      </c>
      <c r="J347" s="36" t="s">
        <v>1656</v>
      </c>
      <c r="K347" s="36" t="s">
        <v>1878</v>
      </c>
      <c r="L347" s="36" t="s">
        <v>1669</v>
      </c>
      <c r="M347" s="36" t="s">
        <v>1669</v>
      </c>
      <c r="N347" s="36" t="s">
        <v>34</v>
      </c>
    </row>
    <row r="348">
      <c r="A348" s="36" t="s">
        <v>2381</v>
      </c>
      <c r="B348" s="154" t="s">
        <v>2382</v>
      </c>
      <c r="C348" s="36" t="s">
        <v>1666</v>
      </c>
      <c r="D348" s="36" t="s">
        <v>81</v>
      </c>
      <c r="E348" s="36" t="s">
        <v>81</v>
      </c>
      <c r="F348" s="154" t="s">
        <v>2383</v>
      </c>
      <c r="G348" s="36" t="s">
        <v>28</v>
      </c>
      <c r="H348" s="36" t="s">
        <v>1655</v>
      </c>
      <c r="I348" s="36" t="s">
        <v>1656</v>
      </c>
      <c r="J348" s="36" t="s">
        <v>1656</v>
      </c>
      <c r="K348" s="36" t="s">
        <v>1921</v>
      </c>
      <c r="L348" s="36" t="s">
        <v>1669</v>
      </c>
      <c r="M348" s="36" t="s">
        <v>1669</v>
      </c>
      <c r="N348" s="36" t="s">
        <v>32</v>
      </c>
    </row>
    <row r="349">
      <c r="A349" s="36" t="s">
        <v>2384</v>
      </c>
      <c r="B349" s="154" t="s">
        <v>2382</v>
      </c>
      <c r="C349" s="36" t="s">
        <v>1666</v>
      </c>
      <c r="D349" s="36" t="s">
        <v>84</v>
      </c>
      <c r="E349" s="36" t="s">
        <v>84</v>
      </c>
      <c r="F349" s="154" t="s">
        <v>2385</v>
      </c>
      <c r="G349" s="36" t="s">
        <v>32</v>
      </c>
      <c r="H349" s="36" t="s">
        <v>1655</v>
      </c>
      <c r="I349" s="36" t="s">
        <v>1656</v>
      </c>
      <c r="J349" s="36" t="s">
        <v>1656</v>
      </c>
      <c r="K349" s="36" t="s">
        <v>1924</v>
      </c>
      <c r="L349" s="36" t="s">
        <v>1669</v>
      </c>
      <c r="M349" s="36" t="s">
        <v>1669</v>
      </c>
      <c r="N349" s="36" t="s">
        <v>32</v>
      </c>
    </row>
    <row r="350">
      <c r="A350" s="36" t="s">
        <v>2386</v>
      </c>
      <c r="B350" s="154" t="s">
        <v>2382</v>
      </c>
      <c r="C350" s="36" t="s">
        <v>1666</v>
      </c>
      <c r="D350" s="36" t="s">
        <v>1139</v>
      </c>
      <c r="E350" s="36" t="s">
        <v>1139</v>
      </c>
      <c r="F350" s="154" t="s">
        <v>1932</v>
      </c>
      <c r="G350" s="36" t="s">
        <v>28</v>
      </c>
      <c r="H350" s="36" t="s">
        <v>1655</v>
      </c>
      <c r="I350" s="36" t="s">
        <v>1656</v>
      </c>
      <c r="J350" s="36" t="s">
        <v>1656</v>
      </c>
      <c r="K350" s="36" t="s">
        <v>1884</v>
      </c>
      <c r="L350" s="36" t="s">
        <v>1669</v>
      </c>
      <c r="M350" s="36" t="s">
        <v>1669</v>
      </c>
      <c r="N350" s="36" t="s">
        <v>34</v>
      </c>
    </row>
    <row r="351">
      <c r="A351" s="36" t="s">
        <v>2387</v>
      </c>
      <c r="B351" s="154" t="s">
        <v>2382</v>
      </c>
      <c r="C351" s="36" t="s">
        <v>1666</v>
      </c>
      <c r="D351" s="36" t="s">
        <v>310</v>
      </c>
      <c r="E351" s="36" t="s">
        <v>310</v>
      </c>
      <c r="F351" s="154" t="s">
        <v>2388</v>
      </c>
      <c r="G351" s="36" t="s">
        <v>28</v>
      </c>
      <c r="H351" s="36" t="s">
        <v>1655</v>
      </c>
      <c r="I351" s="36" t="s">
        <v>1656</v>
      </c>
      <c r="J351" s="36" t="s">
        <v>1656</v>
      </c>
      <c r="K351" s="36" t="s">
        <v>1887</v>
      </c>
      <c r="L351" s="36" t="s">
        <v>1669</v>
      </c>
      <c r="M351" s="36" t="s">
        <v>1669</v>
      </c>
      <c r="N351" s="36" t="s">
        <v>34</v>
      </c>
    </row>
    <row r="352">
      <c r="A352" s="36" t="s">
        <v>2389</v>
      </c>
      <c r="B352" s="154" t="s">
        <v>2382</v>
      </c>
      <c r="C352" s="36" t="s">
        <v>1666</v>
      </c>
      <c r="D352" s="36" t="s">
        <v>689</v>
      </c>
      <c r="E352" s="36" t="s">
        <v>689</v>
      </c>
      <c r="F352" s="154" t="s">
        <v>1973</v>
      </c>
      <c r="G352" s="36" t="s">
        <v>28</v>
      </c>
      <c r="H352" s="36" t="s">
        <v>1655</v>
      </c>
      <c r="I352" s="36" t="s">
        <v>1656</v>
      </c>
      <c r="J352" s="36" t="s">
        <v>1656</v>
      </c>
      <c r="K352" s="36" t="s">
        <v>1894</v>
      </c>
      <c r="L352" s="36" t="s">
        <v>1669</v>
      </c>
      <c r="M352" s="36" t="s">
        <v>1669</v>
      </c>
      <c r="N352" s="36" t="s">
        <v>34</v>
      </c>
    </row>
    <row r="353">
      <c r="A353" s="36" t="s">
        <v>2390</v>
      </c>
      <c r="B353" s="154" t="s">
        <v>2382</v>
      </c>
      <c r="C353" s="36" t="s">
        <v>1666</v>
      </c>
      <c r="D353" s="36" t="s">
        <v>1528</v>
      </c>
      <c r="E353" s="36" t="s">
        <v>1528</v>
      </c>
      <c r="F353" s="154" t="s">
        <v>2391</v>
      </c>
      <c r="G353" s="36" t="s">
        <v>30</v>
      </c>
      <c r="H353" s="36" t="s">
        <v>1655</v>
      </c>
      <c r="I353" s="36" t="s">
        <v>1656</v>
      </c>
      <c r="J353" s="36" t="s">
        <v>1656</v>
      </c>
      <c r="K353" s="36" t="s">
        <v>1897</v>
      </c>
      <c r="L353" s="36" t="s">
        <v>1669</v>
      </c>
      <c r="M353" s="36" t="s">
        <v>1669</v>
      </c>
      <c r="N353" s="36" t="s">
        <v>32</v>
      </c>
    </row>
    <row r="354">
      <c r="A354" s="36" t="s">
        <v>2392</v>
      </c>
      <c r="B354" s="154" t="s">
        <v>2393</v>
      </c>
      <c r="C354" s="36" t="s">
        <v>1666</v>
      </c>
      <c r="D354" s="36" t="s">
        <v>1532</v>
      </c>
      <c r="E354" s="36" t="s">
        <v>1532</v>
      </c>
      <c r="F354" s="154" t="s">
        <v>2394</v>
      </c>
      <c r="G354" s="36" t="s">
        <v>28</v>
      </c>
      <c r="H354" s="36" t="s">
        <v>1655</v>
      </c>
      <c r="I354" s="36" t="s">
        <v>1656</v>
      </c>
      <c r="J354" s="36" t="s">
        <v>1656</v>
      </c>
      <c r="K354" s="36" t="s">
        <v>1900</v>
      </c>
      <c r="L354" s="36" t="s">
        <v>1669</v>
      </c>
      <c r="M354" s="36" t="s">
        <v>1669</v>
      </c>
      <c r="N354" s="36" t="s">
        <v>34</v>
      </c>
    </row>
    <row r="355">
      <c r="A355" s="36" t="s">
        <v>2395</v>
      </c>
      <c r="B355" s="154" t="s">
        <v>2393</v>
      </c>
      <c r="C355" s="36" t="s">
        <v>1666</v>
      </c>
      <c r="D355" s="36" t="s">
        <v>124</v>
      </c>
      <c r="E355" s="36" t="s">
        <v>124</v>
      </c>
      <c r="F355" s="154" t="s">
        <v>2396</v>
      </c>
      <c r="G355" s="36" t="s">
        <v>32</v>
      </c>
      <c r="H355" s="36" t="s">
        <v>1655</v>
      </c>
      <c r="I355" s="36" t="s">
        <v>1656</v>
      </c>
      <c r="J355" s="36" t="s">
        <v>1656</v>
      </c>
      <c r="K355" s="36" t="s">
        <v>1909</v>
      </c>
      <c r="L355" s="36" t="s">
        <v>1669</v>
      </c>
      <c r="M355" s="36" t="s">
        <v>1669</v>
      </c>
      <c r="N355" s="36" t="s">
        <v>32</v>
      </c>
    </row>
    <row r="356">
      <c r="A356" s="36" t="s">
        <v>2397</v>
      </c>
      <c r="B356" s="154" t="s">
        <v>2398</v>
      </c>
      <c r="C356" s="36" t="s">
        <v>1653</v>
      </c>
      <c r="D356" s="36" t="s">
        <v>43</v>
      </c>
      <c r="E356" s="36" t="s">
        <v>39</v>
      </c>
      <c r="F356" s="154" t="s">
        <v>2399</v>
      </c>
      <c r="G356" s="36" t="s">
        <v>32</v>
      </c>
      <c r="H356" s="36" t="s">
        <v>1655</v>
      </c>
      <c r="I356" s="36" t="s">
        <v>1656</v>
      </c>
      <c r="J356" s="36" t="s">
        <v>1656</v>
      </c>
      <c r="K356" s="36" t="s">
        <v>1657</v>
      </c>
      <c r="L356" s="36" t="s">
        <v>1944</v>
      </c>
      <c r="M356" s="36" t="s">
        <v>1944</v>
      </c>
      <c r="N356" s="36" t="s">
        <v>32</v>
      </c>
    </row>
    <row r="357">
      <c r="A357" s="36" t="s">
        <v>2400</v>
      </c>
      <c r="B357" s="154" t="s">
        <v>2398</v>
      </c>
      <c r="C357" s="36" t="s">
        <v>1653</v>
      </c>
      <c r="D357" s="36" t="s">
        <v>1396</v>
      </c>
      <c r="E357" s="36" t="s">
        <v>39</v>
      </c>
      <c r="F357" s="154" t="s">
        <v>2401</v>
      </c>
      <c r="G357" s="36" t="s">
        <v>32</v>
      </c>
      <c r="H357" s="36" t="s">
        <v>1655</v>
      </c>
      <c r="I357" s="36" t="s">
        <v>1656</v>
      </c>
      <c r="J357" s="36" t="s">
        <v>1656</v>
      </c>
      <c r="K357" s="36" t="s">
        <v>1664</v>
      </c>
      <c r="L357" s="36" t="s">
        <v>1944</v>
      </c>
      <c r="M357" s="36" t="s">
        <v>1944</v>
      </c>
      <c r="N357" s="36" t="s">
        <v>32</v>
      </c>
    </row>
    <row r="358">
      <c r="A358" s="36" t="s">
        <v>2402</v>
      </c>
      <c r="B358" s="154" t="s">
        <v>2398</v>
      </c>
      <c r="C358" s="36" t="s">
        <v>1666</v>
      </c>
      <c r="D358" s="36" t="s">
        <v>239</v>
      </c>
      <c r="E358" s="36" t="s">
        <v>239</v>
      </c>
      <c r="F358" s="154" t="s">
        <v>2249</v>
      </c>
      <c r="G358" s="36" t="s">
        <v>28</v>
      </c>
      <c r="H358" s="36" t="s">
        <v>1655</v>
      </c>
      <c r="I358" s="36" t="s">
        <v>1656</v>
      </c>
      <c r="J358" s="36" t="s">
        <v>1656</v>
      </c>
      <c r="K358" s="36" t="s">
        <v>1668</v>
      </c>
      <c r="L358" s="36" t="s">
        <v>1669</v>
      </c>
      <c r="M358" s="36" t="s">
        <v>1669</v>
      </c>
      <c r="N358" s="36" t="s">
        <v>34</v>
      </c>
    </row>
    <row r="359">
      <c r="A359" s="36" t="s">
        <v>2403</v>
      </c>
      <c r="B359" s="154" t="s">
        <v>2398</v>
      </c>
      <c r="C359" s="36" t="s">
        <v>1666</v>
      </c>
      <c r="D359" s="36" t="s">
        <v>1400</v>
      </c>
      <c r="E359" s="36" t="s">
        <v>1400</v>
      </c>
      <c r="F359" s="154" t="s">
        <v>2044</v>
      </c>
      <c r="G359" s="36" t="s">
        <v>28</v>
      </c>
      <c r="H359" s="36" t="s">
        <v>1655</v>
      </c>
      <c r="I359" s="36" t="s">
        <v>1656</v>
      </c>
      <c r="J359" s="36" t="s">
        <v>1656</v>
      </c>
      <c r="K359" s="36" t="s">
        <v>1672</v>
      </c>
      <c r="L359" s="36" t="s">
        <v>1669</v>
      </c>
      <c r="M359" s="36" t="s">
        <v>1669</v>
      </c>
      <c r="N359" s="36" t="s">
        <v>34</v>
      </c>
    </row>
    <row r="360">
      <c r="A360" s="36" t="s">
        <v>2404</v>
      </c>
      <c r="B360" s="154" t="s">
        <v>2398</v>
      </c>
      <c r="C360" s="36" t="s">
        <v>1666</v>
      </c>
      <c r="D360" s="36" t="s">
        <v>85</v>
      </c>
      <c r="E360" s="36" t="s">
        <v>85</v>
      </c>
      <c r="F360" s="154" t="s">
        <v>2132</v>
      </c>
      <c r="G360" s="36" t="s">
        <v>28</v>
      </c>
      <c r="H360" s="36" t="s">
        <v>1655</v>
      </c>
      <c r="I360" s="36" t="s">
        <v>1656</v>
      </c>
      <c r="J360" s="36" t="s">
        <v>1656</v>
      </c>
      <c r="K360" s="36" t="s">
        <v>1675</v>
      </c>
      <c r="L360" s="36" t="s">
        <v>1669</v>
      </c>
      <c r="M360" s="36" t="s">
        <v>1669</v>
      </c>
      <c r="N360" s="36" t="s">
        <v>32</v>
      </c>
    </row>
    <row r="361">
      <c r="A361" s="36" t="s">
        <v>2405</v>
      </c>
      <c r="B361" s="154" t="s">
        <v>2398</v>
      </c>
      <c r="C361" s="36" t="s">
        <v>1666</v>
      </c>
      <c r="D361" s="36" t="s">
        <v>1118</v>
      </c>
      <c r="E361" s="36" t="s">
        <v>1118</v>
      </c>
      <c r="F361" s="154" t="s">
        <v>2406</v>
      </c>
      <c r="G361" s="36" t="s">
        <v>28</v>
      </c>
      <c r="H361" s="36" t="s">
        <v>1655</v>
      </c>
      <c r="I361" s="36" t="s">
        <v>1656</v>
      </c>
      <c r="J361" s="36" t="s">
        <v>1656</v>
      </c>
      <c r="K361" s="36" t="s">
        <v>1678</v>
      </c>
      <c r="L361" s="36" t="s">
        <v>1669</v>
      </c>
      <c r="M361" s="36" t="s">
        <v>1669</v>
      </c>
      <c r="N361" s="36" t="s">
        <v>32</v>
      </c>
    </row>
    <row r="362">
      <c r="A362" s="36" t="s">
        <v>2407</v>
      </c>
      <c r="B362" s="154" t="s">
        <v>2398</v>
      </c>
      <c r="C362" s="36" t="s">
        <v>1666</v>
      </c>
      <c r="D362" s="36" t="s">
        <v>1407</v>
      </c>
      <c r="E362" s="36" t="s">
        <v>1407</v>
      </c>
      <c r="F362" s="154" t="s">
        <v>2408</v>
      </c>
      <c r="G362" s="36" t="s">
        <v>28</v>
      </c>
      <c r="H362" s="36" t="s">
        <v>1655</v>
      </c>
      <c r="I362" s="36" t="s">
        <v>1656</v>
      </c>
      <c r="J362" s="36" t="s">
        <v>1656</v>
      </c>
      <c r="K362" s="36" t="s">
        <v>1681</v>
      </c>
      <c r="L362" s="36" t="s">
        <v>1669</v>
      </c>
      <c r="M362" s="36" t="s">
        <v>1669</v>
      </c>
      <c r="N362" s="36" t="s">
        <v>32</v>
      </c>
    </row>
    <row r="363">
      <c r="A363" s="36" t="s">
        <v>2409</v>
      </c>
      <c r="B363" s="154" t="s">
        <v>2398</v>
      </c>
      <c r="C363" s="36" t="s">
        <v>1666</v>
      </c>
      <c r="D363" s="36" t="s">
        <v>718</v>
      </c>
      <c r="E363" s="36" t="s">
        <v>718</v>
      </c>
      <c r="F363" s="154" t="s">
        <v>1952</v>
      </c>
      <c r="G363" s="36" t="s">
        <v>28</v>
      </c>
      <c r="H363" s="36" t="s">
        <v>1655</v>
      </c>
      <c r="I363" s="36" t="s">
        <v>1656</v>
      </c>
      <c r="J363" s="36" t="s">
        <v>1656</v>
      </c>
      <c r="K363" s="36" t="s">
        <v>1684</v>
      </c>
      <c r="L363" s="36" t="s">
        <v>1669</v>
      </c>
      <c r="M363" s="36" t="s">
        <v>1669</v>
      </c>
      <c r="N363" s="36" t="s">
        <v>32</v>
      </c>
    </row>
    <row r="364">
      <c r="A364" s="36" t="s">
        <v>2410</v>
      </c>
      <c r="B364" s="154" t="s">
        <v>2411</v>
      </c>
      <c r="C364" s="36" t="s">
        <v>1666</v>
      </c>
      <c r="D364" s="36" t="s">
        <v>1411</v>
      </c>
      <c r="E364" s="36" t="s">
        <v>1411</v>
      </c>
      <c r="F364" s="154" t="s">
        <v>2412</v>
      </c>
      <c r="G364" s="36" t="s">
        <v>28</v>
      </c>
      <c r="H364" s="36" t="s">
        <v>1655</v>
      </c>
      <c r="I364" s="36" t="s">
        <v>1656</v>
      </c>
      <c r="J364" s="36" t="s">
        <v>1656</v>
      </c>
      <c r="K364" s="36" t="s">
        <v>1691</v>
      </c>
      <c r="L364" s="36" t="s">
        <v>1669</v>
      </c>
      <c r="M364" s="36" t="s">
        <v>1669</v>
      </c>
      <c r="N364" s="36" t="s">
        <v>34</v>
      </c>
    </row>
    <row r="365">
      <c r="A365" s="36" t="s">
        <v>2413</v>
      </c>
      <c r="B365" s="154" t="s">
        <v>2411</v>
      </c>
      <c r="C365" s="36" t="s">
        <v>1666</v>
      </c>
      <c r="D365" s="36" t="s">
        <v>1139</v>
      </c>
      <c r="E365" s="36" t="s">
        <v>1139</v>
      </c>
      <c r="F365" s="154" t="s">
        <v>1744</v>
      </c>
      <c r="G365" s="36" t="s">
        <v>28</v>
      </c>
      <c r="H365" s="36" t="s">
        <v>1655</v>
      </c>
      <c r="I365" s="36" t="s">
        <v>1656</v>
      </c>
      <c r="J365" s="36" t="s">
        <v>1656</v>
      </c>
      <c r="K365" s="36" t="s">
        <v>1695</v>
      </c>
      <c r="L365" s="36" t="s">
        <v>1669</v>
      </c>
      <c r="M365" s="36" t="s">
        <v>1669</v>
      </c>
      <c r="N365" s="36" t="s">
        <v>34</v>
      </c>
    </row>
    <row r="366">
      <c r="A366" s="36" t="s">
        <v>2414</v>
      </c>
      <c r="B366" s="154" t="s">
        <v>2411</v>
      </c>
      <c r="C366" s="36" t="s">
        <v>1666</v>
      </c>
      <c r="D366" s="36" t="s">
        <v>214</v>
      </c>
      <c r="E366" s="36" t="s">
        <v>214</v>
      </c>
      <c r="F366" s="154" t="s">
        <v>1697</v>
      </c>
      <c r="G366" s="36" t="s">
        <v>28</v>
      </c>
      <c r="H366" s="36" t="s">
        <v>1655</v>
      </c>
      <c r="I366" s="36" t="s">
        <v>1656</v>
      </c>
      <c r="J366" s="36" t="s">
        <v>1656</v>
      </c>
      <c r="K366" s="36" t="s">
        <v>1698</v>
      </c>
      <c r="L366" s="36" t="s">
        <v>1669</v>
      </c>
      <c r="M366" s="36" t="s">
        <v>1669</v>
      </c>
      <c r="N366" s="36" t="s">
        <v>34</v>
      </c>
    </row>
    <row r="367">
      <c r="A367" s="36" t="s">
        <v>2415</v>
      </c>
      <c r="B367" s="154" t="s">
        <v>2416</v>
      </c>
      <c r="C367" s="36" t="s">
        <v>1666</v>
      </c>
      <c r="D367" s="36" t="s">
        <v>819</v>
      </c>
      <c r="E367" s="36" t="s">
        <v>819</v>
      </c>
      <c r="F367" s="154" t="s">
        <v>1816</v>
      </c>
      <c r="G367" s="36" t="s">
        <v>32</v>
      </c>
      <c r="H367" s="36" t="s">
        <v>1655</v>
      </c>
      <c r="I367" s="36" t="s">
        <v>1656</v>
      </c>
      <c r="J367" s="36" t="s">
        <v>1656</v>
      </c>
      <c r="K367" s="36" t="s">
        <v>1701</v>
      </c>
      <c r="L367" s="36" t="s">
        <v>1669</v>
      </c>
      <c r="M367" s="36" t="s">
        <v>1669</v>
      </c>
      <c r="N367" s="36" t="s">
        <v>32</v>
      </c>
    </row>
    <row r="368">
      <c r="A368" s="36" t="s">
        <v>2417</v>
      </c>
      <c r="B368" s="154" t="s">
        <v>2418</v>
      </c>
      <c r="C368" s="36" t="s">
        <v>1666</v>
      </c>
      <c r="D368" s="36" t="s">
        <v>1418</v>
      </c>
      <c r="E368" s="36" t="s">
        <v>1418</v>
      </c>
      <c r="F368" s="154" t="s">
        <v>1932</v>
      </c>
      <c r="G368" s="36" t="s">
        <v>32</v>
      </c>
      <c r="H368" s="36" t="s">
        <v>1655</v>
      </c>
      <c r="I368" s="36" t="s">
        <v>1656</v>
      </c>
      <c r="J368" s="36" t="s">
        <v>1656</v>
      </c>
      <c r="K368" s="36" t="s">
        <v>1704</v>
      </c>
      <c r="L368" s="36" t="s">
        <v>1669</v>
      </c>
      <c r="M368" s="36" t="s">
        <v>1669</v>
      </c>
      <c r="N368" s="36" t="s">
        <v>32</v>
      </c>
    </row>
    <row r="369">
      <c r="A369" s="36" t="s">
        <v>2419</v>
      </c>
      <c r="B369" s="154" t="s">
        <v>2418</v>
      </c>
      <c r="C369" s="36" t="s">
        <v>1666</v>
      </c>
      <c r="D369" s="36" t="s">
        <v>1422</v>
      </c>
      <c r="E369" s="36" t="s">
        <v>1422</v>
      </c>
      <c r="F369" s="154" t="s">
        <v>2420</v>
      </c>
      <c r="G369" s="36" t="s">
        <v>34</v>
      </c>
      <c r="H369" s="36" t="s">
        <v>1655</v>
      </c>
      <c r="I369" s="36" t="s">
        <v>1656</v>
      </c>
      <c r="J369" s="36" t="s">
        <v>1656</v>
      </c>
      <c r="K369" s="36" t="s">
        <v>1711</v>
      </c>
      <c r="L369" s="36" t="s">
        <v>1669</v>
      </c>
      <c r="M369" s="36" t="s">
        <v>1669</v>
      </c>
      <c r="N369" s="36" t="s">
        <v>34</v>
      </c>
    </row>
    <row r="370">
      <c r="A370" s="36" t="s">
        <v>2421</v>
      </c>
      <c r="B370" s="154" t="s">
        <v>2422</v>
      </c>
      <c r="C370" s="36" t="s">
        <v>1666</v>
      </c>
      <c r="D370" s="36" t="s">
        <v>64</v>
      </c>
      <c r="E370" s="36" t="s">
        <v>64</v>
      </c>
      <c r="F370" s="154" t="s">
        <v>2423</v>
      </c>
      <c r="G370" s="36" t="s">
        <v>28</v>
      </c>
      <c r="H370" s="36" t="s">
        <v>1655</v>
      </c>
      <c r="I370" s="36" t="s">
        <v>1656</v>
      </c>
      <c r="J370" s="36" t="s">
        <v>1656</v>
      </c>
      <c r="K370" s="36" t="s">
        <v>1708</v>
      </c>
      <c r="L370" s="36" t="s">
        <v>1669</v>
      </c>
      <c r="M370" s="36" t="s">
        <v>1669</v>
      </c>
      <c r="N370" s="36" t="s">
        <v>32</v>
      </c>
    </row>
    <row r="371">
      <c r="A371" s="36" t="s">
        <v>2424</v>
      </c>
      <c r="B371" s="154" t="s">
        <v>2422</v>
      </c>
      <c r="C371" s="36" t="s">
        <v>1666</v>
      </c>
      <c r="D371" s="36" t="s">
        <v>1424</v>
      </c>
      <c r="E371" s="36" t="s">
        <v>1424</v>
      </c>
      <c r="F371" s="154" t="s">
        <v>2027</v>
      </c>
      <c r="G371" s="36" t="s">
        <v>32</v>
      </c>
      <c r="H371" s="36" t="s">
        <v>1655</v>
      </c>
      <c r="I371" s="36" t="s">
        <v>1656</v>
      </c>
      <c r="J371" s="36" t="s">
        <v>1656</v>
      </c>
      <c r="K371" s="36" t="s">
        <v>1715</v>
      </c>
      <c r="L371" s="36" t="s">
        <v>1669</v>
      </c>
      <c r="M371" s="36" t="s">
        <v>1669</v>
      </c>
      <c r="N371" s="36" t="s">
        <v>32</v>
      </c>
    </row>
    <row r="372">
      <c r="A372" s="36" t="s">
        <v>2425</v>
      </c>
      <c r="B372" s="154" t="s">
        <v>2426</v>
      </c>
      <c r="C372" s="36" t="s">
        <v>1666</v>
      </c>
      <c r="D372" s="36" t="s">
        <v>1249</v>
      </c>
      <c r="E372" s="36" t="s">
        <v>1249</v>
      </c>
      <c r="F372" s="154" t="s">
        <v>1810</v>
      </c>
      <c r="G372" s="36" t="s">
        <v>28</v>
      </c>
      <c r="H372" s="36" t="s">
        <v>1655</v>
      </c>
      <c r="I372" s="36" t="s">
        <v>1656</v>
      </c>
      <c r="J372" s="36" t="s">
        <v>1656</v>
      </c>
      <c r="K372" s="36" t="s">
        <v>1717</v>
      </c>
      <c r="L372" s="36" t="s">
        <v>1669</v>
      </c>
      <c r="M372" s="36" t="s">
        <v>1669</v>
      </c>
      <c r="N372" s="36" t="s">
        <v>34</v>
      </c>
    </row>
    <row r="373">
      <c r="A373" s="36" t="s">
        <v>2427</v>
      </c>
      <c r="B373" s="154" t="s">
        <v>2426</v>
      </c>
      <c r="C373" s="36" t="s">
        <v>1666</v>
      </c>
      <c r="D373" s="36" t="s">
        <v>299</v>
      </c>
      <c r="E373" s="36" t="s">
        <v>299</v>
      </c>
      <c r="F373" s="154" t="s">
        <v>1859</v>
      </c>
      <c r="G373" s="36" t="s">
        <v>28</v>
      </c>
      <c r="H373" s="36" t="s">
        <v>1655</v>
      </c>
      <c r="I373" s="36" t="s">
        <v>1656</v>
      </c>
      <c r="J373" s="36" t="s">
        <v>1656</v>
      </c>
      <c r="K373" s="36" t="s">
        <v>1724</v>
      </c>
      <c r="L373" s="36" t="s">
        <v>1669</v>
      </c>
      <c r="M373" s="36" t="s">
        <v>1669</v>
      </c>
      <c r="N373" s="36" t="s">
        <v>34</v>
      </c>
    </row>
    <row r="374">
      <c r="A374" s="36" t="s">
        <v>2428</v>
      </c>
      <c r="B374" s="154" t="s">
        <v>2426</v>
      </c>
      <c r="C374" s="36" t="s">
        <v>1666</v>
      </c>
      <c r="D374" s="36" t="s">
        <v>582</v>
      </c>
      <c r="E374" s="36" t="s">
        <v>582</v>
      </c>
      <c r="F374" s="154" t="s">
        <v>1683</v>
      </c>
      <c r="G374" s="36" t="s">
        <v>28</v>
      </c>
      <c r="H374" s="36" t="s">
        <v>1655</v>
      </c>
      <c r="I374" s="36" t="s">
        <v>1656</v>
      </c>
      <c r="J374" s="36" t="s">
        <v>1656</v>
      </c>
      <c r="K374" s="36" t="s">
        <v>1727</v>
      </c>
      <c r="L374" s="36" t="s">
        <v>1669</v>
      </c>
      <c r="M374" s="36" t="s">
        <v>1669</v>
      </c>
      <c r="N374" s="36" t="s">
        <v>34</v>
      </c>
    </row>
    <row r="375">
      <c r="A375" s="36" t="s">
        <v>2429</v>
      </c>
      <c r="B375" s="154" t="s">
        <v>2426</v>
      </c>
      <c r="C375" s="36" t="s">
        <v>1666</v>
      </c>
      <c r="D375" s="36" t="s">
        <v>898</v>
      </c>
      <c r="E375" s="36" t="s">
        <v>898</v>
      </c>
      <c r="F375" s="154" t="s">
        <v>1806</v>
      </c>
      <c r="G375" s="36" t="s">
        <v>28</v>
      </c>
      <c r="H375" s="36" t="s">
        <v>1655</v>
      </c>
      <c r="I375" s="36" t="s">
        <v>1656</v>
      </c>
      <c r="J375" s="36" t="s">
        <v>1656</v>
      </c>
      <c r="K375" s="36" t="s">
        <v>1730</v>
      </c>
      <c r="L375" s="36" t="s">
        <v>1669</v>
      </c>
      <c r="M375" s="36" t="s">
        <v>1669</v>
      </c>
      <c r="N375" s="36" t="s">
        <v>34</v>
      </c>
    </row>
    <row r="376">
      <c r="A376" s="36" t="s">
        <v>2430</v>
      </c>
      <c r="B376" s="154" t="s">
        <v>2431</v>
      </c>
      <c r="C376" s="36" t="s">
        <v>1666</v>
      </c>
      <c r="D376" s="36" t="s">
        <v>339</v>
      </c>
      <c r="E376" s="36" t="s">
        <v>339</v>
      </c>
      <c r="F376" s="154" t="s">
        <v>2432</v>
      </c>
      <c r="G376" s="36" t="s">
        <v>28</v>
      </c>
      <c r="H376" s="36" t="s">
        <v>1655</v>
      </c>
      <c r="I376" s="36" t="s">
        <v>1656</v>
      </c>
      <c r="J376" s="36" t="s">
        <v>1656</v>
      </c>
      <c r="K376" s="36" t="s">
        <v>1732</v>
      </c>
      <c r="L376" s="36" t="s">
        <v>1669</v>
      </c>
      <c r="M376" s="36" t="s">
        <v>1669</v>
      </c>
      <c r="N376" s="36" t="s">
        <v>34</v>
      </c>
    </row>
    <row r="377">
      <c r="A377" s="36" t="s">
        <v>2433</v>
      </c>
      <c r="B377" s="154" t="s">
        <v>2431</v>
      </c>
      <c r="C377" s="36" t="s">
        <v>1666</v>
      </c>
      <c r="D377" s="36" t="s">
        <v>295</v>
      </c>
      <c r="E377" s="36" t="s">
        <v>295</v>
      </c>
      <c r="F377" s="154" t="s">
        <v>1799</v>
      </c>
      <c r="G377" s="36" t="s">
        <v>28</v>
      </c>
      <c r="H377" s="36" t="s">
        <v>1655</v>
      </c>
      <c r="I377" s="36" t="s">
        <v>1656</v>
      </c>
      <c r="J377" s="36" t="s">
        <v>1656</v>
      </c>
      <c r="K377" s="36" t="s">
        <v>1736</v>
      </c>
      <c r="L377" s="36" t="s">
        <v>1669</v>
      </c>
      <c r="M377" s="36" t="s">
        <v>1669</v>
      </c>
      <c r="N377" s="36" t="s">
        <v>34</v>
      </c>
    </row>
    <row r="378">
      <c r="A378" s="36" t="s">
        <v>2434</v>
      </c>
      <c r="B378" s="154" t="s">
        <v>2435</v>
      </c>
      <c r="C378" s="36" t="s">
        <v>1666</v>
      </c>
      <c r="D378" s="36" t="s">
        <v>66</v>
      </c>
      <c r="E378" s="36" t="s">
        <v>66</v>
      </c>
      <c r="F378" s="154" t="s">
        <v>2436</v>
      </c>
      <c r="G378" s="36" t="s">
        <v>28</v>
      </c>
      <c r="H378" s="36" t="s">
        <v>1655</v>
      </c>
      <c r="I378" s="36" t="s">
        <v>1656</v>
      </c>
      <c r="J378" s="36" t="s">
        <v>1656</v>
      </c>
      <c r="K378" s="36" t="s">
        <v>1721</v>
      </c>
      <c r="L378" s="36" t="s">
        <v>1669</v>
      </c>
      <c r="M378" s="36" t="s">
        <v>1669</v>
      </c>
      <c r="N378" s="36" t="s">
        <v>32</v>
      </c>
    </row>
    <row r="379">
      <c r="A379" s="36" t="s">
        <v>2437</v>
      </c>
      <c r="B379" s="154" t="s">
        <v>2438</v>
      </c>
      <c r="C379" s="36" t="s">
        <v>1666</v>
      </c>
      <c r="D379" s="36" t="s">
        <v>295</v>
      </c>
      <c r="E379" s="36" t="s">
        <v>295</v>
      </c>
      <c r="F379" s="154" t="s">
        <v>1683</v>
      </c>
      <c r="G379" s="36" t="s">
        <v>28</v>
      </c>
      <c r="H379" s="36" t="s">
        <v>1655</v>
      </c>
      <c r="I379" s="36" t="s">
        <v>1656</v>
      </c>
      <c r="J379" s="36" t="s">
        <v>1656</v>
      </c>
      <c r="K379" s="36" t="s">
        <v>1739</v>
      </c>
      <c r="L379" s="36" t="s">
        <v>1669</v>
      </c>
      <c r="M379" s="36" t="s">
        <v>1669</v>
      </c>
      <c r="N379" s="36" t="s">
        <v>34</v>
      </c>
    </row>
    <row r="380">
      <c r="A380" s="36" t="s">
        <v>2439</v>
      </c>
      <c r="B380" s="154" t="s">
        <v>2440</v>
      </c>
      <c r="C380" s="36" t="s">
        <v>1653</v>
      </c>
      <c r="D380" s="36" t="s">
        <v>55</v>
      </c>
      <c r="E380" s="36" t="s">
        <v>39</v>
      </c>
      <c r="F380" s="154" t="s">
        <v>2441</v>
      </c>
      <c r="G380" s="36" t="s">
        <v>32</v>
      </c>
      <c r="H380" s="36" t="s">
        <v>1655</v>
      </c>
      <c r="I380" s="36" t="s">
        <v>1656</v>
      </c>
      <c r="J380" s="36" t="s">
        <v>1656</v>
      </c>
      <c r="K380" s="36" t="s">
        <v>1989</v>
      </c>
      <c r="L380" s="36" t="s">
        <v>1944</v>
      </c>
      <c r="M380" s="36" t="s">
        <v>1944</v>
      </c>
      <c r="N380" s="36" t="s">
        <v>32</v>
      </c>
    </row>
    <row r="381">
      <c r="A381" s="36" t="s">
        <v>2442</v>
      </c>
      <c r="B381" s="154" t="s">
        <v>2440</v>
      </c>
      <c r="C381" s="36" t="s">
        <v>1666</v>
      </c>
      <c r="D381" s="36" t="s">
        <v>71</v>
      </c>
      <c r="E381" s="36" t="s">
        <v>71</v>
      </c>
      <c r="F381" s="154" t="s">
        <v>1751</v>
      </c>
      <c r="G381" s="36" t="s">
        <v>32</v>
      </c>
      <c r="H381" s="36" t="s">
        <v>1655</v>
      </c>
      <c r="I381" s="36" t="s">
        <v>1656</v>
      </c>
      <c r="J381" s="36" t="s">
        <v>1656</v>
      </c>
      <c r="K381" s="36" t="s">
        <v>1752</v>
      </c>
      <c r="L381" s="36" t="s">
        <v>1669</v>
      </c>
      <c r="M381" s="36" t="s">
        <v>1669</v>
      </c>
      <c r="N381" s="36" t="s">
        <v>32</v>
      </c>
    </row>
    <row r="382">
      <c r="A382" s="36" t="s">
        <v>2443</v>
      </c>
      <c r="B382" s="154" t="s">
        <v>2440</v>
      </c>
      <c r="C382" s="36" t="s">
        <v>1666</v>
      </c>
      <c r="D382" s="36" t="s">
        <v>73</v>
      </c>
      <c r="E382" s="36" t="s">
        <v>73</v>
      </c>
      <c r="F382" s="154" t="s">
        <v>1754</v>
      </c>
      <c r="G382" s="36" t="s">
        <v>28</v>
      </c>
      <c r="H382" s="36" t="s">
        <v>1655</v>
      </c>
      <c r="I382" s="36" t="s">
        <v>1656</v>
      </c>
      <c r="J382" s="36" t="s">
        <v>1656</v>
      </c>
      <c r="K382" s="36" t="s">
        <v>1755</v>
      </c>
      <c r="L382" s="36" t="s">
        <v>1669</v>
      </c>
      <c r="M382" s="36" t="s">
        <v>1669</v>
      </c>
      <c r="N382" s="36" t="s">
        <v>32</v>
      </c>
    </row>
    <row r="383">
      <c r="A383" s="36" t="s">
        <v>2444</v>
      </c>
      <c r="B383" s="154" t="s">
        <v>2440</v>
      </c>
      <c r="C383" s="36" t="s">
        <v>1666</v>
      </c>
      <c r="D383" s="36" t="s">
        <v>74</v>
      </c>
      <c r="E383" s="36" t="s">
        <v>74</v>
      </c>
      <c r="F383" s="154" t="s">
        <v>1751</v>
      </c>
      <c r="G383" s="36" t="s">
        <v>32</v>
      </c>
      <c r="H383" s="36" t="s">
        <v>1655</v>
      </c>
      <c r="I383" s="36" t="s">
        <v>1656</v>
      </c>
      <c r="J383" s="36" t="s">
        <v>1656</v>
      </c>
      <c r="K383" s="36" t="s">
        <v>1757</v>
      </c>
      <c r="L383" s="36" t="s">
        <v>1669</v>
      </c>
      <c r="M383" s="36" t="s">
        <v>1669</v>
      </c>
      <c r="N383" s="36" t="s">
        <v>32</v>
      </c>
    </row>
    <row r="384">
      <c r="A384" s="36" t="s">
        <v>2445</v>
      </c>
      <c r="B384" s="154" t="s">
        <v>2440</v>
      </c>
      <c r="C384" s="36" t="s">
        <v>1666</v>
      </c>
      <c r="D384" s="36" t="s">
        <v>75</v>
      </c>
      <c r="E384" s="36" t="s">
        <v>75</v>
      </c>
      <c r="F384" s="154" t="s">
        <v>1759</v>
      </c>
      <c r="G384" s="36" t="s">
        <v>28</v>
      </c>
      <c r="H384" s="36" t="s">
        <v>1655</v>
      </c>
      <c r="I384" s="36" t="s">
        <v>1656</v>
      </c>
      <c r="J384" s="36" t="s">
        <v>1656</v>
      </c>
      <c r="K384" s="36" t="s">
        <v>1760</v>
      </c>
      <c r="L384" s="36" t="s">
        <v>1669</v>
      </c>
      <c r="M384" s="36" t="s">
        <v>1669</v>
      </c>
      <c r="N384" s="36" t="s">
        <v>32</v>
      </c>
    </row>
    <row r="385">
      <c r="A385" s="36" t="s">
        <v>2446</v>
      </c>
      <c r="B385" s="154" t="s">
        <v>2440</v>
      </c>
      <c r="C385" s="36" t="s">
        <v>1666</v>
      </c>
      <c r="D385" s="36" t="s">
        <v>76</v>
      </c>
      <c r="E385" s="36" t="s">
        <v>76</v>
      </c>
      <c r="F385" s="154" t="s">
        <v>2447</v>
      </c>
      <c r="G385" s="36" t="s">
        <v>28</v>
      </c>
      <c r="H385" s="36" t="s">
        <v>1655</v>
      </c>
      <c r="I385" s="36" t="s">
        <v>1656</v>
      </c>
      <c r="J385" s="36" t="s">
        <v>1656</v>
      </c>
      <c r="K385" s="36" t="s">
        <v>1763</v>
      </c>
      <c r="L385" s="36" t="s">
        <v>1669</v>
      </c>
      <c r="M385" s="36" t="s">
        <v>1669</v>
      </c>
      <c r="N385" s="36" t="s">
        <v>32</v>
      </c>
    </row>
    <row r="386">
      <c r="A386" s="36" t="s">
        <v>2448</v>
      </c>
      <c r="B386" s="154" t="s">
        <v>2440</v>
      </c>
      <c r="C386" s="36" t="s">
        <v>1666</v>
      </c>
      <c r="D386" s="36" t="s">
        <v>919</v>
      </c>
      <c r="E386" s="36" t="s">
        <v>919</v>
      </c>
      <c r="F386" s="154" t="s">
        <v>2449</v>
      </c>
      <c r="G386" s="36" t="s">
        <v>28</v>
      </c>
      <c r="H386" s="36" t="s">
        <v>1655</v>
      </c>
      <c r="I386" s="36" t="s">
        <v>1656</v>
      </c>
      <c r="J386" s="36" t="s">
        <v>1656</v>
      </c>
      <c r="K386" s="36" t="s">
        <v>1766</v>
      </c>
      <c r="L386" s="36" t="s">
        <v>1669</v>
      </c>
      <c r="M386" s="36" t="s">
        <v>1669</v>
      </c>
      <c r="N386" s="36" t="s">
        <v>32</v>
      </c>
    </row>
    <row r="387">
      <c r="A387" s="36" t="s">
        <v>2450</v>
      </c>
      <c r="B387" s="154" t="s">
        <v>2440</v>
      </c>
      <c r="C387" s="36" t="s">
        <v>1666</v>
      </c>
      <c r="D387" s="36" t="s">
        <v>77</v>
      </c>
      <c r="E387" s="36" t="s">
        <v>77</v>
      </c>
      <c r="F387" s="154" t="s">
        <v>1768</v>
      </c>
      <c r="G387" s="36" t="s">
        <v>34</v>
      </c>
      <c r="H387" s="36" t="s">
        <v>1655</v>
      </c>
      <c r="I387" s="36" t="s">
        <v>1656</v>
      </c>
      <c r="J387" s="36" t="s">
        <v>1656</v>
      </c>
      <c r="K387" s="36" t="s">
        <v>1769</v>
      </c>
      <c r="L387" s="36" t="s">
        <v>1669</v>
      </c>
      <c r="M387" s="36" t="s">
        <v>1669</v>
      </c>
      <c r="N387" s="36" t="s">
        <v>32</v>
      </c>
    </row>
    <row r="388">
      <c r="A388" s="36" t="s">
        <v>2451</v>
      </c>
      <c r="B388" s="154" t="s">
        <v>2440</v>
      </c>
      <c r="C388" s="36" t="s">
        <v>1666</v>
      </c>
      <c r="D388" s="36" t="s">
        <v>115</v>
      </c>
      <c r="E388" s="36" t="s">
        <v>115</v>
      </c>
      <c r="F388" s="154" t="s">
        <v>2452</v>
      </c>
      <c r="G388" s="36" t="s">
        <v>32</v>
      </c>
      <c r="H388" s="36" t="s">
        <v>1655</v>
      </c>
      <c r="I388" s="36" t="s">
        <v>1656</v>
      </c>
      <c r="J388" s="36" t="s">
        <v>1656</v>
      </c>
      <c r="K388" s="36" t="s">
        <v>1742</v>
      </c>
      <c r="L388" s="36" t="s">
        <v>1669</v>
      </c>
      <c r="M388" s="36" t="s">
        <v>1669</v>
      </c>
      <c r="N388" s="36" t="s">
        <v>32</v>
      </c>
    </row>
    <row r="389">
      <c r="A389" s="36" t="s">
        <v>2453</v>
      </c>
      <c r="B389" s="154" t="s">
        <v>2440</v>
      </c>
      <c r="C389" s="36" t="s">
        <v>1666</v>
      </c>
      <c r="D389" s="36" t="s">
        <v>502</v>
      </c>
      <c r="E389" s="36" t="s">
        <v>502</v>
      </c>
      <c r="F389" s="154" t="s">
        <v>2454</v>
      </c>
      <c r="G389" s="36" t="s">
        <v>32</v>
      </c>
      <c r="H389" s="36" t="s">
        <v>1655</v>
      </c>
      <c r="I389" s="36" t="s">
        <v>1656</v>
      </c>
      <c r="J389" s="36" t="s">
        <v>1656</v>
      </c>
      <c r="K389" s="36" t="s">
        <v>1745</v>
      </c>
      <c r="L389" s="36" t="s">
        <v>1669</v>
      </c>
      <c r="M389" s="36" t="s">
        <v>1669</v>
      </c>
      <c r="N389" s="36" t="s">
        <v>32</v>
      </c>
    </row>
    <row r="390">
      <c r="A390" s="36" t="s">
        <v>2455</v>
      </c>
      <c r="B390" s="154" t="s">
        <v>2440</v>
      </c>
      <c r="C390" s="36" t="s">
        <v>1666</v>
      </c>
      <c r="D390" s="36" t="s">
        <v>511</v>
      </c>
      <c r="E390" s="36" t="s">
        <v>511</v>
      </c>
      <c r="F390" s="154" t="s">
        <v>2456</v>
      </c>
      <c r="G390" s="36" t="s">
        <v>28</v>
      </c>
      <c r="H390" s="36" t="s">
        <v>1655</v>
      </c>
      <c r="I390" s="36" t="s">
        <v>1656</v>
      </c>
      <c r="J390" s="36" t="s">
        <v>1656</v>
      </c>
      <c r="K390" s="36" t="s">
        <v>1773</v>
      </c>
      <c r="L390" s="36" t="s">
        <v>1669</v>
      </c>
      <c r="M390" s="36" t="s">
        <v>1669</v>
      </c>
      <c r="N390" s="36" t="s">
        <v>32</v>
      </c>
    </row>
    <row r="391">
      <c r="A391" s="36" t="s">
        <v>2457</v>
      </c>
      <c r="B391" s="154" t="s">
        <v>2440</v>
      </c>
      <c r="C391" s="36" t="s">
        <v>1666</v>
      </c>
      <c r="D391" s="36" t="s">
        <v>978</v>
      </c>
      <c r="E391" s="36" t="s">
        <v>978</v>
      </c>
      <c r="F391" s="154" t="s">
        <v>2458</v>
      </c>
      <c r="G391" s="36" t="s">
        <v>32</v>
      </c>
      <c r="H391" s="36" t="s">
        <v>1655</v>
      </c>
      <c r="I391" s="36" t="s">
        <v>1656</v>
      </c>
      <c r="J391" s="36" t="s">
        <v>1656</v>
      </c>
      <c r="K391" s="36" t="s">
        <v>1776</v>
      </c>
      <c r="L391" s="36" t="s">
        <v>1669</v>
      </c>
      <c r="M391" s="36" t="s">
        <v>1669</v>
      </c>
      <c r="N391" s="36" t="s">
        <v>32</v>
      </c>
    </row>
    <row r="392">
      <c r="A392" s="36" t="s">
        <v>2459</v>
      </c>
      <c r="B392" s="154" t="s">
        <v>2440</v>
      </c>
      <c r="C392" s="36" t="s">
        <v>1666</v>
      </c>
      <c r="D392" s="36" t="s">
        <v>310</v>
      </c>
      <c r="E392" s="36" t="s">
        <v>310</v>
      </c>
      <c r="F392" s="154" t="s">
        <v>2460</v>
      </c>
      <c r="G392" s="36" t="s">
        <v>28</v>
      </c>
      <c r="H392" s="36" t="s">
        <v>1655</v>
      </c>
      <c r="I392" s="36" t="s">
        <v>1656</v>
      </c>
      <c r="J392" s="36" t="s">
        <v>1656</v>
      </c>
      <c r="K392" s="36" t="s">
        <v>1779</v>
      </c>
      <c r="L392" s="36" t="s">
        <v>1669</v>
      </c>
      <c r="M392" s="36" t="s">
        <v>1669</v>
      </c>
      <c r="N392" s="36" t="s">
        <v>34</v>
      </c>
    </row>
    <row r="393">
      <c r="A393" s="36" t="s">
        <v>2461</v>
      </c>
      <c r="B393" s="154" t="s">
        <v>2440</v>
      </c>
      <c r="C393" s="36" t="s">
        <v>1666</v>
      </c>
      <c r="D393" s="36" t="s">
        <v>214</v>
      </c>
      <c r="E393" s="36" t="s">
        <v>214</v>
      </c>
      <c r="F393" s="154" t="s">
        <v>1697</v>
      </c>
      <c r="G393" s="36" t="s">
        <v>28</v>
      </c>
      <c r="H393" s="36" t="s">
        <v>1655</v>
      </c>
      <c r="I393" s="36" t="s">
        <v>1656</v>
      </c>
      <c r="J393" s="36" t="s">
        <v>1656</v>
      </c>
      <c r="K393" s="36" t="s">
        <v>1782</v>
      </c>
      <c r="L393" s="36" t="s">
        <v>1669</v>
      </c>
      <c r="M393" s="36" t="s">
        <v>1669</v>
      </c>
      <c r="N393" s="36" t="s">
        <v>34</v>
      </c>
    </row>
    <row r="394">
      <c r="A394" s="36" t="s">
        <v>2462</v>
      </c>
      <c r="B394" s="154" t="s">
        <v>2440</v>
      </c>
      <c r="C394" s="36" t="s">
        <v>1666</v>
      </c>
      <c r="D394" s="36" t="s">
        <v>1139</v>
      </c>
      <c r="E394" s="36" t="s">
        <v>1139</v>
      </c>
      <c r="F394" s="154" t="s">
        <v>1744</v>
      </c>
      <c r="G394" s="36" t="s">
        <v>28</v>
      </c>
      <c r="H394" s="36" t="s">
        <v>1655</v>
      </c>
      <c r="I394" s="36" t="s">
        <v>1656</v>
      </c>
      <c r="J394" s="36" t="s">
        <v>1656</v>
      </c>
      <c r="K394" s="36" t="s">
        <v>1784</v>
      </c>
      <c r="L394" s="36" t="s">
        <v>1669</v>
      </c>
      <c r="M394" s="36" t="s">
        <v>1669</v>
      </c>
      <c r="N394" s="36" t="s">
        <v>34</v>
      </c>
    </row>
    <row r="395">
      <c r="A395" s="36" t="s">
        <v>2463</v>
      </c>
      <c r="B395" s="154" t="s">
        <v>2440</v>
      </c>
      <c r="C395" s="36" t="s">
        <v>1666</v>
      </c>
      <c r="D395" s="36" t="s">
        <v>1139</v>
      </c>
      <c r="E395" s="36" t="s">
        <v>1139</v>
      </c>
      <c r="F395" s="154" t="s">
        <v>1929</v>
      </c>
      <c r="G395" s="36" t="s">
        <v>28</v>
      </c>
      <c r="H395" s="36" t="s">
        <v>1655</v>
      </c>
      <c r="I395" s="36" t="s">
        <v>1656</v>
      </c>
      <c r="J395" s="36" t="s">
        <v>1656</v>
      </c>
      <c r="K395" s="36" t="s">
        <v>2464</v>
      </c>
      <c r="L395" s="36" t="s">
        <v>1669</v>
      </c>
      <c r="M395" s="36" t="s">
        <v>1669</v>
      </c>
      <c r="N395" s="36" t="s">
        <v>32</v>
      </c>
    </row>
    <row r="396">
      <c r="A396" s="36" t="s">
        <v>2465</v>
      </c>
      <c r="B396" s="154" t="s">
        <v>2440</v>
      </c>
      <c r="C396" s="36" t="s">
        <v>1666</v>
      </c>
      <c r="D396" s="36" t="s">
        <v>1144</v>
      </c>
      <c r="E396" s="36" t="s">
        <v>1144</v>
      </c>
      <c r="F396" s="154" t="s">
        <v>1810</v>
      </c>
      <c r="G396" s="36" t="s">
        <v>28</v>
      </c>
      <c r="H396" s="36" t="s">
        <v>1655</v>
      </c>
      <c r="I396" s="36" t="s">
        <v>1656</v>
      </c>
      <c r="J396" s="36" t="s">
        <v>1656</v>
      </c>
      <c r="K396" s="36" t="s">
        <v>2466</v>
      </c>
      <c r="L396" s="36" t="s">
        <v>1669</v>
      </c>
      <c r="M396" s="36" t="s">
        <v>1669</v>
      </c>
      <c r="N396" s="36" t="s">
        <v>32</v>
      </c>
    </row>
    <row r="397">
      <c r="A397" s="36" t="s">
        <v>2467</v>
      </c>
      <c r="B397" s="154" t="s">
        <v>2468</v>
      </c>
      <c r="C397" s="36" t="s">
        <v>1666</v>
      </c>
      <c r="D397" s="36" t="s">
        <v>1139</v>
      </c>
      <c r="E397" s="36" t="s">
        <v>1139</v>
      </c>
      <c r="F397" s="154" t="s">
        <v>1744</v>
      </c>
      <c r="G397" s="36" t="s">
        <v>28</v>
      </c>
      <c r="H397" s="36" t="s">
        <v>1655</v>
      </c>
      <c r="I397" s="36" t="s">
        <v>1656</v>
      </c>
      <c r="J397" s="36" t="s">
        <v>1656</v>
      </c>
      <c r="K397" s="36" t="s">
        <v>2469</v>
      </c>
      <c r="L397" s="36" t="s">
        <v>1669</v>
      </c>
      <c r="M397" s="36" t="s">
        <v>1669</v>
      </c>
      <c r="N397" s="36" t="s">
        <v>32</v>
      </c>
    </row>
    <row r="398">
      <c r="A398" s="36" t="s">
        <v>2470</v>
      </c>
      <c r="B398" s="154" t="s">
        <v>2468</v>
      </c>
      <c r="C398" s="36" t="s">
        <v>1666</v>
      </c>
      <c r="D398" s="36" t="s">
        <v>109</v>
      </c>
      <c r="E398" s="36" t="s">
        <v>109</v>
      </c>
      <c r="F398" s="154" t="s">
        <v>1874</v>
      </c>
      <c r="G398" s="36" t="s">
        <v>28</v>
      </c>
      <c r="H398" s="36" t="s">
        <v>1655</v>
      </c>
      <c r="I398" s="36" t="s">
        <v>1656</v>
      </c>
      <c r="J398" s="36" t="s">
        <v>1656</v>
      </c>
      <c r="K398" s="36" t="s">
        <v>2471</v>
      </c>
      <c r="L398" s="36" t="s">
        <v>1669</v>
      </c>
      <c r="M398" s="36" t="s">
        <v>1669</v>
      </c>
      <c r="N398" s="36" t="s">
        <v>32</v>
      </c>
    </row>
    <row r="399">
      <c r="A399" s="36" t="s">
        <v>2472</v>
      </c>
      <c r="B399" s="154" t="s">
        <v>2473</v>
      </c>
      <c r="C399" s="36" t="s">
        <v>1666</v>
      </c>
      <c r="D399" s="36" t="s">
        <v>854</v>
      </c>
      <c r="E399" s="36" t="s">
        <v>854</v>
      </c>
      <c r="F399" s="154" t="s">
        <v>2025</v>
      </c>
      <c r="G399" s="36" t="s">
        <v>32</v>
      </c>
      <c r="H399" s="36" t="s">
        <v>1655</v>
      </c>
      <c r="I399" s="36" t="s">
        <v>1656</v>
      </c>
      <c r="J399" s="36" t="s">
        <v>1656</v>
      </c>
      <c r="K399" s="36" t="s">
        <v>1787</v>
      </c>
      <c r="L399" s="36" t="s">
        <v>1669</v>
      </c>
      <c r="M399" s="36" t="s">
        <v>1669</v>
      </c>
      <c r="N399" s="36" t="s">
        <v>32</v>
      </c>
    </row>
    <row r="400">
      <c r="A400" s="36" t="s">
        <v>2474</v>
      </c>
      <c r="B400" s="154" t="s">
        <v>2473</v>
      </c>
      <c r="C400" s="36" t="s">
        <v>1666</v>
      </c>
      <c r="D400" s="36" t="s">
        <v>834</v>
      </c>
      <c r="E400" s="36" t="s">
        <v>834</v>
      </c>
      <c r="F400" s="154" t="s">
        <v>2006</v>
      </c>
      <c r="G400" s="36" t="s">
        <v>32</v>
      </c>
      <c r="H400" s="36" t="s">
        <v>1655</v>
      </c>
      <c r="I400" s="36" t="s">
        <v>1656</v>
      </c>
      <c r="J400" s="36" t="s">
        <v>1656</v>
      </c>
      <c r="K400" s="36" t="s">
        <v>1790</v>
      </c>
      <c r="L400" s="36" t="s">
        <v>1669</v>
      </c>
      <c r="M400" s="36" t="s">
        <v>1669</v>
      </c>
      <c r="N400" s="36" t="s">
        <v>32</v>
      </c>
    </row>
    <row r="401">
      <c r="A401" s="36" t="s">
        <v>2475</v>
      </c>
      <c r="B401" s="154" t="s">
        <v>2476</v>
      </c>
      <c r="C401" s="36" t="s">
        <v>1653</v>
      </c>
      <c r="D401" s="36" t="s">
        <v>1395</v>
      </c>
      <c r="E401" s="36" t="s">
        <v>39</v>
      </c>
      <c r="F401" s="154" t="s">
        <v>2477</v>
      </c>
      <c r="G401" s="36" t="s">
        <v>32</v>
      </c>
      <c r="H401" s="36" t="s">
        <v>1655</v>
      </c>
      <c r="I401" s="36" t="s">
        <v>1656</v>
      </c>
      <c r="J401" s="36" t="s">
        <v>1656</v>
      </c>
      <c r="K401" s="36" t="s">
        <v>1978</v>
      </c>
      <c r="L401" s="36" t="s">
        <v>1944</v>
      </c>
      <c r="M401" s="36" t="s">
        <v>1944</v>
      </c>
      <c r="N401" s="36" t="s">
        <v>32</v>
      </c>
    </row>
    <row r="402">
      <c r="A402" s="36" t="s">
        <v>2478</v>
      </c>
      <c r="B402" s="154" t="s">
        <v>2476</v>
      </c>
      <c r="C402" s="36" t="s">
        <v>1666</v>
      </c>
      <c r="D402" s="36" t="s">
        <v>1457</v>
      </c>
      <c r="E402" s="36" t="s">
        <v>1457</v>
      </c>
      <c r="F402" s="154" t="s">
        <v>2479</v>
      </c>
      <c r="G402" s="36" t="s">
        <v>32</v>
      </c>
      <c r="H402" s="36" t="s">
        <v>1655</v>
      </c>
      <c r="I402" s="36" t="s">
        <v>1656</v>
      </c>
      <c r="J402" s="36" t="s">
        <v>1656</v>
      </c>
      <c r="K402" s="36" t="s">
        <v>1793</v>
      </c>
      <c r="L402" s="36" t="s">
        <v>1669</v>
      </c>
      <c r="M402" s="36" t="s">
        <v>1669</v>
      </c>
      <c r="N402" s="36" t="s">
        <v>32</v>
      </c>
    </row>
    <row r="403">
      <c r="A403" s="36" t="s">
        <v>2480</v>
      </c>
      <c r="B403" s="154" t="s">
        <v>2476</v>
      </c>
      <c r="C403" s="36" t="s">
        <v>1666</v>
      </c>
      <c r="D403" s="36" t="s">
        <v>1460</v>
      </c>
      <c r="E403" s="36" t="s">
        <v>1460</v>
      </c>
      <c r="F403" s="154" t="s">
        <v>2380</v>
      </c>
      <c r="G403" s="36" t="s">
        <v>32</v>
      </c>
      <c r="H403" s="36" t="s">
        <v>1655</v>
      </c>
      <c r="I403" s="36" t="s">
        <v>1656</v>
      </c>
      <c r="J403" s="36" t="s">
        <v>1656</v>
      </c>
      <c r="K403" s="36" t="s">
        <v>1796</v>
      </c>
      <c r="L403" s="36" t="s">
        <v>1669</v>
      </c>
      <c r="M403" s="36" t="s">
        <v>1669</v>
      </c>
      <c r="N403" s="36" t="s">
        <v>32</v>
      </c>
    </row>
    <row r="404">
      <c r="A404" s="36" t="s">
        <v>2481</v>
      </c>
      <c r="B404" s="154" t="s">
        <v>2476</v>
      </c>
      <c r="C404" s="36" t="s">
        <v>1666</v>
      </c>
      <c r="D404" s="36" t="s">
        <v>1159</v>
      </c>
      <c r="E404" s="36" t="s">
        <v>1159</v>
      </c>
      <c r="F404" s="154" t="s">
        <v>2482</v>
      </c>
      <c r="G404" s="36" t="s">
        <v>28</v>
      </c>
      <c r="H404" s="36" t="s">
        <v>1655</v>
      </c>
      <c r="I404" s="36" t="s">
        <v>1656</v>
      </c>
      <c r="J404" s="36" t="s">
        <v>1656</v>
      </c>
      <c r="K404" s="36" t="s">
        <v>1800</v>
      </c>
      <c r="L404" s="36" t="s">
        <v>1669</v>
      </c>
      <c r="M404" s="36" t="s">
        <v>1669</v>
      </c>
      <c r="N404" s="36" t="s">
        <v>34</v>
      </c>
    </row>
    <row r="405">
      <c r="A405" s="36" t="s">
        <v>2483</v>
      </c>
      <c r="B405" s="154" t="s">
        <v>2476</v>
      </c>
      <c r="C405" s="36" t="s">
        <v>1666</v>
      </c>
      <c r="D405" s="36" t="s">
        <v>1249</v>
      </c>
      <c r="E405" s="36" t="s">
        <v>1249</v>
      </c>
      <c r="F405" s="154" t="s">
        <v>1810</v>
      </c>
      <c r="G405" s="36" t="s">
        <v>28</v>
      </c>
      <c r="H405" s="36" t="s">
        <v>1655</v>
      </c>
      <c r="I405" s="36" t="s">
        <v>1656</v>
      </c>
      <c r="J405" s="36" t="s">
        <v>1656</v>
      </c>
      <c r="K405" s="36" t="s">
        <v>1803</v>
      </c>
      <c r="L405" s="36" t="s">
        <v>1669</v>
      </c>
      <c r="M405" s="36" t="s">
        <v>1669</v>
      </c>
      <c r="N405" s="36" t="s">
        <v>34</v>
      </c>
    </row>
    <row r="406">
      <c r="A406" s="36" t="s">
        <v>2484</v>
      </c>
      <c r="B406" s="154" t="s">
        <v>2476</v>
      </c>
      <c r="C406" s="36" t="s">
        <v>1666</v>
      </c>
      <c r="D406" s="36" t="s">
        <v>1335</v>
      </c>
      <c r="E406" s="36" t="s">
        <v>1335</v>
      </c>
      <c r="F406" s="154" t="s">
        <v>1806</v>
      </c>
      <c r="G406" s="36" t="s">
        <v>28</v>
      </c>
      <c r="H406" s="36" t="s">
        <v>1655</v>
      </c>
      <c r="I406" s="36" t="s">
        <v>1656</v>
      </c>
      <c r="J406" s="36" t="s">
        <v>1656</v>
      </c>
      <c r="K406" s="36" t="s">
        <v>1807</v>
      </c>
      <c r="L406" s="36" t="s">
        <v>1669</v>
      </c>
      <c r="M406" s="36" t="s">
        <v>1669</v>
      </c>
      <c r="N406" s="36" t="s">
        <v>34</v>
      </c>
    </row>
    <row r="407">
      <c r="A407" s="36" t="s">
        <v>2485</v>
      </c>
      <c r="B407" s="154" t="s">
        <v>2476</v>
      </c>
      <c r="C407" s="36" t="s">
        <v>1666</v>
      </c>
      <c r="D407" s="36" t="s">
        <v>1469</v>
      </c>
      <c r="E407" s="36" t="s">
        <v>1469</v>
      </c>
      <c r="F407" s="154" t="s">
        <v>1932</v>
      </c>
      <c r="G407" s="36" t="s">
        <v>28</v>
      </c>
      <c r="H407" s="36" t="s">
        <v>1655</v>
      </c>
      <c r="I407" s="36" t="s">
        <v>1656</v>
      </c>
      <c r="J407" s="36" t="s">
        <v>1656</v>
      </c>
      <c r="K407" s="36" t="s">
        <v>1814</v>
      </c>
      <c r="L407" s="36" t="s">
        <v>1669</v>
      </c>
      <c r="M407" s="36" t="s">
        <v>1669</v>
      </c>
      <c r="N407" s="36" t="s">
        <v>34</v>
      </c>
    </row>
    <row r="408">
      <c r="A408" s="36" t="s">
        <v>2486</v>
      </c>
      <c r="B408" s="154" t="s">
        <v>2476</v>
      </c>
      <c r="C408" s="36" t="s">
        <v>1666</v>
      </c>
      <c r="D408" s="36" t="s">
        <v>582</v>
      </c>
      <c r="E408" s="36" t="s">
        <v>582</v>
      </c>
      <c r="F408" s="154" t="s">
        <v>1799</v>
      </c>
      <c r="G408" s="36" t="s">
        <v>28</v>
      </c>
      <c r="H408" s="36" t="s">
        <v>1655</v>
      </c>
      <c r="I408" s="36" t="s">
        <v>1656</v>
      </c>
      <c r="J408" s="36" t="s">
        <v>1656</v>
      </c>
      <c r="K408" s="36" t="s">
        <v>1817</v>
      </c>
      <c r="L408" s="36" t="s">
        <v>1669</v>
      </c>
      <c r="M408" s="36" t="s">
        <v>1669</v>
      </c>
      <c r="N408" s="36" t="s">
        <v>34</v>
      </c>
    </row>
    <row r="409">
      <c r="A409" s="36" t="s">
        <v>2487</v>
      </c>
      <c r="B409" s="154" t="s">
        <v>2476</v>
      </c>
      <c r="C409" s="36" t="s">
        <v>1666</v>
      </c>
      <c r="D409" s="36" t="s">
        <v>295</v>
      </c>
      <c r="E409" s="36" t="s">
        <v>295</v>
      </c>
      <c r="F409" s="154" t="s">
        <v>2025</v>
      </c>
      <c r="G409" s="36" t="s">
        <v>28</v>
      </c>
      <c r="H409" s="36" t="s">
        <v>1655</v>
      </c>
      <c r="I409" s="36" t="s">
        <v>1656</v>
      </c>
      <c r="J409" s="36" t="s">
        <v>1656</v>
      </c>
      <c r="K409" s="36" t="s">
        <v>1820</v>
      </c>
      <c r="L409" s="36" t="s">
        <v>1669</v>
      </c>
      <c r="M409" s="36" t="s">
        <v>1669</v>
      </c>
      <c r="N409" s="36" t="s">
        <v>34</v>
      </c>
    </row>
    <row r="410">
      <c r="A410" s="36" t="s">
        <v>2488</v>
      </c>
      <c r="B410" s="154" t="s">
        <v>2489</v>
      </c>
      <c r="C410" s="36" t="s">
        <v>1666</v>
      </c>
      <c r="D410" s="36" t="s">
        <v>78</v>
      </c>
      <c r="E410" s="36" t="s">
        <v>78</v>
      </c>
      <c r="F410" s="154" t="s">
        <v>1810</v>
      </c>
      <c r="G410" s="36" t="s">
        <v>28</v>
      </c>
      <c r="H410" s="36" t="s">
        <v>1655</v>
      </c>
      <c r="I410" s="36" t="s">
        <v>1656</v>
      </c>
      <c r="J410" s="36" t="s">
        <v>1656</v>
      </c>
      <c r="K410" s="36" t="s">
        <v>1811</v>
      </c>
      <c r="L410" s="36" t="s">
        <v>1669</v>
      </c>
      <c r="M410" s="36" t="s">
        <v>1669</v>
      </c>
      <c r="N410" s="36" t="s">
        <v>32</v>
      </c>
    </row>
    <row r="411">
      <c r="A411" s="36" t="s">
        <v>2490</v>
      </c>
      <c r="B411" s="154" t="s">
        <v>2489</v>
      </c>
      <c r="C411" s="36" t="s">
        <v>1666</v>
      </c>
      <c r="D411" s="36" t="s">
        <v>1183</v>
      </c>
      <c r="E411" s="36" t="s">
        <v>1183</v>
      </c>
      <c r="F411" s="154" t="s">
        <v>1778</v>
      </c>
      <c r="G411" s="36" t="s">
        <v>28</v>
      </c>
      <c r="H411" s="36" t="s">
        <v>1655</v>
      </c>
      <c r="I411" s="36" t="s">
        <v>1656</v>
      </c>
      <c r="J411" s="36" t="s">
        <v>1656</v>
      </c>
      <c r="K411" s="36" t="s">
        <v>2491</v>
      </c>
      <c r="L411" s="36" t="s">
        <v>1669</v>
      </c>
      <c r="M411" s="36" t="s">
        <v>1669</v>
      </c>
      <c r="N411" s="36" t="s">
        <v>32</v>
      </c>
    </row>
    <row r="412">
      <c r="A412" s="36" t="s">
        <v>2492</v>
      </c>
      <c r="B412" s="154" t="s">
        <v>2489</v>
      </c>
      <c r="C412" s="36" t="s">
        <v>1666</v>
      </c>
      <c r="D412" s="36" t="s">
        <v>1187</v>
      </c>
      <c r="E412" s="36" t="s">
        <v>1187</v>
      </c>
      <c r="F412" s="154" t="s">
        <v>2493</v>
      </c>
      <c r="G412" s="36" t="s">
        <v>28</v>
      </c>
      <c r="H412" s="36" t="s">
        <v>1655</v>
      </c>
      <c r="I412" s="36" t="s">
        <v>1656</v>
      </c>
      <c r="J412" s="36" t="s">
        <v>1656</v>
      </c>
      <c r="K412" s="36" t="s">
        <v>2494</v>
      </c>
      <c r="L412" s="36" t="s">
        <v>1669</v>
      </c>
      <c r="M412" s="36" t="s">
        <v>1669</v>
      </c>
      <c r="N412" s="36" t="s">
        <v>32</v>
      </c>
    </row>
    <row r="413">
      <c r="A413" s="36" t="s">
        <v>2495</v>
      </c>
      <c r="B413" s="154" t="s">
        <v>2496</v>
      </c>
      <c r="C413" s="36" t="s">
        <v>1666</v>
      </c>
      <c r="D413" s="36" t="s">
        <v>545</v>
      </c>
      <c r="E413" s="36" t="s">
        <v>545</v>
      </c>
      <c r="F413" s="154" t="s">
        <v>1810</v>
      </c>
      <c r="G413" s="36" t="s">
        <v>32</v>
      </c>
      <c r="H413" s="36" t="s">
        <v>1655</v>
      </c>
      <c r="I413" s="36" t="s">
        <v>1656</v>
      </c>
      <c r="J413" s="36" t="s">
        <v>1656</v>
      </c>
      <c r="K413" s="36" t="s">
        <v>1823</v>
      </c>
      <c r="L413" s="36" t="s">
        <v>1669</v>
      </c>
      <c r="M413" s="36" t="s">
        <v>1669</v>
      </c>
      <c r="N413" s="36" t="s">
        <v>32</v>
      </c>
    </row>
    <row r="414">
      <c r="A414" s="36" t="s">
        <v>2497</v>
      </c>
      <c r="B414" s="154" t="s">
        <v>2496</v>
      </c>
      <c r="C414" s="36" t="s">
        <v>1666</v>
      </c>
      <c r="D414" s="36" t="s">
        <v>34</v>
      </c>
      <c r="E414" s="36" t="s">
        <v>34</v>
      </c>
      <c r="F414" s="154" t="s">
        <v>1768</v>
      </c>
      <c r="G414" s="36" t="s">
        <v>28</v>
      </c>
      <c r="H414" s="36" t="s">
        <v>1655</v>
      </c>
      <c r="I414" s="36" t="s">
        <v>1656</v>
      </c>
      <c r="J414" s="36" t="s">
        <v>1656</v>
      </c>
      <c r="K414" s="36" t="s">
        <v>2498</v>
      </c>
      <c r="L414" s="36" t="s">
        <v>1669</v>
      </c>
      <c r="M414" s="36" t="s">
        <v>1669</v>
      </c>
      <c r="N414" s="36" t="s">
        <v>32</v>
      </c>
    </row>
    <row r="415">
      <c r="A415" s="36" t="s">
        <v>2499</v>
      </c>
      <c r="B415" s="154" t="s">
        <v>2500</v>
      </c>
      <c r="C415" s="36" t="s">
        <v>1666</v>
      </c>
      <c r="D415" s="36" t="s">
        <v>1480</v>
      </c>
      <c r="E415" s="36" t="s">
        <v>1480</v>
      </c>
      <c r="F415" s="154" t="s">
        <v>1816</v>
      </c>
      <c r="G415" s="36" t="s">
        <v>32</v>
      </c>
      <c r="H415" s="36" t="s">
        <v>1655</v>
      </c>
      <c r="I415" s="36" t="s">
        <v>1656</v>
      </c>
      <c r="J415" s="36" t="s">
        <v>1656</v>
      </c>
      <c r="K415" s="36" t="s">
        <v>1826</v>
      </c>
      <c r="L415" s="36" t="s">
        <v>1669</v>
      </c>
      <c r="M415" s="36" t="s">
        <v>1669</v>
      </c>
      <c r="N415" s="36" t="s">
        <v>32</v>
      </c>
    </row>
    <row r="416">
      <c r="A416" s="36" t="s">
        <v>2501</v>
      </c>
      <c r="B416" s="154" t="s">
        <v>2500</v>
      </c>
      <c r="C416" s="36" t="s">
        <v>1666</v>
      </c>
      <c r="D416" s="36" t="s">
        <v>1481</v>
      </c>
      <c r="E416" s="36" t="s">
        <v>1481</v>
      </c>
      <c r="F416" s="154" t="s">
        <v>2502</v>
      </c>
      <c r="G416" s="36" t="s">
        <v>32</v>
      </c>
      <c r="H416" s="36" t="s">
        <v>1655</v>
      </c>
      <c r="I416" s="36" t="s">
        <v>1656</v>
      </c>
      <c r="J416" s="36" t="s">
        <v>1656</v>
      </c>
      <c r="K416" s="36" t="s">
        <v>1830</v>
      </c>
      <c r="L416" s="36" t="s">
        <v>1669</v>
      </c>
      <c r="M416" s="36" t="s">
        <v>1669</v>
      </c>
      <c r="N416" s="36" t="s">
        <v>32</v>
      </c>
    </row>
    <row r="417">
      <c r="A417" s="36" t="s">
        <v>2503</v>
      </c>
      <c r="B417" s="154" t="s">
        <v>2500</v>
      </c>
      <c r="C417" s="36" t="s">
        <v>1666</v>
      </c>
      <c r="D417" s="36" t="s">
        <v>1485</v>
      </c>
      <c r="E417" s="36" t="s">
        <v>1485</v>
      </c>
      <c r="F417" s="154" t="s">
        <v>2504</v>
      </c>
      <c r="G417" s="36" t="s">
        <v>32</v>
      </c>
      <c r="H417" s="36" t="s">
        <v>1655</v>
      </c>
      <c r="I417" s="36" t="s">
        <v>1656</v>
      </c>
      <c r="J417" s="36" t="s">
        <v>1656</v>
      </c>
      <c r="K417" s="36" t="s">
        <v>1833</v>
      </c>
      <c r="L417" s="36" t="s">
        <v>1669</v>
      </c>
      <c r="M417" s="36" t="s">
        <v>1669</v>
      </c>
      <c r="N417" s="36" t="s">
        <v>32</v>
      </c>
    </row>
    <row r="418">
      <c r="A418" s="36" t="s">
        <v>2505</v>
      </c>
      <c r="B418" s="154" t="s">
        <v>2500</v>
      </c>
      <c r="C418" s="36" t="s">
        <v>1666</v>
      </c>
      <c r="D418" s="36" t="s">
        <v>1489</v>
      </c>
      <c r="E418" s="36" t="s">
        <v>1489</v>
      </c>
      <c r="F418" s="154" t="s">
        <v>2506</v>
      </c>
      <c r="G418" s="36" t="s">
        <v>32</v>
      </c>
      <c r="H418" s="36" t="s">
        <v>1655</v>
      </c>
      <c r="I418" s="36" t="s">
        <v>1656</v>
      </c>
      <c r="J418" s="36" t="s">
        <v>1656</v>
      </c>
      <c r="K418" s="36" t="s">
        <v>1836</v>
      </c>
      <c r="L418" s="36" t="s">
        <v>1669</v>
      </c>
      <c r="M418" s="36" t="s">
        <v>1669</v>
      </c>
      <c r="N418" s="36" t="s">
        <v>32</v>
      </c>
    </row>
    <row r="419">
      <c r="A419" s="36" t="s">
        <v>2507</v>
      </c>
      <c r="B419" s="154" t="s">
        <v>2500</v>
      </c>
      <c r="C419" s="36" t="s">
        <v>1666</v>
      </c>
      <c r="D419" s="36" t="s">
        <v>299</v>
      </c>
      <c r="E419" s="36" t="s">
        <v>299</v>
      </c>
      <c r="F419" s="154" t="s">
        <v>2508</v>
      </c>
      <c r="G419" s="36" t="s">
        <v>28</v>
      </c>
      <c r="H419" s="36" t="s">
        <v>1655</v>
      </c>
      <c r="I419" s="36" t="s">
        <v>1656</v>
      </c>
      <c r="J419" s="36" t="s">
        <v>1656</v>
      </c>
      <c r="K419" s="36" t="s">
        <v>1839</v>
      </c>
      <c r="L419" s="36" t="s">
        <v>1669</v>
      </c>
      <c r="M419" s="36" t="s">
        <v>1669</v>
      </c>
      <c r="N419" s="36" t="s">
        <v>34</v>
      </c>
    </row>
    <row r="420">
      <c r="A420" s="36" t="s">
        <v>2509</v>
      </c>
      <c r="B420" s="154" t="s">
        <v>2500</v>
      </c>
      <c r="C420" s="36" t="s">
        <v>1666</v>
      </c>
      <c r="D420" s="36" t="s">
        <v>329</v>
      </c>
      <c r="E420" s="36" t="s">
        <v>329</v>
      </c>
      <c r="F420" s="154" t="s">
        <v>2378</v>
      </c>
      <c r="G420" s="36" t="s">
        <v>28</v>
      </c>
      <c r="H420" s="36" t="s">
        <v>1655</v>
      </c>
      <c r="I420" s="36" t="s">
        <v>1656</v>
      </c>
      <c r="J420" s="36" t="s">
        <v>1656</v>
      </c>
      <c r="K420" s="36" t="s">
        <v>1842</v>
      </c>
      <c r="L420" s="36" t="s">
        <v>1669</v>
      </c>
      <c r="M420" s="36" t="s">
        <v>1669</v>
      </c>
      <c r="N420" s="36" t="s">
        <v>34</v>
      </c>
    </row>
    <row r="421">
      <c r="A421" s="36" t="s">
        <v>2510</v>
      </c>
      <c r="B421" s="154" t="s">
        <v>2500</v>
      </c>
      <c r="C421" s="36" t="s">
        <v>1666</v>
      </c>
      <c r="D421" s="36" t="s">
        <v>1284</v>
      </c>
      <c r="E421" s="36" t="s">
        <v>1284</v>
      </c>
      <c r="F421" s="154" t="s">
        <v>1806</v>
      </c>
      <c r="G421" s="36" t="s">
        <v>28</v>
      </c>
      <c r="H421" s="36" t="s">
        <v>1655</v>
      </c>
      <c r="I421" s="36" t="s">
        <v>1656</v>
      </c>
      <c r="J421" s="36" t="s">
        <v>1656</v>
      </c>
      <c r="K421" s="36" t="s">
        <v>1845</v>
      </c>
      <c r="L421" s="36" t="s">
        <v>1669</v>
      </c>
      <c r="M421" s="36" t="s">
        <v>1669</v>
      </c>
      <c r="N421" s="36" t="s">
        <v>34</v>
      </c>
    </row>
    <row r="422">
      <c r="A422" s="36" t="s">
        <v>2511</v>
      </c>
      <c r="B422" s="154" t="s">
        <v>2500</v>
      </c>
      <c r="C422" s="36" t="s">
        <v>1666</v>
      </c>
      <c r="D422" s="36" t="s">
        <v>1203</v>
      </c>
      <c r="E422" s="36" t="s">
        <v>1203</v>
      </c>
      <c r="F422" s="154" t="s">
        <v>1806</v>
      </c>
      <c r="G422" s="36" t="s">
        <v>28</v>
      </c>
      <c r="H422" s="36" t="s">
        <v>1655</v>
      </c>
      <c r="I422" s="36" t="s">
        <v>1656</v>
      </c>
      <c r="J422" s="36" t="s">
        <v>1656</v>
      </c>
      <c r="K422" s="36" t="s">
        <v>2512</v>
      </c>
      <c r="L422" s="36" t="s">
        <v>1669</v>
      </c>
      <c r="M422" s="36" t="s">
        <v>1669</v>
      </c>
      <c r="N422" s="36" t="s">
        <v>32</v>
      </c>
    </row>
    <row r="423">
      <c r="A423" s="36" t="s">
        <v>2513</v>
      </c>
      <c r="B423" s="154" t="s">
        <v>2500</v>
      </c>
      <c r="C423" s="36" t="s">
        <v>1666</v>
      </c>
      <c r="D423" s="36" t="s">
        <v>209</v>
      </c>
      <c r="E423" s="36" t="s">
        <v>209</v>
      </c>
      <c r="F423" s="154" t="s">
        <v>2514</v>
      </c>
      <c r="G423" s="36" t="s">
        <v>28</v>
      </c>
      <c r="H423" s="36" t="s">
        <v>1655</v>
      </c>
      <c r="I423" s="36" t="s">
        <v>1656</v>
      </c>
      <c r="J423" s="36" t="s">
        <v>1656</v>
      </c>
      <c r="K423" s="36" t="s">
        <v>2515</v>
      </c>
      <c r="L423" s="36" t="s">
        <v>1669</v>
      </c>
      <c r="M423" s="36" t="s">
        <v>1669</v>
      </c>
      <c r="N423" s="36" t="s">
        <v>32</v>
      </c>
    </row>
    <row r="424">
      <c r="A424" s="36" t="s">
        <v>2516</v>
      </c>
      <c r="B424" s="154" t="s">
        <v>2500</v>
      </c>
      <c r="C424" s="36" t="s">
        <v>1666</v>
      </c>
      <c r="D424" s="36" t="s">
        <v>214</v>
      </c>
      <c r="E424" s="36" t="s">
        <v>214</v>
      </c>
      <c r="F424" s="154" t="s">
        <v>2517</v>
      </c>
      <c r="G424" s="36" t="s">
        <v>28</v>
      </c>
      <c r="H424" s="36" t="s">
        <v>1655</v>
      </c>
      <c r="I424" s="36" t="s">
        <v>1656</v>
      </c>
      <c r="J424" s="36" t="s">
        <v>1656</v>
      </c>
      <c r="K424" s="36" t="s">
        <v>2518</v>
      </c>
      <c r="L424" s="36" t="s">
        <v>1669</v>
      </c>
      <c r="M424" s="36" t="s">
        <v>1669</v>
      </c>
      <c r="N424" s="36" t="s">
        <v>32</v>
      </c>
    </row>
    <row r="425">
      <c r="A425" s="36" t="s">
        <v>2519</v>
      </c>
      <c r="B425" s="154" t="s">
        <v>2520</v>
      </c>
      <c r="C425" s="36" t="s">
        <v>1666</v>
      </c>
      <c r="D425" s="36" t="s">
        <v>582</v>
      </c>
      <c r="E425" s="36" t="s">
        <v>582</v>
      </c>
      <c r="F425" s="154" t="s">
        <v>1929</v>
      </c>
      <c r="G425" s="36" t="s">
        <v>32</v>
      </c>
      <c r="H425" s="36" t="s">
        <v>1655</v>
      </c>
      <c r="I425" s="36" t="s">
        <v>1656</v>
      </c>
      <c r="J425" s="36" t="s">
        <v>1656</v>
      </c>
      <c r="K425" s="36" t="s">
        <v>1848</v>
      </c>
      <c r="L425" s="36" t="s">
        <v>1669</v>
      </c>
      <c r="M425" s="36" t="s">
        <v>1669</v>
      </c>
      <c r="N425" s="36" t="s">
        <v>32</v>
      </c>
    </row>
    <row r="426">
      <c r="A426" s="36" t="s">
        <v>2521</v>
      </c>
      <c r="B426" s="154" t="s">
        <v>2520</v>
      </c>
      <c r="C426" s="36" t="s">
        <v>1666</v>
      </c>
      <c r="D426" s="36" t="s">
        <v>310</v>
      </c>
      <c r="E426" s="36" t="s">
        <v>310</v>
      </c>
      <c r="F426" s="154" t="s">
        <v>2522</v>
      </c>
      <c r="G426" s="36" t="s">
        <v>32</v>
      </c>
      <c r="H426" s="36" t="s">
        <v>1655</v>
      </c>
      <c r="I426" s="36" t="s">
        <v>1656</v>
      </c>
      <c r="J426" s="36" t="s">
        <v>1656</v>
      </c>
      <c r="K426" s="36" t="s">
        <v>1851</v>
      </c>
      <c r="L426" s="36" t="s">
        <v>1669</v>
      </c>
      <c r="M426" s="36" t="s">
        <v>1669</v>
      </c>
      <c r="N426" s="36" t="s">
        <v>32</v>
      </c>
    </row>
    <row r="427">
      <c r="A427" s="36" t="s">
        <v>2523</v>
      </c>
      <c r="B427" s="154" t="s">
        <v>2524</v>
      </c>
      <c r="C427" s="36" t="s">
        <v>1653</v>
      </c>
      <c r="D427" s="36" t="s">
        <v>701</v>
      </c>
      <c r="E427" s="36" t="s">
        <v>39</v>
      </c>
      <c r="F427" s="154" t="s">
        <v>2525</v>
      </c>
      <c r="G427" s="36" t="s">
        <v>32</v>
      </c>
      <c r="H427" s="36" t="s">
        <v>1655</v>
      </c>
      <c r="I427" s="36" t="s">
        <v>1656</v>
      </c>
      <c r="J427" s="36" t="s">
        <v>1656</v>
      </c>
      <c r="K427" s="36" t="s">
        <v>1749</v>
      </c>
      <c r="L427" s="36" t="s">
        <v>1944</v>
      </c>
      <c r="M427" s="36" t="s">
        <v>1944</v>
      </c>
      <c r="N427" s="36" t="s">
        <v>32</v>
      </c>
    </row>
    <row r="428">
      <c r="A428" s="36" t="s">
        <v>2526</v>
      </c>
      <c r="B428" s="154" t="s">
        <v>2524</v>
      </c>
      <c r="C428" s="36" t="s">
        <v>1666</v>
      </c>
      <c r="D428" s="36" t="s">
        <v>832</v>
      </c>
      <c r="E428" s="36" t="s">
        <v>832</v>
      </c>
      <c r="F428" s="154" t="s">
        <v>1744</v>
      </c>
      <c r="G428" s="36" t="s">
        <v>32</v>
      </c>
      <c r="H428" s="36" t="s">
        <v>1655</v>
      </c>
      <c r="I428" s="36" t="s">
        <v>1656</v>
      </c>
      <c r="J428" s="36" t="s">
        <v>1656</v>
      </c>
      <c r="K428" s="36" t="s">
        <v>1854</v>
      </c>
      <c r="L428" s="36" t="s">
        <v>1669</v>
      </c>
      <c r="M428" s="36" t="s">
        <v>1669</v>
      </c>
      <c r="N428" s="36" t="s">
        <v>32</v>
      </c>
    </row>
    <row r="429">
      <c r="A429" s="36" t="s">
        <v>2527</v>
      </c>
      <c r="B429" s="154" t="s">
        <v>2524</v>
      </c>
      <c r="C429" s="36" t="s">
        <v>1666</v>
      </c>
      <c r="D429" s="36" t="s">
        <v>1422</v>
      </c>
      <c r="E429" s="36" t="s">
        <v>1422</v>
      </c>
      <c r="F429" s="154" t="s">
        <v>2528</v>
      </c>
      <c r="G429" s="36" t="s">
        <v>34</v>
      </c>
      <c r="H429" s="36" t="s">
        <v>1655</v>
      </c>
      <c r="I429" s="36" t="s">
        <v>1656</v>
      </c>
      <c r="J429" s="36" t="s">
        <v>1656</v>
      </c>
      <c r="K429" s="36" t="s">
        <v>1857</v>
      </c>
      <c r="L429" s="36" t="s">
        <v>1669</v>
      </c>
      <c r="M429" s="36" t="s">
        <v>1669</v>
      </c>
      <c r="N429" s="36" t="s">
        <v>34</v>
      </c>
    </row>
    <row r="430">
      <c r="A430" s="36" t="s">
        <v>2529</v>
      </c>
      <c r="B430" s="154" t="s">
        <v>2530</v>
      </c>
      <c r="C430" s="36" t="s">
        <v>1666</v>
      </c>
      <c r="D430" s="36" t="s">
        <v>310</v>
      </c>
      <c r="E430" s="36" t="s">
        <v>310</v>
      </c>
      <c r="F430" s="154" t="s">
        <v>2531</v>
      </c>
      <c r="G430" s="36" t="s">
        <v>32</v>
      </c>
      <c r="H430" s="36" t="s">
        <v>1655</v>
      </c>
      <c r="I430" s="36" t="s">
        <v>1656</v>
      </c>
      <c r="J430" s="36" t="s">
        <v>1656</v>
      </c>
      <c r="K430" s="36" t="s">
        <v>1860</v>
      </c>
      <c r="L430" s="36" t="s">
        <v>1669</v>
      </c>
      <c r="M430" s="36" t="s">
        <v>1669</v>
      </c>
      <c r="N430" s="36" t="s">
        <v>32</v>
      </c>
    </row>
    <row r="431">
      <c r="A431" s="36" t="s">
        <v>2532</v>
      </c>
      <c r="B431" s="154" t="s">
        <v>2530</v>
      </c>
      <c r="C431" s="36" t="s">
        <v>1666</v>
      </c>
      <c r="D431" s="36" t="s">
        <v>1508</v>
      </c>
      <c r="E431" s="36" t="s">
        <v>1508</v>
      </c>
      <c r="F431" s="154" t="s">
        <v>2533</v>
      </c>
      <c r="G431" s="36" t="s">
        <v>32</v>
      </c>
      <c r="H431" s="36" t="s">
        <v>1655</v>
      </c>
      <c r="I431" s="36" t="s">
        <v>1656</v>
      </c>
      <c r="J431" s="36" t="s">
        <v>1656</v>
      </c>
      <c r="K431" s="36" t="s">
        <v>1863</v>
      </c>
      <c r="L431" s="36" t="s">
        <v>1669</v>
      </c>
      <c r="M431" s="36" t="s">
        <v>1669</v>
      </c>
      <c r="N431" s="36" t="s">
        <v>32</v>
      </c>
    </row>
    <row r="432">
      <c r="A432" s="36" t="s">
        <v>2534</v>
      </c>
      <c r="B432" s="154" t="s">
        <v>2535</v>
      </c>
      <c r="C432" s="36" t="s">
        <v>1666</v>
      </c>
      <c r="D432" s="36" t="s">
        <v>310</v>
      </c>
      <c r="E432" s="36" t="s">
        <v>310</v>
      </c>
      <c r="F432" s="154" t="s">
        <v>2536</v>
      </c>
      <c r="G432" s="36" t="s">
        <v>28</v>
      </c>
      <c r="H432" s="36" t="s">
        <v>1655</v>
      </c>
      <c r="I432" s="36" t="s">
        <v>1656</v>
      </c>
      <c r="J432" s="36" t="s">
        <v>1656</v>
      </c>
      <c r="K432" s="36" t="s">
        <v>1866</v>
      </c>
      <c r="L432" s="36" t="s">
        <v>1669</v>
      </c>
      <c r="M432" s="36" t="s">
        <v>1669</v>
      </c>
      <c r="N432" s="36" t="s">
        <v>34</v>
      </c>
    </row>
    <row r="433">
      <c r="A433" s="36" t="s">
        <v>2537</v>
      </c>
      <c r="B433" s="154" t="s">
        <v>2538</v>
      </c>
      <c r="C433" s="36" t="s">
        <v>1666</v>
      </c>
      <c r="D433" s="36" t="s">
        <v>100</v>
      </c>
      <c r="E433" s="36" t="s">
        <v>100</v>
      </c>
      <c r="F433" s="154" t="s">
        <v>2325</v>
      </c>
      <c r="G433" s="36" t="s">
        <v>32</v>
      </c>
      <c r="H433" s="36" t="s">
        <v>1655</v>
      </c>
      <c r="I433" s="36" t="s">
        <v>1656</v>
      </c>
      <c r="J433" s="36" t="s">
        <v>1656</v>
      </c>
      <c r="K433" s="36" t="s">
        <v>1869</v>
      </c>
      <c r="L433" s="36" t="s">
        <v>1669</v>
      </c>
      <c r="M433" s="36" t="s">
        <v>1669</v>
      </c>
      <c r="N433" s="36" t="s">
        <v>32</v>
      </c>
    </row>
    <row r="434">
      <c r="A434" s="36" t="s">
        <v>2539</v>
      </c>
      <c r="B434" s="154" t="s">
        <v>2540</v>
      </c>
      <c r="C434" s="36" t="s">
        <v>1666</v>
      </c>
      <c r="D434" s="36" t="s">
        <v>124</v>
      </c>
      <c r="E434" s="36" t="s">
        <v>124</v>
      </c>
      <c r="F434" s="154" t="s">
        <v>2541</v>
      </c>
      <c r="G434" s="36" t="s">
        <v>32</v>
      </c>
      <c r="H434" s="36" t="s">
        <v>1655</v>
      </c>
      <c r="I434" s="36" t="s">
        <v>1656</v>
      </c>
      <c r="J434" s="36" t="s">
        <v>1656</v>
      </c>
      <c r="K434" s="36" t="s">
        <v>1872</v>
      </c>
      <c r="L434" s="36" t="s">
        <v>1669</v>
      </c>
      <c r="M434" s="36" t="s">
        <v>1669</v>
      </c>
      <c r="N434" s="36" t="s">
        <v>32</v>
      </c>
    </row>
    <row r="435">
      <c r="A435" s="36" t="s">
        <v>2542</v>
      </c>
      <c r="B435" s="154" t="s">
        <v>2540</v>
      </c>
      <c r="C435" s="36" t="s">
        <v>1666</v>
      </c>
      <c r="D435" s="36" t="s">
        <v>1139</v>
      </c>
      <c r="E435" s="36" t="s">
        <v>1139</v>
      </c>
      <c r="F435" s="154" t="s">
        <v>1744</v>
      </c>
      <c r="G435" s="36" t="s">
        <v>28</v>
      </c>
      <c r="H435" s="36" t="s">
        <v>1655</v>
      </c>
      <c r="I435" s="36" t="s">
        <v>1656</v>
      </c>
      <c r="J435" s="36" t="s">
        <v>1656</v>
      </c>
      <c r="K435" s="36" t="s">
        <v>1875</v>
      </c>
      <c r="L435" s="36" t="s">
        <v>1669</v>
      </c>
      <c r="M435" s="36" t="s">
        <v>1669</v>
      </c>
      <c r="N435" s="36" t="s">
        <v>32</v>
      </c>
    </row>
    <row r="436">
      <c r="A436" s="36" t="s">
        <v>2543</v>
      </c>
      <c r="B436" s="154" t="s">
        <v>2540</v>
      </c>
      <c r="C436" s="36" t="s">
        <v>1666</v>
      </c>
      <c r="D436" s="36" t="s">
        <v>235</v>
      </c>
      <c r="E436" s="36" t="s">
        <v>235</v>
      </c>
      <c r="F436" s="154" t="s">
        <v>1723</v>
      </c>
      <c r="G436" s="36" t="s">
        <v>28</v>
      </c>
      <c r="H436" s="36" t="s">
        <v>1655</v>
      </c>
      <c r="I436" s="36" t="s">
        <v>1656</v>
      </c>
      <c r="J436" s="36" t="s">
        <v>1656</v>
      </c>
      <c r="K436" s="36" t="s">
        <v>1878</v>
      </c>
      <c r="L436" s="36" t="s">
        <v>1669</v>
      </c>
      <c r="M436" s="36" t="s">
        <v>1669</v>
      </c>
      <c r="N436" s="36" t="s">
        <v>32</v>
      </c>
    </row>
    <row r="437">
      <c r="A437" s="36" t="s">
        <v>2544</v>
      </c>
      <c r="B437" s="154" t="s">
        <v>2540</v>
      </c>
      <c r="C437" s="36" t="s">
        <v>1666</v>
      </c>
      <c r="D437" s="36" t="s">
        <v>310</v>
      </c>
      <c r="E437" s="36" t="s">
        <v>310</v>
      </c>
      <c r="F437" s="154" t="s">
        <v>1926</v>
      </c>
      <c r="G437" s="36" t="s">
        <v>28</v>
      </c>
      <c r="H437" s="36" t="s">
        <v>1655</v>
      </c>
      <c r="I437" s="36" t="s">
        <v>1656</v>
      </c>
      <c r="J437" s="36" t="s">
        <v>1656</v>
      </c>
      <c r="K437" s="36" t="s">
        <v>1881</v>
      </c>
      <c r="L437" s="36" t="s">
        <v>1669</v>
      </c>
      <c r="M437" s="36" t="s">
        <v>1669</v>
      </c>
      <c r="N437" s="36" t="s">
        <v>32</v>
      </c>
    </row>
    <row r="438">
      <c r="A438" s="36" t="s">
        <v>2545</v>
      </c>
      <c r="B438" s="154" t="s">
        <v>2540</v>
      </c>
      <c r="C438" s="36" t="s">
        <v>1666</v>
      </c>
      <c r="D438" s="36" t="s">
        <v>214</v>
      </c>
      <c r="E438" s="36" t="s">
        <v>214</v>
      </c>
      <c r="F438" s="154" t="s">
        <v>2546</v>
      </c>
      <c r="G438" s="36" t="s">
        <v>28</v>
      </c>
      <c r="H438" s="36" t="s">
        <v>1655</v>
      </c>
      <c r="I438" s="36" t="s">
        <v>1656</v>
      </c>
      <c r="J438" s="36" t="s">
        <v>1656</v>
      </c>
      <c r="K438" s="36" t="s">
        <v>1884</v>
      </c>
      <c r="L438" s="36" t="s">
        <v>1669</v>
      </c>
      <c r="M438" s="36" t="s">
        <v>1669</v>
      </c>
      <c r="N438" s="36" t="s">
        <v>32</v>
      </c>
    </row>
    <row r="439">
      <c r="A439" s="36" t="s">
        <v>2547</v>
      </c>
      <c r="B439" s="154" t="s">
        <v>2540</v>
      </c>
      <c r="C439" s="36" t="s">
        <v>1666</v>
      </c>
      <c r="D439" s="36" t="s">
        <v>1524</v>
      </c>
      <c r="E439" s="36" t="s">
        <v>1524</v>
      </c>
      <c r="F439" s="154" t="s">
        <v>2548</v>
      </c>
      <c r="G439" s="36" t="s">
        <v>32</v>
      </c>
      <c r="H439" s="36" t="s">
        <v>1655</v>
      </c>
      <c r="I439" s="36" t="s">
        <v>1656</v>
      </c>
      <c r="J439" s="36" t="s">
        <v>1656</v>
      </c>
      <c r="K439" s="36" t="s">
        <v>1887</v>
      </c>
      <c r="L439" s="36" t="s">
        <v>1669</v>
      </c>
      <c r="M439" s="36" t="s">
        <v>1669</v>
      </c>
      <c r="N439" s="36" t="s">
        <v>32</v>
      </c>
    </row>
    <row r="440">
      <c r="A440" s="36" t="s">
        <v>2549</v>
      </c>
      <c r="B440" s="154" t="s">
        <v>2540</v>
      </c>
      <c r="C440" s="36" t="s">
        <v>1666</v>
      </c>
      <c r="D440" s="36" t="s">
        <v>1525</v>
      </c>
      <c r="E440" s="36" t="s">
        <v>1525</v>
      </c>
      <c r="F440" s="154" t="s">
        <v>1729</v>
      </c>
      <c r="G440" s="36" t="s">
        <v>32</v>
      </c>
      <c r="H440" s="36" t="s">
        <v>1655</v>
      </c>
      <c r="I440" s="36" t="s">
        <v>1656</v>
      </c>
      <c r="J440" s="36" t="s">
        <v>1656</v>
      </c>
      <c r="K440" s="36" t="s">
        <v>1894</v>
      </c>
      <c r="L440" s="36" t="s">
        <v>1669</v>
      </c>
      <c r="M440" s="36" t="s">
        <v>1669</v>
      </c>
      <c r="N440" s="36" t="s">
        <v>32</v>
      </c>
    </row>
    <row r="441">
      <c r="A441" s="36" t="s">
        <v>2550</v>
      </c>
      <c r="B441" s="154" t="s">
        <v>2540</v>
      </c>
      <c r="C441" s="36" t="s">
        <v>1666</v>
      </c>
      <c r="D441" s="36" t="s">
        <v>1529</v>
      </c>
      <c r="E441" s="36" t="s">
        <v>1529</v>
      </c>
      <c r="F441" s="154" t="s">
        <v>1816</v>
      </c>
      <c r="G441" s="36" t="s">
        <v>34</v>
      </c>
      <c r="H441" s="36" t="s">
        <v>1655</v>
      </c>
      <c r="I441" s="36" t="s">
        <v>1656</v>
      </c>
      <c r="J441" s="36" t="s">
        <v>1656</v>
      </c>
      <c r="K441" s="36" t="s">
        <v>1897</v>
      </c>
      <c r="L441" s="36" t="s">
        <v>1669</v>
      </c>
      <c r="M441" s="36" t="s">
        <v>1669</v>
      </c>
      <c r="N441" s="36" t="s">
        <v>32</v>
      </c>
    </row>
    <row r="442">
      <c r="A442" s="36" t="s">
        <v>2551</v>
      </c>
      <c r="B442" s="154" t="s">
        <v>2540</v>
      </c>
      <c r="C442" s="36" t="s">
        <v>1666</v>
      </c>
      <c r="D442" s="36" t="s">
        <v>295</v>
      </c>
      <c r="E442" s="36" t="s">
        <v>295</v>
      </c>
      <c r="F442" s="154" t="s">
        <v>1799</v>
      </c>
      <c r="G442" s="36" t="s">
        <v>28</v>
      </c>
      <c r="H442" s="36" t="s">
        <v>1655</v>
      </c>
      <c r="I442" s="36" t="s">
        <v>1656</v>
      </c>
      <c r="J442" s="36" t="s">
        <v>1656</v>
      </c>
      <c r="K442" s="36" t="s">
        <v>1900</v>
      </c>
      <c r="L442" s="36" t="s">
        <v>1669</v>
      </c>
      <c r="M442" s="36" t="s">
        <v>1669</v>
      </c>
      <c r="N442" s="36" t="s">
        <v>32</v>
      </c>
    </row>
    <row r="443">
      <c r="A443" s="36" t="s">
        <v>2552</v>
      </c>
      <c r="B443" s="154" t="s">
        <v>2540</v>
      </c>
      <c r="C443" s="36" t="s">
        <v>1666</v>
      </c>
      <c r="D443" s="36" t="s">
        <v>1537</v>
      </c>
      <c r="E443" s="36" t="s">
        <v>1537</v>
      </c>
      <c r="F443" s="154" t="s">
        <v>2553</v>
      </c>
      <c r="G443" s="36" t="s">
        <v>28</v>
      </c>
      <c r="H443" s="36" t="s">
        <v>1655</v>
      </c>
      <c r="I443" s="36" t="s">
        <v>1656</v>
      </c>
      <c r="J443" s="36" t="s">
        <v>1656</v>
      </c>
      <c r="K443" s="36" t="s">
        <v>1903</v>
      </c>
      <c r="L443" s="36" t="s">
        <v>1669</v>
      </c>
      <c r="M443" s="36" t="s">
        <v>1669</v>
      </c>
      <c r="N443" s="36" t="s">
        <v>32</v>
      </c>
    </row>
    <row r="444">
      <c r="A444" s="36" t="s">
        <v>2554</v>
      </c>
      <c r="B444" s="154" t="s">
        <v>2540</v>
      </c>
      <c r="C444" s="36" t="s">
        <v>1666</v>
      </c>
      <c r="D444" s="36" t="s">
        <v>1543</v>
      </c>
      <c r="E444" s="36" t="s">
        <v>1543</v>
      </c>
      <c r="F444" s="154" t="s">
        <v>2555</v>
      </c>
      <c r="G444" s="36" t="s">
        <v>32</v>
      </c>
      <c r="H444" s="36" t="s">
        <v>1655</v>
      </c>
      <c r="I444" s="36" t="s">
        <v>1656</v>
      </c>
      <c r="J444" s="36" t="s">
        <v>1656</v>
      </c>
      <c r="K444" s="36" t="s">
        <v>1906</v>
      </c>
      <c r="L444" s="36" t="s">
        <v>1669</v>
      </c>
      <c r="M444" s="36" t="s">
        <v>1669</v>
      </c>
      <c r="N444" s="36" t="s">
        <v>32</v>
      </c>
    </row>
    <row r="445">
      <c r="A445" s="36" t="s">
        <v>2556</v>
      </c>
      <c r="B445" s="154" t="s">
        <v>2557</v>
      </c>
      <c r="C445" s="36" t="s">
        <v>1666</v>
      </c>
      <c r="D445" s="36" t="s">
        <v>347</v>
      </c>
      <c r="E445" s="36" t="s">
        <v>347</v>
      </c>
      <c r="F445" s="154" t="s">
        <v>2558</v>
      </c>
      <c r="G445" s="36" t="s">
        <v>28</v>
      </c>
      <c r="H445" s="36" t="s">
        <v>1655</v>
      </c>
      <c r="I445" s="36" t="s">
        <v>1656</v>
      </c>
      <c r="J445" s="36" t="s">
        <v>1656</v>
      </c>
      <c r="K445" s="36" t="s">
        <v>1909</v>
      </c>
      <c r="L445" s="36" t="s">
        <v>1669</v>
      </c>
      <c r="M445" s="36" t="s">
        <v>1669</v>
      </c>
      <c r="N445" s="36" t="s">
        <v>32</v>
      </c>
    </row>
    <row r="446">
      <c r="A446" s="36" t="s">
        <v>2559</v>
      </c>
      <c r="B446" s="154" t="s">
        <v>2557</v>
      </c>
      <c r="C446" s="36" t="s">
        <v>1666</v>
      </c>
      <c r="D446" s="36" t="s">
        <v>201</v>
      </c>
      <c r="E446" s="36" t="s">
        <v>201</v>
      </c>
      <c r="F446" s="154" t="s">
        <v>1772</v>
      </c>
      <c r="G446" s="36" t="s">
        <v>28</v>
      </c>
      <c r="H446" s="36" t="s">
        <v>1655</v>
      </c>
      <c r="I446" s="36" t="s">
        <v>1656</v>
      </c>
      <c r="J446" s="36" t="s">
        <v>1656</v>
      </c>
      <c r="K446" s="36" t="s">
        <v>1912</v>
      </c>
      <c r="L446" s="36" t="s">
        <v>1669</v>
      </c>
      <c r="M446" s="36" t="s">
        <v>1669</v>
      </c>
      <c r="N446" s="36" t="s">
        <v>34</v>
      </c>
    </row>
    <row r="447">
      <c r="A447" s="36" t="s">
        <v>2560</v>
      </c>
      <c r="B447" s="154" t="s">
        <v>2561</v>
      </c>
      <c r="C447" s="36" t="s">
        <v>1666</v>
      </c>
      <c r="D447" s="36" t="s">
        <v>714</v>
      </c>
      <c r="E447" s="36" t="s">
        <v>714</v>
      </c>
      <c r="F447" s="154" t="s">
        <v>2562</v>
      </c>
      <c r="G447" s="36" t="s">
        <v>32</v>
      </c>
      <c r="H447" s="36" t="s">
        <v>1655</v>
      </c>
      <c r="I447" s="36" t="s">
        <v>1656</v>
      </c>
      <c r="J447" s="36" t="s">
        <v>1656</v>
      </c>
      <c r="K447" s="36" t="s">
        <v>1891</v>
      </c>
      <c r="L447" s="36" t="s">
        <v>1669</v>
      </c>
      <c r="M447" s="36" t="s">
        <v>1669</v>
      </c>
      <c r="N447" s="36" t="s">
        <v>32</v>
      </c>
    </row>
    <row r="448">
      <c r="A448" s="36" t="s">
        <v>2563</v>
      </c>
      <c r="B448" s="154" t="s">
        <v>2564</v>
      </c>
      <c r="C448" s="36" t="s">
        <v>1666</v>
      </c>
      <c r="D448" s="36" t="s">
        <v>1554</v>
      </c>
      <c r="E448" s="36" t="s">
        <v>1554</v>
      </c>
      <c r="F448" s="154" t="s">
        <v>1810</v>
      </c>
      <c r="G448" s="36" t="s">
        <v>32</v>
      </c>
      <c r="H448" s="36" t="s">
        <v>1655</v>
      </c>
      <c r="I448" s="36" t="s">
        <v>1656</v>
      </c>
      <c r="J448" s="36" t="s">
        <v>1656</v>
      </c>
      <c r="K448" s="36" t="s">
        <v>1927</v>
      </c>
      <c r="L448" s="36" t="s">
        <v>1669</v>
      </c>
      <c r="M448" s="36" t="s">
        <v>1669</v>
      </c>
      <c r="N448" s="36" t="s">
        <v>32</v>
      </c>
    </row>
    <row r="449">
      <c r="A449" s="36" t="s">
        <v>2565</v>
      </c>
      <c r="B449" s="154" t="s">
        <v>2566</v>
      </c>
      <c r="C449" s="36" t="s">
        <v>1666</v>
      </c>
      <c r="D449" s="36" t="s">
        <v>100</v>
      </c>
      <c r="E449" s="36" t="s">
        <v>100</v>
      </c>
      <c r="F449" s="154" t="s">
        <v>1810</v>
      </c>
      <c r="G449" s="36" t="s">
        <v>32</v>
      </c>
      <c r="H449" s="36" t="s">
        <v>1655</v>
      </c>
      <c r="I449" s="36" t="s">
        <v>1656</v>
      </c>
      <c r="J449" s="36" t="s">
        <v>1656</v>
      </c>
      <c r="K449" s="36" t="s">
        <v>1914</v>
      </c>
      <c r="L449" s="36" t="s">
        <v>1669</v>
      </c>
      <c r="M449" s="36" t="s">
        <v>1669</v>
      </c>
      <c r="N449" s="36" t="s">
        <v>32</v>
      </c>
    </row>
    <row r="450">
      <c r="A450" s="36" t="s">
        <v>2567</v>
      </c>
      <c r="B450" s="154" t="s">
        <v>2568</v>
      </c>
      <c r="C450" s="36" t="s">
        <v>1666</v>
      </c>
      <c r="D450" s="36" t="s">
        <v>81</v>
      </c>
      <c r="E450" s="36" t="s">
        <v>81</v>
      </c>
      <c r="F450" s="154" t="s">
        <v>2569</v>
      </c>
      <c r="G450" s="36" t="s">
        <v>28</v>
      </c>
      <c r="H450" s="36" t="s">
        <v>1655</v>
      </c>
      <c r="I450" s="36" t="s">
        <v>1656</v>
      </c>
      <c r="J450" s="36" t="s">
        <v>1656</v>
      </c>
      <c r="K450" s="36" t="s">
        <v>1921</v>
      </c>
      <c r="L450" s="36" t="s">
        <v>1669</v>
      </c>
      <c r="M450" s="36" t="s">
        <v>1669</v>
      </c>
      <c r="N450" s="36" t="s">
        <v>32</v>
      </c>
    </row>
    <row r="451">
      <c r="A451" s="36" t="s">
        <v>2570</v>
      </c>
      <c r="B451" s="154" t="s">
        <v>2568</v>
      </c>
      <c r="C451" s="36" t="s">
        <v>1666</v>
      </c>
      <c r="D451" s="36" t="s">
        <v>84</v>
      </c>
      <c r="E451" s="36" t="s">
        <v>84</v>
      </c>
      <c r="F451" s="154" t="s">
        <v>1923</v>
      </c>
      <c r="G451" s="36" t="s">
        <v>32</v>
      </c>
      <c r="H451" s="36" t="s">
        <v>1655</v>
      </c>
      <c r="I451" s="36" t="s">
        <v>1656</v>
      </c>
      <c r="J451" s="36" t="s">
        <v>1656</v>
      </c>
      <c r="K451" s="36" t="s">
        <v>1924</v>
      </c>
      <c r="L451" s="36" t="s">
        <v>1669</v>
      </c>
      <c r="M451" s="36" t="s">
        <v>1669</v>
      </c>
      <c r="N451" s="36" t="s">
        <v>32</v>
      </c>
    </row>
    <row r="452">
      <c r="A452" s="36" t="s">
        <v>2571</v>
      </c>
      <c r="B452" s="154" t="s">
        <v>2568</v>
      </c>
      <c r="C452" s="36" t="s">
        <v>1666</v>
      </c>
      <c r="D452" s="36" t="s">
        <v>618</v>
      </c>
      <c r="E452" s="36" t="s">
        <v>618</v>
      </c>
      <c r="F452" s="154" t="s">
        <v>2085</v>
      </c>
      <c r="G452" s="36" t="s">
        <v>32</v>
      </c>
      <c r="H452" s="36" t="s">
        <v>1655</v>
      </c>
      <c r="I452" s="36" t="s">
        <v>1656</v>
      </c>
      <c r="J452" s="36" t="s">
        <v>1656</v>
      </c>
      <c r="K452" s="36" t="s">
        <v>1917</v>
      </c>
      <c r="L452" s="36" t="s">
        <v>1669</v>
      </c>
      <c r="M452" s="36" t="s">
        <v>1669</v>
      </c>
      <c r="N452" s="36" t="s">
        <v>32</v>
      </c>
    </row>
    <row r="453">
      <c r="A453" s="36" t="s">
        <v>2572</v>
      </c>
      <c r="B453" s="154" t="s">
        <v>2568</v>
      </c>
      <c r="C453" s="36" t="s">
        <v>1666</v>
      </c>
      <c r="D453" s="36" t="s">
        <v>1556</v>
      </c>
      <c r="E453" s="36" t="s">
        <v>1556</v>
      </c>
      <c r="F453" s="154" t="s">
        <v>2573</v>
      </c>
      <c r="G453" s="36" t="s">
        <v>28</v>
      </c>
      <c r="H453" s="36" t="s">
        <v>1655</v>
      </c>
      <c r="I453" s="36" t="s">
        <v>1656</v>
      </c>
      <c r="J453" s="36" t="s">
        <v>1656</v>
      </c>
      <c r="K453" s="36" t="s">
        <v>1930</v>
      </c>
      <c r="L453" s="36" t="s">
        <v>1669</v>
      </c>
      <c r="M453" s="36" t="s">
        <v>1669</v>
      </c>
      <c r="N453" s="36" t="s">
        <v>32</v>
      </c>
    </row>
    <row r="454">
      <c r="A454" s="36" t="s">
        <v>2574</v>
      </c>
      <c r="B454" s="154" t="s">
        <v>2568</v>
      </c>
      <c r="C454" s="36" t="s">
        <v>1666</v>
      </c>
      <c r="D454" s="36" t="s">
        <v>310</v>
      </c>
      <c r="E454" s="36" t="s">
        <v>310</v>
      </c>
      <c r="F454" s="154" t="s">
        <v>2575</v>
      </c>
      <c r="G454" s="36" t="s">
        <v>32</v>
      </c>
      <c r="H454" s="36" t="s">
        <v>1655</v>
      </c>
      <c r="I454" s="36" t="s">
        <v>1656</v>
      </c>
      <c r="J454" s="36" t="s">
        <v>1656</v>
      </c>
      <c r="K454" s="36" t="s">
        <v>1933</v>
      </c>
      <c r="L454" s="36" t="s">
        <v>1669</v>
      </c>
      <c r="M454" s="36" t="s">
        <v>1669</v>
      </c>
      <c r="N454" s="36" t="s">
        <v>32</v>
      </c>
    </row>
    <row r="455">
      <c r="A455" s="36" t="s">
        <v>2576</v>
      </c>
      <c r="B455" s="154" t="s">
        <v>2568</v>
      </c>
      <c r="C455" s="36" t="s">
        <v>1666</v>
      </c>
      <c r="D455" s="36" t="s">
        <v>1558</v>
      </c>
      <c r="E455" s="36" t="s">
        <v>1558</v>
      </c>
      <c r="F455" s="154" t="s">
        <v>2577</v>
      </c>
      <c r="G455" s="36" t="s">
        <v>28</v>
      </c>
      <c r="H455" s="36" t="s">
        <v>1655</v>
      </c>
      <c r="I455" s="36" t="s">
        <v>1656</v>
      </c>
      <c r="J455" s="36" t="s">
        <v>1656</v>
      </c>
      <c r="K455" s="36" t="s">
        <v>1936</v>
      </c>
      <c r="L455" s="36" t="s">
        <v>1669</v>
      </c>
      <c r="M455" s="36" t="s">
        <v>1669</v>
      </c>
      <c r="N455" s="36" t="s">
        <v>32</v>
      </c>
    </row>
    <row r="456">
      <c r="A456" s="36" t="s">
        <v>2578</v>
      </c>
      <c r="B456" s="154" t="s">
        <v>2568</v>
      </c>
      <c r="C456" s="36" t="s">
        <v>1666</v>
      </c>
      <c r="D456" s="36" t="s">
        <v>1561</v>
      </c>
      <c r="E456" s="36" t="s">
        <v>1561</v>
      </c>
      <c r="F456" s="154" t="s">
        <v>1729</v>
      </c>
      <c r="G456" s="36" t="s">
        <v>32</v>
      </c>
      <c r="H456" s="36" t="s">
        <v>1655</v>
      </c>
      <c r="I456" s="36" t="s">
        <v>1656</v>
      </c>
      <c r="J456" s="36" t="s">
        <v>1656</v>
      </c>
      <c r="K456" s="36" t="s">
        <v>1938</v>
      </c>
      <c r="L456" s="36" t="s">
        <v>1669</v>
      </c>
      <c r="M456" s="36" t="s">
        <v>1669</v>
      </c>
      <c r="N456" s="36" t="s">
        <v>32</v>
      </c>
    </row>
    <row r="457">
      <c r="A457" s="36" t="s">
        <v>2579</v>
      </c>
      <c r="B457" s="154" t="s">
        <v>2568</v>
      </c>
      <c r="C457" s="36" t="s">
        <v>1666</v>
      </c>
      <c r="D457" s="36" t="s">
        <v>1563</v>
      </c>
      <c r="E457" s="36" t="s">
        <v>1563</v>
      </c>
      <c r="F457" s="154" t="s">
        <v>2580</v>
      </c>
      <c r="G457" s="36" t="s">
        <v>34</v>
      </c>
      <c r="H457" s="36" t="s">
        <v>1655</v>
      </c>
      <c r="I457" s="36" t="s">
        <v>1656</v>
      </c>
      <c r="J457" s="36" t="s">
        <v>1656</v>
      </c>
      <c r="K457" s="36" t="s">
        <v>1940</v>
      </c>
      <c r="L457" s="36" t="s">
        <v>1669</v>
      </c>
      <c r="M457" s="36" t="s">
        <v>1669</v>
      </c>
      <c r="N457" s="36" t="s">
        <v>32</v>
      </c>
    </row>
    <row r="458">
      <c r="A458" s="36" t="s">
        <v>2581</v>
      </c>
      <c r="B458" s="154" t="s">
        <v>2568</v>
      </c>
      <c r="C458" s="36" t="s">
        <v>1666</v>
      </c>
      <c r="D458" s="36" t="s">
        <v>124</v>
      </c>
      <c r="E458" s="36" t="s">
        <v>124</v>
      </c>
      <c r="F458" s="154" t="s">
        <v>2362</v>
      </c>
      <c r="G458" s="36" t="s">
        <v>32</v>
      </c>
      <c r="H458" s="36" t="s">
        <v>1655</v>
      </c>
      <c r="I458" s="36" t="s">
        <v>1656</v>
      </c>
      <c r="J458" s="36" t="s">
        <v>1656</v>
      </c>
      <c r="K458" s="36" t="s">
        <v>2113</v>
      </c>
      <c r="L458" s="36" t="s">
        <v>1669</v>
      </c>
      <c r="M458" s="36" t="s">
        <v>1669</v>
      </c>
      <c r="N458" s="36" t="s">
        <v>32</v>
      </c>
    </row>
    <row r="459">
      <c r="A459" s="36" t="s">
        <v>2582</v>
      </c>
      <c r="B459" s="154" t="s">
        <v>2568</v>
      </c>
      <c r="C459" s="36" t="s">
        <v>1666</v>
      </c>
      <c r="D459" s="36" t="s">
        <v>1565</v>
      </c>
      <c r="E459" s="36" t="s">
        <v>1565</v>
      </c>
      <c r="F459" s="154" t="s">
        <v>2346</v>
      </c>
      <c r="G459" s="36" t="s">
        <v>32</v>
      </c>
      <c r="H459" s="36" t="s">
        <v>1655</v>
      </c>
      <c r="I459" s="36" t="s">
        <v>1656</v>
      </c>
      <c r="J459" s="36" t="s">
        <v>1656</v>
      </c>
      <c r="K459" s="36" t="s">
        <v>2115</v>
      </c>
      <c r="L459" s="36" t="s">
        <v>1669</v>
      </c>
      <c r="M459" s="36" t="s">
        <v>1669</v>
      </c>
      <c r="N459" s="36" t="s">
        <v>34</v>
      </c>
    </row>
    <row r="460">
      <c r="A460" s="36" t="s">
        <v>2583</v>
      </c>
      <c r="B460" s="154" t="s">
        <v>2584</v>
      </c>
      <c r="C460" s="36" t="s">
        <v>1653</v>
      </c>
      <c r="D460" s="36" t="s">
        <v>43</v>
      </c>
      <c r="E460" s="36" t="s">
        <v>39</v>
      </c>
      <c r="F460" s="154" t="s">
        <v>2585</v>
      </c>
      <c r="G460" s="36" t="s">
        <v>32</v>
      </c>
      <c r="H460" s="36" t="s">
        <v>1655</v>
      </c>
      <c r="I460" s="36" t="s">
        <v>1656</v>
      </c>
      <c r="J460" s="36" t="s">
        <v>1656</v>
      </c>
      <c r="K460" s="36" t="s">
        <v>1657</v>
      </c>
      <c r="L460" s="36" t="s">
        <v>1944</v>
      </c>
      <c r="M460" s="36" t="s">
        <v>1944</v>
      </c>
      <c r="N460" s="36" t="s">
        <v>32</v>
      </c>
    </row>
    <row r="461">
      <c r="A461" s="36" t="s">
        <v>2586</v>
      </c>
      <c r="B461" s="154" t="s">
        <v>2584</v>
      </c>
      <c r="C461" s="36" t="s">
        <v>1653</v>
      </c>
      <c r="D461" s="36" t="s">
        <v>1392</v>
      </c>
      <c r="E461" s="36" t="s">
        <v>39</v>
      </c>
      <c r="F461" s="154" t="s">
        <v>1871</v>
      </c>
      <c r="G461" s="36" t="s">
        <v>32</v>
      </c>
      <c r="H461" s="36" t="s">
        <v>1655</v>
      </c>
      <c r="I461" s="36" t="s">
        <v>1656</v>
      </c>
      <c r="J461" s="36" t="s">
        <v>1656</v>
      </c>
      <c r="K461" s="36" t="s">
        <v>1749</v>
      </c>
      <c r="L461" s="36" t="s">
        <v>1944</v>
      </c>
      <c r="M461" s="36" t="s">
        <v>1944</v>
      </c>
      <c r="N461" s="36" t="s">
        <v>32</v>
      </c>
    </row>
    <row r="462">
      <c r="A462" s="36" t="s">
        <v>2587</v>
      </c>
      <c r="B462" s="154" t="s">
        <v>2584</v>
      </c>
      <c r="C462" s="36" t="s">
        <v>1653</v>
      </c>
      <c r="D462" s="36" t="s">
        <v>1396</v>
      </c>
      <c r="E462" s="36" t="s">
        <v>39</v>
      </c>
      <c r="F462" s="154" t="s">
        <v>2588</v>
      </c>
      <c r="G462" s="36" t="s">
        <v>32</v>
      </c>
      <c r="H462" s="36" t="s">
        <v>1655</v>
      </c>
      <c r="I462" s="36" t="s">
        <v>1656</v>
      </c>
      <c r="J462" s="36" t="s">
        <v>1656</v>
      </c>
      <c r="K462" s="36" t="s">
        <v>1664</v>
      </c>
      <c r="L462" s="36" t="s">
        <v>1944</v>
      </c>
      <c r="M462" s="36" t="s">
        <v>1944</v>
      </c>
      <c r="N462" s="36" t="s">
        <v>32</v>
      </c>
    </row>
    <row r="463">
      <c r="A463" s="36" t="s">
        <v>2589</v>
      </c>
      <c r="B463" s="154" t="s">
        <v>2584</v>
      </c>
      <c r="C463" s="36" t="s">
        <v>1666</v>
      </c>
      <c r="D463" s="36" t="s">
        <v>277</v>
      </c>
      <c r="E463" s="36" t="s">
        <v>277</v>
      </c>
      <c r="F463" s="154" t="s">
        <v>1832</v>
      </c>
      <c r="G463" s="36" t="s">
        <v>32</v>
      </c>
      <c r="H463" s="36" t="s">
        <v>1655</v>
      </c>
      <c r="I463" s="36" t="s">
        <v>1656</v>
      </c>
      <c r="J463" s="36" t="s">
        <v>1656</v>
      </c>
      <c r="K463" s="36" t="s">
        <v>1668</v>
      </c>
      <c r="L463" s="36" t="s">
        <v>2590</v>
      </c>
      <c r="M463" s="36" t="s">
        <v>2590</v>
      </c>
      <c r="N463" s="36" t="s">
        <v>32</v>
      </c>
    </row>
    <row r="464">
      <c r="A464" s="36" t="s">
        <v>2591</v>
      </c>
      <c r="B464" s="154" t="s">
        <v>2584</v>
      </c>
      <c r="C464" s="36" t="s">
        <v>1666</v>
      </c>
      <c r="D464" s="36" t="s">
        <v>582</v>
      </c>
      <c r="E464" s="36" t="s">
        <v>582</v>
      </c>
      <c r="F464" s="154" t="s">
        <v>2592</v>
      </c>
      <c r="G464" s="36" t="s">
        <v>32</v>
      </c>
      <c r="H464" s="36" t="s">
        <v>1655</v>
      </c>
      <c r="I464" s="36" t="s">
        <v>1656</v>
      </c>
      <c r="J464" s="36" t="s">
        <v>1656</v>
      </c>
      <c r="K464" s="36" t="s">
        <v>1672</v>
      </c>
      <c r="L464" s="36" t="s">
        <v>2590</v>
      </c>
      <c r="M464" s="36" t="s">
        <v>2590</v>
      </c>
      <c r="N464" s="36" t="s">
        <v>32</v>
      </c>
    </row>
    <row r="465">
      <c r="A465" s="36" t="s">
        <v>2593</v>
      </c>
      <c r="B465" s="154" t="s">
        <v>2584</v>
      </c>
      <c r="C465" s="36" t="s">
        <v>1666</v>
      </c>
      <c r="D465" s="36" t="s">
        <v>1116</v>
      </c>
      <c r="E465" s="36" t="s">
        <v>1116</v>
      </c>
      <c r="F465" s="154" t="s">
        <v>2132</v>
      </c>
      <c r="G465" s="36" t="s">
        <v>28</v>
      </c>
      <c r="H465" s="36" t="s">
        <v>1655</v>
      </c>
      <c r="I465" s="36" t="s">
        <v>1656</v>
      </c>
      <c r="J465" s="36" t="s">
        <v>1656</v>
      </c>
      <c r="K465" s="36" t="s">
        <v>1675</v>
      </c>
      <c r="L465" s="36" t="s">
        <v>2590</v>
      </c>
      <c r="M465" s="36" t="s">
        <v>2590</v>
      </c>
      <c r="N465" s="36" t="s">
        <v>32</v>
      </c>
    </row>
    <row r="466">
      <c r="A466" s="36" t="s">
        <v>2594</v>
      </c>
      <c r="B466" s="154" t="s">
        <v>2584</v>
      </c>
      <c r="C466" s="36" t="s">
        <v>1666</v>
      </c>
      <c r="D466" s="36" t="s">
        <v>1118</v>
      </c>
      <c r="E466" s="36" t="s">
        <v>1118</v>
      </c>
      <c r="F466" s="154" t="s">
        <v>2595</v>
      </c>
      <c r="G466" s="36" t="s">
        <v>28</v>
      </c>
      <c r="H466" s="36" t="s">
        <v>1655</v>
      </c>
      <c r="I466" s="36" t="s">
        <v>1656</v>
      </c>
      <c r="J466" s="36" t="s">
        <v>1656</v>
      </c>
      <c r="K466" s="36" t="s">
        <v>1678</v>
      </c>
      <c r="L466" s="36" t="s">
        <v>2590</v>
      </c>
      <c r="M466" s="36" t="s">
        <v>2590</v>
      </c>
      <c r="N466" s="36" t="s">
        <v>32</v>
      </c>
    </row>
    <row r="467">
      <c r="A467" s="36" t="s">
        <v>2596</v>
      </c>
      <c r="B467" s="154" t="s">
        <v>2584</v>
      </c>
      <c r="C467" s="36" t="s">
        <v>1666</v>
      </c>
      <c r="D467" s="36" t="s">
        <v>1121</v>
      </c>
      <c r="E467" s="36" t="s">
        <v>1121</v>
      </c>
      <c r="F467" s="154" t="s">
        <v>2597</v>
      </c>
      <c r="G467" s="36" t="s">
        <v>28</v>
      </c>
      <c r="H467" s="36" t="s">
        <v>1655</v>
      </c>
      <c r="I467" s="36" t="s">
        <v>1656</v>
      </c>
      <c r="J467" s="36" t="s">
        <v>1656</v>
      </c>
      <c r="K467" s="36" t="s">
        <v>1681</v>
      </c>
      <c r="L467" s="36" t="s">
        <v>2590</v>
      </c>
      <c r="M467" s="36" t="s">
        <v>2590</v>
      </c>
      <c r="N467" s="36" t="s">
        <v>32</v>
      </c>
    </row>
    <row r="468">
      <c r="A468" s="36" t="s">
        <v>2598</v>
      </c>
      <c r="B468" s="154" t="s">
        <v>2584</v>
      </c>
      <c r="C468" s="36" t="s">
        <v>1666</v>
      </c>
      <c r="D468" s="36" t="s">
        <v>310</v>
      </c>
      <c r="E468" s="36" t="s">
        <v>310</v>
      </c>
      <c r="F468" s="154" t="s">
        <v>1973</v>
      </c>
      <c r="G468" s="36" t="s">
        <v>32</v>
      </c>
      <c r="H468" s="36" t="s">
        <v>1655</v>
      </c>
      <c r="I468" s="36" t="s">
        <v>1656</v>
      </c>
      <c r="J468" s="36" t="s">
        <v>1656</v>
      </c>
      <c r="K468" s="36" t="s">
        <v>1684</v>
      </c>
      <c r="L468" s="36" t="s">
        <v>2590</v>
      </c>
      <c r="M468" s="36" t="s">
        <v>2590</v>
      </c>
      <c r="N468" s="36" t="s">
        <v>32</v>
      </c>
    </row>
    <row r="469">
      <c r="A469" s="36" t="s">
        <v>2599</v>
      </c>
      <c r="B469" s="154" t="s">
        <v>2584</v>
      </c>
      <c r="C469" s="36" t="s">
        <v>1666</v>
      </c>
      <c r="D469" s="36" t="s">
        <v>1412</v>
      </c>
      <c r="E469" s="36" t="s">
        <v>1412</v>
      </c>
      <c r="F469" s="154" t="s">
        <v>2136</v>
      </c>
      <c r="G469" s="36" t="s">
        <v>32</v>
      </c>
      <c r="H469" s="36" t="s">
        <v>1655</v>
      </c>
      <c r="I469" s="36" t="s">
        <v>1656</v>
      </c>
      <c r="J469" s="36" t="s">
        <v>1656</v>
      </c>
      <c r="K469" s="36" t="s">
        <v>1691</v>
      </c>
      <c r="L469" s="36" t="s">
        <v>2590</v>
      </c>
      <c r="M469" s="36" t="s">
        <v>2590</v>
      </c>
      <c r="N469" s="36" t="s">
        <v>32</v>
      </c>
    </row>
    <row r="470">
      <c r="A470" s="36" t="s">
        <v>2600</v>
      </c>
      <c r="B470" s="154" t="s">
        <v>2584</v>
      </c>
      <c r="C470" s="36" t="s">
        <v>1666</v>
      </c>
      <c r="D470" s="36" t="s">
        <v>668</v>
      </c>
      <c r="E470" s="36" t="s">
        <v>668</v>
      </c>
      <c r="F470" s="154" t="s">
        <v>2039</v>
      </c>
      <c r="G470" s="36" t="s">
        <v>32</v>
      </c>
      <c r="H470" s="36" t="s">
        <v>1655</v>
      </c>
      <c r="I470" s="36" t="s">
        <v>1656</v>
      </c>
      <c r="J470" s="36" t="s">
        <v>1656</v>
      </c>
      <c r="K470" s="36" t="s">
        <v>1695</v>
      </c>
      <c r="L470" s="36" t="s">
        <v>2590</v>
      </c>
      <c r="M470" s="36" t="s">
        <v>2590</v>
      </c>
      <c r="N470" s="36" t="s">
        <v>32</v>
      </c>
    </row>
    <row r="471">
      <c r="A471" s="36" t="s">
        <v>2601</v>
      </c>
      <c r="B471" s="154" t="s">
        <v>2584</v>
      </c>
      <c r="C471" s="36" t="s">
        <v>1666</v>
      </c>
      <c r="D471" s="36" t="s">
        <v>295</v>
      </c>
      <c r="E471" s="36" t="s">
        <v>295</v>
      </c>
      <c r="F471" s="154" t="s">
        <v>1683</v>
      </c>
      <c r="G471" s="36" t="s">
        <v>32</v>
      </c>
      <c r="H471" s="36" t="s">
        <v>1655</v>
      </c>
      <c r="I471" s="36" t="s">
        <v>1656</v>
      </c>
      <c r="J471" s="36" t="s">
        <v>1656</v>
      </c>
      <c r="K471" s="36" t="s">
        <v>1698</v>
      </c>
      <c r="L471" s="36" t="s">
        <v>2590</v>
      </c>
      <c r="M471" s="36" t="s">
        <v>2590</v>
      </c>
      <c r="N471" s="36" t="s">
        <v>32</v>
      </c>
    </row>
    <row r="472">
      <c r="A472" s="36" t="s">
        <v>2602</v>
      </c>
      <c r="B472" s="154" t="s">
        <v>2584</v>
      </c>
      <c r="C472" s="36" t="s">
        <v>1666</v>
      </c>
      <c r="D472" s="36" t="s">
        <v>1416</v>
      </c>
      <c r="E472" s="36" t="s">
        <v>1416</v>
      </c>
      <c r="F472" s="154" t="s">
        <v>2603</v>
      </c>
      <c r="G472" s="36" t="s">
        <v>28</v>
      </c>
      <c r="H472" s="36" t="s">
        <v>1655</v>
      </c>
      <c r="I472" s="36" t="s">
        <v>1656</v>
      </c>
      <c r="J472" s="36" t="s">
        <v>1656</v>
      </c>
      <c r="K472" s="36" t="s">
        <v>1701</v>
      </c>
      <c r="L472" s="36" t="s">
        <v>2590</v>
      </c>
      <c r="M472" s="36" t="s">
        <v>2590</v>
      </c>
      <c r="N472" s="36" t="s">
        <v>32</v>
      </c>
    </row>
    <row r="473">
      <c r="A473" s="36" t="s">
        <v>2604</v>
      </c>
      <c r="B473" s="154" t="s">
        <v>2584</v>
      </c>
      <c r="C473" s="36" t="s">
        <v>1666</v>
      </c>
      <c r="D473" s="36" t="s">
        <v>1419</v>
      </c>
      <c r="E473" s="36" t="s">
        <v>1419</v>
      </c>
      <c r="F473" s="154" t="s">
        <v>2605</v>
      </c>
      <c r="G473" s="36" t="s">
        <v>28</v>
      </c>
      <c r="H473" s="36" t="s">
        <v>1655</v>
      </c>
      <c r="I473" s="36" t="s">
        <v>1656</v>
      </c>
      <c r="J473" s="36" t="s">
        <v>1656</v>
      </c>
      <c r="K473" s="36" t="s">
        <v>1704</v>
      </c>
      <c r="L473" s="36" t="s">
        <v>2590</v>
      </c>
      <c r="M473" s="36" t="s">
        <v>2590</v>
      </c>
      <c r="N473" s="36" t="s">
        <v>32</v>
      </c>
    </row>
    <row r="474">
      <c r="A474" s="36" t="s">
        <v>2606</v>
      </c>
      <c r="B474" s="154" t="s">
        <v>2584</v>
      </c>
      <c r="C474" s="36" t="s">
        <v>1666</v>
      </c>
      <c r="D474" s="36" t="s">
        <v>923</v>
      </c>
      <c r="E474" s="36" t="s">
        <v>923</v>
      </c>
      <c r="F474" s="154" t="s">
        <v>1683</v>
      </c>
      <c r="G474" s="36" t="s">
        <v>32</v>
      </c>
      <c r="H474" s="36" t="s">
        <v>1655</v>
      </c>
      <c r="I474" s="36" t="s">
        <v>1656</v>
      </c>
      <c r="J474" s="36" t="s">
        <v>1656</v>
      </c>
      <c r="K474" s="36" t="s">
        <v>1711</v>
      </c>
      <c r="L474" s="36" t="s">
        <v>2590</v>
      </c>
      <c r="M474" s="36" t="s">
        <v>2590</v>
      </c>
      <c r="N474" s="36" t="s">
        <v>32</v>
      </c>
    </row>
    <row r="475">
      <c r="A475" s="36" t="s">
        <v>2607</v>
      </c>
      <c r="B475" s="154" t="s">
        <v>2608</v>
      </c>
      <c r="C475" s="36" t="s">
        <v>1653</v>
      </c>
      <c r="D475" s="36" t="s">
        <v>701</v>
      </c>
      <c r="E475" s="36" t="s">
        <v>39</v>
      </c>
      <c r="F475" s="154" t="s">
        <v>2609</v>
      </c>
      <c r="G475" s="36" t="s">
        <v>32</v>
      </c>
      <c r="H475" s="36" t="s">
        <v>1655</v>
      </c>
      <c r="I475" s="36" t="s">
        <v>1656</v>
      </c>
      <c r="J475" s="36" t="s">
        <v>1656</v>
      </c>
      <c r="K475" s="36" t="s">
        <v>1989</v>
      </c>
      <c r="L475" s="36" t="s">
        <v>1944</v>
      </c>
      <c r="M475" s="36" t="s">
        <v>1944</v>
      </c>
      <c r="N475" s="36" t="s">
        <v>32</v>
      </c>
    </row>
    <row r="476">
      <c r="A476" s="36" t="s">
        <v>2610</v>
      </c>
      <c r="B476" s="154" t="s">
        <v>2608</v>
      </c>
      <c r="C476" s="36" t="s">
        <v>1666</v>
      </c>
      <c r="D476" s="36" t="s">
        <v>618</v>
      </c>
      <c r="E476" s="36" t="s">
        <v>618</v>
      </c>
      <c r="F476" s="154" t="s">
        <v>2085</v>
      </c>
      <c r="G476" s="36" t="s">
        <v>32</v>
      </c>
      <c r="H476" s="36" t="s">
        <v>1655</v>
      </c>
      <c r="I476" s="36" t="s">
        <v>1656</v>
      </c>
      <c r="J476" s="36" t="s">
        <v>1656</v>
      </c>
      <c r="K476" s="36" t="s">
        <v>1715</v>
      </c>
      <c r="L476" s="36" t="s">
        <v>2590</v>
      </c>
      <c r="M476" s="36" t="s">
        <v>2590</v>
      </c>
      <c r="N476" s="36" t="s">
        <v>32</v>
      </c>
    </row>
    <row r="477">
      <c r="A477" s="36" t="s">
        <v>2611</v>
      </c>
      <c r="B477" s="154" t="s">
        <v>2612</v>
      </c>
      <c r="C477" s="36" t="s">
        <v>1666</v>
      </c>
      <c r="D477" s="36" t="s">
        <v>310</v>
      </c>
      <c r="E477" s="36" t="s">
        <v>310</v>
      </c>
      <c r="F477" s="154" t="s">
        <v>2613</v>
      </c>
      <c r="G477" s="36" t="s">
        <v>32</v>
      </c>
      <c r="H477" s="36" t="s">
        <v>1655</v>
      </c>
      <c r="I477" s="36" t="s">
        <v>1656</v>
      </c>
      <c r="J477" s="36" t="s">
        <v>1656</v>
      </c>
      <c r="K477" s="36" t="s">
        <v>1717</v>
      </c>
      <c r="L477" s="36" t="s">
        <v>2590</v>
      </c>
      <c r="M477" s="36" t="s">
        <v>2590</v>
      </c>
      <c r="N477" s="36" t="s">
        <v>32</v>
      </c>
    </row>
    <row r="478">
      <c r="A478" s="36" t="s">
        <v>2614</v>
      </c>
      <c r="B478" s="154" t="s">
        <v>2615</v>
      </c>
      <c r="C478" s="36" t="s">
        <v>1666</v>
      </c>
      <c r="D478" s="36" t="s">
        <v>1428</v>
      </c>
      <c r="E478" s="36" t="s">
        <v>1428</v>
      </c>
      <c r="F478" s="154" t="s">
        <v>1832</v>
      </c>
      <c r="G478" s="36" t="s">
        <v>32</v>
      </c>
      <c r="H478" s="36" t="s">
        <v>1655</v>
      </c>
      <c r="I478" s="36" t="s">
        <v>1656</v>
      </c>
      <c r="J478" s="36" t="s">
        <v>1656</v>
      </c>
      <c r="K478" s="36" t="s">
        <v>1724</v>
      </c>
      <c r="L478" s="36" t="s">
        <v>2590</v>
      </c>
      <c r="M478" s="36" t="s">
        <v>2590</v>
      </c>
      <c r="N478" s="36" t="s">
        <v>32</v>
      </c>
    </row>
    <row r="479">
      <c r="A479" s="36" t="s">
        <v>2616</v>
      </c>
      <c r="B479" s="154" t="s">
        <v>2615</v>
      </c>
      <c r="C479" s="36" t="s">
        <v>1666</v>
      </c>
      <c r="D479" s="36" t="s">
        <v>299</v>
      </c>
      <c r="E479" s="36" t="s">
        <v>299</v>
      </c>
      <c r="F479" s="154" t="s">
        <v>2617</v>
      </c>
      <c r="G479" s="36" t="s">
        <v>32</v>
      </c>
      <c r="H479" s="36" t="s">
        <v>1655</v>
      </c>
      <c r="I479" s="36" t="s">
        <v>1656</v>
      </c>
      <c r="J479" s="36" t="s">
        <v>1656</v>
      </c>
      <c r="K479" s="36" t="s">
        <v>1727</v>
      </c>
      <c r="L479" s="36" t="s">
        <v>2590</v>
      </c>
      <c r="M479" s="36" t="s">
        <v>2590</v>
      </c>
      <c r="N479" s="36" t="s">
        <v>32</v>
      </c>
    </row>
    <row r="480">
      <c r="A480" s="36" t="s">
        <v>2618</v>
      </c>
      <c r="B480" s="154" t="s">
        <v>2615</v>
      </c>
      <c r="C480" s="36" t="s">
        <v>1666</v>
      </c>
      <c r="D480" s="36" t="s">
        <v>637</v>
      </c>
      <c r="E480" s="36" t="s">
        <v>637</v>
      </c>
      <c r="F480" s="154" t="s">
        <v>2592</v>
      </c>
      <c r="G480" s="36" t="s">
        <v>32</v>
      </c>
      <c r="H480" s="36" t="s">
        <v>1655</v>
      </c>
      <c r="I480" s="36" t="s">
        <v>1656</v>
      </c>
      <c r="J480" s="36" t="s">
        <v>1656</v>
      </c>
      <c r="K480" s="36" t="s">
        <v>1730</v>
      </c>
      <c r="L480" s="36" t="s">
        <v>2590</v>
      </c>
      <c r="M480" s="36" t="s">
        <v>2590</v>
      </c>
      <c r="N480" s="36" t="s">
        <v>32</v>
      </c>
    </row>
    <row r="481">
      <c r="A481" s="36" t="s">
        <v>2619</v>
      </c>
      <c r="B481" s="154" t="s">
        <v>2615</v>
      </c>
      <c r="C481" s="36" t="s">
        <v>1666</v>
      </c>
      <c r="D481" s="36" t="s">
        <v>552</v>
      </c>
      <c r="E481" s="36" t="s">
        <v>552</v>
      </c>
      <c r="F481" s="154" t="s">
        <v>2620</v>
      </c>
      <c r="G481" s="36" t="s">
        <v>32</v>
      </c>
      <c r="H481" s="36" t="s">
        <v>1655</v>
      </c>
      <c r="I481" s="36" t="s">
        <v>1656</v>
      </c>
      <c r="J481" s="36" t="s">
        <v>1656</v>
      </c>
      <c r="K481" s="36" t="s">
        <v>1732</v>
      </c>
      <c r="L481" s="36" t="s">
        <v>2590</v>
      </c>
      <c r="M481" s="36" t="s">
        <v>2590</v>
      </c>
      <c r="N481" s="36" t="s">
        <v>32</v>
      </c>
    </row>
    <row r="482">
      <c r="A482" s="36" t="s">
        <v>2621</v>
      </c>
      <c r="B482" s="154" t="s">
        <v>2615</v>
      </c>
      <c r="C482" s="36" t="s">
        <v>1666</v>
      </c>
      <c r="D482" s="36" t="s">
        <v>201</v>
      </c>
      <c r="E482" s="36" t="s">
        <v>201</v>
      </c>
      <c r="F482" s="154" t="s">
        <v>2622</v>
      </c>
      <c r="G482" s="36" t="s">
        <v>32</v>
      </c>
      <c r="H482" s="36" t="s">
        <v>1655</v>
      </c>
      <c r="I482" s="36" t="s">
        <v>1656</v>
      </c>
      <c r="J482" s="36" t="s">
        <v>1656</v>
      </c>
      <c r="K482" s="36" t="s">
        <v>1736</v>
      </c>
      <c r="L482" s="36" t="s">
        <v>2590</v>
      </c>
      <c r="M482" s="36" t="s">
        <v>2590</v>
      </c>
      <c r="N482" s="36" t="s">
        <v>32</v>
      </c>
    </row>
    <row r="483">
      <c r="A483" s="36" t="s">
        <v>2623</v>
      </c>
      <c r="B483" s="154" t="s">
        <v>2615</v>
      </c>
      <c r="C483" s="36" t="s">
        <v>1666</v>
      </c>
      <c r="D483" s="36" t="s">
        <v>201</v>
      </c>
      <c r="E483" s="36" t="s">
        <v>201</v>
      </c>
      <c r="F483" s="154" t="s">
        <v>2222</v>
      </c>
      <c r="G483" s="36" t="s">
        <v>32</v>
      </c>
      <c r="H483" s="36" t="s">
        <v>1655</v>
      </c>
      <c r="I483" s="36" t="s">
        <v>1656</v>
      </c>
      <c r="J483" s="36" t="s">
        <v>1656</v>
      </c>
      <c r="K483" s="36" t="s">
        <v>1739</v>
      </c>
      <c r="L483" s="36" t="s">
        <v>2590</v>
      </c>
      <c r="M483" s="36" t="s">
        <v>2590</v>
      </c>
      <c r="N483" s="36" t="s">
        <v>32</v>
      </c>
    </row>
    <row r="484">
      <c r="A484" s="36" t="s">
        <v>2624</v>
      </c>
      <c r="B484" s="154" t="s">
        <v>2625</v>
      </c>
      <c r="C484" s="36" t="s">
        <v>1666</v>
      </c>
      <c r="D484" s="36" t="s">
        <v>64</v>
      </c>
      <c r="E484" s="36" t="s">
        <v>64</v>
      </c>
      <c r="F484" s="154" t="s">
        <v>1707</v>
      </c>
      <c r="G484" s="36" t="s">
        <v>28</v>
      </c>
      <c r="H484" s="36" t="s">
        <v>1655</v>
      </c>
      <c r="I484" s="36" t="s">
        <v>1656</v>
      </c>
      <c r="J484" s="36" t="s">
        <v>1656</v>
      </c>
      <c r="K484" s="36" t="s">
        <v>1708</v>
      </c>
      <c r="L484" s="36" t="s">
        <v>2590</v>
      </c>
      <c r="M484" s="36" t="s">
        <v>2590</v>
      </c>
      <c r="N484" s="36" t="s">
        <v>32</v>
      </c>
    </row>
    <row r="485">
      <c r="A485" s="36" t="s">
        <v>2626</v>
      </c>
      <c r="B485" s="154" t="s">
        <v>2625</v>
      </c>
      <c r="C485" s="36" t="s">
        <v>1666</v>
      </c>
      <c r="D485" s="36" t="s">
        <v>1440</v>
      </c>
      <c r="E485" s="36" t="s">
        <v>1440</v>
      </c>
      <c r="F485" s="154" t="s">
        <v>1729</v>
      </c>
      <c r="G485" s="36" t="s">
        <v>32</v>
      </c>
      <c r="H485" s="36" t="s">
        <v>1655</v>
      </c>
      <c r="I485" s="36" t="s">
        <v>1656</v>
      </c>
      <c r="J485" s="36" t="s">
        <v>1656</v>
      </c>
      <c r="K485" s="36" t="s">
        <v>1742</v>
      </c>
      <c r="L485" s="36" t="s">
        <v>2590</v>
      </c>
      <c r="M485" s="36" t="s">
        <v>2590</v>
      </c>
      <c r="N485" s="36" t="s">
        <v>32</v>
      </c>
    </row>
    <row r="486">
      <c r="A486" s="36" t="s">
        <v>2627</v>
      </c>
      <c r="B486" s="154" t="s">
        <v>2625</v>
      </c>
      <c r="C486" s="36" t="s">
        <v>1666</v>
      </c>
      <c r="D486" s="36" t="s">
        <v>1443</v>
      </c>
      <c r="E486" s="36" t="s">
        <v>1443</v>
      </c>
      <c r="F486" s="154" t="s">
        <v>1806</v>
      </c>
      <c r="G486" s="36" t="s">
        <v>32</v>
      </c>
      <c r="H486" s="36" t="s">
        <v>1655</v>
      </c>
      <c r="I486" s="36" t="s">
        <v>1656</v>
      </c>
      <c r="J486" s="36" t="s">
        <v>1656</v>
      </c>
      <c r="K486" s="36" t="s">
        <v>1745</v>
      </c>
      <c r="L486" s="36" t="s">
        <v>2590</v>
      </c>
      <c r="M486" s="36" t="s">
        <v>2590</v>
      </c>
      <c r="N486" s="36" t="s">
        <v>32</v>
      </c>
    </row>
    <row r="487">
      <c r="A487" s="36" t="s">
        <v>2628</v>
      </c>
      <c r="B487" s="154" t="s">
        <v>2625</v>
      </c>
      <c r="C487" s="36" t="s">
        <v>1666</v>
      </c>
      <c r="D487" s="36" t="s">
        <v>618</v>
      </c>
      <c r="E487" s="36" t="s">
        <v>618</v>
      </c>
      <c r="F487" s="154" t="s">
        <v>2085</v>
      </c>
      <c r="G487" s="36" t="s">
        <v>32</v>
      </c>
      <c r="H487" s="36" t="s">
        <v>1655</v>
      </c>
      <c r="I487" s="36" t="s">
        <v>1656</v>
      </c>
      <c r="J487" s="36" t="s">
        <v>1656</v>
      </c>
      <c r="K487" s="36" t="s">
        <v>1773</v>
      </c>
      <c r="L487" s="36" t="s">
        <v>2590</v>
      </c>
      <c r="M487" s="36" t="s">
        <v>2590</v>
      </c>
      <c r="N487" s="36" t="s">
        <v>32</v>
      </c>
    </row>
    <row r="488">
      <c r="A488" s="36" t="s">
        <v>2629</v>
      </c>
      <c r="B488" s="154" t="s">
        <v>2625</v>
      </c>
      <c r="C488" s="36" t="s">
        <v>1666</v>
      </c>
      <c r="D488" s="36" t="s">
        <v>832</v>
      </c>
      <c r="E488" s="36" t="s">
        <v>832</v>
      </c>
      <c r="F488" s="154" t="s">
        <v>1744</v>
      </c>
      <c r="G488" s="36" t="s">
        <v>32</v>
      </c>
      <c r="H488" s="36" t="s">
        <v>1655</v>
      </c>
      <c r="I488" s="36" t="s">
        <v>1656</v>
      </c>
      <c r="J488" s="36" t="s">
        <v>1656</v>
      </c>
      <c r="K488" s="36" t="s">
        <v>1776</v>
      </c>
      <c r="L488" s="36" t="s">
        <v>2590</v>
      </c>
      <c r="M488" s="36" t="s">
        <v>2590</v>
      </c>
      <c r="N488" s="36" t="s">
        <v>32</v>
      </c>
    </row>
    <row r="489">
      <c r="A489" s="36" t="s">
        <v>2630</v>
      </c>
      <c r="B489" s="154" t="s">
        <v>2625</v>
      </c>
      <c r="C489" s="36" t="s">
        <v>1666</v>
      </c>
      <c r="D489" s="36" t="s">
        <v>1447</v>
      </c>
      <c r="E489" s="36" t="s">
        <v>1447</v>
      </c>
      <c r="F489" s="154" t="s">
        <v>2325</v>
      </c>
      <c r="G489" s="36" t="s">
        <v>28</v>
      </c>
      <c r="H489" s="36" t="s">
        <v>1655</v>
      </c>
      <c r="I489" s="36" t="s">
        <v>1656</v>
      </c>
      <c r="J489" s="36" t="s">
        <v>1656</v>
      </c>
      <c r="K489" s="36" t="s">
        <v>1779</v>
      </c>
      <c r="L489" s="36" t="s">
        <v>2590</v>
      </c>
      <c r="M489" s="36" t="s">
        <v>2590</v>
      </c>
      <c r="N489" s="36" t="s">
        <v>32</v>
      </c>
    </row>
    <row r="490">
      <c r="A490" s="36" t="s">
        <v>2631</v>
      </c>
      <c r="B490" s="154" t="s">
        <v>2632</v>
      </c>
      <c r="C490" s="36" t="s">
        <v>1666</v>
      </c>
      <c r="D490" s="36" t="s">
        <v>100</v>
      </c>
      <c r="E490" s="36" t="s">
        <v>100</v>
      </c>
      <c r="F490" s="154" t="s">
        <v>1810</v>
      </c>
      <c r="G490" s="36" t="s">
        <v>32</v>
      </c>
      <c r="H490" s="36" t="s">
        <v>1655</v>
      </c>
      <c r="I490" s="36" t="s">
        <v>1656</v>
      </c>
      <c r="J490" s="36" t="s">
        <v>1656</v>
      </c>
      <c r="K490" s="36" t="s">
        <v>1782</v>
      </c>
      <c r="L490" s="36" t="s">
        <v>2590</v>
      </c>
      <c r="M490" s="36" t="s">
        <v>2590</v>
      </c>
      <c r="N490" s="36" t="s">
        <v>32</v>
      </c>
    </row>
    <row r="491">
      <c r="A491" s="36" t="s">
        <v>2633</v>
      </c>
      <c r="B491" s="154" t="s">
        <v>2634</v>
      </c>
      <c r="C491" s="36" t="s">
        <v>1666</v>
      </c>
      <c r="D491" s="36" t="s">
        <v>1450</v>
      </c>
      <c r="E491" s="36" t="s">
        <v>1450</v>
      </c>
      <c r="F491" s="154" t="s">
        <v>1735</v>
      </c>
      <c r="G491" s="36" t="s">
        <v>32</v>
      </c>
      <c r="H491" s="36" t="s">
        <v>1655</v>
      </c>
      <c r="I491" s="36" t="s">
        <v>1656</v>
      </c>
      <c r="J491" s="36" t="s">
        <v>1656</v>
      </c>
      <c r="K491" s="36" t="s">
        <v>1784</v>
      </c>
      <c r="L491" s="36" t="s">
        <v>2590</v>
      </c>
      <c r="M491" s="36" t="s">
        <v>2590</v>
      </c>
      <c r="N491" s="36" t="s">
        <v>32</v>
      </c>
    </row>
    <row r="492">
      <c r="A492" s="36" t="s">
        <v>2635</v>
      </c>
      <c r="B492" s="154" t="s">
        <v>2634</v>
      </c>
      <c r="C492" s="36" t="s">
        <v>1666</v>
      </c>
      <c r="D492" s="36" t="s">
        <v>310</v>
      </c>
      <c r="E492" s="36" t="s">
        <v>310</v>
      </c>
      <c r="F492" s="154" t="s">
        <v>2636</v>
      </c>
      <c r="G492" s="36" t="s">
        <v>32</v>
      </c>
      <c r="H492" s="36" t="s">
        <v>1655</v>
      </c>
      <c r="I492" s="36" t="s">
        <v>1656</v>
      </c>
      <c r="J492" s="36" t="s">
        <v>1656</v>
      </c>
      <c r="K492" s="36" t="s">
        <v>1787</v>
      </c>
      <c r="L492" s="36" t="s">
        <v>2590</v>
      </c>
      <c r="M492" s="36" t="s">
        <v>2590</v>
      </c>
      <c r="N492" s="36" t="s">
        <v>32</v>
      </c>
    </row>
    <row r="493">
      <c r="A493" s="36" t="s">
        <v>2637</v>
      </c>
      <c r="B493" s="154" t="s">
        <v>2634</v>
      </c>
      <c r="C493" s="36" t="s">
        <v>1666</v>
      </c>
      <c r="D493" s="36" t="s">
        <v>124</v>
      </c>
      <c r="E493" s="36" t="s">
        <v>124</v>
      </c>
      <c r="F493" s="154" t="s">
        <v>2638</v>
      </c>
      <c r="G493" s="36" t="s">
        <v>32</v>
      </c>
      <c r="H493" s="36" t="s">
        <v>1655</v>
      </c>
      <c r="I493" s="36" t="s">
        <v>1656</v>
      </c>
      <c r="J493" s="36" t="s">
        <v>1656</v>
      </c>
      <c r="K493" s="36" t="s">
        <v>1790</v>
      </c>
      <c r="L493" s="36" t="s">
        <v>2590</v>
      </c>
      <c r="M493" s="36" t="s">
        <v>2590</v>
      </c>
      <c r="N493" s="36" t="s">
        <v>32</v>
      </c>
    </row>
    <row r="494">
      <c r="A494" s="36" t="s">
        <v>2639</v>
      </c>
      <c r="B494" s="154" t="s">
        <v>2634</v>
      </c>
      <c r="C494" s="36" t="s">
        <v>1666</v>
      </c>
      <c r="D494" s="36" t="s">
        <v>1458</v>
      </c>
      <c r="E494" s="36" t="s">
        <v>1458</v>
      </c>
      <c r="F494" s="154" t="s">
        <v>2640</v>
      </c>
      <c r="G494" s="36" t="s">
        <v>28</v>
      </c>
      <c r="H494" s="36" t="s">
        <v>1655</v>
      </c>
      <c r="I494" s="36" t="s">
        <v>1656</v>
      </c>
      <c r="J494" s="36" t="s">
        <v>1656</v>
      </c>
      <c r="K494" s="36" t="s">
        <v>1793</v>
      </c>
      <c r="L494" s="36" t="s">
        <v>2590</v>
      </c>
      <c r="M494" s="36" t="s">
        <v>2590</v>
      </c>
      <c r="N494" s="36" t="s">
        <v>32</v>
      </c>
    </row>
    <row r="495">
      <c r="A495" s="36" t="s">
        <v>2641</v>
      </c>
      <c r="B495" s="154" t="s">
        <v>2634</v>
      </c>
      <c r="C495" s="36" t="s">
        <v>1666</v>
      </c>
      <c r="D495" s="36" t="s">
        <v>313</v>
      </c>
      <c r="E495" s="36" t="s">
        <v>313</v>
      </c>
      <c r="F495" s="154" t="s">
        <v>1929</v>
      </c>
      <c r="G495" s="36" t="s">
        <v>32</v>
      </c>
      <c r="H495" s="36" t="s">
        <v>1655</v>
      </c>
      <c r="I495" s="36" t="s">
        <v>1656</v>
      </c>
      <c r="J495" s="36" t="s">
        <v>1656</v>
      </c>
      <c r="K495" s="36" t="s">
        <v>1796</v>
      </c>
      <c r="L495" s="36" t="s">
        <v>2590</v>
      </c>
      <c r="M495" s="36" t="s">
        <v>2590</v>
      </c>
      <c r="N495" s="36" t="s">
        <v>32</v>
      </c>
    </row>
    <row r="496">
      <c r="A496" s="36" t="s">
        <v>2642</v>
      </c>
      <c r="B496" s="154" t="s">
        <v>2634</v>
      </c>
      <c r="C496" s="36" t="s">
        <v>1666</v>
      </c>
      <c r="D496" s="36" t="s">
        <v>618</v>
      </c>
      <c r="E496" s="36" t="s">
        <v>618</v>
      </c>
      <c r="F496" s="154" t="s">
        <v>2085</v>
      </c>
      <c r="G496" s="36" t="s">
        <v>32</v>
      </c>
      <c r="H496" s="36" t="s">
        <v>1655</v>
      </c>
      <c r="I496" s="36" t="s">
        <v>1656</v>
      </c>
      <c r="J496" s="36" t="s">
        <v>1656</v>
      </c>
      <c r="K496" s="36" t="s">
        <v>1800</v>
      </c>
      <c r="L496" s="36" t="s">
        <v>2590</v>
      </c>
      <c r="M496" s="36" t="s">
        <v>2590</v>
      </c>
      <c r="N496" s="36" t="s">
        <v>32</v>
      </c>
    </row>
    <row r="497">
      <c r="A497" s="36" t="s">
        <v>2643</v>
      </c>
      <c r="B497" s="154" t="s">
        <v>2634</v>
      </c>
      <c r="C497" s="36" t="s">
        <v>1666</v>
      </c>
      <c r="D497" s="36" t="s">
        <v>2644</v>
      </c>
      <c r="E497" s="36" t="s">
        <v>2644</v>
      </c>
      <c r="F497" s="154" t="s">
        <v>1810</v>
      </c>
      <c r="G497" s="36" t="s">
        <v>28</v>
      </c>
      <c r="H497" s="36" t="s">
        <v>1655</v>
      </c>
      <c r="I497" s="36" t="s">
        <v>1656</v>
      </c>
      <c r="J497" s="36" t="s">
        <v>1656</v>
      </c>
      <c r="K497" s="36" t="s">
        <v>1803</v>
      </c>
      <c r="L497" s="36" t="s">
        <v>2590</v>
      </c>
      <c r="M497" s="36" t="s">
        <v>2590</v>
      </c>
      <c r="N497" s="36" t="s">
        <v>32</v>
      </c>
    </row>
    <row r="498">
      <c r="A498" s="36" t="s">
        <v>2645</v>
      </c>
      <c r="B498" s="154" t="s">
        <v>2646</v>
      </c>
      <c r="C498" s="36" t="s">
        <v>1666</v>
      </c>
      <c r="D498" s="36" t="s">
        <v>66</v>
      </c>
      <c r="E498" s="36" t="s">
        <v>66</v>
      </c>
      <c r="F498" s="154" t="s">
        <v>2647</v>
      </c>
      <c r="G498" s="36" t="s">
        <v>28</v>
      </c>
      <c r="H498" s="36" t="s">
        <v>1655</v>
      </c>
      <c r="I498" s="36" t="s">
        <v>1656</v>
      </c>
      <c r="J498" s="36" t="s">
        <v>1656</v>
      </c>
      <c r="K498" s="36" t="s">
        <v>1721</v>
      </c>
      <c r="L498" s="36" t="s">
        <v>2590</v>
      </c>
      <c r="M498" s="36" t="s">
        <v>2590</v>
      </c>
      <c r="N498" s="36" t="s">
        <v>32</v>
      </c>
    </row>
    <row r="499">
      <c r="A499" s="36" t="s">
        <v>2648</v>
      </c>
      <c r="B499" s="154" t="s">
        <v>2646</v>
      </c>
      <c r="C499" s="36" t="s">
        <v>1666</v>
      </c>
      <c r="D499" s="36" t="s">
        <v>1467</v>
      </c>
      <c r="E499" s="36" t="s">
        <v>1467</v>
      </c>
      <c r="F499" s="154" t="s">
        <v>2163</v>
      </c>
      <c r="G499" s="36" t="s">
        <v>28</v>
      </c>
      <c r="H499" s="36" t="s">
        <v>1655</v>
      </c>
      <c r="I499" s="36" t="s">
        <v>1656</v>
      </c>
      <c r="J499" s="36" t="s">
        <v>1656</v>
      </c>
      <c r="K499" s="36" t="s">
        <v>1807</v>
      </c>
      <c r="L499" s="36" t="s">
        <v>2590</v>
      </c>
      <c r="M499" s="36" t="s">
        <v>2590</v>
      </c>
      <c r="N499" s="36" t="s">
        <v>32</v>
      </c>
    </row>
    <row r="500">
      <c r="A500" s="36" t="s">
        <v>2649</v>
      </c>
      <c r="B500" s="154" t="s">
        <v>2650</v>
      </c>
      <c r="C500" s="36" t="s">
        <v>1666</v>
      </c>
      <c r="D500" s="36" t="s">
        <v>832</v>
      </c>
      <c r="E500" s="36" t="s">
        <v>832</v>
      </c>
      <c r="F500" s="154" t="s">
        <v>1683</v>
      </c>
      <c r="G500" s="36" t="s">
        <v>32</v>
      </c>
      <c r="H500" s="36" t="s">
        <v>1655</v>
      </c>
      <c r="I500" s="36" t="s">
        <v>1656</v>
      </c>
      <c r="J500" s="36" t="s">
        <v>1656</v>
      </c>
      <c r="K500" s="36" t="s">
        <v>1814</v>
      </c>
      <c r="L500" s="36" t="s">
        <v>2590</v>
      </c>
      <c r="M500" s="36" t="s">
        <v>2590</v>
      </c>
      <c r="N500" s="36" t="s">
        <v>32</v>
      </c>
    </row>
    <row r="501">
      <c r="A501" s="36" t="s">
        <v>2651</v>
      </c>
      <c r="B501" s="154" t="s">
        <v>2650</v>
      </c>
      <c r="C501" s="36" t="s">
        <v>1666</v>
      </c>
      <c r="D501" s="36" t="s">
        <v>1472</v>
      </c>
      <c r="E501" s="36" t="s">
        <v>1472</v>
      </c>
      <c r="F501" s="154" t="s">
        <v>2085</v>
      </c>
      <c r="G501" s="36" t="s">
        <v>28</v>
      </c>
      <c r="H501" s="36" t="s">
        <v>1655</v>
      </c>
      <c r="I501" s="36" t="s">
        <v>1656</v>
      </c>
      <c r="J501" s="36" t="s">
        <v>1656</v>
      </c>
      <c r="K501" s="36" t="s">
        <v>1817</v>
      </c>
      <c r="L501" s="36" t="s">
        <v>2590</v>
      </c>
      <c r="M501" s="36" t="s">
        <v>2590</v>
      </c>
      <c r="N501" s="36" t="s">
        <v>32</v>
      </c>
    </row>
    <row r="502">
      <c r="A502" s="36" t="s">
        <v>2652</v>
      </c>
      <c r="B502" s="154" t="s">
        <v>2653</v>
      </c>
      <c r="C502" s="36" t="s">
        <v>1653</v>
      </c>
      <c r="D502" s="36" t="s">
        <v>55</v>
      </c>
      <c r="E502" s="36" t="s">
        <v>39</v>
      </c>
      <c r="F502" s="154" t="s">
        <v>2441</v>
      </c>
      <c r="G502" s="36" t="s">
        <v>32</v>
      </c>
      <c r="H502" s="36" t="s">
        <v>1655</v>
      </c>
      <c r="I502" s="36" t="s">
        <v>1656</v>
      </c>
      <c r="J502" s="36" t="s">
        <v>1656</v>
      </c>
      <c r="K502" s="36" t="s">
        <v>1978</v>
      </c>
      <c r="L502" s="36" t="s">
        <v>1944</v>
      </c>
      <c r="M502" s="36" t="s">
        <v>1944</v>
      </c>
      <c r="N502" s="36" t="s">
        <v>32</v>
      </c>
    </row>
    <row r="503">
      <c r="A503" s="36" t="s">
        <v>2654</v>
      </c>
      <c r="B503" s="154" t="s">
        <v>2653</v>
      </c>
      <c r="C503" s="36" t="s">
        <v>1666</v>
      </c>
      <c r="D503" s="36" t="s">
        <v>71</v>
      </c>
      <c r="E503" s="36" t="s">
        <v>71</v>
      </c>
      <c r="F503" s="154" t="s">
        <v>1751</v>
      </c>
      <c r="G503" s="36" t="s">
        <v>32</v>
      </c>
      <c r="H503" s="36" t="s">
        <v>1655</v>
      </c>
      <c r="I503" s="36" t="s">
        <v>1656</v>
      </c>
      <c r="J503" s="36" t="s">
        <v>1656</v>
      </c>
      <c r="K503" s="36" t="s">
        <v>1752</v>
      </c>
      <c r="L503" s="36" t="s">
        <v>2590</v>
      </c>
      <c r="M503" s="36" t="s">
        <v>2590</v>
      </c>
      <c r="N503" s="36" t="s">
        <v>32</v>
      </c>
    </row>
    <row r="504">
      <c r="A504" s="36" t="s">
        <v>2655</v>
      </c>
      <c r="B504" s="154" t="s">
        <v>2653</v>
      </c>
      <c r="C504" s="36" t="s">
        <v>1666</v>
      </c>
      <c r="D504" s="36" t="s">
        <v>73</v>
      </c>
      <c r="E504" s="36" t="s">
        <v>73</v>
      </c>
      <c r="F504" s="154" t="s">
        <v>1754</v>
      </c>
      <c r="G504" s="36" t="s">
        <v>28</v>
      </c>
      <c r="H504" s="36" t="s">
        <v>1655</v>
      </c>
      <c r="I504" s="36" t="s">
        <v>1656</v>
      </c>
      <c r="J504" s="36" t="s">
        <v>1656</v>
      </c>
      <c r="K504" s="36" t="s">
        <v>1755</v>
      </c>
      <c r="L504" s="36" t="s">
        <v>2590</v>
      </c>
      <c r="M504" s="36" t="s">
        <v>2590</v>
      </c>
      <c r="N504" s="36" t="s">
        <v>32</v>
      </c>
    </row>
    <row r="505">
      <c r="A505" s="36" t="s">
        <v>2656</v>
      </c>
      <c r="B505" s="154" t="s">
        <v>2653</v>
      </c>
      <c r="C505" s="36" t="s">
        <v>1666</v>
      </c>
      <c r="D505" s="36" t="s">
        <v>74</v>
      </c>
      <c r="E505" s="36" t="s">
        <v>74</v>
      </c>
      <c r="F505" s="154" t="s">
        <v>1751</v>
      </c>
      <c r="G505" s="36" t="s">
        <v>32</v>
      </c>
      <c r="H505" s="36" t="s">
        <v>1655</v>
      </c>
      <c r="I505" s="36" t="s">
        <v>1656</v>
      </c>
      <c r="J505" s="36" t="s">
        <v>1656</v>
      </c>
      <c r="K505" s="36" t="s">
        <v>1757</v>
      </c>
      <c r="L505" s="36" t="s">
        <v>2590</v>
      </c>
      <c r="M505" s="36" t="s">
        <v>2590</v>
      </c>
      <c r="N505" s="36" t="s">
        <v>32</v>
      </c>
    </row>
    <row r="506">
      <c r="A506" s="36" t="s">
        <v>2657</v>
      </c>
      <c r="B506" s="154" t="s">
        <v>2653</v>
      </c>
      <c r="C506" s="36" t="s">
        <v>1666</v>
      </c>
      <c r="D506" s="36" t="s">
        <v>75</v>
      </c>
      <c r="E506" s="36" t="s">
        <v>75</v>
      </c>
      <c r="F506" s="154" t="s">
        <v>1759</v>
      </c>
      <c r="G506" s="36" t="s">
        <v>28</v>
      </c>
      <c r="H506" s="36" t="s">
        <v>1655</v>
      </c>
      <c r="I506" s="36" t="s">
        <v>1656</v>
      </c>
      <c r="J506" s="36" t="s">
        <v>1656</v>
      </c>
      <c r="K506" s="36" t="s">
        <v>1760</v>
      </c>
      <c r="L506" s="36" t="s">
        <v>2590</v>
      </c>
      <c r="M506" s="36" t="s">
        <v>2590</v>
      </c>
      <c r="N506" s="36" t="s">
        <v>32</v>
      </c>
    </row>
    <row r="507">
      <c r="A507" s="36" t="s">
        <v>2658</v>
      </c>
      <c r="B507" s="154" t="s">
        <v>2653</v>
      </c>
      <c r="C507" s="36" t="s">
        <v>1666</v>
      </c>
      <c r="D507" s="36" t="s">
        <v>76</v>
      </c>
      <c r="E507" s="36" t="s">
        <v>76</v>
      </c>
      <c r="F507" s="154" t="s">
        <v>2659</v>
      </c>
      <c r="G507" s="36" t="s">
        <v>28</v>
      </c>
      <c r="H507" s="36" t="s">
        <v>1655</v>
      </c>
      <c r="I507" s="36" t="s">
        <v>1656</v>
      </c>
      <c r="J507" s="36" t="s">
        <v>1656</v>
      </c>
      <c r="K507" s="36" t="s">
        <v>1763</v>
      </c>
      <c r="L507" s="36" t="s">
        <v>2590</v>
      </c>
      <c r="M507" s="36" t="s">
        <v>2590</v>
      </c>
      <c r="N507" s="36" t="s">
        <v>32</v>
      </c>
    </row>
    <row r="508">
      <c r="A508" s="36" t="s">
        <v>2660</v>
      </c>
      <c r="B508" s="154" t="s">
        <v>2653</v>
      </c>
      <c r="C508" s="36" t="s">
        <v>1666</v>
      </c>
      <c r="D508" s="36" t="s">
        <v>919</v>
      </c>
      <c r="E508" s="36" t="s">
        <v>919</v>
      </c>
      <c r="F508" s="154" t="s">
        <v>1765</v>
      </c>
      <c r="G508" s="36" t="s">
        <v>28</v>
      </c>
      <c r="H508" s="36" t="s">
        <v>1655</v>
      </c>
      <c r="I508" s="36" t="s">
        <v>1656</v>
      </c>
      <c r="J508" s="36" t="s">
        <v>1656</v>
      </c>
      <c r="K508" s="36" t="s">
        <v>1766</v>
      </c>
      <c r="L508" s="36" t="s">
        <v>2590</v>
      </c>
      <c r="M508" s="36" t="s">
        <v>2590</v>
      </c>
      <c r="N508" s="36" t="s">
        <v>32</v>
      </c>
    </row>
    <row r="509">
      <c r="A509" s="36" t="s">
        <v>2661</v>
      </c>
      <c r="B509" s="154" t="s">
        <v>2653</v>
      </c>
      <c r="C509" s="36" t="s">
        <v>1666</v>
      </c>
      <c r="D509" s="36" t="s">
        <v>77</v>
      </c>
      <c r="E509" s="36" t="s">
        <v>77</v>
      </c>
      <c r="F509" s="154" t="s">
        <v>1768</v>
      </c>
      <c r="G509" s="36" t="s">
        <v>34</v>
      </c>
      <c r="H509" s="36" t="s">
        <v>1655</v>
      </c>
      <c r="I509" s="36" t="s">
        <v>1656</v>
      </c>
      <c r="J509" s="36" t="s">
        <v>1656</v>
      </c>
      <c r="K509" s="36" t="s">
        <v>1769</v>
      </c>
      <c r="L509" s="36" t="s">
        <v>2590</v>
      </c>
      <c r="M509" s="36" t="s">
        <v>2590</v>
      </c>
      <c r="N509" s="36" t="s">
        <v>32</v>
      </c>
    </row>
    <row r="510">
      <c r="A510" s="36" t="s">
        <v>2662</v>
      </c>
      <c r="B510" s="154" t="s">
        <v>2653</v>
      </c>
      <c r="C510" s="36" t="s">
        <v>1666</v>
      </c>
      <c r="D510" s="36" t="s">
        <v>1226</v>
      </c>
      <c r="E510" s="36" t="s">
        <v>1226</v>
      </c>
      <c r="F510" s="154" t="s">
        <v>2663</v>
      </c>
      <c r="G510" s="36" t="s">
        <v>28</v>
      </c>
      <c r="H510" s="36" t="s">
        <v>1655</v>
      </c>
      <c r="I510" s="36" t="s">
        <v>1656</v>
      </c>
      <c r="J510" s="36" t="s">
        <v>1656</v>
      </c>
      <c r="K510" s="36" t="s">
        <v>1820</v>
      </c>
      <c r="L510" s="36" t="s">
        <v>2590</v>
      </c>
      <c r="M510" s="36" t="s">
        <v>2590</v>
      </c>
      <c r="N510" s="36" t="s">
        <v>32</v>
      </c>
    </row>
    <row r="511">
      <c r="A511" s="36" t="s">
        <v>2664</v>
      </c>
      <c r="B511" s="154" t="s">
        <v>2653</v>
      </c>
      <c r="C511" s="36" t="s">
        <v>1666</v>
      </c>
      <c r="D511" s="36" t="s">
        <v>1222</v>
      </c>
      <c r="E511" s="36" t="s">
        <v>1222</v>
      </c>
      <c r="F511" s="154" t="s">
        <v>2665</v>
      </c>
      <c r="G511" s="36" t="s">
        <v>32</v>
      </c>
      <c r="H511" s="36" t="s">
        <v>1655</v>
      </c>
      <c r="I511" s="36" t="s">
        <v>1656</v>
      </c>
      <c r="J511" s="36" t="s">
        <v>1656</v>
      </c>
      <c r="K511" s="36" t="s">
        <v>1823</v>
      </c>
      <c r="L511" s="36" t="s">
        <v>2590</v>
      </c>
      <c r="M511" s="36" t="s">
        <v>2590</v>
      </c>
      <c r="N511" s="36" t="s">
        <v>32</v>
      </c>
    </row>
    <row r="512">
      <c r="A512" s="36" t="s">
        <v>2666</v>
      </c>
      <c r="B512" s="154" t="s">
        <v>2653</v>
      </c>
      <c r="C512" s="36" t="s">
        <v>1666</v>
      </c>
      <c r="D512" s="36" t="s">
        <v>502</v>
      </c>
      <c r="E512" s="36" t="s">
        <v>502</v>
      </c>
      <c r="F512" s="154" t="s">
        <v>2667</v>
      </c>
      <c r="G512" s="36" t="s">
        <v>32</v>
      </c>
      <c r="H512" s="36" t="s">
        <v>1655</v>
      </c>
      <c r="I512" s="36" t="s">
        <v>1656</v>
      </c>
      <c r="J512" s="36" t="s">
        <v>1656</v>
      </c>
      <c r="K512" s="36" t="s">
        <v>1826</v>
      </c>
      <c r="L512" s="36" t="s">
        <v>2590</v>
      </c>
      <c r="M512" s="36" t="s">
        <v>2590</v>
      </c>
      <c r="N512" s="36" t="s">
        <v>32</v>
      </c>
    </row>
    <row r="513">
      <c r="A513" s="36" t="s">
        <v>2668</v>
      </c>
      <c r="B513" s="154" t="s">
        <v>2653</v>
      </c>
      <c r="C513" s="36" t="s">
        <v>1666</v>
      </c>
      <c r="D513" s="36" t="s">
        <v>505</v>
      </c>
      <c r="E513" s="36" t="s">
        <v>505</v>
      </c>
      <c r="F513" s="154" t="s">
        <v>2669</v>
      </c>
      <c r="G513" s="36" t="s">
        <v>34</v>
      </c>
      <c r="H513" s="36" t="s">
        <v>1655</v>
      </c>
      <c r="I513" s="36" t="s">
        <v>1656</v>
      </c>
      <c r="J513" s="36" t="s">
        <v>1656</v>
      </c>
      <c r="K513" s="36" t="s">
        <v>1830</v>
      </c>
      <c r="L513" s="36" t="s">
        <v>2590</v>
      </c>
      <c r="M513" s="36" t="s">
        <v>2590</v>
      </c>
      <c r="N513" s="36" t="s">
        <v>32</v>
      </c>
    </row>
    <row r="514">
      <c r="A514" s="36" t="s">
        <v>2670</v>
      </c>
      <c r="B514" s="154" t="s">
        <v>2653</v>
      </c>
      <c r="C514" s="36" t="s">
        <v>1666</v>
      </c>
      <c r="D514" s="36" t="s">
        <v>1486</v>
      </c>
      <c r="E514" s="36" t="s">
        <v>1486</v>
      </c>
      <c r="F514" s="154" t="s">
        <v>2671</v>
      </c>
      <c r="G514" s="36" t="s">
        <v>30</v>
      </c>
      <c r="H514" s="36" t="s">
        <v>1655</v>
      </c>
      <c r="I514" s="36" t="s">
        <v>1656</v>
      </c>
      <c r="J514" s="36" t="s">
        <v>1656</v>
      </c>
      <c r="K514" s="36" t="s">
        <v>1833</v>
      </c>
      <c r="L514" s="36" t="s">
        <v>2590</v>
      </c>
      <c r="M514" s="36" t="s">
        <v>2590</v>
      </c>
      <c r="N514" s="36" t="s">
        <v>32</v>
      </c>
    </row>
    <row r="515">
      <c r="A515" s="36" t="s">
        <v>2672</v>
      </c>
      <c r="B515" s="154" t="s">
        <v>2653</v>
      </c>
      <c r="C515" s="36" t="s">
        <v>1666</v>
      </c>
      <c r="D515" s="36" t="s">
        <v>511</v>
      </c>
      <c r="E515" s="36" t="s">
        <v>511</v>
      </c>
      <c r="F515" s="154" t="s">
        <v>2673</v>
      </c>
      <c r="G515" s="36" t="s">
        <v>28</v>
      </c>
      <c r="H515" s="36" t="s">
        <v>1655</v>
      </c>
      <c r="I515" s="36" t="s">
        <v>1656</v>
      </c>
      <c r="J515" s="36" t="s">
        <v>1656</v>
      </c>
      <c r="K515" s="36" t="s">
        <v>1836</v>
      </c>
      <c r="L515" s="36" t="s">
        <v>2590</v>
      </c>
      <c r="M515" s="36" t="s">
        <v>2590</v>
      </c>
      <c r="N515" s="36" t="s">
        <v>32</v>
      </c>
    </row>
    <row r="516">
      <c r="A516" s="36" t="s">
        <v>2674</v>
      </c>
      <c r="B516" s="154" t="s">
        <v>2653</v>
      </c>
      <c r="C516" s="36" t="s">
        <v>1666</v>
      </c>
      <c r="D516" s="36" t="s">
        <v>295</v>
      </c>
      <c r="E516" s="36" t="s">
        <v>295</v>
      </c>
      <c r="F516" s="154" t="s">
        <v>1929</v>
      </c>
      <c r="G516" s="36" t="s">
        <v>32</v>
      </c>
      <c r="H516" s="36" t="s">
        <v>1655</v>
      </c>
      <c r="I516" s="36" t="s">
        <v>1656</v>
      </c>
      <c r="J516" s="36" t="s">
        <v>1656</v>
      </c>
      <c r="K516" s="36" t="s">
        <v>1839</v>
      </c>
      <c r="L516" s="36" t="s">
        <v>2590</v>
      </c>
      <c r="M516" s="36" t="s">
        <v>2590</v>
      </c>
      <c r="N516" s="36" t="s">
        <v>32</v>
      </c>
    </row>
    <row r="517">
      <c r="A517" s="36" t="s">
        <v>2675</v>
      </c>
      <c r="B517" s="154" t="s">
        <v>2653</v>
      </c>
      <c r="C517" s="36" t="s">
        <v>1666</v>
      </c>
      <c r="D517" s="36" t="s">
        <v>313</v>
      </c>
      <c r="E517" s="36" t="s">
        <v>313</v>
      </c>
      <c r="F517" s="154" t="s">
        <v>2676</v>
      </c>
      <c r="G517" s="36" t="s">
        <v>32</v>
      </c>
      <c r="H517" s="36" t="s">
        <v>1655</v>
      </c>
      <c r="I517" s="36" t="s">
        <v>1656</v>
      </c>
      <c r="J517" s="36" t="s">
        <v>1656</v>
      </c>
      <c r="K517" s="36" t="s">
        <v>1842</v>
      </c>
      <c r="L517" s="36" t="s">
        <v>2590</v>
      </c>
      <c r="M517" s="36" t="s">
        <v>2590</v>
      </c>
      <c r="N517" s="36" t="s">
        <v>32</v>
      </c>
    </row>
    <row r="518">
      <c r="A518" s="36" t="s">
        <v>2677</v>
      </c>
      <c r="B518" s="154" t="s">
        <v>2653</v>
      </c>
      <c r="C518" s="36" t="s">
        <v>1666</v>
      </c>
      <c r="D518" s="36" t="s">
        <v>978</v>
      </c>
      <c r="E518" s="36" t="s">
        <v>978</v>
      </c>
      <c r="F518" s="154" t="s">
        <v>1683</v>
      </c>
      <c r="G518" s="36" t="s">
        <v>32</v>
      </c>
      <c r="H518" s="36" t="s">
        <v>1655</v>
      </c>
      <c r="I518" s="36" t="s">
        <v>1656</v>
      </c>
      <c r="J518" s="36" t="s">
        <v>1656</v>
      </c>
      <c r="K518" s="36" t="s">
        <v>1845</v>
      </c>
      <c r="L518" s="36" t="s">
        <v>2590</v>
      </c>
      <c r="M518" s="36" t="s">
        <v>2590</v>
      </c>
      <c r="N518" s="36" t="s">
        <v>32</v>
      </c>
    </row>
    <row r="519">
      <c r="A519" s="36" t="s">
        <v>2678</v>
      </c>
      <c r="B519" s="154" t="s">
        <v>2653</v>
      </c>
      <c r="C519" s="36" t="s">
        <v>1666</v>
      </c>
      <c r="D519" s="36" t="s">
        <v>1499</v>
      </c>
      <c r="E519" s="36" t="s">
        <v>1499</v>
      </c>
      <c r="F519" s="154" t="s">
        <v>1810</v>
      </c>
      <c r="G519" s="36" t="s">
        <v>28</v>
      </c>
      <c r="H519" s="36" t="s">
        <v>1655</v>
      </c>
      <c r="I519" s="36" t="s">
        <v>1656</v>
      </c>
      <c r="J519" s="36" t="s">
        <v>1656</v>
      </c>
      <c r="K519" s="36" t="s">
        <v>1848</v>
      </c>
      <c r="L519" s="36" t="s">
        <v>2590</v>
      </c>
      <c r="M519" s="36" t="s">
        <v>2590</v>
      </c>
      <c r="N519" s="36" t="s">
        <v>32</v>
      </c>
    </row>
    <row r="520">
      <c r="A520" s="36" t="s">
        <v>2679</v>
      </c>
      <c r="B520" s="154" t="s">
        <v>2680</v>
      </c>
      <c r="C520" s="36" t="s">
        <v>1666</v>
      </c>
      <c r="D520" s="36" t="s">
        <v>100</v>
      </c>
      <c r="E520" s="36" t="s">
        <v>100</v>
      </c>
      <c r="F520" s="154" t="s">
        <v>1768</v>
      </c>
      <c r="G520" s="36" t="s">
        <v>32</v>
      </c>
      <c r="H520" s="36" t="s">
        <v>1655</v>
      </c>
      <c r="I520" s="36" t="s">
        <v>1656</v>
      </c>
      <c r="J520" s="36" t="s">
        <v>1656</v>
      </c>
      <c r="K520" s="36" t="s">
        <v>1851</v>
      </c>
      <c r="L520" s="36" t="s">
        <v>2590</v>
      </c>
      <c r="M520" s="36" t="s">
        <v>2590</v>
      </c>
      <c r="N520" s="36" t="s">
        <v>32</v>
      </c>
    </row>
    <row r="521">
      <c r="A521" s="36" t="s">
        <v>2681</v>
      </c>
      <c r="B521" s="154" t="s">
        <v>2682</v>
      </c>
      <c r="C521" s="36" t="s">
        <v>1666</v>
      </c>
      <c r="D521" s="36" t="s">
        <v>78</v>
      </c>
      <c r="E521" s="36" t="s">
        <v>78</v>
      </c>
      <c r="F521" s="154" t="s">
        <v>1810</v>
      </c>
      <c r="G521" s="36" t="s">
        <v>28</v>
      </c>
      <c r="H521" s="36" t="s">
        <v>1655</v>
      </c>
      <c r="I521" s="36" t="s">
        <v>1656</v>
      </c>
      <c r="J521" s="36" t="s">
        <v>1656</v>
      </c>
      <c r="K521" s="36" t="s">
        <v>1811</v>
      </c>
      <c r="L521" s="36" t="s">
        <v>2590</v>
      </c>
      <c r="M521" s="36" t="s">
        <v>2590</v>
      </c>
      <c r="N521" s="36" t="s">
        <v>32</v>
      </c>
    </row>
    <row r="522">
      <c r="A522" s="36" t="s">
        <v>2683</v>
      </c>
      <c r="B522" s="154" t="s">
        <v>2684</v>
      </c>
      <c r="C522" s="36" t="s">
        <v>1666</v>
      </c>
      <c r="D522" s="36" t="s">
        <v>313</v>
      </c>
      <c r="E522" s="36" t="s">
        <v>313</v>
      </c>
      <c r="F522" s="154" t="s">
        <v>1806</v>
      </c>
      <c r="G522" s="36" t="s">
        <v>32</v>
      </c>
      <c r="H522" s="36" t="s">
        <v>1655</v>
      </c>
      <c r="I522" s="36" t="s">
        <v>1656</v>
      </c>
      <c r="J522" s="36" t="s">
        <v>1656</v>
      </c>
      <c r="K522" s="36" t="s">
        <v>1854</v>
      </c>
      <c r="L522" s="36" t="s">
        <v>2590</v>
      </c>
      <c r="M522" s="36" t="s">
        <v>2590</v>
      </c>
      <c r="N522" s="36" t="s">
        <v>32</v>
      </c>
    </row>
    <row r="523">
      <c r="A523" s="36" t="s">
        <v>2685</v>
      </c>
      <c r="B523" s="154" t="s">
        <v>2684</v>
      </c>
      <c r="C523" s="36" t="s">
        <v>1666</v>
      </c>
      <c r="D523" s="36" t="s">
        <v>1504</v>
      </c>
      <c r="E523" s="36" t="s">
        <v>1504</v>
      </c>
      <c r="F523" s="154" t="s">
        <v>2686</v>
      </c>
      <c r="G523" s="36" t="s">
        <v>30</v>
      </c>
      <c r="H523" s="36" t="s">
        <v>1655</v>
      </c>
      <c r="I523" s="36" t="s">
        <v>1656</v>
      </c>
      <c r="J523" s="36" t="s">
        <v>1656</v>
      </c>
      <c r="K523" s="36" t="s">
        <v>1857</v>
      </c>
      <c r="L523" s="36" t="s">
        <v>2590</v>
      </c>
      <c r="M523" s="36" t="s">
        <v>2590</v>
      </c>
      <c r="N523" s="36" t="s">
        <v>34</v>
      </c>
    </row>
    <row r="524">
      <c r="A524" s="36" t="s">
        <v>2687</v>
      </c>
      <c r="B524" s="154" t="s">
        <v>2684</v>
      </c>
      <c r="C524" s="36" t="s">
        <v>1666</v>
      </c>
      <c r="D524" s="36" t="s">
        <v>689</v>
      </c>
      <c r="E524" s="36" t="s">
        <v>689</v>
      </c>
      <c r="F524" s="154" t="s">
        <v>2688</v>
      </c>
      <c r="G524" s="36" t="s">
        <v>28</v>
      </c>
      <c r="H524" s="36" t="s">
        <v>1655</v>
      </c>
      <c r="I524" s="36" t="s">
        <v>1656</v>
      </c>
      <c r="J524" s="36" t="s">
        <v>1656</v>
      </c>
      <c r="K524" s="36" t="s">
        <v>1860</v>
      </c>
      <c r="L524" s="36" t="s">
        <v>2590</v>
      </c>
      <c r="M524" s="36" t="s">
        <v>2590</v>
      </c>
      <c r="N524" s="36" t="s">
        <v>34</v>
      </c>
    </row>
    <row r="525">
      <c r="A525" s="36" t="s">
        <v>2689</v>
      </c>
      <c r="B525" s="154" t="s">
        <v>2684</v>
      </c>
      <c r="C525" s="36" t="s">
        <v>1666</v>
      </c>
      <c r="D525" s="36" t="s">
        <v>209</v>
      </c>
      <c r="E525" s="36" t="s">
        <v>209</v>
      </c>
      <c r="F525" s="154" t="s">
        <v>2690</v>
      </c>
      <c r="G525" s="36" t="s">
        <v>28</v>
      </c>
      <c r="H525" s="36" t="s">
        <v>1655</v>
      </c>
      <c r="I525" s="36" t="s">
        <v>1656</v>
      </c>
      <c r="J525" s="36" t="s">
        <v>1656</v>
      </c>
      <c r="K525" s="36" t="s">
        <v>1863</v>
      </c>
      <c r="L525" s="36" t="s">
        <v>2590</v>
      </c>
      <c r="M525" s="36" t="s">
        <v>2590</v>
      </c>
      <c r="N525" s="36" t="s">
        <v>34</v>
      </c>
    </row>
    <row r="526">
      <c r="A526" s="36" t="s">
        <v>2691</v>
      </c>
      <c r="B526" s="154" t="s">
        <v>2692</v>
      </c>
      <c r="C526" s="36" t="s">
        <v>1666</v>
      </c>
      <c r="D526" s="36" t="s">
        <v>1509</v>
      </c>
      <c r="E526" s="36" t="s">
        <v>1509</v>
      </c>
      <c r="F526" s="154" t="s">
        <v>2693</v>
      </c>
      <c r="G526" s="36" t="s">
        <v>28</v>
      </c>
      <c r="H526" s="36" t="s">
        <v>1655</v>
      </c>
      <c r="I526" s="36" t="s">
        <v>1656</v>
      </c>
      <c r="J526" s="36" t="s">
        <v>1656</v>
      </c>
      <c r="K526" s="36" t="s">
        <v>1866</v>
      </c>
      <c r="L526" s="36" t="s">
        <v>2590</v>
      </c>
      <c r="M526" s="36" t="s">
        <v>2590</v>
      </c>
      <c r="N526" s="36" t="s">
        <v>32</v>
      </c>
    </row>
    <row r="527">
      <c r="A527" s="36" t="s">
        <v>2694</v>
      </c>
      <c r="B527" s="154" t="s">
        <v>2692</v>
      </c>
      <c r="C527" s="36" t="s">
        <v>1666</v>
      </c>
      <c r="D527" s="36" t="s">
        <v>1512</v>
      </c>
      <c r="E527" s="36" t="s">
        <v>1512</v>
      </c>
      <c r="F527" s="154" t="s">
        <v>2522</v>
      </c>
      <c r="G527" s="36" t="s">
        <v>28</v>
      </c>
      <c r="H527" s="36" t="s">
        <v>1655</v>
      </c>
      <c r="I527" s="36" t="s">
        <v>1656</v>
      </c>
      <c r="J527" s="36" t="s">
        <v>1656</v>
      </c>
      <c r="K527" s="36" t="s">
        <v>1869</v>
      </c>
      <c r="L527" s="36" t="s">
        <v>2590</v>
      </c>
      <c r="M527" s="36" t="s">
        <v>2590</v>
      </c>
      <c r="N527" s="36" t="s">
        <v>32</v>
      </c>
    </row>
    <row r="528">
      <c r="A528" s="36" t="s">
        <v>2695</v>
      </c>
      <c r="B528" s="154" t="s">
        <v>2692</v>
      </c>
      <c r="C528" s="36" t="s">
        <v>1666</v>
      </c>
      <c r="D528" s="36" t="s">
        <v>1162</v>
      </c>
      <c r="E528" s="36" t="s">
        <v>1162</v>
      </c>
      <c r="F528" s="154" t="s">
        <v>2690</v>
      </c>
      <c r="G528" s="36" t="s">
        <v>28</v>
      </c>
      <c r="H528" s="36" t="s">
        <v>1655</v>
      </c>
      <c r="I528" s="36" t="s">
        <v>1656</v>
      </c>
      <c r="J528" s="36" t="s">
        <v>1656</v>
      </c>
      <c r="K528" s="36" t="s">
        <v>1872</v>
      </c>
      <c r="L528" s="36" t="s">
        <v>2590</v>
      </c>
      <c r="M528" s="36" t="s">
        <v>2590</v>
      </c>
      <c r="N528" s="36" t="s">
        <v>32</v>
      </c>
    </row>
    <row r="529">
      <c r="A529" s="36" t="s">
        <v>2696</v>
      </c>
      <c r="B529" s="154" t="s">
        <v>2692</v>
      </c>
      <c r="C529" s="36" t="s">
        <v>1666</v>
      </c>
      <c r="D529" s="36" t="s">
        <v>1517</v>
      </c>
      <c r="E529" s="36" t="s">
        <v>1517</v>
      </c>
      <c r="F529" s="154" t="s">
        <v>2697</v>
      </c>
      <c r="G529" s="36" t="s">
        <v>28</v>
      </c>
      <c r="H529" s="36" t="s">
        <v>1655</v>
      </c>
      <c r="I529" s="36" t="s">
        <v>1656</v>
      </c>
      <c r="J529" s="36" t="s">
        <v>1656</v>
      </c>
      <c r="K529" s="36" t="s">
        <v>1875</v>
      </c>
      <c r="L529" s="36" t="s">
        <v>2590</v>
      </c>
      <c r="M529" s="36" t="s">
        <v>2590</v>
      </c>
      <c r="N529" s="36" t="s">
        <v>32</v>
      </c>
    </row>
    <row r="530">
      <c r="A530" s="36" t="s">
        <v>2698</v>
      </c>
      <c r="B530" s="154" t="s">
        <v>2699</v>
      </c>
      <c r="C530" s="36" t="s">
        <v>1666</v>
      </c>
      <c r="D530" s="36" t="s">
        <v>1519</v>
      </c>
      <c r="E530" s="36" t="s">
        <v>1519</v>
      </c>
      <c r="F530" s="154" t="s">
        <v>2025</v>
      </c>
      <c r="G530" s="36" t="s">
        <v>32</v>
      </c>
      <c r="H530" s="36" t="s">
        <v>1655</v>
      </c>
      <c r="I530" s="36" t="s">
        <v>1656</v>
      </c>
      <c r="J530" s="36" t="s">
        <v>1656</v>
      </c>
      <c r="K530" s="36" t="s">
        <v>1878</v>
      </c>
      <c r="L530" s="36" t="s">
        <v>2590</v>
      </c>
      <c r="M530" s="36" t="s">
        <v>2590</v>
      </c>
      <c r="N530" s="36" t="s">
        <v>32</v>
      </c>
    </row>
    <row r="531">
      <c r="A531" s="36" t="s">
        <v>2700</v>
      </c>
      <c r="B531" s="154" t="s">
        <v>2701</v>
      </c>
      <c r="C531" s="36" t="s">
        <v>1666</v>
      </c>
      <c r="D531" s="36" t="s">
        <v>1520</v>
      </c>
      <c r="E531" s="36" t="s">
        <v>1520</v>
      </c>
      <c r="F531" s="154" t="s">
        <v>2025</v>
      </c>
      <c r="G531" s="36" t="s">
        <v>32</v>
      </c>
      <c r="H531" s="36" t="s">
        <v>1655</v>
      </c>
      <c r="I531" s="36" t="s">
        <v>1656</v>
      </c>
      <c r="J531" s="36" t="s">
        <v>1656</v>
      </c>
      <c r="K531" s="36" t="s">
        <v>1881</v>
      </c>
      <c r="L531" s="36" t="s">
        <v>2590</v>
      </c>
      <c r="M531" s="36" t="s">
        <v>2590</v>
      </c>
      <c r="N531" s="36" t="s">
        <v>32</v>
      </c>
    </row>
    <row r="532">
      <c r="A532" s="36" t="s">
        <v>2702</v>
      </c>
      <c r="B532" s="154" t="s">
        <v>2701</v>
      </c>
      <c r="C532" s="36" t="s">
        <v>1666</v>
      </c>
      <c r="D532" s="36" t="s">
        <v>1523</v>
      </c>
      <c r="E532" s="36" t="s">
        <v>1523</v>
      </c>
      <c r="F532" s="154" t="s">
        <v>1806</v>
      </c>
      <c r="G532" s="36" t="s">
        <v>32</v>
      </c>
      <c r="H532" s="36" t="s">
        <v>1655</v>
      </c>
      <c r="I532" s="36" t="s">
        <v>1656</v>
      </c>
      <c r="J532" s="36" t="s">
        <v>1656</v>
      </c>
      <c r="K532" s="36" t="s">
        <v>1884</v>
      </c>
      <c r="L532" s="36" t="s">
        <v>2590</v>
      </c>
      <c r="M532" s="36" t="s">
        <v>2590</v>
      </c>
      <c r="N532" s="36" t="s">
        <v>32</v>
      </c>
    </row>
    <row r="533">
      <c r="A533" s="36" t="s">
        <v>2703</v>
      </c>
      <c r="B533" s="154" t="s">
        <v>2701</v>
      </c>
      <c r="C533" s="36" t="s">
        <v>1666</v>
      </c>
      <c r="D533" s="36" t="s">
        <v>209</v>
      </c>
      <c r="E533" s="36" t="s">
        <v>209</v>
      </c>
      <c r="F533" s="154" t="s">
        <v>2704</v>
      </c>
      <c r="G533" s="36" t="s">
        <v>28</v>
      </c>
      <c r="H533" s="36" t="s">
        <v>1655</v>
      </c>
      <c r="I533" s="36" t="s">
        <v>1656</v>
      </c>
      <c r="J533" s="36" t="s">
        <v>1656</v>
      </c>
      <c r="K533" s="36" t="s">
        <v>1887</v>
      </c>
      <c r="L533" s="36" t="s">
        <v>2590</v>
      </c>
      <c r="M533" s="36" t="s">
        <v>2590</v>
      </c>
      <c r="N533" s="36" t="s">
        <v>32</v>
      </c>
    </row>
    <row r="534">
      <c r="A534" s="36" t="s">
        <v>2705</v>
      </c>
      <c r="B534" s="154" t="s">
        <v>2706</v>
      </c>
      <c r="C534" s="36" t="s">
        <v>1666</v>
      </c>
      <c r="D534" s="36" t="s">
        <v>1526</v>
      </c>
      <c r="E534" s="36" t="s">
        <v>1526</v>
      </c>
      <c r="F534" s="154" t="s">
        <v>1723</v>
      </c>
      <c r="G534" s="36" t="s">
        <v>28</v>
      </c>
      <c r="H534" s="36" t="s">
        <v>1655</v>
      </c>
      <c r="I534" s="36" t="s">
        <v>1656</v>
      </c>
      <c r="J534" s="36" t="s">
        <v>1656</v>
      </c>
      <c r="K534" s="36" t="s">
        <v>1894</v>
      </c>
      <c r="L534" s="36" t="s">
        <v>2590</v>
      </c>
      <c r="M534" s="36" t="s">
        <v>2590</v>
      </c>
      <c r="N534" s="36" t="s">
        <v>34</v>
      </c>
    </row>
    <row r="535">
      <c r="A535" s="36" t="s">
        <v>2707</v>
      </c>
      <c r="B535" s="154" t="s">
        <v>2706</v>
      </c>
      <c r="C535" s="36" t="s">
        <v>1666</v>
      </c>
      <c r="D535" s="36" t="s">
        <v>533</v>
      </c>
      <c r="E535" s="36" t="s">
        <v>533</v>
      </c>
      <c r="F535" s="154" t="s">
        <v>2708</v>
      </c>
      <c r="G535" s="36" t="s">
        <v>28</v>
      </c>
      <c r="H535" s="36" t="s">
        <v>1655</v>
      </c>
      <c r="I535" s="36" t="s">
        <v>1656</v>
      </c>
      <c r="J535" s="36" t="s">
        <v>1656</v>
      </c>
      <c r="K535" s="36" t="s">
        <v>1897</v>
      </c>
      <c r="L535" s="36" t="s">
        <v>2590</v>
      </c>
      <c r="M535" s="36" t="s">
        <v>2590</v>
      </c>
      <c r="N535" s="36" t="s">
        <v>34</v>
      </c>
    </row>
    <row r="536">
      <c r="A536" s="36" t="s">
        <v>2709</v>
      </c>
      <c r="B536" s="154" t="s">
        <v>2706</v>
      </c>
      <c r="C536" s="36" t="s">
        <v>1666</v>
      </c>
      <c r="D536" s="36" t="s">
        <v>1533</v>
      </c>
      <c r="E536" s="36" t="s">
        <v>1533</v>
      </c>
      <c r="F536" s="154" t="s">
        <v>1816</v>
      </c>
      <c r="G536" s="36" t="s">
        <v>28</v>
      </c>
      <c r="H536" s="36" t="s">
        <v>1655</v>
      </c>
      <c r="I536" s="36" t="s">
        <v>1656</v>
      </c>
      <c r="J536" s="36" t="s">
        <v>1656</v>
      </c>
      <c r="K536" s="36" t="s">
        <v>1900</v>
      </c>
      <c r="L536" s="36" t="s">
        <v>2590</v>
      </c>
      <c r="M536" s="36" t="s">
        <v>2590</v>
      </c>
      <c r="N536" s="36" t="s">
        <v>34</v>
      </c>
    </row>
    <row r="537">
      <c r="A537" s="36" t="s">
        <v>2710</v>
      </c>
      <c r="B537" s="154" t="s">
        <v>2706</v>
      </c>
      <c r="C537" s="36" t="s">
        <v>1666</v>
      </c>
      <c r="D537" s="36" t="s">
        <v>1538</v>
      </c>
      <c r="E537" s="36" t="s">
        <v>1538</v>
      </c>
      <c r="F537" s="154" t="s">
        <v>2085</v>
      </c>
      <c r="G537" s="36" t="s">
        <v>28</v>
      </c>
      <c r="H537" s="36" t="s">
        <v>1655</v>
      </c>
      <c r="I537" s="36" t="s">
        <v>1656</v>
      </c>
      <c r="J537" s="36" t="s">
        <v>1656</v>
      </c>
      <c r="K537" s="36" t="s">
        <v>1903</v>
      </c>
      <c r="L537" s="36" t="s">
        <v>2590</v>
      </c>
      <c r="M537" s="36" t="s">
        <v>2590</v>
      </c>
      <c r="N537" s="36" t="s">
        <v>34</v>
      </c>
    </row>
    <row r="538">
      <c r="A538" s="36" t="s">
        <v>2711</v>
      </c>
      <c r="B538" s="154" t="s">
        <v>2712</v>
      </c>
      <c r="C538" s="36" t="s">
        <v>1666</v>
      </c>
      <c r="D538" s="36" t="s">
        <v>1544</v>
      </c>
      <c r="E538" s="36" t="s">
        <v>1544</v>
      </c>
      <c r="F538" s="154" t="s">
        <v>1806</v>
      </c>
      <c r="G538" s="36" t="s">
        <v>32</v>
      </c>
      <c r="H538" s="36" t="s">
        <v>1655</v>
      </c>
      <c r="I538" s="36" t="s">
        <v>1656</v>
      </c>
      <c r="J538" s="36" t="s">
        <v>1656</v>
      </c>
      <c r="K538" s="36" t="s">
        <v>1906</v>
      </c>
      <c r="L538" s="36" t="s">
        <v>2590</v>
      </c>
      <c r="M538" s="36" t="s">
        <v>2590</v>
      </c>
      <c r="N538" s="36" t="s">
        <v>32</v>
      </c>
    </row>
    <row r="539">
      <c r="A539" s="36" t="s">
        <v>2713</v>
      </c>
      <c r="B539" s="154" t="s">
        <v>2712</v>
      </c>
      <c r="C539" s="36" t="s">
        <v>1666</v>
      </c>
      <c r="D539" s="36" t="s">
        <v>2714</v>
      </c>
      <c r="E539" s="36" t="s">
        <v>2714</v>
      </c>
      <c r="F539" s="154" t="s">
        <v>2136</v>
      </c>
      <c r="G539" s="36" t="s">
        <v>30</v>
      </c>
      <c r="H539" s="36" t="s">
        <v>1655</v>
      </c>
      <c r="I539" s="36" t="s">
        <v>1656</v>
      </c>
      <c r="J539" s="36" t="s">
        <v>1656</v>
      </c>
      <c r="K539" s="36" t="s">
        <v>1909</v>
      </c>
      <c r="L539" s="36" t="s">
        <v>2590</v>
      </c>
      <c r="M539" s="36" t="s">
        <v>2590</v>
      </c>
      <c r="N539" s="36" t="s">
        <v>32</v>
      </c>
    </row>
    <row r="540">
      <c r="A540" s="36" t="s">
        <v>2715</v>
      </c>
      <c r="B540" s="154" t="s">
        <v>2716</v>
      </c>
      <c r="C540" s="36" t="s">
        <v>1666</v>
      </c>
      <c r="D540" s="36" t="s">
        <v>124</v>
      </c>
      <c r="E540" s="36" t="s">
        <v>124</v>
      </c>
      <c r="F540" s="154" t="s">
        <v>1694</v>
      </c>
      <c r="G540" s="36" t="s">
        <v>28</v>
      </c>
      <c r="H540" s="36" t="s">
        <v>1655</v>
      </c>
      <c r="I540" s="36" t="s">
        <v>1656</v>
      </c>
      <c r="J540" s="36" t="s">
        <v>1656</v>
      </c>
      <c r="K540" s="36" t="s">
        <v>1912</v>
      </c>
      <c r="L540" s="36" t="s">
        <v>2590</v>
      </c>
      <c r="M540" s="36" t="s">
        <v>2590</v>
      </c>
      <c r="N540" s="36" t="s">
        <v>32</v>
      </c>
    </row>
    <row r="541">
      <c r="A541" s="36" t="s">
        <v>2717</v>
      </c>
      <c r="B541" s="154" t="s">
        <v>2718</v>
      </c>
      <c r="C541" s="36" t="s">
        <v>1666</v>
      </c>
      <c r="D541" s="36" t="s">
        <v>1549</v>
      </c>
      <c r="E541" s="36" t="s">
        <v>1549</v>
      </c>
      <c r="F541" s="154" t="s">
        <v>2719</v>
      </c>
      <c r="G541" s="36" t="s">
        <v>28</v>
      </c>
      <c r="H541" s="36" t="s">
        <v>1655</v>
      </c>
      <c r="I541" s="36" t="s">
        <v>1656</v>
      </c>
      <c r="J541" s="36" t="s">
        <v>1656</v>
      </c>
      <c r="K541" s="36" t="s">
        <v>1914</v>
      </c>
      <c r="L541" s="36" t="s">
        <v>2590</v>
      </c>
      <c r="M541" s="36" t="s">
        <v>2590</v>
      </c>
      <c r="N541" s="36" t="s">
        <v>32</v>
      </c>
    </row>
    <row r="542">
      <c r="A542" s="36" t="s">
        <v>2720</v>
      </c>
      <c r="B542" s="154" t="s">
        <v>2718</v>
      </c>
      <c r="C542" s="36" t="s">
        <v>1666</v>
      </c>
      <c r="D542" s="36" t="s">
        <v>1551</v>
      </c>
      <c r="E542" s="36" t="s">
        <v>1551</v>
      </c>
      <c r="F542" s="154" t="s">
        <v>2006</v>
      </c>
      <c r="G542" s="36" t="s">
        <v>28</v>
      </c>
      <c r="H542" s="36" t="s">
        <v>1655</v>
      </c>
      <c r="I542" s="36" t="s">
        <v>1656</v>
      </c>
      <c r="J542" s="36" t="s">
        <v>1656</v>
      </c>
      <c r="K542" s="36" t="s">
        <v>1917</v>
      </c>
      <c r="L542" s="36" t="s">
        <v>2590</v>
      </c>
      <c r="M542" s="36" t="s">
        <v>2590</v>
      </c>
      <c r="N542" s="36" t="s">
        <v>32</v>
      </c>
    </row>
    <row r="543">
      <c r="A543" s="36" t="s">
        <v>2721</v>
      </c>
      <c r="B543" s="154" t="s">
        <v>2718</v>
      </c>
      <c r="C543" s="36" t="s">
        <v>1666</v>
      </c>
      <c r="D543" s="36" t="s">
        <v>1555</v>
      </c>
      <c r="E543" s="36" t="s">
        <v>1555</v>
      </c>
      <c r="F543" s="154" t="s">
        <v>1816</v>
      </c>
      <c r="G543" s="36" t="s">
        <v>32</v>
      </c>
      <c r="H543" s="36" t="s">
        <v>1655</v>
      </c>
      <c r="I543" s="36" t="s">
        <v>1656</v>
      </c>
      <c r="J543" s="36" t="s">
        <v>1656</v>
      </c>
      <c r="K543" s="36" t="s">
        <v>1927</v>
      </c>
      <c r="L543" s="36" t="s">
        <v>2590</v>
      </c>
      <c r="M543" s="36" t="s">
        <v>2590</v>
      </c>
      <c r="N543" s="36" t="s">
        <v>32</v>
      </c>
    </row>
    <row r="544">
      <c r="A544" s="36" t="s">
        <v>2722</v>
      </c>
      <c r="B544" s="154" t="s">
        <v>2718</v>
      </c>
      <c r="C544" s="36" t="s">
        <v>1666</v>
      </c>
      <c r="D544" s="36" t="s">
        <v>533</v>
      </c>
      <c r="E544" s="36" t="s">
        <v>533</v>
      </c>
      <c r="F544" s="154" t="s">
        <v>2049</v>
      </c>
      <c r="G544" s="36" t="s">
        <v>28</v>
      </c>
      <c r="H544" s="36" t="s">
        <v>1655</v>
      </c>
      <c r="I544" s="36" t="s">
        <v>1656</v>
      </c>
      <c r="J544" s="36" t="s">
        <v>1656</v>
      </c>
      <c r="K544" s="36" t="s">
        <v>1930</v>
      </c>
      <c r="L544" s="36" t="s">
        <v>2590</v>
      </c>
      <c r="M544" s="36" t="s">
        <v>2590</v>
      </c>
      <c r="N544" s="36" t="s">
        <v>34</v>
      </c>
    </row>
    <row r="545">
      <c r="A545" s="36" t="s">
        <v>2723</v>
      </c>
      <c r="B545" s="154" t="s">
        <v>2718</v>
      </c>
      <c r="C545" s="36" t="s">
        <v>1666</v>
      </c>
      <c r="D545" s="36" t="s">
        <v>1557</v>
      </c>
      <c r="E545" s="36" t="s">
        <v>1557</v>
      </c>
      <c r="F545" s="154" t="s">
        <v>2724</v>
      </c>
      <c r="G545" s="36" t="s">
        <v>28</v>
      </c>
      <c r="H545" s="36" t="s">
        <v>1655</v>
      </c>
      <c r="I545" s="36" t="s">
        <v>1656</v>
      </c>
      <c r="J545" s="36" t="s">
        <v>1656</v>
      </c>
      <c r="K545" s="36" t="s">
        <v>1933</v>
      </c>
      <c r="L545" s="36" t="s">
        <v>2590</v>
      </c>
      <c r="M545" s="36" t="s">
        <v>2590</v>
      </c>
      <c r="N545" s="36" t="s">
        <v>34</v>
      </c>
    </row>
    <row r="546">
      <c r="A546" s="36" t="s">
        <v>2725</v>
      </c>
      <c r="B546" s="154" t="s">
        <v>2718</v>
      </c>
      <c r="C546" s="36" t="s">
        <v>1666</v>
      </c>
      <c r="D546" s="36" t="s">
        <v>1559</v>
      </c>
      <c r="E546" s="36" t="s">
        <v>1559</v>
      </c>
      <c r="F546" s="154" t="s">
        <v>1859</v>
      </c>
      <c r="G546" s="36" t="s">
        <v>30</v>
      </c>
      <c r="H546" s="36" t="s">
        <v>1655</v>
      </c>
      <c r="I546" s="36" t="s">
        <v>1656</v>
      </c>
      <c r="J546" s="36" t="s">
        <v>1656</v>
      </c>
      <c r="K546" s="36" t="s">
        <v>1936</v>
      </c>
      <c r="L546" s="36" t="s">
        <v>2590</v>
      </c>
      <c r="M546" s="36" t="s">
        <v>2590</v>
      </c>
      <c r="N546" s="36" t="s">
        <v>34</v>
      </c>
    </row>
    <row r="547">
      <c r="A547" s="36" t="s">
        <v>2726</v>
      </c>
      <c r="B547" s="154" t="s">
        <v>2718</v>
      </c>
      <c r="C547" s="36" t="s">
        <v>1666</v>
      </c>
      <c r="D547" s="36" t="s">
        <v>1562</v>
      </c>
      <c r="E547" s="36" t="s">
        <v>1562</v>
      </c>
      <c r="F547" s="154" t="s">
        <v>2693</v>
      </c>
      <c r="G547" s="36" t="s">
        <v>28</v>
      </c>
      <c r="H547" s="36" t="s">
        <v>1655</v>
      </c>
      <c r="I547" s="36" t="s">
        <v>1656</v>
      </c>
      <c r="J547" s="36" t="s">
        <v>1656</v>
      </c>
      <c r="K547" s="36" t="s">
        <v>1938</v>
      </c>
      <c r="L547" s="36" t="s">
        <v>2590</v>
      </c>
      <c r="M547" s="36" t="s">
        <v>2590</v>
      </c>
      <c r="N547" s="36" t="s">
        <v>34</v>
      </c>
    </row>
    <row r="548">
      <c r="A548" s="36" t="s">
        <v>2727</v>
      </c>
      <c r="B548" s="154" t="s">
        <v>2718</v>
      </c>
      <c r="C548" s="36" t="s">
        <v>1666</v>
      </c>
      <c r="D548" s="36" t="s">
        <v>209</v>
      </c>
      <c r="E548" s="36" t="s">
        <v>209</v>
      </c>
      <c r="F548" s="154" t="s">
        <v>2728</v>
      </c>
      <c r="G548" s="36" t="s">
        <v>28</v>
      </c>
      <c r="H548" s="36" t="s">
        <v>1655</v>
      </c>
      <c r="I548" s="36" t="s">
        <v>1656</v>
      </c>
      <c r="J548" s="36" t="s">
        <v>1656</v>
      </c>
      <c r="K548" s="36" t="s">
        <v>1940</v>
      </c>
      <c r="L548" s="36" t="s">
        <v>2590</v>
      </c>
      <c r="M548" s="36" t="s">
        <v>2590</v>
      </c>
      <c r="N548" s="36" t="s">
        <v>34</v>
      </c>
    </row>
    <row r="549">
      <c r="A549" s="36" t="s">
        <v>2729</v>
      </c>
      <c r="B549" s="154" t="s">
        <v>2718</v>
      </c>
      <c r="C549" s="36" t="s">
        <v>1666</v>
      </c>
      <c r="D549" s="36" t="s">
        <v>1564</v>
      </c>
      <c r="E549" s="36" t="s">
        <v>1564</v>
      </c>
      <c r="F549" s="154" t="s">
        <v>2730</v>
      </c>
      <c r="G549" s="36" t="s">
        <v>28</v>
      </c>
      <c r="H549" s="36" t="s">
        <v>1655</v>
      </c>
      <c r="I549" s="36" t="s">
        <v>1656</v>
      </c>
      <c r="J549" s="36" t="s">
        <v>1656</v>
      </c>
      <c r="K549" s="36" t="s">
        <v>2113</v>
      </c>
      <c r="L549" s="36" t="s">
        <v>2590</v>
      </c>
      <c r="M549" s="36" t="s">
        <v>2590</v>
      </c>
      <c r="N549" s="36" t="s">
        <v>32</v>
      </c>
    </row>
    <row r="550">
      <c r="A550" s="36" t="s">
        <v>2731</v>
      </c>
      <c r="B550" s="154" t="s">
        <v>2732</v>
      </c>
      <c r="C550" s="36" t="s">
        <v>1666</v>
      </c>
      <c r="D550" s="36" t="s">
        <v>714</v>
      </c>
      <c r="E550" s="36" t="s">
        <v>714</v>
      </c>
      <c r="F550" s="154" t="s">
        <v>2508</v>
      </c>
      <c r="G550" s="36" t="s">
        <v>32</v>
      </c>
      <c r="H550" s="36" t="s">
        <v>1655</v>
      </c>
      <c r="I550" s="36" t="s">
        <v>1656</v>
      </c>
      <c r="J550" s="36" t="s">
        <v>1656</v>
      </c>
      <c r="K550" s="36" t="s">
        <v>1891</v>
      </c>
      <c r="L550" s="36" t="s">
        <v>2590</v>
      </c>
      <c r="M550" s="36" t="s">
        <v>2590</v>
      </c>
      <c r="N550" s="36" t="s">
        <v>32</v>
      </c>
    </row>
    <row r="551">
      <c r="A551" s="36" t="s">
        <v>2733</v>
      </c>
      <c r="B551" s="154" t="s">
        <v>2734</v>
      </c>
      <c r="C551" s="36" t="s">
        <v>1666</v>
      </c>
      <c r="D551" s="36" t="s">
        <v>232</v>
      </c>
      <c r="E551" s="36" t="s">
        <v>232</v>
      </c>
      <c r="F551" s="154" t="s">
        <v>2163</v>
      </c>
      <c r="G551" s="36" t="s">
        <v>28</v>
      </c>
      <c r="H551" s="36" t="s">
        <v>1655</v>
      </c>
      <c r="I551" s="36" t="s">
        <v>1656</v>
      </c>
      <c r="J551" s="36" t="s">
        <v>1656</v>
      </c>
      <c r="K551" s="36" t="s">
        <v>2115</v>
      </c>
      <c r="L551" s="36" t="s">
        <v>2590</v>
      </c>
      <c r="M551" s="36" t="s">
        <v>2590</v>
      </c>
      <c r="N551" s="36" t="s">
        <v>32</v>
      </c>
    </row>
    <row r="552">
      <c r="A552" s="36" t="s">
        <v>2735</v>
      </c>
      <c r="B552" s="154" t="s">
        <v>2734</v>
      </c>
      <c r="C552" s="36" t="s">
        <v>1666</v>
      </c>
      <c r="D552" s="36" t="s">
        <v>1567</v>
      </c>
      <c r="E552" s="36" t="s">
        <v>1567</v>
      </c>
      <c r="F552" s="154" t="s">
        <v>2736</v>
      </c>
      <c r="G552" s="36" t="s">
        <v>28</v>
      </c>
      <c r="H552" s="36" t="s">
        <v>1655</v>
      </c>
      <c r="I552" s="36" t="s">
        <v>1656</v>
      </c>
      <c r="J552" s="36" t="s">
        <v>1656</v>
      </c>
      <c r="K552" s="36" t="s">
        <v>2118</v>
      </c>
      <c r="L552" s="36" t="s">
        <v>2590</v>
      </c>
      <c r="M552" s="36" t="s">
        <v>2590</v>
      </c>
      <c r="N552" s="36" t="s">
        <v>32</v>
      </c>
    </row>
    <row r="553">
      <c r="A553" s="36" t="s">
        <v>2737</v>
      </c>
      <c r="B553" s="154" t="s">
        <v>2734</v>
      </c>
      <c r="C553" s="36" t="s">
        <v>1666</v>
      </c>
      <c r="D553" s="36" t="s">
        <v>214</v>
      </c>
      <c r="E553" s="36" t="s">
        <v>214</v>
      </c>
      <c r="F553" s="154" t="s">
        <v>1859</v>
      </c>
      <c r="G553" s="36" t="s">
        <v>28</v>
      </c>
      <c r="H553" s="36" t="s">
        <v>1655</v>
      </c>
      <c r="I553" s="36" t="s">
        <v>1656</v>
      </c>
      <c r="J553" s="36" t="s">
        <v>1656</v>
      </c>
      <c r="K553" s="36" t="s">
        <v>2121</v>
      </c>
      <c r="L553" s="36" t="s">
        <v>2590</v>
      </c>
      <c r="M553" s="36" t="s">
        <v>2590</v>
      </c>
      <c r="N553" s="36" t="s">
        <v>32</v>
      </c>
    </row>
    <row r="554">
      <c r="A554" s="36" t="s">
        <v>2738</v>
      </c>
      <c r="B554" s="154" t="s">
        <v>2739</v>
      </c>
      <c r="C554" s="36" t="s">
        <v>1666</v>
      </c>
      <c r="D554" s="36" t="s">
        <v>966</v>
      </c>
      <c r="E554" s="36" t="s">
        <v>966</v>
      </c>
      <c r="F554" s="154" t="s">
        <v>2740</v>
      </c>
      <c r="G554" s="36" t="s">
        <v>32</v>
      </c>
      <c r="H554" s="36" t="s">
        <v>1655</v>
      </c>
      <c r="I554" s="36" t="s">
        <v>1656</v>
      </c>
      <c r="J554" s="36" t="s">
        <v>1656</v>
      </c>
      <c r="K554" s="36" t="s">
        <v>2741</v>
      </c>
      <c r="L554" s="36" t="s">
        <v>2590</v>
      </c>
      <c r="M554" s="36" t="s">
        <v>2590</v>
      </c>
      <c r="N554" s="36" t="s">
        <v>32</v>
      </c>
    </row>
    <row r="555">
      <c r="A555" s="36" t="s">
        <v>2742</v>
      </c>
      <c r="B555" s="154" t="s">
        <v>2739</v>
      </c>
      <c r="C555" s="36" t="s">
        <v>1666</v>
      </c>
      <c r="D555" s="36" t="s">
        <v>124</v>
      </c>
      <c r="E555" s="36" t="s">
        <v>124</v>
      </c>
      <c r="F555" s="154" t="s">
        <v>2743</v>
      </c>
      <c r="G555" s="36" t="s">
        <v>28</v>
      </c>
      <c r="H555" s="36" t="s">
        <v>1655</v>
      </c>
      <c r="I555" s="36" t="s">
        <v>1656</v>
      </c>
      <c r="J555" s="36" t="s">
        <v>1656</v>
      </c>
      <c r="K555" s="36" t="s">
        <v>2744</v>
      </c>
      <c r="L555" s="36" t="s">
        <v>2590</v>
      </c>
      <c r="M555" s="36" t="s">
        <v>2590</v>
      </c>
      <c r="N555" s="36" t="s">
        <v>32</v>
      </c>
    </row>
    <row r="556">
      <c r="A556" s="36" t="s">
        <v>2745</v>
      </c>
      <c r="B556" s="154" t="s">
        <v>2739</v>
      </c>
      <c r="C556" s="36" t="s">
        <v>1666</v>
      </c>
      <c r="D556" s="36" t="s">
        <v>299</v>
      </c>
      <c r="E556" s="36" t="s">
        <v>299</v>
      </c>
      <c r="F556" s="154" t="s">
        <v>2508</v>
      </c>
      <c r="G556" s="36" t="s">
        <v>28</v>
      </c>
      <c r="H556" s="36" t="s">
        <v>1655</v>
      </c>
      <c r="I556" s="36" t="s">
        <v>1656</v>
      </c>
      <c r="J556" s="36" t="s">
        <v>1656</v>
      </c>
      <c r="K556" s="36" t="s">
        <v>2746</v>
      </c>
      <c r="L556" s="36" t="s">
        <v>2590</v>
      </c>
      <c r="M556" s="36" t="s">
        <v>2590</v>
      </c>
      <c r="N556" s="36" t="s">
        <v>32</v>
      </c>
    </row>
    <row r="557">
      <c r="A557" s="36" t="s">
        <v>2747</v>
      </c>
      <c r="B557" s="154" t="s">
        <v>2739</v>
      </c>
      <c r="C557" s="36" t="s">
        <v>1666</v>
      </c>
      <c r="D557" s="36" t="s">
        <v>1568</v>
      </c>
      <c r="E557" s="36" t="s">
        <v>1568</v>
      </c>
      <c r="F557" s="154" t="s">
        <v>2027</v>
      </c>
      <c r="G557" s="36" t="s">
        <v>32</v>
      </c>
      <c r="H557" s="36" t="s">
        <v>1655</v>
      </c>
      <c r="I557" s="36" t="s">
        <v>1656</v>
      </c>
      <c r="J557" s="36" t="s">
        <v>1656</v>
      </c>
      <c r="K557" s="36" t="s">
        <v>2748</v>
      </c>
      <c r="L557" s="36" t="s">
        <v>2590</v>
      </c>
      <c r="M557" s="36" t="s">
        <v>2590</v>
      </c>
      <c r="N557" s="36" t="s">
        <v>32</v>
      </c>
    </row>
    <row r="558">
      <c r="A558" s="36" t="s">
        <v>2749</v>
      </c>
      <c r="B558" s="154" t="s">
        <v>2739</v>
      </c>
      <c r="C558" s="36" t="s">
        <v>1666</v>
      </c>
      <c r="D558" s="36" t="s">
        <v>218</v>
      </c>
      <c r="E558" s="36" t="s">
        <v>218</v>
      </c>
      <c r="F558" s="154" t="s">
        <v>1768</v>
      </c>
      <c r="G558" s="36" t="s">
        <v>32</v>
      </c>
      <c r="H558" s="36" t="s">
        <v>1655</v>
      </c>
      <c r="I558" s="36" t="s">
        <v>1656</v>
      </c>
      <c r="J558" s="36" t="s">
        <v>1656</v>
      </c>
      <c r="K558" s="36" t="s">
        <v>2750</v>
      </c>
      <c r="L558" s="36" t="s">
        <v>2590</v>
      </c>
      <c r="M558" s="36" t="s">
        <v>2590</v>
      </c>
      <c r="N558" s="36" t="s">
        <v>32</v>
      </c>
    </row>
    <row r="559">
      <c r="A559" s="36" t="s">
        <v>2751</v>
      </c>
      <c r="B559" s="154" t="s">
        <v>2739</v>
      </c>
      <c r="C559" s="36" t="s">
        <v>1666</v>
      </c>
      <c r="D559" s="36" t="s">
        <v>1347</v>
      </c>
      <c r="E559" s="36" t="s">
        <v>1347</v>
      </c>
      <c r="F559" s="154" t="s">
        <v>2094</v>
      </c>
      <c r="G559" s="36" t="s">
        <v>32</v>
      </c>
      <c r="H559" s="36" t="s">
        <v>1655</v>
      </c>
      <c r="I559" s="36" t="s">
        <v>1656</v>
      </c>
      <c r="J559" s="36" t="s">
        <v>1656</v>
      </c>
      <c r="K559" s="36" t="s">
        <v>2752</v>
      </c>
      <c r="L559" s="36" t="s">
        <v>2590</v>
      </c>
      <c r="M559" s="36" t="s">
        <v>2590</v>
      </c>
      <c r="N559" s="36" t="s">
        <v>32</v>
      </c>
    </row>
    <row r="560">
      <c r="A560" s="36" t="s">
        <v>2753</v>
      </c>
      <c r="B560" s="154" t="s">
        <v>2754</v>
      </c>
      <c r="C560" s="36" t="s">
        <v>1666</v>
      </c>
      <c r="D560" s="36" t="s">
        <v>1569</v>
      </c>
      <c r="E560" s="36" t="s">
        <v>1569</v>
      </c>
      <c r="F560" s="154" t="s">
        <v>2755</v>
      </c>
      <c r="G560" s="36" t="s">
        <v>32</v>
      </c>
      <c r="H560" s="36" t="s">
        <v>1655</v>
      </c>
      <c r="I560" s="36" t="s">
        <v>1656</v>
      </c>
      <c r="J560" s="36" t="s">
        <v>1656</v>
      </c>
      <c r="K560" s="36" t="s">
        <v>2756</v>
      </c>
      <c r="L560" s="36" t="s">
        <v>2590</v>
      </c>
      <c r="M560" s="36" t="s">
        <v>2590</v>
      </c>
      <c r="N560" s="36" t="s">
        <v>32</v>
      </c>
    </row>
    <row r="561">
      <c r="A561" s="36" t="s">
        <v>2757</v>
      </c>
      <c r="B561" s="154" t="s">
        <v>2758</v>
      </c>
      <c r="C561" s="36" t="s">
        <v>1666</v>
      </c>
      <c r="D561" s="36" t="s">
        <v>81</v>
      </c>
      <c r="E561" s="36" t="s">
        <v>81</v>
      </c>
      <c r="F561" s="154" t="s">
        <v>1920</v>
      </c>
      <c r="G561" s="36" t="s">
        <v>28</v>
      </c>
      <c r="H561" s="36" t="s">
        <v>1655</v>
      </c>
      <c r="I561" s="36" t="s">
        <v>1656</v>
      </c>
      <c r="J561" s="36" t="s">
        <v>1656</v>
      </c>
      <c r="K561" s="36" t="s">
        <v>1921</v>
      </c>
      <c r="L561" s="36" t="s">
        <v>2590</v>
      </c>
      <c r="M561" s="36" t="s">
        <v>2590</v>
      </c>
      <c r="N561" s="36" t="s">
        <v>32</v>
      </c>
    </row>
    <row r="562">
      <c r="A562" s="36" t="s">
        <v>2759</v>
      </c>
      <c r="B562" s="154" t="s">
        <v>2758</v>
      </c>
      <c r="C562" s="36" t="s">
        <v>1666</v>
      </c>
      <c r="D562" s="36" t="s">
        <v>84</v>
      </c>
      <c r="E562" s="36" t="s">
        <v>84</v>
      </c>
      <c r="F562" s="154" t="s">
        <v>2760</v>
      </c>
      <c r="G562" s="36" t="s">
        <v>32</v>
      </c>
      <c r="H562" s="36" t="s">
        <v>1655</v>
      </c>
      <c r="I562" s="36" t="s">
        <v>1656</v>
      </c>
      <c r="J562" s="36" t="s">
        <v>1656</v>
      </c>
      <c r="K562" s="36" t="s">
        <v>1924</v>
      </c>
      <c r="L562" s="36" t="s">
        <v>2590</v>
      </c>
      <c r="M562" s="36" t="s">
        <v>2590</v>
      </c>
      <c r="N562" s="36" t="s">
        <v>32</v>
      </c>
    </row>
    <row r="563">
      <c r="A563" s="36" t="s">
        <v>2761</v>
      </c>
      <c r="B563" s="154" t="s">
        <v>2762</v>
      </c>
      <c r="C563" s="36" t="s">
        <v>1666</v>
      </c>
      <c r="D563" s="36" t="s">
        <v>1570</v>
      </c>
      <c r="E563" s="36" t="s">
        <v>1570</v>
      </c>
      <c r="F563" s="154" t="s">
        <v>2763</v>
      </c>
      <c r="G563" s="36" t="s">
        <v>32</v>
      </c>
      <c r="H563" s="36" t="s">
        <v>1655</v>
      </c>
      <c r="I563" s="36" t="s">
        <v>1656</v>
      </c>
      <c r="J563" s="36" t="s">
        <v>1656</v>
      </c>
      <c r="K563" s="36" t="s">
        <v>2764</v>
      </c>
      <c r="L563" s="36" t="s">
        <v>2590</v>
      </c>
      <c r="M563" s="36" t="s">
        <v>2590</v>
      </c>
      <c r="N563" s="36" t="s">
        <v>32</v>
      </c>
    </row>
    <row r="564">
      <c r="A564" s="36" t="s">
        <v>2765</v>
      </c>
      <c r="B564" s="154" t="s">
        <v>2762</v>
      </c>
      <c r="C564" s="36" t="s">
        <v>1666</v>
      </c>
      <c r="D564" s="36" t="s">
        <v>1571</v>
      </c>
      <c r="E564" s="36" t="s">
        <v>1571</v>
      </c>
      <c r="F564" s="154" t="s">
        <v>2766</v>
      </c>
      <c r="G564" s="36" t="s">
        <v>32</v>
      </c>
      <c r="H564" s="36" t="s">
        <v>1655</v>
      </c>
      <c r="I564" s="36" t="s">
        <v>1656</v>
      </c>
      <c r="J564" s="36" t="s">
        <v>1656</v>
      </c>
      <c r="K564" s="36" t="s">
        <v>2767</v>
      </c>
      <c r="L564" s="36" t="s">
        <v>2590</v>
      </c>
      <c r="M564" s="36" t="s">
        <v>2590</v>
      </c>
      <c r="N564" s="36" t="s">
        <v>32</v>
      </c>
    </row>
    <row r="565">
      <c r="A565" s="36" t="s">
        <v>2768</v>
      </c>
      <c r="B565" s="154" t="s">
        <v>2769</v>
      </c>
      <c r="C565" s="36" t="s">
        <v>1653</v>
      </c>
      <c r="D565" s="36" t="s">
        <v>1094</v>
      </c>
      <c r="E565" s="36" t="s">
        <v>39</v>
      </c>
      <c r="F565" s="154" t="s">
        <v>2770</v>
      </c>
      <c r="G565" s="36" t="s">
        <v>32</v>
      </c>
      <c r="H565" s="36" t="s">
        <v>1655</v>
      </c>
      <c r="I565" s="36" t="s">
        <v>1656</v>
      </c>
      <c r="J565" s="36" t="s">
        <v>1656</v>
      </c>
      <c r="K565" s="36" t="s">
        <v>1657</v>
      </c>
      <c r="L565" s="36" t="s">
        <v>2771</v>
      </c>
      <c r="M565" s="36" t="s">
        <v>2771</v>
      </c>
      <c r="N565" s="36" t="s">
        <v>32</v>
      </c>
    </row>
    <row r="566">
      <c r="A566" s="36" t="s">
        <v>2772</v>
      </c>
      <c r="B566" s="154" t="s">
        <v>2769</v>
      </c>
      <c r="C566" s="36" t="s">
        <v>1653</v>
      </c>
      <c r="D566" s="36" t="s">
        <v>1097</v>
      </c>
      <c r="E566" s="36" t="s">
        <v>39</v>
      </c>
      <c r="F566" s="154" t="s">
        <v>2773</v>
      </c>
      <c r="G566" s="36" t="s">
        <v>32</v>
      </c>
      <c r="H566" s="36" t="s">
        <v>1655</v>
      </c>
      <c r="I566" s="36" t="s">
        <v>1656</v>
      </c>
      <c r="J566" s="36" t="s">
        <v>1656</v>
      </c>
      <c r="K566" s="36" t="s">
        <v>1661</v>
      </c>
      <c r="L566" s="36" t="s">
        <v>2771</v>
      </c>
      <c r="M566" s="36" t="s">
        <v>2771</v>
      </c>
      <c r="N566" s="36" t="s">
        <v>32</v>
      </c>
    </row>
    <row r="567">
      <c r="A567" s="36" t="s">
        <v>2774</v>
      </c>
      <c r="B567" s="154" t="s">
        <v>2769</v>
      </c>
      <c r="C567" s="36" t="s">
        <v>1666</v>
      </c>
      <c r="D567" s="36" t="s">
        <v>1116</v>
      </c>
      <c r="E567" s="36" t="s">
        <v>1116</v>
      </c>
      <c r="F567" s="154" t="s">
        <v>2132</v>
      </c>
      <c r="G567" s="36" t="s">
        <v>28</v>
      </c>
      <c r="H567" s="36" t="s">
        <v>1655</v>
      </c>
      <c r="I567" s="36" t="s">
        <v>1656</v>
      </c>
      <c r="J567" s="36" t="s">
        <v>1656</v>
      </c>
      <c r="K567" s="36" t="s">
        <v>2775</v>
      </c>
      <c r="L567" s="36" t="s">
        <v>2776</v>
      </c>
      <c r="M567" s="36" t="s">
        <v>2776</v>
      </c>
      <c r="N567" s="36" t="s">
        <v>32</v>
      </c>
    </row>
    <row r="568">
      <c r="A568" s="36" t="s">
        <v>2777</v>
      </c>
      <c r="B568" s="154" t="s">
        <v>2769</v>
      </c>
      <c r="C568" s="36" t="s">
        <v>1666</v>
      </c>
      <c r="D568" s="36" t="s">
        <v>1118</v>
      </c>
      <c r="E568" s="36" t="s">
        <v>1118</v>
      </c>
      <c r="F568" s="154" t="s">
        <v>2778</v>
      </c>
      <c r="G568" s="36" t="s">
        <v>28</v>
      </c>
      <c r="H568" s="36" t="s">
        <v>1655</v>
      </c>
      <c r="I568" s="36" t="s">
        <v>1656</v>
      </c>
      <c r="J568" s="36" t="s">
        <v>1656</v>
      </c>
      <c r="K568" s="36" t="s">
        <v>2779</v>
      </c>
      <c r="L568" s="36" t="s">
        <v>2776</v>
      </c>
      <c r="M568" s="36" t="s">
        <v>2776</v>
      </c>
      <c r="N568" s="36" t="s">
        <v>32</v>
      </c>
    </row>
    <row r="569">
      <c r="A569" s="36" t="s">
        <v>2780</v>
      </c>
      <c r="B569" s="154" t="s">
        <v>2769</v>
      </c>
      <c r="C569" s="36" t="s">
        <v>1666</v>
      </c>
      <c r="D569" s="36" t="s">
        <v>1121</v>
      </c>
      <c r="E569" s="36" t="s">
        <v>1121</v>
      </c>
      <c r="F569" s="154" t="s">
        <v>1952</v>
      </c>
      <c r="G569" s="36" t="s">
        <v>28</v>
      </c>
      <c r="H569" s="36" t="s">
        <v>1655</v>
      </c>
      <c r="I569" s="36" t="s">
        <v>1656</v>
      </c>
      <c r="J569" s="36" t="s">
        <v>1656</v>
      </c>
      <c r="K569" s="36" t="s">
        <v>2781</v>
      </c>
      <c r="L569" s="36" t="s">
        <v>2776</v>
      </c>
      <c r="M569" s="36" t="s">
        <v>2776</v>
      </c>
      <c r="N569" s="36" t="s">
        <v>32</v>
      </c>
    </row>
    <row r="570">
      <c r="A570" s="36" t="s">
        <v>2782</v>
      </c>
      <c r="B570" s="154" t="s">
        <v>2783</v>
      </c>
      <c r="C570" s="36" t="s">
        <v>1666</v>
      </c>
      <c r="D570" s="36" t="s">
        <v>923</v>
      </c>
      <c r="E570" s="36" t="s">
        <v>923</v>
      </c>
      <c r="F570" s="154" t="s">
        <v>1683</v>
      </c>
      <c r="G570" s="36" t="s">
        <v>32</v>
      </c>
      <c r="H570" s="36" t="s">
        <v>1655</v>
      </c>
      <c r="I570" s="36" t="s">
        <v>1656</v>
      </c>
      <c r="J570" s="36" t="s">
        <v>1656</v>
      </c>
      <c r="K570" s="36" t="s">
        <v>1678</v>
      </c>
      <c r="L570" s="36" t="s">
        <v>2776</v>
      </c>
      <c r="M570" s="36" t="s">
        <v>2776</v>
      </c>
      <c r="N570" s="36" t="s">
        <v>32</v>
      </c>
    </row>
    <row r="571">
      <c r="A571" s="36" t="s">
        <v>2784</v>
      </c>
      <c r="B571" s="154" t="s">
        <v>2785</v>
      </c>
      <c r="C571" s="36" t="s">
        <v>1666</v>
      </c>
      <c r="D571" s="36" t="s">
        <v>64</v>
      </c>
      <c r="E571" s="36" t="s">
        <v>64</v>
      </c>
      <c r="F571" s="154" t="s">
        <v>2786</v>
      </c>
      <c r="G571" s="36" t="s">
        <v>28</v>
      </c>
      <c r="H571" s="36" t="s">
        <v>1655</v>
      </c>
      <c r="I571" s="36" t="s">
        <v>1656</v>
      </c>
      <c r="J571" s="36" t="s">
        <v>1656</v>
      </c>
      <c r="K571" s="36" t="s">
        <v>1708</v>
      </c>
      <c r="L571" s="36" t="s">
        <v>2776</v>
      </c>
      <c r="M571" s="36" t="s">
        <v>2776</v>
      </c>
      <c r="N571" s="36" t="s">
        <v>32</v>
      </c>
    </row>
    <row r="572">
      <c r="A572" s="36" t="s">
        <v>2787</v>
      </c>
      <c r="B572" s="154" t="s">
        <v>2788</v>
      </c>
      <c r="C572" s="36" t="s">
        <v>1666</v>
      </c>
      <c r="D572" s="36" t="s">
        <v>1132</v>
      </c>
      <c r="E572" s="36" t="s">
        <v>1132</v>
      </c>
      <c r="F572" s="154" t="s">
        <v>1816</v>
      </c>
      <c r="G572" s="36" t="s">
        <v>28</v>
      </c>
      <c r="H572" s="36" t="s">
        <v>1655</v>
      </c>
      <c r="I572" s="36" t="s">
        <v>1656</v>
      </c>
      <c r="J572" s="36" t="s">
        <v>1656</v>
      </c>
      <c r="K572" s="36" t="s">
        <v>1681</v>
      </c>
      <c r="L572" s="36" t="s">
        <v>2776</v>
      </c>
      <c r="M572" s="36" t="s">
        <v>2776</v>
      </c>
      <c r="N572" s="36" t="s">
        <v>32</v>
      </c>
    </row>
    <row r="573">
      <c r="A573" s="36" t="s">
        <v>2789</v>
      </c>
      <c r="B573" s="154" t="s">
        <v>2790</v>
      </c>
      <c r="C573" s="36" t="s">
        <v>1666</v>
      </c>
      <c r="D573" s="36" t="s">
        <v>66</v>
      </c>
      <c r="E573" s="36" t="s">
        <v>66</v>
      </c>
      <c r="F573" s="154" t="s">
        <v>2791</v>
      </c>
      <c r="G573" s="36" t="s">
        <v>28</v>
      </c>
      <c r="H573" s="36" t="s">
        <v>1655</v>
      </c>
      <c r="I573" s="36" t="s">
        <v>1656</v>
      </c>
      <c r="J573" s="36" t="s">
        <v>1656</v>
      </c>
      <c r="K573" s="36" t="s">
        <v>1721</v>
      </c>
      <c r="L573" s="36" t="s">
        <v>2776</v>
      </c>
      <c r="M573" s="36" t="s">
        <v>2776</v>
      </c>
      <c r="N573" s="36" t="s">
        <v>32</v>
      </c>
    </row>
    <row r="574">
      <c r="A574" s="36" t="s">
        <v>2792</v>
      </c>
      <c r="B574" s="154" t="s">
        <v>2793</v>
      </c>
      <c r="C574" s="36" t="s">
        <v>1666</v>
      </c>
      <c r="D574" s="36" t="s">
        <v>71</v>
      </c>
      <c r="E574" s="36" t="s">
        <v>71</v>
      </c>
      <c r="F574" s="154" t="s">
        <v>1816</v>
      </c>
      <c r="G574" s="36" t="s">
        <v>32</v>
      </c>
      <c r="H574" s="36" t="s">
        <v>1655</v>
      </c>
      <c r="I574" s="36" t="s">
        <v>1656</v>
      </c>
      <c r="J574" s="36" t="s">
        <v>1656</v>
      </c>
      <c r="K574" s="36" t="s">
        <v>1752</v>
      </c>
      <c r="L574" s="36" t="s">
        <v>2776</v>
      </c>
      <c r="M574" s="36" t="s">
        <v>2776</v>
      </c>
      <c r="N574" s="36" t="s">
        <v>32</v>
      </c>
    </row>
    <row r="575">
      <c r="A575" s="36" t="s">
        <v>2794</v>
      </c>
      <c r="B575" s="154" t="s">
        <v>2793</v>
      </c>
      <c r="C575" s="36" t="s">
        <v>1666</v>
      </c>
      <c r="D575" s="36" t="s">
        <v>76</v>
      </c>
      <c r="E575" s="36" t="s">
        <v>76</v>
      </c>
      <c r="F575" s="154" t="s">
        <v>2795</v>
      </c>
      <c r="G575" s="36" t="s">
        <v>28</v>
      </c>
      <c r="H575" s="36" t="s">
        <v>1655</v>
      </c>
      <c r="I575" s="36" t="s">
        <v>1656</v>
      </c>
      <c r="J575" s="36" t="s">
        <v>1656</v>
      </c>
      <c r="K575" s="36" t="s">
        <v>1763</v>
      </c>
      <c r="L575" s="36" t="s">
        <v>2776</v>
      </c>
      <c r="M575" s="36" t="s">
        <v>2776</v>
      </c>
      <c r="N575" s="36" t="s">
        <v>32</v>
      </c>
    </row>
    <row r="576">
      <c r="A576" s="36" t="s">
        <v>2796</v>
      </c>
      <c r="B576" s="154" t="s">
        <v>2793</v>
      </c>
      <c r="C576" s="36" t="s">
        <v>1666</v>
      </c>
      <c r="D576" s="36" t="s">
        <v>919</v>
      </c>
      <c r="E576" s="36" t="s">
        <v>919</v>
      </c>
      <c r="F576" s="154" t="s">
        <v>2797</v>
      </c>
      <c r="G576" s="36" t="s">
        <v>28</v>
      </c>
      <c r="H576" s="36" t="s">
        <v>1655</v>
      </c>
      <c r="I576" s="36" t="s">
        <v>1656</v>
      </c>
      <c r="J576" s="36" t="s">
        <v>1656</v>
      </c>
      <c r="K576" s="36" t="s">
        <v>1766</v>
      </c>
      <c r="L576" s="36" t="s">
        <v>2776</v>
      </c>
      <c r="M576" s="36" t="s">
        <v>2776</v>
      </c>
      <c r="N576" s="36" t="s">
        <v>32</v>
      </c>
    </row>
    <row r="577">
      <c r="A577" s="36" t="s">
        <v>2798</v>
      </c>
      <c r="B577" s="154" t="s">
        <v>2793</v>
      </c>
      <c r="C577" s="36" t="s">
        <v>1666</v>
      </c>
      <c r="D577" s="36" t="s">
        <v>77</v>
      </c>
      <c r="E577" s="36" t="s">
        <v>77</v>
      </c>
      <c r="F577" s="154" t="s">
        <v>1768</v>
      </c>
      <c r="G577" s="36" t="s">
        <v>34</v>
      </c>
      <c r="H577" s="36" t="s">
        <v>1655</v>
      </c>
      <c r="I577" s="36" t="s">
        <v>1656</v>
      </c>
      <c r="J577" s="36" t="s">
        <v>1656</v>
      </c>
      <c r="K577" s="36" t="s">
        <v>1769</v>
      </c>
      <c r="L577" s="36" t="s">
        <v>2776</v>
      </c>
      <c r="M577" s="36" t="s">
        <v>2776</v>
      </c>
      <c r="N577" s="36" t="s">
        <v>32</v>
      </c>
    </row>
    <row r="578">
      <c r="A578" s="36" t="s">
        <v>2799</v>
      </c>
      <c r="B578" s="154" t="s">
        <v>2793</v>
      </c>
      <c r="C578" s="36" t="s">
        <v>1666</v>
      </c>
      <c r="D578" s="36" t="s">
        <v>1139</v>
      </c>
      <c r="E578" s="36" t="s">
        <v>1139</v>
      </c>
      <c r="F578" s="154" t="s">
        <v>1929</v>
      </c>
      <c r="G578" s="36" t="s">
        <v>32</v>
      </c>
      <c r="H578" s="36" t="s">
        <v>1655</v>
      </c>
      <c r="I578" s="36" t="s">
        <v>1656</v>
      </c>
      <c r="J578" s="36" t="s">
        <v>1656</v>
      </c>
      <c r="K578" s="36" t="s">
        <v>1684</v>
      </c>
      <c r="L578" s="36" t="s">
        <v>2776</v>
      </c>
      <c r="M578" s="36" t="s">
        <v>2776</v>
      </c>
      <c r="N578" s="36" t="s">
        <v>32</v>
      </c>
    </row>
    <row r="579">
      <c r="A579" s="36" t="s">
        <v>2800</v>
      </c>
      <c r="B579" s="154" t="s">
        <v>2793</v>
      </c>
      <c r="C579" s="36" t="s">
        <v>1666</v>
      </c>
      <c r="D579" s="36" t="s">
        <v>1144</v>
      </c>
      <c r="E579" s="36" t="s">
        <v>1144</v>
      </c>
      <c r="F579" s="154" t="s">
        <v>1810</v>
      </c>
      <c r="G579" s="36" t="s">
        <v>32</v>
      </c>
      <c r="H579" s="36" t="s">
        <v>1655</v>
      </c>
      <c r="I579" s="36" t="s">
        <v>1656</v>
      </c>
      <c r="J579" s="36" t="s">
        <v>1656</v>
      </c>
      <c r="K579" s="36" t="s">
        <v>1691</v>
      </c>
      <c r="L579" s="36" t="s">
        <v>2776</v>
      </c>
      <c r="M579" s="36" t="s">
        <v>2776</v>
      </c>
      <c r="N579" s="36" t="s">
        <v>32</v>
      </c>
    </row>
    <row r="580">
      <c r="A580" s="36" t="s">
        <v>2801</v>
      </c>
      <c r="B580" s="154" t="s">
        <v>2793</v>
      </c>
      <c r="C580" s="36" t="s">
        <v>1666</v>
      </c>
      <c r="D580" s="36" t="s">
        <v>502</v>
      </c>
      <c r="E580" s="36" t="s">
        <v>502</v>
      </c>
      <c r="F580" s="154" t="s">
        <v>2802</v>
      </c>
      <c r="G580" s="36" t="s">
        <v>32</v>
      </c>
      <c r="H580" s="36" t="s">
        <v>1655</v>
      </c>
      <c r="I580" s="36" t="s">
        <v>1656</v>
      </c>
      <c r="J580" s="36" t="s">
        <v>1656</v>
      </c>
      <c r="K580" s="36" t="s">
        <v>1695</v>
      </c>
      <c r="L580" s="36" t="s">
        <v>2776</v>
      </c>
      <c r="M580" s="36" t="s">
        <v>2776</v>
      </c>
      <c r="N580" s="36" t="s">
        <v>32</v>
      </c>
    </row>
    <row r="581">
      <c r="A581" s="36" t="s">
        <v>2803</v>
      </c>
      <c r="B581" s="154" t="s">
        <v>2793</v>
      </c>
      <c r="C581" s="36" t="s">
        <v>1666</v>
      </c>
      <c r="D581" s="36" t="s">
        <v>511</v>
      </c>
      <c r="E581" s="36" t="s">
        <v>511</v>
      </c>
      <c r="F581" s="154" t="s">
        <v>2804</v>
      </c>
      <c r="G581" s="36" t="s">
        <v>28</v>
      </c>
      <c r="H581" s="36" t="s">
        <v>1655</v>
      </c>
      <c r="I581" s="36" t="s">
        <v>1656</v>
      </c>
      <c r="J581" s="36" t="s">
        <v>1656</v>
      </c>
      <c r="K581" s="36" t="s">
        <v>1698</v>
      </c>
      <c r="L581" s="36" t="s">
        <v>2776</v>
      </c>
      <c r="M581" s="36" t="s">
        <v>2776</v>
      </c>
      <c r="N581" s="36" t="s">
        <v>32</v>
      </c>
    </row>
    <row r="582">
      <c r="A582" s="36" t="s">
        <v>2805</v>
      </c>
      <c r="B582" s="154" t="s">
        <v>2793</v>
      </c>
      <c r="C582" s="36" t="s">
        <v>1666</v>
      </c>
      <c r="D582" s="36" t="s">
        <v>974</v>
      </c>
      <c r="E582" s="36" t="s">
        <v>974</v>
      </c>
      <c r="F582" s="154" t="s">
        <v>2806</v>
      </c>
      <c r="G582" s="36" t="s">
        <v>32</v>
      </c>
      <c r="H582" s="36" t="s">
        <v>1655</v>
      </c>
      <c r="I582" s="36" t="s">
        <v>1656</v>
      </c>
      <c r="J582" s="36" t="s">
        <v>1656</v>
      </c>
      <c r="K582" s="36" t="s">
        <v>1701</v>
      </c>
      <c r="L582" s="36" t="s">
        <v>2776</v>
      </c>
      <c r="M582" s="36" t="s">
        <v>2776</v>
      </c>
      <c r="N582" s="36" t="s">
        <v>32</v>
      </c>
    </row>
    <row r="583">
      <c r="A583" s="36" t="s">
        <v>2807</v>
      </c>
      <c r="B583" s="154" t="s">
        <v>2808</v>
      </c>
      <c r="C583" s="36" t="s">
        <v>1653</v>
      </c>
      <c r="D583" s="36" t="s">
        <v>55</v>
      </c>
      <c r="E583" s="36" t="s">
        <v>39</v>
      </c>
      <c r="F583" s="154" t="s">
        <v>2809</v>
      </c>
      <c r="G583" s="36" t="s">
        <v>32</v>
      </c>
      <c r="H583" s="36" t="s">
        <v>1655</v>
      </c>
      <c r="I583" s="36" t="s">
        <v>1656</v>
      </c>
      <c r="J583" s="36" t="s">
        <v>1656</v>
      </c>
      <c r="K583" s="36" t="s">
        <v>1749</v>
      </c>
      <c r="L583" s="36" t="s">
        <v>2771</v>
      </c>
      <c r="M583" s="36" t="s">
        <v>2771</v>
      </c>
      <c r="N583" s="36" t="s">
        <v>32</v>
      </c>
    </row>
    <row r="584">
      <c r="A584" s="36" t="s">
        <v>2810</v>
      </c>
      <c r="B584" s="154" t="s">
        <v>2808</v>
      </c>
      <c r="C584" s="36" t="s">
        <v>1666</v>
      </c>
      <c r="D584" s="36" t="s">
        <v>1139</v>
      </c>
      <c r="E584" s="36" t="s">
        <v>1139</v>
      </c>
      <c r="F584" s="154" t="s">
        <v>1744</v>
      </c>
      <c r="G584" s="36" t="s">
        <v>28</v>
      </c>
      <c r="H584" s="36" t="s">
        <v>1655</v>
      </c>
      <c r="I584" s="36" t="s">
        <v>1656</v>
      </c>
      <c r="J584" s="36" t="s">
        <v>1656</v>
      </c>
      <c r="K584" s="36" t="s">
        <v>1704</v>
      </c>
      <c r="L584" s="36" t="s">
        <v>2776</v>
      </c>
      <c r="M584" s="36" t="s">
        <v>2776</v>
      </c>
      <c r="N584" s="36" t="s">
        <v>32</v>
      </c>
    </row>
    <row r="585">
      <c r="A585" s="36" t="s">
        <v>2811</v>
      </c>
      <c r="B585" s="154" t="s">
        <v>2808</v>
      </c>
      <c r="C585" s="36" t="s">
        <v>1666</v>
      </c>
      <c r="D585" s="36" t="s">
        <v>109</v>
      </c>
      <c r="E585" s="36" t="s">
        <v>109</v>
      </c>
      <c r="F585" s="154" t="s">
        <v>1874</v>
      </c>
      <c r="G585" s="36" t="s">
        <v>28</v>
      </c>
      <c r="H585" s="36" t="s">
        <v>1655</v>
      </c>
      <c r="I585" s="36" t="s">
        <v>1656</v>
      </c>
      <c r="J585" s="36" t="s">
        <v>1656</v>
      </c>
      <c r="K585" s="36" t="s">
        <v>1711</v>
      </c>
      <c r="L585" s="36" t="s">
        <v>2776</v>
      </c>
      <c r="M585" s="36" t="s">
        <v>2776</v>
      </c>
      <c r="N585" s="36" t="s">
        <v>32</v>
      </c>
    </row>
    <row r="586">
      <c r="A586" s="36" t="s">
        <v>2812</v>
      </c>
      <c r="B586" s="154" t="s">
        <v>2808</v>
      </c>
      <c r="C586" s="36" t="s">
        <v>1666</v>
      </c>
      <c r="D586" s="36" t="s">
        <v>978</v>
      </c>
      <c r="E586" s="36" t="s">
        <v>978</v>
      </c>
      <c r="F586" s="154" t="s">
        <v>1683</v>
      </c>
      <c r="G586" s="36" t="s">
        <v>32</v>
      </c>
      <c r="H586" s="36" t="s">
        <v>1655</v>
      </c>
      <c r="I586" s="36" t="s">
        <v>1656</v>
      </c>
      <c r="J586" s="36" t="s">
        <v>1656</v>
      </c>
      <c r="K586" s="36" t="s">
        <v>1715</v>
      </c>
      <c r="L586" s="36" t="s">
        <v>2776</v>
      </c>
      <c r="M586" s="36" t="s">
        <v>2776</v>
      </c>
      <c r="N586" s="36" t="s">
        <v>32</v>
      </c>
    </row>
    <row r="587">
      <c r="A587" s="36" t="s">
        <v>2813</v>
      </c>
      <c r="B587" s="154" t="s">
        <v>2814</v>
      </c>
      <c r="C587" s="36" t="s">
        <v>1666</v>
      </c>
      <c r="D587" s="36" t="s">
        <v>78</v>
      </c>
      <c r="E587" s="36" t="s">
        <v>78</v>
      </c>
      <c r="F587" s="154" t="s">
        <v>1810</v>
      </c>
      <c r="G587" s="36" t="s">
        <v>28</v>
      </c>
      <c r="H587" s="36" t="s">
        <v>1655</v>
      </c>
      <c r="I587" s="36" t="s">
        <v>1656</v>
      </c>
      <c r="J587" s="36" t="s">
        <v>1656</v>
      </c>
      <c r="K587" s="36" t="s">
        <v>1811</v>
      </c>
      <c r="L587" s="36" t="s">
        <v>2776</v>
      </c>
      <c r="M587" s="36" t="s">
        <v>2776</v>
      </c>
      <c r="N587" s="36" t="s">
        <v>32</v>
      </c>
    </row>
    <row r="588">
      <c r="A588" s="36" t="s">
        <v>2815</v>
      </c>
      <c r="B588" s="154" t="s">
        <v>2814</v>
      </c>
      <c r="C588" s="36" t="s">
        <v>1666</v>
      </c>
      <c r="D588" s="36" t="s">
        <v>1183</v>
      </c>
      <c r="E588" s="36" t="s">
        <v>1183</v>
      </c>
      <c r="F588" s="154" t="s">
        <v>1778</v>
      </c>
      <c r="G588" s="36" t="s">
        <v>32</v>
      </c>
      <c r="H588" s="36" t="s">
        <v>1655</v>
      </c>
      <c r="I588" s="36" t="s">
        <v>1656</v>
      </c>
      <c r="J588" s="36" t="s">
        <v>1656</v>
      </c>
      <c r="K588" s="36" t="s">
        <v>1717</v>
      </c>
      <c r="L588" s="36" t="s">
        <v>2776</v>
      </c>
      <c r="M588" s="36" t="s">
        <v>2776</v>
      </c>
      <c r="N588" s="36" t="s">
        <v>32</v>
      </c>
    </row>
    <row r="589">
      <c r="A589" s="36" t="s">
        <v>2816</v>
      </c>
      <c r="B589" s="154" t="s">
        <v>2814</v>
      </c>
      <c r="C589" s="36" t="s">
        <v>1666</v>
      </c>
      <c r="D589" s="36" t="s">
        <v>1187</v>
      </c>
      <c r="E589" s="36" t="s">
        <v>1187</v>
      </c>
      <c r="F589" s="154" t="s">
        <v>2493</v>
      </c>
      <c r="G589" s="36" t="s">
        <v>32</v>
      </c>
      <c r="H589" s="36" t="s">
        <v>1655</v>
      </c>
      <c r="I589" s="36" t="s">
        <v>1656</v>
      </c>
      <c r="J589" s="36" t="s">
        <v>1656</v>
      </c>
      <c r="K589" s="36" t="s">
        <v>1724</v>
      </c>
      <c r="L589" s="36" t="s">
        <v>2776</v>
      </c>
      <c r="M589" s="36" t="s">
        <v>2776</v>
      </c>
      <c r="N589" s="36" t="s">
        <v>32</v>
      </c>
    </row>
    <row r="590">
      <c r="A590" s="36" t="s">
        <v>2817</v>
      </c>
      <c r="B590" s="154" t="s">
        <v>2814</v>
      </c>
      <c r="C590" s="36" t="s">
        <v>1666</v>
      </c>
      <c r="D590" s="36" t="s">
        <v>1193</v>
      </c>
      <c r="E590" s="36" t="s">
        <v>1193</v>
      </c>
      <c r="F590" s="154" t="s">
        <v>2818</v>
      </c>
      <c r="G590" s="36" t="s">
        <v>28</v>
      </c>
      <c r="H590" s="36" t="s">
        <v>1655</v>
      </c>
      <c r="I590" s="36" t="s">
        <v>1656</v>
      </c>
      <c r="J590" s="36" t="s">
        <v>1656</v>
      </c>
      <c r="K590" s="36" t="s">
        <v>1727</v>
      </c>
      <c r="L590" s="36" t="s">
        <v>2776</v>
      </c>
      <c r="M590" s="36" t="s">
        <v>2776</v>
      </c>
      <c r="N590" s="36" t="s">
        <v>32</v>
      </c>
    </row>
    <row r="591">
      <c r="A591" s="36" t="s">
        <v>2819</v>
      </c>
      <c r="B591" s="154" t="s">
        <v>2820</v>
      </c>
      <c r="C591" s="36" t="s">
        <v>1666</v>
      </c>
      <c r="D591" s="36" t="s">
        <v>34</v>
      </c>
      <c r="E591" s="36" t="s">
        <v>34</v>
      </c>
      <c r="F591" s="154" t="s">
        <v>1768</v>
      </c>
      <c r="G591" s="36" t="s">
        <v>28</v>
      </c>
      <c r="H591" s="36" t="s">
        <v>1655</v>
      </c>
      <c r="I591" s="36" t="s">
        <v>1656</v>
      </c>
      <c r="J591" s="36" t="s">
        <v>1656</v>
      </c>
      <c r="K591" s="36" t="s">
        <v>1730</v>
      </c>
      <c r="L591" s="36" t="s">
        <v>2776</v>
      </c>
      <c r="M591" s="36" t="s">
        <v>2776</v>
      </c>
      <c r="N591" s="36" t="s">
        <v>32</v>
      </c>
    </row>
    <row r="592">
      <c r="A592" s="36" t="s">
        <v>2821</v>
      </c>
      <c r="B592" s="154" t="s">
        <v>2822</v>
      </c>
      <c r="C592" s="36" t="s">
        <v>1666</v>
      </c>
      <c r="D592" s="36" t="s">
        <v>1203</v>
      </c>
      <c r="E592" s="36" t="s">
        <v>1203</v>
      </c>
      <c r="F592" s="154" t="s">
        <v>1806</v>
      </c>
      <c r="G592" s="36" t="s">
        <v>32</v>
      </c>
      <c r="H592" s="36" t="s">
        <v>1655</v>
      </c>
      <c r="I592" s="36" t="s">
        <v>1656</v>
      </c>
      <c r="J592" s="36" t="s">
        <v>1656</v>
      </c>
      <c r="K592" s="36" t="s">
        <v>1732</v>
      </c>
      <c r="L592" s="36" t="s">
        <v>2776</v>
      </c>
      <c r="M592" s="36" t="s">
        <v>2776</v>
      </c>
      <c r="N592" s="36" t="s">
        <v>32</v>
      </c>
    </row>
    <row r="593">
      <c r="A593" s="36" t="s">
        <v>2823</v>
      </c>
      <c r="B593" s="154" t="s">
        <v>2822</v>
      </c>
      <c r="C593" s="36" t="s">
        <v>1666</v>
      </c>
      <c r="D593" s="36" t="s">
        <v>209</v>
      </c>
      <c r="E593" s="36" t="s">
        <v>209</v>
      </c>
      <c r="F593" s="154" t="s">
        <v>2514</v>
      </c>
      <c r="G593" s="36" t="s">
        <v>28</v>
      </c>
      <c r="H593" s="36" t="s">
        <v>1655</v>
      </c>
      <c r="I593" s="36" t="s">
        <v>1656</v>
      </c>
      <c r="J593" s="36" t="s">
        <v>1656</v>
      </c>
      <c r="K593" s="36" t="s">
        <v>1736</v>
      </c>
      <c r="L593" s="36" t="s">
        <v>2776</v>
      </c>
      <c r="M593" s="36" t="s">
        <v>2776</v>
      </c>
      <c r="N593" s="36" t="s">
        <v>32</v>
      </c>
    </row>
    <row r="594">
      <c r="A594" s="36" t="s">
        <v>2824</v>
      </c>
      <c r="B594" s="154" t="s">
        <v>2822</v>
      </c>
      <c r="C594" s="36" t="s">
        <v>1666</v>
      </c>
      <c r="D594" s="36" t="s">
        <v>214</v>
      </c>
      <c r="E594" s="36" t="s">
        <v>214</v>
      </c>
      <c r="F594" s="154" t="s">
        <v>2517</v>
      </c>
      <c r="G594" s="36" t="s">
        <v>28</v>
      </c>
      <c r="H594" s="36" t="s">
        <v>1655</v>
      </c>
      <c r="I594" s="36" t="s">
        <v>1656</v>
      </c>
      <c r="J594" s="36" t="s">
        <v>1656</v>
      </c>
      <c r="K594" s="36" t="s">
        <v>1739</v>
      </c>
      <c r="L594" s="36" t="s">
        <v>2776</v>
      </c>
      <c r="M594" s="36" t="s">
        <v>2776</v>
      </c>
      <c r="N594" s="36" t="s">
        <v>32</v>
      </c>
    </row>
    <row r="595">
      <c r="A595" s="36" t="s">
        <v>2825</v>
      </c>
      <c r="B595" s="154" t="s">
        <v>2826</v>
      </c>
      <c r="C595" s="36" t="s">
        <v>1653</v>
      </c>
      <c r="D595" s="36" t="s">
        <v>1104</v>
      </c>
      <c r="E595" s="36" t="s">
        <v>39</v>
      </c>
      <c r="F595" s="154" t="s">
        <v>2325</v>
      </c>
      <c r="G595" s="36" t="s">
        <v>32</v>
      </c>
      <c r="H595" s="36" t="s">
        <v>1655</v>
      </c>
      <c r="I595" s="36" t="s">
        <v>1656</v>
      </c>
      <c r="J595" s="36" t="s">
        <v>1656</v>
      </c>
      <c r="K595" s="36" t="s">
        <v>1978</v>
      </c>
      <c r="L595" s="36" t="s">
        <v>2771</v>
      </c>
      <c r="M595" s="36" t="s">
        <v>2771</v>
      </c>
      <c r="N595" s="36" t="s">
        <v>32</v>
      </c>
    </row>
    <row r="596">
      <c r="A596" s="36" t="s">
        <v>2827</v>
      </c>
      <c r="B596" s="154" t="s">
        <v>2826</v>
      </c>
      <c r="C596" s="36" t="s">
        <v>1666</v>
      </c>
      <c r="D596" s="36" t="s">
        <v>1218</v>
      </c>
      <c r="E596" s="36" t="s">
        <v>1218</v>
      </c>
      <c r="F596" s="154" t="s">
        <v>2828</v>
      </c>
      <c r="G596" s="36" t="s">
        <v>28</v>
      </c>
      <c r="H596" s="36" t="s">
        <v>1655</v>
      </c>
      <c r="I596" s="36" t="s">
        <v>1656</v>
      </c>
      <c r="J596" s="36" t="s">
        <v>1656</v>
      </c>
      <c r="K596" s="36" t="s">
        <v>1742</v>
      </c>
      <c r="L596" s="36" t="s">
        <v>2776</v>
      </c>
      <c r="M596" s="36" t="s">
        <v>2776</v>
      </c>
      <c r="N596" s="36" t="s">
        <v>32</v>
      </c>
    </row>
    <row r="597">
      <c r="A597" s="36" t="s">
        <v>2829</v>
      </c>
      <c r="B597" s="154" t="s">
        <v>2826</v>
      </c>
      <c r="C597" s="36" t="s">
        <v>1666</v>
      </c>
      <c r="D597" s="36" t="s">
        <v>1210</v>
      </c>
      <c r="E597" s="36" t="s">
        <v>1210</v>
      </c>
      <c r="F597" s="154" t="s">
        <v>2830</v>
      </c>
      <c r="G597" s="36" t="s">
        <v>28</v>
      </c>
      <c r="H597" s="36" t="s">
        <v>1655</v>
      </c>
      <c r="I597" s="36" t="s">
        <v>1656</v>
      </c>
      <c r="J597" s="36" t="s">
        <v>1656</v>
      </c>
      <c r="K597" s="36" t="s">
        <v>1745</v>
      </c>
      <c r="L597" s="36" t="s">
        <v>2776</v>
      </c>
      <c r="M597" s="36" t="s">
        <v>2776</v>
      </c>
      <c r="N597" s="36" t="s">
        <v>34</v>
      </c>
    </row>
    <row r="598">
      <c r="A598" s="36" t="s">
        <v>2831</v>
      </c>
      <c r="B598" s="154" t="s">
        <v>2826</v>
      </c>
      <c r="C598" s="36" t="s">
        <v>1666</v>
      </c>
      <c r="D598" s="36" t="s">
        <v>209</v>
      </c>
      <c r="E598" s="36" t="s">
        <v>209</v>
      </c>
      <c r="F598" s="154" t="s">
        <v>2690</v>
      </c>
      <c r="G598" s="36" t="s">
        <v>28</v>
      </c>
      <c r="H598" s="36" t="s">
        <v>1655</v>
      </c>
      <c r="I598" s="36" t="s">
        <v>1656</v>
      </c>
      <c r="J598" s="36" t="s">
        <v>1656</v>
      </c>
      <c r="K598" s="36" t="s">
        <v>1773</v>
      </c>
      <c r="L598" s="36" t="s">
        <v>2776</v>
      </c>
      <c r="M598" s="36" t="s">
        <v>2776</v>
      </c>
      <c r="N598" s="36" t="s">
        <v>34</v>
      </c>
    </row>
    <row r="599">
      <c r="A599" s="36" t="s">
        <v>2832</v>
      </c>
      <c r="B599" s="154" t="s">
        <v>2826</v>
      </c>
      <c r="C599" s="36" t="s">
        <v>1666</v>
      </c>
      <c r="D599" s="36" t="s">
        <v>299</v>
      </c>
      <c r="E599" s="36" t="s">
        <v>299</v>
      </c>
      <c r="F599" s="154" t="s">
        <v>1768</v>
      </c>
      <c r="G599" s="36" t="s">
        <v>28</v>
      </c>
      <c r="H599" s="36" t="s">
        <v>1655</v>
      </c>
      <c r="I599" s="36" t="s">
        <v>1656</v>
      </c>
      <c r="J599" s="36" t="s">
        <v>1656</v>
      </c>
      <c r="K599" s="36" t="s">
        <v>1776</v>
      </c>
      <c r="L599" s="36" t="s">
        <v>2776</v>
      </c>
      <c r="M599" s="36" t="s">
        <v>2776</v>
      </c>
      <c r="N599" s="36" t="s">
        <v>32</v>
      </c>
    </row>
    <row r="600">
      <c r="A600" s="36" t="s">
        <v>2833</v>
      </c>
      <c r="B600" s="154" t="s">
        <v>2834</v>
      </c>
      <c r="C600" s="36" t="s">
        <v>1666</v>
      </c>
      <c r="D600" s="36" t="s">
        <v>124</v>
      </c>
      <c r="E600" s="36" t="s">
        <v>124</v>
      </c>
      <c r="F600" s="154" t="s">
        <v>2835</v>
      </c>
      <c r="G600" s="36" t="s">
        <v>28</v>
      </c>
      <c r="H600" s="36" t="s">
        <v>1655</v>
      </c>
      <c r="I600" s="36" t="s">
        <v>1656</v>
      </c>
      <c r="J600" s="36" t="s">
        <v>1656</v>
      </c>
      <c r="K600" s="36" t="s">
        <v>1779</v>
      </c>
      <c r="L600" s="36" t="s">
        <v>2776</v>
      </c>
      <c r="M600" s="36" t="s">
        <v>2776</v>
      </c>
      <c r="N600" s="36" t="s">
        <v>32</v>
      </c>
    </row>
    <row r="601">
      <c r="A601" s="36" t="s">
        <v>2836</v>
      </c>
      <c r="B601" s="154" t="s">
        <v>2837</v>
      </c>
      <c r="C601" s="36" t="s">
        <v>1666</v>
      </c>
      <c r="D601" s="36" t="s">
        <v>402</v>
      </c>
      <c r="E601" s="36" t="s">
        <v>402</v>
      </c>
      <c r="F601" s="154" t="s">
        <v>2838</v>
      </c>
      <c r="G601" s="36" t="s">
        <v>34</v>
      </c>
      <c r="H601" s="36" t="s">
        <v>1655</v>
      </c>
      <c r="I601" s="36" t="s">
        <v>1656</v>
      </c>
      <c r="J601" s="36" t="s">
        <v>1656</v>
      </c>
      <c r="K601" s="36" t="s">
        <v>1782</v>
      </c>
      <c r="L601" s="36" t="s">
        <v>2776</v>
      </c>
      <c r="M601" s="36" t="s">
        <v>2776</v>
      </c>
      <c r="N601" s="36" t="s">
        <v>32</v>
      </c>
    </row>
    <row r="602">
      <c r="A602" s="36" t="s">
        <v>2839</v>
      </c>
      <c r="B602" s="154" t="s">
        <v>2837</v>
      </c>
      <c r="C602" s="36" t="s">
        <v>1666</v>
      </c>
      <c r="D602" s="36" t="s">
        <v>1248</v>
      </c>
      <c r="E602" s="36" t="s">
        <v>1248</v>
      </c>
      <c r="F602" s="154" t="s">
        <v>2085</v>
      </c>
      <c r="G602" s="36" t="s">
        <v>28</v>
      </c>
      <c r="H602" s="36" t="s">
        <v>1655</v>
      </c>
      <c r="I602" s="36" t="s">
        <v>1656</v>
      </c>
      <c r="J602" s="36" t="s">
        <v>1656</v>
      </c>
      <c r="K602" s="36" t="s">
        <v>1784</v>
      </c>
      <c r="L602" s="36" t="s">
        <v>2776</v>
      </c>
      <c r="M602" s="36" t="s">
        <v>2776</v>
      </c>
      <c r="N602" s="36" t="s">
        <v>32</v>
      </c>
    </row>
    <row r="603">
      <c r="A603" s="36" t="s">
        <v>2840</v>
      </c>
      <c r="B603" s="154" t="s">
        <v>2837</v>
      </c>
      <c r="C603" s="36" t="s">
        <v>1666</v>
      </c>
      <c r="D603" s="36" t="s">
        <v>1256</v>
      </c>
      <c r="E603" s="36" t="s">
        <v>1256</v>
      </c>
      <c r="F603" s="154" t="s">
        <v>2841</v>
      </c>
      <c r="G603" s="36" t="s">
        <v>28</v>
      </c>
      <c r="H603" s="36" t="s">
        <v>1655</v>
      </c>
      <c r="I603" s="36" t="s">
        <v>1656</v>
      </c>
      <c r="J603" s="36" t="s">
        <v>1656</v>
      </c>
      <c r="K603" s="36" t="s">
        <v>1787</v>
      </c>
      <c r="L603" s="36" t="s">
        <v>2776</v>
      </c>
      <c r="M603" s="36" t="s">
        <v>2776</v>
      </c>
      <c r="N603" s="36" t="s">
        <v>32</v>
      </c>
    </row>
    <row r="604">
      <c r="A604" s="36" t="s">
        <v>2842</v>
      </c>
      <c r="B604" s="154" t="s">
        <v>2843</v>
      </c>
      <c r="C604" s="36" t="s">
        <v>1666</v>
      </c>
      <c r="D604" s="36" t="s">
        <v>1262</v>
      </c>
      <c r="E604" s="36" t="s">
        <v>1262</v>
      </c>
      <c r="F604" s="154" t="s">
        <v>1686</v>
      </c>
      <c r="G604" s="36" t="s">
        <v>32</v>
      </c>
      <c r="H604" s="36" t="s">
        <v>1655</v>
      </c>
      <c r="I604" s="36" t="s">
        <v>1656</v>
      </c>
      <c r="J604" s="36" t="s">
        <v>1656</v>
      </c>
      <c r="K604" s="36" t="s">
        <v>1790</v>
      </c>
      <c r="L604" s="36" t="s">
        <v>2776</v>
      </c>
      <c r="M604" s="36" t="s">
        <v>2776</v>
      </c>
      <c r="N604" s="36" t="s">
        <v>32</v>
      </c>
    </row>
    <row r="605">
      <c r="A605" s="36" t="s">
        <v>2844</v>
      </c>
      <c r="B605" s="154" t="s">
        <v>2843</v>
      </c>
      <c r="C605" s="36" t="s">
        <v>1666</v>
      </c>
      <c r="D605" s="36" t="s">
        <v>108</v>
      </c>
      <c r="E605" s="36" t="s">
        <v>108</v>
      </c>
      <c r="F605" s="154" t="s">
        <v>1853</v>
      </c>
      <c r="G605" s="36" t="s">
        <v>28</v>
      </c>
      <c r="H605" s="36" t="s">
        <v>1655</v>
      </c>
      <c r="I605" s="36" t="s">
        <v>1656</v>
      </c>
      <c r="J605" s="36" t="s">
        <v>1656</v>
      </c>
      <c r="K605" s="36" t="s">
        <v>1793</v>
      </c>
      <c r="L605" s="36" t="s">
        <v>2776</v>
      </c>
      <c r="M605" s="36" t="s">
        <v>2776</v>
      </c>
      <c r="N605" s="36" t="s">
        <v>32</v>
      </c>
    </row>
    <row r="606">
      <c r="A606" s="36" t="s">
        <v>2845</v>
      </c>
      <c r="B606" s="154" t="s">
        <v>2846</v>
      </c>
      <c r="C606" s="36" t="s">
        <v>1653</v>
      </c>
      <c r="D606" s="36" t="s">
        <v>858</v>
      </c>
      <c r="E606" s="36" t="s">
        <v>39</v>
      </c>
      <c r="F606" s="154" t="s">
        <v>2847</v>
      </c>
      <c r="G606" s="36" t="s">
        <v>32</v>
      </c>
      <c r="H606" s="36" t="s">
        <v>1655</v>
      </c>
      <c r="I606" s="36" t="s">
        <v>1656</v>
      </c>
      <c r="J606" s="36" t="s">
        <v>1656</v>
      </c>
      <c r="K606" s="36" t="s">
        <v>2848</v>
      </c>
      <c r="L606" s="36" t="s">
        <v>2771</v>
      </c>
      <c r="M606" s="36" t="s">
        <v>2771</v>
      </c>
      <c r="N606" s="36" t="s">
        <v>32</v>
      </c>
    </row>
    <row r="607">
      <c r="A607" s="36" t="s">
        <v>2849</v>
      </c>
      <c r="B607" s="154" t="s">
        <v>2846</v>
      </c>
      <c r="C607" s="36" t="s">
        <v>1666</v>
      </c>
      <c r="D607" s="36" t="s">
        <v>313</v>
      </c>
      <c r="E607" s="36" t="s">
        <v>313</v>
      </c>
      <c r="F607" s="154" t="s">
        <v>2025</v>
      </c>
      <c r="G607" s="36" t="s">
        <v>32</v>
      </c>
      <c r="H607" s="36" t="s">
        <v>1655</v>
      </c>
      <c r="I607" s="36" t="s">
        <v>1656</v>
      </c>
      <c r="J607" s="36" t="s">
        <v>1656</v>
      </c>
      <c r="K607" s="36" t="s">
        <v>1796</v>
      </c>
      <c r="L607" s="36" t="s">
        <v>2776</v>
      </c>
      <c r="M607" s="36" t="s">
        <v>2776</v>
      </c>
      <c r="N607" s="36" t="s">
        <v>32</v>
      </c>
    </row>
    <row r="608">
      <c r="A608" s="36" t="s">
        <v>2850</v>
      </c>
      <c r="B608" s="154" t="s">
        <v>2846</v>
      </c>
      <c r="C608" s="36" t="s">
        <v>1666</v>
      </c>
      <c r="D608" s="36" t="s">
        <v>1277</v>
      </c>
      <c r="E608" s="36" t="s">
        <v>1277</v>
      </c>
      <c r="F608" s="154" t="s">
        <v>1899</v>
      </c>
      <c r="G608" s="36" t="s">
        <v>32</v>
      </c>
      <c r="H608" s="36" t="s">
        <v>1655</v>
      </c>
      <c r="I608" s="36" t="s">
        <v>1656</v>
      </c>
      <c r="J608" s="36" t="s">
        <v>1656</v>
      </c>
      <c r="K608" s="36" t="s">
        <v>1800</v>
      </c>
      <c r="L608" s="36" t="s">
        <v>2776</v>
      </c>
      <c r="M608" s="36" t="s">
        <v>2776</v>
      </c>
      <c r="N608" s="36" t="s">
        <v>32</v>
      </c>
    </row>
    <row r="609">
      <c r="A609" s="36" t="s">
        <v>2851</v>
      </c>
      <c r="B609" s="154" t="s">
        <v>2846</v>
      </c>
      <c r="C609" s="36" t="s">
        <v>1666</v>
      </c>
      <c r="D609" s="36" t="s">
        <v>1249</v>
      </c>
      <c r="E609" s="36" t="s">
        <v>1249</v>
      </c>
      <c r="F609" s="154" t="s">
        <v>1810</v>
      </c>
      <c r="G609" s="36" t="s">
        <v>28</v>
      </c>
      <c r="H609" s="36" t="s">
        <v>1655</v>
      </c>
      <c r="I609" s="36" t="s">
        <v>1656</v>
      </c>
      <c r="J609" s="36" t="s">
        <v>1656</v>
      </c>
      <c r="K609" s="36" t="s">
        <v>1803</v>
      </c>
      <c r="L609" s="36" t="s">
        <v>2776</v>
      </c>
      <c r="M609" s="36" t="s">
        <v>2776</v>
      </c>
      <c r="N609" s="36" t="s">
        <v>34</v>
      </c>
    </row>
    <row r="610">
      <c r="A610" s="36" t="s">
        <v>2852</v>
      </c>
      <c r="B610" s="154" t="s">
        <v>2846</v>
      </c>
      <c r="C610" s="36" t="s">
        <v>1666</v>
      </c>
      <c r="D610" s="36" t="s">
        <v>1281</v>
      </c>
      <c r="E610" s="36" t="s">
        <v>1281</v>
      </c>
      <c r="F610" s="154" t="s">
        <v>1768</v>
      </c>
      <c r="G610" s="36" t="s">
        <v>28</v>
      </c>
      <c r="H610" s="36" t="s">
        <v>1655</v>
      </c>
      <c r="I610" s="36" t="s">
        <v>1656</v>
      </c>
      <c r="J610" s="36" t="s">
        <v>1656</v>
      </c>
      <c r="K610" s="36" t="s">
        <v>1807</v>
      </c>
      <c r="L610" s="36" t="s">
        <v>2776</v>
      </c>
      <c r="M610" s="36" t="s">
        <v>2776</v>
      </c>
      <c r="N610" s="36" t="s">
        <v>34</v>
      </c>
    </row>
    <row r="611">
      <c r="A611" s="36" t="s">
        <v>2853</v>
      </c>
      <c r="B611" s="154" t="s">
        <v>2846</v>
      </c>
      <c r="C611" s="36" t="s">
        <v>1666</v>
      </c>
      <c r="D611" s="36" t="s">
        <v>1288</v>
      </c>
      <c r="E611" s="36" t="s">
        <v>1288</v>
      </c>
      <c r="F611" s="154" t="s">
        <v>1806</v>
      </c>
      <c r="G611" s="36" t="s">
        <v>28</v>
      </c>
      <c r="H611" s="36" t="s">
        <v>1655</v>
      </c>
      <c r="I611" s="36" t="s">
        <v>1656</v>
      </c>
      <c r="J611" s="36" t="s">
        <v>1656</v>
      </c>
      <c r="K611" s="36" t="s">
        <v>1814</v>
      </c>
      <c r="L611" s="36" t="s">
        <v>2776</v>
      </c>
      <c r="M611" s="36" t="s">
        <v>2776</v>
      </c>
      <c r="N611" s="36" t="s">
        <v>34</v>
      </c>
    </row>
    <row r="612">
      <c r="A612" s="36" t="s">
        <v>2854</v>
      </c>
      <c r="B612" s="154" t="s">
        <v>2846</v>
      </c>
      <c r="C612" s="36" t="s">
        <v>1666</v>
      </c>
      <c r="D612" s="36" t="s">
        <v>1294</v>
      </c>
      <c r="E612" s="36" t="s">
        <v>1294</v>
      </c>
      <c r="F612" s="154" t="s">
        <v>1781</v>
      </c>
      <c r="G612" s="36" t="s">
        <v>28</v>
      </c>
      <c r="H612" s="36" t="s">
        <v>1655</v>
      </c>
      <c r="I612" s="36" t="s">
        <v>1656</v>
      </c>
      <c r="J612" s="36" t="s">
        <v>1656</v>
      </c>
      <c r="K612" s="36" t="s">
        <v>1817</v>
      </c>
      <c r="L612" s="36" t="s">
        <v>2776</v>
      </c>
      <c r="M612" s="36" t="s">
        <v>2776</v>
      </c>
      <c r="N612" s="36" t="s">
        <v>34</v>
      </c>
    </row>
    <row r="613">
      <c r="A613" s="36" t="s">
        <v>2855</v>
      </c>
      <c r="B613" s="154" t="s">
        <v>2846</v>
      </c>
      <c r="C613" s="36" t="s">
        <v>1666</v>
      </c>
      <c r="D613" s="36" t="s">
        <v>1299</v>
      </c>
      <c r="E613" s="36" t="s">
        <v>1299</v>
      </c>
      <c r="F613" s="154" t="s">
        <v>1799</v>
      </c>
      <c r="G613" s="36" t="s">
        <v>28</v>
      </c>
      <c r="H613" s="36" t="s">
        <v>1655</v>
      </c>
      <c r="I613" s="36" t="s">
        <v>1656</v>
      </c>
      <c r="J613" s="36" t="s">
        <v>1656</v>
      </c>
      <c r="K613" s="36" t="s">
        <v>1820</v>
      </c>
      <c r="L613" s="36" t="s">
        <v>2776</v>
      </c>
      <c r="M613" s="36" t="s">
        <v>2776</v>
      </c>
      <c r="N613" s="36" t="s">
        <v>34</v>
      </c>
    </row>
    <row r="614">
      <c r="A614" s="36" t="s">
        <v>2856</v>
      </c>
      <c r="B614" s="154" t="s">
        <v>2846</v>
      </c>
      <c r="C614" s="36" t="s">
        <v>1666</v>
      </c>
      <c r="D614" s="36" t="s">
        <v>582</v>
      </c>
      <c r="E614" s="36" t="s">
        <v>582</v>
      </c>
      <c r="F614" s="154" t="s">
        <v>1683</v>
      </c>
      <c r="G614" s="36" t="s">
        <v>28</v>
      </c>
      <c r="H614" s="36" t="s">
        <v>1655</v>
      </c>
      <c r="I614" s="36" t="s">
        <v>1656</v>
      </c>
      <c r="J614" s="36" t="s">
        <v>1656</v>
      </c>
      <c r="K614" s="36" t="s">
        <v>1823</v>
      </c>
      <c r="L614" s="36" t="s">
        <v>2776</v>
      </c>
      <c r="M614" s="36" t="s">
        <v>2776</v>
      </c>
      <c r="N614" s="36" t="s">
        <v>34</v>
      </c>
    </row>
    <row r="615">
      <c r="A615" s="36" t="s">
        <v>2857</v>
      </c>
      <c r="B615" s="154" t="s">
        <v>2846</v>
      </c>
      <c r="C615" s="36" t="s">
        <v>1666</v>
      </c>
      <c r="D615" s="36" t="s">
        <v>966</v>
      </c>
      <c r="E615" s="36" t="s">
        <v>966</v>
      </c>
      <c r="F615" s="154" t="s">
        <v>2858</v>
      </c>
      <c r="G615" s="36" t="s">
        <v>28</v>
      </c>
      <c r="H615" s="36" t="s">
        <v>1655</v>
      </c>
      <c r="I615" s="36" t="s">
        <v>1656</v>
      </c>
      <c r="J615" s="36" t="s">
        <v>1656</v>
      </c>
      <c r="K615" s="36" t="s">
        <v>1826</v>
      </c>
      <c r="L615" s="36" t="s">
        <v>2776</v>
      </c>
      <c r="M615" s="36" t="s">
        <v>2776</v>
      </c>
      <c r="N615" s="36" t="s">
        <v>32</v>
      </c>
    </row>
    <row r="616">
      <c r="A616" s="36" t="s">
        <v>2859</v>
      </c>
      <c r="B616" s="154" t="s">
        <v>2846</v>
      </c>
      <c r="C616" s="36" t="s">
        <v>1666</v>
      </c>
      <c r="D616" s="36" t="s">
        <v>1315</v>
      </c>
      <c r="E616" s="36" t="s">
        <v>1315</v>
      </c>
      <c r="F616" s="154" t="s">
        <v>2622</v>
      </c>
      <c r="G616" s="36" t="s">
        <v>28</v>
      </c>
      <c r="H616" s="36" t="s">
        <v>1655</v>
      </c>
      <c r="I616" s="36" t="s">
        <v>1656</v>
      </c>
      <c r="J616" s="36" t="s">
        <v>1656</v>
      </c>
      <c r="K616" s="36" t="s">
        <v>1830</v>
      </c>
      <c r="L616" s="36" t="s">
        <v>2776</v>
      </c>
      <c r="M616" s="36" t="s">
        <v>2776</v>
      </c>
      <c r="N616" s="36" t="s">
        <v>32</v>
      </c>
    </row>
    <row r="617">
      <c r="A617" s="36" t="s">
        <v>2860</v>
      </c>
      <c r="B617" s="154" t="s">
        <v>2846</v>
      </c>
      <c r="C617" s="36" t="s">
        <v>1666</v>
      </c>
      <c r="D617" s="36" t="s">
        <v>1321</v>
      </c>
      <c r="E617" s="36" t="s">
        <v>1321</v>
      </c>
      <c r="F617" s="154" t="s">
        <v>1686</v>
      </c>
      <c r="G617" s="36" t="s">
        <v>32</v>
      </c>
      <c r="H617" s="36" t="s">
        <v>1655</v>
      </c>
      <c r="I617" s="36" t="s">
        <v>1656</v>
      </c>
      <c r="J617" s="36" t="s">
        <v>1656</v>
      </c>
      <c r="K617" s="36" t="s">
        <v>1833</v>
      </c>
      <c r="L617" s="36" t="s">
        <v>2776</v>
      </c>
      <c r="M617" s="36" t="s">
        <v>2776</v>
      </c>
      <c r="N617" s="36" t="s">
        <v>32</v>
      </c>
    </row>
    <row r="618">
      <c r="A618" s="36" t="s">
        <v>2861</v>
      </c>
      <c r="B618" s="154" t="s">
        <v>2862</v>
      </c>
      <c r="C618" s="36" t="s">
        <v>1666</v>
      </c>
      <c r="D618" s="36" t="s">
        <v>1326</v>
      </c>
      <c r="E618" s="36" t="s">
        <v>1326</v>
      </c>
      <c r="F618" s="154" t="s">
        <v>2617</v>
      </c>
      <c r="G618" s="36" t="s">
        <v>28</v>
      </c>
      <c r="H618" s="36" t="s">
        <v>1655</v>
      </c>
      <c r="I618" s="36" t="s">
        <v>1656</v>
      </c>
      <c r="J618" s="36" t="s">
        <v>1656</v>
      </c>
      <c r="K618" s="36" t="s">
        <v>1836</v>
      </c>
      <c r="L618" s="36" t="s">
        <v>2776</v>
      </c>
      <c r="M618" s="36" t="s">
        <v>2776</v>
      </c>
      <c r="N618" s="36" t="s">
        <v>32</v>
      </c>
    </row>
    <row r="619">
      <c r="A619" s="36" t="s">
        <v>2863</v>
      </c>
      <c r="B619" s="154" t="s">
        <v>2864</v>
      </c>
      <c r="C619" s="36" t="s">
        <v>1666</v>
      </c>
      <c r="D619" s="36" t="s">
        <v>545</v>
      </c>
      <c r="E619" s="36" t="s">
        <v>545</v>
      </c>
      <c r="F619" s="154" t="s">
        <v>1810</v>
      </c>
      <c r="G619" s="36" t="s">
        <v>32</v>
      </c>
      <c r="H619" s="36" t="s">
        <v>1655</v>
      </c>
      <c r="I619" s="36" t="s">
        <v>1656</v>
      </c>
      <c r="J619" s="36" t="s">
        <v>1656</v>
      </c>
      <c r="K619" s="36" t="s">
        <v>1839</v>
      </c>
      <c r="L619" s="36" t="s">
        <v>2776</v>
      </c>
      <c r="M619" s="36" t="s">
        <v>2776</v>
      </c>
      <c r="N619" s="36" t="s">
        <v>32</v>
      </c>
    </row>
    <row r="620">
      <c r="A620" s="36" t="s">
        <v>2865</v>
      </c>
      <c r="B620" s="154" t="s">
        <v>2866</v>
      </c>
      <c r="C620" s="36" t="s">
        <v>1666</v>
      </c>
      <c r="D620" s="36" t="s">
        <v>714</v>
      </c>
      <c r="E620" s="36" t="s">
        <v>714</v>
      </c>
      <c r="F620" s="154" t="s">
        <v>2867</v>
      </c>
      <c r="G620" s="36" t="s">
        <v>32</v>
      </c>
      <c r="H620" s="36" t="s">
        <v>1655</v>
      </c>
      <c r="I620" s="36" t="s">
        <v>1656</v>
      </c>
      <c r="J620" s="36" t="s">
        <v>1656</v>
      </c>
      <c r="K620" s="36" t="s">
        <v>1891</v>
      </c>
      <c r="L620" s="36" t="s">
        <v>2776</v>
      </c>
      <c r="M620" s="36" t="s">
        <v>2776</v>
      </c>
      <c r="N620" s="36" t="s">
        <v>32</v>
      </c>
    </row>
    <row r="621">
      <c r="A621" s="36" t="s">
        <v>2868</v>
      </c>
      <c r="B621" s="154" t="s">
        <v>2866</v>
      </c>
      <c r="C621" s="36" t="s">
        <v>1666</v>
      </c>
      <c r="D621" s="36" t="s">
        <v>1330</v>
      </c>
      <c r="E621" s="36" t="s">
        <v>1330</v>
      </c>
      <c r="F621" s="154" t="s">
        <v>1871</v>
      </c>
      <c r="G621" s="36" t="s">
        <v>28</v>
      </c>
      <c r="H621" s="36" t="s">
        <v>1655</v>
      </c>
      <c r="I621" s="36" t="s">
        <v>1656</v>
      </c>
      <c r="J621" s="36" t="s">
        <v>1656</v>
      </c>
      <c r="K621" s="36" t="s">
        <v>1842</v>
      </c>
      <c r="L621" s="36" t="s">
        <v>2776</v>
      </c>
      <c r="M621" s="36" t="s">
        <v>2776</v>
      </c>
      <c r="N621" s="36" t="s">
        <v>34</v>
      </c>
    </row>
    <row r="622">
      <c r="A622" s="36" t="s">
        <v>2869</v>
      </c>
      <c r="B622" s="154" t="s">
        <v>2866</v>
      </c>
      <c r="C622" s="36" t="s">
        <v>1666</v>
      </c>
      <c r="D622" s="36" t="s">
        <v>1332</v>
      </c>
      <c r="E622" s="36" t="s">
        <v>1332</v>
      </c>
      <c r="F622" s="154" t="s">
        <v>2870</v>
      </c>
      <c r="G622" s="36" t="s">
        <v>28</v>
      </c>
      <c r="H622" s="36" t="s">
        <v>1655</v>
      </c>
      <c r="I622" s="36" t="s">
        <v>1656</v>
      </c>
      <c r="J622" s="36" t="s">
        <v>1656</v>
      </c>
      <c r="K622" s="36" t="s">
        <v>1845</v>
      </c>
      <c r="L622" s="36" t="s">
        <v>2776</v>
      </c>
      <c r="M622" s="36" t="s">
        <v>2776</v>
      </c>
      <c r="N622" s="36" t="s">
        <v>34</v>
      </c>
    </row>
    <row r="623">
      <c r="A623" s="36" t="s">
        <v>2871</v>
      </c>
      <c r="B623" s="154" t="s">
        <v>2866</v>
      </c>
      <c r="C623" s="36" t="s">
        <v>1666</v>
      </c>
      <c r="D623" s="36" t="s">
        <v>1338</v>
      </c>
      <c r="E623" s="36" t="s">
        <v>1338</v>
      </c>
      <c r="F623" s="154" t="s">
        <v>1768</v>
      </c>
      <c r="G623" s="36" t="s">
        <v>32</v>
      </c>
      <c r="H623" s="36" t="s">
        <v>1655</v>
      </c>
      <c r="I623" s="36" t="s">
        <v>1656</v>
      </c>
      <c r="J623" s="36" t="s">
        <v>1656</v>
      </c>
      <c r="K623" s="36" t="s">
        <v>1848</v>
      </c>
      <c r="L623" s="36" t="s">
        <v>2776</v>
      </c>
      <c r="M623" s="36" t="s">
        <v>2776</v>
      </c>
      <c r="N623" s="36" t="s">
        <v>32</v>
      </c>
    </row>
    <row r="624">
      <c r="A624" s="36" t="s">
        <v>2872</v>
      </c>
      <c r="B624" s="154" t="s">
        <v>2866</v>
      </c>
      <c r="C624" s="36" t="s">
        <v>1666</v>
      </c>
      <c r="D624" s="36" t="s">
        <v>1342</v>
      </c>
      <c r="E624" s="36" t="s">
        <v>1342</v>
      </c>
      <c r="F624" s="154" t="s">
        <v>2388</v>
      </c>
      <c r="G624" s="36" t="s">
        <v>28</v>
      </c>
      <c r="H624" s="36" t="s">
        <v>1655</v>
      </c>
      <c r="I624" s="36" t="s">
        <v>1656</v>
      </c>
      <c r="J624" s="36" t="s">
        <v>1656</v>
      </c>
      <c r="K624" s="36" t="s">
        <v>1851</v>
      </c>
      <c r="L624" s="36" t="s">
        <v>2776</v>
      </c>
      <c r="M624" s="36" t="s">
        <v>2776</v>
      </c>
      <c r="N624" s="36" t="s">
        <v>32</v>
      </c>
    </row>
    <row r="625">
      <c r="A625" s="36" t="s">
        <v>2873</v>
      </c>
      <c r="B625" s="154" t="s">
        <v>2866</v>
      </c>
      <c r="C625" s="36" t="s">
        <v>1666</v>
      </c>
      <c r="D625" s="36" t="s">
        <v>108</v>
      </c>
      <c r="E625" s="36" t="s">
        <v>108</v>
      </c>
      <c r="F625" s="154" t="s">
        <v>1729</v>
      </c>
      <c r="G625" s="36" t="s">
        <v>28</v>
      </c>
      <c r="H625" s="36" t="s">
        <v>1655</v>
      </c>
      <c r="I625" s="36" t="s">
        <v>1656</v>
      </c>
      <c r="J625" s="36" t="s">
        <v>1656</v>
      </c>
      <c r="K625" s="36" t="s">
        <v>1854</v>
      </c>
      <c r="L625" s="36" t="s">
        <v>2776</v>
      </c>
      <c r="M625" s="36" t="s">
        <v>2776</v>
      </c>
      <c r="N625" s="36" t="s">
        <v>32</v>
      </c>
    </row>
    <row r="626">
      <c r="A626" s="36" t="s">
        <v>2874</v>
      </c>
      <c r="B626" s="154" t="s">
        <v>2866</v>
      </c>
      <c r="C626" s="36" t="s">
        <v>1666</v>
      </c>
      <c r="D626" s="36" t="s">
        <v>1353</v>
      </c>
      <c r="E626" s="36" t="s">
        <v>1353</v>
      </c>
      <c r="F626" s="154" t="s">
        <v>2085</v>
      </c>
      <c r="G626" s="36" t="s">
        <v>28</v>
      </c>
      <c r="H626" s="36" t="s">
        <v>1655</v>
      </c>
      <c r="I626" s="36" t="s">
        <v>1656</v>
      </c>
      <c r="J626" s="36" t="s">
        <v>1656</v>
      </c>
      <c r="K626" s="36" t="s">
        <v>1857</v>
      </c>
      <c r="L626" s="36" t="s">
        <v>2776</v>
      </c>
      <c r="M626" s="36" t="s">
        <v>2776</v>
      </c>
      <c r="N626" s="36" t="s">
        <v>32</v>
      </c>
    </row>
    <row r="627">
      <c r="A627" s="36" t="s">
        <v>2875</v>
      </c>
      <c r="B627" s="154" t="s">
        <v>2866</v>
      </c>
      <c r="C627" s="36" t="s">
        <v>1666</v>
      </c>
      <c r="D627" s="36" t="s">
        <v>1347</v>
      </c>
      <c r="E627" s="36" t="s">
        <v>1347</v>
      </c>
      <c r="F627" s="154" t="s">
        <v>2094</v>
      </c>
      <c r="G627" s="36" t="s">
        <v>32</v>
      </c>
      <c r="H627" s="36" t="s">
        <v>1655</v>
      </c>
      <c r="I627" s="36" t="s">
        <v>1656</v>
      </c>
      <c r="J627" s="36" t="s">
        <v>1656</v>
      </c>
      <c r="K627" s="36" t="s">
        <v>1860</v>
      </c>
      <c r="L627" s="36" t="s">
        <v>2776</v>
      </c>
      <c r="M627" s="36" t="s">
        <v>2776</v>
      </c>
      <c r="N627" s="36" t="s">
        <v>32</v>
      </c>
    </row>
    <row r="628">
      <c r="A628" s="36" t="s">
        <v>2876</v>
      </c>
      <c r="B628" s="154" t="s">
        <v>2877</v>
      </c>
      <c r="C628" s="36" t="s">
        <v>1666</v>
      </c>
      <c r="D628" s="36" t="s">
        <v>1359</v>
      </c>
      <c r="E628" s="36" t="s">
        <v>1359</v>
      </c>
      <c r="F628" s="154" t="s">
        <v>1768</v>
      </c>
      <c r="G628" s="36" t="s">
        <v>34</v>
      </c>
      <c r="H628" s="36" t="s">
        <v>1655</v>
      </c>
      <c r="I628" s="36" t="s">
        <v>1656</v>
      </c>
      <c r="J628" s="36" t="s">
        <v>1656</v>
      </c>
      <c r="K628" s="36" t="s">
        <v>1863</v>
      </c>
      <c r="L628" s="36" t="s">
        <v>2776</v>
      </c>
      <c r="M628" s="36" t="s">
        <v>2776</v>
      </c>
      <c r="N628" s="36" t="s">
        <v>32</v>
      </c>
    </row>
    <row r="629">
      <c r="A629" s="36" t="s">
        <v>2878</v>
      </c>
      <c r="B629" s="154" t="s">
        <v>2877</v>
      </c>
      <c r="C629" s="36" t="s">
        <v>1666</v>
      </c>
      <c r="D629" s="36" t="s">
        <v>1364</v>
      </c>
      <c r="E629" s="36" t="s">
        <v>1364</v>
      </c>
      <c r="F629" s="154" t="s">
        <v>1806</v>
      </c>
      <c r="G629" s="36" t="s">
        <v>28</v>
      </c>
      <c r="H629" s="36" t="s">
        <v>1655</v>
      </c>
      <c r="I629" s="36" t="s">
        <v>1656</v>
      </c>
      <c r="J629" s="36" t="s">
        <v>1656</v>
      </c>
      <c r="K629" s="36" t="s">
        <v>1866</v>
      </c>
      <c r="L629" s="36" t="s">
        <v>2776</v>
      </c>
      <c r="M629" s="36" t="s">
        <v>2776</v>
      </c>
      <c r="N629" s="36" t="s">
        <v>32</v>
      </c>
    </row>
    <row r="630">
      <c r="A630" s="36" t="s">
        <v>2879</v>
      </c>
      <c r="B630" s="154" t="s">
        <v>2880</v>
      </c>
      <c r="C630" s="36" t="s">
        <v>1666</v>
      </c>
      <c r="D630" s="36" t="s">
        <v>832</v>
      </c>
      <c r="E630" s="36" t="s">
        <v>832</v>
      </c>
      <c r="F630" s="154" t="s">
        <v>1744</v>
      </c>
      <c r="G630" s="36" t="s">
        <v>28</v>
      </c>
      <c r="H630" s="36" t="s">
        <v>1655</v>
      </c>
      <c r="I630" s="36" t="s">
        <v>1656</v>
      </c>
      <c r="J630" s="36" t="s">
        <v>1656</v>
      </c>
      <c r="K630" s="36" t="s">
        <v>1869</v>
      </c>
      <c r="L630" s="36" t="s">
        <v>2776</v>
      </c>
      <c r="M630" s="36" t="s">
        <v>2776</v>
      </c>
      <c r="N630" s="36" t="s">
        <v>32</v>
      </c>
    </row>
    <row r="631">
      <c r="A631" s="36" t="s">
        <v>2881</v>
      </c>
      <c r="B631" s="154" t="s">
        <v>2882</v>
      </c>
      <c r="C631" s="36" t="s">
        <v>1666</v>
      </c>
      <c r="D631" s="36" t="s">
        <v>81</v>
      </c>
      <c r="E631" s="36" t="s">
        <v>81</v>
      </c>
      <c r="F631" s="154" t="s">
        <v>2883</v>
      </c>
      <c r="G631" s="36" t="s">
        <v>28</v>
      </c>
      <c r="H631" s="36" t="s">
        <v>1655</v>
      </c>
      <c r="I631" s="36" t="s">
        <v>1656</v>
      </c>
      <c r="J631" s="36" t="s">
        <v>1656</v>
      </c>
      <c r="K631" s="36" t="s">
        <v>1921</v>
      </c>
      <c r="L631" s="36" t="s">
        <v>2776</v>
      </c>
      <c r="M631" s="36" t="s">
        <v>2776</v>
      </c>
      <c r="N631" s="36" t="s">
        <v>32</v>
      </c>
    </row>
    <row r="632">
      <c r="A632" s="36" t="s">
        <v>2884</v>
      </c>
      <c r="B632" s="154" t="s">
        <v>2882</v>
      </c>
      <c r="C632" s="36" t="s">
        <v>1666</v>
      </c>
      <c r="D632" s="36" t="s">
        <v>84</v>
      </c>
      <c r="E632" s="36" t="s">
        <v>84</v>
      </c>
      <c r="F632" s="154" t="s">
        <v>2885</v>
      </c>
      <c r="G632" s="36" t="s">
        <v>32</v>
      </c>
      <c r="H632" s="36" t="s">
        <v>1655</v>
      </c>
      <c r="I632" s="36" t="s">
        <v>1656</v>
      </c>
      <c r="J632" s="36" t="s">
        <v>1656</v>
      </c>
      <c r="K632" s="36" t="s">
        <v>1924</v>
      </c>
      <c r="L632" s="36" t="s">
        <v>2776</v>
      </c>
      <c r="M632" s="36" t="s">
        <v>2776</v>
      </c>
      <c r="N632" s="36" t="s">
        <v>32</v>
      </c>
    </row>
    <row r="633">
      <c r="A633" s="36" t="s">
        <v>2886</v>
      </c>
      <c r="B633" s="154" t="s">
        <v>2882</v>
      </c>
      <c r="C633" s="36" t="s">
        <v>1666</v>
      </c>
      <c r="D633" s="36" t="s">
        <v>235</v>
      </c>
      <c r="E633" s="36" t="s">
        <v>235</v>
      </c>
      <c r="F633" s="154" t="s">
        <v>1822</v>
      </c>
      <c r="G633" s="36" t="s">
        <v>28</v>
      </c>
      <c r="H633" s="36" t="s">
        <v>1655</v>
      </c>
      <c r="I633" s="36" t="s">
        <v>1656</v>
      </c>
      <c r="J633" s="36" t="s">
        <v>1656</v>
      </c>
      <c r="K633" s="36" t="s">
        <v>1872</v>
      </c>
      <c r="L633" s="36" t="s">
        <v>2776</v>
      </c>
      <c r="M633" s="36" t="s">
        <v>2776</v>
      </c>
      <c r="N633" s="36" t="s">
        <v>34</v>
      </c>
    </row>
    <row r="634">
      <c r="A634" s="36" t="s">
        <v>2887</v>
      </c>
      <c r="B634" s="154" t="s">
        <v>2882</v>
      </c>
      <c r="C634" s="36" t="s">
        <v>1666</v>
      </c>
      <c r="D634" s="36" t="s">
        <v>209</v>
      </c>
      <c r="E634" s="36" t="s">
        <v>209</v>
      </c>
      <c r="F634" s="154" t="s">
        <v>2888</v>
      </c>
      <c r="G634" s="36" t="s">
        <v>28</v>
      </c>
      <c r="H634" s="36" t="s">
        <v>1655</v>
      </c>
      <c r="I634" s="36" t="s">
        <v>1656</v>
      </c>
      <c r="J634" s="36" t="s">
        <v>1656</v>
      </c>
      <c r="K634" s="36" t="s">
        <v>1875</v>
      </c>
      <c r="L634" s="36" t="s">
        <v>2776</v>
      </c>
      <c r="M634" s="36" t="s">
        <v>2776</v>
      </c>
      <c r="N634" s="36" t="s">
        <v>34</v>
      </c>
    </row>
    <row r="635">
      <c r="A635" s="36" t="s">
        <v>2889</v>
      </c>
      <c r="B635" s="154" t="s">
        <v>2882</v>
      </c>
      <c r="C635" s="36" t="s">
        <v>1666</v>
      </c>
      <c r="D635" s="36" t="s">
        <v>368</v>
      </c>
      <c r="E635" s="36" t="s">
        <v>368</v>
      </c>
      <c r="F635" s="154" t="s">
        <v>2082</v>
      </c>
      <c r="G635" s="36" t="s">
        <v>28</v>
      </c>
      <c r="H635" s="36" t="s">
        <v>1655</v>
      </c>
      <c r="I635" s="36" t="s">
        <v>1656</v>
      </c>
      <c r="J635" s="36" t="s">
        <v>1656</v>
      </c>
      <c r="K635" s="36" t="s">
        <v>1878</v>
      </c>
      <c r="L635" s="36" t="s">
        <v>2776</v>
      </c>
      <c r="M635" s="36" t="s">
        <v>2776</v>
      </c>
      <c r="N635" s="36" t="s">
        <v>34</v>
      </c>
    </row>
    <row r="636">
      <c r="A636" s="36" t="s">
        <v>2890</v>
      </c>
      <c r="B636" s="154" t="s">
        <v>2882</v>
      </c>
      <c r="C636" s="36" t="s">
        <v>1666</v>
      </c>
      <c r="D636" s="36" t="s">
        <v>1374</v>
      </c>
      <c r="E636" s="36" t="s">
        <v>1374</v>
      </c>
      <c r="F636" s="154" t="s">
        <v>1832</v>
      </c>
      <c r="G636" s="36" t="s">
        <v>28</v>
      </c>
      <c r="H636" s="36" t="s">
        <v>1655</v>
      </c>
      <c r="I636" s="36" t="s">
        <v>1656</v>
      </c>
      <c r="J636" s="36" t="s">
        <v>1656</v>
      </c>
      <c r="K636" s="36" t="s">
        <v>1881</v>
      </c>
      <c r="L636" s="36" t="s">
        <v>2776</v>
      </c>
      <c r="M636" s="36" t="s">
        <v>2776</v>
      </c>
      <c r="N636" s="36" t="s">
        <v>34</v>
      </c>
    </row>
    <row r="637">
      <c r="A637" s="36" t="s">
        <v>2891</v>
      </c>
      <c r="B637" s="154" t="s">
        <v>2892</v>
      </c>
      <c r="C637" s="36" t="s">
        <v>1653</v>
      </c>
      <c r="D637" s="36" t="s">
        <v>43</v>
      </c>
      <c r="E637" s="36" t="s">
        <v>39</v>
      </c>
      <c r="F637" s="154" t="s">
        <v>2893</v>
      </c>
      <c r="G637" s="36" t="s">
        <v>32</v>
      </c>
      <c r="H637" s="36" t="s">
        <v>1655</v>
      </c>
      <c r="I637" s="36" t="s">
        <v>1656</v>
      </c>
      <c r="J637" s="36" t="s">
        <v>1656</v>
      </c>
      <c r="K637" s="36" t="s">
        <v>1657</v>
      </c>
      <c r="L637" s="36" t="s">
        <v>2771</v>
      </c>
      <c r="M637" s="36" t="s">
        <v>2771</v>
      </c>
      <c r="N637" s="36" t="s">
        <v>32</v>
      </c>
    </row>
    <row r="638">
      <c r="A638" s="36" t="s">
        <v>2894</v>
      </c>
      <c r="B638" s="154" t="s">
        <v>2892</v>
      </c>
      <c r="C638" s="36" t="s">
        <v>1666</v>
      </c>
      <c r="D638" s="36" t="s">
        <v>85</v>
      </c>
      <c r="E638" s="36" t="s">
        <v>85</v>
      </c>
      <c r="F638" s="154" t="s">
        <v>2895</v>
      </c>
      <c r="G638" s="36" t="s">
        <v>28</v>
      </c>
      <c r="H638" s="36" t="s">
        <v>1655</v>
      </c>
      <c r="I638" s="36" t="s">
        <v>1656</v>
      </c>
      <c r="J638" s="36" t="s">
        <v>1656</v>
      </c>
      <c r="K638" s="36" t="s">
        <v>2775</v>
      </c>
      <c r="L638" s="36" t="s">
        <v>2776</v>
      </c>
      <c r="M638" s="36" t="s">
        <v>2776</v>
      </c>
      <c r="N638" s="36" t="s">
        <v>32</v>
      </c>
    </row>
    <row r="639">
      <c r="A639" s="36" t="s">
        <v>2896</v>
      </c>
      <c r="B639" s="154" t="s">
        <v>2892</v>
      </c>
      <c r="C639" s="36" t="s">
        <v>1666</v>
      </c>
      <c r="D639" s="36" t="s">
        <v>87</v>
      </c>
      <c r="E639" s="36" t="s">
        <v>87</v>
      </c>
      <c r="F639" s="154" t="s">
        <v>2897</v>
      </c>
      <c r="G639" s="36" t="s">
        <v>28</v>
      </c>
      <c r="H639" s="36" t="s">
        <v>1655</v>
      </c>
      <c r="I639" s="36" t="s">
        <v>1656</v>
      </c>
      <c r="J639" s="36" t="s">
        <v>1656</v>
      </c>
      <c r="K639" s="36" t="s">
        <v>2779</v>
      </c>
      <c r="L639" s="36" t="s">
        <v>2776</v>
      </c>
      <c r="M639" s="36" t="s">
        <v>2776</v>
      </c>
      <c r="N639" s="36" t="s">
        <v>32</v>
      </c>
    </row>
    <row r="640">
      <c r="A640" s="36" t="s">
        <v>2898</v>
      </c>
      <c r="B640" s="154" t="s">
        <v>2892</v>
      </c>
      <c r="C640" s="36" t="s">
        <v>1666</v>
      </c>
      <c r="D640" s="36" t="s">
        <v>1122</v>
      </c>
      <c r="E640" s="36" t="s">
        <v>1122</v>
      </c>
      <c r="F640" s="154" t="s">
        <v>2899</v>
      </c>
      <c r="G640" s="36" t="s">
        <v>28</v>
      </c>
      <c r="H640" s="36" t="s">
        <v>1655</v>
      </c>
      <c r="I640" s="36" t="s">
        <v>1656</v>
      </c>
      <c r="J640" s="36" t="s">
        <v>1656</v>
      </c>
      <c r="K640" s="36" t="s">
        <v>2781</v>
      </c>
      <c r="L640" s="36" t="s">
        <v>2776</v>
      </c>
      <c r="M640" s="36" t="s">
        <v>2776</v>
      </c>
      <c r="N640" s="36" t="s">
        <v>32</v>
      </c>
    </row>
    <row r="641">
      <c r="A641" s="36" t="s">
        <v>2900</v>
      </c>
      <c r="B641" s="154" t="s">
        <v>2892</v>
      </c>
      <c r="C641" s="36" t="s">
        <v>1666</v>
      </c>
      <c r="D641" s="36" t="s">
        <v>1127</v>
      </c>
      <c r="E641" s="36" t="s">
        <v>1127</v>
      </c>
      <c r="F641" s="154" t="s">
        <v>2901</v>
      </c>
      <c r="G641" s="36" t="s">
        <v>28</v>
      </c>
      <c r="H641" s="36" t="s">
        <v>1655</v>
      </c>
      <c r="I641" s="36" t="s">
        <v>1656</v>
      </c>
      <c r="J641" s="36" t="s">
        <v>1656</v>
      </c>
      <c r="K641" s="36" t="s">
        <v>1678</v>
      </c>
      <c r="L641" s="36" t="s">
        <v>2776</v>
      </c>
      <c r="M641" s="36" t="s">
        <v>2776</v>
      </c>
      <c r="N641" s="36" t="s">
        <v>32</v>
      </c>
    </row>
    <row r="642">
      <c r="A642" s="36" t="s">
        <v>2902</v>
      </c>
      <c r="B642" s="154" t="s">
        <v>2892</v>
      </c>
      <c r="C642" s="36" t="s">
        <v>1666</v>
      </c>
      <c r="D642" s="36" t="s">
        <v>966</v>
      </c>
      <c r="E642" s="36" t="s">
        <v>966</v>
      </c>
      <c r="F642" s="154" t="s">
        <v>2903</v>
      </c>
      <c r="G642" s="36" t="s">
        <v>28</v>
      </c>
      <c r="H642" s="36" t="s">
        <v>1655</v>
      </c>
      <c r="I642" s="36" t="s">
        <v>1656</v>
      </c>
      <c r="J642" s="36" t="s">
        <v>1656</v>
      </c>
      <c r="K642" s="36" t="s">
        <v>1681</v>
      </c>
      <c r="L642" s="36" t="s">
        <v>2776</v>
      </c>
      <c r="M642" s="36" t="s">
        <v>2776</v>
      </c>
      <c r="N642" s="36" t="s">
        <v>32</v>
      </c>
    </row>
    <row r="643">
      <c r="A643" s="36" t="s">
        <v>2904</v>
      </c>
      <c r="B643" s="154" t="s">
        <v>2892</v>
      </c>
      <c r="C643" s="36" t="s">
        <v>1666</v>
      </c>
      <c r="D643" s="36" t="s">
        <v>1140</v>
      </c>
      <c r="E643" s="36" t="s">
        <v>1140</v>
      </c>
      <c r="F643" s="154" t="s">
        <v>2841</v>
      </c>
      <c r="G643" s="36" t="s">
        <v>28</v>
      </c>
      <c r="H643" s="36" t="s">
        <v>1655</v>
      </c>
      <c r="I643" s="36" t="s">
        <v>1656</v>
      </c>
      <c r="J643" s="36" t="s">
        <v>1656</v>
      </c>
      <c r="K643" s="36" t="s">
        <v>1684</v>
      </c>
      <c r="L643" s="36" t="s">
        <v>2776</v>
      </c>
      <c r="M643" s="36" t="s">
        <v>2776</v>
      </c>
      <c r="N643" s="36" t="s">
        <v>32</v>
      </c>
    </row>
    <row r="644">
      <c r="A644" s="36" t="s">
        <v>2905</v>
      </c>
      <c r="B644" s="154" t="s">
        <v>2892</v>
      </c>
      <c r="C644" s="36" t="s">
        <v>1666</v>
      </c>
      <c r="D644" s="36" t="s">
        <v>1145</v>
      </c>
      <c r="E644" s="36" t="s">
        <v>1145</v>
      </c>
      <c r="F644" s="154" t="s">
        <v>2906</v>
      </c>
      <c r="G644" s="36" t="s">
        <v>28</v>
      </c>
      <c r="H644" s="36" t="s">
        <v>1655</v>
      </c>
      <c r="I644" s="36" t="s">
        <v>1656</v>
      </c>
      <c r="J644" s="36" t="s">
        <v>1656</v>
      </c>
      <c r="K644" s="36" t="s">
        <v>1691</v>
      </c>
      <c r="L644" s="36" t="s">
        <v>2776</v>
      </c>
      <c r="M644" s="36" t="s">
        <v>2776</v>
      </c>
      <c r="N644" s="36" t="s">
        <v>32</v>
      </c>
    </row>
    <row r="645">
      <c r="A645" s="36" t="s">
        <v>2907</v>
      </c>
      <c r="B645" s="154" t="s">
        <v>2892</v>
      </c>
      <c r="C645" s="36" t="s">
        <v>1666</v>
      </c>
      <c r="D645" s="36" t="s">
        <v>966</v>
      </c>
      <c r="E645" s="36" t="s">
        <v>966</v>
      </c>
      <c r="F645" s="154" t="s">
        <v>2908</v>
      </c>
      <c r="G645" s="36" t="s">
        <v>28</v>
      </c>
      <c r="H645" s="36" t="s">
        <v>1655</v>
      </c>
      <c r="I645" s="36" t="s">
        <v>1656</v>
      </c>
      <c r="J645" s="36" t="s">
        <v>1656</v>
      </c>
      <c r="K645" s="36" t="s">
        <v>1695</v>
      </c>
      <c r="L645" s="36" t="s">
        <v>2776</v>
      </c>
      <c r="M645" s="36" t="s">
        <v>2776</v>
      </c>
      <c r="N645" s="36" t="s">
        <v>32</v>
      </c>
    </row>
    <row r="646">
      <c r="A646" s="36" t="s">
        <v>2909</v>
      </c>
      <c r="B646" s="154" t="s">
        <v>2892</v>
      </c>
      <c r="C646" s="36" t="s">
        <v>1666</v>
      </c>
      <c r="D646" s="36" t="s">
        <v>1158</v>
      </c>
      <c r="E646" s="36" t="s">
        <v>1158</v>
      </c>
      <c r="F646" s="154" t="s">
        <v>2690</v>
      </c>
      <c r="G646" s="36" t="s">
        <v>28</v>
      </c>
      <c r="H646" s="36" t="s">
        <v>1655</v>
      </c>
      <c r="I646" s="36" t="s">
        <v>1656</v>
      </c>
      <c r="J646" s="36" t="s">
        <v>1656</v>
      </c>
      <c r="K646" s="36" t="s">
        <v>1698</v>
      </c>
      <c r="L646" s="36" t="s">
        <v>2776</v>
      </c>
      <c r="M646" s="36" t="s">
        <v>2776</v>
      </c>
      <c r="N646" s="36" t="s">
        <v>32</v>
      </c>
    </row>
    <row r="647">
      <c r="A647" s="36" t="s">
        <v>2910</v>
      </c>
      <c r="B647" s="154" t="s">
        <v>2892</v>
      </c>
      <c r="C647" s="36" t="s">
        <v>1666</v>
      </c>
      <c r="D647" s="36" t="s">
        <v>1161</v>
      </c>
      <c r="E647" s="36" t="s">
        <v>1161</v>
      </c>
      <c r="F647" s="154" t="s">
        <v>2911</v>
      </c>
      <c r="G647" s="36" t="s">
        <v>28</v>
      </c>
      <c r="H647" s="36" t="s">
        <v>1655</v>
      </c>
      <c r="I647" s="36" t="s">
        <v>1656</v>
      </c>
      <c r="J647" s="36" t="s">
        <v>1656</v>
      </c>
      <c r="K647" s="36" t="s">
        <v>1701</v>
      </c>
      <c r="L647" s="36" t="s">
        <v>2776</v>
      </c>
      <c r="M647" s="36" t="s">
        <v>2776</v>
      </c>
      <c r="N647" s="36" t="s">
        <v>32</v>
      </c>
    </row>
    <row r="648">
      <c r="A648" s="36" t="s">
        <v>2912</v>
      </c>
      <c r="B648" s="154" t="s">
        <v>2892</v>
      </c>
      <c r="C648" s="36" t="s">
        <v>1666</v>
      </c>
      <c r="D648" s="36" t="s">
        <v>1167</v>
      </c>
      <c r="E648" s="36" t="s">
        <v>1167</v>
      </c>
      <c r="F648" s="154" t="s">
        <v>1932</v>
      </c>
      <c r="G648" s="36" t="s">
        <v>28</v>
      </c>
      <c r="H648" s="36" t="s">
        <v>1655</v>
      </c>
      <c r="I648" s="36" t="s">
        <v>1656</v>
      </c>
      <c r="J648" s="36" t="s">
        <v>1656</v>
      </c>
      <c r="K648" s="36" t="s">
        <v>1704</v>
      </c>
      <c r="L648" s="36" t="s">
        <v>2776</v>
      </c>
      <c r="M648" s="36" t="s">
        <v>2776</v>
      </c>
      <c r="N648" s="36" t="s">
        <v>32</v>
      </c>
    </row>
    <row r="649">
      <c r="A649" s="36" t="s">
        <v>2913</v>
      </c>
      <c r="B649" s="154" t="s">
        <v>2892</v>
      </c>
      <c r="C649" s="36" t="s">
        <v>1666</v>
      </c>
      <c r="D649" s="36" t="s">
        <v>923</v>
      </c>
      <c r="E649" s="36" t="s">
        <v>923</v>
      </c>
      <c r="F649" s="154" t="s">
        <v>1683</v>
      </c>
      <c r="G649" s="36" t="s">
        <v>32</v>
      </c>
      <c r="H649" s="36" t="s">
        <v>1655</v>
      </c>
      <c r="I649" s="36" t="s">
        <v>1656</v>
      </c>
      <c r="J649" s="36" t="s">
        <v>1656</v>
      </c>
      <c r="K649" s="36" t="s">
        <v>1711</v>
      </c>
      <c r="L649" s="36" t="s">
        <v>2776</v>
      </c>
      <c r="M649" s="36" t="s">
        <v>2776</v>
      </c>
      <c r="N649" s="36" t="s">
        <v>32</v>
      </c>
    </row>
    <row r="650">
      <c r="A650" s="36" t="s">
        <v>2914</v>
      </c>
      <c r="B650" s="154" t="s">
        <v>2892</v>
      </c>
      <c r="C650" s="36" t="s">
        <v>1666</v>
      </c>
      <c r="D650" s="36" t="s">
        <v>214</v>
      </c>
      <c r="E650" s="36" t="s">
        <v>214</v>
      </c>
      <c r="F650" s="154" t="s">
        <v>2915</v>
      </c>
      <c r="G650" s="36" t="s">
        <v>28</v>
      </c>
      <c r="H650" s="36" t="s">
        <v>1655</v>
      </c>
      <c r="I650" s="36" t="s">
        <v>1656</v>
      </c>
      <c r="J650" s="36" t="s">
        <v>1656</v>
      </c>
      <c r="K650" s="36" t="s">
        <v>1715</v>
      </c>
      <c r="L650" s="36" t="s">
        <v>2776</v>
      </c>
      <c r="M650" s="36" t="s">
        <v>2776</v>
      </c>
      <c r="N650" s="36" t="s">
        <v>32</v>
      </c>
    </row>
    <row r="651">
      <c r="A651" s="36" t="s">
        <v>2916</v>
      </c>
      <c r="B651" s="154" t="s">
        <v>2892</v>
      </c>
      <c r="C651" s="36" t="s">
        <v>1666</v>
      </c>
      <c r="D651" s="36" t="s">
        <v>299</v>
      </c>
      <c r="E651" s="36" t="s">
        <v>299</v>
      </c>
      <c r="F651" s="154" t="s">
        <v>1806</v>
      </c>
      <c r="G651" s="36" t="s">
        <v>28</v>
      </c>
      <c r="H651" s="36" t="s">
        <v>1655</v>
      </c>
      <c r="I651" s="36" t="s">
        <v>1656</v>
      </c>
      <c r="J651" s="36" t="s">
        <v>1656</v>
      </c>
      <c r="K651" s="36" t="s">
        <v>1717</v>
      </c>
      <c r="L651" s="36" t="s">
        <v>2776</v>
      </c>
      <c r="M651" s="36" t="s">
        <v>2776</v>
      </c>
      <c r="N651" s="36" t="s">
        <v>32</v>
      </c>
    </row>
    <row r="652">
      <c r="A652" s="36" t="s">
        <v>2917</v>
      </c>
      <c r="B652" s="154" t="s">
        <v>2892</v>
      </c>
      <c r="C652" s="36" t="s">
        <v>1666</v>
      </c>
      <c r="D652" s="36" t="s">
        <v>966</v>
      </c>
      <c r="E652" s="36" t="s">
        <v>966</v>
      </c>
      <c r="F652" s="154" t="s">
        <v>1806</v>
      </c>
      <c r="G652" s="36" t="s">
        <v>28</v>
      </c>
      <c r="H652" s="36" t="s">
        <v>1655</v>
      </c>
      <c r="I652" s="36" t="s">
        <v>1656</v>
      </c>
      <c r="J652" s="36" t="s">
        <v>1656</v>
      </c>
      <c r="K652" s="36" t="s">
        <v>1724</v>
      </c>
      <c r="L652" s="36" t="s">
        <v>2776</v>
      </c>
      <c r="M652" s="36" t="s">
        <v>2776</v>
      </c>
      <c r="N652" s="36" t="s">
        <v>32</v>
      </c>
    </row>
    <row r="653">
      <c r="A653" s="36" t="s">
        <v>2918</v>
      </c>
      <c r="B653" s="154" t="s">
        <v>2919</v>
      </c>
      <c r="C653" s="36" t="s">
        <v>1666</v>
      </c>
      <c r="D653" s="36" t="s">
        <v>1194</v>
      </c>
      <c r="E653" s="36" t="s">
        <v>1194</v>
      </c>
      <c r="F653" s="154" t="s">
        <v>2920</v>
      </c>
      <c r="G653" s="36" t="s">
        <v>28</v>
      </c>
      <c r="H653" s="36" t="s">
        <v>1655</v>
      </c>
      <c r="I653" s="36" t="s">
        <v>1656</v>
      </c>
      <c r="J653" s="36" t="s">
        <v>1656</v>
      </c>
      <c r="K653" s="36" t="s">
        <v>1727</v>
      </c>
      <c r="L653" s="36" t="s">
        <v>2776</v>
      </c>
      <c r="M653" s="36" t="s">
        <v>2776</v>
      </c>
      <c r="N653" s="36" t="s">
        <v>34</v>
      </c>
    </row>
    <row r="654">
      <c r="A654" s="36" t="s">
        <v>2921</v>
      </c>
      <c r="B654" s="154" t="s">
        <v>2919</v>
      </c>
      <c r="C654" s="36" t="s">
        <v>1666</v>
      </c>
      <c r="D654" s="36" t="s">
        <v>299</v>
      </c>
      <c r="E654" s="36" t="s">
        <v>299</v>
      </c>
      <c r="F654" s="154" t="s">
        <v>2922</v>
      </c>
      <c r="G654" s="36" t="s">
        <v>28</v>
      </c>
      <c r="H654" s="36" t="s">
        <v>1655</v>
      </c>
      <c r="I654" s="36" t="s">
        <v>1656</v>
      </c>
      <c r="J654" s="36" t="s">
        <v>1656</v>
      </c>
      <c r="K654" s="36" t="s">
        <v>1730</v>
      </c>
      <c r="L654" s="36" t="s">
        <v>2776</v>
      </c>
      <c r="M654" s="36" t="s">
        <v>2776</v>
      </c>
      <c r="N654" s="36" t="s">
        <v>34</v>
      </c>
    </row>
    <row r="655">
      <c r="A655" s="36" t="s">
        <v>2923</v>
      </c>
      <c r="B655" s="154" t="s">
        <v>2919</v>
      </c>
      <c r="C655" s="36" t="s">
        <v>1666</v>
      </c>
      <c r="D655" s="36" t="s">
        <v>368</v>
      </c>
      <c r="E655" s="36" t="s">
        <v>368</v>
      </c>
      <c r="F655" s="154" t="s">
        <v>1874</v>
      </c>
      <c r="G655" s="36" t="s">
        <v>28</v>
      </c>
      <c r="H655" s="36" t="s">
        <v>1655</v>
      </c>
      <c r="I655" s="36" t="s">
        <v>1656</v>
      </c>
      <c r="J655" s="36" t="s">
        <v>1656</v>
      </c>
      <c r="K655" s="36" t="s">
        <v>1732</v>
      </c>
      <c r="L655" s="36" t="s">
        <v>2776</v>
      </c>
      <c r="M655" s="36" t="s">
        <v>2776</v>
      </c>
      <c r="N655" s="36" t="s">
        <v>34</v>
      </c>
    </row>
    <row r="656">
      <c r="A656" s="36" t="s">
        <v>2924</v>
      </c>
      <c r="B656" s="154" t="s">
        <v>2925</v>
      </c>
      <c r="C656" s="36" t="s">
        <v>1666</v>
      </c>
      <c r="D656" s="36" t="s">
        <v>832</v>
      </c>
      <c r="E656" s="36" t="s">
        <v>832</v>
      </c>
      <c r="F656" s="154" t="s">
        <v>1744</v>
      </c>
      <c r="G656" s="36" t="s">
        <v>28</v>
      </c>
      <c r="H656" s="36" t="s">
        <v>1655</v>
      </c>
      <c r="I656" s="36" t="s">
        <v>1656</v>
      </c>
      <c r="J656" s="36" t="s">
        <v>1656</v>
      </c>
      <c r="K656" s="36" t="s">
        <v>1736</v>
      </c>
      <c r="L656" s="36" t="s">
        <v>2776</v>
      </c>
      <c r="M656" s="36" t="s">
        <v>2776</v>
      </c>
      <c r="N656" s="36" t="s">
        <v>32</v>
      </c>
    </row>
    <row r="657">
      <c r="A657" s="36" t="s">
        <v>2926</v>
      </c>
      <c r="B657" s="154" t="s">
        <v>2925</v>
      </c>
      <c r="C657" s="36" t="s">
        <v>1666</v>
      </c>
      <c r="D657" s="36" t="s">
        <v>235</v>
      </c>
      <c r="E657" s="36" t="s">
        <v>235</v>
      </c>
      <c r="F657" s="154" t="s">
        <v>1822</v>
      </c>
      <c r="G657" s="36" t="s">
        <v>28</v>
      </c>
      <c r="H657" s="36" t="s">
        <v>1655</v>
      </c>
      <c r="I657" s="36" t="s">
        <v>1656</v>
      </c>
      <c r="J657" s="36" t="s">
        <v>1656</v>
      </c>
      <c r="K657" s="36" t="s">
        <v>1739</v>
      </c>
      <c r="L657" s="36" t="s">
        <v>2776</v>
      </c>
      <c r="M657" s="36" t="s">
        <v>2776</v>
      </c>
      <c r="N657" s="36" t="s">
        <v>32</v>
      </c>
    </row>
    <row r="658">
      <c r="A658" s="36" t="s">
        <v>2927</v>
      </c>
      <c r="B658" s="154" t="s">
        <v>2928</v>
      </c>
      <c r="C658" s="36" t="s">
        <v>1666</v>
      </c>
      <c r="D658" s="36" t="s">
        <v>966</v>
      </c>
      <c r="E658" s="36" t="s">
        <v>966</v>
      </c>
      <c r="F658" s="154" t="s">
        <v>2730</v>
      </c>
      <c r="G658" s="36" t="s">
        <v>28</v>
      </c>
      <c r="H658" s="36" t="s">
        <v>1655</v>
      </c>
      <c r="I658" s="36" t="s">
        <v>1656</v>
      </c>
      <c r="J658" s="36" t="s">
        <v>1656</v>
      </c>
      <c r="K658" s="36" t="s">
        <v>1742</v>
      </c>
      <c r="L658" s="36" t="s">
        <v>2776</v>
      </c>
      <c r="M658" s="36" t="s">
        <v>2776</v>
      </c>
      <c r="N658" s="36" t="s">
        <v>32</v>
      </c>
    </row>
    <row r="659">
      <c r="A659" s="36" t="s">
        <v>2929</v>
      </c>
      <c r="B659" s="154" t="s">
        <v>2928</v>
      </c>
      <c r="C659" s="36" t="s">
        <v>1666</v>
      </c>
      <c r="D659" s="36" t="s">
        <v>745</v>
      </c>
      <c r="E659" s="36" t="s">
        <v>745</v>
      </c>
      <c r="F659" s="154" t="s">
        <v>2930</v>
      </c>
      <c r="G659" s="36" t="s">
        <v>28</v>
      </c>
      <c r="H659" s="36" t="s">
        <v>1655</v>
      </c>
      <c r="I659" s="36" t="s">
        <v>1656</v>
      </c>
      <c r="J659" s="36" t="s">
        <v>1656</v>
      </c>
      <c r="K659" s="36" t="s">
        <v>1745</v>
      </c>
      <c r="L659" s="36" t="s">
        <v>2776</v>
      </c>
      <c r="M659" s="36" t="s">
        <v>2776</v>
      </c>
      <c r="N659" s="36" t="s">
        <v>32</v>
      </c>
    </row>
    <row r="660">
      <c r="A660" s="36" t="s">
        <v>2931</v>
      </c>
      <c r="B660" s="154" t="s">
        <v>2932</v>
      </c>
      <c r="C660" s="36" t="s">
        <v>1653</v>
      </c>
      <c r="D660" s="36" t="s">
        <v>169</v>
      </c>
      <c r="E660" s="36" t="s">
        <v>39</v>
      </c>
      <c r="F660" s="154" t="s">
        <v>2933</v>
      </c>
      <c r="G660" s="36" t="s">
        <v>32</v>
      </c>
      <c r="H660" s="36" t="s">
        <v>1655</v>
      </c>
      <c r="I660" s="36" t="s">
        <v>1656</v>
      </c>
      <c r="J660" s="36" t="s">
        <v>1656</v>
      </c>
      <c r="K660" s="36" t="s">
        <v>1989</v>
      </c>
      <c r="L660" s="36" t="s">
        <v>2771</v>
      </c>
      <c r="M660" s="36" t="s">
        <v>2771</v>
      </c>
      <c r="N660" s="36" t="s">
        <v>32</v>
      </c>
    </row>
    <row r="661">
      <c r="A661" s="36" t="s">
        <v>2934</v>
      </c>
      <c r="B661" s="154" t="s">
        <v>2932</v>
      </c>
      <c r="C661" s="36" t="s">
        <v>1666</v>
      </c>
      <c r="D661" s="36" t="s">
        <v>64</v>
      </c>
      <c r="E661" s="36" t="s">
        <v>64</v>
      </c>
      <c r="F661" s="154" t="s">
        <v>1707</v>
      </c>
      <c r="G661" s="36" t="s">
        <v>28</v>
      </c>
      <c r="H661" s="36" t="s">
        <v>1655</v>
      </c>
      <c r="I661" s="36" t="s">
        <v>1656</v>
      </c>
      <c r="J661" s="36" t="s">
        <v>1656</v>
      </c>
      <c r="K661" s="36" t="s">
        <v>1708</v>
      </c>
      <c r="L661" s="36" t="s">
        <v>2776</v>
      </c>
      <c r="M661" s="36" t="s">
        <v>2776</v>
      </c>
      <c r="N661" s="36" t="s">
        <v>32</v>
      </c>
    </row>
    <row r="662">
      <c r="A662" s="36" t="s">
        <v>2935</v>
      </c>
      <c r="B662" s="154" t="s">
        <v>2932</v>
      </c>
      <c r="C662" s="36" t="s">
        <v>1666</v>
      </c>
      <c r="D662" s="36" t="s">
        <v>1229</v>
      </c>
      <c r="E662" s="36" t="s">
        <v>1229</v>
      </c>
      <c r="F662" s="154" t="s">
        <v>2936</v>
      </c>
      <c r="G662" s="36" t="s">
        <v>28</v>
      </c>
      <c r="H662" s="36" t="s">
        <v>1655</v>
      </c>
      <c r="I662" s="36" t="s">
        <v>1656</v>
      </c>
      <c r="J662" s="36" t="s">
        <v>1656</v>
      </c>
      <c r="K662" s="36" t="s">
        <v>1773</v>
      </c>
      <c r="L662" s="36" t="s">
        <v>2776</v>
      </c>
      <c r="M662" s="36" t="s">
        <v>2776</v>
      </c>
      <c r="N662" s="36" t="s">
        <v>32</v>
      </c>
    </row>
    <row r="663">
      <c r="A663" s="36" t="s">
        <v>2937</v>
      </c>
      <c r="B663" s="154" t="s">
        <v>2932</v>
      </c>
      <c r="C663" s="36" t="s">
        <v>1666</v>
      </c>
      <c r="D663" s="36" t="s">
        <v>344</v>
      </c>
      <c r="E663" s="36" t="s">
        <v>344</v>
      </c>
      <c r="F663" s="154" t="s">
        <v>1683</v>
      </c>
      <c r="G663" s="36" t="s">
        <v>28</v>
      </c>
      <c r="H663" s="36" t="s">
        <v>1655</v>
      </c>
      <c r="I663" s="36" t="s">
        <v>1656</v>
      </c>
      <c r="J663" s="36" t="s">
        <v>1656</v>
      </c>
      <c r="K663" s="36" t="s">
        <v>1776</v>
      </c>
      <c r="L663" s="36" t="s">
        <v>2776</v>
      </c>
      <c r="M663" s="36" t="s">
        <v>2776</v>
      </c>
      <c r="N663" s="36" t="s">
        <v>32</v>
      </c>
    </row>
    <row r="664">
      <c r="A664" s="36" t="s">
        <v>2938</v>
      </c>
      <c r="B664" s="154" t="s">
        <v>2932</v>
      </c>
      <c r="C664" s="36" t="s">
        <v>1666</v>
      </c>
      <c r="D664" s="36" t="s">
        <v>1157</v>
      </c>
      <c r="E664" s="36" t="s">
        <v>1157</v>
      </c>
      <c r="F664" s="154" t="s">
        <v>1683</v>
      </c>
      <c r="G664" s="36" t="s">
        <v>32</v>
      </c>
      <c r="H664" s="36" t="s">
        <v>1655</v>
      </c>
      <c r="I664" s="36" t="s">
        <v>1656</v>
      </c>
      <c r="J664" s="36" t="s">
        <v>1656</v>
      </c>
      <c r="K664" s="36" t="s">
        <v>1779</v>
      </c>
      <c r="L664" s="36" t="s">
        <v>2776</v>
      </c>
      <c r="M664" s="36" t="s">
        <v>2776</v>
      </c>
      <c r="N664" s="36" t="s">
        <v>32</v>
      </c>
    </row>
    <row r="665">
      <c r="A665" s="36" t="s">
        <v>2939</v>
      </c>
      <c r="B665" s="154" t="s">
        <v>2932</v>
      </c>
      <c r="C665" s="36" t="s">
        <v>1666</v>
      </c>
      <c r="D665" s="36" t="s">
        <v>1243</v>
      </c>
      <c r="E665" s="36" t="s">
        <v>1243</v>
      </c>
      <c r="F665" s="154" t="s">
        <v>2940</v>
      </c>
      <c r="G665" s="36" t="s">
        <v>28</v>
      </c>
      <c r="H665" s="36" t="s">
        <v>1655</v>
      </c>
      <c r="I665" s="36" t="s">
        <v>1656</v>
      </c>
      <c r="J665" s="36" t="s">
        <v>1656</v>
      </c>
      <c r="K665" s="36" t="s">
        <v>1782</v>
      </c>
      <c r="L665" s="36" t="s">
        <v>2776</v>
      </c>
      <c r="M665" s="36" t="s">
        <v>2776</v>
      </c>
      <c r="N665" s="36" t="s">
        <v>32</v>
      </c>
    </row>
    <row r="666">
      <c r="A666" s="36" t="s">
        <v>2941</v>
      </c>
      <c r="B666" s="154" t="s">
        <v>2932</v>
      </c>
      <c r="C666" s="36" t="s">
        <v>1666</v>
      </c>
      <c r="D666" s="36" t="s">
        <v>1249</v>
      </c>
      <c r="E666" s="36" t="s">
        <v>1249</v>
      </c>
      <c r="F666" s="154" t="s">
        <v>1810</v>
      </c>
      <c r="G666" s="36" t="s">
        <v>28</v>
      </c>
      <c r="H666" s="36" t="s">
        <v>1655</v>
      </c>
      <c r="I666" s="36" t="s">
        <v>1656</v>
      </c>
      <c r="J666" s="36" t="s">
        <v>1656</v>
      </c>
      <c r="K666" s="36" t="s">
        <v>1784</v>
      </c>
      <c r="L666" s="36" t="s">
        <v>2776</v>
      </c>
      <c r="M666" s="36" t="s">
        <v>2776</v>
      </c>
      <c r="N666" s="36" t="s">
        <v>34</v>
      </c>
    </row>
    <row r="667">
      <c r="A667" s="36" t="s">
        <v>2942</v>
      </c>
      <c r="B667" s="154" t="s">
        <v>2932</v>
      </c>
      <c r="C667" s="36" t="s">
        <v>1666</v>
      </c>
      <c r="D667" s="36" t="s">
        <v>582</v>
      </c>
      <c r="E667" s="36" t="s">
        <v>582</v>
      </c>
      <c r="F667" s="154" t="s">
        <v>1929</v>
      </c>
      <c r="G667" s="36" t="s">
        <v>28</v>
      </c>
      <c r="H667" s="36" t="s">
        <v>1655</v>
      </c>
      <c r="I667" s="36" t="s">
        <v>1656</v>
      </c>
      <c r="J667" s="36" t="s">
        <v>1656</v>
      </c>
      <c r="K667" s="36" t="s">
        <v>1787</v>
      </c>
      <c r="L667" s="36" t="s">
        <v>2776</v>
      </c>
      <c r="M667" s="36" t="s">
        <v>2776</v>
      </c>
      <c r="N667" s="36" t="s">
        <v>34</v>
      </c>
    </row>
    <row r="668">
      <c r="A668" s="36" t="s">
        <v>2943</v>
      </c>
      <c r="B668" s="154" t="s">
        <v>2944</v>
      </c>
      <c r="C668" s="36" t="s">
        <v>1666</v>
      </c>
      <c r="D668" s="36" t="s">
        <v>218</v>
      </c>
      <c r="E668" s="36" t="s">
        <v>218</v>
      </c>
      <c r="F668" s="154" t="s">
        <v>1768</v>
      </c>
      <c r="G668" s="36" t="s">
        <v>32</v>
      </c>
      <c r="H668" s="36" t="s">
        <v>1655</v>
      </c>
      <c r="I668" s="36" t="s">
        <v>1656</v>
      </c>
      <c r="J668" s="36" t="s">
        <v>1656</v>
      </c>
      <c r="K668" s="36" t="s">
        <v>1790</v>
      </c>
      <c r="L668" s="36" t="s">
        <v>2776</v>
      </c>
      <c r="M668" s="36" t="s">
        <v>2776</v>
      </c>
      <c r="N668" s="36" t="s">
        <v>32</v>
      </c>
    </row>
    <row r="669">
      <c r="A669" s="36" t="s">
        <v>2945</v>
      </c>
      <c r="B669" s="154" t="s">
        <v>2944</v>
      </c>
      <c r="C669" s="36" t="s">
        <v>1666</v>
      </c>
      <c r="D669" s="36" t="s">
        <v>966</v>
      </c>
      <c r="E669" s="36" t="s">
        <v>966</v>
      </c>
      <c r="F669" s="154" t="s">
        <v>2946</v>
      </c>
      <c r="G669" s="36" t="s">
        <v>28</v>
      </c>
      <c r="H669" s="36" t="s">
        <v>1655</v>
      </c>
      <c r="I669" s="36" t="s">
        <v>1656</v>
      </c>
      <c r="J669" s="36" t="s">
        <v>1656</v>
      </c>
      <c r="K669" s="36" t="s">
        <v>1793</v>
      </c>
      <c r="L669" s="36" t="s">
        <v>2776</v>
      </c>
      <c r="M669" s="36" t="s">
        <v>2776</v>
      </c>
      <c r="N669" s="36" t="s">
        <v>32</v>
      </c>
    </row>
    <row r="670">
      <c r="A670" s="36" t="s">
        <v>2947</v>
      </c>
      <c r="B670" s="154" t="s">
        <v>2944</v>
      </c>
      <c r="C670" s="36" t="s">
        <v>1666</v>
      </c>
      <c r="D670" s="36" t="s">
        <v>1271</v>
      </c>
      <c r="E670" s="36" t="s">
        <v>1271</v>
      </c>
      <c r="F670" s="154" t="s">
        <v>1806</v>
      </c>
      <c r="G670" s="36" t="s">
        <v>28</v>
      </c>
      <c r="H670" s="36" t="s">
        <v>1655</v>
      </c>
      <c r="I670" s="36" t="s">
        <v>1656</v>
      </c>
      <c r="J670" s="36" t="s">
        <v>1656</v>
      </c>
      <c r="K670" s="36" t="s">
        <v>1796</v>
      </c>
      <c r="L670" s="36" t="s">
        <v>2776</v>
      </c>
      <c r="M670" s="36" t="s">
        <v>2776</v>
      </c>
      <c r="N670" s="36" t="s">
        <v>32</v>
      </c>
    </row>
    <row r="671">
      <c r="A671" s="36" t="s">
        <v>2948</v>
      </c>
      <c r="B671" s="154" t="s">
        <v>2949</v>
      </c>
      <c r="C671" s="36" t="s">
        <v>1666</v>
      </c>
      <c r="D671" s="36" t="s">
        <v>545</v>
      </c>
      <c r="E671" s="36" t="s">
        <v>545</v>
      </c>
      <c r="F671" s="154" t="s">
        <v>1810</v>
      </c>
      <c r="G671" s="36" t="s">
        <v>32</v>
      </c>
      <c r="H671" s="36" t="s">
        <v>1655</v>
      </c>
      <c r="I671" s="36" t="s">
        <v>1656</v>
      </c>
      <c r="J671" s="36" t="s">
        <v>1656</v>
      </c>
      <c r="K671" s="36" t="s">
        <v>1800</v>
      </c>
      <c r="L671" s="36" t="s">
        <v>2776</v>
      </c>
      <c r="M671" s="36" t="s">
        <v>2776</v>
      </c>
      <c r="N671" s="36" t="s">
        <v>32</v>
      </c>
    </row>
    <row r="672">
      <c r="A672" s="36" t="s">
        <v>2950</v>
      </c>
      <c r="B672" s="154" t="s">
        <v>2949</v>
      </c>
      <c r="C672" s="36" t="s">
        <v>1666</v>
      </c>
      <c r="D672" s="36" t="s">
        <v>124</v>
      </c>
      <c r="E672" s="36" t="s">
        <v>124</v>
      </c>
      <c r="F672" s="154" t="s">
        <v>2951</v>
      </c>
      <c r="G672" s="36" t="s">
        <v>32</v>
      </c>
      <c r="H672" s="36" t="s">
        <v>1655</v>
      </c>
      <c r="I672" s="36" t="s">
        <v>1656</v>
      </c>
      <c r="J672" s="36" t="s">
        <v>1656</v>
      </c>
      <c r="K672" s="36" t="s">
        <v>1803</v>
      </c>
      <c r="L672" s="36" t="s">
        <v>2776</v>
      </c>
      <c r="M672" s="36" t="s">
        <v>2776</v>
      </c>
      <c r="N672" s="36" t="s">
        <v>32</v>
      </c>
    </row>
    <row r="673">
      <c r="A673" s="36" t="s">
        <v>2952</v>
      </c>
      <c r="B673" s="154" t="s">
        <v>2953</v>
      </c>
      <c r="C673" s="36" t="s">
        <v>1666</v>
      </c>
      <c r="D673" s="36" t="s">
        <v>66</v>
      </c>
      <c r="E673" s="36" t="s">
        <v>66</v>
      </c>
      <c r="F673" s="154" t="s">
        <v>2954</v>
      </c>
      <c r="G673" s="36" t="s">
        <v>28</v>
      </c>
      <c r="H673" s="36" t="s">
        <v>1655</v>
      </c>
      <c r="I673" s="36" t="s">
        <v>1656</v>
      </c>
      <c r="J673" s="36" t="s">
        <v>1656</v>
      </c>
      <c r="K673" s="36" t="s">
        <v>1721</v>
      </c>
      <c r="L673" s="36" t="s">
        <v>2776</v>
      </c>
      <c r="M673" s="36" t="s">
        <v>2776</v>
      </c>
      <c r="N673" s="36" t="s">
        <v>32</v>
      </c>
    </row>
    <row r="674">
      <c r="A674" s="36" t="s">
        <v>2955</v>
      </c>
      <c r="B674" s="154" t="s">
        <v>2953</v>
      </c>
      <c r="C674" s="36" t="s">
        <v>1666</v>
      </c>
      <c r="D674" s="36" t="s">
        <v>1282</v>
      </c>
      <c r="E674" s="36" t="s">
        <v>1282</v>
      </c>
      <c r="F674" s="154" t="s">
        <v>2956</v>
      </c>
      <c r="G674" s="36" t="s">
        <v>34</v>
      </c>
      <c r="H674" s="36" t="s">
        <v>1655</v>
      </c>
      <c r="I674" s="36" t="s">
        <v>1656</v>
      </c>
      <c r="J674" s="36" t="s">
        <v>1656</v>
      </c>
      <c r="K674" s="36" t="s">
        <v>1807</v>
      </c>
      <c r="L674" s="36" t="s">
        <v>2776</v>
      </c>
      <c r="M674" s="36" t="s">
        <v>2776</v>
      </c>
      <c r="N674" s="36" t="s">
        <v>32</v>
      </c>
    </row>
    <row r="675">
      <c r="A675" s="36" t="s">
        <v>2957</v>
      </c>
      <c r="B675" s="154" t="s">
        <v>2953</v>
      </c>
      <c r="C675" s="36" t="s">
        <v>1666</v>
      </c>
      <c r="D675" s="36" t="s">
        <v>966</v>
      </c>
      <c r="E675" s="36" t="s">
        <v>966</v>
      </c>
      <c r="F675" s="154" t="s">
        <v>1816</v>
      </c>
      <c r="G675" s="36" t="s">
        <v>28</v>
      </c>
      <c r="H675" s="36" t="s">
        <v>1655</v>
      </c>
      <c r="I675" s="36" t="s">
        <v>1656</v>
      </c>
      <c r="J675" s="36" t="s">
        <v>1656</v>
      </c>
      <c r="K675" s="36" t="s">
        <v>1814</v>
      </c>
      <c r="L675" s="36" t="s">
        <v>2776</v>
      </c>
      <c r="M675" s="36" t="s">
        <v>2776</v>
      </c>
      <c r="N675" s="36" t="s">
        <v>32</v>
      </c>
    </row>
    <row r="676">
      <c r="A676" s="36" t="s">
        <v>2958</v>
      </c>
      <c r="B676" s="154" t="s">
        <v>2959</v>
      </c>
      <c r="C676" s="36" t="s">
        <v>1666</v>
      </c>
      <c r="D676" s="36" t="s">
        <v>1295</v>
      </c>
      <c r="E676" s="36" t="s">
        <v>1295</v>
      </c>
      <c r="F676" s="154" t="s">
        <v>2728</v>
      </c>
      <c r="G676" s="36" t="s">
        <v>32</v>
      </c>
      <c r="H676" s="36" t="s">
        <v>1655</v>
      </c>
      <c r="I676" s="36" t="s">
        <v>1656</v>
      </c>
      <c r="J676" s="36" t="s">
        <v>1656</v>
      </c>
      <c r="K676" s="36" t="s">
        <v>1817</v>
      </c>
      <c r="L676" s="36" t="s">
        <v>2776</v>
      </c>
      <c r="M676" s="36" t="s">
        <v>2776</v>
      </c>
      <c r="N676" s="36" t="s">
        <v>32</v>
      </c>
    </row>
    <row r="677">
      <c r="A677" s="36" t="s">
        <v>2960</v>
      </c>
      <c r="B677" s="154" t="s">
        <v>2961</v>
      </c>
      <c r="C677" s="36" t="s">
        <v>1653</v>
      </c>
      <c r="D677" s="36" t="s">
        <v>55</v>
      </c>
      <c r="E677" s="36" t="s">
        <v>39</v>
      </c>
      <c r="F677" s="154" t="s">
        <v>2962</v>
      </c>
      <c r="G677" s="36" t="s">
        <v>32</v>
      </c>
      <c r="H677" s="36" t="s">
        <v>1655</v>
      </c>
      <c r="I677" s="36" t="s">
        <v>1656</v>
      </c>
      <c r="J677" s="36" t="s">
        <v>1656</v>
      </c>
      <c r="K677" s="36" t="s">
        <v>1749</v>
      </c>
      <c r="L677" s="36" t="s">
        <v>2771</v>
      </c>
      <c r="M677" s="36" t="s">
        <v>2771</v>
      </c>
      <c r="N677" s="36" t="s">
        <v>32</v>
      </c>
    </row>
    <row r="678">
      <c r="A678" s="36" t="s">
        <v>2963</v>
      </c>
      <c r="B678" s="154" t="s">
        <v>2961</v>
      </c>
      <c r="C678" s="36" t="s">
        <v>1666</v>
      </c>
      <c r="D678" s="36" t="s">
        <v>71</v>
      </c>
      <c r="E678" s="36" t="s">
        <v>71</v>
      </c>
      <c r="F678" s="154" t="s">
        <v>2964</v>
      </c>
      <c r="G678" s="36" t="s">
        <v>32</v>
      </c>
      <c r="H678" s="36" t="s">
        <v>1655</v>
      </c>
      <c r="I678" s="36" t="s">
        <v>1656</v>
      </c>
      <c r="J678" s="36" t="s">
        <v>1656</v>
      </c>
      <c r="K678" s="36" t="s">
        <v>1752</v>
      </c>
      <c r="L678" s="36" t="s">
        <v>2776</v>
      </c>
      <c r="M678" s="36" t="s">
        <v>2776</v>
      </c>
      <c r="N678" s="36" t="s">
        <v>32</v>
      </c>
    </row>
    <row r="679">
      <c r="A679" s="36" t="s">
        <v>2965</v>
      </c>
      <c r="B679" s="154" t="s">
        <v>2961</v>
      </c>
      <c r="C679" s="36" t="s">
        <v>1666</v>
      </c>
      <c r="D679" s="36" t="s">
        <v>73</v>
      </c>
      <c r="E679" s="36" t="s">
        <v>73</v>
      </c>
      <c r="F679" s="154" t="s">
        <v>2966</v>
      </c>
      <c r="G679" s="36" t="s">
        <v>28</v>
      </c>
      <c r="H679" s="36" t="s">
        <v>1655</v>
      </c>
      <c r="I679" s="36" t="s">
        <v>1656</v>
      </c>
      <c r="J679" s="36" t="s">
        <v>1656</v>
      </c>
      <c r="K679" s="36" t="s">
        <v>1755</v>
      </c>
      <c r="L679" s="36" t="s">
        <v>2776</v>
      </c>
      <c r="M679" s="36" t="s">
        <v>2776</v>
      </c>
      <c r="N679" s="36" t="s">
        <v>32</v>
      </c>
    </row>
    <row r="680">
      <c r="A680" s="36" t="s">
        <v>2967</v>
      </c>
      <c r="B680" s="154" t="s">
        <v>2961</v>
      </c>
      <c r="C680" s="36" t="s">
        <v>1666</v>
      </c>
      <c r="D680" s="36" t="s">
        <v>74</v>
      </c>
      <c r="E680" s="36" t="s">
        <v>74</v>
      </c>
      <c r="F680" s="154" t="s">
        <v>2968</v>
      </c>
      <c r="G680" s="36" t="s">
        <v>32</v>
      </c>
      <c r="H680" s="36" t="s">
        <v>1655</v>
      </c>
      <c r="I680" s="36" t="s">
        <v>1656</v>
      </c>
      <c r="J680" s="36" t="s">
        <v>1656</v>
      </c>
      <c r="K680" s="36" t="s">
        <v>1757</v>
      </c>
      <c r="L680" s="36" t="s">
        <v>2776</v>
      </c>
      <c r="M680" s="36" t="s">
        <v>2776</v>
      </c>
      <c r="N680" s="36" t="s">
        <v>32</v>
      </c>
    </row>
    <row r="681">
      <c r="A681" s="36" t="s">
        <v>2969</v>
      </c>
      <c r="B681" s="154" t="s">
        <v>2961</v>
      </c>
      <c r="C681" s="36" t="s">
        <v>1666</v>
      </c>
      <c r="D681" s="36" t="s">
        <v>75</v>
      </c>
      <c r="E681" s="36" t="s">
        <v>75</v>
      </c>
      <c r="F681" s="154" t="s">
        <v>2970</v>
      </c>
      <c r="G681" s="36" t="s">
        <v>28</v>
      </c>
      <c r="H681" s="36" t="s">
        <v>1655</v>
      </c>
      <c r="I681" s="36" t="s">
        <v>1656</v>
      </c>
      <c r="J681" s="36" t="s">
        <v>1656</v>
      </c>
      <c r="K681" s="36" t="s">
        <v>1760</v>
      </c>
      <c r="L681" s="36" t="s">
        <v>2776</v>
      </c>
      <c r="M681" s="36" t="s">
        <v>2776</v>
      </c>
      <c r="N681" s="36" t="s">
        <v>32</v>
      </c>
    </row>
    <row r="682">
      <c r="A682" s="36" t="s">
        <v>2971</v>
      </c>
      <c r="B682" s="154" t="s">
        <v>2961</v>
      </c>
      <c r="C682" s="36" t="s">
        <v>1666</v>
      </c>
      <c r="D682" s="36" t="s">
        <v>76</v>
      </c>
      <c r="E682" s="36" t="s">
        <v>76</v>
      </c>
      <c r="F682" s="154" t="s">
        <v>2972</v>
      </c>
      <c r="G682" s="36" t="s">
        <v>28</v>
      </c>
      <c r="H682" s="36" t="s">
        <v>1655</v>
      </c>
      <c r="I682" s="36" t="s">
        <v>1656</v>
      </c>
      <c r="J682" s="36" t="s">
        <v>1656</v>
      </c>
      <c r="K682" s="36" t="s">
        <v>1763</v>
      </c>
      <c r="L682" s="36" t="s">
        <v>2776</v>
      </c>
      <c r="M682" s="36" t="s">
        <v>2776</v>
      </c>
      <c r="N682" s="36" t="s">
        <v>32</v>
      </c>
    </row>
    <row r="683">
      <c r="A683" s="36" t="s">
        <v>2973</v>
      </c>
      <c r="B683" s="154" t="s">
        <v>2961</v>
      </c>
      <c r="C683" s="36" t="s">
        <v>1666</v>
      </c>
      <c r="D683" s="36" t="s">
        <v>919</v>
      </c>
      <c r="E683" s="36" t="s">
        <v>919</v>
      </c>
      <c r="F683" s="154" t="s">
        <v>1765</v>
      </c>
      <c r="G683" s="36" t="s">
        <v>28</v>
      </c>
      <c r="H683" s="36" t="s">
        <v>1655</v>
      </c>
      <c r="I683" s="36" t="s">
        <v>1656</v>
      </c>
      <c r="J683" s="36" t="s">
        <v>1656</v>
      </c>
      <c r="K683" s="36" t="s">
        <v>1766</v>
      </c>
      <c r="L683" s="36" t="s">
        <v>2776</v>
      </c>
      <c r="M683" s="36" t="s">
        <v>2776</v>
      </c>
      <c r="N683" s="36" t="s">
        <v>32</v>
      </c>
    </row>
    <row r="684">
      <c r="A684" s="36" t="s">
        <v>2974</v>
      </c>
      <c r="B684" s="154" t="s">
        <v>2961</v>
      </c>
      <c r="C684" s="36" t="s">
        <v>1666</v>
      </c>
      <c r="D684" s="36" t="s">
        <v>77</v>
      </c>
      <c r="E684" s="36" t="s">
        <v>77</v>
      </c>
      <c r="F684" s="154" t="s">
        <v>1768</v>
      </c>
      <c r="G684" s="36" t="s">
        <v>34</v>
      </c>
      <c r="H684" s="36" t="s">
        <v>1655</v>
      </c>
      <c r="I684" s="36" t="s">
        <v>1656</v>
      </c>
      <c r="J684" s="36" t="s">
        <v>1656</v>
      </c>
      <c r="K684" s="36" t="s">
        <v>1769</v>
      </c>
      <c r="L684" s="36" t="s">
        <v>2776</v>
      </c>
      <c r="M684" s="36" t="s">
        <v>2776</v>
      </c>
      <c r="N684" s="36" t="s">
        <v>32</v>
      </c>
    </row>
    <row r="685">
      <c r="A685" s="36" t="s">
        <v>2975</v>
      </c>
      <c r="B685" s="154" t="s">
        <v>2961</v>
      </c>
      <c r="C685" s="36" t="s">
        <v>1666</v>
      </c>
      <c r="D685" s="36" t="s">
        <v>582</v>
      </c>
      <c r="E685" s="36" t="s">
        <v>582</v>
      </c>
      <c r="F685" s="154" t="s">
        <v>2025</v>
      </c>
      <c r="G685" s="36" t="s">
        <v>28</v>
      </c>
      <c r="H685" s="36" t="s">
        <v>1655</v>
      </c>
      <c r="I685" s="36" t="s">
        <v>1656</v>
      </c>
      <c r="J685" s="36" t="s">
        <v>1656</v>
      </c>
      <c r="K685" s="36" t="s">
        <v>1820</v>
      </c>
      <c r="L685" s="36" t="s">
        <v>2776</v>
      </c>
      <c r="M685" s="36" t="s">
        <v>2776</v>
      </c>
      <c r="N685" s="36" t="s">
        <v>34</v>
      </c>
    </row>
    <row r="686">
      <c r="A686" s="36" t="s">
        <v>2976</v>
      </c>
      <c r="B686" s="154" t="s">
        <v>2961</v>
      </c>
      <c r="C686" s="36" t="s">
        <v>1666</v>
      </c>
      <c r="D686" s="36" t="s">
        <v>533</v>
      </c>
      <c r="E686" s="36" t="s">
        <v>533</v>
      </c>
      <c r="F686" s="154" t="s">
        <v>2920</v>
      </c>
      <c r="G686" s="36" t="s">
        <v>28</v>
      </c>
      <c r="H686" s="36" t="s">
        <v>1655</v>
      </c>
      <c r="I686" s="36" t="s">
        <v>1656</v>
      </c>
      <c r="J686" s="36" t="s">
        <v>1656</v>
      </c>
      <c r="K686" s="36" t="s">
        <v>1823</v>
      </c>
      <c r="L686" s="36" t="s">
        <v>2776</v>
      </c>
      <c r="M686" s="36" t="s">
        <v>2776</v>
      </c>
      <c r="N686" s="36" t="s">
        <v>34</v>
      </c>
    </row>
    <row r="687">
      <c r="A687" s="36" t="s">
        <v>2977</v>
      </c>
      <c r="B687" s="154" t="s">
        <v>2961</v>
      </c>
      <c r="C687" s="36" t="s">
        <v>1666</v>
      </c>
      <c r="D687" s="36" t="s">
        <v>1309</v>
      </c>
      <c r="E687" s="36" t="s">
        <v>1309</v>
      </c>
      <c r="F687" s="154" t="s">
        <v>2325</v>
      </c>
      <c r="G687" s="36" t="s">
        <v>28</v>
      </c>
      <c r="H687" s="36" t="s">
        <v>1655</v>
      </c>
      <c r="I687" s="36" t="s">
        <v>1656</v>
      </c>
      <c r="J687" s="36" t="s">
        <v>1656</v>
      </c>
      <c r="K687" s="36" t="s">
        <v>1826</v>
      </c>
      <c r="L687" s="36" t="s">
        <v>2776</v>
      </c>
      <c r="M687" s="36" t="s">
        <v>2776</v>
      </c>
      <c r="N687" s="36" t="s">
        <v>34</v>
      </c>
    </row>
    <row r="688">
      <c r="A688" s="36" t="s">
        <v>2978</v>
      </c>
      <c r="B688" s="154" t="s">
        <v>2961</v>
      </c>
      <c r="C688" s="36" t="s">
        <v>1666</v>
      </c>
      <c r="D688" s="36" t="s">
        <v>1222</v>
      </c>
      <c r="E688" s="36" t="s">
        <v>1222</v>
      </c>
      <c r="F688" s="154" t="s">
        <v>2979</v>
      </c>
      <c r="G688" s="36" t="s">
        <v>32</v>
      </c>
      <c r="H688" s="36" t="s">
        <v>1655</v>
      </c>
      <c r="I688" s="36" t="s">
        <v>1656</v>
      </c>
      <c r="J688" s="36" t="s">
        <v>1656</v>
      </c>
      <c r="K688" s="36" t="s">
        <v>1830</v>
      </c>
      <c r="L688" s="36" t="s">
        <v>2776</v>
      </c>
      <c r="M688" s="36" t="s">
        <v>2776</v>
      </c>
      <c r="N688" s="36" t="s">
        <v>32</v>
      </c>
    </row>
    <row r="689">
      <c r="A689" s="36" t="s">
        <v>2980</v>
      </c>
      <c r="B689" s="154" t="s">
        <v>2961</v>
      </c>
      <c r="C689" s="36" t="s">
        <v>1666</v>
      </c>
      <c r="D689" s="36" t="s">
        <v>1226</v>
      </c>
      <c r="E689" s="36" t="s">
        <v>1226</v>
      </c>
      <c r="F689" s="154" t="s">
        <v>2981</v>
      </c>
      <c r="G689" s="36" t="s">
        <v>28</v>
      </c>
      <c r="H689" s="36" t="s">
        <v>1655</v>
      </c>
      <c r="I689" s="36" t="s">
        <v>1656</v>
      </c>
      <c r="J689" s="36" t="s">
        <v>1656</v>
      </c>
      <c r="K689" s="36" t="s">
        <v>1833</v>
      </c>
      <c r="L689" s="36" t="s">
        <v>2776</v>
      </c>
      <c r="M689" s="36" t="s">
        <v>2776</v>
      </c>
      <c r="N689" s="36" t="s">
        <v>32</v>
      </c>
    </row>
    <row r="690">
      <c r="A690" s="36" t="s">
        <v>2982</v>
      </c>
      <c r="B690" s="154" t="s">
        <v>2961</v>
      </c>
      <c r="C690" s="36" t="s">
        <v>1666</v>
      </c>
      <c r="D690" s="36" t="s">
        <v>502</v>
      </c>
      <c r="E690" s="36" t="s">
        <v>502</v>
      </c>
      <c r="F690" s="154" t="s">
        <v>2983</v>
      </c>
      <c r="G690" s="36" t="s">
        <v>32</v>
      </c>
      <c r="H690" s="36" t="s">
        <v>1655</v>
      </c>
      <c r="I690" s="36" t="s">
        <v>1656</v>
      </c>
      <c r="J690" s="36" t="s">
        <v>1656</v>
      </c>
      <c r="K690" s="36" t="s">
        <v>1836</v>
      </c>
      <c r="L690" s="36" t="s">
        <v>2776</v>
      </c>
      <c r="M690" s="36" t="s">
        <v>2776</v>
      </c>
      <c r="N690" s="36" t="s">
        <v>32</v>
      </c>
    </row>
    <row r="691">
      <c r="A691" s="36" t="s">
        <v>2984</v>
      </c>
      <c r="B691" s="154" t="s">
        <v>2961</v>
      </c>
      <c r="C691" s="36" t="s">
        <v>1666</v>
      </c>
      <c r="D691" s="36" t="s">
        <v>511</v>
      </c>
      <c r="E691" s="36" t="s">
        <v>511</v>
      </c>
      <c r="F691" s="154" t="s">
        <v>2985</v>
      </c>
      <c r="G691" s="36" t="s">
        <v>28</v>
      </c>
      <c r="H691" s="36" t="s">
        <v>1655</v>
      </c>
      <c r="I691" s="36" t="s">
        <v>1656</v>
      </c>
      <c r="J691" s="36" t="s">
        <v>1656</v>
      </c>
      <c r="K691" s="36" t="s">
        <v>1839</v>
      </c>
      <c r="L691" s="36" t="s">
        <v>2776</v>
      </c>
      <c r="M691" s="36" t="s">
        <v>2776</v>
      </c>
      <c r="N691" s="36" t="s">
        <v>32</v>
      </c>
    </row>
    <row r="692">
      <c r="A692" s="36" t="s">
        <v>2986</v>
      </c>
      <c r="B692" s="154" t="s">
        <v>2961</v>
      </c>
      <c r="C692" s="36" t="s">
        <v>1666</v>
      </c>
      <c r="D692" s="36" t="s">
        <v>978</v>
      </c>
      <c r="E692" s="36" t="s">
        <v>978</v>
      </c>
      <c r="F692" s="154" t="s">
        <v>1683</v>
      </c>
      <c r="G692" s="36" t="s">
        <v>32</v>
      </c>
      <c r="H692" s="36" t="s">
        <v>1655</v>
      </c>
      <c r="I692" s="36" t="s">
        <v>1656</v>
      </c>
      <c r="J692" s="36" t="s">
        <v>1656</v>
      </c>
      <c r="K692" s="36" t="s">
        <v>1842</v>
      </c>
      <c r="L692" s="36" t="s">
        <v>2776</v>
      </c>
      <c r="M692" s="36" t="s">
        <v>2776</v>
      </c>
      <c r="N692" s="36" t="s">
        <v>32</v>
      </c>
    </row>
    <row r="693">
      <c r="A693" s="36" t="s">
        <v>2987</v>
      </c>
      <c r="B693" s="154" t="s">
        <v>2988</v>
      </c>
      <c r="C693" s="36" t="s">
        <v>1666</v>
      </c>
      <c r="D693" s="36" t="s">
        <v>1333</v>
      </c>
      <c r="E693" s="36" t="s">
        <v>1333</v>
      </c>
      <c r="F693" s="154" t="s">
        <v>2989</v>
      </c>
      <c r="G693" s="36" t="s">
        <v>28</v>
      </c>
      <c r="H693" s="36" t="s">
        <v>1655</v>
      </c>
      <c r="I693" s="36" t="s">
        <v>1656</v>
      </c>
      <c r="J693" s="36" t="s">
        <v>1656</v>
      </c>
      <c r="K693" s="36" t="s">
        <v>1845</v>
      </c>
      <c r="L693" s="36" t="s">
        <v>2776</v>
      </c>
      <c r="M693" s="36" t="s">
        <v>2776</v>
      </c>
      <c r="N693" s="36" t="s">
        <v>34</v>
      </c>
    </row>
    <row r="694">
      <c r="A694" s="36" t="s">
        <v>2990</v>
      </c>
      <c r="B694" s="154" t="s">
        <v>2988</v>
      </c>
      <c r="C694" s="36" t="s">
        <v>1666</v>
      </c>
      <c r="D694" s="36" t="s">
        <v>368</v>
      </c>
      <c r="E694" s="36" t="s">
        <v>368</v>
      </c>
      <c r="F694" s="154" t="s">
        <v>1832</v>
      </c>
      <c r="G694" s="36" t="s">
        <v>28</v>
      </c>
      <c r="H694" s="36" t="s">
        <v>1655</v>
      </c>
      <c r="I694" s="36" t="s">
        <v>1656</v>
      </c>
      <c r="J694" s="36" t="s">
        <v>1656</v>
      </c>
      <c r="K694" s="36" t="s">
        <v>1848</v>
      </c>
      <c r="L694" s="36" t="s">
        <v>2776</v>
      </c>
      <c r="M694" s="36" t="s">
        <v>2776</v>
      </c>
      <c r="N694" s="36" t="s">
        <v>34</v>
      </c>
    </row>
    <row r="695">
      <c r="A695" s="36" t="s">
        <v>2991</v>
      </c>
      <c r="B695" s="154" t="s">
        <v>2988</v>
      </c>
      <c r="C695" s="36" t="s">
        <v>1666</v>
      </c>
      <c r="D695" s="36" t="s">
        <v>870</v>
      </c>
      <c r="E695" s="36" t="s">
        <v>870</v>
      </c>
      <c r="F695" s="154" t="s">
        <v>1768</v>
      </c>
      <c r="G695" s="36" t="s">
        <v>28</v>
      </c>
      <c r="H695" s="36" t="s">
        <v>1655</v>
      </c>
      <c r="I695" s="36" t="s">
        <v>1656</v>
      </c>
      <c r="J695" s="36" t="s">
        <v>1656</v>
      </c>
      <c r="K695" s="36" t="s">
        <v>1851</v>
      </c>
      <c r="L695" s="36" t="s">
        <v>2776</v>
      </c>
      <c r="M695" s="36" t="s">
        <v>2776</v>
      </c>
      <c r="N695" s="36" t="s">
        <v>34</v>
      </c>
    </row>
    <row r="696">
      <c r="A696" s="36" t="s">
        <v>2992</v>
      </c>
      <c r="B696" s="154" t="s">
        <v>2993</v>
      </c>
      <c r="C696" s="36" t="s">
        <v>1666</v>
      </c>
      <c r="D696" s="36" t="s">
        <v>209</v>
      </c>
      <c r="E696" s="36" t="s">
        <v>209</v>
      </c>
      <c r="F696" s="154" t="s">
        <v>2870</v>
      </c>
      <c r="G696" s="36" t="s">
        <v>28</v>
      </c>
      <c r="H696" s="36" t="s">
        <v>1655</v>
      </c>
      <c r="I696" s="36" t="s">
        <v>1656</v>
      </c>
      <c r="J696" s="36" t="s">
        <v>1656</v>
      </c>
      <c r="K696" s="36" t="s">
        <v>1854</v>
      </c>
      <c r="L696" s="36" t="s">
        <v>2776</v>
      </c>
      <c r="M696" s="36" t="s">
        <v>2776</v>
      </c>
      <c r="N696" s="36" t="s">
        <v>34</v>
      </c>
    </row>
    <row r="697">
      <c r="A697" s="36" t="s">
        <v>2994</v>
      </c>
      <c r="B697" s="154" t="s">
        <v>2995</v>
      </c>
      <c r="C697" s="36" t="s">
        <v>1666</v>
      </c>
      <c r="D697" s="36" t="s">
        <v>78</v>
      </c>
      <c r="E697" s="36" t="s">
        <v>78</v>
      </c>
      <c r="F697" s="154" t="s">
        <v>1810</v>
      </c>
      <c r="G697" s="36" t="s">
        <v>28</v>
      </c>
      <c r="H697" s="36" t="s">
        <v>1655</v>
      </c>
      <c r="I697" s="36" t="s">
        <v>1656</v>
      </c>
      <c r="J697" s="36" t="s">
        <v>1656</v>
      </c>
      <c r="K697" s="36" t="s">
        <v>1811</v>
      </c>
      <c r="L697" s="36" t="s">
        <v>2776</v>
      </c>
      <c r="M697" s="36" t="s">
        <v>2776</v>
      </c>
      <c r="N697" s="36" t="s">
        <v>32</v>
      </c>
    </row>
    <row r="698">
      <c r="A698" s="36" t="s">
        <v>2996</v>
      </c>
      <c r="B698" s="154" t="s">
        <v>2997</v>
      </c>
      <c r="C698" s="36" t="s">
        <v>1666</v>
      </c>
      <c r="D698" s="36" t="s">
        <v>951</v>
      </c>
      <c r="E698" s="36" t="s">
        <v>951</v>
      </c>
      <c r="F698" s="154" t="s">
        <v>1729</v>
      </c>
      <c r="G698" s="36" t="s">
        <v>28</v>
      </c>
      <c r="H698" s="36" t="s">
        <v>1655</v>
      </c>
      <c r="I698" s="36" t="s">
        <v>1656</v>
      </c>
      <c r="J698" s="36" t="s">
        <v>1656</v>
      </c>
      <c r="K698" s="36" t="s">
        <v>1857</v>
      </c>
      <c r="L698" s="36" t="s">
        <v>2776</v>
      </c>
      <c r="M698" s="36" t="s">
        <v>2776</v>
      </c>
      <c r="N698" s="36" t="s">
        <v>34</v>
      </c>
    </row>
    <row r="699">
      <c r="A699" s="36" t="s">
        <v>2998</v>
      </c>
      <c r="B699" s="154" t="s">
        <v>2997</v>
      </c>
      <c r="C699" s="36" t="s">
        <v>1666</v>
      </c>
      <c r="D699" s="36" t="s">
        <v>1355</v>
      </c>
      <c r="E699" s="36" t="s">
        <v>1355</v>
      </c>
      <c r="F699" s="154" t="s">
        <v>2085</v>
      </c>
      <c r="G699" s="36" t="s">
        <v>28</v>
      </c>
      <c r="H699" s="36" t="s">
        <v>1655</v>
      </c>
      <c r="I699" s="36" t="s">
        <v>1656</v>
      </c>
      <c r="J699" s="36" t="s">
        <v>1656</v>
      </c>
      <c r="K699" s="36" t="s">
        <v>1860</v>
      </c>
      <c r="L699" s="36" t="s">
        <v>2776</v>
      </c>
      <c r="M699" s="36" t="s">
        <v>2776</v>
      </c>
      <c r="N699" s="36" t="s">
        <v>34</v>
      </c>
    </row>
    <row r="700">
      <c r="A700" s="36" t="s">
        <v>2999</v>
      </c>
      <c r="B700" s="154" t="s">
        <v>2997</v>
      </c>
      <c r="C700" s="36" t="s">
        <v>1666</v>
      </c>
      <c r="D700" s="36" t="s">
        <v>239</v>
      </c>
      <c r="E700" s="36" t="s">
        <v>239</v>
      </c>
      <c r="F700" s="154" t="s">
        <v>2514</v>
      </c>
      <c r="G700" s="36" t="s">
        <v>28</v>
      </c>
      <c r="H700" s="36" t="s">
        <v>1655</v>
      </c>
      <c r="I700" s="36" t="s">
        <v>1656</v>
      </c>
      <c r="J700" s="36" t="s">
        <v>1656</v>
      </c>
      <c r="K700" s="36" t="s">
        <v>1863</v>
      </c>
      <c r="L700" s="36" t="s">
        <v>2776</v>
      </c>
      <c r="M700" s="36" t="s">
        <v>2776</v>
      </c>
      <c r="N700" s="36" t="s">
        <v>34</v>
      </c>
    </row>
    <row r="701">
      <c r="A701" s="36" t="s">
        <v>3000</v>
      </c>
      <c r="B701" s="154" t="s">
        <v>2997</v>
      </c>
      <c r="C701" s="36" t="s">
        <v>1666</v>
      </c>
      <c r="D701" s="36" t="s">
        <v>533</v>
      </c>
      <c r="E701" s="36" t="s">
        <v>533</v>
      </c>
      <c r="F701" s="154" t="s">
        <v>2269</v>
      </c>
      <c r="G701" s="36" t="s">
        <v>28</v>
      </c>
      <c r="H701" s="36" t="s">
        <v>1655</v>
      </c>
      <c r="I701" s="36" t="s">
        <v>1656</v>
      </c>
      <c r="J701" s="36" t="s">
        <v>1656</v>
      </c>
      <c r="K701" s="36" t="s">
        <v>1866</v>
      </c>
      <c r="L701" s="36" t="s">
        <v>2776</v>
      </c>
      <c r="M701" s="36" t="s">
        <v>2776</v>
      </c>
      <c r="N701" s="36" t="s">
        <v>34</v>
      </c>
    </row>
    <row r="702">
      <c r="A702" s="36" t="s">
        <v>3001</v>
      </c>
      <c r="B702" s="154" t="s">
        <v>3002</v>
      </c>
      <c r="C702" s="36" t="s">
        <v>1666</v>
      </c>
      <c r="D702" s="36" t="s">
        <v>368</v>
      </c>
      <c r="E702" s="36" t="s">
        <v>368</v>
      </c>
      <c r="F702" s="154" t="s">
        <v>1781</v>
      </c>
      <c r="G702" s="36" t="s">
        <v>28</v>
      </c>
      <c r="H702" s="36" t="s">
        <v>1655</v>
      </c>
      <c r="I702" s="36" t="s">
        <v>1656</v>
      </c>
      <c r="J702" s="36" t="s">
        <v>1656</v>
      </c>
      <c r="K702" s="36" t="s">
        <v>1869</v>
      </c>
      <c r="L702" s="36" t="s">
        <v>2776</v>
      </c>
      <c r="M702" s="36" t="s">
        <v>2776</v>
      </c>
      <c r="N702" s="36" t="s">
        <v>34</v>
      </c>
    </row>
    <row r="703">
      <c r="A703" s="36" t="s">
        <v>3003</v>
      </c>
      <c r="B703" s="154" t="s">
        <v>3004</v>
      </c>
      <c r="C703" s="36" t="s">
        <v>1666</v>
      </c>
      <c r="D703" s="36" t="s">
        <v>1369</v>
      </c>
      <c r="E703" s="36" t="s">
        <v>1369</v>
      </c>
      <c r="F703" s="154" t="s">
        <v>1810</v>
      </c>
      <c r="G703" s="36" t="s">
        <v>32</v>
      </c>
      <c r="H703" s="36" t="s">
        <v>1655</v>
      </c>
      <c r="I703" s="36" t="s">
        <v>1656</v>
      </c>
      <c r="J703" s="36" t="s">
        <v>1656</v>
      </c>
      <c r="K703" s="36" t="s">
        <v>1872</v>
      </c>
      <c r="L703" s="36" t="s">
        <v>2776</v>
      </c>
      <c r="M703" s="36" t="s">
        <v>2776</v>
      </c>
      <c r="N703" s="36" t="s">
        <v>32</v>
      </c>
    </row>
    <row r="704">
      <c r="A704" s="36" t="s">
        <v>3005</v>
      </c>
      <c r="B704" s="154" t="s">
        <v>3004</v>
      </c>
      <c r="C704" s="36" t="s">
        <v>1666</v>
      </c>
      <c r="D704" s="36" t="s">
        <v>1372</v>
      </c>
      <c r="E704" s="36" t="s">
        <v>1372</v>
      </c>
      <c r="F704" s="154" t="s">
        <v>1729</v>
      </c>
      <c r="G704" s="36" t="s">
        <v>34</v>
      </c>
      <c r="H704" s="36" t="s">
        <v>1655</v>
      </c>
      <c r="I704" s="36" t="s">
        <v>1656</v>
      </c>
      <c r="J704" s="36" t="s">
        <v>1656</v>
      </c>
      <c r="K704" s="36" t="s">
        <v>1875</v>
      </c>
      <c r="L704" s="36" t="s">
        <v>2776</v>
      </c>
      <c r="M704" s="36" t="s">
        <v>2776</v>
      </c>
      <c r="N704" s="36" t="s">
        <v>32</v>
      </c>
    </row>
    <row r="705">
      <c r="A705" s="36" t="s">
        <v>3006</v>
      </c>
      <c r="B705" s="154" t="s">
        <v>3004</v>
      </c>
      <c r="C705" s="36" t="s">
        <v>1666</v>
      </c>
      <c r="D705" s="36" t="s">
        <v>1373</v>
      </c>
      <c r="E705" s="36" t="s">
        <v>1373</v>
      </c>
      <c r="F705" s="154" t="s">
        <v>1816</v>
      </c>
      <c r="G705" s="36" t="s">
        <v>28</v>
      </c>
      <c r="H705" s="36" t="s">
        <v>1655</v>
      </c>
      <c r="I705" s="36" t="s">
        <v>1656</v>
      </c>
      <c r="J705" s="36" t="s">
        <v>1656</v>
      </c>
      <c r="K705" s="36" t="s">
        <v>1878</v>
      </c>
      <c r="L705" s="36" t="s">
        <v>2776</v>
      </c>
      <c r="M705" s="36" t="s">
        <v>2776</v>
      </c>
      <c r="N705" s="36" t="s">
        <v>32</v>
      </c>
    </row>
    <row r="706">
      <c r="A706" s="36" t="s">
        <v>3007</v>
      </c>
      <c r="B706" s="154" t="s">
        <v>3008</v>
      </c>
      <c r="C706" s="36" t="s">
        <v>1666</v>
      </c>
      <c r="D706" s="36" t="s">
        <v>299</v>
      </c>
      <c r="E706" s="36" t="s">
        <v>299</v>
      </c>
      <c r="F706" s="154" t="s">
        <v>1768</v>
      </c>
      <c r="G706" s="36" t="s">
        <v>28</v>
      </c>
      <c r="H706" s="36" t="s">
        <v>1655</v>
      </c>
      <c r="I706" s="36" t="s">
        <v>1656</v>
      </c>
      <c r="J706" s="36" t="s">
        <v>1656</v>
      </c>
      <c r="K706" s="36" t="s">
        <v>1909</v>
      </c>
      <c r="L706" s="36" t="s">
        <v>2776</v>
      </c>
      <c r="M706" s="36" t="s">
        <v>2776</v>
      </c>
      <c r="N706" s="36" t="s">
        <v>34</v>
      </c>
    </row>
    <row r="707">
      <c r="A707" s="36" t="s">
        <v>3009</v>
      </c>
      <c r="B707" s="154" t="s">
        <v>3008</v>
      </c>
      <c r="C707" s="36" t="s">
        <v>1666</v>
      </c>
      <c r="D707" s="36" t="s">
        <v>533</v>
      </c>
      <c r="E707" s="36" t="s">
        <v>533</v>
      </c>
      <c r="F707" s="154" t="s">
        <v>3010</v>
      </c>
      <c r="G707" s="36" t="s">
        <v>28</v>
      </c>
      <c r="H707" s="36" t="s">
        <v>1655</v>
      </c>
      <c r="I707" s="36" t="s">
        <v>1656</v>
      </c>
      <c r="J707" s="36" t="s">
        <v>1656</v>
      </c>
      <c r="K707" s="36" t="s">
        <v>1912</v>
      </c>
      <c r="L707" s="36" t="s">
        <v>2776</v>
      </c>
      <c r="M707" s="36" t="s">
        <v>2776</v>
      </c>
      <c r="N707" s="36" t="s">
        <v>34</v>
      </c>
    </row>
    <row r="708">
      <c r="A708" s="36" t="s">
        <v>3011</v>
      </c>
      <c r="B708" s="154" t="s">
        <v>3008</v>
      </c>
      <c r="C708" s="36" t="s">
        <v>1666</v>
      </c>
      <c r="D708" s="36" t="s">
        <v>582</v>
      </c>
      <c r="E708" s="36" t="s">
        <v>582</v>
      </c>
      <c r="F708" s="154" t="s">
        <v>1929</v>
      </c>
      <c r="G708" s="36" t="s">
        <v>28</v>
      </c>
      <c r="H708" s="36" t="s">
        <v>1655</v>
      </c>
      <c r="I708" s="36" t="s">
        <v>1656</v>
      </c>
      <c r="J708" s="36" t="s">
        <v>1656</v>
      </c>
      <c r="K708" s="36" t="s">
        <v>1914</v>
      </c>
      <c r="L708" s="36" t="s">
        <v>2776</v>
      </c>
      <c r="M708" s="36" t="s">
        <v>2776</v>
      </c>
      <c r="N708" s="36" t="s">
        <v>34</v>
      </c>
    </row>
    <row r="709">
      <c r="A709" s="36" t="s">
        <v>3012</v>
      </c>
      <c r="B709" s="154" t="s">
        <v>3008</v>
      </c>
      <c r="C709" s="36" t="s">
        <v>1666</v>
      </c>
      <c r="D709" s="36" t="s">
        <v>788</v>
      </c>
      <c r="E709" s="36" t="s">
        <v>788</v>
      </c>
      <c r="F709" s="154" t="s">
        <v>1806</v>
      </c>
      <c r="G709" s="36" t="s">
        <v>28</v>
      </c>
      <c r="H709" s="36" t="s">
        <v>1655</v>
      </c>
      <c r="I709" s="36" t="s">
        <v>1656</v>
      </c>
      <c r="J709" s="36" t="s">
        <v>1656</v>
      </c>
      <c r="K709" s="36" t="s">
        <v>1917</v>
      </c>
      <c r="L709" s="36" t="s">
        <v>2776</v>
      </c>
      <c r="M709" s="36" t="s">
        <v>2776</v>
      </c>
      <c r="N709" s="36" t="s">
        <v>34</v>
      </c>
    </row>
    <row r="710">
      <c r="A710" s="36" t="s">
        <v>3013</v>
      </c>
      <c r="B710" s="154" t="s">
        <v>3014</v>
      </c>
      <c r="C710" s="36" t="s">
        <v>1666</v>
      </c>
      <c r="D710" s="36" t="s">
        <v>714</v>
      </c>
      <c r="E710" s="36" t="s">
        <v>714</v>
      </c>
      <c r="F710" s="154" t="s">
        <v>3015</v>
      </c>
      <c r="G710" s="36" t="s">
        <v>32</v>
      </c>
      <c r="H710" s="36" t="s">
        <v>1655</v>
      </c>
      <c r="I710" s="36" t="s">
        <v>1656</v>
      </c>
      <c r="J710" s="36" t="s">
        <v>1656</v>
      </c>
      <c r="K710" s="36" t="s">
        <v>1891</v>
      </c>
      <c r="L710" s="36" t="s">
        <v>2776</v>
      </c>
      <c r="M710" s="36" t="s">
        <v>2776</v>
      </c>
      <c r="N710" s="36" t="s">
        <v>32</v>
      </c>
    </row>
    <row r="711">
      <c r="A711" s="36" t="s">
        <v>3016</v>
      </c>
      <c r="B711" s="154" t="s">
        <v>3014</v>
      </c>
      <c r="C711" s="36" t="s">
        <v>1666</v>
      </c>
      <c r="D711" s="36" t="s">
        <v>834</v>
      </c>
      <c r="E711" s="36" t="s">
        <v>834</v>
      </c>
      <c r="F711" s="154" t="s">
        <v>3017</v>
      </c>
      <c r="G711" s="36" t="s">
        <v>32</v>
      </c>
      <c r="H711" s="36" t="s">
        <v>1655</v>
      </c>
      <c r="I711" s="36" t="s">
        <v>1656</v>
      </c>
      <c r="J711" s="36" t="s">
        <v>1656</v>
      </c>
      <c r="K711" s="36" t="s">
        <v>1881</v>
      </c>
      <c r="L711" s="36" t="s">
        <v>2776</v>
      </c>
      <c r="M711" s="36" t="s">
        <v>2776</v>
      </c>
      <c r="N711" s="36" t="s">
        <v>32</v>
      </c>
    </row>
    <row r="712">
      <c r="A712" s="36" t="s">
        <v>3018</v>
      </c>
      <c r="B712" s="154" t="s">
        <v>3014</v>
      </c>
      <c r="C712" s="36" t="s">
        <v>1666</v>
      </c>
      <c r="D712" s="36" t="s">
        <v>607</v>
      </c>
      <c r="E712" s="36" t="s">
        <v>607</v>
      </c>
      <c r="F712" s="154" t="s">
        <v>1926</v>
      </c>
      <c r="G712" s="36" t="s">
        <v>32</v>
      </c>
      <c r="H712" s="36" t="s">
        <v>1655</v>
      </c>
      <c r="I712" s="36" t="s">
        <v>1656</v>
      </c>
      <c r="J712" s="36" t="s">
        <v>1656</v>
      </c>
      <c r="K712" s="36" t="s">
        <v>1884</v>
      </c>
      <c r="L712" s="36" t="s">
        <v>2776</v>
      </c>
      <c r="M712" s="36" t="s">
        <v>2776</v>
      </c>
      <c r="N712" s="36" t="s">
        <v>32</v>
      </c>
    </row>
    <row r="713">
      <c r="A713" s="36" t="s">
        <v>3019</v>
      </c>
      <c r="B713" s="154" t="s">
        <v>3014</v>
      </c>
      <c r="C713" s="36" t="s">
        <v>1666</v>
      </c>
      <c r="D713" s="36" t="s">
        <v>1378</v>
      </c>
      <c r="E713" s="36" t="s">
        <v>1378</v>
      </c>
      <c r="F713" s="154" t="s">
        <v>1874</v>
      </c>
      <c r="G713" s="36" t="s">
        <v>32</v>
      </c>
      <c r="H713" s="36" t="s">
        <v>1655</v>
      </c>
      <c r="I713" s="36" t="s">
        <v>1656</v>
      </c>
      <c r="J713" s="36" t="s">
        <v>1656</v>
      </c>
      <c r="K713" s="36" t="s">
        <v>1887</v>
      </c>
      <c r="L713" s="36" t="s">
        <v>2776</v>
      </c>
      <c r="M713" s="36" t="s">
        <v>2776</v>
      </c>
      <c r="N713" s="36" t="s">
        <v>32</v>
      </c>
    </row>
    <row r="714">
      <c r="A714" s="36" t="s">
        <v>3020</v>
      </c>
      <c r="B714" s="154" t="s">
        <v>3014</v>
      </c>
      <c r="C714" s="36" t="s">
        <v>1666</v>
      </c>
      <c r="D714" s="36" t="s">
        <v>1381</v>
      </c>
      <c r="E714" s="36" t="s">
        <v>1381</v>
      </c>
      <c r="F714" s="154" t="s">
        <v>3021</v>
      </c>
      <c r="G714" s="36" t="s">
        <v>32</v>
      </c>
      <c r="H714" s="36" t="s">
        <v>1655</v>
      </c>
      <c r="I714" s="36" t="s">
        <v>1656</v>
      </c>
      <c r="J714" s="36" t="s">
        <v>1656</v>
      </c>
      <c r="K714" s="36" t="s">
        <v>1894</v>
      </c>
      <c r="L714" s="36" t="s">
        <v>2776</v>
      </c>
      <c r="M714" s="36" t="s">
        <v>2776</v>
      </c>
      <c r="N714" s="36" t="s">
        <v>32</v>
      </c>
    </row>
    <row r="715">
      <c r="A715" s="36" t="s">
        <v>3022</v>
      </c>
      <c r="B715" s="154" t="s">
        <v>3014</v>
      </c>
      <c r="C715" s="36" t="s">
        <v>1666</v>
      </c>
      <c r="D715" s="36" t="s">
        <v>1366</v>
      </c>
      <c r="E715" s="36" t="s">
        <v>1366</v>
      </c>
      <c r="F715" s="154" t="s">
        <v>2094</v>
      </c>
      <c r="G715" s="36" t="s">
        <v>32</v>
      </c>
      <c r="H715" s="36" t="s">
        <v>1655</v>
      </c>
      <c r="I715" s="36" t="s">
        <v>1656</v>
      </c>
      <c r="J715" s="36" t="s">
        <v>1656</v>
      </c>
      <c r="K715" s="36" t="s">
        <v>1897</v>
      </c>
      <c r="L715" s="36" t="s">
        <v>2776</v>
      </c>
      <c r="M715" s="36" t="s">
        <v>2776</v>
      </c>
      <c r="N715" s="36" t="s">
        <v>32</v>
      </c>
    </row>
    <row r="716">
      <c r="A716" s="36" t="s">
        <v>3023</v>
      </c>
      <c r="B716" s="154" t="s">
        <v>3024</v>
      </c>
      <c r="C716" s="36" t="s">
        <v>1666</v>
      </c>
      <c r="D716" s="36" t="s">
        <v>295</v>
      </c>
      <c r="E716" s="36" t="s">
        <v>295</v>
      </c>
      <c r="F716" s="154" t="s">
        <v>3025</v>
      </c>
      <c r="G716" s="36" t="s">
        <v>28</v>
      </c>
      <c r="H716" s="36" t="s">
        <v>1655</v>
      </c>
      <c r="I716" s="36" t="s">
        <v>1656</v>
      </c>
      <c r="J716" s="36" t="s">
        <v>1656</v>
      </c>
      <c r="K716" s="36" t="s">
        <v>1927</v>
      </c>
      <c r="L716" s="36" t="s">
        <v>2776</v>
      </c>
      <c r="M716" s="36" t="s">
        <v>2776</v>
      </c>
      <c r="N716" s="36" t="s">
        <v>34</v>
      </c>
    </row>
    <row r="717">
      <c r="A717" s="36" t="s">
        <v>3026</v>
      </c>
      <c r="B717" s="154" t="s">
        <v>3024</v>
      </c>
      <c r="C717" s="36" t="s">
        <v>1666</v>
      </c>
      <c r="D717" s="36" t="s">
        <v>582</v>
      </c>
      <c r="E717" s="36" t="s">
        <v>582</v>
      </c>
      <c r="F717" s="154" t="s">
        <v>2021</v>
      </c>
      <c r="G717" s="36" t="s">
        <v>28</v>
      </c>
      <c r="H717" s="36" t="s">
        <v>1655</v>
      </c>
      <c r="I717" s="36" t="s">
        <v>1656</v>
      </c>
      <c r="J717" s="36" t="s">
        <v>1656</v>
      </c>
      <c r="K717" s="36" t="s">
        <v>1930</v>
      </c>
      <c r="L717" s="36" t="s">
        <v>2776</v>
      </c>
      <c r="M717" s="36" t="s">
        <v>2776</v>
      </c>
      <c r="N717" s="36" t="s">
        <v>34</v>
      </c>
    </row>
    <row r="718">
      <c r="A718" s="36" t="s">
        <v>3027</v>
      </c>
      <c r="B718" s="154" t="s">
        <v>3024</v>
      </c>
      <c r="C718" s="36" t="s">
        <v>1666</v>
      </c>
      <c r="D718" s="36" t="s">
        <v>214</v>
      </c>
      <c r="E718" s="36" t="s">
        <v>214</v>
      </c>
      <c r="F718" s="154" t="s">
        <v>3028</v>
      </c>
      <c r="G718" s="36" t="s">
        <v>28</v>
      </c>
      <c r="H718" s="36" t="s">
        <v>1655</v>
      </c>
      <c r="I718" s="36" t="s">
        <v>1656</v>
      </c>
      <c r="J718" s="36" t="s">
        <v>1656</v>
      </c>
      <c r="K718" s="36" t="s">
        <v>1933</v>
      </c>
      <c r="L718" s="36" t="s">
        <v>2776</v>
      </c>
      <c r="M718" s="36" t="s">
        <v>2776</v>
      </c>
      <c r="N718" s="36" t="s">
        <v>34</v>
      </c>
    </row>
    <row r="719">
      <c r="A719" s="36" t="s">
        <v>3029</v>
      </c>
      <c r="B719" s="154" t="s">
        <v>3030</v>
      </c>
      <c r="C719" s="36" t="s">
        <v>1666</v>
      </c>
      <c r="D719" s="36" t="s">
        <v>81</v>
      </c>
      <c r="E719" s="36" t="s">
        <v>81</v>
      </c>
      <c r="F719" s="154" t="s">
        <v>3031</v>
      </c>
      <c r="G719" s="36" t="s">
        <v>28</v>
      </c>
      <c r="H719" s="36" t="s">
        <v>1655</v>
      </c>
      <c r="I719" s="36" t="s">
        <v>1656</v>
      </c>
      <c r="J719" s="36" t="s">
        <v>1656</v>
      </c>
      <c r="K719" s="36" t="s">
        <v>3032</v>
      </c>
      <c r="L719" s="36" t="s">
        <v>2776</v>
      </c>
      <c r="M719" s="36" t="s">
        <v>2776</v>
      </c>
      <c r="N719" s="36" t="s">
        <v>32</v>
      </c>
    </row>
    <row r="720">
      <c r="A720" s="36" t="s">
        <v>3033</v>
      </c>
      <c r="B720" s="154" t="s">
        <v>3030</v>
      </c>
      <c r="C720" s="36" t="s">
        <v>1666</v>
      </c>
      <c r="D720" s="36" t="s">
        <v>83</v>
      </c>
      <c r="E720" s="36" t="s">
        <v>83</v>
      </c>
      <c r="F720" s="154" t="s">
        <v>3034</v>
      </c>
      <c r="G720" s="36" t="s">
        <v>28</v>
      </c>
      <c r="H720" s="36" t="s">
        <v>1655</v>
      </c>
      <c r="I720" s="36" t="s">
        <v>1656</v>
      </c>
      <c r="J720" s="36" t="s">
        <v>1656</v>
      </c>
      <c r="K720" s="36" t="s">
        <v>3035</v>
      </c>
      <c r="L720" s="36" t="s">
        <v>2776</v>
      </c>
      <c r="M720" s="36" t="s">
        <v>2776</v>
      </c>
      <c r="N720" s="36" t="s">
        <v>32</v>
      </c>
    </row>
    <row r="721">
      <c r="A721" s="36" t="s">
        <v>3036</v>
      </c>
      <c r="B721" s="154" t="s">
        <v>3030</v>
      </c>
      <c r="C721" s="36" t="s">
        <v>1666</v>
      </c>
      <c r="D721" s="36" t="s">
        <v>84</v>
      </c>
      <c r="E721" s="36" t="s">
        <v>84</v>
      </c>
      <c r="F721" s="154" t="s">
        <v>3037</v>
      </c>
      <c r="G721" s="36" t="s">
        <v>32</v>
      </c>
      <c r="H721" s="36" t="s">
        <v>1655</v>
      </c>
      <c r="I721" s="36" t="s">
        <v>1656</v>
      </c>
      <c r="J721" s="36" t="s">
        <v>1656</v>
      </c>
      <c r="K721" s="36" t="s">
        <v>3038</v>
      </c>
      <c r="L721" s="36" t="s">
        <v>2776</v>
      </c>
      <c r="M721" s="36" t="s">
        <v>2776</v>
      </c>
      <c r="N721" s="36" t="s">
        <v>32</v>
      </c>
    </row>
    <row r="722">
      <c r="A722" s="36" t="s">
        <v>3039</v>
      </c>
      <c r="B722" s="154" t="s">
        <v>3030</v>
      </c>
      <c r="C722" s="36" t="s">
        <v>1666</v>
      </c>
      <c r="D722" s="36" t="s">
        <v>1157</v>
      </c>
      <c r="E722" s="36" t="s">
        <v>1157</v>
      </c>
      <c r="F722" s="154" t="s">
        <v>1686</v>
      </c>
      <c r="G722" s="36" t="s">
        <v>32</v>
      </c>
      <c r="H722" s="36" t="s">
        <v>1655</v>
      </c>
      <c r="I722" s="36" t="s">
        <v>1656</v>
      </c>
      <c r="J722" s="36" t="s">
        <v>1656</v>
      </c>
      <c r="K722" s="36" t="s">
        <v>1900</v>
      </c>
      <c r="L722" s="36" t="s">
        <v>2776</v>
      </c>
      <c r="M722" s="36" t="s">
        <v>2776</v>
      </c>
      <c r="N722" s="36" t="s">
        <v>32</v>
      </c>
    </row>
    <row r="723">
      <c r="A723" s="36" t="s">
        <v>3040</v>
      </c>
      <c r="B723" s="154" t="s">
        <v>3030</v>
      </c>
      <c r="C723" s="36" t="s">
        <v>1666</v>
      </c>
      <c r="D723" s="36" t="s">
        <v>100</v>
      </c>
      <c r="E723" s="36" t="s">
        <v>100</v>
      </c>
      <c r="F723" s="154" t="s">
        <v>1810</v>
      </c>
      <c r="G723" s="36" t="s">
        <v>32</v>
      </c>
      <c r="H723" s="36" t="s">
        <v>1655</v>
      </c>
      <c r="I723" s="36" t="s">
        <v>1656</v>
      </c>
      <c r="J723" s="36" t="s">
        <v>1656</v>
      </c>
      <c r="K723" s="36" t="s">
        <v>1903</v>
      </c>
      <c r="L723" s="36" t="s">
        <v>2776</v>
      </c>
      <c r="M723" s="36" t="s">
        <v>2776</v>
      </c>
      <c r="N723" s="36" t="s">
        <v>32</v>
      </c>
    </row>
    <row r="724">
      <c r="A724" s="36" t="s">
        <v>3041</v>
      </c>
      <c r="B724" s="154" t="s">
        <v>3030</v>
      </c>
      <c r="C724" s="36" t="s">
        <v>1666</v>
      </c>
      <c r="D724" s="36" t="s">
        <v>124</v>
      </c>
      <c r="E724" s="36" t="s">
        <v>124</v>
      </c>
      <c r="F724" s="154" t="s">
        <v>2006</v>
      </c>
      <c r="G724" s="36" t="s">
        <v>32</v>
      </c>
      <c r="H724" s="36" t="s">
        <v>1655</v>
      </c>
      <c r="I724" s="36" t="s">
        <v>1656</v>
      </c>
      <c r="J724" s="36" t="s">
        <v>1656</v>
      </c>
      <c r="K724" s="36" t="s">
        <v>1906</v>
      </c>
      <c r="L724" s="36" t="s">
        <v>2776</v>
      </c>
      <c r="M724" s="36" t="s">
        <v>2776</v>
      </c>
      <c r="N724" s="36" t="s">
        <v>32</v>
      </c>
    </row>
    <row r="725">
      <c r="A725" s="36" t="s">
        <v>3042</v>
      </c>
      <c r="B725" s="154" t="s">
        <v>3043</v>
      </c>
      <c r="C725" s="36" t="s">
        <v>1653</v>
      </c>
      <c r="D725" s="36" t="s">
        <v>43</v>
      </c>
      <c r="E725" s="36" t="s">
        <v>39</v>
      </c>
      <c r="F725" s="154" t="s">
        <v>3044</v>
      </c>
      <c r="G725" s="36" t="s">
        <v>32</v>
      </c>
      <c r="H725" s="36" t="s">
        <v>1655</v>
      </c>
      <c r="I725" s="36" t="s">
        <v>1656</v>
      </c>
      <c r="J725" s="36" t="s">
        <v>1656</v>
      </c>
      <c r="K725" s="36" t="s">
        <v>1657</v>
      </c>
      <c r="L725" s="36" t="s">
        <v>2771</v>
      </c>
      <c r="M725" s="36" t="s">
        <v>2771</v>
      </c>
      <c r="N725" s="36" t="s">
        <v>32</v>
      </c>
    </row>
    <row r="726">
      <c r="A726" s="36" t="s">
        <v>3045</v>
      </c>
      <c r="B726" s="154" t="s">
        <v>3043</v>
      </c>
      <c r="C726" s="36" t="s">
        <v>1666</v>
      </c>
      <c r="D726" s="36" t="s">
        <v>607</v>
      </c>
      <c r="E726" s="36" t="s">
        <v>607</v>
      </c>
      <c r="F726" s="154" t="s">
        <v>3046</v>
      </c>
      <c r="G726" s="36" t="s">
        <v>32</v>
      </c>
      <c r="H726" s="36" t="s">
        <v>1655</v>
      </c>
      <c r="I726" s="36" t="s">
        <v>1656</v>
      </c>
      <c r="J726" s="36" t="s">
        <v>1656</v>
      </c>
      <c r="K726" s="36" t="s">
        <v>2775</v>
      </c>
      <c r="L726" s="36" t="s">
        <v>2776</v>
      </c>
      <c r="M726" s="36" t="s">
        <v>2776</v>
      </c>
      <c r="N726" s="36" t="s">
        <v>32</v>
      </c>
    </row>
    <row r="727">
      <c r="A727" s="36" t="s">
        <v>3047</v>
      </c>
      <c r="B727" s="154" t="s">
        <v>3043</v>
      </c>
      <c r="C727" s="36" t="s">
        <v>1666</v>
      </c>
      <c r="D727" s="36" t="s">
        <v>85</v>
      </c>
      <c r="E727" s="36" t="s">
        <v>85</v>
      </c>
      <c r="F727" s="154" t="s">
        <v>2895</v>
      </c>
      <c r="G727" s="36" t="s">
        <v>28</v>
      </c>
      <c r="H727" s="36" t="s">
        <v>1655</v>
      </c>
      <c r="I727" s="36" t="s">
        <v>1656</v>
      </c>
      <c r="J727" s="36" t="s">
        <v>1656</v>
      </c>
      <c r="K727" s="36" t="s">
        <v>2779</v>
      </c>
      <c r="L727" s="36" t="s">
        <v>2776</v>
      </c>
      <c r="M727" s="36" t="s">
        <v>2776</v>
      </c>
      <c r="N727" s="36" t="s">
        <v>32</v>
      </c>
    </row>
    <row r="728">
      <c r="A728" s="36" t="s">
        <v>3048</v>
      </c>
      <c r="B728" s="154" t="s">
        <v>3043</v>
      </c>
      <c r="C728" s="36" t="s">
        <v>1666</v>
      </c>
      <c r="D728" s="36" t="s">
        <v>299</v>
      </c>
      <c r="E728" s="36" t="s">
        <v>299</v>
      </c>
      <c r="F728" s="154" t="s">
        <v>3049</v>
      </c>
      <c r="G728" s="36" t="s">
        <v>28</v>
      </c>
      <c r="H728" s="36" t="s">
        <v>1655</v>
      </c>
      <c r="I728" s="36" t="s">
        <v>1656</v>
      </c>
      <c r="J728" s="36" t="s">
        <v>1656</v>
      </c>
      <c r="K728" s="36" t="s">
        <v>1675</v>
      </c>
      <c r="L728" s="36" t="s">
        <v>2776</v>
      </c>
      <c r="M728" s="36" t="s">
        <v>2776</v>
      </c>
      <c r="N728" s="36" t="s">
        <v>32</v>
      </c>
    </row>
    <row r="729">
      <c r="A729" s="36" t="s">
        <v>3050</v>
      </c>
      <c r="B729" s="154" t="s">
        <v>3043</v>
      </c>
      <c r="C729" s="36" t="s">
        <v>1666</v>
      </c>
      <c r="D729" s="36" t="s">
        <v>295</v>
      </c>
      <c r="E729" s="36" t="s">
        <v>295</v>
      </c>
      <c r="F729" s="154" t="s">
        <v>1683</v>
      </c>
      <c r="G729" s="36" t="s">
        <v>28</v>
      </c>
      <c r="H729" s="36" t="s">
        <v>1655</v>
      </c>
      <c r="I729" s="36" t="s">
        <v>1656</v>
      </c>
      <c r="J729" s="36" t="s">
        <v>1656</v>
      </c>
      <c r="K729" s="36" t="s">
        <v>1678</v>
      </c>
      <c r="L729" s="36" t="s">
        <v>2776</v>
      </c>
      <c r="M729" s="36" t="s">
        <v>2776</v>
      </c>
      <c r="N729" s="36" t="s">
        <v>32</v>
      </c>
    </row>
    <row r="730">
      <c r="A730" s="36" t="s">
        <v>3051</v>
      </c>
      <c r="B730" s="154" t="s">
        <v>3043</v>
      </c>
      <c r="C730" s="36" t="s">
        <v>1666</v>
      </c>
      <c r="D730" s="36" t="s">
        <v>1133</v>
      </c>
      <c r="E730" s="36" t="s">
        <v>1133</v>
      </c>
      <c r="F730" s="154" t="s">
        <v>1683</v>
      </c>
      <c r="G730" s="36" t="s">
        <v>32</v>
      </c>
      <c r="H730" s="36" t="s">
        <v>1655</v>
      </c>
      <c r="I730" s="36" t="s">
        <v>1656</v>
      </c>
      <c r="J730" s="36" t="s">
        <v>1656</v>
      </c>
      <c r="K730" s="36" t="s">
        <v>1681</v>
      </c>
      <c r="L730" s="36" t="s">
        <v>2776</v>
      </c>
      <c r="M730" s="36" t="s">
        <v>2776</v>
      </c>
      <c r="N730" s="36" t="s">
        <v>32</v>
      </c>
    </row>
    <row r="731">
      <c r="A731" s="36" t="s">
        <v>3052</v>
      </c>
      <c r="B731" s="154" t="s">
        <v>3053</v>
      </c>
      <c r="C731" s="36" t="s">
        <v>1666</v>
      </c>
      <c r="D731" s="36" t="s">
        <v>878</v>
      </c>
      <c r="E731" s="36" t="s">
        <v>878</v>
      </c>
      <c r="F731" s="154" t="s">
        <v>3054</v>
      </c>
      <c r="G731" s="36" t="s">
        <v>32</v>
      </c>
      <c r="H731" s="36" t="s">
        <v>1655</v>
      </c>
      <c r="I731" s="36" t="s">
        <v>1656</v>
      </c>
      <c r="J731" s="36" t="s">
        <v>1656</v>
      </c>
      <c r="K731" s="36" t="s">
        <v>1684</v>
      </c>
      <c r="L731" s="36" t="s">
        <v>2776</v>
      </c>
      <c r="M731" s="36" t="s">
        <v>2776</v>
      </c>
      <c r="N731" s="36" t="s">
        <v>32</v>
      </c>
    </row>
    <row r="732">
      <c r="A732" s="36" t="s">
        <v>3055</v>
      </c>
      <c r="B732" s="154" t="s">
        <v>3053</v>
      </c>
      <c r="C732" s="36" t="s">
        <v>1666</v>
      </c>
      <c r="D732" s="36" t="s">
        <v>1146</v>
      </c>
      <c r="E732" s="36" t="s">
        <v>1146</v>
      </c>
      <c r="F732" s="154" t="s">
        <v>3056</v>
      </c>
      <c r="G732" s="36" t="s">
        <v>32</v>
      </c>
      <c r="H732" s="36" t="s">
        <v>1655</v>
      </c>
      <c r="I732" s="36" t="s">
        <v>1656</v>
      </c>
      <c r="J732" s="36" t="s">
        <v>1656</v>
      </c>
      <c r="K732" s="36" t="s">
        <v>1691</v>
      </c>
      <c r="L732" s="36" t="s">
        <v>2776</v>
      </c>
      <c r="M732" s="36" t="s">
        <v>2776</v>
      </c>
      <c r="N732" s="36" t="s">
        <v>32</v>
      </c>
    </row>
    <row r="733">
      <c r="A733" s="36" t="s">
        <v>3057</v>
      </c>
      <c r="B733" s="154" t="s">
        <v>3058</v>
      </c>
      <c r="C733" s="36" t="s">
        <v>1666</v>
      </c>
      <c r="D733" s="36" t="s">
        <v>64</v>
      </c>
      <c r="E733" s="36" t="s">
        <v>64</v>
      </c>
      <c r="F733" s="154" t="s">
        <v>1707</v>
      </c>
      <c r="G733" s="36" t="s">
        <v>28</v>
      </c>
      <c r="H733" s="36" t="s">
        <v>1655</v>
      </c>
      <c r="I733" s="36" t="s">
        <v>1656</v>
      </c>
      <c r="J733" s="36" t="s">
        <v>1656</v>
      </c>
      <c r="K733" s="36" t="s">
        <v>1708</v>
      </c>
      <c r="L733" s="36" t="s">
        <v>2776</v>
      </c>
      <c r="M733" s="36" t="s">
        <v>2776</v>
      </c>
      <c r="N733" s="36" t="s">
        <v>32</v>
      </c>
    </row>
    <row r="734">
      <c r="A734" s="36" t="s">
        <v>3059</v>
      </c>
      <c r="B734" s="154" t="s">
        <v>3058</v>
      </c>
      <c r="C734" s="36" t="s">
        <v>1666</v>
      </c>
      <c r="D734" s="36" t="s">
        <v>945</v>
      </c>
      <c r="E734" s="36" t="s">
        <v>945</v>
      </c>
      <c r="F734" s="154" t="s">
        <v>1806</v>
      </c>
      <c r="G734" s="36" t="s">
        <v>28</v>
      </c>
      <c r="H734" s="36" t="s">
        <v>1655</v>
      </c>
      <c r="I734" s="36" t="s">
        <v>1656</v>
      </c>
      <c r="J734" s="36" t="s">
        <v>1656</v>
      </c>
      <c r="K734" s="36" t="s">
        <v>1695</v>
      </c>
      <c r="L734" s="36" t="s">
        <v>2776</v>
      </c>
      <c r="M734" s="36" t="s">
        <v>2776</v>
      </c>
      <c r="N734" s="36" t="s">
        <v>32</v>
      </c>
    </row>
    <row r="735">
      <c r="A735" s="36" t="s">
        <v>3060</v>
      </c>
      <c r="B735" s="154" t="s">
        <v>3058</v>
      </c>
      <c r="C735" s="36" t="s">
        <v>1666</v>
      </c>
      <c r="D735" s="36" t="s">
        <v>633</v>
      </c>
      <c r="E735" s="36" t="s">
        <v>633</v>
      </c>
      <c r="F735" s="154" t="s">
        <v>1806</v>
      </c>
      <c r="G735" s="36" t="s">
        <v>28</v>
      </c>
      <c r="H735" s="36" t="s">
        <v>1655</v>
      </c>
      <c r="I735" s="36" t="s">
        <v>1656</v>
      </c>
      <c r="J735" s="36" t="s">
        <v>1656</v>
      </c>
      <c r="K735" s="36" t="s">
        <v>1698</v>
      </c>
      <c r="L735" s="36" t="s">
        <v>2776</v>
      </c>
      <c r="M735" s="36" t="s">
        <v>2776</v>
      </c>
      <c r="N735" s="36" t="s">
        <v>32</v>
      </c>
    </row>
    <row r="736">
      <c r="A736" s="36" t="s">
        <v>3061</v>
      </c>
      <c r="B736" s="154" t="s">
        <v>3058</v>
      </c>
      <c r="C736" s="36" t="s">
        <v>1666</v>
      </c>
      <c r="D736" s="36" t="s">
        <v>299</v>
      </c>
      <c r="E736" s="36" t="s">
        <v>299</v>
      </c>
      <c r="F736" s="154" t="s">
        <v>3062</v>
      </c>
      <c r="G736" s="36" t="s">
        <v>28</v>
      </c>
      <c r="H736" s="36" t="s">
        <v>1655</v>
      </c>
      <c r="I736" s="36" t="s">
        <v>1656</v>
      </c>
      <c r="J736" s="36" t="s">
        <v>1656</v>
      </c>
      <c r="K736" s="36" t="s">
        <v>1701</v>
      </c>
      <c r="L736" s="36" t="s">
        <v>2776</v>
      </c>
      <c r="M736" s="36" t="s">
        <v>2776</v>
      </c>
      <c r="N736" s="36" t="s">
        <v>32</v>
      </c>
    </row>
    <row r="737">
      <c r="A737" s="36" t="s">
        <v>3063</v>
      </c>
      <c r="B737" s="154" t="s">
        <v>3058</v>
      </c>
      <c r="C737" s="36" t="s">
        <v>1666</v>
      </c>
      <c r="D737" s="36" t="s">
        <v>1168</v>
      </c>
      <c r="E737" s="36" t="s">
        <v>1168</v>
      </c>
      <c r="F737" s="154" t="s">
        <v>3064</v>
      </c>
      <c r="G737" s="36" t="s">
        <v>32</v>
      </c>
      <c r="H737" s="36" t="s">
        <v>1655</v>
      </c>
      <c r="I737" s="36" t="s">
        <v>1656</v>
      </c>
      <c r="J737" s="36" t="s">
        <v>1656</v>
      </c>
      <c r="K737" s="36" t="s">
        <v>1704</v>
      </c>
      <c r="L737" s="36" t="s">
        <v>2776</v>
      </c>
      <c r="M737" s="36" t="s">
        <v>2776</v>
      </c>
      <c r="N737" s="36" t="s">
        <v>32</v>
      </c>
    </row>
    <row r="738">
      <c r="A738" s="36" t="s">
        <v>3065</v>
      </c>
      <c r="B738" s="154" t="s">
        <v>3058</v>
      </c>
      <c r="C738" s="36" t="s">
        <v>1666</v>
      </c>
      <c r="D738" s="36" t="s">
        <v>1148</v>
      </c>
      <c r="E738" s="36" t="s">
        <v>1148</v>
      </c>
      <c r="F738" s="154" t="s">
        <v>2940</v>
      </c>
      <c r="G738" s="36" t="s">
        <v>28</v>
      </c>
      <c r="H738" s="36" t="s">
        <v>1655</v>
      </c>
      <c r="I738" s="36" t="s">
        <v>1656</v>
      </c>
      <c r="J738" s="36" t="s">
        <v>1656</v>
      </c>
      <c r="K738" s="36" t="s">
        <v>1711</v>
      </c>
      <c r="L738" s="36" t="s">
        <v>2776</v>
      </c>
      <c r="M738" s="36" t="s">
        <v>2776</v>
      </c>
      <c r="N738" s="36" t="s">
        <v>32</v>
      </c>
    </row>
    <row r="739">
      <c r="A739" s="36" t="s">
        <v>3066</v>
      </c>
      <c r="B739" s="154" t="s">
        <v>3058</v>
      </c>
      <c r="C739" s="36" t="s">
        <v>1666</v>
      </c>
      <c r="D739" s="36" t="s">
        <v>209</v>
      </c>
      <c r="E739" s="36" t="s">
        <v>209</v>
      </c>
      <c r="F739" s="154" t="s">
        <v>3067</v>
      </c>
      <c r="G739" s="36" t="s">
        <v>28</v>
      </c>
      <c r="H739" s="36" t="s">
        <v>1655</v>
      </c>
      <c r="I739" s="36" t="s">
        <v>1656</v>
      </c>
      <c r="J739" s="36" t="s">
        <v>1656</v>
      </c>
      <c r="K739" s="36" t="s">
        <v>1715</v>
      </c>
      <c r="L739" s="36" t="s">
        <v>2776</v>
      </c>
      <c r="M739" s="36" t="s">
        <v>2776</v>
      </c>
      <c r="N739" s="36" t="s">
        <v>34</v>
      </c>
    </row>
    <row r="740">
      <c r="A740" s="36" t="s">
        <v>3068</v>
      </c>
      <c r="B740" s="154" t="s">
        <v>3058</v>
      </c>
      <c r="C740" s="36" t="s">
        <v>1666</v>
      </c>
      <c r="D740" s="36" t="s">
        <v>582</v>
      </c>
      <c r="E740" s="36" t="s">
        <v>582</v>
      </c>
      <c r="F740" s="154" t="s">
        <v>2025</v>
      </c>
      <c r="G740" s="36" t="s">
        <v>28</v>
      </c>
      <c r="H740" s="36" t="s">
        <v>1655</v>
      </c>
      <c r="I740" s="36" t="s">
        <v>1656</v>
      </c>
      <c r="J740" s="36" t="s">
        <v>1656</v>
      </c>
      <c r="K740" s="36" t="s">
        <v>1717</v>
      </c>
      <c r="L740" s="36" t="s">
        <v>2776</v>
      </c>
      <c r="M740" s="36" t="s">
        <v>2776</v>
      </c>
      <c r="N740" s="36" t="s">
        <v>34</v>
      </c>
    </row>
    <row r="741">
      <c r="A741" s="36" t="s">
        <v>3069</v>
      </c>
      <c r="B741" s="154" t="s">
        <v>3058</v>
      </c>
      <c r="C741" s="36" t="s">
        <v>1666</v>
      </c>
      <c r="D741" s="36" t="s">
        <v>295</v>
      </c>
      <c r="E741" s="36" t="s">
        <v>295</v>
      </c>
      <c r="F741" s="154" t="s">
        <v>1799</v>
      </c>
      <c r="G741" s="36" t="s">
        <v>28</v>
      </c>
      <c r="H741" s="36" t="s">
        <v>1655</v>
      </c>
      <c r="I741" s="36" t="s">
        <v>1656</v>
      </c>
      <c r="J741" s="36" t="s">
        <v>1656</v>
      </c>
      <c r="K741" s="36" t="s">
        <v>1724</v>
      </c>
      <c r="L741" s="36" t="s">
        <v>2776</v>
      </c>
      <c r="M741" s="36" t="s">
        <v>2776</v>
      </c>
      <c r="N741" s="36" t="s">
        <v>34</v>
      </c>
    </row>
    <row r="742">
      <c r="A742" s="36" t="s">
        <v>3070</v>
      </c>
      <c r="B742" s="154" t="s">
        <v>3071</v>
      </c>
      <c r="C742" s="36" t="s">
        <v>1666</v>
      </c>
      <c r="D742" s="36" t="s">
        <v>235</v>
      </c>
      <c r="E742" s="36" t="s">
        <v>235</v>
      </c>
      <c r="F742" s="154" t="s">
        <v>1694</v>
      </c>
      <c r="G742" s="36" t="s">
        <v>28</v>
      </c>
      <c r="H742" s="36" t="s">
        <v>1655</v>
      </c>
      <c r="I742" s="36" t="s">
        <v>1656</v>
      </c>
      <c r="J742" s="36" t="s">
        <v>1656</v>
      </c>
      <c r="K742" s="36" t="s">
        <v>1727</v>
      </c>
      <c r="L742" s="36" t="s">
        <v>2776</v>
      </c>
      <c r="M742" s="36" t="s">
        <v>2776</v>
      </c>
      <c r="N742" s="36" t="s">
        <v>32</v>
      </c>
    </row>
    <row r="743">
      <c r="A743" s="36" t="s">
        <v>3072</v>
      </c>
      <c r="B743" s="154" t="s">
        <v>3073</v>
      </c>
      <c r="C743" s="36" t="s">
        <v>1666</v>
      </c>
      <c r="D743" s="36" t="s">
        <v>1197</v>
      </c>
      <c r="E743" s="36" t="s">
        <v>1197</v>
      </c>
      <c r="F743" s="154" t="s">
        <v>3074</v>
      </c>
      <c r="G743" s="36" t="s">
        <v>28</v>
      </c>
      <c r="H743" s="36" t="s">
        <v>1655</v>
      </c>
      <c r="I743" s="36" t="s">
        <v>1656</v>
      </c>
      <c r="J743" s="36" t="s">
        <v>1656</v>
      </c>
      <c r="K743" s="36" t="s">
        <v>1730</v>
      </c>
      <c r="L743" s="36" t="s">
        <v>2776</v>
      </c>
      <c r="M743" s="36" t="s">
        <v>2776</v>
      </c>
      <c r="N743" s="36" t="s">
        <v>34</v>
      </c>
    </row>
    <row r="744">
      <c r="A744" s="36" t="s">
        <v>3075</v>
      </c>
      <c r="B744" s="154" t="s">
        <v>3076</v>
      </c>
      <c r="C744" s="36" t="s">
        <v>1666</v>
      </c>
      <c r="D744" s="36" t="s">
        <v>66</v>
      </c>
      <c r="E744" s="36" t="s">
        <v>66</v>
      </c>
      <c r="F744" s="154" t="s">
        <v>3077</v>
      </c>
      <c r="G744" s="36" t="s">
        <v>28</v>
      </c>
      <c r="H744" s="36" t="s">
        <v>1655</v>
      </c>
      <c r="I744" s="36" t="s">
        <v>1656</v>
      </c>
      <c r="J744" s="36" t="s">
        <v>1656</v>
      </c>
      <c r="K744" s="36" t="s">
        <v>1721</v>
      </c>
      <c r="L744" s="36" t="s">
        <v>2776</v>
      </c>
      <c r="M744" s="36" t="s">
        <v>2776</v>
      </c>
      <c r="N744" s="36" t="s">
        <v>32</v>
      </c>
    </row>
    <row r="745">
      <c r="A745" s="36" t="s">
        <v>3078</v>
      </c>
      <c r="B745" s="154" t="s">
        <v>3076</v>
      </c>
      <c r="C745" s="36" t="s">
        <v>1666</v>
      </c>
      <c r="D745" s="36" t="s">
        <v>100</v>
      </c>
      <c r="E745" s="36" t="s">
        <v>100</v>
      </c>
      <c r="F745" s="154" t="s">
        <v>1810</v>
      </c>
      <c r="G745" s="36" t="s">
        <v>32</v>
      </c>
      <c r="H745" s="36" t="s">
        <v>1655</v>
      </c>
      <c r="I745" s="36" t="s">
        <v>1656</v>
      </c>
      <c r="J745" s="36" t="s">
        <v>1656</v>
      </c>
      <c r="K745" s="36" t="s">
        <v>1732</v>
      </c>
      <c r="L745" s="36" t="s">
        <v>2776</v>
      </c>
      <c r="M745" s="36" t="s">
        <v>2776</v>
      </c>
      <c r="N745" s="36" t="s">
        <v>32</v>
      </c>
    </row>
    <row r="746">
      <c r="A746" s="36" t="s">
        <v>3079</v>
      </c>
      <c r="B746" s="154" t="s">
        <v>3076</v>
      </c>
      <c r="C746" s="36" t="s">
        <v>1666</v>
      </c>
      <c r="D746" s="36" t="s">
        <v>1209</v>
      </c>
      <c r="E746" s="36" t="s">
        <v>1209</v>
      </c>
      <c r="F746" s="154" t="s">
        <v>2922</v>
      </c>
      <c r="G746" s="36" t="s">
        <v>32</v>
      </c>
      <c r="H746" s="36" t="s">
        <v>1655</v>
      </c>
      <c r="I746" s="36" t="s">
        <v>1656</v>
      </c>
      <c r="J746" s="36" t="s">
        <v>1656</v>
      </c>
      <c r="K746" s="36" t="s">
        <v>1736</v>
      </c>
      <c r="L746" s="36" t="s">
        <v>2776</v>
      </c>
      <c r="M746" s="36" t="s">
        <v>2776</v>
      </c>
      <c r="N746" s="36" t="s">
        <v>32</v>
      </c>
    </row>
    <row r="747">
      <c r="A747" s="36" t="s">
        <v>3080</v>
      </c>
      <c r="B747" s="154" t="s">
        <v>3076</v>
      </c>
      <c r="C747" s="36" t="s">
        <v>1666</v>
      </c>
      <c r="D747" s="36" t="s">
        <v>1214</v>
      </c>
      <c r="E747" s="36" t="s">
        <v>1214</v>
      </c>
      <c r="F747" s="154" t="s">
        <v>1959</v>
      </c>
      <c r="G747" s="36" t="s">
        <v>32</v>
      </c>
      <c r="H747" s="36" t="s">
        <v>1655</v>
      </c>
      <c r="I747" s="36" t="s">
        <v>1656</v>
      </c>
      <c r="J747" s="36" t="s">
        <v>1656</v>
      </c>
      <c r="K747" s="36" t="s">
        <v>1739</v>
      </c>
      <c r="L747" s="36" t="s">
        <v>2776</v>
      </c>
      <c r="M747" s="36" t="s">
        <v>2776</v>
      </c>
      <c r="N747" s="36" t="s">
        <v>32</v>
      </c>
    </row>
    <row r="748">
      <c r="A748" s="36" t="s">
        <v>3081</v>
      </c>
      <c r="B748" s="154" t="s">
        <v>3076</v>
      </c>
      <c r="C748" s="36" t="s">
        <v>1666</v>
      </c>
      <c r="D748" s="36" t="s">
        <v>1219</v>
      </c>
      <c r="E748" s="36" t="s">
        <v>1219</v>
      </c>
      <c r="F748" s="154" t="s">
        <v>1868</v>
      </c>
      <c r="G748" s="36" t="s">
        <v>32</v>
      </c>
      <c r="H748" s="36" t="s">
        <v>1655</v>
      </c>
      <c r="I748" s="36" t="s">
        <v>1656</v>
      </c>
      <c r="J748" s="36" t="s">
        <v>1656</v>
      </c>
      <c r="K748" s="36" t="s">
        <v>1742</v>
      </c>
      <c r="L748" s="36" t="s">
        <v>2776</v>
      </c>
      <c r="M748" s="36" t="s">
        <v>2776</v>
      </c>
      <c r="N748" s="36" t="s">
        <v>32</v>
      </c>
    </row>
    <row r="749">
      <c r="A749" s="36" t="s">
        <v>3082</v>
      </c>
      <c r="B749" s="154" t="s">
        <v>3076</v>
      </c>
      <c r="C749" s="36" t="s">
        <v>1666</v>
      </c>
      <c r="D749" s="36" t="s">
        <v>1223</v>
      </c>
      <c r="E749" s="36" t="s">
        <v>1223</v>
      </c>
      <c r="F749" s="154" t="s">
        <v>3083</v>
      </c>
      <c r="G749" s="36" t="s">
        <v>28</v>
      </c>
      <c r="H749" s="36" t="s">
        <v>1655</v>
      </c>
      <c r="I749" s="36" t="s">
        <v>1656</v>
      </c>
      <c r="J749" s="36" t="s">
        <v>1656</v>
      </c>
      <c r="K749" s="36" t="s">
        <v>1745</v>
      </c>
      <c r="L749" s="36" t="s">
        <v>2776</v>
      </c>
      <c r="M749" s="36" t="s">
        <v>2776</v>
      </c>
      <c r="N749" s="36" t="s">
        <v>34</v>
      </c>
    </row>
    <row r="750">
      <c r="A750" s="36" t="s">
        <v>3084</v>
      </c>
      <c r="B750" s="154" t="s">
        <v>3076</v>
      </c>
      <c r="C750" s="36" t="s">
        <v>1666</v>
      </c>
      <c r="D750" s="36" t="s">
        <v>1026</v>
      </c>
      <c r="E750" s="36" t="s">
        <v>1026</v>
      </c>
      <c r="F750" s="154" t="s">
        <v>2085</v>
      </c>
      <c r="G750" s="36" t="s">
        <v>28</v>
      </c>
      <c r="H750" s="36" t="s">
        <v>1655</v>
      </c>
      <c r="I750" s="36" t="s">
        <v>1656</v>
      </c>
      <c r="J750" s="36" t="s">
        <v>1656</v>
      </c>
      <c r="K750" s="36" t="s">
        <v>1773</v>
      </c>
      <c r="L750" s="36" t="s">
        <v>2776</v>
      </c>
      <c r="M750" s="36" t="s">
        <v>2776</v>
      </c>
      <c r="N750" s="36" t="s">
        <v>34</v>
      </c>
    </row>
    <row r="751">
      <c r="A751" s="36" t="s">
        <v>3085</v>
      </c>
      <c r="B751" s="154" t="s">
        <v>3086</v>
      </c>
      <c r="C751" s="36" t="s">
        <v>1666</v>
      </c>
      <c r="D751" s="36" t="s">
        <v>618</v>
      </c>
      <c r="E751" s="36" t="s">
        <v>618</v>
      </c>
      <c r="F751" s="154" t="s">
        <v>2085</v>
      </c>
      <c r="G751" s="36" t="s">
        <v>28</v>
      </c>
      <c r="H751" s="36" t="s">
        <v>1655</v>
      </c>
      <c r="I751" s="36" t="s">
        <v>1656</v>
      </c>
      <c r="J751" s="36" t="s">
        <v>1656</v>
      </c>
      <c r="K751" s="36" t="s">
        <v>1776</v>
      </c>
      <c r="L751" s="36" t="s">
        <v>2776</v>
      </c>
      <c r="M751" s="36" t="s">
        <v>2776</v>
      </c>
      <c r="N751" s="36" t="s">
        <v>32</v>
      </c>
    </row>
    <row r="752">
      <c r="A752" s="36" t="s">
        <v>3087</v>
      </c>
      <c r="B752" s="154" t="s">
        <v>3086</v>
      </c>
      <c r="C752" s="36" t="s">
        <v>1666</v>
      </c>
      <c r="D752" s="36" t="s">
        <v>368</v>
      </c>
      <c r="E752" s="36" t="s">
        <v>368</v>
      </c>
      <c r="F752" s="154" t="s">
        <v>2046</v>
      </c>
      <c r="G752" s="36" t="s">
        <v>28</v>
      </c>
      <c r="H752" s="36" t="s">
        <v>1655</v>
      </c>
      <c r="I752" s="36" t="s">
        <v>1656</v>
      </c>
      <c r="J752" s="36" t="s">
        <v>1656</v>
      </c>
      <c r="K752" s="36" t="s">
        <v>1779</v>
      </c>
      <c r="L752" s="36" t="s">
        <v>2776</v>
      </c>
      <c r="M752" s="36" t="s">
        <v>2776</v>
      </c>
      <c r="N752" s="36" t="s">
        <v>32</v>
      </c>
    </row>
    <row r="753">
      <c r="A753" s="36" t="s">
        <v>3088</v>
      </c>
      <c r="B753" s="154" t="s">
        <v>3089</v>
      </c>
      <c r="C753" s="36" t="s">
        <v>1653</v>
      </c>
      <c r="D753" s="36" t="s">
        <v>55</v>
      </c>
      <c r="E753" s="36" t="s">
        <v>39</v>
      </c>
      <c r="F753" s="154" t="s">
        <v>3090</v>
      </c>
      <c r="G753" s="36" t="s">
        <v>32</v>
      </c>
      <c r="H753" s="36" t="s">
        <v>1655</v>
      </c>
      <c r="I753" s="36" t="s">
        <v>1656</v>
      </c>
      <c r="J753" s="36" t="s">
        <v>1656</v>
      </c>
      <c r="K753" s="36" t="s">
        <v>1989</v>
      </c>
      <c r="L753" s="36" t="s">
        <v>2771</v>
      </c>
      <c r="M753" s="36" t="s">
        <v>2771</v>
      </c>
      <c r="N753" s="36" t="s">
        <v>32</v>
      </c>
    </row>
    <row r="754">
      <c r="A754" s="36" t="s">
        <v>3091</v>
      </c>
      <c r="B754" s="154" t="s">
        <v>3089</v>
      </c>
      <c r="C754" s="36" t="s">
        <v>1666</v>
      </c>
      <c r="D754" s="36" t="s">
        <v>71</v>
      </c>
      <c r="E754" s="36" t="s">
        <v>71</v>
      </c>
      <c r="F754" s="154" t="s">
        <v>2964</v>
      </c>
      <c r="G754" s="36" t="s">
        <v>32</v>
      </c>
      <c r="H754" s="36" t="s">
        <v>1655</v>
      </c>
      <c r="I754" s="36" t="s">
        <v>1656</v>
      </c>
      <c r="J754" s="36" t="s">
        <v>1656</v>
      </c>
      <c r="K754" s="36" t="s">
        <v>1752</v>
      </c>
      <c r="L754" s="36" t="s">
        <v>2776</v>
      </c>
      <c r="M754" s="36" t="s">
        <v>2776</v>
      </c>
      <c r="N754" s="36" t="s">
        <v>32</v>
      </c>
    </row>
    <row r="755">
      <c r="A755" s="36" t="s">
        <v>3092</v>
      </c>
      <c r="B755" s="154" t="s">
        <v>3089</v>
      </c>
      <c r="C755" s="36" t="s">
        <v>1666</v>
      </c>
      <c r="D755" s="36" t="s">
        <v>73</v>
      </c>
      <c r="E755" s="36" t="s">
        <v>73</v>
      </c>
      <c r="F755" s="154" t="s">
        <v>2966</v>
      </c>
      <c r="G755" s="36" t="s">
        <v>28</v>
      </c>
      <c r="H755" s="36" t="s">
        <v>1655</v>
      </c>
      <c r="I755" s="36" t="s">
        <v>1656</v>
      </c>
      <c r="J755" s="36" t="s">
        <v>1656</v>
      </c>
      <c r="K755" s="36" t="s">
        <v>1755</v>
      </c>
      <c r="L755" s="36" t="s">
        <v>2776</v>
      </c>
      <c r="M755" s="36" t="s">
        <v>2776</v>
      </c>
      <c r="N755" s="36" t="s">
        <v>32</v>
      </c>
    </row>
    <row r="756">
      <c r="A756" s="36" t="s">
        <v>3093</v>
      </c>
      <c r="B756" s="154" t="s">
        <v>3089</v>
      </c>
      <c r="C756" s="36" t="s">
        <v>1666</v>
      </c>
      <c r="D756" s="36" t="s">
        <v>74</v>
      </c>
      <c r="E756" s="36" t="s">
        <v>74</v>
      </c>
      <c r="F756" s="154" t="s">
        <v>2968</v>
      </c>
      <c r="G756" s="36" t="s">
        <v>32</v>
      </c>
      <c r="H756" s="36" t="s">
        <v>1655</v>
      </c>
      <c r="I756" s="36" t="s">
        <v>1656</v>
      </c>
      <c r="J756" s="36" t="s">
        <v>1656</v>
      </c>
      <c r="K756" s="36" t="s">
        <v>1757</v>
      </c>
      <c r="L756" s="36" t="s">
        <v>2776</v>
      </c>
      <c r="M756" s="36" t="s">
        <v>2776</v>
      </c>
      <c r="N756" s="36" t="s">
        <v>32</v>
      </c>
    </row>
    <row r="757">
      <c r="A757" s="36" t="s">
        <v>3094</v>
      </c>
      <c r="B757" s="154" t="s">
        <v>3089</v>
      </c>
      <c r="C757" s="36" t="s">
        <v>1666</v>
      </c>
      <c r="D757" s="36" t="s">
        <v>75</v>
      </c>
      <c r="E757" s="36" t="s">
        <v>75</v>
      </c>
      <c r="F757" s="154" t="s">
        <v>2970</v>
      </c>
      <c r="G757" s="36" t="s">
        <v>28</v>
      </c>
      <c r="H757" s="36" t="s">
        <v>1655</v>
      </c>
      <c r="I757" s="36" t="s">
        <v>1656</v>
      </c>
      <c r="J757" s="36" t="s">
        <v>1656</v>
      </c>
      <c r="K757" s="36" t="s">
        <v>1760</v>
      </c>
      <c r="L757" s="36" t="s">
        <v>2776</v>
      </c>
      <c r="M757" s="36" t="s">
        <v>2776</v>
      </c>
      <c r="N757" s="36" t="s">
        <v>32</v>
      </c>
    </row>
    <row r="758">
      <c r="A758" s="36" t="s">
        <v>3095</v>
      </c>
      <c r="B758" s="154" t="s">
        <v>3089</v>
      </c>
      <c r="C758" s="36" t="s">
        <v>1666</v>
      </c>
      <c r="D758" s="36" t="s">
        <v>76</v>
      </c>
      <c r="E758" s="36" t="s">
        <v>76</v>
      </c>
      <c r="F758" s="154" t="s">
        <v>3096</v>
      </c>
      <c r="G758" s="36" t="s">
        <v>28</v>
      </c>
      <c r="H758" s="36" t="s">
        <v>1655</v>
      </c>
      <c r="I758" s="36" t="s">
        <v>1656</v>
      </c>
      <c r="J758" s="36" t="s">
        <v>1656</v>
      </c>
      <c r="K758" s="36" t="s">
        <v>1763</v>
      </c>
      <c r="L758" s="36" t="s">
        <v>2776</v>
      </c>
      <c r="M758" s="36" t="s">
        <v>2776</v>
      </c>
      <c r="N758" s="36" t="s">
        <v>32</v>
      </c>
    </row>
    <row r="759">
      <c r="A759" s="36" t="s">
        <v>3097</v>
      </c>
      <c r="B759" s="154" t="s">
        <v>3089</v>
      </c>
      <c r="C759" s="36" t="s">
        <v>1666</v>
      </c>
      <c r="D759" s="36" t="s">
        <v>919</v>
      </c>
      <c r="E759" s="36" t="s">
        <v>919</v>
      </c>
      <c r="F759" s="154" t="s">
        <v>1765</v>
      </c>
      <c r="G759" s="36" t="s">
        <v>28</v>
      </c>
      <c r="H759" s="36" t="s">
        <v>1655</v>
      </c>
      <c r="I759" s="36" t="s">
        <v>1656</v>
      </c>
      <c r="J759" s="36" t="s">
        <v>1656</v>
      </c>
      <c r="K759" s="36" t="s">
        <v>1766</v>
      </c>
      <c r="L759" s="36" t="s">
        <v>2776</v>
      </c>
      <c r="M759" s="36" t="s">
        <v>2776</v>
      </c>
      <c r="N759" s="36" t="s">
        <v>32</v>
      </c>
    </row>
    <row r="760">
      <c r="A760" s="36" t="s">
        <v>3098</v>
      </c>
      <c r="B760" s="154" t="s">
        <v>3089</v>
      </c>
      <c r="C760" s="36" t="s">
        <v>1666</v>
      </c>
      <c r="D760" s="36" t="s">
        <v>77</v>
      </c>
      <c r="E760" s="36" t="s">
        <v>77</v>
      </c>
      <c r="F760" s="154" t="s">
        <v>1768</v>
      </c>
      <c r="G760" s="36" t="s">
        <v>34</v>
      </c>
      <c r="H760" s="36" t="s">
        <v>1655</v>
      </c>
      <c r="I760" s="36" t="s">
        <v>1656</v>
      </c>
      <c r="J760" s="36" t="s">
        <v>1656</v>
      </c>
      <c r="K760" s="36" t="s">
        <v>1769</v>
      </c>
      <c r="L760" s="36" t="s">
        <v>2776</v>
      </c>
      <c r="M760" s="36" t="s">
        <v>2776</v>
      </c>
      <c r="N760" s="36" t="s">
        <v>32</v>
      </c>
    </row>
    <row r="761">
      <c r="A761" s="36" t="s">
        <v>3099</v>
      </c>
      <c r="B761" s="154" t="s">
        <v>3089</v>
      </c>
      <c r="C761" s="36" t="s">
        <v>1666</v>
      </c>
      <c r="D761" s="36" t="s">
        <v>1244</v>
      </c>
      <c r="E761" s="36" t="s">
        <v>1244</v>
      </c>
      <c r="F761" s="154" t="s">
        <v>2025</v>
      </c>
      <c r="G761" s="36" t="s">
        <v>32</v>
      </c>
      <c r="H761" s="36" t="s">
        <v>1655</v>
      </c>
      <c r="I761" s="36" t="s">
        <v>1656</v>
      </c>
      <c r="J761" s="36" t="s">
        <v>1656</v>
      </c>
      <c r="K761" s="36" t="s">
        <v>1782</v>
      </c>
      <c r="L761" s="36" t="s">
        <v>2776</v>
      </c>
      <c r="M761" s="36" t="s">
        <v>2776</v>
      </c>
      <c r="N761" s="36" t="s">
        <v>32</v>
      </c>
    </row>
    <row r="762">
      <c r="A762" s="36" t="s">
        <v>3100</v>
      </c>
      <c r="B762" s="154" t="s">
        <v>3089</v>
      </c>
      <c r="C762" s="36" t="s">
        <v>1666</v>
      </c>
      <c r="D762" s="36" t="s">
        <v>1250</v>
      </c>
      <c r="E762" s="36" t="s">
        <v>1250</v>
      </c>
      <c r="F762" s="154" t="s">
        <v>1778</v>
      </c>
      <c r="G762" s="36" t="s">
        <v>32</v>
      </c>
      <c r="H762" s="36" t="s">
        <v>1655</v>
      </c>
      <c r="I762" s="36" t="s">
        <v>1656</v>
      </c>
      <c r="J762" s="36" t="s">
        <v>1656</v>
      </c>
      <c r="K762" s="36" t="s">
        <v>1784</v>
      </c>
      <c r="L762" s="36" t="s">
        <v>2776</v>
      </c>
      <c r="M762" s="36" t="s">
        <v>2776</v>
      </c>
      <c r="N762" s="36" t="s">
        <v>32</v>
      </c>
    </row>
    <row r="763">
      <c r="A763" s="36" t="s">
        <v>3101</v>
      </c>
      <c r="B763" s="154" t="s">
        <v>3089</v>
      </c>
      <c r="C763" s="36" t="s">
        <v>1666</v>
      </c>
      <c r="D763" s="36" t="s">
        <v>1257</v>
      </c>
      <c r="E763" s="36" t="s">
        <v>1257</v>
      </c>
      <c r="F763" s="154" t="s">
        <v>2156</v>
      </c>
      <c r="G763" s="36" t="s">
        <v>32</v>
      </c>
      <c r="H763" s="36" t="s">
        <v>1655</v>
      </c>
      <c r="I763" s="36" t="s">
        <v>1656</v>
      </c>
      <c r="J763" s="36" t="s">
        <v>1656</v>
      </c>
      <c r="K763" s="36" t="s">
        <v>1787</v>
      </c>
      <c r="L763" s="36" t="s">
        <v>2776</v>
      </c>
      <c r="M763" s="36" t="s">
        <v>2776</v>
      </c>
      <c r="N763" s="36" t="s">
        <v>32</v>
      </c>
    </row>
    <row r="764">
      <c r="A764" s="36" t="s">
        <v>3102</v>
      </c>
      <c r="B764" s="154" t="s">
        <v>3089</v>
      </c>
      <c r="C764" s="36" t="s">
        <v>1666</v>
      </c>
      <c r="D764" s="36" t="s">
        <v>819</v>
      </c>
      <c r="E764" s="36" t="s">
        <v>819</v>
      </c>
      <c r="F764" s="154" t="s">
        <v>1816</v>
      </c>
      <c r="G764" s="36" t="s">
        <v>28</v>
      </c>
      <c r="H764" s="36" t="s">
        <v>1655</v>
      </c>
      <c r="I764" s="36" t="s">
        <v>1656</v>
      </c>
      <c r="J764" s="36" t="s">
        <v>1656</v>
      </c>
      <c r="K764" s="36" t="s">
        <v>1790</v>
      </c>
      <c r="L764" s="36" t="s">
        <v>2776</v>
      </c>
      <c r="M764" s="36" t="s">
        <v>2776</v>
      </c>
      <c r="N764" s="36" t="s">
        <v>32</v>
      </c>
    </row>
    <row r="765">
      <c r="A765" s="36" t="s">
        <v>3103</v>
      </c>
      <c r="B765" s="154" t="s">
        <v>3089</v>
      </c>
      <c r="C765" s="36" t="s">
        <v>1666</v>
      </c>
      <c r="D765" s="36" t="s">
        <v>974</v>
      </c>
      <c r="E765" s="36" t="s">
        <v>974</v>
      </c>
      <c r="F765" s="154" t="s">
        <v>3104</v>
      </c>
      <c r="G765" s="36" t="s">
        <v>32</v>
      </c>
      <c r="H765" s="36" t="s">
        <v>1655</v>
      </c>
      <c r="I765" s="36" t="s">
        <v>1656</v>
      </c>
      <c r="J765" s="36" t="s">
        <v>1656</v>
      </c>
      <c r="K765" s="36" t="s">
        <v>1793</v>
      </c>
      <c r="L765" s="36" t="s">
        <v>2776</v>
      </c>
      <c r="M765" s="36" t="s">
        <v>2776</v>
      </c>
      <c r="N765" s="36" t="s">
        <v>32</v>
      </c>
    </row>
    <row r="766">
      <c r="A766" s="36" t="s">
        <v>3105</v>
      </c>
      <c r="B766" s="154" t="s">
        <v>3089</v>
      </c>
      <c r="C766" s="36" t="s">
        <v>1666</v>
      </c>
      <c r="D766" s="36" t="s">
        <v>502</v>
      </c>
      <c r="E766" s="36" t="s">
        <v>502</v>
      </c>
      <c r="F766" s="154" t="s">
        <v>3106</v>
      </c>
      <c r="G766" s="36" t="s">
        <v>32</v>
      </c>
      <c r="H766" s="36" t="s">
        <v>1655</v>
      </c>
      <c r="I766" s="36" t="s">
        <v>1656</v>
      </c>
      <c r="J766" s="36" t="s">
        <v>1656</v>
      </c>
      <c r="K766" s="36" t="s">
        <v>1796</v>
      </c>
      <c r="L766" s="36" t="s">
        <v>2776</v>
      </c>
      <c r="M766" s="36" t="s">
        <v>2776</v>
      </c>
      <c r="N766" s="36" t="s">
        <v>32</v>
      </c>
    </row>
    <row r="767">
      <c r="A767" s="36" t="s">
        <v>3107</v>
      </c>
      <c r="B767" s="154" t="s">
        <v>3089</v>
      </c>
      <c r="C767" s="36" t="s">
        <v>1666</v>
      </c>
      <c r="D767" s="36" t="s">
        <v>511</v>
      </c>
      <c r="E767" s="36" t="s">
        <v>511</v>
      </c>
      <c r="F767" s="154" t="s">
        <v>3108</v>
      </c>
      <c r="G767" s="36" t="s">
        <v>28</v>
      </c>
      <c r="H767" s="36" t="s">
        <v>1655</v>
      </c>
      <c r="I767" s="36" t="s">
        <v>1656</v>
      </c>
      <c r="J767" s="36" t="s">
        <v>1656</v>
      </c>
      <c r="K767" s="36" t="s">
        <v>1800</v>
      </c>
      <c r="L767" s="36" t="s">
        <v>2776</v>
      </c>
      <c r="M767" s="36" t="s">
        <v>2776</v>
      </c>
      <c r="N767" s="36" t="s">
        <v>32</v>
      </c>
    </row>
    <row r="768">
      <c r="A768" s="36" t="s">
        <v>3109</v>
      </c>
      <c r="B768" s="154" t="s">
        <v>3089</v>
      </c>
      <c r="C768" s="36" t="s">
        <v>1666</v>
      </c>
      <c r="D768" s="36" t="s">
        <v>505</v>
      </c>
      <c r="E768" s="36" t="s">
        <v>505</v>
      </c>
      <c r="F768" s="154" t="s">
        <v>3110</v>
      </c>
      <c r="G768" s="36" t="s">
        <v>34</v>
      </c>
      <c r="H768" s="36" t="s">
        <v>1655</v>
      </c>
      <c r="I768" s="36" t="s">
        <v>1656</v>
      </c>
      <c r="J768" s="36" t="s">
        <v>1656</v>
      </c>
      <c r="K768" s="36" t="s">
        <v>1803</v>
      </c>
      <c r="L768" s="36" t="s">
        <v>2776</v>
      </c>
      <c r="M768" s="36" t="s">
        <v>2776</v>
      </c>
      <c r="N768" s="36" t="s">
        <v>32</v>
      </c>
    </row>
    <row r="769">
      <c r="A769" s="36" t="s">
        <v>3111</v>
      </c>
      <c r="B769" s="154" t="s">
        <v>3089</v>
      </c>
      <c r="C769" s="36" t="s">
        <v>1666</v>
      </c>
      <c r="D769" s="36" t="s">
        <v>235</v>
      </c>
      <c r="E769" s="36" t="s">
        <v>235</v>
      </c>
      <c r="F769" s="154" t="s">
        <v>1723</v>
      </c>
      <c r="G769" s="36" t="s">
        <v>28</v>
      </c>
      <c r="H769" s="36" t="s">
        <v>1655</v>
      </c>
      <c r="I769" s="36" t="s">
        <v>1656</v>
      </c>
      <c r="J769" s="36" t="s">
        <v>1656</v>
      </c>
      <c r="K769" s="36" t="s">
        <v>1807</v>
      </c>
      <c r="L769" s="36" t="s">
        <v>2776</v>
      </c>
      <c r="M769" s="36" t="s">
        <v>2776</v>
      </c>
      <c r="N769" s="36" t="s">
        <v>34</v>
      </c>
    </row>
    <row r="770">
      <c r="A770" s="36" t="s">
        <v>3112</v>
      </c>
      <c r="B770" s="154" t="s">
        <v>3089</v>
      </c>
      <c r="C770" s="36" t="s">
        <v>1666</v>
      </c>
      <c r="D770" s="36" t="s">
        <v>329</v>
      </c>
      <c r="E770" s="36" t="s">
        <v>329</v>
      </c>
      <c r="F770" s="154" t="s">
        <v>3113</v>
      </c>
      <c r="G770" s="36" t="s">
        <v>28</v>
      </c>
      <c r="H770" s="36" t="s">
        <v>1655</v>
      </c>
      <c r="I770" s="36" t="s">
        <v>1656</v>
      </c>
      <c r="J770" s="36" t="s">
        <v>1656</v>
      </c>
      <c r="K770" s="36" t="s">
        <v>1814</v>
      </c>
      <c r="L770" s="36" t="s">
        <v>2776</v>
      </c>
      <c r="M770" s="36" t="s">
        <v>2776</v>
      </c>
      <c r="N770" s="36" t="s">
        <v>34</v>
      </c>
    </row>
    <row r="771">
      <c r="A771" s="36" t="s">
        <v>3114</v>
      </c>
      <c r="B771" s="154" t="s">
        <v>3089</v>
      </c>
      <c r="C771" s="36" t="s">
        <v>1666</v>
      </c>
      <c r="D771" s="36" t="s">
        <v>978</v>
      </c>
      <c r="E771" s="36" t="s">
        <v>978</v>
      </c>
      <c r="F771" s="154" t="s">
        <v>1683</v>
      </c>
      <c r="G771" s="36" t="s">
        <v>32</v>
      </c>
      <c r="H771" s="36" t="s">
        <v>1655</v>
      </c>
      <c r="I771" s="36" t="s">
        <v>1656</v>
      </c>
      <c r="J771" s="36" t="s">
        <v>1656</v>
      </c>
      <c r="K771" s="36" t="s">
        <v>1817</v>
      </c>
      <c r="L771" s="36" t="s">
        <v>2776</v>
      </c>
      <c r="M771" s="36" t="s">
        <v>2776</v>
      </c>
      <c r="N771" s="36" t="s">
        <v>32</v>
      </c>
    </row>
    <row r="772">
      <c r="A772" s="36" t="s">
        <v>3115</v>
      </c>
      <c r="B772" s="154" t="s">
        <v>3116</v>
      </c>
      <c r="C772" s="36" t="s">
        <v>1666</v>
      </c>
      <c r="D772" s="36" t="s">
        <v>1300</v>
      </c>
      <c r="E772" s="36" t="s">
        <v>1300</v>
      </c>
      <c r="F772" s="154" t="s">
        <v>3117</v>
      </c>
      <c r="G772" s="36" t="s">
        <v>30</v>
      </c>
      <c r="H772" s="36" t="s">
        <v>1655</v>
      </c>
      <c r="I772" s="36" t="s">
        <v>1656</v>
      </c>
      <c r="J772" s="36" t="s">
        <v>1656</v>
      </c>
      <c r="K772" s="36" t="s">
        <v>1820</v>
      </c>
      <c r="L772" s="36" t="s">
        <v>2776</v>
      </c>
      <c r="M772" s="36" t="s">
        <v>2776</v>
      </c>
      <c r="N772" s="36" t="s">
        <v>32</v>
      </c>
    </row>
    <row r="773">
      <c r="A773" s="36" t="s">
        <v>3118</v>
      </c>
      <c r="B773" s="154" t="s">
        <v>3119</v>
      </c>
      <c r="C773" s="36" t="s">
        <v>1666</v>
      </c>
      <c r="D773" s="36" t="s">
        <v>235</v>
      </c>
      <c r="E773" s="36" t="s">
        <v>235</v>
      </c>
      <c r="F773" s="154" t="s">
        <v>1822</v>
      </c>
      <c r="G773" s="36" t="s">
        <v>28</v>
      </c>
      <c r="H773" s="36" t="s">
        <v>1655</v>
      </c>
      <c r="I773" s="36" t="s">
        <v>1656</v>
      </c>
      <c r="J773" s="36" t="s">
        <v>1656</v>
      </c>
      <c r="K773" s="36" t="s">
        <v>1823</v>
      </c>
      <c r="L773" s="36" t="s">
        <v>2776</v>
      </c>
      <c r="M773" s="36" t="s">
        <v>2776</v>
      </c>
      <c r="N773" s="36" t="s">
        <v>32</v>
      </c>
    </row>
    <row r="774">
      <c r="A774" s="36" t="s">
        <v>3120</v>
      </c>
      <c r="B774" s="154" t="s">
        <v>3119</v>
      </c>
      <c r="C774" s="36" t="s">
        <v>1666</v>
      </c>
      <c r="D774" s="36" t="s">
        <v>1310</v>
      </c>
      <c r="E774" s="36" t="s">
        <v>1310</v>
      </c>
      <c r="F774" s="154" t="s">
        <v>2828</v>
      </c>
      <c r="G774" s="36" t="s">
        <v>28</v>
      </c>
      <c r="H774" s="36" t="s">
        <v>1655</v>
      </c>
      <c r="I774" s="36" t="s">
        <v>1656</v>
      </c>
      <c r="J774" s="36" t="s">
        <v>1656</v>
      </c>
      <c r="K774" s="36" t="s">
        <v>1826</v>
      </c>
      <c r="L774" s="36" t="s">
        <v>2776</v>
      </c>
      <c r="M774" s="36" t="s">
        <v>2776</v>
      </c>
      <c r="N774" s="36" t="s">
        <v>32</v>
      </c>
    </row>
    <row r="775">
      <c r="A775" s="36" t="s">
        <v>3121</v>
      </c>
      <c r="B775" s="154" t="s">
        <v>3119</v>
      </c>
      <c r="C775" s="36" t="s">
        <v>1666</v>
      </c>
      <c r="D775" s="36" t="s">
        <v>607</v>
      </c>
      <c r="E775" s="36" t="s">
        <v>607</v>
      </c>
      <c r="F775" s="154" t="s">
        <v>1799</v>
      </c>
      <c r="G775" s="36" t="s">
        <v>32</v>
      </c>
      <c r="H775" s="36" t="s">
        <v>1655</v>
      </c>
      <c r="I775" s="36" t="s">
        <v>1656</v>
      </c>
      <c r="J775" s="36" t="s">
        <v>1656</v>
      </c>
      <c r="K775" s="36" t="s">
        <v>1830</v>
      </c>
      <c r="L775" s="36" t="s">
        <v>2776</v>
      </c>
      <c r="M775" s="36" t="s">
        <v>2776</v>
      </c>
      <c r="N775" s="36" t="s">
        <v>32</v>
      </c>
    </row>
    <row r="776">
      <c r="A776" s="36" t="s">
        <v>3122</v>
      </c>
      <c r="B776" s="154" t="s">
        <v>3119</v>
      </c>
      <c r="C776" s="36" t="s">
        <v>1666</v>
      </c>
      <c r="D776" s="36" t="s">
        <v>607</v>
      </c>
      <c r="E776" s="36" t="s">
        <v>607</v>
      </c>
      <c r="F776" s="154" t="s">
        <v>2920</v>
      </c>
      <c r="G776" s="36" t="s">
        <v>32</v>
      </c>
      <c r="H776" s="36" t="s">
        <v>1655</v>
      </c>
      <c r="I776" s="36" t="s">
        <v>1656</v>
      </c>
      <c r="J776" s="36" t="s">
        <v>1656</v>
      </c>
      <c r="K776" s="36" t="s">
        <v>1833</v>
      </c>
      <c r="L776" s="36" t="s">
        <v>2776</v>
      </c>
      <c r="M776" s="36" t="s">
        <v>2776</v>
      </c>
      <c r="N776" s="36" t="s">
        <v>32</v>
      </c>
    </row>
    <row r="777">
      <c r="A777" s="36" t="s">
        <v>3123</v>
      </c>
      <c r="B777" s="154" t="s">
        <v>3124</v>
      </c>
      <c r="C777" s="36" t="s">
        <v>1666</v>
      </c>
      <c r="D777" s="36" t="s">
        <v>299</v>
      </c>
      <c r="E777" s="36" t="s">
        <v>299</v>
      </c>
      <c r="F777" s="154" t="s">
        <v>3125</v>
      </c>
      <c r="G777" s="36" t="s">
        <v>28</v>
      </c>
      <c r="H777" s="36" t="s">
        <v>1655</v>
      </c>
      <c r="I777" s="36" t="s">
        <v>1656</v>
      </c>
      <c r="J777" s="36" t="s">
        <v>1656</v>
      </c>
      <c r="K777" s="36" t="s">
        <v>1836</v>
      </c>
      <c r="L777" s="36" t="s">
        <v>2776</v>
      </c>
      <c r="M777" s="36" t="s">
        <v>2776</v>
      </c>
      <c r="N777" s="36" t="s">
        <v>32</v>
      </c>
    </row>
    <row r="778">
      <c r="A778" s="36" t="s">
        <v>3126</v>
      </c>
      <c r="B778" s="154" t="s">
        <v>3124</v>
      </c>
      <c r="C778" s="36" t="s">
        <v>1666</v>
      </c>
      <c r="D778" s="36" t="s">
        <v>1328</v>
      </c>
      <c r="E778" s="36" t="s">
        <v>1328</v>
      </c>
      <c r="F778" s="154" t="s">
        <v>2220</v>
      </c>
      <c r="G778" s="36" t="s">
        <v>28</v>
      </c>
      <c r="H778" s="36" t="s">
        <v>1655</v>
      </c>
      <c r="I778" s="36" t="s">
        <v>1656</v>
      </c>
      <c r="J778" s="36" t="s">
        <v>1656</v>
      </c>
      <c r="K778" s="36" t="s">
        <v>1839</v>
      </c>
      <c r="L778" s="36" t="s">
        <v>2776</v>
      </c>
      <c r="M778" s="36" t="s">
        <v>2776</v>
      </c>
      <c r="N778" s="36" t="s">
        <v>34</v>
      </c>
    </row>
    <row r="779">
      <c r="A779" s="36" t="s">
        <v>3127</v>
      </c>
      <c r="B779" s="154" t="s">
        <v>3128</v>
      </c>
      <c r="C779" s="36" t="s">
        <v>1666</v>
      </c>
      <c r="D779" s="36" t="s">
        <v>78</v>
      </c>
      <c r="E779" s="36" t="s">
        <v>78</v>
      </c>
      <c r="F779" s="154" t="s">
        <v>1810</v>
      </c>
      <c r="G779" s="36" t="s">
        <v>28</v>
      </c>
      <c r="H779" s="36" t="s">
        <v>1655</v>
      </c>
      <c r="I779" s="36" t="s">
        <v>1656</v>
      </c>
      <c r="J779" s="36" t="s">
        <v>1656</v>
      </c>
      <c r="K779" s="36" t="s">
        <v>1811</v>
      </c>
      <c r="L779" s="36" t="s">
        <v>2776</v>
      </c>
      <c r="M779" s="36" t="s">
        <v>2776</v>
      </c>
      <c r="N779" s="36" t="s">
        <v>32</v>
      </c>
    </row>
    <row r="780">
      <c r="A780" s="36" t="s">
        <v>3129</v>
      </c>
      <c r="B780" s="154" t="s">
        <v>3130</v>
      </c>
      <c r="C780" s="36" t="s">
        <v>1666</v>
      </c>
      <c r="D780" s="36" t="s">
        <v>235</v>
      </c>
      <c r="E780" s="36" t="s">
        <v>235</v>
      </c>
      <c r="F780" s="154" t="s">
        <v>1723</v>
      </c>
      <c r="G780" s="36" t="s">
        <v>28</v>
      </c>
      <c r="H780" s="36" t="s">
        <v>1655</v>
      </c>
      <c r="I780" s="36" t="s">
        <v>1656</v>
      </c>
      <c r="J780" s="36" t="s">
        <v>1656</v>
      </c>
      <c r="K780" s="36" t="s">
        <v>1842</v>
      </c>
      <c r="L780" s="36" t="s">
        <v>2776</v>
      </c>
      <c r="M780" s="36" t="s">
        <v>2776</v>
      </c>
      <c r="N780" s="36" t="s">
        <v>34</v>
      </c>
    </row>
    <row r="781">
      <c r="A781" s="36" t="s">
        <v>3131</v>
      </c>
      <c r="B781" s="154" t="s">
        <v>3130</v>
      </c>
      <c r="C781" s="36" t="s">
        <v>1666</v>
      </c>
      <c r="D781" s="36" t="s">
        <v>1334</v>
      </c>
      <c r="E781" s="36" t="s">
        <v>1334</v>
      </c>
      <c r="F781" s="154" t="s">
        <v>3132</v>
      </c>
      <c r="G781" s="36" t="s">
        <v>32</v>
      </c>
      <c r="H781" s="36" t="s">
        <v>1655</v>
      </c>
      <c r="I781" s="36" t="s">
        <v>1656</v>
      </c>
      <c r="J781" s="36" t="s">
        <v>1656</v>
      </c>
      <c r="K781" s="36" t="s">
        <v>1845</v>
      </c>
      <c r="L781" s="36" t="s">
        <v>2776</v>
      </c>
      <c r="M781" s="36" t="s">
        <v>2776</v>
      </c>
      <c r="N781" s="36" t="s">
        <v>32</v>
      </c>
    </row>
    <row r="782">
      <c r="A782" s="36" t="s">
        <v>3133</v>
      </c>
      <c r="B782" s="154" t="s">
        <v>3134</v>
      </c>
      <c r="C782" s="36" t="s">
        <v>1666</v>
      </c>
      <c r="D782" s="36" t="s">
        <v>235</v>
      </c>
      <c r="E782" s="36" t="s">
        <v>235</v>
      </c>
      <c r="F782" s="154" t="s">
        <v>1723</v>
      </c>
      <c r="G782" s="36" t="s">
        <v>28</v>
      </c>
      <c r="H782" s="36" t="s">
        <v>1655</v>
      </c>
      <c r="I782" s="36" t="s">
        <v>1656</v>
      </c>
      <c r="J782" s="36" t="s">
        <v>1656</v>
      </c>
      <c r="K782" s="36" t="s">
        <v>1848</v>
      </c>
      <c r="L782" s="36" t="s">
        <v>2776</v>
      </c>
      <c r="M782" s="36" t="s">
        <v>2776</v>
      </c>
      <c r="N782" s="36" t="s">
        <v>34</v>
      </c>
    </row>
    <row r="783">
      <c r="A783" s="36" t="s">
        <v>3135</v>
      </c>
      <c r="B783" s="154" t="s">
        <v>3136</v>
      </c>
      <c r="C783" s="36" t="s">
        <v>1666</v>
      </c>
      <c r="D783" s="36" t="s">
        <v>618</v>
      </c>
      <c r="E783" s="36" t="s">
        <v>618</v>
      </c>
      <c r="F783" s="154" t="s">
        <v>1723</v>
      </c>
      <c r="G783" s="36" t="s">
        <v>28</v>
      </c>
      <c r="H783" s="36" t="s">
        <v>1655</v>
      </c>
      <c r="I783" s="36" t="s">
        <v>1656</v>
      </c>
      <c r="J783" s="36" t="s">
        <v>1656</v>
      </c>
      <c r="K783" s="36" t="s">
        <v>1866</v>
      </c>
      <c r="L783" s="36" t="s">
        <v>2776</v>
      </c>
      <c r="M783" s="36" t="s">
        <v>2776</v>
      </c>
      <c r="N783" s="36" t="s">
        <v>34</v>
      </c>
    </row>
    <row r="784">
      <c r="A784" s="36" t="s">
        <v>3137</v>
      </c>
      <c r="B784" s="154" t="s">
        <v>3138</v>
      </c>
      <c r="C784" s="36" t="s">
        <v>1666</v>
      </c>
      <c r="D784" s="36" t="s">
        <v>684</v>
      </c>
      <c r="E784" s="36" t="s">
        <v>684</v>
      </c>
      <c r="F784" s="154" t="s">
        <v>3139</v>
      </c>
      <c r="G784" s="36" t="s">
        <v>28</v>
      </c>
      <c r="H784" s="36" t="s">
        <v>1655</v>
      </c>
      <c r="I784" s="36" t="s">
        <v>1656</v>
      </c>
      <c r="J784" s="36" t="s">
        <v>1656</v>
      </c>
      <c r="K784" s="36" t="s">
        <v>1860</v>
      </c>
      <c r="L784" s="36" t="s">
        <v>2776</v>
      </c>
      <c r="M784" s="36" t="s">
        <v>2776</v>
      </c>
      <c r="N784" s="36" t="s">
        <v>34</v>
      </c>
    </row>
    <row r="785">
      <c r="A785" s="36" t="s">
        <v>3140</v>
      </c>
      <c r="B785" s="154" t="s">
        <v>3138</v>
      </c>
      <c r="C785" s="36" t="s">
        <v>1666</v>
      </c>
      <c r="D785" s="36" t="s">
        <v>310</v>
      </c>
      <c r="E785" s="36" t="s">
        <v>310</v>
      </c>
      <c r="F785" s="154" t="s">
        <v>2035</v>
      </c>
      <c r="G785" s="36" t="s">
        <v>28</v>
      </c>
      <c r="H785" s="36" t="s">
        <v>1655</v>
      </c>
      <c r="I785" s="36" t="s">
        <v>1656</v>
      </c>
      <c r="J785" s="36" t="s">
        <v>1656</v>
      </c>
      <c r="K785" s="36" t="s">
        <v>1863</v>
      </c>
      <c r="L785" s="36" t="s">
        <v>2776</v>
      </c>
      <c r="M785" s="36" t="s">
        <v>2776</v>
      </c>
      <c r="N785" s="36" t="s">
        <v>34</v>
      </c>
    </row>
    <row r="786">
      <c r="A786" s="36" t="s">
        <v>3141</v>
      </c>
      <c r="B786" s="154" t="s">
        <v>3138</v>
      </c>
      <c r="C786" s="36" t="s">
        <v>1666</v>
      </c>
      <c r="D786" s="36" t="s">
        <v>951</v>
      </c>
      <c r="E786" s="36" t="s">
        <v>951</v>
      </c>
      <c r="F786" s="154" t="s">
        <v>3142</v>
      </c>
      <c r="G786" s="36" t="s">
        <v>28</v>
      </c>
      <c r="H786" s="36" t="s">
        <v>1655</v>
      </c>
      <c r="I786" s="36" t="s">
        <v>1656</v>
      </c>
      <c r="J786" s="36" t="s">
        <v>1656</v>
      </c>
      <c r="K786" s="36" t="s">
        <v>1869</v>
      </c>
      <c r="L786" s="36" t="s">
        <v>2776</v>
      </c>
      <c r="M786" s="36" t="s">
        <v>2776</v>
      </c>
      <c r="N786" s="36" t="s">
        <v>34</v>
      </c>
    </row>
    <row r="787">
      <c r="A787" s="36" t="s">
        <v>3143</v>
      </c>
      <c r="B787" s="154" t="s">
        <v>3138</v>
      </c>
      <c r="C787" s="36" t="s">
        <v>1666</v>
      </c>
      <c r="D787" s="36" t="s">
        <v>310</v>
      </c>
      <c r="E787" s="36" t="s">
        <v>310</v>
      </c>
      <c r="F787" s="154" t="s">
        <v>3144</v>
      </c>
      <c r="G787" s="36" t="s">
        <v>28</v>
      </c>
      <c r="H787" s="36" t="s">
        <v>1655</v>
      </c>
      <c r="I787" s="36" t="s">
        <v>1656</v>
      </c>
      <c r="J787" s="36" t="s">
        <v>1656</v>
      </c>
      <c r="K787" s="36" t="s">
        <v>1872</v>
      </c>
      <c r="L787" s="36" t="s">
        <v>2776</v>
      </c>
      <c r="M787" s="36" t="s">
        <v>2776</v>
      </c>
      <c r="N787" s="36" t="s">
        <v>34</v>
      </c>
    </row>
    <row r="788">
      <c r="A788" s="36" t="s">
        <v>3145</v>
      </c>
      <c r="B788" s="154" t="s">
        <v>3146</v>
      </c>
      <c r="C788" s="36" t="s">
        <v>1666</v>
      </c>
      <c r="D788" s="36" t="s">
        <v>310</v>
      </c>
      <c r="E788" s="36" t="s">
        <v>310</v>
      </c>
      <c r="F788" s="154" t="s">
        <v>1832</v>
      </c>
      <c r="G788" s="36" t="s">
        <v>28</v>
      </c>
      <c r="H788" s="36" t="s">
        <v>1655</v>
      </c>
      <c r="I788" s="36" t="s">
        <v>1656</v>
      </c>
      <c r="J788" s="36" t="s">
        <v>1656</v>
      </c>
      <c r="K788" s="36" t="s">
        <v>1875</v>
      </c>
      <c r="L788" s="36" t="s">
        <v>2776</v>
      </c>
      <c r="M788" s="36" t="s">
        <v>2776</v>
      </c>
      <c r="N788" s="36" t="s">
        <v>34</v>
      </c>
    </row>
    <row r="789">
      <c r="A789" s="36" t="s">
        <v>3147</v>
      </c>
      <c r="B789" s="154" t="s">
        <v>3146</v>
      </c>
      <c r="C789" s="36" t="s">
        <v>1666</v>
      </c>
      <c r="D789" s="36" t="s">
        <v>209</v>
      </c>
      <c r="E789" s="36" t="s">
        <v>209</v>
      </c>
      <c r="F789" s="154" t="s">
        <v>3148</v>
      </c>
      <c r="G789" s="36" t="s">
        <v>28</v>
      </c>
      <c r="H789" s="36" t="s">
        <v>1655</v>
      </c>
      <c r="I789" s="36" t="s">
        <v>1656</v>
      </c>
      <c r="J789" s="36" t="s">
        <v>1656</v>
      </c>
      <c r="K789" s="36" t="s">
        <v>1878</v>
      </c>
      <c r="L789" s="36" t="s">
        <v>2776</v>
      </c>
      <c r="M789" s="36" t="s">
        <v>2776</v>
      </c>
      <c r="N789" s="36" t="s">
        <v>34</v>
      </c>
    </row>
    <row r="790">
      <c r="A790" s="36" t="s">
        <v>3149</v>
      </c>
      <c r="B790" s="154" t="s">
        <v>3150</v>
      </c>
      <c r="C790" s="36" t="s">
        <v>1666</v>
      </c>
      <c r="D790" s="36" t="s">
        <v>368</v>
      </c>
      <c r="E790" s="36" t="s">
        <v>368</v>
      </c>
      <c r="F790" s="154" t="s">
        <v>3151</v>
      </c>
      <c r="G790" s="36" t="s">
        <v>28</v>
      </c>
      <c r="H790" s="36" t="s">
        <v>1655</v>
      </c>
      <c r="I790" s="36" t="s">
        <v>1656</v>
      </c>
      <c r="J790" s="36" t="s">
        <v>1656</v>
      </c>
      <c r="K790" s="36" t="s">
        <v>1881</v>
      </c>
      <c r="L790" s="36" t="s">
        <v>2776</v>
      </c>
      <c r="M790" s="36" t="s">
        <v>2776</v>
      </c>
      <c r="N790" s="36" t="s">
        <v>34</v>
      </c>
    </row>
    <row r="791">
      <c r="A791" s="36" t="s">
        <v>3152</v>
      </c>
      <c r="B791" s="154" t="s">
        <v>3150</v>
      </c>
      <c r="C791" s="36" t="s">
        <v>1666</v>
      </c>
      <c r="D791" s="36" t="s">
        <v>618</v>
      </c>
      <c r="E791" s="36" t="s">
        <v>618</v>
      </c>
      <c r="F791" s="154" t="s">
        <v>1822</v>
      </c>
      <c r="G791" s="36" t="s">
        <v>28</v>
      </c>
      <c r="H791" s="36" t="s">
        <v>1655</v>
      </c>
      <c r="I791" s="36" t="s">
        <v>1656</v>
      </c>
      <c r="J791" s="36" t="s">
        <v>1656</v>
      </c>
      <c r="K791" s="36" t="s">
        <v>1884</v>
      </c>
      <c r="L791" s="36" t="s">
        <v>2776</v>
      </c>
      <c r="M791" s="36" t="s">
        <v>2776</v>
      </c>
      <c r="N791" s="36" t="s">
        <v>34</v>
      </c>
    </row>
    <row r="792">
      <c r="A792" s="36" t="s">
        <v>3153</v>
      </c>
      <c r="B792" s="154" t="s">
        <v>3150</v>
      </c>
      <c r="C792" s="36" t="s">
        <v>1666</v>
      </c>
      <c r="D792" s="36" t="s">
        <v>1213</v>
      </c>
      <c r="E792" s="36" t="s">
        <v>1213</v>
      </c>
      <c r="F792" s="154" t="s">
        <v>1832</v>
      </c>
      <c r="G792" s="36" t="s">
        <v>28</v>
      </c>
      <c r="H792" s="36" t="s">
        <v>1655</v>
      </c>
      <c r="I792" s="36" t="s">
        <v>1656</v>
      </c>
      <c r="J792" s="36" t="s">
        <v>1656</v>
      </c>
      <c r="K792" s="36" t="s">
        <v>1887</v>
      </c>
      <c r="L792" s="36" t="s">
        <v>2776</v>
      </c>
      <c r="M792" s="36" t="s">
        <v>2776</v>
      </c>
      <c r="N792" s="36" t="s">
        <v>34</v>
      </c>
    </row>
    <row r="793">
      <c r="A793" s="36" t="s">
        <v>3154</v>
      </c>
      <c r="B793" s="154" t="s">
        <v>3155</v>
      </c>
      <c r="C793" s="36" t="s">
        <v>1666</v>
      </c>
      <c r="D793" s="36" t="s">
        <v>714</v>
      </c>
      <c r="E793" s="36" t="s">
        <v>714</v>
      </c>
      <c r="F793" s="154" t="s">
        <v>3156</v>
      </c>
      <c r="G793" s="36" t="s">
        <v>32</v>
      </c>
      <c r="H793" s="36" t="s">
        <v>1655</v>
      </c>
      <c r="I793" s="36" t="s">
        <v>1656</v>
      </c>
      <c r="J793" s="36" t="s">
        <v>1656</v>
      </c>
      <c r="K793" s="36" t="s">
        <v>1891</v>
      </c>
      <c r="L793" s="36" t="s">
        <v>2776</v>
      </c>
      <c r="M793" s="36" t="s">
        <v>2776</v>
      </c>
      <c r="N793" s="36" t="s">
        <v>32</v>
      </c>
    </row>
    <row r="794">
      <c r="A794" s="36" t="s">
        <v>3157</v>
      </c>
      <c r="B794" s="154" t="s">
        <v>3155</v>
      </c>
      <c r="C794" s="36" t="s">
        <v>1666</v>
      </c>
      <c r="D794" s="36" t="s">
        <v>1343</v>
      </c>
      <c r="E794" s="36" t="s">
        <v>1343</v>
      </c>
      <c r="F794" s="154" t="s">
        <v>3158</v>
      </c>
      <c r="G794" s="36" t="s">
        <v>28</v>
      </c>
      <c r="H794" s="36" t="s">
        <v>1655</v>
      </c>
      <c r="I794" s="36" t="s">
        <v>1656</v>
      </c>
      <c r="J794" s="36" t="s">
        <v>1656</v>
      </c>
      <c r="K794" s="36" t="s">
        <v>1851</v>
      </c>
      <c r="L794" s="36" t="s">
        <v>2776</v>
      </c>
      <c r="M794" s="36" t="s">
        <v>2776</v>
      </c>
      <c r="N794" s="36" t="s">
        <v>32</v>
      </c>
    </row>
    <row r="795">
      <c r="A795" s="36" t="s">
        <v>3159</v>
      </c>
      <c r="B795" s="154" t="s">
        <v>3155</v>
      </c>
      <c r="C795" s="36" t="s">
        <v>1666</v>
      </c>
      <c r="D795" s="36" t="s">
        <v>1347</v>
      </c>
      <c r="E795" s="36" t="s">
        <v>1347</v>
      </c>
      <c r="F795" s="154" t="s">
        <v>2094</v>
      </c>
      <c r="G795" s="36" t="s">
        <v>32</v>
      </c>
      <c r="H795" s="36" t="s">
        <v>1655</v>
      </c>
      <c r="I795" s="36" t="s">
        <v>1656</v>
      </c>
      <c r="J795" s="36" t="s">
        <v>1656</v>
      </c>
      <c r="K795" s="36" t="s">
        <v>1854</v>
      </c>
      <c r="L795" s="36" t="s">
        <v>2776</v>
      </c>
      <c r="M795" s="36" t="s">
        <v>2776</v>
      </c>
      <c r="N795" s="36" t="s">
        <v>32</v>
      </c>
    </row>
    <row r="796">
      <c r="A796" s="36" t="s">
        <v>3160</v>
      </c>
      <c r="B796" s="154" t="s">
        <v>3155</v>
      </c>
      <c r="C796" s="36" t="s">
        <v>1666</v>
      </c>
      <c r="D796" s="36" t="s">
        <v>618</v>
      </c>
      <c r="E796" s="36" t="s">
        <v>618</v>
      </c>
      <c r="F796" s="154" t="s">
        <v>1966</v>
      </c>
      <c r="G796" s="36" t="s">
        <v>28</v>
      </c>
      <c r="H796" s="36" t="s">
        <v>1655</v>
      </c>
      <c r="I796" s="36" t="s">
        <v>1656</v>
      </c>
      <c r="J796" s="36" t="s">
        <v>1656</v>
      </c>
      <c r="K796" s="36" t="s">
        <v>1894</v>
      </c>
      <c r="L796" s="36" t="s">
        <v>2776</v>
      </c>
      <c r="M796" s="36" t="s">
        <v>2776</v>
      </c>
      <c r="N796" s="36" t="s">
        <v>34</v>
      </c>
    </row>
    <row r="797">
      <c r="A797" s="36" t="s">
        <v>3161</v>
      </c>
      <c r="B797" s="154" t="s">
        <v>3162</v>
      </c>
      <c r="C797" s="36" t="s">
        <v>1666</v>
      </c>
      <c r="D797" s="36" t="s">
        <v>299</v>
      </c>
      <c r="E797" s="36" t="s">
        <v>299</v>
      </c>
      <c r="F797" s="154" t="s">
        <v>1686</v>
      </c>
      <c r="G797" s="36" t="s">
        <v>28</v>
      </c>
      <c r="H797" s="36" t="s">
        <v>1655</v>
      </c>
      <c r="I797" s="36" t="s">
        <v>1656</v>
      </c>
      <c r="J797" s="36" t="s">
        <v>1656</v>
      </c>
      <c r="K797" s="36" t="s">
        <v>1897</v>
      </c>
      <c r="L797" s="36" t="s">
        <v>2776</v>
      </c>
      <c r="M797" s="36" t="s">
        <v>2776</v>
      </c>
      <c r="N797" s="36" t="s">
        <v>34</v>
      </c>
    </row>
    <row r="798">
      <c r="A798" s="36" t="s">
        <v>3163</v>
      </c>
      <c r="B798" s="154" t="s">
        <v>3164</v>
      </c>
      <c r="C798" s="36" t="s">
        <v>1666</v>
      </c>
      <c r="D798" s="36" t="s">
        <v>81</v>
      </c>
      <c r="E798" s="36" t="s">
        <v>81</v>
      </c>
      <c r="F798" s="154" t="s">
        <v>2391</v>
      </c>
      <c r="G798" s="36" t="s">
        <v>28</v>
      </c>
      <c r="H798" s="36" t="s">
        <v>1655</v>
      </c>
      <c r="I798" s="36" t="s">
        <v>1656</v>
      </c>
      <c r="J798" s="36" t="s">
        <v>1656</v>
      </c>
      <c r="K798" s="36" t="s">
        <v>1921</v>
      </c>
      <c r="L798" s="36" t="s">
        <v>2776</v>
      </c>
      <c r="M798" s="36" t="s">
        <v>2776</v>
      </c>
      <c r="N798" s="36" t="s">
        <v>32</v>
      </c>
    </row>
    <row r="799">
      <c r="A799" s="36" t="s">
        <v>3165</v>
      </c>
      <c r="B799" s="154" t="s">
        <v>3164</v>
      </c>
      <c r="C799" s="36" t="s">
        <v>1666</v>
      </c>
      <c r="D799" s="36" t="s">
        <v>83</v>
      </c>
      <c r="E799" s="36" t="s">
        <v>83</v>
      </c>
      <c r="F799" s="154" t="s">
        <v>3034</v>
      </c>
      <c r="G799" s="36" t="s">
        <v>28</v>
      </c>
      <c r="H799" s="36" t="s">
        <v>1655</v>
      </c>
      <c r="I799" s="36" t="s">
        <v>1656</v>
      </c>
      <c r="J799" s="36" t="s">
        <v>1656</v>
      </c>
      <c r="K799" s="36" t="s">
        <v>3166</v>
      </c>
      <c r="L799" s="36" t="s">
        <v>2776</v>
      </c>
      <c r="M799" s="36" t="s">
        <v>2776</v>
      </c>
      <c r="N799" s="36" t="s">
        <v>32</v>
      </c>
    </row>
    <row r="800">
      <c r="A800" s="36" t="s">
        <v>3167</v>
      </c>
      <c r="B800" s="154" t="s">
        <v>3164</v>
      </c>
      <c r="C800" s="36" t="s">
        <v>1666</v>
      </c>
      <c r="D800" s="36" t="s">
        <v>84</v>
      </c>
      <c r="E800" s="36" t="s">
        <v>84</v>
      </c>
      <c r="F800" s="154" t="s">
        <v>3168</v>
      </c>
      <c r="G800" s="36" t="s">
        <v>32</v>
      </c>
      <c r="H800" s="36" t="s">
        <v>1655</v>
      </c>
      <c r="I800" s="36" t="s">
        <v>1656</v>
      </c>
      <c r="J800" s="36" t="s">
        <v>1656</v>
      </c>
      <c r="K800" s="36" t="s">
        <v>1924</v>
      </c>
      <c r="L800" s="36" t="s">
        <v>2776</v>
      </c>
      <c r="M800" s="36" t="s">
        <v>2776</v>
      </c>
      <c r="N800" s="36" t="s">
        <v>32</v>
      </c>
    </row>
    <row r="801">
      <c r="A801" s="36" t="s">
        <v>3169</v>
      </c>
      <c r="B801" s="154" t="s">
        <v>3164</v>
      </c>
      <c r="C801" s="36" t="s">
        <v>1666</v>
      </c>
      <c r="D801" s="36" t="s">
        <v>214</v>
      </c>
      <c r="E801" s="36" t="s">
        <v>214</v>
      </c>
      <c r="F801" s="154" t="s">
        <v>1822</v>
      </c>
      <c r="G801" s="36" t="s">
        <v>28</v>
      </c>
      <c r="H801" s="36" t="s">
        <v>1655</v>
      </c>
      <c r="I801" s="36" t="s">
        <v>1656</v>
      </c>
      <c r="J801" s="36" t="s">
        <v>1656</v>
      </c>
      <c r="K801" s="36" t="s">
        <v>1900</v>
      </c>
      <c r="L801" s="36" t="s">
        <v>2776</v>
      </c>
      <c r="M801" s="36" t="s">
        <v>2776</v>
      </c>
      <c r="N801" s="36" t="s">
        <v>34</v>
      </c>
    </row>
    <row r="802">
      <c r="A802" s="36" t="s">
        <v>3170</v>
      </c>
      <c r="B802" s="154" t="s">
        <v>3164</v>
      </c>
      <c r="C802" s="36" t="s">
        <v>1666</v>
      </c>
      <c r="D802" s="36" t="s">
        <v>533</v>
      </c>
      <c r="E802" s="36" t="s">
        <v>533</v>
      </c>
      <c r="F802" s="154" t="s">
        <v>2911</v>
      </c>
      <c r="G802" s="36" t="s">
        <v>28</v>
      </c>
      <c r="H802" s="36" t="s">
        <v>1655</v>
      </c>
      <c r="I802" s="36" t="s">
        <v>1656</v>
      </c>
      <c r="J802" s="36" t="s">
        <v>1656</v>
      </c>
      <c r="K802" s="36" t="s">
        <v>1903</v>
      </c>
      <c r="L802" s="36" t="s">
        <v>2776</v>
      </c>
      <c r="M802" s="36" t="s">
        <v>2776</v>
      </c>
      <c r="N802" s="36" t="s">
        <v>34</v>
      </c>
    </row>
    <row r="803">
      <c r="A803" s="36" t="s">
        <v>3171</v>
      </c>
      <c r="B803" s="154" t="s">
        <v>3164</v>
      </c>
      <c r="C803" s="36" t="s">
        <v>1666</v>
      </c>
      <c r="D803" s="36" t="s">
        <v>951</v>
      </c>
      <c r="E803" s="36" t="s">
        <v>951</v>
      </c>
      <c r="F803" s="154" t="s">
        <v>2522</v>
      </c>
      <c r="G803" s="36" t="s">
        <v>28</v>
      </c>
      <c r="H803" s="36" t="s">
        <v>1655</v>
      </c>
      <c r="I803" s="36" t="s">
        <v>1656</v>
      </c>
      <c r="J803" s="36" t="s">
        <v>1656</v>
      </c>
      <c r="K803" s="36" t="s">
        <v>1906</v>
      </c>
      <c r="L803" s="36" t="s">
        <v>2776</v>
      </c>
      <c r="M803" s="36" t="s">
        <v>2776</v>
      </c>
      <c r="N803" s="36" t="s">
        <v>34</v>
      </c>
    </row>
    <row r="804">
      <c r="A804" s="36" t="s">
        <v>3172</v>
      </c>
      <c r="B804" s="154" t="s">
        <v>3164</v>
      </c>
      <c r="C804" s="36" t="s">
        <v>1666</v>
      </c>
      <c r="D804" s="36" t="s">
        <v>618</v>
      </c>
      <c r="E804" s="36" t="s">
        <v>618</v>
      </c>
      <c r="F804" s="154" t="s">
        <v>1822</v>
      </c>
      <c r="G804" s="36" t="s">
        <v>28</v>
      </c>
      <c r="H804" s="36" t="s">
        <v>1655</v>
      </c>
      <c r="I804" s="36" t="s">
        <v>1656</v>
      </c>
      <c r="J804" s="36" t="s">
        <v>1656</v>
      </c>
      <c r="K804" s="36" t="s">
        <v>1909</v>
      </c>
      <c r="L804" s="36" t="s">
        <v>2776</v>
      </c>
      <c r="M804" s="36" t="s">
        <v>2776</v>
      </c>
      <c r="N804" s="36" t="s">
        <v>34</v>
      </c>
    </row>
    <row r="805">
      <c r="A805" s="36" t="s">
        <v>3173</v>
      </c>
      <c r="B805" s="154" t="s">
        <v>3174</v>
      </c>
      <c r="C805" s="36" t="s">
        <v>1666</v>
      </c>
      <c r="D805" s="36" t="s">
        <v>124</v>
      </c>
      <c r="E805" s="36" t="s">
        <v>124</v>
      </c>
      <c r="F805" s="154" t="s">
        <v>3175</v>
      </c>
      <c r="G805" s="36" t="s">
        <v>32</v>
      </c>
      <c r="H805" s="36" t="s">
        <v>1655</v>
      </c>
      <c r="I805" s="36" t="s">
        <v>1656</v>
      </c>
      <c r="J805" s="36" t="s">
        <v>1656</v>
      </c>
      <c r="K805" s="36" t="s">
        <v>1857</v>
      </c>
      <c r="L805" s="36" t="s">
        <v>2776</v>
      </c>
      <c r="M805" s="36" t="s">
        <v>2776</v>
      </c>
      <c r="N805" s="36" t="s">
        <v>32</v>
      </c>
    </row>
    <row r="806">
      <c r="A806" s="36" t="s">
        <v>3176</v>
      </c>
      <c r="B806" s="154" t="s">
        <v>3177</v>
      </c>
      <c r="C806" s="36" t="s">
        <v>1653</v>
      </c>
      <c r="D806" s="36" t="s">
        <v>43</v>
      </c>
      <c r="E806" s="36" t="s">
        <v>39</v>
      </c>
      <c r="F806" s="154" t="s">
        <v>3178</v>
      </c>
      <c r="G806" s="36" t="s">
        <v>32</v>
      </c>
      <c r="H806" s="36" t="s">
        <v>1655</v>
      </c>
      <c r="I806" s="36" t="s">
        <v>1656</v>
      </c>
      <c r="J806" s="36" t="s">
        <v>1656</v>
      </c>
      <c r="K806" s="36" t="s">
        <v>1657</v>
      </c>
      <c r="L806" s="36" t="s">
        <v>2771</v>
      </c>
      <c r="M806" s="36" t="s">
        <v>2771</v>
      </c>
      <c r="N806" s="36" t="s">
        <v>32</v>
      </c>
    </row>
    <row r="807">
      <c r="A807" s="36" t="s">
        <v>3179</v>
      </c>
      <c r="B807" s="154" t="s">
        <v>3177</v>
      </c>
      <c r="C807" s="36" t="s">
        <v>1666</v>
      </c>
      <c r="D807" s="36" t="s">
        <v>1116</v>
      </c>
      <c r="E807" s="36" t="s">
        <v>1116</v>
      </c>
      <c r="F807" s="154" t="s">
        <v>3180</v>
      </c>
      <c r="G807" s="36" t="s">
        <v>28</v>
      </c>
      <c r="H807" s="36" t="s">
        <v>1655</v>
      </c>
      <c r="I807" s="36" t="s">
        <v>1656</v>
      </c>
      <c r="J807" s="36" t="s">
        <v>1656</v>
      </c>
      <c r="K807" s="36" t="s">
        <v>2775</v>
      </c>
      <c r="L807" s="36" t="s">
        <v>2776</v>
      </c>
      <c r="M807" s="36" t="s">
        <v>2776</v>
      </c>
      <c r="N807" s="36" t="s">
        <v>32</v>
      </c>
    </row>
    <row r="808">
      <c r="A808" s="36" t="s">
        <v>3181</v>
      </c>
      <c r="B808" s="154" t="s">
        <v>3177</v>
      </c>
      <c r="C808" s="36" t="s">
        <v>1666</v>
      </c>
      <c r="D808" s="36" t="s">
        <v>923</v>
      </c>
      <c r="E808" s="36" t="s">
        <v>923</v>
      </c>
      <c r="F808" s="154" t="s">
        <v>1683</v>
      </c>
      <c r="G808" s="36" t="s">
        <v>32</v>
      </c>
      <c r="H808" s="36" t="s">
        <v>1655</v>
      </c>
      <c r="I808" s="36" t="s">
        <v>1656</v>
      </c>
      <c r="J808" s="36" t="s">
        <v>1656</v>
      </c>
      <c r="K808" s="36" t="s">
        <v>1672</v>
      </c>
      <c r="L808" s="36" t="s">
        <v>2776</v>
      </c>
      <c r="M808" s="36" t="s">
        <v>2776</v>
      </c>
      <c r="N808" s="36" t="s">
        <v>32</v>
      </c>
    </row>
    <row r="809">
      <c r="A809" s="36" t="s">
        <v>3182</v>
      </c>
      <c r="B809" s="154" t="s">
        <v>3183</v>
      </c>
      <c r="C809" s="36" t="s">
        <v>1666</v>
      </c>
      <c r="D809" s="36" t="s">
        <v>239</v>
      </c>
      <c r="E809" s="36" t="s">
        <v>239</v>
      </c>
      <c r="F809" s="154" t="s">
        <v>3184</v>
      </c>
      <c r="G809" s="36" t="s">
        <v>28</v>
      </c>
      <c r="H809" s="36" t="s">
        <v>1655</v>
      </c>
      <c r="I809" s="36" t="s">
        <v>1656</v>
      </c>
      <c r="J809" s="36" t="s">
        <v>1656</v>
      </c>
      <c r="K809" s="36" t="s">
        <v>1675</v>
      </c>
      <c r="L809" s="36" t="s">
        <v>2776</v>
      </c>
      <c r="M809" s="36" t="s">
        <v>2776</v>
      </c>
      <c r="N809" s="36" t="s">
        <v>34</v>
      </c>
    </row>
    <row r="810">
      <c r="A810" s="36" t="s">
        <v>3185</v>
      </c>
      <c r="B810" s="154" t="s">
        <v>3183</v>
      </c>
      <c r="C810" s="36" t="s">
        <v>1666</v>
      </c>
      <c r="D810" s="36" t="s">
        <v>214</v>
      </c>
      <c r="E810" s="36" t="s">
        <v>214</v>
      </c>
      <c r="F810" s="154" t="s">
        <v>1822</v>
      </c>
      <c r="G810" s="36" t="s">
        <v>28</v>
      </c>
      <c r="H810" s="36" t="s">
        <v>1655</v>
      </c>
      <c r="I810" s="36" t="s">
        <v>1656</v>
      </c>
      <c r="J810" s="36" t="s">
        <v>1656</v>
      </c>
      <c r="K810" s="36" t="s">
        <v>1678</v>
      </c>
      <c r="L810" s="36" t="s">
        <v>2776</v>
      </c>
      <c r="M810" s="36" t="s">
        <v>2776</v>
      </c>
      <c r="N810" s="36" t="s">
        <v>34</v>
      </c>
    </row>
    <row r="811">
      <c r="A811" s="36" t="s">
        <v>3186</v>
      </c>
      <c r="B811" s="154" t="s">
        <v>3183</v>
      </c>
      <c r="C811" s="36" t="s">
        <v>1666</v>
      </c>
      <c r="D811" s="36" t="s">
        <v>552</v>
      </c>
      <c r="E811" s="36" t="s">
        <v>552</v>
      </c>
      <c r="F811" s="154" t="s">
        <v>1723</v>
      </c>
      <c r="G811" s="36" t="s">
        <v>28</v>
      </c>
      <c r="H811" s="36" t="s">
        <v>1655</v>
      </c>
      <c r="I811" s="36" t="s">
        <v>1656</v>
      </c>
      <c r="J811" s="36" t="s">
        <v>1656</v>
      </c>
      <c r="K811" s="36" t="s">
        <v>1681</v>
      </c>
      <c r="L811" s="36" t="s">
        <v>2776</v>
      </c>
      <c r="M811" s="36" t="s">
        <v>2776</v>
      </c>
      <c r="N811" s="36" t="s">
        <v>34</v>
      </c>
    </row>
    <row r="812">
      <c r="A812" s="36" t="s">
        <v>3187</v>
      </c>
      <c r="B812" s="154" t="s">
        <v>3188</v>
      </c>
      <c r="C812" s="36" t="s">
        <v>1666</v>
      </c>
      <c r="D812" s="36" t="s">
        <v>965</v>
      </c>
      <c r="E812" s="36" t="s">
        <v>965</v>
      </c>
      <c r="F812" s="154" t="s">
        <v>1899</v>
      </c>
      <c r="G812" s="36" t="s">
        <v>32</v>
      </c>
      <c r="H812" s="36" t="s">
        <v>1655</v>
      </c>
      <c r="I812" s="36" t="s">
        <v>1656</v>
      </c>
      <c r="J812" s="36" t="s">
        <v>1656</v>
      </c>
      <c r="K812" s="36" t="s">
        <v>1684</v>
      </c>
      <c r="L812" s="36" t="s">
        <v>2776</v>
      </c>
      <c r="M812" s="36" t="s">
        <v>2776</v>
      </c>
      <c r="N812" s="36" t="s">
        <v>32</v>
      </c>
    </row>
    <row r="813">
      <c r="A813" s="36" t="s">
        <v>3189</v>
      </c>
      <c r="B813" s="154" t="s">
        <v>3188</v>
      </c>
      <c r="C813" s="36" t="s">
        <v>1666</v>
      </c>
      <c r="D813" s="36" t="s">
        <v>1147</v>
      </c>
      <c r="E813" s="36" t="s">
        <v>1147</v>
      </c>
      <c r="F813" s="154" t="s">
        <v>1959</v>
      </c>
      <c r="G813" s="36" t="s">
        <v>32</v>
      </c>
      <c r="H813" s="36" t="s">
        <v>1655</v>
      </c>
      <c r="I813" s="36" t="s">
        <v>1656</v>
      </c>
      <c r="J813" s="36" t="s">
        <v>1656</v>
      </c>
      <c r="K813" s="36" t="s">
        <v>1691</v>
      </c>
      <c r="L813" s="36" t="s">
        <v>2776</v>
      </c>
      <c r="M813" s="36" t="s">
        <v>2776</v>
      </c>
      <c r="N813" s="36" t="s">
        <v>32</v>
      </c>
    </row>
    <row r="814">
      <c r="A814" s="36" t="s">
        <v>3190</v>
      </c>
      <c r="B814" s="154" t="s">
        <v>3188</v>
      </c>
      <c r="C814" s="36" t="s">
        <v>1666</v>
      </c>
      <c r="D814" s="36" t="s">
        <v>1153</v>
      </c>
      <c r="E814" s="36" t="s">
        <v>1153</v>
      </c>
      <c r="F814" s="154" t="s">
        <v>2920</v>
      </c>
      <c r="G814" s="36" t="s">
        <v>32</v>
      </c>
      <c r="H814" s="36" t="s">
        <v>1655</v>
      </c>
      <c r="I814" s="36" t="s">
        <v>1656</v>
      </c>
      <c r="J814" s="36" t="s">
        <v>1656</v>
      </c>
      <c r="K814" s="36" t="s">
        <v>1695</v>
      </c>
      <c r="L814" s="36" t="s">
        <v>2776</v>
      </c>
      <c r="M814" s="36" t="s">
        <v>2776</v>
      </c>
      <c r="N814" s="36" t="s">
        <v>32</v>
      </c>
    </row>
    <row r="815">
      <c r="A815" s="36" t="s">
        <v>3191</v>
      </c>
      <c r="B815" s="154" t="s">
        <v>3188</v>
      </c>
      <c r="C815" s="36" t="s">
        <v>1666</v>
      </c>
      <c r="D815" s="36" t="s">
        <v>951</v>
      </c>
      <c r="E815" s="36" t="s">
        <v>951</v>
      </c>
      <c r="F815" s="154" t="s">
        <v>2388</v>
      </c>
      <c r="G815" s="36" t="s">
        <v>28</v>
      </c>
      <c r="H815" s="36" t="s">
        <v>1655</v>
      </c>
      <c r="I815" s="36" t="s">
        <v>1656</v>
      </c>
      <c r="J815" s="36" t="s">
        <v>1656</v>
      </c>
      <c r="K815" s="36" t="s">
        <v>1698</v>
      </c>
      <c r="L815" s="36" t="s">
        <v>2776</v>
      </c>
      <c r="M815" s="36" t="s">
        <v>2776</v>
      </c>
      <c r="N815" s="36" t="s">
        <v>34</v>
      </c>
    </row>
    <row r="816">
      <c r="A816" s="36" t="s">
        <v>3192</v>
      </c>
      <c r="B816" s="154" t="s">
        <v>3188</v>
      </c>
      <c r="C816" s="36" t="s">
        <v>1666</v>
      </c>
      <c r="D816" s="36" t="s">
        <v>1162</v>
      </c>
      <c r="E816" s="36" t="s">
        <v>1162</v>
      </c>
      <c r="F816" s="154" t="s">
        <v>2693</v>
      </c>
      <c r="G816" s="36" t="s">
        <v>28</v>
      </c>
      <c r="H816" s="36" t="s">
        <v>1655</v>
      </c>
      <c r="I816" s="36" t="s">
        <v>1656</v>
      </c>
      <c r="J816" s="36" t="s">
        <v>1656</v>
      </c>
      <c r="K816" s="36" t="s">
        <v>1701</v>
      </c>
      <c r="L816" s="36" t="s">
        <v>2776</v>
      </c>
      <c r="M816" s="36" t="s">
        <v>2776</v>
      </c>
      <c r="N816" s="36" t="s">
        <v>34</v>
      </c>
    </row>
    <row r="817">
      <c r="A817" s="36" t="s">
        <v>3193</v>
      </c>
      <c r="B817" s="154" t="s">
        <v>3194</v>
      </c>
      <c r="C817" s="36" t="s">
        <v>1653</v>
      </c>
      <c r="D817" s="36" t="s">
        <v>1098</v>
      </c>
      <c r="E817" s="36" t="s">
        <v>39</v>
      </c>
      <c r="F817" s="154" t="s">
        <v>1810</v>
      </c>
      <c r="G817" s="36" t="s">
        <v>32</v>
      </c>
      <c r="H817" s="36" t="s">
        <v>1655</v>
      </c>
      <c r="I817" s="36" t="s">
        <v>1656</v>
      </c>
      <c r="J817" s="36" t="s">
        <v>1656</v>
      </c>
      <c r="K817" s="36" t="s">
        <v>1989</v>
      </c>
      <c r="L817" s="36" t="s">
        <v>2771</v>
      </c>
      <c r="M817" s="36" t="s">
        <v>2771</v>
      </c>
      <c r="N817" s="36" t="s">
        <v>32</v>
      </c>
    </row>
    <row r="818">
      <c r="A818" s="36" t="s">
        <v>3195</v>
      </c>
      <c r="B818" s="154" t="s">
        <v>3194</v>
      </c>
      <c r="C818" s="36" t="s">
        <v>1666</v>
      </c>
      <c r="D818" s="36" t="s">
        <v>64</v>
      </c>
      <c r="E818" s="36" t="s">
        <v>64</v>
      </c>
      <c r="F818" s="154" t="s">
        <v>3196</v>
      </c>
      <c r="G818" s="36" t="s">
        <v>28</v>
      </c>
      <c r="H818" s="36" t="s">
        <v>1655</v>
      </c>
      <c r="I818" s="36" t="s">
        <v>1656</v>
      </c>
      <c r="J818" s="36" t="s">
        <v>1656</v>
      </c>
      <c r="K818" s="36" t="s">
        <v>1708</v>
      </c>
      <c r="L818" s="36" t="s">
        <v>2776</v>
      </c>
      <c r="M818" s="36" t="s">
        <v>2776</v>
      </c>
      <c r="N818" s="36" t="s">
        <v>32</v>
      </c>
    </row>
    <row r="819">
      <c r="A819" s="36" t="s">
        <v>3197</v>
      </c>
      <c r="B819" s="154" t="s">
        <v>3194</v>
      </c>
      <c r="C819" s="36" t="s">
        <v>1666</v>
      </c>
      <c r="D819" s="36" t="s">
        <v>841</v>
      </c>
      <c r="E819" s="36" t="s">
        <v>841</v>
      </c>
      <c r="F819" s="154" t="s">
        <v>1816</v>
      </c>
      <c r="G819" s="36" t="s">
        <v>34</v>
      </c>
      <c r="H819" s="36" t="s">
        <v>1655</v>
      </c>
      <c r="I819" s="36" t="s">
        <v>1656</v>
      </c>
      <c r="J819" s="36" t="s">
        <v>1656</v>
      </c>
      <c r="K819" s="36" t="s">
        <v>1704</v>
      </c>
      <c r="L819" s="36" t="s">
        <v>2776</v>
      </c>
      <c r="M819" s="36" t="s">
        <v>2776</v>
      </c>
      <c r="N819" s="36" t="s">
        <v>32</v>
      </c>
    </row>
    <row r="820">
      <c r="A820" s="36" t="s">
        <v>3198</v>
      </c>
      <c r="B820" s="154" t="s">
        <v>3194</v>
      </c>
      <c r="C820" s="36" t="s">
        <v>1666</v>
      </c>
      <c r="D820" s="36" t="s">
        <v>109</v>
      </c>
      <c r="E820" s="36" t="s">
        <v>109</v>
      </c>
      <c r="F820" s="154" t="s">
        <v>1959</v>
      </c>
      <c r="G820" s="36" t="s">
        <v>28</v>
      </c>
      <c r="H820" s="36" t="s">
        <v>1655</v>
      </c>
      <c r="I820" s="36" t="s">
        <v>1656</v>
      </c>
      <c r="J820" s="36" t="s">
        <v>1656</v>
      </c>
      <c r="K820" s="36" t="s">
        <v>1711</v>
      </c>
      <c r="L820" s="36" t="s">
        <v>2776</v>
      </c>
      <c r="M820" s="36" t="s">
        <v>2776</v>
      </c>
      <c r="N820" s="36" t="s">
        <v>32</v>
      </c>
    </row>
    <row r="821">
      <c r="A821" s="36" t="s">
        <v>3199</v>
      </c>
      <c r="B821" s="154" t="s">
        <v>3194</v>
      </c>
      <c r="C821" s="36" t="s">
        <v>1666</v>
      </c>
      <c r="D821" s="36" t="s">
        <v>1179</v>
      </c>
      <c r="E821" s="36" t="s">
        <v>1179</v>
      </c>
      <c r="F821" s="154" t="s">
        <v>3200</v>
      </c>
      <c r="G821" s="36" t="s">
        <v>32</v>
      </c>
      <c r="H821" s="36" t="s">
        <v>1655</v>
      </c>
      <c r="I821" s="36" t="s">
        <v>1656</v>
      </c>
      <c r="J821" s="36" t="s">
        <v>1656</v>
      </c>
      <c r="K821" s="36" t="s">
        <v>1715</v>
      </c>
      <c r="L821" s="36" t="s">
        <v>2776</v>
      </c>
      <c r="M821" s="36" t="s">
        <v>2776</v>
      </c>
      <c r="N821" s="36" t="s">
        <v>32</v>
      </c>
    </row>
    <row r="822">
      <c r="A822" s="36" t="s">
        <v>3201</v>
      </c>
      <c r="B822" s="154" t="s">
        <v>3194</v>
      </c>
      <c r="C822" s="36" t="s">
        <v>1666</v>
      </c>
      <c r="D822" s="36" t="s">
        <v>1184</v>
      </c>
      <c r="E822" s="36" t="s">
        <v>1184</v>
      </c>
      <c r="F822" s="154" t="s">
        <v>2940</v>
      </c>
      <c r="G822" s="36" t="s">
        <v>28</v>
      </c>
      <c r="H822" s="36" t="s">
        <v>1655</v>
      </c>
      <c r="I822" s="36" t="s">
        <v>1656</v>
      </c>
      <c r="J822" s="36" t="s">
        <v>1656</v>
      </c>
      <c r="K822" s="36" t="s">
        <v>1717</v>
      </c>
      <c r="L822" s="36" t="s">
        <v>2776</v>
      </c>
      <c r="M822" s="36" t="s">
        <v>2776</v>
      </c>
      <c r="N822" s="36" t="s">
        <v>32</v>
      </c>
    </row>
    <row r="823">
      <c r="A823" s="36" t="s">
        <v>3202</v>
      </c>
      <c r="B823" s="154" t="s">
        <v>3194</v>
      </c>
      <c r="C823" s="36" t="s">
        <v>1666</v>
      </c>
      <c r="D823" s="36" t="s">
        <v>1188</v>
      </c>
      <c r="E823" s="36" t="s">
        <v>1188</v>
      </c>
      <c r="F823" s="154" t="s">
        <v>1806</v>
      </c>
      <c r="G823" s="36" t="s">
        <v>32</v>
      </c>
      <c r="H823" s="36" t="s">
        <v>1655</v>
      </c>
      <c r="I823" s="36" t="s">
        <v>1656</v>
      </c>
      <c r="J823" s="36" t="s">
        <v>1656</v>
      </c>
      <c r="K823" s="36" t="s">
        <v>1724</v>
      </c>
      <c r="L823" s="36" t="s">
        <v>2776</v>
      </c>
      <c r="M823" s="36" t="s">
        <v>2776</v>
      </c>
      <c r="N823" s="36" t="s">
        <v>32</v>
      </c>
    </row>
    <row r="824">
      <c r="A824" s="36" t="s">
        <v>3203</v>
      </c>
      <c r="B824" s="154" t="s">
        <v>3204</v>
      </c>
      <c r="C824" s="36" t="s">
        <v>1666</v>
      </c>
      <c r="D824" s="36" t="s">
        <v>1195</v>
      </c>
      <c r="E824" s="36" t="s">
        <v>1195</v>
      </c>
      <c r="F824" s="154" t="s">
        <v>1729</v>
      </c>
      <c r="G824" s="36" t="s">
        <v>32</v>
      </c>
      <c r="H824" s="36" t="s">
        <v>1655</v>
      </c>
      <c r="I824" s="36" t="s">
        <v>1656</v>
      </c>
      <c r="J824" s="36" t="s">
        <v>1656</v>
      </c>
      <c r="K824" s="36" t="s">
        <v>1727</v>
      </c>
      <c r="L824" s="36" t="s">
        <v>2776</v>
      </c>
      <c r="M824" s="36" t="s">
        <v>2776</v>
      </c>
      <c r="N824" s="36" t="s">
        <v>32</v>
      </c>
    </row>
    <row r="825">
      <c r="A825" s="36" t="s">
        <v>3205</v>
      </c>
      <c r="B825" s="154" t="s">
        <v>3204</v>
      </c>
      <c r="C825" s="36" t="s">
        <v>1666</v>
      </c>
      <c r="D825" s="36" t="s">
        <v>788</v>
      </c>
      <c r="E825" s="36" t="s">
        <v>788</v>
      </c>
      <c r="F825" s="154" t="s">
        <v>1806</v>
      </c>
      <c r="G825" s="36" t="s">
        <v>28</v>
      </c>
      <c r="H825" s="36" t="s">
        <v>1655</v>
      </c>
      <c r="I825" s="36" t="s">
        <v>1656</v>
      </c>
      <c r="J825" s="36" t="s">
        <v>1656</v>
      </c>
      <c r="K825" s="36" t="s">
        <v>1730</v>
      </c>
      <c r="L825" s="36" t="s">
        <v>2776</v>
      </c>
      <c r="M825" s="36" t="s">
        <v>2776</v>
      </c>
      <c r="N825" s="36" t="s">
        <v>32</v>
      </c>
    </row>
    <row r="826">
      <c r="A826" s="36" t="s">
        <v>3206</v>
      </c>
      <c r="B826" s="154" t="s">
        <v>3204</v>
      </c>
      <c r="C826" s="36" t="s">
        <v>1666</v>
      </c>
      <c r="D826" s="36" t="s">
        <v>1204</v>
      </c>
      <c r="E826" s="36" t="s">
        <v>1204</v>
      </c>
      <c r="F826" s="154" t="s">
        <v>1799</v>
      </c>
      <c r="G826" s="36" t="s">
        <v>28</v>
      </c>
      <c r="H826" s="36" t="s">
        <v>1655</v>
      </c>
      <c r="I826" s="36" t="s">
        <v>1656</v>
      </c>
      <c r="J826" s="36" t="s">
        <v>1656</v>
      </c>
      <c r="K826" s="36" t="s">
        <v>1732</v>
      </c>
      <c r="L826" s="36" t="s">
        <v>2776</v>
      </c>
      <c r="M826" s="36" t="s">
        <v>2776</v>
      </c>
      <c r="N826" s="36" t="s">
        <v>32</v>
      </c>
    </row>
    <row r="827">
      <c r="A827" s="36" t="s">
        <v>3207</v>
      </c>
      <c r="B827" s="154" t="s">
        <v>3204</v>
      </c>
      <c r="C827" s="36" t="s">
        <v>1666</v>
      </c>
      <c r="D827" s="36" t="s">
        <v>1210</v>
      </c>
      <c r="E827" s="36" t="s">
        <v>1210</v>
      </c>
      <c r="F827" s="154" t="s">
        <v>2388</v>
      </c>
      <c r="G827" s="36" t="s">
        <v>28</v>
      </c>
      <c r="H827" s="36" t="s">
        <v>1655</v>
      </c>
      <c r="I827" s="36" t="s">
        <v>1656</v>
      </c>
      <c r="J827" s="36" t="s">
        <v>1656</v>
      </c>
      <c r="K827" s="36" t="s">
        <v>1736</v>
      </c>
      <c r="L827" s="36" t="s">
        <v>2776</v>
      </c>
      <c r="M827" s="36" t="s">
        <v>2776</v>
      </c>
      <c r="N827" s="36" t="s">
        <v>34</v>
      </c>
    </row>
    <row r="828">
      <c r="A828" s="36" t="s">
        <v>3208</v>
      </c>
      <c r="B828" s="154" t="s">
        <v>3204</v>
      </c>
      <c r="C828" s="36" t="s">
        <v>1666</v>
      </c>
      <c r="D828" s="36" t="s">
        <v>1215</v>
      </c>
      <c r="E828" s="36" t="s">
        <v>1215</v>
      </c>
      <c r="F828" s="154" t="s">
        <v>1959</v>
      </c>
      <c r="G828" s="36" t="s">
        <v>28</v>
      </c>
      <c r="H828" s="36" t="s">
        <v>1655</v>
      </c>
      <c r="I828" s="36" t="s">
        <v>1656</v>
      </c>
      <c r="J828" s="36" t="s">
        <v>1656</v>
      </c>
      <c r="K828" s="36" t="s">
        <v>1739</v>
      </c>
      <c r="L828" s="36" t="s">
        <v>2776</v>
      </c>
      <c r="M828" s="36" t="s">
        <v>2776</v>
      </c>
      <c r="N828" s="36" t="s">
        <v>34</v>
      </c>
    </row>
    <row r="829">
      <c r="A829" s="36" t="s">
        <v>3209</v>
      </c>
      <c r="B829" s="154" t="s">
        <v>3210</v>
      </c>
      <c r="C829" s="36" t="s">
        <v>1666</v>
      </c>
      <c r="D829" s="36" t="s">
        <v>66</v>
      </c>
      <c r="E829" s="36" t="s">
        <v>66</v>
      </c>
      <c r="F829" s="154" t="s">
        <v>3211</v>
      </c>
      <c r="G829" s="36" t="s">
        <v>28</v>
      </c>
      <c r="H829" s="36" t="s">
        <v>1655</v>
      </c>
      <c r="I829" s="36" t="s">
        <v>1656</v>
      </c>
      <c r="J829" s="36" t="s">
        <v>1656</v>
      </c>
      <c r="K829" s="36" t="s">
        <v>1721</v>
      </c>
      <c r="L829" s="36" t="s">
        <v>2776</v>
      </c>
      <c r="M829" s="36" t="s">
        <v>2776</v>
      </c>
      <c r="N829" s="36" t="s">
        <v>32</v>
      </c>
    </row>
    <row r="830">
      <c r="A830" s="36" t="s">
        <v>3212</v>
      </c>
      <c r="B830" s="154" t="s">
        <v>3210</v>
      </c>
      <c r="C830" s="36" t="s">
        <v>1666</v>
      </c>
      <c r="D830" s="36" t="s">
        <v>214</v>
      </c>
      <c r="E830" s="36" t="s">
        <v>214</v>
      </c>
      <c r="F830" s="154" t="s">
        <v>2079</v>
      </c>
      <c r="G830" s="36" t="s">
        <v>28</v>
      </c>
      <c r="H830" s="36" t="s">
        <v>1655</v>
      </c>
      <c r="I830" s="36" t="s">
        <v>1656</v>
      </c>
      <c r="J830" s="36" t="s">
        <v>1656</v>
      </c>
      <c r="K830" s="36" t="s">
        <v>1742</v>
      </c>
      <c r="L830" s="36" t="s">
        <v>2776</v>
      </c>
      <c r="M830" s="36" t="s">
        <v>2776</v>
      </c>
      <c r="N830" s="36" t="s">
        <v>32</v>
      </c>
    </row>
    <row r="831">
      <c r="A831" s="36" t="s">
        <v>3213</v>
      </c>
      <c r="B831" s="154" t="s">
        <v>3214</v>
      </c>
      <c r="C831" s="36" t="s">
        <v>1666</v>
      </c>
      <c r="D831" s="36" t="s">
        <v>1224</v>
      </c>
      <c r="E831" s="36" t="s">
        <v>1224</v>
      </c>
      <c r="F831" s="154" t="s">
        <v>1694</v>
      </c>
      <c r="G831" s="36" t="s">
        <v>28</v>
      </c>
      <c r="H831" s="36" t="s">
        <v>1655</v>
      </c>
      <c r="I831" s="36" t="s">
        <v>1656</v>
      </c>
      <c r="J831" s="36" t="s">
        <v>1656</v>
      </c>
      <c r="K831" s="36" t="s">
        <v>1745</v>
      </c>
      <c r="L831" s="36" t="s">
        <v>2776</v>
      </c>
      <c r="M831" s="36" t="s">
        <v>2776</v>
      </c>
      <c r="N831" s="36" t="s">
        <v>32</v>
      </c>
    </row>
    <row r="832">
      <c r="A832" s="36" t="s">
        <v>3215</v>
      </c>
      <c r="B832" s="154" t="s">
        <v>3214</v>
      </c>
      <c r="C832" s="36" t="s">
        <v>1666</v>
      </c>
      <c r="D832" s="36" t="s">
        <v>1230</v>
      </c>
      <c r="E832" s="36" t="s">
        <v>1230</v>
      </c>
      <c r="F832" s="154" t="s">
        <v>2156</v>
      </c>
      <c r="G832" s="36" t="s">
        <v>28</v>
      </c>
      <c r="H832" s="36" t="s">
        <v>1655</v>
      </c>
      <c r="I832" s="36" t="s">
        <v>1656</v>
      </c>
      <c r="J832" s="36" t="s">
        <v>1656</v>
      </c>
      <c r="K832" s="36" t="s">
        <v>1773</v>
      </c>
      <c r="L832" s="36" t="s">
        <v>2776</v>
      </c>
      <c r="M832" s="36" t="s">
        <v>2776</v>
      </c>
      <c r="N832" s="36" t="s">
        <v>32</v>
      </c>
    </row>
    <row r="833">
      <c r="A833" s="36" t="s">
        <v>3216</v>
      </c>
      <c r="B833" s="154" t="s">
        <v>3217</v>
      </c>
      <c r="C833" s="36" t="s">
        <v>1653</v>
      </c>
      <c r="D833" s="36" t="s">
        <v>55</v>
      </c>
      <c r="E833" s="36" t="s">
        <v>39</v>
      </c>
      <c r="F833" s="154" t="s">
        <v>3218</v>
      </c>
      <c r="G833" s="36" t="s">
        <v>32</v>
      </c>
      <c r="H833" s="36" t="s">
        <v>1655</v>
      </c>
      <c r="I833" s="36" t="s">
        <v>1656</v>
      </c>
      <c r="J833" s="36" t="s">
        <v>1656</v>
      </c>
      <c r="K833" s="36" t="s">
        <v>1749</v>
      </c>
      <c r="L833" s="36" t="s">
        <v>2771</v>
      </c>
      <c r="M833" s="36" t="s">
        <v>2771</v>
      </c>
      <c r="N833" s="36" t="s">
        <v>32</v>
      </c>
    </row>
    <row r="834">
      <c r="A834" s="36" t="s">
        <v>3219</v>
      </c>
      <c r="B834" s="154" t="s">
        <v>3217</v>
      </c>
      <c r="C834" s="36" t="s">
        <v>1666</v>
      </c>
      <c r="D834" s="36" t="s">
        <v>71</v>
      </c>
      <c r="E834" s="36" t="s">
        <v>71</v>
      </c>
      <c r="F834" s="154" t="s">
        <v>2964</v>
      </c>
      <c r="G834" s="36" t="s">
        <v>32</v>
      </c>
      <c r="H834" s="36" t="s">
        <v>1655</v>
      </c>
      <c r="I834" s="36" t="s">
        <v>1656</v>
      </c>
      <c r="J834" s="36" t="s">
        <v>1656</v>
      </c>
      <c r="K834" s="36" t="s">
        <v>1752</v>
      </c>
      <c r="L834" s="36" t="s">
        <v>2776</v>
      </c>
      <c r="M834" s="36" t="s">
        <v>2776</v>
      </c>
      <c r="N834" s="36" t="s">
        <v>32</v>
      </c>
    </row>
    <row r="835">
      <c r="A835" s="36" t="s">
        <v>3220</v>
      </c>
      <c r="B835" s="154" t="s">
        <v>3217</v>
      </c>
      <c r="C835" s="36" t="s">
        <v>1666</v>
      </c>
      <c r="D835" s="36" t="s">
        <v>73</v>
      </c>
      <c r="E835" s="36" t="s">
        <v>73</v>
      </c>
      <c r="F835" s="154" t="s">
        <v>2966</v>
      </c>
      <c r="G835" s="36" t="s">
        <v>28</v>
      </c>
      <c r="H835" s="36" t="s">
        <v>1655</v>
      </c>
      <c r="I835" s="36" t="s">
        <v>1656</v>
      </c>
      <c r="J835" s="36" t="s">
        <v>1656</v>
      </c>
      <c r="K835" s="36" t="s">
        <v>1755</v>
      </c>
      <c r="L835" s="36" t="s">
        <v>2776</v>
      </c>
      <c r="M835" s="36" t="s">
        <v>2776</v>
      </c>
      <c r="N835" s="36" t="s">
        <v>32</v>
      </c>
    </row>
    <row r="836">
      <c r="A836" s="36" t="s">
        <v>3221</v>
      </c>
      <c r="B836" s="154" t="s">
        <v>3217</v>
      </c>
      <c r="C836" s="36" t="s">
        <v>1666</v>
      </c>
      <c r="D836" s="36" t="s">
        <v>74</v>
      </c>
      <c r="E836" s="36" t="s">
        <v>74</v>
      </c>
      <c r="F836" s="154" t="s">
        <v>2968</v>
      </c>
      <c r="G836" s="36" t="s">
        <v>32</v>
      </c>
      <c r="H836" s="36" t="s">
        <v>1655</v>
      </c>
      <c r="I836" s="36" t="s">
        <v>1656</v>
      </c>
      <c r="J836" s="36" t="s">
        <v>1656</v>
      </c>
      <c r="K836" s="36" t="s">
        <v>1757</v>
      </c>
      <c r="L836" s="36" t="s">
        <v>2776</v>
      </c>
      <c r="M836" s="36" t="s">
        <v>2776</v>
      </c>
      <c r="N836" s="36" t="s">
        <v>32</v>
      </c>
    </row>
    <row r="837">
      <c r="A837" s="36" t="s">
        <v>3222</v>
      </c>
      <c r="B837" s="154" t="s">
        <v>3217</v>
      </c>
      <c r="C837" s="36" t="s">
        <v>1666</v>
      </c>
      <c r="D837" s="36" t="s">
        <v>75</v>
      </c>
      <c r="E837" s="36" t="s">
        <v>75</v>
      </c>
      <c r="F837" s="154" t="s">
        <v>2970</v>
      </c>
      <c r="G837" s="36" t="s">
        <v>28</v>
      </c>
      <c r="H837" s="36" t="s">
        <v>1655</v>
      </c>
      <c r="I837" s="36" t="s">
        <v>1656</v>
      </c>
      <c r="J837" s="36" t="s">
        <v>1656</v>
      </c>
      <c r="K837" s="36" t="s">
        <v>1760</v>
      </c>
      <c r="L837" s="36" t="s">
        <v>2776</v>
      </c>
      <c r="M837" s="36" t="s">
        <v>2776</v>
      </c>
      <c r="N837" s="36" t="s">
        <v>32</v>
      </c>
    </row>
    <row r="838">
      <c r="A838" s="36" t="s">
        <v>3223</v>
      </c>
      <c r="B838" s="154" t="s">
        <v>3217</v>
      </c>
      <c r="C838" s="36" t="s">
        <v>1666</v>
      </c>
      <c r="D838" s="36" t="s">
        <v>76</v>
      </c>
      <c r="E838" s="36" t="s">
        <v>76</v>
      </c>
      <c r="F838" s="154" t="s">
        <v>3224</v>
      </c>
      <c r="G838" s="36" t="s">
        <v>28</v>
      </c>
      <c r="H838" s="36" t="s">
        <v>1655</v>
      </c>
      <c r="I838" s="36" t="s">
        <v>1656</v>
      </c>
      <c r="J838" s="36" t="s">
        <v>1656</v>
      </c>
      <c r="K838" s="36" t="s">
        <v>1763</v>
      </c>
      <c r="L838" s="36" t="s">
        <v>2776</v>
      </c>
      <c r="M838" s="36" t="s">
        <v>2776</v>
      </c>
      <c r="N838" s="36" t="s">
        <v>32</v>
      </c>
    </row>
    <row r="839">
      <c r="A839" s="36" t="s">
        <v>3225</v>
      </c>
      <c r="B839" s="154" t="s">
        <v>3217</v>
      </c>
      <c r="C839" s="36" t="s">
        <v>1666</v>
      </c>
      <c r="D839" s="36" t="s">
        <v>919</v>
      </c>
      <c r="E839" s="36" t="s">
        <v>919</v>
      </c>
      <c r="F839" s="154" t="s">
        <v>1765</v>
      </c>
      <c r="G839" s="36" t="s">
        <v>28</v>
      </c>
      <c r="H839" s="36" t="s">
        <v>1655</v>
      </c>
      <c r="I839" s="36" t="s">
        <v>1656</v>
      </c>
      <c r="J839" s="36" t="s">
        <v>1656</v>
      </c>
      <c r="K839" s="36" t="s">
        <v>1766</v>
      </c>
      <c r="L839" s="36" t="s">
        <v>2776</v>
      </c>
      <c r="M839" s="36" t="s">
        <v>2776</v>
      </c>
      <c r="N839" s="36" t="s">
        <v>32</v>
      </c>
    </row>
    <row r="840">
      <c r="A840" s="36" t="s">
        <v>3226</v>
      </c>
      <c r="B840" s="154" t="s">
        <v>3217</v>
      </c>
      <c r="C840" s="36" t="s">
        <v>1666</v>
      </c>
      <c r="D840" s="36" t="s">
        <v>77</v>
      </c>
      <c r="E840" s="36" t="s">
        <v>77</v>
      </c>
      <c r="F840" s="154" t="s">
        <v>1768</v>
      </c>
      <c r="G840" s="36" t="s">
        <v>34</v>
      </c>
      <c r="H840" s="36" t="s">
        <v>1655</v>
      </c>
      <c r="I840" s="36" t="s">
        <v>1656</v>
      </c>
      <c r="J840" s="36" t="s">
        <v>1656</v>
      </c>
      <c r="K840" s="36" t="s">
        <v>1769</v>
      </c>
      <c r="L840" s="36" t="s">
        <v>2776</v>
      </c>
      <c r="M840" s="36" t="s">
        <v>2776</v>
      </c>
      <c r="N840" s="36" t="s">
        <v>32</v>
      </c>
    </row>
    <row r="841">
      <c r="A841" s="36" t="s">
        <v>3227</v>
      </c>
      <c r="B841" s="154" t="s">
        <v>3217</v>
      </c>
      <c r="C841" s="36" t="s">
        <v>1666</v>
      </c>
      <c r="D841" s="36" t="s">
        <v>1234</v>
      </c>
      <c r="E841" s="36" t="s">
        <v>1234</v>
      </c>
      <c r="F841" s="154" t="s">
        <v>3228</v>
      </c>
      <c r="G841" s="36" t="s">
        <v>28</v>
      </c>
      <c r="H841" s="36" t="s">
        <v>1655</v>
      </c>
      <c r="I841" s="36" t="s">
        <v>1656</v>
      </c>
      <c r="J841" s="36" t="s">
        <v>1656</v>
      </c>
      <c r="K841" s="36" t="s">
        <v>1776</v>
      </c>
      <c r="L841" s="36" t="s">
        <v>2776</v>
      </c>
      <c r="M841" s="36" t="s">
        <v>2776</v>
      </c>
      <c r="N841" s="36" t="s">
        <v>32</v>
      </c>
    </row>
    <row r="842">
      <c r="A842" s="36" t="s">
        <v>3229</v>
      </c>
      <c r="B842" s="154" t="s">
        <v>3230</v>
      </c>
      <c r="C842" s="36" t="s">
        <v>1666</v>
      </c>
      <c r="D842" s="36" t="s">
        <v>1238</v>
      </c>
      <c r="E842" s="36" t="s">
        <v>1238</v>
      </c>
      <c r="F842" s="154" t="s">
        <v>1832</v>
      </c>
      <c r="G842" s="36" t="s">
        <v>32</v>
      </c>
      <c r="H842" s="36" t="s">
        <v>1655</v>
      </c>
      <c r="I842" s="36" t="s">
        <v>1656</v>
      </c>
      <c r="J842" s="36" t="s">
        <v>1656</v>
      </c>
      <c r="K842" s="36" t="s">
        <v>1779</v>
      </c>
      <c r="L842" s="36" t="s">
        <v>2776</v>
      </c>
      <c r="M842" s="36" t="s">
        <v>2776</v>
      </c>
      <c r="N842" s="36" t="s">
        <v>32</v>
      </c>
    </row>
    <row r="843">
      <c r="A843" s="36" t="s">
        <v>3231</v>
      </c>
      <c r="B843" s="154" t="s">
        <v>3232</v>
      </c>
      <c r="C843" s="36" t="s">
        <v>1666</v>
      </c>
      <c r="D843" s="36" t="s">
        <v>1245</v>
      </c>
      <c r="E843" s="36" t="s">
        <v>1245</v>
      </c>
      <c r="F843" s="154" t="s">
        <v>3233</v>
      </c>
      <c r="G843" s="36" t="s">
        <v>28</v>
      </c>
      <c r="H843" s="36" t="s">
        <v>1655</v>
      </c>
      <c r="I843" s="36" t="s">
        <v>1656</v>
      </c>
      <c r="J843" s="36" t="s">
        <v>1656</v>
      </c>
      <c r="K843" s="36" t="s">
        <v>1782</v>
      </c>
      <c r="L843" s="36" t="s">
        <v>2776</v>
      </c>
      <c r="M843" s="36" t="s">
        <v>2776</v>
      </c>
      <c r="N843" s="36" t="s">
        <v>32</v>
      </c>
    </row>
    <row r="844">
      <c r="A844" s="36" t="s">
        <v>3234</v>
      </c>
      <c r="B844" s="154" t="s">
        <v>3232</v>
      </c>
      <c r="C844" s="36" t="s">
        <v>1666</v>
      </c>
      <c r="D844" s="36" t="s">
        <v>966</v>
      </c>
      <c r="E844" s="36" t="s">
        <v>966</v>
      </c>
      <c r="F844" s="154" t="s">
        <v>1932</v>
      </c>
      <c r="G844" s="36" t="s">
        <v>28</v>
      </c>
      <c r="H844" s="36" t="s">
        <v>1655</v>
      </c>
      <c r="I844" s="36" t="s">
        <v>1656</v>
      </c>
      <c r="J844" s="36" t="s">
        <v>1656</v>
      </c>
      <c r="K844" s="36" t="s">
        <v>1784</v>
      </c>
      <c r="L844" s="36" t="s">
        <v>2776</v>
      </c>
      <c r="M844" s="36" t="s">
        <v>2776</v>
      </c>
      <c r="N844" s="36" t="s">
        <v>32</v>
      </c>
    </row>
    <row r="845">
      <c r="A845" s="36" t="s">
        <v>3235</v>
      </c>
      <c r="B845" s="154" t="s">
        <v>3232</v>
      </c>
      <c r="C845" s="36" t="s">
        <v>1666</v>
      </c>
      <c r="D845" s="36" t="s">
        <v>368</v>
      </c>
      <c r="E845" s="36" t="s">
        <v>368</v>
      </c>
      <c r="F845" s="154" t="s">
        <v>2269</v>
      </c>
      <c r="G845" s="36" t="s">
        <v>28</v>
      </c>
      <c r="H845" s="36" t="s">
        <v>1655</v>
      </c>
      <c r="I845" s="36" t="s">
        <v>1656</v>
      </c>
      <c r="J845" s="36" t="s">
        <v>1656</v>
      </c>
      <c r="K845" s="36" t="s">
        <v>1787</v>
      </c>
      <c r="L845" s="36" t="s">
        <v>2776</v>
      </c>
      <c r="M845" s="36" t="s">
        <v>2776</v>
      </c>
      <c r="N845" s="36" t="s">
        <v>34</v>
      </c>
    </row>
    <row r="846">
      <c r="A846" s="36" t="s">
        <v>3236</v>
      </c>
      <c r="B846" s="154" t="s">
        <v>3232</v>
      </c>
      <c r="C846" s="36" t="s">
        <v>1666</v>
      </c>
      <c r="D846" s="36" t="s">
        <v>502</v>
      </c>
      <c r="E846" s="36" t="s">
        <v>502</v>
      </c>
      <c r="F846" s="154" t="s">
        <v>3237</v>
      </c>
      <c r="G846" s="36" t="s">
        <v>32</v>
      </c>
      <c r="H846" s="36" t="s">
        <v>1655</v>
      </c>
      <c r="I846" s="36" t="s">
        <v>1656</v>
      </c>
      <c r="J846" s="36" t="s">
        <v>1656</v>
      </c>
      <c r="K846" s="36" t="s">
        <v>1790</v>
      </c>
      <c r="L846" s="36" t="s">
        <v>2776</v>
      </c>
      <c r="M846" s="36" t="s">
        <v>2776</v>
      </c>
      <c r="N846" s="36" t="s">
        <v>32</v>
      </c>
    </row>
    <row r="847">
      <c r="A847" s="36" t="s">
        <v>3238</v>
      </c>
      <c r="B847" s="154" t="s">
        <v>3232</v>
      </c>
      <c r="C847" s="36" t="s">
        <v>1666</v>
      </c>
      <c r="D847" s="36" t="s">
        <v>505</v>
      </c>
      <c r="E847" s="36" t="s">
        <v>505</v>
      </c>
      <c r="F847" s="154" t="s">
        <v>3239</v>
      </c>
      <c r="G847" s="36" t="s">
        <v>34</v>
      </c>
      <c r="H847" s="36" t="s">
        <v>1655</v>
      </c>
      <c r="I847" s="36" t="s">
        <v>1656</v>
      </c>
      <c r="J847" s="36" t="s">
        <v>1656</v>
      </c>
      <c r="K847" s="36" t="s">
        <v>1793</v>
      </c>
      <c r="L847" s="36" t="s">
        <v>2776</v>
      </c>
      <c r="M847" s="36" t="s">
        <v>2776</v>
      </c>
      <c r="N847" s="36" t="s">
        <v>32</v>
      </c>
    </row>
    <row r="848">
      <c r="A848" s="36" t="s">
        <v>3240</v>
      </c>
      <c r="B848" s="154" t="s">
        <v>3232</v>
      </c>
      <c r="C848" s="36" t="s">
        <v>1666</v>
      </c>
      <c r="D848" s="36" t="s">
        <v>511</v>
      </c>
      <c r="E848" s="36" t="s">
        <v>511</v>
      </c>
      <c r="F848" s="154" t="s">
        <v>3241</v>
      </c>
      <c r="G848" s="36" t="s">
        <v>28</v>
      </c>
      <c r="H848" s="36" t="s">
        <v>1655</v>
      </c>
      <c r="I848" s="36" t="s">
        <v>1656</v>
      </c>
      <c r="J848" s="36" t="s">
        <v>1656</v>
      </c>
      <c r="K848" s="36" t="s">
        <v>1796</v>
      </c>
      <c r="L848" s="36" t="s">
        <v>2776</v>
      </c>
      <c r="M848" s="36" t="s">
        <v>2776</v>
      </c>
      <c r="N848" s="36" t="s">
        <v>32</v>
      </c>
    </row>
    <row r="849">
      <c r="A849" s="36" t="s">
        <v>3242</v>
      </c>
      <c r="B849" s="154" t="s">
        <v>3232</v>
      </c>
      <c r="C849" s="36" t="s">
        <v>1666</v>
      </c>
      <c r="D849" s="36" t="s">
        <v>1222</v>
      </c>
      <c r="E849" s="36" t="s">
        <v>1222</v>
      </c>
      <c r="F849" s="154" t="s">
        <v>3243</v>
      </c>
      <c r="G849" s="36" t="s">
        <v>32</v>
      </c>
      <c r="H849" s="36" t="s">
        <v>1655</v>
      </c>
      <c r="I849" s="36" t="s">
        <v>1656</v>
      </c>
      <c r="J849" s="36" t="s">
        <v>1656</v>
      </c>
      <c r="K849" s="36" t="s">
        <v>1800</v>
      </c>
      <c r="L849" s="36" t="s">
        <v>2776</v>
      </c>
      <c r="M849" s="36" t="s">
        <v>2776</v>
      </c>
      <c r="N849" s="36" t="s">
        <v>32</v>
      </c>
    </row>
    <row r="850">
      <c r="A850" s="36" t="s">
        <v>3244</v>
      </c>
      <c r="B850" s="154" t="s">
        <v>3232</v>
      </c>
      <c r="C850" s="36" t="s">
        <v>1666</v>
      </c>
      <c r="D850" s="36" t="s">
        <v>978</v>
      </c>
      <c r="E850" s="36" t="s">
        <v>978</v>
      </c>
      <c r="F850" s="154" t="s">
        <v>1683</v>
      </c>
      <c r="G850" s="36" t="s">
        <v>32</v>
      </c>
      <c r="H850" s="36" t="s">
        <v>1655</v>
      </c>
      <c r="I850" s="36" t="s">
        <v>1656</v>
      </c>
      <c r="J850" s="36" t="s">
        <v>1656</v>
      </c>
      <c r="K850" s="36" t="s">
        <v>1803</v>
      </c>
      <c r="L850" s="36" t="s">
        <v>2776</v>
      </c>
      <c r="M850" s="36" t="s">
        <v>2776</v>
      </c>
      <c r="N850" s="36" t="s">
        <v>32</v>
      </c>
    </row>
    <row r="851">
      <c r="A851" s="36" t="s">
        <v>3245</v>
      </c>
      <c r="B851" s="154" t="s">
        <v>3246</v>
      </c>
      <c r="C851" s="36" t="s">
        <v>1666</v>
      </c>
      <c r="D851" s="36" t="s">
        <v>1283</v>
      </c>
      <c r="E851" s="36" t="s">
        <v>1283</v>
      </c>
      <c r="F851" s="154" t="s">
        <v>1799</v>
      </c>
      <c r="G851" s="36" t="s">
        <v>32</v>
      </c>
      <c r="H851" s="36" t="s">
        <v>1655</v>
      </c>
      <c r="I851" s="36" t="s">
        <v>1656</v>
      </c>
      <c r="J851" s="36" t="s">
        <v>1656</v>
      </c>
      <c r="K851" s="36" t="s">
        <v>1807</v>
      </c>
      <c r="L851" s="36" t="s">
        <v>2776</v>
      </c>
      <c r="M851" s="36" t="s">
        <v>2776</v>
      </c>
      <c r="N851" s="36" t="s">
        <v>32</v>
      </c>
    </row>
    <row r="852">
      <c r="A852" s="36" t="s">
        <v>3247</v>
      </c>
      <c r="B852" s="154" t="s">
        <v>3246</v>
      </c>
      <c r="C852" s="36" t="s">
        <v>1666</v>
      </c>
      <c r="D852" s="36" t="s">
        <v>1245</v>
      </c>
      <c r="E852" s="36" t="s">
        <v>1245</v>
      </c>
      <c r="F852" s="154" t="s">
        <v>3248</v>
      </c>
      <c r="G852" s="36" t="s">
        <v>32</v>
      </c>
      <c r="H852" s="36" t="s">
        <v>1655</v>
      </c>
      <c r="I852" s="36" t="s">
        <v>1656</v>
      </c>
      <c r="J852" s="36" t="s">
        <v>1656</v>
      </c>
      <c r="K852" s="36" t="s">
        <v>1814</v>
      </c>
      <c r="L852" s="36" t="s">
        <v>2776</v>
      </c>
      <c r="M852" s="36" t="s">
        <v>2776</v>
      </c>
      <c r="N852" s="36" t="s">
        <v>32</v>
      </c>
    </row>
    <row r="853">
      <c r="A853" s="36" t="s">
        <v>3249</v>
      </c>
      <c r="B853" s="154" t="s">
        <v>3250</v>
      </c>
      <c r="C853" s="36" t="s">
        <v>1653</v>
      </c>
      <c r="D853" s="36" t="s">
        <v>1105</v>
      </c>
      <c r="E853" s="36" t="s">
        <v>39</v>
      </c>
      <c r="F853" s="154" t="s">
        <v>3251</v>
      </c>
      <c r="G853" s="36" t="s">
        <v>32</v>
      </c>
      <c r="H853" s="36" t="s">
        <v>1655</v>
      </c>
      <c r="I853" s="36" t="s">
        <v>1656</v>
      </c>
      <c r="J853" s="36" t="s">
        <v>1656</v>
      </c>
      <c r="K853" s="36" t="s">
        <v>1978</v>
      </c>
      <c r="L853" s="36" t="s">
        <v>2771</v>
      </c>
      <c r="M853" s="36" t="s">
        <v>2771</v>
      </c>
      <c r="N853" s="36" t="s">
        <v>32</v>
      </c>
    </row>
    <row r="854">
      <c r="A854" s="36" t="s">
        <v>3252</v>
      </c>
      <c r="B854" s="154" t="s">
        <v>3250</v>
      </c>
      <c r="C854" s="36" t="s">
        <v>1666</v>
      </c>
      <c r="D854" s="36" t="s">
        <v>78</v>
      </c>
      <c r="E854" s="36" t="s">
        <v>78</v>
      </c>
      <c r="F854" s="154" t="s">
        <v>2006</v>
      </c>
      <c r="G854" s="36" t="s">
        <v>28</v>
      </c>
      <c r="H854" s="36" t="s">
        <v>1655</v>
      </c>
      <c r="I854" s="36" t="s">
        <v>1656</v>
      </c>
      <c r="J854" s="36" t="s">
        <v>1656</v>
      </c>
      <c r="K854" s="36" t="s">
        <v>1811</v>
      </c>
      <c r="L854" s="36" t="s">
        <v>2776</v>
      </c>
      <c r="M854" s="36" t="s">
        <v>2776</v>
      </c>
      <c r="N854" s="36" t="s">
        <v>32</v>
      </c>
    </row>
    <row r="855">
      <c r="A855" s="36" t="s">
        <v>3253</v>
      </c>
      <c r="B855" s="154" t="s">
        <v>3250</v>
      </c>
      <c r="C855" s="36" t="s">
        <v>1666</v>
      </c>
      <c r="D855" s="36" t="s">
        <v>966</v>
      </c>
      <c r="E855" s="36" t="s">
        <v>966</v>
      </c>
      <c r="F855" s="154" t="s">
        <v>2920</v>
      </c>
      <c r="G855" s="36" t="s">
        <v>28</v>
      </c>
      <c r="H855" s="36" t="s">
        <v>1655</v>
      </c>
      <c r="I855" s="36" t="s">
        <v>1656</v>
      </c>
      <c r="J855" s="36" t="s">
        <v>1656</v>
      </c>
      <c r="K855" s="36" t="s">
        <v>1817</v>
      </c>
      <c r="L855" s="36" t="s">
        <v>2776</v>
      </c>
      <c r="M855" s="36" t="s">
        <v>2776</v>
      </c>
      <c r="N855" s="36" t="s">
        <v>32</v>
      </c>
    </row>
    <row r="856">
      <c r="A856" s="36" t="s">
        <v>3254</v>
      </c>
      <c r="B856" s="154" t="s">
        <v>3250</v>
      </c>
      <c r="C856" s="36" t="s">
        <v>1666</v>
      </c>
      <c r="D856" s="36" t="s">
        <v>299</v>
      </c>
      <c r="E856" s="36" t="s">
        <v>299</v>
      </c>
      <c r="F856" s="154" t="s">
        <v>3028</v>
      </c>
      <c r="G856" s="36" t="s">
        <v>28</v>
      </c>
      <c r="H856" s="36" t="s">
        <v>1655</v>
      </c>
      <c r="I856" s="36" t="s">
        <v>1656</v>
      </c>
      <c r="J856" s="36" t="s">
        <v>1656</v>
      </c>
      <c r="K856" s="36" t="s">
        <v>1820</v>
      </c>
      <c r="L856" s="36" t="s">
        <v>2776</v>
      </c>
      <c r="M856" s="36" t="s">
        <v>2776</v>
      </c>
      <c r="N856" s="36" t="s">
        <v>34</v>
      </c>
    </row>
    <row r="857">
      <c r="A857" s="36" t="s">
        <v>3255</v>
      </c>
      <c r="B857" s="154" t="s">
        <v>3250</v>
      </c>
      <c r="C857" s="36" t="s">
        <v>1666</v>
      </c>
      <c r="D857" s="36" t="s">
        <v>966</v>
      </c>
      <c r="E857" s="36" t="s">
        <v>966</v>
      </c>
      <c r="F857" s="154" t="s">
        <v>3256</v>
      </c>
      <c r="G857" s="36" t="s">
        <v>28</v>
      </c>
      <c r="H857" s="36" t="s">
        <v>1655</v>
      </c>
      <c r="I857" s="36" t="s">
        <v>1656</v>
      </c>
      <c r="J857" s="36" t="s">
        <v>1656</v>
      </c>
      <c r="K857" s="36" t="s">
        <v>1823</v>
      </c>
      <c r="L857" s="36" t="s">
        <v>2776</v>
      </c>
      <c r="M857" s="36" t="s">
        <v>2776</v>
      </c>
      <c r="N857" s="36" t="s">
        <v>32</v>
      </c>
    </row>
    <row r="858">
      <c r="A858" s="36" t="s">
        <v>3257</v>
      </c>
      <c r="B858" s="154" t="s">
        <v>3258</v>
      </c>
      <c r="C858" s="36" t="s">
        <v>1666</v>
      </c>
      <c r="D858" s="36" t="s">
        <v>1311</v>
      </c>
      <c r="E858" s="36" t="s">
        <v>1311</v>
      </c>
      <c r="F858" s="154" t="s">
        <v>1768</v>
      </c>
      <c r="G858" s="36" t="s">
        <v>28</v>
      </c>
      <c r="H858" s="36" t="s">
        <v>1655</v>
      </c>
      <c r="I858" s="36" t="s">
        <v>1656</v>
      </c>
      <c r="J858" s="36" t="s">
        <v>1656</v>
      </c>
      <c r="K858" s="36" t="s">
        <v>1826</v>
      </c>
      <c r="L858" s="36" t="s">
        <v>2776</v>
      </c>
      <c r="M858" s="36" t="s">
        <v>2776</v>
      </c>
      <c r="N858" s="36" t="s">
        <v>34</v>
      </c>
    </row>
    <row r="859">
      <c r="A859" s="36" t="s">
        <v>3259</v>
      </c>
      <c r="B859" s="154" t="s">
        <v>3258</v>
      </c>
      <c r="C859" s="36" t="s">
        <v>1666</v>
      </c>
      <c r="D859" s="36" t="s">
        <v>109</v>
      </c>
      <c r="E859" s="36" t="s">
        <v>109</v>
      </c>
      <c r="F859" s="154" t="s">
        <v>2728</v>
      </c>
      <c r="G859" s="36" t="s">
        <v>28</v>
      </c>
      <c r="H859" s="36" t="s">
        <v>1655</v>
      </c>
      <c r="I859" s="36" t="s">
        <v>1656</v>
      </c>
      <c r="J859" s="36" t="s">
        <v>1656</v>
      </c>
      <c r="K859" s="36" t="s">
        <v>1830</v>
      </c>
      <c r="L859" s="36" t="s">
        <v>2776</v>
      </c>
      <c r="M859" s="36" t="s">
        <v>2776</v>
      </c>
      <c r="N859" s="36" t="s">
        <v>34</v>
      </c>
    </row>
    <row r="860">
      <c r="A860" s="36" t="s">
        <v>3260</v>
      </c>
      <c r="B860" s="154" t="s">
        <v>3258</v>
      </c>
      <c r="C860" s="36" t="s">
        <v>1666</v>
      </c>
      <c r="D860" s="36" t="s">
        <v>1322</v>
      </c>
      <c r="E860" s="36" t="s">
        <v>1322</v>
      </c>
      <c r="F860" s="154" t="s">
        <v>3261</v>
      </c>
      <c r="G860" s="36" t="s">
        <v>28</v>
      </c>
      <c r="H860" s="36" t="s">
        <v>1655</v>
      </c>
      <c r="I860" s="36" t="s">
        <v>1656</v>
      </c>
      <c r="J860" s="36" t="s">
        <v>1656</v>
      </c>
      <c r="K860" s="36" t="s">
        <v>1833</v>
      </c>
      <c r="L860" s="36" t="s">
        <v>2776</v>
      </c>
      <c r="M860" s="36" t="s">
        <v>2776</v>
      </c>
      <c r="N860" s="36" t="s">
        <v>32</v>
      </c>
    </row>
    <row r="861">
      <c r="A861" s="36" t="s">
        <v>3262</v>
      </c>
      <c r="B861" s="154" t="s">
        <v>3263</v>
      </c>
      <c r="C861" s="36" t="s">
        <v>1666</v>
      </c>
      <c r="D861" s="36" t="s">
        <v>582</v>
      </c>
      <c r="E861" s="36" t="s">
        <v>582</v>
      </c>
      <c r="F861" s="154" t="s">
        <v>1929</v>
      </c>
      <c r="G861" s="36" t="s">
        <v>28</v>
      </c>
      <c r="H861" s="36" t="s">
        <v>1655</v>
      </c>
      <c r="I861" s="36" t="s">
        <v>1656</v>
      </c>
      <c r="J861" s="36" t="s">
        <v>1656</v>
      </c>
      <c r="K861" s="36" t="s">
        <v>1836</v>
      </c>
      <c r="L861" s="36" t="s">
        <v>2776</v>
      </c>
      <c r="M861" s="36" t="s">
        <v>2776</v>
      </c>
      <c r="N861" s="36" t="s">
        <v>32</v>
      </c>
    </row>
    <row r="862">
      <c r="A862" s="36" t="s">
        <v>3264</v>
      </c>
      <c r="B862" s="154" t="s">
        <v>3263</v>
      </c>
      <c r="C862" s="36" t="s">
        <v>1666</v>
      </c>
      <c r="D862" s="36" t="s">
        <v>209</v>
      </c>
      <c r="E862" s="36" t="s">
        <v>209</v>
      </c>
      <c r="F862" s="154" t="s">
        <v>1929</v>
      </c>
      <c r="G862" s="36" t="s">
        <v>28</v>
      </c>
      <c r="H862" s="36" t="s">
        <v>1655</v>
      </c>
      <c r="I862" s="36" t="s">
        <v>1656</v>
      </c>
      <c r="J862" s="36" t="s">
        <v>1656</v>
      </c>
      <c r="K862" s="36" t="s">
        <v>1839</v>
      </c>
      <c r="L862" s="36" t="s">
        <v>2776</v>
      </c>
      <c r="M862" s="36" t="s">
        <v>2776</v>
      </c>
      <c r="N862" s="36" t="s">
        <v>32</v>
      </c>
    </row>
    <row r="863">
      <c r="A863" s="36" t="s">
        <v>3265</v>
      </c>
      <c r="B863" s="154" t="s">
        <v>3263</v>
      </c>
      <c r="C863" s="36" t="s">
        <v>1666</v>
      </c>
      <c r="D863" s="36" t="s">
        <v>1331</v>
      </c>
      <c r="E863" s="36" t="s">
        <v>1331</v>
      </c>
      <c r="F863" s="154" t="s">
        <v>1686</v>
      </c>
      <c r="G863" s="36" t="s">
        <v>32</v>
      </c>
      <c r="H863" s="36" t="s">
        <v>1655</v>
      </c>
      <c r="I863" s="36" t="s">
        <v>1656</v>
      </c>
      <c r="J863" s="36" t="s">
        <v>1656</v>
      </c>
      <c r="K863" s="36" t="s">
        <v>1842</v>
      </c>
      <c r="L863" s="36" t="s">
        <v>2776</v>
      </c>
      <c r="M863" s="36" t="s">
        <v>2776</v>
      </c>
      <c r="N863" s="36" t="s">
        <v>34</v>
      </c>
    </row>
    <row r="864">
      <c r="A864" s="36" t="s">
        <v>3266</v>
      </c>
      <c r="B864" s="154" t="s">
        <v>3263</v>
      </c>
      <c r="C864" s="36" t="s">
        <v>1666</v>
      </c>
      <c r="D864" s="36" t="s">
        <v>1215</v>
      </c>
      <c r="E864" s="36" t="s">
        <v>1215</v>
      </c>
      <c r="F864" s="154" t="s">
        <v>1729</v>
      </c>
      <c r="G864" s="36" t="s">
        <v>28</v>
      </c>
      <c r="H864" s="36" t="s">
        <v>1655</v>
      </c>
      <c r="I864" s="36" t="s">
        <v>1656</v>
      </c>
      <c r="J864" s="36" t="s">
        <v>1656</v>
      </c>
      <c r="K864" s="36" t="s">
        <v>1845</v>
      </c>
      <c r="L864" s="36" t="s">
        <v>2776</v>
      </c>
      <c r="M864" s="36" t="s">
        <v>2776</v>
      </c>
      <c r="N864" s="36" t="s">
        <v>34</v>
      </c>
    </row>
    <row r="865">
      <c r="A865" s="36" t="s">
        <v>3267</v>
      </c>
      <c r="B865" s="154" t="s">
        <v>3263</v>
      </c>
      <c r="C865" s="36" t="s">
        <v>1666</v>
      </c>
      <c r="D865" s="36" t="s">
        <v>209</v>
      </c>
      <c r="E865" s="36" t="s">
        <v>209</v>
      </c>
      <c r="F865" s="154" t="s">
        <v>2325</v>
      </c>
      <c r="G865" s="36" t="s">
        <v>28</v>
      </c>
      <c r="H865" s="36" t="s">
        <v>1655</v>
      </c>
      <c r="I865" s="36" t="s">
        <v>1656</v>
      </c>
      <c r="J865" s="36" t="s">
        <v>1656</v>
      </c>
      <c r="K865" s="36" t="s">
        <v>1848</v>
      </c>
      <c r="L865" s="36" t="s">
        <v>2776</v>
      </c>
      <c r="M865" s="36" t="s">
        <v>2776</v>
      </c>
      <c r="N865" s="36" t="s">
        <v>34</v>
      </c>
    </row>
    <row r="866">
      <c r="A866" s="36" t="s">
        <v>3268</v>
      </c>
      <c r="B866" s="154" t="s">
        <v>3263</v>
      </c>
      <c r="C866" s="36" t="s">
        <v>1666</v>
      </c>
      <c r="D866" s="36" t="s">
        <v>313</v>
      </c>
      <c r="E866" s="36" t="s">
        <v>313</v>
      </c>
      <c r="F866" s="154" t="s">
        <v>1735</v>
      </c>
      <c r="G866" s="36" t="s">
        <v>32</v>
      </c>
      <c r="H866" s="36" t="s">
        <v>1655</v>
      </c>
      <c r="I866" s="36" t="s">
        <v>1656</v>
      </c>
      <c r="J866" s="36" t="s">
        <v>1656</v>
      </c>
      <c r="K866" s="36" t="s">
        <v>1851</v>
      </c>
      <c r="L866" s="36" t="s">
        <v>2776</v>
      </c>
      <c r="M866" s="36" t="s">
        <v>2776</v>
      </c>
      <c r="N866" s="36" t="s">
        <v>32</v>
      </c>
    </row>
    <row r="867">
      <c r="A867" s="36" t="s">
        <v>3269</v>
      </c>
      <c r="B867" s="154" t="s">
        <v>3270</v>
      </c>
      <c r="C867" s="36" t="s">
        <v>1666</v>
      </c>
      <c r="D867" s="36" t="s">
        <v>1348</v>
      </c>
      <c r="E867" s="36" t="s">
        <v>1348</v>
      </c>
      <c r="F867" s="154" t="s">
        <v>1810</v>
      </c>
      <c r="G867" s="36" t="s">
        <v>28</v>
      </c>
      <c r="H867" s="36" t="s">
        <v>1655</v>
      </c>
      <c r="I867" s="36" t="s">
        <v>1656</v>
      </c>
      <c r="J867" s="36" t="s">
        <v>1656</v>
      </c>
      <c r="K867" s="36" t="s">
        <v>1854</v>
      </c>
      <c r="L867" s="36" t="s">
        <v>2776</v>
      </c>
      <c r="M867" s="36" t="s">
        <v>2776</v>
      </c>
      <c r="N867" s="36" t="s">
        <v>32</v>
      </c>
    </row>
    <row r="868">
      <c r="A868" s="36" t="s">
        <v>3271</v>
      </c>
      <c r="B868" s="154" t="s">
        <v>3272</v>
      </c>
      <c r="C868" s="36" t="s">
        <v>1666</v>
      </c>
      <c r="D868" s="36" t="s">
        <v>1204</v>
      </c>
      <c r="E868" s="36" t="s">
        <v>1204</v>
      </c>
      <c r="F868" s="154" t="s">
        <v>1799</v>
      </c>
      <c r="G868" s="36" t="s">
        <v>32</v>
      </c>
      <c r="H868" s="36" t="s">
        <v>1655</v>
      </c>
      <c r="I868" s="36" t="s">
        <v>1656</v>
      </c>
      <c r="J868" s="36" t="s">
        <v>1656</v>
      </c>
      <c r="K868" s="36" t="s">
        <v>1857</v>
      </c>
      <c r="L868" s="36" t="s">
        <v>2776</v>
      </c>
      <c r="M868" s="36" t="s">
        <v>2776</v>
      </c>
      <c r="N868" s="36" t="s">
        <v>32</v>
      </c>
    </row>
    <row r="869">
      <c r="A869" s="36" t="s">
        <v>3273</v>
      </c>
      <c r="B869" s="154" t="s">
        <v>3272</v>
      </c>
      <c r="C869" s="36" t="s">
        <v>1666</v>
      </c>
      <c r="D869" s="36" t="s">
        <v>1375</v>
      </c>
      <c r="E869" s="36" t="s">
        <v>1375</v>
      </c>
      <c r="F869" s="154" t="s">
        <v>1729</v>
      </c>
      <c r="G869" s="36" t="s">
        <v>28</v>
      </c>
      <c r="H869" s="36" t="s">
        <v>1655</v>
      </c>
      <c r="I869" s="36" t="s">
        <v>1656</v>
      </c>
      <c r="J869" s="36" t="s">
        <v>1656</v>
      </c>
      <c r="K869" s="36" t="s">
        <v>1884</v>
      </c>
      <c r="L869" s="36" t="s">
        <v>2776</v>
      </c>
      <c r="M869" s="36" t="s">
        <v>2776</v>
      </c>
      <c r="N869" s="36" t="s">
        <v>34</v>
      </c>
    </row>
    <row r="870">
      <c r="A870" s="36" t="s">
        <v>3274</v>
      </c>
      <c r="B870" s="154" t="s">
        <v>3272</v>
      </c>
      <c r="C870" s="36" t="s">
        <v>1666</v>
      </c>
      <c r="D870" s="36" t="s">
        <v>1379</v>
      </c>
      <c r="E870" s="36" t="s">
        <v>1379</v>
      </c>
      <c r="F870" s="154" t="s">
        <v>3017</v>
      </c>
      <c r="G870" s="36" t="s">
        <v>28</v>
      </c>
      <c r="H870" s="36" t="s">
        <v>1655</v>
      </c>
      <c r="I870" s="36" t="s">
        <v>1656</v>
      </c>
      <c r="J870" s="36" t="s">
        <v>1656</v>
      </c>
      <c r="K870" s="36" t="s">
        <v>1887</v>
      </c>
      <c r="L870" s="36" t="s">
        <v>2776</v>
      </c>
      <c r="M870" s="36" t="s">
        <v>2776</v>
      </c>
      <c r="N870" s="36" t="s">
        <v>34</v>
      </c>
    </row>
    <row r="871">
      <c r="A871" s="36" t="s">
        <v>3275</v>
      </c>
      <c r="B871" s="154" t="s">
        <v>3276</v>
      </c>
      <c r="C871" s="36" t="s">
        <v>1666</v>
      </c>
      <c r="D871" s="36" t="s">
        <v>1356</v>
      </c>
      <c r="E871" s="36" t="s">
        <v>1356</v>
      </c>
      <c r="F871" s="154" t="s">
        <v>1768</v>
      </c>
      <c r="G871" s="36" t="s">
        <v>32</v>
      </c>
      <c r="H871" s="36" t="s">
        <v>1655</v>
      </c>
      <c r="I871" s="36" t="s">
        <v>1656</v>
      </c>
      <c r="J871" s="36" t="s">
        <v>1656</v>
      </c>
      <c r="K871" s="36" t="s">
        <v>1860</v>
      </c>
      <c r="L871" s="36" t="s">
        <v>2776</v>
      </c>
      <c r="M871" s="36" t="s">
        <v>2776</v>
      </c>
      <c r="N871" s="36" t="s">
        <v>32</v>
      </c>
    </row>
    <row r="872">
      <c r="A872" s="36" t="s">
        <v>3277</v>
      </c>
      <c r="B872" s="154" t="s">
        <v>3278</v>
      </c>
      <c r="C872" s="36" t="s">
        <v>1666</v>
      </c>
      <c r="D872" s="36" t="s">
        <v>1382</v>
      </c>
      <c r="E872" s="36" t="s">
        <v>1382</v>
      </c>
      <c r="F872" s="154" t="s">
        <v>3279</v>
      </c>
      <c r="G872" s="36" t="s">
        <v>28</v>
      </c>
      <c r="H872" s="36" t="s">
        <v>1655</v>
      </c>
      <c r="I872" s="36" t="s">
        <v>1656</v>
      </c>
      <c r="J872" s="36" t="s">
        <v>1656</v>
      </c>
      <c r="K872" s="36" t="s">
        <v>1894</v>
      </c>
      <c r="L872" s="36" t="s">
        <v>2776</v>
      </c>
      <c r="M872" s="36" t="s">
        <v>2776</v>
      </c>
      <c r="N872" s="36" t="s">
        <v>34</v>
      </c>
    </row>
    <row r="873">
      <c r="A873" s="36" t="s">
        <v>3280</v>
      </c>
      <c r="B873" s="154" t="s">
        <v>3281</v>
      </c>
      <c r="C873" s="36" t="s">
        <v>1666</v>
      </c>
      <c r="D873" s="36" t="s">
        <v>714</v>
      </c>
      <c r="E873" s="36" t="s">
        <v>714</v>
      </c>
      <c r="F873" s="154" t="s">
        <v>3282</v>
      </c>
      <c r="G873" s="36" t="s">
        <v>32</v>
      </c>
      <c r="H873" s="36" t="s">
        <v>1655</v>
      </c>
      <c r="I873" s="36" t="s">
        <v>1656</v>
      </c>
      <c r="J873" s="36" t="s">
        <v>1656</v>
      </c>
      <c r="K873" s="36" t="s">
        <v>1891</v>
      </c>
      <c r="L873" s="36" t="s">
        <v>2776</v>
      </c>
      <c r="M873" s="36" t="s">
        <v>2776</v>
      </c>
      <c r="N873" s="36" t="s">
        <v>32</v>
      </c>
    </row>
    <row r="874">
      <c r="A874" s="36" t="s">
        <v>3283</v>
      </c>
      <c r="B874" s="154" t="s">
        <v>3284</v>
      </c>
      <c r="C874" s="36" t="s">
        <v>1666</v>
      </c>
      <c r="D874" s="36" t="s">
        <v>1360</v>
      </c>
      <c r="E874" s="36" t="s">
        <v>1360</v>
      </c>
      <c r="F874" s="154" t="s">
        <v>3285</v>
      </c>
      <c r="G874" s="36" t="s">
        <v>32</v>
      </c>
      <c r="H874" s="36" t="s">
        <v>1655</v>
      </c>
      <c r="I874" s="36" t="s">
        <v>1656</v>
      </c>
      <c r="J874" s="36" t="s">
        <v>1656</v>
      </c>
      <c r="K874" s="36" t="s">
        <v>1863</v>
      </c>
      <c r="L874" s="36" t="s">
        <v>2776</v>
      </c>
      <c r="M874" s="36" t="s">
        <v>2776</v>
      </c>
      <c r="N874" s="36" t="s">
        <v>32</v>
      </c>
    </row>
    <row r="875">
      <c r="A875" s="36" t="s">
        <v>3286</v>
      </c>
      <c r="B875" s="154" t="s">
        <v>3284</v>
      </c>
      <c r="C875" s="36" t="s">
        <v>1666</v>
      </c>
      <c r="D875" s="36" t="s">
        <v>647</v>
      </c>
      <c r="E875" s="36" t="s">
        <v>647</v>
      </c>
      <c r="F875" s="154" t="s">
        <v>2027</v>
      </c>
      <c r="G875" s="36" t="s">
        <v>32</v>
      </c>
      <c r="H875" s="36" t="s">
        <v>1655</v>
      </c>
      <c r="I875" s="36" t="s">
        <v>1656</v>
      </c>
      <c r="J875" s="36" t="s">
        <v>1656</v>
      </c>
      <c r="K875" s="36" t="s">
        <v>1866</v>
      </c>
      <c r="L875" s="36" t="s">
        <v>2776</v>
      </c>
      <c r="M875" s="36" t="s">
        <v>2776</v>
      </c>
      <c r="N875" s="36" t="s">
        <v>32</v>
      </c>
    </row>
    <row r="876">
      <c r="A876" s="36" t="s">
        <v>3287</v>
      </c>
      <c r="B876" s="154" t="s">
        <v>3284</v>
      </c>
      <c r="C876" s="36" t="s">
        <v>1666</v>
      </c>
      <c r="D876" s="36" t="s">
        <v>1366</v>
      </c>
      <c r="E876" s="36" t="s">
        <v>1366</v>
      </c>
      <c r="F876" s="154" t="s">
        <v>2094</v>
      </c>
      <c r="G876" s="36" t="s">
        <v>32</v>
      </c>
      <c r="H876" s="36" t="s">
        <v>1655</v>
      </c>
      <c r="I876" s="36" t="s">
        <v>1656</v>
      </c>
      <c r="J876" s="36" t="s">
        <v>1656</v>
      </c>
      <c r="K876" s="36" t="s">
        <v>1869</v>
      </c>
      <c r="L876" s="36" t="s">
        <v>2776</v>
      </c>
      <c r="M876" s="36" t="s">
        <v>2776</v>
      </c>
      <c r="N876" s="36" t="s">
        <v>32</v>
      </c>
    </row>
    <row r="877">
      <c r="A877" s="36" t="s">
        <v>3288</v>
      </c>
      <c r="B877" s="154" t="s">
        <v>3289</v>
      </c>
      <c r="C877" s="36" t="s">
        <v>1666</v>
      </c>
      <c r="D877" s="36" t="s">
        <v>1245</v>
      </c>
      <c r="E877" s="36" t="s">
        <v>1245</v>
      </c>
      <c r="F877" s="154" t="s">
        <v>1853</v>
      </c>
      <c r="G877" s="36" t="s">
        <v>32</v>
      </c>
      <c r="H877" s="36" t="s">
        <v>1655</v>
      </c>
      <c r="I877" s="36" t="s">
        <v>1656</v>
      </c>
      <c r="J877" s="36" t="s">
        <v>1656</v>
      </c>
      <c r="K877" s="36" t="s">
        <v>1872</v>
      </c>
      <c r="L877" s="36" t="s">
        <v>2776</v>
      </c>
      <c r="M877" s="36" t="s">
        <v>2776</v>
      </c>
      <c r="N877" s="36" t="s">
        <v>32</v>
      </c>
    </row>
    <row r="878">
      <c r="A878" s="36" t="s">
        <v>3290</v>
      </c>
      <c r="B878" s="154" t="s">
        <v>3289</v>
      </c>
      <c r="C878" s="36" t="s">
        <v>1666</v>
      </c>
      <c r="D878" s="36" t="s">
        <v>299</v>
      </c>
      <c r="E878" s="36" t="s">
        <v>299</v>
      </c>
      <c r="F878" s="154" t="s">
        <v>2922</v>
      </c>
      <c r="G878" s="36" t="s">
        <v>28</v>
      </c>
      <c r="H878" s="36" t="s">
        <v>1655</v>
      </c>
      <c r="I878" s="36" t="s">
        <v>1656</v>
      </c>
      <c r="J878" s="36" t="s">
        <v>1656</v>
      </c>
      <c r="K878" s="36" t="s">
        <v>1897</v>
      </c>
      <c r="L878" s="36" t="s">
        <v>2776</v>
      </c>
      <c r="M878" s="36" t="s">
        <v>2776</v>
      </c>
      <c r="N878" s="36" t="s">
        <v>34</v>
      </c>
    </row>
    <row r="879">
      <c r="A879" s="36" t="s">
        <v>3291</v>
      </c>
      <c r="B879" s="154" t="s">
        <v>3292</v>
      </c>
      <c r="C879" s="36" t="s">
        <v>1666</v>
      </c>
      <c r="D879" s="36" t="s">
        <v>368</v>
      </c>
      <c r="E879" s="36" t="s">
        <v>368</v>
      </c>
      <c r="F879" s="154" t="s">
        <v>3293</v>
      </c>
      <c r="G879" s="36" t="s">
        <v>28</v>
      </c>
      <c r="H879" s="36" t="s">
        <v>1655</v>
      </c>
      <c r="I879" s="36" t="s">
        <v>1656</v>
      </c>
      <c r="J879" s="36" t="s">
        <v>1656</v>
      </c>
      <c r="K879" s="36" t="s">
        <v>1900</v>
      </c>
      <c r="L879" s="36" t="s">
        <v>2776</v>
      </c>
      <c r="M879" s="36" t="s">
        <v>2776</v>
      </c>
      <c r="N879" s="36" t="s">
        <v>34</v>
      </c>
    </row>
    <row r="880">
      <c r="A880" s="36" t="s">
        <v>3294</v>
      </c>
      <c r="B880" s="154" t="s">
        <v>3295</v>
      </c>
      <c r="C880" s="36" t="s">
        <v>1666</v>
      </c>
      <c r="D880" s="36" t="s">
        <v>81</v>
      </c>
      <c r="E880" s="36" t="s">
        <v>81</v>
      </c>
      <c r="F880" s="154" t="s">
        <v>3296</v>
      </c>
      <c r="G880" s="36" t="s">
        <v>28</v>
      </c>
      <c r="H880" s="36" t="s">
        <v>1655</v>
      </c>
      <c r="I880" s="36" t="s">
        <v>1656</v>
      </c>
      <c r="J880" s="36" t="s">
        <v>1656</v>
      </c>
      <c r="K880" s="36" t="s">
        <v>1921</v>
      </c>
      <c r="L880" s="36" t="s">
        <v>2776</v>
      </c>
      <c r="M880" s="36" t="s">
        <v>2776</v>
      </c>
      <c r="N880" s="36" t="s">
        <v>32</v>
      </c>
    </row>
    <row r="881">
      <c r="A881" s="36" t="s">
        <v>3297</v>
      </c>
      <c r="B881" s="154" t="s">
        <v>3295</v>
      </c>
      <c r="C881" s="36" t="s">
        <v>1666</v>
      </c>
      <c r="D881" s="36" t="s">
        <v>83</v>
      </c>
      <c r="E881" s="36" t="s">
        <v>83</v>
      </c>
      <c r="F881" s="154" t="s">
        <v>3034</v>
      </c>
      <c r="G881" s="36" t="s">
        <v>28</v>
      </c>
      <c r="H881" s="36" t="s">
        <v>1655</v>
      </c>
      <c r="I881" s="36" t="s">
        <v>1656</v>
      </c>
      <c r="J881" s="36" t="s">
        <v>1656</v>
      </c>
      <c r="K881" s="36" t="s">
        <v>3166</v>
      </c>
      <c r="L881" s="36" t="s">
        <v>2776</v>
      </c>
      <c r="M881" s="36" t="s">
        <v>2776</v>
      </c>
      <c r="N881" s="36" t="s">
        <v>32</v>
      </c>
    </row>
    <row r="882">
      <c r="A882" s="36" t="s">
        <v>3298</v>
      </c>
      <c r="B882" s="154" t="s">
        <v>3295</v>
      </c>
      <c r="C882" s="36" t="s">
        <v>1666</v>
      </c>
      <c r="D882" s="36" t="s">
        <v>84</v>
      </c>
      <c r="E882" s="36" t="s">
        <v>84</v>
      </c>
      <c r="F882" s="154" t="s">
        <v>3299</v>
      </c>
      <c r="G882" s="36" t="s">
        <v>32</v>
      </c>
      <c r="H882" s="36" t="s">
        <v>1655</v>
      </c>
      <c r="I882" s="36" t="s">
        <v>1656</v>
      </c>
      <c r="J882" s="36" t="s">
        <v>1656</v>
      </c>
      <c r="K882" s="36" t="s">
        <v>1924</v>
      </c>
      <c r="L882" s="36" t="s">
        <v>2776</v>
      </c>
      <c r="M882" s="36" t="s">
        <v>2776</v>
      </c>
      <c r="N882" s="36" t="s">
        <v>32</v>
      </c>
    </row>
    <row r="883">
      <c r="A883" s="36" t="s">
        <v>3300</v>
      </c>
      <c r="B883" s="154" t="s">
        <v>3295</v>
      </c>
      <c r="C883" s="36" t="s">
        <v>1666</v>
      </c>
      <c r="D883" s="36" t="s">
        <v>191</v>
      </c>
      <c r="E883" s="36" t="s">
        <v>191</v>
      </c>
      <c r="F883" s="154" t="s">
        <v>1729</v>
      </c>
      <c r="G883" s="36" t="s">
        <v>28</v>
      </c>
      <c r="H883" s="36" t="s">
        <v>1655</v>
      </c>
      <c r="I883" s="36" t="s">
        <v>1656</v>
      </c>
      <c r="J883" s="36" t="s">
        <v>1656</v>
      </c>
      <c r="K883" s="36" t="s">
        <v>1875</v>
      </c>
      <c r="L883" s="36" t="s">
        <v>2776</v>
      </c>
      <c r="M883" s="36" t="s">
        <v>2776</v>
      </c>
      <c r="N883" s="36" t="s">
        <v>32</v>
      </c>
    </row>
    <row r="884">
      <c r="A884" s="36" t="s">
        <v>3301</v>
      </c>
      <c r="B884" s="154" t="s">
        <v>3295</v>
      </c>
      <c r="C884" s="36" t="s">
        <v>1666</v>
      </c>
      <c r="D884" s="36" t="s">
        <v>901</v>
      </c>
      <c r="E884" s="36" t="s">
        <v>901</v>
      </c>
      <c r="F884" s="154" t="s">
        <v>1816</v>
      </c>
      <c r="G884" s="36" t="s">
        <v>28</v>
      </c>
      <c r="H884" s="36" t="s">
        <v>1655</v>
      </c>
      <c r="I884" s="36" t="s">
        <v>1656</v>
      </c>
      <c r="J884" s="36" t="s">
        <v>1656</v>
      </c>
      <c r="K884" s="36" t="s">
        <v>1878</v>
      </c>
      <c r="L884" s="36" t="s">
        <v>2776</v>
      </c>
      <c r="M884" s="36" t="s">
        <v>2776</v>
      </c>
      <c r="N884" s="36" t="s">
        <v>32</v>
      </c>
    </row>
    <row r="885">
      <c r="A885" s="36" t="s">
        <v>3302</v>
      </c>
      <c r="B885" s="154" t="s">
        <v>3295</v>
      </c>
      <c r="C885" s="36" t="s">
        <v>1666</v>
      </c>
      <c r="D885" s="36" t="s">
        <v>966</v>
      </c>
      <c r="E885" s="36" t="s">
        <v>966</v>
      </c>
      <c r="F885" s="154" t="s">
        <v>2730</v>
      </c>
      <c r="G885" s="36" t="s">
        <v>28</v>
      </c>
      <c r="H885" s="36" t="s">
        <v>1655</v>
      </c>
      <c r="I885" s="36" t="s">
        <v>1656</v>
      </c>
      <c r="J885" s="36" t="s">
        <v>1656</v>
      </c>
      <c r="K885" s="36" t="s">
        <v>1881</v>
      </c>
      <c r="L885" s="36" t="s">
        <v>2776</v>
      </c>
      <c r="M885" s="36" t="s">
        <v>2776</v>
      </c>
      <c r="N885" s="36" t="s">
        <v>32</v>
      </c>
    </row>
    <row r="886">
      <c r="A886" s="36" t="s">
        <v>3303</v>
      </c>
      <c r="B886" s="154" t="s">
        <v>3304</v>
      </c>
      <c r="C886" s="36" t="s">
        <v>1653</v>
      </c>
      <c r="D886" s="36" t="s">
        <v>43</v>
      </c>
      <c r="E886" s="36" t="s">
        <v>39</v>
      </c>
      <c r="F886" s="154" t="s">
        <v>3305</v>
      </c>
      <c r="G886" s="36" t="s">
        <v>32</v>
      </c>
      <c r="H886" s="36" t="s">
        <v>1655</v>
      </c>
      <c r="I886" s="36" t="s">
        <v>1656</v>
      </c>
      <c r="J886" s="36" t="s">
        <v>1656</v>
      </c>
      <c r="K886" s="36" t="s">
        <v>1657</v>
      </c>
      <c r="L886" s="36" t="s">
        <v>2771</v>
      </c>
      <c r="M886" s="36" t="s">
        <v>2771</v>
      </c>
      <c r="N886" s="36" t="s">
        <v>32</v>
      </c>
    </row>
    <row r="887">
      <c r="A887" s="36" t="s">
        <v>3306</v>
      </c>
      <c r="B887" s="154" t="s">
        <v>3304</v>
      </c>
      <c r="C887" s="36" t="s">
        <v>1653</v>
      </c>
      <c r="D887" s="36" t="s">
        <v>1099</v>
      </c>
      <c r="E887" s="36" t="s">
        <v>39</v>
      </c>
      <c r="F887" s="154" t="s">
        <v>3307</v>
      </c>
      <c r="G887" s="36" t="s">
        <v>32</v>
      </c>
      <c r="H887" s="36" t="s">
        <v>1655</v>
      </c>
      <c r="I887" s="36" t="s">
        <v>1656</v>
      </c>
      <c r="J887" s="36" t="s">
        <v>1656</v>
      </c>
      <c r="K887" s="36" t="s">
        <v>1749</v>
      </c>
      <c r="L887" s="36" t="s">
        <v>2771</v>
      </c>
      <c r="M887" s="36" t="s">
        <v>2771</v>
      </c>
      <c r="N887" s="36" t="s">
        <v>32</v>
      </c>
    </row>
    <row r="888">
      <c r="A888" s="36" t="s">
        <v>3308</v>
      </c>
      <c r="B888" s="154" t="s">
        <v>3304</v>
      </c>
      <c r="C888" s="36" t="s">
        <v>1666</v>
      </c>
      <c r="D888" s="36" t="s">
        <v>1116</v>
      </c>
      <c r="E888" s="36" t="s">
        <v>1116</v>
      </c>
      <c r="F888" s="154" t="s">
        <v>3180</v>
      </c>
      <c r="G888" s="36" t="s">
        <v>28</v>
      </c>
      <c r="H888" s="36" t="s">
        <v>1655</v>
      </c>
      <c r="I888" s="36" t="s">
        <v>1656</v>
      </c>
      <c r="J888" s="36" t="s">
        <v>1656</v>
      </c>
      <c r="K888" s="36" t="s">
        <v>2775</v>
      </c>
      <c r="L888" s="36" t="s">
        <v>2776</v>
      </c>
      <c r="M888" s="36" t="s">
        <v>2776</v>
      </c>
      <c r="N888" s="36" t="s">
        <v>32</v>
      </c>
    </row>
    <row r="889">
      <c r="A889" s="36" t="s">
        <v>3309</v>
      </c>
      <c r="B889" s="154" t="s">
        <v>3304</v>
      </c>
      <c r="C889" s="36" t="s">
        <v>1666</v>
      </c>
      <c r="D889" s="36" t="s">
        <v>1119</v>
      </c>
      <c r="E889" s="36" t="s">
        <v>1119</v>
      </c>
      <c r="F889" s="154" t="s">
        <v>3310</v>
      </c>
      <c r="G889" s="36" t="s">
        <v>28</v>
      </c>
      <c r="H889" s="36" t="s">
        <v>1655</v>
      </c>
      <c r="I889" s="36" t="s">
        <v>1656</v>
      </c>
      <c r="J889" s="36" t="s">
        <v>1656</v>
      </c>
      <c r="K889" s="36" t="s">
        <v>2779</v>
      </c>
      <c r="L889" s="36" t="s">
        <v>2776</v>
      </c>
      <c r="M889" s="36" t="s">
        <v>2776</v>
      </c>
      <c r="N889" s="36" t="s">
        <v>32</v>
      </c>
    </row>
    <row r="890">
      <c r="A890" s="36" t="s">
        <v>3311</v>
      </c>
      <c r="B890" s="154" t="s">
        <v>3312</v>
      </c>
      <c r="C890" s="36" t="s">
        <v>1666</v>
      </c>
      <c r="D890" s="36" t="s">
        <v>923</v>
      </c>
      <c r="E890" s="36" t="s">
        <v>923</v>
      </c>
      <c r="F890" s="154" t="s">
        <v>1683</v>
      </c>
      <c r="G890" s="36" t="s">
        <v>32</v>
      </c>
      <c r="H890" s="36" t="s">
        <v>1655</v>
      </c>
      <c r="I890" s="36" t="s">
        <v>1656</v>
      </c>
      <c r="J890" s="36" t="s">
        <v>1656</v>
      </c>
      <c r="K890" s="36" t="s">
        <v>1675</v>
      </c>
      <c r="L890" s="36" t="s">
        <v>2776</v>
      </c>
      <c r="M890" s="36" t="s">
        <v>2776</v>
      </c>
      <c r="N890" s="36" t="s">
        <v>32</v>
      </c>
    </row>
    <row r="891">
      <c r="A891" s="36" t="s">
        <v>3313</v>
      </c>
      <c r="B891" s="154" t="s">
        <v>3312</v>
      </c>
      <c r="C891" s="36" t="s">
        <v>1666</v>
      </c>
      <c r="D891" s="36" t="s">
        <v>1128</v>
      </c>
      <c r="E891" s="36" t="s">
        <v>1128</v>
      </c>
      <c r="F891" s="154" t="s">
        <v>3314</v>
      </c>
      <c r="G891" s="36" t="s">
        <v>32</v>
      </c>
      <c r="H891" s="36" t="s">
        <v>1655</v>
      </c>
      <c r="I891" s="36" t="s">
        <v>1656</v>
      </c>
      <c r="J891" s="36" t="s">
        <v>1656</v>
      </c>
      <c r="K891" s="36" t="s">
        <v>1678</v>
      </c>
      <c r="L891" s="36" t="s">
        <v>2776</v>
      </c>
      <c r="M891" s="36" t="s">
        <v>2776</v>
      </c>
      <c r="N891" s="36" t="s">
        <v>32</v>
      </c>
    </row>
    <row r="892">
      <c r="A892" s="36" t="s">
        <v>3315</v>
      </c>
      <c r="B892" s="154" t="s">
        <v>3316</v>
      </c>
      <c r="C892" s="36" t="s">
        <v>1666</v>
      </c>
      <c r="D892" s="36" t="s">
        <v>1134</v>
      </c>
      <c r="E892" s="36" t="s">
        <v>1134</v>
      </c>
      <c r="F892" s="154" t="s">
        <v>3317</v>
      </c>
      <c r="G892" s="36" t="s">
        <v>28</v>
      </c>
      <c r="H892" s="36" t="s">
        <v>1655</v>
      </c>
      <c r="I892" s="36" t="s">
        <v>1656</v>
      </c>
      <c r="J892" s="36" t="s">
        <v>1656</v>
      </c>
      <c r="K892" s="36" t="s">
        <v>1681</v>
      </c>
      <c r="L892" s="36" t="s">
        <v>2776</v>
      </c>
      <c r="M892" s="36" t="s">
        <v>2776</v>
      </c>
      <c r="N892" s="36" t="s">
        <v>34</v>
      </c>
    </row>
    <row r="893">
      <c r="A893" s="36" t="s">
        <v>3318</v>
      </c>
      <c r="B893" s="154" t="s">
        <v>3319</v>
      </c>
      <c r="C893" s="36" t="s">
        <v>1666</v>
      </c>
      <c r="D893" s="36" t="s">
        <v>64</v>
      </c>
      <c r="E893" s="36" t="s">
        <v>64</v>
      </c>
      <c r="F893" s="154" t="s">
        <v>1707</v>
      </c>
      <c r="G893" s="36" t="s">
        <v>28</v>
      </c>
      <c r="H893" s="36" t="s">
        <v>1655</v>
      </c>
      <c r="I893" s="36" t="s">
        <v>1656</v>
      </c>
      <c r="J893" s="36" t="s">
        <v>1656</v>
      </c>
      <c r="K893" s="36" t="s">
        <v>1708</v>
      </c>
      <c r="L893" s="36" t="s">
        <v>2776</v>
      </c>
      <c r="M893" s="36" t="s">
        <v>2776</v>
      </c>
      <c r="N893" s="36" t="s">
        <v>32</v>
      </c>
    </row>
    <row r="894">
      <c r="A894" s="36" t="s">
        <v>3320</v>
      </c>
      <c r="B894" s="154" t="s">
        <v>3319</v>
      </c>
      <c r="C894" s="36" t="s">
        <v>1666</v>
      </c>
      <c r="D894" s="36" t="s">
        <v>109</v>
      </c>
      <c r="E894" s="36" t="s">
        <v>109</v>
      </c>
      <c r="F894" s="154" t="s">
        <v>2690</v>
      </c>
      <c r="G894" s="36" t="s">
        <v>28</v>
      </c>
      <c r="H894" s="36" t="s">
        <v>1655</v>
      </c>
      <c r="I894" s="36" t="s">
        <v>1656</v>
      </c>
      <c r="J894" s="36" t="s">
        <v>1656</v>
      </c>
      <c r="K894" s="36" t="s">
        <v>1684</v>
      </c>
      <c r="L894" s="36" t="s">
        <v>2776</v>
      </c>
      <c r="M894" s="36" t="s">
        <v>2776</v>
      </c>
      <c r="N894" s="36" t="s">
        <v>32</v>
      </c>
    </row>
    <row r="895">
      <c r="A895" s="36" t="s">
        <v>3321</v>
      </c>
      <c r="B895" s="154" t="s">
        <v>3319</v>
      </c>
      <c r="C895" s="36" t="s">
        <v>1666</v>
      </c>
      <c r="D895" s="36" t="s">
        <v>1148</v>
      </c>
      <c r="E895" s="36" t="s">
        <v>1148</v>
      </c>
      <c r="F895" s="154" t="s">
        <v>2940</v>
      </c>
      <c r="G895" s="36" t="s">
        <v>28</v>
      </c>
      <c r="H895" s="36" t="s">
        <v>1655</v>
      </c>
      <c r="I895" s="36" t="s">
        <v>1656</v>
      </c>
      <c r="J895" s="36" t="s">
        <v>1656</v>
      </c>
      <c r="K895" s="36" t="s">
        <v>1691</v>
      </c>
      <c r="L895" s="36" t="s">
        <v>2776</v>
      </c>
      <c r="M895" s="36" t="s">
        <v>2776</v>
      </c>
      <c r="N895" s="36" t="s">
        <v>32</v>
      </c>
    </row>
    <row r="896">
      <c r="A896" s="36" t="s">
        <v>3322</v>
      </c>
      <c r="B896" s="154" t="s">
        <v>3323</v>
      </c>
      <c r="C896" s="36" t="s">
        <v>1666</v>
      </c>
      <c r="D896" s="36" t="s">
        <v>1154</v>
      </c>
      <c r="E896" s="36" t="s">
        <v>1154</v>
      </c>
      <c r="F896" s="154" t="s">
        <v>3324</v>
      </c>
      <c r="G896" s="36" t="s">
        <v>32</v>
      </c>
      <c r="H896" s="36" t="s">
        <v>1655</v>
      </c>
      <c r="I896" s="36" t="s">
        <v>1656</v>
      </c>
      <c r="J896" s="36" t="s">
        <v>1656</v>
      </c>
      <c r="K896" s="36" t="s">
        <v>1695</v>
      </c>
      <c r="L896" s="36" t="s">
        <v>2776</v>
      </c>
      <c r="M896" s="36" t="s">
        <v>2776</v>
      </c>
      <c r="N896" s="36" t="s">
        <v>32</v>
      </c>
    </row>
    <row r="897">
      <c r="A897" s="36" t="s">
        <v>3325</v>
      </c>
      <c r="B897" s="154" t="s">
        <v>3323</v>
      </c>
      <c r="C897" s="36" t="s">
        <v>1666</v>
      </c>
      <c r="D897" s="36" t="s">
        <v>299</v>
      </c>
      <c r="E897" s="36" t="s">
        <v>299</v>
      </c>
      <c r="F897" s="154" t="s">
        <v>2989</v>
      </c>
      <c r="G897" s="36" t="s">
        <v>28</v>
      </c>
      <c r="H897" s="36" t="s">
        <v>1655</v>
      </c>
      <c r="I897" s="36" t="s">
        <v>1656</v>
      </c>
      <c r="J897" s="36" t="s">
        <v>1656</v>
      </c>
      <c r="K897" s="36" t="s">
        <v>1698</v>
      </c>
      <c r="L897" s="36" t="s">
        <v>2776</v>
      </c>
      <c r="M897" s="36" t="s">
        <v>2776</v>
      </c>
      <c r="N897" s="36" t="s">
        <v>34</v>
      </c>
    </row>
    <row r="898">
      <c r="A898" s="36" t="s">
        <v>3326</v>
      </c>
      <c r="B898" s="154" t="s">
        <v>3327</v>
      </c>
      <c r="C898" s="36" t="s">
        <v>1666</v>
      </c>
      <c r="D898" s="36" t="s">
        <v>1163</v>
      </c>
      <c r="E898" s="36" t="s">
        <v>1163</v>
      </c>
      <c r="F898" s="154" t="s">
        <v>1816</v>
      </c>
      <c r="G898" s="36" t="s">
        <v>28</v>
      </c>
      <c r="H898" s="36" t="s">
        <v>1655</v>
      </c>
      <c r="I898" s="36" t="s">
        <v>1656</v>
      </c>
      <c r="J898" s="36" t="s">
        <v>1656</v>
      </c>
      <c r="K898" s="36" t="s">
        <v>1701</v>
      </c>
      <c r="L898" s="36" t="s">
        <v>2776</v>
      </c>
      <c r="M898" s="36" t="s">
        <v>2776</v>
      </c>
      <c r="N898" s="36" t="s">
        <v>34</v>
      </c>
    </row>
    <row r="899">
      <c r="A899" s="36" t="s">
        <v>3328</v>
      </c>
      <c r="B899" s="154" t="s">
        <v>3327</v>
      </c>
      <c r="C899" s="36" t="s">
        <v>1666</v>
      </c>
      <c r="D899" s="36" t="s">
        <v>792</v>
      </c>
      <c r="E899" s="36" t="s">
        <v>792</v>
      </c>
      <c r="F899" s="154" t="s">
        <v>3017</v>
      </c>
      <c r="G899" s="36" t="s">
        <v>28</v>
      </c>
      <c r="H899" s="36" t="s">
        <v>1655</v>
      </c>
      <c r="I899" s="36" t="s">
        <v>1656</v>
      </c>
      <c r="J899" s="36" t="s">
        <v>1656</v>
      </c>
      <c r="K899" s="36" t="s">
        <v>1704</v>
      </c>
      <c r="L899" s="36" t="s">
        <v>2776</v>
      </c>
      <c r="M899" s="36" t="s">
        <v>2776</v>
      </c>
      <c r="N899" s="36" t="s">
        <v>34</v>
      </c>
    </row>
    <row r="900">
      <c r="A900" s="36" t="s">
        <v>3329</v>
      </c>
      <c r="B900" s="154" t="s">
        <v>3327</v>
      </c>
      <c r="C900" s="36" t="s">
        <v>1666</v>
      </c>
      <c r="D900" s="36" t="s">
        <v>329</v>
      </c>
      <c r="E900" s="36" t="s">
        <v>329</v>
      </c>
      <c r="F900" s="154" t="s">
        <v>1816</v>
      </c>
      <c r="G900" s="36" t="s">
        <v>28</v>
      </c>
      <c r="H900" s="36" t="s">
        <v>1655</v>
      </c>
      <c r="I900" s="36" t="s">
        <v>1656</v>
      </c>
      <c r="J900" s="36" t="s">
        <v>1656</v>
      </c>
      <c r="K900" s="36" t="s">
        <v>1711</v>
      </c>
      <c r="L900" s="36" t="s">
        <v>2776</v>
      </c>
      <c r="M900" s="36" t="s">
        <v>2776</v>
      </c>
      <c r="N900" s="36" t="s">
        <v>34</v>
      </c>
    </row>
    <row r="901">
      <c r="A901" s="36" t="s">
        <v>3330</v>
      </c>
      <c r="B901" s="154" t="s">
        <v>3331</v>
      </c>
      <c r="C901" s="36" t="s">
        <v>1666</v>
      </c>
      <c r="D901" s="36" t="s">
        <v>66</v>
      </c>
      <c r="E901" s="36" t="s">
        <v>66</v>
      </c>
      <c r="F901" s="154" t="s">
        <v>3332</v>
      </c>
      <c r="G901" s="36" t="s">
        <v>28</v>
      </c>
      <c r="H901" s="36" t="s">
        <v>1655</v>
      </c>
      <c r="I901" s="36" t="s">
        <v>1656</v>
      </c>
      <c r="J901" s="36" t="s">
        <v>1656</v>
      </c>
      <c r="K901" s="36" t="s">
        <v>1721</v>
      </c>
      <c r="L901" s="36" t="s">
        <v>2776</v>
      </c>
      <c r="M901" s="36" t="s">
        <v>2776</v>
      </c>
      <c r="N901" s="36" t="s">
        <v>32</v>
      </c>
    </row>
    <row r="902">
      <c r="A902" s="36" t="s">
        <v>3333</v>
      </c>
      <c r="B902" s="154" t="s">
        <v>3334</v>
      </c>
      <c r="C902" s="36" t="s">
        <v>1653</v>
      </c>
      <c r="D902" s="36" t="s">
        <v>55</v>
      </c>
      <c r="E902" s="36" t="s">
        <v>39</v>
      </c>
      <c r="F902" s="154" t="s">
        <v>3335</v>
      </c>
      <c r="G902" s="36" t="s">
        <v>32</v>
      </c>
      <c r="H902" s="36" t="s">
        <v>1655</v>
      </c>
      <c r="I902" s="36" t="s">
        <v>1656</v>
      </c>
      <c r="J902" s="36" t="s">
        <v>1656</v>
      </c>
      <c r="K902" s="36" t="s">
        <v>1989</v>
      </c>
      <c r="L902" s="36" t="s">
        <v>2771</v>
      </c>
      <c r="M902" s="36" t="s">
        <v>2771</v>
      </c>
      <c r="N902" s="36" t="s">
        <v>32</v>
      </c>
    </row>
    <row r="903">
      <c r="A903" s="36" t="s">
        <v>3336</v>
      </c>
      <c r="B903" s="154" t="s">
        <v>3334</v>
      </c>
      <c r="C903" s="36" t="s">
        <v>1666</v>
      </c>
      <c r="D903" s="36" t="s">
        <v>71</v>
      </c>
      <c r="E903" s="36" t="s">
        <v>71</v>
      </c>
      <c r="F903" s="154" t="s">
        <v>2964</v>
      </c>
      <c r="G903" s="36" t="s">
        <v>32</v>
      </c>
      <c r="H903" s="36" t="s">
        <v>1655</v>
      </c>
      <c r="I903" s="36" t="s">
        <v>1656</v>
      </c>
      <c r="J903" s="36" t="s">
        <v>1656</v>
      </c>
      <c r="K903" s="36" t="s">
        <v>1752</v>
      </c>
      <c r="L903" s="36" t="s">
        <v>2776</v>
      </c>
      <c r="M903" s="36" t="s">
        <v>2776</v>
      </c>
      <c r="N903" s="36" t="s">
        <v>32</v>
      </c>
    </row>
    <row r="904">
      <c r="A904" s="36" t="s">
        <v>3337</v>
      </c>
      <c r="B904" s="154" t="s">
        <v>3334</v>
      </c>
      <c r="C904" s="36" t="s">
        <v>1666</v>
      </c>
      <c r="D904" s="36" t="s">
        <v>73</v>
      </c>
      <c r="E904" s="36" t="s">
        <v>73</v>
      </c>
      <c r="F904" s="154" t="s">
        <v>2966</v>
      </c>
      <c r="G904" s="36" t="s">
        <v>28</v>
      </c>
      <c r="H904" s="36" t="s">
        <v>1655</v>
      </c>
      <c r="I904" s="36" t="s">
        <v>1656</v>
      </c>
      <c r="J904" s="36" t="s">
        <v>1656</v>
      </c>
      <c r="K904" s="36" t="s">
        <v>1755</v>
      </c>
      <c r="L904" s="36" t="s">
        <v>2776</v>
      </c>
      <c r="M904" s="36" t="s">
        <v>2776</v>
      </c>
      <c r="N904" s="36" t="s">
        <v>32</v>
      </c>
    </row>
    <row r="905">
      <c r="A905" s="36" t="s">
        <v>3338</v>
      </c>
      <c r="B905" s="154" t="s">
        <v>3334</v>
      </c>
      <c r="C905" s="36" t="s">
        <v>1666</v>
      </c>
      <c r="D905" s="36" t="s">
        <v>74</v>
      </c>
      <c r="E905" s="36" t="s">
        <v>74</v>
      </c>
      <c r="F905" s="154" t="s">
        <v>2968</v>
      </c>
      <c r="G905" s="36" t="s">
        <v>32</v>
      </c>
      <c r="H905" s="36" t="s">
        <v>1655</v>
      </c>
      <c r="I905" s="36" t="s">
        <v>1656</v>
      </c>
      <c r="J905" s="36" t="s">
        <v>1656</v>
      </c>
      <c r="K905" s="36" t="s">
        <v>1757</v>
      </c>
      <c r="L905" s="36" t="s">
        <v>2776</v>
      </c>
      <c r="M905" s="36" t="s">
        <v>2776</v>
      </c>
      <c r="N905" s="36" t="s">
        <v>32</v>
      </c>
    </row>
    <row r="906">
      <c r="A906" s="36" t="s">
        <v>3339</v>
      </c>
      <c r="B906" s="154" t="s">
        <v>3334</v>
      </c>
      <c r="C906" s="36" t="s">
        <v>1666</v>
      </c>
      <c r="D906" s="36" t="s">
        <v>75</v>
      </c>
      <c r="E906" s="36" t="s">
        <v>75</v>
      </c>
      <c r="F906" s="154" t="s">
        <v>2970</v>
      </c>
      <c r="G906" s="36" t="s">
        <v>28</v>
      </c>
      <c r="H906" s="36" t="s">
        <v>1655</v>
      </c>
      <c r="I906" s="36" t="s">
        <v>1656</v>
      </c>
      <c r="J906" s="36" t="s">
        <v>1656</v>
      </c>
      <c r="K906" s="36" t="s">
        <v>1760</v>
      </c>
      <c r="L906" s="36" t="s">
        <v>2776</v>
      </c>
      <c r="M906" s="36" t="s">
        <v>2776</v>
      </c>
      <c r="N906" s="36" t="s">
        <v>32</v>
      </c>
    </row>
    <row r="907">
      <c r="A907" s="36" t="s">
        <v>3340</v>
      </c>
      <c r="B907" s="154" t="s">
        <v>3334</v>
      </c>
      <c r="C907" s="36" t="s">
        <v>1666</v>
      </c>
      <c r="D907" s="36" t="s">
        <v>76</v>
      </c>
      <c r="E907" s="36" t="s">
        <v>76</v>
      </c>
      <c r="F907" s="154" t="s">
        <v>3341</v>
      </c>
      <c r="G907" s="36" t="s">
        <v>28</v>
      </c>
      <c r="H907" s="36" t="s">
        <v>1655</v>
      </c>
      <c r="I907" s="36" t="s">
        <v>1656</v>
      </c>
      <c r="J907" s="36" t="s">
        <v>1656</v>
      </c>
      <c r="K907" s="36" t="s">
        <v>1763</v>
      </c>
      <c r="L907" s="36" t="s">
        <v>2776</v>
      </c>
      <c r="M907" s="36" t="s">
        <v>2776</v>
      </c>
      <c r="N907" s="36" t="s">
        <v>32</v>
      </c>
    </row>
    <row r="908">
      <c r="A908" s="36" t="s">
        <v>3342</v>
      </c>
      <c r="B908" s="154" t="s">
        <v>3334</v>
      </c>
      <c r="C908" s="36" t="s">
        <v>1666</v>
      </c>
      <c r="D908" s="36" t="s">
        <v>919</v>
      </c>
      <c r="E908" s="36" t="s">
        <v>919</v>
      </c>
      <c r="F908" s="154" t="s">
        <v>3343</v>
      </c>
      <c r="G908" s="36" t="s">
        <v>28</v>
      </c>
      <c r="H908" s="36" t="s">
        <v>1655</v>
      </c>
      <c r="I908" s="36" t="s">
        <v>1656</v>
      </c>
      <c r="J908" s="36" t="s">
        <v>1656</v>
      </c>
      <c r="K908" s="36" t="s">
        <v>1766</v>
      </c>
      <c r="L908" s="36" t="s">
        <v>2776</v>
      </c>
      <c r="M908" s="36" t="s">
        <v>2776</v>
      </c>
      <c r="N908" s="36" t="s">
        <v>32</v>
      </c>
    </row>
    <row r="909">
      <c r="A909" s="36" t="s">
        <v>3344</v>
      </c>
      <c r="B909" s="154" t="s">
        <v>3334</v>
      </c>
      <c r="C909" s="36" t="s">
        <v>1666</v>
      </c>
      <c r="D909" s="36" t="s">
        <v>77</v>
      </c>
      <c r="E909" s="36" t="s">
        <v>77</v>
      </c>
      <c r="F909" s="154" t="s">
        <v>1768</v>
      </c>
      <c r="G909" s="36" t="s">
        <v>34</v>
      </c>
      <c r="H909" s="36" t="s">
        <v>1655</v>
      </c>
      <c r="I909" s="36" t="s">
        <v>1656</v>
      </c>
      <c r="J909" s="36" t="s">
        <v>1656</v>
      </c>
      <c r="K909" s="36" t="s">
        <v>1769</v>
      </c>
      <c r="L909" s="36" t="s">
        <v>2776</v>
      </c>
      <c r="M909" s="36" t="s">
        <v>2776</v>
      </c>
      <c r="N909" s="36" t="s">
        <v>32</v>
      </c>
    </row>
    <row r="910">
      <c r="A910" s="36" t="s">
        <v>3345</v>
      </c>
      <c r="B910" s="154" t="s">
        <v>3334</v>
      </c>
      <c r="C910" s="36" t="s">
        <v>1666</v>
      </c>
      <c r="D910" s="36" t="s">
        <v>823</v>
      </c>
      <c r="E910" s="36" t="s">
        <v>823</v>
      </c>
      <c r="F910" s="154" t="s">
        <v>1813</v>
      </c>
      <c r="G910" s="36" t="s">
        <v>28</v>
      </c>
      <c r="H910" s="36" t="s">
        <v>1655</v>
      </c>
      <c r="I910" s="36" t="s">
        <v>1656</v>
      </c>
      <c r="J910" s="36" t="s">
        <v>1656</v>
      </c>
      <c r="K910" s="36" t="s">
        <v>1715</v>
      </c>
      <c r="L910" s="36" t="s">
        <v>2776</v>
      </c>
      <c r="M910" s="36" t="s">
        <v>2776</v>
      </c>
      <c r="N910" s="36" t="s">
        <v>32</v>
      </c>
    </row>
    <row r="911">
      <c r="A911" s="36" t="s">
        <v>3346</v>
      </c>
      <c r="B911" s="154" t="s">
        <v>3334</v>
      </c>
      <c r="C911" s="36" t="s">
        <v>1666</v>
      </c>
      <c r="D911" s="36" t="s">
        <v>310</v>
      </c>
      <c r="E911" s="36" t="s">
        <v>310</v>
      </c>
      <c r="F911" s="154" t="s">
        <v>1816</v>
      </c>
      <c r="G911" s="36" t="s">
        <v>28</v>
      </c>
      <c r="H911" s="36" t="s">
        <v>1655</v>
      </c>
      <c r="I911" s="36" t="s">
        <v>1656</v>
      </c>
      <c r="J911" s="36" t="s">
        <v>1656</v>
      </c>
      <c r="K911" s="36" t="s">
        <v>1717</v>
      </c>
      <c r="L911" s="36" t="s">
        <v>2776</v>
      </c>
      <c r="M911" s="36" t="s">
        <v>2776</v>
      </c>
      <c r="N911" s="36" t="s">
        <v>32</v>
      </c>
    </row>
    <row r="912">
      <c r="A912" s="36" t="s">
        <v>3347</v>
      </c>
      <c r="B912" s="154" t="s">
        <v>3334</v>
      </c>
      <c r="C912" s="36" t="s">
        <v>1666</v>
      </c>
      <c r="D912" s="36" t="s">
        <v>582</v>
      </c>
      <c r="E912" s="36" t="s">
        <v>582</v>
      </c>
      <c r="F912" s="154" t="s">
        <v>2021</v>
      </c>
      <c r="G912" s="36" t="s">
        <v>28</v>
      </c>
      <c r="H912" s="36" t="s">
        <v>1655</v>
      </c>
      <c r="I912" s="36" t="s">
        <v>1656</v>
      </c>
      <c r="J912" s="36" t="s">
        <v>1656</v>
      </c>
      <c r="K912" s="36" t="s">
        <v>1724</v>
      </c>
      <c r="L912" s="36" t="s">
        <v>2776</v>
      </c>
      <c r="M912" s="36" t="s">
        <v>2776</v>
      </c>
      <c r="N912" s="36" t="s">
        <v>32</v>
      </c>
    </row>
    <row r="913">
      <c r="A913" s="36" t="s">
        <v>3348</v>
      </c>
      <c r="B913" s="154" t="s">
        <v>3334</v>
      </c>
      <c r="C913" s="36" t="s">
        <v>1666</v>
      </c>
      <c r="D913" s="36" t="s">
        <v>978</v>
      </c>
      <c r="E913" s="36" t="s">
        <v>978</v>
      </c>
      <c r="F913" s="154" t="s">
        <v>1683</v>
      </c>
      <c r="G913" s="36" t="s">
        <v>32</v>
      </c>
      <c r="H913" s="36" t="s">
        <v>1655</v>
      </c>
      <c r="I913" s="36" t="s">
        <v>1656</v>
      </c>
      <c r="J913" s="36" t="s">
        <v>1656</v>
      </c>
      <c r="K913" s="36" t="s">
        <v>1727</v>
      </c>
      <c r="L913" s="36" t="s">
        <v>2776</v>
      </c>
      <c r="M913" s="36" t="s">
        <v>2776</v>
      </c>
      <c r="N913" s="36" t="s">
        <v>32</v>
      </c>
    </row>
    <row r="914">
      <c r="A914" s="36" t="s">
        <v>3349</v>
      </c>
      <c r="B914" s="154" t="s">
        <v>3334</v>
      </c>
      <c r="C914" s="36" t="s">
        <v>1666</v>
      </c>
      <c r="D914" s="36" t="s">
        <v>1198</v>
      </c>
      <c r="E914" s="36" t="s">
        <v>1198</v>
      </c>
      <c r="F914" s="154" t="s">
        <v>1806</v>
      </c>
      <c r="G914" s="36" t="s">
        <v>28</v>
      </c>
      <c r="H914" s="36" t="s">
        <v>1655</v>
      </c>
      <c r="I914" s="36" t="s">
        <v>1656</v>
      </c>
      <c r="J914" s="36" t="s">
        <v>1656</v>
      </c>
      <c r="K914" s="36" t="s">
        <v>1730</v>
      </c>
      <c r="L914" s="36" t="s">
        <v>2776</v>
      </c>
      <c r="M914" s="36" t="s">
        <v>2776</v>
      </c>
      <c r="N914" s="36" t="s">
        <v>34</v>
      </c>
    </row>
    <row r="915">
      <c r="A915" s="36" t="s">
        <v>3350</v>
      </c>
      <c r="B915" s="154" t="s">
        <v>3334</v>
      </c>
      <c r="C915" s="36" t="s">
        <v>1666</v>
      </c>
      <c r="D915" s="36" t="s">
        <v>1205</v>
      </c>
      <c r="E915" s="36" t="s">
        <v>1205</v>
      </c>
      <c r="F915" s="154" t="s">
        <v>2025</v>
      </c>
      <c r="G915" s="36" t="s">
        <v>28</v>
      </c>
      <c r="H915" s="36" t="s">
        <v>1655</v>
      </c>
      <c r="I915" s="36" t="s">
        <v>1656</v>
      </c>
      <c r="J915" s="36" t="s">
        <v>1656</v>
      </c>
      <c r="K915" s="36" t="s">
        <v>1732</v>
      </c>
      <c r="L915" s="36" t="s">
        <v>2776</v>
      </c>
      <c r="M915" s="36" t="s">
        <v>2776</v>
      </c>
      <c r="N915" s="36" t="s">
        <v>34</v>
      </c>
    </row>
    <row r="916">
      <c r="A916" s="36" t="s">
        <v>3351</v>
      </c>
      <c r="B916" s="154" t="s">
        <v>3334</v>
      </c>
      <c r="C916" s="36" t="s">
        <v>1666</v>
      </c>
      <c r="D916" s="36" t="s">
        <v>1211</v>
      </c>
      <c r="E916" s="36" t="s">
        <v>1211</v>
      </c>
      <c r="F916" s="154" t="s">
        <v>3352</v>
      </c>
      <c r="G916" s="36" t="s">
        <v>28</v>
      </c>
      <c r="H916" s="36" t="s">
        <v>1655</v>
      </c>
      <c r="I916" s="36" t="s">
        <v>1656</v>
      </c>
      <c r="J916" s="36" t="s">
        <v>1656</v>
      </c>
      <c r="K916" s="36" t="s">
        <v>1736</v>
      </c>
      <c r="L916" s="36" t="s">
        <v>2776</v>
      </c>
      <c r="M916" s="36" t="s">
        <v>2776</v>
      </c>
      <c r="N916" s="36" t="s">
        <v>34</v>
      </c>
    </row>
    <row r="917">
      <c r="A917" s="36" t="s">
        <v>3353</v>
      </c>
      <c r="B917" s="154" t="s">
        <v>3334</v>
      </c>
      <c r="C917" s="36" t="s">
        <v>1666</v>
      </c>
      <c r="D917" s="36" t="s">
        <v>511</v>
      </c>
      <c r="E917" s="36" t="s">
        <v>511</v>
      </c>
      <c r="F917" s="154" t="s">
        <v>3354</v>
      </c>
      <c r="G917" s="36" t="s">
        <v>28</v>
      </c>
      <c r="H917" s="36" t="s">
        <v>1655</v>
      </c>
      <c r="I917" s="36" t="s">
        <v>1656</v>
      </c>
      <c r="J917" s="36" t="s">
        <v>1656</v>
      </c>
      <c r="K917" s="36" t="s">
        <v>1739</v>
      </c>
      <c r="L917" s="36" t="s">
        <v>2776</v>
      </c>
      <c r="M917" s="36" t="s">
        <v>2776</v>
      </c>
      <c r="N917" s="36" t="s">
        <v>32</v>
      </c>
    </row>
    <row r="918">
      <c r="A918" s="36" t="s">
        <v>3355</v>
      </c>
      <c r="B918" s="154" t="s">
        <v>3334</v>
      </c>
      <c r="C918" s="36" t="s">
        <v>1666</v>
      </c>
      <c r="D918" s="36" t="s">
        <v>502</v>
      </c>
      <c r="E918" s="36" t="s">
        <v>502</v>
      </c>
      <c r="F918" s="154" t="s">
        <v>3356</v>
      </c>
      <c r="G918" s="36" t="s">
        <v>32</v>
      </c>
      <c r="H918" s="36" t="s">
        <v>1655</v>
      </c>
      <c r="I918" s="36" t="s">
        <v>1656</v>
      </c>
      <c r="J918" s="36" t="s">
        <v>1656</v>
      </c>
      <c r="K918" s="36" t="s">
        <v>1742</v>
      </c>
      <c r="L918" s="36" t="s">
        <v>2776</v>
      </c>
      <c r="M918" s="36" t="s">
        <v>2776</v>
      </c>
      <c r="N918" s="36" t="s">
        <v>32</v>
      </c>
    </row>
    <row r="919">
      <c r="A919" s="36" t="s">
        <v>3357</v>
      </c>
      <c r="B919" s="154" t="s">
        <v>3334</v>
      </c>
      <c r="C919" s="36" t="s">
        <v>1666</v>
      </c>
      <c r="D919" s="36" t="s">
        <v>505</v>
      </c>
      <c r="E919" s="36" t="s">
        <v>505</v>
      </c>
      <c r="F919" s="154" t="s">
        <v>3358</v>
      </c>
      <c r="G919" s="36" t="s">
        <v>34</v>
      </c>
      <c r="H919" s="36" t="s">
        <v>1655</v>
      </c>
      <c r="I919" s="36" t="s">
        <v>1656</v>
      </c>
      <c r="J919" s="36" t="s">
        <v>1656</v>
      </c>
      <c r="K919" s="36" t="s">
        <v>1745</v>
      </c>
      <c r="L919" s="36" t="s">
        <v>2776</v>
      </c>
      <c r="M919" s="36" t="s">
        <v>2776</v>
      </c>
      <c r="N919" s="36" t="s">
        <v>32</v>
      </c>
    </row>
    <row r="920">
      <c r="A920" s="36" t="s">
        <v>3359</v>
      </c>
      <c r="B920" s="154" t="s">
        <v>3334</v>
      </c>
      <c r="C920" s="36" t="s">
        <v>1666</v>
      </c>
      <c r="D920" s="36" t="s">
        <v>1231</v>
      </c>
      <c r="E920" s="36" t="s">
        <v>1231</v>
      </c>
      <c r="F920" s="154" t="s">
        <v>3360</v>
      </c>
      <c r="G920" s="36" t="s">
        <v>28</v>
      </c>
      <c r="H920" s="36" t="s">
        <v>1655</v>
      </c>
      <c r="I920" s="36" t="s">
        <v>1656</v>
      </c>
      <c r="J920" s="36" t="s">
        <v>1656</v>
      </c>
      <c r="K920" s="36" t="s">
        <v>1773</v>
      </c>
      <c r="L920" s="36" t="s">
        <v>2776</v>
      </c>
      <c r="M920" s="36" t="s">
        <v>2776</v>
      </c>
      <c r="N920" s="36" t="s">
        <v>32</v>
      </c>
    </row>
    <row r="921">
      <c r="A921" s="36" t="s">
        <v>3361</v>
      </c>
      <c r="B921" s="154" t="s">
        <v>3334</v>
      </c>
      <c r="C921" s="36" t="s">
        <v>1666</v>
      </c>
      <c r="D921" s="36" t="s">
        <v>1235</v>
      </c>
      <c r="E921" s="36" t="s">
        <v>1235</v>
      </c>
      <c r="F921" s="154" t="s">
        <v>3362</v>
      </c>
      <c r="G921" s="36" t="s">
        <v>32</v>
      </c>
      <c r="H921" s="36" t="s">
        <v>1655</v>
      </c>
      <c r="I921" s="36" t="s">
        <v>1656</v>
      </c>
      <c r="J921" s="36" t="s">
        <v>1656</v>
      </c>
      <c r="K921" s="36" t="s">
        <v>1776</v>
      </c>
      <c r="L921" s="36" t="s">
        <v>2776</v>
      </c>
      <c r="M921" s="36" t="s">
        <v>2776</v>
      </c>
      <c r="N921" s="36" t="s">
        <v>32</v>
      </c>
    </row>
    <row r="922">
      <c r="A922" s="36" t="s">
        <v>3363</v>
      </c>
      <c r="B922" s="154" t="s">
        <v>3364</v>
      </c>
      <c r="C922" s="36" t="s">
        <v>1653</v>
      </c>
      <c r="D922" s="36" t="s">
        <v>909</v>
      </c>
      <c r="E922" s="36" t="s">
        <v>39</v>
      </c>
      <c r="F922" s="154" t="s">
        <v>2068</v>
      </c>
      <c r="G922" s="36" t="s">
        <v>32</v>
      </c>
      <c r="H922" s="36" t="s">
        <v>1655</v>
      </c>
      <c r="I922" s="36" t="s">
        <v>1656</v>
      </c>
      <c r="J922" s="36" t="s">
        <v>1656</v>
      </c>
      <c r="K922" s="36" t="s">
        <v>1978</v>
      </c>
      <c r="L922" s="36" t="s">
        <v>2771</v>
      </c>
      <c r="M922" s="36" t="s">
        <v>2771</v>
      </c>
      <c r="N922" s="36" t="s">
        <v>32</v>
      </c>
    </row>
    <row r="923">
      <c r="A923" s="36" t="s">
        <v>3365</v>
      </c>
      <c r="B923" s="154" t="s">
        <v>3364</v>
      </c>
      <c r="C923" s="36" t="s">
        <v>1666</v>
      </c>
      <c r="D923" s="36" t="s">
        <v>1239</v>
      </c>
      <c r="E923" s="36" t="s">
        <v>1239</v>
      </c>
      <c r="F923" s="154" t="s">
        <v>3366</v>
      </c>
      <c r="G923" s="36" t="s">
        <v>32</v>
      </c>
      <c r="H923" s="36" t="s">
        <v>1655</v>
      </c>
      <c r="I923" s="36" t="s">
        <v>1656</v>
      </c>
      <c r="J923" s="36" t="s">
        <v>1656</v>
      </c>
      <c r="K923" s="36" t="s">
        <v>1779</v>
      </c>
      <c r="L923" s="36" t="s">
        <v>2776</v>
      </c>
      <c r="M923" s="36" t="s">
        <v>2776</v>
      </c>
      <c r="N923" s="36" t="s">
        <v>32</v>
      </c>
    </row>
    <row r="924">
      <c r="A924" s="36" t="s">
        <v>3367</v>
      </c>
      <c r="B924" s="154" t="s">
        <v>3364</v>
      </c>
      <c r="C924" s="36" t="s">
        <v>1666</v>
      </c>
      <c r="D924" s="36" t="s">
        <v>124</v>
      </c>
      <c r="E924" s="36" t="s">
        <v>124</v>
      </c>
      <c r="F924" s="154" t="s">
        <v>3368</v>
      </c>
      <c r="G924" s="36" t="s">
        <v>32</v>
      </c>
      <c r="H924" s="36" t="s">
        <v>1655</v>
      </c>
      <c r="I924" s="36" t="s">
        <v>1656</v>
      </c>
      <c r="J924" s="36" t="s">
        <v>1656</v>
      </c>
      <c r="K924" s="36" t="s">
        <v>1782</v>
      </c>
      <c r="L924" s="36" t="s">
        <v>2776</v>
      </c>
      <c r="M924" s="36" t="s">
        <v>2776</v>
      </c>
      <c r="N924" s="36" t="s">
        <v>32</v>
      </c>
    </row>
    <row r="925">
      <c r="A925" s="36" t="s">
        <v>3369</v>
      </c>
      <c r="B925" s="154" t="s">
        <v>3370</v>
      </c>
      <c r="C925" s="36" t="s">
        <v>1666</v>
      </c>
      <c r="D925" s="36" t="s">
        <v>1251</v>
      </c>
      <c r="E925" s="36" t="s">
        <v>1251</v>
      </c>
      <c r="F925" s="154" t="s">
        <v>1714</v>
      </c>
      <c r="G925" s="36" t="s">
        <v>28</v>
      </c>
      <c r="H925" s="36" t="s">
        <v>1655</v>
      </c>
      <c r="I925" s="36" t="s">
        <v>1656</v>
      </c>
      <c r="J925" s="36" t="s">
        <v>1656</v>
      </c>
      <c r="K925" s="36" t="s">
        <v>1784</v>
      </c>
      <c r="L925" s="36" t="s">
        <v>2776</v>
      </c>
      <c r="M925" s="36" t="s">
        <v>2776</v>
      </c>
      <c r="N925" s="36" t="s">
        <v>32</v>
      </c>
    </row>
    <row r="926">
      <c r="A926" s="36" t="s">
        <v>3371</v>
      </c>
      <c r="B926" s="154" t="s">
        <v>3372</v>
      </c>
      <c r="C926" s="36" t="s">
        <v>1666</v>
      </c>
      <c r="D926" s="36" t="s">
        <v>1258</v>
      </c>
      <c r="E926" s="36" t="s">
        <v>1258</v>
      </c>
      <c r="F926" s="154" t="s">
        <v>2039</v>
      </c>
      <c r="G926" s="36" t="s">
        <v>28</v>
      </c>
      <c r="H926" s="36" t="s">
        <v>1655</v>
      </c>
      <c r="I926" s="36" t="s">
        <v>1656</v>
      </c>
      <c r="J926" s="36" t="s">
        <v>1656</v>
      </c>
      <c r="K926" s="36" t="s">
        <v>1787</v>
      </c>
      <c r="L926" s="36" t="s">
        <v>2776</v>
      </c>
      <c r="M926" s="36" t="s">
        <v>2776</v>
      </c>
      <c r="N926" s="36" t="s">
        <v>34</v>
      </c>
    </row>
    <row r="927">
      <c r="A927" s="36" t="s">
        <v>3373</v>
      </c>
      <c r="B927" s="154" t="s">
        <v>3372</v>
      </c>
      <c r="C927" s="36" t="s">
        <v>1666</v>
      </c>
      <c r="D927" s="36" t="s">
        <v>299</v>
      </c>
      <c r="E927" s="36" t="s">
        <v>299</v>
      </c>
      <c r="F927" s="154" t="s">
        <v>1813</v>
      </c>
      <c r="G927" s="36" t="s">
        <v>28</v>
      </c>
      <c r="H927" s="36" t="s">
        <v>1655</v>
      </c>
      <c r="I927" s="36" t="s">
        <v>1656</v>
      </c>
      <c r="J927" s="36" t="s">
        <v>1656</v>
      </c>
      <c r="K927" s="36" t="s">
        <v>1790</v>
      </c>
      <c r="L927" s="36" t="s">
        <v>2776</v>
      </c>
      <c r="M927" s="36" t="s">
        <v>2776</v>
      </c>
      <c r="N927" s="36" t="s">
        <v>34</v>
      </c>
    </row>
    <row r="928">
      <c r="A928" s="36" t="s">
        <v>3374</v>
      </c>
      <c r="B928" s="154" t="s">
        <v>3375</v>
      </c>
      <c r="C928" s="36" t="s">
        <v>1666</v>
      </c>
      <c r="D928" s="36" t="s">
        <v>78</v>
      </c>
      <c r="E928" s="36" t="s">
        <v>78</v>
      </c>
      <c r="F928" s="154" t="s">
        <v>2325</v>
      </c>
      <c r="G928" s="36" t="s">
        <v>28</v>
      </c>
      <c r="H928" s="36" t="s">
        <v>1655</v>
      </c>
      <c r="I928" s="36" t="s">
        <v>1656</v>
      </c>
      <c r="J928" s="36" t="s">
        <v>1656</v>
      </c>
      <c r="K928" s="36" t="s">
        <v>1811</v>
      </c>
      <c r="L928" s="36" t="s">
        <v>2776</v>
      </c>
      <c r="M928" s="36" t="s">
        <v>2776</v>
      </c>
      <c r="N928" s="36" t="s">
        <v>32</v>
      </c>
    </row>
    <row r="929">
      <c r="A929" s="36" t="s">
        <v>3376</v>
      </c>
      <c r="B929" s="154" t="s">
        <v>3375</v>
      </c>
      <c r="C929" s="36" t="s">
        <v>1666</v>
      </c>
      <c r="D929" s="36" t="s">
        <v>368</v>
      </c>
      <c r="E929" s="36" t="s">
        <v>368</v>
      </c>
      <c r="F929" s="154" t="s">
        <v>3377</v>
      </c>
      <c r="G929" s="36" t="s">
        <v>28</v>
      </c>
      <c r="H929" s="36" t="s">
        <v>1655</v>
      </c>
      <c r="I929" s="36" t="s">
        <v>1656</v>
      </c>
      <c r="J929" s="36" t="s">
        <v>1656</v>
      </c>
      <c r="K929" s="36" t="s">
        <v>1793</v>
      </c>
      <c r="L929" s="36" t="s">
        <v>2776</v>
      </c>
      <c r="M929" s="36" t="s">
        <v>2776</v>
      </c>
      <c r="N929" s="36" t="s">
        <v>34</v>
      </c>
    </row>
    <row r="930">
      <c r="A930" s="36" t="s">
        <v>3378</v>
      </c>
      <c r="B930" s="154" t="s">
        <v>3379</v>
      </c>
      <c r="C930" s="36" t="s">
        <v>1666</v>
      </c>
      <c r="D930" s="36" t="s">
        <v>582</v>
      </c>
      <c r="E930" s="36" t="s">
        <v>582</v>
      </c>
      <c r="F930" s="154" t="s">
        <v>1874</v>
      </c>
      <c r="G930" s="36" t="s">
        <v>28</v>
      </c>
      <c r="H930" s="36" t="s">
        <v>1655</v>
      </c>
      <c r="I930" s="36" t="s">
        <v>1656</v>
      </c>
      <c r="J930" s="36" t="s">
        <v>1656</v>
      </c>
      <c r="K930" s="36" t="s">
        <v>1796</v>
      </c>
      <c r="L930" s="36" t="s">
        <v>2776</v>
      </c>
      <c r="M930" s="36" t="s">
        <v>2776</v>
      </c>
      <c r="N930" s="36" t="s">
        <v>34</v>
      </c>
    </row>
    <row r="931">
      <c r="A931" s="36" t="s">
        <v>3380</v>
      </c>
      <c r="B931" s="154" t="s">
        <v>3381</v>
      </c>
      <c r="C931" s="36" t="s">
        <v>1666</v>
      </c>
      <c r="D931" s="36" t="s">
        <v>209</v>
      </c>
      <c r="E931" s="36" t="s">
        <v>209</v>
      </c>
      <c r="F931" s="154" t="s">
        <v>1683</v>
      </c>
      <c r="G931" s="36" t="s">
        <v>28</v>
      </c>
      <c r="H931" s="36" t="s">
        <v>1655</v>
      </c>
      <c r="I931" s="36" t="s">
        <v>1656</v>
      </c>
      <c r="J931" s="36" t="s">
        <v>1656</v>
      </c>
      <c r="K931" s="36" t="s">
        <v>1800</v>
      </c>
      <c r="L931" s="36" t="s">
        <v>2776</v>
      </c>
      <c r="M931" s="36" t="s">
        <v>2776</v>
      </c>
      <c r="N931" s="36" t="s">
        <v>32</v>
      </c>
    </row>
    <row r="932">
      <c r="A932" s="36" t="s">
        <v>3382</v>
      </c>
      <c r="B932" s="154" t="s">
        <v>3381</v>
      </c>
      <c r="C932" s="36" t="s">
        <v>1666</v>
      </c>
      <c r="D932" s="36" t="s">
        <v>1279</v>
      </c>
      <c r="E932" s="36" t="s">
        <v>1279</v>
      </c>
      <c r="F932" s="154" t="s">
        <v>1686</v>
      </c>
      <c r="G932" s="36" t="s">
        <v>32</v>
      </c>
      <c r="H932" s="36" t="s">
        <v>1655</v>
      </c>
      <c r="I932" s="36" t="s">
        <v>1656</v>
      </c>
      <c r="J932" s="36" t="s">
        <v>1656</v>
      </c>
      <c r="K932" s="36" t="s">
        <v>1803</v>
      </c>
      <c r="L932" s="36" t="s">
        <v>2776</v>
      </c>
      <c r="M932" s="36" t="s">
        <v>2776</v>
      </c>
      <c r="N932" s="36" t="s">
        <v>32</v>
      </c>
    </row>
    <row r="933">
      <c r="A933" s="36" t="s">
        <v>3383</v>
      </c>
      <c r="B933" s="154" t="s">
        <v>3384</v>
      </c>
      <c r="C933" s="36" t="s">
        <v>1666</v>
      </c>
      <c r="D933" s="36" t="s">
        <v>313</v>
      </c>
      <c r="E933" s="36" t="s">
        <v>313</v>
      </c>
      <c r="F933" s="154" t="s">
        <v>1686</v>
      </c>
      <c r="G933" s="36" t="s">
        <v>32</v>
      </c>
      <c r="H933" s="36" t="s">
        <v>1655</v>
      </c>
      <c r="I933" s="36" t="s">
        <v>1656</v>
      </c>
      <c r="J933" s="36" t="s">
        <v>1656</v>
      </c>
      <c r="K933" s="36" t="s">
        <v>1807</v>
      </c>
      <c r="L933" s="36" t="s">
        <v>2776</v>
      </c>
      <c r="M933" s="36" t="s">
        <v>2776</v>
      </c>
      <c r="N933" s="36" t="s">
        <v>32</v>
      </c>
    </row>
    <row r="934">
      <c r="A934" s="36" t="s">
        <v>3385</v>
      </c>
      <c r="B934" s="154" t="s">
        <v>3384</v>
      </c>
      <c r="C934" s="36" t="s">
        <v>1666</v>
      </c>
      <c r="D934" s="36" t="s">
        <v>1289</v>
      </c>
      <c r="E934" s="36" t="s">
        <v>1289</v>
      </c>
      <c r="F934" s="154" t="s">
        <v>1816</v>
      </c>
      <c r="G934" s="36" t="s">
        <v>32</v>
      </c>
      <c r="H934" s="36" t="s">
        <v>1655</v>
      </c>
      <c r="I934" s="36" t="s">
        <v>1656</v>
      </c>
      <c r="J934" s="36" t="s">
        <v>1656</v>
      </c>
      <c r="K934" s="36" t="s">
        <v>1814</v>
      </c>
      <c r="L934" s="36" t="s">
        <v>2776</v>
      </c>
      <c r="M934" s="36" t="s">
        <v>2776</v>
      </c>
      <c r="N934" s="36" t="s">
        <v>32</v>
      </c>
    </row>
    <row r="935">
      <c r="A935" s="36" t="s">
        <v>3386</v>
      </c>
      <c r="B935" s="154" t="s">
        <v>3387</v>
      </c>
      <c r="C935" s="36" t="s">
        <v>1666</v>
      </c>
      <c r="D935" s="36" t="s">
        <v>313</v>
      </c>
      <c r="E935" s="36" t="s">
        <v>313</v>
      </c>
      <c r="F935" s="154" t="s">
        <v>1929</v>
      </c>
      <c r="G935" s="36" t="s">
        <v>32</v>
      </c>
      <c r="H935" s="36" t="s">
        <v>1655</v>
      </c>
      <c r="I935" s="36" t="s">
        <v>1656</v>
      </c>
      <c r="J935" s="36" t="s">
        <v>1656</v>
      </c>
      <c r="K935" s="36" t="s">
        <v>1817</v>
      </c>
      <c r="L935" s="36" t="s">
        <v>2776</v>
      </c>
      <c r="M935" s="36" t="s">
        <v>2776</v>
      </c>
      <c r="N935" s="36" t="s">
        <v>32</v>
      </c>
    </row>
    <row r="936">
      <c r="A936" s="36" t="s">
        <v>3388</v>
      </c>
      <c r="B936" s="154" t="s">
        <v>3387</v>
      </c>
      <c r="C936" s="36" t="s">
        <v>1666</v>
      </c>
      <c r="D936" s="36" t="s">
        <v>310</v>
      </c>
      <c r="E936" s="36" t="s">
        <v>310</v>
      </c>
      <c r="F936" s="154" t="s">
        <v>1932</v>
      </c>
      <c r="G936" s="36" t="s">
        <v>28</v>
      </c>
      <c r="H936" s="36" t="s">
        <v>1655</v>
      </c>
      <c r="I936" s="36" t="s">
        <v>1656</v>
      </c>
      <c r="J936" s="36" t="s">
        <v>1656</v>
      </c>
      <c r="K936" s="36" t="s">
        <v>1820</v>
      </c>
      <c r="L936" s="36" t="s">
        <v>2776</v>
      </c>
      <c r="M936" s="36" t="s">
        <v>2776</v>
      </c>
      <c r="N936" s="36" t="s">
        <v>32</v>
      </c>
    </row>
    <row r="937">
      <c r="A937" s="36" t="s">
        <v>3389</v>
      </c>
      <c r="B937" s="154" t="s">
        <v>3390</v>
      </c>
      <c r="C937" s="36" t="s">
        <v>1666</v>
      </c>
      <c r="D937" s="36" t="s">
        <v>1305</v>
      </c>
      <c r="E937" s="36" t="s">
        <v>1305</v>
      </c>
      <c r="F937" s="154" t="s">
        <v>1768</v>
      </c>
      <c r="G937" s="36" t="s">
        <v>34</v>
      </c>
      <c r="H937" s="36" t="s">
        <v>1655</v>
      </c>
      <c r="I937" s="36" t="s">
        <v>1656</v>
      </c>
      <c r="J937" s="36" t="s">
        <v>1656</v>
      </c>
      <c r="K937" s="36" t="s">
        <v>1823</v>
      </c>
      <c r="L937" s="36" t="s">
        <v>2776</v>
      </c>
      <c r="M937" s="36" t="s">
        <v>2776</v>
      </c>
      <c r="N937" s="36" t="s">
        <v>32</v>
      </c>
    </row>
    <row r="938">
      <c r="A938" s="36" t="s">
        <v>3391</v>
      </c>
      <c r="B938" s="154" t="s">
        <v>3390</v>
      </c>
      <c r="C938" s="36" t="s">
        <v>1666</v>
      </c>
      <c r="D938" s="36" t="s">
        <v>218</v>
      </c>
      <c r="E938" s="36" t="s">
        <v>218</v>
      </c>
      <c r="F938" s="154" t="s">
        <v>1686</v>
      </c>
      <c r="G938" s="36" t="s">
        <v>32</v>
      </c>
      <c r="H938" s="36" t="s">
        <v>1655</v>
      </c>
      <c r="I938" s="36" t="s">
        <v>1656</v>
      </c>
      <c r="J938" s="36" t="s">
        <v>1656</v>
      </c>
      <c r="K938" s="36" t="s">
        <v>1826</v>
      </c>
      <c r="L938" s="36" t="s">
        <v>2776</v>
      </c>
      <c r="M938" s="36" t="s">
        <v>2776</v>
      </c>
      <c r="N938" s="36" t="s">
        <v>32</v>
      </c>
    </row>
    <row r="939">
      <c r="A939" s="36" t="s">
        <v>3392</v>
      </c>
      <c r="B939" s="154" t="s">
        <v>3390</v>
      </c>
      <c r="C939" s="36" t="s">
        <v>1666</v>
      </c>
      <c r="D939" s="36" t="s">
        <v>1316</v>
      </c>
      <c r="E939" s="36" t="s">
        <v>1316</v>
      </c>
      <c r="F939" s="154" t="s">
        <v>1686</v>
      </c>
      <c r="G939" s="36" t="s">
        <v>34</v>
      </c>
      <c r="H939" s="36" t="s">
        <v>1655</v>
      </c>
      <c r="I939" s="36" t="s">
        <v>1656</v>
      </c>
      <c r="J939" s="36" t="s">
        <v>1656</v>
      </c>
      <c r="K939" s="36" t="s">
        <v>1830</v>
      </c>
      <c r="L939" s="36" t="s">
        <v>2776</v>
      </c>
      <c r="M939" s="36" t="s">
        <v>2776</v>
      </c>
      <c r="N939" s="36" t="s">
        <v>32</v>
      </c>
    </row>
    <row r="940">
      <c r="A940" s="36" t="s">
        <v>3393</v>
      </c>
      <c r="B940" s="154" t="s">
        <v>3390</v>
      </c>
      <c r="C940" s="36" t="s">
        <v>1666</v>
      </c>
      <c r="D940" s="36" t="s">
        <v>1323</v>
      </c>
      <c r="E940" s="36" t="s">
        <v>1323</v>
      </c>
      <c r="F940" s="154" t="s">
        <v>1806</v>
      </c>
      <c r="G940" s="36" t="s">
        <v>28</v>
      </c>
      <c r="H940" s="36" t="s">
        <v>1655</v>
      </c>
      <c r="I940" s="36" t="s">
        <v>1656</v>
      </c>
      <c r="J940" s="36" t="s">
        <v>1656</v>
      </c>
      <c r="K940" s="36" t="s">
        <v>1833</v>
      </c>
      <c r="L940" s="36" t="s">
        <v>2776</v>
      </c>
      <c r="M940" s="36" t="s">
        <v>2776</v>
      </c>
      <c r="N940" s="36" t="s">
        <v>32</v>
      </c>
    </row>
    <row r="941">
      <c r="A941" s="36" t="s">
        <v>3394</v>
      </c>
      <c r="B941" s="154" t="s">
        <v>3390</v>
      </c>
      <c r="C941" s="36" t="s">
        <v>1666</v>
      </c>
      <c r="D941" s="36" t="s">
        <v>368</v>
      </c>
      <c r="E941" s="36" t="s">
        <v>368</v>
      </c>
      <c r="F941" s="154" t="s">
        <v>3395</v>
      </c>
      <c r="G941" s="36" t="s">
        <v>28</v>
      </c>
      <c r="H941" s="36" t="s">
        <v>1655</v>
      </c>
      <c r="I941" s="36" t="s">
        <v>1656</v>
      </c>
      <c r="J941" s="36" t="s">
        <v>1656</v>
      </c>
      <c r="K941" s="36" t="s">
        <v>1836</v>
      </c>
      <c r="L941" s="36" t="s">
        <v>2776</v>
      </c>
      <c r="M941" s="36" t="s">
        <v>2776</v>
      </c>
      <c r="N941" s="36" t="s">
        <v>34</v>
      </c>
    </row>
    <row r="942">
      <c r="A942" s="36" t="s">
        <v>3396</v>
      </c>
      <c r="B942" s="154" t="s">
        <v>3390</v>
      </c>
      <c r="C942" s="36" t="s">
        <v>1666</v>
      </c>
      <c r="D942" s="36" t="s">
        <v>299</v>
      </c>
      <c r="E942" s="36" t="s">
        <v>299</v>
      </c>
      <c r="F942" s="154" t="s">
        <v>2508</v>
      </c>
      <c r="G942" s="36" t="s">
        <v>28</v>
      </c>
      <c r="H942" s="36" t="s">
        <v>1655</v>
      </c>
      <c r="I942" s="36" t="s">
        <v>1656</v>
      </c>
      <c r="J942" s="36" t="s">
        <v>1656</v>
      </c>
      <c r="K942" s="36" t="s">
        <v>1839</v>
      </c>
      <c r="L942" s="36" t="s">
        <v>2776</v>
      </c>
      <c r="M942" s="36" t="s">
        <v>2776</v>
      </c>
      <c r="N942" s="36" t="s">
        <v>34</v>
      </c>
    </row>
    <row r="943">
      <c r="A943" s="36" t="s">
        <v>3397</v>
      </c>
      <c r="B943" s="154" t="s">
        <v>3390</v>
      </c>
      <c r="C943" s="36" t="s">
        <v>1666</v>
      </c>
      <c r="D943" s="36" t="s">
        <v>1098</v>
      </c>
      <c r="E943" s="36" t="s">
        <v>1098</v>
      </c>
      <c r="F943" s="154" t="s">
        <v>2508</v>
      </c>
      <c r="G943" s="36" t="s">
        <v>28</v>
      </c>
      <c r="H943" s="36" t="s">
        <v>1655</v>
      </c>
      <c r="I943" s="36" t="s">
        <v>1656</v>
      </c>
      <c r="J943" s="36" t="s">
        <v>1656</v>
      </c>
      <c r="K943" s="36" t="s">
        <v>1842</v>
      </c>
      <c r="L943" s="36" t="s">
        <v>2776</v>
      </c>
      <c r="M943" s="36" t="s">
        <v>2776</v>
      </c>
      <c r="N943" s="36" t="s">
        <v>34</v>
      </c>
    </row>
    <row r="944">
      <c r="A944" s="36" t="s">
        <v>3398</v>
      </c>
      <c r="B944" s="154" t="s">
        <v>3390</v>
      </c>
      <c r="C944" s="36" t="s">
        <v>1666</v>
      </c>
      <c r="D944" s="36" t="s">
        <v>1335</v>
      </c>
      <c r="E944" s="36" t="s">
        <v>1335</v>
      </c>
      <c r="F944" s="154" t="s">
        <v>1806</v>
      </c>
      <c r="G944" s="36" t="s">
        <v>28</v>
      </c>
      <c r="H944" s="36" t="s">
        <v>1655</v>
      </c>
      <c r="I944" s="36" t="s">
        <v>1656</v>
      </c>
      <c r="J944" s="36" t="s">
        <v>1656</v>
      </c>
      <c r="K944" s="36" t="s">
        <v>1845</v>
      </c>
      <c r="L944" s="36" t="s">
        <v>2776</v>
      </c>
      <c r="M944" s="36" t="s">
        <v>2776</v>
      </c>
      <c r="N944" s="36" t="s">
        <v>34</v>
      </c>
    </row>
    <row r="945">
      <c r="A945" s="36" t="s">
        <v>3399</v>
      </c>
      <c r="B945" s="154" t="s">
        <v>3400</v>
      </c>
      <c r="C945" s="36" t="s">
        <v>1666</v>
      </c>
      <c r="D945" s="36" t="s">
        <v>1339</v>
      </c>
      <c r="E945" s="36" t="s">
        <v>1339</v>
      </c>
      <c r="F945" s="154" t="s">
        <v>3401</v>
      </c>
      <c r="G945" s="36" t="s">
        <v>34</v>
      </c>
      <c r="H945" s="36" t="s">
        <v>1655</v>
      </c>
      <c r="I945" s="36" t="s">
        <v>1656</v>
      </c>
      <c r="J945" s="36" t="s">
        <v>1656</v>
      </c>
      <c r="K945" s="36" t="s">
        <v>1848</v>
      </c>
      <c r="L945" s="36" t="s">
        <v>2776</v>
      </c>
      <c r="M945" s="36" t="s">
        <v>2776</v>
      </c>
      <c r="N945" s="36" t="s">
        <v>32</v>
      </c>
    </row>
    <row r="946">
      <c r="A946" s="36" t="s">
        <v>3402</v>
      </c>
      <c r="B946" s="154" t="s">
        <v>3403</v>
      </c>
      <c r="C946" s="36" t="s">
        <v>1666</v>
      </c>
      <c r="D946" s="36" t="s">
        <v>714</v>
      </c>
      <c r="E946" s="36" t="s">
        <v>714</v>
      </c>
      <c r="F946" s="154" t="s">
        <v>2867</v>
      </c>
      <c r="G946" s="36" t="s">
        <v>32</v>
      </c>
      <c r="H946" s="36" t="s">
        <v>1655</v>
      </c>
      <c r="I946" s="36" t="s">
        <v>1656</v>
      </c>
      <c r="J946" s="36" t="s">
        <v>1656</v>
      </c>
      <c r="K946" s="36" t="s">
        <v>1891</v>
      </c>
      <c r="L946" s="36" t="s">
        <v>2776</v>
      </c>
      <c r="M946" s="36" t="s">
        <v>2776</v>
      </c>
      <c r="N946" s="36" t="s">
        <v>32</v>
      </c>
    </row>
    <row r="947">
      <c r="A947" s="36" t="s">
        <v>3404</v>
      </c>
      <c r="B947" s="154" t="s">
        <v>3403</v>
      </c>
      <c r="C947" s="36" t="s">
        <v>1666</v>
      </c>
      <c r="D947" s="36" t="s">
        <v>1344</v>
      </c>
      <c r="E947" s="36" t="s">
        <v>1344</v>
      </c>
      <c r="F947" s="154" t="s">
        <v>3405</v>
      </c>
      <c r="G947" s="36" t="s">
        <v>34</v>
      </c>
      <c r="H947" s="36" t="s">
        <v>1655</v>
      </c>
      <c r="I947" s="36" t="s">
        <v>1656</v>
      </c>
      <c r="J947" s="36" t="s">
        <v>1656</v>
      </c>
      <c r="K947" s="36" t="s">
        <v>1851</v>
      </c>
      <c r="L947" s="36" t="s">
        <v>2776</v>
      </c>
      <c r="M947" s="36" t="s">
        <v>2776</v>
      </c>
      <c r="N947" s="36" t="s">
        <v>32</v>
      </c>
    </row>
    <row r="948">
      <c r="A948" s="36" t="s">
        <v>3406</v>
      </c>
      <c r="B948" s="154" t="s">
        <v>3403</v>
      </c>
      <c r="C948" s="36" t="s">
        <v>1666</v>
      </c>
      <c r="D948" s="36" t="s">
        <v>1347</v>
      </c>
      <c r="E948" s="36" t="s">
        <v>1347</v>
      </c>
      <c r="F948" s="154" t="s">
        <v>2094</v>
      </c>
      <c r="G948" s="36" t="s">
        <v>32</v>
      </c>
      <c r="H948" s="36" t="s">
        <v>1655</v>
      </c>
      <c r="I948" s="36" t="s">
        <v>1656</v>
      </c>
      <c r="J948" s="36" t="s">
        <v>1656</v>
      </c>
      <c r="K948" s="36" t="s">
        <v>1854</v>
      </c>
      <c r="L948" s="36" t="s">
        <v>2776</v>
      </c>
      <c r="M948" s="36" t="s">
        <v>2776</v>
      </c>
      <c r="N948" s="36" t="s">
        <v>32</v>
      </c>
    </row>
    <row r="949">
      <c r="A949" s="36" t="s">
        <v>3407</v>
      </c>
      <c r="B949" s="154" t="s">
        <v>3403</v>
      </c>
      <c r="C949" s="36" t="s">
        <v>1666</v>
      </c>
      <c r="D949" s="36" t="s">
        <v>299</v>
      </c>
      <c r="E949" s="36" t="s">
        <v>299</v>
      </c>
      <c r="F949" s="154" t="s">
        <v>2249</v>
      </c>
      <c r="G949" s="36" t="s">
        <v>28</v>
      </c>
      <c r="H949" s="36" t="s">
        <v>1655</v>
      </c>
      <c r="I949" s="36" t="s">
        <v>1656</v>
      </c>
      <c r="J949" s="36" t="s">
        <v>1656</v>
      </c>
      <c r="K949" s="36" t="s">
        <v>1857</v>
      </c>
      <c r="L949" s="36" t="s">
        <v>2776</v>
      </c>
      <c r="M949" s="36" t="s">
        <v>2776</v>
      </c>
      <c r="N949" s="36" t="s">
        <v>34</v>
      </c>
    </row>
    <row r="950">
      <c r="A950" s="36" t="s">
        <v>3408</v>
      </c>
      <c r="B950" s="154" t="s">
        <v>3403</v>
      </c>
      <c r="C950" s="36" t="s">
        <v>1666</v>
      </c>
      <c r="D950" s="36" t="s">
        <v>1357</v>
      </c>
      <c r="E950" s="36" t="s">
        <v>1357</v>
      </c>
      <c r="F950" s="154" t="s">
        <v>1874</v>
      </c>
      <c r="G950" s="36" t="s">
        <v>28</v>
      </c>
      <c r="H950" s="36" t="s">
        <v>1655</v>
      </c>
      <c r="I950" s="36" t="s">
        <v>1656</v>
      </c>
      <c r="J950" s="36" t="s">
        <v>1656</v>
      </c>
      <c r="K950" s="36" t="s">
        <v>1860</v>
      </c>
      <c r="L950" s="36" t="s">
        <v>2776</v>
      </c>
      <c r="M950" s="36" t="s">
        <v>2776</v>
      </c>
      <c r="N950" s="36" t="s">
        <v>34</v>
      </c>
    </row>
    <row r="951">
      <c r="A951" s="36" t="s">
        <v>3409</v>
      </c>
      <c r="B951" s="154" t="s">
        <v>3410</v>
      </c>
      <c r="C951" s="36" t="s">
        <v>1666</v>
      </c>
      <c r="D951" s="36" t="s">
        <v>1361</v>
      </c>
      <c r="E951" s="36" t="s">
        <v>1361</v>
      </c>
      <c r="F951" s="154" t="s">
        <v>2911</v>
      </c>
      <c r="G951" s="36" t="s">
        <v>34</v>
      </c>
      <c r="H951" s="36" t="s">
        <v>1655</v>
      </c>
      <c r="I951" s="36" t="s">
        <v>1656</v>
      </c>
      <c r="J951" s="36" t="s">
        <v>1656</v>
      </c>
      <c r="K951" s="36" t="s">
        <v>1863</v>
      </c>
      <c r="L951" s="36" t="s">
        <v>2776</v>
      </c>
      <c r="M951" s="36" t="s">
        <v>2776</v>
      </c>
      <c r="N951" s="36" t="s">
        <v>32</v>
      </c>
    </row>
    <row r="952">
      <c r="A952" s="36" t="s">
        <v>3411</v>
      </c>
      <c r="B952" s="154" t="s">
        <v>3410</v>
      </c>
      <c r="C952" s="36" t="s">
        <v>1666</v>
      </c>
      <c r="D952" s="36" t="s">
        <v>1365</v>
      </c>
      <c r="E952" s="36" t="s">
        <v>1365</v>
      </c>
      <c r="F952" s="154" t="s">
        <v>2728</v>
      </c>
      <c r="G952" s="36" t="s">
        <v>34</v>
      </c>
      <c r="H952" s="36" t="s">
        <v>1655</v>
      </c>
      <c r="I952" s="36" t="s">
        <v>1656</v>
      </c>
      <c r="J952" s="36" t="s">
        <v>1656</v>
      </c>
      <c r="K952" s="36" t="s">
        <v>1866</v>
      </c>
      <c r="L952" s="36" t="s">
        <v>2776</v>
      </c>
      <c r="M952" s="36" t="s">
        <v>2776</v>
      </c>
      <c r="N952" s="36" t="s">
        <v>32</v>
      </c>
    </row>
    <row r="953">
      <c r="A953" s="36" t="s">
        <v>3412</v>
      </c>
      <c r="B953" s="154" t="s">
        <v>3413</v>
      </c>
      <c r="C953" s="36" t="s">
        <v>1666</v>
      </c>
      <c r="D953" s="36" t="s">
        <v>310</v>
      </c>
      <c r="E953" s="36" t="s">
        <v>310</v>
      </c>
      <c r="F953" s="154" t="s">
        <v>2362</v>
      </c>
      <c r="G953" s="36" t="s">
        <v>28</v>
      </c>
      <c r="H953" s="36" t="s">
        <v>1655</v>
      </c>
      <c r="I953" s="36" t="s">
        <v>1656</v>
      </c>
      <c r="J953" s="36" t="s">
        <v>1656</v>
      </c>
      <c r="K953" s="36" t="s">
        <v>1869</v>
      </c>
      <c r="L953" s="36" t="s">
        <v>2776</v>
      </c>
      <c r="M953" s="36" t="s">
        <v>2776</v>
      </c>
      <c r="N953" s="36" t="s">
        <v>32</v>
      </c>
    </row>
    <row r="954">
      <c r="A954" s="36" t="s">
        <v>3414</v>
      </c>
      <c r="B954" s="154" t="s">
        <v>3413</v>
      </c>
      <c r="C954" s="36" t="s">
        <v>1666</v>
      </c>
      <c r="D954" s="36" t="s">
        <v>1370</v>
      </c>
      <c r="E954" s="36" t="s">
        <v>1370</v>
      </c>
      <c r="F954" s="154" t="s">
        <v>3415</v>
      </c>
      <c r="G954" s="36" t="s">
        <v>34</v>
      </c>
      <c r="H954" s="36" t="s">
        <v>1655</v>
      </c>
      <c r="I954" s="36" t="s">
        <v>1656</v>
      </c>
      <c r="J954" s="36" t="s">
        <v>1656</v>
      </c>
      <c r="K954" s="36" t="s">
        <v>1872</v>
      </c>
      <c r="L954" s="36" t="s">
        <v>2776</v>
      </c>
      <c r="M954" s="36" t="s">
        <v>2776</v>
      </c>
      <c r="N954" s="36" t="s">
        <v>32</v>
      </c>
    </row>
    <row r="955">
      <c r="A955" s="36" t="s">
        <v>3416</v>
      </c>
      <c r="B955" s="154" t="s">
        <v>3413</v>
      </c>
      <c r="C955" s="36" t="s">
        <v>1666</v>
      </c>
      <c r="D955" s="36" t="s">
        <v>1223</v>
      </c>
      <c r="E955" s="36" t="s">
        <v>1223</v>
      </c>
      <c r="F955" s="154" t="s">
        <v>1778</v>
      </c>
      <c r="G955" s="36" t="s">
        <v>28</v>
      </c>
      <c r="H955" s="36" t="s">
        <v>1655</v>
      </c>
      <c r="I955" s="36" t="s">
        <v>1656</v>
      </c>
      <c r="J955" s="36" t="s">
        <v>1656</v>
      </c>
      <c r="K955" s="36" t="s">
        <v>1875</v>
      </c>
      <c r="L955" s="36" t="s">
        <v>2776</v>
      </c>
      <c r="M955" s="36" t="s">
        <v>2776</v>
      </c>
      <c r="N955" s="36" t="s">
        <v>34</v>
      </c>
    </row>
    <row r="956">
      <c r="A956" s="36" t="s">
        <v>3417</v>
      </c>
      <c r="B956" s="154" t="s">
        <v>3418</v>
      </c>
      <c r="C956" s="36" t="s">
        <v>1666</v>
      </c>
      <c r="D956" s="36" t="s">
        <v>81</v>
      </c>
      <c r="E956" s="36" t="s">
        <v>81</v>
      </c>
      <c r="F956" s="154" t="s">
        <v>3296</v>
      </c>
      <c r="G956" s="36" t="s">
        <v>28</v>
      </c>
      <c r="H956" s="36" t="s">
        <v>1655</v>
      </c>
      <c r="I956" s="36" t="s">
        <v>1656</v>
      </c>
      <c r="J956" s="36" t="s">
        <v>1656</v>
      </c>
      <c r="K956" s="36" t="s">
        <v>1921</v>
      </c>
      <c r="L956" s="36" t="s">
        <v>2776</v>
      </c>
      <c r="M956" s="36" t="s">
        <v>2776</v>
      </c>
      <c r="N956" s="36" t="s">
        <v>32</v>
      </c>
    </row>
    <row r="957">
      <c r="A957" s="36" t="s">
        <v>3419</v>
      </c>
      <c r="B957" s="154" t="s">
        <v>3418</v>
      </c>
      <c r="C957" s="36" t="s">
        <v>1666</v>
      </c>
      <c r="D957" s="36" t="s">
        <v>83</v>
      </c>
      <c r="E957" s="36" t="s">
        <v>83</v>
      </c>
      <c r="F957" s="154" t="s">
        <v>3034</v>
      </c>
      <c r="G957" s="36" t="s">
        <v>28</v>
      </c>
      <c r="H957" s="36" t="s">
        <v>1655</v>
      </c>
      <c r="I957" s="36" t="s">
        <v>1656</v>
      </c>
      <c r="J957" s="36" t="s">
        <v>1656</v>
      </c>
      <c r="K957" s="36" t="s">
        <v>3166</v>
      </c>
      <c r="L957" s="36" t="s">
        <v>2776</v>
      </c>
      <c r="M957" s="36" t="s">
        <v>2776</v>
      </c>
      <c r="N957" s="36" t="s">
        <v>32</v>
      </c>
    </row>
    <row r="958">
      <c r="A958" s="36" t="s">
        <v>3420</v>
      </c>
      <c r="B958" s="154" t="s">
        <v>3418</v>
      </c>
      <c r="C958" s="36" t="s">
        <v>1666</v>
      </c>
      <c r="D958" s="36" t="s">
        <v>84</v>
      </c>
      <c r="E958" s="36" t="s">
        <v>84</v>
      </c>
      <c r="F958" s="154" t="s">
        <v>3421</v>
      </c>
      <c r="G958" s="36" t="s">
        <v>32</v>
      </c>
      <c r="H958" s="36" t="s">
        <v>1655</v>
      </c>
      <c r="I958" s="36" t="s">
        <v>1656</v>
      </c>
      <c r="J958" s="36" t="s">
        <v>1656</v>
      </c>
      <c r="K958" s="36" t="s">
        <v>1924</v>
      </c>
      <c r="L958" s="36" t="s">
        <v>2776</v>
      </c>
      <c r="M958" s="36" t="s">
        <v>2776</v>
      </c>
      <c r="N958" s="36" t="s">
        <v>32</v>
      </c>
    </row>
    <row r="959">
      <c r="A959" s="36" t="s">
        <v>3422</v>
      </c>
      <c r="B959" s="154" t="s">
        <v>3418</v>
      </c>
      <c r="C959" s="36" t="s">
        <v>1666</v>
      </c>
      <c r="D959" s="36" t="s">
        <v>100</v>
      </c>
      <c r="E959" s="36" t="s">
        <v>100</v>
      </c>
      <c r="F959" s="154" t="s">
        <v>1810</v>
      </c>
      <c r="G959" s="36" t="s">
        <v>32</v>
      </c>
      <c r="H959" s="36" t="s">
        <v>1655</v>
      </c>
      <c r="I959" s="36" t="s">
        <v>1656</v>
      </c>
      <c r="J959" s="36" t="s">
        <v>1656</v>
      </c>
      <c r="K959" s="36" t="s">
        <v>1878</v>
      </c>
      <c r="L959" s="36" t="s">
        <v>2776</v>
      </c>
      <c r="M959" s="36" t="s">
        <v>2776</v>
      </c>
      <c r="N959" s="36" t="s">
        <v>32</v>
      </c>
    </row>
    <row r="960">
      <c r="A960" s="36" t="s">
        <v>3423</v>
      </c>
      <c r="B960" s="154" t="s">
        <v>3424</v>
      </c>
      <c r="C960" s="36" t="s">
        <v>1666</v>
      </c>
      <c r="D960" s="36" t="s">
        <v>582</v>
      </c>
      <c r="E960" s="36" t="s">
        <v>582</v>
      </c>
      <c r="F960" s="154" t="s">
        <v>1929</v>
      </c>
      <c r="G960" s="36" t="s">
        <v>28</v>
      </c>
      <c r="H960" s="36" t="s">
        <v>1655</v>
      </c>
      <c r="I960" s="36" t="s">
        <v>1656</v>
      </c>
      <c r="J960" s="36" t="s">
        <v>1656</v>
      </c>
      <c r="K960" s="36" t="s">
        <v>1881</v>
      </c>
      <c r="L960" s="36" t="s">
        <v>2776</v>
      </c>
      <c r="M960" s="36" t="s">
        <v>2776</v>
      </c>
      <c r="N960" s="36" t="s">
        <v>32</v>
      </c>
    </row>
    <row r="961">
      <c r="A961" s="36" t="s">
        <v>3425</v>
      </c>
      <c r="B961" s="154" t="s">
        <v>3424</v>
      </c>
      <c r="C961" s="36" t="s">
        <v>1666</v>
      </c>
      <c r="D961" s="36" t="s">
        <v>1376</v>
      </c>
      <c r="E961" s="36" t="s">
        <v>1376</v>
      </c>
      <c r="F961" s="154" t="s">
        <v>2156</v>
      </c>
      <c r="G961" s="36" t="s">
        <v>28</v>
      </c>
      <c r="H961" s="36" t="s">
        <v>1655</v>
      </c>
      <c r="I961" s="36" t="s">
        <v>1656</v>
      </c>
      <c r="J961" s="36" t="s">
        <v>1656</v>
      </c>
      <c r="K961" s="36" t="s">
        <v>1884</v>
      </c>
      <c r="L961" s="36" t="s">
        <v>2776</v>
      </c>
      <c r="M961" s="36" t="s">
        <v>2776</v>
      </c>
      <c r="N961" s="36" t="s">
        <v>32</v>
      </c>
    </row>
    <row r="962">
      <c r="A962" s="36" t="s">
        <v>3426</v>
      </c>
      <c r="B962" s="154" t="s">
        <v>3424</v>
      </c>
      <c r="C962" s="36" t="s">
        <v>1666</v>
      </c>
      <c r="D962" s="36" t="s">
        <v>310</v>
      </c>
      <c r="E962" s="36" t="s">
        <v>310</v>
      </c>
      <c r="F962" s="154" t="s">
        <v>1926</v>
      </c>
      <c r="G962" s="36" t="s">
        <v>28</v>
      </c>
      <c r="H962" s="36" t="s">
        <v>1655</v>
      </c>
      <c r="I962" s="36" t="s">
        <v>1656</v>
      </c>
      <c r="J962" s="36" t="s">
        <v>1656</v>
      </c>
      <c r="K962" s="36" t="s">
        <v>1887</v>
      </c>
      <c r="L962" s="36" t="s">
        <v>2776</v>
      </c>
      <c r="M962" s="36" t="s">
        <v>2776</v>
      </c>
      <c r="N962" s="36" t="s">
        <v>32</v>
      </c>
    </row>
    <row r="963">
      <c r="A963" s="36" t="s">
        <v>3427</v>
      </c>
      <c r="B963" s="154" t="s">
        <v>3424</v>
      </c>
      <c r="C963" s="36" t="s">
        <v>1666</v>
      </c>
      <c r="D963" s="36" t="s">
        <v>109</v>
      </c>
      <c r="E963" s="36" t="s">
        <v>109</v>
      </c>
      <c r="F963" s="154" t="s">
        <v>2690</v>
      </c>
      <c r="G963" s="36" t="s">
        <v>28</v>
      </c>
      <c r="H963" s="36" t="s">
        <v>1655</v>
      </c>
      <c r="I963" s="36" t="s">
        <v>1656</v>
      </c>
      <c r="J963" s="36" t="s">
        <v>1656</v>
      </c>
      <c r="K963" s="36" t="s">
        <v>1894</v>
      </c>
      <c r="L963" s="36" t="s">
        <v>2776</v>
      </c>
      <c r="M963" s="36" t="s">
        <v>2776</v>
      </c>
      <c r="N963" s="36" t="s">
        <v>32</v>
      </c>
    </row>
    <row r="964">
      <c r="A964" s="36" t="s">
        <v>3428</v>
      </c>
      <c r="B964" s="154" t="s">
        <v>3424</v>
      </c>
      <c r="C964" s="36" t="s">
        <v>1666</v>
      </c>
      <c r="D964" s="36" t="s">
        <v>1383</v>
      </c>
      <c r="E964" s="36" t="s">
        <v>1383</v>
      </c>
      <c r="F964" s="154" t="s">
        <v>3429</v>
      </c>
      <c r="G964" s="36" t="s">
        <v>32</v>
      </c>
      <c r="H964" s="36" t="s">
        <v>1655</v>
      </c>
      <c r="I964" s="36" t="s">
        <v>1656</v>
      </c>
      <c r="J964" s="36" t="s">
        <v>1656</v>
      </c>
      <c r="K964" s="36" t="s">
        <v>1897</v>
      </c>
      <c r="L964" s="36" t="s">
        <v>2776</v>
      </c>
      <c r="M964" s="36" t="s">
        <v>2776</v>
      </c>
      <c r="N964" s="36" t="s">
        <v>32</v>
      </c>
    </row>
    <row r="965">
      <c r="A965" s="36" t="s">
        <v>3430</v>
      </c>
      <c r="B965" s="154" t="s">
        <v>3424</v>
      </c>
      <c r="C965" s="36" t="s">
        <v>1666</v>
      </c>
      <c r="D965" s="36" t="s">
        <v>124</v>
      </c>
      <c r="E965" s="36" t="s">
        <v>124</v>
      </c>
      <c r="F965" s="154" t="s">
        <v>2025</v>
      </c>
      <c r="G965" s="36" t="s">
        <v>32</v>
      </c>
      <c r="H965" s="36" t="s">
        <v>1655</v>
      </c>
      <c r="I965" s="36" t="s">
        <v>1656</v>
      </c>
      <c r="J965" s="36" t="s">
        <v>1656</v>
      </c>
      <c r="K965" s="36" t="s">
        <v>1900</v>
      </c>
      <c r="L965" s="36" t="s">
        <v>2776</v>
      </c>
      <c r="M965" s="36" t="s">
        <v>2776</v>
      </c>
      <c r="N965" s="36" t="s">
        <v>32</v>
      </c>
    </row>
    <row r="966">
      <c r="A966" s="36" t="s">
        <v>3431</v>
      </c>
      <c r="B966" s="154" t="s">
        <v>3424</v>
      </c>
      <c r="C966" s="36" t="s">
        <v>1666</v>
      </c>
      <c r="D966" s="36" t="s">
        <v>1385</v>
      </c>
      <c r="E966" s="36" t="s">
        <v>1385</v>
      </c>
      <c r="F966" s="154" t="s">
        <v>3184</v>
      </c>
      <c r="G966" s="36" t="s">
        <v>28</v>
      </c>
      <c r="H966" s="36" t="s">
        <v>1655</v>
      </c>
      <c r="I966" s="36" t="s">
        <v>1656</v>
      </c>
      <c r="J966" s="36" t="s">
        <v>1656</v>
      </c>
      <c r="K966" s="36" t="s">
        <v>1903</v>
      </c>
      <c r="L966" s="36" t="s">
        <v>2776</v>
      </c>
      <c r="M966" s="36" t="s">
        <v>2776</v>
      </c>
      <c r="N966" s="36" t="s">
        <v>34</v>
      </c>
    </row>
    <row r="967">
      <c r="A967" s="36" t="s">
        <v>3432</v>
      </c>
      <c r="B967" s="154" t="s">
        <v>3433</v>
      </c>
      <c r="C967" s="36" t="s">
        <v>1653</v>
      </c>
      <c r="D967" s="36" t="s">
        <v>43</v>
      </c>
      <c r="E967" s="36" t="s">
        <v>39</v>
      </c>
      <c r="F967" s="154" t="s">
        <v>3434</v>
      </c>
      <c r="G967" s="36" t="s">
        <v>32</v>
      </c>
      <c r="H967" s="36" t="s">
        <v>1655</v>
      </c>
      <c r="I967" s="36" t="s">
        <v>1656</v>
      </c>
      <c r="J967" s="36" t="s">
        <v>1656</v>
      </c>
      <c r="K967" s="36" t="s">
        <v>1657</v>
      </c>
      <c r="L967" s="36" t="s">
        <v>2771</v>
      </c>
      <c r="M967" s="36" t="s">
        <v>2771</v>
      </c>
      <c r="N967" s="36" t="s">
        <v>32</v>
      </c>
    </row>
    <row r="968">
      <c r="A968" s="36" t="s">
        <v>3435</v>
      </c>
      <c r="B968" s="154" t="s">
        <v>3433</v>
      </c>
      <c r="C968" s="36" t="s">
        <v>1653</v>
      </c>
      <c r="D968" s="36" t="s">
        <v>1099</v>
      </c>
      <c r="E968" s="36" t="s">
        <v>39</v>
      </c>
      <c r="F968" s="154" t="s">
        <v>3436</v>
      </c>
      <c r="G968" s="36" t="s">
        <v>32</v>
      </c>
      <c r="H968" s="36" t="s">
        <v>1655</v>
      </c>
      <c r="I968" s="36" t="s">
        <v>1656</v>
      </c>
      <c r="J968" s="36" t="s">
        <v>1656</v>
      </c>
      <c r="K968" s="36" t="s">
        <v>1989</v>
      </c>
      <c r="L968" s="36" t="s">
        <v>2771</v>
      </c>
      <c r="M968" s="36" t="s">
        <v>2771</v>
      </c>
      <c r="N968" s="36" t="s">
        <v>32</v>
      </c>
    </row>
    <row r="969">
      <c r="A969" s="36" t="s">
        <v>3437</v>
      </c>
      <c r="B969" s="154" t="s">
        <v>3433</v>
      </c>
      <c r="C969" s="36" t="s">
        <v>1666</v>
      </c>
      <c r="D969" s="36" t="s">
        <v>1116</v>
      </c>
      <c r="E969" s="36" t="s">
        <v>1116</v>
      </c>
      <c r="F969" s="154" t="s">
        <v>3180</v>
      </c>
      <c r="G969" s="36" t="s">
        <v>28</v>
      </c>
      <c r="H969" s="36" t="s">
        <v>1655</v>
      </c>
      <c r="I969" s="36" t="s">
        <v>1656</v>
      </c>
      <c r="J969" s="36" t="s">
        <v>1656</v>
      </c>
      <c r="K969" s="36" t="s">
        <v>2775</v>
      </c>
      <c r="L969" s="36" t="s">
        <v>2776</v>
      </c>
      <c r="M969" s="36" t="s">
        <v>2776</v>
      </c>
      <c r="N969" s="36" t="s">
        <v>32</v>
      </c>
    </row>
    <row r="970">
      <c r="A970" s="36" t="s">
        <v>3438</v>
      </c>
      <c r="B970" s="154" t="s">
        <v>3433</v>
      </c>
      <c r="C970" s="36" t="s">
        <v>1666</v>
      </c>
      <c r="D970" s="36" t="s">
        <v>1120</v>
      </c>
      <c r="E970" s="36" t="s">
        <v>1120</v>
      </c>
      <c r="F970" s="154" t="s">
        <v>1980</v>
      </c>
      <c r="G970" s="36" t="s">
        <v>28</v>
      </c>
      <c r="H970" s="36" t="s">
        <v>1655</v>
      </c>
      <c r="I970" s="36" t="s">
        <v>1656</v>
      </c>
      <c r="J970" s="36" t="s">
        <v>1656</v>
      </c>
      <c r="K970" s="36" t="s">
        <v>2779</v>
      </c>
      <c r="L970" s="36" t="s">
        <v>2776</v>
      </c>
      <c r="M970" s="36" t="s">
        <v>2776</v>
      </c>
      <c r="N970" s="36" t="s">
        <v>32</v>
      </c>
    </row>
    <row r="971">
      <c r="A971" s="36" t="s">
        <v>3439</v>
      </c>
      <c r="B971" s="154" t="s">
        <v>3433</v>
      </c>
      <c r="C971" s="36" t="s">
        <v>1666</v>
      </c>
      <c r="D971" s="36" t="s">
        <v>1123</v>
      </c>
      <c r="E971" s="36" t="s">
        <v>1123</v>
      </c>
      <c r="F971" s="154" t="s">
        <v>3440</v>
      </c>
      <c r="G971" s="36" t="s">
        <v>32</v>
      </c>
      <c r="H971" s="36" t="s">
        <v>1655</v>
      </c>
      <c r="I971" s="36" t="s">
        <v>1656</v>
      </c>
      <c r="J971" s="36" t="s">
        <v>1656</v>
      </c>
      <c r="K971" s="36" t="s">
        <v>1675</v>
      </c>
      <c r="L971" s="36" t="s">
        <v>2776</v>
      </c>
      <c r="M971" s="36" t="s">
        <v>2776</v>
      </c>
      <c r="N971" s="36" t="s">
        <v>32</v>
      </c>
    </row>
    <row r="972">
      <c r="A972" s="36" t="s">
        <v>3441</v>
      </c>
      <c r="B972" s="154" t="s">
        <v>3433</v>
      </c>
      <c r="C972" s="36" t="s">
        <v>1666</v>
      </c>
      <c r="D972" s="36" t="s">
        <v>923</v>
      </c>
      <c r="E972" s="36" t="s">
        <v>923</v>
      </c>
      <c r="F972" s="154" t="s">
        <v>1683</v>
      </c>
      <c r="G972" s="36" t="s">
        <v>32</v>
      </c>
      <c r="H972" s="36" t="s">
        <v>1655</v>
      </c>
      <c r="I972" s="36" t="s">
        <v>1656</v>
      </c>
      <c r="J972" s="36" t="s">
        <v>1656</v>
      </c>
      <c r="K972" s="36" t="s">
        <v>1678</v>
      </c>
      <c r="L972" s="36" t="s">
        <v>2776</v>
      </c>
      <c r="M972" s="36" t="s">
        <v>2776</v>
      </c>
      <c r="N972" s="36" t="s">
        <v>32</v>
      </c>
    </row>
    <row r="973">
      <c r="A973" s="36" t="s">
        <v>3442</v>
      </c>
      <c r="B973" s="154" t="s">
        <v>3433</v>
      </c>
      <c r="C973" s="36" t="s">
        <v>1666</v>
      </c>
      <c r="D973" s="36" t="s">
        <v>940</v>
      </c>
      <c r="E973" s="36" t="s">
        <v>940</v>
      </c>
      <c r="F973" s="154" t="s">
        <v>3443</v>
      </c>
      <c r="G973" s="36" t="s">
        <v>32</v>
      </c>
      <c r="H973" s="36" t="s">
        <v>1655</v>
      </c>
      <c r="I973" s="36" t="s">
        <v>1656</v>
      </c>
      <c r="J973" s="36" t="s">
        <v>1656</v>
      </c>
      <c r="K973" s="36" t="s">
        <v>1681</v>
      </c>
      <c r="L973" s="36" t="s">
        <v>2776</v>
      </c>
      <c r="M973" s="36" t="s">
        <v>2776</v>
      </c>
      <c r="N973" s="36" t="s">
        <v>32</v>
      </c>
    </row>
    <row r="974">
      <c r="A974" s="36" t="s">
        <v>3444</v>
      </c>
      <c r="B974" s="154" t="s">
        <v>3445</v>
      </c>
      <c r="C974" s="36" t="s">
        <v>1666</v>
      </c>
      <c r="D974" s="36" t="s">
        <v>1141</v>
      </c>
      <c r="E974" s="36" t="s">
        <v>1141</v>
      </c>
      <c r="F974" s="154" t="s">
        <v>2039</v>
      </c>
      <c r="G974" s="36" t="s">
        <v>32</v>
      </c>
      <c r="H974" s="36" t="s">
        <v>1655</v>
      </c>
      <c r="I974" s="36" t="s">
        <v>1656</v>
      </c>
      <c r="J974" s="36" t="s">
        <v>1656</v>
      </c>
      <c r="K974" s="36" t="s">
        <v>1684</v>
      </c>
      <c r="L974" s="36" t="s">
        <v>2776</v>
      </c>
      <c r="M974" s="36" t="s">
        <v>2776</v>
      </c>
      <c r="N974" s="36" t="s">
        <v>32</v>
      </c>
    </row>
    <row r="975">
      <c r="A975" s="36" t="s">
        <v>3446</v>
      </c>
      <c r="B975" s="154" t="s">
        <v>3447</v>
      </c>
      <c r="C975" s="36" t="s">
        <v>1666</v>
      </c>
      <c r="D975" s="36" t="s">
        <v>100</v>
      </c>
      <c r="E975" s="36" t="s">
        <v>100</v>
      </c>
      <c r="F975" s="154" t="s">
        <v>1810</v>
      </c>
      <c r="G975" s="36" t="s">
        <v>32</v>
      </c>
      <c r="H975" s="36" t="s">
        <v>1655</v>
      </c>
      <c r="I975" s="36" t="s">
        <v>1656</v>
      </c>
      <c r="J975" s="36" t="s">
        <v>1656</v>
      </c>
      <c r="K975" s="36" t="s">
        <v>1691</v>
      </c>
      <c r="L975" s="36" t="s">
        <v>2776</v>
      </c>
      <c r="M975" s="36" t="s">
        <v>2776</v>
      </c>
      <c r="N975" s="36" t="s">
        <v>32</v>
      </c>
    </row>
    <row r="976">
      <c r="A976" s="36" t="s">
        <v>3448</v>
      </c>
      <c r="B976" s="154" t="s">
        <v>3449</v>
      </c>
      <c r="C976" s="36" t="s">
        <v>1666</v>
      </c>
      <c r="D976" s="36" t="s">
        <v>1155</v>
      </c>
      <c r="E976" s="36" t="s">
        <v>1155</v>
      </c>
      <c r="F976" s="154" t="s">
        <v>2828</v>
      </c>
      <c r="G976" s="36" t="s">
        <v>32</v>
      </c>
      <c r="H976" s="36" t="s">
        <v>1655</v>
      </c>
      <c r="I976" s="36" t="s">
        <v>1656</v>
      </c>
      <c r="J976" s="36" t="s">
        <v>1656</v>
      </c>
      <c r="K976" s="36" t="s">
        <v>1695</v>
      </c>
      <c r="L976" s="36" t="s">
        <v>2776</v>
      </c>
      <c r="M976" s="36" t="s">
        <v>2776</v>
      </c>
      <c r="N976" s="36" t="s">
        <v>32</v>
      </c>
    </row>
    <row r="977">
      <c r="A977" s="36" t="s">
        <v>3450</v>
      </c>
      <c r="B977" s="154" t="s">
        <v>3449</v>
      </c>
      <c r="C977" s="36" t="s">
        <v>1666</v>
      </c>
      <c r="D977" s="36" t="s">
        <v>310</v>
      </c>
      <c r="E977" s="36" t="s">
        <v>310</v>
      </c>
      <c r="F977" s="154" t="s">
        <v>3451</v>
      </c>
      <c r="G977" s="36" t="s">
        <v>28</v>
      </c>
      <c r="H977" s="36" t="s">
        <v>1655</v>
      </c>
      <c r="I977" s="36" t="s">
        <v>1656</v>
      </c>
      <c r="J977" s="36" t="s">
        <v>1656</v>
      </c>
      <c r="K977" s="36" t="s">
        <v>1698</v>
      </c>
      <c r="L977" s="36" t="s">
        <v>2776</v>
      </c>
      <c r="M977" s="36" t="s">
        <v>2776</v>
      </c>
      <c r="N977" s="36" t="s">
        <v>32</v>
      </c>
    </row>
    <row r="978">
      <c r="A978" s="36" t="s">
        <v>3452</v>
      </c>
      <c r="B978" s="154" t="s">
        <v>3449</v>
      </c>
      <c r="C978" s="36" t="s">
        <v>1666</v>
      </c>
      <c r="D978" s="36" t="s">
        <v>1164</v>
      </c>
      <c r="E978" s="36" t="s">
        <v>1164</v>
      </c>
      <c r="F978" s="154" t="s">
        <v>2085</v>
      </c>
      <c r="G978" s="36" t="s">
        <v>28</v>
      </c>
      <c r="H978" s="36" t="s">
        <v>1655</v>
      </c>
      <c r="I978" s="36" t="s">
        <v>1656</v>
      </c>
      <c r="J978" s="36" t="s">
        <v>1656</v>
      </c>
      <c r="K978" s="36" t="s">
        <v>1701</v>
      </c>
      <c r="L978" s="36" t="s">
        <v>2776</v>
      </c>
      <c r="M978" s="36" t="s">
        <v>2776</v>
      </c>
      <c r="N978" s="36" t="s">
        <v>32</v>
      </c>
    </row>
    <row r="979">
      <c r="A979" s="36" t="s">
        <v>3453</v>
      </c>
      <c r="B979" s="154" t="s">
        <v>3454</v>
      </c>
      <c r="C979" s="36" t="s">
        <v>1666</v>
      </c>
      <c r="D979" s="36" t="s">
        <v>64</v>
      </c>
      <c r="E979" s="36" t="s">
        <v>64</v>
      </c>
      <c r="F979" s="154" t="s">
        <v>1707</v>
      </c>
      <c r="G979" s="36" t="s">
        <v>28</v>
      </c>
      <c r="H979" s="36" t="s">
        <v>1655</v>
      </c>
      <c r="I979" s="36" t="s">
        <v>1656</v>
      </c>
      <c r="J979" s="36" t="s">
        <v>1656</v>
      </c>
      <c r="K979" s="36" t="s">
        <v>1708</v>
      </c>
      <c r="L979" s="36" t="s">
        <v>2776</v>
      </c>
      <c r="M979" s="36" t="s">
        <v>2776</v>
      </c>
      <c r="N979" s="36" t="s">
        <v>32</v>
      </c>
    </row>
    <row r="980">
      <c r="A980" s="36" t="s">
        <v>3455</v>
      </c>
      <c r="B980" s="154" t="s">
        <v>3456</v>
      </c>
      <c r="C980" s="36" t="s">
        <v>1666</v>
      </c>
      <c r="D980" s="36" t="s">
        <v>100</v>
      </c>
      <c r="E980" s="36" t="s">
        <v>100</v>
      </c>
      <c r="F980" s="154" t="s">
        <v>1959</v>
      </c>
      <c r="G980" s="36" t="s">
        <v>32</v>
      </c>
      <c r="H980" s="36" t="s">
        <v>1655</v>
      </c>
      <c r="I980" s="36" t="s">
        <v>1656</v>
      </c>
      <c r="J980" s="36" t="s">
        <v>1656</v>
      </c>
      <c r="K980" s="36" t="s">
        <v>1704</v>
      </c>
      <c r="L980" s="36" t="s">
        <v>2776</v>
      </c>
      <c r="M980" s="36" t="s">
        <v>2776</v>
      </c>
      <c r="N980" s="36" t="s">
        <v>32</v>
      </c>
    </row>
    <row r="981">
      <c r="A981" s="36" t="s">
        <v>3457</v>
      </c>
      <c r="B981" s="154" t="s">
        <v>3458</v>
      </c>
      <c r="C981" s="36" t="s">
        <v>1666</v>
      </c>
      <c r="D981" s="36" t="s">
        <v>582</v>
      </c>
      <c r="E981" s="36" t="s">
        <v>582</v>
      </c>
      <c r="F981" s="154" t="s">
        <v>1929</v>
      </c>
      <c r="G981" s="36" t="s">
        <v>28</v>
      </c>
      <c r="H981" s="36" t="s">
        <v>1655</v>
      </c>
      <c r="I981" s="36" t="s">
        <v>1656</v>
      </c>
      <c r="J981" s="36" t="s">
        <v>1656</v>
      </c>
      <c r="K981" s="36" t="s">
        <v>1711</v>
      </c>
      <c r="L981" s="36" t="s">
        <v>2776</v>
      </c>
      <c r="M981" s="36" t="s">
        <v>2776</v>
      </c>
      <c r="N981" s="36" t="s">
        <v>32</v>
      </c>
    </row>
    <row r="982">
      <c r="A982" s="36" t="s">
        <v>3459</v>
      </c>
      <c r="B982" s="154" t="s">
        <v>3458</v>
      </c>
      <c r="C982" s="36" t="s">
        <v>1666</v>
      </c>
      <c r="D982" s="36" t="s">
        <v>1148</v>
      </c>
      <c r="E982" s="36" t="s">
        <v>1148</v>
      </c>
      <c r="F982" s="154" t="s">
        <v>2940</v>
      </c>
      <c r="G982" s="36" t="s">
        <v>28</v>
      </c>
      <c r="H982" s="36" t="s">
        <v>1655</v>
      </c>
      <c r="I982" s="36" t="s">
        <v>1656</v>
      </c>
      <c r="J982" s="36" t="s">
        <v>1656</v>
      </c>
      <c r="K982" s="36" t="s">
        <v>1715</v>
      </c>
      <c r="L982" s="36" t="s">
        <v>2776</v>
      </c>
      <c r="M982" s="36" t="s">
        <v>2776</v>
      </c>
      <c r="N982" s="36" t="s">
        <v>32</v>
      </c>
    </row>
    <row r="983">
      <c r="A983" s="36" t="s">
        <v>3460</v>
      </c>
      <c r="B983" s="154" t="s">
        <v>3458</v>
      </c>
      <c r="C983" s="36" t="s">
        <v>1666</v>
      </c>
      <c r="D983" s="36" t="s">
        <v>124</v>
      </c>
      <c r="E983" s="36" t="s">
        <v>124</v>
      </c>
      <c r="F983" s="154" t="s">
        <v>3461</v>
      </c>
      <c r="G983" s="36" t="s">
        <v>32</v>
      </c>
      <c r="H983" s="36" t="s">
        <v>1655</v>
      </c>
      <c r="I983" s="36" t="s">
        <v>1656</v>
      </c>
      <c r="J983" s="36" t="s">
        <v>1656</v>
      </c>
      <c r="K983" s="36" t="s">
        <v>1717</v>
      </c>
      <c r="L983" s="36" t="s">
        <v>2776</v>
      </c>
      <c r="M983" s="36" t="s">
        <v>2776</v>
      </c>
      <c r="N983" s="36" t="s">
        <v>32</v>
      </c>
    </row>
    <row r="984">
      <c r="A984" s="36" t="s">
        <v>3462</v>
      </c>
      <c r="B984" s="154" t="s">
        <v>3463</v>
      </c>
      <c r="C984" s="36" t="s">
        <v>1666</v>
      </c>
      <c r="D984" s="36" t="s">
        <v>66</v>
      </c>
      <c r="E984" s="36" t="s">
        <v>66</v>
      </c>
      <c r="F984" s="154" t="s">
        <v>3464</v>
      </c>
      <c r="G984" s="36" t="s">
        <v>28</v>
      </c>
      <c r="H984" s="36" t="s">
        <v>1655</v>
      </c>
      <c r="I984" s="36" t="s">
        <v>1656</v>
      </c>
      <c r="J984" s="36" t="s">
        <v>1656</v>
      </c>
      <c r="K984" s="36" t="s">
        <v>1721</v>
      </c>
      <c r="L984" s="36" t="s">
        <v>2776</v>
      </c>
      <c r="M984" s="36" t="s">
        <v>2776</v>
      </c>
      <c r="N984" s="36" t="s">
        <v>32</v>
      </c>
    </row>
    <row r="985">
      <c r="A985" s="36" t="s">
        <v>3465</v>
      </c>
      <c r="B985" s="154" t="s">
        <v>3463</v>
      </c>
      <c r="C985" s="36" t="s">
        <v>1666</v>
      </c>
      <c r="D985" s="36" t="s">
        <v>1189</v>
      </c>
      <c r="E985" s="36" t="s">
        <v>1189</v>
      </c>
      <c r="F985" s="154" t="s">
        <v>1853</v>
      </c>
      <c r="G985" s="36" t="s">
        <v>28</v>
      </c>
      <c r="H985" s="36" t="s">
        <v>1655</v>
      </c>
      <c r="I985" s="36" t="s">
        <v>1656</v>
      </c>
      <c r="J985" s="36" t="s">
        <v>1656</v>
      </c>
      <c r="K985" s="36" t="s">
        <v>1724</v>
      </c>
      <c r="L985" s="36" t="s">
        <v>2776</v>
      </c>
      <c r="M985" s="36" t="s">
        <v>2776</v>
      </c>
      <c r="N985" s="36" t="s">
        <v>32</v>
      </c>
    </row>
    <row r="986">
      <c r="A986" s="36" t="s">
        <v>3466</v>
      </c>
      <c r="B986" s="154" t="s">
        <v>3467</v>
      </c>
      <c r="C986" s="36" t="s">
        <v>1666</v>
      </c>
      <c r="D986" s="36" t="s">
        <v>1196</v>
      </c>
      <c r="E986" s="36" t="s">
        <v>1196</v>
      </c>
      <c r="F986" s="154" t="s">
        <v>2027</v>
      </c>
      <c r="G986" s="36" t="s">
        <v>32</v>
      </c>
      <c r="H986" s="36" t="s">
        <v>1655</v>
      </c>
      <c r="I986" s="36" t="s">
        <v>1656</v>
      </c>
      <c r="J986" s="36" t="s">
        <v>1656</v>
      </c>
      <c r="K986" s="36" t="s">
        <v>1727</v>
      </c>
      <c r="L986" s="36" t="s">
        <v>2776</v>
      </c>
      <c r="M986" s="36" t="s">
        <v>2776</v>
      </c>
      <c r="N986" s="36" t="s">
        <v>32</v>
      </c>
    </row>
    <row r="987">
      <c r="A987" s="36" t="s">
        <v>3468</v>
      </c>
      <c r="B987" s="154" t="s">
        <v>3467</v>
      </c>
      <c r="C987" s="36" t="s">
        <v>1666</v>
      </c>
      <c r="D987" s="36" t="s">
        <v>1199</v>
      </c>
      <c r="E987" s="36" t="s">
        <v>1199</v>
      </c>
      <c r="F987" s="154" t="s">
        <v>1806</v>
      </c>
      <c r="G987" s="36" t="s">
        <v>28</v>
      </c>
      <c r="H987" s="36" t="s">
        <v>1655</v>
      </c>
      <c r="I987" s="36" t="s">
        <v>1656</v>
      </c>
      <c r="J987" s="36" t="s">
        <v>1656</v>
      </c>
      <c r="K987" s="36" t="s">
        <v>1730</v>
      </c>
      <c r="L987" s="36" t="s">
        <v>2776</v>
      </c>
      <c r="M987" s="36" t="s">
        <v>2776</v>
      </c>
      <c r="N987" s="36" t="s">
        <v>34</v>
      </c>
    </row>
    <row r="988">
      <c r="A988" s="36" t="s">
        <v>3469</v>
      </c>
      <c r="B988" s="154" t="s">
        <v>3467</v>
      </c>
      <c r="C988" s="36" t="s">
        <v>1666</v>
      </c>
      <c r="D988" s="36" t="s">
        <v>1206</v>
      </c>
      <c r="E988" s="36" t="s">
        <v>1206</v>
      </c>
      <c r="F988" s="154" t="s">
        <v>1806</v>
      </c>
      <c r="G988" s="36" t="s">
        <v>28</v>
      </c>
      <c r="H988" s="36" t="s">
        <v>1655</v>
      </c>
      <c r="I988" s="36" t="s">
        <v>1656</v>
      </c>
      <c r="J988" s="36" t="s">
        <v>1656</v>
      </c>
      <c r="K988" s="36" t="s">
        <v>1732</v>
      </c>
      <c r="L988" s="36" t="s">
        <v>2776</v>
      </c>
      <c r="M988" s="36" t="s">
        <v>2776</v>
      </c>
      <c r="N988" s="36" t="s">
        <v>34</v>
      </c>
    </row>
    <row r="989">
      <c r="A989" s="36" t="s">
        <v>3470</v>
      </c>
      <c r="B989" s="154" t="s">
        <v>3471</v>
      </c>
      <c r="C989" s="36" t="s">
        <v>1653</v>
      </c>
      <c r="D989" s="36" t="s">
        <v>55</v>
      </c>
      <c r="E989" s="36" t="s">
        <v>39</v>
      </c>
      <c r="F989" s="154" t="s">
        <v>3472</v>
      </c>
      <c r="G989" s="36" t="s">
        <v>32</v>
      </c>
      <c r="H989" s="36" t="s">
        <v>1655</v>
      </c>
      <c r="I989" s="36" t="s">
        <v>1656</v>
      </c>
      <c r="J989" s="36" t="s">
        <v>1656</v>
      </c>
      <c r="K989" s="36" t="s">
        <v>1749</v>
      </c>
      <c r="L989" s="36" t="s">
        <v>2771</v>
      </c>
      <c r="M989" s="36" t="s">
        <v>2771</v>
      </c>
      <c r="N989" s="36" t="s">
        <v>32</v>
      </c>
    </row>
    <row r="990">
      <c r="A990" s="36" t="s">
        <v>3473</v>
      </c>
      <c r="B990" s="154" t="s">
        <v>3471</v>
      </c>
      <c r="C990" s="36" t="s">
        <v>1666</v>
      </c>
      <c r="D990" s="36" t="s">
        <v>1112</v>
      </c>
      <c r="E990" s="36" t="s">
        <v>1112</v>
      </c>
      <c r="F990" s="154" t="s">
        <v>3474</v>
      </c>
      <c r="G990" s="36" t="s">
        <v>28</v>
      </c>
      <c r="H990" s="36" t="s">
        <v>1655</v>
      </c>
      <c r="I990" s="36" t="s">
        <v>1656</v>
      </c>
      <c r="J990" s="36" t="s">
        <v>1656</v>
      </c>
      <c r="K990" s="36" t="s">
        <v>1752</v>
      </c>
      <c r="L990" s="36" t="s">
        <v>2776</v>
      </c>
      <c r="M990" s="36" t="s">
        <v>2776</v>
      </c>
      <c r="N990" s="36" t="s">
        <v>32</v>
      </c>
    </row>
    <row r="991">
      <c r="A991" s="36" t="s">
        <v>3475</v>
      </c>
      <c r="B991" s="154" t="s">
        <v>3471</v>
      </c>
      <c r="C991" s="36" t="s">
        <v>1666</v>
      </c>
      <c r="D991" s="36" t="s">
        <v>1113</v>
      </c>
      <c r="E991" s="36" t="s">
        <v>1113</v>
      </c>
      <c r="F991" s="154" t="s">
        <v>3476</v>
      </c>
      <c r="G991" s="36" t="s">
        <v>32</v>
      </c>
      <c r="H991" s="36" t="s">
        <v>1655</v>
      </c>
      <c r="I991" s="36" t="s">
        <v>1656</v>
      </c>
      <c r="J991" s="36" t="s">
        <v>1656</v>
      </c>
      <c r="K991" s="36" t="s">
        <v>1757</v>
      </c>
      <c r="L991" s="36" t="s">
        <v>2776</v>
      </c>
      <c r="M991" s="36" t="s">
        <v>2776</v>
      </c>
      <c r="N991" s="36" t="s">
        <v>32</v>
      </c>
    </row>
    <row r="992">
      <c r="A992" s="36" t="s">
        <v>3477</v>
      </c>
      <c r="B992" s="154" t="s">
        <v>3471</v>
      </c>
      <c r="C992" s="36" t="s">
        <v>1666</v>
      </c>
      <c r="D992" s="36" t="s">
        <v>76</v>
      </c>
      <c r="E992" s="36" t="s">
        <v>76</v>
      </c>
      <c r="F992" s="154" t="s">
        <v>3478</v>
      </c>
      <c r="G992" s="36" t="s">
        <v>28</v>
      </c>
      <c r="H992" s="36" t="s">
        <v>1655</v>
      </c>
      <c r="I992" s="36" t="s">
        <v>1656</v>
      </c>
      <c r="J992" s="36" t="s">
        <v>1656</v>
      </c>
      <c r="K992" s="36" t="s">
        <v>1763</v>
      </c>
      <c r="L992" s="36" t="s">
        <v>2776</v>
      </c>
      <c r="M992" s="36" t="s">
        <v>2776</v>
      </c>
      <c r="N992" s="36" t="s">
        <v>32</v>
      </c>
    </row>
    <row r="993">
      <c r="A993" s="36" t="s">
        <v>3479</v>
      </c>
      <c r="B993" s="154" t="s">
        <v>3471</v>
      </c>
      <c r="C993" s="36" t="s">
        <v>1666</v>
      </c>
      <c r="D993" s="36" t="s">
        <v>919</v>
      </c>
      <c r="E993" s="36" t="s">
        <v>919</v>
      </c>
      <c r="F993" s="154" t="s">
        <v>3480</v>
      </c>
      <c r="G993" s="36" t="s">
        <v>28</v>
      </c>
      <c r="H993" s="36" t="s">
        <v>1655</v>
      </c>
      <c r="I993" s="36" t="s">
        <v>1656</v>
      </c>
      <c r="J993" s="36" t="s">
        <v>1656</v>
      </c>
      <c r="K993" s="36" t="s">
        <v>1766</v>
      </c>
      <c r="L993" s="36" t="s">
        <v>2776</v>
      </c>
      <c r="M993" s="36" t="s">
        <v>2776</v>
      </c>
      <c r="N993" s="36" t="s">
        <v>32</v>
      </c>
    </row>
    <row r="994">
      <c r="A994" s="36" t="s">
        <v>3481</v>
      </c>
      <c r="B994" s="154" t="s">
        <v>3471</v>
      </c>
      <c r="C994" s="36" t="s">
        <v>1666</v>
      </c>
      <c r="D994" s="36" t="s">
        <v>77</v>
      </c>
      <c r="E994" s="36" t="s">
        <v>77</v>
      </c>
      <c r="F994" s="154" t="s">
        <v>1768</v>
      </c>
      <c r="G994" s="36" t="s">
        <v>34</v>
      </c>
      <c r="H994" s="36" t="s">
        <v>1655</v>
      </c>
      <c r="I994" s="36" t="s">
        <v>1656</v>
      </c>
      <c r="J994" s="36" t="s">
        <v>1656</v>
      </c>
      <c r="K994" s="36" t="s">
        <v>1769</v>
      </c>
      <c r="L994" s="36" t="s">
        <v>2776</v>
      </c>
      <c r="M994" s="36" t="s">
        <v>2776</v>
      </c>
      <c r="N994" s="36" t="s">
        <v>32</v>
      </c>
    </row>
    <row r="995">
      <c r="A995" s="36" t="s">
        <v>3482</v>
      </c>
      <c r="B995" s="154" t="s">
        <v>3471</v>
      </c>
      <c r="C995" s="36" t="s">
        <v>1666</v>
      </c>
      <c r="D995" s="36" t="s">
        <v>109</v>
      </c>
      <c r="E995" s="36" t="s">
        <v>109</v>
      </c>
      <c r="F995" s="154" t="s">
        <v>1694</v>
      </c>
      <c r="G995" s="36" t="s">
        <v>28</v>
      </c>
      <c r="H995" s="36" t="s">
        <v>1655</v>
      </c>
      <c r="I995" s="36" t="s">
        <v>1656</v>
      </c>
      <c r="J995" s="36" t="s">
        <v>1656</v>
      </c>
      <c r="K995" s="36" t="s">
        <v>1736</v>
      </c>
      <c r="L995" s="36" t="s">
        <v>2776</v>
      </c>
      <c r="M995" s="36" t="s">
        <v>2776</v>
      </c>
      <c r="N995" s="36" t="s">
        <v>32</v>
      </c>
    </row>
    <row r="996">
      <c r="A996" s="36" t="s">
        <v>3483</v>
      </c>
      <c r="B996" s="154" t="s">
        <v>3471</v>
      </c>
      <c r="C996" s="36" t="s">
        <v>1666</v>
      </c>
      <c r="D996" s="36" t="s">
        <v>1216</v>
      </c>
      <c r="E996" s="36" t="s">
        <v>1216</v>
      </c>
      <c r="F996" s="154" t="s">
        <v>1810</v>
      </c>
      <c r="G996" s="36" t="s">
        <v>32</v>
      </c>
      <c r="H996" s="36" t="s">
        <v>1655</v>
      </c>
      <c r="I996" s="36" t="s">
        <v>1656</v>
      </c>
      <c r="J996" s="36" t="s">
        <v>1656</v>
      </c>
      <c r="K996" s="36" t="s">
        <v>1739</v>
      </c>
      <c r="L996" s="36" t="s">
        <v>2776</v>
      </c>
      <c r="M996" s="36" t="s">
        <v>2776</v>
      </c>
      <c r="N996" s="36" t="s">
        <v>32</v>
      </c>
    </row>
    <row r="997">
      <c r="A997" s="36" t="s">
        <v>3484</v>
      </c>
      <c r="B997" s="154" t="s">
        <v>3471</v>
      </c>
      <c r="C997" s="36" t="s">
        <v>1666</v>
      </c>
      <c r="D997" s="36" t="s">
        <v>511</v>
      </c>
      <c r="E997" s="36" t="s">
        <v>511</v>
      </c>
      <c r="F997" s="154" t="s">
        <v>3485</v>
      </c>
      <c r="G997" s="36" t="s">
        <v>28</v>
      </c>
      <c r="H997" s="36" t="s">
        <v>1655</v>
      </c>
      <c r="I997" s="36" t="s">
        <v>1656</v>
      </c>
      <c r="J997" s="36" t="s">
        <v>1656</v>
      </c>
      <c r="K997" s="36" t="s">
        <v>1742</v>
      </c>
      <c r="L997" s="36" t="s">
        <v>2776</v>
      </c>
      <c r="M997" s="36" t="s">
        <v>2776</v>
      </c>
      <c r="N997" s="36" t="s">
        <v>32</v>
      </c>
    </row>
    <row r="998">
      <c r="A998" s="36" t="s">
        <v>3486</v>
      </c>
      <c r="B998" s="154" t="s">
        <v>3471</v>
      </c>
      <c r="C998" s="36" t="s">
        <v>1666</v>
      </c>
      <c r="D998" s="36" t="s">
        <v>502</v>
      </c>
      <c r="E998" s="36" t="s">
        <v>502</v>
      </c>
      <c r="F998" s="154" t="s">
        <v>3487</v>
      </c>
      <c r="G998" s="36" t="s">
        <v>32</v>
      </c>
      <c r="H998" s="36" t="s">
        <v>1655</v>
      </c>
      <c r="I998" s="36" t="s">
        <v>1656</v>
      </c>
      <c r="J998" s="36" t="s">
        <v>1656</v>
      </c>
      <c r="K998" s="36" t="s">
        <v>1745</v>
      </c>
      <c r="L998" s="36" t="s">
        <v>2776</v>
      </c>
      <c r="M998" s="36" t="s">
        <v>2776</v>
      </c>
      <c r="N998" s="36" t="s">
        <v>32</v>
      </c>
    </row>
    <row r="999">
      <c r="A999" s="36" t="s">
        <v>3488</v>
      </c>
      <c r="B999" s="154" t="s">
        <v>3471</v>
      </c>
      <c r="C999" s="36" t="s">
        <v>1666</v>
      </c>
      <c r="D999" s="36" t="s">
        <v>505</v>
      </c>
      <c r="E999" s="36" t="s">
        <v>505</v>
      </c>
      <c r="F999" s="154" t="s">
        <v>3489</v>
      </c>
      <c r="G999" s="36" t="s">
        <v>34</v>
      </c>
      <c r="H999" s="36" t="s">
        <v>1655</v>
      </c>
      <c r="I999" s="36" t="s">
        <v>1656</v>
      </c>
      <c r="J999" s="36" t="s">
        <v>1656</v>
      </c>
      <c r="K999" s="36" t="s">
        <v>1773</v>
      </c>
      <c r="L999" s="36" t="s">
        <v>2776</v>
      </c>
      <c r="M999" s="36" t="s">
        <v>2776</v>
      </c>
      <c r="N999" s="36" t="s">
        <v>32</v>
      </c>
    </row>
    <row r="1000">
      <c r="A1000" s="36" t="s">
        <v>3490</v>
      </c>
      <c r="B1000" s="154" t="s">
        <v>3471</v>
      </c>
      <c r="C1000" s="36" t="s">
        <v>1666</v>
      </c>
      <c r="D1000" s="36" t="s">
        <v>1222</v>
      </c>
      <c r="E1000" s="36" t="s">
        <v>1222</v>
      </c>
      <c r="F1000" s="154" t="s">
        <v>3491</v>
      </c>
      <c r="G1000" s="36" t="s">
        <v>32</v>
      </c>
      <c r="H1000" s="36" t="s">
        <v>1655</v>
      </c>
      <c r="I1000" s="36" t="s">
        <v>1656</v>
      </c>
      <c r="J1000" s="36" t="s">
        <v>1656</v>
      </c>
      <c r="K1000" s="36" t="s">
        <v>1776</v>
      </c>
      <c r="L1000" s="36" t="s">
        <v>2776</v>
      </c>
      <c r="M1000" s="36" t="s">
        <v>2776</v>
      </c>
      <c r="N1000" s="36" t="s">
        <v>32</v>
      </c>
    </row>
    <row r="1001">
      <c r="A1001" s="36" t="s">
        <v>3492</v>
      </c>
      <c r="B1001" s="154" t="s">
        <v>3471</v>
      </c>
      <c r="C1001" s="36" t="s">
        <v>1666</v>
      </c>
      <c r="D1001" s="36" t="s">
        <v>1226</v>
      </c>
      <c r="E1001" s="36" t="s">
        <v>1226</v>
      </c>
      <c r="F1001" s="154" t="s">
        <v>3493</v>
      </c>
      <c r="G1001" s="36" t="s">
        <v>28</v>
      </c>
      <c r="H1001" s="36" t="s">
        <v>1655</v>
      </c>
      <c r="I1001" s="36" t="s">
        <v>1656</v>
      </c>
      <c r="J1001" s="36" t="s">
        <v>1656</v>
      </c>
      <c r="K1001" s="36" t="s">
        <v>1779</v>
      </c>
      <c r="L1001" s="36" t="s">
        <v>2776</v>
      </c>
      <c r="M1001" s="36" t="s">
        <v>2776</v>
      </c>
      <c r="N1001" s="36" t="s">
        <v>32</v>
      </c>
    </row>
    <row r="1002">
      <c r="A1002" s="36" t="s">
        <v>3494</v>
      </c>
      <c r="B1002" s="154" t="s">
        <v>3471</v>
      </c>
      <c r="C1002" s="36" t="s">
        <v>1666</v>
      </c>
      <c r="D1002" s="36" t="s">
        <v>978</v>
      </c>
      <c r="E1002" s="36" t="s">
        <v>978</v>
      </c>
      <c r="F1002" s="154" t="s">
        <v>1683</v>
      </c>
      <c r="G1002" s="36" t="s">
        <v>32</v>
      </c>
      <c r="H1002" s="36" t="s">
        <v>1655</v>
      </c>
      <c r="I1002" s="36" t="s">
        <v>1656</v>
      </c>
      <c r="J1002" s="36" t="s">
        <v>1656</v>
      </c>
      <c r="K1002" s="36" t="s">
        <v>1782</v>
      </c>
      <c r="L1002" s="36" t="s">
        <v>2776</v>
      </c>
      <c r="M1002" s="36" t="s">
        <v>2776</v>
      </c>
      <c r="N1002" s="36" t="s">
        <v>32</v>
      </c>
    </row>
    <row r="1003">
      <c r="A1003" s="36" t="s">
        <v>3495</v>
      </c>
      <c r="B1003" s="154" t="s">
        <v>3496</v>
      </c>
      <c r="C1003" s="36" t="s">
        <v>1666</v>
      </c>
      <c r="D1003" s="36" t="s">
        <v>92</v>
      </c>
      <c r="E1003" s="36" t="s">
        <v>92</v>
      </c>
      <c r="F1003" s="154" t="s">
        <v>3497</v>
      </c>
      <c r="G1003" s="36" t="s">
        <v>32</v>
      </c>
      <c r="H1003" s="36" t="s">
        <v>1655</v>
      </c>
      <c r="I1003" s="36" t="s">
        <v>1656</v>
      </c>
      <c r="J1003" s="36" t="s">
        <v>1656</v>
      </c>
      <c r="K1003" s="36" t="s">
        <v>1784</v>
      </c>
      <c r="L1003" s="36" t="s">
        <v>2776</v>
      </c>
      <c r="M1003" s="36" t="s">
        <v>2776</v>
      </c>
      <c r="N1003" s="36" t="s">
        <v>32</v>
      </c>
    </row>
    <row r="1004">
      <c r="A1004" s="36" t="s">
        <v>3498</v>
      </c>
      <c r="B1004" s="154" t="s">
        <v>3496</v>
      </c>
      <c r="C1004" s="36" t="s">
        <v>1666</v>
      </c>
      <c r="D1004" s="36" t="s">
        <v>1259</v>
      </c>
      <c r="E1004" s="36" t="s">
        <v>1259</v>
      </c>
      <c r="F1004" s="154" t="s">
        <v>2517</v>
      </c>
      <c r="G1004" s="36" t="s">
        <v>28</v>
      </c>
      <c r="H1004" s="36" t="s">
        <v>1655</v>
      </c>
      <c r="I1004" s="36" t="s">
        <v>1656</v>
      </c>
      <c r="J1004" s="36" t="s">
        <v>1656</v>
      </c>
      <c r="K1004" s="36" t="s">
        <v>1787</v>
      </c>
      <c r="L1004" s="36" t="s">
        <v>2776</v>
      </c>
      <c r="M1004" s="36" t="s">
        <v>2776</v>
      </c>
      <c r="N1004" s="36" t="s">
        <v>34</v>
      </c>
    </row>
    <row r="1005">
      <c r="A1005" s="36" t="s">
        <v>3499</v>
      </c>
      <c r="B1005" s="154" t="s">
        <v>3496</v>
      </c>
      <c r="C1005" s="36" t="s">
        <v>1666</v>
      </c>
      <c r="D1005" s="36" t="s">
        <v>310</v>
      </c>
      <c r="E1005" s="36" t="s">
        <v>310</v>
      </c>
      <c r="F1005" s="154" t="s">
        <v>2724</v>
      </c>
      <c r="G1005" s="36" t="s">
        <v>28</v>
      </c>
      <c r="H1005" s="36" t="s">
        <v>1655</v>
      </c>
      <c r="I1005" s="36" t="s">
        <v>1656</v>
      </c>
      <c r="J1005" s="36" t="s">
        <v>1656</v>
      </c>
      <c r="K1005" s="36" t="s">
        <v>1790</v>
      </c>
      <c r="L1005" s="36" t="s">
        <v>2776</v>
      </c>
      <c r="M1005" s="36" t="s">
        <v>2776</v>
      </c>
      <c r="N1005" s="36" t="s">
        <v>34</v>
      </c>
    </row>
    <row r="1006">
      <c r="A1006" s="36" t="s">
        <v>3500</v>
      </c>
      <c r="B1006" s="154" t="s">
        <v>3496</v>
      </c>
      <c r="C1006" s="36" t="s">
        <v>1666</v>
      </c>
      <c r="D1006" s="36" t="s">
        <v>295</v>
      </c>
      <c r="E1006" s="36" t="s">
        <v>295</v>
      </c>
      <c r="F1006" s="154" t="s">
        <v>1874</v>
      </c>
      <c r="G1006" s="36" t="s">
        <v>28</v>
      </c>
      <c r="H1006" s="36" t="s">
        <v>1655</v>
      </c>
      <c r="I1006" s="36" t="s">
        <v>1656</v>
      </c>
      <c r="J1006" s="36" t="s">
        <v>1656</v>
      </c>
      <c r="K1006" s="36" t="s">
        <v>1793</v>
      </c>
      <c r="L1006" s="36" t="s">
        <v>2776</v>
      </c>
      <c r="M1006" s="36" t="s">
        <v>2776</v>
      </c>
      <c r="N1006" s="36" t="s">
        <v>34</v>
      </c>
    </row>
    <row r="1007">
      <c r="A1007" s="36" t="s">
        <v>3501</v>
      </c>
      <c r="B1007" s="154" t="s">
        <v>3502</v>
      </c>
      <c r="C1007" s="36" t="s">
        <v>1666</v>
      </c>
      <c r="D1007" s="36" t="s">
        <v>78</v>
      </c>
      <c r="E1007" s="36" t="s">
        <v>78</v>
      </c>
      <c r="F1007" s="154" t="s">
        <v>1810</v>
      </c>
      <c r="G1007" s="36" t="s">
        <v>28</v>
      </c>
      <c r="H1007" s="36" t="s">
        <v>1655</v>
      </c>
      <c r="I1007" s="36" t="s">
        <v>1656</v>
      </c>
      <c r="J1007" s="36" t="s">
        <v>1656</v>
      </c>
      <c r="K1007" s="36" t="s">
        <v>1811</v>
      </c>
      <c r="L1007" s="36" t="s">
        <v>2776</v>
      </c>
      <c r="M1007" s="36" t="s">
        <v>2776</v>
      </c>
      <c r="N1007" s="36" t="s">
        <v>32</v>
      </c>
    </row>
    <row r="1008">
      <c r="A1008" s="36" t="s">
        <v>3503</v>
      </c>
      <c r="B1008" s="154" t="s">
        <v>3502</v>
      </c>
      <c r="C1008" s="36" t="s">
        <v>1666</v>
      </c>
      <c r="D1008" s="36" t="s">
        <v>1272</v>
      </c>
      <c r="E1008" s="36" t="s">
        <v>1272</v>
      </c>
      <c r="F1008" s="154" t="s">
        <v>2378</v>
      </c>
      <c r="G1008" s="36" t="s">
        <v>28</v>
      </c>
      <c r="H1008" s="36" t="s">
        <v>1655</v>
      </c>
      <c r="I1008" s="36" t="s">
        <v>1656</v>
      </c>
      <c r="J1008" s="36" t="s">
        <v>1656</v>
      </c>
      <c r="K1008" s="36" t="s">
        <v>1796</v>
      </c>
      <c r="L1008" s="36" t="s">
        <v>2776</v>
      </c>
      <c r="M1008" s="36" t="s">
        <v>2776</v>
      </c>
      <c r="N1008" s="36" t="s">
        <v>32</v>
      </c>
    </row>
    <row r="1009">
      <c r="A1009" s="36" t="s">
        <v>3504</v>
      </c>
      <c r="B1009" s="154" t="s">
        <v>3502</v>
      </c>
      <c r="C1009" s="36" t="s">
        <v>1666</v>
      </c>
      <c r="D1009" s="36" t="s">
        <v>310</v>
      </c>
      <c r="E1009" s="36" t="s">
        <v>310</v>
      </c>
      <c r="F1009" s="154" t="s">
        <v>1816</v>
      </c>
      <c r="G1009" s="36" t="s">
        <v>28</v>
      </c>
      <c r="H1009" s="36" t="s">
        <v>1655</v>
      </c>
      <c r="I1009" s="36" t="s">
        <v>1656</v>
      </c>
      <c r="J1009" s="36" t="s">
        <v>1656</v>
      </c>
      <c r="K1009" s="36" t="s">
        <v>1800</v>
      </c>
      <c r="L1009" s="36" t="s">
        <v>2776</v>
      </c>
      <c r="M1009" s="36" t="s">
        <v>2776</v>
      </c>
      <c r="N1009" s="36" t="s">
        <v>32</v>
      </c>
    </row>
    <row r="1010">
      <c r="A1010" s="36" t="s">
        <v>3505</v>
      </c>
      <c r="B1010" s="154" t="s">
        <v>3502</v>
      </c>
      <c r="C1010" s="36" t="s">
        <v>1666</v>
      </c>
      <c r="D1010" s="36" t="s">
        <v>100</v>
      </c>
      <c r="E1010" s="36" t="s">
        <v>100</v>
      </c>
      <c r="F1010" s="154" t="s">
        <v>1810</v>
      </c>
      <c r="G1010" s="36" t="s">
        <v>32</v>
      </c>
      <c r="H1010" s="36" t="s">
        <v>1655</v>
      </c>
      <c r="I1010" s="36" t="s">
        <v>1656</v>
      </c>
      <c r="J1010" s="36" t="s">
        <v>1656</v>
      </c>
      <c r="K1010" s="36" t="s">
        <v>1803</v>
      </c>
      <c r="L1010" s="36" t="s">
        <v>2776</v>
      </c>
      <c r="M1010" s="36" t="s">
        <v>2776</v>
      </c>
      <c r="N1010" s="36" t="s">
        <v>32</v>
      </c>
    </row>
    <row r="1011">
      <c r="A1011" s="36" t="s">
        <v>3506</v>
      </c>
      <c r="B1011" s="154" t="s">
        <v>3507</v>
      </c>
      <c r="C1011" s="36" t="s">
        <v>1666</v>
      </c>
      <c r="D1011" s="36" t="s">
        <v>92</v>
      </c>
      <c r="E1011" s="36" t="s">
        <v>92</v>
      </c>
      <c r="F1011" s="154" t="s">
        <v>1810</v>
      </c>
      <c r="G1011" s="36" t="s">
        <v>28</v>
      </c>
      <c r="H1011" s="36" t="s">
        <v>1655</v>
      </c>
      <c r="I1011" s="36" t="s">
        <v>1656</v>
      </c>
      <c r="J1011" s="36" t="s">
        <v>1656</v>
      </c>
      <c r="K1011" s="36" t="s">
        <v>1807</v>
      </c>
      <c r="L1011" s="36" t="s">
        <v>2776</v>
      </c>
      <c r="M1011" s="36" t="s">
        <v>2776</v>
      </c>
      <c r="N1011" s="36" t="s">
        <v>32</v>
      </c>
    </row>
    <row r="1012">
      <c r="A1012" s="36" t="s">
        <v>3508</v>
      </c>
      <c r="B1012" s="154" t="s">
        <v>3507</v>
      </c>
      <c r="C1012" s="36" t="s">
        <v>1666</v>
      </c>
      <c r="D1012" s="36" t="s">
        <v>214</v>
      </c>
      <c r="E1012" s="36" t="s">
        <v>214</v>
      </c>
      <c r="F1012" s="154" t="s">
        <v>3509</v>
      </c>
      <c r="G1012" s="36" t="s">
        <v>28</v>
      </c>
      <c r="H1012" s="36" t="s">
        <v>1655</v>
      </c>
      <c r="I1012" s="36" t="s">
        <v>1656</v>
      </c>
      <c r="J1012" s="36" t="s">
        <v>1656</v>
      </c>
      <c r="K1012" s="36" t="s">
        <v>1814</v>
      </c>
      <c r="L1012" s="36" t="s">
        <v>2776</v>
      </c>
      <c r="M1012" s="36" t="s">
        <v>2776</v>
      </c>
      <c r="N1012" s="36" t="s">
        <v>34</v>
      </c>
    </row>
    <row r="1013">
      <c r="A1013" s="36" t="s">
        <v>3510</v>
      </c>
      <c r="B1013" s="154" t="s">
        <v>3511</v>
      </c>
      <c r="C1013" s="36" t="s">
        <v>1666</v>
      </c>
      <c r="D1013" s="36" t="s">
        <v>299</v>
      </c>
      <c r="E1013" s="36" t="s">
        <v>299</v>
      </c>
      <c r="F1013" s="154" t="s">
        <v>3512</v>
      </c>
      <c r="G1013" s="36" t="s">
        <v>28</v>
      </c>
      <c r="H1013" s="36" t="s">
        <v>1655</v>
      </c>
      <c r="I1013" s="36" t="s">
        <v>1656</v>
      </c>
      <c r="J1013" s="36" t="s">
        <v>1656</v>
      </c>
      <c r="K1013" s="36" t="s">
        <v>1817</v>
      </c>
      <c r="L1013" s="36" t="s">
        <v>2776</v>
      </c>
      <c r="M1013" s="36" t="s">
        <v>2776</v>
      </c>
      <c r="N1013" s="36" t="s">
        <v>34</v>
      </c>
    </row>
    <row r="1014">
      <c r="A1014" s="36" t="s">
        <v>3513</v>
      </c>
      <c r="B1014" s="154" t="s">
        <v>3514</v>
      </c>
      <c r="C1014" s="36" t="s">
        <v>1653</v>
      </c>
      <c r="D1014" s="36" t="s">
        <v>701</v>
      </c>
      <c r="E1014" s="36" t="s">
        <v>39</v>
      </c>
      <c r="F1014" s="154" t="s">
        <v>2029</v>
      </c>
      <c r="G1014" s="36" t="s">
        <v>32</v>
      </c>
      <c r="H1014" s="36" t="s">
        <v>1655</v>
      </c>
      <c r="I1014" s="36" t="s">
        <v>1656</v>
      </c>
      <c r="J1014" s="36" t="s">
        <v>1656</v>
      </c>
      <c r="K1014" s="36" t="s">
        <v>1978</v>
      </c>
      <c r="L1014" s="36" t="s">
        <v>2771</v>
      </c>
      <c r="M1014" s="36" t="s">
        <v>2771</v>
      </c>
      <c r="N1014" s="36" t="s">
        <v>32</v>
      </c>
    </row>
    <row r="1015">
      <c r="A1015" s="36" t="s">
        <v>3515</v>
      </c>
      <c r="B1015" s="154" t="s">
        <v>3516</v>
      </c>
      <c r="C1015" s="36" t="s">
        <v>1666</v>
      </c>
      <c r="D1015" s="36" t="s">
        <v>547</v>
      </c>
      <c r="E1015" s="36" t="s">
        <v>547</v>
      </c>
      <c r="F1015" s="154" t="s">
        <v>1810</v>
      </c>
      <c r="G1015" s="36" t="s">
        <v>28</v>
      </c>
      <c r="H1015" s="36" t="s">
        <v>1655</v>
      </c>
      <c r="I1015" s="36" t="s">
        <v>1656</v>
      </c>
      <c r="J1015" s="36" t="s">
        <v>1656</v>
      </c>
      <c r="K1015" s="36" t="s">
        <v>1820</v>
      </c>
      <c r="L1015" s="36" t="s">
        <v>2776</v>
      </c>
      <c r="M1015" s="36" t="s">
        <v>2776</v>
      </c>
      <c r="N1015" s="36" t="s">
        <v>32</v>
      </c>
    </row>
    <row r="1016">
      <c r="A1016" s="36" t="s">
        <v>3517</v>
      </c>
      <c r="B1016" s="154" t="s">
        <v>3518</v>
      </c>
      <c r="C1016" s="36" t="s">
        <v>1666</v>
      </c>
      <c r="D1016" s="36" t="s">
        <v>209</v>
      </c>
      <c r="E1016" s="36" t="s">
        <v>209</v>
      </c>
      <c r="F1016" s="154" t="s">
        <v>2360</v>
      </c>
      <c r="G1016" s="36" t="s">
        <v>28</v>
      </c>
      <c r="H1016" s="36" t="s">
        <v>1655</v>
      </c>
      <c r="I1016" s="36" t="s">
        <v>1656</v>
      </c>
      <c r="J1016" s="36" t="s">
        <v>1656</v>
      </c>
      <c r="K1016" s="36" t="s">
        <v>1823</v>
      </c>
      <c r="L1016" s="36" t="s">
        <v>2776</v>
      </c>
      <c r="M1016" s="36" t="s">
        <v>2776</v>
      </c>
      <c r="N1016" s="36" t="s">
        <v>32</v>
      </c>
    </row>
    <row r="1017">
      <c r="A1017" s="36" t="s">
        <v>3519</v>
      </c>
      <c r="B1017" s="154" t="s">
        <v>3518</v>
      </c>
      <c r="C1017" s="36" t="s">
        <v>1666</v>
      </c>
      <c r="D1017" s="36" t="s">
        <v>1312</v>
      </c>
      <c r="E1017" s="36" t="s">
        <v>1312</v>
      </c>
      <c r="F1017" s="154" t="s">
        <v>1799</v>
      </c>
      <c r="G1017" s="36" t="s">
        <v>28</v>
      </c>
      <c r="H1017" s="36" t="s">
        <v>1655</v>
      </c>
      <c r="I1017" s="36" t="s">
        <v>1656</v>
      </c>
      <c r="J1017" s="36" t="s">
        <v>1656</v>
      </c>
      <c r="K1017" s="36" t="s">
        <v>1826</v>
      </c>
      <c r="L1017" s="36" t="s">
        <v>2776</v>
      </c>
      <c r="M1017" s="36" t="s">
        <v>2776</v>
      </c>
      <c r="N1017" s="36" t="s">
        <v>32</v>
      </c>
    </row>
    <row r="1018">
      <c r="A1018" s="36" t="s">
        <v>3520</v>
      </c>
      <c r="B1018" s="154" t="s">
        <v>3518</v>
      </c>
      <c r="C1018" s="36" t="s">
        <v>1666</v>
      </c>
      <c r="D1018" s="36" t="s">
        <v>1317</v>
      </c>
      <c r="E1018" s="36" t="s">
        <v>1317</v>
      </c>
      <c r="F1018" s="154" t="s">
        <v>1859</v>
      </c>
      <c r="G1018" s="36" t="s">
        <v>30</v>
      </c>
      <c r="H1018" s="36" t="s">
        <v>1655</v>
      </c>
      <c r="I1018" s="36" t="s">
        <v>1656</v>
      </c>
      <c r="J1018" s="36" t="s">
        <v>1656</v>
      </c>
      <c r="K1018" s="36" t="s">
        <v>1830</v>
      </c>
      <c r="L1018" s="36" t="s">
        <v>2776</v>
      </c>
      <c r="M1018" s="36" t="s">
        <v>2776</v>
      </c>
      <c r="N1018" s="36" t="s">
        <v>34</v>
      </c>
    </row>
    <row r="1019">
      <c r="A1019" s="36" t="s">
        <v>3521</v>
      </c>
      <c r="B1019" s="154" t="s">
        <v>3522</v>
      </c>
      <c r="C1019" s="36" t="s">
        <v>1666</v>
      </c>
      <c r="D1019" s="36" t="s">
        <v>1324</v>
      </c>
      <c r="E1019" s="36" t="s">
        <v>1324</v>
      </c>
      <c r="F1019" s="154" t="s">
        <v>1778</v>
      </c>
      <c r="G1019" s="36" t="s">
        <v>28</v>
      </c>
      <c r="H1019" s="36" t="s">
        <v>1655</v>
      </c>
      <c r="I1019" s="36" t="s">
        <v>1656</v>
      </c>
      <c r="J1019" s="36" t="s">
        <v>1656</v>
      </c>
      <c r="K1019" s="36" t="s">
        <v>1833</v>
      </c>
      <c r="L1019" s="36" t="s">
        <v>2776</v>
      </c>
      <c r="M1019" s="36" t="s">
        <v>2776</v>
      </c>
      <c r="N1019" s="36" t="s">
        <v>32</v>
      </c>
    </row>
    <row r="1020">
      <c r="A1020" s="36" t="s">
        <v>3523</v>
      </c>
      <c r="B1020" s="154" t="s">
        <v>3522</v>
      </c>
      <c r="C1020" s="36" t="s">
        <v>1666</v>
      </c>
      <c r="D1020" s="36" t="s">
        <v>313</v>
      </c>
      <c r="E1020" s="36" t="s">
        <v>313</v>
      </c>
      <c r="F1020" s="154" t="s">
        <v>1929</v>
      </c>
      <c r="G1020" s="36" t="s">
        <v>32</v>
      </c>
      <c r="H1020" s="36" t="s">
        <v>1655</v>
      </c>
      <c r="I1020" s="36" t="s">
        <v>1656</v>
      </c>
      <c r="J1020" s="36" t="s">
        <v>1656</v>
      </c>
      <c r="K1020" s="36" t="s">
        <v>1836</v>
      </c>
      <c r="L1020" s="36" t="s">
        <v>2776</v>
      </c>
      <c r="M1020" s="36" t="s">
        <v>2776</v>
      </c>
      <c r="N1020" s="36" t="s">
        <v>32</v>
      </c>
    </row>
    <row r="1021">
      <c r="A1021" s="36" t="s">
        <v>3524</v>
      </c>
      <c r="B1021" s="154" t="s">
        <v>3522</v>
      </c>
      <c r="C1021" s="36" t="s">
        <v>1666</v>
      </c>
      <c r="D1021" s="36" t="s">
        <v>100</v>
      </c>
      <c r="E1021" s="36" t="s">
        <v>100</v>
      </c>
      <c r="F1021" s="154" t="s">
        <v>1810</v>
      </c>
      <c r="G1021" s="36" t="s">
        <v>32</v>
      </c>
      <c r="H1021" s="36" t="s">
        <v>1655</v>
      </c>
      <c r="I1021" s="36" t="s">
        <v>1656</v>
      </c>
      <c r="J1021" s="36" t="s">
        <v>1656</v>
      </c>
      <c r="K1021" s="36" t="s">
        <v>1839</v>
      </c>
      <c r="L1021" s="36" t="s">
        <v>2776</v>
      </c>
      <c r="M1021" s="36" t="s">
        <v>2776</v>
      </c>
      <c r="N1021" s="36" t="s">
        <v>32</v>
      </c>
    </row>
    <row r="1022">
      <c r="A1022" s="36" t="s">
        <v>3525</v>
      </c>
      <c r="B1022" s="154" t="s">
        <v>3526</v>
      </c>
      <c r="C1022" s="36" t="s">
        <v>1666</v>
      </c>
      <c r="D1022" s="36" t="s">
        <v>92</v>
      </c>
      <c r="E1022" s="36" t="s">
        <v>92</v>
      </c>
      <c r="F1022" s="154" t="s">
        <v>3527</v>
      </c>
      <c r="G1022" s="36" t="s">
        <v>28</v>
      </c>
      <c r="H1022" s="36" t="s">
        <v>1655</v>
      </c>
      <c r="I1022" s="36" t="s">
        <v>1656</v>
      </c>
      <c r="J1022" s="36" t="s">
        <v>1656</v>
      </c>
      <c r="K1022" s="36" t="s">
        <v>1842</v>
      </c>
      <c r="L1022" s="36" t="s">
        <v>2776</v>
      </c>
      <c r="M1022" s="36" t="s">
        <v>2776</v>
      </c>
      <c r="N1022" s="36" t="s">
        <v>32</v>
      </c>
    </row>
    <row r="1023">
      <c r="A1023" s="36" t="s">
        <v>3528</v>
      </c>
      <c r="B1023" s="154" t="s">
        <v>3526</v>
      </c>
      <c r="C1023" s="36" t="s">
        <v>1666</v>
      </c>
      <c r="D1023" s="36" t="s">
        <v>737</v>
      </c>
      <c r="E1023" s="36" t="s">
        <v>737</v>
      </c>
      <c r="F1023" s="154" t="s">
        <v>1929</v>
      </c>
      <c r="G1023" s="36" t="s">
        <v>32</v>
      </c>
      <c r="H1023" s="36" t="s">
        <v>1655</v>
      </c>
      <c r="I1023" s="36" t="s">
        <v>1656</v>
      </c>
      <c r="J1023" s="36" t="s">
        <v>1656</v>
      </c>
      <c r="K1023" s="36" t="s">
        <v>1845</v>
      </c>
      <c r="L1023" s="36" t="s">
        <v>2776</v>
      </c>
      <c r="M1023" s="36" t="s">
        <v>2776</v>
      </c>
      <c r="N1023" s="36" t="s">
        <v>32</v>
      </c>
    </row>
    <row r="1024">
      <c r="A1024" s="36" t="s">
        <v>3529</v>
      </c>
      <c r="B1024" s="154" t="s">
        <v>3526</v>
      </c>
      <c r="C1024" s="36" t="s">
        <v>1666</v>
      </c>
      <c r="D1024" s="36" t="s">
        <v>235</v>
      </c>
      <c r="E1024" s="36" t="s">
        <v>235</v>
      </c>
      <c r="F1024" s="154" t="s">
        <v>2156</v>
      </c>
      <c r="G1024" s="36" t="s">
        <v>32</v>
      </c>
      <c r="H1024" s="36" t="s">
        <v>1655</v>
      </c>
      <c r="I1024" s="36" t="s">
        <v>1656</v>
      </c>
      <c r="J1024" s="36" t="s">
        <v>1656</v>
      </c>
      <c r="K1024" s="36" t="s">
        <v>1848</v>
      </c>
      <c r="L1024" s="36" t="s">
        <v>2776</v>
      </c>
      <c r="M1024" s="36" t="s">
        <v>2776</v>
      </c>
      <c r="N1024" s="36" t="s">
        <v>32</v>
      </c>
    </row>
    <row r="1025">
      <c r="A1025" s="36" t="s">
        <v>3530</v>
      </c>
      <c r="B1025" s="154" t="s">
        <v>3526</v>
      </c>
      <c r="C1025" s="36" t="s">
        <v>1666</v>
      </c>
      <c r="D1025" s="36" t="s">
        <v>1345</v>
      </c>
      <c r="E1025" s="36" t="s">
        <v>1345</v>
      </c>
      <c r="F1025" s="154" t="s">
        <v>1806</v>
      </c>
      <c r="G1025" s="36" t="s">
        <v>32</v>
      </c>
      <c r="H1025" s="36" t="s">
        <v>1655</v>
      </c>
      <c r="I1025" s="36" t="s">
        <v>1656</v>
      </c>
      <c r="J1025" s="36" t="s">
        <v>1656</v>
      </c>
      <c r="K1025" s="36" t="s">
        <v>1851</v>
      </c>
      <c r="L1025" s="36" t="s">
        <v>2776</v>
      </c>
      <c r="M1025" s="36" t="s">
        <v>2776</v>
      </c>
      <c r="N1025" s="36" t="s">
        <v>32</v>
      </c>
    </row>
    <row r="1026">
      <c r="A1026" s="36" t="s">
        <v>3531</v>
      </c>
      <c r="B1026" s="154" t="s">
        <v>3532</v>
      </c>
      <c r="C1026" s="36" t="s">
        <v>1666</v>
      </c>
      <c r="D1026" s="36" t="s">
        <v>1349</v>
      </c>
      <c r="E1026" s="36" t="s">
        <v>1349</v>
      </c>
      <c r="F1026" s="154" t="s">
        <v>1799</v>
      </c>
      <c r="G1026" s="36" t="s">
        <v>32</v>
      </c>
      <c r="H1026" s="36" t="s">
        <v>1655</v>
      </c>
      <c r="I1026" s="36" t="s">
        <v>1656</v>
      </c>
      <c r="J1026" s="36" t="s">
        <v>1656</v>
      </c>
      <c r="K1026" s="36" t="s">
        <v>1854</v>
      </c>
      <c r="L1026" s="36" t="s">
        <v>2776</v>
      </c>
      <c r="M1026" s="36" t="s">
        <v>2776</v>
      </c>
      <c r="N1026" s="36" t="s">
        <v>32</v>
      </c>
    </row>
    <row r="1027">
      <c r="A1027" s="36" t="s">
        <v>3533</v>
      </c>
      <c r="B1027" s="154" t="s">
        <v>3534</v>
      </c>
      <c r="C1027" s="36" t="s">
        <v>1666</v>
      </c>
      <c r="D1027" s="36" t="s">
        <v>295</v>
      </c>
      <c r="E1027" s="36" t="s">
        <v>295</v>
      </c>
      <c r="F1027" s="154" t="s">
        <v>3200</v>
      </c>
      <c r="G1027" s="36" t="s">
        <v>28</v>
      </c>
      <c r="H1027" s="36" t="s">
        <v>1655</v>
      </c>
      <c r="I1027" s="36" t="s">
        <v>1656</v>
      </c>
      <c r="J1027" s="36" t="s">
        <v>1656</v>
      </c>
      <c r="K1027" s="36" t="s">
        <v>1857</v>
      </c>
      <c r="L1027" s="36" t="s">
        <v>2776</v>
      </c>
      <c r="M1027" s="36" t="s">
        <v>2776</v>
      </c>
      <c r="N1027" s="36" t="s">
        <v>32</v>
      </c>
    </row>
    <row r="1028">
      <c r="A1028" s="36" t="s">
        <v>3535</v>
      </c>
      <c r="B1028" s="154" t="s">
        <v>3534</v>
      </c>
      <c r="C1028" s="36" t="s">
        <v>1666</v>
      </c>
      <c r="D1028" s="36" t="s">
        <v>310</v>
      </c>
      <c r="E1028" s="36" t="s">
        <v>310</v>
      </c>
      <c r="F1028" s="154" t="s">
        <v>1853</v>
      </c>
      <c r="G1028" s="36" t="s">
        <v>28</v>
      </c>
      <c r="H1028" s="36" t="s">
        <v>1655</v>
      </c>
      <c r="I1028" s="36" t="s">
        <v>1656</v>
      </c>
      <c r="J1028" s="36" t="s">
        <v>1656</v>
      </c>
      <c r="K1028" s="36" t="s">
        <v>1860</v>
      </c>
      <c r="L1028" s="36" t="s">
        <v>2776</v>
      </c>
      <c r="M1028" s="36" t="s">
        <v>2776</v>
      </c>
      <c r="N1028" s="36" t="s">
        <v>32</v>
      </c>
    </row>
    <row r="1029">
      <c r="A1029" s="36" t="s">
        <v>3536</v>
      </c>
      <c r="B1029" s="154" t="s">
        <v>3537</v>
      </c>
      <c r="C1029" s="36" t="s">
        <v>1653</v>
      </c>
      <c r="D1029" s="36" t="s">
        <v>701</v>
      </c>
      <c r="E1029" s="36" t="s">
        <v>39</v>
      </c>
      <c r="F1029" s="154" t="s">
        <v>2029</v>
      </c>
      <c r="G1029" s="36" t="s">
        <v>32</v>
      </c>
      <c r="H1029" s="36" t="s">
        <v>1655</v>
      </c>
      <c r="I1029" s="36" t="s">
        <v>1656</v>
      </c>
      <c r="J1029" s="36" t="s">
        <v>1656</v>
      </c>
      <c r="K1029" s="36" t="s">
        <v>2848</v>
      </c>
      <c r="L1029" s="36" t="s">
        <v>2771</v>
      </c>
      <c r="M1029" s="36" t="s">
        <v>2771</v>
      </c>
      <c r="N1029" s="36" t="s">
        <v>32</v>
      </c>
    </row>
    <row r="1030">
      <c r="A1030" s="36" t="s">
        <v>3538</v>
      </c>
      <c r="B1030" s="154" t="s">
        <v>3537</v>
      </c>
      <c r="C1030" s="36" t="s">
        <v>1666</v>
      </c>
      <c r="D1030" s="36" t="s">
        <v>124</v>
      </c>
      <c r="E1030" s="36" t="s">
        <v>124</v>
      </c>
      <c r="F1030" s="154" t="s">
        <v>2920</v>
      </c>
      <c r="G1030" s="36" t="s">
        <v>28</v>
      </c>
      <c r="H1030" s="36" t="s">
        <v>1655</v>
      </c>
      <c r="I1030" s="36" t="s">
        <v>1656</v>
      </c>
      <c r="J1030" s="36" t="s">
        <v>1656</v>
      </c>
      <c r="K1030" s="36" t="s">
        <v>1863</v>
      </c>
      <c r="L1030" s="36" t="s">
        <v>2776</v>
      </c>
      <c r="M1030" s="36" t="s">
        <v>2776</v>
      </c>
      <c r="N1030" s="36" t="s">
        <v>32</v>
      </c>
    </row>
    <row r="1031">
      <c r="A1031" s="36" t="s">
        <v>3539</v>
      </c>
      <c r="B1031" s="154" t="s">
        <v>3537</v>
      </c>
      <c r="C1031" s="36" t="s">
        <v>1666</v>
      </c>
      <c r="D1031" s="36" t="s">
        <v>310</v>
      </c>
      <c r="E1031" s="36" t="s">
        <v>310</v>
      </c>
      <c r="F1031" s="154" t="s">
        <v>3540</v>
      </c>
      <c r="G1031" s="36" t="s">
        <v>28</v>
      </c>
      <c r="H1031" s="36" t="s">
        <v>1655</v>
      </c>
      <c r="I1031" s="36" t="s">
        <v>1656</v>
      </c>
      <c r="J1031" s="36" t="s">
        <v>1656</v>
      </c>
      <c r="K1031" s="36" t="s">
        <v>1866</v>
      </c>
      <c r="L1031" s="36" t="s">
        <v>2776</v>
      </c>
      <c r="M1031" s="36" t="s">
        <v>2776</v>
      </c>
      <c r="N1031" s="36" t="s">
        <v>32</v>
      </c>
    </row>
    <row r="1032">
      <c r="A1032" s="36" t="s">
        <v>3541</v>
      </c>
      <c r="B1032" s="154" t="s">
        <v>3537</v>
      </c>
      <c r="C1032" s="36" t="s">
        <v>1666</v>
      </c>
      <c r="D1032" s="36" t="s">
        <v>1367</v>
      </c>
      <c r="E1032" s="36" t="s">
        <v>1367</v>
      </c>
      <c r="F1032" s="154" t="s">
        <v>1959</v>
      </c>
      <c r="G1032" s="36" t="s">
        <v>32</v>
      </c>
      <c r="H1032" s="36" t="s">
        <v>1655</v>
      </c>
      <c r="I1032" s="36" t="s">
        <v>1656</v>
      </c>
      <c r="J1032" s="36" t="s">
        <v>1656</v>
      </c>
      <c r="K1032" s="36" t="s">
        <v>1869</v>
      </c>
      <c r="L1032" s="36" t="s">
        <v>2776</v>
      </c>
      <c r="M1032" s="36" t="s">
        <v>2776</v>
      </c>
      <c r="N1032" s="36" t="s">
        <v>32</v>
      </c>
    </row>
    <row r="1033">
      <c r="A1033" s="36" t="s">
        <v>3542</v>
      </c>
      <c r="B1033" s="154" t="s">
        <v>3543</v>
      </c>
      <c r="C1033" s="36" t="s">
        <v>1666</v>
      </c>
      <c r="D1033" s="36" t="s">
        <v>714</v>
      </c>
      <c r="E1033" s="36" t="s">
        <v>714</v>
      </c>
      <c r="F1033" s="154" t="s">
        <v>2867</v>
      </c>
      <c r="G1033" s="36" t="s">
        <v>32</v>
      </c>
      <c r="H1033" s="36" t="s">
        <v>1655</v>
      </c>
      <c r="I1033" s="36" t="s">
        <v>1656</v>
      </c>
      <c r="J1033" s="36" t="s">
        <v>1656</v>
      </c>
      <c r="K1033" s="36" t="s">
        <v>1891</v>
      </c>
      <c r="L1033" s="36" t="s">
        <v>2776</v>
      </c>
      <c r="M1033" s="36" t="s">
        <v>2776</v>
      </c>
      <c r="N1033" s="36" t="s">
        <v>32</v>
      </c>
    </row>
    <row r="1034">
      <c r="A1034" s="36" t="s">
        <v>3544</v>
      </c>
      <c r="B1034" s="154" t="s">
        <v>3543</v>
      </c>
      <c r="C1034" s="36" t="s">
        <v>1666</v>
      </c>
      <c r="D1034" s="36" t="s">
        <v>94</v>
      </c>
      <c r="E1034" s="36" t="s">
        <v>94</v>
      </c>
      <c r="F1034" s="154" t="s">
        <v>1729</v>
      </c>
      <c r="G1034" s="36" t="s">
        <v>28</v>
      </c>
      <c r="H1034" s="36" t="s">
        <v>1655</v>
      </c>
      <c r="I1034" s="36" t="s">
        <v>1656</v>
      </c>
      <c r="J1034" s="36" t="s">
        <v>1656</v>
      </c>
      <c r="K1034" s="36" t="s">
        <v>1872</v>
      </c>
      <c r="L1034" s="36" t="s">
        <v>2776</v>
      </c>
      <c r="M1034" s="36" t="s">
        <v>2776</v>
      </c>
      <c r="N1034" s="36" t="s">
        <v>32</v>
      </c>
    </row>
    <row r="1035">
      <c r="A1035" s="36" t="s">
        <v>3545</v>
      </c>
      <c r="B1035" s="154" t="s">
        <v>3543</v>
      </c>
      <c r="C1035" s="36" t="s">
        <v>1666</v>
      </c>
      <c r="D1035" s="36" t="s">
        <v>819</v>
      </c>
      <c r="E1035" s="36" t="s">
        <v>819</v>
      </c>
      <c r="F1035" s="154" t="s">
        <v>1816</v>
      </c>
      <c r="G1035" s="36" t="s">
        <v>28</v>
      </c>
      <c r="H1035" s="36" t="s">
        <v>1655</v>
      </c>
      <c r="I1035" s="36" t="s">
        <v>1656</v>
      </c>
      <c r="J1035" s="36" t="s">
        <v>1656</v>
      </c>
      <c r="K1035" s="36" t="s">
        <v>1875</v>
      </c>
      <c r="L1035" s="36" t="s">
        <v>2776</v>
      </c>
      <c r="M1035" s="36" t="s">
        <v>2776</v>
      </c>
      <c r="N1035" s="36" t="s">
        <v>32</v>
      </c>
    </row>
    <row r="1036">
      <c r="A1036" s="36" t="s">
        <v>3546</v>
      </c>
      <c r="B1036" s="154" t="s">
        <v>3543</v>
      </c>
      <c r="C1036" s="36" t="s">
        <v>1666</v>
      </c>
      <c r="D1036" s="36" t="s">
        <v>1347</v>
      </c>
      <c r="E1036" s="36" t="s">
        <v>1347</v>
      </c>
      <c r="F1036" s="154" t="s">
        <v>2094</v>
      </c>
      <c r="G1036" s="36" t="s">
        <v>32</v>
      </c>
      <c r="H1036" s="36" t="s">
        <v>1655</v>
      </c>
      <c r="I1036" s="36" t="s">
        <v>1656</v>
      </c>
      <c r="J1036" s="36" t="s">
        <v>1656</v>
      </c>
      <c r="K1036" s="36" t="s">
        <v>1878</v>
      </c>
      <c r="L1036" s="36" t="s">
        <v>2776</v>
      </c>
      <c r="M1036" s="36" t="s">
        <v>2776</v>
      </c>
      <c r="N1036" s="36" t="s">
        <v>32</v>
      </c>
    </row>
    <row r="1037">
      <c r="A1037" s="36" t="s">
        <v>3547</v>
      </c>
      <c r="B1037" s="154" t="s">
        <v>3548</v>
      </c>
      <c r="C1037" s="36" t="s">
        <v>1666</v>
      </c>
      <c r="D1037" s="36" t="s">
        <v>618</v>
      </c>
      <c r="E1037" s="36" t="s">
        <v>618</v>
      </c>
      <c r="F1037" s="154" t="s">
        <v>1971</v>
      </c>
      <c r="G1037" s="36" t="s">
        <v>32</v>
      </c>
      <c r="H1037" s="36" t="s">
        <v>1655</v>
      </c>
      <c r="I1037" s="36" t="s">
        <v>1656</v>
      </c>
      <c r="J1037" s="36" t="s">
        <v>1656</v>
      </c>
      <c r="K1037" s="36" t="s">
        <v>1881</v>
      </c>
      <c r="L1037" s="36" t="s">
        <v>2776</v>
      </c>
      <c r="M1037" s="36" t="s">
        <v>2776</v>
      </c>
      <c r="N1037" s="36" t="s">
        <v>32</v>
      </c>
    </row>
    <row r="1038">
      <c r="A1038" s="36" t="s">
        <v>3549</v>
      </c>
      <c r="B1038" s="154" t="s">
        <v>3548</v>
      </c>
      <c r="C1038" s="36" t="s">
        <v>1666</v>
      </c>
      <c r="D1038" s="36" t="s">
        <v>339</v>
      </c>
      <c r="E1038" s="36" t="s">
        <v>339</v>
      </c>
      <c r="F1038" s="154" t="s">
        <v>3550</v>
      </c>
      <c r="G1038" s="36" t="s">
        <v>28</v>
      </c>
      <c r="H1038" s="36" t="s">
        <v>1655</v>
      </c>
      <c r="I1038" s="36" t="s">
        <v>1656</v>
      </c>
      <c r="J1038" s="36" t="s">
        <v>1656</v>
      </c>
      <c r="K1038" s="36" t="s">
        <v>1884</v>
      </c>
      <c r="L1038" s="36" t="s">
        <v>2776</v>
      </c>
      <c r="M1038" s="36" t="s">
        <v>2776</v>
      </c>
      <c r="N1038" s="36" t="s">
        <v>34</v>
      </c>
    </row>
    <row r="1039">
      <c r="A1039" s="36" t="s">
        <v>3551</v>
      </c>
      <c r="B1039" s="154" t="s">
        <v>3548</v>
      </c>
      <c r="C1039" s="36" t="s">
        <v>1666</v>
      </c>
      <c r="D1039" s="36" t="s">
        <v>1380</v>
      </c>
      <c r="E1039" s="36" t="s">
        <v>1380</v>
      </c>
      <c r="F1039" s="154" t="s">
        <v>1871</v>
      </c>
      <c r="G1039" s="36" t="s">
        <v>28</v>
      </c>
      <c r="H1039" s="36" t="s">
        <v>1655</v>
      </c>
      <c r="I1039" s="36" t="s">
        <v>1656</v>
      </c>
      <c r="J1039" s="36" t="s">
        <v>1656</v>
      </c>
      <c r="K1039" s="36" t="s">
        <v>1887</v>
      </c>
      <c r="L1039" s="36" t="s">
        <v>2776</v>
      </c>
      <c r="M1039" s="36" t="s">
        <v>2776</v>
      </c>
      <c r="N1039" s="36" t="s">
        <v>34</v>
      </c>
    </row>
    <row r="1040">
      <c r="A1040" s="36" t="s">
        <v>3552</v>
      </c>
      <c r="B1040" s="154" t="s">
        <v>3553</v>
      </c>
      <c r="C1040" s="36" t="s">
        <v>1666</v>
      </c>
      <c r="D1040" s="36" t="s">
        <v>81</v>
      </c>
      <c r="E1040" s="36" t="s">
        <v>81</v>
      </c>
      <c r="F1040" s="154" t="s">
        <v>3296</v>
      </c>
      <c r="G1040" s="36" t="s">
        <v>28</v>
      </c>
      <c r="H1040" s="36" t="s">
        <v>1655</v>
      </c>
      <c r="I1040" s="36" t="s">
        <v>1656</v>
      </c>
      <c r="J1040" s="36" t="s">
        <v>1656</v>
      </c>
      <c r="K1040" s="36" t="s">
        <v>1921</v>
      </c>
      <c r="L1040" s="36" t="s">
        <v>2776</v>
      </c>
      <c r="M1040" s="36" t="s">
        <v>2776</v>
      </c>
      <c r="N1040" s="36" t="s">
        <v>32</v>
      </c>
    </row>
    <row r="1041">
      <c r="A1041" s="36" t="s">
        <v>3554</v>
      </c>
      <c r="B1041" s="154" t="s">
        <v>3553</v>
      </c>
      <c r="C1041" s="36" t="s">
        <v>1666</v>
      </c>
      <c r="D1041" s="36" t="s">
        <v>83</v>
      </c>
      <c r="E1041" s="36" t="s">
        <v>83</v>
      </c>
      <c r="F1041" s="154" t="s">
        <v>3034</v>
      </c>
      <c r="G1041" s="36" t="s">
        <v>28</v>
      </c>
      <c r="H1041" s="36" t="s">
        <v>1655</v>
      </c>
      <c r="I1041" s="36" t="s">
        <v>1656</v>
      </c>
      <c r="J1041" s="36" t="s">
        <v>1656</v>
      </c>
      <c r="K1041" s="36" t="s">
        <v>3166</v>
      </c>
      <c r="L1041" s="36" t="s">
        <v>2776</v>
      </c>
      <c r="M1041" s="36" t="s">
        <v>2776</v>
      </c>
      <c r="N1041" s="36" t="s">
        <v>32</v>
      </c>
    </row>
    <row r="1042">
      <c r="A1042" s="36" t="s">
        <v>3555</v>
      </c>
      <c r="B1042" s="154" t="s">
        <v>3553</v>
      </c>
      <c r="C1042" s="36" t="s">
        <v>1666</v>
      </c>
      <c r="D1042" s="36" t="s">
        <v>84</v>
      </c>
      <c r="E1042" s="36" t="s">
        <v>84</v>
      </c>
      <c r="F1042" s="154" t="s">
        <v>3556</v>
      </c>
      <c r="G1042" s="36" t="s">
        <v>32</v>
      </c>
      <c r="H1042" s="36" t="s">
        <v>1655</v>
      </c>
      <c r="I1042" s="36" t="s">
        <v>1656</v>
      </c>
      <c r="J1042" s="36" t="s">
        <v>1656</v>
      </c>
      <c r="K1042" s="36" t="s">
        <v>1924</v>
      </c>
      <c r="L1042" s="36" t="s">
        <v>2776</v>
      </c>
      <c r="M1042" s="36" t="s">
        <v>2776</v>
      </c>
      <c r="N1042" s="36" t="s">
        <v>32</v>
      </c>
    </row>
    <row r="1043">
      <c r="A1043" s="36" t="s">
        <v>3557</v>
      </c>
      <c r="B1043" s="154" t="s">
        <v>3553</v>
      </c>
      <c r="C1043" s="36" t="s">
        <v>1666</v>
      </c>
      <c r="D1043" s="36" t="s">
        <v>92</v>
      </c>
      <c r="E1043" s="36" t="s">
        <v>92</v>
      </c>
      <c r="F1043" s="154" t="s">
        <v>1768</v>
      </c>
      <c r="G1043" s="36" t="s">
        <v>28</v>
      </c>
      <c r="H1043" s="36" t="s">
        <v>1655</v>
      </c>
      <c r="I1043" s="36" t="s">
        <v>1656</v>
      </c>
      <c r="J1043" s="36" t="s">
        <v>1656</v>
      </c>
      <c r="K1043" s="36" t="s">
        <v>1894</v>
      </c>
      <c r="L1043" s="36" t="s">
        <v>2776</v>
      </c>
      <c r="M1043" s="36" t="s">
        <v>2776</v>
      </c>
      <c r="N1043" s="36" t="s">
        <v>32</v>
      </c>
    </row>
    <row r="1044">
      <c r="A1044" s="36" t="s">
        <v>3558</v>
      </c>
      <c r="B1044" s="154" t="s">
        <v>3559</v>
      </c>
      <c r="C1044" s="36" t="s">
        <v>1653</v>
      </c>
      <c r="D1044" s="36" t="s">
        <v>43</v>
      </c>
      <c r="E1044" s="36" t="s">
        <v>39</v>
      </c>
      <c r="F1044" s="154" t="s">
        <v>3560</v>
      </c>
      <c r="G1044" s="36" t="s">
        <v>32</v>
      </c>
      <c r="H1044" s="36" t="s">
        <v>1655</v>
      </c>
      <c r="I1044" s="36" t="s">
        <v>1656</v>
      </c>
      <c r="J1044" s="36" t="s">
        <v>1656</v>
      </c>
      <c r="K1044" s="36" t="s">
        <v>1657</v>
      </c>
      <c r="L1044" s="36" t="s">
        <v>2771</v>
      </c>
      <c r="M1044" s="36" t="s">
        <v>2771</v>
      </c>
      <c r="N1044" s="36" t="s">
        <v>32</v>
      </c>
    </row>
    <row r="1045">
      <c r="A1045" s="36" t="s">
        <v>3561</v>
      </c>
      <c r="B1045" s="154" t="s">
        <v>3559</v>
      </c>
      <c r="C1045" s="36" t="s">
        <v>1653</v>
      </c>
      <c r="D1045" s="36" t="s">
        <v>1100</v>
      </c>
      <c r="E1045" s="36" t="s">
        <v>39</v>
      </c>
      <c r="F1045" s="154" t="s">
        <v>3562</v>
      </c>
      <c r="G1045" s="36" t="s">
        <v>32</v>
      </c>
      <c r="H1045" s="36" t="s">
        <v>1655</v>
      </c>
      <c r="I1045" s="36" t="s">
        <v>1656</v>
      </c>
      <c r="J1045" s="36" t="s">
        <v>1656</v>
      </c>
      <c r="K1045" s="36" t="s">
        <v>1989</v>
      </c>
      <c r="L1045" s="36" t="s">
        <v>2771</v>
      </c>
      <c r="M1045" s="36" t="s">
        <v>2771</v>
      </c>
      <c r="N1045" s="36" t="s">
        <v>32</v>
      </c>
    </row>
    <row r="1046">
      <c r="A1046" s="36" t="s">
        <v>3563</v>
      </c>
      <c r="B1046" s="154" t="s">
        <v>3559</v>
      </c>
      <c r="C1046" s="36" t="s">
        <v>1666</v>
      </c>
      <c r="D1046" s="36" t="s">
        <v>1116</v>
      </c>
      <c r="E1046" s="36" t="s">
        <v>1116</v>
      </c>
      <c r="F1046" s="154" t="s">
        <v>3180</v>
      </c>
      <c r="G1046" s="36" t="s">
        <v>28</v>
      </c>
      <c r="H1046" s="36" t="s">
        <v>1655</v>
      </c>
      <c r="I1046" s="36" t="s">
        <v>1656</v>
      </c>
      <c r="J1046" s="36" t="s">
        <v>1656</v>
      </c>
      <c r="K1046" s="36" t="s">
        <v>2775</v>
      </c>
      <c r="L1046" s="36" t="s">
        <v>2776</v>
      </c>
      <c r="M1046" s="36" t="s">
        <v>2776</v>
      </c>
      <c r="N1046" s="36" t="s">
        <v>32</v>
      </c>
    </row>
    <row r="1047">
      <c r="A1047" s="36" t="s">
        <v>3564</v>
      </c>
      <c r="B1047" s="154" t="s">
        <v>3559</v>
      </c>
      <c r="C1047" s="36" t="s">
        <v>1666</v>
      </c>
      <c r="D1047" s="36" t="s">
        <v>1120</v>
      </c>
      <c r="E1047" s="36" t="s">
        <v>1120</v>
      </c>
      <c r="F1047" s="154" t="s">
        <v>3565</v>
      </c>
      <c r="G1047" s="36" t="s">
        <v>28</v>
      </c>
      <c r="H1047" s="36" t="s">
        <v>1655</v>
      </c>
      <c r="I1047" s="36" t="s">
        <v>1656</v>
      </c>
      <c r="J1047" s="36" t="s">
        <v>1656</v>
      </c>
      <c r="K1047" s="36" t="s">
        <v>2779</v>
      </c>
      <c r="L1047" s="36" t="s">
        <v>2776</v>
      </c>
      <c r="M1047" s="36" t="s">
        <v>2776</v>
      </c>
      <c r="N1047" s="36" t="s">
        <v>32</v>
      </c>
    </row>
    <row r="1048">
      <c r="A1048" s="36" t="s">
        <v>3566</v>
      </c>
      <c r="B1048" s="154" t="s">
        <v>3559</v>
      </c>
      <c r="C1048" s="36" t="s">
        <v>1666</v>
      </c>
      <c r="D1048" s="36" t="s">
        <v>923</v>
      </c>
      <c r="E1048" s="36" t="s">
        <v>923</v>
      </c>
      <c r="F1048" s="154" t="s">
        <v>1683</v>
      </c>
      <c r="G1048" s="36" t="s">
        <v>32</v>
      </c>
      <c r="H1048" s="36" t="s">
        <v>1655</v>
      </c>
      <c r="I1048" s="36" t="s">
        <v>1656</v>
      </c>
      <c r="J1048" s="36" t="s">
        <v>1656</v>
      </c>
      <c r="K1048" s="36" t="s">
        <v>1675</v>
      </c>
      <c r="L1048" s="36" t="s">
        <v>2776</v>
      </c>
      <c r="M1048" s="36" t="s">
        <v>2776</v>
      </c>
      <c r="N1048" s="36" t="s">
        <v>32</v>
      </c>
    </row>
    <row r="1049">
      <c r="A1049" s="36" t="s">
        <v>3567</v>
      </c>
      <c r="B1049" s="154" t="s">
        <v>3559</v>
      </c>
      <c r="C1049" s="36" t="s">
        <v>1666</v>
      </c>
      <c r="D1049" s="36" t="s">
        <v>940</v>
      </c>
      <c r="E1049" s="36" t="s">
        <v>940</v>
      </c>
      <c r="F1049" s="154" t="s">
        <v>3568</v>
      </c>
      <c r="G1049" s="36" t="s">
        <v>32</v>
      </c>
      <c r="H1049" s="36" t="s">
        <v>1655</v>
      </c>
      <c r="I1049" s="36" t="s">
        <v>1656</v>
      </c>
      <c r="J1049" s="36" t="s">
        <v>1656</v>
      </c>
      <c r="K1049" s="36" t="s">
        <v>1678</v>
      </c>
      <c r="L1049" s="36" t="s">
        <v>2776</v>
      </c>
      <c r="M1049" s="36" t="s">
        <v>2776</v>
      </c>
      <c r="N1049" s="36" t="s">
        <v>32</v>
      </c>
    </row>
    <row r="1050">
      <c r="A1050" s="36" t="s">
        <v>3569</v>
      </c>
      <c r="B1050" s="154" t="s">
        <v>3570</v>
      </c>
      <c r="C1050" s="36" t="s">
        <v>1666</v>
      </c>
      <c r="D1050" s="36" t="s">
        <v>64</v>
      </c>
      <c r="E1050" s="36" t="s">
        <v>64</v>
      </c>
      <c r="F1050" s="154" t="s">
        <v>1707</v>
      </c>
      <c r="G1050" s="36" t="s">
        <v>28</v>
      </c>
      <c r="H1050" s="36" t="s">
        <v>1655</v>
      </c>
      <c r="I1050" s="36" t="s">
        <v>1656</v>
      </c>
      <c r="J1050" s="36" t="s">
        <v>1656</v>
      </c>
      <c r="K1050" s="36" t="s">
        <v>1708</v>
      </c>
      <c r="L1050" s="36" t="s">
        <v>2776</v>
      </c>
      <c r="M1050" s="36" t="s">
        <v>2776</v>
      </c>
      <c r="N1050" s="36" t="s">
        <v>32</v>
      </c>
    </row>
    <row r="1051">
      <c r="A1051" s="36" t="s">
        <v>3571</v>
      </c>
      <c r="B1051" s="154" t="s">
        <v>3570</v>
      </c>
      <c r="C1051" s="36" t="s">
        <v>1666</v>
      </c>
      <c r="D1051" s="36" t="s">
        <v>121</v>
      </c>
      <c r="E1051" s="36" t="s">
        <v>121</v>
      </c>
      <c r="F1051" s="154" t="s">
        <v>2940</v>
      </c>
      <c r="G1051" s="36" t="s">
        <v>28</v>
      </c>
      <c r="H1051" s="36" t="s">
        <v>1655</v>
      </c>
      <c r="I1051" s="36" t="s">
        <v>1656</v>
      </c>
      <c r="J1051" s="36" t="s">
        <v>1656</v>
      </c>
      <c r="K1051" s="36" t="s">
        <v>1681</v>
      </c>
      <c r="L1051" s="36" t="s">
        <v>2776</v>
      </c>
      <c r="M1051" s="36" t="s">
        <v>2776</v>
      </c>
      <c r="N1051" s="36" t="s">
        <v>32</v>
      </c>
    </row>
    <row r="1052">
      <c r="A1052" s="36" t="s">
        <v>3572</v>
      </c>
      <c r="B1052" s="154" t="s">
        <v>3573</v>
      </c>
      <c r="C1052" s="36" t="s">
        <v>1666</v>
      </c>
      <c r="D1052" s="36" t="s">
        <v>1142</v>
      </c>
      <c r="E1052" s="36" t="s">
        <v>1142</v>
      </c>
      <c r="F1052" s="154" t="s">
        <v>3062</v>
      </c>
      <c r="G1052" s="36" t="s">
        <v>28</v>
      </c>
      <c r="H1052" s="36" t="s">
        <v>1655</v>
      </c>
      <c r="I1052" s="36" t="s">
        <v>1656</v>
      </c>
      <c r="J1052" s="36" t="s">
        <v>1656</v>
      </c>
      <c r="K1052" s="36" t="s">
        <v>1684</v>
      </c>
      <c r="L1052" s="36" t="s">
        <v>2776</v>
      </c>
      <c r="M1052" s="36" t="s">
        <v>2776</v>
      </c>
      <c r="N1052" s="36" t="s">
        <v>34</v>
      </c>
    </row>
    <row r="1053">
      <c r="A1053" s="36" t="s">
        <v>3574</v>
      </c>
      <c r="B1053" s="154" t="s">
        <v>3573</v>
      </c>
      <c r="C1053" s="36" t="s">
        <v>1666</v>
      </c>
      <c r="D1053" s="36" t="s">
        <v>1149</v>
      </c>
      <c r="E1053" s="36" t="s">
        <v>1149</v>
      </c>
      <c r="F1053" s="154" t="s">
        <v>2006</v>
      </c>
      <c r="G1053" s="36" t="s">
        <v>28</v>
      </c>
      <c r="H1053" s="36" t="s">
        <v>1655</v>
      </c>
      <c r="I1053" s="36" t="s">
        <v>1656</v>
      </c>
      <c r="J1053" s="36" t="s">
        <v>1656</v>
      </c>
      <c r="K1053" s="36" t="s">
        <v>1691</v>
      </c>
      <c r="L1053" s="36" t="s">
        <v>2776</v>
      </c>
      <c r="M1053" s="36" t="s">
        <v>2776</v>
      </c>
      <c r="N1053" s="36" t="s">
        <v>34</v>
      </c>
    </row>
    <row r="1054">
      <c r="A1054" s="36" t="s">
        <v>3575</v>
      </c>
      <c r="B1054" s="154" t="s">
        <v>3573</v>
      </c>
      <c r="C1054" s="36" t="s">
        <v>1666</v>
      </c>
      <c r="D1054" s="36" t="s">
        <v>1156</v>
      </c>
      <c r="E1054" s="36" t="s">
        <v>1156</v>
      </c>
      <c r="F1054" s="154" t="s">
        <v>1859</v>
      </c>
      <c r="G1054" s="36" t="s">
        <v>28</v>
      </c>
      <c r="H1054" s="36" t="s">
        <v>1655</v>
      </c>
      <c r="I1054" s="36" t="s">
        <v>1656</v>
      </c>
      <c r="J1054" s="36" t="s">
        <v>1656</v>
      </c>
      <c r="K1054" s="36" t="s">
        <v>1695</v>
      </c>
      <c r="L1054" s="36" t="s">
        <v>2776</v>
      </c>
      <c r="M1054" s="36" t="s">
        <v>2776</v>
      </c>
      <c r="N1054" s="36" t="s">
        <v>34</v>
      </c>
    </row>
    <row r="1055">
      <c r="A1055" s="36" t="s">
        <v>3576</v>
      </c>
      <c r="B1055" s="154" t="s">
        <v>3577</v>
      </c>
      <c r="C1055" s="36" t="s">
        <v>1666</v>
      </c>
      <c r="D1055" s="36" t="s">
        <v>66</v>
      </c>
      <c r="E1055" s="36" t="s">
        <v>66</v>
      </c>
      <c r="F1055" s="154" t="s">
        <v>3578</v>
      </c>
      <c r="G1055" s="36" t="s">
        <v>28</v>
      </c>
      <c r="H1055" s="36" t="s">
        <v>1655</v>
      </c>
      <c r="I1055" s="36" t="s">
        <v>1656</v>
      </c>
      <c r="J1055" s="36" t="s">
        <v>1656</v>
      </c>
      <c r="K1055" s="36" t="s">
        <v>1721</v>
      </c>
      <c r="L1055" s="36" t="s">
        <v>2776</v>
      </c>
      <c r="M1055" s="36" t="s">
        <v>2776</v>
      </c>
      <c r="N1055" s="36" t="s">
        <v>32</v>
      </c>
    </row>
    <row r="1056">
      <c r="A1056" s="36" t="s">
        <v>3579</v>
      </c>
      <c r="B1056" s="154" t="s">
        <v>3580</v>
      </c>
      <c r="C1056" s="36" t="s">
        <v>1653</v>
      </c>
      <c r="D1056" s="36" t="s">
        <v>55</v>
      </c>
      <c r="E1056" s="36" t="s">
        <v>39</v>
      </c>
      <c r="F1056" s="154" t="s">
        <v>3581</v>
      </c>
      <c r="G1056" s="36" t="s">
        <v>32</v>
      </c>
      <c r="H1056" s="36" t="s">
        <v>1655</v>
      </c>
      <c r="I1056" s="36" t="s">
        <v>1656</v>
      </c>
      <c r="J1056" s="36" t="s">
        <v>1656</v>
      </c>
      <c r="K1056" s="36" t="s">
        <v>1749</v>
      </c>
      <c r="L1056" s="36" t="s">
        <v>2771</v>
      </c>
      <c r="M1056" s="36" t="s">
        <v>2771</v>
      </c>
      <c r="N1056" s="36" t="s">
        <v>32</v>
      </c>
    </row>
    <row r="1057">
      <c r="A1057" s="36" t="s">
        <v>3582</v>
      </c>
      <c r="B1057" s="154" t="s">
        <v>3580</v>
      </c>
      <c r="C1057" s="36" t="s">
        <v>1666</v>
      </c>
      <c r="D1057" s="36" t="s">
        <v>71</v>
      </c>
      <c r="E1057" s="36" t="s">
        <v>71</v>
      </c>
      <c r="F1057" s="154" t="s">
        <v>2964</v>
      </c>
      <c r="G1057" s="36" t="s">
        <v>32</v>
      </c>
      <c r="H1057" s="36" t="s">
        <v>1655</v>
      </c>
      <c r="I1057" s="36" t="s">
        <v>1656</v>
      </c>
      <c r="J1057" s="36" t="s">
        <v>1656</v>
      </c>
      <c r="K1057" s="36" t="s">
        <v>1752</v>
      </c>
      <c r="L1057" s="36" t="s">
        <v>2776</v>
      </c>
      <c r="M1057" s="36" t="s">
        <v>2776</v>
      </c>
      <c r="N1057" s="36" t="s">
        <v>32</v>
      </c>
    </row>
    <row r="1058">
      <c r="A1058" s="36" t="s">
        <v>3583</v>
      </c>
      <c r="B1058" s="154" t="s">
        <v>3580</v>
      </c>
      <c r="C1058" s="36" t="s">
        <v>1666</v>
      </c>
      <c r="D1058" s="36" t="s">
        <v>73</v>
      </c>
      <c r="E1058" s="36" t="s">
        <v>73</v>
      </c>
      <c r="F1058" s="154" t="s">
        <v>2966</v>
      </c>
      <c r="G1058" s="36" t="s">
        <v>28</v>
      </c>
      <c r="H1058" s="36" t="s">
        <v>1655</v>
      </c>
      <c r="I1058" s="36" t="s">
        <v>1656</v>
      </c>
      <c r="J1058" s="36" t="s">
        <v>1656</v>
      </c>
      <c r="K1058" s="36" t="s">
        <v>1755</v>
      </c>
      <c r="L1058" s="36" t="s">
        <v>2776</v>
      </c>
      <c r="M1058" s="36" t="s">
        <v>2776</v>
      </c>
      <c r="N1058" s="36" t="s">
        <v>32</v>
      </c>
    </row>
    <row r="1059">
      <c r="A1059" s="36" t="s">
        <v>3584</v>
      </c>
      <c r="B1059" s="154" t="s">
        <v>3580</v>
      </c>
      <c r="C1059" s="36" t="s">
        <v>1666</v>
      </c>
      <c r="D1059" s="36" t="s">
        <v>74</v>
      </c>
      <c r="E1059" s="36" t="s">
        <v>74</v>
      </c>
      <c r="F1059" s="154" t="s">
        <v>2968</v>
      </c>
      <c r="G1059" s="36" t="s">
        <v>32</v>
      </c>
      <c r="H1059" s="36" t="s">
        <v>1655</v>
      </c>
      <c r="I1059" s="36" t="s">
        <v>1656</v>
      </c>
      <c r="J1059" s="36" t="s">
        <v>1656</v>
      </c>
      <c r="K1059" s="36" t="s">
        <v>1757</v>
      </c>
      <c r="L1059" s="36" t="s">
        <v>2776</v>
      </c>
      <c r="M1059" s="36" t="s">
        <v>2776</v>
      </c>
      <c r="N1059" s="36" t="s">
        <v>32</v>
      </c>
    </row>
    <row r="1060">
      <c r="A1060" s="36" t="s">
        <v>3585</v>
      </c>
      <c r="B1060" s="154" t="s">
        <v>3580</v>
      </c>
      <c r="C1060" s="36" t="s">
        <v>1666</v>
      </c>
      <c r="D1060" s="36" t="s">
        <v>75</v>
      </c>
      <c r="E1060" s="36" t="s">
        <v>75</v>
      </c>
      <c r="F1060" s="154" t="s">
        <v>2970</v>
      </c>
      <c r="G1060" s="36" t="s">
        <v>28</v>
      </c>
      <c r="H1060" s="36" t="s">
        <v>1655</v>
      </c>
      <c r="I1060" s="36" t="s">
        <v>1656</v>
      </c>
      <c r="J1060" s="36" t="s">
        <v>1656</v>
      </c>
      <c r="K1060" s="36" t="s">
        <v>1760</v>
      </c>
      <c r="L1060" s="36" t="s">
        <v>2776</v>
      </c>
      <c r="M1060" s="36" t="s">
        <v>2776</v>
      </c>
      <c r="N1060" s="36" t="s">
        <v>32</v>
      </c>
    </row>
    <row r="1061">
      <c r="A1061" s="36" t="s">
        <v>3586</v>
      </c>
      <c r="B1061" s="154" t="s">
        <v>3580</v>
      </c>
      <c r="C1061" s="36" t="s">
        <v>1666</v>
      </c>
      <c r="D1061" s="36" t="s">
        <v>76</v>
      </c>
      <c r="E1061" s="36" t="s">
        <v>76</v>
      </c>
      <c r="F1061" s="154" t="s">
        <v>3587</v>
      </c>
      <c r="G1061" s="36" t="s">
        <v>28</v>
      </c>
      <c r="H1061" s="36" t="s">
        <v>1655</v>
      </c>
      <c r="I1061" s="36" t="s">
        <v>1656</v>
      </c>
      <c r="J1061" s="36" t="s">
        <v>1656</v>
      </c>
      <c r="K1061" s="36" t="s">
        <v>1763</v>
      </c>
      <c r="L1061" s="36" t="s">
        <v>2776</v>
      </c>
      <c r="M1061" s="36" t="s">
        <v>2776</v>
      </c>
      <c r="N1061" s="36" t="s">
        <v>32</v>
      </c>
    </row>
    <row r="1062">
      <c r="A1062" s="36" t="s">
        <v>3588</v>
      </c>
      <c r="B1062" s="154" t="s">
        <v>3580</v>
      </c>
      <c r="C1062" s="36" t="s">
        <v>1666</v>
      </c>
      <c r="D1062" s="36" t="s">
        <v>919</v>
      </c>
      <c r="E1062" s="36" t="s">
        <v>919</v>
      </c>
      <c r="F1062" s="154" t="s">
        <v>3480</v>
      </c>
      <c r="G1062" s="36" t="s">
        <v>28</v>
      </c>
      <c r="H1062" s="36" t="s">
        <v>1655</v>
      </c>
      <c r="I1062" s="36" t="s">
        <v>1656</v>
      </c>
      <c r="J1062" s="36" t="s">
        <v>1656</v>
      </c>
      <c r="K1062" s="36" t="s">
        <v>1766</v>
      </c>
      <c r="L1062" s="36" t="s">
        <v>2776</v>
      </c>
      <c r="M1062" s="36" t="s">
        <v>2776</v>
      </c>
      <c r="N1062" s="36" t="s">
        <v>32</v>
      </c>
    </row>
    <row r="1063">
      <c r="A1063" s="36" t="s">
        <v>3589</v>
      </c>
      <c r="B1063" s="154" t="s">
        <v>3580</v>
      </c>
      <c r="C1063" s="36" t="s">
        <v>1666</v>
      </c>
      <c r="D1063" s="36" t="s">
        <v>77</v>
      </c>
      <c r="E1063" s="36" t="s">
        <v>77</v>
      </c>
      <c r="F1063" s="154" t="s">
        <v>1768</v>
      </c>
      <c r="G1063" s="36" t="s">
        <v>34</v>
      </c>
      <c r="H1063" s="36" t="s">
        <v>1655</v>
      </c>
      <c r="I1063" s="36" t="s">
        <v>1656</v>
      </c>
      <c r="J1063" s="36" t="s">
        <v>1656</v>
      </c>
      <c r="K1063" s="36" t="s">
        <v>1769</v>
      </c>
      <c r="L1063" s="36" t="s">
        <v>2776</v>
      </c>
      <c r="M1063" s="36" t="s">
        <v>2776</v>
      </c>
      <c r="N1063" s="36" t="s">
        <v>32</v>
      </c>
    </row>
    <row r="1064">
      <c r="A1064" s="36" t="s">
        <v>3590</v>
      </c>
      <c r="B1064" s="154" t="s">
        <v>3580</v>
      </c>
      <c r="C1064" s="36" t="s">
        <v>1666</v>
      </c>
      <c r="D1064" s="36" t="s">
        <v>837</v>
      </c>
      <c r="E1064" s="36" t="s">
        <v>837</v>
      </c>
      <c r="F1064" s="154" t="s">
        <v>3591</v>
      </c>
      <c r="G1064" s="36" t="s">
        <v>32</v>
      </c>
      <c r="H1064" s="36" t="s">
        <v>1655</v>
      </c>
      <c r="I1064" s="36" t="s">
        <v>1656</v>
      </c>
      <c r="J1064" s="36" t="s">
        <v>1656</v>
      </c>
      <c r="K1064" s="36" t="s">
        <v>1698</v>
      </c>
      <c r="L1064" s="36" t="s">
        <v>2776</v>
      </c>
      <c r="M1064" s="36" t="s">
        <v>2776</v>
      </c>
      <c r="N1064" s="36" t="s">
        <v>32</v>
      </c>
    </row>
    <row r="1065">
      <c r="A1065" s="36" t="s">
        <v>3592</v>
      </c>
      <c r="B1065" s="154" t="s">
        <v>3580</v>
      </c>
      <c r="C1065" s="36" t="s">
        <v>1666</v>
      </c>
      <c r="D1065" s="36" t="s">
        <v>843</v>
      </c>
      <c r="E1065" s="36" t="s">
        <v>843</v>
      </c>
      <c r="F1065" s="154" t="s">
        <v>3593</v>
      </c>
      <c r="G1065" s="36" t="s">
        <v>28</v>
      </c>
      <c r="H1065" s="36" t="s">
        <v>1655</v>
      </c>
      <c r="I1065" s="36" t="s">
        <v>1656</v>
      </c>
      <c r="J1065" s="36" t="s">
        <v>1656</v>
      </c>
      <c r="K1065" s="36" t="s">
        <v>1701</v>
      </c>
      <c r="L1065" s="36" t="s">
        <v>2776</v>
      </c>
      <c r="M1065" s="36" t="s">
        <v>2776</v>
      </c>
      <c r="N1065" s="36" t="s">
        <v>32</v>
      </c>
    </row>
    <row r="1066">
      <c r="A1066" s="36" t="s">
        <v>3594</v>
      </c>
      <c r="B1066" s="154" t="s">
        <v>3580</v>
      </c>
      <c r="C1066" s="36" t="s">
        <v>1666</v>
      </c>
      <c r="D1066" s="36" t="s">
        <v>1170</v>
      </c>
      <c r="E1066" s="36" t="s">
        <v>1170</v>
      </c>
      <c r="F1066" s="154" t="s">
        <v>3595</v>
      </c>
      <c r="G1066" s="36" t="s">
        <v>32</v>
      </c>
      <c r="H1066" s="36" t="s">
        <v>1655</v>
      </c>
      <c r="I1066" s="36" t="s">
        <v>1656</v>
      </c>
      <c r="J1066" s="36" t="s">
        <v>1656</v>
      </c>
      <c r="K1066" s="36" t="s">
        <v>1704</v>
      </c>
      <c r="L1066" s="36" t="s">
        <v>2776</v>
      </c>
      <c r="M1066" s="36" t="s">
        <v>2776</v>
      </c>
      <c r="N1066" s="36" t="s">
        <v>32</v>
      </c>
    </row>
    <row r="1067">
      <c r="A1067" s="36" t="s">
        <v>3596</v>
      </c>
      <c r="B1067" s="154" t="s">
        <v>3580</v>
      </c>
      <c r="C1067" s="36" t="s">
        <v>1666</v>
      </c>
      <c r="D1067" s="36" t="s">
        <v>1174</v>
      </c>
      <c r="E1067" s="36" t="s">
        <v>1174</v>
      </c>
      <c r="F1067" s="154" t="s">
        <v>3597</v>
      </c>
      <c r="G1067" s="36" t="s">
        <v>34</v>
      </c>
      <c r="H1067" s="36" t="s">
        <v>1655</v>
      </c>
      <c r="I1067" s="36" t="s">
        <v>1656</v>
      </c>
      <c r="J1067" s="36" t="s">
        <v>1656</v>
      </c>
      <c r="K1067" s="36" t="s">
        <v>1711</v>
      </c>
      <c r="L1067" s="36" t="s">
        <v>2776</v>
      </c>
      <c r="M1067" s="36" t="s">
        <v>2776</v>
      </c>
      <c r="N1067" s="36" t="s">
        <v>32</v>
      </c>
    </row>
    <row r="1068">
      <c r="A1068" s="36" t="s">
        <v>3598</v>
      </c>
      <c r="B1068" s="154" t="s">
        <v>3580</v>
      </c>
      <c r="C1068" s="36" t="s">
        <v>1666</v>
      </c>
      <c r="D1068" s="36" t="s">
        <v>1180</v>
      </c>
      <c r="E1068" s="36" t="s">
        <v>1180</v>
      </c>
      <c r="F1068" s="154" t="s">
        <v>3599</v>
      </c>
      <c r="G1068" s="36" t="s">
        <v>28</v>
      </c>
      <c r="H1068" s="36" t="s">
        <v>1655</v>
      </c>
      <c r="I1068" s="36" t="s">
        <v>1656</v>
      </c>
      <c r="J1068" s="36" t="s">
        <v>1656</v>
      </c>
      <c r="K1068" s="36" t="s">
        <v>1715</v>
      </c>
      <c r="L1068" s="36" t="s">
        <v>2776</v>
      </c>
      <c r="M1068" s="36" t="s">
        <v>2776</v>
      </c>
      <c r="N1068" s="36" t="s">
        <v>32</v>
      </c>
    </row>
    <row r="1069">
      <c r="A1069" s="36" t="s">
        <v>3600</v>
      </c>
      <c r="B1069" s="154" t="s">
        <v>3601</v>
      </c>
      <c r="C1069" s="36" t="s">
        <v>1666</v>
      </c>
      <c r="D1069" s="36" t="s">
        <v>1156</v>
      </c>
      <c r="E1069" s="36" t="s">
        <v>1156</v>
      </c>
      <c r="F1069" s="154" t="s">
        <v>3602</v>
      </c>
      <c r="G1069" s="36" t="s">
        <v>28</v>
      </c>
      <c r="H1069" s="36" t="s">
        <v>1655</v>
      </c>
      <c r="I1069" s="36" t="s">
        <v>1656</v>
      </c>
      <c r="J1069" s="36" t="s">
        <v>1656</v>
      </c>
      <c r="K1069" s="36" t="s">
        <v>1717</v>
      </c>
      <c r="L1069" s="36" t="s">
        <v>2776</v>
      </c>
      <c r="M1069" s="36" t="s">
        <v>2776</v>
      </c>
      <c r="N1069" s="36" t="s">
        <v>34</v>
      </c>
    </row>
    <row r="1070">
      <c r="A1070" s="36" t="s">
        <v>3603</v>
      </c>
      <c r="B1070" s="154" t="s">
        <v>3604</v>
      </c>
      <c r="C1070" s="36" t="s">
        <v>1666</v>
      </c>
      <c r="D1070" s="36" t="s">
        <v>1190</v>
      </c>
      <c r="E1070" s="36" t="s">
        <v>1190</v>
      </c>
      <c r="F1070" s="154" t="s">
        <v>1810</v>
      </c>
      <c r="G1070" s="36" t="s">
        <v>34</v>
      </c>
      <c r="H1070" s="36" t="s">
        <v>1655</v>
      </c>
      <c r="I1070" s="36" t="s">
        <v>1656</v>
      </c>
      <c r="J1070" s="36" t="s">
        <v>1656</v>
      </c>
      <c r="K1070" s="36" t="s">
        <v>1724</v>
      </c>
      <c r="L1070" s="36" t="s">
        <v>2776</v>
      </c>
      <c r="M1070" s="36" t="s">
        <v>2776</v>
      </c>
      <c r="N1070" s="36" t="s">
        <v>32</v>
      </c>
    </row>
    <row r="1071">
      <c r="A1071" s="36" t="s">
        <v>3605</v>
      </c>
      <c r="B1071" s="154" t="s">
        <v>3604</v>
      </c>
      <c r="C1071" s="36" t="s">
        <v>1666</v>
      </c>
      <c r="D1071" s="36" t="s">
        <v>1190</v>
      </c>
      <c r="E1071" s="36" t="s">
        <v>1190</v>
      </c>
      <c r="F1071" s="154" t="s">
        <v>1810</v>
      </c>
      <c r="G1071" s="36" t="s">
        <v>32</v>
      </c>
      <c r="H1071" s="36" t="s">
        <v>1655</v>
      </c>
      <c r="I1071" s="36" t="s">
        <v>1656</v>
      </c>
      <c r="J1071" s="36" t="s">
        <v>1656</v>
      </c>
      <c r="K1071" s="36" t="s">
        <v>1727</v>
      </c>
      <c r="L1071" s="36" t="s">
        <v>2776</v>
      </c>
      <c r="M1071" s="36" t="s">
        <v>2776</v>
      </c>
      <c r="N1071" s="36" t="s">
        <v>32</v>
      </c>
    </row>
    <row r="1072">
      <c r="A1072" s="36" t="s">
        <v>3606</v>
      </c>
      <c r="B1072" s="154" t="s">
        <v>3604</v>
      </c>
      <c r="C1072" s="36" t="s">
        <v>1666</v>
      </c>
      <c r="D1072" s="36" t="s">
        <v>978</v>
      </c>
      <c r="E1072" s="36" t="s">
        <v>978</v>
      </c>
      <c r="F1072" s="154" t="s">
        <v>1683</v>
      </c>
      <c r="G1072" s="36" t="s">
        <v>32</v>
      </c>
      <c r="H1072" s="36" t="s">
        <v>1655</v>
      </c>
      <c r="I1072" s="36" t="s">
        <v>1656</v>
      </c>
      <c r="J1072" s="36" t="s">
        <v>1656</v>
      </c>
      <c r="K1072" s="36" t="s">
        <v>1730</v>
      </c>
      <c r="L1072" s="36" t="s">
        <v>2776</v>
      </c>
      <c r="M1072" s="36" t="s">
        <v>2776</v>
      </c>
      <c r="N1072" s="36" t="s">
        <v>32</v>
      </c>
    </row>
    <row r="1073">
      <c r="A1073" s="36" t="s">
        <v>3607</v>
      </c>
      <c r="B1073" s="154" t="s">
        <v>3604</v>
      </c>
      <c r="C1073" s="36" t="s">
        <v>1666</v>
      </c>
      <c r="D1073" s="36" t="s">
        <v>299</v>
      </c>
      <c r="E1073" s="36" t="s">
        <v>299</v>
      </c>
      <c r="F1073" s="154" t="s">
        <v>1832</v>
      </c>
      <c r="G1073" s="36" t="s">
        <v>28</v>
      </c>
      <c r="H1073" s="36" t="s">
        <v>1655</v>
      </c>
      <c r="I1073" s="36" t="s">
        <v>1656</v>
      </c>
      <c r="J1073" s="36" t="s">
        <v>1656</v>
      </c>
      <c r="K1073" s="36" t="s">
        <v>1732</v>
      </c>
      <c r="L1073" s="36" t="s">
        <v>2776</v>
      </c>
      <c r="M1073" s="36" t="s">
        <v>2776</v>
      </c>
      <c r="N1073" s="36" t="s">
        <v>34</v>
      </c>
    </row>
    <row r="1074">
      <c r="A1074" s="36" t="s">
        <v>3608</v>
      </c>
      <c r="B1074" s="154" t="s">
        <v>3604</v>
      </c>
      <c r="C1074" s="36" t="s">
        <v>1666</v>
      </c>
      <c r="D1074" s="36" t="s">
        <v>1212</v>
      </c>
      <c r="E1074" s="36" t="s">
        <v>1212</v>
      </c>
      <c r="F1074" s="154" t="s">
        <v>1926</v>
      </c>
      <c r="G1074" s="36" t="s">
        <v>28</v>
      </c>
      <c r="H1074" s="36" t="s">
        <v>1655</v>
      </c>
      <c r="I1074" s="36" t="s">
        <v>1656</v>
      </c>
      <c r="J1074" s="36" t="s">
        <v>1656</v>
      </c>
      <c r="K1074" s="36" t="s">
        <v>1736</v>
      </c>
      <c r="L1074" s="36" t="s">
        <v>2776</v>
      </c>
      <c r="M1074" s="36" t="s">
        <v>2776</v>
      </c>
      <c r="N1074" s="36" t="s">
        <v>34</v>
      </c>
    </row>
    <row r="1075">
      <c r="A1075" s="36" t="s">
        <v>3609</v>
      </c>
      <c r="B1075" s="154" t="s">
        <v>3604</v>
      </c>
      <c r="C1075" s="36" t="s">
        <v>1666</v>
      </c>
      <c r="D1075" s="36" t="s">
        <v>295</v>
      </c>
      <c r="E1075" s="36" t="s">
        <v>295</v>
      </c>
      <c r="F1075" s="154" t="s">
        <v>1799</v>
      </c>
      <c r="G1075" s="36" t="s">
        <v>28</v>
      </c>
      <c r="H1075" s="36" t="s">
        <v>1655</v>
      </c>
      <c r="I1075" s="36" t="s">
        <v>1656</v>
      </c>
      <c r="J1075" s="36" t="s">
        <v>1656</v>
      </c>
      <c r="K1075" s="36" t="s">
        <v>1739</v>
      </c>
      <c r="L1075" s="36" t="s">
        <v>2776</v>
      </c>
      <c r="M1075" s="36" t="s">
        <v>2776</v>
      </c>
      <c r="N1075" s="36" t="s">
        <v>34</v>
      </c>
    </row>
    <row r="1076">
      <c r="A1076" s="36" t="s">
        <v>3610</v>
      </c>
      <c r="B1076" s="154" t="s">
        <v>3604</v>
      </c>
      <c r="C1076" s="36" t="s">
        <v>1666</v>
      </c>
      <c r="D1076" s="36" t="s">
        <v>1220</v>
      </c>
      <c r="E1076" s="36" t="s">
        <v>1220</v>
      </c>
      <c r="F1076" s="154" t="s">
        <v>3611</v>
      </c>
      <c r="G1076" s="36" t="s">
        <v>28</v>
      </c>
      <c r="H1076" s="36" t="s">
        <v>1655</v>
      </c>
      <c r="I1076" s="36" t="s">
        <v>1656</v>
      </c>
      <c r="J1076" s="36" t="s">
        <v>1656</v>
      </c>
      <c r="K1076" s="36" t="s">
        <v>1742</v>
      </c>
      <c r="L1076" s="36" t="s">
        <v>2776</v>
      </c>
      <c r="M1076" s="36" t="s">
        <v>2776</v>
      </c>
      <c r="N1076" s="36" t="s">
        <v>34</v>
      </c>
    </row>
    <row r="1077">
      <c r="A1077" s="36" t="s">
        <v>3612</v>
      </c>
      <c r="B1077" s="154" t="s">
        <v>3613</v>
      </c>
      <c r="C1077" s="36" t="s">
        <v>1653</v>
      </c>
      <c r="D1077" s="36" t="s">
        <v>1106</v>
      </c>
      <c r="E1077" s="36" t="s">
        <v>39</v>
      </c>
      <c r="F1077" s="154" t="s">
        <v>2029</v>
      </c>
      <c r="G1077" s="36" t="s">
        <v>32</v>
      </c>
      <c r="H1077" s="36" t="s">
        <v>1655</v>
      </c>
      <c r="I1077" s="36" t="s">
        <v>1656</v>
      </c>
      <c r="J1077" s="36" t="s">
        <v>1656</v>
      </c>
      <c r="K1077" s="36" t="s">
        <v>1978</v>
      </c>
      <c r="L1077" s="36" t="s">
        <v>2771</v>
      </c>
      <c r="M1077" s="36" t="s">
        <v>2771</v>
      </c>
      <c r="N1077" s="36" t="s">
        <v>32</v>
      </c>
    </row>
    <row r="1078">
      <c r="A1078" s="36" t="s">
        <v>3614</v>
      </c>
      <c r="B1078" s="154" t="s">
        <v>3615</v>
      </c>
      <c r="C1078" s="36" t="s">
        <v>1666</v>
      </c>
      <c r="D1078" s="36" t="s">
        <v>78</v>
      </c>
      <c r="E1078" s="36" t="s">
        <v>78</v>
      </c>
      <c r="F1078" s="154" t="s">
        <v>1810</v>
      </c>
      <c r="G1078" s="36" t="s">
        <v>28</v>
      </c>
      <c r="H1078" s="36" t="s">
        <v>1655</v>
      </c>
      <c r="I1078" s="36" t="s">
        <v>1656</v>
      </c>
      <c r="J1078" s="36" t="s">
        <v>1656</v>
      </c>
      <c r="K1078" s="36" t="s">
        <v>1811</v>
      </c>
      <c r="L1078" s="36" t="s">
        <v>2776</v>
      </c>
      <c r="M1078" s="36" t="s">
        <v>2776</v>
      </c>
      <c r="N1078" s="36" t="s">
        <v>32</v>
      </c>
    </row>
    <row r="1079">
      <c r="A1079" s="36" t="s">
        <v>3616</v>
      </c>
      <c r="B1079" s="154" t="s">
        <v>3617</v>
      </c>
      <c r="C1079" s="36" t="s">
        <v>1666</v>
      </c>
      <c r="D1079" s="36" t="s">
        <v>1046</v>
      </c>
      <c r="E1079" s="36" t="s">
        <v>1046</v>
      </c>
      <c r="F1079" s="154" t="s">
        <v>2079</v>
      </c>
      <c r="G1079" s="36" t="s">
        <v>32</v>
      </c>
      <c r="H1079" s="36" t="s">
        <v>1655</v>
      </c>
      <c r="I1079" s="36" t="s">
        <v>1656</v>
      </c>
      <c r="J1079" s="36" t="s">
        <v>1656</v>
      </c>
      <c r="K1079" s="36" t="s">
        <v>1745</v>
      </c>
      <c r="L1079" s="36" t="s">
        <v>2776</v>
      </c>
      <c r="M1079" s="36" t="s">
        <v>2776</v>
      </c>
      <c r="N1079" s="36" t="s">
        <v>32</v>
      </c>
    </row>
    <row r="1080">
      <c r="A1080" s="36" t="s">
        <v>3618</v>
      </c>
      <c r="B1080" s="154" t="s">
        <v>3617</v>
      </c>
      <c r="C1080" s="36" t="s">
        <v>1666</v>
      </c>
      <c r="D1080" s="36" t="s">
        <v>1232</v>
      </c>
      <c r="E1080" s="36" t="s">
        <v>1232</v>
      </c>
      <c r="F1080" s="154" t="s">
        <v>1810</v>
      </c>
      <c r="G1080" s="36" t="s">
        <v>32</v>
      </c>
      <c r="H1080" s="36" t="s">
        <v>1655</v>
      </c>
      <c r="I1080" s="36" t="s">
        <v>1656</v>
      </c>
      <c r="J1080" s="36" t="s">
        <v>1656</v>
      </c>
      <c r="K1080" s="36" t="s">
        <v>1773</v>
      </c>
      <c r="L1080" s="36" t="s">
        <v>2776</v>
      </c>
      <c r="M1080" s="36" t="s">
        <v>2776</v>
      </c>
      <c r="N1080" s="36" t="s">
        <v>32</v>
      </c>
    </row>
    <row r="1081">
      <c r="A1081" s="36" t="s">
        <v>3619</v>
      </c>
      <c r="B1081" s="154" t="s">
        <v>3617</v>
      </c>
      <c r="C1081" s="36" t="s">
        <v>1666</v>
      </c>
      <c r="D1081" s="36" t="s">
        <v>209</v>
      </c>
      <c r="E1081" s="36" t="s">
        <v>209</v>
      </c>
      <c r="F1081" s="154" t="s">
        <v>3620</v>
      </c>
      <c r="G1081" s="36" t="s">
        <v>28</v>
      </c>
      <c r="H1081" s="36" t="s">
        <v>1655</v>
      </c>
      <c r="I1081" s="36" t="s">
        <v>1656</v>
      </c>
      <c r="J1081" s="36" t="s">
        <v>1656</v>
      </c>
      <c r="K1081" s="36" t="s">
        <v>1776</v>
      </c>
      <c r="L1081" s="36" t="s">
        <v>2776</v>
      </c>
      <c r="M1081" s="36" t="s">
        <v>2776</v>
      </c>
      <c r="N1081" s="36" t="s">
        <v>34</v>
      </c>
    </row>
    <row r="1082">
      <c r="A1082" s="36" t="s">
        <v>3621</v>
      </c>
      <c r="B1082" s="154" t="s">
        <v>3617</v>
      </c>
      <c r="C1082" s="36" t="s">
        <v>1666</v>
      </c>
      <c r="D1082" s="36" t="s">
        <v>486</v>
      </c>
      <c r="E1082" s="36" t="s">
        <v>486</v>
      </c>
      <c r="F1082" s="154" t="s">
        <v>3622</v>
      </c>
      <c r="G1082" s="36" t="s">
        <v>28</v>
      </c>
      <c r="H1082" s="36" t="s">
        <v>1655</v>
      </c>
      <c r="I1082" s="36" t="s">
        <v>1656</v>
      </c>
      <c r="J1082" s="36" t="s">
        <v>1656</v>
      </c>
      <c r="K1082" s="36" t="s">
        <v>1779</v>
      </c>
      <c r="L1082" s="36" t="s">
        <v>2776</v>
      </c>
      <c r="M1082" s="36" t="s">
        <v>2776</v>
      </c>
      <c r="N1082" s="36" t="s">
        <v>34</v>
      </c>
    </row>
    <row r="1083">
      <c r="A1083" s="36" t="s">
        <v>3623</v>
      </c>
      <c r="B1083" s="154" t="s">
        <v>3617</v>
      </c>
      <c r="C1083" s="36" t="s">
        <v>1666</v>
      </c>
      <c r="D1083" s="36" t="s">
        <v>1246</v>
      </c>
      <c r="E1083" s="36" t="s">
        <v>1246</v>
      </c>
      <c r="F1083" s="154" t="s">
        <v>3624</v>
      </c>
      <c r="G1083" s="36" t="s">
        <v>28</v>
      </c>
      <c r="H1083" s="36" t="s">
        <v>1655</v>
      </c>
      <c r="I1083" s="36" t="s">
        <v>1656</v>
      </c>
      <c r="J1083" s="36" t="s">
        <v>1656</v>
      </c>
      <c r="K1083" s="36" t="s">
        <v>1782</v>
      </c>
      <c r="L1083" s="36" t="s">
        <v>2776</v>
      </c>
      <c r="M1083" s="36" t="s">
        <v>2776</v>
      </c>
      <c r="N1083" s="36" t="s">
        <v>34</v>
      </c>
    </row>
    <row r="1084">
      <c r="A1084" s="36" t="s">
        <v>3625</v>
      </c>
      <c r="B1084" s="154" t="s">
        <v>3626</v>
      </c>
      <c r="C1084" s="36" t="s">
        <v>1666</v>
      </c>
      <c r="D1084" s="36" t="s">
        <v>545</v>
      </c>
      <c r="E1084" s="36" t="s">
        <v>545</v>
      </c>
      <c r="F1084" s="154" t="s">
        <v>1810</v>
      </c>
      <c r="G1084" s="36" t="s">
        <v>32</v>
      </c>
      <c r="H1084" s="36" t="s">
        <v>1655</v>
      </c>
      <c r="I1084" s="36" t="s">
        <v>1656</v>
      </c>
      <c r="J1084" s="36" t="s">
        <v>1656</v>
      </c>
      <c r="K1084" s="36" t="s">
        <v>1784</v>
      </c>
      <c r="L1084" s="36" t="s">
        <v>2776</v>
      </c>
      <c r="M1084" s="36" t="s">
        <v>2776</v>
      </c>
      <c r="N1084" s="36" t="s">
        <v>32</v>
      </c>
    </row>
    <row r="1085">
      <c r="A1085" s="36" t="s">
        <v>3627</v>
      </c>
      <c r="B1085" s="154" t="s">
        <v>3626</v>
      </c>
      <c r="C1085" s="36" t="s">
        <v>1666</v>
      </c>
      <c r="D1085" s="36" t="s">
        <v>214</v>
      </c>
      <c r="E1085" s="36" t="s">
        <v>214</v>
      </c>
      <c r="F1085" s="154" t="s">
        <v>3628</v>
      </c>
      <c r="G1085" s="36" t="s">
        <v>28</v>
      </c>
      <c r="H1085" s="36" t="s">
        <v>1655</v>
      </c>
      <c r="I1085" s="36" t="s">
        <v>1656</v>
      </c>
      <c r="J1085" s="36" t="s">
        <v>1656</v>
      </c>
      <c r="K1085" s="36" t="s">
        <v>1787</v>
      </c>
      <c r="L1085" s="36" t="s">
        <v>2776</v>
      </c>
      <c r="M1085" s="36" t="s">
        <v>2776</v>
      </c>
      <c r="N1085" s="36" t="s">
        <v>34</v>
      </c>
    </row>
    <row r="1086">
      <c r="A1086" s="36" t="s">
        <v>3629</v>
      </c>
      <c r="B1086" s="154" t="s">
        <v>3630</v>
      </c>
      <c r="C1086" s="36" t="s">
        <v>1666</v>
      </c>
      <c r="D1086" s="36" t="s">
        <v>1263</v>
      </c>
      <c r="E1086" s="36" t="s">
        <v>1263</v>
      </c>
      <c r="F1086" s="154" t="s">
        <v>3631</v>
      </c>
      <c r="G1086" s="36" t="s">
        <v>28</v>
      </c>
      <c r="H1086" s="36" t="s">
        <v>1655</v>
      </c>
      <c r="I1086" s="36" t="s">
        <v>1656</v>
      </c>
      <c r="J1086" s="36" t="s">
        <v>1656</v>
      </c>
      <c r="K1086" s="36" t="s">
        <v>1790</v>
      </c>
      <c r="L1086" s="36" t="s">
        <v>2776</v>
      </c>
      <c r="M1086" s="36" t="s">
        <v>2776</v>
      </c>
      <c r="N1086" s="36" t="s">
        <v>34</v>
      </c>
    </row>
    <row r="1087">
      <c r="A1087" s="36" t="s">
        <v>3632</v>
      </c>
      <c r="B1087" s="154" t="s">
        <v>3630</v>
      </c>
      <c r="C1087" s="36" t="s">
        <v>1666</v>
      </c>
      <c r="D1087" s="36" t="s">
        <v>967</v>
      </c>
      <c r="E1087" s="36" t="s">
        <v>967</v>
      </c>
      <c r="F1087" s="154" t="s">
        <v>2079</v>
      </c>
      <c r="G1087" s="36" t="s">
        <v>28</v>
      </c>
      <c r="H1087" s="36" t="s">
        <v>1655</v>
      </c>
      <c r="I1087" s="36" t="s">
        <v>1656</v>
      </c>
      <c r="J1087" s="36" t="s">
        <v>1656</v>
      </c>
      <c r="K1087" s="36" t="s">
        <v>1793</v>
      </c>
      <c r="L1087" s="36" t="s">
        <v>2776</v>
      </c>
      <c r="M1087" s="36" t="s">
        <v>2776</v>
      </c>
      <c r="N1087" s="36" t="s">
        <v>34</v>
      </c>
    </row>
    <row r="1088">
      <c r="A1088" s="36" t="s">
        <v>3633</v>
      </c>
      <c r="B1088" s="154" t="s">
        <v>3630</v>
      </c>
      <c r="C1088" s="36" t="s">
        <v>1666</v>
      </c>
      <c r="D1088" s="36" t="s">
        <v>582</v>
      </c>
      <c r="E1088" s="36" t="s">
        <v>582</v>
      </c>
      <c r="F1088" s="154" t="s">
        <v>2021</v>
      </c>
      <c r="G1088" s="36" t="s">
        <v>28</v>
      </c>
      <c r="H1088" s="36" t="s">
        <v>1655</v>
      </c>
      <c r="I1088" s="36" t="s">
        <v>1656</v>
      </c>
      <c r="J1088" s="36" t="s">
        <v>1656</v>
      </c>
      <c r="K1088" s="36" t="s">
        <v>1796</v>
      </c>
      <c r="L1088" s="36" t="s">
        <v>2776</v>
      </c>
      <c r="M1088" s="36" t="s">
        <v>2776</v>
      </c>
      <c r="N1088" s="36" t="s">
        <v>34</v>
      </c>
    </row>
    <row r="1089">
      <c r="A1089" s="36" t="s">
        <v>3634</v>
      </c>
      <c r="B1089" s="154" t="s">
        <v>3635</v>
      </c>
      <c r="C1089" s="36" t="s">
        <v>1666</v>
      </c>
      <c r="D1089" s="36" t="s">
        <v>582</v>
      </c>
      <c r="E1089" s="36" t="s">
        <v>582</v>
      </c>
      <c r="F1089" s="154" t="s">
        <v>1929</v>
      </c>
      <c r="G1089" s="36" t="s">
        <v>28</v>
      </c>
      <c r="H1089" s="36" t="s">
        <v>1655</v>
      </c>
      <c r="I1089" s="36" t="s">
        <v>1656</v>
      </c>
      <c r="J1089" s="36" t="s">
        <v>1656</v>
      </c>
      <c r="K1089" s="36" t="s">
        <v>1800</v>
      </c>
      <c r="L1089" s="36" t="s">
        <v>2776</v>
      </c>
      <c r="M1089" s="36" t="s">
        <v>2776</v>
      </c>
      <c r="N1089" s="36" t="s">
        <v>34</v>
      </c>
    </row>
    <row r="1090">
      <c r="A1090" s="36" t="s">
        <v>3636</v>
      </c>
      <c r="B1090" s="154" t="s">
        <v>3635</v>
      </c>
      <c r="C1090" s="36" t="s">
        <v>1666</v>
      </c>
      <c r="D1090" s="36" t="s">
        <v>329</v>
      </c>
      <c r="E1090" s="36" t="s">
        <v>329</v>
      </c>
      <c r="F1090" s="154" t="s">
        <v>1832</v>
      </c>
      <c r="G1090" s="36" t="s">
        <v>28</v>
      </c>
      <c r="H1090" s="36" t="s">
        <v>1655</v>
      </c>
      <c r="I1090" s="36" t="s">
        <v>1656</v>
      </c>
      <c r="J1090" s="36" t="s">
        <v>1656</v>
      </c>
      <c r="K1090" s="36" t="s">
        <v>1803</v>
      </c>
      <c r="L1090" s="36" t="s">
        <v>2776</v>
      </c>
      <c r="M1090" s="36" t="s">
        <v>2776</v>
      </c>
      <c r="N1090" s="36" t="s">
        <v>34</v>
      </c>
    </row>
    <row r="1091">
      <c r="A1091" s="36" t="s">
        <v>3637</v>
      </c>
      <c r="B1091" s="154" t="s">
        <v>3635</v>
      </c>
      <c r="C1091" s="36" t="s">
        <v>1666</v>
      </c>
      <c r="D1091" s="36" t="s">
        <v>1284</v>
      </c>
      <c r="E1091" s="36" t="s">
        <v>1284</v>
      </c>
      <c r="F1091" s="154" t="s">
        <v>1729</v>
      </c>
      <c r="G1091" s="36" t="s">
        <v>28</v>
      </c>
      <c r="H1091" s="36" t="s">
        <v>1655</v>
      </c>
      <c r="I1091" s="36" t="s">
        <v>1656</v>
      </c>
      <c r="J1091" s="36" t="s">
        <v>1656</v>
      </c>
      <c r="K1091" s="36" t="s">
        <v>1807</v>
      </c>
      <c r="L1091" s="36" t="s">
        <v>2776</v>
      </c>
      <c r="M1091" s="36" t="s">
        <v>2776</v>
      </c>
      <c r="N1091" s="36" t="s">
        <v>34</v>
      </c>
    </row>
    <row r="1092">
      <c r="A1092" s="36" t="s">
        <v>3638</v>
      </c>
      <c r="B1092" s="154" t="s">
        <v>3635</v>
      </c>
      <c r="C1092" s="36" t="s">
        <v>1666</v>
      </c>
      <c r="D1092" s="36" t="s">
        <v>1290</v>
      </c>
      <c r="E1092" s="36" t="s">
        <v>1290</v>
      </c>
      <c r="F1092" s="154" t="s">
        <v>3639</v>
      </c>
      <c r="G1092" s="36" t="s">
        <v>28</v>
      </c>
      <c r="H1092" s="36" t="s">
        <v>1655</v>
      </c>
      <c r="I1092" s="36" t="s">
        <v>1656</v>
      </c>
      <c r="J1092" s="36" t="s">
        <v>1656</v>
      </c>
      <c r="K1092" s="36" t="s">
        <v>1814</v>
      </c>
      <c r="L1092" s="36" t="s">
        <v>2776</v>
      </c>
      <c r="M1092" s="36" t="s">
        <v>2776</v>
      </c>
      <c r="N1092" s="36" t="s">
        <v>34</v>
      </c>
    </row>
    <row r="1093">
      <c r="A1093" s="36" t="s">
        <v>3640</v>
      </c>
      <c r="B1093" s="154" t="s">
        <v>3635</v>
      </c>
      <c r="C1093" s="36" t="s">
        <v>1666</v>
      </c>
      <c r="D1093" s="36" t="s">
        <v>295</v>
      </c>
      <c r="E1093" s="36" t="s">
        <v>295</v>
      </c>
      <c r="F1093" s="154" t="s">
        <v>1729</v>
      </c>
      <c r="G1093" s="36" t="s">
        <v>28</v>
      </c>
      <c r="H1093" s="36" t="s">
        <v>1655</v>
      </c>
      <c r="I1093" s="36" t="s">
        <v>1656</v>
      </c>
      <c r="J1093" s="36" t="s">
        <v>1656</v>
      </c>
      <c r="K1093" s="36" t="s">
        <v>1817</v>
      </c>
      <c r="L1093" s="36" t="s">
        <v>2776</v>
      </c>
      <c r="M1093" s="36" t="s">
        <v>2776</v>
      </c>
      <c r="N1093" s="36" t="s">
        <v>34</v>
      </c>
    </row>
    <row r="1094">
      <c r="A1094" s="36" t="s">
        <v>3641</v>
      </c>
      <c r="B1094" s="154" t="s">
        <v>3642</v>
      </c>
      <c r="C1094" s="36" t="s">
        <v>1666</v>
      </c>
      <c r="D1094" s="36" t="s">
        <v>1301</v>
      </c>
      <c r="E1094" s="36" t="s">
        <v>1301</v>
      </c>
      <c r="F1094" s="154" t="s">
        <v>3643</v>
      </c>
      <c r="G1094" s="36" t="s">
        <v>28</v>
      </c>
      <c r="H1094" s="36" t="s">
        <v>1655</v>
      </c>
      <c r="I1094" s="36" t="s">
        <v>1656</v>
      </c>
      <c r="J1094" s="36" t="s">
        <v>1656</v>
      </c>
      <c r="K1094" s="36" t="s">
        <v>1820</v>
      </c>
      <c r="L1094" s="36" t="s">
        <v>2776</v>
      </c>
      <c r="M1094" s="36" t="s">
        <v>2776</v>
      </c>
      <c r="N1094" s="36" t="s">
        <v>32</v>
      </c>
    </row>
    <row r="1095">
      <c r="A1095" s="36" t="s">
        <v>3644</v>
      </c>
      <c r="B1095" s="154" t="s">
        <v>3642</v>
      </c>
      <c r="C1095" s="36" t="s">
        <v>1666</v>
      </c>
      <c r="D1095" s="36" t="s">
        <v>1306</v>
      </c>
      <c r="E1095" s="36" t="s">
        <v>1306</v>
      </c>
      <c r="F1095" s="154" t="s">
        <v>1874</v>
      </c>
      <c r="G1095" s="36" t="s">
        <v>32</v>
      </c>
      <c r="H1095" s="36" t="s">
        <v>1655</v>
      </c>
      <c r="I1095" s="36" t="s">
        <v>1656</v>
      </c>
      <c r="J1095" s="36" t="s">
        <v>1656</v>
      </c>
      <c r="K1095" s="36" t="s">
        <v>1823</v>
      </c>
      <c r="L1095" s="36" t="s">
        <v>2776</v>
      </c>
      <c r="M1095" s="36" t="s">
        <v>2776</v>
      </c>
      <c r="N1095" s="36" t="s">
        <v>32</v>
      </c>
    </row>
    <row r="1096">
      <c r="A1096" s="36" t="s">
        <v>3645</v>
      </c>
      <c r="B1096" s="154" t="s">
        <v>3642</v>
      </c>
      <c r="C1096" s="36" t="s">
        <v>1666</v>
      </c>
      <c r="D1096" s="36" t="s">
        <v>313</v>
      </c>
      <c r="E1096" s="36" t="s">
        <v>313</v>
      </c>
      <c r="F1096" s="154" t="s">
        <v>1799</v>
      </c>
      <c r="G1096" s="36" t="s">
        <v>32</v>
      </c>
      <c r="H1096" s="36" t="s">
        <v>1655</v>
      </c>
      <c r="I1096" s="36" t="s">
        <v>1656</v>
      </c>
      <c r="J1096" s="36" t="s">
        <v>1656</v>
      </c>
      <c r="K1096" s="36" t="s">
        <v>1826</v>
      </c>
      <c r="L1096" s="36" t="s">
        <v>2776</v>
      </c>
      <c r="M1096" s="36" t="s">
        <v>2776</v>
      </c>
      <c r="N1096" s="36" t="s">
        <v>32</v>
      </c>
    </row>
    <row r="1097">
      <c r="A1097" s="36" t="s">
        <v>3646</v>
      </c>
      <c r="B1097" s="154" t="s">
        <v>3647</v>
      </c>
      <c r="C1097" s="36" t="s">
        <v>1666</v>
      </c>
      <c r="D1097" s="36" t="s">
        <v>1318</v>
      </c>
      <c r="E1097" s="36" t="s">
        <v>1318</v>
      </c>
      <c r="F1097" s="154" t="s">
        <v>2719</v>
      </c>
      <c r="G1097" s="36" t="s">
        <v>28</v>
      </c>
      <c r="H1097" s="36" t="s">
        <v>1655</v>
      </c>
      <c r="I1097" s="36" t="s">
        <v>1656</v>
      </c>
      <c r="J1097" s="36" t="s">
        <v>1656</v>
      </c>
      <c r="K1097" s="36" t="s">
        <v>1830</v>
      </c>
      <c r="L1097" s="36" t="s">
        <v>2776</v>
      </c>
      <c r="M1097" s="36" t="s">
        <v>2776</v>
      </c>
      <c r="N1097" s="36" t="s">
        <v>32</v>
      </c>
    </row>
    <row r="1098">
      <c r="A1098" s="36" t="s">
        <v>3648</v>
      </c>
      <c r="B1098" s="154" t="s">
        <v>3649</v>
      </c>
      <c r="C1098" s="36" t="s">
        <v>1666</v>
      </c>
      <c r="D1098" s="36" t="s">
        <v>714</v>
      </c>
      <c r="E1098" s="36" t="s">
        <v>714</v>
      </c>
      <c r="F1098" s="154" t="s">
        <v>2867</v>
      </c>
      <c r="G1098" s="36" t="s">
        <v>32</v>
      </c>
      <c r="H1098" s="36" t="s">
        <v>1655</v>
      </c>
      <c r="I1098" s="36" t="s">
        <v>1656</v>
      </c>
      <c r="J1098" s="36" t="s">
        <v>1656</v>
      </c>
      <c r="K1098" s="36" t="s">
        <v>1891</v>
      </c>
      <c r="L1098" s="36" t="s">
        <v>2776</v>
      </c>
      <c r="M1098" s="36" t="s">
        <v>2776</v>
      </c>
      <c r="N1098" s="36" t="s">
        <v>32</v>
      </c>
    </row>
    <row r="1099">
      <c r="A1099" s="36" t="s">
        <v>3650</v>
      </c>
      <c r="B1099" s="154" t="s">
        <v>3649</v>
      </c>
      <c r="C1099" s="36" t="s">
        <v>1666</v>
      </c>
      <c r="D1099" s="36" t="s">
        <v>545</v>
      </c>
      <c r="E1099" s="36" t="s">
        <v>545</v>
      </c>
      <c r="F1099" s="154" t="s">
        <v>1768</v>
      </c>
      <c r="G1099" s="36" t="s">
        <v>32</v>
      </c>
      <c r="H1099" s="36" t="s">
        <v>1655</v>
      </c>
      <c r="I1099" s="36" t="s">
        <v>1656</v>
      </c>
      <c r="J1099" s="36" t="s">
        <v>1656</v>
      </c>
      <c r="K1099" s="36" t="s">
        <v>1833</v>
      </c>
      <c r="L1099" s="36" t="s">
        <v>2776</v>
      </c>
      <c r="M1099" s="36" t="s">
        <v>2776</v>
      </c>
      <c r="N1099" s="36" t="s">
        <v>32</v>
      </c>
    </row>
    <row r="1100">
      <c r="A1100" s="36" t="s">
        <v>3651</v>
      </c>
      <c r="B1100" s="154" t="s">
        <v>3649</v>
      </c>
      <c r="C1100" s="36" t="s">
        <v>1666</v>
      </c>
      <c r="D1100" s="36" t="s">
        <v>109</v>
      </c>
      <c r="E1100" s="36" t="s">
        <v>109</v>
      </c>
      <c r="F1100" s="154" t="s">
        <v>2163</v>
      </c>
      <c r="G1100" s="36" t="s">
        <v>28</v>
      </c>
      <c r="H1100" s="36" t="s">
        <v>1655</v>
      </c>
      <c r="I1100" s="36" t="s">
        <v>1656</v>
      </c>
      <c r="J1100" s="36" t="s">
        <v>1656</v>
      </c>
      <c r="K1100" s="36" t="s">
        <v>1836</v>
      </c>
      <c r="L1100" s="36" t="s">
        <v>2776</v>
      </c>
      <c r="M1100" s="36" t="s">
        <v>2776</v>
      </c>
      <c r="N1100" s="36" t="s">
        <v>34</v>
      </c>
    </row>
    <row r="1101">
      <c r="A1101" s="36" t="s">
        <v>3652</v>
      </c>
      <c r="B1101" s="154" t="s">
        <v>3649</v>
      </c>
      <c r="C1101" s="36" t="s">
        <v>1666</v>
      </c>
      <c r="D1101" s="36" t="s">
        <v>582</v>
      </c>
      <c r="E1101" s="36" t="s">
        <v>582</v>
      </c>
      <c r="F1101" s="154" t="s">
        <v>2085</v>
      </c>
      <c r="G1101" s="36" t="s">
        <v>28</v>
      </c>
      <c r="H1101" s="36" t="s">
        <v>1655</v>
      </c>
      <c r="I1101" s="36" t="s">
        <v>1656</v>
      </c>
      <c r="J1101" s="36" t="s">
        <v>1656</v>
      </c>
      <c r="K1101" s="36" t="s">
        <v>1839</v>
      </c>
      <c r="L1101" s="36" t="s">
        <v>2776</v>
      </c>
      <c r="M1101" s="36" t="s">
        <v>2776</v>
      </c>
      <c r="N1101" s="36" t="s">
        <v>34</v>
      </c>
    </row>
    <row r="1102">
      <c r="A1102" s="36" t="s">
        <v>3653</v>
      </c>
      <c r="B1102" s="154" t="s">
        <v>3654</v>
      </c>
      <c r="C1102" s="36" t="s">
        <v>1666</v>
      </c>
      <c r="D1102" s="36" t="s">
        <v>209</v>
      </c>
      <c r="E1102" s="36" t="s">
        <v>209</v>
      </c>
      <c r="F1102" s="154" t="s">
        <v>2006</v>
      </c>
      <c r="G1102" s="36" t="s">
        <v>28</v>
      </c>
      <c r="H1102" s="36" t="s">
        <v>1655</v>
      </c>
      <c r="I1102" s="36" t="s">
        <v>1656</v>
      </c>
      <c r="J1102" s="36" t="s">
        <v>1656</v>
      </c>
      <c r="K1102" s="36" t="s">
        <v>1842</v>
      </c>
      <c r="L1102" s="36" t="s">
        <v>2776</v>
      </c>
      <c r="M1102" s="36" t="s">
        <v>2776</v>
      </c>
      <c r="N1102" s="36" t="s">
        <v>34</v>
      </c>
    </row>
    <row r="1103">
      <c r="A1103" s="36" t="s">
        <v>3655</v>
      </c>
      <c r="B1103" s="154" t="s">
        <v>3654</v>
      </c>
      <c r="C1103" s="36" t="s">
        <v>1666</v>
      </c>
      <c r="D1103" s="36" t="s">
        <v>1336</v>
      </c>
      <c r="E1103" s="36" t="s">
        <v>1336</v>
      </c>
      <c r="F1103" s="154" t="s">
        <v>1810</v>
      </c>
      <c r="G1103" s="36" t="s">
        <v>28</v>
      </c>
      <c r="H1103" s="36" t="s">
        <v>1655</v>
      </c>
      <c r="I1103" s="36" t="s">
        <v>1656</v>
      </c>
      <c r="J1103" s="36" t="s">
        <v>1656</v>
      </c>
      <c r="K1103" s="36" t="s">
        <v>1845</v>
      </c>
      <c r="L1103" s="36" t="s">
        <v>2776</v>
      </c>
      <c r="M1103" s="36" t="s">
        <v>2776</v>
      </c>
      <c r="N1103" s="36" t="s">
        <v>34</v>
      </c>
    </row>
    <row r="1104">
      <c r="A1104" s="36" t="s">
        <v>3656</v>
      </c>
      <c r="B1104" s="154" t="s">
        <v>3654</v>
      </c>
      <c r="C1104" s="36" t="s">
        <v>1666</v>
      </c>
      <c r="D1104" s="36" t="s">
        <v>329</v>
      </c>
      <c r="E1104" s="36" t="s">
        <v>329</v>
      </c>
      <c r="F1104" s="154" t="s">
        <v>3657</v>
      </c>
      <c r="G1104" s="36" t="s">
        <v>28</v>
      </c>
      <c r="H1104" s="36" t="s">
        <v>1655</v>
      </c>
      <c r="I1104" s="36" t="s">
        <v>1656</v>
      </c>
      <c r="J1104" s="36" t="s">
        <v>1656</v>
      </c>
      <c r="K1104" s="36" t="s">
        <v>1848</v>
      </c>
      <c r="L1104" s="36" t="s">
        <v>2776</v>
      </c>
      <c r="M1104" s="36" t="s">
        <v>2776</v>
      </c>
      <c r="N1104" s="36" t="s">
        <v>34</v>
      </c>
    </row>
    <row r="1105">
      <c r="A1105" s="36" t="s">
        <v>3658</v>
      </c>
      <c r="B1105" s="154" t="s">
        <v>3654</v>
      </c>
      <c r="C1105" s="36" t="s">
        <v>1666</v>
      </c>
      <c r="D1105" s="36" t="s">
        <v>582</v>
      </c>
      <c r="E1105" s="36" t="s">
        <v>582</v>
      </c>
      <c r="F1105" s="154" t="s">
        <v>1971</v>
      </c>
      <c r="G1105" s="36" t="s">
        <v>28</v>
      </c>
      <c r="H1105" s="36" t="s">
        <v>1655</v>
      </c>
      <c r="I1105" s="36" t="s">
        <v>1656</v>
      </c>
      <c r="J1105" s="36" t="s">
        <v>1656</v>
      </c>
      <c r="K1105" s="36" t="s">
        <v>1851</v>
      </c>
      <c r="L1105" s="36" t="s">
        <v>2776</v>
      </c>
      <c r="M1105" s="36" t="s">
        <v>2776</v>
      </c>
      <c r="N1105" s="36" t="s">
        <v>34</v>
      </c>
    </row>
    <row r="1106">
      <c r="A1106" s="36" t="s">
        <v>3659</v>
      </c>
      <c r="B1106" s="154" t="s">
        <v>3660</v>
      </c>
      <c r="C1106" s="36" t="s">
        <v>1666</v>
      </c>
      <c r="D1106" s="36" t="s">
        <v>1350</v>
      </c>
      <c r="E1106" s="36" t="s">
        <v>1350</v>
      </c>
      <c r="F1106" s="154" t="s">
        <v>1768</v>
      </c>
      <c r="G1106" s="36" t="s">
        <v>34</v>
      </c>
      <c r="H1106" s="36" t="s">
        <v>1655</v>
      </c>
      <c r="I1106" s="36" t="s">
        <v>1656</v>
      </c>
      <c r="J1106" s="36" t="s">
        <v>1656</v>
      </c>
      <c r="K1106" s="36" t="s">
        <v>1854</v>
      </c>
      <c r="L1106" s="36" t="s">
        <v>2776</v>
      </c>
      <c r="M1106" s="36" t="s">
        <v>2776</v>
      </c>
      <c r="N1106" s="36" t="s">
        <v>32</v>
      </c>
    </row>
    <row r="1107">
      <c r="A1107" s="36" t="s">
        <v>3661</v>
      </c>
      <c r="B1107" s="154" t="s">
        <v>3660</v>
      </c>
      <c r="C1107" s="36" t="s">
        <v>1666</v>
      </c>
      <c r="D1107" s="36" t="s">
        <v>124</v>
      </c>
      <c r="E1107" s="36" t="s">
        <v>124</v>
      </c>
      <c r="F1107" s="154" t="s">
        <v>3662</v>
      </c>
      <c r="G1107" s="36" t="s">
        <v>32</v>
      </c>
      <c r="H1107" s="36" t="s">
        <v>1655</v>
      </c>
      <c r="I1107" s="36" t="s">
        <v>1656</v>
      </c>
      <c r="J1107" s="36" t="s">
        <v>1656</v>
      </c>
      <c r="K1107" s="36" t="s">
        <v>1857</v>
      </c>
      <c r="L1107" s="36" t="s">
        <v>2776</v>
      </c>
      <c r="M1107" s="36" t="s">
        <v>2776</v>
      </c>
      <c r="N1107" s="36" t="s">
        <v>32</v>
      </c>
    </row>
    <row r="1108">
      <c r="A1108" s="36" t="s">
        <v>3663</v>
      </c>
      <c r="B1108" s="154" t="s">
        <v>3664</v>
      </c>
      <c r="C1108" s="36" t="s">
        <v>1653</v>
      </c>
      <c r="D1108" s="36" t="s">
        <v>701</v>
      </c>
      <c r="E1108" s="36" t="s">
        <v>39</v>
      </c>
      <c r="F1108" s="154" t="s">
        <v>2029</v>
      </c>
      <c r="G1108" s="36" t="s">
        <v>32</v>
      </c>
      <c r="H1108" s="36" t="s">
        <v>1655</v>
      </c>
      <c r="I1108" s="36" t="s">
        <v>1656</v>
      </c>
      <c r="J1108" s="36" t="s">
        <v>1656</v>
      </c>
      <c r="K1108" s="36" t="s">
        <v>2848</v>
      </c>
      <c r="L1108" s="36" t="s">
        <v>2771</v>
      </c>
      <c r="M1108" s="36" t="s">
        <v>2771</v>
      </c>
      <c r="N1108" s="36" t="s">
        <v>32</v>
      </c>
    </row>
    <row r="1109">
      <c r="A1109" s="36" t="s">
        <v>3665</v>
      </c>
      <c r="B1109" s="154" t="s">
        <v>3664</v>
      </c>
      <c r="C1109" s="36" t="s">
        <v>1666</v>
      </c>
      <c r="D1109" s="36" t="s">
        <v>81</v>
      </c>
      <c r="E1109" s="36" t="s">
        <v>81</v>
      </c>
      <c r="F1109" s="154" t="s">
        <v>3296</v>
      </c>
      <c r="G1109" s="36" t="s">
        <v>28</v>
      </c>
      <c r="H1109" s="36" t="s">
        <v>1655</v>
      </c>
      <c r="I1109" s="36" t="s">
        <v>1656</v>
      </c>
      <c r="J1109" s="36" t="s">
        <v>1656</v>
      </c>
      <c r="K1109" s="36" t="s">
        <v>1921</v>
      </c>
      <c r="L1109" s="36" t="s">
        <v>2776</v>
      </c>
      <c r="M1109" s="36" t="s">
        <v>2776</v>
      </c>
      <c r="N1109" s="36" t="s">
        <v>32</v>
      </c>
    </row>
    <row r="1110">
      <c r="A1110" s="36" t="s">
        <v>3666</v>
      </c>
      <c r="B1110" s="154" t="s">
        <v>3664</v>
      </c>
      <c r="C1110" s="36" t="s">
        <v>1666</v>
      </c>
      <c r="D1110" s="36" t="s">
        <v>83</v>
      </c>
      <c r="E1110" s="36" t="s">
        <v>83</v>
      </c>
      <c r="F1110" s="154" t="s">
        <v>3034</v>
      </c>
      <c r="G1110" s="36" t="s">
        <v>28</v>
      </c>
      <c r="H1110" s="36" t="s">
        <v>1655</v>
      </c>
      <c r="I1110" s="36" t="s">
        <v>1656</v>
      </c>
      <c r="J1110" s="36" t="s">
        <v>1656</v>
      </c>
      <c r="K1110" s="36" t="s">
        <v>3166</v>
      </c>
      <c r="L1110" s="36" t="s">
        <v>2776</v>
      </c>
      <c r="M1110" s="36" t="s">
        <v>2776</v>
      </c>
      <c r="N1110" s="36" t="s">
        <v>32</v>
      </c>
    </row>
    <row r="1111">
      <c r="A1111" s="36" t="s">
        <v>3667</v>
      </c>
      <c r="B1111" s="154" t="s">
        <v>3664</v>
      </c>
      <c r="C1111" s="36" t="s">
        <v>1666</v>
      </c>
      <c r="D1111" s="36" t="s">
        <v>84</v>
      </c>
      <c r="E1111" s="36" t="s">
        <v>84</v>
      </c>
      <c r="F1111" s="154" t="s">
        <v>3668</v>
      </c>
      <c r="G1111" s="36" t="s">
        <v>32</v>
      </c>
      <c r="H1111" s="36" t="s">
        <v>1655</v>
      </c>
      <c r="I1111" s="36" t="s">
        <v>1656</v>
      </c>
      <c r="J1111" s="36" t="s">
        <v>1656</v>
      </c>
      <c r="K1111" s="36" t="s">
        <v>1924</v>
      </c>
      <c r="L1111" s="36" t="s">
        <v>2776</v>
      </c>
      <c r="M1111" s="36" t="s">
        <v>2776</v>
      </c>
      <c r="N1111" s="36" t="s">
        <v>32</v>
      </c>
    </row>
    <row r="1112">
      <c r="A1112" s="36" t="s">
        <v>3669</v>
      </c>
      <c r="B1112" s="154" t="s">
        <v>3664</v>
      </c>
      <c r="C1112" s="36" t="s">
        <v>1666</v>
      </c>
      <c r="D1112" s="36" t="s">
        <v>313</v>
      </c>
      <c r="E1112" s="36" t="s">
        <v>313</v>
      </c>
      <c r="F1112" s="154" t="s">
        <v>1929</v>
      </c>
      <c r="G1112" s="36" t="s">
        <v>32</v>
      </c>
      <c r="H1112" s="36" t="s">
        <v>1655</v>
      </c>
      <c r="I1112" s="36" t="s">
        <v>1656</v>
      </c>
      <c r="J1112" s="36" t="s">
        <v>1656</v>
      </c>
      <c r="K1112" s="36" t="s">
        <v>1860</v>
      </c>
      <c r="L1112" s="36" t="s">
        <v>2776</v>
      </c>
      <c r="M1112" s="36" t="s">
        <v>2776</v>
      </c>
      <c r="N1112" s="36" t="s">
        <v>32</v>
      </c>
    </row>
    <row r="1113">
      <c r="A1113" s="36" t="s">
        <v>3670</v>
      </c>
      <c r="B1113" s="154" t="s">
        <v>3664</v>
      </c>
      <c r="C1113" s="36" t="s">
        <v>1666</v>
      </c>
      <c r="D1113" s="36" t="s">
        <v>1362</v>
      </c>
      <c r="E1113" s="36" t="s">
        <v>1362</v>
      </c>
      <c r="F1113" s="154" t="s">
        <v>2049</v>
      </c>
      <c r="G1113" s="36" t="s">
        <v>32</v>
      </c>
      <c r="H1113" s="36" t="s">
        <v>1655</v>
      </c>
      <c r="I1113" s="36" t="s">
        <v>1656</v>
      </c>
      <c r="J1113" s="36" t="s">
        <v>1656</v>
      </c>
      <c r="K1113" s="36" t="s">
        <v>1863</v>
      </c>
      <c r="L1113" s="36" t="s">
        <v>2776</v>
      </c>
      <c r="M1113" s="36" t="s">
        <v>2776</v>
      </c>
      <c r="N1113" s="36" t="s">
        <v>32</v>
      </c>
    </row>
    <row r="1114">
      <c r="A1114" s="36" t="s">
        <v>3671</v>
      </c>
      <c r="B1114" s="154" t="s">
        <v>3672</v>
      </c>
      <c r="C1114" s="36" t="s">
        <v>1653</v>
      </c>
      <c r="D1114" s="36" t="s">
        <v>43</v>
      </c>
      <c r="E1114" s="36" t="s">
        <v>39</v>
      </c>
      <c r="F1114" s="154" t="s">
        <v>3673</v>
      </c>
      <c r="G1114" s="36" t="s">
        <v>32</v>
      </c>
      <c r="H1114" s="36" t="s">
        <v>1655</v>
      </c>
      <c r="I1114" s="36" t="s">
        <v>1656</v>
      </c>
      <c r="J1114" s="36" t="s">
        <v>1656</v>
      </c>
      <c r="K1114" s="36" t="s">
        <v>1657</v>
      </c>
      <c r="L1114" s="36" t="s">
        <v>2771</v>
      </c>
      <c r="M1114" s="36" t="s">
        <v>2771</v>
      </c>
      <c r="N1114" s="36" t="s">
        <v>32</v>
      </c>
    </row>
    <row r="1115">
      <c r="A1115" s="36" t="s">
        <v>3674</v>
      </c>
      <c r="B1115" s="154" t="s">
        <v>3672</v>
      </c>
      <c r="C1115" s="36" t="s">
        <v>1653</v>
      </c>
      <c r="D1115" s="36" t="s">
        <v>1108</v>
      </c>
      <c r="E1115" s="36" t="s">
        <v>39</v>
      </c>
      <c r="F1115" s="154" t="s">
        <v>3675</v>
      </c>
      <c r="G1115" s="36" t="s">
        <v>32</v>
      </c>
      <c r="H1115" s="36" t="s">
        <v>1655</v>
      </c>
      <c r="I1115" s="36" t="s">
        <v>1656</v>
      </c>
      <c r="J1115" s="36" t="s">
        <v>1656</v>
      </c>
      <c r="K1115" s="36" t="s">
        <v>1664</v>
      </c>
      <c r="L1115" s="36" t="s">
        <v>2771</v>
      </c>
      <c r="M1115" s="36" t="s">
        <v>2771</v>
      </c>
      <c r="N1115" s="36" t="s">
        <v>32</v>
      </c>
    </row>
    <row r="1116">
      <c r="A1116" s="36" t="s">
        <v>3676</v>
      </c>
      <c r="B1116" s="154" t="s">
        <v>3672</v>
      </c>
      <c r="C1116" s="36" t="s">
        <v>1666</v>
      </c>
      <c r="D1116" s="36" t="s">
        <v>1117</v>
      </c>
      <c r="E1116" s="36" t="s">
        <v>1117</v>
      </c>
      <c r="F1116" s="154" t="s">
        <v>1816</v>
      </c>
      <c r="G1116" s="36" t="s">
        <v>28</v>
      </c>
      <c r="H1116" s="36" t="s">
        <v>1655</v>
      </c>
      <c r="I1116" s="36" t="s">
        <v>1656</v>
      </c>
      <c r="J1116" s="36" t="s">
        <v>1656</v>
      </c>
      <c r="K1116" s="36" t="s">
        <v>2775</v>
      </c>
      <c r="L1116" s="36" t="s">
        <v>2776</v>
      </c>
      <c r="M1116" s="36" t="s">
        <v>2776</v>
      </c>
      <c r="N1116" s="36" t="s">
        <v>32</v>
      </c>
    </row>
    <row r="1117">
      <c r="A1117" s="36" t="s">
        <v>3677</v>
      </c>
      <c r="B1117" s="154" t="s">
        <v>3672</v>
      </c>
      <c r="C1117" s="36" t="s">
        <v>1666</v>
      </c>
      <c r="D1117" s="36" t="s">
        <v>1116</v>
      </c>
      <c r="E1117" s="36" t="s">
        <v>1116</v>
      </c>
      <c r="F1117" s="154" t="s">
        <v>3180</v>
      </c>
      <c r="G1117" s="36" t="s">
        <v>28</v>
      </c>
      <c r="H1117" s="36" t="s">
        <v>1655</v>
      </c>
      <c r="I1117" s="36" t="s">
        <v>1656</v>
      </c>
      <c r="J1117" s="36" t="s">
        <v>1656</v>
      </c>
      <c r="K1117" s="36" t="s">
        <v>2779</v>
      </c>
      <c r="L1117" s="36" t="s">
        <v>2776</v>
      </c>
      <c r="M1117" s="36" t="s">
        <v>2776</v>
      </c>
      <c r="N1117" s="36" t="s">
        <v>32</v>
      </c>
    </row>
    <row r="1118">
      <c r="A1118" s="36" t="s">
        <v>3678</v>
      </c>
      <c r="B1118" s="154" t="s">
        <v>3672</v>
      </c>
      <c r="C1118" s="36" t="s">
        <v>1666</v>
      </c>
      <c r="D1118" s="36" t="s">
        <v>1120</v>
      </c>
      <c r="E1118" s="36" t="s">
        <v>1120</v>
      </c>
      <c r="F1118" s="154" t="s">
        <v>3679</v>
      </c>
      <c r="G1118" s="36" t="s">
        <v>28</v>
      </c>
      <c r="H1118" s="36" t="s">
        <v>1655</v>
      </c>
      <c r="I1118" s="36" t="s">
        <v>1656</v>
      </c>
      <c r="J1118" s="36" t="s">
        <v>1656</v>
      </c>
      <c r="K1118" s="36" t="s">
        <v>2781</v>
      </c>
      <c r="L1118" s="36" t="s">
        <v>2776</v>
      </c>
      <c r="M1118" s="36" t="s">
        <v>2776</v>
      </c>
      <c r="N1118" s="36" t="s">
        <v>32</v>
      </c>
    </row>
    <row r="1119">
      <c r="A1119" s="36" t="s">
        <v>3680</v>
      </c>
      <c r="B1119" s="154" t="s">
        <v>3672</v>
      </c>
      <c r="C1119" s="36" t="s">
        <v>1666</v>
      </c>
      <c r="D1119" s="36" t="s">
        <v>1129</v>
      </c>
      <c r="E1119" s="36" t="s">
        <v>1129</v>
      </c>
      <c r="F1119" s="154" t="s">
        <v>3681</v>
      </c>
      <c r="G1119" s="36" t="s">
        <v>32</v>
      </c>
      <c r="H1119" s="36" t="s">
        <v>1655</v>
      </c>
      <c r="I1119" s="36" t="s">
        <v>1656</v>
      </c>
      <c r="J1119" s="36" t="s">
        <v>1656</v>
      </c>
      <c r="K1119" s="36" t="s">
        <v>1678</v>
      </c>
      <c r="L1119" s="36" t="s">
        <v>2776</v>
      </c>
      <c r="M1119" s="36" t="s">
        <v>2776</v>
      </c>
      <c r="N1119" s="36" t="s">
        <v>32</v>
      </c>
    </row>
    <row r="1120">
      <c r="A1120" s="36" t="s">
        <v>3682</v>
      </c>
      <c r="B1120" s="154" t="s">
        <v>3672</v>
      </c>
      <c r="C1120" s="36" t="s">
        <v>1666</v>
      </c>
      <c r="D1120" s="36" t="s">
        <v>1135</v>
      </c>
      <c r="E1120" s="36" t="s">
        <v>1135</v>
      </c>
      <c r="F1120" s="154" t="s">
        <v>3683</v>
      </c>
      <c r="G1120" s="36" t="s">
        <v>32</v>
      </c>
      <c r="H1120" s="36" t="s">
        <v>1655</v>
      </c>
      <c r="I1120" s="36" t="s">
        <v>1656</v>
      </c>
      <c r="J1120" s="36" t="s">
        <v>1656</v>
      </c>
      <c r="K1120" s="36" t="s">
        <v>1681</v>
      </c>
      <c r="L1120" s="36" t="s">
        <v>2776</v>
      </c>
      <c r="M1120" s="36" t="s">
        <v>2776</v>
      </c>
      <c r="N1120" s="36" t="s">
        <v>32</v>
      </c>
    </row>
    <row r="1121">
      <c r="A1121" s="36" t="s">
        <v>3684</v>
      </c>
      <c r="B1121" s="154" t="s">
        <v>3672</v>
      </c>
      <c r="C1121" s="36" t="s">
        <v>1666</v>
      </c>
      <c r="D1121" s="36" t="s">
        <v>100</v>
      </c>
      <c r="E1121" s="36" t="s">
        <v>100</v>
      </c>
      <c r="F1121" s="154" t="s">
        <v>1810</v>
      </c>
      <c r="G1121" s="36" t="s">
        <v>32</v>
      </c>
      <c r="H1121" s="36" t="s">
        <v>1655</v>
      </c>
      <c r="I1121" s="36" t="s">
        <v>1656</v>
      </c>
      <c r="J1121" s="36" t="s">
        <v>1656</v>
      </c>
      <c r="K1121" s="36" t="s">
        <v>1684</v>
      </c>
      <c r="L1121" s="36" t="s">
        <v>2776</v>
      </c>
      <c r="M1121" s="36" t="s">
        <v>2776</v>
      </c>
      <c r="N1121" s="36" t="s">
        <v>32</v>
      </c>
    </row>
    <row r="1122">
      <c r="A1122" s="36" t="s">
        <v>3685</v>
      </c>
      <c r="B1122" s="154" t="s">
        <v>3672</v>
      </c>
      <c r="C1122" s="36" t="s">
        <v>1666</v>
      </c>
      <c r="D1122" s="36" t="s">
        <v>1150</v>
      </c>
      <c r="E1122" s="36" t="s">
        <v>1150</v>
      </c>
      <c r="F1122" s="154" t="s">
        <v>2508</v>
      </c>
      <c r="G1122" s="36" t="s">
        <v>28</v>
      </c>
      <c r="H1122" s="36" t="s">
        <v>1655</v>
      </c>
      <c r="I1122" s="36" t="s">
        <v>1656</v>
      </c>
      <c r="J1122" s="36" t="s">
        <v>1656</v>
      </c>
      <c r="K1122" s="36" t="s">
        <v>1691</v>
      </c>
      <c r="L1122" s="36" t="s">
        <v>2776</v>
      </c>
      <c r="M1122" s="36" t="s">
        <v>2776</v>
      </c>
      <c r="N1122" s="36" t="s">
        <v>32</v>
      </c>
    </row>
    <row r="1123">
      <c r="A1123" s="36" t="s">
        <v>3686</v>
      </c>
      <c r="B1123" s="154" t="s">
        <v>3672</v>
      </c>
      <c r="C1123" s="36" t="s">
        <v>1666</v>
      </c>
      <c r="D1123" s="36" t="s">
        <v>109</v>
      </c>
      <c r="E1123" s="36" t="s">
        <v>109</v>
      </c>
      <c r="F1123" s="154" t="s">
        <v>1959</v>
      </c>
      <c r="G1123" s="36" t="s">
        <v>28</v>
      </c>
      <c r="H1123" s="36" t="s">
        <v>1655</v>
      </c>
      <c r="I1123" s="36" t="s">
        <v>1656</v>
      </c>
      <c r="J1123" s="36" t="s">
        <v>1656</v>
      </c>
      <c r="K1123" s="36" t="s">
        <v>1695</v>
      </c>
      <c r="L1123" s="36" t="s">
        <v>2776</v>
      </c>
      <c r="M1123" s="36" t="s">
        <v>2776</v>
      </c>
      <c r="N1123" s="36" t="s">
        <v>34</v>
      </c>
    </row>
    <row r="1124">
      <c r="A1124" s="36" t="s">
        <v>3687</v>
      </c>
      <c r="B1124" s="154" t="s">
        <v>3672</v>
      </c>
      <c r="C1124" s="36" t="s">
        <v>1666</v>
      </c>
      <c r="D1124" s="36" t="s">
        <v>1159</v>
      </c>
      <c r="E1124" s="36" t="s">
        <v>1159</v>
      </c>
      <c r="F1124" s="154" t="s">
        <v>2163</v>
      </c>
      <c r="G1124" s="36" t="s">
        <v>28</v>
      </c>
      <c r="H1124" s="36" t="s">
        <v>1655</v>
      </c>
      <c r="I1124" s="36" t="s">
        <v>1656</v>
      </c>
      <c r="J1124" s="36" t="s">
        <v>1656</v>
      </c>
      <c r="K1124" s="36" t="s">
        <v>1698</v>
      </c>
      <c r="L1124" s="36" t="s">
        <v>2776</v>
      </c>
      <c r="M1124" s="36" t="s">
        <v>2776</v>
      </c>
      <c r="N1124" s="36" t="s">
        <v>34</v>
      </c>
    </row>
    <row r="1125">
      <c r="A1125" s="36" t="s">
        <v>3688</v>
      </c>
      <c r="B1125" s="154" t="s">
        <v>3672</v>
      </c>
      <c r="C1125" s="36" t="s">
        <v>1666</v>
      </c>
      <c r="D1125" s="36" t="s">
        <v>1165</v>
      </c>
      <c r="E1125" s="36" t="s">
        <v>1165</v>
      </c>
      <c r="F1125" s="154" t="s">
        <v>1806</v>
      </c>
      <c r="G1125" s="36" t="s">
        <v>32</v>
      </c>
      <c r="H1125" s="36" t="s">
        <v>1655</v>
      </c>
      <c r="I1125" s="36" t="s">
        <v>1656</v>
      </c>
      <c r="J1125" s="36" t="s">
        <v>1656</v>
      </c>
      <c r="K1125" s="36" t="s">
        <v>1701</v>
      </c>
      <c r="L1125" s="36" t="s">
        <v>2776</v>
      </c>
      <c r="M1125" s="36" t="s">
        <v>2776</v>
      </c>
      <c r="N1125" s="36" t="s">
        <v>32</v>
      </c>
    </row>
    <row r="1126">
      <c r="A1126" s="36" t="s">
        <v>3689</v>
      </c>
      <c r="B1126" s="154" t="s">
        <v>3690</v>
      </c>
      <c r="C1126" s="36" t="s">
        <v>1653</v>
      </c>
      <c r="D1126" s="36" t="s">
        <v>701</v>
      </c>
      <c r="E1126" s="36" t="s">
        <v>39</v>
      </c>
      <c r="F1126" s="154" t="s">
        <v>3691</v>
      </c>
      <c r="G1126" s="36" t="s">
        <v>32</v>
      </c>
      <c r="H1126" s="36" t="s">
        <v>1655</v>
      </c>
      <c r="I1126" s="36" t="s">
        <v>1656</v>
      </c>
      <c r="J1126" s="36" t="s">
        <v>1656</v>
      </c>
      <c r="K1126" s="36" t="s">
        <v>1978</v>
      </c>
      <c r="L1126" s="36" t="s">
        <v>2771</v>
      </c>
      <c r="M1126" s="36" t="s">
        <v>2771</v>
      </c>
      <c r="N1126" s="36" t="s">
        <v>32</v>
      </c>
    </row>
    <row r="1127">
      <c r="A1127" s="36" t="s">
        <v>3692</v>
      </c>
      <c r="B1127" s="154" t="s">
        <v>3690</v>
      </c>
      <c r="C1127" s="36" t="s">
        <v>1666</v>
      </c>
      <c r="D1127" s="36" t="s">
        <v>1171</v>
      </c>
      <c r="E1127" s="36" t="s">
        <v>1171</v>
      </c>
      <c r="F1127" s="154" t="s">
        <v>3693</v>
      </c>
      <c r="G1127" s="36" t="s">
        <v>28</v>
      </c>
      <c r="H1127" s="36" t="s">
        <v>1655</v>
      </c>
      <c r="I1127" s="36" t="s">
        <v>1656</v>
      </c>
      <c r="J1127" s="36" t="s">
        <v>1656</v>
      </c>
      <c r="K1127" s="36" t="s">
        <v>1704</v>
      </c>
      <c r="L1127" s="36" t="s">
        <v>2776</v>
      </c>
      <c r="M1127" s="36" t="s">
        <v>2776</v>
      </c>
      <c r="N1127" s="36" t="s">
        <v>32</v>
      </c>
    </row>
    <row r="1128">
      <c r="A1128" s="36" t="s">
        <v>3694</v>
      </c>
      <c r="B1128" s="154" t="s">
        <v>3690</v>
      </c>
      <c r="C1128" s="36" t="s">
        <v>1666</v>
      </c>
      <c r="D1128" s="36" t="s">
        <v>1175</v>
      </c>
      <c r="E1128" s="36" t="s">
        <v>1175</v>
      </c>
      <c r="F1128" s="154" t="s">
        <v>1853</v>
      </c>
      <c r="G1128" s="36" t="s">
        <v>28</v>
      </c>
      <c r="H1128" s="36" t="s">
        <v>1655</v>
      </c>
      <c r="I1128" s="36" t="s">
        <v>1656</v>
      </c>
      <c r="J1128" s="36" t="s">
        <v>1656</v>
      </c>
      <c r="K1128" s="36" t="s">
        <v>1711</v>
      </c>
      <c r="L1128" s="36" t="s">
        <v>2776</v>
      </c>
      <c r="M1128" s="36" t="s">
        <v>2776</v>
      </c>
      <c r="N1128" s="36" t="s">
        <v>32</v>
      </c>
    </row>
    <row r="1129">
      <c r="A1129" s="36" t="s">
        <v>3695</v>
      </c>
      <c r="B1129" s="154" t="s">
        <v>3690</v>
      </c>
      <c r="C1129" s="36" t="s">
        <v>1666</v>
      </c>
      <c r="D1129" s="36" t="s">
        <v>923</v>
      </c>
      <c r="E1129" s="36" t="s">
        <v>923</v>
      </c>
      <c r="F1129" s="154" t="s">
        <v>1683</v>
      </c>
      <c r="G1129" s="36" t="s">
        <v>32</v>
      </c>
      <c r="H1129" s="36" t="s">
        <v>1655</v>
      </c>
      <c r="I1129" s="36" t="s">
        <v>1656</v>
      </c>
      <c r="J1129" s="36" t="s">
        <v>1656</v>
      </c>
      <c r="K1129" s="36" t="s">
        <v>1715</v>
      </c>
      <c r="L1129" s="36" t="s">
        <v>2776</v>
      </c>
      <c r="M1129" s="36" t="s">
        <v>2776</v>
      </c>
      <c r="N1129" s="36" t="s">
        <v>32</v>
      </c>
    </row>
    <row r="1130">
      <c r="A1130" s="36" t="s">
        <v>3696</v>
      </c>
      <c r="B1130" s="154" t="s">
        <v>3690</v>
      </c>
      <c r="C1130" s="36" t="s">
        <v>1666</v>
      </c>
      <c r="D1130" s="36" t="s">
        <v>1185</v>
      </c>
      <c r="E1130" s="36" t="s">
        <v>1185</v>
      </c>
      <c r="F1130" s="154" t="s">
        <v>3681</v>
      </c>
      <c r="G1130" s="36" t="s">
        <v>32</v>
      </c>
      <c r="H1130" s="36" t="s">
        <v>1655</v>
      </c>
      <c r="I1130" s="36" t="s">
        <v>1656</v>
      </c>
      <c r="J1130" s="36" t="s">
        <v>1656</v>
      </c>
      <c r="K1130" s="36" t="s">
        <v>1717</v>
      </c>
      <c r="L1130" s="36" t="s">
        <v>2776</v>
      </c>
      <c r="M1130" s="36" t="s">
        <v>2776</v>
      </c>
      <c r="N1130" s="36" t="s">
        <v>32</v>
      </c>
    </row>
    <row r="1131">
      <c r="A1131" s="36" t="s">
        <v>3697</v>
      </c>
      <c r="B1131" s="154" t="s">
        <v>3698</v>
      </c>
      <c r="C1131" s="36" t="s">
        <v>1666</v>
      </c>
      <c r="D1131" s="36" t="s">
        <v>1191</v>
      </c>
      <c r="E1131" s="36" t="s">
        <v>1191</v>
      </c>
      <c r="F1131" s="154" t="s">
        <v>3699</v>
      </c>
      <c r="G1131" s="36" t="s">
        <v>32</v>
      </c>
      <c r="H1131" s="36" t="s">
        <v>1655</v>
      </c>
      <c r="I1131" s="36" t="s">
        <v>1656</v>
      </c>
      <c r="J1131" s="36" t="s">
        <v>1656</v>
      </c>
      <c r="K1131" s="36" t="s">
        <v>1724</v>
      </c>
      <c r="L1131" s="36" t="s">
        <v>2776</v>
      </c>
      <c r="M1131" s="36" t="s">
        <v>2776</v>
      </c>
      <c r="N1131" s="36" t="s">
        <v>32</v>
      </c>
    </row>
    <row r="1132">
      <c r="A1132" s="36" t="s">
        <v>3700</v>
      </c>
      <c r="B1132" s="154" t="s">
        <v>3698</v>
      </c>
      <c r="C1132" s="36" t="s">
        <v>1666</v>
      </c>
      <c r="D1132" s="36" t="s">
        <v>819</v>
      </c>
      <c r="E1132" s="36" t="s">
        <v>819</v>
      </c>
      <c r="F1132" s="154" t="s">
        <v>1816</v>
      </c>
      <c r="G1132" s="36" t="s">
        <v>28</v>
      </c>
      <c r="H1132" s="36" t="s">
        <v>1655</v>
      </c>
      <c r="I1132" s="36" t="s">
        <v>1656</v>
      </c>
      <c r="J1132" s="36" t="s">
        <v>1656</v>
      </c>
      <c r="K1132" s="36" t="s">
        <v>1727</v>
      </c>
      <c r="L1132" s="36" t="s">
        <v>2776</v>
      </c>
      <c r="M1132" s="36" t="s">
        <v>2776</v>
      </c>
      <c r="N1132" s="36" t="s">
        <v>32</v>
      </c>
    </row>
    <row r="1133">
      <c r="A1133" s="36" t="s">
        <v>3701</v>
      </c>
      <c r="B1133" s="154" t="s">
        <v>3698</v>
      </c>
      <c r="C1133" s="36" t="s">
        <v>1666</v>
      </c>
      <c r="D1133" s="36" t="s">
        <v>1200</v>
      </c>
      <c r="E1133" s="36" t="s">
        <v>1200</v>
      </c>
      <c r="F1133" s="154" t="s">
        <v>1768</v>
      </c>
      <c r="G1133" s="36" t="s">
        <v>32</v>
      </c>
      <c r="H1133" s="36" t="s">
        <v>1655</v>
      </c>
      <c r="I1133" s="36" t="s">
        <v>1656</v>
      </c>
      <c r="J1133" s="36" t="s">
        <v>1656</v>
      </c>
      <c r="K1133" s="36" t="s">
        <v>1730</v>
      </c>
      <c r="L1133" s="36" t="s">
        <v>2776</v>
      </c>
      <c r="M1133" s="36" t="s">
        <v>2776</v>
      </c>
      <c r="N1133" s="36" t="s">
        <v>34</v>
      </c>
    </row>
    <row r="1134">
      <c r="A1134" s="36" t="s">
        <v>3702</v>
      </c>
      <c r="B1134" s="154" t="s">
        <v>3703</v>
      </c>
      <c r="C1134" s="36" t="s">
        <v>1666</v>
      </c>
      <c r="D1134" s="36" t="s">
        <v>64</v>
      </c>
      <c r="E1134" s="36" t="s">
        <v>64</v>
      </c>
      <c r="F1134" s="154" t="s">
        <v>1707</v>
      </c>
      <c r="G1134" s="36" t="s">
        <v>28</v>
      </c>
      <c r="H1134" s="36" t="s">
        <v>1655</v>
      </c>
      <c r="I1134" s="36" t="s">
        <v>1656</v>
      </c>
      <c r="J1134" s="36" t="s">
        <v>1656</v>
      </c>
      <c r="K1134" s="36" t="s">
        <v>1708</v>
      </c>
      <c r="L1134" s="36" t="s">
        <v>2776</v>
      </c>
      <c r="M1134" s="36" t="s">
        <v>2776</v>
      </c>
      <c r="N1134" s="36" t="s">
        <v>32</v>
      </c>
    </row>
    <row r="1135">
      <c r="A1135" s="36" t="s">
        <v>3704</v>
      </c>
      <c r="B1135" s="154" t="s">
        <v>3705</v>
      </c>
      <c r="C1135" s="36" t="s">
        <v>1666</v>
      </c>
      <c r="D1135" s="36" t="s">
        <v>1207</v>
      </c>
      <c r="E1135" s="36" t="s">
        <v>1207</v>
      </c>
      <c r="F1135" s="154" t="s">
        <v>1694</v>
      </c>
      <c r="G1135" s="36" t="s">
        <v>28</v>
      </c>
      <c r="H1135" s="36" t="s">
        <v>1655</v>
      </c>
      <c r="I1135" s="36" t="s">
        <v>1656</v>
      </c>
      <c r="J1135" s="36" t="s">
        <v>1656</v>
      </c>
      <c r="K1135" s="36" t="s">
        <v>1732</v>
      </c>
      <c r="L1135" s="36" t="s">
        <v>2776</v>
      </c>
      <c r="M1135" s="36" t="s">
        <v>2776</v>
      </c>
      <c r="N1135" s="36" t="s">
        <v>34</v>
      </c>
    </row>
    <row r="1136">
      <c r="A1136" s="36" t="s">
        <v>3706</v>
      </c>
      <c r="B1136" s="154" t="s">
        <v>3705</v>
      </c>
      <c r="C1136" s="36" t="s">
        <v>1666</v>
      </c>
      <c r="D1136" s="36" t="s">
        <v>368</v>
      </c>
      <c r="E1136" s="36" t="s">
        <v>368</v>
      </c>
      <c r="F1136" s="154" t="s">
        <v>2693</v>
      </c>
      <c r="G1136" s="36" t="s">
        <v>28</v>
      </c>
      <c r="H1136" s="36" t="s">
        <v>1655</v>
      </c>
      <c r="I1136" s="36" t="s">
        <v>1656</v>
      </c>
      <c r="J1136" s="36" t="s">
        <v>1656</v>
      </c>
      <c r="K1136" s="36" t="s">
        <v>1736</v>
      </c>
      <c r="L1136" s="36" t="s">
        <v>2776</v>
      </c>
      <c r="M1136" s="36" t="s">
        <v>2776</v>
      </c>
      <c r="N1136" s="36" t="s">
        <v>34</v>
      </c>
    </row>
    <row r="1137">
      <c r="A1137" s="36" t="s">
        <v>3707</v>
      </c>
      <c r="B1137" s="154" t="s">
        <v>3708</v>
      </c>
      <c r="C1137" s="36" t="s">
        <v>1666</v>
      </c>
      <c r="D1137" s="36" t="s">
        <v>66</v>
      </c>
      <c r="E1137" s="36" t="s">
        <v>66</v>
      </c>
      <c r="F1137" s="154" t="s">
        <v>3709</v>
      </c>
      <c r="G1137" s="36" t="s">
        <v>28</v>
      </c>
      <c r="H1137" s="36" t="s">
        <v>1655</v>
      </c>
      <c r="I1137" s="36" t="s">
        <v>1656</v>
      </c>
      <c r="J1137" s="36" t="s">
        <v>1656</v>
      </c>
      <c r="K1137" s="36" t="s">
        <v>1721</v>
      </c>
      <c r="L1137" s="36" t="s">
        <v>2776</v>
      </c>
      <c r="M1137" s="36" t="s">
        <v>2776</v>
      </c>
      <c r="N1137" s="36" t="s">
        <v>32</v>
      </c>
    </row>
    <row r="1138">
      <c r="A1138" s="36" t="s">
        <v>3710</v>
      </c>
      <c r="B1138" s="154" t="s">
        <v>3711</v>
      </c>
      <c r="C1138" s="36" t="s">
        <v>1666</v>
      </c>
      <c r="D1138" s="36" t="s">
        <v>1217</v>
      </c>
      <c r="E1138" s="36" t="s">
        <v>1217</v>
      </c>
      <c r="F1138" s="154" t="s">
        <v>3709</v>
      </c>
      <c r="G1138" s="36" t="s">
        <v>28</v>
      </c>
      <c r="H1138" s="36" t="s">
        <v>1655</v>
      </c>
      <c r="I1138" s="36" t="s">
        <v>1656</v>
      </c>
      <c r="J1138" s="36" t="s">
        <v>1656</v>
      </c>
      <c r="K1138" s="36" t="s">
        <v>1739</v>
      </c>
      <c r="L1138" s="36" t="s">
        <v>2776</v>
      </c>
      <c r="M1138" s="36" t="s">
        <v>2776</v>
      </c>
      <c r="N1138" s="36" t="s">
        <v>34</v>
      </c>
    </row>
    <row r="1139">
      <c r="A1139" s="36" t="s">
        <v>3712</v>
      </c>
      <c r="B1139" s="154" t="s">
        <v>3711</v>
      </c>
      <c r="C1139" s="36" t="s">
        <v>1666</v>
      </c>
      <c r="D1139" s="36" t="s">
        <v>1221</v>
      </c>
      <c r="E1139" s="36" t="s">
        <v>1221</v>
      </c>
      <c r="F1139" s="154" t="s">
        <v>1959</v>
      </c>
      <c r="G1139" s="36" t="s">
        <v>32</v>
      </c>
      <c r="H1139" s="36" t="s">
        <v>1655</v>
      </c>
      <c r="I1139" s="36" t="s">
        <v>1656</v>
      </c>
      <c r="J1139" s="36" t="s">
        <v>1656</v>
      </c>
      <c r="K1139" s="36" t="s">
        <v>1742</v>
      </c>
      <c r="L1139" s="36" t="s">
        <v>2776</v>
      </c>
      <c r="M1139" s="36" t="s">
        <v>2776</v>
      </c>
      <c r="N1139" s="36" t="s">
        <v>32</v>
      </c>
    </row>
    <row r="1140">
      <c r="A1140" s="36" t="s">
        <v>3713</v>
      </c>
      <c r="B1140" s="154" t="s">
        <v>3711</v>
      </c>
      <c r="C1140" s="36" t="s">
        <v>1666</v>
      </c>
      <c r="D1140" s="36" t="s">
        <v>1225</v>
      </c>
      <c r="E1140" s="36" t="s">
        <v>1225</v>
      </c>
      <c r="F1140" s="154" t="s">
        <v>2027</v>
      </c>
      <c r="G1140" s="36" t="s">
        <v>28</v>
      </c>
      <c r="H1140" s="36" t="s">
        <v>1655</v>
      </c>
      <c r="I1140" s="36" t="s">
        <v>1656</v>
      </c>
      <c r="J1140" s="36" t="s">
        <v>1656</v>
      </c>
      <c r="K1140" s="36" t="s">
        <v>1745</v>
      </c>
      <c r="L1140" s="36" t="s">
        <v>2776</v>
      </c>
      <c r="M1140" s="36" t="s">
        <v>2776</v>
      </c>
      <c r="N1140" s="36" t="s">
        <v>34</v>
      </c>
    </row>
    <row r="1141">
      <c r="A1141" s="36" t="s">
        <v>3714</v>
      </c>
      <c r="B1141" s="154" t="s">
        <v>3711</v>
      </c>
      <c r="C1141" s="36" t="s">
        <v>1666</v>
      </c>
      <c r="D1141" s="36" t="s">
        <v>295</v>
      </c>
      <c r="E1141" s="36" t="s">
        <v>295</v>
      </c>
      <c r="F1141" s="154" t="s">
        <v>2085</v>
      </c>
      <c r="G1141" s="36" t="s">
        <v>28</v>
      </c>
      <c r="H1141" s="36" t="s">
        <v>1655</v>
      </c>
      <c r="I1141" s="36" t="s">
        <v>1656</v>
      </c>
      <c r="J1141" s="36" t="s">
        <v>1656</v>
      </c>
      <c r="K1141" s="36" t="s">
        <v>1773</v>
      </c>
      <c r="L1141" s="36" t="s">
        <v>2776</v>
      </c>
      <c r="M1141" s="36" t="s">
        <v>2776</v>
      </c>
      <c r="N1141" s="36" t="s">
        <v>34</v>
      </c>
    </row>
    <row r="1142">
      <c r="A1142" s="36" t="s">
        <v>3715</v>
      </c>
      <c r="B1142" s="154" t="s">
        <v>3716</v>
      </c>
      <c r="C1142" s="36" t="s">
        <v>1653</v>
      </c>
      <c r="D1142" s="36" t="s">
        <v>55</v>
      </c>
      <c r="E1142" s="36" t="s">
        <v>39</v>
      </c>
      <c r="F1142" s="154" t="s">
        <v>3717</v>
      </c>
      <c r="G1142" s="36" t="s">
        <v>32</v>
      </c>
      <c r="H1142" s="36" t="s">
        <v>1655</v>
      </c>
      <c r="I1142" s="36" t="s">
        <v>1656</v>
      </c>
      <c r="J1142" s="36" t="s">
        <v>1656</v>
      </c>
      <c r="K1142" s="36" t="s">
        <v>1749</v>
      </c>
      <c r="L1142" s="36" t="s">
        <v>2771</v>
      </c>
      <c r="M1142" s="36" t="s">
        <v>2771</v>
      </c>
      <c r="N1142" s="36" t="s">
        <v>32</v>
      </c>
    </row>
    <row r="1143">
      <c r="A1143" s="36" t="s">
        <v>3718</v>
      </c>
      <c r="B1143" s="154" t="s">
        <v>3716</v>
      </c>
      <c r="C1143" s="36" t="s">
        <v>1666</v>
      </c>
      <c r="D1143" s="36" t="s">
        <v>71</v>
      </c>
      <c r="E1143" s="36" t="s">
        <v>71</v>
      </c>
      <c r="F1143" s="154" t="s">
        <v>2964</v>
      </c>
      <c r="G1143" s="36" t="s">
        <v>32</v>
      </c>
      <c r="H1143" s="36" t="s">
        <v>1655</v>
      </c>
      <c r="I1143" s="36" t="s">
        <v>1656</v>
      </c>
      <c r="J1143" s="36" t="s">
        <v>1656</v>
      </c>
      <c r="K1143" s="36" t="s">
        <v>1752</v>
      </c>
      <c r="L1143" s="36" t="s">
        <v>2776</v>
      </c>
      <c r="M1143" s="36" t="s">
        <v>2776</v>
      </c>
      <c r="N1143" s="36" t="s">
        <v>32</v>
      </c>
    </row>
    <row r="1144">
      <c r="A1144" s="36" t="s">
        <v>3719</v>
      </c>
      <c r="B1144" s="154" t="s">
        <v>3716</v>
      </c>
      <c r="C1144" s="36" t="s">
        <v>1666</v>
      </c>
      <c r="D1144" s="36" t="s">
        <v>73</v>
      </c>
      <c r="E1144" s="36" t="s">
        <v>73</v>
      </c>
      <c r="F1144" s="154" t="s">
        <v>2966</v>
      </c>
      <c r="G1144" s="36" t="s">
        <v>28</v>
      </c>
      <c r="H1144" s="36" t="s">
        <v>1655</v>
      </c>
      <c r="I1144" s="36" t="s">
        <v>1656</v>
      </c>
      <c r="J1144" s="36" t="s">
        <v>1656</v>
      </c>
      <c r="K1144" s="36" t="s">
        <v>1755</v>
      </c>
      <c r="L1144" s="36" t="s">
        <v>2776</v>
      </c>
      <c r="M1144" s="36" t="s">
        <v>2776</v>
      </c>
      <c r="N1144" s="36" t="s">
        <v>32</v>
      </c>
    </row>
    <row r="1145">
      <c r="A1145" s="36" t="s">
        <v>3720</v>
      </c>
      <c r="B1145" s="154" t="s">
        <v>3716</v>
      </c>
      <c r="C1145" s="36" t="s">
        <v>1666</v>
      </c>
      <c r="D1145" s="36" t="s">
        <v>74</v>
      </c>
      <c r="E1145" s="36" t="s">
        <v>74</v>
      </c>
      <c r="F1145" s="154" t="s">
        <v>2968</v>
      </c>
      <c r="G1145" s="36" t="s">
        <v>32</v>
      </c>
      <c r="H1145" s="36" t="s">
        <v>1655</v>
      </c>
      <c r="I1145" s="36" t="s">
        <v>1656</v>
      </c>
      <c r="J1145" s="36" t="s">
        <v>1656</v>
      </c>
      <c r="K1145" s="36" t="s">
        <v>1757</v>
      </c>
      <c r="L1145" s="36" t="s">
        <v>2776</v>
      </c>
      <c r="M1145" s="36" t="s">
        <v>2776</v>
      </c>
      <c r="N1145" s="36" t="s">
        <v>32</v>
      </c>
    </row>
    <row r="1146">
      <c r="A1146" s="36" t="s">
        <v>3721</v>
      </c>
      <c r="B1146" s="154" t="s">
        <v>3716</v>
      </c>
      <c r="C1146" s="36" t="s">
        <v>1666</v>
      </c>
      <c r="D1146" s="36" t="s">
        <v>75</v>
      </c>
      <c r="E1146" s="36" t="s">
        <v>75</v>
      </c>
      <c r="F1146" s="154" t="s">
        <v>2970</v>
      </c>
      <c r="G1146" s="36" t="s">
        <v>28</v>
      </c>
      <c r="H1146" s="36" t="s">
        <v>1655</v>
      </c>
      <c r="I1146" s="36" t="s">
        <v>1656</v>
      </c>
      <c r="J1146" s="36" t="s">
        <v>1656</v>
      </c>
      <c r="K1146" s="36" t="s">
        <v>1760</v>
      </c>
      <c r="L1146" s="36" t="s">
        <v>2776</v>
      </c>
      <c r="M1146" s="36" t="s">
        <v>2776</v>
      </c>
      <c r="N1146" s="36" t="s">
        <v>32</v>
      </c>
    </row>
    <row r="1147">
      <c r="A1147" s="36" t="s">
        <v>3722</v>
      </c>
      <c r="B1147" s="154" t="s">
        <v>3716</v>
      </c>
      <c r="C1147" s="36" t="s">
        <v>1666</v>
      </c>
      <c r="D1147" s="36" t="s">
        <v>76</v>
      </c>
      <c r="E1147" s="36" t="s">
        <v>76</v>
      </c>
      <c r="F1147" s="154" t="s">
        <v>3723</v>
      </c>
      <c r="G1147" s="36" t="s">
        <v>28</v>
      </c>
      <c r="H1147" s="36" t="s">
        <v>1655</v>
      </c>
      <c r="I1147" s="36" t="s">
        <v>1656</v>
      </c>
      <c r="J1147" s="36" t="s">
        <v>1656</v>
      </c>
      <c r="K1147" s="36" t="s">
        <v>1763</v>
      </c>
      <c r="L1147" s="36" t="s">
        <v>2776</v>
      </c>
      <c r="M1147" s="36" t="s">
        <v>2776</v>
      </c>
      <c r="N1147" s="36" t="s">
        <v>32</v>
      </c>
    </row>
    <row r="1148">
      <c r="A1148" s="36" t="s">
        <v>3724</v>
      </c>
      <c r="B1148" s="154" t="s">
        <v>3716</v>
      </c>
      <c r="C1148" s="36" t="s">
        <v>1666</v>
      </c>
      <c r="D1148" s="36" t="s">
        <v>919</v>
      </c>
      <c r="E1148" s="36" t="s">
        <v>919</v>
      </c>
      <c r="F1148" s="154" t="s">
        <v>3480</v>
      </c>
      <c r="G1148" s="36" t="s">
        <v>28</v>
      </c>
      <c r="H1148" s="36" t="s">
        <v>1655</v>
      </c>
      <c r="I1148" s="36" t="s">
        <v>1656</v>
      </c>
      <c r="J1148" s="36" t="s">
        <v>1656</v>
      </c>
      <c r="K1148" s="36" t="s">
        <v>1766</v>
      </c>
      <c r="L1148" s="36" t="s">
        <v>2776</v>
      </c>
      <c r="M1148" s="36" t="s">
        <v>2776</v>
      </c>
      <c r="N1148" s="36" t="s">
        <v>32</v>
      </c>
    </row>
    <row r="1149">
      <c r="A1149" s="36" t="s">
        <v>3725</v>
      </c>
      <c r="B1149" s="154" t="s">
        <v>3716</v>
      </c>
      <c r="C1149" s="36" t="s">
        <v>1666</v>
      </c>
      <c r="D1149" s="36" t="s">
        <v>77</v>
      </c>
      <c r="E1149" s="36" t="s">
        <v>77</v>
      </c>
      <c r="F1149" s="154" t="s">
        <v>1768</v>
      </c>
      <c r="G1149" s="36" t="s">
        <v>34</v>
      </c>
      <c r="H1149" s="36" t="s">
        <v>1655</v>
      </c>
      <c r="I1149" s="36" t="s">
        <v>1656</v>
      </c>
      <c r="J1149" s="36" t="s">
        <v>1656</v>
      </c>
      <c r="K1149" s="36" t="s">
        <v>1769</v>
      </c>
      <c r="L1149" s="36" t="s">
        <v>2776</v>
      </c>
      <c r="M1149" s="36" t="s">
        <v>2776</v>
      </c>
      <c r="N1149" s="36" t="s">
        <v>32</v>
      </c>
    </row>
    <row r="1150">
      <c r="A1150" s="36" t="s">
        <v>3726</v>
      </c>
      <c r="B1150" s="154" t="s">
        <v>3716</v>
      </c>
      <c r="C1150" s="36" t="s">
        <v>1666</v>
      </c>
      <c r="D1150" s="36" t="s">
        <v>978</v>
      </c>
      <c r="E1150" s="36" t="s">
        <v>978</v>
      </c>
      <c r="F1150" s="154" t="s">
        <v>1683</v>
      </c>
      <c r="G1150" s="36" t="s">
        <v>32</v>
      </c>
      <c r="H1150" s="36" t="s">
        <v>1655</v>
      </c>
      <c r="I1150" s="36" t="s">
        <v>1656</v>
      </c>
      <c r="J1150" s="36" t="s">
        <v>1656</v>
      </c>
      <c r="K1150" s="36" t="s">
        <v>1776</v>
      </c>
      <c r="L1150" s="36" t="s">
        <v>2776</v>
      </c>
      <c r="M1150" s="36" t="s">
        <v>2776</v>
      </c>
      <c r="N1150" s="36" t="s">
        <v>32</v>
      </c>
    </row>
    <row r="1151">
      <c r="A1151" s="36" t="s">
        <v>3727</v>
      </c>
      <c r="B1151" s="154" t="s">
        <v>3716</v>
      </c>
      <c r="C1151" s="36" t="s">
        <v>1666</v>
      </c>
      <c r="D1151" s="36" t="s">
        <v>1240</v>
      </c>
      <c r="E1151" s="36" t="s">
        <v>1240</v>
      </c>
      <c r="F1151" s="154" t="s">
        <v>3728</v>
      </c>
      <c r="G1151" s="36" t="s">
        <v>28</v>
      </c>
      <c r="H1151" s="36" t="s">
        <v>1655</v>
      </c>
      <c r="I1151" s="36" t="s">
        <v>1656</v>
      </c>
      <c r="J1151" s="36" t="s">
        <v>1656</v>
      </c>
      <c r="K1151" s="36" t="s">
        <v>1779</v>
      </c>
      <c r="L1151" s="36" t="s">
        <v>2776</v>
      </c>
      <c r="M1151" s="36" t="s">
        <v>2776</v>
      </c>
      <c r="N1151" s="36" t="s">
        <v>32</v>
      </c>
    </row>
    <row r="1152">
      <c r="A1152" s="36" t="s">
        <v>3729</v>
      </c>
      <c r="B1152" s="154" t="s">
        <v>3716</v>
      </c>
      <c r="C1152" s="36" t="s">
        <v>1666</v>
      </c>
      <c r="D1152" s="36" t="s">
        <v>1247</v>
      </c>
      <c r="E1152" s="36" t="s">
        <v>1247</v>
      </c>
      <c r="F1152" s="154" t="s">
        <v>3730</v>
      </c>
      <c r="G1152" s="36" t="s">
        <v>34</v>
      </c>
      <c r="H1152" s="36" t="s">
        <v>1655</v>
      </c>
      <c r="I1152" s="36" t="s">
        <v>1656</v>
      </c>
      <c r="J1152" s="36" t="s">
        <v>1656</v>
      </c>
      <c r="K1152" s="36" t="s">
        <v>1782</v>
      </c>
      <c r="L1152" s="36" t="s">
        <v>2776</v>
      </c>
      <c r="M1152" s="36" t="s">
        <v>2776</v>
      </c>
      <c r="N1152" s="36" t="s">
        <v>32</v>
      </c>
    </row>
    <row r="1153">
      <c r="A1153" s="36" t="s">
        <v>3731</v>
      </c>
      <c r="B1153" s="154" t="s">
        <v>3716</v>
      </c>
      <c r="C1153" s="36" t="s">
        <v>1666</v>
      </c>
      <c r="D1153" s="36" t="s">
        <v>1252</v>
      </c>
      <c r="E1153" s="36" t="s">
        <v>1252</v>
      </c>
      <c r="F1153" s="154" t="s">
        <v>3732</v>
      </c>
      <c r="G1153" s="36" t="s">
        <v>32</v>
      </c>
      <c r="H1153" s="36" t="s">
        <v>1655</v>
      </c>
      <c r="I1153" s="36" t="s">
        <v>1656</v>
      </c>
      <c r="J1153" s="36" t="s">
        <v>1656</v>
      </c>
      <c r="K1153" s="36" t="s">
        <v>1784</v>
      </c>
      <c r="L1153" s="36" t="s">
        <v>2776</v>
      </c>
      <c r="M1153" s="36" t="s">
        <v>2776</v>
      </c>
      <c r="N1153" s="36" t="s">
        <v>32</v>
      </c>
    </row>
    <row r="1154">
      <c r="A1154" s="36" t="s">
        <v>3733</v>
      </c>
      <c r="B1154" s="154" t="s">
        <v>3716</v>
      </c>
      <c r="C1154" s="36" t="s">
        <v>1666</v>
      </c>
      <c r="D1154" s="36" t="s">
        <v>1260</v>
      </c>
      <c r="E1154" s="36" t="s">
        <v>1260</v>
      </c>
      <c r="F1154" s="154" t="s">
        <v>3734</v>
      </c>
      <c r="G1154" s="36" t="s">
        <v>30</v>
      </c>
      <c r="H1154" s="36" t="s">
        <v>1655</v>
      </c>
      <c r="I1154" s="36" t="s">
        <v>1656</v>
      </c>
      <c r="J1154" s="36" t="s">
        <v>1656</v>
      </c>
      <c r="K1154" s="36" t="s">
        <v>1787</v>
      </c>
      <c r="L1154" s="36" t="s">
        <v>2776</v>
      </c>
      <c r="M1154" s="36" t="s">
        <v>2776</v>
      </c>
      <c r="N1154" s="36" t="s">
        <v>32</v>
      </c>
    </row>
    <row r="1155">
      <c r="A1155" s="36" t="s">
        <v>3735</v>
      </c>
      <c r="B1155" s="154" t="s">
        <v>3716</v>
      </c>
      <c r="C1155" s="36" t="s">
        <v>1666</v>
      </c>
      <c r="D1155" s="36" t="s">
        <v>1264</v>
      </c>
      <c r="E1155" s="36" t="s">
        <v>1264</v>
      </c>
      <c r="F1155" s="154" t="s">
        <v>3736</v>
      </c>
      <c r="G1155" s="36" t="s">
        <v>32</v>
      </c>
      <c r="H1155" s="36" t="s">
        <v>1655</v>
      </c>
      <c r="I1155" s="36" t="s">
        <v>1656</v>
      </c>
      <c r="J1155" s="36" t="s">
        <v>1656</v>
      </c>
      <c r="K1155" s="36" t="s">
        <v>1790</v>
      </c>
      <c r="L1155" s="36" t="s">
        <v>2776</v>
      </c>
      <c r="M1155" s="36" t="s">
        <v>2776</v>
      </c>
      <c r="N1155" s="36" t="s">
        <v>32</v>
      </c>
    </row>
    <row r="1156">
      <c r="A1156" s="36" t="s">
        <v>3737</v>
      </c>
      <c r="B1156" s="154" t="s">
        <v>3716</v>
      </c>
      <c r="C1156" s="36" t="s">
        <v>1666</v>
      </c>
      <c r="D1156" s="36" t="s">
        <v>1268</v>
      </c>
      <c r="E1156" s="36" t="s">
        <v>1268</v>
      </c>
      <c r="F1156" s="154" t="s">
        <v>3738</v>
      </c>
      <c r="G1156" s="36" t="s">
        <v>34</v>
      </c>
      <c r="H1156" s="36" t="s">
        <v>1655</v>
      </c>
      <c r="I1156" s="36" t="s">
        <v>1656</v>
      </c>
      <c r="J1156" s="36" t="s">
        <v>1656</v>
      </c>
      <c r="K1156" s="36" t="s">
        <v>1793</v>
      </c>
      <c r="L1156" s="36" t="s">
        <v>2776</v>
      </c>
      <c r="M1156" s="36" t="s">
        <v>2776</v>
      </c>
      <c r="N1156" s="36" t="s">
        <v>32</v>
      </c>
    </row>
    <row r="1157">
      <c r="A1157" s="36" t="s">
        <v>3739</v>
      </c>
      <c r="B1157" s="154" t="s">
        <v>3716</v>
      </c>
      <c r="C1157" s="36" t="s">
        <v>1666</v>
      </c>
      <c r="D1157" s="36" t="s">
        <v>1273</v>
      </c>
      <c r="E1157" s="36" t="s">
        <v>1273</v>
      </c>
      <c r="F1157" s="154" t="s">
        <v>3740</v>
      </c>
      <c r="G1157" s="36" t="s">
        <v>28</v>
      </c>
      <c r="H1157" s="36" t="s">
        <v>1655</v>
      </c>
      <c r="I1157" s="36" t="s">
        <v>1656</v>
      </c>
      <c r="J1157" s="36" t="s">
        <v>1656</v>
      </c>
      <c r="K1157" s="36" t="s">
        <v>1796</v>
      </c>
      <c r="L1157" s="36" t="s">
        <v>2776</v>
      </c>
      <c r="M1157" s="36" t="s">
        <v>2776</v>
      </c>
      <c r="N1157" s="36" t="s">
        <v>32</v>
      </c>
    </row>
    <row r="1158">
      <c r="A1158" s="36" t="s">
        <v>3741</v>
      </c>
      <c r="B1158" s="154" t="s">
        <v>3742</v>
      </c>
      <c r="C1158" s="36" t="s">
        <v>1666</v>
      </c>
      <c r="D1158" s="36" t="s">
        <v>533</v>
      </c>
      <c r="E1158" s="36" t="s">
        <v>533</v>
      </c>
      <c r="F1158" s="154" t="s">
        <v>3743</v>
      </c>
      <c r="G1158" s="36" t="s">
        <v>28</v>
      </c>
      <c r="H1158" s="36" t="s">
        <v>1655</v>
      </c>
      <c r="I1158" s="36" t="s">
        <v>1656</v>
      </c>
      <c r="J1158" s="36" t="s">
        <v>1656</v>
      </c>
      <c r="K1158" s="36" t="s">
        <v>1800</v>
      </c>
      <c r="L1158" s="36" t="s">
        <v>2776</v>
      </c>
      <c r="M1158" s="36" t="s">
        <v>2776</v>
      </c>
      <c r="N1158" s="36" t="s">
        <v>34</v>
      </c>
    </row>
    <row r="1159">
      <c r="A1159" s="36" t="s">
        <v>3744</v>
      </c>
      <c r="B1159" s="154" t="s">
        <v>3742</v>
      </c>
      <c r="C1159" s="36" t="s">
        <v>1666</v>
      </c>
      <c r="D1159" s="36" t="s">
        <v>209</v>
      </c>
      <c r="E1159" s="36" t="s">
        <v>209</v>
      </c>
      <c r="F1159" s="154" t="s">
        <v>3745</v>
      </c>
      <c r="G1159" s="36" t="s">
        <v>28</v>
      </c>
      <c r="H1159" s="36" t="s">
        <v>1655</v>
      </c>
      <c r="I1159" s="36" t="s">
        <v>1656</v>
      </c>
      <c r="J1159" s="36" t="s">
        <v>1656</v>
      </c>
      <c r="K1159" s="36" t="s">
        <v>1803</v>
      </c>
      <c r="L1159" s="36" t="s">
        <v>2776</v>
      </c>
      <c r="M1159" s="36" t="s">
        <v>2776</v>
      </c>
      <c r="N1159" s="36" t="s">
        <v>34</v>
      </c>
    </row>
    <row r="1160">
      <c r="A1160" s="36" t="s">
        <v>3746</v>
      </c>
      <c r="B1160" s="154" t="s">
        <v>3742</v>
      </c>
      <c r="C1160" s="36" t="s">
        <v>1666</v>
      </c>
      <c r="D1160" s="36" t="s">
        <v>1285</v>
      </c>
      <c r="E1160" s="36" t="s">
        <v>1285</v>
      </c>
      <c r="F1160" s="154" t="s">
        <v>3747</v>
      </c>
      <c r="G1160" s="36" t="s">
        <v>28</v>
      </c>
      <c r="H1160" s="36" t="s">
        <v>1655</v>
      </c>
      <c r="I1160" s="36" t="s">
        <v>1656</v>
      </c>
      <c r="J1160" s="36" t="s">
        <v>1656</v>
      </c>
      <c r="K1160" s="36" t="s">
        <v>1807</v>
      </c>
      <c r="L1160" s="36" t="s">
        <v>2776</v>
      </c>
      <c r="M1160" s="36" t="s">
        <v>2776</v>
      </c>
      <c r="N1160" s="36" t="s">
        <v>34</v>
      </c>
    </row>
    <row r="1161">
      <c r="A1161" s="36" t="s">
        <v>3748</v>
      </c>
      <c r="B1161" s="154" t="s">
        <v>3742</v>
      </c>
      <c r="C1161" s="36" t="s">
        <v>1666</v>
      </c>
      <c r="D1161" s="36" t="s">
        <v>3749</v>
      </c>
      <c r="E1161" s="36" t="s">
        <v>3749</v>
      </c>
      <c r="F1161" s="154" t="s">
        <v>1816</v>
      </c>
      <c r="G1161" s="36" t="s">
        <v>28</v>
      </c>
      <c r="H1161" s="36" t="s">
        <v>1655</v>
      </c>
      <c r="I1161" s="36" t="s">
        <v>1656</v>
      </c>
      <c r="J1161" s="36" t="s">
        <v>1656</v>
      </c>
      <c r="K1161" s="36" t="s">
        <v>1814</v>
      </c>
      <c r="L1161" s="36" t="s">
        <v>2776</v>
      </c>
      <c r="M1161" s="36" t="s">
        <v>2776</v>
      </c>
      <c r="N1161" s="36" t="s">
        <v>34</v>
      </c>
    </row>
    <row r="1162">
      <c r="A1162" s="36" t="s">
        <v>3750</v>
      </c>
      <c r="B1162" s="154" t="s">
        <v>3751</v>
      </c>
      <c r="C1162" s="36" t="s">
        <v>1666</v>
      </c>
      <c r="D1162" s="36" t="s">
        <v>78</v>
      </c>
      <c r="E1162" s="36" t="s">
        <v>78</v>
      </c>
      <c r="F1162" s="154" t="s">
        <v>1810</v>
      </c>
      <c r="G1162" s="36" t="s">
        <v>28</v>
      </c>
      <c r="H1162" s="36" t="s">
        <v>1655</v>
      </c>
      <c r="I1162" s="36" t="s">
        <v>1656</v>
      </c>
      <c r="J1162" s="36" t="s">
        <v>1656</v>
      </c>
      <c r="K1162" s="36" t="s">
        <v>1811</v>
      </c>
      <c r="L1162" s="36" t="s">
        <v>2776</v>
      </c>
      <c r="M1162" s="36" t="s">
        <v>2776</v>
      </c>
      <c r="N1162" s="36" t="s">
        <v>32</v>
      </c>
    </row>
    <row r="1163">
      <c r="A1163" s="36" t="s">
        <v>3752</v>
      </c>
      <c r="B1163" s="154" t="s">
        <v>3753</v>
      </c>
      <c r="C1163" s="36" t="s">
        <v>1666</v>
      </c>
      <c r="D1163" s="36" t="s">
        <v>618</v>
      </c>
      <c r="E1163" s="36" t="s">
        <v>618</v>
      </c>
      <c r="F1163" s="154" t="s">
        <v>1959</v>
      </c>
      <c r="G1163" s="36" t="s">
        <v>28</v>
      </c>
      <c r="H1163" s="36" t="s">
        <v>1655</v>
      </c>
      <c r="I1163" s="36" t="s">
        <v>1656</v>
      </c>
      <c r="J1163" s="36" t="s">
        <v>1656</v>
      </c>
      <c r="K1163" s="36" t="s">
        <v>1817</v>
      </c>
      <c r="L1163" s="36" t="s">
        <v>2776</v>
      </c>
      <c r="M1163" s="36" t="s">
        <v>2776</v>
      </c>
      <c r="N1163" s="36" t="s">
        <v>34</v>
      </c>
    </row>
    <row r="1164">
      <c r="A1164" s="36" t="s">
        <v>3754</v>
      </c>
      <c r="B1164" s="154" t="s">
        <v>3755</v>
      </c>
      <c r="C1164" s="36" t="s">
        <v>1666</v>
      </c>
      <c r="D1164" s="36" t="s">
        <v>684</v>
      </c>
      <c r="E1164" s="36" t="s">
        <v>684</v>
      </c>
      <c r="F1164" s="154" t="s">
        <v>3756</v>
      </c>
      <c r="G1164" s="36" t="s">
        <v>28</v>
      </c>
      <c r="H1164" s="36" t="s">
        <v>1655</v>
      </c>
      <c r="I1164" s="36" t="s">
        <v>1656</v>
      </c>
      <c r="J1164" s="36" t="s">
        <v>1656</v>
      </c>
      <c r="K1164" s="36" t="s">
        <v>1820</v>
      </c>
      <c r="L1164" s="36" t="s">
        <v>2776</v>
      </c>
      <c r="M1164" s="36" t="s">
        <v>2776</v>
      </c>
      <c r="N1164" s="36" t="s">
        <v>34</v>
      </c>
    </row>
    <row r="1165">
      <c r="A1165" s="36" t="s">
        <v>3757</v>
      </c>
      <c r="B1165" s="154" t="s">
        <v>3755</v>
      </c>
      <c r="C1165" s="36" t="s">
        <v>1666</v>
      </c>
      <c r="D1165" s="36" t="s">
        <v>109</v>
      </c>
      <c r="E1165" s="36" t="s">
        <v>109</v>
      </c>
      <c r="F1165" s="154" t="s">
        <v>1959</v>
      </c>
      <c r="G1165" s="36" t="s">
        <v>28</v>
      </c>
      <c r="H1165" s="36" t="s">
        <v>1655</v>
      </c>
      <c r="I1165" s="36" t="s">
        <v>1656</v>
      </c>
      <c r="J1165" s="36" t="s">
        <v>1656</v>
      </c>
      <c r="K1165" s="36" t="s">
        <v>1823</v>
      </c>
      <c r="L1165" s="36" t="s">
        <v>2776</v>
      </c>
      <c r="M1165" s="36" t="s">
        <v>2776</v>
      </c>
      <c r="N1165" s="36" t="s">
        <v>34</v>
      </c>
    </row>
    <row r="1166">
      <c r="A1166" s="36" t="s">
        <v>3758</v>
      </c>
      <c r="B1166" s="154" t="s">
        <v>3759</v>
      </c>
      <c r="C1166" s="36" t="s">
        <v>1666</v>
      </c>
      <c r="D1166" s="36" t="s">
        <v>299</v>
      </c>
      <c r="E1166" s="36" t="s">
        <v>299</v>
      </c>
      <c r="F1166" s="154" t="s">
        <v>2039</v>
      </c>
      <c r="G1166" s="36" t="s">
        <v>28</v>
      </c>
      <c r="H1166" s="36" t="s">
        <v>1655</v>
      </c>
      <c r="I1166" s="36" t="s">
        <v>1656</v>
      </c>
      <c r="J1166" s="36" t="s">
        <v>1656</v>
      </c>
      <c r="K1166" s="36" t="s">
        <v>1826</v>
      </c>
      <c r="L1166" s="36" t="s">
        <v>2776</v>
      </c>
      <c r="M1166" s="36" t="s">
        <v>2776</v>
      </c>
      <c r="N1166" s="36" t="s">
        <v>34</v>
      </c>
    </row>
    <row r="1167">
      <c r="A1167" s="36" t="s">
        <v>3760</v>
      </c>
      <c r="B1167" s="154" t="s">
        <v>3759</v>
      </c>
      <c r="C1167" s="36" t="s">
        <v>1666</v>
      </c>
      <c r="D1167" s="36" t="s">
        <v>1319</v>
      </c>
      <c r="E1167" s="36" t="s">
        <v>1319</v>
      </c>
      <c r="F1167" s="154" t="s">
        <v>2027</v>
      </c>
      <c r="G1167" s="36" t="s">
        <v>28</v>
      </c>
      <c r="H1167" s="36" t="s">
        <v>1655</v>
      </c>
      <c r="I1167" s="36" t="s">
        <v>1656</v>
      </c>
      <c r="J1167" s="36" t="s">
        <v>1656</v>
      </c>
      <c r="K1167" s="36" t="s">
        <v>1830</v>
      </c>
      <c r="L1167" s="36" t="s">
        <v>2776</v>
      </c>
      <c r="M1167" s="36" t="s">
        <v>2776</v>
      </c>
      <c r="N1167" s="36" t="s">
        <v>34</v>
      </c>
    </row>
    <row r="1168">
      <c r="A1168" s="36" t="s">
        <v>3761</v>
      </c>
      <c r="B1168" s="154" t="s">
        <v>3759</v>
      </c>
      <c r="C1168" s="36" t="s">
        <v>1666</v>
      </c>
      <c r="D1168" s="36" t="s">
        <v>1225</v>
      </c>
      <c r="E1168" s="36" t="s">
        <v>1225</v>
      </c>
      <c r="F1168" s="154" t="s">
        <v>2027</v>
      </c>
      <c r="G1168" s="36" t="s">
        <v>28</v>
      </c>
      <c r="H1168" s="36" t="s">
        <v>1655</v>
      </c>
      <c r="I1168" s="36" t="s">
        <v>1656</v>
      </c>
      <c r="J1168" s="36" t="s">
        <v>1656</v>
      </c>
      <c r="K1168" s="36" t="s">
        <v>1833</v>
      </c>
      <c r="L1168" s="36" t="s">
        <v>2776</v>
      </c>
      <c r="M1168" s="36" t="s">
        <v>2776</v>
      </c>
      <c r="N1168" s="36" t="s">
        <v>34</v>
      </c>
    </row>
    <row r="1169">
      <c r="A1169" s="36" t="s">
        <v>3762</v>
      </c>
      <c r="B1169" s="154" t="s">
        <v>3763</v>
      </c>
      <c r="C1169" s="36" t="s">
        <v>1666</v>
      </c>
      <c r="D1169" s="36" t="s">
        <v>1327</v>
      </c>
      <c r="E1169" s="36" t="s">
        <v>1327</v>
      </c>
      <c r="F1169" s="154" t="s">
        <v>2728</v>
      </c>
      <c r="G1169" s="36" t="s">
        <v>32</v>
      </c>
      <c r="H1169" s="36" t="s">
        <v>1655</v>
      </c>
      <c r="I1169" s="36" t="s">
        <v>1656</v>
      </c>
      <c r="J1169" s="36" t="s">
        <v>1656</v>
      </c>
      <c r="K1169" s="36" t="s">
        <v>1836</v>
      </c>
      <c r="L1169" s="36" t="s">
        <v>2776</v>
      </c>
      <c r="M1169" s="36" t="s">
        <v>2776</v>
      </c>
      <c r="N1169" s="36" t="s">
        <v>32</v>
      </c>
    </row>
    <row r="1170">
      <c r="A1170" s="36" t="s">
        <v>3764</v>
      </c>
      <c r="B1170" s="154" t="s">
        <v>3765</v>
      </c>
      <c r="C1170" s="36" t="s">
        <v>1666</v>
      </c>
      <c r="D1170" s="36" t="s">
        <v>1329</v>
      </c>
      <c r="E1170" s="36" t="s">
        <v>1329</v>
      </c>
      <c r="F1170" s="154" t="s">
        <v>1816</v>
      </c>
      <c r="G1170" s="36" t="s">
        <v>32</v>
      </c>
      <c r="H1170" s="36" t="s">
        <v>1655</v>
      </c>
      <c r="I1170" s="36" t="s">
        <v>1656</v>
      </c>
      <c r="J1170" s="36" t="s">
        <v>1656</v>
      </c>
      <c r="K1170" s="36" t="s">
        <v>1839</v>
      </c>
      <c r="L1170" s="36" t="s">
        <v>2776</v>
      </c>
      <c r="M1170" s="36" t="s">
        <v>2776</v>
      </c>
      <c r="N1170" s="36" t="s">
        <v>32</v>
      </c>
    </row>
    <row r="1171">
      <c r="A1171" s="36" t="s">
        <v>3766</v>
      </c>
      <c r="B1171" s="154" t="s">
        <v>3765</v>
      </c>
      <c r="C1171" s="36" t="s">
        <v>1666</v>
      </c>
      <c r="D1171" s="36" t="s">
        <v>299</v>
      </c>
      <c r="E1171" s="36" t="s">
        <v>299</v>
      </c>
      <c r="F1171" s="154" t="s">
        <v>3767</v>
      </c>
      <c r="G1171" s="36" t="s">
        <v>28</v>
      </c>
      <c r="H1171" s="36" t="s">
        <v>1655</v>
      </c>
      <c r="I1171" s="36" t="s">
        <v>1656</v>
      </c>
      <c r="J1171" s="36" t="s">
        <v>1656</v>
      </c>
      <c r="K1171" s="36" t="s">
        <v>1842</v>
      </c>
      <c r="L1171" s="36" t="s">
        <v>2776</v>
      </c>
      <c r="M1171" s="36" t="s">
        <v>2776</v>
      </c>
      <c r="N1171" s="36" t="s">
        <v>34</v>
      </c>
    </row>
    <row r="1172">
      <c r="A1172" s="36" t="s">
        <v>3768</v>
      </c>
      <c r="B1172" s="154" t="s">
        <v>3765</v>
      </c>
      <c r="C1172" s="36" t="s">
        <v>1666</v>
      </c>
      <c r="D1172" s="36" t="s">
        <v>368</v>
      </c>
      <c r="E1172" s="36" t="s">
        <v>368</v>
      </c>
      <c r="F1172" s="154" t="s">
        <v>3769</v>
      </c>
      <c r="G1172" s="36" t="s">
        <v>28</v>
      </c>
      <c r="H1172" s="36" t="s">
        <v>1655</v>
      </c>
      <c r="I1172" s="36" t="s">
        <v>1656</v>
      </c>
      <c r="J1172" s="36" t="s">
        <v>1656</v>
      </c>
      <c r="K1172" s="36" t="s">
        <v>1845</v>
      </c>
      <c r="L1172" s="36" t="s">
        <v>2776</v>
      </c>
      <c r="M1172" s="36" t="s">
        <v>2776</v>
      </c>
      <c r="N1172" s="36" t="s">
        <v>34</v>
      </c>
    </row>
    <row r="1173">
      <c r="A1173" s="36" t="s">
        <v>3770</v>
      </c>
      <c r="B1173" s="154" t="s">
        <v>3765</v>
      </c>
      <c r="C1173" s="36" t="s">
        <v>1666</v>
      </c>
      <c r="D1173" s="36" t="s">
        <v>1340</v>
      </c>
      <c r="E1173" s="36" t="s">
        <v>1340</v>
      </c>
      <c r="F1173" s="154" t="s">
        <v>1832</v>
      </c>
      <c r="G1173" s="36" t="s">
        <v>28</v>
      </c>
      <c r="H1173" s="36" t="s">
        <v>1655</v>
      </c>
      <c r="I1173" s="36" t="s">
        <v>1656</v>
      </c>
      <c r="J1173" s="36" t="s">
        <v>1656</v>
      </c>
      <c r="K1173" s="36" t="s">
        <v>1848</v>
      </c>
      <c r="L1173" s="36" t="s">
        <v>2776</v>
      </c>
      <c r="M1173" s="36" t="s">
        <v>2776</v>
      </c>
      <c r="N1173" s="36" t="s">
        <v>34</v>
      </c>
    </row>
    <row r="1174">
      <c r="A1174" s="36" t="s">
        <v>3771</v>
      </c>
      <c r="B1174" s="154" t="s">
        <v>3772</v>
      </c>
      <c r="C1174" s="36" t="s">
        <v>1666</v>
      </c>
      <c r="D1174" s="36" t="s">
        <v>368</v>
      </c>
      <c r="E1174" s="36" t="s">
        <v>368</v>
      </c>
      <c r="F1174" s="154" t="s">
        <v>1806</v>
      </c>
      <c r="G1174" s="36" t="s">
        <v>28</v>
      </c>
      <c r="H1174" s="36" t="s">
        <v>1655</v>
      </c>
      <c r="I1174" s="36" t="s">
        <v>1656</v>
      </c>
      <c r="J1174" s="36" t="s">
        <v>1656</v>
      </c>
      <c r="K1174" s="36" t="s">
        <v>1851</v>
      </c>
      <c r="L1174" s="36" t="s">
        <v>2776</v>
      </c>
      <c r="M1174" s="36" t="s">
        <v>2776</v>
      </c>
      <c r="N1174" s="36" t="s">
        <v>34</v>
      </c>
    </row>
    <row r="1175">
      <c r="A1175" s="36" t="s">
        <v>3773</v>
      </c>
      <c r="B1175" s="154" t="s">
        <v>3774</v>
      </c>
      <c r="C1175" s="36" t="s">
        <v>1666</v>
      </c>
      <c r="D1175" s="36" t="s">
        <v>1351</v>
      </c>
      <c r="E1175" s="36" t="s">
        <v>1351</v>
      </c>
      <c r="F1175" s="154" t="s">
        <v>1816</v>
      </c>
      <c r="G1175" s="36" t="s">
        <v>28</v>
      </c>
      <c r="H1175" s="36" t="s">
        <v>1655</v>
      </c>
      <c r="I1175" s="36" t="s">
        <v>1656</v>
      </c>
      <c r="J1175" s="36" t="s">
        <v>1656</v>
      </c>
      <c r="K1175" s="36" t="s">
        <v>1854</v>
      </c>
      <c r="L1175" s="36" t="s">
        <v>2776</v>
      </c>
      <c r="M1175" s="36" t="s">
        <v>2776</v>
      </c>
      <c r="N1175" s="36" t="s">
        <v>34</v>
      </c>
    </row>
    <row r="1176">
      <c r="A1176" s="36" t="s">
        <v>3775</v>
      </c>
      <c r="B1176" s="154" t="s">
        <v>3774</v>
      </c>
      <c r="C1176" s="36" t="s">
        <v>1666</v>
      </c>
      <c r="D1176" s="36" t="s">
        <v>368</v>
      </c>
      <c r="E1176" s="36" t="s">
        <v>368</v>
      </c>
      <c r="F1176" s="154" t="s">
        <v>1806</v>
      </c>
      <c r="G1176" s="36" t="s">
        <v>28</v>
      </c>
      <c r="H1176" s="36" t="s">
        <v>1655</v>
      </c>
      <c r="I1176" s="36" t="s">
        <v>1656</v>
      </c>
      <c r="J1176" s="36" t="s">
        <v>1656</v>
      </c>
      <c r="K1176" s="36" t="s">
        <v>1857</v>
      </c>
      <c r="L1176" s="36" t="s">
        <v>2776</v>
      </c>
      <c r="M1176" s="36" t="s">
        <v>2776</v>
      </c>
      <c r="N1176" s="36" t="s">
        <v>34</v>
      </c>
    </row>
    <row r="1177">
      <c r="A1177" s="36" t="s">
        <v>3776</v>
      </c>
      <c r="B1177" s="154" t="s">
        <v>3777</v>
      </c>
      <c r="C1177" s="36" t="s">
        <v>1666</v>
      </c>
      <c r="D1177" s="36" t="s">
        <v>714</v>
      </c>
      <c r="E1177" s="36" t="s">
        <v>714</v>
      </c>
      <c r="F1177" s="154" t="s">
        <v>2867</v>
      </c>
      <c r="G1177" s="36" t="s">
        <v>32</v>
      </c>
      <c r="H1177" s="36" t="s">
        <v>1655</v>
      </c>
      <c r="I1177" s="36" t="s">
        <v>1656</v>
      </c>
      <c r="J1177" s="36" t="s">
        <v>1656</v>
      </c>
      <c r="K1177" s="36" t="s">
        <v>1891</v>
      </c>
      <c r="L1177" s="36" t="s">
        <v>2776</v>
      </c>
      <c r="M1177" s="36" t="s">
        <v>2776</v>
      </c>
      <c r="N1177" s="36" t="s">
        <v>32</v>
      </c>
    </row>
    <row r="1178">
      <c r="A1178" s="36" t="s">
        <v>3778</v>
      </c>
      <c r="B1178" s="154" t="s">
        <v>3777</v>
      </c>
      <c r="C1178" s="36" t="s">
        <v>1666</v>
      </c>
      <c r="D1178" s="36" t="s">
        <v>1358</v>
      </c>
      <c r="E1178" s="36" t="s">
        <v>1358</v>
      </c>
      <c r="F1178" s="154" t="s">
        <v>3779</v>
      </c>
      <c r="G1178" s="36" t="s">
        <v>32</v>
      </c>
      <c r="H1178" s="36" t="s">
        <v>1655</v>
      </c>
      <c r="I1178" s="36" t="s">
        <v>1656</v>
      </c>
      <c r="J1178" s="36" t="s">
        <v>1656</v>
      </c>
      <c r="K1178" s="36" t="s">
        <v>1860</v>
      </c>
      <c r="L1178" s="36" t="s">
        <v>2776</v>
      </c>
      <c r="M1178" s="36" t="s">
        <v>2776</v>
      </c>
      <c r="N1178" s="36" t="s">
        <v>32</v>
      </c>
    </row>
    <row r="1179">
      <c r="A1179" s="36" t="s">
        <v>3780</v>
      </c>
      <c r="B1179" s="154" t="s">
        <v>3777</v>
      </c>
      <c r="C1179" s="36" t="s">
        <v>1666</v>
      </c>
      <c r="D1179" s="36" t="s">
        <v>1363</v>
      </c>
      <c r="E1179" s="36" t="s">
        <v>1363</v>
      </c>
      <c r="F1179" s="154" t="s">
        <v>1966</v>
      </c>
      <c r="G1179" s="36" t="s">
        <v>28</v>
      </c>
      <c r="H1179" s="36" t="s">
        <v>1655</v>
      </c>
      <c r="I1179" s="36" t="s">
        <v>1656</v>
      </c>
      <c r="J1179" s="36" t="s">
        <v>1656</v>
      </c>
      <c r="K1179" s="36" t="s">
        <v>1863</v>
      </c>
      <c r="L1179" s="36" t="s">
        <v>2776</v>
      </c>
      <c r="M1179" s="36" t="s">
        <v>2776</v>
      </c>
      <c r="N1179" s="36" t="s">
        <v>34</v>
      </c>
    </row>
    <row r="1180">
      <c r="A1180" s="36" t="s">
        <v>3781</v>
      </c>
      <c r="B1180" s="154" t="s">
        <v>3777</v>
      </c>
      <c r="C1180" s="36" t="s">
        <v>1666</v>
      </c>
      <c r="D1180" s="36" t="s">
        <v>109</v>
      </c>
      <c r="E1180" s="36" t="s">
        <v>109</v>
      </c>
      <c r="F1180" s="154" t="s">
        <v>1959</v>
      </c>
      <c r="G1180" s="36" t="s">
        <v>28</v>
      </c>
      <c r="H1180" s="36" t="s">
        <v>1655</v>
      </c>
      <c r="I1180" s="36" t="s">
        <v>1656</v>
      </c>
      <c r="J1180" s="36" t="s">
        <v>1656</v>
      </c>
      <c r="K1180" s="36" t="s">
        <v>1866</v>
      </c>
      <c r="L1180" s="36" t="s">
        <v>2776</v>
      </c>
      <c r="M1180" s="36" t="s">
        <v>2776</v>
      </c>
      <c r="N1180" s="36" t="s">
        <v>34</v>
      </c>
    </row>
    <row r="1181">
      <c r="A1181" s="36" t="s">
        <v>3782</v>
      </c>
      <c r="B1181" s="154" t="s">
        <v>3783</v>
      </c>
      <c r="C1181" s="36" t="s">
        <v>1666</v>
      </c>
      <c r="D1181" s="36" t="s">
        <v>1368</v>
      </c>
      <c r="E1181" s="36" t="s">
        <v>1368</v>
      </c>
      <c r="F1181" s="154" t="s">
        <v>1806</v>
      </c>
      <c r="G1181" s="36" t="s">
        <v>32</v>
      </c>
      <c r="H1181" s="36" t="s">
        <v>1655</v>
      </c>
      <c r="I1181" s="36" t="s">
        <v>1656</v>
      </c>
      <c r="J1181" s="36" t="s">
        <v>1656</v>
      </c>
      <c r="K1181" s="36" t="s">
        <v>1869</v>
      </c>
      <c r="L1181" s="36" t="s">
        <v>2776</v>
      </c>
      <c r="M1181" s="36" t="s">
        <v>2776</v>
      </c>
      <c r="N1181" s="36" t="s">
        <v>32</v>
      </c>
    </row>
    <row r="1182">
      <c r="A1182" s="36" t="s">
        <v>3784</v>
      </c>
      <c r="B1182" s="154" t="s">
        <v>3783</v>
      </c>
      <c r="C1182" s="36" t="s">
        <v>1666</v>
      </c>
      <c r="D1182" s="36" t="s">
        <v>1371</v>
      </c>
      <c r="E1182" s="36" t="s">
        <v>1371</v>
      </c>
      <c r="F1182" s="154" t="s">
        <v>3785</v>
      </c>
      <c r="G1182" s="36" t="s">
        <v>28</v>
      </c>
      <c r="H1182" s="36" t="s">
        <v>1655</v>
      </c>
      <c r="I1182" s="36" t="s">
        <v>1656</v>
      </c>
      <c r="J1182" s="36" t="s">
        <v>1656</v>
      </c>
      <c r="K1182" s="36" t="s">
        <v>1872</v>
      </c>
      <c r="L1182" s="36" t="s">
        <v>2776</v>
      </c>
      <c r="M1182" s="36" t="s">
        <v>2776</v>
      </c>
      <c r="N1182" s="36" t="s">
        <v>32</v>
      </c>
    </row>
    <row r="1183">
      <c r="A1183" s="36" t="s">
        <v>3786</v>
      </c>
      <c r="B1183" s="154" t="s">
        <v>3783</v>
      </c>
      <c r="C1183" s="36" t="s">
        <v>1666</v>
      </c>
      <c r="D1183" s="36" t="s">
        <v>214</v>
      </c>
      <c r="E1183" s="36" t="s">
        <v>214</v>
      </c>
      <c r="F1183" s="154" t="s">
        <v>1829</v>
      </c>
      <c r="G1183" s="36" t="s">
        <v>28</v>
      </c>
      <c r="H1183" s="36" t="s">
        <v>1655</v>
      </c>
      <c r="I1183" s="36" t="s">
        <v>1656</v>
      </c>
      <c r="J1183" s="36" t="s">
        <v>1656</v>
      </c>
      <c r="K1183" s="36" t="s">
        <v>1875</v>
      </c>
      <c r="L1183" s="36" t="s">
        <v>2776</v>
      </c>
      <c r="M1183" s="36" t="s">
        <v>2776</v>
      </c>
      <c r="N1183" s="36" t="s">
        <v>32</v>
      </c>
    </row>
    <row r="1184">
      <c r="A1184" s="36" t="s">
        <v>3787</v>
      </c>
      <c r="B1184" s="154" t="s">
        <v>3783</v>
      </c>
      <c r="C1184" s="36" t="s">
        <v>1666</v>
      </c>
      <c r="D1184" s="36" t="s">
        <v>100</v>
      </c>
      <c r="E1184" s="36" t="s">
        <v>100</v>
      </c>
      <c r="F1184" s="154" t="s">
        <v>1810</v>
      </c>
      <c r="G1184" s="36" t="s">
        <v>32</v>
      </c>
      <c r="H1184" s="36" t="s">
        <v>1655</v>
      </c>
      <c r="I1184" s="36" t="s">
        <v>1656</v>
      </c>
      <c r="J1184" s="36" t="s">
        <v>1656</v>
      </c>
      <c r="K1184" s="36" t="s">
        <v>1878</v>
      </c>
      <c r="L1184" s="36" t="s">
        <v>2776</v>
      </c>
      <c r="M1184" s="36" t="s">
        <v>2776</v>
      </c>
      <c r="N1184" s="36" t="s">
        <v>32</v>
      </c>
    </row>
    <row r="1185">
      <c r="A1185" s="36" t="s">
        <v>3788</v>
      </c>
      <c r="B1185" s="154" t="s">
        <v>3783</v>
      </c>
      <c r="C1185" s="36" t="s">
        <v>1666</v>
      </c>
      <c r="D1185" s="36" t="s">
        <v>582</v>
      </c>
      <c r="E1185" s="36" t="s">
        <v>582</v>
      </c>
      <c r="F1185" s="154" t="s">
        <v>2021</v>
      </c>
      <c r="G1185" s="36" t="s">
        <v>28</v>
      </c>
      <c r="H1185" s="36" t="s">
        <v>1655</v>
      </c>
      <c r="I1185" s="36" t="s">
        <v>1656</v>
      </c>
      <c r="J1185" s="36" t="s">
        <v>1656</v>
      </c>
      <c r="K1185" s="36" t="s">
        <v>1881</v>
      </c>
      <c r="L1185" s="36" t="s">
        <v>2776</v>
      </c>
      <c r="M1185" s="36" t="s">
        <v>2776</v>
      </c>
      <c r="N1185" s="36" t="s">
        <v>32</v>
      </c>
    </row>
    <row r="1186">
      <c r="A1186" s="36" t="s">
        <v>3789</v>
      </c>
      <c r="B1186" s="154" t="s">
        <v>3783</v>
      </c>
      <c r="C1186" s="36" t="s">
        <v>1666</v>
      </c>
      <c r="D1186" s="36" t="s">
        <v>1377</v>
      </c>
      <c r="E1186" s="36" t="s">
        <v>1377</v>
      </c>
      <c r="F1186" s="154" t="s">
        <v>1929</v>
      </c>
      <c r="G1186" s="36" t="s">
        <v>28</v>
      </c>
      <c r="H1186" s="36" t="s">
        <v>1655</v>
      </c>
      <c r="I1186" s="36" t="s">
        <v>1656</v>
      </c>
      <c r="J1186" s="36" t="s">
        <v>1656</v>
      </c>
      <c r="K1186" s="36" t="s">
        <v>1884</v>
      </c>
      <c r="L1186" s="36" t="s">
        <v>2776</v>
      </c>
      <c r="M1186" s="36" t="s">
        <v>2776</v>
      </c>
      <c r="N1186" s="36" t="s">
        <v>32</v>
      </c>
    </row>
    <row r="1187">
      <c r="A1187" s="36" t="s">
        <v>3790</v>
      </c>
      <c r="B1187" s="154" t="s">
        <v>3783</v>
      </c>
      <c r="C1187" s="36" t="s">
        <v>1666</v>
      </c>
      <c r="D1187" s="36" t="s">
        <v>124</v>
      </c>
      <c r="E1187" s="36" t="s">
        <v>124</v>
      </c>
      <c r="F1187" s="154" t="s">
        <v>3791</v>
      </c>
      <c r="G1187" s="36" t="s">
        <v>32</v>
      </c>
      <c r="H1187" s="36" t="s">
        <v>1655</v>
      </c>
      <c r="I1187" s="36" t="s">
        <v>1656</v>
      </c>
      <c r="J1187" s="36" t="s">
        <v>1656</v>
      </c>
      <c r="K1187" s="36" t="s">
        <v>1887</v>
      </c>
      <c r="L1187" s="36" t="s">
        <v>2776</v>
      </c>
      <c r="M1187" s="36" t="s">
        <v>2776</v>
      </c>
      <c r="N1187" s="36" t="s">
        <v>32</v>
      </c>
    </row>
    <row r="1188">
      <c r="A1188" s="36" t="s">
        <v>3792</v>
      </c>
      <c r="B1188" s="154" t="s">
        <v>3793</v>
      </c>
      <c r="C1188" s="36" t="s">
        <v>1666</v>
      </c>
      <c r="D1188" s="36" t="s">
        <v>81</v>
      </c>
      <c r="E1188" s="36" t="s">
        <v>81</v>
      </c>
      <c r="F1188" s="154" t="s">
        <v>3296</v>
      </c>
      <c r="G1188" s="36" t="s">
        <v>28</v>
      </c>
      <c r="H1188" s="36" t="s">
        <v>1655</v>
      </c>
      <c r="I1188" s="36" t="s">
        <v>1656</v>
      </c>
      <c r="J1188" s="36" t="s">
        <v>1656</v>
      </c>
      <c r="K1188" s="36" t="s">
        <v>1921</v>
      </c>
      <c r="L1188" s="36" t="s">
        <v>2776</v>
      </c>
      <c r="M1188" s="36" t="s">
        <v>2776</v>
      </c>
      <c r="N1188" s="36" t="s">
        <v>32</v>
      </c>
    </row>
    <row r="1189">
      <c r="A1189" s="36" t="s">
        <v>3794</v>
      </c>
      <c r="B1189" s="154" t="s">
        <v>3793</v>
      </c>
      <c r="C1189" s="36" t="s">
        <v>1666</v>
      </c>
      <c r="D1189" s="36" t="s">
        <v>84</v>
      </c>
      <c r="E1189" s="36" t="s">
        <v>84</v>
      </c>
      <c r="F1189" s="154" t="s">
        <v>3556</v>
      </c>
      <c r="G1189" s="36" t="s">
        <v>32</v>
      </c>
      <c r="H1189" s="36" t="s">
        <v>1655</v>
      </c>
      <c r="I1189" s="36" t="s">
        <v>1656</v>
      </c>
      <c r="J1189" s="36" t="s">
        <v>1656</v>
      </c>
      <c r="K1189" s="36" t="s">
        <v>1924</v>
      </c>
      <c r="L1189" s="36" t="s">
        <v>2776</v>
      </c>
      <c r="M1189" s="36" t="s">
        <v>2776</v>
      </c>
      <c r="N1189" s="36" t="s">
        <v>32</v>
      </c>
    </row>
    <row r="1190">
      <c r="A1190" s="36" t="s">
        <v>3795</v>
      </c>
      <c r="B1190" s="154" t="s">
        <v>3793</v>
      </c>
      <c r="C1190" s="36" t="s">
        <v>1666</v>
      </c>
      <c r="D1190" s="36" t="s">
        <v>100</v>
      </c>
      <c r="E1190" s="36" t="s">
        <v>100</v>
      </c>
      <c r="F1190" s="154" t="s">
        <v>1810</v>
      </c>
      <c r="G1190" s="36" t="s">
        <v>32</v>
      </c>
      <c r="H1190" s="36" t="s">
        <v>1655</v>
      </c>
      <c r="I1190" s="36" t="s">
        <v>1656</v>
      </c>
      <c r="J1190" s="36" t="s">
        <v>1656</v>
      </c>
      <c r="K1190" s="36" t="s">
        <v>1894</v>
      </c>
      <c r="L1190" s="36" t="s">
        <v>2776</v>
      </c>
      <c r="M1190" s="36" t="s">
        <v>2776</v>
      </c>
      <c r="N1190" s="36" t="s">
        <v>32</v>
      </c>
    </row>
    <row r="1191">
      <c r="A1191" s="36" t="s">
        <v>3796</v>
      </c>
      <c r="B1191" s="154" t="s">
        <v>3797</v>
      </c>
      <c r="C1191" s="36" t="s">
        <v>1666</v>
      </c>
      <c r="D1191" s="36" t="s">
        <v>1384</v>
      </c>
      <c r="E1191" s="36" t="s">
        <v>1384</v>
      </c>
      <c r="F1191" s="154" t="s">
        <v>3798</v>
      </c>
      <c r="G1191" s="36" t="s">
        <v>28</v>
      </c>
      <c r="H1191" s="36" t="s">
        <v>1655</v>
      </c>
      <c r="I1191" s="36" t="s">
        <v>1656</v>
      </c>
      <c r="J1191" s="36" t="s">
        <v>1656</v>
      </c>
      <c r="K1191" s="36" t="s">
        <v>1897</v>
      </c>
      <c r="L1191" s="36" t="s">
        <v>2776</v>
      </c>
      <c r="M1191" s="36" t="s">
        <v>2776</v>
      </c>
      <c r="N1191" s="36" t="s">
        <v>32</v>
      </c>
    </row>
    <row r="1192">
      <c r="A1192" s="36" t="s">
        <v>3799</v>
      </c>
      <c r="B1192" s="154" t="s">
        <v>3797</v>
      </c>
      <c r="C1192" s="36" t="s">
        <v>1666</v>
      </c>
      <c r="D1192" s="36" t="s">
        <v>1058</v>
      </c>
      <c r="E1192" s="36" t="s">
        <v>1058</v>
      </c>
      <c r="F1192" s="154" t="s">
        <v>3800</v>
      </c>
      <c r="G1192" s="36" t="s">
        <v>28</v>
      </c>
      <c r="H1192" s="36" t="s">
        <v>1655</v>
      </c>
      <c r="I1192" s="36" t="s">
        <v>1656</v>
      </c>
      <c r="J1192" s="36" t="s">
        <v>1656</v>
      </c>
      <c r="K1192" s="36" t="s">
        <v>1900</v>
      </c>
      <c r="L1192" s="36" t="s">
        <v>2776</v>
      </c>
      <c r="M1192" s="36" t="s">
        <v>2776</v>
      </c>
      <c r="N1192" s="36" t="s">
        <v>32</v>
      </c>
    </row>
    <row r="1193">
      <c r="A1193" s="36" t="s">
        <v>3801</v>
      </c>
      <c r="B1193" s="154" t="s">
        <v>3797</v>
      </c>
      <c r="C1193" s="36" t="s">
        <v>1666</v>
      </c>
      <c r="D1193" s="36" t="s">
        <v>1386</v>
      </c>
      <c r="E1193" s="36" t="s">
        <v>1386</v>
      </c>
      <c r="F1193" s="154" t="s">
        <v>3802</v>
      </c>
      <c r="G1193" s="36" t="s">
        <v>28</v>
      </c>
      <c r="H1193" s="36" t="s">
        <v>1655</v>
      </c>
      <c r="I1193" s="36" t="s">
        <v>1656</v>
      </c>
      <c r="J1193" s="36" t="s">
        <v>1656</v>
      </c>
      <c r="K1193" s="36" t="s">
        <v>1903</v>
      </c>
      <c r="L1193" s="36" t="s">
        <v>2776</v>
      </c>
      <c r="M1193" s="36" t="s">
        <v>2776</v>
      </c>
      <c r="N1193" s="36" t="s">
        <v>32</v>
      </c>
    </row>
    <row r="1194">
      <c r="A1194" s="36" t="s">
        <v>3803</v>
      </c>
      <c r="B1194" s="154" t="s">
        <v>3804</v>
      </c>
      <c r="C1194" s="36" t="s">
        <v>1653</v>
      </c>
      <c r="D1194" s="36" t="s">
        <v>43</v>
      </c>
      <c r="E1194" s="36" t="s">
        <v>39</v>
      </c>
      <c r="F1194" s="154" t="s">
        <v>3805</v>
      </c>
      <c r="G1194" s="36" t="s">
        <v>32</v>
      </c>
      <c r="H1194" s="36" t="s">
        <v>1655</v>
      </c>
      <c r="I1194" s="36" t="s">
        <v>1656</v>
      </c>
      <c r="J1194" s="36" t="s">
        <v>1656</v>
      </c>
      <c r="K1194" s="36" t="s">
        <v>1657</v>
      </c>
      <c r="L1194" s="36" t="s">
        <v>2771</v>
      </c>
      <c r="M1194" s="36" t="s">
        <v>2771</v>
      </c>
      <c r="N1194" s="36" t="s">
        <v>32</v>
      </c>
    </row>
    <row r="1195">
      <c r="A1195" s="36" t="s">
        <v>3806</v>
      </c>
      <c r="B1195" s="154" t="s">
        <v>3804</v>
      </c>
      <c r="C1195" s="36" t="s">
        <v>1653</v>
      </c>
      <c r="D1195" s="36" t="s">
        <v>158</v>
      </c>
      <c r="E1195" s="36" t="s">
        <v>39</v>
      </c>
      <c r="F1195" s="154" t="s">
        <v>3807</v>
      </c>
      <c r="G1195" s="36" t="s">
        <v>32</v>
      </c>
      <c r="H1195" s="36" t="s">
        <v>1655</v>
      </c>
      <c r="I1195" s="36" t="s">
        <v>1656</v>
      </c>
      <c r="J1195" s="36" t="s">
        <v>1656</v>
      </c>
      <c r="K1195" s="36" t="s">
        <v>1989</v>
      </c>
      <c r="L1195" s="36" t="s">
        <v>2771</v>
      </c>
      <c r="M1195" s="36" t="s">
        <v>2771</v>
      </c>
      <c r="N1195" s="36" t="s">
        <v>32</v>
      </c>
    </row>
    <row r="1196">
      <c r="A1196" s="36" t="s">
        <v>3808</v>
      </c>
      <c r="B1196" s="154" t="s">
        <v>3804</v>
      </c>
      <c r="C1196" s="36" t="s">
        <v>1666</v>
      </c>
      <c r="D1196" s="36" t="s">
        <v>1116</v>
      </c>
      <c r="E1196" s="36" t="s">
        <v>1116</v>
      </c>
      <c r="F1196" s="154" t="s">
        <v>3180</v>
      </c>
      <c r="G1196" s="36" t="s">
        <v>28</v>
      </c>
      <c r="H1196" s="36" t="s">
        <v>1655</v>
      </c>
      <c r="I1196" s="36" t="s">
        <v>1656</v>
      </c>
      <c r="J1196" s="36" t="s">
        <v>1656</v>
      </c>
      <c r="K1196" s="36" t="s">
        <v>2775</v>
      </c>
      <c r="L1196" s="36" t="s">
        <v>2776</v>
      </c>
      <c r="M1196" s="36" t="s">
        <v>2776</v>
      </c>
      <c r="N1196" s="36" t="s">
        <v>32</v>
      </c>
    </row>
    <row r="1197">
      <c r="A1197" s="36" t="s">
        <v>3809</v>
      </c>
      <c r="B1197" s="154" t="s">
        <v>3804</v>
      </c>
      <c r="C1197" s="36" t="s">
        <v>1666</v>
      </c>
      <c r="D1197" s="36" t="s">
        <v>1118</v>
      </c>
      <c r="E1197" s="36" t="s">
        <v>1118</v>
      </c>
      <c r="F1197" s="154" t="s">
        <v>3810</v>
      </c>
      <c r="G1197" s="36" t="s">
        <v>28</v>
      </c>
      <c r="H1197" s="36" t="s">
        <v>1655</v>
      </c>
      <c r="I1197" s="36" t="s">
        <v>1656</v>
      </c>
      <c r="J1197" s="36" t="s">
        <v>1656</v>
      </c>
      <c r="K1197" s="36" t="s">
        <v>2779</v>
      </c>
      <c r="L1197" s="36" t="s">
        <v>2776</v>
      </c>
      <c r="M1197" s="36" t="s">
        <v>2776</v>
      </c>
      <c r="N1197" s="36" t="s">
        <v>32</v>
      </c>
    </row>
    <row r="1198">
      <c r="A1198" s="36" t="s">
        <v>3811</v>
      </c>
      <c r="B1198" s="154" t="s">
        <v>3804</v>
      </c>
      <c r="C1198" s="36" t="s">
        <v>1666</v>
      </c>
      <c r="D1198" s="36" t="s">
        <v>1124</v>
      </c>
      <c r="E1198" s="36" t="s">
        <v>1124</v>
      </c>
      <c r="F1198" s="154" t="s">
        <v>3812</v>
      </c>
      <c r="G1198" s="36" t="s">
        <v>28</v>
      </c>
      <c r="H1198" s="36" t="s">
        <v>1655</v>
      </c>
      <c r="I1198" s="36" t="s">
        <v>1656</v>
      </c>
      <c r="J1198" s="36" t="s">
        <v>1656</v>
      </c>
      <c r="K1198" s="36" t="s">
        <v>2781</v>
      </c>
      <c r="L1198" s="36" t="s">
        <v>2776</v>
      </c>
      <c r="M1198" s="36" t="s">
        <v>2776</v>
      </c>
      <c r="N1198" s="36" t="s">
        <v>32</v>
      </c>
    </row>
    <row r="1199">
      <c r="A1199" s="36" t="s">
        <v>3813</v>
      </c>
      <c r="B1199" s="154" t="s">
        <v>3804</v>
      </c>
      <c r="C1199" s="36" t="s">
        <v>1666</v>
      </c>
      <c r="D1199" s="36" t="s">
        <v>1130</v>
      </c>
      <c r="E1199" s="36" t="s">
        <v>1130</v>
      </c>
      <c r="F1199" s="154" t="s">
        <v>1683</v>
      </c>
      <c r="G1199" s="36" t="s">
        <v>32</v>
      </c>
      <c r="H1199" s="36" t="s">
        <v>1655</v>
      </c>
      <c r="I1199" s="36" t="s">
        <v>1656</v>
      </c>
      <c r="J1199" s="36" t="s">
        <v>1656</v>
      </c>
      <c r="K1199" s="36" t="s">
        <v>1678</v>
      </c>
      <c r="L1199" s="36" t="s">
        <v>2776</v>
      </c>
      <c r="M1199" s="36" t="s">
        <v>2776</v>
      </c>
      <c r="N1199" s="36" t="s">
        <v>32</v>
      </c>
    </row>
    <row r="1200">
      <c r="A1200" s="36" t="s">
        <v>3814</v>
      </c>
      <c r="B1200" s="154" t="s">
        <v>3804</v>
      </c>
      <c r="C1200" s="36" t="s">
        <v>1666</v>
      </c>
      <c r="D1200" s="36" t="s">
        <v>1136</v>
      </c>
      <c r="E1200" s="36" t="s">
        <v>1136</v>
      </c>
      <c r="F1200" s="154" t="s">
        <v>3815</v>
      </c>
      <c r="G1200" s="36" t="s">
        <v>32</v>
      </c>
      <c r="H1200" s="36" t="s">
        <v>1655</v>
      </c>
      <c r="I1200" s="36" t="s">
        <v>1656</v>
      </c>
      <c r="J1200" s="36" t="s">
        <v>1656</v>
      </c>
      <c r="K1200" s="36" t="s">
        <v>1681</v>
      </c>
      <c r="L1200" s="36" t="s">
        <v>2776</v>
      </c>
      <c r="M1200" s="36" t="s">
        <v>2776</v>
      </c>
      <c r="N1200" s="36" t="s">
        <v>34</v>
      </c>
    </row>
    <row r="1201">
      <c r="A1201" s="36" t="s">
        <v>3816</v>
      </c>
      <c r="B1201" s="154" t="s">
        <v>3817</v>
      </c>
      <c r="C1201" s="36" t="s">
        <v>1666</v>
      </c>
      <c r="D1201" s="36" t="s">
        <v>310</v>
      </c>
      <c r="E1201" s="36" t="s">
        <v>310</v>
      </c>
      <c r="F1201" s="154" t="s">
        <v>3395</v>
      </c>
      <c r="G1201" s="36" t="s">
        <v>28</v>
      </c>
      <c r="H1201" s="36" t="s">
        <v>1655</v>
      </c>
      <c r="I1201" s="36" t="s">
        <v>1656</v>
      </c>
      <c r="J1201" s="36" t="s">
        <v>1656</v>
      </c>
      <c r="K1201" s="36" t="s">
        <v>1684</v>
      </c>
      <c r="L1201" s="36" t="s">
        <v>2776</v>
      </c>
      <c r="M1201" s="36" t="s">
        <v>2776</v>
      </c>
      <c r="N1201" s="36" t="s">
        <v>32</v>
      </c>
    </row>
    <row r="1202">
      <c r="A1202" s="36" t="s">
        <v>3818</v>
      </c>
      <c r="B1202" s="154" t="s">
        <v>3817</v>
      </c>
      <c r="C1202" s="36" t="s">
        <v>1666</v>
      </c>
      <c r="D1202" s="36" t="s">
        <v>935</v>
      </c>
      <c r="E1202" s="36" t="s">
        <v>935</v>
      </c>
      <c r="F1202" s="154" t="s">
        <v>3279</v>
      </c>
      <c r="G1202" s="36" t="s">
        <v>34</v>
      </c>
      <c r="H1202" s="36" t="s">
        <v>1655</v>
      </c>
      <c r="I1202" s="36" t="s">
        <v>1656</v>
      </c>
      <c r="J1202" s="36" t="s">
        <v>1656</v>
      </c>
      <c r="K1202" s="36" t="s">
        <v>1691</v>
      </c>
      <c r="L1202" s="36" t="s">
        <v>2776</v>
      </c>
      <c r="M1202" s="36" t="s">
        <v>2776</v>
      </c>
      <c r="N1202" s="36" t="s">
        <v>32</v>
      </c>
    </row>
    <row r="1203">
      <c r="A1203" s="36" t="s">
        <v>3819</v>
      </c>
      <c r="B1203" s="154" t="s">
        <v>3817</v>
      </c>
      <c r="C1203" s="36" t="s">
        <v>1666</v>
      </c>
      <c r="D1203" s="36" t="s">
        <v>935</v>
      </c>
      <c r="E1203" s="36" t="s">
        <v>935</v>
      </c>
      <c r="F1203" s="154" t="s">
        <v>3820</v>
      </c>
      <c r="G1203" s="36" t="s">
        <v>32</v>
      </c>
      <c r="H1203" s="36" t="s">
        <v>1655</v>
      </c>
      <c r="I1203" s="36" t="s">
        <v>1656</v>
      </c>
      <c r="J1203" s="36" t="s">
        <v>1656</v>
      </c>
      <c r="K1203" s="36" t="s">
        <v>1695</v>
      </c>
      <c r="L1203" s="36" t="s">
        <v>2776</v>
      </c>
      <c r="M1203" s="36" t="s">
        <v>2776</v>
      </c>
      <c r="N1203" s="36" t="s">
        <v>32</v>
      </c>
    </row>
    <row r="1204">
      <c r="A1204" s="36" t="s">
        <v>3821</v>
      </c>
      <c r="B1204" s="154" t="s">
        <v>3822</v>
      </c>
      <c r="C1204" s="36" t="s">
        <v>1666</v>
      </c>
      <c r="D1204" s="36" t="s">
        <v>1160</v>
      </c>
      <c r="E1204" s="36" t="s">
        <v>1160</v>
      </c>
      <c r="F1204" s="154" t="s">
        <v>3823</v>
      </c>
      <c r="G1204" s="36" t="s">
        <v>28</v>
      </c>
      <c r="H1204" s="36" t="s">
        <v>1655</v>
      </c>
      <c r="I1204" s="36" t="s">
        <v>1656</v>
      </c>
      <c r="J1204" s="36" t="s">
        <v>1656</v>
      </c>
      <c r="K1204" s="36" t="s">
        <v>1698</v>
      </c>
      <c r="L1204" s="36" t="s">
        <v>2776</v>
      </c>
      <c r="M1204" s="36" t="s">
        <v>2776</v>
      </c>
      <c r="N1204" s="36" t="s">
        <v>32</v>
      </c>
    </row>
    <row r="1205">
      <c r="A1205" s="36" t="s">
        <v>3824</v>
      </c>
      <c r="B1205" s="154" t="s">
        <v>3822</v>
      </c>
      <c r="C1205" s="36" t="s">
        <v>1666</v>
      </c>
      <c r="D1205" s="36" t="s">
        <v>552</v>
      </c>
      <c r="E1205" s="36" t="s">
        <v>552</v>
      </c>
      <c r="F1205" s="154" t="s">
        <v>2249</v>
      </c>
      <c r="G1205" s="36" t="s">
        <v>28</v>
      </c>
      <c r="H1205" s="36" t="s">
        <v>1655</v>
      </c>
      <c r="I1205" s="36" t="s">
        <v>1656</v>
      </c>
      <c r="J1205" s="36" t="s">
        <v>1656</v>
      </c>
      <c r="K1205" s="36" t="s">
        <v>1701</v>
      </c>
      <c r="L1205" s="36" t="s">
        <v>2776</v>
      </c>
      <c r="M1205" s="36" t="s">
        <v>2776</v>
      </c>
      <c r="N1205" s="36" t="s">
        <v>34</v>
      </c>
    </row>
    <row r="1206">
      <c r="A1206" s="36" t="s">
        <v>3825</v>
      </c>
      <c r="B1206" s="154" t="s">
        <v>3822</v>
      </c>
      <c r="C1206" s="36" t="s">
        <v>1666</v>
      </c>
      <c r="D1206" s="36" t="s">
        <v>582</v>
      </c>
      <c r="E1206" s="36" t="s">
        <v>582</v>
      </c>
      <c r="F1206" s="154" t="s">
        <v>1799</v>
      </c>
      <c r="G1206" s="36" t="s">
        <v>28</v>
      </c>
      <c r="H1206" s="36" t="s">
        <v>1655</v>
      </c>
      <c r="I1206" s="36" t="s">
        <v>1656</v>
      </c>
      <c r="J1206" s="36" t="s">
        <v>1656</v>
      </c>
      <c r="K1206" s="36" t="s">
        <v>1704</v>
      </c>
      <c r="L1206" s="36" t="s">
        <v>2776</v>
      </c>
      <c r="M1206" s="36" t="s">
        <v>2776</v>
      </c>
      <c r="N1206" s="36" t="s">
        <v>34</v>
      </c>
    </row>
    <row r="1207">
      <c r="A1207" s="36" t="s">
        <v>3826</v>
      </c>
      <c r="B1207" s="154" t="s">
        <v>3822</v>
      </c>
      <c r="C1207" s="36" t="s">
        <v>1666</v>
      </c>
      <c r="D1207" s="36" t="s">
        <v>1176</v>
      </c>
      <c r="E1207" s="36" t="s">
        <v>1176</v>
      </c>
      <c r="F1207" s="154" t="s">
        <v>2006</v>
      </c>
      <c r="G1207" s="36" t="s">
        <v>28</v>
      </c>
      <c r="H1207" s="36" t="s">
        <v>1655</v>
      </c>
      <c r="I1207" s="36" t="s">
        <v>1656</v>
      </c>
      <c r="J1207" s="36" t="s">
        <v>1656</v>
      </c>
      <c r="K1207" s="36" t="s">
        <v>1711</v>
      </c>
      <c r="L1207" s="36" t="s">
        <v>2776</v>
      </c>
      <c r="M1207" s="36" t="s">
        <v>2776</v>
      </c>
      <c r="N1207" s="36" t="s">
        <v>34</v>
      </c>
    </row>
    <row r="1208">
      <c r="A1208" s="36" t="s">
        <v>3827</v>
      </c>
      <c r="B1208" s="154" t="s">
        <v>3828</v>
      </c>
      <c r="C1208" s="36" t="s">
        <v>1666</v>
      </c>
      <c r="D1208" s="36" t="s">
        <v>64</v>
      </c>
      <c r="E1208" s="36" t="s">
        <v>64</v>
      </c>
      <c r="F1208" s="154" t="s">
        <v>1707</v>
      </c>
      <c r="G1208" s="36" t="s">
        <v>28</v>
      </c>
      <c r="H1208" s="36" t="s">
        <v>1655</v>
      </c>
      <c r="I1208" s="36" t="s">
        <v>1656</v>
      </c>
      <c r="J1208" s="36" t="s">
        <v>1656</v>
      </c>
      <c r="K1208" s="36" t="s">
        <v>1708</v>
      </c>
      <c r="L1208" s="36" t="s">
        <v>2776</v>
      </c>
      <c r="M1208" s="36" t="s">
        <v>2776</v>
      </c>
      <c r="N1208" s="36" t="s">
        <v>32</v>
      </c>
    </row>
    <row r="1209">
      <c r="A1209" s="36" t="s">
        <v>3829</v>
      </c>
      <c r="B1209" s="154" t="s">
        <v>3828</v>
      </c>
      <c r="C1209" s="36" t="s">
        <v>1666</v>
      </c>
      <c r="D1209" s="36" t="s">
        <v>100</v>
      </c>
      <c r="E1209" s="36" t="s">
        <v>100</v>
      </c>
      <c r="F1209" s="154" t="s">
        <v>1810</v>
      </c>
      <c r="G1209" s="36" t="s">
        <v>32</v>
      </c>
      <c r="H1209" s="36" t="s">
        <v>1655</v>
      </c>
      <c r="I1209" s="36" t="s">
        <v>1656</v>
      </c>
      <c r="J1209" s="36" t="s">
        <v>1656</v>
      </c>
      <c r="K1209" s="36" t="s">
        <v>1715</v>
      </c>
      <c r="L1209" s="36" t="s">
        <v>2776</v>
      </c>
      <c r="M1209" s="36" t="s">
        <v>2776</v>
      </c>
      <c r="N1209" s="36" t="s">
        <v>32</v>
      </c>
    </row>
    <row r="1210">
      <c r="A1210" s="36" t="s">
        <v>3830</v>
      </c>
      <c r="B1210" s="154" t="s">
        <v>3831</v>
      </c>
      <c r="C1210" s="36" t="s">
        <v>1653</v>
      </c>
      <c r="D1210" s="36" t="s">
        <v>1102</v>
      </c>
      <c r="E1210" s="36" t="s">
        <v>39</v>
      </c>
      <c r="F1210" s="154" t="s">
        <v>3832</v>
      </c>
      <c r="G1210" s="36" t="s">
        <v>32</v>
      </c>
      <c r="H1210" s="36" t="s">
        <v>1655</v>
      </c>
      <c r="I1210" s="36" t="s">
        <v>1656</v>
      </c>
      <c r="J1210" s="36" t="s">
        <v>1656</v>
      </c>
      <c r="K1210" s="36" t="s">
        <v>1749</v>
      </c>
      <c r="L1210" s="36" t="s">
        <v>2771</v>
      </c>
      <c r="M1210" s="36" t="s">
        <v>2771</v>
      </c>
      <c r="N1210" s="36" t="s">
        <v>32</v>
      </c>
    </row>
    <row r="1211">
      <c r="A1211" s="36" t="s">
        <v>3833</v>
      </c>
      <c r="B1211" s="154" t="s">
        <v>3831</v>
      </c>
      <c r="C1211" s="36" t="s">
        <v>1666</v>
      </c>
      <c r="D1211" s="36" t="s">
        <v>788</v>
      </c>
      <c r="E1211" s="36" t="s">
        <v>788</v>
      </c>
      <c r="F1211" s="154" t="s">
        <v>1816</v>
      </c>
      <c r="G1211" s="36" t="s">
        <v>28</v>
      </c>
      <c r="H1211" s="36" t="s">
        <v>1655</v>
      </c>
      <c r="I1211" s="36" t="s">
        <v>1656</v>
      </c>
      <c r="J1211" s="36" t="s">
        <v>1656</v>
      </c>
      <c r="K1211" s="36" t="s">
        <v>1717</v>
      </c>
      <c r="L1211" s="36" t="s">
        <v>2776</v>
      </c>
      <c r="M1211" s="36" t="s">
        <v>2776</v>
      </c>
      <c r="N1211" s="36" t="s">
        <v>32</v>
      </c>
    </row>
    <row r="1212">
      <c r="A1212" s="36" t="s">
        <v>3834</v>
      </c>
      <c r="B1212" s="154" t="s">
        <v>3831</v>
      </c>
      <c r="C1212" s="36" t="s">
        <v>1666</v>
      </c>
      <c r="D1212" s="36" t="s">
        <v>355</v>
      </c>
      <c r="E1212" s="36" t="s">
        <v>355</v>
      </c>
      <c r="F1212" s="154" t="s">
        <v>1686</v>
      </c>
      <c r="G1212" s="36" t="s">
        <v>32</v>
      </c>
      <c r="H1212" s="36" t="s">
        <v>1655</v>
      </c>
      <c r="I1212" s="36" t="s">
        <v>1656</v>
      </c>
      <c r="J1212" s="36" t="s">
        <v>1656</v>
      </c>
      <c r="K1212" s="36" t="s">
        <v>1724</v>
      </c>
      <c r="L1212" s="36" t="s">
        <v>2776</v>
      </c>
      <c r="M1212" s="36" t="s">
        <v>2776</v>
      </c>
      <c r="N1212" s="36" t="s">
        <v>32</v>
      </c>
    </row>
    <row r="1213">
      <c r="A1213" s="36" t="s">
        <v>3835</v>
      </c>
      <c r="B1213" s="154" t="s">
        <v>3831</v>
      </c>
      <c r="C1213" s="36" t="s">
        <v>1666</v>
      </c>
      <c r="D1213" s="36" t="s">
        <v>653</v>
      </c>
      <c r="E1213" s="36" t="s">
        <v>653</v>
      </c>
      <c r="F1213" s="154" t="s">
        <v>2325</v>
      </c>
      <c r="G1213" s="36" t="s">
        <v>28</v>
      </c>
      <c r="H1213" s="36" t="s">
        <v>1655</v>
      </c>
      <c r="I1213" s="36" t="s">
        <v>1656</v>
      </c>
      <c r="J1213" s="36" t="s">
        <v>1656</v>
      </c>
      <c r="K1213" s="36" t="s">
        <v>1727</v>
      </c>
      <c r="L1213" s="36" t="s">
        <v>2776</v>
      </c>
      <c r="M1213" s="36" t="s">
        <v>2776</v>
      </c>
      <c r="N1213" s="36" t="s">
        <v>32</v>
      </c>
    </row>
    <row r="1214">
      <c r="A1214" s="36" t="s">
        <v>3836</v>
      </c>
      <c r="B1214" s="154" t="s">
        <v>3831</v>
      </c>
      <c r="C1214" s="36" t="s">
        <v>1666</v>
      </c>
      <c r="D1214" s="36" t="s">
        <v>109</v>
      </c>
      <c r="E1214" s="36" t="s">
        <v>109</v>
      </c>
      <c r="F1214" s="154" t="s">
        <v>2378</v>
      </c>
      <c r="G1214" s="36" t="s">
        <v>28</v>
      </c>
      <c r="H1214" s="36" t="s">
        <v>1655</v>
      </c>
      <c r="I1214" s="36" t="s">
        <v>1656</v>
      </c>
      <c r="J1214" s="36" t="s">
        <v>1656</v>
      </c>
      <c r="K1214" s="36" t="s">
        <v>1730</v>
      </c>
      <c r="L1214" s="36" t="s">
        <v>2776</v>
      </c>
      <c r="M1214" s="36" t="s">
        <v>2776</v>
      </c>
      <c r="N1214" s="36" t="s">
        <v>34</v>
      </c>
    </row>
    <row r="1215">
      <c r="A1215" s="36" t="s">
        <v>3837</v>
      </c>
      <c r="B1215" s="154" t="s">
        <v>3831</v>
      </c>
      <c r="C1215" s="36" t="s">
        <v>1666</v>
      </c>
      <c r="D1215" s="36" t="s">
        <v>800</v>
      </c>
      <c r="E1215" s="36" t="s">
        <v>800</v>
      </c>
      <c r="F1215" s="154" t="s">
        <v>3838</v>
      </c>
      <c r="G1215" s="36" t="s">
        <v>28</v>
      </c>
      <c r="H1215" s="36" t="s">
        <v>1655</v>
      </c>
      <c r="I1215" s="36" t="s">
        <v>1656</v>
      </c>
      <c r="J1215" s="36" t="s">
        <v>1656</v>
      </c>
      <c r="K1215" s="36" t="s">
        <v>1732</v>
      </c>
      <c r="L1215" s="36" t="s">
        <v>2776</v>
      </c>
      <c r="M1215" s="36" t="s">
        <v>2776</v>
      </c>
      <c r="N1215" s="36" t="s">
        <v>34</v>
      </c>
    </row>
    <row r="1216">
      <c r="A1216" s="36" t="s">
        <v>3839</v>
      </c>
      <c r="B1216" s="154" t="s">
        <v>3840</v>
      </c>
      <c r="C1216" s="36" t="s">
        <v>1666</v>
      </c>
      <c r="D1216" s="36" t="s">
        <v>66</v>
      </c>
      <c r="E1216" s="36" t="s">
        <v>66</v>
      </c>
      <c r="F1216" s="154" t="s">
        <v>3841</v>
      </c>
      <c r="G1216" s="36" t="s">
        <v>28</v>
      </c>
      <c r="H1216" s="36" t="s">
        <v>1655</v>
      </c>
      <c r="I1216" s="36" t="s">
        <v>1656</v>
      </c>
      <c r="J1216" s="36" t="s">
        <v>1656</v>
      </c>
      <c r="K1216" s="36" t="s">
        <v>1721</v>
      </c>
      <c r="L1216" s="36" t="s">
        <v>2776</v>
      </c>
      <c r="M1216" s="36" t="s">
        <v>2776</v>
      </c>
      <c r="N1216" s="36" t="s">
        <v>32</v>
      </c>
    </row>
    <row r="1217">
      <c r="A1217" s="36" t="s">
        <v>3842</v>
      </c>
      <c r="B1217" s="154" t="s">
        <v>3843</v>
      </c>
      <c r="C1217" s="36" t="s">
        <v>1653</v>
      </c>
      <c r="D1217" s="36" t="s">
        <v>55</v>
      </c>
      <c r="E1217" s="36" t="s">
        <v>39</v>
      </c>
      <c r="F1217" s="154" t="s">
        <v>3844</v>
      </c>
      <c r="G1217" s="36" t="s">
        <v>32</v>
      </c>
      <c r="H1217" s="36" t="s">
        <v>1655</v>
      </c>
      <c r="I1217" s="36" t="s">
        <v>1656</v>
      </c>
      <c r="J1217" s="36" t="s">
        <v>1656</v>
      </c>
      <c r="K1217" s="36" t="s">
        <v>1978</v>
      </c>
      <c r="L1217" s="36" t="s">
        <v>2771</v>
      </c>
      <c r="M1217" s="36" t="s">
        <v>2771</v>
      </c>
      <c r="N1217" s="36" t="s">
        <v>32</v>
      </c>
    </row>
    <row r="1218">
      <c r="A1218" s="36" t="s">
        <v>3845</v>
      </c>
      <c r="B1218" s="154" t="s">
        <v>3843</v>
      </c>
      <c r="C1218" s="36" t="s">
        <v>1666</v>
      </c>
      <c r="D1218" s="36" t="s">
        <v>71</v>
      </c>
      <c r="E1218" s="36" t="s">
        <v>71</v>
      </c>
      <c r="F1218" s="154" t="s">
        <v>2964</v>
      </c>
      <c r="G1218" s="36" t="s">
        <v>28</v>
      </c>
      <c r="H1218" s="36" t="s">
        <v>1655</v>
      </c>
      <c r="I1218" s="36" t="s">
        <v>1656</v>
      </c>
      <c r="J1218" s="36" t="s">
        <v>1656</v>
      </c>
      <c r="K1218" s="36" t="s">
        <v>1752</v>
      </c>
      <c r="L1218" s="36" t="s">
        <v>2776</v>
      </c>
      <c r="M1218" s="36" t="s">
        <v>2776</v>
      </c>
      <c r="N1218" s="36" t="s">
        <v>32</v>
      </c>
    </row>
    <row r="1219">
      <c r="A1219" s="36" t="s">
        <v>3846</v>
      </c>
      <c r="B1219" s="154" t="s">
        <v>3843</v>
      </c>
      <c r="C1219" s="36" t="s">
        <v>1666</v>
      </c>
      <c r="D1219" s="36" t="s">
        <v>73</v>
      </c>
      <c r="E1219" s="36" t="s">
        <v>73</v>
      </c>
      <c r="F1219" s="154" t="s">
        <v>2966</v>
      </c>
      <c r="G1219" s="36" t="s">
        <v>28</v>
      </c>
      <c r="H1219" s="36" t="s">
        <v>1655</v>
      </c>
      <c r="I1219" s="36" t="s">
        <v>1656</v>
      </c>
      <c r="J1219" s="36" t="s">
        <v>1656</v>
      </c>
      <c r="K1219" s="36" t="s">
        <v>1755</v>
      </c>
      <c r="L1219" s="36" t="s">
        <v>2776</v>
      </c>
      <c r="M1219" s="36" t="s">
        <v>2776</v>
      </c>
      <c r="N1219" s="36" t="s">
        <v>32</v>
      </c>
    </row>
    <row r="1220">
      <c r="A1220" s="36" t="s">
        <v>3847</v>
      </c>
      <c r="B1220" s="154" t="s">
        <v>3843</v>
      </c>
      <c r="C1220" s="36" t="s">
        <v>1666</v>
      </c>
      <c r="D1220" s="36" t="s">
        <v>74</v>
      </c>
      <c r="E1220" s="36" t="s">
        <v>74</v>
      </c>
      <c r="F1220" s="154" t="s">
        <v>2968</v>
      </c>
      <c r="G1220" s="36" t="s">
        <v>28</v>
      </c>
      <c r="H1220" s="36" t="s">
        <v>1655</v>
      </c>
      <c r="I1220" s="36" t="s">
        <v>1656</v>
      </c>
      <c r="J1220" s="36" t="s">
        <v>1656</v>
      </c>
      <c r="K1220" s="36" t="s">
        <v>1757</v>
      </c>
      <c r="L1220" s="36" t="s">
        <v>2776</v>
      </c>
      <c r="M1220" s="36" t="s">
        <v>2776</v>
      </c>
      <c r="N1220" s="36" t="s">
        <v>32</v>
      </c>
    </row>
    <row r="1221">
      <c r="A1221" s="36" t="s">
        <v>3848</v>
      </c>
      <c r="B1221" s="154" t="s">
        <v>3843</v>
      </c>
      <c r="C1221" s="36" t="s">
        <v>1666</v>
      </c>
      <c r="D1221" s="36" t="s">
        <v>75</v>
      </c>
      <c r="E1221" s="36" t="s">
        <v>75</v>
      </c>
      <c r="F1221" s="154" t="s">
        <v>2970</v>
      </c>
      <c r="G1221" s="36" t="s">
        <v>28</v>
      </c>
      <c r="H1221" s="36" t="s">
        <v>1655</v>
      </c>
      <c r="I1221" s="36" t="s">
        <v>1656</v>
      </c>
      <c r="J1221" s="36" t="s">
        <v>1656</v>
      </c>
      <c r="K1221" s="36" t="s">
        <v>1760</v>
      </c>
      <c r="L1221" s="36" t="s">
        <v>2776</v>
      </c>
      <c r="M1221" s="36" t="s">
        <v>2776</v>
      </c>
      <c r="N1221" s="36" t="s">
        <v>32</v>
      </c>
    </row>
    <row r="1222">
      <c r="A1222" s="36" t="s">
        <v>3849</v>
      </c>
      <c r="B1222" s="154" t="s">
        <v>3843</v>
      </c>
      <c r="C1222" s="36" t="s">
        <v>1666</v>
      </c>
      <c r="D1222" s="36" t="s">
        <v>76</v>
      </c>
      <c r="E1222" s="36" t="s">
        <v>76</v>
      </c>
      <c r="F1222" s="154" t="s">
        <v>3850</v>
      </c>
      <c r="G1222" s="36" t="s">
        <v>28</v>
      </c>
      <c r="H1222" s="36" t="s">
        <v>1655</v>
      </c>
      <c r="I1222" s="36" t="s">
        <v>1656</v>
      </c>
      <c r="J1222" s="36" t="s">
        <v>1656</v>
      </c>
      <c r="K1222" s="36" t="s">
        <v>1763</v>
      </c>
      <c r="L1222" s="36" t="s">
        <v>2776</v>
      </c>
      <c r="M1222" s="36" t="s">
        <v>2776</v>
      </c>
      <c r="N1222" s="36" t="s">
        <v>32</v>
      </c>
    </row>
    <row r="1223">
      <c r="A1223" s="36" t="s">
        <v>3851</v>
      </c>
      <c r="B1223" s="154" t="s">
        <v>3843</v>
      </c>
      <c r="C1223" s="36" t="s">
        <v>1666</v>
      </c>
      <c r="D1223" s="36" t="s">
        <v>919</v>
      </c>
      <c r="E1223" s="36" t="s">
        <v>919</v>
      </c>
      <c r="F1223" s="154" t="s">
        <v>3852</v>
      </c>
      <c r="G1223" s="36" t="s">
        <v>28</v>
      </c>
      <c r="H1223" s="36" t="s">
        <v>1655</v>
      </c>
      <c r="I1223" s="36" t="s">
        <v>1656</v>
      </c>
      <c r="J1223" s="36" t="s">
        <v>1656</v>
      </c>
      <c r="K1223" s="36" t="s">
        <v>1766</v>
      </c>
      <c r="L1223" s="36" t="s">
        <v>2776</v>
      </c>
      <c r="M1223" s="36" t="s">
        <v>2776</v>
      </c>
      <c r="N1223" s="36" t="s">
        <v>32</v>
      </c>
    </row>
    <row r="1224">
      <c r="A1224" s="36" t="s">
        <v>3853</v>
      </c>
      <c r="B1224" s="154" t="s">
        <v>3843</v>
      </c>
      <c r="C1224" s="36" t="s">
        <v>1666</v>
      </c>
      <c r="D1224" s="36" t="s">
        <v>77</v>
      </c>
      <c r="E1224" s="36" t="s">
        <v>77</v>
      </c>
      <c r="F1224" s="154" t="s">
        <v>1768</v>
      </c>
      <c r="G1224" s="36" t="s">
        <v>28</v>
      </c>
      <c r="H1224" s="36" t="s">
        <v>1655</v>
      </c>
      <c r="I1224" s="36" t="s">
        <v>1656</v>
      </c>
      <c r="J1224" s="36" t="s">
        <v>1656</v>
      </c>
      <c r="K1224" s="36" t="s">
        <v>1769</v>
      </c>
      <c r="L1224" s="36" t="s">
        <v>2776</v>
      </c>
      <c r="M1224" s="36" t="s">
        <v>2776</v>
      </c>
      <c r="N1224" s="36" t="s">
        <v>32</v>
      </c>
    </row>
    <row r="1225">
      <c r="A1225" s="36" t="s">
        <v>3854</v>
      </c>
      <c r="B1225" s="154" t="s">
        <v>3843</v>
      </c>
      <c r="C1225" s="36" t="s">
        <v>1666</v>
      </c>
      <c r="D1225" s="36" t="s">
        <v>502</v>
      </c>
      <c r="E1225" s="36" t="s">
        <v>502</v>
      </c>
      <c r="F1225" s="154" t="s">
        <v>3855</v>
      </c>
      <c r="G1225" s="36" t="s">
        <v>32</v>
      </c>
      <c r="H1225" s="36" t="s">
        <v>1655</v>
      </c>
      <c r="I1225" s="36" t="s">
        <v>1656</v>
      </c>
      <c r="J1225" s="36" t="s">
        <v>1656</v>
      </c>
      <c r="K1225" s="36" t="s">
        <v>1736</v>
      </c>
      <c r="L1225" s="36" t="s">
        <v>2776</v>
      </c>
      <c r="M1225" s="36" t="s">
        <v>2776</v>
      </c>
      <c r="N1225" s="36" t="s">
        <v>32</v>
      </c>
    </row>
    <row r="1226">
      <c r="A1226" s="36" t="s">
        <v>3856</v>
      </c>
      <c r="B1226" s="154" t="s">
        <v>3843</v>
      </c>
      <c r="C1226" s="36" t="s">
        <v>1666</v>
      </c>
      <c r="D1226" s="36" t="s">
        <v>511</v>
      </c>
      <c r="E1226" s="36" t="s">
        <v>511</v>
      </c>
      <c r="F1226" s="154" t="s">
        <v>3857</v>
      </c>
      <c r="G1226" s="36" t="s">
        <v>28</v>
      </c>
      <c r="H1226" s="36" t="s">
        <v>1655</v>
      </c>
      <c r="I1226" s="36" t="s">
        <v>1656</v>
      </c>
      <c r="J1226" s="36" t="s">
        <v>1656</v>
      </c>
      <c r="K1226" s="36" t="s">
        <v>1739</v>
      </c>
      <c r="L1226" s="36" t="s">
        <v>2776</v>
      </c>
      <c r="M1226" s="36" t="s">
        <v>2776</v>
      </c>
      <c r="N1226" s="36" t="s">
        <v>32</v>
      </c>
    </row>
    <row r="1227">
      <c r="A1227" s="36" t="s">
        <v>3858</v>
      </c>
      <c r="B1227" s="154" t="s">
        <v>3843</v>
      </c>
      <c r="C1227" s="36" t="s">
        <v>1666</v>
      </c>
      <c r="D1227" s="36" t="s">
        <v>1222</v>
      </c>
      <c r="E1227" s="36" t="s">
        <v>1222</v>
      </c>
      <c r="F1227" s="154" t="s">
        <v>3859</v>
      </c>
      <c r="G1227" s="36" t="s">
        <v>32</v>
      </c>
      <c r="H1227" s="36" t="s">
        <v>1655</v>
      </c>
      <c r="I1227" s="36" t="s">
        <v>1656</v>
      </c>
      <c r="J1227" s="36" t="s">
        <v>1656</v>
      </c>
      <c r="K1227" s="36" t="s">
        <v>1742</v>
      </c>
      <c r="L1227" s="36" t="s">
        <v>2776</v>
      </c>
      <c r="M1227" s="36" t="s">
        <v>2776</v>
      </c>
      <c r="N1227" s="36" t="s">
        <v>32</v>
      </c>
    </row>
    <row r="1228">
      <c r="A1228" s="36" t="s">
        <v>3860</v>
      </c>
      <c r="B1228" s="154" t="s">
        <v>3843</v>
      </c>
      <c r="C1228" s="36" t="s">
        <v>1666</v>
      </c>
      <c r="D1228" s="36" t="s">
        <v>1226</v>
      </c>
      <c r="E1228" s="36" t="s">
        <v>1226</v>
      </c>
      <c r="F1228" s="154" t="s">
        <v>3861</v>
      </c>
      <c r="G1228" s="36" t="s">
        <v>28</v>
      </c>
      <c r="H1228" s="36" t="s">
        <v>1655</v>
      </c>
      <c r="I1228" s="36" t="s">
        <v>1656</v>
      </c>
      <c r="J1228" s="36" t="s">
        <v>1656</v>
      </c>
      <c r="K1228" s="36" t="s">
        <v>1745</v>
      </c>
      <c r="L1228" s="36" t="s">
        <v>2776</v>
      </c>
      <c r="M1228" s="36" t="s">
        <v>2776</v>
      </c>
      <c r="N1228" s="36" t="s">
        <v>32</v>
      </c>
    </row>
    <row r="1229">
      <c r="A1229" s="36" t="s">
        <v>3862</v>
      </c>
      <c r="B1229" s="154" t="s">
        <v>3843</v>
      </c>
      <c r="C1229" s="36" t="s">
        <v>1666</v>
      </c>
      <c r="D1229" s="36" t="s">
        <v>978</v>
      </c>
      <c r="E1229" s="36" t="s">
        <v>978</v>
      </c>
      <c r="F1229" s="154" t="s">
        <v>3863</v>
      </c>
      <c r="G1229" s="36" t="s">
        <v>32</v>
      </c>
      <c r="H1229" s="36" t="s">
        <v>1655</v>
      </c>
      <c r="I1229" s="36" t="s">
        <v>1656</v>
      </c>
      <c r="J1229" s="36" t="s">
        <v>1656</v>
      </c>
      <c r="K1229" s="36" t="s">
        <v>1773</v>
      </c>
      <c r="L1229" s="36" t="s">
        <v>2776</v>
      </c>
      <c r="M1229" s="36" t="s">
        <v>2776</v>
      </c>
      <c r="N1229" s="36" t="s">
        <v>32</v>
      </c>
    </row>
    <row r="1230">
      <c r="A1230" s="36" t="s">
        <v>3864</v>
      </c>
      <c r="B1230" s="154" t="s">
        <v>3865</v>
      </c>
      <c r="C1230" s="36" t="s">
        <v>1666</v>
      </c>
      <c r="D1230" s="36" t="s">
        <v>78</v>
      </c>
      <c r="E1230" s="36" t="s">
        <v>78</v>
      </c>
      <c r="F1230" s="154" t="s">
        <v>1810</v>
      </c>
      <c r="G1230" s="36" t="s">
        <v>28</v>
      </c>
      <c r="H1230" s="36" t="s">
        <v>1655</v>
      </c>
      <c r="I1230" s="36" t="s">
        <v>1656</v>
      </c>
      <c r="J1230" s="36" t="s">
        <v>1656</v>
      </c>
      <c r="K1230" s="36" t="s">
        <v>1811</v>
      </c>
      <c r="L1230" s="36" t="s">
        <v>2776</v>
      </c>
      <c r="M1230" s="36" t="s">
        <v>2776</v>
      </c>
      <c r="N1230" s="36" t="s">
        <v>32</v>
      </c>
    </row>
    <row r="1231">
      <c r="A1231" s="36" t="s">
        <v>3866</v>
      </c>
      <c r="B1231" s="154" t="s">
        <v>3865</v>
      </c>
      <c r="C1231" s="36" t="s">
        <v>1666</v>
      </c>
      <c r="D1231" s="36" t="s">
        <v>1236</v>
      </c>
      <c r="E1231" s="36" t="s">
        <v>1236</v>
      </c>
      <c r="F1231" s="154" t="s">
        <v>3867</v>
      </c>
      <c r="G1231" s="36" t="s">
        <v>28</v>
      </c>
      <c r="H1231" s="36" t="s">
        <v>1655</v>
      </c>
      <c r="I1231" s="36" t="s">
        <v>1656</v>
      </c>
      <c r="J1231" s="36" t="s">
        <v>1656</v>
      </c>
      <c r="K1231" s="36" t="s">
        <v>1776</v>
      </c>
      <c r="L1231" s="36" t="s">
        <v>2776</v>
      </c>
      <c r="M1231" s="36" t="s">
        <v>2776</v>
      </c>
      <c r="N1231" s="36" t="s">
        <v>34</v>
      </c>
    </row>
    <row r="1232">
      <c r="A1232" s="36" t="s">
        <v>3868</v>
      </c>
      <c r="B1232" s="154" t="s">
        <v>3865</v>
      </c>
      <c r="C1232" s="36" t="s">
        <v>1666</v>
      </c>
      <c r="D1232" s="36" t="s">
        <v>695</v>
      </c>
      <c r="E1232" s="36" t="s">
        <v>695</v>
      </c>
      <c r="F1232" s="154" t="s">
        <v>1832</v>
      </c>
      <c r="G1232" s="36" t="s">
        <v>28</v>
      </c>
      <c r="H1232" s="36" t="s">
        <v>1655</v>
      </c>
      <c r="I1232" s="36" t="s">
        <v>1656</v>
      </c>
      <c r="J1232" s="36" t="s">
        <v>1656</v>
      </c>
      <c r="K1232" s="36" t="s">
        <v>1779</v>
      </c>
      <c r="L1232" s="36" t="s">
        <v>2776</v>
      </c>
      <c r="M1232" s="36" t="s">
        <v>2776</v>
      </c>
      <c r="N1232" s="36" t="s">
        <v>34</v>
      </c>
    </row>
    <row r="1233">
      <c r="A1233" s="36" t="s">
        <v>3869</v>
      </c>
      <c r="B1233" s="154" t="s">
        <v>3870</v>
      </c>
      <c r="C1233" s="36" t="s">
        <v>1666</v>
      </c>
      <c r="D1233" s="36" t="s">
        <v>819</v>
      </c>
      <c r="E1233" s="36" t="s">
        <v>819</v>
      </c>
      <c r="F1233" s="154" t="s">
        <v>1816</v>
      </c>
      <c r="G1233" s="36" t="s">
        <v>28</v>
      </c>
      <c r="H1233" s="36" t="s">
        <v>1655</v>
      </c>
      <c r="I1233" s="36" t="s">
        <v>1656</v>
      </c>
      <c r="J1233" s="36" t="s">
        <v>1656</v>
      </c>
      <c r="K1233" s="36" t="s">
        <v>1782</v>
      </c>
      <c r="L1233" s="36" t="s">
        <v>2776</v>
      </c>
      <c r="M1233" s="36" t="s">
        <v>2776</v>
      </c>
      <c r="N1233" s="36" t="s">
        <v>34</v>
      </c>
    </row>
    <row r="1234">
      <c r="A1234" s="36" t="s">
        <v>3871</v>
      </c>
      <c r="B1234" s="154" t="s">
        <v>3872</v>
      </c>
      <c r="C1234" s="36" t="s">
        <v>1666</v>
      </c>
      <c r="D1234" s="36" t="s">
        <v>1253</v>
      </c>
      <c r="E1234" s="36" t="s">
        <v>1253</v>
      </c>
      <c r="F1234" s="154" t="s">
        <v>2163</v>
      </c>
      <c r="G1234" s="36" t="s">
        <v>28</v>
      </c>
      <c r="H1234" s="36" t="s">
        <v>1655</v>
      </c>
      <c r="I1234" s="36" t="s">
        <v>1656</v>
      </c>
      <c r="J1234" s="36" t="s">
        <v>1656</v>
      </c>
      <c r="K1234" s="36" t="s">
        <v>1784</v>
      </c>
      <c r="L1234" s="36" t="s">
        <v>2776</v>
      </c>
      <c r="M1234" s="36" t="s">
        <v>2776</v>
      </c>
      <c r="N1234" s="36" t="s">
        <v>34</v>
      </c>
    </row>
    <row r="1235">
      <c r="A1235" s="36" t="s">
        <v>3873</v>
      </c>
      <c r="B1235" s="154" t="s">
        <v>3872</v>
      </c>
      <c r="C1235" s="36" t="s">
        <v>1666</v>
      </c>
      <c r="D1235" s="36" t="s">
        <v>109</v>
      </c>
      <c r="E1235" s="36" t="s">
        <v>109</v>
      </c>
      <c r="F1235" s="154" t="s">
        <v>2514</v>
      </c>
      <c r="G1235" s="36" t="s">
        <v>28</v>
      </c>
      <c r="H1235" s="36" t="s">
        <v>1655</v>
      </c>
      <c r="I1235" s="36" t="s">
        <v>1656</v>
      </c>
      <c r="J1235" s="36" t="s">
        <v>1656</v>
      </c>
      <c r="K1235" s="36" t="s">
        <v>1787</v>
      </c>
      <c r="L1235" s="36" t="s">
        <v>2776</v>
      </c>
      <c r="M1235" s="36" t="s">
        <v>2776</v>
      </c>
      <c r="N1235" s="36" t="s">
        <v>34</v>
      </c>
    </row>
    <row r="1236">
      <c r="A1236" s="36" t="s">
        <v>3874</v>
      </c>
      <c r="B1236" s="154" t="s">
        <v>3875</v>
      </c>
      <c r="C1236" s="36" t="s">
        <v>1666</v>
      </c>
      <c r="D1236" s="36" t="s">
        <v>1265</v>
      </c>
      <c r="E1236" s="36" t="s">
        <v>1265</v>
      </c>
      <c r="F1236" s="154" t="s">
        <v>3876</v>
      </c>
      <c r="G1236" s="36" t="s">
        <v>28</v>
      </c>
      <c r="H1236" s="36" t="s">
        <v>1655</v>
      </c>
      <c r="I1236" s="36" t="s">
        <v>1656</v>
      </c>
      <c r="J1236" s="36" t="s">
        <v>1656</v>
      </c>
      <c r="K1236" s="36" t="s">
        <v>1790</v>
      </c>
      <c r="L1236" s="36" t="s">
        <v>2776</v>
      </c>
      <c r="M1236" s="36" t="s">
        <v>2776</v>
      </c>
      <c r="N1236" s="36" t="s">
        <v>34</v>
      </c>
    </row>
    <row r="1237">
      <c r="A1237" s="36" t="s">
        <v>3877</v>
      </c>
      <c r="B1237" s="154" t="s">
        <v>3878</v>
      </c>
      <c r="C1237" s="36" t="s">
        <v>1666</v>
      </c>
      <c r="D1237" s="36" t="s">
        <v>1253</v>
      </c>
      <c r="E1237" s="36" t="s">
        <v>1253</v>
      </c>
      <c r="F1237" s="154" t="s">
        <v>2163</v>
      </c>
      <c r="G1237" s="36" t="s">
        <v>28</v>
      </c>
      <c r="H1237" s="36" t="s">
        <v>1655</v>
      </c>
      <c r="I1237" s="36" t="s">
        <v>1656</v>
      </c>
      <c r="J1237" s="36" t="s">
        <v>1656</v>
      </c>
      <c r="K1237" s="36" t="s">
        <v>1793</v>
      </c>
      <c r="L1237" s="36" t="s">
        <v>2776</v>
      </c>
      <c r="M1237" s="36" t="s">
        <v>2776</v>
      </c>
      <c r="N1237" s="36" t="s">
        <v>34</v>
      </c>
    </row>
    <row r="1238">
      <c r="A1238" s="36" t="s">
        <v>3879</v>
      </c>
      <c r="B1238" s="154" t="s">
        <v>3878</v>
      </c>
      <c r="C1238" s="36" t="s">
        <v>1666</v>
      </c>
      <c r="D1238" s="36" t="s">
        <v>329</v>
      </c>
      <c r="E1238" s="36" t="s">
        <v>329</v>
      </c>
      <c r="F1238" s="154" t="s">
        <v>3880</v>
      </c>
      <c r="G1238" s="36" t="s">
        <v>28</v>
      </c>
      <c r="H1238" s="36" t="s">
        <v>1655</v>
      </c>
      <c r="I1238" s="36" t="s">
        <v>1656</v>
      </c>
      <c r="J1238" s="36" t="s">
        <v>1656</v>
      </c>
      <c r="K1238" s="36" t="s">
        <v>1796</v>
      </c>
      <c r="L1238" s="36" t="s">
        <v>2776</v>
      </c>
      <c r="M1238" s="36" t="s">
        <v>2776</v>
      </c>
      <c r="N1238" s="36" t="s">
        <v>34</v>
      </c>
    </row>
    <row r="1239">
      <c r="A1239" s="36" t="s">
        <v>3881</v>
      </c>
      <c r="B1239" s="154" t="s">
        <v>3878</v>
      </c>
      <c r="C1239" s="36" t="s">
        <v>1666</v>
      </c>
      <c r="D1239" s="36" t="s">
        <v>235</v>
      </c>
      <c r="E1239" s="36" t="s">
        <v>235</v>
      </c>
      <c r="F1239" s="154" t="s">
        <v>2136</v>
      </c>
      <c r="G1239" s="36" t="s">
        <v>28</v>
      </c>
      <c r="H1239" s="36" t="s">
        <v>1655</v>
      </c>
      <c r="I1239" s="36" t="s">
        <v>1656</v>
      </c>
      <c r="J1239" s="36" t="s">
        <v>1656</v>
      </c>
      <c r="K1239" s="36" t="s">
        <v>1800</v>
      </c>
      <c r="L1239" s="36" t="s">
        <v>2776</v>
      </c>
      <c r="M1239" s="36" t="s">
        <v>2776</v>
      </c>
      <c r="N1239" s="36" t="s">
        <v>34</v>
      </c>
    </row>
    <row r="1240">
      <c r="A1240" s="36" t="s">
        <v>3882</v>
      </c>
      <c r="B1240" s="154" t="s">
        <v>3883</v>
      </c>
      <c r="C1240" s="36" t="s">
        <v>1666</v>
      </c>
      <c r="D1240" s="36" t="s">
        <v>714</v>
      </c>
      <c r="E1240" s="36" t="s">
        <v>714</v>
      </c>
      <c r="F1240" s="154" t="s">
        <v>2867</v>
      </c>
      <c r="G1240" s="36" t="s">
        <v>32</v>
      </c>
      <c r="H1240" s="36" t="s">
        <v>1655</v>
      </c>
      <c r="I1240" s="36" t="s">
        <v>1656</v>
      </c>
      <c r="J1240" s="36" t="s">
        <v>1656</v>
      </c>
      <c r="K1240" s="36" t="s">
        <v>1891</v>
      </c>
      <c r="L1240" s="36" t="s">
        <v>2776</v>
      </c>
      <c r="M1240" s="36" t="s">
        <v>2776</v>
      </c>
      <c r="N1240" s="36" t="s">
        <v>32</v>
      </c>
    </row>
    <row r="1241">
      <c r="A1241" s="36" t="s">
        <v>3884</v>
      </c>
      <c r="B1241" s="154" t="s">
        <v>3885</v>
      </c>
      <c r="C1241" s="36" t="s">
        <v>1666</v>
      </c>
      <c r="D1241" s="36" t="s">
        <v>100</v>
      </c>
      <c r="E1241" s="36" t="s">
        <v>100</v>
      </c>
      <c r="F1241" s="154" t="s">
        <v>1810</v>
      </c>
      <c r="G1241" s="36" t="s">
        <v>32</v>
      </c>
      <c r="H1241" s="36" t="s">
        <v>1655</v>
      </c>
      <c r="I1241" s="36" t="s">
        <v>1656</v>
      </c>
      <c r="J1241" s="36" t="s">
        <v>1656</v>
      </c>
      <c r="K1241" s="36" t="s">
        <v>1803</v>
      </c>
      <c r="L1241" s="36" t="s">
        <v>2776</v>
      </c>
      <c r="M1241" s="36" t="s">
        <v>2776</v>
      </c>
      <c r="N1241" s="36" t="s">
        <v>32</v>
      </c>
    </row>
    <row r="1242">
      <c r="A1242" s="36" t="s">
        <v>3886</v>
      </c>
      <c r="B1242" s="154" t="s">
        <v>3887</v>
      </c>
      <c r="C1242" s="36" t="s">
        <v>1666</v>
      </c>
      <c r="D1242" s="36" t="s">
        <v>109</v>
      </c>
      <c r="E1242" s="36" t="s">
        <v>109</v>
      </c>
      <c r="F1242" s="154" t="s">
        <v>1959</v>
      </c>
      <c r="G1242" s="36" t="s">
        <v>28</v>
      </c>
      <c r="H1242" s="36" t="s">
        <v>1655</v>
      </c>
      <c r="I1242" s="36" t="s">
        <v>1656</v>
      </c>
      <c r="J1242" s="36" t="s">
        <v>1656</v>
      </c>
      <c r="K1242" s="36" t="s">
        <v>1807</v>
      </c>
      <c r="L1242" s="36" t="s">
        <v>2776</v>
      </c>
      <c r="M1242" s="36" t="s">
        <v>2776</v>
      </c>
      <c r="N1242" s="36" t="s">
        <v>34</v>
      </c>
    </row>
    <row r="1243">
      <c r="A1243" s="36" t="s">
        <v>3888</v>
      </c>
      <c r="B1243" s="154" t="s">
        <v>3889</v>
      </c>
      <c r="C1243" s="36" t="s">
        <v>1666</v>
      </c>
      <c r="D1243" s="36" t="s">
        <v>81</v>
      </c>
      <c r="E1243" s="36" t="s">
        <v>81</v>
      </c>
      <c r="F1243" s="154" t="s">
        <v>3296</v>
      </c>
      <c r="G1243" s="36" t="s">
        <v>28</v>
      </c>
      <c r="H1243" s="36" t="s">
        <v>1655</v>
      </c>
      <c r="I1243" s="36" t="s">
        <v>1656</v>
      </c>
      <c r="J1243" s="36" t="s">
        <v>1656</v>
      </c>
      <c r="K1243" s="36" t="s">
        <v>1921</v>
      </c>
      <c r="L1243" s="36" t="s">
        <v>2776</v>
      </c>
      <c r="M1243" s="36" t="s">
        <v>2776</v>
      </c>
      <c r="N1243" s="36" t="s">
        <v>32</v>
      </c>
    </row>
    <row r="1244">
      <c r="A1244" s="36" t="s">
        <v>3890</v>
      </c>
      <c r="B1244" s="154" t="s">
        <v>3889</v>
      </c>
      <c r="C1244" s="36" t="s">
        <v>1666</v>
      </c>
      <c r="D1244" s="36" t="s">
        <v>83</v>
      </c>
      <c r="E1244" s="36" t="s">
        <v>83</v>
      </c>
      <c r="F1244" s="154" t="s">
        <v>3034</v>
      </c>
      <c r="G1244" s="36" t="s">
        <v>28</v>
      </c>
      <c r="H1244" s="36" t="s">
        <v>1655</v>
      </c>
      <c r="I1244" s="36" t="s">
        <v>1656</v>
      </c>
      <c r="J1244" s="36" t="s">
        <v>1656</v>
      </c>
      <c r="K1244" s="36" t="s">
        <v>3166</v>
      </c>
      <c r="L1244" s="36" t="s">
        <v>2776</v>
      </c>
      <c r="M1244" s="36" t="s">
        <v>2776</v>
      </c>
      <c r="N1244" s="36" t="s">
        <v>32</v>
      </c>
    </row>
    <row r="1245">
      <c r="A1245" s="36" t="s">
        <v>3891</v>
      </c>
      <c r="B1245" s="154" t="s">
        <v>3889</v>
      </c>
      <c r="C1245" s="36" t="s">
        <v>1666</v>
      </c>
      <c r="D1245" s="36" t="s">
        <v>84</v>
      </c>
      <c r="E1245" s="36" t="s">
        <v>84</v>
      </c>
      <c r="F1245" s="154" t="s">
        <v>3892</v>
      </c>
      <c r="G1245" s="36" t="s">
        <v>28</v>
      </c>
      <c r="H1245" s="36" t="s">
        <v>1655</v>
      </c>
      <c r="I1245" s="36" t="s">
        <v>1656</v>
      </c>
      <c r="J1245" s="36" t="s">
        <v>1656</v>
      </c>
      <c r="K1245" s="36" t="s">
        <v>1924</v>
      </c>
      <c r="L1245" s="36" t="s">
        <v>2776</v>
      </c>
      <c r="M1245" s="36" t="s">
        <v>2776</v>
      </c>
      <c r="N1245" s="36" t="s">
        <v>32</v>
      </c>
    </row>
    <row r="1246">
      <c r="A1246" s="36" t="s">
        <v>3893</v>
      </c>
      <c r="B1246" s="154" t="s">
        <v>3889</v>
      </c>
      <c r="C1246" s="36" t="s">
        <v>1666</v>
      </c>
      <c r="D1246" s="36" t="s">
        <v>799</v>
      </c>
      <c r="E1246" s="36" t="s">
        <v>799</v>
      </c>
      <c r="F1246" s="154" t="s">
        <v>1810</v>
      </c>
      <c r="G1246" s="36" t="s">
        <v>32</v>
      </c>
      <c r="H1246" s="36" t="s">
        <v>1655</v>
      </c>
      <c r="I1246" s="36" t="s">
        <v>1656</v>
      </c>
      <c r="J1246" s="36" t="s">
        <v>1656</v>
      </c>
      <c r="K1246" s="36" t="s">
        <v>1814</v>
      </c>
      <c r="L1246" s="36" t="s">
        <v>2776</v>
      </c>
      <c r="M1246" s="36" t="s">
        <v>2776</v>
      </c>
      <c r="N1246" s="36" t="s">
        <v>32</v>
      </c>
    </row>
    <row r="1247">
      <c r="A1247" s="36" t="s">
        <v>3894</v>
      </c>
      <c r="B1247" s="154" t="s">
        <v>3889</v>
      </c>
      <c r="C1247" s="36" t="s">
        <v>1666</v>
      </c>
      <c r="D1247" s="36" t="s">
        <v>1296</v>
      </c>
      <c r="E1247" s="36" t="s">
        <v>1296</v>
      </c>
      <c r="F1247" s="154" t="s">
        <v>3895</v>
      </c>
      <c r="G1247" s="36" t="s">
        <v>32</v>
      </c>
      <c r="H1247" s="36" t="s">
        <v>1655</v>
      </c>
      <c r="I1247" s="36" t="s">
        <v>1656</v>
      </c>
      <c r="J1247" s="36" t="s">
        <v>1656</v>
      </c>
      <c r="K1247" s="36" t="s">
        <v>1817</v>
      </c>
      <c r="L1247" s="36" t="s">
        <v>2776</v>
      </c>
      <c r="M1247" s="36" t="s">
        <v>2776</v>
      </c>
      <c r="N1247" s="36" t="s">
        <v>32</v>
      </c>
    </row>
    <row r="1248">
      <c r="A1248" s="36" t="s">
        <v>3896</v>
      </c>
      <c r="B1248" s="154" t="s">
        <v>3889</v>
      </c>
      <c r="C1248" s="36" t="s">
        <v>1666</v>
      </c>
      <c r="D1248" s="36" t="s">
        <v>1302</v>
      </c>
      <c r="E1248" s="36" t="s">
        <v>1302</v>
      </c>
      <c r="F1248" s="154" t="s">
        <v>1768</v>
      </c>
      <c r="G1248" s="36" t="s">
        <v>34</v>
      </c>
      <c r="H1248" s="36" t="s">
        <v>1655</v>
      </c>
      <c r="I1248" s="36" t="s">
        <v>1656</v>
      </c>
      <c r="J1248" s="36" t="s">
        <v>1656</v>
      </c>
      <c r="K1248" s="36" t="s">
        <v>1820</v>
      </c>
      <c r="L1248" s="36" t="s">
        <v>2776</v>
      </c>
      <c r="M1248" s="36" t="s">
        <v>2776</v>
      </c>
      <c r="N1248" s="36" t="s">
        <v>32</v>
      </c>
    </row>
    <row r="1249">
      <c r="A1249" s="36" t="s">
        <v>3897</v>
      </c>
      <c r="B1249" s="154" t="s">
        <v>3889</v>
      </c>
      <c r="C1249" s="36" t="s">
        <v>1666</v>
      </c>
      <c r="D1249" s="36" t="s">
        <v>124</v>
      </c>
      <c r="E1249" s="36" t="s">
        <v>124</v>
      </c>
      <c r="F1249" s="154" t="s">
        <v>3898</v>
      </c>
      <c r="G1249" s="36" t="s">
        <v>32</v>
      </c>
      <c r="H1249" s="36" t="s">
        <v>1655</v>
      </c>
      <c r="I1249" s="36" t="s">
        <v>1656</v>
      </c>
      <c r="J1249" s="36" t="s">
        <v>1656</v>
      </c>
      <c r="K1249" s="36" t="s">
        <v>1823</v>
      </c>
      <c r="L1249" s="36" t="s">
        <v>2776</v>
      </c>
      <c r="M1249" s="36" t="s">
        <v>2776</v>
      </c>
      <c r="N1249" s="36" t="s">
        <v>32</v>
      </c>
    </row>
    <row r="1250">
      <c r="A1250" s="36" t="s">
        <v>3899</v>
      </c>
      <c r="B1250" s="154" t="s">
        <v>3900</v>
      </c>
      <c r="C1250" s="36" t="s">
        <v>1653</v>
      </c>
      <c r="D1250" s="36" t="s">
        <v>43</v>
      </c>
      <c r="E1250" s="36" t="s">
        <v>39</v>
      </c>
      <c r="F1250" s="154" t="s">
        <v>3901</v>
      </c>
      <c r="G1250" s="36" t="s">
        <v>32</v>
      </c>
      <c r="H1250" s="36" t="s">
        <v>1655</v>
      </c>
      <c r="I1250" s="36" t="s">
        <v>1656</v>
      </c>
      <c r="J1250" s="36" t="s">
        <v>1656</v>
      </c>
      <c r="K1250" s="36" t="s">
        <v>1657</v>
      </c>
      <c r="L1250" s="36" t="s">
        <v>2771</v>
      </c>
      <c r="M1250" s="36" t="s">
        <v>2771</v>
      </c>
      <c r="N1250" s="36" t="s">
        <v>32</v>
      </c>
    </row>
    <row r="1251">
      <c r="A1251" s="36" t="s">
        <v>3902</v>
      </c>
      <c r="B1251" s="154" t="s">
        <v>3900</v>
      </c>
      <c r="C1251" s="36" t="s">
        <v>1653</v>
      </c>
      <c r="D1251" s="36" t="s">
        <v>1101</v>
      </c>
      <c r="E1251" s="36" t="s">
        <v>39</v>
      </c>
      <c r="F1251" s="154" t="s">
        <v>3903</v>
      </c>
      <c r="G1251" s="36" t="s">
        <v>32</v>
      </c>
      <c r="H1251" s="36" t="s">
        <v>1655</v>
      </c>
      <c r="I1251" s="36" t="s">
        <v>1656</v>
      </c>
      <c r="J1251" s="36" t="s">
        <v>1656</v>
      </c>
      <c r="K1251" s="36" t="s">
        <v>1989</v>
      </c>
      <c r="L1251" s="36" t="s">
        <v>2771</v>
      </c>
      <c r="M1251" s="36" t="s">
        <v>2771</v>
      </c>
      <c r="N1251" s="36" t="s">
        <v>32</v>
      </c>
    </row>
    <row r="1252">
      <c r="A1252" s="36" t="s">
        <v>3904</v>
      </c>
      <c r="B1252" s="154" t="s">
        <v>3900</v>
      </c>
      <c r="C1252" s="36" t="s">
        <v>1666</v>
      </c>
      <c r="D1252" s="36" t="s">
        <v>85</v>
      </c>
      <c r="E1252" s="36" t="s">
        <v>85</v>
      </c>
      <c r="F1252" s="154" t="s">
        <v>3180</v>
      </c>
      <c r="G1252" s="36" t="s">
        <v>28</v>
      </c>
      <c r="H1252" s="36" t="s">
        <v>1655</v>
      </c>
      <c r="I1252" s="36" t="s">
        <v>1656</v>
      </c>
      <c r="J1252" s="36" t="s">
        <v>1656</v>
      </c>
      <c r="K1252" s="36" t="s">
        <v>2775</v>
      </c>
      <c r="L1252" s="36" t="s">
        <v>2776</v>
      </c>
      <c r="M1252" s="36" t="s">
        <v>2776</v>
      </c>
      <c r="N1252" s="36" t="s">
        <v>32</v>
      </c>
    </row>
    <row r="1253">
      <c r="A1253" s="36" t="s">
        <v>3905</v>
      </c>
      <c r="B1253" s="154" t="s">
        <v>3900</v>
      </c>
      <c r="C1253" s="36" t="s">
        <v>1666</v>
      </c>
      <c r="D1253" s="36" t="s">
        <v>1118</v>
      </c>
      <c r="E1253" s="36" t="s">
        <v>1118</v>
      </c>
      <c r="F1253" s="154" t="s">
        <v>3906</v>
      </c>
      <c r="G1253" s="36" t="s">
        <v>28</v>
      </c>
      <c r="H1253" s="36" t="s">
        <v>1655</v>
      </c>
      <c r="I1253" s="36" t="s">
        <v>1656</v>
      </c>
      <c r="J1253" s="36" t="s">
        <v>1656</v>
      </c>
      <c r="K1253" s="36" t="s">
        <v>2779</v>
      </c>
      <c r="L1253" s="36" t="s">
        <v>2776</v>
      </c>
      <c r="M1253" s="36" t="s">
        <v>2776</v>
      </c>
      <c r="N1253" s="36" t="s">
        <v>32</v>
      </c>
    </row>
    <row r="1254">
      <c r="A1254" s="36" t="s">
        <v>3907</v>
      </c>
      <c r="B1254" s="154" t="s">
        <v>3900</v>
      </c>
      <c r="C1254" s="36" t="s">
        <v>1666</v>
      </c>
      <c r="D1254" s="36" t="s">
        <v>1125</v>
      </c>
      <c r="E1254" s="36" t="s">
        <v>1125</v>
      </c>
      <c r="F1254" s="154" t="s">
        <v>3812</v>
      </c>
      <c r="G1254" s="36" t="s">
        <v>28</v>
      </c>
      <c r="H1254" s="36" t="s">
        <v>1655</v>
      </c>
      <c r="I1254" s="36" t="s">
        <v>1656</v>
      </c>
      <c r="J1254" s="36" t="s">
        <v>1656</v>
      </c>
      <c r="K1254" s="36" t="s">
        <v>2781</v>
      </c>
      <c r="L1254" s="36" t="s">
        <v>2776</v>
      </c>
      <c r="M1254" s="36" t="s">
        <v>2776</v>
      </c>
      <c r="N1254" s="36" t="s">
        <v>32</v>
      </c>
    </row>
    <row r="1255">
      <c r="A1255" s="36" t="s">
        <v>3908</v>
      </c>
      <c r="B1255" s="154" t="s">
        <v>3900</v>
      </c>
      <c r="C1255" s="36" t="s">
        <v>1666</v>
      </c>
      <c r="D1255" s="36" t="s">
        <v>923</v>
      </c>
      <c r="E1255" s="36" t="s">
        <v>923</v>
      </c>
      <c r="F1255" s="154" t="s">
        <v>1683</v>
      </c>
      <c r="G1255" s="36" t="s">
        <v>32</v>
      </c>
      <c r="H1255" s="36" t="s">
        <v>1655</v>
      </c>
      <c r="I1255" s="36" t="s">
        <v>1656</v>
      </c>
      <c r="J1255" s="36" t="s">
        <v>1656</v>
      </c>
      <c r="K1255" s="36" t="s">
        <v>1678</v>
      </c>
      <c r="L1255" s="36" t="s">
        <v>2776</v>
      </c>
      <c r="M1255" s="36" t="s">
        <v>2776</v>
      </c>
      <c r="N1255" s="36" t="s">
        <v>32</v>
      </c>
    </row>
    <row r="1256">
      <c r="A1256" s="36" t="s">
        <v>3909</v>
      </c>
      <c r="B1256" s="154" t="s">
        <v>3910</v>
      </c>
      <c r="C1256" s="36" t="s">
        <v>1666</v>
      </c>
      <c r="D1256" s="36" t="s">
        <v>1137</v>
      </c>
      <c r="E1256" s="36" t="s">
        <v>1137</v>
      </c>
      <c r="F1256" s="154" t="s">
        <v>2156</v>
      </c>
      <c r="G1256" s="36" t="s">
        <v>28</v>
      </c>
      <c r="H1256" s="36" t="s">
        <v>1655</v>
      </c>
      <c r="I1256" s="36" t="s">
        <v>1656</v>
      </c>
      <c r="J1256" s="36" t="s">
        <v>1656</v>
      </c>
      <c r="K1256" s="36" t="s">
        <v>1681</v>
      </c>
      <c r="L1256" s="36" t="s">
        <v>2776</v>
      </c>
      <c r="M1256" s="36" t="s">
        <v>2776</v>
      </c>
      <c r="N1256" s="36" t="s">
        <v>34</v>
      </c>
    </row>
    <row r="1257">
      <c r="A1257" s="36" t="s">
        <v>3911</v>
      </c>
      <c r="B1257" s="154" t="s">
        <v>3910</v>
      </c>
      <c r="C1257" s="36" t="s">
        <v>1666</v>
      </c>
      <c r="D1257" s="36" t="s">
        <v>641</v>
      </c>
      <c r="E1257" s="36" t="s">
        <v>641</v>
      </c>
      <c r="F1257" s="154" t="s">
        <v>1883</v>
      </c>
      <c r="G1257" s="36" t="s">
        <v>28</v>
      </c>
      <c r="H1257" s="36" t="s">
        <v>1655</v>
      </c>
      <c r="I1257" s="36" t="s">
        <v>1656</v>
      </c>
      <c r="J1257" s="36" t="s">
        <v>1656</v>
      </c>
      <c r="K1257" s="36" t="s">
        <v>1684</v>
      </c>
      <c r="L1257" s="36" t="s">
        <v>2776</v>
      </c>
      <c r="M1257" s="36" t="s">
        <v>2776</v>
      </c>
      <c r="N1257" s="36" t="s">
        <v>34</v>
      </c>
    </row>
    <row r="1258">
      <c r="A1258" s="36" t="s">
        <v>3912</v>
      </c>
      <c r="B1258" s="154" t="s">
        <v>3913</v>
      </c>
      <c r="C1258" s="36" t="s">
        <v>1666</v>
      </c>
      <c r="D1258" s="36" t="s">
        <v>470</v>
      </c>
      <c r="E1258" s="36" t="s">
        <v>470</v>
      </c>
      <c r="F1258" s="154" t="s">
        <v>2249</v>
      </c>
      <c r="G1258" s="36" t="s">
        <v>28</v>
      </c>
      <c r="H1258" s="36" t="s">
        <v>1655</v>
      </c>
      <c r="I1258" s="36" t="s">
        <v>1656</v>
      </c>
      <c r="J1258" s="36" t="s">
        <v>1656</v>
      </c>
      <c r="K1258" s="36" t="s">
        <v>1691</v>
      </c>
      <c r="L1258" s="36" t="s">
        <v>2776</v>
      </c>
      <c r="M1258" s="36" t="s">
        <v>2776</v>
      </c>
      <c r="N1258" s="36" t="s">
        <v>32</v>
      </c>
    </row>
    <row r="1259">
      <c r="A1259" s="36" t="s">
        <v>3914</v>
      </c>
      <c r="B1259" s="154" t="s">
        <v>3915</v>
      </c>
      <c r="C1259" s="36" t="s">
        <v>1666</v>
      </c>
      <c r="D1259" s="36" t="s">
        <v>64</v>
      </c>
      <c r="E1259" s="36" t="s">
        <v>64</v>
      </c>
      <c r="F1259" s="154" t="s">
        <v>1707</v>
      </c>
      <c r="G1259" s="36" t="s">
        <v>28</v>
      </c>
      <c r="H1259" s="36" t="s">
        <v>1655</v>
      </c>
      <c r="I1259" s="36" t="s">
        <v>1656</v>
      </c>
      <c r="J1259" s="36" t="s">
        <v>1656</v>
      </c>
      <c r="K1259" s="36" t="s">
        <v>1708</v>
      </c>
      <c r="L1259" s="36" t="s">
        <v>2776</v>
      </c>
      <c r="M1259" s="36" t="s">
        <v>2776</v>
      </c>
      <c r="N1259" s="36" t="s">
        <v>32</v>
      </c>
    </row>
    <row r="1260">
      <c r="A1260" s="36" t="s">
        <v>3916</v>
      </c>
      <c r="B1260" s="154" t="s">
        <v>3915</v>
      </c>
      <c r="C1260" s="36" t="s">
        <v>1666</v>
      </c>
      <c r="D1260" s="36" t="s">
        <v>1157</v>
      </c>
      <c r="E1260" s="36" t="s">
        <v>1157</v>
      </c>
      <c r="F1260" s="154" t="s">
        <v>2021</v>
      </c>
      <c r="G1260" s="36" t="s">
        <v>32</v>
      </c>
      <c r="H1260" s="36" t="s">
        <v>1655</v>
      </c>
      <c r="I1260" s="36" t="s">
        <v>1656</v>
      </c>
      <c r="J1260" s="36" t="s">
        <v>1656</v>
      </c>
      <c r="K1260" s="36" t="s">
        <v>1695</v>
      </c>
      <c r="L1260" s="36" t="s">
        <v>2776</v>
      </c>
      <c r="M1260" s="36" t="s">
        <v>2776</v>
      </c>
      <c r="N1260" s="36" t="s">
        <v>32</v>
      </c>
    </row>
    <row r="1261">
      <c r="A1261" s="36" t="s">
        <v>3917</v>
      </c>
      <c r="B1261" s="154" t="s">
        <v>3915</v>
      </c>
      <c r="C1261" s="36" t="s">
        <v>1666</v>
      </c>
      <c r="D1261" s="36" t="s">
        <v>220</v>
      </c>
      <c r="E1261" s="36" t="s">
        <v>220</v>
      </c>
      <c r="F1261" s="154" t="s">
        <v>3918</v>
      </c>
      <c r="G1261" s="36" t="s">
        <v>28</v>
      </c>
      <c r="H1261" s="36" t="s">
        <v>1655</v>
      </c>
      <c r="I1261" s="36" t="s">
        <v>1656</v>
      </c>
      <c r="J1261" s="36" t="s">
        <v>1656</v>
      </c>
      <c r="K1261" s="36" t="s">
        <v>1698</v>
      </c>
      <c r="L1261" s="36" t="s">
        <v>2776</v>
      </c>
      <c r="M1261" s="36" t="s">
        <v>2776</v>
      </c>
      <c r="N1261" s="36" t="s">
        <v>32</v>
      </c>
    </row>
    <row r="1262">
      <c r="A1262" s="36" t="s">
        <v>3919</v>
      </c>
      <c r="B1262" s="154" t="s">
        <v>3915</v>
      </c>
      <c r="C1262" s="36" t="s">
        <v>1666</v>
      </c>
      <c r="D1262" s="36" t="s">
        <v>226</v>
      </c>
      <c r="E1262" s="36" t="s">
        <v>226</v>
      </c>
      <c r="F1262" s="154" t="s">
        <v>3920</v>
      </c>
      <c r="G1262" s="36" t="s">
        <v>32</v>
      </c>
      <c r="H1262" s="36" t="s">
        <v>1655</v>
      </c>
      <c r="I1262" s="36" t="s">
        <v>1656</v>
      </c>
      <c r="J1262" s="36" t="s">
        <v>1656</v>
      </c>
      <c r="K1262" s="36" t="s">
        <v>1701</v>
      </c>
      <c r="L1262" s="36" t="s">
        <v>2776</v>
      </c>
      <c r="M1262" s="36" t="s">
        <v>2776</v>
      </c>
      <c r="N1262" s="36" t="s">
        <v>32</v>
      </c>
    </row>
    <row r="1263">
      <c r="A1263" s="36" t="s">
        <v>3921</v>
      </c>
      <c r="B1263" s="154" t="s">
        <v>3915</v>
      </c>
      <c r="C1263" s="36" t="s">
        <v>1666</v>
      </c>
      <c r="D1263" s="36" t="s">
        <v>295</v>
      </c>
      <c r="E1263" s="36" t="s">
        <v>295</v>
      </c>
      <c r="F1263" s="154" t="s">
        <v>1874</v>
      </c>
      <c r="G1263" s="36" t="s">
        <v>32</v>
      </c>
      <c r="H1263" s="36" t="s">
        <v>1655</v>
      </c>
      <c r="I1263" s="36" t="s">
        <v>1656</v>
      </c>
      <c r="J1263" s="36" t="s">
        <v>1656</v>
      </c>
      <c r="K1263" s="36" t="s">
        <v>1704</v>
      </c>
      <c r="L1263" s="36" t="s">
        <v>2776</v>
      </c>
      <c r="M1263" s="36" t="s">
        <v>2776</v>
      </c>
      <c r="N1263" s="36" t="s">
        <v>32</v>
      </c>
    </row>
    <row r="1264">
      <c r="A1264" s="36" t="s">
        <v>3922</v>
      </c>
      <c r="B1264" s="154" t="s">
        <v>3915</v>
      </c>
      <c r="C1264" s="36" t="s">
        <v>1666</v>
      </c>
      <c r="D1264" s="36" t="s">
        <v>1177</v>
      </c>
      <c r="E1264" s="36" t="s">
        <v>1177</v>
      </c>
      <c r="F1264" s="154" t="s">
        <v>1810</v>
      </c>
      <c r="G1264" s="36" t="s">
        <v>32</v>
      </c>
      <c r="H1264" s="36" t="s">
        <v>1655</v>
      </c>
      <c r="I1264" s="36" t="s">
        <v>1656</v>
      </c>
      <c r="J1264" s="36" t="s">
        <v>1656</v>
      </c>
      <c r="K1264" s="36" t="s">
        <v>1711</v>
      </c>
      <c r="L1264" s="36" t="s">
        <v>2776</v>
      </c>
      <c r="M1264" s="36" t="s">
        <v>2776</v>
      </c>
      <c r="N1264" s="36" t="s">
        <v>32</v>
      </c>
    </row>
    <row r="1265">
      <c r="A1265" s="36" t="s">
        <v>3923</v>
      </c>
      <c r="B1265" s="154" t="s">
        <v>3924</v>
      </c>
      <c r="C1265" s="36" t="s">
        <v>1666</v>
      </c>
      <c r="D1265" s="36" t="s">
        <v>547</v>
      </c>
      <c r="E1265" s="36" t="s">
        <v>547</v>
      </c>
      <c r="F1265" s="154" t="s">
        <v>2930</v>
      </c>
      <c r="G1265" s="36" t="s">
        <v>28</v>
      </c>
      <c r="H1265" s="36" t="s">
        <v>1655</v>
      </c>
      <c r="I1265" s="36" t="s">
        <v>1656</v>
      </c>
      <c r="J1265" s="36" t="s">
        <v>1656</v>
      </c>
      <c r="K1265" s="36" t="s">
        <v>1715</v>
      </c>
      <c r="L1265" s="36" t="s">
        <v>2776</v>
      </c>
      <c r="M1265" s="36" t="s">
        <v>2776</v>
      </c>
      <c r="N1265" s="36" t="s">
        <v>32</v>
      </c>
    </row>
    <row r="1266">
      <c r="A1266" s="36" t="s">
        <v>3925</v>
      </c>
      <c r="B1266" s="154" t="s">
        <v>3924</v>
      </c>
      <c r="C1266" s="36" t="s">
        <v>1666</v>
      </c>
      <c r="D1266" s="36" t="s">
        <v>1157</v>
      </c>
      <c r="E1266" s="36" t="s">
        <v>1157</v>
      </c>
      <c r="F1266" s="154" t="s">
        <v>2021</v>
      </c>
      <c r="G1266" s="36" t="s">
        <v>32</v>
      </c>
      <c r="H1266" s="36" t="s">
        <v>1655</v>
      </c>
      <c r="I1266" s="36" t="s">
        <v>1656</v>
      </c>
      <c r="J1266" s="36" t="s">
        <v>1656</v>
      </c>
      <c r="K1266" s="36" t="s">
        <v>1717</v>
      </c>
      <c r="L1266" s="36" t="s">
        <v>2776</v>
      </c>
      <c r="M1266" s="36" t="s">
        <v>2776</v>
      </c>
      <c r="N1266" s="36" t="s">
        <v>32</v>
      </c>
    </row>
    <row r="1267">
      <c r="A1267" s="36" t="s">
        <v>3926</v>
      </c>
      <c r="B1267" s="154" t="s">
        <v>3927</v>
      </c>
      <c r="C1267" s="36" t="s">
        <v>1666</v>
      </c>
      <c r="D1267" s="36" t="s">
        <v>66</v>
      </c>
      <c r="E1267" s="36" t="s">
        <v>66</v>
      </c>
      <c r="F1267" s="154" t="s">
        <v>3841</v>
      </c>
      <c r="G1267" s="36" t="s">
        <v>28</v>
      </c>
      <c r="H1267" s="36" t="s">
        <v>1655</v>
      </c>
      <c r="I1267" s="36" t="s">
        <v>1656</v>
      </c>
      <c r="J1267" s="36" t="s">
        <v>1656</v>
      </c>
      <c r="K1267" s="36" t="s">
        <v>1721</v>
      </c>
      <c r="L1267" s="36" t="s">
        <v>2776</v>
      </c>
      <c r="M1267" s="36" t="s">
        <v>2776</v>
      </c>
      <c r="N1267" s="36" t="s">
        <v>32</v>
      </c>
    </row>
    <row r="1268">
      <c r="A1268" s="36" t="s">
        <v>3928</v>
      </c>
      <c r="B1268" s="154" t="s">
        <v>3929</v>
      </c>
      <c r="C1268" s="36" t="s">
        <v>1653</v>
      </c>
      <c r="D1268" s="36" t="s">
        <v>55</v>
      </c>
      <c r="E1268" s="36" t="s">
        <v>39</v>
      </c>
      <c r="F1268" s="154" t="s">
        <v>3930</v>
      </c>
      <c r="G1268" s="36" t="s">
        <v>32</v>
      </c>
      <c r="H1268" s="36" t="s">
        <v>1655</v>
      </c>
      <c r="I1268" s="36" t="s">
        <v>1656</v>
      </c>
      <c r="J1268" s="36" t="s">
        <v>1656</v>
      </c>
      <c r="K1268" s="36" t="s">
        <v>1749</v>
      </c>
      <c r="L1268" s="36" t="s">
        <v>2771</v>
      </c>
      <c r="M1268" s="36" t="s">
        <v>2771</v>
      </c>
      <c r="N1268" s="36" t="s">
        <v>32</v>
      </c>
    </row>
    <row r="1269">
      <c r="A1269" s="36" t="s">
        <v>3931</v>
      </c>
      <c r="B1269" s="154" t="s">
        <v>3929</v>
      </c>
      <c r="C1269" s="36" t="s">
        <v>1666</v>
      </c>
      <c r="D1269" s="36" t="s">
        <v>71</v>
      </c>
      <c r="E1269" s="36" t="s">
        <v>71</v>
      </c>
      <c r="F1269" s="154" t="s">
        <v>2964</v>
      </c>
      <c r="G1269" s="36" t="s">
        <v>32</v>
      </c>
      <c r="H1269" s="36" t="s">
        <v>1655</v>
      </c>
      <c r="I1269" s="36" t="s">
        <v>1656</v>
      </c>
      <c r="J1269" s="36" t="s">
        <v>1656</v>
      </c>
      <c r="K1269" s="36" t="s">
        <v>1752</v>
      </c>
      <c r="L1269" s="36" t="s">
        <v>2776</v>
      </c>
      <c r="M1269" s="36" t="s">
        <v>2776</v>
      </c>
      <c r="N1269" s="36" t="s">
        <v>32</v>
      </c>
    </row>
    <row r="1270">
      <c r="A1270" s="36" t="s">
        <v>3932</v>
      </c>
      <c r="B1270" s="154" t="s">
        <v>3929</v>
      </c>
      <c r="C1270" s="36" t="s">
        <v>1666</v>
      </c>
      <c r="D1270" s="36" t="s">
        <v>73</v>
      </c>
      <c r="E1270" s="36" t="s">
        <v>73</v>
      </c>
      <c r="F1270" s="154" t="s">
        <v>2966</v>
      </c>
      <c r="G1270" s="36" t="s">
        <v>28</v>
      </c>
      <c r="H1270" s="36" t="s">
        <v>1655</v>
      </c>
      <c r="I1270" s="36" t="s">
        <v>1656</v>
      </c>
      <c r="J1270" s="36" t="s">
        <v>1656</v>
      </c>
      <c r="K1270" s="36" t="s">
        <v>1755</v>
      </c>
      <c r="L1270" s="36" t="s">
        <v>2776</v>
      </c>
      <c r="M1270" s="36" t="s">
        <v>2776</v>
      </c>
      <c r="N1270" s="36" t="s">
        <v>32</v>
      </c>
    </row>
    <row r="1271">
      <c r="A1271" s="36" t="s">
        <v>3933</v>
      </c>
      <c r="B1271" s="154" t="s">
        <v>3929</v>
      </c>
      <c r="C1271" s="36" t="s">
        <v>1666</v>
      </c>
      <c r="D1271" s="36" t="s">
        <v>74</v>
      </c>
      <c r="E1271" s="36" t="s">
        <v>74</v>
      </c>
      <c r="F1271" s="154" t="s">
        <v>2968</v>
      </c>
      <c r="G1271" s="36" t="s">
        <v>32</v>
      </c>
      <c r="H1271" s="36" t="s">
        <v>1655</v>
      </c>
      <c r="I1271" s="36" t="s">
        <v>1656</v>
      </c>
      <c r="J1271" s="36" t="s">
        <v>1656</v>
      </c>
      <c r="K1271" s="36" t="s">
        <v>1757</v>
      </c>
      <c r="L1271" s="36" t="s">
        <v>2776</v>
      </c>
      <c r="M1271" s="36" t="s">
        <v>2776</v>
      </c>
      <c r="N1271" s="36" t="s">
        <v>32</v>
      </c>
    </row>
    <row r="1272">
      <c r="A1272" s="36" t="s">
        <v>3934</v>
      </c>
      <c r="B1272" s="154" t="s">
        <v>3929</v>
      </c>
      <c r="C1272" s="36" t="s">
        <v>1666</v>
      </c>
      <c r="D1272" s="36" t="s">
        <v>75</v>
      </c>
      <c r="E1272" s="36" t="s">
        <v>75</v>
      </c>
      <c r="F1272" s="154" t="s">
        <v>2970</v>
      </c>
      <c r="G1272" s="36" t="s">
        <v>28</v>
      </c>
      <c r="H1272" s="36" t="s">
        <v>1655</v>
      </c>
      <c r="I1272" s="36" t="s">
        <v>1656</v>
      </c>
      <c r="J1272" s="36" t="s">
        <v>1656</v>
      </c>
      <c r="K1272" s="36" t="s">
        <v>1760</v>
      </c>
      <c r="L1272" s="36" t="s">
        <v>2776</v>
      </c>
      <c r="M1272" s="36" t="s">
        <v>2776</v>
      </c>
      <c r="N1272" s="36" t="s">
        <v>32</v>
      </c>
    </row>
    <row r="1273">
      <c r="A1273" s="36" t="s">
        <v>3935</v>
      </c>
      <c r="B1273" s="154" t="s">
        <v>3929</v>
      </c>
      <c r="C1273" s="36" t="s">
        <v>1666</v>
      </c>
      <c r="D1273" s="36" t="s">
        <v>76</v>
      </c>
      <c r="E1273" s="36" t="s">
        <v>76</v>
      </c>
      <c r="F1273" s="154" t="s">
        <v>3850</v>
      </c>
      <c r="G1273" s="36" t="s">
        <v>28</v>
      </c>
      <c r="H1273" s="36" t="s">
        <v>1655</v>
      </c>
      <c r="I1273" s="36" t="s">
        <v>1656</v>
      </c>
      <c r="J1273" s="36" t="s">
        <v>1656</v>
      </c>
      <c r="K1273" s="36" t="s">
        <v>1763</v>
      </c>
      <c r="L1273" s="36" t="s">
        <v>2776</v>
      </c>
      <c r="M1273" s="36" t="s">
        <v>2776</v>
      </c>
      <c r="N1273" s="36" t="s">
        <v>32</v>
      </c>
    </row>
    <row r="1274">
      <c r="A1274" s="36" t="s">
        <v>3936</v>
      </c>
      <c r="B1274" s="154" t="s">
        <v>3929</v>
      </c>
      <c r="C1274" s="36" t="s">
        <v>1666</v>
      </c>
      <c r="D1274" s="36" t="s">
        <v>919</v>
      </c>
      <c r="E1274" s="36" t="s">
        <v>919</v>
      </c>
      <c r="F1274" s="154" t="s">
        <v>3480</v>
      </c>
      <c r="G1274" s="36" t="s">
        <v>28</v>
      </c>
      <c r="H1274" s="36" t="s">
        <v>1655</v>
      </c>
      <c r="I1274" s="36" t="s">
        <v>1656</v>
      </c>
      <c r="J1274" s="36" t="s">
        <v>1656</v>
      </c>
      <c r="K1274" s="36" t="s">
        <v>1766</v>
      </c>
      <c r="L1274" s="36" t="s">
        <v>2776</v>
      </c>
      <c r="M1274" s="36" t="s">
        <v>2776</v>
      </c>
      <c r="N1274" s="36" t="s">
        <v>32</v>
      </c>
    </row>
    <row r="1275">
      <c r="A1275" s="36" t="s">
        <v>3937</v>
      </c>
      <c r="B1275" s="154" t="s">
        <v>3929</v>
      </c>
      <c r="C1275" s="36" t="s">
        <v>1666</v>
      </c>
      <c r="D1275" s="36" t="s">
        <v>77</v>
      </c>
      <c r="E1275" s="36" t="s">
        <v>77</v>
      </c>
      <c r="F1275" s="154" t="s">
        <v>1768</v>
      </c>
      <c r="G1275" s="36" t="s">
        <v>34</v>
      </c>
      <c r="H1275" s="36" t="s">
        <v>1655</v>
      </c>
      <c r="I1275" s="36" t="s">
        <v>1656</v>
      </c>
      <c r="J1275" s="36" t="s">
        <v>1656</v>
      </c>
      <c r="K1275" s="36" t="s">
        <v>1769</v>
      </c>
      <c r="L1275" s="36" t="s">
        <v>2776</v>
      </c>
      <c r="M1275" s="36" t="s">
        <v>2776</v>
      </c>
      <c r="N1275" s="36" t="s">
        <v>32</v>
      </c>
    </row>
    <row r="1276">
      <c r="A1276" s="36" t="s">
        <v>3938</v>
      </c>
      <c r="B1276" s="154" t="s">
        <v>3929</v>
      </c>
      <c r="C1276" s="36" t="s">
        <v>1666</v>
      </c>
      <c r="D1276" s="36" t="s">
        <v>695</v>
      </c>
      <c r="E1276" s="36" t="s">
        <v>695</v>
      </c>
      <c r="F1276" s="154" t="s">
        <v>1813</v>
      </c>
      <c r="G1276" s="36" t="s">
        <v>32</v>
      </c>
      <c r="H1276" s="36" t="s">
        <v>1655</v>
      </c>
      <c r="I1276" s="36" t="s">
        <v>1656</v>
      </c>
      <c r="J1276" s="36" t="s">
        <v>1656</v>
      </c>
      <c r="K1276" s="36" t="s">
        <v>1724</v>
      </c>
      <c r="L1276" s="36" t="s">
        <v>2776</v>
      </c>
      <c r="M1276" s="36" t="s">
        <v>2776</v>
      </c>
      <c r="N1276" s="36" t="s">
        <v>32</v>
      </c>
    </row>
    <row r="1277">
      <c r="A1277" s="36" t="s">
        <v>3939</v>
      </c>
      <c r="B1277" s="154" t="s">
        <v>3929</v>
      </c>
      <c r="C1277" s="36" t="s">
        <v>1666</v>
      </c>
      <c r="D1277" s="36" t="s">
        <v>100</v>
      </c>
      <c r="E1277" s="36" t="s">
        <v>100</v>
      </c>
      <c r="F1277" s="154" t="s">
        <v>1810</v>
      </c>
      <c r="G1277" s="36" t="s">
        <v>32</v>
      </c>
      <c r="H1277" s="36" t="s">
        <v>1655</v>
      </c>
      <c r="I1277" s="36" t="s">
        <v>1656</v>
      </c>
      <c r="J1277" s="36" t="s">
        <v>1656</v>
      </c>
      <c r="K1277" s="36" t="s">
        <v>1727</v>
      </c>
      <c r="L1277" s="36" t="s">
        <v>2776</v>
      </c>
      <c r="M1277" s="36" t="s">
        <v>2776</v>
      </c>
      <c r="N1277" s="36" t="s">
        <v>32</v>
      </c>
    </row>
    <row r="1278">
      <c r="A1278" s="36" t="s">
        <v>3940</v>
      </c>
      <c r="B1278" s="154" t="s">
        <v>3941</v>
      </c>
      <c r="C1278" s="36" t="s">
        <v>1653</v>
      </c>
      <c r="D1278" s="36" t="s">
        <v>701</v>
      </c>
      <c r="E1278" s="36" t="s">
        <v>39</v>
      </c>
      <c r="F1278" s="154" t="s">
        <v>3942</v>
      </c>
      <c r="G1278" s="36" t="s">
        <v>32</v>
      </c>
      <c r="H1278" s="36" t="s">
        <v>1655</v>
      </c>
      <c r="I1278" s="36" t="s">
        <v>1656</v>
      </c>
      <c r="J1278" s="36" t="s">
        <v>1656</v>
      </c>
      <c r="K1278" s="36" t="s">
        <v>1978</v>
      </c>
      <c r="L1278" s="36" t="s">
        <v>2771</v>
      </c>
      <c r="M1278" s="36" t="s">
        <v>2771</v>
      </c>
      <c r="N1278" s="36" t="s">
        <v>32</v>
      </c>
    </row>
    <row r="1279">
      <c r="A1279" s="36" t="s">
        <v>3943</v>
      </c>
      <c r="B1279" s="154" t="s">
        <v>3941</v>
      </c>
      <c r="C1279" s="36" t="s">
        <v>1666</v>
      </c>
      <c r="D1279" s="36" t="s">
        <v>1201</v>
      </c>
      <c r="E1279" s="36" t="s">
        <v>1201</v>
      </c>
      <c r="F1279" s="154" t="s">
        <v>2964</v>
      </c>
      <c r="G1279" s="36" t="s">
        <v>32</v>
      </c>
      <c r="H1279" s="36" t="s">
        <v>1655</v>
      </c>
      <c r="I1279" s="36" t="s">
        <v>1656</v>
      </c>
      <c r="J1279" s="36" t="s">
        <v>1656</v>
      </c>
      <c r="K1279" s="36" t="s">
        <v>1730</v>
      </c>
      <c r="L1279" s="36" t="s">
        <v>2776</v>
      </c>
      <c r="M1279" s="36" t="s">
        <v>2776</v>
      </c>
      <c r="N1279" s="36" t="s">
        <v>32</v>
      </c>
    </row>
    <row r="1280">
      <c r="A1280" s="36" t="s">
        <v>3944</v>
      </c>
      <c r="B1280" s="154" t="s">
        <v>3941</v>
      </c>
      <c r="C1280" s="36" t="s">
        <v>1666</v>
      </c>
      <c r="D1280" s="36" t="s">
        <v>1208</v>
      </c>
      <c r="E1280" s="36" t="s">
        <v>1208</v>
      </c>
      <c r="F1280" s="154" t="s">
        <v>2966</v>
      </c>
      <c r="G1280" s="36" t="s">
        <v>28</v>
      </c>
      <c r="H1280" s="36" t="s">
        <v>1655</v>
      </c>
      <c r="I1280" s="36" t="s">
        <v>1656</v>
      </c>
      <c r="J1280" s="36" t="s">
        <v>1656</v>
      </c>
      <c r="K1280" s="36" t="s">
        <v>1732</v>
      </c>
      <c r="L1280" s="36" t="s">
        <v>2776</v>
      </c>
      <c r="M1280" s="36" t="s">
        <v>2776</v>
      </c>
      <c r="N1280" s="36" t="s">
        <v>32</v>
      </c>
    </row>
    <row r="1281">
      <c r="A1281" s="36" t="s">
        <v>3945</v>
      </c>
      <c r="B1281" s="154" t="s">
        <v>3941</v>
      </c>
      <c r="C1281" s="36" t="s">
        <v>1666</v>
      </c>
      <c r="D1281" s="36" t="s">
        <v>1213</v>
      </c>
      <c r="E1281" s="36" t="s">
        <v>1213</v>
      </c>
      <c r="F1281" s="154" t="s">
        <v>1768</v>
      </c>
      <c r="G1281" s="36" t="s">
        <v>28</v>
      </c>
      <c r="H1281" s="36" t="s">
        <v>1655</v>
      </c>
      <c r="I1281" s="36" t="s">
        <v>1656</v>
      </c>
      <c r="J1281" s="36" t="s">
        <v>1656</v>
      </c>
      <c r="K1281" s="36" t="s">
        <v>1736</v>
      </c>
      <c r="L1281" s="36" t="s">
        <v>2776</v>
      </c>
      <c r="M1281" s="36" t="s">
        <v>2776</v>
      </c>
      <c r="N1281" s="36" t="s">
        <v>32</v>
      </c>
    </row>
    <row r="1282">
      <c r="A1282" s="36" t="s">
        <v>3946</v>
      </c>
      <c r="B1282" s="154" t="s">
        <v>3941</v>
      </c>
      <c r="C1282" s="36" t="s">
        <v>1666</v>
      </c>
      <c r="D1282" s="36" t="s">
        <v>978</v>
      </c>
      <c r="E1282" s="36" t="s">
        <v>978</v>
      </c>
      <c r="F1282" s="154" t="s">
        <v>1683</v>
      </c>
      <c r="G1282" s="36" t="s">
        <v>32</v>
      </c>
      <c r="H1282" s="36" t="s">
        <v>1655</v>
      </c>
      <c r="I1282" s="36" t="s">
        <v>1656</v>
      </c>
      <c r="J1282" s="36" t="s">
        <v>1656</v>
      </c>
      <c r="K1282" s="36" t="s">
        <v>1739</v>
      </c>
      <c r="L1282" s="36" t="s">
        <v>2776</v>
      </c>
      <c r="M1282" s="36" t="s">
        <v>2776</v>
      </c>
      <c r="N1282" s="36" t="s">
        <v>32</v>
      </c>
    </row>
    <row r="1283">
      <c r="A1283" s="36" t="s">
        <v>3947</v>
      </c>
      <c r="B1283" s="154" t="s">
        <v>3941</v>
      </c>
      <c r="C1283" s="36" t="s">
        <v>1666</v>
      </c>
      <c r="D1283" s="36" t="s">
        <v>974</v>
      </c>
      <c r="E1283" s="36" t="s">
        <v>974</v>
      </c>
      <c r="F1283" s="154" t="s">
        <v>1853</v>
      </c>
      <c r="G1283" s="36" t="s">
        <v>32</v>
      </c>
      <c r="H1283" s="36" t="s">
        <v>1655</v>
      </c>
      <c r="I1283" s="36" t="s">
        <v>1656</v>
      </c>
      <c r="J1283" s="36" t="s">
        <v>1656</v>
      </c>
      <c r="K1283" s="36" t="s">
        <v>1742</v>
      </c>
      <c r="L1283" s="36" t="s">
        <v>2776</v>
      </c>
      <c r="M1283" s="36" t="s">
        <v>2776</v>
      </c>
      <c r="N1283" s="36" t="s">
        <v>32</v>
      </c>
    </row>
    <row r="1284">
      <c r="A1284" s="36" t="s">
        <v>3948</v>
      </c>
      <c r="B1284" s="154" t="s">
        <v>3941</v>
      </c>
      <c r="C1284" s="36" t="s">
        <v>1666</v>
      </c>
      <c r="D1284" s="36" t="s">
        <v>502</v>
      </c>
      <c r="E1284" s="36" t="s">
        <v>502</v>
      </c>
      <c r="F1284" s="154" t="s">
        <v>3949</v>
      </c>
      <c r="G1284" s="36" t="s">
        <v>32</v>
      </c>
      <c r="H1284" s="36" t="s">
        <v>1655</v>
      </c>
      <c r="I1284" s="36" t="s">
        <v>1656</v>
      </c>
      <c r="J1284" s="36" t="s">
        <v>1656</v>
      </c>
      <c r="K1284" s="36" t="s">
        <v>1745</v>
      </c>
      <c r="L1284" s="36" t="s">
        <v>2776</v>
      </c>
      <c r="M1284" s="36" t="s">
        <v>2776</v>
      </c>
      <c r="N1284" s="36" t="s">
        <v>32</v>
      </c>
    </row>
    <row r="1285">
      <c r="A1285" s="36" t="s">
        <v>3950</v>
      </c>
      <c r="B1285" s="154" t="s">
        <v>3941</v>
      </c>
      <c r="C1285" s="36" t="s">
        <v>1666</v>
      </c>
      <c r="D1285" s="36" t="s">
        <v>1233</v>
      </c>
      <c r="E1285" s="36" t="s">
        <v>1233</v>
      </c>
      <c r="F1285" s="154" t="s">
        <v>3951</v>
      </c>
      <c r="G1285" s="36" t="s">
        <v>30</v>
      </c>
      <c r="H1285" s="36" t="s">
        <v>1655</v>
      </c>
      <c r="I1285" s="36" t="s">
        <v>1656</v>
      </c>
      <c r="J1285" s="36" t="s">
        <v>1656</v>
      </c>
      <c r="K1285" s="36" t="s">
        <v>1773</v>
      </c>
      <c r="L1285" s="36" t="s">
        <v>2776</v>
      </c>
      <c r="M1285" s="36" t="s">
        <v>2776</v>
      </c>
      <c r="N1285" s="36" t="s">
        <v>32</v>
      </c>
    </row>
    <row r="1286">
      <c r="A1286" s="36" t="s">
        <v>3952</v>
      </c>
      <c r="B1286" s="154" t="s">
        <v>3941</v>
      </c>
      <c r="C1286" s="36" t="s">
        <v>1666</v>
      </c>
      <c r="D1286" s="36" t="s">
        <v>505</v>
      </c>
      <c r="E1286" s="36" t="s">
        <v>505</v>
      </c>
      <c r="F1286" s="154" t="s">
        <v>3953</v>
      </c>
      <c r="G1286" s="36" t="s">
        <v>34</v>
      </c>
      <c r="H1286" s="36" t="s">
        <v>1655</v>
      </c>
      <c r="I1286" s="36" t="s">
        <v>1656</v>
      </c>
      <c r="J1286" s="36" t="s">
        <v>1656</v>
      </c>
      <c r="K1286" s="36" t="s">
        <v>1776</v>
      </c>
      <c r="L1286" s="36" t="s">
        <v>2776</v>
      </c>
      <c r="M1286" s="36" t="s">
        <v>2776</v>
      </c>
      <c r="N1286" s="36" t="s">
        <v>32</v>
      </c>
    </row>
    <row r="1287">
      <c r="A1287" s="36" t="s">
        <v>3954</v>
      </c>
      <c r="B1287" s="154" t="s">
        <v>3941</v>
      </c>
      <c r="C1287" s="36" t="s">
        <v>1666</v>
      </c>
      <c r="D1287" s="36" t="s">
        <v>1241</v>
      </c>
      <c r="E1287" s="36" t="s">
        <v>1241</v>
      </c>
      <c r="F1287" s="154" t="s">
        <v>3955</v>
      </c>
      <c r="G1287" s="36" t="s">
        <v>28</v>
      </c>
      <c r="H1287" s="36" t="s">
        <v>1655</v>
      </c>
      <c r="I1287" s="36" t="s">
        <v>1656</v>
      </c>
      <c r="J1287" s="36" t="s">
        <v>1656</v>
      </c>
      <c r="K1287" s="36" t="s">
        <v>1779</v>
      </c>
      <c r="L1287" s="36" t="s">
        <v>2776</v>
      </c>
      <c r="M1287" s="36" t="s">
        <v>2776</v>
      </c>
      <c r="N1287" s="36" t="s">
        <v>32</v>
      </c>
    </row>
    <row r="1288">
      <c r="A1288" s="36" t="s">
        <v>3956</v>
      </c>
      <c r="B1288" s="154" t="s">
        <v>3941</v>
      </c>
      <c r="C1288" s="36" t="s">
        <v>1666</v>
      </c>
      <c r="D1288" s="36" t="s">
        <v>109</v>
      </c>
      <c r="E1288" s="36" t="s">
        <v>109</v>
      </c>
      <c r="F1288" s="154" t="s">
        <v>1980</v>
      </c>
      <c r="G1288" s="36" t="s">
        <v>28</v>
      </c>
      <c r="H1288" s="36" t="s">
        <v>1655</v>
      </c>
      <c r="I1288" s="36" t="s">
        <v>1656</v>
      </c>
      <c r="J1288" s="36" t="s">
        <v>1656</v>
      </c>
      <c r="K1288" s="36" t="s">
        <v>1782</v>
      </c>
      <c r="L1288" s="36" t="s">
        <v>2776</v>
      </c>
      <c r="M1288" s="36" t="s">
        <v>2776</v>
      </c>
      <c r="N1288" s="36" t="s">
        <v>34</v>
      </c>
    </row>
    <row r="1289">
      <c r="A1289" s="36" t="s">
        <v>3957</v>
      </c>
      <c r="B1289" s="154" t="s">
        <v>3958</v>
      </c>
      <c r="C1289" s="36" t="s">
        <v>1666</v>
      </c>
      <c r="D1289" s="36" t="s">
        <v>1254</v>
      </c>
      <c r="E1289" s="36" t="s">
        <v>1254</v>
      </c>
      <c r="F1289" s="154" t="s">
        <v>2163</v>
      </c>
      <c r="G1289" s="36" t="s">
        <v>28</v>
      </c>
      <c r="H1289" s="36" t="s">
        <v>1655</v>
      </c>
      <c r="I1289" s="36" t="s">
        <v>1656</v>
      </c>
      <c r="J1289" s="36" t="s">
        <v>1656</v>
      </c>
      <c r="K1289" s="36" t="s">
        <v>1784</v>
      </c>
      <c r="L1289" s="36" t="s">
        <v>2776</v>
      </c>
      <c r="M1289" s="36" t="s">
        <v>2776</v>
      </c>
      <c r="N1289" s="36" t="s">
        <v>34</v>
      </c>
    </row>
    <row r="1290">
      <c r="A1290" s="36" t="s">
        <v>3959</v>
      </c>
      <c r="B1290" s="154" t="s">
        <v>3960</v>
      </c>
      <c r="C1290" s="36" t="s">
        <v>1666</v>
      </c>
      <c r="D1290" s="36" t="s">
        <v>1261</v>
      </c>
      <c r="E1290" s="36" t="s">
        <v>1261</v>
      </c>
      <c r="F1290" s="154" t="s">
        <v>3838</v>
      </c>
      <c r="G1290" s="36" t="s">
        <v>28</v>
      </c>
      <c r="H1290" s="36" t="s">
        <v>1655</v>
      </c>
      <c r="I1290" s="36" t="s">
        <v>1656</v>
      </c>
      <c r="J1290" s="36" t="s">
        <v>1656</v>
      </c>
      <c r="K1290" s="36" t="s">
        <v>1787</v>
      </c>
      <c r="L1290" s="36" t="s">
        <v>2776</v>
      </c>
      <c r="M1290" s="36" t="s">
        <v>2776</v>
      </c>
      <c r="N1290" s="36" t="s">
        <v>34</v>
      </c>
    </row>
    <row r="1291">
      <c r="A1291" s="36" t="s">
        <v>3961</v>
      </c>
      <c r="B1291" s="154" t="s">
        <v>3960</v>
      </c>
      <c r="C1291" s="36" t="s">
        <v>1666</v>
      </c>
      <c r="D1291" s="36" t="s">
        <v>641</v>
      </c>
      <c r="E1291" s="36" t="s">
        <v>641</v>
      </c>
      <c r="F1291" s="154" t="s">
        <v>1868</v>
      </c>
      <c r="G1291" s="36" t="s">
        <v>28</v>
      </c>
      <c r="H1291" s="36" t="s">
        <v>1655</v>
      </c>
      <c r="I1291" s="36" t="s">
        <v>1656</v>
      </c>
      <c r="J1291" s="36" t="s">
        <v>1656</v>
      </c>
      <c r="K1291" s="36" t="s">
        <v>1790</v>
      </c>
      <c r="L1291" s="36" t="s">
        <v>2776</v>
      </c>
      <c r="M1291" s="36" t="s">
        <v>2776</v>
      </c>
      <c r="N1291" s="36" t="s">
        <v>34</v>
      </c>
    </row>
    <row r="1292">
      <c r="A1292" s="36" t="s">
        <v>3962</v>
      </c>
      <c r="B1292" s="154" t="s">
        <v>3960</v>
      </c>
      <c r="C1292" s="36" t="s">
        <v>1666</v>
      </c>
      <c r="D1292" s="36" t="s">
        <v>1078</v>
      </c>
      <c r="E1292" s="36" t="s">
        <v>1078</v>
      </c>
      <c r="F1292" s="154" t="s">
        <v>2269</v>
      </c>
      <c r="G1292" s="36" t="s">
        <v>28</v>
      </c>
      <c r="H1292" s="36" t="s">
        <v>1655</v>
      </c>
      <c r="I1292" s="36" t="s">
        <v>1656</v>
      </c>
      <c r="J1292" s="36" t="s">
        <v>1656</v>
      </c>
      <c r="K1292" s="36" t="s">
        <v>1793</v>
      </c>
      <c r="L1292" s="36" t="s">
        <v>2776</v>
      </c>
      <c r="M1292" s="36" t="s">
        <v>2776</v>
      </c>
      <c r="N1292" s="36" t="s">
        <v>34</v>
      </c>
    </row>
    <row r="1293">
      <c r="A1293" s="36" t="s">
        <v>3963</v>
      </c>
      <c r="B1293" s="154" t="s">
        <v>3964</v>
      </c>
      <c r="C1293" s="36" t="s">
        <v>1666</v>
      </c>
      <c r="D1293" s="36" t="s">
        <v>1274</v>
      </c>
      <c r="E1293" s="36" t="s">
        <v>1274</v>
      </c>
      <c r="F1293" s="154" t="s">
        <v>3965</v>
      </c>
      <c r="G1293" s="36" t="s">
        <v>28</v>
      </c>
      <c r="H1293" s="36" t="s">
        <v>1655</v>
      </c>
      <c r="I1293" s="36" t="s">
        <v>1656</v>
      </c>
      <c r="J1293" s="36" t="s">
        <v>1656</v>
      </c>
      <c r="K1293" s="36" t="s">
        <v>1796</v>
      </c>
      <c r="L1293" s="36" t="s">
        <v>2776</v>
      </c>
      <c r="M1293" s="36" t="s">
        <v>2776</v>
      </c>
      <c r="N1293" s="36" t="s">
        <v>34</v>
      </c>
    </row>
    <row r="1294">
      <c r="A1294" s="36" t="s">
        <v>3966</v>
      </c>
      <c r="B1294" s="154" t="s">
        <v>3964</v>
      </c>
      <c r="C1294" s="36" t="s">
        <v>1666</v>
      </c>
      <c r="D1294" s="36" t="s">
        <v>209</v>
      </c>
      <c r="E1294" s="36" t="s">
        <v>209</v>
      </c>
      <c r="F1294" s="154" t="s">
        <v>1810</v>
      </c>
      <c r="G1294" s="36" t="s">
        <v>28</v>
      </c>
      <c r="H1294" s="36" t="s">
        <v>1655</v>
      </c>
      <c r="I1294" s="36" t="s">
        <v>1656</v>
      </c>
      <c r="J1294" s="36" t="s">
        <v>1656</v>
      </c>
      <c r="K1294" s="36" t="s">
        <v>1800</v>
      </c>
      <c r="L1294" s="36" t="s">
        <v>2776</v>
      </c>
      <c r="M1294" s="36" t="s">
        <v>2776</v>
      </c>
      <c r="N1294" s="36" t="s">
        <v>34</v>
      </c>
    </row>
    <row r="1295">
      <c r="A1295" s="36" t="s">
        <v>3967</v>
      </c>
      <c r="B1295" s="154" t="s">
        <v>3968</v>
      </c>
      <c r="C1295" s="36" t="s">
        <v>1666</v>
      </c>
      <c r="D1295" s="36" t="s">
        <v>110</v>
      </c>
      <c r="E1295" s="36" t="s">
        <v>110</v>
      </c>
      <c r="F1295" s="154" t="s">
        <v>1853</v>
      </c>
      <c r="G1295" s="36" t="s">
        <v>28</v>
      </c>
      <c r="H1295" s="36" t="s">
        <v>1655</v>
      </c>
      <c r="I1295" s="36" t="s">
        <v>1656</v>
      </c>
      <c r="J1295" s="36" t="s">
        <v>1656</v>
      </c>
      <c r="K1295" s="36" t="s">
        <v>1803</v>
      </c>
      <c r="L1295" s="36" t="s">
        <v>2776</v>
      </c>
      <c r="M1295" s="36" t="s">
        <v>2776</v>
      </c>
      <c r="N1295" s="36" t="s">
        <v>34</v>
      </c>
    </row>
    <row r="1296">
      <c r="A1296" s="36" t="s">
        <v>3969</v>
      </c>
      <c r="B1296" s="154" t="s">
        <v>3968</v>
      </c>
      <c r="C1296" s="36" t="s">
        <v>1666</v>
      </c>
      <c r="D1296" s="36" t="s">
        <v>109</v>
      </c>
      <c r="E1296" s="36" t="s">
        <v>109</v>
      </c>
      <c r="F1296" s="154" t="s">
        <v>2163</v>
      </c>
      <c r="G1296" s="36" t="s">
        <v>28</v>
      </c>
      <c r="H1296" s="36" t="s">
        <v>1655</v>
      </c>
      <c r="I1296" s="36" t="s">
        <v>1656</v>
      </c>
      <c r="J1296" s="36" t="s">
        <v>1656</v>
      </c>
      <c r="K1296" s="36" t="s">
        <v>1807</v>
      </c>
      <c r="L1296" s="36" t="s">
        <v>2776</v>
      </c>
      <c r="M1296" s="36" t="s">
        <v>2776</v>
      </c>
      <c r="N1296" s="36" t="s">
        <v>34</v>
      </c>
    </row>
    <row r="1297">
      <c r="A1297" s="36" t="s">
        <v>3970</v>
      </c>
      <c r="B1297" s="154" t="s">
        <v>3971</v>
      </c>
      <c r="C1297" s="36" t="s">
        <v>1666</v>
      </c>
      <c r="D1297" s="36" t="s">
        <v>1144</v>
      </c>
      <c r="E1297" s="36" t="s">
        <v>1144</v>
      </c>
      <c r="F1297" s="154" t="s">
        <v>3972</v>
      </c>
      <c r="G1297" s="36" t="s">
        <v>32</v>
      </c>
      <c r="H1297" s="36" t="s">
        <v>1655</v>
      </c>
      <c r="I1297" s="36" t="s">
        <v>1656</v>
      </c>
      <c r="J1297" s="36" t="s">
        <v>1656</v>
      </c>
      <c r="K1297" s="36" t="s">
        <v>1814</v>
      </c>
      <c r="L1297" s="36" t="s">
        <v>2776</v>
      </c>
      <c r="M1297" s="36" t="s">
        <v>2776</v>
      </c>
      <c r="N1297" s="36" t="s">
        <v>32</v>
      </c>
    </row>
    <row r="1298">
      <c r="A1298" s="36" t="s">
        <v>3973</v>
      </c>
      <c r="B1298" s="154" t="s">
        <v>3971</v>
      </c>
      <c r="C1298" s="36" t="s">
        <v>1666</v>
      </c>
      <c r="D1298" s="36" t="s">
        <v>1153</v>
      </c>
      <c r="E1298" s="36" t="s">
        <v>1153</v>
      </c>
      <c r="F1298" s="154" t="s">
        <v>1971</v>
      </c>
      <c r="G1298" s="36" t="s">
        <v>32</v>
      </c>
      <c r="H1298" s="36" t="s">
        <v>1655</v>
      </c>
      <c r="I1298" s="36" t="s">
        <v>1656</v>
      </c>
      <c r="J1298" s="36" t="s">
        <v>1656</v>
      </c>
      <c r="K1298" s="36" t="s">
        <v>1817</v>
      </c>
      <c r="L1298" s="36" t="s">
        <v>2776</v>
      </c>
      <c r="M1298" s="36" t="s">
        <v>2776</v>
      </c>
      <c r="N1298" s="36" t="s">
        <v>32</v>
      </c>
    </row>
    <row r="1299">
      <c r="A1299" s="36" t="s">
        <v>3974</v>
      </c>
      <c r="B1299" s="154" t="s">
        <v>3971</v>
      </c>
      <c r="C1299" s="36" t="s">
        <v>1666</v>
      </c>
      <c r="D1299" s="36" t="s">
        <v>1303</v>
      </c>
      <c r="E1299" s="36" t="s">
        <v>1303</v>
      </c>
      <c r="F1299" s="154" t="s">
        <v>2730</v>
      </c>
      <c r="G1299" s="36" t="s">
        <v>32</v>
      </c>
      <c r="H1299" s="36" t="s">
        <v>1655</v>
      </c>
      <c r="I1299" s="36" t="s">
        <v>1656</v>
      </c>
      <c r="J1299" s="36" t="s">
        <v>1656</v>
      </c>
      <c r="K1299" s="36" t="s">
        <v>1820</v>
      </c>
      <c r="L1299" s="36" t="s">
        <v>2776</v>
      </c>
      <c r="M1299" s="36" t="s">
        <v>2776</v>
      </c>
      <c r="N1299" s="36" t="s">
        <v>32</v>
      </c>
    </row>
    <row r="1300">
      <c r="A1300" s="36" t="s">
        <v>3975</v>
      </c>
      <c r="B1300" s="154" t="s">
        <v>3976</v>
      </c>
      <c r="C1300" s="36" t="s">
        <v>1666</v>
      </c>
      <c r="D1300" s="36" t="s">
        <v>1307</v>
      </c>
      <c r="E1300" s="36" t="s">
        <v>1307</v>
      </c>
      <c r="F1300" s="154" t="s">
        <v>2220</v>
      </c>
      <c r="G1300" s="36" t="s">
        <v>28</v>
      </c>
      <c r="H1300" s="36" t="s">
        <v>1655</v>
      </c>
      <c r="I1300" s="36" t="s">
        <v>1656</v>
      </c>
      <c r="J1300" s="36" t="s">
        <v>1656</v>
      </c>
      <c r="K1300" s="36" t="s">
        <v>1823</v>
      </c>
      <c r="L1300" s="36" t="s">
        <v>2776</v>
      </c>
      <c r="M1300" s="36" t="s">
        <v>2776</v>
      </c>
      <c r="N1300" s="36" t="s">
        <v>32</v>
      </c>
    </row>
    <row r="1301">
      <c r="A1301" s="36" t="s">
        <v>3977</v>
      </c>
      <c r="B1301" s="154" t="s">
        <v>3978</v>
      </c>
      <c r="C1301" s="36" t="s">
        <v>1666</v>
      </c>
      <c r="D1301" s="36" t="s">
        <v>81</v>
      </c>
      <c r="E1301" s="36" t="s">
        <v>81</v>
      </c>
      <c r="F1301" s="154" t="s">
        <v>3296</v>
      </c>
      <c r="G1301" s="36" t="s">
        <v>28</v>
      </c>
      <c r="H1301" s="36" t="s">
        <v>1655</v>
      </c>
      <c r="I1301" s="36" t="s">
        <v>1656</v>
      </c>
      <c r="J1301" s="36" t="s">
        <v>1656</v>
      </c>
      <c r="K1301" s="36" t="s">
        <v>1921</v>
      </c>
      <c r="L1301" s="36" t="s">
        <v>2776</v>
      </c>
      <c r="M1301" s="36" t="s">
        <v>2776</v>
      </c>
      <c r="N1301" s="36" t="s">
        <v>32</v>
      </c>
    </row>
    <row r="1302">
      <c r="A1302" s="36" t="s">
        <v>3979</v>
      </c>
      <c r="B1302" s="154" t="s">
        <v>3978</v>
      </c>
      <c r="C1302" s="36" t="s">
        <v>1666</v>
      </c>
      <c r="D1302" s="36" t="s">
        <v>83</v>
      </c>
      <c r="E1302" s="36" t="s">
        <v>83</v>
      </c>
      <c r="F1302" s="154" t="s">
        <v>3034</v>
      </c>
      <c r="G1302" s="36" t="s">
        <v>28</v>
      </c>
      <c r="H1302" s="36" t="s">
        <v>1655</v>
      </c>
      <c r="I1302" s="36" t="s">
        <v>1656</v>
      </c>
      <c r="J1302" s="36" t="s">
        <v>1656</v>
      </c>
      <c r="K1302" s="36" t="s">
        <v>3166</v>
      </c>
      <c r="L1302" s="36" t="s">
        <v>2776</v>
      </c>
      <c r="M1302" s="36" t="s">
        <v>2776</v>
      </c>
      <c r="N1302" s="36" t="s">
        <v>32</v>
      </c>
    </row>
    <row r="1303">
      <c r="A1303" s="36" t="s">
        <v>3980</v>
      </c>
      <c r="B1303" s="154" t="s">
        <v>3978</v>
      </c>
      <c r="C1303" s="36" t="s">
        <v>1666</v>
      </c>
      <c r="D1303" s="36" t="s">
        <v>84</v>
      </c>
      <c r="E1303" s="36" t="s">
        <v>84</v>
      </c>
      <c r="F1303" s="154" t="s">
        <v>3556</v>
      </c>
      <c r="G1303" s="36" t="s">
        <v>32</v>
      </c>
      <c r="H1303" s="36" t="s">
        <v>1655</v>
      </c>
      <c r="I1303" s="36" t="s">
        <v>1656</v>
      </c>
      <c r="J1303" s="36" t="s">
        <v>1656</v>
      </c>
      <c r="K1303" s="36" t="s">
        <v>1924</v>
      </c>
      <c r="L1303" s="36" t="s">
        <v>2776</v>
      </c>
      <c r="M1303" s="36" t="s">
        <v>2776</v>
      </c>
      <c r="N1303" s="36" t="s">
        <v>32</v>
      </c>
    </row>
    <row r="1304">
      <c r="A1304" s="36" t="s">
        <v>3981</v>
      </c>
      <c r="B1304" s="154" t="s">
        <v>3982</v>
      </c>
      <c r="C1304" s="36" t="s">
        <v>1666</v>
      </c>
      <c r="D1304" s="36" t="s">
        <v>100</v>
      </c>
      <c r="E1304" s="36" t="s">
        <v>100</v>
      </c>
      <c r="F1304" s="154" t="s">
        <v>1810</v>
      </c>
      <c r="G1304" s="36" t="s">
        <v>32</v>
      </c>
      <c r="H1304" s="36" t="s">
        <v>1655</v>
      </c>
      <c r="I1304" s="36" t="s">
        <v>1656</v>
      </c>
      <c r="J1304" s="36" t="s">
        <v>1656</v>
      </c>
      <c r="K1304" s="36" t="s">
        <v>1826</v>
      </c>
      <c r="L1304" s="36" t="s">
        <v>2776</v>
      </c>
      <c r="M1304" s="36" t="s">
        <v>2776</v>
      </c>
      <c r="N1304" s="36" t="s">
        <v>32</v>
      </c>
    </row>
    <row r="1305">
      <c r="A1305" s="36" t="s">
        <v>3983</v>
      </c>
      <c r="B1305" s="154" t="s">
        <v>3984</v>
      </c>
      <c r="C1305" s="36" t="s">
        <v>1653</v>
      </c>
      <c r="D1305" s="36" t="s">
        <v>43</v>
      </c>
      <c r="E1305" s="36" t="s">
        <v>39</v>
      </c>
      <c r="F1305" s="154" t="s">
        <v>3985</v>
      </c>
      <c r="G1305" s="36" t="s">
        <v>32</v>
      </c>
      <c r="H1305" s="36" t="s">
        <v>1655</v>
      </c>
      <c r="I1305" s="36" t="s">
        <v>1656</v>
      </c>
      <c r="J1305" s="36" t="s">
        <v>1656</v>
      </c>
      <c r="K1305" s="36" t="s">
        <v>1657</v>
      </c>
      <c r="L1305" s="36" t="s">
        <v>2771</v>
      </c>
      <c r="M1305" s="36" t="s">
        <v>2771</v>
      </c>
      <c r="N1305" s="36" t="s">
        <v>32</v>
      </c>
    </row>
    <row r="1306">
      <c r="A1306" s="36" t="s">
        <v>3986</v>
      </c>
      <c r="B1306" s="154" t="s">
        <v>3984</v>
      </c>
      <c r="C1306" s="36" t="s">
        <v>1653</v>
      </c>
      <c r="D1306" s="36" t="s">
        <v>60</v>
      </c>
      <c r="E1306" s="36" t="s">
        <v>39</v>
      </c>
      <c r="F1306" s="154" t="s">
        <v>3987</v>
      </c>
      <c r="G1306" s="36" t="s">
        <v>32</v>
      </c>
      <c r="H1306" s="36" t="s">
        <v>1655</v>
      </c>
      <c r="I1306" s="36" t="s">
        <v>1656</v>
      </c>
      <c r="J1306" s="36" t="s">
        <v>1656</v>
      </c>
      <c r="K1306" s="36" t="s">
        <v>1989</v>
      </c>
      <c r="L1306" s="36" t="s">
        <v>2771</v>
      </c>
      <c r="M1306" s="36" t="s">
        <v>2771</v>
      </c>
      <c r="N1306" s="36" t="s">
        <v>32</v>
      </c>
    </row>
    <row r="1307">
      <c r="A1307" s="36" t="s">
        <v>3988</v>
      </c>
      <c r="B1307" s="154" t="s">
        <v>3984</v>
      </c>
      <c r="C1307" s="36" t="s">
        <v>1666</v>
      </c>
      <c r="D1307" s="36" t="s">
        <v>85</v>
      </c>
      <c r="E1307" s="36" t="s">
        <v>85</v>
      </c>
      <c r="F1307" s="154" t="s">
        <v>3180</v>
      </c>
      <c r="G1307" s="36" t="s">
        <v>28</v>
      </c>
      <c r="H1307" s="36" t="s">
        <v>1655</v>
      </c>
      <c r="I1307" s="36" t="s">
        <v>1656</v>
      </c>
      <c r="J1307" s="36" t="s">
        <v>1656</v>
      </c>
      <c r="K1307" s="36" t="s">
        <v>2775</v>
      </c>
      <c r="L1307" s="36" t="s">
        <v>2776</v>
      </c>
      <c r="M1307" s="36" t="s">
        <v>2776</v>
      </c>
      <c r="N1307" s="36" t="s">
        <v>32</v>
      </c>
    </row>
    <row r="1308">
      <c r="A1308" s="36" t="s">
        <v>3989</v>
      </c>
      <c r="B1308" s="154" t="s">
        <v>3984</v>
      </c>
      <c r="C1308" s="36" t="s">
        <v>1666</v>
      </c>
      <c r="D1308" s="36" t="s">
        <v>1118</v>
      </c>
      <c r="E1308" s="36" t="s">
        <v>1118</v>
      </c>
      <c r="F1308" s="154" t="s">
        <v>3990</v>
      </c>
      <c r="G1308" s="36" t="s">
        <v>28</v>
      </c>
      <c r="H1308" s="36" t="s">
        <v>1655</v>
      </c>
      <c r="I1308" s="36" t="s">
        <v>1656</v>
      </c>
      <c r="J1308" s="36" t="s">
        <v>1656</v>
      </c>
      <c r="K1308" s="36" t="s">
        <v>2779</v>
      </c>
      <c r="L1308" s="36" t="s">
        <v>2776</v>
      </c>
      <c r="M1308" s="36" t="s">
        <v>2776</v>
      </c>
      <c r="N1308" s="36" t="s">
        <v>32</v>
      </c>
    </row>
    <row r="1309">
      <c r="A1309" s="36" t="s">
        <v>3991</v>
      </c>
      <c r="B1309" s="154" t="s">
        <v>3984</v>
      </c>
      <c r="C1309" s="36" t="s">
        <v>1666</v>
      </c>
      <c r="D1309" s="36" t="s">
        <v>923</v>
      </c>
      <c r="E1309" s="36" t="s">
        <v>923</v>
      </c>
      <c r="F1309" s="154" t="s">
        <v>1683</v>
      </c>
      <c r="G1309" s="36" t="s">
        <v>32</v>
      </c>
      <c r="H1309" s="36" t="s">
        <v>1655</v>
      </c>
      <c r="I1309" s="36" t="s">
        <v>1656</v>
      </c>
      <c r="J1309" s="36" t="s">
        <v>1656</v>
      </c>
      <c r="K1309" s="36" t="s">
        <v>1675</v>
      </c>
      <c r="L1309" s="36" t="s">
        <v>2776</v>
      </c>
      <c r="M1309" s="36" t="s">
        <v>2776</v>
      </c>
      <c r="N1309" s="36" t="s">
        <v>32</v>
      </c>
    </row>
    <row r="1310">
      <c r="A1310" s="36" t="s">
        <v>3992</v>
      </c>
      <c r="B1310" s="154" t="s">
        <v>3984</v>
      </c>
      <c r="C1310" s="36" t="s">
        <v>1666</v>
      </c>
      <c r="D1310" s="36" t="s">
        <v>1131</v>
      </c>
      <c r="E1310" s="36" t="s">
        <v>1131</v>
      </c>
      <c r="F1310" s="154" t="s">
        <v>2082</v>
      </c>
      <c r="G1310" s="36" t="s">
        <v>32</v>
      </c>
      <c r="H1310" s="36" t="s">
        <v>1655</v>
      </c>
      <c r="I1310" s="36" t="s">
        <v>1656</v>
      </c>
      <c r="J1310" s="36" t="s">
        <v>1656</v>
      </c>
      <c r="K1310" s="36" t="s">
        <v>1678</v>
      </c>
      <c r="L1310" s="36" t="s">
        <v>2776</v>
      </c>
      <c r="M1310" s="36" t="s">
        <v>2776</v>
      </c>
      <c r="N1310" s="36" t="s">
        <v>32</v>
      </c>
    </row>
    <row r="1311">
      <c r="A1311" s="36" t="s">
        <v>3993</v>
      </c>
      <c r="B1311" s="154" t="s">
        <v>3994</v>
      </c>
      <c r="C1311" s="36" t="s">
        <v>1666</v>
      </c>
      <c r="D1311" s="36" t="s">
        <v>201</v>
      </c>
      <c r="E1311" s="36" t="s">
        <v>201</v>
      </c>
      <c r="F1311" s="154" t="s">
        <v>3995</v>
      </c>
      <c r="G1311" s="36" t="s">
        <v>28</v>
      </c>
      <c r="H1311" s="36" t="s">
        <v>1655</v>
      </c>
      <c r="I1311" s="36" t="s">
        <v>1656</v>
      </c>
      <c r="J1311" s="36" t="s">
        <v>1656</v>
      </c>
      <c r="K1311" s="36" t="s">
        <v>1681</v>
      </c>
      <c r="L1311" s="36" t="s">
        <v>2776</v>
      </c>
      <c r="M1311" s="36" t="s">
        <v>2776</v>
      </c>
      <c r="N1311" s="36" t="s">
        <v>32</v>
      </c>
    </row>
    <row r="1312">
      <c r="A1312" s="36" t="s">
        <v>3996</v>
      </c>
      <c r="B1312" s="154" t="s">
        <v>3997</v>
      </c>
      <c r="C1312" s="36" t="s">
        <v>1666</v>
      </c>
      <c r="D1312" s="36" t="s">
        <v>1143</v>
      </c>
      <c r="E1312" s="36" t="s">
        <v>1143</v>
      </c>
      <c r="F1312" s="154" t="s">
        <v>1806</v>
      </c>
      <c r="G1312" s="36" t="s">
        <v>32</v>
      </c>
      <c r="H1312" s="36" t="s">
        <v>1655</v>
      </c>
      <c r="I1312" s="36" t="s">
        <v>1656</v>
      </c>
      <c r="J1312" s="36" t="s">
        <v>1656</v>
      </c>
      <c r="K1312" s="36" t="s">
        <v>1684</v>
      </c>
      <c r="L1312" s="36" t="s">
        <v>2776</v>
      </c>
      <c r="M1312" s="36" t="s">
        <v>2776</v>
      </c>
      <c r="N1312" s="36" t="s">
        <v>32</v>
      </c>
    </row>
    <row r="1313">
      <c r="A1313" s="36" t="s">
        <v>3998</v>
      </c>
      <c r="B1313" s="154" t="s">
        <v>3997</v>
      </c>
      <c r="C1313" s="36" t="s">
        <v>1666</v>
      </c>
      <c r="D1313" s="36" t="s">
        <v>1151</v>
      </c>
      <c r="E1313" s="36" t="s">
        <v>1151</v>
      </c>
      <c r="F1313" s="154" t="s">
        <v>3999</v>
      </c>
      <c r="G1313" s="36" t="s">
        <v>32</v>
      </c>
      <c r="H1313" s="36" t="s">
        <v>1655</v>
      </c>
      <c r="I1313" s="36" t="s">
        <v>1656</v>
      </c>
      <c r="J1313" s="36" t="s">
        <v>1656</v>
      </c>
      <c r="K1313" s="36" t="s">
        <v>1691</v>
      </c>
      <c r="L1313" s="36" t="s">
        <v>2776</v>
      </c>
      <c r="M1313" s="36" t="s">
        <v>2776</v>
      </c>
      <c r="N1313" s="36" t="s">
        <v>32</v>
      </c>
    </row>
    <row r="1314">
      <c r="A1314" s="36" t="s">
        <v>4000</v>
      </c>
      <c r="B1314" s="154" t="s">
        <v>4001</v>
      </c>
      <c r="C1314" s="36" t="s">
        <v>1666</v>
      </c>
      <c r="D1314" s="36" t="s">
        <v>64</v>
      </c>
      <c r="E1314" s="36" t="s">
        <v>64</v>
      </c>
      <c r="F1314" s="154" t="s">
        <v>1707</v>
      </c>
      <c r="G1314" s="36" t="s">
        <v>28</v>
      </c>
      <c r="H1314" s="36" t="s">
        <v>1655</v>
      </c>
      <c r="I1314" s="36" t="s">
        <v>1656</v>
      </c>
      <c r="J1314" s="36" t="s">
        <v>1656</v>
      </c>
      <c r="K1314" s="36" t="s">
        <v>1708</v>
      </c>
      <c r="L1314" s="36" t="s">
        <v>2776</v>
      </c>
      <c r="M1314" s="36" t="s">
        <v>2776</v>
      </c>
      <c r="N1314" s="36" t="s">
        <v>32</v>
      </c>
    </row>
    <row r="1315">
      <c r="A1315" s="36" t="s">
        <v>4002</v>
      </c>
      <c r="B1315" s="154" t="s">
        <v>4003</v>
      </c>
      <c r="C1315" s="36" t="s">
        <v>1666</v>
      </c>
      <c r="D1315" s="36" t="s">
        <v>1011</v>
      </c>
      <c r="E1315" s="36" t="s">
        <v>1011</v>
      </c>
      <c r="F1315" s="154" t="s">
        <v>1810</v>
      </c>
      <c r="G1315" s="36" t="s">
        <v>32</v>
      </c>
      <c r="H1315" s="36" t="s">
        <v>1655</v>
      </c>
      <c r="I1315" s="36" t="s">
        <v>1656</v>
      </c>
      <c r="J1315" s="36" t="s">
        <v>1656</v>
      </c>
      <c r="K1315" s="36" t="s">
        <v>1695</v>
      </c>
      <c r="L1315" s="36" t="s">
        <v>2776</v>
      </c>
      <c r="M1315" s="36" t="s">
        <v>2776</v>
      </c>
      <c r="N1315" s="36" t="s">
        <v>32</v>
      </c>
    </row>
    <row r="1316">
      <c r="A1316" s="36" t="s">
        <v>4004</v>
      </c>
      <c r="B1316" s="154" t="s">
        <v>4005</v>
      </c>
      <c r="C1316" s="36" t="s">
        <v>1666</v>
      </c>
      <c r="D1316" s="36" t="s">
        <v>66</v>
      </c>
      <c r="E1316" s="36" t="s">
        <v>66</v>
      </c>
      <c r="F1316" s="154" t="s">
        <v>4006</v>
      </c>
      <c r="G1316" s="36" t="s">
        <v>28</v>
      </c>
      <c r="H1316" s="36" t="s">
        <v>1655</v>
      </c>
      <c r="I1316" s="36" t="s">
        <v>1656</v>
      </c>
      <c r="J1316" s="36" t="s">
        <v>1656</v>
      </c>
      <c r="K1316" s="36" t="s">
        <v>1721</v>
      </c>
      <c r="L1316" s="36" t="s">
        <v>2776</v>
      </c>
      <c r="M1316" s="36" t="s">
        <v>2776</v>
      </c>
      <c r="N1316" s="36" t="s">
        <v>32</v>
      </c>
    </row>
    <row r="1317">
      <c r="A1317" s="36" t="s">
        <v>4007</v>
      </c>
      <c r="B1317" s="154" t="s">
        <v>4005</v>
      </c>
      <c r="C1317" s="36" t="s">
        <v>1666</v>
      </c>
      <c r="D1317" s="36" t="s">
        <v>235</v>
      </c>
      <c r="E1317" s="36" t="s">
        <v>235</v>
      </c>
      <c r="F1317" s="154" t="s">
        <v>2249</v>
      </c>
      <c r="G1317" s="36" t="s">
        <v>28</v>
      </c>
      <c r="H1317" s="36" t="s">
        <v>1655</v>
      </c>
      <c r="I1317" s="36" t="s">
        <v>1656</v>
      </c>
      <c r="J1317" s="36" t="s">
        <v>1656</v>
      </c>
      <c r="K1317" s="36" t="s">
        <v>1698</v>
      </c>
      <c r="L1317" s="36" t="s">
        <v>2776</v>
      </c>
      <c r="M1317" s="36" t="s">
        <v>2776</v>
      </c>
      <c r="N1317" s="36" t="s">
        <v>32</v>
      </c>
    </row>
    <row r="1318">
      <c r="A1318" s="36" t="s">
        <v>4008</v>
      </c>
      <c r="B1318" s="154" t="s">
        <v>4005</v>
      </c>
      <c r="C1318" s="36" t="s">
        <v>1666</v>
      </c>
      <c r="D1318" s="36" t="s">
        <v>238</v>
      </c>
      <c r="E1318" s="36" t="s">
        <v>238</v>
      </c>
      <c r="F1318" s="154" t="s">
        <v>1868</v>
      </c>
      <c r="G1318" s="36" t="s">
        <v>32</v>
      </c>
      <c r="H1318" s="36" t="s">
        <v>1655</v>
      </c>
      <c r="I1318" s="36" t="s">
        <v>1656</v>
      </c>
      <c r="J1318" s="36" t="s">
        <v>1656</v>
      </c>
      <c r="K1318" s="36" t="s">
        <v>1701</v>
      </c>
      <c r="L1318" s="36" t="s">
        <v>2776</v>
      </c>
      <c r="M1318" s="36" t="s">
        <v>2776</v>
      </c>
      <c r="N1318" s="36" t="s">
        <v>32</v>
      </c>
    </row>
    <row r="1319">
      <c r="A1319" s="36" t="s">
        <v>4009</v>
      </c>
      <c r="B1319" s="154" t="s">
        <v>4005</v>
      </c>
      <c r="C1319" s="36" t="s">
        <v>1666</v>
      </c>
      <c r="D1319" s="36" t="s">
        <v>1172</v>
      </c>
      <c r="E1319" s="36" t="s">
        <v>1172</v>
      </c>
      <c r="F1319" s="154" t="s">
        <v>4010</v>
      </c>
      <c r="G1319" s="36" t="s">
        <v>28</v>
      </c>
      <c r="H1319" s="36" t="s">
        <v>1655</v>
      </c>
      <c r="I1319" s="36" t="s">
        <v>1656</v>
      </c>
      <c r="J1319" s="36" t="s">
        <v>1656</v>
      </c>
      <c r="K1319" s="36" t="s">
        <v>1704</v>
      </c>
      <c r="L1319" s="36" t="s">
        <v>2776</v>
      </c>
      <c r="M1319" s="36" t="s">
        <v>2776</v>
      </c>
      <c r="N1319" s="36" t="s">
        <v>32</v>
      </c>
    </row>
    <row r="1320">
      <c r="A1320" s="36" t="s">
        <v>4011</v>
      </c>
      <c r="B1320" s="154" t="s">
        <v>4012</v>
      </c>
      <c r="C1320" s="36" t="s">
        <v>1666</v>
      </c>
      <c r="D1320" s="36" t="s">
        <v>1178</v>
      </c>
      <c r="E1320" s="36" t="s">
        <v>1178</v>
      </c>
      <c r="F1320" s="154" t="s">
        <v>4013</v>
      </c>
      <c r="G1320" s="36" t="s">
        <v>32</v>
      </c>
      <c r="H1320" s="36" t="s">
        <v>1655</v>
      </c>
      <c r="I1320" s="36" t="s">
        <v>1656</v>
      </c>
      <c r="J1320" s="36" t="s">
        <v>1656</v>
      </c>
      <c r="K1320" s="36" t="s">
        <v>1711</v>
      </c>
      <c r="L1320" s="36" t="s">
        <v>2776</v>
      </c>
      <c r="M1320" s="36" t="s">
        <v>2776</v>
      </c>
      <c r="N1320" s="36" t="s">
        <v>32</v>
      </c>
    </row>
    <row r="1321">
      <c r="A1321" s="36" t="s">
        <v>4014</v>
      </c>
      <c r="B1321" s="154" t="s">
        <v>4012</v>
      </c>
      <c r="C1321" s="36" t="s">
        <v>1666</v>
      </c>
      <c r="D1321" s="36" t="s">
        <v>1181</v>
      </c>
      <c r="E1321" s="36" t="s">
        <v>1181</v>
      </c>
      <c r="F1321" s="154" t="s">
        <v>4015</v>
      </c>
      <c r="G1321" s="36" t="s">
        <v>32</v>
      </c>
      <c r="H1321" s="36" t="s">
        <v>1655</v>
      </c>
      <c r="I1321" s="36" t="s">
        <v>1656</v>
      </c>
      <c r="J1321" s="36" t="s">
        <v>1656</v>
      </c>
      <c r="K1321" s="36" t="s">
        <v>1715</v>
      </c>
      <c r="L1321" s="36" t="s">
        <v>2776</v>
      </c>
      <c r="M1321" s="36" t="s">
        <v>2776</v>
      </c>
      <c r="N1321" s="36" t="s">
        <v>32</v>
      </c>
    </row>
    <row r="1322">
      <c r="A1322" s="36" t="s">
        <v>4016</v>
      </c>
      <c r="B1322" s="154" t="s">
        <v>4017</v>
      </c>
      <c r="C1322" s="36" t="s">
        <v>1653</v>
      </c>
      <c r="D1322" s="36" t="s">
        <v>55</v>
      </c>
      <c r="E1322" s="36" t="s">
        <v>39</v>
      </c>
      <c r="F1322" s="154" t="s">
        <v>4018</v>
      </c>
      <c r="G1322" s="36" t="s">
        <v>32</v>
      </c>
      <c r="H1322" s="36" t="s">
        <v>1655</v>
      </c>
      <c r="I1322" s="36" t="s">
        <v>1656</v>
      </c>
      <c r="J1322" s="36" t="s">
        <v>1656</v>
      </c>
      <c r="K1322" s="36" t="s">
        <v>1749</v>
      </c>
      <c r="L1322" s="36" t="s">
        <v>2771</v>
      </c>
      <c r="M1322" s="36" t="s">
        <v>2771</v>
      </c>
      <c r="N1322" s="36" t="s">
        <v>32</v>
      </c>
    </row>
    <row r="1323">
      <c r="A1323" s="36" t="s">
        <v>4019</v>
      </c>
      <c r="B1323" s="154" t="s">
        <v>4017</v>
      </c>
      <c r="C1323" s="36" t="s">
        <v>1666</v>
      </c>
      <c r="D1323" s="36" t="s">
        <v>71</v>
      </c>
      <c r="E1323" s="36" t="s">
        <v>71</v>
      </c>
      <c r="F1323" s="154" t="s">
        <v>2964</v>
      </c>
      <c r="G1323" s="36" t="s">
        <v>32</v>
      </c>
      <c r="H1323" s="36" t="s">
        <v>1655</v>
      </c>
      <c r="I1323" s="36" t="s">
        <v>1656</v>
      </c>
      <c r="J1323" s="36" t="s">
        <v>1656</v>
      </c>
      <c r="K1323" s="36" t="s">
        <v>1752</v>
      </c>
      <c r="L1323" s="36" t="s">
        <v>2776</v>
      </c>
      <c r="M1323" s="36" t="s">
        <v>2776</v>
      </c>
      <c r="N1323" s="36" t="s">
        <v>32</v>
      </c>
    </row>
    <row r="1324">
      <c r="A1324" s="36" t="s">
        <v>4020</v>
      </c>
      <c r="B1324" s="154" t="s">
        <v>4017</v>
      </c>
      <c r="C1324" s="36" t="s">
        <v>1666</v>
      </c>
      <c r="D1324" s="36" t="s">
        <v>73</v>
      </c>
      <c r="E1324" s="36" t="s">
        <v>73</v>
      </c>
      <c r="F1324" s="154" t="s">
        <v>2966</v>
      </c>
      <c r="G1324" s="36" t="s">
        <v>28</v>
      </c>
      <c r="H1324" s="36" t="s">
        <v>1655</v>
      </c>
      <c r="I1324" s="36" t="s">
        <v>1656</v>
      </c>
      <c r="J1324" s="36" t="s">
        <v>1656</v>
      </c>
      <c r="K1324" s="36" t="s">
        <v>1755</v>
      </c>
      <c r="L1324" s="36" t="s">
        <v>2776</v>
      </c>
      <c r="M1324" s="36" t="s">
        <v>2776</v>
      </c>
      <c r="N1324" s="36" t="s">
        <v>32</v>
      </c>
    </row>
    <row r="1325">
      <c r="A1325" s="36" t="s">
        <v>4021</v>
      </c>
      <c r="B1325" s="154" t="s">
        <v>4017</v>
      </c>
      <c r="C1325" s="36" t="s">
        <v>1666</v>
      </c>
      <c r="D1325" s="36" t="s">
        <v>74</v>
      </c>
      <c r="E1325" s="36" t="s">
        <v>74</v>
      </c>
      <c r="F1325" s="154" t="s">
        <v>2968</v>
      </c>
      <c r="G1325" s="36" t="s">
        <v>32</v>
      </c>
      <c r="H1325" s="36" t="s">
        <v>1655</v>
      </c>
      <c r="I1325" s="36" t="s">
        <v>1656</v>
      </c>
      <c r="J1325" s="36" t="s">
        <v>1656</v>
      </c>
      <c r="K1325" s="36" t="s">
        <v>1757</v>
      </c>
      <c r="L1325" s="36" t="s">
        <v>2776</v>
      </c>
      <c r="M1325" s="36" t="s">
        <v>2776</v>
      </c>
      <c r="N1325" s="36" t="s">
        <v>32</v>
      </c>
    </row>
    <row r="1326">
      <c r="A1326" s="36" t="s">
        <v>4022</v>
      </c>
      <c r="B1326" s="154" t="s">
        <v>4017</v>
      </c>
      <c r="C1326" s="36" t="s">
        <v>1666</v>
      </c>
      <c r="D1326" s="36" t="s">
        <v>75</v>
      </c>
      <c r="E1326" s="36" t="s">
        <v>75</v>
      </c>
      <c r="F1326" s="154" t="s">
        <v>2970</v>
      </c>
      <c r="G1326" s="36" t="s">
        <v>28</v>
      </c>
      <c r="H1326" s="36" t="s">
        <v>1655</v>
      </c>
      <c r="I1326" s="36" t="s">
        <v>1656</v>
      </c>
      <c r="J1326" s="36" t="s">
        <v>1656</v>
      </c>
      <c r="K1326" s="36" t="s">
        <v>1760</v>
      </c>
      <c r="L1326" s="36" t="s">
        <v>2776</v>
      </c>
      <c r="M1326" s="36" t="s">
        <v>2776</v>
      </c>
      <c r="N1326" s="36" t="s">
        <v>32</v>
      </c>
    </row>
    <row r="1327">
      <c r="A1327" s="36" t="s">
        <v>4023</v>
      </c>
      <c r="B1327" s="154" t="s">
        <v>4017</v>
      </c>
      <c r="C1327" s="36" t="s">
        <v>1666</v>
      </c>
      <c r="D1327" s="36" t="s">
        <v>76</v>
      </c>
      <c r="E1327" s="36" t="s">
        <v>76</v>
      </c>
      <c r="F1327" s="154" t="s">
        <v>4024</v>
      </c>
      <c r="G1327" s="36" t="s">
        <v>28</v>
      </c>
      <c r="H1327" s="36" t="s">
        <v>1655</v>
      </c>
      <c r="I1327" s="36" t="s">
        <v>1656</v>
      </c>
      <c r="J1327" s="36" t="s">
        <v>1656</v>
      </c>
      <c r="K1327" s="36" t="s">
        <v>1763</v>
      </c>
      <c r="L1327" s="36" t="s">
        <v>2776</v>
      </c>
      <c r="M1327" s="36" t="s">
        <v>2776</v>
      </c>
      <c r="N1327" s="36" t="s">
        <v>32</v>
      </c>
    </row>
    <row r="1328">
      <c r="A1328" s="36" t="s">
        <v>4025</v>
      </c>
      <c r="B1328" s="154" t="s">
        <v>4017</v>
      </c>
      <c r="C1328" s="36" t="s">
        <v>1666</v>
      </c>
      <c r="D1328" s="36" t="s">
        <v>919</v>
      </c>
      <c r="E1328" s="36" t="s">
        <v>919</v>
      </c>
      <c r="F1328" s="154" t="s">
        <v>3480</v>
      </c>
      <c r="G1328" s="36" t="s">
        <v>28</v>
      </c>
      <c r="H1328" s="36" t="s">
        <v>1655</v>
      </c>
      <c r="I1328" s="36" t="s">
        <v>1656</v>
      </c>
      <c r="J1328" s="36" t="s">
        <v>1656</v>
      </c>
      <c r="K1328" s="36" t="s">
        <v>1766</v>
      </c>
      <c r="L1328" s="36" t="s">
        <v>2776</v>
      </c>
      <c r="M1328" s="36" t="s">
        <v>2776</v>
      </c>
      <c r="N1328" s="36" t="s">
        <v>32</v>
      </c>
    </row>
    <row r="1329">
      <c r="A1329" s="36" t="s">
        <v>4026</v>
      </c>
      <c r="B1329" s="154" t="s">
        <v>4017</v>
      </c>
      <c r="C1329" s="36" t="s">
        <v>1666</v>
      </c>
      <c r="D1329" s="36" t="s">
        <v>77</v>
      </c>
      <c r="E1329" s="36" t="s">
        <v>77</v>
      </c>
      <c r="F1329" s="154" t="s">
        <v>1768</v>
      </c>
      <c r="G1329" s="36" t="s">
        <v>34</v>
      </c>
      <c r="H1329" s="36" t="s">
        <v>1655</v>
      </c>
      <c r="I1329" s="36" t="s">
        <v>1656</v>
      </c>
      <c r="J1329" s="36" t="s">
        <v>1656</v>
      </c>
      <c r="K1329" s="36" t="s">
        <v>1769</v>
      </c>
      <c r="L1329" s="36" t="s">
        <v>2776</v>
      </c>
      <c r="M1329" s="36" t="s">
        <v>2776</v>
      </c>
      <c r="N1329" s="36" t="s">
        <v>32</v>
      </c>
    </row>
    <row r="1330">
      <c r="A1330" s="36" t="s">
        <v>4027</v>
      </c>
      <c r="B1330" s="154" t="s">
        <v>4017</v>
      </c>
      <c r="C1330" s="36" t="s">
        <v>1666</v>
      </c>
      <c r="D1330" s="36" t="s">
        <v>226</v>
      </c>
      <c r="E1330" s="36" t="s">
        <v>226</v>
      </c>
      <c r="F1330" s="154" t="s">
        <v>4028</v>
      </c>
      <c r="G1330" s="36" t="s">
        <v>32</v>
      </c>
      <c r="H1330" s="36" t="s">
        <v>1655</v>
      </c>
      <c r="I1330" s="36" t="s">
        <v>1656</v>
      </c>
      <c r="J1330" s="36" t="s">
        <v>1656</v>
      </c>
      <c r="K1330" s="36" t="s">
        <v>1717</v>
      </c>
      <c r="L1330" s="36" t="s">
        <v>2776</v>
      </c>
      <c r="M1330" s="36" t="s">
        <v>2776</v>
      </c>
      <c r="N1330" s="36" t="s">
        <v>32</v>
      </c>
    </row>
    <row r="1331">
      <c r="A1331" s="36" t="s">
        <v>4029</v>
      </c>
      <c r="B1331" s="154" t="s">
        <v>4017</v>
      </c>
      <c r="C1331" s="36" t="s">
        <v>1666</v>
      </c>
      <c r="D1331" s="36" t="s">
        <v>220</v>
      </c>
      <c r="E1331" s="36" t="s">
        <v>220</v>
      </c>
      <c r="F1331" s="154" t="s">
        <v>4030</v>
      </c>
      <c r="G1331" s="36" t="s">
        <v>28</v>
      </c>
      <c r="H1331" s="36" t="s">
        <v>1655</v>
      </c>
      <c r="I1331" s="36" t="s">
        <v>1656</v>
      </c>
      <c r="J1331" s="36" t="s">
        <v>1656</v>
      </c>
      <c r="K1331" s="36" t="s">
        <v>1724</v>
      </c>
      <c r="L1331" s="36" t="s">
        <v>2776</v>
      </c>
      <c r="M1331" s="36" t="s">
        <v>2776</v>
      </c>
      <c r="N1331" s="36" t="s">
        <v>32</v>
      </c>
    </row>
    <row r="1332">
      <c r="A1332" s="36" t="s">
        <v>4031</v>
      </c>
      <c r="B1332" s="154" t="s">
        <v>4017</v>
      </c>
      <c r="C1332" s="36" t="s">
        <v>1666</v>
      </c>
      <c r="D1332" s="36" t="s">
        <v>978</v>
      </c>
      <c r="E1332" s="36" t="s">
        <v>978</v>
      </c>
      <c r="F1332" s="154" t="s">
        <v>1683</v>
      </c>
      <c r="G1332" s="36" t="s">
        <v>32</v>
      </c>
      <c r="H1332" s="36" t="s">
        <v>1655</v>
      </c>
      <c r="I1332" s="36" t="s">
        <v>1656</v>
      </c>
      <c r="J1332" s="36" t="s">
        <v>1656</v>
      </c>
      <c r="K1332" s="36" t="s">
        <v>1727</v>
      </c>
      <c r="L1332" s="36" t="s">
        <v>2776</v>
      </c>
      <c r="M1332" s="36" t="s">
        <v>2776</v>
      </c>
      <c r="N1332" s="36" t="s">
        <v>32</v>
      </c>
    </row>
    <row r="1333">
      <c r="A1333" s="36" t="s">
        <v>4032</v>
      </c>
      <c r="B1333" s="154" t="s">
        <v>4017</v>
      </c>
      <c r="C1333" s="36" t="s">
        <v>1666</v>
      </c>
      <c r="D1333" s="36" t="s">
        <v>115</v>
      </c>
      <c r="E1333" s="36" t="s">
        <v>115</v>
      </c>
      <c r="F1333" s="154" t="s">
        <v>1683</v>
      </c>
      <c r="G1333" s="36" t="s">
        <v>32</v>
      </c>
      <c r="H1333" s="36" t="s">
        <v>1655</v>
      </c>
      <c r="I1333" s="36" t="s">
        <v>1656</v>
      </c>
      <c r="J1333" s="36" t="s">
        <v>1656</v>
      </c>
      <c r="K1333" s="36" t="s">
        <v>1730</v>
      </c>
      <c r="L1333" s="36" t="s">
        <v>2776</v>
      </c>
      <c r="M1333" s="36" t="s">
        <v>2776</v>
      </c>
      <c r="N1333" s="36" t="s">
        <v>32</v>
      </c>
    </row>
    <row r="1334">
      <c r="A1334" s="36" t="s">
        <v>4033</v>
      </c>
      <c r="B1334" s="154" t="s">
        <v>4017</v>
      </c>
      <c r="C1334" s="36" t="s">
        <v>1666</v>
      </c>
      <c r="D1334" s="36" t="s">
        <v>502</v>
      </c>
      <c r="E1334" s="36" t="s">
        <v>502</v>
      </c>
      <c r="F1334" s="154" t="s">
        <v>4034</v>
      </c>
      <c r="G1334" s="36" t="s">
        <v>32</v>
      </c>
      <c r="H1334" s="36" t="s">
        <v>1655</v>
      </c>
      <c r="I1334" s="36" t="s">
        <v>1656</v>
      </c>
      <c r="J1334" s="36" t="s">
        <v>1656</v>
      </c>
      <c r="K1334" s="36" t="s">
        <v>1732</v>
      </c>
      <c r="L1334" s="36" t="s">
        <v>2776</v>
      </c>
      <c r="M1334" s="36" t="s">
        <v>2776</v>
      </c>
      <c r="N1334" s="36" t="s">
        <v>32</v>
      </c>
    </row>
    <row r="1335">
      <c r="A1335" s="36" t="s">
        <v>4035</v>
      </c>
      <c r="B1335" s="154" t="s">
        <v>4036</v>
      </c>
      <c r="C1335" s="36" t="s">
        <v>1666</v>
      </c>
      <c r="D1335" s="36" t="s">
        <v>310</v>
      </c>
      <c r="E1335" s="36" t="s">
        <v>310</v>
      </c>
      <c r="F1335" s="154" t="s">
        <v>4037</v>
      </c>
      <c r="G1335" s="36" t="s">
        <v>28</v>
      </c>
      <c r="H1335" s="36" t="s">
        <v>1655</v>
      </c>
      <c r="I1335" s="36" t="s">
        <v>1656</v>
      </c>
      <c r="J1335" s="36" t="s">
        <v>1656</v>
      </c>
      <c r="K1335" s="36" t="s">
        <v>1736</v>
      </c>
      <c r="L1335" s="36" t="s">
        <v>2776</v>
      </c>
      <c r="M1335" s="36" t="s">
        <v>2776</v>
      </c>
      <c r="N1335" s="36" t="s">
        <v>32</v>
      </c>
    </row>
    <row r="1336">
      <c r="A1336" s="36" t="s">
        <v>4038</v>
      </c>
      <c r="B1336" s="154" t="s">
        <v>4039</v>
      </c>
      <c r="C1336" s="36" t="s">
        <v>1666</v>
      </c>
      <c r="D1336" s="36" t="s">
        <v>78</v>
      </c>
      <c r="E1336" s="36" t="s">
        <v>78</v>
      </c>
      <c r="F1336" s="154" t="s">
        <v>2325</v>
      </c>
      <c r="G1336" s="36" t="s">
        <v>28</v>
      </c>
      <c r="H1336" s="36" t="s">
        <v>1655</v>
      </c>
      <c r="I1336" s="36" t="s">
        <v>1656</v>
      </c>
      <c r="J1336" s="36" t="s">
        <v>1656</v>
      </c>
      <c r="K1336" s="36" t="s">
        <v>1811</v>
      </c>
      <c r="L1336" s="36" t="s">
        <v>2776</v>
      </c>
      <c r="M1336" s="36" t="s">
        <v>2776</v>
      </c>
      <c r="N1336" s="36" t="s">
        <v>32</v>
      </c>
    </row>
    <row r="1337">
      <c r="A1337" s="36" t="s">
        <v>4040</v>
      </c>
      <c r="B1337" s="154" t="s">
        <v>4039</v>
      </c>
      <c r="C1337" s="36" t="s">
        <v>1666</v>
      </c>
      <c r="D1337" s="36" t="s">
        <v>1011</v>
      </c>
      <c r="E1337" s="36" t="s">
        <v>1011</v>
      </c>
      <c r="F1337" s="154" t="s">
        <v>1810</v>
      </c>
      <c r="G1337" s="36" t="s">
        <v>32</v>
      </c>
      <c r="H1337" s="36" t="s">
        <v>1655</v>
      </c>
      <c r="I1337" s="36" t="s">
        <v>1656</v>
      </c>
      <c r="J1337" s="36" t="s">
        <v>1656</v>
      </c>
      <c r="K1337" s="36" t="s">
        <v>1739</v>
      </c>
      <c r="L1337" s="36" t="s">
        <v>2776</v>
      </c>
      <c r="M1337" s="36" t="s">
        <v>2776</v>
      </c>
      <c r="N1337" s="36" t="s">
        <v>32</v>
      </c>
    </row>
    <row r="1338">
      <c r="A1338" s="36" t="s">
        <v>4041</v>
      </c>
      <c r="B1338" s="154" t="s">
        <v>4042</v>
      </c>
      <c r="C1338" s="36" t="s">
        <v>1666</v>
      </c>
      <c r="D1338" s="36" t="s">
        <v>235</v>
      </c>
      <c r="E1338" s="36" t="s">
        <v>235</v>
      </c>
      <c r="F1338" s="154" t="s">
        <v>2911</v>
      </c>
      <c r="G1338" s="36" t="s">
        <v>28</v>
      </c>
      <c r="H1338" s="36" t="s">
        <v>1655</v>
      </c>
      <c r="I1338" s="36" t="s">
        <v>1656</v>
      </c>
      <c r="J1338" s="36" t="s">
        <v>1656</v>
      </c>
      <c r="K1338" s="36" t="s">
        <v>1742</v>
      </c>
      <c r="L1338" s="36" t="s">
        <v>2776</v>
      </c>
      <c r="M1338" s="36" t="s">
        <v>2776</v>
      </c>
      <c r="N1338" s="36" t="s">
        <v>32</v>
      </c>
    </row>
    <row r="1339">
      <c r="A1339" s="36" t="s">
        <v>4043</v>
      </c>
      <c r="B1339" s="154" t="s">
        <v>4044</v>
      </c>
      <c r="C1339" s="36" t="s">
        <v>1666</v>
      </c>
      <c r="D1339" s="36" t="s">
        <v>1227</v>
      </c>
      <c r="E1339" s="36" t="s">
        <v>1227</v>
      </c>
      <c r="F1339" s="154" t="s">
        <v>4045</v>
      </c>
      <c r="G1339" s="36" t="s">
        <v>32</v>
      </c>
      <c r="H1339" s="36" t="s">
        <v>1655</v>
      </c>
      <c r="I1339" s="36" t="s">
        <v>1656</v>
      </c>
      <c r="J1339" s="36" t="s">
        <v>1656</v>
      </c>
      <c r="K1339" s="36" t="s">
        <v>1745</v>
      </c>
      <c r="L1339" s="36" t="s">
        <v>2776</v>
      </c>
      <c r="M1339" s="36" t="s">
        <v>2776</v>
      </c>
      <c r="N1339" s="36" t="s">
        <v>32</v>
      </c>
    </row>
    <row r="1340">
      <c r="A1340" s="36" t="s">
        <v>4046</v>
      </c>
      <c r="B1340" s="154" t="s">
        <v>4044</v>
      </c>
      <c r="C1340" s="36" t="s">
        <v>1666</v>
      </c>
      <c r="D1340" s="36" t="s">
        <v>235</v>
      </c>
      <c r="E1340" s="36" t="s">
        <v>235</v>
      </c>
      <c r="F1340" s="154" t="s">
        <v>2249</v>
      </c>
      <c r="G1340" s="36" t="s">
        <v>28</v>
      </c>
      <c r="H1340" s="36" t="s">
        <v>1655</v>
      </c>
      <c r="I1340" s="36" t="s">
        <v>1656</v>
      </c>
      <c r="J1340" s="36" t="s">
        <v>1656</v>
      </c>
      <c r="K1340" s="36" t="s">
        <v>1773</v>
      </c>
      <c r="L1340" s="36" t="s">
        <v>2776</v>
      </c>
      <c r="M1340" s="36" t="s">
        <v>2776</v>
      </c>
      <c r="N1340" s="36" t="s">
        <v>32</v>
      </c>
    </row>
    <row r="1341">
      <c r="A1341" s="36" t="s">
        <v>4047</v>
      </c>
      <c r="B1341" s="154" t="s">
        <v>4048</v>
      </c>
      <c r="C1341" s="36" t="s">
        <v>1666</v>
      </c>
      <c r="D1341" s="36" t="s">
        <v>1237</v>
      </c>
      <c r="E1341" s="36" t="s">
        <v>1237</v>
      </c>
      <c r="F1341" s="154" t="s">
        <v>2027</v>
      </c>
      <c r="G1341" s="36" t="s">
        <v>32</v>
      </c>
      <c r="H1341" s="36" t="s">
        <v>1655</v>
      </c>
      <c r="I1341" s="36" t="s">
        <v>1656</v>
      </c>
      <c r="J1341" s="36" t="s">
        <v>1656</v>
      </c>
      <c r="K1341" s="36" t="s">
        <v>1776</v>
      </c>
      <c r="L1341" s="36" t="s">
        <v>2776</v>
      </c>
      <c r="M1341" s="36" t="s">
        <v>2776</v>
      </c>
      <c r="N1341" s="36" t="s">
        <v>32</v>
      </c>
    </row>
    <row r="1342">
      <c r="A1342" s="36" t="s">
        <v>4049</v>
      </c>
      <c r="B1342" s="154" t="s">
        <v>4050</v>
      </c>
      <c r="C1342" s="36" t="s">
        <v>1666</v>
      </c>
      <c r="D1342" s="36" t="s">
        <v>1242</v>
      </c>
      <c r="E1342" s="36" t="s">
        <v>1242</v>
      </c>
      <c r="F1342" s="154" t="s">
        <v>4051</v>
      </c>
      <c r="G1342" s="36" t="s">
        <v>32</v>
      </c>
      <c r="H1342" s="36" t="s">
        <v>1655</v>
      </c>
      <c r="I1342" s="36" t="s">
        <v>1656</v>
      </c>
      <c r="J1342" s="36" t="s">
        <v>1656</v>
      </c>
      <c r="K1342" s="36" t="s">
        <v>1779</v>
      </c>
      <c r="L1342" s="36" t="s">
        <v>2776</v>
      </c>
      <c r="M1342" s="36" t="s">
        <v>2776</v>
      </c>
      <c r="N1342" s="36" t="s">
        <v>32</v>
      </c>
    </row>
    <row r="1343">
      <c r="A1343" s="36" t="s">
        <v>4052</v>
      </c>
      <c r="B1343" s="154" t="s">
        <v>4053</v>
      </c>
      <c r="C1343" s="36" t="s">
        <v>1666</v>
      </c>
      <c r="D1343" s="36" t="s">
        <v>1011</v>
      </c>
      <c r="E1343" s="36" t="s">
        <v>1011</v>
      </c>
      <c r="F1343" s="154" t="s">
        <v>1810</v>
      </c>
      <c r="G1343" s="36" t="s">
        <v>32</v>
      </c>
      <c r="H1343" s="36" t="s">
        <v>1655</v>
      </c>
      <c r="I1343" s="36" t="s">
        <v>1656</v>
      </c>
      <c r="J1343" s="36" t="s">
        <v>1656</v>
      </c>
      <c r="K1343" s="36" t="s">
        <v>1782</v>
      </c>
      <c r="L1343" s="36" t="s">
        <v>2776</v>
      </c>
      <c r="M1343" s="36" t="s">
        <v>2776</v>
      </c>
      <c r="N1343" s="36" t="s">
        <v>32</v>
      </c>
    </row>
    <row r="1344">
      <c r="A1344" s="36" t="s">
        <v>4054</v>
      </c>
      <c r="B1344" s="154" t="s">
        <v>4055</v>
      </c>
      <c r="C1344" s="36" t="s">
        <v>1666</v>
      </c>
      <c r="D1344" s="36" t="s">
        <v>1255</v>
      </c>
      <c r="E1344" s="36" t="s">
        <v>1255</v>
      </c>
      <c r="F1344" s="154" t="s">
        <v>4056</v>
      </c>
      <c r="G1344" s="36" t="s">
        <v>32</v>
      </c>
      <c r="H1344" s="36" t="s">
        <v>1655</v>
      </c>
      <c r="I1344" s="36" t="s">
        <v>1656</v>
      </c>
      <c r="J1344" s="36" t="s">
        <v>1656</v>
      </c>
      <c r="K1344" s="36" t="s">
        <v>1784</v>
      </c>
      <c r="L1344" s="36" t="s">
        <v>2776</v>
      </c>
      <c r="M1344" s="36" t="s">
        <v>2776</v>
      </c>
      <c r="N1344" s="36" t="s">
        <v>32</v>
      </c>
    </row>
    <row r="1345">
      <c r="A1345" s="36" t="s">
        <v>4057</v>
      </c>
      <c r="B1345" s="154" t="s">
        <v>4055</v>
      </c>
      <c r="C1345" s="36" t="s">
        <v>1666</v>
      </c>
      <c r="D1345" s="36" t="s">
        <v>92</v>
      </c>
      <c r="E1345" s="36" t="s">
        <v>92</v>
      </c>
      <c r="F1345" s="154" t="s">
        <v>2163</v>
      </c>
      <c r="G1345" s="36" t="s">
        <v>32</v>
      </c>
      <c r="H1345" s="36" t="s">
        <v>1655</v>
      </c>
      <c r="I1345" s="36" t="s">
        <v>1656</v>
      </c>
      <c r="J1345" s="36" t="s">
        <v>1656</v>
      </c>
      <c r="K1345" s="36" t="s">
        <v>1787</v>
      </c>
      <c r="L1345" s="36" t="s">
        <v>2776</v>
      </c>
      <c r="M1345" s="36" t="s">
        <v>2776</v>
      </c>
      <c r="N1345" s="36" t="s">
        <v>32</v>
      </c>
    </row>
    <row r="1346">
      <c r="A1346" s="36" t="s">
        <v>4058</v>
      </c>
      <c r="B1346" s="154" t="s">
        <v>4059</v>
      </c>
      <c r="C1346" s="36" t="s">
        <v>1666</v>
      </c>
      <c r="D1346" s="36" t="s">
        <v>1266</v>
      </c>
      <c r="E1346" s="36" t="s">
        <v>1266</v>
      </c>
      <c r="F1346" s="154" t="s">
        <v>1768</v>
      </c>
      <c r="G1346" s="36" t="s">
        <v>32</v>
      </c>
      <c r="H1346" s="36" t="s">
        <v>1655</v>
      </c>
      <c r="I1346" s="36" t="s">
        <v>1656</v>
      </c>
      <c r="J1346" s="36" t="s">
        <v>1656</v>
      </c>
      <c r="K1346" s="36" t="s">
        <v>1790</v>
      </c>
      <c r="L1346" s="36" t="s">
        <v>2776</v>
      </c>
      <c r="M1346" s="36" t="s">
        <v>2776</v>
      </c>
      <c r="N1346" s="36" t="s">
        <v>32</v>
      </c>
    </row>
    <row r="1347">
      <c r="A1347" s="36" t="s">
        <v>4060</v>
      </c>
      <c r="B1347" s="154" t="s">
        <v>4059</v>
      </c>
      <c r="C1347" s="36" t="s">
        <v>1666</v>
      </c>
      <c r="D1347" s="36" t="s">
        <v>4061</v>
      </c>
      <c r="E1347" s="36" t="s">
        <v>4061</v>
      </c>
      <c r="F1347" s="154" t="s">
        <v>1874</v>
      </c>
      <c r="G1347" s="36" t="s">
        <v>32</v>
      </c>
      <c r="H1347" s="36" t="s">
        <v>1655</v>
      </c>
      <c r="I1347" s="36" t="s">
        <v>1656</v>
      </c>
      <c r="J1347" s="36" t="s">
        <v>1656</v>
      </c>
      <c r="K1347" s="36" t="s">
        <v>1793</v>
      </c>
      <c r="L1347" s="36" t="s">
        <v>2776</v>
      </c>
      <c r="M1347" s="36" t="s">
        <v>2776</v>
      </c>
      <c r="N1347" s="36" t="s">
        <v>32</v>
      </c>
    </row>
    <row r="1348">
      <c r="A1348" s="36" t="s">
        <v>4062</v>
      </c>
      <c r="B1348" s="154" t="s">
        <v>4059</v>
      </c>
      <c r="C1348" s="36" t="s">
        <v>1666</v>
      </c>
      <c r="D1348" s="36" t="s">
        <v>1275</v>
      </c>
      <c r="E1348" s="36" t="s">
        <v>1275</v>
      </c>
      <c r="F1348" s="154" t="s">
        <v>2391</v>
      </c>
      <c r="G1348" s="36" t="s">
        <v>32</v>
      </c>
      <c r="H1348" s="36" t="s">
        <v>1655</v>
      </c>
      <c r="I1348" s="36" t="s">
        <v>1656</v>
      </c>
      <c r="J1348" s="36" t="s">
        <v>1656</v>
      </c>
      <c r="K1348" s="36" t="s">
        <v>1796</v>
      </c>
      <c r="L1348" s="36" t="s">
        <v>2776</v>
      </c>
      <c r="M1348" s="36" t="s">
        <v>2776</v>
      </c>
      <c r="N1348" s="36" t="s">
        <v>32</v>
      </c>
    </row>
    <row r="1349">
      <c r="A1349" s="36" t="s">
        <v>4063</v>
      </c>
      <c r="B1349" s="154" t="s">
        <v>4064</v>
      </c>
      <c r="C1349" s="36" t="s">
        <v>1666</v>
      </c>
      <c r="D1349" s="36" t="s">
        <v>714</v>
      </c>
      <c r="E1349" s="36" t="s">
        <v>714</v>
      </c>
      <c r="F1349" s="154" t="s">
        <v>2867</v>
      </c>
      <c r="G1349" s="36" t="s">
        <v>32</v>
      </c>
      <c r="H1349" s="36" t="s">
        <v>1655</v>
      </c>
      <c r="I1349" s="36" t="s">
        <v>1656</v>
      </c>
      <c r="J1349" s="36" t="s">
        <v>1656</v>
      </c>
      <c r="K1349" s="36" t="s">
        <v>1891</v>
      </c>
      <c r="L1349" s="36" t="s">
        <v>2776</v>
      </c>
      <c r="M1349" s="36" t="s">
        <v>2776</v>
      </c>
      <c r="N1349" s="36" t="s">
        <v>32</v>
      </c>
    </row>
    <row r="1350">
      <c r="A1350" s="36" t="s">
        <v>4065</v>
      </c>
      <c r="B1350" s="154" t="s">
        <v>4066</v>
      </c>
      <c r="C1350" s="36" t="s">
        <v>1666</v>
      </c>
      <c r="D1350" s="36" t="s">
        <v>1278</v>
      </c>
      <c r="E1350" s="36" t="s">
        <v>1278</v>
      </c>
      <c r="F1350" s="154" t="s">
        <v>1810</v>
      </c>
      <c r="G1350" s="36" t="s">
        <v>32</v>
      </c>
      <c r="H1350" s="36" t="s">
        <v>1655</v>
      </c>
      <c r="I1350" s="36" t="s">
        <v>1656</v>
      </c>
      <c r="J1350" s="36" t="s">
        <v>1656</v>
      </c>
      <c r="K1350" s="36" t="s">
        <v>1800</v>
      </c>
      <c r="L1350" s="36" t="s">
        <v>2776</v>
      </c>
      <c r="M1350" s="36" t="s">
        <v>2776</v>
      </c>
      <c r="N1350" s="36" t="s">
        <v>32</v>
      </c>
    </row>
    <row r="1351">
      <c r="A1351" s="36" t="s">
        <v>4067</v>
      </c>
      <c r="B1351" s="154" t="s">
        <v>4068</v>
      </c>
      <c r="C1351" s="36" t="s">
        <v>1666</v>
      </c>
      <c r="D1351" s="36" t="s">
        <v>1011</v>
      </c>
      <c r="E1351" s="36" t="s">
        <v>1011</v>
      </c>
      <c r="F1351" s="154" t="s">
        <v>1810</v>
      </c>
      <c r="G1351" s="36" t="s">
        <v>32</v>
      </c>
      <c r="H1351" s="36" t="s">
        <v>1655</v>
      </c>
      <c r="I1351" s="36" t="s">
        <v>1656</v>
      </c>
      <c r="J1351" s="36" t="s">
        <v>1656</v>
      </c>
      <c r="K1351" s="36" t="s">
        <v>1803</v>
      </c>
      <c r="L1351" s="36" t="s">
        <v>2776</v>
      </c>
      <c r="M1351" s="36" t="s">
        <v>2776</v>
      </c>
      <c r="N1351" s="36" t="s">
        <v>32</v>
      </c>
    </row>
    <row r="1352">
      <c r="A1352" s="36" t="s">
        <v>4069</v>
      </c>
      <c r="B1352" s="154" t="s">
        <v>4070</v>
      </c>
      <c r="C1352" s="36" t="s">
        <v>1666</v>
      </c>
      <c r="D1352" s="36" t="s">
        <v>1286</v>
      </c>
      <c r="E1352" s="36" t="s">
        <v>1286</v>
      </c>
      <c r="F1352" s="154" t="s">
        <v>1768</v>
      </c>
      <c r="G1352" s="36" t="s">
        <v>32</v>
      </c>
      <c r="H1352" s="36" t="s">
        <v>1655</v>
      </c>
      <c r="I1352" s="36" t="s">
        <v>1656</v>
      </c>
      <c r="J1352" s="36" t="s">
        <v>1656</v>
      </c>
      <c r="K1352" s="36" t="s">
        <v>1807</v>
      </c>
      <c r="L1352" s="36" t="s">
        <v>2776</v>
      </c>
      <c r="M1352" s="36" t="s">
        <v>2776</v>
      </c>
      <c r="N1352" s="36" t="s">
        <v>32</v>
      </c>
    </row>
    <row r="1353">
      <c r="A1353" s="36" t="s">
        <v>4071</v>
      </c>
      <c r="B1353" s="154" t="s">
        <v>4072</v>
      </c>
      <c r="C1353" s="36" t="s">
        <v>1666</v>
      </c>
      <c r="D1353" s="36" t="s">
        <v>81</v>
      </c>
      <c r="E1353" s="36" t="s">
        <v>81</v>
      </c>
      <c r="F1353" s="154" t="s">
        <v>4073</v>
      </c>
      <c r="G1353" s="36" t="s">
        <v>28</v>
      </c>
      <c r="H1353" s="36" t="s">
        <v>1655</v>
      </c>
      <c r="I1353" s="36" t="s">
        <v>1656</v>
      </c>
      <c r="J1353" s="36" t="s">
        <v>1656</v>
      </c>
      <c r="K1353" s="36" t="s">
        <v>1921</v>
      </c>
      <c r="L1353" s="36" t="s">
        <v>2776</v>
      </c>
      <c r="M1353" s="36" t="s">
        <v>2776</v>
      </c>
      <c r="N1353" s="36" t="s">
        <v>32</v>
      </c>
    </row>
    <row r="1354">
      <c r="A1354" s="36" t="s">
        <v>4074</v>
      </c>
      <c r="B1354" s="154" t="s">
        <v>4072</v>
      </c>
      <c r="C1354" s="36" t="s">
        <v>1666</v>
      </c>
      <c r="D1354" s="36" t="s">
        <v>83</v>
      </c>
      <c r="E1354" s="36" t="s">
        <v>83</v>
      </c>
      <c r="F1354" s="154" t="s">
        <v>4075</v>
      </c>
      <c r="G1354" s="36" t="s">
        <v>28</v>
      </c>
      <c r="H1354" s="36" t="s">
        <v>1655</v>
      </c>
      <c r="I1354" s="36" t="s">
        <v>1656</v>
      </c>
      <c r="J1354" s="36" t="s">
        <v>1656</v>
      </c>
      <c r="K1354" s="36" t="s">
        <v>3166</v>
      </c>
      <c r="L1354" s="36" t="s">
        <v>2776</v>
      </c>
      <c r="M1354" s="36" t="s">
        <v>2776</v>
      </c>
      <c r="N1354" s="36" t="s">
        <v>32</v>
      </c>
    </row>
    <row r="1355">
      <c r="A1355" s="36" t="s">
        <v>4076</v>
      </c>
      <c r="B1355" s="154" t="s">
        <v>4072</v>
      </c>
      <c r="C1355" s="36" t="s">
        <v>1666</v>
      </c>
      <c r="D1355" s="36" t="s">
        <v>84</v>
      </c>
      <c r="E1355" s="36" t="s">
        <v>84</v>
      </c>
      <c r="F1355" s="154" t="s">
        <v>3556</v>
      </c>
      <c r="G1355" s="36" t="s">
        <v>32</v>
      </c>
      <c r="H1355" s="36" t="s">
        <v>1655</v>
      </c>
      <c r="I1355" s="36" t="s">
        <v>1656</v>
      </c>
      <c r="J1355" s="36" t="s">
        <v>1656</v>
      </c>
      <c r="K1355" s="36" t="s">
        <v>1924</v>
      </c>
      <c r="L1355" s="36" t="s">
        <v>2776</v>
      </c>
      <c r="M1355" s="36" t="s">
        <v>2776</v>
      </c>
      <c r="N1355" s="36" t="s">
        <v>32</v>
      </c>
    </row>
    <row r="1356">
      <c r="A1356" s="36" t="s">
        <v>4077</v>
      </c>
      <c r="B1356" s="154" t="s">
        <v>4072</v>
      </c>
      <c r="C1356" s="36" t="s">
        <v>1666</v>
      </c>
      <c r="D1356" s="36" t="s">
        <v>1292</v>
      </c>
      <c r="E1356" s="36" t="s">
        <v>1292</v>
      </c>
      <c r="F1356" s="154" t="s">
        <v>4078</v>
      </c>
      <c r="G1356" s="36" t="s">
        <v>28</v>
      </c>
      <c r="H1356" s="36" t="s">
        <v>1655</v>
      </c>
      <c r="I1356" s="36" t="s">
        <v>1656</v>
      </c>
      <c r="J1356" s="36" t="s">
        <v>1656</v>
      </c>
      <c r="K1356" s="36" t="s">
        <v>1814</v>
      </c>
      <c r="L1356" s="36" t="s">
        <v>2776</v>
      </c>
      <c r="M1356" s="36" t="s">
        <v>2776</v>
      </c>
      <c r="N1356" s="36" t="s">
        <v>32</v>
      </c>
    </row>
    <row r="1357">
      <c r="A1357" s="36" t="s">
        <v>4079</v>
      </c>
      <c r="B1357" s="154" t="s">
        <v>4072</v>
      </c>
      <c r="C1357" s="36" t="s">
        <v>1666</v>
      </c>
      <c r="D1357" s="36" t="s">
        <v>1297</v>
      </c>
      <c r="E1357" s="36" t="s">
        <v>1297</v>
      </c>
      <c r="F1357" s="154" t="s">
        <v>4080</v>
      </c>
      <c r="G1357" s="36" t="s">
        <v>32</v>
      </c>
      <c r="H1357" s="36" t="s">
        <v>1655</v>
      </c>
      <c r="I1357" s="36" t="s">
        <v>1656</v>
      </c>
      <c r="J1357" s="36" t="s">
        <v>1656</v>
      </c>
      <c r="K1357" s="36" t="s">
        <v>1817</v>
      </c>
      <c r="L1357" s="36" t="s">
        <v>2776</v>
      </c>
      <c r="M1357" s="36" t="s">
        <v>2776</v>
      </c>
      <c r="N1357" s="36" t="s">
        <v>32</v>
      </c>
    </row>
    <row r="1358">
      <c r="A1358" s="36" t="s">
        <v>4081</v>
      </c>
      <c r="B1358" s="154" t="s">
        <v>4072</v>
      </c>
      <c r="C1358" s="36" t="s">
        <v>1666</v>
      </c>
      <c r="D1358" s="36" t="s">
        <v>492</v>
      </c>
      <c r="E1358" s="36" t="s">
        <v>492</v>
      </c>
      <c r="F1358" s="154" t="s">
        <v>1816</v>
      </c>
      <c r="G1358" s="36" t="s">
        <v>34</v>
      </c>
      <c r="H1358" s="36" t="s">
        <v>1655</v>
      </c>
      <c r="I1358" s="36" t="s">
        <v>1656</v>
      </c>
      <c r="J1358" s="36" t="s">
        <v>1656</v>
      </c>
      <c r="K1358" s="36" t="s">
        <v>1820</v>
      </c>
      <c r="L1358" s="36" t="s">
        <v>2776</v>
      </c>
      <c r="M1358" s="36" t="s">
        <v>2776</v>
      </c>
      <c r="N1358" s="36" t="s">
        <v>32</v>
      </c>
    </row>
    <row r="1359">
      <c r="A1359" s="36" t="s">
        <v>4082</v>
      </c>
      <c r="B1359" s="154" t="s">
        <v>4072</v>
      </c>
      <c r="C1359" s="36" t="s">
        <v>1666</v>
      </c>
      <c r="D1359" s="36" t="s">
        <v>124</v>
      </c>
      <c r="E1359" s="36" t="s">
        <v>124</v>
      </c>
      <c r="F1359" s="154" t="s">
        <v>4083</v>
      </c>
      <c r="G1359" s="36" t="s">
        <v>32</v>
      </c>
      <c r="H1359" s="36" t="s">
        <v>1655</v>
      </c>
      <c r="I1359" s="36" t="s">
        <v>1656</v>
      </c>
      <c r="J1359" s="36" t="s">
        <v>1656</v>
      </c>
      <c r="K1359" s="36" t="s">
        <v>1823</v>
      </c>
      <c r="L1359" s="36" t="s">
        <v>2776</v>
      </c>
      <c r="M1359" s="36" t="s">
        <v>2776</v>
      </c>
      <c r="N1359" s="36" t="s">
        <v>32</v>
      </c>
    </row>
    <row r="1360">
      <c r="A1360" s="36" t="s">
        <v>4084</v>
      </c>
      <c r="B1360" s="154" t="s">
        <v>4072</v>
      </c>
      <c r="C1360" s="36" t="s">
        <v>1666</v>
      </c>
      <c r="D1360" s="36" t="s">
        <v>1313</v>
      </c>
      <c r="E1360" s="36" t="s">
        <v>1313</v>
      </c>
      <c r="F1360" s="154" t="s">
        <v>2346</v>
      </c>
      <c r="G1360" s="36" t="s">
        <v>32</v>
      </c>
      <c r="H1360" s="36" t="s">
        <v>1655</v>
      </c>
      <c r="I1360" s="36" t="s">
        <v>1656</v>
      </c>
      <c r="J1360" s="36" t="s">
        <v>1656</v>
      </c>
      <c r="K1360" s="36" t="s">
        <v>1826</v>
      </c>
      <c r="L1360" s="36" t="s">
        <v>2776</v>
      </c>
      <c r="M1360" s="36" t="s">
        <v>2776</v>
      </c>
      <c r="N1360" s="36" t="s">
        <v>34</v>
      </c>
    </row>
    <row r="1361">
      <c r="A1361" s="36" t="s">
        <v>4085</v>
      </c>
      <c r="B1361" s="154" t="s">
        <v>4086</v>
      </c>
      <c r="C1361" s="36" t="s">
        <v>1653</v>
      </c>
      <c r="D1361" s="36" t="s">
        <v>1096</v>
      </c>
      <c r="E1361" s="36" t="s">
        <v>39</v>
      </c>
      <c r="F1361" s="154" t="s">
        <v>4087</v>
      </c>
      <c r="G1361" s="36" t="s">
        <v>32</v>
      </c>
      <c r="H1361" s="36" t="s">
        <v>1655</v>
      </c>
      <c r="I1361" s="36" t="s">
        <v>1656</v>
      </c>
      <c r="J1361" s="36" t="s">
        <v>1656</v>
      </c>
      <c r="K1361" s="36" t="s">
        <v>1657</v>
      </c>
      <c r="L1361" s="36" t="s">
        <v>2771</v>
      </c>
      <c r="M1361" s="36" t="s">
        <v>2771</v>
      </c>
      <c r="N1361" s="36" t="s">
        <v>32</v>
      </c>
    </row>
    <row r="1362">
      <c r="A1362" s="36" t="s">
        <v>4088</v>
      </c>
      <c r="B1362" s="154" t="s">
        <v>4086</v>
      </c>
      <c r="C1362" s="36" t="s">
        <v>1653</v>
      </c>
      <c r="D1362" s="36" t="s">
        <v>163</v>
      </c>
      <c r="E1362" s="36" t="s">
        <v>39</v>
      </c>
      <c r="F1362" s="154" t="s">
        <v>4089</v>
      </c>
      <c r="G1362" s="36" t="s">
        <v>32</v>
      </c>
      <c r="H1362" s="36" t="s">
        <v>1655</v>
      </c>
      <c r="I1362" s="36" t="s">
        <v>1656</v>
      </c>
      <c r="J1362" s="36" t="s">
        <v>1656</v>
      </c>
      <c r="K1362" s="36" t="s">
        <v>1989</v>
      </c>
      <c r="L1362" s="36" t="s">
        <v>2771</v>
      </c>
      <c r="M1362" s="36" t="s">
        <v>2771</v>
      </c>
      <c r="N1362" s="36" t="s">
        <v>32</v>
      </c>
    </row>
    <row r="1363">
      <c r="A1363" s="36" t="s">
        <v>4090</v>
      </c>
      <c r="B1363" s="154" t="s">
        <v>4086</v>
      </c>
      <c r="C1363" s="36" t="s">
        <v>1653</v>
      </c>
      <c r="D1363" s="36" t="s">
        <v>1103</v>
      </c>
      <c r="E1363" s="36" t="s">
        <v>39</v>
      </c>
      <c r="F1363" s="154" t="s">
        <v>4091</v>
      </c>
      <c r="G1363" s="36" t="s">
        <v>32</v>
      </c>
      <c r="H1363" s="36" t="s">
        <v>1655</v>
      </c>
      <c r="I1363" s="36" t="s">
        <v>1656</v>
      </c>
      <c r="J1363" s="36" t="s">
        <v>1656</v>
      </c>
      <c r="K1363" s="36" t="s">
        <v>4092</v>
      </c>
      <c r="L1363" s="36" t="s">
        <v>2771</v>
      </c>
      <c r="M1363" s="36" t="s">
        <v>2771</v>
      </c>
      <c r="N1363" s="36" t="s">
        <v>32</v>
      </c>
    </row>
    <row r="1364">
      <c r="A1364" s="36" t="s">
        <v>4093</v>
      </c>
      <c r="B1364" s="154" t="s">
        <v>4086</v>
      </c>
      <c r="C1364" s="36" t="s">
        <v>1653</v>
      </c>
      <c r="D1364" s="36" t="s">
        <v>1109</v>
      </c>
      <c r="E1364" s="36" t="s">
        <v>39</v>
      </c>
      <c r="F1364" s="154" t="s">
        <v>4094</v>
      </c>
      <c r="G1364" s="36" t="s">
        <v>32</v>
      </c>
      <c r="H1364" s="36" t="s">
        <v>1655</v>
      </c>
      <c r="I1364" s="36" t="s">
        <v>1656</v>
      </c>
      <c r="J1364" s="36" t="s">
        <v>1656</v>
      </c>
      <c r="K1364" s="36" t="s">
        <v>2848</v>
      </c>
      <c r="L1364" s="36" t="s">
        <v>2771</v>
      </c>
      <c r="M1364" s="36" t="s">
        <v>2771</v>
      </c>
      <c r="N1364" s="36" t="s">
        <v>32</v>
      </c>
    </row>
    <row r="1365">
      <c r="A1365" s="36" t="s">
        <v>4095</v>
      </c>
      <c r="B1365" s="154" t="s">
        <v>4086</v>
      </c>
      <c r="C1365" s="36" t="s">
        <v>1666</v>
      </c>
      <c r="D1365" s="36" t="s">
        <v>854</v>
      </c>
      <c r="E1365" s="36" t="s">
        <v>854</v>
      </c>
      <c r="F1365" s="154" t="s">
        <v>4096</v>
      </c>
      <c r="G1365" s="36" t="s">
        <v>32</v>
      </c>
      <c r="H1365" s="36" t="s">
        <v>1655</v>
      </c>
      <c r="I1365" s="36" t="s">
        <v>1656</v>
      </c>
      <c r="J1365" s="36" t="s">
        <v>1656</v>
      </c>
      <c r="K1365" s="36" t="s">
        <v>1668</v>
      </c>
      <c r="L1365" s="36" t="s">
        <v>4097</v>
      </c>
      <c r="M1365" s="36" t="s">
        <v>4097</v>
      </c>
      <c r="N1365" s="36" t="s">
        <v>32</v>
      </c>
    </row>
    <row r="1366">
      <c r="A1366" s="36" t="s">
        <v>4098</v>
      </c>
      <c r="B1366" s="154" t="s">
        <v>4086</v>
      </c>
      <c r="C1366" s="36" t="s">
        <v>1666</v>
      </c>
      <c r="D1366" s="36" t="s">
        <v>235</v>
      </c>
      <c r="E1366" s="36" t="s">
        <v>235</v>
      </c>
      <c r="F1366" s="154" t="s">
        <v>2249</v>
      </c>
      <c r="G1366" s="36" t="s">
        <v>28</v>
      </c>
      <c r="H1366" s="36" t="s">
        <v>1655</v>
      </c>
      <c r="I1366" s="36" t="s">
        <v>1656</v>
      </c>
      <c r="J1366" s="36" t="s">
        <v>1656</v>
      </c>
      <c r="K1366" s="36" t="s">
        <v>1672</v>
      </c>
      <c r="L1366" s="36" t="s">
        <v>4097</v>
      </c>
      <c r="M1366" s="36" t="s">
        <v>4097</v>
      </c>
      <c r="N1366" s="36" t="s">
        <v>32</v>
      </c>
    </row>
    <row r="1367">
      <c r="A1367" s="36" t="s">
        <v>4099</v>
      </c>
      <c r="B1367" s="154" t="s">
        <v>4086</v>
      </c>
      <c r="C1367" s="36" t="s">
        <v>1666</v>
      </c>
      <c r="D1367" s="36" t="s">
        <v>1126</v>
      </c>
      <c r="E1367" s="36" t="s">
        <v>1126</v>
      </c>
      <c r="F1367" s="154" t="s">
        <v>1959</v>
      </c>
      <c r="G1367" s="36" t="s">
        <v>32</v>
      </c>
      <c r="H1367" s="36" t="s">
        <v>1655</v>
      </c>
      <c r="I1367" s="36" t="s">
        <v>1656</v>
      </c>
      <c r="J1367" s="36" t="s">
        <v>1656</v>
      </c>
      <c r="K1367" s="36" t="s">
        <v>1675</v>
      </c>
      <c r="L1367" s="36" t="s">
        <v>4097</v>
      </c>
      <c r="M1367" s="36" t="s">
        <v>4097</v>
      </c>
      <c r="N1367" s="36" t="s">
        <v>32</v>
      </c>
    </row>
    <row r="1368">
      <c r="A1368" s="36" t="s">
        <v>4100</v>
      </c>
      <c r="B1368" s="154" t="s">
        <v>4086</v>
      </c>
      <c r="C1368" s="36" t="s">
        <v>1666</v>
      </c>
      <c r="D1368" s="36" t="s">
        <v>923</v>
      </c>
      <c r="E1368" s="36" t="s">
        <v>923</v>
      </c>
      <c r="F1368" s="154" t="s">
        <v>1683</v>
      </c>
      <c r="G1368" s="36" t="s">
        <v>32</v>
      </c>
      <c r="H1368" s="36" t="s">
        <v>1655</v>
      </c>
      <c r="I1368" s="36" t="s">
        <v>1656</v>
      </c>
      <c r="J1368" s="36" t="s">
        <v>1656</v>
      </c>
      <c r="K1368" s="36" t="s">
        <v>1678</v>
      </c>
      <c r="L1368" s="36" t="s">
        <v>4097</v>
      </c>
      <c r="M1368" s="36" t="s">
        <v>4097</v>
      </c>
      <c r="N1368" s="36" t="s">
        <v>32</v>
      </c>
    </row>
    <row r="1369">
      <c r="A1369" s="36" t="s">
        <v>4101</v>
      </c>
      <c r="B1369" s="154" t="s">
        <v>4086</v>
      </c>
      <c r="C1369" s="36" t="s">
        <v>1666</v>
      </c>
      <c r="D1369" s="36" t="s">
        <v>1138</v>
      </c>
      <c r="E1369" s="36" t="s">
        <v>1138</v>
      </c>
      <c r="F1369" s="154" t="s">
        <v>4102</v>
      </c>
      <c r="G1369" s="36" t="s">
        <v>28</v>
      </c>
      <c r="H1369" s="36" t="s">
        <v>1655</v>
      </c>
      <c r="I1369" s="36" t="s">
        <v>1656</v>
      </c>
      <c r="J1369" s="36" t="s">
        <v>1656</v>
      </c>
      <c r="K1369" s="36" t="s">
        <v>1681</v>
      </c>
      <c r="L1369" s="36" t="s">
        <v>4097</v>
      </c>
      <c r="M1369" s="36" t="s">
        <v>4097</v>
      </c>
      <c r="N1369" s="36" t="s">
        <v>34</v>
      </c>
    </row>
    <row r="1370">
      <c r="A1370" s="36" t="s">
        <v>4103</v>
      </c>
      <c r="B1370" s="154" t="s">
        <v>4086</v>
      </c>
      <c r="C1370" s="36" t="s">
        <v>1666</v>
      </c>
      <c r="D1370" s="36" t="s">
        <v>85</v>
      </c>
      <c r="E1370" s="36" t="s">
        <v>85</v>
      </c>
      <c r="F1370" s="154" t="s">
        <v>3180</v>
      </c>
      <c r="G1370" s="36" t="s">
        <v>28</v>
      </c>
      <c r="H1370" s="36" t="s">
        <v>1655</v>
      </c>
      <c r="I1370" s="36" t="s">
        <v>1656</v>
      </c>
      <c r="J1370" s="36" t="s">
        <v>1656</v>
      </c>
      <c r="K1370" s="36" t="s">
        <v>1684</v>
      </c>
      <c r="L1370" s="36" t="s">
        <v>4097</v>
      </c>
      <c r="M1370" s="36" t="s">
        <v>4097</v>
      </c>
      <c r="N1370" s="36" t="s">
        <v>32</v>
      </c>
    </row>
    <row r="1371">
      <c r="A1371" s="36" t="s">
        <v>4104</v>
      </c>
      <c r="B1371" s="154" t="s">
        <v>4086</v>
      </c>
      <c r="C1371" s="36" t="s">
        <v>1666</v>
      </c>
      <c r="D1371" s="36" t="s">
        <v>1152</v>
      </c>
      <c r="E1371" s="36" t="s">
        <v>1152</v>
      </c>
      <c r="F1371" s="154" t="s">
        <v>4105</v>
      </c>
      <c r="G1371" s="36" t="s">
        <v>28</v>
      </c>
      <c r="H1371" s="36" t="s">
        <v>1655</v>
      </c>
      <c r="I1371" s="36" t="s">
        <v>1656</v>
      </c>
      <c r="J1371" s="36" t="s">
        <v>1656</v>
      </c>
      <c r="K1371" s="36" t="s">
        <v>1691</v>
      </c>
      <c r="L1371" s="36" t="s">
        <v>4097</v>
      </c>
      <c r="M1371" s="36" t="s">
        <v>4097</v>
      </c>
      <c r="N1371" s="36" t="s">
        <v>32</v>
      </c>
    </row>
    <row r="1372">
      <c r="A1372" s="36" t="s">
        <v>4106</v>
      </c>
      <c r="B1372" s="154" t="s">
        <v>4107</v>
      </c>
      <c r="C1372" s="36" t="s">
        <v>1666</v>
      </c>
      <c r="D1372" s="36" t="s">
        <v>235</v>
      </c>
      <c r="E1372" s="36" t="s">
        <v>235</v>
      </c>
      <c r="F1372" s="154" t="s">
        <v>2249</v>
      </c>
      <c r="G1372" s="36" t="s">
        <v>28</v>
      </c>
      <c r="H1372" s="36" t="s">
        <v>1655</v>
      </c>
      <c r="I1372" s="36" t="s">
        <v>1656</v>
      </c>
      <c r="J1372" s="36" t="s">
        <v>1656</v>
      </c>
      <c r="K1372" s="36" t="s">
        <v>1695</v>
      </c>
      <c r="L1372" s="36" t="s">
        <v>4097</v>
      </c>
      <c r="M1372" s="36" t="s">
        <v>4097</v>
      </c>
      <c r="N1372" s="36" t="s">
        <v>32</v>
      </c>
    </row>
    <row r="1373">
      <c r="A1373" s="36" t="s">
        <v>4108</v>
      </c>
      <c r="B1373" s="154" t="s">
        <v>4107</v>
      </c>
      <c r="C1373" s="36" t="s">
        <v>1666</v>
      </c>
      <c r="D1373" s="36" t="s">
        <v>685</v>
      </c>
      <c r="E1373" s="36" t="s">
        <v>685</v>
      </c>
      <c r="F1373" s="154" t="s">
        <v>1816</v>
      </c>
      <c r="G1373" s="36" t="s">
        <v>28</v>
      </c>
      <c r="H1373" s="36" t="s">
        <v>1655</v>
      </c>
      <c r="I1373" s="36" t="s">
        <v>1656</v>
      </c>
      <c r="J1373" s="36" t="s">
        <v>1656</v>
      </c>
      <c r="K1373" s="36" t="s">
        <v>1698</v>
      </c>
      <c r="L1373" s="36" t="s">
        <v>4097</v>
      </c>
      <c r="M1373" s="36" t="s">
        <v>4097</v>
      </c>
      <c r="N1373" s="36" t="s">
        <v>34</v>
      </c>
    </row>
    <row r="1374">
      <c r="A1374" s="36" t="s">
        <v>4109</v>
      </c>
      <c r="B1374" s="154" t="s">
        <v>4107</v>
      </c>
      <c r="C1374" s="36" t="s">
        <v>1666</v>
      </c>
      <c r="D1374" s="36" t="s">
        <v>1166</v>
      </c>
      <c r="E1374" s="36" t="s">
        <v>1166</v>
      </c>
      <c r="F1374" s="154" t="s">
        <v>1729</v>
      </c>
      <c r="G1374" s="36" t="s">
        <v>28</v>
      </c>
      <c r="H1374" s="36" t="s">
        <v>1655</v>
      </c>
      <c r="I1374" s="36" t="s">
        <v>1656</v>
      </c>
      <c r="J1374" s="36" t="s">
        <v>1656</v>
      </c>
      <c r="K1374" s="36" t="s">
        <v>1701</v>
      </c>
      <c r="L1374" s="36" t="s">
        <v>4097</v>
      </c>
      <c r="M1374" s="36" t="s">
        <v>4097</v>
      </c>
      <c r="N1374" s="36" t="s">
        <v>34</v>
      </c>
    </row>
    <row r="1375">
      <c r="A1375" s="36" t="s">
        <v>4110</v>
      </c>
      <c r="B1375" s="154" t="s">
        <v>4107</v>
      </c>
      <c r="C1375" s="36" t="s">
        <v>1666</v>
      </c>
      <c r="D1375" s="36" t="s">
        <v>1173</v>
      </c>
      <c r="E1375" s="36" t="s">
        <v>1173</v>
      </c>
      <c r="F1375" s="154" t="s">
        <v>4111</v>
      </c>
      <c r="G1375" s="36" t="s">
        <v>28</v>
      </c>
      <c r="H1375" s="36" t="s">
        <v>1655</v>
      </c>
      <c r="I1375" s="36" t="s">
        <v>1656</v>
      </c>
      <c r="J1375" s="36" t="s">
        <v>1656</v>
      </c>
      <c r="K1375" s="36" t="s">
        <v>1704</v>
      </c>
      <c r="L1375" s="36" t="s">
        <v>4097</v>
      </c>
      <c r="M1375" s="36" t="s">
        <v>4097</v>
      </c>
      <c r="N1375" s="36" t="s">
        <v>34</v>
      </c>
    </row>
    <row r="1376">
      <c r="A1376" s="36" t="s">
        <v>4112</v>
      </c>
      <c r="B1376" s="154" t="s">
        <v>4113</v>
      </c>
      <c r="C1376" s="36" t="s">
        <v>1666</v>
      </c>
      <c r="D1376" s="36" t="s">
        <v>218</v>
      </c>
      <c r="E1376" s="36" t="s">
        <v>218</v>
      </c>
      <c r="F1376" s="154" t="s">
        <v>1832</v>
      </c>
      <c r="G1376" s="36" t="s">
        <v>32</v>
      </c>
      <c r="H1376" s="36" t="s">
        <v>1655</v>
      </c>
      <c r="I1376" s="36" t="s">
        <v>1656</v>
      </c>
      <c r="J1376" s="36" t="s">
        <v>1656</v>
      </c>
      <c r="K1376" s="36" t="s">
        <v>1711</v>
      </c>
      <c r="L1376" s="36" t="s">
        <v>4097</v>
      </c>
      <c r="M1376" s="36" t="s">
        <v>4097</v>
      </c>
      <c r="N1376" s="36" t="s">
        <v>32</v>
      </c>
    </row>
    <row r="1377">
      <c r="A1377" s="36" t="s">
        <v>4114</v>
      </c>
      <c r="B1377" s="154" t="s">
        <v>4113</v>
      </c>
      <c r="C1377" s="36" t="s">
        <v>1666</v>
      </c>
      <c r="D1377" s="36" t="s">
        <v>1182</v>
      </c>
      <c r="E1377" s="36" t="s">
        <v>1182</v>
      </c>
      <c r="F1377" s="154" t="s">
        <v>3067</v>
      </c>
      <c r="G1377" s="36" t="s">
        <v>32</v>
      </c>
      <c r="H1377" s="36" t="s">
        <v>1655</v>
      </c>
      <c r="I1377" s="36" t="s">
        <v>1656</v>
      </c>
      <c r="J1377" s="36" t="s">
        <v>1656</v>
      </c>
      <c r="K1377" s="36" t="s">
        <v>1715</v>
      </c>
      <c r="L1377" s="36" t="s">
        <v>4097</v>
      </c>
      <c r="M1377" s="36" t="s">
        <v>4097</v>
      </c>
      <c r="N1377" s="36" t="s">
        <v>32</v>
      </c>
    </row>
    <row r="1378">
      <c r="A1378" s="36" t="s">
        <v>4115</v>
      </c>
      <c r="B1378" s="154" t="s">
        <v>4116</v>
      </c>
      <c r="C1378" s="36" t="s">
        <v>1666</v>
      </c>
      <c r="D1378" s="36" t="s">
        <v>235</v>
      </c>
      <c r="E1378" s="36" t="s">
        <v>235</v>
      </c>
      <c r="F1378" s="154" t="s">
        <v>2249</v>
      </c>
      <c r="G1378" s="36" t="s">
        <v>28</v>
      </c>
      <c r="H1378" s="36" t="s">
        <v>1655</v>
      </c>
      <c r="I1378" s="36" t="s">
        <v>1656</v>
      </c>
      <c r="J1378" s="36" t="s">
        <v>1656</v>
      </c>
      <c r="K1378" s="36" t="s">
        <v>1717</v>
      </c>
      <c r="L1378" s="36" t="s">
        <v>4097</v>
      </c>
      <c r="M1378" s="36" t="s">
        <v>4097</v>
      </c>
      <c r="N1378" s="36" t="s">
        <v>34</v>
      </c>
    </row>
    <row r="1379">
      <c r="A1379" s="36" t="s">
        <v>4117</v>
      </c>
      <c r="B1379" s="154" t="s">
        <v>4116</v>
      </c>
      <c r="C1379" s="36" t="s">
        <v>1666</v>
      </c>
      <c r="D1379" s="36" t="s">
        <v>1192</v>
      </c>
      <c r="E1379" s="36" t="s">
        <v>1192</v>
      </c>
      <c r="F1379" s="154" t="s">
        <v>1768</v>
      </c>
      <c r="G1379" s="36" t="s">
        <v>28</v>
      </c>
      <c r="H1379" s="36" t="s">
        <v>1655</v>
      </c>
      <c r="I1379" s="36" t="s">
        <v>1656</v>
      </c>
      <c r="J1379" s="36" t="s">
        <v>1656</v>
      </c>
      <c r="K1379" s="36" t="s">
        <v>1724</v>
      </c>
      <c r="L1379" s="36" t="s">
        <v>4097</v>
      </c>
      <c r="M1379" s="36" t="s">
        <v>4097</v>
      </c>
      <c r="N1379" s="36" t="s">
        <v>34</v>
      </c>
    </row>
    <row r="1380">
      <c r="A1380" s="36" t="s">
        <v>4118</v>
      </c>
      <c r="B1380" s="154" t="s">
        <v>4119</v>
      </c>
      <c r="C1380" s="36" t="s">
        <v>1666</v>
      </c>
      <c r="D1380" s="36" t="s">
        <v>64</v>
      </c>
      <c r="E1380" s="36" t="s">
        <v>64</v>
      </c>
      <c r="F1380" s="154" t="s">
        <v>1707</v>
      </c>
      <c r="G1380" s="36" t="s">
        <v>28</v>
      </c>
      <c r="H1380" s="36" t="s">
        <v>1655</v>
      </c>
      <c r="I1380" s="36" t="s">
        <v>1656</v>
      </c>
      <c r="J1380" s="36" t="s">
        <v>1656</v>
      </c>
      <c r="K1380" s="36" t="s">
        <v>1708</v>
      </c>
      <c r="L1380" s="36" t="s">
        <v>4097</v>
      </c>
      <c r="M1380" s="36" t="s">
        <v>4097</v>
      </c>
      <c r="N1380" s="36" t="s">
        <v>32</v>
      </c>
    </row>
    <row r="1381">
      <c r="A1381" s="36" t="s">
        <v>4120</v>
      </c>
      <c r="B1381" s="154" t="s">
        <v>4121</v>
      </c>
      <c r="C1381" s="36" t="s">
        <v>1666</v>
      </c>
      <c r="D1381" s="36" t="s">
        <v>1182</v>
      </c>
      <c r="E1381" s="36" t="s">
        <v>1182</v>
      </c>
      <c r="F1381" s="154" t="s">
        <v>2006</v>
      </c>
      <c r="G1381" s="36" t="s">
        <v>32</v>
      </c>
      <c r="H1381" s="36" t="s">
        <v>1655</v>
      </c>
      <c r="I1381" s="36" t="s">
        <v>1656</v>
      </c>
      <c r="J1381" s="36" t="s">
        <v>1656</v>
      </c>
      <c r="K1381" s="36" t="s">
        <v>1727</v>
      </c>
      <c r="L1381" s="36" t="s">
        <v>4097</v>
      </c>
      <c r="M1381" s="36" t="s">
        <v>4097</v>
      </c>
      <c r="N1381" s="36" t="s">
        <v>32</v>
      </c>
    </row>
    <row r="1382">
      <c r="A1382" s="36" t="s">
        <v>4122</v>
      </c>
      <c r="B1382" s="154" t="s">
        <v>4121</v>
      </c>
      <c r="C1382" s="36" t="s">
        <v>1666</v>
      </c>
      <c r="D1382" s="36" t="s">
        <v>1202</v>
      </c>
      <c r="E1382" s="36" t="s">
        <v>1202</v>
      </c>
      <c r="F1382" s="154" t="s">
        <v>1810</v>
      </c>
      <c r="G1382" s="36" t="s">
        <v>32</v>
      </c>
      <c r="H1382" s="36" t="s">
        <v>1655</v>
      </c>
      <c r="I1382" s="36" t="s">
        <v>1656</v>
      </c>
      <c r="J1382" s="36" t="s">
        <v>1656</v>
      </c>
      <c r="K1382" s="36" t="s">
        <v>1730</v>
      </c>
      <c r="L1382" s="36" t="s">
        <v>4097</v>
      </c>
      <c r="M1382" s="36" t="s">
        <v>4097</v>
      </c>
      <c r="N1382" s="36" t="s">
        <v>32</v>
      </c>
    </row>
    <row r="1383">
      <c r="A1383" s="36" t="s">
        <v>4123</v>
      </c>
      <c r="B1383" s="154" t="s">
        <v>4124</v>
      </c>
      <c r="C1383" s="36" t="s">
        <v>1653</v>
      </c>
      <c r="D1383" s="36" t="s">
        <v>1107</v>
      </c>
      <c r="E1383" s="36" t="s">
        <v>39</v>
      </c>
      <c r="F1383" s="154" t="s">
        <v>4125</v>
      </c>
      <c r="G1383" s="36" t="s">
        <v>32</v>
      </c>
      <c r="H1383" s="36" t="s">
        <v>1655</v>
      </c>
      <c r="I1383" s="36" t="s">
        <v>1656</v>
      </c>
      <c r="J1383" s="36" t="s">
        <v>1656</v>
      </c>
      <c r="K1383" s="36" t="s">
        <v>1978</v>
      </c>
      <c r="L1383" s="36" t="s">
        <v>2771</v>
      </c>
      <c r="M1383" s="36" t="s">
        <v>2771</v>
      </c>
      <c r="N1383" s="36" t="s">
        <v>32</v>
      </c>
    </row>
    <row r="1384">
      <c r="A1384" s="36" t="s">
        <v>4126</v>
      </c>
      <c r="B1384" s="154" t="s">
        <v>4124</v>
      </c>
      <c r="C1384" s="36" t="s">
        <v>1666</v>
      </c>
      <c r="D1384" s="36" t="s">
        <v>226</v>
      </c>
      <c r="E1384" s="36" t="s">
        <v>226</v>
      </c>
      <c r="F1384" s="154" t="s">
        <v>4127</v>
      </c>
      <c r="G1384" s="36" t="s">
        <v>28</v>
      </c>
      <c r="H1384" s="36" t="s">
        <v>1655</v>
      </c>
      <c r="I1384" s="36" t="s">
        <v>1656</v>
      </c>
      <c r="J1384" s="36" t="s">
        <v>1656</v>
      </c>
      <c r="K1384" s="36" t="s">
        <v>1732</v>
      </c>
      <c r="L1384" s="36" t="s">
        <v>4097</v>
      </c>
      <c r="M1384" s="36" t="s">
        <v>4097</v>
      </c>
      <c r="N1384" s="36" t="s">
        <v>32</v>
      </c>
    </row>
    <row r="1385">
      <c r="A1385" s="36" t="s">
        <v>4128</v>
      </c>
      <c r="B1385" s="154" t="s">
        <v>4124</v>
      </c>
      <c r="C1385" s="36" t="s">
        <v>1666</v>
      </c>
      <c r="D1385" s="36" t="s">
        <v>220</v>
      </c>
      <c r="E1385" s="36" t="s">
        <v>220</v>
      </c>
      <c r="F1385" s="154" t="s">
        <v>4129</v>
      </c>
      <c r="G1385" s="36" t="s">
        <v>28</v>
      </c>
      <c r="H1385" s="36" t="s">
        <v>1655</v>
      </c>
      <c r="I1385" s="36" t="s">
        <v>1656</v>
      </c>
      <c r="J1385" s="36" t="s">
        <v>1656</v>
      </c>
      <c r="K1385" s="36" t="s">
        <v>1736</v>
      </c>
      <c r="L1385" s="36" t="s">
        <v>4097</v>
      </c>
      <c r="M1385" s="36" t="s">
        <v>4097</v>
      </c>
      <c r="N1385" s="36" t="s">
        <v>32</v>
      </c>
    </row>
    <row r="1386">
      <c r="A1386" s="36" t="s">
        <v>4130</v>
      </c>
      <c r="B1386" s="154" t="s">
        <v>4124</v>
      </c>
      <c r="C1386" s="36" t="s">
        <v>1666</v>
      </c>
      <c r="D1386" s="36" t="s">
        <v>281</v>
      </c>
      <c r="E1386" s="36" t="s">
        <v>281</v>
      </c>
      <c r="F1386" s="154" t="s">
        <v>1768</v>
      </c>
      <c r="G1386" s="36" t="s">
        <v>34</v>
      </c>
      <c r="H1386" s="36" t="s">
        <v>1655</v>
      </c>
      <c r="I1386" s="36" t="s">
        <v>1656</v>
      </c>
      <c r="J1386" s="36" t="s">
        <v>1656</v>
      </c>
      <c r="K1386" s="36" t="s">
        <v>1739</v>
      </c>
      <c r="L1386" s="36" t="s">
        <v>4097</v>
      </c>
      <c r="M1386" s="36" t="s">
        <v>4097</v>
      </c>
      <c r="N1386" s="36" t="s">
        <v>32</v>
      </c>
    </row>
    <row r="1387">
      <c r="A1387" s="36" t="s">
        <v>4131</v>
      </c>
      <c r="B1387" s="154" t="s">
        <v>4132</v>
      </c>
      <c r="C1387" s="36" t="s">
        <v>1666</v>
      </c>
      <c r="D1387" s="36" t="s">
        <v>66</v>
      </c>
      <c r="E1387" s="36" t="s">
        <v>66</v>
      </c>
      <c r="F1387" s="154" t="s">
        <v>4133</v>
      </c>
      <c r="G1387" s="36" t="s">
        <v>28</v>
      </c>
      <c r="H1387" s="36" t="s">
        <v>1655</v>
      </c>
      <c r="I1387" s="36" t="s">
        <v>1656</v>
      </c>
      <c r="J1387" s="36" t="s">
        <v>1656</v>
      </c>
      <c r="K1387" s="36" t="s">
        <v>1721</v>
      </c>
      <c r="L1387" s="36" t="s">
        <v>4097</v>
      </c>
      <c r="M1387" s="36" t="s">
        <v>4097</v>
      </c>
      <c r="N1387" s="36" t="s">
        <v>32</v>
      </c>
    </row>
    <row r="1388">
      <c r="A1388" s="36" t="s">
        <v>4134</v>
      </c>
      <c r="B1388" s="154" t="s">
        <v>4132</v>
      </c>
      <c r="C1388" s="36" t="s">
        <v>1666</v>
      </c>
      <c r="D1388" s="36" t="s">
        <v>124</v>
      </c>
      <c r="E1388" s="36" t="s">
        <v>124</v>
      </c>
      <c r="F1388" s="154" t="s">
        <v>2920</v>
      </c>
      <c r="G1388" s="36" t="s">
        <v>32</v>
      </c>
      <c r="H1388" s="36" t="s">
        <v>1655</v>
      </c>
      <c r="I1388" s="36" t="s">
        <v>1656</v>
      </c>
      <c r="J1388" s="36" t="s">
        <v>1656</v>
      </c>
      <c r="K1388" s="36" t="s">
        <v>1742</v>
      </c>
      <c r="L1388" s="36" t="s">
        <v>4097</v>
      </c>
      <c r="M1388" s="36" t="s">
        <v>4097</v>
      </c>
      <c r="N1388" s="36" t="s">
        <v>32</v>
      </c>
    </row>
    <row r="1389">
      <c r="A1389" s="36" t="s">
        <v>4135</v>
      </c>
      <c r="B1389" s="154" t="s">
        <v>4132</v>
      </c>
      <c r="C1389" s="36" t="s">
        <v>1666</v>
      </c>
      <c r="D1389" s="36" t="s">
        <v>1228</v>
      </c>
      <c r="E1389" s="36" t="s">
        <v>1228</v>
      </c>
      <c r="F1389" s="154" t="s">
        <v>2728</v>
      </c>
      <c r="G1389" s="36" t="s">
        <v>28</v>
      </c>
      <c r="H1389" s="36" t="s">
        <v>1655</v>
      </c>
      <c r="I1389" s="36" t="s">
        <v>1656</v>
      </c>
      <c r="J1389" s="36" t="s">
        <v>1656</v>
      </c>
      <c r="K1389" s="36" t="s">
        <v>1745</v>
      </c>
      <c r="L1389" s="36" t="s">
        <v>4097</v>
      </c>
      <c r="M1389" s="36" t="s">
        <v>4097</v>
      </c>
      <c r="N1389" s="36" t="s">
        <v>32</v>
      </c>
    </row>
    <row r="1390">
      <c r="A1390" s="36" t="s">
        <v>4136</v>
      </c>
      <c r="B1390" s="154" t="s">
        <v>4137</v>
      </c>
      <c r="C1390" s="36" t="s">
        <v>1666</v>
      </c>
      <c r="D1390" s="36" t="s">
        <v>71</v>
      </c>
      <c r="E1390" s="36" t="s">
        <v>71</v>
      </c>
      <c r="F1390" s="154" t="s">
        <v>2964</v>
      </c>
      <c r="G1390" s="36" t="s">
        <v>32</v>
      </c>
      <c r="H1390" s="36" t="s">
        <v>1655</v>
      </c>
      <c r="I1390" s="36" t="s">
        <v>1656</v>
      </c>
      <c r="J1390" s="36" t="s">
        <v>1656</v>
      </c>
      <c r="K1390" s="36" t="s">
        <v>1752</v>
      </c>
      <c r="L1390" s="36" t="s">
        <v>4097</v>
      </c>
      <c r="M1390" s="36" t="s">
        <v>4097</v>
      </c>
      <c r="N1390" s="36" t="s">
        <v>32</v>
      </c>
    </row>
    <row r="1391">
      <c r="A1391" s="36" t="s">
        <v>4138</v>
      </c>
      <c r="B1391" s="154" t="s">
        <v>4137</v>
      </c>
      <c r="C1391" s="36" t="s">
        <v>1666</v>
      </c>
      <c r="D1391" s="36" t="s">
        <v>73</v>
      </c>
      <c r="E1391" s="36" t="s">
        <v>73</v>
      </c>
      <c r="F1391" s="154" t="s">
        <v>2966</v>
      </c>
      <c r="G1391" s="36" t="s">
        <v>28</v>
      </c>
      <c r="H1391" s="36" t="s">
        <v>1655</v>
      </c>
      <c r="I1391" s="36" t="s">
        <v>1656</v>
      </c>
      <c r="J1391" s="36" t="s">
        <v>1656</v>
      </c>
      <c r="K1391" s="36" t="s">
        <v>1755</v>
      </c>
      <c r="L1391" s="36" t="s">
        <v>4097</v>
      </c>
      <c r="M1391" s="36" t="s">
        <v>4097</v>
      </c>
      <c r="N1391" s="36" t="s">
        <v>32</v>
      </c>
    </row>
    <row r="1392">
      <c r="A1392" s="36" t="s">
        <v>4139</v>
      </c>
      <c r="B1392" s="154" t="s">
        <v>4137</v>
      </c>
      <c r="C1392" s="36" t="s">
        <v>1666</v>
      </c>
      <c r="D1392" s="36" t="s">
        <v>74</v>
      </c>
      <c r="E1392" s="36" t="s">
        <v>74</v>
      </c>
      <c r="F1392" s="154" t="s">
        <v>2968</v>
      </c>
      <c r="G1392" s="36" t="s">
        <v>32</v>
      </c>
      <c r="H1392" s="36" t="s">
        <v>1655</v>
      </c>
      <c r="I1392" s="36" t="s">
        <v>1656</v>
      </c>
      <c r="J1392" s="36" t="s">
        <v>1656</v>
      </c>
      <c r="K1392" s="36" t="s">
        <v>1757</v>
      </c>
      <c r="L1392" s="36" t="s">
        <v>4097</v>
      </c>
      <c r="M1392" s="36" t="s">
        <v>4097</v>
      </c>
      <c r="N1392" s="36" t="s">
        <v>32</v>
      </c>
    </row>
    <row r="1393">
      <c r="A1393" s="36" t="s">
        <v>4140</v>
      </c>
      <c r="B1393" s="154" t="s">
        <v>4137</v>
      </c>
      <c r="C1393" s="36" t="s">
        <v>1666</v>
      </c>
      <c r="D1393" s="36" t="s">
        <v>75</v>
      </c>
      <c r="E1393" s="36" t="s">
        <v>75</v>
      </c>
      <c r="F1393" s="154" t="s">
        <v>2970</v>
      </c>
      <c r="G1393" s="36" t="s">
        <v>28</v>
      </c>
      <c r="H1393" s="36" t="s">
        <v>1655</v>
      </c>
      <c r="I1393" s="36" t="s">
        <v>1656</v>
      </c>
      <c r="J1393" s="36" t="s">
        <v>1656</v>
      </c>
      <c r="K1393" s="36" t="s">
        <v>1760</v>
      </c>
      <c r="L1393" s="36" t="s">
        <v>4097</v>
      </c>
      <c r="M1393" s="36" t="s">
        <v>4097</v>
      </c>
      <c r="N1393" s="36" t="s">
        <v>32</v>
      </c>
    </row>
    <row r="1394">
      <c r="A1394" s="36" t="s">
        <v>4141</v>
      </c>
      <c r="B1394" s="154" t="s">
        <v>4137</v>
      </c>
      <c r="C1394" s="36" t="s">
        <v>1666</v>
      </c>
      <c r="D1394" s="36" t="s">
        <v>76</v>
      </c>
      <c r="E1394" s="36" t="s">
        <v>76</v>
      </c>
      <c r="F1394" s="154" t="s">
        <v>4142</v>
      </c>
      <c r="G1394" s="36" t="s">
        <v>28</v>
      </c>
      <c r="H1394" s="36" t="s">
        <v>1655</v>
      </c>
      <c r="I1394" s="36" t="s">
        <v>1656</v>
      </c>
      <c r="J1394" s="36" t="s">
        <v>1656</v>
      </c>
      <c r="K1394" s="36" t="s">
        <v>1763</v>
      </c>
      <c r="L1394" s="36" t="s">
        <v>4097</v>
      </c>
      <c r="M1394" s="36" t="s">
        <v>4097</v>
      </c>
      <c r="N1394" s="36" t="s">
        <v>32</v>
      </c>
    </row>
    <row r="1395">
      <c r="A1395" s="36" t="s">
        <v>4143</v>
      </c>
      <c r="B1395" s="154" t="s">
        <v>4137</v>
      </c>
      <c r="C1395" s="36" t="s">
        <v>1666</v>
      </c>
      <c r="D1395" s="36" t="s">
        <v>919</v>
      </c>
      <c r="E1395" s="36" t="s">
        <v>919</v>
      </c>
      <c r="F1395" s="154" t="s">
        <v>4144</v>
      </c>
      <c r="G1395" s="36" t="s">
        <v>28</v>
      </c>
      <c r="H1395" s="36" t="s">
        <v>1655</v>
      </c>
      <c r="I1395" s="36" t="s">
        <v>1656</v>
      </c>
      <c r="J1395" s="36" t="s">
        <v>1656</v>
      </c>
      <c r="K1395" s="36" t="s">
        <v>1766</v>
      </c>
      <c r="L1395" s="36" t="s">
        <v>4097</v>
      </c>
      <c r="M1395" s="36" t="s">
        <v>4097</v>
      </c>
      <c r="N1395" s="36" t="s">
        <v>32</v>
      </c>
    </row>
    <row r="1396">
      <c r="A1396" s="36" t="s">
        <v>4145</v>
      </c>
      <c r="B1396" s="154" t="s">
        <v>4137</v>
      </c>
      <c r="C1396" s="36" t="s">
        <v>1666</v>
      </c>
      <c r="D1396" s="36" t="s">
        <v>77</v>
      </c>
      <c r="E1396" s="36" t="s">
        <v>77</v>
      </c>
      <c r="F1396" s="154" t="s">
        <v>1768</v>
      </c>
      <c r="G1396" s="36" t="s">
        <v>34</v>
      </c>
      <c r="H1396" s="36" t="s">
        <v>1655</v>
      </c>
      <c r="I1396" s="36" t="s">
        <v>1656</v>
      </c>
      <c r="J1396" s="36" t="s">
        <v>1656</v>
      </c>
      <c r="K1396" s="36" t="s">
        <v>1769</v>
      </c>
      <c r="L1396" s="36" t="s">
        <v>4097</v>
      </c>
      <c r="M1396" s="36" t="s">
        <v>4097</v>
      </c>
      <c r="N1396" s="36" t="s">
        <v>32</v>
      </c>
    </row>
    <row r="1397">
      <c r="A1397" s="36" t="s">
        <v>4146</v>
      </c>
      <c r="B1397" s="154" t="s">
        <v>4147</v>
      </c>
      <c r="C1397" s="36" t="s">
        <v>1666</v>
      </c>
      <c r="D1397" s="36" t="s">
        <v>978</v>
      </c>
      <c r="E1397" s="36" t="s">
        <v>978</v>
      </c>
      <c r="F1397" s="154" t="s">
        <v>4148</v>
      </c>
      <c r="G1397" s="36" t="s">
        <v>28</v>
      </c>
      <c r="H1397" s="36" t="s">
        <v>1655</v>
      </c>
      <c r="I1397" s="36" t="s">
        <v>1656</v>
      </c>
      <c r="J1397" s="36" t="s">
        <v>1656</v>
      </c>
      <c r="K1397" s="36" t="s">
        <v>1773</v>
      </c>
      <c r="L1397" s="36" t="s">
        <v>4097</v>
      </c>
      <c r="M1397" s="36" t="s">
        <v>4097</v>
      </c>
      <c r="N1397" s="36" t="s">
        <v>32</v>
      </c>
    </row>
    <row r="1398">
      <c r="A1398" s="36" t="s">
        <v>4149</v>
      </c>
      <c r="B1398" s="154" t="s">
        <v>4147</v>
      </c>
      <c r="C1398" s="36" t="s">
        <v>1666</v>
      </c>
      <c r="D1398" s="36" t="s">
        <v>100</v>
      </c>
      <c r="E1398" s="36" t="s">
        <v>100</v>
      </c>
      <c r="F1398" s="154" t="s">
        <v>1810</v>
      </c>
      <c r="G1398" s="36" t="s">
        <v>32</v>
      </c>
      <c r="H1398" s="36" t="s">
        <v>1655</v>
      </c>
      <c r="I1398" s="36" t="s">
        <v>1656</v>
      </c>
      <c r="J1398" s="36" t="s">
        <v>1656</v>
      </c>
      <c r="K1398" s="36" t="s">
        <v>1776</v>
      </c>
      <c r="L1398" s="36" t="s">
        <v>4097</v>
      </c>
      <c r="M1398" s="36" t="s">
        <v>4097</v>
      </c>
      <c r="N1398" s="36" t="s">
        <v>32</v>
      </c>
    </row>
    <row r="1399">
      <c r="A1399" s="36" t="s">
        <v>4150</v>
      </c>
      <c r="B1399" s="154" t="s">
        <v>4147</v>
      </c>
      <c r="C1399" s="36" t="s">
        <v>1666</v>
      </c>
      <c r="D1399" s="36" t="s">
        <v>511</v>
      </c>
      <c r="E1399" s="36" t="s">
        <v>511</v>
      </c>
      <c r="F1399" s="154" t="s">
        <v>4151</v>
      </c>
      <c r="G1399" s="36" t="s">
        <v>28</v>
      </c>
      <c r="H1399" s="36" t="s">
        <v>1655</v>
      </c>
      <c r="I1399" s="36" t="s">
        <v>1656</v>
      </c>
      <c r="J1399" s="36" t="s">
        <v>1656</v>
      </c>
      <c r="K1399" s="36" t="s">
        <v>1779</v>
      </c>
      <c r="L1399" s="36" t="s">
        <v>4097</v>
      </c>
      <c r="M1399" s="36" t="s">
        <v>4097</v>
      </c>
      <c r="N1399" s="36" t="s">
        <v>32</v>
      </c>
    </row>
    <row r="1400">
      <c r="A1400" s="36" t="s">
        <v>4152</v>
      </c>
      <c r="B1400" s="154" t="s">
        <v>4147</v>
      </c>
      <c r="C1400" s="36" t="s">
        <v>1666</v>
      </c>
      <c r="D1400" s="36" t="s">
        <v>502</v>
      </c>
      <c r="E1400" s="36" t="s">
        <v>502</v>
      </c>
      <c r="F1400" s="154" t="s">
        <v>4153</v>
      </c>
      <c r="G1400" s="36" t="s">
        <v>32</v>
      </c>
      <c r="H1400" s="36" t="s">
        <v>1655</v>
      </c>
      <c r="I1400" s="36" t="s">
        <v>1656</v>
      </c>
      <c r="J1400" s="36" t="s">
        <v>1656</v>
      </c>
      <c r="K1400" s="36" t="s">
        <v>1782</v>
      </c>
      <c r="L1400" s="36" t="s">
        <v>4097</v>
      </c>
      <c r="M1400" s="36" t="s">
        <v>4097</v>
      </c>
      <c r="N1400" s="36" t="s">
        <v>32</v>
      </c>
    </row>
    <row r="1401">
      <c r="A1401" s="36" t="s">
        <v>4154</v>
      </c>
      <c r="B1401" s="154" t="s">
        <v>4147</v>
      </c>
      <c r="C1401" s="36" t="s">
        <v>1666</v>
      </c>
      <c r="D1401" s="36" t="s">
        <v>1222</v>
      </c>
      <c r="E1401" s="36" t="s">
        <v>1222</v>
      </c>
      <c r="F1401" s="154" t="s">
        <v>4155</v>
      </c>
      <c r="G1401" s="36" t="s">
        <v>32</v>
      </c>
      <c r="H1401" s="36" t="s">
        <v>1655</v>
      </c>
      <c r="I1401" s="36" t="s">
        <v>1656</v>
      </c>
      <c r="J1401" s="36" t="s">
        <v>1656</v>
      </c>
      <c r="K1401" s="36" t="s">
        <v>1784</v>
      </c>
      <c r="L1401" s="36" t="s">
        <v>4097</v>
      </c>
      <c r="M1401" s="36" t="s">
        <v>4097</v>
      </c>
      <c r="N1401" s="36" t="s">
        <v>32</v>
      </c>
    </row>
    <row r="1402">
      <c r="A1402" s="36" t="s">
        <v>4156</v>
      </c>
      <c r="B1402" s="154" t="s">
        <v>4147</v>
      </c>
      <c r="C1402" s="36" t="s">
        <v>1666</v>
      </c>
      <c r="D1402" s="36" t="s">
        <v>1226</v>
      </c>
      <c r="E1402" s="36" t="s">
        <v>1226</v>
      </c>
      <c r="F1402" s="154" t="s">
        <v>4157</v>
      </c>
      <c r="G1402" s="36" t="s">
        <v>28</v>
      </c>
      <c r="H1402" s="36" t="s">
        <v>1655</v>
      </c>
      <c r="I1402" s="36" t="s">
        <v>1656</v>
      </c>
      <c r="J1402" s="36" t="s">
        <v>1656</v>
      </c>
      <c r="K1402" s="36" t="s">
        <v>1787</v>
      </c>
      <c r="L1402" s="36" t="s">
        <v>4097</v>
      </c>
      <c r="M1402" s="36" t="s">
        <v>4097</v>
      </c>
      <c r="N1402" s="36" t="s">
        <v>32</v>
      </c>
    </row>
    <row r="1403">
      <c r="A1403" s="36" t="s">
        <v>4158</v>
      </c>
      <c r="B1403" s="154" t="s">
        <v>4159</v>
      </c>
      <c r="C1403" s="36" t="s">
        <v>1666</v>
      </c>
      <c r="D1403" s="36" t="s">
        <v>1267</v>
      </c>
      <c r="E1403" s="36" t="s">
        <v>1267</v>
      </c>
      <c r="F1403" s="154" t="s">
        <v>1816</v>
      </c>
      <c r="G1403" s="36" t="s">
        <v>32</v>
      </c>
      <c r="H1403" s="36" t="s">
        <v>1655</v>
      </c>
      <c r="I1403" s="36" t="s">
        <v>1656</v>
      </c>
      <c r="J1403" s="36" t="s">
        <v>1656</v>
      </c>
      <c r="K1403" s="36" t="s">
        <v>1790</v>
      </c>
      <c r="L1403" s="36" t="s">
        <v>4097</v>
      </c>
      <c r="M1403" s="36" t="s">
        <v>4097</v>
      </c>
      <c r="N1403" s="36" t="s">
        <v>32</v>
      </c>
    </row>
    <row r="1404">
      <c r="A1404" s="36" t="s">
        <v>4160</v>
      </c>
      <c r="B1404" s="154" t="s">
        <v>4159</v>
      </c>
      <c r="C1404" s="36" t="s">
        <v>1666</v>
      </c>
      <c r="D1404" s="36" t="s">
        <v>1270</v>
      </c>
      <c r="E1404" s="36" t="s">
        <v>1270</v>
      </c>
      <c r="F1404" s="154" t="s">
        <v>3017</v>
      </c>
      <c r="G1404" s="36" t="s">
        <v>28</v>
      </c>
      <c r="H1404" s="36" t="s">
        <v>1655</v>
      </c>
      <c r="I1404" s="36" t="s">
        <v>1656</v>
      </c>
      <c r="J1404" s="36" t="s">
        <v>1656</v>
      </c>
      <c r="K1404" s="36" t="s">
        <v>1793</v>
      </c>
      <c r="L1404" s="36" t="s">
        <v>4097</v>
      </c>
      <c r="M1404" s="36" t="s">
        <v>4097</v>
      </c>
      <c r="N1404" s="36" t="s">
        <v>34</v>
      </c>
    </row>
    <row r="1405">
      <c r="A1405" s="36" t="s">
        <v>4161</v>
      </c>
      <c r="B1405" s="154" t="s">
        <v>4159</v>
      </c>
      <c r="C1405" s="36" t="s">
        <v>1666</v>
      </c>
      <c r="D1405" s="36" t="s">
        <v>1276</v>
      </c>
      <c r="E1405" s="36" t="s">
        <v>1276</v>
      </c>
      <c r="F1405" s="154" t="s">
        <v>2006</v>
      </c>
      <c r="G1405" s="36" t="s">
        <v>28</v>
      </c>
      <c r="H1405" s="36" t="s">
        <v>1655</v>
      </c>
      <c r="I1405" s="36" t="s">
        <v>1656</v>
      </c>
      <c r="J1405" s="36" t="s">
        <v>1656</v>
      </c>
      <c r="K1405" s="36" t="s">
        <v>1796</v>
      </c>
      <c r="L1405" s="36" t="s">
        <v>4097</v>
      </c>
      <c r="M1405" s="36" t="s">
        <v>4097</v>
      </c>
      <c r="N1405" s="36" t="s">
        <v>34</v>
      </c>
    </row>
    <row r="1406">
      <c r="A1406" s="36" t="s">
        <v>4162</v>
      </c>
      <c r="B1406" s="154" t="s">
        <v>4159</v>
      </c>
      <c r="C1406" s="36" t="s">
        <v>1666</v>
      </c>
      <c r="D1406" s="36" t="s">
        <v>274</v>
      </c>
      <c r="E1406" s="36" t="s">
        <v>274</v>
      </c>
      <c r="F1406" s="154" t="s">
        <v>4045</v>
      </c>
      <c r="G1406" s="36" t="s">
        <v>28</v>
      </c>
      <c r="H1406" s="36" t="s">
        <v>1655</v>
      </c>
      <c r="I1406" s="36" t="s">
        <v>1656</v>
      </c>
      <c r="J1406" s="36" t="s">
        <v>1656</v>
      </c>
      <c r="K1406" s="36" t="s">
        <v>1800</v>
      </c>
      <c r="L1406" s="36" t="s">
        <v>4097</v>
      </c>
      <c r="M1406" s="36" t="s">
        <v>4097</v>
      </c>
      <c r="N1406" s="36" t="s">
        <v>34</v>
      </c>
    </row>
    <row r="1407">
      <c r="A1407" s="36" t="s">
        <v>4163</v>
      </c>
      <c r="B1407" s="154" t="s">
        <v>4164</v>
      </c>
      <c r="C1407" s="36" t="s">
        <v>1666</v>
      </c>
      <c r="D1407" s="36" t="s">
        <v>1280</v>
      </c>
      <c r="E1407" s="36" t="s">
        <v>1280</v>
      </c>
      <c r="F1407" s="154" t="s">
        <v>4165</v>
      </c>
      <c r="G1407" s="36" t="s">
        <v>30</v>
      </c>
      <c r="H1407" s="36" t="s">
        <v>1655</v>
      </c>
      <c r="I1407" s="36" t="s">
        <v>1656</v>
      </c>
      <c r="J1407" s="36" t="s">
        <v>1656</v>
      </c>
      <c r="K1407" s="36" t="s">
        <v>1803</v>
      </c>
      <c r="L1407" s="36" t="s">
        <v>4097</v>
      </c>
      <c r="M1407" s="36" t="s">
        <v>4097</v>
      </c>
      <c r="N1407" s="36" t="s">
        <v>32</v>
      </c>
    </row>
    <row r="1408">
      <c r="A1408" s="36" t="s">
        <v>4166</v>
      </c>
      <c r="B1408" s="154" t="s">
        <v>4164</v>
      </c>
      <c r="C1408" s="36" t="s">
        <v>1666</v>
      </c>
      <c r="D1408" s="36" t="s">
        <v>1287</v>
      </c>
      <c r="E1408" s="36" t="s">
        <v>1287</v>
      </c>
      <c r="F1408" s="154" t="s">
        <v>2027</v>
      </c>
      <c r="G1408" s="36" t="s">
        <v>28</v>
      </c>
      <c r="H1408" s="36" t="s">
        <v>1655</v>
      </c>
      <c r="I1408" s="36" t="s">
        <v>1656</v>
      </c>
      <c r="J1408" s="36" t="s">
        <v>1656</v>
      </c>
      <c r="K1408" s="36" t="s">
        <v>1807</v>
      </c>
      <c r="L1408" s="36" t="s">
        <v>4097</v>
      </c>
      <c r="M1408" s="36" t="s">
        <v>4097</v>
      </c>
      <c r="N1408" s="36" t="s">
        <v>32</v>
      </c>
    </row>
    <row r="1409">
      <c r="A1409" s="36" t="s">
        <v>4167</v>
      </c>
      <c r="B1409" s="154" t="s">
        <v>4168</v>
      </c>
      <c r="C1409" s="36" t="s">
        <v>1666</v>
      </c>
      <c r="D1409" s="36" t="s">
        <v>1293</v>
      </c>
      <c r="E1409" s="36" t="s">
        <v>1293</v>
      </c>
      <c r="F1409" s="154" t="s">
        <v>2930</v>
      </c>
      <c r="G1409" s="36" t="s">
        <v>28</v>
      </c>
      <c r="H1409" s="36" t="s">
        <v>1655</v>
      </c>
      <c r="I1409" s="36" t="s">
        <v>1656</v>
      </c>
      <c r="J1409" s="36" t="s">
        <v>1656</v>
      </c>
      <c r="K1409" s="36" t="s">
        <v>1814</v>
      </c>
      <c r="L1409" s="36" t="s">
        <v>4097</v>
      </c>
      <c r="M1409" s="36" t="s">
        <v>4097</v>
      </c>
      <c r="N1409" s="36" t="s">
        <v>34</v>
      </c>
    </row>
    <row r="1410">
      <c r="A1410" s="36" t="s">
        <v>4169</v>
      </c>
      <c r="B1410" s="154" t="s">
        <v>4170</v>
      </c>
      <c r="C1410" s="36" t="s">
        <v>1666</v>
      </c>
      <c r="D1410" s="36" t="s">
        <v>1298</v>
      </c>
      <c r="E1410" s="36" t="s">
        <v>1298</v>
      </c>
      <c r="F1410" s="154" t="s">
        <v>2930</v>
      </c>
      <c r="G1410" s="36" t="s">
        <v>32</v>
      </c>
      <c r="H1410" s="36" t="s">
        <v>1655</v>
      </c>
      <c r="I1410" s="36" t="s">
        <v>1656</v>
      </c>
      <c r="J1410" s="36" t="s">
        <v>1656</v>
      </c>
      <c r="K1410" s="36" t="s">
        <v>1817</v>
      </c>
      <c r="L1410" s="36" t="s">
        <v>4097</v>
      </c>
      <c r="M1410" s="36" t="s">
        <v>4097</v>
      </c>
      <c r="N1410" s="36" t="s">
        <v>32</v>
      </c>
    </row>
    <row r="1411">
      <c r="A1411" s="36" t="s">
        <v>4171</v>
      </c>
      <c r="B1411" s="154" t="s">
        <v>4172</v>
      </c>
      <c r="C1411" s="36" t="s">
        <v>1666</v>
      </c>
      <c r="D1411" s="36" t="s">
        <v>1304</v>
      </c>
      <c r="E1411" s="36" t="s">
        <v>1304</v>
      </c>
      <c r="F1411" s="154" t="s">
        <v>3324</v>
      </c>
      <c r="G1411" s="36" t="s">
        <v>30</v>
      </c>
      <c r="H1411" s="36" t="s">
        <v>1655</v>
      </c>
      <c r="I1411" s="36" t="s">
        <v>1656</v>
      </c>
      <c r="J1411" s="36" t="s">
        <v>1656</v>
      </c>
      <c r="K1411" s="36" t="s">
        <v>1820</v>
      </c>
      <c r="L1411" s="36" t="s">
        <v>4097</v>
      </c>
      <c r="M1411" s="36" t="s">
        <v>4097</v>
      </c>
      <c r="N1411" s="36" t="s">
        <v>32</v>
      </c>
    </row>
    <row r="1412">
      <c r="A1412" s="36" t="s">
        <v>4173</v>
      </c>
      <c r="B1412" s="154" t="s">
        <v>4172</v>
      </c>
      <c r="C1412" s="36" t="s">
        <v>1666</v>
      </c>
      <c r="D1412" s="36" t="s">
        <v>1308</v>
      </c>
      <c r="E1412" s="36" t="s">
        <v>1308</v>
      </c>
      <c r="F1412" s="154" t="s">
        <v>4174</v>
      </c>
      <c r="G1412" s="36" t="s">
        <v>28</v>
      </c>
      <c r="H1412" s="36" t="s">
        <v>1655</v>
      </c>
      <c r="I1412" s="36" t="s">
        <v>1656</v>
      </c>
      <c r="J1412" s="36" t="s">
        <v>1656</v>
      </c>
      <c r="K1412" s="36" t="s">
        <v>1823</v>
      </c>
      <c r="L1412" s="36" t="s">
        <v>4097</v>
      </c>
      <c r="M1412" s="36" t="s">
        <v>4097</v>
      </c>
      <c r="N1412" s="36" t="s">
        <v>34</v>
      </c>
    </row>
    <row r="1413">
      <c r="A1413" s="36" t="s">
        <v>4175</v>
      </c>
      <c r="B1413" s="154" t="s">
        <v>4172</v>
      </c>
      <c r="C1413" s="36" t="s">
        <v>1666</v>
      </c>
      <c r="D1413" s="36" t="s">
        <v>1314</v>
      </c>
      <c r="E1413" s="36" t="s">
        <v>1314</v>
      </c>
      <c r="F1413" s="154" t="s">
        <v>2728</v>
      </c>
      <c r="G1413" s="36" t="s">
        <v>28</v>
      </c>
      <c r="H1413" s="36" t="s">
        <v>1655</v>
      </c>
      <c r="I1413" s="36" t="s">
        <v>1656</v>
      </c>
      <c r="J1413" s="36" t="s">
        <v>1656</v>
      </c>
      <c r="K1413" s="36" t="s">
        <v>1826</v>
      </c>
      <c r="L1413" s="36" t="s">
        <v>4097</v>
      </c>
      <c r="M1413" s="36" t="s">
        <v>4097</v>
      </c>
      <c r="N1413" s="36" t="s">
        <v>34</v>
      </c>
    </row>
    <row r="1414">
      <c r="A1414" s="36" t="s">
        <v>4176</v>
      </c>
      <c r="B1414" s="154" t="s">
        <v>4172</v>
      </c>
      <c r="C1414" s="36" t="s">
        <v>1666</v>
      </c>
      <c r="D1414" s="36" t="s">
        <v>1320</v>
      </c>
      <c r="E1414" s="36" t="s">
        <v>1320</v>
      </c>
      <c r="F1414" s="154" t="s">
        <v>1832</v>
      </c>
      <c r="G1414" s="36" t="s">
        <v>28</v>
      </c>
      <c r="H1414" s="36" t="s">
        <v>1655</v>
      </c>
      <c r="I1414" s="36" t="s">
        <v>1656</v>
      </c>
      <c r="J1414" s="36" t="s">
        <v>1656</v>
      </c>
      <c r="K1414" s="36" t="s">
        <v>1830</v>
      </c>
      <c r="L1414" s="36" t="s">
        <v>4097</v>
      </c>
      <c r="M1414" s="36" t="s">
        <v>4097</v>
      </c>
      <c r="N1414" s="36" t="s">
        <v>34</v>
      </c>
    </row>
    <row r="1415">
      <c r="A1415" s="36" t="s">
        <v>4177</v>
      </c>
      <c r="B1415" s="154" t="s">
        <v>4172</v>
      </c>
      <c r="C1415" s="36" t="s">
        <v>1666</v>
      </c>
      <c r="D1415" s="36" t="s">
        <v>1325</v>
      </c>
      <c r="E1415" s="36" t="s">
        <v>1325</v>
      </c>
      <c r="F1415" s="154" t="s">
        <v>1781</v>
      </c>
      <c r="G1415" s="36" t="s">
        <v>28</v>
      </c>
      <c r="H1415" s="36" t="s">
        <v>1655</v>
      </c>
      <c r="I1415" s="36" t="s">
        <v>1656</v>
      </c>
      <c r="J1415" s="36" t="s">
        <v>1656</v>
      </c>
      <c r="K1415" s="36" t="s">
        <v>1833</v>
      </c>
      <c r="L1415" s="36" t="s">
        <v>4097</v>
      </c>
      <c r="M1415" s="36" t="s">
        <v>4097</v>
      </c>
      <c r="N1415" s="36" t="s">
        <v>34</v>
      </c>
    </row>
    <row r="1416">
      <c r="A1416" s="36" t="s">
        <v>4178</v>
      </c>
      <c r="B1416" s="154" t="s">
        <v>4179</v>
      </c>
      <c r="C1416" s="36" t="s">
        <v>1666</v>
      </c>
      <c r="D1416" s="36" t="s">
        <v>61</v>
      </c>
      <c r="E1416" s="36" t="s">
        <v>61</v>
      </c>
      <c r="F1416" s="154" t="s">
        <v>1768</v>
      </c>
      <c r="G1416" s="36" t="s">
        <v>28</v>
      </c>
      <c r="H1416" s="36" t="s">
        <v>1655</v>
      </c>
      <c r="I1416" s="36" t="s">
        <v>1656</v>
      </c>
      <c r="J1416" s="36" t="s">
        <v>1656</v>
      </c>
      <c r="K1416" s="36" t="s">
        <v>1836</v>
      </c>
      <c r="L1416" s="36" t="s">
        <v>4097</v>
      </c>
      <c r="M1416" s="36" t="s">
        <v>4097</v>
      </c>
      <c r="N1416" s="36" t="s">
        <v>32</v>
      </c>
    </row>
    <row r="1417">
      <c r="A1417" s="36" t="s">
        <v>4180</v>
      </c>
      <c r="B1417" s="154" t="s">
        <v>4181</v>
      </c>
      <c r="C1417" s="36" t="s">
        <v>1666</v>
      </c>
      <c r="D1417" s="36" t="s">
        <v>100</v>
      </c>
      <c r="E1417" s="36" t="s">
        <v>100</v>
      </c>
      <c r="F1417" s="154" t="s">
        <v>1810</v>
      </c>
      <c r="G1417" s="36" t="s">
        <v>32</v>
      </c>
      <c r="H1417" s="36" t="s">
        <v>1655</v>
      </c>
      <c r="I1417" s="36" t="s">
        <v>1656</v>
      </c>
      <c r="J1417" s="36" t="s">
        <v>1656</v>
      </c>
      <c r="K1417" s="36" t="s">
        <v>1839</v>
      </c>
      <c r="L1417" s="36" t="s">
        <v>4097</v>
      </c>
      <c r="M1417" s="36" t="s">
        <v>4097</v>
      </c>
      <c r="N1417" s="36" t="s">
        <v>32</v>
      </c>
    </row>
    <row r="1418">
      <c r="A1418" s="36" t="s">
        <v>4182</v>
      </c>
      <c r="B1418" s="154" t="s">
        <v>4183</v>
      </c>
      <c r="C1418" s="36" t="s">
        <v>1666</v>
      </c>
      <c r="D1418" s="36" t="s">
        <v>235</v>
      </c>
      <c r="E1418" s="36" t="s">
        <v>235</v>
      </c>
      <c r="F1418" s="154" t="s">
        <v>1971</v>
      </c>
      <c r="G1418" s="36" t="s">
        <v>28</v>
      </c>
      <c r="H1418" s="36" t="s">
        <v>1655</v>
      </c>
      <c r="I1418" s="36" t="s">
        <v>1656</v>
      </c>
      <c r="J1418" s="36" t="s">
        <v>1656</v>
      </c>
      <c r="K1418" s="36" t="s">
        <v>1842</v>
      </c>
      <c r="L1418" s="36" t="s">
        <v>4097</v>
      </c>
      <c r="M1418" s="36" t="s">
        <v>4097</v>
      </c>
      <c r="N1418" s="36" t="s">
        <v>32</v>
      </c>
    </row>
    <row r="1419">
      <c r="A1419" s="36" t="s">
        <v>4184</v>
      </c>
      <c r="B1419" s="154" t="s">
        <v>4185</v>
      </c>
      <c r="C1419" s="36" t="s">
        <v>1666</v>
      </c>
      <c r="D1419" s="36" t="s">
        <v>1337</v>
      </c>
      <c r="E1419" s="36" t="s">
        <v>1337</v>
      </c>
      <c r="F1419" s="154" t="s">
        <v>4186</v>
      </c>
      <c r="G1419" s="36" t="s">
        <v>28</v>
      </c>
      <c r="H1419" s="36" t="s">
        <v>1655</v>
      </c>
      <c r="I1419" s="36" t="s">
        <v>1656</v>
      </c>
      <c r="J1419" s="36" t="s">
        <v>1656</v>
      </c>
      <c r="K1419" s="36" t="s">
        <v>1845</v>
      </c>
      <c r="L1419" s="36" t="s">
        <v>4097</v>
      </c>
      <c r="M1419" s="36" t="s">
        <v>4097</v>
      </c>
      <c r="N1419" s="36" t="s">
        <v>34</v>
      </c>
    </row>
    <row r="1420">
      <c r="A1420" s="36" t="s">
        <v>4187</v>
      </c>
      <c r="B1420" s="154" t="s">
        <v>4185</v>
      </c>
      <c r="C1420" s="36" t="s">
        <v>1666</v>
      </c>
      <c r="D1420" s="36" t="s">
        <v>1341</v>
      </c>
      <c r="E1420" s="36" t="s">
        <v>1341</v>
      </c>
      <c r="F1420" s="154" t="s">
        <v>2728</v>
      </c>
      <c r="G1420" s="36" t="s">
        <v>32</v>
      </c>
      <c r="H1420" s="36" t="s">
        <v>1655</v>
      </c>
      <c r="I1420" s="36" t="s">
        <v>1656</v>
      </c>
      <c r="J1420" s="36" t="s">
        <v>1656</v>
      </c>
      <c r="K1420" s="36" t="s">
        <v>1848</v>
      </c>
      <c r="L1420" s="36" t="s">
        <v>4097</v>
      </c>
      <c r="M1420" s="36" t="s">
        <v>4097</v>
      </c>
      <c r="N1420" s="36" t="s">
        <v>34</v>
      </c>
    </row>
    <row r="1421">
      <c r="A1421" s="36" t="s">
        <v>4188</v>
      </c>
      <c r="B1421" s="154" t="s">
        <v>4185</v>
      </c>
      <c r="C1421" s="36" t="s">
        <v>1666</v>
      </c>
      <c r="D1421" s="36" t="s">
        <v>1346</v>
      </c>
      <c r="E1421" s="36" t="s">
        <v>1346</v>
      </c>
      <c r="F1421" s="154" t="s">
        <v>4189</v>
      </c>
      <c r="G1421" s="36" t="s">
        <v>28</v>
      </c>
      <c r="H1421" s="36" t="s">
        <v>1655</v>
      </c>
      <c r="I1421" s="36" t="s">
        <v>1656</v>
      </c>
      <c r="J1421" s="36" t="s">
        <v>1656</v>
      </c>
      <c r="K1421" s="36" t="s">
        <v>1851</v>
      </c>
      <c r="L1421" s="36" t="s">
        <v>4097</v>
      </c>
      <c r="M1421" s="36" t="s">
        <v>4097</v>
      </c>
      <c r="N1421" s="36" t="s">
        <v>34</v>
      </c>
    </row>
    <row r="1422">
      <c r="A1422" s="36" t="s">
        <v>4190</v>
      </c>
      <c r="B1422" s="154" t="s">
        <v>4191</v>
      </c>
      <c r="C1422" s="36" t="s">
        <v>1666</v>
      </c>
      <c r="D1422" s="36" t="s">
        <v>1352</v>
      </c>
      <c r="E1422" s="36" t="s">
        <v>1352</v>
      </c>
      <c r="F1422" s="154" t="s">
        <v>2728</v>
      </c>
      <c r="G1422" s="36" t="s">
        <v>28</v>
      </c>
      <c r="H1422" s="36" t="s">
        <v>1655</v>
      </c>
      <c r="I1422" s="36" t="s">
        <v>1656</v>
      </c>
      <c r="J1422" s="36" t="s">
        <v>1656</v>
      </c>
      <c r="K1422" s="36" t="s">
        <v>1854</v>
      </c>
      <c r="L1422" s="36" t="s">
        <v>4097</v>
      </c>
      <c r="M1422" s="36" t="s">
        <v>4097</v>
      </c>
      <c r="N1422" s="36" t="s">
        <v>34</v>
      </c>
    </row>
    <row r="1423">
      <c r="A1423" s="36" t="s">
        <v>4192</v>
      </c>
      <c r="B1423" s="154" t="s">
        <v>4191</v>
      </c>
      <c r="C1423" s="36" t="s">
        <v>1666</v>
      </c>
      <c r="D1423" s="36" t="s">
        <v>1354</v>
      </c>
      <c r="E1423" s="36" t="s">
        <v>1354</v>
      </c>
      <c r="F1423" s="154" t="s">
        <v>1810</v>
      </c>
      <c r="G1423" s="36" t="s">
        <v>28</v>
      </c>
      <c r="H1423" s="36" t="s">
        <v>1655</v>
      </c>
      <c r="I1423" s="36" t="s">
        <v>1656</v>
      </c>
      <c r="J1423" s="36" t="s">
        <v>1656</v>
      </c>
      <c r="K1423" s="36" t="s">
        <v>1857</v>
      </c>
      <c r="L1423" s="36" t="s">
        <v>4097</v>
      </c>
      <c r="M1423" s="36" t="s">
        <v>4097</v>
      </c>
      <c r="N1423" s="36" t="s">
        <v>34</v>
      </c>
    </row>
    <row r="1424">
      <c r="A1424" s="36" t="s">
        <v>4193</v>
      </c>
      <c r="B1424" s="154" t="s">
        <v>4194</v>
      </c>
      <c r="C1424" s="36" t="s">
        <v>1666</v>
      </c>
      <c r="D1424" s="36" t="s">
        <v>63</v>
      </c>
      <c r="E1424" s="36" t="s">
        <v>63</v>
      </c>
      <c r="F1424" s="154" t="s">
        <v>4195</v>
      </c>
      <c r="G1424" s="36" t="s">
        <v>28</v>
      </c>
      <c r="H1424" s="36" t="s">
        <v>1655</v>
      </c>
      <c r="I1424" s="36" t="s">
        <v>1656</v>
      </c>
      <c r="J1424" s="36" t="s">
        <v>1656</v>
      </c>
      <c r="K1424" s="36" t="s">
        <v>4196</v>
      </c>
      <c r="L1424" s="36" t="s">
        <v>4097</v>
      </c>
      <c r="M1424" s="36" t="s">
        <v>4097</v>
      </c>
      <c r="N1424" s="36" t="s">
        <v>34</v>
      </c>
    </row>
    <row r="1425">
      <c r="A1425" s="36" t="s">
        <v>4197</v>
      </c>
      <c r="B1425" s="154" t="s">
        <v>4194</v>
      </c>
      <c r="C1425" s="36" t="s">
        <v>1666</v>
      </c>
      <c r="D1425" s="36" t="s">
        <v>611</v>
      </c>
      <c r="E1425" s="36" t="s">
        <v>611</v>
      </c>
      <c r="F1425" s="154" t="s">
        <v>2930</v>
      </c>
      <c r="G1425" s="36" t="s">
        <v>28</v>
      </c>
      <c r="H1425" s="36" t="s">
        <v>1655</v>
      </c>
      <c r="I1425" s="36" t="s">
        <v>1656</v>
      </c>
      <c r="J1425" s="36" t="s">
        <v>1656</v>
      </c>
      <c r="K1425" s="36" t="s">
        <v>1860</v>
      </c>
      <c r="L1425" s="36" t="s">
        <v>4097</v>
      </c>
      <c r="M1425" s="36" t="s">
        <v>4097</v>
      </c>
      <c r="N1425" s="36" t="s">
        <v>34</v>
      </c>
    </row>
    <row r="1426">
      <c r="A1426" s="36" t="s">
        <v>4198</v>
      </c>
      <c r="B1426" s="154" t="s">
        <v>4199</v>
      </c>
      <c r="C1426" s="36" t="s">
        <v>1666</v>
      </c>
      <c r="D1426" s="36" t="s">
        <v>81</v>
      </c>
      <c r="E1426" s="36" t="s">
        <v>81</v>
      </c>
      <c r="F1426" s="154" t="s">
        <v>4200</v>
      </c>
      <c r="G1426" s="36" t="s">
        <v>28</v>
      </c>
      <c r="H1426" s="36" t="s">
        <v>1655</v>
      </c>
      <c r="I1426" s="36" t="s">
        <v>1656</v>
      </c>
      <c r="J1426" s="36" t="s">
        <v>1656</v>
      </c>
      <c r="K1426" s="36" t="s">
        <v>1921</v>
      </c>
      <c r="L1426" s="36" t="s">
        <v>4097</v>
      </c>
      <c r="M1426" s="36" t="s">
        <v>4097</v>
      </c>
      <c r="N1426" s="36" t="s">
        <v>32</v>
      </c>
    </row>
    <row r="1427">
      <c r="A1427" s="36" t="s">
        <v>4201</v>
      </c>
      <c r="B1427" s="154" t="s">
        <v>4199</v>
      </c>
      <c r="C1427" s="36" t="s">
        <v>1666</v>
      </c>
      <c r="D1427" s="36" t="s">
        <v>83</v>
      </c>
      <c r="E1427" s="36" t="s">
        <v>83</v>
      </c>
      <c r="F1427" s="154" t="s">
        <v>4202</v>
      </c>
      <c r="G1427" s="36" t="s">
        <v>28</v>
      </c>
      <c r="H1427" s="36" t="s">
        <v>1655</v>
      </c>
      <c r="I1427" s="36" t="s">
        <v>1656</v>
      </c>
      <c r="J1427" s="36" t="s">
        <v>1656</v>
      </c>
      <c r="K1427" s="36" t="s">
        <v>3166</v>
      </c>
      <c r="L1427" s="36" t="s">
        <v>4097</v>
      </c>
      <c r="M1427" s="36" t="s">
        <v>4097</v>
      </c>
      <c r="N1427" s="36" t="s">
        <v>32</v>
      </c>
    </row>
    <row r="1428">
      <c r="A1428" s="36" t="s">
        <v>4203</v>
      </c>
      <c r="B1428" s="154" t="s">
        <v>4199</v>
      </c>
      <c r="C1428" s="36" t="s">
        <v>1666</v>
      </c>
      <c r="D1428" s="36" t="s">
        <v>84</v>
      </c>
      <c r="E1428" s="36" t="s">
        <v>84</v>
      </c>
      <c r="F1428" s="154" t="s">
        <v>4204</v>
      </c>
      <c r="G1428" s="36" t="s">
        <v>32</v>
      </c>
      <c r="H1428" s="36" t="s">
        <v>1655</v>
      </c>
      <c r="I1428" s="36" t="s">
        <v>1656</v>
      </c>
      <c r="J1428" s="36" t="s">
        <v>1656</v>
      </c>
      <c r="K1428" s="36" t="s">
        <v>1924</v>
      </c>
      <c r="L1428" s="36" t="s">
        <v>4097</v>
      </c>
      <c r="M1428" s="36" t="s">
        <v>4097</v>
      </c>
      <c r="N1428" s="36" t="s">
        <v>32</v>
      </c>
    </row>
    <row r="1429">
      <c r="A1429" s="36" t="s">
        <v>4205</v>
      </c>
      <c r="B1429" s="154" t="s">
        <v>4199</v>
      </c>
      <c r="C1429" s="36" t="s">
        <v>1666</v>
      </c>
      <c r="D1429" s="36" t="s">
        <v>100</v>
      </c>
      <c r="E1429" s="36" t="s">
        <v>100</v>
      </c>
      <c r="F1429" s="154" t="s">
        <v>2325</v>
      </c>
      <c r="G1429" s="36" t="s">
        <v>32</v>
      </c>
      <c r="H1429" s="36" t="s">
        <v>1655</v>
      </c>
      <c r="I1429" s="36" t="s">
        <v>1656</v>
      </c>
      <c r="J1429" s="36" t="s">
        <v>1656</v>
      </c>
      <c r="K1429" s="36" t="s">
        <v>1863</v>
      </c>
      <c r="L1429" s="36" t="s">
        <v>4097</v>
      </c>
      <c r="M1429" s="36" t="s">
        <v>4097</v>
      </c>
      <c r="N1429" s="36" t="s">
        <v>32</v>
      </c>
    </row>
    <row r="1430">
      <c r="A1430" s="36" t="s">
        <v>4206</v>
      </c>
      <c r="B1430" s="154" t="s">
        <v>4199</v>
      </c>
      <c r="C1430" s="36" t="s">
        <v>1666</v>
      </c>
      <c r="D1430" s="36" t="s">
        <v>695</v>
      </c>
      <c r="E1430" s="36" t="s">
        <v>695</v>
      </c>
      <c r="F1430" s="154" t="s">
        <v>1768</v>
      </c>
      <c r="G1430" s="36" t="s">
        <v>28</v>
      </c>
      <c r="H1430" s="36" t="s">
        <v>1655</v>
      </c>
      <c r="I1430" s="36" t="s">
        <v>1656</v>
      </c>
      <c r="J1430" s="36" t="s">
        <v>1656</v>
      </c>
      <c r="K1430" s="36" t="s">
        <v>1866</v>
      </c>
      <c r="L1430" s="36" t="s">
        <v>4097</v>
      </c>
      <c r="M1430" s="36" t="s">
        <v>4097</v>
      </c>
      <c r="N1430" s="36" t="s">
        <v>32</v>
      </c>
    </row>
    <row r="1431">
      <c r="A1431" s="36" t="s">
        <v>4207</v>
      </c>
      <c r="B1431" s="154" t="s">
        <v>4199</v>
      </c>
      <c r="C1431" s="36" t="s">
        <v>1666</v>
      </c>
      <c r="D1431" s="36" t="s">
        <v>124</v>
      </c>
      <c r="E1431" s="36" t="s">
        <v>124</v>
      </c>
      <c r="F1431" s="154" t="s">
        <v>4208</v>
      </c>
      <c r="G1431" s="36" t="s">
        <v>28</v>
      </c>
      <c r="H1431" s="36" t="s">
        <v>1655</v>
      </c>
      <c r="I1431" s="36" t="s">
        <v>1656</v>
      </c>
      <c r="J1431" s="36" t="s">
        <v>1656</v>
      </c>
      <c r="K1431" s="36" t="s">
        <v>1869</v>
      </c>
      <c r="L1431" s="36" t="s">
        <v>4097</v>
      </c>
      <c r="M1431" s="36" t="s">
        <v>4097</v>
      </c>
      <c r="N1431" s="36" t="s">
        <v>32</v>
      </c>
    </row>
    <row r="1432">
      <c r="A1432" s="36" t="s">
        <v>4209</v>
      </c>
      <c r="B1432" s="154" t="s">
        <v>4210</v>
      </c>
      <c r="C1432" s="36" t="s">
        <v>1653</v>
      </c>
      <c r="D1432" s="36" t="s">
        <v>905</v>
      </c>
      <c r="E1432" s="36" t="s">
        <v>39</v>
      </c>
      <c r="F1432" s="154" t="s">
        <v>4211</v>
      </c>
      <c r="G1432" s="36" t="s">
        <v>32</v>
      </c>
      <c r="H1432" s="36" t="s">
        <v>1655</v>
      </c>
      <c r="I1432" s="36" t="s">
        <v>1656</v>
      </c>
      <c r="J1432" s="36" t="s">
        <v>1656</v>
      </c>
      <c r="K1432" s="36" t="s">
        <v>1657</v>
      </c>
      <c r="L1432" s="36" t="s">
        <v>4212</v>
      </c>
      <c r="M1432" s="36" t="s">
        <v>4212</v>
      </c>
      <c r="N1432" s="36" t="s">
        <v>32</v>
      </c>
    </row>
    <row r="1433">
      <c r="A1433" s="36" t="s">
        <v>4213</v>
      </c>
      <c r="B1433" s="154" t="s">
        <v>4210</v>
      </c>
      <c r="C1433" s="36" t="s">
        <v>1666</v>
      </c>
      <c r="D1433" s="36" t="s">
        <v>921</v>
      </c>
      <c r="E1433" s="36" t="s">
        <v>921</v>
      </c>
      <c r="F1433" s="154" t="s">
        <v>3180</v>
      </c>
      <c r="G1433" s="36" t="s">
        <v>28</v>
      </c>
      <c r="H1433" s="36" t="s">
        <v>1655</v>
      </c>
      <c r="I1433" s="36" t="s">
        <v>1656</v>
      </c>
      <c r="J1433" s="36" t="s">
        <v>1656</v>
      </c>
      <c r="K1433" s="36" t="s">
        <v>1924</v>
      </c>
      <c r="L1433" s="36" t="s">
        <v>4214</v>
      </c>
      <c r="M1433" s="36" t="s">
        <v>4214</v>
      </c>
      <c r="N1433" s="36" t="s">
        <v>32</v>
      </c>
    </row>
    <row r="1434">
      <c r="A1434" s="36" t="s">
        <v>4215</v>
      </c>
      <c r="B1434" s="154" t="s">
        <v>4210</v>
      </c>
      <c r="C1434" s="36" t="s">
        <v>1666</v>
      </c>
      <c r="D1434" s="36" t="s">
        <v>922</v>
      </c>
      <c r="E1434" s="36" t="s">
        <v>922</v>
      </c>
      <c r="F1434" s="154" t="s">
        <v>4216</v>
      </c>
      <c r="G1434" s="36" t="s">
        <v>28</v>
      </c>
      <c r="H1434" s="36" t="s">
        <v>1655</v>
      </c>
      <c r="I1434" s="36" t="s">
        <v>1656</v>
      </c>
      <c r="J1434" s="36" t="s">
        <v>1656</v>
      </c>
      <c r="K1434" s="36" t="s">
        <v>1668</v>
      </c>
      <c r="L1434" s="36" t="s">
        <v>4214</v>
      </c>
      <c r="M1434" s="36" t="s">
        <v>4214</v>
      </c>
      <c r="N1434" s="36" t="s">
        <v>32</v>
      </c>
    </row>
    <row r="1435">
      <c r="A1435" s="36" t="s">
        <v>4217</v>
      </c>
      <c r="B1435" s="154" t="s">
        <v>4210</v>
      </c>
      <c r="C1435" s="36" t="s">
        <v>1666</v>
      </c>
      <c r="D1435" s="36" t="s">
        <v>925</v>
      </c>
      <c r="E1435" s="36" t="s">
        <v>925</v>
      </c>
      <c r="F1435" s="154" t="s">
        <v>4218</v>
      </c>
      <c r="G1435" s="36" t="s">
        <v>28</v>
      </c>
      <c r="H1435" s="36" t="s">
        <v>1655</v>
      </c>
      <c r="I1435" s="36" t="s">
        <v>1656</v>
      </c>
      <c r="J1435" s="36" t="s">
        <v>1656</v>
      </c>
      <c r="K1435" s="36" t="s">
        <v>1672</v>
      </c>
      <c r="L1435" s="36" t="s">
        <v>4214</v>
      </c>
      <c r="M1435" s="36" t="s">
        <v>4214</v>
      </c>
      <c r="N1435" s="36" t="s">
        <v>32</v>
      </c>
    </row>
    <row r="1436">
      <c r="A1436" s="36" t="s">
        <v>4219</v>
      </c>
      <c r="B1436" s="154" t="s">
        <v>4220</v>
      </c>
      <c r="C1436" s="36" t="s">
        <v>1666</v>
      </c>
      <c r="D1436" s="36" t="s">
        <v>63</v>
      </c>
      <c r="E1436" s="36" t="s">
        <v>63</v>
      </c>
      <c r="F1436" s="154" t="s">
        <v>4221</v>
      </c>
      <c r="G1436" s="36" t="s">
        <v>28</v>
      </c>
      <c r="H1436" s="36" t="s">
        <v>1655</v>
      </c>
      <c r="I1436" s="36" t="s">
        <v>1656</v>
      </c>
      <c r="J1436" s="36" t="s">
        <v>1656</v>
      </c>
      <c r="K1436" s="36" t="s">
        <v>4196</v>
      </c>
      <c r="L1436" s="36" t="s">
        <v>4214</v>
      </c>
      <c r="M1436" s="36" t="s">
        <v>4214</v>
      </c>
      <c r="N1436" s="36" t="s">
        <v>34</v>
      </c>
    </row>
    <row r="1437">
      <c r="A1437" s="36" t="s">
        <v>4222</v>
      </c>
      <c r="B1437" s="154" t="s">
        <v>4223</v>
      </c>
      <c r="C1437" s="36" t="s">
        <v>1666</v>
      </c>
      <c r="D1437" s="36" t="s">
        <v>923</v>
      </c>
      <c r="E1437" s="36" t="s">
        <v>923</v>
      </c>
      <c r="F1437" s="154" t="s">
        <v>1683</v>
      </c>
      <c r="G1437" s="36" t="s">
        <v>32</v>
      </c>
      <c r="H1437" s="36" t="s">
        <v>1655</v>
      </c>
      <c r="I1437" s="36" t="s">
        <v>1656</v>
      </c>
      <c r="J1437" s="36" t="s">
        <v>1656</v>
      </c>
      <c r="K1437" s="36" t="s">
        <v>1675</v>
      </c>
      <c r="L1437" s="36" t="s">
        <v>4214</v>
      </c>
      <c r="M1437" s="36" t="s">
        <v>4214</v>
      </c>
      <c r="N1437" s="36" t="s">
        <v>32</v>
      </c>
    </row>
    <row r="1438">
      <c r="A1438" s="36" t="s">
        <v>4224</v>
      </c>
      <c r="B1438" s="154" t="s">
        <v>4225</v>
      </c>
      <c r="C1438" s="36" t="s">
        <v>1666</v>
      </c>
      <c r="D1438" s="36" t="s">
        <v>893</v>
      </c>
      <c r="E1438" s="36" t="s">
        <v>893</v>
      </c>
      <c r="F1438" s="154" t="s">
        <v>1694</v>
      </c>
      <c r="G1438" s="36" t="s">
        <v>28</v>
      </c>
      <c r="H1438" s="36" t="s">
        <v>1655</v>
      </c>
      <c r="I1438" s="36" t="s">
        <v>1656</v>
      </c>
      <c r="J1438" s="36" t="s">
        <v>1656</v>
      </c>
      <c r="K1438" s="36" t="s">
        <v>1678</v>
      </c>
      <c r="L1438" s="36" t="s">
        <v>4214</v>
      </c>
      <c r="M1438" s="36" t="s">
        <v>4214</v>
      </c>
      <c r="N1438" s="36" t="s">
        <v>34</v>
      </c>
    </row>
    <row r="1439">
      <c r="A1439" s="36" t="s">
        <v>4226</v>
      </c>
      <c r="B1439" s="154" t="s">
        <v>4225</v>
      </c>
      <c r="C1439" s="36" t="s">
        <v>1666</v>
      </c>
      <c r="D1439" s="36" t="s">
        <v>854</v>
      </c>
      <c r="E1439" s="36" t="s">
        <v>854</v>
      </c>
      <c r="F1439" s="154" t="s">
        <v>2039</v>
      </c>
      <c r="G1439" s="36" t="s">
        <v>28</v>
      </c>
      <c r="H1439" s="36" t="s">
        <v>1655</v>
      </c>
      <c r="I1439" s="36" t="s">
        <v>1656</v>
      </c>
      <c r="J1439" s="36" t="s">
        <v>1656</v>
      </c>
      <c r="K1439" s="36" t="s">
        <v>1681</v>
      </c>
      <c r="L1439" s="36" t="s">
        <v>4214</v>
      </c>
      <c r="M1439" s="36" t="s">
        <v>4214</v>
      </c>
      <c r="N1439" s="36" t="s">
        <v>34</v>
      </c>
    </row>
    <row r="1440">
      <c r="A1440" s="36" t="s">
        <v>4227</v>
      </c>
      <c r="B1440" s="154" t="s">
        <v>4225</v>
      </c>
      <c r="C1440" s="36" t="s">
        <v>1666</v>
      </c>
      <c r="D1440" s="36" t="s">
        <v>299</v>
      </c>
      <c r="E1440" s="36" t="s">
        <v>299</v>
      </c>
      <c r="F1440" s="154" t="s">
        <v>4228</v>
      </c>
      <c r="G1440" s="36" t="s">
        <v>28</v>
      </c>
      <c r="H1440" s="36" t="s">
        <v>1655</v>
      </c>
      <c r="I1440" s="36" t="s">
        <v>1656</v>
      </c>
      <c r="J1440" s="36" t="s">
        <v>1656</v>
      </c>
      <c r="K1440" s="36" t="s">
        <v>1684</v>
      </c>
      <c r="L1440" s="36" t="s">
        <v>4214</v>
      </c>
      <c r="M1440" s="36" t="s">
        <v>4214</v>
      </c>
      <c r="N1440" s="36" t="s">
        <v>34</v>
      </c>
    </row>
    <row r="1441">
      <c r="A1441" s="36" t="s">
        <v>4229</v>
      </c>
      <c r="B1441" s="154" t="s">
        <v>4225</v>
      </c>
      <c r="C1441" s="36" t="s">
        <v>1666</v>
      </c>
      <c r="D1441" s="36" t="s">
        <v>951</v>
      </c>
      <c r="E1441" s="36" t="s">
        <v>951</v>
      </c>
      <c r="F1441" s="154" t="s">
        <v>1980</v>
      </c>
      <c r="G1441" s="36" t="s">
        <v>28</v>
      </c>
      <c r="H1441" s="36" t="s">
        <v>1655</v>
      </c>
      <c r="I1441" s="36" t="s">
        <v>1656</v>
      </c>
      <c r="J1441" s="36" t="s">
        <v>1656</v>
      </c>
      <c r="K1441" s="36" t="s">
        <v>1691</v>
      </c>
      <c r="L1441" s="36" t="s">
        <v>4214</v>
      </c>
      <c r="M1441" s="36" t="s">
        <v>4214</v>
      </c>
      <c r="N1441" s="36" t="s">
        <v>34</v>
      </c>
    </row>
    <row r="1442">
      <c r="A1442" s="36" t="s">
        <v>4230</v>
      </c>
      <c r="B1442" s="154" t="s">
        <v>4225</v>
      </c>
      <c r="C1442" s="36" t="s">
        <v>1666</v>
      </c>
      <c r="D1442" s="36" t="s">
        <v>552</v>
      </c>
      <c r="E1442" s="36" t="s">
        <v>552</v>
      </c>
      <c r="F1442" s="154" t="s">
        <v>2249</v>
      </c>
      <c r="G1442" s="36" t="s">
        <v>28</v>
      </c>
      <c r="H1442" s="36" t="s">
        <v>1655</v>
      </c>
      <c r="I1442" s="36" t="s">
        <v>1656</v>
      </c>
      <c r="J1442" s="36" t="s">
        <v>1656</v>
      </c>
      <c r="K1442" s="36" t="s">
        <v>1695</v>
      </c>
      <c r="L1442" s="36" t="s">
        <v>4214</v>
      </c>
      <c r="M1442" s="36" t="s">
        <v>4214</v>
      </c>
      <c r="N1442" s="36" t="s">
        <v>34</v>
      </c>
    </row>
    <row r="1443">
      <c r="A1443" s="36" t="s">
        <v>4231</v>
      </c>
      <c r="B1443" s="154" t="s">
        <v>4232</v>
      </c>
      <c r="C1443" s="36" t="s">
        <v>1666</v>
      </c>
      <c r="D1443" s="36" t="s">
        <v>64</v>
      </c>
      <c r="E1443" s="36" t="s">
        <v>64</v>
      </c>
      <c r="F1443" s="154" t="s">
        <v>4233</v>
      </c>
      <c r="G1443" s="36" t="s">
        <v>28</v>
      </c>
      <c r="H1443" s="36" t="s">
        <v>1655</v>
      </c>
      <c r="I1443" s="36" t="s">
        <v>1656</v>
      </c>
      <c r="J1443" s="36" t="s">
        <v>1656</v>
      </c>
      <c r="K1443" s="36" t="s">
        <v>1708</v>
      </c>
      <c r="L1443" s="36" t="s">
        <v>4214</v>
      </c>
      <c r="M1443" s="36" t="s">
        <v>4214</v>
      </c>
      <c r="N1443" s="36" t="s">
        <v>32</v>
      </c>
    </row>
    <row r="1444">
      <c r="A1444" s="36" t="s">
        <v>4234</v>
      </c>
      <c r="B1444" s="154" t="s">
        <v>4232</v>
      </c>
      <c r="C1444" s="36" t="s">
        <v>1666</v>
      </c>
      <c r="D1444" s="36" t="s">
        <v>959</v>
      </c>
      <c r="E1444" s="36" t="s">
        <v>959</v>
      </c>
      <c r="F1444" s="154" t="s">
        <v>2006</v>
      </c>
      <c r="G1444" s="36" t="s">
        <v>32</v>
      </c>
      <c r="H1444" s="36" t="s">
        <v>1655</v>
      </c>
      <c r="I1444" s="36" t="s">
        <v>1656</v>
      </c>
      <c r="J1444" s="36" t="s">
        <v>1656</v>
      </c>
      <c r="K1444" s="36" t="s">
        <v>1698</v>
      </c>
      <c r="L1444" s="36" t="s">
        <v>4214</v>
      </c>
      <c r="M1444" s="36" t="s">
        <v>4214</v>
      </c>
      <c r="N1444" s="36" t="s">
        <v>32</v>
      </c>
    </row>
    <row r="1445">
      <c r="A1445" s="36" t="s">
        <v>4235</v>
      </c>
      <c r="B1445" s="154" t="s">
        <v>4236</v>
      </c>
      <c r="C1445" s="36" t="s">
        <v>1666</v>
      </c>
      <c r="D1445" s="36" t="s">
        <v>965</v>
      </c>
      <c r="E1445" s="36" t="s">
        <v>965</v>
      </c>
      <c r="F1445" s="154" t="s">
        <v>3838</v>
      </c>
      <c r="G1445" s="36" t="s">
        <v>32</v>
      </c>
      <c r="H1445" s="36" t="s">
        <v>1655</v>
      </c>
      <c r="I1445" s="36" t="s">
        <v>1656</v>
      </c>
      <c r="J1445" s="36" t="s">
        <v>1656</v>
      </c>
      <c r="K1445" s="36" t="s">
        <v>1701</v>
      </c>
      <c r="L1445" s="36" t="s">
        <v>4214</v>
      </c>
      <c r="M1445" s="36" t="s">
        <v>4214</v>
      </c>
      <c r="N1445" s="36" t="s">
        <v>32</v>
      </c>
    </row>
    <row r="1446">
      <c r="A1446" s="36" t="s">
        <v>4237</v>
      </c>
      <c r="B1446" s="154" t="s">
        <v>4238</v>
      </c>
      <c r="C1446" s="36" t="s">
        <v>1666</v>
      </c>
      <c r="D1446" s="36" t="s">
        <v>109</v>
      </c>
      <c r="E1446" s="36" t="s">
        <v>109</v>
      </c>
      <c r="F1446" s="154" t="s">
        <v>2719</v>
      </c>
      <c r="G1446" s="36" t="s">
        <v>28</v>
      </c>
      <c r="H1446" s="36" t="s">
        <v>1655</v>
      </c>
      <c r="I1446" s="36" t="s">
        <v>1656</v>
      </c>
      <c r="J1446" s="36" t="s">
        <v>1656</v>
      </c>
      <c r="K1446" s="36" t="s">
        <v>1704</v>
      </c>
      <c r="L1446" s="36" t="s">
        <v>4214</v>
      </c>
      <c r="M1446" s="36" t="s">
        <v>4214</v>
      </c>
      <c r="N1446" s="36" t="s">
        <v>32</v>
      </c>
    </row>
    <row r="1447">
      <c r="A1447" s="36" t="s">
        <v>4239</v>
      </c>
      <c r="B1447" s="154" t="s">
        <v>4238</v>
      </c>
      <c r="C1447" s="36" t="s">
        <v>1666</v>
      </c>
      <c r="D1447" s="36" t="s">
        <v>239</v>
      </c>
      <c r="E1447" s="36" t="s">
        <v>239</v>
      </c>
      <c r="F1447" s="154" t="s">
        <v>1832</v>
      </c>
      <c r="G1447" s="36" t="s">
        <v>28</v>
      </c>
      <c r="H1447" s="36" t="s">
        <v>1655</v>
      </c>
      <c r="I1447" s="36" t="s">
        <v>1656</v>
      </c>
      <c r="J1447" s="36" t="s">
        <v>1656</v>
      </c>
      <c r="K1447" s="36" t="s">
        <v>1711</v>
      </c>
      <c r="L1447" s="36" t="s">
        <v>4214</v>
      </c>
      <c r="M1447" s="36" t="s">
        <v>4214</v>
      </c>
      <c r="N1447" s="36" t="s">
        <v>34</v>
      </c>
    </row>
    <row r="1448">
      <c r="A1448" s="36" t="s">
        <v>4240</v>
      </c>
      <c r="B1448" s="154" t="s">
        <v>4241</v>
      </c>
      <c r="C1448" s="36" t="s">
        <v>1666</v>
      </c>
      <c r="D1448" s="36" t="s">
        <v>66</v>
      </c>
      <c r="E1448" s="36" t="s">
        <v>66</v>
      </c>
      <c r="F1448" s="154" t="s">
        <v>4242</v>
      </c>
      <c r="G1448" s="36" t="s">
        <v>28</v>
      </c>
      <c r="H1448" s="36" t="s">
        <v>1655</v>
      </c>
      <c r="I1448" s="36" t="s">
        <v>1656</v>
      </c>
      <c r="J1448" s="36" t="s">
        <v>1656</v>
      </c>
      <c r="K1448" s="36" t="s">
        <v>1721</v>
      </c>
      <c r="L1448" s="36" t="s">
        <v>4214</v>
      </c>
      <c r="M1448" s="36" t="s">
        <v>4214</v>
      </c>
      <c r="N1448" s="36" t="s">
        <v>32</v>
      </c>
    </row>
    <row r="1449">
      <c r="A1449" s="36" t="s">
        <v>4243</v>
      </c>
      <c r="B1449" s="154" t="s">
        <v>4244</v>
      </c>
      <c r="C1449" s="36" t="s">
        <v>1653</v>
      </c>
      <c r="D1449" s="36" t="s">
        <v>906</v>
      </c>
      <c r="E1449" s="36" t="s">
        <v>39</v>
      </c>
      <c r="F1449" s="154" t="s">
        <v>4245</v>
      </c>
      <c r="G1449" s="36" t="s">
        <v>32</v>
      </c>
      <c r="H1449" s="36" t="s">
        <v>1655</v>
      </c>
      <c r="I1449" s="36" t="s">
        <v>1656</v>
      </c>
      <c r="J1449" s="36" t="s">
        <v>1656</v>
      </c>
      <c r="K1449" s="36" t="s">
        <v>1989</v>
      </c>
      <c r="L1449" s="36" t="s">
        <v>4212</v>
      </c>
      <c r="M1449" s="36" t="s">
        <v>4212</v>
      </c>
      <c r="N1449" s="36" t="s">
        <v>32</v>
      </c>
    </row>
    <row r="1450">
      <c r="A1450" s="36" t="s">
        <v>4246</v>
      </c>
      <c r="B1450" s="154" t="s">
        <v>4244</v>
      </c>
      <c r="C1450" s="36" t="s">
        <v>1666</v>
      </c>
      <c r="D1450" s="36" t="s">
        <v>919</v>
      </c>
      <c r="E1450" s="36" t="s">
        <v>919</v>
      </c>
      <c r="F1450" s="154" t="s">
        <v>3480</v>
      </c>
      <c r="G1450" s="36" t="s">
        <v>28</v>
      </c>
      <c r="H1450" s="36" t="s">
        <v>1655</v>
      </c>
      <c r="I1450" s="36" t="s">
        <v>1656</v>
      </c>
      <c r="J1450" s="36" t="s">
        <v>1656</v>
      </c>
      <c r="K1450" s="36" t="s">
        <v>1766</v>
      </c>
      <c r="L1450" s="36" t="s">
        <v>4214</v>
      </c>
      <c r="M1450" s="36" t="s">
        <v>4214</v>
      </c>
      <c r="N1450" s="36" t="s">
        <v>32</v>
      </c>
    </row>
    <row r="1451">
      <c r="A1451" s="36" t="s">
        <v>4247</v>
      </c>
      <c r="B1451" s="154" t="s">
        <v>4244</v>
      </c>
      <c r="C1451" s="36" t="s">
        <v>1666</v>
      </c>
      <c r="D1451" s="36" t="s">
        <v>77</v>
      </c>
      <c r="E1451" s="36" t="s">
        <v>77</v>
      </c>
      <c r="F1451" s="154" t="s">
        <v>1768</v>
      </c>
      <c r="G1451" s="36" t="s">
        <v>34</v>
      </c>
      <c r="H1451" s="36" t="s">
        <v>1655</v>
      </c>
      <c r="I1451" s="36" t="s">
        <v>1656</v>
      </c>
      <c r="J1451" s="36" t="s">
        <v>1656</v>
      </c>
      <c r="K1451" s="36" t="s">
        <v>4248</v>
      </c>
      <c r="L1451" s="36" t="s">
        <v>4214</v>
      </c>
      <c r="M1451" s="36" t="s">
        <v>4214</v>
      </c>
      <c r="N1451" s="36" t="s">
        <v>32</v>
      </c>
    </row>
    <row r="1452">
      <c r="A1452" s="36" t="s">
        <v>4249</v>
      </c>
      <c r="B1452" s="154" t="s">
        <v>4244</v>
      </c>
      <c r="C1452" s="36" t="s">
        <v>1666</v>
      </c>
      <c r="D1452" s="36" t="s">
        <v>981</v>
      </c>
      <c r="E1452" s="36" t="s">
        <v>981</v>
      </c>
      <c r="F1452" s="154" t="s">
        <v>4250</v>
      </c>
      <c r="G1452" s="36" t="s">
        <v>28</v>
      </c>
      <c r="H1452" s="36" t="s">
        <v>1655</v>
      </c>
      <c r="I1452" s="36" t="s">
        <v>1656</v>
      </c>
      <c r="J1452" s="36" t="s">
        <v>1656</v>
      </c>
      <c r="K1452" s="36" t="s">
        <v>1715</v>
      </c>
      <c r="L1452" s="36" t="s">
        <v>4214</v>
      </c>
      <c r="M1452" s="36" t="s">
        <v>4214</v>
      </c>
      <c r="N1452" s="36" t="s">
        <v>32</v>
      </c>
    </row>
    <row r="1453">
      <c r="A1453" s="36" t="s">
        <v>4251</v>
      </c>
      <c r="B1453" s="154" t="s">
        <v>4244</v>
      </c>
      <c r="C1453" s="36" t="s">
        <v>1666</v>
      </c>
      <c r="D1453" s="36" t="s">
        <v>986</v>
      </c>
      <c r="E1453" s="36" t="s">
        <v>986</v>
      </c>
      <c r="F1453" s="154" t="s">
        <v>4252</v>
      </c>
      <c r="G1453" s="36" t="s">
        <v>32</v>
      </c>
      <c r="H1453" s="36" t="s">
        <v>1655</v>
      </c>
      <c r="I1453" s="36" t="s">
        <v>1656</v>
      </c>
      <c r="J1453" s="36" t="s">
        <v>1656</v>
      </c>
      <c r="K1453" s="36" t="s">
        <v>1717</v>
      </c>
      <c r="L1453" s="36" t="s">
        <v>4214</v>
      </c>
      <c r="M1453" s="36" t="s">
        <v>4214</v>
      </c>
      <c r="N1453" s="36" t="s">
        <v>32</v>
      </c>
    </row>
    <row r="1454">
      <c r="A1454" s="36" t="s">
        <v>4253</v>
      </c>
      <c r="B1454" s="154" t="s">
        <v>4244</v>
      </c>
      <c r="C1454" s="36" t="s">
        <v>1666</v>
      </c>
      <c r="D1454" s="36" t="s">
        <v>121</v>
      </c>
      <c r="E1454" s="36" t="s">
        <v>121</v>
      </c>
      <c r="F1454" s="154" t="s">
        <v>4254</v>
      </c>
      <c r="G1454" s="36" t="s">
        <v>28</v>
      </c>
      <c r="H1454" s="36" t="s">
        <v>1655</v>
      </c>
      <c r="I1454" s="36" t="s">
        <v>1656</v>
      </c>
      <c r="J1454" s="36" t="s">
        <v>1656</v>
      </c>
      <c r="K1454" s="36" t="s">
        <v>1724</v>
      </c>
      <c r="L1454" s="36" t="s">
        <v>4214</v>
      </c>
      <c r="M1454" s="36" t="s">
        <v>4214</v>
      </c>
      <c r="N1454" s="36" t="s">
        <v>32</v>
      </c>
    </row>
    <row r="1455">
      <c r="A1455" s="36" t="s">
        <v>4255</v>
      </c>
      <c r="B1455" s="154" t="s">
        <v>4244</v>
      </c>
      <c r="C1455" s="36" t="s">
        <v>1666</v>
      </c>
      <c r="D1455" s="36" t="s">
        <v>346</v>
      </c>
      <c r="E1455" s="36" t="s">
        <v>346</v>
      </c>
      <c r="F1455" s="154" t="s">
        <v>4256</v>
      </c>
      <c r="G1455" s="36" t="s">
        <v>32</v>
      </c>
      <c r="H1455" s="36" t="s">
        <v>1655</v>
      </c>
      <c r="I1455" s="36" t="s">
        <v>1656</v>
      </c>
      <c r="J1455" s="36" t="s">
        <v>1656</v>
      </c>
      <c r="K1455" s="36" t="s">
        <v>1727</v>
      </c>
      <c r="L1455" s="36" t="s">
        <v>4214</v>
      </c>
      <c r="M1455" s="36" t="s">
        <v>4214</v>
      </c>
      <c r="N1455" s="36" t="s">
        <v>32</v>
      </c>
    </row>
    <row r="1456">
      <c r="A1456" s="36" t="s">
        <v>4257</v>
      </c>
      <c r="B1456" s="154" t="s">
        <v>4244</v>
      </c>
      <c r="C1456" s="36" t="s">
        <v>1666</v>
      </c>
      <c r="D1456" s="36" t="s">
        <v>978</v>
      </c>
      <c r="E1456" s="36" t="s">
        <v>978</v>
      </c>
      <c r="F1456" s="154" t="s">
        <v>3151</v>
      </c>
      <c r="G1456" s="36" t="s">
        <v>32</v>
      </c>
      <c r="H1456" s="36" t="s">
        <v>1655</v>
      </c>
      <c r="I1456" s="36" t="s">
        <v>1656</v>
      </c>
      <c r="J1456" s="36" t="s">
        <v>1656</v>
      </c>
      <c r="K1456" s="36" t="s">
        <v>1730</v>
      </c>
      <c r="L1456" s="36" t="s">
        <v>4214</v>
      </c>
      <c r="M1456" s="36" t="s">
        <v>4214</v>
      </c>
      <c r="N1456" s="36" t="s">
        <v>32</v>
      </c>
    </row>
    <row r="1457">
      <c r="A1457" s="36" t="s">
        <v>4258</v>
      </c>
      <c r="B1457" s="154" t="s">
        <v>4244</v>
      </c>
      <c r="C1457" s="36" t="s">
        <v>1666</v>
      </c>
      <c r="D1457" s="36" t="s">
        <v>989</v>
      </c>
      <c r="E1457" s="36" t="s">
        <v>989</v>
      </c>
      <c r="F1457" s="154" t="s">
        <v>1683</v>
      </c>
      <c r="G1457" s="36" t="s">
        <v>32</v>
      </c>
      <c r="H1457" s="36" t="s">
        <v>1655</v>
      </c>
      <c r="I1457" s="36" t="s">
        <v>1656</v>
      </c>
      <c r="J1457" s="36" t="s">
        <v>1656</v>
      </c>
      <c r="K1457" s="36" t="s">
        <v>1732</v>
      </c>
      <c r="L1457" s="36" t="s">
        <v>4214</v>
      </c>
      <c r="M1457" s="36" t="s">
        <v>4214</v>
      </c>
      <c r="N1457" s="36" t="s">
        <v>32</v>
      </c>
    </row>
    <row r="1458">
      <c r="A1458" s="36" t="s">
        <v>4259</v>
      </c>
      <c r="B1458" s="154" t="s">
        <v>4244</v>
      </c>
      <c r="C1458" s="36" t="s">
        <v>1666</v>
      </c>
      <c r="D1458" s="36" t="s">
        <v>511</v>
      </c>
      <c r="E1458" s="36" t="s">
        <v>511</v>
      </c>
      <c r="F1458" s="154" t="s">
        <v>4260</v>
      </c>
      <c r="G1458" s="36" t="s">
        <v>28</v>
      </c>
      <c r="H1458" s="36" t="s">
        <v>1655</v>
      </c>
      <c r="I1458" s="36" t="s">
        <v>1656</v>
      </c>
      <c r="J1458" s="36" t="s">
        <v>1656</v>
      </c>
      <c r="K1458" s="36" t="s">
        <v>1736</v>
      </c>
      <c r="L1458" s="36" t="s">
        <v>4214</v>
      </c>
      <c r="M1458" s="36" t="s">
        <v>4214</v>
      </c>
      <c r="N1458" s="36" t="s">
        <v>32</v>
      </c>
    </row>
    <row r="1459">
      <c r="A1459" s="36" t="s">
        <v>4261</v>
      </c>
      <c r="B1459" s="154" t="s">
        <v>4244</v>
      </c>
      <c r="C1459" s="36" t="s">
        <v>1666</v>
      </c>
      <c r="D1459" s="36" t="s">
        <v>502</v>
      </c>
      <c r="E1459" s="36" t="s">
        <v>502</v>
      </c>
      <c r="F1459" s="154" t="s">
        <v>4262</v>
      </c>
      <c r="G1459" s="36" t="s">
        <v>32</v>
      </c>
      <c r="H1459" s="36" t="s">
        <v>1655</v>
      </c>
      <c r="I1459" s="36" t="s">
        <v>1656</v>
      </c>
      <c r="J1459" s="36" t="s">
        <v>1656</v>
      </c>
      <c r="K1459" s="36" t="s">
        <v>1739</v>
      </c>
      <c r="L1459" s="36" t="s">
        <v>4214</v>
      </c>
      <c r="M1459" s="36" t="s">
        <v>4214</v>
      </c>
      <c r="N1459" s="36" t="s">
        <v>32</v>
      </c>
    </row>
    <row r="1460">
      <c r="A1460" s="36" t="s">
        <v>4263</v>
      </c>
      <c r="B1460" s="154" t="s">
        <v>4264</v>
      </c>
      <c r="C1460" s="36" t="s">
        <v>1666</v>
      </c>
      <c r="D1460" s="36" t="s">
        <v>209</v>
      </c>
      <c r="E1460" s="36" t="s">
        <v>209</v>
      </c>
      <c r="F1460" s="154" t="s">
        <v>1768</v>
      </c>
      <c r="G1460" s="36" t="s">
        <v>28</v>
      </c>
      <c r="H1460" s="36" t="s">
        <v>1655</v>
      </c>
      <c r="I1460" s="36" t="s">
        <v>1656</v>
      </c>
      <c r="J1460" s="36" t="s">
        <v>1656</v>
      </c>
      <c r="K1460" s="36" t="s">
        <v>1742</v>
      </c>
      <c r="L1460" s="36" t="s">
        <v>4214</v>
      </c>
      <c r="M1460" s="36" t="s">
        <v>4214</v>
      </c>
      <c r="N1460" s="36" t="s">
        <v>34</v>
      </c>
    </row>
    <row r="1461">
      <c r="A1461" s="36" t="s">
        <v>4265</v>
      </c>
      <c r="B1461" s="154" t="s">
        <v>4264</v>
      </c>
      <c r="C1461" s="36" t="s">
        <v>1666</v>
      </c>
      <c r="D1461" s="36" t="s">
        <v>1013</v>
      </c>
      <c r="E1461" s="36" t="s">
        <v>1013</v>
      </c>
      <c r="F1461" s="154" t="s">
        <v>1768</v>
      </c>
      <c r="G1461" s="36" t="s">
        <v>28</v>
      </c>
      <c r="H1461" s="36" t="s">
        <v>1655</v>
      </c>
      <c r="I1461" s="36" t="s">
        <v>1656</v>
      </c>
      <c r="J1461" s="36" t="s">
        <v>1656</v>
      </c>
      <c r="K1461" s="36" t="s">
        <v>1745</v>
      </c>
      <c r="L1461" s="36" t="s">
        <v>4214</v>
      </c>
      <c r="M1461" s="36" t="s">
        <v>4214</v>
      </c>
      <c r="N1461" s="36" t="s">
        <v>34</v>
      </c>
    </row>
    <row r="1462">
      <c r="A1462" s="36" t="s">
        <v>4266</v>
      </c>
      <c r="B1462" s="154" t="s">
        <v>4267</v>
      </c>
      <c r="C1462" s="36" t="s">
        <v>1666</v>
      </c>
      <c r="D1462" s="36" t="s">
        <v>92</v>
      </c>
      <c r="E1462" s="36" t="s">
        <v>92</v>
      </c>
      <c r="F1462" s="154" t="s">
        <v>1810</v>
      </c>
      <c r="G1462" s="36" t="s">
        <v>32</v>
      </c>
      <c r="H1462" s="36" t="s">
        <v>1655</v>
      </c>
      <c r="I1462" s="36" t="s">
        <v>1656</v>
      </c>
      <c r="J1462" s="36" t="s">
        <v>1656</v>
      </c>
      <c r="K1462" s="36" t="s">
        <v>1773</v>
      </c>
      <c r="L1462" s="36" t="s">
        <v>4214</v>
      </c>
      <c r="M1462" s="36" t="s">
        <v>4214</v>
      </c>
      <c r="N1462" s="36" t="s">
        <v>32</v>
      </c>
    </row>
    <row r="1463">
      <c r="A1463" s="36" t="s">
        <v>4268</v>
      </c>
      <c r="B1463" s="154" t="s">
        <v>4269</v>
      </c>
      <c r="C1463" s="36" t="s">
        <v>1653</v>
      </c>
      <c r="D1463" s="36" t="s">
        <v>702</v>
      </c>
      <c r="E1463" s="36" t="s">
        <v>39</v>
      </c>
      <c r="F1463" s="154" t="s">
        <v>4270</v>
      </c>
      <c r="G1463" s="36" t="s">
        <v>32</v>
      </c>
      <c r="H1463" s="36" t="s">
        <v>1655</v>
      </c>
      <c r="I1463" s="36" t="s">
        <v>1656</v>
      </c>
      <c r="J1463" s="36" t="s">
        <v>1656</v>
      </c>
      <c r="K1463" s="36" t="s">
        <v>1749</v>
      </c>
      <c r="L1463" s="36" t="s">
        <v>4212</v>
      </c>
      <c r="M1463" s="36" t="s">
        <v>4212</v>
      </c>
      <c r="N1463" s="36" t="s">
        <v>32</v>
      </c>
    </row>
    <row r="1464">
      <c r="A1464" s="36" t="s">
        <v>4271</v>
      </c>
      <c r="B1464" s="154" t="s">
        <v>4269</v>
      </c>
      <c r="C1464" s="36" t="s">
        <v>1666</v>
      </c>
      <c r="D1464" s="36" t="s">
        <v>78</v>
      </c>
      <c r="E1464" s="36" t="s">
        <v>78</v>
      </c>
      <c r="F1464" s="154" t="s">
        <v>1810</v>
      </c>
      <c r="G1464" s="36" t="s">
        <v>28</v>
      </c>
      <c r="H1464" s="36" t="s">
        <v>1655</v>
      </c>
      <c r="I1464" s="36" t="s">
        <v>1656</v>
      </c>
      <c r="J1464" s="36" t="s">
        <v>1656</v>
      </c>
      <c r="K1464" s="36" t="s">
        <v>1769</v>
      </c>
      <c r="L1464" s="36" t="s">
        <v>4214</v>
      </c>
      <c r="M1464" s="36" t="s">
        <v>4214</v>
      </c>
      <c r="N1464" s="36" t="s">
        <v>32</v>
      </c>
    </row>
    <row r="1465">
      <c r="A1465" s="36" t="s">
        <v>4272</v>
      </c>
      <c r="B1465" s="154" t="s">
        <v>4273</v>
      </c>
      <c r="C1465" s="36" t="s">
        <v>1666</v>
      </c>
      <c r="D1465" s="36" t="s">
        <v>959</v>
      </c>
      <c r="E1465" s="36" t="s">
        <v>959</v>
      </c>
      <c r="F1465" s="154" t="s">
        <v>1686</v>
      </c>
      <c r="G1465" s="36" t="s">
        <v>32</v>
      </c>
      <c r="H1465" s="36" t="s">
        <v>1655</v>
      </c>
      <c r="I1465" s="36" t="s">
        <v>1656</v>
      </c>
      <c r="J1465" s="36" t="s">
        <v>1656</v>
      </c>
      <c r="K1465" s="36" t="s">
        <v>1776</v>
      </c>
      <c r="L1465" s="36" t="s">
        <v>4214</v>
      </c>
      <c r="M1465" s="36" t="s">
        <v>4214</v>
      </c>
      <c r="N1465" s="36" t="s">
        <v>32</v>
      </c>
    </row>
    <row r="1466">
      <c r="A1466" s="36" t="s">
        <v>4274</v>
      </c>
      <c r="B1466" s="154" t="s">
        <v>4273</v>
      </c>
      <c r="C1466" s="36" t="s">
        <v>1666</v>
      </c>
      <c r="D1466" s="36" t="s">
        <v>1020</v>
      </c>
      <c r="E1466" s="36" t="s">
        <v>1020</v>
      </c>
      <c r="F1466" s="154" t="s">
        <v>2728</v>
      </c>
      <c r="G1466" s="36" t="s">
        <v>28</v>
      </c>
      <c r="H1466" s="36" t="s">
        <v>1655</v>
      </c>
      <c r="I1466" s="36" t="s">
        <v>1656</v>
      </c>
      <c r="J1466" s="36" t="s">
        <v>1656</v>
      </c>
      <c r="K1466" s="36" t="s">
        <v>1779</v>
      </c>
      <c r="L1466" s="36" t="s">
        <v>4214</v>
      </c>
      <c r="M1466" s="36" t="s">
        <v>4214</v>
      </c>
      <c r="N1466" s="36" t="s">
        <v>34</v>
      </c>
    </row>
    <row r="1467">
      <c r="A1467" s="36" t="s">
        <v>4275</v>
      </c>
      <c r="B1467" s="154" t="s">
        <v>4273</v>
      </c>
      <c r="C1467" s="36" t="s">
        <v>1666</v>
      </c>
      <c r="D1467" s="36" t="s">
        <v>299</v>
      </c>
      <c r="E1467" s="36" t="s">
        <v>299</v>
      </c>
      <c r="F1467" s="154" t="s">
        <v>1723</v>
      </c>
      <c r="G1467" s="36" t="s">
        <v>28</v>
      </c>
      <c r="H1467" s="36" t="s">
        <v>1655</v>
      </c>
      <c r="I1467" s="36" t="s">
        <v>1656</v>
      </c>
      <c r="J1467" s="36" t="s">
        <v>1656</v>
      </c>
      <c r="K1467" s="36" t="s">
        <v>1782</v>
      </c>
      <c r="L1467" s="36" t="s">
        <v>4214</v>
      </c>
      <c r="M1467" s="36" t="s">
        <v>4214</v>
      </c>
      <c r="N1467" s="36" t="s">
        <v>34</v>
      </c>
    </row>
    <row r="1468">
      <c r="A1468" s="36" t="s">
        <v>4276</v>
      </c>
      <c r="B1468" s="154" t="s">
        <v>4273</v>
      </c>
      <c r="C1468" s="36" t="s">
        <v>1666</v>
      </c>
      <c r="D1468" s="36" t="s">
        <v>1029</v>
      </c>
      <c r="E1468" s="36" t="s">
        <v>1029</v>
      </c>
      <c r="F1468" s="154" t="s">
        <v>1816</v>
      </c>
      <c r="G1468" s="36" t="s">
        <v>28</v>
      </c>
      <c r="H1468" s="36" t="s">
        <v>1655</v>
      </c>
      <c r="I1468" s="36" t="s">
        <v>1656</v>
      </c>
      <c r="J1468" s="36" t="s">
        <v>1656</v>
      </c>
      <c r="K1468" s="36" t="s">
        <v>1784</v>
      </c>
      <c r="L1468" s="36" t="s">
        <v>4214</v>
      </c>
      <c r="M1468" s="36" t="s">
        <v>4214</v>
      </c>
      <c r="N1468" s="36" t="s">
        <v>34</v>
      </c>
    </row>
    <row r="1469">
      <c r="A1469" s="36" t="s">
        <v>4277</v>
      </c>
      <c r="B1469" s="154" t="s">
        <v>4278</v>
      </c>
      <c r="C1469" s="36" t="s">
        <v>1666</v>
      </c>
      <c r="D1469" s="36" t="s">
        <v>959</v>
      </c>
      <c r="E1469" s="36" t="s">
        <v>959</v>
      </c>
      <c r="F1469" s="154" t="s">
        <v>2391</v>
      </c>
      <c r="G1469" s="36" t="s">
        <v>32</v>
      </c>
      <c r="H1469" s="36" t="s">
        <v>1655</v>
      </c>
      <c r="I1469" s="36" t="s">
        <v>1656</v>
      </c>
      <c r="J1469" s="36" t="s">
        <v>1656</v>
      </c>
      <c r="K1469" s="36" t="s">
        <v>1787</v>
      </c>
      <c r="L1469" s="36" t="s">
        <v>4214</v>
      </c>
      <c r="M1469" s="36" t="s">
        <v>4214</v>
      </c>
      <c r="N1469" s="36" t="s">
        <v>32</v>
      </c>
    </row>
    <row r="1470">
      <c r="A1470" s="36" t="s">
        <v>4279</v>
      </c>
      <c r="B1470" s="154" t="s">
        <v>4278</v>
      </c>
      <c r="C1470" s="36" t="s">
        <v>1666</v>
      </c>
      <c r="D1470" s="36" t="s">
        <v>109</v>
      </c>
      <c r="E1470" s="36" t="s">
        <v>109</v>
      </c>
      <c r="F1470" s="154" t="s">
        <v>1959</v>
      </c>
      <c r="G1470" s="36" t="s">
        <v>28</v>
      </c>
      <c r="H1470" s="36" t="s">
        <v>1655</v>
      </c>
      <c r="I1470" s="36" t="s">
        <v>1656</v>
      </c>
      <c r="J1470" s="36" t="s">
        <v>1656</v>
      </c>
      <c r="K1470" s="36" t="s">
        <v>1790</v>
      </c>
      <c r="L1470" s="36" t="s">
        <v>4214</v>
      </c>
      <c r="M1470" s="36" t="s">
        <v>4214</v>
      </c>
      <c r="N1470" s="36" t="s">
        <v>34</v>
      </c>
    </row>
    <row r="1471">
      <c r="A1471" s="36" t="s">
        <v>4280</v>
      </c>
      <c r="B1471" s="154" t="s">
        <v>4278</v>
      </c>
      <c r="C1471" s="36" t="s">
        <v>1666</v>
      </c>
      <c r="D1471" s="36" t="s">
        <v>669</v>
      </c>
      <c r="E1471" s="36" t="s">
        <v>669</v>
      </c>
      <c r="F1471" s="154" t="s">
        <v>1959</v>
      </c>
      <c r="G1471" s="36" t="s">
        <v>28</v>
      </c>
      <c r="H1471" s="36" t="s">
        <v>1655</v>
      </c>
      <c r="I1471" s="36" t="s">
        <v>1656</v>
      </c>
      <c r="J1471" s="36" t="s">
        <v>1656</v>
      </c>
      <c r="K1471" s="36" t="s">
        <v>1793</v>
      </c>
      <c r="L1471" s="36" t="s">
        <v>4214</v>
      </c>
      <c r="M1471" s="36" t="s">
        <v>4214</v>
      </c>
      <c r="N1471" s="36" t="s">
        <v>34</v>
      </c>
    </row>
    <row r="1472">
      <c r="A1472" s="36" t="s">
        <v>4281</v>
      </c>
      <c r="B1472" s="154" t="s">
        <v>4282</v>
      </c>
      <c r="C1472" s="36" t="s">
        <v>1666</v>
      </c>
      <c r="D1472" s="36" t="s">
        <v>959</v>
      </c>
      <c r="E1472" s="36" t="s">
        <v>959</v>
      </c>
      <c r="F1472" s="154" t="s">
        <v>2325</v>
      </c>
      <c r="G1472" s="36" t="s">
        <v>32</v>
      </c>
      <c r="H1472" s="36" t="s">
        <v>1655</v>
      </c>
      <c r="I1472" s="36" t="s">
        <v>1656</v>
      </c>
      <c r="J1472" s="36" t="s">
        <v>1656</v>
      </c>
      <c r="K1472" s="36" t="s">
        <v>1796</v>
      </c>
      <c r="L1472" s="36" t="s">
        <v>4214</v>
      </c>
      <c r="M1472" s="36" t="s">
        <v>4214</v>
      </c>
      <c r="N1472" s="36" t="s">
        <v>32</v>
      </c>
    </row>
    <row r="1473">
      <c r="A1473" s="36" t="s">
        <v>4283</v>
      </c>
      <c r="B1473" s="154" t="s">
        <v>4282</v>
      </c>
      <c r="C1473" s="36" t="s">
        <v>1666</v>
      </c>
      <c r="D1473" s="36" t="s">
        <v>235</v>
      </c>
      <c r="E1473" s="36" t="s">
        <v>235</v>
      </c>
      <c r="F1473" s="154" t="s">
        <v>2522</v>
      </c>
      <c r="G1473" s="36" t="s">
        <v>28</v>
      </c>
      <c r="H1473" s="36" t="s">
        <v>1655</v>
      </c>
      <c r="I1473" s="36" t="s">
        <v>1656</v>
      </c>
      <c r="J1473" s="36" t="s">
        <v>1656</v>
      </c>
      <c r="K1473" s="36" t="s">
        <v>1800</v>
      </c>
      <c r="L1473" s="36" t="s">
        <v>4214</v>
      </c>
      <c r="M1473" s="36" t="s">
        <v>4214</v>
      </c>
      <c r="N1473" s="36" t="s">
        <v>32</v>
      </c>
    </row>
    <row r="1474">
      <c r="A1474" s="36" t="s">
        <v>4284</v>
      </c>
      <c r="B1474" s="154" t="s">
        <v>4285</v>
      </c>
      <c r="C1474" s="36" t="s">
        <v>1666</v>
      </c>
      <c r="D1474" s="36" t="s">
        <v>959</v>
      </c>
      <c r="E1474" s="36" t="s">
        <v>959</v>
      </c>
      <c r="F1474" s="154" t="s">
        <v>4013</v>
      </c>
      <c r="G1474" s="36" t="s">
        <v>32</v>
      </c>
      <c r="H1474" s="36" t="s">
        <v>1655</v>
      </c>
      <c r="I1474" s="36" t="s">
        <v>1656</v>
      </c>
      <c r="J1474" s="36" t="s">
        <v>1656</v>
      </c>
      <c r="K1474" s="36" t="s">
        <v>1803</v>
      </c>
      <c r="L1474" s="36" t="s">
        <v>4214</v>
      </c>
      <c r="M1474" s="36" t="s">
        <v>4214</v>
      </c>
      <c r="N1474" s="36" t="s">
        <v>32</v>
      </c>
    </row>
    <row r="1475">
      <c r="A1475" s="36" t="s">
        <v>4286</v>
      </c>
      <c r="B1475" s="154" t="s">
        <v>4285</v>
      </c>
      <c r="C1475" s="36" t="s">
        <v>1666</v>
      </c>
      <c r="D1475" s="36" t="s">
        <v>1058</v>
      </c>
      <c r="E1475" s="36" t="s">
        <v>1058</v>
      </c>
      <c r="F1475" s="154" t="s">
        <v>4287</v>
      </c>
      <c r="G1475" s="36" t="s">
        <v>28</v>
      </c>
      <c r="H1475" s="36" t="s">
        <v>1655</v>
      </c>
      <c r="I1475" s="36" t="s">
        <v>1656</v>
      </c>
      <c r="J1475" s="36" t="s">
        <v>1656</v>
      </c>
      <c r="K1475" s="36" t="s">
        <v>1807</v>
      </c>
      <c r="L1475" s="36" t="s">
        <v>4214</v>
      </c>
      <c r="M1475" s="36" t="s">
        <v>4214</v>
      </c>
      <c r="N1475" s="36" t="s">
        <v>34</v>
      </c>
    </row>
    <row r="1476">
      <c r="A1476" s="36" t="s">
        <v>4288</v>
      </c>
      <c r="B1476" s="154" t="s">
        <v>4285</v>
      </c>
      <c r="C1476" s="36" t="s">
        <v>1666</v>
      </c>
      <c r="D1476" s="36" t="s">
        <v>495</v>
      </c>
      <c r="E1476" s="36" t="s">
        <v>495</v>
      </c>
      <c r="F1476" s="154" t="s">
        <v>1806</v>
      </c>
      <c r="G1476" s="36" t="s">
        <v>28</v>
      </c>
      <c r="H1476" s="36" t="s">
        <v>1655</v>
      </c>
      <c r="I1476" s="36" t="s">
        <v>1656</v>
      </c>
      <c r="J1476" s="36" t="s">
        <v>1656</v>
      </c>
      <c r="K1476" s="36" t="s">
        <v>1814</v>
      </c>
      <c r="L1476" s="36" t="s">
        <v>4214</v>
      </c>
      <c r="M1476" s="36" t="s">
        <v>4214</v>
      </c>
      <c r="N1476" s="36" t="s">
        <v>34</v>
      </c>
    </row>
    <row r="1477">
      <c r="A1477" s="36" t="s">
        <v>4289</v>
      </c>
      <c r="B1477" s="154" t="s">
        <v>4290</v>
      </c>
      <c r="C1477" s="36" t="s">
        <v>1666</v>
      </c>
      <c r="D1477" s="36" t="s">
        <v>1072</v>
      </c>
      <c r="E1477" s="36" t="s">
        <v>1072</v>
      </c>
      <c r="F1477" s="154" t="s">
        <v>1816</v>
      </c>
      <c r="G1477" s="36" t="s">
        <v>28</v>
      </c>
      <c r="H1477" s="36" t="s">
        <v>1655</v>
      </c>
      <c r="I1477" s="36" t="s">
        <v>1656</v>
      </c>
      <c r="J1477" s="36" t="s">
        <v>1656</v>
      </c>
      <c r="K1477" s="36" t="s">
        <v>1817</v>
      </c>
      <c r="L1477" s="36" t="s">
        <v>4214</v>
      </c>
      <c r="M1477" s="36" t="s">
        <v>4214</v>
      </c>
      <c r="N1477" s="36" t="s">
        <v>32</v>
      </c>
    </row>
    <row r="1478">
      <c r="A1478" s="36" t="s">
        <v>4291</v>
      </c>
      <c r="B1478" s="154" t="s">
        <v>4292</v>
      </c>
      <c r="C1478" s="36" t="s">
        <v>1653</v>
      </c>
      <c r="D1478" s="36" t="s">
        <v>911</v>
      </c>
      <c r="E1478" s="36" t="s">
        <v>39</v>
      </c>
      <c r="F1478" s="154" t="s">
        <v>2325</v>
      </c>
      <c r="G1478" s="36" t="s">
        <v>32</v>
      </c>
      <c r="H1478" s="36" t="s">
        <v>1655</v>
      </c>
      <c r="I1478" s="36" t="s">
        <v>1656</v>
      </c>
      <c r="J1478" s="36" t="s">
        <v>1656</v>
      </c>
      <c r="K1478" s="36" t="s">
        <v>1978</v>
      </c>
      <c r="L1478" s="36" t="s">
        <v>4212</v>
      </c>
      <c r="M1478" s="36" t="s">
        <v>4212</v>
      </c>
      <c r="N1478" s="36" t="s">
        <v>32</v>
      </c>
    </row>
    <row r="1479">
      <c r="A1479" s="36" t="s">
        <v>4293</v>
      </c>
      <c r="B1479" s="154" t="s">
        <v>4292</v>
      </c>
      <c r="C1479" s="36" t="s">
        <v>1666</v>
      </c>
      <c r="D1479" s="36" t="s">
        <v>714</v>
      </c>
      <c r="E1479" s="36" t="s">
        <v>714</v>
      </c>
      <c r="F1479" s="154" t="s">
        <v>1799</v>
      </c>
      <c r="G1479" s="36" t="s">
        <v>32</v>
      </c>
      <c r="H1479" s="36" t="s">
        <v>1655</v>
      </c>
      <c r="I1479" s="36" t="s">
        <v>1656</v>
      </c>
      <c r="J1479" s="36" t="s">
        <v>1656</v>
      </c>
      <c r="K1479" s="36" t="s">
        <v>1811</v>
      </c>
      <c r="L1479" s="36" t="s">
        <v>4214</v>
      </c>
      <c r="M1479" s="36" t="s">
        <v>4214</v>
      </c>
      <c r="N1479" s="36" t="s">
        <v>32</v>
      </c>
    </row>
    <row r="1480">
      <c r="A1480" s="36" t="s">
        <v>4294</v>
      </c>
      <c r="B1480" s="154" t="s">
        <v>4295</v>
      </c>
      <c r="C1480" s="36" t="s">
        <v>1666</v>
      </c>
      <c r="D1480" s="36" t="s">
        <v>1079</v>
      </c>
      <c r="E1480" s="36" t="s">
        <v>1079</v>
      </c>
      <c r="F1480" s="154" t="s">
        <v>4296</v>
      </c>
      <c r="G1480" s="36" t="s">
        <v>28</v>
      </c>
      <c r="H1480" s="36" t="s">
        <v>1655</v>
      </c>
      <c r="I1480" s="36" t="s">
        <v>1656</v>
      </c>
      <c r="J1480" s="36" t="s">
        <v>1656</v>
      </c>
      <c r="K1480" s="36" t="s">
        <v>1820</v>
      </c>
      <c r="L1480" s="36" t="s">
        <v>4214</v>
      </c>
      <c r="M1480" s="36" t="s">
        <v>4214</v>
      </c>
      <c r="N1480" s="36" t="s">
        <v>34</v>
      </c>
    </row>
    <row r="1481">
      <c r="A1481" s="36" t="s">
        <v>4297</v>
      </c>
      <c r="B1481" s="154" t="s">
        <v>4298</v>
      </c>
      <c r="C1481" s="36" t="s">
        <v>1666</v>
      </c>
      <c r="D1481" s="36" t="s">
        <v>310</v>
      </c>
      <c r="E1481" s="36" t="s">
        <v>310</v>
      </c>
      <c r="F1481" s="154" t="s">
        <v>4037</v>
      </c>
      <c r="G1481" s="36" t="s">
        <v>28</v>
      </c>
      <c r="H1481" s="36" t="s">
        <v>1655</v>
      </c>
      <c r="I1481" s="36" t="s">
        <v>1656</v>
      </c>
      <c r="J1481" s="36" t="s">
        <v>1656</v>
      </c>
      <c r="K1481" s="36" t="s">
        <v>1823</v>
      </c>
      <c r="L1481" s="36" t="s">
        <v>4214</v>
      </c>
      <c r="M1481" s="36" t="s">
        <v>4214</v>
      </c>
      <c r="N1481" s="36" t="s">
        <v>32</v>
      </c>
    </row>
    <row r="1482">
      <c r="A1482" s="36" t="s">
        <v>4299</v>
      </c>
      <c r="B1482" s="154" t="s">
        <v>4298</v>
      </c>
      <c r="C1482" s="36" t="s">
        <v>1666</v>
      </c>
      <c r="D1482" s="36" t="s">
        <v>109</v>
      </c>
      <c r="E1482" s="36" t="s">
        <v>109</v>
      </c>
      <c r="F1482" s="154" t="s">
        <v>2163</v>
      </c>
      <c r="G1482" s="36" t="s">
        <v>28</v>
      </c>
      <c r="H1482" s="36" t="s">
        <v>1655</v>
      </c>
      <c r="I1482" s="36" t="s">
        <v>1656</v>
      </c>
      <c r="J1482" s="36" t="s">
        <v>1656</v>
      </c>
      <c r="K1482" s="36" t="s">
        <v>1826</v>
      </c>
      <c r="L1482" s="36" t="s">
        <v>4214</v>
      </c>
      <c r="M1482" s="36" t="s">
        <v>4214</v>
      </c>
      <c r="N1482" s="36" t="s">
        <v>34</v>
      </c>
    </row>
    <row r="1483">
      <c r="A1483" s="36" t="s">
        <v>4300</v>
      </c>
      <c r="B1483" s="154" t="s">
        <v>4298</v>
      </c>
      <c r="C1483" s="36" t="s">
        <v>1666</v>
      </c>
      <c r="D1483" s="36" t="s">
        <v>1088</v>
      </c>
      <c r="E1483" s="36" t="s">
        <v>1088</v>
      </c>
      <c r="F1483" s="154" t="s">
        <v>1899</v>
      </c>
      <c r="G1483" s="36" t="s">
        <v>28</v>
      </c>
      <c r="H1483" s="36" t="s">
        <v>1655</v>
      </c>
      <c r="I1483" s="36" t="s">
        <v>1656</v>
      </c>
      <c r="J1483" s="36" t="s">
        <v>1656</v>
      </c>
      <c r="K1483" s="36" t="s">
        <v>1830</v>
      </c>
      <c r="L1483" s="36" t="s">
        <v>4214</v>
      </c>
      <c r="M1483" s="36" t="s">
        <v>4214</v>
      </c>
      <c r="N1483" s="36" t="s">
        <v>34</v>
      </c>
    </row>
    <row r="1484">
      <c r="A1484" s="36" t="s">
        <v>4301</v>
      </c>
      <c r="B1484" s="154" t="s">
        <v>4302</v>
      </c>
      <c r="C1484" s="36" t="s">
        <v>1666</v>
      </c>
      <c r="D1484" s="36" t="s">
        <v>235</v>
      </c>
      <c r="E1484" s="36" t="s">
        <v>235</v>
      </c>
      <c r="F1484" s="154" t="s">
        <v>2522</v>
      </c>
      <c r="G1484" s="36" t="s">
        <v>28</v>
      </c>
      <c r="H1484" s="36" t="s">
        <v>1655</v>
      </c>
      <c r="I1484" s="36" t="s">
        <v>1656</v>
      </c>
      <c r="J1484" s="36" t="s">
        <v>1656</v>
      </c>
      <c r="K1484" s="36" t="s">
        <v>1833</v>
      </c>
      <c r="L1484" s="36" t="s">
        <v>4214</v>
      </c>
      <c r="M1484" s="36" t="s">
        <v>4214</v>
      </c>
      <c r="N1484" s="36" t="s">
        <v>34</v>
      </c>
    </row>
    <row r="1485">
      <c r="A1485" s="36" t="s">
        <v>4303</v>
      </c>
      <c r="B1485" s="154" t="s">
        <v>4304</v>
      </c>
      <c r="C1485" s="36" t="s">
        <v>1666</v>
      </c>
      <c r="D1485" s="36" t="s">
        <v>81</v>
      </c>
      <c r="E1485" s="36" t="s">
        <v>81</v>
      </c>
      <c r="F1485" s="154" t="s">
        <v>4305</v>
      </c>
      <c r="G1485" s="36" t="s">
        <v>28</v>
      </c>
      <c r="H1485" s="36" t="s">
        <v>1655</v>
      </c>
      <c r="I1485" s="36" t="s">
        <v>1656</v>
      </c>
      <c r="J1485" s="36" t="s">
        <v>1656</v>
      </c>
      <c r="K1485" s="36" t="s">
        <v>1891</v>
      </c>
      <c r="L1485" s="36" t="s">
        <v>4214</v>
      </c>
      <c r="M1485" s="36" t="s">
        <v>4214</v>
      </c>
      <c r="N1485" s="36" t="s">
        <v>32</v>
      </c>
    </row>
    <row r="1486">
      <c r="A1486" s="36" t="s">
        <v>4306</v>
      </c>
      <c r="B1486" s="154" t="s">
        <v>4304</v>
      </c>
      <c r="C1486" s="36" t="s">
        <v>1666</v>
      </c>
      <c r="D1486" s="36" t="s">
        <v>83</v>
      </c>
      <c r="E1486" s="36" t="s">
        <v>83</v>
      </c>
      <c r="F1486" s="154" t="s">
        <v>4307</v>
      </c>
      <c r="G1486" s="36" t="s">
        <v>28</v>
      </c>
      <c r="H1486" s="36" t="s">
        <v>1655</v>
      </c>
      <c r="I1486" s="36" t="s">
        <v>1656</v>
      </c>
      <c r="J1486" s="36" t="s">
        <v>1656</v>
      </c>
      <c r="K1486" s="36" t="s">
        <v>1921</v>
      </c>
      <c r="L1486" s="36" t="s">
        <v>4214</v>
      </c>
      <c r="M1486" s="36" t="s">
        <v>4214</v>
      </c>
      <c r="N1486" s="36" t="s">
        <v>32</v>
      </c>
    </row>
    <row r="1487">
      <c r="A1487" s="36" t="s">
        <v>4308</v>
      </c>
      <c r="B1487" s="154" t="s">
        <v>4304</v>
      </c>
      <c r="C1487" s="36" t="s">
        <v>1666</v>
      </c>
      <c r="D1487" s="36" t="s">
        <v>84</v>
      </c>
      <c r="E1487" s="36" t="s">
        <v>84</v>
      </c>
      <c r="F1487" s="154" t="s">
        <v>3556</v>
      </c>
      <c r="G1487" s="36" t="s">
        <v>32</v>
      </c>
      <c r="H1487" s="36" t="s">
        <v>1655</v>
      </c>
      <c r="I1487" s="36" t="s">
        <v>1656</v>
      </c>
      <c r="J1487" s="36" t="s">
        <v>1656</v>
      </c>
      <c r="K1487" s="36" t="s">
        <v>3166</v>
      </c>
      <c r="L1487" s="36" t="s">
        <v>4214</v>
      </c>
      <c r="M1487" s="36" t="s">
        <v>4214</v>
      </c>
      <c r="N1487" s="36" t="s">
        <v>32</v>
      </c>
    </row>
    <row r="1488">
      <c r="A1488" s="36" t="s">
        <v>4309</v>
      </c>
      <c r="B1488" s="154" t="s">
        <v>4304</v>
      </c>
      <c r="C1488" s="36" t="s">
        <v>1666</v>
      </c>
      <c r="D1488" s="36" t="s">
        <v>100</v>
      </c>
      <c r="E1488" s="36" t="s">
        <v>100</v>
      </c>
      <c r="F1488" s="154" t="s">
        <v>1810</v>
      </c>
      <c r="G1488" s="36" t="s">
        <v>32</v>
      </c>
      <c r="H1488" s="36" t="s">
        <v>1655</v>
      </c>
      <c r="I1488" s="36" t="s">
        <v>1656</v>
      </c>
      <c r="J1488" s="36" t="s">
        <v>1656</v>
      </c>
      <c r="K1488" s="36" t="s">
        <v>1836</v>
      </c>
      <c r="L1488" s="36" t="s">
        <v>4214</v>
      </c>
      <c r="M1488" s="36" t="s">
        <v>4214</v>
      </c>
      <c r="N1488" s="36" t="s">
        <v>32</v>
      </c>
    </row>
    <row r="1489">
      <c r="A1489" s="36" t="s">
        <v>4310</v>
      </c>
      <c r="B1489" s="154" t="s">
        <v>4311</v>
      </c>
      <c r="C1489" s="36" t="s">
        <v>1666</v>
      </c>
      <c r="D1489" s="36" t="s">
        <v>1091</v>
      </c>
      <c r="E1489" s="36" t="s">
        <v>1091</v>
      </c>
      <c r="F1489" s="154" t="s">
        <v>1768</v>
      </c>
      <c r="G1489" s="36" t="s">
        <v>32</v>
      </c>
      <c r="H1489" s="36" t="s">
        <v>1655</v>
      </c>
      <c r="I1489" s="36" t="s">
        <v>1656</v>
      </c>
      <c r="J1489" s="36" t="s">
        <v>1656</v>
      </c>
      <c r="K1489" s="36" t="s">
        <v>1839</v>
      </c>
      <c r="L1489" s="36" t="s">
        <v>4214</v>
      </c>
      <c r="M1489" s="36" t="s">
        <v>4214</v>
      </c>
      <c r="N1489" s="36" t="s">
        <v>32</v>
      </c>
    </row>
    <row r="1490">
      <c r="A1490" s="36" t="s">
        <v>4312</v>
      </c>
      <c r="B1490" s="154" t="s">
        <v>4313</v>
      </c>
      <c r="C1490" s="36" t="s">
        <v>1653</v>
      </c>
      <c r="D1490" s="36" t="s">
        <v>43</v>
      </c>
      <c r="E1490" s="36" t="s">
        <v>39</v>
      </c>
      <c r="F1490" s="154" t="s">
        <v>4314</v>
      </c>
      <c r="G1490" s="36" t="s">
        <v>32</v>
      </c>
      <c r="H1490" s="36" t="s">
        <v>1655</v>
      </c>
      <c r="I1490" s="36" t="s">
        <v>1656</v>
      </c>
      <c r="J1490" s="36" t="s">
        <v>1656</v>
      </c>
      <c r="K1490" s="36" t="s">
        <v>1657</v>
      </c>
      <c r="L1490" s="36" t="s">
        <v>4212</v>
      </c>
      <c r="M1490" s="36" t="s">
        <v>4212</v>
      </c>
      <c r="N1490" s="36" t="s">
        <v>32</v>
      </c>
    </row>
    <row r="1491">
      <c r="A1491" s="36" t="s">
        <v>4315</v>
      </c>
      <c r="B1491" s="154" t="s">
        <v>4313</v>
      </c>
      <c r="C1491" s="36" t="s">
        <v>1666</v>
      </c>
      <c r="D1491" s="36" t="s">
        <v>921</v>
      </c>
      <c r="E1491" s="36" t="s">
        <v>921</v>
      </c>
      <c r="F1491" s="154" t="s">
        <v>3180</v>
      </c>
      <c r="G1491" s="36" t="s">
        <v>28</v>
      </c>
      <c r="H1491" s="36" t="s">
        <v>1655</v>
      </c>
      <c r="I1491" s="36" t="s">
        <v>1656</v>
      </c>
      <c r="J1491" s="36" t="s">
        <v>1656</v>
      </c>
      <c r="K1491" s="36" t="s">
        <v>1924</v>
      </c>
      <c r="L1491" s="36" t="s">
        <v>4214</v>
      </c>
      <c r="M1491" s="36" t="s">
        <v>4214</v>
      </c>
      <c r="N1491" s="36" t="s">
        <v>32</v>
      </c>
    </row>
    <row r="1492">
      <c r="A1492" s="36" t="s">
        <v>4316</v>
      </c>
      <c r="B1492" s="154" t="s">
        <v>4313</v>
      </c>
      <c r="C1492" s="36" t="s">
        <v>1666</v>
      </c>
      <c r="D1492" s="36" t="s">
        <v>923</v>
      </c>
      <c r="E1492" s="36" t="s">
        <v>923</v>
      </c>
      <c r="F1492" s="154" t="s">
        <v>1683</v>
      </c>
      <c r="G1492" s="36" t="s">
        <v>32</v>
      </c>
      <c r="H1492" s="36" t="s">
        <v>1655</v>
      </c>
      <c r="I1492" s="36" t="s">
        <v>1656</v>
      </c>
      <c r="J1492" s="36" t="s">
        <v>1656</v>
      </c>
      <c r="K1492" s="36" t="s">
        <v>1668</v>
      </c>
      <c r="L1492" s="36" t="s">
        <v>4214</v>
      </c>
      <c r="M1492" s="36" t="s">
        <v>4214</v>
      </c>
      <c r="N1492" s="36" t="s">
        <v>32</v>
      </c>
    </row>
    <row r="1493">
      <c r="A1493" s="36" t="s">
        <v>4317</v>
      </c>
      <c r="B1493" s="154" t="s">
        <v>4313</v>
      </c>
      <c r="C1493" s="36" t="s">
        <v>1666</v>
      </c>
      <c r="D1493" s="36" t="s">
        <v>926</v>
      </c>
      <c r="E1493" s="36" t="s">
        <v>926</v>
      </c>
      <c r="F1493" s="154" t="s">
        <v>3823</v>
      </c>
      <c r="G1493" s="36" t="s">
        <v>28</v>
      </c>
      <c r="H1493" s="36" t="s">
        <v>1655</v>
      </c>
      <c r="I1493" s="36" t="s">
        <v>1656</v>
      </c>
      <c r="J1493" s="36" t="s">
        <v>1656</v>
      </c>
      <c r="K1493" s="36" t="s">
        <v>1672</v>
      </c>
      <c r="L1493" s="36" t="s">
        <v>4214</v>
      </c>
      <c r="M1493" s="36" t="s">
        <v>4214</v>
      </c>
      <c r="N1493" s="36" t="s">
        <v>34</v>
      </c>
    </row>
    <row r="1494">
      <c r="A1494" s="36" t="s">
        <v>4318</v>
      </c>
      <c r="B1494" s="154" t="s">
        <v>4319</v>
      </c>
      <c r="C1494" s="36" t="s">
        <v>1666</v>
      </c>
      <c r="D1494" s="36" t="s">
        <v>930</v>
      </c>
      <c r="E1494" s="36" t="s">
        <v>930</v>
      </c>
      <c r="F1494" s="154" t="s">
        <v>1816</v>
      </c>
      <c r="G1494" s="36" t="s">
        <v>32</v>
      </c>
      <c r="H1494" s="36" t="s">
        <v>1655</v>
      </c>
      <c r="I1494" s="36" t="s">
        <v>1656</v>
      </c>
      <c r="J1494" s="36" t="s">
        <v>1656</v>
      </c>
      <c r="K1494" s="36" t="s">
        <v>1675</v>
      </c>
      <c r="L1494" s="36" t="s">
        <v>4214</v>
      </c>
      <c r="M1494" s="36" t="s">
        <v>4214</v>
      </c>
      <c r="N1494" s="36" t="s">
        <v>32</v>
      </c>
    </row>
    <row r="1495">
      <c r="A1495" s="36" t="s">
        <v>4320</v>
      </c>
      <c r="B1495" s="154" t="s">
        <v>4321</v>
      </c>
      <c r="C1495" s="36" t="s">
        <v>1666</v>
      </c>
      <c r="D1495" s="36" t="s">
        <v>934</v>
      </c>
      <c r="E1495" s="36" t="s">
        <v>934</v>
      </c>
      <c r="F1495" s="154" t="s">
        <v>1874</v>
      </c>
      <c r="G1495" s="36" t="s">
        <v>34</v>
      </c>
      <c r="H1495" s="36" t="s">
        <v>1655</v>
      </c>
      <c r="I1495" s="36" t="s">
        <v>1656</v>
      </c>
      <c r="J1495" s="36" t="s">
        <v>1656</v>
      </c>
      <c r="K1495" s="36" t="s">
        <v>1678</v>
      </c>
      <c r="L1495" s="36" t="s">
        <v>4214</v>
      </c>
      <c r="M1495" s="36" t="s">
        <v>4214</v>
      </c>
      <c r="N1495" s="36" t="s">
        <v>32</v>
      </c>
    </row>
    <row r="1496">
      <c r="A1496" s="36" t="s">
        <v>4322</v>
      </c>
      <c r="B1496" s="154" t="s">
        <v>4321</v>
      </c>
      <c r="C1496" s="36" t="s">
        <v>1666</v>
      </c>
      <c r="D1496" s="36" t="s">
        <v>936</v>
      </c>
      <c r="E1496" s="36" t="s">
        <v>936</v>
      </c>
      <c r="F1496" s="154" t="s">
        <v>2220</v>
      </c>
      <c r="G1496" s="36" t="s">
        <v>28</v>
      </c>
      <c r="H1496" s="36" t="s">
        <v>1655</v>
      </c>
      <c r="I1496" s="36" t="s">
        <v>1656</v>
      </c>
      <c r="J1496" s="36" t="s">
        <v>1656</v>
      </c>
      <c r="K1496" s="36" t="s">
        <v>1681</v>
      </c>
      <c r="L1496" s="36" t="s">
        <v>4214</v>
      </c>
      <c r="M1496" s="36" t="s">
        <v>4214</v>
      </c>
      <c r="N1496" s="36" t="s">
        <v>34</v>
      </c>
    </row>
    <row r="1497">
      <c r="A1497" s="36" t="s">
        <v>4323</v>
      </c>
      <c r="B1497" s="154" t="s">
        <v>4324</v>
      </c>
      <c r="C1497" s="36" t="s">
        <v>1666</v>
      </c>
      <c r="D1497" s="36" t="s">
        <v>64</v>
      </c>
      <c r="E1497" s="36" t="s">
        <v>64</v>
      </c>
      <c r="F1497" s="154" t="s">
        <v>1707</v>
      </c>
      <c r="G1497" s="36" t="s">
        <v>28</v>
      </c>
      <c r="H1497" s="36" t="s">
        <v>1655</v>
      </c>
      <c r="I1497" s="36" t="s">
        <v>1656</v>
      </c>
      <c r="J1497" s="36" t="s">
        <v>1656</v>
      </c>
      <c r="K1497" s="36" t="s">
        <v>1708</v>
      </c>
      <c r="L1497" s="36" t="s">
        <v>4214</v>
      </c>
      <c r="M1497" s="36" t="s">
        <v>4214</v>
      </c>
      <c r="N1497" s="36" t="s">
        <v>32</v>
      </c>
    </row>
    <row r="1498">
      <c r="A1498" s="36" t="s">
        <v>4325</v>
      </c>
      <c r="B1498" s="154" t="s">
        <v>4324</v>
      </c>
      <c r="C1498" s="36" t="s">
        <v>1666</v>
      </c>
      <c r="D1498" s="36" t="s">
        <v>943</v>
      </c>
      <c r="E1498" s="36" t="s">
        <v>943</v>
      </c>
      <c r="F1498" s="154" t="s">
        <v>1929</v>
      </c>
      <c r="G1498" s="36" t="s">
        <v>32</v>
      </c>
      <c r="H1498" s="36" t="s">
        <v>1655</v>
      </c>
      <c r="I1498" s="36" t="s">
        <v>1656</v>
      </c>
      <c r="J1498" s="36" t="s">
        <v>1656</v>
      </c>
      <c r="K1498" s="36" t="s">
        <v>1684</v>
      </c>
      <c r="L1498" s="36" t="s">
        <v>4214</v>
      </c>
      <c r="M1498" s="36" t="s">
        <v>4214</v>
      </c>
      <c r="N1498" s="36" t="s">
        <v>32</v>
      </c>
    </row>
    <row r="1499">
      <c r="A1499" s="36" t="s">
        <v>4326</v>
      </c>
      <c r="B1499" s="154" t="s">
        <v>4327</v>
      </c>
      <c r="C1499" s="36" t="s">
        <v>1666</v>
      </c>
      <c r="D1499" s="36" t="s">
        <v>100</v>
      </c>
      <c r="E1499" s="36" t="s">
        <v>100</v>
      </c>
      <c r="F1499" s="154" t="s">
        <v>1810</v>
      </c>
      <c r="G1499" s="36" t="s">
        <v>32</v>
      </c>
      <c r="H1499" s="36" t="s">
        <v>1655</v>
      </c>
      <c r="I1499" s="36" t="s">
        <v>1656</v>
      </c>
      <c r="J1499" s="36" t="s">
        <v>1656</v>
      </c>
      <c r="K1499" s="36" t="s">
        <v>1691</v>
      </c>
      <c r="L1499" s="36" t="s">
        <v>4214</v>
      </c>
      <c r="M1499" s="36" t="s">
        <v>4214</v>
      </c>
      <c r="N1499" s="36" t="s">
        <v>32</v>
      </c>
    </row>
    <row r="1500">
      <c r="A1500" s="36" t="s">
        <v>4328</v>
      </c>
      <c r="B1500" s="154" t="s">
        <v>4329</v>
      </c>
      <c r="C1500" s="36" t="s">
        <v>1666</v>
      </c>
      <c r="D1500" s="36" t="s">
        <v>66</v>
      </c>
      <c r="E1500" s="36" t="s">
        <v>66</v>
      </c>
      <c r="F1500" s="154" t="s">
        <v>4330</v>
      </c>
      <c r="G1500" s="36" t="s">
        <v>28</v>
      </c>
      <c r="H1500" s="36" t="s">
        <v>1655</v>
      </c>
      <c r="I1500" s="36" t="s">
        <v>1656</v>
      </c>
      <c r="J1500" s="36" t="s">
        <v>1656</v>
      </c>
      <c r="K1500" s="36" t="s">
        <v>1721</v>
      </c>
      <c r="L1500" s="36" t="s">
        <v>4214</v>
      </c>
      <c r="M1500" s="36" t="s">
        <v>4214</v>
      </c>
      <c r="N1500" s="36" t="s">
        <v>32</v>
      </c>
    </row>
    <row r="1501">
      <c r="A1501" s="36" t="s">
        <v>4331</v>
      </c>
      <c r="B1501" s="154" t="s">
        <v>4329</v>
      </c>
      <c r="C1501" s="36" t="s">
        <v>1666</v>
      </c>
      <c r="D1501" s="36" t="s">
        <v>956</v>
      </c>
      <c r="E1501" s="36" t="s">
        <v>956</v>
      </c>
      <c r="F1501" s="154" t="s">
        <v>2044</v>
      </c>
      <c r="G1501" s="36" t="s">
        <v>28</v>
      </c>
      <c r="H1501" s="36" t="s">
        <v>1655</v>
      </c>
      <c r="I1501" s="36" t="s">
        <v>1656</v>
      </c>
      <c r="J1501" s="36" t="s">
        <v>1656</v>
      </c>
      <c r="K1501" s="36" t="s">
        <v>1695</v>
      </c>
      <c r="L1501" s="36" t="s">
        <v>4214</v>
      </c>
      <c r="M1501" s="36" t="s">
        <v>4214</v>
      </c>
      <c r="N1501" s="36" t="s">
        <v>34</v>
      </c>
    </row>
    <row r="1502">
      <c r="A1502" s="36" t="s">
        <v>4332</v>
      </c>
      <c r="B1502" s="154" t="s">
        <v>4333</v>
      </c>
      <c r="C1502" s="36" t="s">
        <v>1666</v>
      </c>
      <c r="D1502" s="36" t="s">
        <v>960</v>
      </c>
      <c r="E1502" s="36" t="s">
        <v>960</v>
      </c>
      <c r="F1502" s="154" t="s">
        <v>1768</v>
      </c>
      <c r="G1502" s="36" t="s">
        <v>28</v>
      </c>
      <c r="H1502" s="36" t="s">
        <v>1655</v>
      </c>
      <c r="I1502" s="36" t="s">
        <v>1656</v>
      </c>
      <c r="J1502" s="36" t="s">
        <v>1656</v>
      </c>
      <c r="K1502" s="36" t="s">
        <v>1698</v>
      </c>
      <c r="L1502" s="36" t="s">
        <v>4214</v>
      </c>
      <c r="M1502" s="36" t="s">
        <v>4214</v>
      </c>
      <c r="N1502" s="36" t="s">
        <v>32</v>
      </c>
    </row>
    <row r="1503">
      <c r="A1503" s="36" t="s">
        <v>4334</v>
      </c>
      <c r="B1503" s="154" t="s">
        <v>4333</v>
      </c>
      <c r="C1503" s="36" t="s">
        <v>1666</v>
      </c>
      <c r="D1503" s="36" t="s">
        <v>966</v>
      </c>
      <c r="E1503" s="36" t="s">
        <v>966</v>
      </c>
      <c r="F1503" s="154" t="s">
        <v>4335</v>
      </c>
      <c r="G1503" s="36" t="s">
        <v>28</v>
      </c>
      <c r="H1503" s="36" t="s">
        <v>1655</v>
      </c>
      <c r="I1503" s="36" t="s">
        <v>1656</v>
      </c>
      <c r="J1503" s="36" t="s">
        <v>1656</v>
      </c>
      <c r="K1503" s="36" t="s">
        <v>1701</v>
      </c>
      <c r="L1503" s="36" t="s">
        <v>4214</v>
      </c>
      <c r="M1503" s="36" t="s">
        <v>4214</v>
      </c>
      <c r="N1503" s="36" t="s">
        <v>32</v>
      </c>
    </row>
    <row r="1504">
      <c r="A1504" s="36" t="s">
        <v>4336</v>
      </c>
      <c r="B1504" s="154" t="s">
        <v>4333</v>
      </c>
      <c r="C1504" s="36" t="s">
        <v>1666</v>
      </c>
      <c r="D1504" s="36" t="s">
        <v>972</v>
      </c>
      <c r="E1504" s="36" t="s">
        <v>972</v>
      </c>
      <c r="F1504" s="154" t="s">
        <v>2039</v>
      </c>
      <c r="G1504" s="36" t="s">
        <v>32</v>
      </c>
      <c r="H1504" s="36" t="s">
        <v>1655</v>
      </c>
      <c r="I1504" s="36" t="s">
        <v>1656</v>
      </c>
      <c r="J1504" s="36" t="s">
        <v>1656</v>
      </c>
      <c r="K1504" s="36" t="s">
        <v>1704</v>
      </c>
      <c r="L1504" s="36" t="s">
        <v>4214</v>
      </c>
      <c r="M1504" s="36" t="s">
        <v>4214</v>
      </c>
      <c r="N1504" s="36" t="s">
        <v>32</v>
      </c>
    </row>
    <row r="1505">
      <c r="A1505" s="36" t="s">
        <v>4337</v>
      </c>
      <c r="B1505" s="154" t="s">
        <v>4333</v>
      </c>
      <c r="C1505" s="36" t="s">
        <v>1666</v>
      </c>
      <c r="D1505" s="36" t="s">
        <v>689</v>
      </c>
      <c r="E1505" s="36" t="s">
        <v>689</v>
      </c>
      <c r="F1505" s="154" t="s">
        <v>4338</v>
      </c>
      <c r="G1505" s="36" t="s">
        <v>28</v>
      </c>
      <c r="H1505" s="36" t="s">
        <v>1655</v>
      </c>
      <c r="I1505" s="36" t="s">
        <v>1656</v>
      </c>
      <c r="J1505" s="36" t="s">
        <v>1656</v>
      </c>
      <c r="K1505" s="36" t="s">
        <v>1711</v>
      </c>
      <c r="L1505" s="36" t="s">
        <v>4214</v>
      </c>
      <c r="M1505" s="36" t="s">
        <v>4214</v>
      </c>
      <c r="N1505" s="36" t="s">
        <v>34</v>
      </c>
    </row>
    <row r="1506">
      <c r="A1506" s="36" t="s">
        <v>4339</v>
      </c>
      <c r="B1506" s="154" t="s">
        <v>4333</v>
      </c>
      <c r="C1506" s="36" t="s">
        <v>1666</v>
      </c>
      <c r="D1506" s="36" t="s">
        <v>601</v>
      </c>
      <c r="E1506" s="36" t="s">
        <v>601</v>
      </c>
      <c r="F1506" s="154" t="s">
        <v>1810</v>
      </c>
      <c r="G1506" s="36" t="s">
        <v>28</v>
      </c>
      <c r="H1506" s="36" t="s">
        <v>1655</v>
      </c>
      <c r="I1506" s="36" t="s">
        <v>1656</v>
      </c>
      <c r="J1506" s="36" t="s">
        <v>1656</v>
      </c>
      <c r="K1506" s="36" t="s">
        <v>1715</v>
      </c>
      <c r="L1506" s="36" t="s">
        <v>4214</v>
      </c>
      <c r="M1506" s="36" t="s">
        <v>4214</v>
      </c>
      <c r="N1506" s="36" t="s">
        <v>34</v>
      </c>
    </row>
    <row r="1507">
      <c r="A1507" s="36" t="s">
        <v>4340</v>
      </c>
      <c r="B1507" s="154" t="s">
        <v>4341</v>
      </c>
      <c r="C1507" s="36" t="s">
        <v>1653</v>
      </c>
      <c r="D1507" s="36" t="s">
        <v>55</v>
      </c>
      <c r="E1507" s="36" t="s">
        <v>39</v>
      </c>
      <c r="F1507" s="154" t="s">
        <v>4342</v>
      </c>
      <c r="G1507" s="36" t="s">
        <v>32</v>
      </c>
      <c r="H1507" s="36" t="s">
        <v>1655</v>
      </c>
      <c r="I1507" s="36" t="s">
        <v>1656</v>
      </c>
      <c r="J1507" s="36" t="s">
        <v>1656</v>
      </c>
      <c r="K1507" s="36" t="s">
        <v>1989</v>
      </c>
      <c r="L1507" s="36" t="s">
        <v>4212</v>
      </c>
      <c r="M1507" s="36" t="s">
        <v>4212</v>
      </c>
      <c r="N1507" s="36" t="s">
        <v>32</v>
      </c>
    </row>
    <row r="1508">
      <c r="A1508" s="36" t="s">
        <v>4343</v>
      </c>
      <c r="B1508" s="154" t="s">
        <v>4341</v>
      </c>
      <c r="C1508" s="36" t="s">
        <v>1666</v>
      </c>
      <c r="D1508" s="36" t="s">
        <v>71</v>
      </c>
      <c r="E1508" s="36" t="s">
        <v>71</v>
      </c>
      <c r="F1508" s="154" t="s">
        <v>2964</v>
      </c>
      <c r="G1508" s="36" t="s">
        <v>32</v>
      </c>
      <c r="H1508" s="36" t="s">
        <v>1655</v>
      </c>
      <c r="I1508" s="36" t="s">
        <v>1656</v>
      </c>
      <c r="J1508" s="36" t="s">
        <v>1656</v>
      </c>
      <c r="K1508" s="36" t="s">
        <v>1752</v>
      </c>
      <c r="L1508" s="36" t="s">
        <v>4214</v>
      </c>
      <c r="M1508" s="36" t="s">
        <v>4214</v>
      </c>
      <c r="N1508" s="36" t="s">
        <v>32</v>
      </c>
    </row>
    <row r="1509">
      <c r="A1509" s="36" t="s">
        <v>4344</v>
      </c>
      <c r="B1509" s="154" t="s">
        <v>4341</v>
      </c>
      <c r="C1509" s="36" t="s">
        <v>1666</v>
      </c>
      <c r="D1509" s="36" t="s">
        <v>73</v>
      </c>
      <c r="E1509" s="36" t="s">
        <v>73</v>
      </c>
      <c r="F1509" s="154" t="s">
        <v>4345</v>
      </c>
      <c r="G1509" s="36" t="s">
        <v>28</v>
      </c>
      <c r="H1509" s="36" t="s">
        <v>1655</v>
      </c>
      <c r="I1509" s="36" t="s">
        <v>1656</v>
      </c>
      <c r="J1509" s="36" t="s">
        <v>1656</v>
      </c>
      <c r="K1509" s="36" t="s">
        <v>1755</v>
      </c>
      <c r="L1509" s="36" t="s">
        <v>4214</v>
      </c>
      <c r="M1509" s="36" t="s">
        <v>4214</v>
      </c>
      <c r="N1509" s="36" t="s">
        <v>32</v>
      </c>
    </row>
    <row r="1510">
      <c r="A1510" s="36" t="s">
        <v>4346</v>
      </c>
      <c r="B1510" s="154" t="s">
        <v>4341</v>
      </c>
      <c r="C1510" s="36" t="s">
        <v>1666</v>
      </c>
      <c r="D1510" s="36" t="s">
        <v>74</v>
      </c>
      <c r="E1510" s="36" t="s">
        <v>74</v>
      </c>
      <c r="F1510" s="154" t="s">
        <v>2968</v>
      </c>
      <c r="G1510" s="36" t="s">
        <v>32</v>
      </c>
      <c r="H1510" s="36" t="s">
        <v>1655</v>
      </c>
      <c r="I1510" s="36" t="s">
        <v>1656</v>
      </c>
      <c r="J1510" s="36" t="s">
        <v>1656</v>
      </c>
      <c r="K1510" s="36" t="s">
        <v>1757</v>
      </c>
      <c r="L1510" s="36" t="s">
        <v>4214</v>
      </c>
      <c r="M1510" s="36" t="s">
        <v>4214</v>
      </c>
      <c r="N1510" s="36" t="s">
        <v>32</v>
      </c>
    </row>
    <row r="1511">
      <c r="A1511" s="36" t="s">
        <v>4347</v>
      </c>
      <c r="B1511" s="154" t="s">
        <v>4341</v>
      </c>
      <c r="C1511" s="36" t="s">
        <v>1666</v>
      </c>
      <c r="D1511" s="36" t="s">
        <v>75</v>
      </c>
      <c r="E1511" s="36" t="s">
        <v>75</v>
      </c>
      <c r="F1511" s="154" t="s">
        <v>4348</v>
      </c>
      <c r="G1511" s="36" t="s">
        <v>28</v>
      </c>
      <c r="H1511" s="36" t="s">
        <v>1655</v>
      </c>
      <c r="I1511" s="36" t="s">
        <v>1656</v>
      </c>
      <c r="J1511" s="36" t="s">
        <v>1656</v>
      </c>
      <c r="K1511" s="36" t="s">
        <v>1760</v>
      </c>
      <c r="L1511" s="36" t="s">
        <v>4214</v>
      </c>
      <c r="M1511" s="36" t="s">
        <v>4214</v>
      </c>
      <c r="N1511" s="36" t="s">
        <v>32</v>
      </c>
    </row>
    <row r="1512">
      <c r="A1512" s="36" t="s">
        <v>4349</v>
      </c>
      <c r="B1512" s="154" t="s">
        <v>4341</v>
      </c>
      <c r="C1512" s="36" t="s">
        <v>1666</v>
      </c>
      <c r="D1512" s="36" t="s">
        <v>76</v>
      </c>
      <c r="E1512" s="36" t="s">
        <v>76</v>
      </c>
      <c r="F1512" s="154" t="s">
        <v>4350</v>
      </c>
      <c r="G1512" s="36" t="s">
        <v>28</v>
      </c>
      <c r="H1512" s="36" t="s">
        <v>1655</v>
      </c>
      <c r="I1512" s="36" t="s">
        <v>1656</v>
      </c>
      <c r="J1512" s="36" t="s">
        <v>1656</v>
      </c>
      <c r="K1512" s="36" t="s">
        <v>1763</v>
      </c>
      <c r="L1512" s="36" t="s">
        <v>4214</v>
      </c>
      <c r="M1512" s="36" t="s">
        <v>4214</v>
      </c>
      <c r="N1512" s="36" t="s">
        <v>32</v>
      </c>
    </row>
    <row r="1513">
      <c r="A1513" s="36" t="s">
        <v>4351</v>
      </c>
      <c r="B1513" s="154" t="s">
        <v>4341</v>
      </c>
      <c r="C1513" s="36" t="s">
        <v>1666</v>
      </c>
      <c r="D1513" s="36" t="s">
        <v>77</v>
      </c>
      <c r="E1513" s="36" t="s">
        <v>77</v>
      </c>
      <c r="F1513" s="154" t="s">
        <v>1768</v>
      </c>
      <c r="G1513" s="36" t="s">
        <v>34</v>
      </c>
      <c r="H1513" s="36" t="s">
        <v>1655</v>
      </c>
      <c r="I1513" s="36" t="s">
        <v>1656</v>
      </c>
      <c r="J1513" s="36" t="s">
        <v>1656</v>
      </c>
      <c r="K1513" s="36" t="s">
        <v>4248</v>
      </c>
      <c r="L1513" s="36" t="s">
        <v>4214</v>
      </c>
      <c r="M1513" s="36" t="s">
        <v>4214</v>
      </c>
      <c r="N1513" s="36" t="s">
        <v>32</v>
      </c>
    </row>
    <row r="1514">
      <c r="A1514" s="36" t="s">
        <v>4352</v>
      </c>
      <c r="B1514" s="154" t="s">
        <v>4341</v>
      </c>
      <c r="C1514" s="36" t="s">
        <v>1666</v>
      </c>
      <c r="D1514" s="36" t="s">
        <v>978</v>
      </c>
      <c r="E1514" s="36" t="s">
        <v>978</v>
      </c>
      <c r="F1514" s="154" t="s">
        <v>3151</v>
      </c>
      <c r="G1514" s="36" t="s">
        <v>32</v>
      </c>
      <c r="H1514" s="36" t="s">
        <v>1655</v>
      </c>
      <c r="I1514" s="36" t="s">
        <v>1656</v>
      </c>
      <c r="J1514" s="36" t="s">
        <v>1656</v>
      </c>
      <c r="K1514" s="36" t="s">
        <v>1717</v>
      </c>
      <c r="L1514" s="36" t="s">
        <v>4214</v>
      </c>
      <c r="M1514" s="36" t="s">
        <v>4214</v>
      </c>
      <c r="N1514" s="36" t="s">
        <v>32</v>
      </c>
    </row>
    <row r="1515">
      <c r="A1515" s="36" t="s">
        <v>4353</v>
      </c>
      <c r="B1515" s="154" t="s">
        <v>4341</v>
      </c>
      <c r="C1515" s="36" t="s">
        <v>1666</v>
      </c>
      <c r="D1515" s="36" t="s">
        <v>989</v>
      </c>
      <c r="E1515" s="36" t="s">
        <v>989</v>
      </c>
      <c r="F1515" s="154" t="s">
        <v>1683</v>
      </c>
      <c r="G1515" s="36" t="s">
        <v>32</v>
      </c>
      <c r="H1515" s="36" t="s">
        <v>1655</v>
      </c>
      <c r="I1515" s="36" t="s">
        <v>1656</v>
      </c>
      <c r="J1515" s="36" t="s">
        <v>1656</v>
      </c>
      <c r="K1515" s="36" t="s">
        <v>1724</v>
      </c>
      <c r="L1515" s="36" t="s">
        <v>4214</v>
      </c>
      <c r="M1515" s="36" t="s">
        <v>4214</v>
      </c>
      <c r="N1515" s="36" t="s">
        <v>32</v>
      </c>
    </row>
    <row r="1516">
      <c r="A1516" s="36" t="s">
        <v>4354</v>
      </c>
      <c r="B1516" s="154" t="s">
        <v>4341</v>
      </c>
      <c r="C1516" s="36" t="s">
        <v>1666</v>
      </c>
      <c r="D1516" s="36" t="s">
        <v>983</v>
      </c>
      <c r="E1516" s="36" t="s">
        <v>983</v>
      </c>
      <c r="F1516" s="154" t="s">
        <v>4355</v>
      </c>
      <c r="G1516" s="36" t="s">
        <v>32</v>
      </c>
      <c r="H1516" s="36" t="s">
        <v>1655</v>
      </c>
      <c r="I1516" s="36" t="s">
        <v>1656</v>
      </c>
      <c r="J1516" s="36" t="s">
        <v>1656</v>
      </c>
      <c r="K1516" s="36" t="s">
        <v>1727</v>
      </c>
      <c r="L1516" s="36" t="s">
        <v>4214</v>
      </c>
      <c r="M1516" s="36" t="s">
        <v>4214</v>
      </c>
      <c r="N1516" s="36" t="s">
        <v>32</v>
      </c>
    </row>
    <row r="1517">
      <c r="A1517" s="36" t="s">
        <v>4356</v>
      </c>
      <c r="B1517" s="154" t="s">
        <v>4341</v>
      </c>
      <c r="C1517" s="36" t="s">
        <v>1666</v>
      </c>
      <c r="D1517" s="36" t="s">
        <v>226</v>
      </c>
      <c r="E1517" s="36" t="s">
        <v>226</v>
      </c>
      <c r="F1517" s="154" t="s">
        <v>4357</v>
      </c>
      <c r="G1517" s="36" t="s">
        <v>32</v>
      </c>
      <c r="H1517" s="36" t="s">
        <v>1655</v>
      </c>
      <c r="I1517" s="36" t="s">
        <v>1656</v>
      </c>
      <c r="J1517" s="36" t="s">
        <v>1656</v>
      </c>
      <c r="K1517" s="36" t="s">
        <v>1730</v>
      </c>
      <c r="L1517" s="36" t="s">
        <v>4214</v>
      </c>
      <c r="M1517" s="36" t="s">
        <v>4214</v>
      </c>
      <c r="N1517" s="36" t="s">
        <v>32</v>
      </c>
    </row>
    <row r="1518">
      <c r="A1518" s="36" t="s">
        <v>4358</v>
      </c>
      <c r="B1518" s="154" t="s">
        <v>4341</v>
      </c>
      <c r="C1518" s="36" t="s">
        <v>1666</v>
      </c>
      <c r="D1518" s="36" t="s">
        <v>999</v>
      </c>
      <c r="E1518" s="36" t="s">
        <v>999</v>
      </c>
      <c r="F1518" s="154" t="s">
        <v>4359</v>
      </c>
      <c r="G1518" s="36" t="s">
        <v>30</v>
      </c>
      <c r="H1518" s="36" t="s">
        <v>1655</v>
      </c>
      <c r="I1518" s="36" t="s">
        <v>1656</v>
      </c>
      <c r="J1518" s="36" t="s">
        <v>1656</v>
      </c>
      <c r="K1518" s="36" t="s">
        <v>1732</v>
      </c>
      <c r="L1518" s="36" t="s">
        <v>4214</v>
      </c>
      <c r="M1518" s="36" t="s">
        <v>4214</v>
      </c>
      <c r="N1518" s="36" t="s">
        <v>32</v>
      </c>
    </row>
    <row r="1519">
      <c r="A1519" s="36" t="s">
        <v>4360</v>
      </c>
      <c r="B1519" s="154" t="s">
        <v>4341</v>
      </c>
      <c r="C1519" s="36" t="s">
        <v>1666</v>
      </c>
      <c r="D1519" s="36" t="s">
        <v>281</v>
      </c>
      <c r="E1519" s="36" t="s">
        <v>281</v>
      </c>
      <c r="F1519" s="154" t="s">
        <v>4361</v>
      </c>
      <c r="G1519" s="36" t="s">
        <v>34</v>
      </c>
      <c r="H1519" s="36" t="s">
        <v>1655</v>
      </c>
      <c r="I1519" s="36" t="s">
        <v>1656</v>
      </c>
      <c r="J1519" s="36" t="s">
        <v>1656</v>
      </c>
      <c r="K1519" s="36" t="s">
        <v>1736</v>
      </c>
      <c r="L1519" s="36" t="s">
        <v>4214</v>
      </c>
      <c r="M1519" s="36" t="s">
        <v>4214</v>
      </c>
      <c r="N1519" s="36" t="s">
        <v>32</v>
      </c>
    </row>
    <row r="1520">
      <c r="A1520" s="36" t="s">
        <v>4362</v>
      </c>
      <c r="B1520" s="154" t="s">
        <v>4341</v>
      </c>
      <c r="C1520" s="36" t="s">
        <v>1666</v>
      </c>
      <c r="D1520" s="36" t="s">
        <v>220</v>
      </c>
      <c r="E1520" s="36" t="s">
        <v>220</v>
      </c>
      <c r="F1520" s="154" t="s">
        <v>4363</v>
      </c>
      <c r="G1520" s="36" t="s">
        <v>28</v>
      </c>
      <c r="H1520" s="36" t="s">
        <v>1655</v>
      </c>
      <c r="I1520" s="36" t="s">
        <v>1656</v>
      </c>
      <c r="J1520" s="36" t="s">
        <v>1656</v>
      </c>
      <c r="K1520" s="36" t="s">
        <v>1739</v>
      </c>
      <c r="L1520" s="36" t="s">
        <v>4214</v>
      </c>
      <c r="M1520" s="36" t="s">
        <v>4214</v>
      </c>
      <c r="N1520" s="36" t="s">
        <v>32</v>
      </c>
    </row>
    <row r="1521">
      <c r="A1521" s="36" t="s">
        <v>4364</v>
      </c>
      <c r="B1521" s="154" t="s">
        <v>4341</v>
      </c>
      <c r="C1521" s="36" t="s">
        <v>1666</v>
      </c>
      <c r="D1521" s="36" t="s">
        <v>109</v>
      </c>
      <c r="E1521" s="36" t="s">
        <v>109</v>
      </c>
      <c r="F1521" s="154" t="s">
        <v>2163</v>
      </c>
      <c r="G1521" s="36" t="s">
        <v>28</v>
      </c>
      <c r="H1521" s="36" t="s">
        <v>1655</v>
      </c>
      <c r="I1521" s="36" t="s">
        <v>1656</v>
      </c>
      <c r="J1521" s="36" t="s">
        <v>1656</v>
      </c>
      <c r="K1521" s="36" t="s">
        <v>1742</v>
      </c>
      <c r="L1521" s="36" t="s">
        <v>4214</v>
      </c>
      <c r="M1521" s="36" t="s">
        <v>4214</v>
      </c>
      <c r="N1521" s="36" t="s">
        <v>34</v>
      </c>
    </row>
    <row r="1522">
      <c r="A1522" s="36" t="s">
        <v>4365</v>
      </c>
      <c r="B1522" s="154" t="s">
        <v>4366</v>
      </c>
      <c r="C1522" s="36" t="s">
        <v>1666</v>
      </c>
      <c r="D1522" s="36" t="s">
        <v>209</v>
      </c>
      <c r="E1522" s="36" t="s">
        <v>209</v>
      </c>
      <c r="F1522" s="154" t="s">
        <v>2325</v>
      </c>
      <c r="G1522" s="36" t="s">
        <v>28</v>
      </c>
      <c r="H1522" s="36" t="s">
        <v>1655</v>
      </c>
      <c r="I1522" s="36" t="s">
        <v>1656</v>
      </c>
      <c r="J1522" s="36" t="s">
        <v>1656</v>
      </c>
      <c r="K1522" s="36" t="s">
        <v>1745</v>
      </c>
      <c r="L1522" s="36" t="s">
        <v>4214</v>
      </c>
      <c r="M1522" s="36" t="s">
        <v>4214</v>
      </c>
      <c r="N1522" s="36" t="s">
        <v>34</v>
      </c>
    </row>
    <row r="1523">
      <c r="A1523" s="36" t="s">
        <v>4367</v>
      </c>
      <c r="B1523" s="154" t="s">
        <v>4368</v>
      </c>
      <c r="C1523" s="36" t="s">
        <v>1666</v>
      </c>
      <c r="D1523" s="36" t="s">
        <v>100</v>
      </c>
      <c r="E1523" s="36" t="s">
        <v>100</v>
      </c>
      <c r="F1523" s="154" t="s">
        <v>1859</v>
      </c>
      <c r="G1523" s="36" t="s">
        <v>32</v>
      </c>
      <c r="H1523" s="36" t="s">
        <v>1655</v>
      </c>
      <c r="I1523" s="36" t="s">
        <v>1656</v>
      </c>
      <c r="J1523" s="36" t="s">
        <v>1656</v>
      </c>
      <c r="K1523" s="36" t="s">
        <v>1773</v>
      </c>
      <c r="L1523" s="36" t="s">
        <v>4214</v>
      </c>
      <c r="M1523" s="36" t="s">
        <v>4214</v>
      </c>
      <c r="N1523" s="36" t="s">
        <v>32</v>
      </c>
    </row>
    <row r="1524">
      <c r="A1524" s="36" t="s">
        <v>4369</v>
      </c>
      <c r="B1524" s="154" t="s">
        <v>4368</v>
      </c>
      <c r="C1524" s="36" t="s">
        <v>1666</v>
      </c>
      <c r="D1524" s="36" t="s">
        <v>381</v>
      </c>
      <c r="E1524" s="36" t="s">
        <v>381</v>
      </c>
      <c r="F1524" s="154" t="s">
        <v>2517</v>
      </c>
      <c r="G1524" s="36" t="s">
        <v>28</v>
      </c>
      <c r="H1524" s="36" t="s">
        <v>1655</v>
      </c>
      <c r="I1524" s="36" t="s">
        <v>1656</v>
      </c>
      <c r="J1524" s="36" t="s">
        <v>1656</v>
      </c>
      <c r="K1524" s="36" t="s">
        <v>1776</v>
      </c>
      <c r="L1524" s="36" t="s">
        <v>4214</v>
      </c>
      <c r="M1524" s="36" t="s">
        <v>4214</v>
      </c>
      <c r="N1524" s="36" t="s">
        <v>34</v>
      </c>
    </row>
    <row r="1525">
      <c r="A1525" s="36" t="s">
        <v>4370</v>
      </c>
      <c r="B1525" s="154" t="s">
        <v>4371</v>
      </c>
      <c r="C1525" s="36" t="s">
        <v>1666</v>
      </c>
      <c r="D1525" s="36" t="s">
        <v>78</v>
      </c>
      <c r="E1525" s="36" t="s">
        <v>78</v>
      </c>
      <c r="F1525" s="154" t="s">
        <v>1810</v>
      </c>
      <c r="G1525" s="36" t="s">
        <v>28</v>
      </c>
      <c r="H1525" s="36" t="s">
        <v>1655</v>
      </c>
      <c r="I1525" s="36" t="s">
        <v>1656</v>
      </c>
      <c r="J1525" s="36" t="s">
        <v>1656</v>
      </c>
      <c r="K1525" s="36" t="s">
        <v>1769</v>
      </c>
      <c r="L1525" s="36" t="s">
        <v>4214</v>
      </c>
      <c r="M1525" s="36" t="s">
        <v>4214</v>
      </c>
      <c r="N1525" s="36" t="s">
        <v>32</v>
      </c>
    </row>
    <row r="1526">
      <c r="A1526" s="36" t="s">
        <v>4372</v>
      </c>
      <c r="B1526" s="154" t="s">
        <v>4373</v>
      </c>
      <c r="C1526" s="36" t="s">
        <v>1666</v>
      </c>
      <c r="D1526" s="36" t="s">
        <v>1021</v>
      </c>
      <c r="E1526" s="36" t="s">
        <v>1021</v>
      </c>
      <c r="F1526" s="154" t="s">
        <v>1686</v>
      </c>
      <c r="G1526" s="36" t="s">
        <v>32</v>
      </c>
      <c r="H1526" s="36" t="s">
        <v>1655</v>
      </c>
      <c r="I1526" s="36" t="s">
        <v>1656</v>
      </c>
      <c r="J1526" s="36" t="s">
        <v>1656</v>
      </c>
      <c r="K1526" s="36" t="s">
        <v>1779</v>
      </c>
      <c r="L1526" s="36" t="s">
        <v>4214</v>
      </c>
      <c r="M1526" s="36" t="s">
        <v>4214</v>
      </c>
      <c r="N1526" s="36" t="s">
        <v>32</v>
      </c>
    </row>
    <row r="1527">
      <c r="A1527" s="36" t="s">
        <v>4374</v>
      </c>
      <c r="B1527" s="154" t="s">
        <v>4373</v>
      </c>
      <c r="C1527" s="36" t="s">
        <v>1666</v>
      </c>
      <c r="D1527" s="36" t="s">
        <v>1025</v>
      </c>
      <c r="E1527" s="36" t="s">
        <v>1025</v>
      </c>
      <c r="F1527" s="154" t="s">
        <v>1816</v>
      </c>
      <c r="G1527" s="36" t="s">
        <v>28</v>
      </c>
      <c r="H1527" s="36" t="s">
        <v>1655</v>
      </c>
      <c r="I1527" s="36" t="s">
        <v>1656</v>
      </c>
      <c r="J1527" s="36" t="s">
        <v>1656</v>
      </c>
      <c r="K1527" s="36" t="s">
        <v>1782</v>
      </c>
      <c r="L1527" s="36" t="s">
        <v>4214</v>
      </c>
      <c r="M1527" s="36" t="s">
        <v>4214</v>
      </c>
      <c r="N1527" s="36" t="s">
        <v>32</v>
      </c>
    </row>
    <row r="1528">
      <c r="A1528" s="36" t="s">
        <v>4375</v>
      </c>
      <c r="B1528" s="154" t="s">
        <v>4373</v>
      </c>
      <c r="C1528" s="36" t="s">
        <v>1666</v>
      </c>
      <c r="D1528" s="36" t="s">
        <v>1030</v>
      </c>
      <c r="E1528" s="36" t="s">
        <v>1030</v>
      </c>
      <c r="F1528" s="154" t="s">
        <v>1806</v>
      </c>
      <c r="G1528" s="36" t="s">
        <v>28</v>
      </c>
      <c r="H1528" s="36" t="s">
        <v>1655</v>
      </c>
      <c r="I1528" s="36" t="s">
        <v>1656</v>
      </c>
      <c r="J1528" s="36" t="s">
        <v>1656</v>
      </c>
      <c r="K1528" s="36" t="s">
        <v>1784</v>
      </c>
      <c r="L1528" s="36" t="s">
        <v>4214</v>
      </c>
      <c r="M1528" s="36" t="s">
        <v>4214</v>
      </c>
      <c r="N1528" s="36" t="s">
        <v>32</v>
      </c>
    </row>
    <row r="1529">
      <c r="A1529" s="36" t="s">
        <v>4376</v>
      </c>
      <c r="B1529" s="154" t="s">
        <v>4377</v>
      </c>
      <c r="C1529" s="36" t="s">
        <v>1666</v>
      </c>
      <c r="D1529" s="36" t="s">
        <v>712</v>
      </c>
      <c r="E1529" s="36" t="s">
        <v>712</v>
      </c>
      <c r="F1529" s="154" t="s">
        <v>4378</v>
      </c>
      <c r="G1529" s="36" t="s">
        <v>28</v>
      </c>
      <c r="H1529" s="36" t="s">
        <v>1655</v>
      </c>
      <c r="I1529" s="36" t="s">
        <v>1656</v>
      </c>
      <c r="J1529" s="36" t="s">
        <v>1656</v>
      </c>
      <c r="K1529" s="36" t="s">
        <v>1766</v>
      </c>
      <c r="L1529" s="36" t="s">
        <v>4214</v>
      </c>
      <c r="M1529" s="36" t="s">
        <v>4214</v>
      </c>
      <c r="N1529" s="36" t="s">
        <v>32</v>
      </c>
    </row>
    <row r="1530">
      <c r="A1530" s="36" t="s">
        <v>4379</v>
      </c>
      <c r="B1530" s="154" t="s">
        <v>4377</v>
      </c>
      <c r="C1530" s="36" t="s">
        <v>1666</v>
      </c>
      <c r="D1530" s="36" t="s">
        <v>695</v>
      </c>
      <c r="E1530" s="36" t="s">
        <v>695</v>
      </c>
      <c r="F1530" s="154" t="s">
        <v>4380</v>
      </c>
      <c r="G1530" s="36" t="s">
        <v>28</v>
      </c>
      <c r="H1530" s="36" t="s">
        <v>1655</v>
      </c>
      <c r="I1530" s="36" t="s">
        <v>1656</v>
      </c>
      <c r="J1530" s="36" t="s">
        <v>1656</v>
      </c>
      <c r="K1530" s="36" t="s">
        <v>1787</v>
      </c>
      <c r="L1530" s="36" t="s">
        <v>4214</v>
      </c>
      <c r="M1530" s="36" t="s">
        <v>4214</v>
      </c>
      <c r="N1530" s="36" t="s">
        <v>32</v>
      </c>
    </row>
    <row r="1531">
      <c r="A1531" s="36" t="s">
        <v>4381</v>
      </c>
      <c r="B1531" s="154" t="s">
        <v>4377</v>
      </c>
      <c r="C1531" s="36" t="s">
        <v>1666</v>
      </c>
      <c r="D1531" s="36" t="s">
        <v>1040</v>
      </c>
      <c r="E1531" s="36" t="s">
        <v>1040</v>
      </c>
      <c r="F1531" s="154" t="s">
        <v>3062</v>
      </c>
      <c r="G1531" s="36" t="s">
        <v>28</v>
      </c>
      <c r="H1531" s="36" t="s">
        <v>1655</v>
      </c>
      <c r="I1531" s="36" t="s">
        <v>1656</v>
      </c>
      <c r="J1531" s="36" t="s">
        <v>1656</v>
      </c>
      <c r="K1531" s="36" t="s">
        <v>1790</v>
      </c>
      <c r="L1531" s="36" t="s">
        <v>4214</v>
      </c>
      <c r="M1531" s="36" t="s">
        <v>4214</v>
      </c>
      <c r="N1531" s="36" t="s">
        <v>34</v>
      </c>
    </row>
    <row r="1532">
      <c r="A1532" s="36" t="s">
        <v>4382</v>
      </c>
      <c r="B1532" s="154" t="s">
        <v>4383</v>
      </c>
      <c r="C1532" s="36" t="s">
        <v>1666</v>
      </c>
      <c r="D1532" s="36" t="s">
        <v>1026</v>
      </c>
      <c r="E1532" s="36" t="s">
        <v>1026</v>
      </c>
      <c r="F1532" s="154" t="s">
        <v>1729</v>
      </c>
      <c r="G1532" s="36" t="s">
        <v>28</v>
      </c>
      <c r="H1532" s="36" t="s">
        <v>1655</v>
      </c>
      <c r="I1532" s="36" t="s">
        <v>1656</v>
      </c>
      <c r="J1532" s="36" t="s">
        <v>1656</v>
      </c>
      <c r="K1532" s="36" t="s">
        <v>1793</v>
      </c>
      <c r="L1532" s="36" t="s">
        <v>4214</v>
      </c>
      <c r="M1532" s="36" t="s">
        <v>4214</v>
      </c>
      <c r="N1532" s="36" t="s">
        <v>34</v>
      </c>
    </row>
    <row r="1533">
      <c r="A1533" s="36" t="s">
        <v>4384</v>
      </c>
      <c r="B1533" s="154" t="s">
        <v>4383</v>
      </c>
      <c r="C1533" s="36" t="s">
        <v>1666</v>
      </c>
      <c r="D1533" s="36" t="s">
        <v>109</v>
      </c>
      <c r="E1533" s="36" t="s">
        <v>109</v>
      </c>
      <c r="F1533" s="154" t="s">
        <v>1959</v>
      </c>
      <c r="G1533" s="36" t="s">
        <v>28</v>
      </c>
      <c r="H1533" s="36" t="s">
        <v>1655</v>
      </c>
      <c r="I1533" s="36" t="s">
        <v>1656</v>
      </c>
      <c r="J1533" s="36" t="s">
        <v>1656</v>
      </c>
      <c r="K1533" s="36" t="s">
        <v>1796</v>
      </c>
      <c r="L1533" s="36" t="s">
        <v>4214</v>
      </c>
      <c r="M1533" s="36" t="s">
        <v>4214</v>
      </c>
      <c r="N1533" s="36" t="s">
        <v>34</v>
      </c>
    </row>
    <row r="1534">
      <c r="A1534" s="36" t="s">
        <v>4385</v>
      </c>
      <c r="B1534" s="154" t="s">
        <v>4386</v>
      </c>
      <c r="C1534" s="36" t="s">
        <v>1666</v>
      </c>
      <c r="D1534" s="36" t="s">
        <v>299</v>
      </c>
      <c r="E1534" s="36" t="s">
        <v>299</v>
      </c>
      <c r="F1534" s="154" t="s">
        <v>4387</v>
      </c>
      <c r="G1534" s="36" t="s">
        <v>28</v>
      </c>
      <c r="H1534" s="36" t="s">
        <v>1655</v>
      </c>
      <c r="I1534" s="36" t="s">
        <v>1656</v>
      </c>
      <c r="J1534" s="36" t="s">
        <v>1656</v>
      </c>
      <c r="K1534" s="36" t="s">
        <v>1800</v>
      </c>
      <c r="L1534" s="36" t="s">
        <v>4214</v>
      </c>
      <c r="M1534" s="36" t="s">
        <v>4214</v>
      </c>
      <c r="N1534" s="36" t="s">
        <v>32</v>
      </c>
    </row>
    <row r="1535">
      <c r="A1535" s="36" t="s">
        <v>4388</v>
      </c>
      <c r="B1535" s="154" t="s">
        <v>4386</v>
      </c>
      <c r="C1535" s="36" t="s">
        <v>1666</v>
      </c>
      <c r="D1535" s="36" t="s">
        <v>1053</v>
      </c>
      <c r="E1535" s="36" t="s">
        <v>1053</v>
      </c>
      <c r="F1535" s="154" t="s">
        <v>1768</v>
      </c>
      <c r="G1535" s="36" t="s">
        <v>28</v>
      </c>
      <c r="H1535" s="36" t="s">
        <v>1655</v>
      </c>
      <c r="I1535" s="36" t="s">
        <v>1656</v>
      </c>
      <c r="J1535" s="36" t="s">
        <v>1656</v>
      </c>
      <c r="K1535" s="36" t="s">
        <v>1803</v>
      </c>
      <c r="L1535" s="36" t="s">
        <v>4214</v>
      </c>
      <c r="M1535" s="36" t="s">
        <v>4214</v>
      </c>
      <c r="N1535" s="36" t="s">
        <v>32</v>
      </c>
    </row>
    <row r="1536">
      <c r="A1536" s="36" t="s">
        <v>4389</v>
      </c>
      <c r="B1536" s="154" t="s">
        <v>4390</v>
      </c>
      <c r="C1536" s="36" t="s">
        <v>1666</v>
      </c>
      <c r="D1536" s="36" t="s">
        <v>1059</v>
      </c>
      <c r="E1536" s="36" t="s">
        <v>1059</v>
      </c>
      <c r="F1536" s="154" t="s">
        <v>1781</v>
      </c>
      <c r="G1536" s="36" t="s">
        <v>28</v>
      </c>
      <c r="H1536" s="36" t="s">
        <v>1655</v>
      </c>
      <c r="I1536" s="36" t="s">
        <v>1656</v>
      </c>
      <c r="J1536" s="36" t="s">
        <v>1656</v>
      </c>
      <c r="K1536" s="36" t="s">
        <v>1807</v>
      </c>
      <c r="L1536" s="36" t="s">
        <v>4214</v>
      </c>
      <c r="M1536" s="36" t="s">
        <v>4214</v>
      </c>
      <c r="N1536" s="36" t="s">
        <v>34</v>
      </c>
    </row>
    <row r="1537">
      <c r="A1537" s="36" t="s">
        <v>4391</v>
      </c>
      <c r="B1537" s="154" t="s">
        <v>4392</v>
      </c>
      <c r="C1537" s="36" t="s">
        <v>1666</v>
      </c>
      <c r="D1537" s="36" t="s">
        <v>1065</v>
      </c>
      <c r="E1537" s="36" t="s">
        <v>1065</v>
      </c>
      <c r="F1537" s="154" t="s">
        <v>1806</v>
      </c>
      <c r="G1537" s="36" t="s">
        <v>28</v>
      </c>
      <c r="H1537" s="36" t="s">
        <v>1655</v>
      </c>
      <c r="I1537" s="36" t="s">
        <v>1656</v>
      </c>
      <c r="J1537" s="36" t="s">
        <v>1656</v>
      </c>
      <c r="K1537" s="36" t="s">
        <v>1814</v>
      </c>
      <c r="L1537" s="36" t="s">
        <v>4214</v>
      </c>
      <c r="M1537" s="36" t="s">
        <v>4214</v>
      </c>
      <c r="N1537" s="36" t="s">
        <v>32</v>
      </c>
    </row>
    <row r="1538">
      <c r="A1538" s="36" t="s">
        <v>4393</v>
      </c>
      <c r="B1538" s="154" t="s">
        <v>4392</v>
      </c>
      <c r="C1538" s="36" t="s">
        <v>1666</v>
      </c>
      <c r="D1538" s="36" t="s">
        <v>100</v>
      </c>
      <c r="E1538" s="36" t="s">
        <v>100</v>
      </c>
      <c r="F1538" s="154" t="s">
        <v>1810</v>
      </c>
      <c r="G1538" s="36" t="s">
        <v>32</v>
      </c>
      <c r="H1538" s="36" t="s">
        <v>1655</v>
      </c>
      <c r="I1538" s="36" t="s">
        <v>1656</v>
      </c>
      <c r="J1538" s="36" t="s">
        <v>1656</v>
      </c>
      <c r="K1538" s="36" t="s">
        <v>1823</v>
      </c>
      <c r="L1538" s="36" t="s">
        <v>4214</v>
      </c>
      <c r="M1538" s="36" t="s">
        <v>4214</v>
      </c>
      <c r="N1538" s="36" t="s">
        <v>32</v>
      </c>
    </row>
    <row r="1539">
      <c r="A1539" s="36" t="s">
        <v>4394</v>
      </c>
      <c r="B1539" s="154" t="s">
        <v>4395</v>
      </c>
      <c r="C1539" s="36" t="s">
        <v>1666</v>
      </c>
      <c r="D1539" s="36" t="s">
        <v>88</v>
      </c>
      <c r="E1539" s="36" t="s">
        <v>88</v>
      </c>
      <c r="F1539" s="154" t="s">
        <v>2325</v>
      </c>
      <c r="G1539" s="36" t="s">
        <v>32</v>
      </c>
      <c r="H1539" s="36" t="s">
        <v>1655</v>
      </c>
      <c r="I1539" s="36" t="s">
        <v>1656</v>
      </c>
      <c r="J1539" s="36" t="s">
        <v>1656</v>
      </c>
      <c r="K1539" s="36" t="s">
        <v>1817</v>
      </c>
      <c r="L1539" s="36" t="s">
        <v>4214</v>
      </c>
      <c r="M1539" s="36" t="s">
        <v>4214</v>
      </c>
      <c r="N1539" s="36" t="s">
        <v>32</v>
      </c>
    </row>
    <row r="1540">
      <c r="A1540" s="36" t="s">
        <v>4396</v>
      </c>
      <c r="B1540" s="154" t="s">
        <v>4395</v>
      </c>
      <c r="C1540" s="36" t="s">
        <v>1666</v>
      </c>
      <c r="D1540" s="36" t="s">
        <v>100</v>
      </c>
      <c r="E1540" s="36" t="s">
        <v>100</v>
      </c>
      <c r="F1540" s="154" t="s">
        <v>1871</v>
      </c>
      <c r="G1540" s="36" t="s">
        <v>32</v>
      </c>
      <c r="H1540" s="36" t="s">
        <v>1655</v>
      </c>
      <c r="I1540" s="36" t="s">
        <v>1656</v>
      </c>
      <c r="J1540" s="36" t="s">
        <v>1656</v>
      </c>
      <c r="K1540" s="36" t="s">
        <v>1820</v>
      </c>
      <c r="L1540" s="36" t="s">
        <v>4214</v>
      </c>
      <c r="M1540" s="36" t="s">
        <v>4214</v>
      </c>
      <c r="N1540" s="36" t="s">
        <v>32</v>
      </c>
    </row>
    <row r="1541">
      <c r="A1541" s="36" t="s">
        <v>4397</v>
      </c>
      <c r="B1541" s="154" t="s">
        <v>4398</v>
      </c>
      <c r="C1541" s="36" t="s">
        <v>1666</v>
      </c>
      <c r="D1541" s="36" t="s">
        <v>1086</v>
      </c>
      <c r="E1541" s="36" t="s">
        <v>1086</v>
      </c>
      <c r="F1541" s="154" t="s">
        <v>3279</v>
      </c>
      <c r="G1541" s="36" t="s">
        <v>28</v>
      </c>
      <c r="H1541" s="36" t="s">
        <v>1655</v>
      </c>
      <c r="I1541" s="36" t="s">
        <v>1656</v>
      </c>
      <c r="J1541" s="36" t="s">
        <v>1656</v>
      </c>
      <c r="K1541" s="36" t="s">
        <v>1826</v>
      </c>
      <c r="L1541" s="36" t="s">
        <v>4214</v>
      </c>
      <c r="M1541" s="36" t="s">
        <v>4214</v>
      </c>
      <c r="N1541" s="36" t="s">
        <v>34</v>
      </c>
    </row>
    <row r="1542">
      <c r="A1542" s="36" t="s">
        <v>4399</v>
      </c>
      <c r="B1542" s="154" t="s">
        <v>4398</v>
      </c>
      <c r="C1542" s="36" t="s">
        <v>1666</v>
      </c>
      <c r="D1542" s="36" t="s">
        <v>1026</v>
      </c>
      <c r="E1542" s="36" t="s">
        <v>1026</v>
      </c>
      <c r="F1542" s="154" t="s">
        <v>1816</v>
      </c>
      <c r="G1542" s="36" t="s">
        <v>28</v>
      </c>
      <c r="H1542" s="36" t="s">
        <v>1655</v>
      </c>
      <c r="I1542" s="36" t="s">
        <v>1656</v>
      </c>
      <c r="J1542" s="36" t="s">
        <v>1656</v>
      </c>
      <c r="K1542" s="36" t="s">
        <v>1830</v>
      </c>
      <c r="L1542" s="36" t="s">
        <v>4214</v>
      </c>
      <c r="M1542" s="36" t="s">
        <v>4214</v>
      </c>
      <c r="N1542" s="36" t="s">
        <v>34</v>
      </c>
    </row>
    <row r="1543">
      <c r="A1543" s="36" t="s">
        <v>4400</v>
      </c>
      <c r="B1543" s="154" t="s">
        <v>4401</v>
      </c>
      <c r="C1543" s="36" t="s">
        <v>1666</v>
      </c>
      <c r="D1543" s="36" t="s">
        <v>552</v>
      </c>
      <c r="E1543" s="36" t="s">
        <v>552</v>
      </c>
      <c r="F1543" s="154" t="s">
        <v>2049</v>
      </c>
      <c r="G1543" s="36" t="s">
        <v>28</v>
      </c>
      <c r="H1543" s="36" t="s">
        <v>1655</v>
      </c>
      <c r="I1543" s="36" t="s">
        <v>1656</v>
      </c>
      <c r="J1543" s="36" t="s">
        <v>1656</v>
      </c>
      <c r="K1543" s="36" t="s">
        <v>1833</v>
      </c>
      <c r="L1543" s="36" t="s">
        <v>4214</v>
      </c>
      <c r="M1543" s="36" t="s">
        <v>4214</v>
      </c>
      <c r="N1543" s="36" t="s">
        <v>34</v>
      </c>
    </row>
    <row r="1544">
      <c r="A1544" s="36" t="s">
        <v>4402</v>
      </c>
      <c r="B1544" s="154" t="s">
        <v>4401</v>
      </c>
      <c r="C1544" s="36" t="s">
        <v>1666</v>
      </c>
      <c r="D1544" s="36" t="s">
        <v>667</v>
      </c>
      <c r="E1544" s="36" t="s">
        <v>667</v>
      </c>
      <c r="F1544" s="154" t="s">
        <v>2828</v>
      </c>
      <c r="G1544" s="36" t="s">
        <v>28</v>
      </c>
      <c r="H1544" s="36" t="s">
        <v>1655</v>
      </c>
      <c r="I1544" s="36" t="s">
        <v>1656</v>
      </c>
      <c r="J1544" s="36" t="s">
        <v>1656</v>
      </c>
      <c r="K1544" s="36" t="s">
        <v>1836</v>
      </c>
      <c r="L1544" s="36" t="s">
        <v>4214</v>
      </c>
      <c r="M1544" s="36" t="s">
        <v>4214</v>
      </c>
      <c r="N1544" s="36" t="s">
        <v>34</v>
      </c>
    </row>
    <row r="1545">
      <c r="A1545" s="36" t="s">
        <v>4403</v>
      </c>
      <c r="B1545" s="154" t="s">
        <v>4404</v>
      </c>
      <c r="C1545" s="36" t="s">
        <v>1666</v>
      </c>
      <c r="D1545" s="36" t="s">
        <v>63</v>
      </c>
      <c r="E1545" s="36" t="s">
        <v>63</v>
      </c>
      <c r="F1545" s="154" t="s">
        <v>4405</v>
      </c>
      <c r="G1545" s="36" t="s">
        <v>28</v>
      </c>
      <c r="H1545" s="36" t="s">
        <v>1655</v>
      </c>
      <c r="I1545" s="36" t="s">
        <v>1656</v>
      </c>
      <c r="J1545" s="36" t="s">
        <v>1656</v>
      </c>
      <c r="K1545" s="36" t="s">
        <v>4406</v>
      </c>
      <c r="L1545" s="36" t="s">
        <v>4214</v>
      </c>
      <c r="M1545" s="36" t="s">
        <v>4214</v>
      </c>
      <c r="N1545" s="36" t="s">
        <v>34</v>
      </c>
    </row>
    <row r="1546">
      <c r="A1546" s="36" t="s">
        <v>4407</v>
      </c>
      <c r="B1546" s="154" t="s">
        <v>4404</v>
      </c>
      <c r="C1546" s="36" t="s">
        <v>1666</v>
      </c>
      <c r="D1546" s="36" t="s">
        <v>81</v>
      </c>
      <c r="E1546" s="36" t="s">
        <v>81</v>
      </c>
      <c r="F1546" s="154" t="s">
        <v>4305</v>
      </c>
      <c r="G1546" s="36" t="s">
        <v>28</v>
      </c>
      <c r="H1546" s="36" t="s">
        <v>1655</v>
      </c>
      <c r="I1546" s="36" t="s">
        <v>1656</v>
      </c>
      <c r="J1546" s="36" t="s">
        <v>1656</v>
      </c>
      <c r="K1546" s="36" t="s">
        <v>4408</v>
      </c>
      <c r="L1546" s="36" t="s">
        <v>4214</v>
      </c>
      <c r="M1546" s="36" t="s">
        <v>4214</v>
      </c>
      <c r="N1546" s="36" t="s">
        <v>32</v>
      </c>
    </row>
    <row r="1547">
      <c r="A1547" s="36" t="s">
        <v>4409</v>
      </c>
      <c r="B1547" s="154" t="s">
        <v>4404</v>
      </c>
      <c r="C1547" s="36" t="s">
        <v>1666</v>
      </c>
      <c r="D1547" s="36" t="s">
        <v>83</v>
      </c>
      <c r="E1547" s="36" t="s">
        <v>83</v>
      </c>
      <c r="F1547" s="154" t="s">
        <v>4307</v>
      </c>
      <c r="G1547" s="36" t="s">
        <v>28</v>
      </c>
      <c r="H1547" s="36" t="s">
        <v>1655</v>
      </c>
      <c r="I1547" s="36" t="s">
        <v>1656</v>
      </c>
      <c r="J1547" s="36" t="s">
        <v>1656</v>
      </c>
      <c r="K1547" s="36" t="s">
        <v>3032</v>
      </c>
      <c r="L1547" s="36" t="s">
        <v>4214</v>
      </c>
      <c r="M1547" s="36" t="s">
        <v>4214</v>
      </c>
      <c r="N1547" s="36" t="s">
        <v>32</v>
      </c>
    </row>
    <row r="1548">
      <c r="A1548" s="36" t="s">
        <v>4410</v>
      </c>
      <c r="B1548" s="154" t="s">
        <v>4404</v>
      </c>
      <c r="C1548" s="36" t="s">
        <v>1666</v>
      </c>
      <c r="D1548" s="36" t="s">
        <v>84</v>
      </c>
      <c r="E1548" s="36" t="s">
        <v>84</v>
      </c>
      <c r="F1548" s="154" t="s">
        <v>3556</v>
      </c>
      <c r="G1548" s="36" t="s">
        <v>32</v>
      </c>
      <c r="H1548" s="36" t="s">
        <v>1655</v>
      </c>
      <c r="I1548" s="36" t="s">
        <v>1656</v>
      </c>
      <c r="J1548" s="36" t="s">
        <v>1656</v>
      </c>
      <c r="K1548" s="36" t="s">
        <v>3035</v>
      </c>
      <c r="L1548" s="36" t="s">
        <v>4214</v>
      </c>
      <c r="M1548" s="36" t="s">
        <v>4214</v>
      </c>
      <c r="N1548" s="36" t="s">
        <v>32</v>
      </c>
    </row>
    <row r="1549">
      <c r="A1549" s="36" t="s">
        <v>4411</v>
      </c>
      <c r="B1549" s="154" t="s">
        <v>4404</v>
      </c>
      <c r="C1549" s="36" t="s">
        <v>1666</v>
      </c>
      <c r="D1549" s="36" t="s">
        <v>951</v>
      </c>
      <c r="E1549" s="36" t="s">
        <v>951</v>
      </c>
      <c r="F1549" s="154" t="s">
        <v>2546</v>
      </c>
      <c r="G1549" s="36" t="s">
        <v>28</v>
      </c>
      <c r="H1549" s="36" t="s">
        <v>1655</v>
      </c>
      <c r="I1549" s="36" t="s">
        <v>1656</v>
      </c>
      <c r="J1549" s="36" t="s">
        <v>1656</v>
      </c>
      <c r="K1549" s="36" t="s">
        <v>1839</v>
      </c>
      <c r="L1549" s="36" t="s">
        <v>4214</v>
      </c>
      <c r="M1549" s="36" t="s">
        <v>4214</v>
      </c>
      <c r="N1549" s="36" t="s">
        <v>34</v>
      </c>
    </row>
    <row r="1550">
      <c r="A1550" s="36" t="s">
        <v>4412</v>
      </c>
      <c r="B1550" s="154" t="s">
        <v>4404</v>
      </c>
      <c r="C1550" s="36" t="s">
        <v>1666</v>
      </c>
      <c r="D1550" s="36" t="s">
        <v>1092</v>
      </c>
      <c r="E1550" s="36" t="s">
        <v>1092</v>
      </c>
      <c r="F1550" s="154" t="s">
        <v>1816</v>
      </c>
      <c r="G1550" s="36" t="s">
        <v>28</v>
      </c>
      <c r="H1550" s="36" t="s">
        <v>1655</v>
      </c>
      <c r="I1550" s="36" t="s">
        <v>1656</v>
      </c>
      <c r="J1550" s="36" t="s">
        <v>1656</v>
      </c>
      <c r="K1550" s="36" t="s">
        <v>1842</v>
      </c>
      <c r="L1550" s="36" t="s">
        <v>4214</v>
      </c>
      <c r="M1550" s="36" t="s">
        <v>4214</v>
      </c>
      <c r="N1550" s="36" t="s">
        <v>34</v>
      </c>
    </row>
    <row r="1551">
      <c r="A1551" s="36" t="s">
        <v>4413</v>
      </c>
      <c r="B1551" s="154" t="s">
        <v>4414</v>
      </c>
      <c r="C1551" s="36" t="s">
        <v>1653</v>
      </c>
      <c r="D1551" s="36" t="s">
        <v>43</v>
      </c>
      <c r="E1551" s="36" t="s">
        <v>39</v>
      </c>
      <c r="F1551" s="154" t="s">
        <v>4415</v>
      </c>
      <c r="G1551" s="36" t="s">
        <v>32</v>
      </c>
      <c r="H1551" s="36" t="s">
        <v>1655</v>
      </c>
      <c r="I1551" s="36" t="s">
        <v>1656</v>
      </c>
      <c r="J1551" s="36" t="s">
        <v>1656</v>
      </c>
      <c r="K1551" s="36" t="s">
        <v>1657</v>
      </c>
      <c r="L1551" s="36" t="s">
        <v>4212</v>
      </c>
      <c r="M1551" s="36" t="s">
        <v>4212</v>
      </c>
      <c r="N1551" s="36" t="s">
        <v>32</v>
      </c>
    </row>
    <row r="1552">
      <c r="A1552" s="36" t="s">
        <v>4416</v>
      </c>
      <c r="B1552" s="154" t="s">
        <v>4414</v>
      </c>
      <c r="C1552" s="36" t="s">
        <v>1666</v>
      </c>
      <c r="D1552" s="36" t="s">
        <v>85</v>
      </c>
      <c r="E1552" s="36" t="s">
        <v>85</v>
      </c>
      <c r="F1552" s="154" t="s">
        <v>3180</v>
      </c>
      <c r="G1552" s="36" t="s">
        <v>28</v>
      </c>
      <c r="H1552" s="36" t="s">
        <v>1655</v>
      </c>
      <c r="I1552" s="36" t="s">
        <v>1656</v>
      </c>
      <c r="J1552" s="36" t="s">
        <v>1656</v>
      </c>
      <c r="K1552" s="36" t="s">
        <v>3038</v>
      </c>
      <c r="L1552" s="36" t="s">
        <v>4214</v>
      </c>
      <c r="M1552" s="36" t="s">
        <v>4214</v>
      </c>
      <c r="N1552" s="36" t="s">
        <v>32</v>
      </c>
    </row>
    <row r="1553">
      <c r="A1553" s="36" t="s">
        <v>4417</v>
      </c>
      <c r="B1553" s="154" t="s">
        <v>4414</v>
      </c>
      <c r="C1553" s="36" t="s">
        <v>1666</v>
      </c>
      <c r="D1553" s="36" t="s">
        <v>443</v>
      </c>
      <c r="E1553" s="36" t="s">
        <v>443</v>
      </c>
      <c r="F1553" s="154" t="s">
        <v>4418</v>
      </c>
      <c r="G1553" s="36" t="s">
        <v>28</v>
      </c>
      <c r="H1553" s="36" t="s">
        <v>1655</v>
      </c>
      <c r="I1553" s="36" t="s">
        <v>1656</v>
      </c>
      <c r="J1553" s="36" t="s">
        <v>1656</v>
      </c>
      <c r="K1553" s="36" t="s">
        <v>2775</v>
      </c>
      <c r="L1553" s="36" t="s">
        <v>4214</v>
      </c>
      <c r="M1553" s="36" t="s">
        <v>4214</v>
      </c>
      <c r="N1553" s="36" t="s">
        <v>32</v>
      </c>
    </row>
    <row r="1554">
      <c r="A1554" s="36" t="s">
        <v>4419</v>
      </c>
      <c r="B1554" s="154" t="s">
        <v>4414</v>
      </c>
      <c r="C1554" s="36" t="s">
        <v>1666</v>
      </c>
      <c r="D1554" s="36" t="s">
        <v>927</v>
      </c>
      <c r="E1554" s="36" t="s">
        <v>927</v>
      </c>
      <c r="F1554" s="154" t="s">
        <v>4420</v>
      </c>
      <c r="G1554" s="36" t="s">
        <v>28</v>
      </c>
      <c r="H1554" s="36" t="s">
        <v>1655</v>
      </c>
      <c r="I1554" s="36" t="s">
        <v>1656</v>
      </c>
      <c r="J1554" s="36" t="s">
        <v>1656</v>
      </c>
      <c r="K1554" s="36" t="s">
        <v>2779</v>
      </c>
      <c r="L1554" s="36" t="s">
        <v>4214</v>
      </c>
      <c r="M1554" s="36" t="s">
        <v>4214</v>
      </c>
      <c r="N1554" s="36" t="s">
        <v>32</v>
      </c>
    </row>
    <row r="1555">
      <c r="A1555" s="36" t="s">
        <v>4421</v>
      </c>
      <c r="B1555" s="154" t="s">
        <v>4422</v>
      </c>
      <c r="C1555" s="36" t="s">
        <v>1666</v>
      </c>
      <c r="D1555" s="36" t="s">
        <v>931</v>
      </c>
      <c r="E1555" s="36" t="s">
        <v>931</v>
      </c>
      <c r="F1555" s="154" t="s">
        <v>2029</v>
      </c>
      <c r="G1555" s="36" t="s">
        <v>32</v>
      </c>
      <c r="H1555" s="36" t="s">
        <v>1655</v>
      </c>
      <c r="I1555" s="36" t="s">
        <v>1656</v>
      </c>
      <c r="J1555" s="36" t="s">
        <v>1656</v>
      </c>
      <c r="K1555" s="36" t="s">
        <v>1675</v>
      </c>
      <c r="L1555" s="36" t="s">
        <v>4214</v>
      </c>
      <c r="M1555" s="36" t="s">
        <v>4214</v>
      </c>
      <c r="N1555" s="36" t="s">
        <v>32</v>
      </c>
    </row>
    <row r="1556">
      <c r="A1556" s="36" t="s">
        <v>4423</v>
      </c>
      <c r="B1556" s="154" t="s">
        <v>4422</v>
      </c>
      <c r="C1556" s="36" t="s">
        <v>1666</v>
      </c>
      <c r="D1556" s="36" t="s">
        <v>923</v>
      </c>
      <c r="E1556" s="36" t="s">
        <v>923</v>
      </c>
      <c r="F1556" s="154" t="s">
        <v>1683</v>
      </c>
      <c r="G1556" s="36" t="s">
        <v>32</v>
      </c>
      <c r="H1556" s="36" t="s">
        <v>1655</v>
      </c>
      <c r="I1556" s="36" t="s">
        <v>1656</v>
      </c>
      <c r="J1556" s="36" t="s">
        <v>1656</v>
      </c>
      <c r="K1556" s="36" t="s">
        <v>1678</v>
      </c>
      <c r="L1556" s="36" t="s">
        <v>4214</v>
      </c>
      <c r="M1556" s="36" t="s">
        <v>4214</v>
      </c>
      <c r="N1556" s="36" t="s">
        <v>32</v>
      </c>
    </row>
    <row r="1557">
      <c r="A1557" s="36" t="s">
        <v>4424</v>
      </c>
      <c r="B1557" s="154" t="s">
        <v>4425</v>
      </c>
      <c r="C1557" s="36" t="s">
        <v>1666</v>
      </c>
      <c r="D1557" s="36" t="s">
        <v>937</v>
      </c>
      <c r="E1557" s="36" t="s">
        <v>937</v>
      </c>
      <c r="F1557" s="154" t="s">
        <v>2039</v>
      </c>
      <c r="G1557" s="36" t="s">
        <v>28</v>
      </c>
      <c r="H1557" s="36" t="s">
        <v>1655</v>
      </c>
      <c r="I1557" s="36" t="s">
        <v>1656</v>
      </c>
      <c r="J1557" s="36" t="s">
        <v>1656</v>
      </c>
      <c r="K1557" s="36" t="s">
        <v>1681</v>
      </c>
      <c r="L1557" s="36" t="s">
        <v>4214</v>
      </c>
      <c r="M1557" s="36" t="s">
        <v>4214</v>
      </c>
      <c r="N1557" s="36" t="s">
        <v>34</v>
      </c>
    </row>
    <row r="1558">
      <c r="A1558" s="36" t="s">
        <v>4426</v>
      </c>
      <c r="B1558" s="154" t="s">
        <v>4427</v>
      </c>
      <c r="C1558" s="36" t="s">
        <v>1653</v>
      </c>
      <c r="D1558" s="36" t="s">
        <v>169</v>
      </c>
      <c r="E1558" s="36" t="s">
        <v>39</v>
      </c>
      <c r="F1558" s="154" t="s">
        <v>4428</v>
      </c>
      <c r="G1558" s="36" t="s">
        <v>32</v>
      </c>
      <c r="H1558" s="36" t="s">
        <v>1655</v>
      </c>
      <c r="I1558" s="36" t="s">
        <v>1656</v>
      </c>
      <c r="J1558" s="36" t="s">
        <v>1656</v>
      </c>
      <c r="K1558" s="36" t="s">
        <v>1989</v>
      </c>
      <c r="L1558" s="36" t="s">
        <v>4212</v>
      </c>
      <c r="M1558" s="36" t="s">
        <v>4212</v>
      </c>
      <c r="N1558" s="36" t="s">
        <v>32</v>
      </c>
    </row>
    <row r="1559">
      <c r="A1559" s="36" t="s">
        <v>4429</v>
      </c>
      <c r="B1559" s="154" t="s">
        <v>4430</v>
      </c>
      <c r="C1559" s="36" t="s">
        <v>1666</v>
      </c>
      <c r="D1559" s="36" t="s">
        <v>64</v>
      </c>
      <c r="E1559" s="36" t="s">
        <v>64</v>
      </c>
      <c r="F1559" s="154" t="s">
        <v>4431</v>
      </c>
      <c r="G1559" s="36" t="s">
        <v>28</v>
      </c>
      <c r="H1559" s="36" t="s">
        <v>1655</v>
      </c>
      <c r="I1559" s="36" t="s">
        <v>1656</v>
      </c>
      <c r="J1559" s="36" t="s">
        <v>1656</v>
      </c>
      <c r="K1559" s="36" t="s">
        <v>1708</v>
      </c>
      <c r="L1559" s="36" t="s">
        <v>4214</v>
      </c>
      <c r="M1559" s="36" t="s">
        <v>4214</v>
      </c>
      <c r="N1559" s="36" t="s">
        <v>32</v>
      </c>
    </row>
    <row r="1560">
      <c r="A1560" s="36" t="s">
        <v>4432</v>
      </c>
      <c r="B1560" s="154" t="s">
        <v>4430</v>
      </c>
      <c r="C1560" s="36" t="s">
        <v>1666</v>
      </c>
      <c r="D1560" s="36" t="s">
        <v>944</v>
      </c>
      <c r="E1560" s="36" t="s">
        <v>944</v>
      </c>
      <c r="F1560" s="154" t="s">
        <v>1810</v>
      </c>
      <c r="G1560" s="36" t="s">
        <v>28</v>
      </c>
      <c r="H1560" s="36" t="s">
        <v>1655</v>
      </c>
      <c r="I1560" s="36" t="s">
        <v>1656</v>
      </c>
      <c r="J1560" s="36" t="s">
        <v>1656</v>
      </c>
      <c r="K1560" s="36" t="s">
        <v>1684</v>
      </c>
      <c r="L1560" s="36" t="s">
        <v>4214</v>
      </c>
      <c r="M1560" s="36" t="s">
        <v>4214</v>
      </c>
      <c r="N1560" s="36" t="s">
        <v>34</v>
      </c>
    </row>
    <row r="1561">
      <c r="A1561" s="36" t="s">
        <v>4433</v>
      </c>
      <c r="B1561" s="154" t="s">
        <v>4434</v>
      </c>
      <c r="C1561" s="36" t="s">
        <v>1666</v>
      </c>
      <c r="D1561" s="36" t="s">
        <v>66</v>
      </c>
      <c r="E1561" s="36" t="s">
        <v>66</v>
      </c>
      <c r="F1561" s="154" t="s">
        <v>4435</v>
      </c>
      <c r="G1561" s="36" t="s">
        <v>28</v>
      </c>
      <c r="H1561" s="36" t="s">
        <v>1655</v>
      </c>
      <c r="I1561" s="36" t="s">
        <v>1656</v>
      </c>
      <c r="J1561" s="36" t="s">
        <v>1656</v>
      </c>
      <c r="K1561" s="36" t="s">
        <v>1721</v>
      </c>
      <c r="L1561" s="36" t="s">
        <v>4214</v>
      </c>
      <c r="M1561" s="36" t="s">
        <v>4214</v>
      </c>
      <c r="N1561" s="36" t="s">
        <v>32</v>
      </c>
    </row>
    <row r="1562">
      <c r="A1562" s="36" t="s">
        <v>4436</v>
      </c>
      <c r="B1562" s="154" t="s">
        <v>4434</v>
      </c>
      <c r="C1562" s="36" t="s">
        <v>1666</v>
      </c>
      <c r="D1562" s="36" t="s">
        <v>109</v>
      </c>
      <c r="E1562" s="36" t="s">
        <v>109</v>
      </c>
      <c r="F1562" s="154" t="s">
        <v>1959</v>
      </c>
      <c r="G1562" s="36" t="s">
        <v>28</v>
      </c>
      <c r="H1562" s="36" t="s">
        <v>1655</v>
      </c>
      <c r="I1562" s="36" t="s">
        <v>1656</v>
      </c>
      <c r="J1562" s="36" t="s">
        <v>1656</v>
      </c>
      <c r="K1562" s="36" t="s">
        <v>1691</v>
      </c>
      <c r="L1562" s="36" t="s">
        <v>4214</v>
      </c>
      <c r="M1562" s="36" t="s">
        <v>4214</v>
      </c>
      <c r="N1562" s="36" t="s">
        <v>34</v>
      </c>
    </row>
    <row r="1563">
      <c r="A1563" s="36" t="s">
        <v>4437</v>
      </c>
      <c r="B1563" s="154" t="s">
        <v>4434</v>
      </c>
      <c r="C1563" s="36" t="s">
        <v>1666</v>
      </c>
      <c r="D1563" s="36" t="s">
        <v>957</v>
      </c>
      <c r="E1563" s="36" t="s">
        <v>957</v>
      </c>
      <c r="F1563" s="154" t="s">
        <v>2432</v>
      </c>
      <c r="G1563" s="36" t="s">
        <v>28</v>
      </c>
      <c r="H1563" s="36" t="s">
        <v>1655</v>
      </c>
      <c r="I1563" s="36" t="s">
        <v>1656</v>
      </c>
      <c r="J1563" s="36" t="s">
        <v>1656</v>
      </c>
      <c r="K1563" s="36" t="s">
        <v>1695</v>
      </c>
      <c r="L1563" s="36" t="s">
        <v>4214</v>
      </c>
      <c r="M1563" s="36" t="s">
        <v>4214</v>
      </c>
      <c r="N1563" s="36" t="s">
        <v>34</v>
      </c>
    </row>
    <row r="1564">
      <c r="A1564" s="36" t="s">
        <v>4438</v>
      </c>
      <c r="B1564" s="154" t="s">
        <v>4434</v>
      </c>
      <c r="C1564" s="36" t="s">
        <v>1666</v>
      </c>
      <c r="D1564" s="36" t="s">
        <v>961</v>
      </c>
      <c r="E1564" s="36" t="s">
        <v>961</v>
      </c>
      <c r="F1564" s="154" t="s">
        <v>1694</v>
      </c>
      <c r="G1564" s="36" t="s">
        <v>28</v>
      </c>
      <c r="H1564" s="36" t="s">
        <v>1655</v>
      </c>
      <c r="I1564" s="36" t="s">
        <v>1656</v>
      </c>
      <c r="J1564" s="36" t="s">
        <v>1656</v>
      </c>
      <c r="K1564" s="36" t="s">
        <v>1698</v>
      </c>
      <c r="L1564" s="36" t="s">
        <v>4214</v>
      </c>
      <c r="M1564" s="36" t="s">
        <v>4214</v>
      </c>
      <c r="N1564" s="36" t="s">
        <v>34</v>
      </c>
    </row>
    <row r="1565">
      <c r="A1565" s="36" t="s">
        <v>4439</v>
      </c>
      <c r="B1565" s="154" t="s">
        <v>4434</v>
      </c>
      <c r="C1565" s="36" t="s">
        <v>1666</v>
      </c>
      <c r="D1565" s="36" t="s">
        <v>967</v>
      </c>
      <c r="E1565" s="36" t="s">
        <v>967</v>
      </c>
      <c r="F1565" s="154" t="s">
        <v>2085</v>
      </c>
      <c r="G1565" s="36" t="s">
        <v>28</v>
      </c>
      <c r="H1565" s="36" t="s">
        <v>1655</v>
      </c>
      <c r="I1565" s="36" t="s">
        <v>1656</v>
      </c>
      <c r="J1565" s="36" t="s">
        <v>1656</v>
      </c>
      <c r="K1565" s="36" t="s">
        <v>1701</v>
      </c>
      <c r="L1565" s="36" t="s">
        <v>4214</v>
      </c>
      <c r="M1565" s="36" t="s">
        <v>4214</v>
      </c>
      <c r="N1565" s="36" t="s">
        <v>34</v>
      </c>
    </row>
    <row r="1566">
      <c r="A1566" s="36" t="s">
        <v>4440</v>
      </c>
      <c r="B1566" s="154" t="s">
        <v>4434</v>
      </c>
      <c r="C1566" s="36" t="s">
        <v>1666</v>
      </c>
      <c r="D1566" s="36" t="s">
        <v>973</v>
      </c>
      <c r="E1566" s="36" t="s">
        <v>973</v>
      </c>
      <c r="F1566" s="154" t="s">
        <v>1874</v>
      </c>
      <c r="G1566" s="36" t="s">
        <v>28</v>
      </c>
      <c r="H1566" s="36" t="s">
        <v>1655</v>
      </c>
      <c r="I1566" s="36" t="s">
        <v>1656</v>
      </c>
      <c r="J1566" s="36" t="s">
        <v>1656</v>
      </c>
      <c r="K1566" s="36" t="s">
        <v>1704</v>
      </c>
      <c r="L1566" s="36" t="s">
        <v>4214</v>
      </c>
      <c r="M1566" s="36" t="s">
        <v>4214</v>
      </c>
      <c r="N1566" s="36" t="s">
        <v>34</v>
      </c>
    </row>
    <row r="1567">
      <c r="A1567" s="36" t="s">
        <v>4441</v>
      </c>
      <c r="B1567" s="154" t="s">
        <v>4442</v>
      </c>
      <c r="C1567" s="36" t="s">
        <v>1666</v>
      </c>
      <c r="D1567" s="36" t="s">
        <v>618</v>
      </c>
      <c r="E1567" s="36" t="s">
        <v>618</v>
      </c>
      <c r="F1567" s="154" t="s">
        <v>2049</v>
      </c>
      <c r="G1567" s="36" t="s">
        <v>28</v>
      </c>
      <c r="H1567" s="36" t="s">
        <v>1655</v>
      </c>
      <c r="I1567" s="36" t="s">
        <v>1656</v>
      </c>
      <c r="J1567" s="36" t="s">
        <v>1656</v>
      </c>
      <c r="K1567" s="36" t="s">
        <v>1711</v>
      </c>
      <c r="L1567" s="36" t="s">
        <v>4214</v>
      </c>
      <c r="M1567" s="36" t="s">
        <v>4214</v>
      </c>
      <c r="N1567" s="36" t="s">
        <v>34</v>
      </c>
    </row>
    <row r="1568">
      <c r="A1568" s="36" t="s">
        <v>4443</v>
      </c>
      <c r="B1568" s="154" t="s">
        <v>4442</v>
      </c>
      <c r="C1568" s="36" t="s">
        <v>1666</v>
      </c>
      <c r="D1568" s="36" t="s">
        <v>982</v>
      </c>
      <c r="E1568" s="36" t="s">
        <v>982</v>
      </c>
      <c r="F1568" s="154" t="s">
        <v>2378</v>
      </c>
      <c r="G1568" s="36" t="s">
        <v>28</v>
      </c>
      <c r="H1568" s="36" t="s">
        <v>1655</v>
      </c>
      <c r="I1568" s="36" t="s">
        <v>1656</v>
      </c>
      <c r="J1568" s="36" t="s">
        <v>1656</v>
      </c>
      <c r="K1568" s="36" t="s">
        <v>1715</v>
      </c>
      <c r="L1568" s="36" t="s">
        <v>4214</v>
      </c>
      <c r="M1568" s="36" t="s">
        <v>4214</v>
      </c>
      <c r="N1568" s="36" t="s">
        <v>34</v>
      </c>
    </row>
    <row r="1569">
      <c r="A1569" s="36" t="s">
        <v>4444</v>
      </c>
      <c r="B1569" s="154" t="s">
        <v>4445</v>
      </c>
      <c r="C1569" s="36" t="s">
        <v>1653</v>
      </c>
      <c r="D1569" s="36" t="s">
        <v>55</v>
      </c>
      <c r="E1569" s="36" t="s">
        <v>39</v>
      </c>
      <c r="F1569" s="154" t="s">
        <v>4446</v>
      </c>
      <c r="G1569" s="36" t="s">
        <v>32</v>
      </c>
      <c r="H1569" s="36" t="s">
        <v>1655</v>
      </c>
      <c r="I1569" s="36" t="s">
        <v>1656</v>
      </c>
      <c r="J1569" s="36" t="s">
        <v>1656</v>
      </c>
      <c r="K1569" s="36" t="s">
        <v>1749</v>
      </c>
      <c r="L1569" s="36" t="s">
        <v>4212</v>
      </c>
      <c r="M1569" s="36" t="s">
        <v>4212</v>
      </c>
      <c r="N1569" s="36" t="s">
        <v>32</v>
      </c>
    </row>
    <row r="1570">
      <c r="A1570" s="36" t="s">
        <v>4447</v>
      </c>
      <c r="B1570" s="154" t="s">
        <v>4445</v>
      </c>
      <c r="C1570" s="36" t="s">
        <v>1666</v>
      </c>
      <c r="D1570" s="36" t="s">
        <v>71</v>
      </c>
      <c r="E1570" s="36" t="s">
        <v>71</v>
      </c>
      <c r="F1570" s="154" t="s">
        <v>4448</v>
      </c>
      <c r="G1570" s="36" t="s">
        <v>32</v>
      </c>
      <c r="H1570" s="36" t="s">
        <v>1655</v>
      </c>
      <c r="I1570" s="36" t="s">
        <v>1656</v>
      </c>
      <c r="J1570" s="36" t="s">
        <v>1656</v>
      </c>
      <c r="K1570" s="36" t="s">
        <v>1752</v>
      </c>
      <c r="L1570" s="36" t="s">
        <v>4214</v>
      </c>
      <c r="M1570" s="36" t="s">
        <v>4214</v>
      </c>
      <c r="N1570" s="36" t="s">
        <v>32</v>
      </c>
    </row>
    <row r="1571">
      <c r="A1571" s="36" t="s">
        <v>4449</v>
      </c>
      <c r="B1571" s="154" t="s">
        <v>4445</v>
      </c>
      <c r="C1571" s="36" t="s">
        <v>1666</v>
      </c>
      <c r="D1571" s="36" t="s">
        <v>73</v>
      </c>
      <c r="E1571" s="36" t="s">
        <v>73</v>
      </c>
      <c r="F1571" s="154" t="s">
        <v>4450</v>
      </c>
      <c r="G1571" s="36" t="s">
        <v>28</v>
      </c>
      <c r="H1571" s="36" t="s">
        <v>1655</v>
      </c>
      <c r="I1571" s="36" t="s">
        <v>1656</v>
      </c>
      <c r="J1571" s="36" t="s">
        <v>1656</v>
      </c>
      <c r="K1571" s="36" t="s">
        <v>1755</v>
      </c>
      <c r="L1571" s="36" t="s">
        <v>4214</v>
      </c>
      <c r="M1571" s="36" t="s">
        <v>4214</v>
      </c>
      <c r="N1571" s="36" t="s">
        <v>32</v>
      </c>
    </row>
    <row r="1572">
      <c r="A1572" s="36" t="s">
        <v>4451</v>
      </c>
      <c r="B1572" s="154" t="s">
        <v>4445</v>
      </c>
      <c r="C1572" s="36" t="s">
        <v>1666</v>
      </c>
      <c r="D1572" s="36" t="s">
        <v>74</v>
      </c>
      <c r="E1572" s="36" t="s">
        <v>74</v>
      </c>
      <c r="F1572" s="154" t="s">
        <v>4448</v>
      </c>
      <c r="G1572" s="36" t="s">
        <v>32</v>
      </c>
      <c r="H1572" s="36" t="s">
        <v>1655</v>
      </c>
      <c r="I1572" s="36" t="s">
        <v>1656</v>
      </c>
      <c r="J1572" s="36" t="s">
        <v>1656</v>
      </c>
      <c r="K1572" s="36" t="s">
        <v>1757</v>
      </c>
      <c r="L1572" s="36" t="s">
        <v>4214</v>
      </c>
      <c r="M1572" s="36" t="s">
        <v>4214</v>
      </c>
      <c r="N1572" s="36" t="s">
        <v>32</v>
      </c>
    </row>
    <row r="1573">
      <c r="A1573" s="36" t="s">
        <v>4452</v>
      </c>
      <c r="B1573" s="154" t="s">
        <v>4445</v>
      </c>
      <c r="C1573" s="36" t="s">
        <v>1666</v>
      </c>
      <c r="D1573" s="36" t="s">
        <v>75</v>
      </c>
      <c r="E1573" s="36" t="s">
        <v>75</v>
      </c>
      <c r="F1573" s="154" t="s">
        <v>4453</v>
      </c>
      <c r="G1573" s="36" t="s">
        <v>28</v>
      </c>
      <c r="H1573" s="36" t="s">
        <v>1655</v>
      </c>
      <c r="I1573" s="36" t="s">
        <v>1656</v>
      </c>
      <c r="J1573" s="36" t="s">
        <v>1656</v>
      </c>
      <c r="K1573" s="36" t="s">
        <v>1760</v>
      </c>
      <c r="L1573" s="36" t="s">
        <v>4214</v>
      </c>
      <c r="M1573" s="36" t="s">
        <v>4214</v>
      </c>
      <c r="N1573" s="36" t="s">
        <v>32</v>
      </c>
    </row>
    <row r="1574">
      <c r="A1574" s="36" t="s">
        <v>4454</v>
      </c>
      <c r="B1574" s="154" t="s">
        <v>4445</v>
      </c>
      <c r="C1574" s="36" t="s">
        <v>1666</v>
      </c>
      <c r="D1574" s="36" t="s">
        <v>76</v>
      </c>
      <c r="E1574" s="36" t="s">
        <v>76</v>
      </c>
      <c r="F1574" s="154" t="s">
        <v>4455</v>
      </c>
      <c r="G1574" s="36" t="s">
        <v>28</v>
      </c>
      <c r="H1574" s="36" t="s">
        <v>1655</v>
      </c>
      <c r="I1574" s="36" t="s">
        <v>1656</v>
      </c>
      <c r="J1574" s="36" t="s">
        <v>1656</v>
      </c>
      <c r="K1574" s="36" t="s">
        <v>1763</v>
      </c>
      <c r="L1574" s="36" t="s">
        <v>4214</v>
      </c>
      <c r="M1574" s="36" t="s">
        <v>4214</v>
      </c>
      <c r="N1574" s="36" t="s">
        <v>32</v>
      </c>
    </row>
    <row r="1575">
      <c r="A1575" s="36" t="s">
        <v>4456</v>
      </c>
      <c r="B1575" s="154" t="s">
        <v>4445</v>
      </c>
      <c r="C1575" s="36" t="s">
        <v>1666</v>
      </c>
      <c r="D1575" s="36" t="s">
        <v>712</v>
      </c>
      <c r="E1575" s="36" t="s">
        <v>712</v>
      </c>
      <c r="F1575" s="154" t="s">
        <v>3480</v>
      </c>
      <c r="G1575" s="36" t="s">
        <v>28</v>
      </c>
      <c r="H1575" s="36" t="s">
        <v>1655</v>
      </c>
      <c r="I1575" s="36" t="s">
        <v>1656</v>
      </c>
      <c r="J1575" s="36" t="s">
        <v>1656</v>
      </c>
      <c r="K1575" s="36" t="s">
        <v>1766</v>
      </c>
      <c r="L1575" s="36" t="s">
        <v>4214</v>
      </c>
      <c r="M1575" s="36" t="s">
        <v>4214</v>
      </c>
      <c r="N1575" s="36" t="s">
        <v>32</v>
      </c>
    </row>
    <row r="1576">
      <c r="A1576" s="36" t="s">
        <v>4457</v>
      </c>
      <c r="B1576" s="154" t="s">
        <v>4445</v>
      </c>
      <c r="C1576" s="36" t="s">
        <v>1666</v>
      </c>
      <c r="D1576" s="36" t="s">
        <v>957</v>
      </c>
      <c r="E1576" s="36" t="s">
        <v>957</v>
      </c>
      <c r="F1576" s="154" t="s">
        <v>2085</v>
      </c>
      <c r="G1576" s="36" t="s">
        <v>28</v>
      </c>
      <c r="H1576" s="36" t="s">
        <v>1655</v>
      </c>
      <c r="I1576" s="36" t="s">
        <v>1656</v>
      </c>
      <c r="J1576" s="36" t="s">
        <v>1656</v>
      </c>
      <c r="K1576" s="36" t="s">
        <v>1717</v>
      </c>
      <c r="L1576" s="36" t="s">
        <v>4214</v>
      </c>
      <c r="M1576" s="36" t="s">
        <v>4214</v>
      </c>
      <c r="N1576" s="36" t="s">
        <v>34</v>
      </c>
    </row>
    <row r="1577">
      <c r="A1577" s="36" t="s">
        <v>4458</v>
      </c>
      <c r="B1577" s="154" t="s">
        <v>4445</v>
      </c>
      <c r="C1577" s="36" t="s">
        <v>1666</v>
      </c>
      <c r="D1577" s="36" t="s">
        <v>226</v>
      </c>
      <c r="E1577" s="36" t="s">
        <v>226</v>
      </c>
      <c r="F1577" s="154" t="s">
        <v>4459</v>
      </c>
      <c r="G1577" s="36" t="s">
        <v>32</v>
      </c>
      <c r="H1577" s="36" t="s">
        <v>1655</v>
      </c>
      <c r="I1577" s="36" t="s">
        <v>1656</v>
      </c>
      <c r="J1577" s="36" t="s">
        <v>1656</v>
      </c>
      <c r="K1577" s="36" t="s">
        <v>1724</v>
      </c>
      <c r="L1577" s="36" t="s">
        <v>4214</v>
      </c>
      <c r="M1577" s="36" t="s">
        <v>4214</v>
      </c>
      <c r="N1577" s="36" t="s">
        <v>32</v>
      </c>
    </row>
    <row r="1578">
      <c r="A1578" s="36" t="s">
        <v>4460</v>
      </c>
      <c r="B1578" s="154" t="s">
        <v>4445</v>
      </c>
      <c r="C1578" s="36" t="s">
        <v>1666</v>
      </c>
      <c r="D1578" s="36" t="s">
        <v>220</v>
      </c>
      <c r="E1578" s="36" t="s">
        <v>220</v>
      </c>
      <c r="F1578" s="154" t="s">
        <v>4461</v>
      </c>
      <c r="G1578" s="36" t="s">
        <v>32</v>
      </c>
      <c r="H1578" s="36" t="s">
        <v>1655</v>
      </c>
      <c r="I1578" s="36" t="s">
        <v>1656</v>
      </c>
      <c r="J1578" s="36" t="s">
        <v>1656</v>
      </c>
      <c r="K1578" s="36" t="s">
        <v>1727</v>
      </c>
      <c r="L1578" s="36" t="s">
        <v>4214</v>
      </c>
      <c r="M1578" s="36" t="s">
        <v>4214</v>
      </c>
      <c r="N1578" s="36" t="s">
        <v>32</v>
      </c>
    </row>
    <row r="1579">
      <c r="A1579" s="36" t="s">
        <v>4462</v>
      </c>
      <c r="B1579" s="154" t="s">
        <v>4445</v>
      </c>
      <c r="C1579" s="36" t="s">
        <v>1666</v>
      </c>
      <c r="D1579" s="36" t="s">
        <v>978</v>
      </c>
      <c r="E1579" s="36" t="s">
        <v>978</v>
      </c>
      <c r="F1579" s="154" t="s">
        <v>3151</v>
      </c>
      <c r="G1579" s="36" t="s">
        <v>32</v>
      </c>
      <c r="H1579" s="36" t="s">
        <v>1655</v>
      </c>
      <c r="I1579" s="36" t="s">
        <v>1656</v>
      </c>
      <c r="J1579" s="36" t="s">
        <v>1656</v>
      </c>
      <c r="K1579" s="36" t="s">
        <v>1730</v>
      </c>
      <c r="L1579" s="36" t="s">
        <v>4214</v>
      </c>
      <c r="M1579" s="36" t="s">
        <v>4214</v>
      </c>
      <c r="N1579" s="36" t="s">
        <v>32</v>
      </c>
    </row>
    <row r="1580">
      <c r="A1580" s="36" t="s">
        <v>4463</v>
      </c>
      <c r="B1580" s="154" t="s">
        <v>4445</v>
      </c>
      <c r="C1580" s="36" t="s">
        <v>1666</v>
      </c>
      <c r="D1580" s="36" t="s">
        <v>115</v>
      </c>
      <c r="E1580" s="36" t="s">
        <v>115</v>
      </c>
      <c r="F1580" s="154" t="s">
        <v>1683</v>
      </c>
      <c r="G1580" s="36" t="s">
        <v>32</v>
      </c>
      <c r="H1580" s="36" t="s">
        <v>1655</v>
      </c>
      <c r="I1580" s="36" t="s">
        <v>1656</v>
      </c>
      <c r="J1580" s="36" t="s">
        <v>1656</v>
      </c>
      <c r="K1580" s="36" t="s">
        <v>1732</v>
      </c>
      <c r="L1580" s="36" t="s">
        <v>4214</v>
      </c>
      <c r="M1580" s="36" t="s">
        <v>4214</v>
      </c>
      <c r="N1580" s="36" t="s">
        <v>32</v>
      </c>
    </row>
    <row r="1581">
      <c r="A1581" s="36" t="s">
        <v>4464</v>
      </c>
      <c r="B1581" s="154" t="s">
        <v>4445</v>
      </c>
      <c r="C1581" s="36" t="s">
        <v>1666</v>
      </c>
      <c r="D1581" s="36" t="s">
        <v>114</v>
      </c>
      <c r="E1581" s="36" t="s">
        <v>114</v>
      </c>
      <c r="F1581" s="154" t="s">
        <v>4465</v>
      </c>
      <c r="G1581" s="36" t="s">
        <v>32</v>
      </c>
      <c r="H1581" s="36" t="s">
        <v>1655</v>
      </c>
      <c r="I1581" s="36" t="s">
        <v>1656</v>
      </c>
      <c r="J1581" s="36" t="s">
        <v>1656</v>
      </c>
      <c r="K1581" s="36" t="s">
        <v>1736</v>
      </c>
      <c r="L1581" s="36" t="s">
        <v>4214</v>
      </c>
      <c r="M1581" s="36" t="s">
        <v>4214</v>
      </c>
      <c r="N1581" s="36" t="s">
        <v>32</v>
      </c>
    </row>
    <row r="1582">
      <c r="A1582" s="36" t="s">
        <v>4466</v>
      </c>
      <c r="B1582" s="154" t="s">
        <v>4467</v>
      </c>
      <c r="C1582" s="36" t="s">
        <v>1666</v>
      </c>
      <c r="D1582" s="36" t="s">
        <v>1004</v>
      </c>
      <c r="E1582" s="36" t="s">
        <v>1004</v>
      </c>
      <c r="F1582" s="154" t="s">
        <v>1859</v>
      </c>
      <c r="G1582" s="36" t="s">
        <v>28</v>
      </c>
      <c r="H1582" s="36" t="s">
        <v>1655</v>
      </c>
      <c r="I1582" s="36" t="s">
        <v>1656</v>
      </c>
      <c r="J1582" s="36" t="s">
        <v>1656</v>
      </c>
      <c r="K1582" s="36" t="s">
        <v>1739</v>
      </c>
      <c r="L1582" s="36" t="s">
        <v>4214</v>
      </c>
      <c r="M1582" s="36" t="s">
        <v>4214</v>
      </c>
      <c r="N1582" s="36" t="s">
        <v>34</v>
      </c>
    </row>
    <row r="1583">
      <c r="A1583" s="36" t="s">
        <v>4468</v>
      </c>
      <c r="B1583" s="154" t="s">
        <v>4469</v>
      </c>
      <c r="C1583" s="36" t="s">
        <v>1666</v>
      </c>
      <c r="D1583" s="36" t="s">
        <v>1006</v>
      </c>
      <c r="E1583" s="36" t="s">
        <v>1006</v>
      </c>
      <c r="F1583" s="154" t="s">
        <v>1768</v>
      </c>
      <c r="G1583" s="36" t="s">
        <v>28</v>
      </c>
      <c r="H1583" s="36" t="s">
        <v>1655</v>
      </c>
      <c r="I1583" s="36" t="s">
        <v>1656</v>
      </c>
      <c r="J1583" s="36" t="s">
        <v>1656</v>
      </c>
      <c r="K1583" s="36" t="s">
        <v>1742</v>
      </c>
      <c r="L1583" s="36" t="s">
        <v>4214</v>
      </c>
      <c r="M1583" s="36" t="s">
        <v>4214</v>
      </c>
      <c r="N1583" s="36" t="s">
        <v>34</v>
      </c>
    </row>
    <row r="1584">
      <c r="A1584" s="36" t="s">
        <v>4470</v>
      </c>
      <c r="B1584" s="154" t="s">
        <v>4471</v>
      </c>
      <c r="C1584" s="36" t="s">
        <v>1666</v>
      </c>
      <c r="D1584" s="36" t="s">
        <v>109</v>
      </c>
      <c r="E1584" s="36" t="s">
        <v>109</v>
      </c>
      <c r="F1584" s="154" t="s">
        <v>1694</v>
      </c>
      <c r="G1584" s="36" t="s">
        <v>28</v>
      </c>
      <c r="H1584" s="36" t="s">
        <v>1655</v>
      </c>
      <c r="I1584" s="36" t="s">
        <v>1656</v>
      </c>
      <c r="J1584" s="36" t="s">
        <v>1656</v>
      </c>
      <c r="K1584" s="36" t="s">
        <v>1745</v>
      </c>
      <c r="L1584" s="36" t="s">
        <v>4214</v>
      </c>
      <c r="M1584" s="36" t="s">
        <v>4214</v>
      </c>
      <c r="N1584" s="36" t="s">
        <v>34</v>
      </c>
    </row>
    <row r="1585">
      <c r="A1585" s="36" t="s">
        <v>4472</v>
      </c>
      <c r="B1585" s="154" t="s">
        <v>4473</v>
      </c>
      <c r="C1585" s="36" t="s">
        <v>1666</v>
      </c>
      <c r="D1585" s="36" t="s">
        <v>1017</v>
      </c>
      <c r="E1585" s="36" t="s">
        <v>1017</v>
      </c>
      <c r="F1585" s="154" t="s">
        <v>3279</v>
      </c>
      <c r="G1585" s="36" t="s">
        <v>28</v>
      </c>
      <c r="H1585" s="36" t="s">
        <v>1655</v>
      </c>
      <c r="I1585" s="36" t="s">
        <v>1656</v>
      </c>
      <c r="J1585" s="36" t="s">
        <v>1656</v>
      </c>
      <c r="K1585" s="36" t="s">
        <v>1773</v>
      </c>
      <c r="L1585" s="36" t="s">
        <v>4214</v>
      </c>
      <c r="M1585" s="36" t="s">
        <v>4214</v>
      </c>
      <c r="N1585" s="36" t="s">
        <v>34</v>
      </c>
    </row>
    <row r="1586">
      <c r="A1586" s="36" t="s">
        <v>4474</v>
      </c>
      <c r="B1586" s="154" t="s">
        <v>4473</v>
      </c>
      <c r="C1586" s="36" t="s">
        <v>1666</v>
      </c>
      <c r="D1586" s="36" t="s">
        <v>951</v>
      </c>
      <c r="E1586" s="36" t="s">
        <v>951</v>
      </c>
      <c r="F1586" s="154" t="s">
        <v>2730</v>
      </c>
      <c r="G1586" s="36" t="s">
        <v>28</v>
      </c>
      <c r="H1586" s="36" t="s">
        <v>1655</v>
      </c>
      <c r="I1586" s="36" t="s">
        <v>1656</v>
      </c>
      <c r="J1586" s="36" t="s">
        <v>1656</v>
      </c>
      <c r="K1586" s="36" t="s">
        <v>1776</v>
      </c>
      <c r="L1586" s="36" t="s">
        <v>4214</v>
      </c>
      <c r="M1586" s="36" t="s">
        <v>4214</v>
      </c>
      <c r="N1586" s="36" t="s">
        <v>34</v>
      </c>
    </row>
    <row r="1587">
      <c r="A1587" s="36" t="s">
        <v>4475</v>
      </c>
      <c r="B1587" s="154" t="s">
        <v>4476</v>
      </c>
      <c r="C1587" s="36" t="s">
        <v>1666</v>
      </c>
      <c r="D1587" s="36" t="s">
        <v>552</v>
      </c>
      <c r="E1587" s="36" t="s">
        <v>552</v>
      </c>
      <c r="F1587" s="154" t="s">
        <v>1686</v>
      </c>
      <c r="G1587" s="36" t="s">
        <v>28</v>
      </c>
      <c r="H1587" s="36" t="s">
        <v>1655</v>
      </c>
      <c r="I1587" s="36" t="s">
        <v>1656</v>
      </c>
      <c r="J1587" s="36" t="s">
        <v>1656</v>
      </c>
      <c r="K1587" s="36" t="s">
        <v>1779</v>
      </c>
      <c r="L1587" s="36" t="s">
        <v>4214</v>
      </c>
      <c r="M1587" s="36" t="s">
        <v>4214</v>
      </c>
      <c r="N1587" s="36" t="s">
        <v>34</v>
      </c>
    </row>
    <row r="1588">
      <c r="A1588" s="36" t="s">
        <v>4477</v>
      </c>
      <c r="B1588" s="154" t="s">
        <v>4476</v>
      </c>
      <c r="C1588" s="36" t="s">
        <v>1666</v>
      </c>
      <c r="D1588" s="36" t="s">
        <v>299</v>
      </c>
      <c r="E1588" s="36" t="s">
        <v>299</v>
      </c>
      <c r="F1588" s="154" t="s">
        <v>4478</v>
      </c>
      <c r="G1588" s="36" t="s">
        <v>28</v>
      </c>
      <c r="H1588" s="36" t="s">
        <v>1655</v>
      </c>
      <c r="I1588" s="36" t="s">
        <v>1656</v>
      </c>
      <c r="J1588" s="36" t="s">
        <v>1656</v>
      </c>
      <c r="K1588" s="36" t="s">
        <v>1782</v>
      </c>
      <c r="L1588" s="36" t="s">
        <v>4214</v>
      </c>
      <c r="M1588" s="36" t="s">
        <v>4214</v>
      </c>
      <c r="N1588" s="36" t="s">
        <v>34</v>
      </c>
    </row>
    <row r="1589">
      <c r="A1589" s="36" t="s">
        <v>4479</v>
      </c>
      <c r="B1589" s="154" t="s">
        <v>4476</v>
      </c>
      <c r="C1589" s="36" t="s">
        <v>1666</v>
      </c>
      <c r="D1589" s="36" t="s">
        <v>1031</v>
      </c>
      <c r="E1589" s="36" t="s">
        <v>1031</v>
      </c>
      <c r="F1589" s="154" t="s">
        <v>1874</v>
      </c>
      <c r="G1589" s="36" t="s">
        <v>28</v>
      </c>
      <c r="H1589" s="36" t="s">
        <v>1655</v>
      </c>
      <c r="I1589" s="36" t="s">
        <v>1656</v>
      </c>
      <c r="J1589" s="36" t="s">
        <v>1656</v>
      </c>
      <c r="K1589" s="36" t="s">
        <v>1784</v>
      </c>
      <c r="L1589" s="36" t="s">
        <v>4214</v>
      </c>
      <c r="M1589" s="36" t="s">
        <v>4214</v>
      </c>
      <c r="N1589" s="36" t="s">
        <v>34</v>
      </c>
    </row>
    <row r="1590">
      <c r="A1590" s="36" t="s">
        <v>4480</v>
      </c>
      <c r="B1590" s="154" t="s">
        <v>4476</v>
      </c>
      <c r="C1590" s="36" t="s">
        <v>1666</v>
      </c>
      <c r="D1590" s="36" t="s">
        <v>582</v>
      </c>
      <c r="E1590" s="36" t="s">
        <v>582</v>
      </c>
      <c r="F1590" s="154" t="s">
        <v>2920</v>
      </c>
      <c r="G1590" s="36" t="s">
        <v>28</v>
      </c>
      <c r="H1590" s="36" t="s">
        <v>1655</v>
      </c>
      <c r="I1590" s="36" t="s">
        <v>1656</v>
      </c>
      <c r="J1590" s="36" t="s">
        <v>1656</v>
      </c>
      <c r="K1590" s="36" t="s">
        <v>1787</v>
      </c>
      <c r="L1590" s="36" t="s">
        <v>4214</v>
      </c>
      <c r="M1590" s="36" t="s">
        <v>4214</v>
      </c>
      <c r="N1590" s="36" t="s">
        <v>34</v>
      </c>
    </row>
    <row r="1591">
      <c r="A1591" s="36" t="s">
        <v>4481</v>
      </c>
      <c r="B1591" s="154" t="s">
        <v>4482</v>
      </c>
      <c r="C1591" s="36" t="s">
        <v>1666</v>
      </c>
      <c r="D1591" s="36" t="s">
        <v>1041</v>
      </c>
      <c r="E1591" s="36" t="s">
        <v>1041</v>
      </c>
      <c r="F1591" s="154" t="s">
        <v>4483</v>
      </c>
      <c r="G1591" s="36" t="s">
        <v>32</v>
      </c>
      <c r="H1591" s="36" t="s">
        <v>1655</v>
      </c>
      <c r="I1591" s="36" t="s">
        <v>1656</v>
      </c>
      <c r="J1591" s="36" t="s">
        <v>1656</v>
      </c>
      <c r="K1591" s="36" t="s">
        <v>1790</v>
      </c>
      <c r="L1591" s="36" t="s">
        <v>4214</v>
      </c>
      <c r="M1591" s="36" t="s">
        <v>4214</v>
      </c>
      <c r="N1591" s="36" t="s">
        <v>32</v>
      </c>
    </row>
    <row r="1592">
      <c r="A1592" s="36" t="s">
        <v>4484</v>
      </c>
      <c r="B1592" s="154" t="s">
        <v>4482</v>
      </c>
      <c r="C1592" s="36" t="s">
        <v>1666</v>
      </c>
      <c r="D1592" s="36" t="s">
        <v>1046</v>
      </c>
      <c r="E1592" s="36" t="s">
        <v>1046</v>
      </c>
      <c r="F1592" s="154" t="s">
        <v>2911</v>
      </c>
      <c r="G1592" s="36" t="s">
        <v>32</v>
      </c>
      <c r="H1592" s="36" t="s">
        <v>1655</v>
      </c>
      <c r="I1592" s="36" t="s">
        <v>1656</v>
      </c>
      <c r="J1592" s="36" t="s">
        <v>1656</v>
      </c>
      <c r="K1592" s="36" t="s">
        <v>1793</v>
      </c>
      <c r="L1592" s="36" t="s">
        <v>4214</v>
      </c>
      <c r="M1592" s="36" t="s">
        <v>4214</v>
      </c>
      <c r="N1592" s="36" t="s">
        <v>32</v>
      </c>
    </row>
    <row r="1593">
      <c r="A1593" s="36" t="s">
        <v>4485</v>
      </c>
      <c r="B1593" s="154" t="s">
        <v>4486</v>
      </c>
      <c r="C1593" s="36" t="s">
        <v>1666</v>
      </c>
      <c r="D1593" s="36" t="s">
        <v>684</v>
      </c>
      <c r="E1593" s="36" t="s">
        <v>684</v>
      </c>
      <c r="F1593" s="154" t="s">
        <v>3820</v>
      </c>
      <c r="G1593" s="36" t="s">
        <v>28</v>
      </c>
      <c r="H1593" s="36" t="s">
        <v>1655</v>
      </c>
      <c r="I1593" s="36" t="s">
        <v>1656</v>
      </c>
      <c r="J1593" s="36" t="s">
        <v>1656</v>
      </c>
      <c r="K1593" s="36" t="s">
        <v>1796</v>
      </c>
      <c r="L1593" s="36" t="s">
        <v>4214</v>
      </c>
      <c r="M1593" s="36" t="s">
        <v>4214</v>
      </c>
      <c r="N1593" s="36" t="s">
        <v>34</v>
      </c>
    </row>
    <row r="1594">
      <c r="A1594" s="36" t="s">
        <v>4487</v>
      </c>
      <c r="B1594" s="154" t="s">
        <v>4486</v>
      </c>
      <c r="C1594" s="36" t="s">
        <v>1666</v>
      </c>
      <c r="D1594" s="36" t="s">
        <v>109</v>
      </c>
      <c r="E1594" s="36" t="s">
        <v>109</v>
      </c>
      <c r="F1594" s="154" t="s">
        <v>1959</v>
      </c>
      <c r="G1594" s="36" t="s">
        <v>28</v>
      </c>
      <c r="H1594" s="36" t="s">
        <v>1655</v>
      </c>
      <c r="I1594" s="36" t="s">
        <v>1656</v>
      </c>
      <c r="J1594" s="36" t="s">
        <v>1656</v>
      </c>
      <c r="K1594" s="36" t="s">
        <v>1800</v>
      </c>
      <c r="L1594" s="36" t="s">
        <v>4214</v>
      </c>
      <c r="M1594" s="36" t="s">
        <v>4214</v>
      </c>
      <c r="N1594" s="36" t="s">
        <v>34</v>
      </c>
    </row>
    <row r="1595">
      <c r="A1595" s="36" t="s">
        <v>4488</v>
      </c>
      <c r="B1595" s="154" t="s">
        <v>4486</v>
      </c>
      <c r="C1595" s="36" t="s">
        <v>1666</v>
      </c>
      <c r="D1595" s="36" t="s">
        <v>1054</v>
      </c>
      <c r="E1595" s="36" t="s">
        <v>1054</v>
      </c>
      <c r="F1595" s="154" t="s">
        <v>2039</v>
      </c>
      <c r="G1595" s="36" t="s">
        <v>28</v>
      </c>
      <c r="H1595" s="36" t="s">
        <v>1655</v>
      </c>
      <c r="I1595" s="36" t="s">
        <v>1656</v>
      </c>
      <c r="J1595" s="36" t="s">
        <v>1656</v>
      </c>
      <c r="K1595" s="36" t="s">
        <v>1803</v>
      </c>
      <c r="L1595" s="36" t="s">
        <v>4214</v>
      </c>
      <c r="M1595" s="36" t="s">
        <v>4214</v>
      </c>
      <c r="N1595" s="36" t="s">
        <v>34</v>
      </c>
    </row>
    <row r="1596">
      <c r="A1596" s="36" t="s">
        <v>4489</v>
      </c>
      <c r="B1596" s="154" t="s">
        <v>4486</v>
      </c>
      <c r="C1596" s="36" t="s">
        <v>1666</v>
      </c>
      <c r="D1596" s="36" t="s">
        <v>299</v>
      </c>
      <c r="E1596" s="36" t="s">
        <v>299</v>
      </c>
      <c r="F1596" s="154" t="s">
        <v>2835</v>
      </c>
      <c r="G1596" s="36" t="s">
        <v>28</v>
      </c>
      <c r="H1596" s="36" t="s">
        <v>1655</v>
      </c>
      <c r="I1596" s="36" t="s">
        <v>1656</v>
      </c>
      <c r="J1596" s="36" t="s">
        <v>1656</v>
      </c>
      <c r="K1596" s="36" t="s">
        <v>1807</v>
      </c>
      <c r="L1596" s="36" t="s">
        <v>4214</v>
      </c>
      <c r="M1596" s="36" t="s">
        <v>4214</v>
      </c>
      <c r="N1596" s="36" t="s">
        <v>34</v>
      </c>
    </row>
    <row r="1597">
      <c r="A1597" s="36" t="s">
        <v>4490</v>
      </c>
      <c r="B1597" s="154" t="s">
        <v>4486</v>
      </c>
      <c r="C1597" s="36" t="s">
        <v>1666</v>
      </c>
      <c r="D1597" s="36" t="s">
        <v>1066</v>
      </c>
      <c r="E1597" s="36" t="s">
        <v>1066</v>
      </c>
      <c r="F1597" s="154" t="s">
        <v>1810</v>
      </c>
      <c r="G1597" s="36" t="s">
        <v>32</v>
      </c>
      <c r="H1597" s="36" t="s">
        <v>1655</v>
      </c>
      <c r="I1597" s="36" t="s">
        <v>1656</v>
      </c>
      <c r="J1597" s="36" t="s">
        <v>1656</v>
      </c>
      <c r="K1597" s="36" t="s">
        <v>1814</v>
      </c>
      <c r="L1597" s="36" t="s">
        <v>4214</v>
      </c>
      <c r="M1597" s="36" t="s">
        <v>4214</v>
      </c>
      <c r="N1597" s="36" t="s">
        <v>32</v>
      </c>
    </row>
    <row r="1598">
      <c r="A1598" s="36" t="s">
        <v>4491</v>
      </c>
      <c r="B1598" s="154" t="s">
        <v>4492</v>
      </c>
      <c r="C1598" s="36" t="s">
        <v>1666</v>
      </c>
      <c r="D1598" s="36" t="s">
        <v>100</v>
      </c>
      <c r="E1598" s="36" t="s">
        <v>100</v>
      </c>
      <c r="F1598" s="154" t="s">
        <v>1810</v>
      </c>
      <c r="G1598" s="36" t="s">
        <v>32</v>
      </c>
      <c r="H1598" s="36" t="s">
        <v>1655</v>
      </c>
      <c r="I1598" s="36" t="s">
        <v>1656</v>
      </c>
      <c r="J1598" s="36" t="s">
        <v>1656</v>
      </c>
      <c r="K1598" s="36" t="s">
        <v>1817</v>
      </c>
      <c r="L1598" s="36" t="s">
        <v>4214</v>
      </c>
      <c r="M1598" s="36" t="s">
        <v>4214</v>
      </c>
      <c r="N1598" s="36" t="s">
        <v>32</v>
      </c>
    </row>
    <row r="1599">
      <c r="A1599" s="36" t="s">
        <v>4493</v>
      </c>
      <c r="B1599" s="154" t="s">
        <v>4494</v>
      </c>
      <c r="C1599" s="36" t="s">
        <v>1666</v>
      </c>
      <c r="D1599" s="36" t="s">
        <v>1087</v>
      </c>
      <c r="E1599" s="36" t="s">
        <v>1087</v>
      </c>
      <c r="F1599" s="154" t="s">
        <v>2006</v>
      </c>
      <c r="G1599" s="36" t="s">
        <v>30</v>
      </c>
      <c r="H1599" s="36" t="s">
        <v>1655</v>
      </c>
      <c r="I1599" s="36" t="s">
        <v>1656</v>
      </c>
      <c r="J1599" s="36" t="s">
        <v>1656</v>
      </c>
      <c r="K1599" s="36" t="s">
        <v>1826</v>
      </c>
      <c r="L1599" s="36" t="s">
        <v>4214</v>
      </c>
      <c r="M1599" s="36" t="s">
        <v>4214</v>
      </c>
      <c r="N1599" s="36" t="s">
        <v>34</v>
      </c>
    </row>
    <row r="1600">
      <c r="A1600" s="36" t="s">
        <v>4495</v>
      </c>
      <c r="B1600" s="154" t="s">
        <v>4496</v>
      </c>
      <c r="C1600" s="36" t="s">
        <v>1666</v>
      </c>
      <c r="D1600" s="36" t="s">
        <v>81</v>
      </c>
      <c r="E1600" s="36" t="s">
        <v>81</v>
      </c>
      <c r="F1600" s="154" t="s">
        <v>4305</v>
      </c>
      <c r="G1600" s="36" t="s">
        <v>28</v>
      </c>
      <c r="H1600" s="36" t="s">
        <v>1655</v>
      </c>
      <c r="I1600" s="36" t="s">
        <v>1656</v>
      </c>
      <c r="J1600" s="36" t="s">
        <v>1656</v>
      </c>
      <c r="K1600" s="36" t="s">
        <v>1891</v>
      </c>
      <c r="L1600" s="36" t="s">
        <v>4214</v>
      </c>
      <c r="M1600" s="36" t="s">
        <v>4214</v>
      </c>
      <c r="N1600" s="36" t="s">
        <v>32</v>
      </c>
    </row>
    <row r="1601">
      <c r="A1601" s="36" t="s">
        <v>4497</v>
      </c>
      <c r="B1601" s="154" t="s">
        <v>4496</v>
      </c>
      <c r="C1601" s="36" t="s">
        <v>1666</v>
      </c>
      <c r="D1601" s="36" t="s">
        <v>109</v>
      </c>
      <c r="E1601" s="36" t="s">
        <v>109</v>
      </c>
      <c r="F1601" s="154" t="s">
        <v>1959</v>
      </c>
      <c r="G1601" s="36" t="s">
        <v>28</v>
      </c>
      <c r="H1601" s="36" t="s">
        <v>1655</v>
      </c>
      <c r="I1601" s="36" t="s">
        <v>1656</v>
      </c>
      <c r="J1601" s="36" t="s">
        <v>1656</v>
      </c>
      <c r="K1601" s="36" t="s">
        <v>1820</v>
      </c>
      <c r="L1601" s="36" t="s">
        <v>4214</v>
      </c>
      <c r="M1601" s="36" t="s">
        <v>4214</v>
      </c>
      <c r="N1601" s="36" t="s">
        <v>32</v>
      </c>
    </row>
    <row r="1602">
      <c r="A1602" s="36" t="s">
        <v>4498</v>
      </c>
      <c r="B1602" s="154" t="s">
        <v>4496</v>
      </c>
      <c r="C1602" s="36" t="s">
        <v>1666</v>
      </c>
      <c r="D1602" s="36" t="s">
        <v>695</v>
      </c>
      <c r="E1602" s="36" t="s">
        <v>695</v>
      </c>
      <c r="F1602" s="154" t="s">
        <v>4499</v>
      </c>
      <c r="G1602" s="36" t="s">
        <v>32</v>
      </c>
      <c r="H1602" s="36" t="s">
        <v>1655</v>
      </c>
      <c r="I1602" s="36" t="s">
        <v>1656</v>
      </c>
      <c r="J1602" s="36" t="s">
        <v>1656</v>
      </c>
      <c r="K1602" s="36" t="s">
        <v>1823</v>
      </c>
      <c r="L1602" s="36" t="s">
        <v>4214</v>
      </c>
      <c r="M1602" s="36" t="s">
        <v>4214</v>
      </c>
      <c r="N1602" s="36" t="s">
        <v>32</v>
      </c>
    </row>
    <row r="1603">
      <c r="A1603" s="36" t="s">
        <v>4500</v>
      </c>
      <c r="B1603" s="154" t="s">
        <v>4501</v>
      </c>
      <c r="C1603" s="36" t="s">
        <v>1653</v>
      </c>
      <c r="D1603" s="36" t="s">
        <v>43</v>
      </c>
      <c r="E1603" s="36" t="s">
        <v>39</v>
      </c>
      <c r="F1603" s="154" t="s">
        <v>4502</v>
      </c>
      <c r="G1603" s="36" t="s">
        <v>32</v>
      </c>
      <c r="H1603" s="36" t="s">
        <v>1655</v>
      </c>
      <c r="I1603" s="36" t="s">
        <v>1656</v>
      </c>
      <c r="J1603" s="36" t="s">
        <v>1656</v>
      </c>
      <c r="K1603" s="36" t="s">
        <v>1657</v>
      </c>
      <c r="L1603" s="36" t="s">
        <v>4212</v>
      </c>
      <c r="M1603" s="36" t="s">
        <v>4212</v>
      </c>
      <c r="N1603" s="36" t="s">
        <v>32</v>
      </c>
    </row>
    <row r="1604">
      <c r="A1604" s="36" t="s">
        <v>4503</v>
      </c>
      <c r="B1604" s="154" t="s">
        <v>4501</v>
      </c>
      <c r="C1604" s="36" t="s">
        <v>1666</v>
      </c>
      <c r="D1604" s="36" t="s">
        <v>85</v>
      </c>
      <c r="E1604" s="36" t="s">
        <v>85</v>
      </c>
      <c r="F1604" s="154" t="s">
        <v>4504</v>
      </c>
      <c r="G1604" s="36" t="s">
        <v>28</v>
      </c>
      <c r="H1604" s="36" t="s">
        <v>1655</v>
      </c>
      <c r="I1604" s="36" t="s">
        <v>1656</v>
      </c>
      <c r="J1604" s="36" t="s">
        <v>1656</v>
      </c>
      <c r="K1604" s="36" t="s">
        <v>3038</v>
      </c>
      <c r="L1604" s="36" t="s">
        <v>4214</v>
      </c>
      <c r="M1604" s="36" t="s">
        <v>4214</v>
      </c>
      <c r="N1604" s="36" t="s">
        <v>32</v>
      </c>
    </row>
    <row r="1605">
      <c r="A1605" s="36" t="s">
        <v>4505</v>
      </c>
      <c r="B1605" s="154" t="s">
        <v>4501</v>
      </c>
      <c r="C1605" s="36" t="s">
        <v>1666</v>
      </c>
      <c r="D1605" s="36" t="s">
        <v>193</v>
      </c>
      <c r="E1605" s="36" t="s">
        <v>193</v>
      </c>
      <c r="F1605" s="154" t="s">
        <v>4506</v>
      </c>
      <c r="G1605" s="36" t="s">
        <v>28</v>
      </c>
      <c r="H1605" s="36" t="s">
        <v>1655</v>
      </c>
      <c r="I1605" s="36" t="s">
        <v>1656</v>
      </c>
      <c r="J1605" s="36" t="s">
        <v>1656</v>
      </c>
      <c r="K1605" s="36" t="s">
        <v>2775</v>
      </c>
      <c r="L1605" s="36" t="s">
        <v>4214</v>
      </c>
      <c r="M1605" s="36" t="s">
        <v>4214</v>
      </c>
      <c r="N1605" s="36" t="s">
        <v>32</v>
      </c>
    </row>
    <row r="1606">
      <c r="A1606" s="36" t="s">
        <v>4507</v>
      </c>
      <c r="B1606" s="154" t="s">
        <v>4501</v>
      </c>
      <c r="C1606" s="36" t="s">
        <v>1666</v>
      </c>
      <c r="D1606" s="36" t="s">
        <v>928</v>
      </c>
      <c r="E1606" s="36" t="s">
        <v>928</v>
      </c>
      <c r="F1606" s="154" t="s">
        <v>4405</v>
      </c>
      <c r="G1606" s="36" t="s">
        <v>28</v>
      </c>
      <c r="H1606" s="36" t="s">
        <v>1655</v>
      </c>
      <c r="I1606" s="36" t="s">
        <v>1656</v>
      </c>
      <c r="J1606" s="36" t="s">
        <v>1656</v>
      </c>
      <c r="K1606" s="36" t="s">
        <v>2779</v>
      </c>
      <c r="L1606" s="36" t="s">
        <v>4214</v>
      </c>
      <c r="M1606" s="36" t="s">
        <v>4214</v>
      </c>
      <c r="N1606" s="36" t="s">
        <v>34</v>
      </c>
    </row>
    <row r="1607">
      <c r="A1607" s="36" t="s">
        <v>4508</v>
      </c>
      <c r="B1607" s="154" t="s">
        <v>4501</v>
      </c>
      <c r="C1607" s="36" t="s">
        <v>1666</v>
      </c>
      <c r="D1607" s="36" t="s">
        <v>923</v>
      </c>
      <c r="E1607" s="36" t="s">
        <v>923</v>
      </c>
      <c r="F1607" s="154" t="s">
        <v>4509</v>
      </c>
      <c r="G1607" s="36" t="s">
        <v>32</v>
      </c>
      <c r="H1607" s="36" t="s">
        <v>1655</v>
      </c>
      <c r="I1607" s="36" t="s">
        <v>1656</v>
      </c>
      <c r="J1607" s="36" t="s">
        <v>1656</v>
      </c>
      <c r="K1607" s="36" t="s">
        <v>1675</v>
      </c>
      <c r="L1607" s="36" t="s">
        <v>4214</v>
      </c>
      <c r="M1607" s="36" t="s">
        <v>4214</v>
      </c>
      <c r="N1607" s="36" t="s">
        <v>32</v>
      </c>
    </row>
    <row r="1608">
      <c r="A1608" s="36" t="s">
        <v>4510</v>
      </c>
      <c r="B1608" s="154" t="s">
        <v>4511</v>
      </c>
      <c r="C1608" s="36" t="s">
        <v>1653</v>
      </c>
      <c r="D1608" s="36" t="s">
        <v>908</v>
      </c>
      <c r="E1608" s="36" t="s">
        <v>39</v>
      </c>
      <c r="F1608" s="154" t="s">
        <v>1686</v>
      </c>
      <c r="G1608" s="36" t="s">
        <v>32</v>
      </c>
      <c r="H1608" s="36" t="s">
        <v>1655</v>
      </c>
      <c r="I1608" s="36" t="s">
        <v>1656</v>
      </c>
      <c r="J1608" s="36" t="s">
        <v>1656</v>
      </c>
      <c r="K1608" s="36" t="s">
        <v>1749</v>
      </c>
      <c r="L1608" s="36" t="s">
        <v>4212</v>
      </c>
      <c r="M1608" s="36" t="s">
        <v>4212</v>
      </c>
      <c r="N1608" s="36" t="s">
        <v>32</v>
      </c>
    </row>
    <row r="1609">
      <c r="A1609" s="36" t="s">
        <v>4512</v>
      </c>
      <c r="B1609" s="154" t="s">
        <v>4511</v>
      </c>
      <c r="C1609" s="36" t="s">
        <v>1666</v>
      </c>
      <c r="D1609" s="36" t="s">
        <v>78</v>
      </c>
      <c r="E1609" s="36" t="s">
        <v>78</v>
      </c>
      <c r="F1609" s="154" t="s">
        <v>1899</v>
      </c>
      <c r="G1609" s="36" t="s">
        <v>28</v>
      </c>
      <c r="H1609" s="36" t="s">
        <v>1655</v>
      </c>
      <c r="I1609" s="36" t="s">
        <v>1656</v>
      </c>
      <c r="J1609" s="36" t="s">
        <v>1656</v>
      </c>
      <c r="K1609" s="36" t="s">
        <v>1769</v>
      </c>
      <c r="L1609" s="36" t="s">
        <v>4214</v>
      </c>
      <c r="M1609" s="36" t="s">
        <v>4214</v>
      </c>
      <c r="N1609" s="36" t="s">
        <v>32</v>
      </c>
    </row>
    <row r="1610">
      <c r="A1610" s="36" t="s">
        <v>4513</v>
      </c>
      <c r="B1610" s="154" t="s">
        <v>4511</v>
      </c>
      <c r="C1610" s="36" t="s">
        <v>1666</v>
      </c>
      <c r="D1610" s="36" t="s">
        <v>355</v>
      </c>
      <c r="E1610" s="36" t="s">
        <v>355</v>
      </c>
      <c r="F1610" s="154" t="s">
        <v>1832</v>
      </c>
      <c r="G1610" s="36" t="s">
        <v>32</v>
      </c>
      <c r="H1610" s="36" t="s">
        <v>1655</v>
      </c>
      <c r="I1610" s="36" t="s">
        <v>1656</v>
      </c>
      <c r="J1610" s="36" t="s">
        <v>1656</v>
      </c>
      <c r="K1610" s="36" t="s">
        <v>1678</v>
      </c>
      <c r="L1610" s="36" t="s">
        <v>4214</v>
      </c>
      <c r="M1610" s="36" t="s">
        <v>4214</v>
      </c>
      <c r="N1610" s="36" t="s">
        <v>32</v>
      </c>
    </row>
    <row r="1611">
      <c r="A1611" s="36" t="s">
        <v>4514</v>
      </c>
      <c r="B1611" s="154" t="s">
        <v>4511</v>
      </c>
      <c r="C1611" s="36" t="s">
        <v>1666</v>
      </c>
      <c r="D1611" s="36" t="s">
        <v>938</v>
      </c>
      <c r="E1611" s="36" t="s">
        <v>938</v>
      </c>
      <c r="F1611" s="154" t="s">
        <v>1768</v>
      </c>
      <c r="G1611" s="36" t="s">
        <v>34</v>
      </c>
      <c r="H1611" s="36" t="s">
        <v>1655</v>
      </c>
      <c r="I1611" s="36" t="s">
        <v>1656</v>
      </c>
      <c r="J1611" s="36" t="s">
        <v>1656</v>
      </c>
      <c r="K1611" s="36" t="s">
        <v>1681</v>
      </c>
      <c r="L1611" s="36" t="s">
        <v>4214</v>
      </c>
      <c r="M1611" s="36" t="s">
        <v>4214</v>
      </c>
      <c r="N1611" s="36" t="s">
        <v>32</v>
      </c>
    </row>
    <row r="1612">
      <c r="A1612" s="36" t="s">
        <v>4515</v>
      </c>
      <c r="B1612" s="154" t="s">
        <v>4511</v>
      </c>
      <c r="C1612" s="36" t="s">
        <v>1666</v>
      </c>
      <c r="D1612" s="36" t="s">
        <v>945</v>
      </c>
      <c r="E1612" s="36" t="s">
        <v>945</v>
      </c>
      <c r="F1612" s="154" t="s">
        <v>1874</v>
      </c>
      <c r="G1612" s="36" t="s">
        <v>28</v>
      </c>
      <c r="H1612" s="36" t="s">
        <v>1655</v>
      </c>
      <c r="I1612" s="36" t="s">
        <v>1656</v>
      </c>
      <c r="J1612" s="36" t="s">
        <v>1656</v>
      </c>
      <c r="K1612" s="36" t="s">
        <v>1684</v>
      </c>
      <c r="L1612" s="36" t="s">
        <v>4214</v>
      </c>
      <c r="M1612" s="36" t="s">
        <v>4214</v>
      </c>
      <c r="N1612" s="36" t="s">
        <v>34</v>
      </c>
    </row>
    <row r="1613">
      <c r="A1613" s="36" t="s">
        <v>4516</v>
      </c>
      <c r="B1613" s="154" t="s">
        <v>4511</v>
      </c>
      <c r="C1613" s="36" t="s">
        <v>1666</v>
      </c>
      <c r="D1613" s="36" t="s">
        <v>952</v>
      </c>
      <c r="E1613" s="36" t="s">
        <v>952</v>
      </c>
      <c r="F1613" s="154" t="s">
        <v>1744</v>
      </c>
      <c r="G1613" s="36" t="s">
        <v>28</v>
      </c>
      <c r="H1613" s="36" t="s">
        <v>1655</v>
      </c>
      <c r="I1613" s="36" t="s">
        <v>1656</v>
      </c>
      <c r="J1613" s="36" t="s">
        <v>1656</v>
      </c>
      <c r="K1613" s="36" t="s">
        <v>1691</v>
      </c>
      <c r="L1613" s="36" t="s">
        <v>4214</v>
      </c>
      <c r="M1613" s="36" t="s">
        <v>4214</v>
      </c>
      <c r="N1613" s="36" t="s">
        <v>34</v>
      </c>
    </row>
    <row r="1614">
      <c r="A1614" s="36" t="s">
        <v>4517</v>
      </c>
      <c r="B1614" s="154" t="s">
        <v>4511</v>
      </c>
      <c r="C1614" s="36" t="s">
        <v>1666</v>
      </c>
      <c r="D1614" s="36" t="s">
        <v>958</v>
      </c>
      <c r="E1614" s="36" t="s">
        <v>958</v>
      </c>
      <c r="F1614" s="154" t="s">
        <v>3279</v>
      </c>
      <c r="G1614" s="36" t="s">
        <v>28</v>
      </c>
      <c r="H1614" s="36" t="s">
        <v>1655</v>
      </c>
      <c r="I1614" s="36" t="s">
        <v>1656</v>
      </c>
      <c r="J1614" s="36" t="s">
        <v>1656</v>
      </c>
      <c r="K1614" s="36" t="s">
        <v>1695</v>
      </c>
      <c r="L1614" s="36" t="s">
        <v>4214</v>
      </c>
      <c r="M1614" s="36" t="s">
        <v>4214</v>
      </c>
      <c r="N1614" s="36" t="s">
        <v>34</v>
      </c>
    </row>
    <row r="1615">
      <c r="A1615" s="36" t="s">
        <v>4518</v>
      </c>
      <c r="B1615" s="154" t="s">
        <v>4511</v>
      </c>
      <c r="C1615" s="36" t="s">
        <v>1666</v>
      </c>
      <c r="D1615" s="36" t="s">
        <v>962</v>
      </c>
      <c r="E1615" s="36" t="s">
        <v>962</v>
      </c>
      <c r="F1615" s="154" t="s">
        <v>4519</v>
      </c>
      <c r="G1615" s="36" t="s">
        <v>32</v>
      </c>
      <c r="H1615" s="36" t="s">
        <v>1655</v>
      </c>
      <c r="I1615" s="36" t="s">
        <v>1656</v>
      </c>
      <c r="J1615" s="36" t="s">
        <v>1656</v>
      </c>
      <c r="K1615" s="36" t="s">
        <v>1698</v>
      </c>
      <c r="L1615" s="36" t="s">
        <v>4214</v>
      </c>
      <c r="M1615" s="36" t="s">
        <v>4214</v>
      </c>
      <c r="N1615" s="36" t="s">
        <v>32</v>
      </c>
    </row>
    <row r="1616">
      <c r="A1616" s="36" t="s">
        <v>4520</v>
      </c>
      <c r="B1616" s="154" t="s">
        <v>4511</v>
      </c>
      <c r="C1616" s="36" t="s">
        <v>1666</v>
      </c>
      <c r="D1616" s="36" t="s">
        <v>968</v>
      </c>
      <c r="E1616" s="36" t="s">
        <v>968</v>
      </c>
      <c r="F1616" s="154" t="s">
        <v>4307</v>
      </c>
      <c r="G1616" s="36" t="s">
        <v>28</v>
      </c>
      <c r="H1616" s="36" t="s">
        <v>1655</v>
      </c>
      <c r="I1616" s="36" t="s">
        <v>1656</v>
      </c>
      <c r="J1616" s="36" t="s">
        <v>1656</v>
      </c>
      <c r="K1616" s="36" t="s">
        <v>1701</v>
      </c>
      <c r="L1616" s="36" t="s">
        <v>4214</v>
      </c>
      <c r="M1616" s="36" t="s">
        <v>4214</v>
      </c>
      <c r="N1616" s="36" t="s">
        <v>32</v>
      </c>
    </row>
    <row r="1617">
      <c r="A1617" s="36" t="s">
        <v>4521</v>
      </c>
      <c r="B1617" s="154" t="s">
        <v>4511</v>
      </c>
      <c r="C1617" s="36" t="s">
        <v>1666</v>
      </c>
      <c r="D1617" s="36" t="s">
        <v>100</v>
      </c>
      <c r="E1617" s="36" t="s">
        <v>100</v>
      </c>
      <c r="F1617" s="154" t="s">
        <v>1810</v>
      </c>
      <c r="G1617" s="36" t="s">
        <v>32</v>
      </c>
      <c r="H1617" s="36" t="s">
        <v>1655</v>
      </c>
      <c r="I1617" s="36" t="s">
        <v>1656</v>
      </c>
      <c r="J1617" s="36" t="s">
        <v>1656</v>
      </c>
      <c r="K1617" s="36" t="s">
        <v>1704</v>
      </c>
      <c r="L1617" s="36" t="s">
        <v>4214</v>
      </c>
      <c r="M1617" s="36" t="s">
        <v>4214</v>
      </c>
      <c r="N1617" s="36" t="s">
        <v>32</v>
      </c>
    </row>
    <row r="1618">
      <c r="A1618" s="36" t="s">
        <v>4522</v>
      </c>
      <c r="B1618" s="154" t="s">
        <v>4511</v>
      </c>
      <c r="C1618" s="36" t="s">
        <v>1666</v>
      </c>
      <c r="D1618" s="36" t="s">
        <v>313</v>
      </c>
      <c r="E1618" s="36" t="s">
        <v>313</v>
      </c>
      <c r="F1618" s="154" t="s">
        <v>1735</v>
      </c>
      <c r="G1618" s="36" t="s">
        <v>32</v>
      </c>
      <c r="H1618" s="36" t="s">
        <v>1655</v>
      </c>
      <c r="I1618" s="36" t="s">
        <v>1656</v>
      </c>
      <c r="J1618" s="36" t="s">
        <v>1656</v>
      </c>
      <c r="K1618" s="36" t="s">
        <v>1711</v>
      </c>
      <c r="L1618" s="36" t="s">
        <v>4214</v>
      </c>
      <c r="M1618" s="36" t="s">
        <v>4214</v>
      </c>
      <c r="N1618" s="36" t="s">
        <v>32</v>
      </c>
    </row>
    <row r="1619">
      <c r="A1619" s="36" t="s">
        <v>4523</v>
      </c>
      <c r="B1619" s="154" t="s">
        <v>4511</v>
      </c>
      <c r="C1619" s="36" t="s">
        <v>1666</v>
      </c>
      <c r="D1619" s="36" t="s">
        <v>695</v>
      </c>
      <c r="E1619" s="36" t="s">
        <v>695</v>
      </c>
      <c r="F1619" s="154" t="s">
        <v>1932</v>
      </c>
      <c r="G1619" s="36" t="s">
        <v>28</v>
      </c>
      <c r="H1619" s="36" t="s">
        <v>1655</v>
      </c>
      <c r="I1619" s="36" t="s">
        <v>1656</v>
      </c>
      <c r="J1619" s="36" t="s">
        <v>1656</v>
      </c>
      <c r="K1619" s="36" t="s">
        <v>1715</v>
      </c>
      <c r="L1619" s="36" t="s">
        <v>4214</v>
      </c>
      <c r="M1619" s="36" t="s">
        <v>4214</v>
      </c>
      <c r="N1619" s="36" t="s">
        <v>32</v>
      </c>
    </row>
    <row r="1620">
      <c r="A1620" s="36" t="s">
        <v>4524</v>
      </c>
      <c r="B1620" s="154" t="s">
        <v>4525</v>
      </c>
      <c r="C1620" s="36" t="s">
        <v>1666</v>
      </c>
      <c r="D1620" s="36" t="s">
        <v>63</v>
      </c>
      <c r="E1620" s="36" t="s">
        <v>63</v>
      </c>
      <c r="F1620" s="154" t="s">
        <v>4526</v>
      </c>
      <c r="G1620" s="36" t="s">
        <v>28</v>
      </c>
      <c r="H1620" s="36" t="s">
        <v>1655</v>
      </c>
      <c r="I1620" s="36" t="s">
        <v>1656</v>
      </c>
      <c r="J1620" s="36" t="s">
        <v>1656</v>
      </c>
      <c r="K1620" s="36" t="s">
        <v>4196</v>
      </c>
      <c r="L1620" s="36" t="s">
        <v>4214</v>
      </c>
      <c r="M1620" s="36" t="s">
        <v>4214</v>
      </c>
      <c r="N1620" s="36" t="s">
        <v>34</v>
      </c>
    </row>
    <row r="1621">
      <c r="A1621" s="36" t="s">
        <v>4527</v>
      </c>
      <c r="B1621" s="154" t="s">
        <v>4525</v>
      </c>
      <c r="C1621" s="36" t="s">
        <v>1666</v>
      </c>
      <c r="D1621" s="36" t="s">
        <v>987</v>
      </c>
      <c r="E1621" s="36" t="s">
        <v>987</v>
      </c>
      <c r="F1621" s="154" t="s">
        <v>2027</v>
      </c>
      <c r="G1621" s="36" t="s">
        <v>32</v>
      </c>
      <c r="H1621" s="36" t="s">
        <v>1655</v>
      </c>
      <c r="I1621" s="36" t="s">
        <v>1656</v>
      </c>
      <c r="J1621" s="36" t="s">
        <v>1656</v>
      </c>
      <c r="K1621" s="36" t="s">
        <v>1717</v>
      </c>
      <c r="L1621" s="36" t="s">
        <v>4214</v>
      </c>
      <c r="M1621" s="36" t="s">
        <v>4214</v>
      </c>
      <c r="N1621" s="36" t="s">
        <v>32</v>
      </c>
    </row>
    <row r="1622">
      <c r="A1622" s="36" t="s">
        <v>4528</v>
      </c>
      <c r="B1622" s="154" t="s">
        <v>4525</v>
      </c>
      <c r="C1622" s="36" t="s">
        <v>1666</v>
      </c>
      <c r="D1622" s="36" t="s">
        <v>990</v>
      </c>
      <c r="E1622" s="36" t="s">
        <v>990</v>
      </c>
      <c r="F1622" s="154" t="s">
        <v>2930</v>
      </c>
      <c r="G1622" s="36" t="s">
        <v>34</v>
      </c>
      <c r="H1622" s="36" t="s">
        <v>1655</v>
      </c>
      <c r="I1622" s="36" t="s">
        <v>1656</v>
      </c>
      <c r="J1622" s="36" t="s">
        <v>1656</v>
      </c>
      <c r="K1622" s="36" t="s">
        <v>1724</v>
      </c>
      <c r="L1622" s="36" t="s">
        <v>4214</v>
      </c>
      <c r="M1622" s="36" t="s">
        <v>4214</v>
      </c>
      <c r="N1622" s="36" t="s">
        <v>32</v>
      </c>
    </row>
    <row r="1623">
      <c r="A1623" s="36" t="s">
        <v>4529</v>
      </c>
      <c r="B1623" s="154" t="s">
        <v>4525</v>
      </c>
      <c r="C1623" s="36" t="s">
        <v>1666</v>
      </c>
      <c r="D1623" s="36" t="s">
        <v>109</v>
      </c>
      <c r="E1623" s="36" t="s">
        <v>109</v>
      </c>
      <c r="F1623" s="154" t="s">
        <v>1959</v>
      </c>
      <c r="G1623" s="36" t="s">
        <v>28</v>
      </c>
      <c r="H1623" s="36" t="s">
        <v>1655</v>
      </c>
      <c r="I1623" s="36" t="s">
        <v>1656</v>
      </c>
      <c r="J1623" s="36" t="s">
        <v>1656</v>
      </c>
      <c r="K1623" s="36" t="s">
        <v>1727</v>
      </c>
      <c r="L1623" s="36" t="s">
        <v>4214</v>
      </c>
      <c r="M1623" s="36" t="s">
        <v>4214</v>
      </c>
      <c r="N1623" s="36" t="s">
        <v>34</v>
      </c>
    </row>
    <row r="1624">
      <c r="A1624" s="36" t="s">
        <v>4530</v>
      </c>
      <c r="B1624" s="154" t="s">
        <v>4531</v>
      </c>
      <c r="C1624" s="36" t="s">
        <v>1666</v>
      </c>
      <c r="D1624" s="36" t="s">
        <v>64</v>
      </c>
      <c r="E1624" s="36" t="s">
        <v>64</v>
      </c>
      <c r="F1624" s="154" t="s">
        <v>4431</v>
      </c>
      <c r="G1624" s="36" t="s">
        <v>28</v>
      </c>
      <c r="H1624" s="36" t="s">
        <v>1655</v>
      </c>
      <c r="I1624" s="36" t="s">
        <v>1656</v>
      </c>
      <c r="J1624" s="36" t="s">
        <v>1656</v>
      </c>
      <c r="K1624" s="36" t="s">
        <v>1708</v>
      </c>
      <c r="L1624" s="36" t="s">
        <v>4214</v>
      </c>
      <c r="M1624" s="36" t="s">
        <v>4214</v>
      </c>
      <c r="N1624" s="36" t="s">
        <v>32</v>
      </c>
    </row>
    <row r="1625">
      <c r="A1625" s="36" t="s">
        <v>4532</v>
      </c>
      <c r="B1625" s="154" t="s">
        <v>4533</v>
      </c>
      <c r="C1625" s="36" t="s">
        <v>1666</v>
      </c>
      <c r="D1625" s="36" t="s">
        <v>66</v>
      </c>
      <c r="E1625" s="36" t="s">
        <v>66</v>
      </c>
      <c r="F1625" s="154" t="s">
        <v>4435</v>
      </c>
      <c r="G1625" s="36" t="s">
        <v>28</v>
      </c>
      <c r="H1625" s="36" t="s">
        <v>1655</v>
      </c>
      <c r="I1625" s="36" t="s">
        <v>1656</v>
      </c>
      <c r="J1625" s="36" t="s">
        <v>1656</v>
      </c>
      <c r="K1625" s="36" t="s">
        <v>1721</v>
      </c>
      <c r="L1625" s="36" t="s">
        <v>4214</v>
      </c>
      <c r="M1625" s="36" t="s">
        <v>4214</v>
      </c>
      <c r="N1625" s="36" t="s">
        <v>32</v>
      </c>
    </row>
    <row r="1626">
      <c r="A1626" s="36" t="s">
        <v>4534</v>
      </c>
      <c r="B1626" s="154" t="s">
        <v>4535</v>
      </c>
      <c r="C1626" s="36" t="s">
        <v>1666</v>
      </c>
      <c r="D1626" s="36" t="s">
        <v>224</v>
      </c>
      <c r="E1626" s="36" t="s">
        <v>224</v>
      </c>
      <c r="F1626" s="154" t="s">
        <v>4536</v>
      </c>
      <c r="G1626" s="36" t="s">
        <v>28</v>
      </c>
      <c r="H1626" s="36" t="s">
        <v>1655</v>
      </c>
      <c r="I1626" s="36" t="s">
        <v>1656</v>
      </c>
      <c r="J1626" s="36" t="s">
        <v>1656</v>
      </c>
      <c r="K1626" s="36" t="s">
        <v>1730</v>
      </c>
      <c r="L1626" s="36" t="s">
        <v>4214</v>
      </c>
      <c r="M1626" s="36" t="s">
        <v>4214</v>
      </c>
      <c r="N1626" s="36" t="s">
        <v>34</v>
      </c>
    </row>
    <row r="1627">
      <c r="A1627" s="36" t="s">
        <v>4537</v>
      </c>
      <c r="B1627" s="154" t="s">
        <v>4535</v>
      </c>
      <c r="C1627" s="36" t="s">
        <v>1666</v>
      </c>
      <c r="D1627" s="36" t="s">
        <v>552</v>
      </c>
      <c r="E1627" s="36" t="s">
        <v>552</v>
      </c>
      <c r="F1627" s="154" t="s">
        <v>1686</v>
      </c>
      <c r="G1627" s="36" t="s">
        <v>28</v>
      </c>
      <c r="H1627" s="36" t="s">
        <v>1655</v>
      </c>
      <c r="I1627" s="36" t="s">
        <v>1656</v>
      </c>
      <c r="J1627" s="36" t="s">
        <v>1656</v>
      </c>
      <c r="K1627" s="36" t="s">
        <v>1732</v>
      </c>
      <c r="L1627" s="36" t="s">
        <v>4214</v>
      </c>
      <c r="M1627" s="36" t="s">
        <v>4214</v>
      </c>
      <c r="N1627" s="36" t="s">
        <v>34</v>
      </c>
    </row>
    <row r="1628">
      <c r="A1628" s="36" t="s">
        <v>4538</v>
      </c>
      <c r="B1628" s="154" t="s">
        <v>4535</v>
      </c>
      <c r="C1628" s="36" t="s">
        <v>1666</v>
      </c>
      <c r="D1628" s="36" t="s">
        <v>512</v>
      </c>
      <c r="E1628" s="36" t="s">
        <v>512</v>
      </c>
      <c r="F1628" s="154" t="s">
        <v>1816</v>
      </c>
      <c r="G1628" s="36" t="s">
        <v>28</v>
      </c>
      <c r="H1628" s="36" t="s">
        <v>1655</v>
      </c>
      <c r="I1628" s="36" t="s">
        <v>1656</v>
      </c>
      <c r="J1628" s="36" t="s">
        <v>1656</v>
      </c>
      <c r="K1628" s="36" t="s">
        <v>1736</v>
      </c>
      <c r="L1628" s="36" t="s">
        <v>4214</v>
      </c>
      <c r="M1628" s="36" t="s">
        <v>4214</v>
      </c>
      <c r="N1628" s="36" t="s">
        <v>34</v>
      </c>
    </row>
    <row r="1629">
      <c r="A1629" s="36" t="s">
        <v>4539</v>
      </c>
      <c r="B1629" s="154" t="s">
        <v>4540</v>
      </c>
      <c r="C1629" s="36" t="s">
        <v>1653</v>
      </c>
      <c r="D1629" s="36" t="s">
        <v>55</v>
      </c>
      <c r="E1629" s="36" t="s">
        <v>39</v>
      </c>
      <c r="F1629" s="154" t="s">
        <v>4541</v>
      </c>
      <c r="G1629" s="36" t="s">
        <v>32</v>
      </c>
      <c r="H1629" s="36" t="s">
        <v>1655</v>
      </c>
      <c r="I1629" s="36" t="s">
        <v>1656</v>
      </c>
      <c r="J1629" s="36" t="s">
        <v>1656</v>
      </c>
      <c r="K1629" s="36" t="s">
        <v>1989</v>
      </c>
      <c r="L1629" s="36" t="s">
        <v>4212</v>
      </c>
      <c r="M1629" s="36" t="s">
        <v>4212</v>
      </c>
      <c r="N1629" s="36" t="s">
        <v>32</v>
      </c>
    </row>
    <row r="1630">
      <c r="A1630" s="36" t="s">
        <v>4542</v>
      </c>
      <c r="B1630" s="154" t="s">
        <v>4540</v>
      </c>
      <c r="C1630" s="36" t="s">
        <v>1666</v>
      </c>
      <c r="D1630" s="36" t="s">
        <v>71</v>
      </c>
      <c r="E1630" s="36" t="s">
        <v>71</v>
      </c>
      <c r="F1630" s="154" t="s">
        <v>4448</v>
      </c>
      <c r="G1630" s="36" t="s">
        <v>32</v>
      </c>
      <c r="H1630" s="36" t="s">
        <v>1655</v>
      </c>
      <c r="I1630" s="36" t="s">
        <v>1656</v>
      </c>
      <c r="J1630" s="36" t="s">
        <v>1656</v>
      </c>
      <c r="K1630" s="36" t="s">
        <v>1752</v>
      </c>
      <c r="L1630" s="36" t="s">
        <v>4214</v>
      </c>
      <c r="M1630" s="36" t="s">
        <v>4214</v>
      </c>
      <c r="N1630" s="36" t="s">
        <v>32</v>
      </c>
    </row>
    <row r="1631">
      <c r="A1631" s="36" t="s">
        <v>4543</v>
      </c>
      <c r="B1631" s="154" t="s">
        <v>4540</v>
      </c>
      <c r="C1631" s="36" t="s">
        <v>1666</v>
      </c>
      <c r="D1631" s="36" t="s">
        <v>73</v>
      </c>
      <c r="E1631" s="36" t="s">
        <v>73</v>
      </c>
      <c r="F1631" s="154" t="s">
        <v>4544</v>
      </c>
      <c r="G1631" s="36" t="s">
        <v>28</v>
      </c>
      <c r="H1631" s="36" t="s">
        <v>1655</v>
      </c>
      <c r="I1631" s="36" t="s">
        <v>1656</v>
      </c>
      <c r="J1631" s="36" t="s">
        <v>1656</v>
      </c>
      <c r="K1631" s="36" t="s">
        <v>1755</v>
      </c>
      <c r="L1631" s="36" t="s">
        <v>4214</v>
      </c>
      <c r="M1631" s="36" t="s">
        <v>4214</v>
      </c>
      <c r="N1631" s="36" t="s">
        <v>32</v>
      </c>
    </row>
    <row r="1632">
      <c r="A1632" s="36" t="s">
        <v>4545</v>
      </c>
      <c r="B1632" s="154" t="s">
        <v>4540</v>
      </c>
      <c r="C1632" s="36" t="s">
        <v>1666</v>
      </c>
      <c r="D1632" s="36" t="s">
        <v>74</v>
      </c>
      <c r="E1632" s="36" t="s">
        <v>74</v>
      </c>
      <c r="F1632" s="154" t="s">
        <v>4448</v>
      </c>
      <c r="G1632" s="36" t="s">
        <v>32</v>
      </c>
      <c r="H1632" s="36" t="s">
        <v>1655</v>
      </c>
      <c r="I1632" s="36" t="s">
        <v>1656</v>
      </c>
      <c r="J1632" s="36" t="s">
        <v>1656</v>
      </c>
      <c r="K1632" s="36" t="s">
        <v>1757</v>
      </c>
      <c r="L1632" s="36" t="s">
        <v>4214</v>
      </c>
      <c r="M1632" s="36" t="s">
        <v>4214</v>
      </c>
      <c r="N1632" s="36" t="s">
        <v>32</v>
      </c>
    </row>
    <row r="1633">
      <c r="A1633" s="36" t="s">
        <v>4546</v>
      </c>
      <c r="B1633" s="154" t="s">
        <v>4540</v>
      </c>
      <c r="C1633" s="36" t="s">
        <v>1666</v>
      </c>
      <c r="D1633" s="36" t="s">
        <v>75</v>
      </c>
      <c r="E1633" s="36" t="s">
        <v>75</v>
      </c>
      <c r="F1633" s="154" t="s">
        <v>4450</v>
      </c>
      <c r="G1633" s="36" t="s">
        <v>28</v>
      </c>
      <c r="H1633" s="36" t="s">
        <v>1655</v>
      </c>
      <c r="I1633" s="36" t="s">
        <v>1656</v>
      </c>
      <c r="J1633" s="36" t="s">
        <v>1656</v>
      </c>
      <c r="K1633" s="36" t="s">
        <v>1760</v>
      </c>
      <c r="L1633" s="36" t="s">
        <v>4214</v>
      </c>
      <c r="M1633" s="36" t="s">
        <v>4214</v>
      </c>
      <c r="N1633" s="36" t="s">
        <v>32</v>
      </c>
    </row>
    <row r="1634">
      <c r="A1634" s="36" t="s">
        <v>4547</v>
      </c>
      <c r="B1634" s="154" t="s">
        <v>4540</v>
      </c>
      <c r="C1634" s="36" t="s">
        <v>1666</v>
      </c>
      <c r="D1634" s="36" t="s">
        <v>76</v>
      </c>
      <c r="E1634" s="36" t="s">
        <v>76</v>
      </c>
      <c r="F1634" s="154" t="s">
        <v>4548</v>
      </c>
      <c r="G1634" s="36" t="s">
        <v>28</v>
      </c>
      <c r="H1634" s="36" t="s">
        <v>1655</v>
      </c>
      <c r="I1634" s="36" t="s">
        <v>1656</v>
      </c>
      <c r="J1634" s="36" t="s">
        <v>1656</v>
      </c>
      <c r="K1634" s="36" t="s">
        <v>1763</v>
      </c>
      <c r="L1634" s="36" t="s">
        <v>4214</v>
      </c>
      <c r="M1634" s="36" t="s">
        <v>4214</v>
      </c>
      <c r="N1634" s="36" t="s">
        <v>32</v>
      </c>
    </row>
    <row r="1635">
      <c r="A1635" s="36" t="s">
        <v>4549</v>
      </c>
      <c r="B1635" s="154" t="s">
        <v>4540</v>
      </c>
      <c r="C1635" s="36" t="s">
        <v>1666</v>
      </c>
      <c r="D1635" s="36" t="s">
        <v>77</v>
      </c>
      <c r="E1635" s="36" t="s">
        <v>77</v>
      </c>
      <c r="F1635" s="154" t="s">
        <v>1768</v>
      </c>
      <c r="G1635" s="36" t="s">
        <v>34</v>
      </c>
      <c r="H1635" s="36" t="s">
        <v>1655</v>
      </c>
      <c r="I1635" s="36" t="s">
        <v>1656</v>
      </c>
      <c r="J1635" s="36" t="s">
        <v>1656</v>
      </c>
      <c r="K1635" s="36" t="s">
        <v>4248</v>
      </c>
      <c r="L1635" s="36" t="s">
        <v>4214</v>
      </c>
      <c r="M1635" s="36" t="s">
        <v>4214</v>
      </c>
      <c r="N1635" s="36" t="s">
        <v>32</v>
      </c>
    </row>
    <row r="1636">
      <c r="A1636" s="36" t="s">
        <v>4550</v>
      </c>
      <c r="B1636" s="154" t="s">
        <v>4540</v>
      </c>
      <c r="C1636" s="36" t="s">
        <v>1666</v>
      </c>
      <c r="D1636" s="36" t="s">
        <v>1005</v>
      </c>
      <c r="E1636" s="36" t="s">
        <v>1005</v>
      </c>
      <c r="F1636" s="154" t="s">
        <v>4551</v>
      </c>
      <c r="G1636" s="36" t="s">
        <v>28</v>
      </c>
      <c r="H1636" s="36" t="s">
        <v>1655</v>
      </c>
      <c r="I1636" s="36" t="s">
        <v>1656</v>
      </c>
      <c r="J1636" s="36" t="s">
        <v>1656</v>
      </c>
      <c r="K1636" s="36" t="s">
        <v>1739</v>
      </c>
      <c r="L1636" s="36" t="s">
        <v>4214</v>
      </c>
      <c r="M1636" s="36" t="s">
        <v>4214</v>
      </c>
      <c r="N1636" s="36" t="s">
        <v>32</v>
      </c>
    </row>
    <row r="1637">
      <c r="A1637" s="36" t="s">
        <v>4552</v>
      </c>
      <c r="B1637" s="154" t="s">
        <v>4540</v>
      </c>
      <c r="C1637" s="36" t="s">
        <v>1666</v>
      </c>
      <c r="D1637" s="36" t="s">
        <v>1007</v>
      </c>
      <c r="E1637" s="36" t="s">
        <v>1007</v>
      </c>
      <c r="F1637" s="154" t="s">
        <v>4553</v>
      </c>
      <c r="G1637" s="36" t="s">
        <v>32</v>
      </c>
      <c r="H1637" s="36" t="s">
        <v>1655</v>
      </c>
      <c r="I1637" s="36" t="s">
        <v>1656</v>
      </c>
      <c r="J1637" s="36" t="s">
        <v>1656</v>
      </c>
      <c r="K1637" s="36" t="s">
        <v>1742</v>
      </c>
      <c r="L1637" s="36" t="s">
        <v>4214</v>
      </c>
      <c r="M1637" s="36" t="s">
        <v>4214</v>
      </c>
      <c r="N1637" s="36" t="s">
        <v>32</v>
      </c>
    </row>
    <row r="1638">
      <c r="A1638" s="36" t="s">
        <v>4554</v>
      </c>
      <c r="B1638" s="154" t="s">
        <v>4555</v>
      </c>
      <c r="C1638" s="36" t="s">
        <v>1666</v>
      </c>
      <c r="D1638" s="36" t="s">
        <v>978</v>
      </c>
      <c r="E1638" s="36" t="s">
        <v>978</v>
      </c>
      <c r="F1638" s="154" t="s">
        <v>3151</v>
      </c>
      <c r="G1638" s="36" t="s">
        <v>32</v>
      </c>
      <c r="H1638" s="36" t="s">
        <v>1655</v>
      </c>
      <c r="I1638" s="36" t="s">
        <v>1656</v>
      </c>
      <c r="J1638" s="36" t="s">
        <v>1656</v>
      </c>
      <c r="K1638" s="36" t="s">
        <v>1745</v>
      </c>
      <c r="L1638" s="36" t="s">
        <v>4214</v>
      </c>
      <c r="M1638" s="36" t="s">
        <v>4214</v>
      </c>
      <c r="N1638" s="36" t="s">
        <v>32</v>
      </c>
    </row>
    <row r="1639">
      <c r="A1639" s="36" t="s">
        <v>4556</v>
      </c>
      <c r="B1639" s="154" t="s">
        <v>4555</v>
      </c>
      <c r="C1639" s="36" t="s">
        <v>1666</v>
      </c>
      <c r="D1639" s="36" t="s">
        <v>115</v>
      </c>
      <c r="E1639" s="36" t="s">
        <v>115</v>
      </c>
      <c r="F1639" s="154" t="s">
        <v>1683</v>
      </c>
      <c r="G1639" s="36" t="s">
        <v>32</v>
      </c>
      <c r="H1639" s="36" t="s">
        <v>1655</v>
      </c>
      <c r="I1639" s="36" t="s">
        <v>1656</v>
      </c>
      <c r="J1639" s="36" t="s">
        <v>1656</v>
      </c>
      <c r="K1639" s="36" t="s">
        <v>1773</v>
      </c>
      <c r="L1639" s="36" t="s">
        <v>4214</v>
      </c>
      <c r="M1639" s="36" t="s">
        <v>4214</v>
      </c>
      <c r="N1639" s="36" t="s">
        <v>32</v>
      </c>
    </row>
    <row r="1640">
      <c r="A1640" s="36" t="s">
        <v>4557</v>
      </c>
      <c r="B1640" s="154" t="s">
        <v>4555</v>
      </c>
      <c r="C1640" s="36" t="s">
        <v>1666</v>
      </c>
      <c r="D1640" s="36" t="s">
        <v>979</v>
      </c>
      <c r="E1640" s="36" t="s">
        <v>979</v>
      </c>
      <c r="F1640" s="154" t="s">
        <v>4465</v>
      </c>
      <c r="G1640" s="36" t="s">
        <v>32</v>
      </c>
      <c r="H1640" s="36" t="s">
        <v>1655</v>
      </c>
      <c r="I1640" s="36" t="s">
        <v>1656</v>
      </c>
      <c r="J1640" s="36" t="s">
        <v>1656</v>
      </c>
      <c r="K1640" s="36" t="s">
        <v>1776</v>
      </c>
      <c r="L1640" s="36" t="s">
        <v>4214</v>
      </c>
      <c r="M1640" s="36" t="s">
        <v>4214</v>
      </c>
      <c r="N1640" s="36" t="s">
        <v>32</v>
      </c>
    </row>
    <row r="1641">
      <c r="A1641" s="36" t="s">
        <v>4558</v>
      </c>
      <c r="B1641" s="154" t="s">
        <v>4555</v>
      </c>
      <c r="C1641" s="36" t="s">
        <v>1666</v>
      </c>
      <c r="D1641" s="36" t="s">
        <v>552</v>
      </c>
      <c r="E1641" s="36" t="s">
        <v>552</v>
      </c>
      <c r="F1641" s="154" t="s">
        <v>2049</v>
      </c>
      <c r="G1641" s="36" t="s">
        <v>28</v>
      </c>
      <c r="H1641" s="36" t="s">
        <v>1655</v>
      </c>
      <c r="I1641" s="36" t="s">
        <v>1656</v>
      </c>
      <c r="J1641" s="36" t="s">
        <v>1656</v>
      </c>
      <c r="K1641" s="36" t="s">
        <v>1779</v>
      </c>
      <c r="L1641" s="36" t="s">
        <v>4214</v>
      </c>
      <c r="M1641" s="36" t="s">
        <v>4214</v>
      </c>
      <c r="N1641" s="36" t="s">
        <v>34</v>
      </c>
    </row>
    <row r="1642">
      <c r="A1642" s="36" t="s">
        <v>4559</v>
      </c>
      <c r="B1642" s="154" t="s">
        <v>4555</v>
      </c>
      <c r="C1642" s="36" t="s">
        <v>1666</v>
      </c>
      <c r="D1642" s="36" t="s">
        <v>945</v>
      </c>
      <c r="E1642" s="36" t="s">
        <v>945</v>
      </c>
      <c r="F1642" s="154" t="s">
        <v>2920</v>
      </c>
      <c r="G1642" s="36" t="s">
        <v>28</v>
      </c>
      <c r="H1642" s="36" t="s">
        <v>1655</v>
      </c>
      <c r="I1642" s="36" t="s">
        <v>1656</v>
      </c>
      <c r="J1642" s="36" t="s">
        <v>1656</v>
      </c>
      <c r="K1642" s="36" t="s">
        <v>1782</v>
      </c>
      <c r="L1642" s="36" t="s">
        <v>4214</v>
      </c>
      <c r="M1642" s="36" t="s">
        <v>4214</v>
      </c>
      <c r="N1642" s="36" t="s">
        <v>34</v>
      </c>
    </row>
    <row r="1643">
      <c r="A1643" s="36" t="s">
        <v>4560</v>
      </c>
      <c r="B1643" s="154" t="s">
        <v>4555</v>
      </c>
      <c r="C1643" s="36" t="s">
        <v>1666</v>
      </c>
      <c r="D1643" s="36" t="s">
        <v>109</v>
      </c>
      <c r="E1643" s="36" t="s">
        <v>109</v>
      </c>
      <c r="F1643" s="154" t="s">
        <v>1694</v>
      </c>
      <c r="G1643" s="36" t="s">
        <v>28</v>
      </c>
      <c r="H1643" s="36" t="s">
        <v>1655</v>
      </c>
      <c r="I1643" s="36" t="s">
        <v>1656</v>
      </c>
      <c r="J1643" s="36" t="s">
        <v>1656</v>
      </c>
      <c r="K1643" s="36" t="s">
        <v>1784</v>
      </c>
      <c r="L1643" s="36" t="s">
        <v>4214</v>
      </c>
      <c r="M1643" s="36" t="s">
        <v>4214</v>
      </c>
      <c r="N1643" s="36" t="s">
        <v>34</v>
      </c>
    </row>
    <row r="1644">
      <c r="A1644" s="36" t="s">
        <v>4561</v>
      </c>
      <c r="B1644" s="154" t="s">
        <v>4555</v>
      </c>
      <c r="C1644" s="36" t="s">
        <v>1666</v>
      </c>
      <c r="D1644" s="36" t="s">
        <v>582</v>
      </c>
      <c r="E1644" s="36" t="s">
        <v>582</v>
      </c>
      <c r="F1644" s="154" t="s">
        <v>1929</v>
      </c>
      <c r="G1644" s="36" t="s">
        <v>28</v>
      </c>
      <c r="H1644" s="36" t="s">
        <v>1655</v>
      </c>
      <c r="I1644" s="36" t="s">
        <v>1656</v>
      </c>
      <c r="J1644" s="36" t="s">
        <v>1656</v>
      </c>
      <c r="K1644" s="36" t="s">
        <v>1787</v>
      </c>
      <c r="L1644" s="36" t="s">
        <v>4214</v>
      </c>
      <c r="M1644" s="36" t="s">
        <v>4214</v>
      </c>
      <c r="N1644" s="36" t="s">
        <v>34</v>
      </c>
    </row>
    <row r="1645">
      <c r="A1645" s="36" t="s">
        <v>4562</v>
      </c>
      <c r="B1645" s="154" t="s">
        <v>4555</v>
      </c>
      <c r="C1645" s="36" t="s">
        <v>1666</v>
      </c>
      <c r="D1645" s="36" t="s">
        <v>1042</v>
      </c>
      <c r="E1645" s="36" t="s">
        <v>1042</v>
      </c>
      <c r="F1645" s="154" t="s">
        <v>2085</v>
      </c>
      <c r="G1645" s="36" t="s">
        <v>28</v>
      </c>
      <c r="H1645" s="36" t="s">
        <v>1655</v>
      </c>
      <c r="I1645" s="36" t="s">
        <v>1656</v>
      </c>
      <c r="J1645" s="36" t="s">
        <v>1656</v>
      </c>
      <c r="K1645" s="36" t="s">
        <v>1790</v>
      </c>
      <c r="L1645" s="36" t="s">
        <v>4214</v>
      </c>
      <c r="M1645" s="36" t="s">
        <v>4214</v>
      </c>
      <c r="N1645" s="36" t="s">
        <v>34</v>
      </c>
    </row>
    <row r="1646">
      <c r="A1646" s="36" t="s">
        <v>4563</v>
      </c>
      <c r="B1646" s="154" t="s">
        <v>4564</v>
      </c>
      <c r="C1646" s="36" t="s">
        <v>1666</v>
      </c>
      <c r="D1646" s="36" t="s">
        <v>712</v>
      </c>
      <c r="E1646" s="36" t="s">
        <v>712</v>
      </c>
      <c r="F1646" s="154" t="s">
        <v>3480</v>
      </c>
      <c r="G1646" s="36" t="s">
        <v>28</v>
      </c>
      <c r="H1646" s="36" t="s">
        <v>1655</v>
      </c>
      <c r="I1646" s="36" t="s">
        <v>1656</v>
      </c>
      <c r="J1646" s="36" t="s">
        <v>1656</v>
      </c>
      <c r="K1646" s="36" t="s">
        <v>1766</v>
      </c>
      <c r="L1646" s="36" t="s">
        <v>4214</v>
      </c>
      <c r="M1646" s="36" t="s">
        <v>4214</v>
      </c>
      <c r="N1646" s="36" t="s">
        <v>32</v>
      </c>
    </row>
    <row r="1647">
      <c r="A1647" s="36" t="s">
        <v>4565</v>
      </c>
      <c r="B1647" s="154" t="s">
        <v>4566</v>
      </c>
      <c r="C1647" s="36" t="s">
        <v>1666</v>
      </c>
      <c r="D1647" s="36" t="s">
        <v>552</v>
      </c>
      <c r="E1647" s="36" t="s">
        <v>552</v>
      </c>
      <c r="F1647" s="154" t="s">
        <v>1768</v>
      </c>
      <c r="G1647" s="36" t="s">
        <v>28</v>
      </c>
      <c r="H1647" s="36" t="s">
        <v>1655</v>
      </c>
      <c r="I1647" s="36" t="s">
        <v>1656</v>
      </c>
      <c r="J1647" s="36" t="s">
        <v>1656</v>
      </c>
      <c r="K1647" s="36" t="s">
        <v>1793</v>
      </c>
      <c r="L1647" s="36" t="s">
        <v>4214</v>
      </c>
      <c r="M1647" s="36" t="s">
        <v>4214</v>
      </c>
      <c r="N1647" s="36" t="s">
        <v>34</v>
      </c>
    </row>
    <row r="1648">
      <c r="A1648" s="36" t="s">
        <v>4567</v>
      </c>
      <c r="B1648" s="154" t="s">
        <v>4568</v>
      </c>
      <c r="C1648" s="36" t="s">
        <v>1653</v>
      </c>
      <c r="D1648" s="36" t="s">
        <v>912</v>
      </c>
      <c r="E1648" s="36" t="s">
        <v>39</v>
      </c>
      <c r="F1648" s="154" t="s">
        <v>1810</v>
      </c>
      <c r="G1648" s="36" t="s">
        <v>32</v>
      </c>
      <c r="H1648" s="36" t="s">
        <v>1655</v>
      </c>
      <c r="I1648" s="36" t="s">
        <v>1656</v>
      </c>
      <c r="J1648" s="36" t="s">
        <v>1656</v>
      </c>
      <c r="K1648" s="36" t="s">
        <v>1978</v>
      </c>
      <c r="L1648" s="36" t="s">
        <v>4212</v>
      </c>
      <c r="M1648" s="36" t="s">
        <v>4212</v>
      </c>
      <c r="N1648" s="36" t="s">
        <v>32</v>
      </c>
    </row>
    <row r="1649">
      <c r="A1649" s="36" t="s">
        <v>4569</v>
      </c>
      <c r="B1649" s="154" t="s">
        <v>4568</v>
      </c>
      <c r="C1649" s="36" t="s">
        <v>1666</v>
      </c>
      <c r="D1649" s="36" t="s">
        <v>965</v>
      </c>
      <c r="E1649" s="36" t="s">
        <v>965</v>
      </c>
      <c r="F1649" s="154" t="s">
        <v>4015</v>
      </c>
      <c r="G1649" s="36" t="s">
        <v>32</v>
      </c>
      <c r="H1649" s="36" t="s">
        <v>1655</v>
      </c>
      <c r="I1649" s="36" t="s">
        <v>1656</v>
      </c>
      <c r="J1649" s="36" t="s">
        <v>1656</v>
      </c>
      <c r="K1649" s="36" t="s">
        <v>1796</v>
      </c>
      <c r="L1649" s="36" t="s">
        <v>4214</v>
      </c>
      <c r="M1649" s="36" t="s">
        <v>4214</v>
      </c>
      <c r="N1649" s="36" t="s">
        <v>32</v>
      </c>
    </row>
    <row r="1650">
      <c r="A1650" s="36" t="s">
        <v>4570</v>
      </c>
      <c r="B1650" s="154" t="s">
        <v>4571</v>
      </c>
      <c r="C1650" s="36" t="s">
        <v>1666</v>
      </c>
      <c r="D1650" s="36" t="s">
        <v>1011</v>
      </c>
      <c r="E1650" s="36" t="s">
        <v>1011</v>
      </c>
      <c r="F1650" s="154" t="s">
        <v>1810</v>
      </c>
      <c r="G1650" s="36" t="s">
        <v>32</v>
      </c>
      <c r="H1650" s="36" t="s">
        <v>1655</v>
      </c>
      <c r="I1650" s="36" t="s">
        <v>1656</v>
      </c>
      <c r="J1650" s="36" t="s">
        <v>1656</v>
      </c>
      <c r="K1650" s="36" t="s">
        <v>1800</v>
      </c>
      <c r="L1650" s="36" t="s">
        <v>4214</v>
      </c>
      <c r="M1650" s="36" t="s">
        <v>4214</v>
      </c>
      <c r="N1650" s="36" t="s">
        <v>32</v>
      </c>
    </row>
    <row r="1651">
      <c r="A1651" s="36" t="s">
        <v>4572</v>
      </c>
      <c r="B1651" s="154" t="s">
        <v>4573</v>
      </c>
      <c r="C1651" s="36" t="s">
        <v>1666</v>
      </c>
      <c r="D1651" s="36" t="s">
        <v>1055</v>
      </c>
      <c r="E1651" s="36" t="s">
        <v>1055</v>
      </c>
      <c r="F1651" s="154" t="s">
        <v>2391</v>
      </c>
      <c r="G1651" s="36" t="s">
        <v>32</v>
      </c>
      <c r="H1651" s="36" t="s">
        <v>1655</v>
      </c>
      <c r="I1651" s="36" t="s">
        <v>1656</v>
      </c>
      <c r="J1651" s="36" t="s">
        <v>1656</v>
      </c>
      <c r="K1651" s="36" t="s">
        <v>1803</v>
      </c>
      <c r="L1651" s="36" t="s">
        <v>4214</v>
      </c>
      <c r="M1651" s="36" t="s">
        <v>4214</v>
      </c>
      <c r="N1651" s="36" t="s">
        <v>32</v>
      </c>
    </row>
    <row r="1652">
      <c r="A1652" s="36" t="s">
        <v>4574</v>
      </c>
      <c r="B1652" s="154" t="s">
        <v>4575</v>
      </c>
      <c r="C1652" s="36" t="s">
        <v>1666</v>
      </c>
      <c r="D1652" s="36" t="s">
        <v>1060</v>
      </c>
      <c r="E1652" s="36" t="s">
        <v>1060</v>
      </c>
      <c r="F1652" s="154" t="s">
        <v>2192</v>
      </c>
      <c r="G1652" s="36" t="s">
        <v>32</v>
      </c>
      <c r="H1652" s="36" t="s">
        <v>1655</v>
      </c>
      <c r="I1652" s="36" t="s">
        <v>1656</v>
      </c>
      <c r="J1652" s="36" t="s">
        <v>1656</v>
      </c>
      <c r="K1652" s="36" t="s">
        <v>1807</v>
      </c>
      <c r="L1652" s="36" t="s">
        <v>4214</v>
      </c>
      <c r="M1652" s="36" t="s">
        <v>4214</v>
      </c>
      <c r="N1652" s="36" t="s">
        <v>32</v>
      </c>
    </row>
    <row r="1653">
      <c r="A1653" s="36" t="s">
        <v>4576</v>
      </c>
      <c r="B1653" s="154" t="s">
        <v>4577</v>
      </c>
      <c r="C1653" s="36" t="s">
        <v>1666</v>
      </c>
      <c r="D1653" s="36" t="s">
        <v>1067</v>
      </c>
      <c r="E1653" s="36" t="s">
        <v>1067</v>
      </c>
      <c r="F1653" s="154" t="s">
        <v>1871</v>
      </c>
      <c r="G1653" s="36" t="s">
        <v>28</v>
      </c>
      <c r="H1653" s="36" t="s">
        <v>1655</v>
      </c>
      <c r="I1653" s="36" t="s">
        <v>1656</v>
      </c>
      <c r="J1653" s="36" t="s">
        <v>1656</v>
      </c>
      <c r="K1653" s="36" t="s">
        <v>1814</v>
      </c>
      <c r="L1653" s="36" t="s">
        <v>4214</v>
      </c>
      <c r="M1653" s="36" t="s">
        <v>4214</v>
      </c>
      <c r="N1653" s="36" t="s">
        <v>34</v>
      </c>
    </row>
    <row r="1654">
      <c r="A1654" s="36" t="s">
        <v>4578</v>
      </c>
      <c r="B1654" s="154" t="s">
        <v>4579</v>
      </c>
      <c r="C1654" s="36" t="s">
        <v>1666</v>
      </c>
      <c r="D1654" s="36" t="s">
        <v>1073</v>
      </c>
      <c r="E1654" s="36" t="s">
        <v>1073</v>
      </c>
      <c r="F1654" s="154" t="s">
        <v>1899</v>
      </c>
      <c r="G1654" s="36" t="s">
        <v>32</v>
      </c>
      <c r="H1654" s="36" t="s">
        <v>1655</v>
      </c>
      <c r="I1654" s="36" t="s">
        <v>1656</v>
      </c>
      <c r="J1654" s="36" t="s">
        <v>1656</v>
      </c>
      <c r="K1654" s="36" t="s">
        <v>1817</v>
      </c>
      <c r="L1654" s="36" t="s">
        <v>4214</v>
      </c>
      <c r="M1654" s="36" t="s">
        <v>4214</v>
      </c>
      <c r="N1654" s="36" t="s">
        <v>32</v>
      </c>
    </row>
    <row r="1655">
      <c r="A1655" s="36" t="s">
        <v>4580</v>
      </c>
      <c r="B1655" s="154" t="s">
        <v>4581</v>
      </c>
      <c r="C1655" s="36" t="s">
        <v>1666</v>
      </c>
      <c r="D1655" s="36" t="s">
        <v>92</v>
      </c>
      <c r="E1655" s="36" t="s">
        <v>92</v>
      </c>
      <c r="F1655" s="154" t="s">
        <v>2920</v>
      </c>
      <c r="G1655" s="36" t="s">
        <v>32</v>
      </c>
      <c r="H1655" s="36" t="s">
        <v>1655</v>
      </c>
      <c r="I1655" s="36" t="s">
        <v>1656</v>
      </c>
      <c r="J1655" s="36" t="s">
        <v>1656</v>
      </c>
      <c r="K1655" s="36" t="s">
        <v>1820</v>
      </c>
      <c r="L1655" s="36" t="s">
        <v>4214</v>
      </c>
      <c r="M1655" s="36" t="s">
        <v>4214</v>
      </c>
      <c r="N1655" s="36" t="s">
        <v>32</v>
      </c>
    </row>
    <row r="1656">
      <c r="A1656" s="36" t="s">
        <v>4582</v>
      </c>
      <c r="B1656" s="154" t="s">
        <v>4583</v>
      </c>
      <c r="C1656" s="36" t="s">
        <v>1666</v>
      </c>
      <c r="D1656" s="36" t="s">
        <v>81</v>
      </c>
      <c r="E1656" s="36" t="s">
        <v>81</v>
      </c>
      <c r="F1656" s="154" t="s">
        <v>4584</v>
      </c>
      <c r="G1656" s="36" t="s">
        <v>28</v>
      </c>
      <c r="H1656" s="36" t="s">
        <v>1655</v>
      </c>
      <c r="I1656" s="36" t="s">
        <v>1656</v>
      </c>
      <c r="J1656" s="36" t="s">
        <v>1656</v>
      </c>
      <c r="K1656" s="36" t="s">
        <v>1891</v>
      </c>
      <c r="L1656" s="36" t="s">
        <v>4214</v>
      </c>
      <c r="M1656" s="36" t="s">
        <v>4214</v>
      </c>
      <c r="N1656" s="36" t="s">
        <v>32</v>
      </c>
    </row>
    <row r="1657">
      <c r="A1657" s="36" t="s">
        <v>4585</v>
      </c>
      <c r="B1657" s="154" t="s">
        <v>4583</v>
      </c>
      <c r="C1657" s="36" t="s">
        <v>1666</v>
      </c>
      <c r="D1657" s="36" t="s">
        <v>83</v>
      </c>
      <c r="E1657" s="36" t="s">
        <v>83</v>
      </c>
      <c r="F1657" s="154" t="s">
        <v>4586</v>
      </c>
      <c r="G1657" s="36" t="s">
        <v>28</v>
      </c>
      <c r="H1657" s="36" t="s">
        <v>1655</v>
      </c>
      <c r="I1657" s="36" t="s">
        <v>1656</v>
      </c>
      <c r="J1657" s="36" t="s">
        <v>1656</v>
      </c>
      <c r="K1657" s="36" t="s">
        <v>1921</v>
      </c>
      <c r="L1657" s="36" t="s">
        <v>4214</v>
      </c>
      <c r="M1657" s="36" t="s">
        <v>4214</v>
      </c>
      <c r="N1657" s="36" t="s">
        <v>32</v>
      </c>
    </row>
    <row r="1658">
      <c r="A1658" s="36" t="s">
        <v>4587</v>
      </c>
      <c r="B1658" s="154" t="s">
        <v>4583</v>
      </c>
      <c r="C1658" s="36" t="s">
        <v>1666</v>
      </c>
      <c r="D1658" s="36" t="s">
        <v>84</v>
      </c>
      <c r="E1658" s="36" t="s">
        <v>84</v>
      </c>
      <c r="F1658" s="154" t="s">
        <v>4588</v>
      </c>
      <c r="G1658" s="36" t="s">
        <v>32</v>
      </c>
      <c r="H1658" s="36" t="s">
        <v>1655</v>
      </c>
      <c r="I1658" s="36" t="s">
        <v>1656</v>
      </c>
      <c r="J1658" s="36" t="s">
        <v>1656</v>
      </c>
      <c r="K1658" s="36" t="s">
        <v>3166</v>
      </c>
      <c r="L1658" s="36" t="s">
        <v>4214</v>
      </c>
      <c r="M1658" s="36" t="s">
        <v>4214</v>
      </c>
      <c r="N1658" s="36" t="s">
        <v>32</v>
      </c>
    </row>
    <row r="1659">
      <c r="A1659" s="36" t="s">
        <v>4589</v>
      </c>
      <c r="B1659" s="154" t="s">
        <v>4590</v>
      </c>
      <c r="C1659" s="36" t="s">
        <v>1653</v>
      </c>
      <c r="D1659" s="36" t="s">
        <v>43</v>
      </c>
      <c r="E1659" s="36" t="s">
        <v>39</v>
      </c>
      <c r="F1659" s="154" t="s">
        <v>4591</v>
      </c>
      <c r="G1659" s="36" t="s">
        <v>32</v>
      </c>
      <c r="H1659" s="36" t="s">
        <v>1655</v>
      </c>
      <c r="I1659" s="36" t="s">
        <v>1656</v>
      </c>
      <c r="J1659" s="36" t="s">
        <v>1656</v>
      </c>
      <c r="K1659" s="36" t="s">
        <v>1657</v>
      </c>
      <c r="L1659" s="36" t="s">
        <v>4212</v>
      </c>
      <c r="M1659" s="36" t="s">
        <v>4212</v>
      </c>
      <c r="N1659" s="36" t="s">
        <v>32</v>
      </c>
    </row>
    <row r="1660">
      <c r="A1660" s="36" t="s">
        <v>4592</v>
      </c>
      <c r="B1660" s="154" t="s">
        <v>4590</v>
      </c>
      <c r="C1660" s="36" t="s">
        <v>1666</v>
      </c>
      <c r="D1660" s="36" t="s">
        <v>85</v>
      </c>
      <c r="E1660" s="36" t="s">
        <v>85</v>
      </c>
      <c r="F1660" s="154" t="s">
        <v>4504</v>
      </c>
      <c r="G1660" s="36" t="s">
        <v>28</v>
      </c>
      <c r="H1660" s="36" t="s">
        <v>1655</v>
      </c>
      <c r="I1660" s="36" t="s">
        <v>1656</v>
      </c>
      <c r="J1660" s="36" t="s">
        <v>1656</v>
      </c>
      <c r="K1660" s="36" t="s">
        <v>3038</v>
      </c>
      <c r="L1660" s="36" t="s">
        <v>4214</v>
      </c>
      <c r="M1660" s="36" t="s">
        <v>4214</v>
      </c>
      <c r="N1660" s="36" t="s">
        <v>32</v>
      </c>
    </row>
    <row r="1661">
      <c r="A1661" s="36" t="s">
        <v>4593</v>
      </c>
      <c r="B1661" s="154" t="s">
        <v>4590</v>
      </c>
      <c r="C1661" s="36" t="s">
        <v>1666</v>
      </c>
      <c r="D1661" s="36" t="s">
        <v>439</v>
      </c>
      <c r="E1661" s="36" t="s">
        <v>439</v>
      </c>
      <c r="F1661" s="154" t="s">
        <v>4594</v>
      </c>
      <c r="G1661" s="36" t="s">
        <v>28</v>
      </c>
      <c r="H1661" s="36" t="s">
        <v>1655</v>
      </c>
      <c r="I1661" s="36" t="s">
        <v>1656</v>
      </c>
      <c r="J1661" s="36" t="s">
        <v>1656</v>
      </c>
      <c r="K1661" s="36" t="s">
        <v>2775</v>
      </c>
      <c r="L1661" s="36" t="s">
        <v>4214</v>
      </c>
      <c r="M1661" s="36" t="s">
        <v>4214</v>
      </c>
      <c r="N1661" s="36" t="s">
        <v>32</v>
      </c>
    </row>
    <row r="1662">
      <c r="A1662" s="36" t="s">
        <v>4595</v>
      </c>
      <c r="B1662" s="154" t="s">
        <v>4590</v>
      </c>
      <c r="C1662" s="36" t="s">
        <v>1666</v>
      </c>
      <c r="D1662" s="36" t="s">
        <v>192</v>
      </c>
      <c r="E1662" s="36" t="s">
        <v>192</v>
      </c>
      <c r="F1662" s="154" t="s">
        <v>4596</v>
      </c>
      <c r="G1662" s="36" t="s">
        <v>28</v>
      </c>
      <c r="H1662" s="36" t="s">
        <v>1655</v>
      </c>
      <c r="I1662" s="36" t="s">
        <v>1656</v>
      </c>
      <c r="J1662" s="36" t="s">
        <v>1656</v>
      </c>
      <c r="K1662" s="36" t="s">
        <v>2779</v>
      </c>
      <c r="L1662" s="36" t="s">
        <v>4214</v>
      </c>
      <c r="M1662" s="36" t="s">
        <v>4214</v>
      </c>
      <c r="N1662" s="36" t="s">
        <v>32</v>
      </c>
    </row>
    <row r="1663">
      <c r="A1663" s="36" t="s">
        <v>4597</v>
      </c>
      <c r="B1663" s="154" t="s">
        <v>4590</v>
      </c>
      <c r="C1663" s="36" t="s">
        <v>1666</v>
      </c>
      <c r="D1663" s="36" t="s">
        <v>932</v>
      </c>
      <c r="E1663" s="36" t="s">
        <v>932</v>
      </c>
      <c r="F1663" s="154" t="s">
        <v>4598</v>
      </c>
      <c r="G1663" s="36" t="s">
        <v>32</v>
      </c>
      <c r="H1663" s="36" t="s">
        <v>1655</v>
      </c>
      <c r="I1663" s="36" t="s">
        <v>1656</v>
      </c>
      <c r="J1663" s="36" t="s">
        <v>1656</v>
      </c>
      <c r="K1663" s="36" t="s">
        <v>2781</v>
      </c>
      <c r="L1663" s="36" t="s">
        <v>4214</v>
      </c>
      <c r="M1663" s="36" t="s">
        <v>4214</v>
      </c>
      <c r="N1663" s="36" t="s">
        <v>32</v>
      </c>
    </row>
    <row r="1664">
      <c r="A1664" s="36" t="s">
        <v>4599</v>
      </c>
      <c r="B1664" s="154" t="s">
        <v>4590</v>
      </c>
      <c r="C1664" s="36" t="s">
        <v>1666</v>
      </c>
      <c r="D1664" s="36" t="s">
        <v>100</v>
      </c>
      <c r="E1664" s="36" t="s">
        <v>100</v>
      </c>
      <c r="F1664" s="154" t="s">
        <v>1810</v>
      </c>
      <c r="G1664" s="36" t="s">
        <v>32</v>
      </c>
      <c r="H1664" s="36" t="s">
        <v>1655</v>
      </c>
      <c r="I1664" s="36" t="s">
        <v>1656</v>
      </c>
      <c r="J1664" s="36" t="s">
        <v>1656</v>
      </c>
      <c r="K1664" s="36" t="s">
        <v>1678</v>
      </c>
      <c r="L1664" s="36" t="s">
        <v>4214</v>
      </c>
      <c r="M1664" s="36" t="s">
        <v>4214</v>
      </c>
      <c r="N1664" s="36" t="s">
        <v>32</v>
      </c>
    </row>
    <row r="1665">
      <c r="A1665" s="36" t="s">
        <v>4600</v>
      </c>
      <c r="B1665" s="154" t="s">
        <v>4601</v>
      </c>
      <c r="C1665" s="36" t="s">
        <v>1666</v>
      </c>
      <c r="D1665" s="36" t="s">
        <v>939</v>
      </c>
      <c r="E1665" s="36" t="s">
        <v>939</v>
      </c>
      <c r="F1665" s="154" t="s">
        <v>1806</v>
      </c>
      <c r="G1665" s="36" t="s">
        <v>28</v>
      </c>
      <c r="H1665" s="36" t="s">
        <v>1655</v>
      </c>
      <c r="I1665" s="36" t="s">
        <v>1656</v>
      </c>
      <c r="J1665" s="36" t="s">
        <v>1656</v>
      </c>
      <c r="K1665" s="36" t="s">
        <v>1681</v>
      </c>
      <c r="L1665" s="36" t="s">
        <v>4214</v>
      </c>
      <c r="M1665" s="36" t="s">
        <v>4214</v>
      </c>
      <c r="N1665" s="36" t="s">
        <v>32</v>
      </c>
    </row>
    <row r="1666">
      <c r="A1666" s="36" t="s">
        <v>4602</v>
      </c>
      <c r="B1666" s="154" t="s">
        <v>4601</v>
      </c>
      <c r="C1666" s="36" t="s">
        <v>1666</v>
      </c>
      <c r="D1666" s="36" t="s">
        <v>923</v>
      </c>
      <c r="E1666" s="36" t="s">
        <v>923</v>
      </c>
      <c r="F1666" s="154" t="s">
        <v>4509</v>
      </c>
      <c r="G1666" s="36" t="s">
        <v>32</v>
      </c>
      <c r="H1666" s="36" t="s">
        <v>1655</v>
      </c>
      <c r="I1666" s="36" t="s">
        <v>1656</v>
      </c>
      <c r="J1666" s="36" t="s">
        <v>1656</v>
      </c>
      <c r="K1666" s="36" t="s">
        <v>1684</v>
      </c>
      <c r="L1666" s="36" t="s">
        <v>4214</v>
      </c>
      <c r="M1666" s="36" t="s">
        <v>4214</v>
      </c>
      <c r="N1666" s="36" t="s">
        <v>32</v>
      </c>
    </row>
    <row r="1667">
      <c r="A1667" s="36" t="s">
        <v>4603</v>
      </c>
      <c r="B1667" s="154" t="s">
        <v>4604</v>
      </c>
      <c r="C1667" s="36" t="s">
        <v>1666</v>
      </c>
      <c r="D1667" s="36" t="s">
        <v>78</v>
      </c>
      <c r="E1667" s="36" t="s">
        <v>78</v>
      </c>
      <c r="F1667" s="154" t="s">
        <v>2325</v>
      </c>
      <c r="G1667" s="36" t="s">
        <v>28</v>
      </c>
      <c r="H1667" s="36" t="s">
        <v>1655</v>
      </c>
      <c r="I1667" s="36" t="s">
        <v>1656</v>
      </c>
      <c r="J1667" s="36" t="s">
        <v>1656</v>
      </c>
      <c r="K1667" s="36" t="s">
        <v>1769</v>
      </c>
      <c r="L1667" s="36" t="s">
        <v>4214</v>
      </c>
      <c r="M1667" s="36" t="s">
        <v>4214</v>
      </c>
      <c r="N1667" s="36" t="s">
        <v>32</v>
      </c>
    </row>
    <row r="1668">
      <c r="A1668" s="36" t="s">
        <v>4605</v>
      </c>
      <c r="B1668" s="154" t="s">
        <v>4606</v>
      </c>
      <c r="C1668" s="36" t="s">
        <v>1666</v>
      </c>
      <c r="D1668" s="36" t="s">
        <v>63</v>
      </c>
      <c r="E1668" s="36" t="s">
        <v>63</v>
      </c>
      <c r="F1668" s="154" t="s">
        <v>4607</v>
      </c>
      <c r="G1668" s="36" t="s">
        <v>28</v>
      </c>
      <c r="H1668" s="36" t="s">
        <v>1655</v>
      </c>
      <c r="I1668" s="36" t="s">
        <v>1656</v>
      </c>
      <c r="J1668" s="36" t="s">
        <v>1656</v>
      </c>
      <c r="K1668" s="36" t="s">
        <v>4196</v>
      </c>
      <c r="L1668" s="36" t="s">
        <v>4214</v>
      </c>
      <c r="M1668" s="36" t="s">
        <v>4214</v>
      </c>
      <c r="N1668" s="36" t="s">
        <v>34</v>
      </c>
    </row>
    <row r="1669">
      <c r="A1669" s="36" t="s">
        <v>4608</v>
      </c>
      <c r="B1669" s="154" t="s">
        <v>4609</v>
      </c>
      <c r="C1669" s="36" t="s">
        <v>1666</v>
      </c>
      <c r="D1669" s="36" t="s">
        <v>64</v>
      </c>
      <c r="E1669" s="36" t="s">
        <v>64</v>
      </c>
      <c r="F1669" s="154" t="s">
        <v>4431</v>
      </c>
      <c r="G1669" s="36" t="s">
        <v>28</v>
      </c>
      <c r="H1669" s="36" t="s">
        <v>1655</v>
      </c>
      <c r="I1669" s="36" t="s">
        <v>1656</v>
      </c>
      <c r="J1669" s="36" t="s">
        <v>1656</v>
      </c>
      <c r="K1669" s="36" t="s">
        <v>1708</v>
      </c>
      <c r="L1669" s="36" t="s">
        <v>4214</v>
      </c>
      <c r="M1669" s="36" t="s">
        <v>4214</v>
      </c>
      <c r="N1669" s="36" t="s">
        <v>32</v>
      </c>
    </row>
    <row r="1670">
      <c r="A1670" s="36" t="s">
        <v>4610</v>
      </c>
      <c r="B1670" s="154" t="s">
        <v>4609</v>
      </c>
      <c r="C1670" s="36" t="s">
        <v>1666</v>
      </c>
      <c r="D1670" s="36" t="s">
        <v>953</v>
      </c>
      <c r="E1670" s="36" t="s">
        <v>953</v>
      </c>
      <c r="F1670" s="154" t="s">
        <v>2930</v>
      </c>
      <c r="G1670" s="36" t="s">
        <v>28</v>
      </c>
      <c r="H1670" s="36" t="s">
        <v>1655</v>
      </c>
      <c r="I1670" s="36" t="s">
        <v>1656</v>
      </c>
      <c r="J1670" s="36" t="s">
        <v>1656</v>
      </c>
      <c r="K1670" s="36" t="s">
        <v>1691</v>
      </c>
      <c r="L1670" s="36" t="s">
        <v>4214</v>
      </c>
      <c r="M1670" s="36" t="s">
        <v>4214</v>
      </c>
      <c r="N1670" s="36" t="s">
        <v>34</v>
      </c>
    </row>
    <row r="1671">
      <c r="A1671" s="36" t="s">
        <v>4611</v>
      </c>
      <c r="B1671" s="154" t="s">
        <v>4609</v>
      </c>
      <c r="C1671" s="36" t="s">
        <v>1666</v>
      </c>
      <c r="D1671" s="36" t="s">
        <v>611</v>
      </c>
      <c r="E1671" s="36" t="s">
        <v>611</v>
      </c>
      <c r="F1671" s="154" t="s">
        <v>4174</v>
      </c>
      <c r="G1671" s="36" t="s">
        <v>28</v>
      </c>
      <c r="H1671" s="36" t="s">
        <v>1655</v>
      </c>
      <c r="I1671" s="36" t="s">
        <v>1656</v>
      </c>
      <c r="J1671" s="36" t="s">
        <v>1656</v>
      </c>
      <c r="K1671" s="36" t="s">
        <v>1695</v>
      </c>
      <c r="L1671" s="36" t="s">
        <v>4214</v>
      </c>
      <c r="M1671" s="36" t="s">
        <v>4214</v>
      </c>
      <c r="N1671" s="36" t="s">
        <v>34</v>
      </c>
    </row>
    <row r="1672">
      <c r="A1672" s="36" t="s">
        <v>4612</v>
      </c>
      <c r="B1672" s="154" t="s">
        <v>4609</v>
      </c>
      <c r="C1672" s="36" t="s">
        <v>1666</v>
      </c>
      <c r="D1672" s="36" t="s">
        <v>963</v>
      </c>
      <c r="E1672" s="36" t="s">
        <v>963</v>
      </c>
      <c r="F1672" s="154" t="s">
        <v>3117</v>
      </c>
      <c r="G1672" s="36" t="s">
        <v>28</v>
      </c>
      <c r="H1672" s="36" t="s">
        <v>1655</v>
      </c>
      <c r="I1672" s="36" t="s">
        <v>1656</v>
      </c>
      <c r="J1672" s="36" t="s">
        <v>1656</v>
      </c>
      <c r="K1672" s="36" t="s">
        <v>1698</v>
      </c>
      <c r="L1672" s="36" t="s">
        <v>4214</v>
      </c>
      <c r="M1672" s="36" t="s">
        <v>4214</v>
      </c>
      <c r="N1672" s="36" t="s">
        <v>34</v>
      </c>
    </row>
    <row r="1673">
      <c r="A1673" s="36" t="s">
        <v>4613</v>
      </c>
      <c r="B1673" s="154" t="s">
        <v>4614</v>
      </c>
      <c r="C1673" s="36" t="s">
        <v>1666</v>
      </c>
      <c r="D1673" s="36" t="s">
        <v>355</v>
      </c>
      <c r="E1673" s="36" t="s">
        <v>355</v>
      </c>
      <c r="F1673" s="154" t="s">
        <v>1832</v>
      </c>
      <c r="G1673" s="36" t="s">
        <v>32</v>
      </c>
      <c r="H1673" s="36" t="s">
        <v>1655</v>
      </c>
      <c r="I1673" s="36" t="s">
        <v>1656</v>
      </c>
      <c r="J1673" s="36" t="s">
        <v>1656</v>
      </c>
      <c r="K1673" s="36" t="s">
        <v>1701</v>
      </c>
      <c r="L1673" s="36" t="s">
        <v>4214</v>
      </c>
      <c r="M1673" s="36" t="s">
        <v>4214</v>
      </c>
      <c r="N1673" s="36" t="s">
        <v>32</v>
      </c>
    </row>
    <row r="1674">
      <c r="A1674" s="36" t="s">
        <v>4615</v>
      </c>
      <c r="B1674" s="154" t="s">
        <v>4616</v>
      </c>
      <c r="C1674" s="36" t="s">
        <v>1666</v>
      </c>
      <c r="D1674" s="36" t="s">
        <v>66</v>
      </c>
      <c r="E1674" s="36" t="s">
        <v>66</v>
      </c>
      <c r="F1674" s="154" t="s">
        <v>4617</v>
      </c>
      <c r="G1674" s="36" t="s">
        <v>28</v>
      </c>
      <c r="H1674" s="36" t="s">
        <v>1655</v>
      </c>
      <c r="I1674" s="36" t="s">
        <v>1656</v>
      </c>
      <c r="J1674" s="36" t="s">
        <v>1656</v>
      </c>
      <c r="K1674" s="36" t="s">
        <v>1721</v>
      </c>
      <c r="L1674" s="36" t="s">
        <v>4214</v>
      </c>
      <c r="M1674" s="36" t="s">
        <v>4214</v>
      </c>
      <c r="N1674" s="36" t="s">
        <v>32</v>
      </c>
    </row>
    <row r="1675">
      <c r="A1675" s="36" t="s">
        <v>4618</v>
      </c>
      <c r="B1675" s="154" t="s">
        <v>4616</v>
      </c>
      <c r="C1675" s="36" t="s">
        <v>1666</v>
      </c>
      <c r="D1675" s="36" t="s">
        <v>100</v>
      </c>
      <c r="E1675" s="36" t="s">
        <v>100</v>
      </c>
      <c r="F1675" s="154" t="s">
        <v>1810</v>
      </c>
      <c r="G1675" s="36" t="s">
        <v>32</v>
      </c>
      <c r="H1675" s="36" t="s">
        <v>1655</v>
      </c>
      <c r="I1675" s="36" t="s">
        <v>1656</v>
      </c>
      <c r="J1675" s="36" t="s">
        <v>1656</v>
      </c>
      <c r="K1675" s="36" t="s">
        <v>1704</v>
      </c>
      <c r="L1675" s="36" t="s">
        <v>4214</v>
      </c>
      <c r="M1675" s="36" t="s">
        <v>4214</v>
      </c>
      <c r="N1675" s="36" t="s">
        <v>32</v>
      </c>
    </row>
    <row r="1676">
      <c r="A1676" s="36" t="s">
        <v>4619</v>
      </c>
      <c r="B1676" s="154" t="s">
        <v>4620</v>
      </c>
      <c r="C1676" s="36" t="s">
        <v>1653</v>
      </c>
      <c r="D1676" s="36" t="s">
        <v>907</v>
      </c>
      <c r="E1676" s="36" t="s">
        <v>39</v>
      </c>
      <c r="F1676" s="154" t="s">
        <v>4621</v>
      </c>
      <c r="G1676" s="36" t="s">
        <v>32</v>
      </c>
      <c r="H1676" s="36" t="s">
        <v>1655</v>
      </c>
      <c r="I1676" s="36" t="s">
        <v>1656</v>
      </c>
      <c r="J1676" s="36" t="s">
        <v>1656</v>
      </c>
      <c r="K1676" s="36" t="s">
        <v>1989</v>
      </c>
      <c r="L1676" s="36" t="s">
        <v>4212</v>
      </c>
      <c r="M1676" s="36" t="s">
        <v>4212</v>
      </c>
      <c r="N1676" s="36" t="s">
        <v>32</v>
      </c>
    </row>
    <row r="1677">
      <c r="A1677" s="36" t="s">
        <v>4622</v>
      </c>
      <c r="B1677" s="154" t="s">
        <v>4620</v>
      </c>
      <c r="C1677" s="36" t="s">
        <v>1666</v>
      </c>
      <c r="D1677" s="36" t="s">
        <v>977</v>
      </c>
      <c r="E1677" s="36" t="s">
        <v>977</v>
      </c>
      <c r="F1677" s="154" t="s">
        <v>2835</v>
      </c>
      <c r="G1677" s="36" t="s">
        <v>28</v>
      </c>
      <c r="H1677" s="36" t="s">
        <v>1655</v>
      </c>
      <c r="I1677" s="36" t="s">
        <v>1656</v>
      </c>
      <c r="J1677" s="36" t="s">
        <v>1656</v>
      </c>
      <c r="K1677" s="36" t="s">
        <v>1711</v>
      </c>
      <c r="L1677" s="36" t="s">
        <v>4214</v>
      </c>
      <c r="M1677" s="36" t="s">
        <v>4214</v>
      </c>
      <c r="N1677" s="36" t="s">
        <v>32</v>
      </c>
    </row>
    <row r="1678">
      <c r="A1678" s="36" t="s">
        <v>4623</v>
      </c>
      <c r="B1678" s="154" t="s">
        <v>4620</v>
      </c>
      <c r="C1678" s="36" t="s">
        <v>1666</v>
      </c>
      <c r="D1678" s="36" t="s">
        <v>547</v>
      </c>
      <c r="E1678" s="36" t="s">
        <v>547</v>
      </c>
      <c r="F1678" s="154" t="s">
        <v>3820</v>
      </c>
      <c r="G1678" s="36" t="s">
        <v>28</v>
      </c>
      <c r="H1678" s="36" t="s">
        <v>1655</v>
      </c>
      <c r="I1678" s="36" t="s">
        <v>1656</v>
      </c>
      <c r="J1678" s="36" t="s">
        <v>1656</v>
      </c>
      <c r="K1678" s="36" t="s">
        <v>1715</v>
      </c>
      <c r="L1678" s="36" t="s">
        <v>4214</v>
      </c>
      <c r="M1678" s="36" t="s">
        <v>4214</v>
      </c>
      <c r="N1678" s="36" t="s">
        <v>32</v>
      </c>
    </row>
    <row r="1679">
      <c r="A1679" s="36" t="s">
        <v>4624</v>
      </c>
      <c r="B1679" s="154" t="s">
        <v>4620</v>
      </c>
      <c r="C1679" s="36" t="s">
        <v>1666</v>
      </c>
      <c r="D1679" s="36" t="s">
        <v>695</v>
      </c>
      <c r="E1679" s="36" t="s">
        <v>695</v>
      </c>
      <c r="F1679" s="154" t="s">
        <v>4625</v>
      </c>
      <c r="G1679" s="36" t="s">
        <v>32</v>
      </c>
      <c r="H1679" s="36" t="s">
        <v>1655</v>
      </c>
      <c r="I1679" s="36" t="s">
        <v>1656</v>
      </c>
      <c r="J1679" s="36" t="s">
        <v>1656</v>
      </c>
      <c r="K1679" s="36" t="s">
        <v>1717</v>
      </c>
      <c r="L1679" s="36" t="s">
        <v>4214</v>
      </c>
      <c r="M1679" s="36" t="s">
        <v>4214</v>
      </c>
      <c r="N1679" s="36" t="s">
        <v>32</v>
      </c>
    </row>
    <row r="1680">
      <c r="A1680" s="36" t="s">
        <v>4626</v>
      </c>
      <c r="B1680" s="154" t="s">
        <v>4620</v>
      </c>
      <c r="C1680" s="36" t="s">
        <v>1666</v>
      </c>
      <c r="D1680" s="36" t="s">
        <v>313</v>
      </c>
      <c r="E1680" s="36" t="s">
        <v>313</v>
      </c>
      <c r="F1680" s="154" t="s">
        <v>2025</v>
      </c>
      <c r="G1680" s="36" t="s">
        <v>32</v>
      </c>
      <c r="H1680" s="36" t="s">
        <v>1655</v>
      </c>
      <c r="I1680" s="36" t="s">
        <v>1656</v>
      </c>
      <c r="J1680" s="36" t="s">
        <v>1656</v>
      </c>
      <c r="K1680" s="36" t="s">
        <v>1724</v>
      </c>
      <c r="L1680" s="36" t="s">
        <v>4214</v>
      </c>
      <c r="M1680" s="36" t="s">
        <v>4214</v>
      </c>
      <c r="N1680" s="36" t="s">
        <v>32</v>
      </c>
    </row>
    <row r="1681">
      <c r="A1681" s="36" t="s">
        <v>4627</v>
      </c>
      <c r="B1681" s="154" t="s">
        <v>4620</v>
      </c>
      <c r="C1681" s="36" t="s">
        <v>1666</v>
      </c>
      <c r="D1681" s="36" t="s">
        <v>110</v>
      </c>
      <c r="E1681" s="36" t="s">
        <v>110</v>
      </c>
      <c r="F1681" s="154" t="s">
        <v>1806</v>
      </c>
      <c r="G1681" s="36" t="s">
        <v>28</v>
      </c>
      <c r="H1681" s="36" t="s">
        <v>1655</v>
      </c>
      <c r="I1681" s="36" t="s">
        <v>1656</v>
      </c>
      <c r="J1681" s="36" t="s">
        <v>1656</v>
      </c>
      <c r="K1681" s="36" t="s">
        <v>1727</v>
      </c>
      <c r="L1681" s="36" t="s">
        <v>4214</v>
      </c>
      <c r="M1681" s="36" t="s">
        <v>4214</v>
      </c>
      <c r="N1681" s="36" t="s">
        <v>32</v>
      </c>
    </row>
    <row r="1682">
      <c r="A1682" s="36" t="s">
        <v>4628</v>
      </c>
      <c r="B1682" s="154" t="s">
        <v>4620</v>
      </c>
      <c r="C1682" s="36" t="s">
        <v>1666</v>
      </c>
      <c r="D1682" s="36" t="s">
        <v>313</v>
      </c>
      <c r="E1682" s="36" t="s">
        <v>313</v>
      </c>
      <c r="F1682" s="154" t="s">
        <v>2025</v>
      </c>
      <c r="G1682" s="36" t="s">
        <v>32</v>
      </c>
      <c r="H1682" s="36" t="s">
        <v>1655</v>
      </c>
      <c r="I1682" s="36" t="s">
        <v>1656</v>
      </c>
      <c r="J1682" s="36" t="s">
        <v>1656</v>
      </c>
      <c r="K1682" s="36" t="s">
        <v>1730</v>
      </c>
      <c r="L1682" s="36" t="s">
        <v>4214</v>
      </c>
      <c r="M1682" s="36" t="s">
        <v>4214</v>
      </c>
      <c r="N1682" s="36" t="s">
        <v>32</v>
      </c>
    </row>
    <row r="1683">
      <c r="A1683" s="36" t="s">
        <v>4629</v>
      </c>
      <c r="B1683" s="154" t="s">
        <v>4630</v>
      </c>
      <c r="C1683" s="36" t="s">
        <v>1653</v>
      </c>
      <c r="D1683" s="36" t="s">
        <v>55</v>
      </c>
      <c r="E1683" s="36" t="s">
        <v>39</v>
      </c>
      <c r="F1683" s="154" t="s">
        <v>4631</v>
      </c>
      <c r="G1683" s="36" t="s">
        <v>32</v>
      </c>
      <c r="H1683" s="36" t="s">
        <v>1655</v>
      </c>
      <c r="I1683" s="36" t="s">
        <v>1656</v>
      </c>
      <c r="J1683" s="36" t="s">
        <v>1656</v>
      </c>
      <c r="K1683" s="36" t="s">
        <v>1749</v>
      </c>
      <c r="L1683" s="36" t="s">
        <v>4212</v>
      </c>
      <c r="M1683" s="36" t="s">
        <v>4212</v>
      </c>
      <c r="N1683" s="36" t="s">
        <v>32</v>
      </c>
    </row>
    <row r="1684">
      <c r="A1684" s="36" t="s">
        <v>4632</v>
      </c>
      <c r="B1684" s="154" t="s">
        <v>4630</v>
      </c>
      <c r="C1684" s="36" t="s">
        <v>1666</v>
      </c>
      <c r="D1684" s="36" t="s">
        <v>71</v>
      </c>
      <c r="E1684" s="36" t="s">
        <v>71</v>
      </c>
      <c r="F1684" s="154" t="s">
        <v>4448</v>
      </c>
      <c r="G1684" s="36" t="s">
        <v>32</v>
      </c>
      <c r="H1684" s="36" t="s">
        <v>1655</v>
      </c>
      <c r="I1684" s="36" t="s">
        <v>1656</v>
      </c>
      <c r="J1684" s="36" t="s">
        <v>1656</v>
      </c>
      <c r="K1684" s="36" t="s">
        <v>1752</v>
      </c>
      <c r="L1684" s="36" t="s">
        <v>4214</v>
      </c>
      <c r="M1684" s="36" t="s">
        <v>4214</v>
      </c>
      <c r="N1684" s="36" t="s">
        <v>32</v>
      </c>
    </row>
    <row r="1685">
      <c r="A1685" s="36" t="s">
        <v>4633</v>
      </c>
      <c r="B1685" s="154" t="s">
        <v>4630</v>
      </c>
      <c r="C1685" s="36" t="s">
        <v>1666</v>
      </c>
      <c r="D1685" s="36" t="s">
        <v>73</v>
      </c>
      <c r="E1685" s="36" t="s">
        <v>73</v>
      </c>
      <c r="F1685" s="154" t="s">
        <v>4544</v>
      </c>
      <c r="G1685" s="36" t="s">
        <v>28</v>
      </c>
      <c r="H1685" s="36" t="s">
        <v>1655</v>
      </c>
      <c r="I1685" s="36" t="s">
        <v>1656</v>
      </c>
      <c r="J1685" s="36" t="s">
        <v>1656</v>
      </c>
      <c r="K1685" s="36" t="s">
        <v>1755</v>
      </c>
      <c r="L1685" s="36" t="s">
        <v>4214</v>
      </c>
      <c r="M1685" s="36" t="s">
        <v>4214</v>
      </c>
      <c r="N1685" s="36" t="s">
        <v>32</v>
      </c>
    </row>
    <row r="1686">
      <c r="A1686" s="36" t="s">
        <v>4634</v>
      </c>
      <c r="B1686" s="154" t="s">
        <v>4630</v>
      </c>
      <c r="C1686" s="36" t="s">
        <v>1666</v>
      </c>
      <c r="D1686" s="36" t="s">
        <v>74</v>
      </c>
      <c r="E1686" s="36" t="s">
        <v>74</v>
      </c>
      <c r="F1686" s="154" t="s">
        <v>4448</v>
      </c>
      <c r="G1686" s="36" t="s">
        <v>32</v>
      </c>
      <c r="H1686" s="36" t="s">
        <v>1655</v>
      </c>
      <c r="I1686" s="36" t="s">
        <v>1656</v>
      </c>
      <c r="J1686" s="36" t="s">
        <v>1656</v>
      </c>
      <c r="K1686" s="36" t="s">
        <v>1757</v>
      </c>
      <c r="L1686" s="36" t="s">
        <v>4214</v>
      </c>
      <c r="M1686" s="36" t="s">
        <v>4214</v>
      </c>
      <c r="N1686" s="36" t="s">
        <v>32</v>
      </c>
    </row>
    <row r="1687">
      <c r="A1687" s="36" t="s">
        <v>4635</v>
      </c>
      <c r="B1687" s="154" t="s">
        <v>4630</v>
      </c>
      <c r="C1687" s="36" t="s">
        <v>1666</v>
      </c>
      <c r="D1687" s="36" t="s">
        <v>75</v>
      </c>
      <c r="E1687" s="36" t="s">
        <v>75</v>
      </c>
      <c r="F1687" s="154" t="s">
        <v>4450</v>
      </c>
      <c r="G1687" s="36" t="s">
        <v>28</v>
      </c>
      <c r="H1687" s="36" t="s">
        <v>1655</v>
      </c>
      <c r="I1687" s="36" t="s">
        <v>1656</v>
      </c>
      <c r="J1687" s="36" t="s">
        <v>1656</v>
      </c>
      <c r="K1687" s="36" t="s">
        <v>1760</v>
      </c>
      <c r="L1687" s="36" t="s">
        <v>4214</v>
      </c>
      <c r="M1687" s="36" t="s">
        <v>4214</v>
      </c>
      <c r="N1687" s="36" t="s">
        <v>32</v>
      </c>
    </row>
    <row r="1688">
      <c r="A1688" s="36" t="s">
        <v>4636</v>
      </c>
      <c r="B1688" s="154" t="s">
        <v>4630</v>
      </c>
      <c r="C1688" s="36" t="s">
        <v>1666</v>
      </c>
      <c r="D1688" s="36" t="s">
        <v>77</v>
      </c>
      <c r="E1688" s="36" t="s">
        <v>77</v>
      </c>
      <c r="F1688" s="154" t="s">
        <v>1768</v>
      </c>
      <c r="G1688" s="36" t="s">
        <v>34</v>
      </c>
      <c r="H1688" s="36" t="s">
        <v>1655</v>
      </c>
      <c r="I1688" s="36" t="s">
        <v>1656</v>
      </c>
      <c r="J1688" s="36" t="s">
        <v>1656</v>
      </c>
      <c r="K1688" s="36" t="s">
        <v>4248</v>
      </c>
      <c r="L1688" s="36" t="s">
        <v>4214</v>
      </c>
      <c r="M1688" s="36" t="s">
        <v>4214</v>
      </c>
      <c r="N1688" s="36" t="s">
        <v>32</v>
      </c>
    </row>
    <row r="1689">
      <c r="A1689" s="36" t="s">
        <v>4637</v>
      </c>
      <c r="B1689" s="154" t="s">
        <v>4630</v>
      </c>
      <c r="C1689" s="36" t="s">
        <v>1666</v>
      </c>
      <c r="D1689" s="36" t="s">
        <v>226</v>
      </c>
      <c r="E1689" s="36" t="s">
        <v>226</v>
      </c>
      <c r="F1689" s="154" t="s">
        <v>4638</v>
      </c>
      <c r="G1689" s="36" t="s">
        <v>32</v>
      </c>
      <c r="H1689" s="36" t="s">
        <v>1655</v>
      </c>
      <c r="I1689" s="36" t="s">
        <v>1656</v>
      </c>
      <c r="J1689" s="36" t="s">
        <v>1656</v>
      </c>
      <c r="K1689" s="36" t="s">
        <v>1732</v>
      </c>
      <c r="L1689" s="36" t="s">
        <v>4214</v>
      </c>
      <c r="M1689" s="36" t="s">
        <v>4214</v>
      </c>
      <c r="N1689" s="36" t="s">
        <v>32</v>
      </c>
    </row>
    <row r="1690">
      <c r="A1690" s="36" t="s">
        <v>4639</v>
      </c>
      <c r="B1690" s="154" t="s">
        <v>4630</v>
      </c>
      <c r="C1690" s="36" t="s">
        <v>1666</v>
      </c>
      <c r="D1690" s="36" t="s">
        <v>220</v>
      </c>
      <c r="E1690" s="36" t="s">
        <v>220</v>
      </c>
      <c r="F1690" s="154" t="s">
        <v>4640</v>
      </c>
      <c r="G1690" s="36" t="s">
        <v>28</v>
      </c>
      <c r="H1690" s="36" t="s">
        <v>1655</v>
      </c>
      <c r="I1690" s="36" t="s">
        <v>1656</v>
      </c>
      <c r="J1690" s="36" t="s">
        <v>1656</v>
      </c>
      <c r="K1690" s="36" t="s">
        <v>1736</v>
      </c>
      <c r="L1690" s="36" t="s">
        <v>4214</v>
      </c>
      <c r="M1690" s="36" t="s">
        <v>4214</v>
      </c>
      <c r="N1690" s="36" t="s">
        <v>32</v>
      </c>
    </row>
    <row r="1691">
      <c r="A1691" s="36" t="s">
        <v>4641</v>
      </c>
      <c r="B1691" s="154" t="s">
        <v>4630</v>
      </c>
      <c r="C1691" s="36" t="s">
        <v>1666</v>
      </c>
      <c r="D1691" s="36" t="s">
        <v>907</v>
      </c>
      <c r="E1691" s="36" t="s">
        <v>907</v>
      </c>
      <c r="F1691" s="154" t="s">
        <v>4621</v>
      </c>
      <c r="G1691" s="36" t="s">
        <v>32</v>
      </c>
      <c r="H1691" s="36" t="s">
        <v>1655</v>
      </c>
      <c r="I1691" s="36" t="s">
        <v>1656</v>
      </c>
      <c r="J1691" s="36" t="s">
        <v>1656</v>
      </c>
      <c r="K1691" s="36" t="s">
        <v>1739</v>
      </c>
      <c r="L1691" s="36" t="s">
        <v>4214</v>
      </c>
      <c r="M1691" s="36" t="s">
        <v>4214</v>
      </c>
      <c r="N1691" s="36" t="s">
        <v>32</v>
      </c>
    </row>
    <row r="1692">
      <c r="A1692" s="36" t="s">
        <v>4642</v>
      </c>
      <c r="B1692" s="154" t="s">
        <v>4630</v>
      </c>
      <c r="C1692" s="36" t="s">
        <v>1666</v>
      </c>
      <c r="D1692" s="36" t="s">
        <v>524</v>
      </c>
      <c r="E1692" s="36" t="s">
        <v>524</v>
      </c>
      <c r="F1692" s="154" t="s">
        <v>2006</v>
      </c>
      <c r="G1692" s="36" t="s">
        <v>28</v>
      </c>
      <c r="H1692" s="36" t="s">
        <v>1655</v>
      </c>
      <c r="I1692" s="36" t="s">
        <v>1656</v>
      </c>
      <c r="J1692" s="36" t="s">
        <v>1656</v>
      </c>
      <c r="K1692" s="36" t="s">
        <v>1742</v>
      </c>
      <c r="L1692" s="36" t="s">
        <v>4214</v>
      </c>
      <c r="M1692" s="36" t="s">
        <v>4214</v>
      </c>
      <c r="N1692" s="36" t="s">
        <v>32</v>
      </c>
    </row>
    <row r="1693">
      <c r="A1693" s="36" t="s">
        <v>4643</v>
      </c>
      <c r="B1693" s="154" t="s">
        <v>4630</v>
      </c>
      <c r="C1693" s="36" t="s">
        <v>1666</v>
      </c>
      <c r="D1693" s="36" t="s">
        <v>979</v>
      </c>
      <c r="E1693" s="36" t="s">
        <v>979</v>
      </c>
      <c r="F1693" s="154" t="s">
        <v>4465</v>
      </c>
      <c r="G1693" s="36" t="s">
        <v>32</v>
      </c>
      <c r="H1693" s="36" t="s">
        <v>1655</v>
      </c>
      <c r="I1693" s="36" t="s">
        <v>1656</v>
      </c>
      <c r="J1693" s="36" t="s">
        <v>1656</v>
      </c>
      <c r="K1693" s="36" t="s">
        <v>1745</v>
      </c>
      <c r="L1693" s="36" t="s">
        <v>4214</v>
      </c>
      <c r="M1693" s="36" t="s">
        <v>4214</v>
      </c>
      <c r="N1693" s="36" t="s">
        <v>32</v>
      </c>
    </row>
    <row r="1694">
      <c r="A1694" s="36" t="s">
        <v>4644</v>
      </c>
      <c r="B1694" s="154" t="s">
        <v>4630</v>
      </c>
      <c r="C1694" s="36" t="s">
        <v>1666</v>
      </c>
      <c r="D1694" s="36" t="s">
        <v>989</v>
      </c>
      <c r="E1694" s="36" t="s">
        <v>989</v>
      </c>
      <c r="F1694" s="154" t="s">
        <v>1683</v>
      </c>
      <c r="G1694" s="36" t="s">
        <v>32</v>
      </c>
      <c r="H1694" s="36" t="s">
        <v>1655</v>
      </c>
      <c r="I1694" s="36" t="s">
        <v>1656</v>
      </c>
      <c r="J1694" s="36" t="s">
        <v>1656</v>
      </c>
      <c r="K1694" s="36" t="s">
        <v>1773</v>
      </c>
      <c r="L1694" s="36" t="s">
        <v>4214</v>
      </c>
      <c r="M1694" s="36" t="s">
        <v>4214</v>
      </c>
      <c r="N1694" s="36" t="s">
        <v>32</v>
      </c>
    </row>
    <row r="1695">
      <c r="A1695" s="36" t="s">
        <v>4645</v>
      </c>
      <c r="B1695" s="154" t="s">
        <v>4630</v>
      </c>
      <c r="C1695" s="36" t="s">
        <v>1666</v>
      </c>
      <c r="D1695" s="36" t="s">
        <v>978</v>
      </c>
      <c r="E1695" s="36" t="s">
        <v>978</v>
      </c>
      <c r="F1695" s="154" t="s">
        <v>3151</v>
      </c>
      <c r="G1695" s="36" t="s">
        <v>32</v>
      </c>
      <c r="H1695" s="36" t="s">
        <v>1655</v>
      </c>
      <c r="I1695" s="36" t="s">
        <v>1656</v>
      </c>
      <c r="J1695" s="36" t="s">
        <v>1656</v>
      </c>
      <c r="K1695" s="36" t="s">
        <v>1776</v>
      </c>
      <c r="L1695" s="36" t="s">
        <v>4214</v>
      </c>
      <c r="M1695" s="36" t="s">
        <v>4214</v>
      </c>
      <c r="N1695" s="36" t="s">
        <v>32</v>
      </c>
    </row>
    <row r="1696">
      <c r="A1696" s="36" t="s">
        <v>4646</v>
      </c>
      <c r="B1696" s="154" t="s">
        <v>4630</v>
      </c>
      <c r="C1696" s="36" t="s">
        <v>1666</v>
      </c>
      <c r="D1696" s="36" t="s">
        <v>1022</v>
      </c>
      <c r="E1696" s="36" t="s">
        <v>1022</v>
      </c>
      <c r="F1696" s="154" t="s">
        <v>2325</v>
      </c>
      <c r="G1696" s="36" t="s">
        <v>28</v>
      </c>
      <c r="H1696" s="36" t="s">
        <v>1655</v>
      </c>
      <c r="I1696" s="36" t="s">
        <v>1656</v>
      </c>
      <c r="J1696" s="36" t="s">
        <v>1656</v>
      </c>
      <c r="K1696" s="36" t="s">
        <v>1779</v>
      </c>
      <c r="L1696" s="36" t="s">
        <v>4214</v>
      </c>
      <c r="M1696" s="36" t="s">
        <v>4214</v>
      </c>
      <c r="N1696" s="36" t="s">
        <v>32</v>
      </c>
    </row>
    <row r="1697">
      <c r="A1697" s="36" t="s">
        <v>4647</v>
      </c>
      <c r="B1697" s="154" t="s">
        <v>4648</v>
      </c>
      <c r="C1697" s="36" t="s">
        <v>1666</v>
      </c>
      <c r="D1697" s="36" t="s">
        <v>310</v>
      </c>
      <c r="E1697" s="36" t="s">
        <v>310</v>
      </c>
      <c r="F1697" s="154" t="s">
        <v>2508</v>
      </c>
      <c r="G1697" s="36" t="s">
        <v>28</v>
      </c>
      <c r="H1697" s="36" t="s">
        <v>1655</v>
      </c>
      <c r="I1697" s="36" t="s">
        <v>1656</v>
      </c>
      <c r="J1697" s="36" t="s">
        <v>1656</v>
      </c>
      <c r="K1697" s="36" t="s">
        <v>1782</v>
      </c>
      <c r="L1697" s="36" t="s">
        <v>4214</v>
      </c>
      <c r="M1697" s="36" t="s">
        <v>4214</v>
      </c>
      <c r="N1697" s="36" t="s">
        <v>34</v>
      </c>
    </row>
    <row r="1698">
      <c r="A1698" s="36" t="s">
        <v>4649</v>
      </c>
      <c r="B1698" s="154" t="s">
        <v>4650</v>
      </c>
      <c r="C1698" s="36" t="s">
        <v>1666</v>
      </c>
      <c r="D1698" s="36" t="s">
        <v>1082</v>
      </c>
      <c r="E1698" s="36" t="s">
        <v>1082</v>
      </c>
      <c r="F1698" s="154" t="s">
        <v>1768</v>
      </c>
      <c r="G1698" s="36" t="s">
        <v>28</v>
      </c>
      <c r="H1698" s="36" t="s">
        <v>1655</v>
      </c>
      <c r="I1698" s="36" t="s">
        <v>1656</v>
      </c>
      <c r="J1698" s="36" t="s">
        <v>1656</v>
      </c>
      <c r="K1698" s="36" t="s">
        <v>1823</v>
      </c>
      <c r="L1698" s="36" t="s">
        <v>4214</v>
      </c>
      <c r="M1698" s="36" t="s">
        <v>4214</v>
      </c>
      <c r="N1698" s="36" t="s">
        <v>32</v>
      </c>
    </row>
    <row r="1699">
      <c r="A1699" s="36" t="s">
        <v>4651</v>
      </c>
      <c r="B1699" s="154" t="s">
        <v>4652</v>
      </c>
      <c r="C1699" s="36" t="s">
        <v>1666</v>
      </c>
      <c r="D1699" s="36" t="s">
        <v>1032</v>
      </c>
      <c r="E1699" s="36" t="s">
        <v>1032</v>
      </c>
      <c r="F1699" s="154" t="s">
        <v>1768</v>
      </c>
      <c r="G1699" s="36" t="s">
        <v>28</v>
      </c>
      <c r="H1699" s="36" t="s">
        <v>1655</v>
      </c>
      <c r="I1699" s="36" t="s">
        <v>1656</v>
      </c>
      <c r="J1699" s="36" t="s">
        <v>1656</v>
      </c>
      <c r="K1699" s="36" t="s">
        <v>1784</v>
      </c>
      <c r="L1699" s="36" t="s">
        <v>4214</v>
      </c>
      <c r="M1699" s="36" t="s">
        <v>4214</v>
      </c>
      <c r="N1699" s="36" t="s">
        <v>34</v>
      </c>
    </row>
    <row r="1700">
      <c r="A1700" s="36" t="s">
        <v>4653</v>
      </c>
      <c r="B1700" s="154" t="s">
        <v>4654</v>
      </c>
      <c r="C1700" s="36" t="s">
        <v>1666</v>
      </c>
      <c r="D1700" s="36" t="s">
        <v>712</v>
      </c>
      <c r="E1700" s="36" t="s">
        <v>712</v>
      </c>
      <c r="F1700" s="154" t="s">
        <v>3480</v>
      </c>
      <c r="G1700" s="36" t="s">
        <v>28</v>
      </c>
      <c r="H1700" s="36" t="s">
        <v>1655</v>
      </c>
      <c r="I1700" s="36" t="s">
        <v>1656</v>
      </c>
      <c r="J1700" s="36" t="s">
        <v>1656</v>
      </c>
      <c r="K1700" s="36" t="s">
        <v>1766</v>
      </c>
      <c r="L1700" s="36" t="s">
        <v>4214</v>
      </c>
      <c r="M1700" s="36" t="s">
        <v>4214</v>
      </c>
      <c r="N1700" s="36" t="s">
        <v>32</v>
      </c>
    </row>
    <row r="1701">
      <c r="A1701" s="36" t="s">
        <v>4655</v>
      </c>
      <c r="B1701" s="154" t="s">
        <v>4656</v>
      </c>
      <c r="C1701" s="36" t="s">
        <v>1666</v>
      </c>
      <c r="D1701" s="36" t="s">
        <v>807</v>
      </c>
      <c r="E1701" s="36" t="s">
        <v>807</v>
      </c>
      <c r="F1701" s="154" t="s">
        <v>1810</v>
      </c>
      <c r="G1701" s="36" t="s">
        <v>28</v>
      </c>
      <c r="H1701" s="36" t="s">
        <v>1655</v>
      </c>
      <c r="I1701" s="36" t="s">
        <v>1656</v>
      </c>
      <c r="J1701" s="36" t="s">
        <v>1656</v>
      </c>
      <c r="K1701" s="36" t="s">
        <v>1787</v>
      </c>
      <c r="L1701" s="36" t="s">
        <v>4214</v>
      </c>
      <c r="M1701" s="36" t="s">
        <v>4214</v>
      </c>
      <c r="N1701" s="36" t="s">
        <v>34</v>
      </c>
    </row>
    <row r="1702">
      <c r="A1702" s="36" t="s">
        <v>4657</v>
      </c>
      <c r="B1702" s="154" t="s">
        <v>4656</v>
      </c>
      <c r="C1702" s="36" t="s">
        <v>1666</v>
      </c>
      <c r="D1702" s="36" t="s">
        <v>109</v>
      </c>
      <c r="E1702" s="36" t="s">
        <v>109</v>
      </c>
      <c r="F1702" s="154" t="s">
        <v>2049</v>
      </c>
      <c r="G1702" s="36" t="s">
        <v>28</v>
      </c>
      <c r="H1702" s="36" t="s">
        <v>1655</v>
      </c>
      <c r="I1702" s="36" t="s">
        <v>1656</v>
      </c>
      <c r="J1702" s="36" t="s">
        <v>1656</v>
      </c>
      <c r="K1702" s="36" t="s">
        <v>1790</v>
      </c>
      <c r="L1702" s="36" t="s">
        <v>4214</v>
      </c>
      <c r="M1702" s="36" t="s">
        <v>4214</v>
      </c>
      <c r="N1702" s="36" t="s">
        <v>34</v>
      </c>
    </row>
    <row r="1703">
      <c r="A1703" s="36" t="s">
        <v>4658</v>
      </c>
      <c r="B1703" s="154" t="s">
        <v>4656</v>
      </c>
      <c r="C1703" s="36" t="s">
        <v>1666</v>
      </c>
      <c r="D1703" s="36" t="s">
        <v>601</v>
      </c>
      <c r="E1703" s="36" t="s">
        <v>601</v>
      </c>
      <c r="F1703" s="154" t="s">
        <v>1816</v>
      </c>
      <c r="G1703" s="36" t="s">
        <v>28</v>
      </c>
      <c r="H1703" s="36" t="s">
        <v>1655</v>
      </c>
      <c r="I1703" s="36" t="s">
        <v>1656</v>
      </c>
      <c r="J1703" s="36" t="s">
        <v>1656</v>
      </c>
      <c r="K1703" s="36" t="s">
        <v>1793</v>
      </c>
      <c r="L1703" s="36" t="s">
        <v>4214</v>
      </c>
      <c r="M1703" s="36" t="s">
        <v>4214</v>
      </c>
      <c r="N1703" s="36" t="s">
        <v>34</v>
      </c>
    </row>
    <row r="1704">
      <c r="A1704" s="36" t="s">
        <v>4659</v>
      </c>
      <c r="B1704" s="154" t="s">
        <v>4656</v>
      </c>
      <c r="C1704" s="36" t="s">
        <v>1666</v>
      </c>
      <c r="D1704" s="36" t="s">
        <v>1048</v>
      </c>
      <c r="E1704" s="36" t="s">
        <v>1048</v>
      </c>
      <c r="F1704" s="154" t="s">
        <v>1959</v>
      </c>
      <c r="G1704" s="36" t="s">
        <v>28</v>
      </c>
      <c r="H1704" s="36" t="s">
        <v>1655</v>
      </c>
      <c r="I1704" s="36" t="s">
        <v>1656</v>
      </c>
      <c r="J1704" s="36" t="s">
        <v>1656</v>
      </c>
      <c r="K1704" s="36" t="s">
        <v>1796</v>
      </c>
      <c r="L1704" s="36" t="s">
        <v>4214</v>
      </c>
      <c r="M1704" s="36" t="s">
        <v>4214</v>
      </c>
      <c r="N1704" s="36" t="s">
        <v>34</v>
      </c>
    </row>
    <row r="1705">
      <c r="A1705" s="36" t="s">
        <v>4660</v>
      </c>
      <c r="B1705" s="154" t="s">
        <v>4661</v>
      </c>
      <c r="C1705" s="36" t="s">
        <v>1666</v>
      </c>
      <c r="D1705" s="36" t="s">
        <v>1048</v>
      </c>
      <c r="E1705" s="36" t="s">
        <v>1048</v>
      </c>
      <c r="F1705" s="154" t="s">
        <v>2508</v>
      </c>
      <c r="G1705" s="36" t="s">
        <v>28</v>
      </c>
      <c r="H1705" s="36" t="s">
        <v>1655</v>
      </c>
      <c r="I1705" s="36" t="s">
        <v>1656</v>
      </c>
      <c r="J1705" s="36" t="s">
        <v>1656</v>
      </c>
      <c r="K1705" s="36" t="s">
        <v>1800</v>
      </c>
      <c r="L1705" s="36" t="s">
        <v>4214</v>
      </c>
      <c r="M1705" s="36" t="s">
        <v>4214</v>
      </c>
      <c r="N1705" s="36" t="s">
        <v>34</v>
      </c>
    </row>
    <row r="1706">
      <c r="A1706" s="36" t="s">
        <v>4662</v>
      </c>
      <c r="B1706" s="154" t="s">
        <v>4661</v>
      </c>
      <c r="C1706" s="36" t="s">
        <v>1666</v>
      </c>
      <c r="D1706" s="36" t="s">
        <v>495</v>
      </c>
      <c r="E1706" s="36" t="s">
        <v>495</v>
      </c>
      <c r="F1706" s="154" t="s">
        <v>1816</v>
      </c>
      <c r="G1706" s="36" t="s">
        <v>28</v>
      </c>
      <c r="H1706" s="36" t="s">
        <v>1655</v>
      </c>
      <c r="I1706" s="36" t="s">
        <v>1656</v>
      </c>
      <c r="J1706" s="36" t="s">
        <v>1656</v>
      </c>
      <c r="K1706" s="36" t="s">
        <v>1803</v>
      </c>
      <c r="L1706" s="36" t="s">
        <v>4214</v>
      </c>
      <c r="M1706" s="36" t="s">
        <v>4214</v>
      </c>
      <c r="N1706" s="36" t="s">
        <v>34</v>
      </c>
    </row>
    <row r="1707">
      <c r="A1707" s="36" t="s">
        <v>4663</v>
      </c>
      <c r="B1707" s="154" t="s">
        <v>4661</v>
      </c>
      <c r="C1707" s="36" t="s">
        <v>1666</v>
      </c>
      <c r="D1707" s="36" t="s">
        <v>1061</v>
      </c>
      <c r="E1707" s="36" t="s">
        <v>1061</v>
      </c>
      <c r="F1707" s="154" t="s">
        <v>2690</v>
      </c>
      <c r="G1707" s="36" t="s">
        <v>28</v>
      </c>
      <c r="H1707" s="36" t="s">
        <v>1655</v>
      </c>
      <c r="I1707" s="36" t="s">
        <v>1656</v>
      </c>
      <c r="J1707" s="36" t="s">
        <v>1656</v>
      </c>
      <c r="K1707" s="36" t="s">
        <v>1807</v>
      </c>
      <c r="L1707" s="36" t="s">
        <v>4214</v>
      </c>
      <c r="M1707" s="36" t="s">
        <v>4214</v>
      </c>
      <c r="N1707" s="36" t="s">
        <v>34</v>
      </c>
    </row>
    <row r="1708">
      <c r="A1708" s="36" t="s">
        <v>4664</v>
      </c>
      <c r="B1708" s="154" t="s">
        <v>4665</v>
      </c>
      <c r="C1708" s="36" t="s">
        <v>1666</v>
      </c>
      <c r="D1708" s="36" t="s">
        <v>1068</v>
      </c>
      <c r="E1708" s="36" t="s">
        <v>1068</v>
      </c>
      <c r="F1708" s="154" t="s">
        <v>2380</v>
      </c>
      <c r="G1708" s="36" t="s">
        <v>28</v>
      </c>
      <c r="H1708" s="36" t="s">
        <v>1655</v>
      </c>
      <c r="I1708" s="36" t="s">
        <v>1656</v>
      </c>
      <c r="J1708" s="36" t="s">
        <v>1656</v>
      </c>
      <c r="K1708" s="36" t="s">
        <v>1814</v>
      </c>
      <c r="L1708" s="36" t="s">
        <v>4214</v>
      </c>
      <c r="M1708" s="36" t="s">
        <v>4214</v>
      </c>
      <c r="N1708" s="36" t="s">
        <v>34</v>
      </c>
    </row>
    <row r="1709">
      <c r="A1709" s="36" t="s">
        <v>4666</v>
      </c>
      <c r="B1709" s="154" t="s">
        <v>4665</v>
      </c>
      <c r="C1709" s="36" t="s">
        <v>1666</v>
      </c>
      <c r="D1709" s="36" t="s">
        <v>1074</v>
      </c>
      <c r="E1709" s="36" t="s">
        <v>1074</v>
      </c>
      <c r="F1709" s="154" t="s">
        <v>3062</v>
      </c>
      <c r="G1709" s="36" t="s">
        <v>28</v>
      </c>
      <c r="H1709" s="36" t="s">
        <v>1655</v>
      </c>
      <c r="I1709" s="36" t="s">
        <v>1656</v>
      </c>
      <c r="J1709" s="36" t="s">
        <v>1656</v>
      </c>
      <c r="K1709" s="36" t="s">
        <v>1817</v>
      </c>
      <c r="L1709" s="36" t="s">
        <v>4214</v>
      </c>
      <c r="M1709" s="36" t="s">
        <v>4214</v>
      </c>
      <c r="N1709" s="36" t="s">
        <v>34</v>
      </c>
    </row>
    <row r="1710">
      <c r="A1710" s="36" t="s">
        <v>4667</v>
      </c>
      <c r="B1710" s="154" t="s">
        <v>4668</v>
      </c>
      <c r="C1710" s="36" t="s">
        <v>1666</v>
      </c>
      <c r="D1710" s="36" t="s">
        <v>1080</v>
      </c>
      <c r="E1710" s="36" t="s">
        <v>1080</v>
      </c>
      <c r="F1710" s="154" t="s">
        <v>2049</v>
      </c>
      <c r="G1710" s="36" t="s">
        <v>28</v>
      </c>
      <c r="H1710" s="36" t="s">
        <v>1655</v>
      </c>
      <c r="I1710" s="36" t="s">
        <v>1656</v>
      </c>
      <c r="J1710" s="36" t="s">
        <v>1656</v>
      </c>
      <c r="K1710" s="36" t="s">
        <v>1820</v>
      </c>
      <c r="L1710" s="36" t="s">
        <v>4214</v>
      </c>
      <c r="M1710" s="36" t="s">
        <v>4214</v>
      </c>
      <c r="N1710" s="36" t="s">
        <v>34</v>
      </c>
    </row>
    <row r="1711">
      <c r="A1711" s="36" t="s">
        <v>4669</v>
      </c>
      <c r="B1711" s="154" t="s">
        <v>4668</v>
      </c>
      <c r="C1711" s="36" t="s">
        <v>1666</v>
      </c>
      <c r="D1711" s="36" t="s">
        <v>298</v>
      </c>
      <c r="E1711" s="36" t="s">
        <v>298</v>
      </c>
      <c r="F1711" s="154" t="s">
        <v>1810</v>
      </c>
      <c r="G1711" s="36" t="s">
        <v>28</v>
      </c>
      <c r="H1711" s="36" t="s">
        <v>1655</v>
      </c>
      <c r="I1711" s="36" t="s">
        <v>1656</v>
      </c>
      <c r="J1711" s="36" t="s">
        <v>1656</v>
      </c>
      <c r="K1711" s="36" t="s">
        <v>1826</v>
      </c>
      <c r="L1711" s="36" t="s">
        <v>4214</v>
      </c>
      <c r="M1711" s="36" t="s">
        <v>4214</v>
      </c>
      <c r="N1711" s="36" t="s">
        <v>32</v>
      </c>
    </row>
    <row r="1712">
      <c r="A1712" s="36" t="s">
        <v>4670</v>
      </c>
      <c r="B1712" s="154" t="s">
        <v>4671</v>
      </c>
      <c r="C1712" s="36" t="s">
        <v>1666</v>
      </c>
      <c r="D1712" s="36" t="s">
        <v>1089</v>
      </c>
      <c r="E1712" s="36" t="s">
        <v>1089</v>
      </c>
      <c r="F1712" s="154" t="s">
        <v>1806</v>
      </c>
      <c r="G1712" s="36" t="s">
        <v>32</v>
      </c>
      <c r="H1712" s="36" t="s">
        <v>1655</v>
      </c>
      <c r="I1712" s="36" t="s">
        <v>1656</v>
      </c>
      <c r="J1712" s="36" t="s">
        <v>1656</v>
      </c>
      <c r="K1712" s="36" t="s">
        <v>1830</v>
      </c>
      <c r="L1712" s="36" t="s">
        <v>4214</v>
      </c>
      <c r="M1712" s="36" t="s">
        <v>4214</v>
      </c>
      <c r="N1712" s="36" t="s">
        <v>32</v>
      </c>
    </row>
    <row r="1713">
      <c r="A1713" s="36" t="s">
        <v>4672</v>
      </c>
      <c r="B1713" s="154" t="s">
        <v>4673</v>
      </c>
      <c r="C1713" s="36" t="s">
        <v>1666</v>
      </c>
      <c r="D1713" s="36" t="s">
        <v>1090</v>
      </c>
      <c r="E1713" s="36" t="s">
        <v>1090</v>
      </c>
      <c r="F1713" s="154" t="s">
        <v>1810</v>
      </c>
      <c r="G1713" s="36" t="s">
        <v>32</v>
      </c>
      <c r="H1713" s="36" t="s">
        <v>1655</v>
      </c>
      <c r="I1713" s="36" t="s">
        <v>1656</v>
      </c>
      <c r="J1713" s="36" t="s">
        <v>1656</v>
      </c>
      <c r="K1713" s="36" t="s">
        <v>1836</v>
      </c>
      <c r="L1713" s="36" t="s">
        <v>4214</v>
      </c>
      <c r="M1713" s="36" t="s">
        <v>4214</v>
      </c>
      <c r="N1713" s="36" t="s">
        <v>32</v>
      </c>
    </row>
    <row r="1714">
      <c r="A1714" s="36" t="s">
        <v>4674</v>
      </c>
      <c r="B1714" s="154" t="s">
        <v>4675</v>
      </c>
      <c r="C1714" s="36" t="s">
        <v>1666</v>
      </c>
      <c r="D1714" s="36" t="s">
        <v>100</v>
      </c>
      <c r="E1714" s="36" t="s">
        <v>100</v>
      </c>
      <c r="F1714" s="154" t="s">
        <v>1899</v>
      </c>
      <c r="G1714" s="36" t="s">
        <v>32</v>
      </c>
      <c r="H1714" s="36" t="s">
        <v>1655</v>
      </c>
      <c r="I1714" s="36" t="s">
        <v>1656</v>
      </c>
      <c r="J1714" s="36" t="s">
        <v>1656</v>
      </c>
      <c r="K1714" s="36" t="s">
        <v>1833</v>
      </c>
      <c r="L1714" s="36" t="s">
        <v>4214</v>
      </c>
      <c r="M1714" s="36" t="s">
        <v>4214</v>
      </c>
      <c r="N1714" s="36" t="s">
        <v>32</v>
      </c>
    </row>
    <row r="1715">
      <c r="A1715" s="36" t="s">
        <v>4676</v>
      </c>
      <c r="B1715" s="154" t="s">
        <v>4677</v>
      </c>
      <c r="C1715" s="36" t="s">
        <v>1666</v>
      </c>
      <c r="D1715" s="36" t="s">
        <v>81</v>
      </c>
      <c r="E1715" s="36" t="s">
        <v>81</v>
      </c>
      <c r="F1715" s="154" t="s">
        <v>4678</v>
      </c>
      <c r="G1715" s="36" t="s">
        <v>28</v>
      </c>
      <c r="H1715" s="36" t="s">
        <v>1655</v>
      </c>
      <c r="I1715" s="36" t="s">
        <v>1656</v>
      </c>
      <c r="J1715" s="36" t="s">
        <v>1656</v>
      </c>
      <c r="K1715" s="36" t="s">
        <v>1891</v>
      </c>
      <c r="L1715" s="36" t="s">
        <v>4214</v>
      </c>
      <c r="M1715" s="36" t="s">
        <v>4214</v>
      </c>
      <c r="N1715" s="36" t="s">
        <v>32</v>
      </c>
    </row>
    <row r="1716">
      <c r="A1716" s="36" t="s">
        <v>4679</v>
      </c>
      <c r="B1716" s="154" t="s">
        <v>4677</v>
      </c>
      <c r="C1716" s="36" t="s">
        <v>1666</v>
      </c>
      <c r="D1716" s="36" t="s">
        <v>83</v>
      </c>
      <c r="E1716" s="36" t="s">
        <v>83</v>
      </c>
      <c r="F1716" s="154" t="s">
        <v>4307</v>
      </c>
      <c r="G1716" s="36" t="s">
        <v>28</v>
      </c>
      <c r="H1716" s="36" t="s">
        <v>1655</v>
      </c>
      <c r="I1716" s="36" t="s">
        <v>1656</v>
      </c>
      <c r="J1716" s="36" t="s">
        <v>1656</v>
      </c>
      <c r="K1716" s="36" t="s">
        <v>1921</v>
      </c>
      <c r="L1716" s="36" t="s">
        <v>4214</v>
      </c>
      <c r="M1716" s="36" t="s">
        <v>4214</v>
      </c>
      <c r="N1716" s="36" t="s">
        <v>32</v>
      </c>
    </row>
    <row r="1717">
      <c r="A1717" s="36" t="s">
        <v>4680</v>
      </c>
      <c r="B1717" s="154" t="s">
        <v>4677</v>
      </c>
      <c r="C1717" s="36" t="s">
        <v>1666</v>
      </c>
      <c r="D1717" s="36" t="s">
        <v>84</v>
      </c>
      <c r="E1717" s="36" t="s">
        <v>84</v>
      </c>
      <c r="F1717" s="154" t="s">
        <v>4588</v>
      </c>
      <c r="G1717" s="36" t="s">
        <v>32</v>
      </c>
      <c r="H1717" s="36" t="s">
        <v>1655</v>
      </c>
      <c r="I1717" s="36" t="s">
        <v>1656</v>
      </c>
      <c r="J1717" s="36" t="s">
        <v>1656</v>
      </c>
      <c r="K1717" s="36" t="s">
        <v>3166</v>
      </c>
      <c r="L1717" s="36" t="s">
        <v>4214</v>
      </c>
      <c r="M1717" s="36" t="s">
        <v>4214</v>
      </c>
      <c r="N1717" s="36" t="s">
        <v>32</v>
      </c>
    </row>
    <row r="1718">
      <c r="A1718" s="36" t="s">
        <v>4681</v>
      </c>
      <c r="B1718" s="154" t="s">
        <v>4682</v>
      </c>
      <c r="C1718" s="36" t="s">
        <v>1653</v>
      </c>
      <c r="D1718" s="36" t="s">
        <v>43</v>
      </c>
      <c r="E1718" s="36" t="s">
        <v>39</v>
      </c>
      <c r="F1718" s="154" t="s">
        <v>4683</v>
      </c>
      <c r="G1718" s="36" t="s">
        <v>32</v>
      </c>
      <c r="H1718" s="36" t="s">
        <v>1655</v>
      </c>
      <c r="I1718" s="36" t="s">
        <v>1656</v>
      </c>
      <c r="J1718" s="36" t="s">
        <v>1656</v>
      </c>
      <c r="K1718" s="36" t="s">
        <v>1657</v>
      </c>
      <c r="L1718" s="36" t="s">
        <v>4212</v>
      </c>
      <c r="M1718" s="36" t="s">
        <v>4212</v>
      </c>
      <c r="N1718" s="36" t="s">
        <v>32</v>
      </c>
    </row>
    <row r="1719">
      <c r="A1719" s="36" t="s">
        <v>4684</v>
      </c>
      <c r="B1719" s="154" t="s">
        <v>4682</v>
      </c>
      <c r="C1719" s="36" t="s">
        <v>1666</v>
      </c>
      <c r="D1719" s="36" t="s">
        <v>85</v>
      </c>
      <c r="E1719" s="36" t="s">
        <v>85</v>
      </c>
      <c r="F1719" s="154" t="s">
        <v>4504</v>
      </c>
      <c r="G1719" s="36" t="s">
        <v>28</v>
      </c>
      <c r="H1719" s="36" t="s">
        <v>1655</v>
      </c>
      <c r="I1719" s="36" t="s">
        <v>1656</v>
      </c>
      <c r="J1719" s="36" t="s">
        <v>1656</v>
      </c>
      <c r="K1719" s="36" t="s">
        <v>3038</v>
      </c>
      <c r="L1719" s="36" t="s">
        <v>4214</v>
      </c>
      <c r="M1719" s="36" t="s">
        <v>4214</v>
      </c>
      <c r="N1719" s="36" t="s">
        <v>32</v>
      </c>
    </row>
    <row r="1720">
      <c r="A1720" s="36" t="s">
        <v>4685</v>
      </c>
      <c r="B1720" s="154" t="s">
        <v>4682</v>
      </c>
      <c r="C1720" s="36" t="s">
        <v>1666</v>
      </c>
      <c r="D1720" s="36" t="s">
        <v>924</v>
      </c>
      <c r="E1720" s="36" t="s">
        <v>924</v>
      </c>
      <c r="F1720" s="154" t="s">
        <v>4686</v>
      </c>
      <c r="G1720" s="36" t="s">
        <v>28</v>
      </c>
      <c r="H1720" s="36" t="s">
        <v>1655</v>
      </c>
      <c r="I1720" s="36" t="s">
        <v>1656</v>
      </c>
      <c r="J1720" s="36" t="s">
        <v>1656</v>
      </c>
      <c r="K1720" s="36" t="s">
        <v>2775</v>
      </c>
      <c r="L1720" s="36" t="s">
        <v>4214</v>
      </c>
      <c r="M1720" s="36" t="s">
        <v>4214</v>
      </c>
      <c r="N1720" s="36" t="s">
        <v>32</v>
      </c>
    </row>
    <row r="1721">
      <c r="A1721" s="36" t="s">
        <v>4687</v>
      </c>
      <c r="B1721" s="154" t="s">
        <v>4682</v>
      </c>
      <c r="C1721" s="36" t="s">
        <v>1666</v>
      </c>
      <c r="D1721" s="36" t="s">
        <v>929</v>
      </c>
      <c r="E1721" s="36" t="s">
        <v>929</v>
      </c>
      <c r="F1721" s="154" t="s">
        <v>4688</v>
      </c>
      <c r="G1721" s="36" t="s">
        <v>28</v>
      </c>
      <c r="H1721" s="36" t="s">
        <v>1655</v>
      </c>
      <c r="I1721" s="36" t="s">
        <v>1656</v>
      </c>
      <c r="J1721" s="36" t="s">
        <v>1656</v>
      </c>
      <c r="K1721" s="36" t="s">
        <v>2779</v>
      </c>
      <c r="L1721" s="36" t="s">
        <v>4214</v>
      </c>
      <c r="M1721" s="36" t="s">
        <v>4214</v>
      </c>
      <c r="N1721" s="36" t="s">
        <v>32</v>
      </c>
    </row>
    <row r="1722">
      <c r="A1722" s="36" t="s">
        <v>4689</v>
      </c>
      <c r="B1722" s="154" t="s">
        <v>4682</v>
      </c>
      <c r="C1722" s="36" t="s">
        <v>1666</v>
      </c>
      <c r="D1722" s="36" t="s">
        <v>923</v>
      </c>
      <c r="E1722" s="36" t="s">
        <v>923</v>
      </c>
      <c r="F1722" s="154" t="s">
        <v>4509</v>
      </c>
      <c r="G1722" s="36" t="s">
        <v>32</v>
      </c>
      <c r="H1722" s="36" t="s">
        <v>1655</v>
      </c>
      <c r="I1722" s="36" t="s">
        <v>1656</v>
      </c>
      <c r="J1722" s="36" t="s">
        <v>1656</v>
      </c>
      <c r="K1722" s="36" t="s">
        <v>1681</v>
      </c>
      <c r="L1722" s="36" t="s">
        <v>4214</v>
      </c>
      <c r="M1722" s="36" t="s">
        <v>4214</v>
      </c>
      <c r="N1722" s="36" t="s">
        <v>32</v>
      </c>
    </row>
    <row r="1723">
      <c r="A1723" s="36" t="s">
        <v>4690</v>
      </c>
      <c r="B1723" s="154" t="s">
        <v>4691</v>
      </c>
      <c r="C1723" s="36" t="s">
        <v>1666</v>
      </c>
      <c r="D1723" s="36" t="s">
        <v>946</v>
      </c>
      <c r="E1723" s="36" t="s">
        <v>946</v>
      </c>
      <c r="F1723" s="154" t="s">
        <v>1806</v>
      </c>
      <c r="G1723" s="36" t="s">
        <v>28</v>
      </c>
      <c r="H1723" s="36" t="s">
        <v>1655</v>
      </c>
      <c r="I1723" s="36" t="s">
        <v>1656</v>
      </c>
      <c r="J1723" s="36" t="s">
        <v>1656</v>
      </c>
      <c r="K1723" s="36" t="s">
        <v>1684</v>
      </c>
      <c r="L1723" s="36" t="s">
        <v>4214</v>
      </c>
      <c r="M1723" s="36" t="s">
        <v>4214</v>
      </c>
      <c r="N1723" s="36" t="s">
        <v>32</v>
      </c>
    </row>
    <row r="1724">
      <c r="A1724" s="36" t="s">
        <v>4692</v>
      </c>
      <c r="B1724" s="154" t="s">
        <v>4693</v>
      </c>
      <c r="C1724" s="36" t="s">
        <v>1666</v>
      </c>
      <c r="D1724" s="36" t="s">
        <v>78</v>
      </c>
      <c r="E1724" s="36" t="s">
        <v>78</v>
      </c>
      <c r="F1724" s="154" t="s">
        <v>2325</v>
      </c>
      <c r="G1724" s="36" t="s">
        <v>28</v>
      </c>
      <c r="H1724" s="36" t="s">
        <v>1655</v>
      </c>
      <c r="I1724" s="36" t="s">
        <v>1656</v>
      </c>
      <c r="J1724" s="36" t="s">
        <v>1656</v>
      </c>
      <c r="K1724" s="36" t="s">
        <v>1769</v>
      </c>
      <c r="L1724" s="36" t="s">
        <v>4214</v>
      </c>
      <c r="M1724" s="36" t="s">
        <v>4214</v>
      </c>
      <c r="N1724" s="36" t="s">
        <v>32</v>
      </c>
    </row>
    <row r="1725">
      <c r="A1725" s="36" t="s">
        <v>4694</v>
      </c>
      <c r="B1725" s="154" t="s">
        <v>4695</v>
      </c>
      <c r="C1725" s="36" t="s">
        <v>1666</v>
      </c>
      <c r="D1725" s="36" t="s">
        <v>63</v>
      </c>
      <c r="E1725" s="36" t="s">
        <v>63</v>
      </c>
      <c r="F1725" s="154" t="s">
        <v>4696</v>
      </c>
      <c r="G1725" s="36" t="s">
        <v>28</v>
      </c>
      <c r="H1725" s="36" t="s">
        <v>1655</v>
      </c>
      <c r="I1725" s="36" t="s">
        <v>1656</v>
      </c>
      <c r="J1725" s="36" t="s">
        <v>1656</v>
      </c>
      <c r="K1725" s="36" t="s">
        <v>4196</v>
      </c>
      <c r="L1725" s="36" t="s">
        <v>4214</v>
      </c>
      <c r="M1725" s="36" t="s">
        <v>4214</v>
      </c>
      <c r="N1725" s="36" t="s">
        <v>34</v>
      </c>
    </row>
    <row r="1726">
      <c r="A1726" s="36" t="s">
        <v>4697</v>
      </c>
      <c r="B1726" s="154" t="s">
        <v>4698</v>
      </c>
      <c r="C1726" s="36" t="s">
        <v>1666</v>
      </c>
      <c r="D1726" s="36" t="s">
        <v>64</v>
      </c>
      <c r="E1726" s="36" t="s">
        <v>64</v>
      </c>
      <c r="F1726" s="154" t="s">
        <v>4699</v>
      </c>
      <c r="G1726" s="36" t="s">
        <v>28</v>
      </c>
      <c r="H1726" s="36" t="s">
        <v>1655</v>
      </c>
      <c r="I1726" s="36" t="s">
        <v>1656</v>
      </c>
      <c r="J1726" s="36" t="s">
        <v>1656</v>
      </c>
      <c r="K1726" s="36" t="s">
        <v>1708</v>
      </c>
      <c r="L1726" s="36" t="s">
        <v>4214</v>
      </c>
      <c r="M1726" s="36" t="s">
        <v>4214</v>
      </c>
      <c r="N1726" s="36" t="s">
        <v>32</v>
      </c>
    </row>
    <row r="1727">
      <c r="A1727" s="36" t="s">
        <v>4700</v>
      </c>
      <c r="B1727" s="154" t="s">
        <v>4698</v>
      </c>
      <c r="C1727" s="36" t="s">
        <v>1666</v>
      </c>
      <c r="D1727" s="36" t="s">
        <v>100</v>
      </c>
      <c r="E1727" s="36" t="s">
        <v>100</v>
      </c>
      <c r="F1727" s="154" t="s">
        <v>1768</v>
      </c>
      <c r="G1727" s="36" t="s">
        <v>32</v>
      </c>
      <c r="H1727" s="36" t="s">
        <v>1655</v>
      </c>
      <c r="I1727" s="36" t="s">
        <v>1656</v>
      </c>
      <c r="J1727" s="36" t="s">
        <v>1656</v>
      </c>
      <c r="K1727" s="36" t="s">
        <v>1675</v>
      </c>
      <c r="L1727" s="36" t="s">
        <v>4214</v>
      </c>
      <c r="M1727" s="36" t="s">
        <v>4214</v>
      </c>
      <c r="N1727" s="36" t="s">
        <v>32</v>
      </c>
    </row>
    <row r="1728">
      <c r="A1728" s="36" t="s">
        <v>4701</v>
      </c>
      <c r="B1728" s="154" t="s">
        <v>4702</v>
      </c>
      <c r="C1728" s="36" t="s">
        <v>1666</v>
      </c>
      <c r="D1728" s="36" t="s">
        <v>495</v>
      </c>
      <c r="E1728" s="36" t="s">
        <v>495</v>
      </c>
      <c r="F1728" s="154" t="s">
        <v>2730</v>
      </c>
      <c r="G1728" s="36" t="s">
        <v>28</v>
      </c>
      <c r="H1728" s="36" t="s">
        <v>1655</v>
      </c>
      <c r="I1728" s="36" t="s">
        <v>1656</v>
      </c>
      <c r="J1728" s="36" t="s">
        <v>1656</v>
      </c>
      <c r="K1728" s="36" t="s">
        <v>1678</v>
      </c>
      <c r="L1728" s="36" t="s">
        <v>4214</v>
      </c>
      <c r="M1728" s="36" t="s">
        <v>4214</v>
      </c>
      <c r="N1728" s="36" t="s">
        <v>32</v>
      </c>
    </row>
    <row r="1729">
      <c r="A1729" s="36" t="s">
        <v>4703</v>
      </c>
      <c r="B1729" s="154" t="s">
        <v>4702</v>
      </c>
      <c r="C1729" s="36" t="s">
        <v>1666</v>
      </c>
      <c r="D1729" s="36" t="s">
        <v>969</v>
      </c>
      <c r="E1729" s="36" t="s">
        <v>969</v>
      </c>
      <c r="F1729" s="154" t="s">
        <v>1959</v>
      </c>
      <c r="G1729" s="36" t="s">
        <v>28</v>
      </c>
      <c r="H1729" s="36" t="s">
        <v>1655</v>
      </c>
      <c r="I1729" s="36" t="s">
        <v>1656</v>
      </c>
      <c r="J1729" s="36" t="s">
        <v>1656</v>
      </c>
      <c r="K1729" s="36" t="s">
        <v>1701</v>
      </c>
      <c r="L1729" s="36" t="s">
        <v>4214</v>
      </c>
      <c r="M1729" s="36" t="s">
        <v>4214</v>
      </c>
      <c r="N1729" s="36" t="s">
        <v>32</v>
      </c>
    </row>
    <row r="1730">
      <c r="A1730" s="36" t="s">
        <v>4704</v>
      </c>
      <c r="B1730" s="154" t="s">
        <v>4705</v>
      </c>
      <c r="C1730" s="36" t="s">
        <v>1653</v>
      </c>
      <c r="D1730" s="36" t="s">
        <v>55</v>
      </c>
      <c r="E1730" s="36" t="s">
        <v>39</v>
      </c>
      <c r="F1730" s="154" t="s">
        <v>4541</v>
      </c>
      <c r="G1730" s="36" t="s">
        <v>32</v>
      </c>
      <c r="H1730" s="36" t="s">
        <v>1655</v>
      </c>
      <c r="I1730" s="36" t="s">
        <v>1656</v>
      </c>
      <c r="J1730" s="36" t="s">
        <v>1656</v>
      </c>
      <c r="K1730" s="36" t="s">
        <v>1989</v>
      </c>
      <c r="L1730" s="36" t="s">
        <v>4212</v>
      </c>
      <c r="M1730" s="36" t="s">
        <v>4212</v>
      </c>
      <c r="N1730" s="36" t="s">
        <v>32</v>
      </c>
    </row>
    <row r="1731">
      <c r="A1731" s="36" t="s">
        <v>4706</v>
      </c>
      <c r="B1731" s="154" t="s">
        <v>4705</v>
      </c>
      <c r="C1731" s="36" t="s">
        <v>1653</v>
      </c>
      <c r="D1731" s="36" t="s">
        <v>909</v>
      </c>
      <c r="E1731" s="36" t="s">
        <v>39</v>
      </c>
      <c r="F1731" s="154" t="s">
        <v>1916</v>
      </c>
      <c r="G1731" s="36" t="s">
        <v>32</v>
      </c>
      <c r="H1731" s="36" t="s">
        <v>1655</v>
      </c>
      <c r="I1731" s="36" t="s">
        <v>1656</v>
      </c>
      <c r="J1731" s="36" t="s">
        <v>1656</v>
      </c>
      <c r="K1731" s="36" t="s">
        <v>1749</v>
      </c>
      <c r="L1731" s="36" t="s">
        <v>4212</v>
      </c>
      <c r="M1731" s="36" t="s">
        <v>4212</v>
      </c>
      <c r="N1731" s="36" t="s">
        <v>32</v>
      </c>
    </row>
    <row r="1732">
      <c r="A1732" s="36" t="s">
        <v>4707</v>
      </c>
      <c r="B1732" s="154" t="s">
        <v>4705</v>
      </c>
      <c r="C1732" s="36" t="s">
        <v>1666</v>
      </c>
      <c r="D1732" s="36" t="s">
        <v>71</v>
      </c>
      <c r="E1732" s="36" t="s">
        <v>71</v>
      </c>
      <c r="F1732" s="154" t="s">
        <v>4448</v>
      </c>
      <c r="G1732" s="36" t="s">
        <v>32</v>
      </c>
      <c r="H1732" s="36" t="s">
        <v>1655</v>
      </c>
      <c r="I1732" s="36" t="s">
        <v>1656</v>
      </c>
      <c r="J1732" s="36" t="s">
        <v>1656</v>
      </c>
      <c r="K1732" s="36" t="s">
        <v>1752</v>
      </c>
      <c r="L1732" s="36" t="s">
        <v>4214</v>
      </c>
      <c r="M1732" s="36" t="s">
        <v>4214</v>
      </c>
      <c r="N1732" s="36" t="s">
        <v>32</v>
      </c>
    </row>
    <row r="1733">
      <c r="A1733" s="36" t="s">
        <v>4708</v>
      </c>
      <c r="B1733" s="154" t="s">
        <v>4705</v>
      </c>
      <c r="C1733" s="36" t="s">
        <v>1666</v>
      </c>
      <c r="D1733" s="36" t="s">
        <v>73</v>
      </c>
      <c r="E1733" s="36" t="s">
        <v>73</v>
      </c>
      <c r="F1733" s="154" t="s">
        <v>4544</v>
      </c>
      <c r="G1733" s="36" t="s">
        <v>28</v>
      </c>
      <c r="H1733" s="36" t="s">
        <v>1655</v>
      </c>
      <c r="I1733" s="36" t="s">
        <v>1656</v>
      </c>
      <c r="J1733" s="36" t="s">
        <v>1656</v>
      </c>
      <c r="K1733" s="36" t="s">
        <v>1755</v>
      </c>
      <c r="L1733" s="36" t="s">
        <v>4214</v>
      </c>
      <c r="M1733" s="36" t="s">
        <v>4214</v>
      </c>
      <c r="N1733" s="36" t="s">
        <v>32</v>
      </c>
    </row>
    <row r="1734">
      <c r="A1734" s="36" t="s">
        <v>4709</v>
      </c>
      <c r="B1734" s="154" t="s">
        <v>4705</v>
      </c>
      <c r="C1734" s="36" t="s">
        <v>1666</v>
      </c>
      <c r="D1734" s="36" t="s">
        <v>74</v>
      </c>
      <c r="E1734" s="36" t="s">
        <v>74</v>
      </c>
      <c r="F1734" s="154" t="s">
        <v>4448</v>
      </c>
      <c r="G1734" s="36" t="s">
        <v>32</v>
      </c>
      <c r="H1734" s="36" t="s">
        <v>1655</v>
      </c>
      <c r="I1734" s="36" t="s">
        <v>1656</v>
      </c>
      <c r="J1734" s="36" t="s">
        <v>1656</v>
      </c>
      <c r="K1734" s="36" t="s">
        <v>1757</v>
      </c>
      <c r="L1734" s="36" t="s">
        <v>4214</v>
      </c>
      <c r="M1734" s="36" t="s">
        <v>4214</v>
      </c>
      <c r="N1734" s="36" t="s">
        <v>32</v>
      </c>
    </row>
    <row r="1735">
      <c r="A1735" s="36" t="s">
        <v>4710</v>
      </c>
      <c r="B1735" s="154" t="s">
        <v>4705</v>
      </c>
      <c r="C1735" s="36" t="s">
        <v>1666</v>
      </c>
      <c r="D1735" s="36" t="s">
        <v>75</v>
      </c>
      <c r="E1735" s="36" t="s">
        <v>75</v>
      </c>
      <c r="F1735" s="154" t="s">
        <v>4450</v>
      </c>
      <c r="G1735" s="36" t="s">
        <v>28</v>
      </c>
      <c r="H1735" s="36" t="s">
        <v>1655</v>
      </c>
      <c r="I1735" s="36" t="s">
        <v>1656</v>
      </c>
      <c r="J1735" s="36" t="s">
        <v>1656</v>
      </c>
      <c r="K1735" s="36" t="s">
        <v>1760</v>
      </c>
      <c r="L1735" s="36" t="s">
        <v>4214</v>
      </c>
      <c r="M1735" s="36" t="s">
        <v>4214</v>
      </c>
      <c r="N1735" s="36" t="s">
        <v>32</v>
      </c>
    </row>
    <row r="1736">
      <c r="A1736" s="36" t="s">
        <v>4711</v>
      </c>
      <c r="B1736" s="154" t="s">
        <v>4705</v>
      </c>
      <c r="C1736" s="36" t="s">
        <v>1666</v>
      </c>
      <c r="D1736" s="36" t="s">
        <v>77</v>
      </c>
      <c r="E1736" s="36" t="s">
        <v>77</v>
      </c>
      <c r="F1736" s="154" t="s">
        <v>1768</v>
      </c>
      <c r="G1736" s="36" t="s">
        <v>34</v>
      </c>
      <c r="H1736" s="36" t="s">
        <v>1655</v>
      </c>
      <c r="I1736" s="36" t="s">
        <v>1656</v>
      </c>
      <c r="J1736" s="36" t="s">
        <v>1656</v>
      </c>
      <c r="K1736" s="36" t="s">
        <v>4248</v>
      </c>
      <c r="L1736" s="36" t="s">
        <v>4214</v>
      </c>
      <c r="M1736" s="36" t="s">
        <v>4214</v>
      </c>
      <c r="N1736" s="36" t="s">
        <v>32</v>
      </c>
    </row>
    <row r="1737">
      <c r="A1737" s="36" t="s">
        <v>4712</v>
      </c>
      <c r="B1737" s="154" t="s">
        <v>4705</v>
      </c>
      <c r="C1737" s="36" t="s">
        <v>1666</v>
      </c>
      <c r="D1737" s="36" t="s">
        <v>220</v>
      </c>
      <c r="E1737" s="36" t="s">
        <v>220</v>
      </c>
      <c r="F1737" s="154" t="s">
        <v>4713</v>
      </c>
      <c r="G1737" s="36" t="s">
        <v>28</v>
      </c>
      <c r="H1737" s="36" t="s">
        <v>1655</v>
      </c>
      <c r="I1737" s="36" t="s">
        <v>1656</v>
      </c>
      <c r="J1737" s="36" t="s">
        <v>1656</v>
      </c>
      <c r="K1737" s="36" t="s">
        <v>1691</v>
      </c>
      <c r="L1737" s="36" t="s">
        <v>4214</v>
      </c>
      <c r="M1737" s="36" t="s">
        <v>4214</v>
      </c>
      <c r="N1737" s="36" t="s">
        <v>32</v>
      </c>
    </row>
    <row r="1738">
      <c r="A1738" s="36" t="s">
        <v>4714</v>
      </c>
      <c r="B1738" s="154" t="s">
        <v>4705</v>
      </c>
      <c r="C1738" s="36" t="s">
        <v>1666</v>
      </c>
      <c r="D1738" s="36" t="s">
        <v>226</v>
      </c>
      <c r="E1738" s="36" t="s">
        <v>226</v>
      </c>
      <c r="F1738" s="154" t="s">
        <v>4715</v>
      </c>
      <c r="G1738" s="36" t="s">
        <v>32</v>
      </c>
      <c r="H1738" s="36" t="s">
        <v>1655</v>
      </c>
      <c r="I1738" s="36" t="s">
        <v>1656</v>
      </c>
      <c r="J1738" s="36" t="s">
        <v>1656</v>
      </c>
      <c r="K1738" s="36" t="s">
        <v>1695</v>
      </c>
      <c r="L1738" s="36" t="s">
        <v>4214</v>
      </c>
      <c r="M1738" s="36" t="s">
        <v>4214</v>
      </c>
      <c r="N1738" s="36" t="s">
        <v>32</v>
      </c>
    </row>
    <row r="1739">
      <c r="A1739" s="36" t="s">
        <v>4716</v>
      </c>
      <c r="B1739" s="154" t="s">
        <v>4705</v>
      </c>
      <c r="C1739" s="36" t="s">
        <v>1666</v>
      </c>
      <c r="D1739" s="36" t="s">
        <v>281</v>
      </c>
      <c r="E1739" s="36" t="s">
        <v>281</v>
      </c>
      <c r="F1739" s="154" t="s">
        <v>2325</v>
      </c>
      <c r="G1739" s="36" t="s">
        <v>34</v>
      </c>
      <c r="H1739" s="36" t="s">
        <v>1655</v>
      </c>
      <c r="I1739" s="36" t="s">
        <v>1656</v>
      </c>
      <c r="J1739" s="36" t="s">
        <v>1656</v>
      </c>
      <c r="K1739" s="36" t="s">
        <v>1698</v>
      </c>
      <c r="L1739" s="36" t="s">
        <v>4214</v>
      </c>
      <c r="M1739" s="36" t="s">
        <v>4214</v>
      </c>
      <c r="N1739" s="36" t="s">
        <v>32</v>
      </c>
    </row>
    <row r="1740">
      <c r="A1740" s="36" t="s">
        <v>4717</v>
      </c>
      <c r="B1740" s="154" t="s">
        <v>4705</v>
      </c>
      <c r="C1740" s="36" t="s">
        <v>1666</v>
      </c>
      <c r="D1740" s="36" t="s">
        <v>974</v>
      </c>
      <c r="E1740" s="36" t="s">
        <v>974</v>
      </c>
      <c r="F1740" s="154" t="s">
        <v>1683</v>
      </c>
      <c r="G1740" s="36" t="s">
        <v>32</v>
      </c>
      <c r="H1740" s="36" t="s">
        <v>1655</v>
      </c>
      <c r="I1740" s="36" t="s">
        <v>1656</v>
      </c>
      <c r="J1740" s="36" t="s">
        <v>1656</v>
      </c>
      <c r="K1740" s="36" t="s">
        <v>1704</v>
      </c>
      <c r="L1740" s="36" t="s">
        <v>4214</v>
      </c>
      <c r="M1740" s="36" t="s">
        <v>4214</v>
      </c>
      <c r="N1740" s="36" t="s">
        <v>32</v>
      </c>
    </row>
    <row r="1741">
      <c r="A1741" s="36" t="s">
        <v>4718</v>
      </c>
      <c r="B1741" s="154" t="s">
        <v>4705</v>
      </c>
      <c r="C1741" s="36" t="s">
        <v>1666</v>
      </c>
      <c r="D1741" s="36" t="s">
        <v>978</v>
      </c>
      <c r="E1741" s="36" t="s">
        <v>978</v>
      </c>
      <c r="F1741" s="154" t="s">
        <v>3151</v>
      </c>
      <c r="G1741" s="36" t="s">
        <v>32</v>
      </c>
      <c r="H1741" s="36" t="s">
        <v>1655</v>
      </c>
      <c r="I1741" s="36" t="s">
        <v>1656</v>
      </c>
      <c r="J1741" s="36" t="s">
        <v>1656</v>
      </c>
      <c r="K1741" s="36" t="s">
        <v>1711</v>
      </c>
      <c r="L1741" s="36" t="s">
        <v>4214</v>
      </c>
      <c r="M1741" s="36" t="s">
        <v>4214</v>
      </c>
      <c r="N1741" s="36" t="s">
        <v>32</v>
      </c>
    </row>
    <row r="1742">
      <c r="A1742" s="36" t="s">
        <v>4719</v>
      </c>
      <c r="B1742" s="154" t="s">
        <v>4705</v>
      </c>
      <c r="C1742" s="36" t="s">
        <v>1666</v>
      </c>
      <c r="D1742" s="36" t="s">
        <v>983</v>
      </c>
      <c r="E1742" s="36" t="s">
        <v>983</v>
      </c>
      <c r="F1742" s="154" t="s">
        <v>4720</v>
      </c>
      <c r="G1742" s="36" t="s">
        <v>32</v>
      </c>
      <c r="H1742" s="36" t="s">
        <v>1655</v>
      </c>
      <c r="I1742" s="36" t="s">
        <v>1656</v>
      </c>
      <c r="J1742" s="36" t="s">
        <v>1656</v>
      </c>
      <c r="K1742" s="36" t="s">
        <v>1715</v>
      </c>
      <c r="L1742" s="36" t="s">
        <v>4214</v>
      </c>
      <c r="M1742" s="36" t="s">
        <v>4214</v>
      </c>
      <c r="N1742" s="36" t="s">
        <v>32</v>
      </c>
    </row>
    <row r="1743">
      <c r="A1743" s="36" t="s">
        <v>4721</v>
      </c>
      <c r="B1743" s="154" t="s">
        <v>4722</v>
      </c>
      <c r="C1743" s="36" t="s">
        <v>1666</v>
      </c>
      <c r="D1743" s="36" t="s">
        <v>218</v>
      </c>
      <c r="E1743" s="36" t="s">
        <v>218</v>
      </c>
      <c r="F1743" s="154" t="s">
        <v>1832</v>
      </c>
      <c r="G1743" s="36" t="s">
        <v>32</v>
      </c>
      <c r="H1743" s="36" t="s">
        <v>1655</v>
      </c>
      <c r="I1743" s="36" t="s">
        <v>1656</v>
      </c>
      <c r="J1743" s="36" t="s">
        <v>1656</v>
      </c>
      <c r="K1743" s="36" t="s">
        <v>1717</v>
      </c>
      <c r="L1743" s="36" t="s">
        <v>4214</v>
      </c>
      <c r="M1743" s="36" t="s">
        <v>4214</v>
      </c>
      <c r="N1743" s="36" t="s">
        <v>32</v>
      </c>
    </row>
    <row r="1744">
      <c r="A1744" s="36" t="s">
        <v>4723</v>
      </c>
      <c r="B1744" s="154" t="s">
        <v>4722</v>
      </c>
      <c r="C1744" s="36" t="s">
        <v>1666</v>
      </c>
      <c r="D1744" s="36" t="s">
        <v>991</v>
      </c>
      <c r="E1744" s="36" t="s">
        <v>991</v>
      </c>
      <c r="F1744" s="154" t="s">
        <v>1686</v>
      </c>
      <c r="G1744" s="36" t="s">
        <v>32</v>
      </c>
      <c r="H1744" s="36" t="s">
        <v>1655</v>
      </c>
      <c r="I1744" s="36" t="s">
        <v>1656</v>
      </c>
      <c r="J1744" s="36" t="s">
        <v>1656</v>
      </c>
      <c r="K1744" s="36" t="s">
        <v>1724</v>
      </c>
      <c r="L1744" s="36" t="s">
        <v>4214</v>
      </c>
      <c r="M1744" s="36" t="s">
        <v>4214</v>
      </c>
      <c r="N1744" s="36" t="s">
        <v>32</v>
      </c>
    </row>
    <row r="1745">
      <c r="A1745" s="36" t="s">
        <v>4724</v>
      </c>
      <c r="B1745" s="154" t="s">
        <v>4725</v>
      </c>
      <c r="C1745" s="36" t="s">
        <v>1653</v>
      </c>
      <c r="D1745" s="36" t="s">
        <v>909</v>
      </c>
      <c r="E1745" s="36" t="s">
        <v>39</v>
      </c>
      <c r="F1745" s="154" t="s">
        <v>4726</v>
      </c>
      <c r="G1745" s="36" t="s">
        <v>32</v>
      </c>
      <c r="H1745" s="36" t="s">
        <v>1655</v>
      </c>
      <c r="I1745" s="36" t="s">
        <v>1656</v>
      </c>
      <c r="J1745" s="36" t="s">
        <v>1656</v>
      </c>
      <c r="K1745" s="36" t="s">
        <v>1978</v>
      </c>
      <c r="L1745" s="36" t="s">
        <v>4212</v>
      </c>
      <c r="M1745" s="36" t="s">
        <v>4212</v>
      </c>
      <c r="N1745" s="36" t="s">
        <v>32</v>
      </c>
    </row>
    <row r="1746">
      <c r="A1746" s="36" t="s">
        <v>4727</v>
      </c>
      <c r="B1746" s="154" t="s">
        <v>4725</v>
      </c>
      <c r="C1746" s="36" t="s">
        <v>1666</v>
      </c>
      <c r="D1746" s="36" t="s">
        <v>100</v>
      </c>
      <c r="E1746" s="36" t="s">
        <v>100</v>
      </c>
      <c r="F1746" s="154" t="s">
        <v>2325</v>
      </c>
      <c r="G1746" s="36" t="s">
        <v>32</v>
      </c>
      <c r="H1746" s="36" t="s">
        <v>1655</v>
      </c>
      <c r="I1746" s="36" t="s">
        <v>1656</v>
      </c>
      <c r="J1746" s="36" t="s">
        <v>1656</v>
      </c>
      <c r="K1746" s="36" t="s">
        <v>1727</v>
      </c>
      <c r="L1746" s="36" t="s">
        <v>4214</v>
      </c>
      <c r="M1746" s="36" t="s">
        <v>4214</v>
      </c>
      <c r="N1746" s="36" t="s">
        <v>32</v>
      </c>
    </row>
    <row r="1747">
      <c r="A1747" s="36" t="s">
        <v>4728</v>
      </c>
      <c r="B1747" s="154" t="s">
        <v>4725</v>
      </c>
      <c r="C1747" s="36" t="s">
        <v>1666</v>
      </c>
      <c r="D1747" s="36" t="s">
        <v>695</v>
      </c>
      <c r="E1747" s="36" t="s">
        <v>695</v>
      </c>
      <c r="F1747" s="154" t="s">
        <v>2079</v>
      </c>
      <c r="G1747" s="36" t="s">
        <v>28</v>
      </c>
      <c r="H1747" s="36" t="s">
        <v>1655</v>
      </c>
      <c r="I1747" s="36" t="s">
        <v>1656</v>
      </c>
      <c r="J1747" s="36" t="s">
        <v>1656</v>
      </c>
      <c r="K1747" s="36" t="s">
        <v>1730</v>
      </c>
      <c r="L1747" s="36" t="s">
        <v>4214</v>
      </c>
      <c r="M1747" s="36" t="s">
        <v>4214</v>
      </c>
      <c r="N1747" s="36" t="s">
        <v>32</v>
      </c>
    </row>
    <row r="1748">
      <c r="A1748" s="36" t="s">
        <v>4729</v>
      </c>
      <c r="B1748" s="154" t="s">
        <v>4730</v>
      </c>
      <c r="C1748" s="36" t="s">
        <v>1666</v>
      </c>
      <c r="D1748" s="36" t="s">
        <v>1000</v>
      </c>
      <c r="E1748" s="36" t="s">
        <v>1000</v>
      </c>
      <c r="F1748" s="154" t="s">
        <v>3017</v>
      </c>
      <c r="G1748" s="36" t="s">
        <v>28</v>
      </c>
      <c r="H1748" s="36" t="s">
        <v>1655</v>
      </c>
      <c r="I1748" s="36" t="s">
        <v>1656</v>
      </c>
      <c r="J1748" s="36" t="s">
        <v>1656</v>
      </c>
      <c r="K1748" s="36" t="s">
        <v>1732</v>
      </c>
      <c r="L1748" s="36" t="s">
        <v>4214</v>
      </c>
      <c r="M1748" s="36" t="s">
        <v>4214</v>
      </c>
      <c r="N1748" s="36" t="s">
        <v>32</v>
      </c>
    </row>
    <row r="1749">
      <c r="A1749" s="36" t="s">
        <v>4731</v>
      </c>
      <c r="B1749" s="154" t="s">
        <v>4730</v>
      </c>
      <c r="C1749" s="36" t="s">
        <v>1666</v>
      </c>
      <c r="D1749" s="36" t="s">
        <v>1001</v>
      </c>
      <c r="E1749" s="36" t="s">
        <v>1001</v>
      </c>
      <c r="F1749" s="154" t="s">
        <v>4732</v>
      </c>
      <c r="G1749" s="36" t="s">
        <v>32</v>
      </c>
      <c r="H1749" s="36" t="s">
        <v>1655</v>
      </c>
      <c r="I1749" s="36" t="s">
        <v>1656</v>
      </c>
      <c r="J1749" s="36" t="s">
        <v>1656</v>
      </c>
      <c r="K1749" s="36" t="s">
        <v>1736</v>
      </c>
      <c r="L1749" s="36" t="s">
        <v>4214</v>
      </c>
      <c r="M1749" s="36" t="s">
        <v>4214</v>
      </c>
      <c r="N1749" s="36" t="s">
        <v>32</v>
      </c>
    </row>
    <row r="1750">
      <c r="A1750" s="36" t="s">
        <v>4733</v>
      </c>
      <c r="B1750" s="154" t="s">
        <v>4734</v>
      </c>
      <c r="C1750" s="36" t="s">
        <v>1653</v>
      </c>
      <c r="D1750" s="36" t="s">
        <v>909</v>
      </c>
      <c r="E1750" s="36" t="s">
        <v>39</v>
      </c>
      <c r="F1750" s="154" t="s">
        <v>4735</v>
      </c>
      <c r="G1750" s="36" t="s">
        <v>32</v>
      </c>
      <c r="H1750" s="36" t="s">
        <v>1655</v>
      </c>
      <c r="I1750" s="36" t="s">
        <v>1656</v>
      </c>
      <c r="J1750" s="36" t="s">
        <v>1656</v>
      </c>
      <c r="K1750" s="36" t="s">
        <v>2848</v>
      </c>
      <c r="L1750" s="36" t="s">
        <v>4212</v>
      </c>
      <c r="M1750" s="36" t="s">
        <v>4212</v>
      </c>
      <c r="N1750" s="36" t="s">
        <v>32</v>
      </c>
    </row>
    <row r="1751">
      <c r="A1751" s="36" t="s">
        <v>4736</v>
      </c>
      <c r="B1751" s="154" t="s">
        <v>4734</v>
      </c>
      <c r="C1751" s="36" t="s">
        <v>1666</v>
      </c>
      <c r="D1751" s="36" t="s">
        <v>92</v>
      </c>
      <c r="E1751" s="36" t="s">
        <v>92</v>
      </c>
      <c r="F1751" s="154" t="s">
        <v>1806</v>
      </c>
      <c r="G1751" s="36" t="s">
        <v>32</v>
      </c>
      <c r="H1751" s="36" t="s">
        <v>1655</v>
      </c>
      <c r="I1751" s="36" t="s">
        <v>1656</v>
      </c>
      <c r="J1751" s="36" t="s">
        <v>1656</v>
      </c>
      <c r="K1751" s="36" t="s">
        <v>1739</v>
      </c>
      <c r="L1751" s="36" t="s">
        <v>4214</v>
      </c>
      <c r="M1751" s="36" t="s">
        <v>4214</v>
      </c>
      <c r="N1751" s="36" t="s">
        <v>32</v>
      </c>
    </row>
    <row r="1752">
      <c r="A1752" s="36" t="s">
        <v>4737</v>
      </c>
      <c r="B1752" s="154" t="s">
        <v>4738</v>
      </c>
      <c r="C1752" s="36" t="s">
        <v>1666</v>
      </c>
      <c r="D1752" s="36" t="s">
        <v>712</v>
      </c>
      <c r="E1752" s="36" t="s">
        <v>712</v>
      </c>
      <c r="F1752" s="154" t="s">
        <v>3480</v>
      </c>
      <c r="G1752" s="36" t="s">
        <v>28</v>
      </c>
      <c r="H1752" s="36" t="s">
        <v>1655</v>
      </c>
      <c r="I1752" s="36" t="s">
        <v>1656</v>
      </c>
      <c r="J1752" s="36" t="s">
        <v>1656</v>
      </c>
      <c r="K1752" s="36" t="s">
        <v>1766</v>
      </c>
      <c r="L1752" s="36" t="s">
        <v>4214</v>
      </c>
      <c r="M1752" s="36" t="s">
        <v>4214</v>
      </c>
      <c r="N1752" s="36" t="s">
        <v>32</v>
      </c>
    </row>
    <row r="1753">
      <c r="A1753" s="36" t="s">
        <v>4739</v>
      </c>
      <c r="B1753" s="154" t="s">
        <v>4740</v>
      </c>
      <c r="C1753" s="36" t="s">
        <v>1666</v>
      </c>
      <c r="D1753" s="36" t="s">
        <v>81</v>
      </c>
      <c r="E1753" s="36" t="s">
        <v>81</v>
      </c>
      <c r="F1753" s="154" t="s">
        <v>4305</v>
      </c>
      <c r="G1753" s="36" t="s">
        <v>28</v>
      </c>
      <c r="H1753" s="36" t="s">
        <v>1655</v>
      </c>
      <c r="I1753" s="36" t="s">
        <v>1656</v>
      </c>
      <c r="J1753" s="36" t="s">
        <v>1656</v>
      </c>
      <c r="K1753" s="36" t="s">
        <v>1891</v>
      </c>
      <c r="L1753" s="36" t="s">
        <v>4214</v>
      </c>
      <c r="M1753" s="36" t="s">
        <v>4214</v>
      </c>
      <c r="N1753" s="36" t="s">
        <v>32</v>
      </c>
    </row>
    <row r="1754">
      <c r="A1754" s="36" t="s">
        <v>4741</v>
      </c>
      <c r="B1754" s="154" t="s">
        <v>4740</v>
      </c>
      <c r="C1754" s="36" t="s">
        <v>1666</v>
      </c>
      <c r="D1754" s="36" t="s">
        <v>83</v>
      </c>
      <c r="E1754" s="36" t="s">
        <v>83</v>
      </c>
      <c r="F1754" s="154" t="s">
        <v>4742</v>
      </c>
      <c r="G1754" s="36" t="s">
        <v>28</v>
      </c>
      <c r="H1754" s="36" t="s">
        <v>1655</v>
      </c>
      <c r="I1754" s="36" t="s">
        <v>1656</v>
      </c>
      <c r="J1754" s="36" t="s">
        <v>1656</v>
      </c>
      <c r="K1754" s="36" t="s">
        <v>1921</v>
      </c>
      <c r="L1754" s="36" t="s">
        <v>4214</v>
      </c>
      <c r="M1754" s="36" t="s">
        <v>4214</v>
      </c>
      <c r="N1754" s="36" t="s">
        <v>32</v>
      </c>
    </row>
    <row r="1755">
      <c r="A1755" s="36" t="s">
        <v>4743</v>
      </c>
      <c r="B1755" s="154" t="s">
        <v>4740</v>
      </c>
      <c r="C1755" s="36" t="s">
        <v>1666</v>
      </c>
      <c r="D1755" s="36" t="s">
        <v>84</v>
      </c>
      <c r="E1755" s="36" t="s">
        <v>84</v>
      </c>
      <c r="F1755" s="154" t="s">
        <v>4744</v>
      </c>
      <c r="G1755" s="36" t="s">
        <v>32</v>
      </c>
      <c r="H1755" s="36" t="s">
        <v>1655</v>
      </c>
      <c r="I1755" s="36" t="s">
        <v>1656</v>
      </c>
      <c r="J1755" s="36" t="s">
        <v>1656</v>
      </c>
      <c r="K1755" s="36" t="s">
        <v>3166</v>
      </c>
      <c r="L1755" s="36" t="s">
        <v>4214</v>
      </c>
      <c r="M1755" s="36" t="s">
        <v>4214</v>
      </c>
      <c r="N1755" s="36" t="s">
        <v>32</v>
      </c>
    </row>
    <row r="1756">
      <c r="A1756" s="36" t="s">
        <v>4745</v>
      </c>
      <c r="B1756" s="154" t="s">
        <v>4746</v>
      </c>
      <c r="C1756" s="36" t="s">
        <v>1653</v>
      </c>
      <c r="D1756" s="36" t="s">
        <v>43</v>
      </c>
      <c r="E1756" s="36" t="s">
        <v>39</v>
      </c>
      <c r="F1756" s="154" t="s">
        <v>4747</v>
      </c>
      <c r="G1756" s="36" t="s">
        <v>32</v>
      </c>
      <c r="H1756" s="36" t="s">
        <v>1655</v>
      </c>
      <c r="I1756" s="36" t="s">
        <v>1656</v>
      </c>
      <c r="J1756" s="36" t="s">
        <v>1656</v>
      </c>
      <c r="K1756" s="36" t="s">
        <v>1657</v>
      </c>
      <c r="L1756" s="36" t="s">
        <v>4212</v>
      </c>
      <c r="M1756" s="36" t="s">
        <v>4212</v>
      </c>
      <c r="N1756" s="36" t="s">
        <v>32</v>
      </c>
    </row>
    <row r="1757">
      <c r="A1757" s="36" t="s">
        <v>4748</v>
      </c>
      <c r="B1757" s="154" t="s">
        <v>4746</v>
      </c>
      <c r="C1757" s="36" t="s">
        <v>1666</v>
      </c>
      <c r="D1757" s="36" t="s">
        <v>85</v>
      </c>
      <c r="E1757" s="36" t="s">
        <v>85</v>
      </c>
      <c r="F1757" s="154" t="s">
        <v>4504</v>
      </c>
      <c r="G1757" s="36" t="s">
        <v>28</v>
      </c>
      <c r="H1757" s="36" t="s">
        <v>1655</v>
      </c>
      <c r="I1757" s="36" t="s">
        <v>1656</v>
      </c>
      <c r="J1757" s="36" t="s">
        <v>1656</v>
      </c>
      <c r="K1757" s="36" t="s">
        <v>3038</v>
      </c>
      <c r="L1757" s="36" t="s">
        <v>4214</v>
      </c>
      <c r="M1757" s="36" t="s">
        <v>4214</v>
      </c>
      <c r="N1757" s="36" t="s">
        <v>32</v>
      </c>
    </row>
    <row r="1758">
      <c r="A1758" s="36" t="s">
        <v>4749</v>
      </c>
      <c r="B1758" s="154" t="s">
        <v>4746</v>
      </c>
      <c r="C1758" s="36" t="s">
        <v>1666</v>
      </c>
      <c r="D1758" s="36" t="s">
        <v>439</v>
      </c>
      <c r="E1758" s="36" t="s">
        <v>439</v>
      </c>
      <c r="F1758" s="154" t="s">
        <v>4750</v>
      </c>
      <c r="G1758" s="36" t="s">
        <v>28</v>
      </c>
      <c r="H1758" s="36" t="s">
        <v>1655</v>
      </c>
      <c r="I1758" s="36" t="s">
        <v>1656</v>
      </c>
      <c r="J1758" s="36" t="s">
        <v>1656</v>
      </c>
      <c r="K1758" s="36" t="s">
        <v>2775</v>
      </c>
      <c r="L1758" s="36" t="s">
        <v>4214</v>
      </c>
      <c r="M1758" s="36" t="s">
        <v>4214</v>
      </c>
      <c r="N1758" s="36" t="s">
        <v>32</v>
      </c>
    </row>
    <row r="1759">
      <c r="A1759" s="36" t="s">
        <v>4751</v>
      </c>
      <c r="B1759" s="154" t="s">
        <v>4746</v>
      </c>
      <c r="C1759" s="36" t="s">
        <v>1666</v>
      </c>
      <c r="D1759" s="36" t="s">
        <v>192</v>
      </c>
      <c r="E1759" s="36" t="s">
        <v>192</v>
      </c>
      <c r="F1759" s="154" t="s">
        <v>4688</v>
      </c>
      <c r="G1759" s="36" t="s">
        <v>28</v>
      </c>
      <c r="H1759" s="36" t="s">
        <v>1655</v>
      </c>
      <c r="I1759" s="36" t="s">
        <v>1656</v>
      </c>
      <c r="J1759" s="36" t="s">
        <v>1656</v>
      </c>
      <c r="K1759" s="36" t="s">
        <v>2779</v>
      </c>
      <c r="L1759" s="36" t="s">
        <v>4214</v>
      </c>
      <c r="M1759" s="36" t="s">
        <v>4214</v>
      </c>
      <c r="N1759" s="36" t="s">
        <v>32</v>
      </c>
    </row>
    <row r="1760">
      <c r="A1760" s="36" t="s">
        <v>4752</v>
      </c>
      <c r="B1760" s="154" t="s">
        <v>4746</v>
      </c>
      <c r="C1760" s="36" t="s">
        <v>1666</v>
      </c>
      <c r="D1760" s="36" t="s">
        <v>932</v>
      </c>
      <c r="E1760" s="36" t="s">
        <v>932</v>
      </c>
      <c r="F1760" s="154" t="s">
        <v>4753</v>
      </c>
      <c r="G1760" s="36" t="s">
        <v>28</v>
      </c>
      <c r="H1760" s="36" t="s">
        <v>1655</v>
      </c>
      <c r="I1760" s="36" t="s">
        <v>1656</v>
      </c>
      <c r="J1760" s="36" t="s">
        <v>1656</v>
      </c>
      <c r="K1760" s="36" t="s">
        <v>1675</v>
      </c>
      <c r="L1760" s="36" t="s">
        <v>4214</v>
      </c>
      <c r="M1760" s="36" t="s">
        <v>4214</v>
      </c>
      <c r="N1760" s="36" t="s">
        <v>32</v>
      </c>
    </row>
    <row r="1761">
      <c r="A1761" s="36" t="s">
        <v>4754</v>
      </c>
      <c r="B1761" s="154" t="s">
        <v>4746</v>
      </c>
      <c r="C1761" s="36" t="s">
        <v>1666</v>
      </c>
      <c r="D1761" s="36" t="s">
        <v>923</v>
      </c>
      <c r="E1761" s="36" t="s">
        <v>923</v>
      </c>
      <c r="F1761" s="154" t="s">
        <v>4509</v>
      </c>
      <c r="G1761" s="36" t="s">
        <v>32</v>
      </c>
      <c r="H1761" s="36" t="s">
        <v>1655</v>
      </c>
      <c r="I1761" s="36" t="s">
        <v>1656</v>
      </c>
      <c r="J1761" s="36" t="s">
        <v>1656</v>
      </c>
      <c r="K1761" s="36" t="s">
        <v>1678</v>
      </c>
      <c r="L1761" s="36" t="s">
        <v>4214</v>
      </c>
      <c r="M1761" s="36" t="s">
        <v>4214</v>
      </c>
      <c r="N1761" s="36" t="s">
        <v>32</v>
      </c>
    </row>
    <row r="1762">
      <c r="A1762" s="36" t="s">
        <v>4755</v>
      </c>
      <c r="B1762" s="154" t="s">
        <v>4746</v>
      </c>
      <c r="C1762" s="36" t="s">
        <v>1666</v>
      </c>
      <c r="D1762" s="36" t="s">
        <v>940</v>
      </c>
      <c r="E1762" s="36" t="s">
        <v>940</v>
      </c>
      <c r="F1762" s="154" t="s">
        <v>4756</v>
      </c>
      <c r="G1762" s="36" t="s">
        <v>32</v>
      </c>
      <c r="H1762" s="36" t="s">
        <v>1655</v>
      </c>
      <c r="I1762" s="36" t="s">
        <v>1656</v>
      </c>
      <c r="J1762" s="36" t="s">
        <v>1656</v>
      </c>
      <c r="K1762" s="36" t="s">
        <v>1681</v>
      </c>
      <c r="L1762" s="36" t="s">
        <v>4214</v>
      </c>
      <c r="M1762" s="36" t="s">
        <v>4214</v>
      </c>
      <c r="N1762" s="36" t="s">
        <v>32</v>
      </c>
    </row>
    <row r="1763">
      <c r="A1763" s="36" t="s">
        <v>4757</v>
      </c>
      <c r="B1763" s="154" t="s">
        <v>4758</v>
      </c>
      <c r="C1763" s="36" t="s">
        <v>1666</v>
      </c>
      <c r="D1763" s="36" t="s">
        <v>78</v>
      </c>
      <c r="E1763" s="36" t="s">
        <v>78</v>
      </c>
      <c r="F1763" s="154" t="s">
        <v>2004</v>
      </c>
      <c r="G1763" s="36" t="s">
        <v>28</v>
      </c>
      <c r="H1763" s="36" t="s">
        <v>1655</v>
      </c>
      <c r="I1763" s="36" t="s">
        <v>1656</v>
      </c>
      <c r="J1763" s="36" t="s">
        <v>1656</v>
      </c>
      <c r="K1763" s="36" t="s">
        <v>1769</v>
      </c>
      <c r="L1763" s="36" t="s">
        <v>4214</v>
      </c>
      <c r="M1763" s="36" t="s">
        <v>4214</v>
      </c>
      <c r="N1763" s="36" t="s">
        <v>32</v>
      </c>
    </row>
    <row r="1764">
      <c r="A1764" s="36" t="s">
        <v>4759</v>
      </c>
      <c r="B1764" s="154" t="s">
        <v>4758</v>
      </c>
      <c r="C1764" s="36" t="s">
        <v>1666</v>
      </c>
      <c r="D1764" s="36" t="s">
        <v>100</v>
      </c>
      <c r="E1764" s="36" t="s">
        <v>100</v>
      </c>
      <c r="F1764" s="154" t="s">
        <v>1810</v>
      </c>
      <c r="G1764" s="36" t="s">
        <v>32</v>
      </c>
      <c r="H1764" s="36" t="s">
        <v>1655</v>
      </c>
      <c r="I1764" s="36" t="s">
        <v>1656</v>
      </c>
      <c r="J1764" s="36" t="s">
        <v>1656</v>
      </c>
      <c r="K1764" s="36" t="s">
        <v>1684</v>
      </c>
      <c r="L1764" s="36" t="s">
        <v>4214</v>
      </c>
      <c r="M1764" s="36" t="s">
        <v>4214</v>
      </c>
      <c r="N1764" s="36" t="s">
        <v>32</v>
      </c>
    </row>
    <row r="1765">
      <c r="A1765" s="36" t="s">
        <v>4760</v>
      </c>
      <c r="B1765" s="154" t="s">
        <v>4761</v>
      </c>
      <c r="C1765" s="36" t="s">
        <v>1666</v>
      </c>
      <c r="D1765" s="36" t="s">
        <v>63</v>
      </c>
      <c r="E1765" s="36" t="s">
        <v>63</v>
      </c>
      <c r="F1765" s="154" t="s">
        <v>4762</v>
      </c>
      <c r="G1765" s="36" t="s">
        <v>28</v>
      </c>
      <c r="H1765" s="36" t="s">
        <v>1655</v>
      </c>
      <c r="I1765" s="36" t="s">
        <v>1656</v>
      </c>
      <c r="J1765" s="36" t="s">
        <v>1656</v>
      </c>
      <c r="K1765" s="36" t="s">
        <v>4196</v>
      </c>
      <c r="L1765" s="36" t="s">
        <v>4214</v>
      </c>
      <c r="M1765" s="36" t="s">
        <v>4214</v>
      </c>
      <c r="N1765" s="36" t="s">
        <v>34</v>
      </c>
    </row>
    <row r="1766">
      <c r="A1766" s="36" t="s">
        <v>4763</v>
      </c>
      <c r="B1766" s="154" t="s">
        <v>4761</v>
      </c>
      <c r="C1766" s="36" t="s">
        <v>1666</v>
      </c>
      <c r="D1766" s="36" t="s">
        <v>954</v>
      </c>
      <c r="E1766" s="36" t="s">
        <v>954</v>
      </c>
      <c r="F1766" s="154" t="s">
        <v>4174</v>
      </c>
      <c r="G1766" s="36" t="s">
        <v>32</v>
      </c>
      <c r="H1766" s="36" t="s">
        <v>1655</v>
      </c>
      <c r="I1766" s="36" t="s">
        <v>1656</v>
      </c>
      <c r="J1766" s="36" t="s">
        <v>1656</v>
      </c>
      <c r="K1766" s="36" t="s">
        <v>1691</v>
      </c>
      <c r="L1766" s="36" t="s">
        <v>4214</v>
      </c>
      <c r="M1766" s="36" t="s">
        <v>4214</v>
      </c>
      <c r="N1766" s="36" t="s">
        <v>32</v>
      </c>
    </row>
    <row r="1767">
      <c r="A1767" s="36" t="s">
        <v>4764</v>
      </c>
      <c r="B1767" s="154" t="s">
        <v>4765</v>
      </c>
      <c r="C1767" s="36" t="s">
        <v>1666</v>
      </c>
      <c r="D1767" s="36" t="s">
        <v>64</v>
      </c>
      <c r="E1767" s="36" t="s">
        <v>64</v>
      </c>
      <c r="F1767" s="154" t="s">
        <v>4766</v>
      </c>
      <c r="G1767" s="36" t="s">
        <v>28</v>
      </c>
      <c r="H1767" s="36" t="s">
        <v>1655</v>
      </c>
      <c r="I1767" s="36" t="s">
        <v>1656</v>
      </c>
      <c r="J1767" s="36" t="s">
        <v>1656</v>
      </c>
      <c r="K1767" s="36" t="s">
        <v>1708</v>
      </c>
      <c r="L1767" s="36" t="s">
        <v>4214</v>
      </c>
      <c r="M1767" s="36" t="s">
        <v>4214</v>
      </c>
      <c r="N1767" s="36" t="s">
        <v>32</v>
      </c>
    </row>
    <row r="1768">
      <c r="A1768" s="36" t="s">
        <v>4767</v>
      </c>
      <c r="B1768" s="154" t="s">
        <v>4768</v>
      </c>
      <c r="C1768" s="36" t="s">
        <v>1653</v>
      </c>
      <c r="D1768" s="36" t="s">
        <v>705</v>
      </c>
      <c r="E1768" s="36" t="s">
        <v>39</v>
      </c>
      <c r="F1768" s="154" t="s">
        <v>4769</v>
      </c>
      <c r="G1768" s="36" t="s">
        <v>32</v>
      </c>
      <c r="H1768" s="36" t="s">
        <v>1655</v>
      </c>
      <c r="I1768" s="36" t="s">
        <v>1656</v>
      </c>
      <c r="J1768" s="36" t="s">
        <v>1656</v>
      </c>
      <c r="K1768" s="36" t="s">
        <v>1749</v>
      </c>
      <c r="L1768" s="36" t="s">
        <v>4212</v>
      </c>
      <c r="M1768" s="36" t="s">
        <v>4212</v>
      </c>
      <c r="N1768" s="36" t="s">
        <v>32</v>
      </c>
    </row>
    <row r="1769">
      <c r="A1769" s="36" t="s">
        <v>4770</v>
      </c>
      <c r="B1769" s="154" t="s">
        <v>4768</v>
      </c>
      <c r="C1769" s="36" t="s">
        <v>1666</v>
      </c>
      <c r="D1769" s="36" t="s">
        <v>66</v>
      </c>
      <c r="E1769" s="36" t="s">
        <v>66</v>
      </c>
      <c r="F1769" s="154" t="s">
        <v>4771</v>
      </c>
      <c r="G1769" s="36" t="s">
        <v>28</v>
      </c>
      <c r="H1769" s="36" t="s">
        <v>1655</v>
      </c>
      <c r="I1769" s="36" t="s">
        <v>1656</v>
      </c>
      <c r="J1769" s="36" t="s">
        <v>1656</v>
      </c>
      <c r="K1769" s="36" t="s">
        <v>1721</v>
      </c>
      <c r="L1769" s="36" t="s">
        <v>4214</v>
      </c>
      <c r="M1769" s="36" t="s">
        <v>4214</v>
      </c>
      <c r="N1769" s="36" t="s">
        <v>32</v>
      </c>
    </row>
    <row r="1770">
      <c r="A1770" s="36" t="s">
        <v>4772</v>
      </c>
      <c r="B1770" s="154" t="s">
        <v>4773</v>
      </c>
      <c r="C1770" s="36" t="s">
        <v>1653</v>
      </c>
      <c r="D1770" s="36" t="s">
        <v>55</v>
      </c>
      <c r="E1770" s="36" t="s">
        <v>39</v>
      </c>
      <c r="F1770" s="154" t="s">
        <v>4774</v>
      </c>
      <c r="G1770" s="36" t="s">
        <v>32</v>
      </c>
      <c r="H1770" s="36" t="s">
        <v>1655</v>
      </c>
      <c r="I1770" s="36" t="s">
        <v>1656</v>
      </c>
      <c r="J1770" s="36" t="s">
        <v>1656</v>
      </c>
      <c r="K1770" s="36" t="s">
        <v>1989</v>
      </c>
      <c r="L1770" s="36" t="s">
        <v>4212</v>
      </c>
      <c r="M1770" s="36" t="s">
        <v>4212</v>
      </c>
      <c r="N1770" s="36" t="s">
        <v>32</v>
      </c>
    </row>
    <row r="1771">
      <c r="A1771" s="36" t="s">
        <v>4775</v>
      </c>
      <c r="B1771" s="154" t="s">
        <v>4773</v>
      </c>
      <c r="C1771" s="36" t="s">
        <v>1653</v>
      </c>
      <c r="D1771" s="36" t="s">
        <v>701</v>
      </c>
      <c r="E1771" s="36" t="s">
        <v>39</v>
      </c>
      <c r="F1771" s="154" t="s">
        <v>4776</v>
      </c>
      <c r="G1771" s="36" t="s">
        <v>32</v>
      </c>
      <c r="H1771" s="36" t="s">
        <v>1655</v>
      </c>
      <c r="I1771" s="36" t="s">
        <v>1656</v>
      </c>
      <c r="J1771" s="36" t="s">
        <v>1656</v>
      </c>
      <c r="K1771" s="36" t="s">
        <v>1978</v>
      </c>
      <c r="L1771" s="36" t="s">
        <v>4212</v>
      </c>
      <c r="M1771" s="36" t="s">
        <v>4212</v>
      </c>
      <c r="N1771" s="36" t="s">
        <v>32</v>
      </c>
    </row>
    <row r="1772">
      <c r="A1772" s="36" t="s">
        <v>4777</v>
      </c>
      <c r="B1772" s="154" t="s">
        <v>4773</v>
      </c>
      <c r="C1772" s="36" t="s">
        <v>1666</v>
      </c>
      <c r="D1772" s="36" t="s">
        <v>71</v>
      </c>
      <c r="E1772" s="36" t="s">
        <v>71</v>
      </c>
      <c r="F1772" s="154" t="s">
        <v>4448</v>
      </c>
      <c r="G1772" s="36" t="s">
        <v>32</v>
      </c>
      <c r="H1772" s="36" t="s">
        <v>1655</v>
      </c>
      <c r="I1772" s="36" t="s">
        <v>1656</v>
      </c>
      <c r="J1772" s="36" t="s">
        <v>1656</v>
      </c>
      <c r="K1772" s="36" t="s">
        <v>1752</v>
      </c>
      <c r="L1772" s="36" t="s">
        <v>4214</v>
      </c>
      <c r="M1772" s="36" t="s">
        <v>4214</v>
      </c>
      <c r="N1772" s="36" t="s">
        <v>32</v>
      </c>
    </row>
    <row r="1773">
      <c r="A1773" s="36" t="s">
        <v>4778</v>
      </c>
      <c r="B1773" s="154" t="s">
        <v>4773</v>
      </c>
      <c r="C1773" s="36" t="s">
        <v>1666</v>
      </c>
      <c r="D1773" s="36" t="s">
        <v>73</v>
      </c>
      <c r="E1773" s="36" t="s">
        <v>73</v>
      </c>
      <c r="F1773" s="154" t="s">
        <v>4544</v>
      </c>
      <c r="G1773" s="36" t="s">
        <v>28</v>
      </c>
      <c r="H1773" s="36" t="s">
        <v>1655</v>
      </c>
      <c r="I1773" s="36" t="s">
        <v>1656</v>
      </c>
      <c r="J1773" s="36" t="s">
        <v>1656</v>
      </c>
      <c r="K1773" s="36" t="s">
        <v>1755</v>
      </c>
      <c r="L1773" s="36" t="s">
        <v>4214</v>
      </c>
      <c r="M1773" s="36" t="s">
        <v>4214</v>
      </c>
      <c r="N1773" s="36" t="s">
        <v>32</v>
      </c>
    </row>
    <row r="1774">
      <c r="A1774" s="36" t="s">
        <v>4779</v>
      </c>
      <c r="B1774" s="154" t="s">
        <v>4773</v>
      </c>
      <c r="C1774" s="36" t="s">
        <v>1666</v>
      </c>
      <c r="D1774" s="36" t="s">
        <v>74</v>
      </c>
      <c r="E1774" s="36" t="s">
        <v>74</v>
      </c>
      <c r="F1774" s="154" t="s">
        <v>4448</v>
      </c>
      <c r="G1774" s="36" t="s">
        <v>32</v>
      </c>
      <c r="H1774" s="36" t="s">
        <v>1655</v>
      </c>
      <c r="I1774" s="36" t="s">
        <v>1656</v>
      </c>
      <c r="J1774" s="36" t="s">
        <v>1656</v>
      </c>
      <c r="K1774" s="36" t="s">
        <v>1757</v>
      </c>
      <c r="L1774" s="36" t="s">
        <v>4214</v>
      </c>
      <c r="M1774" s="36" t="s">
        <v>4214</v>
      </c>
      <c r="N1774" s="36" t="s">
        <v>32</v>
      </c>
    </row>
    <row r="1775">
      <c r="A1775" s="36" t="s">
        <v>4780</v>
      </c>
      <c r="B1775" s="154" t="s">
        <v>4773</v>
      </c>
      <c r="C1775" s="36" t="s">
        <v>1666</v>
      </c>
      <c r="D1775" s="36" t="s">
        <v>75</v>
      </c>
      <c r="E1775" s="36" t="s">
        <v>75</v>
      </c>
      <c r="F1775" s="154" t="s">
        <v>4450</v>
      </c>
      <c r="G1775" s="36" t="s">
        <v>28</v>
      </c>
      <c r="H1775" s="36" t="s">
        <v>1655</v>
      </c>
      <c r="I1775" s="36" t="s">
        <v>1656</v>
      </c>
      <c r="J1775" s="36" t="s">
        <v>1656</v>
      </c>
      <c r="K1775" s="36" t="s">
        <v>1760</v>
      </c>
      <c r="L1775" s="36" t="s">
        <v>4214</v>
      </c>
      <c r="M1775" s="36" t="s">
        <v>4214</v>
      </c>
      <c r="N1775" s="36" t="s">
        <v>32</v>
      </c>
    </row>
    <row r="1776">
      <c r="A1776" s="36" t="s">
        <v>4781</v>
      </c>
      <c r="B1776" s="154" t="s">
        <v>4773</v>
      </c>
      <c r="C1776" s="36" t="s">
        <v>1666</v>
      </c>
      <c r="D1776" s="36" t="s">
        <v>76</v>
      </c>
      <c r="E1776" s="36" t="s">
        <v>76</v>
      </c>
      <c r="F1776" s="154" t="s">
        <v>4782</v>
      </c>
      <c r="G1776" s="36" t="s">
        <v>28</v>
      </c>
      <c r="H1776" s="36" t="s">
        <v>1655</v>
      </c>
      <c r="I1776" s="36" t="s">
        <v>1656</v>
      </c>
      <c r="J1776" s="36" t="s">
        <v>1656</v>
      </c>
      <c r="K1776" s="36" t="s">
        <v>1763</v>
      </c>
      <c r="L1776" s="36" t="s">
        <v>4214</v>
      </c>
      <c r="M1776" s="36" t="s">
        <v>4214</v>
      </c>
      <c r="N1776" s="36" t="s">
        <v>32</v>
      </c>
    </row>
    <row r="1777">
      <c r="A1777" s="36" t="s">
        <v>4783</v>
      </c>
      <c r="B1777" s="154" t="s">
        <v>4773</v>
      </c>
      <c r="C1777" s="36" t="s">
        <v>1666</v>
      </c>
      <c r="D1777" s="36" t="s">
        <v>77</v>
      </c>
      <c r="E1777" s="36" t="s">
        <v>77</v>
      </c>
      <c r="F1777" s="154" t="s">
        <v>1768</v>
      </c>
      <c r="G1777" s="36" t="s">
        <v>34</v>
      </c>
      <c r="H1777" s="36" t="s">
        <v>1655</v>
      </c>
      <c r="I1777" s="36" t="s">
        <v>1656</v>
      </c>
      <c r="J1777" s="36" t="s">
        <v>1656</v>
      </c>
      <c r="K1777" s="36" t="s">
        <v>4248</v>
      </c>
      <c r="L1777" s="36" t="s">
        <v>4214</v>
      </c>
      <c r="M1777" s="36" t="s">
        <v>4214</v>
      </c>
      <c r="N1777" s="36" t="s">
        <v>32</v>
      </c>
    </row>
    <row r="1778">
      <c r="A1778" s="36" t="s">
        <v>4784</v>
      </c>
      <c r="B1778" s="154" t="s">
        <v>4773</v>
      </c>
      <c r="C1778" s="36" t="s">
        <v>1666</v>
      </c>
      <c r="D1778" s="36" t="s">
        <v>100</v>
      </c>
      <c r="E1778" s="36" t="s">
        <v>100</v>
      </c>
      <c r="F1778" s="154" t="s">
        <v>2930</v>
      </c>
      <c r="G1778" s="36" t="s">
        <v>32</v>
      </c>
      <c r="H1778" s="36" t="s">
        <v>1655</v>
      </c>
      <c r="I1778" s="36" t="s">
        <v>1656</v>
      </c>
      <c r="J1778" s="36" t="s">
        <v>1656</v>
      </c>
      <c r="K1778" s="36" t="s">
        <v>1695</v>
      </c>
      <c r="L1778" s="36" t="s">
        <v>4214</v>
      </c>
      <c r="M1778" s="36" t="s">
        <v>4214</v>
      </c>
      <c r="N1778" s="36" t="s">
        <v>32</v>
      </c>
    </row>
    <row r="1779">
      <c r="A1779" s="36" t="s">
        <v>4785</v>
      </c>
      <c r="B1779" s="154" t="s">
        <v>4773</v>
      </c>
      <c r="C1779" s="36" t="s">
        <v>1666</v>
      </c>
      <c r="D1779" s="36" t="s">
        <v>226</v>
      </c>
      <c r="E1779" s="36" t="s">
        <v>226</v>
      </c>
      <c r="F1779" s="154" t="s">
        <v>4786</v>
      </c>
      <c r="G1779" s="36" t="s">
        <v>32</v>
      </c>
      <c r="H1779" s="36" t="s">
        <v>1655</v>
      </c>
      <c r="I1779" s="36" t="s">
        <v>1656</v>
      </c>
      <c r="J1779" s="36" t="s">
        <v>1656</v>
      </c>
      <c r="K1779" s="36" t="s">
        <v>1698</v>
      </c>
      <c r="L1779" s="36" t="s">
        <v>4214</v>
      </c>
      <c r="M1779" s="36" t="s">
        <v>4214</v>
      </c>
      <c r="N1779" s="36" t="s">
        <v>32</v>
      </c>
    </row>
    <row r="1780">
      <c r="A1780" s="36" t="s">
        <v>4787</v>
      </c>
      <c r="B1780" s="154" t="s">
        <v>4773</v>
      </c>
      <c r="C1780" s="36" t="s">
        <v>1666</v>
      </c>
      <c r="D1780" s="36" t="s">
        <v>220</v>
      </c>
      <c r="E1780" s="36" t="s">
        <v>220</v>
      </c>
      <c r="F1780" s="154" t="s">
        <v>4788</v>
      </c>
      <c r="G1780" s="36" t="s">
        <v>28</v>
      </c>
      <c r="H1780" s="36" t="s">
        <v>1655</v>
      </c>
      <c r="I1780" s="36" t="s">
        <v>1656</v>
      </c>
      <c r="J1780" s="36" t="s">
        <v>1656</v>
      </c>
      <c r="K1780" s="36" t="s">
        <v>1701</v>
      </c>
      <c r="L1780" s="36" t="s">
        <v>4214</v>
      </c>
      <c r="M1780" s="36" t="s">
        <v>4214</v>
      </c>
      <c r="N1780" s="36" t="s">
        <v>32</v>
      </c>
    </row>
    <row r="1781">
      <c r="A1781" s="36" t="s">
        <v>4789</v>
      </c>
      <c r="B1781" s="154" t="s">
        <v>4790</v>
      </c>
      <c r="C1781" s="36" t="s">
        <v>1666</v>
      </c>
      <c r="D1781" s="36" t="s">
        <v>109</v>
      </c>
      <c r="E1781" s="36" t="s">
        <v>109</v>
      </c>
      <c r="F1781" s="154" t="s">
        <v>4791</v>
      </c>
      <c r="G1781" s="36" t="s">
        <v>28</v>
      </c>
      <c r="H1781" s="36" t="s">
        <v>1655</v>
      </c>
      <c r="I1781" s="36" t="s">
        <v>1656</v>
      </c>
      <c r="J1781" s="36" t="s">
        <v>1656</v>
      </c>
      <c r="K1781" s="36" t="s">
        <v>1704</v>
      </c>
      <c r="L1781" s="36" t="s">
        <v>4214</v>
      </c>
      <c r="M1781" s="36" t="s">
        <v>4214</v>
      </c>
      <c r="N1781" s="36" t="s">
        <v>32</v>
      </c>
    </row>
    <row r="1782">
      <c r="A1782" s="36" t="s">
        <v>4792</v>
      </c>
      <c r="B1782" s="154" t="s">
        <v>4790</v>
      </c>
      <c r="C1782" s="36" t="s">
        <v>1666</v>
      </c>
      <c r="D1782" s="36" t="s">
        <v>979</v>
      </c>
      <c r="E1782" s="36" t="s">
        <v>979</v>
      </c>
      <c r="F1782" s="154" t="s">
        <v>4465</v>
      </c>
      <c r="G1782" s="36" t="s">
        <v>32</v>
      </c>
      <c r="H1782" s="36" t="s">
        <v>1655</v>
      </c>
      <c r="I1782" s="36" t="s">
        <v>1656</v>
      </c>
      <c r="J1782" s="36" t="s">
        <v>1656</v>
      </c>
      <c r="K1782" s="36" t="s">
        <v>1711</v>
      </c>
      <c r="L1782" s="36" t="s">
        <v>4214</v>
      </c>
      <c r="M1782" s="36" t="s">
        <v>4214</v>
      </c>
      <c r="N1782" s="36" t="s">
        <v>32</v>
      </c>
    </row>
    <row r="1783">
      <c r="A1783" s="36" t="s">
        <v>4793</v>
      </c>
      <c r="B1783" s="154" t="s">
        <v>4794</v>
      </c>
      <c r="C1783" s="36" t="s">
        <v>1666</v>
      </c>
      <c r="D1783" s="36" t="s">
        <v>815</v>
      </c>
      <c r="E1783" s="36" t="s">
        <v>815</v>
      </c>
      <c r="F1783" s="154" t="s">
        <v>2006</v>
      </c>
      <c r="G1783" s="36" t="s">
        <v>28</v>
      </c>
      <c r="H1783" s="36" t="s">
        <v>1655</v>
      </c>
      <c r="I1783" s="36" t="s">
        <v>1656</v>
      </c>
      <c r="J1783" s="36" t="s">
        <v>1656</v>
      </c>
      <c r="K1783" s="36" t="s">
        <v>1715</v>
      </c>
      <c r="L1783" s="36" t="s">
        <v>4214</v>
      </c>
      <c r="M1783" s="36" t="s">
        <v>4214</v>
      </c>
      <c r="N1783" s="36" t="s">
        <v>32</v>
      </c>
    </row>
    <row r="1784">
      <c r="A1784" s="36" t="s">
        <v>4795</v>
      </c>
      <c r="B1784" s="154" t="s">
        <v>4796</v>
      </c>
      <c r="C1784" s="36" t="s">
        <v>1666</v>
      </c>
      <c r="D1784" s="36" t="s">
        <v>988</v>
      </c>
      <c r="E1784" s="36" t="s">
        <v>988</v>
      </c>
      <c r="F1784" s="154" t="s">
        <v>4797</v>
      </c>
      <c r="G1784" s="36" t="s">
        <v>32</v>
      </c>
      <c r="H1784" s="36" t="s">
        <v>1655</v>
      </c>
      <c r="I1784" s="36" t="s">
        <v>1656</v>
      </c>
      <c r="J1784" s="36" t="s">
        <v>1656</v>
      </c>
      <c r="K1784" s="36" t="s">
        <v>1717</v>
      </c>
      <c r="L1784" s="36" t="s">
        <v>4214</v>
      </c>
      <c r="M1784" s="36" t="s">
        <v>4214</v>
      </c>
      <c r="N1784" s="36" t="s">
        <v>32</v>
      </c>
    </row>
    <row r="1785">
      <c r="A1785" s="36" t="s">
        <v>4798</v>
      </c>
      <c r="B1785" s="154" t="s">
        <v>4799</v>
      </c>
      <c r="C1785" s="36" t="s">
        <v>1666</v>
      </c>
      <c r="D1785" s="36" t="s">
        <v>712</v>
      </c>
      <c r="E1785" s="36" t="s">
        <v>712</v>
      </c>
      <c r="F1785" s="154" t="s">
        <v>4378</v>
      </c>
      <c r="G1785" s="36" t="s">
        <v>28</v>
      </c>
      <c r="H1785" s="36" t="s">
        <v>1655</v>
      </c>
      <c r="I1785" s="36" t="s">
        <v>1656</v>
      </c>
      <c r="J1785" s="36" t="s">
        <v>1656</v>
      </c>
      <c r="K1785" s="36" t="s">
        <v>1766</v>
      </c>
      <c r="L1785" s="36" t="s">
        <v>4214</v>
      </c>
      <c r="M1785" s="36" t="s">
        <v>4214</v>
      </c>
      <c r="N1785" s="36" t="s">
        <v>32</v>
      </c>
    </row>
    <row r="1786">
      <c r="A1786" s="36" t="s">
        <v>4800</v>
      </c>
      <c r="B1786" s="154" t="s">
        <v>4801</v>
      </c>
      <c r="C1786" s="36" t="s">
        <v>1666</v>
      </c>
      <c r="D1786" s="36" t="s">
        <v>100</v>
      </c>
      <c r="E1786" s="36" t="s">
        <v>100</v>
      </c>
      <c r="F1786" s="154" t="s">
        <v>1810</v>
      </c>
      <c r="G1786" s="36" t="s">
        <v>32</v>
      </c>
      <c r="H1786" s="36" t="s">
        <v>1655</v>
      </c>
      <c r="I1786" s="36" t="s">
        <v>1656</v>
      </c>
      <c r="J1786" s="36" t="s">
        <v>1656</v>
      </c>
      <c r="K1786" s="36" t="s">
        <v>1724</v>
      </c>
      <c r="L1786" s="36" t="s">
        <v>4214</v>
      </c>
      <c r="M1786" s="36" t="s">
        <v>4214</v>
      </c>
      <c r="N1786" s="36" t="s">
        <v>32</v>
      </c>
    </row>
    <row r="1787">
      <c r="A1787" s="36" t="s">
        <v>4802</v>
      </c>
      <c r="B1787" s="154" t="s">
        <v>4803</v>
      </c>
      <c r="C1787" s="36" t="s">
        <v>1666</v>
      </c>
      <c r="D1787" s="36" t="s">
        <v>992</v>
      </c>
      <c r="E1787" s="36" t="s">
        <v>992</v>
      </c>
      <c r="F1787" s="154" t="s">
        <v>4804</v>
      </c>
      <c r="G1787" s="36" t="s">
        <v>32</v>
      </c>
      <c r="H1787" s="36" t="s">
        <v>1655</v>
      </c>
      <c r="I1787" s="36" t="s">
        <v>1656</v>
      </c>
      <c r="J1787" s="36" t="s">
        <v>1656</v>
      </c>
      <c r="K1787" s="36" t="s">
        <v>1727</v>
      </c>
      <c r="L1787" s="36" t="s">
        <v>4214</v>
      </c>
      <c r="M1787" s="36" t="s">
        <v>4214</v>
      </c>
      <c r="N1787" s="36" t="s">
        <v>32</v>
      </c>
    </row>
    <row r="1788">
      <c r="A1788" s="36" t="s">
        <v>4805</v>
      </c>
      <c r="B1788" s="154" t="s">
        <v>4806</v>
      </c>
      <c r="C1788" s="36" t="s">
        <v>1666</v>
      </c>
      <c r="D1788" s="36" t="s">
        <v>218</v>
      </c>
      <c r="E1788" s="36" t="s">
        <v>218</v>
      </c>
      <c r="F1788" s="154" t="s">
        <v>1832</v>
      </c>
      <c r="G1788" s="36" t="s">
        <v>32</v>
      </c>
      <c r="H1788" s="36" t="s">
        <v>1655</v>
      </c>
      <c r="I1788" s="36" t="s">
        <v>1656</v>
      </c>
      <c r="J1788" s="36" t="s">
        <v>1656</v>
      </c>
      <c r="K1788" s="36" t="s">
        <v>1730</v>
      </c>
      <c r="L1788" s="36" t="s">
        <v>4214</v>
      </c>
      <c r="M1788" s="36" t="s">
        <v>4214</v>
      </c>
      <c r="N1788" s="36" t="s">
        <v>32</v>
      </c>
    </row>
    <row r="1789">
      <c r="A1789" s="36" t="s">
        <v>4807</v>
      </c>
      <c r="B1789" s="154" t="s">
        <v>4806</v>
      </c>
      <c r="C1789" s="36" t="s">
        <v>1666</v>
      </c>
      <c r="D1789" s="36" t="s">
        <v>480</v>
      </c>
      <c r="E1789" s="36" t="s">
        <v>480</v>
      </c>
      <c r="F1789" s="154" t="s">
        <v>3838</v>
      </c>
      <c r="G1789" s="36" t="s">
        <v>32</v>
      </c>
      <c r="H1789" s="36" t="s">
        <v>1655</v>
      </c>
      <c r="I1789" s="36" t="s">
        <v>1656</v>
      </c>
      <c r="J1789" s="36" t="s">
        <v>1656</v>
      </c>
      <c r="K1789" s="36" t="s">
        <v>1732</v>
      </c>
      <c r="L1789" s="36" t="s">
        <v>4214</v>
      </c>
      <c r="M1789" s="36" t="s">
        <v>4214</v>
      </c>
      <c r="N1789" s="36" t="s">
        <v>32</v>
      </c>
    </row>
    <row r="1790">
      <c r="A1790" s="36" t="s">
        <v>4808</v>
      </c>
      <c r="B1790" s="154" t="s">
        <v>4809</v>
      </c>
      <c r="C1790" s="36" t="s">
        <v>1666</v>
      </c>
      <c r="D1790" s="36" t="s">
        <v>1002</v>
      </c>
      <c r="E1790" s="36" t="s">
        <v>1002</v>
      </c>
      <c r="F1790" s="154" t="s">
        <v>1816</v>
      </c>
      <c r="G1790" s="36" t="s">
        <v>32</v>
      </c>
      <c r="H1790" s="36" t="s">
        <v>1655</v>
      </c>
      <c r="I1790" s="36" t="s">
        <v>1656</v>
      </c>
      <c r="J1790" s="36" t="s">
        <v>1656</v>
      </c>
      <c r="K1790" s="36" t="s">
        <v>1736</v>
      </c>
      <c r="L1790" s="36" t="s">
        <v>4214</v>
      </c>
      <c r="M1790" s="36" t="s">
        <v>4214</v>
      </c>
      <c r="N1790" s="36" t="s">
        <v>32</v>
      </c>
    </row>
    <row r="1791">
      <c r="A1791" s="36" t="s">
        <v>4810</v>
      </c>
      <c r="B1791" s="154" t="s">
        <v>4811</v>
      </c>
      <c r="C1791" s="36" t="s">
        <v>1666</v>
      </c>
      <c r="D1791" s="36" t="s">
        <v>81</v>
      </c>
      <c r="E1791" s="36" t="s">
        <v>81</v>
      </c>
      <c r="F1791" s="154" t="s">
        <v>4305</v>
      </c>
      <c r="G1791" s="36" t="s">
        <v>28</v>
      </c>
      <c r="H1791" s="36" t="s">
        <v>1655</v>
      </c>
      <c r="I1791" s="36" t="s">
        <v>1656</v>
      </c>
      <c r="J1791" s="36" t="s">
        <v>1656</v>
      </c>
      <c r="K1791" s="36" t="s">
        <v>1891</v>
      </c>
      <c r="L1791" s="36" t="s">
        <v>4214</v>
      </c>
      <c r="M1791" s="36" t="s">
        <v>4214</v>
      </c>
      <c r="N1791" s="36" t="s">
        <v>32</v>
      </c>
    </row>
    <row r="1792">
      <c r="A1792" s="36" t="s">
        <v>4812</v>
      </c>
      <c r="B1792" s="154" t="s">
        <v>4811</v>
      </c>
      <c r="C1792" s="36" t="s">
        <v>1666</v>
      </c>
      <c r="D1792" s="36" t="s">
        <v>83</v>
      </c>
      <c r="E1792" s="36" t="s">
        <v>83</v>
      </c>
      <c r="F1792" s="154" t="s">
        <v>4813</v>
      </c>
      <c r="G1792" s="36" t="s">
        <v>28</v>
      </c>
      <c r="H1792" s="36" t="s">
        <v>1655</v>
      </c>
      <c r="I1792" s="36" t="s">
        <v>1656</v>
      </c>
      <c r="J1792" s="36" t="s">
        <v>1656</v>
      </c>
      <c r="K1792" s="36" t="s">
        <v>1921</v>
      </c>
      <c r="L1792" s="36" t="s">
        <v>4214</v>
      </c>
      <c r="M1792" s="36" t="s">
        <v>4214</v>
      </c>
      <c r="N1792" s="36" t="s">
        <v>32</v>
      </c>
    </row>
    <row r="1793">
      <c r="A1793" s="36" t="s">
        <v>4814</v>
      </c>
      <c r="B1793" s="154" t="s">
        <v>4811</v>
      </c>
      <c r="C1793" s="36" t="s">
        <v>1666</v>
      </c>
      <c r="D1793" s="36" t="s">
        <v>84</v>
      </c>
      <c r="E1793" s="36" t="s">
        <v>84</v>
      </c>
      <c r="F1793" s="154" t="s">
        <v>4815</v>
      </c>
      <c r="G1793" s="36" t="s">
        <v>32</v>
      </c>
      <c r="H1793" s="36" t="s">
        <v>1655</v>
      </c>
      <c r="I1793" s="36" t="s">
        <v>1656</v>
      </c>
      <c r="J1793" s="36" t="s">
        <v>1656</v>
      </c>
      <c r="K1793" s="36" t="s">
        <v>3166</v>
      </c>
      <c r="L1793" s="36" t="s">
        <v>4214</v>
      </c>
      <c r="M1793" s="36" t="s">
        <v>4214</v>
      </c>
      <c r="N1793" s="36" t="s">
        <v>32</v>
      </c>
    </row>
    <row r="1794">
      <c r="A1794" s="36" t="s">
        <v>4816</v>
      </c>
      <c r="B1794" s="154" t="s">
        <v>4811</v>
      </c>
      <c r="C1794" s="36" t="s">
        <v>1666</v>
      </c>
      <c r="D1794" s="36" t="s">
        <v>109</v>
      </c>
      <c r="E1794" s="36" t="s">
        <v>109</v>
      </c>
      <c r="F1794" s="154" t="s">
        <v>2039</v>
      </c>
      <c r="G1794" s="36" t="s">
        <v>28</v>
      </c>
      <c r="H1794" s="36" t="s">
        <v>1655</v>
      </c>
      <c r="I1794" s="36" t="s">
        <v>1656</v>
      </c>
      <c r="J1794" s="36" t="s">
        <v>1656</v>
      </c>
      <c r="K1794" s="36" t="s">
        <v>1739</v>
      </c>
      <c r="L1794" s="36" t="s">
        <v>4214</v>
      </c>
      <c r="M1794" s="36" t="s">
        <v>4214</v>
      </c>
      <c r="N1794" s="36" t="s">
        <v>34</v>
      </c>
    </row>
    <row r="1795">
      <c r="A1795" s="36" t="s">
        <v>4817</v>
      </c>
      <c r="B1795" s="154" t="s">
        <v>4811</v>
      </c>
      <c r="C1795" s="36" t="s">
        <v>1666</v>
      </c>
      <c r="D1795" s="36" t="s">
        <v>1008</v>
      </c>
      <c r="E1795" s="36" t="s">
        <v>1008</v>
      </c>
      <c r="F1795" s="154" t="s">
        <v>2508</v>
      </c>
      <c r="G1795" s="36" t="s">
        <v>28</v>
      </c>
      <c r="H1795" s="36" t="s">
        <v>1655</v>
      </c>
      <c r="I1795" s="36" t="s">
        <v>1656</v>
      </c>
      <c r="J1795" s="36" t="s">
        <v>1656</v>
      </c>
      <c r="K1795" s="36" t="s">
        <v>1742</v>
      </c>
      <c r="L1795" s="36" t="s">
        <v>4214</v>
      </c>
      <c r="M1795" s="36" t="s">
        <v>4214</v>
      </c>
      <c r="N1795" s="36" t="s">
        <v>34</v>
      </c>
    </row>
    <row r="1796">
      <c r="A1796" s="36" t="s">
        <v>4818</v>
      </c>
      <c r="B1796" s="154" t="s">
        <v>4811</v>
      </c>
      <c r="C1796" s="36" t="s">
        <v>1666</v>
      </c>
      <c r="D1796" s="36" t="s">
        <v>1014</v>
      </c>
      <c r="E1796" s="36" t="s">
        <v>1014</v>
      </c>
      <c r="F1796" s="154" t="s">
        <v>2432</v>
      </c>
      <c r="G1796" s="36" t="s">
        <v>28</v>
      </c>
      <c r="H1796" s="36" t="s">
        <v>1655</v>
      </c>
      <c r="I1796" s="36" t="s">
        <v>1656</v>
      </c>
      <c r="J1796" s="36" t="s">
        <v>1656</v>
      </c>
      <c r="K1796" s="36" t="s">
        <v>1745</v>
      </c>
      <c r="L1796" s="36" t="s">
        <v>4214</v>
      </c>
      <c r="M1796" s="36" t="s">
        <v>4214</v>
      </c>
      <c r="N1796" s="36" t="s">
        <v>34</v>
      </c>
    </row>
    <row r="1797">
      <c r="A1797" s="36" t="s">
        <v>4819</v>
      </c>
      <c r="B1797" s="154" t="s">
        <v>4811</v>
      </c>
      <c r="C1797" s="36" t="s">
        <v>1666</v>
      </c>
      <c r="D1797" s="36" t="s">
        <v>109</v>
      </c>
      <c r="E1797" s="36" t="s">
        <v>109</v>
      </c>
      <c r="F1797" s="154" t="s">
        <v>2049</v>
      </c>
      <c r="G1797" s="36" t="s">
        <v>28</v>
      </c>
      <c r="H1797" s="36" t="s">
        <v>1655</v>
      </c>
      <c r="I1797" s="36" t="s">
        <v>1656</v>
      </c>
      <c r="J1797" s="36" t="s">
        <v>1656</v>
      </c>
      <c r="K1797" s="36" t="s">
        <v>1773</v>
      </c>
      <c r="L1797" s="36" t="s">
        <v>4214</v>
      </c>
      <c r="M1797" s="36" t="s">
        <v>4214</v>
      </c>
      <c r="N1797" s="36" t="s">
        <v>34</v>
      </c>
    </row>
    <row r="1798">
      <c r="A1798" s="36" t="s">
        <v>4820</v>
      </c>
      <c r="B1798" s="154" t="s">
        <v>4811</v>
      </c>
      <c r="C1798" s="36" t="s">
        <v>1666</v>
      </c>
      <c r="D1798" s="36" t="s">
        <v>601</v>
      </c>
      <c r="E1798" s="36" t="s">
        <v>601</v>
      </c>
      <c r="F1798" s="154" t="s">
        <v>1768</v>
      </c>
      <c r="G1798" s="36" t="s">
        <v>28</v>
      </c>
      <c r="H1798" s="36" t="s">
        <v>1655</v>
      </c>
      <c r="I1798" s="36" t="s">
        <v>1656</v>
      </c>
      <c r="J1798" s="36" t="s">
        <v>1656</v>
      </c>
      <c r="K1798" s="36" t="s">
        <v>1776</v>
      </c>
      <c r="L1798" s="36" t="s">
        <v>4214</v>
      </c>
      <c r="M1798" s="36" t="s">
        <v>4214</v>
      </c>
      <c r="N1798" s="36" t="s">
        <v>34</v>
      </c>
    </row>
    <row r="1799">
      <c r="A1799" s="36" t="s">
        <v>4821</v>
      </c>
      <c r="B1799" s="154" t="s">
        <v>4811</v>
      </c>
      <c r="C1799" s="36" t="s">
        <v>1666</v>
      </c>
      <c r="D1799" s="36" t="s">
        <v>1023</v>
      </c>
      <c r="E1799" s="36" t="s">
        <v>1023</v>
      </c>
      <c r="F1799" s="154" t="s">
        <v>1959</v>
      </c>
      <c r="G1799" s="36" t="s">
        <v>28</v>
      </c>
      <c r="H1799" s="36" t="s">
        <v>1655</v>
      </c>
      <c r="I1799" s="36" t="s">
        <v>1656</v>
      </c>
      <c r="J1799" s="36" t="s">
        <v>1656</v>
      </c>
      <c r="K1799" s="36" t="s">
        <v>1779</v>
      </c>
      <c r="L1799" s="36" t="s">
        <v>4214</v>
      </c>
      <c r="M1799" s="36" t="s">
        <v>4214</v>
      </c>
      <c r="N1799" s="36" t="s">
        <v>34</v>
      </c>
    </row>
    <row r="1800">
      <c r="A1800" s="36" t="s">
        <v>4822</v>
      </c>
      <c r="B1800" s="154" t="s">
        <v>4811</v>
      </c>
      <c r="C1800" s="36" t="s">
        <v>1666</v>
      </c>
      <c r="D1800" s="36" t="s">
        <v>299</v>
      </c>
      <c r="E1800" s="36" t="s">
        <v>299</v>
      </c>
      <c r="F1800" s="154" t="s">
        <v>2156</v>
      </c>
      <c r="G1800" s="36" t="s">
        <v>28</v>
      </c>
      <c r="H1800" s="36" t="s">
        <v>1655</v>
      </c>
      <c r="I1800" s="36" t="s">
        <v>1656</v>
      </c>
      <c r="J1800" s="36" t="s">
        <v>1656</v>
      </c>
      <c r="K1800" s="36" t="s">
        <v>1782</v>
      </c>
      <c r="L1800" s="36" t="s">
        <v>4214</v>
      </c>
      <c r="M1800" s="36" t="s">
        <v>4214</v>
      </c>
      <c r="N1800" s="36" t="s">
        <v>34</v>
      </c>
    </row>
    <row r="1801">
      <c r="A1801" s="36" t="s">
        <v>4823</v>
      </c>
      <c r="B1801" s="154" t="s">
        <v>4811</v>
      </c>
      <c r="C1801" s="36" t="s">
        <v>1666</v>
      </c>
      <c r="D1801" s="36" t="s">
        <v>1033</v>
      </c>
      <c r="E1801" s="36" t="s">
        <v>1033</v>
      </c>
      <c r="F1801" s="154" t="s">
        <v>2044</v>
      </c>
      <c r="G1801" s="36" t="s">
        <v>28</v>
      </c>
      <c r="H1801" s="36" t="s">
        <v>1655</v>
      </c>
      <c r="I1801" s="36" t="s">
        <v>1656</v>
      </c>
      <c r="J1801" s="36" t="s">
        <v>1656</v>
      </c>
      <c r="K1801" s="36" t="s">
        <v>1784</v>
      </c>
      <c r="L1801" s="36" t="s">
        <v>4214</v>
      </c>
      <c r="M1801" s="36" t="s">
        <v>4214</v>
      </c>
      <c r="N1801" s="36" t="s">
        <v>34</v>
      </c>
    </row>
    <row r="1802">
      <c r="A1802" s="36" t="s">
        <v>4824</v>
      </c>
      <c r="B1802" s="154" t="s">
        <v>4811</v>
      </c>
      <c r="C1802" s="36" t="s">
        <v>1666</v>
      </c>
      <c r="D1802" s="36" t="s">
        <v>1037</v>
      </c>
      <c r="E1802" s="36" t="s">
        <v>1037</v>
      </c>
      <c r="F1802" s="154" t="s">
        <v>4825</v>
      </c>
      <c r="G1802" s="36" t="s">
        <v>28</v>
      </c>
      <c r="H1802" s="36" t="s">
        <v>1655</v>
      </c>
      <c r="I1802" s="36" t="s">
        <v>1656</v>
      </c>
      <c r="J1802" s="36" t="s">
        <v>1656</v>
      </c>
      <c r="K1802" s="36" t="s">
        <v>1787</v>
      </c>
      <c r="L1802" s="36" t="s">
        <v>4214</v>
      </c>
      <c r="M1802" s="36" t="s">
        <v>4214</v>
      </c>
      <c r="N1802" s="36" t="s">
        <v>34</v>
      </c>
    </row>
    <row r="1803">
      <c r="A1803" s="36" t="s">
        <v>4826</v>
      </c>
      <c r="B1803" s="154" t="s">
        <v>4827</v>
      </c>
      <c r="C1803" s="36" t="s">
        <v>1653</v>
      </c>
      <c r="D1803" s="36" t="s">
        <v>43</v>
      </c>
      <c r="E1803" s="36" t="s">
        <v>39</v>
      </c>
      <c r="F1803" s="154" t="s">
        <v>4828</v>
      </c>
      <c r="G1803" s="36" t="s">
        <v>32</v>
      </c>
      <c r="H1803" s="36" t="s">
        <v>1655</v>
      </c>
      <c r="I1803" s="36" t="s">
        <v>1656</v>
      </c>
      <c r="J1803" s="36" t="s">
        <v>1656</v>
      </c>
      <c r="K1803" s="36" t="s">
        <v>1657</v>
      </c>
      <c r="L1803" s="36" t="s">
        <v>4212</v>
      </c>
      <c r="M1803" s="36" t="s">
        <v>4212</v>
      </c>
      <c r="N1803" s="36" t="s">
        <v>32</v>
      </c>
    </row>
    <row r="1804">
      <c r="A1804" s="36" t="s">
        <v>4829</v>
      </c>
      <c r="B1804" s="154" t="s">
        <v>4827</v>
      </c>
      <c r="C1804" s="36" t="s">
        <v>1653</v>
      </c>
      <c r="D1804" s="36" t="s">
        <v>163</v>
      </c>
      <c r="E1804" s="36" t="s">
        <v>39</v>
      </c>
      <c r="F1804" s="154" t="s">
        <v>4830</v>
      </c>
      <c r="G1804" s="36" t="s">
        <v>32</v>
      </c>
      <c r="H1804" s="36" t="s">
        <v>1655</v>
      </c>
      <c r="I1804" s="36" t="s">
        <v>1656</v>
      </c>
      <c r="J1804" s="36" t="s">
        <v>1656</v>
      </c>
      <c r="K1804" s="36" t="s">
        <v>1749</v>
      </c>
      <c r="L1804" s="36" t="s">
        <v>4212</v>
      </c>
      <c r="M1804" s="36" t="s">
        <v>4212</v>
      </c>
      <c r="N1804" s="36" t="s">
        <v>32</v>
      </c>
    </row>
    <row r="1805">
      <c r="A1805" s="36" t="s">
        <v>4831</v>
      </c>
      <c r="B1805" s="154" t="s">
        <v>4827</v>
      </c>
      <c r="C1805" s="36" t="s">
        <v>1666</v>
      </c>
      <c r="D1805" s="36" t="s">
        <v>85</v>
      </c>
      <c r="E1805" s="36" t="s">
        <v>85</v>
      </c>
      <c r="F1805" s="154" t="s">
        <v>4504</v>
      </c>
      <c r="G1805" s="36" t="s">
        <v>28</v>
      </c>
      <c r="H1805" s="36" t="s">
        <v>1655</v>
      </c>
      <c r="I1805" s="36" t="s">
        <v>1656</v>
      </c>
      <c r="J1805" s="36" t="s">
        <v>1656</v>
      </c>
      <c r="K1805" s="36" t="s">
        <v>3038</v>
      </c>
      <c r="L1805" s="36" t="s">
        <v>4214</v>
      </c>
      <c r="M1805" s="36" t="s">
        <v>4214</v>
      </c>
      <c r="N1805" s="36" t="s">
        <v>32</v>
      </c>
    </row>
    <row r="1806">
      <c r="A1806" s="36" t="s">
        <v>4832</v>
      </c>
      <c r="B1806" s="154" t="s">
        <v>4827</v>
      </c>
      <c r="C1806" s="36" t="s">
        <v>1666</v>
      </c>
      <c r="D1806" s="36" t="s">
        <v>439</v>
      </c>
      <c r="E1806" s="36" t="s">
        <v>439</v>
      </c>
      <c r="F1806" s="154" t="s">
        <v>4833</v>
      </c>
      <c r="G1806" s="36" t="s">
        <v>28</v>
      </c>
      <c r="H1806" s="36" t="s">
        <v>1655</v>
      </c>
      <c r="I1806" s="36" t="s">
        <v>1656</v>
      </c>
      <c r="J1806" s="36" t="s">
        <v>1656</v>
      </c>
      <c r="K1806" s="36" t="s">
        <v>2775</v>
      </c>
      <c r="L1806" s="36" t="s">
        <v>4214</v>
      </c>
      <c r="M1806" s="36" t="s">
        <v>4214</v>
      </c>
      <c r="N1806" s="36" t="s">
        <v>32</v>
      </c>
    </row>
    <row r="1807">
      <c r="A1807" s="36" t="s">
        <v>4834</v>
      </c>
      <c r="B1807" s="154" t="s">
        <v>4827</v>
      </c>
      <c r="C1807" s="36" t="s">
        <v>1666</v>
      </c>
      <c r="D1807" s="36" t="s">
        <v>192</v>
      </c>
      <c r="E1807" s="36" t="s">
        <v>192</v>
      </c>
      <c r="F1807" s="154" t="s">
        <v>4688</v>
      </c>
      <c r="G1807" s="36" t="s">
        <v>28</v>
      </c>
      <c r="H1807" s="36" t="s">
        <v>1655</v>
      </c>
      <c r="I1807" s="36" t="s">
        <v>1656</v>
      </c>
      <c r="J1807" s="36" t="s">
        <v>1656</v>
      </c>
      <c r="K1807" s="36" t="s">
        <v>2779</v>
      </c>
      <c r="L1807" s="36" t="s">
        <v>4214</v>
      </c>
      <c r="M1807" s="36" t="s">
        <v>4214</v>
      </c>
      <c r="N1807" s="36" t="s">
        <v>32</v>
      </c>
    </row>
    <row r="1808">
      <c r="A1808" s="36" t="s">
        <v>4835</v>
      </c>
      <c r="B1808" s="154" t="s">
        <v>4836</v>
      </c>
      <c r="C1808" s="36" t="s">
        <v>1666</v>
      </c>
      <c r="D1808" s="36" t="s">
        <v>78</v>
      </c>
      <c r="E1808" s="36" t="s">
        <v>78</v>
      </c>
      <c r="F1808" s="154" t="s">
        <v>2325</v>
      </c>
      <c r="G1808" s="36" t="s">
        <v>28</v>
      </c>
      <c r="H1808" s="36" t="s">
        <v>1655</v>
      </c>
      <c r="I1808" s="36" t="s">
        <v>1656</v>
      </c>
      <c r="J1808" s="36" t="s">
        <v>1656</v>
      </c>
      <c r="K1808" s="36" t="s">
        <v>1769</v>
      </c>
      <c r="L1808" s="36" t="s">
        <v>4214</v>
      </c>
      <c r="M1808" s="36" t="s">
        <v>4214</v>
      </c>
      <c r="N1808" s="36" t="s">
        <v>32</v>
      </c>
    </row>
    <row r="1809">
      <c r="A1809" s="36" t="s">
        <v>4837</v>
      </c>
      <c r="B1809" s="154" t="s">
        <v>4838</v>
      </c>
      <c r="C1809" s="36" t="s">
        <v>1666</v>
      </c>
      <c r="D1809" s="36" t="s">
        <v>63</v>
      </c>
      <c r="E1809" s="36" t="s">
        <v>63</v>
      </c>
      <c r="F1809" s="154" t="s">
        <v>4839</v>
      </c>
      <c r="G1809" s="36" t="s">
        <v>28</v>
      </c>
      <c r="H1809" s="36" t="s">
        <v>1655</v>
      </c>
      <c r="I1809" s="36" t="s">
        <v>1656</v>
      </c>
      <c r="J1809" s="36" t="s">
        <v>1656</v>
      </c>
      <c r="K1809" s="36" t="s">
        <v>4196</v>
      </c>
      <c r="L1809" s="36" t="s">
        <v>4214</v>
      </c>
      <c r="M1809" s="36" t="s">
        <v>4214</v>
      </c>
      <c r="N1809" s="36" t="s">
        <v>34</v>
      </c>
    </row>
    <row r="1810">
      <c r="A1810" s="36" t="s">
        <v>4840</v>
      </c>
      <c r="B1810" s="154" t="s">
        <v>4838</v>
      </c>
      <c r="C1810" s="36" t="s">
        <v>1666</v>
      </c>
      <c r="D1810" s="36" t="s">
        <v>647</v>
      </c>
      <c r="E1810" s="36" t="s">
        <v>647</v>
      </c>
      <c r="F1810" s="154" t="s">
        <v>2728</v>
      </c>
      <c r="G1810" s="36" t="s">
        <v>32</v>
      </c>
      <c r="H1810" s="36" t="s">
        <v>1655</v>
      </c>
      <c r="I1810" s="36" t="s">
        <v>1656</v>
      </c>
      <c r="J1810" s="36" t="s">
        <v>1656</v>
      </c>
      <c r="K1810" s="36" t="s">
        <v>1675</v>
      </c>
      <c r="L1810" s="36" t="s">
        <v>4214</v>
      </c>
      <c r="M1810" s="36" t="s">
        <v>4214</v>
      </c>
      <c r="N1810" s="36" t="s">
        <v>32</v>
      </c>
    </row>
    <row r="1811">
      <c r="A1811" s="36" t="s">
        <v>4841</v>
      </c>
      <c r="B1811" s="154" t="s">
        <v>4842</v>
      </c>
      <c r="C1811" s="36" t="s">
        <v>1666</v>
      </c>
      <c r="D1811" s="36" t="s">
        <v>64</v>
      </c>
      <c r="E1811" s="36" t="s">
        <v>64</v>
      </c>
      <c r="F1811" s="154" t="s">
        <v>4431</v>
      </c>
      <c r="G1811" s="36" t="s">
        <v>28</v>
      </c>
      <c r="H1811" s="36" t="s">
        <v>1655</v>
      </c>
      <c r="I1811" s="36" t="s">
        <v>1656</v>
      </c>
      <c r="J1811" s="36" t="s">
        <v>1656</v>
      </c>
      <c r="K1811" s="36" t="s">
        <v>1708</v>
      </c>
      <c r="L1811" s="36" t="s">
        <v>4214</v>
      </c>
      <c r="M1811" s="36" t="s">
        <v>4214</v>
      </c>
      <c r="N1811" s="36" t="s">
        <v>32</v>
      </c>
    </row>
    <row r="1812">
      <c r="A1812" s="36" t="s">
        <v>4843</v>
      </c>
      <c r="B1812" s="154" t="s">
        <v>4844</v>
      </c>
      <c r="C1812" s="36" t="s">
        <v>1666</v>
      </c>
      <c r="D1812" s="36" t="s">
        <v>100</v>
      </c>
      <c r="E1812" s="36" t="s">
        <v>100</v>
      </c>
      <c r="F1812" s="154" t="s">
        <v>1810</v>
      </c>
      <c r="G1812" s="36" t="s">
        <v>32</v>
      </c>
      <c r="H1812" s="36" t="s">
        <v>1655</v>
      </c>
      <c r="I1812" s="36" t="s">
        <v>1656</v>
      </c>
      <c r="J1812" s="36" t="s">
        <v>1656</v>
      </c>
      <c r="K1812" s="36" t="s">
        <v>1678</v>
      </c>
      <c r="L1812" s="36" t="s">
        <v>4214</v>
      </c>
      <c r="M1812" s="36" t="s">
        <v>4214</v>
      </c>
      <c r="N1812" s="36" t="s">
        <v>32</v>
      </c>
    </row>
    <row r="1813">
      <c r="A1813" s="36" t="s">
        <v>4845</v>
      </c>
      <c r="B1813" s="154" t="s">
        <v>4846</v>
      </c>
      <c r="C1813" s="36" t="s">
        <v>1666</v>
      </c>
      <c r="D1813" s="36" t="s">
        <v>66</v>
      </c>
      <c r="E1813" s="36" t="s">
        <v>66</v>
      </c>
      <c r="F1813" s="154" t="s">
        <v>4847</v>
      </c>
      <c r="G1813" s="36" t="s">
        <v>28</v>
      </c>
      <c r="H1813" s="36" t="s">
        <v>1655</v>
      </c>
      <c r="I1813" s="36" t="s">
        <v>1656</v>
      </c>
      <c r="J1813" s="36" t="s">
        <v>1656</v>
      </c>
      <c r="K1813" s="36" t="s">
        <v>1721</v>
      </c>
      <c r="L1813" s="36" t="s">
        <v>4214</v>
      </c>
      <c r="M1813" s="36" t="s">
        <v>4214</v>
      </c>
      <c r="N1813" s="36" t="s">
        <v>32</v>
      </c>
    </row>
    <row r="1814">
      <c r="A1814" s="36" t="s">
        <v>4848</v>
      </c>
      <c r="B1814" s="154" t="s">
        <v>4849</v>
      </c>
      <c r="C1814" s="36" t="s">
        <v>1666</v>
      </c>
      <c r="D1814" s="36" t="s">
        <v>305</v>
      </c>
      <c r="E1814" s="36" t="s">
        <v>305</v>
      </c>
      <c r="F1814" s="154" t="s">
        <v>1729</v>
      </c>
      <c r="G1814" s="36" t="s">
        <v>32</v>
      </c>
      <c r="H1814" s="36" t="s">
        <v>1655</v>
      </c>
      <c r="I1814" s="36" t="s">
        <v>1656</v>
      </c>
      <c r="J1814" s="36" t="s">
        <v>1656</v>
      </c>
      <c r="K1814" s="36" t="s">
        <v>1681</v>
      </c>
      <c r="L1814" s="36" t="s">
        <v>4214</v>
      </c>
      <c r="M1814" s="36" t="s">
        <v>4214</v>
      </c>
      <c r="N1814" s="36" t="s">
        <v>32</v>
      </c>
    </row>
    <row r="1815">
      <c r="A1815" s="36" t="s">
        <v>4850</v>
      </c>
      <c r="B1815" s="154" t="s">
        <v>4849</v>
      </c>
      <c r="C1815" s="36" t="s">
        <v>1666</v>
      </c>
      <c r="D1815" s="36" t="s">
        <v>947</v>
      </c>
      <c r="E1815" s="36" t="s">
        <v>947</v>
      </c>
      <c r="F1815" s="154" t="s">
        <v>1810</v>
      </c>
      <c r="G1815" s="36" t="s">
        <v>28</v>
      </c>
      <c r="H1815" s="36" t="s">
        <v>1655</v>
      </c>
      <c r="I1815" s="36" t="s">
        <v>1656</v>
      </c>
      <c r="J1815" s="36" t="s">
        <v>1656</v>
      </c>
      <c r="K1815" s="36" t="s">
        <v>1684</v>
      </c>
      <c r="L1815" s="36" t="s">
        <v>4214</v>
      </c>
      <c r="M1815" s="36" t="s">
        <v>4214</v>
      </c>
      <c r="N1815" s="36" t="s">
        <v>34</v>
      </c>
    </row>
    <row r="1816">
      <c r="A1816" s="36" t="s">
        <v>4851</v>
      </c>
      <c r="B1816" s="154" t="s">
        <v>4849</v>
      </c>
      <c r="C1816" s="36" t="s">
        <v>1666</v>
      </c>
      <c r="D1816" s="36" t="s">
        <v>109</v>
      </c>
      <c r="E1816" s="36" t="s">
        <v>109</v>
      </c>
      <c r="F1816" s="154" t="s">
        <v>2049</v>
      </c>
      <c r="G1816" s="36" t="s">
        <v>28</v>
      </c>
      <c r="H1816" s="36" t="s">
        <v>1655</v>
      </c>
      <c r="I1816" s="36" t="s">
        <v>1656</v>
      </c>
      <c r="J1816" s="36" t="s">
        <v>1656</v>
      </c>
      <c r="K1816" s="36" t="s">
        <v>1691</v>
      </c>
      <c r="L1816" s="36" t="s">
        <v>4214</v>
      </c>
      <c r="M1816" s="36" t="s">
        <v>4214</v>
      </c>
      <c r="N1816" s="36" t="s">
        <v>34</v>
      </c>
    </row>
    <row r="1817">
      <c r="A1817" s="36" t="s">
        <v>4852</v>
      </c>
      <c r="B1817" s="154" t="s">
        <v>4853</v>
      </c>
      <c r="C1817" s="36" t="s">
        <v>1653</v>
      </c>
      <c r="D1817" s="36" t="s">
        <v>55</v>
      </c>
      <c r="E1817" s="36" t="s">
        <v>39</v>
      </c>
      <c r="F1817" s="154" t="s">
        <v>4854</v>
      </c>
      <c r="G1817" s="36" t="s">
        <v>32</v>
      </c>
      <c r="H1817" s="36" t="s">
        <v>1655</v>
      </c>
      <c r="I1817" s="36" t="s">
        <v>1656</v>
      </c>
      <c r="J1817" s="36" t="s">
        <v>1656</v>
      </c>
      <c r="K1817" s="36" t="s">
        <v>1989</v>
      </c>
      <c r="L1817" s="36" t="s">
        <v>4212</v>
      </c>
      <c r="M1817" s="36" t="s">
        <v>4212</v>
      </c>
      <c r="N1817" s="36" t="s">
        <v>32</v>
      </c>
    </row>
    <row r="1818">
      <c r="A1818" s="36" t="s">
        <v>4855</v>
      </c>
      <c r="B1818" s="154" t="s">
        <v>4853</v>
      </c>
      <c r="C1818" s="36" t="s">
        <v>1666</v>
      </c>
      <c r="D1818" s="36" t="s">
        <v>71</v>
      </c>
      <c r="E1818" s="36" t="s">
        <v>71</v>
      </c>
      <c r="F1818" s="154" t="s">
        <v>4448</v>
      </c>
      <c r="G1818" s="36" t="s">
        <v>32</v>
      </c>
      <c r="H1818" s="36" t="s">
        <v>1655</v>
      </c>
      <c r="I1818" s="36" t="s">
        <v>1656</v>
      </c>
      <c r="J1818" s="36" t="s">
        <v>1656</v>
      </c>
      <c r="K1818" s="36" t="s">
        <v>1752</v>
      </c>
      <c r="L1818" s="36" t="s">
        <v>4214</v>
      </c>
      <c r="M1818" s="36" t="s">
        <v>4214</v>
      </c>
      <c r="N1818" s="36" t="s">
        <v>32</v>
      </c>
    </row>
    <row r="1819">
      <c r="A1819" s="36" t="s">
        <v>4856</v>
      </c>
      <c r="B1819" s="154" t="s">
        <v>4853</v>
      </c>
      <c r="C1819" s="36" t="s">
        <v>1666</v>
      </c>
      <c r="D1819" s="36" t="s">
        <v>73</v>
      </c>
      <c r="E1819" s="36" t="s">
        <v>73</v>
      </c>
      <c r="F1819" s="154" t="s">
        <v>4544</v>
      </c>
      <c r="G1819" s="36" t="s">
        <v>28</v>
      </c>
      <c r="H1819" s="36" t="s">
        <v>1655</v>
      </c>
      <c r="I1819" s="36" t="s">
        <v>1656</v>
      </c>
      <c r="J1819" s="36" t="s">
        <v>1656</v>
      </c>
      <c r="K1819" s="36" t="s">
        <v>1755</v>
      </c>
      <c r="L1819" s="36" t="s">
        <v>4214</v>
      </c>
      <c r="M1819" s="36" t="s">
        <v>4214</v>
      </c>
      <c r="N1819" s="36" t="s">
        <v>32</v>
      </c>
    </row>
    <row r="1820">
      <c r="A1820" s="36" t="s">
        <v>4857</v>
      </c>
      <c r="B1820" s="154" t="s">
        <v>4853</v>
      </c>
      <c r="C1820" s="36" t="s">
        <v>1666</v>
      </c>
      <c r="D1820" s="36" t="s">
        <v>74</v>
      </c>
      <c r="E1820" s="36" t="s">
        <v>74</v>
      </c>
      <c r="F1820" s="154" t="s">
        <v>4448</v>
      </c>
      <c r="G1820" s="36" t="s">
        <v>32</v>
      </c>
      <c r="H1820" s="36" t="s">
        <v>1655</v>
      </c>
      <c r="I1820" s="36" t="s">
        <v>1656</v>
      </c>
      <c r="J1820" s="36" t="s">
        <v>1656</v>
      </c>
      <c r="K1820" s="36" t="s">
        <v>1757</v>
      </c>
      <c r="L1820" s="36" t="s">
        <v>4214</v>
      </c>
      <c r="M1820" s="36" t="s">
        <v>4214</v>
      </c>
      <c r="N1820" s="36" t="s">
        <v>32</v>
      </c>
    </row>
    <row r="1821">
      <c r="A1821" s="36" t="s">
        <v>4858</v>
      </c>
      <c r="B1821" s="154" t="s">
        <v>4853</v>
      </c>
      <c r="C1821" s="36" t="s">
        <v>1666</v>
      </c>
      <c r="D1821" s="36" t="s">
        <v>75</v>
      </c>
      <c r="E1821" s="36" t="s">
        <v>75</v>
      </c>
      <c r="F1821" s="154" t="s">
        <v>4450</v>
      </c>
      <c r="G1821" s="36" t="s">
        <v>28</v>
      </c>
      <c r="H1821" s="36" t="s">
        <v>1655</v>
      </c>
      <c r="I1821" s="36" t="s">
        <v>1656</v>
      </c>
      <c r="J1821" s="36" t="s">
        <v>1656</v>
      </c>
      <c r="K1821" s="36" t="s">
        <v>1760</v>
      </c>
      <c r="L1821" s="36" t="s">
        <v>4214</v>
      </c>
      <c r="M1821" s="36" t="s">
        <v>4214</v>
      </c>
      <c r="N1821" s="36" t="s">
        <v>32</v>
      </c>
    </row>
    <row r="1822">
      <c r="A1822" s="36" t="s">
        <v>4859</v>
      </c>
      <c r="B1822" s="154" t="s">
        <v>4853</v>
      </c>
      <c r="C1822" s="36" t="s">
        <v>1666</v>
      </c>
      <c r="D1822" s="36" t="s">
        <v>76</v>
      </c>
      <c r="E1822" s="36" t="s">
        <v>76</v>
      </c>
      <c r="F1822" s="154" t="s">
        <v>4860</v>
      </c>
      <c r="G1822" s="36" t="s">
        <v>28</v>
      </c>
      <c r="H1822" s="36" t="s">
        <v>1655</v>
      </c>
      <c r="I1822" s="36" t="s">
        <v>1656</v>
      </c>
      <c r="J1822" s="36" t="s">
        <v>1656</v>
      </c>
      <c r="K1822" s="36" t="s">
        <v>1763</v>
      </c>
      <c r="L1822" s="36" t="s">
        <v>4214</v>
      </c>
      <c r="M1822" s="36" t="s">
        <v>4214</v>
      </c>
      <c r="N1822" s="36" t="s">
        <v>32</v>
      </c>
    </row>
    <row r="1823">
      <c r="A1823" s="36" t="s">
        <v>4861</v>
      </c>
      <c r="B1823" s="154" t="s">
        <v>4853</v>
      </c>
      <c r="C1823" s="36" t="s">
        <v>1666</v>
      </c>
      <c r="D1823" s="36" t="s">
        <v>77</v>
      </c>
      <c r="E1823" s="36" t="s">
        <v>77</v>
      </c>
      <c r="F1823" s="154" t="s">
        <v>1768</v>
      </c>
      <c r="G1823" s="36" t="s">
        <v>34</v>
      </c>
      <c r="H1823" s="36" t="s">
        <v>1655</v>
      </c>
      <c r="I1823" s="36" t="s">
        <v>1656</v>
      </c>
      <c r="J1823" s="36" t="s">
        <v>1656</v>
      </c>
      <c r="K1823" s="36" t="s">
        <v>4248</v>
      </c>
      <c r="L1823" s="36" t="s">
        <v>4214</v>
      </c>
      <c r="M1823" s="36" t="s">
        <v>4214</v>
      </c>
      <c r="N1823" s="36" t="s">
        <v>32</v>
      </c>
    </row>
    <row r="1824">
      <c r="A1824" s="36" t="s">
        <v>4862</v>
      </c>
      <c r="B1824" s="154" t="s">
        <v>4853</v>
      </c>
      <c r="C1824" s="36" t="s">
        <v>1666</v>
      </c>
      <c r="D1824" s="36" t="s">
        <v>220</v>
      </c>
      <c r="E1824" s="36" t="s">
        <v>220</v>
      </c>
      <c r="F1824" s="154" t="s">
        <v>4863</v>
      </c>
      <c r="G1824" s="36" t="s">
        <v>28</v>
      </c>
      <c r="H1824" s="36" t="s">
        <v>1655</v>
      </c>
      <c r="I1824" s="36" t="s">
        <v>1656</v>
      </c>
      <c r="J1824" s="36" t="s">
        <v>1656</v>
      </c>
      <c r="K1824" s="36" t="s">
        <v>1695</v>
      </c>
      <c r="L1824" s="36" t="s">
        <v>4214</v>
      </c>
      <c r="M1824" s="36" t="s">
        <v>4214</v>
      </c>
      <c r="N1824" s="36" t="s">
        <v>32</v>
      </c>
    </row>
    <row r="1825">
      <c r="A1825" s="36" t="s">
        <v>4864</v>
      </c>
      <c r="B1825" s="154" t="s">
        <v>4853</v>
      </c>
      <c r="C1825" s="36" t="s">
        <v>1666</v>
      </c>
      <c r="D1825" s="36" t="s">
        <v>281</v>
      </c>
      <c r="E1825" s="36" t="s">
        <v>281</v>
      </c>
      <c r="F1825" s="154" t="s">
        <v>4865</v>
      </c>
      <c r="G1825" s="36" t="s">
        <v>34</v>
      </c>
      <c r="H1825" s="36" t="s">
        <v>1655</v>
      </c>
      <c r="I1825" s="36" t="s">
        <v>1656</v>
      </c>
      <c r="J1825" s="36" t="s">
        <v>1656</v>
      </c>
      <c r="K1825" s="36" t="s">
        <v>1698</v>
      </c>
      <c r="L1825" s="36" t="s">
        <v>4214</v>
      </c>
      <c r="M1825" s="36" t="s">
        <v>4214</v>
      </c>
      <c r="N1825" s="36" t="s">
        <v>32</v>
      </c>
    </row>
    <row r="1826">
      <c r="A1826" s="36" t="s">
        <v>4866</v>
      </c>
      <c r="B1826" s="154" t="s">
        <v>4853</v>
      </c>
      <c r="C1826" s="36" t="s">
        <v>1666</v>
      </c>
      <c r="D1826" s="36" t="s">
        <v>226</v>
      </c>
      <c r="E1826" s="36" t="s">
        <v>226</v>
      </c>
      <c r="F1826" s="154" t="s">
        <v>4867</v>
      </c>
      <c r="G1826" s="36" t="s">
        <v>32</v>
      </c>
      <c r="H1826" s="36" t="s">
        <v>1655</v>
      </c>
      <c r="I1826" s="36" t="s">
        <v>1656</v>
      </c>
      <c r="J1826" s="36" t="s">
        <v>1656</v>
      </c>
      <c r="K1826" s="36" t="s">
        <v>1701</v>
      </c>
      <c r="L1826" s="36" t="s">
        <v>4214</v>
      </c>
      <c r="M1826" s="36" t="s">
        <v>4214</v>
      </c>
      <c r="N1826" s="36" t="s">
        <v>32</v>
      </c>
    </row>
    <row r="1827">
      <c r="A1827" s="36" t="s">
        <v>4868</v>
      </c>
      <c r="B1827" s="154" t="s">
        <v>4853</v>
      </c>
      <c r="C1827" s="36" t="s">
        <v>1666</v>
      </c>
      <c r="D1827" s="36" t="s">
        <v>975</v>
      </c>
      <c r="E1827" s="36" t="s">
        <v>975</v>
      </c>
      <c r="F1827" s="154" t="s">
        <v>1816</v>
      </c>
      <c r="G1827" s="36" t="s">
        <v>28</v>
      </c>
      <c r="H1827" s="36" t="s">
        <v>1655</v>
      </c>
      <c r="I1827" s="36" t="s">
        <v>1656</v>
      </c>
      <c r="J1827" s="36" t="s">
        <v>1656</v>
      </c>
      <c r="K1827" s="36" t="s">
        <v>1704</v>
      </c>
      <c r="L1827" s="36" t="s">
        <v>4214</v>
      </c>
      <c r="M1827" s="36" t="s">
        <v>4214</v>
      </c>
      <c r="N1827" s="36" t="s">
        <v>32</v>
      </c>
    </row>
    <row r="1828">
      <c r="A1828" s="36" t="s">
        <v>4869</v>
      </c>
      <c r="B1828" s="154" t="s">
        <v>4853</v>
      </c>
      <c r="C1828" s="36" t="s">
        <v>1666</v>
      </c>
      <c r="D1828" s="36" t="s">
        <v>974</v>
      </c>
      <c r="E1828" s="36" t="s">
        <v>974</v>
      </c>
      <c r="F1828" s="154" t="s">
        <v>4870</v>
      </c>
      <c r="G1828" s="36" t="s">
        <v>32</v>
      </c>
      <c r="H1828" s="36" t="s">
        <v>1655</v>
      </c>
      <c r="I1828" s="36" t="s">
        <v>1656</v>
      </c>
      <c r="J1828" s="36" t="s">
        <v>1656</v>
      </c>
      <c r="K1828" s="36" t="s">
        <v>1711</v>
      </c>
      <c r="L1828" s="36" t="s">
        <v>4214</v>
      </c>
      <c r="M1828" s="36" t="s">
        <v>4214</v>
      </c>
      <c r="N1828" s="36" t="s">
        <v>32</v>
      </c>
    </row>
    <row r="1829">
      <c r="A1829" s="36" t="s">
        <v>4871</v>
      </c>
      <c r="B1829" s="154" t="s">
        <v>4853</v>
      </c>
      <c r="C1829" s="36" t="s">
        <v>1666</v>
      </c>
      <c r="D1829" s="36" t="s">
        <v>979</v>
      </c>
      <c r="E1829" s="36" t="s">
        <v>979</v>
      </c>
      <c r="F1829" s="154" t="s">
        <v>4465</v>
      </c>
      <c r="G1829" s="36" t="s">
        <v>32</v>
      </c>
      <c r="H1829" s="36" t="s">
        <v>1655</v>
      </c>
      <c r="I1829" s="36" t="s">
        <v>1656</v>
      </c>
      <c r="J1829" s="36" t="s">
        <v>1656</v>
      </c>
      <c r="K1829" s="36" t="s">
        <v>1715</v>
      </c>
      <c r="L1829" s="36" t="s">
        <v>4214</v>
      </c>
      <c r="M1829" s="36" t="s">
        <v>4214</v>
      </c>
      <c r="N1829" s="36" t="s">
        <v>32</v>
      </c>
    </row>
    <row r="1830">
      <c r="A1830" s="36" t="s">
        <v>4872</v>
      </c>
      <c r="B1830" s="154" t="s">
        <v>4873</v>
      </c>
      <c r="C1830" s="36" t="s">
        <v>1666</v>
      </c>
      <c r="D1830" s="36" t="s">
        <v>854</v>
      </c>
      <c r="E1830" s="36" t="s">
        <v>854</v>
      </c>
      <c r="F1830" s="154" t="s">
        <v>1816</v>
      </c>
      <c r="G1830" s="36" t="s">
        <v>28</v>
      </c>
      <c r="H1830" s="36" t="s">
        <v>1655</v>
      </c>
      <c r="I1830" s="36" t="s">
        <v>1656</v>
      </c>
      <c r="J1830" s="36" t="s">
        <v>1656</v>
      </c>
      <c r="K1830" s="36" t="s">
        <v>1717</v>
      </c>
      <c r="L1830" s="36" t="s">
        <v>4214</v>
      </c>
      <c r="M1830" s="36" t="s">
        <v>4214</v>
      </c>
      <c r="N1830" s="36" t="s">
        <v>34</v>
      </c>
    </row>
    <row r="1831">
      <c r="A1831" s="36" t="s">
        <v>4874</v>
      </c>
      <c r="B1831" s="154" t="s">
        <v>4875</v>
      </c>
      <c r="C1831" s="36" t="s">
        <v>1666</v>
      </c>
      <c r="D1831" s="36" t="s">
        <v>100</v>
      </c>
      <c r="E1831" s="36" t="s">
        <v>100</v>
      </c>
      <c r="F1831" s="154" t="s">
        <v>1810</v>
      </c>
      <c r="G1831" s="36" t="s">
        <v>32</v>
      </c>
      <c r="H1831" s="36" t="s">
        <v>1655</v>
      </c>
      <c r="I1831" s="36" t="s">
        <v>1656</v>
      </c>
      <c r="J1831" s="36" t="s">
        <v>1656</v>
      </c>
      <c r="K1831" s="36" t="s">
        <v>1724</v>
      </c>
      <c r="L1831" s="36" t="s">
        <v>4214</v>
      </c>
      <c r="M1831" s="36" t="s">
        <v>4214</v>
      </c>
      <c r="N1831" s="36" t="s">
        <v>32</v>
      </c>
    </row>
    <row r="1832">
      <c r="A1832" s="36" t="s">
        <v>4876</v>
      </c>
      <c r="B1832" s="154" t="s">
        <v>4877</v>
      </c>
      <c r="C1832" s="36" t="s">
        <v>1666</v>
      </c>
      <c r="D1832" s="36" t="s">
        <v>993</v>
      </c>
      <c r="E1832" s="36" t="s">
        <v>993</v>
      </c>
      <c r="F1832" s="154" t="s">
        <v>1816</v>
      </c>
      <c r="G1832" s="36" t="s">
        <v>28</v>
      </c>
      <c r="H1832" s="36" t="s">
        <v>1655</v>
      </c>
      <c r="I1832" s="36" t="s">
        <v>1656</v>
      </c>
      <c r="J1832" s="36" t="s">
        <v>1656</v>
      </c>
      <c r="K1832" s="36" t="s">
        <v>1727</v>
      </c>
      <c r="L1832" s="36" t="s">
        <v>4214</v>
      </c>
      <c r="M1832" s="36" t="s">
        <v>4214</v>
      </c>
      <c r="N1832" s="36" t="s">
        <v>32</v>
      </c>
    </row>
    <row r="1833">
      <c r="A1833" s="36" t="s">
        <v>4878</v>
      </c>
      <c r="B1833" s="154" t="s">
        <v>4877</v>
      </c>
      <c r="C1833" s="36" t="s">
        <v>1666</v>
      </c>
      <c r="D1833" s="36" t="s">
        <v>996</v>
      </c>
      <c r="E1833" s="36" t="s">
        <v>996</v>
      </c>
      <c r="F1833" s="154" t="s">
        <v>2728</v>
      </c>
      <c r="G1833" s="36" t="s">
        <v>32</v>
      </c>
      <c r="H1833" s="36" t="s">
        <v>1655</v>
      </c>
      <c r="I1833" s="36" t="s">
        <v>1656</v>
      </c>
      <c r="J1833" s="36" t="s">
        <v>1656</v>
      </c>
      <c r="K1833" s="36" t="s">
        <v>1730</v>
      </c>
      <c r="L1833" s="36" t="s">
        <v>4214</v>
      </c>
      <c r="M1833" s="36" t="s">
        <v>4214</v>
      </c>
      <c r="N1833" s="36" t="s">
        <v>32</v>
      </c>
    </row>
    <row r="1834">
      <c r="A1834" s="36" t="s">
        <v>4879</v>
      </c>
      <c r="B1834" s="154" t="s">
        <v>4877</v>
      </c>
      <c r="C1834" s="36" t="s">
        <v>1666</v>
      </c>
      <c r="D1834" s="36" t="s">
        <v>993</v>
      </c>
      <c r="E1834" s="36" t="s">
        <v>993</v>
      </c>
      <c r="F1834" s="154" t="s">
        <v>2989</v>
      </c>
      <c r="G1834" s="36" t="s">
        <v>28</v>
      </c>
      <c r="H1834" s="36" t="s">
        <v>1655</v>
      </c>
      <c r="I1834" s="36" t="s">
        <v>1656</v>
      </c>
      <c r="J1834" s="36" t="s">
        <v>1656</v>
      </c>
      <c r="K1834" s="36" t="s">
        <v>1732</v>
      </c>
      <c r="L1834" s="36" t="s">
        <v>4214</v>
      </c>
      <c r="M1834" s="36" t="s">
        <v>4214</v>
      </c>
      <c r="N1834" s="36" t="s">
        <v>32</v>
      </c>
    </row>
    <row r="1835">
      <c r="A1835" s="36" t="s">
        <v>4880</v>
      </c>
      <c r="B1835" s="154" t="s">
        <v>4877</v>
      </c>
      <c r="C1835" s="36" t="s">
        <v>1666</v>
      </c>
      <c r="D1835" s="36" t="s">
        <v>110</v>
      </c>
      <c r="E1835" s="36" t="s">
        <v>110</v>
      </c>
      <c r="F1835" s="154" t="s">
        <v>1816</v>
      </c>
      <c r="G1835" s="36" t="s">
        <v>28</v>
      </c>
      <c r="H1835" s="36" t="s">
        <v>1655</v>
      </c>
      <c r="I1835" s="36" t="s">
        <v>1656</v>
      </c>
      <c r="J1835" s="36" t="s">
        <v>1656</v>
      </c>
      <c r="K1835" s="36" t="s">
        <v>1736</v>
      </c>
      <c r="L1835" s="36" t="s">
        <v>4214</v>
      </c>
      <c r="M1835" s="36" t="s">
        <v>4214</v>
      </c>
      <c r="N1835" s="36" t="s">
        <v>34</v>
      </c>
    </row>
    <row r="1836">
      <c r="A1836" s="36" t="s">
        <v>4881</v>
      </c>
      <c r="B1836" s="154" t="s">
        <v>4877</v>
      </c>
      <c r="C1836" s="36" t="s">
        <v>1666</v>
      </c>
      <c r="D1836" s="36" t="s">
        <v>109</v>
      </c>
      <c r="E1836" s="36" t="s">
        <v>109</v>
      </c>
      <c r="F1836" s="154" t="s">
        <v>2049</v>
      </c>
      <c r="G1836" s="36" t="s">
        <v>28</v>
      </c>
      <c r="H1836" s="36" t="s">
        <v>1655</v>
      </c>
      <c r="I1836" s="36" t="s">
        <v>1656</v>
      </c>
      <c r="J1836" s="36" t="s">
        <v>1656</v>
      </c>
      <c r="K1836" s="36" t="s">
        <v>1739</v>
      </c>
      <c r="L1836" s="36" t="s">
        <v>4214</v>
      </c>
      <c r="M1836" s="36" t="s">
        <v>4214</v>
      </c>
      <c r="N1836" s="36" t="s">
        <v>34</v>
      </c>
    </row>
    <row r="1837">
      <c r="A1837" s="36" t="s">
        <v>4882</v>
      </c>
      <c r="B1837" s="154" t="s">
        <v>4877</v>
      </c>
      <c r="C1837" s="36" t="s">
        <v>1666</v>
      </c>
      <c r="D1837" s="36" t="s">
        <v>1009</v>
      </c>
      <c r="E1837" s="36" t="s">
        <v>1009</v>
      </c>
      <c r="F1837" s="154" t="s">
        <v>1729</v>
      </c>
      <c r="G1837" s="36" t="s">
        <v>28</v>
      </c>
      <c r="H1837" s="36" t="s">
        <v>1655</v>
      </c>
      <c r="I1837" s="36" t="s">
        <v>1656</v>
      </c>
      <c r="J1837" s="36" t="s">
        <v>1656</v>
      </c>
      <c r="K1837" s="36" t="s">
        <v>1742</v>
      </c>
      <c r="L1837" s="36" t="s">
        <v>4214</v>
      </c>
      <c r="M1837" s="36" t="s">
        <v>4214</v>
      </c>
      <c r="N1837" s="36" t="s">
        <v>34</v>
      </c>
    </row>
    <row r="1838">
      <c r="A1838" s="36" t="s">
        <v>4883</v>
      </c>
      <c r="B1838" s="154" t="s">
        <v>4884</v>
      </c>
      <c r="C1838" s="36" t="s">
        <v>1666</v>
      </c>
      <c r="D1838" s="36" t="s">
        <v>712</v>
      </c>
      <c r="E1838" s="36" t="s">
        <v>712</v>
      </c>
      <c r="F1838" s="154" t="s">
        <v>4885</v>
      </c>
      <c r="G1838" s="36" t="s">
        <v>28</v>
      </c>
      <c r="H1838" s="36" t="s">
        <v>1655</v>
      </c>
      <c r="I1838" s="36" t="s">
        <v>1656</v>
      </c>
      <c r="J1838" s="36" t="s">
        <v>1656</v>
      </c>
      <c r="K1838" s="36" t="s">
        <v>1766</v>
      </c>
      <c r="L1838" s="36" t="s">
        <v>4214</v>
      </c>
      <c r="M1838" s="36" t="s">
        <v>4214</v>
      </c>
      <c r="N1838" s="36" t="s">
        <v>32</v>
      </c>
    </row>
    <row r="1839">
      <c r="A1839" s="36" t="s">
        <v>4886</v>
      </c>
      <c r="B1839" s="154" t="s">
        <v>4887</v>
      </c>
      <c r="C1839" s="36" t="s">
        <v>1666</v>
      </c>
      <c r="D1839" s="36" t="s">
        <v>92</v>
      </c>
      <c r="E1839" s="36" t="s">
        <v>92</v>
      </c>
      <c r="F1839" s="154" t="s">
        <v>1806</v>
      </c>
      <c r="G1839" s="36" t="s">
        <v>32</v>
      </c>
      <c r="H1839" s="36" t="s">
        <v>1655</v>
      </c>
      <c r="I1839" s="36" t="s">
        <v>1656</v>
      </c>
      <c r="J1839" s="36" t="s">
        <v>1656</v>
      </c>
      <c r="K1839" s="36" t="s">
        <v>1745</v>
      </c>
      <c r="L1839" s="36" t="s">
        <v>4214</v>
      </c>
      <c r="M1839" s="36" t="s">
        <v>4214</v>
      </c>
      <c r="N1839" s="36" t="s">
        <v>32</v>
      </c>
    </row>
    <row r="1840">
      <c r="A1840" s="36" t="s">
        <v>4888</v>
      </c>
      <c r="B1840" s="154" t="s">
        <v>4887</v>
      </c>
      <c r="C1840" s="36" t="s">
        <v>1666</v>
      </c>
      <c r="D1840" s="36" t="s">
        <v>92</v>
      </c>
      <c r="E1840" s="36" t="s">
        <v>92</v>
      </c>
      <c r="F1840" s="154" t="s">
        <v>1816</v>
      </c>
      <c r="G1840" s="36" t="s">
        <v>32</v>
      </c>
      <c r="H1840" s="36" t="s">
        <v>1655</v>
      </c>
      <c r="I1840" s="36" t="s">
        <v>1656</v>
      </c>
      <c r="J1840" s="36" t="s">
        <v>1656</v>
      </c>
      <c r="K1840" s="36" t="s">
        <v>1773</v>
      </c>
      <c r="L1840" s="36" t="s">
        <v>4214</v>
      </c>
      <c r="M1840" s="36" t="s">
        <v>4214</v>
      </c>
      <c r="N1840" s="36" t="s">
        <v>32</v>
      </c>
    </row>
    <row r="1841">
      <c r="A1841" s="36" t="s">
        <v>4889</v>
      </c>
      <c r="B1841" s="154" t="s">
        <v>4887</v>
      </c>
      <c r="C1841" s="36" t="s">
        <v>1666</v>
      </c>
      <c r="D1841" s="36" t="s">
        <v>512</v>
      </c>
      <c r="E1841" s="36" t="s">
        <v>512</v>
      </c>
      <c r="F1841" s="154" t="s">
        <v>1778</v>
      </c>
      <c r="G1841" s="36" t="s">
        <v>28</v>
      </c>
      <c r="H1841" s="36" t="s">
        <v>1655</v>
      </c>
      <c r="I1841" s="36" t="s">
        <v>1656</v>
      </c>
      <c r="J1841" s="36" t="s">
        <v>1656</v>
      </c>
      <c r="K1841" s="36" t="s">
        <v>1776</v>
      </c>
      <c r="L1841" s="36" t="s">
        <v>4214</v>
      </c>
      <c r="M1841" s="36" t="s">
        <v>4214</v>
      </c>
      <c r="N1841" s="36" t="s">
        <v>34</v>
      </c>
    </row>
    <row r="1842">
      <c r="A1842" s="36" t="s">
        <v>4890</v>
      </c>
      <c r="B1842" s="154" t="s">
        <v>4891</v>
      </c>
      <c r="C1842" s="36" t="s">
        <v>1666</v>
      </c>
      <c r="D1842" s="36" t="s">
        <v>591</v>
      </c>
      <c r="E1842" s="36" t="s">
        <v>591</v>
      </c>
      <c r="F1842" s="154" t="s">
        <v>4892</v>
      </c>
      <c r="G1842" s="36" t="s">
        <v>32</v>
      </c>
      <c r="H1842" s="36" t="s">
        <v>1655</v>
      </c>
      <c r="I1842" s="36" t="s">
        <v>1656</v>
      </c>
      <c r="J1842" s="36" t="s">
        <v>1656</v>
      </c>
      <c r="K1842" s="36" t="s">
        <v>1779</v>
      </c>
      <c r="L1842" s="36" t="s">
        <v>4214</v>
      </c>
      <c r="M1842" s="36" t="s">
        <v>4214</v>
      </c>
      <c r="N1842" s="36" t="s">
        <v>32</v>
      </c>
    </row>
    <row r="1843">
      <c r="A1843" s="36" t="s">
        <v>4893</v>
      </c>
      <c r="B1843" s="154" t="s">
        <v>4891</v>
      </c>
      <c r="C1843" s="36" t="s">
        <v>1666</v>
      </c>
      <c r="D1843" s="36" t="s">
        <v>92</v>
      </c>
      <c r="E1843" s="36" t="s">
        <v>92</v>
      </c>
      <c r="F1843" s="154" t="s">
        <v>1686</v>
      </c>
      <c r="G1843" s="36" t="s">
        <v>32</v>
      </c>
      <c r="H1843" s="36" t="s">
        <v>1655</v>
      </c>
      <c r="I1843" s="36" t="s">
        <v>1656</v>
      </c>
      <c r="J1843" s="36" t="s">
        <v>1656</v>
      </c>
      <c r="K1843" s="36" t="s">
        <v>1782</v>
      </c>
      <c r="L1843" s="36" t="s">
        <v>4214</v>
      </c>
      <c r="M1843" s="36" t="s">
        <v>4214</v>
      </c>
      <c r="N1843" s="36" t="s">
        <v>32</v>
      </c>
    </row>
    <row r="1844">
      <c r="A1844" s="36" t="s">
        <v>4894</v>
      </c>
      <c r="B1844" s="154" t="s">
        <v>4895</v>
      </c>
      <c r="C1844" s="36" t="s">
        <v>1666</v>
      </c>
      <c r="D1844" s="36" t="s">
        <v>100</v>
      </c>
      <c r="E1844" s="36" t="s">
        <v>100</v>
      </c>
      <c r="F1844" s="154" t="s">
        <v>1810</v>
      </c>
      <c r="G1844" s="36" t="s">
        <v>32</v>
      </c>
      <c r="H1844" s="36" t="s">
        <v>1655</v>
      </c>
      <c r="I1844" s="36" t="s">
        <v>1656</v>
      </c>
      <c r="J1844" s="36" t="s">
        <v>1656</v>
      </c>
      <c r="K1844" s="36" t="s">
        <v>1784</v>
      </c>
      <c r="L1844" s="36" t="s">
        <v>4214</v>
      </c>
      <c r="M1844" s="36" t="s">
        <v>4214</v>
      </c>
      <c r="N1844" s="36" t="s">
        <v>32</v>
      </c>
    </row>
    <row r="1845">
      <c r="A1845" s="36" t="s">
        <v>4896</v>
      </c>
      <c r="B1845" s="154" t="s">
        <v>4895</v>
      </c>
      <c r="C1845" s="36" t="s">
        <v>1666</v>
      </c>
      <c r="D1845" s="36" t="s">
        <v>1038</v>
      </c>
      <c r="E1845" s="36" t="s">
        <v>1038</v>
      </c>
      <c r="F1845" s="154" t="s">
        <v>1859</v>
      </c>
      <c r="G1845" s="36" t="s">
        <v>32</v>
      </c>
      <c r="H1845" s="36" t="s">
        <v>1655</v>
      </c>
      <c r="I1845" s="36" t="s">
        <v>1656</v>
      </c>
      <c r="J1845" s="36" t="s">
        <v>1656</v>
      </c>
      <c r="K1845" s="36" t="s">
        <v>1787</v>
      </c>
      <c r="L1845" s="36" t="s">
        <v>4214</v>
      </c>
      <c r="M1845" s="36" t="s">
        <v>4214</v>
      </c>
      <c r="N1845" s="36" t="s">
        <v>32</v>
      </c>
    </row>
    <row r="1846">
      <c r="A1846" s="36" t="s">
        <v>4897</v>
      </c>
      <c r="B1846" s="154" t="s">
        <v>4895</v>
      </c>
      <c r="C1846" s="36" t="s">
        <v>1666</v>
      </c>
      <c r="D1846" s="36" t="s">
        <v>1043</v>
      </c>
      <c r="E1846" s="36" t="s">
        <v>1043</v>
      </c>
      <c r="F1846" s="154" t="s">
        <v>1768</v>
      </c>
      <c r="G1846" s="36" t="s">
        <v>28</v>
      </c>
      <c r="H1846" s="36" t="s">
        <v>1655</v>
      </c>
      <c r="I1846" s="36" t="s">
        <v>1656</v>
      </c>
      <c r="J1846" s="36" t="s">
        <v>1656</v>
      </c>
      <c r="K1846" s="36" t="s">
        <v>1790</v>
      </c>
      <c r="L1846" s="36" t="s">
        <v>4214</v>
      </c>
      <c r="M1846" s="36" t="s">
        <v>4214</v>
      </c>
      <c r="N1846" s="36" t="s">
        <v>34</v>
      </c>
    </row>
    <row r="1847">
      <c r="A1847" s="36" t="s">
        <v>4898</v>
      </c>
      <c r="B1847" s="154" t="s">
        <v>4899</v>
      </c>
      <c r="C1847" s="36" t="s">
        <v>1666</v>
      </c>
      <c r="D1847" s="36" t="s">
        <v>1047</v>
      </c>
      <c r="E1847" s="36" t="s">
        <v>1047</v>
      </c>
      <c r="F1847" s="154" t="s">
        <v>1710</v>
      </c>
      <c r="G1847" s="36" t="s">
        <v>32</v>
      </c>
      <c r="H1847" s="36" t="s">
        <v>1655</v>
      </c>
      <c r="I1847" s="36" t="s">
        <v>1656</v>
      </c>
      <c r="J1847" s="36" t="s">
        <v>1656</v>
      </c>
      <c r="K1847" s="36" t="s">
        <v>1793</v>
      </c>
      <c r="L1847" s="36" t="s">
        <v>4214</v>
      </c>
      <c r="M1847" s="36" t="s">
        <v>4214</v>
      </c>
      <c r="N1847" s="36" t="s">
        <v>32</v>
      </c>
    </row>
    <row r="1848">
      <c r="A1848" s="36" t="s">
        <v>4900</v>
      </c>
      <c r="B1848" s="154" t="s">
        <v>4899</v>
      </c>
      <c r="C1848" s="36" t="s">
        <v>1666</v>
      </c>
      <c r="D1848" s="36" t="s">
        <v>495</v>
      </c>
      <c r="E1848" s="36" t="s">
        <v>495</v>
      </c>
      <c r="F1848" s="154" t="s">
        <v>4509</v>
      </c>
      <c r="G1848" s="36" t="s">
        <v>28</v>
      </c>
      <c r="H1848" s="36" t="s">
        <v>1655</v>
      </c>
      <c r="I1848" s="36" t="s">
        <v>1656</v>
      </c>
      <c r="J1848" s="36" t="s">
        <v>1656</v>
      </c>
      <c r="K1848" s="36" t="s">
        <v>1796</v>
      </c>
      <c r="L1848" s="36" t="s">
        <v>4214</v>
      </c>
      <c r="M1848" s="36" t="s">
        <v>4214</v>
      </c>
      <c r="N1848" s="36" t="s">
        <v>32</v>
      </c>
    </row>
    <row r="1849">
      <c r="A1849" s="36" t="s">
        <v>4901</v>
      </c>
      <c r="B1849" s="154" t="s">
        <v>4902</v>
      </c>
      <c r="C1849" s="36" t="s">
        <v>1653</v>
      </c>
      <c r="D1849" s="36" t="s">
        <v>913</v>
      </c>
      <c r="E1849" s="36" t="s">
        <v>39</v>
      </c>
      <c r="F1849" s="154" t="s">
        <v>2035</v>
      </c>
      <c r="G1849" s="36" t="s">
        <v>32</v>
      </c>
      <c r="H1849" s="36" t="s">
        <v>1655</v>
      </c>
      <c r="I1849" s="36" t="s">
        <v>1656</v>
      </c>
      <c r="J1849" s="36" t="s">
        <v>1656</v>
      </c>
      <c r="K1849" s="36" t="s">
        <v>1978</v>
      </c>
      <c r="L1849" s="36" t="s">
        <v>4212</v>
      </c>
      <c r="M1849" s="36" t="s">
        <v>4212</v>
      </c>
      <c r="N1849" s="36" t="s">
        <v>32</v>
      </c>
    </row>
    <row r="1850">
      <c r="A1850" s="36" t="s">
        <v>4903</v>
      </c>
      <c r="B1850" s="154" t="s">
        <v>4904</v>
      </c>
      <c r="C1850" s="36" t="s">
        <v>1666</v>
      </c>
      <c r="D1850" s="36" t="s">
        <v>870</v>
      </c>
      <c r="E1850" s="36" t="s">
        <v>870</v>
      </c>
      <c r="F1850" s="154" t="s">
        <v>4905</v>
      </c>
      <c r="G1850" s="36" t="s">
        <v>28</v>
      </c>
      <c r="H1850" s="36" t="s">
        <v>1655</v>
      </c>
      <c r="I1850" s="36" t="s">
        <v>1656</v>
      </c>
      <c r="J1850" s="36" t="s">
        <v>1656</v>
      </c>
      <c r="K1850" s="36" t="s">
        <v>1800</v>
      </c>
      <c r="L1850" s="36" t="s">
        <v>4214</v>
      </c>
      <c r="M1850" s="36" t="s">
        <v>4214</v>
      </c>
      <c r="N1850" s="36" t="s">
        <v>34</v>
      </c>
    </row>
    <row r="1851">
      <c r="A1851" s="36" t="s">
        <v>4906</v>
      </c>
      <c r="B1851" s="154" t="s">
        <v>4904</v>
      </c>
      <c r="C1851" s="36" t="s">
        <v>1666</v>
      </c>
      <c r="D1851" s="36" t="s">
        <v>191</v>
      </c>
      <c r="E1851" s="36" t="s">
        <v>191</v>
      </c>
      <c r="F1851" s="154" t="s">
        <v>1729</v>
      </c>
      <c r="G1851" s="36" t="s">
        <v>28</v>
      </c>
      <c r="H1851" s="36" t="s">
        <v>1655</v>
      </c>
      <c r="I1851" s="36" t="s">
        <v>1656</v>
      </c>
      <c r="J1851" s="36" t="s">
        <v>1656</v>
      </c>
      <c r="K1851" s="36" t="s">
        <v>1820</v>
      </c>
      <c r="L1851" s="36" t="s">
        <v>4214</v>
      </c>
      <c r="M1851" s="36" t="s">
        <v>4214</v>
      </c>
      <c r="N1851" s="36" t="s">
        <v>32</v>
      </c>
    </row>
    <row r="1852">
      <c r="A1852" s="36" t="s">
        <v>4907</v>
      </c>
      <c r="B1852" s="154" t="s">
        <v>4908</v>
      </c>
      <c r="C1852" s="36" t="s">
        <v>1666</v>
      </c>
      <c r="D1852" s="36" t="s">
        <v>109</v>
      </c>
      <c r="E1852" s="36" t="s">
        <v>109</v>
      </c>
      <c r="F1852" s="154" t="s">
        <v>2049</v>
      </c>
      <c r="G1852" s="36" t="s">
        <v>28</v>
      </c>
      <c r="H1852" s="36" t="s">
        <v>1655</v>
      </c>
      <c r="I1852" s="36" t="s">
        <v>1656</v>
      </c>
      <c r="J1852" s="36" t="s">
        <v>1656</v>
      </c>
      <c r="K1852" s="36" t="s">
        <v>1803</v>
      </c>
      <c r="L1852" s="36" t="s">
        <v>4214</v>
      </c>
      <c r="M1852" s="36" t="s">
        <v>4214</v>
      </c>
      <c r="N1852" s="36" t="s">
        <v>34</v>
      </c>
    </row>
    <row r="1853">
      <c r="A1853" s="36" t="s">
        <v>4909</v>
      </c>
      <c r="B1853" s="154" t="s">
        <v>4908</v>
      </c>
      <c r="C1853" s="36" t="s">
        <v>1666</v>
      </c>
      <c r="D1853" s="36" t="s">
        <v>1062</v>
      </c>
      <c r="E1853" s="36" t="s">
        <v>1062</v>
      </c>
      <c r="F1853" s="154" t="s">
        <v>1816</v>
      </c>
      <c r="G1853" s="36" t="s">
        <v>28</v>
      </c>
      <c r="H1853" s="36" t="s">
        <v>1655</v>
      </c>
      <c r="I1853" s="36" t="s">
        <v>1656</v>
      </c>
      <c r="J1853" s="36" t="s">
        <v>1656</v>
      </c>
      <c r="K1853" s="36" t="s">
        <v>1807</v>
      </c>
      <c r="L1853" s="36" t="s">
        <v>4214</v>
      </c>
      <c r="M1853" s="36" t="s">
        <v>4214</v>
      </c>
      <c r="N1853" s="36" t="s">
        <v>34</v>
      </c>
    </row>
    <row r="1854">
      <c r="A1854" s="36" t="s">
        <v>4910</v>
      </c>
      <c r="B1854" s="154" t="s">
        <v>4908</v>
      </c>
      <c r="C1854" s="36" t="s">
        <v>1666</v>
      </c>
      <c r="D1854" s="36" t="s">
        <v>1069</v>
      </c>
      <c r="E1854" s="36" t="s">
        <v>1069</v>
      </c>
      <c r="F1854" s="154" t="s">
        <v>1729</v>
      </c>
      <c r="G1854" s="36" t="s">
        <v>28</v>
      </c>
      <c r="H1854" s="36" t="s">
        <v>1655</v>
      </c>
      <c r="I1854" s="36" t="s">
        <v>1656</v>
      </c>
      <c r="J1854" s="36" t="s">
        <v>1656</v>
      </c>
      <c r="K1854" s="36" t="s">
        <v>1814</v>
      </c>
      <c r="L1854" s="36" t="s">
        <v>4214</v>
      </c>
      <c r="M1854" s="36" t="s">
        <v>4214</v>
      </c>
      <c r="N1854" s="36" t="s">
        <v>34</v>
      </c>
    </row>
    <row r="1855">
      <c r="A1855" s="36" t="s">
        <v>4911</v>
      </c>
      <c r="B1855" s="154" t="s">
        <v>4908</v>
      </c>
      <c r="C1855" s="36" t="s">
        <v>1666</v>
      </c>
      <c r="D1855" s="36" t="s">
        <v>1075</v>
      </c>
      <c r="E1855" s="36" t="s">
        <v>1075</v>
      </c>
      <c r="F1855" s="154" t="s">
        <v>1729</v>
      </c>
      <c r="G1855" s="36" t="s">
        <v>28</v>
      </c>
      <c r="H1855" s="36" t="s">
        <v>1655</v>
      </c>
      <c r="I1855" s="36" t="s">
        <v>1656</v>
      </c>
      <c r="J1855" s="36" t="s">
        <v>1656</v>
      </c>
      <c r="K1855" s="36" t="s">
        <v>1817</v>
      </c>
      <c r="L1855" s="36" t="s">
        <v>4214</v>
      </c>
      <c r="M1855" s="36" t="s">
        <v>4214</v>
      </c>
      <c r="N1855" s="36" t="s">
        <v>34</v>
      </c>
    </row>
    <row r="1856">
      <c r="A1856" s="36" t="s">
        <v>4912</v>
      </c>
      <c r="B1856" s="154" t="s">
        <v>4913</v>
      </c>
      <c r="C1856" s="36" t="s">
        <v>1666</v>
      </c>
      <c r="D1856" s="36" t="s">
        <v>81</v>
      </c>
      <c r="E1856" s="36" t="s">
        <v>81</v>
      </c>
      <c r="F1856" s="154" t="s">
        <v>4305</v>
      </c>
      <c r="G1856" s="36" t="s">
        <v>28</v>
      </c>
      <c r="H1856" s="36" t="s">
        <v>1655</v>
      </c>
      <c r="I1856" s="36" t="s">
        <v>1656</v>
      </c>
      <c r="J1856" s="36" t="s">
        <v>1656</v>
      </c>
      <c r="K1856" s="36" t="s">
        <v>1891</v>
      </c>
      <c r="L1856" s="36" t="s">
        <v>4214</v>
      </c>
      <c r="M1856" s="36" t="s">
        <v>4214</v>
      </c>
      <c r="N1856" s="36" t="s">
        <v>32</v>
      </c>
    </row>
    <row r="1857">
      <c r="A1857" s="36" t="s">
        <v>4914</v>
      </c>
      <c r="B1857" s="154" t="s">
        <v>4913</v>
      </c>
      <c r="C1857" s="36" t="s">
        <v>1666</v>
      </c>
      <c r="D1857" s="36" t="s">
        <v>83</v>
      </c>
      <c r="E1857" s="36" t="s">
        <v>83</v>
      </c>
      <c r="F1857" s="154" t="s">
        <v>4915</v>
      </c>
      <c r="G1857" s="36" t="s">
        <v>28</v>
      </c>
      <c r="H1857" s="36" t="s">
        <v>1655</v>
      </c>
      <c r="I1857" s="36" t="s">
        <v>1656</v>
      </c>
      <c r="J1857" s="36" t="s">
        <v>1656</v>
      </c>
      <c r="K1857" s="36" t="s">
        <v>1921</v>
      </c>
      <c r="L1857" s="36" t="s">
        <v>4214</v>
      </c>
      <c r="M1857" s="36" t="s">
        <v>4214</v>
      </c>
      <c r="N1857" s="36" t="s">
        <v>32</v>
      </c>
    </row>
    <row r="1858">
      <c r="A1858" s="36" t="s">
        <v>4916</v>
      </c>
      <c r="B1858" s="154" t="s">
        <v>4913</v>
      </c>
      <c r="C1858" s="36" t="s">
        <v>1666</v>
      </c>
      <c r="D1858" s="36" t="s">
        <v>84</v>
      </c>
      <c r="E1858" s="36" t="s">
        <v>84</v>
      </c>
      <c r="F1858" s="154" t="s">
        <v>4588</v>
      </c>
      <c r="G1858" s="36" t="s">
        <v>32</v>
      </c>
      <c r="H1858" s="36" t="s">
        <v>1655</v>
      </c>
      <c r="I1858" s="36" t="s">
        <v>1656</v>
      </c>
      <c r="J1858" s="36" t="s">
        <v>1656</v>
      </c>
      <c r="K1858" s="36" t="s">
        <v>3166</v>
      </c>
      <c r="L1858" s="36" t="s">
        <v>4214</v>
      </c>
      <c r="M1858" s="36" t="s">
        <v>4214</v>
      </c>
      <c r="N1858" s="36" t="s">
        <v>32</v>
      </c>
    </row>
    <row r="1859">
      <c r="A1859" s="36" t="s">
        <v>4917</v>
      </c>
      <c r="B1859" s="154" t="s">
        <v>4918</v>
      </c>
      <c r="C1859" s="36" t="s">
        <v>1653</v>
      </c>
      <c r="D1859" s="36" t="s">
        <v>43</v>
      </c>
      <c r="E1859" s="36" t="s">
        <v>39</v>
      </c>
      <c r="F1859" s="154" t="s">
        <v>4919</v>
      </c>
      <c r="G1859" s="36" t="s">
        <v>32</v>
      </c>
      <c r="H1859" s="36" t="s">
        <v>1655</v>
      </c>
      <c r="I1859" s="36" t="s">
        <v>1656</v>
      </c>
      <c r="J1859" s="36" t="s">
        <v>1656</v>
      </c>
      <c r="K1859" s="36" t="s">
        <v>1657</v>
      </c>
      <c r="L1859" s="36" t="s">
        <v>4212</v>
      </c>
      <c r="M1859" s="36" t="s">
        <v>4212</v>
      </c>
      <c r="N1859" s="36" t="s">
        <v>32</v>
      </c>
    </row>
    <row r="1860">
      <c r="A1860" s="36" t="s">
        <v>4920</v>
      </c>
      <c r="B1860" s="154" t="s">
        <v>4918</v>
      </c>
      <c r="C1860" s="36" t="s">
        <v>1653</v>
      </c>
      <c r="D1860" s="36" t="s">
        <v>163</v>
      </c>
      <c r="E1860" s="36" t="s">
        <v>39</v>
      </c>
      <c r="F1860" s="154" t="s">
        <v>4921</v>
      </c>
      <c r="G1860" s="36" t="s">
        <v>32</v>
      </c>
      <c r="H1860" s="36" t="s">
        <v>1655</v>
      </c>
      <c r="I1860" s="36" t="s">
        <v>1656</v>
      </c>
      <c r="J1860" s="36" t="s">
        <v>1656</v>
      </c>
      <c r="K1860" s="36" t="s">
        <v>1978</v>
      </c>
      <c r="L1860" s="36" t="s">
        <v>4212</v>
      </c>
      <c r="M1860" s="36" t="s">
        <v>4212</v>
      </c>
      <c r="N1860" s="36" t="s">
        <v>32</v>
      </c>
    </row>
    <row r="1861">
      <c r="A1861" s="36" t="s">
        <v>4922</v>
      </c>
      <c r="B1861" s="154" t="s">
        <v>4918</v>
      </c>
      <c r="C1861" s="36" t="s">
        <v>1666</v>
      </c>
      <c r="D1861" s="36" t="s">
        <v>85</v>
      </c>
      <c r="E1861" s="36" t="s">
        <v>85</v>
      </c>
      <c r="F1861" s="154" t="s">
        <v>4504</v>
      </c>
      <c r="G1861" s="36" t="s">
        <v>28</v>
      </c>
      <c r="H1861" s="36" t="s">
        <v>1655</v>
      </c>
      <c r="I1861" s="36" t="s">
        <v>1656</v>
      </c>
      <c r="J1861" s="36" t="s">
        <v>1656</v>
      </c>
      <c r="K1861" s="36" t="s">
        <v>3038</v>
      </c>
      <c r="L1861" s="36" t="s">
        <v>4214</v>
      </c>
      <c r="M1861" s="36" t="s">
        <v>4214</v>
      </c>
      <c r="N1861" s="36" t="s">
        <v>32</v>
      </c>
    </row>
    <row r="1862">
      <c r="A1862" s="36" t="s">
        <v>4923</v>
      </c>
      <c r="B1862" s="154" t="s">
        <v>4918</v>
      </c>
      <c r="C1862" s="36" t="s">
        <v>1666</v>
      </c>
      <c r="D1862" s="36" t="s">
        <v>439</v>
      </c>
      <c r="E1862" s="36" t="s">
        <v>439</v>
      </c>
      <c r="F1862" s="154" t="s">
        <v>4924</v>
      </c>
      <c r="G1862" s="36" t="s">
        <v>28</v>
      </c>
      <c r="H1862" s="36" t="s">
        <v>1655</v>
      </c>
      <c r="I1862" s="36" t="s">
        <v>1656</v>
      </c>
      <c r="J1862" s="36" t="s">
        <v>1656</v>
      </c>
      <c r="K1862" s="36" t="s">
        <v>2775</v>
      </c>
      <c r="L1862" s="36" t="s">
        <v>4214</v>
      </c>
      <c r="M1862" s="36" t="s">
        <v>4214</v>
      </c>
      <c r="N1862" s="36" t="s">
        <v>32</v>
      </c>
    </row>
    <row r="1863">
      <c r="A1863" s="36" t="s">
        <v>4925</v>
      </c>
      <c r="B1863" s="154" t="s">
        <v>4918</v>
      </c>
      <c r="C1863" s="36" t="s">
        <v>1666</v>
      </c>
      <c r="D1863" s="36" t="s">
        <v>192</v>
      </c>
      <c r="E1863" s="36" t="s">
        <v>192</v>
      </c>
      <c r="F1863" s="154" t="s">
        <v>4688</v>
      </c>
      <c r="G1863" s="36" t="s">
        <v>28</v>
      </c>
      <c r="H1863" s="36" t="s">
        <v>1655</v>
      </c>
      <c r="I1863" s="36" t="s">
        <v>1656</v>
      </c>
      <c r="J1863" s="36" t="s">
        <v>1656</v>
      </c>
      <c r="K1863" s="36" t="s">
        <v>2779</v>
      </c>
      <c r="L1863" s="36" t="s">
        <v>4214</v>
      </c>
      <c r="M1863" s="36" t="s">
        <v>4214</v>
      </c>
      <c r="N1863" s="36" t="s">
        <v>32</v>
      </c>
    </row>
    <row r="1864">
      <c r="A1864" s="36" t="s">
        <v>4926</v>
      </c>
      <c r="B1864" s="154" t="s">
        <v>4918</v>
      </c>
      <c r="C1864" s="36" t="s">
        <v>1666</v>
      </c>
      <c r="D1864" s="36" t="s">
        <v>923</v>
      </c>
      <c r="E1864" s="36" t="s">
        <v>923</v>
      </c>
      <c r="F1864" s="154" t="s">
        <v>4509</v>
      </c>
      <c r="G1864" s="36" t="s">
        <v>32</v>
      </c>
      <c r="H1864" s="36" t="s">
        <v>1655</v>
      </c>
      <c r="I1864" s="36" t="s">
        <v>1656</v>
      </c>
      <c r="J1864" s="36" t="s">
        <v>1656</v>
      </c>
      <c r="K1864" s="36" t="s">
        <v>1675</v>
      </c>
      <c r="L1864" s="36" t="s">
        <v>4214</v>
      </c>
      <c r="M1864" s="36" t="s">
        <v>4214</v>
      </c>
      <c r="N1864" s="36" t="s">
        <v>32</v>
      </c>
    </row>
    <row r="1865">
      <c r="A1865" s="36" t="s">
        <v>4927</v>
      </c>
      <c r="B1865" s="154" t="s">
        <v>4928</v>
      </c>
      <c r="C1865" s="36" t="s">
        <v>1666</v>
      </c>
      <c r="D1865" s="36" t="s">
        <v>935</v>
      </c>
      <c r="E1865" s="36" t="s">
        <v>935</v>
      </c>
      <c r="F1865" s="154" t="s">
        <v>2006</v>
      </c>
      <c r="G1865" s="36" t="s">
        <v>28</v>
      </c>
      <c r="H1865" s="36" t="s">
        <v>1655</v>
      </c>
      <c r="I1865" s="36" t="s">
        <v>1656</v>
      </c>
      <c r="J1865" s="36" t="s">
        <v>1656</v>
      </c>
      <c r="K1865" s="36" t="s">
        <v>1678</v>
      </c>
      <c r="L1865" s="36" t="s">
        <v>4214</v>
      </c>
      <c r="M1865" s="36" t="s">
        <v>4214</v>
      </c>
      <c r="N1865" s="36" t="s">
        <v>34</v>
      </c>
    </row>
    <row r="1866">
      <c r="A1866" s="36" t="s">
        <v>4929</v>
      </c>
      <c r="B1866" s="154" t="s">
        <v>4928</v>
      </c>
      <c r="C1866" s="36" t="s">
        <v>1666</v>
      </c>
      <c r="D1866" s="36" t="s">
        <v>533</v>
      </c>
      <c r="E1866" s="36" t="s">
        <v>533</v>
      </c>
      <c r="F1866" s="154" t="s">
        <v>1729</v>
      </c>
      <c r="G1866" s="36" t="s">
        <v>28</v>
      </c>
      <c r="H1866" s="36" t="s">
        <v>1655</v>
      </c>
      <c r="I1866" s="36" t="s">
        <v>1656</v>
      </c>
      <c r="J1866" s="36" t="s">
        <v>1656</v>
      </c>
      <c r="K1866" s="36" t="s">
        <v>1681</v>
      </c>
      <c r="L1866" s="36" t="s">
        <v>4214</v>
      </c>
      <c r="M1866" s="36" t="s">
        <v>4214</v>
      </c>
      <c r="N1866" s="36" t="s">
        <v>34</v>
      </c>
    </row>
    <row r="1867">
      <c r="A1867" s="36" t="s">
        <v>4930</v>
      </c>
      <c r="B1867" s="154" t="s">
        <v>4928</v>
      </c>
      <c r="C1867" s="36" t="s">
        <v>1666</v>
      </c>
      <c r="D1867" s="36" t="s">
        <v>948</v>
      </c>
      <c r="E1867" s="36" t="s">
        <v>948</v>
      </c>
      <c r="F1867" s="154" t="s">
        <v>4931</v>
      </c>
      <c r="G1867" s="36" t="s">
        <v>28</v>
      </c>
      <c r="H1867" s="36" t="s">
        <v>1655</v>
      </c>
      <c r="I1867" s="36" t="s">
        <v>1656</v>
      </c>
      <c r="J1867" s="36" t="s">
        <v>1656</v>
      </c>
      <c r="K1867" s="36" t="s">
        <v>1684</v>
      </c>
      <c r="L1867" s="36" t="s">
        <v>4214</v>
      </c>
      <c r="M1867" s="36" t="s">
        <v>4214</v>
      </c>
      <c r="N1867" s="36" t="s">
        <v>34</v>
      </c>
    </row>
    <row r="1868">
      <c r="A1868" s="36" t="s">
        <v>4932</v>
      </c>
      <c r="B1868" s="154" t="s">
        <v>4928</v>
      </c>
      <c r="C1868" s="36" t="s">
        <v>1666</v>
      </c>
      <c r="D1868" s="36" t="s">
        <v>495</v>
      </c>
      <c r="E1868" s="36" t="s">
        <v>495</v>
      </c>
      <c r="F1868" s="154" t="s">
        <v>1768</v>
      </c>
      <c r="G1868" s="36" t="s">
        <v>28</v>
      </c>
      <c r="H1868" s="36" t="s">
        <v>1655</v>
      </c>
      <c r="I1868" s="36" t="s">
        <v>1656</v>
      </c>
      <c r="J1868" s="36" t="s">
        <v>1656</v>
      </c>
      <c r="K1868" s="36" t="s">
        <v>1691</v>
      </c>
      <c r="L1868" s="36" t="s">
        <v>4214</v>
      </c>
      <c r="M1868" s="36" t="s">
        <v>4214</v>
      </c>
      <c r="N1868" s="36" t="s">
        <v>34</v>
      </c>
    </row>
    <row r="1869">
      <c r="A1869" s="36" t="s">
        <v>4933</v>
      </c>
      <c r="B1869" s="154" t="s">
        <v>4934</v>
      </c>
      <c r="C1869" s="36" t="s">
        <v>1666</v>
      </c>
      <c r="D1869" s="36" t="s">
        <v>78</v>
      </c>
      <c r="E1869" s="36" t="s">
        <v>78</v>
      </c>
      <c r="F1869" s="154" t="s">
        <v>2325</v>
      </c>
      <c r="G1869" s="36" t="s">
        <v>28</v>
      </c>
      <c r="H1869" s="36" t="s">
        <v>1655</v>
      </c>
      <c r="I1869" s="36" t="s">
        <v>1656</v>
      </c>
      <c r="J1869" s="36" t="s">
        <v>1656</v>
      </c>
      <c r="K1869" s="36" t="s">
        <v>1769</v>
      </c>
      <c r="L1869" s="36" t="s">
        <v>4214</v>
      </c>
      <c r="M1869" s="36" t="s">
        <v>4214</v>
      </c>
      <c r="N1869" s="36" t="s">
        <v>32</v>
      </c>
    </row>
    <row r="1870">
      <c r="A1870" s="36" t="s">
        <v>4935</v>
      </c>
      <c r="B1870" s="154" t="s">
        <v>4936</v>
      </c>
      <c r="C1870" s="36" t="s">
        <v>1666</v>
      </c>
      <c r="D1870" s="36" t="s">
        <v>63</v>
      </c>
      <c r="E1870" s="36" t="s">
        <v>63</v>
      </c>
      <c r="F1870" s="154" t="s">
        <v>4937</v>
      </c>
      <c r="G1870" s="36" t="s">
        <v>28</v>
      </c>
      <c r="H1870" s="36" t="s">
        <v>1655</v>
      </c>
      <c r="I1870" s="36" t="s">
        <v>1656</v>
      </c>
      <c r="J1870" s="36" t="s">
        <v>1656</v>
      </c>
      <c r="K1870" s="36" t="s">
        <v>4196</v>
      </c>
      <c r="L1870" s="36" t="s">
        <v>4214</v>
      </c>
      <c r="M1870" s="36" t="s">
        <v>4214</v>
      </c>
      <c r="N1870" s="36" t="s">
        <v>34</v>
      </c>
    </row>
    <row r="1871">
      <c r="A1871" s="36" t="s">
        <v>4938</v>
      </c>
      <c r="B1871" s="154" t="s">
        <v>4939</v>
      </c>
      <c r="C1871" s="36" t="s">
        <v>1666</v>
      </c>
      <c r="D1871" s="36" t="s">
        <v>64</v>
      </c>
      <c r="E1871" s="36" t="s">
        <v>64</v>
      </c>
      <c r="F1871" s="154" t="s">
        <v>4431</v>
      </c>
      <c r="G1871" s="36" t="s">
        <v>28</v>
      </c>
      <c r="H1871" s="36" t="s">
        <v>1655</v>
      </c>
      <c r="I1871" s="36" t="s">
        <v>1656</v>
      </c>
      <c r="J1871" s="36" t="s">
        <v>1656</v>
      </c>
      <c r="K1871" s="36" t="s">
        <v>1708</v>
      </c>
      <c r="L1871" s="36" t="s">
        <v>4214</v>
      </c>
      <c r="M1871" s="36" t="s">
        <v>4214</v>
      </c>
      <c r="N1871" s="36" t="s">
        <v>32</v>
      </c>
    </row>
    <row r="1872">
      <c r="A1872" s="36" t="s">
        <v>4940</v>
      </c>
      <c r="B1872" s="154" t="s">
        <v>4941</v>
      </c>
      <c r="C1872" s="36" t="s">
        <v>1653</v>
      </c>
      <c r="D1872" s="36" t="s">
        <v>701</v>
      </c>
      <c r="E1872" s="36" t="s">
        <v>39</v>
      </c>
      <c r="F1872" s="154" t="s">
        <v>4942</v>
      </c>
      <c r="G1872" s="36" t="s">
        <v>32</v>
      </c>
      <c r="H1872" s="36" t="s">
        <v>1655</v>
      </c>
      <c r="I1872" s="36" t="s">
        <v>1656</v>
      </c>
      <c r="J1872" s="36" t="s">
        <v>1656</v>
      </c>
      <c r="K1872" s="36" t="s">
        <v>1749</v>
      </c>
      <c r="L1872" s="36" t="s">
        <v>4212</v>
      </c>
      <c r="M1872" s="36" t="s">
        <v>4212</v>
      </c>
      <c r="N1872" s="36" t="s">
        <v>32</v>
      </c>
    </row>
    <row r="1873">
      <c r="A1873" s="36" t="s">
        <v>4943</v>
      </c>
      <c r="B1873" s="154" t="s">
        <v>4944</v>
      </c>
      <c r="C1873" s="36" t="s">
        <v>1666</v>
      </c>
      <c r="D1873" s="36" t="s">
        <v>66</v>
      </c>
      <c r="E1873" s="36" t="s">
        <v>66</v>
      </c>
      <c r="F1873" s="154" t="s">
        <v>4945</v>
      </c>
      <c r="G1873" s="36" t="s">
        <v>28</v>
      </c>
      <c r="H1873" s="36" t="s">
        <v>1655</v>
      </c>
      <c r="I1873" s="36" t="s">
        <v>1656</v>
      </c>
      <c r="J1873" s="36" t="s">
        <v>1656</v>
      </c>
      <c r="K1873" s="36" t="s">
        <v>1721</v>
      </c>
      <c r="L1873" s="36" t="s">
        <v>4214</v>
      </c>
      <c r="M1873" s="36" t="s">
        <v>4214</v>
      </c>
      <c r="N1873" s="36" t="s">
        <v>32</v>
      </c>
    </row>
    <row r="1874">
      <c r="A1874" s="36" t="s">
        <v>4946</v>
      </c>
      <c r="B1874" s="154" t="s">
        <v>4947</v>
      </c>
      <c r="C1874" s="36" t="s">
        <v>1666</v>
      </c>
      <c r="D1874" s="36" t="s">
        <v>109</v>
      </c>
      <c r="E1874" s="36" t="s">
        <v>109</v>
      </c>
      <c r="F1874" s="154" t="s">
        <v>4948</v>
      </c>
      <c r="G1874" s="36" t="s">
        <v>28</v>
      </c>
      <c r="H1874" s="36" t="s">
        <v>1655</v>
      </c>
      <c r="I1874" s="36" t="s">
        <v>1656</v>
      </c>
      <c r="J1874" s="36" t="s">
        <v>1656</v>
      </c>
      <c r="K1874" s="36" t="s">
        <v>1695</v>
      </c>
      <c r="L1874" s="36" t="s">
        <v>4214</v>
      </c>
      <c r="M1874" s="36" t="s">
        <v>4214</v>
      </c>
      <c r="N1874" s="36" t="s">
        <v>34</v>
      </c>
    </row>
    <row r="1875">
      <c r="A1875" s="36" t="s">
        <v>4949</v>
      </c>
      <c r="B1875" s="154" t="s">
        <v>4947</v>
      </c>
      <c r="C1875" s="36" t="s">
        <v>1666</v>
      </c>
      <c r="D1875" s="36" t="s">
        <v>893</v>
      </c>
      <c r="E1875" s="36" t="s">
        <v>893</v>
      </c>
      <c r="F1875" s="154" t="s">
        <v>2693</v>
      </c>
      <c r="G1875" s="36" t="s">
        <v>28</v>
      </c>
      <c r="H1875" s="36" t="s">
        <v>1655</v>
      </c>
      <c r="I1875" s="36" t="s">
        <v>1656</v>
      </c>
      <c r="J1875" s="36" t="s">
        <v>1656</v>
      </c>
      <c r="K1875" s="36" t="s">
        <v>1698</v>
      </c>
      <c r="L1875" s="36" t="s">
        <v>4214</v>
      </c>
      <c r="M1875" s="36" t="s">
        <v>4214</v>
      </c>
      <c r="N1875" s="36" t="s">
        <v>34</v>
      </c>
    </row>
    <row r="1876">
      <c r="A1876" s="36" t="s">
        <v>4950</v>
      </c>
      <c r="B1876" s="154" t="s">
        <v>4947</v>
      </c>
      <c r="C1876" s="36" t="s">
        <v>1666</v>
      </c>
      <c r="D1876" s="36" t="s">
        <v>970</v>
      </c>
      <c r="E1876" s="36" t="s">
        <v>970</v>
      </c>
      <c r="F1876" s="154" t="s">
        <v>1868</v>
      </c>
      <c r="G1876" s="36" t="s">
        <v>28</v>
      </c>
      <c r="H1876" s="36" t="s">
        <v>1655</v>
      </c>
      <c r="I1876" s="36" t="s">
        <v>1656</v>
      </c>
      <c r="J1876" s="36" t="s">
        <v>1656</v>
      </c>
      <c r="K1876" s="36" t="s">
        <v>1701</v>
      </c>
      <c r="L1876" s="36" t="s">
        <v>4214</v>
      </c>
      <c r="M1876" s="36" t="s">
        <v>4214</v>
      </c>
      <c r="N1876" s="36" t="s">
        <v>34</v>
      </c>
    </row>
    <row r="1877">
      <c r="A1877" s="36" t="s">
        <v>4951</v>
      </c>
      <c r="B1877" s="154" t="s">
        <v>4952</v>
      </c>
      <c r="C1877" s="36" t="s">
        <v>1653</v>
      </c>
      <c r="D1877" s="36" t="s">
        <v>55</v>
      </c>
      <c r="E1877" s="36" t="s">
        <v>39</v>
      </c>
      <c r="F1877" s="154" t="s">
        <v>4854</v>
      </c>
      <c r="G1877" s="36" t="s">
        <v>32</v>
      </c>
      <c r="H1877" s="36" t="s">
        <v>1655</v>
      </c>
      <c r="I1877" s="36" t="s">
        <v>1656</v>
      </c>
      <c r="J1877" s="36" t="s">
        <v>1656</v>
      </c>
      <c r="K1877" s="36" t="s">
        <v>1989</v>
      </c>
      <c r="L1877" s="36" t="s">
        <v>4212</v>
      </c>
      <c r="M1877" s="36" t="s">
        <v>4212</v>
      </c>
      <c r="N1877" s="36" t="s">
        <v>32</v>
      </c>
    </row>
    <row r="1878">
      <c r="A1878" s="36" t="s">
        <v>4953</v>
      </c>
      <c r="B1878" s="154" t="s">
        <v>4952</v>
      </c>
      <c r="C1878" s="36" t="s">
        <v>1666</v>
      </c>
      <c r="D1878" s="36" t="s">
        <v>71</v>
      </c>
      <c r="E1878" s="36" t="s">
        <v>71</v>
      </c>
      <c r="F1878" s="154" t="s">
        <v>4448</v>
      </c>
      <c r="G1878" s="36" t="s">
        <v>32</v>
      </c>
      <c r="H1878" s="36" t="s">
        <v>1655</v>
      </c>
      <c r="I1878" s="36" t="s">
        <v>1656</v>
      </c>
      <c r="J1878" s="36" t="s">
        <v>1656</v>
      </c>
      <c r="K1878" s="36" t="s">
        <v>1752</v>
      </c>
      <c r="L1878" s="36" t="s">
        <v>4214</v>
      </c>
      <c r="M1878" s="36" t="s">
        <v>4214</v>
      </c>
      <c r="N1878" s="36" t="s">
        <v>32</v>
      </c>
    </row>
    <row r="1879">
      <c r="A1879" s="36" t="s">
        <v>4954</v>
      </c>
      <c r="B1879" s="154" t="s">
        <v>4952</v>
      </c>
      <c r="C1879" s="36" t="s">
        <v>1666</v>
      </c>
      <c r="D1879" s="36" t="s">
        <v>73</v>
      </c>
      <c r="E1879" s="36" t="s">
        <v>73</v>
      </c>
      <c r="F1879" s="154" t="s">
        <v>4544</v>
      </c>
      <c r="G1879" s="36" t="s">
        <v>28</v>
      </c>
      <c r="H1879" s="36" t="s">
        <v>1655</v>
      </c>
      <c r="I1879" s="36" t="s">
        <v>1656</v>
      </c>
      <c r="J1879" s="36" t="s">
        <v>1656</v>
      </c>
      <c r="K1879" s="36" t="s">
        <v>1755</v>
      </c>
      <c r="L1879" s="36" t="s">
        <v>4214</v>
      </c>
      <c r="M1879" s="36" t="s">
        <v>4214</v>
      </c>
      <c r="N1879" s="36" t="s">
        <v>32</v>
      </c>
    </row>
    <row r="1880">
      <c r="A1880" s="36" t="s">
        <v>4955</v>
      </c>
      <c r="B1880" s="154" t="s">
        <v>4952</v>
      </c>
      <c r="C1880" s="36" t="s">
        <v>1666</v>
      </c>
      <c r="D1880" s="36" t="s">
        <v>74</v>
      </c>
      <c r="E1880" s="36" t="s">
        <v>74</v>
      </c>
      <c r="F1880" s="154" t="s">
        <v>4448</v>
      </c>
      <c r="G1880" s="36" t="s">
        <v>32</v>
      </c>
      <c r="H1880" s="36" t="s">
        <v>1655</v>
      </c>
      <c r="I1880" s="36" t="s">
        <v>1656</v>
      </c>
      <c r="J1880" s="36" t="s">
        <v>1656</v>
      </c>
      <c r="K1880" s="36" t="s">
        <v>1757</v>
      </c>
      <c r="L1880" s="36" t="s">
        <v>4214</v>
      </c>
      <c r="M1880" s="36" t="s">
        <v>4214</v>
      </c>
      <c r="N1880" s="36" t="s">
        <v>32</v>
      </c>
    </row>
    <row r="1881">
      <c r="A1881" s="36" t="s">
        <v>4956</v>
      </c>
      <c r="B1881" s="154" t="s">
        <v>4952</v>
      </c>
      <c r="C1881" s="36" t="s">
        <v>1666</v>
      </c>
      <c r="D1881" s="36" t="s">
        <v>75</v>
      </c>
      <c r="E1881" s="36" t="s">
        <v>75</v>
      </c>
      <c r="F1881" s="154" t="s">
        <v>4450</v>
      </c>
      <c r="G1881" s="36" t="s">
        <v>28</v>
      </c>
      <c r="H1881" s="36" t="s">
        <v>1655</v>
      </c>
      <c r="I1881" s="36" t="s">
        <v>1656</v>
      </c>
      <c r="J1881" s="36" t="s">
        <v>1656</v>
      </c>
      <c r="K1881" s="36" t="s">
        <v>1760</v>
      </c>
      <c r="L1881" s="36" t="s">
        <v>4214</v>
      </c>
      <c r="M1881" s="36" t="s">
        <v>4214</v>
      </c>
      <c r="N1881" s="36" t="s">
        <v>32</v>
      </c>
    </row>
    <row r="1882">
      <c r="A1882" s="36" t="s">
        <v>4957</v>
      </c>
      <c r="B1882" s="154" t="s">
        <v>4952</v>
      </c>
      <c r="C1882" s="36" t="s">
        <v>1666</v>
      </c>
      <c r="D1882" s="36" t="s">
        <v>76</v>
      </c>
      <c r="E1882" s="36" t="s">
        <v>76</v>
      </c>
      <c r="F1882" s="154" t="s">
        <v>4958</v>
      </c>
      <c r="G1882" s="36" t="s">
        <v>28</v>
      </c>
      <c r="H1882" s="36" t="s">
        <v>1655</v>
      </c>
      <c r="I1882" s="36" t="s">
        <v>1656</v>
      </c>
      <c r="J1882" s="36" t="s">
        <v>1656</v>
      </c>
      <c r="K1882" s="36" t="s">
        <v>1763</v>
      </c>
      <c r="L1882" s="36" t="s">
        <v>4214</v>
      </c>
      <c r="M1882" s="36" t="s">
        <v>4214</v>
      </c>
      <c r="N1882" s="36" t="s">
        <v>32</v>
      </c>
    </row>
    <row r="1883">
      <c r="A1883" s="36" t="s">
        <v>4959</v>
      </c>
      <c r="B1883" s="154" t="s">
        <v>4952</v>
      </c>
      <c r="C1883" s="36" t="s">
        <v>1666</v>
      </c>
      <c r="D1883" s="36" t="s">
        <v>77</v>
      </c>
      <c r="E1883" s="36" t="s">
        <v>77</v>
      </c>
      <c r="F1883" s="154" t="s">
        <v>1768</v>
      </c>
      <c r="G1883" s="36" t="s">
        <v>34</v>
      </c>
      <c r="H1883" s="36" t="s">
        <v>1655</v>
      </c>
      <c r="I1883" s="36" t="s">
        <v>1656</v>
      </c>
      <c r="J1883" s="36" t="s">
        <v>1656</v>
      </c>
      <c r="K1883" s="36" t="s">
        <v>4248</v>
      </c>
      <c r="L1883" s="36" t="s">
        <v>4214</v>
      </c>
      <c r="M1883" s="36" t="s">
        <v>4214</v>
      </c>
      <c r="N1883" s="36" t="s">
        <v>32</v>
      </c>
    </row>
    <row r="1884">
      <c r="A1884" s="36" t="s">
        <v>4960</v>
      </c>
      <c r="B1884" s="154" t="s">
        <v>4952</v>
      </c>
      <c r="C1884" s="36" t="s">
        <v>1666</v>
      </c>
      <c r="D1884" s="36" t="s">
        <v>110</v>
      </c>
      <c r="E1884" s="36" t="s">
        <v>110</v>
      </c>
      <c r="F1884" s="154" t="s">
        <v>1806</v>
      </c>
      <c r="G1884" s="36" t="s">
        <v>28</v>
      </c>
      <c r="H1884" s="36" t="s">
        <v>1655</v>
      </c>
      <c r="I1884" s="36" t="s">
        <v>1656</v>
      </c>
      <c r="J1884" s="36" t="s">
        <v>1656</v>
      </c>
      <c r="K1884" s="36" t="s">
        <v>1704</v>
      </c>
      <c r="L1884" s="36" t="s">
        <v>4214</v>
      </c>
      <c r="M1884" s="36" t="s">
        <v>4214</v>
      </c>
      <c r="N1884" s="36" t="s">
        <v>34</v>
      </c>
    </row>
    <row r="1885">
      <c r="A1885" s="36" t="s">
        <v>4961</v>
      </c>
      <c r="B1885" s="154" t="s">
        <v>4952</v>
      </c>
      <c r="C1885" s="36" t="s">
        <v>1666</v>
      </c>
      <c r="D1885" s="36" t="s">
        <v>618</v>
      </c>
      <c r="E1885" s="36" t="s">
        <v>618</v>
      </c>
      <c r="F1885" s="154" t="s">
        <v>1686</v>
      </c>
      <c r="G1885" s="36" t="s">
        <v>28</v>
      </c>
      <c r="H1885" s="36" t="s">
        <v>1655</v>
      </c>
      <c r="I1885" s="36" t="s">
        <v>1656</v>
      </c>
      <c r="J1885" s="36" t="s">
        <v>1656</v>
      </c>
      <c r="K1885" s="36" t="s">
        <v>1711</v>
      </c>
      <c r="L1885" s="36" t="s">
        <v>4214</v>
      </c>
      <c r="M1885" s="36" t="s">
        <v>4214</v>
      </c>
      <c r="N1885" s="36" t="s">
        <v>34</v>
      </c>
    </row>
    <row r="1886">
      <c r="A1886" s="36" t="s">
        <v>4962</v>
      </c>
      <c r="B1886" s="154" t="s">
        <v>4952</v>
      </c>
      <c r="C1886" s="36" t="s">
        <v>1666</v>
      </c>
      <c r="D1886" s="36" t="s">
        <v>984</v>
      </c>
      <c r="E1886" s="36" t="s">
        <v>984</v>
      </c>
      <c r="F1886" s="154" t="s">
        <v>1832</v>
      </c>
      <c r="G1886" s="36" t="s">
        <v>28</v>
      </c>
      <c r="H1886" s="36" t="s">
        <v>1655</v>
      </c>
      <c r="I1886" s="36" t="s">
        <v>1656</v>
      </c>
      <c r="J1886" s="36" t="s">
        <v>1656</v>
      </c>
      <c r="K1886" s="36" t="s">
        <v>1715</v>
      </c>
      <c r="L1886" s="36" t="s">
        <v>4214</v>
      </c>
      <c r="M1886" s="36" t="s">
        <v>4214</v>
      </c>
      <c r="N1886" s="36" t="s">
        <v>34</v>
      </c>
    </row>
    <row r="1887">
      <c r="A1887" s="36" t="s">
        <v>4963</v>
      </c>
      <c r="B1887" s="154" t="s">
        <v>4952</v>
      </c>
      <c r="C1887" s="36" t="s">
        <v>1666</v>
      </c>
      <c r="D1887" s="36" t="s">
        <v>226</v>
      </c>
      <c r="E1887" s="36" t="s">
        <v>226</v>
      </c>
      <c r="F1887" s="154" t="s">
        <v>4964</v>
      </c>
      <c r="G1887" s="36" t="s">
        <v>32</v>
      </c>
      <c r="H1887" s="36" t="s">
        <v>1655</v>
      </c>
      <c r="I1887" s="36" t="s">
        <v>1656</v>
      </c>
      <c r="J1887" s="36" t="s">
        <v>1656</v>
      </c>
      <c r="K1887" s="36" t="s">
        <v>1717</v>
      </c>
      <c r="L1887" s="36" t="s">
        <v>4214</v>
      </c>
      <c r="M1887" s="36" t="s">
        <v>4214</v>
      </c>
      <c r="N1887" s="36" t="s">
        <v>32</v>
      </c>
    </row>
    <row r="1888">
      <c r="A1888" s="36" t="s">
        <v>4965</v>
      </c>
      <c r="B1888" s="154" t="s">
        <v>4952</v>
      </c>
      <c r="C1888" s="36" t="s">
        <v>1666</v>
      </c>
      <c r="D1888" s="36" t="s">
        <v>220</v>
      </c>
      <c r="E1888" s="36" t="s">
        <v>220</v>
      </c>
      <c r="F1888" s="154" t="s">
        <v>4966</v>
      </c>
      <c r="G1888" s="36" t="s">
        <v>28</v>
      </c>
      <c r="H1888" s="36" t="s">
        <v>1655</v>
      </c>
      <c r="I1888" s="36" t="s">
        <v>1656</v>
      </c>
      <c r="J1888" s="36" t="s">
        <v>1656</v>
      </c>
      <c r="K1888" s="36" t="s">
        <v>1724</v>
      </c>
      <c r="L1888" s="36" t="s">
        <v>4214</v>
      </c>
      <c r="M1888" s="36" t="s">
        <v>4214</v>
      </c>
      <c r="N1888" s="36" t="s">
        <v>32</v>
      </c>
    </row>
    <row r="1889">
      <c r="A1889" s="36" t="s">
        <v>4967</v>
      </c>
      <c r="B1889" s="154" t="s">
        <v>4952</v>
      </c>
      <c r="C1889" s="36" t="s">
        <v>1666</v>
      </c>
      <c r="D1889" s="36" t="s">
        <v>989</v>
      </c>
      <c r="E1889" s="36" t="s">
        <v>989</v>
      </c>
      <c r="F1889" s="154" t="s">
        <v>1810</v>
      </c>
      <c r="G1889" s="36" t="s">
        <v>32</v>
      </c>
      <c r="H1889" s="36" t="s">
        <v>1655</v>
      </c>
      <c r="I1889" s="36" t="s">
        <v>1656</v>
      </c>
      <c r="J1889" s="36" t="s">
        <v>1656</v>
      </c>
      <c r="K1889" s="36" t="s">
        <v>1727</v>
      </c>
      <c r="L1889" s="36" t="s">
        <v>4214</v>
      </c>
      <c r="M1889" s="36" t="s">
        <v>4214</v>
      </c>
      <c r="N1889" s="36" t="s">
        <v>32</v>
      </c>
    </row>
    <row r="1890">
      <c r="A1890" s="36" t="s">
        <v>4968</v>
      </c>
      <c r="B1890" s="154" t="s">
        <v>4952</v>
      </c>
      <c r="C1890" s="36" t="s">
        <v>1666</v>
      </c>
      <c r="D1890" s="36" t="s">
        <v>983</v>
      </c>
      <c r="E1890" s="36" t="s">
        <v>983</v>
      </c>
      <c r="F1890" s="154" t="s">
        <v>4465</v>
      </c>
      <c r="G1890" s="36" t="s">
        <v>32</v>
      </c>
      <c r="H1890" s="36" t="s">
        <v>1655</v>
      </c>
      <c r="I1890" s="36" t="s">
        <v>1656</v>
      </c>
      <c r="J1890" s="36" t="s">
        <v>1656</v>
      </c>
      <c r="K1890" s="36" t="s">
        <v>1730</v>
      </c>
      <c r="L1890" s="36" t="s">
        <v>4214</v>
      </c>
      <c r="M1890" s="36" t="s">
        <v>4214</v>
      </c>
      <c r="N1890" s="36" t="s">
        <v>32</v>
      </c>
    </row>
    <row r="1891">
      <c r="A1891" s="36" t="s">
        <v>4969</v>
      </c>
      <c r="B1891" s="154" t="s">
        <v>4970</v>
      </c>
      <c r="C1891" s="36" t="s">
        <v>1666</v>
      </c>
      <c r="D1891" s="36" t="s">
        <v>191</v>
      </c>
      <c r="E1891" s="36" t="s">
        <v>191</v>
      </c>
      <c r="F1891" s="154" t="s">
        <v>1816</v>
      </c>
      <c r="G1891" s="36" t="s">
        <v>28</v>
      </c>
      <c r="H1891" s="36" t="s">
        <v>1655</v>
      </c>
      <c r="I1891" s="36" t="s">
        <v>1656</v>
      </c>
      <c r="J1891" s="36" t="s">
        <v>1656</v>
      </c>
      <c r="K1891" s="36" t="s">
        <v>1732</v>
      </c>
      <c r="L1891" s="36" t="s">
        <v>4214</v>
      </c>
      <c r="M1891" s="36" t="s">
        <v>4214</v>
      </c>
      <c r="N1891" s="36" t="s">
        <v>32</v>
      </c>
    </row>
    <row r="1892">
      <c r="A1892" s="36" t="s">
        <v>4971</v>
      </c>
      <c r="B1892" s="154" t="s">
        <v>4972</v>
      </c>
      <c r="C1892" s="36" t="s">
        <v>1666</v>
      </c>
      <c r="D1892" s="36" t="s">
        <v>1003</v>
      </c>
      <c r="E1892" s="36" t="s">
        <v>1003</v>
      </c>
      <c r="F1892" s="154" t="s">
        <v>1694</v>
      </c>
      <c r="G1892" s="36" t="s">
        <v>28</v>
      </c>
      <c r="H1892" s="36" t="s">
        <v>1655</v>
      </c>
      <c r="I1892" s="36" t="s">
        <v>1656</v>
      </c>
      <c r="J1892" s="36" t="s">
        <v>1656</v>
      </c>
      <c r="K1892" s="36" t="s">
        <v>1736</v>
      </c>
      <c r="L1892" s="36" t="s">
        <v>4214</v>
      </c>
      <c r="M1892" s="36" t="s">
        <v>4214</v>
      </c>
      <c r="N1892" s="36" t="s">
        <v>34</v>
      </c>
    </row>
    <row r="1893">
      <c r="A1893" s="36" t="s">
        <v>4973</v>
      </c>
      <c r="B1893" s="154" t="s">
        <v>4974</v>
      </c>
      <c r="C1893" s="36" t="s">
        <v>1666</v>
      </c>
      <c r="D1893" s="36" t="s">
        <v>368</v>
      </c>
      <c r="E1893" s="36" t="s">
        <v>368</v>
      </c>
      <c r="F1893" s="154" t="s">
        <v>1926</v>
      </c>
      <c r="G1893" s="36" t="s">
        <v>28</v>
      </c>
      <c r="H1893" s="36" t="s">
        <v>1655</v>
      </c>
      <c r="I1893" s="36" t="s">
        <v>1656</v>
      </c>
      <c r="J1893" s="36" t="s">
        <v>1656</v>
      </c>
      <c r="K1893" s="36" t="s">
        <v>1739</v>
      </c>
      <c r="L1893" s="36" t="s">
        <v>4214</v>
      </c>
      <c r="M1893" s="36" t="s">
        <v>4214</v>
      </c>
      <c r="N1893" s="36" t="s">
        <v>34</v>
      </c>
    </row>
    <row r="1894">
      <c r="A1894" s="36" t="s">
        <v>4975</v>
      </c>
      <c r="B1894" s="154" t="s">
        <v>4974</v>
      </c>
      <c r="C1894" s="36" t="s">
        <v>1666</v>
      </c>
      <c r="D1894" s="36" t="s">
        <v>1010</v>
      </c>
      <c r="E1894" s="36" t="s">
        <v>1010</v>
      </c>
      <c r="F1894" s="154" t="s">
        <v>1816</v>
      </c>
      <c r="G1894" s="36" t="s">
        <v>28</v>
      </c>
      <c r="H1894" s="36" t="s">
        <v>1655</v>
      </c>
      <c r="I1894" s="36" t="s">
        <v>1656</v>
      </c>
      <c r="J1894" s="36" t="s">
        <v>1656</v>
      </c>
      <c r="K1894" s="36" t="s">
        <v>1742</v>
      </c>
      <c r="L1894" s="36" t="s">
        <v>4214</v>
      </c>
      <c r="M1894" s="36" t="s">
        <v>4214</v>
      </c>
      <c r="N1894" s="36" t="s">
        <v>34</v>
      </c>
    </row>
    <row r="1895">
      <c r="A1895" s="36" t="s">
        <v>4976</v>
      </c>
      <c r="B1895" s="154" t="s">
        <v>4974</v>
      </c>
      <c r="C1895" s="36" t="s">
        <v>1666</v>
      </c>
      <c r="D1895" s="36" t="s">
        <v>110</v>
      </c>
      <c r="E1895" s="36" t="s">
        <v>110</v>
      </c>
      <c r="F1895" s="154" t="s">
        <v>1806</v>
      </c>
      <c r="G1895" s="36" t="s">
        <v>28</v>
      </c>
      <c r="H1895" s="36" t="s">
        <v>1655</v>
      </c>
      <c r="I1895" s="36" t="s">
        <v>1656</v>
      </c>
      <c r="J1895" s="36" t="s">
        <v>1656</v>
      </c>
      <c r="K1895" s="36" t="s">
        <v>1745</v>
      </c>
      <c r="L1895" s="36" t="s">
        <v>4214</v>
      </c>
      <c r="M1895" s="36" t="s">
        <v>4214</v>
      </c>
      <c r="N1895" s="36" t="s">
        <v>34</v>
      </c>
    </row>
    <row r="1896">
      <c r="A1896" s="36" t="s">
        <v>4977</v>
      </c>
      <c r="B1896" s="154" t="s">
        <v>4978</v>
      </c>
      <c r="C1896" s="36" t="s">
        <v>1666</v>
      </c>
      <c r="D1896" s="36" t="s">
        <v>298</v>
      </c>
      <c r="E1896" s="36" t="s">
        <v>298</v>
      </c>
      <c r="F1896" s="154" t="s">
        <v>2006</v>
      </c>
      <c r="G1896" s="36" t="s">
        <v>28</v>
      </c>
      <c r="H1896" s="36" t="s">
        <v>1655</v>
      </c>
      <c r="I1896" s="36" t="s">
        <v>1656</v>
      </c>
      <c r="J1896" s="36" t="s">
        <v>1656</v>
      </c>
      <c r="K1896" s="36" t="s">
        <v>1773</v>
      </c>
      <c r="L1896" s="36" t="s">
        <v>4214</v>
      </c>
      <c r="M1896" s="36" t="s">
        <v>4214</v>
      </c>
      <c r="N1896" s="36" t="s">
        <v>34</v>
      </c>
    </row>
    <row r="1897">
      <c r="A1897" s="36" t="s">
        <v>4979</v>
      </c>
      <c r="B1897" s="154" t="s">
        <v>4980</v>
      </c>
      <c r="C1897" s="36" t="s">
        <v>1666</v>
      </c>
      <c r="D1897" s="36" t="s">
        <v>712</v>
      </c>
      <c r="E1897" s="36" t="s">
        <v>712</v>
      </c>
      <c r="F1897" s="154" t="s">
        <v>4885</v>
      </c>
      <c r="G1897" s="36" t="s">
        <v>28</v>
      </c>
      <c r="H1897" s="36" t="s">
        <v>1655</v>
      </c>
      <c r="I1897" s="36" t="s">
        <v>1656</v>
      </c>
      <c r="J1897" s="36" t="s">
        <v>1656</v>
      </c>
      <c r="K1897" s="36" t="s">
        <v>1766</v>
      </c>
      <c r="L1897" s="36" t="s">
        <v>4214</v>
      </c>
      <c r="M1897" s="36" t="s">
        <v>4214</v>
      </c>
      <c r="N1897" s="36" t="s">
        <v>32</v>
      </c>
    </row>
    <row r="1898">
      <c r="A1898" s="36" t="s">
        <v>4981</v>
      </c>
      <c r="B1898" s="154" t="s">
        <v>4982</v>
      </c>
      <c r="C1898" s="36" t="s">
        <v>1666</v>
      </c>
      <c r="D1898" s="36" t="s">
        <v>100</v>
      </c>
      <c r="E1898" s="36" t="s">
        <v>100</v>
      </c>
      <c r="F1898" s="154" t="s">
        <v>1810</v>
      </c>
      <c r="G1898" s="36" t="s">
        <v>32</v>
      </c>
      <c r="H1898" s="36" t="s">
        <v>1655</v>
      </c>
      <c r="I1898" s="36" t="s">
        <v>1656</v>
      </c>
      <c r="J1898" s="36" t="s">
        <v>1656</v>
      </c>
      <c r="K1898" s="36" t="s">
        <v>1776</v>
      </c>
      <c r="L1898" s="36" t="s">
        <v>4214</v>
      </c>
      <c r="M1898" s="36" t="s">
        <v>4214</v>
      </c>
      <c r="N1898" s="36" t="s">
        <v>32</v>
      </c>
    </row>
    <row r="1899">
      <c r="A1899" s="36" t="s">
        <v>4983</v>
      </c>
      <c r="B1899" s="154" t="s">
        <v>4984</v>
      </c>
      <c r="C1899" s="36" t="s">
        <v>1666</v>
      </c>
      <c r="D1899" s="36" t="s">
        <v>109</v>
      </c>
      <c r="E1899" s="36" t="s">
        <v>109</v>
      </c>
      <c r="F1899" s="154" t="s">
        <v>2049</v>
      </c>
      <c r="G1899" s="36" t="s">
        <v>28</v>
      </c>
      <c r="H1899" s="36" t="s">
        <v>1655</v>
      </c>
      <c r="I1899" s="36" t="s">
        <v>1656</v>
      </c>
      <c r="J1899" s="36" t="s">
        <v>1656</v>
      </c>
      <c r="K1899" s="36" t="s">
        <v>1779</v>
      </c>
      <c r="L1899" s="36" t="s">
        <v>4214</v>
      </c>
      <c r="M1899" s="36" t="s">
        <v>4214</v>
      </c>
      <c r="N1899" s="36" t="s">
        <v>34</v>
      </c>
    </row>
    <row r="1900">
      <c r="A1900" s="36" t="s">
        <v>4985</v>
      </c>
      <c r="B1900" s="154" t="s">
        <v>4984</v>
      </c>
      <c r="C1900" s="36" t="s">
        <v>1666</v>
      </c>
      <c r="D1900" s="36" t="s">
        <v>1026</v>
      </c>
      <c r="E1900" s="36" t="s">
        <v>1026</v>
      </c>
      <c r="F1900" s="154" t="s">
        <v>1694</v>
      </c>
      <c r="G1900" s="36" t="s">
        <v>28</v>
      </c>
      <c r="H1900" s="36" t="s">
        <v>1655</v>
      </c>
      <c r="I1900" s="36" t="s">
        <v>1656</v>
      </c>
      <c r="J1900" s="36" t="s">
        <v>1656</v>
      </c>
      <c r="K1900" s="36" t="s">
        <v>1782</v>
      </c>
      <c r="L1900" s="36" t="s">
        <v>4214</v>
      </c>
      <c r="M1900" s="36" t="s">
        <v>4214</v>
      </c>
      <c r="N1900" s="36" t="s">
        <v>34</v>
      </c>
    </row>
    <row r="1901">
      <c r="A1901" s="36" t="s">
        <v>4986</v>
      </c>
      <c r="B1901" s="154" t="s">
        <v>4984</v>
      </c>
      <c r="C1901" s="36" t="s">
        <v>1666</v>
      </c>
      <c r="D1901" s="36" t="s">
        <v>1034</v>
      </c>
      <c r="E1901" s="36" t="s">
        <v>1034</v>
      </c>
      <c r="F1901" s="154" t="s">
        <v>1871</v>
      </c>
      <c r="G1901" s="36" t="s">
        <v>28</v>
      </c>
      <c r="H1901" s="36" t="s">
        <v>1655</v>
      </c>
      <c r="I1901" s="36" t="s">
        <v>1656</v>
      </c>
      <c r="J1901" s="36" t="s">
        <v>1656</v>
      </c>
      <c r="K1901" s="36" t="s">
        <v>1784</v>
      </c>
      <c r="L1901" s="36" t="s">
        <v>4214</v>
      </c>
      <c r="M1901" s="36" t="s">
        <v>4214</v>
      </c>
      <c r="N1901" s="36" t="s">
        <v>34</v>
      </c>
    </row>
    <row r="1902">
      <c r="A1902" s="36" t="s">
        <v>4987</v>
      </c>
      <c r="B1902" s="154" t="s">
        <v>4984</v>
      </c>
      <c r="C1902" s="36" t="s">
        <v>1666</v>
      </c>
      <c r="D1902" s="36" t="s">
        <v>582</v>
      </c>
      <c r="E1902" s="36" t="s">
        <v>582</v>
      </c>
      <c r="F1902" s="154" t="s">
        <v>2025</v>
      </c>
      <c r="G1902" s="36" t="s">
        <v>28</v>
      </c>
      <c r="H1902" s="36" t="s">
        <v>1655</v>
      </c>
      <c r="I1902" s="36" t="s">
        <v>1656</v>
      </c>
      <c r="J1902" s="36" t="s">
        <v>1656</v>
      </c>
      <c r="K1902" s="36" t="s">
        <v>1787</v>
      </c>
      <c r="L1902" s="36" t="s">
        <v>4214</v>
      </c>
      <c r="M1902" s="36" t="s">
        <v>4214</v>
      </c>
      <c r="N1902" s="36" t="s">
        <v>34</v>
      </c>
    </row>
    <row r="1903">
      <c r="A1903" s="36" t="s">
        <v>4988</v>
      </c>
      <c r="B1903" s="154" t="s">
        <v>4984</v>
      </c>
      <c r="C1903" s="36" t="s">
        <v>1666</v>
      </c>
      <c r="D1903" s="36" t="s">
        <v>305</v>
      </c>
      <c r="E1903" s="36" t="s">
        <v>305</v>
      </c>
      <c r="F1903" s="154" t="s">
        <v>1729</v>
      </c>
      <c r="G1903" s="36" t="s">
        <v>32</v>
      </c>
      <c r="H1903" s="36" t="s">
        <v>1655</v>
      </c>
      <c r="I1903" s="36" t="s">
        <v>1656</v>
      </c>
      <c r="J1903" s="36" t="s">
        <v>1656</v>
      </c>
      <c r="K1903" s="36" t="s">
        <v>1790</v>
      </c>
      <c r="L1903" s="36" t="s">
        <v>4214</v>
      </c>
      <c r="M1903" s="36" t="s">
        <v>4214</v>
      </c>
      <c r="N1903" s="36" t="s">
        <v>32</v>
      </c>
    </row>
    <row r="1904">
      <c r="A1904" s="36" t="s">
        <v>4989</v>
      </c>
      <c r="B1904" s="154" t="s">
        <v>4990</v>
      </c>
      <c r="C1904" s="36" t="s">
        <v>1666</v>
      </c>
      <c r="D1904" s="36" t="s">
        <v>512</v>
      </c>
      <c r="E1904" s="36" t="s">
        <v>512</v>
      </c>
      <c r="F1904" s="154" t="s">
        <v>2085</v>
      </c>
      <c r="G1904" s="36" t="s">
        <v>28</v>
      </c>
      <c r="H1904" s="36" t="s">
        <v>1655</v>
      </c>
      <c r="I1904" s="36" t="s">
        <v>1656</v>
      </c>
      <c r="J1904" s="36" t="s">
        <v>1656</v>
      </c>
      <c r="K1904" s="36" t="s">
        <v>1793</v>
      </c>
      <c r="L1904" s="36" t="s">
        <v>4214</v>
      </c>
      <c r="M1904" s="36" t="s">
        <v>4214</v>
      </c>
      <c r="N1904" s="36" t="s">
        <v>34</v>
      </c>
    </row>
    <row r="1905">
      <c r="A1905" s="36" t="s">
        <v>4991</v>
      </c>
      <c r="B1905" s="154" t="s">
        <v>4990</v>
      </c>
      <c r="C1905" s="36" t="s">
        <v>1666</v>
      </c>
      <c r="D1905" s="36" t="s">
        <v>1049</v>
      </c>
      <c r="E1905" s="36" t="s">
        <v>1049</v>
      </c>
      <c r="F1905" s="154" t="s">
        <v>1806</v>
      </c>
      <c r="G1905" s="36" t="s">
        <v>28</v>
      </c>
      <c r="H1905" s="36" t="s">
        <v>1655</v>
      </c>
      <c r="I1905" s="36" t="s">
        <v>1656</v>
      </c>
      <c r="J1905" s="36" t="s">
        <v>1656</v>
      </c>
      <c r="K1905" s="36" t="s">
        <v>1796</v>
      </c>
      <c r="L1905" s="36" t="s">
        <v>4214</v>
      </c>
      <c r="M1905" s="36" t="s">
        <v>4214</v>
      </c>
      <c r="N1905" s="36" t="s">
        <v>34</v>
      </c>
    </row>
    <row r="1906">
      <c r="A1906" s="36" t="s">
        <v>4992</v>
      </c>
      <c r="B1906" s="154" t="s">
        <v>4990</v>
      </c>
      <c r="C1906" s="36" t="s">
        <v>1666</v>
      </c>
      <c r="D1906" s="36" t="s">
        <v>582</v>
      </c>
      <c r="E1906" s="36" t="s">
        <v>582</v>
      </c>
      <c r="F1906" s="154" t="s">
        <v>1806</v>
      </c>
      <c r="G1906" s="36" t="s">
        <v>28</v>
      </c>
      <c r="H1906" s="36" t="s">
        <v>1655</v>
      </c>
      <c r="I1906" s="36" t="s">
        <v>1656</v>
      </c>
      <c r="J1906" s="36" t="s">
        <v>1656</v>
      </c>
      <c r="K1906" s="36" t="s">
        <v>1800</v>
      </c>
      <c r="L1906" s="36" t="s">
        <v>4214</v>
      </c>
      <c r="M1906" s="36" t="s">
        <v>4214</v>
      </c>
      <c r="N1906" s="36" t="s">
        <v>34</v>
      </c>
    </row>
    <row r="1907">
      <c r="A1907" s="36" t="s">
        <v>4993</v>
      </c>
      <c r="B1907" s="154" t="s">
        <v>4994</v>
      </c>
      <c r="C1907" s="36" t="s">
        <v>1666</v>
      </c>
      <c r="D1907" s="36" t="s">
        <v>1056</v>
      </c>
      <c r="E1907" s="36" t="s">
        <v>1056</v>
      </c>
      <c r="F1907" s="154" t="s">
        <v>2553</v>
      </c>
      <c r="G1907" s="36" t="s">
        <v>32</v>
      </c>
      <c r="H1907" s="36" t="s">
        <v>1655</v>
      </c>
      <c r="I1907" s="36" t="s">
        <v>1656</v>
      </c>
      <c r="J1907" s="36" t="s">
        <v>1656</v>
      </c>
      <c r="K1907" s="36" t="s">
        <v>1803</v>
      </c>
      <c r="L1907" s="36" t="s">
        <v>4214</v>
      </c>
      <c r="M1907" s="36" t="s">
        <v>4214</v>
      </c>
      <c r="N1907" s="36" t="s">
        <v>32</v>
      </c>
    </row>
    <row r="1908">
      <c r="A1908" s="36" t="s">
        <v>4995</v>
      </c>
      <c r="B1908" s="154" t="s">
        <v>4994</v>
      </c>
      <c r="C1908" s="36" t="s">
        <v>1666</v>
      </c>
      <c r="D1908" s="36" t="s">
        <v>582</v>
      </c>
      <c r="E1908" s="36" t="s">
        <v>582</v>
      </c>
      <c r="F1908" s="154" t="s">
        <v>1806</v>
      </c>
      <c r="G1908" s="36" t="s">
        <v>28</v>
      </c>
      <c r="H1908" s="36" t="s">
        <v>1655</v>
      </c>
      <c r="I1908" s="36" t="s">
        <v>1656</v>
      </c>
      <c r="J1908" s="36" t="s">
        <v>1656</v>
      </c>
      <c r="K1908" s="36" t="s">
        <v>1807</v>
      </c>
      <c r="L1908" s="36" t="s">
        <v>4214</v>
      </c>
      <c r="M1908" s="36" t="s">
        <v>4214</v>
      </c>
      <c r="N1908" s="36" t="s">
        <v>34</v>
      </c>
    </row>
    <row r="1909">
      <c r="A1909" s="36" t="s">
        <v>4996</v>
      </c>
      <c r="B1909" s="154" t="s">
        <v>4994</v>
      </c>
      <c r="C1909" s="36" t="s">
        <v>1666</v>
      </c>
      <c r="D1909" s="36" t="s">
        <v>1070</v>
      </c>
      <c r="E1909" s="36" t="s">
        <v>1070</v>
      </c>
      <c r="F1909" s="154" t="s">
        <v>1816</v>
      </c>
      <c r="G1909" s="36" t="s">
        <v>28</v>
      </c>
      <c r="H1909" s="36" t="s">
        <v>1655</v>
      </c>
      <c r="I1909" s="36" t="s">
        <v>1656</v>
      </c>
      <c r="J1909" s="36" t="s">
        <v>1656</v>
      </c>
      <c r="K1909" s="36" t="s">
        <v>1814</v>
      </c>
      <c r="L1909" s="36" t="s">
        <v>4214</v>
      </c>
      <c r="M1909" s="36" t="s">
        <v>4214</v>
      </c>
      <c r="N1909" s="36" t="s">
        <v>32</v>
      </c>
    </row>
    <row r="1910">
      <c r="A1910" s="36" t="s">
        <v>4997</v>
      </c>
      <c r="B1910" s="154" t="s">
        <v>4994</v>
      </c>
      <c r="C1910" s="36" t="s">
        <v>1666</v>
      </c>
      <c r="D1910" s="36" t="s">
        <v>1076</v>
      </c>
      <c r="E1910" s="36" t="s">
        <v>1076</v>
      </c>
      <c r="F1910" s="154" t="s">
        <v>2522</v>
      </c>
      <c r="G1910" s="36" t="s">
        <v>28</v>
      </c>
      <c r="H1910" s="36" t="s">
        <v>1655</v>
      </c>
      <c r="I1910" s="36" t="s">
        <v>1656</v>
      </c>
      <c r="J1910" s="36" t="s">
        <v>1656</v>
      </c>
      <c r="K1910" s="36" t="s">
        <v>1817</v>
      </c>
      <c r="L1910" s="36" t="s">
        <v>4214</v>
      </c>
      <c r="M1910" s="36" t="s">
        <v>4214</v>
      </c>
      <c r="N1910" s="36" t="s">
        <v>32</v>
      </c>
    </row>
    <row r="1911">
      <c r="A1911" s="36" t="s">
        <v>4998</v>
      </c>
      <c r="B1911" s="154" t="s">
        <v>4999</v>
      </c>
      <c r="C1911" s="36" t="s">
        <v>1666</v>
      </c>
      <c r="D1911" s="36" t="s">
        <v>218</v>
      </c>
      <c r="E1911" s="36" t="s">
        <v>218</v>
      </c>
      <c r="F1911" s="154" t="s">
        <v>1832</v>
      </c>
      <c r="G1911" s="36" t="s">
        <v>32</v>
      </c>
      <c r="H1911" s="36" t="s">
        <v>1655</v>
      </c>
      <c r="I1911" s="36" t="s">
        <v>1656</v>
      </c>
      <c r="J1911" s="36" t="s">
        <v>1656</v>
      </c>
      <c r="K1911" s="36" t="s">
        <v>1820</v>
      </c>
      <c r="L1911" s="36" t="s">
        <v>4214</v>
      </c>
      <c r="M1911" s="36" t="s">
        <v>4214</v>
      </c>
      <c r="N1911" s="36" t="s">
        <v>32</v>
      </c>
    </row>
    <row r="1912">
      <c r="A1912" s="36" t="s">
        <v>5000</v>
      </c>
      <c r="B1912" s="154" t="s">
        <v>5001</v>
      </c>
      <c r="C1912" s="36" t="s">
        <v>1666</v>
      </c>
      <c r="D1912" s="36" t="s">
        <v>1083</v>
      </c>
      <c r="E1912" s="36" t="s">
        <v>1083</v>
      </c>
      <c r="F1912" s="154" t="s">
        <v>2025</v>
      </c>
      <c r="G1912" s="36" t="s">
        <v>32</v>
      </c>
      <c r="H1912" s="36" t="s">
        <v>1655</v>
      </c>
      <c r="I1912" s="36" t="s">
        <v>1656</v>
      </c>
      <c r="J1912" s="36" t="s">
        <v>1656</v>
      </c>
      <c r="K1912" s="36" t="s">
        <v>1823</v>
      </c>
      <c r="L1912" s="36" t="s">
        <v>4214</v>
      </c>
      <c r="M1912" s="36" t="s">
        <v>4214</v>
      </c>
      <c r="N1912" s="36" t="s">
        <v>32</v>
      </c>
    </row>
    <row r="1913">
      <c r="A1913" s="36" t="s">
        <v>5002</v>
      </c>
      <c r="B1913" s="154" t="s">
        <v>5001</v>
      </c>
      <c r="C1913" s="36" t="s">
        <v>1666</v>
      </c>
      <c r="D1913" s="36" t="s">
        <v>695</v>
      </c>
      <c r="E1913" s="36" t="s">
        <v>695</v>
      </c>
      <c r="F1913" s="154" t="s">
        <v>1816</v>
      </c>
      <c r="G1913" s="36" t="s">
        <v>28</v>
      </c>
      <c r="H1913" s="36" t="s">
        <v>1655</v>
      </c>
      <c r="I1913" s="36" t="s">
        <v>1656</v>
      </c>
      <c r="J1913" s="36" t="s">
        <v>1656</v>
      </c>
      <c r="K1913" s="36" t="s">
        <v>1826</v>
      </c>
      <c r="L1913" s="36" t="s">
        <v>4214</v>
      </c>
      <c r="M1913" s="36" t="s">
        <v>4214</v>
      </c>
      <c r="N1913" s="36" t="s">
        <v>34</v>
      </c>
    </row>
    <row r="1914">
      <c r="A1914" s="36" t="s">
        <v>5003</v>
      </c>
      <c r="B1914" s="154" t="s">
        <v>5001</v>
      </c>
      <c r="C1914" s="36" t="s">
        <v>1666</v>
      </c>
      <c r="D1914" s="36" t="s">
        <v>880</v>
      </c>
      <c r="E1914" s="36" t="s">
        <v>880</v>
      </c>
      <c r="F1914" s="154" t="s">
        <v>2156</v>
      </c>
      <c r="G1914" s="36" t="s">
        <v>28</v>
      </c>
      <c r="H1914" s="36" t="s">
        <v>1655</v>
      </c>
      <c r="I1914" s="36" t="s">
        <v>1656</v>
      </c>
      <c r="J1914" s="36" t="s">
        <v>1656</v>
      </c>
      <c r="K1914" s="36" t="s">
        <v>1830</v>
      </c>
      <c r="L1914" s="36" t="s">
        <v>4214</v>
      </c>
      <c r="M1914" s="36" t="s">
        <v>4214</v>
      </c>
      <c r="N1914" s="36" t="s">
        <v>34</v>
      </c>
    </row>
    <row r="1915">
      <c r="A1915" s="36" t="s">
        <v>5004</v>
      </c>
      <c r="B1915" s="154" t="s">
        <v>5001</v>
      </c>
      <c r="C1915" s="36" t="s">
        <v>1666</v>
      </c>
      <c r="D1915" s="36" t="s">
        <v>109</v>
      </c>
      <c r="E1915" s="36" t="s">
        <v>109</v>
      </c>
      <c r="F1915" s="154" t="s">
        <v>5005</v>
      </c>
      <c r="G1915" s="36" t="s">
        <v>28</v>
      </c>
      <c r="H1915" s="36" t="s">
        <v>1655</v>
      </c>
      <c r="I1915" s="36" t="s">
        <v>1656</v>
      </c>
      <c r="J1915" s="36" t="s">
        <v>1656</v>
      </c>
      <c r="K1915" s="36" t="s">
        <v>1845</v>
      </c>
      <c r="L1915" s="36" t="s">
        <v>4214</v>
      </c>
      <c r="M1915" s="36" t="s">
        <v>4214</v>
      </c>
      <c r="N1915" s="36" t="s">
        <v>32</v>
      </c>
    </row>
    <row r="1916">
      <c r="A1916" s="36" t="s">
        <v>5006</v>
      </c>
      <c r="B1916" s="154" t="s">
        <v>5007</v>
      </c>
      <c r="C1916" s="36" t="s">
        <v>1666</v>
      </c>
      <c r="D1916" s="36" t="s">
        <v>660</v>
      </c>
      <c r="E1916" s="36" t="s">
        <v>660</v>
      </c>
      <c r="F1916" s="154" t="s">
        <v>2085</v>
      </c>
      <c r="G1916" s="36" t="s">
        <v>28</v>
      </c>
      <c r="H1916" s="36" t="s">
        <v>1655</v>
      </c>
      <c r="I1916" s="36" t="s">
        <v>1656</v>
      </c>
      <c r="J1916" s="36" t="s">
        <v>1656</v>
      </c>
      <c r="K1916" s="36" t="s">
        <v>1833</v>
      </c>
      <c r="L1916" s="36" t="s">
        <v>4214</v>
      </c>
      <c r="M1916" s="36" t="s">
        <v>4214</v>
      </c>
      <c r="N1916" s="36" t="s">
        <v>34</v>
      </c>
    </row>
    <row r="1917">
      <c r="A1917" s="36" t="s">
        <v>5008</v>
      </c>
      <c r="B1917" s="154" t="s">
        <v>5009</v>
      </c>
      <c r="C1917" s="36" t="s">
        <v>1666</v>
      </c>
      <c r="D1917" s="36" t="s">
        <v>582</v>
      </c>
      <c r="E1917" s="36" t="s">
        <v>582</v>
      </c>
      <c r="F1917" s="154" t="s">
        <v>5010</v>
      </c>
      <c r="G1917" s="36" t="s">
        <v>28</v>
      </c>
      <c r="H1917" s="36" t="s">
        <v>1655</v>
      </c>
      <c r="I1917" s="36" t="s">
        <v>1656</v>
      </c>
      <c r="J1917" s="36" t="s">
        <v>1656</v>
      </c>
      <c r="K1917" s="36" t="s">
        <v>1836</v>
      </c>
      <c r="L1917" s="36" t="s">
        <v>4214</v>
      </c>
      <c r="M1917" s="36" t="s">
        <v>4214</v>
      </c>
      <c r="N1917" s="36" t="s">
        <v>34</v>
      </c>
    </row>
    <row r="1918">
      <c r="A1918" s="36" t="s">
        <v>5011</v>
      </c>
      <c r="B1918" s="154" t="s">
        <v>5012</v>
      </c>
      <c r="C1918" s="36" t="s">
        <v>1666</v>
      </c>
      <c r="D1918" s="36" t="s">
        <v>81</v>
      </c>
      <c r="E1918" s="36" t="s">
        <v>81</v>
      </c>
      <c r="F1918" s="154" t="s">
        <v>4305</v>
      </c>
      <c r="G1918" s="36" t="s">
        <v>28</v>
      </c>
      <c r="H1918" s="36" t="s">
        <v>1655</v>
      </c>
      <c r="I1918" s="36" t="s">
        <v>1656</v>
      </c>
      <c r="J1918" s="36" t="s">
        <v>1656</v>
      </c>
      <c r="K1918" s="36" t="s">
        <v>1891</v>
      </c>
      <c r="L1918" s="36" t="s">
        <v>4214</v>
      </c>
      <c r="M1918" s="36" t="s">
        <v>4214</v>
      </c>
      <c r="N1918" s="36" t="s">
        <v>32</v>
      </c>
    </row>
    <row r="1919">
      <c r="A1919" s="36" t="s">
        <v>5013</v>
      </c>
      <c r="B1919" s="154" t="s">
        <v>5012</v>
      </c>
      <c r="C1919" s="36" t="s">
        <v>1666</v>
      </c>
      <c r="D1919" s="36" t="s">
        <v>83</v>
      </c>
      <c r="E1919" s="36" t="s">
        <v>83</v>
      </c>
      <c r="F1919" s="154" t="s">
        <v>4307</v>
      </c>
      <c r="G1919" s="36" t="s">
        <v>28</v>
      </c>
      <c r="H1919" s="36" t="s">
        <v>1655</v>
      </c>
      <c r="I1919" s="36" t="s">
        <v>1656</v>
      </c>
      <c r="J1919" s="36" t="s">
        <v>1656</v>
      </c>
      <c r="K1919" s="36" t="s">
        <v>1921</v>
      </c>
      <c r="L1919" s="36" t="s">
        <v>4214</v>
      </c>
      <c r="M1919" s="36" t="s">
        <v>4214</v>
      </c>
      <c r="N1919" s="36" t="s">
        <v>32</v>
      </c>
    </row>
    <row r="1920">
      <c r="A1920" s="36" t="s">
        <v>5014</v>
      </c>
      <c r="B1920" s="154" t="s">
        <v>5012</v>
      </c>
      <c r="C1920" s="36" t="s">
        <v>1666</v>
      </c>
      <c r="D1920" s="36" t="s">
        <v>84</v>
      </c>
      <c r="E1920" s="36" t="s">
        <v>84</v>
      </c>
      <c r="F1920" s="154" t="s">
        <v>5015</v>
      </c>
      <c r="G1920" s="36" t="s">
        <v>32</v>
      </c>
      <c r="H1920" s="36" t="s">
        <v>1655</v>
      </c>
      <c r="I1920" s="36" t="s">
        <v>1656</v>
      </c>
      <c r="J1920" s="36" t="s">
        <v>1656</v>
      </c>
      <c r="K1920" s="36" t="s">
        <v>3166</v>
      </c>
      <c r="L1920" s="36" t="s">
        <v>4214</v>
      </c>
      <c r="M1920" s="36" t="s">
        <v>4214</v>
      </c>
      <c r="N1920" s="36" t="s">
        <v>32</v>
      </c>
    </row>
    <row r="1921">
      <c r="A1921" s="36" t="s">
        <v>5016</v>
      </c>
      <c r="B1921" s="154" t="s">
        <v>5012</v>
      </c>
      <c r="C1921" s="36" t="s">
        <v>1666</v>
      </c>
      <c r="D1921" s="36" t="s">
        <v>299</v>
      </c>
      <c r="E1921" s="36" t="s">
        <v>299</v>
      </c>
      <c r="F1921" s="154" t="s">
        <v>5017</v>
      </c>
      <c r="G1921" s="36" t="s">
        <v>28</v>
      </c>
      <c r="H1921" s="36" t="s">
        <v>1655</v>
      </c>
      <c r="I1921" s="36" t="s">
        <v>1656</v>
      </c>
      <c r="J1921" s="36" t="s">
        <v>1656</v>
      </c>
      <c r="K1921" s="36" t="s">
        <v>1839</v>
      </c>
      <c r="L1921" s="36" t="s">
        <v>4214</v>
      </c>
      <c r="M1921" s="36" t="s">
        <v>4214</v>
      </c>
      <c r="N1921" s="36" t="s">
        <v>34</v>
      </c>
    </row>
    <row r="1922">
      <c r="A1922" s="36" t="s">
        <v>5018</v>
      </c>
      <c r="B1922" s="154" t="s">
        <v>5012</v>
      </c>
      <c r="C1922" s="36" t="s">
        <v>1666</v>
      </c>
      <c r="D1922" s="36" t="s">
        <v>1093</v>
      </c>
      <c r="E1922" s="36" t="s">
        <v>1093</v>
      </c>
      <c r="F1922" s="154" t="s">
        <v>5019</v>
      </c>
      <c r="G1922" s="36" t="s">
        <v>28</v>
      </c>
      <c r="H1922" s="36" t="s">
        <v>1655</v>
      </c>
      <c r="I1922" s="36" t="s">
        <v>1656</v>
      </c>
      <c r="J1922" s="36" t="s">
        <v>1656</v>
      </c>
      <c r="K1922" s="36" t="s">
        <v>1842</v>
      </c>
      <c r="L1922" s="36" t="s">
        <v>4214</v>
      </c>
      <c r="M1922" s="36" t="s">
        <v>4214</v>
      </c>
      <c r="N1922" s="36" t="s">
        <v>34</v>
      </c>
    </row>
    <row r="1923">
      <c r="A1923" s="36" t="s">
        <v>5020</v>
      </c>
      <c r="B1923" s="154" t="s">
        <v>5012</v>
      </c>
      <c r="C1923" s="36" t="s">
        <v>1666</v>
      </c>
      <c r="D1923" s="36" t="s">
        <v>124</v>
      </c>
      <c r="E1923" s="36" t="s">
        <v>124</v>
      </c>
      <c r="F1923" s="154" t="s">
        <v>5021</v>
      </c>
      <c r="G1923" s="36" t="s">
        <v>32</v>
      </c>
      <c r="H1923" s="36" t="s">
        <v>1655</v>
      </c>
      <c r="I1923" s="36" t="s">
        <v>1656</v>
      </c>
      <c r="J1923" s="36" t="s">
        <v>1656</v>
      </c>
      <c r="K1923" s="36" t="s">
        <v>1848</v>
      </c>
      <c r="L1923" s="36" t="s">
        <v>4214</v>
      </c>
      <c r="M1923" s="36" t="s">
        <v>4214</v>
      </c>
      <c r="N1923" s="36" t="s">
        <v>32</v>
      </c>
    </row>
    <row r="1924">
      <c r="A1924" s="36" t="s">
        <v>5022</v>
      </c>
      <c r="B1924" s="154" t="s">
        <v>5023</v>
      </c>
      <c r="C1924" s="36" t="s">
        <v>1653</v>
      </c>
      <c r="D1924" s="36" t="s">
        <v>43</v>
      </c>
      <c r="E1924" s="36" t="s">
        <v>39</v>
      </c>
      <c r="F1924" s="154" t="s">
        <v>5024</v>
      </c>
      <c r="G1924" s="36" t="s">
        <v>32</v>
      </c>
      <c r="H1924" s="36" t="s">
        <v>1655</v>
      </c>
      <c r="I1924" s="36" t="s">
        <v>1656</v>
      </c>
      <c r="J1924" s="36" t="s">
        <v>1656</v>
      </c>
      <c r="K1924" s="36" t="s">
        <v>1657</v>
      </c>
      <c r="L1924" s="36" t="s">
        <v>4212</v>
      </c>
      <c r="M1924" s="36" t="s">
        <v>4212</v>
      </c>
      <c r="N1924" s="36" t="s">
        <v>32</v>
      </c>
    </row>
    <row r="1925">
      <c r="A1925" s="36" t="s">
        <v>5025</v>
      </c>
      <c r="B1925" s="154" t="s">
        <v>5023</v>
      </c>
      <c r="C1925" s="36" t="s">
        <v>1653</v>
      </c>
      <c r="D1925" s="36" t="s">
        <v>910</v>
      </c>
      <c r="E1925" s="36" t="s">
        <v>39</v>
      </c>
      <c r="F1925" s="154" t="s">
        <v>5026</v>
      </c>
      <c r="G1925" s="36" t="s">
        <v>32</v>
      </c>
      <c r="H1925" s="36" t="s">
        <v>1655</v>
      </c>
      <c r="I1925" s="36" t="s">
        <v>1656</v>
      </c>
      <c r="J1925" s="36" t="s">
        <v>1656</v>
      </c>
      <c r="K1925" s="36" t="s">
        <v>1749</v>
      </c>
      <c r="L1925" s="36" t="s">
        <v>4212</v>
      </c>
      <c r="M1925" s="36" t="s">
        <v>4212</v>
      </c>
      <c r="N1925" s="36" t="s">
        <v>32</v>
      </c>
    </row>
    <row r="1926">
      <c r="A1926" s="36" t="s">
        <v>5027</v>
      </c>
      <c r="B1926" s="154" t="s">
        <v>5023</v>
      </c>
      <c r="C1926" s="36" t="s">
        <v>1653</v>
      </c>
      <c r="D1926" s="36" t="s">
        <v>914</v>
      </c>
      <c r="E1926" s="36" t="s">
        <v>39</v>
      </c>
      <c r="F1926" s="154" t="s">
        <v>5028</v>
      </c>
      <c r="G1926" s="36" t="s">
        <v>32</v>
      </c>
      <c r="H1926" s="36" t="s">
        <v>1655</v>
      </c>
      <c r="I1926" s="36" t="s">
        <v>1656</v>
      </c>
      <c r="J1926" s="36" t="s">
        <v>1656</v>
      </c>
      <c r="K1926" s="36" t="s">
        <v>2265</v>
      </c>
      <c r="L1926" s="36" t="s">
        <v>4212</v>
      </c>
      <c r="M1926" s="36" t="s">
        <v>4212</v>
      </c>
      <c r="N1926" s="36" t="s">
        <v>32</v>
      </c>
    </row>
    <row r="1927">
      <c r="A1927" s="36" t="s">
        <v>5029</v>
      </c>
      <c r="B1927" s="154" t="s">
        <v>5023</v>
      </c>
      <c r="C1927" s="36" t="s">
        <v>1666</v>
      </c>
      <c r="D1927" s="36" t="s">
        <v>85</v>
      </c>
      <c r="E1927" s="36" t="s">
        <v>85</v>
      </c>
      <c r="F1927" s="154" t="s">
        <v>5030</v>
      </c>
      <c r="G1927" s="36" t="s">
        <v>28</v>
      </c>
      <c r="H1927" s="36" t="s">
        <v>1655</v>
      </c>
      <c r="I1927" s="36" t="s">
        <v>1656</v>
      </c>
      <c r="J1927" s="36" t="s">
        <v>1656</v>
      </c>
      <c r="K1927" s="36" t="s">
        <v>3038</v>
      </c>
      <c r="L1927" s="36" t="s">
        <v>5031</v>
      </c>
      <c r="M1927" s="36" t="s">
        <v>5031</v>
      </c>
      <c r="N1927" s="36" t="s">
        <v>32</v>
      </c>
    </row>
    <row r="1928">
      <c r="A1928" s="36" t="s">
        <v>5032</v>
      </c>
      <c r="B1928" s="154" t="s">
        <v>5023</v>
      </c>
      <c r="C1928" s="36" t="s">
        <v>1666</v>
      </c>
      <c r="D1928" s="36" t="s">
        <v>439</v>
      </c>
      <c r="E1928" s="36" t="s">
        <v>439</v>
      </c>
      <c r="F1928" s="154" t="s">
        <v>5033</v>
      </c>
      <c r="G1928" s="36" t="s">
        <v>28</v>
      </c>
      <c r="H1928" s="36" t="s">
        <v>1655</v>
      </c>
      <c r="I1928" s="36" t="s">
        <v>1656</v>
      </c>
      <c r="J1928" s="36" t="s">
        <v>1656</v>
      </c>
      <c r="K1928" s="36" t="s">
        <v>2775</v>
      </c>
      <c r="L1928" s="36" t="s">
        <v>5031</v>
      </c>
      <c r="M1928" s="36" t="s">
        <v>5031</v>
      </c>
      <c r="N1928" s="36" t="s">
        <v>32</v>
      </c>
    </row>
    <row r="1929">
      <c r="A1929" s="36" t="s">
        <v>5034</v>
      </c>
      <c r="B1929" s="154" t="s">
        <v>5023</v>
      </c>
      <c r="C1929" s="36" t="s">
        <v>1666</v>
      </c>
      <c r="D1929" s="36" t="s">
        <v>192</v>
      </c>
      <c r="E1929" s="36" t="s">
        <v>192</v>
      </c>
      <c r="F1929" s="154" t="s">
        <v>4688</v>
      </c>
      <c r="G1929" s="36" t="s">
        <v>28</v>
      </c>
      <c r="H1929" s="36" t="s">
        <v>1655</v>
      </c>
      <c r="I1929" s="36" t="s">
        <v>1656</v>
      </c>
      <c r="J1929" s="36" t="s">
        <v>1656</v>
      </c>
      <c r="K1929" s="36" t="s">
        <v>2779</v>
      </c>
      <c r="L1929" s="36" t="s">
        <v>5031</v>
      </c>
      <c r="M1929" s="36" t="s">
        <v>5031</v>
      </c>
      <c r="N1929" s="36" t="s">
        <v>32</v>
      </c>
    </row>
    <row r="1930">
      <c r="A1930" s="36" t="s">
        <v>5035</v>
      </c>
      <c r="B1930" s="154" t="s">
        <v>5023</v>
      </c>
      <c r="C1930" s="36" t="s">
        <v>1666</v>
      </c>
      <c r="D1930" s="36" t="s">
        <v>600</v>
      </c>
      <c r="E1930" s="36" t="s">
        <v>600</v>
      </c>
      <c r="F1930" s="154" t="s">
        <v>2284</v>
      </c>
      <c r="G1930" s="36" t="s">
        <v>28</v>
      </c>
      <c r="H1930" s="36" t="s">
        <v>1655</v>
      </c>
      <c r="I1930" s="36" t="s">
        <v>1656</v>
      </c>
      <c r="J1930" s="36" t="s">
        <v>1656</v>
      </c>
      <c r="K1930" s="36" t="s">
        <v>1675</v>
      </c>
      <c r="L1930" s="36" t="s">
        <v>5031</v>
      </c>
      <c r="M1930" s="36" t="s">
        <v>5031</v>
      </c>
      <c r="N1930" s="36" t="s">
        <v>34</v>
      </c>
    </row>
    <row r="1931">
      <c r="A1931" s="36" t="s">
        <v>5036</v>
      </c>
      <c r="B1931" s="154" t="s">
        <v>5023</v>
      </c>
      <c r="C1931" s="36" t="s">
        <v>1666</v>
      </c>
      <c r="D1931" s="36" t="s">
        <v>582</v>
      </c>
      <c r="E1931" s="36" t="s">
        <v>582</v>
      </c>
      <c r="F1931" s="154" t="s">
        <v>1806</v>
      </c>
      <c r="G1931" s="36" t="s">
        <v>28</v>
      </c>
      <c r="H1931" s="36" t="s">
        <v>1655</v>
      </c>
      <c r="I1931" s="36" t="s">
        <v>1656</v>
      </c>
      <c r="J1931" s="36" t="s">
        <v>1656</v>
      </c>
      <c r="K1931" s="36" t="s">
        <v>1678</v>
      </c>
      <c r="L1931" s="36" t="s">
        <v>5031</v>
      </c>
      <c r="M1931" s="36" t="s">
        <v>5031</v>
      </c>
      <c r="N1931" s="36" t="s">
        <v>34</v>
      </c>
    </row>
    <row r="1932">
      <c r="A1932" s="36" t="s">
        <v>5037</v>
      </c>
      <c r="B1932" s="154" t="s">
        <v>5038</v>
      </c>
      <c r="C1932" s="36" t="s">
        <v>1666</v>
      </c>
      <c r="D1932" s="36" t="s">
        <v>78</v>
      </c>
      <c r="E1932" s="36" t="s">
        <v>78</v>
      </c>
      <c r="F1932" s="154" t="s">
        <v>1899</v>
      </c>
      <c r="G1932" s="36" t="s">
        <v>28</v>
      </c>
      <c r="H1932" s="36" t="s">
        <v>1655</v>
      </c>
      <c r="I1932" s="36" t="s">
        <v>1656</v>
      </c>
      <c r="J1932" s="36" t="s">
        <v>1656</v>
      </c>
      <c r="K1932" s="36" t="s">
        <v>1769</v>
      </c>
      <c r="L1932" s="36" t="s">
        <v>5031</v>
      </c>
      <c r="M1932" s="36" t="s">
        <v>5031</v>
      </c>
      <c r="N1932" s="36" t="s">
        <v>32</v>
      </c>
    </row>
    <row r="1933">
      <c r="A1933" s="36" t="s">
        <v>5039</v>
      </c>
      <c r="B1933" s="154" t="s">
        <v>5040</v>
      </c>
      <c r="C1933" s="36" t="s">
        <v>1666</v>
      </c>
      <c r="D1933" s="36" t="s">
        <v>63</v>
      </c>
      <c r="E1933" s="36" t="s">
        <v>63</v>
      </c>
      <c r="F1933" s="154" t="s">
        <v>5041</v>
      </c>
      <c r="G1933" s="36" t="s">
        <v>28</v>
      </c>
      <c r="H1933" s="36" t="s">
        <v>1655</v>
      </c>
      <c r="I1933" s="36" t="s">
        <v>1656</v>
      </c>
      <c r="J1933" s="36" t="s">
        <v>1656</v>
      </c>
      <c r="K1933" s="36" t="s">
        <v>4196</v>
      </c>
      <c r="L1933" s="36" t="s">
        <v>5031</v>
      </c>
      <c r="M1933" s="36" t="s">
        <v>5031</v>
      </c>
      <c r="N1933" s="36" t="s">
        <v>34</v>
      </c>
    </row>
    <row r="1934">
      <c r="A1934" s="36" t="s">
        <v>5042</v>
      </c>
      <c r="B1934" s="154" t="s">
        <v>5043</v>
      </c>
      <c r="C1934" s="36" t="s">
        <v>1666</v>
      </c>
      <c r="D1934" s="36" t="s">
        <v>64</v>
      </c>
      <c r="E1934" s="36" t="s">
        <v>64</v>
      </c>
      <c r="F1934" s="154" t="s">
        <v>4431</v>
      </c>
      <c r="G1934" s="36" t="s">
        <v>28</v>
      </c>
      <c r="H1934" s="36" t="s">
        <v>1655</v>
      </c>
      <c r="I1934" s="36" t="s">
        <v>1656</v>
      </c>
      <c r="J1934" s="36" t="s">
        <v>1656</v>
      </c>
      <c r="K1934" s="36" t="s">
        <v>1708</v>
      </c>
      <c r="L1934" s="36" t="s">
        <v>5031</v>
      </c>
      <c r="M1934" s="36" t="s">
        <v>5031</v>
      </c>
      <c r="N1934" s="36" t="s">
        <v>32</v>
      </c>
    </row>
    <row r="1935">
      <c r="A1935" s="36" t="s">
        <v>5044</v>
      </c>
      <c r="B1935" s="154" t="s">
        <v>5045</v>
      </c>
      <c r="C1935" s="36" t="s">
        <v>1666</v>
      </c>
      <c r="D1935" s="36" t="s">
        <v>941</v>
      </c>
      <c r="E1935" s="36" t="s">
        <v>941</v>
      </c>
      <c r="F1935" s="154" t="s">
        <v>1816</v>
      </c>
      <c r="G1935" s="36" t="s">
        <v>28</v>
      </c>
      <c r="H1935" s="36" t="s">
        <v>1655</v>
      </c>
      <c r="I1935" s="36" t="s">
        <v>1656</v>
      </c>
      <c r="J1935" s="36" t="s">
        <v>1656</v>
      </c>
      <c r="K1935" s="36" t="s">
        <v>1681</v>
      </c>
      <c r="L1935" s="36" t="s">
        <v>5031</v>
      </c>
      <c r="M1935" s="36" t="s">
        <v>5031</v>
      </c>
      <c r="N1935" s="36" t="s">
        <v>34</v>
      </c>
    </row>
    <row r="1936">
      <c r="A1936" s="36" t="s">
        <v>5046</v>
      </c>
      <c r="B1936" s="154" t="s">
        <v>5047</v>
      </c>
      <c r="C1936" s="36" t="s">
        <v>1666</v>
      </c>
      <c r="D1936" s="36" t="s">
        <v>66</v>
      </c>
      <c r="E1936" s="36" t="s">
        <v>66</v>
      </c>
      <c r="F1936" s="154" t="s">
        <v>5048</v>
      </c>
      <c r="G1936" s="36" t="s">
        <v>28</v>
      </c>
      <c r="H1936" s="36" t="s">
        <v>1655</v>
      </c>
      <c r="I1936" s="36" t="s">
        <v>1656</v>
      </c>
      <c r="J1936" s="36" t="s">
        <v>1656</v>
      </c>
      <c r="K1936" s="36" t="s">
        <v>1721</v>
      </c>
      <c r="L1936" s="36" t="s">
        <v>5031</v>
      </c>
      <c r="M1936" s="36" t="s">
        <v>5031</v>
      </c>
      <c r="N1936" s="36" t="s">
        <v>32</v>
      </c>
    </row>
    <row r="1937">
      <c r="A1937" s="36" t="s">
        <v>5049</v>
      </c>
      <c r="B1937" s="154" t="s">
        <v>5047</v>
      </c>
      <c r="C1937" s="36" t="s">
        <v>1666</v>
      </c>
      <c r="D1937" s="36" t="s">
        <v>949</v>
      </c>
      <c r="E1937" s="36" t="s">
        <v>949</v>
      </c>
      <c r="F1937" s="154" t="s">
        <v>5050</v>
      </c>
      <c r="G1937" s="36" t="s">
        <v>28</v>
      </c>
      <c r="H1937" s="36" t="s">
        <v>1655</v>
      </c>
      <c r="I1937" s="36" t="s">
        <v>1656</v>
      </c>
      <c r="J1937" s="36" t="s">
        <v>1656</v>
      </c>
      <c r="K1937" s="36" t="s">
        <v>1684</v>
      </c>
      <c r="L1937" s="36" t="s">
        <v>5031</v>
      </c>
      <c r="M1937" s="36" t="s">
        <v>5031</v>
      </c>
      <c r="N1937" s="36" t="s">
        <v>34</v>
      </c>
    </row>
    <row r="1938">
      <c r="A1938" s="36" t="s">
        <v>5051</v>
      </c>
      <c r="B1938" s="154" t="s">
        <v>5052</v>
      </c>
      <c r="C1938" s="36" t="s">
        <v>1653</v>
      </c>
      <c r="D1938" s="36" t="s">
        <v>55</v>
      </c>
      <c r="E1938" s="36" t="s">
        <v>39</v>
      </c>
      <c r="F1938" s="154" t="s">
        <v>5053</v>
      </c>
      <c r="G1938" s="36" t="s">
        <v>32</v>
      </c>
      <c r="H1938" s="36" t="s">
        <v>1655</v>
      </c>
      <c r="I1938" s="36" t="s">
        <v>1656</v>
      </c>
      <c r="J1938" s="36" t="s">
        <v>1656</v>
      </c>
      <c r="K1938" s="36" t="s">
        <v>1989</v>
      </c>
      <c r="L1938" s="36" t="s">
        <v>4212</v>
      </c>
      <c r="M1938" s="36" t="s">
        <v>4212</v>
      </c>
      <c r="N1938" s="36" t="s">
        <v>32</v>
      </c>
    </row>
    <row r="1939">
      <c r="A1939" s="36" t="s">
        <v>5054</v>
      </c>
      <c r="B1939" s="154" t="s">
        <v>5052</v>
      </c>
      <c r="C1939" s="36" t="s">
        <v>1666</v>
      </c>
      <c r="D1939" s="36" t="s">
        <v>71</v>
      </c>
      <c r="E1939" s="36" t="s">
        <v>71</v>
      </c>
      <c r="F1939" s="154" t="s">
        <v>4448</v>
      </c>
      <c r="G1939" s="36" t="s">
        <v>32</v>
      </c>
      <c r="H1939" s="36" t="s">
        <v>1655</v>
      </c>
      <c r="I1939" s="36" t="s">
        <v>1656</v>
      </c>
      <c r="J1939" s="36" t="s">
        <v>1656</v>
      </c>
      <c r="K1939" s="36" t="s">
        <v>1752</v>
      </c>
      <c r="L1939" s="36" t="s">
        <v>5031</v>
      </c>
      <c r="M1939" s="36" t="s">
        <v>5031</v>
      </c>
      <c r="N1939" s="36" t="s">
        <v>32</v>
      </c>
    </row>
    <row r="1940">
      <c r="A1940" s="36" t="s">
        <v>5055</v>
      </c>
      <c r="B1940" s="154" t="s">
        <v>5052</v>
      </c>
      <c r="C1940" s="36" t="s">
        <v>1666</v>
      </c>
      <c r="D1940" s="36" t="s">
        <v>73</v>
      </c>
      <c r="E1940" s="36" t="s">
        <v>73</v>
      </c>
      <c r="F1940" s="154" t="s">
        <v>4544</v>
      </c>
      <c r="G1940" s="36" t="s">
        <v>28</v>
      </c>
      <c r="H1940" s="36" t="s">
        <v>1655</v>
      </c>
      <c r="I1940" s="36" t="s">
        <v>1656</v>
      </c>
      <c r="J1940" s="36" t="s">
        <v>1656</v>
      </c>
      <c r="K1940" s="36" t="s">
        <v>1755</v>
      </c>
      <c r="L1940" s="36" t="s">
        <v>5031</v>
      </c>
      <c r="M1940" s="36" t="s">
        <v>5031</v>
      </c>
      <c r="N1940" s="36" t="s">
        <v>32</v>
      </c>
    </row>
    <row r="1941">
      <c r="A1941" s="36" t="s">
        <v>5056</v>
      </c>
      <c r="B1941" s="154" t="s">
        <v>5052</v>
      </c>
      <c r="C1941" s="36" t="s">
        <v>1666</v>
      </c>
      <c r="D1941" s="36" t="s">
        <v>74</v>
      </c>
      <c r="E1941" s="36" t="s">
        <v>74</v>
      </c>
      <c r="F1941" s="154" t="s">
        <v>4448</v>
      </c>
      <c r="G1941" s="36" t="s">
        <v>32</v>
      </c>
      <c r="H1941" s="36" t="s">
        <v>1655</v>
      </c>
      <c r="I1941" s="36" t="s">
        <v>1656</v>
      </c>
      <c r="J1941" s="36" t="s">
        <v>1656</v>
      </c>
      <c r="K1941" s="36" t="s">
        <v>1757</v>
      </c>
      <c r="L1941" s="36" t="s">
        <v>5031</v>
      </c>
      <c r="M1941" s="36" t="s">
        <v>5031</v>
      </c>
      <c r="N1941" s="36" t="s">
        <v>32</v>
      </c>
    </row>
    <row r="1942">
      <c r="A1942" s="36" t="s">
        <v>5057</v>
      </c>
      <c r="B1942" s="154" t="s">
        <v>5052</v>
      </c>
      <c r="C1942" s="36" t="s">
        <v>1666</v>
      </c>
      <c r="D1942" s="36" t="s">
        <v>75</v>
      </c>
      <c r="E1942" s="36" t="s">
        <v>75</v>
      </c>
      <c r="F1942" s="154" t="s">
        <v>4450</v>
      </c>
      <c r="G1942" s="36" t="s">
        <v>28</v>
      </c>
      <c r="H1942" s="36" t="s">
        <v>1655</v>
      </c>
      <c r="I1942" s="36" t="s">
        <v>1656</v>
      </c>
      <c r="J1942" s="36" t="s">
        <v>1656</v>
      </c>
      <c r="K1942" s="36" t="s">
        <v>1760</v>
      </c>
      <c r="L1942" s="36" t="s">
        <v>5031</v>
      </c>
      <c r="M1942" s="36" t="s">
        <v>5031</v>
      </c>
      <c r="N1942" s="36" t="s">
        <v>32</v>
      </c>
    </row>
    <row r="1943">
      <c r="A1943" s="36" t="s">
        <v>5058</v>
      </c>
      <c r="B1943" s="154" t="s">
        <v>5052</v>
      </c>
      <c r="C1943" s="36" t="s">
        <v>1666</v>
      </c>
      <c r="D1943" s="36" t="s">
        <v>76</v>
      </c>
      <c r="E1943" s="36" t="s">
        <v>76</v>
      </c>
      <c r="F1943" s="154" t="s">
        <v>5059</v>
      </c>
      <c r="G1943" s="36" t="s">
        <v>28</v>
      </c>
      <c r="H1943" s="36" t="s">
        <v>1655</v>
      </c>
      <c r="I1943" s="36" t="s">
        <v>1656</v>
      </c>
      <c r="J1943" s="36" t="s">
        <v>1656</v>
      </c>
      <c r="K1943" s="36" t="s">
        <v>1763</v>
      </c>
      <c r="L1943" s="36" t="s">
        <v>5031</v>
      </c>
      <c r="M1943" s="36" t="s">
        <v>5031</v>
      </c>
      <c r="N1943" s="36" t="s">
        <v>32</v>
      </c>
    </row>
    <row r="1944">
      <c r="A1944" s="36" t="s">
        <v>5060</v>
      </c>
      <c r="B1944" s="154" t="s">
        <v>5052</v>
      </c>
      <c r="C1944" s="36" t="s">
        <v>1666</v>
      </c>
      <c r="D1944" s="36" t="s">
        <v>77</v>
      </c>
      <c r="E1944" s="36" t="s">
        <v>77</v>
      </c>
      <c r="F1944" s="154" t="s">
        <v>1768</v>
      </c>
      <c r="G1944" s="36" t="s">
        <v>34</v>
      </c>
      <c r="H1944" s="36" t="s">
        <v>1655</v>
      </c>
      <c r="I1944" s="36" t="s">
        <v>1656</v>
      </c>
      <c r="J1944" s="36" t="s">
        <v>1656</v>
      </c>
      <c r="K1944" s="36" t="s">
        <v>4248</v>
      </c>
      <c r="L1944" s="36" t="s">
        <v>5031</v>
      </c>
      <c r="M1944" s="36" t="s">
        <v>5031</v>
      </c>
      <c r="N1944" s="36" t="s">
        <v>32</v>
      </c>
    </row>
    <row r="1945">
      <c r="A1945" s="36" t="s">
        <v>5061</v>
      </c>
      <c r="B1945" s="154" t="s">
        <v>5052</v>
      </c>
      <c r="C1945" s="36" t="s">
        <v>1666</v>
      </c>
      <c r="D1945" s="36" t="s">
        <v>305</v>
      </c>
      <c r="E1945" s="36" t="s">
        <v>305</v>
      </c>
      <c r="F1945" s="154" t="s">
        <v>1729</v>
      </c>
      <c r="G1945" s="36" t="s">
        <v>32</v>
      </c>
      <c r="H1945" s="36" t="s">
        <v>1655</v>
      </c>
      <c r="I1945" s="36" t="s">
        <v>1656</v>
      </c>
      <c r="J1945" s="36" t="s">
        <v>1656</v>
      </c>
      <c r="K1945" s="36" t="s">
        <v>1691</v>
      </c>
      <c r="L1945" s="36" t="s">
        <v>5031</v>
      </c>
      <c r="M1945" s="36" t="s">
        <v>5031</v>
      </c>
      <c r="N1945" s="36" t="s">
        <v>32</v>
      </c>
    </row>
    <row r="1946">
      <c r="A1946" s="36" t="s">
        <v>5062</v>
      </c>
      <c r="B1946" s="154" t="s">
        <v>5052</v>
      </c>
      <c r="C1946" s="36" t="s">
        <v>1666</v>
      </c>
      <c r="D1946" s="36" t="s">
        <v>220</v>
      </c>
      <c r="E1946" s="36" t="s">
        <v>220</v>
      </c>
      <c r="F1946" s="154" t="s">
        <v>5063</v>
      </c>
      <c r="G1946" s="36" t="s">
        <v>28</v>
      </c>
      <c r="H1946" s="36" t="s">
        <v>1655</v>
      </c>
      <c r="I1946" s="36" t="s">
        <v>1656</v>
      </c>
      <c r="J1946" s="36" t="s">
        <v>1656</v>
      </c>
      <c r="K1946" s="36" t="s">
        <v>1695</v>
      </c>
      <c r="L1946" s="36" t="s">
        <v>5031</v>
      </c>
      <c r="M1946" s="36" t="s">
        <v>5031</v>
      </c>
      <c r="N1946" s="36" t="s">
        <v>32</v>
      </c>
    </row>
    <row r="1947">
      <c r="A1947" s="36" t="s">
        <v>5064</v>
      </c>
      <c r="B1947" s="154" t="s">
        <v>5052</v>
      </c>
      <c r="C1947" s="36" t="s">
        <v>1666</v>
      </c>
      <c r="D1947" s="36" t="s">
        <v>281</v>
      </c>
      <c r="E1947" s="36" t="s">
        <v>281</v>
      </c>
      <c r="F1947" s="154" t="s">
        <v>5065</v>
      </c>
      <c r="G1947" s="36" t="s">
        <v>28</v>
      </c>
      <c r="H1947" s="36" t="s">
        <v>1655</v>
      </c>
      <c r="I1947" s="36" t="s">
        <v>1656</v>
      </c>
      <c r="J1947" s="36" t="s">
        <v>1656</v>
      </c>
      <c r="K1947" s="36" t="s">
        <v>1698</v>
      </c>
      <c r="L1947" s="36" t="s">
        <v>5031</v>
      </c>
      <c r="M1947" s="36" t="s">
        <v>5031</v>
      </c>
      <c r="N1947" s="36" t="s">
        <v>32</v>
      </c>
    </row>
    <row r="1948">
      <c r="A1948" s="36" t="s">
        <v>5066</v>
      </c>
      <c r="B1948" s="154" t="s">
        <v>5052</v>
      </c>
      <c r="C1948" s="36" t="s">
        <v>1666</v>
      </c>
      <c r="D1948" s="36" t="s">
        <v>226</v>
      </c>
      <c r="E1948" s="36" t="s">
        <v>226</v>
      </c>
      <c r="F1948" s="154" t="s">
        <v>5067</v>
      </c>
      <c r="G1948" s="36" t="s">
        <v>28</v>
      </c>
      <c r="H1948" s="36" t="s">
        <v>1655</v>
      </c>
      <c r="I1948" s="36" t="s">
        <v>1656</v>
      </c>
      <c r="J1948" s="36" t="s">
        <v>1656</v>
      </c>
      <c r="K1948" s="36" t="s">
        <v>1701</v>
      </c>
      <c r="L1948" s="36" t="s">
        <v>5031</v>
      </c>
      <c r="M1948" s="36" t="s">
        <v>5031</v>
      </c>
      <c r="N1948" s="36" t="s">
        <v>32</v>
      </c>
    </row>
    <row r="1949">
      <c r="A1949" s="36" t="s">
        <v>5068</v>
      </c>
      <c r="B1949" s="154" t="s">
        <v>5052</v>
      </c>
      <c r="C1949" s="36" t="s">
        <v>1666</v>
      </c>
      <c r="D1949" s="36" t="s">
        <v>115</v>
      </c>
      <c r="E1949" s="36" t="s">
        <v>115</v>
      </c>
      <c r="F1949" s="154" t="s">
        <v>1683</v>
      </c>
      <c r="G1949" s="36" t="s">
        <v>32</v>
      </c>
      <c r="H1949" s="36" t="s">
        <v>1655</v>
      </c>
      <c r="I1949" s="36" t="s">
        <v>1656</v>
      </c>
      <c r="J1949" s="36" t="s">
        <v>1656</v>
      </c>
      <c r="K1949" s="36" t="s">
        <v>1704</v>
      </c>
      <c r="L1949" s="36" t="s">
        <v>5031</v>
      </c>
      <c r="M1949" s="36" t="s">
        <v>5031</v>
      </c>
      <c r="N1949" s="36" t="s">
        <v>32</v>
      </c>
    </row>
    <row r="1950">
      <c r="A1950" s="36" t="s">
        <v>5069</v>
      </c>
      <c r="B1950" s="154" t="s">
        <v>5052</v>
      </c>
      <c r="C1950" s="36" t="s">
        <v>1666</v>
      </c>
      <c r="D1950" s="36" t="s">
        <v>114</v>
      </c>
      <c r="E1950" s="36" t="s">
        <v>114</v>
      </c>
      <c r="F1950" s="154" t="s">
        <v>4465</v>
      </c>
      <c r="G1950" s="36" t="s">
        <v>32</v>
      </c>
      <c r="H1950" s="36" t="s">
        <v>1655</v>
      </c>
      <c r="I1950" s="36" t="s">
        <v>1656</v>
      </c>
      <c r="J1950" s="36" t="s">
        <v>1656</v>
      </c>
      <c r="K1950" s="36" t="s">
        <v>1711</v>
      </c>
      <c r="L1950" s="36" t="s">
        <v>5031</v>
      </c>
      <c r="M1950" s="36" t="s">
        <v>5031</v>
      </c>
      <c r="N1950" s="36" t="s">
        <v>32</v>
      </c>
    </row>
    <row r="1951">
      <c r="A1951" s="36" t="s">
        <v>5070</v>
      </c>
      <c r="B1951" s="154" t="s">
        <v>5052</v>
      </c>
      <c r="C1951" s="36" t="s">
        <v>1666</v>
      </c>
      <c r="D1951" s="36" t="s">
        <v>109</v>
      </c>
      <c r="E1951" s="36" t="s">
        <v>109</v>
      </c>
      <c r="F1951" s="154" t="s">
        <v>1723</v>
      </c>
      <c r="G1951" s="36" t="s">
        <v>28</v>
      </c>
      <c r="H1951" s="36" t="s">
        <v>1655</v>
      </c>
      <c r="I1951" s="36" t="s">
        <v>1656</v>
      </c>
      <c r="J1951" s="36" t="s">
        <v>1656</v>
      </c>
      <c r="K1951" s="36" t="s">
        <v>1715</v>
      </c>
      <c r="L1951" s="36" t="s">
        <v>5031</v>
      </c>
      <c r="M1951" s="36" t="s">
        <v>5031</v>
      </c>
      <c r="N1951" s="36" t="s">
        <v>34</v>
      </c>
    </row>
    <row r="1952">
      <c r="A1952" s="36" t="s">
        <v>5071</v>
      </c>
      <c r="B1952" s="154" t="s">
        <v>5052</v>
      </c>
      <c r="C1952" s="36" t="s">
        <v>1666</v>
      </c>
      <c r="D1952" s="36" t="s">
        <v>684</v>
      </c>
      <c r="E1952" s="36" t="s">
        <v>684</v>
      </c>
      <c r="F1952" s="154" t="s">
        <v>3820</v>
      </c>
      <c r="G1952" s="36" t="s">
        <v>28</v>
      </c>
      <c r="H1952" s="36" t="s">
        <v>1655</v>
      </c>
      <c r="I1952" s="36" t="s">
        <v>1656</v>
      </c>
      <c r="J1952" s="36" t="s">
        <v>1656</v>
      </c>
      <c r="K1952" s="36" t="s">
        <v>1717</v>
      </c>
      <c r="L1952" s="36" t="s">
        <v>5031</v>
      </c>
      <c r="M1952" s="36" t="s">
        <v>5031</v>
      </c>
      <c r="N1952" s="36" t="s">
        <v>34</v>
      </c>
    </row>
    <row r="1953">
      <c r="A1953" s="36" t="s">
        <v>5072</v>
      </c>
      <c r="B1953" s="154" t="s">
        <v>5052</v>
      </c>
      <c r="C1953" s="36" t="s">
        <v>1666</v>
      </c>
      <c r="D1953" s="36" t="s">
        <v>110</v>
      </c>
      <c r="E1953" s="36" t="s">
        <v>110</v>
      </c>
      <c r="F1953" s="154" t="s">
        <v>1816</v>
      </c>
      <c r="G1953" s="36" t="s">
        <v>28</v>
      </c>
      <c r="H1953" s="36" t="s">
        <v>1655</v>
      </c>
      <c r="I1953" s="36" t="s">
        <v>1656</v>
      </c>
      <c r="J1953" s="36" t="s">
        <v>1656</v>
      </c>
      <c r="K1953" s="36" t="s">
        <v>1724</v>
      </c>
      <c r="L1953" s="36" t="s">
        <v>5031</v>
      </c>
      <c r="M1953" s="36" t="s">
        <v>5031</v>
      </c>
      <c r="N1953" s="36" t="s">
        <v>34</v>
      </c>
    </row>
    <row r="1954">
      <c r="A1954" s="36" t="s">
        <v>5073</v>
      </c>
      <c r="B1954" s="154" t="s">
        <v>5074</v>
      </c>
      <c r="C1954" s="36" t="s">
        <v>1666</v>
      </c>
      <c r="D1954" s="36" t="s">
        <v>994</v>
      </c>
      <c r="E1954" s="36" t="s">
        <v>994</v>
      </c>
      <c r="F1954" s="154" t="s">
        <v>5075</v>
      </c>
      <c r="G1954" s="36" t="s">
        <v>32</v>
      </c>
      <c r="H1954" s="36" t="s">
        <v>1655</v>
      </c>
      <c r="I1954" s="36" t="s">
        <v>1656</v>
      </c>
      <c r="J1954" s="36" t="s">
        <v>1656</v>
      </c>
      <c r="K1954" s="36" t="s">
        <v>1727</v>
      </c>
      <c r="L1954" s="36" t="s">
        <v>5031</v>
      </c>
      <c r="M1954" s="36" t="s">
        <v>5031</v>
      </c>
      <c r="N1954" s="36" t="s">
        <v>32</v>
      </c>
    </row>
    <row r="1955">
      <c r="A1955" s="36" t="s">
        <v>5076</v>
      </c>
      <c r="B1955" s="154" t="s">
        <v>5074</v>
      </c>
      <c r="C1955" s="36" t="s">
        <v>1666</v>
      </c>
      <c r="D1955" s="36" t="s">
        <v>997</v>
      </c>
      <c r="E1955" s="36" t="s">
        <v>997</v>
      </c>
      <c r="F1955" s="154" t="s">
        <v>1768</v>
      </c>
      <c r="G1955" s="36" t="s">
        <v>28</v>
      </c>
      <c r="H1955" s="36" t="s">
        <v>1655</v>
      </c>
      <c r="I1955" s="36" t="s">
        <v>1656</v>
      </c>
      <c r="J1955" s="36" t="s">
        <v>1656</v>
      </c>
      <c r="K1955" s="36" t="s">
        <v>1730</v>
      </c>
      <c r="L1955" s="36" t="s">
        <v>5031</v>
      </c>
      <c r="M1955" s="36" t="s">
        <v>5031</v>
      </c>
      <c r="N1955" s="36" t="s">
        <v>34</v>
      </c>
    </row>
    <row r="1956">
      <c r="A1956" s="36" t="s">
        <v>5077</v>
      </c>
      <c r="B1956" s="154" t="s">
        <v>5078</v>
      </c>
      <c r="C1956" s="36" t="s">
        <v>1666</v>
      </c>
      <c r="D1956" s="36" t="s">
        <v>94</v>
      </c>
      <c r="E1956" s="36" t="s">
        <v>94</v>
      </c>
      <c r="F1956" s="154" t="s">
        <v>1816</v>
      </c>
      <c r="G1956" s="36" t="s">
        <v>28</v>
      </c>
      <c r="H1956" s="36" t="s">
        <v>1655</v>
      </c>
      <c r="I1956" s="36" t="s">
        <v>1656</v>
      </c>
      <c r="J1956" s="36" t="s">
        <v>1656</v>
      </c>
      <c r="K1956" s="36" t="s">
        <v>1732</v>
      </c>
      <c r="L1956" s="36" t="s">
        <v>5031</v>
      </c>
      <c r="M1956" s="36" t="s">
        <v>5031</v>
      </c>
      <c r="N1956" s="36" t="s">
        <v>32</v>
      </c>
    </row>
    <row r="1957">
      <c r="A1957" s="36" t="s">
        <v>5079</v>
      </c>
      <c r="B1957" s="154" t="s">
        <v>5080</v>
      </c>
      <c r="C1957" s="36" t="s">
        <v>1666</v>
      </c>
      <c r="D1957" s="36" t="s">
        <v>110</v>
      </c>
      <c r="E1957" s="36" t="s">
        <v>110</v>
      </c>
      <c r="F1957" s="154" t="s">
        <v>1816</v>
      </c>
      <c r="G1957" s="36" t="s">
        <v>28</v>
      </c>
      <c r="H1957" s="36" t="s">
        <v>1655</v>
      </c>
      <c r="I1957" s="36" t="s">
        <v>1656</v>
      </c>
      <c r="J1957" s="36" t="s">
        <v>1656</v>
      </c>
      <c r="K1957" s="36" t="s">
        <v>1736</v>
      </c>
      <c r="L1957" s="36" t="s">
        <v>5031</v>
      </c>
      <c r="M1957" s="36" t="s">
        <v>5031</v>
      </c>
      <c r="N1957" s="36" t="s">
        <v>34</v>
      </c>
    </row>
    <row r="1958">
      <c r="A1958" s="36" t="s">
        <v>5081</v>
      </c>
      <c r="B1958" s="154" t="s">
        <v>5080</v>
      </c>
      <c r="C1958" s="36" t="s">
        <v>1666</v>
      </c>
      <c r="D1958" s="36" t="s">
        <v>805</v>
      </c>
      <c r="E1958" s="36" t="s">
        <v>805</v>
      </c>
      <c r="F1958" s="154" t="s">
        <v>1816</v>
      </c>
      <c r="G1958" s="36" t="s">
        <v>28</v>
      </c>
      <c r="H1958" s="36" t="s">
        <v>1655</v>
      </c>
      <c r="I1958" s="36" t="s">
        <v>1656</v>
      </c>
      <c r="J1958" s="36" t="s">
        <v>1656</v>
      </c>
      <c r="K1958" s="36" t="s">
        <v>1739</v>
      </c>
      <c r="L1958" s="36" t="s">
        <v>5031</v>
      </c>
      <c r="M1958" s="36" t="s">
        <v>5031</v>
      </c>
      <c r="N1958" s="36" t="s">
        <v>34</v>
      </c>
    </row>
    <row r="1959">
      <c r="A1959" s="36" t="s">
        <v>5082</v>
      </c>
      <c r="B1959" s="154" t="s">
        <v>5083</v>
      </c>
      <c r="C1959" s="36" t="s">
        <v>1666</v>
      </c>
      <c r="D1959" s="36" t="s">
        <v>712</v>
      </c>
      <c r="E1959" s="36" t="s">
        <v>712</v>
      </c>
      <c r="F1959" s="154" t="s">
        <v>5084</v>
      </c>
      <c r="G1959" s="36" t="s">
        <v>28</v>
      </c>
      <c r="H1959" s="36" t="s">
        <v>1655</v>
      </c>
      <c r="I1959" s="36" t="s">
        <v>1656</v>
      </c>
      <c r="J1959" s="36" t="s">
        <v>1656</v>
      </c>
      <c r="K1959" s="36" t="s">
        <v>1766</v>
      </c>
      <c r="L1959" s="36" t="s">
        <v>5031</v>
      </c>
      <c r="M1959" s="36" t="s">
        <v>5031</v>
      </c>
      <c r="N1959" s="36" t="s">
        <v>32</v>
      </c>
    </row>
    <row r="1960">
      <c r="A1960" s="36" t="s">
        <v>5085</v>
      </c>
      <c r="B1960" s="154" t="s">
        <v>5083</v>
      </c>
      <c r="C1960" s="36" t="s">
        <v>1666</v>
      </c>
      <c r="D1960" s="36" t="s">
        <v>1011</v>
      </c>
      <c r="E1960" s="36" t="s">
        <v>1011</v>
      </c>
      <c r="F1960" s="154" t="s">
        <v>1810</v>
      </c>
      <c r="G1960" s="36" t="s">
        <v>32</v>
      </c>
      <c r="H1960" s="36" t="s">
        <v>1655</v>
      </c>
      <c r="I1960" s="36" t="s">
        <v>1656</v>
      </c>
      <c r="J1960" s="36" t="s">
        <v>1656</v>
      </c>
      <c r="K1960" s="36" t="s">
        <v>1742</v>
      </c>
      <c r="L1960" s="36" t="s">
        <v>5031</v>
      </c>
      <c r="M1960" s="36" t="s">
        <v>5031</v>
      </c>
      <c r="N1960" s="36" t="s">
        <v>32</v>
      </c>
    </row>
    <row r="1961">
      <c r="A1961" s="36" t="s">
        <v>5086</v>
      </c>
      <c r="B1961" s="154" t="s">
        <v>5087</v>
      </c>
      <c r="C1961" s="36" t="s">
        <v>1666</v>
      </c>
      <c r="D1961" s="36" t="s">
        <v>1015</v>
      </c>
      <c r="E1961" s="36" t="s">
        <v>1015</v>
      </c>
      <c r="F1961" s="154" t="s">
        <v>1916</v>
      </c>
      <c r="G1961" s="36" t="s">
        <v>32</v>
      </c>
      <c r="H1961" s="36" t="s">
        <v>1655</v>
      </c>
      <c r="I1961" s="36" t="s">
        <v>1656</v>
      </c>
      <c r="J1961" s="36" t="s">
        <v>1656</v>
      </c>
      <c r="K1961" s="36" t="s">
        <v>1745</v>
      </c>
      <c r="L1961" s="36" t="s">
        <v>5031</v>
      </c>
      <c r="M1961" s="36" t="s">
        <v>5031</v>
      </c>
      <c r="N1961" s="36" t="s">
        <v>32</v>
      </c>
    </row>
    <row r="1962">
      <c r="A1962" s="36" t="s">
        <v>5088</v>
      </c>
      <c r="B1962" s="154" t="s">
        <v>5087</v>
      </c>
      <c r="C1962" s="36" t="s">
        <v>1666</v>
      </c>
      <c r="D1962" s="36" t="s">
        <v>618</v>
      </c>
      <c r="E1962" s="36" t="s">
        <v>618</v>
      </c>
      <c r="F1962" s="154" t="s">
        <v>1729</v>
      </c>
      <c r="G1962" s="36" t="s">
        <v>28</v>
      </c>
      <c r="H1962" s="36" t="s">
        <v>1655</v>
      </c>
      <c r="I1962" s="36" t="s">
        <v>1656</v>
      </c>
      <c r="J1962" s="36" t="s">
        <v>1656</v>
      </c>
      <c r="K1962" s="36" t="s">
        <v>1773</v>
      </c>
      <c r="L1962" s="36" t="s">
        <v>5031</v>
      </c>
      <c r="M1962" s="36" t="s">
        <v>5031</v>
      </c>
      <c r="N1962" s="36" t="s">
        <v>32</v>
      </c>
    </row>
    <row r="1963">
      <c r="A1963" s="36" t="s">
        <v>5089</v>
      </c>
      <c r="B1963" s="154" t="s">
        <v>5087</v>
      </c>
      <c r="C1963" s="36" t="s">
        <v>1666</v>
      </c>
      <c r="D1963" s="36" t="s">
        <v>1019</v>
      </c>
      <c r="E1963" s="36" t="s">
        <v>1019</v>
      </c>
      <c r="F1963" s="154" t="s">
        <v>1868</v>
      </c>
      <c r="G1963" s="36" t="s">
        <v>28</v>
      </c>
      <c r="H1963" s="36" t="s">
        <v>1655</v>
      </c>
      <c r="I1963" s="36" t="s">
        <v>1656</v>
      </c>
      <c r="J1963" s="36" t="s">
        <v>1656</v>
      </c>
      <c r="K1963" s="36" t="s">
        <v>1776</v>
      </c>
      <c r="L1963" s="36" t="s">
        <v>5031</v>
      </c>
      <c r="M1963" s="36" t="s">
        <v>5031</v>
      </c>
      <c r="N1963" s="36" t="s">
        <v>32</v>
      </c>
    </row>
    <row r="1964">
      <c r="A1964" s="36" t="s">
        <v>5090</v>
      </c>
      <c r="B1964" s="154" t="s">
        <v>5091</v>
      </c>
      <c r="C1964" s="36" t="s">
        <v>1666</v>
      </c>
      <c r="D1964" s="36" t="s">
        <v>1024</v>
      </c>
      <c r="E1964" s="36" t="s">
        <v>1024</v>
      </c>
      <c r="F1964" s="154" t="s">
        <v>3324</v>
      </c>
      <c r="G1964" s="36" t="s">
        <v>32</v>
      </c>
      <c r="H1964" s="36" t="s">
        <v>1655</v>
      </c>
      <c r="I1964" s="36" t="s">
        <v>1656</v>
      </c>
      <c r="J1964" s="36" t="s">
        <v>1656</v>
      </c>
      <c r="K1964" s="36" t="s">
        <v>1779</v>
      </c>
      <c r="L1964" s="36" t="s">
        <v>5031</v>
      </c>
      <c r="M1964" s="36" t="s">
        <v>5031</v>
      </c>
      <c r="N1964" s="36" t="s">
        <v>32</v>
      </c>
    </row>
    <row r="1965">
      <c r="A1965" s="36" t="s">
        <v>5092</v>
      </c>
      <c r="B1965" s="154" t="s">
        <v>5091</v>
      </c>
      <c r="C1965" s="36" t="s">
        <v>1666</v>
      </c>
      <c r="D1965" s="36" t="s">
        <v>1027</v>
      </c>
      <c r="E1965" s="36" t="s">
        <v>1027</v>
      </c>
      <c r="F1965" s="154" t="s">
        <v>2156</v>
      </c>
      <c r="G1965" s="36" t="s">
        <v>28</v>
      </c>
      <c r="H1965" s="36" t="s">
        <v>1655</v>
      </c>
      <c r="I1965" s="36" t="s">
        <v>1656</v>
      </c>
      <c r="J1965" s="36" t="s">
        <v>1656</v>
      </c>
      <c r="K1965" s="36" t="s">
        <v>1782</v>
      </c>
      <c r="L1965" s="36" t="s">
        <v>5031</v>
      </c>
      <c r="M1965" s="36" t="s">
        <v>5031</v>
      </c>
      <c r="N1965" s="36" t="s">
        <v>34</v>
      </c>
    </row>
    <row r="1966">
      <c r="A1966" s="36" t="s">
        <v>5093</v>
      </c>
      <c r="B1966" s="154" t="s">
        <v>5094</v>
      </c>
      <c r="C1966" s="36" t="s">
        <v>1666</v>
      </c>
      <c r="D1966" s="36" t="s">
        <v>1035</v>
      </c>
      <c r="E1966" s="36" t="s">
        <v>1035</v>
      </c>
      <c r="F1966" s="154" t="s">
        <v>5095</v>
      </c>
      <c r="G1966" s="36" t="s">
        <v>32</v>
      </c>
      <c r="H1966" s="36" t="s">
        <v>1655</v>
      </c>
      <c r="I1966" s="36" t="s">
        <v>1656</v>
      </c>
      <c r="J1966" s="36" t="s">
        <v>1656</v>
      </c>
      <c r="K1966" s="36" t="s">
        <v>1784</v>
      </c>
      <c r="L1966" s="36" t="s">
        <v>5031</v>
      </c>
      <c r="M1966" s="36" t="s">
        <v>5031</v>
      </c>
      <c r="N1966" s="36" t="s">
        <v>32</v>
      </c>
    </row>
    <row r="1967">
      <c r="A1967" s="36" t="s">
        <v>5096</v>
      </c>
      <c r="B1967" s="154" t="s">
        <v>5097</v>
      </c>
      <c r="C1967" s="36" t="s">
        <v>1666</v>
      </c>
      <c r="D1967" s="36" t="s">
        <v>1011</v>
      </c>
      <c r="E1967" s="36" t="s">
        <v>1011</v>
      </c>
      <c r="F1967" s="154" t="s">
        <v>1810</v>
      </c>
      <c r="G1967" s="36" t="s">
        <v>32</v>
      </c>
      <c r="H1967" s="36" t="s">
        <v>1655</v>
      </c>
      <c r="I1967" s="36" t="s">
        <v>1656</v>
      </c>
      <c r="J1967" s="36" t="s">
        <v>1656</v>
      </c>
      <c r="K1967" s="36" t="s">
        <v>1787</v>
      </c>
      <c r="L1967" s="36" t="s">
        <v>5031</v>
      </c>
      <c r="M1967" s="36" t="s">
        <v>5031</v>
      </c>
      <c r="N1967" s="36" t="s">
        <v>32</v>
      </c>
    </row>
    <row r="1968">
      <c r="A1968" s="36" t="s">
        <v>5098</v>
      </c>
      <c r="B1968" s="154" t="s">
        <v>5099</v>
      </c>
      <c r="C1968" s="36" t="s">
        <v>1666</v>
      </c>
      <c r="D1968" s="36" t="s">
        <v>109</v>
      </c>
      <c r="E1968" s="36" t="s">
        <v>109</v>
      </c>
      <c r="F1968" s="154" t="s">
        <v>2828</v>
      </c>
      <c r="G1968" s="36" t="s">
        <v>28</v>
      </c>
      <c r="H1968" s="36" t="s">
        <v>1655</v>
      </c>
      <c r="I1968" s="36" t="s">
        <v>1656</v>
      </c>
      <c r="J1968" s="36" t="s">
        <v>1656</v>
      </c>
      <c r="K1968" s="36" t="s">
        <v>1790</v>
      </c>
      <c r="L1968" s="36" t="s">
        <v>5031</v>
      </c>
      <c r="M1968" s="36" t="s">
        <v>5031</v>
      </c>
      <c r="N1968" s="36" t="s">
        <v>34</v>
      </c>
    </row>
    <row r="1969">
      <c r="A1969" s="36" t="s">
        <v>5100</v>
      </c>
      <c r="B1969" s="154" t="s">
        <v>5099</v>
      </c>
      <c r="C1969" s="36" t="s">
        <v>1666</v>
      </c>
      <c r="D1969" s="36" t="s">
        <v>805</v>
      </c>
      <c r="E1969" s="36" t="s">
        <v>805</v>
      </c>
      <c r="F1969" s="154" t="s">
        <v>1768</v>
      </c>
      <c r="G1969" s="36" t="s">
        <v>28</v>
      </c>
      <c r="H1969" s="36" t="s">
        <v>1655</v>
      </c>
      <c r="I1969" s="36" t="s">
        <v>1656</v>
      </c>
      <c r="J1969" s="36" t="s">
        <v>1656</v>
      </c>
      <c r="K1969" s="36" t="s">
        <v>1793</v>
      </c>
      <c r="L1969" s="36" t="s">
        <v>5031</v>
      </c>
      <c r="M1969" s="36" t="s">
        <v>5031</v>
      </c>
      <c r="N1969" s="36" t="s">
        <v>34</v>
      </c>
    </row>
    <row r="1970">
      <c r="A1970" s="36" t="s">
        <v>5101</v>
      </c>
      <c r="B1970" s="154" t="s">
        <v>5102</v>
      </c>
      <c r="C1970" s="36" t="s">
        <v>1666</v>
      </c>
      <c r="D1970" s="36" t="s">
        <v>81</v>
      </c>
      <c r="E1970" s="36" t="s">
        <v>81</v>
      </c>
      <c r="F1970" s="154" t="s">
        <v>4305</v>
      </c>
      <c r="G1970" s="36" t="s">
        <v>28</v>
      </c>
      <c r="H1970" s="36" t="s">
        <v>1655</v>
      </c>
      <c r="I1970" s="36" t="s">
        <v>1656</v>
      </c>
      <c r="J1970" s="36" t="s">
        <v>1656</v>
      </c>
      <c r="K1970" s="36" t="s">
        <v>1891</v>
      </c>
      <c r="L1970" s="36" t="s">
        <v>5031</v>
      </c>
      <c r="M1970" s="36" t="s">
        <v>5031</v>
      </c>
      <c r="N1970" s="36" t="s">
        <v>32</v>
      </c>
    </row>
    <row r="1971">
      <c r="A1971" s="36" t="s">
        <v>5103</v>
      </c>
      <c r="B1971" s="154" t="s">
        <v>5102</v>
      </c>
      <c r="C1971" s="36" t="s">
        <v>1666</v>
      </c>
      <c r="D1971" s="36" t="s">
        <v>83</v>
      </c>
      <c r="E1971" s="36" t="s">
        <v>83</v>
      </c>
      <c r="F1971" s="154" t="s">
        <v>4307</v>
      </c>
      <c r="G1971" s="36" t="s">
        <v>28</v>
      </c>
      <c r="H1971" s="36" t="s">
        <v>1655</v>
      </c>
      <c r="I1971" s="36" t="s">
        <v>1656</v>
      </c>
      <c r="J1971" s="36" t="s">
        <v>1656</v>
      </c>
      <c r="K1971" s="36" t="s">
        <v>1921</v>
      </c>
      <c r="L1971" s="36" t="s">
        <v>5031</v>
      </c>
      <c r="M1971" s="36" t="s">
        <v>5031</v>
      </c>
      <c r="N1971" s="36" t="s">
        <v>32</v>
      </c>
    </row>
    <row r="1972">
      <c r="A1972" s="36" t="s">
        <v>5104</v>
      </c>
      <c r="B1972" s="154" t="s">
        <v>5102</v>
      </c>
      <c r="C1972" s="36" t="s">
        <v>1666</v>
      </c>
      <c r="D1972" s="36" t="s">
        <v>84</v>
      </c>
      <c r="E1972" s="36" t="s">
        <v>84</v>
      </c>
      <c r="F1972" s="154" t="s">
        <v>5105</v>
      </c>
      <c r="G1972" s="36" t="s">
        <v>32</v>
      </c>
      <c r="H1972" s="36" t="s">
        <v>1655</v>
      </c>
      <c r="I1972" s="36" t="s">
        <v>1656</v>
      </c>
      <c r="J1972" s="36" t="s">
        <v>1656</v>
      </c>
      <c r="K1972" s="36" t="s">
        <v>3166</v>
      </c>
      <c r="L1972" s="36" t="s">
        <v>5031</v>
      </c>
      <c r="M1972" s="36" t="s">
        <v>5031</v>
      </c>
      <c r="N1972" s="36" t="s">
        <v>32</v>
      </c>
    </row>
    <row r="1973">
      <c r="A1973" s="36" t="s">
        <v>5106</v>
      </c>
      <c r="B1973" s="154" t="s">
        <v>5102</v>
      </c>
      <c r="C1973" s="36" t="s">
        <v>1666</v>
      </c>
      <c r="D1973" s="36" t="s">
        <v>1011</v>
      </c>
      <c r="E1973" s="36" t="s">
        <v>1011</v>
      </c>
      <c r="F1973" s="154" t="s">
        <v>1810</v>
      </c>
      <c r="G1973" s="36" t="s">
        <v>32</v>
      </c>
      <c r="H1973" s="36" t="s">
        <v>1655</v>
      </c>
      <c r="I1973" s="36" t="s">
        <v>1656</v>
      </c>
      <c r="J1973" s="36" t="s">
        <v>1656</v>
      </c>
      <c r="K1973" s="36" t="s">
        <v>1796</v>
      </c>
      <c r="L1973" s="36" t="s">
        <v>5031</v>
      </c>
      <c r="M1973" s="36" t="s">
        <v>5031</v>
      </c>
      <c r="N1973" s="36" t="s">
        <v>32</v>
      </c>
    </row>
    <row r="1974">
      <c r="A1974" s="36" t="s">
        <v>5107</v>
      </c>
      <c r="B1974" s="154" t="s">
        <v>5108</v>
      </c>
      <c r="C1974" s="36" t="s">
        <v>1666</v>
      </c>
      <c r="D1974" s="36" t="s">
        <v>495</v>
      </c>
      <c r="E1974" s="36" t="s">
        <v>495</v>
      </c>
      <c r="F1974" s="154" t="s">
        <v>5109</v>
      </c>
      <c r="G1974" s="36" t="s">
        <v>28</v>
      </c>
      <c r="H1974" s="36" t="s">
        <v>1655</v>
      </c>
      <c r="I1974" s="36" t="s">
        <v>1656</v>
      </c>
      <c r="J1974" s="36" t="s">
        <v>1656</v>
      </c>
      <c r="K1974" s="36" t="s">
        <v>1800</v>
      </c>
      <c r="L1974" s="36" t="s">
        <v>5031</v>
      </c>
      <c r="M1974" s="36" t="s">
        <v>5031</v>
      </c>
      <c r="N1974" s="36" t="s">
        <v>32</v>
      </c>
    </row>
    <row r="1975">
      <c r="A1975" s="36" t="s">
        <v>5110</v>
      </c>
      <c r="B1975" s="154" t="s">
        <v>5108</v>
      </c>
      <c r="C1975" s="36" t="s">
        <v>1666</v>
      </c>
      <c r="D1975" s="36" t="s">
        <v>1057</v>
      </c>
      <c r="E1975" s="36" t="s">
        <v>1057</v>
      </c>
      <c r="F1975" s="154" t="s">
        <v>2163</v>
      </c>
      <c r="G1975" s="36" t="s">
        <v>28</v>
      </c>
      <c r="H1975" s="36" t="s">
        <v>1655</v>
      </c>
      <c r="I1975" s="36" t="s">
        <v>1656</v>
      </c>
      <c r="J1975" s="36" t="s">
        <v>1656</v>
      </c>
      <c r="K1975" s="36" t="s">
        <v>1803</v>
      </c>
      <c r="L1975" s="36" t="s">
        <v>5031</v>
      </c>
      <c r="M1975" s="36" t="s">
        <v>5031</v>
      </c>
      <c r="N1975" s="36" t="s">
        <v>34</v>
      </c>
    </row>
    <row r="1976">
      <c r="A1976" s="36" t="s">
        <v>5111</v>
      </c>
      <c r="B1976" s="154" t="s">
        <v>5108</v>
      </c>
      <c r="C1976" s="36" t="s">
        <v>1666</v>
      </c>
      <c r="D1976" s="36" t="s">
        <v>1063</v>
      </c>
      <c r="E1976" s="36" t="s">
        <v>1063</v>
      </c>
      <c r="F1976" s="154" t="s">
        <v>5112</v>
      </c>
      <c r="G1976" s="36" t="s">
        <v>28</v>
      </c>
      <c r="H1976" s="36" t="s">
        <v>1655</v>
      </c>
      <c r="I1976" s="36" t="s">
        <v>1656</v>
      </c>
      <c r="J1976" s="36" t="s">
        <v>1656</v>
      </c>
      <c r="K1976" s="36" t="s">
        <v>1807</v>
      </c>
      <c r="L1976" s="36" t="s">
        <v>5031</v>
      </c>
      <c r="M1976" s="36" t="s">
        <v>5031</v>
      </c>
      <c r="N1976" s="36" t="s">
        <v>34</v>
      </c>
    </row>
    <row r="1977">
      <c r="A1977" s="36" t="s">
        <v>5113</v>
      </c>
      <c r="B1977" s="154" t="s">
        <v>5114</v>
      </c>
      <c r="C1977" s="36" t="s">
        <v>1653</v>
      </c>
      <c r="D1977" s="36" t="s">
        <v>43</v>
      </c>
      <c r="E1977" s="36" t="s">
        <v>39</v>
      </c>
      <c r="F1977" s="154" t="s">
        <v>5115</v>
      </c>
      <c r="G1977" s="36" t="s">
        <v>32</v>
      </c>
      <c r="H1977" s="36" t="s">
        <v>1655</v>
      </c>
      <c r="I1977" s="36" t="s">
        <v>1656</v>
      </c>
      <c r="J1977" s="36" t="s">
        <v>1656</v>
      </c>
      <c r="K1977" s="36" t="s">
        <v>1657</v>
      </c>
      <c r="L1977" s="36" t="s">
        <v>4212</v>
      </c>
      <c r="M1977" s="36" t="s">
        <v>4212</v>
      </c>
      <c r="N1977" s="36" t="s">
        <v>32</v>
      </c>
    </row>
    <row r="1978">
      <c r="A1978" s="36" t="s">
        <v>5116</v>
      </c>
      <c r="B1978" s="154" t="s">
        <v>5114</v>
      </c>
      <c r="C1978" s="36" t="s">
        <v>1653</v>
      </c>
      <c r="D1978" s="36" t="s">
        <v>163</v>
      </c>
      <c r="E1978" s="36" t="s">
        <v>39</v>
      </c>
      <c r="F1978" s="154" t="s">
        <v>5117</v>
      </c>
      <c r="G1978" s="36" t="s">
        <v>32</v>
      </c>
      <c r="H1978" s="36" t="s">
        <v>1655</v>
      </c>
      <c r="I1978" s="36" t="s">
        <v>1656</v>
      </c>
      <c r="J1978" s="36" t="s">
        <v>1656</v>
      </c>
      <c r="K1978" s="36" t="s">
        <v>1989</v>
      </c>
      <c r="L1978" s="36" t="s">
        <v>4212</v>
      </c>
      <c r="M1978" s="36" t="s">
        <v>4212</v>
      </c>
      <c r="N1978" s="36" t="s">
        <v>32</v>
      </c>
    </row>
    <row r="1979">
      <c r="A1979" s="36" t="s">
        <v>5118</v>
      </c>
      <c r="B1979" s="154" t="s">
        <v>5114</v>
      </c>
      <c r="C1979" s="36" t="s">
        <v>1666</v>
      </c>
      <c r="D1979" s="36" t="s">
        <v>85</v>
      </c>
      <c r="E1979" s="36" t="s">
        <v>85</v>
      </c>
      <c r="F1979" s="154" t="s">
        <v>4504</v>
      </c>
      <c r="G1979" s="36" t="s">
        <v>28</v>
      </c>
      <c r="H1979" s="36" t="s">
        <v>1655</v>
      </c>
      <c r="I1979" s="36" t="s">
        <v>1656</v>
      </c>
      <c r="J1979" s="36" t="s">
        <v>1656</v>
      </c>
      <c r="K1979" s="36" t="s">
        <v>3038</v>
      </c>
      <c r="L1979" s="36" t="s">
        <v>5031</v>
      </c>
      <c r="M1979" s="36" t="s">
        <v>5031</v>
      </c>
      <c r="N1979" s="36" t="s">
        <v>32</v>
      </c>
    </row>
    <row r="1980">
      <c r="A1980" s="36" t="s">
        <v>5119</v>
      </c>
      <c r="B1980" s="154" t="s">
        <v>5114</v>
      </c>
      <c r="C1980" s="36" t="s">
        <v>1666</v>
      </c>
      <c r="D1980" s="36" t="s">
        <v>193</v>
      </c>
      <c r="E1980" s="36" t="s">
        <v>193</v>
      </c>
      <c r="F1980" s="154" t="s">
        <v>5120</v>
      </c>
      <c r="G1980" s="36" t="s">
        <v>28</v>
      </c>
      <c r="H1980" s="36" t="s">
        <v>1655</v>
      </c>
      <c r="I1980" s="36" t="s">
        <v>1656</v>
      </c>
      <c r="J1980" s="36" t="s">
        <v>1656</v>
      </c>
      <c r="K1980" s="36" t="s">
        <v>2775</v>
      </c>
      <c r="L1980" s="36" t="s">
        <v>5031</v>
      </c>
      <c r="M1980" s="36" t="s">
        <v>5031</v>
      </c>
      <c r="N1980" s="36" t="s">
        <v>32</v>
      </c>
    </row>
    <row r="1981">
      <c r="A1981" s="36" t="s">
        <v>5121</v>
      </c>
      <c r="B1981" s="154" t="s">
        <v>5114</v>
      </c>
      <c r="C1981" s="36" t="s">
        <v>1666</v>
      </c>
      <c r="D1981" s="36" t="s">
        <v>438</v>
      </c>
      <c r="E1981" s="36" t="s">
        <v>438</v>
      </c>
      <c r="F1981" s="154" t="s">
        <v>5122</v>
      </c>
      <c r="G1981" s="36" t="s">
        <v>28</v>
      </c>
      <c r="H1981" s="36" t="s">
        <v>1655</v>
      </c>
      <c r="I1981" s="36" t="s">
        <v>1656</v>
      </c>
      <c r="J1981" s="36" t="s">
        <v>1656</v>
      </c>
      <c r="K1981" s="36" t="s">
        <v>2779</v>
      </c>
      <c r="L1981" s="36" t="s">
        <v>5031</v>
      </c>
      <c r="M1981" s="36" t="s">
        <v>5031</v>
      </c>
      <c r="N1981" s="36" t="s">
        <v>32</v>
      </c>
    </row>
    <row r="1982">
      <c r="A1982" s="36" t="s">
        <v>5123</v>
      </c>
      <c r="B1982" s="154" t="s">
        <v>5114</v>
      </c>
      <c r="C1982" s="36" t="s">
        <v>1666</v>
      </c>
      <c r="D1982" s="36" t="s">
        <v>310</v>
      </c>
      <c r="E1982" s="36" t="s">
        <v>310</v>
      </c>
      <c r="F1982" s="154" t="s">
        <v>2025</v>
      </c>
      <c r="G1982" s="36" t="s">
        <v>28</v>
      </c>
      <c r="H1982" s="36" t="s">
        <v>1655</v>
      </c>
      <c r="I1982" s="36" t="s">
        <v>1656</v>
      </c>
      <c r="J1982" s="36" t="s">
        <v>1656</v>
      </c>
      <c r="K1982" s="36" t="s">
        <v>1675</v>
      </c>
      <c r="L1982" s="36" t="s">
        <v>5031</v>
      </c>
      <c r="M1982" s="36" t="s">
        <v>5031</v>
      </c>
      <c r="N1982" s="36" t="s">
        <v>32</v>
      </c>
    </row>
    <row r="1983">
      <c r="A1983" s="36" t="s">
        <v>5124</v>
      </c>
      <c r="B1983" s="154" t="s">
        <v>5114</v>
      </c>
      <c r="C1983" s="36" t="s">
        <v>1666</v>
      </c>
      <c r="D1983" s="36" t="s">
        <v>88</v>
      </c>
      <c r="E1983" s="36" t="s">
        <v>88</v>
      </c>
      <c r="F1983" s="154" t="s">
        <v>1899</v>
      </c>
      <c r="G1983" s="36" t="s">
        <v>28</v>
      </c>
      <c r="H1983" s="36" t="s">
        <v>1655</v>
      </c>
      <c r="I1983" s="36" t="s">
        <v>1656</v>
      </c>
      <c r="J1983" s="36" t="s">
        <v>1656</v>
      </c>
      <c r="K1983" s="36" t="s">
        <v>1678</v>
      </c>
      <c r="L1983" s="36" t="s">
        <v>5031</v>
      </c>
      <c r="M1983" s="36" t="s">
        <v>5031</v>
      </c>
      <c r="N1983" s="36" t="s">
        <v>32</v>
      </c>
    </row>
    <row r="1984">
      <c r="A1984" s="36" t="s">
        <v>5125</v>
      </c>
      <c r="B1984" s="154" t="s">
        <v>5126</v>
      </c>
      <c r="C1984" s="36" t="s">
        <v>1666</v>
      </c>
      <c r="D1984" s="36" t="s">
        <v>78</v>
      </c>
      <c r="E1984" s="36" t="s">
        <v>78</v>
      </c>
      <c r="F1984" s="154" t="s">
        <v>2553</v>
      </c>
      <c r="G1984" s="36" t="s">
        <v>28</v>
      </c>
      <c r="H1984" s="36" t="s">
        <v>1655</v>
      </c>
      <c r="I1984" s="36" t="s">
        <v>1656</v>
      </c>
      <c r="J1984" s="36" t="s">
        <v>1656</v>
      </c>
      <c r="K1984" s="36" t="s">
        <v>1769</v>
      </c>
      <c r="L1984" s="36" t="s">
        <v>5031</v>
      </c>
      <c r="M1984" s="36" t="s">
        <v>5031</v>
      </c>
      <c r="N1984" s="36" t="s">
        <v>32</v>
      </c>
    </row>
    <row r="1985">
      <c r="A1985" s="36" t="s">
        <v>5127</v>
      </c>
      <c r="B1985" s="154" t="s">
        <v>5126</v>
      </c>
      <c r="C1985" s="36" t="s">
        <v>1666</v>
      </c>
      <c r="D1985" s="36" t="s">
        <v>495</v>
      </c>
      <c r="E1985" s="36" t="s">
        <v>495</v>
      </c>
      <c r="F1985" s="154" t="s">
        <v>1694</v>
      </c>
      <c r="G1985" s="36" t="s">
        <v>28</v>
      </c>
      <c r="H1985" s="36" t="s">
        <v>1655</v>
      </c>
      <c r="I1985" s="36" t="s">
        <v>1656</v>
      </c>
      <c r="J1985" s="36" t="s">
        <v>1656</v>
      </c>
      <c r="K1985" s="36" t="s">
        <v>1681</v>
      </c>
      <c r="L1985" s="36" t="s">
        <v>5031</v>
      </c>
      <c r="M1985" s="36" t="s">
        <v>5031</v>
      </c>
      <c r="N1985" s="36" t="s">
        <v>32</v>
      </c>
    </row>
    <row r="1986">
      <c r="A1986" s="36" t="s">
        <v>5128</v>
      </c>
      <c r="B1986" s="154" t="s">
        <v>5129</v>
      </c>
      <c r="C1986" s="36" t="s">
        <v>1666</v>
      </c>
      <c r="D1986" s="36" t="s">
        <v>63</v>
      </c>
      <c r="E1986" s="36" t="s">
        <v>63</v>
      </c>
      <c r="F1986" s="154" t="s">
        <v>5130</v>
      </c>
      <c r="G1986" s="36" t="s">
        <v>28</v>
      </c>
      <c r="H1986" s="36" t="s">
        <v>1655</v>
      </c>
      <c r="I1986" s="36" t="s">
        <v>1656</v>
      </c>
      <c r="J1986" s="36" t="s">
        <v>1656</v>
      </c>
      <c r="K1986" s="36" t="s">
        <v>4196</v>
      </c>
      <c r="L1986" s="36" t="s">
        <v>5031</v>
      </c>
      <c r="M1986" s="36" t="s">
        <v>5031</v>
      </c>
      <c r="N1986" s="36" t="s">
        <v>34</v>
      </c>
    </row>
    <row r="1987">
      <c r="A1987" s="36" t="s">
        <v>5131</v>
      </c>
      <c r="B1987" s="154" t="s">
        <v>5129</v>
      </c>
      <c r="C1987" s="36" t="s">
        <v>1666</v>
      </c>
      <c r="D1987" s="36" t="s">
        <v>109</v>
      </c>
      <c r="E1987" s="36" t="s">
        <v>109</v>
      </c>
      <c r="F1987" s="154" t="s">
        <v>2049</v>
      </c>
      <c r="G1987" s="36" t="s">
        <v>28</v>
      </c>
      <c r="H1987" s="36" t="s">
        <v>1655</v>
      </c>
      <c r="I1987" s="36" t="s">
        <v>1656</v>
      </c>
      <c r="J1987" s="36" t="s">
        <v>1656</v>
      </c>
      <c r="K1987" s="36" t="s">
        <v>1684</v>
      </c>
      <c r="L1987" s="36" t="s">
        <v>5031</v>
      </c>
      <c r="M1987" s="36" t="s">
        <v>5031</v>
      </c>
      <c r="N1987" s="36" t="s">
        <v>32</v>
      </c>
    </row>
    <row r="1988">
      <c r="A1988" s="36" t="s">
        <v>5132</v>
      </c>
      <c r="B1988" s="154" t="s">
        <v>5133</v>
      </c>
      <c r="C1988" s="36" t="s">
        <v>1666</v>
      </c>
      <c r="D1988" s="36" t="s">
        <v>64</v>
      </c>
      <c r="E1988" s="36" t="s">
        <v>64</v>
      </c>
      <c r="F1988" s="154" t="s">
        <v>4431</v>
      </c>
      <c r="G1988" s="36" t="s">
        <v>28</v>
      </c>
      <c r="H1988" s="36" t="s">
        <v>1655</v>
      </c>
      <c r="I1988" s="36" t="s">
        <v>1656</v>
      </c>
      <c r="J1988" s="36" t="s">
        <v>1656</v>
      </c>
      <c r="K1988" s="36" t="s">
        <v>1708</v>
      </c>
      <c r="L1988" s="36" t="s">
        <v>5031</v>
      </c>
      <c r="M1988" s="36" t="s">
        <v>5031</v>
      </c>
      <c r="N1988" s="36" t="s">
        <v>32</v>
      </c>
    </row>
    <row r="1989">
      <c r="A1989" s="36" t="s">
        <v>5134</v>
      </c>
      <c r="B1989" s="154" t="s">
        <v>5133</v>
      </c>
      <c r="C1989" s="36" t="s">
        <v>1666</v>
      </c>
      <c r="D1989" s="36" t="s">
        <v>955</v>
      </c>
      <c r="E1989" s="36" t="s">
        <v>955</v>
      </c>
      <c r="F1989" s="154" t="s">
        <v>4013</v>
      </c>
      <c r="G1989" s="36" t="s">
        <v>32</v>
      </c>
      <c r="H1989" s="36" t="s">
        <v>1655</v>
      </c>
      <c r="I1989" s="36" t="s">
        <v>1656</v>
      </c>
      <c r="J1989" s="36" t="s">
        <v>1656</v>
      </c>
      <c r="K1989" s="36" t="s">
        <v>1691</v>
      </c>
      <c r="L1989" s="36" t="s">
        <v>5031</v>
      </c>
      <c r="M1989" s="36" t="s">
        <v>5031</v>
      </c>
      <c r="N1989" s="36" t="s">
        <v>32</v>
      </c>
    </row>
    <row r="1990">
      <c r="A1990" s="36" t="s">
        <v>5135</v>
      </c>
      <c r="B1990" s="154" t="s">
        <v>5136</v>
      </c>
      <c r="C1990" s="36" t="s">
        <v>1666</v>
      </c>
      <c r="D1990" s="36" t="s">
        <v>100</v>
      </c>
      <c r="E1990" s="36" t="s">
        <v>100</v>
      </c>
      <c r="F1990" s="154" t="s">
        <v>1810</v>
      </c>
      <c r="G1990" s="36" t="s">
        <v>32</v>
      </c>
      <c r="H1990" s="36" t="s">
        <v>1655</v>
      </c>
      <c r="I1990" s="36" t="s">
        <v>1656</v>
      </c>
      <c r="J1990" s="36" t="s">
        <v>1656</v>
      </c>
      <c r="K1990" s="36" t="s">
        <v>1695</v>
      </c>
      <c r="L1990" s="36" t="s">
        <v>5031</v>
      </c>
      <c r="M1990" s="36" t="s">
        <v>5031</v>
      </c>
      <c r="N1990" s="36" t="s">
        <v>32</v>
      </c>
    </row>
    <row r="1991">
      <c r="A1991" s="36" t="s">
        <v>5137</v>
      </c>
      <c r="B1991" s="154" t="s">
        <v>5138</v>
      </c>
      <c r="C1991" s="36" t="s">
        <v>1666</v>
      </c>
      <c r="D1991" s="36" t="s">
        <v>964</v>
      </c>
      <c r="E1991" s="36" t="s">
        <v>964</v>
      </c>
      <c r="F1991" s="154" t="s">
        <v>1683</v>
      </c>
      <c r="G1991" s="36" t="s">
        <v>28</v>
      </c>
      <c r="H1991" s="36" t="s">
        <v>1655</v>
      </c>
      <c r="I1991" s="36" t="s">
        <v>1656</v>
      </c>
      <c r="J1991" s="36" t="s">
        <v>1656</v>
      </c>
      <c r="K1991" s="36" t="s">
        <v>1698</v>
      </c>
      <c r="L1991" s="36" t="s">
        <v>5031</v>
      </c>
      <c r="M1991" s="36" t="s">
        <v>5031</v>
      </c>
      <c r="N1991" s="36" t="s">
        <v>32</v>
      </c>
    </row>
    <row r="1992">
      <c r="A1992" s="36" t="s">
        <v>5139</v>
      </c>
      <c r="B1992" s="154" t="s">
        <v>5138</v>
      </c>
      <c r="C1992" s="36" t="s">
        <v>1666</v>
      </c>
      <c r="D1992" s="36" t="s">
        <v>305</v>
      </c>
      <c r="E1992" s="36" t="s">
        <v>305</v>
      </c>
      <c r="F1992" s="154" t="s">
        <v>1729</v>
      </c>
      <c r="G1992" s="36" t="s">
        <v>32</v>
      </c>
      <c r="H1992" s="36" t="s">
        <v>1655</v>
      </c>
      <c r="I1992" s="36" t="s">
        <v>1656</v>
      </c>
      <c r="J1992" s="36" t="s">
        <v>1656</v>
      </c>
      <c r="K1992" s="36" t="s">
        <v>1701</v>
      </c>
      <c r="L1992" s="36" t="s">
        <v>5031</v>
      </c>
      <c r="M1992" s="36" t="s">
        <v>5031</v>
      </c>
      <c r="N1992" s="36" t="s">
        <v>32</v>
      </c>
    </row>
    <row r="1993">
      <c r="A1993" s="36" t="s">
        <v>5140</v>
      </c>
      <c r="B1993" s="154" t="s">
        <v>5138</v>
      </c>
      <c r="C1993" s="36" t="s">
        <v>1666</v>
      </c>
      <c r="D1993" s="36" t="s">
        <v>976</v>
      </c>
      <c r="E1993" s="36" t="s">
        <v>976</v>
      </c>
      <c r="F1993" s="154" t="s">
        <v>1729</v>
      </c>
      <c r="G1993" s="36" t="s">
        <v>32</v>
      </c>
      <c r="H1993" s="36" t="s">
        <v>1655</v>
      </c>
      <c r="I1993" s="36" t="s">
        <v>1656</v>
      </c>
      <c r="J1993" s="36" t="s">
        <v>1656</v>
      </c>
      <c r="K1993" s="36" t="s">
        <v>1704</v>
      </c>
      <c r="L1993" s="36" t="s">
        <v>5031</v>
      </c>
      <c r="M1993" s="36" t="s">
        <v>5031</v>
      </c>
      <c r="N1993" s="36" t="s">
        <v>32</v>
      </c>
    </row>
    <row r="1994">
      <c r="A1994" s="36" t="s">
        <v>5141</v>
      </c>
      <c r="B1994" s="154" t="s">
        <v>5138</v>
      </c>
      <c r="C1994" s="36" t="s">
        <v>1666</v>
      </c>
      <c r="D1994" s="36" t="s">
        <v>980</v>
      </c>
      <c r="E1994" s="36" t="s">
        <v>980</v>
      </c>
      <c r="F1994" s="154" t="s">
        <v>2025</v>
      </c>
      <c r="G1994" s="36" t="s">
        <v>28</v>
      </c>
      <c r="H1994" s="36" t="s">
        <v>1655</v>
      </c>
      <c r="I1994" s="36" t="s">
        <v>1656</v>
      </c>
      <c r="J1994" s="36" t="s">
        <v>1656</v>
      </c>
      <c r="K1994" s="36" t="s">
        <v>1711</v>
      </c>
      <c r="L1994" s="36" t="s">
        <v>5031</v>
      </c>
      <c r="M1994" s="36" t="s">
        <v>5031</v>
      </c>
      <c r="N1994" s="36" t="s">
        <v>32</v>
      </c>
    </row>
    <row r="1995">
      <c r="A1995" s="36" t="s">
        <v>5142</v>
      </c>
      <c r="B1995" s="154" t="s">
        <v>5138</v>
      </c>
      <c r="C1995" s="36" t="s">
        <v>1666</v>
      </c>
      <c r="D1995" s="36" t="s">
        <v>985</v>
      </c>
      <c r="E1995" s="36" t="s">
        <v>985</v>
      </c>
      <c r="F1995" s="154" t="s">
        <v>2325</v>
      </c>
      <c r="G1995" s="36" t="s">
        <v>28</v>
      </c>
      <c r="H1995" s="36" t="s">
        <v>1655</v>
      </c>
      <c r="I1995" s="36" t="s">
        <v>1656</v>
      </c>
      <c r="J1995" s="36" t="s">
        <v>1656</v>
      </c>
      <c r="K1995" s="36" t="s">
        <v>1715</v>
      </c>
      <c r="L1995" s="36" t="s">
        <v>5031</v>
      </c>
      <c r="M1995" s="36" t="s">
        <v>5031</v>
      </c>
      <c r="N1995" s="36" t="s">
        <v>34</v>
      </c>
    </row>
    <row r="1996">
      <c r="A1996" s="36" t="s">
        <v>5143</v>
      </c>
      <c r="B1996" s="154" t="s">
        <v>5144</v>
      </c>
      <c r="C1996" s="36" t="s">
        <v>1666</v>
      </c>
      <c r="D1996" s="36" t="s">
        <v>66</v>
      </c>
      <c r="E1996" s="36" t="s">
        <v>66</v>
      </c>
      <c r="F1996" s="154" t="s">
        <v>5145</v>
      </c>
      <c r="G1996" s="36" t="s">
        <v>28</v>
      </c>
      <c r="H1996" s="36" t="s">
        <v>1655</v>
      </c>
      <c r="I1996" s="36" t="s">
        <v>1656</v>
      </c>
      <c r="J1996" s="36" t="s">
        <v>1656</v>
      </c>
      <c r="K1996" s="36" t="s">
        <v>1721</v>
      </c>
      <c r="L1996" s="36" t="s">
        <v>5031</v>
      </c>
      <c r="M1996" s="36" t="s">
        <v>5031</v>
      </c>
      <c r="N1996" s="36" t="s">
        <v>32</v>
      </c>
    </row>
    <row r="1997">
      <c r="A1997" s="36" t="s">
        <v>5146</v>
      </c>
      <c r="B1997" s="154" t="s">
        <v>5144</v>
      </c>
      <c r="C1997" s="36" t="s">
        <v>1666</v>
      </c>
      <c r="D1997" s="36" t="s">
        <v>218</v>
      </c>
      <c r="E1997" s="36" t="s">
        <v>218</v>
      </c>
      <c r="F1997" s="154" t="s">
        <v>1832</v>
      </c>
      <c r="G1997" s="36" t="s">
        <v>32</v>
      </c>
      <c r="H1997" s="36" t="s">
        <v>1655</v>
      </c>
      <c r="I1997" s="36" t="s">
        <v>1656</v>
      </c>
      <c r="J1997" s="36" t="s">
        <v>1656</v>
      </c>
      <c r="K1997" s="36" t="s">
        <v>1717</v>
      </c>
      <c r="L1997" s="36" t="s">
        <v>5031</v>
      </c>
      <c r="M1997" s="36" t="s">
        <v>5031</v>
      </c>
      <c r="N1997" s="36" t="s">
        <v>32</v>
      </c>
    </row>
    <row r="1998">
      <c r="A1998" s="36" t="s">
        <v>5147</v>
      </c>
      <c r="B1998" s="154" t="s">
        <v>5148</v>
      </c>
      <c r="C1998" s="36" t="s">
        <v>1653</v>
      </c>
      <c r="D1998" s="36" t="s">
        <v>701</v>
      </c>
      <c r="E1998" s="36" t="s">
        <v>39</v>
      </c>
      <c r="F1998" s="154" t="s">
        <v>5149</v>
      </c>
      <c r="G1998" s="36" t="s">
        <v>32</v>
      </c>
      <c r="H1998" s="36" t="s">
        <v>1655</v>
      </c>
      <c r="I1998" s="36" t="s">
        <v>1656</v>
      </c>
      <c r="J1998" s="36" t="s">
        <v>1656</v>
      </c>
      <c r="K1998" s="36" t="s">
        <v>1749</v>
      </c>
      <c r="L1998" s="36" t="s">
        <v>4212</v>
      </c>
      <c r="M1998" s="36" t="s">
        <v>4212</v>
      </c>
      <c r="N1998" s="36" t="s">
        <v>32</v>
      </c>
    </row>
    <row r="1999">
      <c r="A1999" s="36" t="s">
        <v>5150</v>
      </c>
      <c r="B1999" s="154" t="s">
        <v>5151</v>
      </c>
      <c r="C1999" s="36" t="s">
        <v>1653</v>
      </c>
      <c r="D1999" s="36" t="s">
        <v>55</v>
      </c>
      <c r="E1999" s="36" t="s">
        <v>39</v>
      </c>
      <c r="F1999" s="154" t="s">
        <v>5152</v>
      </c>
      <c r="G1999" s="36" t="s">
        <v>32</v>
      </c>
      <c r="H1999" s="36" t="s">
        <v>1655</v>
      </c>
      <c r="I1999" s="36" t="s">
        <v>1656</v>
      </c>
      <c r="J1999" s="36" t="s">
        <v>1656</v>
      </c>
      <c r="K1999" s="36" t="s">
        <v>1978</v>
      </c>
      <c r="L1999" s="36" t="s">
        <v>4212</v>
      </c>
      <c r="M1999" s="36" t="s">
        <v>4212</v>
      </c>
      <c r="N1999" s="36" t="s">
        <v>32</v>
      </c>
    </row>
    <row r="2000">
      <c r="A2000" s="36" t="s">
        <v>5153</v>
      </c>
      <c r="B2000" s="154" t="s">
        <v>5151</v>
      </c>
      <c r="C2000" s="36" t="s">
        <v>1666</v>
      </c>
      <c r="D2000" s="36" t="s">
        <v>71</v>
      </c>
      <c r="E2000" s="36" t="s">
        <v>71</v>
      </c>
      <c r="F2000" s="154" t="s">
        <v>4448</v>
      </c>
      <c r="G2000" s="36" t="s">
        <v>32</v>
      </c>
      <c r="H2000" s="36" t="s">
        <v>1655</v>
      </c>
      <c r="I2000" s="36" t="s">
        <v>1656</v>
      </c>
      <c r="J2000" s="36" t="s">
        <v>1656</v>
      </c>
      <c r="K2000" s="36" t="s">
        <v>1752</v>
      </c>
      <c r="L2000" s="36" t="s">
        <v>5031</v>
      </c>
      <c r="M2000" s="36" t="s">
        <v>5031</v>
      </c>
      <c r="N2000" s="36" t="s">
        <v>32</v>
      </c>
    </row>
    <row r="2001">
      <c r="A2001" s="36" t="s">
        <v>5154</v>
      </c>
      <c r="B2001" s="154" t="s">
        <v>5151</v>
      </c>
      <c r="C2001" s="36" t="s">
        <v>1666</v>
      </c>
      <c r="D2001" s="36" t="s">
        <v>73</v>
      </c>
      <c r="E2001" s="36" t="s">
        <v>73</v>
      </c>
      <c r="F2001" s="154" t="s">
        <v>4544</v>
      </c>
      <c r="G2001" s="36" t="s">
        <v>28</v>
      </c>
      <c r="H2001" s="36" t="s">
        <v>1655</v>
      </c>
      <c r="I2001" s="36" t="s">
        <v>1656</v>
      </c>
      <c r="J2001" s="36" t="s">
        <v>1656</v>
      </c>
      <c r="K2001" s="36" t="s">
        <v>1755</v>
      </c>
      <c r="L2001" s="36" t="s">
        <v>5031</v>
      </c>
      <c r="M2001" s="36" t="s">
        <v>5031</v>
      </c>
      <c r="N2001" s="36" t="s">
        <v>32</v>
      </c>
    </row>
    <row r="2002">
      <c r="A2002" s="36" t="s">
        <v>5155</v>
      </c>
      <c r="B2002" s="154" t="s">
        <v>5151</v>
      </c>
      <c r="C2002" s="36" t="s">
        <v>1666</v>
      </c>
      <c r="D2002" s="36" t="s">
        <v>74</v>
      </c>
      <c r="E2002" s="36" t="s">
        <v>74</v>
      </c>
      <c r="F2002" s="154" t="s">
        <v>4448</v>
      </c>
      <c r="G2002" s="36" t="s">
        <v>32</v>
      </c>
      <c r="H2002" s="36" t="s">
        <v>1655</v>
      </c>
      <c r="I2002" s="36" t="s">
        <v>1656</v>
      </c>
      <c r="J2002" s="36" t="s">
        <v>1656</v>
      </c>
      <c r="K2002" s="36" t="s">
        <v>1757</v>
      </c>
      <c r="L2002" s="36" t="s">
        <v>5031</v>
      </c>
      <c r="M2002" s="36" t="s">
        <v>5031</v>
      </c>
      <c r="N2002" s="36" t="s">
        <v>32</v>
      </c>
    </row>
    <row r="2003">
      <c r="A2003" s="36" t="s">
        <v>5156</v>
      </c>
      <c r="B2003" s="154" t="s">
        <v>5151</v>
      </c>
      <c r="C2003" s="36" t="s">
        <v>1666</v>
      </c>
      <c r="D2003" s="36" t="s">
        <v>75</v>
      </c>
      <c r="E2003" s="36" t="s">
        <v>75</v>
      </c>
      <c r="F2003" s="154" t="s">
        <v>4450</v>
      </c>
      <c r="G2003" s="36" t="s">
        <v>28</v>
      </c>
      <c r="H2003" s="36" t="s">
        <v>1655</v>
      </c>
      <c r="I2003" s="36" t="s">
        <v>1656</v>
      </c>
      <c r="J2003" s="36" t="s">
        <v>1656</v>
      </c>
      <c r="K2003" s="36" t="s">
        <v>1760</v>
      </c>
      <c r="L2003" s="36" t="s">
        <v>5031</v>
      </c>
      <c r="M2003" s="36" t="s">
        <v>5031</v>
      </c>
      <c r="N2003" s="36" t="s">
        <v>32</v>
      </c>
    </row>
    <row r="2004">
      <c r="A2004" s="36" t="s">
        <v>5157</v>
      </c>
      <c r="B2004" s="154" t="s">
        <v>5151</v>
      </c>
      <c r="C2004" s="36" t="s">
        <v>1666</v>
      </c>
      <c r="D2004" s="36" t="s">
        <v>76</v>
      </c>
      <c r="E2004" s="36" t="s">
        <v>76</v>
      </c>
      <c r="F2004" s="154" t="s">
        <v>5158</v>
      </c>
      <c r="G2004" s="36" t="s">
        <v>28</v>
      </c>
      <c r="H2004" s="36" t="s">
        <v>1655</v>
      </c>
      <c r="I2004" s="36" t="s">
        <v>1656</v>
      </c>
      <c r="J2004" s="36" t="s">
        <v>1656</v>
      </c>
      <c r="K2004" s="36" t="s">
        <v>1763</v>
      </c>
      <c r="L2004" s="36" t="s">
        <v>5031</v>
      </c>
      <c r="M2004" s="36" t="s">
        <v>5031</v>
      </c>
      <c r="N2004" s="36" t="s">
        <v>32</v>
      </c>
    </row>
    <row r="2005">
      <c r="A2005" s="36" t="s">
        <v>5159</v>
      </c>
      <c r="B2005" s="154" t="s">
        <v>5151</v>
      </c>
      <c r="C2005" s="36" t="s">
        <v>1666</v>
      </c>
      <c r="D2005" s="36" t="s">
        <v>115</v>
      </c>
      <c r="E2005" s="36" t="s">
        <v>115</v>
      </c>
      <c r="F2005" s="154" t="s">
        <v>1683</v>
      </c>
      <c r="G2005" s="36" t="s">
        <v>32</v>
      </c>
      <c r="H2005" s="36" t="s">
        <v>1655</v>
      </c>
      <c r="I2005" s="36" t="s">
        <v>1656</v>
      </c>
      <c r="J2005" s="36" t="s">
        <v>1656</v>
      </c>
      <c r="K2005" s="36" t="s">
        <v>1724</v>
      </c>
      <c r="L2005" s="36" t="s">
        <v>5031</v>
      </c>
      <c r="M2005" s="36" t="s">
        <v>5031</v>
      </c>
      <c r="N2005" s="36" t="s">
        <v>32</v>
      </c>
    </row>
    <row r="2006">
      <c r="A2006" s="36" t="s">
        <v>5160</v>
      </c>
      <c r="B2006" s="154" t="s">
        <v>5151</v>
      </c>
      <c r="C2006" s="36" t="s">
        <v>1666</v>
      </c>
      <c r="D2006" s="36" t="s">
        <v>114</v>
      </c>
      <c r="E2006" s="36" t="s">
        <v>114</v>
      </c>
      <c r="F2006" s="154" t="s">
        <v>1799</v>
      </c>
      <c r="G2006" s="36" t="s">
        <v>32</v>
      </c>
      <c r="H2006" s="36" t="s">
        <v>1655</v>
      </c>
      <c r="I2006" s="36" t="s">
        <v>1656</v>
      </c>
      <c r="J2006" s="36" t="s">
        <v>1656</v>
      </c>
      <c r="K2006" s="36" t="s">
        <v>1727</v>
      </c>
      <c r="L2006" s="36" t="s">
        <v>5031</v>
      </c>
      <c r="M2006" s="36" t="s">
        <v>5031</v>
      </c>
      <c r="N2006" s="36" t="s">
        <v>32</v>
      </c>
    </row>
    <row r="2007">
      <c r="A2007" s="36" t="s">
        <v>5161</v>
      </c>
      <c r="B2007" s="154" t="s">
        <v>5151</v>
      </c>
      <c r="C2007" s="36" t="s">
        <v>1666</v>
      </c>
      <c r="D2007" s="36" t="s">
        <v>998</v>
      </c>
      <c r="E2007" s="36" t="s">
        <v>998</v>
      </c>
      <c r="F2007" s="154" t="s">
        <v>1768</v>
      </c>
      <c r="G2007" s="36" t="s">
        <v>28</v>
      </c>
      <c r="H2007" s="36" t="s">
        <v>1655</v>
      </c>
      <c r="I2007" s="36" t="s">
        <v>1656</v>
      </c>
      <c r="J2007" s="36" t="s">
        <v>1656</v>
      </c>
      <c r="K2007" s="36" t="s">
        <v>1730</v>
      </c>
      <c r="L2007" s="36" t="s">
        <v>5031</v>
      </c>
      <c r="M2007" s="36" t="s">
        <v>5031</v>
      </c>
      <c r="N2007" s="36" t="s">
        <v>34</v>
      </c>
    </row>
    <row r="2008">
      <c r="A2008" s="36" t="s">
        <v>5162</v>
      </c>
      <c r="B2008" s="154" t="s">
        <v>5151</v>
      </c>
      <c r="C2008" s="36" t="s">
        <v>1666</v>
      </c>
      <c r="D2008" s="36" t="s">
        <v>89</v>
      </c>
      <c r="E2008" s="36" t="s">
        <v>89</v>
      </c>
      <c r="F2008" s="154" t="s">
        <v>2269</v>
      </c>
      <c r="G2008" s="36" t="s">
        <v>28</v>
      </c>
      <c r="H2008" s="36" t="s">
        <v>1655</v>
      </c>
      <c r="I2008" s="36" t="s">
        <v>1656</v>
      </c>
      <c r="J2008" s="36" t="s">
        <v>1656</v>
      </c>
      <c r="K2008" s="36" t="s">
        <v>1732</v>
      </c>
      <c r="L2008" s="36" t="s">
        <v>5031</v>
      </c>
      <c r="M2008" s="36" t="s">
        <v>5031</v>
      </c>
      <c r="N2008" s="36" t="s">
        <v>34</v>
      </c>
    </row>
    <row r="2009">
      <c r="A2009" s="36" t="s">
        <v>5163</v>
      </c>
      <c r="B2009" s="154" t="s">
        <v>5151</v>
      </c>
      <c r="C2009" s="36" t="s">
        <v>1666</v>
      </c>
      <c r="D2009" s="36" t="s">
        <v>89</v>
      </c>
      <c r="E2009" s="36" t="s">
        <v>89</v>
      </c>
      <c r="F2009" s="154" t="s">
        <v>1714</v>
      </c>
      <c r="G2009" s="36" t="s">
        <v>28</v>
      </c>
      <c r="H2009" s="36" t="s">
        <v>1655</v>
      </c>
      <c r="I2009" s="36" t="s">
        <v>1656</v>
      </c>
      <c r="J2009" s="36" t="s">
        <v>1656</v>
      </c>
      <c r="K2009" s="36" t="s">
        <v>1736</v>
      </c>
      <c r="L2009" s="36" t="s">
        <v>5031</v>
      </c>
      <c r="M2009" s="36" t="s">
        <v>5031</v>
      </c>
      <c r="N2009" s="36" t="s">
        <v>34</v>
      </c>
    </row>
    <row r="2010">
      <c r="A2010" s="36" t="s">
        <v>5164</v>
      </c>
      <c r="B2010" s="154" t="s">
        <v>5151</v>
      </c>
      <c r="C2010" s="36" t="s">
        <v>1666</v>
      </c>
      <c r="D2010" s="36" t="s">
        <v>226</v>
      </c>
      <c r="E2010" s="36" t="s">
        <v>226</v>
      </c>
      <c r="F2010" s="154" t="s">
        <v>5165</v>
      </c>
      <c r="G2010" s="36" t="s">
        <v>32</v>
      </c>
      <c r="H2010" s="36" t="s">
        <v>1655</v>
      </c>
      <c r="I2010" s="36" t="s">
        <v>1656</v>
      </c>
      <c r="J2010" s="36" t="s">
        <v>1656</v>
      </c>
      <c r="K2010" s="36" t="s">
        <v>1739</v>
      </c>
      <c r="L2010" s="36" t="s">
        <v>5031</v>
      </c>
      <c r="M2010" s="36" t="s">
        <v>5031</v>
      </c>
      <c r="N2010" s="36" t="s">
        <v>32</v>
      </c>
    </row>
    <row r="2011">
      <c r="A2011" s="36" t="s">
        <v>5166</v>
      </c>
      <c r="B2011" s="154" t="s">
        <v>5151</v>
      </c>
      <c r="C2011" s="36" t="s">
        <v>1666</v>
      </c>
      <c r="D2011" s="36" t="s">
        <v>281</v>
      </c>
      <c r="E2011" s="36" t="s">
        <v>281</v>
      </c>
      <c r="F2011" s="154" t="s">
        <v>5167</v>
      </c>
      <c r="G2011" s="36" t="s">
        <v>34</v>
      </c>
      <c r="H2011" s="36" t="s">
        <v>1655</v>
      </c>
      <c r="I2011" s="36" t="s">
        <v>1656</v>
      </c>
      <c r="J2011" s="36" t="s">
        <v>1656</v>
      </c>
      <c r="K2011" s="36" t="s">
        <v>1742</v>
      </c>
      <c r="L2011" s="36" t="s">
        <v>5031</v>
      </c>
      <c r="M2011" s="36" t="s">
        <v>5031</v>
      </c>
      <c r="N2011" s="36" t="s">
        <v>32</v>
      </c>
    </row>
    <row r="2012">
      <c r="A2012" s="36" t="s">
        <v>5168</v>
      </c>
      <c r="B2012" s="154" t="s">
        <v>5151</v>
      </c>
      <c r="C2012" s="36" t="s">
        <v>1666</v>
      </c>
      <c r="D2012" s="36" t="s">
        <v>220</v>
      </c>
      <c r="E2012" s="36" t="s">
        <v>220</v>
      </c>
      <c r="F2012" s="154" t="s">
        <v>5169</v>
      </c>
      <c r="G2012" s="36" t="s">
        <v>28</v>
      </c>
      <c r="H2012" s="36" t="s">
        <v>1655</v>
      </c>
      <c r="I2012" s="36" t="s">
        <v>1656</v>
      </c>
      <c r="J2012" s="36" t="s">
        <v>1656</v>
      </c>
      <c r="K2012" s="36" t="s">
        <v>1745</v>
      </c>
      <c r="L2012" s="36" t="s">
        <v>5031</v>
      </c>
      <c r="M2012" s="36" t="s">
        <v>5031</v>
      </c>
      <c r="N2012" s="36" t="s">
        <v>32</v>
      </c>
    </row>
    <row r="2013">
      <c r="A2013" s="36" t="s">
        <v>5170</v>
      </c>
      <c r="B2013" s="154" t="s">
        <v>5171</v>
      </c>
      <c r="C2013" s="36" t="s">
        <v>1666</v>
      </c>
      <c r="D2013" s="36" t="s">
        <v>89</v>
      </c>
      <c r="E2013" s="36" t="s">
        <v>89</v>
      </c>
      <c r="F2013" s="154" t="s">
        <v>5172</v>
      </c>
      <c r="G2013" s="36" t="s">
        <v>28</v>
      </c>
      <c r="H2013" s="36" t="s">
        <v>1655</v>
      </c>
      <c r="I2013" s="36" t="s">
        <v>1656</v>
      </c>
      <c r="J2013" s="36" t="s">
        <v>1656</v>
      </c>
      <c r="K2013" s="36" t="s">
        <v>1773</v>
      </c>
      <c r="L2013" s="36" t="s">
        <v>5031</v>
      </c>
      <c r="M2013" s="36" t="s">
        <v>5031</v>
      </c>
      <c r="N2013" s="36" t="s">
        <v>34</v>
      </c>
    </row>
    <row r="2014">
      <c r="A2014" s="36" t="s">
        <v>5173</v>
      </c>
      <c r="B2014" s="154" t="s">
        <v>5174</v>
      </c>
      <c r="C2014" s="36" t="s">
        <v>1666</v>
      </c>
      <c r="D2014" s="36" t="s">
        <v>100</v>
      </c>
      <c r="E2014" s="36" t="s">
        <v>100</v>
      </c>
      <c r="F2014" s="154" t="s">
        <v>1810</v>
      </c>
      <c r="G2014" s="36" t="s">
        <v>32</v>
      </c>
      <c r="H2014" s="36" t="s">
        <v>1655</v>
      </c>
      <c r="I2014" s="36" t="s">
        <v>1656</v>
      </c>
      <c r="J2014" s="36" t="s">
        <v>1656</v>
      </c>
      <c r="K2014" s="36" t="s">
        <v>1776</v>
      </c>
      <c r="L2014" s="36" t="s">
        <v>5031</v>
      </c>
      <c r="M2014" s="36" t="s">
        <v>5031</v>
      </c>
      <c r="N2014" s="36" t="s">
        <v>32</v>
      </c>
    </row>
    <row r="2015">
      <c r="A2015" s="36" t="s">
        <v>5175</v>
      </c>
      <c r="B2015" s="154" t="s">
        <v>5176</v>
      </c>
      <c r="C2015" s="36" t="s">
        <v>1666</v>
      </c>
      <c r="D2015" s="36" t="s">
        <v>94</v>
      </c>
      <c r="E2015" s="36" t="s">
        <v>94</v>
      </c>
      <c r="F2015" s="154" t="s">
        <v>1816</v>
      </c>
      <c r="G2015" s="36" t="s">
        <v>28</v>
      </c>
      <c r="H2015" s="36" t="s">
        <v>1655</v>
      </c>
      <c r="I2015" s="36" t="s">
        <v>1656</v>
      </c>
      <c r="J2015" s="36" t="s">
        <v>1656</v>
      </c>
      <c r="K2015" s="36" t="s">
        <v>1779</v>
      </c>
      <c r="L2015" s="36" t="s">
        <v>5031</v>
      </c>
      <c r="M2015" s="36" t="s">
        <v>5031</v>
      </c>
      <c r="N2015" s="36" t="s">
        <v>32</v>
      </c>
    </row>
    <row r="2016">
      <c r="A2016" s="36" t="s">
        <v>5177</v>
      </c>
      <c r="B2016" s="154" t="s">
        <v>5176</v>
      </c>
      <c r="C2016" s="36" t="s">
        <v>1666</v>
      </c>
      <c r="D2016" s="36" t="s">
        <v>1028</v>
      </c>
      <c r="E2016" s="36" t="s">
        <v>1028</v>
      </c>
      <c r="F2016" s="154" t="s">
        <v>1806</v>
      </c>
      <c r="G2016" s="36" t="s">
        <v>28</v>
      </c>
      <c r="H2016" s="36" t="s">
        <v>1655</v>
      </c>
      <c r="I2016" s="36" t="s">
        <v>1656</v>
      </c>
      <c r="J2016" s="36" t="s">
        <v>1656</v>
      </c>
      <c r="K2016" s="36" t="s">
        <v>1782</v>
      </c>
      <c r="L2016" s="36" t="s">
        <v>5031</v>
      </c>
      <c r="M2016" s="36" t="s">
        <v>5031</v>
      </c>
      <c r="N2016" s="36" t="s">
        <v>32</v>
      </c>
    </row>
    <row r="2017">
      <c r="A2017" s="36" t="s">
        <v>5178</v>
      </c>
      <c r="B2017" s="154" t="s">
        <v>5176</v>
      </c>
      <c r="C2017" s="36" t="s">
        <v>1666</v>
      </c>
      <c r="D2017" s="36" t="s">
        <v>1028</v>
      </c>
      <c r="E2017" s="36" t="s">
        <v>1028</v>
      </c>
      <c r="F2017" s="154" t="s">
        <v>2522</v>
      </c>
      <c r="G2017" s="36" t="s">
        <v>28</v>
      </c>
      <c r="H2017" s="36" t="s">
        <v>1655</v>
      </c>
      <c r="I2017" s="36" t="s">
        <v>1656</v>
      </c>
      <c r="J2017" s="36" t="s">
        <v>1656</v>
      </c>
      <c r="K2017" s="36" t="s">
        <v>1784</v>
      </c>
      <c r="L2017" s="36" t="s">
        <v>5031</v>
      </c>
      <c r="M2017" s="36" t="s">
        <v>5031</v>
      </c>
      <c r="N2017" s="36" t="s">
        <v>32</v>
      </c>
    </row>
    <row r="2018">
      <c r="A2018" s="36" t="s">
        <v>5179</v>
      </c>
      <c r="B2018" s="154" t="s">
        <v>5176</v>
      </c>
      <c r="C2018" s="36" t="s">
        <v>1666</v>
      </c>
      <c r="D2018" s="36" t="s">
        <v>1039</v>
      </c>
      <c r="E2018" s="36" t="s">
        <v>1039</v>
      </c>
      <c r="F2018" s="154" t="s">
        <v>1768</v>
      </c>
      <c r="G2018" s="36" t="s">
        <v>32</v>
      </c>
      <c r="H2018" s="36" t="s">
        <v>1655</v>
      </c>
      <c r="I2018" s="36" t="s">
        <v>1656</v>
      </c>
      <c r="J2018" s="36" t="s">
        <v>1656</v>
      </c>
      <c r="K2018" s="36" t="s">
        <v>1787</v>
      </c>
      <c r="L2018" s="36" t="s">
        <v>5031</v>
      </c>
      <c r="M2018" s="36" t="s">
        <v>5031</v>
      </c>
      <c r="N2018" s="36" t="s">
        <v>32</v>
      </c>
    </row>
    <row r="2019">
      <c r="A2019" s="36" t="s">
        <v>5180</v>
      </c>
      <c r="B2019" s="154" t="s">
        <v>5176</v>
      </c>
      <c r="C2019" s="36" t="s">
        <v>1666</v>
      </c>
      <c r="D2019" s="36" t="s">
        <v>1044</v>
      </c>
      <c r="E2019" s="36" t="s">
        <v>1044</v>
      </c>
      <c r="F2019" s="154" t="s">
        <v>3620</v>
      </c>
      <c r="G2019" s="36" t="s">
        <v>28</v>
      </c>
      <c r="H2019" s="36" t="s">
        <v>1655</v>
      </c>
      <c r="I2019" s="36" t="s">
        <v>1656</v>
      </c>
      <c r="J2019" s="36" t="s">
        <v>1656</v>
      </c>
      <c r="K2019" s="36" t="s">
        <v>1790</v>
      </c>
      <c r="L2019" s="36" t="s">
        <v>5031</v>
      </c>
      <c r="M2019" s="36" t="s">
        <v>5031</v>
      </c>
      <c r="N2019" s="36" t="s">
        <v>32</v>
      </c>
    </row>
    <row r="2020">
      <c r="A2020" s="36" t="s">
        <v>5181</v>
      </c>
      <c r="B2020" s="154" t="s">
        <v>5182</v>
      </c>
      <c r="C2020" s="36" t="s">
        <v>1666</v>
      </c>
      <c r="D2020" s="36" t="s">
        <v>712</v>
      </c>
      <c r="E2020" s="36" t="s">
        <v>712</v>
      </c>
      <c r="F2020" s="154" t="s">
        <v>4885</v>
      </c>
      <c r="G2020" s="36" t="s">
        <v>28</v>
      </c>
      <c r="H2020" s="36" t="s">
        <v>1655</v>
      </c>
      <c r="I2020" s="36" t="s">
        <v>1656</v>
      </c>
      <c r="J2020" s="36" t="s">
        <v>1656</v>
      </c>
      <c r="K2020" s="36" t="s">
        <v>1766</v>
      </c>
      <c r="L2020" s="36" t="s">
        <v>5031</v>
      </c>
      <c r="M2020" s="36" t="s">
        <v>5031</v>
      </c>
      <c r="N2020" s="36" t="s">
        <v>32</v>
      </c>
    </row>
    <row r="2021">
      <c r="A2021" s="36" t="s">
        <v>5183</v>
      </c>
      <c r="B2021" s="154" t="s">
        <v>5182</v>
      </c>
      <c r="C2021" s="36" t="s">
        <v>1666</v>
      </c>
      <c r="D2021" s="36" t="s">
        <v>224</v>
      </c>
      <c r="E2021" s="36" t="s">
        <v>224</v>
      </c>
      <c r="F2021" s="154" t="s">
        <v>2325</v>
      </c>
      <c r="G2021" s="36" t="s">
        <v>28</v>
      </c>
      <c r="H2021" s="36" t="s">
        <v>1655</v>
      </c>
      <c r="I2021" s="36" t="s">
        <v>1656</v>
      </c>
      <c r="J2021" s="36" t="s">
        <v>1656</v>
      </c>
      <c r="K2021" s="36" t="s">
        <v>1793</v>
      </c>
      <c r="L2021" s="36" t="s">
        <v>5031</v>
      </c>
      <c r="M2021" s="36" t="s">
        <v>5031</v>
      </c>
      <c r="N2021" s="36" t="s">
        <v>32</v>
      </c>
    </row>
    <row r="2022">
      <c r="A2022" s="36" t="s">
        <v>5184</v>
      </c>
      <c r="B2022" s="154" t="s">
        <v>5182</v>
      </c>
      <c r="C2022" s="36" t="s">
        <v>1666</v>
      </c>
      <c r="D2022" s="36" t="s">
        <v>109</v>
      </c>
      <c r="E2022" s="36" t="s">
        <v>109</v>
      </c>
      <c r="F2022" s="154" t="s">
        <v>1723</v>
      </c>
      <c r="G2022" s="36" t="s">
        <v>28</v>
      </c>
      <c r="H2022" s="36" t="s">
        <v>1655</v>
      </c>
      <c r="I2022" s="36" t="s">
        <v>1656</v>
      </c>
      <c r="J2022" s="36" t="s">
        <v>1656</v>
      </c>
      <c r="K2022" s="36" t="s">
        <v>1796</v>
      </c>
      <c r="L2022" s="36" t="s">
        <v>5031</v>
      </c>
      <c r="M2022" s="36" t="s">
        <v>5031</v>
      </c>
      <c r="N2022" s="36" t="s">
        <v>34</v>
      </c>
    </row>
    <row r="2023">
      <c r="A2023" s="36" t="s">
        <v>5185</v>
      </c>
      <c r="B2023" s="154" t="s">
        <v>5186</v>
      </c>
      <c r="C2023" s="36" t="s">
        <v>1666</v>
      </c>
      <c r="D2023" s="36" t="s">
        <v>1051</v>
      </c>
      <c r="E2023" s="36" t="s">
        <v>1051</v>
      </c>
      <c r="F2023" s="154" t="s">
        <v>2391</v>
      </c>
      <c r="G2023" s="36" t="s">
        <v>28</v>
      </c>
      <c r="H2023" s="36" t="s">
        <v>1655</v>
      </c>
      <c r="I2023" s="36" t="s">
        <v>1656</v>
      </c>
      <c r="J2023" s="36" t="s">
        <v>1656</v>
      </c>
      <c r="K2023" s="36" t="s">
        <v>1800</v>
      </c>
      <c r="L2023" s="36" t="s">
        <v>5031</v>
      </c>
      <c r="M2023" s="36" t="s">
        <v>5031</v>
      </c>
      <c r="N2023" s="36" t="s">
        <v>32</v>
      </c>
    </row>
    <row r="2024">
      <c r="A2024" s="36" t="s">
        <v>5187</v>
      </c>
      <c r="B2024" s="154" t="s">
        <v>5186</v>
      </c>
      <c r="C2024" s="36" t="s">
        <v>1666</v>
      </c>
      <c r="D2024" s="36" t="s">
        <v>807</v>
      </c>
      <c r="E2024" s="36" t="s">
        <v>807</v>
      </c>
      <c r="F2024" s="154" t="s">
        <v>1899</v>
      </c>
      <c r="G2024" s="36" t="s">
        <v>28</v>
      </c>
      <c r="H2024" s="36" t="s">
        <v>1655</v>
      </c>
      <c r="I2024" s="36" t="s">
        <v>1656</v>
      </c>
      <c r="J2024" s="36" t="s">
        <v>1656</v>
      </c>
      <c r="K2024" s="36" t="s">
        <v>1803</v>
      </c>
      <c r="L2024" s="36" t="s">
        <v>5031</v>
      </c>
      <c r="M2024" s="36" t="s">
        <v>5031</v>
      </c>
      <c r="N2024" s="36" t="s">
        <v>32</v>
      </c>
    </row>
    <row r="2025">
      <c r="A2025" s="36" t="s">
        <v>5188</v>
      </c>
      <c r="B2025" s="154" t="s">
        <v>5189</v>
      </c>
      <c r="C2025" s="36" t="s">
        <v>1666</v>
      </c>
      <c r="D2025" s="36" t="s">
        <v>100</v>
      </c>
      <c r="E2025" s="36" t="s">
        <v>100</v>
      </c>
      <c r="F2025" s="154" t="s">
        <v>1810</v>
      </c>
      <c r="G2025" s="36" t="s">
        <v>32</v>
      </c>
      <c r="H2025" s="36" t="s">
        <v>1655</v>
      </c>
      <c r="I2025" s="36" t="s">
        <v>1656</v>
      </c>
      <c r="J2025" s="36" t="s">
        <v>1656</v>
      </c>
      <c r="K2025" s="36" t="s">
        <v>1807</v>
      </c>
      <c r="L2025" s="36" t="s">
        <v>5031</v>
      </c>
      <c r="M2025" s="36" t="s">
        <v>5031</v>
      </c>
      <c r="N2025" s="36" t="s">
        <v>32</v>
      </c>
    </row>
    <row r="2026">
      <c r="A2026" s="36" t="s">
        <v>5190</v>
      </c>
      <c r="B2026" s="154" t="s">
        <v>5191</v>
      </c>
      <c r="C2026" s="36" t="s">
        <v>1666</v>
      </c>
      <c r="D2026" s="36" t="s">
        <v>1071</v>
      </c>
      <c r="E2026" s="36" t="s">
        <v>1071</v>
      </c>
      <c r="F2026" s="154" t="s">
        <v>2553</v>
      </c>
      <c r="G2026" s="36" t="s">
        <v>32</v>
      </c>
      <c r="H2026" s="36" t="s">
        <v>1655</v>
      </c>
      <c r="I2026" s="36" t="s">
        <v>1656</v>
      </c>
      <c r="J2026" s="36" t="s">
        <v>1656</v>
      </c>
      <c r="K2026" s="36" t="s">
        <v>1814</v>
      </c>
      <c r="L2026" s="36" t="s">
        <v>5031</v>
      </c>
      <c r="M2026" s="36" t="s">
        <v>5031</v>
      </c>
      <c r="N2026" s="36" t="s">
        <v>32</v>
      </c>
    </row>
    <row r="2027">
      <c r="A2027" s="36" t="s">
        <v>5192</v>
      </c>
      <c r="B2027" s="154" t="s">
        <v>5191</v>
      </c>
      <c r="C2027" s="36" t="s">
        <v>1666</v>
      </c>
      <c r="D2027" s="36" t="s">
        <v>1077</v>
      </c>
      <c r="E2027" s="36" t="s">
        <v>1077</v>
      </c>
      <c r="F2027" s="154" t="s">
        <v>3838</v>
      </c>
      <c r="G2027" s="36" t="s">
        <v>28</v>
      </c>
      <c r="H2027" s="36" t="s">
        <v>1655</v>
      </c>
      <c r="I2027" s="36" t="s">
        <v>1656</v>
      </c>
      <c r="J2027" s="36" t="s">
        <v>1656</v>
      </c>
      <c r="K2027" s="36" t="s">
        <v>1817</v>
      </c>
      <c r="L2027" s="36" t="s">
        <v>5031</v>
      </c>
      <c r="M2027" s="36" t="s">
        <v>5031</v>
      </c>
      <c r="N2027" s="36" t="s">
        <v>34</v>
      </c>
    </row>
    <row r="2028">
      <c r="A2028" s="36" t="s">
        <v>5193</v>
      </c>
      <c r="B2028" s="154" t="s">
        <v>5194</v>
      </c>
      <c r="C2028" s="36" t="s">
        <v>1666</v>
      </c>
      <c r="D2028" s="36" t="s">
        <v>92</v>
      </c>
      <c r="E2028" s="36" t="s">
        <v>92</v>
      </c>
      <c r="F2028" s="154" t="s">
        <v>1768</v>
      </c>
      <c r="G2028" s="36" t="s">
        <v>32</v>
      </c>
      <c r="H2028" s="36" t="s">
        <v>1655</v>
      </c>
      <c r="I2028" s="36" t="s">
        <v>1656</v>
      </c>
      <c r="J2028" s="36" t="s">
        <v>1656</v>
      </c>
      <c r="K2028" s="36" t="s">
        <v>1820</v>
      </c>
      <c r="L2028" s="36" t="s">
        <v>5031</v>
      </c>
      <c r="M2028" s="36" t="s">
        <v>5031</v>
      </c>
      <c r="N2028" s="36" t="s">
        <v>32</v>
      </c>
    </row>
    <row r="2029">
      <c r="A2029" s="36" t="s">
        <v>5195</v>
      </c>
      <c r="B2029" s="154" t="s">
        <v>5194</v>
      </c>
      <c r="C2029" s="36" t="s">
        <v>1666</v>
      </c>
      <c r="D2029" s="36" t="s">
        <v>1085</v>
      </c>
      <c r="E2029" s="36" t="s">
        <v>1085</v>
      </c>
      <c r="F2029" s="154" t="s">
        <v>1816</v>
      </c>
      <c r="G2029" s="36" t="s">
        <v>28</v>
      </c>
      <c r="H2029" s="36" t="s">
        <v>1655</v>
      </c>
      <c r="I2029" s="36" t="s">
        <v>1656</v>
      </c>
      <c r="J2029" s="36" t="s">
        <v>1656</v>
      </c>
      <c r="K2029" s="36" t="s">
        <v>1823</v>
      </c>
      <c r="L2029" s="36" t="s">
        <v>5031</v>
      </c>
      <c r="M2029" s="36" t="s">
        <v>5031</v>
      </c>
      <c r="N2029" s="36" t="s">
        <v>34</v>
      </c>
    </row>
    <row r="2030">
      <c r="A2030" s="36" t="s">
        <v>5196</v>
      </c>
      <c r="B2030" s="154" t="s">
        <v>5197</v>
      </c>
      <c r="C2030" s="36" t="s">
        <v>1666</v>
      </c>
      <c r="D2030" s="36" t="s">
        <v>92</v>
      </c>
      <c r="E2030" s="36" t="s">
        <v>92</v>
      </c>
      <c r="F2030" s="154" t="s">
        <v>1735</v>
      </c>
      <c r="G2030" s="36" t="s">
        <v>32</v>
      </c>
      <c r="H2030" s="36" t="s">
        <v>1655</v>
      </c>
      <c r="I2030" s="36" t="s">
        <v>1656</v>
      </c>
      <c r="J2030" s="36" t="s">
        <v>1656</v>
      </c>
      <c r="K2030" s="36" t="s">
        <v>1826</v>
      </c>
      <c r="L2030" s="36" t="s">
        <v>5031</v>
      </c>
      <c r="M2030" s="36" t="s">
        <v>5031</v>
      </c>
      <c r="N2030" s="36" t="s">
        <v>32</v>
      </c>
    </row>
    <row r="2031">
      <c r="A2031" s="36" t="s">
        <v>5198</v>
      </c>
      <c r="B2031" s="154" t="s">
        <v>5199</v>
      </c>
      <c r="C2031" s="36" t="s">
        <v>1666</v>
      </c>
      <c r="D2031" s="36" t="s">
        <v>100</v>
      </c>
      <c r="E2031" s="36" t="s">
        <v>100</v>
      </c>
      <c r="F2031" s="154" t="s">
        <v>1810</v>
      </c>
      <c r="G2031" s="36" t="s">
        <v>32</v>
      </c>
      <c r="H2031" s="36" t="s">
        <v>1655</v>
      </c>
      <c r="I2031" s="36" t="s">
        <v>1656</v>
      </c>
      <c r="J2031" s="36" t="s">
        <v>1656</v>
      </c>
      <c r="K2031" s="36" t="s">
        <v>1830</v>
      </c>
      <c r="L2031" s="36" t="s">
        <v>5031</v>
      </c>
      <c r="M2031" s="36" t="s">
        <v>5031</v>
      </c>
      <c r="N2031" s="36" t="s">
        <v>32</v>
      </c>
    </row>
    <row r="2032">
      <c r="A2032" s="36" t="s">
        <v>5200</v>
      </c>
      <c r="B2032" s="154" t="s">
        <v>5199</v>
      </c>
      <c r="C2032" s="36" t="s">
        <v>1666</v>
      </c>
      <c r="D2032" s="36" t="s">
        <v>109</v>
      </c>
      <c r="E2032" s="36" t="s">
        <v>109</v>
      </c>
      <c r="F2032" s="154" t="s">
        <v>2432</v>
      </c>
      <c r="G2032" s="36" t="s">
        <v>28</v>
      </c>
      <c r="H2032" s="36" t="s">
        <v>1655</v>
      </c>
      <c r="I2032" s="36" t="s">
        <v>1656</v>
      </c>
      <c r="J2032" s="36" t="s">
        <v>1656</v>
      </c>
      <c r="K2032" s="36" t="s">
        <v>1833</v>
      </c>
      <c r="L2032" s="36" t="s">
        <v>5031</v>
      </c>
      <c r="M2032" s="36" t="s">
        <v>5031</v>
      </c>
      <c r="N2032" s="36" t="s">
        <v>34</v>
      </c>
    </row>
    <row r="2033">
      <c r="A2033" s="36" t="s">
        <v>5201</v>
      </c>
      <c r="B2033" s="154" t="s">
        <v>5202</v>
      </c>
      <c r="C2033" s="36" t="s">
        <v>1666</v>
      </c>
      <c r="D2033" s="36" t="s">
        <v>235</v>
      </c>
      <c r="E2033" s="36" t="s">
        <v>235</v>
      </c>
      <c r="F2033" s="154" t="s">
        <v>2156</v>
      </c>
      <c r="G2033" s="36" t="s">
        <v>28</v>
      </c>
      <c r="H2033" s="36" t="s">
        <v>1655</v>
      </c>
      <c r="I2033" s="36" t="s">
        <v>1656</v>
      </c>
      <c r="J2033" s="36" t="s">
        <v>1656</v>
      </c>
      <c r="K2033" s="36" t="s">
        <v>1836</v>
      </c>
      <c r="L2033" s="36" t="s">
        <v>5031</v>
      </c>
      <c r="M2033" s="36" t="s">
        <v>5031</v>
      </c>
      <c r="N2033" s="36" t="s">
        <v>32</v>
      </c>
    </row>
    <row r="2034">
      <c r="A2034" s="36" t="s">
        <v>5203</v>
      </c>
      <c r="B2034" s="154" t="s">
        <v>5202</v>
      </c>
      <c r="C2034" s="36" t="s">
        <v>1666</v>
      </c>
      <c r="D2034" s="36" t="s">
        <v>288</v>
      </c>
      <c r="E2034" s="36" t="s">
        <v>288</v>
      </c>
      <c r="F2034" s="154" t="s">
        <v>2027</v>
      </c>
      <c r="G2034" s="36" t="s">
        <v>32</v>
      </c>
      <c r="H2034" s="36" t="s">
        <v>1655</v>
      </c>
      <c r="I2034" s="36" t="s">
        <v>1656</v>
      </c>
      <c r="J2034" s="36" t="s">
        <v>1656</v>
      </c>
      <c r="K2034" s="36" t="s">
        <v>1839</v>
      </c>
      <c r="L2034" s="36" t="s">
        <v>5031</v>
      </c>
      <c r="M2034" s="36" t="s">
        <v>5031</v>
      </c>
      <c r="N2034" s="36" t="s">
        <v>32</v>
      </c>
    </row>
    <row r="2035">
      <c r="A2035" s="36" t="s">
        <v>5204</v>
      </c>
      <c r="B2035" s="154" t="s">
        <v>5202</v>
      </c>
      <c r="C2035" s="36" t="s">
        <v>1666</v>
      </c>
      <c r="D2035" s="36" t="s">
        <v>100</v>
      </c>
      <c r="E2035" s="36" t="s">
        <v>100</v>
      </c>
      <c r="F2035" s="154" t="s">
        <v>1810</v>
      </c>
      <c r="G2035" s="36" t="s">
        <v>32</v>
      </c>
      <c r="H2035" s="36" t="s">
        <v>1655</v>
      </c>
      <c r="I2035" s="36" t="s">
        <v>1656</v>
      </c>
      <c r="J2035" s="36" t="s">
        <v>1656</v>
      </c>
      <c r="K2035" s="36" t="s">
        <v>1842</v>
      </c>
      <c r="L2035" s="36" t="s">
        <v>5031</v>
      </c>
      <c r="M2035" s="36" t="s">
        <v>5031</v>
      </c>
      <c r="N2035" s="36" t="s">
        <v>32</v>
      </c>
    </row>
    <row r="2036">
      <c r="A2036" s="36" t="s">
        <v>5205</v>
      </c>
      <c r="B2036" s="154" t="s">
        <v>5202</v>
      </c>
      <c r="C2036" s="36" t="s">
        <v>1666</v>
      </c>
      <c r="D2036" s="36" t="s">
        <v>130</v>
      </c>
      <c r="E2036" s="36" t="s">
        <v>130</v>
      </c>
      <c r="F2036" s="154" t="s">
        <v>1768</v>
      </c>
      <c r="G2036" s="36" t="s">
        <v>32</v>
      </c>
      <c r="H2036" s="36" t="s">
        <v>1655</v>
      </c>
      <c r="I2036" s="36" t="s">
        <v>1656</v>
      </c>
      <c r="J2036" s="36" t="s">
        <v>1656</v>
      </c>
      <c r="K2036" s="36" t="s">
        <v>1845</v>
      </c>
      <c r="L2036" s="36" t="s">
        <v>5031</v>
      </c>
      <c r="M2036" s="36" t="s">
        <v>5031</v>
      </c>
      <c r="N2036" s="36" t="s">
        <v>32</v>
      </c>
    </row>
    <row r="2037">
      <c r="A2037" s="36" t="s">
        <v>5206</v>
      </c>
      <c r="B2037" s="154" t="s">
        <v>5207</v>
      </c>
      <c r="C2037" s="36" t="s">
        <v>1666</v>
      </c>
      <c r="D2037" s="36" t="s">
        <v>453</v>
      </c>
      <c r="E2037" s="36" t="s">
        <v>453</v>
      </c>
      <c r="F2037" s="154" t="s">
        <v>1816</v>
      </c>
      <c r="G2037" s="36" t="s">
        <v>28</v>
      </c>
      <c r="H2037" s="36" t="s">
        <v>1655</v>
      </c>
      <c r="I2037" s="36" t="s">
        <v>1656</v>
      </c>
      <c r="J2037" s="36" t="s">
        <v>1656</v>
      </c>
      <c r="K2037" s="36" t="s">
        <v>1848</v>
      </c>
      <c r="L2037" s="36" t="s">
        <v>5031</v>
      </c>
      <c r="M2037" s="36" t="s">
        <v>5031</v>
      </c>
      <c r="N2037" s="36" t="s">
        <v>34</v>
      </c>
    </row>
    <row r="2038">
      <c r="A2038" s="36" t="s">
        <v>5208</v>
      </c>
      <c r="B2038" s="154" t="s">
        <v>5209</v>
      </c>
      <c r="C2038" s="36" t="s">
        <v>1666</v>
      </c>
      <c r="D2038" s="36" t="s">
        <v>81</v>
      </c>
      <c r="E2038" s="36" t="s">
        <v>81</v>
      </c>
      <c r="F2038" s="154" t="s">
        <v>5210</v>
      </c>
      <c r="G2038" s="36" t="s">
        <v>28</v>
      </c>
      <c r="H2038" s="36" t="s">
        <v>1655</v>
      </c>
      <c r="I2038" s="36" t="s">
        <v>1656</v>
      </c>
      <c r="J2038" s="36" t="s">
        <v>1656</v>
      </c>
      <c r="K2038" s="36" t="s">
        <v>1891</v>
      </c>
      <c r="L2038" s="36" t="s">
        <v>5031</v>
      </c>
      <c r="M2038" s="36" t="s">
        <v>5031</v>
      </c>
      <c r="N2038" s="36" t="s">
        <v>32</v>
      </c>
    </row>
    <row r="2039">
      <c r="A2039" s="36" t="s">
        <v>5211</v>
      </c>
      <c r="B2039" s="154" t="s">
        <v>5209</v>
      </c>
      <c r="C2039" s="36" t="s">
        <v>1666</v>
      </c>
      <c r="D2039" s="36" t="s">
        <v>83</v>
      </c>
      <c r="E2039" s="36" t="s">
        <v>83</v>
      </c>
      <c r="F2039" s="154" t="s">
        <v>5212</v>
      </c>
      <c r="G2039" s="36" t="s">
        <v>28</v>
      </c>
      <c r="H2039" s="36" t="s">
        <v>1655</v>
      </c>
      <c r="I2039" s="36" t="s">
        <v>1656</v>
      </c>
      <c r="J2039" s="36" t="s">
        <v>1656</v>
      </c>
      <c r="K2039" s="36" t="s">
        <v>1921</v>
      </c>
      <c r="L2039" s="36" t="s">
        <v>5031</v>
      </c>
      <c r="M2039" s="36" t="s">
        <v>5031</v>
      </c>
      <c r="N2039" s="36" t="s">
        <v>32</v>
      </c>
    </row>
    <row r="2040">
      <c r="A2040" s="36" t="s">
        <v>5213</v>
      </c>
      <c r="B2040" s="154" t="s">
        <v>5209</v>
      </c>
      <c r="C2040" s="36" t="s">
        <v>1666</v>
      </c>
      <c r="D2040" s="36" t="s">
        <v>84</v>
      </c>
      <c r="E2040" s="36" t="s">
        <v>84</v>
      </c>
      <c r="F2040" s="154" t="s">
        <v>5214</v>
      </c>
      <c r="G2040" s="36" t="s">
        <v>32</v>
      </c>
      <c r="H2040" s="36" t="s">
        <v>1655</v>
      </c>
      <c r="I2040" s="36" t="s">
        <v>1656</v>
      </c>
      <c r="J2040" s="36" t="s">
        <v>1656</v>
      </c>
      <c r="K2040" s="36" t="s">
        <v>3166</v>
      </c>
      <c r="L2040" s="36" t="s">
        <v>5031</v>
      </c>
      <c r="M2040" s="36" t="s">
        <v>5031</v>
      </c>
      <c r="N2040" s="36" t="s">
        <v>32</v>
      </c>
    </row>
    <row r="2041">
      <c r="A2041" s="36" t="s">
        <v>5215</v>
      </c>
      <c r="B2041" s="154" t="s">
        <v>5209</v>
      </c>
      <c r="C2041" s="36" t="s">
        <v>1666</v>
      </c>
      <c r="D2041" s="36" t="s">
        <v>495</v>
      </c>
      <c r="E2041" s="36" t="s">
        <v>495</v>
      </c>
      <c r="F2041" s="154" t="s">
        <v>5216</v>
      </c>
      <c r="G2041" s="36" t="s">
        <v>28</v>
      </c>
      <c r="H2041" s="36" t="s">
        <v>1655</v>
      </c>
      <c r="I2041" s="36" t="s">
        <v>1656</v>
      </c>
      <c r="J2041" s="36" t="s">
        <v>1656</v>
      </c>
      <c r="K2041" s="36" t="s">
        <v>1851</v>
      </c>
      <c r="L2041" s="36" t="s">
        <v>5031</v>
      </c>
      <c r="M2041" s="36" t="s">
        <v>5031</v>
      </c>
      <c r="N2041" s="36" t="s">
        <v>32</v>
      </c>
    </row>
    <row r="2042">
      <c r="A2042" s="36" t="s">
        <v>5217</v>
      </c>
      <c r="B2042" s="154" t="s">
        <v>5209</v>
      </c>
      <c r="C2042" s="36" t="s">
        <v>1666</v>
      </c>
      <c r="D2042" s="36" t="s">
        <v>494</v>
      </c>
      <c r="E2042" s="36" t="s">
        <v>494</v>
      </c>
      <c r="F2042" s="154" t="s">
        <v>1686</v>
      </c>
      <c r="G2042" s="36" t="s">
        <v>28</v>
      </c>
      <c r="H2042" s="36" t="s">
        <v>1655</v>
      </c>
      <c r="I2042" s="36" t="s">
        <v>1656</v>
      </c>
      <c r="J2042" s="36" t="s">
        <v>1656</v>
      </c>
      <c r="K2042" s="36" t="s">
        <v>1854</v>
      </c>
      <c r="L2042" s="36" t="s">
        <v>5031</v>
      </c>
      <c r="M2042" s="36" t="s">
        <v>5031</v>
      </c>
      <c r="N2042" s="36" t="s">
        <v>34</v>
      </c>
    </row>
    <row r="2043">
      <c r="A2043" s="36" t="s">
        <v>5218</v>
      </c>
      <c r="B2043" s="154" t="s">
        <v>5209</v>
      </c>
      <c r="C2043" s="36" t="s">
        <v>1666</v>
      </c>
      <c r="D2043" s="36" t="s">
        <v>295</v>
      </c>
      <c r="E2043" s="36" t="s">
        <v>295</v>
      </c>
      <c r="F2043" s="154" t="s">
        <v>2025</v>
      </c>
      <c r="G2043" s="36" t="s">
        <v>28</v>
      </c>
      <c r="H2043" s="36" t="s">
        <v>1655</v>
      </c>
      <c r="I2043" s="36" t="s">
        <v>1656</v>
      </c>
      <c r="J2043" s="36" t="s">
        <v>1656</v>
      </c>
      <c r="K2043" s="36" t="s">
        <v>1857</v>
      </c>
      <c r="L2043" s="36" t="s">
        <v>5031</v>
      </c>
      <c r="M2043" s="36" t="s">
        <v>5031</v>
      </c>
      <c r="N2043" s="36" t="s">
        <v>34</v>
      </c>
    </row>
    <row r="2044">
      <c r="A2044" s="36" t="s">
        <v>5219</v>
      </c>
      <c r="B2044" s="154" t="s">
        <v>5220</v>
      </c>
      <c r="C2044" s="36" t="s">
        <v>1653</v>
      </c>
      <c r="D2044" s="36" t="s">
        <v>43</v>
      </c>
      <c r="E2044" s="36" t="s">
        <v>39</v>
      </c>
      <c r="F2044" s="154" t="s">
        <v>5221</v>
      </c>
      <c r="G2044" s="36" t="s">
        <v>32</v>
      </c>
      <c r="H2044" s="36" t="s">
        <v>1655</v>
      </c>
      <c r="I2044" s="36" t="s">
        <v>1656</v>
      </c>
      <c r="J2044" s="36" t="s">
        <v>1656</v>
      </c>
      <c r="K2044" s="36" t="s">
        <v>1657</v>
      </c>
      <c r="L2044" s="36" t="s">
        <v>4212</v>
      </c>
      <c r="M2044" s="36" t="s">
        <v>4212</v>
      </c>
      <c r="N2044" s="36" t="s">
        <v>32</v>
      </c>
    </row>
    <row r="2045">
      <c r="A2045" s="36" t="s">
        <v>5222</v>
      </c>
      <c r="B2045" s="154" t="s">
        <v>5220</v>
      </c>
      <c r="C2045" s="36" t="s">
        <v>1653</v>
      </c>
      <c r="D2045" s="36" t="s">
        <v>163</v>
      </c>
      <c r="E2045" s="36" t="s">
        <v>39</v>
      </c>
      <c r="F2045" s="154" t="s">
        <v>5223</v>
      </c>
      <c r="G2045" s="36" t="s">
        <v>32</v>
      </c>
      <c r="H2045" s="36" t="s">
        <v>1655</v>
      </c>
      <c r="I2045" s="36" t="s">
        <v>1656</v>
      </c>
      <c r="J2045" s="36" t="s">
        <v>1656</v>
      </c>
      <c r="K2045" s="36" t="s">
        <v>1749</v>
      </c>
      <c r="L2045" s="36" t="s">
        <v>4212</v>
      </c>
      <c r="M2045" s="36" t="s">
        <v>4212</v>
      </c>
      <c r="N2045" s="36" t="s">
        <v>32</v>
      </c>
    </row>
    <row r="2046">
      <c r="A2046" s="36" t="s">
        <v>5224</v>
      </c>
      <c r="B2046" s="154" t="s">
        <v>5220</v>
      </c>
      <c r="C2046" s="36" t="s">
        <v>1653</v>
      </c>
      <c r="D2046" s="36" t="s">
        <v>915</v>
      </c>
      <c r="E2046" s="36" t="s">
        <v>39</v>
      </c>
      <c r="F2046" s="154" t="s">
        <v>5225</v>
      </c>
      <c r="G2046" s="36" t="s">
        <v>32</v>
      </c>
      <c r="H2046" s="36" t="s">
        <v>1655</v>
      </c>
      <c r="I2046" s="36" t="s">
        <v>1656</v>
      </c>
      <c r="J2046" s="36" t="s">
        <v>1656</v>
      </c>
      <c r="K2046" s="36" t="s">
        <v>2265</v>
      </c>
      <c r="L2046" s="36" t="s">
        <v>4212</v>
      </c>
      <c r="M2046" s="36" t="s">
        <v>4212</v>
      </c>
      <c r="N2046" s="36" t="s">
        <v>32</v>
      </c>
    </row>
    <row r="2047">
      <c r="A2047" s="36" t="s">
        <v>5226</v>
      </c>
      <c r="B2047" s="154" t="s">
        <v>5220</v>
      </c>
      <c r="C2047" s="36" t="s">
        <v>1666</v>
      </c>
      <c r="D2047" s="36" t="s">
        <v>85</v>
      </c>
      <c r="E2047" s="36" t="s">
        <v>85</v>
      </c>
      <c r="F2047" s="154" t="s">
        <v>5227</v>
      </c>
      <c r="G2047" s="36" t="s">
        <v>28</v>
      </c>
      <c r="H2047" s="36" t="s">
        <v>1655</v>
      </c>
      <c r="I2047" s="36" t="s">
        <v>1656</v>
      </c>
      <c r="J2047" s="36" t="s">
        <v>1656</v>
      </c>
      <c r="K2047" s="36" t="s">
        <v>3038</v>
      </c>
      <c r="L2047" s="36" t="s">
        <v>5031</v>
      </c>
      <c r="M2047" s="36" t="s">
        <v>5031</v>
      </c>
      <c r="N2047" s="36" t="s">
        <v>32</v>
      </c>
    </row>
    <row r="2048">
      <c r="A2048" s="36" t="s">
        <v>5228</v>
      </c>
      <c r="B2048" s="154" t="s">
        <v>5220</v>
      </c>
      <c r="C2048" s="36" t="s">
        <v>1666</v>
      </c>
      <c r="D2048" s="36" t="s">
        <v>439</v>
      </c>
      <c r="E2048" s="36" t="s">
        <v>439</v>
      </c>
      <c r="F2048" s="154" t="s">
        <v>5229</v>
      </c>
      <c r="G2048" s="36" t="s">
        <v>28</v>
      </c>
      <c r="H2048" s="36" t="s">
        <v>1655</v>
      </c>
      <c r="I2048" s="36" t="s">
        <v>1656</v>
      </c>
      <c r="J2048" s="36" t="s">
        <v>1656</v>
      </c>
      <c r="K2048" s="36" t="s">
        <v>2775</v>
      </c>
      <c r="L2048" s="36" t="s">
        <v>5031</v>
      </c>
      <c r="M2048" s="36" t="s">
        <v>5031</v>
      </c>
      <c r="N2048" s="36" t="s">
        <v>32</v>
      </c>
    </row>
    <row r="2049">
      <c r="A2049" s="36" t="s">
        <v>5230</v>
      </c>
      <c r="B2049" s="154" t="s">
        <v>5220</v>
      </c>
      <c r="C2049" s="36" t="s">
        <v>1666</v>
      </c>
      <c r="D2049" s="36" t="s">
        <v>718</v>
      </c>
      <c r="E2049" s="36" t="s">
        <v>718</v>
      </c>
      <c r="F2049" s="154" t="s">
        <v>5227</v>
      </c>
      <c r="G2049" s="36" t="s">
        <v>28</v>
      </c>
      <c r="H2049" s="36" t="s">
        <v>1655</v>
      </c>
      <c r="I2049" s="36" t="s">
        <v>1656</v>
      </c>
      <c r="J2049" s="36" t="s">
        <v>1656</v>
      </c>
      <c r="K2049" s="36" t="s">
        <v>2779</v>
      </c>
      <c r="L2049" s="36" t="s">
        <v>5031</v>
      </c>
      <c r="M2049" s="36" t="s">
        <v>5031</v>
      </c>
      <c r="N2049" s="36" t="s">
        <v>32</v>
      </c>
    </row>
    <row r="2050">
      <c r="A2050" s="36" t="s">
        <v>5231</v>
      </c>
      <c r="B2050" s="154" t="s">
        <v>5220</v>
      </c>
      <c r="C2050" s="36" t="s">
        <v>1666</v>
      </c>
      <c r="D2050" s="36" t="s">
        <v>933</v>
      </c>
      <c r="E2050" s="36" t="s">
        <v>933</v>
      </c>
      <c r="F2050" s="154" t="s">
        <v>3415</v>
      </c>
      <c r="G2050" s="36" t="s">
        <v>32</v>
      </c>
      <c r="H2050" s="36" t="s">
        <v>1655</v>
      </c>
      <c r="I2050" s="36" t="s">
        <v>1656</v>
      </c>
      <c r="J2050" s="36" t="s">
        <v>1656</v>
      </c>
      <c r="K2050" s="36" t="s">
        <v>1675</v>
      </c>
      <c r="L2050" s="36" t="s">
        <v>5031</v>
      </c>
      <c r="M2050" s="36" t="s">
        <v>5031</v>
      </c>
      <c r="N2050" s="36" t="s">
        <v>32</v>
      </c>
    </row>
    <row r="2051">
      <c r="A2051" s="36" t="s">
        <v>5232</v>
      </c>
      <c r="B2051" s="154" t="s">
        <v>5220</v>
      </c>
      <c r="C2051" s="36" t="s">
        <v>1666</v>
      </c>
      <c r="D2051" s="36" t="s">
        <v>295</v>
      </c>
      <c r="E2051" s="36" t="s">
        <v>295</v>
      </c>
      <c r="F2051" s="154" t="s">
        <v>5233</v>
      </c>
      <c r="G2051" s="36" t="s">
        <v>32</v>
      </c>
      <c r="H2051" s="36" t="s">
        <v>1655</v>
      </c>
      <c r="I2051" s="36" t="s">
        <v>1656</v>
      </c>
      <c r="J2051" s="36" t="s">
        <v>1656</v>
      </c>
      <c r="K2051" s="36" t="s">
        <v>1678</v>
      </c>
      <c r="L2051" s="36" t="s">
        <v>5031</v>
      </c>
      <c r="M2051" s="36" t="s">
        <v>5031</v>
      </c>
      <c r="N2051" s="36" t="s">
        <v>32</v>
      </c>
    </row>
    <row r="2052">
      <c r="A2052" s="36" t="s">
        <v>5234</v>
      </c>
      <c r="B2052" s="154" t="s">
        <v>5220</v>
      </c>
      <c r="C2052" s="36" t="s">
        <v>1666</v>
      </c>
      <c r="D2052" s="36" t="s">
        <v>942</v>
      </c>
      <c r="E2052" s="36" t="s">
        <v>942</v>
      </c>
      <c r="F2052" s="154" t="s">
        <v>5235</v>
      </c>
      <c r="G2052" s="36" t="s">
        <v>32</v>
      </c>
      <c r="H2052" s="36" t="s">
        <v>1655</v>
      </c>
      <c r="I2052" s="36" t="s">
        <v>1656</v>
      </c>
      <c r="J2052" s="36" t="s">
        <v>1656</v>
      </c>
      <c r="K2052" s="36" t="s">
        <v>1681</v>
      </c>
      <c r="L2052" s="36" t="s">
        <v>5031</v>
      </c>
      <c r="M2052" s="36" t="s">
        <v>5031</v>
      </c>
      <c r="N2052" s="36" t="s">
        <v>32</v>
      </c>
    </row>
    <row r="2053">
      <c r="A2053" s="36" t="s">
        <v>5236</v>
      </c>
      <c r="B2053" s="154" t="s">
        <v>5237</v>
      </c>
      <c r="C2053" s="36" t="s">
        <v>1666</v>
      </c>
      <c r="D2053" s="36" t="s">
        <v>950</v>
      </c>
      <c r="E2053" s="36" t="s">
        <v>950</v>
      </c>
      <c r="F2053" s="154" t="s">
        <v>1806</v>
      </c>
      <c r="G2053" s="36" t="s">
        <v>32</v>
      </c>
      <c r="H2053" s="36" t="s">
        <v>1655</v>
      </c>
      <c r="I2053" s="36" t="s">
        <v>1656</v>
      </c>
      <c r="J2053" s="36" t="s">
        <v>1656</v>
      </c>
      <c r="K2053" s="36" t="s">
        <v>1684</v>
      </c>
      <c r="L2053" s="36" t="s">
        <v>5031</v>
      </c>
      <c r="M2053" s="36" t="s">
        <v>5031</v>
      </c>
      <c r="N2053" s="36" t="s">
        <v>32</v>
      </c>
    </row>
    <row r="2054">
      <c r="A2054" s="36" t="s">
        <v>5238</v>
      </c>
      <c r="B2054" s="154" t="s">
        <v>5239</v>
      </c>
      <c r="C2054" s="36" t="s">
        <v>1666</v>
      </c>
      <c r="D2054" s="36" t="s">
        <v>78</v>
      </c>
      <c r="E2054" s="36" t="s">
        <v>78</v>
      </c>
      <c r="F2054" s="154" t="s">
        <v>1899</v>
      </c>
      <c r="G2054" s="36" t="s">
        <v>28</v>
      </c>
      <c r="H2054" s="36" t="s">
        <v>1655</v>
      </c>
      <c r="I2054" s="36" t="s">
        <v>1656</v>
      </c>
      <c r="J2054" s="36" t="s">
        <v>1656</v>
      </c>
      <c r="K2054" s="36" t="s">
        <v>1769</v>
      </c>
      <c r="L2054" s="36" t="s">
        <v>5031</v>
      </c>
      <c r="M2054" s="36" t="s">
        <v>5031</v>
      </c>
      <c r="N2054" s="36" t="s">
        <v>32</v>
      </c>
    </row>
    <row r="2055">
      <c r="A2055" s="36" t="s">
        <v>5240</v>
      </c>
      <c r="B2055" s="154" t="s">
        <v>5239</v>
      </c>
      <c r="C2055" s="36" t="s">
        <v>1666</v>
      </c>
      <c r="D2055" s="36" t="s">
        <v>100</v>
      </c>
      <c r="E2055" s="36" t="s">
        <v>100</v>
      </c>
      <c r="F2055" s="154" t="s">
        <v>1810</v>
      </c>
      <c r="G2055" s="36" t="s">
        <v>32</v>
      </c>
      <c r="H2055" s="36" t="s">
        <v>1655</v>
      </c>
      <c r="I2055" s="36" t="s">
        <v>1656</v>
      </c>
      <c r="J2055" s="36" t="s">
        <v>1656</v>
      </c>
      <c r="K2055" s="36" t="s">
        <v>1695</v>
      </c>
      <c r="L2055" s="36" t="s">
        <v>5031</v>
      </c>
      <c r="M2055" s="36" t="s">
        <v>5031</v>
      </c>
      <c r="N2055" s="36" t="s">
        <v>32</v>
      </c>
    </row>
    <row r="2056">
      <c r="A2056" s="36" t="s">
        <v>5241</v>
      </c>
      <c r="B2056" s="154" t="s">
        <v>5242</v>
      </c>
      <c r="C2056" s="36" t="s">
        <v>1666</v>
      </c>
      <c r="D2056" s="36" t="s">
        <v>63</v>
      </c>
      <c r="E2056" s="36" t="s">
        <v>63</v>
      </c>
      <c r="F2056" s="154" t="s">
        <v>5243</v>
      </c>
      <c r="G2056" s="36" t="s">
        <v>28</v>
      </c>
      <c r="H2056" s="36" t="s">
        <v>1655</v>
      </c>
      <c r="I2056" s="36" t="s">
        <v>1656</v>
      </c>
      <c r="J2056" s="36" t="s">
        <v>1656</v>
      </c>
      <c r="K2056" s="36" t="s">
        <v>4196</v>
      </c>
      <c r="L2056" s="36" t="s">
        <v>5031</v>
      </c>
      <c r="M2056" s="36" t="s">
        <v>5031</v>
      </c>
      <c r="N2056" s="36" t="s">
        <v>34</v>
      </c>
    </row>
    <row r="2057">
      <c r="A2057" s="36" t="s">
        <v>5244</v>
      </c>
      <c r="B2057" s="154" t="s">
        <v>5242</v>
      </c>
      <c r="C2057" s="36" t="s">
        <v>1666</v>
      </c>
      <c r="D2057" s="36" t="s">
        <v>100</v>
      </c>
      <c r="E2057" s="36" t="s">
        <v>100</v>
      </c>
      <c r="F2057" s="154" t="s">
        <v>1810</v>
      </c>
      <c r="G2057" s="36" t="s">
        <v>32</v>
      </c>
      <c r="H2057" s="36" t="s">
        <v>1655</v>
      </c>
      <c r="I2057" s="36" t="s">
        <v>1656</v>
      </c>
      <c r="J2057" s="36" t="s">
        <v>1656</v>
      </c>
      <c r="K2057" s="36" t="s">
        <v>1698</v>
      </c>
      <c r="L2057" s="36" t="s">
        <v>5031</v>
      </c>
      <c r="M2057" s="36" t="s">
        <v>5031</v>
      </c>
      <c r="N2057" s="36" t="s">
        <v>32</v>
      </c>
    </row>
    <row r="2058">
      <c r="A2058" s="36" t="s">
        <v>5245</v>
      </c>
      <c r="B2058" s="154" t="s">
        <v>5246</v>
      </c>
      <c r="C2058" s="36" t="s">
        <v>1666</v>
      </c>
      <c r="D2058" s="36" t="s">
        <v>64</v>
      </c>
      <c r="E2058" s="36" t="s">
        <v>64</v>
      </c>
      <c r="F2058" s="154" t="s">
        <v>4431</v>
      </c>
      <c r="G2058" s="36" t="s">
        <v>28</v>
      </c>
      <c r="H2058" s="36" t="s">
        <v>1655</v>
      </c>
      <c r="I2058" s="36" t="s">
        <v>1656</v>
      </c>
      <c r="J2058" s="36" t="s">
        <v>1656</v>
      </c>
      <c r="K2058" s="36" t="s">
        <v>1708</v>
      </c>
      <c r="L2058" s="36" t="s">
        <v>5031</v>
      </c>
      <c r="M2058" s="36" t="s">
        <v>5031</v>
      </c>
      <c r="N2058" s="36" t="s">
        <v>32</v>
      </c>
    </row>
    <row r="2059">
      <c r="A2059" s="36" t="s">
        <v>5247</v>
      </c>
      <c r="B2059" s="154" t="s">
        <v>5246</v>
      </c>
      <c r="C2059" s="36" t="s">
        <v>1666</v>
      </c>
      <c r="D2059" s="36" t="s">
        <v>88</v>
      </c>
      <c r="E2059" s="36" t="s">
        <v>88</v>
      </c>
      <c r="F2059" s="154" t="s">
        <v>1810</v>
      </c>
      <c r="G2059" s="36" t="s">
        <v>32</v>
      </c>
      <c r="H2059" s="36" t="s">
        <v>1655</v>
      </c>
      <c r="I2059" s="36" t="s">
        <v>1656</v>
      </c>
      <c r="J2059" s="36" t="s">
        <v>1656</v>
      </c>
      <c r="K2059" s="36" t="s">
        <v>1691</v>
      </c>
      <c r="L2059" s="36" t="s">
        <v>5031</v>
      </c>
      <c r="M2059" s="36" t="s">
        <v>5031</v>
      </c>
      <c r="N2059" s="36" t="s">
        <v>32</v>
      </c>
    </row>
    <row r="2060">
      <c r="A2060" s="36" t="s">
        <v>5248</v>
      </c>
      <c r="B2060" s="154" t="s">
        <v>5246</v>
      </c>
      <c r="C2060" s="36" t="s">
        <v>1666</v>
      </c>
      <c r="D2060" s="36" t="s">
        <v>971</v>
      </c>
      <c r="E2060" s="36" t="s">
        <v>971</v>
      </c>
      <c r="F2060" s="154" t="s">
        <v>1859</v>
      </c>
      <c r="G2060" s="36" t="s">
        <v>32</v>
      </c>
      <c r="H2060" s="36" t="s">
        <v>1655</v>
      </c>
      <c r="I2060" s="36" t="s">
        <v>1656</v>
      </c>
      <c r="J2060" s="36" t="s">
        <v>1656</v>
      </c>
      <c r="K2060" s="36" t="s">
        <v>1701</v>
      </c>
      <c r="L2060" s="36" t="s">
        <v>5031</v>
      </c>
      <c r="M2060" s="36" t="s">
        <v>5031</v>
      </c>
      <c r="N2060" s="36" t="s">
        <v>32</v>
      </c>
    </row>
    <row r="2061">
      <c r="A2061" s="36" t="s">
        <v>5249</v>
      </c>
      <c r="B2061" s="154" t="s">
        <v>5246</v>
      </c>
      <c r="C2061" s="36" t="s">
        <v>1666</v>
      </c>
      <c r="D2061" s="36" t="s">
        <v>950</v>
      </c>
      <c r="E2061" s="36" t="s">
        <v>950</v>
      </c>
      <c r="F2061" s="154" t="s">
        <v>1806</v>
      </c>
      <c r="G2061" s="36" t="s">
        <v>32</v>
      </c>
      <c r="H2061" s="36" t="s">
        <v>1655</v>
      </c>
      <c r="I2061" s="36" t="s">
        <v>1656</v>
      </c>
      <c r="J2061" s="36" t="s">
        <v>1656</v>
      </c>
      <c r="K2061" s="36" t="s">
        <v>1704</v>
      </c>
      <c r="L2061" s="36" t="s">
        <v>5031</v>
      </c>
      <c r="M2061" s="36" t="s">
        <v>5031</v>
      </c>
      <c r="N2061" s="36" t="s">
        <v>32</v>
      </c>
    </row>
    <row r="2062">
      <c r="A2062" s="36" t="s">
        <v>5250</v>
      </c>
      <c r="B2062" s="154" t="s">
        <v>5246</v>
      </c>
      <c r="C2062" s="36" t="s">
        <v>1666</v>
      </c>
      <c r="D2062" s="36" t="s">
        <v>218</v>
      </c>
      <c r="E2062" s="36" t="s">
        <v>218</v>
      </c>
      <c r="F2062" s="154" t="s">
        <v>1832</v>
      </c>
      <c r="G2062" s="36" t="s">
        <v>32</v>
      </c>
      <c r="H2062" s="36" t="s">
        <v>1655</v>
      </c>
      <c r="I2062" s="36" t="s">
        <v>1656</v>
      </c>
      <c r="J2062" s="36" t="s">
        <v>1656</v>
      </c>
      <c r="K2062" s="36" t="s">
        <v>1711</v>
      </c>
      <c r="L2062" s="36" t="s">
        <v>5031</v>
      </c>
      <c r="M2062" s="36" t="s">
        <v>5031</v>
      </c>
      <c r="N2062" s="36" t="s">
        <v>32</v>
      </c>
    </row>
    <row r="2063">
      <c r="A2063" s="36" t="s">
        <v>5251</v>
      </c>
      <c r="B2063" s="154" t="s">
        <v>5252</v>
      </c>
      <c r="C2063" s="36" t="s">
        <v>1653</v>
      </c>
      <c r="D2063" s="36" t="s">
        <v>701</v>
      </c>
      <c r="E2063" s="36" t="s">
        <v>39</v>
      </c>
      <c r="F2063" s="154" t="s">
        <v>5253</v>
      </c>
      <c r="G2063" s="36" t="s">
        <v>32</v>
      </c>
      <c r="H2063" s="36" t="s">
        <v>1655</v>
      </c>
      <c r="I2063" s="36" t="s">
        <v>1656</v>
      </c>
      <c r="J2063" s="36" t="s">
        <v>1656</v>
      </c>
      <c r="K2063" s="36" t="s">
        <v>2848</v>
      </c>
      <c r="L2063" s="36" t="s">
        <v>4212</v>
      </c>
      <c r="M2063" s="36" t="s">
        <v>4212</v>
      </c>
      <c r="N2063" s="36" t="s">
        <v>32</v>
      </c>
    </row>
    <row r="2064">
      <c r="A2064" s="36" t="s">
        <v>5254</v>
      </c>
      <c r="B2064" s="154" t="s">
        <v>5255</v>
      </c>
      <c r="C2064" s="36" t="s">
        <v>1666</v>
      </c>
      <c r="D2064" s="36" t="s">
        <v>66</v>
      </c>
      <c r="E2064" s="36" t="s">
        <v>66</v>
      </c>
      <c r="F2064" s="154" t="s">
        <v>5256</v>
      </c>
      <c r="G2064" s="36" t="s">
        <v>28</v>
      </c>
      <c r="H2064" s="36" t="s">
        <v>1655</v>
      </c>
      <c r="I2064" s="36" t="s">
        <v>1656</v>
      </c>
      <c r="J2064" s="36" t="s">
        <v>1656</v>
      </c>
      <c r="K2064" s="36" t="s">
        <v>1721</v>
      </c>
      <c r="L2064" s="36" t="s">
        <v>5031</v>
      </c>
      <c r="M2064" s="36" t="s">
        <v>5031</v>
      </c>
      <c r="N2064" s="36" t="s">
        <v>32</v>
      </c>
    </row>
    <row r="2065">
      <c r="A2065" s="36" t="s">
        <v>5257</v>
      </c>
      <c r="B2065" s="154" t="s">
        <v>5258</v>
      </c>
      <c r="C2065" s="36" t="s">
        <v>1666</v>
      </c>
      <c r="D2065" s="36" t="s">
        <v>995</v>
      </c>
      <c r="E2065" s="36" t="s">
        <v>995</v>
      </c>
      <c r="F2065" s="154" t="s">
        <v>1686</v>
      </c>
      <c r="G2065" s="36" t="s">
        <v>32</v>
      </c>
      <c r="H2065" s="36" t="s">
        <v>1655</v>
      </c>
      <c r="I2065" s="36" t="s">
        <v>1656</v>
      </c>
      <c r="J2065" s="36" t="s">
        <v>1656</v>
      </c>
      <c r="K2065" s="36" t="s">
        <v>1727</v>
      </c>
      <c r="L2065" s="36" t="s">
        <v>5031</v>
      </c>
      <c r="M2065" s="36" t="s">
        <v>5031</v>
      </c>
      <c r="N2065" s="36" t="s">
        <v>32</v>
      </c>
    </row>
    <row r="2066">
      <c r="A2066" s="36" t="s">
        <v>5259</v>
      </c>
      <c r="B2066" s="154" t="s">
        <v>5260</v>
      </c>
      <c r="C2066" s="36" t="s">
        <v>1653</v>
      </c>
      <c r="D2066" s="36" t="s">
        <v>55</v>
      </c>
      <c r="E2066" s="36" t="s">
        <v>39</v>
      </c>
      <c r="F2066" s="154" t="s">
        <v>5261</v>
      </c>
      <c r="G2066" s="36" t="s">
        <v>32</v>
      </c>
      <c r="H2066" s="36" t="s">
        <v>1655</v>
      </c>
      <c r="I2066" s="36" t="s">
        <v>1656</v>
      </c>
      <c r="J2066" s="36" t="s">
        <v>1656</v>
      </c>
      <c r="K2066" s="36" t="s">
        <v>1989</v>
      </c>
      <c r="L2066" s="36" t="s">
        <v>4212</v>
      </c>
      <c r="M2066" s="36" t="s">
        <v>4212</v>
      </c>
      <c r="N2066" s="36" t="s">
        <v>32</v>
      </c>
    </row>
    <row r="2067">
      <c r="A2067" s="36" t="s">
        <v>5262</v>
      </c>
      <c r="B2067" s="154" t="s">
        <v>5260</v>
      </c>
      <c r="C2067" s="36" t="s">
        <v>1666</v>
      </c>
      <c r="D2067" s="36" t="s">
        <v>71</v>
      </c>
      <c r="E2067" s="36" t="s">
        <v>71</v>
      </c>
      <c r="F2067" s="154" t="s">
        <v>4448</v>
      </c>
      <c r="G2067" s="36" t="s">
        <v>32</v>
      </c>
      <c r="H2067" s="36" t="s">
        <v>1655</v>
      </c>
      <c r="I2067" s="36" t="s">
        <v>1656</v>
      </c>
      <c r="J2067" s="36" t="s">
        <v>1656</v>
      </c>
      <c r="K2067" s="36" t="s">
        <v>1752</v>
      </c>
      <c r="L2067" s="36" t="s">
        <v>5031</v>
      </c>
      <c r="M2067" s="36" t="s">
        <v>5031</v>
      </c>
      <c r="N2067" s="36" t="s">
        <v>32</v>
      </c>
    </row>
    <row r="2068">
      <c r="A2068" s="36" t="s">
        <v>5263</v>
      </c>
      <c r="B2068" s="154" t="s">
        <v>5260</v>
      </c>
      <c r="C2068" s="36" t="s">
        <v>1666</v>
      </c>
      <c r="D2068" s="36" t="s">
        <v>73</v>
      </c>
      <c r="E2068" s="36" t="s">
        <v>73</v>
      </c>
      <c r="F2068" s="154" t="s">
        <v>4544</v>
      </c>
      <c r="G2068" s="36" t="s">
        <v>28</v>
      </c>
      <c r="H2068" s="36" t="s">
        <v>1655</v>
      </c>
      <c r="I2068" s="36" t="s">
        <v>1656</v>
      </c>
      <c r="J2068" s="36" t="s">
        <v>1656</v>
      </c>
      <c r="K2068" s="36" t="s">
        <v>1755</v>
      </c>
      <c r="L2068" s="36" t="s">
        <v>5031</v>
      </c>
      <c r="M2068" s="36" t="s">
        <v>5031</v>
      </c>
      <c r="N2068" s="36" t="s">
        <v>32</v>
      </c>
    </row>
    <row r="2069">
      <c r="A2069" s="36" t="s">
        <v>5264</v>
      </c>
      <c r="B2069" s="154" t="s">
        <v>5260</v>
      </c>
      <c r="C2069" s="36" t="s">
        <v>1666</v>
      </c>
      <c r="D2069" s="36" t="s">
        <v>74</v>
      </c>
      <c r="E2069" s="36" t="s">
        <v>74</v>
      </c>
      <c r="F2069" s="154" t="s">
        <v>4448</v>
      </c>
      <c r="G2069" s="36" t="s">
        <v>32</v>
      </c>
      <c r="H2069" s="36" t="s">
        <v>1655</v>
      </c>
      <c r="I2069" s="36" t="s">
        <v>1656</v>
      </c>
      <c r="J2069" s="36" t="s">
        <v>1656</v>
      </c>
      <c r="K2069" s="36" t="s">
        <v>1757</v>
      </c>
      <c r="L2069" s="36" t="s">
        <v>5031</v>
      </c>
      <c r="M2069" s="36" t="s">
        <v>5031</v>
      </c>
      <c r="N2069" s="36" t="s">
        <v>32</v>
      </c>
    </row>
    <row r="2070">
      <c r="A2070" s="36" t="s">
        <v>5265</v>
      </c>
      <c r="B2070" s="154" t="s">
        <v>5260</v>
      </c>
      <c r="C2070" s="36" t="s">
        <v>1666</v>
      </c>
      <c r="D2070" s="36" t="s">
        <v>75</v>
      </c>
      <c r="E2070" s="36" t="s">
        <v>75</v>
      </c>
      <c r="F2070" s="154" t="s">
        <v>4450</v>
      </c>
      <c r="G2070" s="36" t="s">
        <v>28</v>
      </c>
      <c r="H2070" s="36" t="s">
        <v>1655</v>
      </c>
      <c r="I2070" s="36" t="s">
        <v>1656</v>
      </c>
      <c r="J2070" s="36" t="s">
        <v>1656</v>
      </c>
      <c r="K2070" s="36" t="s">
        <v>1760</v>
      </c>
      <c r="L2070" s="36" t="s">
        <v>5031</v>
      </c>
      <c r="M2070" s="36" t="s">
        <v>5031</v>
      </c>
      <c r="N2070" s="36" t="s">
        <v>32</v>
      </c>
    </row>
    <row r="2071">
      <c r="A2071" s="36" t="s">
        <v>5266</v>
      </c>
      <c r="B2071" s="154" t="s">
        <v>5260</v>
      </c>
      <c r="C2071" s="36" t="s">
        <v>1666</v>
      </c>
      <c r="D2071" s="36" t="s">
        <v>76</v>
      </c>
      <c r="E2071" s="36" t="s">
        <v>76</v>
      </c>
      <c r="F2071" s="154" t="s">
        <v>5267</v>
      </c>
      <c r="G2071" s="36" t="s">
        <v>28</v>
      </c>
      <c r="H2071" s="36" t="s">
        <v>1655</v>
      </c>
      <c r="I2071" s="36" t="s">
        <v>1656</v>
      </c>
      <c r="J2071" s="36" t="s">
        <v>1656</v>
      </c>
      <c r="K2071" s="36" t="s">
        <v>1763</v>
      </c>
      <c r="L2071" s="36" t="s">
        <v>5031</v>
      </c>
      <c r="M2071" s="36" t="s">
        <v>5031</v>
      </c>
      <c r="N2071" s="36" t="s">
        <v>32</v>
      </c>
    </row>
    <row r="2072">
      <c r="A2072" s="36" t="s">
        <v>5268</v>
      </c>
      <c r="B2072" s="154" t="s">
        <v>5260</v>
      </c>
      <c r="C2072" s="36" t="s">
        <v>1666</v>
      </c>
      <c r="D2072" s="36" t="s">
        <v>77</v>
      </c>
      <c r="E2072" s="36" t="s">
        <v>77</v>
      </c>
      <c r="F2072" s="154" t="s">
        <v>1768</v>
      </c>
      <c r="G2072" s="36" t="s">
        <v>34</v>
      </c>
      <c r="H2072" s="36" t="s">
        <v>1655</v>
      </c>
      <c r="I2072" s="36" t="s">
        <v>1656</v>
      </c>
      <c r="J2072" s="36" t="s">
        <v>1656</v>
      </c>
      <c r="K2072" s="36" t="s">
        <v>4248</v>
      </c>
      <c r="L2072" s="36" t="s">
        <v>5031</v>
      </c>
      <c r="M2072" s="36" t="s">
        <v>5031</v>
      </c>
      <c r="N2072" s="36" t="s">
        <v>32</v>
      </c>
    </row>
    <row r="2073">
      <c r="A2073" s="36" t="s">
        <v>5269</v>
      </c>
      <c r="B2073" s="154" t="s">
        <v>5260</v>
      </c>
      <c r="C2073" s="36" t="s">
        <v>1666</v>
      </c>
      <c r="D2073" s="36" t="s">
        <v>226</v>
      </c>
      <c r="E2073" s="36" t="s">
        <v>226</v>
      </c>
      <c r="F2073" s="154" t="s">
        <v>5270</v>
      </c>
      <c r="G2073" s="36" t="s">
        <v>32</v>
      </c>
      <c r="H2073" s="36" t="s">
        <v>1655</v>
      </c>
      <c r="I2073" s="36" t="s">
        <v>1656</v>
      </c>
      <c r="J2073" s="36" t="s">
        <v>1656</v>
      </c>
      <c r="K2073" s="36" t="s">
        <v>1715</v>
      </c>
      <c r="L2073" s="36" t="s">
        <v>5031</v>
      </c>
      <c r="M2073" s="36" t="s">
        <v>5031</v>
      </c>
      <c r="N2073" s="36" t="s">
        <v>32</v>
      </c>
    </row>
    <row r="2074">
      <c r="A2074" s="36" t="s">
        <v>5271</v>
      </c>
      <c r="B2074" s="154" t="s">
        <v>5260</v>
      </c>
      <c r="C2074" s="36" t="s">
        <v>1666</v>
      </c>
      <c r="D2074" s="36" t="s">
        <v>281</v>
      </c>
      <c r="E2074" s="36" t="s">
        <v>281</v>
      </c>
      <c r="F2074" s="154" t="s">
        <v>5272</v>
      </c>
      <c r="G2074" s="36" t="s">
        <v>34</v>
      </c>
      <c r="H2074" s="36" t="s">
        <v>1655</v>
      </c>
      <c r="I2074" s="36" t="s">
        <v>1656</v>
      </c>
      <c r="J2074" s="36" t="s">
        <v>1656</v>
      </c>
      <c r="K2074" s="36" t="s">
        <v>1717</v>
      </c>
      <c r="L2074" s="36" t="s">
        <v>5031</v>
      </c>
      <c r="M2074" s="36" t="s">
        <v>5031</v>
      </c>
      <c r="N2074" s="36" t="s">
        <v>32</v>
      </c>
    </row>
    <row r="2075">
      <c r="A2075" s="36" t="s">
        <v>5273</v>
      </c>
      <c r="B2075" s="154" t="s">
        <v>5260</v>
      </c>
      <c r="C2075" s="36" t="s">
        <v>1666</v>
      </c>
      <c r="D2075" s="36" t="s">
        <v>220</v>
      </c>
      <c r="E2075" s="36" t="s">
        <v>220</v>
      </c>
      <c r="F2075" s="154" t="s">
        <v>5274</v>
      </c>
      <c r="G2075" s="36" t="s">
        <v>28</v>
      </c>
      <c r="H2075" s="36" t="s">
        <v>1655</v>
      </c>
      <c r="I2075" s="36" t="s">
        <v>1656</v>
      </c>
      <c r="J2075" s="36" t="s">
        <v>1656</v>
      </c>
      <c r="K2075" s="36" t="s">
        <v>1724</v>
      </c>
      <c r="L2075" s="36" t="s">
        <v>5031</v>
      </c>
      <c r="M2075" s="36" t="s">
        <v>5031</v>
      </c>
      <c r="N2075" s="36" t="s">
        <v>32</v>
      </c>
    </row>
    <row r="2076">
      <c r="A2076" s="36" t="s">
        <v>5275</v>
      </c>
      <c r="B2076" s="154" t="s">
        <v>5260</v>
      </c>
      <c r="C2076" s="36" t="s">
        <v>1666</v>
      </c>
      <c r="D2076" s="36" t="s">
        <v>115</v>
      </c>
      <c r="E2076" s="36" t="s">
        <v>115</v>
      </c>
      <c r="F2076" s="154" t="s">
        <v>1683</v>
      </c>
      <c r="G2076" s="36" t="s">
        <v>32</v>
      </c>
      <c r="H2076" s="36" t="s">
        <v>1655</v>
      </c>
      <c r="I2076" s="36" t="s">
        <v>1656</v>
      </c>
      <c r="J2076" s="36" t="s">
        <v>1656</v>
      </c>
      <c r="K2076" s="36" t="s">
        <v>1730</v>
      </c>
      <c r="L2076" s="36" t="s">
        <v>5031</v>
      </c>
      <c r="M2076" s="36" t="s">
        <v>5031</v>
      </c>
      <c r="N2076" s="36" t="s">
        <v>32</v>
      </c>
    </row>
    <row r="2077">
      <c r="A2077" s="36" t="s">
        <v>5276</v>
      </c>
      <c r="B2077" s="154" t="s">
        <v>5260</v>
      </c>
      <c r="C2077" s="36" t="s">
        <v>1666</v>
      </c>
      <c r="D2077" s="36" t="s">
        <v>114</v>
      </c>
      <c r="E2077" s="36" t="s">
        <v>114</v>
      </c>
      <c r="F2077" s="154" t="s">
        <v>5277</v>
      </c>
      <c r="G2077" s="36" t="s">
        <v>32</v>
      </c>
      <c r="H2077" s="36" t="s">
        <v>1655</v>
      </c>
      <c r="I2077" s="36" t="s">
        <v>1656</v>
      </c>
      <c r="J2077" s="36" t="s">
        <v>1656</v>
      </c>
      <c r="K2077" s="36" t="s">
        <v>1732</v>
      </c>
      <c r="L2077" s="36" t="s">
        <v>5031</v>
      </c>
      <c r="M2077" s="36" t="s">
        <v>5031</v>
      </c>
      <c r="N2077" s="36" t="s">
        <v>32</v>
      </c>
    </row>
    <row r="2078">
      <c r="A2078" s="36" t="s">
        <v>5278</v>
      </c>
      <c r="B2078" s="154" t="s">
        <v>5279</v>
      </c>
      <c r="C2078" s="36" t="s">
        <v>1666</v>
      </c>
      <c r="D2078" s="36" t="s">
        <v>1050</v>
      </c>
      <c r="E2078" s="36" t="s">
        <v>1050</v>
      </c>
      <c r="F2078" s="154" t="s">
        <v>1686</v>
      </c>
      <c r="G2078" s="36" t="s">
        <v>28</v>
      </c>
      <c r="H2078" s="36" t="s">
        <v>1655</v>
      </c>
      <c r="I2078" s="36" t="s">
        <v>1656</v>
      </c>
      <c r="J2078" s="36" t="s">
        <v>1656</v>
      </c>
      <c r="K2078" s="36" t="s">
        <v>1796</v>
      </c>
      <c r="L2078" s="36" t="s">
        <v>5031</v>
      </c>
      <c r="M2078" s="36" t="s">
        <v>5031</v>
      </c>
      <c r="N2078" s="36" t="s">
        <v>34</v>
      </c>
    </row>
    <row r="2079">
      <c r="A2079" s="36" t="s">
        <v>5280</v>
      </c>
      <c r="B2079" s="154" t="s">
        <v>5281</v>
      </c>
      <c r="C2079" s="36" t="s">
        <v>1666</v>
      </c>
      <c r="D2079" s="36" t="s">
        <v>712</v>
      </c>
      <c r="E2079" s="36" t="s">
        <v>712</v>
      </c>
      <c r="F2079" s="154" t="s">
        <v>5282</v>
      </c>
      <c r="G2079" s="36" t="s">
        <v>28</v>
      </c>
      <c r="H2079" s="36" t="s">
        <v>1655</v>
      </c>
      <c r="I2079" s="36" t="s">
        <v>1656</v>
      </c>
      <c r="J2079" s="36" t="s">
        <v>1656</v>
      </c>
      <c r="K2079" s="36" t="s">
        <v>1766</v>
      </c>
      <c r="L2079" s="36" t="s">
        <v>5031</v>
      </c>
      <c r="M2079" s="36" t="s">
        <v>5031</v>
      </c>
      <c r="N2079" s="36" t="s">
        <v>32</v>
      </c>
    </row>
    <row r="2080">
      <c r="A2080" s="36" t="s">
        <v>5283</v>
      </c>
      <c r="B2080" s="154" t="s">
        <v>5281</v>
      </c>
      <c r="C2080" s="36" t="s">
        <v>1666</v>
      </c>
      <c r="D2080" s="36" t="s">
        <v>94</v>
      </c>
      <c r="E2080" s="36" t="s">
        <v>94</v>
      </c>
      <c r="F2080" s="154" t="s">
        <v>1816</v>
      </c>
      <c r="G2080" s="36" t="s">
        <v>28</v>
      </c>
      <c r="H2080" s="36" t="s">
        <v>1655</v>
      </c>
      <c r="I2080" s="36" t="s">
        <v>1656</v>
      </c>
      <c r="J2080" s="36" t="s">
        <v>1656</v>
      </c>
      <c r="K2080" s="36" t="s">
        <v>1736</v>
      </c>
      <c r="L2080" s="36" t="s">
        <v>5031</v>
      </c>
      <c r="M2080" s="36" t="s">
        <v>5031</v>
      </c>
      <c r="N2080" s="36" t="s">
        <v>32</v>
      </c>
    </row>
    <row r="2081">
      <c r="A2081" s="36" t="s">
        <v>5284</v>
      </c>
      <c r="B2081" s="154" t="s">
        <v>5285</v>
      </c>
      <c r="C2081" s="36" t="s">
        <v>1666</v>
      </c>
      <c r="D2081" s="36" t="s">
        <v>1052</v>
      </c>
      <c r="E2081" s="36" t="s">
        <v>1052</v>
      </c>
      <c r="F2081" s="154" t="s">
        <v>1899</v>
      </c>
      <c r="G2081" s="36" t="s">
        <v>28</v>
      </c>
      <c r="H2081" s="36" t="s">
        <v>1655</v>
      </c>
      <c r="I2081" s="36" t="s">
        <v>1656</v>
      </c>
      <c r="J2081" s="36" t="s">
        <v>1656</v>
      </c>
      <c r="K2081" s="36" t="s">
        <v>1800</v>
      </c>
      <c r="L2081" s="36" t="s">
        <v>5031</v>
      </c>
      <c r="M2081" s="36" t="s">
        <v>5031</v>
      </c>
      <c r="N2081" s="36" t="s">
        <v>34</v>
      </c>
    </row>
    <row r="2082">
      <c r="A2082" s="36" t="s">
        <v>5286</v>
      </c>
      <c r="B2082" s="154" t="s">
        <v>5287</v>
      </c>
      <c r="C2082" s="36" t="s">
        <v>1666</v>
      </c>
      <c r="D2082" s="36" t="s">
        <v>305</v>
      </c>
      <c r="E2082" s="36" t="s">
        <v>305</v>
      </c>
      <c r="F2082" s="154" t="s">
        <v>1729</v>
      </c>
      <c r="G2082" s="36" t="s">
        <v>32</v>
      </c>
      <c r="H2082" s="36" t="s">
        <v>1655</v>
      </c>
      <c r="I2082" s="36" t="s">
        <v>1656</v>
      </c>
      <c r="J2082" s="36" t="s">
        <v>1656</v>
      </c>
      <c r="K2082" s="36" t="s">
        <v>1739</v>
      </c>
      <c r="L2082" s="36" t="s">
        <v>5031</v>
      </c>
      <c r="M2082" s="36" t="s">
        <v>5031</v>
      </c>
      <c r="N2082" s="36" t="s">
        <v>32</v>
      </c>
    </row>
    <row r="2083">
      <c r="A2083" s="36" t="s">
        <v>5288</v>
      </c>
      <c r="B2083" s="154" t="s">
        <v>5289</v>
      </c>
      <c r="C2083" s="36" t="s">
        <v>1666</v>
      </c>
      <c r="D2083" s="36" t="s">
        <v>100</v>
      </c>
      <c r="E2083" s="36" t="s">
        <v>100</v>
      </c>
      <c r="F2083" s="154" t="s">
        <v>1810</v>
      </c>
      <c r="G2083" s="36" t="s">
        <v>32</v>
      </c>
      <c r="H2083" s="36" t="s">
        <v>1655</v>
      </c>
      <c r="I2083" s="36" t="s">
        <v>1656</v>
      </c>
      <c r="J2083" s="36" t="s">
        <v>1656</v>
      </c>
      <c r="K2083" s="36" t="s">
        <v>1776</v>
      </c>
      <c r="L2083" s="36" t="s">
        <v>5031</v>
      </c>
      <c r="M2083" s="36" t="s">
        <v>5031</v>
      </c>
      <c r="N2083" s="36" t="s">
        <v>32</v>
      </c>
    </row>
    <row r="2084">
      <c r="A2084" s="36" t="s">
        <v>5290</v>
      </c>
      <c r="B2084" s="154" t="s">
        <v>5289</v>
      </c>
      <c r="C2084" s="36" t="s">
        <v>1666</v>
      </c>
      <c r="D2084" s="36" t="s">
        <v>611</v>
      </c>
      <c r="E2084" s="36" t="s">
        <v>611</v>
      </c>
      <c r="F2084" s="154" t="s">
        <v>1871</v>
      </c>
      <c r="G2084" s="36" t="s">
        <v>28</v>
      </c>
      <c r="H2084" s="36" t="s">
        <v>1655</v>
      </c>
      <c r="I2084" s="36" t="s">
        <v>1656</v>
      </c>
      <c r="J2084" s="36" t="s">
        <v>1656</v>
      </c>
      <c r="K2084" s="36" t="s">
        <v>1803</v>
      </c>
      <c r="L2084" s="36" t="s">
        <v>5031</v>
      </c>
      <c r="M2084" s="36" t="s">
        <v>5031</v>
      </c>
      <c r="N2084" s="36" t="s">
        <v>34</v>
      </c>
    </row>
    <row r="2085">
      <c r="A2085" s="36" t="s">
        <v>5291</v>
      </c>
      <c r="B2085" s="154" t="s">
        <v>5292</v>
      </c>
      <c r="C2085" s="36" t="s">
        <v>1666</v>
      </c>
      <c r="D2085" s="36" t="s">
        <v>100</v>
      </c>
      <c r="E2085" s="36" t="s">
        <v>100</v>
      </c>
      <c r="F2085" s="154" t="s">
        <v>1810</v>
      </c>
      <c r="G2085" s="36" t="s">
        <v>32</v>
      </c>
      <c r="H2085" s="36" t="s">
        <v>1655</v>
      </c>
      <c r="I2085" s="36" t="s">
        <v>1656</v>
      </c>
      <c r="J2085" s="36" t="s">
        <v>1656</v>
      </c>
      <c r="K2085" s="36" t="s">
        <v>1779</v>
      </c>
      <c r="L2085" s="36" t="s">
        <v>5031</v>
      </c>
      <c r="M2085" s="36" t="s">
        <v>5031</v>
      </c>
      <c r="N2085" s="36" t="s">
        <v>32</v>
      </c>
    </row>
    <row r="2086">
      <c r="A2086" s="36" t="s">
        <v>5293</v>
      </c>
      <c r="B2086" s="154" t="s">
        <v>5292</v>
      </c>
      <c r="C2086" s="36" t="s">
        <v>1666</v>
      </c>
      <c r="D2086" s="36" t="s">
        <v>313</v>
      </c>
      <c r="E2086" s="36" t="s">
        <v>313</v>
      </c>
      <c r="F2086" s="154" t="s">
        <v>1810</v>
      </c>
      <c r="G2086" s="36" t="s">
        <v>32</v>
      </c>
      <c r="H2086" s="36" t="s">
        <v>1655</v>
      </c>
      <c r="I2086" s="36" t="s">
        <v>1656</v>
      </c>
      <c r="J2086" s="36" t="s">
        <v>1656</v>
      </c>
      <c r="K2086" s="36" t="s">
        <v>1782</v>
      </c>
      <c r="L2086" s="36" t="s">
        <v>5031</v>
      </c>
      <c r="M2086" s="36" t="s">
        <v>5031</v>
      </c>
      <c r="N2086" s="36" t="s">
        <v>32</v>
      </c>
    </row>
    <row r="2087">
      <c r="A2087" s="36" t="s">
        <v>5294</v>
      </c>
      <c r="B2087" s="154" t="s">
        <v>5295</v>
      </c>
      <c r="C2087" s="36" t="s">
        <v>1666</v>
      </c>
      <c r="D2087" s="36" t="s">
        <v>1012</v>
      </c>
      <c r="E2087" s="36" t="s">
        <v>1012</v>
      </c>
      <c r="F2087" s="154" t="s">
        <v>5296</v>
      </c>
      <c r="G2087" s="36" t="s">
        <v>32</v>
      </c>
      <c r="H2087" s="36" t="s">
        <v>1655</v>
      </c>
      <c r="I2087" s="36" t="s">
        <v>1656</v>
      </c>
      <c r="J2087" s="36" t="s">
        <v>1656</v>
      </c>
      <c r="K2087" s="36" t="s">
        <v>1742</v>
      </c>
      <c r="L2087" s="36" t="s">
        <v>5031</v>
      </c>
      <c r="M2087" s="36" t="s">
        <v>5031</v>
      </c>
      <c r="N2087" s="36" t="s">
        <v>32</v>
      </c>
    </row>
    <row r="2088">
      <c r="A2088" s="36" t="s">
        <v>5297</v>
      </c>
      <c r="B2088" s="154" t="s">
        <v>5295</v>
      </c>
      <c r="C2088" s="36" t="s">
        <v>1666</v>
      </c>
      <c r="D2088" s="36" t="s">
        <v>1016</v>
      </c>
      <c r="E2088" s="36" t="s">
        <v>1016</v>
      </c>
      <c r="F2088" s="154" t="s">
        <v>5298</v>
      </c>
      <c r="G2088" s="36" t="s">
        <v>32</v>
      </c>
      <c r="H2088" s="36" t="s">
        <v>1655</v>
      </c>
      <c r="I2088" s="36" t="s">
        <v>1656</v>
      </c>
      <c r="J2088" s="36" t="s">
        <v>1656</v>
      </c>
      <c r="K2088" s="36" t="s">
        <v>1745</v>
      </c>
      <c r="L2088" s="36" t="s">
        <v>5031</v>
      </c>
      <c r="M2088" s="36" t="s">
        <v>5031</v>
      </c>
      <c r="N2088" s="36" t="s">
        <v>32</v>
      </c>
    </row>
    <row r="2089">
      <c r="A2089" s="36" t="s">
        <v>5299</v>
      </c>
      <c r="B2089" s="154" t="s">
        <v>5300</v>
      </c>
      <c r="C2089" s="36" t="s">
        <v>1666</v>
      </c>
      <c r="D2089" s="36" t="s">
        <v>1064</v>
      </c>
      <c r="E2089" s="36" t="s">
        <v>1064</v>
      </c>
      <c r="F2089" s="154" t="s">
        <v>2156</v>
      </c>
      <c r="G2089" s="36" t="s">
        <v>28</v>
      </c>
      <c r="H2089" s="36" t="s">
        <v>1655</v>
      </c>
      <c r="I2089" s="36" t="s">
        <v>1656</v>
      </c>
      <c r="J2089" s="36" t="s">
        <v>1656</v>
      </c>
      <c r="K2089" s="36" t="s">
        <v>1807</v>
      </c>
      <c r="L2089" s="36" t="s">
        <v>5031</v>
      </c>
      <c r="M2089" s="36" t="s">
        <v>5031</v>
      </c>
      <c r="N2089" s="36" t="s">
        <v>34</v>
      </c>
    </row>
    <row r="2090">
      <c r="A2090" s="36" t="s">
        <v>5301</v>
      </c>
      <c r="B2090" s="154" t="s">
        <v>5302</v>
      </c>
      <c r="C2090" s="36" t="s">
        <v>1666</v>
      </c>
      <c r="D2090" s="36" t="s">
        <v>1018</v>
      </c>
      <c r="E2090" s="36" t="s">
        <v>1018</v>
      </c>
      <c r="F2090" s="154" t="s">
        <v>1768</v>
      </c>
      <c r="G2090" s="36" t="s">
        <v>32</v>
      </c>
      <c r="H2090" s="36" t="s">
        <v>1655</v>
      </c>
      <c r="I2090" s="36" t="s">
        <v>1656</v>
      </c>
      <c r="J2090" s="36" t="s">
        <v>1656</v>
      </c>
      <c r="K2090" s="36" t="s">
        <v>1773</v>
      </c>
      <c r="L2090" s="36" t="s">
        <v>5031</v>
      </c>
      <c r="M2090" s="36" t="s">
        <v>5031</v>
      </c>
      <c r="N2090" s="36" t="s">
        <v>32</v>
      </c>
    </row>
    <row r="2091">
      <c r="A2091" s="36" t="s">
        <v>5303</v>
      </c>
      <c r="B2091" s="154" t="s">
        <v>5304</v>
      </c>
      <c r="C2091" s="36" t="s">
        <v>1666</v>
      </c>
      <c r="D2091" s="36" t="s">
        <v>81</v>
      </c>
      <c r="E2091" s="36" t="s">
        <v>81</v>
      </c>
      <c r="F2091" s="154" t="s">
        <v>4305</v>
      </c>
      <c r="G2091" s="36" t="s">
        <v>28</v>
      </c>
      <c r="H2091" s="36" t="s">
        <v>1655</v>
      </c>
      <c r="I2091" s="36" t="s">
        <v>1656</v>
      </c>
      <c r="J2091" s="36" t="s">
        <v>1656</v>
      </c>
      <c r="K2091" s="36" t="s">
        <v>1891</v>
      </c>
      <c r="L2091" s="36" t="s">
        <v>5031</v>
      </c>
      <c r="M2091" s="36" t="s">
        <v>5031</v>
      </c>
      <c r="N2091" s="36" t="s">
        <v>32</v>
      </c>
    </row>
    <row r="2092">
      <c r="A2092" s="36" t="s">
        <v>5305</v>
      </c>
      <c r="B2092" s="154" t="s">
        <v>5304</v>
      </c>
      <c r="C2092" s="36" t="s">
        <v>1666</v>
      </c>
      <c r="D2092" s="36" t="s">
        <v>83</v>
      </c>
      <c r="E2092" s="36" t="s">
        <v>83</v>
      </c>
      <c r="F2092" s="154" t="s">
        <v>5306</v>
      </c>
      <c r="G2092" s="36" t="s">
        <v>28</v>
      </c>
      <c r="H2092" s="36" t="s">
        <v>1655</v>
      </c>
      <c r="I2092" s="36" t="s">
        <v>1656</v>
      </c>
      <c r="J2092" s="36" t="s">
        <v>1656</v>
      </c>
      <c r="K2092" s="36" t="s">
        <v>1921</v>
      </c>
      <c r="L2092" s="36" t="s">
        <v>5031</v>
      </c>
      <c r="M2092" s="36" t="s">
        <v>5031</v>
      </c>
      <c r="N2092" s="36" t="s">
        <v>32</v>
      </c>
    </row>
    <row r="2093">
      <c r="A2093" s="36" t="s">
        <v>5307</v>
      </c>
      <c r="B2093" s="154" t="s">
        <v>5304</v>
      </c>
      <c r="C2093" s="36" t="s">
        <v>1666</v>
      </c>
      <c r="D2093" s="36" t="s">
        <v>84</v>
      </c>
      <c r="E2093" s="36" t="s">
        <v>84</v>
      </c>
      <c r="F2093" s="154" t="s">
        <v>4588</v>
      </c>
      <c r="G2093" s="36" t="s">
        <v>32</v>
      </c>
      <c r="H2093" s="36" t="s">
        <v>1655</v>
      </c>
      <c r="I2093" s="36" t="s">
        <v>1656</v>
      </c>
      <c r="J2093" s="36" t="s">
        <v>1656</v>
      </c>
      <c r="K2093" s="36" t="s">
        <v>3166</v>
      </c>
      <c r="L2093" s="36" t="s">
        <v>5031</v>
      </c>
      <c r="M2093" s="36" t="s">
        <v>5031</v>
      </c>
      <c r="N2093" s="36" t="s">
        <v>32</v>
      </c>
    </row>
    <row r="2094">
      <c r="A2094" s="36" t="s">
        <v>5308</v>
      </c>
      <c r="B2094" s="154" t="s">
        <v>5304</v>
      </c>
      <c r="C2094" s="36" t="s">
        <v>1666</v>
      </c>
      <c r="D2094" s="36" t="s">
        <v>1036</v>
      </c>
      <c r="E2094" s="36" t="s">
        <v>1036</v>
      </c>
      <c r="F2094" s="154" t="s">
        <v>1686</v>
      </c>
      <c r="G2094" s="36" t="s">
        <v>32</v>
      </c>
      <c r="H2094" s="36" t="s">
        <v>1655</v>
      </c>
      <c r="I2094" s="36" t="s">
        <v>1656</v>
      </c>
      <c r="J2094" s="36" t="s">
        <v>1656</v>
      </c>
      <c r="K2094" s="36" t="s">
        <v>1784</v>
      </c>
      <c r="L2094" s="36" t="s">
        <v>5031</v>
      </c>
      <c r="M2094" s="36" t="s">
        <v>5031</v>
      </c>
      <c r="N2094" s="36" t="s">
        <v>32</v>
      </c>
    </row>
    <row r="2095">
      <c r="A2095" s="36" t="s">
        <v>5309</v>
      </c>
      <c r="B2095" s="154" t="s">
        <v>5304</v>
      </c>
      <c r="C2095" s="36" t="s">
        <v>1666</v>
      </c>
      <c r="D2095" s="36" t="s">
        <v>295</v>
      </c>
      <c r="E2095" s="36" t="s">
        <v>295</v>
      </c>
      <c r="F2095" s="154" t="s">
        <v>1799</v>
      </c>
      <c r="G2095" s="36" t="s">
        <v>32</v>
      </c>
      <c r="H2095" s="36" t="s">
        <v>1655</v>
      </c>
      <c r="I2095" s="36" t="s">
        <v>1656</v>
      </c>
      <c r="J2095" s="36" t="s">
        <v>1656</v>
      </c>
      <c r="K2095" s="36" t="s">
        <v>1787</v>
      </c>
      <c r="L2095" s="36" t="s">
        <v>5031</v>
      </c>
      <c r="M2095" s="36" t="s">
        <v>5031</v>
      </c>
      <c r="N2095" s="36" t="s">
        <v>32</v>
      </c>
    </row>
    <row r="2096">
      <c r="A2096" s="36" t="s">
        <v>5310</v>
      </c>
      <c r="B2096" s="154" t="s">
        <v>5304</v>
      </c>
      <c r="C2096" s="36" t="s">
        <v>1666</v>
      </c>
      <c r="D2096" s="36" t="s">
        <v>218</v>
      </c>
      <c r="E2096" s="36" t="s">
        <v>218</v>
      </c>
      <c r="F2096" s="154" t="s">
        <v>1832</v>
      </c>
      <c r="G2096" s="36" t="s">
        <v>32</v>
      </c>
      <c r="H2096" s="36" t="s">
        <v>1655</v>
      </c>
      <c r="I2096" s="36" t="s">
        <v>1656</v>
      </c>
      <c r="J2096" s="36" t="s">
        <v>1656</v>
      </c>
      <c r="K2096" s="36" t="s">
        <v>1790</v>
      </c>
      <c r="L2096" s="36" t="s">
        <v>5031</v>
      </c>
      <c r="M2096" s="36" t="s">
        <v>5031</v>
      </c>
      <c r="N2096" s="36" t="s">
        <v>32</v>
      </c>
    </row>
    <row r="2097">
      <c r="A2097" s="36" t="s">
        <v>5311</v>
      </c>
      <c r="B2097" s="154" t="s">
        <v>5304</v>
      </c>
      <c r="C2097" s="36" t="s">
        <v>1666</v>
      </c>
      <c r="D2097" s="36" t="s">
        <v>848</v>
      </c>
      <c r="E2097" s="36" t="s">
        <v>848</v>
      </c>
      <c r="F2097" s="154" t="s">
        <v>1816</v>
      </c>
      <c r="G2097" s="36" t="s">
        <v>28</v>
      </c>
      <c r="H2097" s="36" t="s">
        <v>1655</v>
      </c>
      <c r="I2097" s="36" t="s">
        <v>1656</v>
      </c>
      <c r="J2097" s="36" t="s">
        <v>1656</v>
      </c>
      <c r="K2097" s="36" t="s">
        <v>1814</v>
      </c>
      <c r="L2097" s="36" t="s">
        <v>5031</v>
      </c>
      <c r="M2097" s="36" t="s">
        <v>5031</v>
      </c>
      <c r="N2097" s="36" t="s">
        <v>34</v>
      </c>
    </row>
    <row r="2098">
      <c r="A2098" s="36" t="s">
        <v>5312</v>
      </c>
      <c r="B2098" s="154" t="s">
        <v>5304</v>
      </c>
      <c r="C2098" s="36" t="s">
        <v>1666</v>
      </c>
      <c r="D2098" s="36" t="s">
        <v>1078</v>
      </c>
      <c r="E2098" s="36" t="s">
        <v>1078</v>
      </c>
      <c r="F2098" s="154" t="s">
        <v>2039</v>
      </c>
      <c r="G2098" s="36" t="s">
        <v>28</v>
      </c>
      <c r="H2098" s="36" t="s">
        <v>1655</v>
      </c>
      <c r="I2098" s="36" t="s">
        <v>1656</v>
      </c>
      <c r="J2098" s="36" t="s">
        <v>1656</v>
      </c>
      <c r="K2098" s="36" t="s">
        <v>1817</v>
      </c>
      <c r="L2098" s="36" t="s">
        <v>5031</v>
      </c>
      <c r="M2098" s="36" t="s">
        <v>5031</v>
      </c>
      <c r="N2098" s="36" t="s">
        <v>34</v>
      </c>
    </row>
    <row r="2099">
      <c r="A2099" s="36" t="s">
        <v>5313</v>
      </c>
      <c r="B2099" s="154" t="s">
        <v>5304</v>
      </c>
      <c r="C2099" s="36" t="s">
        <v>1666</v>
      </c>
      <c r="D2099" s="36" t="s">
        <v>1081</v>
      </c>
      <c r="E2099" s="36" t="s">
        <v>1081</v>
      </c>
      <c r="F2099" s="154" t="s">
        <v>2156</v>
      </c>
      <c r="G2099" s="36" t="s">
        <v>28</v>
      </c>
      <c r="H2099" s="36" t="s">
        <v>1655</v>
      </c>
      <c r="I2099" s="36" t="s">
        <v>1656</v>
      </c>
      <c r="J2099" s="36" t="s">
        <v>1656</v>
      </c>
      <c r="K2099" s="36" t="s">
        <v>1820</v>
      </c>
      <c r="L2099" s="36" t="s">
        <v>5031</v>
      </c>
      <c r="M2099" s="36" t="s">
        <v>5031</v>
      </c>
      <c r="N2099" s="36" t="s">
        <v>34</v>
      </c>
    </row>
    <row r="2100">
      <c r="A2100" s="36" t="s">
        <v>5314</v>
      </c>
      <c r="B2100" s="154" t="s">
        <v>5315</v>
      </c>
      <c r="C2100" s="36" t="s">
        <v>1666</v>
      </c>
      <c r="D2100" s="36" t="s">
        <v>495</v>
      </c>
      <c r="E2100" s="36" t="s">
        <v>495</v>
      </c>
      <c r="F2100" s="154" t="s">
        <v>5316</v>
      </c>
      <c r="G2100" s="36" t="s">
        <v>28</v>
      </c>
      <c r="H2100" s="36" t="s">
        <v>1655</v>
      </c>
      <c r="I2100" s="36" t="s">
        <v>1656</v>
      </c>
      <c r="J2100" s="36" t="s">
        <v>1656</v>
      </c>
      <c r="K2100" s="36" t="s">
        <v>1793</v>
      </c>
      <c r="L2100" s="36" t="s">
        <v>5031</v>
      </c>
      <c r="M2100" s="36" t="s">
        <v>5031</v>
      </c>
      <c r="N2100" s="36" t="s">
        <v>32</v>
      </c>
    </row>
    <row r="2101">
      <c r="A2101" s="36" t="s">
        <v>5317</v>
      </c>
      <c r="B2101" s="154" t="s">
        <v>5315</v>
      </c>
      <c r="C2101" s="36" t="s">
        <v>1666</v>
      </c>
      <c r="D2101" s="36" t="s">
        <v>254</v>
      </c>
      <c r="E2101" s="36" t="s">
        <v>254</v>
      </c>
      <c r="F2101" s="154" t="s">
        <v>1871</v>
      </c>
      <c r="G2101" s="36" t="s">
        <v>28</v>
      </c>
      <c r="H2101" s="36" t="s">
        <v>1655</v>
      </c>
      <c r="I2101" s="36" t="s">
        <v>1656</v>
      </c>
      <c r="J2101" s="36" t="s">
        <v>1656</v>
      </c>
      <c r="K2101" s="36" t="s">
        <v>1823</v>
      </c>
      <c r="L2101" s="36" t="s">
        <v>5031</v>
      </c>
      <c r="M2101" s="36" t="s">
        <v>5031</v>
      </c>
      <c r="N2101" s="36" t="s">
        <v>34</v>
      </c>
    </row>
    <row r="2102">
      <c r="A2102" s="36" t="s">
        <v>5318</v>
      </c>
      <c r="B2102" s="154" t="s">
        <v>5319</v>
      </c>
      <c r="C2102" s="36" t="s">
        <v>1653</v>
      </c>
      <c r="D2102" s="36" t="s">
        <v>43</v>
      </c>
      <c r="E2102" s="36" t="s">
        <v>39</v>
      </c>
      <c r="F2102" s="154" t="s">
        <v>5320</v>
      </c>
      <c r="G2102" s="36" t="s">
        <v>32</v>
      </c>
      <c r="H2102" s="36" t="s">
        <v>1655</v>
      </c>
      <c r="I2102" s="36" t="s">
        <v>1656</v>
      </c>
      <c r="J2102" s="36" t="s">
        <v>1656</v>
      </c>
      <c r="K2102" s="36" t="s">
        <v>1657</v>
      </c>
      <c r="L2102" s="36" t="s">
        <v>5321</v>
      </c>
      <c r="M2102" s="36" t="s">
        <v>5321</v>
      </c>
      <c r="N2102" s="36" t="s">
        <v>32</v>
      </c>
    </row>
    <row r="2103">
      <c r="A2103" s="36" t="s">
        <v>5322</v>
      </c>
      <c r="B2103" s="154" t="s">
        <v>5319</v>
      </c>
      <c r="C2103" s="36" t="s">
        <v>1653</v>
      </c>
      <c r="D2103" s="36" t="s">
        <v>698</v>
      </c>
      <c r="E2103" s="36" t="s">
        <v>39</v>
      </c>
      <c r="F2103" s="154" t="s">
        <v>5323</v>
      </c>
      <c r="G2103" s="36" t="s">
        <v>32</v>
      </c>
      <c r="H2103" s="36" t="s">
        <v>1655</v>
      </c>
      <c r="I2103" s="36" t="s">
        <v>1656</v>
      </c>
      <c r="J2103" s="36" t="s">
        <v>1656</v>
      </c>
      <c r="K2103" s="36" t="s">
        <v>1661</v>
      </c>
      <c r="L2103" s="36" t="s">
        <v>5321</v>
      </c>
      <c r="M2103" s="36" t="s">
        <v>5321</v>
      </c>
      <c r="N2103" s="36" t="s">
        <v>32</v>
      </c>
    </row>
    <row r="2104">
      <c r="A2104" s="36" t="s">
        <v>5324</v>
      </c>
      <c r="B2104" s="154" t="s">
        <v>5319</v>
      </c>
      <c r="C2104" s="36" t="s">
        <v>1666</v>
      </c>
      <c r="D2104" s="36" t="s">
        <v>85</v>
      </c>
      <c r="E2104" s="36" t="s">
        <v>85</v>
      </c>
      <c r="F2104" s="154" t="s">
        <v>5227</v>
      </c>
      <c r="G2104" s="36" t="s">
        <v>28</v>
      </c>
      <c r="H2104" s="36" t="s">
        <v>1655</v>
      </c>
      <c r="I2104" s="36" t="s">
        <v>1656</v>
      </c>
      <c r="J2104" s="36" t="s">
        <v>1656</v>
      </c>
      <c r="K2104" s="36" t="s">
        <v>3038</v>
      </c>
      <c r="L2104" s="36" t="s">
        <v>5325</v>
      </c>
      <c r="M2104" s="36" t="s">
        <v>5325</v>
      </c>
      <c r="N2104" s="36" t="s">
        <v>32</v>
      </c>
    </row>
    <row r="2105">
      <c r="A2105" s="36" t="s">
        <v>5326</v>
      </c>
      <c r="B2105" s="154" t="s">
        <v>5319</v>
      </c>
      <c r="C2105" s="36" t="s">
        <v>1666</v>
      </c>
      <c r="D2105" s="36" t="s">
        <v>439</v>
      </c>
      <c r="E2105" s="36" t="s">
        <v>439</v>
      </c>
      <c r="F2105" s="154" t="s">
        <v>5327</v>
      </c>
      <c r="G2105" s="36" t="s">
        <v>28</v>
      </c>
      <c r="H2105" s="36" t="s">
        <v>1655</v>
      </c>
      <c r="I2105" s="36" t="s">
        <v>1656</v>
      </c>
      <c r="J2105" s="36" t="s">
        <v>1656</v>
      </c>
      <c r="K2105" s="36" t="s">
        <v>2775</v>
      </c>
      <c r="L2105" s="36" t="s">
        <v>5325</v>
      </c>
      <c r="M2105" s="36" t="s">
        <v>5325</v>
      </c>
      <c r="N2105" s="36" t="s">
        <v>32</v>
      </c>
    </row>
    <row r="2106">
      <c r="A2106" s="36" t="s">
        <v>5328</v>
      </c>
      <c r="B2106" s="154" t="s">
        <v>5319</v>
      </c>
      <c r="C2106" s="36" t="s">
        <v>1666</v>
      </c>
      <c r="D2106" s="36" t="s">
        <v>719</v>
      </c>
      <c r="E2106" s="36" t="s">
        <v>719</v>
      </c>
      <c r="F2106" s="154" t="s">
        <v>4688</v>
      </c>
      <c r="G2106" s="36" t="s">
        <v>28</v>
      </c>
      <c r="H2106" s="36" t="s">
        <v>1655</v>
      </c>
      <c r="I2106" s="36" t="s">
        <v>1656</v>
      </c>
      <c r="J2106" s="36" t="s">
        <v>1656</v>
      </c>
      <c r="K2106" s="36" t="s">
        <v>2779</v>
      </c>
      <c r="L2106" s="36" t="s">
        <v>5325</v>
      </c>
      <c r="M2106" s="36" t="s">
        <v>5325</v>
      </c>
      <c r="N2106" s="36" t="s">
        <v>32</v>
      </c>
    </row>
    <row r="2107">
      <c r="A2107" s="36" t="s">
        <v>5329</v>
      </c>
      <c r="B2107" s="154" t="s">
        <v>5319</v>
      </c>
      <c r="C2107" s="36" t="s">
        <v>1666</v>
      </c>
      <c r="D2107" s="36" t="s">
        <v>100</v>
      </c>
      <c r="E2107" s="36" t="s">
        <v>100</v>
      </c>
      <c r="F2107" s="154" t="s">
        <v>1810</v>
      </c>
      <c r="G2107" s="36" t="s">
        <v>32</v>
      </c>
      <c r="H2107" s="36" t="s">
        <v>1655</v>
      </c>
      <c r="I2107" s="36" t="s">
        <v>1656</v>
      </c>
      <c r="J2107" s="36" t="s">
        <v>1656</v>
      </c>
      <c r="K2107" s="36" t="s">
        <v>1724</v>
      </c>
      <c r="L2107" s="36" t="s">
        <v>5325</v>
      </c>
      <c r="M2107" s="36" t="s">
        <v>5325</v>
      </c>
      <c r="N2107" s="36" t="s">
        <v>32</v>
      </c>
    </row>
    <row r="2108">
      <c r="A2108" s="36" t="s">
        <v>5330</v>
      </c>
      <c r="B2108" s="154" t="s">
        <v>5331</v>
      </c>
      <c r="C2108" s="36" t="s">
        <v>1666</v>
      </c>
      <c r="D2108" s="36" t="s">
        <v>78</v>
      </c>
      <c r="E2108" s="36" t="s">
        <v>78</v>
      </c>
      <c r="F2108" s="154" t="s">
        <v>2325</v>
      </c>
      <c r="G2108" s="36" t="s">
        <v>28</v>
      </c>
      <c r="H2108" s="36" t="s">
        <v>1655</v>
      </c>
      <c r="I2108" s="36" t="s">
        <v>1656</v>
      </c>
      <c r="J2108" s="36" t="s">
        <v>1656</v>
      </c>
      <c r="K2108" s="36" t="s">
        <v>1769</v>
      </c>
      <c r="L2108" s="36" t="s">
        <v>5325</v>
      </c>
      <c r="M2108" s="36" t="s">
        <v>5325</v>
      </c>
      <c r="N2108" s="36" t="s">
        <v>32</v>
      </c>
    </row>
    <row r="2109">
      <c r="A2109" s="36" t="s">
        <v>5332</v>
      </c>
      <c r="B2109" s="154" t="s">
        <v>5331</v>
      </c>
      <c r="C2109" s="36" t="s">
        <v>1666</v>
      </c>
      <c r="D2109" s="36" t="s">
        <v>109</v>
      </c>
      <c r="E2109" s="36" t="s">
        <v>109</v>
      </c>
      <c r="F2109" s="154" t="s">
        <v>3972</v>
      </c>
      <c r="G2109" s="36" t="s">
        <v>28</v>
      </c>
      <c r="H2109" s="36" t="s">
        <v>1655</v>
      </c>
      <c r="I2109" s="36" t="s">
        <v>1656</v>
      </c>
      <c r="J2109" s="36" t="s">
        <v>1656</v>
      </c>
      <c r="K2109" s="36" t="s">
        <v>1684</v>
      </c>
      <c r="L2109" s="36" t="s">
        <v>5325</v>
      </c>
      <c r="M2109" s="36" t="s">
        <v>5325</v>
      </c>
      <c r="N2109" s="36" t="s">
        <v>32</v>
      </c>
    </row>
    <row r="2110">
      <c r="A2110" s="36" t="s">
        <v>5333</v>
      </c>
      <c r="B2110" s="154" t="s">
        <v>5334</v>
      </c>
      <c r="C2110" s="36" t="s">
        <v>1666</v>
      </c>
      <c r="D2110" s="36" t="s">
        <v>63</v>
      </c>
      <c r="E2110" s="36" t="s">
        <v>63</v>
      </c>
      <c r="F2110" s="154" t="s">
        <v>5243</v>
      </c>
      <c r="G2110" s="36" t="s">
        <v>28</v>
      </c>
      <c r="H2110" s="36" t="s">
        <v>1655</v>
      </c>
      <c r="I2110" s="36" t="s">
        <v>1656</v>
      </c>
      <c r="J2110" s="36" t="s">
        <v>1656</v>
      </c>
      <c r="K2110" s="36" t="s">
        <v>4196</v>
      </c>
      <c r="L2110" s="36" t="s">
        <v>5325</v>
      </c>
      <c r="M2110" s="36" t="s">
        <v>5325</v>
      </c>
      <c r="N2110" s="36" t="s">
        <v>34</v>
      </c>
    </row>
    <row r="2111">
      <c r="A2111" s="36" t="s">
        <v>5335</v>
      </c>
      <c r="B2111" s="154" t="s">
        <v>5334</v>
      </c>
      <c r="C2111" s="36" t="s">
        <v>1666</v>
      </c>
      <c r="D2111" s="36" t="s">
        <v>726</v>
      </c>
      <c r="E2111" s="36" t="s">
        <v>726</v>
      </c>
      <c r="F2111" s="154" t="s">
        <v>3972</v>
      </c>
      <c r="G2111" s="36" t="s">
        <v>28</v>
      </c>
      <c r="H2111" s="36" t="s">
        <v>1655</v>
      </c>
      <c r="I2111" s="36" t="s">
        <v>1656</v>
      </c>
      <c r="J2111" s="36" t="s">
        <v>1656</v>
      </c>
      <c r="K2111" s="36" t="s">
        <v>1675</v>
      </c>
      <c r="L2111" s="36" t="s">
        <v>5325</v>
      </c>
      <c r="M2111" s="36" t="s">
        <v>5325</v>
      </c>
      <c r="N2111" s="36" t="s">
        <v>34</v>
      </c>
    </row>
    <row r="2112">
      <c r="A2112" s="36" t="s">
        <v>5336</v>
      </c>
      <c r="B2112" s="154" t="s">
        <v>5334</v>
      </c>
      <c r="C2112" s="36" t="s">
        <v>1666</v>
      </c>
      <c r="D2112" s="36" t="s">
        <v>733</v>
      </c>
      <c r="E2112" s="36" t="s">
        <v>733</v>
      </c>
      <c r="F2112" s="154" t="s">
        <v>1810</v>
      </c>
      <c r="G2112" s="36" t="s">
        <v>32</v>
      </c>
      <c r="H2112" s="36" t="s">
        <v>1655</v>
      </c>
      <c r="I2112" s="36" t="s">
        <v>1656</v>
      </c>
      <c r="J2112" s="36" t="s">
        <v>1656</v>
      </c>
      <c r="K2112" s="36" t="s">
        <v>1678</v>
      </c>
      <c r="L2112" s="36" t="s">
        <v>5325</v>
      </c>
      <c r="M2112" s="36" t="s">
        <v>5325</v>
      </c>
      <c r="N2112" s="36" t="s">
        <v>34</v>
      </c>
    </row>
    <row r="2113">
      <c r="A2113" s="36" t="s">
        <v>5337</v>
      </c>
      <c r="B2113" s="154" t="s">
        <v>5338</v>
      </c>
      <c r="C2113" s="36" t="s">
        <v>1666</v>
      </c>
      <c r="D2113" s="36" t="s">
        <v>64</v>
      </c>
      <c r="E2113" s="36" t="s">
        <v>64</v>
      </c>
      <c r="F2113" s="154" t="s">
        <v>4431</v>
      </c>
      <c r="G2113" s="36" t="s">
        <v>28</v>
      </c>
      <c r="H2113" s="36" t="s">
        <v>1655</v>
      </c>
      <c r="I2113" s="36" t="s">
        <v>1656</v>
      </c>
      <c r="J2113" s="36" t="s">
        <v>1656</v>
      </c>
      <c r="K2113" s="36" t="s">
        <v>1708</v>
      </c>
      <c r="L2113" s="36" t="s">
        <v>5325</v>
      </c>
      <c r="M2113" s="36" t="s">
        <v>5325</v>
      </c>
      <c r="N2113" s="36" t="s">
        <v>32</v>
      </c>
    </row>
    <row r="2114">
      <c r="A2114" s="36" t="s">
        <v>5339</v>
      </c>
      <c r="B2114" s="154" t="s">
        <v>5338</v>
      </c>
      <c r="C2114" s="36" t="s">
        <v>1666</v>
      </c>
      <c r="D2114" s="36" t="s">
        <v>495</v>
      </c>
      <c r="E2114" s="36" t="s">
        <v>495</v>
      </c>
      <c r="F2114" s="154" t="s">
        <v>5340</v>
      </c>
      <c r="G2114" s="36" t="s">
        <v>28</v>
      </c>
      <c r="H2114" s="36" t="s">
        <v>1655</v>
      </c>
      <c r="I2114" s="36" t="s">
        <v>1656</v>
      </c>
      <c r="J2114" s="36" t="s">
        <v>1656</v>
      </c>
      <c r="K2114" s="36" t="s">
        <v>1681</v>
      </c>
      <c r="L2114" s="36" t="s">
        <v>5325</v>
      </c>
      <c r="M2114" s="36" t="s">
        <v>5325</v>
      </c>
      <c r="N2114" s="36" t="s">
        <v>34</v>
      </c>
    </row>
    <row r="2115">
      <c r="A2115" s="36" t="s">
        <v>5341</v>
      </c>
      <c r="B2115" s="154" t="s">
        <v>5338</v>
      </c>
      <c r="C2115" s="36" t="s">
        <v>1666</v>
      </c>
      <c r="D2115" s="36" t="s">
        <v>92</v>
      </c>
      <c r="E2115" s="36" t="s">
        <v>92</v>
      </c>
      <c r="F2115" s="154" t="s">
        <v>1806</v>
      </c>
      <c r="G2115" s="36" t="s">
        <v>32</v>
      </c>
      <c r="H2115" s="36" t="s">
        <v>1655</v>
      </c>
      <c r="I2115" s="36" t="s">
        <v>1656</v>
      </c>
      <c r="J2115" s="36" t="s">
        <v>1656</v>
      </c>
      <c r="K2115" s="36" t="s">
        <v>1691</v>
      </c>
      <c r="L2115" s="36" t="s">
        <v>5325</v>
      </c>
      <c r="M2115" s="36" t="s">
        <v>5325</v>
      </c>
      <c r="N2115" s="36" t="s">
        <v>32</v>
      </c>
    </row>
    <row r="2116">
      <c r="A2116" s="36" t="s">
        <v>5342</v>
      </c>
      <c r="B2116" s="154" t="s">
        <v>5343</v>
      </c>
      <c r="C2116" s="36" t="s">
        <v>1666</v>
      </c>
      <c r="D2116" s="36" t="s">
        <v>66</v>
      </c>
      <c r="E2116" s="36" t="s">
        <v>66</v>
      </c>
      <c r="F2116" s="154" t="s">
        <v>5344</v>
      </c>
      <c r="G2116" s="36" t="s">
        <v>28</v>
      </c>
      <c r="H2116" s="36" t="s">
        <v>1655</v>
      </c>
      <c r="I2116" s="36" t="s">
        <v>1656</v>
      </c>
      <c r="J2116" s="36" t="s">
        <v>1656</v>
      </c>
      <c r="K2116" s="36" t="s">
        <v>1721</v>
      </c>
      <c r="L2116" s="36" t="s">
        <v>5325</v>
      </c>
      <c r="M2116" s="36" t="s">
        <v>5325</v>
      </c>
      <c r="N2116" s="36" t="s">
        <v>32</v>
      </c>
    </row>
    <row r="2117">
      <c r="A2117" s="36" t="s">
        <v>5345</v>
      </c>
      <c r="B2117" s="154" t="s">
        <v>5343</v>
      </c>
      <c r="C2117" s="36" t="s">
        <v>1666</v>
      </c>
      <c r="D2117" s="36" t="s">
        <v>100</v>
      </c>
      <c r="E2117" s="36" t="s">
        <v>100</v>
      </c>
      <c r="F2117" s="154" t="s">
        <v>1810</v>
      </c>
      <c r="G2117" s="36" t="s">
        <v>32</v>
      </c>
      <c r="H2117" s="36" t="s">
        <v>1655</v>
      </c>
      <c r="I2117" s="36" t="s">
        <v>1656</v>
      </c>
      <c r="J2117" s="36" t="s">
        <v>1656</v>
      </c>
      <c r="K2117" s="36" t="s">
        <v>1727</v>
      </c>
      <c r="L2117" s="36" t="s">
        <v>5325</v>
      </c>
      <c r="M2117" s="36" t="s">
        <v>5325</v>
      </c>
      <c r="N2117" s="36" t="s">
        <v>32</v>
      </c>
    </row>
    <row r="2118">
      <c r="A2118" s="36" t="s">
        <v>5346</v>
      </c>
      <c r="B2118" s="154" t="s">
        <v>5347</v>
      </c>
      <c r="C2118" s="36" t="s">
        <v>1666</v>
      </c>
      <c r="D2118" s="36" t="s">
        <v>752</v>
      </c>
      <c r="E2118" s="36" t="s">
        <v>752</v>
      </c>
      <c r="F2118" s="154" t="s">
        <v>1959</v>
      </c>
      <c r="G2118" s="36" t="s">
        <v>32</v>
      </c>
      <c r="H2118" s="36" t="s">
        <v>1655</v>
      </c>
      <c r="I2118" s="36" t="s">
        <v>1656</v>
      </c>
      <c r="J2118" s="36" t="s">
        <v>1656</v>
      </c>
      <c r="K2118" s="36" t="s">
        <v>1695</v>
      </c>
      <c r="L2118" s="36" t="s">
        <v>5325</v>
      </c>
      <c r="M2118" s="36" t="s">
        <v>5325</v>
      </c>
      <c r="N2118" s="36" t="s">
        <v>32</v>
      </c>
    </row>
    <row r="2119">
      <c r="A2119" s="36" t="s">
        <v>5348</v>
      </c>
      <c r="B2119" s="154" t="s">
        <v>5347</v>
      </c>
      <c r="C2119" s="36" t="s">
        <v>1666</v>
      </c>
      <c r="D2119" s="36" t="s">
        <v>94</v>
      </c>
      <c r="E2119" s="36" t="s">
        <v>94</v>
      </c>
      <c r="F2119" s="154" t="s">
        <v>1816</v>
      </c>
      <c r="G2119" s="36" t="s">
        <v>28</v>
      </c>
      <c r="H2119" s="36" t="s">
        <v>1655</v>
      </c>
      <c r="I2119" s="36" t="s">
        <v>1656</v>
      </c>
      <c r="J2119" s="36" t="s">
        <v>1656</v>
      </c>
      <c r="K2119" s="36" t="s">
        <v>1698</v>
      </c>
      <c r="L2119" s="36" t="s">
        <v>5325</v>
      </c>
      <c r="M2119" s="36" t="s">
        <v>5325</v>
      </c>
      <c r="N2119" s="36" t="s">
        <v>32</v>
      </c>
    </row>
    <row r="2120">
      <c r="A2120" s="36" t="s">
        <v>5349</v>
      </c>
      <c r="B2120" s="154" t="s">
        <v>5347</v>
      </c>
      <c r="C2120" s="36" t="s">
        <v>1666</v>
      </c>
      <c r="D2120" s="36" t="s">
        <v>761</v>
      </c>
      <c r="E2120" s="36" t="s">
        <v>761</v>
      </c>
      <c r="F2120" s="154" t="s">
        <v>2006</v>
      </c>
      <c r="G2120" s="36" t="s">
        <v>32</v>
      </c>
      <c r="H2120" s="36" t="s">
        <v>1655</v>
      </c>
      <c r="I2120" s="36" t="s">
        <v>1656</v>
      </c>
      <c r="J2120" s="36" t="s">
        <v>1656</v>
      </c>
      <c r="K2120" s="36" t="s">
        <v>1701</v>
      </c>
      <c r="L2120" s="36" t="s">
        <v>5325</v>
      </c>
      <c r="M2120" s="36" t="s">
        <v>5325</v>
      </c>
      <c r="N2120" s="36" t="s">
        <v>32</v>
      </c>
    </row>
    <row r="2121">
      <c r="A2121" s="36" t="s">
        <v>5350</v>
      </c>
      <c r="B2121" s="154" t="s">
        <v>5347</v>
      </c>
      <c r="C2121" s="36" t="s">
        <v>1666</v>
      </c>
      <c r="D2121" s="36" t="s">
        <v>220</v>
      </c>
      <c r="E2121" s="36" t="s">
        <v>220</v>
      </c>
      <c r="F2121" s="154" t="s">
        <v>5351</v>
      </c>
      <c r="G2121" s="36" t="s">
        <v>28</v>
      </c>
      <c r="H2121" s="36" t="s">
        <v>1655</v>
      </c>
      <c r="I2121" s="36" t="s">
        <v>1656</v>
      </c>
      <c r="J2121" s="36" t="s">
        <v>1656</v>
      </c>
      <c r="K2121" s="36" t="s">
        <v>1704</v>
      </c>
      <c r="L2121" s="36" t="s">
        <v>5325</v>
      </c>
      <c r="M2121" s="36" t="s">
        <v>5325</v>
      </c>
      <c r="N2121" s="36" t="s">
        <v>32</v>
      </c>
    </row>
    <row r="2122">
      <c r="A2122" s="36" t="s">
        <v>5352</v>
      </c>
      <c r="B2122" s="154" t="s">
        <v>5347</v>
      </c>
      <c r="C2122" s="36" t="s">
        <v>1666</v>
      </c>
      <c r="D2122" s="36" t="s">
        <v>226</v>
      </c>
      <c r="E2122" s="36" t="s">
        <v>226</v>
      </c>
      <c r="F2122" s="154" t="s">
        <v>5353</v>
      </c>
      <c r="G2122" s="36" t="s">
        <v>32</v>
      </c>
      <c r="H2122" s="36" t="s">
        <v>1655</v>
      </c>
      <c r="I2122" s="36" t="s">
        <v>1656</v>
      </c>
      <c r="J2122" s="36" t="s">
        <v>1656</v>
      </c>
      <c r="K2122" s="36" t="s">
        <v>1711</v>
      </c>
      <c r="L2122" s="36" t="s">
        <v>5325</v>
      </c>
      <c r="M2122" s="36" t="s">
        <v>5325</v>
      </c>
      <c r="N2122" s="36" t="s">
        <v>32</v>
      </c>
    </row>
    <row r="2123">
      <c r="A2123" s="36" t="s">
        <v>5354</v>
      </c>
      <c r="B2123" s="154" t="s">
        <v>5347</v>
      </c>
      <c r="C2123" s="36" t="s">
        <v>1666</v>
      </c>
      <c r="D2123" s="36" t="s">
        <v>281</v>
      </c>
      <c r="E2123" s="36" t="s">
        <v>281</v>
      </c>
      <c r="F2123" s="154" t="s">
        <v>5355</v>
      </c>
      <c r="G2123" s="36" t="s">
        <v>34</v>
      </c>
      <c r="H2123" s="36" t="s">
        <v>1655</v>
      </c>
      <c r="I2123" s="36" t="s">
        <v>1656</v>
      </c>
      <c r="J2123" s="36" t="s">
        <v>1656</v>
      </c>
      <c r="K2123" s="36" t="s">
        <v>1715</v>
      </c>
      <c r="L2123" s="36" t="s">
        <v>5325</v>
      </c>
      <c r="M2123" s="36" t="s">
        <v>5325</v>
      </c>
      <c r="N2123" s="36" t="s">
        <v>32</v>
      </c>
    </row>
    <row r="2124">
      <c r="A2124" s="36" t="s">
        <v>5356</v>
      </c>
      <c r="B2124" s="154" t="s">
        <v>5347</v>
      </c>
      <c r="C2124" s="36" t="s">
        <v>1666</v>
      </c>
      <c r="D2124" s="36" t="s">
        <v>773</v>
      </c>
      <c r="E2124" s="36" t="s">
        <v>773</v>
      </c>
      <c r="F2124" s="154" t="s">
        <v>5357</v>
      </c>
      <c r="G2124" s="36" t="s">
        <v>34</v>
      </c>
      <c r="H2124" s="36" t="s">
        <v>1655</v>
      </c>
      <c r="I2124" s="36" t="s">
        <v>1656</v>
      </c>
      <c r="J2124" s="36" t="s">
        <v>1656</v>
      </c>
      <c r="K2124" s="36" t="s">
        <v>1717</v>
      </c>
      <c r="L2124" s="36" t="s">
        <v>5325</v>
      </c>
      <c r="M2124" s="36" t="s">
        <v>5325</v>
      </c>
      <c r="N2124" s="36" t="s">
        <v>32</v>
      </c>
    </row>
    <row r="2125">
      <c r="A2125" s="36" t="s">
        <v>5358</v>
      </c>
      <c r="B2125" s="154" t="s">
        <v>5347</v>
      </c>
      <c r="C2125" s="36" t="s">
        <v>1666</v>
      </c>
      <c r="D2125" s="36" t="s">
        <v>110</v>
      </c>
      <c r="E2125" s="36" t="s">
        <v>110</v>
      </c>
      <c r="F2125" s="154" t="s">
        <v>1768</v>
      </c>
      <c r="G2125" s="36" t="s">
        <v>28</v>
      </c>
      <c r="H2125" s="36" t="s">
        <v>1655</v>
      </c>
      <c r="I2125" s="36" t="s">
        <v>1656</v>
      </c>
      <c r="J2125" s="36" t="s">
        <v>1656</v>
      </c>
      <c r="K2125" s="36" t="s">
        <v>1730</v>
      </c>
      <c r="L2125" s="36" t="s">
        <v>5325</v>
      </c>
      <c r="M2125" s="36" t="s">
        <v>5325</v>
      </c>
      <c r="N2125" s="36" t="s">
        <v>32</v>
      </c>
    </row>
    <row r="2126">
      <c r="A2126" s="36" t="s">
        <v>5359</v>
      </c>
      <c r="B2126" s="154" t="s">
        <v>5347</v>
      </c>
      <c r="C2126" s="36" t="s">
        <v>1666</v>
      </c>
      <c r="D2126" s="36" t="s">
        <v>495</v>
      </c>
      <c r="E2126" s="36" t="s">
        <v>495</v>
      </c>
      <c r="F2126" s="154" t="s">
        <v>5360</v>
      </c>
      <c r="G2126" s="36" t="s">
        <v>28</v>
      </c>
      <c r="H2126" s="36" t="s">
        <v>1655</v>
      </c>
      <c r="I2126" s="36" t="s">
        <v>1656</v>
      </c>
      <c r="J2126" s="36" t="s">
        <v>1656</v>
      </c>
      <c r="K2126" s="36" t="s">
        <v>1732</v>
      </c>
      <c r="L2126" s="36" t="s">
        <v>5325</v>
      </c>
      <c r="M2126" s="36" t="s">
        <v>5325</v>
      </c>
      <c r="N2126" s="36" t="s">
        <v>32</v>
      </c>
    </row>
    <row r="2127">
      <c r="A2127" s="36" t="s">
        <v>5361</v>
      </c>
      <c r="B2127" s="154" t="s">
        <v>5362</v>
      </c>
      <c r="C2127" s="36" t="s">
        <v>1653</v>
      </c>
      <c r="D2127" s="36" t="s">
        <v>55</v>
      </c>
      <c r="E2127" s="36" t="s">
        <v>39</v>
      </c>
      <c r="F2127" s="154" t="s">
        <v>5363</v>
      </c>
      <c r="G2127" s="36" t="s">
        <v>32</v>
      </c>
      <c r="H2127" s="36" t="s">
        <v>1655</v>
      </c>
      <c r="I2127" s="36" t="s">
        <v>1656</v>
      </c>
      <c r="J2127" s="36" t="s">
        <v>1656</v>
      </c>
      <c r="K2127" s="36" t="s">
        <v>1749</v>
      </c>
      <c r="L2127" s="36" t="s">
        <v>5321</v>
      </c>
      <c r="M2127" s="36" t="s">
        <v>5321</v>
      </c>
      <c r="N2127" s="36" t="s">
        <v>32</v>
      </c>
    </row>
    <row r="2128">
      <c r="A2128" s="36" t="s">
        <v>5364</v>
      </c>
      <c r="B2128" s="154" t="s">
        <v>5362</v>
      </c>
      <c r="C2128" s="36" t="s">
        <v>1666</v>
      </c>
      <c r="D2128" s="36" t="s">
        <v>76</v>
      </c>
      <c r="E2128" s="36" t="s">
        <v>76</v>
      </c>
      <c r="F2128" s="154" t="s">
        <v>5365</v>
      </c>
      <c r="G2128" s="36" t="s">
        <v>28</v>
      </c>
      <c r="H2128" s="36" t="s">
        <v>1655</v>
      </c>
      <c r="I2128" s="36" t="s">
        <v>1656</v>
      </c>
      <c r="J2128" s="36" t="s">
        <v>1656</v>
      </c>
      <c r="K2128" s="36" t="s">
        <v>1763</v>
      </c>
      <c r="L2128" s="36" t="s">
        <v>5325</v>
      </c>
      <c r="M2128" s="36" t="s">
        <v>5325</v>
      </c>
      <c r="N2128" s="36" t="s">
        <v>32</v>
      </c>
    </row>
    <row r="2129">
      <c r="A2129" s="36" t="s">
        <v>5366</v>
      </c>
      <c r="B2129" s="154" t="s">
        <v>5362</v>
      </c>
      <c r="C2129" s="36" t="s">
        <v>1666</v>
      </c>
      <c r="D2129" s="36" t="s">
        <v>712</v>
      </c>
      <c r="E2129" s="36" t="s">
        <v>712</v>
      </c>
      <c r="F2129" s="154" t="s">
        <v>4885</v>
      </c>
      <c r="G2129" s="36" t="s">
        <v>28</v>
      </c>
      <c r="H2129" s="36" t="s">
        <v>1655</v>
      </c>
      <c r="I2129" s="36" t="s">
        <v>1656</v>
      </c>
      <c r="J2129" s="36" t="s">
        <v>1656</v>
      </c>
      <c r="K2129" s="36" t="s">
        <v>1766</v>
      </c>
      <c r="L2129" s="36" t="s">
        <v>5325</v>
      </c>
      <c r="M2129" s="36" t="s">
        <v>5325</v>
      </c>
      <c r="N2129" s="36" t="s">
        <v>32</v>
      </c>
    </row>
    <row r="2130">
      <c r="A2130" s="36" t="s">
        <v>5367</v>
      </c>
      <c r="B2130" s="154" t="s">
        <v>5362</v>
      </c>
      <c r="C2130" s="36" t="s">
        <v>1666</v>
      </c>
      <c r="D2130" s="36" t="s">
        <v>77</v>
      </c>
      <c r="E2130" s="36" t="s">
        <v>77</v>
      </c>
      <c r="F2130" s="154" t="s">
        <v>1768</v>
      </c>
      <c r="G2130" s="36" t="s">
        <v>34</v>
      </c>
      <c r="H2130" s="36" t="s">
        <v>1655</v>
      </c>
      <c r="I2130" s="36" t="s">
        <v>1656</v>
      </c>
      <c r="J2130" s="36" t="s">
        <v>1656</v>
      </c>
      <c r="K2130" s="36" t="s">
        <v>4248</v>
      </c>
      <c r="L2130" s="36" t="s">
        <v>5325</v>
      </c>
      <c r="M2130" s="36" t="s">
        <v>5325</v>
      </c>
      <c r="N2130" s="36" t="s">
        <v>32</v>
      </c>
    </row>
    <row r="2131">
      <c r="A2131" s="36" t="s">
        <v>5368</v>
      </c>
      <c r="B2131" s="154" t="s">
        <v>5362</v>
      </c>
      <c r="C2131" s="36" t="s">
        <v>1666</v>
      </c>
      <c r="D2131" s="36" t="s">
        <v>114</v>
      </c>
      <c r="E2131" s="36" t="s">
        <v>114</v>
      </c>
      <c r="F2131" s="154" t="s">
        <v>5369</v>
      </c>
      <c r="G2131" s="36" t="s">
        <v>32</v>
      </c>
      <c r="H2131" s="36" t="s">
        <v>1655</v>
      </c>
      <c r="I2131" s="36" t="s">
        <v>1656</v>
      </c>
      <c r="J2131" s="36" t="s">
        <v>1656</v>
      </c>
      <c r="K2131" s="36" t="s">
        <v>1736</v>
      </c>
      <c r="L2131" s="36" t="s">
        <v>5325</v>
      </c>
      <c r="M2131" s="36" t="s">
        <v>5325</v>
      </c>
      <c r="N2131" s="36" t="s">
        <v>32</v>
      </c>
    </row>
    <row r="2132">
      <c r="A2132" s="36" t="s">
        <v>5370</v>
      </c>
      <c r="B2132" s="154" t="s">
        <v>5362</v>
      </c>
      <c r="C2132" s="36" t="s">
        <v>1666</v>
      </c>
      <c r="D2132" s="36" t="s">
        <v>115</v>
      </c>
      <c r="E2132" s="36" t="s">
        <v>115</v>
      </c>
      <c r="F2132" s="154" t="s">
        <v>1683</v>
      </c>
      <c r="G2132" s="36" t="s">
        <v>32</v>
      </c>
      <c r="H2132" s="36" t="s">
        <v>1655</v>
      </c>
      <c r="I2132" s="36" t="s">
        <v>1656</v>
      </c>
      <c r="J2132" s="36" t="s">
        <v>1656</v>
      </c>
      <c r="K2132" s="36" t="s">
        <v>1739</v>
      </c>
      <c r="L2132" s="36" t="s">
        <v>5325</v>
      </c>
      <c r="M2132" s="36" t="s">
        <v>5325</v>
      </c>
      <c r="N2132" s="36" t="s">
        <v>32</v>
      </c>
    </row>
    <row r="2133">
      <c r="A2133" s="36" t="s">
        <v>5371</v>
      </c>
      <c r="B2133" s="154" t="s">
        <v>5362</v>
      </c>
      <c r="C2133" s="36" t="s">
        <v>1666</v>
      </c>
      <c r="D2133" s="36" t="s">
        <v>803</v>
      </c>
      <c r="E2133" s="36" t="s">
        <v>803</v>
      </c>
      <c r="F2133" s="154" t="s">
        <v>1832</v>
      </c>
      <c r="G2133" s="36" t="s">
        <v>32</v>
      </c>
      <c r="H2133" s="36" t="s">
        <v>1655</v>
      </c>
      <c r="I2133" s="36" t="s">
        <v>1656</v>
      </c>
      <c r="J2133" s="36" t="s">
        <v>1656</v>
      </c>
      <c r="K2133" s="36" t="s">
        <v>1742</v>
      </c>
      <c r="L2133" s="36" t="s">
        <v>5325</v>
      </c>
      <c r="M2133" s="36" t="s">
        <v>5325</v>
      </c>
      <c r="N2133" s="36" t="s">
        <v>32</v>
      </c>
    </row>
    <row r="2134">
      <c r="A2134" s="36" t="s">
        <v>5372</v>
      </c>
      <c r="B2134" s="154" t="s">
        <v>5362</v>
      </c>
      <c r="C2134" s="36" t="s">
        <v>1666</v>
      </c>
      <c r="D2134" s="36" t="s">
        <v>305</v>
      </c>
      <c r="E2134" s="36" t="s">
        <v>305</v>
      </c>
      <c r="F2134" s="154" t="s">
        <v>1816</v>
      </c>
      <c r="G2134" s="36" t="s">
        <v>32</v>
      </c>
      <c r="H2134" s="36" t="s">
        <v>1655</v>
      </c>
      <c r="I2134" s="36" t="s">
        <v>1656</v>
      </c>
      <c r="J2134" s="36" t="s">
        <v>1656</v>
      </c>
      <c r="K2134" s="36" t="s">
        <v>1773</v>
      </c>
      <c r="L2134" s="36" t="s">
        <v>5325</v>
      </c>
      <c r="M2134" s="36" t="s">
        <v>5325</v>
      </c>
      <c r="N2134" s="36" t="s">
        <v>32</v>
      </c>
    </row>
    <row r="2135">
      <c r="A2135" s="36" t="s">
        <v>5373</v>
      </c>
      <c r="B2135" s="154" t="s">
        <v>5374</v>
      </c>
      <c r="C2135" s="36" t="s">
        <v>1666</v>
      </c>
      <c r="D2135" s="36" t="s">
        <v>809</v>
      </c>
      <c r="E2135" s="36" t="s">
        <v>809</v>
      </c>
      <c r="F2135" s="154" t="s">
        <v>3324</v>
      </c>
      <c r="G2135" s="36" t="s">
        <v>32</v>
      </c>
      <c r="H2135" s="36" t="s">
        <v>1655</v>
      </c>
      <c r="I2135" s="36" t="s">
        <v>1656</v>
      </c>
      <c r="J2135" s="36" t="s">
        <v>1656</v>
      </c>
      <c r="K2135" s="36" t="s">
        <v>1745</v>
      </c>
      <c r="L2135" s="36" t="s">
        <v>5325</v>
      </c>
      <c r="M2135" s="36" t="s">
        <v>5325</v>
      </c>
      <c r="N2135" s="36" t="s">
        <v>32</v>
      </c>
    </row>
    <row r="2136">
      <c r="A2136" s="36" t="s">
        <v>5375</v>
      </c>
      <c r="B2136" s="154" t="s">
        <v>5376</v>
      </c>
      <c r="C2136" s="36" t="s">
        <v>1653</v>
      </c>
      <c r="D2136" s="36" t="s">
        <v>702</v>
      </c>
      <c r="E2136" s="36" t="s">
        <v>39</v>
      </c>
      <c r="F2136" s="154" t="s">
        <v>5377</v>
      </c>
      <c r="G2136" s="36" t="s">
        <v>32</v>
      </c>
      <c r="H2136" s="36" t="s">
        <v>1655</v>
      </c>
      <c r="I2136" s="36" t="s">
        <v>1656</v>
      </c>
      <c r="J2136" s="36" t="s">
        <v>1656</v>
      </c>
      <c r="K2136" s="36" t="s">
        <v>1978</v>
      </c>
      <c r="L2136" s="36" t="s">
        <v>5321</v>
      </c>
      <c r="M2136" s="36" t="s">
        <v>5321</v>
      </c>
      <c r="N2136" s="36" t="s">
        <v>32</v>
      </c>
    </row>
    <row r="2137">
      <c r="A2137" s="36" t="s">
        <v>5378</v>
      </c>
      <c r="B2137" s="154" t="s">
        <v>5376</v>
      </c>
      <c r="C2137" s="36" t="s">
        <v>1653</v>
      </c>
      <c r="D2137" s="36" t="s">
        <v>707</v>
      </c>
      <c r="E2137" s="36" t="s">
        <v>39</v>
      </c>
      <c r="F2137" s="154" t="s">
        <v>5379</v>
      </c>
      <c r="G2137" s="36" t="s">
        <v>32</v>
      </c>
      <c r="H2137" s="36" t="s">
        <v>1655</v>
      </c>
      <c r="I2137" s="36" t="s">
        <v>1656</v>
      </c>
      <c r="J2137" s="36" t="s">
        <v>1656</v>
      </c>
      <c r="K2137" s="36" t="s">
        <v>2848</v>
      </c>
      <c r="L2137" s="36" t="s">
        <v>5321</v>
      </c>
      <c r="M2137" s="36" t="s">
        <v>5321</v>
      </c>
      <c r="N2137" s="36" t="s">
        <v>32</v>
      </c>
    </row>
    <row r="2138">
      <c r="A2138" s="36" t="s">
        <v>5380</v>
      </c>
      <c r="B2138" s="154" t="s">
        <v>5381</v>
      </c>
      <c r="C2138" s="36" t="s">
        <v>1666</v>
      </c>
      <c r="D2138" s="36" t="s">
        <v>856</v>
      </c>
      <c r="E2138" s="36" t="s">
        <v>856</v>
      </c>
      <c r="F2138" s="154" t="s">
        <v>2163</v>
      </c>
      <c r="G2138" s="36" t="s">
        <v>28</v>
      </c>
      <c r="H2138" s="36" t="s">
        <v>1655</v>
      </c>
      <c r="I2138" s="36" t="s">
        <v>1656</v>
      </c>
      <c r="J2138" s="36" t="s">
        <v>1656</v>
      </c>
      <c r="K2138" s="36" t="s">
        <v>1814</v>
      </c>
      <c r="L2138" s="36" t="s">
        <v>5325</v>
      </c>
      <c r="M2138" s="36" t="s">
        <v>5325</v>
      </c>
      <c r="N2138" s="36" t="s">
        <v>34</v>
      </c>
    </row>
    <row r="2139">
      <c r="A2139" s="36" t="s">
        <v>5382</v>
      </c>
      <c r="B2139" s="154" t="s">
        <v>5383</v>
      </c>
      <c r="C2139" s="36" t="s">
        <v>1666</v>
      </c>
      <c r="D2139" s="36" t="s">
        <v>860</v>
      </c>
      <c r="E2139" s="36" t="s">
        <v>860</v>
      </c>
      <c r="F2139" s="154" t="s">
        <v>1686</v>
      </c>
      <c r="G2139" s="36" t="s">
        <v>28</v>
      </c>
      <c r="H2139" s="36" t="s">
        <v>1655</v>
      </c>
      <c r="I2139" s="36" t="s">
        <v>1656</v>
      </c>
      <c r="J2139" s="36" t="s">
        <v>1656</v>
      </c>
      <c r="K2139" s="36" t="s">
        <v>1817</v>
      </c>
      <c r="L2139" s="36" t="s">
        <v>5325</v>
      </c>
      <c r="M2139" s="36" t="s">
        <v>5325</v>
      </c>
      <c r="N2139" s="36" t="s">
        <v>34</v>
      </c>
    </row>
    <row r="2140">
      <c r="A2140" s="36" t="s">
        <v>5384</v>
      </c>
      <c r="B2140" s="154" t="s">
        <v>5383</v>
      </c>
      <c r="C2140" s="36" t="s">
        <v>1666</v>
      </c>
      <c r="D2140" s="36" t="s">
        <v>582</v>
      </c>
      <c r="E2140" s="36" t="s">
        <v>582</v>
      </c>
      <c r="F2140" s="154" t="s">
        <v>1683</v>
      </c>
      <c r="G2140" s="36" t="s">
        <v>28</v>
      </c>
      <c r="H2140" s="36" t="s">
        <v>1655</v>
      </c>
      <c r="I2140" s="36" t="s">
        <v>1656</v>
      </c>
      <c r="J2140" s="36" t="s">
        <v>1656</v>
      </c>
      <c r="K2140" s="36" t="s">
        <v>1820</v>
      </c>
      <c r="L2140" s="36" t="s">
        <v>5325</v>
      </c>
      <c r="M2140" s="36" t="s">
        <v>5325</v>
      </c>
      <c r="N2140" s="36" t="s">
        <v>34</v>
      </c>
    </row>
    <row r="2141">
      <c r="A2141" s="36" t="s">
        <v>5385</v>
      </c>
      <c r="B2141" s="154" t="s">
        <v>5383</v>
      </c>
      <c r="C2141" s="36" t="s">
        <v>1666</v>
      </c>
      <c r="D2141" s="36" t="s">
        <v>295</v>
      </c>
      <c r="E2141" s="36" t="s">
        <v>295</v>
      </c>
      <c r="F2141" s="154" t="s">
        <v>2044</v>
      </c>
      <c r="G2141" s="36" t="s">
        <v>28</v>
      </c>
      <c r="H2141" s="36" t="s">
        <v>1655</v>
      </c>
      <c r="I2141" s="36" t="s">
        <v>1656</v>
      </c>
      <c r="J2141" s="36" t="s">
        <v>1656</v>
      </c>
      <c r="K2141" s="36" t="s">
        <v>1823</v>
      </c>
      <c r="L2141" s="36" t="s">
        <v>5325</v>
      </c>
      <c r="M2141" s="36" t="s">
        <v>5325</v>
      </c>
      <c r="N2141" s="36" t="s">
        <v>34</v>
      </c>
    </row>
    <row r="2142">
      <c r="A2142" s="36" t="s">
        <v>5386</v>
      </c>
      <c r="B2142" s="154" t="s">
        <v>5383</v>
      </c>
      <c r="C2142" s="36" t="s">
        <v>1666</v>
      </c>
      <c r="D2142" s="36" t="s">
        <v>295</v>
      </c>
      <c r="E2142" s="36" t="s">
        <v>295</v>
      </c>
      <c r="F2142" s="154" t="s">
        <v>2025</v>
      </c>
      <c r="G2142" s="36" t="s">
        <v>28</v>
      </c>
      <c r="H2142" s="36" t="s">
        <v>1655</v>
      </c>
      <c r="I2142" s="36" t="s">
        <v>1656</v>
      </c>
      <c r="J2142" s="36" t="s">
        <v>1656</v>
      </c>
      <c r="K2142" s="36" t="s">
        <v>1826</v>
      </c>
      <c r="L2142" s="36" t="s">
        <v>5325</v>
      </c>
      <c r="M2142" s="36" t="s">
        <v>5325</v>
      </c>
      <c r="N2142" s="36" t="s">
        <v>34</v>
      </c>
    </row>
    <row r="2143">
      <c r="A2143" s="36" t="s">
        <v>5387</v>
      </c>
      <c r="B2143" s="154" t="s">
        <v>5383</v>
      </c>
      <c r="C2143" s="36" t="s">
        <v>1666</v>
      </c>
      <c r="D2143" s="36" t="s">
        <v>310</v>
      </c>
      <c r="E2143" s="36" t="s">
        <v>310</v>
      </c>
      <c r="F2143" s="154" t="s">
        <v>1971</v>
      </c>
      <c r="G2143" s="36" t="s">
        <v>28</v>
      </c>
      <c r="H2143" s="36" t="s">
        <v>1655</v>
      </c>
      <c r="I2143" s="36" t="s">
        <v>1656</v>
      </c>
      <c r="J2143" s="36" t="s">
        <v>1656</v>
      </c>
      <c r="K2143" s="36" t="s">
        <v>1830</v>
      </c>
      <c r="L2143" s="36" t="s">
        <v>5325</v>
      </c>
      <c r="M2143" s="36" t="s">
        <v>5325</v>
      </c>
      <c r="N2143" s="36" t="s">
        <v>34</v>
      </c>
    </row>
    <row r="2144">
      <c r="A2144" s="36" t="s">
        <v>5388</v>
      </c>
      <c r="B2144" s="154" t="s">
        <v>5389</v>
      </c>
      <c r="C2144" s="36" t="s">
        <v>1666</v>
      </c>
      <c r="D2144" s="36" t="s">
        <v>416</v>
      </c>
      <c r="E2144" s="36" t="s">
        <v>416</v>
      </c>
      <c r="F2144" s="154" t="s">
        <v>5390</v>
      </c>
      <c r="G2144" s="36" t="s">
        <v>32</v>
      </c>
      <c r="H2144" s="36" t="s">
        <v>1655</v>
      </c>
      <c r="I2144" s="36" t="s">
        <v>1656</v>
      </c>
      <c r="J2144" s="36" t="s">
        <v>1656</v>
      </c>
      <c r="K2144" s="36" t="s">
        <v>1776</v>
      </c>
      <c r="L2144" s="36" t="s">
        <v>5325</v>
      </c>
      <c r="M2144" s="36" t="s">
        <v>5325</v>
      </c>
      <c r="N2144" s="36" t="s">
        <v>32</v>
      </c>
    </row>
    <row r="2145">
      <c r="A2145" s="36" t="s">
        <v>5391</v>
      </c>
      <c r="B2145" s="154" t="s">
        <v>5389</v>
      </c>
      <c r="C2145" s="36" t="s">
        <v>1666</v>
      </c>
      <c r="D2145" s="36" t="s">
        <v>814</v>
      </c>
      <c r="E2145" s="36" t="s">
        <v>814</v>
      </c>
      <c r="F2145" s="154" t="s">
        <v>5392</v>
      </c>
      <c r="G2145" s="36" t="s">
        <v>32</v>
      </c>
      <c r="H2145" s="36" t="s">
        <v>1655</v>
      </c>
      <c r="I2145" s="36" t="s">
        <v>1656</v>
      </c>
      <c r="J2145" s="36" t="s">
        <v>1656</v>
      </c>
      <c r="K2145" s="36" t="s">
        <v>1779</v>
      </c>
      <c r="L2145" s="36" t="s">
        <v>5325</v>
      </c>
      <c r="M2145" s="36" t="s">
        <v>5325</v>
      </c>
      <c r="N2145" s="36" t="s">
        <v>32</v>
      </c>
    </row>
    <row r="2146">
      <c r="A2146" s="36" t="s">
        <v>5393</v>
      </c>
      <c r="B2146" s="154" t="s">
        <v>5394</v>
      </c>
      <c r="C2146" s="36" t="s">
        <v>1666</v>
      </c>
      <c r="D2146" s="36" t="s">
        <v>880</v>
      </c>
      <c r="E2146" s="36" t="s">
        <v>880</v>
      </c>
      <c r="F2146" s="154" t="s">
        <v>2274</v>
      </c>
      <c r="G2146" s="36" t="s">
        <v>28</v>
      </c>
      <c r="H2146" s="36" t="s">
        <v>1655</v>
      </c>
      <c r="I2146" s="36" t="s">
        <v>1656</v>
      </c>
      <c r="J2146" s="36" t="s">
        <v>1656</v>
      </c>
      <c r="K2146" s="36" t="s">
        <v>1833</v>
      </c>
      <c r="L2146" s="36" t="s">
        <v>5325</v>
      </c>
      <c r="M2146" s="36" t="s">
        <v>5325</v>
      </c>
      <c r="N2146" s="36" t="s">
        <v>34</v>
      </c>
    </row>
    <row r="2147">
      <c r="A2147" s="36" t="s">
        <v>5395</v>
      </c>
      <c r="B2147" s="154" t="s">
        <v>5396</v>
      </c>
      <c r="C2147" s="36" t="s">
        <v>1666</v>
      </c>
      <c r="D2147" s="36" t="s">
        <v>91</v>
      </c>
      <c r="E2147" s="36" t="s">
        <v>91</v>
      </c>
      <c r="F2147" s="154" t="s">
        <v>1768</v>
      </c>
      <c r="G2147" s="36" t="s">
        <v>28</v>
      </c>
      <c r="H2147" s="36" t="s">
        <v>1655</v>
      </c>
      <c r="I2147" s="36" t="s">
        <v>1656</v>
      </c>
      <c r="J2147" s="36" t="s">
        <v>1656</v>
      </c>
      <c r="K2147" s="36" t="s">
        <v>1782</v>
      </c>
      <c r="L2147" s="36" t="s">
        <v>5325</v>
      </c>
      <c r="M2147" s="36" t="s">
        <v>5325</v>
      </c>
      <c r="N2147" s="36" t="s">
        <v>32</v>
      </c>
    </row>
    <row r="2148">
      <c r="A2148" s="36" t="s">
        <v>5397</v>
      </c>
      <c r="B2148" s="154" t="s">
        <v>5398</v>
      </c>
      <c r="C2148" s="36" t="s">
        <v>1666</v>
      </c>
      <c r="D2148" s="36" t="s">
        <v>218</v>
      </c>
      <c r="E2148" s="36" t="s">
        <v>218</v>
      </c>
      <c r="F2148" s="154" t="s">
        <v>1686</v>
      </c>
      <c r="G2148" s="36" t="s">
        <v>32</v>
      </c>
      <c r="H2148" s="36" t="s">
        <v>1655</v>
      </c>
      <c r="I2148" s="36" t="s">
        <v>1656</v>
      </c>
      <c r="J2148" s="36" t="s">
        <v>1656</v>
      </c>
      <c r="K2148" s="36" t="s">
        <v>1784</v>
      </c>
      <c r="L2148" s="36" t="s">
        <v>5325</v>
      </c>
      <c r="M2148" s="36" t="s">
        <v>5325</v>
      </c>
      <c r="N2148" s="36" t="s">
        <v>32</v>
      </c>
    </row>
    <row r="2149">
      <c r="A2149" s="36" t="s">
        <v>5399</v>
      </c>
      <c r="B2149" s="154" t="s">
        <v>5400</v>
      </c>
      <c r="C2149" s="36" t="s">
        <v>1666</v>
      </c>
      <c r="D2149" s="36" t="s">
        <v>607</v>
      </c>
      <c r="E2149" s="36" t="s">
        <v>607</v>
      </c>
      <c r="F2149" s="154" t="s">
        <v>1694</v>
      </c>
      <c r="G2149" s="36" t="s">
        <v>28</v>
      </c>
      <c r="H2149" s="36" t="s">
        <v>1655</v>
      </c>
      <c r="I2149" s="36" t="s">
        <v>1656</v>
      </c>
      <c r="J2149" s="36" t="s">
        <v>1656</v>
      </c>
      <c r="K2149" s="36" t="s">
        <v>1836</v>
      </c>
      <c r="L2149" s="36" t="s">
        <v>5325</v>
      </c>
      <c r="M2149" s="36" t="s">
        <v>5325</v>
      </c>
      <c r="N2149" s="36" t="s">
        <v>34</v>
      </c>
    </row>
    <row r="2150">
      <c r="A2150" s="36" t="s">
        <v>5401</v>
      </c>
      <c r="B2150" s="154" t="s">
        <v>5400</v>
      </c>
      <c r="C2150" s="36" t="s">
        <v>1666</v>
      </c>
      <c r="D2150" s="36" t="s">
        <v>883</v>
      </c>
      <c r="E2150" s="36" t="s">
        <v>883</v>
      </c>
      <c r="F2150" s="154" t="s">
        <v>1902</v>
      </c>
      <c r="G2150" s="36" t="s">
        <v>28</v>
      </c>
      <c r="H2150" s="36" t="s">
        <v>1655</v>
      </c>
      <c r="I2150" s="36" t="s">
        <v>1656</v>
      </c>
      <c r="J2150" s="36" t="s">
        <v>1656</v>
      </c>
      <c r="K2150" s="36" t="s">
        <v>1839</v>
      </c>
      <c r="L2150" s="36" t="s">
        <v>5325</v>
      </c>
      <c r="M2150" s="36" t="s">
        <v>5325</v>
      </c>
      <c r="N2150" s="36" t="s">
        <v>32</v>
      </c>
    </row>
    <row r="2151">
      <c r="A2151" s="36" t="s">
        <v>5402</v>
      </c>
      <c r="B2151" s="154" t="s">
        <v>5400</v>
      </c>
      <c r="C2151" s="36" t="s">
        <v>1666</v>
      </c>
      <c r="D2151" s="36" t="s">
        <v>885</v>
      </c>
      <c r="E2151" s="36" t="s">
        <v>885</v>
      </c>
      <c r="F2151" s="154" t="s">
        <v>1810</v>
      </c>
      <c r="G2151" s="36" t="s">
        <v>28</v>
      </c>
      <c r="H2151" s="36" t="s">
        <v>1655</v>
      </c>
      <c r="I2151" s="36" t="s">
        <v>1656</v>
      </c>
      <c r="J2151" s="36" t="s">
        <v>1656</v>
      </c>
      <c r="K2151" s="36" t="s">
        <v>1842</v>
      </c>
      <c r="L2151" s="36" t="s">
        <v>5325</v>
      </c>
      <c r="M2151" s="36" t="s">
        <v>5325</v>
      </c>
      <c r="N2151" s="36" t="s">
        <v>32</v>
      </c>
    </row>
    <row r="2152">
      <c r="A2152" s="36" t="s">
        <v>5403</v>
      </c>
      <c r="B2152" s="154" t="s">
        <v>5400</v>
      </c>
      <c r="C2152" s="36" t="s">
        <v>1666</v>
      </c>
      <c r="D2152" s="36" t="s">
        <v>517</v>
      </c>
      <c r="E2152" s="36" t="s">
        <v>517</v>
      </c>
      <c r="F2152" s="154" t="s">
        <v>2029</v>
      </c>
      <c r="G2152" s="36" t="s">
        <v>28</v>
      </c>
      <c r="H2152" s="36" t="s">
        <v>1655</v>
      </c>
      <c r="I2152" s="36" t="s">
        <v>1656</v>
      </c>
      <c r="J2152" s="36" t="s">
        <v>1656</v>
      </c>
      <c r="K2152" s="36" t="s">
        <v>1845</v>
      </c>
      <c r="L2152" s="36" t="s">
        <v>5325</v>
      </c>
      <c r="M2152" s="36" t="s">
        <v>5325</v>
      </c>
      <c r="N2152" s="36" t="s">
        <v>34</v>
      </c>
    </row>
    <row r="2153">
      <c r="A2153" s="36" t="s">
        <v>5404</v>
      </c>
      <c r="B2153" s="154" t="s">
        <v>5400</v>
      </c>
      <c r="C2153" s="36" t="s">
        <v>1666</v>
      </c>
      <c r="D2153" s="36" t="s">
        <v>512</v>
      </c>
      <c r="E2153" s="36" t="s">
        <v>512</v>
      </c>
      <c r="F2153" s="154" t="s">
        <v>5405</v>
      </c>
      <c r="G2153" s="36" t="s">
        <v>28</v>
      </c>
      <c r="H2153" s="36" t="s">
        <v>1655</v>
      </c>
      <c r="I2153" s="36" t="s">
        <v>1656</v>
      </c>
      <c r="J2153" s="36" t="s">
        <v>1656</v>
      </c>
      <c r="K2153" s="36" t="s">
        <v>1848</v>
      </c>
      <c r="L2153" s="36" t="s">
        <v>5325</v>
      </c>
      <c r="M2153" s="36" t="s">
        <v>5325</v>
      </c>
      <c r="N2153" s="36" t="s">
        <v>34</v>
      </c>
    </row>
    <row r="2154">
      <c r="A2154" s="36" t="s">
        <v>5406</v>
      </c>
      <c r="B2154" s="154" t="s">
        <v>5400</v>
      </c>
      <c r="C2154" s="36" t="s">
        <v>1666</v>
      </c>
      <c r="D2154" s="36" t="s">
        <v>885</v>
      </c>
      <c r="E2154" s="36" t="s">
        <v>885</v>
      </c>
      <c r="F2154" s="154" t="s">
        <v>5407</v>
      </c>
      <c r="G2154" s="36" t="s">
        <v>28</v>
      </c>
      <c r="H2154" s="36" t="s">
        <v>1655</v>
      </c>
      <c r="I2154" s="36" t="s">
        <v>1656</v>
      </c>
      <c r="J2154" s="36" t="s">
        <v>1656</v>
      </c>
      <c r="K2154" s="36" t="s">
        <v>1851</v>
      </c>
      <c r="L2154" s="36" t="s">
        <v>5325</v>
      </c>
      <c r="M2154" s="36" t="s">
        <v>5325</v>
      </c>
      <c r="N2154" s="36" t="s">
        <v>34</v>
      </c>
    </row>
    <row r="2155">
      <c r="A2155" s="36" t="s">
        <v>5408</v>
      </c>
      <c r="B2155" s="154" t="s">
        <v>5409</v>
      </c>
      <c r="C2155" s="36" t="s">
        <v>1666</v>
      </c>
      <c r="D2155" s="36" t="s">
        <v>81</v>
      </c>
      <c r="E2155" s="36" t="s">
        <v>81</v>
      </c>
      <c r="F2155" s="154" t="s">
        <v>4305</v>
      </c>
      <c r="G2155" s="36" t="s">
        <v>28</v>
      </c>
      <c r="H2155" s="36" t="s">
        <v>1655</v>
      </c>
      <c r="I2155" s="36" t="s">
        <v>1656</v>
      </c>
      <c r="J2155" s="36" t="s">
        <v>1656</v>
      </c>
      <c r="K2155" s="36" t="s">
        <v>1891</v>
      </c>
      <c r="L2155" s="36" t="s">
        <v>5325</v>
      </c>
      <c r="M2155" s="36" t="s">
        <v>5325</v>
      </c>
      <c r="N2155" s="36" t="s">
        <v>32</v>
      </c>
    </row>
    <row r="2156">
      <c r="A2156" s="36" t="s">
        <v>5410</v>
      </c>
      <c r="B2156" s="154" t="s">
        <v>5409</v>
      </c>
      <c r="C2156" s="36" t="s">
        <v>1666</v>
      </c>
      <c r="D2156" s="36" t="s">
        <v>83</v>
      </c>
      <c r="E2156" s="36" t="s">
        <v>83</v>
      </c>
      <c r="F2156" s="154" t="s">
        <v>4586</v>
      </c>
      <c r="G2156" s="36" t="s">
        <v>28</v>
      </c>
      <c r="H2156" s="36" t="s">
        <v>1655</v>
      </c>
      <c r="I2156" s="36" t="s">
        <v>1656</v>
      </c>
      <c r="J2156" s="36" t="s">
        <v>1656</v>
      </c>
      <c r="K2156" s="36" t="s">
        <v>1921</v>
      </c>
      <c r="L2156" s="36" t="s">
        <v>5325</v>
      </c>
      <c r="M2156" s="36" t="s">
        <v>5325</v>
      </c>
      <c r="N2156" s="36" t="s">
        <v>32</v>
      </c>
    </row>
    <row r="2157">
      <c r="A2157" s="36" t="s">
        <v>5411</v>
      </c>
      <c r="B2157" s="154" t="s">
        <v>5409</v>
      </c>
      <c r="C2157" s="36" t="s">
        <v>1666</v>
      </c>
      <c r="D2157" s="36" t="s">
        <v>84</v>
      </c>
      <c r="E2157" s="36" t="s">
        <v>84</v>
      </c>
      <c r="F2157" s="154" t="s">
        <v>5412</v>
      </c>
      <c r="G2157" s="36" t="s">
        <v>32</v>
      </c>
      <c r="H2157" s="36" t="s">
        <v>1655</v>
      </c>
      <c r="I2157" s="36" t="s">
        <v>1656</v>
      </c>
      <c r="J2157" s="36" t="s">
        <v>1656</v>
      </c>
      <c r="K2157" s="36" t="s">
        <v>3166</v>
      </c>
      <c r="L2157" s="36" t="s">
        <v>5325</v>
      </c>
      <c r="M2157" s="36" t="s">
        <v>5325</v>
      </c>
      <c r="N2157" s="36" t="s">
        <v>32</v>
      </c>
    </row>
    <row r="2158">
      <c r="A2158" s="36" t="s">
        <v>5413</v>
      </c>
      <c r="B2158" s="154" t="s">
        <v>5409</v>
      </c>
      <c r="C2158" s="36" t="s">
        <v>1666</v>
      </c>
      <c r="D2158" s="36" t="s">
        <v>305</v>
      </c>
      <c r="E2158" s="36" t="s">
        <v>305</v>
      </c>
      <c r="F2158" s="154" t="s">
        <v>1816</v>
      </c>
      <c r="G2158" s="36" t="s">
        <v>32</v>
      </c>
      <c r="H2158" s="36" t="s">
        <v>1655</v>
      </c>
      <c r="I2158" s="36" t="s">
        <v>1656</v>
      </c>
      <c r="J2158" s="36" t="s">
        <v>1656</v>
      </c>
      <c r="K2158" s="36" t="s">
        <v>1787</v>
      </c>
      <c r="L2158" s="36" t="s">
        <v>5325</v>
      </c>
      <c r="M2158" s="36" t="s">
        <v>5325</v>
      </c>
      <c r="N2158" s="36" t="s">
        <v>32</v>
      </c>
    </row>
    <row r="2159">
      <c r="A2159" s="36" t="s">
        <v>5414</v>
      </c>
      <c r="B2159" s="154" t="s">
        <v>5409</v>
      </c>
      <c r="C2159" s="36" t="s">
        <v>1666</v>
      </c>
      <c r="D2159" s="36" t="s">
        <v>828</v>
      </c>
      <c r="E2159" s="36" t="s">
        <v>828</v>
      </c>
      <c r="F2159" s="154" t="s">
        <v>1768</v>
      </c>
      <c r="G2159" s="36" t="s">
        <v>32</v>
      </c>
      <c r="H2159" s="36" t="s">
        <v>1655</v>
      </c>
      <c r="I2159" s="36" t="s">
        <v>1656</v>
      </c>
      <c r="J2159" s="36" t="s">
        <v>1656</v>
      </c>
      <c r="K2159" s="36" t="s">
        <v>1790</v>
      </c>
      <c r="L2159" s="36" t="s">
        <v>5325</v>
      </c>
      <c r="M2159" s="36" t="s">
        <v>5325</v>
      </c>
      <c r="N2159" s="36" t="s">
        <v>32</v>
      </c>
    </row>
    <row r="2160">
      <c r="A2160" s="36" t="s">
        <v>5415</v>
      </c>
      <c r="B2160" s="154" t="s">
        <v>5409</v>
      </c>
      <c r="C2160" s="36" t="s">
        <v>1666</v>
      </c>
      <c r="D2160" s="36" t="s">
        <v>833</v>
      </c>
      <c r="E2160" s="36" t="s">
        <v>833</v>
      </c>
      <c r="F2160" s="154" t="s">
        <v>2049</v>
      </c>
      <c r="G2160" s="36" t="s">
        <v>28</v>
      </c>
      <c r="H2160" s="36" t="s">
        <v>1655</v>
      </c>
      <c r="I2160" s="36" t="s">
        <v>1656</v>
      </c>
      <c r="J2160" s="36" t="s">
        <v>1656</v>
      </c>
      <c r="K2160" s="36" t="s">
        <v>1793</v>
      </c>
      <c r="L2160" s="36" t="s">
        <v>5325</v>
      </c>
      <c r="M2160" s="36" t="s">
        <v>5325</v>
      </c>
      <c r="N2160" s="36" t="s">
        <v>32</v>
      </c>
    </row>
    <row r="2161">
      <c r="A2161" s="36" t="s">
        <v>5416</v>
      </c>
      <c r="B2161" s="154" t="s">
        <v>5409</v>
      </c>
      <c r="C2161" s="36" t="s">
        <v>1666</v>
      </c>
      <c r="D2161" s="36" t="s">
        <v>838</v>
      </c>
      <c r="E2161" s="36" t="s">
        <v>838</v>
      </c>
      <c r="F2161" s="154" t="s">
        <v>2156</v>
      </c>
      <c r="G2161" s="36" t="s">
        <v>32</v>
      </c>
      <c r="H2161" s="36" t="s">
        <v>1655</v>
      </c>
      <c r="I2161" s="36" t="s">
        <v>1656</v>
      </c>
      <c r="J2161" s="36" t="s">
        <v>1656</v>
      </c>
      <c r="K2161" s="36" t="s">
        <v>1796</v>
      </c>
      <c r="L2161" s="36" t="s">
        <v>5325</v>
      </c>
      <c r="M2161" s="36" t="s">
        <v>5325</v>
      </c>
      <c r="N2161" s="36" t="s">
        <v>32</v>
      </c>
    </row>
    <row r="2162">
      <c r="A2162" s="36" t="s">
        <v>5417</v>
      </c>
      <c r="B2162" s="154" t="s">
        <v>5409</v>
      </c>
      <c r="C2162" s="36" t="s">
        <v>1666</v>
      </c>
      <c r="D2162" s="36" t="s">
        <v>100</v>
      </c>
      <c r="E2162" s="36" t="s">
        <v>100</v>
      </c>
      <c r="F2162" s="154" t="s">
        <v>1810</v>
      </c>
      <c r="G2162" s="36" t="s">
        <v>32</v>
      </c>
      <c r="H2162" s="36" t="s">
        <v>1655</v>
      </c>
      <c r="I2162" s="36" t="s">
        <v>1656</v>
      </c>
      <c r="J2162" s="36" t="s">
        <v>1656</v>
      </c>
      <c r="K2162" s="36" t="s">
        <v>1800</v>
      </c>
      <c r="L2162" s="36" t="s">
        <v>5325</v>
      </c>
      <c r="M2162" s="36" t="s">
        <v>5325</v>
      </c>
      <c r="N2162" s="36" t="s">
        <v>32</v>
      </c>
    </row>
    <row r="2163">
      <c r="A2163" s="36" t="s">
        <v>5418</v>
      </c>
      <c r="B2163" s="154" t="s">
        <v>5409</v>
      </c>
      <c r="C2163" s="36" t="s">
        <v>1666</v>
      </c>
      <c r="D2163" s="36" t="s">
        <v>492</v>
      </c>
      <c r="E2163" s="36" t="s">
        <v>492</v>
      </c>
      <c r="F2163" s="154" t="s">
        <v>1832</v>
      </c>
      <c r="G2163" s="36" t="s">
        <v>34</v>
      </c>
      <c r="H2163" s="36" t="s">
        <v>1655</v>
      </c>
      <c r="I2163" s="36" t="s">
        <v>1656</v>
      </c>
      <c r="J2163" s="36" t="s">
        <v>1656</v>
      </c>
      <c r="K2163" s="36" t="s">
        <v>1803</v>
      </c>
      <c r="L2163" s="36" t="s">
        <v>5325</v>
      </c>
      <c r="M2163" s="36" t="s">
        <v>5325</v>
      </c>
      <c r="N2163" s="36" t="s">
        <v>32</v>
      </c>
    </row>
    <row r="2164">
      <c r="A2164" s="36" t="s">
        <v>5419</v>
      </c>
      <c r="B2164" s="154" t="s">
        <v>5409</v>
      </c>
      <c r="C2164" s="36" t="s">
        <v>1666</v>
      </c>
      <c r="D2164" s="36" t="s">
        <v>695</v>
      </c>
      <c r="E2164" s="36" t="s">
        <v>695</v>
      </c>
      <c r="F2164" s="154" t="s">
        <v>5420</v>
      </c>
      <c r="G2164" s="36" t="s">
        <v>28</v>
      </c>
      <c r="H2164" s="36" t="s">
        <v>1655</v>
      </c>
      <c r="I2164" s="36" t="s">
        <v>1656</v>
      </c>
      <c r="J2164" s="36" t="s">
        <v>1656</v>
      </c>
      <c r="K2164" s="36" t="s">
        <v>1807</v>
      </c>
      <c r="L2164" s="36" t="s">
        <v>5325</v>
      </c>
      <c r="M2164" s="36" t="s">
        <v>5325</v>
      </c>
      <c r="N2164" s="36" t="s">
        <v>32</v>
      </c>
    </row>
    <row r="2165">
      <c r="A2165" s="36" t="s">
        <v>5421</v>
      </c>
      <c r="B2165" s="154" t="s">
        <v>5409</v>
      </c>
      <c r="C2165" s="36" t="s">
        <v>1666</v>
      </c>
      <c r="D2165" s="36" t="s">
        <v>890</v>
      </c>
      <c r="E2165" s="36" t="s">
        <v>890</v>
      </c>
      <c r="F2165" s="154" t="s">
        <v>5422</v>
      </c>
      <c r="G2165" s="36" t="s">
        <v>28</v>
      </c>
      <c r="H2165" s="36" t="s">
        <v>1655</v>
      </c>
      <c r="I2165" s="36" t="s">
        <v>1656</v>
      </c>
      <c r="J2165" s="36" t="s">
        <v>1656</v>
      </c>
      <c r="K2165" s="36" t="s">
        <v>1854</v>
      </c>
      <c r="L2165" s="36" t="s">
        <v>5325</v>
      </c>
      <c r="M2165" s="36" t="s">
        <v>5325</v>
      </c>
      <c r="N2165" s="36" t="s">
        <v>34</v>
      </c>
    </row>
    <row r="2166">
      <c r="A2166" s="36" t="s">
        <v>5423</v>
      </c>
      <c r="B2166" s="154" t="s">
        <v>5424</v>
      </c>
      <c r="C2166" s="36" t="s">
        <v>1653</v>
      </c>
      <c r="D2166" s="36" t="s">
        <v>43</v>
      </c>
      <c r="E2166" s="36" t="s">
        <v>39</v>
      </c>
      <c r="F2166" s="154" t="s">
        <v>5425</v>
      </c>
      <c r="G2166" s="36" t="s">
        <v>32</v>
      </c>
      <c r="H2166" s="36" t="s">
        <v>1655</v>
      </c>
      <c r="I2166" s="36" t="s">
        <v>1656</v>
      </c>
      <c r="J2166" s="36" t="s">
        <v>1656</v>
      </c>
      <c r="K2166" s="36" t="s">
        <v>1657</v>
      </c>
      <c r="L2166" s="36" t="s">
        <v>5321</v>
      </c>
      <c r="M2166" s="36" t="s">
        <v>5321</v>
      </c>
      <c r="N2166" s="36" t="s">
        <v>32</v>
      </c>
    </row>
    <row r="2167">
      <c r="A2167" s="36" t="s">
        <v>5426</v>
      </c>
      <c r="B2167" s="154" t="s">
        <v>5424</v>
      </c>
      <c r="C2167" s="36" t="s">
        <v>1666</v>
      </c>
      <c r="D2167" s="36" t="s">
        <v>85</v>
      </c>
      <c r="E2167" s="36" t="s">
        <v>85</v>
      </c>
      <c r="F2167" s="154" t="s">
        <v>5227</v>
      </c>
      <c r="G2167" s="36" t="s">
        <v>28</v>
      </c>
      <c r="H2167" s="36" t="s">
        <v>1655</v>
      </c>
      <c r="I2167" s="36" t="s">
        <v>1656</v>
      </c>
      <c r="J2167" s="36" t="s">
        <v>1656</v>
      </c>
      <c r="K2167" s="36" t="s">
        <v>3038</v>
      </c>
      <c r="L2167" s="36" t="s">
        <v>5325</v>
      </c>
      <c r="M2167" s="36" t="s">
        <v>5325</v>
      </c>
      <c r="N2167" s="36" t="s">
        <v>32</v>
      </c>
    </row>
    <row r="2168">
      <c r="A2168" s="36" t="s">
        <v>5427</v>
      </c>
      <c r="B2168" s="154" t="s">
        <v>5424</v>
      </c>
      <c r="C2168" s="36" t="s">
        <v>1666</v>
      </c>
      <c r="D2168" s="36" t="s">
        <v>719</v>
      </c>
      <c r="E2168" s="36" t="s">
        <v>719</v>
      </c>
      <c r="F2168" s="154" t="s">
        <v>4688</v>
      </c>
      <c r="G2168" s="36" t="s">
        <v>28</v>
      </c>
      <c r="H2168" s="36" t="s">
        <v>1655</v>
      </c>
      <c r="I2168" s="36" t="s">
        <v>1656</v>
      </c>
      <c r="J2168" s="36" t="s">
        <v>1656</v>
      </c>
      <c r="K2168" s="36" t="s">
        <v>2775</v>
      </c>
      <c r="L2168" s="36" t="s">
        <v>5325</v>
      </c>
      <c r="M2168" s="36" t="s">
        <v>5325</v>
      </c>
      <c r="N2168" s="36" t="s">
        <v>32</v>
      </c>
    </row>
    <row r="2169">
      <c r="A2169" s="36" t="s">
        <v>5428</v>
      </c>
      <c r="B2169" s="154" t="s">
        <v>5429</v>
      </c>
      <c r="C2169" s="36" t="s">
        <v>1666</v>
      </c>
      <c r="D2169" s="36" t="s">
        <v>109</v>
      </c>
      <c r="E2169" s="36" t="s">
        <v>109</v>
      </c>
      <c r="F2169" s="154" t="s">
        <v>5430</v>
      </c>
      <c r="G2169" s="36" t="s">
        <v>28</v>
      </c>
      <c r="H2169" s="36" t="s">
        <v>1655</v>
      </c>
      <c r="I2169" s="36" t="s">
        <v>1656</v>
      </c>
      <c r="J2169" s="36" t="s">
        <v>1656</v>
      </c>
      <c r="K2169" s="36" t="s">
        <v>1672</v>
      </c>
      <c r="L2169" s="36" t="s">
        <v>5325</v>
      </c>
      <c r="M2169" s="36" t="s">
        <v>5325</v>
      </c>
      <c r="N2169" s="36" t="s">
        <v>32</v>
      </c>
    </row>
    <row r="2170">
      <c r="A2170" s="36" t="s">
        <v>5431</v>
      </c>
      <c r="B2170" s="154" t="s">
        <v>5432</v>
      </c>
      <c r="C2170" s="36" t="s">
        <v>1666</v>
      </c>
      <c r="D2170" s="36" t="s">
        <v>78</v>
      </c>
      <c r="E2170" s="36" t="s">
        <v>78</v>
      </c>
      <c r="F2170" s="154" t="s">
        <v>2325</v>
      </c>
      <c r="G2170" s="36" t="s">
        <v>28</v>
      </c>
      <c r="H2170" s="36" t="s">
        <v>1655</v>
      </c>
      <c r="I2170" s="36" t="s">
        <v>1656</v>
      </c>
      <c r="J2170" s="36" t="s">
        <v>1656</v>
      </c>
      <c r="K2170" s="36" t="s">
        <v>1769</v>
      </c>
      <c r="L2170" s="36" t="s">
        <v>5325</v>
      </c>
      <c r="M2170" s="36" t="s">
        <v>5325</v>
      </c>
      <c r="N2170" s="36" t="s">
        <v>32</v>
      </c>
    </row>
    <row r="2171">
      <c r="A2171" s="36" t="s">
        <v>5433</v>
      </c>
      <c r="B2171" s="154" t="s">
        <v>5432</v>
      </c>
      <c r="C2171" s="36" t="s">
        <v>1666</v>
      </c>
      <c r="D2171" s="36" t="s">
        <v>727</v>
      </c>
      <c r="E2171" s="36" t="s">
        <v>727</v>
      </c>
      <c r="F2171" s="154" t="s">
        <v>1686</v>
      </c>
      <c r="G2171" s="36" t="s">
        <v>32</v>
      </c>
      <c r="H2171" s="36" t="s">
        <v>1655</v>
      </c>
      <c r="I2171" s="36" t="s">
        <v>1656</v>
      </c>
      <c r="J2171" s="36" t="s">
        <v>1656</v>
      </c>
      <c r="K2171" s="36" t="s">
        <v>1675</v>
      </c>
      <c r="L2171" s="36" t="s">
        <v>5325</v>
      </c>
      <c r="M2171" s="36" t="s">
        <v>5325</v>
      </c>
      <c r="N2171" s="36" t="s">
        <v>32</v>
      </c>
    </row>
    <row r="2172">
      <c r="A2172" s="36" t="s">
        <v>5434</v>
      </c>
      <c r="B2172" s="154" t="s">
        <v>5435</v>
      </c>
      <c r="C2172" s="36" t="s">
        <v>1666</v>
      </c>
      <c r="D2172" s="36" t="s">
        <v>63</v>
      </c>
      <c r="E2172" s="36" t="s">
        <v>63</v>
      </c>
      <c r="F2172" s="154" t="s">
        <v>5436</v>
      </c>
      <c r="G2172" s="36" t="s">
        <v>28</v>
      </c>
      <c r="H2172" s="36" t="s">
        <v>1655</v>
      </c>
      <c r="I2172" s="36" t="s">
        <v>1656</v>
      </c>
      <c r="J2172" s="36" t="s">
        <v>1656</v>
      </c>
      <c r="K2172" s="36" t="s">
        <v>4196</v>
      </c>
      <c r="L2172" s="36" t="s">
        <v>5325</v>
      </c>
      <c r="M2172" s="36" t="s">
        <v>5325</v>
      </c>
      <c r="N2172" s="36" t="s">
        <v>34</v>
      </c>
    </row>
    <row r="2173">
      <c r="A2173" s="36" t="s">
        <v>5437</v>
      </c>
      <c r="B2173" s="154" t="s">
        <v>5438</v>
      </c>
      <c r="C2173" s="36" t="s">
        <v>1666</v>
      </c>
      <c r="D2173" s="36" t="s">
        <v>64</v>
      </c>
      <c r="E2173" s="36" t="s">
        <v>64</v>
      </c>
      <c r="F2173" s="154" t="s">
        <v>4431</v>
      </c>
      <c r="G2173" s="36" t="s">
        <v>28</v>
      </c>
      <c r="H2173" s="36" t="s">
        <v>1655</v>
      </c>
      <c r="I2173" s="36" t="s">
        <v>1656</v>
      </c>
      <c r="J2173" s="36" t="s">
        <v>1656</v>
      </c>
      <c r="K2173" s="36" t="s">
        <v>1708</v>
      </c>
      <c r="L2173" s="36" t="s">
        <v>5325</v>
      </c>
      <c r="M2173" s="36" t="s">
        <v>5325</v>
      </c>
      <c r="N2173" s="36" t="s">
        <v>32</v>
      </c>
    </row>
    <row r="2174">
      <c r="A2174" s="36" t="s">
        <v>5439</v>
      </c>
      <c r="B2174" s="154" t="s">
        <v>5438</v>
      </c>
      <c r="C2174" s="36" t="s">
        <v>1666</v>
      </c>
      <c r="D2174" s="36" t="s">
        <v>92</v>
      </c>
      <c r="E2174" s="36" t="s">
        <v>92</v>
      </c>
      <c r="F2174" s="154" t="s">
        <v>1959</v>
      </c>
      <c r="G2174" s="36" t="s">
        <v>32</v>
      </c>
      <c r="H2174" s="36" t="s">
        <v>1655</v>
      </c>
      <c r="I2174" s="36" t="s">
        <v>1656</v>
      </c>
      <c r="J2174" s="36" t="s">
        <v>1656</v>
      </c>
      <c r="K2174" s="36" t="s">
        <v>1678</v>
      </c>
      <c r="L2174" s="36" t="s">
        <v>5325</v>
      </c>
      <c r="M2174" s="36" t="s">
        <v>5325</v>
      </c>
      <c r="N2174" s="36" t="s">
        <v>32</v>
      </c>
    </row>
    <row r="2175">
      <c r="A2175" s="36" t="s">
        <v>5440</v>
      </c>
      <c r="B2175" s="154" t="s">
        <v>5441</v>
      </c>
      <c r="C2175" s="36" t="s">
        <v>1666</v>
      </c>
      <c r="D2175" s="36" t="s">
        <v>92</v>
      </c>
      <c r="E2175" s="36" t="s">
        <v>92</v>
      </c>
      <c r="F2175" s="154" t="s">
        <v>5442</v>
      </c>
      <c r="G2175" s="36" t="s">
        <v>32</v>
      </c>
      <c r="H2175" s="36" t="s">
        <v>1655</v>
      </c>
      <c r="I2175" s="36" t="s">
        <v>1656</v>
      </c>
      <c r="J2175" s="36" t="s">
        <v>1656</v>
      </c>
      <c r="K2175" s="36" t="s">
        <v>1681</v>
      </c>
      <c r="L2175" s="36" t="s">
        <v>5325</v>
      </c>
      <c r="M2175" s="36" t="s">
        <v>5325</v>
      </c>
      <c r="N2175" s="36" t="s">
        <v>32</v>
      </c>
    </row>
    <row r="2176">
      <c r="A2176" s="36" t="s">
        <v>5443</v>
      </c>
      <c r="B2176" s="154" t="s">
        <v>5441</v>
      </c>
      <c r="C2176" s="36" t="s">
        <v>1666</v>
      </c>
      <c r="D2176" s="36" t="s">
        <v>92</v>
      </c>
      <c r="E2176" s="36" t="s">
        <v>92</v>
      </c>
      <c r="F2176" s="154" t="s">
        <v>1729</v>
      </c>
      <c r="G2176" s="36" t="s">
        <v>32</v>
      </c>
      <c r="H2176" s="36" t="s">
        <v>1655</v>
      </c>
      <c r="I2176" s="36" t="s">
        <v>1656</v>
      </c>
      <c r="J2176" s="36" t="s">
        <v>1656</v>
      </c>
      <c r="K2176" s="36" t="s">
        <v>1684</v>
      </c>
      <c r="L2176" s="36" t="s">
        <v>5325</v>
      </c>
      <c r="M2176" s="36" t="s">
        <v>5325</v>
      </c>
      <c r="N2176" s="36" t="s">
        <v>32</v>
      </c>
    </row>
    <row r="2177">
      <c r="A2177" s="36" t="s">
        <v>5444</v>
      </c>
      <c r="B2177" s="154" t="s">
        <v>5441</v>
      </c>
      <c r="C2177" s="36" t="s">
        <v>1666</v>
      </c>
      <c r="D2177" s="36" t="s">
        <v>92</v>
      </c>
      <c r="E2177" s="36" t="s">
        <v>92</v>
      </c>
      <c r="F2177" s="154" t="s">
        <v>1686</v>
      </c>
      <c r="G2177" s="36" t="s">
        <v>32</v>
      </c>
      <c r="H2177" s="36" t="s">
        <v>1655</v>
      </c>
      <c r="I2177" s="36" t="s">
        <v>1656</v>
      </c>
      <c r="J2177" s="36" t="s">
        <v>1656</v>
      </c>
      <c r="K2177" s="36" t="s">
        <v>1691</v>
      </c>
      <c r="L2177" s="36" t="s">
        <v>5325</v>
      </c>
      <c r="M2177" s="36" t="s">
        <v>5325</v>
      </c>
      <c r="N2177" s="36" t="s">
        <v>32</v>
      </c>
    </row>
    <row r="2178">
      <c r="A2178" s="36" t="s">
        <v>5445</v>
      </c>
      <c r="B2178" s="154" t="s">
        <v>5446</v>
      </c>
      <c r="C2178" s="36" t="s">
        <v>1666</v>
      </c>
      <c r="D2178" s="36" t="s">
        <v>92</v>
      </c>
      <c r="E2178" s="36" t="s">
        <v>92</v>
      </c>
      <c r="F2178" s="154" t="s">
        <v>1874</v>
      </c>
      <c r="G2178" s="36" t="s">
        <v>32</v>
      </c>
      <c r="H2178" s="36" t="s">
        <v>1655</v>
      </c>
      <c r="I2178" s="36" t="s">
        <v>1656</v>
      </c>
      <c r="J2178" s="36" t="s">
        <v>1656</v>
      </c>
      <c r="K2178" s="36" t="s">
        <v>1695</v>
      </c>
      <c r="L2178" s="36" t="s">
        <v>5325</v>
      </c>
      <c r="M2178" s="36" t="s">
        <v>5325</v>
      </c>
      <c r="N2178" s="36" t="s">
        <v>32</v>
      </c>
    </row>
    <row r="2179">
      <c r="A2179" s="36" t="s">
        <v>5447</v>
      </c>
      <c r="B2179" s="154" t="s">
        <v>5448</v>
      </c>
      <c r="C2179" s="36" t="s">
        <v>1666</v>
      </c>
      <c r="D2179" s="36" t="s">
        <v>66</v>
      </c>
      <c r="E2179" s="36" t="s">
        <v>66</v>
      </c>
      <c r="F2179" s="154" t="s">
        <v>5256</v>
      </c>
      <c r="G2179" s="36" t="s">
        <v>28</v>
      </c>
      <c r="H2179" s="36" t="s">
        <v>1655</v>
      </c>
      <c r="I2179" s="36" t="s">
        <v>1656</v>
      </c>
      <c r="J2179" s="36" t="s">
        <v>1656</v>
      </c>
      <c r="K2179" s="36" t="s">
        <v>1721</v>
      </c>
      <c r="L2179" s="36" t="s">
        <v>5325</v>
      </c>
      <c r="M2179" s="36" t="s">
        <v>5325</v>
      </c>
      <c r="N2179" s="36" t="s">
        <v>32</v>
      </c>
    </row>
    <row r="2180">
      <c r="A2180" s="36" t="s">
        <v>5449</v>
      </c>
      <c r="B2180" s="154" t="s">
        <v>5448</v>
      </c>
      <c r="C2180" s="36" t="s">
        <v>1666</v>
      </c>
      <c r="D2180" s="36" t="s">
        <v>121</v>
      </c>
      <c r="E2180" s="36" t="s">
        <v>121</v>
      </c>
      <c r="F2180" s="154" t="s">
        <v>5450</v>
      </c>
      <c r="G2180" s="36" t="s">
        <v>28</v>
      </c>
      <c r="H2180" s="36" t="s">
        <v>1655</v>
      </c>
      <c r="I2180" s="36" t="s">
        <v>1656</v>
      </c>
      <c r="J2180" s="36" t="s">
        <v>1656</v>
      </c>
      <c r="K2180" s="36" t="s">
        <v>1698</v>
      </c>
      <c r="L2180" s="36" t="s">
        <v>5325</v>
      </c>
      <c r="M2180" s="36" t="s">
        <v>5325</v>
      </c>
      <c r="N2180" s="36" t="s">
        <v>32</v>
      </c>
    </row>
    <row r="2181">
      <c r="A2181" s="36" t="s">
        <v>5451</v>
      </c>
      <c r="B2181" s="154" t="s">
        <v>5448</v>
      </c>
      <c r="C2181" s="36" t="s">
        <v>1666</v>
      </c>
      <c r="D2181" s="36" t="s">
        <v>122</v>
      </c>
      <c r="E2181" s="36" t="s">
        <v>122</v>
      </c>
      <c r="F2181" s="154" t="s">
        <v>5452</v>
      </c>
      <c r="G2181" s="36" t="s">
        <v>32</v>
      </c>
      <c r="H2181" s="36" t="s">
        <v>1655</v>
      </c>
      <c r="I2181" s="36" t="s">
        <v>1656</v>
      </c>
      <c r="J2181" s="36" t="s">
        <v>1656</v>
      </c>
      <c r="K2181" s="36" t="s">
        <v>1701</v>
      </c>
      <c r="L2181" s="36" t="s">
        <v>5325</v>
      </c>
      <c r="M2181" s="36" t="s">
        <v>5325</v>
      </c>
      <c r="N2181" s="36" t="s">
        <v>32</v>
      </c>
    </row>
    <row r="2182">
      <c r="A2182" s="36" t="s">
        <v>5453</v>
      </c>
      <c r="B2182" s="154" t="s">
        <v>5454</v>
      </c>
      <c r="C2182" s="36" t="s">
        <v>1666</v>
      </c>
      <c r="D2182" s="36" t="s">
        <v>224</v>
      </c>
      <c r="E2182" s="36" t="s">
        <v>224</v>
      </c>
      <c r="F2182" s="154" t="s">
        <v>5455</v>
      </c>
      <c r="G2182" s="36" t="s">
        <v>28</v>
      </c>
      <c r="H2182" s="36" t="s">
        <v>1655</v>
      </c>
      <c r="I2182" s="36" t="s">
        <v>1656</v>
      </c>
      <c r="J2182" s="36" t="s">
        <v>1656</v>
      </c>
      <c r="K2182" s="36" t="s">
        <v>1704</v>
      </c>
      <c r="L2182" s="36" t="s">
        <v>5325</v>
      </c>
      <c r="M2182" s="36" t="s">
        <v>5325</v>
      </c>
      <c r="N2182" s="36" t="s">
        <v>32</v>
      </c>
    </row>
    <row r="2183">
      <c r="A2183" s="36" t="s">
        <v>5456</v>
      </c>
      <c r="B2183" s="154" t="s">
        <v>5457</v>
      </c>
      <c r="C2183" s="36" t="s">
        <v>1653</v>
      </c>
      <c r="D2183" s="36" t="s">
        <v>55</v>
      </c>
      <c r="E2183" s="36" t="s">
        <v>39</v>
      </c>
      <c r="F2183" s="154" t="s">
        <v>5458</v>
      </c>
      <c r="G2183" s="36" t="s">
        <v>32</v>
      </c>
      <c r="H2183" s="36" t="s">
        <v>1655</v>
      </c>
      <c r="I2183" s="36" t="s">
        <v>1656</v>
      </c>
      <c r="J2183" s="36" t="s">
        <v>1656</v>
      </c>
      <c r="K2183" s="36" t="s">
        <v>1989</v>
      </c>
      <c r="L2183" s="36" t="s">
        <v>5321</v>
      </c>
      <c r="M2183" s="36" t="s">
        <v>5321</v>
      </c>
      <c r="N2183" s="36" t="s">
        <v>32</v>
      </c>
    </row>
    <row r="2184">
      <c r="A2184" s="36" t="s">
        <v>5459</v>
      </c>
      <c r="B2184" s="154" t="s">
        <v>5457</v>
      </c>
      <c r="C2184" s="36" t="s">
        <v>1666</v>
      </c>
      <c r="D2184" s="36" t="s">
        <v>71</v>
      </c>
      <c r="E2184" s="36" t="s">
        <v>71</v>
      </c>
      <c r="F2184" s="154" t="s">
        <v>5460</v>
      </c>
      <c r="G2184" s="36" t="s">
        <v>32</v>
      </c>
      <c r="H2184" s="36" t="s">
        <v>1655</v>
      </c>
      <c r="I2184" s="36" t="s">
        <v>1656</v>
      </c>
      <c r="J2184" s="36" t="s">
        <v>1656</v>
      </c>
      <c r="K2184" s="36" t="s">
        <v>1752</v>
      </c>
      <c r="L2184" s="36" t="s">
        <v>5325</v>
      </c>
      <c r="M2184" s="36" t="s">
        <v>5325</v>
      </c>
      <c r="N2184" s="36" t="s">
        <v>32</v>
      </c>
    </row>
    <row r="2185">
      <c r="A2185" s="36" t="s">
        <v>5461</v>
      </c>
      <c r="B2185" s="154" t="s">
        <v>5457</v>
      </c>
      <c r="C2185" s="36" t="s">
        <v>1666</v>
      </c>
      <c r="D2185" s="36" t="s">
        <v>73</v>
      </c>
      <c r="E2185" s="36" t="s">
        <v>73</v>
      </c>
      <c r="F2185" s="154" t="s">
        <v>5462</v>
      </c>
      <c r="G2185" s="36" t="s">
        <v>28</v>
      </c>
      <c r="H2185" s="36" t="s">
        <v>1655</v>
      </c>
      <c r="I2185" s="36" t="s">
        <v>1656</v>
      </c>
      <c r="J2185" s="36" t="s">
        <v>1656</v>
      </c>
      <c r="K2185" s="36" t="s">
        <v>1755</v>
      </c>
      <c r="L2185" s="36" t="s">
        <v>5325</v>
      </c>
      <c r="M2185" s="36" t="s">
        <v>5325</v>
      </c>
      <c r="N2185" s="36" t="s">
        <v>32</v>
      </c>
    </row>
    <row r="2186">
      <c r="A2186" s="36" t="s">
        <v>5463</v>
      </c>
      <c r="B2186" s="154" t="s">
        <v>5457</v>
      </c>
      <c r="C2186" s="36" t="s">
        <v>1666</v>
      </c>
      <c r="D2186" s="36" t="s">
        <v>74</v>
      </c>
      <c r="E2186" s="36" t="s">
        <v>74</v>
      </c>
      <c r="F2186" s="154" t="s">
        <v>5464</v>
      </c>
      <c r="G2186" s="36" t="s">
        <v>32</v>
      </c>
      <c r="H2186" s="36" t="s">
        <v>1655</v>
      </c>
      <c r="I2186" s="36" t="s">
        <v>1656</v>
      </c>
      <c r="J2186" s="36" t="s">
        <v>1656</v>
      </c>
      <c r="K2186" s="36" t="s">
        <v>1757</v>
      </c>
      <c r="L2186" s="36" t="s">
        <v>5325</v>
      </c>
      <c r="M2186" s="36" t="s">
        <v>5325</v>
      </c>
      <c r="N2186" s="36" t="s">
        <v>32</v>
      </c>
    </row>
    <row r="2187">
      <c r="A2187" s="36" t="s">
        <v>5465</v>
      </c>
      <c r="B2187" s="154" t="s">
        <v>5457</v>
      </c>
      <c r="C2187" s="36" t="s">
        <v>1666</v>
      </c>
      <c r="D2187" s="36" t="s">
        <v>75</v>
      </c>
      <c r="E2187" s="36" t="s">
        <v>75</v>
      </c>
      <c r="F2187" s="154" t="s">
        <v>5466</v>
      </c>
      <c r="G2187" s="36" t="s">
        <v>28</v>
      </c>
      <c r="H2187" s="36" t="s">
        <v>1655</v>
      </c>
      <c r="I2187" s="36" t="s">
        <v>1656</v>
      </c>
      <c r="J2187" s="36" t="s">
        <v>1656</v>
      </c>
      <c r="K2187" s="36" t="s">
        <v>1760</v>
      </c>
      <c r="L2187" s="36" t="s">
        <v>5325</v>
      </c>
      <c r="M2187" s="36" t="s">
        <v>5325</v>
      </c>
      <c r="N2187" s="36" t="s">
        <v>32</v>
      </c>
    </row>
    <row r="2188">
      <c r="A2188" s="36" t="s">
        <v>5467</v>
      </c>
      <c r="B2188" s="154" t="s">
        <v>5457</v>
      </c>
      <c r="C2188" s="36" t="s">
        <v>1666</v>
      </c>
      <c r="D2188" s="36" t="s">
        <v>76</v>
      </c>
      <c r="E2188" s="36" t="s">
        <v>76</v>
      </c>
      <c r="F2188" s="154" t="s">
        <v>5468</v>
      </c>
      <c r="G2188" s="36" t="s">
        <v>28</v>
      </c>
      <c r="H2188" s="36" t="s">
        <v>1655</v>
      </c>
      <c r="I2188" s="36" t="s">
        <v>1656</v>
      </c>
      <c r="J2188" s="36" t="s">
        <v>1656</v>
      </c>
      <c r="K2188" s="36" t="s">
        <v>1763</v>
      </c>
      <c r="L2188" s="36" t="s">
        <v>5325</v>
      </c>
      <c r="M2188" s="36" t="s">
        <v>5325</v>
      </c>
      <c r="N2188" s="36" t="s">
        <v>32</v>
      </c>
    </row>
    <row r="2189">
      <c r="A2189" s="36" t="s">
        <v>5469</v>
      </c>
      <c r="B2189" s="154" t="s">
        <v>5457</v>
      </c>
      <c r="C2189" s="36" t="s">
        <v>1666</v>
      </c>
      <c r="D2189" s="36" t="s">
        <v>712</v>
      </c>
      <c r="E2189" s="36" t="s">
        <v>712</v>
      </c>
      <c r="F2189" s="154" t="s">
        <v>5470</v>
      </c>
      <c r="G2189" s="36" t="s">
        <v>28</v>
      </c>
      <c r="H2189" s="36" t="s">
        <v>1655</v>
      </c>
      <c r="I2189" s="36" t="s">
        <v>1656</v>
      </c>
      <c r="J2189" s="36" t="s">
        <v>1656</v>
      </c>
      <c r="K2189" s="36" t="s">
        <v>1766</v>
      </c>
      <c r="L2189" s="36" t="s">
        <v>5325</v>
      </c>
      <c r="M2189" s="36" t="s">
        <v>5325</v>
      </c>
      <c r="N2189" s="36" t="s">
        <v>32</v>
      </c>
    </row>
    <row r="2190">
      <c r="A2190" s="36" t="s">
        <v>5471</v>
      </c>
      <c r="B2190" s="154" t="s">
        <v>5457</v>
      </c>
      <c r="C2190" s="36" t="s">
        <v>1666</v>
      </c>
      <c r="D2190" s="36" t="s">
        <v>77</v>
      </c>
      <c r="E2190" s="36" t="s">
        <v>77</v>
      </c>
      <c r="F2190" s="154" t="s">
        <v>1768</v>
      </c>
      <c r="G2190" s="36" t="s">
        <v>34</v>
      </c>
      <c r="H2190" s="36" t="s">
        <v>1655</v>
      </c>
      <c r="I2190" s="36" t="s">
        <v>1656</v>
      </c>
      <c r="J2190" s="36" t="s">
        <v>1656</v>
      </c>
      <c r="K2190" s="36" t="s">
        <v>4248</v>
      </c>
      <c r="L2190" s="36" t="s">
        <v>5325</v>
      </c>
      <c r="M2190" s="36" t="s">
        <v>5325</v>
      </c>
      <c r="N2190" s="36" t="s">
        <v>32</v>
      </c>
    </row>
    <row r="2191">
      <c r="A2191" s="36" t="s">
        <v>5472</v>
      </c>
      <c r="B2191" s="154" t="s">
        <v>5457</v>
      </c>
      <c r="C2191" s="36" t="s">
        <v>1666</v>
      </c>
      <c r="D2191" s="36" t="s">
        <v>295</v>
      </c>
      <c r="E2191" s="36" t="s">
        <v>295</v>
      </c>
      <c r="F2191" s="154" t="s">
        <v>1874</v>
      </c>
      <c r="G2191" s="36" t="s">
        <v>28</v>
      </c>
      <c r="H2191" s="36" t="s">
        <v>1655</v>
      </c>
      <c r="I2191" s="36" t="s">
        <v>1656</v>
      </c>
      <c r="J2191" s="36" t="s">
        <v>1656</v>
      </c>
      <c r="K2191" s="36" t="s">
        <v>1711</v>
      </c>
      <c r="L2191" s="36" t="s">
        <v>5325</v>
      </c>
      <c r="M2191" s="36" t="s">
        <v>5325</v>
      </c>
      <c r="N2191" s="36" t="s">
        <v>32</v>
      </c>
    </row>
    <row r="2192">
      <c r="A2192" s="36" t="s">
        <v>5473</v>
      </c>
      <c r="B2192" s="154" t="s">
        <v>5457</v>
      </c>
      <c r="C2192" s="36" t="s">
        <v>1666</v>
      </c>
      <c r="D2192" s="36" t="s">
        <v>115</v>
      </c>
      <c r="E2192" s="36" t="s">
        <v>115</v>
      </c>
      <c r="F2192" s="154" t="s">
        <v>1683</v>
      </c>
      <c r="G2192" s="36" t="s">
        <v>32</v>
      </c>
      <c r="H2192" s="36" t="s">
        <v>1655</v>
      </c>
      <c r="I2192" s="36" t="s">
        <v>1656</v>
      </c>
      <c r="J2192" s="36" t="s">
        <v>1656</v>
      </c>
      <c r="K2192" s="36" t="s">
        <v>1715</v>
      </c>
      <c r="L2192" s="36" t="s">
        <v>5325</v>
      </c>
      <c r="M2192" s="36" t="s">
        <v>5325</v>
      </c>
      <c r="N2192" s="36" t="s">
        <v>32</v>
      </c>
    </row>
    <row r="2193">
      <c r="A2193" s="36" t="s">
        <v>5474</v>
      </c>
      <c r="B2193" s="154" t="s">
        <v>5457</v>
      </c>
      <c r="C2193" s="36" t="s">
        <v>1666</v>
      </c>
      <c r="D2193" s="36" t="s">
        <v>114</v>
      </c>
      <c r="E2193" s="36" t="s">
        <v>114</v>
      </c>
      <c r="F2193" s="154" t="s">
        <v>5475</v>
      </c>
      <c r="G2193" s="36" t="s">
        <v>32</v>
      </c>
      <c r="H2193" s="36" t="s">
        <v>1655</v>
      </c>
      <c r="I2193" s="36" t="s">
        <v>1656</v>
      </c>
      <c r="J2193" s="36" t="s">
        <v>1656</v>
      </c>
      <c r="K2193" s="36" t="s">
        <v>1717</v>
      </c>
      <c r="L2193" s="36" t="s">
        <v>5325</v>
      </c>
      <c r="M2193" s="36" t="s">
        <v>5325</v>
      </c>
      <c r="N2193" s="36" t="s">
        <v>32</v>
      </c>
    </row>
    <row r="2194">
      <c r="A2194" s="36" t="s">
        <v>5476</v>
      </c>
      <c r="B2194" s="154" t="s">
        <v>5457</v>
      </c>
      <c r="C2194" s="36" t="s">
        <v>1666</v>
      </c>
      <c r="D2194" s="36" t="s">
        <v>99</v>
      </c>
      <c r="E2194" s="36" t="s">
        <v>99</v>
      </c>
      <c r="F2194" s="154" t="s">
        <v>5477</v>
      </c>
      <c r="G2194" s="36" t="s">
        <v>32</v>
      </c>
      <c r="H2194" s="36" t="s">
        <v>1655</v>
      </c>
      <c r="I2194" s="36" t="s">
        <v>1656</v>
      </c>
      <c r="J2194" s="36" t="s">
        <v>1656</v>
      </c>
      <c r="K2194" s="36" t="s">
        <v>1724</v>
      </c>
      <c r="L2194" s="36" t="s">
        <v>5325</v>
      </c>
      <c r="M2194" s="36" t="s">
        <v>5325</v>
      </c>
      <c r="N2194" s="36" t="s">
        <v>32</v>
      </c>
    </row>
    <row r="2195">
      <c r="A2195" s="36" t="s">
        <v>5478</v>
      </c>
      <c r="B2195" s="154" t="s">
        <v>5457</v>
      </c>
      <c r="C2195" s="36" t="s">
        <v>1666</v>
      </c>
      <c r="D2195" s="36" t="s">
        <v>101</v>
      </c>
      <c r="E2195" s="36" t="s">
        <v>101</v>
      </c>
      <c r="F2195" s="154" t="s">
        <v>5479</v>
      </c>
      <c r="G2195" s="36" t="s">
        <v>28</v>
      </c>
      <c r="H2195" s="36" t="s">
        <v>1655</v>
      </c>
      <c r="I2195" s="36" t="s">
        <v>1656</v>
      </c>
      <c r="J2195" s="36" t="s">
        <v>1656</v>
      </c>
      <c r="K2195" s="36" t="s">
        <v>1727</v>
      </c>
      <c r="L2195" s="36" t="s">
        <v>5325</v>
      </c>
      <c r="M2195" s="36" t="s">
        <v>5325</v>
      </c>
      <c r="N2195" s="36" t="s">
        <v>32</v>
      </c>
    </row>
    <row r="2196">
      <c r="A2196" s="36" t="s">
        <v>5480</v>
      </c>
      <c r="B2196" s="154" t="s">
        <v>5481</v>
      </c>
      <c r="C2196" s="36" t="s">
        <v>1666</v>
      </c>
      <c r="D2196" s="36" t="s">
        <v>641</v>
      </c>
      <c r="E2196" s="36" t="s">
        <v>641</v>
      </c>
      <c r="F2196" s="154" t="s">
        <v>2163</v>
      </c>
      <c r="G2196" s="36" t="s">
        <v>28</v>
      </c>
      <c r="H2196" s="36" t="s">
        <v>1655</v>
      </c>
      <c r="I2196" s="36" t="s">
        <v>1656</v>
      </c>
      <c r="J2196" s="36" t="s">
        <v>1656</v>
      </c>
      <c r="K2196" s="36" t="s">
        <v>1730</v>
      </c>
      <c r="L2196" s="36" t="s">
        <v>5325</v>
      </c>
      <c r="M2196" s="36" t="s">
        <v>5325</v>
      </c>
      <c r="N2196" s="36" t="s">
        <v>34</v>
      </c>
    </row>
    <row r="2197">
      <c r="A2197" s="36" t="s">
        <v>5482</v>
      </c>
      <c r="B2197" s="154" t="s">
        <v>5481</v>
      </c>
      <c r="C2197" s="36" t="s">
        <v>1666</v>
      </c>
      <c r="D2197" s="36" t="s">
        <v>788</v>
      </c>
      <c r="E2197" s="36" t="s">
        <v>788</v>
      </c>
      <c r="F2197" s="154" t="s">
        <v>1729</v>
      </c>
      <c r="G2197" s="36" t="s">
        <v>28</v>
      </c>
      <c r="H2197" s="36" t="s">
        <v>1655</v>
      </c>
      <c r="I2197" s="36" t="s">
        <v>1656</v>
      </c>
      <c r="J2197" s="36" t="s">
        <v>1656</v>
      </c>
      <c r="K2197" s="36" t="s">
        <v>1732</v>
      </c>
      <c r="L2197" s="36" t="s">
        <v>5325</v>
      </c>
      <c r="M2197" s="36" t="s">
        <v>5325</v>
      </c>
      <c r="N2197" s="36" t="s">
        <v>34</v>
      </c>
    </row>
    <row r="2198">
      <c r="A2198" s="36" t="s">
        <v>5483</v>
      </c>
      <c r="B2198" s="154" t="s">
        <v>5484</v>
      </c>
      <c r="C2198" s="36" t="s">
        <v>1653</v>
      </c>
      <c r="D2198" s="36" t="s">
        <v>169</v>
      </c>
      <c r="E2198" s="36" t="s">
        <v>39</v>
      </c>
      <c r="F2198" s="154" t="s">
        <v>5485</v>
      </c>
      <c r="G2198" s="36" t="s">
        <v>32</v>
      </c>
      <c r="H2198" s="36" t="s">
        <v>1655</v>
      </c>
      <c r="I2198" s="36" t="s">
        <v>1656</v>
      </c>
      <c r="J2198" s="36" t="s">
        <v>1656</v>
      </c>
      <c r="K2198" s="36" t="s">
        <v>1749</v>
      </c>
      <c r="L2198" s="36" t="s">
        <v>5321</v>
      </c>
      <c r="M2198" s="36" t="s">
        <v>5321</v>
      </c>
      <c r="N2198" s="36" t="s">
        <v>32</v>
      </c>
    </row>
    <row r="2199">
      <c r="A2199" s="36" t="s">
        <v>5486</v>
      </c>
      <c r="B2199" s="154" t="s">
        <v>5484</v>
      </c>
      <c r="C2199" s="36" t="s">
        <v>1653</v>
      </c>
      <c r="D2199" s="36" t="s">
        <v>703</v>
      </c>
      <c r="E2199" s="36" t="s">
        <v>39</v>
      </c>
      <c r="F2199" s="154" t="s">
        <v>1768</v>
      </c>
      <c r="G2199" s="36" t="s">
        <v>32</v>
      </c>
      <c r="H2199" s="36" t="s">
        <v>1655</v>
      </c>
      <c r="I2199" s="36" t="s">
        <v>1656</v>
      </c>
      <c r="J2199" s="36" t="s">
        <v>1656</v>
      </c>
      <c r="K2199" s="36" t="s">
        <v>1978</v>
      </c>
      <c r="L2199" s="36" t="s">
        <v>5321</v>
      </c>
      <c r="M2199" s="36" t="s">
        <v>5321</v>
      </c>
      <c r="N2199" s="36" t="s">
        <v>32</v>
      </c>
    </row>
    <row r="2200">
      <c r="A2200" s="36" t="s">
        <v>5487</v>
      </c>
      <c r="B2200" s="154" t="s">
        <v>5484</v>
      </c>
      <c r="C2200" s="36" t="s">
        <v>1666</v>
      </c>
      <c r="D2200" s="36" t="s">
        <v>761</v>
      </c>
      <c r="E2200" s="36" t="s">
        <v>761</v>
      </c>
      <c r="F2200" s="154" t="s">
        <v>2555</v>
      </c>
      <c r="G2200" s="36" t="s">
        <v>32</v>
      </c>
      <c r="H2200" s="36" t="s">
        <v>1655</v>
      </c>
      <c r="I2200" s="36" t="s">
        <v>1656</v>
      </c>
      <c r="J2200" s="36" t="s">
        <v>1656</v>
      </c>
      <c r="K2200" s="36" t="s">
        <v>1736</v>
      </c>
      <c r="L2200" s="36" t="s">
        <v>5325</v>
      </c>
      <c r="M2200" s="36" t="s">
        <v>5325</v>
      </c>
      <c r="N2200" s="36" t="s">
        <v>32</v>
      </c>
    </row>
    <row r="2201">
      <c r="A2201" s="36" t="s">
        <v>5488</v>
      </c>
      <c r="B2201" s="154" t="s">
        <v>5484</v>
      </c>
      <c r="C2201" s="36" t="s">
        <v>1666</v>
      </c>
      <c r="D2201" s="36" t="s">
        <v>797</v>
      </c>
      <c r="E2201" s="36" t="s">
        <v>797</v>
      </c>
      <c r="F2201" s="154" t="s">
        <v>1686</v>
      </c>
      <c r="G2201" s="36" t="s">
        <v>32</v>
      </c>
      <c r="H2201" s="36" t="s">
        <v>1655</v>
      </c>
      <c r="I2201" s="36" t="s">
        <v>1656</v>
      </c>
      <c r="J2201" s="36" t="s">
        <v>1656</v>
      </c>
      <c r="K2201" s="36" t="s">
        <v>1739</v>
      </c>
      <c r="L2201" s="36" t="s">
        <v>5325</v>
      </c>
      <c r="M2201" s="36" t="s">
        <v>5325</v>
      </c>
      <c r="N2201" s="36" t="s">
        <v>32</v>
      </c>
    </row>
    <row r="2202">
      <c r="A2202" s="36" t="s">
        <v>5489</v>
      </c>
      <c r="B2202" s="154" t="s">
        <v>5490</v>
      </c>
      <c r="C2202" s="36" t="s">
        <v>1666</v>
      </c>
      <c r="D2202" s="36" t="s">
        <v>804</v>
      </c>
      <c r="E2202" s="36" t="s">
        <v>804</v>
      </c>
      <c r="F2202" s="154" t="s">
        <v>5491</v>
      </c>
      <c r="G2202" s="36" t="s">
        <v>32</v>
      </c>
      <c r="H2202" s="36" t="s">
        <v>1655</v>
      </c>
      <c r="I2202" s="36" t="s">
        <v>1656</v>
      </c>
      <c r="J2202" s="36" t="s">
        <v>1656</v>
      </c>
      <c r="K2202" s="36" t="s">
        <v>1742</v>
      </c>
      <c r="L2202" s="36" t="s">
        <v>5325</v>
      </c>
      <c r="M2202" s="36" t="s">
        <v>5325</v>
      </c>
      <c r="N2202" s="36" t="s">
        <v>32</v>
      </c>
    </row>
    <row r="2203">
      <c r="A2203" s="36" t="s">
        <v>5492</v>
      </c>
      <c r="B2203" s="154" t="s">
        <v>5493</v>
      </c>
      <c r="C2203" s="36" t="s">
        <v>1666</v>
      </c>
      <c r="D2203" s="36" t="s">
        <v>618</v>
      </c>
      <c r="E2203" s="36" t="s">
        <v>618</v>
      </c>
      <c r="F2203" s="154" t="s">
        <v>1686</v>
      </c>
      <c r="G2203" s="36" t="s">
        <v>28</v>
      </c>
      <c r="H2203" s="36" t="s">
        <v>1655</v>
      </c>
      <c r="I2203" s="36" t="s">
        <v>1656</v>
      </c>
      <c r="J2203" s="36" t="s">
        <v>1656</v>
      </c>
      <c r="K2203" s="36" t="s">
        <v>1745</v>
      </c>
      <c r="L2203" s="36" t="s">
        <v>5325</v>
      </c>
      <c r="M2203" s="36" t="s">
        <v>5325</v>
      </c>
      <c r="N2203" s="36" t="s">
        <v>34</v>
      </c>
    </row>
    <row r="2204">
      <c r="A2204" s="36" t="s">
        <v>5494</v>
      </c>
      <c r="B2204" s="154" t="s">
        <v>5493</v>
      </c>
      <c r="C2204" s="36" t="s">
        <v>1666</v>
      </c>
      <c r="D2204" s="36" t="s">
        <v>239</v>
      </c>
      <c r="E2204" s="36" t="s">
        <v>239</v>
      </c>
      <c r="F2204" s="154" t="s">
        <v>3852</v>
      </c>
      <c r="G2204" s="36" t="s">
        <v>28</v>
      </c>
      <c r="H2204" s="36" t="s">
        <v>1655</v>
      </c>
      <c r="I2204" s="36" t="s">
        <v>1656</v>
      </c>
      <c r="J2204" s="36" t="s">
        <v>1656</v>
      </c>
      <c r="K2204" s="36" t="s">
        <v>1773</v>
      </c>
      <c r="L2204" s="36" t="s">
        <v>5325</v>
      </c>
      <c r="M2204" s="36" t="s">
        <v>5325</v>
      </c>
      <c r="N2204" s="36" t="s">
        <v>34</v>
      </c>
    </row>
    <row r="2205">
      <c r="A2205" s="36" t="s">
        <v>5495</v>
      </c>
      <c r="B2205" s="154" t="s">
        <v>5493</v>
      </c>
      <c r="C2205" s="36" t="s">
        <v>1666</v>
      </c>
      <c r="D2205" s="36" t="s">
        <v>813</v>
      </c>
      <c r="E2205" s="36" t="s">
        <v>813</v>
      </c>
      <c r="F2205" s="154" t="s">
        <v>3972</v>
      </c>
      <c r="G2205" s="36" t="s">
        <v>28</v>
      </c>
      <c r="H2205" s="36" t="s">
        <v>1655</v>
      </c>
      <c r="I2205" s="36" t="s">
        <v>1656</v>
      </c>
      <c r="J2205" s="36" t="s">
        <v>1656</v>
      </c>
      <c r="K2205" s="36" t="s">
        <v>1776</v>
      </c>
      <c r="L2205" s="36" t="s">
        <v>5325</v>
      </c>
      <c r="M2205" s="36" t="s">
        <v>5325</v>
      </c>
      <c r="N2205" s="36" t="s">
        <v>34</v>
      </c>
    </row>
    <row r="2206">
      <c r="A2206" s="36" t="s">
        <v>5496</v>
      </c>
      <c r="B2206" s="154" t="s">
        <v>5497</v>
      </c>
      <c r="C2206" s="36" t="s">
        <v>1666</v>
      </c>
      <c r="D2206" s="36" t="s">
        <v>100</v>
      </c>
      <c r="E2206" s="36" t="s">
        <v>100</v>
      </c>
      <c r="F2206" s="154" t="s">
        <v>2325</v>
      </c>
      <c r="G2206" s="36" t="s">
        <v>32</v>
      </c>
      <c r="H2206" s="36" t="s">
        <v>1655</v>
      </c>
      <c r="I2206" s="36" t="s">
        <v>1656</v>
      </c>
      <c r="J2206" s="36" t="s">
        <v>1656</v>
      </c>
      <c r="K2206" s="36" t="s">
        <v>1779</v>
      </c>
      <c r="L2206" s="36" t="s">
        <v>5325</v>
      </c>
      <c r="M2206" s="36" t="s">
        <v>5325</v>
      </c>
      <c r="N2206" s="36" t="s">
        <v>32</v>
      </c>
    </row>
    <row r="2207">
      <c r="A2207" s="36" t="s">
        <v>5498</v>
      </c>
      <c r="B2207" s="154" t="s">
        <v>5497</v>
      </c>
      <c r="C2207" s="36" t="s">
        <v>1666</v>
      </c>
      <c r="D2207" s="36" t="s">
        <v>684</v>
      </c>
      <c r="E2207" s="36" t="s">
        <v>684</v>
      </c>
      <c r="F2207" s="154" t="s">
        <v>2728</v>
      </c>
      <c r="G2207" s="36" t="s">
        <v>28</v>
      </c>
      <c r="H2207" s="36" t="s">
        <v>1655</v>
      </c>
      <c r="I2207" s="36" t="s">
        <v>1656</v>
      </c>
      <c r="J2207" s="36" t="s">
        <v>1656</v>
      </c>
      <c r="K2207" s="36" t="s">
        <v>1782</v>
      </c>
      <c r="L2207" s="36" t="s">
        <v>5325</v>
      </c>
      <c r="M2207" s="36" t="s">
        <v>5325</v>
      </c>
      <c r="N2207" s="36" t="s">
        <v>34</v>
      </c>
    </row>
    <row r="2208">
      <c r="A2208" s="36" t="s">
        <v>5499</v>
      </c>
      <c r="B2208" s="154" t="s">
        <v>5500</v>
      </c>
      <c r="C2208" s="36" t="s">
        <v>1666</v>
      </c>
      <c r="D2208" s="36" t="s">
        <v>824</v>
      </c>
      <c r="E2208" s="36" t="s">
        <v>824</v>
      </c>
      <c r="F2208" s="154" t="s">
        <v>5501</v>
      </c>
      <c r="G2208" s="36" t="s">
        <v>32</v>
      </c>
      <c r="H2208" s="36" t="s">
        <v>1655</v>
      </c>
      <c r="I2208" s="36" t="s">
        <v>1656</v>
      </c>
      <c r="J2208" s="36" t="s">
        <v>1656</v>
      </c>
      <c r="K2208" s="36" t="s">
        <v>1784</v>
      </c>
      <c r="L2208" s="36" t="s">
        <v>5325</v>
      </c>
      <c r="M2208" s="36" t="s">
        <v>5325</v>
      </c>
      <c r="N2208" s="36" t="s">
        <v>32</v>
      </c>
    </row>
    <row r="2209">
      <c r="A2209" s="36" t="s">
        <v>5502</v>
      </c>
      <c r="B2209" s="154" t="s">
        <v>5500</v>
      </c>
      <c r="C2209" s="36" t="s">
        <v>1666</v>
      </c>
      <c r="D2209" s="36" t="s">
        <v>618</v>
      </c>
      <c r="E2209" s="36" t="s">
        <v>618</v>
      </c>
      <c r="F2209" s="154" t="s">
        <v>1686</v>
      </c>
      <c r="G2209" s="36" t="s">
        <v>28</v>
      </c>
      <c r="H2209" s="36" t="s">
        <v>1655</v>
      </c>
      <c r="I2209" s="36" t="s">
        <v>1656</v>
      </c>
      <c r="J2209" s="36" t="s">
        <v>1656</v>
      </c>
      <c r="K2209" s="36" t="s">
        <v>1787</v>
      </c>
      <c r="L2209" s="36" t="s">
        <v>5325</v>
      </c>
      <c r="M2209" s="36" t="s">
        <v>5325</v>
      </c>
      <c r="N2209" s="36" t="s">
        <v>34</v>
      </c>
    </row>
    <row r="2210">
      <c r="A2210" s="36" t="s">
        <v>5503</v>
      </c>
      <c r="B2210" s="154" t="s">
        <v>5504</v>
      </c>
      <c r="C2210" s="36" t="s">
        <v>1666</v>
      </c>
      <c r="D2210" s="36" t="s">
        <v>618</v>
      </c>
      <c r="E2210" s="36" t="s">
        <v>618</v>
      </c>
      <c r="F2210" s="154" t="s">
        <v>2049</v>
      </c>
      <c r="G2210" s="36" t="s">
        <v>28</v>
      </c>
      <c r="H2210" s="36" t="s">
        <v>1655</v>
      </c>
      <c r="I2210" s="36" t="s">
        <v>1656</v>
      </c>
      <c r="J2210" s="36" t="s">
        <v>1656</v>
      </c>
      <c r="K2210" s="36" t="s">
        <v>1790</v>
      </c>
      <c r="L2210" s="36" t="s">
        <v>5325</v>
      </c>
      <c r="M2210" s="36" t="s">
        <v>5325</v>
      </c>
      <c r="N2210" s="36" t="s">
        <v>34</v>
      </c>
    </row>
    <row r="2211">
      <c r="A2211" s="36" t="s">
        <v>5505</v>
      </c>
      <c r="B2211" s="154" t="s">
        <v>5506</v>
      </c>
      <c r="C2211" s="36" t="s">
        <v>1666</v>
      </c>
      <c r="D2211" s="36" t="s">
        <v>81</v>
      </c>
      <c r="E2211" s="36" t="s">
        <v>81</v>
      </c>
      <c r="F2211" s="154" t="s">
        <v>5507</v>
      </c>
      <c r="G2211" s="36" t="s">
        <v>28</v>
      </c>
      <c r="H2211" s="36" t="s">
        <v>1655</v>
      </c>
      <c r="I2211" s="36" t="s">
        <v>1656</v>
      </c>
      <c r="J2211" s="36" t="s">
        <v>1656</v>
      </c>
      <c r="K2211" s="36" t="s">
        <v>4408</v>
      </c>
      <c r="L2211" s="36" t="s">
        <v>5325</v>
      </c>
      <c r="M2211" s="36" t="s">
        <v>5325</v>
      </c>
      <c r="N2211" s="36" t="s">
        <v>32</v>
      </c>
    </row>
    <row r="2212">
      <c r="A2212" s="36" t="s">
        <v>5508</v>
      </c>
      <c r="B2212" s="154" t="s">
        <v>5506</v>
      </c>
      <c r="C2212" s="36" t="s">
        <v>1666</v>
      </c>
      <c r="D2212" s="36" t="s">
        <v>83</v>
      </c>
      <c r="E2212" s="36" t="s">
        <v>83</v>
      </c>
      <c r="F2212" s="154" t="s">
        <v>5509</v>
      </c>
      <c r="G2212" s="36" t="s">
        <v>28</v>
      </c>
      <c r="H2212" s="36" t="s">
        <v>1655</v>
      </c>
      <c r="I2212" s="36" t="s">
        <v>1656</v>
      </c>
      <c r="J2212" s="36" t="s">
        <v>1656</v>
      </c>
      <c r="K2212" s="36" t="s">
        <v>3032</v>
      </c>
      <c r="L2212" s="36" t="s">
        <v>5325</v>
      </c>
      <c r="M2212" s="36" t="s">
        <v>5325</v>
      </c>
      <c r="N2212" s="36" t="s">
        <v>32</v>
      </c>
    </row>
    <row r="2213">
      <c r="A2213" s="36" t="s">
        <v>5510</v>
      </c>
      <c r="B2213" s="154" t="s">
        <v>5506</v>
      </c>
      <c r="C2213" s="36" t="s">
        <v>1666</v>
      </c>
      <c r="D2213" s="36" t="s">
        <v>84</v>
      </c>
      <c r="E2213" s="36" t="s">
        <v>84</v>
      </c>
      <c r="F2213" s="154" t="s">
        <v>5511</v>
      </c>
      <c r="G2213" s="36" t="s">
        <v>32</v>
      </c>
      <c r="H2213" s="36" t="s">
        <v>1655</v>
      </c>
      <c r="I2213" s="36" t="s">
        <v>1656</v>
      </c>
      <c r="J2213" s="36" t="s">
        <v>1656</v>
      </c>
      <c r="K2213" s="36" t="s">
        <v>3035</v>
      </c>
      <c r="L2213" s="36" t="s">
        <v>5325</v>
      </c>
      <c r="M2213" s="36" t="s">
        <v>5325</v>
      </c>
      <c r="N2213" s="36" t="s">
        <v>32</v>
      </c>
    </row>
    <row r="2214">
      <c r="A2214" s="36" t="s">
        <v>5512</v>
      </c>
      <c r="B2214" s="154" t="s">
        <v>5506</v>
      </c>
      <c r="C2214" s="36" t="s">
        <v>1666</v>
      </c>
      <c r="D2214" s="36" t="s">
        <v>130</v>
      </c>
      <c r="E2214" s="36" t="s">
        <v>130</v>
      </c>
      <c r="F2214" s="154" t="s">
        <v>1768</v>
      </c>
      <c r="G2214" s="36" t="s">
        <v>32</v>
      </c>
      <c r="H2214" s="36" t="s">
        <v>1655</v>
      </c>
      <c r="I2214" s="36" t="s">
        <v>1656</v>
      </c>
      <c r="J2214" s="36" t="s">
        <v>1656</v>
      </c>
      <c r="K2214" s="36" t="s">
        <v>1793</v>
      </c>
      <c r="L2214" s="36" t="s">
        <v>5325</v>
      </c>
      <c r="M2214" s="36" t="s">
        <v>5325</v>
      </c>
      <c r="N2214" s="36" t="s">
        <v>32</v>
      </c>
    </row>
    <row r="2215">
      <c r="A2215" s="36" t="s">
        <v>5513</v>
      </c>
      <c r="B2215" s="154" t="s">
        <v>5506</v>
      </c>
      <c r="C2215" s="36" t="s">
        <v>1666</v>
      </c>
      <c r="D2215" s="36" t="s">
        <v>288</v>
      </c>
      <c r="E2215" s="36" t="s">
        <v>288</v>
      </c>
      <c r="F2215" s="154" t="s">
        <v>2325</v>
      </c>
      <c r="G2215" s="36" t="s">
        <v>32</v>
      </c>
      <c r="H2215" s="36" t="s">
        <v>1655</v>
      </c>
      <c r="I2215" s="36" t="s">
        <v>1656</v>
      </c>
      <c r="J2215" s="36" t="s">
        <v>1656</v>
      </c>
      <c r="K2215" s="36" t="s">
        <v>1796</v>
      </c>
      <c r="L2215" s="36" t="s">
        <v>5325</v>
      </c>
      <c r="M2215" s="36" t="s">
        <v>5325</v>
      </c>
      <c r="N2215" s="36" t="s">
        <v>32</v>
      </c>
    </row>
    <row r="2216">
      <c r="A2216" s="36" t="s">
        <v>5514</v>
      </c>
      <c r="B2216" s="154" t="s">
        <v>5515</v>
      </c>
      <c r="C2216" s="36" t="s">
        <v>1666</v>
      </c>
      <c r="D2216" s="36" t="s">
        <v>85</v>
      </c>
      <c r="E2216" s="36" t="s">
        <v>85</v>
      </c>
      <c r="F2216" s="154" t="s">
        <v>5227</v>
      </c>
      <c r="G2216" s="36" t="s">
        <v>28</v>
      </c>
      <c r="H2216" s="36" t="s">
        <v>1655</v>
      </c>
      <c r="I2216" s="36" t="s">
        <v>1656</v>
      </c>
      <c r="J2216" s="36" t="s">
        <v>1656</v>
      </c>
      <c r="K2216" s="36" t="s">
        <v>3038</v>
      </c>
      <c r="L2216" s="36" t="s">
        <v>5325</v>
      </c>
      <c r="M2216" s="36" t="s">
        <v>5325</v>
      </c>
      <c r="N2216" s="36" t="s">
        <v>32</v>
      </c>
    </row>
    <row r="2217">
      <c r="A2217" s="36" t="s">
        <v>5516</v>
      </c>
      <c r="B2217" s="154" t="s">
        <v>5515</v>
      </c>
      <c r="C2217" s="36" t="s">
        <v>1666</v>
      </c>
      <c r="D2217" s="36" t="s">
        <v>719</v>
      </c>
      <c r="E2217" s="36" t="s">
        <v>719</v>
      </c>
      <c r="F2217" s="154" t="s">
        <v>4688</v>
      </c>
      <c r="G2217" s="36" t="s">
        <v>28</v>
      </c>
      <c r="H2217" s="36" t="s">
        <v>1655</v>
      </c>
      <c r="I2217" s="36" t="s">
        <v>1656</v>
      </c>
      <c r="J2217" s="36" t="s">
        <v>1656</v>
      </c>
      <c r="K2217" s="36" t="s">
        <v>2775</v>
      </c>
      <c r="L2217" s="36" t="s">
        <v>5325</v>
      </c>
      <c r="M2217" s="36" t="s">
        <v>5325</v>
      </c>
      <c r="N2217" s="36" t="s">
        <v>32</v>
      </c>
    </row>
    <row r="2218">
      <c r="A2218" s="36" t="s">
        <v>5517</v>
      </c>
      <c r="B2218" s="154" t="s">
        <v>5515</v>
      </c>
      <c r="C2218" s="36" t="s">
        <v>1666</v>
      </c>
      <c r="D2218" s="36" t="s">
        <v>305</v>
      </c>
      <c r="E2218" s="36" t="s">
        <v>305</v>
      </c>
      <c r="F2218" s="154" t="s">
        <v>1816</v>
      </c>
      <c r="G2218" s="36" t="s">
        <v>32</v>
      </c>
      <c r="H2218" s="36" t="s">
        <v>1655</v>
      </c>
      <c r="I2218" s="36" t="s">
        <v>1656</v>
      </c>
      <c r="J2218" s="36" t="s">
        <v>1656</v>
      </c>
      <c r="K2218" s="36" t="s">
        <v>1672</v>
      </c>
      <c r="L2218" s="36" t="s">
        <v>5325</v>
      </c>
      <c r="M2218" s="36" t="s">
        <v>5325</v>
      </c>
      <c r="N2218" s="36" t="s">
        <v>32</v>
      </c>
    </row>
    <row r="2219">
      <c r="A2219" s="36" t="s">
        <v>5518</v>
      </c>
      <c r="B2219" s="154" t="s">
        <v>5519</v>
      </c>
      <c r="C2219" s="36" t="s">
        <v>1653</v>
      </c>
      <c r="D2219" s="36" t="s">
        <v>699</v>
      </c>
      <c r="E2219" s="36" t="s">
        <v>39</v>
      </c>
      <c r="F2219" s="154" t="s">
        <v>1778</v>
      </c>
      <c r="G2219" s="36" t="s">
        <v>32</v>
      </c>
      <c r="H2219" s="36" t="s">
        <v>1655</v>
      </c>
      <c r="I2219" s="36" t="s">
        <v>1656</v>
      </c>
      <c r="J2219" s="36" t="s">
        <v>1656</v>
      </c>
      <c r="K2219" s="36" t="s">
        <v>1989</v>
      </c>
      <c r="L2219" s="36" t="s">
        <v>5321</v>
      </c>
      <c r="M2219" s="36" t="s">
        <v>5321</v>
      </c>
      <c r="N2219" s="36" t="s">
        <v>32</v>
      </c>
    </row>
    <row r="2220">
      <c r="A2220" s="36" t="s">
        <v>5520</v>
      </c>
      <c r="B2220" s="154" t="s">
        <v>5521</v>
      </c>
      <c r="C2220" s="36" t="s">
        <v>1666</v>
      </c>
      <c r="D2220" s="36" t="s">
        <v>78</v>
      </c>
      <c r="E2220" s="36" t="s">
        <v>78</v>
      </c>
      <c r="F2220" s="154" t="s">
        <v>2325</v>
      </c>
      <c r="G2220" s="36" t="s">
        <v>28</v>
      </c>
      <c r="H2220" s="36" t="s">
        <v>1655</v>
      </c>
      <c r="I2220" s="36" t="s">
        <v>1656</v>
      </c>
      <c r="J2220" s="36" t="s">
        <v>1656</v>
      </c>
      <c r="K2220" s="36" t="s">
        <v>1769</v>
      </c>
      <c r="L2220" s="36" t="s">
        <v>5325</v>
      </c>
      <c r="M2220" s="36" t="s">
        <v>5325</v>
      </c>
      <c r="N2220" s="36" t="s">
        <v>32</v>
      </c>
    </row>
    <row r="2221">
      <c r="A2221" s="36" t="s">
        <v>5522</v>
      </c>
      <c r="B2221" s="154" t="s">
        <v>5523</v>
      </c>
      <c r="C2221" s="36" t="s">
        <v>1666</v>
      </c>
      <c r="D2221" s="36" t="s">
        <v>63</v>
      </c>
      <c r="E2221" s="36" t="s">
        <v>63</v>
      </c>
      <c r="F2221" s="154" t="s">
        <v>5524</v>
      </c>
      <c r="G2221" s="36" t="s">
        <v>28</v>
      </c>
      <c r="H2221" s="36" t="s">
        <v>1655</v>
      </c>
      <c r="I2221" s="36" t="s">
        <v>1656</v>
      </c>
      <c r="J2221" s="36" t="s">
        <v>1656</v>
      </c>
      <c r="K2221" s="36" t="s">
        <v>4196</v>
      </c>
      <c r="L2221" s="36" t="s">
        <v>5325</v>
      </c>
      <c r="M2221" s="36" t="s">
        <v>5325</v>
      </c>
      <c r="N2221" s="36" t="s">
        <v>34</v>
      </c>
    </row>
    <row r="2222">
      <c r="A2222" s="36" t="s">
        <v>5525</v>
      </c>
      <c r="B2222" s="154" t="s">
        <v>5526</v>
      </c>
      <c r="C2222" s="36" t="s">
        <v>1666</v>
      </c>
      <c r="D2222" s="36" t="s">
        <v>64</v>
      </c>
      <c r="E2222" s="36" t="s">
        <v>64</v>
      </c>
      <c r="F2222" s="154" t="s">
        <v>4431</v>
      </c>
      <c r="G2222" s="36" t="s">
        <v>28</v>
      </c>
      <c r="H2222" s="36" t="s">
        <v>1655</v>
      </c>
      <c r="I2222" s="36" t="s">
        <v>1656</v>
      </c>
      <c r="J2222" s="36" t="s">
        <v>1656</v>
      </c>
      <c r="K2222" s="36" t="s">
        <v>1708</v>
      </c>
      <c r="L2222" s="36" t="s">
        <v>5325</v>
      </c>
      <c r="M2222" s="36" t="s">
        <v>5325</v>
      </c>
      <c r="N2222" s="36" t="s">
        <v>32</v>
      </c>
    </row>
    <row r="2223">
      <c r="A2223" s="36" t="s">
        <v>5527</v>
      </c>
      <c r="B2223" s="154" t="s">
        <v>5526</v>
      </c>
      <c r="C2223" s="36" t="s">
        <v>1666</v>
      </c>
      <c r="D2223" s="36" t="s">
        <v>100</v>
      </c>
      <c r="E2223" s="36" t="s">
        <v>100</v>
      </c>
      <c r="F2223" s="154" t="s">
        <v>1810</v>
      </c>
      <c r="G2223" s="36" t="s">
        <v>32</v>
      </c>
      <c r="H2223" s="36" t="s">
        <v>1655</v>
      </c>
      <c r="I2223" s="36" t="s">
        <v>1656</v>
      </c>
      <c r="J2223" s="36" t="s">
        <v>1656</v>
      </c>
      <c r="K2223" s="36" t="s">
        <v>1675</v>
      </c>
      <c r="L2223" s="36" t="s">
        <v>5325</v>
      </c>
      <c r="M2223" s="36" t="s">
        <v>5325</v>
      </c>
      <c r="N2223" s="36" t="s">
        <v>32</v>
      </c>
    </row>
    <row r="2224">
      <c r="A2224" s="36" t="s">
        <v>5528</v>
      </c>
      <c r="B2224" s="154" t="s">
        <v>5529</v>
      </c>
      <c r="C2224" s="36" t="s">
        <v>1666</v>
      </c>
      <c r="D2224" s="36" t="s">
        <v>121</v>
      </c>
      <c r="E2224" s="36" t="s">
        <v>121</v>
      </c>
      <c r="F2224" s="154" t="s">
        <v>5530</v>
      </c>
      <c r="G2224" s="36" t="s">
        <v>28</v>
      </c>
      <c r="H2224" s="36" t="s">
        <v>1655</v>
      </c>
      <c r="I2224" s="36" t="s">
        <v>1656</v>
      </c>
      <c r="J2224" s="36" t="s">
        <v>1656</v>
      </c>
      <c r="K2224" s="36" t="s">
        <v>1678</v>
      </c>
      <c r="L2224" s="36" t="s">
        <v>5325</v>
      </c>
      <c r="M2224" s="36" t="s">
        <v>5325</v>
      </c>
      <c r="N2224" s="36" t="s">
        <v>32</v>
      </c>
    </row>
    <row r="2225">
      <c r="A2225" s="36" t="s">
        <v>5531</v>
      </c>
      <c r="B2225" s="154" t="s">
        <v>5529</v>
      </c>
      <c r="C2225" s="36" t="s">
        <v>1666</v>
      </c>
      <c r="D2225" s="36" t="s">
        <v>122</v>
      </c>
      <c r="E2225" s="36" t="s">
        <v>122</v>
      </c>
      <c r="F2225" s="154" t="s">
        <v>5532</v>
      </c>
      <c r="G2225" s="36" t="s">
        <v>32</v>
      </c>
      <c r="H2225" s="36" t="s">
        <v>1655</v>
      </c>
      <c r="I2225" s="36" t="s">
        <v>1656</v>
      </c>
      <c r="J2225" s="36" t="s">
        <v>1656</v>
      </c>
      <c r="K2225" s="36" t="s">
        <v>1681</v>
      </c>
      <c r="L2225" s="36" t="s">
        <v>5325</v>
      </c>
      <c r="M2225" s="36" t="s">
        <v>5325</v>
      </c>
      <c r="N2225" s="36" t="s">
        <v>32</v>
      </c>
    </row>
    <row r="2226">
      <c r="A2226" s="36" t="s">
        <v>5533</v>
      </c>
      <c r="B2226" s="154" t="s">
        <v>5529</v>
      </c>
      <c r="C2226" s="36" t="s">
        <v>1666</v>
      </c>
      <c r="D2226" s="36" t="s">
        <v>745</v>
      </c>
      <c r="E2226" s="36" t="s">
        <v>745</v>
      </c>
      <c r="F2226" s="154" t="s">
        <v>2728</v>
      </c>
      <c r="G2226" s="36" t="s">
        <v>28</v>
      </c>
      <c r="H2226" s="36" t="s">
        <v>1655</v>
      </c>
      <c r="I2226" s="36" t="s">
        <v>1656</v>
      </c>
      <c r="J2226" s="36" t="s">
        <v>1656</v>
      </c>
      <c r="K2226" s="36" t="s">
        <v>1684</v>
      </c>
      <c r="L2226" s="36" t="s">
        <v>5325</v>
      </c>
      <c r="M2226" s="36" t="s">
        <v>5325</v>
      </c>
      <c r="N2226" s="36" t="s">
        <v>32</v>
      </c>
    </row>
    <row r="2227">
      <c r="A2227" s="36" t="s">
        <v>5534</v>
      </c>
      <c r="B2227" s="154" t="s">
        <v>5535</v>
      </c>
      <c r="C2227" s="36" t="s">
        <v>1666</v>
      </c>
      <c r="D2227" s="36" t="s">
        <v>749</v>
      </c>
      <c r="E2227" s="36" t="s">
        <v>749</v>
      </c>
      <c r="F2227" s="154" t="s">
        <v>5536</v>
      </c>
      <c r="G2227" s="36" t="s">
        <v>28</v>
      </c>
      <c r="H2227" s="36" t="s">
        <v>1655</v>
      </c>
      <c r="I2227" s="36" t="s">
        <v>1656</v>
      </c>
      <c r="J2227" s="36" t="s">
        <v>1656</v>
      </c>
      <c r="K2227" s="36" t="s">
        <v>1691</v>
      </c>
      <c r="L2227" s="36" t="s">
        <v>5325</v>
      </c>
      <c r="M2227" s="36" t="s">
        <v>5325</v>
      </c>
      <c r="N2227" s="36" t="s">
        <v>32</v>
      </c>
    </row>
    <row r="2228">
      <c r="A2228" s="36" t="s">
        <v>5537</v>
      </c>
      <c r="B2228" s="154" t="s">
        <v>5535</v>
      </c>
      <c r="C2228" s="36" t="s">
        <v>1666</v>
      </c>
      <c r="D2228" s="36" t="s">
        <v>218</v>
      </c>
      <c r="E2228" s="36" t="s">
        <v>218</v>
      </c>
      <c r="F2228" s="154" t="s">
        <v>1686</v>
      </c>
      <c r="G2228" s="36" t="s">
        <v>32</v>
      </c>
      <c r="H2228" s="36" t="s">
        <v>1655</v>
      </c>
      <c r="I2228" s="36" t="s">
        <v>1656</v>
      </c>
      <c r="J2228" s="36" t="s">
        <v>1656</v>
      </c>
      <c r="K2228" s="36" t="s">
        <v>1695</v>
      </c>
      <c r="L2228" s="36" t="s">
        <v>5325</v>
      </c>
      <c r="M2228" s="36" t="s">
        <v>5325</v>
      </c>
      <c r="N2228" s="36" t="s">
        <v>32</v>
      </c>
    </row>
    <row r="2229">
      <c r="A2229" s="36" t="s">
        <v>5538</v>
      </c>
      <c r="B2229" s="154" t="s">
        <v>5539</v>
      </c>
      <c r="C2229" s="36" t="s">
        <v>1653</v>
      </c>
      <c r="D2229" s="36" t="s">
        <v>701</v>
      </c>
      <c r="E2229" s="36" t="s">
        <v>39</v>
      </c>
      <c r="F2229" s="154" t="s">
        <v>5540</v>
      </c>
      <c r="G2229" s="36" t="s">
        <v>32</v>
      </c>
      <c r="H2229" s="36" t="s">
        <v>1655</v>
      </c>
      <c r="I2229" s="36" t="s">
        <v>1656</v>
      </c>
      <c r="J2229" s="36" t="s">
        <v>1656</v>
      </c>
      <c r="K2229" s="36" t="s">
        <v>1749</v>
      </c>
      <c r="L2229" s="36" t="s">
        <v>5321</v>
      </c>
      <c r="M2229" s="36" t="s">
        <v>5321</v>
      </c>
      <c r="N2229" s="36" t="s">
        <v>32</v>
      </c>
    </row>
    <row r="2230">
      <c r="A2230" s="36" t="s">
        <v>5541</v>
      </c>
      <c r="B2230" s="154" t="s">
        <v>5539</v>
      </c>
      <c r="C2230" s="36" t="s">
        <v>1666</v>
      </c>
      <c r="D2230" s="36" t="s">
        <v>66</v>
      </c>
      <c r="E2230" s="36" t="s">
        <v>66</v>
      </c>
      <c r="F2230" s="154" t="s">
        <v>5542</v>
      </c>
      <c r="G2230" s="36" t="s">
        <v>28</v>
      </c>
      <c r="H2230" s="36" t="s">
        <v>1655</v>
      </c>
      <c r="I2230" s="36" t="s">
        <v>1656</v>
      </c>
      <c r="J2230" s="36" t="s">
        <v>1656</v>
      </c>
      <c r="K2230" s="36" t="s">
        <v>1721</v>
      </c>
      <c r="L2230" s="36" t="s">
        <v>5325</v>
      </c>
      <c r="M2230" s="36" t="s">
        <v>5325</v>
      </c>
      <c r="N2230" s="36" t="s">
        <v>32</v>
      </c>
    </row>
    <row r="2231">
      <c r="A2231" s="36" t="s">
        <v>5543</v>
      </c>
      <c r="B2231" s="154" t="s">
        <v>5539</v>
      </c>
      <c r="C2231" s="36" t="s">
        <v>1666</v>
      </c>
      <c r="D2231" s="36" t="s">
        <v>99</v>
      </c>
      <c r="E2231" s="36" t="s">
        <v>99</v>
      </c>
      <c r="F2231" s="154" t="s">
        <v>5544</v>
      </c>
      <c r="G2231" s="36" t="s">
        <v>32</v>
      </c>
      <c r="H2231" s="36" t="s">
        <v>1655</v>
      </c>
      <c r="I2231" s="36" t="s">
        <v>1656</v>
      </c>
      <c r="J2231" s="36" t="s">
        <v>1656</v>
      </c>
      <c r="K2231" s="36" t="s">
        <v>1698</v>
      </c>
      <c r="L2231" s="36" t="s">
        <v>5325</v>
      </c>
      <c r="M2231" s="36" t="s">
        <v>5325</v>
      </c>
      <c r="N2231" s="36" t="s">
        <v>32</v>
      </c>
    </row>
    <row r="2232">
      <c r="A2232" s="36" t="s">
        <v>5545</v>
      </c>
      <c r="B2232" s="154" t="s">
        <v>5539</v>
      </c>
      <c r="C2232" s="36" t="s">
        <v>1666</v>
      </c>
      <c r="D2232" s="36" t="s">
        <v>101</v>
      </c>
      <c r="E2232" s="36" t="s">
        <v>101</v>
      </c>
      <c r="F2232" s="154" t="s">
        <v>5546</v>
      </c>
      <c r="G2232" s="36" t="s">
        <v>28</v>
      </c>
      <c r="H2232" s="36" t="s">
        <v>1655</v>
      </c>
      <c r="I2232" s="36" t="s">
        <v>1656</v>
      </c>
      <c r="J2232" s="36" t="s">
        <v>1656</v>
      </c>
      <c r="K2232" s="36" t="s">
        <v>1701</v>
      </c>
      <c r="L2232" s="36" t="s">
        <v>5325</v>
      </c>
      <c r="M2232" s="36" t="s">
        <v>5325</v>
      </c>
      <c r="N2232" s="36" t="s">
        <v>32</v>
      </c>
    </row>
    <row r="2233">
      <c r="A2233" s="36" t="s">
        <v>5547</v>
      </c>
      <c r="B2233" s="154" t="s">
        <v>5539</v>
      </c>
      <c r="C2233" s="36" t="s">
        <v>1666</v>
      </c>
      <c r="D2233" s="36" t="s">
        <v>103</v>
      </c>
      <c r="E2233" s="36" t="s">
        <v>103</v>
      </c>
      <c r="F2233" s="154" t="s">
        <v>2613</v>
      </c>
      <c r="G2233" s="36" t="s">
        <v>34</v>
      </c>
      <c r="H2233" s="36" t="s">
        <v>1655</v>
      </c>
      <c r="I2233" s="36" t="s">
        <v>1656</v>
      </c>
      <c r="J2233" s="36" t="s">
        <v>1656</v>
      </c>
      <c r="K2233" s="36" t="s">
        <v>1704</v>
      </c>
      <c r="L2233" s="36" t="s">
        <v>5325</v>
      </c>
      <c r="M2233" s="36" t="s">
        <v>5325</v>
      </c>
      <c r="N2233" s="36" t="s">
        <v>32</v>
      </c>
    </row>
    <row r="2234">
      <c r="A2234" s="36" t="s">
        <v>5548</v>
      </c>
      <c r="B2234" s="154" t="s">
        <v>5539</v>
      </c>
      <c r="C2234" s="36" t="s">
        <v>1666</v>
      </c>
      <c r="D2234" s="36" t="s">
        <v>495</v>
      </c>
      <c r="E2234" s="36" t="s">
        <v>495</v>
      </c>
      <c r="F2234" s="154" t="s">
        <v>1686</v>
      </c>
      <c r="G2234" s="36" t="s">
        <v>28</v>
      </c>
      <c r="H2234" s="36" t="s">
        <v>1655</v>
      </c>
      <c r="I2234" s="36" t="s">
        <v>1656</v>
      </c>
      <c r="J2234" s="36" t="s">
        <v>1656</v>
      </c>
      <c r="K2234" s="36" t="s">
        <v>1711</v>
      </c>
      <c r="L2234" s="36" t="s">
        <v>5325</v>
      </c>
      <c r="M2234" s="36" t="s">
        <v>5325</v>
      </c>
      <c r="N2234" s="36" t="s">
        <v>32</v>
      </c>
    </row>
    <row r="2235">
      <c r="A2235" s="36" t="s">
        <v>5549</v>
      </c>
      <c r="B2235" s="154" t="s">
        <v>5550</v>
      </c>
      <c r="C2235" s="36" t="s">
        <v>1666</v>
      </c>
      <c r="D2235" s="36" t="s">
        <v>770</v>
      </c>
      <c r="E2235" s="36" t="s">
        <v>770</v>
      </c>
      <c r="F2235" s="154" t="s">
        <v>1859</v>
      </c>
      <c r="G2235" s="36" t="s">
        <v>32</v>
      </c>
      <c r="H2235" s="36" t="s">
        <v>1655</v>
      </c>
      <c r="I2235" s="36" t="s">
        <v>1656</v>
      </c>
      <c r="J2235" s="36" t="s">
        <v>1656</v>
      </c>
      <c r="K2235" s="36" t="s">
        <v>1715</v>
      </c>
      <c r="L2235" s="36" t="s">
        <v>5325</v>
      </c>
      <c r="M2235" s="36" t="s">
        <v>5325</v>
      </c>
      <c r="N2235" s="36" t="s">
        <v>32</v>
      </c>
    </row>
    <row r="2236">
      <c r="A2236" s="36" t="s">
        <v>5551</v>
      </c>
      <c r="B2236" s="154" t="s">
        <v>5552</v>
      </c>
      <c r="C2236" s="36" t="s">
        <v>1653</v>
      </c>
      <c r="D2236" s="36" t="s">
        <v>55</v>
      </c>
      <c r="E2236" s="36" t="s">
        <v>39</v>
      </c>
      <c r="F2236" s="154" t="s">
        <v>5553</v>
      </c>
      <c r="G2236" s="36" t="s">
        <v>32</v>
      </c>
      <c r="H2236" s="36" t="s">
        <v>1655</v>
      </c>
      <c r="I2236" s="36" t="s">
        <v>1656</v>
      </c>
      <c r="J2236" s="36" t="s">
        <v>1656</v>
      </c>
      <c r="K2236" s="36" t="s">
        <v>1978</v>
      </c>
      <c r="L2236" s="36" t="s">
        <v>5321</v>
      </c>
      <c r="M2236" s="36" t="s">
        <v>5321</v>
      </c>
      <c r="N2236" s="36" t="s">
        <v>32</v>
      </c>
    </row>
    <row r="2237">
      <c r="A2237" s="36" t="s">
        <v>5554</v>
      </c>
      <c r="B2237" s="154" t="s">
        <v>5552</v>
      </c>
      <c r="C2237" s="36" t="s">
        <v>1666</v>
      </c>
      <c r="D2237" s="36" t="s">
        <v>71</v>
      </c>
      <c r="E2237" s="36" t="s">
        <v>71</v>
      </c>
      <c r="F2237" s="154" t="s">
        <v>5555</v>
      </c>
      <c r="G2237" s="36" t="s">
        <v>32</v>
      </c>
      <c r="H2237" s="36" t="s">
        <v>1655</v>
      </c>
      <c r="I2237" s="36" t="s">
        <v>1656</v>
      </c>
      <c r="J2237" s="36" t="s">
        <v>1656</v>
      </c>
      <c r="K2237" s="36" t="s">
        <v>1752</v>
      </c>
      <c r="L2237" s="36" t="s">
        <v>5325</v>
      </c>
      <c r="M2237" s="36" t="s">
        <v>5325</v>
      </c>
      <c r="N2237" s="36" t="s">
        <v>32</v>
      </c>
    </row>
    <row r="2238">
      <c r="A2238" s="36" t="s">
        <v>5556</v>
      </c>
      <c r="B2238" s="154" t="s">
        <v>5552</v>
      </c>
      <c r="C2238" s="36" t="s">
        <v>1666</v>
      </c>
      <c r="D2238" s="36" t="s">
        <v>73</v>
      </c>
      <c r="E2238" s="36" t="s">
        <v>73</v>
      </c>
      <c r="F2238" s="154" t="s">
        <v>5557</v>
      </c>
      <c r="G2238" s="36" t="s">
        <v>28</v>
      </c>
      <c r="H2238" s="36" t="s">
        <v>1655</v>
      </c>
      <c r="I2238" s="36" t="s">
        <v>1656</v>
      </c>
      <c r="J2238" s="36" t="s">
        <v>1656</v>
      </c>
      <c r="K2238" s="36" t="s">
        <v>1755</v>
      </c>
      <c r="L2238" s="36" t="s">
        <v>5325</v>
      </c>
      <c r="M2238" s="36" t="s">
        <v>5325</v>
      </c>
      <c r="N2238" s="36" t="s">
        <v>32</v>
      </c>
    </row>
    <row r="2239">
      <c r="A2239" s="36" t="s">
        <v>5558</v>
      </c>
      <c r="B2239" s="154" t="s">
        <v>5552</v>
      </c>
      <c r="C2239" s="36" t="s">
        <v>1666</v>
      </c>
      <c r="D2239" s="36" t="s">
        <v>74</v>
      </c>
      <c r="E2239" s="36" t="s">
        <v>74</v>
      </c>
      <c r="F2239" s="154" t="s">
        <v>5559</v>
      </c>
      <c r="G2239" s="36" t="s">
        <v>32</v>
      </c>
      <c r="H2239" s="36" t="s">
        <v>1655</v>
      </c>
      <c r="I2239" s="36" t="s">
        <v>1656</v>
      </c>
      <c r="J2239" s="36" t="s">
        <v>1656</v>
      </c>
      <c r="K2239" s="36" t="s">
        <v>1757</v>
      </c>
      <c r="L2239" s="36" t="s">
        <v>5325</v>
      </c>
      <c r="M2239" s="36" t="s">
        <v>5325</v>
      </c>
      <c r="N2239" s="36" t="s">
        <v>32</v>
      </c>
    </row>
    <row r="2240">
      <c r="A2240" s="36" t="s">
        <v>5560</v>
      </c>
      <c r="B2240" s="154" t="s">
        <v>5552</v>
      </c>
      <c r="C2240" s="36" t="s">
        <v>1666</v>
      </c>
      <c r="D2240" s="36" t="s">
        <v>75</v>
      </c>
      <c r="E2240" s="36" t="s">
        <v>75</v>
      </c>
      <c r="F2240" s="154" t="s">
        <v>5561</v>
      </c>
      <c r="G2240" s="36" t="s">
        <v>28</v>
      </c>
      <c r="H2240" s="36" t="s">
        <v>1655</v>
      </c>
      <c r="I2240" s="36" t="s">
        <v>1656</v>
      </c>
      <c r="J2240" s="36" t="s">
        <v>1656</v>
      </c>
      <c r="K2240" s="36" t="s">
        <v>1760</v>
      </c>
      <c r="L2240" s="36" t="s">
        <v>5325</v>
      </c>
      <c r="M2240" s="36" t="s">
        <v>5325</v>
      </c>
      <c r="N2240" s="36" t="s">
        <v>32</v>
      </c>
    </row>
    <row r="2241">
      <c r="A2241" s="36" t="s">
        <v>5562</v>
      </c>
      <c r="B2241" s="154" t="s">
        <v>5552</v>
      </c>
      <c r="C2241" s="36" t="s">
        <v>1666</v>
      </c>
      <c r="D2241" s="36" t="s">
        <v>76</v>
      </c>
      <c r="E2241" s="36" t="s">
        <v>76</v>
      </c>
      <c r="F2241" s="154" t="s">
        <v>5563</v>
      </c>
      <c r="G2241" s="36" t="s">
        <v>28</v>
      </c>
      <c r="H2241" s="36" t="s">
        <v>1655</v>
      </c>
      <c r="I2241" s="36" t="s">
        <v>1656</v>
      </c>
      <c r="J2241" s="36" t="s">
        <v>1656</v>
      </c>
      <c r="K2241" s="36" t="s">
        <v>1763</v>
      </c>
      <c r="L2241" s="36" t="s">
        <v>5325</v>
      </c>
      <c r="M2241" s="36" t="s">
        <v>5325</v>
      </c>
      <c r="N2241" s="36" t="s">
        <v>32</v>
      </c>
    </row>
    <row r="2242">
      <c r="A2242" s="36" t="s">
        <v>5564</v>
      </c>
      <c r="B2242" s="154" t="s">
        <v>5552</v>
      </c>
      <c r="C2242" s="36" t="s">
        <v>1666</v>
      </c>
      <c r="D2242" s="36" t="s">
        <v>712</v>
      </c>
      <c r="E2242" s="36" t="s">
        <v>712</v>
      </c>
      <c r="F2242" s="154" t="s">
        <v>5084</v>
      </c>
      <c r="G2242" s="36" t="s">
        <v>28</v>
      </c>
      <c r="H2242" s="36" t="s">
        <v>1655</v>
      </c>
      <c r="I2242" s="36" t="s">
        <v>1656</v>
      </c>
      <c r="J2242" s="36" t="s">
        <v>1656</v>
      </c>
      <c r="K2242" s="36" t="s">
        <v>1766</v>
      </c>
      <c r="L2242" s="36" t="s">
        <v>5325</v>
      </c>
      <c r="M2242" s="36" t="s">
        <v>5325</v>
      </c>
      <c r="N2242" s="36" t="s">
        <v>32</v>
      </c>
    </row>
    <row r="2243">
      <c r="A2243" s="36" t="s">
        <v>5565</v>
      </c>
      <c r="B2243" s="154" t="s">
        <v>5552</v>
      </c>
      <c r="C2243" s="36" t="s">
        <v>1666</v>
      </c>
      <c r="D2243" s="36" t="s">
        <v>77</v>
      </c>
      <c r="E2243" s="36" t="s">
        <v>77</v>
      </c>
      <c r="F2243" s="154" t="s">
        <v>1768</v>
      </c>
      <c r="G2243" s="36" t="s">
        <v>34</v>
      </c>
      <c r="H2243" s="36" t="s">
        <v>1655</v>
      </c>
      <c r="I2243" s="36" t="s">
        <v>1656</v>
      </c>
      <c r="J2243" s="36" t="s">
        <v>1656</v>
      </c>
      <c r="K2243" s="36" t="s">
        <v>4248</v>
      </c>
      <c r="L2243" s="36" t="s">
        <v>5325</v>
      </c>
      <c r="M2243" s="36" t="s">
        <v>5325</v>
      </c>
      <c r="N2243" s="36" t="s">
        <v>32</v>
      </c>
    </row>
    <row r="2244">
      <c r="A2244" s="36" t="s">
        <v>5566</v>
      </c>
      <c r="B2244" s="154" t="s">
        <v>5552</v>
      </c>
      <c r="C2244" s="36" t="s">
        <v>1666</v>
      </c>
      <c r="D2244" s="36" t="s">
        <v>115</v>
      </c>
      <c r="E2244" s="36" t="s">
        <v>115</v>
      </c>
      <c r="F2244" s="154" t="s">
        <v>1683</v>
      </c>
      <c r="G2244" s="36" t="s">
        <v>32</v>
      </c>
      <c r="H2244" s="36" t="s">
        <v>1655</v>
      </c>
      <c r="I2244" s="36" t="s">
        <v>1656</v>
      </c>
      <c r="J2244" s="36" t="s">
        <v>1656</v>
      </c>
      <c r="K2244" s="36" t="s">
        <v>1717</v>
      </c>
      <c r="L2244" s="36" t="s">
        <v>5325</v>
      </c>
      <c r="M2244" s="36" t="s">
        <v>5325</v>
      </c>
      <c r="N2244" s="36" t="s">
        <v>32</v>
      </c>
    </row>
    <row r="2245">
      <c r="A2245" s="36" t="s">
        <v>5567</v>
      </c>
      <c r="B2245" s="154" t="s">
        <v>5552</v>
      </c>
      <c r="C2245" s="36" t="s">
        <v>1666</v>
      </c>
      <c r="D2245" s="36" t="s">
        <v>114</v>
      </c>
      <c r="E2245" s="36" t="s">
        <v>114</v>
      </c>
      <c r="F2245" s="154" t="s">
        <v>1799</v>
      </c>
      <c r="G2245" s="36" t="s">
        <v>32</v>
      </c>
      <c r="H2245" s="36" t="s">
        <v>1655</v>
      </c>
      <c r="I2245" s="36" t="s">
        <v>1656</v>
      </c>
      <c r="J2245" s="36" t="s">
        <v>1656</v>
      </c>
      <c r="K2245" s="36" t="s">
        <v>1724</v>
      </c>
      <c r="L2245" s="36" t="s">
        <v>5325</v>
      </c>
      <c r="M2245" s="36" t="s">
        <v>5325</v>
      </c>
      <c r="N2245" s="36" t="s">
        <v>32</v>
      </c>
    </row>
    <row r="2246">
      <c r="A2246" s="36" t="s">
        <v>5568</v>
      </c>
      <c r="B2246" s="154" t="s">
        <v>5569</v>
      </c>
      <c r="C2246" s="36" t="s">
        <v>1666</v>
      </c>
      <c r="D2246" s="36" t="s">
        <v>100</v>
      </c>
      <c r="E2246" s="36" t="s">
        <v>100</v>
      </c>
      <c r="F2246" s="154" t="s">
        <v>1810</v>
      </c>
      <c r="G2246" s="36" t="s">
        <v>32</v>
      </c>
      <c r="H2246" s="36" t="s">
        <v>1655</v>
      </c>
      <c r="I2246" s="36" t="s">
        <v>1656</v>
      </c>
      <c r="J2246" s="36" t="s">
        <v>1656</v>
      </c>
      <c r="K2246" s="36" t="s">
        <v>1727</v>
      </c>
      <c r="L2246" s="36" t="s">
        <v>5325</v>
      </c>
      <c r="M2246" s="36" t="s">
        <v>5325</v>
      </c>
      <c r="N2246" s="36" t="s">
        <v>32</v>
      </c>
    </row>
    <row r="2247">
      <c r="A2247" s="36" t="s">
        <v>5570</v>
      </c>
      <c r="B2247" s="154" t="s">
        <v>5571</v>
      </c>
      <c r="C2247" s="36" t="s">
        <v>1666</v>
      </c>
      <c r="D2247" s="36" t="s">
        <v>785</v>
      </c>
      <c r="E2247" s="36" t="s">
        <v>785</v>
      </c>
      <c r="F2247" s="154" t="s">
        <v>2325</v>
      </c>
      <c r="G2247" s="36" t="s">
        <v>30</v>
      </c>
      <c r="H2247" s="36" t="s">
        <v>1655</v>
      </c>
      <c r="I2247" s="36" t="s">
        <v>1656</v>
      </c>
      <c r="J2247" s="36" t="s">
        <v>1656</v>
      </c>
      <c r="K2247" s="36" t="s">
        <v>1730</v>
      </c>
      <c r="L2247" s="36" t="s">
        <v>5325</v>
      </c>
      <c r="M2247" s="36" t="s">
        <v>5325</v>
      </c>
      <c r="N2247" s="36" t="s">
        <v>32</v>
      </c>
    </row>
    <row r="2248">
      <c r="A2248" s="36" t="s">
        <v>5572</v>
      </c>
      <c r="B2248" s="154" t="s">
        <v>5573</v>
      </c>
      <c r="C2248" s="36" t="s">
        <v>1653</v>
      </c>
      <c r="D2248" s="36" t="s">
        <v>161</v>
      </c>
      <c r="E2248" s="36" t="s">
        <v>39</v>
      </c>
      <c r="F2248" s="154" t="s">
        <v>5574</v>
      </c>
      <c r="G2248" s="36" t="s">
        <v>32</v>
      </c>
      <c r="H2248" s="36" t="s">
        <v>1655</v>
      </c>
      <c r="I2248" s="36" t="s">
        <v>1656</v>
      </c>
      <c r="J2248" s="36" t="s">
        <v>1656</v>
      </c>
      <c r="K2248" s="36" t="s">
        <v>2848</v>
      </c>
      <c r="L2248" s="36" t="s">
        <v>5321</v>
      </c>
      <c r="M2248" s="36" t="s">
        <v>5321</v>
      </c>
      <c r="N2248" s="36" t="s">
        <v>32</v>
      </c>
    </row>
    <row r="2249">
      <c r="A2249" s="36" t="s">
        <v>5575</v>
      </c>
      <c r="B2249" s="154" t="s">
        <v>5573</v>
      </c>
      <c r="C2249" s="36" t="s">
        <v>1666</v>
      </c>
      <c r="D2249" s="36" t="s">
        <v>789</v>
      </c>
      <c r="E2249" s="36" t="s">
        <v>789</v>
      </c>
      <c r="F2249" s="154" t="s">
        <v>2911</v>
      </c>
      <c r="G2249" s="36" t="s">
        <v>28</v>
      </c>
      <c r="H2249" s="36" t="s">
        <v>1655</v>
      </c>
      <c r="I2249" s="36" t="s">
        <v>1656</v>
      </c>
      <c r="J2249" s="36" t="s">
        <v>1656</v>
      </c>
      <c r="K2249" s="36" t="s">
        <v>1732</v>
      </c>
      <c r="L2249" s="36" t="s">
        <v>5325</v>
      </c>
      <c r="M2249" s="36" t="s">
        <v>5325</v>
      </c>
      <c r="N2249" s="36" t="s">
        <v>32</v>
      </c>
    </row>
    <row r="2250">
      <c r="A2250" s="36" t="s">
        <v>5576</v>
      </c>
      <c r="B2250" s="154" t="s">
        <v>5577</v>
      </c>
      <c r="C2250" s="36" t="s">
        <v>1666</v>
      </c>
      <c r="D2250" s="36" t="s">
        <v>791</v>
      </c>
      <c r="E2250" s="36" t="s">
        <v>791</v>
      </c>
      <c r="F2250" s="154" t="s">
        <v>1810</v>
      </c>
      <c r="G2250" s="36" t="s">
        <v>32</v>
      </c>
      <c r="H2250" s="36" t="s">
        <v>1655</v>
      </c>
      <c r="I2250" s="36" t="s">
        <v>1656</v>
      </c>
      <c r="J2250" s="36" t="s">
        <v>1656</v>
      </c>
      <c r="K2250" s="36" t="s">
        <v>1736</v>
      </c>
      <c r="L2250" s="36" t="s">
        <v>5325</v>
      </c>
      <c r="M2250" s="36" t="s">
        <v>5325</v>
      </c>
      <c r="N2250" s="36" t="s">
        <v>32</v>
      </c>
    </row>
    <row r="2251">
      <c r="A2251" s="36" t="s">
        <v>5578</v>
      </c>
      <c r="B2251" s="154" t="s">
        <v>5577</v>
      </c>
      <c r="C2251" s="36" t="s">
        <v>1666</v>
      </c>
      <c r="D2251" s="36" t="s">
        <v>798</v>
      </c>
      <c r="E2251" s="36" t="s">
        <v>798</v>
      </c>
      <c r="F2251" s="154" t="s">
        <v>2006</v>
      </c>
      <c r="G2251" s="36" t="s">
        <v>32</v>
      </c>
      <c r="H2251" s="36" t="s">
        <v>1655</v>
      </c>
      <c r="I2251" s="36" t="s">
        <v>1656</v>
      </c>
      <c r="J2251" s="36" t="s">
        <v>1656</v>
      </c>
      <c r="K2251" s="36" t="s">
        <v>1739</v>
      </c>
      <c r="L2251" s="36" t="s">
        <v>5325</v>
      </c>
      <c r="M2251" s="36" t="s">
        <v>5325</v>
      </c>
      <c r="N2251" s="36" t="s">
        <v>32</v>
      </c>
    </row>
    <row r="2252">
      <c r="A2252" s="36" t="s">
        <v>5579</v>
      </c>
      <c r="B2252" s="154" t="s">
        <v>5580</v>
      </c>
      <c r="C2252" s="36" t="s">
        <v>1666</v>
      </c>
      <c r="D2252" s="36" t="s">
        <v>100</v>
      </c>
      <c r="E2252" s="36" t="s">
        <v>100</v>
      </c>
      <c r="F2252" s="154" t="s">
        <v>1859</v>
      </c>
      <c r="G2252" s="36" t="s">
        <v>32</v>
      </c>
      <c r="H2252" s="36" t="s">
        <v>1655</v>
      </c>
      <c r="I2252" s="36" t="s">
        <v>1656</v>
      </c>
      <c r="J2252" s="36" t="s">
        <v>1656</v>
      </c>
      <c r="K2252" s="36" t="s">
        <v>1742</v>
      </c>
      <c r="L2252" s="36" t="s">
        <v>5325</v>
      </c>
      <c r="M2252" s="36" t="s">
        <v>5325</v>
      </c>
      <c r="N2252" s="36" t="s">
        <v>32</v>
      </c>
    </row>
    <row r="2253">
      <c r="A2253" s="36" t="s">
        <v>5581</v>
      </c>
      <c r="B2253" s="154" t="s">
        <v>5582</v>
      </c>
      <c r="C2253" s="36" t="s">
        <v>1666</v>
      </c>
      <c r="D2253" s="36" t="s">
        <v>810</v>
      </c>
      <c r="E2253" s="36" t="s">
        <v>810</v>
      </c>
      <c r="F2253" s="154" t="s">
        <v>5583</v>
      </c>
      <c r="G2253" s="36" t="s">
        <v>32</v>
      </c>
      <c r="H2253" s="36" t="s">
        <v>1655</v>
      </c>
      <c r="I2253" s="36" t="s">
        <v>1656</v>
      </c>
      <c r="J2253" s="36" t="s">
        <v>1656</v>
      </c>
      <c r="K2253" s="36" t="s">
        <v>1745</v>
      </c>
      <c r="L2253" s="36" t="s">
        <v>5325</v>
      </c>
      <c r="M2253" s="36" t="s">
        <v>5325</v>
      </c>
      <c r="N2253" s="36" t="s">
        <v>32</v>
      </c>
    </row>
    <row r="2254">
      <c r="A2254" s="36" t="s">
        <v>5584</v>
      </c>
      <c r="B2254" s="154" t="s">
        <v>5582</v>
      </c>
      <c r="C2254" s="36" t="s">
        <v>1666</v>
      </c>
      <c r="D2254" s="36" t="s">
        <v>812</v>
      </c>
      <c r="E2254" s="36" t="s">
        <v>812</v>
      </c>
      <c r="F2254" s="154" t="s">
        <v>1729</v>
      </c>
      <c r="G2254" s="36" t="s">
        <v>28</v>
      </c>
      <c r="H2254" s="36" t="s">
        <v>1655</v>
      </c>
      <c r="I2254" s="36" t="s">
        <v>1656</v>
      </c>
      <c r="J2254" s="36" t="s">
        <v>1656</v>
      </c>
      <c r="K2254" s="36" t="s">
        <v>1773</v>
      </c>
      <c r="L2254" s="36" t="s">
        <v>5325</v>
      </c>
      <c r="M2254" s="36" t="s">
        <v>5325</v>
      </c>
      <c r="N2254" s="36" t="s">
        <v>32</v>
      </c>
    </row>
    <row r="2255">
      <c r="A2255" s="36" t="s">
        <v>5585</v>
      </c>
      <c r="B2255" s="154" t="s">
        <v>5582</v>
      </c>
      <c r="C2255" s="36" t="s">
        <v>1666</v>
      </c>
      <c r="D2255" s="36" t="s">
        <v>761</v>
      </c>
      <c r="E2255" s="36" t="s">
        <v>761</v>
      </c>
      <c r="F2255" s="154" t="s">
        <v>2555</v>
      </c>
      <c r="G2255" s="36" t="s">
        <v>32</v>
      </c>
      <c r="H2255" s="36" t="s">
        <v>1655</v>
      </c>
      <c r="I2255" s="36" t="s">
        <v>1656</v>
      </c>
      <c r="J2255" s="36" t="s">
        <v>1656</v>
      </c>
      <c r="K2255" s="36" t="s">
        <v>1776</v>
      </c>
      <c r="L2255" s="36" t="s">
        <v>5325</v>
      </c>
      <c r="M2255" s="36" t="s">
        <v>5325</v>
      </c>
      <c r="N2255" s="36" t="s">
        <v>32</v>
      </c>
    </row>
    <row r="2256">
      <c r="A2256" s="36" t="s">
        <v>5586</v>
      </c>
      <c r="B2256" s="154" t="s">
        <v>5582</v>
      </c>
      <c r="C2256" s="36" t="s">
        <v>1666</v>
      </c>
      <c r="D2256" s="36" t="s">
        <v>218</v>
      </c>
      <c r="E2256" s="36" t="s">
        <v>218</v>
      </c>
      <c r="F2256" s="154" t="s">
        <v>1686</v>
      </c>
      <c r="G2256" s="36" t="s">
        <v>32</v>
      </c>
      <c r="H2256" s="36" t="s">
        <v>1655</v>
      </c>
      <c r="I2256" s="36" t="s">
        <v>1656</v>
      </c>
      <c r="J2256" s="36" t="s">
        <v>1656</v>
      </c>
      <c r="K2256" s="36" t="s">
        <v>1779</v>
      </c>
      <c r="L2256" s="36" t="s">
        <v>5325</v>
      </c>
      <c r="M2256" s="36" t="s">
        <v>5325</v>
      </c>
      <c r="N2256" s="36" t="s">
        <v>32</v>
      </c>
    </row>
    <row r="2257">
      <c r="A2257" s="36" t="s">
        <v>5587</v>
      </c>
      <c r="B2257" s="154" t="s">
        <v>5582</v>
      </c>
      <c r="C2257" s="36" t="s">
        <v>1666</v>
      </c>
      <c r="D2257" s="36" t="s">
        <v>584</v>
      </c>
      <c r="E2257" s="36" t="s">
        <v>584</v>
      </c>
      <c r="F2257" s="154" t="s">
        <v>5588</v>
      </c>
      <c r="G2257" s="36" t="s">
        <v>34</v>
      </c>
      <c r="H2257" s="36" t="s">
        <v>1655</v>
      </c>
      <c r="I2257" s="36" t="s">
        <v>1656</v>
      </c>
      <c r="J2257" s="36" t="s">
        <v>1656</v>
      </c>
      <c r="K2257" s="36" t="s">
        <v>1782</v>
      </c>
      <c r="L2257" s="36" t="s">
        <v>5325</v>
      </c>
      <c r="M2257" s="36" t="s">
        <v>5325</v>
      </c>
      <c r="N2257" s="36" t="s">
        <v>32</v>
      </c>
    </row>
    <row r="2258">
      <c r="A2258" s="36" t="s">
        <v>5589</v>
      </c>
      <c r="B2258" s="154" t="s">
        <v>5582</v>
      </c>
      <c r="C2258" s="36" t="s">
        <v>1666</v>
      </c>
      <c r="D2258" s="36" t="s">
        <v>591</v>
      </c>
      <c r="E2258" s="36" t="s">
        <v>591</v>
      </c>
      <c r="F2258" s="154" t="s">
        <v>5590</v>
      </c>
      <c r="G2258" s="36" t="s">
        <v>32</v>
      </c>
      <c r="H2258" s="36" t="s">
        <v>1655</v>
      </c>
      <c r="I2258" s="36" t="s">
        <v>1656</v>
      </c>
      <c r="J2258" s="36" t="s">
        <v>1656</v>
      </c>
      <c r="K2258" s="36" t="s">
        <v>1784</v>
      </c>
      <c r="L2258" s="36" t="s">
        <v>5325</v>
      </c>
      <c r="M2258" s="36" t="s">
        <v>5325</v>
      </c>
      <c r="N2258" s="36" t="s">
        <v>32</v>
      </c>
    </row>
    <row r="2259">
      <c r="A2259" s="36" t="s">
        <v>5591</v>
      </c>
      <c r="B2259" s="154" t="s">
        <v>5582</v>
      </c>
      <c r="C2259" s="36" t="s">
        <v>1666</v>
      </c>
      <c r="D2259" s="36" t="s">
        <v>313</v>
      </c>
      <c r="E2259" s="36" t="s">
        <v>313</v>
      </c>
      <c r="F2259" s="154" t="s">
        <v>1816</v>
      </c>
      <c r="G2259" s="36" t="s">
        <v>32</v>
      </c>
      <c r="H2259" s="36" t="s">
        <v>1655</v>
      </c>
      <c r="I2259" s="36" t="s">
        <v>1656</v>
      </c>
      <c r="J2259" s="36" t="s">
        <v>1656</v>
      </c>
      <c r="K2259" s="36" t="s">
        <v>1787</v>
      </c>
      <c r="L2259" s="36" t="s">
        <v>5325</v>
      </c>
      <c r="M2259" s="36" t="s">
        <v>5325</v>
      </c>
      <c r="N2259" s="36" t="s">
        <v>32</v>
      </c>
    </row>
    <row r="2260">
      <c r="A2260" s="36" t="s">
        <v>5592</v>
      </c>
      <c r="B2260" s="154" t="s">
        <v>5582</v>
      </c>
      <c r="C2260" s="36" t="s">
        <v>1666</v>
      </c>
      <c r="D2260" s="36" t="s">
        <v>829</v>
      </c>
      <c r="E2260" s="36" t="s">
        <v>829</v>
      </c>
      <c r="F2260" s="154" t="s">
        <v>1810</v>
      </c>
      <c r="G2260" s="36" t="s">
        <v>32</v>
      </c>
      <c r="H2260" s="36" t="s">
        <v>1655</v>
      </c>
      <c r="I2260" s="36" t="s">
        <v>1656</v>
      </c>
      <c r="J2260" s="36" t="s">
        <v>1656</v>
      </c>
      <c r="K2260" s="36" t="s">
        <v>1790</v>
      </c>
      <c r="L2260" s="36" t="s">
        <v>5325</v>
      </c>
      <c r="M2260" s="36" t="s">
        <v>5325</v>
      </c>
      <c r="N2260" s="36" t="s">
        <v>32</v>
      </c>
    </row>
    <row r="2261">
      <c r="A2261" s="36" t="s">
        <v>5593</v>
      </c>
      <c r="B2261" s="154" t="s">
        <v>5582</v>
      </c>
      <c r="C2261" s="36" t="s">
        <v>1666</v>
      </c>
      <c r="D2261" s="36" t="s">
        <v>582</v>
      </c>
      <c r="E2261" s="36" t="s">
        <v>582</v>
      </c>
      <c r="F2261" s="154" t="s">
        <v>1799</v>
      </c>
      <c r="G2261" s="36" t="s">
        <v>28</v>
      </c>
      <c r="H2261" s="36" t="s">
        <v>1655</v>
      </c>
      <c r="I2261" s="36" t="s">
        <v>1656</v>
      </c>
      <c r="J2261" s="36" t="s">
        <v>1656</v>
      </c>
      <c r="K2261" s="36" t="s">
        <v>1793</v>
      </c>
      <c r="L2261" s="36" t="s">
        <v>5325</v>
      </c>
      <c r="M2261" s="36" t="s">
        <v>5325</v>
      </c>
      <c r="N2261" s="36" t="s">
        <v>32</v>
      </c>
    </row>
    <row r="2262">
      <c r="A2262" s="36" t="s">
        <v>5594</v>
      </c>
      <c r="B2262" s="154" t="s">
        <v>5595</v>
      </c>
      <c r="C2262" s="36" t="s">
        <v>1666</v>
      </c>
      <c r="D2262" s="36" t="s">
        <v>305</v>
      </c>
      <c r="E2262" s="36" t="s">
        <v>305</v>
      </c>
      <c r="F2262" s="154" t="s">
        <v>1816</v>
      </c>
      <c r="G2262" s="36" t="s">
        <v>32</v>
      </c>
      <c r="H2262" s="36" t="s">
        <v>1655</v>
      </c>
      <c r="I2262" s="36" t="s">
        <v>1656</v>
      </c>
      <c r="J2262" s="36" t="s">
        <v>1656</v>
      </c>
      <c r="K2262" s="36" t="s">
        <v>1796</v>
      </c>
      <c r="L2262" s="36" t="s">
        <v>5325</v>
      </c>
      <c r="M2262" s="36" t="s">
        <v>5325</v>
      </c>
      <c r="N2262" s="36" t="s">
        <v>32</v>
      </c>
    </row>
    <row r="2263">
      <c r="A2263" s="36" t="s">
        <v>5596</v>
      </c>
      <c r="B2263" s="154" t="s">
        <v>5597</v>
      </c>
      <c r="C2263" s="36" t="s">
        <v>1653</v>
      </c>
      <c r="D2263" s="36" t="s">
        <v>43</v>
      </c>
      <c r="E2263" s="36" t="s">
        <v>39</v>
      </c>
      <c r="F2263" s="154" t="s">
        <v>5598</v>
      </c>
      <c r="G2263" s="36" t="s">
        <v>32</v>
      </c>
      <c r="H2263" s="36" t="s">
        <v>1655</v>
      </c>
      <c r="I2263" s="36" t="s">
        <v>1656</v>
      </c>
      <c r="J2263" s="36" t="s">
        <v>1656</v>
      </c>
      <c r="K2263" s="36" t="s">
        <v>5599</v>
      </c>
      <c r="L2263" s="36" t="s">
        <v>5321</v>
      </c>
      <c r="M2263" s="36" t="s">
        <v>5321</v>
      </c>
      <c r="N2263" s="36" t="s">
        <v>32</v>
      </c>
    </row>
    <row r="2264">
      <c r="A2264" s="36" t="s">
        <v>5600</v>
      </c>
      <c r="B2264" s="154" t="s">
        <v>5601</v>
      </c>
      <c r="C2264" s="36" t="s">
        <v>1666</v>
      </c>
      <c r="D2264" s="36" t="s">
        <v>844</v>
      </c>
      <c r="E2264" s="36" t="s">
        <v>844</v>
      </c>
      <c r="F2264" s="154" t="s">
        <v>1810</v>
      </c>
      <c r="G2264" s="36" t="s">
        <v>32</v>
      </c>
      <c r="H2264" s="36" t="s">
        <v>1655</v>
      </c>
      <c r="I2264" s="36" t="s">
        <v>1656</v>
      </c>
      <c r="J2264" s="36" t="s">
        <v>1656</v>
      </c>
      <c r="K2264" s="36" t="s">
        <v>1800</v>
      </c>
      <c r="L2264" s="36" t="s">
        <v>5325</v>
      </c>
      <c r="M2264" s="36" t="s">
        <v>5325</v>
      </c>
      <c r="N2264" s="36" t="s">
        <v>32</v>
      </c>
    </row>
    <row r="2265">
      <c r="A2265" s="36" t="s">
        <v>5602</v>
      </c>
      <c r="B2265" s="154" t="s">
        <v>5603</v>
      </c>
      <c r="C2265" s="36" t="s">
        <v>1666</v>
      </c>
      <c r="D2265" s="36" t="s">
        <v>130</v>
      </c>
      <c r="E2265" s="36" t="s">
        <v>130</v>
      </c>
      <c r="F2265" s="154" t="s">
        <v>1768</v>
      </c>
      <c r="G2265" s="36" t="s">
        <v>32</v>
      </c>
      <c r="H2265" s="36" t="s">
        <v>1655</v>
      </c>
      <c r="I2265" s="36" t="s">
        <v>1656</v>
      </c>
      <c r="J2265" s="36" t="s">
        <v>1656</v>
      </c>
      <c r="K2265" s="36" t="s">
        <v>1803</v>
      </c>
      <c r="L2265" s="36" t="s">
        <v>5325</v>
      </c>
      <c r="M2265" s="36" t="s">
        <v>5325</v>
      </c>
      <c r="N2265" s="36" t="s">
        <v>32</v>
      </c>
    </row>
    <row r="2266">
      <c r="A2266" s="36" t="s">
        <v>5604</v>
      </c>
      <c r="B2266" s="154" t="s">
        <v>5605</v>
      </c>
      <c r="C2266" s="36" t="s">
        <v>1666</v>
      </c>
      <c r="D2266" s="36" t="s">
        <v>79</v>
      </c>
      <c r="E2266" s="36" t="s">
        <v>79</v>
      </c>
      <c r="F2266" s="154" t="s">
        <v>5606</v>
      </c>
      <c r="G2266" s="36" t="s">
        <v>32</v>
      </c>
      <c r="H2266" s="36" t="s">
        <v>1655</v>
      </c>
      <c r="I2266" s="36" t="s">
        <v>1656</v>
      </c>
      <c r="J2266" s="36" t="s">
        <v>1656</v>
      </c>
      <c r="K2266" s="36" t="s">
        <v>1811</v>
      </c>
      <c r="L2266" s="36" t="s">
        <v>5325</v>
      </c>
      <c r="M2266" s="36" t="s">
        <v>5325</v>
      </c>
      <c r="N2266" s="36" t="s">
        <v>32</v>
      </c>
    </row>
    <row r="2267">
      <c r="A2267" s="36" t="s">
        <v>5607</v>
      </c>
      <c r="B2267" s="154" t="s">
        <v>5605</v>
      </c>
      <c r="C2267" s="36" t="s">
        <v>1666</v>
      </c>
      <c r="D2267" s="36" t="s">
        <v>81</v>
      </c>
      <c r="E2267" s="36" t="s">
        <v>81</v>
      </c>
      <c r="F2267" s="154" t="s">
        <v>5608</v>
      </c>
      <c r="G2267" s="36" t="s">
        <v>28</v>
      </c>
      <c r="H2267" s="36" t="s">
        <v>1655</v>
      </c>
      <c r="I2267" s="36" t="s">
        <v>1656</v>
      </c>
      <c r="J2267" s="36" t="s">
        <v>1656</v>
      </c>
      <c r="K2267" s="36" t="s">
        <v>1891</v>
      </c>
      <c r="L2267" s="36" t="s">
        <v>5325</v>
      </c>
      <c r="M2267" s="36" t="s">
        <v>5325</v>
      </c>
      <c r="N2267" s="36" t="s">
        <v>32</v>
      </c>
    </row>
    <row r="2268">
      <c r="A2268" s="36" t="s">
        <v>5609</v>
      </c>
      <c r="B2268" s="154" t="s">
        <v>5605</v>
      </c>
      <c r="C2268" s="36" t="s">
        <v>1666</v>
      </c>
      <c r="D2268" s="36" t="s">
        <v>83</v>
      </c>
      <c r="E2268" s="36" t="s">
        <v>83</v>
      </c>
      <c r="F2268" s="154" t="s">
        <v>5610</v>
      </c>
      <c r="G2268" s="36" t="s">
        <v>28</v>
      </c>
      <c r="H2268" s="36" t="s">
        <v>1655</v>
      </c>
      <c r="I2268" s="36" t="s">
        <v>1656</v>
      </c>
      <c r="J2268" s="36" t="s">
        <v>1656</v>
      </c>
      <c r="K2268" s="36" t="s">
        <v>1921</v>
      </c>
      <c r="L2268" s="36" t="s">
        <v>5325</v>
      </c>
      <c r="M2268" s="36" t="s">
        <v>5325</v>
      </c>
      <c r="N2268" s="36" t="s">
        <v>32</v>
      </c>
    </row>
    <row r="2269">
      <c r="A2269" s="36" t="s">
        <v>5611</v>
      </c>
      <c r="B2269" s="154" t="s">
        <v>5605</v>
      </c>
      <c r="C2269" s="36" t="s">
        <v>1666</v>
      </c>
      <c r="D2269" s="36" t="s">
        <v>84</v>
      </c>
      <c r="E2269" s="36" t="s">
        <v>84</v>
      </c>
      <c r="F2269" s="154" t="s">
        <v>4588</v>
      </c>
      <c r="G2269" s="36" t="s">
        <v>32</v>
      </c>
      <c r="H2269" s="36" t="s">
        <v>1655</v>
      </c>
      <c r="I2269" s="36" t="s">
        <v>1656</v>
      </c>
      <c r="J2269" s="36" t="s">
        <v>1656</v>
      </c>
      <c r="K2269" s="36" t="s">
        <v>3166</v>
      </c>
      <c r="L2269" s="36" t="s">
        <v>5325</v>
      </c>
      <c r="M2269" s="36" t="s">
        <v>5325</v>
      </c>
      <c r="N2269" s="36" t="s">
        <v>32</v>
      </c>
    </row>
    <row r="2270">
      <c r="A2270" s="36" t="s">
        <v>5612</v>
      </c>
      <c r="B2270" s="154" t="s">
        <v>5613</v>
      </c>
      <c r="C2270" s="36" t="s">
        <v>1653</v>
      </c>
      <c r="D2270" s="36" t="s">
        <v>43</v>
      </c>
      <c r="E2270" s="36" t="s">
        <v>39</v>
      </c>
      <c r="F2270" s="154" t="s">
        <v>5614</v>
      </c>
      <c r="G2270" s="36" t="s">
        <v>32</v>
      </c>
      <c r="H2270" s="36" t="s">
        <v>1655</v>
      </c>
      <c r="I2270" s="36" t="s">
        <v>1656</v>
      </c>
      <c r="J2270" s="36" t="s">
        <v>1656</v>
      </c>
      <c r="K2270" s="36" t="s">
        <v>1657</v>
      </c>
      <c r="L2270" s="36" t="s">
        <v>5321</v>
      </c>
      <c r="M2270" s="36" t="s">
        <v>5321</v>
      </c>
      <c r="N2270" s="36" t="s">
        <v>32</v>
      </c>
    </row>
    <row r="2271">
      <c r="A2271" s="36" t="s">
        <v>5615</v>
      </c>
      <c r="B2271" s="154" t="s">
        <v>5613</v>
      </c>
      <c r="C2271" s="36" t="s">
        <v>1653</v>
      </c>
      <c r="D2271" s="36" t="s">
        <v>158</v>
      </c>
      <c r="E2271" s="36" t="s">
        <v>39</v>
      </c>
      <c r="F2271" s="154" t="s">
        <v>5616</v>
      </c>
      <c r="G2271" s="36" t="s">
        <v>32</v>
      </c>
      <c r="H2271" s="36" t="s">
        <v>1655</v>
      </c>
      <c r="I2271" s="36" t="s">
        <v>1656</v>
      </c>
      <c r="J2271" s="36" t="s">
        <v>1656</v>
      </c>
      <c r="K2271" s="36" t="s">
        <v>1978</v>
      </c>
      <c r="L2271" s="36" t="s">
        <v>5321</v>
      </c>
      <c r="M2271" s="36" t="s">
        <v>5321</v>
      </c>
      <c r="N2271" s="36" t="s">
        <v>32</v>
      </c>
    </row>
    <row r="2272">
      <c r="A2272" s="36" t="s">
        <v>5617</v>
      </c>
      <c r="B2272" s="154" t="s">
        <v>5613</v>
      </c>
      <c r="C2272" s="36" t="s">
        <v>1666</v>
      </c>
      <c r="D2272" s="36" t="s">
        <v>85</v>
      </c>
      <c r="E2272" s="36" t="s">
        <v>85</v>
      </c>
      <c r="F2272" s="154" t="s">
        <v>5227</v>
      </c>
      <c r="G2272" s="36" t="s">
        <v>28</v>
      </c>
      <c r="H2272" s="36" t="s">
        <v>1655</v>
      </c>
      <c r="I2272" s="36" t="s">
        <v>1656</v>
      </c>
      <c r="J2272" s="36" t="s">
        <v>1656</v>
      </c>
      <c r="K2272" s="36" t="s">
        <v>3038</v>
      </c>
      <c r="L2272" s="36" t="s">
        <v>5325</v>
      </c>
      <c r="M2272" s="36" t="s">
        <v>5325</v>
      </c>
      <c r="N2272" s="36" t="s">
        <v>32</v>
      </c>
    </row>
    <row r="2273">
      <c r="A2273" s="36" t="s">
        <v>5618</v>
      </c>
      <c r="B2273" s="154" t="s">
        <v>5613</v>
      </c>
      <c r="C2273" s="36" t="s">
        <v>1666</v>
      </c>
      <c r="D2273" s="36" t="s">
        <v>443</v>
      </c>
      <c r="E2273" s="36" t="s">
        <v>443</v>
      </c>
      <c r="F2273" s="154" t="s">
        <v>5619</v>
      </c>
      <c r="G2273" s="36" t="s">
        <v>28</v>
      </c>
      <c r="H2273" s="36" t="s">
        <v>1655</v>
      </c>
      <c r="I2273" s="36" t="s">
        <v>1656</v>
      </c>
      <c r="J2273" s="36" t="s">
        <v>1656</v>
      </c>
      <c r="K2273" s="36" t="s">
        <v>2775</v>
      </c>
      <c r="L2273" s="36" t="s">
        <v>5325</v>
      </c>
      <c r="M2273" s="36" t="s">
        <v>5325</v>
      </c>
      <c r="N2273" s="36" t="s">
        <v>32</v>
      </c>
    </row>
    <row r="2274">
      <c r="A2274" s="36" t="s">
        <v>5620</v>
      </c>
      <c r="B2274" s="154" t="s">
        <v>5621</v>
      </c>
      <c r="C2274" s="36" t="s">
        <v>1653</v>
      </c>
      <c r="D2274" s="36" t="s">
        <v>161</v>
      </c>
      <c r="E2274" s="36" t="s">
        <v>39</v>
      </c>
      <c r="F2274" s="154" t="s">
        <v>5622</v>
      </c>
      <c r="G2274" s="36" t="s">
        <v>32</v>
      </c>
      <c r="H2274" s="36" t="s">
        <v>1655</v>
      </c>
      <c r="I2274" s="36" t="s">
        <v>1656</v>
      </c>
      <c r="J2274" s="36" t="s">
        <v>1656</v>
      </c>
      <c r="K2274" s="36" t="s">
        <v>2848</v>
      </c>
      <c r="L2274" s="36" t="s">
        <v>5321</v>
      </c>
      <c r="M2274" s="36" t="s">
        <v>5321</v>
      </c>
      <c r="N2274" s="36" t="s">
        <v>32</v>
      </c>
    </row>
    <row r="2275">
      <c r="A2275" s="36" t="s">
        <v>5623</v>
      </c>
      <c r="B2275" s="154" t="s">
        <v>5624</v>
      </c>
      <c r="C2275" s="36" t="s">
        <v>1653</v>
      </c>
      <c r="D2275" s="36" t="s">
        <v>161</v>
      </c>
      <c r="E2275" s="36" t="s">
        <v>39</v>
      </c>
      <c r="F2275" s="154" t="s">
        <v>5625</v>
      </c>
      <c r="G2275" s="36" t="s">
        <v>32</v>
      </c>
      <c r="H2275" s="36" t="s">
        <v>1655</v>
      </c>
      <c r="I2275" s="36" t="s">
        <v>1656</v>
      </c>
      <c r="J2275" s="36" t="s">
        <v>1656</v>
      </c>
      <c r="K2275" s="36" t="s">
        <v>1989</v>
      </c>
      <c r="L2275" s="36" t="s">
        <v>5321</v>
      </c>
      <c r="M2275" s="36" t="s">
        <v>5321</v>
      </c>
      <c r="N2275" s="36" t="s">
        <v>32</v>
      </c>
    </row>
    <row r="2276">
      <c r="A2276" s="36" t="s">
        <v>5626</v>
      </c>
      <c r="B2276" s="154" t="s">
        <v>5624</v>
      </c>
      <c r="C2276" s="36" t="s">
        <v>1666</v>
      </c>
      <c r="D2276" s="36" t="s">
        <v>78</v>
      </c>
      <c r="E2276" s="36" t="s">
        <v>78</v>
      </c>
      <c r="F2276" s="154" t="s">
        <v>2325</v>
      </c>
      <c r="G2276" s="36" t="s">
        <v>28</v>
      </c>
      <c r="H2276" s="36" t="s">
        <v>1655</v>
      </c>
      <c r="I2276" s="36" t="s">
        <v>1656</v>
      </c>
      <c r="J2276" s="36" t="s">
        <v>1656</v>
      </c>
      <c r="K2276" s="36" t="s">
        <v>1769</v>
      </c>
      <c r="L2276" s="36" t="s">
        <v>5325</v>
      </c>
      <c r="M2276" s="36" t="s">
        <v>5325</v>
      </c>
      <c r="N2276" s="36" t="s">
        <v>32</v>
      </c>
    </row>
    <row r="2277">
      <c r="A2277" s="36" t="s">
        <v>5627</v>
      </c>
      <c r="B2277" s="154" t="s">
        <v>5628</v>
      </c>
      <c r="C2277" s="36" t="s">
        <v>1666</v>
      </c>
      <c r="D2277" s="36" t="s">
        <v>63</v>
      </c>
      <c r="E2277" s="36" t="s">
        <v>63</v>
      </c>
      <c r="F2277" s="154" t="s">
        <v>4607</v>
      </c>
      <c r="G2277" s="36" t="s">
        <v>28</v>
      </c>
      <c r="H2277" s="36" t="s">
        <v>1655</v>
      </c>
      <c r="I2277" s="36" t="s">
        <v>1656</v>
      </c>
      <c r="J2277" s="36" t="s">
        <v>1656</v>
      </c>
      <c r="K2277" s="36" t="s">
        <v>4196</v>
      </c>
      <c r="L2277" s="36" t="s">
        <v>5325</v>
      </c>
      <c r="M2277" s="36" t="s">
        <v>5325</v>
      </c>
      <c r="N2277" s="36" t="s">
        <v>34</v>
      </c>
    </row>
    <row r="2278">
      <c r="A2278" s="36" t="s">
        <v>5629</v>
      </c>
      <c r="B2278" s="154" t="s">
        <v>5630</v>
      </c>
      <c r="C2278" s="36" t="s">
        <v>1666</v>
      </c>
      <c r="D2278" s="36" t="s">
        <v>64</v>
      </c>
      <c r="E2278" s="36" t="s">
        <v>64</v>
      </c>
      <c r="F2278" s="154" t="s">
        <v>5631</v>
      </c>
      <c r="G2278" s="36" t="s">
        <v>28</v>
      </c>
      <c r="H2278" s="36" t="s">
        <v>1655</v>
      </c>
      <c r="I2278" s="36" t="s">
        <v>1656</v>
      </c>
      <c r="J2278" s="36" t="s">
        <v>1656</v>
      </c>
      <c r="K2278" s="36" t="s">
        <v>1708</v>
      </c>
      <c r="L2278" s="36" t="s">
        <v>5325</v>
      </c>
      <c r="M2278" s="36" t="s">
        <v>5325</v>
      </c>
      <c r="N2278" s="36" t="s">
        <v>32</v>
      </c>
    </row>
    <row r="2279">
      <c r="A2279" s="36" t="s">
        <v>5632</v>
      </c>
      <c r="B2279" s="154" t="s">
        <v>5630</v>
      </c>
      <c r="C2279" s="36" t="s">
        <v>1666</v>
      </c>
      <c r="D2279" s="36" t="s">
        <v>305</v>
      </c>
      <c r="E2279" s="36" t="s">
        <v>305</v>
      </c>
      <c r="F2279" s="154" t="s">
        <v>1816</v>
      </c>
      <c r="G2279" s="36" t="s">
        <v>32</v>
      </c>
      <c r="H2279" s="36" t="s">
        <v>1655</v>
      </c>
      <c r="I2279" s="36" t="s">
        <v>1656</v>
      </c>
      <c r="J2279" s="36" t="s">
        <v>1656</v>
      </c>
      <c r="K2279" s="36" t="s">
        <v>1672</v>
      </c>
      <c r="L2279" s="36" t="s">
        <v>5325</v>
      </c>
      <c r="M2279" s="36" t="s">
        <v>5325</v>
      </c>
      <c r="N2279" s="36" t="s">
        <v>32</v>
      </c>
    </row>
    <row r="2280">
      <c r="A2280" s="36" t="s">
        <v>5633</v>
      </c>
      <c r="B2280" s="154" t="s">
        <v>5630</v>
      </c>
      <c r="C2280" s="36" t="s">
        <v>1666</v>
      </c>
      <c r="D2280" s="36" t="s">
        <v>121</v>
      </c>
      <c r="E2280" s="36" t="s">
        <v>121</v>
      </c>
      <c r="F2280" s="154" t="s">
        <v>5532</v>
      </c>
      <c r="G2280" s="36" t="s">
        <v>28</v>
      </c>
      <c r="H2280" s="36" t="s">
        <v>1655</v>
      </c>
      <c r="I2280" s="36" t="s">
        <v>1656</v>
      </c>
      <c r="J2280" s="36" t="s">
        <v>1656</v>
      </c>
      <c r="K2280" s="36" t="s">
        <v>1675</v>
      </c>
      <c r="L2280" s="36" t="s">
        <v>5325</v>
      </c>
      <c r="M2280" s="36" t="s">
        <v>5325</v>
      </c>
      <c r="N2280" s="36" t="s">
        <v>32</v>
      </c>
    </row>
    <row r="2281">
      <c r="A2281" s="36" t="s">
        <v>5634</v>
      </c>
      <c r="B2281" s="154" t="s">
        <v>5630</v>
      </c>
      <c r="C2281" s="36" t="s">
        <v>1666</v>
      </c>
      <c r="D2281" s="36" t="s">
        <v>734</v>
      </c>
      <c r="E2281" s="36" t="s">
        <v>734</v>
      </c>
      <c r="F2281" s="154" t="s">
        <v>5530</v>
      </c>
      <c r="G2281" s="36" t="s">
        <v>32</v>
      </c>
      <c r="H2281" s="36" t="s">
        <v>1655</v>
      </c>
      <c r="I2281" s="36" t="s">
        <v>1656</v>
      </c>
      <c r="J2281" s="36" t="s">
        <v>1656</v>
      </c>
      <c r="K2281" s="36" t="s">
        <v>1678</v>
      </c>
      <c r="L2281" s="36" t="s">
        <v>5325</v>
      </c>
      <c r="M2281" s="36" t="s">
        <v>5325</v>
      </c>
      <c r="N2281" s="36" t="s">
        <v>32</v>
      </c>
    </row>
    <row r="2282">
      <c r="A2282" s="36" t="s">
        <v>5635</v>
      </c>
      <c r="B2282" s="154" t="s">
        <v>5636</v>
      </c>
      <c r="C2282" s="36" t="s">
        <v>1666</v>
      </c>
      <c r="D2282" s="36" t="s">
        <v>313</v>
      </c>
      <c r="E2282" s="36" t="s">
        <v>313</v>
      </c>
      <c r="F2282" s="154" t="s">
        <v>1816</v>
      </c>
      <c r="G2282" s="36" t="s">
        <v>32</v>
      </c>
      <c r="H2282" s="36" t="s">
        <v>1655</v>
      </c>
      <c r="I2282" s="36" t="s">
        <v>1656</v>
      </c>
      <c r="J2282" s="36" t="s">
        <v>1656</v>
      </c>
      <c r="K2282" s="36" t="s">
        <v>1681</v>
      </c>
      <c r="L2282" s="36" t="s">
        <v>5325</v>
      </c>
      <c r="M2282" s="36" t="s">
        <v>5325</v>
      </c>
      <c r="N2282" s="36" t="s">
        <v>32</v>
      </c>
    </row>
    <row r="2283">
      <c r="A2283" s="36" t="s">
        <v>5637</v>
      </c>
      <c r="B2283" s="154" t="s">
        <v>5636</v>
      </c>
      <c r="C2283" s="36" t="s">
        <v>1666</v>
      </c>
      <c r="D2283" s="36" t="s">
        <v>313</v>
      </c>
      <c r="E2283" s="36" t="s">
        <v>313</v>
      </c>
      <c r="F2283" s="154" t="s">
        <v>1806</v>
      </c>
      <c r="G2283" s="36" t="s">
        <v>32</v>
      </c>
      <c r="H2283" s="36" t="s">
        <v>1655</v>
      </c>
      <c r="I2283" s="36" t="s">
        <v>1656</v>
      </c>
      <c r="J2283" s="36" t="s">
        <v>1656</v>
      </c>
      <c r="K2283" s="36" t="s">
        <v>1684</v>
      </c>
      <c r="L2283" s="36" t="s">
        <v>5325</v>
      </c>
      <c r="M2283" s="36" t="s">
        <v>5325</v>
      </c>
      <c r="N2283" s="36" t="s">
        <v>32</v>
      </c>
    </row>
    <row r="2284">
      <c r="A2284" s="36" t="s">
        <v>5638</v>
      </c>
      <c r="B2284" s="154" t="s">
        <v>5639</v>
      </c>
      <c r="C2284" s="36" t="s">
        <v>1666</v>
      </c>
      <c r="D2284" s="36" t="s">
        <v>66</v>
      </c>
      <c r="E2284" s="36" t="s">
        <v>66</v>
      </c>
      <c r="F2284" s="154" t="s">
        <v>5256</v>
      </c>
      <c r="G2284" s="36" t="s">
        <v>28</v>
      </c>
      <c r="H2284" s="36" t="s">
        <v>1655</v>
      </c>
      <c r="I2284" s="36" t="s">
        <v>1656</v>
      </c>
      <c r="J2284" s="36" t="s">
        <v>1656</v>
      </c>
      <c r="K2284" s="36" t="s">
        <v>1721</v>
      </c>
      <c r="L2284" s="36" t="s">
        <v>5325</v>
      </c>
      <c r="M2284" s="36" t="s">
        <v>5325</v>
      </c>
      <c r="N2284" s="36" t="s">
        <v>32</v>
      </c>
    </row>
    <row r="2285">
      <c r="A2285" s="36" t="s">
        <v>5640</v>
      </c>
      <c r="B2285" s="154" t="s">
        <v>5639</v>
      </c>
      <c r="C2285" s="36" t="s">
        <v>1666</v>
      </c>
      <c r="D2285" s="36" t="s">
        <v>100</v>
      </c>
      <c r="E2285" s="36" t="s">
        <v>100</v>
      </c>
      <c r="F2285" s="154" t="s">
        <v>1810</v>
      </c>
      <c r="G2285" s="36" t="s">
        <v>32</v>
      </c>
      <c r="H2285" s="36" t="s">
        <v>1655</v>
      </c>
      <c r="I2285" s="36" t="s">
        <v>1656</v>
      </c>
      <c r="J2285" s="36" t="s">
        <v>1656</v>
      </c>
      <c r="K2285" s="36" t="s">
        <v>1691</v>
      </c>
      <c r="L2285" s="36" t="s">
        <v>5325</v>
      </c>
      <c r="M2285" s="36" t="s">
        <v>5325</v>
      </c>
      <c r="N2285" s="36" t="s">
        <v>32</v>
      </c>
    </row>
    <row r="2286">
      <c r="A2286" s="36" t="s">
        <v>5641</v>
      </c>
      <c r="B2286" s="154" t="s">
        <v>5642</v>
      </c>
      <c r="C2286" s="36" t="s">
        <v>1666</v>
      </c>
      <c r="D2286" s="36" t="s">
        <v>100</v>
      </c>
      <c r="E2286" s="36" t="s">
        <v>100</v>
      </c>
      <c r="F2286" s="154" t="s">
        <v>1810</v>
      </c>
      <c r="G2286" s="36" t="s">
        <v>32</v>
      </c>
      <c r="H2286" s="36" t="s">
        <v>1655</v>
      </c>
      <c r="I2286" s="36" t="s">
        <v>1656</v>
      </c>
      <c r="J2286" s="36" t="s">
        <v>1656</v>
      </c>
      <c r="K2286" s="36" t="s">
        <v>1695</v>
      </c>
      <c r="L2286" s="36" t="s">
        <v>5325</v>
      </c>
      <c r="M2286" s="36" t="s">
        <v>5325</v>
      </c>
      <c r="N2286" s="36" t="s">
        <v>32</v>
      </c>
    </row>
    <row r="2287">
      <c r="A2287" s="36" t="s">
        <v>5643</v>
      </c>
      <c r="B2287" s="154" t="s">
        <v>5644</v>
      </c>
      <c r="C2287" s="36" t="s">
        <v>1653</v>
      </c>
      <c r="D2287" s="36" t="s">
        <v>55</v>
      </c>
      <c r="E2287" s="36" t="s">
        <v>39</v>
      </c>
      <c r="F2287" s="154" t="s">
        <v>5645</v>
      </c>
      <c r="G2287" s="36" t="s">
        <v>32</v>
      </c>
      <c r="H2287" s="36" t="s">
        <v>1655</v>
      </c>
      <c r="I2287" s="36" t="s">
        <v>1656</v>
      </c>
      <c r="J2287" s="36" t="s">
        <v>1656</v>
      </c>
      <c r="K2287" s="36" t="s">
        <v>1749</v>
      </c>
      <c r="L2287" s="36" t="s">
        <v>5321</v>
      </c>
      <c r="M2287" s="36" t="s">
        <v>5321</v>
      </c>
      <c r="N2287" s="36" t="s">
        <v>32</v>
      </c>
    </row>
    <row r="2288">
      <c r="A2288" s="36" t="s">
        <v>5646</v>
      </c>
      <c r="B2288" s="154" t="s">
        <v>5644</v>
      </c>
      <c r="C2288" s="36" t="s">
        <v>1666</v>
      </c>
      <c r="D2288" s="36" t="s">
        <v>71</v>
      </c>
      <c r="E2288" s="36" t="s">
        <v>71</v>
      </c>
      <c r="F2288" s="154" t="s">
        <v>5555</v>
      </c>
      <c r="G2288" s="36" t="s">
        <v>32</v>
      </c>
      <c r="H2288" s="36" t="s">
        <v>1655</v>
      </c>
      <c r="I2288" s="36" t="s">
        <v>1656</v>
      </c>
      <c r="J2288" s="36" t="s">
        <v>1656</v>
      </c>
      <c r="K2288" s="36" t="s">
        <v>1752</v>
      </c>
      <c r="L2288" s="36" t="s">
        <v>5325</v>
      </c>
      <c r="M2288" s="36" t="s">
        <v>5325</v>
      </c>
      <c r="N2288" s="36" t="s">
        <v>32</v>
      </c>
    </row>
    <row r="2289">
      <c r="A2289" s="36" t="s">
        <v>5647</v>
      </c>
      <c r="B2289" s="154" t="s">
        <v>5644</v>
      </c>
      <c r="C2289" s="36" t="s">
        <v>1666</v>
      </c>
      <c r="D2289" s="36" t="s">
        <v>73</v>
      </c>
      <c r="E2289" s="36" t="s">
        <v>73</v>
      </c>
      <c r="F2289" s="154" t="s">
        <v>5557</v>
      </c>
      <c r="G2289" s="36" t="s">
        <v>28</v>
      </c>
      <c r="H2289" s="36" t="s">
        <v>1655</v>
      </c>
      <c r="I2289" s="36" t="s">
        <v>1656</v>
      </c>
      <c r="J2289" s="36" t="s">
        <v>1656</v>
      </c>
      <c r="K2289" s="36" t="s">
        <v>1755</v>
      </c>
      <c r="L2289" s="36" t="s">
        <v>5325</v>
      </c>
      <c r="M2289" s="36" t="s">
        <v>5325</v>
      </c>
      <c r="N2289" s="36" t="s">
        <v>32</v>
      </c>
    </row>
    <row r="2290">
      <c r="A2290" s="36" t="s">
        <v>5648</v>
      </c>
      <c r="B2290" s="154" t="s">
        <v>5644</v>
      </c>
      <c r="C2290" s="36" t="s">
        <v>1666</v>
      </c>
      <c r="D2290" s="36" t="s">
        <v>74</v>
      </c>
      <c r="E2290" s="36" t="s">
        <v>74</v>
      </c>
      <c r="F2290" s="154" t="s">
        <v>5559</v>
      </c>
      <c r="G2290" s="36" t="s">
        <v>32</v>
      </c>
      <c r="H2290" s="36" t="s">
        <v>1655</v>
      </c>
      <c r="I2290" s="36" t="s">
        <v>1656</v>
      </c>
      <c r="J2290" s="36" t="s">
        <v>1656</v>
      </c>
      <c r="K2290" s="36" t="s">
        <v>1757</v>
      </c>
      <c r="L2290" s="36" t="s">
        <v>5325</v>
      </c>
      <c r="M2290" s="36" t="s">
        <v>5325</v>
      </c>
      <c r="N2290" s="36" t="s">
        <v>32</v>
      </c>
    </row>
    <row r="2291">
      <c r="A2291" s="36" t="s">
        <v>5649</v>
      </c>
      <c r="B2291" s="154" t="s">
        <v>5644</v>
      </c>
      <c r="C2291" s="36" t="s">
        <v>1666</v>
      </c>
      <c r="D2291" s="36" t="s">
        <v>75</v>
      </c>
      <c r="E2291" s="36" t="s">
        <v>75</v>
      </c>
      <c r="F2291" s="154" t="s">
        <v>5561</v>
      </c>
      <c r="G2291" s="36" t="s">
        <v>28</v>
      </c>
      <c r="H2291" s="36" t="s">
        <v>1655</v>
      </c>
      <c r="I2291" s="36" t="s">
        <v>1656</v>
      </c>
      <c r="J2291" s="36" t="s">
        <v>1656</v>
      </c>
      <c r="K2291" s="36" t="s">
        <v>1760</v>
      </c>
      <c r="L2291" s="36" t="s">
        <v>5325</v>
      </c>
      <c r="M2291" s="36" t="s">
        <v>5325</v>
      </c>
      <c r="N2291" s="36" t="s">
        <v>32</v>
      </c>
    </row>
    <row r="2292">
      <c r="A2292" s="36" t="s">
        <v>5650</v>
      </c>
      <c r="B2292" s="154" t="s">
        <v>5644</v>
      </c>
      <c r="C2292" s="36" t="s">
        <v>1666</v>
      </c>
      <c r="D2292" s="36" t="s">
        <v>76</v>
      </c>
      <c r="E2292" s="36" t="s">
        <v>76</v>
      </c>
      <c r="F2292" s="154" t="s">
        <v>5651</v>
      </c>
      <c r="G2292" s="36" t="s">
        <v>28</v>
      </c>
      <c r="H2292" s="36" t="s">
        <v>1655</v>
      </c>
      <c r="I2292" s="36" t="s">
        <v>1656</v>
      </c>
      <c r="J2292" s="36" t="s">
        <v>1656</v>
      </c>
      <c r="K2292" s="36" t="s">
        <v>1763</v>
      </c>
      <c r="L2292" s="36" t="s">
        <v>5325</v>
      </c>
      <c r="M2292" s="36" t="s">
        <v>5325</v>
      </c>
      <c r="N2292" s="36" t="s">
        <v>32</v>
      </c>
    </row>
    <row r="2293">
      <c r="A2293" s="36" t="s">
        <v>5652</v>
      </c>
      <c r="B2293" s="154" t="s">
        <v>5644</v>
      </c>
      <c r="C2293" s="36" t="s">
        <v>1666</v>
      </c>
      <c r="D2293" s="36" t="s">
        <v>712</v>
      </c>
      <c r="E2293" s="36" t="s">
        <v>712</v>
      </c>
      <c r="F2293" s="154" t="s">
        <v>5084</v>
      </c>
      <c r="G2293" s="36" t="s">
        <v>28</v>
      </c>
      <c r="H2293" s="36" t="s">
        <v>1655</v>
      </c>
      <c r="I2293" s="36" t="s">
        <v>1656</v>
      </c>
      <c r="J2293" s="36" t="s">
        <v>1656</v>
      </c>
      <c r="K2293" s="36" t="s">
        <v>1766</v>
      </c>
      <c r="L2293" s="36" t="s">
        <v>5325</v>
      </c>
      <c r="M2293" s="36" t="s">
        <v>5325</v>
      </c>
      <c r="N2293" s="36" t="s">
        <v>32</v>
      </c>
    </row>
    <row r="2294">
      <c r="A2294" s="36" t="s">
        <v>5653</v>
      </c>
      <c r="B2294" s="154" t="s">
        <v>5644</v>
      </c>
      <c r="C2294" s="36" t="s">
        <v>1666</v>
      </c>
      <c r="D2294" s="36" t="s">
        <v>77</v>
      </c>
      <c r="E2294" s="36" t="s">
        <v>77</v>
      </c>
      <c r="F2294" s="154" t="s">
        <v>1768</v>
      </c>
      <c r="G2294" s="36" t="s">
        <v>34</v>
      </c>
      <c r="H2294" s="36" t="s">
        <v>1655</v>
      </c>
      <c r="I2294" s="36" t="s">
        <v>1656</v>
      </c>
      <c r="J2294" s="36" t="s">
        <v>1656</v>
      </c>
      <c r="K2294" s="36" t="s">
        <v>4248</v>
      </c>
      <c r="L2294" s="36" t="s">
        <v>5325</v>
      </c>
      <c r="M2294" s="36" t="s">
        <v>5325</v>
      </c>
      <c r="N2294" s="36" t="s">
        <v>32</v>
      </c>
    </row>
    <row r="2295">
      <c r="A2295" s="36" t="s">
        <v>5654</v>
      </c>
      <c r="B2295" s="154" t="s">
        <v>5644</v>
      </c>
      <c r="C2295" s="36" t="s">
        <v>1666</v>
      </c>
      <c r="D2295" s="36" t="s">
        <v>670</v>
      </c>
      <c r="E2295" s="36" t="s">
        <v>670</v>
      </c>
      <c r="F2295" s="154" t="s">
        <v>5655</v>
      </c>
      <c r="G2295" s="36" t="s">
        <v>28</v>
      </c>
      <c r="H2295" s="36" t="s">
        <v>1655</v>
      </c>
      <c r="I2295" s="36" t="s">
        <v>1656</v>
      </c>
      <c r="J2295" s="36" t="s">
        <v>1656</v>
      </c>
      <c r="K2295" s="36" t="s">
        <v>1698</v>
      </c>
      <c r="L2295" s="36" t="s">
        <v>5325</v>
      </c>
      <c r="M2295" s="36" t="s">
        <v>5325</v>
      </c>
      <c r="N2295" s="36" t="s">
        <v>32</v>
      </c>
    </row>
    <row r="2296">
      <c r="A2296" s="36" t="s">
        <v>5656</v>
      </c>
      <c r="B2296" s="154" t="s">
        <v>5644</v>
      </c>
      <c r="C2296" s="36" t="s">
        <v>1666</v>
      </c>
      <c r="D2296" s="36" t="s">
        <v>115</v>
      </c>
      <c r="E2296" s="36" t="s">
        <v>115</v>
      </c>
      <c r="F2296" s="154" t="s">
        <v>1683</v>
      </c>
      <c r="G2296" s="36" t="s">
        <v>32</v>
      </c>
      <c r="H2296" s="36" t="s">
        <v>1655</v>
      </c>
      <c r="I2296" s="36" t="s">
        <v>1656</v>
      </c>
      <c r="J2296" s="36" t="s">
        <v>1656</v>
      </c>
      <c r="K2296" s="36" t="s">
        <v>1701</v>
      </c>
      <c r="L2296" s="36" t="s">
        <v>5325</v>
      </c>
      <c r="M2296" s="36" t="s">
        <v>5325</v>
      </c>
      <c r="N2296" s="36" t="s">
        <v>32</v>
      </c>
    </row>
    <row r="2297">
      <c r="A2297" s="36" t="s">
        <v>5657</v>
      </c>
      <c r="B2297" s="154" t="s">
        <v>5644</v>
      </c>
      <c r="C2297" s="36" t="s">
        <v>1666</v>
      </c>
      <c r="D2297" s="36" t="s">
        <v>114</v>
      </c>
      <c r="E2297" s="36" t="s">
        <v>114</v>
      </c>
      <c r="F2297" s="154" t="s">
        <v>1799</v>
      </c>
      <c r="G2297" s="36" t="s">
        <v>32</v>
      </c>
      <c r="H2297" s="36" t="s">
        <v>1655</v>
      </c>
      <c r="I2297" s="36" t="s">
        <v>1656</v>
      </c>
      <c r="J2297" s="36" t="s">
        <v>1656</v>
      </c>
      <c r="K2297" s="36" t="s">
        <v>1704</v>
      </c>
      <c r="L2297" s="36" t="s">
        <v>5325</v>
      </c>
      <c r="M2297" s="36" t="s">
        <v>5325</v>
      </c>
      <c r="N2297" s="36" t="s">
        <v>32</v>
      </c>
    </row>
    <row r="2298">
      <c r="A2298" s="36" t="s">
        <v>5658</v>
      </c>
      <c r="B2298" s="154" t="s">
        <v>5644</v>
      </c>
      <c r="C2298" s="36" t="s">
        <v>1666</v>
      </c>
      <c r="D2298" s="36" t="s">
        <v>226</v>
      </c>
      <c r="E2298" s="36" t="s">
        <v>226</v>
      </c>
      <c r="F2298" s="154" t="s">
        <v>5659</v>
      </c>
      <c r="G2298" s="36" t="s">
        <v>32</v>
      </c>
      <c r="H2298" s="36" t="s">
        <v>1655</v>
      </c>
      <c r="I2298" s="36" t="s">
        <v>1656</v>
      </c>
      <c r="J2298" s="36" t="s">
        <v>1656</v>
      </c>
      <c r="K2298" s="36" t="s">
        <v>1711</v>
      </c>
      <c r="L2298" s="36" t="s">
        <v>5325</v>
      </c>
      <c r="M2298" s="36" t="s">
        <v>5325</v>
      </c>
      <c r="N2298" s="36" t="s">
        <v>32</v>
      </c>
    </row>
    <row r="2299">
      <c r="A2299" s="36" t="s">
        <v>5660</v>
      </c>
      <c r="B2299" s="154" t="s">
        <v>5644</v>
      </c>
      <c r="C2299" s="36" t="s">
        <v>1666</v>
      </c>
      <c r="D2299" s="36" t="s">
        <v>220</v>
      </c>
      <c r="E2299" s="36" t="s">
        <v>220</v>
      </c>
      <c r="F2299" s="154" t="s">
        <v>5661</v>
      </c>
      <c r="G2299" s="36" t="s">
        <v>28</v>
      </c>
      <c r="H2299" s="36" t="s">
        <v>1655</v>
      </c>
      <c r="I2299" s="36" t="s">
        <v>1656</v>
      </c>
      <c r="J2299" s="36" t="s">
        <v>1656</v>
      </c>
      <c r="K2299" s="36" t="s">
        <v>1715</v>
      </c>
      <c r="L2299" s="36" t="s">
        <v>5325</v>
      </c>
      <c r="M2299" s="36" t="s">
        <v>5325</v>
      </c>
      <c r="N2299" s="36" t="s">
        <v>32</v>
      </c>
    </row>
    <row r="2300">
      <c r="A2300" s="36" t="s">
        <v>5662</v>
      </c>
      <c r="B2300" s="154" t="s">
        <v>5663</v>
      </c>
      <c r="C2300" s="36" t="s">
        <v>1666</v>
      </c>
      <c r="D2300" s="36" t="s">
        <v>353</v>
      </c>
      <c r="E2300" s="36" t="s">
        <v>353</v>
      </c>
      <c r="F2300" s="154" t="s">
        <v>1810</v>
      </c>
      <c r="G2300" s="36" t="s">
        <v>28</v>
      </c>
      <c r="H2300" s="36" t="s">
        <v>1655</v>
      </c>
      <c r="I2300" s="36" t="s">
        <v>1656</v>
      </c>
      <c r="J2300" s="36" t="s">
        <v>1656</v>
      </c>
      <c r="K2300" s="36" t="s">
        <v>1717</v>
      </c>
      <c r="L2300" s="36" t="s">
        <v>5325</v>
      </c>
      <c r="M2300" s="36" t="s">
        <v>5325</v>
      </c>
      <c r="N2300" s="36" t="s">
        <v>32</v>
      </c>
    </row>
    <row r="2301">
      <c r="A2301" s="36" t="s">
        <v>5664</v>
      </c>
      <c r="B2301" s="154" t="s">
        <v>5665</v>
      </c>
      <c r="C2301" s="36" t="s">
        <v>1666</v>
      </c>
      <c r="D2301" s="36" t="s">
        <v>695</v>
      </c>
      <c r="E2301" s="36" t="s">
        <v>695</v>
      </c>
      <c r="F2301" s="154" t="s">
        <v>1744</v>
      </c>
      <c r="G2301" s="36" t="s">
        <v>28</v>
      </c>
      <c r="H2301" s="36" t="s">
        <v>1655</v>
      </c>
      <c r="I2301" s="36" t="s">
        <v>1656</v>
      </c>
      <c r="J2301" s="36" t="s">
        <v>1656</v>
      </c>
      <c r="K2301" s="36" t="s">
        <v>1724</v>
      </c>
      <c r="L2301" s="36" t="s">
        <v>5325</v>
      </c>
      <c r="M2301" s="36" t="s">
        <v>5325</v>
      </c>
      <c r="N2301" s="36" t="s">
        <v>32</v>
      </c>
    </row>
    <row r="2302">
      <c r="A2302" s="36" t="s">
        <v>5666</v>
      </c>
      <c r="B2302" s="154" t="s">
        <v>5665</v>
      </c>
      <c r="C2302" s="36" t="s">
        <v>1666</v>
      </c>
      <c r="D2302" s="36" t="s">
        <v>218</v>
      </c>
      <c r="E2302" s="36" t="s">
        <v>218</v>
      </c>
      <c r="F2302" s="154" t="s">
        <v>1686</v>
      </c>
      <c r="G2302" s="36" t="s">
        <v>32</v>
      </c>
      <c r="H2302" s="36" t="s">
        <v>1655</v>
      </c>
      <c r="I2302" s="36" t="s">
        <v>1656</v>
      </c>
      <c r="J2302" s="36" t="s">
        <v>1656</v>
      </c>
      <c r="K2302" s="36" t="s">
        <v>1727</v>
      </c>
      <c r="L2302" s="36" t="s">
        <v>5325</v>
      </c>
      <c r="M2302" s="36" t="s">
        <v>5325</v>
      </c>
      <c r="N2302" s="36" t="s">
        <v>32</v>
      </c>
    </row>
    <row r="2303">
      <c r="A2303" s="36" t="s">
        <v>5667</v>
      </c>
      <c r="B2303" s="154" t="s">
        <v>5665</v>
      </c>
      <c r="C2303" s="36" t="s">
        <v>1666</v>
      </c>
      <c r="D2303" s="36" t="s">
        <v>295</v>
      </c>
      <c r="E2303" s="36" t="s">
        <v>295</v>
      </c>
      <c r="F2303" s="154" t="s">
        <v>1874</v>
      </c>
      <c r="G2303" s="36" t="s">
        <v>32</v>
      </c>
      <c r="H2303" s="36" t="s">
        <v>1655</v>
      </c>
      <c r="I2303" s="36" t="s">
        <v>1656</v>
      </c>
      <c r="J2303" s="36" t="s">
        <v>1656</v>
      </c>
      <c r="K2303" s="36" t="s">
        <v>1730</v>
      </c>
      <c r="L2303" s="36" t="s">
        <v>5325</v>
      </c>
      <c r="M2303" s="36" t="s">
        <v>5325</v>
      </c>
      <c r="N2303" s="36" t="s">
        <v>32</v>
      </c>
    </row>
    <row r="2304">
      <c r="A2304" s="36" t="s">
        <v>5668</v>
      </c>
      <c r="B2304" s="154" t="s">
        <v>5669</v>
      </c>
      <c r="C2304" s="36" t="s">
        <v>1666</v>
      </c>
      <c r="D2304" s="36" t="s">
        <v>109</v>
      </c>
      <c r="E2304" s="36" t="s">
        <v>109</v>
      </c>
      <c r="F2304" s="154" t="s">
        <v>5430</v>
      </c>
      <c r="G2304" s="36" t="s">
        <v>28</v>
      </c>
      <c r="H2304" s="36" t="s">
        <v>1655</v>
      </c>
      <c r="I2304" s="36" t="s">
        <v>1656</v>
      </c>
      <c r="J2304" s="36" t="s">
        <v>1656</v>
      </c>
      <c r="K2304" s="36" t="s">
        <v>1732</v>
      </c>
      <c r="L2304" s="36" t="s">
        <v>5325</v>
      </c>
      <c r="M2304" s="36" t="s">
        <v>5325</v>
      </c>
      <c r="N2304" s="36" t="s">
        <v>32</v>
      </c>
    </row>
    <row r="2305">
      <c r="A2305" s="36" t="s">
        <v>5670</v>
      </c>
      <c r="B2305" s="154" t="s">
        <v>5671</v>
      </c>
      <c r="C2305" s="36" t="s">
        <v>1666</v>
      </c>
      <c r="D2305" s="36" t="s">
        <v>475</v>
      </c>
      <c r="E2305" s="36" t="s">
        <v>475</v>
      </c>
      <c r="F2305" s="154" t="s">
        <v>1959</v>
      </c>
      <c r="G2305" s="36" t="s">
        <v>28</v>
      </c>
      <c r="H2305" s="36" t="s">
        <v>1655</v>
      </c>
      <c r="I2305" s="36" t="s">
        <v>1656</v>
      </c>
      <c r="J2305" s="36" t="s">
        <v>1656</v>
      </c>
      <c r="K2305" s="36" t="s">
        <v>1736</v>
      </c>
      <c r="L2305" s="36" t="s">
        <v>5325</v>
      </c>
      <c r="M2305" s="36" t="s">
        <v>5325</v>
      </c>
      <c r="N2305" s="36" t="s">
        <v>32</v>
      </c>
    </row>
    <row r="2306">
      <c r="A2306" s="36" t="s">
        <v>5672</v>
      </c>
      <c r="B2306" s="154" t="s">
        <v>5673</v>
      </c>
      <c r="C2306" s="36" t="s">
        <v>1666</v>
      </c>
      <c r="D2306" s="36" t="s">
        <v>799</v>
      </c>
      <c r="E2306" s="36" t="s">
        <v>799</v>
      </c>
      <c r="F2306" s="154" t="s">
        <v>5674</v>
      </c>
      <c r="G2306" s="36" t="s">
        <v>32</v>
      </c>
      <c r="H2306" s="36" t="s">
        <v>1655</v>
      </c>
      <c r="I2306" s="36" t="s">
        <v>1656</v>
      </c>
      <c r="J2306" s="36" t="s">
        <v>1656</v>
      </c>
      <c r="K2306" s="36" t="s">
        <v>1739</v>
      </c>
      <c r="L2306" s="36" t="s">
        <v>5325</v>
      </c>
      <c r="M2306" s="36" t="s">
        <v>5325</v>
      </c>
      <c r="N2306" s="36" t="s">
        <v>32</v>
      </c>
    </row>
    <row r="2307">
      <c r="A2307" s="36" t="s">
        <v>5675</v>
      </c>
      <c r="B2307" s="154" t="s">
        <v>5676</v>
      </c>
      <c r="C2307" s="36" t="s">
        <v>1666</v>
      </c>
      <c r="D2307" s="36" t="s">
        <v>94</v>
      </c>
      <c r="E2307" s="36" t="s">
        <v>94</v>
      </c>
      <c r="F2307" s="154" t="s">
        <v>1816</v>
      </c>
      <c r="G2307" s="36" t="s">
        <v>28</v>
      </c>
      <c r="H2307" s="36" t="s">
        <v>1655</v>
      </c>
      <c r="I2307" s="36" t="s">
        <v>1656</v>
      </c>
      <c r="J2307" s="36" t="s">
        <v>1656</v>
      </c>
      <c r="K2307" s="36" t="s">
        <v>1742</v>
      </c>
      <c r="L2307" s="36" t="s">
        <v>5325</v>
      </c>
      <c r="M2307" s="36" t="s">
        <v>5325</v>
      </c>
      <c r="N2307" s="36" t="s">
        <v>32</v>
      </c>
    </row>
    <row r="2308">
      <c r="A2308" s="36" t="s">
        <v>5677</v>
      </c>
      <c r="B2308" s="154" t="s">
        <v>5676</v>
      </c>
      <c r="C2308" s="36" t="s">
        <v>1666</v>
      </c>
      <c r="D2308" s="36" t="s">
        <v>811</v>
      </c>
      <c r="E2308" s="36" t="s">
        <v>811</v>
      </c>
      <c r="F2308" s="154" t="s">
        <v>5678</v>
      </c>
      <c r="G2308" s="36" t="s">
        <v>32</v>
      </c>
      <c r="H2308" s="36" t="s">
        <v>1655</v>
      </c>
      <c r="I2308" s="36" t="s">
        <v>1656</v>
      </c>
      <c r="J2308" s="36" t="s">
        <v>1656</v>
      </c>
      <c r="K2308" s="36" t="s">
        <v>1745</v>
      </c>
      <c r="L2308" s="36" t="s">
        <v>5325</v>
      </c>
      <c r="M2308" s="36" t="s">
        <v>5325</v>
      </c>
      <c r="N2308" s="36" t="s">
        <v>32</v>
      </c>
    </row>
    <row r="2309">
      <c r="A2309" s="36" t="s">
        <v>5679</v>
      </c>
      <c r="B2309" s="154" t="s">
        <v>5676</v>
      </c>
      <c r="C2309" s="36" t="s">
        <v>1666</v>
      </c>
      <c r="D2309" s="36" t="s">
        <v>92</v>
      </c>
      <c r="E2309" s="36" t="s">
        <v>92</v>
      </c>
      <c r="F2309" s="154" t="s">
        <v>2922</v>
      </c>
      <c r="G2309" s="36" t="s">
        <v>32</v>
      </c>
      <c r="H2309" s="36" t="s">
        <v>1655</v>
      </c>
      <c r="I2309" s="36" t="s">
        <v>1656</v>
      </c>
      <c r="J2309" s="36" t="s">
        <v>1656</v>
      </c>
      <c r="K2309" s="36" t="s">
        <v>1773</v>
      </c>
      <c r="L2309" s="36" t="s">
        <v>5325</v>
      </c>
      <c r="M2309" s="36" t="s">
        <v>5325</v>
      </c>
      <c r="N2309" s="36" t="s">
        <v>32</v>
      </c>
    </row>
    <row r="2310">
      <c r="A2310" s="36" t="s">
        <v>5680</v>
      </c>
      <c r="B2310" s="154" t="s">
        <v>5676</v>
      </c>
      <c r="C2310" s="36" t="s">
        <v>1666</v>
      </c>
      <c r="D2310" s="36" t="s">
        <v>92</v>
      </c>
      <c r="E2310" s="36" t="s">
        <v>92</v>
      </c>
      <c r="F2310" s="154" t="s">
        <v>1810</v>
      </c>
      <c r="G2310" s="36" t="s">
        <v>32</v>
      </c>
      <c r="H2310" s="36" t="s">
        <v>1655</v>
      </c>
      <c r="I2310" s="36" t="s">
        <v>1656</v>
      </c>
      <c r="J2310" s="36" t="s">
        <v>1656</v>
      </c>
      <c r="K2310" s="36" t="s">
        <v>1776</v>
      </c>
      <c r="L2310" s="36" t="s">
        <v>5325</v>
      </c>
      <c r="M2310" s="36" t="s">
        <v>5325</v>
      </c>
      <c r="N2310" s="36" t="s">
        <v>32</v>
      </c>
    </row>
    <row r="2311">
      <c r="A2311" s="36" t="s">
        <v>5681</v>
      </c>
      <c r="B2311" s="154" t="s">
        <v>5676</v>
      </c>
      <c r="C2311" s="36" t="s">
        <v>1666</v>
      </c>
      <c r="D2311" s="36" t="s">
        <v>92</v>
      </c>
      <c r="E2311" s="36" t="s">
        <v>92</v>
      </c>
      <c r="F2311" s="154" t="s">
        <v>1768</v>
      </c>
      <c r="G2311" s="36" t="s">
        <v>32</v>
      </c>
      <c r="H2311" s="36" t="s">
        <v>1655</v>
      </c>
      <c r="I2311" s="36" t="s">
        <v>1656</v>
      </c>
      <c r="J2311" s="36" t="s">
        <v>1656</v>
      </c>
      <c r="K2311" s="36" t="s">
        <v>1779</v>
      </c>
      <c r="L2311" s="36" t="s">
        <v>5325</v>
      </c>
      <c r="M2311" s="36" t="s">
        <v>5325</v>
      </c>
      <c r="N2311" s="36" t="s">
        <v>32</v>
      </c>
    </row>
    <row r="2312">
      <c r="A2312" s="36" t="s">
        <v>5682</v>
      </c>
      <c r="B2312" s="154" t="s">
        <v>5676</v>
      </c>
      <c r="C2312" s="36" t="s">
        <v>1666</v>
      </c>
      <c r="D2312" s="36" t="s">
        <v>218</v>
      </c>
      <c r="E2312" s="36" t="s">
        <v>218</v>
      </c>
      <c r="F2312" s="154" t="s">
        <v>1686</v>
      </c>
      <c r="G2312" s="36" t="s">
        <v>32</v>
      </c>
      <c r="H2312" s="36" t="s">
        <v>1655</v>
      </c>
      <c r="I2312" s="36" t="s">
        <v>1656</v>
      </c>
      <c r="J2312" s="36" t="s">
        <v>1656</v>
      </c>
      <c r="K2312" s="36" t="s">
        <v>1782</v>
      </c>
      <c r="L2312" s="36" t="s">
        <v>5325</v>
      </c>
      <c r="M2312" s="36" t="s">
        <v>5325</v>
      </c>
      <c r="N2312" s="36" t="s">
        <v>32</v>
      </c>
    </row>
    <row r="2313">
      <c r="A2313" s="36" t="s">
        <v>5683</v>
      </c>
      <c r="B2313" s="154" t="s">
        <v>5676</v>
      </c>
      <c r="C2313" s="36" t="s">
        <v>1666</v>
      </c>
      <c r="D2313" s="36" t="s">
        <v>825</v>
      </c>
      <c r="E2313" s="36" t="s">
        <v>825</v>
      </c>
      <c r="F2313" s="154" t="s">
        <v>3838</v>
      </c>
      <c r="G2313" s="36" t="s">
        <v>32</v>
      </c>
      <c r="H2313" s="36" t="s">
        <v>1655</v>
      </c>
      <c r="I2313" s="36" t="s">
        <v>1656</v>
      </c>
      <c r="J2313" s="36" t="s">
        <v>1656</v>
      </c>
      <c r="K2313" s="36" t="s">
        <v>1784</v>
      </c>
      <c r="L2313" s="36" t="s">
        <v>5325</v>
      </c>
      <c r="M2313" s="36" t="s">
        <v>5325</v>
      </c>
      <c r="N2313" s="36" t="s">
        <v>32</v>
      </c>
    </row>
    <row r="2314">
      <c r="A2314" s="36" t="s">
        <v>5684</v>
      </c>
      <c r="B2314" s="154" t="s">
        <v>5685</v>
      </c>
      <c r="C2314" s="36" t="s">
        <v>1666</v>
      </c>
      <c r="D2314" s="36" t="s">
        <v>79</v>
      </c>
      <c r="E2314" s="36" t="s">
        <v>79</v>
      </c>
      <c r="F2314" s="154" t="s">
        <v>5606</v>
      </c>
      <c r="G2314" s="36" t="s">
        <v>32</v>
      </c>
      <c r="H2314" s="36" t="s">
        <v>1655</v>
      </c>
      <c r="I2314" s="36" t="s">
        <v>1656</v>
      </c>
      <c r="J2314" s="36" t="s">
        <v>1656</v>
      </c>
      <c r="K2314" s="36" t="s">
        <v>1811</v>
      </c>
      <c r="L2314" s="36" t="s">
        <v>5325</v>
      </c>
      <c r="M2314" s="36" t="s">
        <v>5325</v>
      </c>
      <c r="N2314" s="36" t="s">
        <v>32</v>
      </c>
    </row>
    <row r="2315">
      <c r="A2315" s="36" t="s">
        <v>5686</v>
      </c>
      <c r="B2315" s="154" t="s">
        <v>5687</v>
      </c>
      <c r="C2315" s="36" t="s">
        <v>1666</v>
      </c>
      <c r="D2315" s="36" t="s">
        <v>130</v>
      </c>
      <c r="E2315" s="36" t="s">
        <v>130</v>
      </c>
      <c r="F2315" s="154" t="s">
        <v>1768</v>
      </c>
      <c r="G2315" s="36" t="s">
        <v>32</v>
      </c>
      <c r="H2315" s="36" t="s">
        <v>1655</v>
      </c>
      <c r="I2315" s="36" t="s">
        <v>1656</v>
      </c>
      <c r="J2315" s="36" t="s">
        <v>1656</v>
      </c>
      <c r="K2315" s="36" t="s">
        <v>1787</v>
      </c>
      <c r="L2315" s="36" t="s">
        <v>5325</v>
      </c>
      <c r="M2315" s="36" t="s">
        <v>5325</v>
      </c>
      <c r="N2315" s="36" t="s">
        <v>32</v>
      </c>
    </row>
    <row r="2316">
      <c r="A2316" s="36" t="s">
        <v>5688</v>
      </c>
      <c r="B2316" s="154" t="s">
        <v>5689</v>
      </c>
      <c r="C2316" s="36" t="s">
        <v>1666</v>
      </c>
      <c r="D2316" s="36" t="s">
        <v>81</v>
      </c>
      <c r="E2316" s="36" t="s">
        <v>81</v>
      </c>
      <c r="F2316" s="154" t="s">
        <v>5608</v>
      </c>
      <c r="G2316" s="36" t="s">
        <v>28</v>
      </c>
      <c r="H2316" s="36" t="s">
        <v>1655</v>
      </c>
      <c r="I2316" s="36" t="s">
        <v>1656</v>
      </c>
      <c r="J2316" s="36" t="s">
        <v>1656</v>
      </c>
      <c r="K2316" s="36" t="s">
        <v>1891</v>
      </c>
      <c r="L2316" s="36" t="s">
        <v>5325</v>
      </c>
      <c r="M2316" s="36" t="s">
        <v>5325</v>
      </c>
      <c r="N2316" s="36" t="s">
        <v>32</v>
      </c>
    </row>
    <row r="2317">
      <c r="A2317" s="36" t="s">
        <v>5690</v>
      </c>
      <c r="B2317" s="154" t="s">
        <v>5689</v>
      </c>
      <c r="C2317" s="36" t="s">
        <v>1666</v>
      </c>
      <c r="D2317" s="36" t="s">
        <v>83</v>
      </c>
      <c r="E2317" s="36" t="s">
        <v>83</v>
      </c>
      <c r="F2317" s="154" t="s">
        <v>5691</v>
      </c>
      <c r="G2317" s="36" t="s">
        <v>28</v>
      </c>
      <c r="H2317" s="36" t="s">
        <v>1655</v>
      </c>
      <c r="I2317" s="36" t="s">
        <v>1656</v>
      </c>
      <c r="J2317" s="36" t="s">
        <v>1656</v>
      </c>
      <c r="K2317" s="36" t="s">
        <v>1921</v>
      </c>
      <c r="L2317" s="36" t="s">
        <v>5325</v>
      </c>
      <c r="M2317" s="36" t="s">
        <v>5325</v>
      </c>
      <c r="N2317" s="36" t="s">
        <v>32</v>
      </c>
    </row>
    <row r="2318">
      <c r="A2318" s="36" t="s">
        <v>5692</v>
      </c>
      <c r="B2318" s="154" t="s">
        <v>5689</v>
      </c>
      <c r="C2318" s="36" t="s">
        <v>1666</v>
      </c>
      <c r="D2318" s="36" t="s">
        <v>84</v>
      </c>
      <c r="E2318" s="36" t="s">
        <v>84</v>
      </c>
      <c r="F2318" s="154" t="s">
        <v>5693</v>
      </c>
      <c r="G2318" s="36" t="s">
        <v>32</v>
      </c>
      <c r="H2318" s="36" t="s">
        <v>1655</v>
      </c>
      <c r="I2318" s="36" t="s">
        <v>1656</v>
      </c>
      <c r="J2318" s="36" t="s">
        <v>1656</v>
      </c>
      <c r="K2318" s="36" t="s">
        <v>3166</v>
      </c>
      <c r="L2318" s="36" t="s">
        <v>5325</v>
      </c>
      <c r="M2318" s="36" t="s">
        <v>5325</v>
      </c>
      <c r="N2318" s="36" t="s">
        <v>32</v>
      </c>
    </row>
    <row r="2319">
      <c r="A2319" s="36" t="s">
        <v>5694</v>
      </c>
      <c r="B2319" s="154" t="s">
        <v>5695</v>
      </c>
      <c r="C2319" s="36" t="s">
        <v>1653</v>
      </c>
      <c r="D2319" s="36" t="s">
        <v>418</v>
      </c>
      <c r="E2319" s="36" t="s">
        <v>39</v>
      </c>
      <c r="F2319" s="154" t="s">
        <v>5696</v>
      </c>
      <c r="G2319" s="36" t="s">
        <v>32</v>
      </c>
      <c r="H2319" s="36" t="s">
        <v>1655</v>
      </c>
      <c r="I2319" s="36" t="s">
        <v>1656</v>
      </c>
      <c r="J2319" s="36" t="s">
        <v>1656</v>
      </c>
      <c r="K2319" s="36" t="s">
        <v>2265</v>
      </c>
      <c r="L2319" s="36" t="s">
        <v>5321</v>
      </c>
      <c r="M2319" s="36" t="s">
        <v>5321</v>
      </c>
      <c r="N2319" s="36" t="s">
        <v>32</v>
      </c>
    </row>
    <row r="2320">
      <c r="A2320" s="36" t="s">
        <v>5697</v>
      </c>
      <c r="B2320" s="154" t="s">
        <v>5695</v>
      </c>
      <c r="C2320" s="36" t="s">
        <v>1653</v>
      </c>
      <c r="D2320" s="36" t="s">
        <v>158</v>
      </c>
      <c r="E2320" s="36" t="s">
        <v>39</v>
      </c>
      <c r="F2320" s="154" t="s">
        <v>5698</v>
      </c>
      <c r="G2320" s="36" t="s">
        <v>32</v>
      </c>
      <c r="H2320" s="36" t="s">
        <v>1655</v>
      </c>
      <c r="I2320" s="36" t="s">
        <v>1656</v>
      </c>
      <c r="J2320" s="36" t="s">
        <v>1656</v>
      </c>
      <c r="K2320" s="36" t="s">
        <v>2848</v>
      </c>
      <c r="L2320" s="36" t="s">
        <v>5321</v>
      </c>
      <c r="M2320" s="36" t="s">
        <v>5321</v>
      </c>
      <c r="N2320" s="36" t="s">
        <v>32</v>
      </c>
    </row>
    <row r="2321">
      <c r="A2321" s="36" t="s">
        <v>5699</v>
      </c>
      <c r="B2321" s="154" t="s">
        <v>5695</v>
      </c>
      <c r="C2321" s="36" t="s">
        <v>1666</v>
      </c>
      <c r="D2321" s="36" t="s">
        <v>715</v>
      </c>
      <c r="E2321" s="36" t="s">
        <v>715</v>
      </c>
      <c r="F2321" s="154" t="s">
        <v>5700</v>
      </c>
      <c r="G2321" s="36" t="s">
        <v>28</v>
      </c>
      <c r="H2321" s="36" t="s">
        <v>1655</v>
      </c>
      <c r="I2321" s="36" t="s">
        <v>1656</v>
      </c>
      <c r="J2321" s="36" t="s">
        <v>1656</v>
      </c>
      <c r="K2321" s="36" t="s">
        <v>3035</v>
      </c>
      <c r="L2321" s="36" t="s">
        <v>5325</v>
      </c>
      <c r="M2321" s="36" t="s">
        <v>5325</v>
      </c>
      <c r="N2321" s="36" t="s">
        <v>34</v>
      </c>
    </row>
    <row r="2322">
      <c r="A2322" s="36" t="s">
        <v>5701</v>
      </c>
      <c r="B2322" s="154" t="s">
        <v>5695</v>
      </c>
      <c r="C2322" s="36" t="s">
        <v>1666</v>
      </c>
      <c r="D2322" s="36" t="s">
        <v>716</v>
      </c>
      <c r="E2322" s="36" t="s">
        <v>716</v>
      </c>
      <c r="F2322" s="154" t="s">
        <v>5702</v>
      </c>
      <c r="G2322" s="36" t="s">
        <v>28</v>
      </c>
      <c r="H2322" s="36" t="s">
        <v>1655</v>
      </c>
      <c r="I2322" s="36" t="s">
        <v>1656</v>
      </c>
      <c r="J2322" s="36" t="s">
        <v>1656</v>
      </c>
      <c r="K2322" s="36" t="s">
        <v>3038</v>
      </c>
      <c r="L2322" s="36" t="s">
        <v>5325</v>
      </c>
      <c r="M2322" s="36" t="s">
        <v>5325</v>
      </c>
      <c r="N2322" s="36" t="s">
        <v>34</v>
      </c>
    </row>
    <row r="2323">
      <c r="A2323" s="36" t="s">
        <v>5703</v>
      </c>
      <c r="B2323" s="154" t="s">
        <v>5695</v>
      </c>
      <c r="C2323" s="36" t="s">
        <v>1666</v>
      </c>
      <c r="D2323" s="36" t="s">
        <v>85</v>
      </c>
      <c r="E2323" s="36" t="s">
        <v>85</v>
      </c>
      <c r="F2323" s="154" t="s">
        <v>5704</v>
      </c>
      <c r="G2323" s="36" t="s">
        <v>28</v>
      </c>
      <c r="H2323" s="36" t="s">
        <v>1655</v>
      </c>
      <c r="I2323" s="36" t="s">
        <v>1656</v>
      </c>
      <c r="J2323" s="36" t="s">
        <v>1656</v>
      </c>
      <c r="K2323" s="36" t="s">
        <v>2775</v>
      </c>
      <c r="L2323" s="36" t="s">
        <v>5325</v>
      </c>
      <c r="M2323" s="36" t="s">
        <v>5325</v>
      </c>
      <c r="N2323" s="36" t="s">
        <v>32</v>
      </c>
    </row>
    <row r="2324">
      <c r="A2324" s="36" t="s">
        <v>5705</v>
      </c>
      <c r="B2324" s="154" t="s">
        <v>5695</v>
      </c>
      <c r="C2324" s="36" t="s">
        <v>1666</v>
      </c>
      <c r="D2324" s="36" t="s">
        <v>443</v>
      </c>
      <c r="E2324" s="36" t="s">
        <v>443</v>
      </c>
      <c r="F2324" s="154" t="s">
        <v>5706</v>
      </c>
      <c r="G2324" s="36" t="s">
        <v>28</v>
      </c>
      <c r="H2324" s="36" t="s">
        <v>1655</v>
      </c>
      <c r="I2324" s="36" t="s">
        <v>1656</v>
      </c>
      <c r="J2324" s="36" t="s">
        <v>1656</v>
      </c>
      <c r="K2324" s="36" t="s">
        <v>2779</v>
      </c>
      <c r="L2324" s="36" t="s">
        <v>5325</v>
      </c>
      <c r="M2324" s="36" t="s">
        <v>5325</v>
      </c>
      <c r="N2324" s="36" t="s">
        <v>32</v>
      </c>
    </row>
    <row r="2325">
      <c r="A2325" s="36" t="s">
        <v>5707</v>
      </c>
      <c r="B2325" s="154" t="s">
        <v>5695</v>
      </c>
      <c r="C2325" s="36" t="s">
        <v>1666</v>
      </c>
      <c r="D2325" s="36" t="s">
        <v>728</v>
      </c>
      <c r="E2325" s="36" t="s">
        <v>728</v>
      </c>
      <c r="F2325" s="154" t="s">
        <v>4688</v>
      </c>
      <c r="G2325" s="36" t="s">
        <v>28</v>
      </c>
      <c r="H2325" s="36" t="s">
        <v>1655</v>
      </c>
      <c r="I2325" s="36" t="s">
        <v>1656</v>
      </c>
      <c r="J2325" s="36" t="s">
        <v>1656</v>
      </c>
      <c r="K2325" s="36" t="s">
        <v>2781</v>
      </c>
      <c r="L2325" s="36" t="s">
        <v>5325</v>
      </c>
      <c r="M2325" s="36" t="s">
        <v>5325</v>
      </c>
      <c r="N2325" s="36" t="s">
        <v>32</v>
      </c>
    </row>
    <row r="2326">
      <c r="A2326" s="36" t="s">
        <v>5708</v>
      </c>
      <c r="B2326" s="154" t="s">
        <v>5695</v>
      </c>
      <c r="C2326" s="36" t="s">
        <v>1666</v>
      </c>
      <c r="D2326" s="36" t="s">
        <v>735</v>
      </c>
      <c r="E2326" s="36" t="s">
        <v>735</v>
      </c>
      <c r="F2326" s="154" t="s">
        <v>2156</v>
      </c>
      <c r="G2326" s="36" t="s">
        <v>28</v>
      </c>
      <c r="H2326" s="36" t="s">
        <v>1655</v>
      </c>
      <c r="I2326" s="36" t="s">
        <v>1656</v>
      </c>
      <c r="J2326" s="36" t="s">
        <v>1656</v>
      </c>
      <c r="K2326" s="36" t="s">
        <v>5709</v>
      </c>
      <c r="L2326" s="36" t="s">
        <v>5325</v>
      </c>
      <c r="M2326" s="36" t="s">
        <v>5325</v>
      </c>
      <c r="N2326" s="36" t="s">
        <v>34</v>
      </c>
    </row>
    <row r="2327">
      <c r="A2327" s="36" t="s">
        <v>5710</v>
      </c>
      <c r="B2327" s="154" t="s">
        <v>5695</v>
      </c>
      <c r="C2327" s="36" t="s">
        <v>1666</v>
      </c>
      <c r="D2327" s="36" t="s">
        <v>739</v>
      </c>
      <c r="E2327" s="36" t="s">
        <v>739</v>
      </c>
      <c r="F2327" s="154" t="s">
        <v>1853</v>
      </c>
      <c r="G2327" s="36" t="s">
        <v>28</v>
      </c>
      <c r="H2327" s="36" t="s">
        <v>1655</v>
      </c>
      <c r="I2327" s="36" t="s">
        <v>1656</v>
      </c>
      <c r="J2327" s="36" t="s">
        <v>1656</v>
      </c>
      <c r="K2327" s="36" t="s">
        <v>5711</v>
      </c>
      <c r="L2327" s="36" t="s">
        <v>5325</v>
      </c>
      <c r="M2327" s="36" t="s">
        <v>5325</v>
      </c>
      <c r="N2327" s="36" t="s">
        <v>34</v>
      </c>
    </row>
    <row r="2328">
      <c r="A2328" s="36" t="s">
        <v>5712</v>
      </c>
      <c r="B2328" s="154" t="s">
        <v>5695</v>
      </c>
      <c r="C2328" s="36" t="s">
        <v>1666</v>
      </c>
      <c r="D2328" s="36" t="s">
        <v>746</v>
      </c>
      <c r="E2328" s="36" t="s">
        <v>746</v>
      </c>
      <c r="F2328" s="154" t="s">
        <v>2911</v>
      </c>
      <c r="G2328" s="36" t="s">
        <v>28</v>
      </c>
      <c r="H2328" s="36" t="s">
        <v>1655</v>
      </c>
      <c r="I2328" s="36" t="s">
        <v>1656</v>
      </c>
      <c r="J2328" s="36" t="s">
        <v>1656</v>
      </c>
      <c r="K2328" s="36" t="s">
        <v>5713</v>
      </c>
      <c r="L2328" s="36" t="s">
        <v>5325</v>
      </c>
      <c r="M2328" s="36" t="s">
        <v>5325</v>
      </c>
      <c r="N2328" s="36" t="s">
        <v>34</v>
      </c>
    </row>
    <row r="2329">
      <c r="A2329" s="36" t="s">
        <v>5714</v>
      </c>
      <c r="B2329" s="154" t="s">
        <v>5695</v>
      </c>
      <c r="C2329" s="36" t="s">
        <v>1666</v>
      </c>
      <c r="D2329" s="36" t="s">
        <v>750</v>
      </c>
      <c r="E2329" s="36" t="s">
        <v>750</v>
      </c>
      <c r="F2329" s="154" t="s">
        <v>1806</v>
      </c>
      <c r="G2329" s="36" t="s">
        <v>28</v>
      </c>
      <c r="H2329" s="36" t="s">
        <v>1655</v>
      </c>
      <c r="I2329" s="36" t="s">
        <v>1656</v>
      </c>
      <c r="J2329" s="36" t="s">
        <v>1656</v>
      </c>
      <c r="K2329" s="36" t="s">
        <v>5715</v>
      </c>
      <c r="L2329" s="36" t="s">
        <v>5325</v>
      </c>
      <c r="M2329" s="36" t="s">
        <v>5325</v>
      </c>
      <c r="N2329" s="36" t="s">
        <v>34</v>
      </c>
    </row>
    <row r="2330">
      <c r="A2330" s="36" t="s">
        <v>5716</v>
      </c>
      <c r="B2330" s="154" t="s">
        <v>5695</v>
      </c>
      <c r="C2330" s="36" t="s">
        <v>1666</v>
      </c>
      <c r="D2330" s="36" t="s">
        <v>753</v>
      </c>
      <c r="E2330" s="36" t="s">
        <v>753</v>
      </c>
      <c r="F2330" s="154" t="s">
        <v>2930</v>
      </c>
      <c r="G2330" s="36" t="s">
        <v>28</v>
      </c>
      <c r="H2330" s="36" t="s">
        <v>1655</v>
      </c>
      <c r="I2330" s="36" t="s">
        <v>1656</v>
      </c>
      <c r="J2330" s="36" t="s">
        <v>1656</v>
      </c>
      <c r="K2330" s="36" t="s">
        <v>5717</v>
      </c>
      <c r="L2330" s="36" t="s">
        <v>5325</v>
      </c>
      <c r="M2330" s="36" t="s">
        <v>5325</v>
      </c>
      <c r="N2330" s="36" t="s">
        <v>34</v>
      </c>
    </row>
    <row r="2331">
      <c r="A2331" s="36" t="s">
        <v>5718</v>
      </c>
      <c r="B2331" s="154" t="s">
        <v>5695</v>
      </c>
      <c r="C2331" s="36" t="s">
        <v>1666</v>
      </c>
      <c r="D2331" s="36" t="s">
        <v>756</v>
      </c>
      <c r="E2331" s="36" t="s">
        <v>756</v>
      </c>
      <c r="F2331" s="154" t="s">
        <v>2728</v>
      </c>
      <c r="G2331" s="36" t="s">
        <v>28</v>
      </c>
      <c r="H2331" s="36" t="s">
        <v>1655</v>
      </c>
      <c r="I2331" s="36" t="s">
        <v>1656</v>
      </c>
      <c r="J2331" s="36" t="s">
        <v>1656</v>
      </c>
      <c r="K2331" s="36" t="s">
        <v>5719</v>
      </c>
      <c r="L2331" s="36" t="s">
        <v>5325</v>
      </c>
      <c r="M2331" s="36" t="s">
        <v>5325</v>
      </c>
      <c r="N2331" s="36" t="s">
        <v>34</v>
      </c>
    </row>
    <row r="2332">
      <c r="A2332" s="36" t="s">
        <v>5720</v>
      </c>
      <c r="B2332" s="154" t="s">
        <v>5695</v>
      </c>
      <c r="C2332" s="36" t="s">
        <v>1666</v>
      </c>
      <c r="D2332" s="36" t="s">
        <v>762</v>
      </c>
      <c r="E2332" s="36" t="s">
        <v>762</v>
      </c>
      <c r="F2332" s="154" t="s">
        <v>2049</v>
      </c>
      <c r="G2332" s="36" t="s">
        <v>28</v>
      </c>
      <c r="H2332" s="36" t="s">
        <v>1655</v>
      </c>
      <c r="I2332" s="36" t="s">
        <v>1656</v>
      </c>
      <c r="J2332" s="36" t="s">
        <v>1656</v>
      </c>
      <c r="K2332" s="36" t="s">
        <v>5721</v>
      </c>
      <c r="L2332" s="36" t="s">
        <v>5325</v>
      </c>
      <c r="M2332" s="36" t="s">
        <v>5325</v>
      </c>
      <c r="N2332" s="36" t="s">
        <v>34</v>
      </c>
    </row>
    <row r="2333">
      <c r="A2333" s="36" t="s">
        <v>5722</v>
      </c>
      <c r="B2333" s="154" t="s">
        <v>5695</v>
      </c>
      <c r="C2333" s="36" t="s">
        <v>1666</v>
      </c>
      <c r="D2333" s="36" t="s">
        <v>764</v>
      </c>
      <c r="E2333" s="36" t="s">
        <v>764</v>
      </c>
      <c r="F2333" s="154" t="s">
        <v>1806</v>
      </c>
      <c r="G2333" s="36" t="s">
        <v>28</v>
      </c>
      <c r="H2333" s="36" t="s">
        <v>1655</v>
      </c>
      <c r="I2333" s="36" t="s">
        <v>1656</v>
      </c>
      <c r="J2333" s="36" t="s">
        <v>1656</v>
      </c>
      <c r="K2333" s="36" t="s">
        <v>5723</v>
      </c>
      <c r="L2333" s="36" t="s">
        <v>5325</v>
      </c>
      <c r="M2333" s="36" t="s">
        <v>5325</v>
      </c>
      <c r="N2333" s="36" t="s">
        <v>34</v>
      </c>
    </row>
    <row r="2334">
      <c r="A2334" s="36" t="s">
        <v>5724</v>
      </c>
      <c r="B2334" s="154" t="s">
        <v>5695</v>
      </c>
      <c r="C2334" s="36" t="s">
        <v>1666</v>
      </c>
      <c r="D2334" s="36" t="s">
        <v>768</v>
      </c>
      <c r="E2334" s="36" t="s">
        <v>768</v>
      </c>
      <c r="F2334" s="154" t="s">
        <v>1832</v>
      </c>
      <c r="G2334" s="36" t="s">
        <v>28</v>
      </c>
      <c r="H2334" s="36" t="s">
        <v>1655</v>
      </c>
      <c r="I2334" s="36" t="s">
        <v>1656</v>
      </c>
      <c r="J2334" s="36" t="s">
        <v>1656</v>
      </c>
      <c r="K2334" s="36" t="s">
        <v>5725</v>
      </c>
      <c r="L2334" s="36" t="s">
        <v>5325</v>
      </c>
      <c r="M2334" s="36" t="s">
        <v>5325</v>
      </c>
      <c r="N2334" s="36" t="s">
        <v>34</v>
      </c>
    </row>
    <row r="2335">
      <c r="A2335" s="36" t="s">
        <v>5726</v>
      </c>
      <c r="B2335" s="154" t="s">
        <v>5727</v>
      </c>
      <c r="C2335" s="36" t="s">
        <v>1666</v>
      </c>
      <c r="D2335" s="36" t="s">
        <v>109</v>
      </c>
      <c r="E2335" s="36" t="s">
        <v>109</v>
      </c>
      <c r="F2335" s="154" t="s">
        <v>5536</v>
      </c>
      <c r="G2335" s="36" t="s">
        <v>28</v>
      </c>
      <c r="H2335" s="36" t="s">
        <v>1655</v>
      </c>
      <c r="I2335" s="36" t="s">
        <v>1656</v>
      </c>
      <c r="J2335" s="36" t="s">
        <v>1656</v>
      </c>
      <c r="K2335" s="36" t="s">
        <v>1715</v>
      </c>
      <c r="L2335" s="36" t="s">
        <v>5325</v>
      </c>
      <c r="M2335" s="36" t="s">
        <v>5325</v>
      </c>
      <c r="N2335" s="36" t="s">
        <v>32</v>
      </c>
    </row>
    <row r="2336">
      <c r="A2336" s="36" t="s">
        <v>5728</v>
      </c>
      <c r="B2336" s="154" t="s">
        <v>5729</v>
      </c>
      <c r="C2336" s="36" t="s">
        <v>1666</v>
      </c>
      <c r="D2336" s="36" t="s">
        <v>78</v>
      </c>
      <c r="E2336" s="36" t="s">
        <v>78</v>
      </c>
      <c r="F2336" s="154" t="s">
        <v>2325</v>
      </c>
      <c r="G2336" s="36" t="s">
        <v>28</v>
      </c>
      <c r="H2336" s="36" t="s">
        <v>1655</v>
      </c>
      <c r="I2336" s="36" t="s">
        <v>1656</v>
      </c>
      <c r="J2336" s="36" t="s">
        <v>1656</v>
      </c>
      <c r="K2336" s="36" t="s">
        <v>4248</v>
      </c>
      <c r="L2336" s="36" t="s">
        <v>5325</v>
      </c>
      <c r="M2336" s="36" t="s">
        <v>5325</v>
      </c>
      <c r="N2336" s="36" t="s">
        <v>32</v>
      </c>
    </row>
    <row r="2337">
      <c r="A2337" s="36" t="s">
        <v>5730</v>
      </c>
      <c r="B2337" s="154" t="s">
        <v>5729</v>
      </c>
      <c r="C2337" s="36" t="s">
        <v>1666</v>
      </c>
      <c r="D2337" s="36" t="s">
        <v>92</v>
      </c>
      <c r="E2337" s="36" t="s">
        <v>92</v>
      </c>
      <c r="F2337" s="154" t="s">
        <v>2085</v>
      </c>
      <c r="G2337" s="36" t="s">
        <v>32</v>
      </c>
      <c r="H2337" s="36" t="s">
        <v>1655</v>
      </c>
      <c r="I2337" s="36" t="s">
        <v>1656</v>
      </c>
      <c r="J2337" s="36" t="s">
        <v>1656</v>
      </c>
      <c r="K2337" s="36" t="s">
        <v>1717</v>
      </c>
      <c r="L2337" s="36" t="s">
        <v>5325</v>
      </c>
      <c r="M2337" s="36" t="s">
        <v>5325</v>
      </c>
      <c r="N2337" s="36" t="s">
        <v>32</v>
      </c>
    </row>
    <row r="2338">
      <c r="A2338" s="36" t="s">
        <v>5731</v>
      </c>
      <c r="B2338" s="154" t="s">
        <v>5732</v>
      </c>
      <c r="C2338" s="36" t="s">
        <v>1666</v>
      </c>
      <c r="D2338" s="36" t="s">
        <v>63</v>
      </c>
      <c r="E2338" s="36" t="s">
        <v>63</v>
      </c>
      <c r="F2338" s="154" t="s">
        <v>5733</v>
      </c>
      <c r="G2338" s="36" t="s">
        <v>28</v>
      </c>
      <c r="H2338" s="36" t="s">
        <v>1655</v>
      </c>
      <c r="I2338" s="36" t="s">
        <v>1656</v>
      </c>
      <c r="J2338" s="36" t="s">
        <v>1656</v>
      </c>
      <c r="K2338" s="36" t="s">
        <v>4196</v>
      </c>
      <c r="L2338" s="36" t="s">
        <v>5325</v>
      </c>
      <c r="M2338" s="36" t="s">
        <v>5325</v>
      </c>
      <c r="N2338" s="36" t="s">
        <v>34</v>
      </c>
    </row>
    <row r="2339">
      <c r="A2339" s="36" t="s">
        <v>5734</v>
      </c>
      <c r="B2339" s="154" t="s">
        <v>5732</v>
      </c>
      <c r="C2339" s="36" t="s">
        <v>1666</v>
      </c>
      <c r="D2339" s="36" t="s">
        <v>778</v>
      </c>
      <c r="E2339" s="36" t="s">
        <v>778</v>
      </c>
      <c r="F2339" s="154" t="s">
        <v>5735</v>
      </c>
      <c r="G2339" s="36" t="s">
        <v>28</v>
      </c>
      <c r="H2339" s="36" t="s">
        <v>1655</v>
      </c>
      <c r="I2339" s="36" t="s">
        <v>1656</v>
      </c>
      <c r="J2339" s="36" t="s">
        <v>1656</v>
      </c>
      <c r="K2339" s="36" t="s">
        <v>1724</v>
      </c>
      <c r="L2339" s="36" t="s">
        <v>5325</v>
      </c>
      <c r="M2339" s="36" t="s">
        <v>5325</v>
      </c>
      <c r="N2339" s="36" t="s">
        <v>34</v>
      </c>
    </row>
    <row r="2340">
      <c r="A2340" s="36" t="s">
        <v>5736</v>
      </c>
      <c r="B2340" s="154" t="s">
        <v>5737</v>
      </c>
      <c r="C2340" s="36" t="s">
        <v>1666</v>
      </c>
      <c r="D2340" s="36" t="s">
        <v>64</v>
      </c>
      <c r="E2340" s="36" t="s">
        <v>64</v>
      </c>
      <c r="F2340" s="154" t="s">
        <v>4431</v>
      </c>
      <c r="G2340" s="36" t="s">
        <v>28</v>
      </c>
      <c r="H2340" s="36" t="s">
        <v>1655</v>
      </c>
      <c r="I2340" s="36" t="s">
        <v>1656</v>
      </c>
      <c r="J2340" s="36" t="s">
        <v>1656</v>
      </c>
      <c r="K2340" s="36" t="s">
        <v>1708</v>
      </c>
      <c r="L2340" s="36" t="s">
        <v>5325</v>
      </c>
      <c r="M2340" s="36" t="s">
        <v>5325</v>
      </c>
      <c r="N2340" s="36" t="s">
        <v>32</v>
      </c>
    </row>
    <row r="2341">
      <c r="A2341" s="36" t="s">
        <v>5738</v>
      </c>
      <c r="B2341" s="154" t="s">
        <v>5737</v>
      </c>
      <c r="C2341" s="36" t="s">
        <v>1666</v>
      </c>
      <c r="D2341" s="36" t="s">
        <v>121</v>
      </c>
      <c r="E2341" s="36" t="s">
        <v>121</v>
      </c>
      <c r="F2341" s="154" t="s">
        <v>5532</v>
      </c>
      <c r="G2341" s="36" t="s">
        <v>28</v>
      </c>
      <c r="H2341" s="36" t="s">
        <v>1655</v>
      </c>
      <c r="I2341" s="36" t="s">
        <v>1656</v>
      </c>
      <c r="J2341" s="36" t="s">
        <v>1656</v>
      </c>
      <c r="K2341" s="36" t="s">
        <v>1727</v>
      </c>
      <c r="L2341" s="36" t="s">
        <v>5325</v>
      </c>
      <c r="M2341" s="36" t="s">
        <v>5325</v>
      </c>
      <c r="N2341" s="36" t="s">
        <v>32</v>
      </c>
    </row>
    <row r="2342">
      <c r="A2342" s="36" t="s">
        <v>5739</v>
      </c>
      <c r="B2342" s="154" t="s">
        <v>5737</v>
      </c>
      <c r="C2342" s="36" t="s">
        <v>1666</v>
      </c>
      <c r="D2342" s="36" t="s">
        <v>734</v>
      </c>
      <c r="E2342" s="36" t="s">
        <v>734</v>
      </c>
      <c r="F2342" s="154" t="s">
        <v>5530</v>
      </c>
      <c r="G2342" s="36" t="s">
        <v>32</v>
      </c>
      <c r="H2342" s="36" t="s">
        <v>1655</v>
      </c>
      <c r="I2342" s="36" t="s">
        <v>1656</v>
      </c>
      <c r="J2342" s="36" t="s">
        <v>1656</v>
      </c>
      <c r="K2342" s="36" t="s">
        <v>1730</v>
      </c>
      <c r="L2342" s="36" t="s">
        <v>5325</v>
      </c>
      <c r="M2342" s="36" t="s">
        <v>5325</v>
      </c>
      <c r="N2342" s="36" t="s">
        <v>32</v>
      </c>
    </row>
    <row r="2343">
      <c r="A2343" s="36" t="s">
        <v>5740</v>
      </c>
      <c r="B2343" s="154" t="s">
        <v>5741</v>
      </c>
      <c r="C2343" s="36" t="s">
        <v>1666</v>
      </c>
      <c r="D2343" s="36" t="s">
        <v>66</v>
      </c>
      <c r="E2343" s="36" t="s">
        <v>66</v>
      </c>
      <c r="F2343" s="154" t="s">
        <v>5742</v>
      </c>
      <c r="G2343" s="36" t="s">
        <v>28</v>
      </c>
      <c r="H2343" s="36" t="s">
        <v>1655</v>
      </c>
      <c r="I2343" s="36" t="s">
        <v>1656</v>
      </c>
      <c r="J2343" s="36" t="s">
        <v>1656</v>
      </c>
      <c r="K2343" s="36" t="s">
        <v>1721</v>
      </c>
      <c r="L2343" s="36" t="s">
        <v>5325</v>
      </c>
      <c r="M2343" s="36" t="s">
        <v>5325</v>
      </c>
      <c r="N2343" s="36" t="s">
        <v>32</v>
      </c>
    </row>
    <row r="2344">
      <c r="A2344" s="36" t="s">
        <v>5743</v>
      </c>
      <c r="B2344" s="154" t="s">
        <v>5741</v>
      </c>
      <c r="C2344" s="36" t="s">
        <v>1666</v>
      </c>
      <c r="D2344" s="36" t="s">
        <v>381</v>
      </c>
      <c r="E2344" s="36" t="s">
        <v>381</v>
      </c>
      <c r="F2344" s="154" t="s">
        <v>1959</v>
      </c>
      <c r="G2344" s="36" t="s">
        <v>28</v>
      </c>
      <c r="H2344" s="36" t="s">
        <v>1655</v>
      </c>
      <c r="I2344" s="36" t="s">
        <v>1656</v>
      </c>
      <c r="J2344" s="36" t="s">
        <v>1656</v>
      </c>
      <c r="K2344" s="36" t="s">
        <v>1732</v>
      </c>
      <c r="L2344" s="36" t="s">
        <v>5325</v>
      </c>
      <c r="M2344" s="36" t="s">
        <v>5325</v>
      </c>
      <c r="N2344" s="36" t="s">
        <v>34</v>
      </c>
    </row>
    <row r="2345">
      <c r="A2345" s="36" t="s">
        <v>5744</v>
      </c>
      <c r="B2345" s="154" t="s">
        <v>5741</v>
      </c>
      <c r="C2345" s="36" t="s">
        <v>1666</v>
      </c>
      <c r="D2345" s="36" t="s">
        <v>792</v>
      </c>
      <c r="E2345" s="36" t="s">
        <v>792</v>
      </c>
      <c r="F2345" s="154" t="s">
        <v>1859</v>
      </c>
      <c r="G2345" s="36" t="s">
        <v>28</v>
      </c>
      <c r="H2345" s="36" t="s">
        <v>1655</v>
      </c>
      <c r="I2345" s="36" t="s">
        <v>1656</v>
      </c>
      <c r="J2345" s="36" t="s">
        <v>1656</v>
      </c>
      <c r="K2345" s="36" t="s">
        <v>1736</v>
      </c>
      <c r="L2345" s="36" t="s">
        <v>5325</v>
      </c>
      <c r="M2345" s="36" t="s">
        <v>5325</v>
      </c>
      <c r="N2345" s="36" t="s">
        <v>34</v>
      </c>
    </row>
    <row r="2346">
      <c r="A2346" s="36" t="s">
        <v>5745</v>
      </c>
      <c r="B2346" s="154" t="s">
        <v>5746</v>
      </c>
      <c r="C2346" s="36" t="s">
        <v>1666</v>
      </c>
      <c r="D2346" s="36" t="s">
        <v>800</v>
      </c>
      <c r="E2346" s="36" t="s">
        <v>800</v>
      </c>
      <c r="F2346" s="154" t="s">
        <v>2029</v>
      </c>
      <c r="G2346" s="36" t="s">
        <v>28</v>
      </c>
      <c r="H2346" s="36" t="s">
        <v>1655</v>
      </c>
      <c r="I2346" s="36" t="s">
        <v>1656</v>
      </c>
      <c r="J2346" s="36" t="s">
        <v>1656</v>
      </c>
      <c r="K2346" s="36" t="s">
        <v>1739</v>
      </c>
      <c r="L2346" s="36" t="s">
        <v>5325</v>
      </c>
      <c r="M2346" s="36" t="s">
        <v>5325</v>
      </c>
      <c r="N2346" s="36" t="s">
        <v>34</v>
      </c>
    </row>
    <row r="2347">
      <c r="A2347" s="36" t="s">
        <v>5747</v>
      </c>
      <c r="B2347" s="154" t="s">
        <v>5748</v>
      </c>
      <c r="C2347" s="36" t="s">
        <v>1653</v>
      </c>
      <c r="D2347" s="36" t="s">
        <v>55</v>
      </c>
      <c r="E2347" s="36" t="s">
        <v>39</v>
      </c>
      <c r="F2347" s="154" t="s">
        <v>5749</v>
      </c>
      <c r="G2347" s="36" t="s">
        <v>32</v>
      </c>
      <c r="H2347" s="36" t="s">
        <v>1655</v>
      </c>
      <c r="I2347" s="36" t="s">
        <v>1656</v>
      </c>
      <c r="J2347" s="36" t="s">
        <v>1656</v>
      </c>
      <c r="K2347" s="36" t="s">
        <v>1989</v>
      </c>
      <c r="L2347" s="36" t="s">
        <v>5321</v>
      </c>
      <c r="M2347" s="36" t="s">
        <v>5321</v>
      </c>
      <c r="N2347" s="36" t="s">
        <v>32</v>
      </c>
    </row>
    <row r="2348">
      <c r="A2348" s="36" t="s">
        <v>5750</v>
      </c>
      <c r="B2348" s="154" t="s">
        <v>5748</v>
      </c>
      <c r="C2348" s="36" t="s">
        <v>1666</v>
      </c>
      <c r="D2348" s="36" t="s">
        <v>71</v>
      </c>
      <c r="E2348" s="36" t="s">
        <v>71</v>
      </c>
      <c r="F2348" s="154" t="s">
        <v>5555</v>
      </c>
      <c r="G2348" s="36" t="s">
        <v>32</v>
      </c>
      <c r="H2348" s="36" t="s">
        <v>1655</v>
      </c>
      <c r="I2348" s="36" t="s">
        <v>1656</v>
      </c>
      <c r="J2348" s="36" t="s">
        <v>1656</v>
      </c>
      <c r="K2348" s="36" t="s">
        <v>1752</v>
      </c>
      <c r="L2348" s="36" t="s">
        <v>5325</v>
      </c>
      <c r="M2348" s="36" t="s">
        <v>5325</v>
      </c>
      <c r="N2348" s="36" t="s">
        <v>32</v>
      </c>
    </row>
    <row r="2349">
      <c r="A2349" s="36" t="s">
        <v>5751</v>
      </c>
      <c r="B2349" s="154" t="s">
        <v>5748</v>
      </c>
      <c r="C2349" s="36" t="s">
        <v>1666</v>
      </c>
      <c r="D2349" s="36" t="s">
        <v>73</v>
      </c>
      <c r="E2349" s="36" t="s">
        <v>73</v>
      </c>
      <c r="F2349" s="154" t="s">
        <v>5557</v>
      </c>
      <c r="G2349" s="36" t="s">
        <v>28</v>
      </c>
      <c r="H2349" s="36" t="s">
        <v>1655</v>
      </c>
      <c r="I2349" s="36" t="s">
        <v>1656</v>
      </c>
      <c r="J2349" s="36" t="s">
        <v>1656</v>
      </c>
      <c r="K2349" s="36" t="s">
        <v>1755</v>
      </c>
      <c r="L2349" s="36" t="s">
        <v>5325</v>
      </c>
      <c r="M2349" s="36" t="s">
        <v>5325</v>
      </c>
      <c r="N2349" s="36" t="s">
        <v>32</v>
      </c>
    </row>
    <row r="2350">
      <c r="A2350" s="36" t="s">
        <v>5752</v>
      </c>
      <c r="B2350" s="154" t="s">
        <v>5748</v>
      </c>
      <c r="C2350" s="36" t="s">
        <v>1666</v>
      </c>
      <c r="D2350" s="36" t="s">
        <v>74</v>
      </c>
      <c r="E2350" s="36" t="s">
        <v>74</v>
      </c>
      <c r="F2350" s="154" t="s">
        <v>5559</v>
      </c>
      <c r="G2350" s="36" t="s">
        <v>32</v>
      </c>
      <c r="H2350" s="36" t="s">
        <v>1655</v>
      </c>
      <c r="I2350" s="36" t="s">
        <v>1656</v>
      </c>
      <c r="J2350" s="36" t="s">
        <v>1656</v>
      </c>
      <c r="K2350" s="36" t="s">
        <v>1757</v>
      </c>
      <c r="L2350" s="36" t="s">
        <v>5325</v>
      </c>
      <c r="M2350" s="36" t="s">
        <v>5325</v>
      </c>
      <c r="N2350" s="36" t="s">
        <v>32</v>
      </c>
    </row>
    <row r="2351">
      <c r="A2351" s="36" t="s">
        <v>5753</v>
      </c>
      <c r="B2351" s="154" t="s">
        <v>5748</v>
      </c>
      <c r="C2351" s="36" t="s">
        <v>1666</v>
      </c>
      <c r="D2351" s="36" t="s">
        <v>75</v>
      </c>
      <c r="E2351" s="36" t="s">
        <v>75</v>
      </c>
      <c r="F2351" s="154" t="s">
        <v>5561</v>
      </c>
      <c r="G2351" s="36" t="s">
        <v>28</v>
      </c>
      <c r="H2351" s="36" t="s">
        <v>1655</v>
      </c>
      <c r="I2351" s="36" t="s">
        <v>1656</v>
      </c>
      <c r="J2351" s="36" t="s">
        <v>1656</v>
      </c>
      <c r="K2351" s="36" t="s">
        <v>1760</v>
      </c>
      <c r="L2351" s="36" t="s">
        <v>5325</v>
      </c>
      <c r="M2351" s="36" t="s">
        <v>5325</v>
      </c>
      <c r="N2351" s="36" t="s">
        <v>32</v>
      </c>
    </row>
    <row r="2352">
      <c r="A2352" s="36" t="s">
        <v>5754</v>
      </c>
      <c r="B2352" s="154" t="s">
        <v>5748</v>
      </c>
      <c r="C2352" s="36" t="s">
        <v>1666</v>
      </c>
      <c r="D2352" s="36" t="s">
        <v>76</v>
      </c>
      <c r="E2352" s="36" t="s">
        <v>76</v>
      </c>
      <c r="F2352" s="154" t="s">
        <v>5755</v>
      </c>
      <c r="G2352" s="36" t="s">
        <v>28</v>
      </c>
      <c r="H2352" s="36" t="s">
        <v>1655</v>
      </c>
      <c r="I2352" s="36" t="s">
        <v>1656</v>
      </c>
      <c r="J2352" s="36" t="s">
        <v>1656</v>
      </c>
      <c r="K2352" s="36" t="s">
        <v>1763</v>
      </c>
      <c r="L2352" s="36" t="s">
        <v>5325</v>
      </c>
      <c r="M2352" s="36" t="s">
        <v>5325</v>
      </c>
      <c r="N2352" s="36" t="s">
        <v>32</v>
      </c>
    </row>
    <row r="2353">
      <c r="A2353" s="36" t="s">
        <v>5756</v>
      </c>
      <c r="B2353" s="154" t="s">
        <v>5748</v>
      </c>
      <c r="C2353" s="36" t="s">
        <v>1666</v>
      </c>
      <c r="D2353" s="36" t="s">
        <v>77</v>
      </c>
      <c r="E2353" s="36" t="s">
        <v>77</v>
      </c>
      <c r="F2353" s="154" t="s">
        <v>1768</v>
      </c>
      <c r="G2353" s="36" t="s">
        <v>34</v>
      </c>
      <c r="H2353" s="36" t="s">
        <v>1655</v>
      </c>
      <c r="I2353" s="36" t="s">
        <v>1656</v>
      </c>
      <c r="J2353" s="36" t="s">
        <v>1656</v>
      </c>
      <c r="K2353" s="36" t="s">
        <v>1766</v>
      </c>
      <c r="L2353" s="36" t="s">
        <v>5325</v>
      </c>
      <c r="M2353" s="36" t="s">
        <v>5325</v>
      </c>
      <c r="N2353" s="36" t="s">
        <v>32</v>
      </c>
    </row>
    <row r="2354">
      <c r="A2354" s="36" t="s">
        <v>5757</v>
      </c>
      <c r="B2354" s="154" t="s">
        <v>5748</v>
      </c>
      <c r="C2354" s="36" t="s">
        <v>1666</v>
      </c>
      <c r="D2354" s="36" t="s">
        <v>226</v>
      </c>
      <c r="E2354" s="36" t="s">
        <v>226</v>
      </c>
      <c r="F2354" s="154" t="s">
        <v>5758</v>
      </c>
      <c r="G2354" s="36" t="s">
        <v>32</v>
      </c>
      <c r="H2354" s="36" t="s">
        <v>1655</v>
      </c>
      <c r="I2354" s="36" t="s">
        <v>1656</v>
      </c>
      <c r="J2354" s="36" t="s">
        <v>1656</v>
      </c>
      <c r="K2354" s="36" t="s">
        <v>1742</v>
      </c>
      <c r="L2354" s="36" t="s">
        <v>5325</v>
      </c>
      <c r="M2354" s="36" t="s">
        <v>5325</v>
      </c>
      <c r="N2354" s="36" t="s">
        <v>32</v>
      </c>
    </row>
    <row r="2355">
      <c r="A2355" s="36" t="s">
        <v>5759</v>
      </c>
      <c r="B2355" s="154" t="s">
        <v>5748</v>
      </c>
      <c r="C2355" s="36" t="s">
        <v>1666</v>
      </c>
      <c r="D2355" s="36" t="s">
        <v>220</v>
      </c>
      <c r="E2355" s="36" t="s">
        <v>220</v>
      </c>
      <c r="F2355" s="154" t="s">
        <v>5760</v>
      </c>
      <c r="G2355" s="36" t="s">
        <v>28</v>
      </c>
      <c r="H2355" s="36" t="s">
        <v>1655</v>
      </c>
      <c r="I2355" s="36" t="s">
        <v>1656</v>
      </c>
      <c r="J2355" s="36" t="s">
        <v>1656</v>
      </c>
      <c r="K2355" s="36" t="s">
        <v>1745</v>
      </c>
      <c r="L2355" s="36" t="s">
        <v>5325</v>
      </c>
      <c r="M2355" s="36" t="s">
        <v>5325</v>
      </c>
      <c r="N2355" s="36" t="s">
        <v>32</v>
      </c>
    </row>
    <row r="2356">
      <c r="A2356" s="36" t="s">
        <v>5761</v>
      </c>
      <c r="B2356" s="154" t="s">
        <v>5748</v>
      </c>
      <c r="C2356" s="36" t="s">
        <v>1666</v>
      </c>
      <c r="D2356" s="36" t="s">
        <v>115</v>
      </c>
      <c r="E2356" s="36" t="s">
        <v>115</v>
      </c>
      <c r="F2356" s="154" t="s">
        <v>1683</v>
      </c>
      <c r="G2356" s="36" t="s">
        <v>32</v>
      </c>
      <c r="H2356" s="36" t="s">
        <v>1655</v>
      </c>
      <c r="I2356" s="36" t="s">
        <v>1656</v>
      </c>
      <c r="J2356" s="36" t="s">
        <v>1656</v>
      </c>
      <c r="K2356" s="36" t="s">
        <v>1773</v>
      </c>
      <c r="L2356" s="36" t="s">
        <v>5325</v>
      </c>
      <c r="M2356" s="36" t="s">
        <v>5325</v>
      </c>
      <c r="N2356" s="36" t="s">
        <v>32</v>
      </c>
    </row>
    <row r="2357">
      <c r="A2357" s="36" t="s">
        <v>5762</v>
      </c>
      <c r="B2357" s="154" t="s">
        <v>5748</v>
      </c>
      <c r="C2357" s="36" t="s">
        <v>1666</v>
      </c>
      <c r="D2357" s="36" t="s">
        <v>114</v>
      </c>
      <c r="E2357" s="36" t="s">
        <v>114</v>
      </c>
      <c r="F2357" s="154" t="s">
        <v>1799</v>
      </c>
      <c r="G2357" s="36" t="s">
        <v>32</v>
      </c>
      <c r="H2357" s="36" t="s">
        <v>1655</v>
      </c>
      <c r="I2357" s="36" t="s">
        <v>1656</v>
      </c>
      <c r="J2357" s="36" t="s">
        <v>1656</v>
      </c>
      <c r="K2357" s="36" t="s">
        <v>1776</v>
      </c>
      <c r="L2357" s="36" t="s">
        <v>5325</v>
      </c>
      <c r="M2357" s="36" t="s">
        <v>5325</v>
      </c>
      <c r="N2357" s="36" t="s">
        <v>32</v>
      </c>
    </row>
    <row r="2358">
      <c r="A2358" s="36" t="s">
        <v>5763</v>
      </c>
      <c r="B2358" s="154" t="s">
        <v>5748</v>
      </c>
      <c r="C2358" s="36" t="s">
        <v>1666</v>
      </c>
      <c r="D2358" s="36" t="s">
        <v>299</v>
      </c>
      <c r="E2358" s="36" t="s">
        <v>299</v>
      </c>
      <c r="F2358" s="154" t="s">
        <v>1971</v>
      </c>
      <c r="G2358" s="36" t="s">
        <v>28</v>
      </c>
      <c r="H2358" s="36" t="s">
        <v>1655</v>
      </c>
      <c r="I2358" s="36" t="s">
        <v>1656</v>
      </c>
      <c r="J2358" s="36" t="s">
        <v>1656</v>
      </c>
      <c r="K2358" s="36" t="s">
        <v>1779</v>
      </c>
      <c r="L2358" s="36" t="s">
        <v>5325</v>
      </c>
      <c r="M2358" s="36" t="s">
        <v>5325</v>
      </c>
      <c r="N2358" s="36" t="s">
        <v>34</v>
      </c>
    </row>
    <row r="2359">
      <c r="A2359" s="36" t="s">
        <v>5764</v>
      </c>
      <c r="B2359" s="154" t="s">
        <v>5765</v>
      </c>
      <c r="C2359" s="36" t="s">
        <v>1666</v>
      </c>
      <c r="D2359" s="36" t="s">
        <v>819</v>
      </c>
      <c r="E2359" s="36" t="s">
        <v>819</v>
      </c>
      <c r="F2359" s="154" t="s">
        <v>1816</v>
      </c>
      <c r="G2359" s="36" t="s">
        <v>28</v>
      </c>
      <c r="H2359" s="36" t="s">
        <v>1655</v>
      </c>
      <c r="I2359" s="36" t="s">
        <v>1656</v>
      </c>
      <c r="J2359" s="36" t="s">
        <v>1656</v>
      </c>
      <c r="K2359" s="36" t="s">
        <v>1782</v>
      </c>
      <c r="L2359" s="36" t="s">
        <v>5325</v>
      </c>
      <c r="M2359" s="36" t="s">
        <v>5325</v>
      </c>
      <c r="N2359" s="36" t="s">
        <v>32</v>
      </c>
    </row>
    <row r="2360">
      <c r="A2360" s="36" t="s">
        <v>5766</v>
      </c>
      <c r="B2360" s="154" t="s">
        <v>5767</v>
      </c>
      <c r="C2360" s="36" t="s">
        <v>1666</v>
      </c>
      <c r="D2360" s="36" t="s">
        <v>100</v>
      </c>
      <c r="E2360" s="36" t="s">
        <v>100</v>
      </c>
      <c r="F2360" s="154" t="s">
        <v>1810</v>
      </c>
      <c r="G2360" s="36" t="s">
        <v>32</v>
      </c>
      <c r="H2360" s="36" t="s">
        <v>1655</v>
      </c>
      <c r="I2360" s="36" t="s">
        <v>1656</v>
      </c>
      <c r="J2360" s="36" t="s">
        <v>1656</v>
      </c>
      <c r="K2360" s="36" t="s">
        <v>1784</v>
      </c>
      <c r="L2360" s="36" t="s">
        <v>5325</v>
      </c>
      <c r="M2360" s="36" t="s">
        <v>5325</v>
      </c>
      <c r="N2360" s="36" t="s">
        <v>32</v>
      </c>
    </row>
    <row r="2361">
      <c r="A2361" s="36" t="s">
        <v>5768</v>
      </c>
      <c r="B2361" s="154" t="s">
        <v>5769</v>
      </c>
      <c r="C2361" s="36" t="s">
        <v>1666</v>
      </c>
      <c r="D2361" s="36" t="s">
        <v>235</v>
      </c>
      <c r="E2361" s="36" t="s">
        <v>235</v>
      </c>
      <c r="F2361" s="154" t="s">
        <v>1686</v>
      </c>
      <c r="G2361" s="36" t="s">
        <v>28</v>
      </c>
      <c r="H2361" s="36" t="s">
        <v>1655</v>
      </c>
      <c r="I2361" s="36" t="s">
        <v>1656</v>
      </c>
      <c r="J2361" s="36" t="s">
        <v>1656</v>
      </c>
      <c r="K2361" s="36" t="s">
        <v>1787</v>
      </c>
      <c r="L2361" s="36" t="s">
        <v>5325</v>
      </c>
      <c r="M2361" s="36" t="s">
        <v>5325</v>
      </c>
      <c r="N2361" s="36" t="s">
        <v>32</v>
      </c>
    </row>
    <row r="2362">
      <c r="A2362" s="36" t="s">
        <v>5770</v>
      </c>
      <c r="B2362" s="154" t="s">
        <v>5769</v>
      </c>
      <c r="C2362" s="36" t="s">
        <v>1666</v>
      </c>
      <c r="D2362" s="36" t="s">
        <v>486</v>
      </c>
      <c r="E2362" s="36" t="s">
        <v>486</v>
      </c>
      <c r="F2362" s="154" t="s">
        <v>2220</v>
      </c>
      <c r="G2362" s="36" t="s">
        <v>28</v>
      </c>
      <c r="H2362" s="36" t="s">
        <v>1655</v>
      </c>
      <c r="I2362" s="36" t="s">
        <v>1656</v>
      </c>
      <c r="J2362" s="36" t="s">
        <v>1656</v>
      </c>
      <c r="K2362" s="36" t="s">
        <v>1790</v>
      </c>
      <c r="L2362" s="36" t="s">
        <v>5325</v>
      </c>
      <c r="M2362" s="36" t="s">
        <v>5325</v>
      </c>
      <c r="N2362" s="36" t="s">
        <v>34</v>
      </c>
    </row>
    <row r="2363">
      <c r="A2363" s="36" t="s">
        <v>5771</v>
      </c>
      <c r="B2363" s="154" t="s">
        <v>5772</v>
      </c>
      <c r="C2363" s="36" t="s">
        <v>1666</v>
      </c>
      <c r="D2363" s="36" t="s">
        <v>288</v>
      </c>
      <c r="E2363" s="36" t="s">
        <v>288</v>
      </c>
      <c r="F2363" s="154" t="s">
        <v>3972</v>
      </c>
      <c r="G2363" s="36" t="s">
        <v>32</v>
      </c>
      <c r="H2363" s="36" t="s">
        <v>1655</v>
      </c>
      <c r="I2363" s="36" t="s">
        <v>1656</v>
      </c>
      <c r="J2363" s="36" t="s">
        <v>1656</v>
      </c>
      <c r="K2363" s="36" t="s">
        <v>1793</v>
      </c>
      <c r="L2363" s="36" t="s">
        <v>5325</v>
      </c>
      <c r="M2363" s="36" t="s">
        <v>5325</v>
      </c>
      <c r="N2363" s="36" t="s">
        <v>32</v>
      </c>
    </row>
    <row r="2364">
      <c r="A2364" s="36" t="s">
        <v>5773</v>
      </c>
      <c r="B2364" s="154" t="s">
        <v>5772</v>
      </c>
      <c r="C2364" s="36" t="s">
        <v>1666</v>
      </c>
      <c r="D2364" s="36" t="s">
        <v>839</v>
      </c>
      <c r="E2364" s="36" t="s">
        <v>839</v>
      </c>
      <c r="F2364" s="154" t="s">
        <v>1832</v>
      </c>
      <c r="G2364" s="36" t="s">
        <v>34</v>
      </c>
      <c r="H2364" s="36" t="s">
        <v>1655</v>
      </c>
      <c r="I2364" s="36" t="s">
        <v>1656</v>
      </c>
      <c r="J2364" s="36" t="s">
        <v>1656</v>
      </c>
      <c r="K2364" s="36" t="s">
        <v>1796</v>
      </c>
      <c r="L2364" s="36" t="s">
        <v>5325</v>
      </c>
      <c r="M2364" s="36" t="s">
        <v>5325</v>
      </c>
      <c r="N2364" s="36" t="s">
        <v>32</v>
      </c>
    </row>
    <row r="2365">
      <c r="A2365" s="36" t="s">
        <v>5774</v>
      </c>
      <c r="B2365" s="154" t="s">
        <v>5775</v>
      </c>
      <c r="C2365" s="36" t="s">
        <v>1666</v>
      </c>
      <c r="D2365" s="36" t="s">
        <v>582</v>
      </c>
      <c r="E2365" s="36" t="s">
        <v>582</v>
      </c>
      <c r="F2365" s="154" t="s">
        <v>1806</v>
      </c>
      <c r="G2365" s="36" t="s">
        <v>28</v>
      </c>
      <c r="H2365" s="36" t="s">
        <v>1655</v>
      </c>
      <c r="I2365" s="36" t="s">
        <v>1656</v>
      </c>
      <c r="J2365" s="36" t="s">
        <v>1656</v>
      </c>
      <c r="K2365" s="36" t="s">
        <v>1800</v>
      </c>
      <c r="L2365" s="36" t="s">
        <v>5325</v>
      </c>
      <c r="M2365" s="36" t="s">
        <v>5325</v>
      </c>
      <c r="N2365" s="36" t="s">
        <v>34</v>
      </c>
    </row>
    <row r="2366">
      <c r="A2366" s="36" t="s">
        <v>5776</v>
      </c>
      <c r="B2366" s="154" t="s">
        <v>5777</v>
      </c>
      <c r="C2366" s="36" t="s">
        <v>1653</v>
      </c>
      <c r="D2366" s="36" t="s">
        <v>161</v>
      </c>
      <c r="E2366" s="36" t="s">
        <v>39</v>
      </c>
      <c r="F2366" s="154" t="s">
        <v>5778</v>
      </c>
      <c r="G2366" s="36" t="s">
        <v>32</v>
      </c>
      <c r="H2366" s="36" t="s">
        <v>1655</v>
      </c>
      <c r="I2366" s="36" t="s">
        <v>1656</v>
      </c>
      <c r="J2366" s="36" t="s">
        <v>1656</v>
      </c>
      <c r="K2366" s="36" t="s">
        <v>1749</v>
      </c>
      <c r="L2366" s="36" t="s">
        <v>5321</v>
      </c>
      <c r="M2366" s="36" t="s">
        <v>5321</v>
      </c>
      <c r="N2366" s="36" t="s">
        <v>32</v>
      </c>
    </row>
    <row r="2367">
      <c r="A2367" s="36" t="s">
        <v>5779</v>
      </c>
      <c r="B2367" s="154" t="s">
        <v>5777</v>
      </c>
      <c r="C2367" s="36" t="s">
        <v>1666</v>
      </c>
      <c r="D2367" s="36" t="s">
        <v>848</v>
      </c>
      <c r="E2367" s="36" t="s">
        <v>848</v>
      </c>
      <c r="F2367" s="154" t="s">
        <v>1959</v>
      </c>
      <c r="G2367" s="36" t="s">
        <v>28</v>
      </c>
      <c r="H2367" s="36" t="s">
        <v>1655</v>
      </c>
      <c r="I2367" s="36" t="s">
        <v>1656</v>
      </c>
      <c r="J2367" s="36" t="s">
        <v>1656</v>
      </c>
      <c r="K2367" s="36" t="s">
        <v>1803</v>
      </c>
      <c r="L2367" s="36" t="s">
        <v>5325</v>
      </c>
      <c r="M2367" s="36" t="s">
        <v>5325</v>
      </c>
      <c r="N2367" s="36" t="s">
        <v>34</v>
      </c>
    </row>
    <row r="2368">
      <c r="A2368" s="36" t="s">
        <v>5780</v>
      </c>
      <c r="B2368" s="154" t="s">
        <v>5777</v>
      </c>
      <c r="C2368" s="36" t="s">
        <v>1666</v>
      </c>
      <c r="D2368" s="36" t="s">
        <v>853</v>
      </c>
      <c r="E2368" s="36" t="s">
        <v>853</v>
      </c>
      <c r="F2368" s="154" t="s">
        <v>1816</v>
      </c>
      <c r="G2368" s="36" t="s">
        <v>28</v>
      </c>
      <c r="H2368" s="36" t="s">
        <v>1655</v>
      </c>
      <c r="I2368" s="36" t="s">
        <v>1656</v>
      </c>
      <c r="J2368" s="36" t="s">
        <v>1656</v>
      </c>
      <c r="K2368" s="36" t="s">
        <v>1807</v>
      </c>
      <c r="L2368" s="36" t="s">
        <v>5325</v>
      </c>
      <c r="M2368" s="36" t="s">
        <v>5325</v>
      </c>
      <c r="N2368" s="36" t="s">
        <v>34</v>
      </c>
    </row>
    <row r="2369">
      <c r="A2369" s="36" t="s">
        <v>5781</v>
      </c>
      <c r="B2369" s="154" t="s">
        <v>5782</v>
      </c>
      <c r="C2369" s="36" t="s">
        <v>1666</v>
      </c>
      <c r="D2369" s="36" t="s">
        <v>100</v>
      </c>
      <c r="E2369" s="36" t="s">
        <v>100</v>
      </c>
      <c r="F2369" s="154" t="s">
        <v>1810</v>
      </c>
      <c r="G2369" s="36" t="s">
        <v>32</v>
      </c>
      <c r="H2369" s="36" t="s">
        <v>1655</v>
      </c>
      <c r="I2369" s="36" t="s">
        <v>1656</v>
      </c>
      <c r="J2369" s="36" t="s">
        <v>1656</v>
      </c>
      <c r="K2369" s="36" t="s">
        <v>1814</v>
      </c>
      <c r="L2369" s="36" t="s">
        <v>5325</v>
      </c>
      <c r="M2369" s="36" t="s">
        <v>5325</v>
      </c>
      <c r="N2369" s="36" t="s">
        <v>32</v>
      </c>
    </row>
    <row r="2370">
      <c r="A2370" s="36" t="s">
        <v>5783</v>
      </c>
      <c r="B2370" s="154" t="s">
        <v>5784</v>
      </c>
      <c r="C2370" s="36" t="s">
        <v>1666</v>
      </c>
      <c r="D2370" s="36" t="s">
        <v>861</v>
      </c>
      <c r="E2370" s="36" t="s">
        <v>861</v>
      </c>
      <c r="F2370" s="154" t="s">
        <v>5785</v>
      </c>
      <c r="G2370" s="36" t="s">
        <v>28</v>
      </c>
      <c r="H2370" s="36" t="s">
        <v>1655</v>
      </c>
      <c r="I2370" s="36" t="s">
        <v>1656</v>
      </c>
      <c r="J2370" s="36" t="s">
        <v>1656</v>
      </c>
      <c r="K2370" s="36" t="s">
        <v>1817</v>
      </c>
      <c r="L2370" s="36" t="s">
        <v>5325</v>
      </c>
      <c r="M2370" s="36" t="s">
        <v>5325</v>
      </c>
      <c r="N2370" s="36" t="s">
        <v>32</v>
      </c>
    </row>
    <row r="2371">
      <c r="A2371" s="36" t="s">
        <v>5786</v>
      </c>
      <c r="B2371" s="154" t="s">
        <v>5784</v>
      </c>
      <c r="C2371" s="36" t="s">
        <v>1666</v>
      </c>
      <c r="D2371" s="36" t="s">
        <v>100</v>
      </c>
      <c r="E2371" s="36" t="s">
        <v>100</v>
      </c>
      <c r="F2371" s="154" t="s">
        <v>1768</v>
      </c>
      <c r="G2371" s="36" t="s">
        <v>32</v>
      </c>
      <c r="H2371" s="36" t="s">
        <v>1655</v>
      </c>
      <c r="I2371" s="36" t="s">
        <v>1656</v>
      </c>
      <c r="J2371" s="36" t="s">
        <v>1656</v>
      </c>
      <c r="K2371" s="36" t="s">
        <v>1820</v>
      </c>
      <c r="L2371" s="36" t="s">
        <v>5325</v>
      </c>
      <c r="M2371" s="36" t="s">
        <v>5325</v>
      </c>
      <c r="N2371" s="36" t="s">
        <v>32</v>
      </c>
    </row>
    <row r="2372">
      <c r="A2372" s="36" t="s">
        <v>5787</v>
      </c>
      <c r="B2372" s="154" t="s">
        <v>5784</v>
      </c>
      <c r="C2372" s="36" t="s">
        <v>1666</v>
      </c>
      <c r="D2372" s="36" t="s">
        <v>868</v>
      </c>
      <c r="E2372" s="36" t="s">
        <v>868</v>
      </c>
      <c r="F2372" s="154" t="s">
        <v>5788</v>
      </c>
      <c r="G2372" s="36" t="s">
        <v>32</v>
      </c>
      <c r="H2372" s="36" t="s">
        <v>1655</v>
      </c>
      <c r="I2372" s="36" t="s">
        <v>1656</v>
      </c>
      <c r="J2372" s="36" t="s">
        <v>1656</v>
      </c>
      <c r="K2372" s="36" t="s">
        <v>1823</v>
      </c>
      <c r="L2372" s="36" t="s">
        <v>5325</v>
      </c>
      <c r="M2372" s="36" t="s">
        <v>5325</v>
      </c>
      <c r="N2372" s="36" t="s">
        <v>32</v>
      </c>
    </row>
    <row r="2373">
      <c r="A2373" s="36" t="s">
        <v>5789</v>
      </c>
      <c r="B2373" s="154" t="s">
        <v>5784</v>
      </c>
      <c r="C2373" s="36" t="s">
        <v>1666</v>
      </c>
      <c r="D2373" s="36" t="s">
        <v>873</v>
      </c>
      <c r="E2373" s="36" t="s">
        <v>873</v>
      </c>
      <c r="F2373" s="154" t="s">
        <v>5790</v>
      </c>
      <c r="G2373" s="36" t="s">
        <v>32</v>
      </c>
      <c r="H2373" s="36" t="s">
        <v>1655</v>
      </c>
      <c r="I2373" s="36" t="s">
        <v>1656</v>
      </c>
      <c r="J2373" s="36" t="s">
        <v>1656</v>
      </c>
      <c r="K2373" s="36" t="s">
        <v>1826</v>
      </c>
      <c r="L2373" s="36" t="s">
        <v>5325</v>
      </c>
      <c r="M2373" s="36" t="s">
        <v>5325</v>
      </c>
      <c r="N2373" s="36" t="s">
        <v>32</v>
      </c>
    </row>
    <row r="2374">
      <c r="A2374" s="36" t="s">
        <v>5791</v>
      </c>
      <c r="B2374" s="154" t="s">
        <v>5784</v>
      </c>
      <c r="C2374" s="36" t="s">
        <v>1666</v>
      </c>
      <c r="D2374" s="36" t="s">
        <v>210</v>
      </c>
      <c r="E2374" s="36" t="s">
        <v>210</v>
      </c>
      <c r="F2374" s="154" t="s">
        <v>1810</v>
      </c>
      <c r="G2374" s="36" t="s">
        <v>32</v>
      </c>
      <c r="H2374" s="36" t="s">
        <v>1655</v>
      </c>
      <c r="I2374" s="36" t="s">
        <v>1656</v>
      </c>
      <c r="J2374" s="36" t="s">
        <v>1656</v>
      </c>
      <c r="K2374" s="36" t="s">
        <v>1830</v>
      </c>
      <c r="L2374" s="36" t="s">
        <v>5325</v>
      </c>
      <c r="M2374" s="36" t="s">
        <v>5325</v>
      </c>
      <c r="N2374" s="36" t="s">
        <v>32</v>
      </c>
    </row>
    <row r="2375">
      <c r="A2375" s="36" t="s">
        <v>5792</v>
      </c>
      <c r="B2375" s="154" t="s">
        <v>5793</v>
      </c>
      <c r="C2375" s="36" t="s">
        <v>1653</v>
      </c>
      <c r="D2375" s="36" t="s">
        <v>43</v>
      </c>
      <c r="E2375" s="36" t="s">
        <v>39</v>
      </c>
      <c r="F2375" s="154" t="s">
        <v>5794</v>
      </c>
      <c r="G2375" s="36" t="s">
        <v>32</v>
      </c>
      <c r="H2375" s="36" t="s">
        <v>1655</v>
      </c>
      <c r="I2375" s="36" t="s">
        <v>1656</v>
      </c>
      <c r="J2375" s="36" t="s">
        <v>1656</v>
      </c>
      <c r="K2375" s="36" t="s">
        <v>5599</v>
      </c>
      <c r="L2375" s="36" t="s">
        <v>5321</v>
      </c>
      <c r="M2375" s="36" t="s">
        <v>5321</v>
      </c>
      <c r="N2375" s="36" t="s">
        <v>32</v>
      </c>
    </row>
    <row r="2376">
      <c r="A2376" s="36" t="s">
        <v>5795</v>
      </c>
      <c r="B2376" s="154" t="s">
        <v>5796</v>
      </c>
      <c r="C2376" s="36" t="s">
        <v>1666</v>
      </c>
      <c r="D2376" s="36" t="s">
        <v>130</v>
      </c>
      <c r="E2376" s="36" t="s">
        <v>130</v>
      </c>
      <c r="F2376" s="154" t="s">
        <v>1768</v>
      </c>
      <c r="G2376" s="36" t="s">
        <v>32</v>
      </c>
      <c r="H2376" s="36" t="s">
        <v>1655</v>
      </c>
      <c r="I2376" s="36" t="s">
        <v>1656</v>
      </c>
      <c r="J2376" s="36" t="s">
        <v>1656</v>
      </c>
      <c r="K2376" s="36" t="s">
        <v>1833</v>
      </c>
      <c r="L2376" s="36" t="s">
        <v>5325</v>
      </c>
      <c r="M2376" s="36" t="s">
        <v>5325</v>
      </c>
      <c r="N2376" s="36" t="s">
        <v>32</v>
      </c>
    </row>
    <row r="2377">
      <c r="A2377" s="36" t="s">
        <v>5797</v>
      </c>
      <c r="B2377" s="154" t="s">
        <v>5796</v>
      </c>
      <c r="C2377" s="36" t="s">
        <v>1666</v>
      </c>
      <c r="D2377" s="36" t="s">
        <v>218</v>
      </c>
      <c r="E2377" s="36" t="s">
        <v>218</v>
      </c>
      <c r="F2377" s="154" t="s">
        <v>1686</v>
      </c>
      <c r="G2377" s="36" t="s">
        <v>32</v>
      </c>
      <c r="H2377" s="36" t="s">
        <v>1655</v>
      </c>
      <c r="I2377" s="36" t="s">
        <v>1656</v>
      </c>
      <c r="J2377" s="36" t="s">
        <v>1656</v>
      </c>
      <c r="K2377" s="36" t="s">
        <v>1836</v>
      </c>
      <c r="L2377" s="36" t="s">
        <v>5325</v>
      </c>
      <c r="M2377" s="36" t="s">
        <v>5325</v>
      </c>
      <c r="N2377" s="36" t="s">
        <v>32</v>
      </c>
    </row>
    <row r="2378">
      <c r="A2378" s="36" t="s">
        <v>5798</v>
      </c>
      <c r="B2378" s="154" t="s">
        <v>5796</v>
      </c>
      <c r="C2378" s="36" t="s">
        <v>1666</v>
      </c>
      <c r="D2378" s="36" t="s">
        <v>646</v>
      </c>
      <c r="E2378" s="36" t="s">
        <v>646</v>
      </c>
      <c r="F2378" s="154" t="s">
        <v>2156</v>
      </c>
      <c r="G2378" s="36" t="s">
        <v>28</v>
      </c>
      <c r="H2378" s="36" t="s">
        <v>1655</v>
      </c>
      <c r="I2378" s="36" t="s">
        <v>1656</v>
      </c>
      <c r="J2378" s="36" t="s">
        <v>1656</v>
      </c>
      <c r="K2378" s="36" t="s">
        <v>1839</v>
      </c>
      <c r="L2378" s="36" t="s">
        <v>5325</v>
      </c>
      <c r="M2378" s="36" t="s">
        <v>5325</v>
      </c>
      <c r="N2378" s="36" t="s">
        <v>34</v>
      </c>
    </row>
    <row r="2379">
      <c r="A2379" s="36" t="s">
        <v>5799</v>
      </c>
      <c r="B2379" s="154" t="s">
        <v>5800</v>
      </c>
      <c r="C2379" s="36" t="s">
        <v>1666</v>
      </c>
      <c r="D2379" s="36" t="s">
        <v>695</v>
      </c>
      <c r="E2379" s="36" t="s">
        <v>695</v>
      </c>
      <c r="F2379" s="154" t="s">
        <v>5801</v>
      </c>
      <c r="G2379" s="36" t="s">
        <v>28</v>
      </c>
      <c r="H2379" s="36" t="s">
        <v>1655</v>
      </c>
      <c r="I2379" s="36" t="s">
        <v>1656</v>
      </c>
      <c r="J2379" s="36" t="s">
        <v>1656</v>
      </c>
      <c r="K2379" s="36" t="s">
        <v>1842</v>
      </c>
      <c r="L2379" s="36" t="s">
        <v>5325</v>
      </c>
      <c r="M2379" s="36" t="s">
        <v>5325</v>
      </c>
      <c r="N2379" s="36" t="s">
        <v>32</v>
      </c>
    </row>
    <row r="2380">
      <c r="A2380" s="36" t="s">
        <v>5802</v>
      </c>
      <c r="B2380" s="154" t="s">
        <v>5803</v>
      </c>
      <c r="C2380" s="36" t="s">
        <v>1666</v>
      </c>
      <c r="D2380" s="36" t="s">
        <v>100</v>
      </c>
      <c r="E2380" s="36" t="s">
        <v>100</v>
      </c>
      <c r="F2380" s="154" t="s">
        <v>1810</v>
      </c>
      <c r="G2380" s="36" t="s">
        <v>32</v>
      </c>
      <c r="H2380" s="36" t="s">
        <v>1655</v>
      </c>
      <c r="I2380" s="36" t="s">
        <v>1656</v>
      </c>
      <c r="J2380" s="36" t="s">
        <v>1656</v>
      </c>
      <c r="K2380" s="36" t="s">
        <v>1845</v>
      </c>
      <c r="L2380" s="36" t="s">
        <v>5325</v>
      </c>
      <c r="M2380" s="36" t="s">
        <v>5325</v>
      </c>
      <c r="N2380" s="36" t="s">
        <v>32</v>
      </c>
    </row>
    <row r="2381">
      <c r="A2381" s="36" t="s">
        <v>5804</v>
      </c>
      <c r="B2381" s="154" t="s">
        <v>5805</v>
      </c>
      <c r="C2381" s="36" t="s">
        <v>1666</v>
      </c>
      <c r="D2381" s="36" t="s">
        <v>79</v>
      </c>
      <c r="E2381" s="36" t="s">
        <v>79</v>
      </c>
      <c r="F2381" s="154" t="s">
        <v>5606</v>
      </c>
      <c r="G2381" s="36" t="s">
        <v>32</v>
      </c>
      <c r="H2381" s="36" t="s">
        <v>1655</v>
      </c>
      <c r="I2381" s="36" t="s">
        <v>1656</v>
      </c>
      <c r="J2381" s="36" t="s">
        <v>1656</v>
      </c>
      <c r="K2381" s="36" t="s">
        <v>1769</v>
      </c>
      <c r="L2381" s="36" t="s">
        <v>5325</v>
      </c>
      <c r="M2381" s="36" t="s">
        <v>5325</v>
      </c>
      <c r="N2381" s="36" t="s">
        <v>32</v>
      </c>
    </row>
    <row r="2382">
      <c r="A2382" s="36" t="s">
        <v>5806</v>
      </c>
      <c r="B2382" s="154" t="s">
        <v>5805</v>
      </c>
      <c r="C2382" s="36" t="s">
        <v>1666</v>
      </c>
      <c r="D2382" s="36" t="s">
        <v>81</v>
      </c>
      <c r="E2382" s="36" t="s">
        <v>81</v>
      </c>
      <c r="F2382" s="154" t="s">
        <v>5807</v>
      </c>
      <c r="G2382" s="36" t="s">
        <v>28</v>
      </c>
      <c r="H2382" s="36" t="s">
        <v>1655</v>
      </c>
      <c r="I2382" s="36" t="s">
        <v>1656</v>
      </c>
      <c r="J2382" s="36" t="s">
        <v>1656</v>
      </c>
      <c r="K2382" s="36" t="s">
        <v>1811</v>
      </c>
      <c r="L2382" s="36" t="s">
        <v>5325</v>
      </c>
      <c r="M2382" s="36" t="s">
        <v>5325</v>
      </c>
      <c r="N2382" s="36" t="s">
        <v>32</v>
      </c>
    </row>
    <row r="2383">
      <c r="A2383" s="36" t="s">
        <v>5808</v>
      </c>
      <c r="B2383" s="154" t="s">
        <v>5805</v>
      </c>
      <c r="C2383" s="36" t="s">
        <v>1666</v>
      </c>
      <c r="D2383" s="36" t="s">
        <v>83</v>
      </c>
      <c r="E2383" s="36" t="s">
        <v>83</v>
      </c>
      <c r="F2383" s="154" t="s">
        <v>5809</v>
      </c>
      <c r="G2383" s="36" t="s">
        <v>28</v>
      </c>
      <c r="H2383" s="36" t="s">
        <v>1655</v>
      </c>
      <c r="I2383" s="36" t="s">
        <v>1656</v>
      </c>
      <c r="J2383" s="36" t="s">
        <v>1656</v>
      </c>
      <c r="K2383" s="36" t="s">
        <v>1891</v>
      </c>
      <c r="L2383" s="36" t="s">
        <v>5325</v>
      </c>
      <c r="M2383" s="36" t="s">
        <v>5325</v>
      </c>
      <c r="N2383" s="36" t="s">
        <v>32</v>
      </c>
    </row>
    <row r="2384">
      <c r="A2384" s="36" t="s">
        <v>5810</v>
      </c>
      <c r="B2384" s="154" t="s">
        <v>5805</v>
      </c>
      <c r="C2384" s="36" t="s">
        <v>1666</v>
      </c>
      <c r="D2384" s="36" t="s">
        <v>84</v>
      </c>
      <c r="E2384" s="36" t="s">
        <v>84</v>
      </c>
      <c r="F2384" s="154" t="s">
        <v>5693</v>
      </c>
      <c r="G2384" s="36" t="s">
        <v>32</v>
      </c>
      <c r="H2384" s="36" t="s">
        <v>1655</v>
      </c>
      <c r="I2384" s="36" t="s">
        <v>1656</v>
      </c>
      <c r="J2384" s="36" t="s">
        <v>1656</v>
      </c>
      <c r="K2384" s="36" t="s">
        <v>1921</v>
      </c>
      <c r="L2384" s="36" t="s">
        <v>5325</v>
      </c>
      <c r="M2384" s="36" t="s">
        <v>5325</v>
      </c>
      <c r="N2384" s="36" t="s">
        <v>32</v>
      </c>
    </row>
    <row r="2385">
      <c r="A2385" s="36" t="s">
        <v>5811</v>
      </c>
      <c r="B2385" s="154" t="s">
        <v>5805</v>
      </c>
      <c r="C2385" s="36" t="s">
        <v>1666</v>
      </c>
      <c r="D2385" s="36" t="s">
        <v>888</v>
      </c>
      <c r="E2385" s="36" t="s">
        <v>888</v>
      </c>
      <c r="F2385" s="154" t="s">
        <v>2156</v>
      </c>
      <c r="G2385" s="36" t="s">
        <v>28</v>
      </c>
      <c r="H2385" s="36" t="s">
        <v>1655</v>
      </c>
      <c r="I2385" s="36" t="s">
        <v>1656</v>
      </c>
      <c r="J2385" s="36" t="s">
        <v>1656</v>
      </c>
      <c r="K2385" s="36" t="s">
        <v>1848</v>
      </c>
      <c r="L2385" s="36" t="s">
        <v>5325</v>
      </c>
      <c r="M2385" s="36" t="s">
        <v>5325</v>
      </c>
      <c r="N2385" s="36" t="s">
        <v>34</v>
      </c>
    </row>
    <row r="2386">
      <c r="A2386" s="36" t="s">
        <v>5812</v>
      </c>
      <c r="B2386" s="154" t="s">
        <v>5813</v>
      </c>
      <c r="C2386" s="36" t="s">
        <v>1666</v>
      </c>
      <c r="D2386" s="36" t="s">
        <v>695</v>
      </c>
      <c r="E2386" s="36" t="s">
        <v>695</v>
      </c>
      <c r="F2386" s="154" t="s">
        <v>5814</v>
      </c>
      <c r="G2386" s="36" t="s">
        <v>32</v>
      </c>
      <c r="H2386" s="36" t="s">
        <v>1655</v>
      </c>
      <c r="I2386" s="36" t="s">
        <v>1656</v>
      </c>
      <c r="J2386" s="36" t="s">
        <v>1656</v>
      </c>
      <c r="K2386" s="36" t="s">
        <v>1851</v>
      </c>
      <c r="L2386" s="36" t="s">
        <v>5325</v>
      </c>
      <c r="M2386" s="36" t="s">
        <v>5325</v>
      </c>
      <c r="N2386" s="36" t="s">
        <v>32</v>
      </c>
    </row>
    <row r="2387">
      <c r="A2387" s="36" t="s">
        <v>5815</v>
      </c>
      <c r="B2387" s="154" t="s">
        <v>5813</v>
      </c>
      <c r="C2387" s="36" t="s">
        <v>1666</v>
      </c>
      <c r="D2387" s="36" t="s">
        <v>295</v>
      </c>
      <c r="E2387" s="36" t="s">
        <v>295</v>
      </c>
      <c r="F2387" s="154" t="s">
        <v>1806</v>
      </c>
      <c r="G2387" s="36" t="s">
        <v>28</v>
      </c>
      <c r="H2387" s="36" t="s">
        <v>1655</v>
      </c>
      <c r="I2387" s="36" t="s">
        <v>1656</v>
      </c>
      <c r="J2387" s="36" t="s">
        <v>1656</v>
      </c>
      <c r="K2387" s="36" t="s">
        <v>1854</v>
      </c>
      <c r="L2387" s="36" t="s">
        <v>5325</v>
      </c>
      <c r="M2387" s="36" t="s">
        <v>5325</v>
      </c>
      <c r="N2387" s="36" t="s">
        <v>34</v>
      </c>
    </row>
    <row r="2388">
      <c r="A2388" s="36" t="s">
        <v>5816</v>
      </c>
      <c r="B2388" s="154" t="s">
        <v>5817</v>
      </c>
      <c r="C2388" s="36" t="s">
        <v>1653</v>
      </c>
      <c r="D2388" s="36" t="s">
        <v>43</v>
      </c>
      <c r="E2388" s="36" t="s">
        <v>39</v>
      </c>
      <c r="F2388" s="154" t="s">
        <v>5794</v>
      </c>
      <c r="G2388" s="36" t="s">
        <v>32</v>
      </c>
      <c r="H2388" s="36" t="s">
        <v>1655</v>
      </c>
      <c r="I2388" s="36" t="s">
        <v>1656</v>
      </c>
      <c r="J2388" s="36" t="s">
        <v>1656</v>
      </c>
      <c r="K2388" s="36" t="s">
        <v>1657</v>
      </c>
      <c r="L2388" s="36" t="s">
        <v>5321</v>
      </c>
      <c r="M2388" s="36" t="s">
        <v>5321</v>
      </c>
      <c r="N2388" s="36" t="s">
        <v>32</v>
      </c>
    </row>
    <row r="2389">
      <c r="A2389" s="36" t="s">
        <v>5818</v>
      </c>
      <c r="B2389" s="154" t="s">
        <v>5817</v>
      </c>
      <c r="C2389" s="36" t="s">
        <v>1653</v>
      </c>
      <c r="D2389" s="36" t="s">
        <v>158</v>
      </c>
      <c r="E2389" s="36" t="s">
        <v>39</v>
      </c>
      <c r="F2389" s="154" t="s">
        <v>5819</v>
      </c>
      <c r="G2389" s="36" t="s">
        <v>32</v>
      </c>
      <c r="H2389" s="36" t="s">
        <v>1655</v>
      </c>
      <c r="I2389" s="36" t="s">
        <v>1656</v>
      </c>
      <c r="J2389" s="36" t="s">
        <v>1656</v>
      </c>
      <c r="K2389" s="36" t="s">
        <v>1978</v>
      </c>
      <c r="L2389" s="36" t="s">
        <v>5321</v>
      </c>
      <c r="M2389" s="36" t="s">
        <v>5321</v>
      </c>
      <c r="N2389" s="36" t="s">
        <v>32</v>
      </c>
    </row>
    <row r="2390">
      <c r="A2390" s="36" t="s">
        <v>5820</v>
      </c>
      <c r="B2390" s="154" t="s">
        <v>5817</v>
      </c>
      <c r="C2390" s="36" t="s">
        <v>1666</v>
      </c>
      <c r="D2390" s="36" t="s">
        <v>85</v>
      </c>
      <c r="E2390" s="36" t="s">
        <v>85</v>
      </c>
      <c r="F2390" s="154" t="s">
        <v>5821</v>
      </c>
      <c r="G2390" s="36" t="s">
        <v>28</v>
      </c>
      <c r="H2390" s="36" t="s">
        <v>1655</v>
      </c>
      <c r="I2390" s="36" t="s">
        <v>1656</v>
      </c>
      <c r="J2390" s="36" t="s">
        <v>1656</v>
      </c>
      <c r="K2390" s="36" t="s">
        <v>3035</v>
      </c>
      <c r="L2390" s="36" t="s">
        <v>5325</v>
      </c>
      <c r="M2390" s="36" t="s">
        <v>5325</v>
      </c>
      <c r="N2390" s="36" t="s">
        <v>32</v>
      </c>
    </row>
    <row r="2391">
      <c r="A2391" s="36" t="s">
        <v>5822</v>
      </c>
      <c r="B2391" s="154" t="s">
        <v>5817</v>
      </c>
      <c r="C2391" s="36" t="s">
        <v>1666</v>
      </c>
      <c r="D2391" s="36" t="s">
        <v>443</v>
      </c>
      <c r="E2391" s="36" t="s">
        <v>443</v>
      </c>
      <c r="F2391" s="154" t="s">
        <v>5706</v>
      </c>
      <c r="G2391" s="36" t="s">
        <v>28</v>
      </c>
      <c r="H2391" s="36" t="s">
        <v>1655</v>
      </c>
      <c r="I2391" s="36" t="s">
        <v>1656</v>
      </c>
      <c r="J2391" s="36" t="s">
        <v>1656</v>
      </c>
      <c r="K2391" s="36" t="s">
        <v>3038</v>
      </c>
      <c r="L2391" s="36" t="s">
        <v>5325</v>
      </c>
      <c r="M2391" s="36" t="s">
        <v>5325</v>
      </c>
      <c r="N2391" s="36" t="s">
        <v>32</v>
      </c>
    </row>
    <row r="2392">
      <c r="A2392" s="36" t="s">
        <v>5823</v>
      </c>
      <c r="B2392" s="154" t="s">
        <v>5817</v>
      </c>
      <c r="C2392" s="36" t="s">
        <v>1666</v>
      </c>
      <c r="D2392" s="36" t="s">
        <v>717</v>
      </c>
      <c r="E2392" s="36" t="s">
        <v>717</v>
      </c>
      <c r="F2392" s="154" t="s">
        <v>4688</v>
      </c>
      <c r="G2392" s="36" t="s">
        <v>28</v>
      </c>
      <c r="H2392" s="36" t="s">
        <v>1655</v>
      </c>
      <c r="I2392" s="36" t="s">
        <v>1656</v>
      </c>
      <c r="J2392" s="36" t="s">
        <v>1656</v>
      </c>
      <c r="K2392" s="36" t="s">
        <v>2775</v>
      </c>
      <c r="L2392" s="36" t="s">
        <v>5325</v>
      </c>
      <c r="M2392" s="36" t="s">
        <v>5325</v>
      </c>
      <c r="N2392" s="36" t="s">
        <v>32</v>
      </c>
    </row>
    <row r="2393">
      <c r="A2393" s="36" t="s">
        <v>5824</v>
      </c>
      <c r="B2393" s="154" t="s">
        <v>5817</v>
      </c>
      <c r="C2393" s="36" t="s">
        <v>1666</v>
      </c>
      <c r="D2393" s="36" t="s">
        <v>109</v>
      </c>
      <c r="E2393" s="36" t="s">
        <v>109</v>
      </c>
      <c r="F2393" s="154" t="s">
        <v>3972</v>
      </c>
      <c r="G2393" s="36" t="s">
        <v>28</v>
      </c>
      <c r="H2393" s="36" t="s">
        <v>1655</v>
      </c>
      <c r="I2393" s="36" t="s">
        <v>1656</v>
      </c>
      <c r="J2393" s="36" t="s">
        <v>1656</v>
      </c>
      <c r="K2393" s="36" t="s">
        <v>1672</v>
      </c>
      <c r="L2393" s="36" t="s">
        <v>5325</v>
      </c>
      <c r="M2393" s="36" t="s">
        <v>5325</v>
      </c>
      <c r="N2393" s="36" t="s">
        <v>32</v>
      </c>
    </row>
    <row r="2394">
      <c r="A2394" s="36" t="s">
        <v>5825</v>
      </c>
      <c r="B2394" s="154" t="s">
        <v>5826</v>
      </c>
      <c r="C2394" s="36" t="s">
        <v>1666</v>
      </c>
      <c r="D2394" s="36" t="s">
        <v>78</v>
      </c>
      <c r="E2394" s="36" t="s">
        <v>78</v>
      </c>
      <c r="F2394" s="154" t="s">
        <v>2325</v>
      </c>
      <c r="G2394" s="36" t="s">
        <v>28</v>
      </c>
      <c r="H2394" s="36" t="s">
        <v>1655</v>
      </c>
      <c r="I2394" s="36" t="s">
        <v>1656</v>
      </c>
      <c r="J2394" s="36" t="s">
        <v>1656</v>
      </c>
      <c r="K2394" s="36" t="s">
        <v>4248</v>
      </c>
      <c r="L2394" s="36" t="s">
        <v>5325</v>
      </c>
      <c r="M2394" s="36" t="s">
        <v>5325</v>
      </c>
      <c r="N2394" s="36" t="s">
        <v>32</v>
      </c>
    </row>
    <row r="2395">
      <c r="A2395" s="36" t="s">
        <v>5827</v>
      </c>
      <c r="B2395" s="154" t="s">
        <v>5826</v>
      </c>
      <c r="C2395" s="36" t="s">
        <v>1666</v>
      </c>
      <c r="D2395" s="36" t="s">
        <v>618</v>
      </c>
      <c r="E2395" s="36" t="s">
        <v>618</v>
      </c>
      <c r="F2395" s="154" t="s">
        <v>1686</v>
      </c>
      <c r="G2395" s="36" t="s">
        <v>28</v>
      </c>
      <c r="H2395" s="36" t="s">
        <v>1655</v>
      </c>
      <c r="I2395" s="36" t="s">
        <v>1656</v>
      </c>
      <c r="J2395" s="36" t="s">
        <v>1656</v>
      </c>
      <c r="K2395" s="36" t="s">
        <v>1675</v>
      </c>
      <c r="L2395" s="36" t="s">
        <v>5325</v>
      </c>
      <c r="M2395" s="36" t="s">
        <v>5325</v>
      </c>
      <c r="N2395" s="36" t="s">
        <v>34</v>
      </c>
    </row>
    <row r="2396">
      <c r="A2396" s="36" t="s">
        <v>5828</v>
      </c>
      <c r="B2396" s="154" t="s">
        <v>5826</v>
      </c>
      <c r="C2396" s="36" t="s">
        <v>1666</v>
      </c>
      <c r="D2396" s="36" t="s">
        <v>736</v>
      </c>
      <c r="E2396" s="36" t="s">
        <v>736</v>
      </c>
      <c r="F2396" s="154" t="s">
        <v>1816</v>
      </c>
      <c r="G2396" s="36" t="s">
        <v>28</v>
      </c>
      <c r="H2396" s="36" t="s">
        <v>1655</v>
      </c>
      <c r="I2396" s="36" t="s">
        <v>1656</v>
      </c>
      <c r="J2396" s="36" t="s">
        <v>1656</v>
      </c>
      <c r="K2396" s="36" t="s">
        <v>1678</v>
      </c>
      <c r="L2396" s="36" t="s">
        <v>5325</v>
      </c>
      <c r="M2396" s="36" t="s">
        <v>5325</v>
      </c>
      <c r="N2396" s="36" t="s">
        <v>34</v>
      </c>
    </row>
    <row r="2397">
      <c r="A2397" s="36" t="s">
        <v>5829</v>
      </c>
      <c r="B2397" s="154" t="s">
        <v>5826</v>
      </c>
      <c r="C2397" s="36" t="s">
        <v>1666</v>
      </c>
      <c r="D2397" s="36" t="s">
        <v>110</v>
      </c>
      <c r="E2397" s="36" t="s">
        <v>110</v>
      </c>
      <c r="F2397" s="154" t="s">
        <v>1729</v>
      </c>
      <c r="G2397" s="36" t="s">
        <v>28</v>
      </c>
      <c r="H2397" s="36" t="s">
        <v>1655</v>
      </c>
      <c r="I2397" s="36" t="s">
        <v>1656</v>
      </c>
      <c r="J2397" s="36" t="s">
        <v>1656</v>
      </c>
      <c r="K2397" s="36" t="s">
        <v>1681</v>
      </c>
      <c r="L2397" s="36" t="s">
        <v>5325</v>
      </c>
      <c r="M2397" s="36" t="s">
        <v>5325</v>
      </c>
      <c r="N2397" s="36" t="s">
        <v>34</v>
      </c>
    </row>
    <row r="2398">
      <c r="A2398" s="36" t="s">
        <v>5830</v>
      </c>
      <c r="B2398" s="154" t="s">
        <v>5831</v>
      </c>
      <c r="C2398" s="36" t="s">
        <v>1666</v>
      </c>
      <c r="D2398" s="36" t="s">
        <v>63</v>
      </c>
      <c r="E2398" s="36" t="s">
        <v>63</v>
      </c>
      <c r="F2398" s="154" t="s">
        <v>5832</v>
      </c>
      <c r="G2398" s="36" t="s">
        <v>28</v>
      </c>
      <c r="H2398" s="36" t="s">
        <v>1655</v>
      </c>
      <c r="I2398" s="36" t="s">
        <v>1656</v>
      </c>
      <c r="J2398" s="36" t="s">
        <v>1656</v>
      </c>
      <c r="K2398" s="36" t="s">
        <v>4196</v>
      </c>
      <c r="L2398" s="36" t="s">
        <v>5325</v>
      </c>
      <c r="M2398" s="36" t="s">
        <v>5325</v>
      </c>
      <c r="N2398" s="36" t="s">
        <v>34</v>
      </c>
    </row>
    <row r="2399">
      <c r="A2399" s="36" t="s">
        <v>5833</v>
      </c>
      <c r="B2399" s="154" t="s">
        <v>5834</v>
      </c>
      <c r="C2399" s="36" t="s">
        <v>1653</v>
      </c>
      <c r="D2399" s="36" t="s">
        <v>161</v>
      </c>
      <c r="E2399" s="36" t="s">
        <v>39</v>
      </c>
      <c r="F2399" s="154" t="s">
        <v>5835</v>
      </c>
      <c r="G2399" s="36" t="s">
        <v>32</v>
      </c>
      <c r="H2399" s="36" t="s">
        <v>1655</v>
      </c>
      <c r="I2399" s="36" t="s">
        <v>1656</v>
      </c>
      <c r="J2399" s="36" t="s">
        <v>1656</v>
      </c>
      <c r="K2399" s="36" t="s">
        <v>1989</v>
      </c>
      <c r="L2399" s="36" t="s">
        <v>5321</v>
      </c>
      <c r="M2399" s="36" t="s">
        <v>5321</v>
      </c>
      <c r="N2399" s="36" t="s">
        <v>32</v>
      </c>
    </row>
    <row r="2400">
      <c r="A2400" s="36" t="s">
        <v>5836</v>
      </c>
      <c r="B2400" s="154" t="s">
        <v>5834</v>
      </c>
      <c r="C2400" s="36" t="s">
        <v>1666</v>
      </c>
      <c r="D2400" s="36" t="s">
        <v>64</v>
      </c>
      <c r="E2400" s="36" t="s">
        <v>64</v>
      </c>
      <c r="F2400" s="154" t="s">
        <v>4431</v>
      </c>
      <c r="G2400" s="36" t="s">
        <v>28</v>
      </c>
      <c r="H2400" s="36" t="s">
        <v>1655</v>
      </c>
      <c r="I2400" s="36" t="s">
        <v>1656</v>
      </c>
      <c r="J2400" s="36" t="s">
        <v>1656</v>
      </c>
      <c r="K2400" s="36" t="s">
        <v>1708</v>
      </c>
      <c r="L2400" s="36" t="s">
        <v>5325</v>
      </c>
      <c r="M2400" s="36" t="s">
        <v>5325</v>
      </c>
      <c r="N2400" s="36" t="s">
        <v>32</v>
      </c>
    </row>
    <row r="2401">
      <c r="A2401" s="36" t="s">
        <v>5837</v>
      </c>
      <c r="B2401" s="154" t="s">
        <v>5834</v>
      </c>
      <c r="C2401" s="36" t="s">
        <v>1666</v>
      </c>
      <c r="D2401" s="36" t="s">
        <v>121</v>
      </c>
      <c r="E2401" s="36" t="s">
        <v>121</v>
      </c>
      <c r="F2401" s="154" t="s">
        <v>5532</v>
      </c>
      <c r="G2401" s="36" t="s">
        <v>28</v>
      </c>
      <c r="H2401" s="36" t="s">
        <v>1655</v>
      </c>
      <c r="I2401" s="36" t="s">
        <v>1656</v>
      </c>
      <c r="J2401" s="36" t="s">
        <v>1656</v>
      </c>
      <c r="K2401" s="36" t="s">
        <v>1684</v>
      </c>
      <c r="L2401" s="36" t="s">
        <v>5325</v>
      </c>
      <c r="M2401" s="36" t="s">
        <v>5325</v>
      </c>
      <c r="N2401" s="36" t="s">
        <v>32</v>
      </c>
    </row>
    <row r="2402">
      <c r="A2402" s="36" t="s">
        <v>5838</v>
      </c>
      <c r="B2402" s="154" t="s">
        <v>5834</v>
      </c>
      <c r="C2402" s="36" t="s">
        <v>1666</v>
      </c>
      <c r="D2402" s="36" t="s">
        <v>734</v>
      </c>
      <c r="E2402" s="36" t="s">
        <v>734</v>
      </c>
      <c r="F2402" s="154" t="s">
        <v>5530</v>
      </c>
      <c r="G2402" s="36" t="s">
        <v>32</v>
      </c>
      <c r="H2402" s="36" t="s">
        <v>1655</v>
      </c>
      <c r="I2402" s="36" t="s">
        <v>1656</v>
      </c>
      <c r="J2402" s="36" t="s">
        <v>1656</v>
      </c>
      <c r="K2402" s="36" t="s">
        <v>1691</v>
      </c>
      <c r="L2402" s="36" t="s">
        <v>5325</v>
      </c>
      <c r="M2402" s="36" t="s">
        <v>5325</v>
      </c>
      <c r="N2402" s="36" t="s">
        <v>32</v>
      </c>
    </row>
    <row r="2403">
      <c r="A2403" s="36" t="s">
        <v>5839</v>
      </c>
      <c r="B2403" s="154" t="s">
        <v>5840</v>
      </c>
      <c r="C2403" s="36" t="s">
        <v>1666</v>
      </c>
      <c r="D2403" s="36" t="s">
        <v>754</v>
      </c>
      <c r="E2403" s="36" t="s">
        <v>754</v>
      </c>
      <c r="F2403" s="154" t="s">
        <v>1832</v>
      </c>
      <c r="G2403" s="36" t="s">
        <v>28</v>
      </c>
      <c r="H2403" s="36" t="s">
        <v>1655</v>
      </c>
      <c r="I2403" s="36" t="s">
        <v>1656</v>
      </c>
      <c r="J2403" s="36" t="s">
        <v>1656</v>
      </c>
      <c r="K2403" s="36" t="s">
        <v>1695</v>
      </c>
      <c r="L2403" s="36" t="s">
        <v>5325</v>
      </c>
      <c r="M2403" s="36" t="s">
        <v>5325</v>
      </c>
      <c r="N2403" s="36" t="s">
        <v>34</v>
      </c>
    </row>
    <row r="2404">
      <c r="A2404" s="36" t="s">
        <v>5841</v>
      </c>
      <c r="B2404" s="154" t="s">
        <v>5842</v>
      </c>
      <c r="C2404" s="36" t="s">
        <v>1666</v>
      </c>
      <c r="D2404" s="36" t="s">
        <v>66</v>
      </c>
      <c r="E2404" s="36" t="s">
        <v>66</v>
      </c>
      <c r="F2404" s="154" t="s">
        <v>5843</v>
      </c>
      <c r="G2404" s="36" t="s">
        <v>28</v>
      </c>
      <c r="H2404" s="36" t="s">
        <v>1655</v>
      </c>
      <c r="I2404" s="36" t="s">
        <v>1656</v>
      </c>
      <c r="J2404" s="36" t="s">
        <v>1656</v>
      </c>
      <c r="K2404" s="36" t="s">
        <v>1721</v>
      </c>
      <c r="L2404" s="36" t="s">
        <v>5325</v>
      </c>
      <c r="M2404" s="36" t="s">
        <v>5325</v>
      </c>
      <c r="N2404" s="36" t="s">
        <v>32</v>
      </c>
    </row>
    <row r="2405">
      <c r="A2405" s="36" t="s">
        <v>5844</v>
      </c>
      <c r="B2405" s="154" t="s">
        <v>5845</v>
      </c>
      <c r="C2405" s="36" t="s">
        <v>1653</v>
      </c>
      <c r="D2405" s="36" t="s">
        <v>55</v>
      </c>
      <c r="E2405" s="36" t="s">
        <v>39</v>
      </c>
      <c r="F2405" s="154" t="s">
        <v>5846</v>
      </c>
      <c r="G2405" s="36" t="s">
        <v>32</v>
      </c>
      <c r="H2405" s="36" t="s">
        <v>1655</v>
      </c>
      <c r="I2405" s="36" t="s">
        <v>1656</v>
      </c>
      <c r="J2405" s="36" t="s">
        <v>1656</v>
      </c>
      <c r="K2405" s="36" t="s">
        <v>1749</v>
      </c>
      <c r="L2405" s="36" t="s">
        <v>5321</v>
      </c>
      <c r="M2405" s="36" t="s">
        <v>5321</v>
      </c>
      <c r="N2405" s="36" t="s">
        <v>32</v>
      </c>
    </row>
    <row r="2406">
      <c r="A2406" s="36" t="s">
        <v>5847</v>
      </c>
      <c r="B2406" s="154" t="s">
        <v>5845</v>
      </c>
      <c r="C2406" s="36" t="s">
        <v>1666</v>
      </c>
      <c r="D2406" s="36" t="s">
        <v>71</v>
      </c>
      <c r="E2406" s="36" t="s">
        <v>71</v>
      </c>
      <c r="F2406" s="154" t="s">
        <v>5555</v>
      </c>
      <c r="G2406" s="36" t="s">
        <v>32</v>
      </c>
      <c r="H2406" s="36" t="s">
        <v>1655</v>
      </c>
      <c r="I2406" s="36" t="s">
        <v>1656</v>
      </c>
      <c r="J2406" s="36" t="s">
        <v>1656</v>
      </c>
      <c r="K2406" s="36" t="s">
        <v>1752</v>
      </c>
      <c r="L2406" s="36" t="s">
        <v>5325</v>
      </c>
      <c r="M2406" s="36" t="s">
        <v>5325</v>
      </c>
      <c r="N2406" s="36" t="s">
        <v>32</v>
      </c>
    </row>
    <row r="2407">
      <c r="A2407" s="36" t="s">
        <v>5848</v>
      </c>
      <c r="B2407" s="154" t="s">
        <v>5845</v>
      </c>
      <c r="C2407" s="36" t="s">
        <v>1666</v>
      </c>
      <c r="D2407" s="36" t="s">
        <v>73</v>
      </c>
      <c r="E2407" s="36" t="s">
        <v>73</v>
      </c>
      <c r="F2407" s="154" t="s">
        <v>5557</v>
      </c>
      <c r="G2407" s="36" t="s">
        <v>28</v>
      </c>
      <c r="H2407" s="36" t="s">
        <v>1655</v>
      </c>
      <c r="I2407" s="36" t="s">
        <v>1656</v>
      </c>
      <c r="J2407" s="36" t="s">
        <v>1656</v>
      </c>
      <c r="K2407" s="36" t="s">
        <v>1755</v>
      </c>
      <c r="L2407" s="36" t="s">
        <v>5325</v>
      </c>
      <c r="M2407" s="36" t="s">
        <v>5325</v>
      </c>
      <c r="N2407" s="36" t="s">
        <v>32</v>
      </c>
    </row>
    <row r="2408">
      <c r="A2408" s="36" t="s">
        <v>5849</v>
      </c>
      <c r="B2408" s="154" t="s">
        <v>5845</v>
      </c>
      <c r="C2408" s="36" t="s">
        <v>1666</v>
      </c>
      <c r="D2408" s="36" t="s">
        <v>74</v>
      </c>
      <c r="E2408" s="36" t="s">
        <v>74</v>
      </c>
      <c r="F2408" s="154" t="s">
        <v>5559</v>
      </c>
      <c r="G2408" s="36" t="s">
        <v>32</v>
      </c>
      <c r="H2408" s="36" t="s">
        <v>1655</v>
      </c>
      <c r="I2408" s="36" t="s">
        <v>1656</v>
      </c>
      <c r="J2408" s="36" t="s">
        <v>1656</v>
      </c>
      <c r="K2408" s="36" t="s">
        <v>1757</v>
      </c>
      <c r="L2408" s="36" t="s">
        <v>5325</v>
      </c>
      <c r="M2408" s="36" t="s">
        <v>5325</v>
      </c>
      <c r="N2408" s="36" t="s">
        <v>32</v>
      </c>
    </row>
    <row r="2409">
      <c r="A2409" s="36" t="s">
        <v>5850</v>
      </c>
      <c r="B2409" s="154" t="s">
        <v>5845</v>
      </c>
      <c r="C2409" s="36" t="s">
        <v>1666</v>
      </c>
      <c r="D2409" s="36" t="s">
        <v>75</v>
      </c>
      <c r="E2409" s="36" t="s">
        <v>75</v>
      </c>
      <c r="F2409" s="154" t="s">
        <v>5561</v>
      </c>
      <c r="G2409" s="36" t="s">
        <v>28</v>
      </c>
      <c r="H2409" s="36" t="s">
        <v>1655</v>
      </c>
      <c r="I2409" s="36" t="s">
        <v>1656</v>
      </c>
      <c r="J2409" s="36" t="s">
        <v>1656</v>
      </c>
      <c r="K2409" s="36" t="s">
        <v>1760</v>
      </c>
      <c r="L2409" s="36" t="s">
        <v>5325</v>
      </c>
      <c r="M2409" s="36" t="s">
        <v>5325</v>
      </c>
      <c r="N2409" s="36" t="s">
        <v>32</v>
      </c>
    </row>
    <row r="2410">
      <c r="A2410" s="36" t="s">
        <v>5851</v>
      </c>
      <c r="B2410" s="154" t="s">
        <v>5845</v>
      </c>
      <c r="C2410" s="36" t="s">
        <v>1666</v>
      </c>
      <c r="D2410" s="36" t="s">
        <v>76</v>
      </c>
      <c r="E2410" s="36" t="s">
        <v>76</v>
      </c>
      <c r="F2410" s="154" t="s">
        <v>5852</v>
      </c>
      <c r="G2410" s="36" t="s">
        <v>28</v>
      </c>
      <c r="H2410" s="36" t="s">
        <v>1655</v>
      </c>
      <c r="I2410" s="36" t="s">
        <v>1656</v>
      </c>
      <c r="J2410" s="36" t="s">
        <v>1656</v>
      </c>
      <c r="K2410" s="36" t="s">
        <v>1763</v>
      </c>
      <c r="L2410" s="36" t="s">
        <v>5325</v>
      </c>
      <c r="M2410" s="36" t="s">
        <v>5325</v>
      </c>
      <c r="N2410" s="36" t="s">
        <v>32</v>
      </c>
    </row>
    <row r="2411">
      <c r="A2411" s="36" t="s">
        <v>5853</v>
      </c>
      <c r="B2411" s="154" t="s">
        <v>5845</v>
      </c>
      <c r="C2411" s="36" t="s">
        <v>1666</v>
      </c>
      <c r="D2411" s="36" t="s">
        <v>77</v>
      </c>
      <c r="E2411" s="36" t="s">
        <v>77</v>
      </c>
      <c r="F2411" s="154" t="s">
        <v>1768</v>
      </c>
      <c r="G2411" s="36" t="s">
        <v>34</v>
      </c>
      <c r="H2411" s="36" t="s">
        <v>1655</v>
      </c>
      <c r="I2411" s="36" t="s">
        <v>1656</v>
      </c>
      <c r="J2411" s="36" t="s">
        <v>1656</v>
      </c>
      <c r="K2411" s="36" t="s">
        <v>1766</v>
      </c>
      <c r="L2411" s="36" t="s">
        <v>5325</v>
      </c>
      <c r="M2411" s="36" t="s">
        <v>5325</v>
      </c>
      <c r="N2411" s="36" t="s">
        <v>32</v>
      </c>
    </row>
    <row r="2412">
      <c r="A2412" s="36" t="s">
        <v>5854</v>
      </c>
      <c r="B2412" s="154" t="s">
        <v>5845</v>
      </c>
      <c r="C2412" s="36" t="s">
        <v>1666</v>
      </c>
      <c r="D2412" s="36" t="s">
        <v>757</v>
      </c>
      <c r="E2412" s="36" t="s">
        <v>757</v>
      </c>
      <c r="F2412" s="154" t="s">
        <v>5855</v>
      </c>
      <c r="G2412" s="36" t="s">
        <v>28</v>
      </c>
      <c r="H2412" s="36" t="s">
        <v>1655</v>
      </c>
      <c r="I2412" s="36" t="s">
        <v>1656</v>
      </c>
      <c r="J2412" s="36" t="s">
        <v>1656</v>
      </c>
      <c r="K2412" s="36" t="s">
        <v>1698</v>
      </c>
      <c r="L2412" s="36" t="s">
        <v>5325</v>
      </c>
      <c r="M2412" s="36" t="s">
        <v>5325</v>
      </c>
      <c r="N2412" s="36" t="s">
        <v>34</v>
      </c>
    </row>
    <row r="2413">
      <c r="A2413" s="36" t="s">
        <v>5856</v>
      </c>
      <c r="B2413" s="154" t="s">
        <v>5845</v>
      </c>
      <c r="C2413" s="36" t="s">
        <v>1666</v>
      </c>
      <c r="D2413" s="36" t="s">
        <v>226</v>
      </c>
      <c r="E2413" s="36" t="s">
        <v>226</v>
      </c>
      <c r="F2413" s="154" t="s">
        <v>5857</v>
      </c>
      <c r="G2413" s="36" t="s">
        <v>32</v>
      </c>
      <c r="H2413" s="36" t="s">
        <v>1655</v>
      </c>
      <c r="I2413" s="36" t="s">
        <v>1656</v>
      </c>
      <c r="J2413" s="36" t="s">
        <v>1656</v>
      </c>
      <c r="K2413" s="36" t="s">
        <v>1701</v>
      </c>
      <c r="L2413" s="36" t="s">
        <v>5325</v>
      </c>
      <c r="M2413" s="36" t="s">
        <v>5325</v>
      </c>
      <c r="N2413" s="36" t="s">
        <v>32</v>
      </c>
    </row>
    <row r="2414">
      <c r="A2414" s="36" t="s">
        <v>5858</v>
      </c>
      <c r="B2414" s="154" t="s">
        <v>5845</v>
      </c>
      <c r="C2414" s="36" t="s">
        <v>1666</v>
      </c>
      <c r="D2414" s="36" t="s">
        <v>220</v>
      </c>
      <c r="E2414" s="36" t="s">
        <v>220</v>
      </c>
      <c r="F2414" s="154" t="s">
        <v>5859</v>
      </c>
      <c r="G2414" s="36" t="s">
        <v>28</v>
      </c>
      <c r="H2414" s="36" t="s">
        <v>1655</v>
      </c>
      <c r="I2414" s="36" t="s">
        <v>1656</v>
      </c>
      <c r="J2414" s="36" t="s">
        <v>1656</v>
      </c>
      <c r="K2414" s="36" t="s">
        <v>1704</v>
      </c>
      <c r="L2414" s="36" t="s">
        <v>5325</v>
      </c>
      <c r="M2414" s="36" t="s">
        <v>5325</v>
      </c>
      <c r="N2414" s="36" t="s">
        <v>32</v>
      </c>
    </row>
    <row r="2415">
      <c r="A2415" s="36" t="s">
        <v>5860</v>
      </c>
      <c r="B2415" s="154" t="s">
        <v>5845</v>
      </c>
      <c r="C2415" s="36" t="s">
        <v>1666</v>
      </c>
      <c r="D2415" s="36" t="s">
        <v>281</v>
      </c>
      <c r="E2415" s="36" t="s">
        <v>281</v>
      </c>
      <c r="F2415" s="154" t="s">
        <v>5861</v>
      </c>
      <c r="G2415" s="36" t="s">
        <v>34</v>
      </c>
      <c r="H2415" s="36" t="s">
        <v>1655</v>
      </c>
      <c r="I2415" s="36" t="s">
        <v>1656</v>
      </c>
      <c r="J2415" s="36" t="s">
        <v>1656</v>
      </c>
      <c r="K2415" s="36" t="s">
        <v>1711</v>
      </c>
      <c r="L2415" s="36" t="s">
        <v>5325</v>
      </c>
      <c r="M2415" s="36" t="s">
        <v>5325</v>
      </c>
      <c r="N2415" s="36" t="s">
        <v>32</v>
      </c>
    </row>
    <row r="2416">
      <c r="A2416" s="36" t="s">
        <v>5862</v>
      </c>
      <c r="B2416" s="154" t="s">
        <v>5863</v>
      </c>
      <c r="C2416" s="36" t="s">
        <v>1666</v>
      </c>
      <c r="D2416" s="36" t="s">
        <v>771</v>
      </c>
      <c r="E2416" s="36" t="s">
        <v>771</v>
      </c>
      <c r="F2416" s="154" t="s">
        <v>5005</v>
      </c>
      <c r="G2416" s="36" t="s">
        <v>28</v>
      </c>
      <c r="H2416" s="36" t="s">
        <v>1655</v>
      </c>
      <c r="I2416" s="36" t="s">
        <v>1656</v>
      </c>
      <c r="J2416" s="36" t="s">
        <v>1656</v>
      </c>
      <c r="K2416" s="36" t="s">
        <v>1715</v>
      </c>
      <c r="L2416" s="36" t="s">
        <v>5325</v>
      </c>
      <c r="M2416" s="36" t="s">
        <v>5325</v>
      </c>
      <c r="N2416" s="36" t="s">
        <v>32</v>
      </c>
    </row>
    <row r="2417">
      <c r="A2417" s="36" t="s">
        <v>5864</v>
      </c>
      <c r="B2417" s="154" t="s">
        <v>5863</v>
      </c>
      <c r="C2417" s="36" t="s">
        <v>1666</v>
      </c>
      <c r="D2417" s="36" t="s">
        <v>115</v>
      </c>
      <c r="E2417" s="36" t="s">
        <v>115</v>
      </c>
      <c r="F2417" s="154" t="s">
        <v>1683</v>
      </c>
      <c r="G2417" s="36" t="s">
        <v>32</v>
      </c>
      <c r="H2417" s="36" t="s">
        <v>1655</v>
      </c>
      <c r="I2417" s="36" t="s">
        <v>1656</v>
      </c>
      <c r="J2417" s="36" t="s">
        <v>1656</v>
      </c>
      <c r="K2417" s="36" t="s">
        <v>1717</v>
      </c>
      <c r="L2417" s="36" t="s">
        <v>5325</v>
      </c>
      <c r="M2417" s="36" t="s">
        <v>5325</v>
      </c>
      <c r="N2417" s="36" t="s">
        <v>32</v>
      </c>
    </row>
    <row r="2418">
      <c r="A2418" s="36" t="s">
        <v>5865</v>
      </c>
      <c r="B2418" s="154" t="s">
        <v>5863</v>
      </c>
      <c r="C2418" s="36" t="s">
        <v>1666</v>
      </c>
      <c r="D2418" s="36" t="s">
        <v>114</v>
      </c>
      <c r="E2418" s="36" t="s">
        <v>114</v>
      </c>
      <c r="F2418" s="154" t="s">
        <v>1799</v>
      </c>
      <c r="G2418" s="36" t="s">
        <v>32</v>
      </c>
      <c r="H2418" s="36" t="s">
        <v>1655</v>
      </c>
      <c r="I2418" s="36" t="s">
        <v>1656</v>
      </c>
      <c r="J2418" s="36" t="s">
        <v>1656</v>
      </c>
      <c r="K2418" s="36" t="s">
        <v>1724</v>
      </c>
      <c r="L2418" s="36" t="s">
        <v>5325</v>
      </c>
      <c r="M2418" s="36" t="s">
        <v>5325</v>
      </c>
      <c r="N2418" s="36" t="s">
        <v>32</v>
      </c>
    </row>
    <row r="2419">
      <c r="A2419" s="36" t="s">
        <v>5866</v>
      </c>
      <c r="B2419" s="154" t="s">
        <v>5867</v>
      </c>
      <c r="C2419" s="36" t="s">
        <v>1666</v>
      </c>
      <c r="D2419" s="36" t="s">
        <v>782</v>
      </c>
      <c r="E2419" s="36" t="s">
        <v>782</v>
      </c>
      <c r="F2419" s="154" t="s">
        <v>3820</v>
      </c>
      <c r="G2419" s="36" t="s">
        <v>32</v>
      </c>
      <c r="H2419" s="36" t="s">
        <v>1655</v>
      </c>
      <c r="I2419" s="36" t="s">
        <v>1656</v>
      </c>
      <c r="J2419" s="36" t="s">
        <v>1656</v>
      </c>
      <c r="K2419" s="36" t="s">
        <v>1727</v>
      </c>
      <c r="L2419" s="36" t="s">
        <v>5325</v>
      </c>
      <c r="M2419" s="36" t="s">
        <v>5325</v>
      </c>
      <c r="N2419" s="36" t="s">
        <v>32</v>
      </c>
    </row>
    <row r="2420">
      <c r="A2420" s="36" t="s">
        <v>5868</v>
      </c>
      <c r="B2420" s="154" t="s">
        <v>5869</v>
      </c>
      <c r="C2420" s="36" t="s">
        <v>1666</v>
      </c>
      <c r="D2420" s="36" t="s">
        <v>94</v>
      </c>
      <c r="E2420" s="36" t="s">
        <v>94</v>
      </c>
      <c r="F2420" s="154" t="s">
        <v>1816</v>
      </c>
      <c r="G2420" s="36" t="s">
        <v>28</v>
      </c>
      <c r="H2420" s="36" t="s">
        <v>1655</v>
      </c>
      <c r="I2420" s="36" t="s">
        <v>1656</v>
      </c>
      <c r="J2420" s="36" t="s">
        <v>1656</v>
      </c>
      <c r="K2420" s="36" t="s">
        <v>1730</v>
      </c>
      <c r="L2420" s="36" t="s">
        <v>5325</v>
      </c>
      <c r="M2420" s="36" t="s">
        <v>5325</v>
      </c>
      <c r="N2420" s="36" t="s">
        <v>32</v>
      </c>
    </row>
    <row r="2421">
      <c r="A2421" s="36" t="s">
        <v>5870</v>
      </c>
      <c r="B2421" s="154" t="s">
        <v>5869</v>
      </c>
      <c r="C2421" s="36" t="s">
        <v>1666</v>
      </c>
      <c r="D2421" s="36" t="s">
        <v>790</v>
      </c>
      <c r="E2421" s="36" t="s">
        <v>790</v>
      </c>
      <c r="F2421" s="154" t="s">
        <v>1816</v>
      </c>
      <c r="G2421" s="36" t="s">
        <v>32</v>
      </c>
      <c r="H2421" s="36" t="s">
        <v>1655</v>
      </c>
      <c r="I2421" s="36" t="s">
        <v>1656</v>
      </c>
      <c r="J2421" s="36" t="s">
        <v>1656</v>
      </c>
      <c r="K2421" s="36" t="s">
        <v>1732</v>
      </c>
      <c r="L2421" s="36" t="s">
        <v>5325</v>
      </c>
      <c r="M2421" s="36" t="s">
        <v>5325</v>
      </c>
      <c r="N2421" s="36" t="s">
        <v>32</v>
      </c>
    </row>
    <row r="2422">
      <c r="A2422" s="36" t="s">
        <v>5871</v>
      </c>
      <c r="B2422" s="154" t="s">
        <v>5872</v>
      </c>
      <c r="C2422" s="36" t="s">
        <v>1666</v>
      </c>
      <c r="D2422" s="36" t="s">
        <v>793</v>
      </c>
      <c r="E2422" s="36" t="s">
        <v>793</v>
      </c>
      <c r="F2422" s="154" t="s">
        <v>1686</v>
      </c>
      <c r="G2422" s="36" t="s">
        <v>28</v>
      </c>
      <c r="H2422" s="36" t="s">
        <v>1655</v>
      </c>
      <c r="I2422" s="36" t="s">
        <v>1656</v>
      </c>
      <c r="J2422" s="36" t="s">
        <v>1656</v>
      </c>
      <c r="K2422" s="36" t="s">
        <v>1736</v>
      </c>
      <c r="L2422" s="36" t="s">
        <v>5325</v>
      </c>
      <c r="M2422" s="36" t="s">
        <v>5325</v>
      </c>
      <c r="N2422" s="36" t="s">
        <v>32</v>
      </c>
    </row>
    <row r="2423">
      <c r="A2423" s="36" t="s">
        <v>5873</v>
      </c>
      <c r="B2423" s="154" t="s">
        <v>5872</v>
      </c>
      <c r="C2423" s="36" t="s">
        <v>1666</v>
      </c>
      <c r="D2423" s="36" t="s">
        <v>486</v>
      </c>
      <c r="E2423" s="36" t="s">
        <v>486</v>
      </c>
      <c r="F2423" s="154" t="s">
        <v>5874</v>
      </c>
      <c r="G2423" s="36" t="s">
        <v>28</v>
      </c>
      <c r="H2423" s="36" t="s">
        <v>1655</v>
      </c>
      <c r="I2423" s="36" t="s">
        <v>1656</v>
      </c>
      <c r="J2423" s="36" t="s">
        <v>1656</v>
      </c>
      <c r="K2423" s="36" t="s">
        <v>1739</v>
      </c>
      <c r="L2423" s="36" t="s">
        <v>5325</v>
      </c>
      <c r="M2423" s="36" t="s">
        <v>5325</v>
      </c>
      <c r="N2423" s="36" t="s">
        <v>34</v>
      </c>
    </row>
    <row r="2424">
      <c r="A2424" s="36" t="s">
        <v>5875</v>
      </c>
      <c r="B2424" s="154" t="s">
        <v>5872</v>
      </c>
      <c r="C2424" s="36" t="s">
        <v>1666</v>
      </c>
      <c r="D2424" s="36" t="s">
        <v>293</v>
      </c>
      <c r="E2424" s="36" t="s">
        <v>293</v>
      </c>
      <c r="F2424" s="154" t="s">
        <v>1768</v>
      </c>
      <c r="G2424" s="36" t="s">
        <v>28</v>
      </c>
      <c r="H2424" s="36" t="s">
        <v>1655</v>
      </c>
      <c r="I2424" s="36" t="s">
        <v>1656</v>
      </c>
      <c r="J2424" s="36" t="s">
        <v>1656</v>
      </c>
      <c r="K2424" s="36" t="s">
        <v>1742</v>
      </c>
      <c r="L2424" s="36" t="s">
        <v>5325</v>
      </c>
      <c r="M2424" s="36" t="s">
        <v>5325</v>
      </c>
      <c r="N2424" s="36" t="s">
        <v>34</v>
      </c>
    </row>
    <row r="2425">
      <c r="A2425" s="36" t="s">
        <v>5876</v>
      </c>
      <c r="B2425" s="154" t="s">
        <v>5872</v>
      </c>
      <c r="C2425" s="36" t="s">
        <v>1666</v>
      </c>
      <c r="D2425" s="36" t="s">
        <v>210</v>
      </c>
      <c r="E2425" s="36" t="s">
        <v>210</v>
      </c>
      <c r="F2425" s="154" t="s">
        <v>1806</v>
      </c>
      <c r="G2425" s="36" t="s">
        <v>28</v>
      </c>
      <c r="H2425" s="36" t="s">
        <v>1655</v>
      </c>
      <c r="I2425" s="36" t="s">
        <v>1656</v>
      </c>
      <c r="J2425" s="36" t="s">
        <v>1656</v>
      </c>
      <c r="K2425" s="36" t="s">
        <v>1745</v>
      </c>
      <c r="L2425" s="36" t="s">
        <v>5325</v>
      </c>
      <c r="M2425" s="36" t="s">
        <v>5325</v>
      </c>
      <c r="N2425" s="36" t="s">
        <v>34</v>
      </c>
    </row>
    <row r="2426">
      <c r="A2426" s="36" t="s">
        <v>5877</v>
      </c>
      <c r="B2426" s="154" t="s">
        <v>5878</v>
      </c>
      <c r="C2426" s="36" t="s">
        <v>1666</v>
      </c>
      <c r="D2426" s="36" t="s">
        <v>339</v>
      </c>
      <c r="E2426" s="36" t="s">
        <v>339</v>
      </c>
      <c r="F2426" s="154" t="s">
        <v>2432</v>
      </c>
      <c r="G2426" s="36" t="s">
        <v>28</v>
      </c>
      <c r="H2426" s="36" t="s">
        <v>1655</v>
      </c>
      <c r="I2426" s="36" t="s">
        <v>1656</v>
      </c>
      <c r="J2426" s="36" t="s">
        <v>1656</v>
      </c>
      <c r="K2426" s="36" t="s">
        <v>1773</v>
      </c>
      <c r="L2426" s="36" t="s">
        <v>5325</v>
      </c>
      <c r="M2426" s="36" t="s">
        <v>5325</v>
      </c>
      <c r="N2426" s="36" t="s">
        <v>34</v>
      </c>
    </row>
    <row r="2427">
      <c r="A2427" s="36" t="s">
        <v>5879</v>
      </c>
      <c r="B2427" s="154" t="s">
        <v>5880</v>
      </c>
      <c r="C2427" s="36" t="s">
        <v>1666</v>
      </c>
      <c r="D2427" s="36" t="s">
        <v>100</v>
      </c>
      <c r="E2427" s="36" t="s">
        <v>100</v>
      </c>
      <c r="F2427" s="154" t="s">
        <v>1810</v>
      </c>
      <c r="G2427" s="36" t="s">
        <v>32</v>
      </c>
      <c r="H2427" s="36" t="s">
        <v>1655</v>
      </c>
      <c r="I2427" s="36" t="s">
        <v>1656</v>
      </c>
      <c r="J2427" s="36" t="s">
        <v>1656</v>
      </c>
      <c r="K2427" s="36" t="s">
        <v>1776</v>
      </c>
      <c r="L2427" s="36" t="s">
        <v>5325</v>
      </c>
      <c r="M2427" s="36" t="s">
        <v>5325</v>
      </c>
      <c r="N2427" s="36" t="s">
        <v>32</v>
      </c>
    </row>
    <row r="2428">
      <c r="A2428" s="36" t="s">
        <v>5881</v>
      </c>
      <c r="B2428" s="154" t="s">
        <v>5882</v>
      </c>
      <c r="C2428" s="36" t="s">
        <v>1666</v>
      </c>
      <c r="D2428" s="36" t="s">
        <v>618</v>
      </c>
      <c r="E2428" s="36" t="s">
        <v>618</v>
      </c>
      <c r="F2428" s="154" t="s">
        <v>1729</v>
      </c>
      <c r="G2428" s="36" t="s">
        <v>32</v>
      </c>
      <c r="H2428" s="36" t="s">
        <v>1655</v>
      </c>
      <c r="I2428" s="36" t="s">
        <v>1656</v>
      </c>
      <c r="J2428" s="36" t="s">
        <v>1656</v>
      </c>
      <c r="K2428" s="36" t="s">
        <v>1779</v>
      </c>
      <c r="L2428" s="36" t="s">
        <v>5325</v>
      </c>
      <c r="M2428" s="36" t="s">
        <v>5325</v>
      </c>
      <c r="N2428" s="36" t="s">
        <v>32</v>
      </c>
    </row>
    <row r="2429">
      <c r="A2429" s="36" t="s">
        <v>5883</v>
      </c>
      <c r="B2429" s="154" t="s">
        <v>5882</v>
      </c>
      <c r="C2429" s="36" t="s">
        <v>1666</v>
      </c>
      <c r="D2429" s="36" t="s">
        <v>820</v>
      </c>
      <c r="E2429" s="36" t="s">
        <v>820</v>
      </c>
      <c r="F2429" s="154" t="s">
        <v>2325</v>
      </c>
      <c r="G2429" s="36" t="s">
        <v>32</v>
      </c>
      <c r="H2429" s="36" t="s">
        <v>1655</v>
      </c>
      <c r="I2429" s="36" t="s">
        <v>1656</v>
      </c>
      <c r="J2429" s="36" t="s">
        <v>1656</v>
      </c>
      <c r="K2429" s="36" t="s">
        <v>1782</v>
      </c>
      <c r="L2429" s="36" t="s">
        <v>5325</v>
      </c>
      <c r="M2429" s="36" t="s">
        <v>5325</v>
      </c>
      <c r="N2429" s="36" t="s">
        <v>32</v>
      </c>
    </row>
    <row r="2430">
      <c r="A2430" s="36" t="s">
        <v>5884</v>
      </c>
      <c r="B2430" s="154" t="s">
        <v>5882</v>
      </c>
      <c r="C2430" s="36" t="s">
        <v>1666</v>
      </c>
      <c r="D2430" s="36" t="s">
        <v>218</v>
      </c>
      <c r="E2430" s="36" t="s">
        <v>218</v>
      </c>
      <c r="F2430" s="154" t="s">
        <v>1686</v>
      </c>
      <c r="G2430" s="36" t="s">
        <v>32</v>
      </c>
      <c r="H2430" s="36" t="s">
        <v>1655</v>
      </c>
      <c r="I2430" s="36" t="s">
        <v>1656</v>
      </c>
      <c r="J2430" s="36" t="s">
        <v>1656</v>
      </c>
      <c r="K2430" s="36" t="s">
        <v>1784</v>
      </c>
      <c r="L2430" s="36" t="s">
        <v>5325</v>
      </c>
      <c r="M2430" s="36" t="s">
        <v>5325</v>
      </c>
      <c r="N2430" s="36" t="s">
        <v>32</v>
      </c>
    </row>
    <row r="2431">
      <c r="A2431" s="36" t="s">
        <v>5885</v>
      </c>
      <c r="B2431" s="154" t="s">
        <v>5886</v>
      </c>
      <c r="C2431" s="36" t="s">
        <v>1666</v>
      </c>
      <c r="D2431" s="36" t="s">
        <v>827</v>
      </c>
      <c r="E2431" s="36" t="s">
        <v>827</v>
      </c>
      <c r="F2431" s="154" t="s">
        <v>5887</v>
      </c>
      <c r="G2431" s="36" t="s">
        <v>32</v>
      </c>
      <c r="H2431" s="36" t="s">
        <v>1655</v>
      </c>
      <c r="I2431" s="36" t="s">
        <v>1656</v>
      </c>
      <c r="J2431" s="36" t="s">
        <v>1656</v>
      </c>
      <c r="K2431" s="36" t="s">
        <v>1787</v>
      </c>
      <c r="L2431" s="36" t="s">
        <v>5325</v>
      </c>
      <c r="M2431" s="36" t="s">
        <v>5325</v>
      </c>
      <c r="N2431" s="36" t="s">
        <v>32</v>
      </c>
    </row>
    <row r="2432">
      <c r="A2432" s="36" t="s">
        <v>5888</v>
      </c>
      <c r="B2432" s="154" t="s">
        <v>5889</v>
      </c>
      <c r="C2432" s="36" t="s">
        <v>1666</v>
      </c>
      <c r="D2432" s="36" t="s">
        <v>305</v>
      </c>
      <c r="E2432" s="36" t="s">
        <v>305</v>
      </c>
      <c r="F2432" s="154" t="s">
        <v>1816</v>
      </c>
      <c r="G2432" s="36" t="s">
        <v>32</v>
      </c>
      <c r="H2432" s="36" t="s">
        <v>1655</v>
      </c>
      <c r="I2432" s="36" t="s">
        <v>1656</v>
      </c>
      <c r="J2432" s="36" t="s">
        <v>1656</v>
      </c>
      <c r="K2432" s="36" t="s">
        <v>1790</v>
      </c>
      <c r="L2432" s="36" t="s">
        <v>5325</v>
      </c>
      <c r="M2432" s="36" t="s">
        <v>5325</v>
      </c>
      <c r="N2432" s="36" t="s">
        <v>32</v>
      </c>
    </row>
    <row r="2433">
      <c r="A2433" s="36" t="s">
        <v>5890</v>
      </c>
      <c r="B2433" s="154" t="s">
        <v>5891</v>
      </c>
      <c r="C2433" s="36" t="s">
        <v>1666</v>
      </c>
      <c r="D2433" s="36" t="s">
        <v>79</v>
      </c>
      <c r="E2433" s="36" t="s">
        <v>79</v>
      </c>
      <c r="F2433" s="154" t="s">
        <v>5606</v>
      </c>
      <c r="G2433" s="36" t="s">
        <v>32</v>
      </c>
      <c r="H2433" s="36" t="s">
        <v>1655</v>
      </c>
      <c r="I2433" s="36" t="s">
        <v>1656</v>
      </c>
      <c r="J2433" s="36" t="s">
        <v>1656</v>
      </c>
      <c r="K2433" s="36" t="s">
        <v>1769</v>
      </c>
      <c r="L2433" s="36" t="s">
        <v>5325</v>
      </c>
      <c r="M2433" s="36" t="s">
        <v>5325</v>
      </c>
      <c r="N2433" s="36" t="s">
        <v>32</v>
      </c>
    </row>
    <row r="2434">
      <c r="A2434" s="36" t="s">
        <v>5892</v>
      </c>
      <c r="B2434" s="154" t="s">
        <v>5891</v>
      </c>
      <c r="C2434" s="36" t="s">
        <v>1666</v>
      </c>
      <c r="D2434" s="36" t="s">
        <v>100</v>
      </c>
      <c r="E2434" s="36" t="s">
        <v>100</v>
      </c>
      <c r="F2434" s="154" t="s">
        <v>1810</v>
      </c>
      <c r="G2434" s="36" t="s">
        <v>32</v>
      </c>
      <c r="H2434" s="36" t="s">
        <v>1655</v>
      </c>
      <c r="I2434" s="36" t="s">
        <v>1656</v>
      </c>
      <c r="J2434" s="36" t="s">
        <v>1656</v>
      </c>
      <c r="K2434" s="36" t="s">
        <v>1793</v>
      </c>
      <c r="L2434" s="36" t="s">
        <v>5325</v>
      </c>
      <c r="M2434" s="36" t="s">
        <v>5325</v>
      </c>
      <c r="N2434" s="36" t="s">
        <v>32</v>
      </c>
    </row>
    <row r="2435">
      <c r="A2435" s="36" t="s">
        <v>5893</v>
      </c>
      <c r="B2435" s="154" t="s">
        <v>5894</v>
      </c>
      <c r="C2435" s="36" t="s">
        <v>1666</v>
      </c>
      <c r="D2435" s="36" t="s">
        <v>840</v>
      </c>
      <c r="E2435" s="36" t="s">
        <v>840</v>
      </c>
      <c r="F2435" s="154" t="s">
        <v>1686</v>
      </c>
      <c r="G2435" s="36" t="s">
        <v>34</v>
      </c>
      <c r="H2435" s="36" t="s">
        <v>1655</v>
      </c>
      <c r="I2435" s="36" t="s">
        <v>1656</v>
      </c>
      <c r="J2435" s="36" t="s">
        <v>1656</v>
      </c>
      <c r="K2435" s="36" t="s">
        <v>1796</v>
      </c>
      <c r="L2435" s="36" t="s">
        <v>5325</v>
      </c>
      <c r="M2435" s="36" t="s">
        <v>5325</v>
      </c>
      <c r="N2435" s="36" t="s">
        <v>32</v>
      </c>
    </row>
    <row r="2436">
      <c r="A2436" s="36" t="s">
        <v>5895</v>
      </c>
      <c r="B2436" s="154" t="s">
        <v>5894</v>
      </c>
      <c r="C2436" s="36" t="s">
        <v>1666</v>
      </c>
      <c r="D2436" s="36" t="s">
        <v>299</v>
      </c>
      <c r="E2436" s="36" t="s">
        <v>299</v>
      </c>
      <c r="F2436" s="154" t="s">
        <v>5896</v>
      </c>
      <c r="G2436" s="36" t="s">
        <v>28</v>
      </c>
      <c r="H2436" s="36" t="s">
        <v>1655</v>
      </c>
      <c r="I2436" s="36" t="s">
        <v>1656</v>
      </c>
      <c r="J2436" s="36" t="s">
        <v>1656</v>
      </c>
      <c r="K2436" s="36" t="s">
        <v>1800</v>
      </c>
      <c r="L2436" s="36" t="s">
        <v>5325</v>
      </c>
      <c r="M2436" s="36" t="s">
        <v>5325</v>
      </c>
      <c r="N2436" s="36" t="s">
        <v>32</v>
      </c>
    </row>
    <row r="2437">
      <c r="A2437" s="36" t="s">
        <v>5897</v>
      </c>
      <c r="B2437" s="154" t="s">
        <v>5894</v>
      </c>
      <c r="C2437" s="36" t="s">
        <v>1666</v>
      </c>
      <c r="D2437" s="36" t="s">
        <v>533</v>
      </c>
      <c r="E2437" s="36" t="s">
        <v>533</v>
      </c>
      <c r="F2437" s="154" t="s">
        <v>1961</v>
      </c>
      <c r="G2437" s="36" t="s">
        <v>28</v>
      </c>
      <c r="H2437" s="36" t="s">
        <v>1655</v>
      </c>
      <c r="I2437" s="36" t="s">
        <v>1656</v>
      </c>
      <c r="J2437" s="36" t="s">
        <v>1656</v>
      </c>
      <c r="K2437" s="36" t="s">
        <v>1803</v>
      </c>
      <c r="L2437" s="36" t="s">
        <v>5325</v>
      </c>
      <c r="M2437" s="36" t="s">
        <v>5325</v>
      </c>
      <c r="N2437" s="36" t="s">
        <v>34</v>
      </c>
    </row>
    <row r="2438">
      <c r="A2438" s="36" t="s">
        <v>5898</v>
      </c>
      <c r="B2438" s="154" t="s">
        <v>5894</v>
      </c>
      <c r="C2438" s="36" t="s">
        <v>1666</v>
      </c>
      <c r="D2438" s="36" t="s">
        <v>854</v>
      </c>
      <c r="E2438" s="36" t="s">
        <v>854</v>
      </c>
      <c r="F2438" s="154" t="s">
        <v>3017</v>
      </c>
      <c r="G2438" s="36" t="s">
        <v>28</v>
      </c>
      <c r="H2438" s="36" t="s">
        <v>1655</v>
      </c>
      <c r="I2438" s="36" t="s">
        <v>1656</v>
      </c>
      <c r="J2438" s="36" t="s">
        <v>1656</v>
      </c>
      <c r="K2438" s="36" t="s">
        <v>1807</v>
      </c>
      <c r="L2438" s="36" t="s">
        <v>5325</v>
      </c>
      <c r="M2438" s="36" t="s">
        <v>5325</v>
      </c>
      <c r="N2438" s="36" t="s">
        <v>34</v>
      </c>
    </row>
    <row r="2439">
      <c r="A2439" s="36" t="s">
        <v>5899</v>
      </c>
      <c r="B2439" s="154" t="s">
        <v>5900</v>
      </c>
      <c r="C2439" s="36" t="s">
        <v>1666</v>
      </c>
      <c r="D2439" s="36" t="s">
        <v>857</v>
      </c>
      <c r="E2439" s="36" t="s">
        <v>857</v>
      </c>
      <c r="F2439" s="154" t="s">
        <v>2006</v>
      </c>
      <c r="G2439" s="36" t="s">
        <v>32</v>
      </c>
      <c r="H2439" s="36" t="s">
        <v>1655</v>
      </c>
      <c r="I2439" s="36" t="s">
        <v>1656</v>
      </c>
      <c r="J2439" s="36" t="s">
        <v>1656</v>
      </c>
      <c r="K2439" s="36" t="s">
        <v>1814</v>
      </c>
      <c r="L2439" s="36" t="s">
        <v>5325</v>
      </c>
      <c r="M2439" s="36" t="s">
        <v>5325</v>
      </c>
      <c r="N2439" s="36" t="s">
        <v>32</v>
      </c>
    </row>
    <row r="2440">
      <c r="A2440" s="36" t="s">
        <v>5901</v>
      </c>
      <c r="B2440" s="154" t="s">
        <v>5900</v>
      </c>
      <c r="C2440" s="36" t="s">
        <v>1666</v>
      </c>
      <c r="D2440" s="36" t="s">
        <v>862</v>
      </c>
      <c r="E2440" s="36" t="s">
        <v>862</v>
      </c>
      <c r="F2440" s="154" t="s">
        <v>2325</v>
      </c>
      <c r="G2440" s="36" t="s">
        <v>28</v>
      </c>
      <c r="H2440" s="36" t="s">
        <v>1655</v>
      </c>
      <c r="I2440" s="36" t="s">
        <v>1656</v>
      </c>
      <c r="J2440" s="36" t="s">
        <v>1656</v>
      </c>
      <c r="K2440" s="36" t="s">
        <v>1817</v>
      </c>
      <c r="L2440" s="36" t="s">
        <v>5325</v>
      </c>
      <c r="M2440" s="36" t="s">
        <v>5325</v>
      </c>
      <c r="N2440" s="36" t="s">
        <v>34</v>
      </c>
    </row>
    <row r="2441">
      <c r="A2441" s="36" t="s">
        <v>5902</v>
      </c>
      <c r="B2441" s="154" t="s">
        <v>5903</v>
      </c>
      <c r="C2441" s="36" t="s">
        <v>1666</v>
      </c>
      <c r="D2441" s="36" t="s">
        <v>130</v>
      </c>
      <c r="E2441" s="36" t="s">
        <v>130</v>
      </c>
      <c r="F2441" s="154" t="s">
        <v>1768</v>
      </c>
      <c r="G2441" s="36" t="s">
        <v>32</v>
      </c>
      <c r="H2441" s="36" t="s">
        <v>1655</v>
      </c>
      <c r="I2441" s="36" t="s">
        <v>1656</v>
      </c>
      <c r="J2441" s="36" t="s">
        <v>1656</v>
      </c>
      <c r="K2441" s="36" t="s">
        <v>1820</v>
      </c>
      <c r="L2441" s="36" t="s">
        <v>5325</v>
      </c>
      <c r="M2441" s="36" t="s">
        <v>5325</v>
      </c>
      <c r="N2441" s="36" t="s">
        <v>32</v>
      </c>
    </row>
    <row r="2442">
      <c r="A2442" s="36" t="s">
        <v>5904</v>
      </c>
      <c r="B2442" s="154" t="s">
        <v>5903</v>
      </c>
      <c r="C2442" s="36" t="s">
        <v>1666</v>
      </c>
      <c r="D2442" s="36" t="s">
        <v>869</v>
      </c>
      <c r="E2442" s="36" t="s">
        <v>869</v>
      </c>
      <c r="F2442" s="154" t="s">
        <v>5905</v>
      </c>
      <c r="G2442" s="36" t="s">
        <v>28</v>
      </c>
      <c r="H2442" s="36" t="s">
        <v>1655</v>
      </c>
      <c r="I2442" s="36" t="s">
        <v>1656</v>
      </c>
      <c r="J2442" s="36" t="s">
        <v>1656</v>
      </c>
      <c r="K2442" s="36" t="s">
        <v>1823</v>
      </c>
      <c r="L2442" s="36" t="s">
        <v>5325</v>
      </c>
      <c r="M2442" s="36" t="s">
        <v>5325</v>
      </c>
      <c r="N2442" s="36" t="s">
        <v>32</v>
      </c>
    </row>
    <row r="2443">
      <c r="A2443" s="36" t="s">
        <v>5906</v>
      </c>
      <c r="B2443" s="154" t="s">
        <v>5903</v>
      </c>
      <c r="C2443" s="36" t="s">
        <v>1666</v>
      </c>
      <c r="D2443" s="36" t="s">
        <v>874</v>
      </c>
      <c r="E2443" s="36" t="s">
        <v>874</v>
      </c>
      <c r="F2443" s="154" t="s">
        <v>2217</v>
      </c>
      <c r="G2443" s="36" t="s">
        <v>28</v>
      </c>
      <c r="H2443" s="36" t="s">
        <v>1655</v>
      </c>
      <c r="I2443" s="36" t="s">
        <v>1656</v>
      </c>
      <c r="J2443" s="36" t="s">
        <v>1656</v>
      </c>
      <c r="K2443" s="36" t="s">
        <v>1826</v>
      </c>
      <c r="L2443" s="36" t="s">
        <v>5325</v>
      </c>
      <c r="M2443" s="36" t="s">
        <v>5325</v>
      </c>
      <c r="N2443" s="36" t="s">
        <v>34</v>
      </c>
    </row>
    <row r="2444">
      <c r="A2444" s="36" t="s">
        <v>5907</v>
      </c>
      <c r="B2444" s="154" t="s">
        <v>5903</v>
      </c>
      <c r="C2444" s="36" t="s">
        <v>1666</v>
      </c>
      <c r="D2444" s="36" t="s">
        <v>876</v>
      </c>
      <c r="E2444" s="36" t="s">
        <v>876</v>
      </c>
      <c r="F2444" s="154" t="s">
        <v>2156</v>
      </c>
      <c r="G2444" s="36" t="s">
        <v>28</v>
      </c>
      <c r="H2444" s="36" t="s">
        <v>1655</v>
      </c>
      <c r="I2444" s="36" t="s">
        <v>1656</v>
      </c>
      <c r="J2444" s="36" t="s">
        <v>1656</v>
      </c>
      <c r="K2444" s="36" t="s">
        <v>1830</v>
      </c>
      <c r="L2444" s="36" t="s">
        <v>5325</v>
      </c>
      <c r="M2444" s="36" t="s">
        <v>5325</v>
      </c>
      <c r="N2444" s="36" t="s">
        <v>34</v>
      </c>
    </row>
    <row r="2445">
      <c r="A2445" s="36" t="s">
        <v>5908</v>
      </c>
      <c r="B2445" s="154" t="s">
        <v>5909</v>
      </c>
      <c r="C2445" s="36" t="s">
        <v>1666</v>
      </c>
      <c r="D2445" s="36" t="s">
        <v>81</v>
      </c>
      <c r="E2445" s="36" t="s">
        <v>81</v>
      </c>
      <c r="F2445" s="154" t="s">
        <v>5807</v>
      </c>
      <c r="G2445" s="36" t="s">
        <v>28</v>
      </c>
      <c r="H2445" s="36" t="s">
        <v>1655</v>
      </c>
      <c r="I2445" s="36" t="s">
        <v>1656</v>
      </c>
      <c r="J2445" s="36" t="s">
        <v>1656</v>
      </c>
      <c r="K2445" s="36" t="s">
        <v>1811</v>
      </c>
      <c r="L2445" s="36" t="s">
        <v>5325</v>
      </c>
      <c r="M2445" s="36" t="s">
        <v>5325</v>
      </c>
      <c r="N2445" s="36" t="s">
        <v>32</v>
      </c>
    </row>
    <row r="2446">
      <c r="A2446" s="36" t="s">
        <v>5910</v>
      </c>
      <c r="B2446" s="154" t="s">
        <v>5909</v>
      </c>
      <c r="C2446" s="36" t="s">
        <v>1666</v>
      </c>
      <c r="D2446" s="36" t="s">
        <v>83</v>
      </c>
      <c r="E2446" s="36" t="s">
        <v>83</v>
      </c>
      <c r="F2446" s="154" t="s">
        <v>5809</v>
      </c>
      <c r="G2446" s="36" t="s">
        <v>28</v>
      </c>
      <c r="H2446" s="36" t="s">
        <v>1655</v>
      </c>
      <c r="I2446" s="36" t="s">
        <v>1656</v>
      </c>
      <c r="J2446" s="36" t="s">
        <v>1656</v>
      </c>
      <c r="K2446" s="36" t="s">
        <v>1891</v>
      </c>
      <c r="L2446" s="36" t="s">
        <v>5325</v>
      </c>
      <c r="M2446" s="36" t="s">
        <v>5325</v>
      </c>
      <c r="N2446" s="36" t="s">
        <v>32</v>
      </c>
    </row>
    <row r="2447">
      <c r="A2447" s="36" t="s">
        <v>5911</v>
      </c>
      <c r="B2447" s="154" t="s">
        <v>5909</v>
      </c>
      <c r="C2447" s="36" t="s">
        <v>1666</v>
      </c>
      <c r="D2447" s="36" t="s">
        <v>84</v>
      </c>
      <c r="E2447" s="36" t="s">
        <v>84</v>
      </c>
      <c r="F2447" s="154" t="s">
        <v>5693</v>
      </c>
      <c r="G2447" s="36" t="s">
        <v>32</v>
      </c>
      <c r="H2447" s="36" t="s">
        <v>1655</v>
      </c>
      <c r="I2447" s="36" t="s">
        <v>1656</v>
      </c>
      <c r="J2447" s="36" t="s">
        <v>1656</v>
      </c>
      <c r="K2447" s="36" t="s">
        <v>1921</v>
      </c>
      <c r="L2447" s="36" t="s">
        <v>5325</v>
      </c>
      <c r="M2447" s="36" t="s">
        <v>5325</v>
      </c>
      <c r="N2447" s="36" t="s">
        <v>32</v>
      </c>
    </row>
    <row r="2448">
      <c r="A2448" s="36" t="s">
        <v>5912</v>
      </c>
      <c r="B2448" s="154" t="s">
        <v>5909</v>
      </c>
      <c r="C2448" s="36" t="s">
        <v>1666</v>
      </c>
      <c r="D2448" s="36" t="s">
        <v>793</v>
      </c>
      <c r="E2448" s="36" t="s">
        <v>793</v>
      </c>
      <c r="F2448" s="154" t="s">
        <v>1686</v>
      </c>
      <c r="G2448" s="36" t="s">
        <v>32</v>
      </c>
      <c r="H2448" s="36" t="s">
        <v>1655</v>
      </c>
      <c r="I2448" s="36" t="s">
        <v>1656</v>
      </c>
      <c r="J2448" s="36" t="s">
        <v>1656</v>
      </c>
      <c r="K2448" s="36" t="s">
        <v>1833</v>
      </c>
      <c r="L2448" s="36" t="s">
        <v>5325</v>
      </c>
      <c r="M2448" s="36" t="s">
        <v>5325</v>
      </c>
      <c r="N2448" s="36" t="s">
        <v>32</v>
      </c>
    </row>
    <row r="2449">
      <c r="A2449" s="36" t="s">
        <v>5913</v>
      </c>
      <c r="B2449" s="154" t="s">
        <v>5909</v>
      </c>
      <c r="C2449" s="36" t="s">
        <v>1666</v>
      </c>
      <c r="D2449" s="36" t="s">
        <v>124</v>
      </c>
      <c r="E2449" s="36" t="s">
        <v>124</v>
      </c>
      <c r="F2449" s="154" t="s">
        <v>5914</v>
      </c>
      <c r="G2449" s="36" t="s">
        <v>32</v>
      </c>
      <c r="H2449" s="36" t="s">
        <v>1655</v>
      </c>
      <c r="I2449" s="36" t="s">
        <v>1656</v>
      </c>
      <c r="J2449" s="36" t="s">
        <v>1656</v>
      </c>
      <c r="K2449" s="36" t="s">
        <v>1836</v>
      </c>
      <c r="L2449" s="36" t="s">
        <v>5325</v>
      </c>
      <c r="M2449" s="36" t="s">
        <v>5325</v>
      </c>
      <c r="N2449" s="36" t="s">
        <v>32</v>
      </c>
    </row>
    <row r="2450">
      <c r="A2450" s="36" t="s">
        <v>5915</v>
      </c>
      <c r="B2450" s="154" t="s">
        <v>5916</v>
      </c>
      <c r="C2450" s="36" t="s">
        <v>1666</v>
      </c>
      <c r="D2450" s="36" t="s">
        <v>85</v>
      </c>
      <c r="E2450" s="36" t="s">
        <v>85</v>
      </c>
      <c r="F2450" s="154" t="s">
        <v>5704</v>
      </c>
      <c r="G2450" s="36" t="s">
        <v>28</v>
      </c>
      <c r="H2450" s="36" t="s">
        <v>1655</v>
      </c>
      <c r="I2450" s="36" t="s">
        <v>1656</v>
      </c>
      <c r="J2450" s="36" t="s">
        <v>1656</v>
      </c>
      <c r="K2450" s="36" t="s">
        <v>3035</v>
      </c>
      <c r="L2450" s="36" t="s">
        <v>5325</v>
      </c>
      <c r="M2450" s="36" t="s">
        <v>5325</v>
      </c>
      <c r="N2450" s="36" t="s">
        <v>32</v>
      </c>
    </row>
    <row r="2451">
      <c r="A2451" s="36" t="s">
        <v>5917</v>
      </c>
      <c r="B2451" s="154" t="s">
        <v>5916</v>
      </c>
      <c r="C2451" s="36" t="s">
        <v>1666</v>
      </c>
      <c r="D2451" s="36" t="s">
        <v>443</v>
      </c>
      <c r="E2451" s="36" t="s">
        <v>443</v>
      </c>
      <c r="F2451" s="154" t="s">
        <v>5918</v>
      </c>
      <c r="G2451" s="36" t="s">
        <v>28</v>
      </c>
      <c r="H2451" s="36" t="s">
        <v>1655</v>
      </c>
      <c r="I2451" s="36" t="s">
        <v>1656</v>
      </c>
      <c r="J2451" s="36" t="s">
        <v>1656</v>
      </c>
      <c r="K2451" s="36" t="s">
        <v>3038</v>
      </c>
      <c r="L2451" s="36" t="s">
        <v>5325</v>
      </c>
      <c r="M2451" s="36" t="s">
        <v>5325</v>
      </c>
      <c r="N2451" s="36" t="s">
        <v>32</v>
      </c>
    </row>
    <row r="2452">
      <c r="A2452" s="36" t="s">
        <v>5919</v>
      </c>
      <c r="B2452" s="154" t="s">
        <v>5916</v>
      </c>
      <c r="C2452" s="36" t="s">
        <v>1666</v>
      </c>
      <c r="D2452" s="36" t="s">
        <v>717</v>
      </c>
      <c r="E2452" s="36" t="s">
        <v>717</v>
      </c>
      <c r="F2452" s="154" t="s">
        <v>4688</v>
      </c>
      <c r="G2452" s="36" t="s">
        <v>28</v>
      </c>
      <c r="H2452" s="36" t="s">
        <v>1655</v>
      </c>
      <c r="I2452" s="36" t="s">
        <v>1656</v>
      </c>
      <c r="J2452" s="36" t="s">
        <v>1656</v>
      </c>
      <c r="K2452" s="36" t="s">
        <v>2775</v>
      </c>
      <c r="L2452" s="36" t="s">
        <v>5325</v>
      </c>
      <c r="M2452" s="36" t="s">
        <v>5325</v>
      </c>
      <c r="N2452" s="36" t="s">
        <v>32</v>
      </c>
    </row>
    <row r="2453">
      <c r="A2453" s="36" t="s">
        <v>5920</v>
      </c>
      <c r="B2453" s="154" t="s">
        <v>5916</v>
      </c>
      <c r="C2453" s="36" t="s">
        <v>1666</v>
      </c>
      <c r="D2453" s="36" t="s">
        <v>722</v>
      </c>
      <c r="E2453" s="36" t="s">
        <v>722</v>
      </c>
      <c r="F2453" s="154" t="s">
        <v>2006</v>
      </c>
      <c r="G2453" s="36" t="s">
        <v>28</v>
      </c>
      <c r="H2453" s="36" t="s">
        <v>1655</v>
      </c>
      <c r="I2453" s="36" t="s">
        <v>1656</v>
      </c>
      <c r="J2453" s="36" t="s">
        <v>1656</v>
      </c>
      <c r="K2453" s="36" t="s">
        <v>1672</v>
      </c>
      <c r="L2453" s="36" t="s">
        <v>5325</v>
      </c>
      <c r="M2453" s="36" t="s">
        <v>5325</v>
      </c>
      <c r="N2453" s="36" t="s">
        <v>32</v>
      </c>
    </row>
    <row r="2454">
      <c r="A2454" s="36" t="s">
        <v>5921</v>
      </c>
      <c r="B2454" s="154" t="s">
        <v>5916</v>
      </c>
      <c r="C2454" s="36" t="s">
        <v>1666</v>
      </c>
      <c r="D2454" s="36" t="s">
        <v>218</v>
      </c>
      <c r="E2454" s="36" t="s">
        <v>218</v>
      </c>
      <c r="F2454" s="154" t="s">
        <v>1686</v>
      </c>
      <c r="G2454" s="36" t="s">
        <v>32</v>
      </c>
      <c r="H2454" s="36" t="s">
        <v>1655</v>
      </c>
      <c r="I2454" s="36" t="s">
        <v>1656</v>
      </c>
      <c r="J2454" s="36" t="s">
        <v>1656</v>
      </c>
      <c r="K2454" s="36" t="s">
        <v>1675</v>
      </c>
      <c r="L2454" s="36" t="s">
        <v>5325</v>
      </c>
      <c r="M2454" s="36" t="s">
        <v>5325</v>
      </c>
      <c r="N2454" s="36" t="s">
        <v>32</v>
      </c>
    </row>
    <row r="2455">
      <c r="A2455" s="36" t="s">
        <v>5922</v>
      </c>
      <c r="B2455" s="154" t="s">
        <v>5923</v>
      </c>
      <c r="C2455" s="36" t="s">
        <v>1666</v>
      </c>
      <c r="D2455" s="36" t="s">
        <v>100</v>
      </c>
      <c r="E2455" s="36" t="s">
        <v>100</v>
      </c>
      <c r="F2455" s="154" t="s">
        <v>1810</v>
      </c>
      <c r="G2455" s="36" t="s">
        <v>32</v>
      </c>
      <c r="H2455" s="36" t="s">
        <v>1655</v>
      </c>
      <c r="I2455" s="36" t="s">
        <v>1656</v>
      </c>
      <c r="J2455" s="36" t="s">
        <v>1656</v>
      </c>
      <c r="K2455" s="36" t="s">
        <v>1678</v>
      </c>
      <c r="L2455" s="36" t="s">
        <v>5325</v>
      </c>
      <c r="M2455" s="36" t="s">
        <v>5325</v>
      </c>
      <c r="N2455" s="36" t="s">
        <v>32</v>
      </c>
    </row>
    <row r="2456">
      <c r="A2456" s="36" t="s">
        <v>5924</v>
      </c>
      <c r="B2456" s="154" t="s">
        <v>5923</v>
      </c>
      <c r="C2456" s="36" t="s">
        <v>1666</v>
      </c>
      <c r="D2456" s="36" t="s">
        <v>740</v>
      </c>
      <c r="E2456" s="36" t="s">
        <v>740</v>
      </c>
      <c r="F2456" s="154" t="s">
        <v>1871</v>
      </c>
      <c r="G2456" s="36" t="s">
        <v>28</v>
      </c>
      <c r="H2456" s="36" t="s">
        <v>1655</v>
      </c>
      <c r="I2456" s="36" t="s">
        <v>1656</v>
      </c>
      <c r="J2456" s="36" t="s">
        <v>1656</v>
      </c>
      <c r="K2456" s="36" t="s">
        <v>1681</v>
      </c>
      <c r="L2456" s="36" t="s">
        <v>5325</v>
      </c>
      <c r="M2456" s="36" t="s">
        <v>5325</v>
      </c>
      <c r="N2456" s="36" t="s">
        <v>32</v>
      </c>
    </row>
    <row r="2457">
      <c r="A2457" s="36" t="s">
        <v>5925</v>
      </c>
      <c r="B2457" s="154" t="s">
        <v>5923</v>
      </c>
      <c r="C2457" s="36" t="s">
        <v>1666</v>
      </c>
      <c r="D2457" s="36" t="s">
        <v>274</v>
      </c>
      <c r="E2457" s="36" t="s">
        <v>274</v>
      </c>
      <c r="F2457" s="154" t="s">
        <v>3602</v>
      </c>
      <c r="G2457" s="36" t="s">
        <v>28</v>
      </c>
      <c r="H2457" s="36" t="s">
        <v>1655</v>
      </c>
      <c r="I2457" s="36" t="s">
        <v>1656</v>
      </c>
      <c r="J2457" s="36" t="s">
        <v>1656</v>
      </c>
      <c r="K2457" s="36" t="s">
        <v>1684</v>
      </c>
      <c r="L2457" s="36" t="s">
        <v>5325</v>
      </c>
      <c r="M2457" s="36" t="s">
        <v>5325</v>
      </c>
      <c r="N2457" s="36" t="s">
        <v>34</v>
      </c>
    </row>
    <row r="2458">
      <c r="A2458" s="36" t="s">
        <v>5926</v>
      </c>
      <c r="B2458" s="154" t="s">
        <v>5923</v>
      </c>
      <c r="C2458" s="36" t="s">
        <v>1666</v>
      </c>
      <c r="D2458" s="36" t="s">
        <v>104</v>
      </c>
      <c r="E2458" s="36" t="s">
        <v>104</v>
      </c>
      <c r="F2458" s="154" t="s">
        <v>2049</v>
      </c>
      <c r="G2458" s="36" t="s">
        <v>28</v>
      </c>
      <c r="H2458" s="36" t="s">
        <v>1655</v>
      </c>
      <c r="I2458" s="36" t="s">
        <v>1656</v>
      </c>
      <c r="J2458" s="36" t="s">
        <v>1656</v>
      </c>
      <c r="K2458" s="36" t="s">
        <v>1691</v>
      </c>
      <c r="L2458" s="36" t="s">
        <v>5325</v>
      </c>
      <c r="M2458" s="36" t="s">
        <v>5325</v>
      </c>
      <c r="N2458" s="36" t="s">
        <v>34</v>
      </c>
    </row>
    <row r="2459">
      <c r="A2459" s="36" t="s">
        <v>5927</v>
      </c>
      <c r="B2459" s="154" t="s">
        <v>5928</v>
      </c>
      <c r="C2459" s="36" t="s">
        <v>1666</v>
      </c>
      <c r="D2459" s="36" t="s">
        <v>78</v>
      </c>
      <c r="E2459" s="36" t="s">
        <v>78</v>
      </c>
      <c r="F2459" s="154" t="s">
        <v>2027</v>
      </c>
      <c r="G2459" s="36" t="s">
        <v>28</v>
      </c>
      <c r="H2459" s="36" t="s">
        <v>1655</v>
      </c>
      <c r="I2459" s="36" t="s">
        <v>1656</v>
      </c>
      <c r="J2459" s="36" t="s">
        <v>1656</v>
      </c>
      <c r="K2459" s="36" t="s">
        <v>4248</v>
      </c>
      <c r="L2459" s="36" t="s">
        <v>5325</v>
      </c>
      <c r="M2459" s="36" t="s">
        <v>5325</v>
      </c>
      <c r="N2459" s="36" t="s">
        <v>32</v>
      </c>
    </row>
    <row r="2460">
      <c r="A2460" s="36" t="s">
        <v>5929</v>
      </c>
      <c r="B2460" s="154" t="s">
        <v>5928</v>
      </c>
      <c r="C2460" s="36" t="s">
        <v>1666</v>
      </c>
      <c r="D2460" s="36" t="s">
        <v>755</v>
      </c>
      <c r="E2460" s="36" t="s">
        <v>755</v>
      </c>
      <c r="F2460" s="154" t="s">
        <v>2555</v>
      </c>
      <c r="G2460" s="36" t="s">
        <v>28</v>
      </c>
      <c r="H2460" s="36" t="s">
        <v>1655</v>
      </c>
      <c r="I2460" s="36" t="s">
        <v>1656</v>
      </c>
      <c r="J2460" s="36" t="s">
        <v>1656</v>
      </c>
      <c r="K2460" s="36" t="s">
        <v>1695</v>
      </c>
      <c r="L2460" s="36" t="s">
        <v>5325</v>
      </c>
      <c r="M2460" s="36" t="s">
        <v>5325</v>
      </c>
      <c r="N2460" s="36" t="s">
        <v>34</v>
      </c>
    </row>
    <row r="2461">
      <c r="A2461" s="36" t="s">
        <v>5930</v>
      </c>
      <c r="B2461" s="154" t="s">
        <v>5928</v>
      </c>
      <c r="C2461" s="36" t="s">
        <v>1666</v>
      </c>
      <c r="D2461" s="36" t="s">
        <v>758</v>
      </c>
      <c r="E2461" s="36" t="s">
        <v>758</v>
      </c>
      <c r="F2461" s="154" t="s">
        <v>2163</v>
      </c>
      <c r="G2461" s="36" t="s">
        <v>28</v>
      </c>
      <c r="H2461" s="36" t="s">
        <v>1655</v>
      </c>
      <c r="I2461" s="36" t="s">
        <v>1656</v>
      </c>
      <c r="J2461" s="36" t="s">
        <v>1656</v>
      </c>
      <c r="K2461" s="36" t="s">
        <v>1698</v>
      </c>
      <c r="L2461" s="36" t="s">
        <v>5325</v>
      </c>
      <c r="M2461" s="36" t="s">
        <v>5325</v>
      </c>
      <c r="N2461" s="36" t="s">
        <v>34</v>
      </c>
    </row>
    <row r="2462">
      <c r="A2462" s="36" t="s">
        <v>5931</v>
      </c>
      <c r="B2462" s="154" t="s">
        <v>5932</v>
      </c>
      <c r="C2462" s="36" t="s">
        <v>1666</v>
      </c>
      <c r="D2462" s="36" t="s">
        <v>63</v>
      </c>
      <c r="E2462" s="36" t="s">
        <v>63</v>
      </c>
      <c r="F2462" s="154" t="s">
        <v>5933</v>
      </c>
      <c r="G2462" s="36" t="s">
        <v>28</v>
      </c>
      <c r="H2462" s="36" t="s">
        <v>1655</v>
      </c>
      <c r="I2462" s="36" t="s">
        <v>1656</v>
      </c>
      <c r="J2462" s="36" t="s">
        <v>1656</v>
      </c>
      <c r="K2462" s="36" t="s">
        <v>4196</v>
      </c>
      <c r="L2462" s="36" t="s">
        <v>5325</v>
      </c>
      <c r="M2462" s="36" t="s">
        <v>5325</v>
      </c>
      <c r="N2462" s="36" t="s">
        <v>34</v>
      </c>
    </row>
    <row r="2463">
      <c r="A2463" s="36" t="s">
        <v>5934</v>
      </c>
      <c r="B2463" s="154" t="s">
        <v>5935</v>
      </c>
      <c r="C2463" s="36" t="s">
        <v>1666</v>
      </c>
      <c r="D2463" s="36" t="s">
        <v>64</v>
      </c>
      <c r="E2463" s="36" t="s">
        <v>64</v>
      </c>
      <c r="F2463" s="154" t="s">
        <v>4431</v>
      </c>
      <c r="G2463" s="36" t="s">
        <v>28</v>
      </c>
      <c r="H2463" s="36" t="s">
        <v>1655</v>
      </c>
      <c r="I2463" s="36" t="s">
        <v>1656</v>
      </c>
      <c r="J2463" s="36" t="s">
        <v>1656</v>
      </c>
      <c r="K2463" s="36" t="s">
        <v>1708</v>
      </c>
      <c r="L2463" s="36" t="s">
        <v>5325</v>
      </c>
      <c r="M2463" s="36" t="s">
        <v>5325</v>
      </c>
      <c r="N2463" s="36" t="s">
        <v>32</v>
      </c>
    </row>
    <row r="2464">
      <c r="A2464" s="36" t="s">
        <v>5936</v>
      </c>
      <c r="B2464" s="154" t="s">
        <v>5935</v>
      </c>
      <c r="C2464" s="36" t="s">
        <v>1666</v>
      </c>
      <c r="D2464" s="36" t="s">
        <v>763</v>
      </c>
      <c r="E2464" s="36" t="s">
        <v>763</v>
      </c>
      <c r="F2464" s="154" t="s">
        <v>2690</v>
      </c>
      <c r="G2464" s="36" t="s">
        <v>32</v>
      </c>
      <c r="H2464" s="36" t="s">
        <v>1655</v>
      </c>
      <c r="I2464" s="36" t="s">
        <v>1656</v>
      </c>
      <c r="J2464" s="36" t="s">
        <v>1656</v>
      </c>
      <c r="K2464" s="36" t="s">
        <v>1701</v>
      </c>
      <c r="L2464" s="36" t="s">
        <v>5325</v>
      </c>
      <c r="M2464" s="36" t="s">
        <v>5325</v>
      </c>
      <c r="N2464" s="36" t="s">
        <v>34</v>
      </c>
    </row>
    <row r="2465">
      <c r="A2465" s="36" t="s">
        <v>5937</v>
      </c>
      <c r="B2465" s="154" t="s">
        <v>5935</v>
      </c>
      <c r="C2465" s="36" t="s">
        <v>1666</v>
      </c>
      <c r="D2465" s="36" t="s">
        <v>765</v>
      </c>
      <c r="E2465" s="36" t="s">
        <v>765</v>
      </c>
      <c r="F2465" s="154" t="s">
        <v>2911</v>
      </c>
      <c r="G2465" s="36" t="s">
        <v>28</v>
      </c>
      <c r="H2465" s="36" t="s">
        <v>1655</v>
      </c>
      <c r="I2465" s="36" t="s">
        <v>1656</v>
      </c>
      <c r="J2465" s="36" t="s">
        <v>1656</v>
      </c>
      <c r="K2465" s="36" t="s">
        <v>1704</v>
      </c>
      <c r="L2465" s="36" t="s">
        <v>5325</v>
      </c>
      <c r="M2465" s="36" t="s">
        <v>5325</v>
      </c>
      <c r="N2465" s="36" t="s">
        <v>34</v>
      </c>
    </row>
    <row r="2466">
      <c r="A2466" s="36" t="s">
        <v>5938</v>
      </c>
      <c r="B2466" s="154" t="s">
        <v>5935</v>
      </c>
      <c r="C2466" s="36" t="s">
        <v>1666</v>
      </c>
      <c r="D2466" s="36" t="s">
        <v>121</v>
      </c>
      <c r="E2466" s="36" t="s">
        <v>121</v>
      </c>
      <c r="F2466" s="154" t="s">
        <v>5532</v>
      </c>
      <c r="G2466" s="36" t="s">
        <v>28</v>
      </c>
      <c r="H2466" s="36" t="s">
        <v>1655</v>
      </c>
      <c r="I2466" s="36" t="s">
        <v>1656</v>
      </c>
      <c r="J2466" s="36" t="s">
        <v>1656</v>
      </c>
      <c r="K2466" s="36" t="s">
        <v>1711</v>
      </c>
      <c r="L2466" s="36" t="s">
        <v>5325</v>
      </c>
      <c r="M2466" s="36" t="s">
        <v>5325</v>
      </c>
      <c r="N2466" s="36" t="s">
        <v>32</v>
      </c>
    </row>
    <row r="2467">
      <c r="A2467" s="36" t="s">
        <v>5939</v>
      </c>
      <c r="B2467" s="154" t="s">
        <v>5935</v>
      </c>
      <c r="C2467" s="36" t="s">
        <v>1666</v>
      </c>
      <c r="D2467" s="36" t="s">
        <v>734</v>
      </c>
      <c r="E2467" s="36" t="s">
        <v>734</v>
      </c>
      <c r="F2467" s="154" t="s">
        <v>5530</v>
      </c>
      <c r="G2467" s="36" t="s">
        <v>32</v>
      </c>
      <c r="H2467" s="36" t="s">
        <v>1655</v>
      </c>
      <c r="I2467" s="36" t="s">
        <v>1656</v>
      </c>
      <c r="J2467" s="36" t="s">
        <v>1656</v>
      </c>
      <c r="K2467" s="36" t="s">
        <v>1715</v>
      </c>
      <c r="L2467" s="36" t="s">
        <v>5325</v>
      </c>
      <c r="M2467" s="36" t="s">
        <v>5325</v>
      </c>
      <c r="N2467" s="36" t="s">
        <v>32</v>
      </c>
    </row>
    <row r="2468">
      <c r="A2468" s="36" t="s">
        <v>5940</v>
      </c>
      <c r="B2468" s="154" t="s">
        <v>5941</v>
      </c>
      <c r="C2468" s="36" t="s">
        <v>1666</v>
      </c>
      <c r="D2468" s="36" t="s">
        <v>774</v>
      </c>
      <c r="E2468" s="36" t="s">
        <v>774</v>
      </c>
      <c r="F2468" s="154" t="s">
        <v>1810</v>
      </c>
      <c r="G2468" s="36" t="s">
        <v>32</v>
      </c>
      <c r="H2468" s="36" t="s">
        <v>1655</v>
      </c>
      <c r="I2468" s="36" t="s">
        <v>1656</v>
      </c>
      <c r="J2468" s="36" t="s">
        <v>1656</v>
      </c>
      <c r="K2468" s="36" t="s">
        <v>1717</v>
      </c>
      <c r="L2468" s="36" t="s">
        <v>5325</v>
      </c>
      <c r="M2468" s="36" t="s">
        <v>5325</v>
      </c>
      <c r="N2468" s="36" t="s">
        <v>32</v>
      </c>
    </row>
    <row r="2469">
      <c r="A2469" s="36" t="s">
        <v>5942</v>
      </c>
      <c r="B2469" s="154" t="s">
        <v>5943</v>
      </c>
      <c r="C2469" s="36" t="s">
        <v>1666</v>
      </c>
      <c r="D2469" s="36" t="s">
        <v>66</v>
      </c>
      <c r="E2469" s="36" t="s">
        <v>66</v>
      </c>
      <c r="F2469" s="154" t="s">
        <v>5843</v>
      </c>
      <c r="G2469" s="36" t="s">
        <v>28</v>
      </c>
      <c r="H2469" s="36" t="s">
        <v>1655</v>
      </c>
      <c r="I2469" s="36" t="s">
        <v>1656</v>
      </c>
      <c r="J2469" s="36" t="s">
        <v>1656</v>
      </c>
      <c r="K2469" s="36" t="s">
        <v>1721</v>
      </c>
      <c r="L2469" s="36" t="s">
        <v>5325</v>
      </c>
      <c r="M2469" s="36" t="s">
        <v>5325</v>
      </c>
      <c r="N2469" s="36" t="s">
        <v>32</v>
      </c>
    </row>
    <row r="2470">
      <c r="A2470" s="36" t="s">
        <v>5944</v>
      </c>
      <c r="B2470" s="154" t="s">
        <v>5943</v>
      </c>
      <c r="C2470" s="36" t="s">
        <v>1666</v>
      </c>
      <c r="D2470" s="36" t="s">
        <v>779</v>
      </c>
      <c r="E2470" s="36" t="s">
        <v>779</v>
      </c>
      <c r="F2470" s="154" t="s">
        <v>2163</v>
      </c>
      <c r="G2470" s="36" t="s">
        <v>28</v>
      </c>
      <c r="H2470" s="36" t="s">
        <v>1655</v>
      </c>
      <c r="I2470" s="36" t="s">
        <v>1656</v>
      </c>
      <c r="J2470" s="36" t="s">
        <v>1656</v>
      </c>
      <c r="K2470" s="36" t="s">
        <v>1724</v>
      </c>
      <c r="L2470" s="36" t="s">
        <v>5325</v>
      </c>
      <c r="M2470" s="36" t="s">
        <v>5325</v>
      </c>
      <c r="N2470" s="36" t="s">
        <v>34</v>
      </c>
    </row>
    <row r="2471">
      <c r="A2471" s="36" t="s">
        <v>5945</v>
      </c>
      <c r="B2471" s="154" t="s">
        <v>5946</v>
      </c>
      <c r="C2471" s="36" t="s">
        <v>1653</v>
      </c>
      <c r="D2471" s="36" t="s">
        <v>55</v>
      </c>
      <c r="E2471" s="36" t="s">
        <v>39</v>
      </c>
      <c r="F2471" s="154" t="s">
        <v>5947</v>
      </c>
      <c r="G2471" s="36" t="s">
        <v>32</v>
      </c>
      <c r="H2471" s="36" t="s">
        <v>1655</v>
      </c>
      <c r="I2471" s="36" t="s">
        <v>1656</v>
      </c>
      <c r="J2471" s="36" t="s">
        <v>1656</v>
      </c>
      <c r="K2471" s="36" t="s">
        <v>1989</v>
      </c>
      <c r="L2471" s="36" t="s">
        <v>5321</v>
      </c>
      <c r="M2471" s="36" t="s">
        <v>5321</v>
      </c>
      <c r="N2471" s="36" t="s">
        <v>32</v>
      </c>
    </row>
    <row r="2472">
      <c r="A2472" s="36" t="s">
        <v>5948</v>
      </c>
      <c r="B2472" s="154" t="s">
        <v>5946</v>
      </c>
      <c r="C2472" s="36" t="s">
        <v>1666</v>
      </c>
      <c r="D2472" s="36" t="s">
        <v>71</v>
      </c>
      <c r="E2472" s="36" t="s">
        <v>71</v>
      </c>
      <c r="F2472" s="154" t="s">
        <v>5555</v>
      </c>
      <c r="G2472" s="36" t="s">
        <v>32</v>
      </c>
      <c r="H2472" s="36" t="s">
        <v>1655</v>
      </c>
      <c r="I2472" s="36" t="s">
        <v>1656</v>
      </c>
      <c r="J2472" s="36" t="s">
        <v>1656</v>
      </c>
      <c r="K2472" s="36" t="s">
        <v>1752</v>
      </c>
      <c r="L2472" s="36" t="s">
        <v>5325</v>
      </c>
      <c r="M2472" s="36" t="s">
        <v>5325</v>
      </c>
      <c r="N2472" s="36" t="s">
        <v>32</v>
      </c>
    </row>
    <row r="2473">
      <c r="A2473" s="36" t="s">
        <v>5949</v>
      </c>
      <c r="B2473" s="154" t="s">
        <v>5946</v>
      </c>
      <c r="C2473" s="36" t="s">
        <v>1666</v>
      </c>
      <c r="D2473" s="36" t="s">
        <v>73</v>
      </c>
      <c r="E2473" s="36" t="s">
        <v>73</v>
      </c>
      <c r="F2473" s="154" t="s">
        <v>5557</v>
      </c>
      <c r="G2473" s="36" t="s">
        <v>28</v>
      </c>
      <c r="H2473" s="36" t="s">
        <v>1655</v>
      </c>
      <c r="I2473" s="36" t="s">
        <v>1656</v>
      </c>
      <c r="J2473" s="36" t="s">
        <v>1656</v>
      </c>
      <c r="K2473" s="36" t="s">
        <v>1755</v>
      </c>
      <c r="L2473" s="36" t="s">
        <v>5325</v>
      </c>
      <c r="M2473" s="36" t="s">
        <v>5325</v>
      </c>
      <c r="N2473" s="36" t="s">
        <v>32</v>
      </c>
    </row>
    <row r="2474">
      <c r="A2474" s="36" t="s">
        <v>5950</v>
      </c>
      <c r="B2474" s="154" t="s">
        <v>5946</v>
      </c>
      <c r="C2474" s="36" t="s">
        <v>1666</v>
      </c>
      <c r="D2474" s="36" t="s">
        <v>74</v>
      </c>
      <c r="E2474" s="36" t="s">
        <v>74</v>
      </c>
      <c r="F2474" s="154" t="s">
        <v>5559</v>
      </c>
      <c r="G2474" s="36" t="s">
        <v>32</v>
      </c>
      <c r="H2474" s="36" t="s">
        <v>1655</v>
      </c>
      <c r="I2474" s="36" t="s">
        <v>1656</v>
      </c>
      <c r="J2474" s="36" t="s">
        <v>1656</v>
      </c>
      <c r="K2474" s="36" t="s">
        <v>1757</v>
      </c>
      <c r="L2474" s="36" t="s">
        <v>5325</v>
      </c>
      <c r="M2474" s="36" t="s">
        <v>5325</v>
      </c>
      <c r="N2474" s="36" t="s">
        <v>32</v>
      </c>
    </row>
    <row r="2475">
      <c r="A2475" s="36" t="s">
        <v>5951</v>
      </c>
      <c r="B2475" s="154" t="s">
        <v>5946</v>
      </c>
      <c r="C2475" s="36" t="s">
        <v>1666</v>
      </c>
      <c r="D2475" s="36" t="s">
        <v>75</v>
      </c>
      <c r="E2475" s="36" t="s">
        <v>75</v>
      </c>
      <c r="F2475" s="154" t="s">
        <v>5561</v>
      </c>
      <c r="G2475" s="36" t="s">
        <v>28</v>
      </c>
      <c r="H2475" s="36" t="s">
        <v>1655</v>
      </c>
      <c r="I2475" s="36" t="s">
        <v>1656</v>
      </c>
      <c r="J2475" s="36" t="s">
        <v>1656</v>
      </c>
      <c r="K2475" s="36" t="s">
        <v>1760</v>
      </c>
      <c r="L2475" s="36" t="s">
        <v>5325</v>
      </c>
      <c r="M2475" s="36" t="s">
        <v>5325</v>
      </c>
      <c r="N2475" s="36" t="s">
        <v>32</v>
      </c>
    </row>
    <row r="2476">
      <c r="A2476" s="36" t="s">
        <v>5952</v>
      </c>
      <c r="B2476" s="154" t="s">
        <v>5946</v>
      </c>
      <c r="C2476" s="36" t="s">
        <v>1666</v>
      </c>
      <c r="D2476" s="36" t="s">
        <v>76</v>
      </c>
      <c r="E2476" s="36" t="s">
        <v>76</v>
      </c>
      <c r="F2476" s="154" t="s">
        <v>5953</v>
      </c>
      <c r="G2476" s="36" t="s">
        <v>28</v>
      </c>
      <c r="H2476" s="36" t="s">
        <v>1655</v>
      </c>
      <c r="I2476" s="36" t="s">
        <v>1656</v>
      </c>
      <c r="J2476" s="36" t="s">
        <v>1656</v>
      </c>
      <c r="K2476" s="36" t="s">
        <v>1763</v>
      </c>
      <c r="L2476" s="36" t="s">
        <v>5325</v>
      </c>
      <c r="M2476" s="36" t="s">
        <v>5325</v>
      </c>
      <c r="N2476" s="36" t="s">
        <v>32</v>
      </c>
    </row>
    <row r="2477">
      <c r="A2477" s="36" t="s">
        <v>5954</v>
      </c>
      <c r="B2477" s="154" t="s">
        <v>5946</v>
      </c>
      <c r="C2477" s="36" t="s">
        <v>1666</v>
      </c>
      <c r="D2477" s="36" t="s">
        <v>77</v>
      </c>
      <c r="E2477" s="36" t="s">
        <v>77</v>
      </c>
      <c r="F2477" s="154" t="s">
        <v>1768</v>
      </c>
      <c r="G2477" s="36" t="s">
        <v>34</v>
      </c>
      <c r="H2477" s="36" t="s">
        <v>1655</v>
      </c>
      <c r="I2477" s="36" t="s">
        <v>1656</v>
      </c>
      <c r="J2477" s="36" t="s">
        <v>1656</v>
      </c>
      <c r="K2477" s="36" t="s">
        <v>1766</v>
      </c>
      <c r="L2477" s="36" t="s">
        <v>5325</v>
      </c>
      <c r="M2477" s="36" t="s">
        <v>5325</v>
      </c>
      <c r="N2477" s="36" t="s">
        <v>32</v>
      </c>
    </row>
    <row r="2478">
      <c r="A2478" s="36" t="s">
        <v>5955</v>
      </c>
      <c r="B2478" s="154" t="s">
        <v>5946</v>
      </c>
      <c r="C2478" s="36" t="s">
        <v>1666</v>
      </c>
      <c r="D2478" s="36" t="s">
        <v>210</v>
      </c>
      <c r="E2478" s="36" t="s">
        <v>210</v>
      </c>
      <c r="F2478" s="154" t="s">
        <v>1768</v>
      </c>
      <c r="G2478" s="36" t="s">
        <v>28</v>
      </c>
      <c r="H2478" s="36" t="s">
        <v>1655</v>
      </c>
      <c r="I2478" s="36" t="s">
        <v>1656</v>
      </c>
      <c r="J2478" s="36" t="s">
        <v>1656</v>
      </c>
      <c r="K2478" s="36" t="s">
        <v>1727</v>
      </c>
      <c r="L2478" s="36" t="s">
        <v>5325</v>
      </c>
      <c r="M2478" s="36" t="s">
        <v>5325</v>
      </c>
      <c r="N2478" s="36" t="s">
        <v>34</v>
      </c>
    </row>
    <row r="2479">
      <c r="A2479" s="36" t="s">
        <v>5956</v>
      </c>
      <c r="B2479" s="154" t="s">
        <v>5946</v>
      </c>
      <c r="C2479" s="36" t="s">
        <v>1666</v>
      </c>
      <c r="D2479" s="36" t="s">
        <v>786</v>
      </c>
      <c r="E2479" s="36" t="s">
        <v>786</v>
      </c>
      <c r="F2479" s="154" t="s">
        <v>1959</v>
      </c>
      <c r="G2479" s="36" t="s">
        <v>28</v>
      </c>
      <c r="H2479" s="36" t="s">
        <v>1655</v>
      </c>
      <c r="I2479" s="36" t="s">
        <v>1656</v>
      </c>
      <c r="J2479" s="36" t="s">
        <v>1656</v>
      </c>
      <c r="K2479" s="36" t="s">
        <v>1730</v>
      </c>
      <c r="L2479" s="36" t="s">
        <v>5325</v>
      </c>
      <c r="M2479" s="36" t="s">
        <v>5325</v>
      </c>
      <c r="N2479" s="36" t="s">
        <v>34</v>
      </c>
    </row>
    <row r="2480">
      <c r="A2480" s="36" t="s">
        <v>5957</v>
      </c>
      <c r="B2480" s="154" t="s">
        <v>5946</v>
      </c>
      <c r="C2480" s="36" t="s">
        <v>1666</v>
      </c>
      <c r="D2480" s="36" t="s">
        <v>109</v>
      </c>
      <c r="E2480" s="36" t="s">
        <v>109</v>
      </c>
      <c r="F2480" s="154" t="s">
        <v>5958</v>
      </c>
      <c r="G2480" s="36" t="s">
        <v>28</v>
      </c>
      <c r="H2480" s="36" t="s">
        <v>1655</v>
      </c>
      <c r="I2480" s="36" t="s">
        <v>1656</v>
      </c>
      <c r="J2480" s="36" t="s">
        <v>1656</v>
      </c>
      <c r="K2480" s="36" t="s">
        <v>1732</v>
      </c>
      <c r="L2480" s="36" t="s">
        <v>5325</v>
      </c>
      <c r="M2480" s="36" t="s">
        <v>5325</v>
      </c>
      <c r="N2480" s="36" t="s">
        <v>32</v>
      </c>
    </row>
    <row r="2481">
      <c r="A2481" s="36" t="s">
        <v>5959</v>
      </c>
      <c r="B2481" s="154" t="s">
        <v>5946</v>
      </c>
      <c r="C2481" s="36" t="s">
        <v>1666</v>
      </c>
      <c r="D2481" s="36" t="s">
        <v>226</v>
      </c>
      <c r="E2481" s="36" t="s">
        <v>226</v>
      </c>
      <c r="F2481" s="154" t="s">
        <v>5960</v>
      </c>
      <c r="G2481" s="36" t="s">
        <v>32</v>
      </c>
      <c r="H2481" s="36" t="s">
        <v>1655</v>
      </c>
      <c r="I2481" s="36" t="s">
        <v>1656</v>
      </c>
      <c r="J2481" s="36" t="s">
        <v>1656</v>
      </c>
      <c r="K2481" s="36" t="s">
        <v>1736</v>
      </c>
      <c r="L2481" s="36" t="s">
        <v>5325</v>
      </c>
      <c r="M2481" s="36" t="s">
        <v>5325</v>
      </c>
      <c r="N2481" s="36" t="s">
        <v>32</v>
      </c>
    </row>
    <row r="2482">
      <c r="A2482" s="36" t="s">
        <v>5961</v>
      </c>
      <c r="B2482" s="154" t="s">
        <v>5946</v>
      </c>
      <c r="C2482" s="36" t="s">
        <v>1666</v>
      </c>
      <c r="D2482" s="36" t="s">
        <v>281</v>
      </c>
      <c r="E2482" s="36" t="s">
        <v>281</v>
      </c>
      <c r="F2482" s="154" t="s">
        <v>5962</v>
      </c>
      <c r="G2482" s="36" t="s">
        <v>34</v>
      </c>
      <c r="H2482" s="36" t="s">
        <v>1655</v>
      </c>
      <c r="I2482" s="36" t="s">
        <v>1656</v>
      </c>
      <c r="J2482" s="36" t="s">
        <v>1656</v>
      </c>
      <c r="K2482" s="36" t="s">
        <v>1739</v>
      </c>
      <c r="L2482" s="36" t="s">
        <v>5325</v>
      </c>
      <c r="M2482" s="36" t="s">
        <v>5325</v>
      </c>
      <c r="N2482" s="36" t="s">
        <v>32</v>
      </c>
    </row>
    <row r="2483">
      <c r="A2483" s="36" t="s">
        <v>5963</v>
      </c>
      <c r="B2483" s="154" t="s">
        <v>5946</v>
      </c>
      <c r="C2483" s="36" t="s">
        <v>1666</v>
      </c>
      <c r="D2483" s="36" t="s">
        <v>220</v>
      </c>
      <c r="E2483" s="36" t="s">
        <v>220</v>
      </c>
      <c r="F2483" s="154" t="s">
        <v>5964</v>
      </c>
      <c r="G2483" s="36" t="s">
        <v>28</v>
      </c>
      <c r="H2483" s="36" t="s">
        <v>1655</v>
      </c>
      <c r="I2483" s="36" t="s">
        <v>1656</v>
      </c>
      <c r="J2483" s="36" t="s">
        <v>1656</v>
      </c>
      <c r="K2483" s="36" t="s">
        <v>1742</v>
      </c>
      <c r="L2483" s="36" t="s">
        <v>5325</v>
      </c>
      <c r="M2483" s="36" t="s">
        <v>5325</v>
      </c>
      <c r="N2483" s="36" t="s">
        <v>32</v>
      </c>
    </row>
    <row r="2484">
      <c r="A2484" s="36" t="s">
        <v>5965</v>
      </c>
      <c r="B2484" s="154" t="s">
        <v>5946</v>
      </c>
      <c r="C2484" s="36" t="s">
        <v>1666</v>
      </c>
      <c r="D2484" s="36" t="s">
        <v>115</v>
      </c>
      <c r="E2484" s="36" t="s">
        <v>115</v>
      </c>
      <c r="F2484" s="154" t="s">
        <v>1683</v>
      </c>
      <c r="G2484" s="36" t="s">
        <v>32</v>
      </c>
      <c r="H2484" s="36" t="s">
        <v>1655</v>
      </c>
      <c r="I2484" s="36" t="s">
        <v>1656</v>
      </c>
      <c r="J2484" s="36" t="s">
        <v>1656</v>
      </c>
      <c r="K2484" s="36" t="s">
        <v>1745</v>
      </c>
      <c r="L2484" s="36" t="s">
        <v>5325</v>
      </c>
      <c r="M2484" s="36" t="s">
        <v>5325</v>
      </c>
      <c r="N2484" s="36" t="s">
        <v>32</v>
      </c>
    </row>
    <row r="2485">
      <c r="A2485" s="36" t="s">
        <v>5966</v>
      </c>
      <c r="B2485" s="154" t="s">
        <v>5946</v>
      </c>
      <c r="C2485" s="36" t="s">
        <v>1666</v>
      </c>
      <c r="D2485" s="36" t="s">
        <v>114</v>
      </c>
      <c r="E2485" s="36" t="s">
        <v>114</v>
      </c>
      <c r="F2485" s="154" t="s">
        <v>1799</v>
      </c>
      <c r="G2485" s="36" t="s">
        <v>32</v>
      </c>
      <c r="H2485" s="36" t="s">
        <v>1655</v>
      </c>
      <c r="I2485" s="36" t="s">
        <v>1656</v>
      </c>
      <c r="J2485" s="36" t="s">
        <v>1656</v>
      </c>
      <c r="K2485" s="36" t="s">
        <v>1773</v>
      </c>
      <c r="L2485" s="36" t="s">
        <v>5325</v>
      </c>
      <c r="M2485" s="36" t="s">
        <v>5325</v>
      </c>
      <c r="N2485" s="36" t="s">
        <v>32</v>
      </c>
    </row>
    <row r="2486">
      <c r="A2486" s="36" t="s">
        <v>5967</v>
      </c>
      <c r="B2486" s="154" t="s">
        <v>5946</v>
      </c>
      <c r="C2486" s="36" t="s">
        <v>1666</v>
      </c>
      <c r="D2486" s="36" t="s">
        <v>811</v>
      </c>
      <c r="E2486" s="36" t="s">
        <v>811</v>
      </c>
      <c r="F2486" s="154" t="s">
        <v>5678</v>
      </c>
      <c r="G2486" s="36" t="s">
        <v>32</v>
      </c>
      <c r="H2486" s="36" t="s">
        <v>1655</v>
      </c>
      <c r="I2486" s="36" t="s">
        <v>1656</v>
      </c>
      <c r="J2486" s="36" t="s">
        <v>1656</v>
      </c>
      <c r="K2486" s="36" t="s">
        <v>1776</v>
      </c>
      <c r="L2486" s="36" t="s">
        <v>5325</v>
      </c>
      <c r="M2486" s="36" t="s">
        <v>5325</v>
      </c>
      <c r="N2486" s="36" t="s">
        <v>32</v>
      </c>
    </row>
    <row r="2487">
      <c r="A2487" s="36" t="s">
        <v>5968</v>
      </c>
      <c r="B2487" s="154" t="s">
        <v>5969</v>
      </c>
      <c r="C2487" s="36" t="s">
        <v>1666</v>
      </c>
      <c r="D2487" s="36" t="s">
        <v>815</v>
      </c>
      <c r="E2487" s="36" t="s">
        <v>815</v>
      </c>
      <c r="F2487" s="154" t="s">
        <v>2006</v>
      </c>
      <c r="G2487" s="36" t="s">
        <v>28</v>
      </c>
      <c r="H2487" s="36" t="s">
        <v>1655</v>
      </c>
      <c r="I2487" s="36" t="s">
        <v>1656</v>
      </c>
      <c r="J2487" s="36" t="s">
        <v>1656</v>
      </c>
      <c r="K2487" s="36" t="s">
        <v>1779</v>
      </c>
      <c r="L2487" s="36" t="s">
        <v>5325</v>
      </c>
      <c r="M2487" s="36" t="s">
        <v>5325</v>
      </c>
      <c r="N2487" s="36" t="s">
        <v>32</v>
      </c>
    </row>
    <row r="2488">
      <c r="A2488" s="36" t="s">
        <v>5970</v>
      </c>
      <c r="B2488" s="154" t="s">
        <v>5971</v>
      </c>
      <c r="C2488" s="36" t="s">
        <v>1666</v>
      </c>
      <c r="D2488" s="36" t="s">
        <v>821</v>
      </c>
      <c r="E2488" s="36" t="s">
        <v>821</v>
      </c>
      <c r="F2488" s="154" t="s">
        <v>5972</v>
      </c>
      <c r="G2488" s="36" t="s">
        <v>28</v>
      </c>
      <c r="H2488" s="36" t="s">
        <v>1655</v>
      </c>
      <c r="I2488" s="36" t="s">
        <v>1656</v>
      </c>
      <c r="J2488" s="36" t="s">
        <v>1656</v>
      </c>
      <c r="K2488" s="36" t="s">
        <v>1782</v>
      </c>
      <c r="L2488" s="36" t="s">
        <v>5325</v>
      </c>
      <c r="M2488" s="36" t="s">
        <v>5325</v>
      </c>
      <c r="N2488" s="36" t="s">
        <v>34</v>
      </c>
    </row>
    <row r="2489">
      <c r="A2489" s="36" t="s">
        <v>5973</v>
      </c>
      <c r="B2489" s="154" t="s">
        <v>5971</v>
      </c>
      <c r="C2489" s="36" t="s">
        <v>1666</v>
      </c>
      <c r="D2489" s="36" t="s">
        <v>368</v>
      </c>
      <c r="E2489" s="36" t="s">
        <v>368</v>
      </c>
      <c r="F2489" s="154" t="s">
        <v>1686</v>
      </c>
      <c r="G2489" s="36" t="s">
        <v>28</v>
      </c>
      <c r="H2489" s="36" t="s">
        <v>1655</v>
      </c>
      <c r="I2489" s="36" t="s">
        <v>1656</v>
      </c>
      <c r="J2489" s="36" t="s">
        <v>1656</v>
      </c>
      <c r="K2489" s="36" t="s">
        <v>1784</v>
      </c>
      <c r="L2489" s="36" t="s">
        <v>5325</v>
      </c>
      <c r="M2489" s="36" t="s">
        <v>5325</v>
      </c>
      <c r="N2489" s="36" t="s">
        <v>34</v>
      </c>
    </row>
    <row r="2490">
      <c r="A2490" s="36" t="s">
        <v>5974</v>
      </c>
      <c r="B2490" s="154" t="s">
        <v>5975</v>
      </c>
      <c r="C2490" s="36" t="s">
        <v>1666</v>
      </c>
      <c r="D2490" s="36" t="s">
        <v>110</v>
      </c>
      <c r="E2490" s="36" t="s">
        <v>110</v>
      </c>
      <c r="F2490" s="154" t="s">
        <v>1778</v>
      </c>
      <c r="G2490" s="36" t="s">
        <v>28</v>
      </c>
      <c r="H2490" s="36" t="s">
        <v>1655</v>
      </c>
      <c r="I2490" s="36" t="s">
        <v>1656</v>
      </c>
      <c r="J2490" s="36" t="s">
        <v>1656</v>
      </c>
      <c r="K2490" s="36" t="s">
        <v>1787</v>
      </c>
      <c r="L2490" s="36" t="s">
        <v>5325</v>
      </c>
      <c r="M2490" s="36" t="s">
        <v>5325</v>
      </c>
      <c r="N2490" s="36" t="s">
        <v>34</v>
      </c>
    </row>
    <row r="2491">
      <c r="A2491" s="36" t="s">
        <v>5976</v>
      </c>
      <c r="B2491" s="154" t="s">
        <v>5977</v>
      </c>
      <c r="C2491" s="36" t="s">
        <v>1653</v>
      </c>
      <c r="D2491" s="36" t="s">
        <v>161</v>
      </c>
      <c r="E2491" s="36" t="s">
        <v>39</v>
      </c>
      <c r="F2491" s="154" t="s">
        <v>5835</v>
      </c>
      <c r="G2491" s="36" t="s">
        <v>32</v>
      </c>
      <c r="H2491" s="36" t="s">
        <v>1655</v>
      </c>
      <c r="I2491" s="36" t="s">
        <v>1656</v>
      </c>
      <c r="J2491" s="36" t="s">
        <v>1656</v>
      </c>
      <c r="K2491" s="36" t="s">
        <v>1749</v>
      </c>
      <c r="L2491" s="36" t="s">
        <v>5321</v>
      </c>
      <c r="M2491" s="36" t="s">
        <v>5321</v>
      </c>
      <c r="N2491" s="36" t="s">
        <v>32</v>
      </c>
    </row>
    <row r="2492">
      <c r="A2492" s="36" t="s">
        <v>5978</v>
      </c>
      <c r="B2492" s="154" t="s">
        <v>5977</v>
      </c>
      <c r="C2492" s="36" t="s">
        <v>1666</v>
      </c>
      <c r="D2492" s="36" t="s">
        <v>830</v>
      </c>
      <c r="E2492" s="36" t="s">
        <v>830</v>
      </c>
      <c r="F2492" s="154" t="s">
        <v>2006</v>
      </c>
      <c r="G2492" s="36" t="s">
        <v>32</v>
      </c>
      <c r="H2492" s="36" t="s">
        <v>1655</v>
      </c>
      <c r="I2492" s="36" t="s">
        <v>1656</v>
      </c>
      <c r="J2492" s="36" t="s">
        <v>1656</v>
      </c>
      <c r="K2492" s="36" t="s">
        <v>1790</v>
      </c>
      <c r="L2492" s="36" t="s">
        <v>5325</v>
      </c>
      <c r="M2492" s="36" t="s">
        <v>5325</v>
      </c>
      <c r="N2492" s="36" t="s">
        <v>34</v>
      </c>
    </row>
    <row r="2493">
      <c r="A2493" s="36" t="s">
        <v>5979</v>
      </c>
      <c r="B2493" s="154" t="s">
        <v>5977</v>
      </c>
      <c r="C2493" s="36" t="s">
        <v>1666</v>
      </c>
      <c r="D2493" s="36" t="s">
        <v>834</v>
      </c>
      <c r="E2493" s="36" t="s">
        <v>834</v>
      </c>
      <c r="F2493" s="154" t="s">
        <v>5980</v>
      </c>
      <c r="G2493" s="36" t="s">
        <v>32</v>
      </c>
      <c r="H2493" s="36" t="s">
        <v>1655</v>
      </c>
      <c r="I2493" s="36" t="s">
        <v>1656</v>
      </c>
      <c r="J2493" s="36" t="s">
        <v>1656</v>
      </c>
      <c r="K2493" s="36" t="s">
        <v>1793</v>
      </c>
      <c r="L2493" s="36" t="s">
        <v>5325</v>
      </c>
      <c r="M2493" s="36" t="s">
        <v>5325</v>
      </c>
      <c r="N2493" s="36" t="s">
        <v>32</v>
      </c>
    </row>
    <row r="2494">
      <c r="A2494" s="36" t="s">
        <v>5981</v>
      </c>
      <c r="B2494" s="154" t="s">
        <v>5982</v>
      </c>
      <c r="C2494" s="36" t="s">
        <v>1653</v>
      </c>
      <c r="D2494" s="36" t="s">
        <v>158</v>
      </c>
      <c r="E2494" s="36" t="s">
        <v>39</v>
      </c>
      <c r="F2494" s="154" t="s">
        <v>5983</v>
      </c>
      <c r="G2494" s="36" t="s">
        <v>32</v>
      </c>
      <c r="H2494" s="36" t="s">
        <v>1655</v>
      </c>
      <c r="I2494" s="36" t="s">
        <v>1656</v>
      </c>
      <c r="J2494" s="36" t="s">
        <v>1656</v>
      </c>
      <c r="K2494" s="36" t="s">
        <v>2848</v>
      </c>
      <c r="L2494" s="36" t="s">
        <v>5321</v>
      </c>
      <c r="M2494" s="36" t="s">
        <v>5321</v>
      </c>
      <c r="N2494" s="36" t="s">
        <v>32</v>
      </c>
    </row>
    <row r="2495">
      <c r="A2495" s="36" t="s">
        <v>5984</v>
      </c>
      <c r="B2495" s="154" t="s">
        <v>5985</v>
      </c>
      <c r="C2495" s="36" t="s">
        <v>1666</v>
      </c>
      <c r="D2495" s="36" t="s">
        <v>841</v>
      </c>
      <c r="E2495" s="36" t="s">
        <v>841</v>
      </c>
      <c r="F2495" s="154" t="s">
        <v>1816</v>
      </c>
      <c r="G2495" s="36" t="s">
        <v>34</v>
      </c>
      <c r="H2495" s="36" t="s">
        <v>1655</v>
      </c>
      <c r="I2495" s="36" t="s">
        <v>1656</v>
      </c>
      <c r="J2495" s="36" t="s">
        <v>1656</v>
      </c>
      <c r="K2495" s="36" t="s">
        <v>1796</v>
      </c>
      <c r="L2495" s="36" t="s">
        <v>5325</v>
      </c>
      <c r="M2495" s="36" t="s">
        <v>5325</v>
      </c>
      <c r="N2495" s="36" t="s">
        <v>32</v>
      </c>
    </row>
    <row r="2496">
      <c r="A2496" s="36" t="s">
        <v>5986</v>
      </c>
      <c r="B2496" s="154" t="s">
        <v>5987</v>
      </c>
      <c r="C2496" s="36" t="s">
        <v>1666</v>
      </c>
      <c r="D2496" s="36" t="s">
        <v>100</v>
      </c>
      <c r="E2496" s="36" t="s">
        <v>100</v>
      </c>
      <c r="F2496" s="154" t="s">
        <v>1810</v>
      </c>
      <c r="G2496" s="36" t="s">
        <v>32</v>
      </c>
      <c r="H2496" s="36" t="s">
        <v>1655</v>
      </c>
      <c r="I2496" s="36" t="s">
        <v>1656</v>
      </c>
      <c r="J2496" s="36" t="s">
        <v>1656</v>
      </c>
      <c r="K2496" s="36" t="s">
        <v>1800</v>
      </c>
      <c r="L2496" s="36" t="s">
        <v>5325</v>
      </c>
      <c r="M2496" s="36" t="s">
        <v>5325</v>
      </c>
      <c r="N2496" s="36" t="s">
        <v>32</v>
      </c>
    </row>
    <row r="2497">
      <c r="A2497" s="36" t="s">
        <v>5988</v>
      </c>
      <c r="B2497" s="154" t="s">
        <v>5989</v>
      </c>
      <c r="C2497" s="36" t="s">
        <v>1666</v>
      </c>
      <c r="D2497" s="36" t="s">
        <v>849</v>
      </c>
      <c r="E2497" s="36" t="s">
        <v>849</v>
      </c>
      <c r="F2497" s="154" t="s">
        <v>5990</v>
      </c>
      <c r="G2497" s="36" t="s">
        <v>28</v>
      </c>
      <c r="H2497" s="36" t="s">
        <v>1655</v>
      </c>
      <c r="I2497" s="36" t="s">
        <v>1656</v>
      </c>
      <c r="J2497" s="36" t="s">
        <v>1656</v>
      </c>
      <c r="K2497" s="36" t="s">
        <v>1803</v>
      </c>
      <c r="L2497" s="36" t="s">
        <v>5325</v>
      </c>
      <c r="M2497" s="36" t="s">
        <v>5325</v>
      </c>
      <c r="N2497" s="36" t="s">
        <v>32</v>
      </c>
    </row>
    <row r="2498">
      <c r="A2498" s="36" t="s">
        <v>5991</v>
      </c>
      <c r="B2498" s="154" t="s">
        <v>5989</v>
      </c>
      <c r="C2498" s="36" t="s">
        <v>1666</v>
      </c>
      <c r="D2498" s="36" t="s">
        <v>210</v>
      </c>
      <c r="E2498" s="36" t="s">
        <v>210</v>
      </c>
      <c r="F2498" s="154" t="s">
        <v>1959</v>
      </c>
      <c r="G2498" s="36" t="s">
        <v>32</v>
      </c>
      <c r="H2498" s="36" t="s">
        <v>1655</v>
      </c>
      <c r="I2498" s="36" t="s">
        <v>1656</v>
      </c>
      <c r="J2498" s="36" t="s">
        <v>1656</v>
      </c>
      <c r="K2498" s="36" t="s">
        <v>1807</v>
      </c>
      <c r="L2498" s="36" t="s">
        <v>5325</v>
      </c>
      <c r="M2498" s="36" t="s">
        <v>5325</v>
      </c>
      <c r="N2498" s="36" t="s">
        <v>32</v>
      </c>
    </row>
    <row r="2499">
      <c r="A2499" s="36" t="s">
        <v>5992</v>
      </c>
      <c r="B2499" s="154" t="s">
        <v>5993</v>
      </c>
      <c r="C2499" s="36" t="s">
        <v>1653</v>
      </c>
      <c r="D2499" s="36" t="s">
        <v>43</v>
      </c>
      <c r="E2499" s="36" t="s">
        <v>39</v>
      </c>
      <c r="F2499" s="154" t="s">
        <v>5994</v>
      </c>
      <c r="G2499" s="36" t="s">
        <v>32</v>
      </c>
      <c r="H2499" s="36" t="s">
        <v>1655</v>
      </c>
      <c r="I2499" s="36" t="s">
        <v>1656</v>
      </c>
      <c r="J2499" s="36" t="s">
        <v>1656</v>
      </c>
      <c r="K2499" s="36" t="s">
        <v>5599</v>
      </c>
      <c r="L2499" s="36" t="s">
        <v>5321</v>
      </c>
      <c r="M2499" s="36" t="s">
        <v>5321</v>
      </c>
      <c r="N2499" s="36" t="s">
        <v>32</v>
      </c>
    </row>
    <row r="2500">
      <c r="A2500" s="36" t="s">
        <v>5995</v>
      </c>
      <c r="B2500" s="154" t="s">
        <v>5996</v>
      </c>
      <c r="C2500" s="36" t="s">
        <v>1666</v>
      </c>
      <c r="D2500" s="36" t="s">
        <v>685</v>
      </c>
      <c r="E2500" s="36" t="s">
        <v>685</v>
      </c>
      <c r="F2500" s="154" t="s">
        <v>2049</v>
      </c>
      <c r="G2500" s="36" t="s">
        <v>28</v>
      </c>
      <c r="H2500" s="36" t="s">
        <v>1655</v>
      </c>
      <c r="I2500" s="36" t="s">
        <v>1656</v>
      </c>
      <c r="J2500" s="36" t="s">
        <v>1656</v>
      </c>
      <c r="K2500" s="36" t="s">
        <v>1814</v>
      </c>
      <c r="L2500" s="36" t="s">
        <v>5325</v>
      </c>
      <c r="M2500" s="36" t="s">
        <v>5325</v>
      </c>
      <c r="N2500" s="36" t="s">
        <v>34</v>
      </c>
    </row>
    <row r="2501">
      <c r="A2501" s="36" t="s">
        <v>5997</v>
      </c>
      <c r="B2501" s="154" t="s">
        <v>5996</v>
      </c>
      <c r="C2501" s="36" t="s">
        <v>1666</v>
      </c>
      <c r="D2501" s="36" t="s">
        <v>863</v>
      </c>
      <c r="E2501" s="36" t="s">
        <v>863</v>
      </c>
      <c r="F2501" s="154" t="s">
        <v>1816</v>
      </c>
      <c r="G2501" s="36" t="s">
        <v>28</v>
      </c>
      <c r="H2501" s="36" t="s">
        <v>1655</v>
      </c>
      <c r="I2501" s="36" t="s">
        <v>1656</v>
      </c>
      <c r="J2501" s="36" t="s">
        <v>1656</v>
      </c>
      <c r="K2501" s="36" t="s">
        <v>1817</v>
      </c>
      <c r="L2501" s="36" t="s">
        <v>5325</v>
      </c>
      <c r="M2501" s="36" t="s">
        <v>5325</v>
      </c>
      <c r="N2501" s="36" t="s">
        <v>34</v>
      </c>
    </row>
    <row r="2502">
      <c r="A2502" s="36" t="s">
        <v>5998</v>
      </c>
      <c r="B2502" s="154" t="s">
        <v>5996</v>
      </c>
      <c r="C2502" s="36" t="s">
        <v>1666</v>
      </c>
      <c r="D2502" s="36" t="s">
        <v>866</v>
      </c>
      <c r="E2502" s="36" t="s">
        <v>866</v>
      </c>
      <c r="F2502" s="154" t="s">
        <v>1768</v>
      </c>
      <c r="G2502" s="36" t="s">
        <v>28</v>
      </c>
      <c r="H2502" s="36" t="s">
        <v>1655</v>
      </c>
      <c r="I2502" s="36" t="s">
        <v>1656</v>
      </c>
      <c r="J2502" s="36" t="s">
        <v>1656</v>
      </c>
      <c r="K2502" s="36" t="s">
        <v>1820</v>
      </c>
      <c r="L2502" s="36" t="s">
        <v>5325</v>
      </c>
      <c r="M2502" s="36" t="s">
        <v>5325</v>
      </c>
      <c r="N2502" s="36" t="s">
        <v>34</v>
      </c>
    </row>
    <row r="2503">
      <c r="A2503" s="36" t="s">
        <v>5999</v>
      </c>
      <c r="B2503" s="154" t="s">
        <v>6000</v>
      </c>
      <c r="C2503" s="36" t="s">
        <v>1653</v>
      </c>
      <c r="D2503" s="36" t="s">
        <v>704</v>
      </c>
      <c r="E2503" s="36" t="s">
        <v>39</v>
      </c>
      <c r="F2503" s="154" t="s">
        <v>6001</v>
      </c>
      <c r="G2503" s="36" t="s">
        <v>32</v>
      </c>
      <c r="H2503" s="36" t="s">
        <v>1655</v>
      </c>
      <c r="I2503" s="36" t="s">
        <v>1656</v>
      </c>
      <c r="J2503" s="36" t="s">
        <v>1656</v>
      </c>
      <c r="K2503" s="36" t="s">
        <v>1978</v>
      </c>
      <c r="L2503" s="36" t="s">
        <v>5321</v>
      </c>
      <c r="M2503" s="36" t="s">
        <v>5321</v>
      </c>
      <c r="N2503" s="36" t="s">
        <v>32</v>
      </c>
    </row>
    <row r="2504">
      <c r="A2504" s="36" t="s">
        <v>6002</v>
      </c>
      <c r="B2504" s="154" t="s">
        <v>6003</v>
      </c>
      <c r="C2504" s="36" t="s">
        <v>1666</v>
      </c>
      <c r="D2504" s="36" t="s">
        <v>870</v>
      </c>
      <c r="E2504" s="36" t="s">
        <v>870</v>
      </c>
      <c r="F2504" s="154" t="s">
        <v>5017</v>
      </c>
      <c r="G2504" s="36" t="s">
        <v>28</v>
      </c>
      <c r="H2504" s="36" t="s">
        <v>1655</v>
      </c>
      <c r="I2504" s="36" t="s">
        <v>1656</v>
      </c>
      <c r="J2504" s="36" t="s">
        <v>1656</v>
      </c>
      <c r="K2504" s="36" t="s">
        <v>1823</v>
      </c>
      <c r="L2504" s="36" t="s">
        <v>5325</v>
      </c>
      <c r="M2504" s="36" t="s">
        <v>5325</v>
      </c>
      <c r="N2504" s="36" t="s">
        <v>34</v>
      </c>
    </row>
    <row r="2505">
      <c r="A2505" s="36" t="s">
        <v>6004</v>
      </c>
      <c r="B2505" s="154" t="s">
        <v>6003</v>
      </c>
      <c r="C2505" s="36" t="s">
        <v>1666</v>
      </c>
      <c r="D2505" s="36" t="s">
        <v>94</v>
      </c>
      <c r="E2505" s="36" t="s">
        <v>94</v>
      </c>
      <c r="F2505" s="154" t="s">
        <v>1816</v>
      </c>
      <c r="G2505" s="36" t="s">
        <v>28</v>
      </c>
      <c r="H2505" s="36" t="s">
        <v>1655</v>
      </c>
      <c r="I2505" s="36" t="s">
        <v>1656</v>
      </c>
      <c r="J2505" s="36" t="s">
        <v>1656</v>
      </c>
      <c r="K2505" s="36" t="s">
        <v>1826</v>
      </c>
      <c r="L2505" s="36" t="s">
        <v>5325</v>
      </c>
      <c r="M2505" s="36" t="s">
        <v>5325</v>
      </c>
      <c r="N2505" s="36" t="s">
        <v>32</v>
      </c>
    </row>
    <row r="2506">
      <c r="A2506" s="36" t="s">
        <v>6005</v>
      </c>
      <c r="B2506" s="154" t="s">
        <v>6003</v>
      </c>
      <c r="C2506" s="36" t="s">
        <v>1666</v>
      </c>
      <c r="D2506" s="36" t="s">
        <v>130</v>
      </c>
      <c r="E2506" s="36" t="s">
        <v>130</v>
      </c>
      <c r="F2506" s="154" t="s">
        <v>1768</v>
      </c>
      <c r="G2506" s="36" t="s">
        <v>32</v>
      </c>
      <c r="H2506" s="36" t="s">
        <v>1655</v>
      </c>
      <c r="I2506" s="36" t="s">
        <v>1656</v>
      </c>
      <c r="J2506" s="36" t="s">
        <v>1656</v>
      </c>
      <c r="K2506" s="36" t="s">
        <v>1830</v>
      </c>
      <c r="L2506" s="36" t="s">
        <v>5325</v>
      </c>
      <c r="M2506" s="36" t="s">
        <v>5325</v>
      </c>
      <c r="N2506" s="36" t="s">
        <v>32</v>
      </c>
    </row>
    <row r="2507">
      <c r="A2507" s="36" t="s">
        <v>6006</v>
      </c>
      <c r="B2507" s="154" t="s">
        <v>6003</v>
      </c>
      <c r="C2507" s="36" t="s">
        <v>1666</v>
      </c>
      <c r="D2507" s="36" t="s">
        <v>210</v>
      </c>
      <c r="E2507" s="36" t="s">
        <v>210</v>
      </c>
      <c r="F2507" s="154" t="s">
        <v>1768</v>
      </c>
      <c r="G2507" s="36" t="s">
        <v>32</v>
      </c>
      <c r="H2507" s="36" t="s">
        <v>1655</v>
      </c>
      <c r="I2507" s="36" t="s">
        <v>1656</v>
      </c>
      <c r="J2507" s="36" t="s">
        <v>1656</v>
      </c>
      <c r="K2507" s="36" t="s">
        <v>1833</v>
      </c>
      <c r="L2507" s="36" t="s">
        <v>5325</v>
      </c>
      <c r="M2507" s="36" t="s">
        <v>5325</v>
      </c>
      <c r="N2507" s="36" t="s">
        <v>32</v>
      </c>
    </row>
    <row r="2508">
      <c r="A2508" s="36" t="s">
        <v>6007</v>
      </c>
      <c r="B2508" s="154" t="s">
        <v>6008</v>
      </c>
      <c r="C2508" s="36" t="s">
        <v>1666</v>
      </c>
      <c r="D2508" s="36" t="s">
        <v>79</v>
      </c>
      <c r="E2508" s="36" t="s">
        <v>79</v>
      </c>
      <c r="F2508" s="154" t="s">
        <v>5606</v>
      </c>
      <c r="G2508" s="36" t="s">
        <v>32</v>
      </c>
      <c r="H2508" s="36" t="s">
        <v>1655</v>
      </c>
      <c r="I2508" s="36" t="s">
        <v>1656</v>
      </c>
      <c r="J2508" s="36" t="s">
        <v>1656</v>
      </c>
      <c r="K2508" s="36" t="s">
        <v>1769</v>
      </c>
      <c r="L2508" s="36" t="s">
        <v>5325</v>
      </c>
      <c r="M2508" s="36" t="s">
        <v>5325</v>
      </c>
      <c r="N2508" s="36" t="s">
        <v>32</v>
      </c>
    </row>
    <row r="2509">
      <c r="A2509" s="36" t="s">
        <v>6009</v>
      </c>
      <c r="B2509" s="154" t="s">
        <v>6008</v>
      </c>
      <c r="C2509" s="36" t="s">
        <v>1666</v>
      </c>
      <c r="D2509" s="36" t="s">
        <v>81</v>
      </c>
      <c r="E2509" s="36" t="s">
        <v>81</v>
      </c>
      <c r="F2509" s="154" t="s">
        <v>5807</v>
      </c>
      <c r="G2509" s="36" t="s">
        <v>28</v>
      </c>
      <c r="H2509" s="36" t="s">
        <v>1655</v>
      </c>
      <c r="I2509" s="36" t="s">
        <v>1656</v>
      </c>
      <c r="J2509" s="36" t="s">
        <v>1656</v>
      </c>
      <c r="K2509" s="36" t="s">
        <v>1811</v>
      </c>
      <c r="L2509" s="36" t="s">
        <v>5325</v>
      </c>
      <c r="M2509" s="36" t="s">
        <v>5325</v>
      </c>
      <c r="N2509" s="36" t="s">
        <v>32</v>
      </c>
    </row>
    <row r="2510">
      <c r="A2510" s="36" t="s">
        <v>6010</v>
      </c>
      <c r="B2510" s="154" t="s">
        <v>6008</v>
      </c>
      <c r="C2510" s="36" t="s">
        <v>1666</v>
      </c>
      <c r="D2510" s="36" t="s">
        <v>83</v>
      </c>
      <c r="E2510" s="36" t="s">
        <v>83</v>
      </c>
      <c r="F2510" s="154" t="s">
        <v>5809</v>
      </c>
      <c r="G2510" s="36" t="s">
        <v>28</v>
      </c>
      <c r="H2510" s="36" t="s">
        <v>1655</v>
      </c>
      <c r="I2510" s="36" t="s">
        <v>1656</v>
      </c>
      <c r="J2510" s="36" t="s">
        <v>1656</v>
      </c>
      <c r="K2510" s="36" t="s">
        <v>1891</v>
      </c>
      <c r="L2510" s="36" t="s">
        <v>5325</v>
      </c>
      <c r="M2510" s="36" t="s">
        <v>5325</v>
      </c>
      <c r="N2510" s="36" t="s">
        <v>32</v>
      </c>
    </row>
    <row r="2511">
      <c r="A2511" s="36" t="s">
        <v>6011</v>
      </c>
      <c r="B2511" s="154" t="s">
        <v>6008</v>
      </c>
      <c r="C2511" s="36" t="s">
        <v>1666</v>
      </c>
      <c r="D2511" s="36" t="s">
        <v>84</v>
      </c>
      <c r="E2511" s="36" t="s">
        <v>84</v>
      </c>
      <c r="F2511" s="154" t="s">
        <v>5693</v>
      </c>
      <c r="G2511" s="36" t="s">
        <v>32</v>
      </c>
      <c r="H2511" s="36" t="s">
        <v>1655</v>
      </c>
      <c r="I2511" s="36" t="s">
        <v>1656</v>
      </c>
      <c r="J2511" s="36" t="s">
        <v>1656</v>
      </c>
      <c r="K2511" s="36" t="s">
        <v>1921</v>
      </c>
      <c r="L2511" s="36" t="s">
        <v>5325</v>
      </c>
      <c r="M2511" s="36" t="s">
        <v>5325</v>
      </c>
      <c r="N2511" s="36" t="s">
        <v>32</v>
      </c>
    </row>
    <row r="2512">
      <c r="A2512" s="36" t="s">
        <v>6012</v>
      </c>
      <c r="B2512" s="154" t="s">
        <v>6008</v>
      </c>
      <c r="C2512" s="36" t="s">
        <v>1666</v>
      </c>
      <c r="D2512" s="36" t="s">
        <v>100</v>
      </c>
      <c r="E2512" s="36" t="s">
        <v>100</v>
      </c>
      <c r="F2512" s="154" t="s">
        <v>1810</v>
      </c>
      <c r="G2512" s="36" t="s">
        <v>32</v>
      </c>
      <c r="H2512" s="36" t="s">
        <v>1655</v>
      </c>
      <c r="I2512" s="36" t="s">
        <v>1656</v>
      </c>
      <c r="J2512" s="36" t="s">
        <v>1656</v>
      </c>
      <c r="K2512" s="36" t="s">
        <v>1836</v>
      </c>
      <c r="L2512" s="36" t="s">
        <v>5325</v>
      </c>
      <c r="M2512" s="36" t="s">
        <v>5325</v>
      </c>
      <c r="N2512" s="36" t="s">
        <v>32</v>
      </c>
    </row>
    <row r="2513">
      <c r="A2513" s="36" t="s">
        <v>6013</v>
      </c>
      <c r="B2513" s="154" t="s">
        <v>6014</v>
      </c>
      <c r="C2513" s="36" t="s">
        <v>1666</v>
      </c>
      <c r="D2513" s="36" t="s">
        <v>870</v>
      </c>
      <c r="E2513" s="36" t="s">
        <v>870</v>
      </c>
      <c r="F2513" s="154" t="s">
        <v>1973</v>
      </c>
      <c r="G2513" s="36" t="s">
        <v>28</v>
      </c>
      <c r="H2513" s="36" t="s">
        <v>1655</v>
      </c>
      <c r="I2513" s="36" t="s">
        <v>1656</v>
      </c>
      <c r="J2513" s="36" t="s">
        <v>1656</v>
      </c>
      <c r="K2513" s="36" t="s">
        <v>1839</v>
      </c>
      <c r="L2513" s="36" t="s">
        <v>5325</v>
      </c>
      <c r="M2513" s="36" t="s">
        <v>5325</v>
      </c>
      <c r="N2513" s="36" t="s">
        <v>34</v>
      </c>
    </row>
    <row r="2514">
      <c r="A2514" s="36" t="s">
        <v>6015</v>
      </c>
      <c r="B2514" s="154" t="s">
        <v>6014</v>
      </c>
      <c r="C2514" s="36" t="s">
        <v>1666</v>
      </c>
      <c r="D2514" s="36" t="s">
        <v>886</v>
      </c>
      <c r="E2514" s="36" t="s">
        <v>886</v>
      </c>
      <c r="F2514" s="154" t="s">
        <v>2325</v>
      </c>
      <c r="G2514" s="36" t="s">
        <v>28</v>
      </c>
      <c r="H2514" s="36" t="s">
        <v>1655</v>
      </c>
      <c r="I2514" s="36" t="s">
        <v>1656</v>
      </c>
      <c r="J2514" s="36" t="s">
        <v>1656</v>
      </c>
      <c r="K2514" s="36" t="s">
        <v>1842</v>
      </c>
      <c r="L2514" s="36" t="s">
        <v>5325</v>
      </c>
      <c r="M2514" s="36" t="s">
        <v>5325</v>
      </c>
      <c r="N2514" s="36" t="s">
        <v>34</v>
      </c>
    </row>
    <row r="2515">
      <c r="A2515" s="36" t="s">
        <v>6016</v>
      </c>
      <c r="B2515" s="154" t="s">
        <v>6014</v>
      </c>
      <c r="C2515" s="36" t="s">
        <v>1666</v>
      </c>
      <c r="D2515" s="36" t="s">
        <v>486</v>
      </c>
      <c r="E2515" s="36" t="s">
        <v>486</v>
      </c>
      <c r="F2515" s="154" t="s">
        <v>6017</v>
      </c>
      <c r="G2515" s="36" t="s">
        <v>28</v>
      </c>
      <c r="H2515" s="36" t="s">
        <v>1655</v>
      </c>
      <c r="I2515" s="36" t="s">
        <v>1656</v>
      </c>
      <c r="J2515" s="36" t="s">
        <v>1656</v>
      </c>
      <c r="K2515" s="36" t="s">
        <v>1845</v>
      </c>
      <c r="L2515" s="36" t="s">
        <v>5325</v>
      </c>
      <c r="M2515" s="36" t="s">
        <v>5325</v>
      </c>
      <c r="N2515" s="36" t="s">
        <v>34</v>
      </c>
    </row>
    <row r="2516">
      <c r="A2516" s="36" t="s">
        <v>6018</v>
      </c>
      <c r="B2516" s="154" t="s">
        <v>6014</v>
      </c>
      <c r="C2516" s="36" t="s">
        <v>1666</v>
      </c>
      <c r="D2516" s="36" t="s">
        <v>495</v>
      </c>
      <c r="E2516" s="36" t="s">
        <v>495</v>
      </c>
      <c r="F2516" s="154" t="s">
        <v>6019</v>
      </c>
      <c r="G2516" s="36" t="s">
        <v>28</v>
      </c>
      <c r="H2516" s="36" t="s">
        <v>1655</v>
      </c>
      <c r="I2516" s="36" t="s">
        <v>1656</v>
      </c>
      <c r="J2516" s="36" t="s">
        <v>1656</v>
      </c>
      <c r="K2516" s="36" t="s">
        <v>1848</v>
      </c>
      <c r="L2516" s="36" t="s">
        <v>5325</v>
      </c>
      <c r="M2516" s="36" t="s">
        <v>5325</v>
      </c>
      <c r="N2516" s="36" t="s">
        <v>32</v>
      </c>
    </row>
    <row r="2517">
      <c r="A2517" s="36" t="s">
        <v>6020</v>
      </c>
      <c r="B2517" s="154" t="s">
        <v>6021</v>
      </c>
      <c r="C2517" s="36" t="s">
        <v>1653</v>
      </c>
      <c r="D2517" s="36" t="s">
        <v>43</v>
      </c>
      <c r="E2517" s="36" t="s">
        <v>39</v>
      </c>
      <c r="F2517" s="154" t="s">
        <v>6022</v>
      </c>
      <c r="G2517" s="36" t="s">
        <v>32</v>
      </c>
      <c r="H2517" s="36" t="s">
        <v>1655</v>
      </c>
      <c r="I2517" s="36" t="s">
        <v>1656</v>
      </c>
      <c r="J2517" s="36" t="s">
        <v>1656</v>
      </c>
      <c r="K2517" s="36" t="s">
        <v>1657</v>
      </c>
      <c r="L2517" s="36" t="s">
        <v>5321</v>
      </c>
      <c r="M2517" s="36" t="s">
        <v>5321</v>
      </c>
      <c r="N2517" s="36" t="s">
        <v>32</v>
      </c>
    </row>
    <row r="2518">
      <c r="A2518" s="36" t="s">
        <v>6023</v>
      </c>
      <c r="B2518" s="154" t="s">
        <v>6021</v>
      </c>
      <c r="C2518" s="36" t="s">
        <v>1653</v>
      </c>
      <c r="D2518" s="36" t="s">
        <v>158</v>
      </c>
      <c r="E2518" s="36" t="s">
        <v>39</v>
      </c>
      <c r="F2518" s="154" t="s">
        <v>6024</v>
      </c>
      <c r="G2518" s="36" t="s">
        <v>32</v>
      </c>
      <c r="H2518" s="36" t="s">
        <v>1655</v>
      </c>
      <c r="I2518" s="36" t="s">
        <v>1656</v>
      </c>
      <c r="J2518" s="36" t="s">
        <v>1656</v>
      </c>
      <c r="K2518" s="36" t="s">
        <v>1749</v>
      </c>
      <c r="L2518" s="36" t="s">
        <v>5321</v>
      </c>
      <c r="M2518" s="36" t="s">
        <v>5321</v>
      </c>
      <c r="N2518" s="36" t="s">
        <v>32</v>
      </c>
    </row>
    <row r="2519">
      <c r="A2519" s="36" t="s">
        <v>6025</v>
      </c>
      <c r="B2519" s="154" t="s">
        <v>6021</v>
      </c>
      <c r="C2519" s="36" t="s">
        <v>1666</v>
      </c>
      <c r="D2519" s="36" t="s">
        <v>85</v>
      </c>
      <c r="E2519" s="36" t="s">
        <v>85</v>
      </c>
      <c r="F2519" s="154" t="s">
        <v>5704</v>
      </c>
      <c r="G2519" s="36" t="s">
        <v>28</v>
      </c>
      <c r="H2519" s="36" t="s">
        <v>1655</v>
      </c>
      <c r="I2519" s="36" t="s">
        <v>1656</v>
      </c>
      <c r="J2519" s="36" t="s">
        <v>1656</v>
      </c>
      <c r="K2519" s="36" t="s">
        <v>3035</v>
      </c>
      <c r="L2519" s="36" t="s">
        <v>5325</v>
      </c>
      <c r="M2519" s="36" t="s">
        <v>5325</v>
      </c>
      <c r="N2519" s="36" t="s">
        <v>32</v>
      </c>
    </row>
    <row r="2520">
      <c r="A2520" s="36" t="s">
        <v>6026</v>
      </c>
      <c r="B2520" s="154" t="s">
        <v>6021</v>
      </c>
      <c r="C2520" s="36" t="s">
        <v>1666</v>
      </c>
      <c r="D2520" s="36" t="s">
        <v>443</v>
      </c>
      <c r="E2520" s="36" t="s">
        <v>443</v>
      </c>
      <c r="F2520" s="154" t="s">
        <v>6027</v>
      </c>
      <c r="G2520" s="36" t="s">
        <v>28</v>
      </c>
      <c r="H2520" s="36" t="s">
        <v>1655</v>
      </c>
      <c r="I2520" s="36" t="s">
        <v>1656</v>
      </c>
      <c r="J2520" s="36" t="s">
        <v>1656</v>
      </c>
      <c r="K2520" s="36" t="s">
        <v>3038</v>
      </c>
      <c r="L2520" s="36" t="s">
        <v>5325</v>
      </c>
      <c r="M2520" s="36" t="s">
        <v>5325</v>
      </c>
      <c r="N2520" s="36" t="s">
        <v>32</v>
      </c>
    </row>
    <row r="2521">
      <c r="A2521" s="36" t="s">
        <v>6028</v>
      </c>
      <c r="B2521" s="154" t="s">
        <v>6021</v>
      </c>
      <c r="C2521" s="36" t="s">
        <v>1666</v>
      </c>
      <c r="D2521" s="36" t="s">
        <v>717</v>
      </c>
      <c r="E2521" s="36" t="s">
        <v>717</v>
      </c>
      <c r="F2521" s="154" t="s">
        <v>6029</v>
      </c>
      <c r="G2521" s="36" t="s">
        <v>28</v>
      </c>
      <c r="H2521" s="36" t="s">
        <v>1655</v>
      </c>
      <c r="I2521" s="36" t="s">
        <v>1656</v>
      </c>
      <c r="J2521" s="36" t="s">
        <v>1656</v>
      </c>
      <c r="K2521" s="36" t="s">
        <v>2775</v>
      </c>
      <c r="L2521" s="36" t="s">
        <v>5325</v>
      </c>
      <c r="M2521" s="36" t="s">
        <v>5325</v>
      </c>
      <c r="N2521" s="36" t="s">
        <v>32</v>
      </c>
    </row>
    <row r="2522">
      <c r="A2522" s="36" t="s">
        <v>6030</v>
      </c>
      <c r="B2522" s="154" t="s">
        <v>6031</v>
      </c>
      <c r="C2522" s="36" t="s">
        <v>1666</v>
      </c>
      <c r="D2522" s="36" t="s">
        <v>305</v>
      </c>
      <c r="E2522" s="36" t="s">
        <v>305</v>
      </c>
      <c r="F2522" s="154" t="s">
        <v>1816</v>
      </c>
      <c r="G2522" s="36" t="s">
        <v>32</v>
      </c>
      <c r="H2522" s="36" t="s">
        <v>1655</v>
      </c>
      <c r="I2522" s="36" t="s">
        <v>1656</v>
      </c>
      <c r="J2522" s="36" t="s">
        <v>1656</v>
      </c>
      <c r="K2522" s="36" t="s">
        <v>1672</v>
      </c>
      <c r="L2522" s="36" t="s">
        <v>5325</v>
      </c>
      <c r="M2522" s="36" t="s">
        <v>5325</v>
      </c>
      <c r="N2522" s="36" t="s">
        <v>32</v>
      </c>
    </row>
    <row r="2523">
      <c r="A2523" s="36" t="s">
        <v>6032</v>
      </c>
      <c r="B2523" s="154" t="s">
        <v>6033</v>
      </c>
      <c r="C2523" s="36" t="s">
        <v>1653</v>
      </c>
      <c r="D2523" s="36" t="s">
        <v>705</v>
      </c>
      <c r="E2523" s="36" t="s">
        <v>39</v>
      </c>
      <c r="F2523" s="154" t="s">
        <v>6034</v>
      </c>
      <c r="G2523" s="36" t="s">
        <v>32</v>
      </c>
      <c r="H2523" s="36" t="s">
        <v>1655</v>
      </c>
      <c r="I2523" s="36" t="s">
        <v>1656</v>
      </c>
      <c r="J2523" s="36" t="s">
        <v>1656</v>
      </c>
      <c r="K2523" s="36" t="s">
        <v>1978</v>
      </c>
      <c r="L2523" s="36" t="s">
        <v>5321</v>
      </c>
      <c r="M2523" s="36" t="s">
        <v>5321</v>
      </c>
      <c r="N2523" s="36" t="s">
        <v>32</v>
      </c>
    </row>
    <row r="2524">
      <c r="A2524" s="36" t="s">
        <v>6035</v>
      </c>
      <c r="B2524" s="154" t="s">
        <v>6033</v>
      </c>
      <c r="C2524" s="36" t="s">
        <v>1666</v>
      </c>
      <c r="D2524" s="36" t="s">
        <v>78</v>
      </c>
      <c r="E2524" s="36" t="s">
        <v>78</v>
      </c>
      <c r="F2524" s="154" t="s">
        <v>2325</v>
      </c>
      <c r="G2524" s="36" t="s">
        <v>28</v>
      </c>
      <c r="H2524" s="36" t="s">
        <v>1655</v>
      </c>
      <c r="I2524" s="36" t="s">
        <v>1656</v>
      </c>
      <c r="J2524" s="36" t="s">
        <v>1656</v>
      </c>
      <c r="K2524" s="36" t="s">
        <v>4248</v>
      </c>
      <c r="L2524" s="36" t="s">
        <v>5325</v>
      </c>
      <c r="M2524" s="36" t="s">
        <v>5325</v>
      </c>
      <c r="N2524" s="36" t="s">
        <v>32</v>
      </c>
    </row>
    <row r="2525">
      <c r="A2525" s="36" t="s">
        <v>6036</v>
      </c>
      <c r="B2525" s="154" t="s">
        <v>6037</v>
      </c>
      <c r="C2525" s="36" t="s">
        <v>1666</v>
      </c>
      <c r="D2525" s="36" t="s">
        <v>63</v>
      </c>
      <c r="E2525" s="36" t="s">
        <v>63</v>
      </c>
      <c r="F2525" s="154" t="s">
        <v>6038</v>
      </c>
      <c r="G2525" s="36" t="s">
        <v>28</v>
      </c>
      <c r="H2525" s="36" t="s">
        <v>1655</v>
      </c>
      <c r="I2525" s="36" t="s">
        <v>1656</v>
      </c>
      <c r="J2525" s="36" t="s">
        <v>1656</v>
      </c>
      <c r="K2525" s="36" t="s">
        <v>4196</v>
      </c>
      <c r="L2525" s="36" t="s">
        <v>5325</v>
      </c>
      <c r="M2525" s="36" t="s">
        <v>5325</v>
      </c>
      <c r="N2525" s="36" t="s">
        <v>34</v>
      </c>
    </row>
    <row r="2526">
      <c r="A2526" s="36" t="s">
        <v>6039</v>
      </c>
      <c r="B2526" s="154" t="s">
        <v>6037</v>
      </c>
      <c r="C2526" s="36" t="s">
        <v>1666</v>
      </c>
      <c r="D2526" s="36" t="s">
        <v>729</v>
      </c>
      <c r="E2526" s="36" t="s">
        <v>729</v>
      </c>
      <c r="F2526" s="154" t="s">
        <v>3800</v>
      </c>
      <c r="G2526" s="36" t="s">
        <v>32</v>
      </c>
      <c r="H2526" s="36" t="s">
        <v>1655</v>
      </c>
      <c r="I2526" s="36" t="s">
        <v>1656</v>
      </c>
      <c r="J2526" s="36" t="s">
        <v>1656</v>
      </c>
      <c r="K2526" s="36" t="s">
        <v>1675</v>
      </c>
      <c r="L2526" s="36" t="s">
        <v>5325</v>
      </c>
      <c r="M2526" s="36" t="s">
        <v>5325</v>
      </c>
      <c r="N2526" s="36" t="s">
        <v>32</v>
      </c>
    </row>
    <row r="2527">
      <c r="A2527" s="36" t="s">
        <v>6040</v>
      </c>
      <c r="B2527" s="154" t="s">
        <v>6037</v>
      </c>
      <c r="C2527" s="36" t="s">
        <v>1666</v>
      </c>
      <c r="D2527" s="36" t="s">
        <v>109</v>
      </c>
      <c r="E2527" s="36" t="s">
        <v>109</v>
      </c>
      <c r="F2527" s="154" t="s">
        <v>6041</v>
      </c>
      <c r="G2527" s="36" t="s">
        <v>28</v>
      </c>
      <c r="H2527" s="36" t="s">
        <v>1655</v>
      </c>
      <c r="I2527" s="36" t="s">
        <v>1656</v>
      </c>
      <c r="J2527" s="36" t="s">
        <v>1656</v>
      </c>
      <c r="K2527" s="36" t="s">
        <v>1678</v>
      </c>
      <c r="L2527" s="36" t="s">
        <v>5325</v>
      </c>
      <c r="M2527" s="36" t="s">
        <v>5325</v>
      </c>
      <c r="N2527" s="36" t="s">
        <v>32</v>
      </c>
    </row>
    <row r="2528">
      <c r="A2528" s="36" t="s">
        <v>6042</v>
      </c>
      <c r="B2528" s="154" t="s">
        <v>6043</v>
      </c>
      <c r="C2528" s="36" t="s">
        <v>1666</v>
      </c>
      <c r="D2528" s="36" t="s">
        <v>64</v>
      </c>
      <c r="E2528" s="36" t="s">
        <v>64</v>
      </c>
      <c r="F2528" s="154" t="s">
        <v>3867</v>
      </c>
      <c r="G2528" s="36" t="s">
        <v>28</v>
      </c>
      <c r="H2528" s="36" t="s">
        <v>1655</v>
      </c>
      <c r="I2528" s="36" t="s">
        <v>1656</v>
      </c>
      <c r="J2528" s="36" t="s">
        <v>1656</v>
      </c>
      <c r="K2528" s="36" t="s">
        <v>1708</v>
      </c>
      <c r="L2528" s="36" t="s">
        <v>5325</v>
      </c>
      <c r="M2528" s="36" t="s">
        <v>5325</v>
      </c>
      <c r="N2528" s="36" t="s">
        <v>32</v>
      </c>
    </row>
    <row r="2529">
      <c r="A2529" s="36" t="s">
        <v>6044</v>
      </c>
      <c r="B2529" s="154" t="s">
        <v>6045</v>
      </c>
      <c r="C2529" s="36" t="s">
        <v>1653</v>
      </c>
      <c r="D2529" s="36" t="s">
        <v>709</v>
      </c>
      <c r="E2529" s="36" t="s">
        <v>39</v>
      </c>
      <c r="F2529" s="154" t="s">
        <v>6046</v>
      </c>
      <c r="G2529" s="36" t="s">
        <v>32</v>
      </c>
      <c r="H2529" s="36" t="s">
        <v>1655</v>
      </c>
      <c r="I2529" s="36" t="s">
        <v>1656</v>
      </c>
      <c r="J2529" s="36" t="s">
        <v>1656</v>
      </c>
      <c r="K2529" s="36" t="s">
        <v>2848</v>
      </c>
      <c r="L2529" s="36" t="s">
        <v>5321</v>
      </c>
      <c r="M2529" s="36" t="s">
        <v>5321</v>
      </c>
      <c r="N2529" s="36" t="s">
        <v>32</v>
      </c>
    </row>
    <row r="2530">
      <c r="A2530" s="36" t="s">
        <v>6047</v>
      </c>
      <c r="B2530" s="154" t="s">
        <v>6045</v>
      </c>
      <c r="C2530" s="36" t="s">
        <v>1666</v>
      </c>
      <c r="D2530" s="36" t="s">
        <v>235</v>
      </c>
      <c r="E2530" s="36" t="s">
        <v>235</v>
      </c>
      <c r="F2530" s="154" t="s">
        <v>1729</v>
      </c>
      <c r="G2530" s="36" t="s">
        <v>28</v>
      </c>
      <c r="H2530" s="36" t="s">
        <v>1655</v>
      </c>
      <c r="I2530" s="36" t="s">
        <v>1656</v>
      </c>
      <c r="J2530" s="36" t="s">
        <v>1656</v>
      </c>
      <c r="K2530" s="36" t="s">
        <v>1681</v>
      </c>
      <c r="L2530" s="36" t="s">
        <v>5325</v>
      </c>
      <c r="M2530" s="36" t="s">
        <v>5325</v>
      </c>
      <c r="N2530" s="36" t="s">
        <v>32</v>
      </c>
    </row>
    <row r="2531">
      <c r="A2531" s="36" t="s">
        <v>6048</v>
      </c>
      <c r="B2531" s="154" t="s">
        <v>6045</v>
      </c>
      <c r="C2531" s="36" t="s">
        <v>1666</v>
      </c>
      <c r="D2531" s="36" t="s">
        <v>218</v>
      </c>
      <c r="E2531" s="36" t="s">
        <v>218</v>
      </c>
      <c r="F2531" s="154" t="s">
        <v>1686</v>
      </c>
      <c r="G2531" s="36" t="s">
        <v>32</v>
      </c>
      <c r="H2531" s="36" t="s">
        <v>1655</v>
      </c>
      <c r="I2531" s="36" t="s">
        <v>1656</v>
      </c>
      <c r="J2531" s="36" t="s">
        <v>1656</v>
      </c>
      <c r="K2531" s="36" t="s">
        <v>1684</v>
      </c>
      <c r="L2531" s="36" t="s">
        <v>5325</v>
      </c>
      <c r="M2531" s="36" t="s">
        <v>5325</v>
      </c>
      <c r="N2531" s="36" t="s">
        <v>32</v>
      </c>
    </row>
    <row r="2532">
      <c r="A2532" s="36" t="s">
        <v>6049</v>
      </c>
      <c r="B2532" s="154" t="s">
        <v>6050</v>
      </c>
      <c r="C2532" s="36" t="s">
        <v>1666</v>
      </c>
      <c r="D2532" s="36" t="s">
        <v>66</v>
      </c>
      <c r="E2532" s="36" t="s">
        <v>66</v>
      </c>
      <c r="F2532" s="154" t="s">
        <v>6051</v>
      </c>
      <c r="G2532" s="36" t="s">
        <v>28</v>
      </c>
      <c r="H2532" s="36" t="s">
        <v>1655</v>
      </c>
      <c r="I2532" s="36" t="s">
        <v>1656</v>
      </c>
      <c r="J2532" s="36" t="s">
        <v>1656</v>
      </c>
      <c r="K2532" s="36" t="s">
        <v>1721</v>
      </c>
      <c r="L2532" s="36" t="s">
        <v>5325</v>
      </c>
      <c r="M2532" s="36" t="s">
        <v>5325</v>
      </c>
      <c r="N2532" s="36" t="s">
        <v>32</v>
      </c>
    </row>
    <row r="2533">
      <c r="A2533" s="36" t="s">
        <v>6052</v>
      </c>
      <c r="B2533" s="154" t="s">
        <v>6053</v>
      </c>
      <c r="C2533" s="36" t="s">
        <v>1653</v>
      </c>
      <c r="D2533" s="36" t="s">
        <v>55</v>
      </c>
      <c r="E2533" s="36" t="s">
        <v>39</v>
      </c>
      <c r="F2533" s="154" t="s">
        <v>6054</v>
      </c>
      <c r="G2533" s="36" t="s">
        <v>32</v>
      </c>
      <c r="H2533" s="36" t="s">
        <v>1655</v>
      </c>
      <c r="I2533" s="36" t="s">
        <v>1656</v>
      </c>
      <c r="J2533" s="36" t="s">
        <v>1656</v>
      </c>
      <c r="K2533" s="36" t="s">
        <v>1989</v>
      </c>
      <c r="L2533" s="36" t="s">
        <v>5321</v>
      </c>
      <c r="M2533" s="36" t="s">
        <v>5321</v>
      </c>
      <c r="N2533" s="36" t="s">
        <v>32</v>
      </c>
    </row>
    <row r="2534">
      <c r="A2534" s="36" t="s">
        <v>6055</v>
      </c>
      <c r="B2534" s="154" t="s">
        <v>6053</v>
      </c>
      <c r="C2534" s="36" t="s">
        <v>1666</v>
      </c>
      <c r="D2534" s="36" t="s">
        <v>71</v>
      </c>
      <c r="E2534" s="36" t="s">
        <v>71</v>
      </c>
      <c r="F2534" s="154" t="s">
        <v>5555</v>
      </c>
      <c r="G2534" s="36" t="s">
        <v>32</v>
      </c>
      <c r="H2534" s="36" t="s">
        <v>1655</v>
      </c>
      <c r="I2534" s="36" t="s">
        <v>1656</v>
      </c>
      <c r="J2534" s="36" t="s">
        <v>1656</v>
      </c>
      <c r="K2534" s="36" t="s">
        <v>1752</v>
      </c>
      <c r="L2534" s="36" t="s">
        <v>5325</v>
      </c>
      <c r="M2534" s="36" t="s">
        <v>5325</v>
      </c>
      <c r="N2534" s="36" t="s">
        <v>32</v>
      </c>
    </row>
    <row r="2535">
      <c r="A2535" s="36" t="s">
        <v>6056</v>
      </c>
      <c r="B2535" s="154" t="s">
        <v>6053</v>
      </c>
      <c r="C2535" s="36" t="s">
        <v>1666</v>
      </c>
      <c r="D2535" s="36" t="s">
        <v>73</v>
      </c>
      <c r="E2535" s="36" t="s">
        <v>73</v>
      </c>
      <c r="F2535" s="154" t="s">
        <v>5557</v>
      </c>
      <c r="G2535" s="36" t="s">
        <v>28</v>
      </c>
      <c r="H2535" s="36" t="s">
        <v>1655</v>
      </c>
      <c r="I2535" s="36" t="s">
        <v>1656</v>
      </c>
      <c r="J2535" s="36" t="s">
        <v>1656</v>
      </c>
      <c r="K2535" s="36" t="s">
        <v>1755</v>
      </c>
      <c r="L2535" s="36" t="s">
        <v>5325</v>
      </c>
      <c r="M2535" s="36" t="s">
        <v>5325</v>
      </c>
      <c r="N2535" s="36" t="s">
        <v>32</v>
      </c>
    </row>
    <row r="2536">
      <c r="A2536" s="36" t="s">
        <v>6057</v>
      </c>
      <c r="B2536" s="154" t="s">
        <v>6053</v>
      </c>
      <c r="C2536" s="36" t="s">
        <v>1666</v>
      </c>
      <c r="D2536" s="36" t="s">
        <v>74</v>
      </c>
      <c r="E2536" s="36" t="s">
        <v>74</v>
      </c>
      <c r="F2536" s="154" t="s">
        <v>5559</v>
      </c>
      <c r="G2536" s="36" t="s">
        <v>32</v>
      </c>
      <c r="H2536" s="36" t="s">
        <v>1655</v>
      </c>
      <c r="I2536" s="36" t="s">
        <v>1656</v>
      </c>
      <c r="J2536" s="36" t="s">
        <v>1656</v>
      </c>
      <c r="K2536" s="36" t="s">
        <v>1757</v>
      </c>
      <c r="L2536" s="36" t="s">
        <v>5325</v>
      </c>
      <c r="M2536" s="36" t="s">
        <v>5325</v>
      </c>
      <c r="N2536" s="36" t="s">
        <v>32</v>
      </c>
    </row>
    <row r="2537">
      <c r="A2537" s="36" t="s">
        <v>6058</v>
      </c>
      <c r="B2537" s="154" t="s">
        <v>6053</v>
      </c>
      <c r="C2537" s="36" t="s">
        <v>1666</v>
      </c>
      <c r="D2537" s="36" t="s">
        <v>75</v>
      </c>
      <c r="E2537" s="36" t="s">
        <v>75</v>
      </c>
      <c r="F2537" s="154" t="s">
        <v>5561</v>
      </c>
      <c r="G2537" s="36" t="s">
        <v>28</v>
      </c>
      <c r="H2537" s="36" t="s">
        <v>1655</v>
      </c>
      <c r="I2537" s="36" t="s">
        <v>1656</v>
      </c>
      <c r="J2537" s="36" t="s">
        <v>1656</v>
      </c>
      <c r="K2537" s="36" t="s">
        <v>1760</v>
      </c>
      <c r="L2537" s="36" t="s">
        <v>5325</v>
      </c>
      <c r="M2537" s="36" t="s">
        <v>5325</v>
      </c>
      <c r="N2537" s="36" t="s">
        <v>32</v>
      </c>
    </row>
    <row r="2538">
      <c r="A2538" s="36" t="s">
        <v>6059</v>
      </c>
      <c r="B2538" s="154" t="s">
        <v>6053</v>
      </c>
      <c r="C2538" s="36" t="s">
        <v>1666</v>
      </c>
      <c r="D2538" s="36" t="s">
        <v>76</v>
      </c>
      <c r="E2538" s="36" t="s">
        <v>76</v>
      </c>
      <c r="F2538" s="154" t="s">
        <v>6060</v>
      </c>
      <c r="G2538" s="36" t="s">
        <v>28</v>
      </c>
      <c r="H2538" s="36" t="s">
        <v>1655</v>
      </c>
      <c r="I2538" s="36" t="s">
        <v>1656</v>
      </c>
      <c r="J2538" s="36" t="s">
        <v>1656</v>
      </c>
      <c r="K2538" s="36" t="s">
        <v>1763</v>
      </c>
      <c r="L2538" s="36" t="s">
        <v>5325</v>
      </c>
      <c r="M2538" s="36" t="s">
        <v>5325</v>
      </c>
      <c r="N2538" s="36" t="s">
        <v>32</v>
      </c>
    </row>
    <row r="2539">
      <c r="A2539" s="36" t="s">
        <v>6061</v>
      </c>
      <c r="B2539" s="154" t="s">
        <v>6053</v>
      </c>
      <c r="C2539" s="36" t="s">
        <v>1666</v>
      </c>
      <c r="D2539" s="36" t="s">
        <v>77</v>
      </c>
      <c r="E2539" s="36" t="s">
        <v>77</v>
      </c>
      <c r="F2539" s="154" t="s">
        <v>1768</v>
      </c>
      <c r="G2539" s="36" t="s">
        <v>34</v>
      </c>
      <c r="H2539" s="36" t="s">
        <v>1655</v>
      </c>
      <c r="I2539" s="36" t="s">
        <v>1656</v>
      </c>
      <c r="J2539" s="36" t="s">
        <v>1656</v>
      </c>
      <c r="K2539" s="36" t="s">
        <v>1766</v>
      </c>
      <c r="L2539" s="36" t="s">
        <v>5325</v>
      </c>
      <c r="M2539" s="36" t="s">
        <v>5325</v>
      </c>
      <c r="N2539" s="36" t="s">
        <v>32</v>
      </c>
    </row>
    <row r="2540">
      <c r="A2540" s="36" t="s">
        <v>6062</v>
      </c>
      <c r="B2540" s="154" t="s">
        <v>6053</v>
      </c>
      <c r="C2540" s="36" t="s">
        <v>1666</v>
      </c>
      <c r="D2540" s="36" t="s">
        <v>226</v>
      </c>
      <c r="E2540" s="36" t="s">
        <v>226</v>
      </c>
      <c r="F2540" s="154" t="s">
        <v>6063</v>
      </c>
      <c r="G2540" s="36" t="s">
        <v>32</v>
      </c>
      <c r="H2540" s="36" t="s">
        <v>1655</v>
      </c>
      <c r="I2540" s="36" t="s">
        <v>1656</v>
      </c>
      <c r="J2540" s="36" t="s">
        <v>1656</v>
      </c>
      <c r="K2540" s="36" t="s">
        <v>1691</v>
      </c>
      <c r="L2540" s="36" t="s">
        <v>5325</v>
      </c>
      <c r="M2540" s="36" t="s">
        <v>5325</v>
      </c>
      <c r="N2540" s="36" t="s">
        <v>32</v>
      </c>
    </row>
    <row r="2541">
      <c r="A2541" s="36" t="s">
        <v>6064</v>
      </c>
      <c r="B2541" s="154" t="s">
        <v>6053</v>
      </c>
      <c r="C2541" s="36" t="s">
        <v>1666</v>
      </c>
      <c r="D2541" s="36" t="s">
        <v>281</v>
      </c>
      <c r="E2541" s="36" t="s">
        <v>281</v>
      </c>
      <c r="F2541" s="154" t="s">
        <v>6065</v>
      </c>
      <c r="G2541" s="36" t="s">
        <v>34</v>
      </c>
      <c r="H2541" s="36" t="s">
        <v>1655</v>
      </c>
      <c r="I2541" s="36" t="s">
        <v>1656</v>
      </c>
      <c r="J2541" s="36" t="s">
        <v>1656</v>
      </c>
      <c r="K2541" s="36" t="s">
        <v>1695</v>
      </c>
      <c r="L2541" s="36" t="s">
        <v>5325</v>
      </c>
      <c r="M2541" s="36" t="s">
        <v>5325</v>
      </c>
      <c r="N2541" s="36" t="s">
        <v>32</v>
      </c>
    </row>
    <row r="2542">
      <c r="A2542" s="36" t="s">
        <v>6066</v>
      </c>
      <c r="B2542" s="154" t="s">
        <v>6053</v>
      </c>
      <c r="C2542" s="36" t="s">
        <v>1666</v>
      </c>
      <c r="D2542" s="36" t="s">
        <v>220</v>
      </c>
      <c r="E2542" s="36" t="s">
        <v>220</v>
      </c>
      <c r="F2542" s="154" t="s">
        <v>6067</v>
      </c>
      <c r="G2542" s="36" t="s">
        <v>28</v>
      </c>
      <c r="H2542" s="36" t="s">
        <v>1655</v>
      </c>
      <c r="I2542" s="36" t="s">
        <v>1656</v>
      </c>
      <c r="J2542" s="36" t="s">
        <v>1656</v>
      </c>
      <c r="K2542" s="36" t="s">
        <v>1698</v>
      </c>
      <c r="L2542" s="36" t="s">
        <v>5325</v>
      </c>
      <c r="M2542" s="36" t="s">
        <v>5325</v>
      </c>
      <c r="N2542" s="36" t="s">
        <v>32</v>
      </c>
    </row>
    <row r="2543">
      <c r="A2543" s="36" t="s">
        <v>6068</v>
      </c>
      <c r="B2543" s="154" t="s">
        <v>6053</v>
      </c>
      <c r="C2543" s="36" t="s">
        <v>1666</v>
      </c>
      <c r="D2543" s="36" t="s">
        <v>737</v>
      </c>
      <c r="E2543" s="36" t="s">
        <v>737</v>
      </c>
      <c r="F2543" s="154" t="s">
        <v>1810</v>
      </c>
      <c r="G2543" s="36" t="s">
        <v>28</v>
      </c>
      <c r="H2543" s="36" t="s">
        <v>1655</v>
      </c>
      <c r="I2543" s="36" t="s">
        <v>1656</v>
      </c>
      <c r="J2543" s="36" t="s">
        <v>1656</v>
      </c>
      <c r="K2543" s="36" t="s">
        <v>1701</v>
      </c>
      <c r="L2543" s="36" t="s">
        <v>5325</v>
      </c>
      <c r="M2543" s="36" t="s">
        <v>5325</v>
      </c>
      <c r="N2543" s="36" t="s">
        <v>32</v>
      </c>
    </row>
    <row r="2544">
      <c r="A2544" s="36" t="s">
        <v>6069</v>
      </c>
      <c r="B2544" s="154" t="s">
        <v>6053</v>
      </c>
      <c r="C2544" s="36" t="s">
        <v>1666</v>
      </c>
      <c r="D2544" s="36" t="s">
        <v>766</v>
      </c>
      <c r="E2544" s="36" t="s">
        <v>766</v>
      </c>
      <c r="F2544" s="154" t="s">
        <v>6070</v>
      </c>
      <c r="G2544" s="36" t="s">
        <v>32</v>
      </c>
      <c r="H2544" s="36" t="s">
        <v>1655</v>
      </c>
      <c r="I2544" s="36" t="s">
        <v>1656</v>
      </c>
      <c r="J2544" s="36" t="s">
        <v>1656</v>
      </c>
      <c r="K2544" s="36" t="s">
        <v>1704</v>
      </c>
      <c r="L2544" s="36" t="s">
        <v>5325</v>
      </c>
      <c r="M2544" s="36" t="s">
        <v>5325</v>
      </c>
      <c r="N2544" s="36" t="s">
        <v>32</v>
      </c>
    </row>
    <row r="2545">
      <c r="A2545" s="36" t="s">
        <v>6071</v>
      </c>
      <c r="B2545" s="154" t="s">
        <v>6053</v>
      </c>
      <c r="C2545" s="36" t="s">
        <v>1666</v>
      </c>
      <c r="D2545" s="36" t="s">
        <v>115</v>
      </c>
      <c r="E2545" s="36" t="s">
        <v>115</v>
      </c>
      <c r="F2545" s="154" t="s">
        <v>1683</v>
      </c>
      <c r="G2545" s="36" t="s">
        <v>32</v>
      </c>
      <c r="H2545" s="36" t="s">
        <v>1655</v>
      </c>
      <c r="I2545" s="36" t="s">
        <v>1656</v>
      </c>
      <c r="J2545" s="36" t="s">
        <v>1656</v>
      </c>
      <c r="K2545" s="36" t="s">
        <v>1711</v>
      </c>
      <c r="L2545" s="36" t="s">
        <v>5325</v>
      </c>
      <c r="M2545" s="36" t="s">
        <v>5325</v>
      </c>
      <c r="N2545" s="36" t="s">
        <v>32</v>
      </c>
    </row>
    <row r="2546">
      <c r="A2546" s="36" t="s">
        <v>6072</v>
      </c>
      <c r="B2546" s="154" t="s">
        <v>6053</v>
      </c>
      <c r="C2546" s="36" t="s">
        <v>1666</v>
      </c>
      <c r="D2546" s="36" t="s">
        <v>114</v>
      </c>
      <c r="E2546" s="36" t="s">
        <v>114</v>
      </c>
      <c r="F2546" s="154" t="s">
        <v>6073</v>
      </c>
      <c r="G2546" s="36" t="s">
        <v>32</v>
      </c>
      <c r="H2546" s="36" t="s">
        <v>1655</v>
      </c>
      <c r="I2546" s="36" t="s">
        <v>1656</v>
      </c>
      <c r="J2546" s="36" t="s">
        <v>1656</v>
      </c>
      <c r="K2546" s="36" t="s">
        <v>1715</v>
      </c>
      <c r="L2546" s="36" t="s">
        <v>5325</v>
      </c>
      <c r="M2546" s="36" t="s">
        <v>5325</v>
      </c>
      <c r="N2546" s="36" t="s">
        <v>32</v>
      </c>
    </row>
    <row r="2547">
      <c r="A2547" s="36" t="s">
        <v>6074</v>
      </c>
      <c r="B2547" s="154" t="s">
        <v>6053</v>
      </c>
      <c r="C2547" s="36" t="s">
        <v>1666</v>
      </c>
      <c r="D2547" s="36" t="s">
        <v>775</v>
      </c>
      <c r="E2547" s="36" t="s">
        <v>775</v>
      </c>
      <c r="F2547" s="154" t="s">
        <v>5678</v>
      </c>
      <c r="G2547" s="36" t="s">
        <v>32</v>
      </c>
      <c r="H2547" s="36" t="s">
        <v>1655</v>
      </c>
      <c r="I2547" s="36" t="s">
        <v>1656</v>
      </c>
      <c r="J2547" s="36" t="s">
        <v>1656</v>
      </c>
      <c r="K2547" s="36" t="s">
        <v>1717</v>
      </c>
      <c r="L2547" s="36" t="s">
        <v>5325</v>
      </c>
      <c r="M2547" s="36" t="s">
        <v>5325</v>
      </c>
      <c r="N2547" s="36" t="s">
        <v>32</v>
      </c>
    </row>
    <row r="2548">
      <c r="A2548" s="36" t="s">
        <v>6075</v>
      </c>
      <c r="B2548" s="154" t="s">
        <v>6076</v>
      </c>
      <c r="C2548" s="36" t="s">
        <v>1666</v>
      </c>
      <c r="D2548" s="36" t="s">
        <v>310</v>
      </c>
      <c r="E2548" s="36" t="s">
        <v>310</v>
      </c>
      <c r="F2548" s="154" t="s">
        <v>1768</v>
      </c>
      <c r="G2548" s="36" t="s">
        <v>28</v>
      </c>
      <c r="H2548" s="36" t="s">
        <v>1655</v>
      </c>
      <c r="I2548" s="36" t="s">
        <v>1656</v>
      </c>
      <c r="J2548" s="36" t="s">
        <v>1656</v>
      </c>
      <c r="K2548" s="36" t="s">
        <v>1724</v>
      </c>
      <c r="L2548" s="36" t="s">
        <v>5325</v>
      </c>
      <c r="M2548" s="36" t="s">
        <v>5325</v>
      </c>
      <c r="N2548" s="36" t="s">
        <v>34</v>
      </c>
    </row>
    <row r="2549">
      <c r="A2549" s="36" t="s">
        <v>6077</v>
      </c>
      <c r="B2549" s="154" t="s">
        <v>6076</v>
      </c>
      <c r="C2549" s="36" t="s">
        <v>1666</v>
      </c>
      <c r="D2549" s="36" t="s">
        <v>110</v>
      </c>
      <c r="E2549" s="36" t="s">
        <v>110</v>
      </c>
      <c r="F2549" s="154" t="s">
        <v>1816</v>
      </c>
      <c r="G2549" s="36" t="s">
        <v>28</v>
      </c>
      <c r="H2549" s="36" t="s">
        <v>1655</v>
      </c>
      <c r="I2549" s="36" t="s">
        <v>1656</v>
      </c>
      <c r="J2549" s="36" t="s">
        <v>1656</v>
      </c>
      <c r="K2549" s="36" t="s">
        <v>1727</v>
      </c>
      <c r="L2549" s="36" t="s">
        <v>5325</v>
      </c>
      <c r="M2549" s="36" t="s">
        <v>5325</v>
      </c>
      <c r="N2549" s="36" t="s">
        <v>34</v>
      </c>
    </row>
    <row r="2550">
      <c r="A2550" s="36" t="s">
        <v>6078</v>
      </c>
      <c r="B2550" s="154" t="s">
        <v>6076</v>
      </c>
      <c r="C2550" s="36" t="s">
        <v>1666</v>
      </c>
      <c r="D2550" s="36" t="s">
        <v>787</v>
      </c>
      <c r="E2550" s="36" t="s">
        <v>787</v>
      </c>
      <c r="F2550" s="154" t="s">
        <v>1868</v>
      </c>
      <c r="G2550" s="36" t="s">
        <v>28</v>
      </c>
      <c r="H2550" s="36" t="s">
        <v>1655</v>
      </c>
      <c r="I2550" s="36" t="s">
        <v>1656</v>
      </c>
      <c r="J2550" s="36" t="s">
        <v>1656</v>
      </c>
      <c r="K2550" s="36" t="s">
        <v>1730</v>
      </c>
      <c r="L2550" s="36" t="s">
        <v>5325</v>
      </c>
      <c r="M2550" s="36" t="s">
        <v>5325</v>
      </c>
      <c r="N2550" s="36" t="s">
        <v>34</v>
      </c>
    </row>
    <row r="2551">
      <c r="A2551" s="36" t="s">
        <v>6079</v>
      </c>
      <c r="B2551" s="154" t="s">
        <v>6080</v>
      </c>
      <c r="C2551" s="36" t="s">
        <v>1666</v>
      </c>
      <c r="D2551" s="36" t="s">
        <v>475</v>
      </c>
      <c r="E2551" s="36" t="s">
        <v>475</v>
      </c>
      <c r="F2551" s="154" t="s">
        <v>6081</v>
      </c>
      <c r="G2551" s="36" t="s">
        <v>32</v>
      </c>
      <c r="H2551" s="36" t="s">
        <v>1655</v>
      </c>
      <c r="I2551" s="36" t="s">
        <v>1656</v>
      </c>
      <c r="J2551" s="36" t="s">
        <v>1656</v>
      </c>
      <c r="K2551" s="36" t="s">
        <v>1732</v>
      </c>
      <c r="L2551" s="36" t="s">
        <v>5325</v>
      </c>
      <c r="M2551" s="36" t="s">
        <v>5325</v>
      </c>
      <c r="N2551" s="36" t="s">
        <v>34</v>
      </c>
    </row>
    <row r="2552">
      <c r="A2552" s="36" t="s">
        <v>6082</v>
      </c>
      <c r="B2552" s="154" t="s">
        <v>6083</v>
      </c>
      <c r="C2552" s="36" t="s">
        <v>1666</v>
      </c>
      <c r="D2552" s="36" t="s">
        <v>299</v>
      </c>
      <c r="E2552" s="36" t="s">
        <v>299</v>
      </c>
      <c r="F2552" s="154" t="s">
        <v>2217</v>
      </c>
      <c r="G2552" s="36" t="s">
        <v>28</v>
      </c>
      <c r="H2552" s="36" t="s">
        <v>1655</v>
      </c>
      <c r="I2552" s="36" t="s">
        <v>1656</v>
      </c>
      <c r="J2552" s="36" t="s">
        <v>1656</v>
      </c>
      <c r="K2552" s="36" t="s">
        <v>1736</v>
      </c>
      <c r="L2552" s="36" t="s">
        <v>5325</v>
      </c>
      <c r="M2552" s="36" t="s">
        <v>5325</v>
      </c>
      <c r="N2552" s="36" t="s">
        <v>34</v>
      </c>
    </row>
    <row r="2553">
      <c r="A2553" s="36" t="s">
        <v>6084</v>
      </c>
      <c r="B2553" s="154" t="s">
        <v>6085</v>
      </c>
      <c r="C2553" s="36" t="s">
        <v>1666</v>
      </c>
      <c r="D2553" s="36" t="s">
        <v>381</v>
      </c>
      <c r="E2553" s="36" t="s">
        <v>381</v>
      </c>
      <c r="F2553" s="154" t="s">
        <v>1959</v>
      </c>
      <c r="G2553" s="36" t="s">
        <v>28</v>
      </c>
      <c r="H2553" s="36" t="s">
        <v>1655</v>
      </c>
      <c r="I2553" s="36" t="s">
        <v>1656</v>
      </c>
      <c r="J2553" s="36" t="s">
        <v>1656</v>
      </c>
      <c r="K2553" s="36" t="s">
        <v>1739</v>
      </c>
      <c r="L2553" s="36" t="s">
        <v>5325</v>
      </c>
      <c r="M2553" s="36" t="s">
        <v>5325</v>
      </c>
      <c r="N2553" s="36" t="s">
        <v>34</v>
      </c>
    </row>
    <row r="2554">
      <c r="A2554" s="36" t="s">
        <v>6086</v>
      </c>
      <c r="B2554" s="154" t="s">
        <v>6085</v>
      </c>
      <c r="C2554" s="36" t="s">
        <v>1666</v>
      </c>
      <c r="D2554" s="36" t="s">
        <v>805</v>
      </c>
      <c r="E2554" s="36" t="s">
        <v>805</v>
      </c>
      <c r="F2554" s="154" t="s">
        <v>1816</v>
      </c>
      <c r="G2554" s="36" t="s">
        <v>28</v>
      </c>
      <c r="H2554" s="36" t="s">
        <v>1655</v>
      </c>
      <c r="I2554" s="36" t="s">
        <v>1656</v>
      </c>
      <c r="J2554" s="36" t="s">
        <v>1656</v>
      </c>
      <c r="K2554" s="36" t="s">
        <v>1742</v>
      </c>
      <c r="L2554" s="36" t="s">
        <v>5325</v>
      </c>
      <c r="M2554" s="36" t="s">
        <v>5325</v>
      </c>
      <c r="N2554" s="36" t="s">
        <v>34</v>
      </c>
    </row>
    <row r="2555">
      <c r="A2555" s="36" t="s">
        <v>6087</v>
      </c>
      <c r="B2555" s="154" t="s">
        <v>6088</v>
      </c>
      <c r="C2555" s="36" t="s">
        <v>1666</v>
      </c>
      <c r="D2555" s="36" t="s">
        <v>737</v>
      </c>
      <c r="E2555" s="36" t="s">
        <v>737</v>
      </c>
      <c r="F2555" s="154" t="s">
        <v>1959</v>
      </c>
      <c r="G2555" s="36" t="s">
        <v>28</v>
      </c>
      <c r="H2555" s="36" t="s">
        <v>1655</v>
      </c>
      <c r="I2555" s="36" t="s">
        <v>1656</v>
      </c>
      <c r="J2555" s="36" t="s">
        <v>1656</v>
      </c>
      <c r="K2555" s="36" t="s">
        <v>1745</v>
      </c>
      <c r="L2555" s="36" t="s">
        <v>5325</v>
      </c>
      <c r="M2555" s="36" t="s">
        <v>5325</v>
      </c>
      <c r="N2555" s="36" t="s">
        <v>34</v>
      </c>
    </row>
    <row r="2556">
      <c r="A2556" s="36" t="s">
        <v>6089</v>
      </c>
      <c r="B2556" s="154" t="s">
        <v>6090</v>
      </c>
      <c r="C2556" s="36" t="s">
        <v>1666</v>
      </c>
      <c r="D2556" s="36" t="s">
        <v>305</v>
      </c>
      <c r="E2556" s="36" t="s">
        <v>305</v>
      </c>
      <c r="F2556" s="154" t="s">
        <v>1816</v>
      </c>
      <c r="G2556" s="36" t="s">
        <v>32</v>
      </c>
      <c r="H2556" s="36" t="s">
        <v>1655</v>
      </c>
      <c r="I2556" s="36" t="s">
        <v>1656</v>
      </c>
      <c r="J2556" s="36" t="s">
        <v>1656</v>
      </c>
      <c r="K2556" s="36" t="s">
        <v>1773</v>
      </c>
      <c r="L2556" s="36" t="s">
        <v>5325</v>
      </c>
      <c r="M2556" s="36" t="s">
        <v>5325</v>
      </c>
      <c r="N2556" s="36" t="s">
        <v>32</v>
      </c>
    </row>
    <row r="2557">
      <c r="A2557" s="36" t="s">
        <v>6091</v>
      </c>
      <c r="B2557" s="154" t="s">
        <v>6090</v>
      </c>
      <c r="C2557" s="36" t="s">
        <v>1666</v>
      </c>
      <c r="D2557" s="36" t="s">
        <v>92</v>
      </c>
      <c r="E2557" s="36" t="s">
        <v>92</v>
      </c>
      <c r="F2557" s="154" t="s">
        <v>1816</v>
      </c>
      <c r="G2557" s="36" t="s">
        <v>32</v>
      </c>
      <c r="H2557" s="36" t="s">
        <v>1655</v>
      </c>
      <c r="I2557" s="36" t="s">
        <v>1656</v>
      </c>
      <c r="J2557" s="36" t="s">
        <v>1656</v>
      </c>
      <c r="K2557" s="36" t="s">
        <v>1776</v>
      </c>
      <c r="L2557" s="36" t="s">
        <v>5325</v>
      </c>
      <c r="M2557" s="36" t="s">
        <v>5325</v>
      </c>
      <c r="N2557" s="36" t="s">
        <v>32</v>
      </c>
    </row>
    <row r="2558">
      <c r="A2558" s="36" t="s">
        <v>6092</v>
      </c>
      <c r="B2558" s="154" t="s">
        <v>6093</v>
      </c>
      <c r="C2558" s="36" t="s">
        <v>1666</v>
      </c>
      <c r="D2558" s="36" t="s">
        <v>79</v>
      </c>
      <c r="E2558" s="36" t="s">
        <v>79</v>
      </c>
      <c r="F2558" s="154" t="s">
        <v>5606</v>
      </c>
      <c r="G2558" s="36" t="s">
        <v>32</v>
      </c>
      <c r="H2558" s="36" t="s">
        <v>1655</v>
      </c>
      <c r="I2558" s="36" t="s">
        <v>1656</v>
      </c>
      <c r="J2558" s="36" t="s">
        <v>1656</v>
      </c>
      <c r="K2558" s="36" t="s">
        <v>1769</v>
      </c>
      <c r="L2558" s="36" t="s">
        <v>5325</v>
      </c>
      <c r="M2558" s="36" t="s">
        <v>5325</v>
      </c>
      <c r="N2558" s="36" t="s">
        <v>32</v>
      </c>
    </row>
    <row r="2559">
      <c r="A2559" s="36" t="s">
        <v>6094</v>
      </c>
      <c r="B2559" s="154" t="s">
        <v>6093</v>
      </c>
      <c r="C2559" s="36" t="s">
        <v>1666</v>
      </c>
      <c r="D2559" s="36" t="s">
        <v>92</v>
      </c>
      <c r="E2559" s="36" t="s">
        <v>92</v>
      </c>
      <c r="F2559" s="154" t="s">
        <v>1729</v>
      </c>
      <c r="G2559" s="36" t="s">
        <v>32</v>
      </c>
      <c r="H2559" s="36" t="s">
        <v>1655</v>
      </c>
      <c r="I2559" s="36" t="s">
        <v>1656</v>
      </c>
      <c r="J2559" s="36" t="s">
        <v>1656</v>
      </c>
      <c r="K2559" s="36" t="s">
        <v>1779</v>
      </c>
      <c r="L2559" s="36" t="s">
        <v>5325</v>
      </c>
      <c r="M2559" s="36" t="s">
        <v>5325</v>
      </c>
      <c r="N2559" s="36" t="s">
        <v>32</v>
      </c>
    </row>
    <row r="2560">
      <c r="A2560" s="36" t="s">
        <v>6095</v>
      </c>
      <c r="B2560" s="154" t="s">
        <v>6096</v>
      </c>
      <c r="C2560" s="36" t="s">
        <v>1666</v>
      </c>
      <c r="D2560" s="36" t="s">
        <v>475</v>
      </c>
      <c r="E2560" s="36" t="s">
        <v>475</v>
      </c>
      <c r="F2560" s="154" t="s">
        <v>6081</v>
      </c>
      <c r="G2560" s="36" t="s">
        <v>32</v>
      </c>
      <c r="H2560" s="36" t="s">
        <v>1655</v>
      </c>
      <c r="I2560" s="36" t="s">
        <v>1656</v>
      </c>
      <c r="J2560" s="36" t="s">
        <v>1656</v>
      </c>
      <c r="K2560" s="36" t="s">
        <v>1782</v>
      </c>
      <c r="L2560" s="36" t="s">
        <v>5325</v>
      </c>
      <c r="M2560" s="36" t="s">
        <v>5325</v>
      </c>
      <c r="N2560" s="36" t="s">
        <v>34</v>
      </c>
    </row>
    <row r="2561">
      <c r="A2561" s="36" t="s">
        <v>6097</v>
      </c>
      <c r="B2561" s="154" t="s">
        <v>6098</v>
      </c>
      <c r="C2561" s="36" t="s">
        <v>1666</v>
      </c>
      <c r="D2561" s="36" t="s">
        <v>826</v>
      </c>
      <c r="E2561" s="36" t="s">
        <v>826</v>
      </c>
      <c r="F2561" s="154" t="s">
        <v>1768</v>
      </c>
      <c r="G2561" s="36" t="s">
        <v>28</v>
      </c>
      <c r="H2561" s="36" t="s">
        <v>1655</v>
      </c>
      <c r="I2561" s="36" t="s">
        <v>1656</v>
      </c>
      <c r="J2561" s="36" t="s">
        <v>1656</v>
      </c>
      <c r="K2561" s="36" t="s">
        <v>1784</v>
      </c>
      <c r="L2561" s="36" t="s">
        <v>5325</v>
      </c>
      <c r="M2561" s="36" t="s">
        <v>5325</v>
      </c>
      <c r="N2561" s="36" t="s">
        <v>34</v>
      </c>
    </row>
    <row r="2562">
      <c r="A2562" s="36" t="s">
        <v>6099</v>
      </c>
      <c r="B2562" s="154" t="s">
        <v>6098</v>
      </c>
      <c r="C2562" s="36" t="s">
        <v>1666</v>
      </c>
      <c r="D2562" s="36" t="s">
        <v>100</v>
      </c>
      <c r="E2562" s="36" t="s">
        <v>100</v>
      </c>
      <c r="F2562" s="154" t="s">
        <v>1899</v>
      </c>
      <c r="G2562" s="36" t="s">
        <v>32</v>
      </c>
      <c r="H2562" s="36" t="s">
        <v>1655</v>
      </c>
      <c r="I2562" s="36" t="s">
        <v>1656</v>
      </c>
      <c r="J2562" s="36" t="s">
        <v>1656</v>
      </c>
      <c r="K2562" s="36" t="s">
        <v>1787</v>
      </c>
      <c r="L2562" s="36" t="s">
        <v>5325</v>
      </c>
      <c r="M2562" s="36" t="s">
        <v>5325</v>
      </c>
      <c r="N2562" s="36" t="s">
        <v>32</v>
      </c>
    </row>
    <row r="2563">
      <c r="A2563" s="36" t="s">
        <v>6100</v>
      </c>
      <c r="B2563" s="154" t="s">
        <v>6101</v>
      </c>
      <c r="C2563" s="36" t="s">
        <v>1666</v>
      </c>
      <c r="D2563" s="36" t="s">
        <v>130</v>
      </c>
      <c r="E2563" s="36" t="s">
        <v>130</v>
      </c>
      <c r="F2563" s="154" t="s">
        <v>1768</v>
      </c>
      <c r="G2563" s="36" t="s">
        <v>32</v>
      </c>
      <c r="H2563" s="36" t="s">
        <v>1655</v>
      </c>
      <c r="I2563" s="36" t="s">
        <v>1656</v>
      </c>
      <c r="J2563" s="36" t="s">
        <v>1656</v>
      </c>
      <c r="K2563" s="36" t="s">
        <v>1790</v>
      </c>
      <c r="L2563" s="36" t="s">
        <v>5325</v>
      </c>
      <c r="M2563" s="36" t="s">
        <v>5325</v>
      </c>
      <c r="N2563" s="36" t="s">
        <v>32</v>
      </c>
    </row>
    <row r="2564">
      <c r="A2564" s="36" t="s">
        <v>6102</v>
      </c>
      <c r="B2564" s="154" t="s">
        <v>6101</v>
      </c>
      <c r="C2564" s="36" t="s">
        <v>1666</v>
      </c>
      <c r="D2564" s="36" t="s">
        <v>235</v>
      </c>
      <c r="E2564" s="36" t="s">
        <v>235</v>
      </c>
      <c r="F2564" s="154" t="s">
        <v>1686</v>
      </c>
      <c r="G2564" s="36" t="s">
        <v>28</v>
      </c>
      <c r="H2564" s="36" t="s">
        <v>1655</v>
      </c>
      <c r="I2564" s="36" t="s">
        <v>1656</v>
      </c>
      <c r="J2564" s="36" t="s">
        <v>1656</v>
      </c>
      <c r="K2564" s="36" t="s">
        <v>1793</v>
      </c>
      <c r="L2564" s="36" t="s">
        <v>5325</v>
      </c>
      <c r="M2564" s="36" t="s">
        <v>5325</v>
      </c>
      <c r="N2564" s="36" t="s">
        <v>32</v>
      </c>
    </row>
    <row r="2565">
      <c r="A2565" s="36" t="s">
        <v>6103</v>
      </c>
      <c r="B2565" s="154" t="s">
        <v>6104</v>
      </c>
      <c r="C2565" s="36" t="s">
        <v>1666</v>
      </c>
      <c r="D2565" s="36" t="s">
        <v>191</v>
      </c>
      <c r="E2565" s="36" t="s">
        <v>191</v>
      </c>
      <c r="F2565" s="154" t="s">
        <v>1816</v>
      </c>
      <c r="G2565" s="36" t="s">
        <v>28</v>
      </c>
      <c r="H2565" s="36" t="s">
        <v>1655</v>
      </c>
      <c r="I2565" s="36" t="s">
        <v>1656</v>
      </c>
      <c r="J2565" s="36" t="s">
        <v>1656</v>
      </c>
      <c r="K2565" s="36" t="s">
        <v>1796</v>
      </c>
      <c r="L2565" s="36" t="s">
        <v>5325</v>
      </c>
      <c r="M2565" s="36" t="s">
        <v>5325</v>
      </c>
      <c r="N2565" s="36" t="s">
        <v>32</v>
      </c>
    </row>
    <row r="2566">
      <c r="A2566" s="36" t="s">
        <v>6105</v>
      </c>
      <c r="B2566" s="154" t="s">
        <v>6104</v>
      </c>
      <c r="C2566" s="36" t="s">
        <v>1666</v>
      </c>
      <c r="D2566" s="36" t="s">
        <v>741</v>
      </c>
      <c r="E2566" s="36" t="s">
        <v>741</v>
      </c>
      <c r="F2566" s="154" t="s">
        <v>1768</v>
      </c>
      <c r="G2566" s="36" t="s">
        <v>28</v>
      </c>
      <c r="H2566" s="36" t="s">
        <v>1655</v>
      </c>
      <c r="I2566" s="36" t="s">
        <v>1656</v>
      </c>
      <c r="J2566" s="36" t="s">
        <v>1656</v>
      </c>
      <c r="K2566" s="36" t="s">
        <v>1800</v>
      </c>
      <c r="L2566" s="36" t="s">
        <v>5325</v>
      </c>
      <c r="M2566" s="36" t="s">
        <v>5325</v>
      </c>
      <c r="N2566" s="36" t="s">
        <v>32</v>
      </c>
    </row>
    <row r="2567">
      <c r="A2567" s="36" t="s">
        <v>6106</v>
      </c>
      <c r="B2567" s="154" t="s">
        <v>6107</v>
      </c>
      <c r="C2567" s="36" t="s">
        <v>1666</v>
      </c>
      <c r="D2567" s="36" t="s">
        <v>81</v>
      </c>
      <c r="E2567" s="36" t="s">
        <v>81</v>
      </c>
      <c r="F2567" s="154" t="s">
        <v>5807</v>
      </c>
      <c r="G2567" s="36" t="s">
        <v>28</v>
      </c>
      <c r="H2567" s="36" t="s">
        <v>1655</v>
      </c>
      <c r="I2567" s="36" t="s">
        <v>1656</v>
      </c>
      <c r="J2567" s="36" t="s">
        <v>1656</v>
      </c>
      <c r="K2567" s="36" t="s">
        <v>1811</v>
      </c>
      <c r="L2567" s="36" t="s">
        <v>5325</v>
      </c>
      <c r="M2567" s="36" t="s">
        <v>5325</v>
      </c>
      <c r="N2567" s="36" t="s">
        <v>32</v>
      </c>
    </row>
    <row r="2568">
      <c r="A2568" s="36" t="s">
        <v>6108</v>
      </c>
      <c r="B2568" s="154" t="s">
        <v>6107</v>
      </c>
      <c r="C2568" s="36" t="s">
        <v>1666</v>
      </c>
      <c r="D2568" s="36" t="s">
        <v>83</v>
      </c>
      <c r="E2568" s="36" t="s">
        <v>83</v>
      </c>
      <c r="F2568" s="154" t="s">
        <v>5809</v>
      </c>
      <c r="G2568" s="36" t="s">
        <v>28</v>
      </c>
      <c r="H2568" s="36" t="s">
        <v>1655</v>
      </c>
      <c r="I2568" s="36" t="s">
        <v>1656</v>
      </c>
      <c r="J2568" s="36" t="s">
        <v>1656</v>
      </c>
      <c r="K2568" s="36" t="s">
        <v>1891</v>
      </c>
      <c r="L2568" s="36" t="s">
        <v>5325</v>
      </c>
      <c r="M2568" s="36" t="s">
        <v>5325</v>
      </c>
      <c r="N2568" s="36" t="s">
        <v>32</v>
      </c>
    </row>
    <row r="2569">
      <c r="A2569" s="36" t="s">
        <v>6109</v>
      </c>
      <c r="B2569" s="154" t="s">
        <v>6107</v>
      </c>
      <c r="C2569" s="36" t="s">
        <v>1666</v>
      </c>
      <c r="D2569" s="36" t="s">
        <v>84</v>
      </c>
      <c r="E2569" s="36" t="s">
        <v>84</v>
      </c>
      <c r="F2569" s="154" t="s">
        <v>5693</v>
      </c>
      <c r="G2569" s="36" t="s">
        <v>32</v>
      </c>
      <c r="H2569" s="36" t="s">
        <v>1655</v>
      </c>
      <c r="I2569" s="36" t="s">
        <v>1656</v>
      </c>
      <c r="J2569" s="36" t="s">
        <v>1656</v>
      </c>
      <c r="K2569" s="36" t="s">
        <v>1921</v>
      </c>
      <c r="L2569" s="36" t="s">
        <v>5325</v>
      </c>
      <c r="M2569" s="36" t="s">
        <v>5325</v>
      </c>
      <c r="N2569" s="36" t="s">
        <v>32</v>
      </c>
    </row>
    <row r="2570">
      <c r="A2570" s="36" t="s">
        <v>6110</v>
      </c>
      <c r="B2570" s="154" t="s">
        <v>6111</v>
      </c>
      <c r="C2570" s="36" t="s">
        <v>1666</v>
      </c>
      <c r="D2570" s="36" t="s">
        <v>486</v>
      </c>
      <c r="E2570" s="36" t="s">
        <v>486</v>
      </c>
      <c r="F2570" s="154" t="s">
        <v>4144</v>
      </c>
      <c r="G2570" s="36" t="s">
        <v>28</v>
      </c>
      <c r="H2570" s="36" t="s">
        <v>1655</v>
      </c>
      <c r="I2570" s="36" t="s">
        <v>1656</v>
      </c>
      <c r="J2570" s="36" t="s">
        <v>1656</v>
      </c>
      <c r="K2570" s="36" t="s">
        <v>1803</v>
      </c>
      <c r="L2570" s="36" t="s">
        <v>5325</v>
      </c>
      <c r="M2570" s="36" t="s">
        <v>5325</v>
      </c>
      <c r="N2570" s="36" t="s">
        <v>34</v>
      </c>
    </row>
    <row r="2571">
      <c r="A2571" s="36" t="s">
        <v>6112</v>
      </c>
      <c r="B2571" s="154" t="s">
        <v>6111</v>
      </c>
      <c r="C2571" s="36" t="s">
        <v>1666</v>
      </c>
      <c r="D2571" s="36" t="s">
        <v>512</v>
      </c>
      <c r="E2571" s="36" t="s">
        <v>512</v>
      </c>
      <c r="F2571" s="154" t="s">
        <v>1926</v>
      </c>
      <c r="G2571" s="36" t="s">
        <v>28</v>
      </c>
      <c r="H2571" s="36" t="s">
        <v>1655</v>
      </c>
      <c r="I2571" s="36" t="s">
        <v>1656</v>
      </c>
      <c r="J2571" s="36" t="s">
        <v>1656</v>
      </c>
      <c r="K2571" s="36" t="s">
        <v>1807</v>
      </c>
      <c r="L2571" s="36" t="s">
        <v>5325</v>
      </c>
      <c r="M2571" s="36" t="s">
        <v>5325</v>
      </c>
      <c r="N2571" s="36" t="s">
        <v>34</v>
      </c>
    </row>
    <row r="2572">
      <c r="A2572" s="36" t="s">
        <v>6113</v>
      </c>
      <c r="B2572" s="154" t="s">
        <v>6111</v>
      </c>
      <c r="C2572" s="36" t="s">
        <v>1666</v>
      </c>
      <c r="D2572" s="36" t="s">
        <v>480</v>
      </c>
      <c r="E2572" s="36" t="s">
        <v>480</v>
      </c>
      <c r="F2572" s="154" t="s">
        <v>1810</v>
      </c>
      <c r="G2572" s="36" t="s">
        <v>28</v>
      </c>
      <c r="H2572" s="36" t="s">
        <v>1655</v>
      </c>
      <c r="I2572" s="36" t="s">
        <v>1656</v>
      </c>
      <c r="J2572" s="36" t="s">
        <v>1656</v>
      </c>
      <c r="K2572" s="36" t="s">
        <v>1814</v>
      </c>
      <c r="L2572" s="36" t="s">
        <v>5325</v>
      </c>
      <c r="M2572" s="36" t="s">
        <v>5325</v>
      </c>
      <c r="N2572" s="36" t="s">
        <v>32</v>
      </c>
    </row>
    <row r="2573">
      <c r="A2573" s="36" t="s">
        <v>6114</v>
      </c>
      <c r="B2573" s="154" t="s">
        <v>6111</v>
      </c>
      <c r="C2573" s="36" t="s">
        <v>1666</v>
      </c>
      <c r="D2573" s="36" t="s">
        <v>864</v>
      </c>
      <c r="E2573" s="36" t="s">
        <v>864</v>
      </c>
      <c r="F2573" s="154" t="s">
        <v>6115</v>
      </c>
      <c r="G2573" s="36" t="s">
        <v>32</v>
      </c>
      <c r="H2573" s="36" t="s">
        <v>1655</v>
      </c>
      <c r="I2573" s="36" t="s">
        <v>1656</v>
      </c>
      <c r="J2573" s="36" t="s">
        <v>1656</v>
      </c>
      <c r="K2573" s="36" t="s">
        <v>1817</v>
      </c>
      <c r="L2573" s="36" t="s">
        <v>5325</v>
      </c>
      <c r="M2573" s="36" t="s">
        <v>5325</v>
      </c>
      <c r="N2573" s="36" t="s">
        <v>32</v>
      </c>
    </row>
    <row r="2574">
      <c r="A2574" s="36" t="s">
        <v>6116</v>
      </c>
      <c r="B2574" s="154" t="s">
        <v>6117</v>
      </c>
      <c r="C2574" s="36" t="s">
        <v>1653</v>
      </c>
      <c r="D2574" s="36" t="s">
        <v>43</v>
      </c>
      <c r="E2574" s="36" t="s">
        <v>39</v>
      </c>
      <c r="F2574" s="154" t="s">
        <v>6118</v>
      </c>
      <c r="G2574" s="36" t="s">
        <v>32</v>
      </c>
      <c r="H2574" s="36" t="s">
        <v>1655</v>
      </c>
      <c r="I2574" s="36" t="s">
        <v>1656</v>
      </c>
      <c r="J2574" s="36" t="s">
        <v>1656</v>
      </c>
      <c r="K2574" s="36" t="s">
        <v>1657</v>
      </c>
      <c r="L2574" s="36" t="s">
        <v>5321</v>
      </c>
      <c r="M2574" s="36" t="s">
        <v>5321</v>
      </c>
      <c r="N2574" s="36" t="s">
        <v>32</v>
      </c>
    </row>
    <row r="2575">
      <c r="A2575" s="36" t="s">
        <v>6119</v>
      </c>
      <c r="B2575" s="154" t="s">
        <v>6117</v>
      </c>
      <c r="C2575" s="36" t="s">
        <v>1653</v>
      </c>
      <c r="D2575" s="36" t="s">
        <v>158</v>
      </c>
      <c r="E2575" s="36" t="s">
        <v>39</v>
      </c>
      <c r="F2575" s="154" t="s">
        <v>6120</v>
      </c>
      <c r="G2575" s="36" t="s">
        <v>32</v>
      </c>
      <c r="H2575" s="36" t="s">
        <v>1655</v>
      </c>
      <c r="I2575" s="36" t="s">
        <v>1656</v>
      </c>
      <c r="J2575" s="36" t="s">
        <v>1656</v>
      </c>
      <c r="K2575" s="36" t="s">
        <v>1749</v>
      </c>
      <c r="L2575" s="36" t="s">
        <v>5321</v>
      </c>
      <c r="M2575" s="36" t="s">
        <v>5321</v>
      </c>
      <c r="N2575" s="36" t="s">
        <v>32</v>
      </c>
    </row>
    <row r="2576">
      <c r="A2576" s="36" t="s">
        <v>6121</v>
      </c>
      <c r="B2576" s="154" t="s">
        <v>6117</v>
      </c>
      <c r="C2576" s="36" t="s">
        <v>1666</v>
      </c>
      <c r="D2576" s="36" t="s">
        <v>85</v>
      </c>
      <c r="E2576" s="36" t="s">
        <v>85</v>
      </c>
      <c r="F2576" s="154" t="s">
        <v>5704</v>
      </c>
      <c r="G2576" s="36" t="s">
        <v>28</v>
      </c>
      <c r="H2576" s="36" t="s">
        <v>1655</v>
      </c>
      <c r="I2576" s="36" t="s">
        <v>1656</v>
      </c>
      <c r="J2576" s="36" t="s">
        <v>1656</v>
      </c>
      <c r="K2576" s="36" t="s">
        <v>3035</v>
      </c>
      <c r="L2576" s="36" t="s">
        <v>5325</v>
      </c>
      <c r="M2576" s="36" t="s">
        <v>5325</v>
      </c>
      <c r="N2576" s="36" t="s">
        <v>32</v>
      </c>
    </row>
    <row r="2577">
      <c r="A2577" s="36" t="s">
        <v>6122</v>
      </c>
      <c r="B2577" s="154" t="s">
        <v>6117</v>
      </c>
      <c r="C2577" s="36" t="s">
        <v>1666</v>
      </c>
      <c r="D2577" s="36" t="s">
        <v>443</v>
      </c>
      <c r="E2577" s="36" t="s">
        <v>443</v>
      </c>
      <c r="F2577" s="154" t="s">
        <v>6123</v>
      </c>
      <c r="G2577" s="36" t="s">
        <v>28</v>
      </c>
      <c r="H2577" s="36" t="s">
        <v>1655</v>
      </c>
      <c r="I2577" s="36" t="s">
        <v>1656</v>
      </c>
      <c r="J2577" s="36" t="s">
        <v>1656</v>
      </c>
      <c r="K2577" s="36" t="s">
        <v>3038</v>
      </c>
      <c r="L2577" s="36" t="s">
        <v>5325</v>
      </c>
      <c r="M2577" s="36" t="s">
        <v>5325</v>
      </c>
      <c r="N2577" s="36" t="s">
        <v>32</v>
      </c>
    </row>
    <row r="2578">
      <c r="A2578" s="36" t="s">
        <v>6124</v>
      </c>
      <c r="B2578" s="154" t="s">
        <v>6117</v>
      </c>
      <c r="C2578" s="36" t="s">
        <v>1666</v>
      </c>
      <c r="D2578" s="36" t="s">
        <v>717</v>
      </c>
      <c r="E2578" s="36" t="s">
        <v>717</v>
      </c>
      <c r="F2578" s="154" t="s">
        <v>4688</v>
      </c>
      <c r="G2578" s="36" t="s">
        <v>28</v>
      </c>
      <c r="H2578" s="36" t="s">
        <v>1655</v>
      </c>
      <c r="I2578" s="36" t="s">
        <v>1656</v>
      </c>
      <c r="J2578" s="36" t="s">
        <v>1656</v>
      </c>
      <c r="K2578" s="36" t="s">
        <v>2775</v>
      </c>
      <c r="L2578" s="36" t="s">
        <v>5325</v>
      </c>
      <c r="M2578" s="36" t="s">
        <v>5325</v>
      </c>
      <c r="N2578" s="36" t="s">
        <v>32</v>
      </c>
    </row>
    <row r="2579">
      <c r="A2579" s="36" t="s">
        <v>6125</v>
      </c>
      <c r="B2579" s="154" t="s">
        <v>6117</v>
      </c>
      <c r="C2579" s="36" t="s">
        <v>1666</v>
      </c>
      <c r="D2579" s="36" t="s">
        <v>723</v>
      </c>
      <c r="E2579" s="36" t="s">
        <v>723</v>
      </c>
      <c r="F2579" s="154" t="s">
        <v>6126</v>
      </c>
      <c r="G2579" s="36" t="s">
        <v>28</v>
      </c>
      <c r="H2579" s="36" t="s">
        <v>1655</v>
      </c>
      <c r="I2579" s="36" t="s">
        <v>1656</v>
      </c>
      <c r="J2579" s="36" t="s">
        <v>1656</v>
      </c>
      <c r="K2579" s="36" t="s">
        <v>1672</v>
      </c>
      <c r="L2579" s="36" t="s">
        <v>5325</v>
      </c>
      <c r="M2579" s="36" t="s">
        <v>5325</v>
      </c>
      <c r="N2579" s="36" t="s">
        <v>34</v>
      </c>
    </row>
    <row r="2580">
      <c r="A2580" s="36" t="s">
        <v>6127</v>
      </c>
      <c r="B2580" s="154" t="s">
        <v>6117</v>
      </c>
      <c r="C2580" s="36" t="s">
        <v>1666</v>
      </c>
      <c r="D2580" s="36" t="s">
        <v>92</v>
      </c>
      <c r="E2580" s="36" t="s">
        <v>92</v>
      </c>
      <c r="F2580" s="154" t="s">
        <v>6128</v>
      </c>
      <c r="G2580" s="36" t="s">
        <v>32</v>
      </c>
      <c r="H2580" s="36" t="s">
        <v>1655</v>
      </c>
      <c r="I2580" s="36" t="s">
        <v>1656</v>
      </c>
      <c r="J2580" s="36" t="s">
        <v>1656</v>
      </c>
      <c r="K2580" s="36" t="s">
        <v>1675</v>
      </c>
      <c r="L2580" s="36" t="s">
        <v>5325</v>
      </c>
      <c r="M2580" s="36" t="s">
        <v>5325</v>
      </c>
      <c r="N2580" s="36" t="s">
        <v>32</v>
      </c>
    </row>
    <row r="2581">
      <c r="A2581" s="36" t="s">
        <v>6129</v>
      </c>
      <c r="B2581" s="154" t="s">
        <v>6130</v>
      </c>
      <c r="C2581" s="36" t="s">
        <v>1666</v>
      </c>
      <c r="D2581" s="36" t="s">
        <v>737</v>
      </c>
      <c r="E2581" s="36" t="s">
        <v>737</v>
      </c>
      <c r="F2581" s="154" t="s">
        <v>1768</v>
      </c>
      <c r="G2581" s="36" t="s">
        <v>28</v>
      </c>
      <c r="H2581" s="36" t="s">
        <v>1655</v>
      </c>
      <c r="I2581" s="36" t="s">
        <v>1656</v>
      </c>
      <c r="J2581" s="36" t="s">
        <v>1656</v>
      </c>
      <c r="K2581" s="36" t="s">
        <v>1678</v>
      </c>
      <c r="L2581" s="36" t="s">
        <v>5325</v>
      </c>
      <c r="M2581" s="36" t="s">
        <v>5325</v>
      </c>
      <c r="N2581" s="36" t="s">
        <v>34</v>
      </c>
    </row>
    <row r="2582">
      <c r="A2582" s="36" t="s">
        <v>6131</v>
      </c>
      <c r="B2582" s="154" t="s">
        <v>6132</v>
      </c>
      <c r="C2582" s="36" t="s">
        <v>1666</v>
      </c>
      <c r="D2582" s="36" t="s">
        <v>78</v>
      </c>
      <c r="E2582" s="36" t="s">
        <v>78</v>
      </c>
      <c r="F2582" s="154" t="s">
        <v>2325</v>
      </c>
      <c r="G2582" s="36" t="s">
        <v>28</v>
      </c>
      <c r="H2582" s="36" t="s">
        <v>1655</v>
      </c>
      <c r="I2582" s="36" t="s">
        <v>1656</v>
      </c>
      <c r="J2582" s="36" t="s">
        <v>1656</v>
      </c>
      <c r="K2582" s="36" t="s">
        <v>4248</v>
      </c>
      <c r="L2582" s="36" t="s">
        <v>5325</v>
      </c>
      <c r="M2582" s="36" t="s">
        <v>5325</v>
      </c>
      <c r="N2582" s="36" t="s">
        <v>32</v>
      </c>
    </row>
    <row r="2583">
      <c r="A2583" s="36" t="s">
        <v>6133</v>
      </c>
      <c r="B2583" s="154" t="s">
        <v>6134</v>
      </c>
      <c r="C2583" s="36" t="s">
        <v>1666</v>
      </c>
      <c r="D2583" s="36" t="s">
        <v>63</v>
      </c>
      <c r="E2583" s="36" t="s">
        <v>63</v>
      </c>
      <c r="F2583" s="154" t="s">
        <v>6135</v>
      </c>
      <c r="G2583" s="36" t="s">
        <v>28</v>
      </c>
      <c r="H2583" s="36" t="s">
        <v>1655</v>
      </c>
      <c r="I2583" s="36" t="s">
        <v>1656</v>
      </c>
      <c r="J2583" s="36" t="s">
        <v>1656</v>
      </c>
      <c r="K2583" s="36" t="s">
        <v>4196</v>
      </c>
      <c r="L2583" s="36" t="s">
        <v>5325</v>
      </c>
      <c r="M2583" s="36" t="s">
        <v>5325</v>
      </c>
      <c r="N2583" s="36" t="s">
        <v>34</v>
      </c>
    </row>
    <row r="2584">
      <c r="A2584" s="36" t="s">
        <v>6136</v>
      </c>
      <c r="B2584" s="154" t="s">
        <v>6137</v>
      </c>
      <c r="C2584" s="36" t="s">
        <v>1666</v>
      </c>
      <c r="D2584" s="36" t="s">
        <v>64</v>
      </c>
      <c r="E2584" s="36" t="s">
        <v>64</v>
      </c>
      <c r="F2584" s="154" t="s">
        <v>6138</v>
      </c>
      <c r="G2584" s="36" t="s">
        <v>28</v>
      </c>
      <c r="H2584" s="36" t="s">
        <v>1655</v>
      </c>
      <c r="I2584" s="36" t="s">
        <v>1656</v>
      </c>
      <c r="J2584" s="36" t="s">
        <v>1656</v>
      </c>
      <c r="K2584" s="36" t="s">
        <v>1708</v>
      </c>
      <c r="L2584" s="36" t="s">
        <v>5325</v>
      </c>
      <c r="M2584" s="36" t="s">
        <v>5325</v>
      </c>
      <c r="N2584" s="36" t="s">
        <v>32</v>
      </c>
    </row>
    <row r="2585">
      <c r="A2585" s="36" t="s">
        <v>6139</v>
      </c>
      <c r="B2585" s="154" t="s">
        <v>6137</v>
      </c>
      <c r="C2585" s="36" t="s">
        <v>1666</v>
      </c>
      <c r="D2585" s="36" t="s">
        <v>741</v>
      </c>
      <c r="E2585" s="36" t="s">
        <v>741</v>
      </c>
      <c r="F2585" s="154" t="s">
        <v>1768</v>
      </c>
      <c r="G2585" s="36" t="s">
        <v>28</v>
      </c>
      <c r="H2585" s="36" t="s">
        <v>1655</v>
      </c>
      <c r="I2585" s="36" t="s">
        <v>1656</v>
      </c>
      <c r="J2585" s="36" t="s">
        <v>1656</v>
      </c>
      <c r="K2585" s="36" t="s">
        <v>1681</v>
      </c>
      <c r="L2585" s="36" t="s">
        <v>5325</v>
      </c>
      <c r="M2585" s="36" t="s">
        <v>5325</v>
      </c>
      <c r="N2585" s="36" t="s">
        <v>32</v>
      </c>
    </row>
    <row r="2586">
      <c r="A2586" s="36" t="s">
        <v>6140</v>
      </c>
      <c r="B2586" s="154" t="s">
        <v>6141</v>
      </c>
      <c r="C2586" s="36" t="s">
        <v>1666</v>
      </c>
      <c r="D2586" s="36" t="s">
        <v>109</v>
      </c>
      <c r="E2586" s="36" t="s">
        <v>109</v>
      </c>
      <c r="F2586" s="154" t="s">
        <v>3972</v>
      </c>
      <c r="G2586" s="36" t="s">
        <v>28</v>
      </c>
      <c r="H2586" s="36" t="s">
        <v>1655</v>
      </c>
      <c r="I2586" s="36" t="s">
        <v>1656</v>
      </c>
      <c r="J2586" s="36" t="s">
        <v>1656</v>
      </c>
      <c r="K2586" s="36" t="s">
        <v>1684</v>
      </c>
      <c r="L2586" s="36" t="s">
        <v>5325</v>
      </c>
      <c r="M2586" s="36" t="s">
        <v>5325</v>
      </c>
      <c r="N2586" s="36" t="s">
        <v>32</v>
      </c>
    </row>
    <row r="2587">
      <c r="A2587" s="36" t="s">
        <v>6142</v>
      </c>
      <c r="B2587" s="154" t="s">
        <v>6143</v>
      </c>
      <c r="C2587" s="36" t="s">
        <v>1666</v>
      </c>
      <c r="D2587" s="36" t="s">
        <v>66</v>
      </c>
      <c r="E2587" s="36" t="s">
        <v>66</v>
      </c>
      <c r="F2587" s="154" t="s">
        <v>6144</v>
      </c>
      <c r="G2587" s="36" t="s">
        <v>28</v>
      </c>
      <c r="H2587" s="36" t="s">
        <v>1655</v>
      </c>
      <c r="I2587" s="36" t="s">
        <v>1656</v>
      </c>
      <c r="J2587" s="36" t="s">
        <v>1656</v>
      </c>
      <c r="K2587" s="36" t="s">
        <v>1721</v>
      </c>
      <c r="L2587" s="36" t="s">
        <v>5325</v>
      </c>
      <c r="M2587" s="36" t="s">
        <v>5325</v>
      </c>
      <c r="N2587" s="36" t="s">
        <v>32</v>
      </c>
    </row>
    <row r="2588">
      <c r="A2588" s="36" t="s">
        <v>6145</v>
      </c>
      <c r="B2588" s="154" t="s">
        <v>6143</v>
      </c>
      <c r="C2588" s="36" t="s">
        <v>1666</v>
      </c>
      <c r="D2588" s="36" t="s">
        <v>218</v>
      </c>
      <c r="E2588" s="36" t="s">
        <v>218</v>
      </c>
      <c r="F2588" s="154" t="s">
        <v>1686</v>
      </c>
      <c r="G2588" s="36" t="s">
        <v>32</v>
      </c>
      <c r="H2588" s="36" t="s">
        <v>1655</v>
      </c>
      <c r="I2588" s="36" t="s">
        <v>1656</v>
      </c>
      <c r="J2588" s="36" t="s">
        <v>1656</v>
      </c>
      <c r="K2588" s="36" t="s">
        <v>1691</v>
      </c>
      <c r="L2588" s="36" t="s">
        <v>5325</v>
      </c>
      <c r="M2588" s="36" t="s">
        <v>5325</v>
      </c>
      <c r="N2588" s="36" t="s">
        <v>32</v>
      </c>
    </row>
    <row r="2589">
      <c r="A2589" s="36" t="s">
        <v>6146</v>
      </c>
      <c r="B2589" s="154" t="s">
        <v>6147</v>
      </c>
      <c r="C2589" s="36" t="s">
        <v>1666</v>
      </c>
      <c r="D2589" s="36" t="s">
        <v>552</v>
      </c>
      <c r="E2589" s="36" t="s">
        <v>552</v>
      </c>
      <c r="F2589" s="154" t="s">
        <v>1686</v>
      </c>
      <c r="G2589" s="36" t="s">
        <v>28</v>
      </c>
      <c r="H2589" s="36" t="s">
        <v>1655</v>
      </c>
      <c r="I2589" s="36" t="s">
        <v>1656</v>
      </c>
      <c r="J2589" s="36" t="s">
        <v>1656</v>
      </c>
      <c r="K2589" s="36" t="s">
        <v>1695</v>
      </c>
      <c r="L2589" s="36" t="s">
        <v>5325</v>
      </c>
      <c r="M2589" s="36" t="s">
        <v>5325</v>
      </c>
      <c r="N2589" s="36" t="s">
        <v>32</v>
      </c>
    </row>
    <row r="2590">
      <c r="A2590" s="36" t="s">
        <v>6148</v>
      </c>
      <c r="B2590" s="154" t="s">
        <v>6149</v>
      </c>
      <c r="C2590" s="36" t="s">
        <v>1653</v>
      </c>
      <c r="D2590" s="36" t="s">
        <v>55</v>
      </c>
      <c r="E2590" s="36" t="s">
        <v>39</v>
      </c>
      <c r="F2590" s="154" t="s">
        <v>6054</v>
      </c>
      <c r="G2590" s="36" t="s">
        <v>32</v>
      </c>
      <c r="H2590" s="36" t="s">
        <v>1655</v>
      </c>
      <c r="I2590" s="36" t="s">
        <v>1656</v>
      </c>
      <c r="J2590" s="36" t="s">
        <v>1656</v>
      </c>
      <c r="K2590" s="36" t="s">
        <v>1989</v>
      </c>
      <c r="L2590" s="36" t="s">
        <v>5321</v>
      </c>
      <c r="M2590" s="36" t="s">
        <v>5321</v>
      </c>
      <c r="N2590" s="36" t="s">
        <v>32</v>
      </c>
    </row>
    <row r="2591">
      <c r="A2591" s="36" t="s">
        <v>6150</v>
      </c>
      <c r="B2591" s="154" t="s">
        <v>6149</v>
      </c>
      <c r="C2591" s="36" t="s">
        <v>1666</v>
      </c>
      <c r="D2591" s="36" t="s">
        <v>71</v>
      </c>
      <c r="E2591" s="36" t="s">
        <v>71</v>
      </c>
      <c r="F2591" s="154" t="s">
        <v>5555</v>
      </c>
      <c r="G2591" s="36" t="s">
        <v>32</v>
      </c>
      <c r="H2591" s="36" t="s">
        <v>1655</v>
      </c>
      <c r="I2591" s="36" t="s">
        <v>1656</v>
      </c>
      <c r="J2591" s="36" t="s">
        <v>1656</v>
      </c>
      <c r="K2591" s="36" t="s">
        <v>1752</v>
      </c>
      <c r="L2591" s="36" t="s">
        <v>5325</v>
      </c>
      <c r="M2591" s="36" t="s">
        <v>5325</v>
      </c>
      <c r="N2591" s="36" t="s">
        <v>32</v>
      </c>
    </row>
    <row r="2592">
      <c r="A2592" s="36" t="s">
        <v>6151</v>
      </c>
      <c r="B2592" s="154" t="s">
        <v>6149</v>
      </c>
      <c r="C2592" s="36" t="s">
        <v>1666</v>
      </c>
      <c r="D2592" s="36" t="s">
        <v>73</v>
      </c>
      <c r="E2592" s="36" t="s">
        <v>73</v>
      </c>
      <c r="F2592" s="154" t="s">
        <v>5557</v>
      </c>
      <c r="G2592" s="36" t="s">
        <v>28</v>
      </c>
      <c r="H2592" s="36" t="s">
        <v>1655</v>
      </c>
      <c r="I2592" s="36" t="s">
        <v>1656</v>
      </c>
      <c r="J2592" s="36" t="s">
        <v>1656</v>
      </c>
      <c r="K2592" s="36" t="s">
        <v>1755</v>
      </c>
      <c r="L2592" s="36" t="s">
        <v>5325</v>
      </c>
      <c r="M2592" s="36" t="s">
        <v>5325</v>
      </c>
      <c r="N2592" s="36" t="s">
        <v>32</v>
      </c>
    </row>
    <row r="2593">
      <c r="A2593" s="36" t="s">
        <v>6152</v>
      </c>
      <c r="B2593" s="154" t="s">
        <v>6149</v>
      </c>
      <c r="C2593" s="36" t="s">
        <v>1666</v>
      </c>
      <c r="D2593" s="36" t="s">
        <v>74</v>
      </c>
      <c r="E2593" s="36" t="s">
        <v>74</v>
      </c>
      <c r="F2593" s="154" t="s">
        <v>5559</v>
      </c>
      <c r="G2593" s="36" t="s">
        <v>32</v>
      </c>
      <c r="H2593" s="36" t="s">
        <v>1655</v>
      </c>
      <c r="I2593" s="36" t="s">
        <v>1656</v>
      </c>
      <c r="J2593" s="36" t="s">
        <v>1656</v>
      </c>
      <c r="K2593" s="36" t="s">
        <v>1757</v>
      </c>
      <c r="L2593" s="36" t="s">
        <v>5325</v>
      </c>
      <c r="M2593" s="36" t="s">
        <v>5325</v>
      </c>
      <c r="N2593" s="36" t="s">
        <v>32</v>
      </c>
    </row>
    <row r="2594">
      <c r="A2594" s="36" t="s">
        <v>6153</v>
      </c>
      <c r="B2594" s="154" t="s">
        <v>6149</v>
      </c>
      <c r="C2594" s="36" t="s">
        <v>1666</v>
      </c>
      <c r="D2594" s="36" t="s">
        <v>75</v>
      </c>
      <c r="E2594" s="36" t="s">
        <v>75</v>
      </c>
      <c r="F2594" s="154" t="s">
        <v>5561</v>
      </c>
      <c r="G2594" s="36" t="s">
        <v>28</v>
      </c>
      <c r="H2594" s="36" t="s">
        <v>1655</v>
      </c>
      <c r="I2594" s="36" t="s">
        <v>1656</v>
      </c>
      <c r="J2594" s="36" t="s">
        <v>1656</v>
      </c>
      <c r="K2594" s="36" t="s">
        <v>1760</v>
      </c>
      <c r="L2594" s="36" t="s">
        <v>5325</v>
      </c>
      <c r="M2594" s="36" t="s">
        <v>5325</v>
      </c>
      <c r="N2594" s="36" t="s">
        <v>32</v>
      </c>
    </row>
    <row r="2595">
      <c r="A2595" s="36" t="s">
        <v>6154</v>
      </c>
      <c r="B2595" s="154" t="s">
        <v>6149</v>
      </c>
      <c r="C2595" s="36" t="s">
        <v>1666</v>
      </c>
      <c r="D2595" s="36" t="s">
        <v>76</v>
      </c>
      <c r="E2595" s="36" t="s">
        <v>76</v>
      </c>
      <c r="F2595" s="154" t="s">
        <v>6155</v>
      </c>
      <c r="G2595" s="36" t="s">
        <v>28</v>
      </c>
      <c r="H2595" s="36" t="s">
        <v>1655</v>
      </c>
      <c r="I2595" s="36" t="s">
        <v>1656</v>
      </c>
      <c r="J2595" s="36" t="s">
        <v>1656</v>
      </c>
      <c r="K2595" s="36" t="s">
        <v>1763</v>
      </c>
      <c r="L2595" s="36" t="s">
        <v>5325</v>
      </c>
      <c r="M2595" s="36" t="s">
        <v>5325</v>
      </c>
      <c r="N2595" s="36" t="s">
        <v>32</v>
      </c>
    </row>
    <row r="2596">
      <c r="A2596" s="36" t="s">
        <v>6156</v>
      </c>
      <c r="B2596" s="154" t="s">
        <v>6149</v>
      </c>
      <c r="C2596" s="36" t="s">
        <v>1666</v>
      </c>
      <c r="D2596" s="36" t="s">
        <v>77</v>
      </c>
      <c r="E2596" s="36" t="s">
        <v>77</v>
      </c>
      <c r="F2596" s="154" t="s">
        <v>1768</v>
      </c>
      <c r="G2596" s="36" t="s">
        <v>34</v>
      </c>
      <c r="H2596" s="36" t="s">
        <v>1655</v>
      </c>
      <c r="I2596" s="36" t="s">
        <v>1656</v>
      </c>
      <c r="J2596" s="36" t="s">
        <v>1656</v>
      </c>
      <c r="K2596" s="36" t="s">
        <v>1766</v>
      </c>
      <c r="L2596" s="36" t="s">
        <v>5325</v>
      </c>
      <c r="M2596" s="36" t="s">
        <v>5325</v>
      </c>
      <c r="N2596" s="36" t="s">
        <v>32</v>
      </c>
    </row>
    <row r="2597">
      <c r="A2597" s="36" t="s">
        <v>6157</v>
      </c>
      <c r="B2597" s="154" t="s">
        <v>6149</v>
      </c>
      <c r="C2597" s="36" t="s">
        <v>1666</v>
      </c>
      <c r="D2597" s="36" t="s">
        <v>100</v>
      </c>
      <c r="E2597" s="36" t="s">
        <v>100</v>
      </c>
      <c r="F2597" s="154" t="s">
        <v>1810</v>
      </c>
      <c r="G2597" s="36" t="s">
        <v>32</v>
      </c>
      <c r="H2597" s="36" t="s">
        <v>1655</v>
      </c>
      <c r="I2597" s="36" t="s">
        <v>1656</v>
      </c>
      <c r="J2597" s="36" t="s">
        <v>1656</v>
      </c>
      <c r="K2597" s="36" t="s">
        <v>1698</v>
      </c>
      <c r="L2597" s="36" t="s">
        <v>5325</v>
      </c>
      <c r="M2597" s="36" t="s">
        <v>5325</v>
      </c>
      <c r="N2597" s="36" t="s">
        <v>32</v>
      </c>
    </row>
    <row r="2598">
      <c r="A2598" s="36" t="s">
        <v>6158</v>
      </c>
      <c r="B2598" s="154" t="s">
        <v>6159</v>
      </c>
      <c r="C2598" s="36" t="s">
        <v>1666</v>
      </c>
      <c r="D2598" s="36" t="s">
        <v>220</v>
      </c>
      <c r="E2598" s="36" t="s">
        <v>220</v>
      </c>
      <c r="F2598" s="154" t="s">
        <v>6160</v>
      </c>
      <c r="G2598" s="36" t="s">
        <v>28</v>
      </c>
      <c r="H2598" s="36" t="s">
        <v>1655</v>
      </c>
      <c r="I2598" s="36" t="s">
        <v>1656</v>
      </c>
      <c r="J2598" s="36" t="s">
        <v>1656</v>
      </c>
      <c r="K2598" s="36" t="s">
        <v>1701</v>
      </c>
      <c r="L2598" s="36" t="s">
        <v>5325</v>
      </c>
      <c r="M2598" s="36" t="s">
        <v>5325</v>
      </c>
      <c r="N2598" s="36" t="s">
        <v>32</v>
      </c>
    </row>
    <row r="2599">
      <c r="A2599" s="36" t="s">
        <v>6161</v>
      </c>
      <c r="B2599" s="154" t="s">
        <v>6159</v>
      </c>
      <c r="C2599" s="36" t="s">
        <v>1666</v>
      </c>
      <c r="D2599" s="36" t="s">
        <v>226</v>
      </c>
      <c r="E2599" s="36" t="s">
        <v>226</v>
      </c>
      <c r="F2599" s="154" t="s">
        <v>6162</v>
      </c>
      <c r="G2599" s="36" t="s">
        <v>32</v>
      </c>
      <c r="H2599" s="36" t="s">
        <v>1655</v>
      </c>
      <c r="I2599" s="36" t="s">
        <v>1656</v>
      </c>
      <c r="J2599" s="36" t="s">
        <v>1656</v>
      </c>
      <c r="K2599" s="36" t="s">
        <v>1704</v>
      </c>
      <c r="L2599" s="36" t="s">
        <v>5325</v>
      </c>
      <c r="M2599" s="36" t="s">
        <v>5325</v>
      </c>
      <c r="N2599" s="36" t="s">
        <v>32</v>
      </c>
    </row>
    <row r="2600">
      <c r="A2600" s="36" t="s">
        <v>6163</v>
      </c>
      <c r="B2600" s="154" t="s">
        <v>6159</v>
      </c>
      <c r="C2600" s="36" t="s">
        <v>1666</v>
      </c>
      <c r="D2600" s="36" t="s">
        <v>775</v>
      </c>
      <c r="E2600" s="36" t="s">
        <v>775</v>
      </c>
      <c r="F2600" s="154" t="s">
        <v>5678</v>
      </c>
      <c r="G2600" s="36" t="s">
        <v>32</v>
      </c>
      <c r="H2600" s="36" t="s">
        <v>1655</v>
      </c>
      <c r="I2600" s="36" t="s">
        <v>1656</v>
      </c>
      <c r="J2600" s="36" t="s">
        <v>1656</v>
      </c>
      <c r="K2600" s="36" t="s">
        <v>1711</v>
      </c>
      <c r="L2600" s="36" t="s">
        <v>5325</v>
      </c>
      <c r="M2600" s="36" t="s">
        <v>5325</v>
      </c>
      <c r="N2600" s="36" t="s">
        <v>32</v>
      </c>
    </row>
    <row r="2601">
      <c r="A2601" s="36" t="s">
        <v>6164</v>
      </c>
      <c r="B2601" s="154" t="s">
        <v>6159</v>
      </c>
      <c r="C2601" s="36" t="s">
        <v>1666</v>
      </c>
      <c r="D2601" s="36" t="s">
        <v>761</v>
      </c>
      <c r="E2601" s="36" t="s">
        <v>761</v>
      </c>
      <c r="F2601" s="154" t="s">
        <v>2006</v>
      </c>
      <c r="G2601" s="36" t="s">
        <v>32</v>
      </c>
      <c r="H2601" s="36" t="s">
        <v>1655</v>
      </c>
      <c r="I2601" s="36" t="s">
        <v>1656</v>
      </c>
      <c r="J2601" s="36" t="s">
        <v>1656</v>
      </c>
      <c r="K2601" s="36" t="s">
        <v>1715</v>
      </c>
      <c r="L2601" s="36" t="s">
        <v>5325</v>
      </c>
      <c r="M2601" s="36" t="s">
        <v>5325</v>
      </c>
      <c r="N2601" s="36" t="s">
        <v>32</v>
      </c>
    </row>
    <row r="2602">
      <c r="A2602" s="36" t="s">
        <v>6165</v>
      </c>
      <c r="B2602" s="154" t="s">
        <v>6159</v>
      </c>
      <c r="C2602" s="36" t="s">
        <v>1666</v>
      </c>
      <c r="D2602" s="36" t="s">
        <v>539</v>
      </c>
      <c r="E2602" s="36" t="s">
        <v>539</v>
      </c>
      <c r="F2602" s="154" t="s">
        <v>6070</v>
      </c>
      <c r="G2602" s="36" t="s">
        <v>32</v>
      </c>
      <c r="H2602" s="36" t="s">
        <v>1655</v>
      </c>
      <c r="I2602" s="36" t="s">
        <v>1656</v>
      </c>
      <c r="J2602" s="36" t="s">
        <v>1656</v>
      </c>
      <c r="K2602" s="36" t="s">
        <v>1717</v>
      </c>
      <c r="L2602" s="36" t="s">
        <v>5325</v>
      </c>
      <c r="M2602" s="36" t="s">
        <v>5325</v>
      </c>
      <c r="N2602" s="36" t="s">
        <v>32</v>
      </c>
    </row>
    <row r="2603">
      <c r="A2603" s="36" t="s">
        <v>6166</v>
      </c>
      <c r="B2603" s="154" t="s">
        <v>6159</v>
      </c>
      <c r="C2603" s="36" t="s">
        <v>1666</v>
      </c>
      <c r="D2603" s="36" t="s">
        <v>780</v>
      </c>
      <c r="E2603" s="36" t="s">
        <v>780</v>
      </c>
      <c r="F2603" s="154" t="s">
        <v>6167</v>
      </c>
      <c r="G2603" s="36" t="s">
        <v>32</v>
      </c>
      <c r="H2603" s="36" t="s">
        <v>1655</v>
      </c>
      <c r="I2603" s="36" t="s">
        <v>1656</v>
      </c>
      <c r="J2603" s="36" t="s">
        <v>1656</v>
      </c>
      <c r="K2603" s="36" t="s">
        <v>1724</v>
      </c>
      <c r="L2603" s="36" t="s">
        <v>5325</v>
      </c>
      <c r="M2603" s="36" t="s">
        <v>5325</v>
      </c>
      <c r="N2603" s="36" t="s">
        <v>32</v>
      </c>
    </row>
    <row r="2604">
      <c r="A2604" s="36" t="s">
        <v>6168</v>
      </c>
      <c r="B2604" s="154" t="s">
        <v>6159</v>
      </c>
      <c r="C2604" s="36" t="s">
        <v>1666</v>
      </c>
      <c r="D2604" s="36" t="s">
        <v>115</v>
      </c>
      <c r="E2604" s="36" t="s">
        <v>115</v>
      </c>
      <c r="F2604" s="154" t="s">
        <v>1683</v>
      </c>
      <c r="G2604" s="36" t="s">
        <v>32</v>
      </c>
      <c r="H2604" s="36" t="s">
        <v>1655</v>
      </c>
      <c r="I2604" s="36" t="s">
        <v>1656</v>
      </c>
      <c r="J2604" s="36" t="s">
        <v>1656</v>
      </c>
      <c r="K2604" s="36" t="s">
        <v>1727</v>
      </c>
      <c r="L2604" s="36" t="s">
        <v>5325</v>
      </c>
      <c r="M2604" s="36" t="s">
        <v>5325</v>
      </c>
      <c r="N2604" s="36" t="s">
        <v>32</v>
      </c>
    </row>
    <row r="2605">
      <c r="A2605" s="36" t="s">
        <v>6169</v>
      </c>
      <c r="B2605" s="154" t="s">
        <v>6159</v>
      </c>
      <c r="C2605" s="36" t="s">
        <v>1666</v>
      </c>
      <c r="D2605" s="36" t="s">
        <v>114</v>
      </c>
      <c r="E2605" s="36" t="s">
        <v>114</v>
      </c>
      <c r="F2605" s="154" t="s">
        <v>5814</v>
      </c>
      <c r="G2605" s="36" t="s">
        <v>32</v>
      </c>
      <c r="H2605" s="36" t="s">
        <v>1655</v>
      </c>
      <c r="I2605" s="36" t="s">
        <v>1656</v>
      </c>
      <c r="J2605" s="36" t="s">
        <v>1656</v>
      </c>
      <c r="K2605" s="36" t="s">
        <v>1730</v>
      </c>
      <c r="L2605" s="36" t="s">
        <v>5325</v>
      </c>
      <c r="M2605" s="36" t="s">
        <v>5325</v>
      </c>
      <c r="N2605" s="36" t="s">
        <v>32</v>
      </c>
    </row>
    <row r="2606">
      <c r="A2606" s="36" t="s">
        <v>6170</v>
      </c>
      <c r="B2606" s="154" t="s">
        <v>6171</v>
      </c>
      <c r="C2606" s="36" t="s">
        <v>1666</v>
      </c>
      <c r="D2606" s="36" t="s">
        <v>310</v>
      </c>
      <c r="E2606" s="36" t="s">
        <v>310</v>
      </c>
      <c r="F2606" s="154" t="s">
        <v>1768</v>
      </c>
      <c r="G2606" s="36" t="s">
        <v>28</v>
      </c>
      <c r="H2606" s="36" t="s">
        <v>1655</v>
      </c>
      <c r="I2606" s="36" t="s">
        <v>1656</v>
      </c>
      <c r="J2606" s="36" t="s">
        <v>1656</v>
      </c>
      <c r="K2606" s="36" t="s">
        <v>1732</v>
      </c>
      <c r="L2606" s="36" t="s">
        <v>5325</v>
      </c>
      <c r="M2606" s="36" t="s">
        <v>5325</v>
      </c>
      <c r="N2606" s="36" t="s">
        <v>34</v>
      </c>
    </row>
    <row r="2607">
      <c r="A2607" s="36" t="s">
        <v>6172</v>
      </c>
      <c r="B2607" s="154" t="s">
        <v>6171</v>
      </c>
      <c r="C2607" s="36" t="s">
        <v>1666</v>
      </c>
      <c r="D2607" s="36" t="s">
        <v>110</v>
      </c>
      <c r="E2607" s="36" t="s">
        <v>110</v>
      </c>
      <c r="F2607" s="154" t="s">
        <v>1816</v>
      </c>
      <c r="G2607" s="36" t="s">
        <v>28</v>
      </c>
      <c r="H2607" s="36" t="s">
        <v>1655</v>
      </c>
      <c r="I2607" s="36" t="s">
        <v>1656</v>
      </c>
      <c r="J2607" s="36" t="s">
        <v>1656</v>
      </c>
      <c r="K2607" s="36" t="s">
        <v>1736</v>
      </c>
      <c r="L2607" s="36" t="s">
        <v>5325</v>
      </c>
      <c r="M2607" s="36" t="s">
        <v>5325</v>
      </c>
      <c r="N2607" s="36" t="s">
        <v>34</v>
      </c>
    </row>
    <row r="2608">
      <c r="A2608" s="36" t="s">
        <v>6173</v>
      </c>
      <c r="B2608" s="154" t="s">
        <v>6171</v>
      </c>
      <c r="C2608" s="36" t="s">
        <v>1666</v>
      </c>
      <c r="D2608" s="36" t="s">
        <v>801</v>
      </c>
      <c r="E2608" s="36" t="s">
        <v>801</v>
      </c>
      <c r="F2608" s="154" t="s">
        <v>1686</v>
      </c>
      <c r="G2608" s="36" t="s">
        <v>28</v>
      </c>
      <c r="H2608" s="36" t="s">
        <v>1655</v>
      </c>
      <c r="I2608" s="36" t="s">
        <v>1656</v>
      </c>
      <c r="J2608" s="36" t="s">
        <v>1656</v>
      </c>
      <c r="K2608" s="36" t="s">
        <v>1739</v>
      </c>
      <c r="L2608" s="36" t="s">
        <v>5325</v>
      </c>
      <c r="M2608" s="36" t="s">
        <v>5325</v>
      </c>
      <c r="N2608" s="36" t="s">
        <v>34</v>
      </c>
    </row>
    <row r="2609">
      <c r="A2609" s="36" t="s">
        <v>6174</v>
      </c>
      <c r="B2609" s="154" t="s">
        <v>6175</v>
      </c>
      <c r="C2609" s="36" t="s">
        <v>1666</v>
      </c>
      <c r="D2609" s="36" t="s">
        <v>737</v>
      </c>
      <c r="E2609" s="36" t="s">
        <v>737</v>
      </c>
      <c r="F2609" s="154" t="s">
        <v>1816</v>
      </c>
      <c r="G2609" s="36" t="s">
        <v>28</v>
      </c>
      <c r="H2609" s="36" t="s">
        <v>1655</v>
      </c>
      <c r="I2609" s="36" t="s">
        <v>1656</v>
      </c>
      <c r="J2609" s="36" t="s">
        <v>1656</v>
      </c>
      <c r="K2609" s="36" t="s">
        <v>1742</v>
      </c>
      <c r="L2609" s="36" t="s">
        <v>5325</v>
      </c>
      <c r="M2609" s="36" t="s">
        <v>5325</v>
      </c>
      <c r="N2609" s="36" t="s">
        <v>34</v>
      </c>
    </row>
    <row r="2610">
      <c r="A2610" s="36" t="s">
        <v>6176</v>
      </c>
      <c r="B2610" s="154" t="s">
        <v>6177</v>
      </c>
      <c r="C2610" s="36" t="s">
        <v>1666</v>
      </c>
      <c r="D2610" s="36" t="s">
        <v>475</v>
      </c>
      <c r="E2610" s="36" t="s">
        <v>475</v>
      </c>
      <c r="F2610" s="154" t="s">
        <v>6081</v>
      </c>
      <c r="G2610" s="36" t="s">
        <v>32</v>
      </c>
      <c r="H2610" s="36" t="s">
        <v>1655</v>
      </c>
      <c r="I2610" s="36" t="s">
        <v>1656</v>
      </c>
      <c r="J2610" s="36" t="s">
        <v>1656</v>
      </c>
      <c r="K2610" s="36" t="s">
        <v>1745</v>
      </c>
      <c r="L2610" s="36" t="s">
        <v>5325</v>
      </c>
      <c r="M2610" s="36" t="s">
        <v>5325</v>
      </c>
      <c r="N2610" s="36" t="s">
        <v>34</v>
      </c>
    </row>
    <row r="2611">
      <c r="A2611" s="36" t="s">
        <v>6178</v>
      </c>
      <c r="B2611" s="154" t="s">
        <v>6179</v>
      </c>
      <c r="C2611" s="36" t="s">
        <v>1666</v>
      </c>
      <c r="D2611" s="36" t="s">
        <v>89</v>
      </c>
      <c r="E2611" s="36" t="s">
        <v>89</v>
      </c>
      <c r="F2611" s="154" t="s">
        <v>1816</v>
      </c>
      <c r="G2611" s="36" t="s">
        <v>28</v>
      </c>
      <c r="H2611" s="36" t="s">
        <v>1655</v>
      </c>
      <c r="I2611" s="36" t="s">
        <v>1656</v>
      </c>
      <c r="J2611" s="36" t="s">
        <v>1656</v>
      </c>
      <c r="K2611" s="36" t="s">
        <v>1773</v>
      </c>
      <c r="L2611" s="36" t="s">
        <v>5325</v>
      </c>
      <c r="M2611" s="36" t="s">
        <v>5325</v>
      </c>
      <c r="N2611" s="36" t="s">
        <v>34</v>
      </c>
    </row>
    <row r="2612">
      <c r="A2612" s="36" t="s">
        <v>6180</v>
      </c>
      <c r="B2612" s="154" t="s">
        <v>6181</v>
      </c>
      <c r="C2612" s="36" t="s">
        <v>1666</v>
      </c>
      <c r="D2612" s="36" t="s">
        <v>618</v>
      </c>
      <c r="E2612" s="36" t="s">
        <v>618</v>
      </c>
      <c r="F2612" s="154" t="s">
        <v>2049</v>
      </c>
      <c r="G2612" s="36" t="s">
        <v>28</v>
      </c>
      <c r="H2612" s="36" t="s">
        <v>1655</v>
      </c>
      <c r="I2612" s="36" t="s">
        <v>1656</v>
      </c>
      <c r="J2612" s="36" t="s">
        <v>1656</v>
      </c>
      <c r="K2612" s="36" t="s">
        <v>1776</v>
      </c>
      <c r="L2612" s="36" t="s">
        <v>5325</v>
      </c>
      <c r="M2612" s="36" t="s">
        <v>5325</v>
      </c>
      <c r="N2612" s="36" t="s">
        <v>34</v>
      </c>
    </row>
    <row r="2613">
      <c r="A2613" s="36" t="s">
        <v>6182</v>
      </c>
      <c r="B2613" s="154" t="s">
        <v>6181</v>
      </c>
      <c r="C2613" s="36" t="s">
        <v>1666</v>
      </c>
      <c r="D2613" s="36" t="s">
        <v>110</v>
      </c>
      <c r="E2613" s="36" t="s">
        <v>110</v>
      </c>
      <c r="F2613" s="154" t="s">
        <v>2522</v>
      </c>
      <c r="G2613" s="36" t="s">
        <v>28</v>
      </c>
      <c r="H2613" s="36" t="s">
        <v>1655</v>
      </c>
      <c r="I2613" s="36" t="s">
        <v>1656</v>
      </c>
      <c r="J2613" s="36" t="s">
        <v>1656</v>
      </c>
      <c r="K2613" s="36" t="s">
        <v>1779</v>
      </c>
      <c r="L2613" s="36" t="s">
        <v>5325</v>
      </c>
      <c r="M2613" s="36" t="s">
        <v>5325</v>
      </c>
      <c r="N2613" s="36" t="s">
        <v>34</v>
      </c>
    </row>
    <row r="2614">
      <c r="A2614" s="36" t="s">
        <v>6183</v>
      </c>
      <c r="B2614" s="154" t="s">
        <v>6184</v>
      </c>
      <c r="C2614" s="36" t="s">
        <v>1666</v>
      </c>
      <c r="D2614" s="36" t="s">
        <v>822</v>
      </c>
      <c r="E2614" s="36" t="s">
        <v>822</v>
      </c>
      <c r="F2614" s="154" t="s">
        <v>6185</v>
      </c>
      <c r="G2614" s="36" t="s">
        <v>32</v>
      </c>
      <c r="H2614" s="36" t="s">
        <v>1655</v>
      </c>
      <c r="I2614" s="36" t="s">
        <v>1656</v>
      </c>
      <c r="J2614" s="36" t="s">
        <v>1656</v>
      </c>
      <c r="K2614" s="36" t="s">
        <v>1782</v>
      </c>
      <c r="L2614" s="36" t="s">
        <v>5325</v>
      </c>
      <c r="M2614" s="36" t="s">
        <v>5325</v>
      </c>
      <c r="N2614" s="36" t="s">
        <v>32</v>
      </c>
    </row>
    <row r="2615">
      <c r="A2615" s="36" t="s">
        <v>6186</v>
      </c>
      <c r="B2615" s="154" t="s">
        <v>6184</v>
      </c>
      <c r="C2615" s="36" t="s">
        <v>1666</v>
      </c>
      <c r="D2615" s="36" t="s">
        <v>210</v>
      </c>
      <c r="E2615" s="36" t="s">
        <v>210</v>
      </c>
      <c r="F2615" s="154" t="s">
        <v>1768</v>
      </c>
      <c r="G2615" s="36" t="s">
        <v>28</v>
      </c>
      <c r="H2615" s="36" t="s">
        <v>1655</v>
      </c>
      <c r="I2615" s="36" t="s">
        <v>1656</v>
      </c>
      <c r="J2615" s="36" t="s">
        <v>1656</v>
      </c>
      <c r="K2615" s="36" t="s">
        <v>1784</v>
      </c>
      <c r="L2615" s="36" t="s">
        <v>5325</v>
      </c>
      <c r="M2615" s="36" t="s">
        <v>5325</v>
      </c>
      <c r="N2615" s="36" t="s">
        <v>32</v>
      </c>
    </row>
    <row r="2616">
      <c r="A2616" s="36" t="s">
        <v>6187</v>
      </c>
      <c r="B2616" s="154" t="s">
        <v>6188</v>
      </c>
      <c r="C2616" s="36" t="s">
        <v>1666</v>
      </c>
      <c r="D2616" s="36" t="s">
        <v>130</v>
      </c>
      <c r="E2616" s="36" t="s">
        <v>130</v>
      </c>
      <c r="F2616" s="154" t="s">
        <v>1768</v>
      </c>
      <c r="G2616" s="36" t="s">
        <v>32</v>
      </c>
      <c r="H2616" s="36" t="s">
        <v>1655</v>
      </c>
      <c r="I2616" s="36" t="s">
        <v>1656</v>
      </c>
      <c r="J2616" s="36" t="s">
        <v>1656</v>
      </c>
      <c r="K2616" s="36" t="s">
        <v>1787</v>
      </c>
      <c r="L2616" s="36" t="s">
        <v>5325</v>
      </c>
      <c r="M2616" s="36" t="s">
        <v>5325</v>
      </c>
      <c r="N2616" s="36" t="s">
        <v>32</v>
      </c>
    </row>
    <row r="2617">
      <c r="A2617" s="36" t="s">
        <v>6189</v>
      </c>
      <c r="B2617" s="154" t="s">
        <v>6188</v>
      </c>
      <c r="C2617" s="36" t="s">
        <v>1666</v>
      </c>
      <c r="D2617" s="36" t="s">
        <v>831</v>
      </c>
      <c r="E2617" s="36" t="s">
        <v>831</v>
      </c>
      <c r="F2617" s="154" t="s">
        <v>6190</v>
      </c>
      <c r="G2617" s="36" t="s">
        <v>32</v>
      </c>
      <c r="H2617" s="36" t="s">
        <v>1655</v>
      </c>
      <c r="I2617" s="36" t="s">
        <v>1656</v>
      </c>
      <c r="J2617" s="36" t="s">
        <v>1656</v>
      </c>
      <c r="K2617" s="36" t="s">
        <v>1790</v>
      </c>
      <c r="L2617" s="36" t="s">
        <v>5325</v>
      </c>
      <c r="M2617" s="36" t="s">
        <v>5325</v>
      </c>
      <c r="N2617" s="36" t="s">
        <v>32</v>
      </c>
    </row>
    <row r="2618">
      <c r="A2618" s="36" t="s">
        <v>6191</v>
      </c>
      <c r="B2618" s="154" t="s">
        <v>6192</v>
      </c>
      <c r="C2618" s="36" t="s">
        <v>1666</v>
      </c>
      <c r="D2618" s="36" t="s">
        <v>79</v>
      </c>
      <c r="E2618" s="36" t="s">
        <v>79</v>
      </c>
      <c r="F2618" s="154" t="s">
        <v>5606</v>
      </c>
      <c r="G2618" s="36" t="s">
        <v>32</v>
      </c>
      <c r="H2618" s="36" t="s">
        <v>1655</v>
      </c>
      <c r="I2618" s="36" t="s">
        <v>1656</v>
      </c>
      <c r="J2618" s="36" t="s">
        <v>1656</v>
      </c>
      <c r="K2618" s="36" t="s">
        <v>1769</v>
      </c>
      <c r="L2618" s="36" t="s">
        <v>5325</v>
      </c>
      <c r="M2618" s="36" t="s">
        <v>5325</v>
      </c>
      <c r="N2618" s="36" t="s">
        <v>32</v>
      </c>
    </row>
    <row r="2619">
      <c r="A2619" s="36" t="s">
        <v>6193</v>
      </c>
      <c r="B2619" s="154" t="s">
        <v>6192</v>
      </c>
      <c r="C2619" s="36" t="s">
        <v>1666</v>
      </c>
      <c r="D2619" s="36" t="s">
        <v>81</v>
      </c>
      <c r="E2619" s="36" t="s">
        <v>81</v>
      </c>
      <c r="F2619" s="154" t="s">
        <v>5807</v>
      </c>
      <c r="G2619" s="36" t="s">
        <v>28</v>
      </c>
      <c r="H2619" s="36" t="s">
        <v>1655</v>
      </c>
      <c r="I2619" s="36" t="s">
        <v>1656</v>
      </c>
      <c r="J2619" s="36" t="s">
        <v>1656</v>
      </c>
      <c r="K2619" s="36" t="s">
        <v>1811</v>
      </c>
      <c r="L2619" s="36" t="s">
        <v>5325</v>
      </c>
      <c r="M2619" s="36" t="s">
        <v>5325</v>
      </c>
      <c r="N2619" s="36" t="s">
        <v>32</v>
      </c>
    </row>
    <row r="2620">
      <c r="A2620" s="36" t="s">
        <v>6194</v>
      </c>
      <c r="B2620" s="154" t="s">
        <v>6192</v>
      </c>
      <c r="C2620" s="36" t="s">
        <v>1666</v>
      </c>
      <c r="D2620" s="36" t="s">
        <v>83</v>
      </c>
      <c r="E2620" s="36" t="s">
        <v>83</v>
      </c>
      <c r="F2620" s="154" t="s">
        <v>6195</v>
      </c>
      <c r="G2620" s="36" t="s">
        <v>28</v>
      </c>
      <c r="H2620" s="36" t="s">
        <v>1655</v>
      </c>
      <c r="I2620" s="36" t="s">
        <v>1656</v>
      </c>
      <c r="J2620" s="36" t="s">
        <v>1656</v>
      </c>
      <c r="K2620" s="36" t="s">
        <v>1891</v>
      </c>
      <c r="L2620" s="36" t="s">
        <v>5325</v>
      </c>
      <c r="M2620" s="36" t="s">
        <v>5325</v>
      </c>
      <c r="N2620" s="36" t="s">
        <v>32</v>
      </c>
    </row>
    <row r="2621">
      <c r="A2621" s="36" t="s">
        <v>6196</v>
      </c>
      <c r="B2621" s="154" t="s">
        <v>6192</v>
      </c>
      <c r="C2621" s="36" t="s">
        <v>1666</v>
      </c>
      <c r="D2621" s="36" t="s">
        <v>84</v>
      </c>
      <c r="E2621" s="36" t="s">
        <v>84</v>
      </c>
      <c r="F2621" s="154" t="s">
        <v>5693</v>
      </c>
      <c r="G2621" s="36" t="s">
        <v>32</v>
      </c>
      <c r="H2621" s="36" t="s">
        <v>1655</v>
      </c>
      <c r="I2621" s="36" t="s">
        <v>1656</v>
      </c>
      <c r="J2621" s="36" t="s">
        <v>1656</v>
      </c>
      <c r="K2621" s="36" t="s">
        <v>1921</v>
      </c>
      <c r="L2621" s="36" t="s">
        <v>5325</v>
      </c>
      <c r="M2621" s="36" t="s">
        <v>5325</v>
      </c>
      <c r="N2621" s="36" t="s">
        <v>32</v>
      </c>
    </row>
    <row r="2622">
      <c r="A2622" s="36" t="s">
        <v>6197</v>
      </c>
      <c r="B2622" s="154" t="s">
        <v>6192</v>
      </c>
      <c r="C2622" s="36" t="s">
        <v>1666</v>
      </c>
      <c r="D2622" s="36" t="s">
        <v>835</v>
      </c>
      <c r="E2622" s="36" t="s">
        <v>835</v>
      </c>
      <c r="F2622" s="154" t="s">
        <v>6198</v>
      </c>
      <c r="G2622" s="36" t="s">
        <v>28</v>
      </c>
      <c r="H2622" s="36" t="s">
        <v>1655</v>
      </c>
      <c r="I2622" s="36" t="s">
        <v>1656</v>
      </c>
      <c r="J2622" s="36" t="s">
        <v>1656</v>
      </c>
      <c r="K2622" s="36" t="s">
        <v>1793</v>
      </c>
      <c r="L2622" s="36" t="s">
        <v>5325</v>
      </c>
      <c r="M2622" s="36" t="s">
        <v>5325</v>
      </c>
      <c r="N2622" s="36" t="s">
        <v>34</v>
      </c>
    </row>
    <row r="2623">
      <c r="A2623" s="36" t="s">
        <v>6199</v>
      </c>
      <c r="B2623" s="154" t="s">
        <v>6192</v>
      </c>
      <c r="C2623" s="36" t="s">
        <v>1666</v>
      </c>
      <c r="D2623" s="36" t="s">
        <v>110</v>
      </c>
      <c r="E2623" s="36" t="s">
        <v>110</v>
      </c>
      <c r="F2623" s="154" t="s">
        <v>1768</v>
      </c>
      <c r="G2623" s="36" t="s">
        <v>28</v>
      </c>
      <c r="H2623" s="36" t="s">
        <v>1655</v>
      </c>
      <c r="I2623" s="36" t="s">
        <v>1656</v>
      </c>
      <c r="J2623" s="36" t="s">
        <v>1656</v>
      </c>
      <c r="K2623" s="36" t="s">
        <v>1796</v>
      </c>
      <c r="L2623" s="36" t="s">
        <v>5325</v>
      </c>
      <c r="M2623" s="36" t="s">
        <v>5325</v>
      </c>
      <c r="N2623" s="36" t="s">
        <v>34</v>
      </c>
    </row>
    <row r="2624">
      <c r="A2624" s="36" t="s">
        <v>6200</v>
      </c>
      <c r="B2624" s="154" t="s">
        <v>6192</v>
      </c>
      <c r="C2624" s="36" t="s">
        <v>1666</v>
      </c>
      <c r="D2624" s="36" t="s">
        <v>845</v>
      </c>
      <c r="E2624" s="36" t="s">
        <v>845</v>
      </c>
      <c r="F2624" s="154" t="s">
        <v>1714</v>
      </c>
      <c r="G2624" s="36" t="s">
        <v>28</v>
      </c>
      <c r="H2624" s="36" t="s">
        <v>1655</v>
      </c>
      <c r="I2624" s="36" t="s">
        <v>1656</v>
      </c>
      <c r="J2624" s="36" t="s">
        <v>1656</v>
      </c>
      <c r="K2624" s="36" t="s">
        <v>1800</v>
      </c>
      <c r="L2624" s="36" t="s">
        <v>5325</v>
      </c>
      <c r="M2624" s="36" t="s">
        <v>5325</v>
      </c>
      <c r="N2624" s="36" t="s">
        <v>34</v>
      </c>
    </row>
    <row r="2625">
      <c r="A2625" s="36" t="s">
        <v>6201</v>
      </c>
      <c r="B2625" s="154" t="s">
        <v>6192</v>
      </c>
      <c r="C2625" s="36" t="s">
        <v>1666</v>
      </c>
      <c r="D2625" s="36" t="s">
        <v>850</v>
      </c>
      <c r="E2625" s="36" t="s">
        <v>850</v>
      </c>
      <c r="F2625" s="154" t="s">
        <v>1686</v>
      </c>
      <c r="G2625" s="36" t="s">
        <v>28</v>
      </c>
      <c r="H2625" s="36" t="s">
        <v>1655</v>
      </c>
      <c r="I2625" s="36" t="s">
        <v>1656</v>
      </c>
      <c r="J2625" s="36" t="s">
        <v>1656</v>
      </c>
      <c r="K2625" s="36" t="s">
        <v>1803</v>
      </c>
      <c r="L2625" s="36" t="s">
        <v>5325</v>
      </c>
      <c r="M2625" s="36" t="s">
        <v>5325</v>
      </c>
      <c r="N2625" s="36" t="s">
        <v>34</v>
      </c>
    </row>
    <row r="2626">
      <c r="A2626" s="36" t="s">
        <v>6202</v>
      </c>
      <c r="B2626" s="154" t="s">
        <v>6192</v>
      </c>
      <c r="C2626" s="36" t="s">
        <v>1666</v>
      </c>
      <c r="D2626" s="36" t="s">
        <v>356</v>
      </c>
      <c r="E2626" s="36" t="s">
        <v>356</v>
      </c>
      <c r="F2626" s="154" t="s">
        <v>6203</v>
      </c>
      <c r="G2626" s="36" t="s">
        <v>32</v>
      </c>
      <c r="H2626" s="36" t="s">
        <v>1655</v>
      </c>
      <c r="I2626" s="36" t="s">
        <v>1656</v>
      </c>
      <c r="J2626" s="36" t="s">
        <v>1656</v>
      </c>
      <c r="K2626" s="36" t="s">
        <v>1807</v>
      </c>
      <c r="L2626" s="36" t="s">
        <v>5325</v>
      </c>
      <c r="M2626" s="36" t="s">
        <v>5325</v>
      </c>
      <c r="N2626" s="36" t="s">
        <v>32</v>
      </c>
    </row>
    <row r="2627">
      <c r="A2627" s="36" t="s">
        <v>6204</v>
      </c>
      <c r="B2627" s="154" t="s">
        <v>6205</v>
      </c>
      <c r="C2627" s="36" t="s">
        <v>1653</v>
      </c>
      <c r="D2627" s="36" t="s">
        <v>43</v>
      </c>
      <c r="E2627" s="36" t="s">
        <v>39</v>
      </c>
      <c r="F2627" s="154" t="s">
        <v>6206</v>
      </c>
      <c r="G2627" s="36" t="s">
        <v>32</v>
      </c>
      <c r="H2627" s="36" t="s">
        <v>1655</v>
      </c>
      <c r="I2627" s="36" t="s">
        <v>1656</v>
      </c>
      <c r="J2627" s="36" t="s">
        <v>1656</v>
      </c>
      <c r="K2627" s="36" t="s">
        <v>1657</v>
      </c>
      <c r="L2627" s="36" t="s">
        <v>5321</v>
      </c>
      <c r="M2627" s="36" t="s">
        <v>5321</v>
      </c>
      <c r="N2627" s="36" t="s">
        <v>32</v>
      </c>
    </row>
    <row r="2628">
      <c r="A2628" s="36" t="s">
        <v>6207</v>
      </c>
      <c r="B2628" s="154" t="s">
        <v>6205</v>
      </c>
      <c r="C2628" s="36" t="s">
        <v>1653</v>
      </c>
      <c r="D2628" s="36" t="s">
        <v>158</v>
      </c>
      <c r="E2628" s="36" t="s">
        <v>39</v>
      </c>
      <c r="F2628" s="154" t="s">
        <v>6208</v>
      </c>
      <c r="G2628" s="36" t="s">
        <v>32</v>
      </c>
      <c r="H2628" s="36" t="s">
        <v>1655</v>
      </c>
      <c r="I2628" s="36" t="s">
        <v>1656</v>
      </c>
      <c r="J2628" s="36" t="s">
        <v>1656</v>
      </c>
      <c r="K2628" s="36" t="s">
        <v>1749</v>
      </c>
      <c r="L2628" s="36" t="s">
        <v>5321</v>
      </c>
      <c r="M2628" s="36" t="s">
        <v>5321</v>
      </c>
      <c r="N2628" s="36" t="s">
        <v>32</v>
      </c>
    </row>
    <row r="2629">
      <c r="A2629" s="36" t="s">
        <v>6209</v>
      </c>
      <c r="B2629" s="154" t="s">
        <v>6205</v>
      </c>
      <c r="C2629" s="36" t="s">
        <v>1653</v>
      </c>
      <c r="D2629" s="36" t="s">
        <v>705</v>
      </c>
      <c r="E2629" s="36" t="s">
        <v>39</v>
      </c>
      <c r="F2629" s="154" t="s">
        <v>6210</v>
      </c>
      <c r="G2629" s="36" t="s">
        <v>32</v>
      </c>
      <c r="H2629" s="36" t="s">
        <v>1655</v>
      </c>
      <c r="I2629" s="36" t="s">
        <v>1656</v>
      </c>
      <c r="J2629" s="36" t="s">
        <v>1656</v>
      </c>
      <c r="K2629" s="36" t="s">
        <v>2265</v>
      </c>
      <c r="L2629" s="36" t="s">
        <v>5321</v>
      </c>
      <c r="M2629" s="36" t="s">
        <v>5321</v>
      </c>
      <c r="N2629" s="36" t="s">
        <v>32</v>
      </c>
    </row>
    <row r="2630">
      <c r="A2630" s="36" t="s">
        <v>6211</v>
      </c>
      <c r="B2630" s="154" t="s">
        <v>6205</v>
      </c>
      <c r="C2630" s="36" t="s">
        <v>1666</v>
      </c>
      <c r="D2630" s="36" t="s">
        <v>85</v>
      </c>
      <c r="E2630" s="36" t="s">
        <v>85</v>
      </c>
      <c r="F2630" s="154" t="s">
        <v>5704</v>
      </c>
      <c r="G2630" s="36" t="s">
        <v>28</v>
      </c>
      <c r="H2630" s="36" t="s">
        <v>1655</v>
      </c>
      <c r="I2630" s="36" t="s">
        <v>1656</v>
      </c>
      <c r="J2630" s="36" t="s">
        <v>1656</v>
      </c>
      <c r="K2630" s="36" t="s">
        <v>3035</v>
      </c>
      <c r="L2630" s="36" t="s">
        <v>5325</v>
      </c>
      <c r="M2630" s="36" t="s">
        <v>5325</v>
      </c>
      <c r="N2630" s="36" t="s">
        <v>32</v>
      </c>
    </row>
    <row r="2631">
      <c r="A2631" s="36" t="s">
        <v>6212</v>
      </c>
      <c r="B2631" s="154" t="s">
        <v>6205</v>
      </c>
      <c r="C2631" s="36" t="s">
        <v>1666</v>
      </c>
      <c r="D2631" s="36" t="s">
        <v>717</v>
      </c>
      <c r="E2631" s="36" t="s">
        <v>717</v>
      </c>
      <c r="F2631" s="154" t="s">
        <v>6213</v>
      </c>
      <c r="G2631" s="36" t="s">
        <v>28</v>
      </c>
      <c r="H2631" s="36" t="s">
        <v>1655</v>
      </c>
      <c r="I2631" s="36" t="s">
        <v>1656</v>
      </c>
      <c r="J2631" s="36" t="s">
        <v>1656</v>
      </c>
      <c r="K2631" s="36" t="s">
        <v>3038</v>
      </c>
      <c r="L2631" s="36" t="s">
        <v>5325</v>
      </c>
      <c r="M2631" s="36" t="s">
        <v>5325</v>
      </c>
      <c r="N2631" s="36" t="s">
        <v>32</v>
      </c>
    </row>
    <row r="2632">
      <c r="A2632" s="36" t="s">
        <v>6214</v>
      </c>
      <c r="B2632" s="154" t="s">
        <v>6205</v>
      </c>
      <c r="C2632" s="36" t="s">
        <v>1666</v>
      </c>
      <c r="D2632" s="36" t="s">
        <v>100</v>
      </c>
      <c r="E2632" s="36" t="s">
        <v>100</v>
      </c>
      <c r="F2632" s="154" t="s">
        <v>1810</v>
      </c>
      <c r="G2632" s="36" t="s">
        <v>32</v>
      </c>
      <c r="H2632" s="36" t="s">
        <v>1655</v>
      </c>
      <c r="I2632" s="36" t="s">
        <v>1656</v>
      </c>
      <c r="J2632" s="36" t="s">
        <v>1656</v>
      </c>
      <c r="K2632" s="36" t="s">
        <v>1668</v>
      </c>
      <c r="L2632" s="36" t="s">
        <v>5325</v>
      </c>
      <c r="M2632" s="36" t="s">
        <v>5325</v>
      </c>
      <c r="N2632" s="36" t="s">
        <v>32</v>
      </c>
    </row>
    <row r="2633">
      <c r="A2633" s="36" t="s">
        <v>6215</v>
      </c>
      <c r="B2633" s="154" t="s">
        <v>6216</v>
      </c>
      <c r="C2633" s="36" t="s">
        <v>1666</v>
      </c>
      <c r="D2633" s="36" t="s">
        <v>92</v>
      </c>
      <c r="E2633" s="36" t="s">
        <v>92</v>
      </c>
      <c r="F2633" s="154" t="s">
        <v>6217</v>
      </c>
      <c r="G2633" s="36" t="s">
        <v>32</v>
      </c>
      <c r="H2633" s="36" t="s">
        <v>1655</v>
      </c>
      <c r="I2633" s="36" t="s">
        <v>1656</v>
      </c>
      <c r="J2633" s="36" t="s">
        <v>1656</v>
      </c>
      <c r="K2633" s="36" t="s">
        <v>1672</v>
      </c>
      <c r="L2633" s="36" t="s">
        <v>5325</v>
      </c>
      <c r="M2633" s="36" t="s">
        <v>5325</v>
      </c>
      <c r="N2633" s="36" t="s">
        <v>32</v>
      </c>
    </row>
    <row r="2634">
      <c r="A2634" s="36" t="s">
        <v>6218</v>
      </c>
      <c r="B2634" s="154" t="s">
        <v>6216</v>
      </c>
      <c r="C2634" s="36" t="s">
        <v>1666</v>
      </c>
      <c r="D2634" s="36" t="s">
        <v>730</v>
      </c>
      <c r="E2634" s="36" t="s">
        <v>730</v>
      </c>
      <c r="F2634" s="154" t="s">
        <v>6219</v>
      </c>
      <c r="G2634" s="36" t="s">
        <v>32</v>
      </c>
      <c r="H2634" s="36" t="s">
        <v>1655</v>
      </c>
      <c r="I2634" s="36" t="s">
        <v>1656</v>
      </c>
      <c r="J2634" s="36" t="s">
        <v>1656</v>
      </c>
      <c r="K2634" s="36" t="s">
        <v>1675</v>
      </c>
      <c r="L2634" s="36" t="s">
        <v>5325</v>
      </c>
      <c r="M2634" s="36" t="s">
        <v>5325</v>
      </c>
      <c r="N2634" s="36" t="s">
        <v>32</v>
      </c>
    </row>
    <row r="2635">
      <c r="A2635" s="36" t="s">
        <v>6220</v>
      </c>
      <c r="B2635" s="154" t="s">
        <v>6216</v>
      </c>
      <c r="C2635" s="36" t="s">
        <v>1666</v>
      </c>
      <c r="D2635" s="36" t="s">
        <v>92</v>
      </c>
      <c r="E2635" s="36" t="s">
        <v>92</v>
      </c>
      <c r="F2635" s="154" t="s">
        <v>1810</v>
      </c>
      <c r="G2635" s="36" t="s">
        <v>32</v>
      </c>
      <c r="H2635" s="36" t="s">
        <v>1655</v>
      </c>
      <c r="I2635" s="36" t="s">
        <v>1656</v>
      </c>
      <c r="J2635" s="36" t="s">
        <v>1656</v>
      </c>
      <c r="K2635" s="36" t="s">
        <v>1678</v>
      </c>
      <c r="L2635" s="36" t="s">
        <v>5325</v>
      </c>
      <c r="M2635" s="36" t="s">
        <v>5325</v>
      </c>
      <c r="N2635" s="36" t="s">
        <v>32</v>
      </c>
    </row>
    <row r="2636">
      <c r="A2636" s="36" t="s">
        <v>6221</v>
      </c>
      <c r="B2636" s="154" t="s">
        <v>6216</v>
      </c>
      <c r="C2636" s="36" t="s">
        <v>1666</v>
      </c>
      <c r="D2636" s="36" t="s">
        <v>742</v>
      </c>
      <c r="E2636" s="36" t="s">
        <v>742</v>
      </c>
      <c r="F2636" s="154" t="s">
        <v>1778</v>
      </c>
      <c r="G2636" s="36" t="s">
        <v>28</v>
      </c>
      <c r="H2636" s="36" t="s">
        <v>1655</v>
      </c>
      <c r="I2636" s="36" t="s">
        <v>1656</v>
      </c>
      <c r="J2636" s="36" t="s">
        <v>1656</v>
      </c>
      <c r="K2636" s="36" t="s">
        <v>1681</v>
      </c>
      <c r="L2636" s="36" t="s">
        <v>5325</v>
      </c>
      <c r="M2636" s="36" t="s">
        <v>5325</v>
      </c>
      <c r="N2636" s="36" t="s">
        <v>34</v>
      </c>
    </row>
    <row r="2637">
      <c r="A2637" s="36" t="s">
        <v>6222</v>
      </c>
      <c r="B2637" s="154" t="s">
        <v>6223</v>
      </c>
      <c r="C2637" s="36" t="s">
        <v>1666</v>
      </c>
      <c r="D2637" s="36" t="s">
        <v>78</v>
      </c>
      <c r="E2637" s="36" t="s">
        <v>78</v>
      </c>
      <c r="F2637" s="154" t="s">
        <v>2325</v>
      </c>
      <c r="G2637" s="36" t="s">
        <v>28</v>
      </c>
      <c r="H2637" s="36" t="s">
        <v>1655</v>
      </c>
      <c r="I2637" s="36" t="s">
        <v>1656</v>
      </c>
      <c r="J2637" s="36" t="s">
        <v>1656</v>
      </c>
      <c r="K2637" s="36" t="s">
        <v>4248</v>
      </c>
      <c r="L2637" s="36" t="s">
        <v>5325</v>
      </c>
      <c r="M2637" s="36" t="s">
        <v>5325</v>
      </c>
      <c r="N2637" s="36" t="s">
        <v>32</v>
      </c>
    </row>
    <row r="2638">
      <c r="A2638" s="36" t="s">
        <v>6224</v>
      </c>
      <c r="B2638" s="154" t="s">
        <v>6223</v>
      </c>
      <c r="C2638" s="36" t="s">
        <v>1666</v>
      </c>
      <c r="D2638" s="36" t="s">
        <v>747</v>
      </c>
      <c r="E2638" s="36" t="s">
        <v>747</v>
      </c>
      <c r="F2638" s="154" t="s">
        <v>4200</v>
      </c>
      <c r="G2638" s="36" t="s">
        <v>32</v>
      </c>
      <c r="H2638" s="36" t="s">
        <v>1655</v>
      </c>
      <c r="I2638" s="36" t="s">
        <v>1656</v>
      </c>
      <c r="J2638" s="36" t="s">
        <v>1656</v>
      </c>
      <c r="K2638" s="36" t="s">
        <v>1684</v>
      </c>
      <c r="L2638" s="36" t="s">
        <v>5325</v>
      </c>
      <c r="M2638" s="36" t="s">
        <v>5325</v>
      </c>
      <c r="N2638" s="36" t="s">
        <v>32</v>
      </c>
    </row>
    <row r="2639">
      <c r="A2639" s="36" t="s">
        <v>6225</v>
      </c>
      <c r="B2639" s="154" t="s">
        <v>6223</v>
      </c>
      <c r="C2639" s="36" t="s">
        <v>1666</v>
      </c>
      <c r="D2639" s="36" t="s">
        <v>210</v>
      </c>
      <c r="E2639" s="36" t="s">
        <v>210</v>
      </c>
      <c r="F2639" s="154" t="s">
        <v>2049</v>
      </c>
      <c r="G2639" s="36" t="s">
        <v>28</v>
      </c>
      <c r="H2639" s="36" t="s">
        <v>1655</v>
      </c>
      <c r="I2639" s="36" t="s">
        <v>1656</v>
      </c>
      <c r="J2639" s="36" t="s">
        <v>1656</v>
      </c>
      <c r="K2639" s="36" t="s">
        <v>1691</v>
      </c>
      <c r="L2639" s="36" t="s">
        <v>5325</v>
      </c>
      <c r="M2639" s="36" t="s">
        <v>5325</v>
      </c>
      <c r="N2639" s="36" t="s">
        <v>32</v>
      </c>
    </row>
    <row r="2640">
      <c r="A2640" s="36" t="s">
        <v>6226</v>
      </c>
      <c r="B2640" s="154" t="s">
        <v>6223</v>
      </c>
      <c r="C2640" s="36" t="s">
        <v>1666</v>
      </c>
      <c r="D2640" s="36" t="s">
        <v>311</v>
      </c>
      <c r="E2640" s="36" t="s">
        <v>311</v>
      </c>
      <c r="F2640" s="154" t="s">
        <v>6227</v>
      </c>
      <c r="G2640" s="36" t="s">
        <v>32</v>
      </c>
      <c r="H2640" s="36" t="s">
        <v>1655</v>
      </c>
      <c r="I2640" s="36" t="s">
        <v>1656</v>
      </c>
      <c r="J2640" s="36" t="s">
        <v>1656</v>
      </c>
      <c r="K2640" s="36" t="s">
        <v>1695</v>
      </c>
      <c r="L2640" s="36" t="s">
        <v>5325</v>
      </c>
      <c r="M2640" s="36" t="s">
        <v>5325</v>
      </c>
      <c r="N2640" s="36" t="s">
        <v>32</v>
      </c>
    </row>
    <row r="2641">
      <c r="A2641" s="36" t="s">
        <v>6228</v>
      </c>
      <c r="B2641" s="154" t="s">
        <v>6223</v>
      </c>
      <c r="C2641" s="36" t="s">
        <v>1666</v>
      </c>
      <c r="D2641" s="36" t="s">
        <v>109</v>
      </c>
      <c r="E2641" s="36" t="s">
        <v>109</v>
      </c>
      <c r="F2641" s="154" t="s">
        <v>5958</v>
      </c>
      <c r="G2641" s="36" t="s">
        <v>28</v>
      </c>
      <c r="H2641" s="36" t="s">
        <v>1655</v>
      </c>
      <c r="I2641" s="36" t="s">
        <v>1656</v>
      </c>
      <c r="J2641" s="36" t="s">
        <v>1656</v>
      </c>
      <c r="K2641" s="36" t="s">
        <v>1698</v>
      </c>
      <c r="L2641" s="36" t="s">
        <v>5325</v>
      </c>
      <c r="M2641" s="36" t="s">
        <v>5325</v>
      </c>
      <c r="N2641" s="36" t="s">
        <v>34</v>
      </c>
    </row>
    <row r="2642">
      <c r="A2642" s="36" t="s">
        <v>6229</v>
      </c>
      <c r="B2642" s="154" t="s">
        <v>6230</v>
      </c>
      <c r="C2642" s="36" t="s">
        <v>1666</v>
      </c>
      <c r="D2642" s="36" t="s">
        <v>63</v>
      </c>
      <c r="E2642" s="36" t="s">
        <v>63</v>
      </c>
      <c r="F2642" s="154" t="s">
        <v>6231</v>
      </c>
      <c r="G2642" s="36" t="s">
        <v>28</v>
      </c>
      <c r="H2642" s="36" t="s">
        <v>1655</v>
      </c>
      <c r="I2642" s="36" t="s">
        <v>1656</v>
      </c>
      <c r="J2642" s="36" t="s">
        <v>1656</v>
      </c>
      <c r="K2642" s="36" t="s">
        <v>4196</v>
      </c>
      <c r="L2642" s="36" t="s">
        <v>5325</v>
      </c>
      <c r="M2642" s="36" t="s">
        <v>5325</v>
      </c>
      <c r="N2642" s="36" t="s">
        <v>34</v>
      </c>
    </row>
    <row r="2643">
      <c r="A2643" s="36" t="s">
        <v>6232</v>
      </c>
      <c r="B2643" s="154" t="s">
        <v>6230</v>
      </c>
      <c r="C2643" s="36" t="s">
        <v>1666</v>
      </c>
      <c r="D2643" s="36" t="s">
        <v>310</v>
      </c>
      <c r="E2643" s="36" t="s">
        <v>310</v>
      </c>
      <c r="F2643" s="154" t="s">
        <v>2728</v>
      </c>
      <c r="G2643" s="36" t="s">
        <v>28</v>
      </c>
      <c r="H2643" s="36" t="s">
        <v>1655</v>
      </c>
      <c r="I2643" s="36" t="s">
        <v>1656</v>
      </c>
      <c r="J2643" s="36" t="s">
        <v>1656</v>
      </c>
      <c r="K2643" s="36" t="s">
        <v>1701</v>
      </c>
      <c r="L2643" s="36" t="s">
        <v>5325</v>
      </c>
      <c r="M2643" s="36" t="s">
        <v>5325</v>
      </c>
      <c r="N2643" s="36" t="s">
        <v>32</v>
      </c>
    </row>
    <row r="2644">
      <c r="A2644" s="36" t="s">
        <v>6233</v>
      </c>
      <c r="B2644" s="154" t="s">
        <v>6230</v>
      </c>
      <c r="C2644" s="36" t="s">
        <v>1666</v>
      </c>
      <c r="D2644" s="36" t="s">
        <v>191</v>
      </c>
      <c r="E2644" s="36" t="s">
        <v>191</v>
      </c>
      <c r="F2644" s="154" t="s">
        <v>1816</v>
      </c>
      <c r="G2644" s="36" t="s">
        <v>28</v>
      </c>
      <c r="H2644" s="36" t="s">
        <v>1655</v>
      </c>
      <c r="I2644" s="36" t="s">
        <v>1656</v>
      </c>
      <c r="J2644" s="36" t="s">
        <v>1656</v>
      </c>
      <c r="K2644" s="36" t="s">
        <v>1704</v>
      </c>
      <c r="L2644" s="36" t="s">
        <v>5325</v>
      </c>
      <c r="M2644" s="36" t="s">
        <v>5325</v>
      </c>
      <c r="N2644" s="36" t="s">
        <v>32</v>
      </c>
    </row>
    <row r="2645">
      <c r="A2645" s="36" t="s">
        <v>6234</v>
      </c>
      <c r="B2645" s="154" t="s">
        <v>6230</v>
      </c>
      <c r="C2645" s="36" t="s">
        <v>1666</v>
      </c>
      <c r="D2645" s="36" t="s">
        <v>210</v>
      </c>
      <c r="E2645" s="36" t="s">
        <v>210</v>
      </c>
      <c r="F2645" s="154" t="s">
        <v>1768</v>
      </c>
      <c r="G2645" s="36" t="s">
        <v>28</v>
      </c>
      <c r="H2645" s="36" t="s">
        <v>1655</v>
      </c>
      <c r="I2645" s="36" t="s">
        <v>1656</v>
      </c>
      <c r="J2645" s="36" t="s">
        <v>1656</v>
      </c>
      <c r="K2645" s="36" t="s">
        <v>1711</v>
      </c>
      <c r="L2645" s="36" t="s">
        <v>5325</v>
      </c>
      <c r="M2645" s="36" t="s">
        <v>5325</v>
      </c>
      <c r="N2645" s="36" t="s">
        <v>34</v>
      </c>
    </row>
    <row r="2646">
      <c r="A2646" s="36" t="s">
        <v>6235</v>
      </c>
      <c r="B2646" s="154" t="s">
        <v>6236</v>
      </c>
      <c r="C2646" s="36" t="s">
        <v>1666</v>
      </c>
      <c r="D2646" s="36" t="s">
        <v>64</v>
      </c>
      <c r="E2646" s="36" t="s">
        <v>64</v>
      </c>
      <c r="F2646" s="154" t="s">
        <v>3867</v>
      </c>
      <c r="G2646" s="36" t="s">
        <v>28</v>
      </c>
      <c r="H2646" s="36" t="s">
        <v>1655</v>
      </c>
      <c r="I2646" s="36" t="s">
        <v>1656</v>
      </c>
      <c r="J2646" s="36" t="s">
        <v>1656</v>
      </c>
      <c r="K2646" s="36" t="s">
        <v>1708</v>
      </c>
      <c r="L2646" s="36" t="s">
        <v>5325</v>
      </c>
      <c r="M2646" s="36" t="s">
        <v>5325</v>
      </c>
      <c r="N2646" s="36" t="s">
        <v>32</v>
      </c>
    </row>
    <row r="2647">
      <c r="A2647" s="36" t="s">
        <v>6237</v>
      </c>
      <c r="B2647" s="154" t="s">
        <v>6236</v>
      </c>
      <c r="C2647" s="36" t="s">
        <v>1666</v>
      </c>
      <c r="D2647" s="36" t="s">
        <v>772</v>
      </c>
      <c r="E2647" s="36" t="s">
        <v>772</v>
      </c>
      <c r="F2647" s="154" t="s">
        <v>6238</v>
      </c>
      <c r="G2647" s="36" t="s">
        <v>28</v>
      </c>
      <c r="H2647" s="36" t="s">
        <v>1655</v>
      </c>
      <c r="I2647" s="36" t="s">
        <v>1656</v>
      </c>
      <c r="J2647" s="36" t="s">
        <v>1656</v>
      </c>
      <c r="K2647" s="36" t="s">
        <v>1715</v>
      </c>
      <c r="L2647" s="36" t="s">
        <v>5325</v>
      </c>
      <c r="M2647" s="36" t="s">
        <v>5325</v>
      </c>
      <c r="N2647" s="36" t="s">
        <v>34</v>
      </c>
    </row>
    <row r="2648">
      <c r="A2648" s="36" t="s">
        <v>6239</v>
      </c>
      <c r="B2648" s="154" t="s">
        <v>6240</v>
      </c>
      <c r="C2648" s="36" t="s">
        <v>1666</v>
      </c>
      <c r="D2648" s="36" t="s">
        <v>776</v>
      </c>
      <c r="E2648" s="36" t="s">
        <v>776</v>
      </c>
      <c r="F2648" s="154" t="s">
        <v>1832</v>
      </c>
      <c r="G2648" s="36" t="s">
        <v>28</v>
      </c>
      <c r="H2648" s="36" t="s">
        <v>1655</v>
      </c>
      <c r="I2648" s="36" t="s">
        <v>1656</v>
      </c>
      <c r="J2648" s="36" t="s">
        <v>1656</v>
      </c>
      <c r="K2648" s="36" t="s">
        <v>1717</v>
      </c>
      <c r="L2648" s="36" t="s">
        <v>5325</v>
      </c>
      <c r="M2648" s="36" t="s">
        <v>5325</v>
      </c>
      <c r="N2648" s="36" t="s">
        <v>34</v>
      </c>
    </row>
    <row r="2649">
      <c r="A2649" s="36" t="s">
        <v>6241</v>
      </c>
      <c r="B2649" s="154" t="s">
        <v>6240</v>
      </c>
      <c r="C2649" s="36" t="s">
        <v>1666</v>
      </c>
      <c r="D2649" s="36" t="s">
        <v>304</v>
      </c>
      <c r="E2649" s="36" t="s">
        <v>304</v>
      </c>
      <c r="F2649" s="154" t="s">
        <v>2049</v>
      </c>
      <c r="G2649" s="36" t="s">
        <v>28</v>
      </c>
      <c r="H2649" s="36" t="s">
        <v>1655</v>
      </c>
      <c r="I2649" s="36" t="s">
        <v>1656</v>
      </c>
      <c r="J2649" s="36" t="s">
        <v>1656</v>
      </c>
      <c r="K2649" s="36" t="s">
        <v>1724</v>
      </c>
      <c r="L2649" s="36" t="s">
        <v>5325</v>
      </c>
      <c r="M2649" s="36" t="s">
        <v>5325</v>
      </c>
      <c r="N2649" s="36" t="s">
        <v>34</v>
      </c>
    </row>
    <row r="2650">
      <c r="A2650" s="36" t="s">
        <v>6242</v>
      </c>
      <c r="B2650" s="154" t="s">
        <v>6240</v>
      </c>
      <c r="C2650" s="36" t="s">
        <v>1666</v>
      </c>
      <c r="D2650" s="36" t="s">
        <v>783</v>
      </c>
      <c r="E2650" s="36" t="s">
        <v>783</v>
      </c>
      <c r="F2650" s="154" t="s">
        <v>6243</v>
      </c>
      <c r="G2650" s="36" t="s">
        <v>28</v>
      </c>
      <c r="H2650" s="36" t="s">
        <v>1655</v>
      </c>
      <c r="I2650" s="36" t="s">
        <v>1656</v>
      </c>
      <c r="J2650" s="36" t="s">
        <v>1656</v>
      </c>
      <c r="K2650" s="36" t="s">
        <v>1727</v>
      </c>
      <c r="L2650" s="36" t="s">
        <v>5325</v>
      </c>
      <c r="M2650" s="36" t="s">
        <v>5325</v>
      </c>
      <c r="N2650" s="36" t="s">
        <v>34</v>
      </c>
    </row>
    <row r="2651">
      <c r="A2651" s="36" t="s">
        <v>6244</v>
      </c>
      <c r="B2651" s="154" t="s">
        <v>6245</v>
      </c>
      <c r="C2651" s="36" t="s">
        <v>1666</v>
      </c>
      <c r="D2651" s="36" t="s">
        <v>313</v>
      </c>
      <c r="E2651" s="36" t="s">
        <v>313</v>
      </c>
      <c r="F2651" s="154" t="s">
        <v>2085</v>
      </c>
      <c r="G2651" s="36" t="s">
        <v>32</v>
      </c>
      <c r="H2651" s="36" t="s">
        <v>1655</v>
      </c>
      <c r="I2651" s="36" t="s">
        <v>1656</v>
      </c>
      <c r="J2651" s="36" t="s">
        <v>1656</v>
      </c>
      <c r="K2651" s="36" t="s">
        <v>1730</v>
      </c>
      <c r="L2651" s="36" t="s">
        <v>5325</v>
      </c>
      <c r="M2651" s="36" t="s">
        <v>5325</v>
      </c>
      <c r="N2651" s="36" t="s">
        <v>32</v>
      </c>
    </row>
    <row r="2652">
      <c r="A2652" s="36" t="s">
        <v>6246</v>
      </c>
      <c r="B2652" s="154" t="s">
        <v>6247</v>
      </c>
      <c r="C2652" s="36" t="s">
        <v>1666</v>
      </c>
      <c r="D2652" s="36" t="s">
        <v>66</v>
      </c>
      <c r="E2652" s="36" t="s">
        <v>66</v>
      </c>
      <c r="F2652" s="154" t="s">
        <v>6248</v>
      </c>
      <c r="G2652" s="36" t="s">
        <v>28</v>
      </c>
      <c r="H2652" s="36" t="s">
        <v>1655</v>
      </c>
      <c r="I2652" s="36" t="s">
        <v>1656</v>
      </c>
      <c r="J2652" s="36" t="s">
        <v>1656</v>
      </c>
      <c r="K2652" s="36" t="s">
        <v>1721</v>
      </c>
      <c r="L2652" s="36" t="s">
        <v>5325</v>
      </c>
      <c r="M2652" s="36" t="s">
        <v>5325</v>
      </c>
      <c r="N2652" s="36" t="s">
        <v>32</v>
      </c>
    </row>
    <row r="2653">
      <c r="A2653" s="36" t="s">
        <v>6249</v>
      </c>
      <c r="B2653" s="154" t="s">
        <v>6247</v>
      </c>
      <c r="C2653" s="36" t="s">
        <v>1666</v>
      </c>
      <c r="D2653" s="36" t="s">
        <v>100</v>
      </c>
      <c r="E2653" s="36" t="s">
        <v>100</v>
      </c>
      <c r="F2653" s="154" t="s">
        <v>1810</v>
      </c>
      <c r="G2653" s="36" t="s">
        <v>32</v>
      </c>
      <c r="H2653" s="36" t="s">
        <v>1655</v>
      </c>
      <c r="I2653" s="36" t="s">
        <v>1656</v>
      </c>
      <c r="J2653" s="36" t="s">
        <v>1656</v>
      </c>
      <c r="K2653" s="36" t="s">
        <v>1732</v>
      </c>
      <c r="L2653" s="36" t="s">
        <v>5325</v>
      </c>
      <c r="M2653" s="36" t="s">
        <v>5325</v>
      </c>
      <c r="N2653" s="36" t="s">
        <v>32</v>
      </c>
    </row>
    <row r="2654">
      <c r="A2654" s="36" t="s">
        <v>6250</v>
      </c>
      <c r="B2654" s="154" t="s">
        <v>6247</v>
      </c>
      <c r="C2654" s="36" t="s">
        <v>1666</v>
      </c>
      <c r="D2654" s="36" t="s">
        <v>794</v>
      </c>
      <c r="E2654" s="36" t="s">
        <v>794</v>
      </c>
      <c r="F2654" s="154" t="s">
        <v>1806</v>
      </c>
      <c r="G2654" s="36" t="s">
        <v>32</v>
      </c>
      <c r="H2654" s="36" t="s">
        <v>1655</v>
      </c>
      <c r="I2654" s="36" t="s">
        <v>1656</v>
      </c>
      <c r="J2654" s="36" t="s">
        <v>1656</v>
      </c>
      <c r="K2654" s="36" t="s">
        <v>1736</v>
      </c>
      <c r="L2654" s="36" t="s">
        <v>5325</v>
      </c>
      <c r="M2654" s="36" t="s">
        <v>5325</v>
      </c>
      <c r="N2654" s="36" t="s">
        <v>32</v>
      </c>
    </row>
    <row r="2655">
      <c r="A2655" s="36" t="s">
        <v>6251</v>
      </c>
      <c r="B2655" s="154" t="s">
        <v>6252</v>
      </c>
      <c r="C2655" s="36" t="s">
        <v>1666</v>
      </c>
      <c r="D2655" s="36" t="s">
        <v>802</v>
      </c>
      <c r="E2655" s="36" t="s">
        <v>802</v>
      </c>
      <c r="F2655" s="154" t="s">
        <v>6253</v>
      </c>
      <c r="G2655" s="36" t="s">
        <v>34</v>
      </c>
      <c r="H2655" s="36" t="s">
        <v>1655</v>
      </c>
      <c r="I2655" s="36" t="s">
        <v>1656</v>
      </c>
      <c r="J2655" s="36" t="s">
        <v>1656</v>
      </c>
      <c r="K2655" s="36" t="s">
        <v>1739</v>
      </c>
      <c r="L2655" s="36" t="s">
        <v>5325</v>
      </c>
      <c r="M2655" s="36" t="s">
        <v>5325</v>
      </c>
      <c r="N2655" s="36" t="s">
        <v>32</v>
      </c>
    </row>
    <row r="2656">
      <c r="A2656" s="36" t="s">
        <v>6254</v>
      </c>
      <c r="B2656" s="154" t="s">
        <v>6252</v>
      </c>
      <c r="C2656" s="36" t="s">
        <v>1666</v>
      </c>
      <c r="D2656" s="36" t="s">
        <v>6255</v>
      </c>
      <c r="E2656" s="36" t="s">
        <v>6255</v>
      </c>
      <c r="F2656" s="154" t="s">
        <v>2049</v>
      </c>
      <c r="G2656" s="36" t="s">
        <v>32</v>
      </c>
      <c r="H2656" s="36" t="s">
        <v>1655</v>
      </c>
      <c r="I2656" s="36" t="s">
        <v>1656</v>
      </c>
      <c r="J2656" s="36" t="s">
        <v>1656</v>
      </c>
      <c r="K2656" s="36" t="s">
        <v>1742</v>
      </c>
      <c r="L2656" s="36" t="s">
        <v>5325</v>
      </c>
      <c r="M2656" s="36" t="s">
        <v>5325</v>
      </c>
      <c r="N2656" s="36" t="s">
        <v>32</v>
      </c>
    </row>
    <row r="2657">
      <c r="A2657" s="36" t="s">
        <v>6256</v>
      </c>
      <c r="B2657" s="154" t="s">
        <v>6252</v>
      </c>
      <c r="C2657" s="36" t="s">
        <v>1666</v>
      </c>
      <c r="D2657" s="36" t="s">
        <v>191</v>
      </c>
      <c r="E2657" s="36" t="s">
        <v>191</v>
      </c>
      <c r="F2657" s="154" t="s">
        <v>1816</v>
      </c>
      <c r="G2657" s="36" t="s">
        <v>28</v>
      </c>
      <c r="H2657" s="36" t="s">
        <v>1655</v>
      </c>
      <c r="I2657" s="36" t="s">
        <v>1656</v>
      </c>
      <c r="J2657" s="36" t="s">
        <v>1656</v>
      </c>
      <c r="K2657" s="36" t="s">
        <v>1745</v>
      </c>
      <c r="L2657" s="36" t="s">
        <v>5325</v>
      </c>
      <c r="M2657" s="36" t="s">
        <v>5325</v>
      </c>
      <c r="N2657" s="36" t="s">
        <v>32</v>
      </c>
    </row>
    <row r="2658">
      <c r="A2658" s="36" t="s">
        <v>6257</v>
      </c>
      <c r="B2658" s="154" t="s">
        <v>6252</v>
      </c>
      <c r="C2658" s="36" t="s">
        <v>1666</v>
      </c>
      <c r="D2658" s="36" t="s">
        <v>92</v>
      </c>
      <c r="E2658" s="36" t="s">
        <v>92</v>
      </c>
      <c r="F2658" s="154" t="s">
        <v>6258</v>
      </c>
      <c r="G2658" s="36" t="s">
        <v>32</v>
      </c>
      <c r="H2658" s="36" t="s">
        <v>1655</v>
      </c>
      <c r="I2658" s="36" t="s">
        <v>1656</v>
      </c>
      <c r="J2658" s="36" t="s">
        <v>1656</v>
      </c>
      <c r="K2658" s="36" t="s">
        <v>1773</v>
      </c>
      <c r="L2658" s="36" t="s">
        <v>5325</v>
      </c>
      <c r="M2658" s="36" t="s">
        <v>5325</v>
      </c>
      <c r="N2658" s="36" t="s">
        <v>32</v>
      </c>
    </row>
    <row r="2659">
      <c r="A2659" s="36" t="s">
        <v>6259</v>
      </c>
      <c r="B2659" s="154" t="s">
        <v>6252</v>
      </c>
      <c r="C2659" s="36" t="s">
        <v>1666</v>
      </c>
      <c r="D2659" s="36" t="s">
        <v>618</v>
      </c>
      <c r="E2659" s="36" t="s">
        <v>618</v>
      </c>
      <c r="F2659" s="154" t="s">
        <v>1729</v>
      </c>
      <c r="G2659" s="36" t="s">
        <v>28</v>
      </c>
      <c r="H2659" s="36" t="s">
        <v>1655</v>
      </c>
      <c r="I2659" s="36" t="s">
        <v>1656</v>
      </c>
      <c r="J2659" s="36" t="s">
        <v>1656</v>
      </c>
      <c r="K2659" s="36" t="s">
        <v>1776</v>
      </c>
      <c r="L2659" s="36" t="s">
        <v>5325</v>
      </c>
      <c r="M2659" s="36" t="s">
        <v>5325</v>
      </c>
      <c r="N2659" s="36" t="s">
        <v>34</v>
      </c>
    </row>
    <row r="2660">
      <c r="A2660" s="36" t="s">
        <v>6260</v>
      </c>
      <c r="B2660" s="154" t="s">
        <v>6252</v>
      </c>
      <c r="C2660" s="36" t="s">
        <v>1666</v>
      </c>
      <c r="D2660" s="36" t="s">
        <v>816</v>
      </c>
      <c r="E2660" s="36" t="s">
        <v>816</v>
      </c>
      <c r="F2660" s="154" t="s">
        <v>1816</v>
      </c>
      <c r="G2660" s="36" t="s">
        <v>28</v>
      </c>
      <c r="H2660" s="36" t="s">
        <v>1655</v>
      </c>
      <c r="I2660" s="36" t="s">
        <v>1656</v>
      </c>
      <c r="J2660" s="36" t="s">
        <v>1656</v>
      </c>
      <c r="K2660" s="36" t="s">
        <v>1779</v>
      </c>
      <c r="L2660" s="36" t="s">
        <v>5325</v>
      </c>
      <c r="M2660" s="36" t="s">
        <v>5325</v>
      </c>
      <c r="N2660" s="36" t="s">
        <v>34</v>
      </c>
    </row>
    <row r="2661">
      <c r="A2661" s="36" t="s">
        <v>6261</v>
      </c>
      <c r="B2661" s="154" t="s">
        <v>6262</v>
      </c>
      <c r="C2661" s="36" t="s">
        <v>1653</v>
      </c>
      <c r="D2661" s="36" t="s">
        <v>55</v>
      </c>
      <c r="E2661" s="36" t="s">
        <v>39</v>
      </c>
      <c r="F2661" s="154" t="s">
        <v>6263</v>
      </c>
      <c r="G2661" s="36" t="s">
        <v>32</v>
      </c>
      <c r="H2661" s="36" t="s">
        <v>1655</v>
      </c>
      <c r="I2661" s="36" t="s">
        <v>1656</v>
      </c>
      <c r="J2661" s="36" t="s">
        <v>1656</v>
      </c>
      <c r="K2661" s="36" t="s">
        <v>1989</v>
      </c>
      <c r="L2661" s="36" t="s">
        <v>5321</v>
      </c>
      <c r="M2661" s="36" t="s">
        <v>5321</v>
      </c>
      <c r="N2661" s="36" t="s">
        <v>32</v>
      </c>
    </row>
    <row r="2662">
      <c r="A2662" s="36" t="s">
        <v>6264</v>
      </c>
      <c r="B2662" s="154" t="s">
        <v>6262</v>
      </c>
      <c r="C2662" s="36" t="s">
        <v>1653</v>
      </c>
      <c r="D2662" s="36" t="s">
        <v>710</v>
      </c>
      <c r="E2662" s="36" t="s">
        <v>39</v>
      </c>
      <c r="F2662" s="154" t="s">
        <v>6265</v>
      </c>
      <c r="G2662" s="36" t="s">
        <v>32</v>
      </c>
      <c r="H2662" s="36" t="s">
        <v>1655</v>
      </c>
      <c r="I2662" s="36" t="s">
        <v>1656</v>
      </c>
      <c r="J2662" s="36" t="s">
        <v>1656</v>
      </c>
      <c r="K2662" s="36" t="s">
        <v>2848</v>
      </c>
      <c r="L2662" s="36" t="s">
        <v>5321</v>
      </c>
      <c r="M2662" s="36" t="s">
        <v>5321</v>
      </c>
      <c r="N2662" s="36" t="s">
        <v>32</v>
      </c>
    </row>
    <row r="2663">
      <c r="A2663" s="36" t="s">
        <v>6266</v>
      </c>
      <c r="B2663" s="154" t="s">
        <v>6262</v>
      </c>
      <c r="C2663" s="36" t="s">
        <v>1666</v>
      </c>
      <c r="D2663" s="36" t="s">
        <v>71</v>
      </c>
      <c r="E2663" s="36" t="s">
        <v>71</v>
      </c>
      <c r="F2663" s="154" t="s">
        <v>5555</v>
      </c>
      <c r="G2663" s="36" t="s">
        <v>32</v>
      </c>
      <c r="H2663" s="36" t="s">
        <v>1655</v>
      </c>
      <c r="I2663" s="36" t="s">
        <v>1656</v>
      </c>
      <c r="J2663" s="36" t="s">
        <v>1656</v>
      </c>
      <c r="K2663" s="36" t="s">
        <v>1752</v>
      </c>
      <c r="L2663" s="36" t="s">
        <v>5325</v>
      </c>
      <c r="M2663" s="36" t="s">
        <v>5325</v>
      </c>
      <c r="N2663" s="36" t="s">
        <v>32</v>
      </c>
    </row>
    <row r="2664">
      <c r="A2664" s="36" t="s">
        <v>6267</v>
      </c>
      <c r="B2664" s="154" t="s">
        <v>6262</v>
      </c>
      <c r="C2664" s="36" t="s">
        <v>1666</v>
      </c>
      <c r="D2664" s="36" t="s">
        <v>73</v>
      </c>
      <c r="E2664" s="36" t="s">
        <v>73</v>
      </c>
      <c r="F2664" s="154" t="s">
        <v>5557</v>
      </c>
      <c r="G2664" s="36" t="s">
        <v>28</v>
      </c>
      <c r="H2664" s="36" t="s">
        <v>1655</v>
      </c>
      <c r="I2664" s="36" t="s">
        <v>1656</v>
      </c>
      <c r="J2664" s="36" t="s">
        <v>1656</v>
      </c>
      <c r="K2664" s="36" t="s">
        <v>1755</v>
      </c>
      <c r="L2664" s="36" t="s">
        <v>5325</v>
      </c>
      <c r="M2664" s="36" t="s">
        <v>5325</v>
      </c>
      <c r="N2664" s="36" t="s">
        <v>32</v>
      </c>
    </row>
    <row r="2665">
      <c r="A2665" s="36" t="s">
        <v>6268</v>
      </c>
      <c r="B2665" s="154" t="s">
        <v>6262</v>
      </c>
      <c r="C2665" s="36" t="s">
        <v>1666</v>
      </c>
      <c r="D2665" s="36" t="s">
        <v>74</v>
      </c>
      <c r="E2665" s="36" t="s">
        <v>74</v>
      </c>
      <c r="F2665" s="154" t="s">
        <v>5559</v>
      </c>
      <c r="G2665" s="36" t="s">
        <v>32</v>
      </c>
      <c r="H2665" s="36" t="s">
        <v>1655</v>
      </c>
      <c r="I2665" s="36" t="s">
        <v>1656</v>
      </c>
      <c r="J2665" s="36" t="s">
        <v>1656</v>
      </c>
      <c r="K2665" s="36" t="s">
        <v>1757</v>
      </c>
      <c r="L2665" s="36" t="s">
        <v>5325</v>
      </c>
      <c r="M2665" s="36" t="s">
        <v>5325</v>
      </c>
      <c r="N2665" s="36" t="s">
        <v>32</v>
      </c>
    </row>
    <row r="2666">
      <c r="A2666" s="36" t="s">
        <v>6269</v>
      </c>
      <c r="B2666" s="154" t="s">
        <v>6262</v>
      </c>
      <c r="C2666" s="36" t="s">
        <v>1666</v>
      </c>
      <c r="D2666" s="36" t="s">
        <v>75</v>
      </c>
      <c r="E2666" s="36" t="s">
        <v>75</v>
      </c>
      <c r="F2666" s="154" t="s">
        <v>5561</v>
      </c>
      <c r="G2666" s="36" t="s">
        <v>28</v>
      </c>
      <c r="H2666" s="36" t="s">
        <v>1655</v>
      </c>
      <c r="I2666" s="36" t="s">
        <v>1656</v>
      </c>
      <c r="J2666" s="36" t="s">
        <v>1656</v>
      </c>
      <c r="K2666" s="36" t="s">
        <v>1760</v>
      </c>
      <c r="L2666" s="36" t="s">
        <v>5325</v>
      </c>
      <c r="M2666" s="36" t="s">
        <v>5325</v>
      </c>
      <c r="N2666" s="36" t="s">
        <v>32</v>
      </c>
    </row>
    <row r="2667">
      <c r="A2667" s="36" t="s">
        <v>6270</v>
      </c>
      <c r="B2667" s="154" t="s">
        <v>6262</v>
      </c>
      <c r="C2667" s="36" t="s">
        <v>1666</v>
      </c>
      <c r="D2667" s="36" t="s">
        <v>76</v>
      </c>
      <c r="E2667" s="36" t="s">
        <v>76</v>
      </c>
      <c r="F2667" s="154" t="s">
        <v>6271</v>
      </c>
      <c r="G2667" s="36" t="s">
        <v>28</v>
      </c>
      <c r="H2667" s="36" t="s">
        <v>1655</v>
      </c>
      <c r="I2667" s="36" t="s">
        <v>1656</v>
      </c>
      <c r="J2667" s="36" t="s">
        <v>1656</v>
      </c>
      <c r="K2667" s="36" t="s">
        <v>1763</v>
      </c>
      <c r="L2667" s="36" t="s">
        <v>5325</v>
      </c>
      <c r="M2667" s="36" t="s">
        <v>5325</v>
      </c>
      <c r="N2667" s="36" t="s">
        <v>32</v>
      </c>
    </row>
    <row r="2668">
      <c r="A2668" s="36" t="s">
        <v>6272</v>
      </c>
      <c r="B2668" s="154" t="s">
        <v>6262</v>
      </c>
      <c r="C2668" s="36" t="s">
        <v>1666</v>
      </c>
      <c r="D2668" s="36" t="s">
        <v>77</v>
      </c>
      <c r="E2668" s="36" t="s">
        <v>77</v>
      </c>
      <c r="F2668" s="154" t="s">
        <v>1768</v>
      </c>
      <c r="G2668" s="36" t="s">
        <v>34</v>
      </c>
      <c r="H2668" s="36" t="s">
        <v>1655</v>
      </c>
      <c r="I2668" s="36" t="s">
        <v>1656</v>
      </c>
      <c r="J2668" s="36" t="s">
        <v>1656</v>
      </c>
      <c r="K2668" s="36" t="s">
        <v>1766</v>
      </c>
      <c r="L2668" s="36" t="s">
        <v>5325</v>
      </c>
      <c r="M2668" s="36" t="s">
        <v>5325</v>
      </c>
      <c r="N2668" s="36" t="s">
        <v>32</v>
      </c>
    </row>
    <row r="2669">
      <c r="A2669" s="36" t="s">
        <v>6273</v>
      </c>
      <c r="B2669" s="154" t="s">
        <v>6262</v>
      </c>
      <c r="C2669" s="36" t="s">
        <v>1666</v>
      </c>
      <c r="D2669" s="36" t="s">
        <v>114</v>
      </c>
      <c r="E2669" s="36" t="s">
        <v>114</v>
      </c>
      <c r="F2669" s="154" t="s">
        <v>1799</v>
      </c>
      <c r="G2669" s="36" t="s">
        <v>32</v>
      </c>
      <c r="H2669" s="36" t="s">
        <v>1655</v>
      </c>
      <c r="I2669" s="36" t="s">
        <v>1656</v>
      </c>
      <c r="J2669" s="36" t="s">
        <v>1656</v>
      </c>
      <c r="K2669" s="36" t="s">
        <v>1782</v>
      </c>
      <c r="L2669" s="36" t="s">
        <v>5325</v>
      </c>
      <c r="M2669" s="36" t="s">
        <v>5325</v>
      </c>
      <c r="N2669" s="36" t="s">
        <v>32</v>
      </c>
    </row>
    <row r="2670">
      <c r="A2670" s="36" t="s">
        <v>6274</v>
      </c>
      <c r="B2670" s="154" t="s">
        <v>6262</v>
      </c>
      <c r="C2670" s="36" t="s">
        <v>1666</v>
      </c>
      <c r="D2670" s="36" t="s">
        <v>115</v>
      </c>
      <c r="E2670" s="36" t="s">
        <v>115</v>
      </c>
      <c r="F2670" s="154" t="s">
        <v>6275</v>
      </c>
      <c r="G2670" s="36" t="s">
        <v>28</v>
      </c>
      <c r="H2670" s="36" t="s">
        <v>1655</v>
      </c>
      <c r="I2670" s="36" t="s">
        <v>1656</v>
      </c>
      <c r="J2670" s="36" t="s">
        <v>1656</v>
      </c>
      <c r="K2670" s="36" t="s">
        <v>1784</v>
      </c>
      <c r="L2670" s="36" t="s">
        <v>5325</v>
      </c>
      <c r="M2670" s="36" t="s">
        <v>5325</v>
      </c>
      <c r="N2670" s="36" t="s">
        <v>32</v>
      </c>
    </row>
    <row r="2671">
      <c r="A2671" s="36" t="s">
        <v>6276</v>
      </c>
      <c r="B2671" s="154" t="s">
        <v>6262</v>
      </c>
      <c r="C2671" s="36" t="s">
        <v>1666</v>
      </c>
      <c r="D2671" s="36" t="s">
        <v>775</v>
      </c>
      <c r="E2671" s="36" t="s">
        <v>775</v>
      </c>
      <c r="F2671" s="154" t="s">
        <v>5678</v>
      </c>
      <c r="G2671" s="36" t="s">
        <v>32</v>
      </c>
      <c r="H2671" s="36" t="s">
        <v>1655</v>
      </c>
      <c r="I2671" s="36" t="s">
        <v>1656</v>
      </c>
      <c r="J2671" s="36" t="s">
        <v>1656</v>
      </c>
      <c r="K2671" s="36" t="s">
        <v>1787</v>
      </c>
      <c r="L2671" s="36" t="s">
        <v>5325</v>
      </c>
      <c r="M2671" s="36" t="s">
        <v>5325</v>
      </c>
      <c r="N2671" s="36" t="s">
        <v>32</v>
      </c>
    </row>
    <row r="2672">
      <c r="A2672" s="36" t="s">
        <v>6277</v>
      </c>
      <c r="B2672" s="154" t="s">
        <v>6262</v>
      </c>
      <c r="C2672" s="36" t="s">
        <v>1666</v>
      </c>
      <c r="D2672" s="36" t="s">
        <v>220</v>
      </c>
      <c r="E2672" s="36" t="s">
        <v>220</v>
      </c>
      <c r="F2672" s="154" t="s">
        <v>6278</v>
      </c>
      <c r="G2672" s="36" t="s">
        <v>28</v>
      </c>
      <c r="H2672" s="36" t="s">
        <v>1655</v>
      </c>
      <c r="I2672" s="36" t="s">
        <v>1656</v>
      </c>
      <c r="J2672" s="36" t="s">
        <v>1656</v>
      </c>
      <c r="K2672" s="36" t="s">
        <v>1790</v>
      </c>
      <c r="L2672" s="36" t="s">
        <v>5325</v>
      </c>
      <c r="M2672" s="36" t="s">
        <v>5325</v>
      </c>
      <c r="N2672" s="36" t="s">
        <v>32</v>
      </c>
    </row>
    <row r="2673">
      <c r="A2673" s="36" t="s">
        <v>6279</v>
      </c>
      <c r="B2673" s="154" t="s">
        <v>6262</v>
      </c>
      <c r="C2673" s="36" t="s">
        <v>1666</v>
      </c>
      <c r="D2673" s="36" t="s">
        <v>226</v>
      </c>
      <c r="E2673" s="36" t="s">
        <v>226</v>
      </c>
      <c r="F2673" s="154" t="s">
        <v>6280</v>
      </c>
      <c r="G2673" s="36" t="s">
        <v>32</v>
      </c>
      <c r="H2673" s="36" t="s">
        <v>1655</v>
      </c>
      <c r="I2673" s="36" t="s">
        <v>1656</v>
      </c>
      <c r="J2673" s="36" t="s">
        <v>1656</v>
      </c>
      <c r="K2673" s="36" t="s">
        <v>1793</v>
      </c>
      <c r="L2673" s="36" t="s">
        <v>5325</v>
      </c>
      <c r="M2673" s="36" t="s">
        <v>5325</v>
      </c>
      <c r="N2673" s="36" t="s">
        <v>32</v>
      </c>
    </row>
    <row r="2674">
      <c r="A2674" s="36" t="s">
        <v>6281</v>
      </c>
      <c r="B2674" s="154" t="s">
        <v>6262</v>
      </c>
      <c r="C2674" s="36" t="s">
        <v>1666</v>
      </c>
      <c r="D2674" s="36" t="s">
        <v>618</v>
      </c>
      <c r="E2674" s="36" t="s">
        <v>618</v>
      </c>
      <c r="F2674" s="154" t="s">
        <v>1686</v>
      </c>
      <c r="G2674" s="36" t="s">
        <v>28</v>
      </c>
      <c r="H2674" s="36" t="s">
        <v>1655</v>
      </c>
      <c r="I2674" s="36" t="s">
        <v>1656</v>
      </c>
      <c r="J2674" s="36" t="s">
        <v>1656</v>
      </c>
      <c r="K2674" s="36" t="s">
        <v>1796</v>
      </c>
      <c r="L2674" s="36" t="s">
        <v>5325</v>
      </c>
      <c r="M2674" s="36" t="s">
        <v>5325</v>
      </c>
      <c r="N2674" s="36" t="s">
        <v>34</v>
      </c>
    </row>
    <row r="2675">
      <c r="A2675" s="36" t="s">
        <v>6282</v>
      </c>
      <c r="B2675" s="154" t="s">
        <v>6283</v>
      </c>
      <c r="C2675" s="36" t="s">
        <v>1666</v>
      </c>
      <c r="D2675" s="36" t="s">
        <v>846</v>
      </c>
      <c r="E2675" s="36" t="s">
        <v>846</v>
      </c>
      <c r="F2675" s="154" t="s">
        <v>2027</v>
      </c>
      <c r="G2675" s="36" t="s">
        <v>28</v>
      </c>
      <c r="H2675" s="36" t="s">
        <v>1655</v>
      </c>
      <c r="I2675" s="36" t="s">
        <v>1656</v>
      </c>
      <c r="J2675" s="36" t="s">
        <v>1656</v>
      </c>
      <c r="K2675" s="36" t="s">
        <v>1800</v>
      </c>
      <c r="L2675" s="36" t="s">
        <v>5325</v>
      </c>
      <c r="M2675" s="36" t="s">
        <v>5325</v>
      </c>
      <c r="N2675" s="36" t="s">
        <v>32</v>
      </c>
    </row>
    <row r="2676">
      <c r="A2676" s="36" t="s">
        <v>6284</v>
      </c>
      <c r="B2676" s="154" t="s">
        <v>6283</v>
      </c>
      <c r="C2676" s="36" t="s">
        <v>1666</v>
      </c>
      <c r="D2676" s="36" t="s">
        <v>851</v>
      </c>
      <c r="E2676" s="36" t="s">
        <v>851</v>
      </c>
      <c r="F2676" s="154" t="s">
        <v>6285</v>
      </c>
      <c r="G2676" s="36" t="s">
        <v>32</v>
      </c>
      <c r="H2676" s="36" t="s">
        <v>1655</v>
      </c>
      <c r="I2676" s="36" t="s">
        <v>1656</v>
      </c>
      <c r="J2676" s="36" t="s">
        <v>1656</v>
      </c>
      <c r="K2676" s="36" t="s">
        <v>1803</v>
      </c>
      <c r="L2676" s="36" t="s">
        <v>5325</v>
      </c>
      <c r="M2676" s="36" t="s">
        <v>5325</v>
      </c>
      <c r="N2676" s="36" t="s">
        <v>32</v>
      </c>
    </row>
    <row r="2677">
      <c r="A2677" s="36" t="s">
        <v>6286</v>
      </c>
      <c r="B2677" s="154" t="s">
        <v>6287</v>
      </c>
      <c r="C2677" s="36" t="s">
        <v>1666</v>
      </c>
      <c r="D2677" s="36" t="s">
        <v>218</v>
      </c>
      <c r="E2677" s="36" t="s">
        <v>218</v>
      </c>
      <c r="F2677" s="154" t="s">
        <v>1686</v>
      </c>
      <c r="G2677" s="36" t="s">
        <v>32</v>
      </c>
      <c r="H2677" s="36" t="s">
        <v>1655</v>
      </c>
      <c r="I2677" s="36" t="s">
        <v>1656</v>
      </c>
      <c r="J2677" s="36" t="s">
        <v>1656</v>
      </c>
      <c r="K2677" s="36" t="s">
        <v>1807</v>
      </c>
      <c r="L2677" s="36" t="s">
        <v>5325</v>
      </c>
      <c r="M2677" s="36" t="s">
        <v>5325</v>
      </c>
      <c r="N2677" s="36" t="s">
        <v>32</v>
      </c>
    </row>
    <row r="2678">
      <c r="A2678" s="36" t="s">
        <v>6288</v>
      </c>
      <c r="B2678" s="154" t="s">
        <v>6289</v>
      </c>
      <c r="C2678" s="36" t="s">
        <v>1666</v>
      </c>
      <c r="D2678" s="36" t="s">
        <v>858</v>
      </c>
      <c r="E2678" s="36" t="s">
        <v>858</v>
      </c>
      <c r="F2678" s="154" t="s">
        <v>2325</v>
      </c>
      <c r="G2678" s="36" t="s">
        <v>28</v>
      </c>
      <c r="H2678" s="36" t="s">
        <v>1655</v>
      </c>
      <c r="I2678" s="36" t="s">
        <v>1656</v>
      </c>
      <c r="J2678" s="36" t="s">
        <v>1656</v>
      </c>
      <c r="K2678" s="36" t="s">
        <v>1814</v>
      </c>
      <c r="L2678" s="36" t="s">
        <v>5325</v>
      </c>
      <c r="M2678" s="36" t="s">
        <v>5325</v>
      </c>
      <c r="N2678" s="36" t="s">
        <v>32</v>
      </c>
    </row>
    <row r="2679">
      <c r="A2679" s="36" t="s">
        <v>6290</v>
      </c>
      <c r="B2679" s="154" t="s">
        <v>6289</v>
      </c>
      <c r="C2679" s="36" t="s">
        <v>1666</v>
      </c>
      <c r="D2679" s="36" t="s">
        <v>210</v>
      </c>
      <c r="E2679" s="36" t="s">
        <v>210</v>
      </c>
      <c r="F2679" s="154" t="s">
        <v>1768</v>
      </c>
      <c r="G2679" s="36" t="s">
        <v>28</v>
      </c>
      <c r="H2679" s="36" t="s">
        <v>1655</v>
      </c>
      <c r="I2679" s="36" t="s">
        <v>1656</v>
      </c>
      <c r="J2679" s="36" t="s">
        <v>1656</v>
      </c>
      <c r="K2679" s="36" t="s">
        <v>1817</v>
      </c>
      <c r="L2679" s="36" t="s">
        <v>5325</v>
      </c>
      <c r="M2679" s="36" t="s">
        <v>5325</v>
      </c>
      <c r="N2679" s="36" t="s">
        <v>34</v>
      </c>
    </row>
    <row r="2680">
      <c r="A2680" s="36" t="s">
        <v>6291</v>
      </c>
      <c r="B2680" s="154" t="s">
        <v>6292</v>
      </c>
      <c r="C2680" s="36" t="s">
        <v>1666</v>
      </c>
      <c r="D2680" s="36" t="s">
        <v>761</v>
      </c>
      <c r="E2680" s="36" t="s">
        <v>761</v>
      </c>
      <c r="F2680" s="154" t="s">
        <v>2555</v>
      </c>
      <c r="G2680" s="36" t="s">
        <v>32</v>
      </c>
      <c r="H2680" s="36" t="s">
        <v>1655</v>
      </c>
      <c r="I2680" s="36" t="s">
        <v>1656</v>
      </c>
      <c r="J2680" s="36" t="s">
        <v>1656</v>
      </c>
      <c r="K2680" s="36" t="s">
        <v>1820</v>
      </c>
      <c r="L2680" s="36" t="s">
        <v>5325</v>
      </c>
      <c r="M2680" s="36" t="s">
        <v>5325</v>
      </c>
      <c r="N2680" s="36" t="s">
        <v>32</v>
      </c>
    </row>
    <row r="2681">
      <c r="A2681" s="36" t="s">
        <v>6293</v>
      </c>
      <c r="B2681" s="154" t="s">
        <v>6292</v>
      </c>
      <c r="C2681" s="36" t="s">
        <v>1666</v>
      </c>
      <c r="D2681" s="36" t="s">
        <v>525</v>
      </c>
      <c r="E2681" s="36" t="s">
        <v>525</v>
      </c>
      <c r="F2681" s="154" t="s">
        <v>5109</v>
      </c>
      <c r="G2681" s="36" t="s">
        <v>28</v>
      </c>
      <c r="H2681" s="36" t="s">
        <v>1655</v>
      </c>
      <c r="I2681" s="36" t="s">
        <v>1656</v>
      </c>
      <c r="J2681" s="36" t="s">
        <v>1656</v>
      </c>
      <c r="K2681" s="36" t="s">
        <v>1823</v>
      </c>
      <c r="L2681" s="36" t="s">
        <v>5325</v>
      </c>
      <c r="M2681" s="36" t="s">
        <v>5325</v>
      </c>
      <c r="N2681" s="36" t="s">
        <v>32</v>
      </c>
    </row>
    <row r="2682">
      <c r="A2682" s="36" t="s">
        <v>6294</v>
      </c>
      <c r="B2682" s="154" t="s">
        <v>6292</v>
      </c>
      <c r="C2682" s="36" t="s">
        <v>1666</v>
      </c>
      <c r="D2682" s="36" t="s">
        <v>110</v>
      </c>
      <c r="E2682" s="36" t="s">
        <v>110</v>
      </c>
      <c r="F2682" s="154" t="s">
        <v>1768</v>
      </c>
      <c r="G2682" s="36" t="s">
        <v>28</v>
      </c>
      <c r="H2682" s="36" t="s">
        <v>1655</v>
      </c>
      <c r="I2682" s="36" t="s">
        <v>1656</v>
      </c>
      <c r="J2682" s="36" t="s">
        <v>1656</v>
      </c>
      <c r="K2682" s="36" t="s">
        <v>1826</v>
      </c>
      <c r="L2682" s="36" t="s">
        <v>5325</v>
      </c>
      <c r="M2682" s="36" t="s">
        <v>5325</v>
      </c>
      <c r="N2682" s="36" t="s">
        <v>32</v>
      </c>
    </row>
    <row r="2683">
      <c r="A2683" s="36" t="s">
        <v>6295</v>
      </c>
      <c r="B2683" s="154" t="s">
        <v>6296</v>
      </c>
      <c r="C2683" s="36" t="s">
        <v>1666</v>
      </c>
      <c r="D2683" s="36" t="s">
        <v>877</v>
      </c>
      <c r="E2683" s="36" t="s">
        <v>877</v>
      </c>
      <c r="F2683" s="154" t="s">
        <v>2553</v>
      </c>
      <c r="G2683" s="36" t="s">
        <v>30</v>
      </c>
      <c r="H2683" s="36" t="s">
        <v>1655</v>
      </c>
      <c r="I2683" s="36" t="s">
        <v>1656</v>
      </c>
      <c r="J2683" s="36" t="s">
        <v>1656</v>
      </c>
      <c r="K2683" s="36" t="s">
        <v>1830</v>
      </c>
      <c r="L2683" s="36" t="s">
        <v>5325</v>
      </c>
      <c r="M2683" s="36" t="s">
        <v>5325</v>
      </c>
      <c r="N2683" s="36" t="s">
        <v>34</v>
      </c>
    </row>
    <row r="2684">
      <c r="A2684" s="36" t="s">
        <v>6297</v>
      </c>
      <c r="B2684" s="154" t="s">
        <v>6298</v>
      </c>
      <c r="C2684" s="36" t="s">
        <v>1666</v>
      </c>
      <c r="D2684" s="36" t="s">
        <v>210</v>
      </c>
      <c r="E2684" s="36" t="s">
        <v>210</v>
      </c>
      <c r="F2684" s="154" t="s">
        <v>1778</v>
      </c>
      <c r="G2684" s="36" t="s">
        <v>28</v>
      </c>
      <c r="H2684" s="36" t="s">
        <v>1655</v>
      </c>
      <c r="I2684" s="36" t="s">
        <v>1656</v>
      </c>
      <c r="J2684" s="36" t="s">
        <v>1656</v>
      </c>
      <c r="K2684" s="36" t="s">
        <v>1833</v>
      </c>
      <c r="L2684" s="36" t="s">
        <v>5325</v>
      </c>
      <c r="M2684" s="36" t="s">
        <v>5325</v>
      </c>
      <c r="N2684" s="36" t="s">
        <v>34</v>
      </c>
    </row>
    <row r="2685">
      <c r="A2685" s="36" t="s">
        <v>6299</v>
      </c>
      <c r="B2685" s="154" t="s">
        <v>6298</v>
      </c>
      <c r="C2685" s="36" t="s">
        <v>1666</v>
      </c>
      <c r="D2685" s="36" t="s">
        <v>90</v>
      </c>
      <c r="E2685" s="36" t="s">
        <v>90</v>
      </c>
      <c r="F2685" s="154" t="s">
        <v>6300</v>
      </c>
      <c r="G2685" s="36" t="s">
        <v>28</v>
      </c>
      <c r="H2685" s="36" t="s">
        <v>1655</v>
      </c>
      <c r="I2685" s="36" t="s">
        <v>1656</v>
      </c>
      <c r="J2685" s="36" t="s">
        <v>1656</v>
      </c>
      <c r="K2685" s="36" t="s">
        <v>1836</v>
      </c>
      <c r="L2685" s="36" t="s">
        <v>5325</v>
      </c>
      <c r="M2685" s="36" t="s">
        <v>5325</v>
      </c>
      <c r="N2685" s="36" t="s">
        <v>34</v>
      </c>
    </row>
    <row r="2686">
      <c r="A2686" s="36" t="s">
        <v>6301</v>
      </c>
      <c r="B2686" s="154" t="s">
        <v>6298</v>
      </c>
      <c r="C2686" s="36" t="s">
        <v>1666</v>
      </c>
      <c r="D2686" s="36" t="s">
        <v>329</v>
      </c>
      <c r="E2686" s="36" t="s">
        <v>329</v>
      </c>
      <c r="F2686" s="154" t="s">
        <v>2035</v>
      </c>
      <c r="G2686" s="36" t="s">
        <v>28</v>
      </c>
      <c r="H2686" s="36" t="s">
        <v>1655</v>
      </c>
      <c r="I2686" s="36" t="s">
        <v>1656</v>
      </c>
      <c r="J2686" s="36" t="s">
        <v>1656</v>
      </c>
      <c r="K2686" s="36" t="s">
        <v>1839</v>
      </c>
      <c r="L2686" s="36" t="s">
        <v>5325</v>
      </c>
      <c r="M2686" s="36" t="s">
        <v>5325</v>
      </c>
      <c r="N2686" s="36" t="s">
        <v>34</v>
      </c>
    </row>
    <row r="2687">
      <c r="A2687" s="36" t="s">
        <v>6302</v>
      </c>
      <c r="B2687" s="154" t="s">
        <v>6298</v>
      </c>
      <c r="C2687" s="36" t="s">
        <v>1666</v>
      </c>
      <c r="D2687" s="36" t="s">
        <v>210</v>
      </c>
      <c r="E2687" s="36" t="s">
        <v>210</v>
      </c>
      <c r="F2687" s="154" t="s">
        <v>1729</v>
      </c>
      <c r="G2687" s="36" t="s">
        <v>28</v>
      </c>
      <c r="H2687" s="36" t="s">
        <v>1655</v>
      </c>
      <c r="I2687" s="36" t="s">
        <v>1656</v>
      </c>
      <c r="J2687" s="36" t="s">
        <v>1656</v>
      </c>
      <c r="K2687" s="36" t="s">
        <v>1842</v>
      </c>
      <c r="L2687" s="36" t="s">
        <v>5325</v>
      </c>
      <c r="M2687" s="36" t="s">
        <v>5325</v>
      </c>
      <c r="N2687" s="36" t="s">
        <v>34</v>
      </c>
    </row>
    <row r="2688">
      <c r="A2688" s="36" t="s">
        <v>6303</v>
      </c>
      <c r="B2688" s="154" t="s">
        <v>6304</v>
      </c>
      <c r="C2688" s="36" t="s">
        <v>1666</v>
      </c>
      <c r="D2688" s="36" t="s">
        <v>210</v>
      </c>
      <c r="E2688" s="36" t="s">
        <v>210</v>
      </c>
      <c r="F2688" s="154" t="s">
        <v>1816</v>
      </c>
      <c r="G2688" s="36" t="s">
        <v>28</v>
      </c>
      <c r="H2688" s="36" t="s">
        <v>1655</v>
      </c>
      <c r="I2688" s="36" t="s">
        <v>1656</v>
      </c>
      <c r="J2688" s="36" t="s">
        <v>1656</v>
      </c>
      <c r="K2688" s="36" t="s">
        <v>1845</v>
      </c>
      <c r="L2688" s="36" t="s">
        <v>5325</v>
      </c>
      <c r="M2688" s="36" t="s">
        <v>5325</v>
      </c>
      <c r="N2688" s="36" t="s">
        <v>34</v>
      </c>
    </row>
    <row r="2689">
      <c r="A2689" s="36" t="s">
        <v>6305</v>
      </c>
      <c r="B2689" s="154" t="s">
        <v>6306</v>
      </c>
      <c r="C2689" s="36" t="s">
        <v>1666</v>
      </c>
      <c r="D2689" s="36" t="s">
        <v>210</v>
      </c>
      <c r="E2689" s="36" t="s">
        <v>210</v>
      </c>
      <c r="F2689" s="154" t="s">
        <v>1768</v>
      </c>
      <c r="G2689" s="36" t="s">
        <v>28</v>
      </c>
      <c r="H2689" s="36" t="s">
        <v>1655</v>
      </c>
      <c r="I2689" s="36" t="s">
        <v>1656</v>
      </c>
      <c r="J2689" s="36" t="s">
        <v>1656</v>
      </c>
      <c r="K2689" s="36" t="s">
        <v>1848</v>
      </c>
      <c r="L2689" s="36" t="s">
        <v>5325</v>
      </c>
      <c r="M2689" s="36" t="s">
        <v>5325</v>
      </c>
      <c r="N2689" s="36" t="s">
        <v>32</v>
      </c>
    </row>
    <row r="2690">
      <c r="A2690" s="36" t="s">
        <v>6307</v>
      </c>
      <c r="B2690" s="154" t="s">
        <v>6308</v>
      </c>
      <c r="C2690" s="36" t="s">
        <v>1666</v>
      </c>
      <c r="D2690" s="36" t="s">
        <v>79</v>
      </c>
      <c r="E2690" s="36" t="s">
        <v>79</v>
      </c>
      <c r="F2690" s="154" t="s">
        <v>5606</v>
      </c>
      <c r="G2690" s="36" t="s">
        <v>32</v>
      </c>
      <c r="H2690" s="36" t="s">
        <v>1655</v>
      </c>
      <c r="I2690" s="36" t="s">
        <v>1656</v>
      </c>
      <c r="J2690" s="36" t="s">
        <v>1656</v>
      </c>
      <c r="K2690" s="36" t="s">
        <v>1769</v>
      </c>
      <c r="L2690" s="36" t="s">
        <v>5325</v>
      </c>
      <c r="M2690" s="36" t="s">
        <v>5325</v>
      </c>
      <c r="N2690" s="36" t="s">
        <v>32</v>
      </c>
    </row>
    <row r="2691">
      <c r="A2691" s="36" t="s">
        <v>6309</v>
      </c>
      <c r="B2691" s="154" t="s">
        <v>6308</v>
      </c>
      <c r="C2691" s="36" t="s">
        <v>1666</v>
      </c>
      <c r="D2691" s="36" t="s">
        <v>210</v>
      </c>
      <c r="E2691" s="36" t="s">
        <v>210</v>
      </c>
      <c r="F2691" s="154" t="s">
        <v>1768</v>
      </c>
      <c r="G2691" s="36" t="s">
        <v>28</v>
      </c>
      <c r="H2691" s="36" t="s">
        <v>1655</v>
      </c>
      <c r="I2691" s="36" t="s">
        <v>1656</v>
      </c>
      <c r="J2691" s="36" t="s">
        <v>1656</v>
      </c>
      <c r="K2691" s="36" t="s">
        <v>1851</v>
      </c>
      <c r="L2691" s="36" t="s">
        <v>5325</v>
      </c>
      <c r="M2691" s="36" t="s">
        <v>5325</v>
      </c>
      <c r="N2691" s="36" t="s">
        <v>34</v>
      </c>
    </row>
    <row r="2692">
      <c r="A2692" s="36" t="s">
        <v>6310</v>
      </c>
      <c r="B2692" s="154" t="s">
        <v>6308</v>
      </c>
      <c r="C2692" s="36" t="s">
        <v>1666</v>
      </c>
      <c r="D2692" s="36" t="s">
        <v>601</v>
      </c>
      <c r="E2692" s="36" t="s">
        <v>601</v>
      </c>
      <c r="F2692" s="154" t="s">
        <v>1816</v>
      </c>
      <c r="G2692" s="36" t="s">
        <v>28</v>
      </c>
      <c r="H2692" s="36" t="s">
        <v>1655</v>
      </c>
      <c r="I2692" s="36" t="s">
        <v>1656</v>
      </c>
      <c r="J2692" s="36" t="s">
        <v>1656</v>
      </c>
      <c r="K2692" s="36" t="s">
        <v>1854</v>
      </c>
      <c r="L2692" s="36" t="s">
        <v>5325</v>
      </c>
      <c r="M2692" s="36" t="s">
        <v>5325</v>
      </c>
      <c r="N2692" s="36" t="s">
        <v>34</v>
      </c>
    </row>
    <row r="2693">
      <c r="A2693" s="36" t="s">
        <v>6311</v>
      </c>
      <c r="B2693" s="154" t="s">
        <v>6308</v>
      </c>
      <c r="C2693" s="36" t="s">
        <v>1666</v>
      </c>
      <c r="D2693" s="36" t="s">
        <v>893</v>
      </c>
      <c r="E2693" s="36" t="s">
        <v>893</v>
      </c>
      <c r="F2693" s="154" t="s">
        <v>1694</v>
      </c>
      <c r="G2693" s="36" t="s">
        <v>28</v>
      </c>
      <c r="H2693" s="36" t="s">
        <v>1655</v>
      </c>
      <c r="I2693" s="36" t="s">
        <v>1656</v>
      </c>
      <c r="J2693" s="36" t="s">
        <v>1656</v>
      </c>
      <c r="K2693" s="36" t="s">
        <v>1857</v>
      </c>
      <c r="L2693" s="36" t="s">
        <v>5325</v>
      </c>
      <c r="M2693" s="36" t="s">
        <v>5325</v>
      </c>
      <c r="N2693" s="36" t="s">
        <v>34</v>
      </c>
    </row>
    <row r="2694">
      <c r="A2694" s="36" t="s">
        <v>6312</v>
      </c>
      <c r="B2694" s="154" t="s">
        <v>6308</v>
      </c>
      <c r="C2694" s="36" t="s">
        <v>1666</v>
      </c>
      <c r="D2694" s="36" t="s">
        <v>894</v>
      </c>
      <c r="E2694" s="36" t="s">
        <v>894</v>
      </c>
      <c r="F2694" s="154" t="s">
        <v>1816</v>
      </c>
      <c r="G2694" s="36" t="s">
        <v>28</v>
      </c>
      <c r="H2694" s="36" t="s">
        <v>1655</v>
      </c>
      <c r="I2694" s="36" t="s">
        <v>1656</v>
      </c>
      <c r="J2694" s="36" t="s">
        <v>1656</v>
      </c>
      <c r="K2694" s="36" t="s">
        <v>1860</v>
      </c>
      <c r="L2694" s="36" t="s">
        <v>5325</v>
      </c>
      <c r="M2694" s="36" t="s">
        <v>5325</v>
      </c>
      <c r="N2694" s="36" t="s">
        <v>34</v>
      </c>
    </row>
    <row r="2695">
      <c r="A2695" s="36" t="s">
        <v>6313</v>
      </c>
      <c r="B2695" s="154" t="s">
        <v>6314</v>
      </c>
      <c r="C2695" s="36" t="s">
        <v>1666</v>
      </c>
      <c r="D2695" s="36" t="s">
        <v>191</v>
      </c>
      <c r="E2695" s="36" t="s">
        <v>191</v>
      </c>
      <c r="F2695" s="154" t="s">
        <v>1816</v>
      </c>
      <c r="G2695" s="36" t="s">
        <v>28</v>
      </c>
      <c r="H2695" s="36" t="s">
        <v>1655</v>
      </c>
      <c r="I2695" s="36" t="s">
        <v>1656</v>
      </c>
      <c r="J2695" s="36" t="s">
        <v>1656</v>
      </c>
      <c r="K2695" s="36" t="s">
        <v>1863</v>
      </c>
      <c r="L2695" s="36" t="s">
        <v>5325</v>
      </c>
      <c r="M2695" s="36" t="s">
        <v>5325</v>
      </c>
      <c r="N2695" s="36" t="s">
        <v>32</v>
      </c>
    </row>
    <row r="2696">
      <c r="A2696" s="36" t="s">
        <v>6315</v>
      </c>
      <c r="B2696" s="154" t="s">
        <v>6314</v>
      </c>
      <c r="C2696" s="36" t="s">
        <v>1666</v>
      </c>
      <c r="D2696" s="36" t="s">
        <v>618</v>
      </c>
      <c r="E2696" s="36" t="s">
        <v>618</v>
      </c>
      <c r="F2696" s="154" t="s">
        <v>1729</v>
      </c>
      <c r="G2696" s="36" t="s">
        <v>28</v>
      </c>
      <c r="H2696" s="36" t="s">
        <v>1655</v>
      </c>
      <c r="I2696" s="36" t="s">
        <v>1656</v>
      </c>
      <c r="J2696" s="36" t="s">
        <v>1656</v>
      </c>
      <c r="K2696" s="36" t="s">
        <v>1866</v>
      </c>
      <c r="L2696" s="36" t="s">
        <v>5325</v>
      </c>
      <c r="M2696" s="36" t="s">
        <v>5325</v>
      </c>
      <c r="N2696" s="36" t="s">
        <v>34</v>
      </c>
    </row>
    <row r="2697">
      <c r="A2697" s="36" t="s">
        <v>6316</v>
      </c>
      <c r="B2697" s="154" t="s">
        <v>6314</v>
      </c>
      <c r="C2697" s="36" t="s">
        <v>1666</v>
      </c>
      <c r="D2697" s="36" t="s">
        <v>582</v>
      </c>
      <c r="E2697" s="36" t="s">
        <v>582</v>
      </c>
      <c r="F2697" s="154" t="s">
        <v>2021</v>
      </c>
      <c r="G2697" s="36" t="s">
        <v>28</v>
      </c>
      <c r="H2697" s="36" t="s">
        <v>1655</v>
      </c>
      <c r="I2697" s="36" t="s">
        <v>1656</v>
      </c>
      <c r="J2697" s="36" t="s">
        <v>1656</v>
      </c>
      <c r="K2697" s="36" t="s">
        <v>1869</v>
      </c>
      <c r="L2697" s="36" t="s">
        <v>5325</v>
      </c>
      <c r="M2697" s="36" t="s">
        <v>5325</v>
      </c>
      <c r="N2697" s="36" t="s">
        <v>34</v>
      </c>
    </row>
    <row r="2698">
      <c r="A2698" s="36" t="s">
        <v>6317</v>
      </c>
      <c r="B2698" s="154" t="s">
        <v>6318</v>
      </c>
      <c r="C2698" s="36" t="s">
        <v>1666</v>
      </c>
      <c r="D2698" s="36" t="s">
        <v>898</v>
      </c>
      <c r="E2698" s="36" t="s">
        <v>898</v>
      </c>
      <c r="F2698" s="154" t="s">
        <v>1874</v>
      </c>
      <c r="G2698" s="36" t="s">
        <v>28</v>
      </c>
      <c r="H2698" s="36" t="s">
        <v>1655</v>
      </c>
      <c r="I2698" s="36" t="s">
        <v>1656</v>
      </c>
      <c r="J2698" s="36" t="s">
        <v>1656</v>
      </c>
      <c r="K2698" s="36" t="s">
        <v>1872</v>
      </c>
      <c r="L2698" s="36" t="s">
        <v>5325</v>
      </c>
      <c r="M2698" s="36" t="s">
        <v>5325</v>
      </c>
      <c r="N2698" s="36" t="s">
        <v>34</v>
      </c>
    </row>
    <row r="2699">
      <c r="A2699" s="36" t="s">
        <v>6319</v>
      </c>
      <c r="B2699" s="154" t="s">
        <v>6318</v>
      </c>
      <c r="C2699" s="36" t="s">
        <v>1666</v>
      </c>
      <c r="D2699" s="36" t="s">
        <v>618</v>
      </c>
      <c r="E2699" s="36" t="s">
        <v>618</v>
      </c>
      <c r="F2699" s="154" t="s">
        <v>1686</v>
      </c>
      <c r="G2699" s="36" t="s">
        <v>28</v>
      </c>
      <c r="H2699" s="36" t="s">
        <v>1655</v>
      </c>
      <c r="I2699" s="36" t="s">
        <v>1656</v>
      </c>
      <c r="J2699" s="36" t="s">
        <v>1656</v>
      </c>
      <c r="K2699" s="36" t="s">
        <v>1875</v>
      </c>
      <c r="L2699" s="36" t="s">
        <v>5325</v>
      </c>
      <c r="M2699" s="36" t="s">
        <v>5325</v>
      </c>
      <c r="N2699" s="36" t="s">
        <v>34</v>
      </c>
    </row>
    <row r="2700">
      <c r="A2700" s="36" t="s">
        <v>6320</v>
      </c>
      <c r="B2700" s="154" t="s">
        <v>6321</v>
      </c>
      <c r="C2700" s="36" t="s">
        <v>1666</v>
      </c>
      <c r="D2700" s="36" t="s">
        <v>81</v>
      </c>
      <c r="E2700" s="36" t="s">
        <v>81</v>
      </c>
      <c r="F2700" s="154" t="s">
        <v>5807</v>
      </c>
      <c r="G2700" s="36" t="s">
        <v>28</v>
      </c>
      <c r="H2700" s="36" t="s">
        <v>1655</v>
      </c>
      <c r="I2700" s="36" t="s">
        <v>1656</v>
      </c>
      <c r="J2700" s="36" t="s">
        <v>1656</v>
      </c>
      <c r="K2700" s="36" t="s">
        <v>1811</v>
      </c>
      <c r="L2700" s="36" t="s">
        <v>5325</v>
      </c>
      <c r="M2700" s="36" t="s">
        <v>5325</v>
      </c>
      <c r="N2700" s="36" t="s">
        <v>32</v>
      </c>
    </row>
    <row r="2701">
      <c r="A2701" s="36" t="s">
        <v>6322</v>
      </c>
      <c r="B2701" s="154" t="s">
        <v>6321</v>
      </c>
      <c r="C2701" s="36" t="s">
        <v>1666</v>
      </c>
      <c r="D2701" s="36" t="s">
        <v>83</v>
      </c>
      <c r="E2701" s="36" t="s">
        <v>83</v>
      </c>
      <c r="F2701" s="154" t="s">
        <v>6323</v>
      </c>
      <c r="G2701" s="36" t="s">
        <v>28</v>
      </c>
      <c r="H2701" s="36" t="s">
        <v>1655</v>
      </c>
      <c r="I2701" s="36" t="s">
        <v>1656</v>
      </c>
      <c r="J2701" s="36" t="s">
        <v>1656</v>
      </c>
      <c r="K2701" s="36" t="s">
        <v>1891</v>
      </c>
      <c r="L2701" s="36" t="s">
        <v>5325</v>
      </c>
      <c r="M2701" s="36" t="s">
        <v>5325</v>
      </c>
      <c r="N2701" s="36" t="s">
        <v>32</v>
      </c>
    </row>
    <row r="2702">
      <c r="A2702" s="36" t="s">
        <v>6324</v>
      </c>
      <c r="B2702" s="154" t="s">
        <v>6321</v>
      </c>
      <c r="C2702" s="36" t="s">
        <v>1666</v>
      </c>
      <c r="D2702" s="36" t="s">
        <v>84</v>
      </c>
      <c r="E2702" s="36" t="s">
        <v>84</v>
      </c>
      <c r="F2702" s="154" t="s">
        <v>5693</v>
      </c>
      <c r="G2702" s="36" t="s">
        <v>32</v>
      </c>
      <c r="H2702" s="36" t="s">
        <v>1655</v>
      </c>
      <c r="I2702" s="36" t="s">
        <v>1656</v>
      </c>
      <c r="J2702" s="36" t="s">
        <v>1656</v>
      </c>
      <c r="K2702" s="36" t="s">
        <v>1921</v>
      </c>
      <c r="L2702" s="36" t="s">
        <v>5325</v>
      </c>
      <c r="M2702" s="36" t="s">
        <v>5325</v>
      </c>
      <c r="N2702" s="36" t="s">
        <v>32</v>
      </c>
    </row>
    <row r="2703">
      <c r="A2703" s="36" t="s">
        <v>6325</v>
      </c>
      <c r="B2703" s="154" t="s">
        <v>6321</v>
      </c>
      <c r="C2703" s="36" t="s">
        <v>1666</v>
      </c>
      <c r="D2703" s="36" t="s">
        <v>130</v>
      </c>
      <c r="E2703" s="36" t="s">
        <v>130</v>
      </c>
      <c r="F2703" s="154" t="s">
        <v>1768</v>
      </c>
      <c r="G2703" s="36" t="s">
        <v>28</v>
      </c>
      <c r="H2703" s="36" t="s">
        <v>1655</v>
      </c>
      <c r="I2703" s="36" t="s">
        <v>1656</v>
      </c>
      <c r="J2703" s="36" t="s">
        <v>1656</v>
      </c>
      <c r="K2703" s="36" t="s">
        <v>1878</v>
      </c>
      <c r="L2703" s="36" t="s">
        <v>5325</v>
      </c>
      <c r="M2703" s="36" t="s">
        <v>5325</v>
      </c>
      <c r="N2703" s="36" t="s">
        <v>32</v>
      </c>
    </row>
    <row r="2704">
      <c r="A2704" s="36" t="s">
        <v>6326</v>
      </c>
      <c r="B2704" s="154" t="s">
        <v>6321</v>
      </c>
      <c r="C2704" s="36" t="s">
        <v>1666</v>
      </c>
      <c r="D2704" s="36" t="s">
        <v>900</v>
      </c>
      <c r="E2704" s="36" t="s">
        <v>900</v>
      </c>
      <c r="F2704" s="154" t="s">
        <v>5109</v>
      </c>
      <c r="G2704" s="36" t="s">
        <v>28</v>
      </c>
      <c r="H2704" s="36" t="s">
        <v>1655</v>
      </c>
      <c r="I2704" s="36" t="s">
        <v>1656</v>
      </c>
      <c r="J2704" s="36" t="s">
        <v>1656</v>
      </c>
      <c r="K2704" s="36" t="s">
        <v>1881</v>
      </c>
      <c r="L2704" s="36" t="s">
        <v>5325</v>
      </c>
      <c r="M2704" s="36" t="s">
        <v>5325</v>
      </c>
      <c r="N2704" s="36" t="s">
        <v>34</v>
      </c>
    </row>
    <row r="2705">
      <c r="A2705" s="36" t="s">
        <v>6327</v>
      </c>
      <c r="B2705" s="154" t="s">
        <v>6328</v>
      </c>
      <c r="C2705" s="36" t="s">
        <v>1666</v>
      </c>
      <c r="D2705" s="36" t="s">
        <v>901</v>
      </c>
      <c r="E2705" s="36" t="s">
        <v>901</v>
      </c>
      <c r="F2705" s="154" t="s">
        <v>1816</v>
      </c>
      <c r="G2705" s="36" t="s">
        <v>28</v>
      </c>
      <c r="H2705" s="36" t="s">
        <v>1655</v>
      </c>
      <c r="I2705" s="36" t="s">
        <v>1656</v>
      </c>
      <c r="J2705" s="36" t="s">
        <v>1656</v>
      </c>
      <c r="K2705" s="36" t="s">
        <v>1884</v>
      </c>
      <c r="L2705" s="36" t="s">
        <v>5325</v>
      </c>
      <c r="M2705" s="36" t="s">
        <v>5325</v>
      </c>
      <c r="N2705" s="36" t="s">
        <v>32</v>
      </c>
    </row>
    <row r="2706">
      <c r="A2706" s="36" t="s">
        <v>6329</v>
      </c>
      <c r="B2706" s="154" t="s">
        <v>6328</v>
      </c>
      <c r="C2706" s="36" t="s">
        <v>1666</v>
      </c>
      <c r="D2706" s="36" t="s">
        <v>92</v>
      </c>
      <c r="E2706" s="36" t="s">
        <v>92</v>
      </c>
      <c r="F2706" s="154" t="s">
        <v>1932</v>
      </c>
      <c r="G2706" s="36" t="s">
        <v>32</v>
      </c>
      <c r="H2706" s="36" t="s">
        <v>1655</v>
      </c>
      <c r="I2706" s="36" t="s">
        <v>1656</v>
      </c>
      <c r="J2706" s="36" t="s">
        <v>1656</v>
      </c>
      <c r="K2706" s="36" t="s">
        <v>1887</v>
      </c>
      <c r="L2706" s="36" t="s">
        <v>5325</v>
      </c>
      <c r="M2706" s="36" t="s">
        <v>5325</v>
      </c>
      <c r="N2706" s="36" t="s">
        <v>32</v>
      </c>
    </row>
    <row r="2707">
      <c r="A2707" s="36" t="s">
        <v>6330</v>
      </c>
      <c r="B2707" s="154" t="s">
        <v>6328</v>
      </c>
      <c r="C2707" s="36" t="s">
        <v>1666</v>
      </c>
      <c r="D2707" s="36" t="s">
        <v>834</v>
      </c>
      <c r="E2707" s="36" t="s">
        <v>834</v>
      </c>
      <c r="F2707" s="154" t="s">
        <v>6331</v>
      </c>
      <c r="G2707" s="36" t="s">
        <v>32</v>
      </c>
      <c r="H2707" s="36" t="s">
        <v>1655</v>
      </c>
      <c r="I2707" s="36" t="s">
        <v>1656</v>
      </c>
      <c r="J2707" s="36" t="s">
        <v>1656</v>
      </c>
      <c r="K2707" s="36" t="s">
        <v>1894</v>
      </c>
      <c r="L2707" s="36" t="s">
        <v>5325</v>
      </c>
      <c r="M2707" s="36" t="s">
        <v>5325</v>
      </c>
      <c r="N2707" s="36" t="s">
        <v>32</v>
      </c>
    </row>
    <row r="2708">
      <c r="A2708" s="36" t="s">
        <v>6332</v>
      </c>
      <c r="B2708" s="154" t="s">
        <v>6328</v>
      </c>
      <c r="C2708" s="36" t="s">
        <v>1666</v>
      </c>
      <c r="D2708" s="36" t="s">
        <v>356</v>
      </c>
      <c r="E2708" s="36" t="s">
        <v>356</v>
      </c>
      <c r="F2708" s="154" t="s">
        <v>6333</v>
      </c>
      <c r="G2708" s="36" t="s">
        <v>32</v>
      </c>
      <c r="H2708" s="36" t="s">
        <v>1655</v>
      </c>
      <c r="I2708" s="36" t="s">
        <v>1656</v>
      </c>
      <c r="J2708" s="36" t="s">
        <v>1656</v>
      </c>
      <c r="K2708" s="36" t="s">
        <v>1897</v>
      </c>
      <c r="L2708" s="36" t="s">
        <v>5325</v>
      </c>
      <c r="M2708" s="36" t="s">
        <v>5325</v>
      </c>
      <c r="N2708" s="36" t="s">
        <v>32</v>
      </c>
    </row>
    <row r="2709">
      <c r="A2709" s="36" t="s">
        <v>6334</v>
      </c>
      <c r="B2709" s="154" t="s">
        <v>6335</v>
      </c>
      <c r="C2709" s="36" t="s">
        <v>1653</v>
      </c>
      <c r="D2709" s="36" t="s">
        <v>43</v>
      </c>
      <c r="E2709" s="36" t="s">
        <v>39</v>
      </c>
      <c r="F2709" s="154" t="s">
        <v>6336</v>
      </c>
      <c r="G2709" s="36" t="s">
        <v>32</v>
      </c>
      <c r="H2709" s="36" t="s">
        <v>1655</v>
      </c>
      <c r="I2709" s="36" t="s">
        <v>1656</v>
      </c>
      <c r="J2709" s="36" t="s">
        <v>1656</v>
      </c>
      <c r="K2709" s="36" t="s">
        <v>1657</v>
      </c>
      <c r="L2709" s="36" t="s">
        <v>5321</v>
      </c>
      <c r="M2709" s="36" t="s">
        <v>5321</v>
      </c>
      <c r="N2709" s="36" t="s">
        <v>32</v>
      </c>
    </row>
    <row r="2710">
      <c r="A2710" s="36" t="s">
        <v>6337</v>
      </c>
      <c r="B2710" s="154" t="s">
        <v>6335</v>
      </c>
      <c r="C2710" s="36" t="s">
        <v>1653</v>
      </c>
      <c r="D2710" s="36" t="s">
        <v>158</v>
      </c>
      <c r="E2710" s="36" t="s">
        <v>39</v>
      </c>
      <c r="F2710" s="154" t="s">
        <v>6338</v>
      </c>
      <c r="G2710" s="36" t="s">
        <v>32</v>
      </c>
      <c r="H2710" s="36" t="s">
        <v>1655</v>
      </c>
      <c r="I2710" s="36" t="s">
        <v>1656</v>
      </c>
      <c r="J2710" s="36" t="s">
        <v>1656</v>
      </c>
      <c r="K2710" s="36" t="s">
        <v>1749</v>
      </c>
      <c r="L2710" s="36" t="s">
        <v>5321</v>
      </c>
      <c r="M2710" s="36" t="s">
        <v>5321</v>
      </c>
      <c r="N2710" s="36" t="s">
        <v>32</v>
      </c>
    </row>
    <row r="2711">
      <c r="A2711" s="36" t="s">
        <v>6339</v>
      </c>
      <c r="B2711" s="154" t="s">
        <v>6335</v>
      </c>
      <c r="C2711" s="36" t="s">
        <v>1653</v>
      </c>
      <c r="D2711" s="36" t="s">
        <v>161</v>
      </c>
      <c r="E2711" s="36" t="s">
        <v>39</v>
      </c>
      <c r="F2711" s="154" t="s">
        <v>6340</v>
      </c>
      <c r="G2711" s="36" t="s">
        <v>32</v>
      </c>
      <c r="H2711" s="36" t="s">
        <v>1655</v>
      </c>
      <c r="I2711" s="36" t="s">
        <v>1656</v>
      </c>
      <c r="J2711" s="36" t="s">
        <v>1656</v>
      </c>
      <c r="K2711" s="36" t="s">
        <v>1664</v>
      </c>
      <c r="L2711" s="36" t="s">
        <v>5321</v>
      </c>
      <c r="M2711" s="36" t="s">
        <v>5321</v>
      </c>
      <c r="N2711" s="36" t="s">
        <v>32</v>
      </c>
    </row>
    <row r="2712">
      <c r="A2712" s="36" t="s">
        <v>6341</v>
      </c>
      <c r="B2712" s="154" t="s">
        <v>6335</v>
      </c>
      <c r="C2712" s="36" t="s">
        <v>1666</v>
      </c>
      <c r="D2712" s="36" t="s">
        <v>85</v>
      </c>
      <c r="E2712" s="36" t="s">
        <v>85</v>
      </c>
      <c r="F2712" s="154" t="s">
        <v>5704</v>
      </c>
      <c r="G2712" s="36" t="s">
        <v>28</v>
      </c>
      <c r="H2712" s="36" t="s">
        <v>1655</v>
      </c>
      <c r="I2712" s="36" t="s">
        <v>1656</v>
      </c>
      <c r="J2712" s="36" t="s">
        <v>1656</v>
      </c>
      <c r="K2712" s="36" t="s">
        <v>3035</v>
      </c>
      <c r="L2712" s="36" t="s">
        <v>5325</v>
      </c>
      <c r="M2712" s="36" t="s">
        <v>5325</v>
      </c>
      <c r="N2712" s="36" t="s">
        <v>32</v>
      </c>
    </row>
    <row r="2713">
      <c r="A2713" s="36" t="s">
        <v>6342</v>
      </c>
      <c r="B2713" s="154" t="s">
        <v>6335</v>
      </c>
      <c r="C2713" s="36" t="s">
        <v>1666</v>
      </c>
      <c r="D2713" s="36" t="s">
        <v>717</v>
      </c>
      <c r="E2713" s="36" t="s">
        <v>717</v>
      </c>
      <c r="F2713" s="154" t="s">
        <v>6343</v>
      </c>
      <c r="G2713" s="36" t="s">
        <v>28</v>
      </c>
      <c r="H2713" s="36" t="s">
        <v>1655</v>
      </c>
      <c r="I2713" s="36" t="s">
        <v>1656</v>
      </c>
      <c r="J2713" s="36" t="s">
        <v>1656</v>
      </c>
      <c r="K2713" s="36" t="s">
        <v>3038</v>
      </c>
      <c r="L2713" s="36" t="s">
        <v>5325</v>
      </c>
      <c r="M2713" s="36" t="s">
        <v>5325</v>
      </c>
      <c r="N2713" s="36" t="s">
        <v>32</v>
      </c>
    </row>
    <row r="2714">
      <c r="A2714" s="36" t="s">
        <v>6344</v>
      </c>
      <c r="B2714" s="154" t="s">
        <v>6345</v>
      </c>
      <c r="C2714" s="36" t="s">
        <v>1666</v>
      </c>
      <c r="D2714" s="36" t="s">
        <v>78</v>
      </c>
      <c r="E2714" s="36" t="s">
        <v>78</v>
      </c>
      <c r="F2714" s="154" t="s">
        <v>2325</v>
      </c>
      <c r="G2714" s="36" t="s">
        <v>28</v>
      </c>
      <c r="H2714" s="36" t="s">
        <v>1655</v>
      </c>
      <c r="I2714" s="36" t="s">
        <v>1656</v>
      </c>
      <c r="J2714" s="36" t="s">
        <v>1656</v>
      </c>
      <c r="K2714" s="36" t="s">
        <v>4248</v>
      </c>
      <c r="L2714" s="36" t="s">
        <v>5325</v>
      </c>
      <c r="M2714" s="36" t="s">
        <v>5325</v>
      </c>
      <c r="N2714" s="36" t="s">
        <v>32</v>
      </c>
    </row>
    <row r="2715">
      <c r="A2715" s="36" t="s">
        <v>6346</v>
      </c>
      <c r="B2715" s="154" t="s">
        <v>6345</v>
      </c>
      <c r="C2715" s="36" t="s">
        <v>1666</v>
      </c>
      <c r="D2715" s="36" t="s">
        <v>720</v>
      </c>
      <c r="E2715" s="36" t="s">
        <v>720</v>
      </c>
      <c r="F2715" s="154" t="s">
        <v>6347</v>
      </c>
      <c r="G2715" s="36" t="s">
        <v>32</v>
      </c>
      <c r="H2715" s="36" t="s">
        <v>1655</v>
      </c>
      <c r="I2715" s="36" t="s">
        <v>1656</v>
      </c>
      <c r="J2715" s="36" t="s">
        <v>1656</v>
      </c>
      <c r="K2715" s="36" t="s">
        <v>1668</v>
      </c>
      <c r="L2715" s="36" t="s">
        <v>5325</v>
      </c>
      <c r="M2715" s="36" t="s">
        <v>5325</v>
      </c>
      <c r="N2715" s="36" t="s">
        <v>32</v>
      </c>
    </row>
    <row r="2716">
      <c r="A2716" s="36" t="s">
        <v>6348</v>
      </c>
      <c r="B2716" s="154" t="s">
        <v>6345</v>
      </c>
      <c r="C2716" s="36" t="s">
        <v>1666</v>
      </c>
      <c r="D2716" s="36" t="s">
        <v>724</v>
      </c>
      <c r="E2716" s="36" t="s">
        <v>724</v>
      </c>
      <c r="F2716" s="154" t="s">
        <v>3838</v>
      </c>
      <c r="G2716" s="36" t="s">
        <v>32</v>
      </c>
      <c r="H2716" s="36" t="s">
        <v>1655</v>
      </c>
      <c r="I2716" s="36" t="s">
        <v>1656</v>
      </c>
      <c r="J2716" s="36" t="s">
        <v>1656</v>
      </c>
      <c r="K2716" s="36" t="s">
        <v>1672</v>
      </c>
      <c r="L2716" s="36" t="s">
        <v>5325</v>
      </c>
      <c r="M2716" s="36" t="s">
        <v>5325</v>
      </c>
      <c r="N2716" s="36" t="s">
        <v>32</v>
      </c>
    </row>
    <row r="2717">
      <c r="A2717" s="36" t="s">
        <v>6349</v>
      </c>
      <c r="B2717" s="154" t="s">
        <v>6345</v>
      </c>
      <c r="C2717" s="36" t="s">
        <v>1666</v>
      </c>
      <c r="D2717" s="36" t="s">
        <v>731</v>
      </c>
      <c r="E2717" s="36" t="s">
        <v>731</v>
      </c>
      <c r="F2717" s="154" t="s">
        <v>6350</v>
      </c>
      <c r="G2717" s="36" t="s">
        <v>28</v>
      </c>
      <c r="H2717" s="36" t="s">
        <v>1655</v>
      </c>
      <c r="I2717" s="36" t="s">
        <v>1656</v>
      </c>
      <c r="J2717" s="36" t="s">
        <v>1656</v>
      </c>
      <c r="K2717" s="36" t="s">
        <v>1675</v>
      </c>
      <c r="L2717" s="36" t="s">
        <v>5325</v>
      </c>
      <c r="M2717" s="36" t="s">
        <v>5325</v>
      </c>
      <c r="N2717" s="36" t="s">
        <v>34</v>
      </c>
    </row>
    <row r="2718">
      <c r="A2718" s="36" t="s">
        <v>6351</v>
      </c>
      <c r="B2718" s="154" t="s">
        <v>6345</v>
      </c>
      <c r="C2718" s="36" t="s">
        <v>1666</v>
      </c>
      <c r="D2718" s="36" t="s">
        <v>738</v>
      </c>
      <c r="E2718" s="36" t="s">
        <v>738</v>
      </c>
      <c r="F2718" s="154" t="s">
        <v>3324</v>
      </c>
      <c r="G2718" s="36" t="s">
        <v>30</v>
      </c>
      <c r="H2718" s="36" t="s">
        <v>1655</v>
      </c>
      <c r="I2718" s="36" t="s">
        <v>1656</v>
      </c>
      <c r="J2718" s="36" t="s">
        <v>1656</v>
      </c>
      <c r="K2718" s="36" t="s">
        <v>1678</v>
      </c>
      <c r="L2718" s="36" t="s">
        <v>5325</v>
      </c>
      <c r="M2718" s="36" t="s">
        <v>5325</v>
      </c>
      <c r="N2718" s="36" t="s">
        <v>34</v>
      </c>
    </row>
    <row r="2719">
      <c r="A2719" s="36" t="s">
        <v>6352</v>
      </c>
      <c r="B2719" s="154" t="s">
        <v>6353</v>
      </c>
      <c r="C2719" s="36" t="s">
        <v>1666</v>
      </c>
      <c r="D2719" s="36" t="s">
        <v>63</v>
      </c>
      <c r="E2719" s="36" t="s">
        <v>63</v>
      </c>
      <c r="F2719" s="154" t="s">
        <v>6354</v>
      </c>
      <c r="G2719" s="36" t="s">
        <v>28</v>
      </c>
      <c r="H2719" s="36" t="s">
        <v>1655</v>
      </c>
      <c r="I2719" s="36" t="s">
        <v>1656</v>
      </c>
      <c r="J2719" s="36" t="s">
        <v>1656</v>
      </c>
      <c r="K2719" s="36" t="s">
        <v>4196</v>
      </c>
      <c r="L2719" s="36" t="s">
        <v>5325</v>
      </c>
      <c r="M2719" s="36" t="s">
        <v>5325</v>
      </c>
      <c r="N2719" s="36" t="s">
        <v>34</v>
      </c>
    </row>
    <row r="2720">
      <c r="A2720" s="36" t="s">
        <v>6355</v>
      </c>
      <c r="B2720" s="154" t="s">
        <v>6356</v>
      </c>
      <c r="C2720" s="36" t="s">
        <v>1666</v>
      </c>
      <c r="D2720" s="36" t="s">
        <v>64</v>
      </c>
      <c r="E2720" s="36" t="s">
        <v>64</v>
      </c>
      <c r="F2720" s="154" t="s">
        <v>3867</v>
      </c>
      <c r="G2720" s="36" t="s">
        <v>28</v>
      </c>
      <c r="H2720" s="36" t="s">
        <v>1655</v>
      </c>
      <c r="I2720" s="36" t="s">
        <v>1656</v>
      </c>
      <c r="J2720" s="36" t="s">
        <v>1656</v>
      </c>
      <c r="K2720" s="36" t="s">
        <v>1708</v>
      </c>
      <c r="L2720" s="36" t="s">
        <v>5325</v>
      </c>
      <c r="M2720" s="36" t="s">
        <v>5325</v>
      </c>
      <c r="N2720" s="36" t="s">
        <v>32</v>
      </c>
    </row>
    <row r="2721">
      <c r="A2721" s="36" t="s">
        <v>6357</v>
      </c>
      <c r="B2721" s="154" t="s">
        <v>6358</v>
      </c>
      <c r="C2721" s="36" t="s">
        <v>1666</v>
      </c>
      <c r="D2721" s="36" t="s">
        <v>743</v>
      </c>
      <c r="E2721" s="36" t="s">
        <v>743</v>
      </c>
      <c r="F2721" s="154" t="s">
        <v>6359</v>
      </c>
      <c r="G2721" s="36" t="s">
        <v>30</v>
      </c>
      <c r="H2721" s="36" t="s">
        <v>1655</v>
      </c>
      <c r="I2721" s="36" t="s">
        <v>1656</v>
      </c>
      <c r="J2721" s="36" t="s">
        <v>1656</v>
      </c>
      <c r="K2721" s="36" t="s">
        <v>1681</v>
      </c>
      <c r="L2721" s="36" t="s">
        <v>5325</v>
      </c>
      <c r="M2721" s="36" t="s">
        <v>5325</v>
      </c>
      <c r="N2721" s="36" t="s">
        <v>34</v>
      </c>
    </row>
    <row r="2722">
      <c r="A2722" s="36" t="s">
        <v>6360</v>
      </c>
      <c r="B2722" s="154" t="s">
        <v>6361</v>
      </c>
      <c r="C2722" s="36" t="s">
        <v>1666</v>
      </c>
      <c r="D2722" s="36" t="s">
        <v>66</v>
      </c>
      <c r="E2722" s="36" t="s">
        <v>66</v>
      </c>
      <c r="F2722" s="154" t="s">
        <v>6362</v>
      </c>
      <c r="G2722" s="36" t="s">
        <v>28</v>
      </c>
      <c r="H2722" s="36" t="s">
        <v>1655</v>
      </c>
      <c r="I2722" s="36" t="s">
        <v>1656</v>
      </c>
      <c r="J2722" s="36" t="s">
        <v>1656</v>
      </c>
      <c r="K2722" s="36" t="s">
        <v>1721</v>
      </c>
      <c r="L2722" s="36" t="s">
        <v>5325</v>
      </c>
      <c r="M2722" s="36" t="s">
        <v>5325</v>
      </c>
      <c r="N2722" s="36" t="s">
        <v>32</v>
      </c>
    </row>
    <row r="2723">
      <c r="A2723" s="36" t="s">
        <v>6363</v>
      </c>
      <c r="B2723" s="154" t="s">
        <v>6361</v>
      </c>
      <c r="C2723" s="36" t="s">
        <v>1666</v>
      </c>
      <c r="D2723" s="36" t="s">
        <v>353</v>
      </c>
      <c r="E2723" s="36" t="s">
        <v>353</v>
      </c>
      <c r="F2723" s="154" t="s">
        <v>1810</v>
      </c>
      <c r="G2723" s="36" t="s">
        <v>28</v>
      </c>
      <c r="H2723" s="36" t="s">
        <v>1655</v>
      </c>
      <c r="I2723" s="36" t="s">
        <v>1656</v>
      </c>
      <c r="J2723" s="36" t="s">
        <v>1656</v>
      </c>
      <c r="K2723" s="36" t="s">
        <v>1684</v>
      </c>
      <c r="L2723" s="36" t="s">
        <v>5325</v>
      </c>
      <c r="M2723" s="36" t="s">
        <v>5325</v>
      </c>
      <c r="N2723" s="36" t="s">
        <v>32</v>
      </c>
    </row>
    <row r="2724">
      <c r="A2724" s="36" t="s">
        <v>6364</v>
      </c>
      <c r="B2724" s="154" t="s">
        <v>6361</v>
      </c>
      <c r="C2724" s="36" t="s">
        <v>1666</v>
      </c>
      <c r="D2724" s="36" t="s">
        <v>92</v>
      </c>
      <c r="E2724" s="36" t="s">
        <v>92</v>
      </c>
      <c r="F2724" s="154" t="s">
        <v>1714</v>
      </c>
      <c r="G2724" s="36" t="s">
        <v>32</v>
      </c>
      <c r="H2724" s="36" t="s">
        <v>1655</v>
      </c>
      <c r="I2724" s="36" t="s">
        <v>1656</v>
      </c>
      <c r="J2724" s="36" t="s">
        <v>1656</v>
      </c>
      <c r="K2724" s="36" t="s">
        <v>1691</v>
      </c>
      <c r="L2724" s="36" t="s">
        <v>5325</v>
      </c>
      <c r="M2724" s="36" t="s">
        <v>5325</v>
      </c>
      <c r="N2724" s="36" t="s">
        <v>32</v>
      </c>
    </row>
    <row r="2725">
      <c r="A2725" s="36" t="s">
        <v>6365</v>
      </c>
      <c r="B2725" s="154" t="s">
        <v>6366</v>
      </c>
      <c r="C2725" s="36" t="s">
        <v>1666</v>
      </c>
      <c r="D2725" s="36" t="s">
        <v>210</v>
      </c>
      <c r="E2725" s="36" t="s">
        <v>210</v>
      </c>
      <c r="F2725" s="154" t="s">
        <v>1816</v>
      </c>
      <c r="G2725" s="36" t="s">
        <v>28</v>
      </c>
      <c r="H2725" s="36" t="s">
        <v>1655</v>
      </c>
      <c r="I2725" s="36" t="s">
        <v>1656</v>
      </c>
      <c r="J2725" s="36" t="s">
        <v>1656</v>
      </c>
      <c r="K2725" s="36" t="s">
        <v>1695</v>
      </c>
      <c r="L2725" s="36" t="s">
        <v>5325</v>
      </c>
      <c r="M2725" s="36" t="s">
        <v>5325</v>
      </c>
      <c r="N2725" s="36" t="s">
        <v>32</v>
      </c>
    </row>
    <row r="2726">
      <c r="A2726" s="36" t="s">
        <v>6367</v>
      </c>
      <c r="B2726" s="154" t="s">
        <v>6366</v>
      </c>
      <c r="C2726" s="36" t="s">
        <v>1666</v>
      </c>
      <c r="D2726" s="36" t="s">
        <v>759</v>
      </c>
      <c r="E2726" s="36" t="s">
        <v>759</v>
      </c>
      <c r="F2726" s="154" t="s">
        <v>3324</v>
      </c>
      <c r="G2726" s="36" t="s">
        <v>28</v>
      </c>
      <c r="H2726" s="36" t="s">
        <v>1655</v>
      </c>
      <c r="I2726" s="36" t="s">
        <v>1656</v>
      </c>
      <c r="J2726" s="36" t="s">
        <v>1656</v>
      </c>
      <c r="K2726" s="36" t="s">
        <v>1698</v>
      </c>
      <c r="L2726" s="36" t="s">
        <v>5325</v>
      </c>
      <c r="M2726" s="36" t="s">
        <v>5325</v>
      </c>
      <c r="N2726" s="36" t="s">
        <v>32</v>
      </c>
    </row>
    <row r="2727">
      <c r="A2727" s="36" t="s">
        <v>6368</v>
      </c>
      <c r="B2727" s="154" t="s">
        <v>6369</v>
      </c>
      <c r="C2727" s="36" t="s">
        <v>1653</v>
      </c>
      <c r="D2727" s="36" t="s">
        <v>55</v>
      </c>
      <c r="E2727" s="36" t="s">
        <v>39</v>
      </c>
      <c r="F2727" s="154" t="s">
        <v>6370</v>
      </c>
      <c r="G2727" s="36" t="s">
        <v>32</v>
      </c>
      <c r="H2727" s="36" t="s">
        <v>1655</v>
      </c>
      <c r="I2727" s="36" t="s">
        <v>1656</v>
      </c>
      <c r="J2727" s="36" t="s">
        <v>1656</v>
      </c>
      <c r="K2727" s="36" t="s">
        <v>1989</v>
      </c>
      <c r="L2727" s="36" t="s">
        <v>5321</v>
      </c>
      <c r="M2727" s="36" t="s">
        <v>5321</v>
      </c>
      <c r="N2727" s="36" t="s">
        <v>32</v>
      </c>
    </row>
    <row r="2728">
      <c r="A2728" s="36" t="s">
        <v>6371</v>
      </c>
      <c r="B2728" s="154" t="s">
        <v>6369</v>
      </c>
      <c r="C2728" s="36" t="s">
        <v>1653</v>
      </c>
      <c r="D2728" s="36" t="s">
        <v>701</v>
      </c>
      <c r="E2728" s="36" t="s">
        <v>39</v>
      </c>
      <c r="F2728" s="154" t="s">
        <v>6372</v>
      </c>
      <c r="G2728" s="36" t="s">
        <v>32</v>
      </c>
      <c r="H2728" s="36" t="s">
        <v>1655</v>
      </c>
      <c r="I2728" s="36" t="s">
        <v>1656</v>
      </c>
      <c r="J2728" s="36" t="s">
        <v>1656</v>
      </c>
      <c r="K2728" s="36" t="s">
        <v>1978</v>
      </c>
      <c r="L2728" s="36" t="s">
        <v>5321</v>
      </c>
      <c r="M2728" s="36" t="s">
        <v>5321</v>
      </c>
      <c r="N2728" s="36" t="s">
        <v>32</v>
      </c>
    </row>
    <row r="2729">
      <c r="A2729" s="36" t="s">
        <v>6373</v>
      </c>
      <c r="B2729" s="154" t="s">
        <v>6369</v>
      </c>
      <c r="C2729" s="36" t="s">
        <v>1666</v>
      </c>
      <c r="D2729" s="36" t="s">
        <v>71</v>
      </c>
      <c r="E2729" s="36" t="s">
        <v>71</v>
      </c>
      <c r="F2729" s="154" t="s">
        <v>5555</v>
      </c>
      <c r="G2729" s="36" t="s">
        <v>32</v>
      </c>
      <c r="H2729" s="36" t="s">
        <v>1655</v>
      </c>
      <c r="I2729" s="36" t="s">
        <v>1656</v>
      </c>
      <c r="J2729" s="36" t="s">
        <v>1656</v>
      </c>
      <c r="K2729" s="36" t="s">
        <v>1752</v>
      </c>
      <c r="L2729" s="36" t="s">
        <v>5325</v>
      </c>
      <c r="M2729" s="36" t="s">
        <v>5325</v>
      </c>
      <c r="N2729" s="36" t="s">
        <v>32</v>
      </c>
    </row>
    <row r="2730">
      <c r="A2730" s="36" t="s">
        <v>6374</v>
      </c>
      <c r="B2730" s="154" t="s">
        <v>6369</v>
      </c>
      <c r="C2730" s="36" t="s">
        <v>1666</v>
      </c>
      <c r="D2730" s="36" t="s">
        <v>73</v>
      </c>
      <c r="E2730" s="36" t="s">
        <v>73</v>
      </c>
      <c r="F2730" s="154" t="s">
        <v>5557</v>
      </c>
      <c r="G2730" s="36" t="s">
        <v>28</v>
      </c>
      <c r="H2730" s="36" t="s">
        <v>1655</v>
      </c>
      <c r="I2730" s="36" t="s">
        <v>1656</v>
      </c>
      <c r="J2730" s="36" t="s">
        <v>1656</v>
      </c>
      <c r="K2730" s="36" t="s">
        <v>1755</v>
      </c>
      <c r="L2730" s="36" t="s">
        <v>5325</v>
      </c>
      <c r="M2730" s="36" t="s">
        <v>5325</v>
      </c>
      <c r="N2730" s="36" t="s">
        <v>32</v>
      </c>
    </row>
    <row r="2731">
      <c r="A2731" s="36" t="s">
        <v>6375</v>
      </c>
      <c r="B2731" s="154" t="s">
        <v>6369</v>
      </c>
      <c r="C2731" s="36" t="s">
        <v>1666</v>
      </c>
      <c r="D2731" s="36" t="s">
        <v>74</v>
      </c>
      <c r="E2731" s="36" t="s">
        <v>74</v>
      </c>
      <c r="F2731" s="154" t="s">
        <v>5559</v>
      </c>
      <c r="G2731" s="36" t="s">
        <v>32</v>
      </c>
      <c r="H2731" s="36" t="s">
        <v>1655</v>
      </c>
      <c r="I2731" s="36" t="s">
        <v>1656</v>
      </c>
      <c r="J2731" s="36" t="s">
        <v>1656</v>
      </c>
      <c r="K2731" s="36" t="s">
        <v>1757</v>
      </c>
      <c r="L2731" s="36" t="s">
        <v>5325</v>
      </c>
      <c r="M2731" s="36" t="s">
        <v>5325</v>
      </c>
      <c r="N2731" s="36" t="s">
        <v>32</v>
      </c>
    </row>
    <row r="2732">
      <c r="A2732" s="36" t="s">
        <v>6376</v>
      </c>
      <c r="B2732" s="154" t="s">
        <v>6369</v>
      </c>
      <c r="C2732" s="36" t="s">
        <v>1666</v>
      </c>
      <c r="D2732" s="36" t="s">
        <v>75</v>
      </c>
      <c r="E2732" s="36" t="s">
        <v>75</v>
      </c>
      <c r="F2732" s="154" t="s">
        <v>5561</v>
      </c>
      <c r="G2732" s="36" t="s">
        <v>28</v>
      </c>
      <c r="H2732" s="36" t="s">
        <v>1655</v>
      </c>
      <c r="I2732" s="36" t="s">
        <v>1656</v>
      </c>
      <c r="J2732" s="36" t="s">
        <v>1656</v>
      </c>
      <c r="K2732" s="36" t="s">
        <v>1760</v>
      </c>
      <c r="L2732" s="36" t="s">
        <v>5325</v>
      </c>
      <c r="M2732" s="36" t="s">
        <v>5325</v>
      </c>
      <c r="N2732" s="36" t="s">
        <v>32</v>
      </c>
    </row>
    <row r="2733">
      <c r="A2733" s="36" t="s">
        <v>6377</v>
      </c>
      <c r="B2733" s="154" t="s">
        <v>6369</v>
      </c>
      <c r="C2733" s="36" t="s">
        <v>1666</v>
      </c>
      <c r="D2733" s="36" t="s">
        <v>76</v>
      </c>
      <c r="E2733" s="36" t="s">
        <v>76</v>
      </c>
      <c r="F2733" s="154" t="s">
        <v>6378</v>
      </c>
      <c r="G2733" s="36" t="s">
        <v>28</v>
      </c>
      <c r="H2733" s="36" t="s">
        <v>1655</v>
      </c>
      <c r="I2733" s="36" t="s">
        <v>1656</v>
      </c>
      <c r="J2733" s="36" t="s">
        <v>1656</v>
      </c>
      <c r="K2733" s="36" t="s">
        <v>1763</v>
      </c>
      <c r="L2733" s="36" t="s">
        <v>5325</v>
      </c>
      <c r="M2733" s="36" t="s">
        <v>5325</v>
      </c>
      <c r="N2733" s="36" t="s">
        <v>32</v>
      </c>
    </row>
    <row r="2734">
      <c r="A2734" s="36" t="s">
        <v>6379</v>
      </c>
      <c r="B2734" s="154" t="s">
        <v>6369</v>
      </c>
      <c r="C2734" s="36" t="s">
        <v>1666</v>
      </c>
      <c r="D2734" s="36" t="s">
        <v>77</v>
      </c>
      <c r="E2734" s="36" t="s">
        <v>77</v>
      </c>
      <c r="F2734" s="154" t="s">
        <v>1768</v>
      </c>
      <c r="G2734" s="36" t="s">
        <v>34</v>
      </c>
      <c r="H2734" s="36" t="s">
        <v>1655</v>
      </c>
      <c r="I2734" s="36" t="s">
        <v>1656</v>
      </c>
      <c r="J2734" s="36" t="s">
        <v>1656</v>
      </c>
      <c r="K2734" s="36" t="s">
        <v>1766</v>
      </c>
      <c r="L2734" s="36" t="s">
        <v>5325</v>
      </c>
      <c r="M2734" s="36" t="s">
        <v>5325</v>
      </c>
      <c r="N2734" s="36" t="s">
        <v>32</v>
      </c>
    </row>
    <row r="2735">
      <c r="A2735" s="36" t="s">
        <v>6380</v>
      </c>
      <c r="B2735" s="154" t="s">
        <v>6369</v>
      </c>
      <c r="C2735" s="36" t="s">
        <v>1666</v>
      </c>
      <c r="D2735" s="36" t="s">
        <v>210</v>
      </c>
      <c r="E2735" s="36" t="s">
        <v>210</v>
      </c>
      <c r="F2735" s="154" t="s">
        <v>1816</v>
      </c>
      <c r="G2735" s="36" t="s">
        <v>28</v>
      </c>
      <c r="H2735" s="36" t="s">
        <v>1655</v>
      </c>
      <c r="I2735" s="36" t="s">
        <v>1656</v>
      </c>
      <c r="J2735" s="36" t="s">
        <v>1656</v>
      </c>
      <c r="K2735" s="36" t="s">
        <v>1701</v>
      </c>
      <c r="L2735" s="36" t="s">
        <v>5325</v>
      </c>
      <c r="M2735" s="36" t="s">
        <v>5325</v>
      </c>
      <c r="N2735" s="36" t="s">
        <v>32</v>
      </c>
    </row>
    <row r="2736">
      <c r="A2736" s="36" t="s">
        <v>6381</v>
      </c>
      <c r="B2736" s="154" t="s">
        <v>6369</v>
      </c>
      <c r="C2736" s="36" t="s">
        <v>1666</v>
      </c>
      <c r="D2736" s="36" t="s">
        <v>767</v>
      </c>
      <c r="E2736" s="36" t="s">
        <v>767</v>
      </c>
      <c r="F2736" s="154" t="s">
        <v>6070</v>
      </c>
      <c r="G2736" s="36" t="s">
        <v>32</v>
      </c>
      <c r="H2736" s="36" t="s">
        <v>1655</v>
      </c>
      <c r="I2736" s="36" t="s">
        <v>1656</v>
      </c>
      <c r="J2736" s="36" t="s">
        <v>1656</v>
      </c>
      <c r="K2736" s="36" t="s">
        <v>1704</v>
      </c>
      <c r="L2736" s="36" t="s">
        <v>5325</v>
      </c>
      <c r="M2736" s="36" t="s">
        <v>5325</v>
      </c>
      <c r="N2736" s="36" t="s">
        <v>32</v>
      </c>
    </row>
    <row r="2737">
      <c r="A2737" s="36" t="s">
        <v>6382</v>
      </c>
      <c r="B2737" s="154" t="s">
        <v>6369</v>
      </c>
      <c r="C2737" s="36" t="s">
        <v>1666</v>
      </c>
      <c r="D2737" s="36" t="s">
        <v>114</v>
      </c>
      <c r="E2737" s="36" t="s">
        <v>114</v>
      </c>
      <c r="F2737" s="154" t="s">
        <v>1799</v>
      </c>
      <c r="G2737" s="36" t="s">
        <v>32</v>
      </c>
      <c r="H2737" s="36" t="s">
        <v>1655</v>
      </c>
      <c r="I2737" s="36" t="s">
        <v>1656</v>
      </c>
      <c r="J2737" s="36" t="s">
        <v>1656</v>
      </c>
      <c r="K2737" s="36" t="s">
        <v>1711</v>
      </c>
      <c r="L2737" s="36" t="s">
        <v>5325</v>
      </c>
      <c r="M2737" s="36" t="s">
        <v>5325</v>
      </c>
      <c r="N2737" s="36" t="s">
        <v>32</v>
      </c>
    </row>
    <row r="2738">
      <c r="A2738" s="36" t="s">
        <v>6383</v>
      </c>
      <c r="B2738" s="154" t="s">
        <v>6369</v>
      </c>
      <c r="C2738" s="36" t="s">
        <v>1666</v>
      </c>
      <c r="D2738" s="36" t="s">
        <v>115</v>
      </c>
      <c r="E2738" s="36" t="s">
        <v>115</v>
      </c>
      <c r="F2738" s="154" t="s">
        <v>6384</v>
      </c>
      <c r="G2738" s="36" t="s">
        <v>32</v>
      </c>
      <c r="H2738" s="36" t="s">
        <v>1655</v>
      </c>
      <c r="I2738" s="36" t="s">
        <v>1656</v>
      </c>
      <c r="J2738" s="36" t="s">
        <v>1656</v>
      </c>
      <c r="K2738" s="36" t="s">
        <v>1715</v>
      </c>
      <c r="L2738" s="36" t="s">
        <v>5325</v>
      </c>
      <c r="M2738" s="36" t="s">
        <v>5325</v>
      </c>
      <c r="N2738" s="36" t="s">
        <v>32</v>
      </c>
    </row>
    <row r="2739">
      <c r="A2739" s="36" t="s">
        <v>6385</v>
      </c>
      <c r="B2739" s="154" t="s">
        <v>6369</v>
      </c>
      <c r="C2739" s="36" t="s">
        <v>1666</v>
      </c>
      <c r="D2739" s="36" t="s">
        <v>775</v>
      </c>
      <c r="E2739" s="36" t="s">
        <v>775</v>
      </c>
      <c r="F2739" s="154" t="s">
        <v>5678</v>
      </c>
      <c r="G2739" s="36" t="s">
        <v>32</v>
      </c>
      <c r="H2739" s="36" t="s">
        <v>1655</v>
      </c>
      <c r="I2739" s="36" t="s">
        <v>1656</v>
      </c>
      <c r="J2739" s="36" t="s">
        <v>1656</v>
      </c>
      <c r="K2739" s="36" t="s">
        <v>1717</v>
      </c>
      <c r="L2739" s="36" t="s">
        <v>5325</v>
      </c>
      <c r="M2739" s="36" t="s">
        <v>5325</v>
      </c>
      <c r="N2739" s="36" t="s">
        <v>32</v>
      </c>
    </row>
    <row r="2740">
      <c r="A2740" s="36" t="s">
        <v>6386</v>
      </c>
      <c r="B2740" s="154" t="s">
        <v>6369</v>
      </c>
      <c r="C2740" s="36" t="s">
        <v>1666</v>
      </c>
      <c r="D2740" s="36" t="s">
        <v>226</v>
      </c>
      <c r="E2740" s="36" t="s">
        <v>226</v>
      </c>
      <c r="F2740" s="154" t="s">
        <v>6387</v>
      </c>
      <c r="G2740" s="36" t="s">
        <v>32</v>
      </c>
      <c r="H2740" s="36" t="s">
        <v>1655</v>
      </c>
      <c r="I2740" s="36" t="s">
        <v>1656</v>
      </c>
      <c r="J2740" s="36" t="s">
        <v>1656</v>
      </c>
      <c r="K2740" s="36" t="s">
        <v>1724</v>
      </c>
      <c r="L2740" s="36" t="s">
        <v>5325</v>
      </c>
      <c r="M2740" s="36" t="s">
        <v>5325</v>
      </c>
      <c r="N2740" s="36" t="s">
        <v>32</v>
      </c>
    </row>
    <row r="2741">
      <c r="A2741" s="36" t="s">
        <v>6388</v>
      </c>
      <c r="B2741" s="154" t="s">
        <v>6369</v>
      </c>
      <c r="C2741" s="36" t="s">
        <v>1666</v>
      </c>
      <c r="D2741" s="36" t="s">
        <v>220</v>
      </c>
      <c r="E2741" s="36" t="s">
        <v>220</v>
      </c>
      <c r="F2741" s="154" t="s">
        <v>6389</v>
      </c>
      <c r="G2741" s="36" t="s">
        <v>28</v>
      </c>
      <c r="H2741" s="36" t="s">
        <v>1655</v>
      </c>
      <c r="I2741" s="36" t="s">
        <v>1656</v>
      </c>
      <c r="J2741" s="36" t="s">
        <v>1656</v>
      </c>
      <c r="K2741" s="36" t="s">
        <v>1727</v>
      </c>
      <c r="L2741" s="36" t="s">
        <v>5325</v>
      </c>
      <c r="M2741" s="36" t="s">
        <v>5325</v>
      </c>
      <c r="N2741" s="36" t="s">
        <v>32</v>
      </c>
    </row>
    <row r="2742">
      <c r="A2742" s="36" t="s">
        <v>6390</v>
      </c>
      <c r="B2742" s="154" t="s">
        <v>6369</v>
      </c>
      <c r="C2742" s="36" t="s">
        <v>1666</v>
      </c>
      <c r="D2742" s="36" t="s">
        <v>281</v>
      </c>
      <c r="E2742" s="36" t="s">
        <v>281</v>
      </c>
      <c r="F2742" s="154" t="s">
        <v>6391</v>
      </c>
      <c r="G2742" s="36" t="s">
        <v>34</v>
      </c>
      <c r="H2742" s="36" t="s">
        <v>1655</v>
      </c>
      <c r="I2742" s="36" t="s">
        <v>1656</v>
      </c>
      <c r="J2742" s="36" t="s">
        <v>1656</v>
      </c>
      <c r="K2742" s="36" t="s">
        <v>1730</v>
      </c>
      <c r="L2742" s="36" t="s">
        <v>5325</v>
      </c>
      <c r="M2742" s="36" t="s">
        <v>5325</v>
      </c>
      <c r="N2742" s="36" t="s">
        <v>32</v>
      </c>
    </row>
    <row r="2743">
      <c r="A2743" s="36" t="s">
        <v>6392</v>
      </c>
      <c r="B2743" s="154" t="s">
        <v>6393</v>
      </c>
      <c r="C2743" s="36" t="s">
        <v>1666</v>
      </c>
      <c r="D2743" s="36" t="s">
        <v>91</v>
      </c>
      <c r="E2743" s="36" t="s">
        <v>91</v>
      </c>
      <c r="F2743" s="154" t="s">
        <v>1768</v>
      </c>
      <c r="G2743" s="36" t="s">
        <v>28</v>
      </c>
      <c r="H2743" s="36" t="s">
        <v>1655</v>
      </c>
      <c r="I2743" s="36" t="s">
        <v>1656</v>
      </c>
      <c r="J2743" s="36" t="s">
        <v>1656</v>
      </c>
      <c r="K2743" s="36" t="s">
        <v>1732</v>
      </c>
      <c r="L2743" s="36" t="s">
        <v>5325</v>
      </c>
      <c r="M2743" s="36" t="s">
        <v>5325</v>
      </c>
      <c r="N2743" s="36" t="s">
        <v>34</v>
      </c>
    </row>
    <row r="2744">
      <c r="A2744" s="36" t="s">
        <v>6394</v>
      </c>
      <c r="B2744" s="154" t="s">
        <v>6393</v>
      </c>
      <c r="C2744" s="36" t="s">
        <v>1666</v>
      </c>
      <c r="D2744" s="36" t="s">
        <v>795</v>
      </c>
      <c r="E2744" s="36" t="s">
        <v>795</v>
      </c>
      <c r="F2744" s="154" t="s">
        <v>1778</v>
      </c>
      <c r="G2744" s="36" t="s">
        <v>28</v>
      </c>
      <c r="H2744" s="36" t="s">
        <v>1655</v>
      </c>
      <c r="I2744" s="36" t="s">
        <v>1656</v>
      </c>
      <c r="J2744" s="36" t="s">
        <v>1656</v>
      </c>
      <c r="K2744" s="36" t="s">
        <v>1736</v>
      </c>
      <c r="L2744" s="36" t="s">
        <v>5325</v>
      </c>
      <c r="M2744" s="36" t="s">
        <v>5325</v>
      </c>
      <c r="N2744" s="36" t="s">
        <v>34</v>
      </c>
    </row>
    <row r="2745">
      <c r="A2745" s="36" t="s">
        <v>6395</v>
      </c>
      <c r="B2745" s="154" t="s">
        <v>6396</v>
      </c>
      <c r="C2745" s="36" t="s">
        <v>1666</v>
      </c>
      <c r="D2745" s="36" t="s">
        <v>100</v>
      </c>
      <c r="E2745" s="36" t="s">
        <v>100</v>
      </c>
      <c r="F2745" s="154" t="s">
        <v>1810</v>
      </c>
      <c r="G2745" s="36" t="s">
        <v>32</v>
      </c>
      <c r="H2745" s="36" t="s">
        <v>1655</v>
      </c>
      <c r="I2745" s="36" t="s">
        <v>1656</v>
      </c>
      <c r="J2745" s="36" t="s">
        <v>1656</v>
      </c>
      <c r="K2745" s="36" t="s">
        <v>1739</v>
      </c>
      <c r="L2745" s="36" t="s">
        <v>5325</v>
      </c>
      <c r="M2745" s="36" t="s">
        <v>5325</v>
      </c>
      <c r="N2745" s="36" t="s">
        <v>32</v>
      </c>
    </row>
    <row r="2746">
      <c r="A2746" s="36" t="s">
        <v>6397</v>
      </c>
      <c r="B2746" s="154" t="s">
        <v>6398</v>
      </c>
      <c r="C2746" s="36" t="s">
        <v>1666</v>
      </c>
      <c r="D2746" s="36" t="s">
        <v>807</v>
      </c>
      <c r="E2746" s="36" t="s">
        <v>807</v>
      </c>
      <c r="F2746" s="154" t="s">
        <v>2027</v>
      </c>
      <c r="G2746" s="36" t="s">
        <v>30</v>
      </c>
      <c r="H2746" s="36" t="s">
        <v>1655</v>
      </c>
      <c r="I2746" s="36" t="s">
        <v>1656</v>
      </c>
      <c r="J2746" s="36" t="s">
        <v>1656</v>
      </c>
      <c r="K2746" s="36" t="s">
        <v>1742</v>
      </c>
      <c r="L2746" s="36" t="s">
        <v>5325</v>
      </c>
      <c r="M2746" s="36" t="s">
        <v>5325</v>
      </c>
      <c r="N2746" s="36" t="s">
        <v>32</v>
      </c>
    </row>
    <row r="2747">
      <c r="A2747" s="36" t="s">
        <v>6399</v>
      </c>
      <c r="B2747" s="154" t="s">
        <v>6398</v>
      </c>
      <c r="C2747" s="36" t="s">
        <v>1666</v>
      </c>
      <c r="D2747" s="36" t="s">
        <v>741</v>
      </c>
      <c r="E2747" s="36" t="s">
        <v>741</v>
      </c>
      <c r="F2747" s="154" t="s">
        <v>1816</v>
      </c>
      <c r="G2747" s="36" t="s">
        <v>28</v>
      </c>
      <c r="H2747" s="36" t="s">
        <v>1655</v>
      </c>
      <c r="I2747" s="36" t="s">
        <v>1656</v>
      </c>
      <c r="J2747" s="36" t="s">
        <v>1656</v>
      </c>
      <c r="K2747" s="36" t="s">
        <v>1745</v>
      </c>
      <c r="L2747" s="36" t="s">
        <v>5325</v>
      </c>
      <c r="M2747" s="36" t="s">
        <v>5325</v>
      </c>
      <c r="N2747" s="36" t="s">
        <v>32</v>
      </c>
    </row>
    <row r="2748">
      <c r="A2748" s="36" t="s">
        <v>6400</v>
      </c>
      <c r="B2748" s="154" t="s">
        <v>6401</v>
      </c>
      <c r="C2748" s="36" t="s">
        <v>1666</v>
      </c>
      <c r="D2748" s="36" t="s">
        <v>191</v>
      </c>
      <c r="E2748" s="36" t="s">
        <v>191</v>
      </c>
      <c r="F2748" s="154" t="s">
        <v>1816</v>
      </c>
      <c r="G2748" s="36" t="s">
        <v>28</v>
      </c>
      <c r="H2748" s="36" t="s">
        <v>1655</v>
      </c>
      <c r="I2748" s="36" t="s">
        <v>1656</v>
      </c>
      <c r="J2748" s="36" t="s">
        <v>1656</v>
      </c>
      <c r="K2748" s="36" t="s">
        <v>1773</v>
      </c>
      <c r="L2748" s="36" t="s">
        <v>5325</v>
      </c>
      <c r="M2748" s="36" t="s">
        <v>5325</v>
      </c>
      <c r="N2748" s="36" t="s">
        <v>32</v>
      </c>
    </row>
    <row r="2749">
      <c r="A2749" s="36" t="s">
        <v>6402</v>
      </c>
      <c r="B2749" s="154" t="s">
        <v>6401</v>
      </c>
      <c r="C2749" s="36" t="s">
        <v>1666</v>
      </c>
      <c r="D2749" s="36" t="s">
        <v>235</v>
      </c>
      <c r="E2749" s="36" t="s">
        <v>235</v>
      </c>
      <c r="F2749" s="154" t="s">
        <v>2156</v>
      </c>
      <c r="G2749" s="36" t="s">
        <v>28</v>
      </c>
      <c r="H2749" s="36" t="s">
        <v>1655</v>
      </c>
      <c r="I2749" s="36" t="s">
        <v>1656</v>
      </c>
      <c r="J2749" s="36" t="s">
        <v>1656</v>
      </c>
      <c r="K2749" s="36" t="s">
        <v>1776</v>
      </c>
      <c r="L2749" s="36" t="s">
        <v>5325</v>
      </c>
      <c r="M2749" s="36" t="s">
        <v>5325</v>
      </c>
      <c r="N2749" s="36" t="s">
        <v>34</v>
      </c>
    </row>
    <row r="2750">
      <c r="A2750" s="36" t="s">
        <v>6403</v>
      </c>
      <c r="B2750" s="154" t="s">
        <v>6401</v>
      </c>
      <c r="C2750" s="36" t="s">
        <v>1666</v>
      </c>
      <c r="D2750" s="36" t="s">
        <v>817</v>
      </c>
      <c r="E2750" s="36" t="s">
        <v>817</v>
      </c>
      <c r="F2750" s="154" t="s">
        <v>1816</v>
      </c>
      <c r="G2750" s="36" t="s">
        <v>28</v>
      </c>
      <c r="H2750" s="36" t="s">
        <v>1655</v>
      </c>
      <c r="I2750" s="36" t="s">
        <v>1656</v>
      </c>
      <c r="J2750" s="36" t="s">
        <v>1656</v>
      </c>
      <c r="K2750" s="36" t="s">
        <v>1779</v>
      </c>
      <c r="L2750" s="36" t="s">
        <v>5325</v>
      </c>
      <c r="M2750" s="36" t="s">
        <v>5325</v>
      </c>
      <c r="N2750" s="36" t="s">
        <v>34</v>
      </c>
    </row>
    <row r="2751">
      <c r="A2751" s="36" t="s">
        <v>6404</v>
      </c>
      <c r="B2751" s="154" t="s">
        <v>6405</v>
      </c>
      <c r="C2751" s="36" t="s">
        <v>1666</v>
      </c>
      <c r="D2751" s="36" t="s">
        <v>355</v>
      </c>
      <c r="E2751" s="36" t="s">
        <v>355</v>
      </c>
      <c r="F2751" s="154" t="s">
        <v>1686</v>
      </c>
      <c r="G2751" s="36" t="s">
        <v>32</v>
      </c>
      <c r="H2751" s="36" t="s">
        <v>1655</v>
      </c>
      <c r="I2751" s="36" t="s">
        <v>1656</v>
      </c>
      <c r="J2751" s="36" t="s">
        <v>1656</v>
      </c>
      <c r="K2751" s="36" t="s">
        <v>1782</v>
      </c>
      <c r="L2751" s="36" t="s">
        <v>5325</v>
      </c>
      <c r="M2751" s="36" t="s">
        <v>5325</v>
      </c>
      <c r="N2751" s="36" t="s">
        <v>32</v>
      </c>
    </row>
    <row r="2752">
      <c r="A2752" s="36" t="s">
        <v>6406</v>
      </c>
      <c r="B2752" s="154" t="s">
        <v>6405</v>
      </c>
      <c r="C2752" s="36" t="s">
        <v>1666</v>
      </c>
      <c r="D2752" s="36" t="s">
        <v>480</v>
      </c>
      <c r="E2752" s="36" t="s">
        <v>480</v>
      </c>
      <c r="F2752" s="154" t="s">
        <v>2027</v>
      </c>
      <c r="G2752" s="36" t="s">
        <v>28</v>
      </c>
      <c r="H2752" s="36" t="s">
        <v>1655</v>
      </c>
      <c r="I2752" s="36" t="s">
        <v>1656</v>
      </c>
      <c r="J2752" s="36" t="s">
        <v>1656</v>
      </c>
      <c r="K2752" s="36" t="s">
        <v>1784</v>
      </c>
      <c r="L2752" s="36" t="s">
        <v>5325</v>
      </c>
      <c r="M2752" s="36" t="s">
        <v>5325</v>
      </c>
      <c r="N2752" s="36" t="s">
        <v>32</v>
      </c>
    </row>
    <row r="2753">
      <c r="A2753" s="36" t="s">
        <v>6407</v>
      </c>
      <c r="B2753" s="154" t="s">
        <v>6408</v>
      </c>
      <c r="C2753" s="36" t="s">
        <v>1666</v>
      </c>
      <c r="D2753" s="36" t="s">
        <v>100</v>
      </c>
      <c r="E2753" s="36" t="s">
        <v>100</v>
      </c>
      <c r="F2753" s="154" t="s">
        <v>1810</v>
      </c>
      <c r="G2753" s="36" t="s">
        <v>32</v>
      </c>
      <c r="H2753" s="36" t="s">
        <v>1655</v>
      </c>
      <c r="I2753" s="36" t="s">
        <v>1656</v>
      </c>
      <c r="J2753" s="36" t="s">
        <v>1656</v>
      </c>
      <c r="K2753" s="36" t="s">
        <v>1787</v>
      </c>
      <c r="L2753" s="36" t="s">
        <v>5325</v>
      </c>
      <c r="M2753" s="36" t="s">
        <v>5325</v>
      </c>
      <c r="N2753" s="36" t="s">
        <v>32</v>
      </c>
    </row>
    <row r="2754">
      <c r="A2754" s="36" t="s">
        <v>6409</v>
      </c>
      <c r="B2754" s="154" t="s">
        <v>6408</v>
      </c>
      <c r="C2754" s="36" t="s">
        <v>1666</v>
      </c>
      <c r="D2754" s="36" t="s">
        <v>832</v>
      </c>
      <c r="E2754" s="36" t="s">
        <v>832</v>
      </c>
      <c r="F2754" s="154" t="s">
        <v>4096</v>
      </c>
      <c r="G2754" s="36" t="s">
        <v>32</v>
      </c>
      <c r="H2754" s="36" t="s">
        <v>1655</v>
      </c>
      <c r="I2754" s="36" t="s">
        <v>1656</v>
      </c>
      <c r="J2754" s="36" t="s">
        <v>1656</v>
      </c>
      <c r="K2754" s="36" t="s">
        <v>1790</v>
      </c>
      <c r="L2754" s="36" t="s">
        <v>5325</v>
      </c>
      <c r="M2754" s="36" t="s">
        <v>5325</v>
      </c>
      <c r="N2754" s="36" t="s">
        <v>32</v>
      </c>
    </row>
    <row r="2755">
      <c r="A2755" s="36" t="s">
        <v>6410</v>
      </c>
      <c r="B2755" s="154" t="s">
        <v>6408</v>
      </c>
      <c r="C2755" s="36" t="s">
        <v>1666</v>
      </c>
      <c r="D2755" s="36" t="s">
        <v>836</v>
      </c>
      <c r="E2755" s="36" t="s">
        <v>836</v>
      </c>
      <c r="F2755" s="154" t="s">
        <v>2325</v>
      </c>
      <c r="G2755" s="36" t="s">
        <v>32</v>
      </c>
      <c r="H2755" s="36" t="s">
        <v>1655</v>
      </c>
      <c r="I2755" s="36" t="s">
        <v>1656</v>
      </c>
      <c r="J2755" s="36" t="s">
        <v>1656</v>
      </c>
      <c r="K2755" s="36" t="s">
        <v>1793</v>
      </c>
      <c r="L2755" s="36" t="s">
        <v>5325</v>
      </c>
      <c r="M2755" s="36" t="s">
        <v>5325</v>
      </c>
      <c r="N2755" s="36" t="s">
        <v>32</v>
      </c>
    </row>
    <row r="2756">
      <c r="A2756" s="36" t="s">
        <v>6411</v>
      </c>
      <c r="B2756" s="154" t="s">
        <v>6412</v>
      </c>
      <c r="C2756" s="36" t="s">
        <v>1666</v>
      </c>
      <c r="D2756" s="36" t="s">
        <v>842</v>
      </c>
      <c r="E2756" s="36" t="s">
        <v>842</v>
      </c>
      <c r="F2756" s="154" t="s">
        <v>1816</v>
      </c>
      <c r="G2756" s="36" t="s">
        <v>32</v>
      </c>
      <c r="H2756" s="36" t="s">
        <v>1655</v>
      </c>
      <c r="I2756" s="36" t="s">
        <v>1656</v>
      </c>
      <c r="J2756" s="36" t="s">
        <v>1656</v>
      </c>
      <c r="K2756" s="36" t="s">
        <v>1796</v>
      </c>
      <c r="L2756" s="36" t="s">
        <v>5325</v>
      </c>
      <c r="M2756" s="36" t="s">
        <v>5325</v>
      </c>
      <c r="N2756" s="36" t="s">
        <v>32</v>
      </c>
    </row>
    <row r="2757">
      <c r="A2757" s="36" t="s">
        <v>6413</v>
      </c>
      <c r="B2757" s="154" t="s">
        <v>6412</v>
      </c>
      <c r="C2757" s="36" t="s">
        <v>1666</v>
      </c>
      <c r="D2757" s="36" t="s">
        <v>847</v>
      </c>
      <c r="E2757" s="36" t="s">
        <v>847</v>
      </c>
      <c r="F2757" s="154" t="s">
        <v>4144</v>
      </c>
      <c r="G2757" s="36" t="s">
        <v>32</v>
      </c>
      <c r="H2757" s="36" t="s">
        <v>1655</v>
      </c>
      <c r="I2757" s="36" t="s">
        <v>1656</v>
      </c>
      <c r="J2757" s="36" t="s">
        <v>1656</v>
      </c>
      <c r="K2757" s="36" t="s">
        <v>1800</v>
      </c>
      <c r="L2757" s="36" t="s">
        <v>5325</v>
      </c>
      <c r="M2757" s="36" t="s">
        <v>5325</v>
      </c>
      <c r="N2757" s="36" t="s">
        <v>32</v>
      </c>
    </row>
    <row r="2758">
      <c r="A2758" s="36" t="s">
        <v>6414</v>
      </c>
      <c r="B2758" s="154" t="s">
        <v>6415</v>
      </c>
      <c r="C2758" s="36" t="s">
        <v>1666</v>
      </c>
      <c r="D2758" s="36" t="s">
        <v>475</v>
      </c>
      <c r="E2758" s="36" t="s">
        <v>475</v>
      </c>
      <c r="F2758" s="154" t="s">
        <v>6081</v>
      </c>
      <c r="G2758" s="36" t="s">
        <v>32</v>
      </c>
      <c r="H2758" s="36" t="s">
        <v>1655</v>
      </c>
      <c r="I2758" s="36" t="s">
        <v>1656</v>
      </c>
      <c r="J2758" s="36" t="s">
        <v>1656</v>
      </c>
      <c r="K2758" s="36" t="s">
        <v>1803</v>
      </c>
      <c r="L2758" s="36" t="s">
        <v>5325</v>
      </c>
      <c r="M2758" s="36" t="s">
        <v>5325</v>
      </c>
      <c r="N2758" s="36" t="s">
        <v>34</v>
      </c>
    </row>
    <row r="2759">
      <c r="A2759" s="36" t="s">
        <v>6416</v>
      </c>
      <c r="B2759" s="154" t="s">
        <v>6415</v>
      </c>
      <c r="C2759" s="36" t="s">
        <v>1666</v>
      </c>
      <c r="D2759" s="36" t="s">
        <v>855</v>
      </c>
      <c r="E2759" s="36" t="s">
        <v>855</v>
      </c>
      <c r="F2759" s="154" t="s">
        <v>2039</v>
      </c>
      <c r="G2759" s="36" t="s">
        <v>28</v>
      </c>
      <c r="H2759" s="36" t="s">
        <v>1655</v>
      </c>
      <c r="I2759" s="36" t="s">
        <v>1656</v>
      </c>
      <c r="J2759" s="36" t="s">
        <v>1656</v>
      </c>
      <c r="K2759" s="36" t="s">
        <v>1807</v>
      </c>
      <c r="L2759" s="36" t="s">
        <v>5325</v>
      </c>
      <c r="M2759" s="36" t="s">
        <v>5325</v>
      </c>
      <c r="N2759" s="36" t="s">
        <v>34</v>
      </c>
    </row>
    <row r="2760">
      <c r="A2760" s="36" t="s">
        <v>6417</v>
      </c>
      <c r="B2760" s="154" t="s">
        <v>6415</v>
      </c>
      <c r="C2760" s="36" t="s">
        <v>1666</v>
      </c>
      <c r="D2760" s="36" t="s">
        <v>310</v>
      </c>
      <c r="E2760" s="36" t="s">
        <v>310</v>
      </c>
      <c r="F2760" s="154" t="s">
        <v>1926</v>
      </c>
      <c r="G2760" s="36" t="s">
        <v>28</v>
      </c>
      <c r="H2760" s="36" t="s">
        <v>1655</v>
      </c>
      <c r="I2760" s="36" t="s">
        <v>1656</v>
      </c>
      <c r="J2760" s="36" t="s">
        <v>1656</v>
      </c>
      <c r="K2760" s="36" t="s">
        <v>1814</v>
      </c>
      <c r="L2760" s="36" t="s">
        <v>5325</v>
      </c>
      <c r="M2760" s="36" t="s">
        <v>5325</v>
      </c>
      <c r="N2760" s="36" t="s">
        <v>34</v>
      </c>
    </row>
    <row r="2761">
      <c r="A2761" s="36" t="s">
        <v>6418</v>
      </c>
      <c r="B2761" s="154" t="s">
        <v>6415</v>
      </c>
      <c r="C2761" s="36" t="s">
        <v>1666</v>
      </c>
      <c r="D2761" s="36" t="s">
        <v>110</v>
      </c>
      <c r="E2761" s="36" t="s">
        <v>110</v>
      </c>
      <c r="F2761" s="154" t="s">
        <v>2085</v>
      </c>
      <c r="G2761" s="36" t="s">
        <v>28</v>
      </c>
      <c r="H2761" s="36" t="s">
        <v>1655</v>
      </c>
      <c r="I2761" s="36" t="s">
        <v>1656</v>
      </c>
      <c r="J2761" s="36" t="s">
        <v>1656</v>
      </c>
      <c r="K2761" s="36" t="s">
        <v>1817</v>
      </c>
      <c r="L2761" s="36" t="s">
        <v>5325</v>
      </c>
      <c r="M2761" s="36" t="s">
        <v>5325</v>
      </c>
      <c r="N2761" s="36" t="s">
        <v>34</v>
      </c>
    </row>
    <row r="2762">
      <c r="A2762" s="36" t="s">
        <v>6419</v>
      </c>
      <c r="B2762" s="154" t="s">
        <v>6420</v>
      </c>
      <c r="C2762" s="36" t="s">
        <v>1666</v>
      </c>
      <c r="D2762" s="36" t="s">
        <v>288</v>
      </c>
      <c r="E2762" s="36" t="s">
        <v>288</v>
      </c>
      <c r="F2762" s="154" t="s">
        <v>1899</v>
      </c>
      <c r="G2762" s="36" t="s">
        <v>32</v>
      </c>
      <c r="H2762" s="36" t="s">
        <v>1655</v>
      </c>
      <c r="I2762" s="36" t="s">
        <v>1656</v>
      </c>
      <c r="J2762" s="36" t="s">
        <v>1656</v>
      </c>
      <c r="K2762" s="36" t="s">
        <v>1820</v>
      </c>
      <c r="L2762" s="36" t="s">
        <v>5325</v>
      </c>
      <c r="M2762" s="36" t="s">
        <v>5325</v>
      </c>
      <c r="N2762" s="36" t="s">
        <v>32</v>
      </c>
    </row>
    <row r="2763">
      <c r="A2763" s="36" t="s">
        <v>6421</v>
      </c>
      <c r="B2763" s="154" t="s">
        <v>6422</v>
      </c>
      <c r="C2763" s="36" t="s">
        <v>1666</v>
      </c>
      <c r="D2763" s="36" t="s">
        <v>871</v>
      </c>
      <c r="E2763" s="36" t="s">
        <v>871</v>
      </c>
      <c r="F2763" s="154" t="s">
        <v>1980</v>
      </c>
      <c r="G2763" s="36" t="s">
        <v>28</v>
      </c>
      <c r="H2763" s="36" t="s">
        <v>1655</v>
      </c>
      <c r="I2763" s="36" t="s">
        <v>1656</v>
      </c>
      <c r="J2763" s="36" t="s">
        <v>1656</v>
      </c>
      <c r="K2763" s="36" t="s">
        <v>1823</v>
      </c>
      <c r="L2763" s="36" t="s">
        <v>5325</v>
      </c>
      <c r="M2763" s="36" t="s">
        <v>5325</v>
      </c>
      <c r="N2763" s="36" t="s">
        <v>34</v>
      </c>
    </row>
    <row r="2764">
      <c r="A2764" s="36" t="s">
        <v>6423</v>
      </c>
      <c r="B2764" s="154" t="s">
        <v>6422</v>
      </c>
      <c r="C2764" s="36" t="s">
        <v>1666</v>
      </c>
      <c r="D2764" s="36" t="s">
        <v>110</v>
      </c>
      <c r="E2764" s="36" t="s">
        <v>110</v>
      </c>
      <c r="F2764" s="154" t="s">
        <v>1816</v>
      </c>
      <c r="G2764" s="36" t="s">
        <v>28</v>
      </c>
      <c r="H2764" s="36" t="s">
        <v>1655</v>
      </c>
      <c r="I2764" s="36" t="s">
        <v>1656</v>
      </c>
      <c r="J2764" s="36" t="s">
        <v>1656</v>
      </c>
      <c r="K2764" s="36" t="s">
        <v>1826</v>
      </c>
      <c r="L2764" s="36" t="s">
        <v>5325</v>
      </c>
      <c r="M2764" s="36" t="s">
        <v>5325</v>
      </c>
      <c r="N2764" s="36" t="s">
        <v>34</v>
      </c>
    </row>
    <row r="2765">
      <c r="A2765" s="36" t="s">
        <v>6424</v>
      </c>
      <c r="B2765" s="154" t="s">
        <v>6422</v>
      </c>
      <c r="C2765" s="36" t="s">
        <v>1666</v>
      </c>
      <c r="D2765" s="36" t="s">
        <v>878</v>
      </c>
      <c r="E2765" s="36" t="s">
        <v>878</v>
      </c>
      <c r="F2765" s="154" t="s">
        <v>6425</v>
      </c>
      <c r="G2765" s="36" t="s">
        <v>32</v>
      </c>
      <c r="H2765" s="36" t="s">
        <v>1655</v>
      </c>
      <c r="I2765" s="36" t="s">
        <v>1656</v>
      </c>
      <c r="J2765" s="36" t="s">
        <v>1656</v>
      </c>
      <c r="K2765" s="36" t="s">
        <v>1830</v>
      </c>
      <c r="L2765" s="36" t="s">
        <v>5325</v>
      </c>
      <c r="M2765" s="36" t="s">
        <v>5325</v>
      </c>
      <c r="N2765" s="36" t="s">
        <v>32</v>
      </c>
    </row>
    <row r="2766">
      <c r="A2766" s="36" t="s">
        <v>6426</v>
      </c>
      <c r="B2766" s="154" t="s">
        <v>6427</v>
      </c>
      <c r="C2766" s="36" t="s">
        <v>1666</v>
      </c>
      <c r="D2766" s="36" t="s">
        <v>576</v>
      </c>
      <c r="E2766" s="36" t="s">
        <v>576</v>
      </c>
      <c r="F2766" s="154" t="s">
        <v>1832</v>
      </c>
      <c r="G2766" s="36" t="s">
        <v>28</v>
      </c>
      <c r="H2766" s="36" t="s">
        <v>1655</v>
      </c>
      <c r="I2766" s="36" t="s">
        <v>1656</v>
      </c>
      <c r="J2766" s="36" t="s">
        <v>1656</v>
      </c>
      <c r="K2766" s="36" t="s">
        <v>1833</v>
      </c>
      <c r="L2766" s="36" t="s">
        <v>5325</v>
      </c>
      <c r="M2766" s="36" t="s">
        <v>5325</v>
      </c>
      <c r="N2766" s="36" t="s">
        <v>34</v>
      </c>
    </row>
    <row r="2767">
      <c r="A2767" s="36" t="s">
        <v>6428</v>
      </c>
      <c r="B2767" s="154" t="s">
        <v>6429</v>
      </c>
      <c r="C2767" s="36" t="s">
        <v>1666</v>
      </c>
      <c r="D2767" s="36" t="s">
        <v>881</v>
      </c>
      <c r="E2767" s="36" t="s">
        <v>881</v>
      </c>
      <c r="F2767" s="154" t="s">
        <v>1768</v>
      </c>
      <c r="G2767" s="36" t="s">
        <v>28</v>
      </c>
      <c r="H2767" s="36" t="s">
        <v>1655</v>
      </c>
      <c r="I2767" s="36" t="s">
        <v>1656</v>
      </c>
      <c r="J2767" s="36" t="s">
        <v>1656</v>
      </c>
      <c r="K2767" s="36" t="s">
        <v>1836</v>
      </c>
      <c r="L2767" s="36" t="s">
        <v>5325</v>
      </c>
      <c r="M2767" s="36" t="s">
        <v>5325</v>
      </c>
      <c r="N2767" s="36" t="s">
        <v>34</v>
      </c>
    </row>
    <row r="2768">
      <c r="A2768" s="36" t="s">
        <v>6430</v>
      </c>
      <c r="B2768" s="154" t="s">
        <v>6429</v>
      </c>
      <c r="C2768" s="36" t="s">
        <v>1666</v>
      </c>
      <c r="D2768" s="36" t="s">
        <v>884</v>
      </c>
      <c r="E2768" s="36" t="s">
        <v>884</v>
      </c>
      <c r="F2768" s="154" t="s">
        <v>1871</v>
      </c>
      <c r="G2768" s="36" t="s">
        <v>28</v>
      </c>
      <c r="H2768" s="36" t="s">
        <v>1655</v>
      </c>
      <c r="I2768" s="36" t="s">
        <v>1656</v>
      </c>
      <c r="J2768" s="36" t="s">
        <v>1656</v>
      </c>
      <c r="K2768" s="36" t="s">
        <v>1839</v>
      </c>
      <c r="L2768" s="36" t="s">
        <v>5325</v>
      </c>
      <c r="M2768" s="36" t="s">
        <v>5325</v>
      </c>
      <c r="N2768" s="36" t="s">
        <v>34</v>
      </c>
    </row>
    <row r="2769">
      <c r="A2769" s="36" t="s">
        <v>6431</v>
      </c>
      <c r="B2769" s="154" t="s">
        <v>6429</v>
      </c>
      <c r="C2769" s="36" t="s">
        <v>1666</v>
      </c>
      <c r="D2769" s="36" t="s">
        <v>130</v>
      </c>
      <c r="E2769" s="36" t="s">
        <v>130</v>
      </c>
      <c r="F2769" s="154" t="s">
        <v>1768</v>
      </c>
      <c r="G2769" s="36" t="s">
        <v>32</v>
      </c>
      <c r="H2769" s="36" t="s">
        <v>1655</v>
      </c>
      <c r="I2769" s="36" t="s">
        <v>1656</v>
      </c>
      <c r="J2769" s="36" t="s">
        <v>1656</v>
      </c>
      <c r="K2769" s="36" t="s">
        <v>1842</v>
      </c>
      <c r="L2769" s="36" t="s">
        <v>5325</v>
      </c>
      <c r="M2769" s="36" t="s">
        <v>5325</v>
      </c>
      <c r="N2769" s="36" t="s">
        <v>32</v>
      </c>
    </row>
    <row r="2770">
      <c r="A2770" s="36" t="s">
        <v>6432</v>
      </c>
      <c r="B2770" s="154" t="s">
        <v>6433</v>
      </c>
      <c r="C2770" s="36" t="s">
        <v>1666</v>
      </c>
      <c r="D2770" s="36" t="s">
        <v>834</v>
      </c>
      <c r="E2770" s="36" t="s">
        <v>834</v>
      </c>
      <c r="F2770" s="154" t="s">
        <v>1810</v>
      </c>
      <c r="G2770" s="36" t="s">
        <v>32</v>
      </c>
      <c r="H2770" s="36" t="s">
        <v>1655</v>
      </c>
      <c r="I2770" s="36" t="s">
        <v>1656</v>
      </c>
      <c r="J2770" s="36" t="s">
        <v>1656</v>
      </c>
      <c r="K2770" s="36" t="s">
        <v>1845</v>
      </c>
      <c r="L2770" s="36" t="s">
        <v>5325</v>
      </c>
      <c r="M2770" s="36" t="s">
        <v>5325</v>
      </c>
      <c r="N2770" s="36" t="s">
        <v>32</v>
      </c>
    </row>
    <row r="2771">
      <c r="A2771" s="36" t="s">
        <v>6434</v>
      </c>
      <c r="B2771" s="154" t="s">
        <v>6435</v>
      </c>
      <c r="C2771" s="36" t="s">
        <v>1666</v>
      </c>
      <c r="D2771" s="36" t="s">
        <v>79</v>
      </c>
      <c r="E2771" s="36" t="s">
        <v>79</v>
      </c>
      <c r="F2771" s="154" t="s">
        <v>5606</v>
      </c>
      <c r="G2771" s="36" t="s">
        <v>32</v>
      </c>
      <c r="H2771" s="36" t="s">
        <v>1655</v>
      </c>
      <c r="I2771" s="36" t="s">
        <v>1656</v>
      </c>
      <c r="J2771" s="36" t="s">
        <v>1656</v>
      </c>
      <c r="K2771" s="36" t="s">
        <v>1769</v>
      </c>
      <c r="L2771" s="36" t="s">
        <v>5325</v>
      </c>
      <c r="M2771" s="36" t="s">
        <v>5325</v>
      </c>
      <c r="N2771" s="36" t="s">
        <v>32</v>
      </c>
    </row>
    <row r="2772">
      <c r="A2772" s="36" t="s">
        <v>6436</v>
      </c>
      <c r="B2772" s="154" t="s">
        <v>6435</v>
      </c>
      <c r="C2772" s="36" t="s">
        <v>1666</v>
      </c>
      <c r="D2772" s="36" t="s">
        <v>81</v>
      </c>
      <c r="E2772" s="36" t="s">
        <v>81</v>
      </c>
      <c r="F2772" s="154" t="s">
        <v>6437</v>
      </c>
      <c r="G2772" s="36" t="s">
        <v>28</v>
      </c>
      <c r="H2772" s="36" t="s">
        <v>1655</v>
      </c>
      <c r="I2772" s="36" t="s">
        <v>1656</v>
      </c>
      <c r="J2772" s="36" t="s">
        <v>1656</v>
      </c>
      <c r="K2772" s="36" t="s">
        <v>1811</v>
      </c>
      <c r="L2772" s="36" t="s">
        <v>5325</v>
      </c>
      <c r="M2772" s="36" t="s">
        <v>5325</v>
      </c>
      <c r="N2772" s="36" t="s">
        <v>32</v>
      </c>
    </row>
    <row r="2773">
      <c r="A2773" s="36" t="s">
        <v>6438</v>
      </c>
      <c r="B2773" s="154" t="s">
        <v>6435</v>
      </c>
      <c r="C2773" s="36" t="s">
        <v>1666</v>
      </c>
      <c r="D2773" s="36" t="s">
        <v>83</v>
      </c>
      <c r="E2773" s="36" t="s">
        <v>83</v>
      </c>
      <c r="F2773" s="154" t="s">
        <v>6439</v>
      </c>
      <c r="G2773" s="36" t="s">
        <v>28</v>
      </c>
      <c r="H2773" s="36" t="s">
        <v>1655</v>
      </c>
      <c r="I2773" s="36" t="s">
        <v>1656</v>
      </c>
      <c r="J2773" s="36" t="s">
        <v>1656</v>
      </c>
      <c r="K2773" s="36" t="s">
        <v>1891</v>
      </c>
      <c r="L2773" s="36" t="s">
        <v>5325</v>
      </c>
      <c r="M2773" s="36" t="s">
        <v>5325</v>
      </c>
      <c r="N2773" s="36" t="s">
        <v>32</v>
      </c>
    </row>
    <row r="2774">
      <c r="A2774" s="36" t="s">
        <v>6440</v>
      </c>
      <c r="B2774" s="154" t="s">
        <v>6435</v>
      </c>
      <c r="C2774" s="36" t="s">
        <v>1666</v>
      </c>
      <c r="D2774" s="36" t="s">
        <v>84</v>
      </c>
      <c r="E2774" s="36" t="s">
        <v>84</v>
      </c>
      <c r="F2774" s="154" t="s">
        <v>5693</v>
      </c>
      <c r="G2774" s="36" t="s">
        <v>32</v>
      </c>
      <c r="H2774" s="36" t="s">
        <v>1655</v>
      </c>
      <c r="I2774" s="36" t="s">
        <v>1656</v>
      </c>
      <c r="J2774" s="36" t="s">
        <v>1656</v>
      </c>
      <c r="K2774" s="36" t="s">
        <v>1921</v>
      </c>
      <c r="L2774" s="36" t="s">
        <v>5325</v>
      </c>
      <c r="M2774" s="36" t="s">
        <v>5325</v>
      </c>
      <c r="N2774" s="36" t="s">
        <v>32</v>
      </c>
    </row>
    <row r="2775">
      <c r="A2775" s="36" t="s">
        <v>6441</v>
      </c>
      <c r="B2775" s="154" t="s">
        <v>6435</v>
      </c>
      <c r="C2775" s="36" t="s">
        <v>1666</v>
      </c>
      <c r="D2775" s="36" t="s">
        <v>368</v>
      </c>
      <c r="E2775" s="36" t="s">
        <v>368</v>
      </c>
      <c r="F2775" s="154" t="s">
        <v>2039</v>
      </c>
      <c r="G2775" s="36" t="s">
        <v>28</v>
      </c>
      <c r="H2775" s="36" t="s">
        <v>1655</v>
      </c>
      <c r="I2775" s="36" t="s">
        <v>1656</v>
      </c>
      <c r="J2775" s="36" t="s">
        <v>1656</v>
      </c>
      <c r="K2775" s="36" t="s">
        <v>1848</v>
      </c>
      <c r="L2775" s="36" t="s">
        <v>5325</v>
      </c>
      <c r="M2775" s="36" t="s">
        <v>5325</v>
      </c>
      <c r="N2775" s="36" t="s">
        <v>34</v>
      </c>
    </row>
    <row r="2776">
      <c r="A2776" s="36" t="s">
        <v>6442</v>
      </c>
      <c r="B2776" s="154" t="s">
        <v>6435</v>
      </c>
      <c r="C2776" s="36" t="s">
        <v>1666</v>
      </c>
      <c r="D2776" s="36" t="s">
        <v>695</v>
      </c>
      <c r="E2776" s="36" t="s">
        <v>695</v>
      </c>
      <c r="F2776" s="154" t="s">
        <v>6443</v>
      </c>
      <c r="G2776" s="36" t="s">
        <v>32</v>
      </c>
      <c r="H2776" s="36" t="s">
        <v>1655</v>
      </c>
      <c r="I2776" s="36" t="s">
        <v>1656</v>
      </c>
      <c r="J2776" s="36" t="s">
        <v>1656</v>
      </c>
      <c r="K2776" s="36" t="s">
        <v>1851</v>
      </c>
      <c r="L2776" s="36" t="s">
        <v>5325</v>
      </c>
      <c r="M2776" s="36" t="s">
        <v>5325</v>
      </c>
      <c r="N2776" s="36" t="s">
        <v>32</v>
      </c>
    </row>
    <row r="2777">
      <c r="A2777" s="36" t="s">
        <v>6444</v>
      </c>
      <c r="B2777" s="154" t="s">
        <v>6435</v>
      </c>
      <c r="C2777" s="36" t="s">
        <v>1666</v>
      </c>
      <c r="D2777" s="36" t="s">
        <v>891</v>
      </c>
      <c r="E2777" s="36" t="s">
        <v>891</v>
      </c>
      <c r="F2777" s="154" t="s">
        <v>2391</v>
      </c>
      <c r="G2777" s="36" t="s">
        <v>28</v>
      </c>
      <c r="H2777" s="36" t="s">
        <v>1655</v>
      </c>
      <c r="I2777" s="36" t="s">
        <v>1656</v>
      </c>
      <c r="J2777" s="36" t="s">
        <v>1656</v>
      </c>
      <c r="K2777" s="36" t="s">
        <v>1854</v>
      </c>
      <c r="L2777" s="36" t="s">
        <v>5325</v>
      </c>
      <c r="M2777" s="36" t="s">
        <v>5325</v>
      </c>
      <c r="N2777" s="36" t="s">
        <v>34</v>
      </c>
    </row>
    <row r="2778">
      <c r="A2778" s="36" t="s">
        <v>6445</v>
      </c>
      <c r="B2778" s="154" t="s">
        <v>6435</v>
      </c>
      <c r="C2778" s="36" t="s">
        <v>1666</v>
      </c>
      <c r="D2778" s="36" t="s">
        <v>133</v>
      </c>
      <c r="E2778" s="36" t="s">
        <v>133</v>
      </c>
      <c r="F2778" s="154" t="s">
        <v>6446</v>
      </c>
      <c r="G2778" s="36" t="s">
        <v>32</v>
      </c>
      <c r="H2778" s="36" t="s">
        <v>1655</v>
      </c>
      <c r="I2778" s="36" t="s">
        <v>1656</v>
      </c>
      <c r="J2778" s="36" t="s">
        <v>1656</v>
      </c>
      <c r="K2778" s="36" t="s">
        <v>1857</v>
      </c>
      <c r="L2778" s="36" t="s">
        <v>5325</v>
      </c>
      <c r="M2778" s="36" t="s">
        <v>5325</v>
      </c>
      <c r="N2778" s="36" t="s">
        <v>32</v>
      </c>
    </row>
    <row r="2779">
      <c r="A2779" s="36" t="s">
        <v>6447</v>
      </c>
      <c r="B2779" s="154" t="s">
        <v>6435</v>
      </c>
      <c r="C2779" s="36" t="s">
        <v>1666</v>
      </c>
      <c r="D2779" s="36" t="s">
        <v>895</v>
      </c>
      <c r="E2779" s="36" t="s">
        <v>895</v>
      </c>
      <c r="F2779" s="154" t="s">
        <v>2553</v>
      </c>
      <c r="G2779" s="36" t="s">
        <v>32</v>
      </c>
      <c r="H2779" s="36" t="s">
        <v>1655</v>
      </c>
      <c r="I2779" s="36" t="s">
        <v>1656</v>
      </c>
      <c r="J2779" s="36" t="s">
        <v>1656</v>
      </c>
      <c r="K2779" s="36" t="s">
        <v>1860</v>
      </c>
      <c r="L2779" s="36" t="s">
        <v>5325</v>
      </c>
      <c r="M2779" s="36" t="s">
        <v>5325</v>
      </c>
      <c r="N2779" s="36" t="s">
        <v>32</v>
      </c>
    </row>
    <row r="2780">
      <c r="A2780" s="36" t="s">
        <v>6448</v>
      </c>
      <c r="B2780" s="154" t="s">
        <v>6449</v>
      </c>
      <c r="C2780" s="36" t="s">
        <v>1653</v>
      </c>
      <c r="D2780" s="36" t="s">
        <v>43</v>
      </c>
      <c r="E2780" s="36" t="s">
        <v>39</v>
      </c>
      <c r="F2780" s="154" t="s">
        <v>6450</v>
      </c>
      <c r="G2780" s="36" t="s">
        <v>32</v>
      </c>
      <c r="H2780" s="36" t="s">
        <v>1655</v>
      </c>
      <c r="I2780" s="36" t="s">
        <v>1656</v>
      </c>
      <c r="J2780" s="36" t="s">
        <v>1656</v>
      </c>
      <c r="K2780" s="36" t="s">
        <v>1657</v>
      </c>
      <c r="L2780" s="36" t="s">
        <v>5321</v>
      </c>
      <c r="M2780" s="36" t="s">
        <v>5321</v>
      </c>
      <c r="N2780" s="36" t="s">
        <v>32</v>
      </c>
    </row>
    <row r="2781">
      <c r="A2781" s="36" t="s">
        <v>6451</v>
      </c>
      <c r="B2781" s="154" t="s">
        <v>6449</v>
      </c>
      <c r="C2781" s="36" t="s">
        <v>1653</v>
      </c>
      <c r="D2781" s="36" t="s">
        <v>700</v>
      </c>
      <c r="E2781" s="36" t="s">
        <v>39</v>
      </c>
      <c r="F2781" s="154" t="s">
        <v>6452</v>
      </c>
      <c r="G2781" s="36" t="s">
        <v>32</v>
      </c>
      <c r="H2781" s="36" t="s">
        <v>1655</v>
      </c>
      <c r="I2781" s="36" t="s">
        <v>1656</v>
      </c>
      <c r="J2781" s="36" t="s">
        <v>1656</v>
      </c>
      <c r="K2781" s="36" t="s">
        <v>1661</v>
      </c>
      <c r="L2781" s="36" t="s">
        <v>5321</v>
      </c>
      <c r="M2781" s="36" t="s">
        <v>5321</v>
      </c>
      <c r="N2781" s="36" t="s">
        <v>32</v>
      </c>
    </row>
    <row r="2782">
      <c r="A2782" s="36" t="s">
        <v>6453</v>
      </c>
      <c r="B2782" s="154" t="s">
        <v>6449</v>
      </c>
      <c r="C2782" s="36" t="s">
        <v>1666</v>
      </c>
      <c r="D2782" s="36" t="s">
        <v>85</v>
      </c>
      <c r="E2782" s="36" t="s">
        <v>85</v>
      </c>
      <c r="F2782" s="154" t="s">
        <v>5704</v>
      </c>
      <c r="G2782" s="36" t="s">
        <v>28</v>
      </c>
      <c r="H2782" s="36" t="s">
        <v>1655</v>
      </c>
      <c r="I2782" s="36" t="s">
        <v>1656</v>
      </c>
      <c r="J2782" s="36" t="s">
        <v>1656</v>
      </c>
      <c r="K2782" s="36" t="s">
        <v>3035</v>
      </c>
      <c r="L2782" s="36" t="s">
        <v>5325</v>
      </c>
      <c r="M2782" s="36" t="s">
        <v>5325</v>
      </c>
      <c r="N2782" s="36" t="s">
        <v>32</v>
      </c>
    </row>
    <row r="2783">
      <c r="A2783" s="36" t="s">
        <v>6454</v>
      </c>
      <c r="B2783" s="154" t="s">
        <v>6449</v>
      </c>
      <c r="C2783" s="36" t="s">
        <v>1666</v>
      </c>
      <c r="D2783" s="36" t="s">
        <v>718</v>
      </c>
      <c r="E2783" s="36" t="s">
        <v>718</v>
      </c>
      <c r="F2783" s="154" t="s">
        <v>5704</v>
      </c>
      <c r="G2783" s="36" t="s">
        <v>28</v>
      </c>
      <c r="H2783" s="36" t="s">
        <v>1655</v>
      </c>
      <c r="I2783" s="36" t="s">
        <v>1656</v>
      </c>
      <c r="J2783" s="36" t="s">
        <v>1656</v>
      </c>
      <c r="K2783" s="36" t="s">
        <v>3038</v>
      </c>
      <c r="L2783" s="36" t="s">
        <v>5325</v>
      </c>
      <c r="M2783" s="36" t="s">
        <v>5325</v>
      </c>
      <c r="N2783" s="36" t="s">
        <v>32</v>
      </c>
    </row>
    <row r="2784">
      <c r="A2784" s="36" t="s">
        <v>6455</v>
      </c>
      <c r="B2784" s="154" t="s">
        <v>6456</v>
      </c>
      <c r="C2784" s="36" t="s">
        <v>1666</v>
      </c>
      <c r="D2784" s="36" t="s">
        <v>721</v>
      </c>
      <c r="E2784" s="36" t="s">
        <v>721</v>
      </c>
      <c r="F2784" s="154" t="s">
        <v>1768</v>
      </c>
      <c r="G2784" s="36" t="s">
        <v>32</v>
      </c>
      <c r="H2784" s="36" t="s">
        <v>1655</v>
      </c>
      <c r="I2784" s="36" t="s">
        <v>1656</v>
      </c>
      <c r="J2784" s="36" t="s">
        <v>1656</v>
      </c>
      <c r="K2784" s="36" t="s">
        <v>1668</v>
      </c>
      <c r="L2784" s="36" t="s">
        <v>5325</v>
      </c>
      <c r="M2784" s="36" t="s">
        <v>5325</v>
      </c>
      <c r="N2784" s="36" t="s">
        <v>32</v>
      </c>
    </row>
    <row r="2785">
      <c r="A2785" s="36" t="s">
        <v>6457</v>
      </c>
      <c r="B2785" s="154" t="s">
        <v>6456</v>
      </c>
      <c r="C2785" s="36" t="s">
        <v>1666</v>
      </c>
      <c r="D2785" s="36" t="s">
        <v>725</v>
      </c>
      <c r="E2785" s="36" t="s">
        <v>725</v>
      </c>
      <c r="F2785" s="154" t="s">
        <v>1959</v>
      </c>
      <c r="G2785" s="36" t="s">
        <v>28</v>
      </c>
      <c r="H2785" s="36" t="s">
        <v>1655</v>
      </c>
      <c r="I2785" s="36" t="s">
        <v>1656</v>
      </c>
      <c r="J2785" s="36" t="s">
        <v>1656</v>
      </c>
      <c r="K2785" s="36" t="s">
        <v>1672</v>
      </c>
      <c r="L2785" s="36" t="s">
        <v>5325</v>
      </c>
      <c r="M2785" s="36" t="s">
        <v>5325</v>
      </c>
      <c r="N2785" s="36" t="s">
        <v>34</v>
      </c>
    </row>
    <row r="2786">
      <c r="A2786" s="36" t="s">
        <v>6458</v>
      </c>
      <c r="B2786" s="154" t="s">
        <v>6456</v>
      </c>
      <c r="C2786" s="36" t="s">
        <v>1666</v>
      </c>
      <c r="D2786" s="36" t="s">
        <v>732</v>
      </c>
      <c r="E2786" s="36" t="s">
        <v>732</v>
      </c>
      <c r="F2786" s="154" t="s">
        <v>2555</v>
      </c>
      <c r="G2786" s="36" t="s">
        <v>28</v>
      </c>
      <c r="H2786" s="36" t="s">
        <v>1655</v>
      </c>
      <c r="I2786" s="36" t="s">
        <v>1656</v>
      </c>
      <c r="J2786" s="36" t="s">
        <v>1656</v>
      </c>
      <c r="K2786" s="36" t="s">
        <v>1675</v>
      </c>
      <c r="L2786" s="36" t="s">
        <v>5325</v>
      </c>
      <c r="M2786" s="36" t="s">
        <v>5325</v>
      </c>
      <c r="N2786" s="36" t="s">
        <v>34</v>
      </c>
    </row>
    <row r="2787">
      <c r="A2787" s="36" t="s">
        <v>6459</v>
      </c>
      <c r="B2787" s="154" t="s">
        <v>6460</v>
      </c>
      <c r="C2787" s="36" t="s">
        <v>1666</v>
      </c>
      <c r="D2787" s="36" t="s">
        <v>78</v>
      </c>
      <c r="E2787" s="36" t="s">
        <v>78</v>
      </c>
      <c r="F2787" s="154" t="s">
        <v>3324</v>
      </c>
      <c r="G2787" s="36" t="s">
        <v>28</v>
      </c>
      <c r="H2787" s="36" t="s">
        <v>1655</v>
      </c>
      <c r="I2787" s="36" t="s">
        <v>1656</v>
      </c>
      <c r="J2787" s="36" t="s">
        <v>1656</v>
      </c>
      <c r="K2787" s="36" t="s">
        <v>4248</v>
      </c>
      <c r="L2787" s="36" t="s">
        <v>5325</v>
      </c>
      <c r="M2787" s="36" t="s">
        <v>5325</v>
      </c>
      <c r="N2787" s="36" t="s">
        <v>32</v>
      </c>
    </row>
    <row r="2788">
      <c r="A2788" s="36" t="s">
        <v>6461</v>
      </c>
      <c r="B2788" s="154" t="s">
        <v>6460</v>
      </c>
      <c r="C2788" s="36" t="s">
        <v>1666</v>
      </c>
      <c r="D2788" s="36" t="s">
        <v>100</v>
      </c>
      <c r="E2788" s="36" t="s">
        <v>100</v>
      </c>
      <c r="F2788" s="154" t="s">
        <v>1768</v>
      </c>
      <c r="G2788" s="36" t="s">
        <v>32</v>
      </c>
      <c r="H2788" s="36" t="s">
        <v>1655</v>
      </c>
      <c r="I2788" s="36" t="s">
        <v>1656</v>
      </c>
      <c r="J2788" s="36" t="s">
        <v>1656</v>
      </c>
      <c r="K2788" s="36" t="s">
        <v>1678</v>
      </c>
      <c r="L2788" s="36" t="s">
        <v>5325</v>
      </c>
      <c r="M2788" s="36" t="s">
        <v>5325</v>
      </c>
      <c r="N2788" s="36" t="s">
        <v>32</v>
      </c>
    </row>
    <row r="2789">
      <c r="A2789" s="36" t="s">
        <v>6462</v>
      </c>
      <c r="B2789" s="154" t="s">
        <v>6463</v>
      </c>
      <c r="C2789" s="36" t="s">
        <v>1653</v>
      </c>
      <c r="D2789" s="36" t="s">
        <v>706</v>
      </c>
      <c r="E2789" s="36" t="s">
        <v>39</v>
      </c>
      <c r="F2789" s="154" t="s">
        <v>6464</v>
      </c>
      <c r="G2789" s="36" t="s">
        <v>32</v>
      </c>
      <c r="H2789" s="36" t="s">
        <v>1655</v>
      </c>
      <c r="I2789" s="36" t="s">
        <v>1656</v>
      </c>
      <c r="J2789" s="36" t="s">
        <v>1656</v>
      </c>
      <c r="K2789" s="36" t="s">
        <v>1978</v>
      </c>
      <c r="L2789" s="36" t="s">
        <v>5321</v>
      </c>
      <c r="M2789" s="36" t="s">
        <v>5321</v>
      </c>
      <c r="N2789" s="36" t="s">
        <v>32</v>
      </c>
    </row>
    <row r="2790">
      <c r="A2790" s="36" t="s">
        <v>6465</v>
      </c>
      <c r="B2790" s="154" t="s">
        <v>6463</v>
      </c>
      <c r="C2790" s="36" t="s">
        <v>1666</v>
      </c>
      <c r="D2790" s="36" t="s">
        <v>63</v>
      </c>
      <c r="E2790" s="36" t="s">
        <v>63</v>
      </c>
      <c r="F2790" s="154" t="s">
        <v>6466</v>
      </c>
      <c r="G2790" s="36" t="s">
        <v>28</v>
      </c>
      <c r="H2790" s="36" t="s">
        <v>1655</v>
      </c>
      <c r="I2790" s="36" t="s">
        <v>1656</v>
      </c>
      <c r="J2790" s="36" t="s">
        <v>1656</v>
      </c>
      <c r="K2790" s="36" t="s">
        <v>4196</v>
      </c>
      <c r="L2790" s="36" t="s">
        <v>5325</v>
      </c>
      <c r="M2790" s="36" t="s">
        <v>5325</v>
      </c>
      <c r="N2790" s="36" t="s">
        <v>34</v>
      </c>
    </row>
    <row r="2791">
      <c r="A2791" s="36" t="s">
        <v>6467</v>
      </c>
      <c r="B2791" s="154" t="s">
        <v>6463</v>
      </c>
      <c r="C2791" s="36" t="s">
        <v>1666</v>
      </c>
      <c r="D2791" s="36" t="s">
        <v>744</v>
      </c>
      <c r="E2791" s="36" t="s">
        <v>744</v>
      </c>
      <c r="F2791" s="154" t="s">
        <v>6468</v>
      </c>
      <c r="G2791" s="36" t="s">
        <v>32</v>
      </c>
      <c r="H2791" s="36" t="s">
        <v>1655</v>
      </c>
      <c r="I2791" s="36" t="s">
        <v>1656</v>
      </c>
      <c r="J2791" s="36" t="s">
        <v>1656</v>
      </c>
      <c r="K2791" s="36" t="s">
        <v>1681</v>
      </c>
      <c r="L2791" s="36" t="s">
        <v>5325</v>
      </c>
      <c r="M2791" s="36" t="s">
        <v>5325</v>
      </c>
      <c r="N2791" s="36" t="s">
        <v>32</v>
      </c>
    </row>
    <row r="2792">
      <c r="A2792" s="36" t="s">
        <v>6469</v>
      </c>
      <c r="B2792" s="154" t="s">
        <v>6463</v>
      </c>
      <c r="C2792" s="36" t="s">
        <v>1666</v>
      </c>
      <c r="D2792" s="36" t="s">
        <v>748</v>
      </c>
      <c r="E2792" s="36" t="s">
        <v>748</v>
      </c>
      <c r="F2792" s="154" t="s">
        <v>1816</v>
      </c>
      <c r="G2792" s="36" t="s">
        <v>32</v>
      </c>
      <c r="H2792" s="36" t="s">
        <v>1655</v>
      </c>
      <c r="I2792" s="36" t="s">
        <v>1656</v>
      </c>
      <c r="J2792" s="36" t="s">
        <v>1656</v>
      </c>
      <c r="K2792" s="36" t="s">
        <v>1684</v>
      </c>
      <c r="L2792" s="36" t="s">
        <v>5325</v>
      </c>
      <c r="M2792" s="36" t="s">
        <v>5325</v>
      </c>
      <c r="N2792" s="36" t="s">
        <v>32</v>
      </c>
    </row>
    <row r="2793">
      <c r="A2793" s="36" t="s">
        <v>6470</v>
      </c>
      <c r="B2793" s="154" t="s">
        <v>6463</v>
      </c>
      <c r="C2793" s="36" t="s">
        <v>1666</v>
      </c>
      <c r="D2793" s="36" t="s">
        <v>751</v>
      </c>
      <c r="E2793" s="36" t="s">
        <v>751</v>
      </c>
      <c r="F2793" s="154" t="s">
        <v>2006</v>
      </c>
      <c r="G2793" s="36" t="s">
        <v>32</v>
      </c>
      <c r="H2793" s="36" t="s">
        <v>1655</v>
      </c>
      <c r="I2793" s="36" t="s">
        <v>1656</v>
      </c>
      <c r="J2793" s="36" t="s">
        <v>1656</v>
      </c>
      <c r="K2793" s="36" t="s">
        <v>1691</v>
      </c>
      <c r="L2793" s="36" t="s">
        <v>5325</v>
      </c>
      <c r="M2793" s="36" t="s">
        <v>5325</v>
      </c>
      <c r="N2793" s="36" t="s">
        <v>32</v>
      </c>
    </row>
    <row r="2794">
      <c r="A2794" s="36" t="s">
        <v>6471</v>
      </c>
      <c r="B2794" s="154" t="s">
        <v>6463</v>
      </c>
      <c r="C2794" s="36" t="s">
        <v>1666</v>
      </c>
      <c r="D2794" s="36" t="s">
        <v>660</v>
      </c>
      <c r="E2794" s="36" t="s">
        <v>660</v>
      </c>
      <c r="F2794" s="154" t="s">
        <v>2325</v>
      </c>
      <c r="G2794" s="36" t="s">
        <v>28</v>
      </c>
      <c r="H2794" s="36" t="s">
        <v>1655</v>
      </c>
      <c r="I2794" s="36" t="s">
        <v>1656</v>
      </c>
      <c r="J2794" s="36" t="s">
        <v>1656</v>
      </c>
      <c r="K2794" s="36" t="s">
        <v>1695</v>
      </c>
      <c r="L2794" s="36" t="s">
        <v>5325</v>
      </c>
      <c r="M2794" s="36" t="s">
        <v>5325</v>
      </c>
      <c r="N2794" s="36" t="s">
        <v>34</v>
      </c>
    </row>
    <row r="2795">
      <c r="A2795" s="36" t="s">
        <v>6472</v>
      </c>
      <c r="B2795" s="154" t="s">
        <v>6463</v>
      </c>
      <c r="C2795" s="36" t="s">
        <v>1666</v>
      </c>
      <c r="D2795" s="36" t="s">
        <v>760</v>
      </c>
      <c r="E2795" s="36" t="s">
        <v>760</v>
      </c>
      <c r="F2795" s="154" t="s">
        <v>6473</v>
      </c>
      <c r="G2795" s="36" t="s">
        <v>28</v>
      </c>
      <c r="H2795" s="36" t="s">
        <v>1655</v>
      </c>
      <c r="I2795" s="36" t="s">
        <v>1656</v>
      </c>
      <c r="J2795" s="36" t="s">
        <v>1656</v>
      </c>
      <c r="K2795" s="36" t="s">
        <v>1698</v>
      </c>
      <c r="L2795" s="36" t="s">
        <v>5325</v>
      </c>
      <c r="M2795" s="36" t="s">
        <v>5325</v>
      </c>
      <c r="N2795" s="36" t="s">
        <v>34</v>
      </c>
    </row>
    <row r="2796">
      <c r="A2796" s="36" t="s">
        <v>6474</v>
      </c>
      <c r="B2796" s="154" t="s">
        <v>6475</v>
      </c>
      <c r="C2796" s="36" t="s">
        <v>1666</v>
      </c>
      <c r="D2796" s="36" t="s">
        <v>64</v>
      </c>
      <c r="E2796" s="36" t="s">
        <v>64</v>
      </c>
      <c r="F2796" s="154" t="s">
        <v>3867</v>
      </c>
      <c r="G2796" s="36" t="s">
        <v>28</v>
      </c>
      <c r="H2796" s="36" t="s">
        <v>1655</v>
      </c>
      <c r="I2796" s="36" t="s">
        <v>1656</v>
      </c>
      <c r="J2796" s="36" t="s">
        <v>1656</v>
      </c>
      <c r="K2796" s="36" t="s">
        <v>1708</v>
      </c>
      <c r="L2796" s="36" t="s">
        <v>5325</v>
      </c>
      <c r="M2796" s="36" t="s">
        <v>5325</v>
      </c>
      <c r="N2796" s="36" t="s">
        <v>32</v>
      </c>
    </row>
    <row r="2797">
      <c r="A2797" s="36" t="s">
        <v>6476</v>
      </c>
      <c r="B2797" s="154" t="s">
        <v>6475</v>
      </c>
      <c r="C2797" s="36" t="s">
        <v>1666</v>
      </c>
      <c r="D2797" s="36" t="s">
        <v>191</v>
      </c>
      <c r="E2797" s="36" t="s">
        <v>191</v>
      </c>
      <c r="F2797" s="154" t="s">
        <v>1816</v>
      </c>
      <c r="G2797" s="36" t="s">
        <v>28</v>
      </c>
      <c r="H2797" s="36" t="s">
        <v>1655</v>
      </c>
      <c r="I2797" s="36" t="s">
        <v>1656</v>
      </c>
      <c r="J2797" s="36" t="s">
        <v>1656</v>
      </c>
      <c r="K2797" s="36" t="s">
        <v>1701</v>
      </c>
      <c r="L2797" s="36" t="s">
        <v>5325</v>
      </c>
      <c r="M2797" s="36" t="s">
        <v>5325</v>
      </c>
      <c r="N2797" s="36" t="s">
        <v>32</v>
      </c>
    </row>
    <row r="2798">
      <c r="A2798" s="36" t="s">
        <v>6477</v>
      </c>
      <c r="B2798" s="154" t="s">
        <v>6475</v>
      </c>
      <c r="C2798" s="36" t="s">
        <v>1666</v>
      </c>
      <c r="D2798" s="36" t="s">
        <v>470</v>
      </c>
      <c r="E2798" s="36" t="s">
        <v>470</v>
      </c>
      <c r="F2798" s="154" t="s">
        <v>2082</v>
      </c>
      <c r="G2798" s="36" t="s">
        <v>32</v>
      </c>
      <c r="H2798" s="36" t="s">
        <v>1655</v>
      </c>
      <c r="I2798" s="36" t="s">
        <v>1656</v>
      </c>
      <c r="J2798" s="36" t="s">
        <v>1656</v>
      </c>
      <c r="K2798" s="36" t="s">
        <v>1704</v>
      </c>
      <c r="L2798" s="36" t="s">
        <v>5325</v>
      </c>
      <c r="M2798" s="36" t="s">
        <v>5325</v>
      </c>
      <c r="N2798" s="36" t="s">
        <v>32</v>
      </c>
    </row>
    <row r="2799">
      <c r="A2799" s="36" t="s">
        <v>6478</v>
      </c>
      <c r="B2799" s="154" t="s">
        <v>6479</v>
      </c>
      <c r="C2799" s="36" t="s">
        <v>1666</v>
      </c>
      <c r="D2799" s="36" t="s">
        <v>104</v>
      </c>
      <c r="E2799" s="36" t="s">
        <v>104</v>
      </c>
      <c r="F2799" s="154" t="s">
        <v>1686</v>
      </c>
      <c r="G2799" s="36" t="s">
        <v>32</v>
      </c>
      <c r="H2799" s="36" t="s">
        <v>1655</v>
      </c>
      <c r="I2799" s="36" t="s">
        <v>1656</v>
      </c>
      <c r="J2799" s="36" t="s">
        <v>1656</v>
      </c>
      <c r="K2799" s="36" t="s">
        <v>1711</v>
      </c>
      <c r="L2799" s="36" t="s">
        <v>5325</v>
      </c>
      <c r="M2799" s="36" t="s">
        <v>5325</v>
      </c>
      <c r="N2799" s="36" t="s">
        <v>32</v>
      </c>
    </row>
    <row r="2800">
      <c r="A2800" s="36" t="s">
        <v>6480</v>
      </c>
      <c r="B2800" s="154" t="s">
        <v>6479</v>
      </c>
      <c r="C2800" s="36" t="s">
        <v>1666</v>
      </c>
      <c r="D2800" s="36" t="s">
        <v>561</v>
      </c>
      <c r="E2800" s="36" t="s">
        <v>561</v>
      </c>
      <c r="F2800" s="154" t="s">
        <v>1980</v>
      </c>
      <c r="G2800" s="36" t="s">
        <v>28</v>
      </c>
      <c r="H2800" s="36" t="s">
        <v>1655</v>
      </c>
      <c r="I2800" s="36" t="s">
        <v>1656</v>
      </c>
      <c r="J2800" s="36" t="s">
        <v>1656</v>
      </c>
      <c r="K2800" s="36" t="s">
        <v>1715</v>
      </c>
      <c r="L2800" s="36" t="s">
        <v>5325</v>
      </c>
      <c r="M2800" s="36" t="s">
        <v>5325</v>
      </c>
      <c r="N2800" s="36" t="s">
        <v>34</v>
      </c>
    </row>
    <row r="2801">
      <c r="A2801" s="36" t="s">
        <v>6481</v>
      </c>
      <c r="B2801" s="154" t="s">
        <v>6479</v>
      </c>
      <c r="C2801" s="36" t="s">
        <v>1666</v>
      </c>
      <c r="D2801" s="36" t="s">
        <v>777</v>
      </c>
      <c r="E2801" s="36" t="s">
        <v>777</v>
      </c>
      <c r="F2801" s="154" t="s">
        <v>4228</v>
      </c>
      <c r="G2801" s="36" t="s">
        <v>28</v>
      </c>
      <c r="H2801" s="36" t="s">
        <v>1655</v>
      </c>
      <c r="I2801" s="36" t="s">
        <v>1656</v>
      </c>
      <c r="J2801" s="36" t="s">
        <v>1656</v>
      </c>
      <c r="K2801" s="36" t="s">
        <v>1717</v>
      </c>
      <c r="L2801" s="36" t="s">
        <v>5325</v>
      </c>
      <c r="M2801" s="36" t="s">
        <v>5325</v>
      </c>
      <c r="N2801" s="36" t="s">
        <v>34</v>
      </c>
    </row>
    <row r="2802">
      <c r="A2802" s="36" t="s">
        <v>6482</v>
      </c>
      <c r="B2802" s="154" t="s">
        <v>6479</v>
      </c>
      <c r="C2802" s="36" t="s">
        <v>1666</v>
      </c>
      <c r="D2802" s="36" t="s">
        <v>781</v>
      </c>
      <c r="E2802" s="36" t="s">
        <v>781</v>
      </c>
      <c r="F2802" s="154" t="s">
        <v>2156</v>
      </c>
      <c r="G2802" s="36" t="s">
        <v>28</v>
      </c>
      <c r="H2802" s="36" t="s">
        <v>1655</v>
      </c>
      <c r="I2802" s="36" t="s">
        <v>1656</v>
      </c>
      <c r="J2802" s="36" t="s">
        <v>1656</v>
      </c>
      <c r="K2802" s="36" t="s">
        <v>1724</v>
      </c>
      <c r="L2802" s="36" t="s">
        <v>5325</v>
      </c>
      <c r="M2802" s="36" t="s">
        <v>5325</v>
      </c>
      <c r="N2802" s="36" t="s">
        <v>34</v>
      </c>
    </row>
    <row r="2803">
      <c r="A2803" s="36" t="s">
        <v>6483</v>
      </c>
      <c r="B2803" s="154" t="s">
        <v>6484</v>
      </c>
      <c r="C2803" s="36" t="s">
        <v>1666</v>
      </c>
      <c r="D2803" s="36" t="s">
        <v>784</v>
      </c>
      <c r="E2803" s="36" t="s">
        <v>784</v>
      </c>
      <c r="F2803" s="154" t="s">
        <v>2029</v>
      </c>
      <c r="G2803" s="36" t="s">
        <v>28</v>
      </c>
      <c r="H2803" s="36" t="s">
        <v>1655</v>
      </c>
      <c r="I2803" s="36" t="s">
        <v>1656</v>
      </c>
      <c r="J2803" s="36" t="s">
        <v>1656</v>
      </c>
      <c r="K2803" s="36" t="s">
        <v>1727</v>
      </c>
      <c r="L2803" s="36" t="s">
        <v>5325</v>
      </c>
      <c r="M2803" s="36" t="s">
        <v>5325</v>
      </c>
      <c r="N2803" s="36" t="s">
        <v>32</v>
      </c>
    </row>
    <row r="2804">
      <c r="A2804" s="36" t="s">
        <v>6485</v>
      </c>
      <c r="B2804" s="154" t="s">
        <v>6484</v>
      </c>
      <c r="C2804" s="36" t="s">
        <v>1666</v>
      </c>
      <c r="D2804" s="36" t="s">
        <v>470</v>
      </c>
      <c r="E2804" s="36" t="s">
        <v>470</v>
      </c>
      <c r="F2804" s="154" t="s">
        <v>1816</v>
      </c>
      <c r="G2804" s="36" t="s">
        <v>32</v>
      </c>
      <c r="H2804" s="36" t="s">
        <v>1655</v>
      </c>
      <c r="I2804" s="36" t="s">
        <v>1656</v>
      </c>
      <c r="J2804" s="36" t="s">
        <v>1656</v>
      </c>
      <c r="K2804" s="36" t="s">
        <v>1730</v>
      </c>
      <c r="L2804" s="36" t="s">
        <v>5325</v>
      </c>
      <c r="M2804" s="36" t="s">
        <v>5325</v>
      </c>
      <c r="N2804" s="36" t="s">
        <v>32</v>
      </c>
    </row>
    <row r="2805">
      <c r="A2805" s="36" t="s">
        <v>6486</v>
      </c>
      <c r="B2805" s="154" t="s">
        <v>6484</v>
      </c>
      <c r="C2805" s="36" t="s">
        <v>1666</v>
      </c>
      <c r="D2805" s="36" t="s">
        <v>533</v>
      </c>
      <c r="E2805" s="36" t="s">
        <v>533</v>
      </c>
      <c r="F2805" s="154" t="s">
        <v>1810</v>
      </c>
      <c r="G2805" s="36" t="s">
        <v>28</v>
      </c>
      <c r="H2805" s="36" t="s">
        <v>1655</v>
      </c>
      <c r="I2805" s="36" t="s">
        <v>1656</v>
      </c>
      <c r="J2805" s="36" t="s">
        <v>1656</v>
      </c>
      <c r="K2805" s="36" t="s">
        <v>1732</v>
      </c>
      <c r="L2805" s="36" t="s">
        <v>5325</v>
      </c>
      <c r="M2805" s="36" t="s">
        <v>5325</v>
      </c>
      <c r="N2805" s="36" t="s">
        <v>34</v>
      </c>
    </row>
    <row r="2806">
      <c r="A2806" s="36" t="s">
        <v>6487</v>
      </c>
      <c r="B2806" s="154" t="s">
        <v>6488</v>
      </c>
      <c r="C2806" s="36" t="s">
        <v>1666</v>
      </c>
      <c r="D2806" s="36" t="s">
        <v>66</v>
      </c>
      <c r="E2806" s="36" t="s">
        <v>66</v>
      </c>
      <c r="F2806" s="154" t="s">
        <v>6489</v>
      </c>
      <c r="G2806" s="36" t="s">
        <v>28</v>
      </c>
      <c r="H2806" s="36" t="s">
        <v>1655</v>
      </c>
      <c r="I2806" s="36" t="s">
        <v>1656</v>
      </c>
      <c r="J2806" s="36" t="s">
        <v>1656</v>
      </c>
      <c r="K2806" s="36" t="s">
        <v>1721</v>
      </c>
      <c r="L2806" s="36" t="s">
        <v>5325</v>
      </c>
      <c r="M2806" s="36" t="s">
        <v>5325</v>
      </c>
      <c r="N2806" s="36" t="s">
        <v>32</v>
      </c>
    </row>
    <row r="2807">
      <c r="A2807" s="36" t="s">
        <v>6490</v>
      </c>
      <c r="B2807" s="154" t="s">
        <v>6488</v>
      </c>
      <c r="C2807" s="36" t="s">
        <v>1666</v>
      </c>
      <c r="D2807" s="36" t="s">
        <v>796</v>
      </c>
      <c r="E2807" s="36" t="s">
        <v>796</v>
      </c>
      <c r="F2807" s="154" t="s">
        <v>2728</v>
      </c>
      <c r="G2807" s="36" t="s">
        <v>28</v>
      </c>
      <c r="H2807" s="36" t="s">
        <v>1655</v>
      </c>
      <c r="I2807" s="36" t="s">
        <v>1656</v>
      </c>
      <c r="J2807" s="36" t="s">
        <v>1656</v>
      </c>
      <c r="K2807" s="36" t="s">
        <v>1736</v>
      </c>
      <c r="L2807" s="36" t="s">
        <v>5325</v>
      </c>
      <c r="M2807" s="36" t="s">
        <v>5325</v>
      </c>
      <c r="N2807" s="36" t="s">
        <v>32</v>
      </c>
    </row>
    <row r="2808">
      <c r="A2808" s="36" t="s">
        <v>6491</v>
      </c>
      <c r="B2808" s="154" t="s">
        <v>6488</v>
      </c>
      <c r="C2808" s="36" t="s">
        <v>1666</v>
      </c>
      <c r="D2808" s="36" t="s">
        <v>90</v>
      </c>
      <c r="E2808" s="36" t="s">
        <v>90</v>
      </c>
      <c r="F2808" s="154" t="s">
        <v>1810</v>
      </c>
      <c r="G2808" s="36" t="s">
        <v>28</v>
      </c>
      <c r="H2808" s="36" t="s">
        <v>1655</v>
      </c>
      <c r="I2808" s="36" t="s">
        <v>1656</v>
      </c>
      <c r="J2808" s="36" t="s">
        <v>1656</v>
      </c>
      <c r="K2808" s="36" t="s">
        <v>1739</v>
      </c>
      <c r="L2808" s="36" t="s">
        <v>5325</v>
      </c>
      <c r="M2808" s="36" t="s">
        <v>5325</v>
      </c>
      <c r="N2808" s="36" t="s">
        <v>34</v>
      </c>
    </row>
    <row r="2809">
      <c r="A2809" s="36" t="s">
        <v>6492</v>
      </c>
      <c r="B2809" s="154" t="s">
        <v>6493</v>
      </c>
      <c r="C2809" s="36" t="s">
        <v>1666</v>
      </c>
      <c r="D2809" s="36" t="s">
        <v>808</v>
      </c>
      <c r="E2809" s="36" t="s">
        <v>808</v>
      </c>
      <c r="F2809" s="154" t="s">
        <v>1871</v>
      </c>
      <c r="G2809" s="36" t="s">
        <v>32</v>
      </c>
      <c r="H2809" s="36" t="s">
        <v>1655</v>
      </c>
      <c r="I2809" s="36" t="s">
        <v>1656</v>
      </c>
      <c r="J2809" s="36" t="s">
        <v>1656</v>
      </c>
      <c r="K2809" s="36" t="s">
        <v>1742</v>
      </c>
      <c r="L2809" s="36" t="s">
        <v>5325</v>
      </c>
      <c r="M2809" s="36" t="s">
        <v>5325</v>
      </c>
      <c r="N2809" s="36" t="s">
        <v>34</v>
      </c>
    </row>
    <row r="2810">
      <c r="A2810" s="36" t="s">
        <v>6494</v>
      </c>
      <c r="B2810" s="154" t="s">
        <v>6495</v>
      </c>
      <c r="C2810" s="36" t="s">
        <v>1653</v>
      </c>
      <c r="D2810" s="36" t="s">
        <v>55</v>
      </c>
      <c r="E2810" s="36" t="s">
        <v>39</v>
      </c>
      <c r="F2810" s="154" t="s">
        <v>6496</v>
      </c>
      <c r="G2810" s="36" t="s">
        <v>32</v>
      </c>
      <c r="H2810" s="36" t="s">
        <v>1655</v>
      </c>
      <c r="I2810" s="36" t="s">
        <v>1656</v>
      </c>
      <c r="J2810" s="36" t="s">
        <v>1656</v>
      </c>
      <c r="K2810" s="36" t="s">
        <v>1749</v>
      </c>
      <c r="L2810" s="36" t="s">
        <v>5321</v>
      </c>
      <c r="M2810" s="36" t="s">
        <v>5321</v>
      </c>
      <c r="N2810" s="36" t="s">
        <v>32</v>
      </c>
    </row>
    <row r="2811">
      <c r="A2811" s="36" t="s">
        <v>6497</v>
      </c>
      <c r="B2811" s="154" t="s">
        <v>6495</v>
      </c>
      <c r="C2811" s="36" t="s">
        <v>1666</v>
      </c>
      <c r="D2811" s="36" t="s">
        <v>71</v>
      </c>
      <c r="E2811" s="36" t="s">
        <v>71</v>
      </c>
      <c r="F2811" s="154" t="s">
        <v>5555</v>
      </c>
      <c r="G2811" s="36" t="s">
        <v>32</v>
      </c>
      <c r="H2811" s="36" t="s">
        <v>1655</v>
      </c>
      <c r="I2811" s="36" t="s">
        <v>1656</v>
      </c>
      <c r="J2811" s="36" t="s">
        <v>1656</v>
      </c>
      <c r="K2811" s="36" t="s">
        <v>1752</v>
      </c>
      <c r="L2811" s="36" t="s">
        <v>5325</v>
      </c>
      <c r="M2811" s="36" t="s">
        <v>5325</v>
      </c>
      <c r="N2811" s="36" t="s">
        <v>32</v>
      </c>
    </row>
    <row r="2812">
      <c r="A2812" s="36" t="s">
        <v>6498</v>
      </c>
      <c r="B2812" s="154" t="s">
        <v>6495</v>
      </c>
      <c r="C2812" s="36" t="s">
        <v>1666</v>
      </c>
      <c r="D2812" s="36" t="s">
        <v>73</v>
      </c>
      <c r="E2812" s="36" t="s">
        <v>73</v>
      </c>
      <c r="F2812" s="154" t="s">
        <v>5557</v>
      </c>
      <c r="G2812" s="36" t="s">
        <v>28</v>
      </c>
      <c r="H2812" s="36" t="s">
        <v>1655</v>
      </c>
      <c r="I2812" s="36" t="s">
        <v>1656</v>
      </c>
      <c r="J2812" s="36" t="s">
        <v>1656</v>
      </c>
      <c r="K2812" s="36" t="s">
        <v>1755</v>
      </c>
      <c r="L2812" s="36" t="s">
        <v>5325</v>
      </c>
      <c r="M2812" s="36" t="s">
        <v>5325</v>
      </c>
      <c r="N2812" s="36" t="s">
        <v>32</v>
      </c>
    </row>
    <row r="2813">
      <c r="A2813" s="36" t="s">
        <v>6499</v>
      </c>
      <c r="B2813" s="154" t="s">
        <v>6495</v>
      </c>
      <c r="C2813" s="36" t="s">
        <v>1666</v>
      </c>
      <c r="D2813" s="36" t="s">
        <v>74</v>
      </c>
      <c r="E2813" s="36" t="s">
        <v>74</v>
      </c>
      <c r="F2813" s="154" t="s">
        <v>5559</v>
      </c>
      <c r="G2813" s="36" t="s">
        <v>32</v>
      </c>
      <c r="H2813" s="36" t="s">
        <v>1655</v>
      </c>
      <c r="I2813" s="36" t="s">
        <v>1656</v>
      </c>
      <c r="J2813" s="36" t="s">
        <v>1656</v>
      </c>
      <c r="K2813" s="36" t="s">
        <v>1757</v>
      </c>
      <c r="L2813" s="36" t="s">
        <v>5325</v>
      </c>
      <c r="M2813" s="36" t="s">
        <v>5325</v>
      </c>
      <c r="N2813" s="36" t="s">
        <v>32</v>
      </c>
    </row>
    <row r="2814">
      <c r="A2814" s="36" t="s">
        <v>6500</v>
      </c>
      <c r="B2814" s="154" t="s">
        <v>6495</v>
      </c>
      <c r="C2814" s="36" t="s">
        <v>1666</v>
      </c>
      <c r="D2814" s="36" t="s">
        <v>75</v>
      </c>
      <c r="E2814" s="36" t="s">
        <v>75</v>
      </c>
      <c r="F2814" s="154" t="s">
        <v>5561</v>
      </c>
      <c r="G2814" s="36" t="s">
        <v>28</v>
      </c>
      <c r="H2814" s="36" t="s">
        <v>1655</v>
      </c>
      <c r="I2814" s="36" t="s">
        <v>1656</v>
      </c>
      <c r="J2814" s="36" t="s">
        <v>1656</v>
      </c>
      <c r="K2814" s="36" t="s">
        <v>1760</v>
      </c>
      <c r="L2814" s="36" t="s">
        <v>5325</v>
      </c>
      <c r="M2814" s="36" t="s">
        <v>5325</v>
      </c>
      <c r="N2814" s="36" t="s">
        <v>32</v>
      </c>
    </row>
    <row r="2815">
      <c r="A2815" s="36" t="s">
        <v>6501</v>
      </c>
      <c r="B2815" s="154" t="s">
        <v>6495</v>
      </c>
      <c r="C2815" s="36" t="s">
        <v>1666</v>
      </c>
      <c r="D2815" s="36" t="s">
        <v>76</v>
      </c>
      <c r="E2815" s="36" t="s">
        <v>76</v>
      </c>
      <c r="F2815" s="154" t="s">
        <v>6502</v>
      </c>
      <c r="G2815" s="36" t="s">
        <v>28</v>
      </c>
      <c r="H2815" s="36" t="s">
        <v>1655</v>
      </c>
      <c r="I2815" s="36" t="s">
        <v>1656</v>
      </c>
      <c r="J2815" s="36" t="s">
        <v>1656</v>
      </c>
      <c r="K2815" s="36" t="s">
        <v>1763</v>
      </c>
      <c r="L2815" s="36" t="s">
        <v>5325</v>
      </c>
      <c r="M2815" s="36" t="s">
        <v>5325</v>
      </c>
      <c r="N2815" s="36" t="s">
        <v>32</v>
      </c>
    </row>
    <row r="2816">
      <c r="A2816" s="36" t="s">
        <v>6503</v>
      </c>
      <c r="B2816" s="154" t="s">
        <v>6495</v>
      </c>
      <c r="C2816" s="36" t="s">
        <v>1666</v>
      </c>
      <c r="D2816" s="36" t="s">
        <v>77</v>
      </c>
      <c r="E2816" s="36" t="s">
        <v>77</v>
      </c>
      <c r="F2816" s="154" t="s">
        <v>1768</v>
      </c>
      <c r="G2816" s="36" t="s">
        <v>34</v>
      </c>
      <c r="H2816" s="36" t="s">
        <v>1655</v>
      </c>
      <c r="I2816" s="36" t="s">
        <v>1656</v>
      </c>
      <c r="J2816" s="36" t="s">
        <v>1656</v>
      </c>
      <c r="K2816" s="36" t="s">
        <v>1766</v>
      </c>
      <c r="L2816" s="36" t="s">
        <v>5325</v>
      </c>
      <c r="M2816" s="36" t="s">
        <v>5325</v>
      </c>
      <c r="N2816" s="36" t="s">
        <v>32</v>
      </c>
    </row>
    <row r="2817">
      <c r="A2817" s="36" t="s">
        <v>6504</v>
      </c>
      <c r="B2817" s="154" t="s">
        <v>6495</v>
      </c>
      <c r="C2817" s="36" t="s">
        <v>1666</v>
      </c>
      <c r="D2817" s="36" t="s">
        <v>226</v>
      </c>
      <c r="E2817" s="36" t="s">
        <v>226</v>
      </c>
      <c r="F2817" s="154" t="s">
        <v>6505</v>
      </c>
      <c r="G2817" s="36" t="s">
        <v>32</v>
      </c>
      <c r="H2817" s="36" t="s">
        <v>1655</v>
      </c>
      <c r="I2817" s="36" t="s">
        <v>1656</v>
      </c>
      <c r="J2817" s="36" t="s">
        <v>1656</v>
      </c>
      <c r="K2817" s="36" t="s">
        <v>1745</v>
      </c>
      <c r="L2817" s="36" t="s">
        <v>5325</v>
      </c>
      <c r="M2817" s="36" t="s">
        <v>5325</v>
      </c>
      <c r="N2817" s="36" t="s">
        <v>32</v>
      </c>
    </row>
    <row r="2818">
      <c r="A2818" s="36" t="s">
        <v>6506</v>
      </c>
      <c r="B2818" s="154" t="s">
        <v>6495</v>
      </c>
      <c r="C2818" s="36" t="s">
        <v>1666</v>
      </c>
      <c r="D2818" s="36" t="s">
        <v>281</v>
      </c>
      <c r="E2818" s="36" t="s">
        <v>281</v>
      </c>
      <c r="F2818" s="154" t="s">
        <v>6507</v>
      </c>
      <c r="G2818" s="36" t="s">
        <v>34</v>
      </c>
      <c r="H2818" s="36" t="s">
        <v>1655</v>
      </c>
      <c r="I2818" s="36" t="s">
        <v>1656</v>
      </c>
      <c r="J2818" s="36" t="s">
        <v>1656</v>
      </c>
      <c r="K2818" s="36" t="s">
        <v>1773</v>
      </c>
      <c r="L2818" s="36" t="s">
        <v>5325</v>
      </c>
      <c r="M2818" s="36" t="s">
        <v>5325</v>
      </c>
      <c r="N2818" s="36" t="s">
        <v>32</v>
      </c>
    </row>
    <row r="2819">
      <c r="A2819" s="36" t="s">
        <v>6508</v>
      </c>
      <c r="B2819" s="154" t="s">
        <v>6495</v>
      </c>
      <c r="C2819" s="36" t="s">
        <v>1666</v>
      </c>
      <c r="D2819" s="36" t="s">
        <v>220</v>
      </c>
      <c r="E2819" s="36" t="s">
        <v>220</v>
      </c>
      <c r="F2819" s="154" t="s">
        <v>6509</v>
      </c>
      <c r="G2819" s="36" t="s">
        <v>28</v>
      </c>
      <c r="H2819" s="36" t="s">
        <v>1655</v>
      </c>
      <c r="I2819" s="36" t="s">
        <v>1656</v>
      </c>
      <c r="J2819" s="36" t="s">
        <v>1656</v>
      </c>
      <c r="K2819" s="36" t="s">
        <v>1776</v>
      </c>
      <c r="L2819" s="36" t="s">
        <v>5325</v>
      </c>
      <c r="M2819" s="36" t="s">
        <v>5325</v>
      </c>
      <c r="N2819" s="36" t="s">
        <v>32</v>
      </c>
    </row>
    <row r="2820">
      <c r="A2820" s="36" t="s">
        <v>6510</v>
      </c>
      <c r="B2820" s="154" t="s">
        <v>6511</v>
      </c>
      <c r="C2820" s="36" t="s">
        <v>1666</v>
      </c>
      <c r="D2820" s="36" t="s">
        <v>767</v>
      </c>
      <c r="E2820" s="36" t="s">
        <v>767</v>
      </c>
      <c r="F2820" s="154" t="s">
        <v>6070</v>
      </c>
      <c r="G2820" s="36" t="s">
        <v>32</v>
      </c>
      <c r="H2820" s="36" t="s">
        <v>1655</v>
      </c>
      <c r="I2820" s="36" t="s">
        <v>1656</v>
      </c>
      <c r="J2820" s="36" t="s">
        <v>1656</v>
      </c>
      <c r="K2820" s="36" t="s">
        <v>1779</v>
      </c>
      <c r="L2820" s="36" t="s">
        <v>5325</v>
      </c>
      <c r="M2820" s="36" t="s">
        <v>5325</v>
      </c>
      <c r="N2820" s="36" t="s">
        <v>32</v>
      </c>
    </row>
    <row r="2821">
      <c r="A2821" s="36" t="s">
        <v>6512</v>
      </c>
      <c r="B2821" s="154" t="s">
        <v>6511</v>
      </c>
      <c r="C2821" s="36" t="s">
        <v>1666</v>
      </c>
      <c r="D2821" s="36" t="s">
        <v>823</v>
      </c>
      <c r="E2821" s="36" t="s">
        <v>823</v>
      </c>
      <c r="F2821" s="154" t="s">
        <v>2728</v>
      </c>
      <c r="G2821" s="36" t="s">
        <v>28</v>
      </c>
      <c r="H2821" s="36" t="s">
        <v>1655</v>
      </c>
      <c r="I2821" s="36" t="s">
        <v>1656</v>
      </c>
      <c r="J2821" s="36" t="s">
        <v>1656</v>
      </c>
      <c r="K2821" s="36" t="s">
        <v>1782</v>
      </c>
      <c r="L2821" s="36" t="s">
        <v>5325</v>
      </c>
      <c r="M2821" s="36" t="s">
        <v>5325</v>
      </c>
      <c r="N2821" s="36" t="s">
        <v>32</v>
      </c>
    </row>
    <row r="2822">
      <c r="A2822" s="36" t="s">
        <v>6513</v>
      </c>
      <c r="B2822" s="154" t="s">
        <v>6511</v>
      </c>
      <c r="C2822" s="36" t="s">
        <v>1666</v>
      </c>
      <c r="D2822" s="36" t="s">
        <v>218</v>
      </c>
      <c r="E2822" s="36" t="s">
        <v>218</v>
      </c>
      <c r="F2822" s="154" t="s">
        <v>1686</v>
      </c>
      <c r="G2822" s="36" t="s">
        <v>32</v>
      </c>
      <c r="H2822" s="36" t="s">
        <v>1655</v>
      </c>
      <c r="I2822" s="36" t="s">
        <v>1656</v>
      </c>
      <c r="J2822" s="36" t="s">
        <v>1656</v>
      </c>
      <c r="K2822" s="36" t="s">
        <v>1784</v>
      </c>
      <c r="L2822" s="36" t="s">
        <v>5325</v>
      </c>
      <c r="M2822" s="36" t="s">
        <v>5325</v>
      </c>
      <c r="N2822" s="36" t="s">
        <v>32</v>
      </c>
    </row>
    <row r="2823">
      <c r="A2823" s="36" t="s">
        <v>6514</v>
      </c>
      <c r="B2823" s="154" t="s">
        <v>6511</v>
      </c>
      <c r="C2823" s="36" t="s">
        <v>1666</v>
      </c>
      <c r="D2823" s="36" t="s">
        <v>470</v>
      </c>
      <c r="E2823" s="36" t="s">
        <v>470</v>
      </c>
      <c r="F2823" s="154" t="s">
        <v>1816</v>
      </c>
      <c r="G2823" s="36" t="s">
        <v>32</v>
      </c>
      <c r="H2823" s="36" t="s">
        <v>1655</v>
      </c>
      <c r="I2823" s="36" t="s">
        <v>1656</v>
      </c>
      <c r="J2823" s="36" t="s">
        <v>1656</v>
      </c>
      <c r="K2823" s="36" t="s">
        <v>1787</v>
      </c>
      <c r="L2823" s="36" t="s">
        <v>5325</v>
      </c>
      <c r="M2823" s="36" t="s">
        <v>5325</v>
      </c>
      <c r="N2823" s="36" t="s">
        <v>32</v>
      </c>
    </row>
    <row r="2824">
      <c r="A2824" s="36" t="s">
        <v>6515</v>
      </c>
      <c r="B2824" s="154" t="s">
        <v>6511</v>
      </c>
      <c r="C2824" s="36" t="s">
        <v>1666</v>
      </c>
      <c r="D2824" s="36" t="s">
        <v>114</v>
      </c>
      <c r="E2824" s="36" t="s">
        <v>114</v>
      </c>
      <c r="F2824" s="154" t="s">
        <v>1799</v>
      </c>
      <c r="G2824" s="36" t="s">
        <v>32</v>
      </c>
      <c r="H2824" s="36" t="s">
        <v>1655</v>
      </c>
      <c r="I2824" s="36" t="s">
        <v>1656</v>
      </c>
      <c r="J2824" s="36" t="s">
        <v>1656</v>
      </c>
      <c r="K2824" s="36" t="s">
        <v>1790</v>
      </c>
      <c r="L2824" s="36" t="s">
        <v>5325</v>
      </c>
      <c r="M2824" s="36" t="s">
        <v>5325</v>
      </c>
      <c r="N2824" s="36" t="s">
        <v>32</v>
      </c>
    </row>
    <row r="2825">
      <c r="A2825" s="36" t="s">
        <v>6516</v>
      </c>
      <c r="B2825" s="154" t="s">
        <v>6511</v>
      </c>
      <c r="C2825" s="36" t="s">
        <v>1666</v>
      </c>
      <c r="D2825" s="36" t="s">
        <v>837</v>
      </c>
      <c r="E2825" s="36" t="s">
        <v>837</v>
      </c>
      <c r="F2825" s="154" t="s">
        <v>6517</v>
      </c>
      <c r="G2825" s="36" t="s">
        <v>32</v>
      </c>
      <c r="H2825" s="36" t="s">
        <v>1655</v>
      </c>
      <c r="I2825" s="36" t="s">
        <v>1656</v>
      </c>
      <c r="J2825" s="36" t="s">
        <v>1656</v>
      </c>
      <c r="K2825" s="36" t="s">
        <v>1793</v>
      </c>
      <c r="L2825" s="36" t="s">
        <v>5325</v>
      </c>
      <c r="M2825" s="36" t="s">
        <v>5325</v>
      </c>
      <c r="N2825" s="36" t="s">
        <v>32</v>
      </c>
    </row>
    <row r="2826">
      <c r="A2826" s="36" t="s">
        <v>6518</v>
      </c>
      <c r="B2826" s="154" t="s">
        <v>6511</v>
      </c>
      <c r="C2826" s="36" t="s">
        <v>1666</v>
      </c>
      <c r="D2826" s="36" t="s">
        <v>843</v>
      </c>
      <c r="E2826" s="36" t="s">
        <v>843</v>
      </c>
      <c r="F2826" s="154" t="s">
        <v>3324</v>
      </c>
      <c r="G2826" s="36" t="s">
        <v>28</v>
      </c>
      <c r="H2826" s="36" t="s">
        <v>1655</v>
      </c>
      <c r="I2826" s="36" t="s">
        <v>1656</v>
      </c>
      <c r="J2826" s="36" t="s">
        <v>1656</v>
      </c>
      <c r="K2826" s="36" t="s">
        <v>1796</v>
      </c>
      <c r="L2826" s="36" t="s">
        <v>5325</v>
      </c>
      <c r="M2826" s="36" t="s">
        <v>5325</v>
      </c>
      <c r="N2826" s="36" t="s">
        <v>32</v>
      </c>
    </row>
    <row r="2827">
      <c r="A2827" s="36" t="s">
        <v>6519</v>
      </c>
      <c r="B2827" s="154" t="s">
        <v>6511</v>
      </c>
      <c r="C2827" s="36" t="s">
        <v>1666</v>
      </c>
      <c r="D2827" s="36" t="s">
        <v>775</v>
      </c>
      <c r="E2827" s="36" t="s">
        <v>775</v>
      </c>
      <c r="F2827" s="154" t="s">
        <v>5678</v>
      </c>
      <c r="G2827" s="36" t="s">
        <v>32</v>
      </c>
      <c r="H2827" s="36" t="s">
        <v>1655</v>
      </c>
      <c r="I2827" s="36" t="s">
        <v>1656</v>
      </c>
      <c r="J2827" s="36" t="s">
        <v>1656</v>
      </c>
      <c r="K2827" s="36" t="s">
        <v>1800</v>
      </c>
      <c r="L2827" s="36" t="s">
        <v>5325</v>
      </c>
      <c r="M2827" s="36" t="s">
        <v>5325</v>
      </c>
      <c r="N2827" s="36" t="s">
        <v>32</v>
      </c>
    </row>
    <row r="2828">
      <c r="A2828" s="36" t="s">
        <v>6520</v>
      </c>
      <c r="B2828" s="154" t="s">
        <v>6511</v>
      </c>
      <c r="C2828" s="36" t="s">
        <v>1666</v>
      </c>
      <c r="D2828" s="36" t="s">
        <v>852</v>
      </c>
      <c r="E2828" s="36" t="s">
        <v>852</v>
      </c>
      <c r="F2828" s="154" t="s">
        <v>1810</v>
      </c>
      <c r="G2828" s="36" t="s">
        <v>32</v>
      </c>
      <c r="H2828" s="36" t="s">
        <v>1655</v>
      </c>
      <c r="I2828" s="36" t="s">
        <v>1656</v>
      </c>
      <c r="J2828" s="36" t="s">
        <v>1656</v>
      </c>
      <c r="K2828" s="36" t="s">
        <v>1803</v>
      </c>
      <c r="L2828" s="36" t="s">
        <v>5325</v>
      </c>
      <c r="M2828" s="36" t="s">
        <v>5325</v>
      </c>
      <c r="N2828" s="36" t="s">
        <v>34</v>
      </c>
    </row>
    <row r="2829">
      <c r="A2829" s="36" t="s">
        <v>6521</v>
      </c>
      <c r="B2829" s="154" t="s">
        <v>6522</v>
      </c>
      <c r="C2829" s="36" t="s">
        <v>1666</v>
      </c>
      <c r="D2829" s="36" t="s">
        <v>475</v>
      </c>
      <c r="E2829" s="36" t="s">
        <v>475</v>
      </c>
      <c r="F2829" s="154" t="s">
        <v>2049</v>
      </c>
      <c r="G2829" s="36" t="s">
        <v>32</v>
      </c>
      <c r="H2829" s="36" t="s">
        <v>1655</v>
      </c>
      <c r="I2829" s="36" t="s">
        <v>1656</v>
      </c>
      <c r="J2829" s="36" t="s">
        <v>1656</v>
      </c>
      <c r="K2829" s="36" t="s">
        <v>1807</v>
      </c>
      <c r="L2829" s="36" t="s">
        <v>5325</v>
      </c>
      <c r="M2829" s="36" t="s">
        <v>5325</v>
      </c>
      <c r="N2829" s="36" t="s">
        <v>34</v>
      </c>
    </row>
    <row r="2830">
      <c r="A2830" s="36" t="s">
        <v>6523</v>
      </c>
      <c r="B2830" s="154" t="s">
        <v>6524</v>
      </c>
      <c r="C2830" s="36" t="s">
        <v>1653</v>
      </c>
      <c r="D2830" s="36" t="s">
        <v>161</v>
      </c>
      <c r="E2830" s="36" t="s">
        <v>39</v>
      </c>
      <c r="F2830" s="154" t="s">
        <v>5835</v>
      </c>
      <c r="G2830" s="36" t="s">
        <v>32</v>
      </c>
      <c r="H2830" s="36" t="s">
        <v>1655</v>
      </c>
      <c r="I2830" s="36" t="s">
        <v>1656</v>
      </c>
      <c r="J2830" s="36" t="s">
        <v>1656</v>
      </c>
      <c r="K2830" s="36" t="s">
        <v>2848</v>
      </c>
      <c r="L2830" s="36" t="s">
        <v>5321</v>
      </c>
      <c r="M2830" s="36" t="s">
        <v>5321</v>
      </c>
      <c r="N2830" s="36" t="s">
        <v>32</v>
      </c>
    </row>
    <row r="2831">
      <c r="A2831" s="36" t="s">
        <v>6525</v>
      </c>
      <c r="B2831" s="154" t="s">
        <v>6524</v>
      </c>
      <c r="C2831" s="36" t="s">
        <v>1666</v>
      </c>
      <c r="D2831" s="36" t="s">
        <v>859</v>
      </c>
      <c r="E2831" s="36" t="s">
        <v>859</v>
      </c>
      <c r="F2831" s="154" t="s">
        <v>3324</v>
      </c>
      <c r="G2831" s="36" t="s">
        <v>28</v>
      </c>
      <c r="H2831" s="36" t="s">
        <v>1655</v>
      </c>
      <c r="I2831" s="36" t="s">
        <v>1656</v>
      </c>
      <c r="J2831" s="36" t="s">
        <v>1656</v>
      </c>
      <c r="K2831" s="36" t="s">
        <v>1814</v>
      </c>
      <c r="L2831" s="36" t="s">
        <v>5325</v>
      </c>
      <c r="M2831" s="36" t="s">
        <v>5325</v>
      </c>
      <c r="N2831" s="36" t="s">
        <v>32</v>
      </c>
    </row>
    <row r="2832">
      <c r="A2832" s="36" t="s">
        <v>6526</v>
      </c>
      <c r="B2832" s="154" t="s">
        <v>6524</v>
      </c>
      <c r="C2832" s="36" t="s">
        <v>1666</v>
      </c>
      <c r="D2832" s="36" t="s">
        <v>865</v>
      </c>
      <c r="E2832" s="36" t="s">
        <v>865</v>
      </c>
      <c r="F2832" s="154" t="s">
        <v>1690</v>
      </c>
      <c r="G2832" s="36" t="s">
        <v>28</v>
      </c>
      <c r="H2832" s="36" t="s">
        <v>1655</v>
      </c>
      <c r="I2832" s="36" t="s">
        <v>1656</v>
      </c>
      <c r="J2832" s="36" t="s">
        <v>1656</v>
      </c>
      <c r="K2832" s="36" t="s">
        <v>1817</v>
      </c>
      <c r="L2832" s="36" t="s">
        <v>5325</v>
      </c>
      <c r="M2832" s="36" t="s">
        <v>5325</v>
      </c>
      <c r="N2832" s="36" t="s">
        <v>34</v>
      </c>
    </row>
    <row r="2833">
      <c r="A2833" s="36" t="s">
        <v>6527</v>
      </c>
      <c r="B2833" s="154" t="s">
        <v>6524</v>
      </c>
      <c r="C2833" s="36" t="s">
        <v>1666</v>
      </c>
      <c r="D2833" s="36" t="s">
        <v>867</v>
      </c>
      <c r="E2833" s="36" t="s">
        <v>867</v>
      </c>
      <c r="F2833" s="154" t="s">
        <v>1959</v>
      </c>
      <c r="G2833" s="36" t="s">
        <v>28</v>
      </c>
      <c r="H2833" s="36" t="s">
        <v>1655</v>
      </c>
      <c r="I2833" s="36" t="s">
        <v>1656</v>
      </c>
      <c r="J2833" s="36" t="s">
        <v>1656</v>
      </c>
      <c r="K2833" s="36" t="s">
        <v>1820</v>
      </c>
      <c r="L2833" s="36" t="s">
        <v>5325</v>
      </c>
      <c r="M2833" s="36" t="s">
        <v>5325</v>
      </c>
      <c r="N2833" s="36" t="s">
        <v>34</v>
      </c>
    </row>
    <row r="2834">
      <c r="A2834" s="36" t="s">
        <v>6528</v>
      </c>
      <c r="B2834" s="154" t="s">
        <v>6524</v>
      </c>
      <c r="C2834" s="36" t="s">
        <v>1666</v>
      </c>
      <c r="D2834" s="36" t="s">
        <v>872</v>
      </c>
      <c r="E2834" s="36" t="s">
        <v>872</v>
      </c>
      <c r="F2834" s="154" t="s">
        <v>1686</v>
      </c>
      <c r="G2834" s="36" t="s">
        <v>28</v>
      </c>
      <c r="H2834" s="36" t="s">
        <v>1655</v>
      </c>
      <c r="I2834" s="36" t="s">
        <v>1656</v>
      </c>
      <c r="J2834" s="36" t="s">
        <v>1656</v>
      </c>
      <c r="K2834" s="36" t="s">
        <v>1823</v>
      </c>
      <c r="L2834" s="36" t="s">
        <v>5325</v>
      </c>
      <c r="M2834" s="36" t="s">
        <v>5325</v>
      </c>
      <c r="N2834" s="36" t="s">
        <v>34</v>
      </c>
    </row>
    <row r="2835">
      <c r="A2835" s="36" t="s">
        <v>6529</v>
      </c>
      <c r="B2835" s="154" t="s">
        <v>6530</v>
      </c>
      <c r="C2835" s="36" t="s">
        <v>1666</v>
      </c>
      <c r="D2835" s="36" t="s">
        <v>875</v>
      </c>
      <c r="E2835" s="36" t="s">
        <v>875</v>
      </c>
      <c r="F2835" s="154" t="s">
        <v>1810</v>
      </c>
      <c r="G2835" s="36" t="s">
        <v>28</v>
      </c>
      <c r="H2835" s="36" t="s">
        <v>1655</v>
      </c>
      <c r="I2835" s="36" t="s">
        <v>1656</v>
      </c>
      <c r="J2835" s="36" t="s">
        <v>1656</v>
      </c>
      <c r="K2835" s="36" t="s">
        <v>1826</v>
      </c>
      <c r="L2835" s="36" t="s">
        <v>5325</v>
      </c>
      <c r="M2835" s="36" t="s">
        <v>5325</v>
      </c>
      <c r="N2835" s="36" t="s">
        <v>34</v>
      </c>
    </row>
    <row r="2836">
      <c r="A2836" s="36" t="s">
        <v>6531</v>
      </c>
      <c r="B2836" s="154" t="s">
        <v>6532</v>
      </c>
      <c r="C2836" s="36" t="s">
        <v>1666</v>
      </c>
      <c r="D2836" s="36" t="s">
        <v>879</v>
      </c>
      <c r="E2836" s="36" t="s">
        <v>879</v>
      </c>
      <c r="F2836" s="154" t="s">
        <v>1768</v>
      </c>
      <c r="G2836" s="36" t="s">
        <v>32</v>
      </c>
      <c r="H2836" s="36" t="s">
        <v>1655</v>
      </c>
      <c r="I2836" s="36" t="s">
        <v>1656</v>
      </c>
      <c r="J2836" s="36" t="s">
        <v>1656</v>
      </c>
      <c r="K2836" s="36" t="s">
        <v>1830</v>
      </c>
      <c r="L2836" s="36" t="s">
        <v>5325</v>
      </c>
      <c r="M2836" s="36" t="s">
        <v>5325</v>
      </c>
      <c r="N2836" s="36" t="s">
        <v>32</v>
      </c>
    </row>
    <row r="2837">
      <c r="A2837" s="36" t="s">
        <v>6533</v>
      </c>
      <c r="B2837" s="154" t="s">
        <v>6532</v>
      </c>
      <c r="C2837" s="36" t="s">
        <v>1666</v>
      </c>
      <c r="D2837" s="36" t="s">
        <v>470</v>
      </c>
      <c r="E2837" s="36" t="s">
        <v>470</v>
      </c>
      <c r="F2837" s="154" t="s">
        <v>1816</v>
      </c>
      <c r="G2837" s="36" t="s">
        <v>32</v>
      </c>
      <c r="H2837" s="36" t="s">
        <v>1655</v>
      </c>
      <c r="I2837" s="36" t="s">
        <v>1656</v>
      </c>
      <c r="J2837" s="36" t="s">
        <v>1656</v>
      </c>
      <c r="K2837" s="36" t="s">
        <v>1833</v>
      </c>
      <c r="L2837" s="36" t="s">
        <v>5325</v>
      </c>
      <c r="M2837" s="36" t="s">
        <v>5325</v>
      </c>
      <c r="N2837" s="36" t="s">
        <v>32</v>
      </c>
    </row>
    <row r="2838">
      <c r="A2838" s="36" t="s">
        <v>6534</v>
      </c>
      <c r="B2838" s="154" t="s">
        <v>6532</v>
      </c>
      <c r="C2838" s="36" t="s">
        <v>1666</v>
      </c>
      <c r="D2838" s="36" t="s">
        <v>882</v>
      </c>
      <c r="E2838" s="36" t="s">
        <v>882</v>
      </c>
      <c r="F2838" s="154" t="s">
        <v>1810</v>
      </c>
      <c r="G2838" s="36" t="s">
        <v>32</v>
      </c>
      <c r="H2838" s="36" t="s">
        <v>1655</v>
      </c>
      <c r="I2838" s="36" t="s">
        <v>1656</v>
      </c>
      <c r="J2838" s="36" t="s">
        <v>1656</v>
      </c>
      <c r="K2838" s="36" t="s">
        <v>1836</v>
      </c>
      <c r="L2838" s="36" t="s">
        <v>5325</v>
      </c>
      <c r="M2838" s="36" t="s">
        <v>5325</v>
      </c>
      <c r="N2838" s="36" t="s">
        <v>32</v>
      </c>
    </row>
    <row r="2839">
      <c r="A2839" s="36" t="s">
        <v>6535</v>
      </c>
      <c r="B2839" s="154" t="s">
        <v>6532</v>
      </c>
      <c r="C2839" s="36" t="s">
        <v>1666</v>
      </c>
      <c r="D2839" s="36" t="s">
        <v>100</v>
      </c>
      <c r="E2839" s="36" t="s">
        <v>100</v>
      </c>
      <c r="F2839" s="154" t="s">
        <v>1810</v>
      </c>
      <c r="G2839" s="36" t="s">
        <v>32</v>
      </c>
      <c r="H2839" s="36" t="s">
        <v>1655</v>
      </c>
      <c r="I2839" s="36" t="s">
        <v>1656</v>
      </c>
      <c r="J2839" s="36" t="s">
        <v>1656</v>
      </c>
      <c r="K2839" s="36" t="s">
        <v>1839</v>
      </c>
      <c r="L2839" s="36" t="s">
        <v>5325</v>
      </c>
      <c r="M2839" s="36" t="s">
        <v>5325</v>
      </c>
      <c r="N2839" s="36" t="s">
        <v>32</v>
      </c>
    </row>
    <row r="2840">
      <c r="A2840" s="36" t="s">
        <v>6536</v>
      </c>
      <c r="B2840" s="154" t="s">
        <v>6532</v>
      </c>
      <c r="C2840" s="36" t="s">
        <v>1666</v>
      </c>
      <c r="D2840" s="36" t="s">
        <v>88</v>
      </c>
      <c r="E2840" s="36" t="s">
        <v>88</v>
      </c>
      <c r="F2840" s="154" t="s">
        <v>1806</v>
      </c>
      <c r="G2840" s="36" t="s">
        <v>32</v>
      </c>
      <c r="H2840" s="36" t="s">
        <v>1655</v>
      </c>
      <c r="I2840" s="36" t="s">
        <v>1656</v>
      </c>
      <c r="J2840" s="36" t="s">
        <v>1656</v>
      </c>
      <c r="K2840" s="36" t="s">
        <v>1842</v>
      </c>
      <c r="L2840" s="36" t="s">
        <v>5325</v>
      </c>
      <c r="M2840" s="36" t="s">
        <v>5325</v>
      </c>
      <c r="N2840" s="36" t="s">
        <v>32</v>
      </c>
    </row>
    <row r="2841">
      <c r="A2841" s="36" t="s">
        <v>6537</v>
      </c>
      <c r="B2841" s="154" t="s">
        <v>6532</v>
      </c>
      <c r="C2841" s="36" t="s">
        <v>1666</v>
      </c>
      <c r="D2841" s="36" t="s">
        <v>887</v>
      </c>
      <c r="E2841" s="36" t="s">
        <v>887</v>
      </c>
      <c r="F2841" s="154" t="s">
        <v>2514</v>
      </c>
      <c r="G2841" s="36" t="s">
        <v>28</v>
      </c>
      <c r="H2841" s="36" t="s">
        <v>1655</v>
      </c>
      <c r="I2841" s="36" t="s">
        <v>1656</v>
      </c>
      <c r="J2841" s="36" t="s">
        <v>1656</v>
      </c>
      <c r="K2841" s="36" t="s">
        <v>1845</v>
      </c>
      <c r="L2841" s="36" t="s">
        <v>5325</v>
      </c>
      <c r="M2841" s="36" t="s">
        <v>5325</v>
      </c>
      <c r="N2841" s="36" t="s">
        <v>34</v>
      </c>
    </row>
    <row r="2842">
      <c r="A2842" s="36" t="s">
        <v>6538</v>
      </c>
      <c r="B2842" s="154" t="s">
        <v>6532</v>
      </c>
      <c r="C2842" s="36" t="s">
        <v>1666</v>
      </c>
      <c r="D2842" s="36" t="s">
        <v>273</v>
      </c>
      <c r="E2842" s="36" t="s">
        <v>273</v>
      </c>
      <c r="F2842" s="154" t="s">
        <v>5112</v>
      </c>
      <c r="G2842" s="36" t="s">
        <v>28</v>
      </c>
      <c r="H2842" s="36" t="s">
        <v>1655</v>
      </c>
      <c r="I2842" s="36" t="s">
        <v>1656</v>
      </c>
      <c r="J2842" s="36" t="s">
        <v>1656</v>
      </c>
      <c r="K2842" s="36" t="s">
        <v>1848</v>
      </c>
      <c r="L2842" s="36" t="s">
        <v>5325</v>
      </c>
      <c r="M2842" s="36" t="s">
        <v>5325</v>
      </c>
      <c r="N2842" s="36" t="s">
        <v>34</v>
      </c>
    </row>
    <row r="2843">
      <c r="A2843" s="36" t="s">
        <v>6539</v>
      </c>
      <c r="B2843" s="154" t="s">
        <v>6540</v>
      </c>
      <c r="C2843" s="36" t="s">
        <v>1666</v>
      </c>
      <c r="D2843" s="36" t="s">
        <v>889</v>
      </c>
      <c r="E2843" s="36" t="s">
        <v>889</v>
      </c>
      <c r="F2843" s="154" t="s">
        <v>2728</v>
      </c>
      <c r="G2843" s="36" t="s">
        <v>28</v>
      </c>
      <c r="H2843" s="36" t="s">
        <v>1655</v>
      </c>
      <c r="I2843" s="36" t="s">
        <v>1656</v>
      </c>
      <c r="J2843" s="36" t="s">
        <v>1656</v>
      </c>
      <c r="K2843" s="36" t="s">
        <v>1851</v>
      </c>
      <c r="L2843" s="36" t="s">
        <v>5325</v>
      </c>
      <c r="M2843" s="36" t="s">
        <v>5325</v>
      </c>
      <c r="N2843" s="36" t="s">
        <v>32</v>
      </c>
    </row>
    <row r="2844">
      <c r="A2844" s="36" t="s">
        <v>6541</v>
      </c>
      <c r="B2844" s="154" t="s">
        <v>6540</v>
      </c>
      <c r="C2844" s="36" t="s">
        <v>1666</v>
      </c>
      <c r="D2844" s="36" t="s">
        <v>892</v>
      </c>
      <c r="E2844" s="36" t="s">
        <v>892</v>
      </c>
      <c r="F2844" s="154" t="s">
        <v>6542</v>
      </c>
      <c r="G2844" s="36" t="s">
        <v>28</v>
      </c>
      <c r="H2844" s="36" t="s">
        <v>1655</v>
      </c>
      <c r="I2844" s="36" t="s">
        <v>1656</v>
      </c>
      <c r="J2844" s="36" t="s">
        <v>1656</v>
      </c>
      <c r="K2844" s="36" t="s">
        <v>1854</v>
      </c>
      <c r="L2844" s="36" t="s">
        <v>5325</v>
      </c>
      <c r="M2844" s="36" t="s">
        <v>5325</v>
      </c>
      <c r="N2844" s="36" t="s">
        <v>34</v>
      </c>
    </row>
    <row r="2845">
      <c r="A2845" s="36" t="s">
        <v>6543</v>
      </c>
      <c r="B2845" s="154" t="s">
        <v>6544</v>
      </c>
      <c r="C2845" s="36" t="s">
        <v>1666</v>
      </c>
      <c r="D2845" s="36" t="s">
        <v>475</v>
      </c>
      <c r="E2845" s="36" t="s">
        <v>475</v>
      </c>
      <c r="F2845" s="154" t="s">
        <v>2049</v>
      </c>
      <c r="G2845" s="36" t="s">
        <v>32</v>
      </c>
      <c r="H2845" s="36" t="s">
        <v>1655</v>
      </c>
      <c r="I2845" s="36" t="s">
        <v>1656</v>
      </c>
      <c r="J2845" s="36" t="s">
        <v>1656</v>
      </c>
      <c r="K2845" s="36" t="s">
        <v>1857</v>
      </c>
      <c r="L2845" s="36" t="s">
        <v>5325</v>
      </c>
      <c r="M2845" s="36" t="s">
        <v>5325</v>
      </c>
      <c r="N2845" s="36" t="s">
        <v>34</v>
      </c>
    </row>
    <row r="2846">
      <c r="A2846" s="36" t="s">
        <v>6545</v>
      </c>
      <c r="B2846" s="154" t="s">
        <v>6546</v>
      </c>
      <c r="C2846" s="36" t="s">
        <v>1666</v>
      </c>
      <c r="D2846" s="36" t="s">
        <v>896</v>
      </c>
      <c r="E2846" s="36" t="s">
        <v>896</v>
      </c>
      <c r="F2846" s="154" t="s">
        <v>1810</v>
      </c>
      <c r="G2846" s="36" t="s">
        <v>32</v>
      </c>
      <c r="H2846" s="36" t="s">
        <v>1655</v>
      </c>
      <c r="I2846" s="36" t="s">
        <v>1656</v>
      </c>
      <c r="J2846" s="36" t="s">
        <v>1656</v>
      </c>
      <c r="K2846" s="36" t="s">
        <v>1860</v>
      </c>
      <c r="L2846" s="36" t="s">
        <v>5325</v>
      </c>
      <c r="M2846" s="36" t="s">
        <v>5325</v>
      </c>
      <c r="N2846" s="36" t="s">
        <v>32</v>
      </c>
    </row>
    <row r="2847">
      <c r="A2847" s="36" t="s">
        <v>6547</v>
      </c>
      <c r="B2847" s="154" t="s">
        <v>6546</v>
      </c>
      <c r="C2847" s="36" t="s">
        <v>1666</v>
      </c>
      <c r="D2847" s="36" t="s">
        <v>897</v>
      </c>
      <c r="E2847" s="36" t="s">
        <v>897</v>
      </c>
      <c r="F2847" s="154" t="s">
        <v>3895</v>
      </c>
      <c r="G2847" s="36" t="s">
        <v>28</v>
      </c>
      <c r="H2847" s="36" t="s">
        <v>1655</v>
      </c>
      <c r="I2847" s="36" t="s">
        <v>1656</v>
      </c>
      <c r="J2847" s="36" t="s">
        <v>1656</v>
      </c>
      <c r="K2847" s="36" t="s">
        <v>1863</v>
      </c>
      <c r="L2847" s="36" t="s">
        <v>5325</v>
      </c>
      <c r="M2847" s="36" t="s">
        <v>5325</v>
      </c>
      <c r="N2847" s="36" t="s">
        <v>34</v>
      </c>
    </row>
    <row r="2848">
      <c r="A2848" s="36" t="s">
        <v>6548</v>
      </c>
      <c r="B2848" s="154" t="s">
        <v>6549</v>
      </c>
      <c r="C2848" s="36" t="s">
        <v>1666</v>
      </c>
      <c r="D2848" s="36" t="s">
        <v>79</v>
      </c>
      <c r="E2848" s="36" t="s">
        <v>79</v>
      </c>
      <c r="F2848" s="154" t="s">
        <v>5606</v>
      </c>
      <c r="G2848" s="36" t="s">
        <v>32</v>
      </c>
      <c r="H2848" s="36" t="s">
        <v>1655</v>
      </c>
      <c r="I2848" s="36" t="s">
        <v>1656</v>
      </c>
      <c r="J2848" s="36" t="s">
        <v>1656</v>
      </c>
      <c r="K2848" s="36" t="s">
        <v>1769</v>
      </c>
      <c r="L2848" s="36" t="s">
        <v>5325</v>
      </c>
      <c r="M2848" s="36" t="s">
        <v>5325</v>
      </c>
      <c r="N2848" s="36" t="s">
        <v>32</v>
      </c>
    </row>
    <row r="2849">
      <c r="A2849" s="36" t="s">
        <v>6550</v>
      </c>
      <c r="B2849" s="154" t="s">
        <v>6551</v>
      </c>
      <c r="C2849" s="36" t="s">
        <v>1666</v>
      </c>
      <c r="D2849" s="36" t="s">
        <v>484</v>
      </c>
      <c r="E2849" s="36" t="s">
        <v>484</v>
      </c>
      <c r="F2849" s="154" t="s">
        <v>2027</v>
      </c>
      <c r="G2849" s="36" t="s">
        <v>32</v>
      </c>
      <c r="H2849" s="36" t="s">
        <v>1655</v>
      </c>
      <c r="I2849" s="36" t="s">
        <v>1656</v>
      </c>
      <c r="J2849" s="36" t="s">
        <v>1656</v>
      </c>
      <c r="K2849" s="36" t="s">
        <v>1866</v>
      </c>
      <c r="L2849" s="36" t="s">
        <v>5325</v>
      </c>
      <c r="M2849" s="36" t="s">
        <v>5325</v>
      </c>
      <c r="N2849" s="36" t="s">
        <v>32</v>
      </c>
    </row>
    <row r="2850">
      <c r="A2850" s="36" t="s">
        <v>6552</v>
      </c>
      <c r="B2850" s="154" t="s">
        <v>6551</v>
      </c>
      <c r="C2850" s="36" t="s">
        <v>1666</v>
      </c>
      <c r="D2850" s="36" t="s">
        <v>89</v>
      </c>
      <c r="E2850" s="36" t="s">
        <v>89</v>
      </c>
      <c r="F2850" s="154" t="s">
        <v>2027</v>
      </c>
      <c r="G2850" s="36" t="s">
        <v>32</v>
      </c>
      <c r="H2850" s="36" t="s">
        <v>1655</v>
      </c>
      <c r="I2850" s="36" t="s">
        <v>1656</v>
      </c>
      <c r="J2850" s="36" t="s">
        <v>1656</v>
      </c>
      <c r="K2850" s="36" t="s">
        <v>1869</v>
      </c>
      <c r="L2850" s="36" t="s">
        <v>5325</v>
      </c>
      <c r="M2850" s="36" t="s">
        <v>5325</v>
      </c>
      <c r="N2850" s="36" t="s">
        <v>32</v>
      </c>
    </row>
    <row r="2851">
      <c r="A2851" s="36" t="s">
        <v>6553</v>
      </c>
      <c r="B2851" s="154" t="s">
        <v>6551</v>
      </c>
      <c r="C2851" s="36" t="s">
        <v>1666</v>
      </c>
      <c r="D2851" s="36" t="s">
        <v>899</v>
      </c>
      <c r="E2851" s="36" t="s">
        <v>899</v>
      </c>
      <c r="F2851" s="154" t="s">
        <v>1694</v>
      </c>
      <c r="G2851" s="36" t="s">
        <v>32</v>
      </c>
      <c r="H2851" s="36" t="s">
        <v>1655</v>
      </c>
      <c r="I2851" s="36" t="s">
        <v>1656</v>
      </c>
      <c r="J2851" s="36" t="s">
        <v>1656</v>
      </c>
      <c r="K2851" s="36" t="s">
        <v>1872</v>
      </c>
      <c r="L2851" s="36" t="s">
        <v>5325</v>
      </c>
      <c r="M2851" s="36" t="s">
        <v>5325</v>
      </c>
      <c r="N2851" s="36" t="s">
        <v>32</v>
      </c>
    </row>
    <row r="2852">
      <c r="A2852" s="36" t="s">
        <v>6554</v>
      </c>
      <c r="B2852" s="154" t="s">
        <v>6551</v>
      </c>
      <c r="C2852" s="36" t="s">
        <v>1666</v>
      </c>
      <c r="D2852" s="36" t="s">
        <v>470</v>
      </c>
      <c r="E2852" s="36" t="s">
        <v>470</v>
      </c>
      <c r="F2852" s="154" t="s">
        <v>1816</v>
      </c>
      <c r="G2852" s="36" t="s">
        <v>32</v>
      </c>
      <c r="H2852" s="36" t="s">
        <v>1655</v>
      </c>
      <c r="I2852" s="36" t="s">
        <v>1656</v>
      </c>
      <c r="J2852" s="36" t="s">
        <v>1656</v>
      </c>
      <c r="K2852" s="36" t="s">
        <v>1875</v>
      </c>
      <c r="L2852" s="36" t="s">
        <v>5325</v>
      </c>
      <c r="M2852" s="36" t="s">
        <v>5325</v>
      </c>
      <c r="N2852" s="36" t="s">
        <v>32</v>
      </c>
    </row>
    <row r="2853">
      <c r="A2853" s="36" t="s">
        <v>6555</v>
      </c>
      <c r="B2853" s="154" t="s">
        <v>6556</v>
      </c>
      <c r="C2853" s="36" t="s">
        <v>1666</v>
      </c>
      <c r="D2853" s="36" t="s">
        <v>470</v>
      </c>
      <c r="E2853" s="36" t="s">
        <v>470</v>
      </c>
      <c r="F2853" s="154" t="s">
        <v>1816</v>
      </c>
      <c r="G2853" s="36" t="s">
        <v>32</v>
      </c>
      <c r="H2853" s="36" t="s">
        <v>1655</v>
      </c>
      <c r="I2853" s="36" t="s">
        <v>1656</v>
      </c>
      <c r="J2853" s="36" t="s">
        <v>1656</v>
      </c>
      <c r="K2853" s="36" t="s">
        <v>1878</v>
      </c>
      <c r="L2853" s="36" t="s">
        <v>5325</v>
      </c>
      <c r="M2853" s="36" t="s">
        <v>5325</v>
      </c>
      <c r="N2853" s="36" t="s">
        <v>32</v>
      </c>
    </row>
    <row r="2854">
      <c r="A2854" s="36" t="s">
        <v>6557</v>
      </c>
      <c r="B2854" s="154" t="s">
        <v>6558</v>
      </c>
      <c r="C2854" s="36" t="s">
        <v>1666</v>
      </c>
      <c r="D2854" s="36" t="s">
        <v>130</v>
      </c>
      <c r="E2854" s="36" t="s">
        <v>130</v>
      </c>
      <c r="F2854" s="154" t="s">
        <v>1810</v>
      </c>
      <c r="G2854" s="36" t="s">
        <v>32</v>
      </c>
      <c r="H2854" s="36" t="s">
        <v>1655</v>
      </c>
      <c r="I2854" s="36" t="s">
        <v>1656</v>
      </c>
      <c r="J2854" s="36" t="s">
        <v>1656</v>
      </c>
      <c r="K2854" s="36" t="s">
        <v>1881</v>
      </c>
      <c r="L2854" s="36" t="s">
        <v>5325</v>
      </c>
      <c r="M2854" s="36" t="s">
        <v>5325</v>
      </c>
      <c r="N2854" s="36" t="s">
        <v>32</v>
      </c>
    </row>
    <row r="2855">
      <c r="A2855" s="36" t="s">
        <v>6559</v>
      </c>
      <c r="B2855" s="154" t="s">
        <v>6558</v>
      </c>
      <c r="C2855" s="36" t="s">
        <v>1666</v>
      </c>
      <c r="D2855" s="36" t="s">
        <v>902</v>
      </c>
      <c r="E2855" s="36" t="s">
        <v>902</v>
      </c>
      <c r="F2855" s="154" t="s">
        <v>1810</v>
      </c>
      <c r="G2855" s="36" t="s">
        <v>32</v>
      </c>
      <c r="H2855" s="36" t="s">
        <v>1655</v>
      </c>
      <c r="I2855" s="36" t="s">
        <v>1656</v>
      </c>
      <c r="J2855" s="36" t="s">
        <v>1656</v>
      </c>
      <c r="K2855" s="36" t="s">
        <v>1884</v>
      </c>
      <c r="L2855" s="36" t="s">
        <v>5325</v>
      </c>
      <c r="M2855" s="36" t="s">
        <v>5325</v>
      </c>
      <c r="N2855" s="36" t="s">
        <v>32</v>
      </c>
    </row>
    <row r="2856">
      <c r="A2856" s="36" t="s">
        <v>6560</v>
      </c>
      <c r="B2856" s="154" t="s">
        <v>6558</v>
      </c>
      <c r="C2856" s="36" t="s">
        <v>1666</v>
      </c>
      <c r="D2856" s="36" t="s">
        <v>218</v>
      </c>
      <c r="E2856" s="36" t="s">
        <v>218</v>
      </c>
      <c r="F2856" s="154" t="s">
        <v>2039</v>
      </c>
      <c r="G2856" s="36" t="s">
        <v>32</v>
      </c>
      <c r="H2856" s="36" t="s">
        <v>1655</v>
      </c>
      <c r="I2856" s="36" t="s">
        <v>1656</v>
      </c>
      <c r="J2856" s="36" t="s">
        <v>1656</v>
      </c>
      <c r="K2856" s="36" t="s">
        <v>1887</v>
      </c>
      <c r="L2856" s="36" t="s">
        <v>5325</v>
      </c>
      <c r="M2856" s="36" t="s">
        <v>5325</v>
      </c>
      <c r="N2856" s="36" t="s">
        <v>32</v>
      </c>
    </row>
    <row r="2857">
      <c r="A2857" s="36" t="s">
        <v>6561</v>
      </c>
      <c r="B2857" s="154" t="s">
        <v>6558</v>
      </c>
      <c r="C2857" s="36" t="s">
        <v>1666</v>
      </c>
      <c r="D2857" s="36" t="s">
        <v>88</v>
      </c>
      <c r="E2857" s="36" t="s">
        <v>88</v>
      </c>
      <c r="F2857" s="154" t="s">
        <v>2085</v>
      </c>
      <c r="G2857" s="36" t="s">
        <v>32</v>
      </c>
      <c r="H2857" s="36" t="s">
        <v>1655</v>
      </c>
      <c r="I2857" s="36" t="s">
        <v>1656</v>
      </c>
      <c r="J2857" s="36" t="s">
        <v>1656</v>
      </c>
      <c r="K2857" s="36" t="s">
        <v>1894</v>
      </c>
      <c r="L2857" s="36" t="s">
        <v>5325</v>
      </c>
      <c r="M2857" s="36" t="s">
        <v>5325</v>
      </c>
      <c r="N2857" s="36" t="s">
        <v>32</v>
      </c>
    </row>
    <row r="2858">
      <c r="A2858" s="36" t="s">
        <v>6562</v>
      </c>
      <c r="B2858" s="154" t="s">
        <v>6558</v>
      </c>
      <c r="C2858" s="36" t="s">
        <v>1666</v>
      </c>
      <c r="D2858" s="36" t="s">
        <v>133</v>
      </c>
      <c r="E2858" s="36" t="s">
        <v>133</v>
      </c>
      <c r="F2858" s="154" t="s">
        <v>6563</v>
      </c>
      <c r="G2858" s="36" t="s">
        <v>32</v>
      </c>
      <c r="H2858" s="36" t="s">
        <v>1655</v>
      </c>
      <c r="I2858" s="36" t="s">
        <v>1656</v>
      </c>
      <c r="J2858" s="36" t="s">
        <v>1656</v>
      </c>
      <c r="K2858" s="36" t="s">
        <v>1897</v>
      </c>
      <c r="L2858" s="36" t="s">
        <v>5325</v>
      </c>
      <c r="M2858" s="36" t="s">
        <v>5325</v>
      </c>
      <c r="N2858" s="36" t="s">
        <v>32</v>
      </c>
    </row>
    <row r="2859">
      <c r="A2859" s="36" t="s">
        <v>6564</v>
      </c>
      <c r="B2859" s="154" t="s">
        <v>6558</v>
      </c>
      <c r="C2859" s="36" t="s">
        <v>1666</v>
      </c>
      <c r="D2859" s="36" t="s">
        <v>88</v>
      </c>
      <c r="E2859" s="36" t="s">
        <v>88</v>
      </c>
      <c r="F2859" s="154" t="s">
        <v>1816</v>
      </c>
      <c r="G2859" s="36" t="s">
        <v>32</v>
      </c>
      <c r="H2859" s="36" t="s">
        <v>1655</v>
      </c>
      <c r="I2859" s="36" t="s">
        <v>1656</v>
      </c>
      <c r="J2859" s="36" t="s">
        <v>1656</v>
      </c>
      <c r="K2859" s="36" t="s">
        <v>1900</v>
      </c>
      <c r="L2859" s="36" t="s">
        <v>5325</v>
      </c>
      <c r="M2859" s="36" t="s">
        <v>5325</v>
      </c>
      <c r="N2859" s="36" t="s">
        <v>32</v>
      </c>
    </row>
    <row r="2860">
      <c r="A2860" s="36" t="s">
        <v>6565</v>
      </c>
      <c r="B2860" s="154" t="s">
        <v>6566</v>
      </c>
      <c r="C2860" s="36" t="s">
        <v>1666</v>
      </c>
      <c r="D2860" s="36" t="s">
        <v>904</v>
      </c>
      <c r="E2860" s="36" t="s">
        <v>904</v>
      </c>
      <c r="F2860" s="154" t="s">
        <v>3324</v>
      </c>
      <c r="G2860" s="36" t="s">
        <v>32</v>
      </c>
      <c r="H2860" s="36" t="s">
        <v>1655</v>
      </c>
      <c r="I2860" s="36" t="s">
        <v>1656</v>
      </c>
      <c r="J2860" s="36" t="s">
        <v>1656</v>
      </c>
      <c r="K2860" s="36" t="s">
        <v>1917</v>
      </c>
      <c r="L2860" s="36" t="s">
        <v>5325</v>
      </c>
      <c r="M2860" s="36" t="s">
        <v>5325</v>
      </c>
      <c r="N2860" s="36" t="s">
        <v>32</v>
      </c>
    </row>
    <row r="2861">
      <c r="A2861" s="36" t="s">
        <v>6567</v>
      </c>
      <c r="B2861" s="154" t="s">
        <v>6568</v>
      </c>
      <c r="C2861" s="36" t="s">
        <v>1666</v>
      </c>
      <c r="D2861" s="36" t="s">
        <v>81</v>
      </c>
      <c r="E2861" s="36" t="s">
        <v>81</v>
      </c>
      <c r="F2861" s="154" t="s">
        <v>6569</v>
      </c>
      <c r="G2861" s="36" t="s">
        <v>28</v>
      </c>
      <c r="H2861" s="36" t="s">
        <v>1655</v>
      </c>
      <c r="I2861" s="36" t="s">
        <v>1656</v>
      </c>
      <c r="J2861" s="36" t="s">
        <v>1656</v>
      </c>
      <c r="K2861" s="36" t="s">
        <v>1811</v>
      </c>
      <c r="L2861" s="36" t="s">
        <v>5325</v>
      </c>
      <c r="M2861" s="36" t="s">
        <v>5325</v>
      </c>
      <c r="N2861" s="36" t="s">
        <v>32</v>
      </c>
    </row>
    <row r="2862">
      <c r="A2862" s="36" t="s">
        <v>6570</v>
      </c>
      <c r="B2862" s="154" t="s">
        <v>6568</v>
      </c>
      <c r="C2862" s="36" t="s">
        <v>1666</v>
      </c>
      <c r="D2862" s="36" t="s">
        <v>83</v>
      </c>
      <c r="E2862" s="36" t="s">
        <v>83</v>
      </c>
      <c r="F2862" s="154" t="s">
        <v>6571</v>
      </c>
      <c r="G2862" s="36" t="s">
        <v>28</v>
      </c>
      <c r="H2862" s="36" t="s">
        <v>1655</v>
      </c>
      <c r="I2862" s="36" t="s">
        <v>1656</v>
      </c>
      <c r="J2862" s="36" t="s">
        <v>1656</v>
      </c>
      <c r="K2862" s="36" t="s">
        <v>1891</v>
      </c>
      <c r="L2862" s="36" t="s">
        <v>5325</v>
      </c>
      <c r="M2862" s="36" t="s">
        <v>5325</v>
      </c>
      <c r="N2862" s="36" t="s">
        <v>32</v>
      </c>
    </row>
    <row r="2863">
      <c r="A2863" s="36" t="s">
        <v>6572</v>
      </c>
      <c r="B2863" s="154" t="s">
        <v>6568</v>
      </c>
      <c r="C2863" s="36" t="s">
        <v>1666</v>
      </c>
      <c r="D2863" s="36" t="s">
        <v>84</v>
      </c>
      <c r="E2863" s="36" t="s">
        <v>84</v>
      </c>
      <c r="F2863" s="154" t="s">
        <v>6573</v>
      </c>
      <c r="G2863" s="36" t="s">
        <v>32</v>
      </c>
      <c r="H2863" s="36" t="s">
        <v>1655</v>
      </c>
      <c r="I2863" s="36" t="s">
        <v>1656</v>
      </c>
      <c r="J2863" s="36" t="s">
        <v>1656</v>
      </c>
      <c r="K2863" s="36" t="s">
        <v>1921</v>
      </c>
      <c r="L2863" s="36" t="s">
        <v>5325</v>
      </c>
      <c r="M2863" s="36" t="s">
        <v>5325</v>
      </c>
      <c r="N2863" s="36" t="s">
        <v>32</v>
      </c>
    </row>
    <row r="2864">
      <c r="A2864" s="36" t="s">
        <v>6574</v>
      </c>
      <c r="B2864" s="154" t="s">
        <v>6568</v>
      </c>
      <c r="C2864" s="36" t="s">
        <v>1666</v>
      </c>
      <c r="D2864" s="36" t="s">
        <v>903</v>
      </c>
      <c r="E2864" s="36" t="s">
        <v>903</v>
      </c>
      <c r="F2864" s="154" t="s">
        <v>3838</v>
      </c>
      <c r="G2864" s="36" t="s">
        <v>28</v>
      </c>
      <c r="H2864" s="36" t="s">
        <v>1655</v>
      </c>
      <c r="I2864" s="36" t="s">
        <v>1656</v>
      </c>
      <c r="J2864" s="36" t="s">
        <v>1656</v>
      </c>
      <c r="K2864" s="36" t="s">
        <v>1903</v>
      </c>
      <c r="L2864" s="36" t="s">
        <v>5325</v>
      </c>
      <c r="M2864" s="36" t="s">
        <v>5325</v>
      </c>
      <c r="N2864" s="36" t="s">
        <v>34</v>
      </c>
    </row>
    <row r="2865">
      <c r="A2865" s="36" t="s">
        <v>6575</v>
      </c>
      <c r="B2865" s="154" t="s">
        <v>6568</v>
      </c>
      <c r="C2865" s="36" t="s">
        <v>1666</v>
      </c>
      <c r="D2865" s="36" t="s">
        <v>781</v>
      </c>
      <c r="E2865" s="36" t="s">
        <v>781</v>
      </c>
      <c r="F2865" s="154" t="s">
        <v>1859</v>
      </c>
      <c r="G2865" s="36" t="s">
        <v>28</v>
      </c>
      <c r="H2865" s="36" t="s">
        <v>1655</v>
      </c>
      <c r="I2865" s="36" t="s">
        <v>1656</v>
      </c>
      <c r="J2865" s="36" t="s">
        <v>1656</v>
      </c>
      <c r="K2865" s="36" t="s">
        <v>1906</v>
      </c>
      <c r="L2865" s="36" t="s">
        <v>5325</v>
      </c>
      <c r="M2865" s="36" t="s">
        <v>5325</v>
      </c>
      <c r="N2865" s="36" t="s">
        <v>34</v>
      </c>
    </row>
    <row r="2866">
      <c r="A2866" s="36" t="s">
        <v>6576</v>
      </c>
      <c r="B2866" s="154" t="s">
        <v>6568</v>
      </c>
      <c r="C2866" s="36" t="s">
        <v>1666</v>
      </c>
      <c r="D2866" s="36" t="s">
        <v>893</v>
      </c>
      <c r="E2866" s="36" t="s">
        <v>893</v>
      </c>
      <c r="F2866" s="154" t="s">
        <v>2049</v>
      </c>
      <c r="G2866" s="36" t="s">
        <v>28</v>
      </c>
      <c r="H2866" s="36" t="s">
        <v>1655</v>
      </c>
      <c r="I2866" s="36" t="s">
        <v>1656</v>
      </c>
      <c r="J2866" s="36" t="s">
        <v>1656</v>
      </c>
      <c r="K2866" s="36" t="s">
        <v>1909</v>
      </c>
      <c r="L2866" s="36" t="s">
        <v>5325</v>
      </c>
      <c r="M2866" s="36" t="s">
        <v>5325</v>
      </c>
      <c r="N2866" s="36" t="s">
        <v>34</v>
      </c>
    </row>
    <row r="2867">
      <c r="A2867" s="36" t="s">
        <v>6577</v>
      </c>
      <c r="B2867" s="154" t="s">
        <v>6578</v>
      </c>
      <c r="C2867" s="36" t="s">
        <v>1666</v>
      </c>
      <c r="D2867" s="36" t="s">
        <v>201</v>
      </c>
      <c r="E2867" s="36" t="s">
        <v>201</v>
      </c>
      <c r="F2867" s="154" t="s">
        <v>1690</v>
      </c>
      <c r="G2867" s="36" t="s">
        <v>28</v>
      </c>
      <c r="H2867" s="36" t="s">
        <v>1655</v>
      </c>
      <c r="I2867" s="36" t="s">
        <v>1656</v>
      </c>
      <c r="J2867" s="36" t="s">
        <v>1656</v>
      </c>
      <c r="K2867" s="36" t="s">
        <v>1912</v>
      </c>
      <c r="L2867" s="36" t="s">
        <v>5325</v>
      </c>
      <c r="M2867" s="36" t="s">
        <v>5325</v>
      </c>
      <c r="N2867" s="36" t="s">
        <v>34</v>
      </c>
    </row>
    <row r="2868">
      <c r="A2868" s="36" t="s">
        <v>6579</v>
      </c>
      <c r="B2868" s="154" t="s">
        <v>6578</v>
      </c>
      <c r="C2868" s="36" t="s">
        <v>1666</v>
      </c>
      <c r="D2868" s="36" t="s">
        <v>450</v>
      </c>
      <c r="E2868" s="36" t="s">
        <v>450</v>
      </c>
      <c r="F2868" s="154" t="s">
        <v>4478</v>
      </c>
      <c r="G2868" s="36" t="s">
        <v>28</v>
      </c>
      <c r="H2868" s="36" t="s">
        <v>1655</v>
      </c>
      <c r="I2868" s="36" t="s">
        <v>1656</v>
      </c>
      <c r="J2868" s="36" t="s">
        <v>1656</v>
      </c>
      <c r="K2868" s="36" t="s">
        <v>1914</v>
      </c>
      <c r="L2868" s="36" t="s">
        <v>5325</v>
      </c>
      <c r="M2868" s="36" t="s">
        <v>5325</v>
      </c>
      <c r="N2868" s="36" t="s">
        <v>34</v>
      </c>
    </row>
    <row r="2869">
      <c r="A2869" s="36" t="s">
        <v>6580</v>
      </c>
      <c r="B2869" s="154" t="s">
        <v>6581</v>
      </c>
      <c r="C2869" s="36" t="s">
        <v>1653</v>
      </c>
      <c r="D2869" s="36" t="s">
        <v>60</v>
      </c>
      <c r="E2869" s="36" t="s">
        <v>39</v>
      </c>
      <c r="F2869" s="154" t="s">
        <v>6582</v>
      </c>
      <c r="G2869" s="36" t="s">
        <v>32</v>
      </c>
      <c r="H2869" s="36" t="s">
        <v>1655</v>
      </c>
      <c r="I2869" s="36" t="s">
        <v>1656</v>
      </c>
      <c r="J2869" s="36" t="s">
        <v>1656</v>
      </c>
      <c r="K2869" s="36" t="s">
        <v>5599</v>
      </c>
      <c r="L2869" s="36" t="s">
        <v>6583</v>
      </c>
      <c r="M2869" s="36" t="s">
        <v>6583</v>
      </c>
      <c r="N2869" s="36" t="s">
        <v>32</v>
      </c>
    </row>
    <row r="2870">
      <c r="A2870" s="36" t="s">
        <v>6584</v>
      </c>
      <c r="B2870" s="154" t="s">
        <v>6581</v>
      </c>
      <c r="C2870" s="36" t="s">
        <v>1666</v>
      </c>
      <c r="D2870" s="36" t="s">
        <v>433</v>
      </c>
      <c r="E2870" s="36" t="s">
        <v>433</v>
      </c>
      <c r="F2870" s="154" t="s">
        <v>1810</v>
      </c>
      <c r="G2870" s="36" t="s">
        <v>28</v>
      </c>
      <c r="H2870" s="36" t="s">
        <v>1655</v>
      </c>
      <c r="I2870" s="36" t="s">
        <v>1656</v>
      </c>
      <c r="J2870" s="36" t="s">
        <v>1656</v>
      </c>
      <c r="K2870" s="36" t="s">
        <v>3166</v>
      </c>
      <c r="L2870" s="36" t="s">
        <v>6585</v>
      </c>
      <c r="M2870" s="36" t="s">
        <v>6585</v>
      </c>
      <c r="N2870" s="36" t="s">
        <v>34</v>
      </c>
    </row>
    <row r="2871">
      <c r="A2871" s="36" t="s">
        <v>6586</v>
      </c>
      <c r="B2871" s="154" t="s">
        <v>6581</v>
      </c>
      <c r="C2871" s="36" t="s">
        <v>1666</v>
      </c>
      <c r="D2871" s="36" t="s">
        <v>435</v>
      </c>
      <c r="E2871" s="36" t="s">
        <v>435</v>
      </c>
      <c r="F2871" s="154" t="s">
        <v>2006</v>
      </c>
      <c r="G2871" s="36" t="s">
        <v>28</v>
      </c>
      <c r="H2871" s="36" t="s">
        <v>1655</v>
      </c>
      <c r="I2871" s="36" t="s">
        <v>1656</v>
      </c>
      <c r="J2871" s="36" t="s">
        <v>1656</v>
      </c>
      <c r="K2871" s="36" t="s">
        <v>1924</v>
      </c>
      <c r="L2871" s="36" t="s">
        <v>6585</v>
      </c>
      <c r="M2871" s="36" t="s">
        <v>6585</v>
      </c>
      <c r="N2871" s="36" t="s">
        <v>34</v>
      </c>
    </row>
    <row r="2872">
      <c r="A2872" s="36" t="s">
        <v>6587</v>
      </c>
      <c r="B2872" s="154" t="s">
        <v>6588</v>
      </c>
      <c r="C2872" s="36" t="s">
        <v>1666</v>
      </c>
      <c r="D2872" s="36" t="s">
        <v>444</v>
      </c>
      <c r="E2872" s="36" t="s">
        <v>444</v>
      </c>
      <c r="F2872" s="154" t="s">
        <v>1768</v>
      </c>
      <c r="G2872" s="36" t="s">
        <v>32</v>
      </c>
      <c r="H2872" s="36" t="s">
        <v>1655</v>
      </c>
      <c r="I2872" s="36" t="s">
        <v>1656</v>
      </c>
      <c r="J2872" s="36" t="s">
        <v>1656</v>
      </c>
      <c r="K2872" s="36" t="s">
        <v>1668</v>
      </c>
      <c r="L2872" s="36" t="s">
        <v>6585</v>
      </c>
      <c r="M2872" s="36" t="s">
        <v>6585</v>
      </c>
      <c r="N2872" s="36" t="s">
        <v>32</v>
      </c>
    </row>
    <row r="2873">
      <c r="A2873" s="36" t="s">
        <v>6589</v>
      </c>
      <c r="B2873" s="154" t="s">
        <v>6588</v>
      </c>
      <c r="C2873" s="36" t="s">
        <v>1666</v>
      </c>
      <c r="D2873" s="36" t="s">
        <v>89</v>
      </c>
      <c r="E2873" s="36" t="s">
        <v>89</v>
      </c>
      <c r="F2873" s="154" t="s">
        <v>3017</v>
      </c>
      <c r="G2873" s="36" t="s">
        <v>32</v>
      </c>
      <c r="H2873" s="36" t="s">
        <v>1655</v>
      </c>
      <c r="I2873" s="36" t="s">
        <v>1656</v>
      </c>
      <c r="J2873" s="36" t="s">
        <v>1656</v>
      </c>
      <c r="K2873" s="36" t="s">
        <v>1672</v>
      </c>
      <c r="L2873" s="36" t="s">
        <v>6585</v>
      </c>
      <c r="M2873" s="36" t="s">
        <v>6585</v>
      </c>
      <c r="N2873" s="36" t="s">
        <v>32</v>
      </c>
    </row>
    <row r="2874">
      <c r="A2874" s="36" t="s">
        <v>6590</v>
      </c>
      <c r="B2874" s="154" t="s">
        <v>6588</v>
      </c>
      <c r="C2874" s="36" t="s">
        <v>1666</v>
      </c>
      <c r="D2874" s="36" t="s">
        <v>456</v>
      </c>
      <c r="E2874" s="36" t="s">
        <v>456</v>
      </c>
      <c r="F2874" s="154" t="s">
        <v>6591</v>
      </c>
      <c r="G2874" s="36" t="s">
        <v>28</v>
      </c>
      <c r="H2874" s="36" t="s">
        <v>1655</v>
      </c>
      <c r="I2874" s="36" t="s">
        <v>1656</v>
      </c>
      <c r="J2874" s="36" t="s">
        <v>1656</v>
      </c>
      <c r="K2874" s="36" t="s">
        <v>1675</v>
      </c>
      <c r="L2874" s="36" t="s">
        <v>6585</v>
      </c>
      <c r="M2874" s="36" t="s">
        <v>6585</v>
      </c>
      <c r="N2874" s="36" t="s">
        <v>32</v>
      </c>
    </row>
    <row r="2875">
      <c r="A2875" s="36" t="s">
        <v>6592</v>
      </c>
      <c r="B2875" s="154" t="s">
        <v>6593</v>
      </c>
      <c r="C2875" s="36" t="s">
        <v>1666</v>
      </c>
      <c r="D2875" s="36" t="s">
        <v>78</v>
      </c>
      <c r="E2875" s="36" t="s">
        <v>78</v>
      </c>
      <c r="F2875" s="154" t="s">
        <v>2027</v>
      </c>
      <c r="G2875" s="36" t="s">
        <v>28</v>
      </c>
      <c r="H2875" s="36" t="s">
        <v>1655</v>
      </c>
      <c r="I2875" s="36" t="s">
        <v>1656</v>
      </c>
      <c r="J2875" s="36" t="s">
        <v>1656</v>
      </c>
      <c r="K2875" s="36" t="s">
        <v>4248</v>
      </c>
      <c r="L2875" s="36" t="s">
        <v>6585</v>
      </c>
      <c r="M2875" s="36" t="s">
        <v>6585</v>
      </c>
      <c r="N2875" s="36" t="s">
        <v>32</v>
      </c>
    </row>
    <row r="2876">
      <c r="A2876" s="36" t="s">
        <v>6594</v>
      </c>
      <c r="B2876" s="154" t="s">
        <v>6593</v>
      </c>
      <c r="C2876" s="36" t="s">
        <v>1666</v>
      </c>
      <c r="D2876" s="36" t="s">
        <v>463</v>
      </c>
      <c r="E2876" s="36" t="s">
        <v>463</v>
      </c>
      <c r="F2876" s="154" t="s">
        <v>6473</v>
      </c>
      <c r="G2876" s="36" t="s">
        <v>28</v>
      </c>
      <c r="H2876" s="36" t="s">
        <v>1655</v>
      </c>
      <c r="I2876" s="36" t="s">
        <v>1656</v>
      </c>
      <c r="J2876" s="36" t="s">
        <v>1656</v>
      </c>
      <c r="K2876" s="36" t="s">
        <v>1678</v>
      </c>
      <c r="L2876" s="36" t="s">
        <v>6585</v>
      </c>
      <c r="M2876" s="36" t="s">
        <v>6585</v>
      </c>
      <c r="N2876" s="36" t="s">
        <v>34</v>
      </c>
    </row>
    <row r="2877">
      <c r="A2877" s="36" t="s">
        <v>6595</v>
      </c>
      <c r="B2877" s="154" t="s">
        <v>6593</v>
      </c>
      <c r="C2877" s="36" t="s">
        <v>1666</v>
      </c>
      <c r="D2877" s="36" t="s">
        <v>469</v>
      </c>
      <c r="E2877" s="36" t="s">
        <v>469</v>
      </c>
      <c r="F2877" s="154" t="s">
        <v>1723</v>
      </c>
      <c r="G2877" s="36" t="s">
        <v>28</v>
      </c>
      <c r="H2877" s="36" t="s">
        <v>1655</v>
      </c>
      <c r="I2877" s="36" t="s">
        <v>1656</v>
      </c>
      <c r="J2877" s="36" t="s">
        <v>1656</v>
      </c>
      <c r="K2877" s="36" t="s">
        <v>1681</v>
      </c>
      <c r="L2877" s="36" t="s">
        <v>6585</v>
      </c>
      <c r="M2877" s="36" t="s">
        <v>6585</v>
      </c>
      <c r="N2877" s="36" t="s">
        <v>34</v>
      </c>
    </row>
    <row r="2878">
      <c r="A2878" s="36" t="s">
        <v>6596</v>
      </c>
      <c r="B2878" s="154" t="s">
        <v>6597</v>
      </c>
      <c r="C2878" s="36" t="s">
        <v>1666</v>
      </c>
      <c r="D2878" s="36" t="s">
        <v>63</v>
      </c>
      <c r="E2878" s="36" t="s">
        <v>63</v>
      </c>
      <c r="F2878" s="154" t="s">
        <v>6598</v>
      </c>
      <c r="G2878" s="36" t="s">
        <v>28</v>
      </c>
      <c r="H2878" s="36" t="s">
        <v>1655</v>
      </c>
      <c r="I2878" s="36" t="s">
        <v>1656</v>
      </c>
      <c r="J2878" s="36" t="s">
        <v>1656</v>
      </c>
      <c r="K2878" s="36" t="s">
        <v>4196</v>
      </c>
      <c r="L2878" s="36" t="s">
        <v>6585</v>
      </c>
      <c r="M2878" s="36" t="s">
        <v>6585</v>
      </c>
      <c r="N2878" s="36" t="s">
        <v>34</v>
      </c>
    </row>
    <row r="2879">
      <c r="A2879" s="36" t="s">
        <v>6599</v>
      </c>
      <c r="B2879" s="154" t="s">
        <v>6597</v>
      </c>
      <c r="C2879" s="36" t="s">
        <v>1666</v>
      </c>
      <c r="D2879" s="36" t="s">
        <v>92</v>
      </c>
      <c r="E2879" s="36" t="s">
        <v>92</v>
      </c>
      <c r="F2879" s="154" t="s">
        <v>1816</v>
      </c>
      <c r="G2879" s="36" t="s">
        <v>32</v>
      </c>
      <c r="H2879" s="36" t="s">
        <v>1655</v>
      </c>
      <c r="I2879" s="36" t="s">
        <v>1656</v>
      </c>
      <c r="J2879" s="36" t="s">
        <v>1656</v>
      </c>
      <c r="K2879" s="36" t="s">
        <v>1684</v>
      </c>
      <c r="L2879" s="36" t="s">
        <v>6585</v>
      </c>
      <c r="M2879" s="36" t="s">
        <v>6585</v>
      </c>
      <c r="N2879" s="36" t="s">
        <v>32</v>
      </c>
    </row>
    <row r="2880">
      <c r="A2880" s="36" t="s">
        <v>6600</v>
      </c>
      <c r="B2880" s="154" t="s">
        <v>6597</v>
      </c>
      <c r="C2880" s="36" t="s">
        <v>1666</v>
      </c>
      <c r="D2880" s="36" t="s">
        <v>92</v>
      </c>
      <c r="E2880" s="36" t="s">
        <v>92</v>
      </c>
      <c r="F2880" s="154" t="s">
        <v>1806</v>
      </c>
      <c r="G2880" s="36" t="s">
        <v>32</v>
      </c>
      <c r="H2880" s="36" t="s">
        <v>1655</v>
      </c>
      <c r="I2880" s="36" t="s">
        <v>1656</v>
      </c>
      <c r="J2880" s="36" t="s">
        <v>1656</v>
      </c>
      <c r="K2880" s="36" t="s">
        <v>1691</v>
      </c>
      <c r="L2880" s="36" t="s">
        <v>6585</v>
      </c>
      <c r="M2880" s="36" t="s">
        <v>6585</v>
      </c>
      <c r="N2880" s="36" t="s">
        <v>32</v>
      </c>
    </row>
    <row r="2881">
      <c r="A2881" s="36" t="s">
        <v>6601</v>
      </c>
      <c r="B2881" s="154" t="s">
        <v>6597</v>
      </c>
      <c r="C2881" s="36" t="s">
        <v>1666</v>
      </c>
      <c r="D2881" s="36" t="s">
        <v>478</v>
      </c>
      <c r="E2881" s="36" t="s">
        <v>478</v>
      </c>
      <c r="F2881" s="154" t="s">
        <v>2006</v>
      </c>
      <c r="G2881" s="36" t="s">
        <v>32</v>
      </c>
      <c r="H2881" s="36" t="s">
        <v>1655</v>
      </c>
      <c r="I2881" s="36" t="s">
        <v>1656</v>
      </c>
      <c r="J2881" s="36" t="s">
        <v>1656</v>
      </c>
      <c r="K2881" s="36" t="s">
        <v>1695</v>
      </c>
      <c r="L2881" s="36" t="s">
        <v>6585</v>
      </c>
      <c r="M2881" s="36" t="s">
        <v>6585</v>
      </c>
      <c r="N2881" s="36" t="s">
        <v>32</v>
      </c>
    </row>
    <row r="2882">
      <c r="A2882" s="36" t="s">
        <v>6602</v>
      </c>
      <c r="B2882" s="154" t="s">
        <v>6597</v>
      </c>
      <c r="C2882" s="36" t="s">
        <v>1666</v>
      </c>
      <c r="D2882" s="36" t="s">
        <v>486</v>
      </c>
      <c r="E2882" s="36" t="s">
        <v>486</v>
      </c>
      <c r="F2882" s="154" t="s">
        <v>2724</v>
      </c>
      <c r="G2882" s="36" t="s">
        <v>28</v>
      </c>
      <c r="H2882" s="36" t="s">
        <v>1655</v>
      </c>
      <c r="I2882" s="36" t="s">
        <v>1656</v>
      </c>
      <c r="J2882" s="36" t="s">
        <v>1656</v>
      </c>
      <c r="K2882" s="36" t="s">
        <v>1698</v>
      </c>
      <c r="L2882" s="36" t="s">
        <v>6585</v>
      </c>
      <c r="M2882" s="36" t="s">
        <v>6585</v>
      </c>
      <c r="N2882" s="36" t="s">
        <v>34</v>
      </c>
    </row>
    <row r="2883">
      <c r="A2883" s="36" t="s">
        <v>6603</v>
      </c>
      <c r="B2883" s="154" t="s">
        <v>6597</v>
      </c>
      <c r="C2883" s="36" t="s">
        <v>1666</v>
      </c>
      <c r="D2883" s="36" t="s">
        <v>494</v>
      </c>
      <c r="E2883" s="36" t="s">
        <v>494</v>
      </c>
      <c r="F2883" s="154" t="s">
        <v>1768</v>
      </c>
      <c r="G2883" s="36" t="s">
        <v>28</v>
      </c>
      <c r="H2883" s="36" t="s">
        <v>1655</v>
      </c>
      <c r="I2883" s="36" t="s">
        <v>1656</v>
      </c>
      <c r="J2883" s="36" t="s">
        <v>1656</v>
      </c>
      <c r="K2883" s="36" t="s">
        <v>1701</v>
      </c>
      <c r="L2883" s="36" t="s">
        <v>6585</v>
      </c>
      <c r="M2883" s="36" t="s">
        <v>6585</v>
      </c>
      <c r="N2883" s="36" t="s">
        <v>34</v>
      </c>
    </row>
    <row r="2884">
      <c r="A2884" s="36" t="s">
        <v>6604</v>
      </c>
      <c r="B2884" s="154" t="s">
        <v>6605</v>
      </c>
      <c r="C2884" s="36" t="s">
        <v>1666</v>
      </c>
      <c r="D2884" s="36" t="s">
        <v>64</v>
      </c>
      <c r="E2884" s="36" t="s">
        <v>64</v>
      </c>
      <c r="F2884" s="154" t="s">
        <v>3867</v>
      </c>
      <c r="G2884" s="36" t="s">
        <v>28</v>
      </c>
      <c r="H2884" s="36" t="s">
        <v>1655</v>
      </c>
      <c r="I2884" s="36" t="s">
        <v>1656</v>
      </c>
      <c r="J2884" s="36" t="s">
        <v>1656</v>
      </c>
      <c r="K2884" s="36" t="s">
        <v>1708</v>
      </c>
      <c r="L2884" s="36" t="s">
        <v>6585</v>
      </c>
      <c r="M2884" s="36" t="s">
        <v>6585</v>
      </c>
      <c r="N2884" s="36" t="s">
        <v>32</v>
      </c>
    </row>
    <row r="2885">
      <c r="A2885" s="36" t="s">
        <v>6606</v>
      </c>
      <c r="B2885" s="154" t="s">
        <v>6605</v>
      </c>
      <c r="C2885" s="36" t="s">
        <v>1666</v>
      </c>
      <c r="D2885" s="36" t="s">
        <v>109</v>
      </c>
      <c r="E2885" s="36" t="s">
        <v>109</v>
      </c>
      <c r="F2885" s="154" t="s">
        <v>1961</v>
      </c>
      <c r="G2885" s="36" t="s">
        <v>28</v>
      </c>
      <c r="H2885" s="36" t="s">
        <v>1655</v>
      </c>
      <c r="I2885" s="36" t="s">
        <v>1656</v>
      </c>
      <c r="J2885" s="36" t="s">
        <v>1656</v>
      </c>
      <c r="K2885" s="36" t="s">
        <v>1704</v>
      </c>
      <c r="L2885" s="36" t="s">
        <v>6585</v>
      </c>
      <c r="M2885" s="36" t="s">
        <v>6585</v>
      </c>
      <c r="N2885" s="36" t="s">
        <v>32</v>
      </c>
    </row>
    <row r="2886">
      <c r="A2886" s="36" t="s">
        <v>6607</v>
      </c>
      <c r="B2886" s="154" t="s">
        <v>6605</v>
      </c>
      <c r="C2886" s="36" t="s">
        <v>1666</v>
      </c>
      <c r="D2886" s="36" t="s">
        <v>503</v>
      </c>
      <c r="E2886" s="36" t="s">
        <v>503</v>
      </c>
      <c r="F2886" s="154" t="s">
        <v>1868</v>
      </c>
      <c r="G2886" s="36" t="s">
        <v>28</v>
      </c>
      <c r="H2886" s="36" t="s">
        <v>1655</v>
      </c>
      <c r="I2886" s="36" t="s">
        <v>1656</v>
      </c>
      <c r="J2886" s="36" t="s">
        <v>1656</v>
      </c>
      <c r="K2886" s="36" t="s">
        <v>1711</v>
      </c>
      <c r="L2886" s="36" t="s">
        <v>6585</v>
      </c>
      <c r="M2886" s="36" t="s">
        <v>6585</v>
      </c>
      <c r="N2886" s="36" t="s">
        <v>34</v>
      </c>
    </row>
    <row r="2887">
      <c r="A2887" s="36" t="s">
        <v>6608</v>
      </c>
      <c r="B2887" s="154" t="s">
        <v>6605</v>
      </c>
      <c r="C2887" s="36" t="s">
        <v>1666</v>
      </c>
      <c r="D2887" s="36" t="s">
        <v>506</v>
      </c>
      <c r="E2887" s="36" t="s">
        <v>506</v>
      </c>
      <c r="F2887" s="154" t="s">
        <v>1810</v>
      </c>
      <c r="G2887" s="36" t="s">
        <v>28</v>
      </c>
      <c r="H2887" s="36" t="s">
        <v>1655</v>
      </c>
      <c r="I2887" s="36" t="s">
        <v>1656</v>
      </c>
      <c r="J2887" s="36" t="s">
        <v>1656</v>
      </c>
      <c r="K2887" s="36" t="s">
        <v>1715</v>
      </c>
      <c r="L2887" s="36" t="s">
        <v>6585</v>
      </c>
      <c r="M2887" s="36" t="s">
        <v>6585</v>
      </c>
      <c r="N2887" s="36" t="s">
        <v>34</v>
      </c>
    </row>
    <row r="2888">
      <c r="A2888" s="36" t="s">
        <v>6609</v>
      </c>
      <c r="B2888" s="154" t="s">
        <v>6610</v>
      </c>
      <c r="C2888" s="36" t="s">
        <v>1666</v>
      </c>
      <c r="D2888" s="36" t="s">
        <v>512</v>
      </c>
      <c r="E2888" s="36" t="s">
        <v>512</v>
      </c>
      <c r="F2888" s="154" t="s">
        <v>5874</v>
      </c>
      <c r="G2888" s="36" t="s">
        <v>28</v>
      </c>
      <c r="H2888" s="36" t="s">
        <v>1655</v>
      </c>
      <c r="I2888" s="36" t="s">
        <v>1656</v>
      </c>
      <c r="J2888" s="36" t="s">
        <v>1656</v>
      </c>
      <c r="K2888" s="36" t="s">
        <v>1717</v>
      </c>
      <c r="L2888" s="36" t="s">
        <v>6585</v>
      </c>
      <c r="M2888" s="36" t="s">
        <v>6585</v>
      </c>
      <c r="N2888" s="36" t="s">
        <v>34</v>
      </c>
    </row>
    <row r="2889">
      <c r="A2889" s="36" t="s">
        <v>6611</v>
      </c>
      <c r="B2889" s="154" t="s">
        <v>6610</v>
      </c>
      <c r="C2889" s="36" t="s">
        <v>1666</v>
      </c>
      <c r="D2889" s="36" t="s">
        <v>517</v>
      </c>
      <c r="E2889" s="36" t="s">
        <v>517</v>
      </c>
      <c r="F2889" s="154" t="s">
        <v>3324</v>
      </c>
      <c r="G2889" s="36" t="s">
        <v>28</v>
      </c>
      <c r="H2889" s="36" t="s">
        <v>1655</v>
      </c>
      <c r="I2889" s="36" t="s">
        <v>1656</v>
      </c>
      <c r="J2889" s="36" t="s">
        <v>1656</v>
      </c>
      <c r="K2889" s="36" t="s">
        <v>1724</v>
      </c>
      <c r="L2889" s="36" t="s">
        <v>6585</v>
      </c>
      <c r="M2889" s="36" t="s">
        <v>6585</v>
      </c>
      <c r="N2889" s="36" t="s">
        <v>34</v>
      </c>
    </row>
    <row r="2890">
      <c r="A2890" s="36" t="s">
        <v>6612</v>
      </c>
      <c r="B2890" s="154" t="s">
        <v>6613</v>
      </c>
      <c r="C2890" s="36" t="s">
        <v>1653</v>
      </c>
      <c r="D2890" s="36" t="s">
        <v>414</v>
      </c>
      <c r="E2890" s="36" t="s">
        <v>39</v>
      </c>
      <c r="F2890" s="154" t="s">
        <v>2163</v>
      </c>
      <c r="G2890" s="36" t="s">
        <v>32</v>
      </c>
      <c r="H2890" s="36" t="s">
        <v>1655</v>
      </c>
      <c r="I2890" s="36" t="s">
        <v>1656</v>
      </c>
      <c r="J2890" s="36" t="s">
        <v>1656</v>
      </c>
      <c r="K2890" s="36" t="s">
        <v>1749</v>
      </c>
      <c r="L2890" s="36" t="s">
        <v>6583</v>
      </c>
      <c r="M2890" s="36" t="s">
        <v>6583</v>
      </c>
      <c r="N2890" s="36" t="s">
        <v>32</v>
      </c>
    </row>
    <row r="2891">
      <c r="A2891" s="36" t="s">
        <v>6614</v>
      </c>
      <c r="B2891" s="154" t="s">
        <v>6613</v>
      </c>
      <c r="C2891" s="36" t="s">
        <v>1666</v>
      </c>
      <c r="D2891" s="36" t="s">
        <v>66</v>
      </c>
      <c r="E2891" s="36" t="s">
        <v>66</v>
      </c>
      <c r="F2891" s="154" t="s">
        <v>6615</v>
      </c>
      <c r="G2891" s="36" t="s">
        <v>28</v>
      </c>
      <c r="H2891" s="36" t="s">
        <v>1655</v>
      </c>
      <c r="I2891" s="36" t="s">
        <v>1656</v>
      </c>
      <c r="J2891" s="36" t="s">
        <v>1656</v>
      </c>
      <c r="K2891" s="36" t="s">
        <v>1721</v>
      </c>
      <c r="L2891" s="36" t="s">
        <v>6585</v>
      </c>
      <c r="M2891" s="36" t="s">
        <v>6585</v>
      </c>
      <c r="N2891" s="36" t="s">
        <v>32</v>
      </c>
    </row>
    <row r="2892">
      <c r="A2892" s="36" t="s">
        <v>6616</v>
      </c>
      <c r="B2892" s="154" t="s">
        <v>6613</v>
      </c>
      <c r="C2892" s="36" t="s">
        <v>1666</v>
      </c>
      <c r="D2892" s="36" t="s">
        <v>88</v>
      </c>
      <c r="E2892" s="36" t="s">
        <v>88</v>
      </c>
      <c r="F2892" s="154" t="s">
        <v>1810</v>
      </c>
      <c r="G2892" s="36" t="s">
        <v>32</v>
      </c>
      <c r="H2892" s="36" t="s">
        <v>1655</v>
      </c>
      <c r="I2892" s="36" t="s">
        <v>1656</v>
      </c>
      <c r="J2892" s="36" t="s">
        <v>1656</v>
      </c>
      <c r="K2892" s="36" t="s">
        <v>1727</v>
      </c>
      <c r="L2892" s="36" t="s">
        <v>6585</v>
      </c>
      <c r="M2892" s="36" t="s">
        <v>6585</v>
      </c>
      <c r="N2892" s="36" t="s">
        <v>32</v>
      </c>
    </row>
    <row r="2893">
      <c r="A2893" s="36" t="s">
        <v>6617</v>
      </c>
      <c r="B2893" s="154" t="s">
        <v>6618</v>
      </c>
      <c r="C2893" s="36" t="s">
        <v>1666</v>
      </c>
      <c r="D2893" s="36" t="s">
        <v>89</v>
      </c>
      <c r="E2893" s="36" t="s">
        <v>89</v>
      </c>
      <c r="F2893" s="154" t="s">
        <v>1806</v>
      </c>
      <c r="G2893" s="36" t="s">
        <v>32</v>
      </c>
      <c r="H2893" s="36" t="s">
        <v>1655</v>
      </c>
      <c r="I2893" s="36" t="s">
        <v>1656</v>
      </c>
      <c r="J2893" s="36" t="s">
        <v>1656</v>
      </c>
      <c r="K2893" s="36" t="s">
        <v>1730</v>
      </c>
      <c r="L2893" s="36" t="s">
        <v>6585</v>
      </c>
      <c r="M2893" s="36" t="s">
        <v>6585</v>
      </c>
      <c r="N2893" s="36" t="s">
        <v>32</v>
      </c>
    </row>
    <row r="2894">
      <c r="A2894" s="36" t="s">
        <v>6619</v>
      </c>
      <c r="B2894" s="154" t="s">
        <v>6620</v>
      </c>
      <c r="C2894" s="36" t="s">
        <v>1653</v>
      </c>
      <c r="D2894" s="36" t="s">
        <v>55</v>
      </c>
      <c r="E2894" s="36" t="s">
        <v>39</v>
      </c>
      <c r="F2894" s="154" t="s">
        <v>6621</v>
      </c>
      <c r="G2894" s="36" t="s">
        <v>32</v>
      </c>
      <c r="H2894" s="36" t="s">
        <v>1655</v>
      </c>
      <c r="I2894" s="36" t="s">
        <v>1656</v>
      </c>
      <c r="J2894" s="36" t="s">
        <v>1656</v>
      </c>
      <c r="K2894" s="36" t="s">
        <v>1989</v>
      </c>
      <c r="L2894" s="36" t="s">
        <v>6583</v>
      </c>
      <c r="M2894" s="36" t="s">
        <v>6583</v>
      </c>
      <c r="N2894" s="36" t="s">
        <v>32</v>
      </c>
    </row>
    <row r="2895">
      <c r="A2895" s="36" t="s">
        <v>6622</v>
      </c>
      <c r="B2895" s="154" t="s">
        <v>6620</v>
      </c>
      <c r="C2895" s="36" t="s">
        <v>1666</v>
      </c>
      <c r="D2895" s="36" t="s">
        <v>76</v>
      </c>
      <c r="E2895" s="36" t="s">
        <v>76</v>
      </c>
      <c r="F2895" s="154" t="s">
        <v>5344</v>
      </c>
      <c r="G2895" s="36" t="s">
        <v>28</v>
      </c>
      <c r="H2895" s="36" t="s">
        <v>1655</v>
      </c>
      <c r="I2895" s="36" t="s">
        <v>1656</v>
      </c>
      <c r="J2895" s="36" t="s">
        <v>1656</v>
      </c>
      <c r="K2895" s="36" t="s">
        <v>1763</v>
      </c>
      <c r="L2895" s="36" t="s">
        <v>6585</v>
      </c>
      <c r="M2895" s="36" t="s">
        <v>6585</v>
      </c>
      <c r="N2895" s="36" t="s">
        <v>32</v>
      </c>
    </row>
    <row r="2896">
      <c r="A2896" s="36" t="s">
        <v>6623</v>
      </c>
      <c r="B2896" s="154" t="s">
        <v>6620</v>
      </c>
      <c r="C2896" s="36" t="s">
        <v>1666</v>
      </c>
      <c r="D2896" s="36" t="s">
        <v>77</v>
      </c>
      <c r="E2896" s="36" t="s">
        <v>77</v>
      </c>
      <c r="F2896" s="154" t="s">
        <v>1768</v>
      </c>
      <c r="G2896" s="36" t="s">
        <v>34</v>
      </c>
      <c r="H2896" s="36" t="s">
        <v>1655</v>
      </c>
      <c r="I2896" s="36" t="s">
        <v>1656</v>
      </c>
      <c r="J2896" s="36" t="s">
        <v>1656</v>
      </c>
      <c r="K2896" s="36" t="s">
        <v>1766</v>
      </c>
      <c r="L2896" s="36" t="s">
        <v>6585</v>
      </c>
      <c r="M2896" s="36" t="s">
        <v>6585</v>
      </c>
      <c r="N2896" s="36" t="s">
        <v>32</v>
      </c>
    </row>
    <row r="2897">
      <c r="A2897" s="36" t="s">
        <v>6624</v>
      </c>
      <c r="B2897" s="154" t="s">
        <v>6620</v>
      </c>
      <c r="C2897" s="36" t="s">
        <v>1666</v>
      </c>
      <c r="D2897" s="36" t="s">
        <v>531</v>
      </c>
      <c r="E2897" s="36" t="s">
        <v>531</v>
      </c>
      <c r="F2897" s="154" t="s">
        <v>2391</v>
      </c>
      <c r="G2897" s="36" t="s">
        <v>32</v>
      </c>
      <c r="H2897" s="36" t="s">
        <v>1655</v>
      </c>
      <c r="I2897" s="36" t="s">
        <v>1656</v>
      </c>
      <c r="J2897" s="36" t="s">
        <v>1656</v>
      </c>
      <c r="K2897" s="36" t="s">
        <v>1732</v>
      </c>
      <c r="L2897" s="36" t="s">
        <v>6585</v>
      </c>
      <c r="M2897" s="36" t="s">
        <v>6585</v>
      </c>
      <c r="N2897" s="36" t="s">
        <v>32</v>
      </c>
    </row>
    <row r="2898">
      <c r="A2898" s="36" t="s">
        <v>6625</v>
      </c>
      <c r="B2898" s="154" t="s">
        <v>6620</v>
      </c>
      <c r="C2898" s="36" t="s">
        <v>1666</v>
      </c>
      <c r="D2898" s="36" t="s">
        <v>539</v>
      </c>
      <c r="E2898" s="36" t="s">
        <v>539</v>
      </c>
      <c r="F2898" s="154" t="s">
        <v>6070</v>
      </c>
      <c r="G2898" s="36" t="s">
        <v>32</v>
      </c>
      <c r="H2898" s="36" t="s">
        <v>1655</v>
      </c>
      <c r="I2898" s="36" t="s">
        <v>1656</v>
      </c>
      <c r="J2898" s="36" t="s">
        <v>1656</v>
      </c>
      <c r="K2898" s="36" t="s">
        <v>1736</v>
      </c>
      <c r="L2898" s="36" t="s">
        <v>6585</v>
      </c>
      <c r="M2898" s="36" t="s">
        <v>6585</v>
      </c>
      <c r="N2898" s="36" t="s">
        <v>32</v>
      </c>
    </row>
    <row r="2899">
      <c r="A2899" s="36" t="s">
        <v>6626</v>
      </c>
      <c r="B2899" s="154" t="s">
        <v>6620</v>
      </c>
      <c r="C2899" s="36" t="s">
        <v>1666</v>
      </c>
      <c r="D2899" s="36" t="s">
        <v>115</v>
      </c>
      <c r="E2899" s="36" t="s">
        <v>115</v>
      </c>
      <c r="F2899" s="154" t="s">
        <v>1683</v>
      </c>
      <c r="G2899" s="36" t="s">
        <v>32</v>
      </c>
      <c r="H2899" s="36" t="s">
        <v>1655</v>
      </c>
      <c r="I2899" s="36" t="s">
        <v>1656</v>
      </c>
      <c r="J2899" s="36" t="s">
        <v>1656</v>
      </c>
      <c r="K2899" s="36" t="s">
        <v>1739</v>
      </c>
      <c r="L2899" s="36" t="s">
        <v>6585</v>
      </c>
      <c r="M2899" s="36" t="s">
        <v>6585</v>
      </c>
      <c r="N2899" s="36" t="s">
        <v>32</v>
      </c>
    </row>
    <row r="2900">
      <c r="A2900" s="36" t="s">
        <v>6627</v>
      </c>
      <c r="B2900" s="154" t="s">
        <v>6620</v>
      </c>
      <c r="C2900" s="36" t="s">
        <v>1666</v>
      </c>
      <c r="D2900" s="36" t="s">
        <v>114</v>
      </c>
      <c r="E2900" s="36" t="s">
        <v>114</v>
      </c>
      <c r="F2900" s="154" t="s">
        <v>1799</v>
      </c>
      <c r="G2900" s="36" t="s">
        <v>32</v>
      </c>
      <c r="H2900" s="36" t="s">
        <v>1655</v>
      </c>
      <c r="I2900" s="36" t="s">
        <v>1656</v>
      </c>
      <c r="J2900" s="36" t="s">
        <v>1656</v>
      </c>
      <c r="K2900" s="36" t="s">
        <v>1742</v>
      </c>
      <c r="L2900" s="36" t="s">
        <v>6585</v>
      </c>
      <c r="M2900" s="36" t="s">
        <v>6585</v>
      </c>
      <c r="N2900" s="36" t="s">
        <v>32</v>
      </c>
    </row>
    <row r="2901">
      <c r="A2901" s="36" t="s">
        <v>6628</v>
      </c>
      <c r="B2901" s="154" t="s">
        <v>6620</v>
      </c>
      <c r="C2901" s="36" t="s">
        <v>1666</v>
      </c>
      <c r="D2901" s="36" t="s">
        <v>226</v>
      </c>
      <c r="E2901" s="36" t="s">
        <v>226</v>
      </c>
      <c r="F2901" s="154" t="s">
        <v>6629</v>
      </c>
      <c r="G2901" s="36" t="s">
        <v>32</v>
      </c>
      <c r="H2901" s="36" t="s">
        <v>1655</v>
      </c>
      <c r="I2901" s="36" t="s">
        <v>1656</v>
      </c>
      <c r="J2901" s="36" t="s">
        <v>1656</v>
      </c>
      <c r="K2901" s="36" t="s">
        <v>1745</v>
      </c>
      <c r="L2901" s="36" t="s">
        <v>6585</v>
      </c>
      <c r="M2901" s="36" t="s">
        <v>6585</v>
      </c>
      <c r="N2901" s="36" t="s">
        <v>32</v>
      </c>
    </row>
    <row r="2902">
      <c r="A2902" s="36" t="s">
        <v>6630</v>
      </c>
      <c r="B2902" s="154" t="s">
        <v>6620</v>
      </c>
      <c r="C2902" s="36" t="s">
        <v>1666</v>
      </c>
      <c r="D2902" s="36" t="s">
        <v>220</v>
      </c>
      <c r="E2902" s="36" t="s">
        <v>220</v>
      </c>
      <c r="F2902" s="154" t="s">
        <v>6631</v>
      </c>
      <c r="G2902" s="36" t="s">
        <v>28</v>
      </c>
      <c r="H2902" s="36" t="s">
        <v>1655</v>
      </c>
      <c r="I2902" s="36" t="s">
        <v>1656</v>
      </c>
      <c r="J2902" s="36" t="s">
        <v>1656</v>
      </c>
      <c r="K2902" s="36" t="s">
        <v>1773</v>
      </c>
      <c r="L2902" s="36" t="s">
        <v>6585</v>
      </c>
      <c r="M2902" s="36" t="s">
        <v>6585</v>
      </c>
      <c r="N2902" s="36" t="s">
        <v>32</v>
      </c>
    </row>
    <row r="2903">
      <c r="A2903" s="36" t="s">
        <v>6632</v>
      </c>
      <c r="B2903" s="154" t="s">
        <v>6633</v>
      </c>
      <c r="C2903" s="36" t="s">
        <v>1666</v>
      </c>
      <c r="D2903" s="36" t="s">
        <v>218</v>
      </c>
      <c r="E2903" s="36" t="s">
        <v>218</v>
      </c>
      <c r="F2903" s="154" t="s">
        <v>1686</v>
      </c>
      <c r="G2903" s="36" t="s">
        <v>32</v>
      </c>
      <c r="H2903" s="36" t="s">
        <v>1655</v>
      </c>
      <c r="I2903" s="36" t="s">
        <v>1656</v>
      </c>
      <c r="J2903" s="36" t="s">
        <v>1656</v>
      </c>
      <c r="K2903" s="36" t="s">
        <v>1776</v>
      </c>
      <c r="L2903" s="36" t="s">
        <v>6585</v>
      </c>
      <c r="M2903" s="36" t="s">
        <v>6585</v>
      </c>
      <c r="N2903" s="36" t="s">
        <v>32</v>
      </c>
    </row>
    <row r="2904">
      <c r="A2904" s="36" t="s">
        <v>6634</v>
      </c>
      <c r="B2904" s="154" t="s">
        <v>6633</v>
      </c>
      <c r="C2904" s="36" t="s">
        <v>1666</v>
      </c>
      <c r="D2904" s="36" t="s">
        <v>571</v>
      </c>
      <c r="E2904" s="36" t="s">
        <v>571</v>
      </c>
      <c r="F2904" s="154" t="s">
        <v>6635</v>
      </c>
      <c r="G2904" s="36" t="s">
        <v>32</v>
      </c>
      <c r="H2904" s="36" t="s">
        <v>1655</v>
      </c>
      <c r="I2904" s="36" t="s">
        <v>1656</v>
      </c>
      <c r="J2904" s="36" t="s">
        <v>1656</v>
      </c>
      <c r="K2904" s="36" t="s">
        <v>1779</v>
      </c>
      <c r="L2904" s="36" t="s">
        <v>6585</v>
      </c>
      <c r="M2904" s="36" t="s">
        <v>6585</v>
      </c>
      <c r="N2904" s="36" t="s">
        <v>32</v>
      </c>
    </row>
    <row r="2905">
      <c r="A2905" s="36" t="s">
        <v>6636</v>
      </c>
      <c r="B2905" s="154" t="s">
        <v>6633</v>
      </c>
      <c r="C2905" s="36" t="s">
        <v>1666</v>
      </c>
      <c r="D2905" s="36" t="s">
        <v>121</v>
      </c>
      <c r="E2905" s="36" t="s">
        <v>121</v>
      </c>
      <c r="F2905" s="154" t="s">
        <v>6637</v>
      </c>
      <c r="G2905" s="36" t="s">
        <v>28</v>
      </c>
      <c r="H2905" s="36" t="s">
        <v>1655</v>
      </c>
      <c r="I2905" s="36" t="s">
        <v>1656</v>
      </c>
      <c r="J2905" s="36" t="s">
        <v>1656</v>
      </c>
      <c r="K2905" s="36" t="s">
        <v>1782</v>
      </c>
      <c r="L2905" s="36" t="s">
        <v>6585</v>
      </c>
      <c r="M2905" s="36" t="s">
        <v>6585</v>
      </c>
      <c r="N2905" s="36" t="s">
        <v>32</v>
      </c>
    </row>
    <row r="2906">
      <c r="A2906" s="36" t="s">
        <v>6638</v>
      </c>
      <c r="B2906" s="154" t="s">
        <v>6633</v>
      </c>
      <c r="C2906" s="36" t="s">
        <v>1666</v>
      </c>
      <c r="D2906" s="36" t="s">
        <v>578</v>
      </c>
      <c r="E2906" s="36" t="s">
        <v>578</v>
      </c>
      <c r="F2906" s="154" t="s">
        <v>6639</v>
      </c>
      <c r="G2906" s="36" t="s">
        <v>34</v>
      </c>
      <c r="H2906" s="36" t="s">
        <v>1655</v>
      </c>
      <c r="I2906" s="36" t="s">
        <v>1656</v>
      </c>
      <c r="J2906" s="36" t="s">
        <v>1656</v>
      </c>
      <c r="K2906" s="36" t="s">
        <v>1784</v>
      </c>
      <c r="L2906" s="36" t="s">
        <v>6585</v>
      </c>
      <c r="M2906" s="36" t="s">
        <v>6585</v>
      </c>
      <c r="N2906" s="36" t="s">
        <v>32</v>
      </c>
    </row>
    <row r="2907">
      <c r="A2907" s="36" t="s">
        <v>6640</v>
      </c>
      <c r="B2907" s="154" t="s">
        <v>6633</v>
      </c>
      <c r="C2907" s="36" t="s">
        <v>1666</v>
      </c>
      <c r="D2907" s="36" t="s">
        <v>582</v>
      </c>
      <c r="E2907" s="36" t="s">
        <v>582</v>
      </c>
      <c r="F2907" s="154" t="s">
        <v>1816</v>
      </c>
      <c r="G2907" s="36" t="s">
        <v>28</v>
      </c>
      <c r="H2907" s="36" t="s">
        <v>1655</v>
      </c>
      <c r="I2907" s="36" t="s">
        <v>1656</v>
      </c>
      <c r="J2907" s="36" t="s">
        <v>1656</v>
      </c>
      <c r="K2907" s="36" t="s">
        <v>1787</v>
      </c>
      <c r="L2907" s="36" t="s">
        <v>6585</v>
      </c>
      <c r="M2907" s="36" t="s">
        <v>6585</v>
      </c>
      <c r="N2907" s="36" t="s">
        <v>34</v>
      </c>
    </row>
    <row r="2908">
      <c r="A2908" s="36" t="s">
        <v>6641</v>
      </c>
      <c r="B2908" s="154" t="s">
        <v>6633</v>
      </c>
      <c r="C2908" s="36" t="s">
        <v>1666</v>
      </c>
      <c r="D2908" s="36" t="s">
        <v>590</v>
      </c>
      <c r="E2908" s="36" t="s">
        <v>590</v>
      </c>
      <c r="F2908" s="154" t="s">
        <v>1959</v>
      </c>
      <c r="G2908" s="36" t="s">
        <v>28</v>
      </c>
      <c r="H2908" s="36" t="s">
        <v>1655</v>
      </c>
      <c r="I2908" s="36" t="s">
        <v>1656</v>
      </c>
      <c r="J2908" s="36" t="s">
        <v>1656</v>
      </c>
      <c r="K2908" s="36" t="s">
        <v>1790</v>
      </c>
      <c r="L2908" s="36" t="s">
        <v>6585</v>
      </c>
      <c r="M2908" s="36" t="s">
        <v>6585</v>
      </c>
      <c r="N2908" s="36" t="s">
        <v>34</v>
      </c>
    </row>
    <row r="2909">
      <c r="A2909" s="36" t="s">
        <v>6642</v>
      </c>
      <c r="B2909" s="154" t="s">
        <v>6633</v>
      </c>
      <c r="C2909" s="36" t="s">
        <v>1666</v>
      </c>
      <c r="D2909" s="36" t="s">
        <v>110</v>
      </c>
      <c r="E2909" s="36" t="s">
        <v>110</v>
      </c>
      <c r="F2909" s="154" t="s">
        <v>1816</v>
      </c>
      <c r="G2909" s="36" t="s">
        <v>28</v>
      </c>
      <c r="H2909" s="36" t="s">
        <v>1655</v>
      </c>
      <c r="I2909" s="36" t="s">
        <v>1656</v>
      </c>
      <c r="J2909" s="36" t="s">
        <v>1656</v>
      </c>
      <c r="K2909" s="36" t="s">
        <v>1793</v>
      </c>
      <c r="L2909" s="36" t="s">
        <v>6585</v>
      </c>
      <c r="M2909" s="36" t="s">
        <v>6585</v>
      </c>
      <c r="N2909" s="36" t="s">
        <v>34</v>
      </c>
    </row>
    <row r="2910">
      <c r="A2910" s="36" t="s">
        <v>6643</v>
      </c>
      <c r="B2910" s="154" t="s">
        <v>6633</v>
      </c>
      <c r="C2910" s="36" t="s">
        <v>1666</v>
      </c>
      <c r="D2910" s="36" t="s">
        <v>601</v>
      </c>
      <c r="E2910" s="36" t="s">
        <v>601</v>
      </c>
      <c r="F2910" s="154" t="s">
        <v>1810</v>
      </c>
      <c r="G2910" s="36" t="s">
        <v>28</v>
      </c>
      <c r="H2910" s="36" t="s">
        <v>1655</v>
      </c>
      <c r="I2910" s="36" t="s">
        <v>1656</v>
      </c>
      <c r="J2910" s="36" t="s">
        <v>1656</v>
      </c>
      <c r="K2910" s="36" t="s">
        <v>1796</v>
      </c>
      <c r="L2910" s="36" t="s">
        <v>6585</v>
      </c>
      <c r="M2910" s="36" t="s">
        <v>6585</v>
      </c>
      <c r="N2910" s="36" t="s">
        <v>34</v>
      </c>
    </row>
    <row r="2911">
      <c r="A2911" s="36" t="s">
        <v>6644</v>
      </c>
      <c r="B2911" s="154" t="s">
        <v>6633</v>
      </c>
      <c r="C2911" s="36" t="s">
        <v>1666</v>
      </c>
      <c r="D2911" s="36" t="s">
        <v>239</v>
      </c>
      <c r="E2911" s="36" t="s">
        <v>239</v>
      </c>
      <c r="F2911" s="154" t="s">
        <v>2728</v>
      </c>
      <c r="G2911" s="36" t="s">
        <v>28</v>
      </c>
      <c r="H2911" s="36" t="s">
        <v>1655</v>
      </c>
      <c r="I2911" s="36" t="s">
        <v>1656</v>
      </c>
      <c r="J2911" s="36" t="s">
        <v>1656</v>
      </c>
      <c r="K2911" s="36" t="s">
        <v>1800</v>
      </c>
      <c r="L2911" s="36" t="s">
        <v>6585</v>
      </c>
      <c r="M2911" s="36" t="s">
        <v>6585</v>
      </c>
      <c r="N2911" s="36" t="s">
        <v>34</v>
      </c>
    </row>
    <row r="2912">
      <c r="A2912" s="36" t="s">
        <v>6645</v>
      </c>
      <c r="B2912" s="154" t="s">
        <v>6633</v>
      </c>
      <c r="C2912" s="36" t="s">
        <v>1666</v>
      </c>
      <c r="D2912" s="36" t="s">
        <v>614</v>
      </c>
      <c r="E2912" s="36" t="s">
        <v>614</v>
      </c>
      <c r="F2912" s="154" t="s">
        <v>5407</v>
      </c>
      <c r="G2912" s="36" t="s">
        <v>28</v>
      </c>
      <c r="H2912" s="36" t="s">
        <v>1655</v>
      </c>
      <c r="I2912" s="36" t="s">
        <v>1656</v>
      </c>
      <c r="J2912" s="36" t="s">
        <v>1656</v>
      </c>
      <c r="K2912" s="36" t="s">
        <v>1803</v>
      </c>
      <c r="L2912" s="36" t="s">
        <v>6585</v>
      </c>
      <c r="M2912" s="36" t="s">
        <v>6585</v>
      </c>
      <c r="N2912" s="36" t="s">
        <v>34</v>
      </c>
    </row>
    <row r="2913">
      <c r="A2913" s="36" t="s">
        <v>6646</v>
      </c>
      <c r="B2913" s="154" t="s">
        <v>6647</v>
      </c>
      <c r="C2913" s="36" t="s">
        <v>1666</v>
      </c>
      <c r="D2913" s="36" t="s">
        <v>622</v>
      </c>
      <c r="E2913" s="36" t="s">
        <v>622</v>
      </c>
      <c r="F2913" s="154" t="s">
        <v>6648</v>
      </c>
      <c r="G2913" s="36" t="s">
        <v>28</v>
      </c>
      <c r="H2913" s="36" t="s">
        <v>1655</v>
      </c>
      <c r="I2913" s="36" t="s">
        <v>1656</v>
      </c>
      <c r="J2913" s="36" t="s">
        <v>1656</v>
      </c>
      <c r="K2913" s="36" t="s">
        <v>1807</v>
      </c>
      <c r="L2913" s="36" t="s">
        <v>6585</v>
      </c>
      <c r="M2913" s="36" t="s">
        <v>6585</v>
      </c>
      <c r="N2913" s="36" t="s">
        <v>32</v>
      </c>
    </row>
    <row r="2914">
      <c r="A2914" s="36" t="s">
        <v>6649</v>
      </c>
      <c r="B2914" s="154" t="s">
        <v>6647</v>
      </c>
      <c r="C2914" s="36" t="s">
        <v>1666</v>
      </c>
      <c r="D2914" s="36" t="s">
        <v>295</v>
      </c>
      <c r="E2914" s="36" t="s">
        <v>295</v>
      </c>
      <c r="F2914" s="154" t="s">
        <v>1874</v>
      </c>
      <c r="G2914" s="36" t="s">
        <v>28</v>
      </c>
      <c r="H2914" s="36" t="s">
        <v>1655</v>
      </c>
      <c r="I2914" s="36" t="s">
        <v>1656</v>
      </c>
      <c r="J2914" s="36" t="s">
        <v>1656</v>
      </c>
      <c r="K2914" s="36" t="s">
        <v>1814</v>
      </c>
      <c r="L2914" s="36" t="s">
        <v>6585</v>
      </c>
      <c r="M2914" s="36" t="s">
        <v>6585</v>
      </c>
      <c r="N2914" s="36" t="s">
        <v>32</v>
      </c>
    </row>
    <row r="2915">
      <c r="A2915" s="36" t="s">
        <v>6650</v>
      </c>
      <c r="B2915" s="154" t="s">
        <v>6647</v>
      </c>
      <c r="C2915" s="36" t="s">
        <v>1666</v>
      </c>
      <c r="D2915" s="36" t="s">
        <v>96</v>
      </c>
      <c r="E2915" s="36" t="s">
        <v>96</v>
      </c>
      <c r="F2915" s="154" t="s">
        <v>1768</v>
      </c>
      <c r="G2915" s="36" t="s">
        <v>32</v>
      </c>
      <c r="H2915" s="36" t="s">
        <v>1655</v>
      </c>
      <c r="I2915" s="36" t="s">
        <v>1656</v>
      </c>
      <c r="J2915" s="36" t="s">
        <v>1656</v>
      </c>
      <c r="K2915" s="36" t="s">
        <v>1817</v>
      </c>
      <c r="L2915" s="36" t="s">
        <v>6585</v>
      </c>
      <c r="M2915" s="36" t="s">
        <v>6585</v>
      </c>
      <c r="N2915" s="36" t="s">
        <v>32</v>
      </c>
    </row>
    <row r="2916">
      <c r="A2916" s="36" t="s">
        <v>6651</v>
      </c>
      <c r="B2916" s="154" t="s">
        <v>6652</v>
      </c>
      <c r="C2916" s="36" t="s">
        <v>1666</v>
      </c>
      <c r="D2916" s="36" t="s">
        <v>208</v>
      </c>
      <c r="E2916" s="36" t="s">
        <v>208</v>
      </c>
      <c r="F2916" s="154" t="s">
        <v>1810</v>
      </c>
      <c r="G2916" s="36" t="s">
        <v>28</v>
      </c>
      <c r="H2916" s="36" t="s">
        <v>1655</v>
      </c>
      <c r="I2916" s="36" t="s">
        <v>1656</v>
      </c>
      <c r="J2916" s="36" t="s">
        <v>1656</v>
      </c>
      <c r="K2916" s="36" t="s">
        <v>1820</v>
      </c>
      <c r="L2916" s="36" t="s">
        <v>6585</v>
      </c>
      <c r="M2916" s="36" t="s">
        <v>6585</v>
      </c>
      <c r="N2916" s="36" t="s">
        <v>34</v>
      </c>
    </row>
    <row r="2917">
      <c r="A2917" s="36" t="s">
        <v>6653</v>
      </c>
      <c r="B2917" s="154" t="s">
        <v>6654</v>
      </c>
      <c r="C2917" s="36" t="s">
        <v>1666</v>
      </c>
      <c r="D2917" s="36" t="s">
        <v>475</v>
      </c>
      <c r="E2917" s="36" t="s">
        <v>475</v>
      </c>
      <c r="F2917" s="154" t="s">
        <v>6081</v>
      </c>
      <c r="G2917" s="36" t="s">
        <v>32</v>
      </c>
      <c r="H2917" s="36" t="s">
        <v>1655</v>
      </c>
      <c r="I2917" s="36" t="s">
        <v>1656</v>
      </c>
      <c r="J2917" s="36" t="s">
        <v>1656</v>
      </c>
      <c r="K2917" s="36" t="s">
        <v>1823</v>
      </c>
      <c r="L2917" s="36" t="s">
        <v>6585</v>
      </c>
      <c r="M2917" s="36" t="s">
        <v>6585</v>
      </c>
      <c r="N2917" s="36" t="s">
        <v>34</v>
      </c>
    </row>
    <row r="2918">
      <c r="A2918" s="36" t="s">
        <v>6655</v>
      </c>
      <c r="B2918" s="154" t="s">
        <v>6656</v>
      </c>
      <c r="C2918" s="36" t="s">
        <v>1653</v>
      </c>
      <c r="D2918" s="36" t="s">
        <v>161</v>
      </c>
      <c r="E2918" s="36" t="s">
        <v>39</v>
      </c>
      <c r="F2918" s="154" t="s">
        <v>6657</v>
      </c>
      <c r="G2918" s="36" t="s">
        <v>32</v>
      </c>
      <c r="H2918" s="36" t="s">
        <v>1655</v>
      </c>
      <c r="I2918" s="36" t="s">
        <v>1656</v>
      </c>
      <c r="J2918" s="36" t="s">
        <v>1656</v>
      </c>
      <c r="K2918" s="36" t="s">
        <v>1978</v>
      </c>
      <c r="L2918" s="36" t="s">
        <v>6583</v>
      </c>
      <c r="M2918" s="36" t="s">
        <v>6583</v>
      </c>
      <c r="N2918" s="36" t="s">
        <v>32</v>
      </c>
    </row>
    <row r="2919">
      <c r="A2919" s="36" t="s">
        <v>6658</v>
      </c>
      <c r="B2919" s="154" t="s">
        <v>6659</v>
      </c>
      <c r="C2919" s="36" t="s">
        <v>1666</v>
      </c>
      <c r="D2919" s="36" t="s">
        <v>642</v>
      </c>
      <c r="E2919" s="36" t="s">
        <v>642</v>
      </c>
      <c r="F2919" s="154" t="s">
        <v>1816</v>
      </c>
      <c r="G2919" s="36" t="s">
        <v>28</v>
      </c>
      <c r="H2919" s="36" t="s">
        <v>1655</v>
      </c>
      <c r="I2919" s="36" t="s">
        <v>1656</v>
      </c>
      <c r="J2919" s="36" t="s">
        <v>1656</v>
      </c>
      <c r="K2919" s="36" t="s">
        <v>1826</v>
      </c>
      <c r="L2919" s="36" t="s">
        <v>6585</v>
      </c>
      <c r="M2919" s="36" t="s">
        <v>6585</v>
      </c>
      <c r="N2919" s="36" t="s">
        <v>32</v>
      </c>
    </row>
    <row r="2920">
      <c r="A2920" s="36" t="s">
        <v>6660</v>
      </c>
      <c r="B2920" s="154" t="s">
        <v>6661</v>
      </c>
      <c r="C2920" s="36" t="s">
        <v>1666</v>
      </c>
      <c r="D2920" s="36" t="s">
        <v>646</v>
      </c>
      <c r="E2920" s="36" t="s">
        <v>646</v>
      </c>
      <c r="F2920" s="154" t="s">
        <v>1768</v>
      </c>
      <c r="G2920" s="36" t="s">
        <v>28</v>
      </c>
      <c r="H2920" s="36" t="s">
        <v>1655</v>
      </c>
      <c r="I2920" s="36" t="s">
        <v>1656</v>
      </c>
      <c r="J2920" s="36" t="s">
        <v>1656</v>
      </c>
      <c r="K2920" s="36" t="s">
        <v>1830</v>
      </c>
      <c r="L2920" s="36" t="s">
        <v>6585</v>
      </c>
      <c r="M2920" s="36" t="s">
        <v>6585</v>
      </c>
      <c r="N2920" s="36" t="s">
        <v>34</v>
      </c>
    </row>
    <row r="2921">
      <c r="A2921" s="36" t="s">
        <v>6662</v>
      </c>
      <c r="B2921" s="154" t="s">
        <v>6661</v>
      </c>
      <c r="C2921" s="36" t="s">
        <v>1666</v>
      </c>
      <c r="D2921" s="36" t="s">
        <v>552</v>
      </c>
      <c r="E2921" s="36" t="s">
        <v>552</v>
      </c>
      <c r="F2921" s="154" t="s">
        <v>2156</v>
      </c>
      <c r="G2921" s="36" t="s">
        <v>28</v>
      </c>
      <c r="H2921" s="36" t="s">
        <v>1655</v>
      </c>
      <c r="I2921" s="36" t="s">
        <v>1656</v>
      </c>
      <c r="J2921" s="36" t="s">
        <v>1656</v>
      </c>
      <c r="K2921" s="36" t="s">
        <v>1833</v>
      </c>
      <c r="L2921" s="36" t="s">
        <v>6585</v>
      </c>
      <c r="M2921" s="36" t="s">
        <v>6585</v>
      </c>
      <c r="N2921" s="36" t="s">
        <v>34</v>
      </c>
    </row>
    <row r="2922">
      <c r="A2922" s="36" t="s">
        <v>6663</v>
      </c>
      <c r="B2922" s="154" t="s">
        <v>6661</v>
      </c>
      <c r="C2922" s="36" t="s">
        <v>1666</v>
      </c>
      <c r="D2922" s="36" t="s">
        <v>310</v>
      </c>
      <c r="E2922" s="36" t="s">
        <v>310</v>
      </c>
      <c r="F2922" s="154" t="s">
        <v>2039</v>
      </c>
      <c r="G2922" s="36" t="s">
        <v>28</v>
      </c>
      <c r="H2922" s="36" t="s">
        <v>1655</v>
      </c>
      <c r="I2922" s="36" t="s">
        <v>1656</v>
      </c>
      <c r="J2922" s="36" t="s">
        <v>1656</v>
      </c>
      <c r="K2922" s="36" t="s">
        <v>1836</v>
      </c>
      <c r="L2922" s="36" t="s">
        <v>6585</v>
      </c>
      <c r="M2922" s="36" t="s">
        <v>6585</v>
      </c>
      <c r="N2922" s="36" t="s">
        <v>34</v>
      </c>
    </row>
    <row r="2923">
      <c r="A2923" s="36" t="s">
        <v>6664</v>
      </c>
      <c r="B2923" s="154" t="s">
        <v>6661</v>
      </c>
      <c r="C2923" s="36" t="s">
        <v>1666</v>
      </c>
      <c r="D2923" s="36" t="s">
        <v>664</v>
      </c>
      <c r="E2923" s="36" t="s">
        <v>664</v>
      </c>
      <c r="F2923" s="154" t="s">
        <v>1959</v>
      </c>
      <c r="G2923" s="36" t="s">
        <v>28</v>
      </c>
      <c r="H2923" s="36" t="s">
        <v>1655</v>
      </c>
      <c r="I2923" s="36" t="s">
        <v>1656</v>
      </c>
      <c r="J2923" s="36" t="s">
        <v>1656</v>
      </c>
      <c r="K2923" s="36" t="s">
        <v>1839</v>
      </c>
      <c r="L2923" s="36" t="s">
        <v>6585</v>
      </c>
      <c r="M2923" s="36" t="s">
        <v>6585</v>
      </c>
      <c r="N2923" s="36" t="s">
        <v>34</v>
      </c>
    </row>
    <row r="2924">
      <c r="A2924" s="36" t="s">
        <v>6665</v>
      </c>
      <c r="B2924" s="154" t="s">
        <v>6661</v>
      </c>
      <c r="C2924" s="36" t="s">
        <v>1666</v>
      </c>
      <c r="D2924" s="36" t="s">
        <v>646</v>
      </c>
      <c r="E2924" s="36" t="s">
        <v>646</v>
      </c>
      <c r="F2924" s="154" t="s">
        <v>2163</v>
      </c>
      <c r="G2924" s="36" t="s">
        <v>28</v>
      </c>
      <c r="H2924" s="36" t="s">
        <v>1655</v>
      </c>
      <c r="I2924" s="36" t="s">
        <v>1656</v>
      </c>
      <c r="J2924" s="36" t="s">
        <v>1656</v>
      </c>
      <c r="K2924" s="36" t="s">
        <v>1842</v>
      </c>
      <c r="L2924" s="36" t="s">
        <v>6585</v>
      </c>
      <c r="M2924" s="36" t="s">
        <v>6585</v>
      </c>
      <c r="N2924" s="36" t="s">
        <v>34</v>
      </c>
    </row>
    <row r="2925">
      <c r="A2925" s="36" t="s">
        <v>6666</v>
      </c>
      <c r="B2925" s="154" t="s">
        <v>6667</v>
      </c>
      <c r="C2925" s="36" t="s">
        <v>1666</v>
      </c>
      <c r="D2925" s="36" t="s">
        <v>110</v>
      </c>
      <c r="E2925" s="36" t="s">
        <v>110</v>
      </c>
      <c r="F2925" s="154" t="s">
        <v>1816</v>
      </c>
      <c r="G2925" s="36" t="s">
        <v>28</v>
      </c>
      <c r="H2925" s="36" t="s">
        <v>1655</v>
      </c>
      <c r="I2925" s="36" t="s">
        <v>1656</v>
      </c>
      <c r="J2925" s="36" t="s">
        <v>1656</v>
      </c>
      <c r="K2925" s="36" t="s">
        <v>1845</v>
      </c>
      <c r="L2925" s="36" t="s">
        <v>6585</v>
      </c>
      <c r="M2925" s="36" t="s">
        <v>6585</v>
      </c>
      <c r="N2925" s="36" t="s">
        <v>34</v>
      </c>
    </row>
    <row r="2926">
      <c r="A2926" s="36" t="s">
        <v>6668</v>
      </c>
      <c r="B2926" s="154" t="s">
        <v>6667</v>
      </c>
      <c r="C2926" s="36" t="s">
        <v>1666</v>
      </c>
      <c r="D2926" s="36" t="s">
        <v>676</v>
      </c>
      <c r="E2926" s="36" t="s">
        <v>676</v>
      </c>
      <c r="F2926" s="154" t="s">
        <v>1768</v>
      </c>
      <c r="G2926" s="36" t="s">
        <v>28</v>
      </c>
      <c r="H2926" s="36" t="s">
        <v>1655</v>
      </c>
      <c r="I2926" s="36" t="s">
        <v>1656</v>
      </c>
      <c r="J2926" s="36" t="s">
        <v>1656</v>
      </c>
      <c r="K2926" s="36" t="s">
        <v>1848</v>
      </c>
      <c r="L2926" s="36" t="s">
        <v>6585</v>
      </c>
      <c r="M2926" s="36" t="s">
        <v>6585</v>
      </c>
      <c r="N2926" s="36" t="s">
        <v>34</v>
      </c>
    </row>
    <row r="2927">
      <c r="A2927" s="36" t="s">
        <v>6669</v>
      </c>
      <c r="B2927" s="154" t="s">
        <v>6667</v>
      </c>
      <c r="C2927" s="36" t="s">
        <v>1666</v>
      </c>
      <c r="D2927" s="36" t="s">
        <v>582</v>
      </c>
      <c r="E2927" s="36" t="s">
        <v>582</v>
      </c>
      <c r="F2927" s="154" t="s">
        <v>1806</v>
      </c>
      <c r="G2927" s="36" t="s">
        <v>28</v>
      </c>
      <c r="H2927" s="36" t="s">
        <v>1655</v>
      </c>
      <c r="I2927" s="36" t="s">
        <v>1656</v>
      </c>
      <c r="J2927" s="36" t="s">
        <v>1656</v>
      </c>
      <c r="K2927" s="36" t="s">
        <v>1851</v>
      </c>
      <c r="L2927" s="36" t="s">
        <v>6585</v>
      </c>
      <c r="M2927" s="36" t="s">
        <v>6585</v>
      </c>
      <c r="N2927" s="36" t="s">
        <v>34</v>
      </c>
    </row>
    <row r="2928">
      <c r="A2928" s="36" t="s">
        <v>6670</v>
      </c>
      <c r="B2928" s="154" t="s">
        <v>6671</v>
      </c>
      <c r="C2928" s="36" t="s">
        <v>1666</v>
      </c>
      <c r="D2928" s="36" t="s">
        <v>80</v>
      </c>
      <c r="E2928" s="36" t="s">
        <v>80</v>
      </c>
      <c r="F2928" s="154" t="s">
        <v>6672</v>
      </c>
      <c r="G2928" s="36" t="s">
        <v>32</v>
      </c>
      <c r="H2928" s="36" t="s">
        <v>1655</v>
      </c>
      <c r="I2928" s="36" t="s">
        <v>1656</v>
      </c>
      <c r="J2928" s="36" t="s">
        <v>1656</v>
      </c>
      <c r="K2928" s="36" t="s">
        <v>1769</v>
      </c>
      <c r="L2928" s="36" t="s">
        <v>6585</v>
      </c>
      <c r="M2928" s="36" t="s">
        <v>6585</v>
      </c>
      <c r="N2928" s="36" t="s">
        <v>32</v>
      </c>
    </row>
    <row r="2929">
      <c r="A2929" s="36" t="s">
        <v>6673</v>
      </c>
      <c r="B2929" s="154" t="s">
        <v>6674</v>
      </c>
      <c r="C2929" s="36" t="s">
        <v>1666</v>
      </c>
      <c r="D2929" s="36" t="s">
        <v>601</v>
      </c>
      <c r="E2929" s="36" t="s">
        <v>601</v>
      </c>
      <c r="F2929" s="154" t="s">
        <v>1959</v>
      </c>
      <c r="G2929" s="36" t="s">
        <v>28</v>
      </c>
      <c r="H2929" s="36" t="s">
        <v>1655</v>
      </c>
      <c r="I2929" s="36" t="s">
        <v>1656</v>
      </c>
      <c r="J2929" s="36" t="s">
        <v>1656</v>
      </c>
      <c r="K2929" s="36" t="s">
        <v>1854</v>
      </c>
      <c r="L2929" s="36" t="s">
        <v>6585</v>
      </c>
      <c r="M2929" s="36" t="s">
        <v>6585</v>
      </c>
      <c r="N2929" s="36" t="s">
        <v>34</v>
      </c>
    </row>
    <row r="2930">
      <c r="A2930" s="36" t="s">
        <v>6675</v>
      </c>
      <c r="B2930" s="154" t="s">
        <v>6676</v>
      </c>
      <c r="C2930" s="36" t="s">
        <v>1666</v>
      </c>
      <c r="D2930" s="36" t="s">
        <v>130</v>
      </c>
      <c r="E2930" s="36" t="s">
        <v>130</v>
      </c>
      <c r="F2930" s="154" t="s">
        <v>1810</v>
      </c>
      <c r="G2930" s="36" t="s">
        <v>32</v>
      </c>
      <c r="H2930" s="36" t="s">
        <v>1655</v>
      </c>
      <c r="I2930" s="36" t="s">
        <v>1656</v>
      </c>
      <c r="J2930" s="36" t="s">
        <v>1656</v>
      </c>
      <c r="K2930" s="36" t="s">
        <v>1857</v>
      </c>
      <c r="L2930" s="36" t="s">
        <v>6585</v>
      </c>
      <c r="M2930" s="36" t="s">
        <v>6585</v>
      </c>
      <c r="N2930" s="36" t="s">
        <v>32</v>
      </c>
    </row>
    <row r="2931">
      <c r="A2931" s="36" t="s">
        <v>6677</v>
      </c>
      <c r="B2931" s="154" t="s">
        <v>6676</v>
      </c>
      <c r="C2931" s="36" t="s">
        <v>1666</v>
      </c>
      <c r="D2931" s="36" t="s">
        <v>89</v>
      </c>
      <c r="E2931" s="36" t="s">
        <v>89</v>
      </c>
      <c r="F2931" s="154" t="s">
        <v>3017</v>
      </c>
      <c r="G2931" s="36" t="s">
        <v>28</v>
      </c>
      <c r="H2931" s="36" t="s">
        <v>1655</v>
      </c>
      <c r="I2931" s="36" t="s">
        <v>1656</v>
      </c>
      <c r="J2931" s="36" t="s">
        <v>1656</v>
      </c>
      <c r="K2931" s="36" t="s">
        <v>1860</v>
      </c>
      <c r="L2931" s="36" t="s">
        <v>6585</v>
      </c>
      <c r="M2931" s="36" t="s">
        <v>6585</v>
      </c>
      <c r="N2931" s="36" t="s">
        <v>32</v>
      </c>
    </row>
    <row r="2932">
      <c r="A2932" s="36" t="s">
        <v>6678</v>
      </c>
      <c r="B2932" s="154" t="s">
        <v>6679</v>
      </c>
      <c r="C2932" s="36" t="s">
        <v>1666</v>
      </c>
      <c r="D2932" s="36" t="s">
        <v>81</v>
      </c>
      <c r="E2932" s="36" t="s">
        <v>81</v>
      </c>
      <c r="F2932" s="154" t="s">
        <v>6680</v>
      </c>
      <c r="G2932" s="36" t="s">
        <v>28</v>
      </c>
      <c r="H2932" s="36" t="s">
        <v>1655</v>
      </c>
      <c r="I2932" s="36" t="s">
        <v>1656</v>
      </c>
      <c r="J2932" s="36" t="s">
        <v>1656</v>
      </c>
      <c r="K2932" s="36" t="s">
        <v>1811</v>
      </c>
      <c r="L2932" s="36" t="s">
        <v>6585</v>
      </c>
      <c r="M2932" s="36" t="s">
        <v>6585</v>
      </c>
      <c r="N2932" s="36" t="s">
        <v>32</v>
      </c>
    </row>
    <row r="2933">
      <c r="A2933" s="36" t="s">
        <v>6681</v>
      </c>
      <c r="B2933" s="154" t="s">
        <v>6679</v>
      </c>
      <c r="C2933" s="36" t="s">
        <v>1666</v>
      </c>
      <c r="D2933" s="36" t="s">
        <v>83</v>
      </c>
      <c r="E2933" s="36" t="s">
        <v>83</v>
      </c>
      <c r="F2933" s="154" t="s">
        <v>6682</v>
      </c>
      <c r="G2933" s="36" t="s">
        <v>28</v>
      </c>
      <c r="H2933" s="36" t="s">
        <v>1655</v>
      </c>
      <c r="I2933" s="36" t="s">
        <v>1656</v>
      </c>
      <c r="J2933" s="36" t="s">
        <v>1656</v>
      </c>
      <c r="K2933" s="36" t="s">
        <v>1891</v>
      </c>
      <c r="L2933" s="36" t="s">
        <v>6585</v>
      </c>
      <c r="M2933" s="36" t="s">
        <v>6585</v>
      </c>
      <c r="N2933" s="36" t="s">
        <v>32</v>
      </c>
    </row>
    <row r="2934">
      <c r="A2934" s="36" t="s">
        <v>6683</v>
      </c>
      <c r="B2934" s="154" t="s">
        <v>6679</v>
      </c>
      <c r="C2934" s="36" t="s">
        <v>1666</v>
      </c>
      <c r="D2934" s="36" t="s">
        <v>84</v>
      </c>
      <c r="E2934" s="36" t="s">
        <v>84</v>
      </c>
      <c r="F2934" s="154" t="s">
        <v>6684</v>
      </c>
      <c r="G2934" s="36" t="s">
        <v>32</v>
      </c>
      <c r="H2934" s="36" t="s">
        <v>1655</v>
      </c>
      <c r="I2934" s="36" t="s">
        <v>1656</v>
      </c>
      <c r="J2934" s="36" t="s">
        <v>1656</v>
      </c>
      <c r="K2934" s="36" t="s">
        <v>1921</v>
      </c>
      <c r="L2934" s="36" t="s">
        <v>6585</v>
      </c>
      <c r="M2934" s="36" t="s">
        <v>6585</v>
      </c>
      <c r="N2934" s="36" t="s">
        <v>32</v>
      </c>
    </row>
    <row r="2935">
      <c r="A2935" s="36" t="s">
        <v>6685</v>
      </c>
      <c r="B2935" s="154" t="s">
        <v>6679</v>
      </c>
      <c r="C2935" s="36" t="s">
        <v>1666</v>
      </c>
      <c r="D2935" s="36" t="s">
        <v>89</v>
      </c>
      <c r="E2935" s="36" t="s">
        <v>89</v>
      </c>
      <c r="F2935" s="154" t="s">
        <v>5109</v>
      </c>
      <c r="G2935" s="36" t="s">
        <v>28</v>
      </c>
      <c r="H2935" s="36" t="s">
        <v>1655</v>
      </c>
      <c r="I2935" s="36" t="s">
        <v>1656</v>
      </c>
      <c r="J2935" s="36" t="s">
        <v>1656</v>
      </c>
      <c r="K2935" s="36" t="s">
        <v>1863</v>
      </c>
      <c r="L2935" s="36" t="s">
        <v>6585</v>
      </c>
      <c r="M2935" s="36" t="s">
        <v>6585</v>
      </c>
      <c r="N2935" s="36" t="s">
        <v>32</v>
      </c>
    </row>
    <row r="2936">
      <c r="A2936" s="36" t="s">
        <v>6686</v>
      </c>
      <c r="B2936" s="154" t="s">
        <v>6679</v>
      </c>
      <c r="C2936" s="36" t="s">
        <v>1666</v>
      </c>
      <c r="D2936" s="36" t="s">
        <v>687</v>
      </c>
      <c r="E2936" s="36" t="s">
        <v>687</v>
      </c>
      <c r="F2936" s="154" t="s">
        <v>6687</v>
      </c>
      <c r="G2936" s="36" t="s">
        <v>32</v>
      </c>
      <c r="H2936" s="36" t="s">
        <v>1655</v>
      </c>
      <c r="I2936" s="36" t="s">
        <v>1656</v>
      </c>
      <c r="J2936" s="36" t="s">
        <v>1656</v>
      </c>
      <c r="K2936" s="36" t="s">
        <v>1866</v>
      </c>
      <c r="L2936" s="36" t="s">
        <v>6585</v>
      </c>
      <c r="M2936" s="36" t="s">
        <v>6585</v>
      </c>
      <c r="N2936" s="36" t="s">
        <v>32</v>
      </c>
    </row>
    <row r="2937">
      <c r="A2937" s="36" t="s">
        <v>6688</v>
      </c>
      <c r="B2937" s="154" t="s">
        <v>6679</v>
      </c>
      <c r="C2937" s="36" t="s">
        <v>1666</v>
      </c>
      <c r="D2937" s="36" t="s">
        <v>689</v>
      </c>
      <c r="E2937" s="36" t="s">
        <v>689</v>
      </c>
      <c r="F2937" s="154" t="s">
        <v>3838</v>
      </c>
      <c r="G2937" s="36" t="s">
        <v>28</v>
      </c>
      <c r="H2937" s="36" t="s">
        <v>1655</v>
      </c>
      <c r="I2937" s="36" t="s">
        <v>1656</v>
      </c>
      <c r="J2937" s="36" t="s">
        <v>1656</v>
      </c>
      <c r="K2937" s="36" t="s">
        <v>1869</v>
      </c>
      <c r="L2937" s="36" t="s">
        <v>6585</v>
      </c>
      <c r="M2937" s="36" t="s">
        <v>6585</v>
      </c>
      <c r="N2937" s="36" t="s">
        <v>34</v>
      </c>
    </row>
    <row r="2938">
      <c r="A2938" s="36" t="s">
        <v>6689</v>
      </c>
      <c r="B2938" s="154" t="s">
        <v>6690</v>
      </c>
      <c r="C2938" s="36" t="s">
        <v>1666</v>
      </c>
      <c r="D2938" s="36" t="s">
        <v>692</v>
      </c>
      <c r="E2938" s="36" t="s">
        <v>692</v>
      </c>
      <c r="F2938" s="154" t="s">
        <v>1806</v>
      </c>
      <c r="G2938" s="36" t="s">
        <v>28</v>
      </c>
      <c r="H2938" s="36" t="s">
        <v>1655</v>
      </c>
      <c r="I2938" s="36" t="s">
        <v>1656</v>
      </c>
      <c r="J2938" s="36" t="s">
        <v>1656</v>
      </c>
      <c r="K2938" s="36" t="s">
        <v>1872</v>
      </c>
      <c r="L2938" s="36" t="s">
        <v>6585</v>
      </c>
      <c r="M2938" s="36" t="s">
        <v>6585</v>
      </c>
      <c r="N2938" s="36" t="s">
        <v>32</v>
      </c>
    </row>
    <row r="2939">
      <c r="A2939" s="36" t="s">
        <v>6691</v>
      </c>
      <c r="B2939" s="154" t="s">
        <v>6690</v>
      </c>
      <c r="C2939" s="36" t="s">
        <v>1666</v>
      </c>
      <c r="D2939" s="36" t="s">
        <v>694</v>
      </c>
      <c r="E2939" s="36" t="s">
        <v>694</v>
      </c>
      <c r="F2939" s="154" t="s">
        <v>6692</v>
      </c>
      <c r="G2939" s="36" t="s">
        <v>28</v>
      </c>
      <c r="H2939" s="36" t="s">
        <v>1655</v>
      </c>
      <c r="I2939" s="36" t="s">
        <v>1656</v>
      </c>
      <c r="J2939" s="36" t="s">
        <v>1656</v>
      </c>
      <c r="K2939" s="36" t="s">
        <v>1875</v>
      </c>
      <c r="L2939" s="36" t="s">
        <v>6585</v>
      </c>
      <c r="M2939" s="36" t="s">
        <v>6585</v>
      </c>
      <c r="N2939" s="36" t="s">
        <v>32</v>
      </c>
    </row>
    <row r="2940">
      <c r="A2940" s="36" t="s">
        <v>6693</v>
      </c>
      <c r="B2940" s="154" t="s">
        <v>6690</v>
      </c>
      <c r="C2940" s="36" t="s">
        <v>1666</v>
      </c>
      <c r="D2940" s="36" t="s">
        <v>695</v>
      </c>
      <c r="E2940" s="36" t="s">
        <v>695</v>
      </c>
      <c r="F2940" s="154" t="s">
        <v>5005</v>
      </c>
      <c r="G2940" s="36" t="s">
        <v>28</v>
      </c>
      <c r="H2940" s="36" t="s">
        <v>1655</v>
      </c>
      <c r="I2940" s="36" t="s">
        <v>1656</v>
      </c>
      <c r="J2940" s="36" t="s">
        <v>1656</v>
      </c>
      <c r="K2940" s="36" t="s">
        <v>1878</v>
      </c>
      <c r="L2940" s="36" t="s">
        <v>6585</v>
      </c>
      <c r="M2940" s="36" t="s">
        <v>6585</v>
      </c>
      <c r="N2940" s="36" t="s">
        <v>32</v>
      </c>
    </row>
    <row r="2941">
      <c r="A2941" s="36" t="s">
        <v>6694</v>
      </c>
      <c r="B2941" s="154" t="s">
        <v>6695</v>
      </c>
      <c r="C2941" s="36" t="s">
        <v>1653</v>
      </c>
      <c r="D2941" s="36" t="s">
        <v>43</v>
      </c>
      <c r="E2941" s="36" t="s">
        <v>39</v>
      </c>
      <c r="F2941" s="154" t="s">
        <v>6696</v>
      </c>
      <c r="G2941" s="36" t="s">
        <v>32</v>
      </c>
      <c r="H2941" s="36" t="s">
        <v>1655</v>
      </c>
      <c r="I2941" s="36" t="s">
        <v>1656</v>
      </c>
      <c r="J2941" s="36" t="s">
        <v>1656</v>
      </c>
      <c r="K2941" s="36" t="s">
        <v>1657</v>
      </c>
      <c r="L2941" s="36" t="s">
        <v>6583</v>
      </c>
      <c r="M2941" s="36" t="s">
        <v>6583</v>
      </c>
      <c r="N2941" s="36" t="s">
        <v>32</v>
      </c>
    </row>
    <row r="2942">
      <c r="A2942" s="36" t="s">
        <v>6697</v>
      </c>
      <c r="B2942" s="154" t="s">
        <v>6695</v>
      </c>
      <c r="C2942" s="36" t="s">
        <v>1653</v>
      </c>
      <c r="D2942" s="36" t="s">
        <v>158</v>
      </c>
      <c r="E2942" s="36" t="s">
        <v>39</v>
      </c>
      <c r="F2942" s="154" t="s">
        <v>6698</v>
      </c>
      <c r="G2942" s="36" t="s">
        <v>32</v>
      </c>
      <c r="H2942" s="36" t="s">
        <v>1655</v>
      </c>
      <c r="I2942" s="36" t="s">
        <v>1656</v>
      </c>
      <c r="J2942" s="36" t="s">
        <v>1656</v>
      </c>
      <c r="K2942" s="36" t="s">
        <v>1978</v>
      </c>
      <c r="L2942" s="36" t="s">
        <v>6583</v>
      </c>
      <c r="M2942" s="36" t="s">
        <v>6583</v>
      </c>
      <c r="N2942" s="36" t="s">
        <v>32</v>
      </c>
    </row>
    <row r="2943">
      <c r="A2943" s="36" t="s">
        <v>6699</v>
      </c>
      <c r="B2943" s="154" t="s">
        <v>6695</v>
      </c>
      <c r="C2943" s="36" t="s">
        <v>1666</v>
      </c>
      <c r="D2943" s="36" t="s">
        <v>85</v>
      </c>
      <c r="E2943" s="36" t="s">
        <v>85</v>
      </c>
      <c r="F2943" s="154" t="s">
        <v>6700</v>
      </c>
      <c r="G2943" s="36" t="s">
        <v>28</v>
      </c>
      <c r="H2943" s="36" t="s">
        <v>1655</v>
      </c>
      <c r="I2943" s="36" t="s">
        <v>1656</v>
      </c>
      <c r="J2943" s="36" t="s">
        <v>1656</v>
      </c>
      <c r="K2943" s="36" t="s">
        <v>3035</v>
      </c>
      <c r="L2943" s="36" t="s">
        <v>6585</v>
      </c>
      <c r="M2943" s="36" t="s">
        <v>6585</v>
      </c>
      <c r="N2943" s="36" t="s">
        <v>32</v>
      </c>
    </row>
    <row r="2944">
      <c r="A2944" s="36" t="s">
        <v>6701</v>
      </c>
      <c r="B2944" s="154" t="s">
        <v>6695</v>
      </c>
      <c r="C2944" s="36" t="s">
        <v>1666</v>
      </c>
      <c r="D2944" s="36" t="s">
        <v>87</v>
      </c>
      <c r="E2944" s="36" t="s">
        <v>87</v>
      </c>
      <c r="F2944" s="154" t="s">
        <v>5619</v>
      </c>
      <c r="G2944" s="36" t="s">
        <v>28</v>
      </c>
      <c r="H2944" s="36" t="s">
        <v>1655</v>
      </c>
      <c r="I2944" s="36" t="s">
        <v>1656</v>
      </c>
      <c r="J2944" s="36" t="s">
        <v>1656</v>
      </c>
      <c r="K2944" s="36" t="s">
        <v>3038</v>
      </c>
      <c r="L2944" s="36" t="s">
        <v>6585</v>
      </c>
      <c r="M2944" s="36" t="s">
        <v>6585</v>
      </c>
      <c r="N2944" s="36" t="s">
        <v>32</v>
      </c>
    </row>
    <row r="2945">
      <c r="A2945" s="36" t="s">
        <v>6702</v>
      </c>
      <c r="B2945" s="154" t="s">
        <v>6695</v>
      </c>
      <c r="C2945" s="36" t="s">
        <v>1666</v>
      </c>
      <c r="D2945" s="36" t="s">
        <v>445</v>
      </c>
      <c r="E2945" s="36" t="s">
        <v>445</v>
      </c>
      <c r="F2945" s="154" t="s">
        <v>2006</v>
      </c>
      <c r="G2945" s="36" t="s">
        <v>32</v>
      </c>
      <c r="H2945" s="36" t="s">
        <v>1655</v>
      </c>
      <c r="I2945" s="36" t="s">
        <v>1656</v>
      </c>
      <c r="J2945" s="36" t="s">
        <v>1656</v>
      </c>
      <c r="K2945" s="36" t="s">
        <v>1668</v>
      </c>
      <c r="L2945" s="36" t="s">
        <v>6585</v>
      </c>
      <c r="M2945" s="36" t="s">
        <v>6585</v>
      </c>
      <c r="N2945" s="36" t="s">
        <v>32</v>
      </c>
    </row>
    <row r="2946">
      <c r="A2946" s="36" t="s">
        <v>6703</v>
      </c>
      <c r="B2946" s="154" t="s">
        <v>6704</v>
      </c>
      <c r="C2946" s="36" t="s">
        <v>1666</v>
      </c>
      <c r="D2946" s="36" t="s">
        <v>210</v>
      </c>
      <c r="E2946" s="36" t="s">
        <v>210</v>
      </c>
      <c r="F2946" s="154" t="s">
        <v>1806</v>
      </c>
      <c r="G2946" s="36" t="s">
        <v>28</v>
      </c>
      <c r="H2946" s="36" t="s">
        <v>1655</v>
      </c>
      <c r="I2946" s="36" t="s">
        <v>1656</v>
      </c>
      <c r="J2946" s="36" t="s">
        <v>1656</v>
      </c>
      <c r="K2946" s="36" t="s">
        <v>1672</v>
      </c>
      <c r="L2946" s="36" t="s">
        <v>6585</v>
      </c>
      <c r="M2946" s="36" t="s">
        <v>6585</v>
      </c>
      <c r="N2946" s="36" t="s">
        <v>32</v>
      </c>
    </row>
    <row r="2947">
      <c r="A2947" s="36" t="s">
        <v>6705</v>
      </c>
      <c r="B2947" s="154" t="s">
        <v>6704</v>
      </c>
      <c r="C2947" s="36" t="s">
        <v>1666</v>
      </c>
      <c r="D2947" s="36" t="s">
        <v>457</v>
      </c>
      <c r="E2947" s="36" t="s">
        <v>457</v>
      </c>
      <c r="F2947" s="154" t="s">
        <v>2553</v>
      </c>
      <c r="G2947" s="36" t="s">
        <v>32</v>
      </c>
      <c r="H2947" s="36" t="s">
        <v>1655</v>
      </c>
      <c r="I2947" s="36" t="s">
        <v>1656</v>
      </c>
      <c r="J2947" s="36" t="s">
        <v>1656</v>
      </c>
      <c r="K2947" s="36" t="s">
        <v>1675</v>
      </c>
      <c r="L2947" s="36" t="s">
        <v>6585</v>
      </c>
      <c r="M2947" s="36" t="s">
        <v>6585</v>
      </c>
      <c r="N2947" s="36" t="s">
        <v>32</v>
      </c>
    </row>
    <row r="2948">
      <c r="A2948" s="36" t="s">
        <v>6706</v>
      </c>
      <c r="B2948" s="154" t="s">
        <v>6707</v>
      </c>
      <c r="C2948" s="36" t="s">
        <v>1666</v>
      </c>
      <c r="D2948" s="36" t="s">
        <v>78</v>
      </c>
      <c r="E2948" s="36" t="s">
        <v>78</v>
      </c>
      <c r="F2948" s="154" t="s">
        <v>2027</v>
      </c>
      <c r="G2948" s="36" t="s">
        <v>28</v>
      </c>
      <c r="H2948" s="36" t="s">
        <v>1655</v>
      </c>
      <c r="I2948" s="36" t="s">
        <v>1656</v>
      </c>
      <c r="J2948" s="36" t="s">
        <v>1656</v>
      </c>
      <c r="K2948" s="36" t="s">
        <v>4248</v>
      </c>
      <c r="L2948" s="36" t="s">
        <v>6585</v>
      </c>
      <c r="M2948" s="36" t="s">
        <v>6585</v>
      </c>
      <c r="N2948" s="36" t="s">
        <v>32</v>
      </c>
    </row>
    <row r="2949">
      <c r="A2949" s="36" t="s">
        <v>6708</v>
      </c>
      <c r="B2949" s="154" t="s">
        <v>6709</v>
      </c>
      <c r="C2949" s="36" t="s">
        <v>1666</v>
      </c>
      <c r="D2949" s="36" t="s">
        <v>63</v>
      </c>
      <c r="E2949" s="36" t="s">
        <v>63</v>
      </c>
      <c r="F2949" s="154" t="s">
        <v>6710</v>
      </c>
      <c r="G2949" s="36" t="s">
        <v>28</v>
      </c>
      <c r="H2949" s="36" t="s">
        <v>1655</v>
      </c>
      <c r="I2949" s="36" t="s">
        <v>1656</v>
      </c>
      <c r="J2949" s="36" t="s">
        <v>1656</v>
      </c>
      <c r="K2949" s="36" t="s">
        <v>4196</v>
      </c>
      <c r="L2949" s="36" t="s">
        <v>6585</v>
      </c>
      <c r="M2949" s="36" t="s">
        <v>6585</v>
      </c>
      <c r="N2949" s="36" t="s">
        <v>34</v>
      </c>
    </row>
    <row r="2950">
      <c r="A2950" s="36" t="s">
        <v>6711</v>
      </c>
      <c r="B2950" s="154" t="s">
        <v>6709</v>
      </c>
      <c r="C2950" s="36" t="s">
        <v>1666</v>
      </c>
      <c r="D2950" s="36" t="s">
        <v>100</v>
      </c>
      <c r="E2950" s="36" t="s">
        <v>100</v>
      </c>
      <c r="F2950" s="154" t="s">
        <v>1810</v>
      </c>
      <c r="G2950" s="36" t="s">
        <v>32</v>
      </c>
      <c r="H2950" s="36" t="s">
        <v>1655</v>
      </c>
      <c r="I2950" s="36" t="s">
        <v>1656</v>
      </c>
      <c r="J2950" s="36" t="s">
        <v>1656</v>
      </c>
      <c r="K2950" s="36" t="s">
        <v>1678</v>
      </c>
      <c r="L2950" s="36" t="s">
        <v>6585</v>
      </c>
      <c r="M2950" s="36" t="s">
        <v>6585</v>
      </c>
      <c r="N2950" s="36" t="s">
        <v>32</v>
      </c>
    </row>
    <row r="2951">
      <c r="A2951" s="36" t="s">
        <v>6712</v>
      </c>
      <c r="B2951" s="154" t="s">
        <v>6713</v>
      </c>
      <c r="C2951" s="36" t="s">
        <v>1666</v>
      </c>
      <c r="D2951" s="36" t="s">
        <v>64</v>
      </c>
      <c r="E2951" s="36" t="s">
        <v>64</v>
      </c>
      <c r="F2951" s="154" t="s">
        <v>3867</v>
      </c>
      <c r="G2951" s="36" t="s">
        <v>28</v>
      </c>
      <c r="H2951" s="36" t="s">
        <v>1655</v>
      </c>
      <c r="I2951" s="36" t="s">
        <v>1656</v>
      </c>
      <c r="J2951" s="36" t="s">
        <v>1656</v>
      </c>
      <c r="K2951" s="36" t="s">
        <v>1708</v>
      </c>
      <c r="L2951" s="36" t="s">
        <v>6585</v>
      </c>
      <c r="M2951" s="36" t="s">
        <v>6585</v>
      </c>
      <c r="N2951" s="36" t="s">
        <v>32</v>
      </c>
    </row>
    <row r="2952">
      <c r="A2952" s="36" t="s">
        <v>6714</v>
      </c>
      <c r="B2952" s="154" t="s">
        <v>6713</v>
      </c>
      <c r="C2952" s="36" t="s">
        <v>1666</v>
      </c>
      <c r="D2952" s="36" t="s">
        <v>470</v>
      </c>
      <c r="E2952" s="36" t="s">
        <v>470</v>
      </c>
      <c r="F2952" s="154" t="s">
        <v>2049</v>
      </c>
      <c r="G2952" s="36" t="s">
        <v>28</v>
      </c>
      <c r="H2952" s="36" t="s">
        <v>1655</v>
      </c>
      <c r="I2952" s="36" t="s">
        <v>1656</v>
      </c>
      <c r="J2952" s="36" t="s">
        <v>1656</v>
      </c>
      <c r="K2952" s="36" t="s">
        <v>1681</v>
      </c>
      <c r="L2952" s="36" t="s">
        <v>6585</v>
      </c>
      <c r="M2952" s="36" t="s">
        <v>6585</v>
      </c>
      <c r="N2952" s="36" t="s">
        <v>32</v>
      </c>
    </row>
    <row r="2953">
      <c r="A2953" s="36" t="s">
        <v>6715</v>
      </c>
      <c r="B2953" s="154" t="s">
        <v>6713</v>
      </c>
      <c r="C2953" s="36" t="s">
        <v>1666</v>
      </c>
      <c r="D2953" s="36" t="s">
        <v>473</v>
      </c>
      <c r="E2953" s="36" t="s">
        <v>473</v>
      </c>
      <c r="F2953" s="154" t="s">
        <v>2025</v>
      </c>
      <c r="G2953" s="36" t="s">
        <v>28</v>
      </c>
      <c r="H2953" s="36" t="s">
        <v>1655</v>
      </c>
      <c r="I2953" s="36" t="s">
        <v>1656</v>
      </c>
      <c r="J2953" s="36" t="s">
        <v>1656</v>
      </c>
      <c r="K2953" s="36" t="s">
        <v>1684</v>
      </c>
      <c r="L2953" s="36" t="s">
        <v>6585</v>
      </c>
      <c r="M2953" s="36" t="s">
        <v>6585</v>
      </c>
      <c r="N2953" s="36" t="s">
        <v>32</v>
      </c>
    </row>
    <row r="2954">
      <c r="A2954" s="36" t="s">
        <v>6716</v>
      </c>
      <c r="B2954" s="154" t="s">
        <v>6713</v>
      </c>
      <c r="C2954" s="36" t="s">
        <v>1666</v>
      </c>
      <c r="D2954" s="36" t="s">
        <v>92</v>
      </c>
      <c r="E2954" s="36" t="s">
        <v>92</v>
      </c>
      <c r="F2954" s="154" t="s">
        <v>1959</v>
      </c>
      <c r="G2954" s="36" t="s">
        <v>32</v>
      </c>
      <c r="H2954" s="36" t="s">
        <v>1655</v>
      </c>
      <c r="I2954" s="36" t="s">
        <v>1656</v>
      </c>
      <c r="J2954" s="36" t="s">
        <v>1656</v>
      </c>
      <c r="K2954" s="36" t="s">
        <v>1691</v>
      </c>
      <c r="L2954" s="36" t="s">
        <v>6585</v>
      </c>
      <c r="M2954" s="36" t="s">
        <v>6585</v>
      </c>
      <c r="N2954" s="36" t="s">
        <v>32</v>
      </c>
    </row>
    <row r="2955">
      <c r="A2955" s="36" t="s">
        <v>6717</v>
      </c>
      <c r="B2955" s="154" t="s">
        <v>6713</v>
      </c>
      <c r="C2955" s="36" t="s">
        <v>1666</v>
      </c>
      <c r="D2955" s="36" t="s">
        <v>479</v>
      </c>
      <c r="E2955" s="36" t="s">
        <v>479</v>
      </c>
      <c r="F2955" s="154" t="s">
        <v>2728</v>
      </c>
      <c r="G2955" s="36" t="s">
        <v>32</v>
      </c>
      <c r="H2955" s="36" t="s">
        <v>1655</v>
      </c>
      <c r="I2955" s="36" t="s">
        <v>1656</v>
      </c>
      <c r="J2955" s="36" t="s">
        <v>1656</v>
      </c>
      <c r="K2955" s="36" t="s">
        <v>1695</v>
      </c>
      <c r="L2955" s="36" t="s">
        <v>6585</v>
      </c>
      <c r="M2955" s="36" t="s">
        <v>6585</v>
      </c>
      <c r="N2955" s="36" t="s">
        <v>32</v>
      </c>
    </row>
    <row r="2956">
      <c r="A2956" s="36" t="s">
        <v>6718</v>
      </c>
      <c r="B2956" s="154" t="s">
        <v>6719</v>
      </c>
      <c r="C2956" s="36" t="s">
        <v>1666</v>
      </c>
      <c r="D2956" s="36" t="s">
        <v>210</v>
      </c>
      <c r="E2956" s="36" t="s">
        <v>210</v>
      </c>
      <c r="F2956" s="154" t="s">
        <v>1816</v>
      </c>
      <c r="G2956" s="36" t="s">
        <v>28</v>
      </c>
      <c r="H2956" s="36" t="s">
        <v>1655</v>
      </c>
      <c r="I2956" s="36" t="s">
        <v>1656</v>
      </c>
      <c r="J2956" s="36" t="s">
        <v>1656</v>
      </c>
      <c r="K2956" s="36" t="s">
        <v>1698</v>
      </c>
      <c r="L2956" s="36" t="s">
        <v>6585</v>
      </c>
      <c r="M2956" s="36" t="s">
        <v>6585</v>
      </c>
      <c r="N2956" s="36" t="s">
        <v>32</v>
      </c>
    </row>
    <row r="2957">
      <c r="A2957" s="36" t="s">
        <v>6720</v>
      </c>
      <c r="B2957" s="154" t="s">
        <v>6719</v>
      </c>
      <c r="C2957" s="36" t="s">
        <v>1666</v>
      </c>
      <c r="D2957" s="36" t="s">
        <v>288</v>
      </c>
      <c r="E2957" s="36" t="s">
        <v>288</v>
      </c>
      <c r="F2957" s="154" t="s">
        <v>1871</v>
      </c>
      <c r="G2957" s="36" t="s">
        <v>32</v>
      </c>
      <c r="H2957" s="36" t="s">
        <v>1655</v>
      </c>
      <c r="I2957" s="36" t="s">
        <v>1656</v>
      </c>
      <c r="J2957" s="36" t="s">
        <v>1656</v>
      </c>
      <c r="K2957" s="36" t="s">
        <v>1701</v>
      </c>
      <c r="L2957" s="36" t="s">
        <v>6585</v>
      </c>
      <c r="M2957" s="36" t="s">
        <v>6585</v>
      </c>
      <c r="N2957" s="36" t="s">
        <v>32</v>
      </c>
    </row>
    <row r="2958">
      <c r="A2958" s="36" t="s">
        <v>6721</v>
      </c>
      <c r="B2958" s="154" t="s">
        <v>6722</v>
      </c>
      <c r="C2958" s="36" t="s">
        <v>1666</v>
      </c>
      <c r="D2958" s="36" t="s">
        <v>470</v>
      </c>
      <c r="E2958" s="36" t="s">
        <v>470</v>
      </c>
      <c r="F2958" s="154" t="s">
        <v>2156</v>
      </c>
      <c r="G2958" s="36" t="s">
        <v>28</v>
      </c>
      <c r="H2958" s="36" t="s">
        <v>1655</v>
      </c>
      <c r="I2958" s="36" t="s">
        <v>1656</v>
      </c>
      <c r="J2958" s="36" t="s">
        <v>1656</v>
      </c>
      <c r="K2958" s="36" t="s">
        <v>1704</v>
      </c>
      <c r="L2958" s="36" t="s">
        <v>6585</v>
      </c>
      <c r="M2958" s="36" t="s">
        <v>6585</v>
      </c>
      <c r="N2958" s="36" t="s">
        <v>32</v>
      </c>
    </row>
    <row r="2959">
      <c r="A2959" s="36" t="s">
        <v>6723</v>
      </c>
      <c r="B2959" s="154" t="s">
        <v>6722</v>
      </c>
      <c r="C2959" s="36" t="s">
        <v>1666</v>
      </c>
      <c r="D2959" s="36" t="s">
        <v>445</v>
      </c>
      <c r="E2959" s="36" t="s">
        <v>445</v>
      </c>
      <c r="F2959" s="154" t="s">
        <v>2006</v>
      </c>
      <c r="G2959" s="36" t="s">
        <v>28</v>
      </c>
      <c r="H2959" s="36" t="s">
        <v>1655</v>
      </c>
      <c r="I2959" s="36" t="s">
        <v>1656</v>
      </c>
      <c r="J2959" s="36" t="s">
        <v>1656</v>
      </c>
      <c r="K2959" s="36" t="s">
        <v>1711</v>
      </c>
      <c r="L2959" s="36" t="s">
        <v>6585</v>
      </c>
      <c r="M2959" s="36" t="s">
        <v>6585</v>
      </c>
      <c r="N2959" s="36" t="s">
        <v>32</v>
      </c>
    </row>
    <row r="2960">
      <c r="A2960" s="36" t="s">
        <v>6724</v>
      </c>
      <c r="B2960" s="154" t="s">
        <v>6725</v>
      </c>
      <c r="C2960" s="36" t="s">
        <v>1653</v>
      </c>
      <c r="D2960" s="36" t="s">
        <v>415</v>
      </c>
      <c r="E2960" s="36" t="s">
        <v>39</v>
      </c>
      <c r="F2960" s="154" t="s">
        <v>3148</v>
      </c>
      <c r="G2960" s="36" t="s">
        <v>32</v>
      </c>
      <c r="H2960" s="36" t="s">
        <v>1655</v>
      </c>
      <c r="I2960" s="36" t="s">
        <v>1656</v>
      </c>
      <c r="J2960" s="36" t="s">
        <v>1656</v>
      </c>
      <c r="K2960" s="36" t="s">
        <v>1749</v>
      </c>
      <c r="L2960" s="36" t="s">
        <v>6583</v>
      </c>
      <c r="M2960" s="36" t="s">
        <v>6583</v>
      </c>
      <c r="N2960" s="36" t="s">
        <v>32</v>
      </c>
    </row>
    <row r="2961">
      <c r="A2961" s="36" t="s">
        <v>6726</v>
      </c>
      <c r="B2961" s="154" t="s">
        <v>6725</v>
      </c>
      <c r="C2961" s="36" t="s">
        <v>1666</v>
      </c>
      <c r="D2961" s="36" t="s">
        <v>66</v>
      </c>
      <c r="E2961" s="36" t="s">
        <v>66</v>
      </c>
      <c r="F2961" s="154" t="s">
        <v>6727</v>
      </c>
      <c r="G2961" s="36" t="s">
        <v>28</v>
      </c>
      <c r="H2961" s="36" t="s">
        <v>1655</v>
      </c>
      <c r="I2961" s="36" t="s">
        <v>1656</v>
      </c>
      <c r="J2961" s="36" t="s">
        <v>1656</v>
      </c>
      <c r="K2961" s="36" t="s">
        <v>1721</v>
      </c>
      <c r="L2961" s="36" t="s">
        <v>6585</v>
      </c>
      <c r="M2961" s="36" t="s">
        <v>6585</v>
      </c>
      <c r="N2961" s="36" t="s">
        <v>32</v>
      </c>
    </row>
    <row r="2962">
      <c r="A2962" s="36" t="s">
        <v>6728</v>
      </c>
      <c r="B2962" s="154" t="s">
        <v>6729</v>
      </c>
      <c r="C2962" s="36" t="s">
        <v>1666</v>
      </c>
      <c r="D2962" s="36" t="s">
        <v>191</v>
      </c>
      <c r="E2962" s="36" t="s">
        <v>191</v>
      </c>
      <c r="F2962" s="154" t="s">
        <v>1816</v>
      </c>
      <c r="G2962" s="36" t="s">
        <v>28</v>
      </c>
      <c r="H2962" s="36" t="s">
        <v>1655</v>
      </c>
      <c r="I2962" s="36" t="s">
        <v>1656</v>
      </c>
      <c r="J2962" s="36" t="s">
        <v>1656</v>
      </c>
      <c r="K2962" s="36" t="s">
        <v>1715</v>
      </c>
      <c r="L2962" s="36" t="s">
        <v>6585</v>
      </c>
      <c r="M2962" s="36" t="s">
        <v>6585</v>
      </c>
      <c r="N2962" s="36" t="s">
        <v>32</v>
      </c>
    </row>
    <row r="2963">
      <c r="A2963" s="36" t="s">
        <v>6730</v>
      </c>
      <c r="B2963" s="154" t="s">
        <v>6731</v>
      </c>
      <c r="C2963" s="36" t="s">
        <v>1653</v>
      </c>
      <c r="D2963" s="36" t="s">
        <v>55</v>
      </c>
      <c r="E2963" s="36" t="s">
        <v>39</v>
      </c>
      <c r="F2963" s="154" t="s">
        <v>6732</v>
      </c>
      <c r="G2963" s="36" t="s">
        <v>32</v>
      </c>
      <c r="H2963" s="36" t="s">
        <v>1655</v>
      </c>
      <c r="I2963" s="36" t="s">
        <v>1656</v>
      </c>
      <c r="J2963" s="36" t="s">
        <v>1656</v>
      </c>
      <c r="K2963" s="36" t="s">
        <v>1989</v>
      </c>
      <c r="L2963" s="36" t="s">
        <v>6583</v>
      </c>
      <c r="M2963" s="36" t="s">
        <v>6583</v>
      </c>
      <c r="N2963" s="36" t="s">
        <v>32</v>
      </c>
    </row>
    <row r="2964">
      <c r="A2964" s="36" t="s">
        <v>6733</v>
      </c>
      <c r="B2964" s="154" t="s">
        <v>6731</v>
      </c>
      <c r="C2964" s="36" t="s">
        <v>1653</v>
      </c>
      <c r="D2964" s="36" t="s">
        <v>422</v>
      </c>
      <c r="E2964" s="36" t="s">
        <v>39</v>
      </c>
      <c r="F2964" s="154" t="s">
        <v>6734</v>
      </c>
      <c r="G2964" s="36" t="s">
        <v>32</v>
      </c>
      <c r="H2964" s="36" t="s">
        <v>1655</v>
      </c>
      <c r="I2964" s="36" t="s">
        <v>1656</v>
      </c>
      <c r="J2964" s="36" t="s">
        <v>1656</v>
      </c>
      <c r="K2964" s="36" t="s">
        <v>2848</v>
      </c>
      <c r="L2964" s="36" t="s">
        <v>6583</v>
      </c>
      <c r="M2964" s="36" t="s">
        <v>6583</v>
      </c>
      <c r="N2964" s="36" t="s">
        <v>32</v>
      </c>
    </row>
    <row r="2965">
      <c r="A2965" s="36" t="s">
        <v>6735</v>
      </c>
      <c r="B2965" s="154" t="s">
        <v>6731</v>
      </c>
      <c r="C2965" s="36" t="s">
        <v>1666</v>
      </c>
      <c r="D2965" s="36" t="s">
        <v>71</v>
      </c>
      <c r="E2965" s="36" t="s">
        <v>71</v>
      </c>
      <c r="F2965" s="154" t="s">
        <v>6736</v>
      </c>
      <c r="G2965" s="36" t="s">
        <v>32</v>
      </c>
      <c r="H2965" s="36" t="s">
        <v>1655</v>
      </c>
      <c r="I2965" s="36" t="s">
        <v>1656</v>
      </c>
      <c r="J2965" s="36" t="s">
        <v>1656</v>
      </c>
      <c r="K2965" s="36" t="s">
        <v>1752</v>
      </c>
      <c r="L2965" s="36" t="s">
        <v>6585</v>
      </c>
      <c r="M2965" s="36" t="s">
        <v>6585</v>
      </c>
      <c r="N2965" s="36" t="s">
        <v>32</v>
      </c>
    </row>
    <row r="2966">
      <c r="A2966" s="36" t="s">
        <v>6737</v>
      </c>
      <c r="B2966" s="154" t="s">
        <v>6731</v>
      </c>
      <c r="C2966" s="36" t="s">
        <v>1666</v>
      </c>
      <c r="D2966" s="36" t="s">
        <v>73</v>
      </c>
      <c r="E2966" s="36" t="s">
        <v>73</v>
      </c>
      <c r="F2966" s="154" t="s">
        <v>6738</v>
      </c>
      <c r="G2966" s="36" t="s">
        <v>28</v>
      </c>
      <c r="H2966" s="36" t="s">
        <v>1655</v>
      </c>
      <c r="I2966" s="36" t="s">
        <v>1656</v>
      </c>
      <c r="J2966" s="36" t="s">
        <v>1656</v>
      </c>
      <c r="K2966" s="36" t="s">
        <v>1755</v>
      </c>
      <c r="L2966" s="36" t="s">
        <v>6585</v>
      </c>
      <c r="M2966" s="36" t="s">
        <v>6585</v>
      </c>
      <c r="N2966" s="36" t="s">
        <v>32</v>
      </c>
    </row>
    <row r="2967">
      <c r="A2967" s="36" t="s">
        <v>6739</v>
      </c>
      <c r="B2967" s="154" t="s">
        <v>6731</v>
      </c>
      <c r="C2967" s="36" t="s">
        <v>1666</v>
      </c>
      <c r="D2967" s="36" t="s">
        <v>74</v>
      </c>
      <c r="E2967" s="36" t="s">
        <v>74</v>
      </c>
      <c r="F2967" s="154" t="s">
        <v>6740</v>
      </c>
      <c r="G2967" s="36" t="s">
        <v>32</v>
      </c>
      <c r="H2967" s="36" t="s">
        <v>1655</v>
      </c>
      <c r="I2967" s="36" t="s">
        <v>1656</v>
      </c>
      <c r="J2967" s="36" t="s">
        <v>1656</v>
      </c>
      <c r="K2967" s="36" t="s">
        <v>1757</v>
      </c>
      <c r="L2967" s="36" t="s">
        <v>6585</v>
      </c>
      <c r="M2967" s="36" t="s">
        <v>6585</v>
      </c>
      <c r="N2967" s="36" t="s">
        <v>32</v>
      </c>
    </row>
    <row r="2968">
      <c r="A2968" s="36" t="s">
        <v>6741</v>
      </c>
      <c r="B2968" s="154" t="s">
        <v>6731</v>
      </c>
      <c r="C2968" s="36" t="s">
        <v>1666</v>
      </c>
      <c r="D2968" s="36" t="s">
        <v>75</v>
      </c>
      <c r="E2968" s="36" t="s">
        <v>75</v>
      </c>
      <c r="F2968" s="154" t="s">
        <v>6742</v>
      </c>
      <c r="G2968" s="36" t="s">
        <v>28</v>
      </c>
      <c r="H2968" s="36" t="s">
        <v>1655</v>
      </c>
      <c r="I2968" s="36" t="s">
        <v>1656</v>
      </c>
      <c r="J2968" s="36" t="s">
        <v>1656</v>
      </c>
      <c r="K2968" s="36" t="s">
        <v>1760</v>
      </c>
      <c r="L2968" s="36" t="s">
        <v>6585</v>
      </c>
      <c r="M2968" s="36" t="s">
        <v>6585</v>
      </c>
      <c r="N2968" s="36" t="s">
        <v>32</v>
      </c>
    </row>
    <row r="2969">
      <c r="A2969" s="36" t="s">
        <v>6743</v>
      </c>
      <c r="B2969" s="154" t="s">
        <v>6731</v>
      </c>
      <c r="C2969" s="36" t="s">
        <v>1666</v>
      </c>
      <c r="D2969" s="36" t="s">
        <v>76</v>
      </c>
      <c r="E2969" s="36" t="s">
        <v>76</v>
      </c>
      <c r="F2969" s="154" t="s">
        <v>6744</v>
      </c>
      <c r="G2969" s="36" t="s">
        <v>28</v>
      </c>
      <c r="H2969" s="36" t="s">
        <v>1655</v>
      </c>
      <c r="I2969" s="36" t="s">
        <v>1656</v>
      </c>
      <c r="J2969" s="36" t="s">
        <v>1656</v>
      </c>
      <c r="K2969" s="36" t="s">
        <v>1763</v>
      </c>
      <c r="L2969" s="36" t="s">
        <v>6585</v>
      </c>
      <c r="M2969" s="36" t="s">
        <v>6585</v>
      </c>
      <c r="N2969" s="36" t="s">
        <v>32</v>
      </c>
    </row>
    <row r="2970">
      <c r="A2970" s="36" t="s">
        <v>6745</v>
      </c>
      <c r="B2970" s="154" t="s">
        <v>6731</v>
      </c>
      <c r="C2970" s="36" t="s">
        <v>1666</v>
      </c>
      <c r="D2970" s="36" t="s">
        <v>77</v>
      </c>
      <c r="E2970" s="36" t="s">
        <v>77</v>
      </c>
      <c r="F2970" s="154" t="s">
        <v>1768</v>
      </c>
      <c r="G2970" s="36" t="s">
        <v>34</v>
      </c>
      <c r="H2970" s="36" t="s">
        <v>1655</v>
      </c>
      <c r="I2970" s="36" t="s">
        <v>1656</v>
      </c>
      <c r="J2970" s="36" t="s">
        <v>1656</v>
      </c>
      <c r="K2970" s="36" t="s">
        <v>1766</v>
      </c>
      <c r="L2970" s="36" t="s">
        <v>6585</v>
      </c>
      <c r="M2970" s="36" t="s">
        <v>6585</v>
      </c>
      <c r="N2970" s="36" t="s">
        <v>32</v>
      </c>
    </row>
    <row r="2971">
      <c r="A2971" s="36" t="s">
        <v>6746</v>
      </c>
      <c r="B2971" s="154" t="s">
        <v>6731</v>
      </c>
      <c r="C2971" s="36" t="s">
        <v>1666</v>
      </c>
      <c r="D2971" s="36" t="s">
        <v>513</v>
      </c>
      <c r="E2971" s="36" t="s">
        <v>513</v>
      </c>
      <c r="F2971" s="154" t="s">
        <v>6747</v>
      </c>
      <c r="G2971" s="36" t="s">
        <v>32</v>
      </c>
      <c r="H2971" s="36" t="s">
        <v>1655</v>
      </c>
      <c r="I2971" s="36" t="s">
        <v>1656</v>
      </c>
      <c r="J2971" s="36" t="s">
        <v>1656</v>
      </c>
      <c r="K2971" s="36" t="s">
        <v>1717</v>
      </c>
      <c r="L2971" s="36" t="s">
        <v>6585</v>
      </c>
      <c r="M2971" s="36" t="s">
        <v>6585</v>
      </c>
      <c r="N2971" s="36" t="s">
        <v>32</v>
      </c>
    </row>
    <row r="2972">
      <c r="A2972" s="36" t="s">
        <v>6748</v>
      </c>
      <c r="B2972" s="154" t="s">
        <v>6731</v>
      </c>
      <c r="C2972" s="36" t="s">
        <v>1666</v>
      </c>
      <c r="D2972" s="36" t="s">
        <v>480</v>
      </c>
      <c r="E2972" s="36" t="s">
        <v>480</v>
      </c>
      <c r="F2972" s="154" t="s">
        <v>1799</v>
      </c>
      <c r="G2972" s="36" t="s">
        <v>28</v>
      </c>
      <c r="H2972" s="36" t="s">
        <v>1655</v>
      </c>
      <c r="I2972" s="36" t="s">
        <v>1656</v>
      </c>
      <c r="J2972" s="36" t="s">
        <v>1656</v>
      </c>
      <c r="K2972" s="36" t="s">
        <v>1724</v>
      </c>
      <c r="L2972" s="36" t="s">
        <v>6585</v>
      </c>
      <c r="M2972" s="36" t="s">
        <v>6585</v>
      </c>
      <c r="N2972" s="36" t="s">
        <v>32</v>
      </c>
    </row>
    <row r="2973">
      <c r="A2973" s="36" t="s">
        <v>6749</v>
      </c>
      <c r="B2973" s="154" t="s">
        <v>6731</v>
      </c>
      <c r="C2973" s="36" t="s">
        <v>1666</v>
      </c>
      <c r="D2973" s="36" t="s">
        <v>226</v>
      </c>
      <c r="E2973" s="36" t="s">
        <v>226</v>
      </c>
      <c r="F2973" s="154" t="s">
        <v>6750</v>
      </c>
      <c r="G2973" s="36" t="s">
        <v>32</v>
      </c>
      <c r="H2973" s="36" t="s">
        <v>1655</v>
      </c>
      <c r="I2973" s="36" t="s">
        <v>1656</v>
      </c>
      <c r="J2973" s="36" t="s">
        <v>1656</v>
      </c>
      <c r="K2973" s="36" t="s">
        <v>1727</v>
      </c>
      <c r="L2973" s="36" t="s">
        <v>6585</v>
      </c>
      <c r="M2973" s="36" t="s">
        <v>6585</v>
      </c>
      <c r="N2973" s="36" t="s">
        <v>32</v>
      </c>
    </row>
    <row r="2974">
      <c r="A2974" s="36" t="s">
        <v>6751</v>
      </c>
      <c r="B2974" s="154" t="s">
        <v>6731</v>
      </c>
      <c r="C2974" s="36" t="s">
        <v>1666</v>
      </c>
      <c r="D2974" s="36" t="s">
        <v>220</v>
      </c>
      <c r="E2974" s="36" t="s">
        <v>220</v>
      </c>
      <c r="F2974" s="154" t="s">
        <v>6752</v>
      </c>
      <c r="G2974" s="36" t="s">
        <v>28</v>
      </c>
      <c r="H2974" s="36" t="s">
        <v>1655</v>
      </c>
      <c r="I2974" s="36" t="s">
        <v>1656</v>
      </c>
      <c r="J2974" s="36" t="s">
        <v>1656</v>
      </c>
      <c r="K2974" s="36" t="s">
        <v>1730</v>
      </c>
      <c r="L2974" s="36" t="s">
        <v>6585</v>
      </c>
      <c r="M2974" s="36" t="s">
        <v>6585</v>
      </c>
      <c r="N2974" s="36" t="s">
        <v>32</v>
      </c>
    </row>
    <row r="2975">
      <c r="A2975" s="36" t="s">
        <v>6753</v>
      </c>
      <c r="B2975" s="154" t="s">
        <v>6754</v>
      </c>
      <c r="C2975" s="36" t="s">
        <v>1666</v>
      </c>
      <c r="D2975" s="36" t="s">
        <v>532</v>
      </c>
      <c r="E2975" s="36" t="s">
        <v>532</v>
      </c>
      <c r="F2975" s="154" t="s">
        <v>2930</v>
      </c>
      <c r="G2975" s="36" t="s">
        <v>28</v>
      </c>
      <c r="H2975" s="36" t="s">
        <v>1655</v>
      </c>
      <c r="I2975" s="36" t="s">
        <v>1656</v>
      </c>
      <c r="J2975" s="36" t="s">
        <v>1656</v>
      </c>
      <c r="K2975" s="36" t="s">
        <v>1732</v>
      </c>
      <c r="L2975" s="36" t="s">
        <v>6585</v>
      </c>
      <c r="M2975" s="36" t="s">
        <v>6585</v>
      </c>
      <c r="N2975" s="36" t="s">
        <v>34</v>
      </c>
    </row>
    <row r="2976">
      <c r="A2976" s="36" t="s">
        <v>6755</v>
      </c>
      <c r="B2976" s="154" t="s">
        <v>6756</v>
      </c>
      <c r="C2976" s="36" t="s">
        <v>1666</v>
      </c>
      <c r="D2976" s="36" t="s">
        <v>540</v>
      </c>
      <c r="E2976" s="36" t="s">
        <v>540</v>
      </c>
      <c r="F2976" s="154" t="s">
        <v>1768</v>
      </c>
      <c r="G2976" s="36" t="s">
        <v>28</v>
      </c>
      <c r="H2976" s="36" t="s">
        <v>1655</v>
      </c>
      <c r="I2976" s="36" t="s">
        <v>1656</v>
      </c>
      <c r="J2976" s="36" t="s">
        <v>1656</v>
      </c>
      <c r="K2976" s="36" t="s">
        <v>1736</v>
      </c>
      <c r="L2976" s="36" t="s">
        <v>6585</v>
      </c>
      <c r="M2976" s="36" t="s">
        <v>6585</v>
      </c>
      <c r="N2976" s="36" t="s">
        <v>32</v>
      </c>
    </row>
    <row r="2977">
      <c r="A2977" s="36" t="s">
        <v>6757</v>
      </c>
      <c r="B2977" s="154" t="s">
        <v>6756</v>
      </c>
      <c r="C2977" s="36" t="s">
        <v>1666</v>
      </c>
      <c r="D2977" s="36" t="s">
        <v>92</v>
      </c>
      <c r="E2977" s="36" t="s">
        <v>92</v>
      </c>
      <c r="F2977" s="154" t="s">
        <v>1816</v>
      </c>
      <c r="G2977" s="36" t="s">
        <v>32</v>
      </c>
      <c r="H2977" s="36" t="s">
        <v>1655</v>
      </c>
      <c r="I2977" s="36" t="s">
        <v>1656</v>
      </c>
      <c r="J2977" s="36" t="s">
        <v>1656</v>
      </c>
      <c r="K2977" s="36" t="s">
        <v>1739</v>
      </c>
      <c r="L2977" s="36" t="s">
        <v>6585</v>
      </c>
      <c r="M2977" s="36" t="s">
        <v>6585</v>
      </c>
      <c r="N2977" s="36" t="s">
        <v>32</v>
      </c>
    </row>
    <row r="2978">
      <c r="A2978" s="36" t="s">
        <v>6758</v>
      </c>
      <c r="B2978" s="154" t="s">
        <v>6756</v>
      </c>
      <c r="C2978" s="36" t="s">
        <v>1666</v>
      </c>
      <c r="D2978" s="36" t="s">
        <v>92</v>
      </c>
      <c r="E2978" s="36" t="s">
        <v>92</v>
      </c>
      <c r="F2978" s="154" t="s">
        <v>2039</v>
      </c>
      <c r="G2978" s="36" t="s">
        <v>32</v>
      </c>
      <c r="H2978" s="36" t="s">
        <v>1655</v>
      </c>
      <c r="I2978" s="36" t="s">
        <v>1656</v>
      </c>
      <c r="J2978" s="36" t="s">
        <v>1656</v>
      </c>
      <c r="K2978" s="36" t="s">
        <v>1742</v>
      </c>
      <c r="L2978" s="36" t="s">
        <v>6585</v>
      </c>
      <c r="M2978" s="36" t="s">
        <v>6585</v>
      </c>
      <c r="N2978" s="36" t="s">
        <v>32</v>
      </c>
    </row>
    <row r="2979">
      <c r="A2979" s="36" t="s">
        <v>6759</v>
      </c>
      <c r="B2979" s="154" t="s">
        <v>6756</v>
      </c>
      <c r="C2979" s="36" t="s">
        <v>1666</v>
      </c>
      <c r="D2979" s="36" t="s">
        <v>551</v>
      </c>
      <c r="E2979" s="36" t="s">
        <v>551</v>
      </c>
      <c r="F2979" s="154" t="s">
        <v>1899</v>
      </c>
      <c r="G2979" s="36" t="s">
        <v>32</v>
      </c>
      <c r="H2979" s="36" t="s">
        <v>1655</v>
      </c>
      <c r="I2979" s="36" t="s">
        <v>1656</v>
      </c>
      <c r="J2979" s="36" t="s">
        <v>1656</v>
      </c>
      <c r="K2979" s="36" t="s">
        <v>1745</v>
      </c>
      <c r="L2979" s="36" t="s">
        <v>6585</v>
      </c>
      <c r="M2979" s="36" t="s">
        <v>6585</v>
      </c>
      <c r="N2979" s="36" t="s">
        <v>32</v>
      </c>
    </row>
    <row r="2980">
      <c r="A2980" s="36" t="s">
        <v>6760</v>
      </c>
      <c r="B2980" s="154" t="s">
        <v>6756</v>
      </c>
      <c r="C2980" s="36" t="s">
        <v>1666</v>
      </c>
      <c r="D2980" s="36" t="s">
        <v>355</v>
      </c>
      <c r="E2980" s="36" t="s">
        <v>355</v>
      </c>
      <c r="F2980" s="154" t="s">
        <v>1686</v>
      </c>
      <c r="G2980" s="36" t="s">
        <v>32</v>
      </c>
      <c r="H2980" s="36" t="s">
        <v>1655</v>
      </c>
      <c r="I2980" s="36" t="s">
        <v>1656</v>
      </c>
      <c r="J2980" s="36" t="s">
        <v>1656</v>
      </c>
      <c r="K2980" s="36" t="s">
        <v>1773</v>
      </c>
      <c r="L2980" s="36" t="s">
        <v>6585</v>
      </c>
      <c r="M2980" s="36" t="s">
        <v>6585</v>
      </c>
      <c r="N2980" s="36" t="s">
        <v>32</v>
      </c>
    </row>
    <row r="2981">
      <c r="A2981" s="36" t="s">
        <v>6761</v>
      </c>
      <c r="B2981" s="154" t="s">
        <v>6756</v>
      </c>
      <c r="C2981" s="36" t="s">
        <v>1666</v>
      </c>
      <c r="D2981" s="36" t="s">
        <v>564</v>
      </c>
      <c r="E2981" s="36" t="s">
        <v>564</v>
      </c>
      <c r="F2981" s="154" t="s">
        <v>2728</v>
      </c>
      <c r="G2981" s="36" t="s">
        <v>32</v>
      </c>
      <c r="H2981" s="36" t="s">
        <v>1655</v>
      </c>
      <c r="I2981" s="36" t="s">
        <v>1656</v>
      </c>
      <c r="J2981" s="36" t="s">
        <v>1656</v>
      </c>
      <c r="K2981" s="36" t="s">
        <v>1776</v>
      </c>
      <c r="L2981" s="36" t="s">
        <v>6585</v>
      </c>
      <c r="M2981" s="36" t="s">
        <v>6585</v>
      </c>
      <c r="N2981" s="36" t="s">
        <v>32</v>
      </c>
    </row>
    <row r="2982">
      <c r="A2982" s="36" t="s">
        <v>6762</v>
      </c>
      <c r="B2982" s="154" t="s">
        <v>6756</v>
      </c>
      <c r="C2982" s="36" t="s">
        <v>1666</v>
      </c>
      <c r="D2982" s="36" t="s">
        <v>89</v>
      </c>
      <c r="E2982" s="36" t="s">
        <v>89</v>
      </c>
      <c r="F2982" s="154" t="s">
        <v>2432</v>
      </c>
      <c r="G2982" s="36" t="s">
        <v>28</v>
      </c>
      <c r="H2982" s="36" t="s">
        <v>1655</v>
      </c>
      <c r="I2982" s="36" t="s">
        <v>1656</v>
      </c>
      <c r="J2982" s="36" t="s">
        <v>1656</v>
      </c>
      <c r="K2982" s="36" t="s">
        <v>1779</v>
      </c>
      <c r="L2982" s="36" t="s">
        <v>6585</v>
      </c>
      <c r="M2982" s="36" t="s">
        <v>6585</v>
      </c>
      <c r="N2982" s="36" t="s">
        <v>32</v>
      </c>
    </row>
    <row r="2983">
      <c r="A2983" s="36" t="s">
        <v>6763</v>
      </c>
      <c r="B2983" s="154" t="s">
        <v>6756</v>
      </c>
      <c r="C2983" s="36" t="s">
        <v>1666</v>
      </c>
      <c r="D2983" s="36" t="s">
        <v>115</v>
      </c>
      <c r="E2983" s="36" t="s">
        <v>115</v>
      </c>
      <c r="F2983" s="154" t="s">
        <v>1683</v>
      </c>
      <c r="G2983" s="36" t="s">
        <v>32</v>
      </c>
      <c r="H2983" s="36" t="s">
        <v>1655</v>
      </c>
      <c r="I2983" s="36" t="s">
        <v>1656</v>
      </c>
      <c r="J2983" s="36" t="s">
        <v>1656</v>
      </c>
      <c r="K2983" s="36" t="s">
        <v>1782</v>
      </c>
      <c r="L2983" s="36" t="s">
        <v>6585</v>
      </c>
      <c r="M2983" s="36" t="s">
        <v>6585</v>
      </c>
      <c r="N2983" s="36" t="s">
        <v>32</v>
      </c>
    </row>
    <row r="2984">
      <c r="A2984" s="36" t="s">
        <v>6764</v>
      </c>
      <c r="B2984" s="154" t="s">
        <v>6756</v>
      </c>
      <c r="C2984" s="36" t="s">
        <v>1666</v>
      </c>
      <c r="D2984" s="36" t="s">
        <v>114</v>
      </c>
      <c r="E2984" s="36" t="s">
        <v>114</v>
      </c>
      <c r="F2984" s="154" t="s">
        <v>1799</v>
      </c>
      <c r="G2984" s="36" t="s">
        <v>32</v>
      </c>
      <c r="H2984" s="36" t="s">
        <v>1655</v>
      </c>
      <c r="I2984" s="36" t="s">
        <v>1656</v>
      </c>
      <c r="J2984" s="36" t="s">
        <v>1656</v>
      </c>
      <c r="K2984" s="36" t="s">
        <v>1784</v>
      </c>
      <c r="L2984" s="36" t="s">
        <v>6585</v>
      </c>
      <c r="M2984" s="36" t="s">
        <v>6585</v>
      </c>
      <c r="N2984" s="36" t="s">
        <v>32</v>
      </c>
    </row>
    <row r="2985">
      <c r="A2985" s="36" t="s">
        <v>6765</v>
      </c>
      <c r="B2985" s="154" t="s">
        <v>6766</v>
      </c>
      <c r="C2985" s="36" t="s">
        <v>1666</v>
      </c>
      <c r="D2985" s="36" t="s">
        <v>583</v>
      </c>
      <c r="E2985" s="36" t="s">
        <v>583</v>
      </c>
      <c r="F2985" s="154" t="s">
        <v>5536</v>
      </c>
      <c r="G2985" s="36" t="s">
        <v>28</v>
      </c>
      <c r="H2985" s="36" t="s">
        <v>1655</v>
      </c>
      <c r="I2985" s="36" t="s">
        <v>1656</v>
      </c>
      <c r="J2985" s="36" t="s">
        <v>1656</v>
      </c>
      <c r="K2985" s="36" t="s">
        <v>1787</v>
      </c>
      <c r="L2985" s="36" t="s">
        <v>6585</v>
      </c>
      <c r="M2985" s="36" t="s">
        <v>6585</v>
      </c>
      <c r="N2985" s="36" t="s">
        <v>34</v>
      </c>
    </row>
    <row r="2986">
      <c r="A2986" s="36" t="s">
        <v>6767</v>
      </c>
      <c r="B2986" s="154" t="s">
        <v>6768</v>
      </c>
      <c r="C2986" s="36" t="s">
        <v>1666</v>
      </c>
      <c r="D2986" s="36" t="s">
        <v>299</v>
      </c>
      <c r="E2986" s="36" t="s">
        <v>299</v>
      </c>
      <c r="F2986" s="154" t="s">
        <v>1859</v>
      </c>
      <c r="G2986" s="36" t="s">
        <v>28</v>
      </c>
      <c r="H2986" s="36" t="s">
        <v>1655</v>
      </c>
      <c r="I2986" s="36" t="s">
        <v>1656</v>
      </c>
      <c r="J2986" s="36" t="s">
        <v>1656</v>
      </c>
      <c r="K2986" s="36" t="s">
        <v>1790</v>
      </c>
      <c r="L2986" s="36" t="s">
        <v>6585</v>
      </c>
      <c r="M2986" s="36" t="s">
        <v>6585</v>
      </c>
      <c r="N2986" s="36" t="s">
        <v>34</v>
      </c>
    </row>
    <row r="2987">
      <c r="A2987" s="36" t="s">
        <v>6769</v>
      </c>
      <c r="B2987" s="154" t="s">
        <v>6768</v>
      </c>
      <c r="C2987" s="36" t="s">
        <v>1666</v>
      </c>
      <c r="D2987" s="36" t="s">
        <v>597</v>
      </c>
      <c r="E2987" s="36" t="s">
        <v>597</v>
      </c>
      <c r="F2987" s="154" t="s">
        <v>2156</v>
      </c>
      <c r="G2987" s="36" t="s">
        <v>28</v>
      </c>
      <c r="H2987" s="36" t="s">
        <v>1655</v>
      </c>
      <c r="I2987" s="36" t="s">
        <v>1656</v>
      </c>
      <c r="J2987" s="36" t="s">
        <v>1656</v>
      </c>
      <c r="K2987" s="36" t="s">
        <v>1793</v>
      </c>
      <c r="L2987" s="36" t="s">
        <v>6585</v>
      </c>
      <c r="M2987" s="36" t="s">
        <v>6585</v>
      </c>
      <c r="N2987" s="36" t="s">
        <v>34</v>
      </c>
    </row>
    <row r="2988">
      <c r="A2988" s="36" t="s">
        <v>6770</v>
      </c>
      <c r="B2988" s="154" t="s">
        <v>6771</v>
      </c>
      <c r="C2988" s="36" t="s">
        <v>1666</v>
      </c>
      <c r="D2988" s="36" t="s">
        <v>109</v>
      </c>
      <c r="E2988" s="36" t="s">
        <v>109</v>
      </c>
      <c r="F2988" s="154" t="s">
        <v>1690</v>
      </c>
      <c r="G2988" s="36" t="s">
        <v>28</v>
      </c>
      <c r="H2988" s="36" t="s">
        <v>1655</v>
      </c>
      <c r="I2988" s="36" t="s">
        <v>1656</v>
      </c>
      <c r="J2988" s="36" t="s">
        <v>1656</v>
      </c>
      <c r="K2988" s="36" t="s">
        <v>1796</v>
      </c>
      <c r="L2988" s="36" t="s">
        <v>6585</v>
      </c>
      <c r="M2988" s="36" t="s">
        <v>6585</v>
      </c>
      <c r="N2988" s="36" t="s">
        <v>34</v>
      </c>
    </row>
    <row r="2989">
      <c r="A2989" s="36" t="s">
        <v>6772</v>
      </c>
      <c r="B2989" s="154" t="s">
        <v>6771</v>
      </c>
      <c r="C2989" s="36" t="s">
        <v>1666</v>
      </c>
      <c r="D2989" s="36" t="s">
        <v>607</v>
      </c>
      <c r="E2989" s="36" t="s">
        <v>607</v>
      </c>
      <c r="F2989" s="154" t="s">
        <v>3622</v>
      </c>
      <c r="G2989" s="36" t="s">
        <v>30</v>
      </c>
      <c r="H2989" s="36" t="s">
        <v>1655</v>
      </c>
      <c r="I2989" s="36" t="s">
        <v>1656</v>
      </c>
      <c r="J2989" s="36" t="s">
        <v>1656</v>
      </c>
      <c r="K2989" s="36" t="s">
        <v>1800</v>
      </c>
      <c r="L2989" s="36" t="s">
        <v>6585</v>
      </c>
      <c r="M2989" s="36" t="s">
        <v>6585</v>
      </c>
      <c r="N2989" s="36" t="s">
        <v>34</v>
      </c>
    </row>
    <row r="2990">
      <c r="A2990" s="36" t="s">
        <v>6773</v>
      </c>
      <c r="B2990" s="154" t="s">
        <v>6774</v>
      </c>
      <c r="C2990" s="36" t="s">
        <v>1666</v>
      </c>
      <c r="D2990" s="36" t="s">
        <v>89</v>
      </c>
      <c r="E2990" s="36" t="s">
        <v>89</v>
      </c>
      <c r="F2990" s="154" t="s">
        <v>3876</v>
      </c>
      <c r="G2990" s="36" t="s">
        <v>28</v>
      </c>
      <c r="H2990" s="36" t="s">
        <v>1655</v>
      </c>
      <c r="I2990" s="36" t="s">
        <v>1656</v>
      </c>
      <c r="J2990" s="36" t="s">
        <v>1656</v>
      </c>
      <c r="K2990" s="36" t="s">
        <v>1803</v>
      </c>
      <c r="L2990" s="36" t="s">
        <v>6585</v>
      </c>
      <c r="M2990" s="36" t="s">
        <v>6585</v>
      </c>
      <c r="N2990" s="36" t="s">
        <v>32</v>
      </c>
    </row>
    <row r="2991">
      <c r="A2991" s="36" t="s">
        <v>6775</v>
      </c>
      <c r="B2991" s="154" t="s">
        <v>6776</v>
      </c>
      <c r="C2991" s="36" t="s">
        <v>1666</v>
      </c>
      <c r="D2991" s="36" t="s">
        <v>191</v>
      </c>
      <c r="E2991" s="36" t="s">
        <v>191</v>
      </c>
      <c r="F2991" s="154" t="s">
        <v>1816</v>
      </c>
      <c r="G2991" s="36" t="s">
        <v>28</v>
      </c>
      <c r="H2991" s="36" t="s">
        <v>1655</v>
      </c>
      <c r="I2991" s="36" t="s">
        <v>1656</v>
      </c>
      <c r="J2991" s="36" t="s">
        <v>1656</v>
      </c>
      <c r="K2991" s="36" t="s">
        <v>1807</v>
      </c>
      <c r="L2991" s="36" t="s">
        <v>6585</v>
      </c>
      <c r="M2991" s="36" t="s">
        <v>6585</v>
      </c>
      <c r="N2991" s="36" t="s">
        <v>32</v>
      </c>
    </row>
    <row r="2992">
      <c r="A2992" s="36" t="s">
        <v>6777</v>
      </c>
      <c r="B2992" s="154" t="s">
        <v>6778</v>
      </c>
      <c r="C2992" s="36" t="s">
        <v>1666</v>
      </c>
      <c r="D2992" s="36" t="s">
        <v>486</v>
      </c>
      <c r="E2992" s="36" t="s">
        <v>486</v>
      </c>
      <c r="F2992" s="154" t="s">
        <v>3139</v>
      </c>
      <c r="G2992" s="36" t="s">
        <v>28</v>
      </c>
      <c r="H2992" s="36" t="s">
        <v>1655</v>
      </c>
      <c r="I2992" s="36" t="s">
        <v>1656</v>
      </c>
      <c r="J2992" s="36" t="s">
        <v>1656</v>
      </c>
      <c r="K2992" s="36" t="s">
        <v>1814</v>
      </c>
      <c r="L2992" s="36" t="s">
        <v>6585</v>
      </c>
      <c r="M2992" s="36" t="s">
        <v>6585</v>
      </c>
      <c r="N2992" s="36" t="s">
        <v>34</v>
      </c>
    </row>
    <row r="2993">
      <c r="A2993" s="36" t="s">
        <v>6779</v>
      </c>
      <c r="B2993" s="154" t="s">
        <v>6780</v>
      </c>
      <c r="C2993" s="36" t="s">
        <v>1666</v>
      </c>
      <c r="D2993" s="36" t="s">
        <v>89</v>
      </c>
      <c r="E2993" s="36" t="s">
        <v>89</v>
      </c>
      <c r="F2993" s="154" t="s">
        <v>6781</v>
      </c>
      <c r="G2993" s="36" t="s">
        <v>28</v>
      </c>
      <c r="H2993" s="36" t="s">
        <v>1655</v>
      </c>
      <c r="I2993" s="36" t="s">
        <v>1656</v>
      </c>
      <c r="J2993" s="36" t="s">
        <v>1656</v>
      </c>
      <c r="K2993" s="36" t="s">
        <v>1817</v>
      </c>
      <c r="L2993" s="36" t="s">
        <v>6585</v>
      </c>
      <c r="M2993" s="36" t="s">
        <v>6585</v>
      </c>
      <c r="N2993" s="36" t="s">
        <v>32</v>
      </c>
    </row>
    <row r="2994">
      <c r="A2994" s="36" t="s">
        <v>6782</v>
      </c>
      <c r="B2994" s="154" t="s">
        <v>6783</v>
      </c>
      <c r="C2994" s="36" t="s">
        <v>1666</v>
      </c>
      <c r="D2994" s="36" t="s">
        <v>80</v>
      </c>
      <c r="E2994" s="36" t="s">
        <v>80</v>
      </c>
      <c r="F2994" s="154" t="s">
        <v>6672</v>
      </c>
      <c r="G2994" s="36" t="s">
        <v>32</v>
      </c>
      <c r="H2994" s="36" t="s">
        <v>1655</v>
      </c>
      <c r="I2994" s="36" t="s">
        <v>1656</v>
      </c>
      <c r="J2994" s="36" t="s">
        <v>1656</v>
      </c>
      <c r="K2994" s="36" t="s">
        <v>1769</v>
      </c>
      <c r="L2994" s="36" t="s">
        <v>6585</v>
      </c>
      <c r="M2994" s="36" t="s">
        <v>6585</v>
      </c>
      <c r="N2994" s="36" t="s">
        <v>32</v>
      </c>
    </row>
    <row r="2995">
      <c r="A2995" s="36" t="s">
        <v>6784</v>
      </c>
      <c r="B2995" s="154" t="s">
        <v>6783</v>
      </c>
      <c r="C2995" s="36" t="s">
        <v>1666</v>
      </c>
      <c r="D2995" s="36" t="s">
        <v>100</v>
      </c>
      <c r="E2995" s="36" t="s">
        <v>100</v>
      </c>
      <c r="F2995" s="154" t="s">
        <v>1810</v>
      </c>
      <c r="G2995" s="36" t="s">
        <v>32</v>
      </c>
      <c r="H2995" s="36" t="s">
        <v>1655</v>
      </c>
      <c r="I2995" s="36" t="s">
        <v>1656</v>
      </c>
      <c r="J2995" s="36" t="s">
        <v>1656</v>
      </c>
      <c r="K2995" s="36" t="s">
        <v>1820</v>
      </c>
      <c r="L2995" s="36" t="s">
        <v>6585</v>
      </c>
      <c r="M2995" s="36" t="s">
        <v>6585</v>
      </c>
      <c r="N2995" s="36" t="s">
        <v>32</v>
      </c>
    </row>
    <row r="2996">
      <c r="A2996" s="36" t="s">
        <v>6785</v>
      </c>
      <c r="B2996" s="154" t="s">
        <v>6786</v>
      </c>
      <c r="C2996" s="36" t="s">
        <v>1666</v>
      </c>
      <c r="D2996" s="36" t="s">
        <v>104</v>
      </c>
      <c r="E2996" s="36" t="s">
        <v>104</v>
      </c>
      <c r="F2996" s="154" t="s">
        <v>1686</v>
      </c>
      <c r="G2996" s="36" t="s">
        <v>32</v>
      </c>
      <c r="H2996" s="36" t="s">
        <v>1655</v>
      </c>
      <c r="I2996" s="36" t="s">
        <v>1656</v>
      </c>
      <c r="J2996" s="36" t="s">
        <v>1656</v>
      </c>
      <c r="K2996" s="36" t="s">
        <v>1823</v>
      </c>
      <c r="L2996" s="36" t="s">
        <v>6585</v>
      </c>
      <c r="M2996" s="36" t="s">
        <v>6585</v>
      </c>
      <c r="N2996" s="36" t="s">
        <v>32</v>
      </c>
    </row>
    <row r="2997">
      <c r="A2997" s="36" t="s">
        <v>6787</v>
      </c>
      <c r="B2997" s="154" t="s">
        <v>6786</v>
      </c>
      <c r="C2997" s="36" t="s">
        <v>1666</v>
      </c>
      <c r="D2997" s="36" t="s">
        <v>89</v>
      </c>
      <c r="E2997" s="36" t="s">
        <v>89</v>
      </c>
      <c r="F2997" s="154" t="s">
        <v>1768</v>
      </c>
      <c r="G2997" s="36" t="s">
        <v>28</v>
      </c>
      <c r="H2997" s="36" t="s">
        <v>1655</v>
      </c>
      <c r="I2997" s="36" t="s">
        <v>1656</v>
      </c>
      <c r="J2997" s="36" t="s">
        <v>1656</v>
      </c>
      <c r="K2997" s="36" t="s">
        <v>1826</v>
      </c>
      <c r="L2997" s="36" t="s">
        <v>6585</v>
      </c>
      <c r="M2997" s="36" t="s">
        <v>6585</v>
      </c>
      <c r="N2997" s="36" t="s">
        <v>32</v>
      </c>
    </row>
    <row r="2998">
      <c r="A2998" s="36" t="s">
        <v>6788</v>
      </c>
      <c r="B2998" s="154" t="s">
        <v>6789</v>
      </c>
      <c r="C2998" s="36" t="s">
        <v>1666</v>
      </c>
      <c r="D2998" s="36" t="s">
        <v>191</v>
      </c>
      <c r="E2998" s="36" t="s">
        <v>191</v>
      </c>
      <c r="F2998" s="154" t="s">
        <v>1816</v>
      </c>
      <c r="G2998" s="36" t="s">
        <v>28</v>
      </c>
      <c r="H2998" s="36" t="s">
        <v>1655</v>
      </c>
      <c r="I2998" s="36" t="s">
        <v>1656</v>
      </c>
      <c r="J2998" s="36" t="s">
        <v>1656</v>
      </c>
      <c r="K2998" s="36" t="s">
        <v>1830</v>
      </c>
      <c r="L2998" s="36" t="s">
        <v>6585</v>
      </c>
      <c r="M2998" s="36" t="s">
        <v>6585</v>
      </c>
      <c r="N2998" s="36" t="s">
        <v>32</v>
      </c>
    </row>
    <row r="2999">
      <c r="A2999" s="36" t="s">
        <v>6790</v>
      </c>
      <c r="B2999" s="154" t="s">
        <v>6789</v>
      </c>
      <c r="C2999" s="36" t="s">
        <v>1666</v>
      </c>
      <c r="D2999" s="36" t="s">
        <v>130</v>
      </c>
      <c r="E2999" s="36" t="s">
        <v>130</v>
      </c>
      <c r="F2999" s="154" t="s">
        <v>1810</v>
      </c>
      <c r="G2999" s="36" t="s">
        <v>32</v>
      </c>
      <c r="H2999" s="36" t="s">
        <v>1655</v>
      </c>
      <c r="I2999" s="36" t="s">
        <v>1656</v>
      </c>
      <c r="J2999" s="36" t="s">
        <v>1656</v>
      </c>
      <c r="K2999" s="36" t="s">
        <v>1833</v>
      </c>
      <c r="L2999" s="36" t="s">
        <v>6585</v>
      </c>
      <c r="M2999" s="36" t="s">
        <v>6585</v>
      </c>
      <c r="N2999" s="36" t="s">
        <v>32</v>
      </c>
    </row>
    <row r="3000">
      <c r="A3000" s="36" t="s">
        <v>6791</v>
      </c>
      <c r="B3000" s="154" t="s">
        <v>6792</v>
      </c>
      <c r="C3000" s="36" t="s">
        <v>1666</v>
      </c>
      <c r="D3000" s="36" t="s">
        <v>81</v>
      </c>
      <c r="E3000" s="36" t="s">
        <v>81</v>
      </c>
      <c r="F3000" s="154" t="s">
        <v>6680</v>
      </c>
      <c r="G3000" s="36" t="s">
        <v>28</v>
      </c>
      <c r="H3000" s="36" t="s">
        <v>1655</v>
      </c>
      <c r="I3000" s="36" t="s">
        <v>1656</v>
      </c>
      <c r="J3000" s="36" t="s">
        <v>1656</v>
      </c>
      <c r="K3000" s="36" t="s">
        <v>6793</v>
      </c>
      <c r="L3000" s="36" t="s">
        <v>6585</v>
      </c>
      <c r="M3000" s="36" t="s">
        <v>6585</v>
      </c>
      <c r="N3000" s="36" t="s">
        <v>32</v>
      </c>
    </row>
    <row r="3001">
      <c r="A3001" s="36" t="s">
        <v>6794</v>
      </c>
      <c r="B3001" s="154" t="s">
        <v>6792</v>
      </c>
      <c r="C3001" s="36" t="s">
        <v>1666</v>
      </c>
      <c r="D3001" s="36" t="s">
        <v>83</v>
      </c>
      <c r="E3001" s="36" t="s">
        <v>83</v>
      </c>
      <c r="F3001" s="154" t="s">
        <v>6682</v>
      </c>
      <c r="G3001" s="36" t="s">
        <v>28</v>
      </c>
      <c r="H3001" s="36" t="s">
        <v>1655</v>
      </c>
      <c r="I3001" s="36" t="s">
        <v>1656</v>
      </c>
      <c r="J3001" s="36" t="s">
        <v>1656</v>
      </c>
      <c r="K3001" s="36" t="s">
        <v>4408</v>
      </c>
      <c r="L3001" s="36" t="s">
        <v>6585</v>
      </c>
      <c r="M3001" s="36" t="s">
        <v>6585</v>
      </c>
      <c r="N3001" s="36" t="s">
        <v>32</v>
      </c>
    </row>
    <row r="3002">
      <c r="A3002" s="36" t="s">
        <v>6795</v>
      </c>
      <c r="B3002" s="154" t="s">
        <v>6792</v>
      </c>
      <c r="C3002" s="36" t="s">
        <v>1666</v>
      </c>
      <c r="D3002" s="36" t="s">
        <v>84</v>
      </c>
      <c r="E3002" s="36" t="s">
        <v>84</v>
      </c>
      <c r="F3002" s="154" t="s">
        <v>6796</v>
      </c>
      <c r="G3002" s="36" t="s">
        <v>32</v>
      </c>
      <c r="H3002" s="36" t="s">
        <v>1655</v>
      </c>
      <c r="I3002" s="36" t="s">
        <v>1656</v>
      </c>
      <c r="J3002" s="36" t="s">
        <v>1656</v>
      </c>
      <c r="K3002" s="36" t="s">
        <v>3032</v>
      </c>
      <c r="L3002" s="36" t="s">
        <v>6585</v>
      </c>
      <c r="M3002" s="36" t="s">
        <v>6585</v>
      </c>
      <c r="N3002" s="36" t="s">
        <v>32</v>
      </c>
    </row>
    <row r="3003">
      <c r="A3003" s="36" t="s">
        <v>6797</v>
      </c>
      <c r="B3003" s="154" t="s">
        <v>6792</v>
      </c>
      <c r="C3003" s="36" t="s">
        <v>1666</v>
      </c>
      <c r="D3003" s="36" t="s">
        <v>658</v>
      </c>
      <c r="E3003" s="36" t="s">
        <v>658</v>
      </c>
      <c r="F3003" s="154" t="s">
        <v>6798</v>
      </c>
      <c r="G3003" s="36" t="s">
        <v>32</v>
      </c>
      <c r="H3003" s="36" t="s">
        <v>1655</v>
      </c>
      <c r="I3003" s="36" t="s">
        <v>1656</v>
      </c>
      <c r="J3003" s="36" t="s">
        <v>1656</v>
      </c>
      <c r="K3003" s="36" t="s">
        <v>1836</v>
      </c>
      <c r="L3003" s="36" t="s">
        <v>6585</v>
      </c>
      <c r="M3003" s="36" t="s">
        <v>6585</v>
      </c>
      <c r="N3003" s="36" t="s">
        <v>32</v>
      </c>
    </row>
    <row r="3004">
      <c r="A3004" s="36" t="s">
        <v>6799</v>
      </c>
      <c r="B3004" s="154" t="s">
        <v>6792</v>
      </c>
      <c r="C3004" s="36" t="s">
        <v>1666</v>
      </c>
      <c r="D3004" s="36" t="s">
        <v>109</v>
      </c>
      <c r="E3004" s="36" t="s">
        <v>109</v>
      </c>
      <c r="F3004" s="154" t="s">
        <v>3972</v>
      </c>
      <c r="G3004" s="36" t="s">
        <v>28</v>
      </c>
      <c r="H3004" s="36" t="s">
        <v>1655</v>
      </c>
      <c r="I3004" s="36" t="s">
        <v>1656</v>
      </c>
      <c r="J3004" s="36" t="s">
        <v>1656</v>
      </c>
      <c r="K3004" s="36" t="s">
        <v>1839</v>
      </c>
      <c r="L3004" s="36" t="s">
        <v>6585</v>
      </c>
      <c r="M3004" s="36" t="s">
        <v>6585</v>
      </c>
      <c r="N3004" s="36" t="s">
        <v>32</v>
      </c>
    </row>
    <row r="3005">
      <c r="A3005" s="36" t="s">
        <v>6800</v>
      </c>
      <c r="B3005" s="154" t="s">
        <v>6792</v>
      </c>
      <c r="C3005" s="36" t="s">
        <v>1666</v>
      </c>
      <c r="D3005" s="36" t="s">
        <v>89</v>
      </c>
      <c r="E3005" s="36" t="s">
        <v>89</v>
      </c>
      <c r="F3005" s="154" t="s">
        <v>1816</v>
      </c>
      <c r="G3005" s="36" t="s">
        <v>28</v>
      </c>
      <c r="H3005" s="36" t="s">
        <v>1655</v>
      </c>
      <c r="I3005" s="36" t="s">
        <v>1656</v>
      </c>
      <c r="J3005" s="36" t="s">
        <v>1656</v>
      </c>
      <c r="K3005" s="36" t="s">
        <v>1842</v>
      </c>
      <c r="L3005" s="36" t="s">
        <v>6585</v>
      </c>
      <c r="M3005" s="36" t="s">
        <v>6585</v>
      </c>
      <c r="N3005" s="36" t="s">
        <v>32</v>
      </c>
    </row>
    <row r="3006">
      <c r="A3006" s="36" t="s">
        <v>6801</v>
      </c>
      <c r="B3006" s="154" t="s">
        <v>6792</v>
      </c>
      <c r="C3006" s="36" t="s">
        <v>1666</v>
      </c>
      <c r="D3006" s="36" t="s">
        <v>670</v>
      </c>
      <c r="E3006" s="36" t="s">
        <v>670</v>
      </c>
      <c r="F3006" s="154" t="s">
        <v>6802</v>
      </c>
      <c r="G3006" s="36" t="s">
        <v>28</v>
      </c>
      <c r="H3006" s="36" t="s">
        <v>1655</v>
      </c>
      <c r="I3006" s="36" t="s">
        <v>1656</v>
      </c>
      <c r="J3006" s="36" t="s">
        <v>1656</v>
      </c>
      <c r="K3006" s="36" t="s">
        <v>1845</v>
      </c>
      <c r="L3006" s="36" t="s">
        <v>6585</v>
      </c>
      <c r="M3006" s="36" t="s">
        <v>6585</v>
      </c>
      <c r="N3006" s="36" t="s">
        <v>32</v>
      </c>
    </row>
    <row r="3007">
      <c r="A3007" s="36" t="s">
        <v>6803</v>
      </c>
      <c r="B3007" s="154" t="s">
        <v>6792</v>
      </c>
      <c r="C3007" s="36" t="s">
        <v>1666</v>
      </c>
      <c r="D3007" s="36" t="s">
        <v>89</v>
      </c>
      <c r="E3007" s="36" t="s">
        <v>89</v>
      </c>
      <c r="F3007" s="154" t="s">
        <v>1971</v>
      </c>
      <c r="G3007" s="36" t="s">
        <v>28</v>
      </c>
      <c r="H3007" s="36" t="s">
        <v>1655</v>
      </c>
      <c r="I3007" s="36" t="s">
        <v>1656</v>
      </c>
      <c r="J3007" s="36" t="s">
        <v>1656</v>
      </c>
      <c r="K3007" s="36" t="s">
        <v>1848</v>
      </c>
      <c r="L3007" s="36" t="s">
        <v>6585</v>
      </c>
      <c r="M3007" s="36" t="s">
        <v>6585</v>
      </c>
      <c r="N3007" s="36" t="s">
        <v>32</v>
      </c>
    </row>
    <row r="3008">
      <c r="A3008" s="36" t="s">
        <v>6804</v>
      </c>
      <c r="B3008" s="154" t="s">
        <v>6792</v>
      </c>
      <c r="C3008" s="36" t="s">
        <v>1666</v>
      </c>
      <c r="D3008" s="36" t="s">
        <v>679</v>
      </c>
      <c r="E3008" s="36" t="s">
        <v>679</v>
      </c>
      <c r="F3008" s="154" t="s">
        <v>6805</v>
      </c>
      <c r="G3008" s="36" t="s">
        <v>32</v>
      </c>
      <c r="H3008" s="36" t="s">
        <v>1655</v>
      </c>
      <c r="I3008" s="36" t="s">
        <v>1656</v>
      </c>
      <c r="J3008" s="36" t="s">
        <v>1656</v>
      </c>
      <c r="K3008" s="36" t="s">
        <v>1851</v>
      </c>
      <c r="L3008" s="36" t="s">
        <v>6585</v>
      </c>
      <c r="M3008" s="36" t="s">
        <v>6585</v>
      </c>
      <c r="N3008" s="36" t="s">
        <v>32</v>
      </c>
    </row>
    <row r="3009">
      <c r="A3009" s="36" t="s">
        <v>6806</v>
      </c>
      <c r="B3009" s="154" t="s">
        <v>6792</v>
      </c>
      <c r="C3009" s="36" t="s">
        <v>1666</v>
      </c>
      <c r="D3009" s="36" t="s">
        <v>480</v>
      </c>
      <c r="E3009" s="36" t="s">
        <v>480</v>
      </c>
      <c r="F3009" s="154" t="s">
        <v>6807</v>
      </c>
      <c r="G3009" s="36" t="s">
        <v>28</v>
      </c>
      <c r="H3009" s="36" t="s">
        <v>1655</v>
      </c>
      <c r="I3009" s="36" t="s">
        <v>1656</v>
      </c>
      <c r="J3009" s="36" t="s">
        <v>1656</v>
      </c>
      <c r="K3009" s="36" t="s">
        <v>1854</v>
      </c>
      <c r="L3009" s="36" t="s">
        <v>6585</v>
      </c>
      <c r="M3009" s="36" t="s">
        <v>6585</v>
      </c>
      <c r="N3009" s="36" t="s">
        <v>32</v>
      </c>
    </row>
    <row r="3010">
      <c r="A3010" s="36" t="s">
        <v>6808</v>
      </c>
      <c r="B3010" s="154" t="s">
        <v>6792</v>
      </c>
      <c r="C3010" s="36" t="s">
        <v>1666</v>
      </c>
      <c r="D3010" s="36" t="s">
        <v>682</v>
      </c>
      <c r="E3010" s="36" t="s">
        <v>682</v>
      </c>
      <c r="F3010" s="154" t="s">
        <v>6809</v>
      </c>
      <c r="G3010" s="36" t="s">
        <v>28</v>
      </c>
      <c r="H3010" s="36" t="s">
        <v>1655</v>
      </c>
      <c r="I3010" s="36" t="s">
        <v>1656</v>
      </c>
      <c r="J3010" s="36" t="s">
        <v>1656</v>
      </c>
      <c r="K3010" s="36" t="s">
        <v>1857</v>
      </c>
      <c r="L3010" s="36" t="s">
        <v>6585</v>
      </c>
      <c r="M3010" s="36" t="s">
        <v>6585</v>
      </c>
      <c r="N3010" s="36" t="s">
        <v>34</v>
      </c>
    </row>
    <row r="3011">
      <c r="A3011" s="36" t="s">
        <v>6810</v>
      </c>
      <c r="B3011" s="154" t="s">
        <v>6792</v>
      </c>
      <c r="C3011" s="36" t="s">
        <v>1666</v>
      </c>
      <c r="D3011" s="36" t="s">
        <v>133</v>
      </c>
      <c r="E3011" s="36" t="s">
        <v>133</v>
      </c>
      <c r="F3011" s="154" t="s">
        <v>6811</v>
      </c>
      <c r="G3011" s="36" t="s">
        <v>32</v>
      </c>
      <c r="H3011" s="36" t="s">
        <v>1655</v>
      </c>
      <c r="I3011" s="36" t="s">
        <v>1656</v>
      </c>
      <c r="J3011" s="36" t="s">
        <v>1656</v>
      </c>
      <c r="K3011" s="36" t="s">
        <v>1860</v>
      </c>
      <c r="L3011" s="36" t="s">
        <v>6585</v>
      </c>
      <c r="M3011" s="36" t="s">
        <v>6585</v>
      </c>
      <c r="N3011" s="36" t="s">
        <v>32</v>
      </c>
    </row>
    <row r="3012">
      <c r="A3012" s="36" t="s">
        <v>6812</v>
      </c>
      <c r="B3012" s="154" t="s">
        <v>6813</v>
      </c>
      <c r="C3012" s="36" t="s">
        <v>1653</v>
      </c>
      <c r="D3012" s="36" t="s">
        <v>43</v>
      </c>
      <c r="E3012" s="36" t="s">
        <v>39</v>
      </c>
      <c r="F3012" s="154" t="s">
        <v>6814</v>
      </c>
      <c r="G3012" s="36" t="s">
        <v>32</v>
      </c>
      <c r="H3012" s="36" t="s">
        <v>1655</v>
      </c>
      <c r="I3012" s="36" t="s">
        <v>1656</v>
      </c>
      <c r="J3012" s="36" t="s">
        <v>1656</v>
      </c>
      <c r="K3012" s="36" t="s">
        <v>1657</v>
      </c>
      <c r="L3012" s="36" t="s">
        <v>6583</v>
      </c>
      <c r="M3012" s="36" t="s">
        <v>6583</v>
      </c>
      <c r="N3012" s="36" t="s">
        <v>32</v>
      </c>
    </row>
    <row r="3013">
      <c r="A3013" s="36" t="s">
        <v>6815</v>
      </c>
      <c r="B3013" s="154" t="s">
        <v>6813</v>
      </c>
      <c r="C3013" s="36" t="s">
        <v>1666</v>
      </c>
      <c r="D3013" s="36" t="s">
        <v>85</v>
      </c>
      <c r="E3013" s="36" t="s">
        <v>85</v>
      </c>
      <c r="F3013" s="154" t="s">
        <v>6700</v>
      </c>
      <c r="G3013" s="36" t="s">
        <v>28</v>
      </c>
      <c r="H3013" s="36" t="s">
        <v>1655</v>
      </c>
      <c r="I3013" s="36" t="s">
        <v>1656</v>
      </c>
      <c r="J3013" s="36" t="s">
        <v>1656</v>
      </c>
      <c r="K3013" s="36" t="s">
        <v>3035</v>
      </c>
      <c r="L3013" s="36" t="s">
        <v>6585</v>
      </c>
      <c r="M3013" s="36" t="s">
        <v>6585</v>
      </c>
      <c r="N3013" s="36" t="s">
        <v>32</v>
      </c>
    </row>
    <row r="3014">
      <c r="A3014" s="36" t="s">
        <v>6816</v>
      </c>
      <c r="B3014" s="154" t="s">
        <v>6813</v>
      </c>
      <c r="C3014" s="36" t="s">
        <v>1666</v>
      </c>
      <c r="D3014" s="36" t="s">
        <v>436</v>
      </c>
      <c r="E3014" s="36" t="s">
        <v>436</v>
      </c>
      <c r="F3014" s="154" t="s">
        <v>6817</v>
      </c>
      <c r="G3014" s="36" t="s">
        <v>28</v>
      </c>
      <c r="H3014" s="36" t="s">
        <v>1655</v>
      </c>
      <c r="I3014" s="36" t="s">
        <v>1656</v>
      </c>
      <c r="J3014" s="36" t="s">
        <v>1656</v>
      </c>
      <c r="K3014" s="36" t="s">
        <v>3038</v>
      </c>
      <c r="L3014" s="36" t="s">
        <v>6585</v>
      </c>
      <c r="M3014" s="36" t="s">
        <v>6585</v>
      </c>
      <c r="N3014" s="36" t="s">
        <v>32</v>
      </c>
    </row>
    <row r="3015">
      <c r="A3015" s="36" t="s">
        <v>6818</v>
      </c>
      <c r="B3015" s="154" t="s">
        <v>6813</v>
      </c>
      <c r="C3015" s="36" t="s">
        <v>1666</v>
      </c>
      <c r="D3015" s="36" t="s">
        <v>446</v>
      </c>
      <c r="E3015" s="36" t="s">
        <v>446</v>
      </c>
      <c r="F3015" s="154" t="s">
        <v>6819</v>
      </c>
      <c r="G3015" s="36" t="s">
        <v>32</v>
      </c>
      <c r="H3015" s="36" t="s">
        <v>1655</v>
      </c>
      <c r="I3015" s="36" t="s">
        <v>1656</v>
      </c>
      <c r="J3015" s="36" t="s">
        <v>1656</v>
      </c>
      <c r="K3015" s="36" t="s">
        <v>1668</v>
      </c>
      <c r="L3015" s="36" t="s">
        <v>6585</v>
      </c>
      <c r="M3015" s="36" t="s">
        <v>6585</v>
      </c>
      <c r="N3015" s="36" t="s">
        <v>32</v>
      </c>
    </row>
    <row r="3016">
      <c r="A3016" s="36" t="s">
        <v>6820</v>
      </c>
      <c r="B3016" s="154" t="s">
        <v>6821</v>
      </c>
      <c r="C3016" s="36" t="s">
        <v>1666</v>
      </c>
      <c r="D3016" s="36" t="s">
        <v>78</v>
      </c>
      <c r="E3016" s="36" t="s">
        <v>78</v>
      </c>
      <c r="F3016" s="154" t="s">
        <v>2027</v>
      </c>
      <c r="G3016" s="36" t="s">
        <v>28</v>
      </c>
      <c r="H3016" s="36" t="s">
        <v>1655</v>
      </c>
      <c r="I3016" s="36" t="s">
        <v>1656</v>
      </c>
      <c r="J3016" s="36" t="s">
        <v>1656</v>
      </c>
      <c r="K3016" s="36" t="s">
        <v>4248</v>
      </c>
      <c r="L3016" s="36" t="s">
        <v>6585</v>
      </c>
      <c r="M3016" s="36" t="s">
        <v>6585</v>
      </c>
      <c r="N3016" s="36" t="s">
        <v>32</v>
      </c>
    </row>
    <row r="3017">
      <c r="A3017" s="36" t="s">
        <v>6822</v>
      </c>
      <c r="B3017" s="154" t="s">
        <v>6823</v>
      </c>
      <c r="C3017" s="36" t="s">
        <v>1666</v>
      </c>
      <c r="D3017" s="36" t="s">
        <v>63</v>
      </c>
      <c r="E3017" s="36" t="s">
        <v>63</v>
      </c>
      <c r="F3017" s="154" t="s">
        <v>6824</v>
      </c>
      <c r="G3017" s="36" t="s">
        <v>32</v>
      </c>
      <c r="H3017" s="36" t="s">
        <v>1655</v>
      </c>
      <c r="I3017" s="36" t="s">
        <v>1656</v>
      </c>
      <c r="J3017" s="36" t="s">
        <v>1656</v>
      </c>
      <c r="K3017" s="36" t="s">
        <v>4196</v>
      </c>
      <c r="L3017" s="36" t="s">
        <v>6585</v>
      </c>
      <c r="M3017" s="36" t="s">
        <v>6585</v>
      </c>
      <c r="N3017" s="36" t="s">
        <v>34</v>
      </c>
    </row>
    <row r="3018">
      <c r="A3018" s="36" t="s">
        <v>6825</v>
      </c>
      <c r="B3018" s="154" t="s">
        <v>6823</v>
      </c>
      <c r="C3018" s="36" t="s">
        <v>1666</v>
      </c>
      <c r="D3018" s="36" t="s">
        <v>452</v>
      </c>
      <c r="E3018" s="36" t="s">
        <v>452</v>
      </c>
      <c r="F3018" s="154" t="s">
        <v>1816</v>
      </c>
      <c r="G3018" s="36" t="s">
        <v>28</v>
      </c>
      <c r="H3018" s="36" t="s">
        <v>1655</v>
      </c>
      <c r="I3018" s="36" t="s">
        <v>1656</v>
      </c>
      <c r="J3018" s="36" t="s">
        <v>1656</v>
      </c>
      <c r="K3018" s="36" t="s">
        <v>1672</v>
      </c>
      <c r="L3018" s="36" t="s">
        <v>6585</v>
      </c>
      <c r="M3018" s="36" t="s">
        <v>6585</v>
      </c>
      <c r="N3018" s="36" t="s">
        <v>32</v>
      </c>
    </row>
    <row r="3019">
      <c r="A3019" s="36" t="s">
        <v>6826</v>
      </c>
      <c r="B3019" s="154" t="s">
        <v>6823</v>
      </c>
      <c r="C3019" s="36" t="s">
        <v>1666</v>
      </c>
      <c r="D3019" s="36" t="s">
        <v>89</v>
      </c>
      <c r="E3019" s="36" t="s">
        <v>89</v>
      </c>
      <c r="F3019" s="154" t="s">
        <v>1810</v>
      </c>
      <c r="G3019" s="36" t="s">
        <v>28</v>
      </c>
      <c r="H3019" s="36" t="s">
        <v>1655</v>
      </c>
      <c r="I3019" s="36" t="s">
        <v>1656</v>
      </c>
      <c r="J3019" s="36" t="s">
        <v>1656</v>
      </c>
      <c r="K3019" s="36" t="s">
        <v>1675</v>
      </c>
      <c r="L3019" s="36" t="s">
        <v>6585</v>
      </c>
      <c r="M3019" s="36" t="s">
        <v>6585</v>
      </c>
      <c r="N3019" s="36" t="s">
        <v>32</v>
      </c>
    </row>
    <row r="3020">
      <c r="A3020" s="36" t="s">
        <v>6827</v>
      </c>
      <c r="B3020" s="154" t="s">
        <v>6828</v>
      </c>
      <c r="C3020" s="36" t="s">
        <v>1666</v>
      </c>
      <c r="D3020" s="36" t="s">
        <v>64</v>
      </c>
      <c r="E3020" s="36" t="s">
        <v>64</v>
      </c>
      <c r="F3020" s="154" t="s">
        <v>6829</v>
      </c>
      <c r="G3020" s="36" t="s">
        <v>28</v>
      </c>
      <c r="H3020" s="36" t="s">
        <v>1655</v>
      </c>
      <c r="I3020" s="36" t="s">
        <v>1656</v>
      </c>
      <c r="J3020" s="36" t="s">
        <v>1656</v>
      </c>
      <c r="K3020" s="36" t="s">
        <v>1708</v>
      </c>
      <c r="L3020" s="36" t="s">
        <v>6585</v>
      </c>
      <c r="M3020" s="36" t="s">
        <v>6585</v>
      </c>
      <c r="N3020" s="36" t="s">
        <v>32</v>
      </c>
    </row>
    <row r="3021">
      <c r="A3021" s="36" t="s">
        <v>6830</v>
      </c>
      <c r="B3021" s="154" t="s">
        <v>6828</v>
      </c>
      <c r="C3021" s="36" t="s">
        <v>1666</v>
      </c>
      <c r="D3021" s="36" t="s">
        <v>110</v>
      </c>
      <c r="E3021" s="36" t="s">
        <v>110</v>
      </c>
      <c r="F3021" s="154" t="s">
        <v>1816</v>
      </c>
      <c r="G3021" s="36" t="s">
        <v>28</v>
      </c>
      <c r="H3021" s="36" t="s">
        <v>1655</v>
      </c>
      <c r="I3021" s="36" t="s">
        <v>1656</v>
      </c>
      <c r="J3021" s="36" t="s">
        <v>1656</v>
      </c>
      <c r="K3021" s="36" t="s">
        <v>1678</v>
      </c>
      <c r="L3021" s="36" t="s">
        <v>6585</v>
      </c>
      <c r="M3021" s="36" t="s">
        <v>6585</v>
      </c>
      <c r="N3021" s="36" t="s">
        <v>32</v>
      </c>
    </row>
    <row r="3022">
      <c r="A3022" s="36" t="s">
        <v>6831</v>
      </c>
      <c r="B3022" s="154" t="s">
        <v>6828</v>
      </c>
      <c r="C3022" s="36" t="s">
        <v>1666</v>
      </c>
      <c r="D3022" s="36" t="s">
        <v>92</v>
      </c>
      <c r="E3022" s="36" t="s">
        <v>92</v>
      </c>
      <c r="F3022" s="154" t="s">
        <v>1806</v>
      </c>
      <c r="G3022" s="36" t="s">
        <v>32</v>
      </c>
      <c r="H3022" s="36" t="s">
        <v>1655</v>
      </c>
      <c r="I3022" s="36" t="s">
        <v>1656</v>
      </c>
      <c r="J3022" s="36" t="s">
        <v>1656</v>
      </c>
      <c r="K3022" s="36" t="s">
        <v>1681</v>
      </c>
      <c r="L3022" s="36" t="s">
        <v>6585</v>
      </c>
      <c r="M3022" s="36" t="s">
        <v>6585</v>
      </c>
      <c r="N3022" s="36" t="s">
        <v>32</v>
      </c>
    </row>
    <row r="3023">
      <c r="A3023" s="36" t="s">
        <v>6832</v>
      </c>
      <c r="B3023" s="154" t="s">
        <v>6833</v>
      </c>
      <c r="C3023" s="36" t="s">
        <v>1666</v>
      </c>
      <c r="D3023" s="36" t="s">
        <v>474</v>
      </c>
      <c r="E3023" s="36" t="s">
        <v>474</v>
      </c>
      <c r="F3023" s="154" t="s">
        <v>6834</v>
      </c>
      <c r="G3023" s="36" t="s">
        <v>28</v>
      </c>
      <c r="H3023" s="36" t="s">
        <v>1655</v>
      </c>
      <c r="I3023" s="36" t="s">
        <v>1656</v>
      </c>
      <c r="J3023" s="36" t="s">
        <v>1656</v>
      </c>
      <c r="K3023" s="36" t="s">
        <v>1684</v>
      </c>
      <c r="L3023" s="36" t="s">
        <v>6585</v>
      </c>
      <c r="M3023" s="36" t="s">
        <v>6585</v>
      </c>
      <c r="N3023" s="36" t="s">
        <v>32</v>
      </c>
    </row>
    <row r="3024">
      <c r="A3024" s="36" t="s">
        <v>6835</v>
      </c>
      <c r="B3024" s="154" t="s">
        <v>6833</v>
      </c>
      <c r="C3024" s="36" t="s">
        <v>1666</v>
      </c>
      <c r="D3024" s="36" t="s">
        <v>110</v>
      </c>
      <c r="E3024" s="36" t="s">
        <v>110</v>
      </c>
      <c r="F3024" s="154" t="s">
        <v>1816</v>
      </c>
      <c r="G3024" s="36" t="s">
        <v>28</v>
      </c>
      <c r="H3024" s="36" t="s">
        <v>1655</v>
      </c>
      <c r="I3024" s="36" t="s">
        <v>1656</v>
      </c>
      <c r="J3024" s="36" t="s">
        <v>1656</v>
      </c>
      <c r="K3024" s="36" t="s">
        <v>1691</v>
      </c>
      <c r="L3024" s="36" t="s">
        <v>6585</v>
      </c>
      <c r="M3024" s="36" t="s">
        <v>6585</v>
      </c>
      <c r="N3024" s="36" t="s">
        <v>32</v>
      </c>
    </row>
    <row r="3025">
      <c r="A3025" s="36" t="s">
        <v>6836</v>
      </c>
      <c r="B3025" s="154" t="s">
        <v>6833</v>
      </c>
      <c r="C3025" s="36" t="s">
        <v>1666</v>
      </c>
      <c r="D3025" s="36" t="s">
        <v>480</v>
      </c>
      <c r="E3025" s="36" t="s">
        <v>480</v>
      </c>
      <c r="F3025" s="154" t="s">
        <v>1729</v>
      </c>
      <c r="G3025" s="36" t="s">
        <v>28</v>
      </c>
      <c r="H3025" s="36" t="s">
        <v>1655</v>
      </c>
      <c r="I3025" s="36" t="s">
        <v>1656</v>
      </c>
      <c r="J3025" s="36" t="s">
        <v>1656</v>
      </c>
      <c r="K3025" s="36" t="s">
        <v>1695</v>
      </c>
      <c r="L3025" s="36" t="s">
        <v>6585</v>
      </c>
      <c r="M3025" s="36" t="s">
        <v>6585</v>
      </c>
      <c r="N3025" s="36" t="s">
        <v>32</v>
      </c>
    </row>
    <row r="3026">
      <c r="A3026" s="36" t="s">
        <v>6837</v>
      </c>
      <c r="B3026" s="154" t="s">
        <v>6833</v>
      </c>
      <c r="C3026" s="36" t="s">
        <v>1666</v>
      </c>
      <c r="D3026" s="36" t="s">
        <v>487</v>
      </c>
      <c r="E3026" s="36" t="s">
        <v>487</v>
      </c>
      <c r="F3026" s="154" t="s">
        <v>2553</v>
      </c>
      <c r="G3026" s="36" t="s">
        <v>32</v>
      </c>
      <c r="H3026" s="36" t="s">
        <v>1655</v>
      </c>
      <c r="I3026" s="36" t="s">
        <v>1656</v>
      </c>
      <c r="J3026" s="36" t="s">
        <v>1656</v>
      </c>
      <c r="K3026" s="36" t="s">
        <v>1698</v>
      </c>
      <c r="L3026" s="36" t="s">
        <v>6585</v>
      </c>
      <c r="M3026" s="36" t="s">
        <v>6585</v>
      </c>
      <c r="N3026" s="36" t="s">
        <v>32</v>
      </c>
    </row>
    <row r="3027">
      <c r="A3027" s="36" t="s">
        <v>6838</v>
      </c>
      <c r="B3027" s="154" t="s">
        <v>6833</v>
      </c>
      <c r="C3027" s="36" t="s">
        <v>1666</v>
      </c>
      <c r="D3027" s="36" t="s">
        <v>495</v>
      </c>
      <c r="E3027" s="36" t="s">
        <v>495</v>
      </c>
      <c r="F3027" s="154" t="s">
        <v>6839</v>
      </c>
      <c r="G3027" s="36" t="s">
        <v>28</v>
      </c>
      <c r="H3027" s="36" t="s">
        <v>1655</v>
      </c>
      <c r="I3027" s="36" t="s">
        <v>1656</v>
      </c>
      <c r="J3027" s="36" t="s">
        <v>1656</v>
      </c>
      <c r="K3027" s="36" t="s">
        <v>1701</v>
      </c>
      <c r="L3027" s="36" t="s">
        <v>6585</v>
      </c>
      <c r="M3027" s="36" t="s">
        <v>6585</v>
      </c>
      <c r="N3027" s="36" t="s">
        <v>32</v>
      </c>
    </row>
    <row r="3028">
      <c r="A3028" s="36" t="s">
        <v>6840</v>
      </c>
      <c r="B3028" s="154" t="s">
        <v>6841</v>
      </c>
      <c r="C3028" s="36" t="s">
        <v>1666</v>
      </c>
      <c r="D3028" s="36" t="s">
        <v>66</v>
      </c>
      <c r="E3028" s="36" t="s">
        <v>66</v>
      </c>
      <c r="F3028" s="154" t="s">
        <v>6842</v>
      </c>
      <c r="G3028" s="36" t="s">
        <v>28</v>
      </c>
      <c r="H3028" s="36" t="s">
        <v>1655</v>
      </c>
      <c r="I3028" s="36" t="s">
        <v>1656</v>
      </c>
      <c r="J3028" s="36" t="s">
        <v>1656</v>
      </c>
      <c r="K3028" s="36" t="s">
        <v>1721</v>
      </c>
      <c r="L3028" s="36" t="s">
        <v>6585</v>
      </c>
      <c r="M3028" s="36" t="s">
        <v>6585</v>
      </c>
      <c r="N3028" s="36" t="s">
        <v>32</v>
      </c>
    </row>
    <row r="3029">
      <c r="A3029" s="36" t="s">
        <v>6843</v>
      </c>
      <c r="B3029" s="154" t="s">
        <v>6844</v>
      </c>
      <c r="C3029" s="36" t="s">
        <v>1666</v>
      </c>
      <c r="D3029" s="36" t="s">
        <v>71</v>
      </c>
      <c r="E3029" s="36" t="s">
        <v>71</v>
      </c>
      <c r="F3029" s="154" t="s">
        <v>6736</v>
      </c>
      <c r="G3029" s="36" t="s">
        <v>32</v>
      </c>
      <c r="H3029" s="36" t="s">
        <v>1655</v>
      </c>
      <c r="I3029" s="36" t="s">
        <v>1656</v>
      </c>
      <c r="J3029" s="36" t="s">
        <v>1656</v>
      </c>
      <c r="K3029" s="36" t="s">
        <v>1752</v>
      </c>
      <c r="L3029" s="36" t="s">
        <v>6585</v>
      </c>
      <c r="M3029" s="36" t="s">
        <v>6585</v>
      </c>
      <c r="N3029" s="36" t="s">
        <v>32</v>
      </c>
    </row>
    <row r="3030">
      <c r="A3030" s="36" t="s">
        <v>6845</v>
      </c>
      <c r="B3030" s="154" t="s">
        <v>6844</v>
      </c>
      <c r="C3030" s="36" t="s">
        <v>1666</v>
      </c>
      <c r="D3030" s="36" t="s">
        <v>73</v>
      </c>
      <c r="E3030" s="36" t="s">
        <v>73</v>
      </c>
      <c r="F3030" s="154" t="s">
        <v>6738</v>
      </c>
      <c r="G3030" s="36" t="s">
        <v>28</v>
      </c>
      <c r="H3030" s="36" t="s">
        <v>1655</v>
      </c>
      <c r="I3030" s="36" t="s">
        <v>1656</v>
      </c>
      <c r="J3030" s="36" t="s">
        <v>1656</v>
      </c>
      <c r="K3030" s="36" t="s">
        <v>1755</v>
      </c>
      <c r="L3030" s="36" t="s">
        <v>6585</v>
      </c>
      <c r="M3030" s="36" t="s">
        <v>6585</v>
      </c>
      <c r="N3030" s="36" t="s">
        <v>32</v>
      </c>
    </row>
    <row r="3031">
      <c r="A3031" s="36" t="s">
        <v>6846</v>
      </c>
      <c r="B3031" s="154" t="s">
        <v>6844</v>
      </c>
      <c r="C3031" s="36" t="s">
        <v>1666</v>
      </c>
      <c r="D3031" s="36" t="s">
        <v>74</v>
      </c>
      <c r="E3031" s="36" t="s">
        <v>74</v>
      </c>
      <c r="F3031" s="154" t="s">
        <v>6740</v>
      </c>
      <c r="G3031" s="36" t="s">
        <v>32</v>
      </c>
      <c r="H3031" s="36" t="s">
        <v>1655</v>
      </c>
      <c r="I3031" s="36" t="s">
        <v>1656</v>
      </c>
      <c r="J3031" s="36" t="s">
        <v>1656</v>
      </c>
      <c r="K3031" s="36" t="s">
        <v>1757</v>
      </c>
      <c r="L3031" s="36" t="s">
        <v>6585</v>
      </c>
      <c r="M3031" s="36" t="s">
        <v>6585</v>
      </c>
      <c r="N3031" s="36" t="s">
        <v>32</v>
      </c>
    </row>
    <row r="3032">
      <c r="A3032" s="36" t="s">
        <v>6847</v>
      </c>
      <c r="B3032" s="154" t="s">
        <v>6844</v>
      </c>
      <c r="C3032" s="36" t="s">
        <v>1666</v>
      </c>
      <c r="D3032" s="36" t="s">
        <v>75</v>
      </c>
      <c r="E3032" s="36" t="s">
        <v>75</v>
      </c>
      <c r="F3032" s="154" t="s">
        <v>6742</v>
      </c>
      <c r="G3032" s="36" t="s">
        <v>28</v>
      </c>
      <c r="H3032" s="36" t="s">
        <v>1655</v>
      </c>
      <c r="I3032" s="36" t="s">
        <v>1656</v>
      </c>
      <c r="J3032" s="36" t="s">
        <v>1656</v>
      </c>
      <c r="K3032" s="36" t="s">
        <v>1760</v>
      </c>
      <c r="L3032" s="36" t="s">
        <v>6585</v>
      </c>
      <c r="M3032" s="36" t="s">
        <v>6585</v>
      </c>
      <c r="N3032" s="36" t="s">
        <v>32</v>
      </c>
    </row>
    <row r="3033">
      <c r="A3033" s="36" t="s">
        <v>6848</v>
      </c>
      <c r="B3033" s="154" t="s">
        <v>6844</v>
      </c>
      <c r="C3033" s="36" t="s">
        <v>1666</v>
      </c>
      <c r="D3033" s="36" t="s">
        <v>76</v>
      </c>
      <c r="E3033" s="36" t="s">
        <v>76</v>
      </c>
      <c r="F3033" s="154" t="s">
        <v>6849</v>
      </c>
      <c r="G3033" s="36" t="s">
        <v>28</v>
      </c>
      <c r="H3033" s="36" t="s">
        <v>1655</v>
      </c>
      <c r="I3033" s="36" t="s">
        <v>1656</v>
      </c>
      <c r="J3033" s="36" t="s">
        <v>1656</v>
      </c>
      <c r="K3033" s="36" t="s">
        <v>1763</v>
      </c>
      <c r="L3033" s="36" t="s">
        <v>6585</v>
      </c>
      <c r="M3033" s="36" t="s">
        <v>6585</v>
      </c>
      <c r="N3033" s="36" t="s">
        <v>32</v>
      </c>
    </row>
    <row r="3034">
      <c r="A3034" s="36" t="s">
        <v>6850</v>
      </c>
      <c r="B3034" s="154" t="s">
        <v>6844</v>
      </c>
      <c r="C3034" s="36" t="s">
        <v>1666</v>
      </c>
      <c r="D3034" s="36" t="s">
        <v>77</v>
      </c>
      <c r="E3034" s="36" t="s">
        <v>77</v>
      </c>
      <c r="F3034" s="154" t="s">
        <v>1768</v>
      </c>
      <c r="G3034" s="36" t="s">
        <v>34</v>
      </c>
      <c r="H3034" s="36" t="s">
        <v>1655</v>
      </c>
      <c r="I3034" s="36" t="s">
        <v>1656</v>
      </c>
      <c r="J3034" s="36" t="s">
        <v>1656</v>
      </c>
      <c r="K3034" s="36" t="s">
        <v>1766</v>
      </c>
      <c r="L3034" s="36" t="s">
        <v>6585</v>
      </c>
      <c r="M3034" s="36" t="s">
        <v>6585</v>
      </c>
      <c r="N3034" s="36" t="s">
        <v>32</v>
      </c>
    </row>
    <row r="3035">
      <c r="A3035" s="36" t="s">
        <v>6851</v>
      </c>
      <c r="B3035" s="154" t="s">
        <v>6852</v>
      </c>
      <c r="C3035" s="36" t="s">
        <v>1653</v>
      </c>
      <c r="D3035" s="36" t="s">
        <v>55</v>
      </c>
      <c r="E3035" s="36" t="s">
        <v>39</v>
      </c>
      <c r="F3035" s="154" t="s">
        <v>6853</v>
      </c>
      <c r="G3035" s="36" t="s">
        <v>32</v>
      </c>
      <c r="H3035" s="36" t="s">
        <v>1655</v>
      </c>
      <c r="I3035" s="36" t="s">
        <v>1656</v>
      </c>
      <c r="J3035" s="36" t="s">
        <v>1656</v>
      </c>
      <c r="K3035" s="36" t="s">
        <v>1989</v>
      </c>
      <c r="L3035" s="36" t="s">
        <v>6583</v>
      </c>
      <c r="M3035" s="36" t="s">
        <v>6583</v>
      </c>
      <c r="N3035" s="36" t="s">
        <v>32</v>
      </c>
    </row>
    <row r="3036">
      <c r="A3036" s="36" t="s">
        <v>6854</v>
      </c>
      <c r="B3036" s="154" t="s">
        <v>6852</v>
      </c>
      <c r="C3036" s="36" t="s">
        <v>1653</v>
      </c>
      <c r="D3036" s="36" t="s">
        <v>169</v>
      </c>
      <c r="E3036" s="36" t="s">
        <v>39</v>
      </c>
      <c r="F3036" s="154" t="s">
        <v>6855</v>
      </c>
      <c r="G3036" s="36" t="s">
        <v>32</v>
      </c>
      <c r="H3036" s="36" t="s">
        <v>1655</v>
      </c>
      <c r="I3036" s="36" t="s">
        <v>1656</v>
      </c>
      <c r="J3036" s="36" t="s">
        <v>1656</v>
      </c>
      <c r="K3036" s="36" t="s">
        <v>1749</v>
      </c>
      <c r="L3036" s="36" t="s">
        <v>6583</v>
      </c>
      <c r="M3036" s="36" t="s">
        <v>6583</v>
      </c>
      <c r="N3036" s="36" t="s">
        <v>32</v>
      </c>
    </row>
    <row r="3037">
      <c r="A3037" s="36" t="s">
        <v>6856</v>
      </c>
      <c r="B3037" s="154" t="s">
        <v>6852</v>
      </c>
      <c r="C3037" s="36" t="s">
        <v>1666</v>
      </c>
      <c r="D3037" s="36" t="s">
        <v>499</v>
      </c>
      <c r="E3037" s="36" t="s">
        <v>499</v>
      </c>
      <c r="F3037" s="154" t="s">
        <v>2029</v>
      </c>
      <c r="G3037" s="36" t="s">
        <v>32</v>
      </c>
      <c r="H3037" s="36" t="s">
        <v>1655</v>
      </c>
      <c r="I3037" s="36" t="s">
        <v>1656</v>
      </c>
      <c r="J3037" s="36" t="s">
        <v>1656</v>
      </c>
      <c r="K3037" s="36" t="s">
        <v>1704</v>
      </c>
      <c r="L3037" s="36" t="s">
        <v>6585</v>
      </c>
      <c r="M3037" s="36" t="s">
        <v>6585</v>
      </c>
      <c r="N3037" s="36" t="s">
        <v>32</v>
      </c>
    </row>
    <row r="3038">
      <c r="A3038" s="36" t="s">
        <v>6857</v>
      </c>
      <c r="B3038" s="154" t="s">
        <v>6852</v>
      </c>
      <c r="C3038" s="36" t="s">
        <v>1666</v>
      </c>
      <c r="D3038" s="36" t="s">
        <v>226</v>
      </c>
      <c r="E3038" s="36" t="s">
        <v>226</v>
      </c>
      <c r="F3038" s="154" t="s">
        <v>6858</v>
      </c>
      <c r="G3038" s="36" t="s">
        <v>32</v>
      </c>
      <c r="H3038" s="36" t="s">
        <v>1655</v>
      </c>
      <c r="I3038" s="36" t="s">
        <v>1656</v>
      </c>
      <c r="J3038" s="36" t="s">
        <v>1656</v>
      </c>
      <c r="K3038" s="36" t="s">
        <v>1711</v>
      </c>
      <c r="L3038" s="36" t="s">
        <v>6585</v>
      </c>
      <c r="M3038" s="36" t="s">
        <v>6585</v>
      </c>
      <c r="N3038" s="36" t="s">
        <v>32</v>
      </c>
    </row>
    <row r="3039">
      <c r="A3039" s="36" t="s">
        <v>6859</v>
      </c>
      <c r="B3039" s="154" t="s">
        <v>6852</v>
      </c>
      <c r="C3039" s="36" t="s">
        <v>1666</v>
      </c>
      <c r="D3039" s="36" t="s">
        <v>220</v>
      </c>
      <c r="E3039" s="36" t="s">
        <v>220</v>
      </c>
      <c r="F3039" s="154" t="s">
        <v>6860</v>
      </c>
      <c r="G3039" s="36" t="s">
        <v>28</v>
      </c>
      <c r="H3039" s="36" t="s">
        <v>1655</v>
      </c>
      <c r="I3039" s="36" t="s">
        <v>1656</v>
      </c>
      <c r="J3039" s="36" t="s">
        <v>1656</v>
      </c>
      <c r="K3039" s="36" t="s">
        <v>1715</v>
      </c>
      <c r="L3039" s="36" t="s">
        <v>6585</v>
      </c>
      <c r="M3039" s="36" t="s">
        <v>6585</v>
      </c>
      <c r="N3039" s="36" t="s">
        <v>32</v>
      </c>
    </row>
    <row r="3040">
      <c r="A3040" s="36" t="s">
        <v>6861</v>
      </c>
      <c r="B3040" s="154" t="s">
        <v>6852</v>
      </c>
      <c r="C3040" s="36" t="s">
        <v>1666</v>
      </c>
      <c r="D3040" s="36" t="s">
        <v>115</v>
      </c>
      <c r="E3040" s="36" t="s">
        <v>115</v>
      </c>
      <c r="F3040" s="154" t="s">
        <v>1683</v>
      </c>
      <c r="G3040" s="36" t="s">
        <v>32</v>
      </c>
      <c r="H3040" s="36" t="s">
        <v>1655</v>
      </c>
      <c r="I3040" s="36" t="s">
        <v>1656</v>
      </c>
      <c r="J3040" s="36" t="s">
        <v>1656</v>
      </c>
      <c r="K3040" s="36" t="s">
        <v>1717</v>
      </c>
      <c r="L3040" s="36" t="s">
        <v>6585</v>
      </c>
      <c r="M3040" s="36" t="s">
        <v>6585</v>
      </c>
      <c r="N3040" s="36" t="s">
        <v>32</v>
      </c>
    </row>
    <row r="3041">
      <c r="A3041" s="36" t="s">
        <v>6862</v>
      </c>
      <c r="B3041" s="154" t="s">
        <v>6852</v>
      </c>
      <c r="C3041" s="36" t="s">
        <v>1666</v>
      </c>
      <c r="D3041" s="36" t="s">
        <v>114</v>
      </c>
      <c r="E3041" s="36" t="s">
        <v>114</v>
      </c>
      <c r="F3041" s="154" t="s">
        <v>1799</v>
      </c>
      <c r="G3041" s="36" t="s">
        <v>32</v>
      </c>
      <c r="H3041" s="36" t="s">
        <v>1655</v>
      </c>
      <c r="I3041" s="36" t="s">
        <v>1656</v>
      </c>
      <c r="J3041" s="36" t="s">
        <v>1656</v>
      </c>
      <c r="K3041" s="36" t="s">
        <v>1724</v>
      </c>
      <c r="L3041" s="36" t="s">
        <v>6585</v>
      </c>
      <c r="M3041" s="36" t="s">
        <v>6585</v>
      </c>
      <c r="N3041" s="36" t="s">
        <v>32</v>
      </c>
    </row>
    <row r="3042">
      <c r="A3042" s="36" t="s">
        <v>6863</v>
      </c>
      <c r="B3042" s="154" t="s">
        <v>6864</v>
      </c>
      <c r="C3042" s="36" t="s">
        <v>1666</v>
      </c>
      <c r="D3042" s="36" t="s">
        <v>521</v>
      </c>
      <c r="E3042" s="36" t="s">
        <v>521</v>
      </c>
      <c r="F3042" s="154" t="s">
        <v>3028</v>
      </c>
      <c r="G3042" s="36" t="s">
        <v>28</v>
      </c>
      <c r="H3042" s="36" t="s">
        <v>1655</v>
      </c>
      <c r="I3042" s="36" t="s">
        <v>1656</v>
      </c>
      <c r="J3042" s="36" t="s">
        <v>1656</v>
      </c>
      <c r="K3042" s="36" t="s">
        <v>1727</v>
      </c>
      <c r="L3042" s="36" t="s">
        <v>6585</v>
      </c>
      <c r="M3042" s="36" t="s">
        <v>6585</v>
      </c>
      <c r="N3042" s="36" t="s">
        <v>34</v>
      </c>
    </row>
    <row r="3043">
      <c r="A3043" s="36" t="s">
        <v>6865</v>
      </c>
      <c r="B3043" s="154" t="s">
        <v>6864</v>
      </c>
      <c r="C3043" s="36" t="s">
        <v>1666</v>
      </c>
      <c r="D3043" s="36" t="s">
        <v>528</v>
      </c>
      <c r="E3043" s="36" t="s">
        <v>528</v>
      </c>
      <c r="F3043" s="154" t="s">
        <v>1810</v>
      </c>
      <c r="G3043" s="36" t="s">
        <v>28</v>
      </c>
      <c r="H3043" s="36" t="s">
        <v>1655</v>
      </c>
      <c r="I3043" s="36" t="s">
        <v>1656</v>
      </c>
      <c r="J3043" s="36" t="s">
        <v>1656</v>
      </c>
      <c r="K3043" s="36" t="s">
        <v>1730</v>
      </c>
      <c r="L3043" s="36" t="s">
        <v>6585</v>
      </c>
      <c r="M3043" s="36" t="s">
        <v>6585</v>
      </c>
      <c r="N3043" s="36" t="s">
        <v>34</v>
      </c>
    </row>
    <row r="3044">
      <c r="A3044" s="36" t="s">
        <v>6866</v>
      </c>
      <c r="B3044" s="154" t="s">
        <v>6867</v>
      </c>
      <c r="C3044" s="36" t="s">
        <v>1666</v>
      </c>
      <c r="D3044" s="36" t="s">
        <v>92</v>
      </c>
      <c r="E3044" s="36" t="s">
        <v>92</v>
      </c>
      <c r="F3044" s="154" t="s">
        <v>1859</v>
      </c>
      <c r="G3044" s="36" t="s">
        <v>32</v>
      </c>
      <c r="H3044" s="36" t="s">
        <v>1655</v>
      </c>
      <c r="I3044" s="36" t="s">
        <v>1656</v>
      </c>
      <c r="J3044" s="36" t="s">
        <v>1656</v>
      </c>
      <c r="K3044" s="36" t="s">
        <v>1732</v>
      </c>
      <c r="L3044" s="36" t="s">
        <v>6585</v>
      </c>
      <c r="M3044" s="36" t="s">
        <v>6585</v>
      </c>
      <c r="N3044" s="36" t="s">
        <v>32</v>
      </c>
    </row>
    <row r="3045">
      <c r="A3045" s="36" t="s">
        <v>6868</v>
      </c>
      <c r="B3045" s="154" t="s">
        <v>6867</v>
      </c>
      <c r="C3045" s="36" t="s">
        <v>1666</v>
      </c>
      <c r="D3045" s="36" t="s">
        <v>210</v>
      </c>
      <c r="E3045" s="36" t="s">
        <v>210</v>
      </c>
      <c r="F3045" s="154" t="s">
        <v>1806</v>
      </c>
      <c r="G3045" s="36" t="s">
        <v>28</v>
      </c>
      <c r="H3045" s="36" t="s">
        <v>1655</v>
      </c>
      <c r="I3045" s="36" t="s">
        <v>1656</v>
      </c>
      <c r="J3045" s="36" t="s">
        <v>1656</v>
      </c>
      <c r="K3045" s="36" t="s">
        <v>1736</v>
      </c>
      <c r="L3045" s="36" t="s">
        <v>6585</v>
      </c>
      <c r="M3045" s="36" t="s">
        <v>6585</v>
      </c>
      <c r="N3045" s="36" t="s">
        <v>32</v>
      </c>
    </row>
    <row r="3046">
      <c r="A3046" s="36" t="s">
        <v>6869</v>
      </c>
      <c r="B3046" s="154" t="s">
        <v>6870</v>
      </c>
      <c r="C3046" s="36" t="s">
        <v>1653</v>
      </c>
      <c r="D3046" s="36" t="s">
        <v>161</v>
      </c>
      <c r="E3046" s="36" t="s">
        <v>39</v>
      </c>
      <c r="F3046" s="154" t="s">
        <v>6340</v>
      </c>
      <c r="G3046" s="36" t="s">
        <v>32</v>
      </c>
      <c r="H3046" s="36" t="s">
        <v>1655</v>
      </c>
      <c r="I3046" s="36" t="s">
        <v>1656</v>
      </c>
      <c r="J3046" s="36" t="s">
        <v>1656</v>
      </c>
      <c r="K3046" s="36" t="s">
        <v>1978</v>
      </c>
      <c r="L3046" s="36" t="s">
        <v>6583</v>
      </c>
      <c r="M3046" s="36" t="s">
        <v>6583</v>
      </c>
      <c r="N3046" s="36" t="s">
        <v>32</v>
      </c>
    </row>
    <row r="3047">
      <c r="A3047" s="36" t="s">
        <v>6871</v>
      </c>
      <c r="B3047" s="154" t="s">
        <v>6870</v>
      </c>
      <c r="C3047" s="36" t="s">
        <v>1666</v>
      </c>
      <c r="D3047" s="36" t="s">
        <v>191</v>
      </c>
      <c r="E3047" s="36" t="s">
        <v>191</v>
      </c>
      <c r="F3047" s="154" t="s">
        <v>1816</v>
      </c>
      <c r="G3047" s="36" t="s">
        <v>28</v>
      </c>
      <c r="H3047" s="36" t="s">
        <v>1655</v>
      </c>
      <c r="I3047" s="36" t="s">
        <v>1656</v>
      </c>
      <c r="J3047" s="36" t="s">
        <v>1656</v>
      </c>
      <c r="K3047" s="36" t="s">
        <v>1739</v>
      </c>
      <c r="L3047" s="36" t="s">
        <v>6585</v>
      </c>
      <c r="M3047" s="36" t="s">
        <v>6585</v>
      </c>
      <c r="N3047" s="36" t="s">
        <v>32</v>
      </c>
    </row>
    <row r="3048">
      <c r="A3048" s="36" t="s">
        <v>6872</v>
      </c>
      <c r="B3048" s="154" t="s">
        <v>6873</v>
      </c>
      <c r="C3048" s="36" t="s">
        <v>1666</v>
      </c>
      <c r="D3048" s="36" t="s">
        <v>92</v>
      </c>
      <c r="E3048" s="36" t="s">
        <v>92</v>
      </c>
      <c r="F3048" s="154" t="s">
        <v>1825</v>
      </c>
      <c r="G3048" s="36" t="s">
        <v>32</v>
      </c>
      <c r="H3048" s="36" t="s">
        <v>1655</v>
      </c>
      <c r="I3048" s="36" t="s">
        <v>1656</v>
      </c>
      <c r="J3048" s="36" t="s">
        <v>1656</v>
      </c>
      <c r="K3048" s="36" t="s">
        <v>1742</v>
      </c>
      <c r="L3048" s="36" t="s">
        <v>6585</v>
      </c>
      <c r="M3048" s="36" t="s">
        <v>6585</v>
      </c>
      <c r="N3048" s="36" t="s">
        <v>32</v>
      </c>
    </row>
    <row r="3049">
      <c r="A3049" s="36" t="s">
        <v>6874</v>
      </c>
      <c r="B3049" s="154" t="s">
        <v>6873</v>
      </c>
      <c r="C3049" s="36" t="s">
        <v>1666</v>
      </c>
      <c r="D3049" s="36" t="s">
        <v>552</v>
      </c>
      <c r="E3049" s="36" t="s">
        <v>552</v>
      </c>
      <c r="F3049" s="154" t="s">
        <v>1686</v>
      </c>
      <c r="G3049" s="36" t="s">
        <v>28</v>
      </c>
      <c r="H3049" s="36" t="s">
        <v>1655</v>
      </c>
      <c r="I3049" s="36" t="s">
        <v>1656</v>
      </c>
      <c r="J3049" s="36" t="s">
        <v>1656</v>
      </c>
      <c r="K3049" s="36" t="s">
        <v>1745</v>
      </c>
      <c r="L3049" s="36" t="s">
        <v>6585</v>
      </c>
      <c r="M3049" s="36" t="s">
        <v>6585</v>
      </c>
      <c r="N3049" s="36" t="s">
        <v>32</v>
      </c>
    </row>
    <row r="3050">
      <c r="A3050" s="36" t="s">
        <v>6875</v>
      </c>
      <c r="B3050" s="154" t="s">
        <v>6873</v>
      </c>
      <c r="C3050" s="36" t="s">
        <v>1666</v>
      </c>
      <c r="D3050" s="36" t="s">
        <v>210</v>
      </c>
      <c r="E3050" s="36" t="s">
        <v>210</v>
      </c>
      <c r="F3050" s="154" t="s">
        <v>1816</v>
      </c>
      <c r="G3050" s="36" t="s">
        <v>28</v>
      </c>
      <c r="H3050" s="36" t="s">
        <v>1655</v>
      </c>
      <c r="I3050" s="36" t="s">
        <v>1656</v>
      </c>
      <c r="J3050" s="36" t="s">
        <v>1656</v>
      </c>
      <c r="K3050" s="36" t="s">
        <v>1773</v>
      </c>
      <c r="L3050" s="36" t="s">
        <v>6585</v>
      </c>
      <c r="M3050" s="36" t="s">
        <v>6585</v>
      </c>
      <c r="N3050" s="36" t="s">
        <v>32</v>
      </c>
    </row>
    <row r="3051">
      <c r="A3051" s="36" t="s">
        <v>6876</v>
      </c>
      <c r="B3051" s="154" t="s">
        <v>6873</v>
      </c>
      <c r="C3051" s="36" t="s">
        <v>1666</v>
      </c>
      <c r="D3051" s="36" t="s">
        <v>92</v>
      </c>
      <c r="E3051" s="36" t="s">
        <v>92</v>
      </c>
      <c r="F3051" s="154" t="s">
        <v>1735</v>
      </c>
      <c r="G3051" s="36" t="s">
        <v>32</v>
      </c>
      <c r="H3051" s="36" t="s">
        <v>1655</v>
      </c>
      <c r="I3051" s="36" t="s">
        <v>1656</v>
      </c>
      <c r="J3051" s="36" t="s">
        <v>1656</v>
      </c>
      <c r="K3051" s="36" t="s">
        <v>1776</v>
      </c>
      <c r="L3051" s="36" t="s">
        <v>6585</v>
      </c>
      <c r="M3051" s="36" t="s">
        <v>6585</v>
      </c>
      <c r="N3051" s="36" t="s">
        <v>32</v>
      </c>
    </row>
    <row r="3052">
      <c r="A3052" s="36" t="s">
        <v>6877</v>
      </c>
      <c r="B3052" s="154" t="s">
        <v>6878</v>
      </c>
      <c r="C3052" s="36" t="s">
        <v>1653</v>
      </c>
      <c r="D3052" s="36" t="s">
        <v>423</v>
      </c>
      <c r="E3052" s="36" t="s">
        <v>39</v>
      </c>
      <c r="F3052" s="154" t="s">
        <v>1971</v>
      </c>
      <c r="G3052" s="36" t="s">
        <v>32</v>
      </c>
      <c r="H3052" s="36" t="s">
        <v>1655</v>
      </c>
      <c r="I3052" s="36" t="s">
        <v>1656</v>
      </c>
      <c r="J3052" s="36" t="s">
        <v>1656</v>
      </c>
      <c r="K3052" s="36" t="s">
        <v>2848</v>
      </c>
      <c r="L3052" s="36" t="s">
        <v>6583</v>
      </c>
      <c r="M3052" s="36" t="s">
        <v>6583</v>
      </c>
      <c r="N3052" s="36" t="s">
        <v>32</v>
      </c>
    </row>
    <row r="3053">
      <c r="A3053" s="36" t="s">
        <v>6879</v>
      </c>
      <c r="B3053" s="154" t="s">
        <v>6878</v>
      </c>
      <c r="C3053" s="36" t="s">
        <v>1666</v>
      </c>
      <c r="D3053" s="36" t="s">
        <v>210</v>
      </c>
      <c r="E3053" s="36" t="s">
        <v>210</v>
      </c>
      <c r="F3053" s="154" t="s">
        <v>1810</v>
      </c>
      <c r="G3053" s="36" t="s">
        <v>28</v>
      </c>
      <c r="H3053" s="36" t="s">
        <v>1655</v>
      </c>
      <c r="I3053" s="36" t="s">
        <v>1656</v>
      </c>
      <c r="J3053" s="36" t="s">
        <v>1656</v>
      </c>
      <c r="K3053" s="36" t="s">
        <v>1779</v>
      </c>
      <c r="L3053" s="36" t="s">
        <v>6585</v>
      </c>
      <c r="M3053" s="36" t="s">
        <v>6585</v>
      </c>
      <c r="N3053" s="36" t="s">
        <v>32</v>
      </c>
    </row>
    <row r="3054">
      <c r="A3054" s="36" t="s">
        <v>6880</v>
      </c>
      <c r="B3054" s="154" t="s">
        <v>6881</v>
      </c>
      <c r="C3054" s="36" t="s">
        <v>1666</v>
      </c>
      <c r="D3054" s="36" t="s">
        <v>238</v>
      </c>
      <c r="E3054" s="36" t="s">
        <v>238</v>
      </c>
      <c r="F3054" s="154" t="s">
        <v>1686</v>
      </c>
      <c r="G3054" s="36" t="s">
        <v>32</v>
      </c>
      <c r="H3054" s="36" t="s">
        <v>1655</v>
      </c>
      <c r="I3054" s="36" t="s">
        <v>1656</v>
      </c>
      <c r="J3054" s="36" t="s">
        <v>1656</v>
      </c>
      <c r="K3054" s="36" t="s">
        <v>1782</v>
      </c>
      <c r="L3054" s="36" t="s">
        <v>6585</v>
      </c>
      <c r="M3054" s="36" t="s">
        <v>6585</v>
      </c>
      <c r="N3054" s="36" t="s">
        <v>32</v>
      </c>
    </row>
    <row r="3055">
      <c r="A3055" s="36" t="s">
        <v>6882</v>
      </c>
      <c r="B3055" s="154" t="s">
        <v>6881</v>
      </c>
      <c r="C3055" s="36" t="s">
        <v>1666</v>
      </c>
      <c r="D3055" s="36" t="s">
        <v>480</v>
      </c>
      <c r="E3055" s="36" t="s">
        <v>480</v>
      </c>
      <c r="F3055" s="154" t="s">
        <v>6883</v>
      </c>
      <c r="G3055" s="36" t="s">
        <v>28</v>
      </c>
      <c r="H3055" s="36" t="s">
        <v>1655</v>
      </c>
      <c r="I3055" s="36" t="s">
        <v>1656</v>
      </c>
      <c r="J3055" s="36" t="s">
        <v>1656</v>
      </c>
      <c r="K3055" s="36" t="s">
        <v>1784</v>
      </c>
      <c r="L3055" s="36" t="s">
        <v>6585</v>
      </c>
      <c r="M3055" s="36" t="s">
        <v>6585</v>
      </c>
      <c r="N3055" s="36" t="s">
        <v>32</v>
      </c>
    </row>
    <row r="3056">
      <c r="A3056" s="36" t="s">
        <v>6884</v>
      </c>
      <c r="B3056" s="154" t="s">
        <v>6881</v>
      </c>
      <c r="C3056" s="36" t="s">
        <v>1666</v>
      </c>
      <c r="D3056" s="36" t="s">
        <v>584</v>
      </c>
      <c r="E3056" s="36" t="s">
        <v>584</v>
      </c>
      <c r="F3056" s="154" t="s">
        <v>6885</v>
      </c>
      <c r="G3056" s="36" t="s">
        <v>34</v>
      </c>
      <c r="H3056" s="36" t="s">
        <v>1655</v>
      </c>
      <c r="I3056" s="36" t="s">
        <v>1656</v>
      </c>
      <c r="J3056" s="36" t="s">
        <v>1656</v>
      </c>
      <c r="K3056" s="36" t="s">
        <v>1787</v>
      </c>
      <c r="L3056" s="36" t="s">
        <v>6585</v>
      </c>
      <c r="M3056" s="36" t="s">
        <v>6585</v>
      </c>
      <c r="N3056" s="36" t="s">
        <v>32</v>
      </c>
    </row>
    <row r="3057">
      <c r="A3057" s="36" t="s">
        <v>6886</v>
      </c>
      <c r="B3057" s="154" t="s">
        <v>6881</v>
      </c>
      <c r="C3057" s="36" t="s">
        <v>1666</v>
      </c>
      <c r="D3057" s="36" t="s">
        <v>591</v>
      </c>
      <c r="E3057" s="36" t="s">
        <v>591</v>
      </c>
      <c r="F3057" s="154" t="s">
        <v>6887</v>
      </c>
      <c r="G3057" s="36" t="s">
        <v>32</v>
      </c>
      <c r="H3057" s="36" t="s">
        <v>1655</v>
      </c>
      <c r="I3057" s="36" t="s">
        <v>1656</v>
      </c>
      <c r="J3057" s="36" t="s">
        <v>1656</v>
      </c>
      <c r="K3057" s="36" t="s">
        <v>1790</v>
      </c>
      <c r="L3057" s="36" t="s">
        <v>6585</v>
      </c>
      <c r="M3057" s="36" t="s">
        <v>6585</v>
      </c>
      <c r="N3057" s="36" t="s">
        <v>32</v>
      </c>
    </row>
    <row r="3058">
      <c r="A3058" s="36" t="s">
        <v>6888</v>
      </c>
      <c r="B3058" s="154" t="s">
        <v>6889</v>
      </c>
      <c r="C3058" s="36" t="s">
        <v>1666</v>
      </c>
      <c r="D3058" s="36" t="s">
        <v>191</v>
      </c>
      <c r="E3058" s="36" t="s">
        <v>191</v>
      </c>
      <c r="F3058" s="154" t="s">
        <v>1816</v>
      </c>
      <c r="G3058" s="36" t="s">
        <v>28</v>
      </c>
      <c r="H3058" s="36" t="s">
        <v>1655</v>
      </c>
      <c r="I3058" s="36" t="s">
        <v>1656</v>
      </c>
      <c r="J3058" s="36" t="s">
        <v>1656</v>
      </c>
      <c r="K3058" s="36" t="s">
        <v>1793</v>
      </c>
      <c r="L3058" s="36" t="s">
        <v>6585</v>
      </c>
      <c r="M3058" s="36" t="s">
        <v>6585</v>
      </c>
      <c r="N3058" s="36" t="s">
        <v>32</v>
      </c>
    </row>
    <row r="3059">
      <c r="A3059" s="36" t="s">
        <v>6890</v>
      </c>
      <c r="B3059" s="154" t="s">
        <v>6889</v>
      </c>
      <c r="C3059" s="36" t="s">
        <v>1666</v>
      </c>
      <c r="D3059" s="36" t="s">
        <v>602</v>
      </c>
      <c r="E3059" s="36" t="s">
        <v>602</v>
      </c>
      <c r="F3059" s="154" t="s">
        <v>2163</v>
      </c>
      <c r="G3059" s="36" t="s">
        <v>28</v>
      </c>
      <c r="H3059" s="36" t="s">
        <v>1655</v>
      </c>
      <c r="I3059" s="36" t="s">
        <v>1656</v>
      </c>
      <c r="J3059" s="36" t="s">
        <v>1656</v>
      </c>
      <c r="K3059" s="36" t="s">
        <v>1796</v>
      </c>
      <c r="L3059" s="36" t="s">
        <v>6585</v>
      </c>
      <c r="M3059" s="36" t="s">
        <v>6585</v>
      </c>
      <c r="N3059" s="36" t="s">
        <v>34</v>
      </c>
    </row>
    <row r="3060">
      <c r="A3060" s="36" t="s">
        <v>6891</v>
      </c>
      <c r="B3060" s="154" t="s">
        <v>6889</v>
      </c>
      <c r="C3060" s="36" t="s">
        <v>1666</v>
      </c>
      <c r="D3060" s="36" t="s">
        <v>608</v>
      </c>
      <c r="E3060" s="36" t="s">
        <v>608</v>
      </c>
      <c r="F3060" s="154" t="s">
        <v>6892</v>
      </c>
      <c r="G3060" s="36" t="s">
        <v>28</v>
      </c>
      <c r="H3060" s="36" t="s">
        <v>1655</v>
      </c>
      <c r="I3060" s="36" t="s">
        <v>1656</v>
      </c>
      <c r="J3060" s="36" t="s">
        <v>1656</v>
      </c>
      <c r="K3060" s="36" t="s">
        <v>1800</v>
      </c>
      <c r="L3060" s="36" t="s">
        <v>6585</v>
      </c>
      <c r="M3060" s="36" t="s">
        <v>6585</v>
      </c>
      <c r="N3060" s="36" t="s">
        <v>34</v>
      </c>
    </row>
    <row r="3061">
      <c r="A3061" s="36" t="s">
        <v>6893</v>
      </c>
      <c r="B3061" s="154" t="s">
        <v>6894</v>
      </c>
      <c r="C3061" s="36" t="s">
        <v>1666</v>
      </c>
      <c r="D3061" s="36" t="s">
        <v>615</v>
      </c>
      <c r="E3061" s="36" t="s">
        <v>615</v>
      </c>
      <c r="F3061" s="154" t="s">
        <v>5109</v>
      </c>
      <c r="G3061" s="36" t="s">
        <v>32</v>
      </c>
      <c r="H3061" s="36" t="s">
        <v>1655</v>
      </c>
      <c r="I3061" s="36" t="s">
        <v>1656</v>
      </c>
      <c r="J3061" s="36" t="s">
        <v>1656</v>
      </c>
      <c r="K3061" s="36" t="s">
        <v>1803</v>
      </c>
      <c r="L3061" s="36" t="s">
        <v>6585</v>
      </c>
      <c r="M3061" s="36" t="s">
        <v>6585</v>
      </c>
      <c r="N3061" s="36" t="s">
        <v>32</v>
      </c>
    </row>
    <row r="3062">
      <c r="A3062" s="36" t="s">
        <v>6895</v>
      </c>
      <c r="B3062" s="154" t="s">
        <v>6894</v>
      </c>
      <c r="C3062" s="36" t="s">
        <v>1666</v>
      </c>
      <c r="D3062" s="36" t="s">
        <v>623</v>
      </c>
      <c r="E3062" s="36" t="s">
        <v>623</v>
      </c>
      <c r="F3062" s="154" t="s">
        <v>1959</v>
      </c>
      <c r="G3062" s="36" t="s">
        <v>28</v>
      </c>
      <c r="H3062" s="36" t="s">
        <v>1655</v>
      </c>
      <c r="I3062" s="36" t="s">
        <v>1656</v>
      </c>
      <c r="J3062" s="36" t="s">
        <v>1656</v>
      </c>
      <c r="K3062" s="36" t="s">
        <v>1807</v>
      </c>
      <c r="L3062" s="36" t="s">
        <v>6585</v>
      </c>
      <c r="M3062" s="36" t="s">
        <v>6585</v>
      </c>
      <c r="N3062" s="36" t="s">
        <v>34</v>
      </c>
    </row>
    <row r="3063">
      <c r="A3063" s="36" t="s">
        <v>6896</v>
      </c>
      <c r="B3063" s="154" t="s">
        <v>6894</v>
      </c>
      <c r="C3063" s="36" t="s">
        <v>1666</v>
      </c>
      <c r="D3063" s="36" t="s">
        <v>576</v>
      </c>
      <c r="E3063" s="36" t="s">
        <v>576</v>
      </c>
      <c r="F3063" s="154" t="s">
        <v>1816</v>
      </c>
      <c r="G3063" s="36" t="s">
        <v>28</v>
      </c>
      <c r="H3063" s="36" t="s">
        <v>1655</v>
      </c>
      <c r="I3063" s="36" t="s">
        <v>1656</v>
      </c>
      <c r="J3063" s="36" t="s">
        <v>1656</v>
      </c>
      <c r="K3063" s="36" t="s">
        <v>1814</v>
      </c>
      <c r="L3063" s="36" t="s">
        <v>6585</v>
      </c>
      <c r="M3063" s="36" t="s">
        <v>6585</v>
      </c>
      <c r="N3063" s="36" t="s">
        <v>34</v>
      </c>
    </row>
    <row r="3064">
      <c r="A3064" s="36" t="s">
        <v>6897</v>
      </c>
      <c r="B3064" s="154" t="s">
        <v>6898</v>
      </c>
      <c r="C3064" s="36" t="s">
        <v>1666</v>
      </c>
      <c r="D3064" s="36" t="s">
        <v>89</v>
      </c>
      <c r="E3064" s="36" t="s">
        <v>89</v>
      </c>
      <c r="F3064" s="154" t="s">
        <v>1686</v>
      </c>
      <c r="G3064" s="36" t="s">
        <v>28</v>
      </c>
      <c r="H3064" s="36" t="s">
        <v>1655</v>
      </c>
      <c r="I3064" s="36" t="s">
        <v>1656</v>
      </c>
      <c r="J3064" s="36" t="s">
        <v>1656</v>
      </c>
      <c r="K3064" s="36" t="s">
        <v>1817</v>
      </c>
      <c r="L3064" s="36" t="s">
        <v>6585</v>
      </c>
      <c r="M3064" s="36" t="s">
        <v>6585</v>
      </c>
      <c r="N3064" s="36" t="s">
        <v>32</v>
      </c>
    </row>
    <row r="3065">
      <c r="A3065" s="36" t="s">
        <v>6899</v>
      </c>
      <c r="B3065" s="154" t="s">
        <v>6898</v>
      </c>
      <c r="C3065" s="36" t="s">
        <v>1666</v>
      </c>
      <c r="D3065" s="36" t="s">
        <v>288</v>
      </c>
      <c r="E3065" s="36" t="s">
        <v>288</v>
      </c>
      <c r="F3065" s="154" t="s">
        <v>2027</v>
      </c>
      <c r="G3065" s="36" t="s">
        <v>32</v>
      </c>
      <c r="H3065" s="36" t="s">
        <v>1655</v>
      </c>
      <c r="I3065" s="36" t="s">
        <v>1656</v>
      </c>
      <c r="J3065" s="36" t="s">
        <v>1656</v>
      </c>
      <c r="K3065" s="36" t="s">
        <v>1820</v>
      </c>
      <c r="L3065" s="36" t="s">
        <v>6585</v>
      </c>
      <c r="M3065" s="36" t="s">
        <v>6585</v>
      </c>
      <c r="N3065" s="36" t="s">
        <v>32</v>
      </c>
    </row>
    <row r="3066">
      <c r="A3066" s="36" t="s">
        <v>6900</v>
      </c>
      <c r="B3066" s="154" t="s">
        <v>6898</v>
      </c>
      <c r="C3066" s="36" t="s">
        <v>1666</v>
      </c>
      <c r="D3066" s="36" t="s">
        <v>637</v>
      </c>
      <c r="E3066" s="36" t="s">
        <v>637</v>
      </c>
      <c r="F3066" s="154" t="s">
        <v>1806</v>
      </c>
      <c r="G3066" s="36" t="s">
        <v>28</v>
      </c>
      <c r="H3066" s="36" t="s">
        <v>1655</v>
      </c>
      <c r="I3066" s="36" t="s">
        <v>1656</v>
      </c>
      <c r="J3066" s="36" t="s">
        <v>1656</v>
      </c>
      <c r="K3066" s="36" t="s">
        <v>1823</v>
      </c>
      <c r="L3066" s="36" t="s">
        <v>6585</v>
      </c>
      <c r="M3066" s="36" t="s">
        <v>6585</v>
      </c>
      <c r="N3066" s="36" t="s">
        <v>34</v>
      </c>
    </row>
    <row r="3067">
      <c r="A3067" s="36" t="s">
        <v>6901</v>
      </c>
      <c r="B3067" s="154" t="s">
        <v>6898</v>
      </c>
      <c r="C3067" s="36" t="s">
        <v>1666</v>
      </c>
      <c r="D3067" s="36" t="s">
        <v>110</v>
      </c>
      <c r="E3067" s="36" t="s">
        <v>110</v>
      </c>
      <c r="F3067" s="154" t="s">
        <v>6902</v>
      </c>
      <c r="G3067" s="36" t="s">
        <v>28</v>
      </c>
      <c r="H3067" s="36" t="s">
        <v>1655</v>
      </c>
      <c r="I3067" s="36" t="s">
        <v>1656</v>
      </c>
      <c r="J3067" s="36" t="s">
        <v>1656</v>
      </c>
      <c r="K3067" s="36" t="s">
        <v>1826</v>
      </c>
      <c r="L3067" s="36" t="s">
        <v>6585</v>
      </c>
      <c r="M3067" s="36" t="s">
        <v>6585</v>
      </c>
      <c r="N3067" s="36" t="s">
        <v>34</v>
      </c>
    </row>
    <row r="3068">
      <c r="A3068" s="36" t="s">
        <v>6903</v>
      </c>
      <c r="B3068" s="154" t="s">
        <v>6904</v>
      </c>
      <c r="C3068" s="36" t="s">
        <v>1666</v>
      </c>
      <c r="D3068" s="36" t="s">
        <v>191</v>
      </c>
      <c r="E3068" s="36" t="s">
        <v>191</v>
      </c>
      <c r="F3068" s="154" t="s">
        <v>1816</v>
      </c>
      <c r="G3068" s="36" t="s">
        <v>28</v>
      </c>
      <c r="H3068" s="36" t="s">
        <v>1655</v>
      </c>
      <c r="I3068" s="36" t="s">
        <v>1656</v>
      </c>
      <c r="J3068" s="36" t="s">
        <v>1656</v>
      </c>
      <c r="K3068" s="36" t="s">
        <v>1830</v>
      </c>
      <c r="L3068" s="36" t="s">
        <v>6585</v>
      </c>
      <c r="M3068" s="36" t="s">
        <v>6585</v>
      </c>
      <c r="N3068" s="36" t="s">
        <v>32</v>
      </c>
    </row>
    <row r="3069">
      <c r="A3069" s="36" t="s">
        <v>6905</v>
      </c>
      <c r="B3069" s="154" t="s">
        <v>6904</v>
      </c>
      <c r="C3069" s="36" t="s">
        <v>1666</v>
      </c>
      <c r="D3069" s="36" t="s">
        <v>458</v>
      </c>
      <c r="E3069" s="36" t="s">
        <v>458</v>
      </c>
      <c r="F3069" s="154" t="s">
        <v>1950</v>
      </c>
      <c r="G3069" s="36" t="s">
        <v>28</v>
      </c>
      <c r="H3069" s="36" t="s">
        <v>1655</v>
      </c>
      <c r="I3069" s="36" t="s">
        <v>1656</v>
      </c>
      <c r="J3069" s="36" t="s">
        <v>1656</v>
      </c>
      <c r="K3069" s="36" t="s">
        <v>1833</v>
      </c>
      <c r="L3069" s="36" t="s">
        <v>6585</v>
      </c>
      <c r="M3069" s="36" t="s">
        <v>6585</v>
      </c>
      <c r="N3069" s="36" t="s">
        <v>34</v>
      </c>
    </row>
    <row r="3070">
      <c r="A3070" s="36" t="s">
        <v>6906</v>
      </c>
      <c r="B3070" s="154" t="s">
        <v>6904</v>
      </c>
      <c r="C3070" s="36" t="s">
        <v>1666</v>
      </c>
      <c r="D3070" s="36" t="s">
        <v>224</v>
      </c>
      <c r="E3070" s="36" t="s">
        <v>224</v>
      </c>
      <c r="F3070" s="154" t="s">
        <v>6907</v>
      </c>
      <c r="G3070" s="36" t="s">
        <v>28</v>
      </c>
      <c r="H3070" s="36" t="s">
        <v>1655</v>
      </c>
      <c r="I3070" s="36" t="s">
        <v>1656</v>
      </c>
      <c r="J3070" s="36" t="s">
        <v>1656</v>
      </c>
      <c r="K3070" s="36" t="s">
        <v>1836</v>
      </c>
      <c r="L3070" s="36" t="s">
        <v>6585</v>
      </c>
      <c r="M3070" s="36" t="s">
        <v>6585</v>
      </c>
      <c r="N3070" s="36" t="s">
        <v>34</v>
      </c>
    </row>
    <row r="3071">
      <c r="A3071" s="36" t="s">
        <v>6908</v>
      </c>
      <c r="B3071" s="154" t="s">
        <v>6909</v>
      </c>
      <c r="C3071" s="36" t="s">
        <v>1666</v>
      </c>
      <c r="D3071" s="36" t="s">
        <v>130</v>
      </c>
      <c r="E3071" s="36" t="s">
        <v>130</v>
      </c>
      <c r="F3071" s="154" t="s">
        <v>1810</v>
      </c>
      <c r="G3071" s="36" t="s">
        <v>32</v>
      </c>
      <c r="H3071" s="36" t="s">
        <v>1655</v>
      </c>
      <c r="I3071" s="36" t="s">
        <v>1656</v>
      </c>
      <c r="J3071" s="36" t="s">
        <v>1656</v>
      </c>
      <c r="K3071" s="36" t="s">
        <v>1839</v>
      </c>
      <c r="L3071" s="36" t="s">
        <v>6585</v>
      </c>
      <c r="M3071" s="36" t="s">
        <v>6585</v>
      </c>
      <c r="N3071" s="36" t="s">
        <v>32</v>
      </c>
    </row>
    <row r="3072">
      <c r="A3072" s="36" t="s">
        <v>6910</v>
      </c>
      <c r="B3072" s="154" t="s">
        <v>6911</v>
      </c>
      <c r="C3072" s="36" t="s">
        <v>1666</v>
      </c>
      <c r="D3072" s="36" t="s">
        <v>79</v>
      </c>
      <c r="E3072" s="36" t="s">
        <v>79</v>
      </c>
      <c r="F3072" s="154" t="s">
        <v>6912</v>
      </c>
      <c r="G3072" s="36" t="s">
        <v>32</v>
      </c>
      <c r="H3072" s="36" t="s">
        <v>1655</v>
      </c>
      <c r="I3072" s="36" t="s">
        <v>1656</v>
      </c>
      <c r="J3072" s="36" t="s">
        <v>1656</v>
      </c>
      <c r="K3072" s="36" t="s">
        <v>1769</v>
      </c>
      <c r="L3072" s="36" t="s">
        <v>6585</v>
      </c>
      <c r="M3072" s="36" t="s">
        <v>6585</v>
      </c>
      <c r="N3072" s="36" t="s">
        <v>32</v>
      </c>
    </row>
    <row r="3073">
      <c r="A3073" s="36" t="s">
        <v>6913</v>
      </c>
      <c r="B3073" s="154" t="s">
        <v>6911</v>
      </c>
      <c r="C3073" s="36" t="s">
        <v>1666</v>
      </c>
      <c r="D3073" s="36" t="s">
        <v>81</v>
      </c>
      <c r="E3073" s="36" t="s">
        <v>81</v>
      </c>
      <c r="F3073" s="154" t="s">
        <v>6680</v>
      </c>
      <c r="G3073" s="36" t="s">
        <v>28</v>
      </c>
      <c r="H3073" s="36" t="s">
        <v>1655</v>
      </c>
      <c r="I3073" s="36" t="s">
        <v>1656</v>
      </c>
      <c r="J3073" s="36" t="s">
        <v>1656</v>
      </c>
      <c r="K3073" s="36" t="s">
        <v>1811</v>
      </c>
      <c r="L3073" s="36" t="s">
        <v>6585</v>
      </c>
      <c r="M3073" s="36" t="s">
        <v>6585</v>
      </c>
      <c r="N3073" s="36" t="s">
        <v>32</v>
      </c>
    </row>
    <row r="3074">
      <c r="A3074" s="36" t="s">
        <v>6914</v>
      </c>
      <c r="B3074" s="154" t="s">
        <v>6911</v>
      </c>
      <c r="C3074" s="36" t="s">
        <v>1666</v>
      </c>
      <c r="D3074" s="36" t="s">
        <v>83</v>
      </c>
      <c r="E3074" s="36" t="s">
        <v>83</v>
      </c>
      <c r="F3074" s="154" t="s">
        <v>6682</v>
      </c>
      <c r="G3074" s="36" t="s">
        <v>28</v>
      </c>
      <c r="H3074" s="36" t="s">
        <v>1655</v>
      </c>
      <c r="I3074" s="36" t="s">
        <v>1656</v>
      </c>
      <c r="J3074" s="36" t="s">
        <v>1656</v>
      </c>
      <c r="K3074" s="36" t="s">
        <v>1891</v>
      </c>
      <c r="L3074" s="36" t="s">
        <v>6585</v>
      </c>
      <c r="M3074" s="36" t="s">
        <v>6585</v>
      </c>
      <c r="N3074" s="36" t="s">
        <v>32</v>
      </c>
    </row>
    <row r="3075">
      <c r="A3075" s="36" t="s">
        <v>6915</v>
      </c>
      <c r="B3075" s="154" t="s">
        <v>6911</v>
      </c>
      <c r="C3075" s="36" t="s">
        <v>1666</v>
      </c>
      <c r="D3075" s="36" t="s">
        <v>84</v>
      </c>
      <c r="E3075" s="36" t="s">
        <v>84</v>
      </c>
      <c r="F3075" s="154" t="s">
        <v>6916</v>
      </c>
      <c r="G3075" s="36" t="s">
        <v>32</v>
      </c>
      <c r="H3075" s="36" t="s">
        <v>1655</v>
      </c>
      <c r="I3075" s="36" t="s">
        <v>1656</v>
      </c>
      <c r="J3075" s="36" t="s">
        <v>1656</v>
      </c>
      <c r="K3075" s="36" t="s">
        <v>1921</v>
      </c>
      <c r="L3075" s="36" t="s">
        <v>6585</v>
      </c>
      <c r="M3075" s="36" t="s">
        <v>6585</v>
      </c>
      <c r="N3075" s="36" t="s">
        <v>32</v>
      </c>
    </row>
    <row r="3076">
      <c r="A3076" s="36" t="s">
        <v>6917</v>
      </c>
      <c r="B3076" s="154" t="s">
        <v>6911</v>
      </c>
      <c r="C3076" s="36" t="s">
        <v>1666</v>
      </c>
      <c r="D3076" s="36" t="s">
        <v>667</v>
      </c>
      <c r="E3076" s="36" t="s">
        <v>667</v>
      </c>
      <c r="F3076" s="154" t="s">
        <v>3017</v>
      </c>
      <c r="G3076" s="36" t="s">
        <v>28</v>
      </c>
      <c r="H3076" s="36" t="s">
        <v>1655</v>
      </c>
      <c r="I3076" s="36" t="s">
        <v>1656</v>
      </c>
      <c r="J3076" s="36" t="s">
        <v>1656</v>
      </c>
      <c r="K3076" s="36" t="s">
        <v>1842</v>
      </c>
      <c r="L3076" s="36" t="s">
        <v>6585</v>
      </c>
      <c r="M3076" s="36" t="s">
        <v>6585</v>
      </c>
      <c r="N3076" s="36" t="s">
        <v>34</v>
      </c>
    </row>
    <row r="3077">
      <c r="A3077" s="36" t="s">
        <v>6918</v>
      </c>
      <c r="B3077" s="154" t="s">
        <v>6911</v>
      </c>
      <c r="C3077" s="36" t="s">
        <v>1666</v>
      </c>
      <c r="D3077" s="36" t="s">
        <v>133</v>
      </c>
      <c r="E3077" s="36" t="s">
        <v>133</v>
      </c>
      <c r="F3077" s="154" t="s">
        <v>6919</v>
      </c>
      <c r="G3077" s="36" t="s">
        <v>32</v>
      </c>
      <c r="H3077" s="36" t="s">
        <v>1655</v>
      </c>
      <c r="I3077" s="36" t="s">
        <v>1656</v>
      </c>
      <c r="J3077" s="36" t="s">
        <v>1656</v>
      </c>
      <c r="K3077" s="36" t="s">
        <v>1845</v>
      </c>
      <c r="L3077" s="36" t="s">
        <v>6585</v>
      </c>
      <c r="M3077" s="36" t="s">
        <v>6585</v>
      </c>
      <c r="N3077" s="36" t="s">
        <v>32</v>
      </c>
    </row>
    <row r="3078">
      <c r="A3078" s="36" t="s">
        <v>6920</v>
      </c>
      <c r="B3078" s="154" t="s">
        <v>6921</v>
      </c>
      <c r="C3078" s="36" t="s">
        <v>1653</v>
      </c>
      <c r="D3078" s="36" t="s">
        <v>43</v>
      </c>
      <c r="E3078" s="36" t="s">
        <v>39</v>
      </c>
      <c r="F3078" s="154" t="s">
        <v>6922</v>
      </c>
      <c r="G3078" s="36" t="s">
        <v>32</v>
      </c>
      <c r="H3078" s="36" t="s">
        <v>1655</v>
      </c>
      <c r="I3078" s="36" t="s">
        <v>1656</v>
      </c>
      <c r="J3078" s="36" t="s">
        <v>1656</v>
      </c>
      <c r="K3078" s="36" t="s">
        <v>1657</v>
      </c>
      <c r="L3078" s="36" t="s">
        <v>6583</v>
      </c>
      <c r="M3078" s="36" t="s">
        <v>6583</v>
      </c>
      <c r="N3078" s="36" t="s">
        <v>32</v>
      </c>
    </row>
    <row r="3079">
      <c r="A3079" s="36" t="s">
        <v>6923</v>
      </c>
      <c r="B3079" s="154" t="s">
        <v>6921</v>
      </c>
      <c r="C3079" s="36" t="s">
        <v>1653</v>
      </c>
      <c r="D3079" s="36" t="s">
        <v>163</v>
      </c>
      <c r="E3079" s="36" t="s">
        <v>39</v>
      </c>
      <c r="F3079" s="154" t="s">
        <v>6924</v>
      </c>
      <c r="G3079" s="36" t="s">
        <v>32</v>
      </c>
      <c r="H3079" s="36" t="s">
        <v>1655</v>
      </c>
      <c r="I3079" s="36" t="s">
        <v>1656</v>
      </c>
      <c r="J3079" s="36" t="s">
        <v>1656</v>
      </c>
      <c r="K3079" s="36" t="s">
        <v>1978</v>
      </c>
      <c r="L3079" s="36" t="s">
        <v>6583</v>
      </c>
      <c r="M3079" s="36" t="s">
        <v>6583</v>
      </c>
      <c r="N3079" s="36" t="s">
        <v>32</v>
      </c>
    </row>
    <row r="3080">
      <c r="A3080" s="36" t="s">
        <v>6925</v>
      </c>
      <c r="B3080" s="154" t="s">
        <v>6921</v>
      </c>
      <c r="C3080" s="36" t="s">
        <v>1666</v>
      </c>
      <c r="D3080" s="36" t="s">
        <v>85</v>
      </c>
      <c r="E3080" s="36" t="s">
        <v>85</v>
      </c>
      <c r="F3080" s="154" t="s">
        <v>6926</v>
      </c>
      <c r="G3080" s="36" t="s">
        <v>28</v>
      </c>
      <c r="H3080" s="36" t="s">
        <v>1655</v>
      </c>
      <c r="I3080" s="36" t="s">
        <v>1656</v>
      </c>
      <c r="J3080" s="36" t="s">
        <v>1656</v>
      </c>
      <c r="K3080" s="36" t="s">
        <v>3035</v>
      </c>
      <c r="L3080" s="36" t="s">
        <v>6585</v>
      </c>
      <c r="M3080" s="36" t="s">
        <v>6585</v>
      </c>
      <c r="N3080" s="36" t="s">
        <v>32</v>
      </c>
    </row>
    <row r="3081">
      <c r="A3081" s="36" t="s">
        <v>6927</v>
      </c>
      <c r="B3081" s="154" t="s">
        <v>6921</v>
      </c>
      <c r="C3081" s="36" t="s">
        <v>1666</v>
      </c>
      <c r="D3081" s="36" t="s">
        <v>437</v>
      </c>
      <c r="E3081" s="36" t="s">
        <v>437</v>
      </c>
      <c r="F3081" s="154" t="s">
        <v>6928</v>
      </c>
      <c r="G3081" s="36" t="s">
        <v>28</v>
      </c>
      <c r="H3081" s="36" t="s">
        <v>1655</v>
      </c>
      <c r="I3081" s="36" t="s">
        <v>1656</v>
      </c>
      <c r="J3081" s="36" t="s">
        <v>1656</v>
      </c>
      <c r="K3081" s="36" t="s">
        <v>3038</v>
      </c>
      <c r="L3081" s="36" t="s">
        <v>6585</v>
      </c>
      <c r="M3081" s="36" t="s">
        <v>6585</v>
      </c>
      <c r="N3081" s="36" t="s">
        <v>32</v>
      </c>
    </row>
    <row r="3082">
      <c r="A3082" s="36" t="s">
        <v>6929</v>
      </c>
      <c r="B3082" s="154" t="s">
        <v>6921</v>
      </c>
      <c r="C3082" s="36" t="s">
        <v>1666</v>
      </c>
      <c r="D3082" s="36" t="s">
        <v>447</v>
      </c>
      <c r="E3082" s="36" t="s">
        <v>447</v>
      </c>
      <c r="F3082" s="154" t="s">
        <v>1810</v>
      </c>
      <c r="G3082" s="36" t="s">
        <v>32</v>
      </c>
      <c r="H3082" s="36" t="s">
        <v>1655</v>
      </c>
      <c r="I3082" s="36" t="s">
        <v>1656</v>
      </c>
      <c r="J3082" s="36" t="s">
        <v>1656</v>
      </c>
      <c r="K3082" s="36" t="s">
        <v>1668</v>
      </c>
      <c r="L3082" s="36" t="s">
        <v>6585</v>
      </c>
      <c r="M3082" s="36" t="s">
        <v>6585</v>
      </c>
      <c r="N3082" s="36" t="s">
        <v>32</v>
      </c>
    </row>
    <row r="3083">
      <c r="A3083" s="36" t="s">
        <v>6930</v>
      </c>
      <c r="B3083" s="154" t="s">
        <v>6931</v>
      </c>
      <c r="C3083" s="36" t="s">
        <v>1666</v>
      </c>
      <c r="D3083" s="36" t="s">
        <v>78</v>
      </c>
      <c r="E3083" s="36" t="s">
        <v>78</v>
      </c>
      <c r="F3083" s="154" t="s">
        <v>2027</v>
      </c>
      <c r="G3083" s="36" t="s">
        <v>28</v>
      </c>
      <c r="H3083" s="36" t="s">
        <v>1655</v>
      </c>
      <c r="I3083" s="36" t="s">
        <v>1656</v>
      </c>
      <c r="J3083" s="36" t="s">
        <v>1656</v>
      </c>
      <c r="K3083" s="36" t="s">
        <v>4248</v>
      </c>
      <c r="L3083" s="36" t="s">
        <v>6585</v>
      </c>
      <c r="M3083" s="36" t="s">
        <v>6585</v>
      </c>
      <c r="N3083" s="36" t="s">
        <v>32</v>
      </c>
    </row>
    <row r="3084">
      <c r="A3084" s="36" t="s">
        <v>6932</v>
      </c>
      <c r="B3084" s="154" t="s">
        <v>6931</v>
      </c>
      <c r="C3084" s="36" t="s">
        <v>1666</v>
      </c>
      <c r="D3084" s="36" t="s">
        <v>210</v>
      </c>
      <c r="E3084" s="36" t="s">
        <v>210</v>
      </c>
      <c r="F3084" s="154" t="s">
        <v>2085</v>
      </c>
      <c r="G3084" s="36" t="s">
        <v>28</v>
      </c>
      <c r="H3084" s="36" t="s">
        <v>1655</v>
      </c>
      <c r="I3084" s="36" t="s">
        <v>1656</v>
      </c>
      <c r="J3084" s="36" t="s">
        <v>1656</v>
      </c>
      <c r="K3084" s="36" t="s">
        <v>1672</v>
      </c>
      <c r="L3084" s="36" t="s">
        <v>6585</v>
      </c>
      <c r="M3084" s="36" t="s">
        <v>6585</v>
      </c>
      <c r="N3084" s="36" t="s">
        <v>32</v>
      </c>
    </row>
    <row r="3085">
      <c r="A3085" s="36" t="s">
        <v>6933</v>
      </c>
      <c r="B3085" s="154" t="s">
        <v>6931</v>
      </c>
      <c r="C3085" s="36" t="s">
        <v>1666</v>
      </c>
      <c r="D3085" s="36" t="s">
        <v>458</v>
      </c>
      <c r="E3085" s="36" t="s">
        <v>458</v>
      </c>
      <c r="F3085" s="154" t="s">
        <v>2728</v>
      </c>
      <c r="G3085" s="36" t="s">
        <v>28</v>
      </c>
      <c r="H3085" s="36" t="s">
        <v>1655</v>
      </c>
      <c r="I3085" s="36" t="s">
        <v>1656</v>
      </c>
      <c r="J3085" s="36" t="s">
        <v>1656</v>
      </c>
      <c r="K3085" s="36" t="s">
        <v>1675</v>
      </c>
      <c r="L3085" s="36" t="s">
        <v>6585</v>
      </c>
      <c r="M3085" s="36" t="s">
        <v>6585</v>
      </c>
      <c r="N3085" s="36" t="s">
        <v>34</v>
      </c>
    </row>
    <row r="3086">
      <c r="A3086" s="36" t="s">
        <v>6934</v>
      </c>
      <c r="B3086" s="154" t="s">
        <v>6935</v>
      </c>
      <c r="C3086" s="36" t="s">
        <v>1666</v>
      </c>
      <c r="D3086" s="36" t="s">
        <v>63</v>
      </c>
      <c r="E3086" s="36" t="s">
        <v>63</v>
      </c>
      <c r="F3086" s="154" t="s">
        <v>6936</v>
      </c>
      <c r="G3086" s="36" t="s">
        <v>32</v>
      </c>
      <c r="H3086" s="36" t="s">
        <v>1655</v>
      </c>
      <c r="I3086" s="36" t="s">
        <v>1656</v>
      </c>
      <c r="J3086" s="36" t="s">
        <v>1656</v>
      </c>
      <c r="K3086" s="36" t="s">
        <v>4196</v>
      </c>
      <c r="L3086" s="36" t="s">
        <v>6585</v>
      </c>
      <c r="M3086" s="36" t="s">
        <v>6585</v>
      </c>
      <c r="N3086" s="36" t="s">
        <v>34</v>
      </c>
    </row>
    <row r="3087">
      <c r="A3087" s="36" t="s">
        <v>6937</v>
      </c>
      <c r="B3087" s="154" t="s">
        <v>6935</v>
      </c>
      <c r="C3087" s="36" t="s">
        <v>1666</v>
      </c>
      <c r="D3087" s="36" t="s">
        <v>210</v>
      </c>
      <c r="E3087" s="36" t="s">
        <v>210</v>
      </c>
      <c r="F3087" s="154" t="s">
        <v>3395</v>
      </c>
      <c r="G3087" s="36" t="s">
        <v>28</v>
      </c>
      <c r="H3087" s="36" t="s">
        <v>1655</v>
      </c>
      <c r="I3087" s="36" t="s">
        <v>1656</v>
      </c>
      <c r="J3087" s="36" t="s">
        <v>1656</v>
      </c>
      <c r="K3087" s="36" t="s">
        <v>1678</v>
      </c>
      <c r="L3087" s="36" t="s">
        <v>6585</v>
      </c>
      <c r="M3087" s="36" t="s">
        <v>6585</v>
      </c>
      <c r="N3087" s="36" t="s">
        <v>32</v>
      </c>
    </row>
    <row r="3088">
      <c r="A3088" s="36" t="s">
        <v>6938</v>
      </c>
      <c r="B3088" s="154" t="s">
        <v>6935</v>
      </c>
      <c r="C3088" s="36" t="s">
        <v>1666</v>
      </c>
      <c r="D3088" s="36" t="s">
        <v>210</v>
      </c>
      <c r="E3088" s="36" t="s">
        <v>210</v>
      </c>
      <c r="F3088" s="154" t="s">
        <v>2156</v>
      </c>
      <c r="G3088" s="36" t="s">
        <v>28</v>
      </c>
      <c r="H3088" s="36" t="s">
        <v>1655</v>
      </c>
      <c r="I3088" s="36" t="s">
        <v>1656</v>
      </c>
      <c r="J3088" s="36" t="s">
        <v>1656</v>
      </c>
      <c r="K3088" s="36" t="s">
        <v>1681</v>
      </c>
      <c r="L3088" s="36" t="s">
        <v>6585</v>
      </c>
      <c r="M3088" s="36" t="s">
        <v>6585</v>
      </c>
      <c r="N3088" s="36" t="s">
        <v>32</v>
      </c>
    </row>
    <row r="3089">
      <c r="A3089" s="36" t="s">
        <v>6939</v>
      </c>
      <c r="B3089" s="154" t="s">
        <v>6940</v>
      </c>
      <c r="C3089" s="36" t="s">
        <v>1666</v>
      </c>
      <c r="D3089" s="36" t="s">
        <v>64</v>
      </c>
      <c r="E3089" s="36" t="s">
        <v>64</v>
      </c>
      <c r="F3089" s="154" t="s">
        <v>3867</v>
      </c>
      <c r="G3089" s="36" t="s">
        <v>28</v>
      </c>
      <c r="H3089" s="36" t="s">
        <v>1655</v>
      </c>
      <c r="I3089" s="36" t="s">
        <v>1656</v>
      </c>
      <c r="J3089" s="36" t="s">
        <v>1656</v>
      </c>
      <c r="K3089" s="36" t="s">
        <v>1708</v>
      </c>
      <c r="L3089" s="36" t="s">
        <v>6585</v>
      </c>
      <c r="M3089" s="36" t="s">
        <v>6585</v>
      </c>
      <c r="N3089" s="36" t="s">
        <v>32</v>
      </c>
    </row>
    <row r="3090">
      <c r="A3090" s="36" t="s">
        <v>6941</v>
      </c>
      <c r="B3090" s="154" t="s">
        <v>6942</v>
      </c>
      <c r="C3090" s="36" t="s">
        <v>1666</v>
      </c>
      <c r="D3090" s="36" t="s">
        <v>66</v>
      </c>
      <c r="E3090" s="36" t="s">
        <v>66</v>
      </c>
      <c r="F3090" s="154" t="s">
        <v>6943</v>
      </c>
      <c r="G3090" s="36" t="s">
        <v>28</v>
      </c>
      <c r="H3090" s="36" t="s">
        <v>1655</v>
      </c>
      <c r="I3090" s="36" t="s">
        <v>1656</v>
      </c>
      <c r="J3090" s="36" t="s">
        <v>1656</v>
      </c>
      <c r="K3090" s="36" t="s">
        <v>1721</v>
      </c>
      <c r="L3090" s="36" t="s">
        <v>6585</v>
      </c>
      <c r="M3090" s="36" t="s">
        <v>6585</v>
      </c>
      <c r="N3090" s="36" t="s">
        <v>32</v>
      </c>
    </row>
    <row r="3091">
      <c r="A3091" s="36" t="s">
        <v>6944</v>
      </c>
      <c r="B3091" s="154" t="s">
        <v>6942</v>
      </c>
      <c r="C3091" s="36" t="s">
        <v>1666</v>
      </c>
      <c r="D3091" s="36" t="s">
        <v>337</v>
      </c>
      <c r="E3091" s="36" t="s">
        <v>337</v>
      </c>
      <c r="F3091" s="154" t="s">
        <v>1686</v>
      </c>
      <c r="G3091" s="36" t="s">
        <v>28</v>
      </c>
      <c r="H3091" s="36" t="s">
        <v>1655</v>
      </c>
      <c r="I3091" s="36" t="s">
        <v>1656</v>
      </c>
      <c r="J3091" s="36" t="s">
        <v>1656</v>
      </c>
      <c r="K3091" s="36" t="s">
        <v>1684</v>
      </c>
      <c r="L3091" s="36" t="s">
        <v>6585</v>
      </c>
      <c r="M3091" s="36" t="s">
        <v>6585</v>
      </c>
      <c r="N3091" s="36" t="s">
        <v>32</v>
      </c>
    </row>
    <row r="3092">
      <c r="A3092" s="36" t="s">
        <v>6945</v>
      </c>
      <c r="B3092" s="154" t="s">
        <v>6942</v>
      </c>
      <c r="C3092" s="36" t="s">
        <v>1666</v>
      </c>
      <c r="D3092" s="36" t="s">
        <v>92</v>
      </c>
      <c r="E3092" s="36" t="s">
        <v>92</v>
      </c>
      <c r="F3092" s="154" t="s">
        <v>1806</v>
      </c>
      <c r="G3092" s="36" t="s">
        <v>32</v>
      </c>
      <c r="H3092" s="36" t="s">
        <v>1655</v>
      </c>
      <c r="I3092" s="36" t="s">
        <v>1656</v>
      </c>
      <c r="J3092" s="36" t="s">
        <v>1656</v>
      </c>
      <c r="K3092" s="36" t="s">
        <v>1691</v>
      </c>
      <c r="L3092" s="36" t="s">
        <v>6585</v>
      </c>
      <c r="M3092" s="36" t="s">
        <v>6585</v>
      </c>
      <c r="N3092" s="36" t="s">
        <v>32</v>
      </c>
    </row>
    <row r="3093">
      <c r="A3093" s="36" t="s">
        <v>6946</v>
      </c>
      <c r="B3093" s="154" t="s">
        <v>6947</v>
      </c>
      <c r="C3093" s="36" t="s">
        <v>1666</v>
      </c>
      <c r="D3093" s="36" t="s">
        <v>210</v>
      </c>
      <c r="E3093" s="36" t="s">
        <v>210</v>
      </c>
      <c r="F3093" s="154" t="s">
        <v>1955</v>
      </c>
      <c r="G3093" s="36" t="s">
        <v>28</v>
      </c>
      <c r="H3093" s="36" t="s">
        <v>1655</v>
      </c>
      <c r="I3093" s="36" t="s">
        <v>1656</v>
      </c>
      <c r="J3093" s="36" t="s">
        <v>1656</v>
      </c>
      <c r="K3093" s="36" t="s">
        <v>1695</v>
      </c>
      <c r="L3093" s="36" t="s">
        <v>6585</v>
      </c>
      <c r="M3093" s="36" t="s">
        <v>6585</v>
      </c>
      <c r="N3093" s="36" t="s">
        <v>32</v>
      </c>
    </row>
    <row r="3094">
      <c r="A3094" s="36" t="s">
        <v>6948</v>
      </c>
      <c r="B3094" s="154" t="s">
        <v>6947</v>
      </c>
      <c r="C3094" s="36" t="s">
        <v>1666</v>
      </c>
      <c r="D3094" s="36" t="s">
        <v>488</v>
      </c>
      <c r="E3094" s="36" t="s">
        <v>488</v>
      </c>
      <c r="F3094" s="154" t="s">
        <v>6949</v>
      </c>
      <c r="G3094" s="36" t="s">
        <v>32</v>
      </c>
      <c r="H3094" s="36" t="s">
        <v>1655</v>
      </c>
      <c r="I3094" s="36" t="s">
        <v>1656</v>
      </c>
      <c r="J3094" s="36" t="s">
        <v>1656</v>
      </c>
      <c r="K3094" s="36" t="s">
        <v>1698</v>
      </c>
      <c r="L3094" s="36" t="s">
        <v>6585</v>
      </c>
      <c r="M3094" s="36" t="s">
        <v>6585</v>
      </c>
      <c r="N3094" s="36" t="s">
        <v>32</v>
      </c>
    </row>
    <row r="3095">
      <c r="A3095" s="36" t="s">
        <v>6950</v>
      </c>
      <c r="B3095" s="154" t="s">
        <v>6947</v>
      </c>
      <c r="C3095" s="36" t="s">
        <v>1666</v>
      </c>
      <c r="D3095" s="36" t="s">
        <v>234</v>
      </c>
      <c r="E3095" s="36" t="s">
        <v>234</v>
      </c>
      <c r="F3095" s="154" t="s">
        <v>2249</v>
      </c>
      <c r="G3095" s="36" t="s">
        <v>32</v>
      </c>
      <c r="H3095" s="36" t="s">
        <v>1655</v>
      </c>
      <c r="I3095" s="36" t="s">
        <v>1656</v>
      </c>
      <c r="J3095" s="36" t="s">
        <v>1656</v>
      </c>
      <c r="K3095" s="36" t="s">
        <v>1701</v>
      </c>
      <c r="L3095" s="36" t="s">
        <v>6585</v>
      </c>
      <c r="M3095" s="36" t="s">
        <v>6585</v>
      </c>
      <c r="N3095" s="36" t="s">
        <v>32</v>
      </c>
    </row>
    <row r="3096">
      <c r="A3096" s="36" t="s">
        <v>6951</v>
      </c>
      <c r="B3096" s="154" t="s">
        <v>6947</v>
      </c>
      <c r="C3096" s="36" t="s">
        <v>1666</v>
      </c>
      <c r="D3096" s="36" t="s">
        <v>500</v>
      </c>
      <c r="E3096" s="36" t="s">
        <v>500</v>
      </c>
      <c r="F3096" s="154" t="s">
        <v>6952</v>
      </c>
      <c r="G3096" s="36" t="s">
        <v>32</v>
      </c>
      <c r="H3096" s="36" t="s">
        <v>1655</v>
      </c>
      <c r="I3096" s="36" t="s">
        <v>1656</v>
      </c>
      <c r="J3096" s="36" t="s">
        <v>1656</v>
      </c>
      <c r="K3096" s="36" t="s">
        <v>1704</v>
      </c>
      <c r="L3096" s="36" t="s">
        <v>6585</v>
      </c>
      <c r="M3096" s="36" t="s">
        <v>6585</v>
      </c>
      <c r="N3096" s="36" t="s">
        <v>32</v>
      </c>
    </row>
    <row r="3097">
      <c r="A3097" s="36" t="s">
        <v>6953</v>
      </c>
      <c r="B3097" s="154" t="s">
        <v>6947</v>
      </c>
      <c r="C3097" s="36" t="s">
        <v>1666</v>
      </c>
      <c r="D3097" s="36" t="s">
        <v>210</v>
      </c>
      <c r="E3097" s="36" t="s">
        <v>210</v>
      </c>
      <c r="F3097" s="154" t="s">
        <v>1768</v>
      </c>
      <c r="G3097" s="36" t="s">
        <v>28</v>
      </c>
      <c r="H3097" s="36" t="s">
        <v>1655</v>
      </c>
      <c r="I3097" s="36" t="s">
        <v>1656</v>
      </c>
      <c r="J3097" s="36" t="s">
        <v>1656</v>
      </c>
      <c r="K3097" s="36" t="s">
        <v>1711</v>
      </c>
      <c r="L3097" s="36" t="s">
        <v>6585</v>
      </c>
      <c r="M3097" s="36" t="s">
        <v>6585</v>
      </c>
      <c r="N3097" s="36" t="s">
        <v>34</v>
      </c>
    </row>
    <row r="3098">
      <c r="A3098" s="36" t="s">
        <v>6954</v>
      </c>
      <c r="B3098" s="154" t="s">
        <v>6947</v>
      </c>
      <c r="C3098" s="36" t="s">
        <v>1666</v>
      </c>
      <c r="D3098" s="36" t="s">
        <v>507</v>
      </c>
      <c r="E3098" s="36" t="s">
        <v>507</v>
      </c>
      <c r="F3098" s="154" t="s">
        <v>2163</v>
      </c>
      <c r="G3098" s="36" t="s">
        <v>28</v>
      </c>
      <c r="H3098" s="36" t="s">
        <v>1655</v>
      </c>
      <c r="I3098" s="36" t="s">
        <v>1656</v>
      </c>
      <c r="J3098" s="36" t="s">
        <v>1656</v>
      </c>
      <c r="K3098" s="36" t="s">
        <v>1715</v>
      </c>
      <c r="L3098" s="36" t="s">
        <v>6585</v>
      </c>
      <c r="M3098" s="36" t="s">
        <v>6585</v>
      </c>
      <c r="N3098" s="36" t="s">
        <v>34</v>
      </c>
    </row>
    <row r="3099">
      <c r="A3099" s="36" t="s">
        <v>6955</v>
      </c>
      <c r="B3099" s="154" t="s">
        <v>6956</v>
      </c>
      <c r="C3099" s="36" t="s">
        <v>1653</v>
      </c>
      <c r="D3099" s="36" t="s">
        <v>55</v>
      </c>
      <c r="E3099" s="36" t="s">
        <v>39</v>
      </c>
      <c r="F3099" s="154" t="s">
        <v>6957</v>
      </c>
      <c r="G3099" s="36" t="s">
        <v>32</v>
      </c>
      <c r="H3099" s="36" t="s">
        <v>1655</v>
      </c>
      <c r="I3099" s="36" t="s">
        <v>1656</v>
      </c>
      <c r="J3099" s="36" t="s">
        <v>1656</v>
      </c>
      <c r="K3099" s="36" t="s">
        <v>1989</v>
      </c>
      <c r="L3099" s="36" t="s">
        <v>6583</v>
      </c>
      <c r="M3099" s="36" t="s">
        <v>6583</v>
      </c>
      <c r="N3099" s="36" t="s">
        <v>32</v>
      </c>
    </row>
    <row r="3100">
      <c r="A3100" s="36" t="s">
        <v>6958</v>
      </c>
      <c r="B3100" s="154" t="s">
        <v>6956</v>
      </c>
      <c r="C3100" s="36" t="s">
        <v>1666</v>
      </c>
      <c r="D3100" s="36" t="s">
        <v>76</v>
      </c>
      <c r="E3100" s="36" t="s">
        <v>76</v>
      </c>
      <c r="F3100" s="154" t="s">
        <v>6959</v>
      </c>
      <c r="G3100" s="36" t="s">
        <v>28</v>
      </c>
      <c r="H3100" s="36" t="s">
        <v>1655</v>
      </c>
      <c r="I3100" s="36" t="s">
        <v>1656</v>
      </c>
      <c r="J3100" s="36" t="s">
        <v>1656</v>
      </c>
      <c r="K3100" s="36" t="s">
        <v>1763</v>
      </c>
      <c r="L3100" s="36" t="s">
        <v>6585</v>
      </c>
      <c r="M3100" s="36" t="s">
        <v>6585</v>
      </c>
      <c r="N3100" s="36" t="s">
        <v>32</v>
      </c>
    </row>
    <row r="3101">
      <c r="A3101" s="36" t="s">
        <v>6960</v>
      </c>
      <c r="B3101" s="154" t="s">
        <v>6956</v>
      </c>
      <c r="C3101" s="36" t="s">
        <v>1666</v>
      </c>
      <c r="D3101" s="36" t="s">
        <v>77</v>
      </c>
      <c r="E3101" s="36" t="s">
        <v>77</v>
      </c>
      <c r="F3101" s="154" t="s">
        <v>1768</v>
      </c>
      <c r="G3101" s="36" t="s">
        <v>34</v>
      </c>
      <c r="H3101" s="36" t="s">
        <v>1655</v>
      </c>
      <c r="I3101" s="36" t="s">
        <v>1656</v>
      </c>
      <c r="J3101" s="36" t="s">
        <v>1656</v>
      </c>
      <c r="K3101" s="36" t="s">
        <v>1766</v>
      </c>
      <c r="L3101" s="36" t="s">
        <v>6585</v>
      </c>
      <c r="M3101" s="36" t="s">
        <v>6585</v>
      </c>
      <c r="N3101" s="36" t="s">
        <v>32</v>
      </c>
    </row>
    <row r="3102">
      <c r="A3102" s="36" t="s">
        <v>6961</v>
      </c>
      <c r="B3102" s="154" t="s">
        <v>6956</v>
      </c>
      <c r="C3102" s="36" t="s">
        <v>1666</v>
      </c>
      <c r="D3102" s="36" t="s">
        <v>115</v>
      </c>
      <c r="E3102" s="36" t="s">
        <v>115</v>
      </c>
      <c r="F3102" s="154" t="s">
        <v>1683</v>
      </c>
      <c r="G3102" s="36" t="s">
        <v>32</v>
      </c>
      <c r="H3102" s="36" t="s">
        <v>1655</v>
      </c>
      <c r="I3102" s="36" t="s">
        <v>1656</v>
      </c>
      <c r="J3102" s="36" t="s">
        <v>1656</v>
      </c>
      <c r="K3102" s="36" t="s">
        <v>1717</v>
      </c>
      <c r="L3102" s="36" t="s">
        <v>6585</v>
      </c>
      <c r="M3102" s="36" t="s">
        <v>6585</v>
      </c>
      <c r="N3102" s="36" t="s">
        <v>32</v>
      </c>
    </row>
    <row r="3103">
      <c r="A3103" s="36" t="s">
        <v>6962</v>
      </c>
      <c r="B3103" s="154" t="s">
        <v>6956</v>
      </c>
      <c r="C3103" s="36" t="s">
        <v>1666</v>
      </c>
      <c r="D3103" s="36" t="s">
        <v>114</v>
      </c>
      <c r="E3103" s="36" t="s">
        <v>114</v>
      </c>
      <c r="F3103" s="154" t="s">
        <v>1799</v>
      </c>
      <c r="G3103" s="36" t="s">
        <v>32</v>
      </c>
      <c r="H3103" s="36" t="s">
        <v>1655</v>
      </c>
      <c r="I3103" s="36" t="s">
        <v>1656</v>
      </c>
      <c r="J3103" s="36" t="s">
        <v>1656</v>
      </c>
      <c r="K3103" s="36" t="s">
        <v>1724</v>
      </c>
      <c r="L3103" s="36" t="s">
        <v>6585</v>
      </c>
      <c r="M3103" s="36" t="s">
        <v>6585</v>
      </c>
      <c r="N3103" s="36" t="s">
        <v>32</v>
      </c>
    </row>
    <row r="3104">
      <c r="A3104" s="36" t="s">
        <v>6963</v>
      </c>
      <c r="B3104" s="154" t="s">
        <v>6956</v>
      </c>
      <c r="C3104" s="36" t="s">
        <v>1666</v>
      </c>
      <c r="D3104" s="36" t="s">
        <v>226</v>
      </c>
      <c r="E3104" s="36" t="s">
        <v>226</v>
      </c>
      <c r="F3104" s="154" t="s">
        <v>6964</v>
      </c>
      <c r="G3104" s="36" t="s">
        <v>32</v>
      </c>
      <c r="H3104" s="36" t="s">
        <v>1655</v>
      </c>
      <c r="I3104" s="36" t="s">
        <v>1656</v>
      </c>
      <c r="J3104" s="36" t="s">
        <v>1656</v>
      </c>
      <c r="K3104" s="36" t="s">
        <v>1727</v>
      </c>
      <c r="L3104" s="36" t="s">
        <v>6585</v>
      </c>
      <c r="M3104" s="36" t="s">
        <v>6585</v>
      </c>
      <c r="N3104" s="36" t="s">
        <v>32</v>
      </c>
    </row>
    <row r="3105">
      <c r="A3105" s="36" t="s">
        <v>6965</v>
      </c>
      <c r="B3105" s="154" t="s">
        <v>6956</v>
      </c>
      <c r="C3105" s="36" t="s">
        <v>1666</v>
      </c>
      <c r="D3105" s="36" t="s">
        <v>220</v>
      </c>
      <c r="E3105" s="36" t="s">
        <v>220</v>
      </c>
      <c r="F3105" s="154" t="s">
        <v>6966</v>
      </c>
      <c r="G3105" s="36" t="s">
        <v>28</v>
      </c>
      <c r="H3105" s="36" t="s">
        <v>1655</v>
      </c>
      <c r="I3105" s="36" t="s">
        <v>1656</v>
      </c>
      <c r="J3105" s="36" t="s">
        <v>1656</v>
      </c>
      <c r="K3105" s="36" t="s">
        <v>1730</v>
      </c>
      <c r="L3105" s="36" t="s">
        <v>6585</v>
      </c>
      <c r="M3105" s="36" t="s">
        <v>6585</v>
      </c>
      <c r="N3105" s="36" t="s">
        <v>32</v>
      </c>
    </row>
    <row r="3106">
      <c r="A3106" s="36" t="s">
        <v>6967</v>
      </c>
      <c r="B3106" s="154" t="s">
        <v>6968</v>
      </c>
      <c r="C3106" s="36" t="s">
        <v>1666</v>
      </c>
      <c r="D3106" s="36" t="s">
        <v>533</v>
      </c>
      <c r="E3106" s="36" t="s">
        <v>533</v>
      </c>
      <c r="F3106" s="154" t="s">
        <v>1778</v>
      </c>
      <c r="G3106" s="36" t="s">
        <v>28</v>
      </c>
      <c r="H3106" s="36" t="s">
        <v>1655</v>
      </c>
      <c r="I3106" s="36" t="s">
        <v>1656</v>
      </c>
      <c r="J3106" s="36" t="s">
        <v>1656</v>
      </c>
      <c r="K3106" s="36" t="s">
        <v>1732</v>
      </c>
      <c r="L3106" s="36" t="s">
        <v>6585</v>
      </c>
      <c r="M3106" s="36" t="s">
        <v>6585</v>
      </c>
      <c r="N3106" s="36" t="s">
        <v>34</v>
      </c>
    </row>
    <row r="3107">
      <c r="A3107" s="36" t="s">
        <v>6969</v>
      </c>
      <c r="B3107" s="154" t="s">
        <v>6970</v>
      </c>
      <c r="C3107" s="36" t="s">
        <v>1666</v>
      </c>
      <c r="D3107" s="36" t="s">
        <v>210</v>
      </c>
      <c r="E3107" s="36" t="s">
        <v>210</v>
      </c>
      <c r="F3107" s="154" t="s">
        <v>2575</v>
      </c>
      <c r="G3107" s="36" t="s">
        <v>28</v>
      </c>
      <c r="H3107" s="36" t="s">
        <v>1655</v>
      </c>
      <c r="I3107" s="36" t="s">
        <v>1656</v>
      </c>
      <c r="J3107" s="36" t="s">
        <v>1656</v>
      </c>
      <c r="K3107" s="36" t="s">
        <v>1736</v>
      </c>
      <c r="L3107" s="36" t="s">
        <v>6585</v>
      </c>
      <c r="M3107" s="36" t="s">
        <v>6585</v>
      </c>
      <c r="N3107" s="36" t="s">
        <v>32</v>
      </c>
    </row>
    <row r="3108">
      <c r="A3108" s="36" t="s">
        <v>6971</v>
      </c>
      <c r="B3108" s="154" t="s">
        <v>6972</v>
      </c>
      <c r="C3108" s="36" t="s">
        <v>1666</v>
      </c>
      <c r="D3108" s="36" t="s">
        <v>545</v>
      </c>
      <c r="E3108" s="36" t="s">
        <v>545</v>
      </c>
      <c r="F3108" s="154" t="s">
        <v>1768</v>
      </c>
      <c r="G3108" s="36" t="s">
        <v>32</v>
      </c>
      <c r="H3108" s="36" t="s">
        <v>1655</v>
      </c>
      <c r="I3108" s="36" t="s">
        <v>1656</v>
      </c>
      <c r="J3108" s="36" t="s">
        <v>1656</v>
      </c>
      <c r="K3108" s="36" t="s">
        <v>1739</v>
      </c>
      <c r="L3108" s="36" t="s">
        <v>6585</v>
      </c>
      <c r="M3108" s="36" t="s">
        <v>6585</v>
      </c>
      <c r="N3108" s="36" t="s">
        <v>32</v>
      </c>
    </row>
    <row r="3109">
      <c r="A3109" s="36" t="s">
        <v>6973</v>
      </c>
      <c r="B3109" s="154" t="s">
        <v>6972</v>
      </c>
      <c r="C3109" s="36" t="s">
        <v>1666</v>
      </c>
      <c r="D3109" s="36" t="s">
        <v>548</v>
      </c>
      <c r="E3109" s="36" t="s">
        <v>548</v>
      </c>
      <c r="F3109" s="154" t="s">
        <v>6974</v>
      </c>
      <c r="G3109" s="36" t="s">
        <v>28</v>
      </c>
      <c r="H3109" s="36" t="s">
        <v>1655</v>
      </c>
      <c r="I3109" s="36" t="s">
        <v>1656</v>
      </c>
      <c r="J3109" s="36" t="s">
        <v>1656</v>
      </c>
      <c r="K3109" s="36" t="s">
        <v>1742</v>
      </c>
      <c r="L3109" s="36" t="s">
        <v>6585</v>
      </c>
      <c r="M3109" s="36" t="s">
        <v>6585</v>
      </c>
      <c r="N3109" s="36" t="s">
        <v>34</v>
      </c>
    </row>
    <row r="3110">
      <c r="A3110" s="36" t="s">
        <v>6975</v>
      </c>
      <c r="B3110" s="154" t="s">
        <v>6976</v>
      </c>
      <c r="C3110" s="36" t="s">
        <v>1653</v>
      </c>
      <c r="D3110" s="36" t="s">
        <v>416</v>
      </c>
      <c r="E3110" s="36" t="s">
        <v>39</v>
      </c>
      <c r="F3110" s="154" t="s">
        <v>5835</v>
      </c>
      <c r="G3110" s="36" t="s">
        <v>32</v>
      </c>
      <c r="H3110" s="36" t="s">
        <v>1655</v>
      </c>
      <c r="I3110" s="36" t="s">
        <v>1656</v>
      </c>
      <c r="J3110" s="36" t="s">
        <v>1656</v>
      </c>
      <c r="K3110" s="36" t="s">
        <v>1749</v>
      </c>
      <c r="L3110" s="36" t="s">
        <v>6583</v>
      </c>
      <c r="M3110" s="36" t="s">
        <v>6583</v>
      </c>
      <c r="N3110" s="36" t="s">
        <v>32</v>
      </c>
    </row>
    <row r="3111">
      <c r="A3111" s="36" t="s">
        <v>6977</v>
      </c>
      <c r="B3111" s="154" t="s">
        <v>6976</v>
      </c>
      <c r="C3111" s="36" t="s">
        <v>1666</v>
      </c>
      <c r="D3111" s="36" t="s">
        <v>553</v>
      </c>
      <c r="E3111" s="36" t="s">
        <v>553</v>
      </c>
      <c r="F3111" s="154" t="s">
        <v>6978</v>
      </c>
      <c r="G3111" s="36" t="s">
        <v>32</v>
      </c>
      <c r="H3111" s="36" t="s">
        <v>1655</v>
      </c>
      <c r="I3111" s="36" t="s">
        <v>1656</v>
      </c>
      <c r="J3111" s="36" t="s">
        <v>1656</v>
      </c>
      <c r="K3111" s="36" t="s">
        <v>1745</v>
      </c>
      <c r="L3111" s="36" t="s">
        <v>6585</v>
      </c>
      <c r="M3111" s="36" t="s">
        <v>6585</v>
      </c>
      <c r="N3111" s="36" t="s">
        <v>32</v>
      </c>
    </row>
    <row r="3112">
      <c r="A3112" s="36" t="s">
        <v>6979</v>
      </c>
      <c r="B3112" s="154" t="s">
        <v>6980</v>
      </c>
      <c r="C3112" s="36" t="s">
        <v>1666</v>
      </c>
      <c r="D3112" s="36" t="s">
        <v>559</v>
      </c>
      <c r="E3112" s="36" t="s">
        <v>559</v>
      </c>
      <c r="F3112" s="154" t="s">
        <v>6981</v>
      </c>
      <c r="G3112" s="36" t="s">
        <v>28</v>
      </c>
      <c r="H3112" s="36" t="s">
        <v>1655</v>
      </c>
      <c r="I3112" s="36" t="s">
        <v>1656</v>
      </c>
      <c r="J3112" s="36" t="s">
        <v>1656</v>
      </c>
      <c r="K3112" s="36" t="s">
        <v>1773</v>
      </c>
      <c r="L3112" s="36" t="s">
        <v>6585</v>
      </c>
      <c r="M3112" s="36" t="s">
        <v>6585</v>
      </c>
      <c r="N3112" s="36" t="s">
        <v>32</v>
      </c>
    </row>
    <row r="3113">
      <c r="A3113" s="36" t="s">
        <v>6982</v>
      </c>
      <c r="B3113" s="154" t="s">
        <v>6980</v>
      </c>
      <c r="C3113" s="36" t="s">
        <v>1666</v>
      </c>
      <c r="D3113" s="36" t="s">
        <v>565</v>
      </c>
      <c r="E3113" s="36" t="s">
        <v>565</v>
      </c>
      <c r="F3113" s="154" t="s">
        <v>1810</v>
      </c>
      <c r="G3113" s="36" t="s">
        <v>32</v>
      </c>
      <c r="H3113" s="36" t="s">
        <v>1655</v>
      </c>
      <c r="I3113" s="36" t="s">
        <v>1656</v>
      </c>
      <c r="J3113" s="36" t="s">
        <v>1656</v>
      </c>
      <c r="K3113" s="36" t="s">
        <v>1776</v>
      </c>
      <c r="L3113" s="36" t="s">
        <v>6585</v>
      </c>
      <c r="M3113" s="36" t="s">
        <v>6585</v>
      </c>
      <c r="N3113" s="36" t="s">
        <v>32</v>
      </c>
    </row>
    <row r="3114">
      <c r="A3114" s="36" t="s">
        <v>6983</v>
      </c>
      <c r="B3114" s="154" t="s">
        <v>6984</v>
      </c>
      <c r="C3114" s="36" t="s">
        <v>1653</v>
      </c>
      <c r="D3114" s="36" t="s">
        <v>161</v>
      </c>
      <c r="E3114" s="36" t="s">
        <v>39</v>
      </c>
      <c r="F3114" s="154" t="s">
        <v>6340</v>
      </c>
      <c r="G3114" s="36" t="s">
        <v>32</v>
      </c>
      <c r="H3114" s="36" t="s">
        <v>1655</v>
      </c>
      <c r="I3114" s="36" t="s">
        <v>1656</v>
      </c>
      <c r="J3114" s="36" t="s">
        <v>1656</v>
      </c>
      <c r="K3114" s="36" t="s">
        <v>2848</v>
      </c>
      <c r="L3114" s="36" t="s">
        <v>6583</v>
      </c>
      <c r="M3114" s="36" t="s">
        <v>6583</v>
      </c>
      <c r="N3114" s="36" t="s">
        <v>32</v>
      </c>
    </row>
    <row r="3115">
      <c r="A3115" s="36" t="s">
        <v>6985</v>
      </c>
      <c r="B3115" s="154" t="s">
        <v>6986</v>
      </c>
      <c r="C3115" s="36" t="s">
        <v>1666</v>
      </c>
      <c r="D3115" s="36" t="s">
        <v>92</v>
      </c>
      <c r="E3115" s="36" t="s">
        <v>92</v>
      </c>
      <c r="F3115" s="154" t="s">
        <v>6987</v>
      </c>
      <c r="G3115" s="36" t="s">
        <v>32</v>
      </c>
      <c r="H3115" s="36" t="s">
        <v>1655</v>
      </c>
      <c r="I3115" s="36" t="s">
        <v>1656</v>
      </c>
      <c r="J3115" s="36" t="s">
        <v>1656</v>
      </c>
      <c r="K3115" s="36" t="s">
        <v>1779</v>
      </c>
      <c r="L3115" s="36" t="s">
        <v>6585</v>
      </c>
      <c r="M3115" s="36" t="s">
        <v>6585</v>
      </c>
      <c r="N3115" s="36" t="s">
        <v>32</v>
      </c>
    </row>
    <row r="3116">
      <c r="A3116" s="36" t="s">
        <v>6988</v>
      </c>
      <c r="B3116" s="154" t="s">
        <v>6986</v>
      </c>
      <c r="C3116" s="36" t="s">
        <v>1666</v>
      </c>
      <c r="D3116" s="36" t="s">
        <v>574</v>
      </c>
      <c r="E3116" s="36" t="s">
        <v>574</v>
      </c>
      <c r="F3116" s="154" t="s">
        <v>6989</v>
      </c>
      <c r="G3116" s="36" t="s">
        <v>28</v>
      </c>
      <c r="H3116" s="36" t="s">
        <v>1655</v>
      </c>
      <c r="I3116" s="36" t="s">
        <v>1656</v>
      </c>
      <c r="J3116" s="36" t="s">
        <v>1656</v>
      </c>
      <c r="K3116" s="36" t="s">
        <v>1782</v>
      </c>
      <c r="L3116" s="36" t="s">
        <v>6585</v>
      </c>
      <c r="M3116" s="36" t="s">
        <v>6585</v>
      </c>
      <c r="N3116" s="36" t="s">
        <v>32</v>
      </c>
    </row>
    <row r="3117">
      <c r="A3117" s="36" t="s">
        <v>6990</v>
      </c>
      <c r="B3117" s="154" t="s">
        <v>6986</v>
      </c>
      <c r="C3117" s="36" t="s">
        <v>1666</v>
      </c>
      <c r="D3117" s="36" t="s">
        <v>92</v>
      </c>
      <c r="E3117" s="36" t="s">
        <v>92</v>
      </c>
      <c r="F3117" s="154" t="s">
        <v>1816</v>
      </c>
      <c r="G3117" s="36" t="s">
        <v>32</v>
      </c>
      <c r="H3117" s="36" t="s">
        <v>1655</v>
      </c>
      <c r="I3117" s="36" t="s">
        <v>1656</v>
      </c>
      <c r="J3117" s="36" t="s">
        <v>1656</v>
      </c>
      <c r="K3117" s="36" t="s">
        <v>1784</v>
      </c>
      <c r="L3117" s="36" t="s">
        <v>6585</v>
      </c>
      <c r="M3117" s="36" t="s">
        <v>6585</v>
      </c>
      <c r="N3117" s="36" t="s">
        <v>32</v>
      </c>
    </row>
    <row r="3118">
      <c r="A3118" s="36" t="s">
        <v>6991</v>
      </c>
      <c r="B3118" s="154" t="s">
        <v>6986</v>
      </c>
      <c r="C3118" s="36" t="s">
        <v>1666</v>
      </c>
      <c r="D3118" s="36" t="s">
        <v>92</v>
      </c>
      <c r="E3118" s="36" t="s">
        <v>92</v>
      </c>
      <c r="F3118" s="154" t="s">
        <v>1810</v>
      </c>
      <c r="G3118" s="36" t="s">
        <v>28</v>
      </c>
      <c r="H3118" s="36" t="s">
        <v>1655</v>
      </c>
      <c r="I3118" s="36" t="s">
        <v>1656</v>
      </c>
      <c r="J3118" s="36" t="s">
        <v>1656</v>
      </c>
      <c r="K3118" s="36" t="s">
        <v>1787</v>
      </c>
      <c r="L3118" s="36" t="s">
        <v>6585</v>
      </c>
      <c r="M3118" s="36" t="s">
        <v>6585</v>
      </c>
      <c r="N3118" s="36" t="s">
        <v>32</v>
      </c>
    </row>
    <row r="3119">
      <c r="A3119" s="36" t="s">
        <v>6992</v>
      </c>
      <c r="B3119" s="154" t="s">
        <v>6993</v>
      </c>
      <c r="C3119" s="36" t="s">
        <v>1666</v>
      </c>
      <c r="D3119" s="36" t="s">
        <v>592</v>
      </c>
      <c r="E3119" s="36" t="s">
        <v>592</v>
      </c>
      <c r="F3119" s="154" t="s">
        <v>6994</v>
      </c>
      <c r="G3119" s="36" t="s">
        <v>32</v>
      </c>
      <c r="H3119" s="36" t="s">
        <v>1655</v>
      </c>
      <c r="I3119" s="36" t="s">
        <v>1656</v>
      </c>
      <c r="J3119" s="36" t="s">
        <v>1656</v>
      </c>
      <c r="K3119" s="36" t="s">
        <v>1790</v>
      </c>
      <c r="L3119" s="36" t="s">
        <v>6585</v>
      </c>
      <c r="M3119" s="36" t="s">
        <v>6585</v>
      </c>
      <c r="N3119" s="36" t="s">
        <v>32</v>
      </c>
    </row>
    <row r="3120">
      <c r="A3120" s="36" t="s">
        <v>6995</v>
      </c>
      <c r="B3120" s="154" t="s">
        <v>6996</v>
      </c>
      <c r="C3120" s="36" t="s">
        <v>1666</v>
      </c>
      <c r="D3120" s="36" t="s">
        <v>224</v>
      </c>
      <c r="E3120" s="36" t="s">
        <v>224</v>
      </c>
      <c r="F3120" s="154" t="s">
        <v>6997</v>
      </c>
      <c r="G3120" s="36" t="s">
        <v>28</v>
      </c>
      <c r="H3120" s="36" t="s">
        <v>1655</v>
      </c>
      <c r="I3120" s="36" t="s">
        <v>1656</v>
      </c>
      <c r="J3120" s="36" t="s">
        <v>1656</v>
      </c>
      <c r="K3120" s="36" t="s">
        <v>1793</v>
      </c>
      <c r="L3120" s="36" t="s">
        <v>6585</v>
      </c>
      <c r="M3120" s="36" t="s">
        <v>6585</v>
      </c>
      <c r="N3120" s="36" t="s">
        <v>34</v>
      </c>
    </row>
    <row r="3121">
      <c r="A3121" s="36" t="s">
        <v>6998</v>
      </c>
      <c r="B3121" s="154" t="s">
        <v>6996</v>
      </c>
      <c r="C3121" s="36" t="s">
        <v>1666</v>
      </c>
      <c r="D3121" s="36" t="s">
        <v>210</v>
      </c>
      <c r="E3121" s="36" t="s">
        <v>210</v>
      </c>
      <c r="F3121" s="154" t="s">
        <v>1816</v>
      </c>
      <c r="G3121" s="36" t="s">
        <v>28</v>
      </c>
      <c r="H3121" s="36" t="s">
        <v>1655</v>
      </c>
      <c r="I3121" s="36" t="s">
        <v>1656</v>
      </c>
      <c r="J3121" s="36" t="s">
        <v>1656</v>
      </c>
      <c r="K3121" s="36" t="s">
        <v>1796</v>
      </c>
      <c r="L3121" s="36" t="s">
        <v>6585</v>
      </c>
      <c r="M3121" s="36" t="s">
        <v>6585</v>
      </c>
      <c r="N3121" s="36" t="s">
        <v>34</v>
      </c>
    </row>
    <row r="3122">
      <c r="A3122" s="36" t="s">
        <v>6999</v>
      </c>
      <c r="B3122" s="154" t="s">
        <v>6996</v>
      </c>
      <c r="C3122" s="36" t="s">
        <v>1666</v>
      </c>
      <c r="D3122" s="36" t="s">
        <v>210</v>
      </c>
      <c r="E3122" s="36" t="s">
        <v>210</v>
      </c>
      <c r="F3122" s="154" t="s">
        <v>1810</v>
      </c>
      <c r="G3122" s="36" t="s">
        <v>28</v>
      </c>
      <c r="H3122" s="36" t="s">
        <v>1655</v>
      </c>
      <c r="I3122" s="36" t="s">
        <v>1656</v>
      </c>
      <c r="J3122" s="36" t="s">
        <v>1656</v>
      </c>
      <c r="K3122" s="36" t="s">
        <v>1800</v>
      </c>
      <c r="L3122" s="36" t="s">
        <v>6585</v>
      </c>
      <c r="M3122" s="36" t="s">
        <v>6585</v>
      </c>
      <c r="N3122" s="36" t="s">
        <v>34</v>
      </c>
    </row>
    <row r="3123">
      <c r="A3123" s="36" t="s">
        <v>7000</v>
      </c>
      <c r="B3123" s="154" t="s">
        <v>6996</v>
      </c>
      <c r="C3123" s="36" t="s">
        <v>1666</v>
      </c>
      <c r="D3123" s="36" t="s">
        <v>265</v>
      </c>
      <c r="E3123" s="36" t="s">
        <v>265</v>
      </c>
      <c r="F3123" s="154" t="s">
        <v>1959</v>
      </c>
      <c r="G3123" s="36" t="s">
        <v>28</v>
      </c>
      <c r="H3123" s="36" t="s">
        <v>1655</v>
      </c>
      <c r="I3123" s="36" t="s">
        <v>1656</v>
      </c>
      <c r="J3123" s="36" t="s">
        <v>1656</v>
      </c>
      <c r="K3123" s="36" t="s">
        <v>1803</v>
      </c>
      <c r="L3123" s="36" t="s">
        <v>6585</v>
      </c>
      <c r="M3123" s="36" t="s">
        <v>6585</v>
      </c>
      <c r="N3123" s="36" t="s">
        <v>34</v>
      </c>
    </row>
    <row r="3124">
      <c r="A3124" s="36" t="s">
        <v>7001</v>
      </c>
      <c r="B3124" s="154" t="s">
        <v>7002</v>
      </c>
      <c r="C3124" s="36" t="s">
        <v>1666</v>
      </c>
      <c r="D3124" s="36" t="s">
        <v>191</v>
      </c>
      <c r="E3124" s="36" t="s">
        <v>191</v>
      </c>
      <c r="F3124" s="154" t="s">
        <v>1816</v>
      </c>
      <c r="G3124" s="36" t="s">
        <v>28</v>
      </c>
      <c r="H3124" s="36" t="s">
        <v>1655</v>
      </c>
      <c r="I3124" s="36" t="s">
        <v>1656</v>
      </c>
      <c r="J3124" s="36" t="s">
        <v>1656</v>
      </c>
      <c r="K3124" s="36" t="s">
        <v>1807</v>
      </c>
      <c r="L3124" s="36" t="s">
        <v>6585</v>
      </c>
      <c r="M3124" s="36" t="s">
        <v>6585</v>
      </c>
      <c r="N3124" s="36" t="s">
        <v>32</v>
      </c>
    </row>
    <row r="3125">
      <c r="A3125" s="36" t="s">
        <v>7003</v>
      </c>
      <c r="B3125" s="154" t="s">
        <v>7002</v>
      </c>
      <c r="C3125" s="36" t="s">
        <v>1666</v>
      </c>
      <c r="D3125" s="36" t="s">
        <v>92</v>
      </c>
      <c r="E3125" s="36" t="s">
        <v>92</v>
      </c>
      <c r="F3125" s="154" t="s">
        <v>1816</v>
      </c>
      <c r="G3125" s="36" t="s">
        <v>32</v>
      </c>
      <c r="H3125" s="36" t="s">
        <v>1655</v>
      </c>
      <c r="I3125" s="36" t="s">
        <v>1656</v>
      </c>
      <c r="J3125" s="36" t="s">
        <v>1656</v>
      </c>
      <c r="K3125" s="36" t="s">
        <v>1814</v>
      </c>
      <c r="L3125" s="36" t="s">
        <v>6585</v>
      </c>
      <c r="M3125" s="36" t="s">
        <v>6585</v>
      </c>
      <c r="N3125" s="36" t="s">
        <v>32</v>
      </c>
    </row>
    <row r="3126">
      <c r="A3126" s="36" t="s">
        <v>7004</v>
      </c>
      <c r="B3126" s="154" t="s">
        <v>7002</v>
      </c>
      <c r="C3126" s="36" t="s">
        <v>1666</v>
      </c>
      <c r="D3126" s="36" t="s">
        <v>628</v>
      </c>
      <c r="E3126" s="36" t="s">
        <v>628</v>
      </c>
      <c r="F3126" s="154" t="s">
        <v>2555</v>
      </c>
      <c r="G3126" s="36" t="s">
        <v>32</v>
      </c>
      <c r="H3126" s="36" t="s">
        <v>1655</v>
      </c>
      <c r="I3126" s="36" t="s">
        <v>1656</v>
      </c>
      <c r="J3126" s="36" t="s">
        <v>1656</v>
      </c>
      <c r="K3126" s="36" t="s">
        <v>1817</v>
      </c>
      <c r="L3126" s="36" t="s">
        <v>6585</v>
      </c>
      <c r="M3126" s="36" t="s">
        <v>6585</v>
      </c>
      <c r="N3126" s="36" t="s">
        <v>32</v>
      </c>
    </row>
    <row r="3127">
      <c r="A3127" s="36" t="s">
        <v>7005</v>
      </c>
      <c r="B3127" s="154" t="s">
        <v>7006</v>
      </c>
      <c r="C3127" s="36" t="s">
        <v>1666</v>
      </c>
      <c r="D3127" s="36" t="s">
        <v>218</v>
      </c>
      <c r="E3127" s="36" t="s">
        <v>218</v>
      </c>
      <c r="F3127" s="154" t="s">
        <v>1686</v>
      </c>
      <c r="G3127" s="36" t="s">
        <v>32</v>
      </c>
      <c r="H3127" s="36" t="s">
        <v>1655</v>
      </c>
      <c r="I3127" s="36" t="s">
        <v>1656</v>
      </c>
      <c r="J3127" s="36" t="s">
        <v>1656</v>
      </c>
      <c r="K3127" s="36" t="s">
        <v>1820</v>
      </c>
      <c r="L3127" s="36" t="s">
        <v>6585</v>
      </c>
      <c r="M3127" s="36" t="s">
        <v>6585</v>
      </c>
      <c r="N3127" s="36" t="s">
        <v>32</v>
      </c>
    </row>
    <row r="3128">
      <c r="A3128" s="36" t="s">
        <v>7007</v>
      </c>
      <c r="B3128" s="154" t="s">
        <v>7006</v>
      </c>
      <c r="C3128" s="36" t="s">
        <v>1666</v>
      </c>
      <c r="D3128" s="36" t="s">
        <v>88</v>
      </c>
      <c r="E3128" s="36" t="s">
        <v>88</v>
      </c>
      <c r="F3128" s="154" t="s">
        <v>1768</v>
      </c>
      <c r="G3128" s="36" t="s">
        <v>32</v>
      </c>
      <c r="H3128" s="36" t="s">
        <v>1655</v>
      </c>
      <c r="I3128" s="36" t="s">
        <v>1656</v>
      </c>
      <c r="J3128" s="36" t="s">
        <v>1656</v>
      </c>
      <c r="K3128" s="36" t="s">
        <v>1823</v>
      </c>
      <c r="L3128" s="36" t="s">
        <v>6585</v>
      </c>
      <c r="M3128" s="36" t="s">
        <v>6585</v>
      </c>
      <c r="N3128" s="36" t="s">
        <v>32</v>
      </c>
    </row>
    <row r="3129">
      <c r="A3129" s="36" t="s">
        <v>7008</v>
      </c>
      <c r="B3129" s="154" t="s">
        <v>7006</v>
      </c>
      <c r="C3129" s="36" t="s">
        <v>1666</v>
      </c>
      <c r="D3129" s="36" t="s">
        <v>643</v>
      </c>
      <c r="E3129" s="36" t="s">
        <v>643</v>
      </c>
      <c r="F3129" s="154" t="s">
        <v>1686</v>
      </c>
      <c r="G3129" s="36" t="s">
        <v>28</v>
      </c>
      <c r="H3129" s="36" t="s">
        <v>1655</v>
      </c>
      <c r="I3129" s="36" t="s">
        <v>1656</v>
      </c>
      <c r="J3129" s="36" t="s">
        <v>1656</v>
      </c>
      <c r="K3129" s="36" t="s">
        <v>1826</v>
      </c>
      <c r="L3129" s="36" t="s">
        <v>6585</v>
      </c>
      <c r="M3129" s="36" t="s">
        <v>6585</v>
      </c>
      <c r="N3129" s="36" t="s">
        <v>32</v>
      </c>
    </row>
    <row r="3130">
      <c r="A3130" s="36" t="s">
        <v>7009</v>
      </c>
      <c r="B3130" s="154" t="s">
        <v>7010</v>
      </c>
      <c r="C3130" s="36" t="s">
        <v>1666</v>
      </c>
      <c r="D3130" s="36" t="s">
        <v>647</v>
      </c>
      <c r="E3130" s="36" t="s">
        <v>647</v>
      </c>
      <c r="F3130" s="154" t="s">
        <v>2325</v>
      </c>
      <c r="G3130" s="36" t="s">
        <v>32</v>
      </c>
      <c r="H3130" s="36" t="s">
        <v>1655</v>
      </c>
      <c r="I3130" s="36" t="s">
        <v>1656</v>
      </c>
      <c r="J3130" s="36" t="s">
        <v>1656</v>
      </c>
      <c r="K3130" s="36" t="s">
        <v>1830</v>
      </c>
      <c r="L3130" s="36" t="s">
        <v>6585</v>
      </c>
      <c r="M3130" s="36" t="s">
        <v>6585</v>
      </c>
      <c r="N3130" s="36" t="s">
        <v>32</v>
      </c>
    </row>
    <row r="3131">
      <c r="A3131" s="36" t="s">
        <v>7011</v>
      </c>
      <c r="B3131" s="154" t="s">
        <v>7010</v>
      </c>
      <c r="C3131" s="36" t="s">
        <v>1666</v>
      </c>
      <c r="D3131" s="36" t="s">
        <v>653</v>
      </c>
      <c r="E3131" s="36" t="s">
        <v>653</v>
      </c>
      <c r="F3131" s="154" t="s">
        <v>7012</v>
      </c>
      <c r="G3131" s="36" t="s">
        <v>28</v>
      </c>
      <c r="H3131" s="36" t="s">
        <v>1655</v>
      </c>
      <c r="I3131" s="36" t="s">
        <v>1656</v>
      </c>
      <c r="J3131" s="36" t="s">
        <v>1656</v>
      </c>
      <c r="K3131" s="36" t="s">
        <v>1833</v>
      </c>
      <c r="L3131" s="36" t="s">
        <v>6585</v>
      </c>
      <c r="M3131" s="36" t="s">
        <v>6585</v>
      </c>
      <c r="N3131" s="36" t="s">
        <v>32</v>
      </c>
    </row>
    <row r="3132">
      <c r="A3132" s="36" t="s">
        <v>7013</v>
      </c>
      <c r="B3132" s="154" t="s">
        <v>7010</v>
      </c>
      <c r="C3132" s="36" t="s">
        <v>1666</v>
      </c>
      <c r="D3132" s="36" t="s">
        <v>110</v>
      </c>
      <c r="E3132" s="36" t="s">
        <v>110</v>
      </c>
      <c r="F3132" s="154" t="s">
        <v>1816</v>
      </c>
      <c r="G3132" s="36" t="s">
        <v>28</v>
      </c>
      <c r="H3132" s="36" t="s">
        <v>1655</v>
      </c>
      <c r="I3132" s="36" t="s">
        <v>1656</v>
      </c>
      <c r="J3132" s="36" t="s">
        <v>1656</v>
      </c>
      <c r="K3132" s="36" t="s">
        <v>1836</v>
      </c>
      <c r="L3132" s="36" t="s">
        <v>6585</v>
      </c>
      <c r="M3132" s="36" t="s">
        <v>6585</v>
      </c>
      <c r="N3132" s="36" t="s">
        <v>34</v>
      </c>
    </row>
    <row r="3133">
      <c r="A3133" s="36" t="s">
        <v>7014</v>
      </c>
      <c r="B3133" s="154" t="s">
        <v>7010</v>
      </c>
      <c r="C3133" s="36" t="s">
        <v>1666</v>
      </c>
      <c r="D3133" s="36" t="s">
        <v>310</v>
      </c>
      <c r="E3133" s="36" t="s">
        <v>310</v>
      </c>
      <c r="F3133" s="154" t="s">
        <v>1686</v>
      </c>
      <c r="G3133" s="36" t="s">
        <v>28</v>
      </c>
      <c r="H3133" s="36" t="s">
        <v>1655</v>
      </c>
      <c r="I3133" s="36" t="s">
        <v>1656</v>
      </c>
      <c r="J3133" s="36" t="s">
        <v>1656</v>
      </c>
      <c r="K3133" s="36" t="s">
        <v>1839</v>
      </c>
      <c r="L3133" s="36" t="s">
        <v>6585</v>
      </c>
      <c r="M3133" s="36" t="s">
        <v>6585</v>
      </c>
      <c r="N3133" s="36" t="s">
        <v>34</v>
      </c>
    </row>
    <row r="3134">
      <c r="A3134" s="36" t="s">
        <v>7015</v>
      </c>
      <c r="B3134" s="154" t="s">
        <v>7016</v>
      </c>
      <c r="C3134" s="36" t="s">
        <v>1666</v>
      </c>
      <c r="D3134" s="36" t="s">
        <v>668</v>
      </c>
      <c r="E3134" s="36" t="s">
        <v>668</v>
      </c>
      <c r="F3134" s="154" t="s">
        <v>1686</v>
      </c>
      <c r="G3134" s="36" t="s">
        <v>32</v>
      </c>
      <c r="H3134" s="36" t="s">
        <v>1655</v>
      </c>
      <c r="I3134" s="36" t="s">
        <v>1656</v>
      </c>
      <c r="J3134" s="36" t="s">
        <v>1656</v>
      </c>
      <c r="K3134" s="36" t="s">
        <v>1842</v>
      </c>
      <c r="L3134" s="36" t="s">
        <v>6585</v>
      </c>
      <c r="M3134" s="36" t="s">
        <v>6585</v>
      </c>
      <c r="N3134" s="36" t="s">
        <v>32</v>
      </c>
    </row>
    <row r="3135">
      <c r="A3135" s="36" t="s">
        <v>7017</v>
      </c>
      <c r="B3135" s="154" t="s">
        <v>7018</v>
      </c>
      <c r="C3135" s="36" t="s">
        <v>1666</v>
      </c>
      <c r="D3135" s="36" t="s">
        <v>671</v>
      </c>
      <c r="E3135" s="36" t="s">
        <v>671</v>
      </c>
      <c r="F3135" s="154" t="s">
        <v>2068</v>
      </c>
      <c r="G3135" s="36" t="s">
        <v>34</v>
      </c>
      <c r="H3135" s="36" t="s">
        <v>1655</v>
      </c>
      <c r="I3135" s="36" t="s">
        <v>1656</v>
      </c>
      <c r="J3135" s="36" t="s">
        <v>1656</v>
      </c>
      <c r="K3135" s="36" t="s">
        <v>1845</v>
      </c>
      <c r="L3135" s="36" t="s">
        <v>6585</v>
      </c>
      <c r="M3135" s="36" t="s">
        <v>6585</v>
      </c>
      <c r="N3135" s="36" t="s">
        <v>32</v>
      </c>
    </row>
    <row r="3136">
      <c r="A3136" s="36" t="s">
        <v>7019</v>
      </c>
      <c r="B3136" s="154" t="s">
        <v>7020</v>
      </c>
      <c r="C3136" s="36" t="s">
        <v>1666</v>
      </c>
      <c r="D3136" s="36" t="s">
        <v>130</v>
      </c>
      <c r="E3136" s="36" t="s">
        <v>130</v>
      </c>
      <c r="F3136" s="154" t="s">
        <v>1810</v>
      </c>
      <c r="G3136" s="36" t="s">
        <v>32</v>
      </c>
      <c r="H3136" s="36" t="s">
        <v>1655</v>
      </c>
      <c r="I3136" s="36" t="s">
        <v>1656</v>
      </c>
      <c r="J3136" s="36" t="s">
        <v>1656</v>
      </c>
      <c r="K3136" s="36" t="s">
        <v>1848</v>
      </c>
      <c r="L3136" s="36" t="s">
        <v>6585</v>
      </c>
      <c r="M3136" s="36" t="s">
        <v>6585</v>
      </c>
      <c r="N3136" s="36" t="s">
        <v>32</v>
      </c>
    </row>
    <row r="3137">
      <c r="A3137" s="36" t="s">
        <v>7021</v>
      </c>
      <c r="B3137" s="154" t="s">
        <v>7020</v>
      </c>
      <c r="C3137" s="36" t="s">
        <v>1666</v>
      </c>
      <c r="D3137" s="36" t="s">
        <v>92</v>
      </c>
      <c r="E3137" s="36" t="s">
        <v>92</v>
      </c>
      <c r="F3137" s="154" t="s">
        <v>1810</v>
      </c>
      <c r="G3137" s="36" t="s">
        <v>32</v>
      </c>
      <c r="H3137" s="36" t="s">
        <v>1655</v>
      </c>
      <c r="I3137" s="36" t="s">
        <v>1656</v>
      </c>
      <c r="J3137" s="36" t="s">
        <v>1656</v>
      </c>
      <c r="K3137" s="36" t="s">
        <v>1851</v>
      </c>
      <c r="L3137" s="36" t="s">
        <v>6585</v>
      </c>
      <c r="M3137" s="36" t="s">
        <v>6585</v>
      </c>
      <c r="N3137" s="36" t="s">
        <v>32</v>
      </c>
    </row>
    <row r="3138">
      <c r="A3138" s="36" t="s">
        <v>7022</v>
      </c>
      <c r="B3138" s="154" t="s">
        <v>7023</v>
      </c>
      <c r="C3138" s="36" t="s">
        <v>1666</v>
      </c>
      <c r="D3138" s="36" t="s">
        <v>79</v>
      </c>
      <c r="E3138" s="36" t="s">
        <v>79</v>
      </c>
      <c r="F3138" s="154" t="s">
        <v>6912</v>
      </c>
      <c r="G3138" s="36" t="s">
        <v>32</v>
      </c>
      <c r="H3138" s="36" t="s">
        <v>1655</v>
      </c>
      <c r="I3138" s="36" t="s">
        <v>1656</v>
      </c>
      <c r="J3138" s="36" t="s">
        <v>1656</v>
      </c>
      <c r="K3138" s="36" t="s">
        <v>1769</v>
      </c>
      <c r="L3138" s="36" t="s">
        <v>6585</v>
      </c>
      <c r="M3138" s="36" t="s">
        <v>6585</v>
      </c>
      <c r="N3138" s="36" t="s">
        <v>32</v>
      </c>
    </row>
    <row r="3139">
      <c r="A3139" s="36" t="s">
        <v>7024</v>
      </c>
      <c r="B3139" s="154" t="s">
        <v>7023</v>
      </c>
      <c r="C3139" s="36" t="s">
        <v>1666</v>
      </c>
      <c r="D3139" s="36" t="s">
        <v>81</v>
      </c>
      <c r="E3139" s="36" t="s">
        <v>81</v>
      </c>
      <c r="F3139" s="154" t="s">
        <v>6680</v>
      </c>
      <c r="G3139" s="36" t="s">
        <v>28</v>
      </c>
      <c r="H3139" s="36" t="s">
        <v>1655</v>
      </c>
      <c r="I3139" s="36" t="s">
        <v>1656</v>
      </c>
      <c r="J3139" s="36" t="s">
        <v>1656</v>
      </c>
      <c r="K3139" s="36" t="s">
        <v>1811</v>
      </c>
      <c r="L3139" s="36" t="s">
        <v>6585</v>
      </c>
      <c r="M3139" s="36" t="s">
        <v>6585</v>
      </c>
      <c r="N3139" s="36" t="s">
        <v>32</v>
      </c>
    </row>
    <row r="3140">
      <c r="A3140" s="36" t="s">
        <v>7025</v>
      </c>
      <c r="B3140" s="154" t="s">
        <v>7023</v>
      </c>
      <c r="C3140" s="36" t="s">
        <v>1666</v>
      </c>
      <c r="D3140" s="36" t="s">
        <v>83</v>
      </c>
      <c r="E3140" s="36" t="s">
        <v>83</v>
      </c>
      <c r="F3140" s="154" t="s">
        <v>6682</v>
      </c>
      <c r="G3140" s="36" t="s">
        <v>28</v>
      </c>
      <c r="H3140" s="36" t="s">
        <v>1655</v>
      </c>
      <c r="I3140" s="36" t="s">
        <v>1656</v>
      </c>
      <c r="J3140" s="36" t="s">
        <v>1656</v>
      </c>
      <c r="K3140" s="36" t="s">
        <v>1891</v>
      </c>
      <c r="L3140" s="36" t="s">
        <v>6585</v>
      </c>
      <c r="M3140" s="36" t="s">
        <v>6585</v>
      </c>
      <c r="N3140" s="36" t="s">
        <v>32</v>
      </c>
    </row>
    <row r="3141">
      <c r="A3141" s="36" t="s">
        <v>7026</v>
      </c>
      <c r="B3141" s="154" t="s">
        <v>7023</v>
      </c>
      <c r="C3141" s="36" t="s">
        <v>1666</v>
      </c>
      <c r="D3141" s="36" t="s">
        <v>84</v>
      </c>
      <c r="E3141" s="36" t="s">
        <v>84</v>
      </c>
      <c r="F3141" s="154" t="s">
        <v>7027</v>
      </c>
      <c r="G3141" s="36" t="s">
        <v>32</v>
      </c>
      <c r="H3141" s="36" t="s">
        <v>1655</v>
      </c>
      <c r="I3141" s="36" t="s">
        <v>1656</v>
      </c>
      <c r="J3141" s="36" t="s">
        <v>1656</v>
      </c>
      <c r="K3141" s="36" t="s">
        <v>1921</v>
      </c>
      <c r="L3141" s="36" t="s">
        <v>6585</v>
      </c>
      <c r="M3141" s="36" t="s">
        <v>6585</v>
      </c>
      <c r="N3141" s="36" t="s">
        <v>32</v>
      </c>
    </row>
    <row r="3142">
      <c r="A3142" s="36" t="s">
        <v>7028</v>
      </c>
      <c r="B3142" s="154" t="s">
        <v>7023</v>
      </c>
      <c r="C3142" s="36" t="s">
        <v>1666</v>
      </c>
      <c r="D3142" s="36" t="s">
        <v>133</v>
      </c>
      <c r="E3142" s="36" t="s">
        <v>133</v>
      </c>
      <c r="F3142" s="154" t="s">
        <v>7029</v>
      </c>
      <c r="G3142" s="36" t="s">
        <v>32</v>
      </c>
      <c r="H3142" s="36" t="s">
        <v>1655</v>
      </c>
      <c r="I3142" s="36" t="s">
        <v>1656</v>
      </c>
      <c r="J3142" s="36" t="s">
        <v>1656</v>
      </c>
      <c r="K3142" s="36" t="s">
        <v>1854</v>
      </c>
      <c r="L3142" s="36" t="s">
        <v>6585</v>
      </c>
      <c r="M3142" s="36" t="s">
        <v>6585</v>
      </c>
      <c r="N3142" s="36" t="s">
        <v>32</v>
      </c>
    </row>
    <row r="3143">
      <c r="A3143" s="36" t="s">
        <v>7030</v>
      </c>
      <c r="B3143" s="154" t="s">
        <v>7031</v>
      </c>
      <c r="C3143" s="36" t="s">
        <v>1653</v>
      </c>
      <c r="D3143" s="36" t="s">
        <v>43</v>
      </c>
      <c r="E3143" s="36" t="s">
        <v>39</v>
      </c>
      <c r="F3143" s="154" t="s">
        <v>7032</v>
      </c>
      <c r="G3143" s="36" t="s">
        <v>32</v>
      </c>
      <c r="H3143" s="36" t="s">
        <v>1655</v>
      </c>
      <c r="I3143" s="36" t="s">
        <v>1656</v>
      </c>
      <c r="J3143" s="36" t="s">
        <v>1656</v>
      </c>
      <c r="K3143" s="36" t="s">
        <v>1657</v>
      </c>
      <c r="L3143" s="36" t="s">
        <v>6583</v>
      </c>
      <c r="M3143" s="36" t="s">
        <v>6583</v>
      </c>
      <c r="N3143" s="36" t="s">
        <v>32</v>
      </c>
    </row>
    <row r="3144">
      <c r="A3144" s="36" t="s">
        <v>7033</v>
      </c>
      <c r="B3144" s="154" t="s">
        <v>7031</v>
      </c>
      <c r="C3144" s="36" t="s">
        <v>1653</v>
      </c>
      <c r="D3144" s="36" t="s">
        <v>163</v>
      </c>
      <c r="E3144" s="36" t="s">
        <v>39</v>
      </c>
      <c r="F3144" s="154" t="s">
        <v>7034</v>
      </c>
      <c r="G3144" s="36" t="s">
        <v>32</v>
      </c>
      <c r="H3144" s="36" t="s">
        <v>1655</v>
      </c>
      <c r="I3144" s="36" t="s">
        <v>1656</v>
      </c>
      <c r="J3144" s="36" t="s">
        <v>1656</v>
      </c>
      <c r="K3144" s="36" t="s">
        <v>1749</v>
      </c>
      <c r="L3144" s="36" t="s">
        <v>6583</v>
      </c>
      <c r="M3144" s="36" t="s">
        <v>6583</v>
      </c>
      <c r="N3144" s="36" t="s">
        <v>32</v>
      </c>
    </row>
    <row r="3145">
      <c r="A3145" s="36" t="s">
        <v>7035</v>
      </c>
      <c r="B3145" s="154" t="s">
        <v>7031</v>
      </c>
      <c r="C3145" s="36" t="s">
        <v>1653</v>
      </c>
      <c r="D3145" s="36" t="s">
        <v>418</v>
      </c>
      <c r="E3145" s="36" t="s">
        <v>39</v>
      </c>
      <c r="F3145" s="154" t="s">
        <v>7036</v>
      </c>
      <c r="G3145" s="36" t="s">
        <v>32</v>
      </c>
      <c r="H3145" s="36" t="s">
        <v>1655</v>
      </c>
      <c r="I3145" s="36" t="s">
        <v>1656</v>
      </c>
      <c r="J3145" s="36" t="s">
        <v>1656</v>
      </c>
      <c r="K3145" s="36" t="s">
        <v>2265</v>
      </c>
      <c r="L3145" s="36" t="s">
        <v>6583</v>
      </c>
      <c r="M3145" s="36" t="s">
        <v>6583</v>
      </c>
      <c r="N3145" s="36" t="s">
        <v>32</v>
      </c>
    </row>
    <row r="3146">
      <c r="A3146" s="36" t="s">
        <v>7037</v>
      </c>
      <c r="B3146" s="154" t="s">
        <v>7031</v>
      </c>
      <c r="C3146" s="36" t="s">
        <v>1653</v>
      </c>
      <c r="D3146" s="36" t="s">
        <v>424</v>
      </c>
      <c r="E3146" s="36" t="s">
        <v>39</v>
      </c>
      <c r="F3146" s="154" t="s">
        <v>7038</v>
      </c>
      <c r="G3146" s="36" t="s">
        <v>32</v>
      </c>
      <c r="H3146" s="36" t="s">
        <v>1655</v>
      </c>
      <c r="I3146" s="36" t="s">
        <v>1656</v>
      </c>
      <c r="J3146" s="36" t="s">
        <v>1656</v>
      </c>
      <c r="K3146" s="36" t="s">
        <v>1664</v>
      </c>
      <c r="L3146" s="36" t="s">
        <v>6583</v>
      </c>
      <c r="M3146" s="36" t="s">
        <v>6583</v>
      </c>
      <c r="N3146" s="36" t="s">
        <v>32</v>
      </c>
    </row>
    <row r="3147">
      <c r="A3147" s="36" t="s">
        <v>7039</v>
      </c>
      <c r="B3147" s="154" t="s">
        <v>7031</v>
      </c>
      <c r="C3147" s="36" t="s">
        <v>1666</v>
      </c>
      <c r="D3147" s="36" t="s">
        <v>85</v>
      </c>
      <c r="E3147" s="36" t="s">
        <v>85</v>
      </c>
      <c r="F3147" s="154" t="s">
        <v>7040</v>
      </c>
      <c r="G3147" s="36" t="s">
        <v>28</v>
      </c>
      <c r="H3147" s="36" t="s">
        <v>1655</v>
      </c>
      <c r="I3147" s="36" t="s">
        <v>1656</v>
      </c>
      <c r="J3147" s="36" t="s">
        <v>1656</v>
      </c>
      <c r="K3147" s="36" t="s">
        <v>3035</v>
      </c>
      <c r="L3147" s="36" t="s">
        <v>6585</v>
      </c>
      <c r="M3147" s="36" t="s">
        <v>6585</v>
      </c>
      <c r="N3147" s="36" t="s">
        <v>32</v>
      </c>
    </row>
    <row r="3148">
      <c r="A3148" s="36" t="s">
        <v>7041</v>
      </c>
      <c r="B3148" s="154" t="s">
        <v>7031</v>
      </c>
      <c r="C3148" s="36" t="s">
        <v>1666</v>
      </c>
      <c r="D3148" s="36" t="s">
        <v>438</v>
      </c>
      <c r="E3148" s="36" t="s">
        <v>438</v>
      </c>
      <c r="F3148" s="154" t="s">
        <v>7042</v>
      </c>
      <c r="G3148" s="36" t="s">
        <v>28</v>
      </c>
      <c r="H3148" s="36" t="s">
        <v>1655</v>
      </c>
      <c r="I3148" s="36" t="s">
        <v>1656</v>
      </c>
      <c r="J3148" s="36" t="s">
        <v>1656</v>
      </c>
      <c r="K3148" s="36" t="s">
        <v>3038</v>
      </c>
      <c r="L3148" s="36" t="s">
        <v>6585</v>
      </c>
      <c r="M3148" s="36" t="s">
        <v>6585</v>
      </c>
      <c r="N3148" s="36" t="s">
        <v>32</v>
      </c>
    </row>
    <row r="3149">
      <c r="A3149" s="36" t="s">
        <v>7043</v>
      </c>
      <c r="B3149" s="154" t="s">
        <v>7031</v>
      </c>
      <c r="C3149" s="36" t="s">
        <v>1666</v>
      </c>
      <c r="D3149" s="36" t="s">
        <v>448</v>
      </c>
      <c r="E3149" s="36" t="s">
        <v>448</v>
      </c>
      <c r="F3149" s="154" t="s">
        <v>1768</v>
      </c>
      <c r="G3149" s="36" t="s">
        <v>28</v>
      </c>
      <c r="H3149" s="36" t="s">
        <v>1655</v>
      </c>
      <c r="I3149" s="36" t="s">
        <v>1656</v>
      </c>
      <c r="J3149" s="36" t="s">
        <v>1656</v>
      </c>
      <c r="K3149" s="36" t="s">
        <v>1668</v>
      </c>
      <c r="L3149" s="36" t="s">
        <v>6585</v>
      </c>
      <c r="M3149" s="36" t="s">
        <v>6585</v>
      </c>
      <c r="N3149" s="36" t="s">
        <v>34</v>
      </c>
    </row>
    <row r="3150">
      <c r="A3150" s="36" t="s">
        <v>7044</v>
      </c>
      <c r="B3150" s="154" t="s">
        <v>7031</v>
      </c>
      <c r="C3150" s="36" t="s">
        <v>1666</v>
      </c>
      <c r="D3150" s="36" t="s">
        <v>453</v>
      </c>
      <c r="E3150" s="36" t="s">
        <v>453</v>
      </c>
      <c r="F3150" s="154" t="s">
        <v>1768</v>
      </c>
      <c r="G3150" s="36" t="s">
        <v>28</v>
      </c>
      <c r="H3150" s="36" t="s">
        <v>1655</v>
      </c>
      <c r="I3150" s="36" t="s">
        <v>1656</v>
      </c>
      <c r="J3150" s="36" t="s">
        <v>1656</v>
      </c>
      <c r="K3150" s="36" t="s">
        <v>1672</v>
      </c>
      <c r="L3150" s="36" t="s">
        <v>6585</v>
      </c>
      <c r="M3150" s="36" t="s">
        <v>6585</v>
      </c>
      <c r="N3150" s="36" t="s">
        <v>34</v>
      </c>
    </row>
    <row r="3151">
      <c r="A3151" s="36" t="s">
        <v>7045</v>
      </c>
      <c r="B3151" s="154" t="s">
        <v>7046</v>
      </c>
      <c r="C3151" s="36" t="s">
        <v>1666</v>
      </c>
      <c r="D3151" s="36" t="s">
        <v>459</v>
      </c>
      <c r="E3151" s="36" t="s">
        <v>459</v>
      </c>
      <c r="F3151" s="154" t="s">
        <v>1816</v>
      </c>
      <c r="G3151" s="36" t="s">
        <v>32</v>
      </c>
      <c r="H3151" s="36" t="s">
        <v>1655</v>
      </c>
      <c r="I3151" s="36" t="s">
        <v>1656</v>
      </c>
      <c r="J3151" s="36" t="s">
        <v>1656</v>
      </c>
      <c r="K3151" s="36" t="s">
        <v>1675</v>
      </c>
      <c r="L3151" s="36" t="s">
        <v>6585</v>
      </c>
      <c r="M3151" s="36" t="s">
        <v>6585</v>
      </c>
      <c r="N3151" s="36" t="s">
        <v>32</v>
      </c>
    </row>
    <row r="3152">
      <c r="A3152" s="36" t="s">
        <v>7047</v>
      </c>
      <c r="B3152" s="154" t="s">
        <v>7046</v>
      </c>
      <c r="C3152" s="36" t="s">
        <v>1666</v>
      </c>
      <c r="D3152" s="36" t="s">
        <v>464</v>
      </c>
      <c r="E3152" s="36" t="s">
        <v>464</v>
      </c>
      <c r="F3152" s="154" t="s">
        <v>4013</v>
      </c>
      <c r="G3152" s="36" t="s">
        <v>28</v>
      </c>
      <c r="H3152" s="36" t="s">
        <v>1655</v>
      </c>
      <c r="I3152" s="36" t="s">
        <v>1656</v>
      </c>
      <c r="J3152" s="36" t="s">
        <v>1656</v>
      </c>
      <c r="K3152" s="36" t="s">
        <v>1678</v>
      </c>
      <c r="L3152" s="36" t="s">
        <v>6585</v>
      </c>
      <c r="M3152" s="36" t="s">
        <v>6585</v>
      </c>
      <c r="N3152" s="36" t="s">
        <v>32</v>
      </c>
    </row>
    <row r="3153">
      <c r="A3153" s="36" t="s">
        <v>7048</v>
      </c>
      <c r="B3153" s="154" t="s">
        <v>7046</v>
      </c>
      <c r="C3153" s="36" t="s">
        <v>1666</v>
      </c>
      <c r="D3153" s="36" t="s">
        <v>471</v>
      </c>
      <c r="E3153" s="36" t="s">
        <v>471</v>
      </c>
      <c r="F3153" s="154" t="s">
        <v>7049</v>
      </c>
      <c r="G3153" s="36" t="s">
        <v>28</v>
      </c>
      <c r="H3153" s="36" t="s">
        <v>1655</v>
      </c>
      <c r="I3153" s="36" t="s">
        <v>1656</v>
      </c>
      <c r="J3153" s="36" t="s">
        <v>1656</v>
      </c>
      <c r="K3153" s="36" t="s">
        <v>1681</v>
      </c>
      <c r="L3153" s="36" t="s">
        <v>6585</v>
      </c>
      <c r="M3153" s="36" t="s">
        <v>6585</v>
      </c>
      <c r="N3153" s="36" t="s">
        <v>34</v>
      </c>
    </row>
    <row r="3154">
      <c r="A3154" s="36" t="s">
        <v>7050</v>
      </c>
      <c r="B3154" s="154" t="s">
        <v>7051</v>
      </c>
      <c r="C3154" s="36" t="s">
        <v>1666</v>
      </c>
      <c r="D3154" s="36" t="s">
        <v>78</v>
      </c>
      <c r="E3154" s="36" t="s">
        <v>78</v>
      </c>
      <c r="F3154" s="154" t="s">
        <v>2027</v>
      </c>
      <c r="G3154" s="36" t="s">
        <v>28</v>
      </c>
      <c r="H3154" s="36" t="s">
        <v>1655</v>
      </c>
      <c r="I3154" s="36" t="s">
        <v>1656</v>
      </c>
      <c r="J3154" s="36" t="s">
        <v>1656</v>
      </c>
      <c r="K3154" s="36" t="s">
        <v>4248</v>
      </c>
      <c r="L3154" s="36" t="s">
        <v>6585</v>
      </c>
      <c r="M3154" s="36" t="s">
        <v>6585</v>
      </c>
      <c r="N3154" s="36" t="s">
        <v>32</v>
      </c>
    </row>
    <row r="3155">
      <c r="A3155" s="36" t="s">
        <v>7052</v>
      </c>
      <c r="B3155" s="154" t="s">
        <v>7051</v>
      </c>
      <c r="C3155" s="36" t="s">
        <v>1666</v>
      </c>
      <c r="D3155" s="36" t="s">
        <v>109</v>
      </c>
      <c r="E3155" s="36" t="s">
        <v>109</v>
      </c>
      <c r="F3155" s="154" t="s">
        <v>5958</v>
      </c>
      <c r="G3155" s="36" t="s">
        <v>28</v>
      </c>
      <c r="H3155" s="36" t="s">
        <v>1655</v>
      </c>
      <c r="I3155" s="36" t="s">
        <v>1656</v>
      </c>
      <c r="J3155" s="36" t="s">
        <v>1656</v>
      </c>
      <c r="K3155" s="36" t="s">
        <v>1684</v>
      </c>
      <c r="L3155" s="36" t="s">
        <v>6585</v>
      </c>
      <c r="M3155" s="36" t="s">
        <v>6585</v>
      </c>
      <c r="N3155" s="36" t="s">
        <v>34</v>
      </c>
    </row>
    <row r="3156">
      <c r="A3156" s="36" t="s">
        <v>7053</v>
      </c>
      <c r="B3156" s="154" t="s">
        <v>7054</v>
      </c>
      <c r="C3156" s="36" t="s">
        <v>1666</v>
      </c>
      <c r="D3156" s="36" t="s">
        <v>63</v>
      </c>
      <c r="E3156" s="36" t="s">
        <v>63</v>
      </c>
      <c r="F3156" s="154" t="s">
        <v>7055</v>
      </c>
      <c r="G3156" s="36" t="s">
        <v>32</v>
      </c>
      <c r="H3156" s="36" t="s">
        <v>1655</v>
      </c>
      <c r="I3156" s="36" t="s">
        <v>1656</v>
      </c>
      <c r="J3156" s="36" t="s">
        <v>1656</v>
      </c>
      <c r="K3156" s="36" t="s">
        <v>4196</v>
      </c>
      <c r="L3156" s="36" t="s">
        <v>6585</v>
      </c>
      <c r="M3156" s="36" t="s">
        <v>6585</v>
      </c>
      <c r="N3156" s="36" t="s">
        <v>34</v>
      </c>
    </row>
    <row r="3157">
      <c r="A3157" s="36" t="s">
        <v>7056</v>
      </c>
      <c r="B3157" s="154" t="s">
        <v>7057</v>
      </c>
      <c r="C3157" s="36" t="s">
        <v>1666</v>
      </c>
      <c r="D3157" s="36" t="s">
        <v>64</v>
      </c>
      <c r="E3157" s="36" t="s">
        <v>64</v>
      </c>
      <c r="F3157" s="154" t="s">
        <v>3867</v>
      </c>
      <c r="G3157" s="36" t="s">
        <v>28</v>
      </c>
      <c r="H3157" s="36" t="s">
        <v>1655</v>
      </c>
      <c r="I3157" s="36" t="s">
        <v>1656</v>
      </c>
      <c r="J3157" s="36" t="s">
        <v>1656</v>
      </c>
      <c r="K3157" s="36" t="s">
        <v>1708</v>
      </c>
      <c r="L3157" s="36" t="s">
        <v>6585</v>
      </c>
      <c r="M3157" s="36" t="s">
        <v>6585</v>
      </c>
      <c r="N3157" s="36" t="s">
        <v>32</v>
      </c>
    </row>
    <row r="3158">
      <c r="A3158" s="36" t="s">
        <v>7058</v>
      </c>
      <c r="B3158" s="154" t="s">
        <v>7059</v>
      </c>
      <c r="C3158" s="36" t="s">
        <v>1666</v>
      </c>
      <c r="D3158" s="36" t="s">
        <v>448</v>
      </c>
      <c r="E3158" s="36" t="s">
        <v>448</v>
      </c>
      <c r="F3158" s="154" t="s">
        <v>1768</v>
      </c>
      <c r="G3158" s="36" t="s">
        <v>28</v>
      </c>
      <c r="H3158" s="36" t="s">
        <v>1655</v>
      </c>
      <c r="I3158" s="36" t="s">
        <v>1656</v>
      </c>
      <c r="J3158" s="36" t="s">
        <v>1656</v>
      </c>
      <c r="K3158" s="36" t="s">
        <v>1691</v>
      </c>
      <c r="L3158" s="36" t="s">
        <v>6585</v>
      </c>
      <c r="M3158" s="36" t="s">
        <v>6585</v>
      </c>
      <c r="N3158" s="36" t="s">
        <v>34</v>
      </c>
    </row>
    <row r="3159">
      <c r="A3159" s="36" t="s">
        <v>7060</v>
      </c>
      <c r="B3159" s="154" t="s">
        <v>7061</v>
      </c>
      <c r="C3159" s="36" t="s">
        <v>1666</v>
      </c>
      <c r="D3159" s="36" t="s">
        <v>481</v>
      </c>
      <c r="E3159" s="36" t="s">
        <v>481</v>
      </c>
      <c r="F3159" s="154" t="s">
        <v>7062</v>
      </c>
      <c r="G3159" s="36" t="s">
        <v>32</v>
      </c>
      <c r="H3159" s="36" t="s">
        <v>1655</v>
      </c>
      <c r="I3159" s="36" t="s">
        <v>1656</v>
      </c>
      <c r="J3159" s="36" t="s">
        <v>1656</v>
      </c>
      <c r="K3159" s="36" t="s">
        <v>1695</v>
      </c>
      <c r="L3159" s="36" t="s">
        <v>6585</v>
      </c>
      <c r="M3159" s="36" t="s">
        <v>6585</v>
      </c>
      <c r="N3159" s="36" t="s">
        <v>32</v>
      </c>
    </row>
    <row r="3160">
      <c r="A3160" s="36" t="s">
        <v>7063</v>
      </c>
      <c r="B3160" s="154" t="s">
        <v>7064</v>
      </c>
      <c r="C3160" s="36" t="s">
        <v>1666</v>
      </c>
      <c r="D3160" s="36" t="s">
        <v>66</v>
      </c>
      <c r="E3160" s="36" t="s">
        <v>66</v>
      </c>
      <c r="F3160" s="154" t="s">
        <v>7065</v>
      </c>
      <c r="G3160" s="36" t="s">
        <v>28</v>
      </c>
      <c r="H3160" s="36" t="s">
        <v>1655</v>
      </c>
      <c r="I3160" s="36" t="s">
        <v>1656</v>
      </c>
      <c r="J3160" s="36" t="s">
        <v>1656</v>
      </c>
      <c r="K3160" s="36" t="s">
        <v>1721</v>
      </c>
      <c r="L3160" s="36" t="s">
        <v>6585</v>
      </c>
      <c r="M3160" s="36" t="s">
        <v>6585</v>
      </c>
      <c r="N3160" s="36" t="s">
        <v>32</v>
      </c>
    </row>
    <row r="3161">
      <c r="A3161" s="36" t="s">
        <v>7066</v>
      </c>
      <c r="B3161" s="154" t="s">
        <v>7067</v>
      </c>
      <c r="C3161" s="36" t="s">
        <v>1666</v>
      </c>
      <c r="D3161" s="36" t="s">
        <v>191</v>
      </c>
      <c r="E3161" s="36" t="s">
        <v>191</v>
      </c>
      <c r="F3161" s="154" t="s">
        <v>1816</v>
      </c>
      <c r="G3161" s="36" t="s">
        <v>28</v>
      </c>
      <c r="H3161" s="36" t="s">
        <v>1655</v>
      </c>
      <c r="I3161" s="36" t="s">
        <v>1656</v>
      </c>
      <c r="J3161" s="36" t="s">
        <v>1656</v>
      </c>
      <c r="K3161" s="36" t="s">
        <v>1698</v>
      </c>
      <c r="L3161" s="36" t="s">
        <v>6585</v>
      </c>
      <c r="M3161" s="36" t="s">
        <v>6585</v>
      </c>
      <c r="N3161" s="36" t="s">
        <v>32</v>
      </c>
    </row>
    <row r="3162">
      <c r="A3162" s="36" t="s">
        <v>7068</v>
      </c>
      <c r="B3162" s="154" t="s">
        <v>7067</v>
      </c>
      <c r="C3162" s="36" t="s">
        <v>1666</v>
      </c>
      <c r="D3162" s="36" t="s">
        <v>210</v>
      </c>
      <c r="E3162" s="36" t="s">
        <v>210</v>
      </c>
      <c r="F3162" s="154" t="s">
        <v>1859</v>
      </c>
      <c r="G3162" s="36" t="s">
        <v>28</v>
      </c>
      <c r="H3162" s="36" t="s">
        <v>1655</v>
      </c>
      <c r="I3162" s="36" t="s">
        <v>1656</v>
      </c>
      <c r="J3162" s="36" t="s">
        <v>1656</v>
      </c>
      <c r="K3162" s="36" t="s">
        <v>1701</v>
      </c>
      <c r="L3162" s="36" t="s">
        <v>6585</v>
      </c>
      <c r="M3162" s="36" t="s">
        <v>6585</v>
      </c>
      <c r="N3162" s="36" t="s">
        <v>32</v>
      </c>
    </row>
    <row r="3163">
      <c r="A3163" s="36" t="s">
        <v>7069</v>
      </c>
      <c r="B3163" s="154" t="s">
        <v>7070</v>
      </c>
      <c r="C3163" s="36" t="s">
        <v>1653</v>
      </c>
      <c r="D3163" s="36" t="s">
        <v>55</v>
      </c>
      <c r="E3163" s="36" t="s">
        <v>39</v>
      </c>
      <c r="F3163" s="154" t="s">
        <v>7071</v>
      </c>
      <c r="G3163" s="36" t="s">
        <v>32</v>
      </c>
      <c r="H3163" s="36" t="s">
        <v>1655</v>
      </c>
      <c r="I3163" s="36" t="s">
        <v>1656</v>
      </c>
      <c r="J3163" s="36" t="s">
        <v>1656</v>
      </c>
      <c r="K3163" s="36" t="s">
        <v>1989</v>
      </c>
      <c r="L3163" s="36" t="s">
        <v>6583</v>
      </c>
      <c r="M3163" s="36" t="s">
        <v>6583</v>
      </c>
      <c r="N3163" s="36" t="s">
        <v>32</v>
      </c>
    </row>
    <row r="3164">
      <c r="A3164" s="36" t="s">
        <v>7072</v>
      </c>
      <c r="B3164" s="154" t="s">
        <v>7070</v>
      </c>
      <c r="C3164" s="36" t="s">
        <v>1666</v>
      </c>
      <c r="D3164" s="36" t="s">
        <v>71</v>
      </c>
      <c r="E3164" s="36" t="s">
        <v>71</v>
      </c>
      <c r="F3164" s="154" t="s">
        <v>6736</v>
      </c>
      <c r="G3164" s="36" t="s">
        <v>32</v>
      </c>
      <c r="H3164" s="36" t="s">
        <v>1655</v>
      </c>
      <c r="I3164" s="36" t="s">
        <v>1656</v>
      </c>
      <c r="J3164" s="36" t="s">
        <v>1656</v>
      </c>
      <c r="K3164" s="36" t="s">
        <v>1752</v>
      </c>
      <c r="L3164" s="36" t="s">
        <v>6585</v>
      </c>
      <c r="M3164" s="36" t="s">
        <v>6585</v>
      </c>
      <c r="N3164" s="36" t="s">
        <v>32</v>
      </c>
    </row>
    <row r="3165">
      <c r="A3165" s="36" t="s">
        <v>7073</v>
      </c>
      <c r="B3165" s="154" t="s">
        <v>7070</v>
      </c>
      <c r="C3165" s="36" t="s">
        <v>1666</v>
      </c>
      <c r="D3165" s="36" t="s">
        <v>73</v>
      </c>
      <c r="E3165" s="36" t="s">
        <v>73</v>
      </c>
      <c r="F3165" s="154" t="s">
        <v>6738</v>
      </c>
      <c r="G3165" s="36" t="s">
        <v>28</v>
      </c>
      <c r="H3165" s="36" t="s">
        <v>1655</v>
      </c>
      <c r="I3165" s="36" t="s">
        <v>1656</v>
      </c>
      <c r="J3165" s="36" t="s">
        <v>1656</v>
      </c>
      <c r="K3165" s="36" t="s">
        <v>1755</v>
      </c>
      <c r="L3165" s="36" t="s">
        <v>6585</v>
      </c>
      <c r="M3165" s="36" t="s">
        <v>6585</v>
      </c>
      <c r="N3165" s="36" t="s">
        <v>32</v>
      </c>
    </row>
    <row r="3166">
      <c r="A3166" s="36" t="s">
        <v>7074</v>
      </c>
      <c r="B3166" s="154" t="s">
        <v>7070</v>
      </c>
      <c r="C3166" s="36" t="s">
        <v>1666</v>
      </c>
      <c r="D3166" s="36" t="s">
        <v>74</v>
      </c>
      <c r="E3166" s="36" t="s">
        <v>74</v>
      </c>
      <c r="F3166" s="154" t="s">
        <v>6740</v>
      </c>
      <c r="G3166" s="36" t="s">
        <v>32</v>
      </c>
      <c r="H3166" s="36" t="s">
        <v>1655</v>
      </c>
      <c r="I3166" s="36" t="s">
        <v>1656</v>
      </c>
      <c r="J3166" s="36" t="s">
        <v>1656</v>
      </c>
      <c r="K3166" s="36" t="s">
        <v>1757</v>
      </c>
      <c r="L3166" s="36" t="s">
        <v>6585</v>
      </c>
      <c r="M3166" s="36" t="s">
        <v>6585</v>
      </c>
      <c r="N3166" s="36" t="s">
        <v>32</v>
      </c>
    </row>
    <row r="3167">
      <c r="A3167" s="36" t="s">
        <v>7075</v>
      </c>
      <c r="B3167" s="154" t="s">
        <v>7070</v>
      </c>
      <c r="C3167" s="36" t="s">
        <v>1666</v>
      </c>
      <c r="D3167" s="36" t="s">
        <v>75</v>
      </c>
      <c r="E3167" s="36" t="s">
        <v>75</v>
      </c>
      <c r="F3167" s="154" t="s">
        <v>6742</v>
      </c>
      <c r="G3167" s="36" t="s">
        <v>28</v>
      </c>
      <c r="H3167" s="36" t="s">
        <v>1655</v>
      </c>
      <c r="I3167" s="36" t="s">
        <v>1656</v>
      </c>
      <c r="J3167" s="36" t="s">
        <v>1656</v>
      </c>
      <c r="K3167" s="36" t="s">
        <v>1760</v>
      </c>
      <c r="L3167" s="36" t="s">
        <v>6585</v>
      </c>
      <c r="M3167" s="36" t="s">
        <v>6585</v>
      </c>
      <c r="N3167" s="36" t="s">
        <v>32</v>
      </c>
    </row>
    <row r="3168">
      <c r="A3168" s="36" t="s">
        <v>7076</v>
      </c>
      <c r="B3168" s="154" t="s">
        <v>7070</v>
      </c>
      <c r="C3168" s="36" t="s">
        <v>1666</v>
      </c>
      <c r="D3168" s="36" t="s">
        <v>76</v>
      </c>
      <c r="E3168" s="36" t="s">
        <v>76</v>
      </c>
      <c r="F3168" s="154" t="s">
        <v>7077</v>
      </c>
      <c r="G3168" s="36" t="s">
        <v>28</v>
      </c>
      <c r="H3168" s="36" t="s">
        <v>1655</v>
      </c>
      <c r="I3168" s="36" t="s">
        <v>1656</v>
      </c>
      <c r="J3168" s="36" t="s">
        <v>1656</v>
      </c>
      <c r="K3168" s="36" t="s">
        <v>1763</v>
      </c>
      <c r="L3168" s="36" t="s">
        <v>6585</v>
      </c>
      <c r="M3168" s="36" t="s">
        <v>6585</v>
      </c>
      <c r="N3168" s="36" t="s">
        <v>32</v>
      </c>
    </row>
    <row r="3169">
      <c r="A3169" s="36" t="s">
        <v>7078</v>
      </c>
      <c r="B3169" s="154" t="s">
        <v>7070</v>
      </c>
      <c r="C3169" s="36" t="s">
        <v>1666</v>
      </c>
      <c r="D3169" s="36" t="s">
        <v>77</v>
      </c>
      <c r="E3169" s="36" t="s">
        <v>77</v>
      </c>
      <c r="F3169" s="154" t="s">
        <v>1768</v>
      </c>
      <c r="G3169" s="36" t="s">
        <v>34</v>
      </c>
      <c r="H3169" s="36" t="s">
        <v>1655</v>
      </c>
      <c r="I3169" s="36" t="s">
        <v>1656</v>
      </c>
      <c r="J3169" s="36" t="s">
        <v>1656</v>
      </c>
      <c r="K3169" s="36" t="s">
        <v>1766</v>
      </c>
      <c r="L3169" s="36" t="s">
        <v>6585</v>
      </c>
      <c r="M3169" s="36" t="s">
        <v>6585</v>
      </c>
      <c r="N3169" s="36" t="s">
        <v>32</v>
      </c>
    </row>
    <row r="3170">
      <c r="A3170" s="36" t="s">
        <v>7079</v>
      </c>
      <c r="B3170" s="154" t="s">
        <v>7070</v>
      </c>
      <c r="C3170" s="36" t="s">
        <v>1666</v>
      </c>
      <c r="D3170" s="36" t="s">
        <v>92</v>
      </c>
      <c r="E3170" s="36" t="s">
        <v>92</v>
      </c>
      <c r="F3170" s="154" t="s">
        <v>1806</v>
      </c>
      <c r="G3170" s="36" t="s">
        <v>32</v>
      </c>
      <c r="H3170" s="36" t="s">
        <v>1655</v>
      </c>
      <c r="I3170" s="36" t="s">
        <v>1656</v>
      </c>
      <c r="J3170" s="36" t="s">
        <v>1656</v>
      </c>
      <c r="K3170" s="36" t="s">
        <v>1704</v>
      </c>
      <c r="L3170" s="36" t="s">
        <v>6585</v>
      </c>
      <c r="M3170" s="36" t="s">
        <v>6585</v>
      </c>
      <c r="N3170" s="36" t="s">
        <v>32</v>
      </c>
    </row>
    <row r="3171">
      <c r="A3171" s="36" t="s">
        <v>7080</v>
      </c>
      <c r="B3171" s="154" t="s">
        <v>7070</v>
      </c>
      <c r="C3171" s="36" t="s">
        <v>1666</v>
      </c>
      <c r="D3171" s="36" t="s">
        <v>92</v>
      </c>
      <c r="E3171" s="36" t="s">
        <v>92</v>
      </c>
      <c r="F3171" s="154" t="s">
        <v>1806</v>
      </c>
      <c r="G3171" s="36" t="s">
        <v>32</v>
      </c>
      <c r="H3171" s="36" t="s">
        <v>1655</v>
      </c>
      <c r="I3171" s="36" t="s">
        <v>1656</v>
      </c>
      <c r="J3171" s="36" t="s">
        <v>1656</v>
      </c>
      <c r="K3171" s="36" t="s">
        <v>1711</v>
      </c>
      <c r="L3171" s="36" t="s">
        <v>6585</v>
      </c>
      <c r="M3171" s="36" t="s">
        <v>6585</v>
      </c>
      <c r="N3171" s="36" t="s">
        <v>32</v>
      </c>
    </row>
    <row r="3172">
      <c r="A3172" s="36" t="s">
        <v>7081</v>
      </c>
      <c r="B3172" s="154" t="s">
        <v>7070</v>
      </c>
      <c r="C3172" s="36" t="s">
        <v>1666</v>
      </c>
      <c r="D3172" s="36" t="s">
        <v>115</v>
      </c>
      <c r="E3172" s="36" t="s">
        <v>115</v>
      </c>
      <c r="F3172" s="154" t="s">
        <v>1683</v>
      </c>
      <c r="G3172" s="36" t="s">
        <v>32</v>
      </c>
      <c r="H3172" s="36" t="s">
        <v>1655</v>
      </c>
      <c r="I3172" s="36" t="s">
        <v>1656</v>
      </c>
      <c r="J3172" s="36" t="s">
        <v>1656</v>
      </c>
      <c r="K3172" s="36" t="s">
        <v>1715</v>
      </c>
      <c r="L3172" s="36" t="s">
        <v>6585</v>
      </c>
      <c r="M3172" s="36" t="s">
        <v>6585</v>
      </c>
      <c r="N3172" s="36" t="s">
        <v>32</v>
      </c>
    </row>
    <row r="3173">
      <c r="A3173" s="36" t="s">
        <v>7082</v>
      </c>
      <c r="B3173" s="154" t="s">
        <v>7070</v>
      </c>
      <c r="C3173" s="36" t="s">
        <v>1666</v>
      </c>
      <c r="D3173" s="36" t="s">
        <v>114</v>
      </c>
      <c r="E3173" s="36" t="s">
        <v>114</v>
      </c>
      <c r="F3173" s="154" t="s">
        <v>1799</v>
      </c>
      <c r="G3173" s="36" t="s">
        <v>32</v>
      </c>
      <c r="H3173" s="36" t="s">
        <v>1655</v>
      </c>
      <c r="I3173" s="36" t="s">
        <v>1656</v>
      </c>
      <c r="J3173" s="36" t="s">
        <v>1656</v>
      </c>
      <c r="K3173" s="36" t="s">
        <v>1717</v>
      </c>
      <c r="L3173" s="36" t="s">
        <v>6585</v>
      </c>
      <c r="M3173" s="36" t="s">
        <v>6585</v>
      </c>
      <c r="N3173" s="36" t="s">
        <v>32</v>
      </c>
    </row>
    <row r="3174">
      <c r="A3174" s="36" t="s">
        <v>7083</v>
      </c>
      <c r="B3174" s="154" t="s">
        <v>7070</v>
      </c>
      <c r="C3174" s="36" t="s">
        <v>1666</v>
      </c>
      <c r="D3174" s="36" t="s">
        <v>220</v>
      </c>
      <c r="E3174" s="36" t="s">
        <v>220</v>
      </c>
      <c r="F3174" s="154" t="s">
        <v>7084</v>
      </c>
      <c r="G3174" s="36" t="s">
        <v>28</v>
      </c>
      <c r="H3174" s="36" t="s">
        <v>1655</v>
      </c>
      <c r="I3174" s="36" t="s">
        <v>1656</v>
      </c>
      <c r="J3174" s="36" t="s">
        <v>1656</v>
      </c>
      <c r="K3174" s="36" t="s">
        <v>1724</v>
      </c>
      <c r="L3174" s="36" t="s">
        <v>6585</v>
      </c>
      <c r="M3174" s="36" t="s">
        <v>6585</v>
      </c>
      <c r="N3174" s="36" t="s">
        <v>32</v>
      </c>
    </row>
    <row r="3175">
      <c r="A3175" s="36" t="s">
        <v>7085</v>
      </c>
      <c r="B3175" s="154" t="s">
        <v>7070</v>
      </c>
      <c r="C3175" s="36" t="s">
        <v>1666</v>
      </c>
      <c r="D3175" s="36" t="s">
        <v>226</v>
      </c>
      <c r="E3175" s="36" t="s">
        <v>226</v>
      </c>
      <c r="F3175" s="154" t="s">
        <v>7086</v>
      </c>
      <c r="G3175" s="36" t="s">
        <v>32</v>
      </c>
      <c r="H3175" s="36" t="s">
        <v>1655</v>
      </c>
      <c r="I3175" s="36" t="s">
        <v>1656</v>
      </c>
      <c r="J3175" s="36" t="s">
        <v>1656</v>
      </c>
      <c r="K3175" s="36" t="s">
        <v>1727</v>
      </c>
      <c r="L3175" s="36" t="s">
        <v>6585</v>
      </c>
      <c r="M3175" s="36" t="s">
        <v>6585</v>
      </c>
      <c r="N3175" s="36" t="s">
        <v>32</v>
      </c>
    </row>
    <row r="3176">
      <c r="A3176" s="36" t="s">
        <v>7087</v>
      </c>
      <c r="B3176" s="154" t="s">
        <v>7088</v>
      </c>
      <c r="C3176" s="36" t="s">
        <v>1666</v>
      </c>
      <c r="D3176" s="36" t="s">
        <v>529</v>
      </c>
      <c r="E3176" s="36" t="s">
        <v>529</v>
      </c>
      <c r="F3176" s="154" t="s">
        <v>1810</v>
      </c>
      <c r="G3176" s="36" t="s">
        <v>28</v>
      </c>
      <c r="H3176" s="36" t="s">
        <v>1655</v>
      </c>
      <c r="I3176" s="36" t="s">
        <v>1656</v>
      </c>
      <c r="J3176" s="36" t="s">
        <v>1656</v>
      </c>
      <c r="K3176" s="36" t="s">
        <v>1730</v>
      </c>
      <c r="L3176" s="36" t="s">
        <v>6585</v>
      </c>
      <c r="M3176" s="36" t="s">
        <v>6585</v>
      </c>
      <c r="N3176" s="36" t="s">
        <v>34</v>
      </c>
    </row>
    <row r="3177">
      <c r="A3177" s="36" t="s">
        <v>7089</v>
      </c>
      <c r="B3177" s="154" t="s">
        <v>7090</v>
      </c>
      <c r="C3177" s="36" t="s">
        <v>1666</v>
      </c>
      <c r="D3177" s="36" t="s">
        <v>534</v>
      </c>
      <c r="E3177" s="36" t="s">
        <v>534</v>
      </c>
      <c r="F3177" s="154" t="s">
        <v>2156</v>
      </c>
      <c r="G3177" s="36" t="s">
        <v>28</v>
      </c>
      <c r="H3177" s="36" t="s">
        <v>1655</v>
      </c>
      <c r="I3177" s="36" t="s">
        <v>1656</v>
      </c>
      <c r="J3177" s="36" t="s">
        <v>1656</v>
      </c>
      <c r="K3177" s="36" t="s">
        <v>1732</v>
      </c>
      <c r="L3177" s="36" t="s">
        <v>6585</v>
      </c>
      <c r="M3177" s="36" t="s">
        <v>6585</v>
      </c>
      <c r="N3177" s="36" t="s">
        <v>34</v>
      </c>
    </row>
    <row r="3178">
      <c r="A3178" s="36" t="s">
        <v>7091</v>
      </c>
      <c r="B3178" s="154" t="s">
        <v>7092</v>
      </c>
      <c r="C3178" s="36" t="s">
        <v>1666</v>
      </c>
      <c r="D3178" s="36" t="s">
        <v>541</v>
      </c>
      <c r="E3178" s="36" t="s">
        <v>541</v>
      </c>
      <c r="F3178" s="154" t="s">
        <v>1902</v>
      </c>
      <c r="G3178" s="36" t="s">
        <v>32</v>
      </c>
      <c r="H3178" s="36" t="s">
        <v>1655</v>
      </c>
      <c r="I3178" s="36" t="s">
        <v>1656</v>
      </c>
      <c r="J3178" s="36" t="s">
        <v>1656</v>
      </c>
      <c r="K3178" s="36" t="s">
        <v>1736</v>
      </c>
      <c r="L3178" s="36" t="s">
        <v>6585</v>
      </c>
      <c r="M3178" s="36" t="s">
        <v>6585</v>
      </c>
      <c r="N3178" s="36" t="s">
        <v>32</v>
      </c>
    </row>
    <row r="3179">
      <c r="A3179" s="36" t="s">
        <v>7093</v>
      </c>
      <c r="B3179" s="154" t="s">
        <v>7092</v>
      </c>
      <c r="C3179" s="36" t="s">
        <v>1666</v>
      </c>
      <c r="D3179" s="36" t="s">
        <v>191</v>
      </c>
      <c r="E3179" s="36" t="s">
        <v>191</v>
      </c>
      <c r="F3179" s="154" t="s">
        <v>1816</v>
      </c>
      <c r="G3179" s="36" t="s">
        <v>28</v>
      </c>
      <c r="H3179" s="36" t="s">
        <v>1655</v>
      </c>
      <c r="I3179" s="36" t="s">
        <v>1656</v>
      </c>
      <c r="J3179" s="36" t="s">
        <v>1656</v>
      </c>
      <c r="K3179" s="36" t="s">
        <v>1739</v>
      </c>
      <c r="L3179" s="36" t="s">
        <v>6585</v>
      </c>
      <c r="M3179" s="36" t="s">
        <v>6585</v>
      </c>
      <c r="N3179" s="36" t="s">
        <v>32</v>
      </c>
    </row>
    <row r="3180">
      <c r="A3180" s="36" t="s">
        <v>7094</v>
      </c>
      <c r="B3180" s="154" t="s">
        <v>7092</v>
      </c>
      <c r="C3180" s="36" t="s">
        <v>1666</v>
      </c>
      <c r="D3180" s="36" t="s">
        <v>305</v>
      </c>
      <c r="E3180" s="36" t="s">
        <v>305</v>
      </c>
      <c r="F3180" s="154" t="s">
        <v>1816</v>
      </c>
      <c r="G3180" s="36" t="s">
        <v>32</v>
      </c>
      <c r="H3180" s="36" t="s">
        <v>1655</v>
      </c>
      <c r="I3180" s="36" t="s">
        <v>1656</v>
      </c>
      <c r="J3180" s="36" t="s">
        <v>1656</v>
      </c>
      <c r="K3180" s="36" t="s">
        <v>1742</v>
      </c>
      <c r="L3180" s="36" t="s">
        <v>6585</v>
      </c>
      <c r="M3180" s="36" t="s">
        <v>6585</v>
      </c>
      <c r="N3180" s="36" t="s">
        <v>32</v>
      </c>
    </row>
    <row r="3181">
      <c r="A3181" s="36" t="s">
        <v>7095</v>
      </c>
      <c r="B3181" s="154" t="s">
        <v>7092</v>
      </c>
      <c r="C3181" s="36" t="s">
        <v>1666</v>
      </c>
      <c r="D3181" s="36" t="s">
        <v>100</v>
      </c>
      <c r="E3181" s="36" t="s">
        <v>100</v>
      </c>
      <c r="F3181" s="154" t="s">
        <v>1768</v>
      </c>
      <c r="G3181" s="36" t="s">
        <v>32</v>
      </c>
      <c r="H3181" s="36" t="s">
        <v>1655</v>
      </c>
      <c r="I3181" s="36" t="s">
        <v>1656</v>
      </c>
      <c r="J3181" s="36" t="s">
        <v>1656</v>
      </c>
      <c r="K3181" s="36" t="s">
        <v>1745</v>
      </c>
      <c r="L3181" s="36" t="s">
        <v>6585</v>
      </c>
      <c r="M3181" s="36" t="s">
        <v>6585</v>
      </c>
      <c r="N3181" s="36" t="s">
        <v>32</v>
      </c>
    </row>
    <row r="3182">
      <c r="A3182" s="36" t="s">
        <v>7096</v>
      </c>
      <c r="B3182" s="154" t="s">
        <v>7092</v>
      </c>
      <c r="C3182" s="36" t="s">
        <v>1666</v>
      </c>
      <c r="D3182" s="36" t="s">
        <v>210</v>
      </c>
      <c r="E3182" s="36" t="s">
        <v>210</v>
      </c>
      <c r="F3182" s="154" t="s">
        <v>1781</v>
      </c>
      <c r="G3182" s="36" t="s">
        <v>32</v>
      </c>
      <c r="H3182" s="36" t="s">
        <v>1655</v>
      </c>
      <c r="I3182" s="36" t="s">
        <v>1656</v>
      </c>
      <c r="J3182" s="36" t="s">
        <v>1656</v>
      </c>
      <c r="K3182" s="36" t="s">
        <v>1773</v>
      </c>
      <c r="L3182" s="36" t="s">
        <v>6585</v>
      </c>
      <c r="M3182" s="36" t="s">
        <v>6585</v>
      </c>
      <c r="N3182" s="36" t="s">
        <v>32</v>
      </c>
    </row>
    <row r="3183">
      <c r="A3183" s="36" t="s">
        <v>7097</v>
      </c>
      <c r="B3183" s="154" t="s">
        <v>7092</v>
      </c>
      <c r="C3183" s="36" t="s">
        <v>1666</v>
      </c>
      <c r="D3183" s="36" t="s">
        <v>215</v>
      </c>
      <c r="E3183" s="36" t="s">
        <v>215</v>
      </c>
      <c r="F3183" s="154" t="s">
        <v>1768</v>
      </c>
      <c r="G3183" s="36" t="s">
        <v>28</v>
      </c>
      <c r="H3183" s="36" t="s">
        <v>1655</v>
      </c>
      <c r="I3183" s="36" t="s">
        <v>1656</v>
      </c>
      <c r="J3183" s="36" t="s">
        <v>1656</v>
      </c>
      <c r="K3183" s="36" t="s">
        <v>1776</v>
      </c>
      <c r="L3183" s="36" t="s">
        <v>6585</v>
      </c>
      <c r="M3183" s="36" t="s">
        <v>6585</v>
      </c>
      <c r="N3183" s="36" t="s">
        <v>34</v>
      </c>
    </row>
    <row r="3184">
      <c r="A3184" s="36" t="s">
        <v>7098</v>
      </c>
      <c r="B3184" s="154" t="s">
        <v>7099</v>
      </c>
      <c r="C3184" s="36" t="s">
        <v>1666</v>
      </c>
      <c r="D3184" s="36" t="s">
        <v>218</v>
      </c>
      <c r="E3184" s="36" t="s">
        <v>218</v>
      </c>
      <c r="F3184" s="154" t="s">
        <v>1686</v>
      </c>
      <c r="G3184" s="36" t="s">
        <v>32</v>
      </c>
      <c r="H3184" s="36" t="s">
        <v>1655</v>
      </c>
      <c r="I3184" s="36" t="s">
        <v>1656</v>
      </c>
      <c r="J3184" s="36" t="s">
        <v>1656</v>
      </c>
      <c r="K3184" s="36" t="s">
        <v>1779</v>
      </c>
      <c r="L3184" s="36" t="s">
        <v>6585</v>
      </c>
      <c r="M3184" s="36" t="s">
        <v>6585</v>
      </c>
      <c r="N3184" s="36" t="s">
        <v>32</v>
      </c>
    </row>
    <row r="3185">
      <c r="A3185" s="36" t="s">
        <v>7100</v>
      </c>
      <c r="B3185" s="154" t="s">
        <v>7099</v>
      </c>
      <c r="C3185" s="36" t="s">
        <v>1666</v>
      </c>
      <c r="D3185" s="36" t="s">
        <v>210</v>
      </c>
      <c r="E3185" s="36" t="s">
        <v>210</v>
      </c>
      <c r="F3185" s="154" t="s">
        <v>2728</v>
      </c>
      <c r="G3185" s="36" t="s">
        <v>28</v>
      </c>
      <c r="H3185" s="36" t="s">
        <v>1655</v>
      </c>
      <c r="I3185" s="36" t="s">
        <v>1656</v>
      </c>
      <c r="J3185" s="36" t="s">
        <v>1656</v>
      </c>
      <c r="K3185" s="36" t="s">
        <v>1782</v>
      </c>
      <c r="L3185" s="36" t="s">
        <v>6585</v>
      </c>
      <c r="M3185" s="36" t="s">
        <v>6585</v>
      </c>
      <c r="N3185" s="36" t="s">
        <v>32</v>
      </c>
    </row>
    <row r="3186">
      <c r="A3186" s="36" t="s">
        <v>7101</v>
      </c>
      <c r="B3186" s="154" t="s">
        <v>7102</v>
      </c>
      <c r="C3186" s="36" t="s">
        <v>1666</v>
      </c>
      <c r="D3186" s="36" t="s">
        <v>579</v>
      </c>
      <c r="E3186" s="36" t="s">
        <v>579</v>
      </c>
      <c r="F3186" s="154" t="s">
        <v>2156</v>
      </c>
      <c r="G3186" s="36" t="s">
        <v>28</v>
      </c>
      <c r="H3186" s="36" t="s">
        <v>1655</v>
      </c>
      <c r="I3186" s="36" t="s">
        <v>1656</v>
      </c>
      <c r="J3186" s="36" t="s">
        <v>1656</v>
      </c>
      <c r="K3186" s="36" t="s">
        <v>1784</v>
      </c>
      <c r="L3186" s="36" t="s">
        <v>6585</v>
      </c>
      <c r="M3186" s="36" t="s">
        <v>6585</v>
      </c>
      <c r="N3186" s="36" t="s">
        <v>34</v>
      </c>
    </row>
    <row r="3187">
      <c r="A3187" s="36" t="s">
        <v>7103</v>
      </c>
      <c r="B3187" s="154" t="s">
        <v>7102</v>
      </c>
      <c r="C3187" s="36" t="s">
        <v>1666</v>
      </c>
      <c r="D3187" s="36" t="s">
        <v>210</v>
      </c>
      <c r="E3187" s="36" t="s">
        <v>210</v>
      </c>
      <c r="F3187" s="154" t="s">
        <v>7104</v>
      </c>
      <c r="G3187" s="36" t="s">
        <v>28</v>
      </c>
      <c r="H3187" s="36" t="s">
        <v>1655</v>
      </c>
      <c r="I3187" s="36" t="s">
        <v>1656</v>
      </c>
      <c r="J3187" s="36" t="s">
        <v>1656</v>
      </c>
      <c r="K3187" s="36" t="s">
        <v>1787</v>
      </c>
      <c r="L3187" s="36" t="s">
        <v>6585</v>
      </c>
      <c r="M3187" s="36" t="s">
        <v>6585</v>
      </c>
      <c r="N3187" s="36" t="s">
        <v>34</v>
      </c>
    </row>
    <row r="3188">
      <c r="A3188" s="36" t="s">
        <v>7105</v>
      </c>
      <c r="B3188" s="154" t="s">
        <v>7102</v>
      </c>
      <c r="C3188" s="36" t="s">
        <v>1666</v>
      </c>
      <c r="D3188" s="36" t="s">
        <v>382</v>
      </c>
      <c r="E3188" s="36" t="s">
        <v>382</v>
      </c>
      <c r="F3188" s="154" t="s">
        <v>7106</v>
      </c>
      <c r="G3188" s="36" t="s">
        <v>28</v>
      </c>
      <c r="H3188" s="36" t="s">
        <v>1655</v>
      </c>
      <c r="I3188" s="36" t="s">
        <v>1656</v>
      </c>
      <c r="J3188" s="36" t="s">
        <v>1656</v>
      </c>
      <c r="K3188" s="36" t="s">
        <v>1790</v>
      </c>
      <c r="L3188" s="36" t="s">
        <v>6585</v>
      </c>
      <c r="M3188" s="36" t="s">
        <v>6585</v>
      </c>
      <c r="N3188" s="36" t="s">
        <v>34</v>
      </c>
    </row>
    <row r="3189">
      <c r="A3189" s="36" t="s">
        <v>7107</v>
      </c>
      <c r="B3189" s="154" t="s">
        <v>7108</v>
      </c>
      <c r="C3189" s="36" t="s">
        <v>1666</v>
      </c>
      <c r="D3189" s="36" t="s">
        <v>598</v>
      </c>
      <c r="E3189" s="36" t="s">
        <v>598</v>
      </c>
      <c r="F3189" s="154" t="s">
        <v>1871</v>
      </c>
      <c r="G3189" s="36" t="s">
        <v>28</v>
      </c>
      <c r="H3189" s="36" t="s">
        <v>1655</v>
      </c>
      <c r="I3189" s="36" t="s">
        <v>1656</v>
      </c>
      <c r="J3189" s="36" t="s">
        <v>1656</v>
      </c>
      <c r="K3189" s="36" t="s">
        <v>1793</v>
      </c>
      <c r="L3189" s="36" t="s">
        <v>6585</v>
      </c>
      <c r="M3189" s="36" t="s">
        <v>6585</v>
      </c>
      <c r="N3189" s="36" t="s">
        <v>34</v>
      </c>
    </row>
    <row r="3190">
      <c r="A3190" s="36" t="s">
        <v>7109</v>
      </c>
      <c r="B3190" s="154" t="s">
        <v>7110</v>
      </c>
      <c r="C3190" s="36" t="s">
        <v>1666</v>
      </c>
      <c r="D3190" s="36" t="s">
        <v>603</v>
      </c>
      <c r="E3190" s="36" t="s">
        <v>603</v>
      </c>
      <c r="F3190" s="154" t="s">
        <v>1729</v>
      </c>
      <c r="G3190" s="36" t="s">
        <v>28</v>
      </c>
      <c r="H3190" s="36" t="s">
        <v>1655</v>
      </c>
      <c r="I3190" s="36" t="s">
        <v>1656</v>
      </c>
      <c r="J3190" s="36" t="s">
        <v>1656</v>
      </c>
      <c r="K3190" s="36" t="s">
        <v>1796</v>
      </c>
      <c r="L3190" s="36" t="s">
        <v>6585</v>
      </c>
      <c r="M3190" s="36" t="s">
        <v>6585</v>
      </c>
      <c r="N3190" s="36" t="s">
        <v>34</v>
      </c>
    </row>
    <row r="3191">
      <c r="A3191" s="36" t="s">
        <v>7111</v>
      </c>
      <c r="B3191" s="154" t="s">
        <v>7112</v>
      </c>
      <c r="C3191" s="36" t="s">
        <v>1666</v>
      </c>
      <c r="D3191" s="36" t="s">
        <v>609</v>
      </c>
      <c r="E3191" s="36" t="s">
        <v>609</v>
      </c>
      <c r="F3191" s="154" t="s">
        <v>1959</v>
      </c>
      <c r="G3191" s="36" t="s">
        <v>28</v>
      </c>
      <c r="H3191" s="36" t="s">
        <v>1655</v>
      </c>
      <c r="I3191" s="36" t="s">
        <v>1656</v>
      </c>
      <c r="J3191" s="36" t="s">
        <v>1656</v>
      </c>
      <c r="K3191" s="36" t="s">
        <v>1800</v>
      </c>
      <c r="L3191" s="36" t="s">
        <v>6585</v>
      </c>
      <c r="M3191" s="36" t="s">
        <v>6585</v>
      </c>
      <c r="N3191" s="36" t="s">
        <v>34</v>
      </c>
    </row>
    <row r="3192">
      <c r="A3192" s="36" t="s">
        <v>7113</v>
      </c>
      <c r="B3192" s="154" t="s">
        <v>7112</v>
      </c>
      <c r="C3192" s="36" t="s">
        <v>1666</v>
      </c>
      <c r="D3192" s="36" t="s">
        <v>616</v>
      </c>
      <c r="E3192" s="36" t="s">
        <v>616</v>
      </c>
      <c r="F3192" s="154" t="s">
        <v>1959</v>
      </c>
      <c r="G3192" s="36" t="s">
        <v>28</v>
      </c>
      <c r="H3192" s="36" t="s">
        <v>1655</v>
      </c>
      <c r="I3192" s="36" t="s">
        <v>1656</v>
      </c>
      <c r="J3192" s="36" t="s">
        <v>1656</v>
      </c>
      <c r="K3192" s="36" t="s">
        <v>1803</v>
      </c>
      <c r="L3192" s="36" t="s">
        <v>6585</v>
      </c>
      <c r="M3192" s="36" t="s">
        <v>6585</v>
      </c>
      <c r="N3192" s="36" t="s">
        <v>34</v>
      </c>
    </row>
    <row r="3193">
      <c r="A3193" s="36" t="s">
        <v>7114</v>
      </c>
      <c r="B3193" s="154" t="s">
        <v>7115</v>
      </c>
      <c r="C3193" s="36" t="s">
        <v>1666</v>
      </c>
      <c r="D3193" s="36" t="s">
        <v>210</v>
      </c>
      <c r="E3193" s="36" t="s">
        <v>210</v>
      </c>
      <c r="F3193" s="154" t="s">
        <v>2163</v>
      </c>
      <c r="G3193" s="36" t="s">
        <v>28</v>
      </c>
      <c r="H3193" s="36" t="s">
        <v>1655</v>
      </c>
      <c r="I3193" s="36" t="s">
        <v>1656</v>
      </c>
      <c r="J3193" s="36" t="s">
        <v>1656</v>
      </c>
      <c r="K3193" s="36" t="s">
        <v>1807</v>
      </c>
      <c r="L3193" s="36" t="s">
        <v>6585</v>
      </c>
      <c r="M3193" s="36" t="s">
        <v>6585</v>
      </c>
      <c r="N3193" s="36" t="s">
        <v>32</v>
      </c>
    </row>
    <row r="3194">
      <c r="A3194" s="36" t="s">
        <v>7116</v>
      </c>
      <c r="B3194" s="154" t="s">
        <v>7117</v>
      </c>
      <c r="C3194" s="36" t="s">
        <v>1666</v>
      </c>
      <c r="D3194" s="36" t="s">
        <v>92</v>
      </c>
      <c r="E3194" s="36" t="s">
        <v>92</v>
      </c>
      <c r="F3194" s="154" t="s">
        <v>2555</v>
      </c>
      <c r="G3194" s="36" t="s">
        <v>32</v>
      </c>
      <c r="H3194" s="36" t="s">
        <v>1655</v>
      </c>
      <c r="I3194" s="36" t="s">
        <v>1656</v>
      </c>
      <c r="J3194" s="36" t="s">
        <v>1656</v>
      </c>
      <c r="K3194" s="36" t="s">
        <v>1814</v>
      </c>
      <c r="L3194" s="36" t="s">
        <v>6585</v>
      </c>
      <c r="M3194" s="36" t="s">
        <v>6585</v>
      </c>
      <c r="N3194" s="36" t="s">
        <v>32</v>
      </c>
    </row>
    <row r="3195">
      <c r="A3195" s="36" t="s">
        <v>7118</v>
      </c>
      <c r="B3195" s="154" t="s">
        <v>7117</v>
      </c>
      <c r="C3195" s="36" t="s">
        <v>1666</v>
      </c>
      <c r="D3195" s="36" t="s">
        <v>629</v>
      </c>
      <c r="E3195" s="36" t="s">
        <v>629</v>
      </c>
      <c r="F3195" s="154" t="s">
        <v>7119</v>
      </c>
      <c r="G3195" s="36" t="s">
        <v>32</v>
      </c>
      <c r="H3195" s="36" t="s">
        <v>1655</v>
      </c>
      <c r="I3195" s="36" t="s">
        <v>1656</v>
      </c>
      <c r="J3195" s="36" t="s">
        <v>1656</v>
      </c>
      <c r="K3195" s="36" t="s">
        <v>1817</v>
      </c>
      <c r="L3195" s="36" t="s">
        <v>6585</v>
      </c>
      <c r="M3195" s="36" t="s">
        <v>6585</v>
      </c>
      <c r="N3195" s="36" t="s">
        <v>32</v>
      </c>
    </row>
    <row r="3196">
      <c r="A3196" s="36" t="s">
        <v>7120</v>
      </c>
      <c r="B3196" s="154" t="s">
        <v>7117</v>
      </c>
      <c r="C3196" s="36" t="s">
        <v>1666</v>
      </c>
      <c r="D3196" s="36" t="s">
        <v>92</v>
      </c>
      <c r="E3196" s="36" t="s">
        <v>92</v>
      </c>
      <c r="F3196" s="154" t="s">
        <v>7121</v>
      </c>
      <c r="G3196" s="36" t="s">
        <v>32</v>
      </c>
      <c r="H3196" s="36" t="s">
        <v>1655</v>
      </c>
      <c r="I3196" s="36" t="s">
        <v>1656</v>
      </c>
      <c r="J3196" s="36" t="s">
        <v>1656</v>
      </c>
      <c r="K3196" s="36" t="s">
        <v>1820</v>
      </c>
      <c r="L3196" s="36" t="s">
        <v>6585</v>
      </c>
      <c r="M3196" s="36" t="s">
        <v>6585</v>
      </c>
      <c r="N3196" s="36" t="s">
        <v>32</v>
      </c>
    </row>
    <row r="3197">
      <c r="A3197" s="36" t="s">
        <v>7122</v>
      </c>
      <c r="B3197" s="154" t="s">
        <v>7123</v>
      </c>
      <c r="C3197" s="36" t="s">
        <v>1666</v>
      </c>
      <c r="D3197" s="36" t="s">
        <v>639</v>
      </c>
      <c r="E3197" s="36" t="s">
        <v>639</v>
      </c>
      <c r="F3197" s="154" t="s">
        <v>7124</v>
      </c>
      <c r="G3197" s="36" t="s">
        <v>32</v>
      </c>
      <c r="H3197" s="36" t="s">
        <v>1655</v>
      </c>
      <c r="I3197" s="36" t="s">
        <v>1656</v>
      </c>
      <c r="J3197" s="36" t="s">
        <v>1656</v>
      </c>
      <c r="K3197" s="36" t="s">
        <v>1823</v>
      </c>
      <c r="L3197" s="36" t="s">
        <v>6585</v>
      </c>
      <c r="M3197" s="36" t="s">
        <v>6585</v>
      </c>
      <c r="N3197" s="36" t="s">
        <v>32</v>
      </c>
    </row>
    <row r="3198">
      <c r="A3198" s="36" t="s">
        <v>7125</v>
      </c>
      <c r="B3198" s="154" t="s">
        <v>7123</v>
      </c>
      <c r="C3198" s="36" t="s">
        <v>1666</v>
      </c>
      <c r="D3198" s="36" t="s">
        <v>92</v>
      </c>
      <c r="E3198" s="36" t="s">
        <v>92</v>
      </c>
      <c r="F3198" s="154" t="s">
        <v>1686</v>
      </c>
      <c r="G3198" s="36" t="s">
        <v>32</v>
      </c>
      <c r="H3198" s="36" t="s">
        <v>1655</v>
      </c>
      <c r="I3198" s="36" t="s">
        <v>1656</v>
      </c>
      <c r="J3198" s="36" t="s">
        <v>1656</v>
      </c>
      <c r="K3198" s="36" t="s">
        <v>1826</v>
      </c>
      <c r="L3198" s="36" t="s">
        <v>6585</v>
      </c>
      <c r="M3198" s="36" t="s">
        <v>6585</v>
      </c>
      <c r="N3198" s="36" t="s">
        <v>32</v>
      </c>
    </row>
    <row r="3199">
      <c r="A3199" s="36" t="s">
        <v>7126</v>
      </c>
      <c r="B3199" s="154" t="s">
        <v>7123</v>
      </c>
      <c r="C3199" s="36" t="s">
        <v>1666</v>
      </c>
      <c r="D3199" s="36" t="s">
        <v>648</v>
      </c>
      <c r="E3199" s="36" t="s">
        <v>648</v>
      </c>
      <c r="F3199" s="154" t="s">
        <v>7127</v>
      </c>
      <c r="G3199" s="36" t="s">
        <v>32</v>
      </c>
      <c r="H3199" s="36" t="s">
        <v>1655</v>
      </c>
      <c r="I3199" s="36" t="s">
        <v>1656</v>
      </c>
      <c r="J3199" s="36" t="s">
        <v>1656</v>
      </c>
      <c r="K3199" s="36" t="s">
        <v>1830</v>
      </c>
      <c r="L3199" s="36" t="s">
        <v>6585</v>
      </c>
      <c r="M3199" s="36" t="s">
        <v>6585</v>
      </c>
      <c r="N3199" s="36" t="s">
        <v>32</v>
      </c>
    </row>
    <row r="3200">
      <c r="A3200" s="36" t="s">
        <v>7128</v>
      </c>
      <c r="B3200" s="154" t="s">
        <v>7129</v>
      </c>
      <c r="C3200" s="36" t="s">
        <v>1666</v>
      </c>
      <c r="D3200" s="36" t="s">
        <v>654</v>
      </c>
      <c r="E3200" s="36" t="s">
        <v>654</v>
      </c>
      <c r="F3200" s="154" t="s">
        <v>2504</v>
      </c>
      <c r="G3200" s="36" t="s">
        <v>32</v>
      </c>
      <c r="H3200" s="36" t="s">
        <v>1655</v>
      </c>
      <c r="I3200" s="36" t="s">
        <v>1656</v>
      </c>
      <c r="J3200" s="36" t="s">
        <v>1656</v>
      </c>
      <c r="K3200" s="36" t="s">
        <v>1833</v>
      </c>
      <c r="L3200" s="36" t="s">
        <v>6585</v>
      </c>
      <c r="M3200" s="36" t="s">
        <v>6585</v>
      </c>
      <c r="N3200" s="36" t="s">
        <v>32</v>
      </c>
    </row>
    <row r="3201">
      <c r="A3201" s="36" t="s">
        <v>7130</v>
      </c>
      <c r="B3201" s="154" t="s">
        <v>7131</v>
      </c>
      <c r="C3201" s="36" t="s">
        <v>1666</v>
      </c>
      <c r="D3201" s="36" t="s">
        <v>659</v>
      </c>
      <c r="E3201" s="36" t="s">
        <v>659</v>
      </c>
      <c r="F3201" s="154" t="s">
        <v>6425</v>
      </c>
      <c r="G3201" s="36" t="s">
        <v>32</v>
      </c>
      <c r="H3201" s="36" t="s">
        <v>1655</v>
      </c>
      <c r="I3201" s="36" t="s">
        <v>1656</v>
      </c>
      <c r="J3201" s="36" t="s">
        <v>1656</v>
      </c>
      <c r="K3201" s="36" t="s">
        <v>1836</v>
      </c>
      <c r="L3201" s="36" t="s">
        <v>6585</v>
      </c>
      <c r="M3201" s="36" t="s">
        <v>6585</v>
      </c>
      <c r="N3201" s="36" t="s">
        <v>32</v>
      </c>
    </row>
    <row r="3202">
      <c r="A3202" s="36" t="s">
        <v>7132</v>
      </c>
      <c r="B3202" s="154" t="s">
        <v>7133</v>
      </c>
      <c r="C3202" s="36" t="s">
        <v>1666</v>
      </c>
      <c r="D3202" s="36" t="s">
        <v>313</v>
      </c>
      <c r="E3202" s="36" t="s">
        <v>313</v>
      </c>
      <c r="F3202" s="154" t="s">
        <v>1868</v>
      </c>
      <c r="G3202" s="36" t="s">
        <v>32</v>
      </c>
      <c r="H3202" s="36" t="s">
        <v>1655</v>
      </c>
      <c r="I3202" s="36" t="s">
        <v>1656</v>
      </c>
      <c r="J3202" s="36" t="s">
        <v>1656</v>
      </c>
      <c r="K3202" s="36" t="s">
        <v>1839</v>
      </c>
      <c r="L3202" s="36" t="s">
        <v>6585</v>
      </c>
      <c r="M3202" s="36" t="s">
        <v>6585</v>
      </c>
      <c r="N3202" s="36" t="s">
        <v>32</v>
      </c>
    </row>
    <row r="3203">
      <c r="A3203" s="36" t="s">
        <v>7134</v>
      </c>
      <c r="B3203" s="154" t="s">
        <v>7135</v>
      </c>
      <c r="C3203" s="36" t="s">
        <v>1666</v>
      </c>
      <c r="D3203" s="36" t="s">
        <v>100</v>
      </c>
      <c r="E3203" s="36" t="s">
        <v>100</v>
      </c>
      <c r="F3203" s="154" t="s">
        <v>1810</v>
      </c>
      <c r="G3203" s="36" t="s">
        <v>32</v>
      </c>
      <c r="H3203" s="36" t="s">
        <v>1655</v>
      </c>
      <c r="I3203" s="36" t="s">
        <v>1656</v>
      </c>
      <c r="J3203" s="36" t="s">
        <v>1656</v>
      </c>
      <c r="K3203" s="36" t="s">
        <v>1842</v>
      </c>
      <c r="L3203" s="36" t="s">
        <v>6585</v>
      </c>
      <c r="M3203" s="36" t="s">
        <v>6585</v>
      </c>
      <c r="N3203" s="36" t="s">
        <v>32</v>
      </c>
    </row>
    <row r="3204">
      <c r="A3204" s="36" t="s">
        <v>7136</v>
      </c>
      <c r="B3204" s="154" t="s">
        <v>7135</v>
      </c>
      <c r="C3204" s="36" t="s">
        <v>1666</v>
      </c>
      <c r="D3204" s="36" t="s">
        <v>7137</v>
      </c>
      <c r="E3204" s="36" t="s">
        <v>7137</v>
      </c>
      <c r="F3204" s="154" t="s">
        <v>7138</v>
      </c>
      <c r="G3204" s="36" t="s">
        <v>28</v>
      </c>
      <c r="H3204" s="36" t="s">
        <v>1655</v>
      </c>
      <c r="I3204" s="36" t="s">
        <v>1656</v>
      </c>
      <c r="J3204" s="36" t="s">
        <v>1656</v>
      </c>
      <c r="K3204" s="36" t="s">
        <v>1845</v>
      </c>
      <c r="L3204" s="36" t="s">
        <v>6585</v>
      </c>
      <c r="M3204" s="36" t="s">
        <v>6585</v>
      </c>
      <c r="N3204" s="36" t="s">
        <v>34</v>
      </c>
    </row>
    <row r="3205">
      <c r="A3205" s="36" t="s">
        <v>7139</v>
      </c>
      <c r="B3205" s="154" t="s">
        <v>7140</v>
      </c>
      <c r="C3205" s="36" t="s">
        <v>1666</v>
      </c>
      <c r="D3205" s="36" t="s">
        <v>677</v>
      </c>
      <c r="E3205" s="36" t="s">
        <v>677</v>
      </c>
      <c r="F3205" s="154" t="s">
        <v>7141</v>
      </c>
      <c r="G3205" s="36" t="s">
        <v>32</v>
      </c>
      <c r="H3205" s="36" t="s">
        <v>1655</v>
      </c>
      <c r="I3205" s="36" t="s">
        <v>1656</v>
      </c>
      <c r="J3205" s="36" t="s">
        <v>1656</v>
      </c>
      <c r="K3205" s="36" t="s">
        <v>1848</v>
      </c>
      <c r="L3205" s="36" t="s">
        <v>6585</v>
      </c>
      <c r="M3205" s="36" t="s">
        <v>6585</v>
      </c>
      <c r="N3205" s="36" t="s">
        <v>32</v>
      </c>
    </row>
    <row r="3206">
      <c r="A3206" s="36" t="s">
        <v>7142</v>
      </c>
      <c r="B3206" s="154" t="s">
        <v>7140</v>
      </c>
      <c r="C3206" s="36" t="s">
        <v>1666</v>
      </c>
      <c r="D3206" s="36" t="s">
        <v>677</v>
      </c>
      <c r="E3206" s="36" t="s">
        <v>677</v>
      </c>
      <c r="F3206" s="154" t="s">
        <v>7143</v>
      </c>
      <c r="G3206" s="36" t="s">
        <v>32</v>
      </c>
      <c r="H3206" s="36" t="s">
        <v>1655</v>
      </c>
      <c r="I3206" s="36" t="s">
        <v>1656</v>
      </c>
      <c r="J3206" s="36" t="s">
        <v>1656</v>
      </c>
      <c r="K3206" s="36" t="s">
        <v>1851</v>
      </c>
      <c r="L3206" s="36" t="s">
        <v>6585</v>
      </c>
      <c r="M3206" s="36" t="s">
        <v>6585</v>
      </c>
      <c r="N3206" s="36" t="s">
        <v>32</v>
      </c>
    </row>
    <row r="3207">
      <c r="A3207" s="36" t="s">
        <v>7144</v>
      </c>
      <c r="B3207" s="154" t="s">
        <v>7140</v>
      </c>
      <c r="C3207" s="36" t="s">
        <v>1666</v>
      </c>
      <c r="D3207" s="36" t="s">
        <v>210</v>
      </c>
      <c r="E3207" s="36" t="s">
        <v>210</v>
      </c>
      <c r="F3207" s="154" t="s">
        <v>1959</v>
      </c>
      <c r="G3207" s="36" t="s">
        <v>28</v>
      </c>
      <c r="H3207" s="36" t="s">
        <v>1655</v>
      </c>
      <c r="I3207" s="36" t="s">
        <v>1656</v>
      </c>
      <c r="J3207" s="36" t="s">
        <v>1656</v>
      </c>
      <c r="K3207" s="36" t="s">
        <v>1854</v>
      </c>
      <c r="L3207" s="36" t="s">
        <v>6585</v>
      </c>
      <c r="M3207" s="36" t="s">
        <v>6585</v>
      </c>
      <c r="N3207" s="36" t="s">
        <v>32</v>
      </c>
    </row>
    <row r="3208">
      <c r="A3208" s="36" t="s">
        <v>7145</v>
      </c>
      <c r="B3208" s="154" t="s">
        <v>7140</v>
      </c>
      <c r="C3208" s="36" t="s">
        <v>1666</v>
      </c>
      <c r="D3208" s="36" t="s">
        <v>683</v>
      </c>
      <c r="E3208" s="36" t="s">
        <v>683</v>
      </c>
      <c r="F3208" s="154" t="s">
        <v>2553</v>
      </c>
      <c r="G3208" s="36" t="s">
        <v>32</v>
      </c>
      <c r="H3208" s="36" t="s">
        <v>1655</v>
      </c>
      <c r="I3208" s="36" t="s">
        <v>1656</v>
      </c>
      <c r="J3208" s="36" t="s">
        <v>1656</v>
      </c>
      <c r="K3208" s="36" t="s">
        <v>1857</v>
      </c>
      <c r="L3208" s="36" t="s">
        <v>6585</v>
      </c>
      <c r="M3208" s="36" t="s">
        <v>6585</v>
      </c>
      <c r="N3208" s="36" t="s">
        <v>32</v>
      </c>
    </row>
    <row r="3209">
      <c r="A3209" s="36" t="s">
        <v>7146</v>
      </c>
      <c r="B3209" s="154" t="s">
        <v>7147</v>
      </c>
      <c r="C3209" s="36" t="s">
        <v>1666</v>
      </c>
      <c r="D3209" s="36" t="s">
        <v>130</v>
      </c>
      <c r="E3209" s="36" t="s">
        <v>130</v>
      </c>
      <c r="F3209" s="154" t="s">
        <v>1810</v>
      </c>
      <c r="G3209" s="36" t="s">
        <v>32</v>
      </c>
      <c r="H3209" s="36" t="s">
        <v>1655</v>
      </c>
      <c r="I3209" s="36" t="s">
        <v>1656</v>
      </c>
      <c r="J3209" s="36" t="s">
        <v>1656</v>
      </c>
      <c r="K3209" s="36" t="s">
        <v>1860</v>
      </c>
      <c r="L3209" s="36" t="s">
        <v>6585</v>
      </c>
      <c r="M3209" s="36" t="s">
        <v>6585</v>
      </c>
      <c r="N3209" s="36" t="s">
        <v>32</v>
      </c>
    </row>
    <row r="3210">
      <c r="A3210" s="36" t="s">
        <v>7148</v>
      </c>
      <c r="B3210" s="154" t="s">
        <v>7147</v>
      </c>
      <c r="C3210" s="36" t="s">
        <v>1666</v>
      </c>
      <c r="D3210" s="36" t="s">
        <v>686</v>
      </c>
      <c r="E3210" s="36" t="s">
        <v>686</v>
      </c>
      <c r="F3210" s="154" t="s">
        <v>5005</v>
      </c>
      <c r="G3210" s="36" t="s">
        <v>28</v>
      </c>
      <c r="H3210" s="36" t="s">
        <v>1655</v>
      </c>
      <c r="I3210" s="36" t="s">
        <v>1656</v>
      </c>
      <c r="J3210" s="36" t="s">
        <v>1656</v>
      </c>
      <c r="K3210" s="36" t="s">
        <v>1863</v>
      </c>
      <c r="L3210" s="36" t="s">
        <v>6585</v>
      </c>
      <c r="M3210" s="36" t="s">
        <v>6585</v>
      </c>
      <c r="N3210" s="36" t="s">
        <v>32</v>
      </c>
    </row>
    <row r="3211">
      <c r="A3211" s="36" t="s">
        <v>7149</v>
      </c>
      <c r="B3211" s="154" t="s">
        <v>7150</v>
      </c>
      <c r="C3211" s="36" t="s">
        <v>1666</v>
      </c>
      <c r="D3211" s="36" t="s">
        <v>688</v>
      </c>
      <c r="E3211" s="36" t="s">
        <v>688</v>
      </c>
      <c r="F3211" s="154" t="s">
        <v>2006</v>
      </c>
      <c r="G3211" s="36" t="s">
        <v>28</v>
      </c>
      <c r="H3211" s="36" t="s">
        <v>1655</v>
      </c>
      <c r="I3211" s="36" t="s">
        <v>1656</v>
      </c>
      <c r="J3211" s="36" t="s">
        <v>1656</v>
      </c>
      <c r="K3211" s="36" t="s">
        <v>1866</v>
      </c>
      <c r="L3211" s="36" t="s">
        <v>6585</v>
      </c>
      <c r="M3211" s="36" t="s">
        <v>6585</v>
      </c>
      <c r="N3211" s="36" t="s">
        <v>32</v>
      </c>
    </row>
    <row r="3212">
      <c r="A3212" s="36" t="s">
        <v>7151</v>
      </c>
      <c r="B3212" s="154" t="s">
        <v>7150</v>
      </c>
      <c r="C3212" s="36" t="s">
        <v>1666</v>
      </c>
      <c r="D3212" s="36" t="s">
        <v>690</v>
      </c>
      <c r="E3212" s="36" t="s">
        <v>690</v>
      </c>
      <c r="F3212" s="154" t="s">
        <v>1868</v>
      </c>
      <c r="G3212" s="36" t="s">
        <v>30</v>
      </c>
      <c r="H3212" s="36" t="s">
        <v>1655</v>
      </c>
      <c r="I3212" s="36" t="s">
        <v>1656</v>
      </c>
      <c r="J3212" s="36" t="s">
        <v>1656</v>
      </c>
      <c r="K3212" s="36" t="s">
        <v>1869</v>
      </c>
      <c r="L3212" s="36" t="s">
        <v>6585</v>
      </c>
      <c r="M3212" s="36" t="s">
        <v>6585</v>
      </c>
      <c r="N3212" s="36" t="s">
        <v>34</v>
      </c>
    </row>
    <row r="3213">
      <c r="A3213" s="36" t="s">
        <v>7152</v>
      </c>
      <c r="B3213" s="154" t="s">
        <v>7150</v>
      </c>
      <c r="C3213" s="36" t="s">
        <v>1666</v>
      </c>
      <c r="D3213" s="36" t="s">
        <v>693</v>
      </c>
      <c r="E3213" s="36" t="s">
        <v>693</v>
      </c>
      <c r="F3213" s="154" t="s">
        <v>5109</v>
      </c>
      <c r="G3213" s="36" t="s">
        <v>28</v>
      </c>
      <c r="H3213" s="36" t="s">
        <v>1655</v>
      </c>
      <c r="I3213" s="36" t="s">
        <v>1656</v>
      </c>
      <c r="J3213" s="36" t="s">
        <v>1656</v>
      </c>
      <c r="K3213" s="36" t="s">
        <v>1872</v>
      </c>
      <c r="L3213" s="36" t="s">
        <v>6585</v>
      </c>
      <c r="M3213" s="36" t="s">
        <v>6585</v>
      </c>
      <c r="N3213" s="36" t="s">
        <v>34</v>
      </c>
    </row>
    <row r="3214">
      <c r="A3214" s="36" t="s">
        <v>7153</v>
      </c>
      <c r="B3214" s="154" t="s">
        <v>7154</v>
      </c>
      <c r="C3214" s="36" t="s">
        <v>1666</v>
      </c>
      <c r="D3214" s="36" t="s">
        <v>79</v>
      </c>
      <c r="E3214" s="36" t="s">
        <v>79</v>
      </c>
      <c r="F3214" s="154" t="s">
        <v>6912</v>
      </c>
      <c r="G3214" s="36" t="s">
        <v>32</v>
      </c>
      <c r="H3214" s="36" t="s">
        <v>1655</v>
      </c>
      <c r="I3214" s="36" t="s">
        <v>1656</v>
      </c>
      <c r="J3214" s="36" t="s">
        <v>1656</v>
      </c>
      <c r="K3214" s="36" t="s">
        <v>1769</v>
      </c>
      <c r="L3214" s="36" t="s">
        <v>6585</v>
      </c>
      <c r="M3214" s="36" t="s">
        <v>6585</v>
      </c>
      <c r="N3214" s="36" t="s">
        <v>32</v>
      </c>
    </row>
    <row r="3215">
      <c r="A3215" s="36" t="s">
        <v>7155</v>
      </c>
      <c r="B3215" s="154" t="s">
        <v>7154</v>
      </c>
      <c r="C3215" s="36" t="s">
        <v>1666</v>
      </c>
      <c r="D3215" s="36" t="s">
        <v>81</v>
      </c>
      <c r="E3215" s="36" t="s">
        <v>81</v>
      </c>
      <c r="F3215" s="154" t="s">
        <v>6680</v>
      </c>
      <c r="G3215" s="36" t="s">
        <v>28</v>
      </c>
      <c r="H3215" s="36" t="s">
        <v>1655</v>
      </c>
      <c r="I3215" s="36" t="s">
        <v>1656</v>
      </c>
      <c r="J3215" s="36" t="s">
        <v>1656</v>
      </c>
      <c r="K3215" s="36" t="s">
        <v>1811</v>
      </c>
      <c r="L3215" s="36" t="s">
        <v>6585</v>
      </c>
      <c r="M3215" s="36" t="s">
        <v>6585</v>
      </c>
      <c r="N3215" s="36" t="s">
        <v>32</v>
      </c>
    </row>
    <row r="3216">
      <c r="A3216" s="36" t="s">
        <v>7156</v>
      </c>
      <c r="B3216" s="154" t="s">
        <v>7154</v>
      </c>
      <c r="C3216" s="36" t="s">
        <v>1666</v>
      </c>
      <c r="D3216" s="36" t="s">
        <v>83</v>
      </c>
      <c r="E3216" s="36" t="s">
        <v>83</v>
      </c>
      <c r="F3216" s="154" t="s">
        <v>7157</v>
      </c>
      <c r="G3216" s="36" t="s">
        <v>28</v>
      </c>
      <c r="H3216" s="36" t="s">
        <v>1655</v>
      </c>
      <c r="I3216" s="36" t="s">
        <v>1656</v>
      </c>
      <c r="J3216" s="36" t="s">
        <v>1656</v>
      </c>
      <c r="K3216" s="36" t="s">
        <v>1891</v>
      </c>
      <c r="L3216" s="36" t="s">
        <v>6585</v>
      </c>
      <c r="M3216" s="36" t="s">
        <v>6585</v>
      </c>
      <c r="N3216" s="36" t="s">
        <v>32</v>
      </c>
    </row>
    <row r="3217">
      <c r="A3217" s="36" t="s">
        <v>7158</v>
      </c>
      <c r="B3217" s="154" t="s">
        <v>7154</v>
      </c>
      <c r="C3217" s="36" t="s">
        <v>1666</v>
      </c>
      <c r="D3217" s="36" t="s">
        <v>84</v>
      </c>
      <c r="E3217" s="36" t="s">
        <v>84</v>
      </c>
      <c r="F3217" s="154" t="s">
        <v>7027</v>
      </c>
      <c r="G3217" s="36" t="s">
        <v>32</v>
      </c>
      <c r="H3217" s="36" t="s">
        <v>1655</v>
      </c>
      <c r="I3217" s="36" t="s">
        <v>1656</v>
      </c>
      <c r="J3217" s="36" t="s">
        <v>1656</v>
      </c>
      <c r="K3217" s="36" t="s">
        <v>1921</v>
      </c>
      <c r="L3217" s="36" t="s">
        <v>6585</v>
      </c>
      <c r="M3217" s="36" t="s">
        <v>6585</v>
      </c>
      <c r="N3217" s="36" t="s">
        <v>32</v>
      </c>
    </row>
    <row r="3218">
      <c r="A3218" s="36" t="s">
        <v>7159</v>
      </c>
      <c r="B3218" s="154" t="s">
        <v>7160</v>
      </c>
      <c r="C3218" s="36" t="s">
        <v>1666</v>
      </c>
      <c r="D3218" s="36" t="s">
        <v>93</v>
      </c>
      <c r="E3218" s="36" t="s">
        <v>93</v>
      </c>
      <c r="F3218" s="154" t="s">
        <v>1899</v>
      </c>
      <c r="G3218" s="36" t="s">
        <v>28</v>
      </c>
      <c r="H3218" s="36" t="s">
        <v>1655</v>
      </c>
      <c r="I3218" s="36" t="s">
        <v>1656</v>
      </c>
      <c r="J3218" s="36" t="s">
        <v>1656</v>
      </c>
      <c r="K3218" s="36" t="s">
        <v>1875</v>
      </c>
      <c r="L3218" s="36" t="s">
        <v>6585</v>
      </c>
      <c r="M3218" s="36" t="s">
        <v>6585</v>
      </c>
      <c r="N3218" s="36" t="s">
        <v>32</v>
      </c>
    </row>
    <row r="3219">
      <c r="A3219" s="36" t="s">
        <v>7161</v>
      </c>
      <c r="B3219" s="154" t="s">
        <v>7160</v>
      </c>
      <c r="C3219" s="36" t="s">
        <v>1666</v>
      </c>
      <c r="D3219" s="36" t="s">
        <v>696</v>
      </c>
      <c r="E3219" s="36" t="s">
        <v>696</v>
      </c>
      <c r="F3219" s="154" t="s">
        <v>3324</v>
      </c>
      <c r="G3219" s="36" t="s">
        <v>32</v>
      </c>
      <c r="H3219" s="36" t="s">
        <v>1655</v>
      </c>
      <c r="I3219" s="36" t="s">
        <v>1656</v>
      </c>
      <c r="J3219" s="36" t="s">
        <v>1656</v>
      </c>
      <c r="K3219" s="36" t="s">
        <v>1878</v>
      </c>
      <c r="L3219" s="36" t="s">
        <v>6585</v>
      </c>
      <c r="M3219" s="36" t="s">
        <v>6585</v>
      </c>
      <c r="N3219" s="36" t="s">
        <v>32</v>
      </c>
    </row>
    <row r="3220">
      <c r="A3220" s="36" t="s">
        <v>7162</v>
      </c>
      <c r="B3220" s="154" t="s">
        <v>7163</v>
      </c>
      <c r="C3220" s="36" t="s">
        <v>1653</v>
      </c>
      <c r="D3220" s="36" t="s">
        <v>43</v>
      </c>
      <c r="E3220" s="36" t="s">
        <v>39</v>
      </c>
      <c r="F3220" s="154" t="s">
        <v>7164</v>
      </c>
      <c r="G3220" s="36" t="s">
        <v>32</v>
      </c>
      <c r="H3220" s="36" t="s">
        <v>1655</v>
      </c>
      <c r="I3220" s="36" t="s">
        <v>1656</v>
      </c>
      <c r="J3220" s="36" t="s">
        <v>1656</v>
      </c>
      <c r="K3220" s="36" t="s">
        <v>1657</v>
      </c>
      <c r="L3220" s="36" t="s">
        <v>6583</v>
      </c>
      <c r="M3220" s="36" t="s">
        <v>6583</v>
      </c>
      <c r="N3220" s="36" t="s">
        <v>32</v>
      </c>
    </row>
    <row r="3221">
      <c r="A3221" s="36" t="s">
        <v>7165</v>
      </c>
      <c r="B3221" s="154" t="s">
        <v>7163</v>
      </c>
      <c r="C3221" s="36" t="s">
        <v>1653</v>
      </c>
      <c r="D3221" s="36" t="s">
        <v>425</v>
      </c>
      <c r="E3221" s="36" t="s">
        <v>39</v>
      </c>
      <c r="F3221" s="154" t="s">
        <v>7166</v>
      </c>
      <c r="G3221" s="36" t="s">
        <v>32</v>
      </c>
      <c r="H3221" s="36" t="s">
        <v>1655</v>
      </c>
      <c r="I3221" s="36" t="s">
        <v>1656</v>
      </c>
      <c r="J3221" s="36" t="s">
        <v>1656</v>
      </c>
      <c r="K3221" s="36" t="s">
        <v>1664</v>
      </c>
      <c r="L3221" s="36" t="s">
        <v>6583</v>
      </c>
      <c r="M3221" s="36" t="s">
        <v>6583</v>
      </c>
      <c r="N3221" s="36" t="s">
        <v>32</v>
      </c>
    </row>
    <row r="3222">
      <c r="A3222" s="36" t="s">
        <v>7167</v>
      </c>
      <c r="B3222" s="154" t="s">
        <v>7163</v>
      </c>
      <c r="C3222" s="36" t="s">
        <v>1666</v>
      </c>
      <c r="D3222" s="36" t="s">
        <v>85</v>
      </c>
      <c r="E3222" s="36" t="s">
        <v>85</v>
      </c>
      <c r="F3222" s="154" t="s">
        <v>7040</v>
      </c>
      <c r="G3222" s="36" t="s">
        <v>28</v>
      </c>
      <c r="H3222" s="36" t="s">
        <v>1655</v>
      </c>
      <c r="I3222" s="36" t="s">
        <v>1656</v>
      </c>
      <c r="J3222" s="36" t="s">
        <v>1656</v>
      </c>
      <c r="K3222" s="36" t="s">
        <v>3035</v>
      </c>
      <c r="L3222" s="36" t="s">
        <v>6585</v>
      </c>
      <c r="M3222" s="36" t="s">
        <v>6585</v>
      </c>
      <c r="N3222" s="36" t="s">
        <v>32</v>
      </c>
    </row>
    <row r="3223">
      <c r="A3223" s="36" t="s">
        <v>7168</v>
      </c>
      <c r="B3223" s="154" t="s">
        <v>7163</v>
      </c>
      <c r="C3223" s="36" t="s">
        <v>1666</v>
      </c>
      <c r="D3223" s="36" t="s">
        <v>439</v>
      </c>
      <c r="E3223" s="36" t="s">
        <v>439</v>
      </c>
      <c r="F3223" s="154" t="s">
        <v>7169</v>
      </c>
      <c r="G3223" s="36" t="s">
        <v>28</v>
      </c>
      <c r="H3223" s="36" t="s">
        <v>1655</v>
      </c>
      <c r="I3223" s="36" t="s">
        <v>1656</v>
      </c>
      <c r="J3223" s="36" t="s">
        <v>1656</v>
      </c>
      <c r="K3223" s="36" t="s">
        <v>3038</v>
      </c>
      <c r="L3223" s="36" t="s">
        <v>6585</v>
      </c>
      <c r="M3223" s="36" t="s">
        <v>6585</v>
      </c>
      <c r="N3223" s="36" t="s">
        <v>32</v>
      </c>
    </row>
    <row r="3224">
      <c r="A3224" s="36" t="s">
        <v>7170</v>
      </c>
      <c r="B3224" s="154" t="s">
        <v>7163</v>
      </c>
      <c r="C3224" s="36" t="s">
        <v>1666</v>
      </c>
      <c r="D3224" s="36" t="s">
        <v>449</v>
      </c>
      <c r="E3224" s="36" t="s">
        <v>449</v>
      </c>
      <c r="F3224" s="154" t="s">
        <v>6928</v>
      </c>
      <c r="G3224" s="36" t="s">
        <v>28</v>
      </c>
      <c r="H3224" s="36" t="s">
        <v>1655</v>
      </c>
      <c r="I3224" s="36" t="s">
        <v>1656</v>
      </c>
      <c r="J3224" s="36" t="s">
        <v>1656</v>
      </c>
      <c r="K3224" s="36" t="s">
        <v>2775</v>
      </c>
      <c r="L3224" s="36" t="s">
        <v>6585</v>
      </c>
      <c r="M3224" s="36" t="s">
        <v>6585</v>
      </c>
      <c r="N3224" s="36" t="s">
        <v>32</v>
      </c>
    </row>
    <row r="3225">
      <c r="A3225" s="36" t="s">
        <v>7171</v>
      </c>
      <c r="B3225" s="154" t="s">
        <v>7172</v>
      </c>
      <c r="C3225" s="36" t="s">
        <v>1666</v>
      </c>
      <c r="D3225" s="36" t="s">
        <v>78</v>
      </c>
      <c r="E3225" s="36" t="s">
        <v>78</v>
      </c>
      <c r="F3225" s="154" t="s">
        <v>2027</v>
      </c>
      <c r="G3225" s="36" t="s">
        <v>28</v>
      </c>
      <c r="H3225" s="36" t="s">
        <v>1655</v>
      </c>
      <c r="I3225" s="36" t="s">
        <v>1656</v>
      </c>
      <c r="J3225" s="36" t="s">
        <v>1656</v>
      </c>
      <c r="K3225" s="36" t="s">
        <v>4248</v>
      </c>
      <c r="L3225" s="36" t="s">
        <v>6585</v>
      </c>
      <c r="M3225" s="36" t="s">
        <v>6585</v>
      </c>
      <c r="N3225" s="36" t="s">
        <v>32</v>
      </c>
    </row>
    <row r="3226">
      <c r="A3226" s="36" t="s">
        <v>7173</v>
      </c>
      <c r="B3226" s="154" t="s">
        <v>7172</v>
      </c>
      <c r="C3226" s="36" t="s">
        <v>1666</v>
      </c>
      <c r="D3226" s="36" t="s">
        <v>92</v>
      </c>
      <c r="E3226" s="36" t="s">
        <v>92</v>
      </c>
      <c r="F3226" s="154" t="s">
        <v>1959</v>
      </c>
      <c r="G3226" s="36" t="s">
        <v>32</v>
      </c>
      <c r="H3226" s="36" t="s">
        <v>1655</v>
      </c>
      <c r="I3226" s="36" t="s">
        <v>1656</v>
      </c>
      <c r="J3226" s="36" t="s">
        <v>1656</v>
      </c>
      <c r="K3226" s="36" t="s">
        <v>1672</v>
      </c>
      <c r="L3226" s="36" t="s">
        <v>6585</v>
      </c>
      <c r="M3226" s="36" t="s">
        <v>6585</v>
      </c>
      <c r="N3226" s="36" t="s">
        <v>32</v>
      </c>
    </row>
    <row r="3227">
      <c r="A3227" s="36" t="s">
        <v>7174</v>
      </c>
      <c r="B3227" s="154" t="s">
        <v>7172</v>
      </c>
      <c r="C3227" s="36" t="s">
        <v>1666</v>
      </c>
      <c r="D3227" s="36" t="s">
        <v>210</v>
      </c>
      <c r="E3227" s="36" t="s">
        <v>210</v>
      </c>
      <c r="F3227" s="154" t="s">
        <v>1832</v>
      </c>
      <c r="G3227" s="36" t="s">
        <v>28</v>
      </c>
      <c r="H3227" s="36" t="s">
        <v>1655</v>
      </c>
      <c r="I3227" s="36" t="s">
        <v>1656</v>
      </c>
      <c r="J3227" s="36" t="s">
        <v>1656</v>
      </c>
      <c r="K3227" s="36" t="s">
        <v>1675</v>
      </c>
      <c r="L3227" s="36" t="s">
        <v>6585</v>
      </c>
      <c r="M3227" s="36" t="s">
        <v>6585</v>
      </c>
      <c r="N3227" s="36" t="s">
        <v>32</v>
      </c>
    </row>
    <row r="3228">
      <c r="A3228" s="36" t="s">
        <v>7175</v>
      </c>
      <c r="B3228" s="154" t="s">
        <v>7172</v>
      </c>
      <c r="C3228" s="36" t="s">
        <v>1666</v>
      </c>
      <c r="D3228" s="36" t="s">
        <v>234</v>
      </c>
      <c r="E3228" s="36" t="s">
        <v>234</v>
      </c>
      <c r="F3228" s="154" t="s">
        <v>1832</v>
      </c>
      <c r="G3228" s="36" t="s">
        <v>32</v>
      </c>
      <c r="H3228" s="36" t="s">
        <v>1655</v>
      </c>
      <c r="I3228" s="36" t="s">
        <v>1656</v>
      </c>
      <c r="J3228" s="36" t="s">
        <v>1656</v>
      </c>
      <c r="K3228" s="36" t="s">
        <v>1678</v>
      </c>
      <c r="L3228" s="36" t="s">
        <v>6585</v>
      </c>
      <c r="M3228" s="36" t="s">
        <v>6585</v>
      </c>
      <c r="N3228" s="36" t="s">
        <v>32</v>
      </c>
    </row>
    <row r="3229">
      <c r="A3229" s="36" t="s">
        <v>7176</v>
      </c>
      <c r="B3229" s="154" t="s">
        <v>7172</v>
      </c>
      <c r="C3229" s="36" t="s">
        <v>1666</v>
      </c>
      <c r="D3229" s="36" t="s">
        <v>472</v>
      </c>
      <c r="E3229" s="36" t="s">
        <v>472</v>
      </c>
      <c r="F3229" s="154" t="s">
        <v>7177</v>
      </c>
      <c r="G3229" s="36" t="s">
        <v>32</v>
      </c>
      <c r="H3229" s="36" t="s">
        <v>1655</v>
      </c>
      <c r="I3229" s="36" t="s">
        <v>1656</v>
      </c>
      <c r="J3229" s="36" t="s">
        <v>1656</v>
      </c>
      <c r="K3229" s="36" t="s">
        <v>1681</v>
      </c>
      <c r="L3229" s="36" t="s">
        <v>6585</v>
      </c>
      <c r="M3229" s="36" t="s">
        <v>6585</v>
      </c>
      <c r="N3229" s="36" t="s">
        <v>32</v>
      </c>
    </row>
    <row r="3230">
      <c r="A3230" s="36" t="s">
        <v>7178</v>
      </c>
      <c r="B3230" s="154" t="s">
        <v>7179</v>
      </c>
      <c r="C3230" s="36" t="s">
        <v>1666</v>
      </c>
      <c r="D3230" s="36" t="s">
        <v>63</v>
      </c>
      <c r="E3230" s="36" t="s">
        <v>63</v>
      </c>
      <c r="F3230" s="154" t="s">
        <v>7180</v>
      </c>
      <c r="G3230" s="36" t="s">
        <v>32</v>
      </c>
      <c r="H3230" s="36" t="s">
        <v>1655</v>
      </c>
      <c r="I3230" s="36" t="s">
        <v>1656</v>
      </c>
      <c r="J3230" s="36" t="s">
        <v>1656</v>
      </c>
      <c r="K3230" s="36" t="s">
        <v>4196</v>
      </c>
      <c r="L3230" s="36" t="s">
        <v>6585</v>
      </c>
      <c r="M3230" s="36" t="s">
        <v>6585</v>
      </c>
      <c r="N3230" s="36" t="s">
        <v>34</v>
      </c>
    </row>
    <row r="3231">
      <c r="A3231" s="36" t="s">
        <v>7181</v>
      </c>
      <c r="B3231" s="154" t="s">
        <v>7182</v>
      </c>
      <c r="C3231" s="36" t="s">
        <v>1666</v>
      </c>
      <c r="D3231" s="36" t="s">
        <v>64</v>
      </c>
      <c r="E3231" s="36" t="s">
        <v>64</v>
      </c>
      <c r="F3231" s="154" t="s">
        <v>3867</v>
      </c>
      <c r="G3231" s="36" t="s">
        <v>28</v>
      </c>
      <c r="H3231" s="36" t="s">
        <v>1655</v>
      </c>
      <c r="I3231" s="36" t="s">
        <v>1656</v>
      </c>
      <c r="J3231" s="36" t="s">
        <v>1656</v>
      </c>
      <c r="K3231" s="36" t="s">
        <v>1708</v>
      </c>
      <c r="L3231" s="36" t="s">
        <v>6585</v>
      </c>
      <c r="M3231" s="36" t="s">
        <v>6585</v>
      </c>
      <c r="N3231" s="36" t="s">
        <v>32</v>
      </c>
    </row>
    <row r="3232">
      <c r="A3232" s="36" t="s">
        <v>7183</v>
      </c>
      <c r="B3232" s="154" t="s">
        <v>7182</v>
      </c>
      <c r="C3232" s="36" t="s">
        <v>1666</v>
      </c>
      <c r="D3232" s="36" t="s">
        <v>475</v>
      </c>
      <c r="E3232" s="36" t="s">
        <v>475</v>
      </c>
      <c r="F3232" s="154" t="s">
        <v>6081</v>
      </c>
      <c r="G3232" s="36" t="s">
        <v>32</v>
      </c>
      <c r="H3232" s="36" t="s">
        <v>1655</v>
      </c>
      <c r="I3232" s="36" t="s">
        <v>1656</v>
      </c>
      <c r="J3232" s="36" t="s">
        <v>1656</v>
      </c>
      <c r="K3232" s="36" t="s">
        <v>1684</v>
      </c>
      <c r="L3232" s="36" t="s">
        <v>6585</v>
      </c>
      <c r="M3232" s="36" t="s">
        <v>6585</v>
      </c>
      <c r="N3232" s="36" t="s">
        <v>34</v>
      </c>
    </row>
    <row r="3233">
      <c r="A3233" s="36" t="s">
        <v>7184</v>
      </c>
      <c r="B3233" s="154" t="s">
        <v>7182</v>
      </c>
      <c r="C3233" s="36" t="s">
        <v>1666</v>
      </c>
      <c r="D3233" s="36" t="s">
        <v>477</v>
      </c>
      <c r="E3233" s="36" t="s">
        <v>477</v>
      </c>
      <c r="F3233" s="154" t="s">
        <v>1768</v>
      </c>
      <c r="G3233" s="36" t="s">
        <v>28</v>
      </c>
      <c r="H3233" s="36" t="s">
        <v>1655</v>
      </c>
      <c r="I3233" s="36" t="s">
        <v>1656</v>
      </c>
      <c r="J3233" s="36" t="s">
        <v>1656</v>
      </c>
      <c r="K3233" s="36" t="s">
        <v>1691</v>
      </c>
      <c r="L3233" s="36" t="s">
        <v>6585</v>
      </c>
      <c r="M3233" s="36" t="s">
        <v>6585</v>
      </c>
      <c r="N3233" s="36" t="s">
        <v>34</v>
      </c>
    </row>
    <row r="3234">
      <c r="A3234" s="36" t="s">
        <v>7185</v>
      </c>
      <c r="B3234" s="154" t="s">
        <v>7182</v>
      </c>
      <c r="C3234" s="36" t="s">
        <v>1666</v>
      </c>
      <c r="D3234" s="36" t="s">
        <v>109</v>
      </c>
      <c r="E3234" s="36" t="s">
        <v>109</v>
      </c>
      <c r="F3234" s="154" t="s">
        <v>1966</v>
      </c>
      <c r="G3234" s="36" t="s">
        <v>28</v>
      </c>
      <c r="H3234" s="36" t="s">
        <v>1655</v>
      </c>
      <c r="I3234" s="36" t="s">
        <v>1656</v>
      </c>
      <c r="J3234" s="36" t="s">
        <v>1656</v>
      </c>
      <c r="K3234" s="36" t="s">
        <v>1695</v>
      </c>
      <c r="L3234" s="36" t="s">
        <v>6585</v>
      </c>
      <c r="M3234" s="36" t="s">
        <v>6585</v>
      </c>
      <c r="N3234" s="36" t="s">
        <v>34</v>
      </c>
    </row>
    <row r="3235">
      <c r="A3235" s="36" t="s">
        <v>7186</v>
      </c>
      <c r="B3235" s="154" t="s">
        <v>7182</v>
      </c>
      <c r="C3235" s="36" t="s">
        <v>1666</v>
      </c>
      <c r="D3235" s="36" t="s">
        <v>489</v>
      </c>
      <c r="E3235" s="36" t="s">
        <v>489</v>
      </c>
      <c r="F3235" s="154" t="s">
        <v>7187</v>
      </c>
      <c r="G3235" s="36" t="s">
        <v>32</v>
      </c>
      <c r="H3235" s="36" t="s">
        <v>1655</v>
      </c>
      <c r="I3235" s="36" t="s">
        <v>1656</v>
      </c>
      <c r="J3235" s="36" t="s">
        <v>1656</v>
      </c>
      <c r="K3235" s="36" t="s">
        <v>1698</v>
      </c>
      <c r="L3235" s="36" t="s">
        <v>6585</v>
      </c>
      <c r="M3235" s="36" t="s">
        <v>6585</v>
      </c>
      <c r="N3235" s="36" t="s">
        <v>32</v>
      </c>
    </row>
    <row r="3236">
      <c r="A3236" s="36" t="s">
        <v>7188</v>
      </c>
      <c r="B3236" s="154" t="s">
        <v>7182</v>
      </c>
      <c r="C3236" s="36" t="s">
        <v>1666</v>
      </c>
      <c r="D3236" s="36" t="s">
        <v>496</v>
      </c>
      <c r="E3236" s="36" t="s">
        <v>496</v>
      </c>
      <c r="F3236" s="154" t="s">
        <v>3062</v>
      </c>
      <c r="G3236" s="36" t="s">
        <v>32</v>
      </c>
      <c r="H3236" s="36" t="s">
        <v>1655</v>
      </c>
      <c r="I3236" s="36" t="s">
        <v>1656</v>
      </c>
      <c r="J3236" s="36" t="s">
        <v>1656</v>
      </c>
      <c r="K3236" s="36" t="s">
        <v>1701</v>
      </c>
      <c r="L3236" s="36" t="s">
        <v>6585</v>
      </c>
      <c r="M3236" s="36" t="s">
        <v>6585</v>
      </c>
      <c r="N3236" s="36" t="s">
        <v>32</v>
      </c>
    </row>
    <row r="3237">
      <c r="A3237" s="36" t="s">
        <v>7189</v>
      </c>
      <c r="B3237" s="154" t="s">
        <v>7182</v>
      </c>
      <c r="C3237" s="36" t="s">
        <v>1666</v>
      </c>
      <c r="D3237" s="36" t="s">
        <v>234</v>
      </c>
      <c r="E3237" s="36" t="s">
        <v>234</v>
      </c>
      <c r="F3237" s="154" t="s">
        <v>1959</v>
      </c>
      <c r="G3237" s="36" t="s">
        <v>32</v>
      </c>
      <c r="H3237" s="36" t="s">
        <v>1655</v>
      </c>
      <c r="I3237" s="36" t="s">
        <v>1656</v>
      </c>
      <c r="J3237" s="36" t="s">
        <v>1656</v>
      </c>
      <c r="K3237" s="36" t="s">
        <v>1704</v>
      </c>
      <c r="L3237" s="36" t="s">
        <v>6585</v>
      </c>
      <c r="M3237" s="36" t="s">
        <v>6585</v>
      </c>
      <c r="N3237" s="36" t="s">
        <v>32</v>
      </c>
    </row>
    <row r="3238">
      <c r="A3238" s="36" t="s">
        <v>7190</v>
      </c>
      <c r="B3238" s="154" t="s">
        <v>7182</v>
      </c>
      <c r="C3238" s="36" t="s">
        <v>1666</v>
      </c>
      <c r="D3238" s="36" t="s">
        <v>472</v>
      </c>
      <c r="E3238" s="36" t="s">
        <v>472</v>
      </c>
      <c r="F3238" s="154" t="s">
        <v>7191</v>
      </c>
      <c r="G3238" s="36" t="s">
        <v>32</v>
      </c>
      <c r="H3238" s="36" t="s">
        <v>1655</v>
      </c>
      <c r="I3238" s="36" t="s">
        <v>1656</v>
      </c>
      <c r="J3238" s="36" t="s">
        <v>1656</v>
      </c>
      <c r="K3238" s="36" t="s">
        <v>1711</v>
      </c>
      <c r="L3238" s="36" t="s">
        <v>6585</v>
      </c>
      <c r="M3238" s="36" t="s">
        <v>6585</v>
      </c>
      <c r="N3238" s="36" t="s">
        <v>32</v>
      </c>
    </row>
    <row r="3239">
      <c r="A3239" s="36" t="s">
        <v>7192</v>
      </c>
      <c r="B3239" s="154" t="s">
        <v>7182</v>
      </c>
      <c r="C3239" s="36" t="s">
        <v>1666</v>
      </c>
      <c r="D3239" s="36" t="s">
        <v>508</v>
      </c>
      <c r="E3239" s="36" t="s">
        <v>508</v>
      </c>
      <c r="F3239" s="154" t="s">
        <v>3324</v>
      </c>
      <c r="G3239" s="36" t="s">
        <v>32</v>
      </c>
      <c r="H3239" s="36" t="s">
        <v>1655</v>
      </c>
      <c r="I3239" s="36" t="s">
        <v>1656</v>
      </c>
      <c r="J3239" s="36" t="s">
        <v>1656</v>
      </c>
      <c r="K3239" s="36" t="s">
        <v>1715</v>
      </c>
      <c r="L3239" s="36" t="s">
        <v>6585</v>
      </c>
      <c r="M3239" s="36" t="s">
        <v>6585</v>
      </c>
      <c r="N3239" s="36" t="s">
        <v>32</v>
      </c>
    </row>
    <row r="3240">
      <c r="A3240" s="36" t="s">
        <v>7193</v>
      </c>
      <c r="B3240" s="154" t="s">
        <v>7194</v>
      </c>
      <c r="C3240" s="36" t="s">
        <v>1653</v>
      </c>
      <c r="D3240" s="36" t="s">
        <v>419</v>
      </c>
      <c r="E3240" s="36" t="s">
        <v>39</v>
      </c>
      <c r="F3240" s="154" t="s">
        <v>7195</v>
      </c>
      <c r="G3240" s="36" t="s">
        <v>32</v>
      </c>
      <c r="H3240" s="36" t="s">
        <v>1655</v>
      </c>
      <c r="I3240" s="36" t="s">
        <v>1656</v>
      </c>
      <c r="J3240" s="36" t="s">
        <v>1656</v>
      </c>
      <c r="K3240" s="36" t="s">
        <v>1978</v>
      </c>
      <c r="L3240" s="36" t="s">
        <v>6583</v>
      </c>
      <c r="M3240" s="36" t="s">
        <v>6583</v>
      </c>
      <c r="N3240" s="36" t="s">
        <v>32</v>
      </c>
    </row>
    <row r="3241">
      <c r="A3241" s="36" t="s">
        <v>7196</v>
      </c>
      <c r="B3241" s="154" t="s">
        <v>7194</v>
      </c>
      <c r="C3241" s="36" t="s">
        <v>1666</v>
      </c>
      <c r="D3241" s="36" t="s">
        <v>514</v>
      </c>
      <c r="E3241" s="36" t="s">
        <v>514</v>
      </c>
      <c r="F3241" s="154" t="s">
        <v>1959</v>
      </c>
      <c r="G3241" s="36" t="s">
        <v>28</v>
      </c>
      <c r="H3241" s="36" t="s">
        <v>1655</v>
      </c>
      <c r="I3241" s="36" t="s">
        <v>1656</v>
      </c>
      <c r="J3241" s="36" t="s">
        <v>1656</v>
      </c>
      <c r="K3241" s="36" t="s">
        <v>1717</v>
      </c>
      <c r="L3241" s="36" t="s">
        <v>6585</v>
      </c>
      <c r="M3241" s="36" t="s">
        <v>6585</v>
      </c>
      <c r="N3241" s="36" t="s">
        <v>34</v>
      </c>
    </row>
    <row r="3242">
      <c r="A3242" s="36" t="s">
        <v>7197</v>
      </c>
      <c r="B3242" s="154" t="s">
        <v>7194</v>
      </c>
      <c r="C3242" s="36" t="s">
        <v>1666</v>
      </c>
      <c r="D3242" s="36" t="s">
        <v>92</v>
      </c>
      <c r="E3242" s="36" t="s">
        <v>92</v>
      </c>
      <c r="F3242" s="154" t="s">
        <v>1816</v>
      </c>
      <c r="G3242" s="36" t="s">
        <v>32</v>
      </c>
      <c r="H3242" s="36" t="s">
        <v>1655</v>
      </c>
      <c r="I3242" s="36" t="s">
        <v>1656</v>
      </c>
      <c r="J3242" s="36" t="s">
        <v>1656</v>
      </c>
      <c r="K3242" s="36" t="s">
        <v>1724</v>
      </c>
      <c r="L3242" s="36" t="s">
        <v>6585</v>
      </c>
      <c r="M3242" s="36" t="s">
        <v>6585</v>
      </c>
      <c r="N3242" s="36" t="s">
        <v>32</v>
      </c>
    </row>
    <row r="3243">
      <c r="A3243" s="36" t="s">
        <v>7198</v>
      </c>
      <c r="B3243" s="154" t="s">
        <v>7199</v>
      </c>
      <c r="C3243" s="36" t="s">
        <v>1666</v>
      </c>
      <c r="D3243" s="36" t="s">
        <v>191</v>
      </c>
      <c r="E3243" s="36" t="s">
        <v>191</v>
      </c>
      <c r="F3243" s="154" t="s">
        <v>1816</v>
      </c>
      <c r="G3243" s="36" t="s">
        <v>32</v>
      </c>
      <c r="H3243" s="36" t="s">
        <v>1655</v>
      </c>
      <c r="I3243" s="36" t="s">
        <v>1656</v>
      </c>
      <c r="J3243" s="36" t="s">
        <v>1656</v>
      </c>
      <c r="K3243" s="36" t="s">
        <v>1727</v>
      </c>
      <c r="L3243" s="36" t="s">
        <v>6585</v>
      </c>
      <c r="M3243" s="36" t="s">
        <v>6585</v>
      </c>
      <c r="N3243" s="36" t="s">
        <v>32</v>
      </c>
    </row>
    <row r="3244">
      <c r="A3244" s="36" t="s">
        <v>7200</v>
      </c>
      <c r="B3244" s="154" t="s">
        <v>7199</v>
      </c>
      <c r="C3244" s="36" t="s">
        <v>1666</v>
      </c>
      <c r="D3244" s="36" t="s">
        <v>288</v>
      </c>
      <c r="E3244" s="36" t="s">
        <v>288</v>
      </c>
      <c r="F3244" s="154" t="s">
        <v>2006</v>
      </c>
      <c r="G3244" s="36" t="s">
        <v>32</v>
      </c>
      <c r="H3244" s="36" t="s">
        <v>1655</v>
      </c>
      <c r="I3244" s="36" t="s">
        <v>1656</v>
      </c>
      <c r="J3244" s="36" t="s">
        <v>1656</v>
      </c>
      <c r="K3244" s="36" t="s">
        <v>1730</v>
      </c>
      <c r="L3244" s="36" t="s">
        <v>6585</v>
      </c>
      <c r="M3244" s="36" t="s">
        <v>6585</v>
      </c>
      <c r="N3244" s="36" t="s">
        <v>32</v>
      </c>
    </row>
    <row r="3245">
      <c r="A3245" s="36" t="s">
        <v>7201</v>
      </c>
      <c r="B3245" s="154" t="s">
        <v>7202</v>
      </c>
      <c r="C3245" s="36" t="s">
        <v>1666</v>
      </c>
      <c r="D3245" s="36" t="s">
        <v>66</v>
      </c>
      <c r="E3245" s="36" t="s">
        <v>66</v>
      </c>
      <c r="F3245" s="154" t="s">
        <v>7065</v>
      </c>
      <c r="G3245" s="36" t="s">
        <v>28</v>
      </c>
      <c r="H3245" s="36" t="s">
        <v>1655</v>
      </c>
      <c r="I3245" s="36" t="s">
        <v>1656</v>
      </c>
      <c r="J3245" s="36" t="s">
        <v>1656</v>
      </c>
      <c r="K3245" s="36" t="s">
        <v>1721</v>
      </c>
      <c r="L3245" s="36" t="s">
        <v>6585</v>
      </c>
      <c r="M3245" s="36" t="s">
        <v>6585</v>
      </c>
      <c r="N3245" s="36" t="s">
        <v>32</v>
      </c>
    </row>
    <row r="3246">
      <c r="A3246" s="36" t="s">
        <v>7203</v>
      </c>
      <c r="B3246" s="154" t="s">
        <v>7204</v>
      </c>
      <c r="C3246" s="36" t="s">
        <v>1653</v>
      </c>
      <c r="D3246" s="36" t="s">
        <v>55</v>
      </c>
      <c r="E3246" s="36" t="s">
        <v>39</v>
      </c>
      <c r="F3246" s="154" t="s">
        <v>7205</v>
      </c>
      <c r="G3246" s="36" t="s">
        <v>32</v>
      </c>
      <c r="H3246" s="36" t="s">
        <v>1655</v>
      </c>
      <c r="I3246" s="36" t="s">
        <v>1656</v>
      </c>
      <c r="J3246" s="36" t="s">
        <v>1656</v>
      </c>
      <c r="K3246" s="36" t="s">
        <v>1989</v>
      </c>
      <c r="L3246" s="36" t="s">
        <v>6583</v>
      </c>
      <c r="M3246" s="36" t="s">
        <v>6583</v>
      </c>
      <c r="N3246" s="36" t="s">
        <v>32</v>
      </c>
    </row>
    <row r="3247">
      <c r="A3247" s="36" t="s">
        <v>7206</v>
      </c>
      <c r="B3247" s="154" t="s">
        <v>7204</v>
      </c>
      <c r="C3247" s="36" t="s">
        <v>1666</v>
      </c>
      <c r="D3247" s="36" t="s">
        <v>71</v>
      </c>
      <c r="E3247" s="36" t="s">
        <v>71</v>
      </c>
      <c r="F3247" s="154" t="s">
        <v>6736</v>
      </c>
      <c r="G3247" s="36" t="s">
        <v>32</v>
      </c>
      <c r="H3247" s="36" t="s">
        <v>1655</v>
      </c>
      <c r="I3247" s="36" t="s">
        <v>1656</v>
      </c>
      <c r="J3247" s="36" t="s">
        <v>1656</v>
      </c>
      <c r="K3247" s="36" t="s">
        <v>1752</v>
      </c>
      <c r="L3247" s="36" t="s">
        <v>6585</v>
      </c>
      <c r="M3247" s="36" t="s">
        <v>6585</v>
      </c>
      <c r="N3247" s="36" t="s">
        <v>32</v>
      </c>
    </row>
    <row r="3248">
      <c r="A3248" s="36" t="s">
        <v>7207</v>
      </c>
      <c r="B3248" s="154" t="s">
        <v>7204</v>
      </c>
      <c r="C3248" s="36" t="s">
        <v>1666</v>
      </c>
      <c r="D3248" s="36" t="s">
        <v>73</v>
      </c>
      <c r="E3248" s="36" t="s">
        <v>73</v>
      </c>
      <c r="F3248" s="154" t="s">
        <v>6738</v>
      </c>
      <c r="G3248" s="36" t="s">
        <v>28</v>
      </c>
      <c r="H3248" s="36" t="s">
        <v>1655</v>
      </c>
      <c r="I3248" s="36" t="s">
        <v>1656</v>
      </c>
      <c r="J3248" s="36" t="s">
        <v>1656</v>
      </c>
      <c r="K3248" s="36" t="s">
        <v>1755</v>
      </c>
      <c r="L3248" s="36" t="s">
        <v>6585</v>
      </c>
      <c r="M3248" s="36" t="s">
        <v>6585</v>
      </c>
      <c r="N3248" s="36" t="s">
        <v>32</v>
      </c>
    </row>
    <row r="3249">
      <c r="A3249" s="36" t="s">
        <v>7208</v>
      </c>
      <c r="B3249" s="154" t="s">
        <v>7204</v>
      </c>
      <c r="C3249" s="36" t="s">
        <v>1666</v>
      </c>
      <c r="D3249" s="36" t="s">
        <v>74</v>
      </c>
      <c r="E3249" s="36" t="s">
        <v>74</v>
      </c>
      <c r="F3249" s="154" t="s">
        <v>6740</v>
      </c>
      <c r="G3249" s="36" t="s">
        <v>32</v>
      </c>
      <c r="H3249" s="36" t="s">
        <v>1655</v>
      </c>
      <c r="I3249" s="36" t="s">
        <v>1656</v>
      </c>
      <c r="J3249" s="36" t="s">
        <v>1656</v>
      </c>
      <c r="K3249" s="36" t="s">
        <v>1757</v>
      </c>
      <c r="L3249" s="36" t="s">
        <v>6585</v>
      </c>
      <c r="M3249" s="36" t="s">
        <v>6585</v>
      </c>
      <c r="N3249" s="36" t="s">
        <v>32</v>
      </c>
    </row>
    <row r="3250">
      <c r="A3250" s="36" t="s">
        <v>7209</v>
      </c>
      <c r="B3250" s="154" t="s">
        <v>7204</v>
      </c>
      <c r="C3250" s="36" t="s">
        <v>1666</v>
      </c>
      <c r="D3250" s="36" t="s">
        <v>75</v>
      </c>
      <c r="E3250" s="36" t="s">
        <v>75</v>
      </c>
      <c r="F3250" s="154" t="s">
        <v>6742</v>
      </c>
      <c r="G3250" s="36" t="s">
        <v>28</v>
      </c>
      <c r="H3250" s="36" t="s">
        <v>1655</v>
      </c>
      <c r="I3250" s="36" t="s">
        <v>1656</v>
      </c>
      <c r="J3250" s="36" t="s">
        <v>1656</v>
      </c>
      <c r="K3250" s="36" t="s">
        <v>1760</v>
      </c>
      <c r="L3250" s="36" t="s">
        <v>6585</v>
      </c>
      <c r="M3250" s="36" t="s">
        <v>6585</v>
      </c>
      <c r="N3250" s="36" t="s">
        <v>32</v>
      </c>
    </row>
    <row r="3251">
      <c r="A3251" s="36" t="s">
        <v>7210</v>
      </c>
      <c r="B3251" s="154" t="s">
        <v>7204</v>
      </c>
      <c r="C3251" s="36" t="s">
        <v>1666</v>
      </c>
      <c r="D3251" s="36" t="s">
        <v>76</v>
      </c>
      <c r="E3251" s="36" t="s">
        <v>76</v>
      </c>
      <c r="F3251" s="154" t="s">
        <v>7211</v>
      </c>
      <c r="G3251" s="36" t="s">
        <v>28</v>
      </c>
      <c r="H3251" s="36" t="s">
        <v>1655</v>
      </c>
      <c r="I3251" s="36" t="s">
        <v>1656</v>
      </c>
      <c r="J3251" s="36" t="s">
        <v>1656</v>
      </c>
      <c r="K3251" s="36" t="s">
        <v>1763</v>
      </c>
      <c r="L3251" s="36" t="s">
        <v>6585</v>
      </c>
      <c r="M3251" s="36" t="s">
        <v>6585</v>
      </c>
      <c r="N3251" s="36" t="s">
        <v>32</v>
      </c>
    </row>
    <row r="3252">
      <c r="A3252" s="36" t="s">
        <v>7212</v>
      </c>
      <c r="B3252" s="154" t="s">
        <v>7204</v>
      </c>
      <c r="C3252" s="36" t="s">
        <v>1666</v>
      </c>
      <c r="D3252" s="36" t="s">
        <v>77</v>
      </c>
      <c r="E3252" s="36" t="s">
        <v>77</v>
      </c>
      <c r="F3252" s="154" t="s">
        <v>1768</v>
      </c>
      <c r="G3252" s="36" t="s">
        <v>34</v>
      </c>
      <c r="H3252" s="36" t="s">
        <v>1655</v>
      </c>
      <c r="I3252" s="36" t="s">
        <v>1656</v>
      </c>
      <c r="J3252" s="36" t="s">
        <v>1656</v>
      </c>
      <c r="K3252" s="36" t="s">
        <v>1766</v>
      </c>
      <c r="L3252" s="36" t="s">
        <v>6585</v>
      </c>
      <c r="M3252" s="36" t="s">
        <v>6585</v>
      </c>
      <c r="N3252" s="36" t="s">
        <v>32</v>
      </c>
    </row>
    <row r="3253">
      <c r="A3253" s="36" t="s">
        <v>7213</v>
      </c>
      <c r="B3253" s="154" t="s">
        <v>7204</v>
      </c>
      <c r="C3253" s="36" t="s">
        <v>1666</v>
      </c>
      <c r="D3253" s="36" t="s">
        <v>535</v>
      </c>
      <c r="E3253" s="36" t="s">
        <v>535</v>
      </c>
      <c r="F3253" s="154" t="s">
        <v>7214</v>
      </c>
      <c r="G3253" s="36" t="s">
        <v>28</v>
      </c>
      <c r="H3253" s="36" t="s">
        <v>1655</v>
      </c>
      <c r="I3253" s="36" t="s">
        <v>1656</v>
      </c>
      <c r="J3253" s="36" t="s">
        <v>1656</v>
      </c>
      <c r="K3253" s="36" t="s">
        <v>1732</v>
      </c>
      <c r="L3253" s="36" t="s">
        <v>6585</v>
      </c>
      <c r="M3253" s="36" t="s">
        <v>6585</v>
      </c>
      <c r="N3253" s="36" t="s">
        <v>32</v>
      </c>
    </row>
    <row r="3254">
      <c r="A3254" s="36" t="s">
        <v>7215</v>
      </c>
      <c r="B3254" s="154" t="s">
        <v>7204</v>
      </c>
      <c r="C3254" s="36" t="s">
        <v>1666</v>
      </c>
      <c r="D3254" s="36" t="s">
        <v>210</v>
      </c>
      <c r="E3254" s="36" t="s">
        <v>210</v>
      </c>
      <c r="F3254" s="154" t="s">
        <v>2378</v>
      </c>
      <c r="G3254" s="36" t="s">
        <v>28</v>
      </c>
      <c r="H3254" s="36" t="s">
        <v>1655</v>
      </c>
      <c r="I3254" s="36" t="s">
        <v>1656</v>
      </c>
      <c r="J3254" s="36" t="s">
        <v>1656</v>
      </c>
      <c r="K3254" s="36" t="s">
        <v>1736</v>
      </c>
      <c r="L3254" s="36" t="s">
        <v>6585</v>
      </c>
      <c r="M3254" s="36" t="s">
        <v>6585</v>
      </c>
      <c r="N3254" s="36" t="s">
        <v>32</v>
      </c>
    </row>
    <row r="3255">
      <c r="A3255" s="36" t="s">
        <v>7216</v>
      </c>
      <c r="B3255" s="154" t="s">
        <v>7204</v>
      </c>
      <c r="C3255" s="36" t="s">
        <v>1666</v>
      </c>
      <c r="D3255" s="36" t="s">
        <v>114</v>
      </c>
      <c r="E3255" s="36" t="s">
        <v>114</v>
      </c>
      <c r="F3255" s="154" t="s">
        <v>1799</v>
      </c>
      <c r="G3255" s="36" t="s">
        <v>32</v>
      </c>
      <c r="H3255" s="36" t="s">
        <v>1655</v>
      </c>
      <c r="I3255" s="36" t="s">
        <v>1656</v>
      </c>
      <c r="J3255" s="36" t="s">
        <v>1656</v>
      </c>
      <c r="K3255" s="36" t="s">
        <v>1739</v>
      </c>
      <c r="L3255" s="36" t="s">
        <v>6585</v>
      </c>
      <c r="M3255" s="36" t="s">
        <v>6585</v>
      </c>
      <c r="N3255" s="36" t="s">
        <v>32</v>
      </c>
    </row>
    <row r="3256">
      <c r="A3256" s="36" t="s">
        <v>7217</v>
      </c>
      <c r="B3256" s="154" t="s">
        <v>7204</v>
      </c>
      <c r="C3256" s="36" t="s">
        <v>1666</v>
      </c>
      <c r="D3256" s="36" t="s">
        <v>115</v>
      </c>
      <c r="E3256" s="36" t="s">
        <v>115</v>
      </c>
      <c r="F3256" s="154" t="s">
        <v>7218</v>
      </c>
      <c r="G3256" s="36" t="s">
        <v>32</v>
      </c>
      <c r="H3256" s="36" t="s">
        <v>1655</v>
      </c>
      <c r="I3256" s="36" t="s">
        <v>1656</v>
      </c>
      <c r="J3256" s="36" t="s">
        <v>1656</v>
      </c>
      <c r="K3256" s="36" t="s">
        <v>1742</v>
      </c>
      <c r="L3256" s="36" t="s">
        <v>6585</v>
      </c>
      <c r="M3256" s="36" t="s">
        <v>6585</v>
      </c>
      <c r="N3256" s="36" t="s">
        <v>32</v>
      </c>
    </row>
    <row r="3257">
      <c r="A3257" s="36" t="s">
        <v>7219</v>
      </c>
      <c r="B3257" s="154" t="s">
        <v>7220</v>
      </c>
      <c r="C3257" s="36" t="s">
        <v>1666</v>
      </c>
      <c r="D3257" s="36" t="s">
        <v>554</v>
      </c>
      <c r="E3257" s="36" t="s">
        <v>554</v>
      </c>
      <c r="F3257" s="154" t="s">
        <v>2029</v>
      </c>
      <c r="G3257" s="36" t="s">
        <v>32</v>
      </c>
      <c r="H3257" s="36" t="s">
        <v>1655</v>
      </c>
      <c r="I3257" s="36" t="s">
        <v>1656</v>
      </c>
      <c r="J3257" s="36" t="s">
        <v>1656</v>
      </c>
      <c r="K3257" s="36" t="s">
        <v>1745</v>
      </c>
      <c r="L3257" s="36" t="s">
        <v>6585</v>
      </c>
      <c r="M3257" s="36" t="s">
        <v>6585</v>
      </c>
      <c r="N3257" s="36" t="s">
        <v>32</v>
      </c>
    </row>
    <row r="3258">
      <c r="A3258" s="36" t="s">
        <v>7221</v>
      </c>
      <c r="B3258" s="154" t="s">
        <v>7220</v>
      </c>
      <c r="C3258" s="36" t="s">
        <v>1666</v>
      </c>
      <c r="D3258" s="36" t="s">
        <v>560</v>
      </c>
      <c r="E3258" s="36" t="s">
        <v>560</v>
      </c>
      <c r="F3258" s="154" t="s">
        <v>2346</v>
      </c>
      <c r="G3258" s="36" t="s">
        <v>32</v>
      </c>
      <c r="H3258" s="36" t="s">
        <v>1655</v>
      </c>
      <c r="I3258" s="36" t="s">
        <v>1656</v>
      </c>
      <c r="J3258" s="36" t="s">
        <v>1656</v>
      </c>
      <c r="K3258" s="36" t="s">
        <v>1773</v>
      </c>
      <c r="L3258" s="36" t="s">
        <v>6585</v>
      </c>
      <c r="M3258" s="36" t="s">
        <v>6585</v>
      </c>
      <c r="N3258" s="36" t="s">
        <v>32</v>
      </c>
    </row>
    <row r="3259">
      <c r="A3259" s="36" t="s">
        <v>7222</v>
      </c>
      <c r="B3259" s="154" t="s">
        <v>7220</v>
      </c>
      <c r="C3259" s="36" t="s">
        <v>1666</v>
      </c>
      <c r="D3259" s="36" t="s">
        <v>566</v>
      </c>
      <c r="E3259" s="36" t="s">
        <v>566</v>
      </c>
      <c r="F3259" s="154" t="s">
        <v>7223</v>
      </c>
      <c r="G3259" s="36" t="s">
        <v>32</v>
      </c>
      <c r="H3259" s="36" t="s">
        <v>1655</v>
      </c>
      <c r="I3259" s="36" t="s">
        <v>1656</v>
      </c>
      <c r="J3259" s="36" t="s">
        <v>1656</v>
      </c>
      <c r="K3259" s="36" t="s">
        <v>1776</v>
      </c>
      <c r="L3259" s="36" t="s">
        <v>6585</v>
      </c>
      <c r="M3259" s="36" t="s">
        <v>6585</v>
      </c>
      <c r="N3259" s="36" t="s">
        <v>32</v>
      </c>
    </row>
    <row r="3260">
      <c r="A3260" s="36" t="s">
        <v>7224</v>
      </c>
      <c r="B3260" s="154" t="s">
        <v>7220</v>
      </c>
      <c r="C3260" s="36" t="s">
        <v>1666</v>
      </c>
      <c r="D3260" s="36" t="s">
        <v>572</v>
      </c>
      <c r="E3260" s="36" t="s">
        <v>572</v>
      </c>
      <c r="F3260" s="154" t="s">
        <v>7225</v>
      </c>
      <c r="G3260" s="36" t="s">
        <v>32</v>
      </c>
      <c r="H3260" s="36" t="s">
        <v>1655</v>
      </c>
      <c r="I3260" s="36" t="s">
        <v>1656</v>
      </c>
      <c r="J3260" s="36" t="s">
        <v>1656</v>
      </c>
      <c r="K3260" s="36" t="s">
        <v>1779</v>
      </c>
      <c r="L3260" s="36" t="s">
        <v>6585</v>
      </c>
      <c r="M3260" s="36" t="s">
        <v>6585</v>
      </c>
      <c r="N3260" s="36" t="s">
        <v>32</v>
      </c>
    </row>
    <row r="3261">
      <c r="A3261" s="36" t="s">
        <v>7226</v>
      </c>
      <c r="B3261" s="154" t="s">
        <v>7227</v>
      </c>
      <c r="C3261" s="36" t="s">
        <v>1666</v>
      </c>
      <c r="D3261" s="36" t="s">
        <v>575</v>
      </c>
      <c r="E3261" s="36" t="s">
        <v>575</v>
      </c>
      <c r="F3261" s="154" t="s">
        <v>2163</v>
      </c>
      <c r="G3261" s="36" t="s">
        <v>28</v>
      </c>
      <c r="H3261" s="36" t="s">
        <v>1655</v>
      </c>
      <c r="I3261" s="36" t="s">
        <v>1656</v>
      </c>
      <c r="J3261" s="36" t="s">
        <v>1656</v>
      </c>
      <c r="K3261" s="36" t="s">
        <v>1782</v>
      </c>
      <c r="L3261" s="36" t="s">
        <v>6585</v>
      </c>
      <c r="M3261" s="36" t="s">
        <v>6585</v>
      </c>
      <c r="N3261" s="36" t="s">
        <v>34</v>
      </c>
    </row>
    <row r="3262">
      <c r="A3262" s="36" t="s">
        <v>7228</v>
      </c>
      <c r="B3262" s="154" t="s">
        <v>7227</v>
      </c>
      <c r="C3262" s="36" t="s">
        <v>1666</v>
      </c>
      <c r="D3262" s="36" t="s">
        <v>580</v>
      </c>
      <c r="E3262" s="36" t="s">
        <v>580</v>
      </c>
      <c r="F3262" s="154" t="s">
        <v>7229</v>
      </c>
      <c r="G3262" s="36" t="s">
        <v>28</v>
      </c>
      <c r="H3262" s="36" t="s">
        <v>1655</v>
      </c>
      <c r="I3262" s="36" t="s">
        <v>1656</v>
      </c>
      <c r="J3262" s="36" t="s">
        <v>1656</v>
      </c>
      <c r="K3262" s="36" t="s">
        <v>1784</v>
      </c>
      <c r="L3262" s="36" t="s">
        <v>6585</v>
      </c>
      <c r="M3262" s="36" t="s">
        <v>6585</v>
      </c>
      <c r="N3262" s="36" t="s">
        <v>34</v>
      </c>
    </row>
    <row r="3263">
      <c r="A3263" s="36" t="s">
        <v>7230</v>
      </c>
      <c r="B3263" s="154" t="s">
        <v>7227</v>
      </c>
      <c r="C3263" s="36" t="s">
        <v>1666</v>
      </c>
      <c r="D3263" s="36" t="s">
        <v>92</v>
      </c>
      <c r="E3263" s="36" t="s">
        <v>92</v>
      </c>
      <c r="F3263" s="154" t="s">
        <v>2156</v>
      </c>
      <c r="G3263" s="36" t="s">
        <v>32</v>
      </c>
      <c r="H3263" s="36" t="s">
        <v>1655</v>
      </c>
      <c r="I3263" s="36" t="s">
        <v>1656</v>
      </c>
      <c r="J3263" s="36" t="s">
        <v>1656</v>
      </c>
      <c r="K3263" s="36" t="s">
        <v>1787</v>
      </c>
      <c r="L3263" s="36" t="s">
        <v>6585</v>
      </c>
      <c r="M3263" s="36" t="s">
        <v>6585</v>
      </c>
      <c r="N3263" s="36" t="s">
        <v>32</v>
      </c>
    </row>
    <row r="3264">
      <c r="A3264" s="36" t="s">
        <v>7231</v>
      </c>
      <c r="B3264" s="154" t="s">
        <v>7227</v>
      </c>
      <c r="C3264" s="36" t="s">
        <v>1666</v>
      </c>
      <c r="D3264" s="36" t="s">
        <v>573</v>
      </c>
      <c r="E3264" s="36" t="s">
        <v>573</v>
      </c>
      <c r="F3264" s="154" t="s">
        <v>1874</v>
      </c>
      <c r="G3264" s="36" t="s">
        <v>32</v>
      </c>
      <c r="H3264" s="36" t="s">
        <v>1655</v>
      </c>
      <c r="I3264" s="36" t="s">
        <v>1656</v>
      </c>
      <c r="J3264" s="36" t="s">
        <v>1656</v>
      </c>
      <c r="K3264" s="36" t="s">
        <v>1790</v>
      </c>
      <c r="L3264" s="36" t="s">
        <v>6585</v>
      </c>
      <c r="M3264" s="36" t="s">
        <v>6585</v>
      </c>
      <c r="N3264" s="36" t="s">
        <v>32</v>
      </c>
    </row>
    <row r="3265">
      <c r="A3265" s="36" t="s">
        <v>7232</v>
      </c>
      <c r="B3265" s="154" t="s">
        <v>7227</v>
      </c>
      <c r="C3265" s="36" t="s">
        <v>1666</v>
      </c>
      <c r="D3265" s="36" t="s">
        <v>599</v>
      </c>
      <c r="E3265" s="36" t="s">
        <v>599</v>
      </c>
      <c r="F3265" s="154" t="s">
        <v>1686</v>
      </c>
      <c r="G3265" s="36" t="s">
        <v>32</v>
      </c>
      <c r="H3265" s="36" t="s">
        <v>1655</v>
      </c>
      <c r="I3265" s="36" t="s">
        <v>1656</v>
      </c>
      <c r="J3265" s="36" t="s">
        <v>1656</v>
      </c>
      <c r="K3265" s="36" t="s">
        <v>1793</v>
      </c>
      <c r="L3265" s="36" t="s">
        <v>6585</v>
      </c>
      <c r="M3265" s="36" t="s">
        <v>6585</v>
      </c>
      <c r="N3265" s="36" t="s">
        <v>32</v>
      </c>
    </row>
    <row r="3266">
      <c r="A3266" s="36" t="s">
        <v>7233</v>
      </c>
      <c r="B3266" s="154" t="s">
        <v>7234</v>
      </c>
      <c r="C3266" s="36" t="s">
        <v>1666</v>
      </c>
      <c r="D3266" s="36" t="s">
        <v>604</v>
      </c>
      <c r="E3266" s="36" t="s">
        <v>604</v>
      </c>
      <c r="F3266" s="154" t="s">
        <v>1686</v>
      </c>
      <c r="G3266" s="36" t="s">
        <v>28</v>
      </c>
      <c r="H3266" s="36" t="s">
        <v>1655</v>
      </c>
      <c r="I3266" s="36" t="s">
        <v>1656</v>
      </c>
      <c r="J3266" s="36" t="s">
        <v>1656</v>
      </c>
      <c r="K3266" s="36" t="s">
        <v>1796</v>
      </c>
      <c r="L3266" s="36" t="s">
        <v>6585</v>
      </c>
      <c r="M3266" s="36" t="s">
        <v>6585</v>
      </c>
      <c r="N3266" s="36" t="s">
        <v>32</v>
      </c>
    </row>
    <row r="3267">
      <c r="A3267" s="36" t="s">
        <v>7235</v>
      </c>
      <c r="B3267" s="154" t="s">
        <v>7234</v>
      </c>
      <c r="C3267" s="36" t="s">
        <v>1666</v>
      </c>
      <c r="D3267" s="36" t="s">
        <v>210</v>
      </c>
      <c r="E3267" s="36" t="s">
        <v>210</v>
      </c>
      <c r="F3267" s="154" t="s">
        <v>1744</v>
      </c>
      <c r="G3267" s="36" t="s">
        <v>28</v>
      </c>
      <c r="H3267" s="36" t="s">
        <v>1655</v>
      </c>
      <c r="I3267" s="36" t="s">
        <v>1656</v>
      </c>
      <c r="J3267" s="36" t="s">
        <v>1656</v>
      </c>
      <c r="K3267" s="36" t="s">
        <v>1800</v>
      </c>
      <c r="L3267" s="36" t="s">
        <v>6585</v>
      </c>
      <c r="M3267" s="36" t="s">
        <v>6585</v>
      </c>
      <c r="N3267" s="36" t="s">
        <v>32</v>
      </c>
    </row>
    <row r="3268">
      <c r="A3268" s="36" t="s">
        <v>7236</v>
      </c>
      <c r="B3268" s="154" t="s">
        <v>7237</v>
      </c>
      <c r="C3268" s="36" t="s">
        <v>1653</v>
      </c>
      <c r="D3268" s="36" t="s">
        <v>161</v>
      </c>
      <c r="E3268" s="36" t="s">
        <v>39</v>
      </c>
      <c r="F3268" s="154" t="s">
        <v>6340</v>
      </c>
      <c r="G3268" s="36" t="s">
        <v>32</v>
      </c>
      <c r="H3268" s="36" t="s">
        <v>1655</v>
      </c>
      <c r="I3268" s="36" t="s">
        <v>1656</v>
      </c>
      <c r="J3268" s="36" t="s">
        <v>1656</v>
      </c>
      <c r="K3268" s="36" t="s">
        <v>1749</v>
      </c>
      <c r="L3268" s="36" t="s">
        <v>6583</v>
      </c>
      <c r="M3268" s="36" t="s">
        <v>6583</v>
      </c>
      <c r="N3268" s="36" t="s">
        <v>32</v>
      </c>
    </row>
    <row r="3269">
      <c r="A3269" s="36" t="s">
        <v>7238</v>
      </c>
      <c r="B3269" s="154" t="s">
        <v>7237</v>
      </c>
      <c r="C3269" s="36" t="s">
        <v>1666</v>
      </c>
      <c r="D3269" s="36" t="s">
        <v>617</v>
      </c>
      <c r="E3269" s="36" t="s">
        <v>617</v>
      </c>
      <c r="F3269" s="154" t="s">
        <v>1832</v>
      </c>
      <c r="G3269" s="36" t="s">
        <v>28</v>
      </c>
      <c r="H3269" s="36" t="s">
        <v>1655</v>
      </c>
      <c r="I3269" s="36" t="s">
        <v>1656</v>
      </c>
      <c r="J3269" s="36" t="s">
        <v>1656</v>
      </c>
      <c r="K3269" s="36" t="s">
        <v>1803</v>
      </c>
      <c r="L3269" s="36" t="s">
        <v>6585</v>
      </c>
      <c r="M3269" s="36" t="s">
        <v>6585</v>
      </c>
      <c r="N3269" s="36" t="s">
        <v>34</v>
      </c>
    </row>
    <row r="3270">
      <c r="A3270" s="36" t="s">
        <v>7239</v>
      </c>
      <c r="B3270" s="154" t="s">
        <v>7237</v>
      </c>
      <c r="C3270" s="36" t="s">
        <v>1666</v>
      </c>
      <c r="D3270" s="36" t="s">
        <v>624</v>
      </c>
      <c r="E3270" s="36" t="s">
        <v>624</v>
      </c>
      <c r="F3270" s="154" t="s">
        <v>1806</v>
      </c>
      <c r="G3270" s="36" t="s">
        <v>28</v>
      </c>
      <c r="H3270" s="36" t="s">
        <v>1655</v>
      </c>
      <c r="I3270" s="36" t="s">
        <v>1656</v>
      </c>
      <c r="J3270" s="36" t="s">
        <v>1656</v>
      </c>
      <c r="K3270" s="36" t="s">
        <v>1807</v>
      </c>
      <c r="L3270" s="36" t="s">
        <v>6585</v>
      </c>
      <c r="M3270" s="36" t="s">
        <v>6585</v>
      </c>
      <c r="N3270" s="36" t="s">
        <v>34</v>
      </c>
    </row>
    <row r="3271">
      <c r="A3271" s="36" t="s">
        <v>7240</v>
      </c>
      <c r="B3271" s="154" t="s">
        <v>7237</v>
      </c>
      <c r="C3271" s="36" t="s">
        <v>1666</v>
      </c>
      <c r="D3271" s="36" t="s">
        <v>109</v>
      </c>
      <c r="E3271" s="36" t="s">
        <v>109</v>
      </c>
      <c r="F3271" s="154" t="s">
        <v>1723</v>
      </c>
      <c r="G3271" s="36" t="s">
        <v>28</v>
      </c>
      <c r="H3271" s="36" t="s">
        <v>1655</v>
      </c>
      <c r="I3271" s="36" t="s">
        <v>1656</v>
      </c>
      <c r="J3271" s="36" t="s">
        <v>1656</v>
      </c>
      <c r="K3271" s="36" t="s">
        <v>1814</v>
      </c>
      <c r="L3271" s="36" t="s">
        <v>6585</v>
      </c>
      <c r="M3271" s="36" t="s">
        <v>6585</v>
      </c>
      <c r="N3271" s="36" t="s">
        <v>32</v>
      </c>
    </row>
    <row r="3272">
      <c r="A3272" s="36" t="s">
        <v>7241</v>
      </c>
      <c r="B3272" s="154" t="s">
        <v>7242</v>
      </c>
      <c r="C3272" s="36" t="s">
        <v>1666</v>
      </c>
      <c r="D3272" s="36" t="s">
        <v>630</v>
      </c>
      <c r="E3272" s="36" t="s">
        <v>630</v>
      </c>
      <c r="F3272" s="154" t="s">
        <v>7065</v>
      </c>
      <c r="G3272" s="36" t="s">
        <v>28</v>
      </c>
      <c r="H3272" s="36" t="s">
        <v>1655</v>
      </c>
      <c r="I3272" s="36" t="s">
        <v>1656</v>
      </c>
      <c r="J3272" s="36" t="s">
        <v>1656</v>
      </c>
      <c r="K3272" s="36" t="s">
        <v>1817</v>
      </c>
      <c r="L3272" s="36" t="s">
        <v>6585</v>
      </c>
      <c r="M3272" s="36" t="s">
        <v>6585</v>
      </c>
      <c r="N3272" s="36" t="s">
        <v>32</v>
      </c>
    </row>
    <row r="3273">
      <c r="A3273" s="36" t="s">
        <v>7243</v>
      </c>
      <c r="B3273" s="154" t="s">
        <v>7242</v>
      </c>
      <c r="C3273" s="36" t="s">
        <v>1666</v>
      </c>
      <c r="D3273" s="36" t="s">
        <v>634</v>
      </c>
      <c r="E3273" s="36" t="s">
        <v>634</v>
      </c>
      <c r="F3273" s="154" t="s">
        <v>1686</v>
      </c>
      <c r="G3273" s="36" t="s">
        <v>32</v>
      </c>
      <c r="H3273" s="36" t="s">
        <v>1655</v>
      </c>
      <c r="I3273" s="36" t="s">
        <v>1656</v>
      </c>
      <c r="J3273" s="36" t="s">
        <v>1656</v>
      </c>
      <c r="K3273" s="36" t="s">
        <v>1820</v>
      </c>
      <c r="L3273" s="36" t="s">
        <v>6585</v>
      </c>
      <c r="M3273" s="36" t="s">
        <v>6585</v>
      </c>
      <c r="N3273" s="36" t="s">
        <v>32</v>
      </c>
    </row>
    <row r="3274">
      <c r="A3274" s="36" t="s">
        <v>7244</v>
      </c>
      <c r="B3274" s="154" t="s">
        <v>7245</v>
      </c>
      <c r="C3274" s="36" t="s">
        <v>1666</v>
      </c>
      <c r="D3274" s="36" t="s">
        <v>640</v>
      </c>
      <c r="E3274" s="36" t="s">
        <v>640</v>
      </c>
      <c r="F3274" s="154" t="s">
        <v>2617</v>
      </c>
      <c r="G3274" s="36" t="s">
        <v>28</v>
      </c>
      <c r="H3274" s="36" t="s">
        <v>1655</v>
      </c>
      <c r="I3274" s="36" t="s">
        <v>1656</v>
      </c>
      <c r="J3274" s="36" t="s">
        <v>1656</v>
      </c>
      <c r="K3274" s="36" t="s">
        <v>1823</v>
      </c>
      <c r="L3274" s="36" t="s">
        <v>6585</v>
      </c>
      <c r="M3274" s="36" t="s">
        <v>6585</v>
      </c>
      <c r="N3274" s="36" t="s">
        <v>34</v>
      </c>
    </row>
    <row r="3275">
      <c r="A3275" s="36" t="s">
        <v>7246</v>
      </c>
      <c r="B3275" s="154" t="s">
        <v>7245</v>
      </c>
      <c r="C3275" s="36" t="s">
        <v>1666</v>
      </c>
      <c r="D3275" s="36" t="s">
        <v>214</v>
      </c>
      <c r="E3275" s="36" t="s">
        <v>214</v>
      </c>
      <c r="F3275" s="154" t="s">
        <v>2517</v>
      </c>
      <c r="G3275" s="36" t="s">
        <v>28</v>
      </c>
      <c r="H3275" s="36" t="s">
        <v>1655</v>
      </c>
      <c r="I3275" s="36" t="s">
        <v>1656</v>
      </c>
      <c r="J3275" s="36" t="s">
        <v>1656</v>
      </c>
      <c r="K3275" s="36" t="s">
        <v>1826</v>
      </c>
      <c r="L3275" s="36" t="s">
        <v>6585</v>
      </c>
      <c r="M3275" s="36" t="s">
        <v>6585</v>
      </c>
      <c r="N3275" s="36" t="s">
        <v>34</v>
      </c>
    </row>
    <row r="3276">
      <c r="A3276" s="36" t="s">
        <v>7247</v>
      </c>
      <c r="B3276" s="154" t="s">
        <v>7248</v>
      </c>
      <c r="C3276" s="36" t="s">
        <v>1666</v>
      </c>
      <c r="D3276" s="36" t="s">
        <v>649</v>
      </c>
      <c r="E3276" s="36" t="s">
        <v>649</v>
      </c>
      <c r="F3276" s="154" t="s">
        <v>2006</v>
      </c>
      <c r="G3276" s="36" t="s">
        <v>30</v>
      </c>
      <c r="H3276" s="36" t="s">
        <v>1655</v>
      </c>
      <c r="I3276" s="36" t="s">
        <v>1656</v>
      </c>
      <c r="J3276" s="36" t="s">
        <v>1656</v>
      </c>
      <c r="K3276" s="36" t="s">
        <v>1830</v>
      </c>
      <c r="L3276" s="36" t="s">
        <v>6585</v>
      </c>
      <c r="M3276" s="36" t="s">
        <v>6585</v>
      </c>
      <c r="N3276" s="36" t="s">
        <v>34</v>
      </c>
    </row>
    <row r="3277">
      <c r="A3277" s="36" t="s">
        <v>7249</v>
      </c>
      <c r="B3277" s="154" t="s">
        <v>7248</v>
      </c>
      <c r="C3277" s="36" t="s">
        <v>1666</v>
      </c>
      <c r="D3277" s="36" t="s">
        <v>655</v>
      </c>
      <c r="E3277" s="36" t="s">
        <v>655</v>
      </c>
      <c r="F3277" s="154" t="s">
        <v>7250</v>
      </c>
      <c r="G3277" s="36" t="s">
        <v>28</v>
      </c>
      <c r="H3277" s="36" t="s">
        <v>1655</v>
      </c>
      <c r="I3277" s="36" t="s">
        <v>1656</v>
      </c>
      <c r="J3277" s="36" t="s">
        <v>1656</v>
      </c>
      <c r="K3277" s="36" t="s">
        <v>1833</v>
      </c>
      <c r="L3277" s="36" t="s">
        <v>6585</v>
      </c>
      <c r="M3277" s="36" t="s">
        <v>6585</v>
      </c>
      <c r="N3277" s="36" t="s">
        <v>34</v>
      </c>
    </row>
    <row r="3278">
      <c r="A3278" s="36" t="s">
        <v>7251</v>
      </c>
      <c r="B3278" s="154" t="s">
        <v>7252</v>
      </c>
      <c r="C3278" s="36" t="s">
        <v>1666</v>
      </c>
      <c r="D3278" s="36" t="s">
        <v>660</v>
      </c>
      <c r="E3278" s="36" t="s">
        <v>660</v>
      </c>
      <c r="F3278" s="154" t="s">
        <v>2163</v>
      </c>
      <c r="G3278" s="36" t="s">
        <v>28</v>
      </c>
      <c r="H3278" s="36" t="s">
        <v>1655</v>
      </c>
      <c r="I3278" s="36" t="s">
        <v>1656</v>
      </c>
      <c r="J3278" s="36" t="s">
        <v>1656</v>
      </c>
      <c r="K3278" s="36" t="s">
        <v>1836</v>
      </c>
      <c r="L3278" s="36" t="s">
        <v>6585</v>
      </c>
      <c r="M3278" s="36" t="s">
        <v>6585</v>
      </c>
      <c r="N3278" s="36" t="s">
        <v>34</v>
      </c>
    </row>
    <row r="3279">
      <c r="A3279" s="36" t="s">
        <v>7253</v>
      </c>
      <c r="B3279" s="154" t="s">
        <v>7252</v>
      </c>
      <c r="C3279" s="36" t="s">
        <v>1666</v>
      </c>
      <c r="D3279" s="36" t="s">
        <v>92</v>
      </c>
      <c r="E3279" s="36" t="s">
        <v>92</v>
      </c>
      <c r="F3279" s="154" t="s">
        <v>1816</v>
      </c>
      <c r="G3279" s="36" t="s">
        <v>32</v>
      </c>
      <c r="H3279" s="36" t="s">
        <v>1655</v>
      </c>
      <c r="I3279" s="36" t="s">
        <v>1656</v>
      </c>
      <c r="J3279" s="36" t="s">
        <v>1656</v>
      </c>
      <c r="K3279" s="36" t="s">
        <v>1839</v>
      </c>
      <c r="L3279" s="36" t="s">
        <v>6585</v>
      </c>
      <c r="M3279" s="36" t="s">
        <v>6585</v>
      </c>
      <c r="N3279" s="36" t="s">
        <v>32</v>
      </c>
    </row>
    <row r="3280">
      <c r="A3280" s="36" t="s">
        <v>7254</v>
      </c>
      <c r="B3280" s="154" t="s">
        <v>7252</v>
      </c>
      <c r="C3280" s="36" t="s">
        <v>1666</v>
      </c>
      <c r="D3280" s="36" t="s">
        <v>524</v>
      </c>
      <c r="E3280" s="36" t="s">
        <v>524</v>
      </c>
      <c r="F3280" s="154" t="s">
        <v>1816</v>
      </c>
      <c r="G3280" s="36" t="s">
        <v>32</v>
      </c>
      <c r="H3280" s="36" t="s">
        <v>1655</v>
      </c>
      <c r="I3280" s="36" t="s">
        <v>1656</v>
      </c>
      <c r="J3280" s="36" t="s">
        <v>1656</v>
      </c>
      <c r="K3280" s="36" t="s">
        <v>1842</v>
      </c>
      <c r="L3280" s="36" t="s">
        <v>6585</v>
      </c>
      <c r="M3280" s="36" t="s">
        <v>6585</v>
      </c>
      <c r="N3280" s="36" t="s">
        <v>32</v>
      </c>
    </row>
    <row r="3281">
      <c r="A3281" s="36" t="s">
        <v>7255</v>
      </c>
      <c r="B3281" s="154" t="s">
        <v>7252</v>
      </c>
      <c r="C3281" s="36" t="s">
        <v>1666</v>
      </c>
      <c r="D3281" s="36" t="s">
        <v>673</v>
      </c>
      <c r="E3281" s="36" t="s">
        <v>673</v>
      </c>
      <c r="F3281" s="154" t="s">
        <v>7256</v>
      </c>
      <c r="G3281" s="36" t="s">
        <v>32</v>
      </c>
      <c r="H3281" s="36" t="s">
        <v>1655</v>
      </c>
      <c r="I3281" s="36" t="s">
        <v>1656</v>
      </c>
      <c r="J3281" s="36" t="s">
        <v>1656</v>
      </c>
      <c r="K3281" s="36" t="s">
        <v>1845</v>
      </c>
      <c r="L3281" s="36" t="s">
        <v>6585</v>
      </c>
      <c r="M3281" s="36" t="s">
        <v>6585</v>
      </c>
      <c r="N3281" s="36" t="s">
        <v>32</v>
      </c>
    </row>
    <row r="3282">
      <c r="A3282" s="36" t="s">
        <v>7257</v>
      </c>
      <c r="B3282" s="154" t="s">
        <v>7252</v>
      </c>
      <c r="C3282" s="36" t="s">
        <v>1666</v>
      </c>
      <c r="D3282" s="36" t="s">
        <v>109</v>
      </c>
      <c r="E3282" s="36" t="s">
        <v>109</v>
      </c>
      <c r="F3282" s="154" t="s">
        <v>1778</v>
      </c>
      <c r="G3282" s="36" t="s">
        <v>28</v>
      </c>
      <c r="H3282" s="36" t="s">
        <v>1655</v>
      </c>
      <c r="I3282" s="36" t="s">
        <v>1656</v>
      </c>
      <c r="J3282" s="36" t="s">
        <v>1656</v>
      </c>
      <c r="K3282" s="36" t="s">
        <v>1848</v>
      </c>
      <c r="L3282" s="36" t="s">
        <v>6585</v>
      </c>
      <c r="M3282" s="36" t="s">
        <v>6585</v>
      </c>
      <c r="N3282" s="36" t="s">
        <v>32</v>
      </c>
    </row>
    <row r="3283">
      <c r="A3283" s="36" t="s">
        <v>7258</v>
      </c>
      <c r="B3283" s="154" t="s">
        <v>7252</v>
      </c>
      <c r="C3283" s="36" t="s">
        <v>1666</v>
      </c>
      <c r="D3283" s="36" t="s">
        <v>680</v>
      </c>
      <c r="E3283" s="36" t="s">
        <v>680</v>
      </c>
      <c r="F3283" s="154" t="s">
        <v>7259</v>
      </c>
      <c r="G3283" s="36" t="s">
        <v>32</v>
      </c>
      <c r="H3283" s="36" t="s">
        <v>1655</v>
      </c>
      <c r="I3283" s="36" t="s">
        <v>1656</v>
      </c>
      <c r="J3283" s="36" t="s">
        <v>1656</v>
      </c>
      <c r="K3283" s="36" t="s">
        <v>1851</v>
      </c>
      <c r="L3283" s="36" t="s">
        <v>6585</v>
      </c>
      <c r="M3283" s="36" t="s">
        <v>6585</v>
      </c>
      <c r="N3283" s="36" t="s">
        <v>32</v>
      </c>
    </row>
    <row r="3284">
      <c r="A3284" s="36" t="s">
        <v>7260</v>
      </c>
      <c r="B3284" s="154" t="s">
        <v>7261</v>
      </c>
      <c r="C3284" s="36" t="s">
        <v>1666</v>
      </c>
      <c r="D3284" s="36" t="s">
        <v>79</v>
      </c>
      <c r="E3284" s="36" t="s">
        <v>79</v>
      </c>
      <c r="F3284" s="154" t="s">
        <v>6912</v>
      </c>
      <c r="G3284" s="36" t="s">
        <v>32</v>
      </c>
      <c r="H3284" s="36" t="s">
        <v>1655</v>
      </c>
      <c r="I3284" s="36" t="s">
        <v>1656</v>
      </c>
      <c r="J3284" s="36" t="s">
        <v>1656</v>
      </c>
      <c r="K3284" s="36" t="s">
        <v>1769</v>
      </c>
      <c r="L3284" s="36" t="s">
        <v>6585</v>
      </c>
      <c r="M3284" s="36" t="s">
        <v>6585</v>
      </c>
      <c r="N3284" s="36" t="s">
        <v>32</v>
      </c>
    </row>
    <row r="3285">
      <c r="A3285" s="36" t="s">
        <v>7262</v>
      </c>
      <c r="B3285" s="154" t="s">
        <v>7263</v>
      </c>
      <c r="C3285" s="36" t="s">
        <v>1666</v>
      </c>
      <c r="D3285" s="36" t="s">
        <v>278</v>
      </c>
      <c r="E3285" s="36" t="s">
        <v>278</v>
      </c>
      <c r="F3285" s="154" t="s">
        <v>7264</v>
      </c>
      <c r="G3285" s="36" t="s">
        <v>28</v>
      </c>
      <c r="H3285" s="36" t="s">
        <v>1655</v>
      </c>
      <c r="I3285" s="36" t="s">
        <v>1656</v>
      </c>
      <c r="J3285" s="36" t="s">
        <v>1656</v>
      </c>
      <c r="K3285" s="36" t="s">
        <v>1854</v>
      </c>
      <c r="L3285" s="36" t="s">
        <v>6585</v>
      </c>
      <c r="M3285" s="36" t="s">
        <v>6585</v>
      </c>
      <c r="N3285" s="36" t="s">
        <v>32</v>
      </c>
    </row>
    <row r="3286">
      <c r="A3286" s="36" t="s">
        <v>7265</v>
      </c>
      <c r="B3286" s="154" t="s">
        <v>7266</v>
      </c>
      <c r="C3286" s="36" t="s">
        <v>1666</v>
      </c>
      <c r="D3286" s="36" t="s">
        <v>130</v>
      </c>
      <c r="E3286" s="36" t="s">
        <v>130</v>
      </c>
      <c r="F3286" s="154" t="s">
        <v>1810</v>
      </c>
      <c r="G3286" s="36" t="s">
        <v>32</v>
      </c>
      <c r="H3286" s="36" t="s">
        <v>1655</v>
      </c>
      <c r="I3286" s="36" t="s">
        <v>1656</v>
      </c>
      <c r="J3286" s="36" t="s">
        <v>1656</v>
      </c>
      <c r="K3286" s="36" t="s">
        <v>1857</v>
      </c>
      <c r="L3286" s="36" t="s">
        <v>6585</v>
      </c>
      <c r="M3286" s="36" t="s">
        <v>6585</v>
      </c>
      <c r="N3286" s="36" t="s">
        <v>32</v>
      </c>
    </row>
    <row r="3287">
      <c r="A3287" s="36" t="s">
        <v>7267</v>
      </c>
      <c r="B3287" s="154" t="s">
        <v>7268</v>
      </c>
      <c r="C3287" s="36" t="s">
        <v>1666</v>
      </c>
      <c r="D3287" s="36" t="s">
        <v>81</v>
      </c>
      <c r="E3287" s="36" t="s">
        <v>81</v>
      </c>
      <c r="F3287" s="154" t="s">
        <v>6680</v>
      </c>
      <c r="G3287" s="36" t="s">
        <v>28</v>
      </c>
      <c r="H3287" s="36" t="s">
        <v>1655</v>
      </c>
      <c r="I3287" s="36" t="s">
        <v>1656</v>
      </c>
      <c r="J3287" s="36" t="s">
        <v>1656</v>
      </c>
      <c r="K3287" s="36" t="s">
        <v>1811</v>
      </c>
      <c r="L3287" s="36" t="s">
        <v>6585</v>
      </c>
      <c r="M3287" s="36" t="s">
        <v>6585</v>
      </c>
      <c r="N3287" s="36" t="s">
        <v>32</v>
      </c>
    </row>
    <row r="3288">
      <c r="A3288" s="36" t="s">
        <v>7269</v>
      </c>
      <c r="B3288" s="154" t="s">
        <v>7268</v>
      </c>
      <c r="C3288" s="36" t="s">
        <v>1666</v>
      </c>
      <c r="D3288" s="36" t="s">
        <v>83</v>
      </c>
      <c r="E3288" s="36" t="s">
        <v>83</v>
      </c>
      <c r="F3288" s="154" t="s">
        <v>6682</v>
      </c>
      <c r="G3288" s="36" t="s">
        <v>28</v>
      </c>
      <c r="H3288" s="36" t="s">
        <v>1655</v>
      </c>
      <c r="I3288" s="36" t="s">
        <v>1656</v>
      </c>
      <c r="J3288" s="36" t="s">
        <v>1656</v>
      </c>
      <c r="K3288" s="36" t="s">
        <v>1891</v>
      </c>
      <c r="L3288" s="36" t="s">
        <v>6585</v>
      </c>
      <c r="M3288" s="36" t="s">
        <v>6585</v>
      </c>
      <c r="N3288" s="36" t="s">
        <v>32</v>
      </c>
    </row>
    <row r="3289">
      <c r="A3289" s="36" t="s">
        <v>7270</v>
      </c>
      <c r="B3289" s="154" t="s">
        <v>7268</v>
      </c>
      <c r="C3289" s="36" t="s">
        <v>1666</v>
      </c>
      <c r="D3289" s="36" t="s">
        <v>84</v>
      </c>
      <c r="E3289" s="36" t="s">
        <v>84</v>
      </c>
      <c r="F3289" s="154" t="s">
        <v>7027</v>
      </c>
      <c r="G3289" s="36" t="s">
        <v>32</v>
      </c>
      <c r="H3289" s="36" t="s">
        <v>1655</v>
      </c>
      <c r="I3289" s="36" t="s">
        <v>1656</v>
      </c>
      <c r="J3289" s="36" t="s">
        <v>1656</v>
      </c>
      <c r="K3289" s="36" t="s">
        <v>1921</v>
      </c>
      <c r="L3289" s="36" t="s">
        <v>6585</v>
      </c>
      <c r="M3289" s="36" t="s">
        <v>6585</v>
      </c>
      <c r="N3289" s="36" t="s">
        <v>32</v>
      </c>
    </row>
    <row r="3290">
      <c r="A3290" s="36" t="s">
        <v>7271</v>
      </c>
      <c r="B3290" s="154" t="s">
        <v>7268</v>
      </c>
      <c r="C3290" s="36" t="s">
        <v>1666</v>
      </c>
      <c r="D3290" s="36" t="s">
        <v>124</v>
      </c>
      <c r="E3290" s="36" t="s">
        <v>124</v>
      </c>
      <c r="F3290" s="154" t="s">
        <v>7272</v>
      </c>
      <c r="G3290" s="36" t="s">
        <v>32</v>
      </c>
      <c r="H3290" s="36" t="s">
        <v>1655</v>
      </c>
      <c r="I3290" s="36" t="s">
        <v>1656</v>
      </c>
      <c r="J3290" s="36" t="s">
        <v>1656</v>
      </c>
      <c r="K3290" s="36" t="s">
        <v>7273</v>
      </c>
      <c r="L3290" s="36" t="s">
        <v>6585</v>
      </c>
      <c r="M3290" s="36" t="s">
        <v>6585</v>
      </c>
      <c r="N3290" s="36" t="s">
        <v>32</v>
      </c>
    </row>
    <row r="3291">
      <c r="A3291" s="36" t="s">
        <v>7274</v>
      </c>
      <c r="B3291" s="154" t="s">
        <v>7275</v>
      </c>
      <c r="C3291" s="36" t="s">
        <v>1653</v>
      </c>
      <c r="D3291" s="36" t="s">
        <v>158</v>
      </c>
      <c r="E3291" s="36" t="s">
        <v>39</v>
      </c>
      <c r="F3291" s="154" t="s">
        <v>7276</v>
      </c>
      <c r="G3291" s="36" t="s">
        <v>32</v>
      </c>
      <c r="H3291" s="36" t="s">
        <v>1655</v>
      </c>
      <c r="I3291" s="36" t="s">
        <v>1656</v>
      </c>
      <c r="J3291" s="36" t="s">
        <v>1656</v>
      </c>
      <c r="K3291" s="36" t="s">
        <v>2848</v>
      </c>
      <c r="L3291" s="36" t="s">
        <v>6583</v>
      </c>
      <c r="M3291" s="36" t="s">
        <v>6583</v>
      </c>
      <c r="N3291" s="36" t="s">
        <v>32</v>
      </c>
    </row>
    <row r="3292">
      <c r="A3292" s="36" t="s">
        <v>7277</v>
      </c>
      <c r="B3292" s="154" t="s">
        <v>7275</v>
      </c>
      <c r="C3292" s="36" t="s">
        <v>1666</v>
      </c>
      <c r="D3292" s="36" t="s">
        <v>89</v>
      </c>
      <c r="E3292" s="36" t="s">
        <v>89</v>
      </c>
      <c r="F3292" s="154" t="s">
        <v>5874</v>
      </c>
      <c r="G3292" s="36" t="s">
        <v>28</v>
      </c>
      <c r="H3292" s="36" t="s">
        <v>1655</v>
      </c>
      <c r="I3292" s="36" t="s">
        <v>1656</v>
      </c>
      <c r="J3292" s="36" t="s">
        <v>1656</v>
      </c>
      <c r="K3292" s="36" t="s">
        <v>3035</v>
      </c>
      <c r="L3292" s="36" t="s">
        <v>6585</v>
      </c>
      <c r="M3292" s="36" t="s">
        <v>6585</v>
      </c>
      <c r="N3292" s="36" t="s">
        <v>34</v>
      </c>
    </row>
    <row r="3293">
      <c r="A3293" s="36" t="s">
        <v>7278</v>
      </c>
      <c r="B3293" s="154" t="s">
        <v>7275</v>
      </c>
      <c r="C3293" s="36" t="s">
        <v>1666</v>
      </c>
      <c r="D3293" s="36" t="s">
        <v>440</v>
      </c>
      <c r="E3293" s="36" t="s">
        <v>440</v>
      </c>
      <c r="F3293" s="154" t="s">
        <v>2163</v>
      </c>
      <c r="G3293" s="36" t="s">
        <v>32</v>
      </c>
      <c r="H3293" s="36" t="s">
        <v>1655</v>
      </c>
      <c r="I3293" s="36" t="s">
        <v>1656</v>
      </c>
      <c r="J3293" s="36" t="s">
        <v>1656</v>
      </c>
      <c r="K3293" s="36" t="s">
        <v>3038</v>
      </c>
      <c r="L3293" s="36" t="s">
        <v>6585</v>
      </c>
      <c r="M3293" s="36" t="s">
        <v>6585</v>
      </c>
      <c r="N3293" s="36" t="s">
        <v>34</v>
      </c>
    </row>
    <row r="3294">
      <c r="A3294" s="36" t="s">
        <v>7279</v>
      </c>
      <c r="B3294" s="154" t="s">
        <v>7275</v>
      </c>
      <c r="C3294" s="36" t="s">
        <v>1666</v>
      </c>
      <c r="D3294" s="36" t="s">
        <v>450</v>
      </c>
      <c r="E3294" s="36" t="s">
        <v>450</v>
      </c>
      <c r="F3294" s="154" t="s">
        <v>1744</v>
      </c>
      <c r="G3294" s="36" t="s">
        <v>28</v>
      </c>
      <c r="H3294" s="36" t="s">
        <v>1655</v>
      </c>
      <c r="I3294" s="36" t="s">
        <v>1656</v>
      </c>
      <c r="J3294" s="36" t="s">
        <v>1656</v>
      </c>
      <c r="K3294" s="36" t="s">
        <v>2775</v>
      </c>
      <c r="L3294" s="36" t="s">
        <v>6585</v>
      </c>
      <c r="M3294" s="36" t="s">
        <v>6585</v>
      </c>
      <c r="N3294" s="36" t="s">
        <v>34</v>
      </c>
    </row>
    <row r="3295">
      <c r="A3295" s="36" t="s">
        <v>7280</v>
      </c>
      <c r="B3295" s="154" t="s">
        <v>7275</v>
      </c>
      <c r="C3295" s="36" t="s">
        <v>1666</v>
      </c>
      <c r="D3295" s="36" t="s">
        <v>454</v>
      </c>
      <c r="E3295" s="36" t="s">
        <v>454</v>
      </c>
      <c r="F3295" s="154" t="s">
        <v>3064</v>
      </c>
      <c r="G3295" s="36" t="s">
        <v>28</v>
      </c>
      <c r="H3295" s="36" t="s">
        <v>1655</v>
      </c>
      <c r="I3295" s="36" t="s">
        <v>1656</v>
      </c>
      <c r="J3295" s="36" t="s">
        <v>1656</v>
      </c>
      <c r="K3295" s="36" t="s">
        <v>2779</v>
      </c>
      <c r="L3295" s="36" t="s">
        <v>6585</v>
      </c>
      <c r="M3295" s="36" t="s">
        <v>6585</v>
      </c>
      <c r="N3295" s="36" t="s">
        <v>34</v>
      </c>
    </row>
    <row r="3296">
      <c r="A3296" s="36" t="s">
        <v>7281</v>
      </c>
      <c r="B3296" s="154" t="s">
        <v>7275</v>
      </c>
      <c r="C3296" s="36" t="s">
        <v>1666</v>
      </c>
      <c r="D3296" s="36" t="s">
        <v>7282</v>
      </c>
      <c r="E3296" s="36" t="s">
        <v>7282</v>
      </c>
      <c r="F3296" s="154" t="s">
        <v>2049</v>
      </c>
      <c r="G3296" s="36" t="s">
        <v>32</v>
      </c>
      <c r="H3296" s="36" t="s">
        <v>1655</v>
      </c>
      <c r="I3296" s="36" t="s">
        <v>1656</v>
      </c>
      <c r="J3296" s="36" t="s">
        <v>1656</v>
      </c>
      <c r="K3296" s="36" t="s">
        <v>2781</v>
      </c>
      <c r="L3296" s="36" t="s">
        <v>6585</v>
      </c>
      <c r="M3296" s="36" t="s">
        <v>6585</v>
      </c>
      <c r="N3296" s="36" t="s">
        <v>34</v>
      </c>
    </row>
    <row r="3297">
      <c r="A3297" s="36" t="s">
        <v>7283</v>
      </c>
      <c r="B3297" s="154" t="s">
        <v>7275</v>
      </c>
      <c r="C3297" s="36" t="s">
        <v>1666</v>
      </c>
      <c r="D3297" s="36" t="s">
        <v>465</v>
      </c>
      <c r="E3297" s="36" t="s">
        <v>465</v>
      </c>
      <c r="F3297" s="154" t="s">
        <v>1810</v>
      </c>
      <c r="G3297" s="36" t="s">
        <v>28</v>
      </c>
      <c r="H3297" s="36" t="s">
        <v>1655</v>
      </c>
      <c r="I3297" s="36" t="s">
        <v>1656</v>
      </c>
      <c r="J3297" s="36" t="s">
        <v>1656</v>
      </c>
      <c r="K3297" s="36" t="s">
        <v>5709</v>
      </c>
      <c r="L3297" s="36" t="s">
        <v>6585</v>
      </c>
      <c r="M3297" s="36" t="s">
        <v>6585</v>
      </c>
      <c r="N3297" s="36" t="s">
        <v>34</v>
      </c>
    </row>
    <row r="3298">
      <c r="A3298" s="36" t="s">
        <v>7284</v>
      </c>
      <c r="B3298" s="154" t="s">
        <v>7275</v>
      </c>
      <c r="C3298" s="36" t="s">
        <v>1666</v>
      </c>
      <c r="D3298" s="36" t="s">
        <v>85</v>
      </c>
      <c r="E3298" s="36" t="s">
        <v>85</v>
      </c>
      <c r="F3298" s="154" t="s">
        <v>7040</v>
      </c>
      <c r="G3298" s="36" t="s">
        <v>28</v>
      </c>
      <c r="H3298" s="36" t="s">
        <v>1655</v>
      </c>
      <c r="I3298" s="36" t="s">
        <v>1656</v>
      </c>
      <c r="J3298" s="36" t="s">
        <v>1656</v>
      </c>
      <c r="K3298" s="36" t="s">
        <v>5711</v>
      </c>
      <c r="L3298" s="36" t="s">
        <v>6585</v>
      </c>
      <c r="M3298" s="36" t="s">
        <v>6585</v>
      </c>
      <c r="N3298" s="36" t="s">
        <v>32</v>
      </c>
    </row>
    <row r="3299">
      <c r="A3299" s="36" t="s">
        <v>7285</v>
      </c>
      <c r="B3299" s="154" t="s">
        <v>7275</v>
      </c>
      <c r="C3299" s="36" t="s">
        <v>1666</v>
      </c>
      <c r="D3299" s="36" t="s">
        <v>439</v>
      </c>
      <c r="E3299" s="36" t="s">
        <v>439</v>
      </c>
      <c r="F3299" s="154" t="s">
        <v>7286</v>
      </c>
      <c r="G3299" s="36" t="s">
        <v>28</v>
      </c>
      <c r="H3299" s="36" t="s">
        <v>1655</v>
      </c>
      <c r="I3299" s="36" t="s">
        <v>1656</v>
      </c>
      <c r="J3299" s="36" t="s">
        <v>1656</v>
      </c>
      <c r="K3299" s="36" t="s">
        <v>5713</v>
      </c>
      <c r="L3299" s="36" t="s">
        <v>6585</v>
      </c>
      <c r="M3299" s="36" t="s">
        <v>6585</v>
      </c>
      <c r="N3299" s="36" t="s">
        <v>32</v>
      </c>
    </row>
    <row r="3300">
      <c r="A3300" s="36" t="s">
        <v>7287</v>
      </c>
      <c r="B3300" s="154" t="s">
        <v>7275</v>
      </c>
      <c r="C3300" s="36" t="s">
        <v>1666</v>
      </c>
      <c r="D3300" s="36" t="s">
        <v>192</v>
      </c>
      <c r="E3300" s="36" t="s">
        <v>192</v>
      </c>
      <c r="F3300" s="154" t="s">
        <v>7288</v>
      </c>
      <c r="G3300" s="36" t="s">
        <v>28</v>
      </c>
      <c r="H3300" s="36" t="s">
        <v>1655</v>
      </c>
      <c r="I3300" s="36" t="s">
        <v>1656</v>
      </c>
      <c r="J3300" s="36" t="s">
        <v>1656</v>
      </c>
      <c r="K3300" s="36" t="s">
        <v>5715</v>
      </c>
      <c r="L3300" s="36" t="s">
        <v>6585</v>
      </c>
      <c r="M3300" s="36" t="s">
        <v>6585</v>
      </c>
      <c r="N3300" s="36" t="s">
        <v>32</v>
      </c>
    </row>
    <row r="3301">
      <c r="A3301" s="36" t="s">
        <v>7289</v>
      </c>
      <c r="B3301" s="154" t="s">
        <v>7275</v>
      </c>
      <c r="C3301" s="36" t="s">
        <v>1666</v>
      </c>
      <c r="D3301" s="36" t="s">
        <v>482</v>
      </c>
      <c r="E3301" s="36" t="s">
        <v>482</v>
      </c>
      <c r="F3301" s="154" t="s">
        <v>1959</v>
      </c>
      <c r="G3301" s="36" t="s">
        <v>28</v>
      </c>
      <c r="H3301" s="36" t="s">
        <v>1655</v>
      </c>
      <c r="I3301" s="36" t="s">
        <v>1656</v>
      </c>
      <c r="J3301" s="36" t="s">
        <v>1656</v>
      </c>
      <c r="K3301" s="36" t="s">
        <v>5717</v>
      </c>
      <c r="L3301" s="36" t="s">
        <v>6585</v>
      </c>
      <c r="M3301" s="36" t="s">
        <v>6585</v>
      </c>
      <c r="N3301" s="36" t="s">
        <v>34</v>
      </c>
    </row>
    <row r="3302">
      <c r="A3302" s="36" t="s">
        <v>7290</v>
      </c>
      <c r="B3302" s="154" t="s">
        <v>7275</v>
      </c>
      <c r="C3302" s="36" t="s">
        <v>1666</v>
      </c>
      <c r="D3302" s="36" t="s">
        <v>490</v>
      </c>
      <c r="E3302" s="36" t="s">
        <v>490</v>
      </c>
      <c r="F3302" s="154" t="s">
        <v>2292</v>
      </c>
      <c r="G3302" s="36" t="s">
        <v>32</v>
      </c>
      <c r="H3302" s="36" t="s">
        <v>1655</v>
      </c>
      <c r="I3302" s="36" t="s">
        <v>1656</v>
      </c>
      <c r="J3302" s="36" t="s">
        <v>1656</v>
      </c>
      <c r="K3302" s="36" t="s">
        <v>1698</v>
      </c>
      <c r="L3302" s="36" t="s">
        <v>6585</v>
      </c>
      <c r="M3302" s="36" t="s">
        <v>6585</v>
      </c>
      <c r="N3302" s="36" t="s">
        <v>32</v>
      </c>
    </row>
    <row r="3303">
      <c r="A3303" s="36" t="s">
        <v>7291</v>
      </c>
      <c r="B3303" s="154" t="s">
        <v>7275</v>
      </c>
      <c r="C3303" s="36" t="s">
        <v>1666</v>
      </c>
      <c r="D3303" s="36" t="s">
        <v>497</v>
      </c>
      <c r="E3303" s="36" t="s">
        <v>497</v>
      </c>
      <c r="F3303" s="154" t="s">
        <v>2006</v>
      </c>
      <c r="G3303" s="36" t="s">
        <v>32</v>
      </c>
      <c r="H3303" s="36" t="s">
        <v>1655</v>
      </c>
      <c r="I3303" s="36" t="s">
        <v>1656</v>
      </c>
      <c r="J3303" s="36" t="s">
        <v>1656</v>
      </c>
      <c r="K3303" s="36" t="s">
        <v>1701</v>
      </c>
      <c r="L3303" s="36" t="s">
        <v>6585</v>
      </c>
      <c r="M3303" s="36" t="s">
        <v>6585</v>
      </c>
      <c r="N3303" s="36" t="s">
        <v>32</v>
      </c>
    </row>
    <row r="3304">
      <c r="A3304" s="36" t="s">
        <v>7292</v>
      </c>
      <c r="B3304" s="154" t="s">
        <v>7275</v>
      </c>
      <c r="C3304" s="36" t="s">
        <v>1666</v>
      </c>
      <c r="D3304" s="36" t="s">
        <v>89</v>
      </c>
      <c r="E3304" s="36" t="s">
        <v>89</v>
      </c>
      <c r="F3304" s="154" t="s">
        <v>1868</v>
      </c>
      <c r="G3304" s="36" t="s">
        <v>28</v>
      </c>
      <c r="H3304" s="36" t="s">
        <v>1655</v>
      </c>
      <c r="I3304" s="36" t="s">
        <v>1656</v>
      </c>
      <c r="J3304" s="36" t="s">
        <v>1656</v>
      </c>
      <c r="K3304" s="36" t="s">
        <v>1704</v>
      </c>
      <c r="L3304" s="36" t="s">
        <v>6585</v>
      </c>
      <c r="M3304" s="36" t="s">
        <v>6585</v>
      </c>
      <c r="N3304" s="36" t="s">
        <v>32</v>
      </c>
    </row>
    <row r="3305">
      <c r="A3305" s="36" t="s">
        <v>7293</v>
      </c>
      <c r="B3305" s="154" t="s">
        <v>7275</v>
      </c>
      <c r="C3305" s="36" t="s">
        <v>1666</v>
      </c>
      <c r="D3305" s="36" t="s">
        <v>104</v>
      </c>
      <c r="E3305" s="36" t="s">
        <v>104</v>
      </c>
      <c r="F3305" s="154" t="s">
        <v>2039</v>
      </c>
      <c r="G3305" s="36" t="s">
        <v>32</v>
      </c>
      <c r="H3305" s="36" t="s">
        <v>1655</v>
      </c>
      <c r="I3305" s="36" t="s">
        <v>1656</v>
      </c>
      <c r="J3305" s="36" t="s">
        <v>1656</v>
      </c>
      <c r="K3305" s="36" t="s">
        <v>1711</v>
      </c>
      <c r="L3305" s="36" t="s">
        <v>6585</v>
      </c>
      <c r="M3305" s="36" t="s">
        <v>6585</v>
      </c>
      <c r="N3305" s="36" t="s">
        <v>32</v>
      </c>
    </row>
    <row r="3306">
      <c r="A3306" s="36" t="s">
        <v>7294</v>
      </c>
      <c r="B3306" s="154" t="s">
        <v>7275</v>
      </c>
      <c r="C3306" s="36" t="s">
        <v>1666</v>
      </c>
      <c r="D3306" s="36" t="s">
        <v>509</v>
      </c>
      <c r="E3306" s="36" t="s">
        <v>509</v>
      </c>
      <c r="F3306" s="154" t="s">
        <v>2061</v>
      </c>
      <c r="G3306" s="36" t="s">
        <v>32</v>
      </c>
      <c r="H3306" s="36" t="s">
        <v>1655</v>
      </c>
      <c r="I3306" s="36" t="s">
        <v>1656</v>
      </c>
      <c r="J3306" s="36" t="s">
        <v>1656</v>
      </c>
      <c r="K3306" s="36" t="s">
        <v>1715</v>
      </c>
      <c r="L3306" s="36" t="s">
        <v>6585</v>
      </c>
      <c r="M3306" s="36" t="s">
        <v>6585</v>
      </c>
      <c r="N3306" s="36" t="s">
        <v>32</v>
      </c>
    </row>
    <row r="3307">
      <c r="A3307" s="36" t="s">
        <v>7295</v>
      </c>
      <c r="B3307" s="154" t="s">
        <v>7296</v>
      </c>
      <c r="C3307" s="36" t="s">
        <v>1666</v>
      </c>
      <c r="D3307" s="36" t="s">
        <v>509</v>
      </c>
      <c r="E3307" s="36" t="s">
        <v>509</v>
      </c>
      <c r="F3307" s="154" t="s">
        <v>7297</v>
      </c>
      <c r="G3307" s="36" t="s">
        <v>32</v>
      </c>
      <c r="H3307" s="36" t="s">
        <v>1655</v>
      </c>
      <c r="I3307" s="36" t="s">
        <v>1656</v>
      </c>
      <c r="J3307" s="36" t="s">
        <v>1656</v>
      </c>
      <c r="K3307" s="36" t="s">
        <v>1717</v>
      </c>
      <c r="L3307" s="36" t="s">
        <v>6585</v>
      </c>
      <c r="M3307" s="36" t="s">
        <v>6585</v>
      </c>
      <c r="N3307" s="36" t="s">
        <v>32</v>
      </c>
    </row>
    <row r="3308">
      <c r="A3308" s="36" t="s">
        <v>7298</v>
      </c>
      <c r="B3308" s="154" t="s">
        <v>7296</v>
      </c>
      <c r="C3308" s="36" t="s">
        <v>1666</v>
      </c>
      <c r="D3308" s="36" t="s">
        <v>109</v>
      </c>
      <c r="E3308" s="36" t="s">
        <v>109</v>
      </c>
      <c r="F3308" s="154" t="s">
        <v>6041</v>
      </c>
      <c r="G3308" s="36" t="s">
        <v>28</v>
      </c>
      <c r="H3308" s="36" t="s">
        <v>1655</v>
      </c>
      <c r="I3308" s="36" t="s">
        <v>1656</v>
      </c>
      <c r="J3308" s="36" t="s">
        <v>1656</v>
      </c>
      <c r="K3308" s="36" t="s">
        <v>1724</v>
      </c>
      <c r="L3308" s="36" t="s">
        <v>6585</v>
      </c>
      <c r="M3308" s="36" t="s">
        <v>6585</v>
      </c>
      <c r="N3308" s="36" t="s">
        <v>32</v>
      </c>
    </row>
    <row r="3309">
      <c r="A3309" s="36" t="s">
        <v>7299</v>
      </c>
      <c r="B3309" s="154" t="s">
        <v>7296</v>
      </c>
      <c r="C3309" s="36" t="s">
        <v>1666</v>
      </c>
      <c r="D3309" s="36" t="s">
        <v>522</v>
      </c>
      <c r="E3309" s="36" t="s">
        <v>522</v>
      </c>
      <c r="F3309" s="154" t="s">
        <v>1899</v>
      </c>
      <c r="G3309" s="36" t="s">
        <v>28</v>
      </c>
      <c r="H3309" s="36" t="s">
        <v>1655</v>
      </c>
      <c r="I3309" s="36" t="s">
        <v>1656</v>
      </c>
      <c r="J3309" s="36" t="s">
        <v>1656</v>
      </c>
      <c r="K3309" s="36" t="s">
        <v>1727</v>
      </c>
      <c r="L3309" s="36" t="s">
        <v>6585</v>
      </c>
      <c r="M3309" s="36" t="s">
        <v>6585</v>
      </c>
      <c r="N3309" s="36" t="s">
        <v>32</v>
      </c>
    </row>
    <row r="3310">
      <c r="A3310" s="36" t="s">
        <v>7300</v>
      </c>
      <c r="B3310" s="154" t="s">
        <v>7301</v>
      </c>
      <c r="C3310" s="36" t="s">
        <v>1666</v>
      </c>
      <c r="D3310" s="36" t="s">
        <v>78</v>
      </c>
      <c r="E3310" s="36" t="s">
        <v>78</v>
      </c>
      <c r="F3310" s="154" t="s">
        <v>2027</v>
      </c>
      <c r="G3310" s="36" t="s">
        <v>28</v>
      </c>
      <c r="H3310" s="36" t="s">
        <v>1655</v>
      </c>
      <c r="I3310" s="36" t="s">
        <v>1656</v>
      </c>
      <c r="J3310" s="36" t="s">
        <v>1656</v>
      </c>
      <c r="K3310" s="36" t="s">
        <v>4248</v>
      </c>
      <c r="L3310" s="36" t="s">
        <v>6585</v>
      </c>
      <c r="M3310" s="36" t="s">
        <v>6585</v>
      </c>
      <c r="N3310" s="36" t="s">
        <v>32</v>
      </c>
    </row>
    <row r="3311">
      <c r="A3311" s="36" t="s">
        <v>7302</v>
      </c>
      <c r="B3311" s="154" t="s">
        <v>7303</v>
      </c>
      <c r="C3311" s="36" t="s">
        <v>1666</v>
      </c>
      <c r="D3311" s="36" t="s">
        <v>63</v>
      </c>
      <c r="E3311" s="36" t="s">
        <v>63</v>
      </c>
      <c r="F3311" s="154" t="s">
        <v>7304</v>
      </c>
      <c r="G3311" s="36" t="s">
        <v>32</v>
      </c>
      <c r="H3311" s="36" t="s">
        <v>1655</v>
      </c>
      <c r="I3311" s="36" t="s">
        <v>1656</v>
      </c>
      <c r="J3311" s="36" t="s">
        <v>1656</v>
      </c>
      <c r="K3311" s="36" t="s">
        <v>4196</v>
      </c>
      <c r="L3311" s="36" t="s">
        <v>6585</v>
      </c>
      <c r="M3311" s="36" t="s">
        <v>6585</v>
      </c>
      <c r="N3311" s="36" t="s">
        <v>34</v>
      </c>
    </row>
    <row r="3312">
      <c r="A3312" s="36" t="s">
        <v>7305</v>
      </c>
      <c r="B3312" s="154" t="s">
        <v>7303</v>
      </c>
      <c r="C3312" s="36" t="s">
        <v>1666</v>
      </c>
      <c r="D3312" s="36" t="s">
        <v>92</v>
      </c>
      <c r="E3312" s="36" t="s">
        <v>92</v>
      </c>
      <c r="F3312" s="154" t="s">
        <v>1816</v>
      </c>
      <c r="G3312" s="36" t="s">
        <v>32</v>
      </c>
      <c r="H3312" s="36" t="s">
        <v>1655</v>
      </c>
      <c r="I3312" s="36" t="s">
        <v>1656</v>
      </c>
      <c r="J3312" s="36" t="s">
        <v>1656</v>
      </c>
      <c r="K3312" s="36" t="s">
        <v>1730</v>
      </c>
      <c r="L3312" s="36" t="s">
        <v>6585</v>
      </c>
      <c r="M3312" s="36" t="s">
        <v>6585</v>
      </c>
      <c r="N3312" s="36" t="s">
        <v>32</v>
      </c>
    </row>
    <row r="3313">
      <c r="A3313" s="36" t="s">
        <v>7306</v>
      </c>
      <c r="B3313" s="154" t="s">
        <v>7303</v>
      </c>
      <c r="C3313" s="36" t="s">
        <v>1666</v>
      </c>
      <c r="D3313" s="36" t="s">
        <v>218</v>
      </c>
      <c r="E3313" s="36" t="s">
        <v>218</v>
      </c>
      <c r="F3313" s="154" t="s">
        <v>1686</v>
      </c>
      <c r="G3313" s="36" t="s">
        <v>32</v>
      </c>
      <c r="H3313" s="36" t="s">
        <v>1655</v>
      </c>
      <c r="I3313" s="36" t="s">
        <v>1656</v>
      </c>
      <c r="J3313" s="36" t="s">
        <v>1656</v>
      </c>
      <c r="K3313" s="36" t="s">
        <v>1732</v>
      </c>
      <c r="L3313" s="36" t="s">
        <v>6585</v>
      </c>
      <c r="M3313" s="36" t="s">
        <v>6585</v>
      </c>
      <c r="N3313" s="36" t="s">
        <v>32</v>
      </c>
    </row>
    <row r="3314">
      <c r="A3314" s="36" t="s">
        <v>7307</v>
      </c>
      <c r="B3314" s="154" t="s">
        <v>7308</v>
      </c>
      <c r="C3314" s="36" t="s">
        <v>1666</v>
      </c>
      <c r="D3314" s="36" t="s">
        <v>64</v>
      </c>
      <c r="E3314" s="36" t="s">
        <v>64</v>
      </c>
      <c r="F3314" s="154" t="s">
        <v>3867</v>
      </c>
      <c r="G3314" s="36" t="s">
        <v>28</v>
      </c>
      <c r="H3314" s="36" t="s">
        <v>1655</v>
      </c>
      <c r="I3314" s="36" t="s">
        <v>1656</v>
      </c>
      <c r="J3314" s="36" t="s">
        <v>1656</v>
      </c>
      <c r="K3314" s="36" t="s">
        <v>1708</v>
      </c>
      <c r="L3314" s="36" t="s">
        <v>6585</v>
      </c>
      <c r="M3314" s="36" t="s">
        <v>6585</v>
      </c>
      <c r="N3314" s="36" t="s">
        <v>32</v>
      </c>
    </row>
    <row r="3315">
      <c r="A3315" s="36" t="s">
        <v>7309</v>
      </c>
      <c r="B3315" s="154" t="s">
        <v>7308</v>
      </c>
      <c r="C3315" s="36" t="s">
        <v>1666</v>
      </c>
      <c r="D3315" s="36" t="s">
        <v>220</v>
      </c>
      <c r="E3315" s="36" t="s">
        <v>220</v>
      </c>
      <c r="F3315" s="154" t="s">
        <v>7310</v>
      </c>
      <c r="G3315" s="36" t="s">
        <v>28</v>
      </c>
      <c r="H3315" s="36" t="s">
        <v>1655</v>
      </c>
      <c r="I3315" s="36" t="s">
        <v>1656</v>
      </c>
      <c r="J3315" s="36" t="s">
        <v>1656</v>
      </c>
      <c r="K3315" s="36" t="s">
        <v>1736</v>
      </c>
      <c r="L3315" s="36" t="s">
        <v>6585</v>
      </c>
      <c r="M3315" s="36" t="s">
        <v>6585</v>
      </c>
      <c r="N3315" s="36" t="s">
        <v>32</v>
      </c>
    </row>
    <row r="3316">
      <c r="A3316" s="36" t="s">
        <v>7311</v>
      </c>
      <c r="B3316" s="154" t="s">
        <v>7308</v>
      </c>
      <c r="C3316" s="36" t="s">
        <v>1666</v>
      </c>
      <c r="D3316" s="36" t="s">
        <v>226</v>
      </c>
      <c r="E3316" s="36" t="s">
        <v>226</v>
      </c>
      <c r="F3316" s="154" t="s">
        <v>7312</v>
      </c>
      <c r="G3316" s="36" t="s">
        <v>32</v>
      </c>
      <c r="H3316" s="36" t="s">
        <v>1655</v>
      </c>
      <c r="I3316" s="36" t="s">
        <v>1656</v>
      </c>
      <c r="J3316" s="36" t="s">
        <v>1656</v>
      </c>
      <c r="K3316" s="36" t="s">
        <v>1739</v>
      </c>
      <c r="L3316" s="36" t="s">
        <v>6585</v>
      </c>
      <c r="M3316" s="36" t="s">
        <v>6585</v>
      </c>
      <c r="N3316" s="36" t="s">
        <v>32</v>
      </c>
    </row>
    <row r="3317">
      <c r="A3317" s="36" t="s">
        <v>7313</v>
      </c>
      <c r="B3317" s="154" t="s">
        <v>7308</v>
      </c>
      <c r="C3317" s="36" t="s">
        <v>1666</v>
      </c>
      <c r="D3317" s="36" t="s">
        <v>92</v>
      </c>
      <c r="E3317" s="36" t="s">
        <v>92</v>
      </c>
      <c r="F3317" s="154" t="s">
        <v>1810</v>
      </c>
      <c r="G3317" s="36" t="s">
        <v>32</v>
      </c>
      <c r="H3317" s="36" t="s">
        <v>1655</v>
      </c>
      <c r="I3317" s="36" t="s">
        <v>1656</v>
      </c>
      <c r="J3317" s="36" t="s">
        <v>1656</v>
      </c>
      <c r="K3317" s="36" t="s">
        <v>1742</v>
      </c>
      <c r="L3317" s="36" t="s">
        <v>6585</v>
      </c>
      <c r="M3317" s="36" t="s">
        <v>6585</v>
      </c>
      <c r="N3317" s="36" t="s">
        <v>32</v>
      </c>
    </row>
    <row r="3318">
      <c r="A3318" s="36" t="s">
        <v>7314</v>
      </c>
      <c r="B3318" s="154" t="s">
        <v>7308</v>
      </c>
      <c r="C3318" s="36" t="s">
        <v>1666</v>
      </c>
      <c r="D3318" s="36" t="s">
        <v>555</v>
      </c>
      <c r="E3318" s="36" t="s">
        <v>555</v>
      </c>
      <c r="F3318" s="154" t="s">
        <v>7315</v>
      </c>
      <c r="G3318" s="36" t="s">
        <v>28</v>
      </c>
      <c r="H3318" s="36" t="s">
        <v>1655</v>
      </c>
      <c r="I3318" s="36" t="s">
        <v>1656</v>
      </c>
      <c r="J3318" s="36" t="s">
        <v>1656</v>
      </c>
      <c r="K3318" s="36" t="s">
        <v>1745</v>
      </c>
      <c r="L3318" s="36" t="s">
        <v>6585</v>
      </c>
      <c r="M3318" s="36" t="s">
        <v>6585</v>
      </c>
      <c r="N3318" s="36" t="s">
        <v>34</v>
      </c>
    </row>
    <row r="3319">
      <c r="A3319" s="36" t="s">
        <v>7316</v>
      </c>
      <c r="B3319" s="154" t="s">
        <v>7317</v>
      </c>
      <c r="C3319" s="36" t="s">
        <v>1666</v>
      </c>
      <c r="D3319" s="36" t="s">
        <v>561</v>
      </c>
      <c r="E3319" s="36" t="s">
        <v>561</v>
      </c>
      <c r="F3319" s="154" t="s">
        <v>1980</v>
      </c>
      <c r="G3319" s="36" t="s">
        <v>28</v>
      </c>
      <c r="H3319" s="36" t="s">
        <v>1655</v>
      </c>
      <c r="I3319" s="36" t="s">
        <v>1656</v>
      </c>
      <c r="J3319" s="36" t="s">
        <v>1656</v>
      </c>
      <c r="K3319" s="36" t="s">
        <v>1773</v>
      </c>
      <c r="L3319" s="36" t="s">
        <v>6585</v>
      </c>
      <c r="M3319" s="36" t="s">
        <v>6585</v>
      </c>
      <c r="N3319" s="36" t="s">
        <v>34</v>
      </c>
    </row>
    <row r="3320">
      <c r="A3320" s="36" t="s">
        <v>7318</v>
      </c>
      <c r="B3320" s="154" t="s">
        <v>7317</v>
      </c>
      <c r="C3320" s="36" t="s">
        <v>1666</v>
      </c>
      <c r="D3320" s="36" t="s">
        <v>567</v>
      </c>
      <c r="E3320" s="36" t="s">
        <v>567</v>
      </c>
      <c r="F3320" s="154" t="s">
        <v>1859</v>
      </c>
      <c r="G3320" s="36" t="s">
        <v>28</v>
      </c>
      <c r="H3320" s="36" t="s">
        <v>1655</v>
      </c>
      <c r="I3320" s="36" t="s">
        <v>1656</v>
      </c>
      <c r="J3320" s="36" t="s">
        <v>1656</v>
      </c>
      <c r="K3320" s="36" t="s">
        <v>1776</v>
      </c>
      <c r="L3320" s="36" t="s">
        <v>6585</v>
      </c>
      <c r="M3320" s="36" t="s">
        <v>6585</v>
      </c>
      <c r="N3320" s="36" t="s">
        <v>34</v>
      </c>
    </row>
    <row r="3321">
      <c r="A3321" s="36" t="s">
        <v>7319</v>
      </c>
      <c r="B3321" s="154" t="s">
        <v>7317</v>
      </c>
      <c r="C3321" s="36" t="s">
        <v>1666</v>
      </c>
      <c r="D3321" s="36" t="s">
        <v>299</v>
      </c>
      <c r="E3321" s="36" t="s">
        <v>299</v>
      </c>
      <c r="F3321" s="154" t="s">
        <v>2156</v>
      </c>
      <c r="G3321" s="36" t="s">
        <v>28</v>
      </c>
      <c r="H3321" s="36" t="s">
        <v>1655</v>
      </c>
      <c r="I3321" s="36" t="s">
        <v>1656</v>
      </c>
      <c r="J3321" s="36" t="s">
        <v>1656</v>
      </c>
      <c r="K3321" s="36" t="s">
        <v>1779</v>
      </c>
      <c r="L3321" s="36" t="s">
        <v>6585</v>
      </c>
      <c r="M3321" s="36" t="s">
        <v>6585</v>
      </c>
      <c r="N3321" s="36" t="s">
        <v>34</v>
      </c>
    </row>
    <row r="3322">
      <c r="A3322" s="36" t="s">
        <v>7320</v>
      </c>
      <c r="B3322" s="154" t="s">
        <v>7321</v>
      </c>
      <c r="C3322" s="36" t="s">
        <v>1666</v>
      </c>
      <c r="D3322" s="36" t="s">
        <v>89</v>
      </c>
      <c r="E3322" s="36" t="s">
        <v>89</v>
      </c>
      <c r="F3322" s="154" t="s">
        <v>7322</v>
      </c>
      <c r="G3322" s="36" t="s">
        <v>28</v>
      </c>
      <c r="H3322" s="36" t="s">
        <v>1655</v>
      </c>
      <c r="I3322" s="36" t="s">
        <v>1656</v>
      </c>
      <c r="J3322" s="36" t="s">
        <v>1656</v>
      </c>
      <c r="K3322" s="36" t="s">
        <v>1782</v>
      </c>
      <c r="L3322" s="36" t="s">
        <v>6585</v>
      </c>
      <c r="M3322" s="36" t="s">
        <v>6585</v>
      </c>
      <c r="N3322" s="36" t="s">
        <v>32</v>
      </c>
    </row>
    <row r="3323">
      <c r="A3323" s="36" t="s">
        <v>7323</v>
      </c>
      <c r="B3323" s="154" t="s">
        <v>7321</v>
      </c>
      <c r="C3323" s="36" t="s">
        <v>1666</v>
      </c>
      <c r="D3323" s="36" t="s">
        <v>92</v>
      </c>
      <c r="E3323" s="36" t="s">
        <v>92</v>
      </c>
      <c r="F3323" s="154" t="s">
        <v>1686</v>
      </c>
      <c r="G3323" s="36" t="s">
        <v>32</v>
      </c>
      <c r="H3323" s="36" t="s">
        <v>1655</v>
      </c>
      <c r="I3323" s="36" t="s">
        <v>1656</v>
      </c>
      <c r="J3323" s="36" t="s">
        <v>1656</v>
      </c>
      <c r="K3323" s="36" t="s">
        <v>1784</v>
      </c>
      <c r="L3323" s="36" t="s">
        <v>6585</v>
      </c>
      <c r="M3323" s="36" t="s">
        <v>6585</v>
      </c>
      <c r="N3323" s="36" t="s">
        <v>32</v>
      </c>
    </row>
    <row r="3324">
      <c r="A3324" s="36" t="s">
        <v>7324</v>
      </c>
      <c r="B3324" s="154" t="s">
        <v>7325</v>
      </c>
      <c r="C3324" s="36" t="s">
        <v>1666</v>
      </c>
      <c r="D3324" s="36" t="s">
        <v>585</v>
      </c>
      <c r="E3324" s="36" t="s">
        <v>585</v>
      </c>
      <c r="F3324" s="154" t="s">
        <v>7326</v>
      </c>
      <c r="G3324" s="36" t="s">
        <v>32</v>
      </c>
      <c r="H3324" s="36" t="s">
        <v>1655</v>
      </c>
      <c r="I3324" s="36" t="s">
        <v>1656</v>
      </c>
      <c r="J3324" s="36" t="s">
        <v>1656</v>
      </c>
      <c r="K3324" s="36" t="s">
        <v>1787</v>
      </c>
      <c r="L3324" s="36" t="s">
        <v>6585</v>
      </c>
      <c r="M3324" s="36" t="s">
        <v>6585</v>
      </c>
      <c r="N3324" s="36" t="s">
        <v>32</v>
      </c>
    </row>
    <row r="3325">
      <c r="A3325" s="36" t="s">
        <v>7327</v>
      </c>
      <c r="B3325" s="154" t="s">
        <v>7325</v>
      </c>
      <c r="C3325" s="36" t="s">
        <v>1666</v>
      </c>
      <c r="D3325" s="36" t="s">
        <v>593</v>
      </c>
      <c r="E3325" s="36" t="s">
        <v>593</v>
      </c>
      <c r="F3325" s="154" t="s">
        <v>1899</v>
      </c>
      <c r="G3325" s="36" t="s">
        <v>32</v>
      </c>
      <c r="H3325" s="36" t="s">
        <v>1655</v>
      </c>
      <c r="I3325" s="36" t="s">
        <v>1656</v>
      </c>
      <c r="J3325" s="36" t="s">
        <v>1656</v>
      </c>
      <c r="K3325" s="36" t="s">
        <v>1790</v>
      </c>
      <c r="L3325" s="36" t="s">
        <v>6585</v>
      </c>
      <c r="M3325" s="36" t="s">
        <v>6585</v>
      </c>
      <c r="N3325" s="36" t="s">
        <v>32</v>
      </c>
    </row>
    <row r="3326">
      <c r="A3326" s="36" t="s">
        <v>7328</v>
      </c>
      <c r="B3326" s="154" t="s">
        <v>7325</v>
      </c>
      <c r="C3326" s="36" t="s">
        <v>1666</v>
      </c>
      <c r="D3326" s="36" t="s">
        <v>89</v>
      </c>
      <c r="E3326" s="36" t="s">
        <v>89</v>
      </c>
      <c r="F3326" s="154" t="s">
        <v>2156</v>
      </c>
      <c r="G3326" s="36" t="s">
        <v>28</v>
      </c>
      <c r="H3326" s="36" t="s">
        <v>1655</v>
      </c>
      <c r="I3326" s="36" t="s">
        <v>1656</v>
      </c>
      <c r="J3326" s="36" t="s">
        <v>1656</v>
      </c>
      <c r="K3326" s="36" t="s">
        <v>1793</v>
      </c>
      <c r="L3326" s="36" t="s">
        <v>6585</v>
      </c>
      <c r="M3326" s="36" t="s">
        <v>6585</v>
      </c>
      <c r="N3326" s="36" t="s">
        <v>32</v>
      </c>
    </row>
    <row r="3327">
      <c r="A3327" s="36" t="s">
        <v>7329</v>
      </c>
      <c r="B3327" s="154" t="s">
        <v>7325</v>
      </c>
      <c r="C3327" s="36" t="s">
        <v>1666</v>
      </c>
      <c r="D3327" s="36" t="s">
        <v>475</v>
      </c>
      <c r="E3327" s="36" t="s">
        <v>475</v>
      </c>
      <c r="F3327" s="154" t="s">
        <v>2049</v>
      </c>
      <c r="G3327" s="36" t="s">
        <v>32</v>
      </c>
      <c r="H3327" s="36" t="s">
        <v>1655</v>
      </c>
      <c r="I3327" s="36" t="s">
        <v>1656</v>
      </c>
      <c r="J3327" s="36" t="s">
        <v>1656</v>
      </c>
      <c r="K3327" s="36" t="s">
        <v>1796</v>
      </c>
      <c r="L3327" s="36" t="s">
        <v>6585</v>
      </c>
      <c r="M3327" s="36" t="s">
        <v>6585</v>
      </c>
      <c r="N3327" s="36" t="s">
        <v>34</v>
      </c>
    </row>
    <row r="3328">
      <c r="A3328" s="36" t="s">
        <v>7330</v>
      </c>
      <c r="B3328" s="154" t="s">
        <v>7331</v>
      </c>
      <c r="C3328" s="36" t="s">
        <v>1653</v>
      </c>
      <c r="D3328" s="36" t="s">
        <v>55</v>
      </c>
      <c r="E3328" s="36" t="s">
        <v>39</v>
      </c>
      <c r="F3328" s="154" t="s">
        <v>7332</v>
      </c>
      <c r="G3328" s="36" t="s">
        <v>32</v>
      </c>
      <c r="H3328" s="36" t="s">
        <v>1655</v>
      </c>
      <c r="I3328" s="36" t="s">
        <v>1656</v>
      </c>
      <c r="J3328" s="36" t="s">
        <v>1656</v>
      </c>
      <c r="K3328" s="36" t="s">
        <v>1989</v>
      </c>
      <c r="L3328" s="36" t="s">
        <v>6583</v>
      </c>
      <c r="M3328" s="36" t="s">
        <v>6583</v>
      </c>
      <c r="N3328" s="36" t="s">
        <v>32</v>
      </c>
    </row>
    <row r="3329">
      <c r="A3329" s="36" t="s">
        <v>7333</v>
      </c>
      <c r="B3329" s="154" t="s">
        <v>7331</v>
      </c>
      <c r="C3329" s="36" t="s">
        <v>1666</v>
      </c>
      <c r="D3329" s="36" t="s">
        <v>71</v>
      </c>
      <c r="E3329" s="36" t="s">
        <v>71</v>
      </c>
      <c r="F3329" s="154" t="s">
        <v>6736</v>
      </c>
      <c r="G3329" s="36" t="s">
        <v>32</v>
      </c>
      <c r="H3329" s="36" t="s">
        <v>1655</v>
      </c>
      <c r="I3329" s="36" t="s">
        <v>1656</v>
      </c>
      <c r="J3329" s="36" t="s">
        <v>1656</v>
      </c>
      <c r="K3329" s="36" t="s">
        <v>1752</v>
      </c>
      <c r="L3329" s="36" t="s">
        <v>6585</v>
      </c>
      <c r="M3329" s="36" t="s">
        <v>6585</v>
      </c>
      <c r="N3329" s="36" t="s">
        <v>32</v>
      </c>
    </row>
    <row r="3330">
      <c r="A3330" s="36" t="s">
        <v>7334</v>
      </c>
      <c r="B3330" s="154" t="s">
        <v>7331</v>
      </c>
      <c r="C3330" s="36" t="s">
        <v>1666</v>
      </c>
      <c r="D3330" s="36" t="s">
        <v>73</v>
      </c>
      <c r="E3330" s="36" t="s">
        <v>73</v>
      </c>
      <c r="F3330" s="154" t="s">
        <v>6738</v>
      </c>
      <c r="G3330" s="36" t="s">
        <v>28</v>
      </c>
      <c r="H3330" s="36" t="s">
        <v>1655</v>
      </c>
      <c r="I3330" s="36" t="s">
        <v>1656</v>
      </c>
      <c r="J3330" s="36" t="s">
        <v>1656</v>
      </c>
      <c r="K3330" s="36" t="s">
        <v>1755</v>
      </c>
      <c r="L3330" s="36" t="s">
        <v>6585</v>
      </c>
      <c r="M3330" s="36" t="s">
        <v>6585</v>
      </c>
      <c r="N3330" s="36" t="s">
        <v>32</v>
      </c>
    </row>
    <row r="3331">
      <c r="A3331" s="36" t="s">
        <v>7335</v>
      </c>
      <c r="B3331" s="154" t="s">
        <v>7331</v>
      </c>
      <c r="C3331" s="36" t="s">
        <v>1666</v>
      </c>
      <c r="D3331" s="36" t="s">
        <v>74</v>
      </c>
      <c r="E3331" s="36" t="s">
        <v>74</v>
      </c>
      <c r="F3331" s="154" t="s">
        <v>6740</v>
      </c>
      <c r="G3331" s="36" t="s">
        <v>32</v>
      </c>
      <c r="H3331" s="36" t="s">
        <v>1655</v>
      </c>
      <c r="I3331" s="36" t="s">
        <v>1656</v>
      </c>
      <c r="J3331" s="36" t="s">
        <v>1656</v>
      </c>
      <c r="K3331" s="36" t="s">
        <v>1757</v>
      </c>
      <c r="L3331" s="36" t="s">
        <v>6585</v>
      </c>
      <c r="M3331" s="36" t="s">
        <v>6585</v>
      </c>
      <c r="N3331" s="36" t="s">
        <v>32</v>
      </c>
    </row>
    <row r="3332">
      <c r="A3332" s="36" t="s">
        <v>7336</v>
      </c>
      <c r="B3332" s="154" t="s">
        <v>7331</v>
      </c>
      <c r="C3332" s="36" t="s">
        <v>1666</v>
      </c>
      <c r="D3332" s="36" t="s">
        <v>75</v>
      </c>
      <c r="E3332" s="36" t="s">
        <v>75</v>
      </c>
      <c r="F3332" s="154" t="s">
        <v>6742</v>
      </c>
      <c r="G3332" s="36" t="s">
        <v>28</v>
      </c>
      <c r="H3332" s="36" t="s">
        <v>1655</v>
      </c>
      <c r="I3332" s="36" t="s">
        <v>1656</v>
      </c>
      <c r="J3332" s="36" t="s">
        <v>1656</v>
      </c>
      <c r="K3332" s="36" t="s">
        <v>1760</v>
      </c>
      <c r="L3332" s="36" t="s">
        <v>6585</v>
      </c>
      <c r="M3332" s="36" t="s">
        <v>6585</v>
      </c>
      <c r="N3332" s="36" t="s">
        <v>32</v>
      </c>
    </row>
    <row r="3333">
      <c r="A3333" s="36" t="s">
        <v>7337</v>
      </c>
      <c r="B3333" s="154" t="s">
        <v>7331</v>
      </c>
      <c r="C3333" s="36" t="s">
        <v>1666</v>
      </c>
      <c r="D3333" s="36" t="s">
        <v>76</v>
      </c>
      <c r="E3333" s="36" t="s">
        <v>76</v>
      </c>
      <c r="F3333" s="154" t="s">
        <v>7338</v>
      </c>
      <c r="G3333" s="36" t="s">
        <v>28</v>
      </c>
      <c r="H3333" s="36" t="s">
        <v>1655</v>
      </c>
      <c r="I3333" s="36" t="s">
        <v>1656</v>
      </c>
      <c r="J3333" s="36" t="s">
        <v>1656</v>
      </c>
      <c r="K3333" s="36" t="s">
        <v>1763</v>
      </c>
      <c r="L3333" s="36" t="s">
        <v>6585</v>
      </c>
      <c r="M3333" s="36" t="s">
        <v>6585</v>
      </c>
      <c r="N3333" s="36" t="s">
        <v>32</v>
      </c>
    </row>
    <row r="3334">
      <c r="A3334" s="36" t="s">
        <v>7339</v>
      </c>
      <c r="B3334" s="154" t="s">
        <v>7331</v>
      </c>
      <c r="C3334" s="36" t="s">
        <v>1666</v>
      </c>
      <c r="D3334" s="36" t="s">
        <v>77</v>
      </c>
      <c r="E3334" s="36" t="s">
        <v>77</v>
      </c>
      <c r="F3334" s="154" t="s">
        <v>1768</v>
      </c>
      <c r="G3334" s="36" t="s">
        <v>34</v>
      </c>
      <c r="H3334" s="36" t="s">
        <v>1655</v>
      </c>
      <c r="I3334" s="36" t="s">
        <v>1656</v>
      </c>
      <c r="J3334" s="36" t="s">
        <v>1656</v>
      </c>
      <c r="K3334" s="36" t="s">
        <v>1766</v>
      </c>
      <c r="L3334" s="36" t="s">
        <v>6585</v>
      </c>
      <c r="M3334" s="36" t="s">
        <v>6585</v>
      </c>
      <c r="N3334" s="36" t="s">
        <v>32</v>
      </c>
    </row>
    <row r="3335">
      <c r="A3335" s="36" t="s">
        <v>7340</v>
      </c>
      <c r="B3335" s="154" t="s">
        <v>7331</v>
      </c>
      <c r="C3335" s="36" t="s">
        <v>1666</v>
      </c>
      <c r="D3335" s="36" t="s">
        <v>115</v>
      </c>
      <c r="E3335" s="36" t="s">
        <v>115</v>
      </c>
      <c r="F3335" s="154" t="s">
        <v>7341</v>
      </c>
      <c r="G3335" s="36" t="s">
        <v>32</v>
      </c>
      <c r="H3335" s="36" t="s">
        <v>1655</v>
      </c>
      <c r="I3335" s="36" t="s">
        <v>1656</v>
      </c>
      <c r="J3335" s="36" t="s">
        <v>1656</v>
      </c>
      <c r="K3335" s="36" t="s">
        <v>1800</v>
      </c>
      <c r="L3335" s="36" t="s">
        <v>6585</v>
      </c>
      <c r="M3335" s="36" t="s">
        <v>6585</v>
      </c>
      <c r="N3335" s="36" t="s">
        <v>32</v>
      </c>
    </row>
    <row r="3336">
      <c r="A3336" s="36" t="s">
        <v>7342</v>
      </c>
      <c r="B3336" s="154" t="s">
        <v>7331</v>
      </c>
      <c r="C3336" s="36" t="s">
        <v>1666</v>
      </c>
      <c r="D3336" s="36" t="s">
        <v>114</v>
      </c>
      <c r="E3336" s="36" t="s">
        <v>114</v>
      </c>
      <c r="F3336" s="154" t="s">
        <v>1799</v>
      </c>
      <c r="G3336" s="36" t="s">
        <v>32</v>
      </c>
      <c r="H3336" s="36" t="s">
        <v>1655</v>
      </c>
      <c r="I3336" s="36" t="s">
        <v>1656</v>
      </c>
      <c r="J3336" s="36" t="s">
        <v>1656</v>
      </c>
      <c r="K3336" s="36" t="s">
        <v>1803</v>
      </c>
      <c r="L3336" s="36" t="s">
        <v>6585</v>
      </c>
      <c r="M3336" s="36" t="s">
        <v>6585</v>
      </c>
      <c r="N3336" s="36" t="s">
        <v>32</v>
      </c>
    </row>
    <row r="3337">
      <c r="A3337" s="36" t="s">
        <v>7343</v>
      </c>
      <c r="B3337" s="154" t="s">
        <v>7331</v>
      </c>
      <c r="C3337" s="36" t="s">
        <v>1666</v>
      </c>
      <c r="D3337" s="36" t="s">
        <v>273</v>
      </c>
      <c r="E3337" s="36" t="s">
        <v>273</v>
      </c>
      <c r="F3337" s="154" t="s">
        <v>2362</v>
      </c>
      <c r="G3337" s="36" t="s">
        <v>28</v>
      </c>
      <c r="H3337" s="36" t="s">
        <v>1655</v>
      </c>
      <c r="I3337" s="36" t="s">
        <v>1656</v>
      </c>
      <c r="J3337" s="36" t="s">
        <v>1656</v>
      </c>
      <c r="K3337" s="36" t="s">
        <v>1807</v>
      </c>
      <c r="L3337" s="36" t="s">
        <v>6585</v>
      </c>
      <c r="M3337" s="36" t="s">
        <v>6585</v>
      </c>
      <c r="N3337" s="36" t="s">
        <v>34</v>
      </c>
    </row>
    <row r="3338">
      <c r="A3338" s="36" t="s">
        <v>7344</v>
      </c>
      <c r="B3338" s="154" t="s">
        <v>7345</v>
      </c>
      <c r="C3338" s="36" t="s">
        <v>1653</v>
      </c>
      <c r="D3338" s="36" t="s">
        <v>417</v>
      </c>
      <c r="E3338" s="36" t="s">
        <v>39</v>
      </c>
      <c r="F3338" s="154" t="s">
        <v>7346</v>
      </c>
      <c r="G3338" s="36" t="s">
        <v>32</v>
      </c>
      <c r="H3338" s="36" t="s">
        <v>1655</v>
      </c>
      <c r="I3338" s="36" t="s">
        <v>1656</v>
      </c>
      <c r="J3338" s="36" t="s">
        <v>1656</v>
      </c>
      <c r="K3338" s="36" t="s">
        <v>1749</v>
      </c>
      <c r="L3338" s="36" t="s">
        <v>6583</v>
      </c>
      <c r="M3338" s="36" t="s">
        <v>6583</v>
      </c>
      <c r="N3338" s="36" t="s">
        <v>32</v>
      </c>
    </row>
    <row r="3339">
      <c r="A3339" s="36" t="s">
        <v>7347</v>
      </c>
      <c r="B3339" s="154" t="s">
        <v>7345</v>
      </c>
      <c r="C3339" s="36" t="s">
        <v>1666</v>
      </c>
      <c r="D3339" s="36" t="s">
        <v>625</v>
      </c>
      <c r="E3339" s="36" t="s">
        <v>625</v>
      </c>
      <c r="F3339" s="154" t="s">
        <v>7348</v>
      </c>
      <c r="G3339" s="36" t="s">
        <v>32</v>
      </c>
      <c r="H3339" s="36" t="s">
        <v>1655</v>
      </c>
      <c r="I3339" s="36" t="s">
        <v>1656</v>
      </c>
      <c r="J3339" s="36" t="s">
        <v>1656</v>
      </c>
      <c r="K3339" s="36" t="s">
        <v>1814</v>
      </c>
      <c r="L3339" s="36" t="s">
        <v>6585</v>
      </c>
      <c r="M3339" s="36" t="s">
        <v>6585</v>
      </c>
      <c r="N3339" s="36" t="s">
        <v>32</v>
      </c>
    </row>
    <row r="3340">
      <c r="A3340" s="36" t="s">
        <v>7349</v>
      </c>
      <c r="B3340" s="154" t="s">
        <v>7350</v>
      </c>
      <c r="C3340" s="36" t="s">
        <v>1666</v>
      </c>
      <c r="D3340" s="36" t="s">
        <v>631</v>
      </c>
      <c r="E3340" s="36" t="s">
        <v>631</v>
      </c>
      <c r="F3340" s="154" t="s">
        <v>2027</v>
      </c>
      <c r="G3340" s="36" t="s">
        <v>32</v>
      </c>
      <c r="H3340" s="36" t="s">
        <v>1655</v>
      </c>
      <c r="I3340" s="36" t="s">
        <v>1656</v>
      </c>
      <c r="J3340" s="36" t="s">
        <v>1656</v>
      </c>
      <c r="K3340" s="36" t="s">
        <v>1817</v>
      </c>
      <c r="L3340" s="36" t="s">
        <v>6585</v>
      </c>
      <c r="M3340" s="36" t="s">
        <v>6585</v>
      </c>
      <c r="N3340" s="36" t="s">
        <v>32</v>
      </c>
    </row>
    <row r="3341">
      <c r="A3341" s="36" t="s">
        <v>7351</v>
      </c>
      <c r="B3341" s="154" t="s">
        <v>7350</v>
      </c>
      <c r="C3341" s="36" t="s">
        <v>1666</v>
      </c>
      <c r="D3341" s="36" t="s">
        <v>635</v>
      </c>
      <c r="E3341" s="36" t="s">
        <v>635</v>
      </c>
      <c r="F3341" s="154" t="s">
        <v>2325</v>
      </c>
      <c r="G3341" s="36" t="s">
        <v>32</v>
      </c>
      <c r="H3341" s="36" t="s">
        <v>1655</v>
      </c>
      <c r="I3341" s="36" t="s">
        <v>1656</v>
      </c>
      <c r="J3341" s="36" t="s">
        <v>1656</v>
      </c>
      <c r="K3341" s="36" t="s">
        <v>1820</v>
      </c>
      <c r="L3341" s="36" t="s">
        <v>6585</v>
      </c>
      <c r="M3341" s="36" t="s">
        <v>6585</v>
      </c>
      <c r="N3341" s="36" t="s">
        <v>32</v>
      </c>
    </row>
    <row r="3342">
      <c r="A3342" s="36" t="s">
        <v>7352</v>
      </c>
      <c r="B3342" s="154" t="s">
        <v>7353</v>
      </c>
      <c r="C3342" s="36" t="s">
        <v>1666</v>
      </c>
      <c r="D3342" s="36" t="s">
        <v>450</v>
      </c>
      <c r="E3342" s="36" t="s">
        <v>450</v>
      </c>
      <c r="F3342" s="154" t="s">
        <v>2617</v>
      </c>
      <c r="G3342" s="36" t="s">
        <v>28</v>
      </c>
      <c r="H3342" s="36" t="s">
        <v>1655</v>
      </c>
      <c r="I3342" s="36" t="s">
        <v>1656</v>
      </c>
      <c r="J3342" s="36" t="s">
        <v>1656</v>
      </c>
      <c r="K3342" s="36" t="s">
        <v>1823</v>
      </c>
      <c r="L3342" s="36" t="s">
        <v>6585</v>
      </c>
      <c r="M3342" s="36" t="s">
        <v>6585</v>
      </c>
      <c r="N3342" s="36" t="s">
        <v>34</v>
      </c>
    </row>
    <row r="3343">
      <c r="A3343" s="36" t="s">
        <v>7354</v>
      </c>
      <c r="B3343" s="154" t="s">
        <v>7355</v>
      </c>
      <c r="C3343" s="36" t="s">
        <v>1666</v>
      </c>
      <c r="D3343" s="36" t="s">
        <v>644</v>
      </c>
      <c r="E3343" s="36" t="s">
        <v>644</v>
      </c>
      <c r="F3343" s="154" t="s">
        <v>6736</v>
      </c>
      <c r="G3343" s="36" t="s">
        <v>32</v>
      </c>
      <c r="H3343" s="36" t="s">
        <v>1655</v>
      </c>
      <c r="I3343" s="36" t="s">
        <v>1656</v>
      </c>
      <c r="J3343" s="36" t="s">
        <v>1656</v>
      </c>
      <c r="K3343" s="36" t="s">
        <v>1826</v>
      </c>
      <c r="L3343" s="36" t="s">
        <v>6585</v>
      </c>
      <c r="M3343" s="36" t="s">
        <v>6585</v>
      </c>
      <c r="N3343" s="36" t="s">
        <v>32</v>
      </c>
    </row>
    <row r="3344">
      <c r="A3344" s="36" t="s">
        <v>7356</v>
      </c>
      <c r="B3344" s="154" t="s">
        <v>7355</v>
      </c>
      <c r="C3344" s="36" t="s">
        <v>1666</v>
      </c>
      <c r="D3344" s="36" t="s">
        <v>650</v>
      </c>
      <c r="E3344" s="36" t="s">
        <v>650</v>
      </c>
      <c r="F3344" s="154" t="s">
        <v>6738</v>
      </c>
      <c r="G3344" s="36" t="s">
        <v>28</v>
      </c>
      <c r="H3344" s="36" t="s">
        <v>1655</v>
      </c>
      <c r="I3344" s="36" t="s">
        <v>1656</v>
      </c>
      <c r="J3344" s="36" t="s">
        <v>1656</v>
      </c>
      <c r="K3344" s="36" t="s">
        <v>1830</v>
      </c>
      <c r="L3344" s="36" t="s">
        <v>6585</v>
      </c>
      <c r="M3344" s="36" t="s">
        <v>6585</v>
      </c>
      <c r="N3344" s="36" t="s">
        <v>32</v>
      </c>
    </row>
    <row r="3345">
      <c r="A3345" s="36" t="s">
        <v>7357</v>
      </c>
      <c r="B3345" s="154" t="s">
        <v>7355</v>
      </c>
      <c r="C3345" s="36" t="s">
        <v>1666</v>
      </c>
      <c r="D3345" s="36" t="s">
        <v>656</v>
      </c>
      <c r="E3345" s="36" t="s">
        <v>656</v>
      </c>
      <c r="F3345" s="154" t="s">
        <v>6740</v>
      </c>
      <c r="G3345" s="36" t="s">
        <v>32</v>
      </c>
      <c r="H3345" s="36" t="s">
        <v>1655</v>
      </c>
      <c r="I3345" s="36" t="s">
        <v>1656</v>
      </c>
      <c r="J3345" s="36" t="s">
        <v>1656</v>
      </c>
      <c r="K3345" s="36" t="s">
        <v>1833</v>
      </c>
      <c r="L3345" s="36" t="s">
        <v>6585</v>
      </c>
      <c r="M3345" s="36" t="s">
        <v>6585</v>
      </c>
      <c r="N3345" s="36" t="s">
        <v>32</v>
      </c>
    </row>
    <row r="3346">
      <c r="A3346" s="36" t="s">
        <v>7358</v>
      </c>
      <c r="B3346" s="154" t="s">
        <v>7355</v>
      </c>
      <c r="C3346" s="36" t="s">
        <v>1666</v>
      </c>
      <c r="D3346" s="36" t="s">
        <v>661</v>
      </c>
      <c r="E3346" s="36" t="s">
        <v>661</v>
      </c>
      <c r="F3346" s="154" t="s">
        <v>6742</v>
      </c>
      <c r="G3346" s="36" t="s">
        <v>28</v>
      </c>
      <c r="H3346" s="36" t="s">
        <v>1655</v>
      </c>
      <c r="I3346" s="36" t="s">
        <v>1656</v>
      </c>
      <c r="J3346" s="36" t="s">
        <v>1656</v>
      </c>
      <c r="K3346" s="36" t="s">
        <v>1836</v>
      </c>
      <c r="L3346" s="36" t="s">
        <v>6585</v>
      </c>
      <c r="M3346" s="36" t="s">
        <v>6585</v>
      </c>
      <c r="N3346" s="36" t="s">
        <v>32</v>
      </c>
    </row>
    <row r="3347">
      <c r="A3347" s="36" t="s">
        <v>7359</v>
      </c>
      <c r="B3347" s="154" t="s">
        <v>7355</v>
      </c>
      <c r="C3347" s="36" t="s">
        <v>1666</v>
      </c>
      <c r="D3347" s="36" t="s">
        <v>665</v>
      </c>
      <c r="E3347" s="36" t="s">
        <v>665</v>
      </c>
      <c r="F3347" s="154" t="s">
        <v>2090</v>
      </c>
      <c r="G3347" s="36" t="s">
        <v>32</v>
      </c>
      <c r="H3347" s="36" t="s">
        <v>1655</v>
      </c>
      <c r="I3347" s="36" t="s">
        <v>1656</v>
      </c>
      <c r="J3347" s="36" t="s">
        <v>1656</v>
      </c>
      <c r="K3347" s="36" t="s">
        <v>1839</v>
      </c>
      <c r="L3347" s="36" t="s">
        <v>6585</v>
      </c>
      <c r="M3347" s="36" t="s">
        <v>6585</v>
      </c>
      <c r="N3347" s="36" t="s">
        <v>32</v>
      </c>
    </row>
    <row r="3348">
      <c r="A3348" s="36" t="s">
        <v>7360</v>
      </c>
      <c r="B3348" s="154" t="s">
        <v>7355</v>
      </c>
      <c r="C3348" s="36" t="s">
        <v>1666</v>
      </c>
      <c r="D3348" s="36" t="s">
        <v>89</v>
      </c>
      <c r="E3348" s="36" t="s">
        <v>89</v>
      </c>
      <c r="F3348" s="154" t="s">
        <v>3017</v>
      </c>
      <c r="G3348" s="36" t="s">
        <v>32</v>
      </c>
      <c r="H3348" s="36" t="s">
        <v>1655</v>
      </c>
      <c r="I3348" s="36" t="s">
        <v>1656</v>
      </c>
      <c r="J3348" s="36" t="s">
        <v>1656</v>
      </c>
      <c r="K3348" s="36" t="s">
        <v>1842</v>
      </c>
      <c r="L3348" s="36" t="s">
        <v>6585</v>
      </c>
      <c r="M3348" s="36" t="s">
        <v>6585</v>
      </c>
      <c r="N3348" s="36" t="s">
        <v>32</v>
      </c>
    </row>
    <row r="3349">
      <c r="A3349" s="36" t="s">
        <v>7361</v>
      </c>
      <c r="B3349" s="154" t="s">
        <v>7355</v>
      </c>
      <c r="C3349" s="36" t="s">
        <v>1666</v>
      </c>
      <c r="D3349" s="36" t="s">
        <v>674</v>
      </c>
      <c r="E3349" s="36" t="s">
        <v>674</v>
      </c>
      <c r="F3349" s="154" t="s">
        <v>7362</v>
      </c>
      <c r="G3349" s="36" t="s">
        <v>28</v>
      </c>
      <c r="H3349" s="36" t="s">
        <v>1655</v>
      </c>
      <c r="I3349" s="36" t="s">
        <v>1656</v>
      </c>
      <c r="J3349" s="36" t="s">
        <v>1656</v>
      </c>
      <c r="K3349" s="36" t="s">
        <v>1845</v>
      </c>
      <c r="L3349" s="36" t="s">
        <v>6585</v>
      </c>
      <c r="M3349" s="36" t="s">
        <v>6585</v>
      </c>
      <c r="N3349" s="36" t="s">
        <v>34</v>
      </c>
    </row>
    <row r="3350">
      <c r="A3350" s="36" t="s">
        <v>7363</v>
      </c>
      <c r="B3350" s="154" t="s">
        <v>7364</v>
      </c>
      <c r="C3350" s="36" t="s">
        <v>1666</v>
      </c>
      <c r="D3350" s="36" t="s">
        <v>615</v>
      </c>
      <c r="E3350" s="36" t="s">
        <v>615</v>
      </c>
      <c r="F3350" s="154" t="s">
        <v>2006</v>
      </c>
      <c r="G3350" s="36" t="s">
        <v>32</v>
      </c>
      <c r="H3350" s="36" t="s">
        <v>1655</v>
      </c>
      <c r="I3350" s="36" t="s">
        <v>1656</v>
      </c>
      <c r="J3350" s="36" t="s">
        <v>1656</v>
      </c>
      <c r="K3350" s="36" t="s">
        <v>1848</v>
      </c>
      <c r="L3350" s="36" t="s">
        <v>6585</v>
      </c>
      <c r="M3350" s="36" t="s">
        <v>6585</v>
      </c>
      <c r="N3350" s="36" t="s">
        <v>32</v>
      </c>
    </row>
    <row r="3351">
      <c r="A3351" s="36" t="s">
        <v>7365</v>
      </c>
      <c r="B3351" s="154" t="s">
        <v>7366</v>
      </c>
      <c r="C3351" s="36" t="s">
        <v>1653</v>
      </c>
      <c r="D3351" s="36" t="s">
        <v>420</v>
      </c>
      <c r="E3351" s="36" t="s">
        <v>39</v>
      </c>
      <c r="F3351" s="154" t="s">
        <v>7367</v>
      </c>
      <c r="G3351" s="36" t="s">
        <v>32</v>
      </c>
      <c r="H3351" s="36" t="s">
        <v>1655</v>
      </c>
      <c r="I3351" s="36" t="s">
        <v>1656</v>
      </c>
      <c r="J3351" s="36" t="s">
        <v>1656</v>
      </c>
      <c r="K3351" s="36" t="s">
        <v>1978</v>
      </c>
      <c r="L3351" s="36" t="s">
        <v>6583</v>
      </c>
      <c r="M3351" s="36" t="s">
        <v>6583</v>
      </c>
      <c r="N3351" s="36" t="s">
        <v>32</v>
      </c>
    </row>
    <row r="3352">
      <c r="A3352" s="36" t="s">
        <v>7368</v>
      </c>
      <c r="B3352" s="154" t="s">
        <v>7366</v>
      </c>
      <c r="C3352" s="36" t="s">
        <v>1666</v>
      </c>
      <c r="D3352" s="36" t="s">
        <v>191</v>
      </c>
      <c r="E3352" s="36" t="s">
        <v>191</v>
      </c>
      <c r="F3352" s="154" t="s">
        <v>1816</v>
      </c>
      <c r="G3352" s="36" t="s">
        <v>28</v>
      </c>
      <c r="H3352" s="36" t="s">
        <v>1655</v>
      </c>
      <c r="I3352" s="36" t="s">
        <v>1656</v>
      </c>
      <c r="J3352" s="36" t="s">
        <v>1656</v>
      </c>
      <c r="K3352" s="36" t="s">
        <v>1851</v>
      </c>
      <c r="L3352" s="36" t="s">
        <v>6585</v>
      </c>
      <c r="M3352" s="36" t="s">
        <v>6585</v>
      </c>
      <c r="N3352" s="36" t="s">
        <v>32</v>
      </c>
    </row>
    <row r="3353">
      <c r="A3353" s="36" t="s">
        <v>7369</v>
      </c>
      <c r="B3353" s="154" t="s">
        <v>7366</v>
      </c>
      <c r="C3353" s="36" t="s">
        <v>1666</v>
      </c>
      <c r="D3353" s="36" t="s">
        <v>305</v>
      </c>
      <c r="E3353" s="36" t="s">
        <v>305</v>
      </c>
      <c r="F3353" s="154" t="s">
        <v>1816</v>
      </c>
      <c r="G3353" s="36" t="s">
        <v>32</v>
      </c>
      <c r="H3353" s="36" t="s">
        <v>1655</v>
      </c>
      <c r="I3353" s="36" t="s">
        <v>1656</v>
      </c>
      <c r="J3353" s="36" t="s">
        <v>1656</v>
      </c>
      <c r="K3353" s="36" t="s">
        <v>1854</v>
      </c>
      <c r="L3353" s="36" t="s">
        <v>6585</v>
      </c>
      <c r="M3353" s="36" t="s">
        <v>6585</v>
      </c>
      <c r="N3353" s="36" t="s">
        <v>32</v>
      </c>
    </row>
    <row r="3354">
      <c r="A3354" s="36" t="s">
        <v>7370</v>
      </c>
      <c r="B3354" s="154" t="s">
        <v>7366</v>
      </c>
      <c r="C3354" s="36" t="s">
        <v>1666</v>
      </c>
      <c r="D3354" s="36" t="s">
        <v>684</v>
      </c>
      <c r="E3354" s="36" t="s">
        <v>684</v>
      </c>
      <c r="F3354" s="154" t="s">
        <v>2728</v>
      </c>
      <c r="G3354" s="36" t="s">
        <v>28</v>
      </c>
      <c r="H3354" s="36" t="s">
        <v>1655</v>
      </c>
      <c r="I3354" s="36" t="s">
        <v>1656</v>
      </c>
      <c r="J3354" s="36" t="s">
        <v>1656</v>
      </c>
      <c r="K3354" s="36" t="s">
        <v>1857</v>
      </c>
      <c r="L3354" s="36" t="s">
        <v>6585</v>
      </c>
      <c r="M3354" s="36" t="s">
        <v>6585</v>
      </c>
      <c r="N3354" s="36" t="s">
        <v>34</v>
      </c>
    </row>
    <row r="3355">
      <c r="A3355" s="36" t="s">
        <v>7371</v>
      </c>
      <c r="B3355" s="154" t="s">
        <v>7366</v>
      </c>
      <c r="C3355" s="36" t="s">
        <v>1666</v>
      </c>
      <c r="D3355" s="36" t="s">
        <v>685</v>
      </c>
      <c r="E3355" s="36" t="s">
        <v>685</v>
      </c>
      <c r="F3355" s="154" t="s">
        <v>1810</v>
      </c>
      <c r="G3355" s="36" t="s">
        <v>28</v>
      </c>
      <c r="H3355" s="36" t="s">
        <v>1655</v>
      </c>
      <c r="I3355" s="36" t="s">
        <v>1656</v>
      </c>
      <c r="J3355" s="36" t="s">
        <v>1656</v>
      </c>
      <c r="K3355" s="36" t="s">
        <v>1860</v>
      </c>
      <c r="L3355" s="36" t="s">
        <v>6585</v>
      </c>
      <c r="M3355" s="36" t="s">
        <v>6585</v>
      </c>
      <c r="N3355" s="36" t="s">
        <v>34</v>
      </c>
    </row>
    <row r="3356">
      <c r="A3356" s="36" t="s">
        <v>7372</v>
      </c>
      <c r="B3356" s="154" t="s">
        <v>7373</v>
      </c>
      <c r="C3356" s="36" t="s">
        <v>1666</v>
      </c>
      <c r="D3356" s="36" t="s">
        <v>685</v>
      </c>
      <c r="E3356" s="36" t="s">
        <v>685</v>
      </c>
      <c r="F3356" s="154" t="s">
        <v>1768</v>
      </c>
      <c r="G3356" s="36" t="s">
        <v>28</v>
      </c>
      <c r="H3356" s="36" t="s">
        <v>1655</v>
      </c>
      <c r="I3356" s="36" t="s">
        <v>1656</v>
      </c>
      <c r="J3356" s="36" t="s">
        <v>1656</v>
      </c>
      <c r="K3356" s="36" t="s">
        <v>1863</v>
      </c>
      <c r="L3356" s="36" t="s">
        <v>6585</v>
      </c>
      <c r="M3356" s="36" t="s">
        <v>6585</v>
      </c>
      <c r="N3356" s="36" t="s">
        <v>32</v>
      </c>
    </row>
    <row r="3357">
      <c r="A3357" s="36" t="s">
        <v>7374</v>
      </c>
      <c r="B3357" s="154" t="s">
        <v>7375</v>
      </c>
      <c r="C3357" s="36" t="s">
        <v>1666</v>
      </c>
      <c r="D3357" s="36" t="s">
        <v>92</v>
      </c>
      <c r="E3357" s="36" t="s">
        <v>92</v>
      </c>
      <c r="F3357" s="154" t="s">
        <v>2728</v>
      </c>
      <c r="G3357" s="36" t="s">
        <v>32</v>
      </c>
      <c r="H3357" s="36" t="s">
        <v>1655</v>
      </c>
      <c r="I3357" s="36" t="s">
        <v>1656</v>
      </c>
      <c r="J3357" s="36" t="s">
        <v>1656</v>
      </c>
      <c r="K3357" s="36" t="s">
        <v>1866</v>
      </c>
      <c r="L3357" s="36" t="s">
        <v>6585</v>
      </c>
      <c r="M3357" s="36" t="s">
        <v>6585</v>
      </c>
      <c r="N3357" s="36" t="s">
        <v>32</v>
      </c>
    </row>
    <row r="3358">
      <c r="A3358" s="36" t="s">
        <v>7376</v>
      </c>
      <c r="B3358" s="154" t="s">
        <v>7375</v>
      </c>
      <c r="C3358" s="36" t="s">
        <v>1666</v>
      </c>
      <c r="D3358" s="36" t="s">
        <v>691</v>
      </c>
      <c r="E3358" s="36" t="s">
        <v>691</v>
      </c>
      <c r="F3358" s="154" t="s">
        <v>4478</v>
      </c>
      <c r="G3358" s="36" t="s">
        <v>32</v>
      </c>
      <c r="H3358" s="36" t="s">
        <v>1655</v>
      </c>
      <c r="I3358" s="36" t="s">
        <v>1656</v>
      </c>
      <c r="J3358" s="36" t="s">
        <v>1656</v>
      </c>
      <c r="K3358" s="36" t="s">
        <v>1869</v>
      </c>
      <c r="L3358" s="36" t="s">
        <v>6585</v>
      </c>
      <c r="M3358" s="36" t="s">
        <v>6585</v>
      </c>
      <c r="N3358" s="36" t="s">
        <v>32</v>
      </c>
    </row>
    <row r="3359">
      <c r="A3359" s="36" t="s">
        <v>7377</v>
      </c>
      <c r="B3359" s="154" t="s">
        <v>7375</v>
      </c>
      <c r="C3359" s="36" t="s">
        <v>1666</v>
      </c>
      <c r="D3359" s="36" t="s">
        <v>218</v>
      </c>
      <c r="E3359" s="36" t="s">
        <v>218</v>
      </c>
      <c r="F3359" s="154" t="s">
        <v>1686</v>
      </c>
      <c r="G3359" s="36" t="s">
        <v>32</v>
      </c>
      <c r="H3359" s="36" t="s">
        <v>1655</v>
      </c>
      <c r="I3359" s="36" t="s">
        <v>1656</v>
      </c>
      <c r="J3359" s="36" t="s">
        <v>1656</v>
      </c>
      <c r="K3359" s="36" t="s">
        <v>1872</v>
      </c>
      <c r="L3359" s="36" t="s">
        <v>6585</v>
      </c>
      <c r="M3359" s="36" t="s">
        <v>6585</v>
      </c>
      <c r="N3359" s="36" t="s">
        <v>32</v>
      </c>
    </row>
    <row r="3360">
      <c r="A3360" s="36" t="s">
        <v>7378</v>
      </c>
      <c r="B3360" s="154" t="s">
        <v>7379</v>
      </c>
      <c r="C3360" s="36" t="s">
        <v>1666</v>
      </c>
      <c r="D3360" s="36" t="s">
        <v>92</v>
      </c>
      <c r="E3360" s="36" t="s">
        <v>92</v>
      </c>
      <c r="F3360" s="154" t="s">
        <v>1959</v>
      </c>
      <c r="G3360" s="36" t="s">
        <v>32</v>
      </c>
      <c r="H3360" s="36" t="s">
        <v>1655</v>
      </c>
      <c r="I3360" s="36" t="s">
        <v>1656</v>
      </c>
      <c r="J3360" s="36" t="s">
        <v>1656</v>
      </c>
      <c r="K3360" s="36" t="s">
        <v>1875</v>
      </c>
      <c r="L3360" s="36" t="s">
        <v>6585</v>
      </c>
      <c r="M3360" s="36" t="s">
        <v>6585</v>
      </c>
      <c r="N3360" s="36" t="s">
        <v>32</v>
      </c>
    </row>
    <row r="3361">
      <c r="A3361" s="36" t="s">
        <v>7380</v>
      </c>
      <c r="B3361" s="154" t="s">
        <v>7381</v>
      </c>
      <c r="C3361" s="36" t="s">
        <v>1653</v>
      </c>
      <c r="D3361" s="36" t="s">
        <v>43</v>
      </c>
      <c r="E3361" s="36" t="s">
        <v>39</v>
      </c>
      <c r="F3361" s="154" t="s">
        <v>7382</v>
      </c>
      <c r="G3361" s="36" t="s">
        <v>32</v>
      </c>
      <c r="H3361" s="36" t="s">
        <v>1655</v>
      </c>
      <c r="I3361" s="36" t="s">
        <v>1656</v>
      </c>
      <c r="J3361" s="36" t="s">
        <v>1656</v>
      </c>
      <c r="K3361" s="36" t="s">
        <v>5599</v>
      </c>
      <c r="L3361" s="36" t="s">
        <v>6583</v>
      </c>
      <c r="M3361" s="36" t="s">
        <v>6583</v>
      </c>
      <c r="N3361" s="36" t="s">
        <v>32</v>
      </c>
    </row>
    <row r="3362">
      <c r="A3362" s="36" t="s">
        <v>7383</v>
      </c>
      <c r="B3362" s="154" t="s">
        <v>7381</v>
      </c>
      <c r="C3362" s="36" t="s">
        <v>1666</v>
      </c>
      <c r="D3362" s="36" t="s">
        <v>89</v>
      </c>
      <c r="E3362" s="36" t="s">
        <v>89</v>
      </c>
      <c r="F3362" s="154" t="s">
        <v>7384</v>
      </c>
      <c r="G3362" s="36" t="s">
        <v>28</v>
      </c>
      <c r="H3362" s="36" t="s">
        <v>1655</v>
      </c>
      <c r="I3362" s="36" t="s">
        <v>1656</v>
      </c>
      <c r="J3362" s="36" t="s">
        <v>1656</v>
      </c>
      <c r="K3362" s="36" t="s">
        <v>1878</v>
      </c>
      <c r="L3362" s="36" t="s">
        <v>6585</v>
      </c>
      <c r="M3362" s="36" t="s">
        <v>6585</v>
      </c>
      <c r="N3362" s="36" t="s">
        <v>32</v>
      </c>
    </row>
    <row r="3363">
      <c r="A3363" s="36" t="s">
        <v>7385</v>
      </c>
      <c r="B3363" s="154" t="s">
        <v>7386</v>
      </c>
      <c r="C3363" s="36" t="s">
        <v>1666</v>
      </c>
      <c r="D3363" s="36" t="s">
        <v>471</v>
      </c>
      <c r="E3363" s="36" t="s">
        <v>471</v>
      </c>
      <c r="F3363" s="154" t="s">
        <v>2027</v>
      </c>
      <c r="G3363" s="36" t="s">
        <v>28</v>
      </c>
      <c r="H3363" s="36" t="s">
        <v>1655</v>
      </c>
      <c r="I3363" s="36" t="s">
        <v>1656</v>
      </c>
      <c r="J3363" s="36" t="s">
        <v>1656</v>
      </c>
      <c r="K3363" s="36" t="s">
        <v>1881</v>
      </c>
      <c r="L3363" s="36" t="s">
        <v>6585</v>
      </c>
      <c r="M3363" s="36" t="s">
        <v>6585</v>
      </c>
      <c r="N3363" s="36" t="s">
        <v>34</v>
      </c>
    </row>
    <row r="3364">
      <c r="A3364" s="36" t="s">
        <v>7387</v>
      </c>
      <c r="B3364" s="154" t="s">
        <v>7388</v>
      </c>
      <c r="C3364" s="36" t="s">
        <v>1666</v>
      </c>
      <c r="D3364" s="36" t="s">
        <v>130</v>
      </c>
      <c r="E3364" s="36" t="s">
        <v>130</v>
      </c>
      <c r="F3364" s="154" t="s">
        <v>1810</v>
      </c>
      <c r="G3364" s="36" t="s">
        <v>32</v>
      </c>
      <c r="H3364" s="36" t="s">
        <v>1655</v>
      </c>
      <c r="I3364" s="36" t="s">
        <v>1656</v>
      </c>
      <c r="J3364" s="36" t="s">
        <v>1656</v>
      </c>
      <c r="K3364" s="36" t="s">
        <v>1884</v>
      </c>
      <c r="L3364" s="36" t="s">
        <v>6585</v>
      </c>
      <c r="M3364" s="36" t="s">
        <v>6585</v>
      </c>
      <c r="N3364" s="36" t="s">
        <v>32</v>
      </c>
    </row>
    <row r="3365">
      <c r="A3365" s="36" t="s">
        <v>7389</v>
      </c>
      <c r="B3365" s="154" t="s">
        <v>7388</v>
      </c>
      <c r="C3365" s="36" t="s">
        <v>1666</v>
      </c>
      <c r="D3365" s="36" t="s">
        <v>100</v>
      </c>
      <c r="E3365" s="36" t="s">
        <v>100</v>
      </c>
      <c r="F3365" s="154" t="s">
        <v>1810</v>
      </c>
      <c r="G3365" s="36" t="s">
        <v>32</v>
      </c>
      <c r="H3365" s="36" t="s">
        <v>1655</v>
      </c>
      <c r="I3365" s="36" t="s">
        <v>1656</v>
      </c>
      <c r="J3365" s="36" t="s">
        <v>1656</v>
      </c>
      <c r="K3365" s="36" t="s">
        <v>1887</v>
      </c>
      <c r="L3365" s="36" t="s">
        <v>6585</v>
      </c>
      <c r="M3365" s="36" t="s">
        <v>6585</v>
      </c>
      <c r="N3365" s="36" t="s">
        <v>32</v>
      </c>
    </row>
    <row r="3366">
      <c r="A3366" s="36" t="s">
        <v>7390</v>
      </c>
      <c r="B3366" s="154" t="s">
        <v>7391</v>
      </c>
      <c r="C3366" s="36" t="s">
        <v>1666</v>
      </c>
      <c r="D3366" s="36" t="s">
        <v>79</v>
      </c>
      <c r="E3366" s="36" t="s">
        <v>79</v>
      </c>
      <c r="F3366" s="154" t="s">
        <v>6912</v>
      </c>
      <c r="G3366" s="36" t="s">
        <v>32</v>
      </c>
      <c r="H3366" s="36" t="s">
        <v>1655</v>
      </c>
      <c r="I3366" s="36" t="s">
        <v>1656</v>
      </c>
      <c r="J3366" s="36" t="s">
        <v>1656</v>
      </c>
      <c r="K3366" s="36" t="s">
        <v>1769</v>
      </c>
      <c r="L3366" s="36" t="s">
        <v>6585</v>
      </c>
      <c r="M3366" s="36" t="s">
        <v>6585</v>
      </c>
      <c r="N3366" s="36" t="s">
        <v>32</v>
      </c>
    </row>
    <row r="3367">
      <c r="A3367" s="36" t="s">
        <v>7392</v>
      </c>
      <c r="B3367" s="154" t="s">
        <v>7391</v>
      </c>
      <c r="C3367" s="36" t="s">
        <v>1666</v>
      </c>
      <c r="D3367" s="36" t="s">
        <v>81</v>
      </c>
      <c r="E3367" s="36" t="s">
        <v>81</v>
      </c>
      <c r="F3367" s="154" t="s">
        <v>6680</v>
      </c>
      <c r="G3367" s="36" t="s">
        <v>28</v>
      </c>
      <c r="H3367" s="36" t="s">
        <v>1655</v>
      </c>
      <c r="I3367" s="36" t="s">
        <v>1656</v>
      </c>
      <c r="J3367" s="36" t="s">
        <v>1656</v>
      </c>
      <c r="K3367" s="36" t="s">
        <v>1811</v>
      </c>
      <c r="L3367" s="36" t="s">
        <v>6585</v>
      </c>
      <c r="M3367" s="36" t="s">
        <v>6585</v>
      </c>
      <c r="N3367" s="36" t="s">
        <v>32</v>
      </c>
    </row>
    <row r="3368">
      <c r="A3368" s="36" t="s">
        <v>7393</v>
      </c>
      <c r="B3368" s="154" t="s">
        <v>7391</v>
      </c>
      <c r="C3368" s="36" t="s">
        <v>1666</v>
      </c>
      <c r="D3368" s="36" t="s">
        <v>83</v>
      </c>
      <c r="E3368" s="36" t="s">
        <v>83</v>
      </c>
      <c r="F3368" s="154" t="s">
        <v>6682</v>
      </c>
      <c r="G3368" s="36" t="s">
        <v>28</v>
      </c>
      <c r="H3368" s="36" t="s">
        <v>1655</v>
      </c>
      <c r="I3368" s="36" t="s">
        <v>1656</v>
      </c>
      <c r="J3368" s="36" t="s">
        <v>1656</v>
      </c>
      <c r="K3368" s="36" t="s">
        <v>1891</v>
      </c>
      <c r="L3368" s="36" t="s">
        <v>6585</v>
      </c>
      <c r="M3368" s="36" t="s">
        <v>6585</v>
      </c>
      <c r="N3368" s="36" t="s">
        <v>32</v>
      </c>
    </row>
    <row r="3369">
      <c r="A3369" s="36" t="s">
        <v>7394</v>
      </c>
      <c r="B3369" s="154" t="s">
        <v>7391</v>
      </c>
      <c r="C3369" s="36" t="s">
        <v>1666</v>
      </c>
      <c r="D3369" s="36" t="s">
        <v>84</v>
      </c>
      <c r="E3369" s="36" t="s">
        <v>84</v>
      </c>
      <c r="F3369" s="154" t="s">
        <v>7395</v>
      </c>
      <c r="G3369" s="36" t="s">
        <v>32</v>
      </c>
      <c r="H3369" s="36" t="s">
        <v>1655</v>
      </c>
      <c r="I3369" s="36" t="s">
        <v>1656</v>
      </c>
      <c r="J3369" s="36" t="s">
        <v>1656</v>
      </c>
      <c r="K3369" s="36" t="s">
        <v>1921</v>
      </c>
      <c r="L3369" s="36" t="s">
        <v>6585</v>
      </c>
      <c r="M3369" s="36" t="s">
        <v>6585</v>
      </c>
      <c r="N3369" s="36" t="s">
        <v>32</v>
      </c>
    </row>
    <row r="3370">
      <c r="A3370" s="36" t="s">
        <v>7396</v>
      </c>
      <c r="B3370" s="154" t="s">
        <v>7397</v>
      </c>
      <c r="C3370" s="36" t="s">
        <v>1666</v>
      </c>
      <c r="D3370" s="36" t="s">
        <v>110</v>
      </c>
      <c r="E3370" s="36" t="s">
        <v>110</v>
      </c>
      <c r="F3370" s="154" t="s">
        <v>1959</v>
      </c>
      <c r="G3370" s="36" t="s">
        <v>28</v>
      </c>
      <c r="H3370" s="36" t="s">
        <v>1655</v>
      </c>
      <c r="I3370" s="36" t="s">
        <v>1656</v>
      </c>
      <c r="J3370" s="36" t="s">
        <v>1656</v>
      </c>
      <c r="K3370" s="36" t="s">
        <v>1894</v>
      </c>
      <c r="L3370" s="36" t="s">
        <v>6585</v>
      </c>
      <c r="M3370" s="36" t="s">
        <v>6585</v>
      </c>
      <c r="N3370" s="36" t="s">
        <v>34</v>
      </c>
    </row>
    <row r="3371">
      <c r="A3371" s="36" t="s">
        <v>7398</v>
      </c>
      <c r="B3371" s="154" t="s">
        <v>7399</v>
      </c>
      <c r="C3371" s="36" t="s">
        <v>1653</v>
      </c>
      <c r="D3371" s="36" t="s">
        <v>43</v>
      </c>
      <c r="E3371" s="36" t="s">
        <v>39</v>
      </c>
      <c r="F3371" s="154" t="s">
        <v>7400</v>
      </c>
      <c r="G3371" s="36" t="s">
        <v>32</v>
      </c>
      <c r="H3371" s="36" t="s">
        <v>1655</v>
      </c>
      <c r="I3371" s="36" t="s">
        <v>1656</v>
      </c>
      <c r="J3371" s="36" t="s">
        <v>1656</v>
      </c>
      <c r="K3371" s="36" t="s">
        <v>1657</v>
      </c>
      <c r="L3371" s="36" t="s">
        <v>6583</v>
      </c>
      <c r="M3371" s="36" t="s">
        <v>6583</v>
      </c>
      <c r="N3371" s="36" t="s">
        <v>32</v>
      </c>
    </row>
    <row r="3372">
      <c r="A3372" s="36" t="s">
        <v>7401</v>
      </c>
      <c r="B3372" s="154" t="s">
        <v>7399</v>
      </c>
      <c r="C3372" s="36" t="s">
        <v>1653</v>
      </c>
      <c r="D3372" s="36" t="s">
        <v>158</v>
      </c>
      <c r="E3372" s="36" t="s">
        <v>39</v>
      </c>
      <c r="F3372" s="154" t="s">
        <v>7402</v>
      </c>
      <c r="G3372" s="36" t="s">
        <v>32</v>
      </c>
      <c r="H3372" s="36" t="s">
        <v>1655</v>
      </c>
      <c r="I3372" s="36" t="s">
        <v>1656</v>
      </c>
      <c r="J3372" s="36" t="s">
        <v>1656</v>
      </c>
      <c r="K3372" s="36" t="s">
        <v>1978</v>
      </c>
      <c r="L3372" s="36" t="s">
        <v>6583</v>
      </c>
      <c r="M3372" s="36" t="s">
        <v>6583</v>
      </c>
      <c r="N3372" s="36" t="s">
        <v>32</v>
      </c>
    </row>
    <row r="3373">
      <c r="A3373" s="36" t="s">
        <v>7403</v>
      </c>
      <c r="B3373" s="154" t="s">
        <v>7399</v>
      </c>
      <c r="C3373" s="36" t="s">
        <v>1653</v>
      </c>
      <c r="D3373" s="36" t="s">
        <v>426</v>
      </c>
      <c r="E3373" s="36" t="s">
        <v>39</v>
      </c>
      <c r="F3373" s="154" t="s">
        <v>7404</v>
      </c>
      <c r="G3373" s="36" t="s">
        <v>32</v>
      </c>
      <c r="H3373" s="36" t="s">
        <v>1655</v>
      </c>
      <c r="I3373" s="36" t="s">
        <v>1656</v>
      </c>
      <c r="J3373" s="36" t="s">
        <v>1656</v>
      </c>
      <c r="K3373" s="36" t="s">
        <v>1664</v>
      </c>
      <c r="L3373" s="36" t="s">
        <v>6583</v>
      </c>
      <c r="M3373" s="36" t="s">
        <v>6583</v>
      </c>
      <c r="N3373" s="36" t="s">
        <v>32</v>
      </c>
    </row>
    <row r="3374">
      <c r="A3374" s="36" t="s">
        <v>7405</v>
      </c>
      <c r="B3374" s="154" t="s">
        <v>7399</v>
      </c>
      <c r="C3374" s="36" t="s">
        <v>1666</v>
      </c>
      <c r="D3374" s="36" t="s">
        <v>85</v>
      </c>
      <c r="E3374" s="36" t="s">
        <v>85</v>
      </c>
      <c r="F3374" s="154" t="s">
        <v>7406</v>
      </c>
      <c r="G3374" s="36" t="s">
        <v>28</v>
      </c>
      <c r="H3374" s="36" t="s">
        <v>1655</v>
      </c>
      <c r="I3374" s="36" t="s">
        <v>1656</v>
      </c>
      <c r="J3374" s="36" t="s">
        <v>1656</v>
      </c>
      <c r="K3374" s="36" t="s">
        <v>3035</v>
      </c>
      <c r="L3374" s="36" t="s">
        <v>6585</v>
      </c>
      <c r="M3374" s="36" t="s">
        <v>6585</v>
      </c>
      <c r="N3374" s="36" t="s">
        <v>32</v>
      </c>
    </row>
    <row r="3375">
      <c r="A3375" s="36" t="s">
        <v>7407</v>
      </c>
      <c r="B3375" s="154" t="s">
        <v>7399</v>
      </c>
      <c r="C3375" s="36" t="s">
        <v>1666</v>
      </c>
      <c r="D3375" s="36" t="s">
        <v>441</v>
      </c>
      <c r="E3375" s="36" t="s">
        <v>441</v>
      </c>
      <c r="F3375" s="154" t="s">
        <v>7408</v>
      </c>
      <c r="G3375" s="36" t="s">
        <v>28</v>
      </c>
      <c r="H3375" s="36" t="s">
        <v>1655</v>
      </c>
      <c r="I3375" s="36" t="s">
        <v>1656</v>
      </c>
      <c r="J3375" s="36" t="s">
        <v>1656</v>
      </c>
      <c r="K3375" s="36" t="s">
        <v>3038</v>
      </c>
      <c r="L3375" s="36" t="s">
        <v>6585</v>
      </c>
      <c r="M3375" s="36" t="s">
        <v>6585</v>
      </c>
      <c r="N3375" s="36" t="s">
        <v>32</v>
      </c>
    </row>
    <row r="3376">
      <c r="A3376" s="36" t="s">
        <v>7409</v>
      </c>
      <c r="B3376" s="154" t="s">
        <v>7399</v>
      </c>
      <c r="C3376" s="36" t="s">
        <v>1666</v>
      </c>
      <c r="D3376" s="36" t="s">
        <v>192</v>
      </c>
      <c r="E3376" s="36" t="s">
        <v>192</v>
      </c>
      <c r="F3376" s="154" t="s">
        <v>7410</v>
      </c>
      <c r="G3376" s="36" t="s">
        <v>28</v>
      </c>
      <c r="H3376" s="36" t="s">
        <v>1655</v>
      </c>
      <c r="I3376" s="36" t="s">
        <v>1656</v>
      </c>
      <c r="J3376" s="36" t="s">
        <v>1656</v>
      </c>
      <c r="K3376" s="36" t="s">
        <v>2775</v>
      </c>
      <c r="L3376" s="36" t="s">
        <v>6585</v>
      </c>
      <c r="M3376" s="36" t="s">
        <v>6585</v>
      </c>
      <c r="N3376" s="36" t="s">
        <v>32</v>
      </c>
    </row>
    <row r="3377">
      <c r="A3377" s="36" t="s">
        <v>7411</v>
      </c>
      <c r="B3377" s="154" t="s">
        <v>7412</v>
      </c>
      <c r="C3377" s="36" t="s">
        <v>1666</v>
      </c>
      <c r="D3377" s="36" t="s">
        <v>109</v>
      </c>
      <c r="E3377" s="36" t="s">
        <v>109</v>
      </c>
      <c r="F3377" s="154" t="s">
        <v>5536</v>
      </c>
      <c r="G3377" s="36" t="s">
        <v>28</v>
      </c>
      <c r="H3377" s="36" t="s">
        <v>1655</v>
      </c>
      <c r="I3377" s="36" t="s">
        <v>1656</v>
      </c>
      <c r="J3377" s="36" t="s">
        <v>1656</v>
      </c>
      <c r="K3377" s="36" t="s">
        <v>1672</v>
      </c>
      <c r="L3377" s="36" t="s">
        <v>6585</v>
      </c>
      <c r="M3377" s="36" t="s">
        <v>6585</v>
      </c>
      <c r="N3377" s="36" t="s">
        <v>34</v>
      </c>
    </row>
    <row r="3378">
      <c r="A3378" s="36" t="s">
        <v>7413</v>
      </c>
      <c r="B3378" s="154" t="s">
        <v>7414</v>
      </c>
      <c r="C3378" s="36" t="s">
        <v>1653</v>
      </c>
      <c r="D3378" s="36" t="s">
        <v>161</v>
      </c>
      <c r="E3378" s="36" t="s">
        <v>39</v>
      </c>
      <c r="F3378" s="154" t="s">
        <v>2686</v>
      </c>
      <c r="G3378" s="36" t="s">
        <v>32</v>
      </c>
      <c r="H3378" s="36" t="s">
        <v>1655</v>
      </c>
      <c r="I3378" s="36" t="s">
        <v>1656</v>
      </c>
      <c r="J3378" s="36" t="s">
        <v>1656</v>
      </c>
      <c r="K3378" s="36" t="s">
        <v>1749</v>
      </c>
      <c r="L3378" s="36" t="s">
        <v>6583</v>
      </c>
      <c r="M3378" s="36" t="s">
        <v>6583</v>
      </c>
      <c r="N3378" s="36" t="s">
        <v>32</v>
      </c>
    </row>
    <row r="3379">
      <c r="A3379" s="36" t="s">
        <v>7415</v>
      </c>
      <c r="B3379" s="154" t="s">
        <v>7414</v>
      </c>
      <c r="C3379" s="36" t="s">
        <v>1666</v>
      </c>
      <c r="D3379" s="36" t="s">
        <v>78</v>
      </c>
      <c r="E3379" s="36" t="s">
        <v>78</v>
      </c>
      <c r="F3379" s="154" t="s">
        <v>2027</v>
      </c>
      <c r="G3379" s="36" t="s">
        <v>28</v>
      </c>
      <c r="H3379" s="36" t="s">
        <v>1655</v>
      </c>
      <c r="I3379" s="36" t="s">
        <v>1656</v>
      </c>
      <c r="J3379" s="36" t="s">
        <v>1656</v>
      </c>
      <c r="K3379" s="36" t="s">
        <v>4248</v>
      </c>
      <c r="L3379" s="36" t="s">
        <v>6585</v>
      </c>
      <c r="M3379" s="36" t="s">
        <v>6585</v>
      </c>
      <c r="N3379" s="36" t="s">
        <v>32</v>
      </c>
    </row>
    <row r="3380">
      <c r="A3380" s="36" t="s">
        <v>7416</v>
      </c>
      <c r="B3380" s="154" t="s">
        <v>7414</v>
      </c>
      <c r="C3380" s="36" t="s">
        <v>1666</v>
      </c>
      <c r="D3380" s="36" t="s">
        <v>461</v>
      </c>
      <c r="E3380" s="36" t="s">
        <v>461</v>
      </c>
      <c r="F3380" s="154" t="s">
        <v>2163</v>
      </c>
      <c r="G3380" s="36" t="s">
        <v>28</v>
      </c>
      <c r="H3380" s="36" t="s">
        <v>1655</v>
      </c>
      <c r="I3380" s="36" t="s">
        <v>1656</v>
      </c>
      <c r="J3380" s="36" t="s">
        <v>1656</v>
      </c>
      <c r="K3380" s="36" t="s">
        <v>1675</v>
      </c>
      <c r="L3380" s="36" t="s">
        <v>6585</v>
      </c>
      <c r="M3380" s="36" t="s">
        <v>6585</v>
      </c>
      <c r="N3380" s="36" t="s">
        <v>34</v>
      </c>
    </row>
    <row r="3381">
      <c r="A3381" s="36" t="s">
        <v>7417</v>
      </c>
      <c r="B3381" s="154" t="s">
        <v>7418</v>
      </c>
      <c r="C3381" s="36" t="s">
        <v>1666</v>
      </c>
      <c r="D3381" s="36" t="s">
        <v>63</v>
      </c>
      <c r="E3381" s="36" t="s">
        <v>63</v>
      </c>
      <c r="F3381" s="154" t="s">
        <v>7419</v>
      </c>
      <c r="G3381" s="36" t="s">
        <v>32</v>
      </c>
      <c r="H3381" s="36" t="s">
        <v>1655</v>
      </c>
      <c r="I3381" s="36" t="s">
        <v>1656</v>
      </c>
      <c r="J3381" s="36" t="s">
        <v>1656</v>
      </c>
      <c r="K3381" s="36" t="s">
        <v>4196</v>
      </c>
      <c r="L3381" s="36" t="s">
        <v>6585</v>
      </c>
      <c r="M3381" s="36" t="s">
        <v>6585</v>
      </c>
      <c r="N3381" s="36" t="s">
        <v>34</v>
      </c>
    </row>
    <row r="3382">
      <c r="A3382" s="36" t="s">
        <v>7420</v>
      </c>
      <c r="B3382" s="154" t="s">
        <v>7421</v>
      </c>
      <c r="C3382" s="36" t="s">
        <v>1666</v>
      </c>
      <c r="D3382" s="36" t="s">
        <v>64</v>
      </c>
      <c r="E3382" s="36" t="s">
        <v>64</v>
      </c>
      <c r="F3382" s="154" t="s">
        <v>3867</v>
      </c>
      <c r="G3382" s="36" t="s">
        <v>28</v>
      </c>
      <c r="H3382" s="36" t="s">
        <v>1655</v>
      </c>
      <c r="I3382" s="36" t="s">
        <v>1656</v>
      </c>
      <c r="J3382" s="36" t="s">
        <v>1656</v>
      </c>
      <c r="K3382" s="36" t="s">
        <v>1708</v>
      </c>
      <c r="L3382" s="36" t="s">
        <v>6585</v>
      </c>
      <c r="M3382" s="36" t="s">
        <v>6585</v>
      </c>
      <c r="N3382" s="36" t="s">
        <v>32</v>
      </c>
    </row>
    <row r="3383">
      <c r="A3383" s="36" t="s">
        <v>7422</v>
      </c>
      <c r="B3383" s="154" t="s">
        <v>7421</v>
      </c>
      <c r="C3383" s="36" t="s">
        <v>1666</v>
      </c>
      <c r="D3383" s="36" t="s">
        <v>191</v>
      </c>
      <c r="E3383" s="36" t="s">
        <v>191</v>
      </c>
      <c r="F3383" s="154" t="s">
        <v>1816</v>
      </c>
      <c r="G3383" s="36" t="s">
        <v>28</v>
      </c>
      <c r="H3383" s="36" t="s">
        <v>1655</v>
      </c>
      <c r="I3383" s="36" t="s">
        <v>1656</v>
      </c>
      <c r="J3383" s="36" t="s">
        <v>1656</v>
      </c>
      <c r="K3383" s="36" t="s">
        <v>1678</v>
      </c>
      <c r="L3383" s="36" t="s">
        <v>6585</v>
      </c>
      <c r="M3383" s="36" t="s">
        <v>6585</v>
      </c>
      <c r="N3383" s="36" t="s">
        <v>32</v>
      </c>
    </row>
    <row r="3384">
      <c r="A3384" s="36" t="s">
        <v>7423</v>
      </c>
      <c r="B3384" s="154" t="s">
        <v>7421</v>
      </c>
      <c r="C3384" s="36" t="s">
        <v>1666</v>
      </c>
      <c r="D3384" s="36" t="s">
        <v>93</v>
      </c>
      <c r="E3384" s="36" t="s">
        <v>93</v>
      </c>
      <c r="F3384" s="154" t="s">
        <v>1899</v>
      </c>
      <c r="G3384" s="36" t="s">
        <v>28</v>
      </c>
      <c r="H3384" s="36" t="s">
        <v>1655</v>
      </c>
      <c r="I3384" s="36" t="s">
        <v>1656</v>
      </c>
      <c r="J3384" s="36" t="s">
        <v>1656</v>
      </c>
      <c r="K3384" s="36" t="s">
        <v>1681</v>
      </c>
      <c r="L3384" s="36" t="s">
        <v>6585</v>
      </c>
      <c r="M3384" s="36" t="s">
        <v>6585</v>
      </c>
      <c r="N3384" s="36" t="s">
        <v>32</v>
      </c>
    </row>
    <row r="3385">
      <c r="A3385" s="36" t="s">
        <v>7424</v>
      </c>
      <c r="B3385" s="154" t="s">
        <v>7421</v>
      </c>
      <c r="C3385" s="36" t="s">
        <v>1666</v>
      </c>
      <c r="D3385" s="36" t="s">
        <v>100</v>
      </c>
      <c r="E3385" s="36" t="s">
        <v>100</v>
      </c>
      <c r="F3385" s="154" t="s">
        <v>1810</v>
      </c>
      <c r="G3385" s="36" t="s">
        <v>32</v>
      </c>
      <c r="H3385" s="36" t="s">
        <v>1655</v>
      </c>
      <c r="I3385" s="36" t="s">
        <v>1656</v>
      </c>
      <c r="J3385" s="36" t="s">
        <v>1656</v>
      </c>
      <c r="K3385" s="36" t="s">
        <v>1684</v>
      </c>
      <c r="L3385" s="36" t="s">
        <v>6585</v>
      </c>
      <c r="M3385" s="36" t="s">
        <v>6585</v>
      </c>
      <c r="N3385" s="36" t="s">
        <v>32</v>
      </c>
    </row>
    <row r="3386">
      <c r="A3386" s="36" t="s">
        <v>7425</v>
      </c>
      <c r="B3386" s="154" t="s">
        <v>7421</v>
      </c>
      <c r="C3386" s="36" t="s">
        <v>1666</v>
      </c>
      <c r="D3386" s="36" t="s">
        <v>92</v>
      </c>
      <c r="E3386" s="36" t="s">
        <v>92</v>
      </c>
      <c r="F3386" s="154" t="s">
        <v>2728</v>
      </c>
      <c r="G3386" s="36" t="s">
        <v>32</v>
      </c>
      <c r="H3386" s="36" t="s">
        <v>1655</v>
      </c>
      <c r="I3386" s="36" t="s">
        <v>1656</v>
      </c>
      <c r="J3386" s="36" t="s">
        <v>1656</v>
      </c>
      <c r="K3386" s="36" t="s">
        <v>1691</v>
      </c>
      <c r="L3386" s="36" t="s">
        <v>6585</v>
      </c>
      <c r="M3386" s="36" t="s">
        <v>6585</v>
      </c>
      <c r="N3386" s="36" t="s">
        <v>32</v>
      </c>
    </row>
    <row r="3387">
      <c r="A3387" s="36" t="s">
        <v>7426</v>
      </c>
      <c r="B3387" s="154" t="s">
        <v>7421</v>
      </c>
      <c r="C3387" s="36" t="s">
        <v>1666</v>
      </c>
      <c r="D3387" s="36" t="s">
        <v>483</v>
      </c>
      <c r="E3387" s="36" t="s">
        <v>483</v>
      </c>
      <c r="F3387" s="154" t="s">
        <v>7427</v>
      </c>
      <c r="G3387" s="36" t="s">
        <v>32</v>
      </c>
      <c r="H3387" s="36" t="s">
        <v>1655</v>
      </c>
      <c r="I3387" s="36" t="s">
        <v>1656</v>
      </c>
      <c r="J3387" s="36" t="s">
        <v>1656</v>
      </c>
      <c r="K3387" s="36" t="s">
        <v>1695</v>
      </c>
      <c r="L3387" s="36" t="s">
        <v>6585</v>
      </c>
      <c r="M3387" s="36" t="s">
        <v>6585</v>
      </c>
      <c r="N3387" s="36" t="s">
        <v>32</v>
      </c>
    </row>
    <row r="3388">
      <c r="A3388" s="36" t="s">
        <v>7428</v>
      </c>
      <c r="B3388" s="154" t="s">
        <v>7429</v>
      </c>
      <c r="C3388" s="36" t="s">
        <v>1666</v>
      </c>
      <c r="D3388" s="36" t="s">
        <v>491</v>
      </c>
      <c r="E3388" s="36" t="s">
        <v>491</v>
      </c>
      <c r="F3388" s="154" t="s">
        <v>1899</v>
      </c>
      <c r="G3388" s="36" t="s">
        <v>32</v>
      </c>
      <c r="H3388" s="36" t="s">
        <v>1655</v>
      </c>
      <c r="I3388" s="36" t="s">
        <v>1656</v>
      </c>
      <c r="J3388" s="36" t="s">
        <v>1656</v>
      </c>
      <c r="K3388" s="36" t="s">
        <v>1698</v>
      </c>
      <c r="L3388" s="36" t="s">
        <v>6585</v>
      </c>
      <c r="M3388" s="36" t="s">
        <v>6585</v>
      </c>
      <c r="N3388" s="36" t="s">
        <v>32</v>
      </c>
    </row>
    <row r="3389">
      <c r="A3389" s="36" t="s">
        <v>7430</v>
      </c>
      <c r="B3389" s="154" t="s">
        <v>7429</v>
      </c>
      <c r="C3389" s="36" t="s">
        <v>1666</v>
      </c>
      <c r="D3389" s="36" t="s">
        <v>218</v>
      </c>
      <c r="E3389" s="36" t="s">
        <v>218</v>
      </c>
      <c r="F3389" s="154" t="s">
        <v>1686</v>
      </c>
      <c r="G3389" s="36" t="s">
        <v>32</v>
      </c>
      <c r="H3389" s="36" t="s">
        <v>1655</v>
      </c>
      <c r="I3389" s="36" t="s">
        <v>1656</v>
      </c>
      <c r="J3389" s="36" t="s">
        <v>1656</v>
      </c>
      <c r="K3389" s="36" t="s">
        <v>1701</v>
      </c>
      <c r="L3389" s="36" t="s">
        <v>6585</v>
      </c>
      <c r="M3389" s="36" t="s">
        <v>6585</v>
      </c>
      <c r="N3389" s="36" t="s">
        <v>32</v>
      </c>
    </row>
    <row r="3390">
      <c r="A3390" s="36" t="s">
        <v>7431</v>
      </c>
      <c r="B3390" s="154" t="s">
        <v>7429</v>
      </c>
      <c r="C3390" s="36" t="s">
        <v>1666</v>
      </c>
      <c r="D3390" s="36" t="s">
        <v>7432</v>
      </c>
      <c r="E3390" s="36" t="s">
        <v>7432</v>
      </c>
      <c r="F3390" s="154" t="s">
        <v>7433</v>
      </c>
      <c r="G3390" s="36" t="s">
        <v>32</v>
      </c>
      <c r="H3390" s="36" t="s">
        <v>1655</v>
      </c>
      <c r="I3390" s="36" t="s">
        <v>1656</v>
      </c>
      <c r="J3390" s="36" t="s">
        <v>1656</v>
      </c>
      <c r="K3390" s="36" t="s">
        <v>1704</v>
      </c>
      <c r="L3390" s="36" t="s">
        <v>6585</v>
      </c>
      <c r="M3390" s="36" t="s">
        <v>6585</v>
      </c>
      <c r="N3390" s="36" t="s">
        <v>32</v>
      </c>
    </row>
    <row r="3391">
      <c r="A3391" s="36" t="s">
        <v>7434</v>
      </c>
      <c r="B3391" s="154" t="s">
        <v>7429</v>
      </c>
      <c r="C3391" s="36" t="s">
        <v>1666</v>
      </c>
      <c r="D3391" s="36" t="s">
        <v>504</v>
      </c>
      <c r="E3391" s="36" t="s">
        <v>504</v>
      </c>
      <c r="F3391" s="154" t="s">
        <v>7435</v>
      </c>
      <c r="G3391" s="36" t="s">
        <v>32</v>
      </c>
      <c r="H3391" s="36" t="s">
        <v>1655</v>
      </c>
      <c r="I3391" s="36" t="s">
        <v>1656</v>
      </c>
      <c r="J3391" s="36" t="s">
        <v>1656</v>
      </c>
      <c r="K3391" s="36" t="s">
        <v>1711</v>
      </c>
      <c r="L3391" s="36" t="s">
        <v>6585</v>
      </c>
      <c r="M3391" s="36" t="s">
        <v>6585</v>
      </c>
      <c r="N3391" s="36" t="s">
        <v>32</v>
      </c>
    </row>
    <row r="3392">
      <c r="A3392" s="36" t="s">
        <v>7436</v>
      </c>
      <c r="B3392" s="154" t="s">
        <v>7437</v>
      </c>
      <c r="C3392" s="36" t="s">
        <v>1666</v>
      </c>
      <c r="D3392" s="36" t="s">
        <v>510</v>
      </c>
      <c r="E3392" s="36" t="s">
        <v>510</v>
      </c>
      <c r="F3392" s="154" t="s">
        <v>7438</v>
      </c>
      <c r="G3392" s="36" t="s">
        <v>32</v>
      </c>
      <c r="H3392" s="36" t="s">
        <v>1655</v>
      </c>
      <c r="I3392" s="36" t="s">
        <v>1656</v>
      </c>
      <c r="J3392" s="36" t="s">
        <v>1656</v>
      </c>
      <c r="K3392" s="36" t="s">
        <v>1715</v>
      </c>
      <c r="L3392" s="36" t="s">
        <v>6585</v>
      </c>
      <c r="M3392" s="36" t="s">
        <v>6585</v>
      </c>
      <c r="N3392" s="36" t="s">
        <v>32</v>
      </c>
    </row>
    <row r="3393">
      <c r="A3393" s="36" t="s">
        <v>7439</v>
      </c>
      <c r="B3393" s="154" t="s">
        <v>7437</v>
      </c>
      <c r="C3393" s="36" t="s">
        <v>1666</v>
      </c>
      <c r="D3393" s="36" t="s">
        <v>515</v>
      </c>
      <c r="E3393" s="36" t="s">
        <v>515</v>
      </c>
      <c r="F3393" s="154" t="s">
        <v>7440</v>
      </c>
      <c r="G3393" s="36" t="s">
        <v>28</v>
      </c>
      <c r="H3393" s="36" t="s">
        <v>1655</v>
      </c>
      <c r="I3393" s="36" t="s">
        <v>1656</v>
      </c>
      <c r="J3393" s="36" t="s">
        <v>1656</v>
      </c>
      <c r="K3393" s="36" t="s">
        <v>1717</v>
      </c>
      <c r="L3393" s="36" t="s">
        <v>6585</v>
      </c>
      <c r="M3393" s="36" t="s">
        <v>6585</v>
      </c>
      <c r="N3393" s="36" t="s">
        <v>34</v>
      </c>
    </row>
    <row r="3394">
      <c r="A3394" s="36" t="s">
        <v>7441</v>
      </c>
      <c r="B3394" s="154" t="s">
        <v>7442</v>
      </c>
      <c r="C3394" s="36" t="s">
        <v>1666</v>
      </c>
      <c r="D3394" s="36" t="s">
        <v>66</v>
      </c>
      <c r="E3394" s="36" t="s">
        <v>66</v>
      </c>
      <c r="F3394" s="154" t="s">
        <v>7443</v>
      </c>
      <c r="G3394" s="36" t="s">
        <v>28</v>
      </c>
      <c r="H3394" s="36" t="s">
        <v>1655</v>
      </c>
      <c r="I3394" s="36" t="s">
        <v>1656</v>
      </c>
      <c r="J3394" s="36" t="s">
        <v>1656</v>
      </c>
      <c r="K3394" s="36" t="s">
        <v>1721</v>
      </c>
      <c r="L3394" s="36" t="s">
        <v>6585</v>
      </c>
      <c r="M3394" s="36" t="s">
        <v>6585</v>
      </c>
      <c r="N3394" s="36" t="s">
        <v>32</v>
      </c>
    </row>
    <row r="3395">
      <c r="A3395" s="36" t="s">
        <v>7444</v>
      </c>
      <c r="B3395" s="154" t="s">
        <v>7442</v>
      </c>
      <c r="C3395" s="36" t="s">
        <v>1666</v>
      </c>
      <c r="D3395" s="36" t="s">
        <v>518</v>
      </c>
      <c r="E3395" s="36" t="s">
        <v>518</v>
      </c>
      <c r="F3395" s="154" t="s">
        <v>2039</v>
      </c>
      <c r="G3395" s="36" t="s">
        <v>32</v>
      </c>
      <c r="H3395" s="36" t="s">
        <v>1655</v>
      </c>
      <c r="I3395" s="36" t="s">
        <v>1656</v>
      </c>
      <c r="J3395" s="36" t="s">
        <v>1656</v>
      </c>
      <c r="K3395" s="36" t="s">
        <v>1724</v>
      </c>
      <c r="L3395" s="36" t="s">
        <v>6585</v>
      </c>
      <c r="M3395" s="36" t="s">
        <v>6585</v>
      </c>
      <c r="N3395" s="36" t="s">
        <v>32</v>
      </c>
    </row>
    <row r="3396">
      <c r="A3396" s="36" t="s">
        <v>7445</v>
      </c>
      <c r="B3396" s="154" t="s">
        <v>7446</v>
      </c>
      <c r="C3396" s="36" t="s">
        <v>1666</v>
      </c>
      <c r="D3396" s="36" t="s">
        <v>523</v>
      </c>
      <c r="E3396" s="36" t="s">
        <v>523</v>
      </c>
      <c r="F3396" s="154" t="s">
        <v>2029</v>
      </c>
      <c r="G3396" s="36" t="s">
        <v>32</v>
      </c>
      <c r="H3396" s="36" t="s">
        <v>1655</v>
      </c>
      <c r="I3396" s="36" t="s">
        <v>1656</v>
      </c>
      <c r="J3396" s="36" t="s">
        <v>1656</v>
      </c>
      <c r="K3396" s="36" t="s">
        <v>1727</v>
      </c>
      <c r="L3396" s="36" t="s">
        <v>6585</v>
      </c>
      <c r="M3396" s="36" t="s">
        <v>6585</v>
      </c>
      <c r="N3396" s="36" t="s">
        <v>32</v>
      </c>
    </row>
    <row r="3397">
      <c r="A3397" s="36" t="s">
        <v>7447</v>
      </c>
      <c r="B3397" s="154" t="s">
        <v>7448</v>
      </c>
      <c r="C3397" s="36" t="s">
        <v>1653</v>
      </c>
      <c r="D3397" s="36" t="s">
        <v>55</v>
      </c>
      <c r="E3397" s="36" t="s">
        <v>39</v>
      </c>
      <c r="F3397" s="154" t="s">
        <v>7449</v>
      </c>
      <c r="G3397" s="36" t="s">
        <v>32</v>
      </c>
      <c r="H3397" s="36" t="s">
        <v>1655</v>
      </c>
      <c r="I3397" s="36" t="s">
        <v>1656</v>
      </c>
      <c r="J3397" s="36" t="s">
        <v>1656</v>
      </c>
      <c r="K3397" s="36" t="s">
        <v>1989</v>
      </c>
      <c r="L3397" s="36" t="s">
        <v>6583</v>
      </c>
      <c r="M3397" s="36" t="s">
        <v>6583</v>
      </c>
      <c r="N3397" s="36" t="s">
        <v>32</v>
      </c>
    </row>
    <row r="3398">
      <c r="A3398" s="36" t="s">
        <v>7450</v>
      </c>
      <c r="B3398" s="154" t="s">
        <v>7448</v>
      </c>
      <c r="C3398" s="36" t="s">
        <v>1666</v>
      </c>
      <c r="D3398" s="36" t="s">
        <v>76</v>
      </c>
      <c r="E3398" s="36" t="s">
        <v>76</v>
      </c>
      <c r="F3398" s="154" t="s">
        <v>7451</v>
      </c>
      <c r="G3398" s="36" t="s">
        <v>28</v>
      </c>
      <c r="H3398" s="36" t="s">
        <v>1655</v>
      </c>
      <c r="I3398" s="36" t="s">
        <v>1656</v>
      </c>
      <c r="J3398" s="36" t="s">
        <v>1656</v>
      </c>
      <c r="K3398" s="36" t="s">
        <v>1763</v>
      </c>
      <c r="L3398" s="36" t="s">
        <v>6585</v>
      </c>
      <c r="M3398" s="36" t="s">
        <v>6585</v>
      </c>
      <c r="N3398" s="36" t="s">
        <v>32</v>
      </c>
    </row>
    <row r="3399">
      <c r="A3399" s="36" t="s">
        <v>7452</v>
      </c>
      <c r="B3399" s="154" t="s">
        <v>7448</v>
      </c>
      <c r="C3399" s="36" t="s">
        <v>1666</v>
      </c>
      <c r="D3399" s="36" t="s">
        <v>77</v>
      </c>
      <c r="E3399" s="36" t="s">
        <v>77</v>
      </c>
      <c r="F3399" s="154" t="s">
        <v>1768</v>
      </c>
      <c r="G3399" s="36" t="s">
        <v>34</v>
      </c>
      <c r="H3399" s="36" t="s">
        <v>1655</v>
      </c>
      <c r="I3399" s="36" t="s">
        <v>1656</v>
      </c>
      <c r="J3399" s="36" t="s">
        <v>1656</v>
      </c>
      <c r="K3399" s="36" t="s">
        <v>1766</v>
      </c>
      <c r="L3399" s="36" t="s">
        <v>6585</v>
      </c>
      <c r="M3399" s="36" t="s">
        <v>6585</v>
      </c>
      <c r="N3399" s="36" t="s">
        <v>32</v>
      </c>
    </row>
    <row r="3400">
      <c r="A3400" s="36" t="s">
        <v>7453</v>
      </c>
      <c r="B3400" s="154" t="s">
        <v>7448</v>
      </c>
      <c r="C3400" s="36" t="s">
        <v>1666</v>
      </c>
      <c r="D3400" s="36" t="s">
        <v>99</v>
      </c>
      <c r="E3400" s="36" t="s">
        <v>99</v>
      </c>
      <c r="F3400" s="154" t="s">
        <v>7454</v>
      </c>
      <c r="G3400" s="36" t="s">
        <v>32</v>
      </c>
      <c r="H3400" s="36" t="s">
        <v>1655</v>
      </c>
      <c r="I3400" s="36" t="s">
        <v>1656</v>
      </c>
      <c r="J3400" s="36" t="s">
        <v>1656</v>
      </c>
      <c r="K3400" s="36" t="s">
        <v>1730</v>
      </c>
      <c r="L3400" s="36" t="s">
        <v>6585</v>
      </c>
      <c r="M3400" s="36" t="s">
        <v>6585</v>
      </c>
      <c r="N3400" s="36" t="s">
        <v>32</v>
      </c>
    </row>
    <row r="3401">
      <c r="A3401" s="36" t="s">
        <v>7455</v>
      </c>
      <c r="B3401" s="154" t="s">
        <v>7448</v>
      </c>
      <c r="C3401" s="36" t="s">
        <v>1666</v>
      </c>
      <c r="D3401" s="36" t="s">
        <v>101</v>
      </c>
      <c r="E3401" s="36" t="s">
        <v>101</v>
      </c>
      <c r="F3401" s="154" t="s">
        <v>7456</v>
      </c>
      <c r="G3401" s="36" t="s">
        <v>28</v>
      </c>
      <c r="H3401" s="36" t="s">
        <v>1655</v>
      </c>
      <c r="I3401" s="36" t="s">
        <v>1656</v>
      </c>
      <c r="J3401" s="36" t="s">
        <v>1656</v>
      </c>
      <c r="K3401" s="36" t="s">
        <v>1732</v>
      </c>
      <c r="L3401" s="36" t="s">
        <v>6585</v>
      </c>
      <c r="M3401" s="36" t="s">
        <v>6585</v>
      </c>
      <c r="N3401" s="36" t="s">
        <v>32</v>
      </c>
    </row>
    <row r="3402">
      <c r="A3402" s="36" t="s">
        <v>7457</v>
      </c>
      <c r="B3402" s="154" t="s">
        <v>7448</v>
      </c>
      <c r="C3402" s="36" t="s">
        <v>1666</v>
      </c>
      <c r="D3402" s="36" t="s">
        <v>542</v>
      </c>
      <c r="E3402" s="36" t="s">
        <v>542</v>
      </c>
      <c r="F3402" s="154" t="s">
        <v>2049</v>
      </c>
      <c r="G3402" s="36" t="s">
        <v>28</v>
      </c>
      <c r="H3402" s="36" t="s">
        <v>1655</v>
      </c>
      <c r="I3402" s="36" t="s">
        <v>1656</v>
      </c>
      <c r="J3402" s="36" t="s">
        <v>1656</v>
      </c>
      <c r="K3402" s="36" t="s">
        <v>1736</v>
      </c>
      <c r="L3402" s="36" t="s">
        <v>6585</v>
      </c>
      <c r="M3402" s="36" t="s">
        <v>6585</v>
      </c>
      <c r="N3402" s="36" t="s">
        <v>34</v>
      </c>
    </row>
    <row r="3403">
      <c r="A3403" s="36" t="s">
        <v>7458</v>
      </c>
      <c r="B3403" s="154" t="s">
        <v>7459</v>
      </c>
      <c r="C3403" s="36" t="s">
        <v>1666</v>
      </c>
      <c r="D3403" s="36" t="s">
        <v>546</v>
      </c>
      <c r="E3403" s="36" t="s">
        <v>546</v>
      </c>
      <c r="F3403" s="154" t="s">
        <v>7460</v>
      </c>
      <c r="G3403" s="36" t="s">
        <v>32</v>
      </c>
      <c r="H3403" s="36" t="s">
        <v>1655</v>
      </c>
      <c r="I3403" s="36" t="s">
        <v>1656</v>
      </c>
      <c r="J3403" s="36" t="s">
        <v>1656</v>
      </c>
      <c r="K3403" s="36" t="s">
        <v>1739</v>
      </c>
      <c r="L3403" s="36" t="s">
        <v>6585</v>
      </c>
      <c r="M3403" s="36" t="s">
        <v>6585</v>
      </c>
      <c r="N3403" s="36" t="s">
        <v>32</v>
      </c>
    </row>
    <row r="3404">
      <c r="A3404" s="36" t="s">
        <v>7461</v>
      </c>
      <c r="B3404" s="154" t="s">
        <v>7459</v>
      </c>
      <c r="C3404" s="36" t="s">
        <v>1666</v>
      </c>
      <c r="D3404" s="36" t="s">
        <v>426</v>
      </c>
      <c r="E3404" s="36" t="s">
        <v>426</v>
      </c>
      <c r="F3404" s="154" t="s">
        <v>2728</v>
      </c>
      <c r="G3404" s="36" t="s">
        <v>32</v>
      </c>
      <c r="H3404" s="36" t="s">
        <v>1655</v>
      </c>
      <c r="I3404" s="36" t="s">
        <v>1656</v>
      </c>
      <c r="J3404" s="36" t="s">
        <v>1656</v>
      </c>
      <c r="K3404" s="36" t="s">
        <v>1742</v>
      </c>
      <c r="L3404" s="36" t="s">
        <v>6585</v>
      </c>
      <c r="M3404" s="36" t="s">
        <v>6585</v>
      </c>
      <c r="N3404" s="36" t="s">
        <v>32</v>
      </c>
    </row>
    <row r="3405">
      <c r="A3405" s="36" t="s">
        <v>7462</v>
      </c>
      <c r="B3405" s="154" t="s">
        <v>7463</v>
      </c>
      <c r="C3405" s="36" t="s">
        <v>1666</v>
      </c>
      <c r="D3405" s="36" t="s">
        <v>115</v>
      </c>
      <c r="E3405" s="36" t="s">
        <v>115</v>
      </c>
      <c r="F3405" s="154" t="s">
        <v>7464</v>
      </c>
      <c r="G3405" s="36" t="s">
        <v>32</v>
      </c>
      <c r="H3405" s="36" t="s">
        <v>1655</v>
      </c>
      <c r="I3405" s="36" t="s">
        <v>1656</v>
      </c>
      <c r="J3405" s="36" t="s">
        <v>1656</v>
      </c>
      <c r="K3405" s="36" t="s">
        <v>1745</v>
      </c>
      <c r="L3405" s="36" t="s">
        <v>6585</v>
      </c>
      <c r="M3405" s="36" t="s">
        <v>6585</v>
      </c>
      <c r="N3405" s="36" t="s">
        <v>32</v>
      </c>
    </row>
    <row r="3406">
      <c r="A3406" s="36" t="s">
        <v>7465</v>
      </c>
      <c r="B3406" s="154" t="s">
        <v>7466</v>
      </c>
      <c r="C3406" s="36" t="s">
        <v>1666</v>
      </c>
      <c r="D3406" s="36" t="s">
        <v>562</v>
      </c>
      <c r="E3406" s="36" t="s">
        <v>562</v>
      </c>
      <c r="F3406" s="154" t="s">
        <v>1859</v>
      </c>
      <c r="G3406" s="36" t="s">
        <v>28</v>
      </c>
      <c r="H3406" s="36" t="s">
        <v>1655</v>
      </c>
      <c r="I3406" s="36" t="s">
        <v>1656</v>
      </c>
      <c r="J3406" s="36" t="s">
        <v>1656</v>
      </c>
      <c r="K3406" s="36" t="s">
        <v>1773</v>
      </c>
      <c r="L3406" s="36" t="s">
        <v>6585</v>
      </c>
      <c r="M3406" s="36" t="s">
        <v>6585</v>
      </c>
      <c r="N3406" s="36" t="s">
        <v>34</v>
      </c>
    </row>
    <row r="3407">
      <c r="A3407" s="36" t="s">
        <v>7467</v>
      </c>
      <c r="B3407" s="154" t="s">
        <v>7468</v>
      </c>
      <c r="C3407" s="36" t="s">
        <v>1666</v>
      </c>
      <c r="D3407" s="36" t="s">
        <v>89</v>
      </c>
      <c r="E3407" s="36" t="s">
        <v>89</v>
      </c>
      <c r="F3407" s="154" t="s">
        <v>3017</v>
      </c>
      <c r="G3407" s="36" t="s">
        <v>28</v>
      </c>
      <c r="H3407" s="36" t="s">
        <v>1655</v>
      </c>
      <c r="I3407" s="36" t="s">
        <v>1656</v>
      </c>
      <c r="J3407" s="36" t="s">
        <v>1656</v>
      </c>
      <c r="K3407" s="36" t="s">
        <v>1776</v>
      </c>
      <c r="L3407" s="36" t="s">
        <v>6585</v>
      </c>
      <c r="M3407" s="36" t="s">
        <v>6585</v>
      </c>
      <c r="N3407" s="36" t="s">
        <v>32</v>
      </c>
    </row>
    <row r="3408">
      <c r="A3408" s="36" t="s">
        <v>7469</v>
      </c>
      <c r="B3408" s="154" t="s">
        <v>7468</v>
      </c>
      <c r="C3408" s="36" t="s">
        <v>1666</v>
      </c>
      <c r="D3408" s="36" t="s">
        <v>89</v>
      </c>
      <c r="E3408" s="36" t="s">
        <v>89</v>
      </c>
      <c r="F3408" s="154" t="s">
        <v>1859</v>
      </c>
      <c r="G3408" s="36" t="s">
        <v>28</v>
      </c>
      <c r="H3408" s="36" t="s">
        <v>1655</v>
      </c>
      <c r="I3408" s="36" t="s">
        <v>1656</v>
      </c>
      <c r="J3408" s="36" t="s">
        <v>1656</v>
      </c>
      <c r="K3408" s="36" t="s">
        <v>1779</v>
      </c>
      <c r="L3408" s="36" t="s">
        <v>6585</v>
      </c>
      <c r="M3408" s="36" t="s">
        <v>6585</v>
      </c>
      <c r="N3408" s="36" t="s">
        <v>32</v>
      </c>
    </row>
    <row r="3409">
      <c r="A3409" s="36" t="s">
        <v>7470</v>
      </c>
      <c r="B3409" s="154" t="s">
        <v>7471</v>
      </c>
      <c r="C3409" s="36" t="s">
        <v>1666</v>
      </c>
      <c r="D3409" s="36" t="s">
        <v>576</v>
      </c>
      <c r="E3409" s="36" t="s">
        <v>576</v>
      </c>
      <c r="F3409" s="154" t="s">
        <v>1729</v>
      </c>
      <c r="G3409" s="36" t="s">
        <v>28</v>
      </c>
      <c r="H3409" s="36" t="s">
        <v>1655</v>
      </c>
      <c r="I3409" s="36" t="s">
        <v>1656</v>
      </c>
      <c r="J3409" s="36" t="s">
        <v>1656</v>
      </c>
      <c r="K3409" s="36" t="s">
        <v>1782</v>
      </c>
      <c r="L3409" s="36" t="s">
        <v>6585</v>
      </c>
      <c r="M3409" s="36" t="s">
        <v>6585</v>
      </c>
      <c r="N3409" s="36" t="s">
        <v>34</v>
      </c>
    </row>
    <row r="3410">
      <c r="A3410" s="36" t="s">
        <v>7472</v>
      </c>
      <c r="B3410" s="154" t="s">
        <v>7473</v>
      </c>
      <c r="C3410" s="36" t="s">
        <v>1666</v>
      </c>
      <c r="D3410" s="36" t="s">
        <v>581</v>
      </c>
      <c r="E3410" s="36" t="s">
        <v>581</v>
      </c>
      <c r="F3410" s="154" t="s">
        <v>2156</v>
      </c>
      <c r="G3410" s="36" t="s">
        <v>28</v>
      </c>
      <c r="H3410" s="36" t="s">
        <v>1655</v>
      </c>
      <c r="I3410" s="36" t="s">
        <v>1656</v>
      </c>
      <c r="J3410" s="36" t="s">
        <v>1656</v>
      </c>
      <c r="K3410" s="36" t="s">
        <v>1784</v>
      </c>
      <c r="L3410" s="36" t="s">
        <v>6585</v>
      </c>
      <c r="M3410" s="36" t="s">
        <v>6585</v>
      </c>
      <c r="N3410" s="36" t="s">
        <v>34</v>
      </c>
    </row>
    <row r="3411">
      <c r="A3411" s="36" t="s">
        <v>7474</v>
      </c>
      <c r="B3411" s="154" t="s">
        <v>7475</v>
      </c>
      <c r="C3411" s="36" t="s">
        <v>1666</v>
      </c>
      <c r="D3411" s="36" t="s">
        <v>89</v>
      </c>
      <c r="E3411" s="36" t="s">
        <v>89</v>
      </c>
      <c r="F3411" s="154" t="s">
        <v>1686</v>
      </c>
      <c r="G3411" s="36" t="s">
        <v>28</v>
      </c>
      <c r="H3411" s="36" t="s">
        <v>1655</v>
      </c>
      <c r="I3411" s="36" t="s">
        <v>1656</v>
      </c>
      <c r="J3411" s="36" t="s">
        <v>1656</v>
      </c>
      <c r="K3411" s="36" t="s">
        <v>1787</v>
      </c>
      <c r="L3411" s="36" t="s">
        <v>6585</v>
      </c>
      <c r="M3411" s="36" t="s">
        <v>6585</v>
      </c>
      <c r="N3411" s="36" t="s">
        <v>32</v>
      </c>
    </row>
    <row r="3412">
      <c r="A3412" s="36" t="s">
        <v>7476</v>
      </c>
      <c r="B3412" s="154" t="s">
        <v>7477</v>
      </c>
      <c r="C3412" s="36" t="s">
        <v>1666</v>
      </c>
      <c r="D3412" s="36" t="s">
        <v>594</v>
      </c>
      <c r="E3412" s="36" t="s">
        <v>594</v>
      </c>
      <c r="F3412" s="154" t="s">
        <v>1859</v>
      </c>
      <c r="G3412" s="36" t="s">
        <v>28</v>
      </c>
      <c r="H3412" s="36" t="s">
        <v>1655</v>
      </c>
      <c r="I3412" s="36" t="s">
        <v>1656</v>
      </c>
      <c r="J3412" s="36" t="s">
        <v>1656</v>
      </c>
      <c r="K3412" s="36" t="s">
        <v>1790</v>
      </c>
      <c r="L3412" s="36" t="s">
        <v>6585</v>
      </c>
      <c r="M3412" s="36" t="s">
        <v>6585</v>
      </c>
      <c r="N3412" s="36" t="s">
        <v>34</v>
      </c>
    </row>
    <row r="3413">
      <c r="A3413" s="36" t="s">
        <v>7478</v>
      </c>
      <c r="B3413" s="154" t="s">
        <v>7477</v>
      </c>
      <c r="C3413" s="36" t="s">
        <v>1666</v>
      </c>
      <c r="D3413" s="36" t="s">
        <v>600</v>
      </c>
      <c r="E3413" s="36" t="s">
        <v>600</v>
      </c>
      <c r="F3413" s="154" t="s">
        <v>1729</v>
      </c>
      <c r="G3413" s="36" t="s">
        <v>28</v>
      </c>
      <c r="H3413" s="36" t="s">
        <v>1655</v>
      </c>
      <c r="I3413" s="36" t="s">
        <v>1656</v>
      </c>
      <c r="J3413" s="36" t="s">
        <v>1656</v>
      </c>
      <c r="K3413" s="36" t="s">
        <v>1793</v>
      </c>
      <c r="L3413" s="36" t="s">
        <v>6585</v>
      </c>
      <c r="M3413" s="36" t="s">
        <v>6585</v>
      </c>
      <c r="N3413" s="36" t="s">
        <v>34</v>
      </c>
    </row>
    <row r="3414">
      <c r="A3414" s="36" t="s">
        <v>7479</v>
      </c>
      <c r="B3414" s="154" t="s">
        <v>7480</v>
      </c>
      <c r="C3414" s="36" t="s">
        <v>1666</v>
      </c>
      <c r="D3414" s="36" t="s">
        <v>92</v>
      </c>
      <c r="E3414" s="36" t="s">
        <v>92</v>
      </c>
      <c r="F3414" s="154" t="s">
        <v>1683</v>
      </c>
      <c r="G3414" s="36" t="s">
        <v>32</v>
      </c>
      <c r="H3414" s="36" t="s">
        <v>1655</v>
      </c>
      <c r="I3414" s="36" t="s">
        <v>1656</v>
      </c>
      <c r="J3414" s="36" t="s">
        <v>1656</v>
      </c>
      <c r="K3414" s="36" t="s">
        <v>1796</v>
      </c>
      <c r="L3414" s="36" t="s">
        <v>6585</v>
      </c>
      <c r="M3414" s="36" t="s">
        <v>6585</v>
      </c>
      <c r="N3414" s="36" t="s">
        <v>32</v>
      </c>
    </row>
    <row r="3415">
      <c r="A3415" s="36" t="s">
        <v>7481</v>
      </c>
      <c r="B3415" s="154" t="s">
        <v>7482</v>
      </c>
      <c r="C3415" s="36" t="s">
        <v>1666</v>
      </c>
      <c r="D3415" s="36" t="s">
        <v>610</v>
      </c>
      <c r="E3415" s="36" t="s">
        <v>610</v>
      </c>
      <c r="F3415" s="154" t="s">
        <v>2930</v>
      </c>
      <c r="G3415" s="36" t="s">
        <v>28</v>
      </c>
      <c r="H3415" s="36" t="s">
        <v>1655</v>
      </c>
      <c r="I3415" s="36" t="s">
        <v>1656</v>
      </c>
      <c r="J3415" s="36" t="s">
        <v>1656</v>
      </c>
      <c r="K3415" s="36" t="s">
        <v>1800</v>
      </c>
      <c r="L3415" s="36" t="s">
        <v>6585</v>
      </c>
      <c r="M3415" s="36" t="s">
        <v>6585</v>
      </c>
      <c r="N3415" s="36" t="s">
        <v>34</v>
      </c>
    </row>
    <row r="3416">
      <c r="A3416" s="36" t="s">
        <v>7483</v>
      </c>
      <c r="B3416" s="154" t="s">
        <v>7484</v>
      </c>
      <c r="C3416" s="36" t="s">
        <v>1666</v>
      </c>
      <c r="D3416" s="36" t="s">
        <v>79</v>
      </c>
      <c r="E3416" s="36" t="s">
        <v>79</v>
      </c>
      <c r="F3416" s="154" t="s">
        <v>6912</v>
      </c>
      <c r="G3416" s="36" t="s">
        <v>32</v>
      </c>
      <c r="H3416" s="36" t="s">
        <v>1655</v>
      </c>
      <c r="I3416" s="36" t="s">
        <v>1656</v>
      </c>
      <c r="J3416" s="36" t="s">
        <v>1656</v>
      </c>
      <c r="K3416" s="36" t="s">
        <v>1769</v>
      </c>
      <c r="L3416" s="36" t="s">
        <v>6585</v>
      </c>
      <c r="M3416" s="36" t="s">
        <v>6585</v>
      </c>
      <c r="N3416" s="36" t="s">
        <v>32</v>
      </c>
    </row>
    <row r="3417">
      <c r="A3417" s="36" t="s">
        <v>7485</v>
      </c>
      <c r="B3417" s="154" t="s">
        <v>7486</v>
      </c>
      <c r="C3417" s="36" t="s">
        <v>1666</v>
      </c>
      <c r="D3417" s="36" t="s">
        <v>92</v>
      </c>
      <c r="E3417" s="36" t="s">
        <v>92</v>
      </c>
      <c r="F3417" s="154" t="s">
        <v>2493</v>
      </c>
      <c r="G3417" s="36" t="s">
        <v>32</v>
      </c>
      <c r="H3417" s="36" t="s">
        <v>1655</v>
      </c>
      <c r="I3417" s="36" t="s">
        <v>1656</v>
      </c>
      <c r="J3417" s="36" t="s">
        <v>1656</v>
      </c>
      <c r="K3417" s="36" t="s">
        <v>1803</v>
      </c>
      <c r="L3417" s="36" t="s">
        <v>6585</v>
      </c>
      <c r="M3417" s="36" t="s">
        <v>6585</v>
      </c>
      <c r="N3417" s="36" t="s">
        <v>32</v>
      </c>
    </row>
    <row r="3418">
      <c r="A3418" s="36" t="s">
        <v>7487</v>
      </c>
      <c r="B3418" s="154" t="s">
        <v>7486</v>
      </c>
      <c r="C3418" s="36" t="s">
        <v>1666</v>
      </c>
      <c r="D3418" s="36" t="s">
        <v>545</v>
      </c>
      <c r="E3418" s="36" t="s">
        <v>545</v>
      </c>
      <c r="F3418" s="154" t="s">
        <v>1810</v>
      </c>
      <c r="G3418" s="36" t="s">
        <v>32</v>
      </c>
      <c r="H3418" s="36" t="s">
        <v>1655</v>
      </c>
      <c r="I3418" s="36" t="s">
        <v>1656</v>
      </c>
      <c r="J3418" s="36" t="s">
        <v>1656</v>
      </c>
      <c r="K3418" s="36" t="s">
        <v>1807</v>
      </c>
      <c r="L3418" s="36" t="s">
        <v>6585</v>
      </c>
      <c r="M3418" s="36" t="s">
        <v>6585</v>
      </c>
      <c r="N3418" s="36" t="s">
        <v>32</v>
      </c>
    </row>
    <row r="3419">
      <c r="A3419" s="36" t="s">
        <v>7488</v>
      </c>
      <c r="B3419" s="154" t="s">
        <v>7486</v>
      </c>
      <c r="C3419" s="36" t="s">
        <v>1666</v>
      </c>
      <c r="D3419" s="36" t="s">
        <v>89</v>
      </c>
      <c r="E3419" s="36" t="s">
        <v>89</v>
      </c>
      <c r="F3419" s="154" t="s">
        <v>1744</v>
      </c>
      <c r="G3419" s="36" t="s">
        <v>28</v>
      </c>
      <c r="H3419" s="36" t="s">
        <v>1655</v>
      </c>
      <c r="I3419" s="36" t="s">
        <v>1656</v>
      </c>
      <c r="J3419" s="36" t="s">
        <v>1656</v>
      </c>
      <c r="K3419" s="36" t="s">
        <v>1814</v>
      </c>
      <c r="L3419" s="36" t="s">
        <v>6585</v>
      </c>
      <c r="M3419" s="36" t="s">
        <v>6585</v>
      </c>
      <c r="N3419" s="36" t="s">
        <v>34</v>
      </c>
    </row>
    <row r="3420">
      <c r="A3420" s="36" t="s">
        <v>7489</v>
      </c>
      <c r="B3420" s="154" t="s">
        <v>7490</v>
      </c>
      <c r="C3420" s="36" t="s">
        <v>1666</v>
      </c>
      <c r="D3420" s="36" t="s">
        <v>191</v>
      </c>
      <c r="E3420" s="36" t="s">
        <v>191</v>
      </c>
      <c r="F3420" s="154" t="s">
        <v>1816</v>
      </c>
      <c r="G3420" s="36" t="s">
        <v>28</v>
      </c>
      <c r="H3420" s="36" t="s">
        <v>1655</v>
      </c>
      <c r="I3420" s="36" t="s">
        <v>1656</v>
      </c>
      <c r="J3420" s="36" t="s">
        <v>1656</v>
      </c>
      <c r="K3420" s="36" t="s">
        <v>1817</v>
      </c>
      <c r="L3420" s="36" t="s">
        <v>6585</v>
      </c>
      <c r="M3420" s="36" t="s">
        <v>6585</v>
      </c>
      <c r="N3420" s="36" t="s">
        <v>32</v>
      </c>
    </row>
    <row r="3421">
      <c r="A3421" s="36" t="s">
        <v>7491</v>
      </c>
      <c r="B3421" s="154" t="s">
        <v>7492</v>
      </c>
      <c r="C3421" s="36" t="s">
        <v>1666</v>
      </c>
      <c r="D3421" s="36" t="s">
        <v>130</v>
      </c>
      <c r="E3421" s="36" t="s">
        <v>130</v>
      </c>
      <c r="F3421" s="154" t="s">
        <v>1810</v>
      </c>
      <c r="G3421" s="36" t="s">
        <v>32</v>
      </c>
      <c r="H3421" s="36" t="s">
        <v>1655</v>
      </c>
      <c r="I3421" s="36" t="s">
        <v>1656</v>
      </c>
      <c r="J3421" s="36" t="s">
        <v>1656</v>
      </c>
      <c r="K3421" s="36" t="s">
        <v>1820</v>
      </c>
      <c r="L3421" s="36" t="s">
        <v>6585</v>
      </c>
      <c r="M3421" s="36" t="s">
        <v>6585</v>
      </c>
      <c r="N3421" s="36" t="s">
        <v>32</v>
      </c>
    </row>
    <row r="3422">
      <c r="A3422" s="36" t="s">
        <v>7493</v>
      </c>
      <c r="B3422" s="154" t="s">
        <v>7492</v>
      </c>
      <c r="C3422" s="36" t="s">
        <v>1666</v>
      </c>
      <c r="D3422" s="36" t="s">
        <v>476</v>
      </c>
      <c r="E3422" s="36" t="s">
        <v>476</v>
      </c>
      <c r="F3422" s="154" t="s">
        <v>7494</v>
      </c>
      <c r="G3422" s="36" t="s">
        <v>28</v>
      </c>
      <c r="H3422" s="36" t="s">
        <v>1655</v>
      </c>
      <c r="I3422" s="36" t="s">
        <v>1656</v>
      </c>
      <c r="J3422" s="36" t="s">
        <v>1656</v>
      </c>
      <c r="K3422" s="36" t="s">
        <v>1823</v>
      </c>
      <c r="L3422" s="36" t="s">
        <v>6585</v>
      </c>
      <c r="M3422" s="36" t="s">
        <v>6585</v>
      </c>
      <c r="N3422" s="36" t="s">
        <v>32</v>
      </c>
    </row>
    <row r="3423">
      <c r="A3423" s="36" t="s">
        <v>7495</v>
      </c>
      <c r="B3423" s="154" t="s">
        <v>7492</v>
      </c>
      <c r="C3423" s="36" t="s">
        <v>1666</v>
      </c>
      <c r="D3423" s="36" t="s">
        <v>89</v>
      </c>
      <c r="E3423" s="36" t="s">
        <v>89</v>
      </c>
      <c r="F3423" s="154" t="s">
        <v>2082</v>
      </c>
      <c r="G3423" s="36" t="s">
        <v>28</v>
      </c>
      <c r="H3423" s="36" t="s">
        <v>1655</v>
      </c>
      <c r="I3423" s="36" t="s">
        <v>1656</v>
      </c>
      <c r="J3423" s="36" t="s">
        <v>1656</v>
      </c>
      <c r="K3423" s="36" t="s">
        <v>1826</v>
      </c>
      <c r="L3423" s="36" t="s">
        <v>6585</v>
      </c>
      <c r="M3423" s="36" t="s">
        <v>6585</v>
      </c>
      <c r="N3423" s="36" t="s">
        <v>32</v>
      </c>
    </row>
    <row r="3424">
      <c r="A3424" s="36" t="s">
        <v>7496</v>
      </c>
      <c r="B3424" s="154" t="s">
        <v>7492</v>
      </c>
      <c r="C3424" s="36" t="s">
        <v>1666</v>
      </c>
      <c r="D3424" s="36" t="s">
        <v>651</v>
      </c>
      <c r="E3424" s="36" t="s">
        <v>651</v>
      </c>
      <c r="F3424" s="154" t="s">
        <v>1816</v>
      </c>
      <c r="G3424" s="36" t="s">
        <v>32</v>
      </c>
      <c r="H3424" s="36" t="s">
        <v>1655</v>
      </c>
      <c r="I3424" s="36" t="s">
        <v>1656</v>
      </c>
      <c r="J3424" s="36" t="s">
        <v>1656</v>
      </c>
      <c r="K3424" s="36" t="s">
        <v>1830</v>
      </c>
      <c r="L3424" s="36" t="s">
        <v>6585</v>
      </c>
      <c r="M3424" s="36" t="s">
        <v>6585</v>
      </c>
      <c r="N3424" s="36" t="s">
        <v>32</v>
      </c>
    </row>
    <row r="3425">
      <c r="A3425" s="36" t="s">
        <v>7497</v>
      </c>
      <c r="B3425" s="154" t="s">
        <v>7498</v>
      </c>
      <c r="C3425" s="36" t="s">
        <v>1666</v>
      </c>
      <c r="D3425" s="36" t="s">
        <v>657</v>
      </c>
      <c r="E3425" s="36" t="s">
        <v>657</v>
      </c>
      <c r="F3425" s="154" t="s">
        <v>1810</v>
      </c>
      <c r="G3425" s="36" t="s">
        <v>32</v>
      </c>
      <c r="H3425" s="36" t="s">
        <v>1655</v>
      </c>
      <c r="I3425" s="36" t="s">
        <v>1656</v>
      </c>
      <c r="J3425" s="36" t="s">
        <v>1656</v>
      </c>
      <c r="K3425" s="36" t="s">
        <v>1833</v>
      </c>
      <c r="L3425" s="36" t="s">
        <v>6585</v>
      </c>
      <c r="M3425" s="36" t="s">
        <v>6585</v>
      </c>
      <c r="N3425" s="36" t="s">
        <v>32</v>
      </c>
    </row>
    <row r="3426">
      <c r="A3426" s="36" t="s">
        <v>7499</v>
      </c>
      <c r="B3426" s="154" t="s">
        <v>7498</v>
      </c>
      <c r="C3426" s="36" t="s">
        <v>1666</v>
      </c>
      <c r="D3426" s="36" t="s">
        <v>92</v>
      </c>
      <c r="E3426" s="36" t="s">
        <v>92</v>
      </c>
      <c r="F3426" s="154" t="s">
        <v>3261</v>
      </c>
      <c r="G3426" s="36" t="s">
        <v>28</v>
      </c>
      <c r="H3426" s="36" t="s">
        <v>1655</v>
      </c>
      <c r="I3426" s="36" t="s">
        <v>1656</v>
      </c>
      <c r="J3426" s="36" t="s">
        <v>1656</v>
      </c>
      <c r="K3426" s="36" t="s">
        <v>1836</v>
      </c>
      <c r="L3426" s="36" t="s">
        <v>6585</v>
      </c>
      <c r="M3426" s="36" t="s">
        <v>6585</v>
      </c>
      <c r="N3426" s="36" t="s">
        <v>32</v>
      </c>
    </row>
    <row r="3427">
      <c r="A3427" s="36" t="s">
        <v>7500</v>
      </c>
      <c r="B3427" s="154" t="s">
        <v>7501</v>
      </c>
      <c r="C3427" s="36" t="s">
        <v>1666</v>
      </c>
      <c r="D3427" s="36" t="s">
        <v>81</v>
      </c>
      <c r="E3427" s="36" t="s">
        <v>81</v>
      </c>
      <c r="F3427" s="154" t="s">
        <v>6680</v>
      </c>
      <c r="G3427" s="36" t="s">
        <v>28</v>
      </c>
      <c r="H3427" s="36" t="s">
        <v>1655</v>
      </c>
      <c r="I3427" s="36" t="s">
        <v>1656</v>
      </c>
      <c r="J3427" s="36" t="s">
        <v>1656</v>
      </c>
      <c r="K3427" s="36" t="s">
        <v>1811</v>
      </c>
      <c r="L3427" s="36" t="s">
        <v>6585</v>
      </c>
      <c r="M3427" s="36" t="s">
        <v>6585</v>
      </c>
      <c r="N3427" s="36" t="s">
        <v>32</v>
      </c>
    </row>
    <row r="3428">
      <c r="A3428" s="36" t="s">
        <v>7502</v>
      </c>
      <c r="B3428" s="154" t="s">
        <v>7501</v>
      </c>
      <c r="C3428" s="36" t="s">
        <v>1666</v>
      </c>
      <c r="D3428" s="36" t="s">
        <v>83</v>
      </c>
      <c r="E3428" s="36" t="s">
        <v>83</v>
      </c>
      <c r="F3428" s="154" t="s">
        <v>6682</v>
      </c>
      <c r="G3428" s="36" t="s">
        <v>28</v>
      </c>
      <c r="H3428" s="36" t="s">
        <v>1655</v>
      </c>
      <c r="I3428" s="36" t="s">
        <v>1656</v>
      </c>
      <c r="J3428" s="36" t="s">
        <v>1656</v>
      </c>
      <c r="K3428" s="36" t="s">
        <v>1891</v>
      </c>
      <c r="L3428" s="36" t="s">
        <v>6585</v>
      </c>
      <c r="M3428" s="36" t="s">
        <v>6585</v>
      </c>
      <c r="N3428" s="36" t="s">
        <v>32</v>
      </c>
    </row>
    <row r="3429">
      <c r="A3429" s="36" t="s">
        <v>7503</v>
      </c>
      <c r="B3429" s="154" t="s">
        <v>7501</v>
      </c>
      <c r="C3429" s="36" t="s">
        <v>1666</v>
      </c>
      <c r="D3429" s="36" t="s">
        <v>84</v>
      </c>
      <c r="E3429" s="36" t="s">
        <v>84</v>
      </c>
      <c r="F3429" s="154" t="s">
        <v>7504</v>
      </c>
      <c r="G3429" s="36" t="s">
        <v>32</v>
      </c>
      <c r="H3429" s="36" t="s">
        <v>1655</v>
      </c>
      <c r="I3429" s="36" t="s">
        <v>1656</v>
      </c>
      <c r="J3429" s="36" t="s">
        <v>1656</v>
      </c>
      <c r="K3429" s="36" t="s">
        <v>1921</v>
      </c>
      <c r="L3429" s="36" t="s">
        <v>6585</v>
      </c>
      <c r="M3429" s="36" t="s">
        <v>6585</v>
      </c>
      <c r="N3429" s="36" t="s">
        <v>32</v>
      </c>
    </row>
    <row r="3430">
      <c r="A3430" s="36" t="s">
        <v>7505</v>
      </c>
      <c r="B3430" s="154" t="s">
        <v>7501</v>
      </c>
      <c r="C3430" s="36" t="s">
        <v>1666</v>
      </c>
      <c r="D3430" s="36" t="s">
        <v>666</v>
      </c>
      <c r="E3430" s="36" t="s">
        <v>666</v>
      </c>
      <c r="F3430" s="154" t="s">
        <v>7506</v>
      </c>
      <c r="G3430" s="36" t="s">
        <v>32</v>
      </c>
      <c r="H3430" s="36" t="s">
        <v>1655</v>
      </c>
      <c r="I3430" s="36" t="s">
        <v>1656</v>
      </c>
      <c r="J3430" s="36" t="s">
        <v>1656</v>
      </c>
      <c r="K3430" s="36" t="s">
        <v>1839</v>
      </c>
      <c r="L3430" s="36" t="s">
        <v>6585</v>
      </c>
      <c r="M3430" s="36" t="s">
        <v>6585</v>
      </c>
      <c r="N3430" s="36" t="s">
        <v>32</v>
      </c>
    </row>
    <row r="3431">
      <c r="A3431" s="36" t="s">
        <v>7507</v>
      </c>
      <c r="B3431" s="154" t="s">
        <v>7501</v>
      </c>
      <c r="C3431" s="36" t="s">
        <v>1666</v>
      </c>
      <c r="D3431" s="36" t="s">
        <v>89</v>
      </c>
      <c r="E3431" s="36" t="s">
        <v>89</v>
      </c>
      <c r="F3431" s="154" t="s">
        <v>1686</v>
      </c>
      <c r="G3431" s="36" t="s">
        <v>28</v>
      </c>
      <c r="H3431" s="36" t="s">
        <v>1655</v>
      </c>
      <c r="I3431" s="36" t="s">
        <v>1656</v>
      </c>
      <c r="J3431" s="36" t="s">
        <v>1656</v>
      </c>
      <c r="K3431" s="36" t="s">
        <v>1842</v>
      </c>
      <c r="L3431" s="36" t="s">
        <v>6585</v>
      </c>
      <c r="M3431" s="36" t="s">
        <v>6585</v>
      </c>
      <c r="N3431" s="36" t="s">
        <v>32</v>
      </c>
    </row>
    <row r="3432">
      <c r="A3432" s="36" t="s">
        <v>7508</v>
      </c>
      <c r="B3432" s="154" t="s">
        <v>7509</v>
      </c>
      <c r="C3432" s="36" t="s">
        <v>1666</v>
      </c>
      <c r="D3432" s="36" t="s">
        <v>124</v>
      </c>
      <c r="E3432" s="36" t="s">
        <v>124</v>
      </c>
      <c r="F3432" s="154" t="s">
        <v>7510</v>
      </c>
      <c r="G3432" s="36" t="s">
        <v>32</v>
      </c>
      <c r="H3432" s="36" t="s">
        <v>1655</v>
      </c>
      <c r="I3432" s="36" t="s">
        <v>1656</v>
      </c>
      <c r="J3432" s="36" t="s">
        <v>1656</v>
      </c>
      <c r="K3432" s="36" t="s">
        <v>1845</v>
      </c>
      <c r="L3432" s="36" t="s">
        <v>6585</v>
      </c>
      <c r="M3432" s="36" t="s">
        <v>6585</v>
      </c>
      <c r="N3432" s="36" t="s">
        <v>32</v>
      </c>
    </row>
    <row r="3433">
      <c r="A3433" s="36" t="s">
        <v>7511</v>
      </c>
      <c r="B3433" s="154" t="s">
        <v>7509</v>
      </c>
      <c r="C3433" s="36" t="s">
        <v>1666</v>
      </c>
      <c r="D3433" s="36" t="s">
        <v>678</v>
      </c>
      <c r="E3433" s="36" t="s">
        <v>678</v>
      </c>
      <c r="F3433" s="154" t="s">
        <v>5005</v>
      </c>
      <c r="G3433" s="36" t="s">
        <v>28</v>
      </c>
      <c r="H3433" s="36" t="s">
        <v>1655</v>
      </c>
      <c r="I3433" s="36" t="s">
        <v>1656</v>
      </c>
      <c r="J3433" s="36" t="s">
        <v>1656</v>
      </c>
      <c r="K3433" s="36" t="s">
        <v>1848</v>
      </c>
      <c r="L3433" s="36" t="s">
        <v>6585</v>
      </c>
      <c r="M3433" s="36" t="s">
        <v>6585</v>
      </c>
      <c r="N3433" s="36" t="s">
        <v>34</v>
      </c>
    </row>
    <row r="3434">
      <c r="A3434" s="36" t="s">
        <v>7512</v>
      </c>
      <c r="B3434" s="154" t="s">
        <v>7509</v>
      </c>
      <c r="C3434" s="36" t="s">
        <v>1666</v>
      </c>
      <c r="D3434" s="36" t="s">
        <v>356</v>
      </c>
      <c r="E3434" s="36" t="s">
        <v>356</v>
      </c>
      <c r="F3434" s="154" t="s">
        <v>7513</v>
      </c>
      <c r="G3434" s="36" t="s">
        <v>32</v>
      </c>
      <c r="H3434" s="36" t="s">
        <v>1655</v>
      </c>
      <c r="I3434" s="36" t="s">
        <v>1656</v>
      </c>
      <c r="J3434" s="36" t="s">
        <v>1656</v>
      </c>
      <c r="K3434" s="36" t="s">
        <v>1851</v>
      </c>
      <c r="L3434" s="36" t="s">
        <v>6585</v>
      </c>
      <c r="M3434" s="36" t="s">
        <v>6585</v>
      </c>
      <c r="N3434" s="36" t="s">
        <v>32</v>
      </c>
    </row>
    <row r="3435">
      <c r="A3435" s="36" t="s">
        <v>7514</v>
      </c>
      <c r="B3435" s="154" t="s">
        <v>7515</v>
      </c>
      <c r="C3435" s="36" t="s">
        <v>1653</v>
      </c>
      <c r="D3435" s="36" t="s">
        <v>43</v>
      </c>
      <c r="E3435" s="36" t="s">
        <v>39</v>
      </c>
      <c r="F3435" s="154" t="s">
        <v>7516</v>
      </c>
      <c r="G3435" s="36" t="s">
        <v>32</v>
      </c>
      <c r="H3435" s="36" t="s">
        <v>1655</v>
      </c>
      <c r="I3435" s="36" t="s">
        <v>1656</v>
      </c>
      <c r="J3435" s="36" t="s">
        <v>1656</v>
      </c>
      <c r="K3435" s="36" t="s">
        <v>1657</v>
      </c>
      <c r="L3435" s="36" t="s">
        <v>6583</v>
      </c>
      <c r="M3435" s="36" t="s">
        <v>6583</v>
      </c>
      <c r="N3435" s="36" t="s">
        <v>32</v>
      </c>
    </row>
    <row r="3436">
      <c r="A3436" s="36" t="s">
        <v>7517</v>
      </c>
      <c r="B3436" s="154" t="s">
        <v>7515</v>
      </c>
      <c r="C3436" s="36" t="s">
        <v>1653</v>
      </c>
      <c r="D3436" s="36" t="s">
        <v>158</v>
      </c>
      <c r="E3436" s="36" t="s">
        <v>39</v>
      </c>
      <c r="F3436" s="154" t="s">
        <v>7518</v>
      </c>
      <c r="G3436" s="36" t="s">
        <v>32</v>
      </c>
      <c r="H3436" s="36" t="s">
        <v>1655</v>
      </c>
      <c r="I3436" s="36" t="s">
        <v>1656</v>
      </c>
      <c r="J3436" s="36" t="s">
        <v>1656</v>
      </c>
      <c r="K3436" s="36" t="s">
        <v>1749</v>
      </c>
      <c r="L3436" s="36" t="s">
        <v>6583</v>
      </c>
      <c r="M3436" s="36" t="s">
        <v>6583</v>
      </c>
      <c r="N3436" s="36" t="s">
        <v>32</v>
      </c>
    </row>
    <row r="3437">
      <c r="A3437" s="36" t="s">
        <v>7519</v>
      </c>
      <c r="B3437" s="154" t="s">
        <v>7515</v>
      </c>
      <c r="C3437" s="36" t="s">
        <v>1666</v>
      </c>
      <c r="D3437" s="36" t="s">
        <v>85</v>
      </c>
      <c r="E3437" s="36" t="s">
        <v>85</v>
      </c>
      <c r="F3437" s="154" t="s">
        <v>7406</v>
      </c>
      <c r="G3437" s="36" t="s">
        <v>28</v>
      </c>
      <c r="H3437" s="36" t="s">
        <v>1655</v>
      </c>
      <c r="I3437" s="36" t="s">
        <v>1656</v>
      </c>
      <c r="J3437" s="36" t="s">
        <v>1656</v>
      </c>
      <c r="K3437" s="36" t="s">
        <v>3035</v>
      </c>
      <c r="L3437" s="36" t="s">
        <v>6585</v>
      </c>
      <c r="M3437" s="36" t="s">
        <v>6585</v>
      </c>
      <c r="N3437" s="36" t="s">
        <v>32</v>
      </c>
    </row>
    <row r="3438">
      <c r="A3438" s="36" t="s">
        <v>7520</v>
      </c>
      <c r="B3438" s="154" t="s">
        <v>7515</v>
      </c>
      <c r="C3438" s="36" t="s">
        <v>1666</v>
      </c>
      <c r="D3438" s="36" t="s">
        <v>439</v>
      </c>
      <c r="E3438" s="36" t="s">
        <v>439</v>
      </c>
      <c r="F3438" s="154" t="s">
        <v>7521</v>
      </c>
      <c r="G3438" s="36" t="s">
        <v>28</v>
      </c>
      <c r="H3438" s="36" t="s">
        <v>1655</v>
      </c>
      <c r="I3438" s="36" t="s">
        <v>1656</v>
      </c>
      <c r="J3438" s="36" t="s">
        <v>1656</v>
      </c>
      <c r="K3438" s="36" t="s">
        <v>3038</v>
      </c>
      <c r="L3438" s="36" t="s">
        <v>6585</v>
      </c>
      <c r="M3438" s="36" t="s">
        <v>6585</v>
      </c>
      <c r="N3438" s="36" t="s">
        <v>32</v>
      </c>
    </row>
    <row r="3439">
      <c r="A3439" s="36" t="s">
        <v>7522</v>
      </c>
      <c r="B3439" s="154" t="s">
        <v>7523</v>
      </c>
      <c r="C3439" s="36" t="s">
        <v>1666</v>
      </c>
      <c r="D3439" s="36" t="s">
        <v>92</v>
      </c>
      <c r="E3439" s="36" t="s">
        <v>92</v>
      </c>
      <c r="F3439" s="154" t="s">
        <v>1816</v>
      </c>
      <c r="G3439" s="36" t="s">
        <v>32</v>
      </c>
      <c r="H3439" s="36" t="s">
        <v>1655</v>
      </c>
      <c r="I3439" s="36" t="s">
        <v>1656</v>
      </c>
      <c r="J3439" s="36" t="s">
        <v>1656</v>
      </c>
      <c r="K3439" s="36" t="s">
        <v>1668</v>
      </c>
      <c r="L3439" s="36" t="s">
        <v>6585</v>
      </c>
      <c r="M3439" s="36" t="s">
        <v>6585</v>
      </c>
      <c r="N3439" s="36" t="s">
        <v>32</v>
      </c>
    </row>
    <row r="3440">
      <c r="A3440" s="36" t="s">
        <v>7524</v>
      </c>
      <c r="B3440" s="154" t="s">
        <v>7523</v>
      </c>
      <c r="C3440" s="36" t="s">
        <v>1666</v>
      </c>
      <c r="D3440" s="36" t="s">
        <v>92</v>
      </c>
      <c r="E3440" s="36" t="s">
        <v>92</v>
      </c>
      <c r="F3440" s="154" t="s">
        <v>1768</v>
      </c>
      <c r="G3440" s="36" t="s">
        <v>32</v>
      </c>
      <c r="H3440" s="36" t="s">
        <v>1655</v>
      </c>
      <c r="I3440" s="36" t="s">
        <v>1656</v>
      </c>
      <c r="J3440" s="36" t="s">
        <v>1656</v>
      </c>
      <c r="K3440" s="36" t="s">
        <v>1672</v>
      </c>
      <c r="L3440" s="36" t="s">
        <v>6585</v>
      </c>
      <c r="M3440" s="36" t="s">
        <v>6585</v>
      </c>
      <c r="N3440" s="36" t="s">
        <v>32</v>
      </c>
    </row>
    <row r="3441">
      <c r="A3441" s="36" t="s">
        <v>7525</v>
      </c>
      <c r="B3441" s="154" t="s">
        <v>7523</v>
      </c>
      <c r="C3441" s="36" t="s">
        <v>1666</v>
      </c>
      <c r="D3441" s="36" t="s">
        <v>92</v>
      </c>
      <c r="E3441" s="36" t="s">
        <v>92</v>
      </c>
      <c r="F3441" s="154" t="s">
        <v>1806</v>
      </c>
      <c r="G3441" s="36" t="s">
        <v>32</v>
      </c>
      <c r="H3441" s="36" t="s">
        <v>1655</v>
      </c>
      <c r="I3441" s="36" t="s">
        <v>1656</v>
      </c>
      <c r="J3441" s="36" t="s">
        <v>1656</v>
      </c>
      <c r="K3441" s="36" t="s">
        <v>1675</v>
      </c>
      <c r="L3441" s="36" t="s">
        <v>6585</v>
      </c>
      <c r="M3441" s="36" t="s">
        <v>6585</v>
      </c>
      <c r="N3441" s="36" t="s">
        <v>32</v>
      </c>
    </row>
    <row r="3442">
      <c r="A3442" s="36" t="s">
        <v>7526</v>
      </c>
      <c r="B3442" s="154" t="s">
        <v>7523</v>
      </c>
      <c r="C3442" s="36" t="s">
        <v>1666</v>
      </c>
      <c r="D3442" s="36" t="s">
        <v>466</v>
      </c>
      <c r="E3442" s="36" t="s">
        <v>466</v>
      </c>
      <c r="F3442" s="154" t="s">
        <v>1859</v>
      </c>
      <c r="G3442" s="36" t="s">
        <v>28</v>
      </c>
      <c r="H3442" s="36" t="s">
        <v>1655</v>
      </c>
      <c r="I3442" s="36" t="s">
        <v>1656</v>
      </c>
      <c r="J3442" s="36" t="s">
        <v>1656</v>
      </c>
      <c r="K3442" s="36" t="s">
        <v>1678</v>
      </c>
      <c r="L3442" s="36" t="s">
        <v>6585</v>
      </c>
      <c r="M3442" s="36" t="s">
        <v>6585</v>
      </c>
      <c r="N3442" s="36" t="s">
        <v>32</v>
      </c>
    </row>
    <row r="3443">
      <c r="A3443" s="36" t="s">
        <v>7527</v>
      </c>
      <c r="B3443" s="154" t="s">
        <v>7523</v>
      </c>
      <c r="C3443" s="36" t="s">
        <v>1666</v>
      </c>
      <c r="D3443" s="36" t="s">
        <v>210</v>
      </c>
      <c r="E3443" s="36" t="s">
        <v>210</v>
      </c>
      <c r="F3443" s="154" t="s">
        <v>1899</v>
      </c>
      <c r="G3443" s="36" t="s">
        <v>28</v>
      </c>
      <c r="H3443" s="36" t="s">
        <v>1655</v>
      </c>
      <c r="I3443" s="36" t="s">
        <v>1656</v>
      </c>
      <c r="J3443" s="36" t="s">
        <v>1656</v>
      </c>
      <c r="K3443" s="36" t="s">
        <v>1681</v>
      </c>
      <c r="L3443" s="36" t="s">
        <v>6585</v>
      </c>
      <c r="M3443" s="36" t="s">
        <v>6585</v>
      </c>
      <c r="N3443" s="36" t="s">
        <v>32</v>
      </c>
    </row>
    <row r="3444">
      <c r="A3444" s="36" t="s">
        <v>7528</v>
      </c>
      <c r="B3444" s="154" t="s">
        <v>7523</v>
      </c>
      <c r="C3444" s="36" t="s">
        <v>1666</v>
      </c>
      <c r="D3444" s="36" t="s">
        <v>100</v>
      </c>
      <c r="E3444" s="36" t="s">
        <v>100</v>
      </c>
      <c r="F3444" s="154" t="s">
        <v>1810</v>
      </c>
      <c r="G3444" s="36" t="s">
        <v>32</v>
      </c>
      <c r="H3444" s="36" t="s">
        <v>1655</v>
      </c>
      <c r="I3444" s="36" t="s">
        <v>1656</v>
      </c>
      <c r="J3444" s="36" t="s">
        <v>1656</v>
      </c>
      <c r="K3444" s="36" t="s">
        <v>1684</v>
      </c>
      <c r="L3444" s="36" t="s">
        <v>6585</v>
      </c>
      <c r="M3444" s="36" t="s">
        <v>6585</v>
      </c>
      <c r="N3444" s="36" t="s">
        <v>32</v>
      </c>
    </row>
    <row r="3445">
      <c r="A3445" s="36" t="s">
        <v>7529</v>
      </c>
      <c r="B3445" s="154" t="s">
        <v>7523</v>
      </c>
      <c r="C3445" s="36" t="s">
        <v>1666</v>
      </c>
      <c r="D3445" s="36" t="s">
        <v>109</v>
      </c>
      <c r="E3445" s="36" t="s">
        <v>109</v>
      </c>
      <c r="F3445" s="154" t="s">
        <v>5958</v>
      </c>
      <c r="G3445" s="36" t="s">
        <v>28</v>
      </c>
      <c r="H3445" s="36" t="s">
        <v>1655</v>
      </c>
      <c r="I3445" s="36" t="s">
        <v>1656</v>
      </c>
      <c r="J3445" s="36" t="s">
        <v>1656</v>
      </c>
      <c r="K3445" s="36" t="s">
        <v>1691</v>
      </c>
      <c r="L3445" s="36" t="s">
        <v>6585</v>
      </c>
      <c r="M3445" s="36" t="s">
        <v>6585</v>
      </c>
      <c r="N3445" s="36" t="s">
        <v>34</v>
      </c>
    </row>
    <row r="3446">
      <c r="A3446" s="36" t="s">
        <v>7530</v>
      </c>
      <c r="B3446" s="154" t="s">
        <v>7523</v>
      </c>
      <c r="C3446" s="36" t="s">
        <v>1666</v>
      </c>
      <c r="D3446" s="36" t="s">
        <v>484</v>
      </c>
      <c r="E3446" s="36" t="s">
        <v>484</v>
      </c>
      <c r="F3446" s="154" t="s">
        <v>2006</v>
      </c>
      <c r="G3446" s="36" t="s">
        <v>28</v>
      </c>
      <c r="H3446" s="36" t="s">
        <v>1655</v>
      </c>
      <c r="I3446" s="36" t="s">
        <v>1656</v>
      </c>
      <c r="J3446" s="36" t="s">
        <v>1656</v>
      </c>
      <c r="K3446" s="36" t="s">
        <v>1695</v>
      </c>
      <c r="L3446" s="36" t="s">
        <v>6585</v>
      </c>
      <c r="M3446" s="36" t="s">
        <v>6585</v>
      </c>
      <c r="N3446" s="36" t="s">
        <v>34</v>
      </c>
    </row>
    <row r="3447">
      <c r="A3447" s="36" t="s">
        <v>7531</v>
      </c>
      <c r="B3447" s="154" t="s">
        <v>7532</v>
      </c>
      <c r="C3447" s="36" t="s">
        <v>1666</v>
      </c>
      <c r="D3447" s="36" t="s">
        <v>78</v>
      </c>
      <c r="E3447" s="36" t="s">
        <v>78</v>
      </c>
      <c r="F3447" s="154" t="s">
        <v>2027</v>
      </c>
      <c r="G3447" s="36" t="s">
        <v>28</v>
      </c>
      <c r="H3447" s="36" t="s">
        <v>1655</v>
      </c>
      <c r="I3447" s="36" t="s">
        <v>1656</v>
      </c>
      <c r="J3447" s="36" t="s">
        <v>1656</v>
      </c>
      <c r="K3447" s="36" t="s">
        <v>4248</v>
      </c>
      <c r="L3447" s="36" t="s">
        <v>6585</v>
      </c>
      <c r="M3447" s="36" t="s">
        <v>6585</v>
      </c>
      <c r="N3447" s="36" t="s">
        <v>32</v>
      </c>
    </row>
    <row r="3448">
      <c r="A3448" s="36" t="s">
        <v>7533</v>
      </c>
      <c r="B3448" s="154" t="s">
        <v>7532</v>
      </c>
      <c r="C3448" s="36" t="s">
        <v>1666</v>
      </c>
      <c r="D3448" s="36" t="s">
        <v>492</v>
      </c>
      <c r="E3448" s="36" t="s">
        <v>492</v>
      </c>
      <c r="F3448" s="154" t="s">
        <v>1686</v>
      </c>
      <c r="G3448" s="36" t="s">
        <v>34</v>
      </c>
      <c r="H3448" s="36" t="s">
        <v>1655</v>
      </c>
      <c r="I3448" s="36" t="s">
        <v>1656</v>
      </c>
      <c r="J3448" s="36" t="s">
        <v>1656</v>
      </c>
      <c r="K3448" s="36" t="s">
        <v>1698</v>
      </c>
      <c r="L3448" s="36" t="s">
        <v>6585</v>
      </c>
      <c r="M3448" s="36" t="s">
        <v>6585</v>
      </c>
      <c r="N3448" s="36" t="s">
        <v>32</v>
      </c>
    </row>
    <row r="3449">
      <c r="A3449" s="36" t="s">
        <v>7534</v>
      </c>
      <c r="B3449" s="154" t="s">
        <v>7532</v>
      </c>
      <c r="C3449" s="36" t="s">
        <v>1666</v>
      </c>
      <c r="D3449" s="36" t="s">
        <v>498</v>
      </c>
      <c r="E3449" s="36" t="s">
        <v>498</v>
      </c>
      <c r="F3449" s="154" t="s">
        <v>2006</v>
      </c>
      <c r="G3449" s="36" t="s">
        <v>28</v>
      </c>
      <c r="H3449" s="36" t="s">
        <v>1655</v>
      </c>
      <c r="I3449" s="36" t="s">
        <v>1656</v>
      </c>
      <c r="J3449" s="36" t="s">
        <v>1656</v>
      </c>
      <c r="K3449" s="36" t="s">
        <v>1701</v>
      </c>
      <c r="L3449" s="36" t="s">
        <v>6585</v>
      </c>
      <c r="M3449" s="36" t="s">
        <v>6585</v>
      </c>
      <c r="N3449" s="36" t="s">
        <v>34</v>
      </c>
    </row>
    <row r="3450">
      <c r="A3450" s="36" t="s">
        <v>7535</v>
      </c>
      <c r="B3450" s="154" t="s">
        <v>7536</v>
      </c>
      <c r="C3450" s="36" t="s">
        <v>1666</v>
      </c>
      <c r="D3450" s="36" t="s">
        <v>63</v>
      </c>
      <c r="E3450" s="36" t="s">
        <v>63</v>
      </c>
      <c r="F3450" s="154" t="s">
        <v>7537</v>
      </c>
      <c r="G3450" s="36" t="s">
        <v>32</v>
      </c>
      <c r="H3450" s="36" t="s">
        <v>1655</v>
      </c>
      <c r="I3450" s="36" t="s">
        <v>1656</v>
      </c>
      <c r="J3450" s="36" t="s">
        <v>1656</v>
      </c>
      <c r="K3450" s="36" t="s">
        <v>4196</v>
      </c>
      <c r="L3450" s="36" t="s">
        <v>6585</v>
      </c>
      <c r="M3450" s="36" t="s">
        <v>6585</v>
      </c>
      <c r="N3450" s="36" t="s">
        <v>34</v>
      </c>
    </row>
    <row r="3451">
      <c r="A3451" s="36" t="s">
        <v>7538</v>
      </c>
      <c r="B3451" s="154" t="s">
        <v>7539</v>
      </c>
      <c r="C3451" s="36" t="s">
        <v>1666</v>
      </c>
      <c r="D3451" s="36" t="s">
        <v>64</v>
      </c>
      <c r="E3451" s="36" t="s">
        <v>64</v>
      </c>
      <c r="F3451" s="154" t="s">
        <v>1899</v>
      </c>
      <c r="G3451" s="36" t="s">
        <v>28</v>
      </c>
      <c r="H3451" s="36" t="s">
        <v>1655</v>
      </c>
      <c r="I3451" s="36" t="s">
        <v>1656</v>
      </c>
      <c r="J3451" s="36" t="s">
        <v>1656</v>
      </c>
      <c r="K3451" s="36" t="s">
        <v>1708</v>
      </c>
      <c r="L3451" s="36" t="s">
        <v>6585</v>
      </c>
      <c r="M3451" s="36" t="s">
        <v>6585</v>
      </c>
      <c r="N3451" s="36" t="s">
        <v>32</v>
      </c>
    </row>
    <row r="3452">
      <c r="A3452" s="36" t="s">
        <v>7540</v>
      </c>
      <c r="B3452" s="154" t="s">
        <v>7539</v>
      </c>
      <c r="C3452" s="36" t="s">
        <v>1666</v>
      </c>
      <c r="D3452" s="36" t="s">
        <v>218</v>
      </c>
      <c r="E3452" s="36" t="s">
        <v>218</v>
      </c>
      <c r="F3452" s="154" t="s">
        <v>1686</v>
      </c>
      <c r="G3452" s="36" t="s">
        <v>32</v>
      </c>
      <c r="H3452" s="36" t="s">
        <v>1655</v>
      </c>
      <c r="I3452" s="36" t="s">
        <v>1656</v>
      </c>
      <c r="J3452" s="36" t="s">
        <v>1656</v>
      </c>
      <c r="K3452" s="36" t="s">
        <v>1704</v>
      </c>
      <c r="L3452" s="36" t="s">
        <v>6585</v>
      </c>
      <c r="M3452" s="36" t="s">
        <v>6585</v>
      </c>
      <c r="N3452" s="36" t="s">
        <v>32</v>
      </c>
    </row>
    <row r="3453">
      <c r="A3453" s="36" t="s">
        <v>7541</v>
      </c>
      <c r="B3453" s="154" t="s">
        <v>7539</v>
      </c>
      <c r="C3453" s="36" t="s">
        <v>1666</v>
      </c>
      <c r="D3453" s="36" t="s">
        <v>110</v>
      </c>
      <c r="E3453" s="36" t="s">
        <v>110</v>
      </c>
      <c r="F3453" s="154" t="s">
        <v>1816</v>
      </c>
      <c r="G3453" s="36" t="s">
        <v>28</v>
      </c>
      <c r="H3453" s="36" t="s">
        <v>1655</v>
      </c>
      <c r="I3453" s="36" t="s">
        <v>1656</v>
      </c>
      <c r="J3453" s="36" t="s">
        <v>1656</v>
      </c>
      <c r="K3453" s="36" t="s">
        <v>1711</v>
      </c>
      <c r="L3453" s="36" t="s">
        <v>6585</v>
      </c>
      <c r="M3453" s="36" t="s">
        <v>6585</v>
      </c>
      <c r="N3453" s="36" t="s">
        <v>32</v>
      </c>
    </row>
    <row r="3454">
      <c r="A3454" s="36" t="s">
        <v>7542</v>
      </c>
      <c r="B3454" s="154" t="s">
        <v>7539</v>
      </c>
      <c r="C3454" s="36" t="s">
        <v>1666</v>
      </c>
      <c r="D3454" s="36" t="s">
        <v>210</v>
      </c>
      <c r="E3454" s="36" t="s">
        <v>210</v>
      </c>
      <c r="F3454" s="154" t="s">
        <v>1686</v>
      </c>
      <c r="G3454" s="36" t="s">
        <v>28</v>
      </c>
      <c r="H3454" s="36" t="s">
        <v>1655</v>
      </c>
      <c r="I3454" s="36" t="s">
        <v>1656</v>
      </c>
      <c r="J3454" s="36" t="s">
        <v>1656</v>
      </c>
      <c r="K3454" s="36" t="s">
        <v>1715</v>
      </c>
      <c r="L3454" s="36" t="s">
        <v>6585</v>
      </c>
      <c r="M3454" s="36" t="s">
        <v>6585</v>
      </c>
      <c r="N3454" s="36" t="s">
        <v>32</v>
      </c>
    </row>
    <row r="3455">
      <c r="A3455" s="36" t="s">
        <v>7543</v>
      </c>
      <c r="B3455" s="154" t="s">
        <v>7544</v>
      </c>
      <c r="C3455" s="36" t="s">
        <v>1666</v>
      </c>
      <c r="D3455" s="36" t="s">
        <v>191</v>
      </c>
      <c r="E3455" s="36" t="s">
        <v>191</v>
      </c>
      <c r="F3455" s="154" t="s">
        <v>1816</v>
      </c>
      <c r="G3455" s="36" t="s">
        <v>28</v>
      </c>
      <c r="H3455" s="36" t="s">
        <v>1655</v>
      </c>
      <c r="I3455" s="36" t="s">
        <v>1656</v>
      </c>
      <c r="J3455" s="36" t="s">
        <v>1656</v>
      </c>
      <c r="K3455" s="36" t="s">
        <v>1717</v>
      </c>
      <c r="L3455" s="36" t="s">
        <v>6585</v>
      </c>
      <c r="M3455" s="36" t="s">
        <v>6585</v>
      </c>
      <c r="N3455" s="36" t="s">
        <v>32</v>
      </c>
    </row>
    <row r="3456">
      <c r="A3456" s="36" t="s">
        <v>7545</v>
      </c>
      <c r="B3456" s="154" t="s">
        <v>7544</v>
      </c>
      <c r="C3456" s="36" t="s">
        <v>1666</v>
      </c>
      <c r="D3456" s="36" t="s">
        <v>92</v>
      </c>
      <c r="E3456" s="36" t="s">
        <v>92</v>
      </c>
      <c r="F3456" s="154" t="s">
        <v>7546</v>
      </c>
      <c r="G3456" s="36" t="s">
        <v>32</v>
      </c>
      <c r="H3456" s="36" t="s">
        <v>1655</v>
      </c>
      <c r="I3456" s="36" t="s">
        <v>1656</v>
      </c>
      <c r="J3456" s="36" t="s">
        <v>1656</v>
      </c>
      <c r="K3456" s="36" t="s">
        <v>1724</v>
      </c>
      <c r="L3456" s="36" t="s">
        <v>6585</v>
      </c>
      <c r="M3456" s="36" t="s">
        <v>6585</v>
      </c>
      <c r="N3456" s="36" t="s">
        <v>32</v>
      </c>
    </row>
    <row r="3457">
      <c r="A3457" s="36" t="s">
        <v>7547</v>
      </c>
      <c r="B3457" s="154" t="s">
        <v>7544</v>
      </c>
      <c r="C3457" s="36" t="s">
        <v>1666</v>
      </c>
      <c r="D3457" s="36" t="s">
        <v>524</v>
      </c>
      <c r="E3457" s="36" t="s">
        <v>524</v>
      </c>
      <c r="F3457" s="154" t="s">
        <v>1959</v>
      </c>
      <c r="G3457" s="36" t="s">
        <v>28</v>
      </c>
      <c r="H3457" s="36" t="s">
        <v>1655</v>
      </c>
      <c r="I3457" s="36" t="s">
        <v>1656</v>
      </c>
      <c r="J3457" s="36" t="s">
        <v>1656</v>
      </c>
      <c r="K3457" s="36" t="s">
        <v>1727</v>
      </c>
      <c r="L3457" s="36" t="s">
        <v>6585</v>
      </c>
      <c r="M3457" s="36" t="s">
        <v>6585</v>
      </c>
      <c r="N3457" s="36" t="s">
        <v>34</v>
      </c>
    </row>
    <row r="3458">
      <c r="A3458" s="36" t="s">
        <v>7548</v>
      </c>
      <c r="B3458" s="154" t="s">
        <v>7549</v>
      </c>
      <c r="C3458" s="36" t="s">
        <v>1666</v>
      </c>
      <c r="D3458" s="36" t="s">
        <v>368</v>
      </c>
      <c r="E3458" s="36" t="s">
        <v>368</v>
      </c>
      <c r="F3458" s="154" t="s">
        <v>7550</v>
      </c>
      <c r="G3458" s="36" t="s">
        <v>28</v>
      </c>
      <c r="H3458" s="36" t="s">
        <v>1655</v>
      </c>
      <c r="I3458" s="36" t="s">
        <v>1656</v>
      </c>
      <c r="J3458" s="36" t="s">
        <v>1656</v>
      </c>
      <c r="K3458" s="36" t="s">
        <v>1730</v>
      </c>
      <c r="L3458" s="36" t="s">
        <v>6585</v>
      </c>
      <c r="M3458" s="36" t="s">
        <v>6585</v>
      </c>
      <c r="N3458" s="36" t="s">
        <v>34</v>
      </c>
    </row>
    <row r="3459">
      <c r="A3459" s="36" t="s">
        <v>7551</v>
      </c>
      <c r="B3459" s="154" t="s">
        <v>7552</v>
      </c>
      <c r="C3459" s="36" t="s">
        <v>1666</v>
      </c>
      <c r="D3459" s="36" t="s">
        <v>66</v>
      </c>
      <c r="E3459" s="36" t="s">
        <v>66</v>
      </c>
      <c r="F3459" s="154" t="s">
        <v>7443</v>
      </c>
      <c r="G3459" s="36" t="s">
        <v>28</v>
      </c>
      <c r="H3459" s="36" t="s">
        <v>1655</v>
      </c>
      <c r="I3459" s="36" t="s">
        <v>1656</v>
      </c>
      <c r="J3459" s="36" t="s">
        <v>1656</v>
      </c>
      <c r="K3459" s="36" t="s">
        <v>1721</v>
      </c>
      <c r="L3459" s="36" t="s">
        <v>6585</v>
      </c>
      <c r="M3459" s="36" t="s">
        <v>6585</v>
      </c>
      <c r="N3459" s="36" t="s">
        <v>32</v>
      </c>
    </row>
    <row r="3460">
      <c r="A3460" s="36" t="s">
        <v>7553</v>
      </c>
      <c r="B3460" s="154" t="s">
        <v>7554</v>
      </c>
      <c r="C3460" s="36" t="s">
        <v>1666</v>
      </c>
      <c r="D3460" s="36" t="s">
        <v>536</v>
      </c>
      <c r="E3460" s="36" t="s">
        <v>536</v>
      </c>
      <c r="F3460" s="154" t="s">
        <v>7555</v>
      </c>
      <c r="G3460" s="36" t="s">
        <v>32</v>
      </c>
      <c r="H3460" s="36" t="s">
        <v>1655</v>
      </c>
      <c r="I3460" s="36" t="s">
        <v>1656</v>
      </c>
      <c r="J3460" s="36" t="s">
        <v>1656</v>
      </c>
      <c r="K3460" s="36" t="s">
        <v>1732</v>
      </c>
      <c r="L3460" s="36" t="s">
        <v>6585</v>
      </c>
      <c r="M3460" s="36" t="s">
        <v>6585</v>
      </c>
      <c r="N3460" s="36" t="s">
        <v>32</v>
      </c>
    </row>
    <row r="3461">
      <c r="A3461" s="36" t="s">
        <v>7556</v>
      </c>
      <c r="B3461" s="154" t="s">
        <v>7554</v>
      </c>
      <c r="C3461" s="36" t="s">
        <v>1666</v>
      </c>
      <c r="D3461" s="36" t="s">
        <v>543</v>
      </c>
      <c r="E3461" s="36" t="s">
        <v>543</v>
      </c>
      <c r="F3461" s="154" t="s">
        <v>2027</v>
      </c>
      <c r="G3461" s="36" t="s">
        <v>32</v>
      </c>
      <c r="H3461" s="36" t="s">
        <v>1655</v>
      </c>
      <c r="I3461" s="36" t="s">
        <v>1656</v>
      </c>
      <c r="J3461" s="36" t="s">
        <v>1656</v>
      </c>
      <c r="K3461" s="36" t="s">
        <v>1736</v>
      </c>
      <c r="L3461" s="36" t="s">
        <v>6585</v>
      </c>
      <c r="M3461" s="36" t="s">
        <v>6585</v>
      </c>
      <c r="N3461" s="36" t="s">
        <v>32</v>
      </c>
    </row>
    <row r="3462">
      <c r="A3462" s="36" t="s">
        <v>7557</v>
      </c>
      <c r="B3462" s="154" t="s">
        <v>7558</v>
      </c>
      <c r="C3462" s="36" t="s">
        <v>1653</v>
      </c>
      <c r="D3462" s="36" t="s">
        <v>55</v>
      </c>
      <c r="E3462" s="36" t="s">
        <v>39</v>
      </c>
      <c r="F3462" s="154" t="s">
        <v>7559</v>
      </c>
      <c r="G3462" s="36" t="s">
        <v>32</v>
      </c>
      <c r="H3462" s="36" t="s">
        <v>1655</v>
      </c>
      <c r="I3462" s="36" t="s">
        <v>1656</v>
      </c>
      <c r="J3462" s="36" t="s">
        <v>1656</v>
      </c>
      <c r="K3462" s="36" t="s">
        <v>1989</v>
      </c>
      <c r="L3462" s="36" t="s">
        <v>6583</v>
      </c>
      <c r="M3462" s="36" t="s">
        <v>6583</v>
      </c>
      <c r="N3462" s="36" t="s">
        <v>32</v>
      </c>
    </row>
    <row r="3463">
      <c r="A3463" s="36" t="s">
        <v>7560</v>
      </c>
      <c r="B3463" s="154" t="s">
        <v>7558</v>
      </c>
      <c r="C3463" s="36" t="s">
        <v>1666</v>
      </c>
      <c r="D3463" s="36" t="s">
        <v>71</v>
      </c>
      <c r="E3463" s="36" t="s">
        <v>71</v>
      </c>
      <c r="F3463" s="154" t="s">
        <v>6736</v>
      </c>
      <c r="G3463" s="36" t="s">
        <v>32</v>
      </c>
      <c r="H3463" s="36" t="s">
        <v>1655</v>
      </c>
      <c r="I3463" s="36" t="s">
        <v>1656</v>
      </c>
      <c r="J3463" s="36" t="s">
        <v>1656</v>
      </c>
      <c r="K3463" s="36" t="s">
        <v>1752</v>
      </c>
      <c r="L3463" s="36" t="s">
        <v>6585</v>
      </c>
      <c r="M3463" s="36" t="s">
        <v>6585</v>
      </c>
      <c r="N3463" s="36" t="s">
        <v>32</v>
      </c>
    </row>
    <row r="3464">
      <c r="A3464" s="36" t="s">
        <v>7561</v>
      </c>
      <c r="B3464" s="154" t="s">
        <v>7558</v>
      </c>
      <c r="C3464" s="36" t="s">
        <v>1666</v>
      </c>
      <c r="D3464" s="36" t="s">
        <v>73</v>
      </c>
      <c r="E3464" s="36" t="s">
        <v>73</v>
      </c>
      <c r="F3464" s="154" t="s">
        <v>6738</v>
      </c>
      <c r="G3464" s="36" t="s">
        <v>28</v>
      </c>
      <c r="H3464" s="36" t="s">
        <v>1655</v>
      </c>
      <c r="I3464" s="36" t="s">
        <v>1656</v>
      </c>
      <c r="J3464" s="36" t="s">
        <v>1656</v>
      </c>
      <c r="K3464" s="36" t="s">
        <v>1755</v>
      </c>
      <c r="L3464" s="36" t="s">
        <v>6585</v>
      </c>
      <c r="M3464" s="36" t="s">
        <v>6585</v>
      </c>
      <c r="N3464" s="36" t="s">
        <v>32</v>
      </c>
    </row>
    <row r="3465">
      <c r="A3465" s="36" t="s">
        <v>7562</v>
      </c>
      <c r="B3465" s="154" t="s">
        <v>7558</v>
      </c>
      <c r="C3465" s="36" t="s">
        <v>1666</v>
      </c>
      <c r="D3465" s="36" t="s">
        <v>74</v>
      </c>
      <c r="E3465" s="36" t="s">
        <v>74</v>
      </c>
      <c r="F3465" s="154" t="s">
        <v>6740</v>
      </c>
      <c r="G3465" s="36" t="s">
        <v>32</v>
      </c>
      <c r="H3465" s="36" t="s">
        <v>1655</v>
      </c>
      <c r="I3465" s="36" t="s">
        <v>1656</v>
      </c>
      <c r="J3465" s="36" t="s">
        <v>1656</v>
      </c>
      <c r="K3465" s="36" t="s">
        <v>1757</v>
      </c>
      <c r="L3465" s="36" t="s">
        <v>6585</v>
      </c>
      <c r="M3465" s="36" t="s">
        <v>6585</v>
      </c>
      <c r="N3465" s="36" t="s">
        <v>32</v>
      </c>
    </row>
    <row r="3466">
      <c r="A3466" s="36" t="s">
        <v>7563</v>
      </c>
      <c r="B3466" s="154" t="s">
        <v>7558</v>
      </c>
      <c r="C3466" s="36" t="s">
        <v>1666</v>
      </c>
      <c r="D3466" s="36" t="s">
        <v>75</v>
      </c>
      <c r="E3466" s="36" t="s">
        <v>75</v>
      </c>
      <c r="F3466" s="154" t="s">
        <v>6742</v>
      </c>
      <c r="G3466" s="36" t="s">
        <v>28</v>
      </c>
      <c r="H3466" s="36" t="s">
        <v>1655</v>
      </c>
      <c r="I3466" s="36" t="s">
        <v>1656</v>
      </c>
      <c r="J3466" s="36" t="s">
        <v>1656</v>
      </c>
      <c r="K3466" s="36" t="s">
        <v>1760</v>
      </c>
      <c r="L3466" s="36" t="s">
        <v>6585</v>
      </c>
      <c r="M3466" s="36" t="s">
        <v>6585</v>
      </c>
      <c r="N3466" s="36" t="s">
        <v>32</v>
      </c>
    </row>
    <row r="3467">
      <c r="A3467" s="36" t="s">
        <v>7564</v>
      </c>
      <c r="B3467" s="154" t="s">
        <v>7558</v>
      </c>
      <c r="C3467" s="36" t="s">
        <v>1666</v>
      </c>
      <c r="D3467" s="36" t="s">
        <v>76</v>
      </c>
      <c r="E3467" s="36" t="s">
        <v>76</v>
      </c>
      <c r="F3467" s="154" t="s">
        <v>7565</v>
      </c>
      <c r="G3467" s="36" t="s">
        <v>28</v>
      </c>
      <c r="H3467" s="36" t="s">
        <v>1655</v>
      </c>
      <c r="I3467" s="36" t="s">
        <v>1656</v>
      </c>
      <c r="J3467" s="36" t="s">
        <v>1656</v>
      </c>
      <c r="K3467" s="36" t="s">
        <v>1763</v>
      </c>
      <c r="L3467" s="36" t="s">
        <v>6585</v>
      </c>
      <c r="M3467" s="36" t="s">
        <v>6585</v>
      </c>
      <c r="N3467" s="36" t="s">
        <v>32</v>
      </c>
    </row>
    <row r="3468">
      <c r="A3468" s="36" t="s">
        <v>7566</v>
      </c>
      <c r="B3468" s="154" t="s">
        <v>7558</v>
      </c>
      <c r="C3468" s="36" t="s">
        <v>1666</v>
      </c>
      <c r="D3468" s="36" t="s">
        <v>77</v>
      </c>
      <c r="E3468" s="36" t="s">
        <v>77</v>
      </c>
      <c r="F3468" s="154" t="s">
        <v>1768</v>
      </c>
      <c r="G3468" s="36" t="s">
        <v>34</v>
      </c>
      <c r="H3468" s="36" t="s">
        <v>1655</v>
      </c>
      <c r="I3468" s="36" t="s">
        <v>1656</v>
      </c>
      <c r="J3468" s="36" t="s">
        <v>1656</v>
      </c>
      <c r="K3468" s="36" t="s">
        <v>1766</v>
      </c>
      <c r="L3468" s="36" t="s">
        <v>6585</v>
      </c>
      <c r="M3468" s="36" t="s">
        <v>6585</v>
      </c>
      <c r="N3468" s="36" t="s">
        <v>32</v>
      </c>
    </row>
    <row r="3469">
      <c r="A3469" s="36" t="s">
        <v>7567</v>
      </c>
      <c r="B3469" s="154" t="s">
        <v>7558</v>
      </c>
      <c r="C3469" s="36" t="s">
        <v>1666</v>
      </c>
      <c r="D3469" s="36" t="s">
        <v>115</v>
      </c>
      <c r="E3469" s="36" t="s">
        <v>115</v>
      </c>
      <c r="F3469" s="154" t="s">
        <v>7568</v>
      </c>
      <c r="G3469" s="36" t="s">
        <v>32</v>
      </c>
      <c r="H3469" s="36" t="s">
        <v>1655</v>
      </c>
      <c r="I3469" s="36" t="s">
        <v>1656</v>
      </c>
      <c r="J3469" s="36" t="s">
        <v>1656</v>
      </c>
      <c r="K3469" s="36" t="s">
        <v>1739</v>
      </c>
      <c r="L3469" s="36" t="s">
        <v>6585</v>
      </c>
      <c r="M3469" s="36" t="s">
        <v>6585</v>
      </c>
      <c r="N3469" s="36" t="s">
        <v>32</v>
      </c>
    </row>
    <row r="3470">
      <c r="A3470" s="36" t="s">
        <v>7569</v>
      </c>
      <c r="B3470" s="154" t="s">
        <v>7558</v>
      </c>
      <c r="C3470" s="36" t="s">
        <v>1666</v>
      </c>
      <c r="D3470" s="36" t="s">
        <v>114</v>
      </c>
      <c r="E3470" s="36" t="s">
        <v>114</v>
      </c>
      <c r="F3470" s="154" t="s">
        <v>1799</v>
      </c>
      <c r="G3470" s="36" t="s">
        <v>32</v>
      </c>
      <c r="H3470" s="36" t="s">
        <v>1655</v>
      </c>
      <c r="I3470" s="36" t="s">
        <v>1656</v>
      </c>
      <c r="J3470" s="36" t="s">
        <v>1656</v>
      </c>
      <c r="K3470" s="36" t="s">
        <v>1742</v>
      </c>
      <c r="L3470" s="36" t="s">
        <v>6585</v>
      </c>
      <c r="M3470" s="36" t="s">
        <v>6585</v>
      </c>
      <c r="N3470" s="36" t="s">
        <v>32</v>
      </c>
    </row>
    <row r="3471">
      <c r="A3471" s="36" t="s">
        <v>7570</v>
      </c>
      <c r="B3471" s="154" t="s">
        <v>7558</v>
      </c>
      <c r="C3471" s="36" t="s">
        <v>1666</v>
      </c>
      <c r="D3471" s="36" t="s">
        <v>226</v>
      </c>
      <c r="E3471" s="36" t="s">
        <v>226</v>
      </c>
      <c r="F3471" s="154" t="s">
        <v>7571</v>
      </c>
      <c r="G3471" s="36" t="s">
        <v>32</v>
      </c>
      <c r="H3471" s="36" t="s">
        <v>1655</v>
      </c>
      <c r="I3471" s="36" t="s">
        <v>1656</v>
      </c>
      <c r="J3471" s="36" t="s">
        <v>1656</v>
      </c>
      <c r="K3471" s="36" t="s">
        <v>1745</v>
      </c>
      <c r="L3471" s="36" t="s">
        <v>6585</v>
      </c>
      <c r="M3471" s="36" t="s">
        <v>6585</v>
      </c>
      <c r="N3471" s="36" t="s">
        <v>32</v>
      </c>
    </row>
    <row r="3472">
      <c r="A3472" s="36" t="s">
        <v>7572</v>
      </c>
      <c r="B3472" s="154" t="s">
        <v>7558</v>
      </c>
      <c r="C3472" s="36" t="s">
        <v>1666</v>
      </c>
      <c r="D3472" s="36" t="s">
        <v>220</v>
      </c>
      <c r="E3472" s="36" t="s">
        <v>220</v>
      </c>
      <c r="F3472" s="154" t="s">
        <v>7573</v>
      </c>
      <c r="G3472" s="36" t="s">
        <v>28</v>
      </c>
      <c r="H3472" s="36" t="s">
        <v>1655</v>
      </c>
      <c r="I3472" s="36" t="s">
        <v>1656</v>
      </c>
      <c r="J3472" s="36" t="s">
        <v>1656</v>
      </c>
      <c r="K3472" s="36" t="s">
        <v>1773</v>
      </c>
      <c r="L3472" s="36" t="s">
        <v>6585</v>
      </c>
      <c r="M3472" s="36" t="s">
        <v>6585</v>
      </c>
      <c r="N3472" s="36" t="s">
        <v>32</v>
      </c>
    </row>
    <row r="3473">
      <c r="A3473" s="36" t="s">
        <v>7574</v>
      </c>
      <c r="B3473" s="154" t="s">
        <v>7558</v>
      </c>
      <c r="C3473" s="36" t="s">
        <v>1666</v>
      </c>
      <c r="D3473" s="36" t="s">
        <v>569</v>
      </c>
      <c r="E3473" s="36" t="s">
        <v>569</v>
      </c>
      <c r="F3473" s="154" t="s">
        <v>1859</v>
      </c>
      <c r="G3473" s="36" t="s">
        <v>28</v>
      </c>
      <c r="H3473" s="36" t="s">
        <v>1655</v>
      </c>
      <c r="I3473" s="36" t="s">
        <v>1656</v>
      </c>
      <c r="J3473" s="36" t="s">
        <v>1656</v>
      </c>
      <c r="K3473" s="36" t="s">
        <v>1776</v>
      </c>
      <c r="L3473" s="36" t="s">
        <v>6585</v>
      </c>
      <c r="M3473" s="36" t="s">
        <v>6585</v>
      </c>
      <c r="N3473" s="36" t="s">
        <v>34</v>
      </c>
    </row>
    <row r="3474">
      <c r="A3474" s="36" t="s">
        <v>7575</v>
      </c>
      <c r="B3474" s="154" t="s">
        <v>7558</v>
      </c>
      <c r="C3474" s="36" t="s">
        <v>1666</v>
      </c>
      <c r="D3474" s="36" t="s">
        <v>110</v>
      </c>
      <c r="E3474" s="36" t="s">
        <v>110</v>
      </c>
      <c r="F3474" s="154" t="s">
        <v>1768</v>
      </c>
      <c r="G3474" s="36" t="s">
        <v>28</v>
      </c>
      <c r="H3474" s="36" t="s">
        <v>1655</v>
      </c>
      <c r="I3474" s="36" t="s">
        <v>1656</v>
      </c>
      <c r="J3474" s="36" t="s">
        <v>1656</v>
      </c>
      <c r="K3474" s="36" t="s">
        <v>1779</v>
      </c>
      <c r="L3474" s="36" t="s">
        <v>6585</v>
      </c>
      <c r="M3474" s="36" t="s">
        <v>6585</v>
      </c>
      <c r="N3474" s="36" t="s">
        <v>34</v>
      </c>
    </row>
    <row r="3475">
      <c r="A3475" s="36" t="s">
        <v>7576</v>
      </c>
      <c r="B3475" s="154" t="s">
        <v>7577</v>
      </c>
      <c r="C3475" s="36" t="s">
        <v>1653</v>
      </c>
      <c r="D3475" s="36" t="s">
        <v>178</v>
      </c>
      <c r="E3475" s="36" t="s">
        <v>39</v>
      </c>
      <c r="F3475" s="154" t="s">
        <v>7346</v>
      </c>
      <c r="G3475" s="36" t="s">
        <v>32</v>
      </c>
      <c r="H3475" s="36" t="s">
        <v>1655</v>
      </c>
      <c r="I3475" s="36" t="s">
        <v>1656</v>
      </c>
      <c r="J3475" s="36" t="s">
        <v>1656</v>
      </c>
      <c r="K3475" s="36" t="s">
        <v>1978</v>
      </c>
      <c r="L3475" s="36" t="s">
        <v>6583</v>
      </c>
      <c r="M3475" s="36" t="s">
        <v>6583</v>
      </c>
      <c r="N3475" s="36" t="s">
        <v>32</v>
      </c>
    </row>
    <row r="3476">
      <c r="A3476" s="36" t="s">
        <v>7578</v>
      </c>
      <c r="B3476" s="154" t="s">
        <v>7577</v>
      </c>
      <c r="C3476" s="36" t="s">
        <v>1666</v>
      </c>
      <c r="D3476" s="36" t="s">
        <v>191</v>
      </c>
      <c r="E3476" s="36" t="s">
        <v>191</v>
      </c>
      <c r="F3476" s="154" t="s">
        <v>1816</v>
      </c>
      <c r="G3476" s="36" t="s">
        <v>28</v>
      </c>
      <c r="H3476" s="36" t="s">
        <v>1655</v>
      </c>
      <c r="I3476" s="36" t="s">
        <v>1656</v>
      </c>
      <c r="J3476" s="36" t="s">
        <v>1656</v>
      </c>
      <c r="K3476" s="36" t="s">
        <v>1782</v>
      </c>
      <c r="L3476" s="36" t="s">
        <v>6585</v>
      </c>
      <c r="M3476" s="36" t="s">
        <v>6585</v>
      </c>
      <c r="N3476" s="36" t="s">
        <v>32</v>
      </c>
    </row>
    <row r="3477">
      <c r="A3477" s="36" t="s">
        <v>7579</v>
      </c>
      <c r="B3477" s="154" t="s">
        <v>7577</v>
      </c>
      <c r="C3477" s="36" t="s">
        <v>1666</v>
      </c>
      <c r="D3477" s="36" t="s">
        <v>305</v>
      </c>
      <c r="E3477" s="36" t="s">
        <v>305</v>
      </c>
      <c r="F3477" s="154" t="s">
        <v>1816</v>
      </c>
      <c r="G3477" s="36" t="s">
        <v>32</v>
      </c>
      <c r="H3477" s="36" t="s">
        <v>1655</v>
      </c>
      <c r="I3477" s="36" t="s">
        <v>1656</v>
      </c>
      <c r="J3477" s="36" t="s">
        <v>1656</v>
      </c>
      <c r="K3477" s="36" t="s">
        <v>1784</v>
      </c>
      <c r="L3477" s="36" t="s">
        <v>6585</v>
      </c>
      <c r="M3477" s="36" t="s">
        <v>6585</v>
      </c>
      <c r="N3477" s="36" t="s">
        <v>32</v>
      </c>
    </row>
    <row r="3478">
      <c r="A3478" s="36" t="s">
        <v>7580</v>
      </c>
      <c r="B3478" s="154" t="s">
        <v>7577</v>
      </c>
      <c r="C3478" s="36" t="s">
        <v>1666</v>
      </c>
      <c r="D3478" s="36" t="s">
        <v>586</v>
      </c>
      <c r="E3478" s="36" t="s">
        <v>586</v>
      </c>
      <c r="F3478" s="154" t="s">
        <v>2690</v>
      </c>
      <c r="G3478" s="36" t="s">
        <v>28</v>
      </c>
      <c r="H3478" s="36" t="s">
        <v>1655</v>
      </c>
      <c r="I3478" s="36" t="s">
        <v>1656</v>
      </c>
      <c r="J3478" s="36" t="s">
        <v>1656</v>
      </c>
      <c r="K3478" s="36" t="s">
        <v>1787</v>
      </c>
      <c r="L3478" s="36" t="s">
        <v>6585</v>
      </c>
      <c r="M3478" s="36" t="s">
        <v>6585</v>
      </c>
      <c r="N3478" s="36" t="s">
        <v>34</v>
      </c>
    </row>
    <row r="3479">
      <c r="A3479" s="36" t="s">
        <v>7581</v>
      </c>
      <c r="B3479" s="154" t="s">
        <v>7577</v>
      </c>
      <c r="C3479" s="36" t="s">
        <v>1666</v>
      </c>
      <c r="D3479" s="36" t="s">
        <v>576</v>
      </c>
      <c r="E3479" s="36" t="s">
        <v>576</v>
      </c>
      <c r="F3479" s="154" t="s">
        <v>1729</v>
      </c>
      <c r="G3479" s="36" t="s">
        <v>28</v>
      </c>
      <c r="H3479" s="36" t="s">
        <v>1655</v>
      </c>
      <c r="I3479" s="36" t="s">
        <v>1656</v>
      </c>
      <c r="J3479" s="36" t="s">
        <v>1656</v>
      </c>
      <c r="K3479" s="36" t="s">
        <v>1790</v>
      </c>
      <c r="L3479" s="36" t="s">
        <v>6585</v>
      </c>
      <c r="M3479" s="36" t="s">
        <v>6585</v>
      </c>
      <c r="N3479" s="36" t="s">
        <v>34</v>
      </c>
    </row>
    <row r="3480">
      <c r="A3480" s="36" t="s">
        <v>7582</v>
      </c>
      <c r="B3480" s="154" t="s">
        <v>7577</v>
      </c>
      <c r="C3480" s="36" t="s">
        <v>1666</v>
      </c>
      <c r="D3480" s="36" t="s">
        <v>299</v>
      </c>
      <c r="E3480" s="36" t="s">
        <v>299</v>
      </c>
      <c r="F3480" s="154" t="s">
        <v>5005</v>
      </c>
      <c r="G3480" s="36" t="s">
        <v>28</v>
      </c>
      <c r="H3480" s="36" t="s">
        <v>1655</v>
      </c>
      <c r="I3480" s="36" t="s">
        <v>1656</v>
      </c>
      <c r="J3480" s="36" t="s">
        <v>1656</v>
      </c>
      <c r="K3480" s="36" t="s">
        <v>1793</v>
      </c>
      <c r="L3480" s="36" t="s">
        <v>6585</v>
      </c>
      <c r="M3480" s="36" t="s">
        <v>6585</v>
      </c>
      <c r="N3480" s="36" t="s">
        <v>34</v>
      </c>
    </row>
    <row r="3481">
      <c r="A3481" s="36" t="s">
        <v>7583</v>
      </c>
      <c r="B3481" s="154" t="s">
        <v>7577</v>
      </c>
      <c r="C3481" s="36" t="s">
        <v>1666</v>
      </c>
      <c r="D3481" s="36" t="s">
        <v>606</v>
      </c>
      <c r="E3481" s="36" t="s">
        <v>606</v>
      </c>
      <c r="F3481" s="154" t="s">
        <v>2546</v>
      </c>
      <c r="G3481" s="36" t="s">
        <v>28</v>
      </c>
      <c r="H3481" s="36" t="s">
        <v>1655</v>
      </c>
      <c r="I3481" s="36" t="s">
        <v>1656</v>
      </c>
      <c r="J3481" s="36" t="s">
        <v>1656</v>
      </c>
      <c r="K3481" s="36" t="s">
        <v>1796</v>
      </c>
      <c r="L3481" s="36" t="s">
        <v>6585</v>
      </c>
      <c r="M3481" s="36" t="s">
        <v>6585</v>
      </c>
      <c r="N3481" s="36" t="s">
        <v>34</v>
      </c>
    </row>
    <row r="3482">
      <c r="A3482" s="36" t="s">
        <v>7584</v>
      </c>
      <c r="B3482" s="154" t="s">
        <v>7585</v>
      </c>
      <c r="C3482" s="36" t="s">
        <v>1666</v>
      </c>
      <c r="D3482" s="36" t="s">
        <v>611</v>
      </c>
      <c r="E3482" s="36" t="s">
        <v>611</v>
      </c>
      <c r="F3482" s="154" t="s">
        <v>1810</v>
      </c>
      <c r="G3482" s="36" t="s">
        <v>28</v>
      </c>
      <c r="H3482" s="36" t="s">
        <v>1655</v>
      </c>
      <c r="I3482" s="36" t="s">
        <v>1656</v>
      </c>
      <c r="J3482" s="36" t="s">
        <v>1656</v>
      </c>
      <c r="K3482" s="36" t="s">
        <v>1800</v>
      </c>
      <c r="L3482" s="36" t="s">
        <v>6585</v>
      </c>
      <c r="M3482" s="36" t="s">
        <v>6585</v>
      </c>
      <c r="N3482" s="36" t="s">
        <v>34</v>
      </c>
    </row>
    <row r="3483">
      <c r="A3483" s="36" t="s">
        <v>7586</v>
      </c>
      <c r="B3483" s="154" t="s">
        <v>7585</v>
      </c>
      <c r="C3483" s="36" t="s">
        <v>1666</v>
      </c>
      <c r="D3483" s="36" t="s">
        <v>618</v>
      </c>
      <c r="E3483" s="36" t="s">
        <v>618</v>
      </c>
      <c r="F3483" s="154" t="s">
        <v>1686</v>
      </c>
      <c r="G3483" s="36" t="s">
        <v>28</v>
      </c>
      <c r="H3483" s="36" t="s">
        <v>1655</v>
      </c>
      <c r="I3483" s="36" t="s">
        <v>1656</v>
      </c>
      <c r="J3483" s="36" t="s">
        <v>1656</v>
      </c>
      <c r="K3483" s="36" t="s">
        <v>1803</v>
      </c>
      <c r="L3483" s="36" t="s">
        <v>6585</v>
      </c>
      <c r="M3483" s="36" t="s">
        <v>6585</v>
      </c>
      <c r="N3483" s="36" t="s">
        <v>34</v>
      </c>
    </row>
    <row r="3484">
      <c r="A3484" s="36" t="s">
        <v>7587</v>
      </c>
      <c r="B3484" s="154" t="s">
        <v>7588</v>
      </c>
      <c r="C3484" s="36" t="s">
        <v>1653</v>
      </c>
      <c r="D3484" s="36" t="s">
        <v>427</v>
      </c>
      <c r="E3484" s="36" t="s">
        <v>39</v>
      </c>
      <c r="F3484" s="154" t="s">
        <v>7589</v>
      </c>
      <c r="G3484" s="36" t="s">
        <v>32</v>
      </c>
      <c r="H3484" s="36" t="s">
        <v>1655</v>
      </c>
      <c r="I3484" s="36" t="s">
        <v>1656</v>
      </c>
      <c r="J3484" s="36" t="s">
        <v>1656</v>
      </c>
      <c r="K3484" s="36" t="s">
        <v>2848</v>
      </c>
      <c r="L3484" s="36" t="s">
        <v>6583</v>
      </c>
      <c r="M3484" s="36" t="s">
        <v>6583</v>
      </c>
      <c r="N3484" s="36" t="s">
        <v>32</v>
      </c>
    </row>
    <row r="3485">
      <c r="A3485" s="36" t="s">
        <v>7590</v>
      </c>
      <c r="B3485" s="154" t="s">
        <v>7588</v>
      </c>
      <c r="C3485" s="36" t="s">
        <v>1666</v>
      </c>
      <c r="D3485" s="36" t="s">
        <v>329</v>
      </c>
      <c r="E3485" s="36" t="s">
        <v>329</v>
      </c>
      <c r="F3485" s="154" t="s">
        <v>7591</v>
      </c>
      <c r="G3485" s="36" t="s">
        <v>32</v>
      </c>
      <c r="H3485" s="36" t="s">
        <v>1655</v>
      </c>
      <c r="I3485" s="36" t="s">
        <v>1656</v>
      </c>
      <c r="J3485" s="36" t="s">
        <v>1656</v>
      </c>
      <c r="K3485" s="36" t="s">
        <v>1807</v>
      </c>
      <c r="L3485" s="36" t="s">
        <v>6585</v>
      </c>
      <c r="M3485" s="36" t="s">
        <v>6585</v>
      </c>
      <c r="N3485" s="36" t="s">
        <v>32</v>
      </c>
    </row>
    <row r="3486">
      <c r="A3486" s="36" t="s">
        <v>7592</v>
      </c>
      <c r="B3486" s="154" t="s">
        <v>7593</v>
      </c>
      <c r="C3486" s="36" t="s">
        <v>1666</v>
      </c>
      <c r="D3486" s="36" t="s">
        <v>626</v>
      </c>
      <c r="E3486" s="36" t="s">
        <v>626</v>
      </c>
      <c r="F3486" s="154" t="s">
        <v>3972</v>
      </c>
      <c r="G3486" s="36" t="s">
        <v>28</v>
      </c>
      <c r="H3486" s="36" t="s">
        <v>1655</v>
      </c>
      <c r="I3486" s="36" t="s">
        <v>1656</v>
      </c>
      <c r="J3486" s="36" t="s">
        <v>1656</v>
      </c>
      <c r="K3486" s="36" t="s">
        <v>1814</v>
      </c>
      <c r="L3486" s="36" t="s">
        <v>6585</v>
      </c>
      <c r="M3486" s="36" t="s">
        <v>6585</v>
      </c>
      <c r="N3486" s="36" t="s">
        <v>32</v>
      </c>
    </row>
    <row r="3487">
      <c r="A3487" s="36" t="s">
        <v>7594</v>
      </c>
      <c r="B3487" s="154" t="s">
        <v>7595</v>
      </c>
      <c r="C3487" s="36" t="s">
        <v>1666</v>
      </c>
      <c r="D3487" s="36" t="s">
        <v>632</v>
      </c>
      <c r="E3487" s="36" t="s">
        <v>632</v>
      </c>
      <c r="F3487" s="154" t="s">
        <v>1899</v>
      </c>
      <c r="G3487" s="36" t="s">
        <v>34</v>
      </c>
      <c r="H3487" s="36" t="s">
        <v>1655</v>
      </c>
      <c r="I3487" s="36" t="s">
        <v>1656</v>
      </c>
      <c r="J3487" s="36" t="s">
        <v>1656</v>
      </c>
      <c r="K3487" s="36" t="s">
        <v>1817</v>
      </c>
      <c r="L3487" s="36" t="s">
        <v>6585</v>
      </c>
      <c r="M3487" s="36" t="s">
        <v>6585</v>
      </c>
      <c r="N3487" s="36" t="s">
        <v>32</v>
      </c>
    </row>
    <row r="3488">
      <c r="A3488" s="36" t="s">
        <v>7596</v>
      </c>
      <c r="B3488" s="154" t="s">
        <v>7595</v>
      </c>
      <c r="C3488" s="36" t="s">
        <v>1666</v>
      </c>
      <c r="D3488" s="36" t="s">
        <v>361</v>
      </c>
      <c r="E3488" s="36" t="s">
        <v>361</v>
      </c>
      <c r="F3488" s="154" t="s">
        <v>7597</v>
      </c>
      <c r="G3488" s="36" t="s">
        <v>32</v>
      </c>
      <c r="H3488" s="36" t="s">
        <v>1655</v>
      </c>
      <c r="I3488" s="36" t="s">
        <v>1656</v>
      </c>
      <c r="J3488" s="36" t="s">
        <v>1656</v>
      </c>
      <c r="K3488" s="36" t="s">
        <v>1820</v>
      </c>
      <c r="L3488" s="36" t="s">
        <v>6585</v>
      </c>
      <c r="M3488" s="36" t="s">
        <v>6585</v>
      </c>
      <c r="N3488" s="36" t="s">
        <v>32</v>
      </c>
    </row>
    <row r="3489">
      <c r="A3489" s="36" t="s">
        <v>7598</v>
      </c>
      <c r="B3489" s="154" t="s">
        <v>7595</v>
      </c>
      <c r="C3489" s="36" t="s">
        <v>1666</v>
      </c>
      <c r="D3489" s="36" t="s">
        <v>301</v>
      </c>
      <c r="E3489" s="36" t="s">
        <v>301</v>
      </c>
      <c r="F3489" s="154" t="s">
        <v>1868</v>
      </c>
      <c r="G3489" s="36" t="s">
        <v>28</v>
      </c>
      <c r="H3489" s="36" t="s">
        <v>1655</v>
      </c>
      <c r="I3489" s="36" t="s">
        <v>1656</v>
      </c>
      <c r="J3489" s="36" t="s">
        <v>1656</v>
      </c>
      <c r="K3489" s="36" t="s">
        <v>1823</v>
      </c>
      <c r="L3489" s="36" t="s">
        <v>6585</v>
      </c>
      <c r="M3489" s="36" t="s">
        <v>6585</v>
      </c>
      <c r="N3489" s="36" t="s">
        <v>34</v>
      </c>
    </row>
    <row r="3490">
      <c r="A3490" s="36" t="s">
        <v>7599</v>
      </c>
      <c r="B3490" s="154" t="s">
        <v>7595</v>
      </c>
      <c r="C3490" s="36" t="s">
        <v>1666</v>
      </c>
      <c r="D3490" s="36" t="s">
        <v>576</v>
      </c>
      <c r="E3490" s="36" t="s">
        <v>576</v>
      </c>
      <c r="F3490" s="154" t="s">
        <v>1694</v>
      </c>
      <c r="G3490" s="36" t="s">
        <v>28</v>
      </c>
      <c r="H3490" s="36" t="s">
        <v>1655</v>
      </c>
      <c r="I3490" s="36" t="s">
        <v>1656</v>
      </c>
      <c r="J3490" s="36" t="s">
        <v>1656</v>
      </c>
      <c r="K3490" s="36" t="s">
        <v>1826</v>
      </c>
      <c r="L3490" s="36" t="s">
        <v>6585</v>
      </c>
      <c r="M3490" s="36" t="s">
        <v>6585</v>
      </c>
      <c r="N3490" s="36" t="s">
        <v>34</v>
      </c>
    </row>
    <row r="3491">
      <c r="A3491" s="36" t="s">
        <v>7600</v>
      </c>
      <c r="B3491" s="154" t="s">
        <v>7595</v>
      </c>
      <c r="C3491" s="36" t="s">
        <v>1666</v>
      </c>
      <c r="D3491" s="36" t="s">
        <v>110</v>
      </c>
      <c r="E3491" s="36" t="s">
        <v>110</v>
      </c>
      <c r="F3491" s="154" t="s">
        <v>1744</v>
      </c>
      <c r="G3491" s="36" t="s">
        <v>28</v>
      </c>
      <c r="H3491" s="36" t="s">
        <v>1655</v>
      </c>
      <c r="I3491" s="36" t="s">
        <v>1656</v>
      </c>
      <c r="J3491" s="36" t="s">
        <v>1656</v>
      </c>
      <c r="K3491" s="36" t="s">
        <v>1830</v>
      </c>
      <c r="L3491" s="36" t="s">
        <v>6585</v>
      </c>
      <c r="M3491" s="36" t="s">
        <v>6585</v>
      </c>
      <c r="N3491" s="36" t="s">
        <v>34</v>
      </c>
    </row>
    <row r="3492">
      <c r="A3492" s="36" t="s">
        <v>7601</v>
      </c>
      <c r="B3492" s="154" t="s">
        <v>7602</v>
      </c>
      <c r="C3492" s="36" t="s">
        <v>1666</v>
      </c>
      <c r="D3492" s="36" t="s">
        <v>480</v>
      </c>
      <c r="E3492" s="36" t="s">
        <v>480</v>
      </c>
      <c r="F3492" s="154" t="s">
        <v>7603</v>
      </c>
      <c r="G3492" s="36" t="s">
        <v>28</v>
      </c>
      <c r="H3492" s="36" t="s">
        <v>1655</v>
      </c>
      <c r="I3492" s="36" t="s">
        <v>1656</v>
      </c>
      <c r="J3492" s="36" t="s">
        <v>1656</v>
      </c>
      <c r="K3492" s="36" t="s">
        <v>1833</v>
      </c>
      <c r="L3492" s="36" t="s">
        <v>6585</v>
      </c>
      <c r="M3492" s="36" t="s">
        <v>6585</v>
      </c>
      <c r="N3492" s="36" t="s">
        <v>32</v>
      </c>
    </row>
    <row r="3493">
      <c r="A3493" s="36" t="s">
        <v>7604</v>
      </c>
      <c r="B3493" s="154" t="s">
        <v>7605</v>
      </c>
      <c r="C3493" s="36" t="s">
        <v>1666</v>
      </c>
      <c r="D3493" s="36" t="s">
        <v>662</v>
      </c>
      <c r="E3493" s="36" t="s">
        <v>662</v>
      </c>
      <c r="F3493" s="154" t="s">
        <v>1810</v>
      </c>
      <c r="G3493" s="36" t="s">
        <v>28</v>
      </c>
      <c r="H3493" s="36" t="s">
        <v>1655</v>
      </c>
      <c r="I3493" s="36" t="s">
        <v>1656</v>
      </c>
      <c r="J3493" s="36" t="s">
        <v>1656</v>
      </c>
      <c r="K3493" s="36" t="s">
        <v>1836</v>
      </c>
      <c r="L3493" s="36" t="s">
        <v>6585</v>
      </c>
      <c r="M3493" s="36" t="s">
        <v>6585</v>
      </c>
      <c r="N3493" s="36" t="s">
        <v>34</v>
      </c>
    </row>
    <row r="3494">
      <c r="A3494" s="36" t="s">
        <v>7606</v>
      </c>
      <c r="B3494" s="154" t="s">
        <v>7605</v>
      </c>
      <c r="C3494" s="36" t="s">
        <v>1666</v>
      </c>
      <c r="D3494" s="36" t="s">
        <v>265</v>
      </c>
      <c r="E3494" s="36" t="s">
        <v>265</v>
      </c>
      <c r="F3494" s="154" t="s">
        <v>2911</v>
      </c>
      <c r="G3494" s="36" t="s">
        <v>28</v>
      </c>
      <c r="H3494" s="36" t="s">
        <v>1655</v>
      </c>
      <c r="I3494" s="36" t="s">
        <v>1656</v>
      </c>
      <c r="J3494" s="36" t="s">
        <v>1656</v>
      </c>
      <c r="K3494" s="36" t="s">
        <v>1839</v>
      </c>
      <c r="L3494" s="36" t="s">
        <v>6585</v>
      </c>
      <c r="M3494" s="36" t="s">
        <v>6585</v>
      </c>
      <c r="N3494" s="36" t="s">
        <v>34</v>
      </c>
    </row>
    <row r="3495">
      <c r="A3495" s="36" t="s">
        <v>7607</v>
      </c>
      <c r="B3495" s="154" t="s">
        <v>7608</v>
      </c>
      <c r="C3495" s="36" t="s">
        <v>1666</v>
      </c>
      <c r="D3495" s="36" t="s">
        <v>92</v>
      </c>
      <c r="E3495" s="36" t="s">
        <v>92</v>
      </c>
      <c r="F3495" s="154" t="s">
        <v>1686</v>
      </c>
      <c r="G3495" s="36" t="s">
        <v>32</v>
      </c>
      <c r="H3495" s="36" t="s">
        <v>1655</v>
      </c>
      <c r="I3495" s="36" t="s">
        <v>1656</v>
      </c>
      <c r="J3495" s="36" t="s">
        <v>1656</v>
      </c>
      <c r="K3495" s="36" t="s">
        <v>1842</v>
      </c>
      <c r="L3495" s="36" t="s">
        <v>6585</v>
      </c>
      <c r="M3495" s="36" t="s">
        <v>6585</v>
      </c>
      <c r="N3495" s="36" t="s">
        <v>32</v>
      </c>
    </row>
    <row r="3496">
      <c r="A3496" s="36" t="s">
        <v>7609</v>
      </c>
      <c r="B3496" s="154" t="s">
        <v>7610</v>
      </c>
      <c r="C3496" s="36" t="s">
        <v>1666</v>
      </c>
      <c r="D3496" s="36" t="s">
        <v>191</v>
      </c>
      <c r="E3496" s="36" t="s">
        <v>191</v>
      </c>
      <c r="F3496" s="154" t="s">
        <v>1816</v>
      </c>
      <c r="G3496" s="36" t="s">
        <v>28</v>
      </c>
      <c r="H3496" s="36" t="s">
        <v>1655</v>
      </c>
      <c r="I3496" s="36" t="s">
        <v>1656</v>
      </c>
      <c r="J3496" s="36" t="s">
        <v>1656</v>
      </c>
      <c r="K3496" s="36" t="s">
        <v>1845</v>
      </c>
      <c r="L3496" s="36" t="s">
        <v>6585</v>
      </c>
      <c r="M3496" s="36" t="s">
        <v>6585</v>
      </c>
      <c r="N3496" s="36" t="s">
        <v>32</v>
      </c>
    </row>
    <row r="3497">
      <c r="A3497" s="36" t="s">
        <v>7611</v>
      </c>
      <c r="B3497" s="154" t="s">
        <v>7610</v>
      </c>
      <c r="C3497" s="36" t="s">
        <v>1666</v>
      </c>
      <c r="D3497" s="36" t="s">
        <v>287</v>
      </c>
      <c r="E3497" s="36" t="s">
        <v>287</v>
      </c>
      <c r="F3497" s="154" t="s">
        <v>7612</v>
      </c>
      <c r="G3497" s="36" t="s">
        <v>28</v>
      </c>
      <c r="H3497" s="36" t="s">
        <v>1655</v>
      </c>
      <c r="I3497" s="36" t="s">
        <v>1656</v>
      </c>
      <c r="J3497" s="36" t="s">
        <v>1656</v>
      </c>
      <c r="K3497" s="36" t="s">
        <v>1848</v>
      </c>
      <c r="L3497" s="36" t="s">
        <v>6585</v>
      </c>
      <c r="M3497" s="36" t="s">
        <v>6585</v>
      </c>
      <c r="N3497" s="36" t="s">
        <v>32</v>
      </c>
    </row>
    <row r="3498">
      <c r="A3498" s="36" t="s">
        <v>7613</v>
      </c>
      <c r="B3498" s="154" t="s">
        <v>7614</v>
      </c>
      <c r="C3498" s="36" t="s">
        <v>1666</v>
      </c>
      <c r="D3498" s="36" t="s">
        <v>110</v>
      </c>
      <c r="E3498" s="36" t="s">
        <v>110</v>
      </c>
      <c r="F3498" s="154" t="s">
        <v>1832</v>
      </c>
      <c r="G3498" s="36" t="s">
        <v>28</v>
      </c>
      <c r="H3498" s="36" t="s">
        <v>1655</v>
      </c>
      <c r="I3498" s="36" t="s">
        <v>1656</v>
      </c>
      <c r="J3498" s="36" t="s">
        <v>1656</v>
      </c>
      <c r="K3498" s="36" t="s">
        <v>1851</v>
      </c>
      <c r="L3498" s="36" t="s">
        <v>6585</v>
      </c>
      <c r="M3498" s="36" t="s">
        <v>6585</v>
      </c>
      <c r="N3498" s="36" t="s">
        <v>34</v>
      </c>
    </row>
    <row r="3499">
      <c r="A3499" s="36" t="s">
        <v>7615</v>
      </c>
      <c r="B3499" s="154" t="s">
        <v>7614</v>
      </c>
      <c r="C3499" s="36" t="s">
        <v>1666</v>
      </c>
      <c r="D3499" s="36" t="s">
        <v>576</v>
      </c>
      <c r="E3499" s="36" t="s">
        <v>576</v>
      </c>
      <c r="F3499" s="154" t="s">
        <v>2378</v>
      </c>
      <c r="G3499" s="36" t="s">
        <v>28</v>
      </c>
      <c r="H3499" s="36" t="s">
        <v>1655</v>
      </c>
      <c r="I3499" s="36" t="s">
        <v>1656</v>
      </c>
      <c r="J3499" s="36" t="s">
        <v>1656</v>
      </c>
      <c r="K3499" s="36" t="s">
        <v>1854</v>
      </c>
      <c r="L3499" s="36" t="s">
        <v>6585</v>
      </c>
      <c r="M3499" s="36" t="s">
        <v>6585</v>
      </c>
      <c r="N3499" s="36" t="s">
        <v>34</v>
      </c>
    </row>
    <row r="3500">
      <c r="A3500" s="36" t="s">
        <v>7616</v>
      </c>
      <c r="B3500" s="154" t="s">
        <v>7617</v>
      </c>
      <c r="C3500" s="36" t="s">
        <v>1666</v>
      </c>
      <c r="D3500" s="36" t="s">
        <v>100</v>
      </c>
      <c r="E3500" s="36" t="s">
        <v>100</v>
      </c>
      <c r="F3500" s="154" t="s">
        <v>1810</v>
      </c>
      <c r="G3500" s="36" t="s">
        <v>32</v>
      </c>
      <c r="H3500" s="36" t="s">
        <v>1655</v>
      </c>
      <c r="I3500" s="36" t="s">
        <v>1656</v>
      </c>
      <c r="J3500" s="36" t="s">
        <v>1656</v>
      </c>
      <c r="K3500" s="36" t="s">
        <v>1857</v>
      </c>
      <c r="L3500" s="36" t="s">
        <v>6585</v>
      </c>
      <c r="M3500" s="36" t="s">
        <v>6585</v>
      </c>
      <c r="N3500" s="36" t="s">
        <v>32</v>
      </c>
    </row>
    <row r="3501">
      <c r="A3501" s="36" t="s">
        <v>7618</v>
      </c>
      <c r="B3501" s="154" t="s">
        <v>7619</v>
      </c>
      <c r="C3501" s="36" t="s">
        <v>1666</v>
      </c>
      <c r="D3501" s="36" t="s">
        <v>79</v>
      </c>
      <c r="E3501" s="36" t="s">
        <v>79</v>
      </c>
      <c r="F3501" s="154" t="s">
        <v>6912</v>
      </c>
      <c r="G3501" s="36" t="s">
        <v>32</v>
      </c>
      <c r="H3501" s="36" t="s">
        <v>1655</v>
      </c>
      <c r="I3501" s="36" t="s">
        <v>1656</v>
      </c>
      <c r="J3501" s="36" t="s">
        <v>1656</v>
      </c>
      <c r="K3501" s="36" t="s">
        <v>1769</v>
      </c>
      <c r="L3501" s="36" t="s">
        <v>6585</v>
      </c>
      <c r="M3501" s="36" t="s">
        <v>6585</v>
      </c>
      <c r="N3501" s="36" t="s">
        <v>32</v>
      </c>
    </row>
    <row r="3502">
      <c r="A3502" s="36" t="s">
        <v>7620</v>
      </c>
      <c r="B3502" s="154" t="s">
        <v>7619</v>
      </c>
      <c r="C3502" s="36" t="s">
        <v>1666</v>
      </c>
      <c r="D3502" s="36" t="s">
        <v>81</v>
      </c>
      <c r="E3502" s="36" t="s">
        <v>81</v>
      </c>
      <c r="F3502" s="154" t="s">
        <v>6680</v>
      </c>
      <c r="G3502" s="36" t="s">
        <v>28</v>
      </c>
      <c r="H3502" s="36" t="s">
        <v>1655</v>
      </c>
      <c r="I3502" s="36" t="s">
        <v>1656</v>
      </c>
      <c r="J3502" s="36" t="s">
        <v>1656</v>
      </c>
      <c r="K3502" s="36" t="s">
        <v>1811</v>
      </c>
      <c r="L3502" s="36" t="s">
        <v>6585</v>
      </c>
      <c r="M3502" s="36" t="s">
        <v>6585</v>
      </c>
      <c r="N3502" s="36" t="s">
        <v>32</v>
      </c>
    </row>
    <row r="3503">
      <c r="A3503" s="36" t="s">
        <v>7621</v>
      </c>
      <c r="B3503" s="154" t="s">
        <v>7619</v>
      </c>
      <c r="C3503" s="36" t="s">
        <v>1666</v>
      </c>
      <c r="D3503" s="36" t="s">
        <v>84</v>
      </c>
      <c r="E3503" s="36" t="s">
        <v>84</v>
      </c>
      <c r="F3503" s="154" t="s">
        <v>7622</v>
      </c>
      <c r="G3503" s="36" t="s">
        <v>32</v>
      </c>
      <c r="H3503" s="36" t="s">
        <v>1655</v>
      </c>
      <c r="I3503" s="36" t="s">
        <v>1656</v>
      </c>
      <c r="J3503" s="36" t="s">
        <v>1656</v>
      </c>
      <c r="K3503" s="36" t="s">
        <v>1921</v>
      </c>
      <c r="L3503" s="36" t="s">
        <v>6585</v>
      </c>
      <c r="M3503" s="36" t="s">
        <v>6585</v>
      </c>
      <c r="N3503" s="36" t="s">
        <v>32</v>
      </c>
    </row>
    <row r="3504">
      <c r="A3504" s="36" t="s">
        <v>7623</v>
      </c>
      <c r="B3504" s="154" t="s">
        <v>7619</v>
      </c>
      <c r="C3504" s="36" t="s">
        <v>1666</v>
      </c>
      <c r="D3504" s="36" t="s">
        <v>109</v>
      </c>
      <c r="E3504" s="36" t="s">
        <v>109</v>
      </c>
      <c r="F3504" s="154" t="s">
        <v>6041</v>
      </c>
      <c r="G3504" s="36" t="s">
        <v>28</v>
      </c>
      <c r="H3504" s="36" t="s">
        <v>1655</v>
      </c>
      <c r="I3504" s="36" t="s">
        <v>1656</v>
      </c>
      <c r="J3504" s="36" t="s">
        <v>1656</v>
      </c>
      <c r="K3504" s="36" t="s">
        <v>1860</v>
      </c>
      <c r="L3504" s="36" t="s">
        <v>6585</v>
      </c>
      <c r="M3504" s="36" t="s">
        <v>6585</v>
      </c>
      <c r="N3504" s="36" t="s">
        <v>32</v>
      </c>
    </row>
    <row r="3505">
      <c r="A3505" s="36" t="s">
        <v>7624</v>
      </c>
      <c r="B3505" s="154" t="s">
        <v>7619</v>
      </c>
      <c r="C3505" s="36" t="s">
        <v>1666</v>
      </c>
      <c r="D3505" s="36" t="s">
        <v>130</v>
      </c>
      <c r="E3505" s="36" t="s">
        <v>130</v>
      </c>
      <c r="F3505" s="154" t="s">
        <v>1810</v>
      </c>
      <c r="G3505" s="36" t="s">
        <v>32</v>
      </c>
      <c r="H3505" s="36" t="s">
        <v>1655</v>
      </c>
      <c r="I3505" s="36" t="s">
        <v>1656</v>
      </c>
      <c r="J3505" s="36" t="s">
        <v>1656</v>
      </c>
      <c r="K3505" s="36" t="s">
        <v>1863</v>
      </c>
      <c r="L3505" s="36" t="s">
        <v>6585</v>
      </c>
      <c r="M3505" s="36" t="s">
        <v>6585</v>
      </c>
      <c r="N3505" s="36" t="s">
        <v>32</v>
      </c>
    </row>
    <row r="3506">
      <c r="A3506" s="36" t="s">
        <v>7625</v>
      </c>
      <c r="B3506" s="154" t="s">
        <v>7619</v>
      </c>
      <c r="C3506" s="36" t="s">
        <v>1666</v>
      </c>
      <c r="D3506" s="36" t="s">
        <v>93</v>
      </c>
      <c r="E3506" s="36" t="s">
        <v>93</v>
      </c>
      <c r="F3506" s="154" t="s">
        <v>1899</v>
      </c>
      <c r="G3506" s="36" t="s">
        <v>28</v>
      </c>
      <c r="H3506" s="36" t="s">
        <v>1655</v>
      </c>
      <c r="I3506" s="36" t="s">
        <v>1656</v>
      </c>
      <c r="J3506" s="36" t="s">
        <v>1656</v>
      </c>
      <c r="K3506" s="36" t="s">
        <v>1866</v>
      </c>
      <c r="L3506" s="36" t="s">
        <v>6585</v>
      </c>
      <c r="M3506" s="36" t="s">
        <v>6585</v>
      </c>
      <c r="N3506" s="36" t="s">
        <v>32</v>
      </c>
    </row>
    <row r="3507">
      <c r="A3507" s="36" t="s">
        <v>7626</v>
      </c>
      <c r="B3507" s="154" t="s">
        <v>7619</v>
      </c>
      <c r="C3507" s="36" t="s">
        <v>1666</v>
      </c>
      <c r="D3507" s="36" t="s">
        <v>480</v>
      </c>
      <c r="E3507" s="36" t="s">
        <v>480</v>
      </c>
      <c r="F3507" s="154" t="s">
        <v>7627</v>
      </c>
      <c r="G3507" s="36" t="s">
        <v>28</v>
      </c>
      <c r="H3507" s="36" t="s">
        <v>1655</v>
      </c>
      <c r="I3507" s="36" t="s">
        <v>1656</v>
      </c>
      <c r="J3507" s="36" t="s">
        <v>1656</v>
      </c>
      <c r="K3507" s="36" t="s">
        <v>1869</v>
      </c>
      <c r="L3507" s="36" t="s">
        <v>6585</v>
      </c>
      <c r="M3507" s="36" t="s">
        <v>6585</v>
      </c>
      <c r="N3507" s="36" t="s">
        <v>32</v>
      </c>
    </row>
    <row r="3508">
      <c r="A3508" s="36" t="s">
        <v>7628</v>
      </c>
      <c r="B3508" s="154" t="s">
        <v>7619</v>
      </c>
      <c r="C3508" s="36" t="s">
        <v>1666</v>
      </c>
      <c r="D3508" s="36" t="s">
        <v>133</v>
      </c>
      <c r="E3508" s="36" t="s">
        <v>133</v>
      </c>
      <c r="F3508" s="154" t="s">
        <v>7629</v>
      </c>
      <c r="G3508" s="36" t="s">
        <v>32</v>
      </c>
      <c r="H3508" s="36" t="s">
        <v>1655</v>
      </c>
      <c r="I3508" s="36" t="s">
        <v>1656</v>
      </c>
      <c r="J3508" s="36" t="s">
        <v>1656</v>
      </c>
      <c r="K3508" s="36" t="s">
        <v>1872</v>
      </c>
      <c r="L3508" s="36" t="s">
        <v>6585</v>
      </c>
      <c r="M3508" s="36" t="s">
        <v>6585</v>
      </c>
      <c r="N3508" s="36" t="s">
        <v>32</v>
      </c>
    </row>
    <row r="3509">
      <c r="A3509" s="36" t="s">
        <v>7630</v>
      </c>
      <c r="B3509" s="154" t="s">
        <v>7631</v>
      </c>
      <c r="C3509" s="36" t="s">
        <v>1653</v>
      </c>
      <c r="D3509" s="36" t="s">
        <v>43</v>
      </c>
      <c r="E3509" s="36" t="s">
        <v>39</v>
      </c>
      <c r="F3509" s="154" t="s">
        <v>7632</v>
      </c>
      <c r="G3509" s="36" t="s">
        <v>32</v>
      </c>
      <c r="H3509" s="36" t="s">
        <v>1655</v>
      </c>
      <c r="I3509" s="36" t="s">
        <v>1656</v>
      </c>
      <c r="J3509" s="36" t="s">
        <v>1656</v>
      </c>
      <c r="K3509" s="36" t="s">
        <v>1657</v>
      </c>
      <c r="L3509" s="36" t="s">
        <v>6583</v>
      </c>
      <c r="M3509" s="36" t="s">
        <v>6583</v>
      </c>
      <c r="N3509" s="36" t="s">
        <v>32</v>
      </c>
    </row>
    <row r="3510">
      <c r="A3510" s="36" t="s">
        <v>7633</v>
      </c>
      <c r="B3510" s="154" t="s">
        <v>7631</v>
      </c>
      <c r="C3510" s="36" t="s">
        <v>1653</v>
      </c>
      <c r="D3510" s="36" t="s">
        <v>158</v>
      </c>
      <c r="E3510" s="36" t="s">
        <v>39</v>
      </c>
      <c r="F3510" s="154" t="s">
        <v>7634</v>
      </c>
      <c r="G3510" s="36" t="s">
        <v>32</v>
      </c>
      <c r="H3510" s="36" t="s">
        <v>1655</v>
      </c>
      <c r="I3510" s="36" t="s">
        <v>1656</v>
      </c>
      <c r="J3510" s="36" t="s">
        <v>1656</v>
      </c>
      <c r="K3510" s="36" t="s">
        <v>1978</v>
      </c>
      <c r="L3510" s="36" t="s">
        <v>6583</v>
      </c>
      <c r="M3510" s="36" t="s">
        <v>6583</v>
      </c>
      <c r="N3510" s="36" t="s">
        <v>32</v>
      </c>
    </row>
    <row r="3511">
      <c r="A3511" s="36" t="s">
        <v>7635</v>
      </c>
      <c r="B3511" s="154" t="s">
        <v>7631</v>
      </c>
      <c r="C3511" s="36" t="s">
        <v>1666</v>
      </c>
      <c r="D3511" s="36" t="s">
        <v>85</v>
      </c>
      <c r="E3511" s="36" t="s">
        <v>85</v>
      </c>
      <c r="F3511" s="154" t="s">
        <v>7406</v>
      </c>
      <c r="G3511" s="36" t="s">
        <v>28</v>
      </c>
      <c r="H3511" s="36" t="s">
        <v>1655</v>
      </c>
      <c r="I3511" s="36" t="s">
        <v>1656</v>
      </c>
      <c r="J3511" s="36" t="s">
        <v>1656</v>
      </c>
      <c r="K3511" s="36" t="s">
        <v>3035</v>
      </c>
      <c r="L3511" s="36" t="s">
        <v>6585</v>
      </c>
      <c r="M3511" s="36" t="s">
        <v>6585</v>
      </c>
      <c r="N3511" s="36" t="s">
        <v>32</v>
      </c>
    </row>
    <row r="3512">
      <c r="A3512" s="36" t="s">
        <v>7636</v>
      </c>
      <c r="B3512" s="154" t="s">
        <v>7631</v>
      </c>
      <c r="C3512" s="36" t="s">
        <v>1666</v>
      </c>
      <c r="D3512" s="36" t="s">
        <v>442</v>
      </c>
      <c r="E3512" s="36" t="s">
        <v>442</v>
      </c>
      <c r="F3512" s="154" t="s">
        <v>7637</v>
      </c>
      <c r="G3512" s="36" t="s">
        <v>32</v>
      </c>
      <c r="H3512" s="36" t="s">
        <v>1655</v>
      </c>
      <c r="I3512" s="36" t="s">
        <v>1656</v>
      </c>
      <c r="J3512" s="36" t="s">
        <v>1656</v>
      </c>
      <c r="K3512" s="36" t="s">
        <v>1924</v>
      </c>
      <c r="L3512" s="36" t="s">
        <v>6585</v>
      </c>
      <c r="M3512" s="36" t="s">
        <v>6585</v>
      </c>
      <c r="N3512" s="36" t="s">
        <v>32</v>
      </c>
    </row>
    <row r="3513">
      <c r="A3513" s="36" t="s">
        <v>7638</v>
      </c>
      <c r="B3513" s="154" t="s">
        <v>7639</v>
      </c>
      <c r="C3513" s="36" t="s">
        <v>1666</v>
      </c>
      <c r="D3513" s="36" t="s">
        <v>92</v>
      </c>
      <c r="E3513" s="36" t="s">
        <v>92</v>
      </c>
      <c r="F3513" s="154" t="s">
        <v>1959</v>
      </c>
      <c r="G3513" s="36" t="s">
        <v>32</v>
      </c>
      <c r="H3513" s="36" t="s">
        <v>1655</v>
      </c>
      <c r="I3513" s="36" t="s">
        <v>1656</v>
      </c>
      <c r="J3513" s="36" t="s">
        <v>1656</v>
      </c>
      <c r="K3513" s="36" t="s">
        <v>1668</v>
      </c>
      <c r="L3513" s="36" t="s">
        <v>6585</v>
      </c>
      <c r="M3513" s="36" t="s">
        <v>6585</v>
      </c>
      <c r="N3513" s="36" t="s">
        <v>32</v>
      </c>
    </row>
    <row r="3514">
      <c r="A3514" s="36" t="s">
        <v>7640</v>
      </c>
      <c r="B3514" s="154" t="s">
        <v>7639</v>
      </c>
      <c r="C3514" s="36" t="s">
        <v>1666</v>
      </c>
      <c r="D3514" s="36" t="s">
        <v>92</v>
      </c>
      <c r="E3514" s="36" t="s">
        <v>92</v>
      </c>
      <c r="F3514" s="154" t="s">
        <v>1810</v>
      </c>
      <c r="G3514" s="36" t="s">
        <v>28</v>
      </c>
      <c r="H3514" s="36" t="s">
        <v>1655</v>
      </c>
      <c r="I3514" s="36" t="s">
        <v>1656</v>
      </c>
      <c r="J3514" s="36" t="s">
        <v>1656</v>
      </c>
      <c r="K3514" s="36" t="s">
        <v>1672</v>
      </c>
      <c r="L3514" s="36" t="s">
        <v>6585</v>
      </c>
      <c r="M3514" s="36" t="s">
        <v>6585</v>
      </c>
      <c r="N3514" s="36" t="s">
        <v>32</v>
      </c>
    </row>
    <row r="3515">
      <c r="A3515" s="36" t="s">
        <v>7641</v>
      </c>
      <c r="B3515" s="154" t="s">
        <v>7642</v>
      </c>
      <c r="C3515" s="36" t="s">
        <v>1666</v>
      </c>
      <c r="D3515" s="36" t="s">
        <v>78</v>
      </c>
      <c r="E3515" s="36" t="s">
        <v>78</v>
      </c>
      <c r="F3515" s="154" t="s">
        <v>2027</v>
      </c>
      <c r="G3515" s="36" t="s">
        <v>28</v>
      </c>
      <c r="H3515" s="36" t="s">
        <v>1655</v>
      </c>
      <c r="I3515" s="36" t="s">
        <v>1656</v>
      </c>
      <c r="J3515" s="36" t="s">
        <v>1656</v>
      </c>
      <c r="K3515" s="36" t="s">
        <v>4248</v>
      </c>
      <c r="L3515" s="36" t="s">
        <v>6585</v>
      </c>
      <c r="M3515" s="36" t="s">
        <v>6585</v>
      </c>
      <c r="N3515" s="36" t="s">
        <v>32</v>
      </c>
    </row>
    <row r="3516">
      <c r="A3516" s="36" t="s">
        <v>7643</v>
      </c>
      <c r="B3516" s="154" t="s">
        <v>7644</v>
      </c>
      <c r="C3516" s="36" t="s">
        <v>1666</v>
      </c>
      <c r="D3516" s="36" t="s">
        <v>63</v>
      </c>
      <c r="E3516" s="36" t="s">
        <v>63</v>
      </c>
      <c r="F3516" s="154" t="s">
        <v>7645</v>
      </c>
      <c r="G3516" s="36" t="s">
        <v>32</v>
      </c>
      <c r="H3516" s="36" t="s">
        <v>1655</v>
      </c>
      <c r="I3516" s="36" t="s">
        <v>1656</v>
      </c>
      <c r="J3516" s="36" t="s">
        <v>1656</v>
      </c>
      <c r="K3516" s="36" t="s">
        <v>4196</v>
      </c>
      <c r="L3516" s="36" t="s">
        <v>6585</v>
      </c>
      <c r="M3516" s="36" t="s">
        <v>6585</v>
      </c>
      <c r="N3516" s="36" t="s">
        <v>34</v>
      </c>
    </row>
    <row r="3517">
      <c r="A3517" s="36" t="s">
        <v>7646</v>
      </c>
      <c r="B3517" s="154" t="s">
        <v>7647</v>
      </c>
      <c r="C3517" s="36" t="s">
        <v>1666</v>
      </c>
      <c r="D3517" s="36" t="s">
        <v>64</v>
      </c>
      <c r="E3517" s="36" t="s">
        <v>64</v>
      </c>
      <c r="F3517" s="154" t="s">
        <v>7648</v>
      </c>
      <c r="G3517" s="36" t="s">
        <v>28</v>
      </c>
      <c r="H3517" s="36" t="s">
        <v>1655</v>
      </c>
      <c r="I3517" s="36" t="s">
        <v>1656</v>
      </c>
      <c r="J3517" s="36" t="s">
        <v>1656</v>
      </c>
      <c r="K3517" s="36" t="s">
        <v>1708</v>
      </c>
      <c r="L3517" s="36" t="s">
        <v>6585</v>
      </c>
      <c r="M3517" s="36" t="s">
        <v>6585</v>
      </c>
      <c r="N3517" s="36" t="s">
        <v>32</v>
      </c>
    </row>
    <row r="3518">
      <c r="A3518" s="36" t="s">
        <v>7649</v>
      </c>
      <c r="B3518" s="154" t="s">
        <v>7647</v>
      </c>
      <c r="C3518" s="36" t="s">
        <v>1666</v>
      </c>
      <c r="D3518" s="36" t="s">
        <v>235</v>
      </c>
      <c r="E3518" s="36" t="s">
        <v>235</v>
      </c>
      <c r="F3518" s="154" t="s">
        <v>1686</v>
      </c>
      <c r="G3518" s="36" t="s">
        <v>28</v>
      </c>
      <c r="H3518" s="36" t="s">
        <v>1655</v>
      </c>
      <c r="I3518" s="36" t="s">
        <v>1656</v>
      </c>
      <c r="J3518" s="36" t="s">
        <v>1656</v>
      </c>
      <c r="K3518" s="36" t="s">
        <v>1675</v>
      </c>
      <c r="L3518" s="36" t="s">
        <v>6585</v>
      </c>
      <c r="M3518" s="36" t="s">
        <v>6585</v>
      </c>
      <c r="N3518" s="36" t="s">
        <v>32</v>
      </c>
    </row>
    <row r="3519">
      <c r="A3519" s="36" t="s">
        <v>7650</v>
      </c>
      <c r="B3519" s="154" t="s">
        <v>7647</v>
      </c>
      <c r="C3519" s="36" t="s">
        <v>1666</v>
      </c>
      <c r="D3519" s="36" t="s">
        <v>467</v>
      </c>
      <c r="E3519" s="36" t="s">
        <v>467</v>
      </c>
      <c r="F3519" s="154" t="s">
        <v>3151</v>
      </c>
      <c r="G3519" s="36" t="s">
        <v>28</v>
      </c>
      <c r="H3519" s="36" t="s">
        <v>1655</v>
      </c>
      <c r="I3519" s="36" t="s">
        <v>1656</v>
      </c>
      <c r="J3519" s="36" t="s">
        <v>1656</v>
      </c>
      <c r="K3519" s="36" t="s">
        <v>1678</v>
      </c>
      <c r="L3519" s="36" t="s">
        <v>6585</v>
      </c>
      <c r="M3519" s="36" t="s">
        <v>6585</v>
      </c>
      <c r="N3519" s="36" t="s">
        <v>34</v>
      </c>
    </row>
    <row r="3520">
      <c r="A3520" s="36" t="s">
        <v>7651</v>
      </c>
      <c r="B3520" s="154" t="s">
        <v>7652</v>
      </c>
      <c r="C3520" s="36" t="s">
        <v>1666</v>
      </c>
      <c r="D3520" s="36" t="s">
        <v>66</v>
      </c>
      <c r="E3520" s="36" t="s">
        <v>66</v>
      </c>
      <c r="F3520" s="154" t="s">
        <v>7653</v>
      </c>
      <c r="G3520" s="36" t="s">
        <v>28</v>
      </c>
      <c r="H3520" s="36" t="s">
        <v>1655</v>
      </c>
      <c r="I3520" s="36" t="s">
        <v>1656</v>
      </c>
      <c r="J3520" s="36" t="s">
        <v>1656</v>
      </c>
      <c r="K3520" s="36" t="s">
        <v>1721</v>
      </c>
      <c r="L3520" s="36" t="s">
        <v>6585</v>
      </c>
      <c r="M3520" s="36" t="s">
        <v>6585</v>
      </c>
      <c r="N3520" s="36" t="s">
        <v>32</v>
      </c>
    </row>
    <row r="3521">
      <c r="A3521" s="36" t="s">
        <v>7654</v>
      </c>
      <c r="B3521" s="154" t="s">
        <v>7652</v>
      </c>
      <c r="C3521" s="36" t="s">
        <v>1666</v>
      </c>
      <c r="D3521" s="36" t="s">
        <v>91</v>
      </c>
      <c r="E3521" s="36" t="s">
        <v>91</v>
      </c>
      <c r="F3521" s="154" t="s">
        <v>1768</v>
      </c>
      <c r="G3521" s="36" t="s">
        <v>28</v>
      </c>
      <c r="H3521" s="36" t="s">
        <v>1655</v>
      </c>
      <c r="I3521" s="36" t="s">
        <v>1656</v>
      </c>
      <c r="J3521" s="36" t="s">
        <v>1656</v>
      </c>
      <c r="K3521" s="36" t="s">
        <v>1681</v>
      </c>
      <c r="L3521" s="36" t="s">
        <v>6585</v>
      </c>
      <c r="M3521" s="36" t="s">
        <v>6585</v>
      </c>
      <c r="N3521" s="36" t="s">
        <v>32</v>
      </c>
    </row>
    <row r="3522">
      <c r="A3522" s="36" t="s">
        <v>7655</v>
      </c>
      <c r="B3522" s="154" t="s">
        <v>7652</v>
      </c>
      <c r="C3522" s="36" t="s">
        <v>1666</v>
      </c>
      <c r="D3522" s="36" t="s">
        <v>91</v>
      </c>
      <c r="E3522" s="36" t="s">
        <v>91</v>
      </c>
      <c r="F3522" s="154" t="s">
        <v>1768</v>
      </c>
      <c r="G3522" s="36" t="s">
        <v>28</v>
      </c>
      <c r="H3522" s="36" t="s">
        <v>1655</v>
      </c>
      <c r="I3522" s="36" t="s">
        <v>1656</v>
      </c>
      <c r="J3522" s="36" t="s">
        <v>1656</v>
      </c>
      <c r="K3522" s="36" t="s">
        <v>1684</v>
      </c>
      <c r="L3522" s="36" t="s">
        <v>6585</v>
      </c>
      <c r="M3522" s="36" t="s">
        <v>6585</v>
      </c>
      <c r="N3522" s="36" t="s">
        <v>34</v>
      </c>
    </row>
    <row r="3523">
      <c r="A3523" s="36" t="s">
        <v>7656</v>
      </c>
      <c r="B3523" s="154" t="s">
        <v>7652</v>
      </c>
      <c r="C3523" s="36" t="s">
        <v>1666</v>
      </c>
      <c r="D3523" s="36" t="s">
        <v>310</v>
      </c>
      <c r="E3523" s="36" t="s">
        <v>310</v>
      </c>
      <c r="F3523" s="154" t="s">
        <v>7657</v>
      </c>
      <c r="G3523" s="36" t="s">
        <v>28</v>
      </c>
      <c r="H3523" s="36" t="s">
        <v>1655</v>
      </c>
      <c r="I3523" s="36" t="s">
        <v>1656</v>
      </c>
      <c r="J3523" s="36" t="s">
        <v>1656</v>
      </c>
      <c r="K3523" s="36" t="s">
        <v>1691</v>
      </c>
      <c r="L3523" s="36" t="s">
        <v>6585</v>
      </c>
      <c r="M3523" s="36" t="s">
        <v>6585</v>
      </c>
      <c r="N3523" s="36" t="s">
        <v>34</v>
      </c>
    </row>
    <row r="3524">
      <c r="A3524" s="36" t="s">
        <v>7658</v>
      </c>
      <c r="B3524" s="154" t="s">
        <v>7659</v>
      </c>
      <c r="C3524" s="36" t="s">
        <v>1653</v>
      </c>
      <c r="D3524" s="36" t="s">
        <v>55</v>
      </c>
      <c r="E3524" s="36" t="s">
        <v>39</v>
      </c>
      <c r="F3524" s="154" t="s">
        <v>7660</v>
      </c>
      <c r="G3524" s="36" t="s">
        <v>32</v>
      </c>
      <c r="H3524" s="36" t="s">
        <v>1655</v>
      </c>
      <c r="I3524" s="36" t="s">
        <v>1656</v>
      </c>
      <c r="J3524" s="36" t="s">
        <v>1656</v>
      </c>
      <c r="K3524" s="36" t="s">
        <v>1989</v>
      </c>
      <c r="L3524" s="36" t="s">
        <v>6583</v>
      </c>
      <c r="M3524" s="36" t="s">
        <v>6583</v>
      </c>
      <c r="N3524" s="36" t="s">
        <v>32</v>
      </c>
    </row>
    <row r="3525">
      <c r="A3525" s="36" t="s">
        <v>7661</v>
      </c>
      <c r="B3525" s="154" t="s">
        <v>7659</v>
      </c>
      <c r="C3525" s="36" t="s">
        <v>1653</v>
      </c>
      <c r="D3525" s="36" t="s">
        <v>161</v>
      </c>
      <c r="E3525" s="36" t="s">
        <v>39</v>
      </c>
      <c r="F3525" s="154" t="s">
        <v>6340</v>
      </c>
      <c r="G3525" s="36" t="s">
        <v>32</v>
      </c>
      <c r="H3525" s="36" t="s">
        <v>1655</v>
      </c>
      <c r="I3525" s="36" t="s">
        <v>1656</v>
      </c>
      <c r="J3525" s="36" t="s">
        <v>1656</v>
      </c>
      <c r="K3525" s="36" t="s">
        <v>1749</v>
      </c>
      <c r="L3525" s="36" t="s">
        <v>6583</v>
      </c>
      <c r="M3525" s="36" t="s">
        <v>6583</v>
      </c>
      <c r="N3525" s="36" t="s">
        <v>32</v>
      </c>
    </row>
    <row r="3526">
      <c r="A3526" s="36" t="s">
        <v>7662</v>
      </c>
      <c r="B3526" s="154" t="s">
        <v>7659</v>
      </c>
      <c r="C3526" s="36" t="s">
        <v>1666</v>
      </c>
      <c r="D3526" s="36" t="s">
        <v>74</v>
      </c>
      <c r="E3526" s="36" t="s">
        <v>74</v>
      </c>
      <c r="F3526" s="154" t="s">
        <v>6740</v>
      </c>
      <c r="G3526" s="36" t="s">
        <v>32</v>
      </c>
      <c r="H3526" s="36" t="s">
        <v>1655</v>
      </c>
      <c r="I3526" s="36" t="s">
        <v>1656</v>
      </c>
      <c r="J3526" s="36" t="s">
        <v>1656</v>
      </c>
      <c r="K3526" s="36" t="s">
        <v>1757</v>
      </c>
      <c r="L3526" s="36" t="s">
        <v>6585</v>
      </c>
      <c r="M3526" s="36" t="s">
        <v>6585</v>
      </c>
      <c r="N3526" s="36" t="s">
        <v>32</v>
      </c>
    </row>
    <row r="3527">
      <c r="A3527" s="36" t="s">
        <v>7663</v>
      </c>
      <c r="B3527" s="154" t="s">
        <v>7659</v>
      </c>
      <c r="C3527" s="36" t="s">
        <v>1666</v>
      </c>
      <c r="D3527" s="36" t="s">
        <v>75</v>
      </c>
      <c r="E3527" s="36" t="s">
        <v>75</v>
      </c>
      <c r="F3527" s="154" t="s">
        <v>6742</v>
      </c>
      <c r="G3527" s="36" t="s">
        <v>28</v>
      </c>
      <c r="H3527" s="36" t="s">
        <v>1655</v>
      </c>
      <c r="I3527" s="36" t="s">
        <v>1656</v>
      </c>
      <c r="J3527" s="36" t="s">
        <v>1656</v>
      </c>
      <c r="K3527" s="36" t="s">
        <v>1760</v>
      </c>
      <c r="L3527" s="36" t="s">
        <v>6585</v>
      </c>
      <c r="M3527" s="36" t="s">
        <v>6585</v>
      </c>
      <c r="N3527" s="36" t="s">
        <v>32</v>
      </c>
    </row>
    <row r="3528">
      <c r="A3528" s="36" t="s">
        <v>7664</v>
      </c>
      <c r="B3528" s="154" t="s">
        <v>7659</v>
      </c>
      <c r="C3528" s="36" t="s">
        <v>1666</v>
      </c>
      <c r="D3528" s="36" t="s">
        <v>76</v>
      </c>
      <c r="E3528" s="36" t="s">
        <v>76</v>
      </c>
      <c r="F3528" s="154" t="s">
        <v>7665</v>
      </c>
      <c r="G3528" s="36" t="s">
        <v>28</v>
      </c>
      <c r="H3528" s="36" t="s">
        <v>1655</v>
      </c>
      <c r="I3528" s="36" t="s">
        <v>1656</v>
      </c>
      <c r="J3528" s="36" t="s">
        <v>1656</v>
      </c>
      <c r="K3528" s="36" t="s">
        <v>1763</v>
      </c>
      <c r="L3528" s="36" t="s">
        <v>6585</v>
      </c>
      <c r="M3528" s="36" t="s">
        <v>6585</v>
      </c>
      <c r="N3528" s="36" t="s">
        <v>32</v>
      </c>
    </row>
    <row r="3529">
      <c r="A3529" s="36" t="s">
        <v>7666</v>
      </c>
      <c r="B3529" s="154" t="s">
        <v>7659</v>
      </c>
      <c r="C3529" s="36" t="s">
        <v>1666</v>
      </c>
      <c r="D3529" s="36" t="s">
        <v>218</v>
      </c>
      <c r="E3529" s="36" t="s">
        <v>218</v>
      </c>
      <c r="F3529" s="154" t="s">
        <v>1686</v>
      </c>
      <c r="G3529" s="36" t="s">
        <v>32</v>
      </c>
      <c r="H3529" s="36" t="s">
        <v>1655</v>
      </c>
      <c r="I3529" s="36" t="s">
        <v>1656</v>
      </c>
      <c r="J3529" s="36" t="s">
        <v>1656</v>
      </c>
      <c r="K3529" s="36" t="s">
        <v>1695</v>
      </c>
      <c r="L3529" s="36" t="s">
        <v>6585</v>
      </c>
      <c r="M3529" s="36" t="s">
        <v>6585</v>
      </c>
      <c r="N3529" s="36" t="s">
        <v>32</v>
      </c>
    </row>
    <row r="3530">
      <c r="A3530" s="36" t="s">
        <v>7667</v>
      </c>
      <c r="B3530" s="154" t="s">
        <v>7659</v>
      </c>
      <c r="C3530" s="36" t="s">
        <v>1666</v>
      </c>
      <c r="D3530" s="36" t="s">
        <v>114</v>
      </c>
      <c r="E3530" s="36" t="s">
        <v>114</v>
      </c>
      <c r="F3530" s="154" t="s">
        <v>7668</v>
      </c>
      <c r="G3530" s="36" t="s">
        <v>32</v>
      </c>
      <c r="H3530" s="36" t="s">
        <v>1655</v>
      </c>
      <c r="I3530" s="36" t="s">
        <v>1656</v>
      </c>
      <c r="J3530" s="36" t="s">
        <v>1656</v>
      </c>
      <c r="K3530" s="36" t="s">
        <v>1698</v>
      </c>
      <c r="L3530" s="36" t="s">
        <v>6585</v>
      </c>
      <c r="M3530" s="36" t="s">
        <v>6585</v>
      </c>
      <c r="N3530" s="36" t="s">
        <v>32</v>
      </c>
    </row>
    <row r="3531">
      <c r="A3531" s="36" t="s">
        <v>7669</v>
      </c>
      <c r="B3531" s="154" t="s">
        <v>7659</v>
      </c>
      <c r="C3531" s="36" t="s">
        <v>1666</v>
      </c>
      <c r="D3531" s="36" t="s">
        <v>301</v>
      </c>
      <c r="E3531" s="36" t="s">
        <v>301</v>
      </c>
      <c r="F3531" s="154" t="s">
        <v>1868</v>
      </c>
      <c r="G3531" s="36" t="s">
        <v>28</v>
      </c>
      <c r="H3531" s="36" t="s">
        <v>1655</v>
      </c>
      <c r="I3531" s="36" t="s">
        <v>1656</v>
      </c>
      <c r="J3531" s="36" t="s">
        <v>1656</v>
      </c>
      <c r="K3531" s="36" t="s">
        <v>1701</v>
      </c>
      <c r="L3531" s="36" t="s">
        <v>6585</v>
      </c>
      <c r="M3531" s="36" t="s">
        <v>6585</v>
      </c>
      <c r="N3531" s="36" t="s">
        <v>34</v>
      </c>
    </row>
    <row r="3532">
      <c r="A3532" s="36" t="s">
        <v>7670</v>
      </c>
      <c r="B3532" s="154" t="s">
        <v>7659</v>
      </c>
      <c r="C3532" s="36" t="s">
        <v>1666</v>
      </c>
      <c r="D3532" s="36" t="s">
        <v>281</v>
      </c>
      <c r="E3532" s="36" t="s">
        <v>281</v>
      </c>
      <c r="F3532" s="154" t="s">
        <v>7671</v>
      </c>
      <c r="G3532" s="36" t="s">
        <v>34</v>
      </c>
      <c r="H3532" s="36" t="s">
        <v>1655</v>
      </c>
      <c r="I3532" s="36" t="s">
        <v>1656</v>
      </c>
      <c r="J3532" s="36" t="s">
        <v>1656</v>
      </c>
      <c r="K3532" s="36" t="s">
        <v>1704</v>
      </c>
      <c r="L3532" s="36" t="s">
        <v>6585</v>
      </c>
      <c r="M3532" s="36" t="s">
        <v>6585</v>
      </c>
      <c r="N3532" s="36" t="s">
        <v>32</v>
      </c>
    </row>
    <row r="3533">
      <c r="A3533" s="36" t="s">
        <v>7672</v>
      </c>
      <c r="B3533" s="154" t="s">
        <v>7659</v>
      </c>
      <c r="C3533" s="36" t="s">
        <v>1666</v>
      </c>
      <c r="D3533" s="36" t="s">
        <v>226</v>
      </c>
      <c r="E3533" s="36" t="s">
        <v>226</v>
      </c>
      <c r="F3533" s="154" t="s">
        <v>7673</v>
      </c>
      <c r="G3533" s="36" t="s">
        <v>32</v>
      </c>
      <c r="H3533" s="36" t="s">
        <v>1655</v>
      </c>
      <c r="I3533" s="36" t="s">
        <v>1656</v>
      </c>
      <c r="J3533" s="36" t="s">
        <v>1656</v>
      </c>
      <c r="K3533" s="36" t="s">
        <v>1711</v>
      </c>
      <c r="L3533" s="36" t="s">
        <v>6585</v>
      </c>
      <c r="M3533" s="36" t="s">
        <v>6585</v>
      </c>
      <c r="N3533" s="36" t="s">
        <v>32</v>
      </c>
    </row>
    <row r="3534">
      <c r="A3534" s="36" t="s">
        <v>7674</v>
      </c>
      <c r="B3534" s="154" t="s">
        <v>7659</v>
      </c>
      <c r="C3534" s="36" t="s">
        <v>1666</v>
      </c>
      <c r="D3534" s="36" t="s">
        <v>220</v>
      </c>
      <c r="E3534" s="36" t="s">
        <v>220</v>
      </c>
      <c r="F3534" s="154" t="s">
        <v>7675</v>
      </c>
      <c r="G3534" s="36" t="s">
        <v>32</v>
      </c>
      <c r="H3534" s="36" t="s">
        <v>1655</v>
      </c>
      <c r="I3534" s="36" t="s">
        <v>1656</v>
      </c>
      <c r="J3534" s="36" t="s">
        <v>1656</v>
      </c>
      <c r="K3534" s="36" t="s">
        <v>1715</v>
      </c>
      <c r="L3534" s="36" t="s">
        <v>6585</v>
      </c>
      <c r="M3534" s="36" t="s">
        <v>6585</v>
      </c>
      <c r="N3534" s="36" t="s">
        <v>32</v>
      </c>
    </row>
    <row r="3535">
      <c r="A3535" s="36" t="s">
        <v>7676</v>
      </c>
      <c r="B3535" s="154" t="s">
        <v>7677</v>
      </c>
      <c r="C3535" s="36" t="s">
        <v>1653</v>
      </c>
      <c r="D3535" s="36" t="s">
        <v>428</v>
      </c>
      <c r="E3535" s="36" t="s">
        <v>39</v>
      </c>
      <c r="F3535" s="154" t="s">
        <v>7678</v>
      </c>
      <c r="G3535" s="36" t="s">
        <v>32</v>
      </c>
      <c r="H3535" s="36" t="s">
        <v>1655</v>
      </c>
      <c r="I3535" s="36" t="s">
        <v>1656</v>
      </c>
      <c r="J3535" s="36" t="s">
        <v>1656</v>
      </c>
      <c r="K3535" s="36" t="s">
        <v>2848</v>
      </c>
      <c r="L3535" s="36" t="s">
        <v>6583</v>
      </c>
      <c r="M3535" s="36" t="s">
        <v>6583</v>
      </c>
      <c r="N3535" s="36" t="s">
        <v>32</v>
      </c>
    </row>
    <row r="3536">
      <c r="A3536" s="36" t="s">
        <v>7679</v>
      </c>
      <c r="B3536" s="154" t="s">
        <v>7680</v>
      </c>
      <c r="C3536" s="36" t="s">
        <v>1666</v>
      </c>
      <c r="D3536" s="36" t="s">
        <v>516</v>
      </c>
      <c r="E3536" s="36" t="s">
        <v>516</v>
      </c>
      <c r="F3536" s="154" t="s">
        <v>7681</v>
      </c>
      <c r="G3536" s="36" t="s">
        <v>30</v>
      </c>
      <c r="H3536" s="36" t="s">
        <v>1655</v>
      </c>
      <c r="I3536" s="36" t="s">
        <v>1656</v>
      </c>
      <c r="J3536" s="36" t="s">
        <v>1656</v>
      </c>
      <c r="K3536" s="36" t="s">
        <v>1717</v>
      </c>
      <c r="L3536" s="36" t="s">
        <v>6585</v>
      </c>
      <c r="M3536" s="36" t="s">
        <v>6585</v>
      </c>
      <c r="N3536" s="36" t="s">
        <v>32</v>
      </c>
    </row>
    <row r="3537">
      <c r="A3537" s="36" t="s">
        <v>7682</v>
      </c>
      <c r="B3537" s="154" t="s">
        <v>7680</v>
      </c>
      <c r="C3537" s="36" t="s">
        <v>1666</v>
      </c>
      <c r="D3537" s="36" t="s">
        <v>519</v>
      </c>
      <c r="E3537" s="36" t="s">
        <v>519</v>
      </c>
      <c r="F3537" s="154" t="s">
        <v>2156</v>
      </c>
      <c r="G3537" s="36" t="s">
        <v>32</v>
      </c>
      <c r="H3537" s="36" t="s">
        <v>1655</v>
      </c>
      <c r="I3537" s="36" t="s">
        <v>1656</v>
      </c>
      <c r="J3537" s="36" t="s">
        <v>1656</v>
      </c>
      <c r="K3537" s="36" t="s">
        <v>1724</v>
      </c>
      <c r="L3537" s="36" t="s">
        <v>6585</v>
      </c>
      <c r="M3537" s="36" t="s">
        <v>6585</v>
      </c>
      <c r="N3537" s="36" t="s">
        <v>32</v>
      </c>
    </row>
    <row r="3538">
      <c r="A3538" s="36" t="s">
        <v>7683</v>
      </c>
      <c r="B3538" s="154" t="s">
        <v>7684</v>
      </c>
      <c r="C3538" s="36" t="s">
        <v>1666</v>
      </c>
      <c r="D3538" s="36" t="s">
        <v>525</v>
      </c>
      <c r="E3538" s="36" t="s">
        <v>525</v>
      </c>
      <c r="F3538" s="154" t="s">
        <v>7685</v>
      </c>
      <c r="G3538" s="36" t="s">
        <v>28</v>
      </c>
      <c r="H3538" s="36" t="s">
        <v>1655</v>
      </c>
      <c r="I3538" s="36" t="s">
        <v>1656</v>
      </c>
      <c r="J3538" s="36" t="s">
        <v>1656</v>
      </c>
      <c r="K3538" s="36" t="s">
        <v>1727</v>
      </c>
      <c r="L3538" s="36" t="s">
        <v>6585</v>
      </c>
      <c r="M3538" s="36" t="s">
        <v>6585</v>
      </c>
      <c r="N3538" s="36" t="s">
        <v>32</v>
      </c>
    </row>
    <row r="3539">
      <c r="A3539" s="36" t="s">
        <v>7686</v>
      </c>
      <c r="B3539" s="154" t="s">
        <v>7684</v>
      </c>
      <c r="C3539" s="36" t="s">
        <v>1666</v>
      </c>
      <c r="D3539" s="36" t="s">
        <v>92</v>
      </c>
      <c r="E3539" s="36" t="s">
        <v>92</v>
      </c>
      <c r="F3539" s="154" t="s">
        <v>7687</v>
      </c>
      <c r="G3539" s="36" t="s">
        <v>28</v>
      </c>
      <c r="H3539" s="36" t="s">
        <v>1655</v>
      </c>
      <c r="I3539" s="36" t="s">
        <v>1656</v>
      </c>
      <c r="J3539" s="36" t="s">
        <v>1656</v>
      </c>
      <c r="K3539" s="36" t="s">
        <v>1730</v>
      </c>
      <c r="L3539" s="36" t="s">
        <v>6585</v>
      </c>
      <c r="M3539" s="36" t="s">
        <v>6585</v>
      </c>
      <c r="N3539" s="36" t="s">
        <v>34</v>
      </c>
    </row>
    <row r="3540">
      <c r="A3540" s="36" t="s">
        <v>7688</v>
      </c>
      <c r="B3540" s="154" t="s">
        <v>7684</v>
      </c>
      <c r="C3540" s="36" t="s">
        <v>1666</v>
      </c>
      <c r="D3540" s="36" t="s">
        <v>209</v>
      </c>
      <c r="E3540" s="36" t="s">
        <v>209</v>
      </c>
      <c r="F3540" s="154" t="s">
        <v>7689</v>
      </c>
      <c r="G3540" s="36" t="s">
        <v>28</v>
      </c>
      <c r="H3540" s="36" t="s">
        <v>1655</v>
      </c>
      <c r="I3540" s="36" t="s">
        <v>1656</v>
      </c>
      <c r="J3540" s="36" t="s">
        <v>1656</v>
      </c>
      <c r="K3540" s="36" t="s">
        <v>1732</v>
      </c>
      <c r="L3540" s="36" t="s">
        <v>6585</v>
      </c>
      <c r="M3540" s="36" t="s">
        <v>6585</v>
      </c>
      <c r="N3540" s="36" t="s">
        <v>34</v>
      </c>
    </row>
    <row r="3541">
      <c r="A3541" s="36" t="s">
        <v>7690</v>
      </c>
      <c r="B3541" s="154" t="s">
        <v>7691</v>
      </c>
      <c r="C3541" s="36" t="s">
        <v>1666</v>
      </c>
      <c r="D3541" s="36" t="s">
        <v>116</v>
      </c>
      <c r="E3541" s="36" t="s">
        <v>116</v>
      </c>
      <c r="F3541" s="154" t="s">
        <v>2156</v>
      </c>
      <c r="G3541" s="36" t="s">
        <v>28</v>
      </c>
      <c r="H3541" s="36" t="s">
        <v>1655</v>
      </c>
      <c r="I3541" s="36" t="s">
        <v>1656</v>
      </c>
      <c r="J3541" s="36" t="s">
        <v>1656</v>
      </c>
      <c r="K3541" s="36" t="s">
        <v>1736</v>
      </c>
      <c r="L3541" s="36" t="s">
        <v>6585</v>
      </c>
      <c r="M3541" s="36" t="s">
        <v>6585</v>
      </c>
      <c r="N3541" s="36" t="s">
        <v>32</v>
      </c>
    </row>
    <row r="3542">
      <c r="A3542" s="36" t="s">
        <v>7692</v>
      </c>
      <c r="B3542" s="154" t="s">
        <v>7693</v>
      </c>
      <c r="C3542" s="36" t="s">
        <v>1666</v>
      </c>
      <c r="D3542" s="36" t="s">
        <v>547</v>
      </c>
      <c r="E3542" s="36" t="s">
        <v>547</v>
      </c>
      <c r="F3542" s="154" t="s">
        <v>5874</v>
      </c>
      <c r="G3542" s="36" t="s">
        <v>28</v>
      </c>
      <c r="H3542" s="36" t="s">
        <v>1655</v>
      </c>
      <c r="I3542" s="36" t="s">
        <v>1656</v>
      </c>
      <c r="J3542" s="36" t="s">
        <v>1656</v>
      </c>
      <c r="K3542" s="36" t="s">
        <v>1739</v>
      </c>
      <c r="L3542" s="36" t="s">
        <v>6585</v>
      </c>
      <c r="M3542" s="36" t="s">
        <v>6585</v>
      </c>
      <c r="N3542" s="36" t="s">
        <v>34</v>
      </c>
    </row>
    <row r="3543">
      <c r="A3543" s="36" t="s">
        <v>7694</v>
      </c>
      <c r="B3543" s="154" t="s">
        <v>7695</v>
      </c>
      <c r="C3543" s="36" t="s">
        <v>1666</v>
      </c>
      <c r="D3543" s="36" t="s">
        <v>549</v>
      </c>
      <c r="E3543" s="36" t="s">
        <v>549</v>
      </c>
      <c r="F3543" s="154" t="s">
        <v>7696</v>
      </c>
      <c r="G3543" s="36" t="s">
        <v>28</v>
      </c>
      <c r="H3543" s="36" t="s">
        <v>1655</v>
      </c>
      <c r="I3543" s="36" t="s">
        <v>1656</v>
      </c>
      <c r="J3543" s="36" t="s">
        <v>1656</v>
      </c>
      <c r="K3543" s="36" t="s">
        <v>1742</v>
      </c>
      <c r="L3543" s="36" t="s">
        <v>6585</v>
      </c>
      <c r="M3543" s="36" t="s">
        <v>6585</v>
      </c>
      <c r="N3543" s="36" t="s">
        <v>34</v>
      </c>
    </row>
    <row r="3544">
      <c r="A3544" s="36" t="s">
        <v>7697</v>
      </c>
      <c r="B3544" s="154" t="s">
        <v>7698</v>
      </c>
      <c r="C3544" s="36" t="s">
        <v>1666</v>
      </c>
      <c r="D3544" s="36" t="s">
        <v>556</v>
      </c>
      <c r="E3544" s="36" t="s">
        <v>556</v>
      </c>
      <c r="F3544" s="154" t="s">
        <v>1729</v>
      </c>
      <c r="G3544" s="36" t="s">
        <v>28</v>
      </c>
      <c r="H3544" s="36" t="s">
        <v>1655</v>
      </c>
      <c r="I3544" s="36" t="s">
        <v>1656</v>
      </c>
      <c r="J3544" s="36" t="s">
        <v>1656</v>
      </c>
      <c r="K3544" s="36" t="s">
        <v>1745</v>
      </c>
      <c r="L3544" s="36" t="s">
        <v>6585</v>
      </c>
      <c r="M3544" s="36" t="s">
        <v>6585</v>
      </c>
      <c r="N3544" s="36" t="s">
        <v>34</v>
      </c>
    </row>
    <row r="3545">
      <c r="A3545" s="36" t="s">
        <v>7699</v>
      </c>
      <c r="B3545" s="154" t="s">
        <v>7700</v>
      </c>
      <c r="C3545" s="36" t="s">
        <v>1666</v>
      </c>
      <c r="D3545" s="36" t="s">
        <v>210</v>
      </c>
      <c r="E3545" s="36" t="s">
        <v>210</v>
      </c>
      <c r="F3545" s="154" t="s">
        <v>1810</v>
      </c>
      <c r="G3545" s="36" t="s">
        <v>28</v>
      </c>
      <c r="H3545" s="36" t="s">
        <v>1655</v>
      </c>
      <c r="I3545" s="36" t="s">
        <v>1656</v>
      </c>
      <c r="J3545" s="36" t="s">
        <v>1656</v>
      </c>
      <c r="K3545" s="36" t="s">
        <v>1773</v>
      </c>
      <c r="L3545" s="36" t="s">
        <v>6585</v>
      </c>
      <c r="M3545" s="36" t="s">
        <v>6585</v>
      </c>
      <c r="N3545" s="36" t="s">
        <v>34</v>
      </c>
    </row>
    <row r="3546">
      <c r="A3546" s="36" t="s">
        <v>7701</v>
      </c>
      <c r="B3546" s="154" t="s">
        <v>7702</v>
      </c>
      <c r="C3546" s="36" t="s">
        <v>1666</v>
      </c>
      <c r="D3546" s="36" t="s">
        <v>110</v>
      </c>
      <c r="E3546" s="36" t="s">
        <v>110</v>
      </c>
      <c r="F3546" s="154" t="s">
        <v>1816</v>
      </c>
      <c r="G3546" s="36" t="s">
        <v>28</v>
      </c>
      <c r="H3546" s="36" t="s">
        <v>1655</v>
      </c>
      <c r="I3546" s="36" t="s">
        <v>1656</v>
      </c>
      <c r="J3546" s="36" t="s">
        <v>1656</v>
      </c>
      <c r="K3546" s="36" t="s">
        <v>1776</v>
      </c>
      <c r="L3546" s="36" t="s">
        <v>6585</v>
      </c>
      <c r="M3546" s="36" t="s">
        <v>6585</v>
      </c>
      <c r="N3546" s="36" t="s">
        <v>34</v>
      </c>
    </row>
    <row r="3547">
      <c r="A3547" s="36" t="s">
        <v>7703</v>
      </c>
      <c r="B3547" s="154" t="s">
        <v>7704</v>
      </c>
      <c r="C3547" s="36" t="s">
        <v>1666</v>
      </c>
      <c r="D3547" s="36" t="s">
        <v>79</v>
      </c>
      <c r="E3547" s="36" t="s">
        <v>79</v>
      </c>
      <c r="F3547" s="154" t="s">
        <v>6912</v>
      </c>
      <c r="G3547" s="36" t="s">
        <v>32</v>
      </c>
      <c r="H3547" s="36" t="s">
        <v>1655</v>
      </c>
      <c r="I3547" s="36" t="s">
        <v>1656</v>
      </c>
      <c r="J3547" s="36" t="s">
        <v>1656</v>
      </c>
      <c r="K3547" s="36" t="s">
        <v>1769</v>
      </c>
      <c r="L3547" s="36" t="s">
        <v>6585</v>
      </c>
      <c r="M3547" s="36" t="s">
        <v>6585</v>
      </c>
      <c r="N3547" s="36" t="s">
        <v>32</v>
      </c>
    </row>
    <row r="3548">
      <c r="A3548" s="36" t="s">
        <v>7705</v>
      </c>
      <c r="B3548" s="154" t="s">
        <v>7706</v>
      </c>
      <c r="C3548" s="36" t="s">
        <v>1666</v>
      </c>
      <c r="D3548" s="36" t="s">
        <v>130</v>
      </c>
      <c r="E3548" s="36" t="s">
        <v>130</v>
      </c>
      <c r="F3548" s="154" t="s">
        <v>1810</v>
      </c>
      <c r="G3548" s="36" t="s">
        <v>32</v>
      </c>
      <c r="H3548" s="36" t="s">
        <v>1655</v>
      </c>
      <c r="I3548" s="36" t="s">
        <v>1656</v>
      </c>
      <c r="J3548" s="36" t="s">
        <v>1656</v>
      </c>
      <c r="K3548" s="36" t="s">
        <v>1779</v>
      </c>
      <c r="L3548" s="36" t="s">
        <v>6585</v>
      </c>
      <c r="M3548" s="36" t="s">
        <v>6585</v>
      </c>
      <c r="N3548" s="36" t="s">
        <v>32</v>
      </c>
    </row>
    <row r="3549">
      <c r="A3549" s="36" t="s">
        <v>7707</v>
      </c>
      <c r="B3549" s="154" t="s">
        <v>7706</v>
      </c>
      <c r="C3549" s="36" t="s">
        <v>1666</v>
      </c>
      <c r="D3549" s="36" t="s">
        <v>92</v>
      </c>
      <c r="E3549" s="36" t="s">
        <v>92</v>
      </c>
      <c r="F3549" s="154" t="s">
        <v>1781</v>
      </c>
      <c r="G3549" s="36" t="s">
        <v>32</v>
      </c>
      <c r="H3549" s="36" t="s">
        <v>1655</v>
      </c>
      <c r="I3549" s="36" t="s">
        <v>1656</v>
      </c>
      <c r="J3549" s="36" t="s">
        <v>1656</v>
      </c>
      <c r="K3549" s="36" t="s">
        <v>1782</v>
      </c>
      <c r="L3549" s="36" t="s">
        <v>6585</v>
      </c>
      <c r="M3549" s="36" t="s">
        <v>6585</v>
      </c>
      <c r="N3549" s="36" t="s">
        <v>32</v>
      </c>
    </row>
    <row r="3550">
      <c r="A3550" s="36" t="s">
        <v>7708</v>
      </c>
      <c r="B3550" s="154" t="s">
        <v>7706</v>
      </c>
      <c r="C3550" s="36" t="s">
        <v>1666</v>
      </c>
      <c r="D3550" s="36" t="s">
        <v>92</v>
      </c>
      <c r="E3550" s="36" t="s">
        <v>92</v>
      </c>
      <c r="F3550" s="154" t="s">
        <v>1874</v>
      </c>
      <c r="G3550" s="36" t="s">
        <v>32</v>
      </c>
      <c r="H3550" s="36" t="s">
        <v>1655</v>
      </c>
      <c r="I3550" s="36" t="s">
        <v>1656</v>
      </c>
      <c r="J3550" s="36" t="s">
        <v>1656</v>
      </c>
      <c r="K3550" s="36" t="s">
        <v>1784</v>
      </c>
      <c r="L3550" s="36" t="s">
        <v>6585</v>
      </c>
      <c r="M3550" s="36" t="s">
        <v>6585</v>
      </c>
      <c r="N3550" s="36" t="s">
        <v>32</v>
      </c>
    </row>
    <row r="3551">
      <c r="A3551" s="36" t="s">
        <v>7709</v>
      </c>
      <c r="B3551" s="154" t="s">
        <v>7706</v>
      </c>
      <c r="C3551" s="36" t="s">
        <v>1666</v>
      </c>
      <c r="D3551" s="36" t="s">
        <v>587</v>
      </c>
      <c r="E3551" s="36" t="s">
        <v>587</v>
      </c>
      <c r="F3551" s="154" t="s">
        <v>7710</v>
      </c>
      <c r="G3551" s="36" t="s">
        <v>32</v>
      </c>
      <c r="H3551" s="36" t="s">
        <v>1655</v>
      </c>
      <c r="I3551" s="36" t="s">
        <v>1656</v>
      </c>
      <c r="J3551" s="36" t="s">
        <v>1656</v>
      </c>
      <c r="K3551" s="36" t="s">
        <v>1787</v>
      </c>
      <c r="L3551" s="36" t="s">
        <v>6585</v>
      </c>
      <c r="M3551" s="36" t="s">
        <v>6585</v>
      </c>
      <c r="N3551" s="36" t="s">
        <v>32</v>
      </c>
    </row>
    <row r="3552">
      <c r="A3552" s="36" t="s">
        <v>7711</v>
      </c>
      <c r="B3552" s="154" t="s">
        <v>7706</v>
      </c>
      <c r="C3552" s="36" t="s">
        <v>1666</v>
      </c>
      <c r="D3552" s="36" t="s">
        <v>92</v>
      </c>
      <c r="E3552" s="36" t="s">
        <v>92</v>
      </c>
      <c r="F3552" s="154" t="s">
        <v>7712</v>
      </c>
      <c r="G3552" s="36" t="s">
        <v>32</v>
      </c>
      <c r="H3552" s="36" t="s">
        <v>1655</v>
      </c>
      <c r="I3552" s="36" t="s">
        <v>1656</v>
      </c>
      <c r="J3552" s="36" t="s">
        <v>1656</v>
      </c>
      <c r="K3552" s="36" t="s">
        <v>1790</v>
      </c>
      <c r="L3552" s="36" t="s">
        <v>6585</v>
      </c>
      <c r="M3552" s="36" t="s">
        <v>6585</v>
      </c>
      <c r="N3552" s="36" t="s">
        <v>32</v>
      </c>
    </row>
    <row r="3553">
      <c r="A3553" s="36" t="s">
        <v>7713</v>
      </c>
      <c r="B3553" s="154" t="s">
        <v>7714</v>
      </c>
      <c r="C3553" s="36" t="s">
        <v>1666</v>
      </c>
      <c r="D3553" s="36" t="s">
        <v>90</v>
      </c>
      <c r="E3553" s="36" t="s">
        <v>90</v>
      </c>
      <c r="F3553" s="154" t="s">
        <v>1781</v>
      </c>
      <c r="G3553" s="36" t="s">
        <v>28</v>
      </c>
      <c r="H3553" s="36" t="s">
        <v>1655</v>
      </c>
      <c r="I3553" s="36" t="s">
        <v>1656</v>
      </c>
      <c r="J3553" s="36" t="s">
        <v>1656</v>
      </c>
      <c r="K3553" s="36" t="s">
        <v>1793</v>
      </c>
      <c r="L3553" s="36" t="s">
        <v>6585</v>
      </c>
      <c r="M3553" s="36" t="s">
        <v>6585</v>
      </c>
      <c r="N3553" s="36" t="s">
        <v>32</v>
      </c>
    </row>
    <row r="3554">
      <c r="A3554" s="36" t="s">
        <v>7715</v>
      </c>
      <c r="B3554" s="154" t="s">
        <v>7714</v>
      </c>
      <c r="C3554" s="36" t="s">
        <v>1666</v>
      </c>
      <c r="D3554" s="36" t="s">
        <v>90</v>
      </c>
      <c r="E3554" s="36" t="s">
        <v>90</v>
      </c>
      <c r="F3554" s="154" t="s">
        <v>1799</v>
      </c>
      <c r="G3554" s="36" t="s">
        <v>28</v>
      </c>
      <c r="H3554" s="36" t="s">
        <v>1655</v>
      </c>
      <c r="I3554" s="36" t="s">
        <v>1656</v>
      </c>
      <c r="J3554" s="36" t="s">
        <v>1656</v>
      </c>
      <c r="K3554" s="36" t="s">
        <v>1796</v>
      </c>
      <c r="L3554" s="36" t="s">
        <v>6585</v>
      </c>
      <c r="M3554" s="36" t="s">
        <v>6585</v>
      </c>
      <c r="N3554" s="36" t="s">
        <v>32</v>
      </c>
    </row>
    <row r="3555">
      <c r="A3555" s="36" t="s">
        <v>7716</v>
      </c>
      <c r="B3555" s="154" t="s">
        <v>7714</v>
      </c>
      <c r="C3555" s="36" t="s">
        <v>1666</v>
      </c>
      <c r="D3555" s="36" t="s">
        <v>191</v>
      </c>
      <c r="E3555" s="36" t="s">
        <v>191</v>
      </c>
      <c r="F3555" s="154" t="s">
        <v>1816</v>
      </c>
      <c r="G3555" s="36" t="s">
        <v>28</v>
      </c>
      <c r="H3555" s="36" t="s">
        <v>1655</v>
      </c>
      <c r="I3555" s="36" t="s">
        <v>1656</v>
      </c>
      <c r="J3555" s="36" t="s">
        <v>1656</v>
      </c>
      <c r="K3555" s="36" t="s">
        <v>1800</v>
      </c>
      <c r="L3555" s="36" t="s">
        <v>6585</v>
      </c>
      <c r="M3555" s="36" t="s">
        <v>6585</v>
      </c>
      <c r="N3555" s="36" t="s">
        <v>32</v>
      </c>
    </row>
    <row r="3556">
      <c r="A3556" s="36" t="s">
        <v>7717</v>
      </c>
      <c r="B3556" s="154" t="s">
        <v>7718</v>
      </c>
      <c r="C3556" s="36" t="s">
        <v>1666</v>
      </c>
      <c r="D3556" s="36" t="s">
        <v>81</v>
      </c>
      <c r="E3556" s="36" t="s">
        <v>81</v>
      </c>
      <c r="F3556" s="154" t="s">
        <v>6680</v>
      </c>
      <c r="G3556" s="36" t="s">
        <v>28</v>
      </c>
      <c r="H3556" s="36" t="s">
        <v>1655</v>
      </c>
      <c r="I3556" s="36" t="s">
        <v>1656</v>
      </c>
      <c r="J3556" s="36" t="s">
        <v>1656</v>
      </c>
      <c r="K3556" s="36" t="s">
        <v>1811</v>
      </c>
      <c r="L3556" s="36" t="s">
        <v>6585</v>
      </c>
      <c r="M3556" s="36" t="s">
        <v>6585</v>
      </c>
      <c r="N3556" s="36" t="s">
        <v>32</v>
      </c>
    </row>
    <row r="3557">
      <c r="A3557" s="36" t="s">
        <v>7719</v>
      </c>
      <c r="B3557" s="154" t="s">
        <v>7718</v>
      </c>
      <c r="C3557" s="36" t="s">
        <v>1666</v>
      </c>
      <c r="D3557" s="36" t="s">
        <v>619</v>
      </c>
      <c r="E3557" s="36" t="s">
        <v>619</v>
      </c>
      <c r="F3557" s="154" t="s">
        <v>1902</v>
      </c>
      <c r="G3557" s="36" t="s">
        <v>32</v>
      </c>
      <c r="H3557" s="36" t="s">
        <v>1655</v>
      </c>
      <c r="I3557" s="36" t="s">
        <v>1656</v>
      </c>
      <c r="J3557" s="36" t="s">
        <v>1656</v>
      </c>
      <c r="K3557" s="36" t="s">
        <v>1803</v>
      </c>
      <c r="L3557" s="36" t="s">
        <v>6585</v>
      </c>
      <c r="M3557" s="36" t="s">
        <v>6585</v>
      </c>
      <c r="N3557" s="36" t="s">
        <v>32</v>
      </c>
    </row>
    <row r="3558">
      <c r="A3558" s="36" t="s">
        <v>7720</v>
      </c>
      <c r="B3558" s="154" t="s">
        <v>7721</v>
      </c>
      <c r="C3558" s="36" t="s">
        <v>1666</v>
      </c>
      <c r="D3558" s="36" t="s">
        <v>110</v>
      </c>
      <c r="E3558" s="36" t="s">
        <v>110</v>
      </c>
      <c r="F3558" s="154" t="s">
        <v>2085</v>
      </c>
      <c r="G3558" s="36" t="s">
        <v>28</v>
      </c>
      <c r="H3558" s="36" t="s">
        <v>1655</v>
      </c>
      <c r="I3558" s="36" t="s">
        <v>1656</v>
      </c>
      <c r="J3558" s="36" t="s">
        <v>1656</v>
      </c>
      <c r="K3558" s="36" t="s">
        <v>1807</v>
      </c>
      <c r="L3558" s="36" t="s">
        <v>6585</v>
      </c>
      <c r="M3558" s="36" t="s">
        <v>6585</v>
      </c>
      <c r="N3558" s="36" t="s">
        <v>32</v>
      </c>
    </row>
    <row r="3559">
      <c r="A3559" s="36" t="s">
        <v>7722</v>
      </c>
      <c r="B3559" s="154" t="s">
        <v>7721</v>
      </c>
      <c r="C3559" s="36" t="s">
        <v>1666</v>
      </c>
      <c r="D3559" s="36" t="s">
        <v>133</v>
      </c>
      <c r="E3559" s="36" t="s">
        <v>133</v>
      </c>
      <c r="F3559" s="154" t="s">
        <v>7723</v>
      </c>
      <c r="G3559" s="36" t="s">
        <v>32</v>
      </c>
      <c r="H3559" s="36" t="s">
        <v>1655</v>
      </c>
      <c r="I3559" s="36" t="s">
        <v>1656</v>
      </c>
      <c r="J3559" s="36" t="s">
        <v>1656</v>
      </c>
      <c r="K3559" s="36" t="s">
        <v>1814</v>
      </c>
      <c r="L3559" s="36" t="s">
        <v>6585</v>
      </c>
      <c r="M3559" s="36" t="s">
        <v>6585</v>
      </c>
      <c r="N3559" s="36" t="s">
        <v>32</v>
      </c>
    </row>
    <row r="3560">
      <c r="A3560" s="36" t="s">
        <v>7724</v>
      </c>
      <c r="B3560" s="154" t="s">
        <v>7725</v>
      </c>
      <c r="C3560" s="36" t="s">
        <v>1653</v>
      </c>
      <c r="D3560" s="36" t="s">
        <v>43</v>
      </c>
      <c r="E3560" s="36" t="s">
        <v>39</v>
      </c>
      <c r="F3560" s="154" t="s">
        <v>7726</v>
      </c>
      <c r="G3560" s="36" t="s">
        <v>32</v>
      </c>
      <c r="H3560" s="36" t="s">
        <v>1655</v>
      </c>
      <c r="I3560" s="36" t="s">
        <v>1656</v>
      </c>
      <c r="J3560" s="36" t="s">
        <v>1656</v>
      </c>
      <c r="K3560" s="36" t="s">
        <v>1657</v>
      </c>
      <c r="L3560" s="36" t="s">
        <v>6583</v>
      </c>
      <c r="M3560" s="36" t="s">
        <v>6583</v>
      </c>
      <c r="N3560" s="36" t="s">
        <v>32</v>
      </c>
    </row>
    <row r="3561">
      <c r="A3561" s="36" t="s">
        <v>7727</v>
      </c>
      <c r="B3561" s="154" t="s">
        <v>7725</v>
      </c>
      <c r="C3561" s="36" t="s">
        <v>1653</v>
      </c>
      <c r="D3561" s="36" t="s">
        <v>34</v>
      </c>
      <c r="E3561" s="36" t="s">
        <v>39</v>
      </c>
      <c r="F3561" s="154" t="s">
        <v>7728</v>
      </c>
      <c r="G3561" s="36" t="s">
        <v>32</v>
      </c>
      <c r="H3561" s="36" t="s">
        <v>1655</v>
      </c>
      <c r="I3561" s="36" t="s">
        <v>1656</v>
      </c>
      <c r="J3561" s="36" t="s">
        <v>1656</v>
      </c>
      <c r="K3561" s="36" t="s">
        <v>1749</v>
      </c>
      <c r="L3561" s="36" t="s">
        <v>6583</v>
      </c>
      <c r="M3561" s="36" t="s">
        <v>6583</v>
      </c>
      <c r="N3561" s="36" t="s">
        <v>32</v>
      </c>
    </row>
    <row r="3562">
      <c r="A3562" s="36" t="s">
        <v>7729</v>
      </c>
      <c r="B3562" s="154" t="s">
        <v>7725</v>
      </c>
      <c r="C3562" s="36" t="s">
        <v>1653</v>
      </c>
      <c r="D3562" s="36" t="s">
        <v>429</v>
      </c>
      <c r="E3562" s="36" t="s">
        <v>39</v>
      </c>
      <c r="F3562" s="154" t="s">
        <v>7730</v>
      </c>
      <c r="G3562" s="36" t="s">
        <v>32</v>
      </c>
      <c r="H3562" s="36" t="s">
        <v>1655</v>
      </c>
      <c r="I3562" s="36" t="s">
        <v>1656</v>
      </c>
      <c r="J3562" s="36" t="s">
        <v>1656</v>
      </c>
      <c r="K3562" s="36" t="s">
        <v>1664</v>
      </c>
      <c r="L3562" s="36" t="s">
        <v>6583</v>
      </c>
      <c r="M3562" s="36" t="s">
        <v>6583</v>
      </c>
      <c r="N3562" s="36" t="s">
        <v>32</v>
      </c>
    </row>
    <row r="3563">
      <c r="A3563" s="36" t="s">
        <v>7731</v>
      </c>
      <c r="B3563" s="154" t="s">
        <v>7725</v>
      </c>
      <c r="C3563" s="36" t="s">
        <v>1666</v>
      </c>
      <c r="D3563" s="36" t="s">
        <v>434</v>
      </c>
      <c r="E3563" s="36" t="s">
        <v>434</v>
      </c>
      <c r="F3563" s="154" t="s">
        <v>7732</v>
      </c>
      <c r="G3563" s="36" t="s">
        <v>32</v>
      </c>
      <c r="H3563" s="36" t="s">
        <v>1655</v>
      </c>
      <c r="I3563" s="36" t="s">
        <v>1656</v>
      </c>
      <c r="J3563" s="36" t="s">
        <v>1656</v>
      </c>
      <c r="K3563" s="36" t="s">
        <v>3166</v>
      </c>
      <c r="L3563" s="36" t="s">
        <v>6585</v>
      </c>
      <c r="M3563" s="36" t="s">
        <v>6585</v>
      </c>
      <c r="N3563" s="36" t="s">
        <v>32</v>
      </c>
    </row>
    <row r="3564">
      <c r="A3564" s="36" t="s">
        <v>7733</v>
      </c>
      <c r="B3564" s="154" t="s">
        <v>7725</v>
      </c>
      <c r="C3564" s="36" t="s">
        <v>1666</v>
      </c>
      <c r="D3564" s="36" t="s">
        <v>85</v>
      </c>
      <c r="E3564" s="36" t="s">
        <v>85</v>
      </c>
      <c r="F3564" s="154" t="s">
        <v>7406</v>
      </c>
      <c r="G3564" s="36" t="s">
        <v>28</v>
      </c>
      <c r="H3564" s="36" t="s">
        <v>1655</v>
      </c>
      <c r="I3564" s="36" t="s">
        <v>1656</v>
      </c>
      <c r="J3564" s="36" t="s">
        <v>1656</v>
      </c>
      <c r="K3564" s="36" t="s">
        <v>3038</v>
      </c>
      <c r="L3564" s="36" t="s">
        <v>6585</v>
      </c>
      <c r="M3564" s="36" t="s">
        <v>6585</v>
      </c>
      <c r="N3564" s="36" t="s">
        <v>32</v>
      </c>
    </row>
    <row r="3565">
      <c r="A3565" s="36" t="s">
        <v>7734</v>
      </c>
      <c r="B3565" s="154" t="s">
        <v>7725</v>
      </c>
      <c r="C3565" s="36" t="s">
        <v>1666</v>
      </c>
      <c r="D3565" s="36" t="s">
        <v>451</v>
      </c>
      <c r="E3565" s="36" t="s">
        <v>451</v>
      </c>
      <c r="F3565" s="154" t="s">
        <v>7735</v>
      </c>
      <c r="G3565" s="36" t="s">
        <v>28</v>
      </c>
      <c r="H3565" s="36" t="s">
        <v>1655</v>
      </c>
      <c r="I3565" s="36" t="s">
        <v>1656</v>
      </c>
      <c r="J3565" s="36" t="s">
        <v>1656</v>
      </c>
      <c r="K3565" s="36" t="s">
        <v>2775</v>
      </c>
      <c r="L3565" s="36" t="s">
        <v>6585</v>
      </c>
      <c r="M3565" s="36" t="s">
        <v>6585</v>
      </c>
      <c r="N3565" s="36" t="s">
        <v>32</v>
      </c>
    </row>
    <row r="3566">
      <c r="A3566" s="36" t="s">
        <v>7736</v>
      </c>
      <c r="B3566" s="154" t="s">
        <v>7725</v>
      </c>
      <c r="C3566" s="36" t="s">
        <v>1666</v>
      </c>
      <c r="D3566" s="36" t="s">
        <v>93</v>
      </c>
      <c r="E3566" s="36" t="s">
        <v>93</v>
      </c>
      <c r="F3566" s="154" t="s">
        <v>1899</v>
      </c>
      <c r="G3566" s="36" t="s">
        <v>28</v>
      </c>
      <c r="H3566" s="36" t="s">
        <v>1655</v>
      </c>
      <c r="I3566" s="36" t="s">
        <v>1656</v>
      </c>
      <c r="J3566" s="36" t="s">
        <v>1656</v>
      </c>
      <c r="K3566" s="36" t="s">
        <v>1672</v>
      </c>
      <c r="L3566" s="36" t="s">
        <v>6585</v>
      </c>
      <c r="M3566" s="36" t="s">
        <v>6585</v>
      </c>
      <c r="N3566" s="36" t="s">
        <v>32</v>
      </c>
    </row>
    <row r="3567">
      <c r="A3567" s="36" t="s">
        <v>7737</v>
      </c>
      <c r="B3567" s="154" t="s">
        <v>7725</v>
      </c>
      <c r="C3567" s="36" t="s">
        <v>1666</v>
      </c>
      <c r="D3567" s="36" t="s">
        <v>91</v>
      </c>
      <c r="E3567" s="36" t="s">
        <v>91</v>
      </c>
      <c r="F3567" s="154" t="s">
        <v>1768</v>
      </c>
      <c r="G3567" s="36" t="s">
        <v>28</v>
      </c>
      <c r="H3567" s="36" t="s">
        <v>1655</v>
      </c>
      <c r="I3567" s="36" t="s">
        <v>1656</v>
      </c>
      <c r="J3567" s="36" t="s">
        <v>1656</v>
      </c>
      <c r="K3567" s="36" t="s">
        <v>1675</v>
      </c>
      <c r="L3567" s="36" t="s">
        <v>6585</v>
      </c>
      <c r="M3567" s="36" t="s">
        <v>6585</v>
      </c>
      <c r="N3567" s="36" t="s">
        <v>32</v>
      </c>
    </row>
    <row r="3568">
      <c r="A3568" s="36" t="s">
        <v>7738</v>
      </c>
      <c r="B3568" s="154" t="s">
        <v>7725</v>
      </c>
      <c r="C3568" s="36" t="s">
        <v>1666</v>
      </c>
      <c r="D3568" s="36" t="s">
        <v>627</v>
      </c>
      <c r="E3568" s="36" t="s">
        <v>627</v>
      </c>
      <c r="F3568" s="154" t="s">
        <v>2325</v>
      </c>
      <c r="G3568" s="36" t="s">
        <v>28</v>
      </c>
      <c r="H3568" s="36" t="s">
        <v>1655</v>
      </c>
      <c r="I3568" s="36" t="s">
        <v>1656</v>
      </c>
      <c r="J3568" s="36" t="s">
        <v>1656</v>
      </c>
      <c r="K3568" s="36" t="s">
        <v>1814</v>
      </c>
      <c r="L3568" s="36" t="s">
        <v>6585</v>
      </c>
      <c r="M3568" s="36" t="s">
        <v>6585</v>
      </c>
      <c r="N3568" s="36" t="s">
        <v>34</v>
      </c>
    </row>
    <row r="3569">
      <c r="A3569" s="36" t="s">
        <v>7739</v>
      </c>
      <c r="B3569" s="154" t="s">
        <v>7740</v>
      </c>
      <c r="C3569" s="36" t="s">
        <v>1666</v>
      </c>
      <c r="D3569" s="36" t="s">
        <v>78</v>
      </c>
      <c r="E3569" s="36" t="s">
        <v>78</v>
      </c>
      <c r="F3569" s="154" t="s">
        <v>2027</v>
      </c>
      <c r="G3569" s="36" t="s">
        <v>28</v>
      </c>
      <c r="H3569" s="36" t="s">
        <v>1655</v>
      </c>
      <c r="I3569" s="36" t="s">
        <v>1656</v>
      </c>
      <c r="J3569" s="36" t="s">
        <v>1656</v>
      </c>
      <c r="K3569" s="36" t="s">
        <v>4248</v>
      </c>
      <c r="L3569" s="36" t="s">
        <v>6585</v>
      </c>
      <c r="M3569" s="36" t="s">
        <v>6585</v>
      </c>
      <c r="N3569" s="36" t="s">
        <v>32</v>
      </c>
    </row>
    <row r="3570">
      <c r="A3570" s="36" t="s">
        <v>7741</v>
      </c>
      <c r="B3570" s="154" t="s">
        <v>7742</v>
      </c>
      <c r="C3570" s="36" t="s">
        <v>1666</v>
      </c>
      <c r="D3570" s="36" t="s">
        <v>63</v>
      </c>
      <c r="E3570" s="36" t="s">
        <v>63</v>
      </c>
      <c r="F3570" s="154" t="s">
        <v>7743</v>
      </c>
      <c r="G3570" s="36" t="s">
        <v>32</v>
      </c>
      <c r="H3570" s="36" t="s">
        <v>1655</v>
      </c>
      <c r="I3570" s="36" t="s">
        <v>1656</v>
      </c>
      <c r="J3570" s="36" t="s">
        <v>1656</v>
      </c>
      <c r="K3570" s="36" t="s">
        <v>4196</v>
      </c>
      <c r="L3570" s="36" t="s">
        <v>6585</v>
      </c>
      <c r="M3570" s="36" t="s">
        <v>6585</v>
      </c>
      <c r="N3570" s="36" t="s">
        <v>34</v>
      </c>
    </row>
    <row r="3571">
      <c r="A3571" s="36" t="s">
        <v>7744</v>
      </c>
      <c r="B3571" s="154" t="s">
        <v>7742</v>
      </c>
      <c r="C3571" s="36" t="s">
        <v>1666</v>
      </c>
      <c r="D3571" s="36" t="s">
        <v>100</v>
      </c>
      <c r="E3571" s="36" t="s">
        <v>100</v>
      </c>
      <c r="F3571" s="154" t="s">
        <v>1810</v>
      </c>
      <c r="G3571" s="36" t="s">
        <v>32</v>
      </c>
      <c r="H3571" s="36" t="s">
        <v>1655</v>
      </c>
      <c r="I3571" s="36" t="s">
        <v>1656</v>
      </c>
      <c r="J3571" s="36" t="s">
        <v>1656</v>
      </c>
      <c r="K3571" s="36" t="s">
        <v>1678</v>
      </c>
      <c r="L3571" s="36" t="s">
        <v>6585</v>
      </c>
      <c r="M3571" s="36" t="s">
        <v>6585</v>
      </c>
      <c r="N3571" s="36" t="s">
        <v>32</v>
      </c>
    </row>
    <row r="3572">
      <c r="A3572" s="36" t="s">
        <v>7745</v>
      </c>
      <c r="B3572" s="154" t="s">
        <v>7746</v>
      </c>
      <c r="C3572" s="36" t="s">
        <v>1666</v>
      </c>
      <c r="D3572" s="36" t="s">
        <v>64</v>
      </c>
      <c r="E3572" s="36" t="s">
        <v>64</v>
      </c>
      <c r="F3572" s="154" t="s">
        <v>7648</v>
      </c>
      <c r="G3572" s="36" t="s">
        <v>28</v>
      </c>
      <c r="H3572" s="36" t="s">
        <v>1655</v>
      </c>
      <c r="I3572" s="36" t="s">
        <v>1656</v>
      </c>
      <c r="J3572" s="36" t="s">
        <v>1656</v>
      </c>
      <c r="K3572" s="36" t="s">
        <v>1708</v>
      </c>
      <c r="L3572" s="36" t="s">
        <v>6585</v>
      </c>
      <c r="M3572" s="36" t="s">
        <v>6585</v>
      </c>
      <c r="N3572" s="36" t="s">
        <v>32</v>
      </c>
    </row>
    <row r="3573">
      <c r="A3573" s="36" t="s">
        <v>7747</v>
      </c>
      <c r="B3573" s="154" t="s">
        <v>7748</v>
      </c>
      <c r="C3573" s="36" t="s">
        <v>1666</v>
      </c>
      <c r="D3573" s="36" t="s">
        <v>633</v>
      </c>
      <c r="E3573" s="36" t="s">
        <v>633</v>
      </c>
      <c r="F3573" s="154" t="s">
        <v>2156</v>
      </c>
      <c r="G3573" s="36" t="s">
        <v>28</v>
      </c>
      <c r="H3573" s="36" t="s">
        <v>1655</v>
      </c>
      <c r="I3573" s="36" t="s">
        <v>1656</v>
      </c>
      <c r="J3573" s="36" t="s">
        <v>1656</v>
      </c>
      <c r="K3573" s="36" t="s">
        <v>1817</v>
      </c>
      <c r="L3573" s="36" t="s">
        <v>6585</v>
      </c>
      <c r="M3573" s="36" t="s">
        <v>6585</v>
      </c>
      <c r="N3573" s="36" t="s">
        <v>34</v>
      </c>
    </row>
    <row r="3574">
      <c r="A3574" s="36" t="s">
        <v>7749</v>
      </c>
      <c r="B3574" s="154" t="s">
        <v>7750</v>
      </c>
      <c r="C3574" s="36" t="s">
        <v>1666</v>
      </c>
      <c r="D3574" s="36" t="s">
        <v>92</v>
      </c>
      <c r="E3574" s="36" t="s">
        <v>92</v>
      </c>
      <c r="F3574" s="154" t="s">
        <v>2085</v>
      </c>
      <c r="G3574" s="36" t="s">
        <v>32</v>
      </c>
      <c r="H3574" s="36" t="s">
        <v>1655</v>
      </c>
      <c r="I3574" s="36" t="s">
        <v>1656</v>
      </c>
      <c r="J3574" s="36" t="s">
        <v>1656</v>
      </c>
      <c r="K3574" s="36" t="s">
        <v>1681</v>
      </c>
      <c r="L3574" s="36" t="s">
        <v>6585</v>
      </c>
      <c r="M3574" s="36" t="s">
        <v>6585</v>
      </c>
      <c r="N3574" s="36" t="s">
        <v>32</v>
      </c>
    </row>
    <row r="3575">
      <c r="A3575" s="36" t="s">
        <v>7751</v>
      </c>
      <c r="B3575" s="154" t="s">
        <v>7750</v>
      </c>
      <c r="C3575" s="36" t="s">
        <v>1666</v>
      </c>
      <c r="D3575" s="36" t="s">
        <v>218</v>
      </c>
      <c r="E3575" s="36" t="s">
        <v>218</v>
      </c>
      <c r="F3575" s="154" t="s">
        <v>1686</v>
      </c>
      <c r="G3575" s="36" t="s">
        <v>32</v>
      </c>
      <c r="H3575" s="36" t="s">
        <v>1655</v>
      </c>
      <c r="I3575" s="36" t="s">
        <v>1656</v>
      </c>
      <c r="J3575" s="36" t="s">
        <v>1656</v>
      </c>
      <c r="K3575" s="36" t="s">
        <v>1684</v>
      </c>
      <c r="L3575" s="36" t="s">
        <v>6585</v>
      </c>
      <c r="M3575" s="36" t="s">
        <v>6585</v>
      </c>
      <c r="N3575" s="36" t="s">
        <v>32</v>
      </c>
    </row>
    <row r="3576">
      <c r="A3576" s="36" t="s">
        <v>7752</v>
      </c>
      <c r="B3576" s="154" t="s">
        <v>7750</v>
      </c>
      <c r="C3576" s="36" t="s">
        <v>1666</v>
      </c>
      <c r="D3576" s="36" t="s">
        <v>92</v>
      </c>
      <c r="E3576" s="36" t="s">
        <v>92</v>
      </c>
      <c r="F3576" s="154" t="s">
        <v>1806</v>
      </c>
      <c r="G3576" s="36" t="s">
        <v>32</v>
      </c>
      <c r="H3576" s="36" t="s">
        <v>1655</v>
      </c>
      <c r="I3576" s="36" t="s">
        <v>1656</v>
      </c>
      <c r="J3576" s="36" t="s">
        <v>1656</v>
      </c>
      <c r="K3576" s="36" t="s">
        <v>1691</v>
      </c>
      <c r="L3576" s="36" t="s">
        <v>6585</v>
      </c>
      <c r="M3576" s="36" t="s">
        <v>6585</v>
      </c>
      <c r="N3576" s="36" t="s">
        <v>32</v>
      </c>
    </row>
    <row r="3577">
      <c r="A3577" s="36" t="s">
        <v>7753</v>
      </c>
      <c r="B3577" s="154" t="s">
        <v>7754</v>
      </c>
      <c r="C3577" s="36" t="s">
        <v>1666</v>
      </c>
      <c r="D3577" s="36" t="s">
        <v>485</v>
      </c>
      <c r="E3577" s="36" t="s">
        <v>485</v>
      </c>
      <c r="F3577" s="154" t="s">
        <v>2163</v>
      </c>
      <c r="G3577" s="36" t="s">
        <v>32</v>
      </c>
      <c r="H3577" s="36" t="s">
        <v>1655</v>
      </c>
      <c r="I3577" s="36" t="s">
        <v>1656</v>
      </c>
      <c r="J3577" s="36" t="s">
        <v>1656</v>
      </c>
      <c r="K3577" s="36" t="s">
        <v>1695</v>
      </c>
      <c r="L3577" s="36" t="s">
        <v>6585</v>
      </c>
      <c r="M3577" s="36" t="s">
        <v>6585</v>
      </c>
      <c r="N3577" s="36" t="s">
        <v>32</v>
      </c>
    </row>
    <row r="3578">
      <c r="A3578" s="36" t="s">
        <v>7755</v>
      </c>
      <c r="B3578" s="154" t="s">
        <v>7754</v>
      </c>
      <c r="C3578" s="36" t="s">
        <v>1666</v>
      </c>
      <c r="D3578" s="36" t="s">
        <v>576</v>
      </c>
      <c r="E3578" s="36" t="s">
        <v>576</v>
      </c>
      <c r="F3578" s="154" t="s">
        <v>2432</v>
      </c>
      <c r="G3578" s="36" t="s">
        <v>28</v>
      </c>
      <c r="H3578" s="36" t="s">
        <v>1655</v>
      </c>
      <c r="I3578" s="36" t="s">
        <v>1656</v>
      </c>
      <c r="J3578" s="36" t="s">
        <v>1656</v>
      </c>
      <c r="K3578" s="36" t="s">
        <v>1820</v>
      </c>
      <c r="L3578" s="36" t="s">
        <v>6585</v>
      </c>
      <c r="M3578" s="36" t="s">
        <v>6585</v>
      </c>
      <c r="N3578" s="36" t="s">
        <v>34</v>
      </c>
    </row>
    <row r="3579">
      <c r="A3579" s="36" t="s">
        <v>7756</v>
      </c>
      <c r="B3579" s="154" t="s">
        <v>7757</v>
      </c>
      <c r="C3579" s="36" t="s">
        <v>1653</v>
      </c>
      <c r="D3579" s="36" t="s">
        <v>55</v>
      </c>
      <c r="E3579" s="36" t="s">
        <v>39</v>
      </c>
      <c r="F3579" s="154" t="s">
        <v>7758</v>
      </c>
      <c r="G3579" s="36" t="s">
        <v>32</v>
      </c>
      <c r="H3579" s="36" t="s">
        <v>1655</v>
      </c>
      <c r="I3579" s="36" t="s">
        <v>1656</v>
      </c>
      <c r="J3579" s="36" t="s">
        <v>1656</v>
      </c>
      <c r="K3579" s="36" t="s">
        <v>1989</v>
      </c>
      <c r="L3579" s="36" t="s">
        <v>6583</v>
      </c>
      <c r="M3579" s="36" t="s">
        <v>6583</v>
      </c>
      <c r="N3579" s="36" t="s">
        <v>32</v>
      </c>
    </row>
    <row r="3580">
      <c r="A3580" s="36" t="s">
        <v>7759</v>
      </c>
      <c r="B3580" s="154" t="s">
        <v>7757</v>
      </c>
      <c r="C3580" s="36" t="s">
        <v>1653</v>
      </c>
      <c r="D3580" s="36" t="s">
        <v>421</v>
      </c>
      <c r="E3580" s="36" t="s">
        <v>39</v>
      </c>
      <c r="F3580" s="154" t="s">
        <v>7760</v>
      </c>
      <c r="G3580" s="36" t="s">
        <v>32</v>
      </c>
      <c r="H3580" s="36" t="s">
        <v>1655</v>
      </c>
      <c r="I3580" s="36" t="s">
        <v>1656</v>
      </c>
      <c r="J3580" s="36" t="s">
        <v>1656</v>
      </c>
      <c r="K3580" s="36" t="s">
        <v>1978</v>
      </c>
      <c r="L3580" s="36" t="s">
        <v>6583</v>
      </c>
      <c r="M3580" s="36" t="s">
        <v>6583</v>
      </c>
      <c r="N3580" s="36" t="s">
        <v>32</v>
      </c>
    </row>
    <row r="3581">
      <c r="A3581" s="36" t="s">
        <v>7761</v>
      </c>
      <c r="B3581" s="154" t="s">
        <v>7757</v>
      </c>
      <c r="C3581" s="36" t="s">
        <v>1666</v>
      </c>
      <c r="D3581" s="36" t="s">
        <v>76</v>
      </c>
      <c r="E3581" s="36" t="s">
        <v>76</v>
      </c>
      <c r="F3581" s="154" t="s">
        <v>7762</v>
      </c>
      <c r="G3581" s="36" t="s">
        <v>28</v>
      </c>
      <c r="H3581" s="36" t="s">
        <v>1655</v>
      </c>
      <c r="I3581" s="36" t="s">
        <v>1656</v>
      </c>
      <c r="J3581" s="36" t="s">
        <v>1656</v>
      </c>
      <c r="K3581" s="36" t="s">
        <v>1763</v>
      </c>
      <c r="L3581" s="36" t="s">
        <v>6585</v>
      </c>
      <c r="M3581" s="36" t="s">
        <v>6585</v>
      </c>
      <c r="N3581" s="36" t="s">
        <v>32</v>
      </c>
    </row>
    <row r="3582">
      <c r="A3582" s="36" t="s">
        <v>7763</v>
      </c>
      <c r="B3582" s="154" t="s">
        <v>7764</v>
      </c>
      <c r="C3582" s="36" t="s">
        <v>1666</v>
      </c>
      <c r="D3582" s="36" t="s">
        <v>493</v>
      </c>
      <c r="E3582" s="36" t="s">
        <v>493</v>
      </c>
      <c r="F3582" s="154" t="s">
        <v>1859</v>
      </c>
      <c r="G3582" s="36" t="s">
        <v>32</v>
      </c>
      <c r="H3582" s="36" t="s">
        <v>1655</v>
      </c>
      <c r="I3582" s="36" t="s">
        <v>1656</v>
      </c>
      <c r="J3582" s="36" t="s">
        <v>1656</v>
      </c>
      <c r="K3582" s="36" t="s">
        <v>1698</v>
      </c>
      <c r="L3582" s="36" t="s">
        <v>6585</v>
      </c>
      <c r="M3582" s="36" t="s">
        <v>6585</v>
      </c>
      <c r="N3582" s="36" t="s">
        <v>32</v>
      </c>
    </row>
    <row r="3583">
      <c r="A3583" s="36" t="s">
        <v>7765</v>
      </c>
      <c r="B3583" s="154" t="s">
        <v>7764</v>
      </c>
      <c r="C3583" s="36" t="s">
        <v>1666</v>
      </c>
      <c r="D3583" s="36" t="s">
        <v>101</v>
      </c>
      <c r="E3583" s="36" t="s">
        <v>101</v>
      </c>
      <c r="F3583" s="154" t="s">
        <v>7766</v>
      </c>
      <c r="G3583" s="36" t="s">
        <v>28</v>
      </c>
      <c r="H3583" s="36" t="s">
        <v>1655</v>
      </c>
      <c r="I3583" s="36" t="s">
        <v>1656</v>
      </c>
      <c r="J3583" s="36" t="s">
        <v>1656</v>
      </c>
      <c r="K3583" s="36" t="s">
        <v>1701</v>
      </c>
      <c r="L3583" s="36" t="s">
        <v>6585</v>
      </c>
      <c r="M3583" s="36" t="s">
        <v>6585</v>
      </c>
      <c r="N3583" s="36" t="s">
        <v>32</v>
      </c>
    </row>
    <row r="3584">
      <c r="A3584" s="36" t="s">
        <v>7767</v>
      </c>
      <c r="B3584" s="154" t="s">
        <v>7764</v>
      </c>
      <c r="C3584" s="36" t="s">
        <v>1666</v>
      </c>
      <c r="D3584" s="36" t="s">
        <v>90</v>
      </c>
      <c r="E3584" s="36" t="s">
        <v>90</v>
      </c>
      <c r="F3584" s="154" t="s">
        <v>1686</v>
      </c>
      <c r="G3584" s="36" t="s">
        <v>28</v>
      </c>
      <c r="H3584" s="36" t="s">
        <v>1655</v>
      </c>
      <c r="I3584" s="36" t="s">
        <v>1656</v>
      </c>
      <c r="J3584" s="36" t="s">
        <v>1656</v>
      </c>
      <c r="K3584" s="36" t="s">
        <v>1704</v>
      </c>
      <c r="L3584" s="36" t="s">
        <v>6585</v>
      </c>
      <c r="M3584" s="36" t="s">
        <v>6585</v>
      </c>
      <c r="N3584" s="36" t="s">
        <v>32</v>
      </c>
    </row>
    <row r="3585">
      <c r="A3585" s="36" t="s">
        <v>7768</v>
      </c>
      <c r="B3585" s="154" t="s">
        <v>7764</v>
      </c>
      <c r="C3585" s="36" t="s">
        <v>1666</v>
      </c>
      <c r="D3585" s="36" t="s">
        <v>92</v>
      </c>
      <c r="E3585" s="36" t="s">
        <v>92</v>
      </c>
      <c r="F3585" s="154" t="s">
        <v>2325</v>
      </c>
      <c r="G3585" s="36" t="s">
        <v>28</v>
      </c>
      <c r="H3585" s="36" t="s">
        <v>1655</v>
      </c>
      <c r="I3585" s="36" t="s">
        <v>1656</v>
      </c>
      <c r="J3585" s="36" t="s">
        <v>1656</v>
      </c>
      <c r="K3585" s="36" t="s">
        <v>1711</v>
      </c>
      <c r="L3585" s="36" t="s">
        <v>6585</v>
      </c>
      <c r="M3585" s="36" t="s">
        <v>6585</v>
      </c>
      <c r="N3585" s="36" t="s">
        <v>32</v>
      </c>
    </row>
    <row r="3586">
      <c r="A3586" s="36" t="s">
        <v>7769</v>
      </c>
      <c r="B3586" s="154" t="s">
        <v>7764</v>
      </c>
      <c r="C3586" s="36" t="s">
        <v>1666</v>
      </c>
      <c r="D3586" s="36" t="s">
        <v>115</v>
      </c>
      <c r="E3586" s="36" t="s">
        <v>115</v>
      </c>
      <c r="F3586" s="154" t="s">
        <v>1683</v>
      </c>
      <c r="G3586" s="36" t="s">
        <v>32</v>
      </c>
      <c r="H3586" s="36" t="s">
        <v>1655</v>
      </c>
      <c r="I3586" s="36" t="s">
        <v>1656</v>
      </c>
      <c r="J3586" s="36" t="s">
        <v>1656</v>
      </c>
      <c r="K3586" s="36" t="s">
        <v>1715</v>
      </c>
      <c r="L3586" s="36" t="s">
        <v>6585</v>
      </c>
      <c r="M3586" s="36" t="s">
        <v>6585</v>
      </c>
      <c r="N3586" s="36" t="s">
        <v>32</v>
      </c>
    </row>
    <row r="3587">
      <c r="A3587" s="36" t="s">
        <v>7770</v>
      </c>
      <c r="B3587" s="154" t="s">
        <v>7764</v>
      </c>
      <c r="C3587" s="36" t="s">
        <v>1666</v>
      </c>
      <c r="D3587" s="36" t="s">
        <v>114</v>
      </c>
      <c r="E3587" s="36" t="s">
        <v>114</v>
      </c>
      <c r="F3587" s="154" t="s">
        <v>7771</v>
      </c>
      <c r="G3587" s="36" t="s">
        <v>32</v>
      </c>
      <c r="H3587" s="36" t="s">
        <v>1655</v>
      </c>
      <c r="I3587" s="36" t="s">
        <v>1656</v>
      </c>
      <c r="J3587" s="36" t="s">
        <v>1656</v>
      </c>
      <c r="K3587" s="36" t="s">
        <v>1717</v>
      </c>
      <c r="L3587" s="36" t="s">
        <v>6585</v>
      </c>
      <c r="M3587" s="36" t="s">
        <v>6585</v>
      </c>
      <c r="N3587" s="36" t="s">
        <v>32</v>
      </c>
    </row>
    <row r="3588">
      <c r="A3588" s="36" t="s">
        <v>7772</v>
      </c>
      <c r="B3588" s="154" t="s">
        <v>7764</v>
      </c>
      <c r="C3588" s="36" t="s">
        <v>1666</v>
      </c>
      <c r="D3588" s="36" t="s">
        <v>641</v>
      </c>
      <c r="E3588" s="36" t="s">
        <v>641</v>
      </c>
      <c r="F3588" s="154" t="s">
        <v>2911</v>
      </c>
      <c r="G3588" s="36" t="s">
        <v>28</v>
      </c>
      <c r="H3588" s="36" t="s">
        <v>1655</v>
      </c>
      <c r="I3588" s="36" t="s">
        <v>1656</v>
      </c>
      <c r="J3588" s="36" t="s">
        <v>1656</v>
      </c>
      <c r="K3588" s="36" t="s">
        <v>1823</v>
      </c>
      <c r="L3588" s="36" t="s">
        <v>6585</v>
      </c>
      <c r="M3588" s="36" t="s">
        <v>6585</v>
      </c>
      <c r="N3588" s="36" t="s">
        <v>34</v>
      </c>
    </row>
    <row r="3589">
      <c r="A3589" s="36" t="s">
        <v>7773</v>
      </c>
      <c r="B3589" s="154" t="s">
        <v>7774</v>
      </c>
      <c r="C3589" s="36" t="s">
        <v>1666</v>
      </c>
      <c r="D3589" s="36" t="s">
        <v>520</v>
      </c>
      <c r="E3589" s="36" t="s">
        <v>520</v>
      </c>
      <c r="F3589" s="154" t="s">
        <v>2029</v>
      </c>
      <c r="G3589" s="36" t="s">
        <v>28</v>
      </c>
      <c r="H3589" s="36" t="s">
        <v>1655</v>
      </c>
      <c r="I3589" s="36" t="s">
        <v>1656</v>
      </c>
      <c r="J3589" s="36" t="s">
        <v>1656</v>
      </c>
      <c r="K3589" s="36" t="s">
        <v>1724</v>
      </c>
      <c r="L3589" s="36" t="s">
        <v>6585</v>
      </c>
      <c r="M3589" s="36" t="s">
        <v>6585</v>
      </c>
      <c r="N3589" s="36" t="s">
        <v>32</v>
      </c>
    </row>
    <row r="3590">
      <c r="A3590" s="36" t="s">
        <v>7775</v>
      </c>
      <c r="B3590" s="154" t="s">
        <v>7776</v>
      </c>
      <c r="C3590" s="36" t="s">
        <v>1666</v>
      </c>
      <c r="D3590" s="36" t="s">
        <v>526</v>
      </c>
      <c r="E3590" s="36" t="s">
        <v>526</v>
      </c>
      <c r="F3590" s="154" t="s">
        <v>1810</v>
      </c>
      <c r="G3590" s="36" t="s">
        <v>32</v>
      </c>
      <c r="H3590" s="36" t="s">
        <v>1655</v>
      </c>
      <c r="I3590" s="36" t="s">
        <v>1656</v>
      </c>
      <c r="J3590" s="36" t="s">
        <v>1656</v>
      </c>
      <c r="K3590" s="36" t="s">
        <v>1727</v>
      </c>
      <c r="L3590" s="36" t="s">
        <v>6585</v>
      </c>
      <c r="M3590" s="36" t="s">
        <v>6585</v>
      </c>
      <c r="N3590" s="36" t="s">
        <v>32</v>
      </c>
    </row>
    <row r="3591">
      <c r="A3591" s="36" t="s">
        <v>7777</v>
      </c>
      <c r="B3591" s="154" t="s">
        <v>7778</v>
      </c>
      <c r="C3591" s="36" t="s">
        <v>1666</v>
      </c>
      <c r="D3591" s="36" t="s">
        <v>239</v>
      </c>
      <c r="E3591" s="36" t="s">
        <v>239</v>
      </c>
      <c r="F3591" s="154" t="s">
        <v>1871</v>
      </c>
      <c r="G3591" s="36" t="s">
        <v>28</v>
      </c>
      <c r="H3591" s="36" t="s">
        <v>1655</v>
      </c>
      <c r="I3591" s="36" t="s">
        <v>1656</v>
      </c>
      <c r="J3591" s="36" t="s">
        <v>1656</v>
      </c>
      <c r="K3591" s="36" t="s">
        <v>1826</v>
      </c>
      <c r="L3591" s="36" t="s">
        <v>6585</v>
      </c>
      <c r="M3591" s="36" t="s">
        <v>6585</v>
      </c>
      <c r="N3591" s="36" t="s">
        <v>34</v>
      </c>
    </row>
    <row r="3592">
      <c r="A3592" s="36" t="s">
        <v>7779</v>
      </c>
      <c r="B3592" s="154" t="s">
        <v>7780</v>
      </c>
      <c r="C3592" s="36" t="s">
        <v>1666</v>
      </c>
      <c r="D3592" s="36" t="s">
        <v>235</v>
      </c>
      <c r="E3592" s="36" t="s">
        <v>235</v>
      </c>
      <c r="F3592" s="154" t="s">
        <v>2156</v>
      </c>
      <c r="G3592" s="36" t="s">
        <v>28</v>
      </c>
      <c r="H3592" s="36" t="s">
        <v>1655</v>
      </c>
      <c r="I3592" s="36" t="s">
        <v>1656</v>
      </c>
      <c r="J3592" s="36" t="s">
        <v>1656</v>
      </c>
      <c r="K3592" s="36" t="s">
        <v>1730</v>
      </c>
      <c r="L3592" s="36" t="s">
        <v>6585</v>
      </c>
      <c r="M3592" s="36" t="s">
        <v>6585</v>
      </c>
      <c r="N3592" s="36" t="s">
        <v>32</v>
      </c>
    </row>
    <row r="3593">
      <c r="A3593" s="36" t="s">
        <v>7781</v>
      </c>
      <c r="B3593" s="154" t="s">
        <v>7780</v>
      </c>
      <c r="C3593" s="36" t="s">
        <v>1666</v>
      </c>
      <c r="D3593" s="36" t="s">
        <v>537</v>
      </c>
      <c r="E3593" s="36" t="s">
        <v>537</v>
      </c>
      <c r="F3593" s="154" t="s">
        <v>2027</v>
      </c>
      <c r="G3593" s="36" t="s">
        <v>32</v>
      </c>
      <c r="H3593" s="36" t="s">
        <v>1655</v>
      </c>
      <c r="I3593" s="36" t="s">
        <v>1656</v>
      </c>
      <c r="J3593" s="36" t="s">
        <v>1656</v>
      </c>
      <c r="K3593" s="36" t="s">
        <v>1732</v>
      </c>
      <c r="L3593" s="36" t="s">
        <v>6585</v>
      </c>
      <c r="M3593" s="36" t="s">
        <v>6585</v>
      </c>
      <c r="N3593" s="36" t="s">
        <v>32</v>
      </c>
    </row>
    <row r="3594">
      <c r="A3594" s="36" t="s">
        <v>7782</v>
      </c>
      <c r="B3594" s="154" t="s">
        <v>7780</v>
      </c>
      <c r="C3594" s="36" t="s">
        <v>1666</v>
      </c>
      <c r="D3594" s="36" t="s">
        <v>100</v>
      </c>
      <c r="E3594" s="36" t="s">
        <v>100</v>
      </c>
      <c r="F3594" s="154" t="s">
        <v>1810</v>
      </c>
      <c r="G3594" s="36" t="s">
        <v>32</v>
      </c>
      <c r="H3594" s="36" t="s">
        <v>1655</v>
      </c>
      <c r="I3594" s="36" t="s">
        <v>1656</v>
      </c>
      <c r="J3594" s="36" t="s">
        <v>1656</v>
      </c>
      <c r="K3594" s="36" t="s">
        <v>1736</v>
      </c>
      <c r="L3594" s="36" t="s">
        <v>6585</v>
      </c>
      <c r="M3594" s="36" t="s">
        <v>6585</v>
      </c>
      <c r="N3594" s="36" t="s">
        <v>32</v>
      </c>
    </row>
    <row r="3595">
      <c r="A3595" s="36" t="s">
        <v>7783</v>
      </c>
      <c r="B3595" s="154" t="s">
        <v>7780</v>
      </c>
      <c r="C3595" s="36" t="s">
        <v>1666</v>
      </c>
      <c r="D3595" s="36" t="s">
        <v>124</v>
      </c>
      <c r="E3595" s="36" t="s">
        <v>124</v>
      </c>
      <c r="F3595" s="154" t="s">
        <v>7784</v>
      </c>
      <c r="G3595" s="36" t="s">
        <v>32</v>
      </c>
      <c r="H3595" s="36" t="s">
        <v>1655</v>
      </c>
      <c r="I3595" s="36" t="s">
        <v>1656</v>
      </c>
      <c r="J3595" s="36" t="s">
        <v>1656</v>
      </c>
      <c r="K3595" s="36" t="s">
        <v>1739</v>
      </c>
      <c r="L3595" s="36" t="s">
        <v>6585</v>
      </c>
      <c r="M3595" s="36" t="s">
        <v>6585</v>
      </c>
      <c r="N3595" s="36" t="s">
        <v>32</v>
      </c>
    </row>
    <row r="3596">
      <c r="A3596" s="36" t="s">
        <v>7785</v>
      </c>
      <c r="B3596" s="154" t="s">
        <v>7780</v>
      </c>
      <c r="C3596" s="36" t="s">
        <v>1666</v>
      </c>
      <c r="D3596" s="36" t="s">
        <v>550</v>
      </c>
      <c r="E3596" s="36" t="s">
        <v>550</v>
      </c>
      <c r="F3596" s="154" t="s">
        <v>7786</v>
      </c>
      <c r="G3596" s="36" t="s">
        <v>32</v>
      </c>
      <c r="H3596" s="36" t="s">
        <v>1655</v>
      </c>
      <c r="I3596" s="36" t="s">
        <v>1656</v>
      </c>
      <c r="J3596" s="36" t="s">
        <v>1656</v>
      </c>
      <c r="K3596" s="36" t="s">
        <v>1742</v>
      </c>
      <c r="L3596" s="36" t="s">
        <v>6585</v>
      </c>
      <c r="M3596" s="36" t="s">
        <v>6585</v>
      </c>
      <c r="N3596" s="36" t="s">
        <v>32</v>
      </c>
    </row>
    <row r="3597">
      <c r="A3597" s="36" t="s">
        <v>7787</v>
      </c>
      <c r="B3597" s="154" t="s">
        <v>7780</v>
      </c>
      <c r="C3597" s="36" t="s">
        <v>1666</v>
      </c>
      <c r="D3597" s="36" t="s">
        <v>557</v>
      </c>
      <c r="E3597" s="36" t="s">
        <v>557</v>
      </c>
      <c r="F3597" s="154" t="s">
        <v>3064</v>
      </c>
      <c r="G3597" s="36" t="s">
        <v>28</v>
      </c>
      <c r="H3597" s="36" t="s">
        <v>1655</v>
      </c>
      <c r="I3597" s="36" t="s">
        <v>1656</v>
      </c>
      <c r="J3597" s="36" t="s">
        <v>1656</v>
      </c>
      <c r="K3597" s="36" t="s">
        <v>1745</v>
      </c>
      <c r="L3597" s="36" t="s">
        <v>6585</v>
      </c>
      <c r="M3597" s="36" t="s">
        <v>6585</v>
      </c>
      <c r="N3597" s="36" t="s">
        <v>32</v>
      </c>
    </row>
    <row r="3598">
      <c r="A3598" s="36" t="s">
        <v>7788</v>
      </c>
      <c r="B3598" s="154" t="s">
        <v>7780</v>
      </c>
      <c r="C3598" s="36" t="s">
        <v>1666</v>
      </c>
      <c r="D3598" s="36" t="s">
        <v>563</v>
      </c>
      <c r="E3598" s="36" t="s">
        <v>563</v>
      </c>
      <c r="F3598" s="154" t="s">
        <v>2029</v>
      </c>
      <c r="G3598" s="36" t="s">
        <v>32</v>
      </c>
      <c r="H3598" s="36" t="s">
        <v>1655</v>
      </c>
      <c r="I3598" s="36" t="s">
        <v>1656</v>
      </c>
      <c r="J3598" s="36" t="s">
        <v>1656</v>
      </c>
      <c r="K3598" s="36" t="s">
        <v>1773</v>
      </c>
      <c r="L3598" s="36" t="s">
        <v>6585</v>
      </c>
      <c r="M3598" s="36" t="s">
        <v>6585</v>
      </c>
      <c r="N3598" s="36" t="s">
        <v>32</v>
      </c>
    </row>
    <row r="3599">
      <c r="A3599" s="36" t="s">
        <v>7789</v>
      </c>
      <c r="B3599" s="154" t="s">
        <v>7790</v>
      </c>
      <c r="C3599" s="36" t="s">
        <v>1666</v>
      </c>
      <c r="D3599" s="36" t="s">
        <v>570</v>
      </c>
      <c r="E3599" s="36" t="s">
        <v>570</v>
      </c>
      <c r="F3599" s="154" t="s">
        <v>7791</v>
      </c>
      <c r="G3599" s="36" t="s">
        <v>32</v>
      </c>
      <c r="H3599" s="36" t="s">
        <v>1655</v>
      </c>
      <c r="I3599" s="36" t="s">
        <v>1656</v>
      </c>
      <c r="J3599" s="36" t="s">
        <v>1656</v>
      </c>
      <c r="K3599" s="36" t="s">
        <v>1776</v>
      </c>
      <c r="L3599" s="36" t="s">
        <v>6585</v>
      </c>
      <c r="M3599" s="36" t="s">
        <v>6585</v>
      </c>
      <c r="N3599" s="36" t="s">
        <v>32</v>
      </c>
    </row>
    <row r="3600">
      <c r="A3600" s="36" t="s">
        <v>7792</v>
      </c>
      <c r="B3600" s="154" t="s">
        <v>7790</v>
      </c>
      <c r="C3600" s="36" t="s">
        <v>1666</v>
      </c>
      <c r="D3600" s="36" t="s">
        <v>573</v>
      </c>
      <c r="E3600" s="36" t="s">
        <v>573</v>
      </c>
      <c r="F3600" s="154" t="s">
        <v>2025</v>
      </c>
      <c r="G3600" s="36" t="s">
        <v>32</v>
      </c>
      <c r="H3600" s="36" t="s">
        <v>1655</v>
      </c>
      <c r="I3600" s="36" t="s">
        <v>1656</v>
      </c>
      <c r="J3600" s="36" t="s">
        <v>1656</v>
      </c>
      <c r="K3600" s="36" t="s">
        <v>1779</v>
      </c>
      <c r="L3600" s="36" t="s">
        <v>6585</v>
      </c>
      <c r="M3600" s="36" t="s">
        <v>6585</v>
      </c>
      <c r="N3600" s="36" t="s">
        <v>32</v>
      </c>
    </row>
    <row r="3601">
      <c r="A3601" s="36" t="s">
        <v>7793</v>
      </c>
      <c r="B3601" s="154" t="s">
        <v>7790</v>
      </c>
      <c r="C3601" s="36" t="s">
        <v>1666</v>
      </c>
      <c r="D3601" s="36" t="s">
        <v>210</v>
      </c>
      <c r="E3601" s="36" t="s">
        <v>210</v>
      </c>
      <c r="F3601" s="154" t="s">
        <v>7794</v>
      </c>
      <c r="G3601" s="36" t="s">
        <v>32</v>
      </c>
      <c r="H3601" s="36" t="s">
        <v>1655</v>
      </c>
      <c r="I3601" s="36" t="s">
        <v>1656</v>
      </c>
      <c r="J3601" s="36" t="s">
        <v>1656</v>
      </c>
      <c r="K3601" s="36" t="s">
        <v>1784</v>
      </c>
      <c r="L3601" s="36" t="s">
        <v>6585</v>
      </c>
      <c r="M3601" s="36" t="s">
        <v>6585</v>
      </c>
      <c r="N3601" s="36" t="s">
        <v>32</v>
      </c>
    </row>
    <row r="3602">
      <c r="A3602" s="36" t="s">
        <v>7795</v>
      </c>
      <c r="B3602" s="154" t="s">
        <v>7796</v>
      </c>
      <c r="C3602" s="36" t="s">
        <v>1666</v>
      </c>
      <c r="D3602" s="36" t="s">
        <v>577</v>
      </c>
      <c r="E3602" s="36" t="s">
        <v>577</v>
      </c>
      <c r="F3602" s="154" t="s">
        <v>1799</v>
      </c>
      <c r="G3602" s="36" t="s">
        <v>28</v>
      </c>
      <c r="H3602" s="36" t="s">
        <v>1655</v>
      </c>
      <c r="I3602" s="36" t="s">
        <v>1656</v>
      </c>
      <c r="J3602" s="36" t="s">
        <v>1656</v>
      </c>
      <c r="K3602" s="36" t="s">
        <v>1782</v>
      </c>
      <c r="L3602" s="36" t="s">
        <v>6585</v>
      </c>
      <c r="M3602" s="36" t="s">
        <v>6585</v>
      </c>
      <c r="N3602" s="36" t="s">
        <v>32</v>
      </c>
    </row>
    <row r="3603">
      <c r="A3603" s="36" t="s">
        <v>7797</v>
      </c>
      <c r="B3603" s="154" t="s">
        <v>7796</v>
      </c>
      <c r="C3603" s="36" t="s">
        <v>1666</v>
      </c>
      <c r="D3603" s="36" t="s">
        <v>588</v>
      </c>
      <c r="E3603" s="36" t="s">
        <v>588</v>
      </c>
      <c r="F3603" s="154" t="s">
        <v>4478</v>
      </c>
      <c r="G3603" s="36" t="s">
        <v>32</v>
      </c>
      <c r="H3603" s="36" t="s">
        <v>1655</v>
      </c>
      <c r="I3603" s="36" t="s">
        <v>1656</v>
      </c>
      <c r="J3603" s="36" t="s">
        <v>1656</v>
      </c>
      <c r="K3603" s="36" t="s">
        <v>1787</v>
      </c>
      <c r="L3603" s="36" t="s">
        <v>6585</v>
      </c>
      <c r="M3603" s="36" t="s">
        <v>6585</v>
      </c>
      <c r="N3603" s="36" t="s">
        <v>32</v>
      </c>
    </row>
    <row r="3604">
      <c r="A3604" s="36" t="s">
        <v>7798</v>
      </c>
      <c r="B3604" s="154" t="s">
        <v>7799</v>
      </c>
      <c r="C3604" s="36" t="s">
        <v>1666</v>
      </c>
      <c r="D3604" s="36" t="s">
        <v>235</v>
      </c>
      <c r="E3604" s="36" t="s">
        <v>235</v>
      </c>
      <c r="F3604" s="154" t="s">
        <v>1686</v>
      </c>
      <c r="G3604" s="36" t="s">
        <v>28</v>
      </c>
      <c r="H3604" s="36" t="s">
        <v>1655</v>
      </c>
      <c r="I3604" s="36" t="s">
        <v>1656</v>
      </c>
      <c r="J3604" s="36" t="s">
        <v>1656</v>
      </c>
      <c r="K3604" s="36" t="s">
        <v>1830</v>
      </c>
      <c r="L3604" s="36" t="s">
        <v>6585</v>
      </c>
      <c r="M3604" s="36" t="s">
        <v>6585</v>
      </c>
      <c r="N3604" s="36" t="s">
        <v>34</v>
      </c>
    </row>
    <row r="3605">
      <c r="A3605" s="36" t="s">
        <v>7800</v>
      </c>
      <c r="B3605" s="154" t="s">
        <v>7801</v>
      </c>
      <c r="C3605" s="36" t="s">
        <v>1666</v>
      </c>
      <c r="D3605" s="36" t="s">
        <v>595</v>
      </c>
      <c r="E3605" s="36" t="s">
        <v>595</v>
      </c>
      <c r="F3605" s="154" t="s">
        <v>7802</v>
      </c>
      <c r="G3605" s="36" t="s">
        <v>28</v>
      </c>
      <c r="H3605" s="36" t="s">
        <v>1655</v>
      </c>
      <c r="I3605" s="36" t="s">
        <v>1656</v>
      </c>
      <c r="J3605" s="36" t="s">
        <v>1656</v>
      </c>
      <c r="K3605" s="36" t="s">
        <v>1790</v>
      </c>
      <c r="L3605" s="36" t="s">
        <v>6585</v>
      </c>
      <c r="M3605" s="36" t="s">
        <v>6585</v>
      </c>
      <c r="N3605" s="36" t="s">
        <v>32</v>
      </c>
    </row>
    <row r="3606">
      <c r="A3606" s="36" t="s">
        <v>7803</v>
      </c>
      <c r="B3606" s="154" t="s">
        <v>7801</v>
      </c>
      <c r="C3606" s="36" t="s">
        <v>1666</v>
      </c>
      <c r="D3606" s="36" t="s">
        <v>92</v>
      </c>
      <c r="E3606" s="36" t="s">
        <v>92</v>
      </c>
      <c r="F3606" s="154" t="s">
        <v>1816</v>
      </c>
      <c r="G3606" s="36" t="s">
        <v>32</v>
      </c>
      <c r="H3606" s="36" t="s">
        <v>1655</v>
      </c>
      <c r="I3606" s="36" t="s">
        <v>1656</v>
      </c>
      <c r="J3606" s="36" t="s">
        <v>1656</v>
      </c>
      <c r="K3606" s="36" t="s">
        <v>1793</v>
      </c>
      <c r="L3606" s="36" t="s">
        <v>6585</v>
      </c>
      <c r="M3606" s="36" t="s">
        <v>6585</v>
      </c>
      <c r="N3606" s="36" t="s">
        <v>32</v>
      </c>
    </row>
    <row r="3607">
      <c r="A3607" s="36" t="s">
        <v>7804</v>
      </c>
      <c r="B3607" s="154" t="s">
        <v>7801</v>
      </c>
      <c r="C3607" s="36" t="s">
        <v>1666</v>
      </c>
      <c r="D3607" s="36" t="s">
        <v>210</v>
      </c>
      <c r="E3607" s="36" t="s">
        <v>210</v>
      </c>
      <c r="F3607" s="154" t="s">
        <v>7805</v>
      </c>
      <c r="G3607" s="36" t="s">
        <v>28</v>
      </c>
      <c r="H3607" s="36" t="s">
        <v>1655</v>
      </c>
      <c r="I3607" s="36" t="s">
        <v>1656</v>
      </c>
      <c r="J3607" s="36" t="s">
        <v>1656</v>
      </c>
      <c r="K3607" s="36" t="s">
        <v>1796</v>
      </c>
      <c r="L3607" s="36" t="s">
        <v>6585</v>
      </c>
      <c r="M3607" s="36" t="s">
        <v>6585</v>
      </c>
      <c r="N3607" s="36" t="s">
        <v>32</v>
      </c>
    </row>
    <row r="3608">
      <c r="A3608" s="36" t="s">
        <v>7806</v>
      </c>
      <c r="B3608" s="154" t="s">
        <v>7807</v>
      </c>
      <c r="C3608" s="36" t="s">
        <v>1666</v>
      </c>
      <c r="D3608" s="36" t="s">
        <v>612</v>
      </c>
      <c r="E3608" s="36" t="s">
        <v>612</v>
      </c>
      <c r="F3608" s="154" t="s">
        <v>2378</v>
      </c>
      <c r="G3608" s="36" t="s">
        <v>32</v>
      </c>
      <c r="H3608" s="36" t="s">
        <v>1655</v>
      </c>
      <c r="I3608" s="36" t="s">
        <v>1656</v>
      </c>
      <c r="J3608" s="36" t="s">
        <v>1656</v>
      </c>
      <c r="K3608" s="36" t="s">
        <v>1800</v>
      </c>
      <c r="L3608" s="36" t="s">
        <v>6585</v>
      </c>
      <c r="M3608" s="36" t="s">
        <v>6585</v>
      </c>
      <c r="N3608" s="36" t="s">
        <v>32</v>
      </c>
    </row>
    <row r="3609">
      <c r="A3609" s="36" t="s">
        <v>7808</v>
      </c>
      <c r="B3609" s="154" t="s">
        <v>7807</v>
      </c>
      <c r="C3609" s="36" t="s">
        <v>1666</v>
      </c>
      <c r="D3609" s="36" t="s">
        <v>620</v>
      </c>
      <c r="E3609" s="36" t="s">
        <v>620</v>
      </c>
      <c r="F3609" s="154" t="s">
        <v>1768</v>
      </c>
      <c r="G3609" s="36" t="s">
        <v>32</v>
      </c>
      <c r="H3609" s="36" t="s">
        <v>1655</v>
      </c>
      <c r="I3609" s="36" t="s">
        <v>1656</v>
      </c>
      <c r="J3609" s="36" t="s">
        <v>1656</v>
      </c>
      <c r="K3609" s="36" t="s">
        <v>1803</v>
      </c>
      <c r="L3609" s="36" t="s">
        <v>6585</v>
      </c>
      <c r="M3609" s="36" t="s">
        <v>6585</v>
      </c>
      <c r="N3609" s="36" t="s">
        <v>32</v>
      </c>
    </row>
    <row r="3610">
      <c r="A3610" s="36" t="s">
        <v>7809</v>
      </c>
      <c r="B3610" s="154" t="s">
        <v>7807</v>
      </c>
      <c r="C3610" s="36" t="s">
        <v>1666</v>
      </c>
      <c r="D3610" s="36" t="s">
        <v>633</v>
      </c>
      <c r="E3610" s="36" t="s">
        <v>633</v>
      </c>
      <c r="F3610" s="154" t="s">
        <v>2156</v>
      </c>
      <c r="G3610" s="36" t="s">
        <v>28</v>
      </c>
      <c r="H3610" s="36" t="s">
        <v>1655</v>
      </c>
      <c r="I3610" s="36" t="s">
        <v>1656</v>
      </c>
      <c r="J3610" s="36" t="s">
        <v>1656</v>
      </c>
      <c r="K3610" s="36" t="s">
        <v>1833</v>
      </c>
      <c r="L3610" s="36" t="s">
        <v>6585</v>
      </c>
      <c r="M3610" s="36" t="s">
        <v>6585</v>
      </c>
      <c r="N3610" s="36" t="s">
        <v>34</v>
      </c>
    </row>
    <row r="3611">
      <c r="A3611" s="36" t="s">
        <v>7810</v>
      </c>
      <c r="B3611" s="154" t="s">
        <v>7811</v>
      </c>
      <c r="C3611" s="36" t="s">
        <v>1666</v>
      </c>
      <c r="D3611" s="36" t="s">
        <v>130</v>
      </c>
      <c r="E3611" s="36" t="s">
        <v>130</v>
      </c>
      <c r="F3611" s="154" t="s">
        <v>1810</v>
      </c>
      <c r="G3611" s="36" t="s">
        <v>32</v>
      </c>
      <c r="H3611" s="36" t="s">
        <v>1655</v>
      </c>
      <c r="I3611" s="36" t="s">
        <v>1656</v>
      </c>
      <c r="J3611" s="36" t="s">
        <v>1656</v>
      </c>
      <c r="K3611" s="36" t="s">
        <v>1807</v>
      </c>
      <c r="L3611" s="36" t="s">
        <v>6585</v>
      </c>
      <c r="M3611" s="36" t="s">
        <v>6585</v>
      </c>
      <c r="N3611" s="36" t="s">
        <v>32</v>
      </c>
    </row>
    <row r="3612">
      <c r="A3612" s="36" t="s">
        <v>7812</v>
      </c>
      <c r="B3612" s="154" t="s">
        <v>7813</v>
      </c>
      <c r="C3612" s="36" t="s">
        <v>1666</v>
      </c>
      <c r="D3612" s="36" t="s">
        <v>79</v>
      </c>
      <c r="E3612" s="36" t="s">
        <v>79</v>
      </c>
      <c r="F3612" s="154" t="s">
        <v>6912</v>
      </c>
      <c r="G3612" s="36" t="s">
        <v>32</v>
      </c>
      <c r="H3612" s="36" t="s">
        <v>1655</v>
      </c>
      <c r="I3612" s="36" t="s">
        <v>1656</v>
      </c>
      <c r="J3612" s="36" t="s">
        <v>1656</v>
      </c>
      <c r="K3612" s="36" t="s">
        <v>1769</v>
      </c>
      <c r="L3612" s="36" t="s">
        <v>6585</v>
      </c>
      <c r="M3612" s="36" t="s">
        <v>6585</v>
      </c>
      <c r="N3612" s="36" t="s">
        <v>32</v>
      </c>
    </row>
    <row r="3613">
      <c r="A3613" s="36" t="s">
        <v>7814</v>
      </c>
      <c r="B3613" s="154" t="s">
        <v>7813</v>
      </c>
      <c r="C3613" s="36" t="s">
        <v>1666</v>
      </c>
      <c r="D3613" s="36" t="s">
        <v>81</v>
      </c>
      <c r="E3613" s="36" t="s">
        <v>81</v>
      </c>
      <c r="F3613" s="154" t="s">
        <v>7815</v>
      </c>
      <c r="G3613" s="36" t="s">
        <v>28</v>
      </c>
      <c r="H3613" s="36" t="s">
        <v>1655</v>
      </c>
      <c r="I3613" s="36" t="s">
        <v>1656</v>
      </c>
      <c r="J3613" s="36" t="s">
        <v>1656</v>
      </c>
      <c r="K3613" s="36" t="s">
        <v>1811</v>
      </c>
      <c r="L3613" s="36" t="s">
        <v>6585</v>
      </c>
      <c r="M3613" s="36" t="s">
        <v>6585</v>
      </c>
      <c r="N3613" s="36" t="s">
        <v>32</v>
      </c>
    </row>
    <row r="3614">
      <c r="A3614" s="36" t="s">
        <v>7816</v>
      </c>
      <c r="B3614" s="154" t="s">
        <v>7813</v>
      </c>
      <c r="C3614" s="36" t="s">
        <v>1666</v>
      </c>
      <c r="D3614" s="36" t="s">
        <v>83</v>
      </c>
      <c r="E3614" s="36" t="s">
        <v>83</v>
      </c>
      <c r="F3614" s="154" t="s">
        <v>7817</v>
      </c>
      <c r="G3614" s="36" t="s">
        <v>28</v>
      </c>
      <c r="H3614" s="36" t="s">
        <v>1655</v>
      </c>
      <c r="I3614" s="36" t="s">
        <v>1656</v>
      </c>
      <c r="J3614" s="36" t="s">
        <v>1656</v>
      </c>
      <c r="K3614" s="36" t="s">
        <v>1891</v>
      </c>
      <c r="L3614" s="36" t="s">
        <v>6585</v>
      </c>
      <c r="M3614" s="36" t="s">
        <v>6585</v>
      </c>
      <c r="N3614" s="36" t="s">
        <v>32</v>
      </c>
    </row>
    <row r="3615">
      <c r="A3615" s="36" t="s">
        <v>7818</v>
      </c>
      <c r="B3615" s="154" t="s">
        <v>7813</v>
      </c>
      <c r="C3615" s="36" t="s">
        <v>1666</v>
      </c>
      <c r="D3615" s="36" t="s">
        <v>356</v>
      </c>
      <c r="E3615" s="36" t="s">
        <v>356</v>
      </c>
      <c r="F3615" s="154" t="s">
        <v>7819</v>
      </c>
      <c r="G3615" s="36" t="s">
        <v>32</v>
      </c>
      <c r="H3615" s="36" t="s">
        <v>1655</v>
      </c>
      <c r="I3615" s="36" t="s">
        <v>1656</v>
      </c>
      <c r="J3615" s="36" t="s">
        <v>1656</v>
      </c>
      <c r="K3615" s="36" t="s">
        <v>1836</v>
      </c>
      <c r="L3615" s="36" t="s">
        <v>6585</v>
      </c>
      <c r="M3615" s="36" t="s">
        <v>6585</v>
      </c>
      <c r="N3615" s="36" t="s">
        <v>32</v>
      </c>
    </row>
    <row r="3616">
      <c r="A3616" s="36" t="s">
        <v>7820</v>
      </c>
      <c r="B3616" s="154" t="s">
        <v>7821</v>
      </c>
      <c r="C3616" s="36" t="s">
        <v>1653</v>
      </c>
      <c r="D3616" s="36" t="s">
        <v>158</v>
      </c>
      <c r="E3616" s="36" t="s">
        <v>39</v>
      </c>
      <c r="F3616" s="154" t="s">
        <v>7822</v>
      </c>
      <c r="G3616" s="36" t="s">
        <v>32</v>
      </c>
      <c r="H3616" s="36" t="s">
        <v>1655</v>
      </c>
      <c r="I3616" s="36" t="s">
        <v>1656</v>
      </c>
      <c r="J3616" s="36" t="s">
        <v>1656</v>
      </c>
      <c r="K3616" s="36" t="s">
        <v>5599</v>
      </c>
      <c r="L3616" s="36" t="s">
        <v>6583</v>
      </c>
      <c r="M3616" s="36" t="s">
        <v>6583</v>
      </c>
      <c r="N3616" s="36" t="s">
        <v>32</v>
      </c>
    </row>
    <row r="3617">
      <c r="A3617" s="36" t="s">
        <v>7823</v>
      </c>
      <c r="B3617" s="154" t="s">
        <v>7821</v>
      </c>
      <c r="C3617" s="36" t="s">
        <v>1653</v>
      </c>
      <c r="D3617" s="36" t="s">
        <v>43</v>
      </c>
      <c r="E3617" s="36" t="s">
        <v>39</v>
      </c>
      <c r="F3617" s="154" t="s">
        <v>7824</v>
      </c>
      <c r="G3617" s="36" t="s">
        <v>32</v>
      </c>
      <c r="H3617" s="36" t="s">
        <v>1655</v>
      </c>
      <c r="I3617" s="36" t="s">
        <v>1656</v>
      </c>
      <c r="J3617" s="36" t="s">
        <v>1656</v>
      </c>
      <c r="K3617" s="36" t="s">
        <v>1661</v>
      </c>
      <c r="L3617" s="36" t="s">
        <v>6583</v>
      </c>
      <c r="M3617" s="36" t="s">
        <v>6583</v>
      </c>
      <c r="N3617" s="36" t="s">
        <v>32</v>
      </c>
    </row>
    <row r="3618">
      <c r="A3618" s="36" t="s">
        <v>7825</v>
      </c>
      <c r="B3618" s="154" t="s">
        <v>7821</v>
      </c>
      <c r="C3618" s="36" t="s">
        <v>1653</v>
      </c>
      <c r="D3618" s="36" t="s">
        <v>430</v>
      </c>
      <c r="E3618" s="36" t="s">
        <v>39</v>
      </c>
      <c r="F3618" s="154" t="s">
        <v>7826</v>
      </c>
      <c r="G3618" s="36" t="s">
        <v>32</v>
      </c>
      <c r="H3618" s="36" t="s">
        <v>1655</v>
      </c>
      <c r="I3618" s="36" t="s">
        <v>1656</v>
      </c>
      <c r="J3618" s="36" t="s">
        <v>1656</v>
      </c>
      <c r="K3618" s="36" t="s">
        <v>1664</v>
      </c>
      <c r="L3618" s="36" t="s">
        <v>6583</v>
      </c>
      <c r="M3618" s="36" t="s">
        <v>6583</v>
      </c>
      <c r="N3618" s="36" t="s">
        <v>32</v>
      </c>
    </row>
    <row r="3619">
      <c r="A3619" s="36" t="s">
        <v>7827</v>
      </c>
      <c r="B3619" s="154" t="s">
        <v>7821</v>
      </c>
      <c r="C3619" s="36" t="s">
        <v>1666</v>
      </c>
      <c r="D3619" s="36" t="s">
        <v>85</v>
      </c>
      <c r="E3619" s="36" t="s">
        <v>85</v>
      </c>
      <c r="F3619" s="154" t="s">
        <v>7406</v>
      </c>
      <c r="G3619" s="36" t="s">
        <v>28</v>
      </c>
      <c r="H3619" s="36" t="s">
        <v>1655</v>
      </c>
      <c r="I3619" s="36" t="s">
        <v>1656</v>
      </c>
      <c r="J3619" s="36" t="s">
        <v>1656</v>
      </c>
      <c r="K3619" s="36" t="s">
        <v>3035</v>
      </c>
      <c r="L3619" s="36" t="s">
        <v>6585</v>
      </c>
      <c r="M3619" s="36" t="s">
        <v>6585</v>
      </c>
      <c r="N3619" s="36" t="s">
        <v>32</v>
      </c>
    </row>
    <row r="3620">
      <c r="A3620" s="36" t="s">
        <v>7828</v>
      </c>
      <c r="B3620" s="154" t="s">
        <v>7821</v>
      </c>
      <c r="C3620" s="36" t="s">
        <v>1666</v>
      </c>
      <c r="D3620" s="36" t="s">
        <v>443</v>
      </c>
      <c r="E3620" s="36" t="s">
        <v>443</v>
      </c>
      <c r="F3620" s="154" t="s">
        <v>7829</v>
      </c>
      <c r="G3620" s="36" t="s">
        <v>28</v>
      </c>
      <c r="H3620" s="36" t="s">
        <v>1655</v>
      </c>
      <c r="I3620" s="36" t="s">
        <v>1656</v>
      </c>
      <c r="J3620" s="36" t="s">
        <v>1656</v>
      </c>
      <c r="K3620" s="36" t="s">
        <v>3038</v>
      </c>
      <c r="L3620" s="36" t="s">
        <v>6585</v>
      </c>
      <c r="M3620" s="36" t="s">
        <v>6585</v>
      </c>
      <c r="N3620" s="36" t="s">
        <v>32</v>
      </c>
    </row>
    <row r="3621">
      <c r="A3621" s="36" t="s">
        <v>7830</v>
      </c>
      <c r="B3621" s="154" t="s">
        <v>7831</v>
      </c>
      <c r="C3621" s="36" t="s">
        <v>1666</v>
      </c>
      <c r="D3621" s="36" t="s">
        <v>116</v>
      </c>
      <c r="E3621" s="36" t="s">
        <v>116</v>
      </c>
      <c r="F3621" s="154" t="s">
        <v>1810</v>
      </c>
      <c r="G3621" s="36" t="s">
        <v>32</v>
      </c>
      <c r="H3621" s="36" t="s">
        <v>1655</v>
      </c>
      <c r="I3621" s="36" t="s">
        <v>1656</v>
      </c>
      <c r="J3621" s="36" t="s">
        <v>1656</v>
      </c>
      <c r="K3621" s="36" t="s">
        <v>1668</v>
      </c>
      <c r="L3621" s="36" t="s">
        <v>6585</v>
      </c>
      <c r="M3621" s="36" t="s">
        <v>6585</v>
      </c>
      <c r="N3621" s="36" t="s">
        <v>32</v>
      </c>
    </row>
    <row r="3622">
      <c r="A3622" s="36" t="s">
        <v>7832</v>
      </c>
      <c r="B3622" s="154" t="s">
        <v>7831</v>
      </c>
      <c r="C3622" s="36" t="s">
        <v>1666</v>
      </c>
      <c r="D3622" s="36" t="s">
        <v>533</v>
      </c>
      <c r="E3622" s="36" t="s">
        <v>533</v>
      </c>
      <c r="F3622" s="154" t="s">
        <v>2217</v>
      </c>
      <c r="G3622" s="36" t="s">
        <v>28</v>
      </c>
      <c r="H3622" s="36" t="s">
        <v>1655</v>
      </c>
      <c r="I3622" s="36" t="s">
        <v>1656</v>
      </c>
      <c r="J3622" s="36" t="s">
        <v>1656</v>
      </c>
      <c r="K3622" s="36" t="s">
        <v>1817</v>
      </c>
      <c r="L3622" s="36" t="s">
        <v>6585</v>
      </c>
      <c r="M3622" s="36" t="s">
        <v>6585</v>
      </c>
      <c r="N3622" s="36" t="s">
        <v>34</v>
      </c>
    </row>
    <row r="3623">
      <c r="A3623" s="36" t="s">
        <v>7833</v>
      </c>
      <c r="B3623" s="154" t="s">
        <v>7834</v>
      </c>
      <c r="C3623" s="36" t="s">
        <v>1653</v>
      </c>
      <c r="D3623" s="36" t="s">
        <v>161</v>
      </c>
      <c r="E3623" s="36" t="s">
        <v>39</v>
      </c>
      <c r="F3623" s="154" t="s">
        <v>6340</v>
      </c>
      <c r="G3623" s="36" t="s">
        <v>32</v>
      </c>
      <c r="H3623" s="36" t="s">
        <v>1655</v>
      </c>
      <c r="I3623" s="36" t="s">
        <v>1656</v>
      </c>
      <c r="J3623" s="36" t="s">
        <v>1656</v>
      </c>
      <c r="K3623" s="36" t="s">
        <v>1749</v>
      </c>
      <c r="L3623" s="36" t="s">
        <v>6583</v>
      </c>
      <c r="M3623" s="36" t="s">
        <v>6583</v>
      </c>
      <c r="N3623" s="36" t="s">
        <v>32</v>
      </c>
    </row>
    <row r="3624">
      <c r="A3624" s="36" t="s">
        <v>7835</v>
      </c>
      <c r="B3624" s="154" t="s">
        <v>7834</v>
      </c>
      <c r="C3624" s="36" t="s">
        <v>1666</v>
      </c>
      <c r="D3624" s="36" t="s">
        <v>78</v>
      </c>
      <c r="E3624" s="36" t="s">
        <v>78</v>
      </c>
      <c r="F3624" s="154" t="s">
        <v>2027</v>
      </c>
      <c r="G3624" s="36" t="s">
        <v>28</v>
      </c>
      <c r="H3624" s="36" t="s">
        <v>1655</v>
      </c>
      <c r="I3624" s="36" t="s">
        <v>1656</v>
      </c>
      <c r="J3624" s="36" t="s">
        <v>1656</v>
      </c>
      <c r="K3624" s="36" t="s">
        <v>4248</v>
      </c>
      <c r="L3624" s="36" t="s">
        <v>6585</v>
      </c>
      <c r="M3624" s="36" t="s">
        <v>6585</v>
      </c>
      <c r="N3624" s="36" t="s">
        <v>32</v>
      </c>
    </row>
    <row r="3625">
      <c r="A3625" s="36" t="s">
        <v>7836</v>
      </c>
      <c r="B3625" s="154" t="s">
        <v>7834</v>
      </c>
      <c r="C3625" s="36" t="s">
        <v>1666</v>
      </c>
      <c r="D3625" s="36" t="s">
        <v>455</v>
      </c>
      <c r="E3625" s="36" t="s">
        <v>455</v>
      </c>
      <c r="F3625" s="154" t="s">
        <v>1686</v>
      </c>
      <c r="G3625" s="36" t="s">
        <v>32</v>
      </c>
      <c r="H3625" s="36" t="s">
        <v>1655</v>
      </c>
      <c r="I3625" s="36" t="s">
        <v>1656</v>
      </c>
      <c r="J3625" s="36" t="s">
        <v>1656</v>
      </c>
      <c r="K3625" s="36" t="s">
        <v>1672</v>
      </c>
      <c r="L3625" s="36" t="s">
        <v>6585</v>
      </c>
      <c r="M3625" s="36" t="s">
        <v>6585</v>
      </c>
      <c r="N3625" s="36" t="s">
        <v>32</v>
      </c>
    </row>
    <row r="3626">
      <c r="A3626" s="36" t="s">
        <v>7837</v>
      </c>
      <c r="B3626" s="154" t="s">
        <v>7838</v>
      </c>
      <c r="C3626" s="36" t="s">
        <v>1666</v>
      </c>
      <c r="D3626" s="36" t="s">
        <v>63</v>
      </c>
      <c r="E3626" s="36" t="s">
        <v>63</v>
      </c>
      <c r="F3626" s="154" t="s">
        <v>7839</v>
      </c>
      <c r="G3626" s="36" t="s">
        <v>32</v>
      </c>
      <c r="H3626" s="36" t="s">
        <v>1655</v>
      </c>
      <c r="I3626" s="36" t="s">
        <v>1656</v>
      </c>
      <c r="J3626" s="36" t="s">
        <v>1656</v>
      </c>
      <c r="K3626" s="36" t="s">
        <v>4196</v>
      </c>
      <c r="L3626" s="36" t="s">
        <v>6585</v>
      </c>
      <c r="M3626" s="36" t="s">
        <v>6585</v>
      </c>
      <c r="N3626" s="36" t="s">
        <v>34</v>
      </c>
    </row>
    <row r="3627">
      <c r="A3627" s="36" t="s">
        <v>7840</v>
      </c>
      <c r="B3627" s="154" t="s">
        <v>7841</v>
      </c>
      <c r="C3627" s="36" t="s">
        <v>1666</v>
      </c>
      <c r="D3627" s="36" t="s">
        <v>64</v>
      </c>
      <c r="E3627" s="36" t="s">
        <v>64</v>
      </c>
      <c r="F3627" s="154" t="s">
        <v>7648</v>
      </c>
      <c r="G3627" s="36" t="s">
        <v>28</v>
      </c>
      <c r="H3627" s="36" t="s">
        <v>1655</v>
      </c>
      <c r="I3627" s="36" t="s">
        <v>1656</v>
      </c>
      <c r="J3627" s="36" t="s">
        <v>1656</v>
      </c>
      <c r="K3627" s="36" t="s">
        <v>1708</v>
      </c>
      <c r="L3627" s="36" t="s">
        <v>6585</v>
      </c>
      <c r="M3627" s="36" t="s">
        <v>6585</v>
      </c>
      <c r="N3627" s="36" t="s">
        <v>32</v>
      </c>
    </row>
    <row r="3628">
      <c r="A3628" s="36" t="s">
        <v>7842</v>
      </c>
      <c r="B3628" s="154" t="s">
        <v>7841</v>
      </c>
      <c r="C3628" s="36" t="s">
        <v>1666</v>
      </c>
      <c r="D3628" s="36" t="s">
        <v>636</v>
      </c>
      <c r="E3628" s="36" t="s">
        <v>636</v>
      </c>
      <c r="F3628" s="154" t="s">
        <v>7843</v>
      </c>
      <c r="G3628" s="36" t="s">
        <v>28</v>
      </c>
      <c r="H3628" s="36" t="s">
        <v>1655</v>
      </c>
      <c r="I3628" s="36" t="s">
        <v>1656</v>
      </c>
      <c r="J3628" s="36" t="s">
        <v>1656</v>
      </c>
      <c r="K3628" s="36" t="s">
        <v>1820</v>
      </c>
      <c r="L3628" s="36" t="s">
        <v>6585</v>
      </c>
      <c r="M3628" s="36" t="s">
        <v>6585</v>
      </c>
      <c r="N3628" s="36" t="s">
        <v>34</v>
      </c>
    </row>
    <row r="3629">
      <c r="A3629" s="36" t="s">
        <v>7844</v>
      </c>
      <c r="B3629" s="154" t="s">
        <v>7841</v>
      </c>
      <c r="C3629" s="36" t="s">
        <v>1666</v>
      </c>
      <c r="D3629" s="36" t="s">
        <v>110</v>
      </c>
      <c r="E3629" s="36" t="s">
        <v>110</v>
      </c>
      <c r="F3629" s="154" t="s">
        <v>2049</v>
      </c>
      <c r="G3629" s="36" t="s">
        <v>28</v>
      </c>
      <c r="H3629" s="36" t="s">
        <v>1655</v>
      </c>
      <c r="I3629" s="36" t="s">
        <v>1656</v>
      </c>
      <c r="J3629" s="36" t="s">
        <v>1656</v>
      </c>
      <c r="K3629" s="36" t="s">
        <v>1823</v>
      </c>
      <c r="L3629" s="36" t="s">
        <v>6585</v>
      </c>
      <c r="M3629" s="36" t="s">
        <v>6585</v>
      </c>
      <c r="N3629" s="36" t="s">
        <v>34</v>
      </c>
    </row>
    <row r="3630">
      <c r="A3630" s="36" t="s">
        <v>7845</v>
      </c>
      <c r="B3630" s="154" t="s">
        <v>7841</v>
      </c>
      <c r="C3630" s="36" t="s">
        <v>1666</v>
      </c>
      <c r="D3630" s="36" t="s">
        <v>645</v>
      </c>
      <c r="E3630" s="36" t="s">
        <v>645</v>
      </c>
      <c r="F3630" s="154" t="s">
        <v>1816</v>
      </c>
      <c r="G3630" s="36" t="s">
        <v>28</v>
      </c>
      <c r="H3630" s="36" t="s">
        <v>1655</v>
      </c>
      <c r="I3630" s="36" t="s">
        <v>1656</v>
      </c>
      <c r="J3630" s="36" t="s">
        <v>1656</v>
      </c>
      <c r="K3630" s="36" t="s">
        <v>1826</v>
      </c>
      <c r="L3630" s="36" t="s">
        <v>6585</v>
      </c>
      <c r="M3630" s="36" t="s">
        <v>6585</v>
      </c>
      <c r="N3630" s="36" t="s">
        <v>34</v>
      </c>
    </row>
    <row r="3631">
      <c r="A3631" s="36" t="s">
        <v>7846</v>
      </c>
      <c r="B3631" s="154" t="s">
        <v>7847</v>
      </c>
      <c r="C3631" s="36" t="s">
        <v>1666</v>
      </c>
      <c r="D3631" s="36" t="s">
        <v>66</v>
      </c>
      <c r="E3631" s="36" t="s">
        <v>66</v>
      </c>
      <c r="F3631" s="154" t="s">
        <v>7848</v>
      </c>
      <c r="G3631" s="36" t="s">
        <v>28</v>
      </c>
      <c r="H3631" s="36" t="s">
        <v>1655</v>
      </c>
      <c r="I3631" s="36" t="s">
        <v>1656</v>
      </c>
      <c r="J3631" s="36" t="s">
        <v>1656</v>
      </c>
      <c r="K3631" s="36" t="s">
        <v>1721</v>
      </c>
      <c r="L3631" s="36" t="s">
        <v>6585</v>
      </c>
      <c r="M3631" s="36" t="s">
        <v>6585</v>
      </c>
      <c r="N3631" s="36" t="s">
        <v>32</v>
      </c>
    </row>
    <row r="3632">
      <c r="A3632" s="36" t="s">
        <v>7849</v>
      </c>
      <c r="B3632" s="154" t="s">
        <v>7850</v>
      </c>
      <c r="C3632" s="36" t="s">
        <v>1666</v>
      </c>
      <c r="D3632" s="36" t="s">
        <v>462</v>
      </c>
      <c r="E3632" s="36" t="s">
        <v>462</v>
      </c>
      <c r="F3632" s="154" t="s">
        <v>7851</v>
      </c>
      <c r="G3632" s="36" t="s">
        <v>32</v>
      </c>
      <c r="H3632" s="36" t="s">
        <v>1655</v>
      </c>
      <c r="I3632" s="36" t="s">
        <v>1656</v>
      </c>
      <c r="J3632" s="36" t="s">
        <v>1656</v>
      </c>
      <c r="K3632" s="36" t="s">
        <v>1675</v>
      </c>
      <c r="L3632" s="36" t="s">
        <v>6585</v>
      </c>
      <c r="M3632" s="36" t="s">
        <v>6585</v>
      </c>
      <c r="N3632" s="36" t="s">
        <v>32</v>
      </c>
    </row>
    <row r="3633">
      <c r="A3633" s="36" t="s">
        <v>7852</v>
      </c>
      <c r="B3633" s="154" t="s">
        <v>7850</v>
      </c>
      <c r="C3633" s="36" t="s">
        <v>1666</v>
      </c>
      <c r="D3633" s="36" t="s">
        <v>468</v>
      </c>
      <c r="E3633" s="36" t="s">
        <v>468</v>
      </c>
      <c r="F3633" s="154" t="s">
        <v>2553</v>
      </c>
      <c r="G3633" s="36" t="s">
        <v>32</v>
      </c>
      <c r="H3633" s="36" t="s">
        <v>1655</v>
      </c>
      <c r="I3633" s="36" t="s">
        <v>1656</v>
      </c>
      <c r="J3633" s="36" t="s">
        <v>1656</v>
      </c>
      <c r="K3633" s="36" t="s">
        <v>1678</v>
      </c>
      <c r="L3633" s="36" t="s">
        <v>6585</v>
      </c>
      <c r="M3633" s="36" t="s">
        <v>6585</v>
      </c>
      <c r="N3633" s="36" t="s">
        <v>32</v>
      </c>
    </row>
    <row r="3634">
      <c r="A3634" s="36" t="s">
        <v>7853</v>
      </c>
      <c r="B3634" s="154" t="s">
        <v>7850</v>
      </c>
      <c r="C3634" s="36" t="s">
        <v>1666</v>
      </c>
      <c r="D3634" s="36" t="s">
        <v>210</v>
      </c>
      <c r="E3634" s="36" t="s">
        <v>210</v>
      </c>
      <c r="F3634" s="154" t="s">
        <v>1959</v>
      </c>
      <c r="G3634" s="36" t="s">
        <v>28</v>
      </c>
      <c r="H3634" s="36" t="s">
        <v>1655</v>
      </c>
      <c r="I3634" s="36" t="s">
        <v>1656</v>
      </c>
      <c r="J3634" s="36" t="s">
        <v>1656</v>
      </c>
      <c r="K3634" s="36" t="s">
        <v>1681</v>
      </c>
      <c r="L3634" s="36" t="s">
        <v>6585</v>
      </c>
      <c r="M3634" s="36" t="s">
        <v>6585</v>
      </c>
      <c r="N3634" s="36" t="s">
        <v>32</v>
      </c>
    </row>
    <row r="3635">
      <c r="A3635" s="36" t="s">
        <v>7854</v>
      </c>
      <c r="B3635" s="154" t="s">
        <v>7850</v>
      </c>
      <c r="C3635" s="36" t="s">
        <v>1666</v>
      </c>
      <c r="D3635" s="36" t="s">
        <v>476</v>
      </c>
      <c r="E3635" s="36" t="s">
        <v>476</v>
      </c>
      <c r="F3635" s="154" t="s">
        <v>2163</v>
      </c>
      <c r="G3635" s="36" t="s">
        <v>32</v>
      </c>
      <c r="H3635" s="36" t="s">
        <v>1655</v>
      </c>
      <c r="I3635" s="36" t="s">
        <v>1656</v>
      </c>
      <c r="J3635" s="36" t="s">
        <v>1656</v>
      </c>
      <c r="K3635" s="36" t="s">
        <v>1684</v>
      </c>
      <c r="L3635" s="36" t="s">
        <v>6585</v>
      </c>
      <c r="M3635" s="36" t="s">
        <v>6585</v>
      </c>
      <c r="N3635" s="36" t="s">
        <v>32</v>
      </c>
    </row>
    <row r="3636">
      <c r="A3636" s="36" t="s">
        <v>7855</v>
      </c>
      <c r="B3636" s="154" t="s">
        <v>7850</v>
      </c>
      <c r="C3636" s="36" t="s">
        <v>1666</v>
      </c>
      <c r="D3636" s="36" t="s">
        <v>652</v>
      </c>
      <c r="E3636" s="36" t="s">
        <v>652</v>
      </c>
      <c r="F3636" s="154" t="s">
        <v>1810</v>
      </c>
      <c r="G3636" s="36" t="s">
        <v>28</v>
      </c>
      <c r="H3636" s="36" t="s">
        <v>1655</v>
      </c>
      <c r="I3636" s="36" t="s">
        <v>1656</v>
      </c>
      <c r="J3636" s="36" t="s">
        <v>1656</v>
      </c>
      <c r="K3636" s="36" t="s">
        <v>1830</v>
      </c>
      <c r="L3636" s="36" t="s">
        <v>6585</v>
      </c>
      <c r="M3636" s="36" t="s">
        <v>6585</v>
      </c>
      <c r="N3636" s="36" t="s">
        <v>34</v>
      </c>
    </row>
    <row r="3637">
      <c r="A3637" s="36" t="s">
        <v>7856</v>
      </c>
      <c r="B3637" s="154" t="s">
        <v>7857</v>
      </c>
      <c r="C3637" s="36" t="s">
        <v>1653</v>
      </c>
      <c r="D3637" s="36" t="s">
        <v>55</v>
      </c>
      <c r="E3637" s="36" t="s">
        <v>39</v>
      </c>
      <c r="F3637" s="154" t="s">
        <v>7858</v>
      </c>
      <c r="G3637" s="36" t="s">
        <v>32</v>
      </c>
      <c r="H3637" s="36" t="s">
        <v>1655</v>
      </c>
      <c r="I3637" s="36" t="s">
        <v>1656</v>
      </c>
      <c r="J3637" s="36" t="s">
        <v>1656</v>
      </c>
      <c r="K3637" s="36" t="s">
        <v>1978</v>
      </c>
      <c r="L3637" s="36" t="s">
        <v>6583</v>
      </c>
      <c r="M3637" s="36" t="s">
        <v>6583</v>
      </c>
      <c r="N3637" s="36" t="s">
        <v>32</v>
      </c>
    </row>
    <row r="3638">
      <c r="A3638" s="36" t="s">
        <v>7859</v>
      </c>
      <c r="B3638" s="154" t="s">
        <v>7857</v>
      </c>
      <c r="C3638" s="36" t="s">
        <v>1666</v>
      </c>
      <c r="D3638" s="36" t="s">
        <v>71</v>
      </c>
      <c r="E3638" s="36" t="s">
        <v>71</v>
      </c>
      <c r="F3638" s="154" t="s">
        <v>6736</v>
      </c>
      <c r="G3638" s="36" t="s">
        <v>32</v>
      </c>
      <c r="H3638" s="36" t="s">
        <v>1655</v>
      </c>
      <c r="I3638" s="36" t="s">
        <v>1656</v>
      </c>
      <c r="J3638" s="36" t="s">
        <v>1656</v>
      </c>
      <c r="K3638" s="36" t="s">
        <v>1752</v>
      </c>
      <c r="L3638" s="36" t="s">
        <v>6585</v>
      </c>
      <c r="M3638" s="36" t="s">
        <v>6585</v>
      </c>
      <c r="N3638" s="36" t="s">
        <v>32</v>
      </c>
    </row>
    <row r="3639">
      <c r="A3639" s="36" t="s">
        <v>7860</v>
      </c>
      <c r="B3639" s="154" t="s">
        <v>7857</v>
      </c>
      <c r="C3639" s="36" t="s">
        <v>1666</v>
      </c>
      <c r="D3639" s="36" t="s">
        <v>73</v>
      </c>
      <c r="E3639" s="36" t="s">
        <v>73</v>
      </c>
      <c r="F3639" s="154" t="s">
        <v>6738</v>
      </c>
      <c r="G3639" s="36" t="s">
        <v>28</v>
      </c>
      <c r="H3639" s="36" t="s">
        <v>1655</v>
      </c>
      <c r="I3639" s="36" t="s">
        <v>1656</v>
      </c>
      <c r="J3639" s="36" t="s">
        <v>1656</v>
      </c>
      <c r="K3639" s="36" t="s">
        <v>1755</v>
      </c>
      <c r="L3639" s="36" t="s">
        <v>6585</v>
      </c>
      <c r="M3639" s="36" t="s">
        <v>6585</v>
      </c>
      <c r="N3639" s="36" t="s">
        <v>32</v>
      </c>
    </row>
    <row r="3640">
      <c r="A3640" s="36" t="s">
        <v>7861</v>
      </c>
      <c r="B3640" s="154" t="s">
        <v>7857</v>
      </c>
      <c r="C3640" s="36" t="s">
        <v>1666</v>
      </c>
      <c r="D3640" s="36" t="s">
        <v>74</v>
      </c>
      <c r="E3640" s="36" t="s">
        <v>74</v>
      </c>
      <c r="F3640" s="154" t="s">
        <v>6740</v>
      </c>
      <c r="G3640" s="36" t="s">
        <v>32</v>
      </c>
      <c r="H3640" s="36" t="s">
        <v>1655</v>
      </c>
      <c r="I3640" s="36" t="s">
        <v>1656</v>
      </c>
      <c r="J3640" s="36" t="s">
        <v>1656</v>
      </c>
      <c r="K3640" s="36" t="s">
        <v>1757</v>
      </c>
      <c r="L3640" s="36" t="s">
        <v>6585</v>
      </c>
      <c r="M3640" s="36" t="s">
        <v>6585</v>
      </c>
      <c r="N3640" s="36" t="s">
        <v>32</v>
      </c>
    </row>
    <row r="3641">
      <c r="A3641" s="36" t="s">
        <v>7862</v>
      </c>
      <c r="B3641" s="154" t="s">
        <v>7857</v>
      </c>
      <c r="C3641" s="36" t="s">
        <v>1666</v>
      </c>
      <c r="D3641" s="36" t="s">
        <v>75</v>
      </c>
      <c r="E3641" s="36" t="s">
        <v>75</v>
      </c>
      <c r="F3641" s="154" t="s">
        <v>6742</v>
      </c>
      <c r="G3641" s="36" t="s">
        <v>28</v>
      </c>
      <c r="H3641" s="36" t="s">
        <v>1655</v>
      </c>
      <c r="I3641" s="36" t="s">
        <v>1656</v>
      </c>
      <c r="J3641" s="36" t="s">
        <v>1656</v>
      </c>
      <c r="K3641" s="36" t="s">
        <v>1760</v>
      </c>
      <c r="L3641" s="36" t="s">
        <v>6585</v>
      </c>
      <c r="M3641" s="36" t="s">
        <v>6585</v>
      </c>
      <c r="N3641" s="36" t="s">
        <v>32</v>
      </c>
    </row>
    <row r="3642">
      <c r="A3642" s="36" t="s">
        <v>7863</v>
      </c>
      <c r="B3642" s="154" t="s">
        <v>7857</v>
      </c>
      <c r="C3642" s="36" t="s">
        <v>1666</v>
      </c>
      <c r="D3642" s="36" t="s">
        <v>76</v>
      </c>
      <c r="E3642" s="36" t="s">
        <v>76</v>
      </c>
      <c r="F3642" s="154" t="s">
        <v>7864</v>
      </c>
      <c r="G3642" s="36" t="s">
        <v>28</v>
      </c>
      <c r="H3642" s="36" t="s">
        <v>1655</v>
      </c>
      <c r="I3642" s="36" t="s">
        <v>1656</v>
      </c>
      <c r="J3642" s="36" t="s">
        <v>1656</v>
      </c>
      <c r="K3642" s="36" t="s">
        <v>1763</v>
      </c>
      <c r="L3642" s="36" t="s">
        <v>6585</v>
      </c>
      <c r="M3642" s="36" t="s">
        <v>6585</v>
      </c>
      <c r="N3642" s="36" t="s">
        <v>32</v>
      </c>
    </row>
    <row r="3643">
      <c r="A3643" s="36" t="s">
        <v>7865</v>
      </c>
      <c r="B3643" s="154" t="s">
        <v>7857</v>
      </c>
      <c r="C3643" s="36" t="s">
        <v>1666</v>
      </c>
      <c r="D3643" s="36" t="s">
        <v>77</v>
      </c>
      <c r="E3643" s="36" t="s">
        <v>77</v>
      </c>
      <c r="F3643" s="154" t="s">
        <v>1768</v>
      </c>
      <c r="G3643" s="36" t="s">
        <v>34</v>
      </c>
      <c r="H3643" s="36" t="s">
        <v>1655</v>
      </c>
      <c r="I3643" s="36" t="s">
        <v>1656</v>
      </c>
      <c r="J3643" s="36" t="s">
        <v>1656</v>
      </c>
      <c r="K3643" s="36" t="s">
        <v>1766</v>
      </c>
      <c r="L3643" s="36" t="s">
        <v>6585</v>
      </c>
      <c r="M3643" s="36" t="s">
        <v>6585</v>
      </c>
      <c r="N3643" s="36" t="s">
        <v>32</v>
      </c>
    </row>
    <row r="3644">
      <c r="A3644" s="36" t="s">
        <v>7866</v>
      </c>
      <c r="B3644" s="154" t="s">
        <v>7857</v>
      </c>
      <c r="C3644" s="36" t="s">
        <v>1666</v>
      </c>
      <c r="D3644" s="36" t="s">
        <v>220</v>
      </c>
      <c r="E3644" s="36" t="s">
        <v>220</v>
      </c>
      <c r="F3644" s="154" t="s">
        <v>7867</v>
      </c>
      <c r="G3644" s="36" t="s">
        <v>28</v>
      </c>
      <c r="H3644" s="36" t="s">
        <v>1655</v>
      </c>
      <c r="I3644" s="36" t="s">
        <v>1656</v>
      </c>
      <c r="J3644" s="36" t="s">
        <v>1656</v>
      </c>
      <c r="K3644" s="36" t="s">
        <v>1691</v>
      </c>
      <c r="L3644" s="36" t="s">
        <v>6585</v>
      </c>
      <c r="M3644" s="36" t="s">
        <v>6585</v>
      </c>
      <c r="N3644" s="36" t="s">
        <v>32</v>
      </c>
    </row>
    <row r="3645">
      <c r="A3645" s="36" t="s">
        <v>7868</v>
      </c>
      <c r="B3645" s="154" t="s">
        <v>7857</v>
      </c>
      <c r="C3645" s="36" t="s">
        <v>1666</v>
      </c>
      <c r="D3645" s="36" t="s">
        <v>226</v>
      </c>
      <c r="E3645" s="36" t="s">
        <v>226</v>
      </c>
      <c r="F3645" s="154" t="s">
        <v>7869</v>
      </c>
      <c r="G3645" s="36" t="s">
        <v>32</v>
      </c>
      <c r="H3645" s="36" t="s">
        <v>1655</v>
      </c>
      <c r="I3645" s="36" t="s">
        <v>1656</v>
      </c>
      <c r="J3645" s="36" t="s">
        <v>1656</v>
      </c>
      <c r="K3645" s="36" t="s">
        <v>1695</v>
      </c>
      <c r="L3645" s="36" t="s">
        <v>6585</v>
      </c>
      <c r="M3645" s="36" t="s">
        <v>6585</v>
      </c>
      <c r="N3645" s="36" t="s">
        <v>32</v>
      </c>
    </row>
    <row r="3646">
      <c r="A3646" s="36" t="s">
        <v>7870</v>
      </c>
      <c r="B3646" s="154" t="s">
        <v>7857</v>
      </c>
      <c r="C3646" s="36" t="s">
        <v>1666</v>
      </c>
      <c r="D3646" s="36" t="s">
        <v>92</v>
      </c>
      <c r="E3646" s="36" t="s">
        <v>92</v>
      </c>
      <c r="F3646" s="154" t="s">
        <v>1806</v>
      </c>
      <c r="G3646" s="36" t="s">
        <v>32</v>
      </c>
      <c r="H3646" s="36" t="s">
        <v>1655</v>
      </c>
      <c r="I3646" s="36" t="s">
        <v>1656</v>
      </c>
      <c r="J3646" s="36" t="s">
        <v>1656</v>
      </c>
      <c r="K3646" s="36" t="s">
        <v>1698</v>
      </c>
      <c r="L3646" s="36" t="s">
        <v>6585</v>
      </c>
      <c r="M3646" s="36" t="s">
        <v>6585</v>
      </c>
      <c r="N3646" s="36" t="s">
        <v>32</v>
      </c>
    </row>
    <row r="3647">
      <c r="A3647" s="36" t="s">
        <v>7871</v>
      </c>
      <c r="B3647" s="154" t="s">
        <v>7857</v>
      </c>
      <c r="C3647" s="36" t="s">
        <v>1666</v>
      </c>
      <c r="D3647" s="36" t="s">
        <v>115</v>
      </c>
      <c r="E3647" s="36" t="s">
        <v>115</v>
      </c>
      <c r="F3647" s="154" t="s">
        <v>1683</v>
      </c>
      <c r="G3647" s="36" t="s">
        <v>32</v>
      </c>
      <c r="H3647" s="36" t="s">
        <v>1655</v>
      </c>
      <c r="I3647" s="36" t="s">
        <v>1656</v>
      </c>
      <c r="J3647" s="36" t="s">
        <v>1656</v>
      </c>
      <c r="K3647" s="36" t="s">
        <v>1701</v>
      </c>
      <c r="L3647" s="36" t="s">
        <v>6585</v>
      </c>
      <c r="M3647" s="36" t="s">
        <v>6585</v>
      </c>
      <c r="N3647" s="36" t="s">
        <v>32</v>
      </c>
    </row>
    <row r="3648">
      <c r="A3648" s="36" t="s">
        <v>7872</v>
      </c>
      <c r="B3648" s="154" t="s">
        <v>7857</v>
      </c>
      <c r="C3648" s="36" t="s">
        <v>1666</v>
      </c>
      <c r="D3648" s="36" t="s">
        <v>502</v>
      </c>
      <c r="E3648" s="36" t="s">
        <v>502</v>
      </c>
      <c r="F3648" s="154" t="s">
        <v>7873</v>
      </c>
      <c r="G3648" s="36" t="s">
        <v>32</v>
      </c>
      <c r="H3648" s="36" t="s">
        <v>1655</v>
      </c>
      <c r="I3648" s="36" t="s">
        <v>1656</v>
      </c>
      <c r="J3648" s="36" t="s">
        <v>1656</v>
      </c>
      <c r="K3648" s="36" t="s">
        <v>1704</v>
      </c>
      <c r="L3648" s="36" t="s">
        <v>6585</v>
      </c>
      <c r="M3648" s="36" t="s">
        <v>6585</v>
      </c>
      <c r="N3648" s="36" t="s">
        <v>32</v>
      </c>
    </row>
    <row r="3649">
      <c r="A3649" s="36" t="s">
        <v>7874</v>
      </c>
      <c r="B3649" s="154" t="s">
        <v>7857</v>
      </c>
      <c r="C3649" s="36" t="s">
        <v>1666</v>
      </c>
      <c r="D3649" s="36" t="s">
        <v>505</v>
      </c>
      <c r="E3649" s="36" t="s">
        <v>505</v>
      </c>
      <c r="F3649" s="154" t="s">
        <v>1810</v>
      </c>
      <c r="G3649" s="36" t="s">
        <v>34</v>
      </c>
      <c r="H3649" s="36" t="s">
        <v>1655</v>
      </c>
      <c r="I3649" s="36" t="s">
        <v>1656</v>
      </c>
      <c r="J3649" s="36" t="s">
        <v>1656</v>
      </c>
      <c r="K3649" s="36" t="s">
        <v>1711</v>
      </c>
      <c r="L3649" s="36" t="s">
        <v>6585</v>
      </c>
      <c r="M3649" s="36" t="s">
        <v>6585</v>
      </c>
      <c r="N3649" s="36" t="s">
        <v>32</v>
      </c>
    </row>
    <row r="3650">
      <c r="A3650" s="36" t="s">
        <v>7875</v>
      </c>
      <c r="B3650" s="154" t="s">
        <v>7857</v>
      </c>
      <c r="C3650" s="36" t="s">
        <v>1666</v>
      </c>
      <c r="D3650" s="36" t="s">
        <v>511</v>
      </c>
      <c r="E3650" s="36" t="s">
        <v>511</v>
      </c>
      <c r="F3650" s="154" t="s">
        <v>7876</v>
      </c>
      <c r="G3650" s="36" t="s">
        <v>28</v>
      </c>
      <c r="H3650" s="36" t="s">
        <v>1655</v>
      </c>
      <c r="I3650" s="36" t="s">
        <v>1656</v>
      </c>
      <c r="J3650" s="36" t="s">
        <v>1656</v>
      </c>
      <c r="K3650" s="36" t="s">
        <v>1715</v>
      </c>
      <c r="L3650" s="36" t="s">
        <v>6585</v>
      </c>
      <c r="M3650" s="36" t="s">
        <v>6585</v>
      </c>
      <c r="N3650" s="36" t="s">
        <v>32</v>
      </c>
    </row>
    <row r="3651">
      <c r="A3651" s="36" t="s">
        <v>7877</v>
      </c>
      <c r="B3651" s="154" t="s">
        <v>7857</v>
      </c>
      <c r="C3651" s="36" t="s">
        <v>1666</v>
      </c>
      <c r="D3651" s="36" t="s">
        <v>621</v>
      </c>
      <c r="E3651" s="36" t="s">
        <v>621</v>
      </c>
      <c r="F3651" s="154" t="s">
        <v>7878</v>
      </c>
      <c r="G3651" s="36" t="s">
        <v>28</v>
      </c>
      <c r="H3651" s="36" t="s">
        <v>1655</v>
      </c>
      <c r="I3651" s="36" t="s">
        <v>1656</v>
      </c>
      <c r="J3651" s="36" t="s">
        <v>1656</v>
      </c>
      <c r="K3651" s="36" t="s">
        <v>1803</v>
      </c>
      <c r="L3651" s="36" t="s">
        <v>6585</v>
      </c>
      <c r="M3651" s="36" t="s">
        <v>6585</v>
      </c>
      <c r="N3651" s="36" t="s">
        <v>32</v>
      </c>
    </row>
    <row r="3652">
      <c r="A3652" s="36" t="s">
        <v>7879</v>
      </c>
      <c r="B3652" s="154" t="s">
        <v>7880</v>
      </c>
      <c r="C3652" s="36" t="s">
        <v>1666</v>
      </c>
      <c r="D3652" s="36" t="s">
        <v>92</v>
      </c>
      <c r="E3652" s="36" t="s">
        <v>92</v>
      </c>
      <c r="F3652" s="154" t="s">
        <v>2006</v>
      </c>
      <c r="G3652" s="36" t="s">
        <v>32</v>
      </c>
      <c r="H3652" s="36" t="s">
        <v>1655</v>
      </c>
      <c r="I3652" s="36" t="s">
        <v>1656</v>
      </c>
      <c r="J3652" s="36" t="s">
        <v>1656</v>
      </c>
      <c r="K3652" s="36" t="s">
        <v>1717</v>
      </c>
      <c r="L3652" s="36" t="s">
        <v>6585</v>
      </c>
      <c r="M3652" s="36" t="s">
        <v>6585</v>
      </c>
      <c r="N3652" s="36" t="s">
        <v>32</v>
      </c>
    </row>
    <row r="3653">
      <c r="A3653" s="36" t="s">
        <v>7881</v>
      </c>
      <c r="B3653" s="154" t="s">
        <v>7882</v>
      </c>
      <c r="C3653" s="36" t="s">
        <v>1666</v>
      </c>
      <c r="D3653" s="36" t="s">
        <v>93</v>
      </c>
      <c r="E3653" s="36" t="s">
        <v>93</v>
      </c>
      <c r="F3653" s="154" t="s">
        <v>1899</v>
      </c>
      <c r="G3653" s="36" t="s">
        <v>28</v>
      </c>
      <c r="H3653" s="36" t="s">
        <v>1655</v>
      </c>
      <c r="I3653" s="36" t="s">
        <v>1656</v>
      </c>
      <c r="J3653" s="36" t="s">
        <v>1656</v>
      </c>
      <c r="K3653" s="36" t="s">
        <v>1724</v>
      </c>
      <c r="L3653" s="36" t="s">
        <v>6585</v>
      </c>
      <c r="M3653" s="36" t="s">
        <v>6585</v>
      </c>
      <c r="N3653" s="36" t="s">
        <v>32</v>
      </c>
    </row>
    <row r="3654">
      <c r="A3654" s="36" t="s">
        <v>7883</v>
      </c>
      <c r="B3654" s="154" t="s">
        <v>7884</v>
      </c>
      <c r="C3654" s="36" t="s">
        <v>1666</v>
      </c>
      <c r="D3654" s="36" t="s">
        <v>527</v>
      </c>
      <c r="E3654" s="36" t="s">
        <v>527</v>
      </c>
      <c r="F3654" s="154" t="s">
        <v>2027</v>
      </c>
      <c r="G3654" s="36" t="s">
        <v>32</v>
      </c>
      <c r="H3654" s="36" t="s">
        <v>1655</v>
      </c>
      <c r="I3654" s="36" t="s">
        <v>1656</v>
      </c>
      <c r="J3654" s="36" t="s">
        <v>1656</v>
      </c>
      <c r="K3654" s="36" t="s">
        <v>1727</v>
      </c>
      <c r="L3654" s="36" t="s">
        <v>6585</v>
      </c>
      <c r="M3654" s="36" t="s">
        <v>6585</v>
      </c>
      <c r="N3654" s="36" t="s">
        <v>32</v>
      </c>
    </row>
    <row r="3655">
      <c r="A3655" s="36" t="s">
        <v>7885</v>
      </c>
      <c r="B3655" s="154" t="s">
        <v>7884</v>
      </c>
      <c r="C3655" s="36" t="s">
        <v>1666</v>
      </c>
      <c r="D3655" s="36" t="s">
        <v>530</v>
      </c>
      <c r="E3655" s="36" t="s">
        <v>530</v>
      </c>
      <c r="F3655" s="154" t="s">
        <v>7886</v>
      </c>
      <c r="G3655" s="36" t="s">
        <v>32</v>
      </c>
      <c r="H3655" s="36" t="s">
        <v>1655</v>
      </c>
      <c r="I3655" s="36" t="s">
        <v>1656</v>
      </c>
      <c r="J3655" s="36" t="s">
        <v>1656</v>
      </c>
      <c r="K3655" s="36" t="s">
        <v>1730</v>
      </c>
      <c r="L3655" s="36" t="s">
        <v>6585</v>
      </c>
      <c r="M3655" s="36" t="s">
        <v>6585</v>
      </c>
      <c r="N3655" s="36" t="s">
        <v>32</v>
      </c>
    </row>
    <row r="3656">
      <c r="A3656" s="36" t="s">
        <v>7887</v>
      </c>
      <c r="B3656" s="154" t="s">
        <v>7884</v>
      </c>
      <c r="C3656" s="36" t="s">
        <v>1666</v>
      </c>
      <c r="D3656" s="36" t="s">
        <v>354</v>
      </c>
      <c r="E3656" s="36" t="s">
        <v>354</v>
      </c>
      <c r="F3656" s="154" t="s">
        <v>7888</v>
      </c>
      <c r="G3656" s="36" t="s">
        <v>28</v>
      </c>
      <c r="H3656" s="36" t="s">
        <v>1655</v>
      </c>
      <c r="I3656" s="36" t="s">
        <v>1656</v>
      </c>
      <c r="J3656" s="36" t="s">
        <v>1656</v>
      </c>
      <c r="K3656" s="36" t="s">
        <v>1833</v>
      </c>
      <c r="L3656" s="36" t="s">
        <v>6585</v>
      </c>
      <c r="M3656" s="36" t="s">
        <v>6585</v>
      </c>
      <c r="N3656" s="36" t="s">
        <v>34</v>
      </c>
    </row>
    <row r="3657">
      <c r="A3657" s="36" t="s">
        <v>7889</v>
      </c>
      <c r="B3657" s="154" t="s">
        <v>7890</v>
      </c>
      <c r="C3657" s="36" t="s">
        <v>1666</v>
      </c>
      <c r="D3657" s="36" t="s">
        <v>538</v>
      </c>
      <c r="E3657" s="36" t="s">
        <v>538</v>
      </c>
      <c r="F3657" s="154" t="s">
        <v>7891</v>
      </c>
      <c r="G3657" s="36" t="s">
        <v>32</v>
      </c>
      <c r="H3657" s="36" t="s">
        <v>1655</v>
      </c>
      <c r="I3657" s="36" t="s">
        <v>1656</v>
      </c>
      <c r="J3657" s="36" t="s">
        <v>1656</v>
      </c>
      <c r="K3657" s="36" t="s">
        <v>1732</v>
      </c>
      <c r="L3657" s="36" t="s">
        <v>6585</v>
      </c>
      <c r="M3657" s="36" t="s">
        <v>6585</v>
      </c>
      <c r="N3657" s="36" t="s">
        <v>32</v>
      </c>
    </row>
    <row r="3658">
      <c r="A3658" s="36" t="s">
        <v>7892</v>
      </c>
      <c r="B3658" s="154" t="s">
        <v>7890</v>
      </c>
      <c r="C3658" s="36" t="s">
        <v>1666</v>
      </c>
      <c r="D3658" s="36" t="s">
        <v>544</v>
      </c>
      <c r="E3658" s="36" t="s">
        <v>544</v>
      </c>
      <c r="F3658" s="154" t="s">
        <v>7893</v>
      </c>
      <c r="G3658" s="36" t="s">
        <v>32</v>
      </c>
      <c r="H3658" s="36" t="s">
        <v>1655</v>
      </c>
      <c r="I3658" s="36" t="s">
        <v>1656</v>
      </c>
      <c r="J3658" s="36" t="s">
        <v>1656</v>
      </c>
      <c r="K3658" s="36" t="s">
        <v>1736</v>
      </c>
      <c r="L3658" s="36" t="s">
        <v>6585</v>
      </c>
      <c r="M3658" s="36" t="s">
        <v>6585</v>
      </c>
      <c r="N3658" s="36" t="s">
        <v>32</v>
      </c>
    </row>
    <row r="3659">
      <c r="A3659" s="36" t="s">
        <v>7894</v>
      </c>
      <c r="B3659" s="154" t="s">
        <v>7890</v>
      </c>
      <c r="C3659" s="36" t="s">
        <v>1666</v>
      </c>
      <c r="D3659" s="36" t="s">
        <v>92</v>
      </c>
      <c r="E3659" s="36" t="s">
        <v>92</v>
      </c>
      <c r="F3659" s="154" t="s">
        <v>1686</v>
      </c>
      <c r="G3659" s="36" t="s">
        <v>32</v>
      </c>
      <c r="H3659" s="36" t="s">
        <v>1655</v>
      </c>
      <c r="I3659" s="36" t="s">
        <v>1656</v>
      </c>
      <c r="J3659" s="36" t="s">
        <v>1656</v>
      </c>
      <c r="K3659" s="36" t="s">
        <v>1739</v>
      </c>
      <c r="L3659" s="36" t="s">
        <v>6585</v>
      </c>
      <c r="M3659" s="36" t="s">
        <v>6585</v>
      </c>
      <c r="N3659" s="36" t="s">
        <v>32</v>
      </c>
    </row>
    <row r="3660">
      <c r="A3660" s="36" t="s">
        <v>7895</v>
      </c>
      <c r="B3660" s="154" t="s">
        <v>7896</v>
      </c>
      <c r="C3660" s="36" t="s">
        <v>1666</v>
      </c>
      <c r="D3660" s="36" t="s">
        <v>295</v>
      </c>
      <c r="E3660" s="36" t="s">
        <v>295</v>
      </c>
      <c r="F3660" s="154" t="s">
        <v>1714</v>
      </c>
      <c r="G3660" s="36" t="s">
        <v>32</v>
      </c>
      <c r="H3660" s="36" t="s">
        <v>1655</v>
      </c>
      <c r="I3660" s="36" t="s">
        <v>1656</v>
      </c>
      <c r="J3660" s="36" t="s">
        <v>1656</v>
      </c>
      <c r="K3660" s="36" t="s">
        <v>1742</v>
      </c>
      <c r="L3660" s="36" t="s">
        <v>6585</v>
      </c>
      <c r="M3660" s="36" t="s">
        <v>6585</v>
      </c>
      <c r="N3660" s="36" t="s">
        <v>32</v>
      </c>
    </row>
    <row r="3661">
      <c r="A3661" s="36" t="s">
        <v>7897</v>
      </c>
      <c r="B3661" s="154" t="s">
        <v>7896</v>
      </c>
      <c r="C3661" s="36" t="s">
        <v>1666</v>
      </c>
      <c r="D3661" s="36" t="s">
        <v>663</v>
      </c>
      <c r="E3661" s="36" t="s">
        <v>663</v>
      </c>
      <c r="F3661" s="154" t="s">
        <v>7898</v>
      </c>
      <c r="G3661" s="36" t="s">
        <v>28</v>
      </c>
      <c r="H3661" s="36" t="s">
        <v>1655</v>
      </c>
      <c r="I3661" s="36" t="s">
        <v>1656</v>
      </c>
      <c r="J3661" s="36" t="s">
        <v>1656</v>
      </c>
      <c r="K3661" s="36" t="s">
        <v>1836</v>
      </c>
      <c r="L3661" s="36" t="s">
        <v>6585</v>
      </c>
      <c r="M3661" s="36" t="s">
        <v>6585</v>
      </c>
      <c r="N3661" s="36" t="s">
        <v>34</v>
      </c>
    </row>
    <row r="3662">
      <c r="A3662" s="36" t="s">
        <v>7899</v>
      </c>
      <c r="B3662" s="154" t="s">
        <v>7896</v>
      </c>
      <c r="C3662" s="36" t="s">
        <v>1666</v>
      </c>
      <c r="D3662" s="36" t="s">
        <v>214</v>
      </c>
      <c r="E3662" s="36" t="s">
        <v>214</v>
      </c>
      <c r="F3662" s="154" t="s">
        <v>7900</v>
      </c>
      <c r="G3662" s="36" t="s">
        <v>28</v>
      </c>
      <c r="H3662" s="36" t="s">
        <v>1655</v>
      </c>
      <c r="I3662" s="36" t="s">
        <v>1656</v>
      </c>
      <c r="J3662" s="36" t="s">
        <v>1656</v>
      </c>
      <c r="K3662" s="36" t="s">
        <v>1839</v>
      </c>
      <c r="L3662" s="36" t="s">
        <v>6585</v>
      </c>
      <c r="M3662" s="36" t="s">
        <v>6585</v>
      </c>
      <c r="N3662" s="36" t="s">
        <v>34</v>
      </c>
    </row>
    <row r="3663">
      <c r="A3663" s="36" t="s">
        <v>7901</v>
      </c>
      <c r="B3663" s="154" t="s">
        <v>7896</v>
      </c>
      <c r="C3663" s="36" t="s">
        <v>1666</v>
      </c>
      <c r="D3663" s="36" t="s">
        <v>669</v>
      </c>
      <c r="E3663" s="36" t="s">
        <v>669</v>
      </c>
      <c r="F3663" s="154" t="s">
        <v>1816</v>
      </c>
      <c r="G3663" s="36" t="s">
        <v>28</v>
      </c>
      <c r="H3663" s="36" t="s">
        <v>1655</v>
      </c>
      <c r="I3663" s="36" t="s">
        <v>1656</v>
      </c>
      <c r="J3663" s="36" t="s">
        <v>1656</v>
      </c>
      <c r="K3663" s="36" t="s">
        <v>1842</v>
      </c>
      <c r="L3663" s="36" t="s">
        <v>6585</v>
      </c>
      <c r="M3663" s="36" t="s">
        <v>6585</v>
      </c>
      <c r="N3663" s="36" t="s">
        <v>34</v>
      </c>
    </row>
    <row r="3664">
      <c r="A3664" s="36" t="s">
        <v>7902</v>
      </c>
      <c r="B3664" s="154" t="s">
        <v>7903</v>
      </c>
      <c r="C3664" s="36" t="s">
        <v>1666</v>
      </c>
      <c r="D3664" s="36" t="s">
        <v>558</v>
      </c>
      <c r="E3664" s="36" t="s">
        <v>558</v>
      </c>
      <c r="F3664" s="154" t="s">
        <v>2027</v>
      </c>
      <c r="G3664" s="36" t="s">
        <v>32</v>
      </c>
      <c r="H3664" s="36" t="s">
        <v>1655</v>
      </c>
      <c r="I3664" s="36" t="s">
        <v>1656</v>
      </c>
      <c r="J3664" s="36" t="s">
        <v>1656</v>
      </c>
      <c r="K3664" s="36" t="s">
        <v>1745</v>
      </c>
      <c r="L3664" s="36" t="s">
        <v>6585</v>
      </c>
      <c r="M3664" s="36" t="s">
        <v>6585</v>
      </c>
      <c r="N3664" s="36" t="s">
        <v>32</v>
      </c>
    </row>
    <row r="3665">
      <c r="A3665" s="36" t="s">
        <v>7904</v>
      </c>
      <c r="B3665" s="154" t="s">
        <v>7905</v>
      </c>
      <c r="C3665" s="36" t="s">
        <v>1666</v>
      </c>
      <c r="D3665" s="36" t="s">
        <v>188</v>
      </c>
      <c r="E3665" s="36" t="s">
        <v>188</v>
      </c>
      <c r="F3665" s="154" t="s">
        <v>7012</v>
      </c>
      <c r="G3665" s="36" t="s">
        <v>32</v>
      </c>
      <c r="H3665" s="36" t="s">
        <v>1655</v>
      </c>
      <c r="I3665" s="36" t="s">
        <v>1656</v>
      </c>
      <c r="J3665" s="36" t="s">
        <v>1656</v>
      </c>
      <c r="K3665" s="36" t="s">
        <v>1773</v>
      </c>
      <c r="L3665" s="36" t="s">
        <v>6585</v>
      </c>
      <c r="M3665" s="36" t="s">
        <v>6585</v>
      </c>
      <c r="N3665" s="36" t="s">
        <v>32</v>
      </c>
    </row>
    <row r="3666">
      <c r="A3666" s="36" t="s">
        <v>7906</v>
      </c>
      <c r="B3666" s="154" t="s">
        <v>7905</v>
      </c>
      <c r="C3666" s="36" t="s">
        <v>1666</v>
      </c>
      <c r="D3666" s="36" t="s">
        <v>560</v>
      </c>
      <c r="E3666" s="36" t="s">
        <v>560</v>
      </c>
      <c r="F3666" s="154" t="s">
        <v>1690</v>
      </c>
      <c r="G3666" s="36" t="s">
        <v>32</v>
      </c>
      <c r="H3666" s="36" t="s">
        <v>1655</v>
      </c>
      <c r="I3666" s="36" t="s">
        <v>1656</v>
      </c>
      <c r="J3666" s="36" t="s">
        <v>1656</v>
      </c>
      <c r="K3666" s="36" t="s">
        <v>1776</v>
      </c>
      <c r="L3666" s="36" t="s">
        <v>6585</v>
      </c>
      <c r="M3666" s="36" t="s">
        <v>6585</v>
      </c>
      <c r="N3666" s="36" t="s">
        <v>32</v>
      </c>
    </row>
    <row r="3667">
      <c r="A3667" s="36" t="s">
        <v>7907</v>
      </c>
      <c r="B3667" s="154" t="s">
        <v>7905</v>
      </c>
      <c r="C3667" s="36" t="s">
        <v>1666</v>
      </c>
      <c r="D3667" s="36" t="s">
        <v>455</v>
      </c>
      <c r="E3667" s="36" t="s">
        <v>455</v>
      </c>
      <c r="F3667" s="154" t="s">
        <v>1686</v>
      </c>
      <c r="G3667" s="36" t="s">
        <v>32</v>
      </c>
      <c r="H3667" s="36" t="s">
        <v>1655</v>
      </c>
      <c r="I3667" s="36" t="s">
        <v>1656</v>
      </c>
      <c r="J3667" s="36" t="s">
        <v>1656</v>
      </c>
      <c r="K3667" s="36" t="s">
        <v>1779</v>
      </c>
      <c r="L3667" s="36" t="s">
        <v>6585</v>
      </c>
      <c r="M3667" s="36" t="s">
        <v>6585</v>
      </c>
      <c r="N3667" s="36" t="s">
        <v>32</v>
      </c>
    </row>
    <row r="3668">
      <c r="A3668" s="36" t="s">
        <v>7908</v>
      </c>
      <c r="B3668" s="154" t="s">
        <v>7905</v>
      </c>
      <c r="C3668" s="36" t="s">
        <v>1666</v>
      </c>
      <c r="D3668" s="36" t="s">
        <v>210</v>
      </c>
      <c r="E3668" s="36" t="s">
        <v>210</v>
      </c>
      <c r="F3668" s="154" t="s">
        <v>1768</v>
      </c>
      <c r="G3668" s="36" t="s">
        <v>28</v>
      </c>
      <c r="H3668" s="36" t="s">
        <v>1655</v>
      </c>
      <c r="I3668" s="36" t="s">
        <v>1656</v>
      </c>
      <c r="J3668" s="36" t="s">
        <v>1656</v>
      </c>
      <c r="K3668" s="36" t="s">
        <v>1782</v>
      </c>
      <c r="L3668" s="36" t="s">
        <v>6585</v>
      </c>
      <c r="M3668" s="36" t="s">
        <v>6585</v>
      </c>
      <c r="N3668" s="36" t="s">
        <v>32</v>
      </c>
    </row>
    <row r="3669">
      <c r="A3669" s="36" t="s">
        <v>7909</v>
      </c>
      <c r="B3669" s="154" t="s">
        <v>7905</v>
      </c>
      <c r="C3669" s="36" t="s">
        <v>1666</v>
      </c>
      <c r="D3669" s="36" t="s">
        <v>298</v>
      </c>
      <c r="E3669" s="36" t="s">
        <v>298</v>
      </c>
      <c r="F3669" s="154" t="s">
        <v>7910</v>
      </c>
      <c r="G3669" s="36" t="s">
        <v>32</v>
      </c>
      <c r="H3669" s="36" t="s">
        <v>1655</v>
      </c>
      <c r="I3669" s="36" t="s">
        <v>1656</v>
      </c>
      <c r="J3669" s="36" t="s">
        <v>1656</v>
      </c>
      <c r="K3669" s="36" t="s">
        <v>1784</v>
      </c>
      <c r="L3669" s="36" t="s">
        <v>6585</v>
      </c>
      <c r="M3669" s="36" t="s">
        <v>6585</v>
      </c>
      <c r="N3669" s="36" t="s">
        <v>32</v>
      </c>
    </row>
    <row r="3670">
      <c r="A3670" s="36" t="s">
        <v>7911</v>
      </c>
      <c r="B3670" s="154" t="s">
        <v>7912</v>
      </c>
      <c r="C3670" s="36" t="s">
        <v>1666</v>
      </c>
      <c r="D3670" s="36" t="s">
        <v>79</v>
      </c>
      <c r="E3670" s="36" t="s">
        <v>79</v>
      </c>
      <c r="F3670" s="154" t="s">
        <v>6912</v>
      </c>
      <c r="G3670" s="36" t="s">
        <v>32</v>
      </c>
      <c r="H3670" s="36" t="s">
        <v>1655</v>
      </c>
      <c r="I3670" s="36" t="s">
        <v>1656</v>
      </c>
      <c r="J3670" s="36" t="s">
        <v>1656</v>
      </c>
      <c r="K3670" s="36" t="s">
        <v>1769</v>
      </c>
      <c r="L3670" s="36" t="s">
        <v>6585</v>
      </c>
      <c r="M3670" s="36" t="s">
        <v>6585</v>
      </c>
      <c r="N3670" s="36" t="s">
        <v>32</v>
      </c>
    </row>
    <row r="3671">
      <c r="A3671" s="36" t="s">
        <v>7913</v>
      </c>
      <c r="B3671" s="154" t="s">
        <v>7914</v>
      </c>
      <c r="C3671" s="36" t="s">
        <v>1666</v>
      </c>
      <c r="D3671" s="36" t="s">
        <v>589</v>
      </c>
      <c r="E3671" s="36" t="s">
        <v>589</v>
      </c>
      <c r="F3671" s="154" t="s">
        <v>2027</v>
      </c>
      <c r="G3671" s="36" t="s">
        <v>32</v>
      </c>
      <c r="H3671" s="36" t="s">
        <v>1655</v>
      </c>
      <c r="I3671" s="36" t="s">
        <v>1656</v>
      </c>
      <c r="J3671" s="36" t="s">
        <v>1656</v>
      </c>
      <c r="K3671" s="36" t="s">
        <v>1787</v>
      </c>
      <c r="L3671" s="36" t="s">
        <v>6585</v>
      </c>
      <c r="M3671" s="36" t="s">
        <v>6585</v>
      </c>
      <c r="N3671" s="36" t="s">
        <v>32</v>
      </c>
    </row>
    <row r="3672">
      <c r="A3672" s="36" t="s">
        <v>7915</v>
      </c>
      <c r="B3672" s="154" t="s">
        <v>7914</v>
      </c>
      <c r="C3672" s="36" t="s">
        <v>1666</v>
      </c>
      <c r="D3672" s="36" t="s">
        <v>596</v>
      </c>
      <c r="E3672" s="36" t="s">
        <v>596</v>
      </c>
      <c r="F3672" s="154" t="s">
        <v>3200</v>
      </c>
      <c r="G3672" s="36" t="s">
        <v>32</v>
      </c>
      <c r="H3672" s="36" t="s">
        <v>1655</v>
      </c>
      <c r="I3672" s="36" t="s">
        <v>1656</v>
      </c>
      <c r="J3672" s="36" t="s">
        <v>1656</v>
      </c>
      <c r="K3672" s="36" t="s">
        <v>1790</v>
      </c>
      <c r="L3672" s="36" t="s">
        <v>6585</v>
      </c>
      <c r="M3672" s="36" t="s">
        <v>6585</v>
      </c>
      <c r="N3672" s="36" t="s">
        <v>32</v>
      </c>
    </row>
    <row r="3673">
      <c r="A3673" s="36" t="s">
        <v>7916</v>
      </c>
      <c r="B3673" s="154" t="s">
        <v>7914</v>
      </c>
      <c r="C3673" s="36" t="s">
        <v>1666</v>
      </c>
      <c r="D3673" s="36" t="s">
        <v>675</v>
      </c>
      <c r="E3673" s="36" t="s">
        <v>675</v>
      </c>
      <c r="F3673" s="154" t="s">
        <v>2719</v>
      </c>
      <c r="G3673" s="36" t="s">
        <v>28</v>
      </c>
      <c r="H3673" s="36" t="s">
        <v>1655</v>
      </c>
      <c r="I3673" s="36" t="s">
        <v>1656</v>
      </c>
      <c r="J3673" s="36" t="s">
        <v>1656</v>
      </c>
      <c r="K3673" s="36" t="s">
        <v>1845</v>
      </c>
      <c r="L3673" s="36" t="s">
        <v>6585</v>
      </c>
      <c r="M3673" s="36" t="s">
        <v>6585</v>
      </c>
      <c r="N3673" s="36" t="s">
        <v>34</v>
      </c>
    </row>
    <row r="3674">
      <c r="A3674" s="36" t="s">
        <v>7917</v>
      </c>
      <c r="B3674" s="154" t="s">
        <v>7918</v>
      </c>
      <c r="C3674" s="36" t="s">
        <v>1666</v>
      </c>
      <c r="D3674" s="36" t="s">
        <v>83</v>
      </c>
      <c r="E3674" s="36" t="s">
        <v>83</v>
      </c>
      <c r="F3674" s="154" t="s">
        <v>7919</v>
      </c>
      <c r="G3674" s="36" t="s">
        <v>28</v>
      </c>
      <c r="H3674" s="36" t="s">
        <v>1655</v>
      </c>
      <c r="I3674" s="36" t="s">
        <v>1656</v>
      </c>
      <c r="J3674" s="36" t="s">
        <v>1656</v>
      </c>
      <c r="K3674" s="36" t="s">
        <v>1891</v>
      </c>
      <c r="L3674" s="36" t="s">
        <v>6585</v>
      </c>
      <c r="M3674" s="36" t="s">
        <v>6585</v>
      </c>
      <c r="N3674" s="36" t="s">
        <v>32</v>
      </c>
    </row>
    <row r="3675">
      <c r="A3675" s="36" t="s">
        <v>7920</v>
      </c>
      <c r="B3675" s="154" t="s">
        <v>7918</v>
      </c>
      <c r="C3675" s="36" t="s">
        <v>1666</v>
      </c>
      <c r="D3675" s="36" t="s">
        <v>84</v>
      </c>
      <c r="E3675" s="36" t="s">
        <v>84</v>
      </c>
      <c r="F3675" s="154" t="s">
        <v>7027</v>
      </c>
      <c r="G3675" s="36" t="s">
        <v>32</v>
      </c>
      <c r="H3675" s="36" t="s">
        <v>1655</v>
      </c>
      <c r="I3675" s="36" t="s">
        <v>1656</v>
      </c>
      <c r="J3675" s="36" t="s">
        <v>1656</v>
      </c>
      <c r="K3675" s="36" t="s">
        <v>1921</v>
      </c>
      <c r="L3675" s="36" t="s">
        <v>6585</v>
      </c>
      <c r="M3675" s="36" t="s">
        <v>6585</v>
      </c>
      <c r="N3675" s="36" t="s">
        <v>32</v>
      </c>
    </row>
    <row r="3676">
      <c r="A3676" s="36" t="s">
        <v>7921</v>
      </c>
      <c r="B3676" s="154" t="s">
        <v>7918</v>
      </c>
      <c r="C3676" s="36" t="s">
        <v>1666</v>
      </c>
      <c r="D3676" s="36" t="s">
        <v>130</v>
      </c>
      <c r="E3676" s="36" t="s">
        <v>130</v>
      </c>
      <c r="F3676" s="154" t="s">
        <v>1810</v>
      </c>
      <c r="G3676" s="36" t="s">
        <v>32</v>
      </c>
      <c r="H3676" s="36" t="s">
        <v>1655</v>
      </c>
      <c r="I3676" s="36" t="s">
        <v>1656</v>
      </c>
      <c r="J3676" s="36" t="s">
        <v>1656</v>
      </c>
      <c r="K3676" s="36" t="s">
        <v>1793</v>
      </c>
      <c r="L3676" s="36" t="s">
        <v>6585</v>
      </c>
      <c r="M3676" s="36" t="s">
        <v>6585</v>
      </c>
      <c r="N3676" s="36" t="s">
        <v>32</v>
      </c>
    </row>
    <row r="3677">
      <c r="A3677" s="36" t="s">
        <v>7922</v>
      </c>
      <c r="B3677" s="154" t="s">
        <v>7918</v>
      </c>
      <c r="C3677" s="36" t="s">
        <v>1666</v>
      </c>
      <c r="D3677" s="36" t="s">
        <v>92</v>
      </c>
      <c r="E3677" s="36" t="s">
        <v>92</v>
      </c>
      <c r="F3677" s="154" t="s">
        <v>1778</v>
      </c>
      <c r="G3677" s="36" t="s">
        <v>32</v>
      </c>
      <c r="H3677" s="36" t="s">
        <v>1655</v>
      </c>
      <c r="I3677" s="36" t="s">
        <v>1656</v>
      </c>
      <c r="J3677" s="36" t="s">
        <v>1656</v>
      </c>
      <c r="K3677" s="36" t="s">
        <v>1796</v>
      </c>
      <c r="L3677" s="36" t="s">
        <v>6585</v>
      </c>
      <c r="M3677" s="36" t="s">
        <v>6585</v>
      </c>
      <c r="N3677" s="36" t="s">
        <v>32</v>
      </c>
    </row>
    <row r="3678">
      <c r="A3678" s="36" t="s">
        <v>7923</v>
      </c>
      <c r="B3678" s="154" t="s">
        <v>7918</v>
      </c>
      <c r="C3678" s="36" t="s">
        <v>1666</v>
      </c>
      <c r="D3678" s="36" t="s">
        <v>613</v>
      </c>
      <c r="E3678" s="36" t="s">
        <v>613</v>
      </c>
      <c r="F3678" s="154" t="s">
        <v>2006</v>
      </c>
      <c r="G3678" s="36" t="s">
        <v>28</v>
      </c>
      <c r="H3678" s="36" t="s">
        <v>1655</v>
      </c>
      <c r="I3678" s="36" t="s">
        <v>1656</v>
      </c>
      <c r="J3678" s="36" t="s">
        <v>1656</v>
      </c>
      <c r="K3678" s="36" t="s">
        <v>1800</v>
      </c>
      <c r="L3678" s="36" t="s">
        <v>6585</v>
      </c>
      <c r="M3678" s="36" t="s">
        <v>6585</v>
      </c>
      <c r="N3678" s="36" t="s">
        <v>32</v>
      </c>
    </row>
    <row r="3679">
      <c r="A3679" s="36" t="s">
        <v>7924</v>
      </c>
      <c r="B3679" s="154" t="s">
        <v>7918</v>
      </c>
      <c r="C3679" s="36" t="s">
        <v>1666</v>
      </c>
      <c r="D3679" s="36" t="s">
        <v>124</v>
      </c>
      <c r="E3679" s="36" t="s">
        <v>124</v>
      </c>
      <c r="F3679" s="154" t="s">
        <v>7925</v>
      </c>
      <c r="G3679" s="36" t="s">
        <v>28</v>
      </c>
      <c r="H3679" s="36" t="s">
        <v>1655</v>
      </c>
      <c r="I3679" s="36" t="s">
        <v>1656</v>
      </c>
      <c r="J3679" s="36" t="s">
        <v>1656</v>
      </c>
      <c r="K3679" s="36" t="s">
        <v>1807</v>
      </c>
      <c r="L3679" s="36" t="s">
        <v>6585</v>
      </c>
      <c r="M3679" s="36" t="s">
        <v>6585</v>
      </c>
      <c r="N3679" s="36" t="s">
        <v>32</v>
      </c>
    </row>
    <row r="3680">
      <c r="A3680" s="36" t="s">
        <v>7926</v>
      </c>
      <c r="B3680" s="154" t="s">
        <v>7918</v>
      </c>
      <c r="C3680" s="36" t="s">
        <v>1666</v>
      </c>
      <c r="D3680" s="36" t="s">
        <v>133</v>
      </c>
      <c r="E3680" s="36" t="s">
        <v>133</v>
      </c>
      <c r="F3680" s="154" t="s">
        <v>7927</v>
      </c>
      <c r="G3680" s="36" t="s">
        <v>32</v>
      </c>
      <c r="H3680" s="36" t="s">
        <v>1655</v>
      </c>
      <c r="I3680" s="36" t="s">
        <v>1656</v>
      </c>
      <c r="J3680" s="36" t="s">
        <v>1656</v>
      </c>
      <c r="K3680" s="36" t="s">
        <v>1814</v>
      </c>
      <c r="L3680" s="36" t="s">
        <v>6585</v>
      </c>
      <c r="M3680" s="36" t="s">
        <v>6585</v>
      </c>
      <c r="N3680" s="36" t="s">
        <v>32</v>
      </c>
    </row>
    <row r="3681">
      <c r="A3681" s="36" t="s">
        <v>7928</v>
      </c>
      <c r="B3681" s="154" t="s">
        <v>7929</v>
      </c>
      <c r="C3681" s="36" t="s">
        <v>1666</v>
      </c>
      <c r="D3681" s="36" t="s">
        <v>133</v>
      </c>
      <c r="E3681" s="36" t="s">
        <v>133</v>
      </c>
      <c r="F3681" s="154" t="s">
        <v>7930</v>
      </c>
      <c r="G3681" s="36" t="s">
        <v>32</v>
      </c>
      <c r="H3681" s="36" t="s">
        <v>1655</v>
      </c>
      <c r="I3681" s="36" t="s">
        <v>1656</v>
      </c>
      <c r="J3681" s="36" t="s">
        <v>1656</v>
      </c>
      <c r="K3681" s="36" t="s">
        <v>1848</v>
      </c>
      <c r="L3681" s="36" t="s">
        <v>6585</v>
      </c>
      <c r="M3681" s="36" t="s">
        <v>6585</v>
      </c>
      <c r="N3681" s="36" t="s">
        <v>32</v>
      </c>
    </row>
    <row r="3682">
      <c r="A3682" s="36" t="s">
        <v>7931</v>
      </c>
      <c r="B3682" s="154" t="s">
        <v>7932</v>
      </c>
      <c r="C3682" s="36" t="s">
        <v>1653</v>
      </c>
      <c r="D3682" s="36" t="s">
        <v>60</v>
      </c>
      <c r="E3682" s="36" t="s">
        <v>39</v>
      </c>
      <c r="F3682" s="154" t="s">
        <v>7933</v>
      </c>
      <c r="G3682" s="36" t="s">
        <v>32</v>
      </c>
      <c r="H3682" s="36" t="s">
        <v>1655</v>
      </c>
      <c r="I3682" s="36" t="s">
        <v>1656</v>
      </c>
      <c r="J3682" s="36" t="s">
        <v>1656</v>
      </c>
      <c r="K3682" s="36" t="s">
        <v>5599</v>
      </c>
      <c r="L3682" s="36" t="s">
        <v>7934</v>
      </c>
      <c r="M3682" s="36" t="s">
        <v>7934</v>
      </c>
      <c r="N3682" s="36" t="s">
        <v>32</v>
      </c>
    </row>
    <row r="3683">
      <c r="A3683" s="36" t="s">
        <v>7935</v>
      </c>
      <c r="B3683" s="154" t="s">
        <v>7932</v>
      </c>
      <c r="C3683" s="36" t="s">
        <v>1653</v>
      </c>
      <c r="D3683" s="36" t="s">
        <v>43</v>
      </c>
      <c r="E3683" s="36" t="s">
        <v>39</v>
      </c>
      <c r="F3683" s="154" t="s">
        <v>7936</v>
      </c>
      <c r="G3683" s="36" t="s">
        <v>32</v>
      </c>
      <c r="H3683" s="36" t="s">
        <v>1655</v>
      </c>
      <c r="I3683" s="36" t="s">
        <v>1656</v>
      </c>
      <c r="J3683" s="36" t="s">
        <v>1656</v>
      </c>
      <c r="K3683" s="36" t="s">
        <v>1661</v>
      </c>
      <c r="L3683" s="36" t="s">
        <v>7934</v>
      </c>
      <c r="M3683" s="36" t="s">
        <v>7934</v>
      </c>
      <c r="N3683" s="36" t="s">
        <v>32</v>
      </c>
    </row>
    <row r="3684">
      <c r="A3684" s="36" t="s">
        <v>7937</v>
      </c>
      <c r="B3684" s="154" t="s">
        <v>7932</v>
      </c>
      <c r="C3684" s="36" t="s">
        <v>1653</v>
      </c>
      <c r="D3684" s="36" t="s">
        <v>169</v>
      </c>
      <c r="E3684" s="36" t="s">
        <v>39</v>
      </c>
      <c r="F3684" s="154" t="s">
        <v>7938</v>
      </c>
      <c r="G3684" s="36" t="s">
        <v>32</v>
      </c>
      <c r="H3684" s="36" t="s">
        <v>1655</v>
      </c>
      <c r="I3684" s="36" t="s">
        <v>1656</v>
      </c>
      <c r="J3684" s="36" t="s">
        <v>1656</v>
      </c>
      <c r="K3684" s="36" t="s">
        <v>2265</v>
      </c>
      <c r="L3684" s="36" t="s">
        <v>7934</v>
      </c>
      <c r="M3684" s="36" t="s">
        <v>7934</v>
      </c>
      <c r="N3684" s="36" t="s">
        <v>32</v>
      </c>
    </row>
    <row r="3685">
      <c r="A3685" s="36" t="s">
        <v>7939</v>
      </c>
      <c r="B3685" s="154" t="s">
        <v>7932</v>
      </c>
      <c r="C3685" s="36" t="s">
        <v>1653</v>
      </c>
      <c r="D3685" s="36" t="s">
        <v>180</v>
      </c>
      <c r="E3685" s="36" t="s">
        <v>39</v>
      </c>
      <c r="F3685" s="154" t="s">
        <v>7940</v>
      </c>
      <c r="G3685" s="36" t="s">
        <v>32</v>
      </c>
      <c r="H3685" s="36" t="s">
        <v>1655</v>
      </c>
      <c r="I3685" s="36" t="s">
        <v>1656</v>
      </c>
      <c r="J3685" s="36" t="s">
        <v>1656</v>
      </c>
      <c r="K3685" s="36" t="s">
        <v>1664</v>
      </c>
      <c r="L3685" s="36" t="s">
        <v>7934</v>
      </c>
      <c r="M3685" s="36" t="s">
        <v>7934</v>
      </c>
      <c r="N3685" s="36" t="s">
        <v>32</v>
      </c>
    </row>
    <row r="3686">
      <c r="A3686" s="36" t="s">
        <v>7941</v>
      </c>
      <c r="B3686" s="154" t="s">
        <v>7932</v>
      </c>
      <c r="C3686" s="36" t="s">
        <v>1666</v>
      </c>
      <c r="D3686" s="36" t="s">
        <v>85</v>
      </c>
      <c r="E3686" s="36" t="s">
        <v>85</v>
      </c>
      <c r="F3686" s="154" t="s">
        <v>7406</v>
      </c>
      <c r="G3686" s="36" t="s">
        <v>28</v>
      </c>
      <c r="H3686" s="36" t="s">
        <v>1655</v>
      </c>
      <c r="I3686" s="36" t="s">
        <v>1656</v>
      </c>
      <c r="J3686" s="36" t="s">
        <v>1656</v>
      </c>
      <c r="K3686" s="36" t="s">
        <v>3035</v>
      </c>
      <c r="L3686" s="36" t="s">
        <v>7942</v>
      </c>
      <c r="M3686" s="36" t="s">
        <v>7942</v>
      </c>
      <c r="N3686" s="36" t="s">
        <v>32</v>
      </c>
    </row>
    <row r="3687">
      <c r="A3687" s="36" t="s">
        <v>7943</v>
      </c>
      <c r="B3687" s="154" t="s">
        <v>7932</v>
      </c>
      <c r="C3687" s="36" t="s">
        <v>1666</v>
      </c>
      <c r="D3687" s="36" t="s">
        <v>190</v>
      </c>
      <c r="E3687" s="36" t="s">
        <v>190</v>
      </c>
      <c r="F3687" s="154" t="s">
        <v>7944</v>
      </c>
      <c r="G3687" s="36" t="s">
        <v>28</v>
      </c>
      <c r="H3687" s="36" t="s">
        <v>1655</v>
      </c>
      <c r="I3687" s="36" t="s">
        <v>1656</v>
      </c>
      <c r="J3687" s="36" t="s">
        <v>1656</v>
      </c>
      <c r="K3687" s="36" t="s">
        <v>3038</v>
      </c>
      <c r="L3687" s="36" t="s">
        <v>7942</v>
      </c>
      <c r="M3687" s="36" t="s">
        <v>7942</v>
      </c>
      <c r="N3687" s="36" t="s">
        <v>32</v>
      </c>
    </row>
    <row r="3688">
      <c r="A3688" s="36" t="s">
        <v>7945</v>
      </c>
      <c r="B3688" s="154" t="s">
        <v>7932</v>
      </c>
      <c r="C3688" s="36" t="s">
        <v>1666</v>
      </c>
      <c r="D3688" s="36" t="s">
        <v>194</v>
      </c>
      <c r="E3688" s="36" t="s">
        <v>194</v>
      </c>
      <c r="F3688" s="154" t="s">
        <v>7946</v>
      </c>
      <c r="G3688" s="36" t="s">
        <v>28</v>
      </c>
      <c r="H3688" s="36" t="s">
        <v>1655</v>
      </c>
      <c r="I3688" s="36" t="s">
        <v>1656</v>
      </c>
      <c r="J3688" s="36" t="s">
        <v>1656</v>
      </c>
      <c r="K3688" s="36" t="s">
        <v>2775</v>
      </c>
      <c r="L3688" s="36" t="s">
        <v>7942</v>
      </c>
      <c r="M3688" s="36" t="s">
        <v>7942</v>
      </c>
      <c r="N3688" s="36" t="s">
        <v>32</v>
      </c>
    </row>
    <row r="3689">
      <c r="A3689" s="36" t="s">
        <v>7947</v>
      </c>
      <c r="B3689" s="154" t="s">
        <v>7932</v>
      </c>
      <c r="C3689" s="36" t="s">
        <v>1666</v>
      </c>
      <c r="D3689" s="36" t="s">
        <v>199</v>
      </c>
      <c r="E3689" s="36" t="s">
        <v>199</v>
      </c>
      <c r="F3689" s="154" t="s">
        <v>7948</v>
      </c>
      <c r="G3689" s="36" t="s">
        <v>28</v>
      </c>
      <c r="H3689" s="36" t="s">
        <v>1655</v>
      </c>
      <c r="I3689" s="36" t="s">
        <v>1656</v>
      </c>
      <c r="J3689" s="36" t="s">
        <v>1656</v>
      </c>
      <c r="K3689" s="36" t="s">
        <v>2779</v>
      </c>
      <c r="L3689" s="36" t="s">
        <v>7942</v>
      </c>
      <c r="M3689" s="36" t="s">
        <v>7942</v>
      </c>
      <c r="N3689" s="36" t="s">
        <v>32</v>
      </c>
    </row>
    <row r="3690">
      <c r="A3690" s="36" t="s">
        <v>7949</v>
      </c>
      <c r="B3690" s="154" t="s">
        <v>7932</v>
      </c>
      <c r="C3690" s="36" t="s">
        <v>1666</v>
      </c>
      <c r="D3690" s="36" t="s">
        <v>206</v>
      </c>
      <c r="E3690" s="36" t="s">
        <v>206</v>
      </c>
      <c r="F3690" s="154" t="s">
        <v>7950</v>
      </c>
      <c r="G3690" s="36" t="s">
        <v>32</v>
      </c>
      <c r="H3690" s="36" t="s">
        <v>1655</v>
      </c>
      <c r="I3690" s="36" t="s">
        <v>1656</v>
      </c>
      <c r="J3690" s="36" t="s">
        <v>1656</v>
      </c>
      <c r="K3690" s="36" t="s">
        <v>1675</v>
      </c>
      <c r="L3690" s="36" t="s">
        <v>7942</v>
      </c>
      <c r="M3690" s="36" t="s">
        <v>7942</v>
      </c>
      <c r="N3690" s="36" t="s">
        <v>32</v>
      </c>
    </row>
    <row r="3691">
      <c r="A3691" s="36" t="s">
        <v>7951</v>
      </c>
      <c r="B3691" s="154" t="s">
        <v>7952</v>
      </c>
      <c r="C3691" s="36" t="s">
        <v>1666</v>
      </c>
      <c r="D3691" s="36" t="s">
        <v>211</v>
      </c>
      <c r="E3691" s="36" t="s">
        <v>211</v>
      </c>
      <c r="F3691" s="154" t="s">
        <v>1832</v>
      </c>
      <c r="G3691" s="36" t="s">
        <v>32</v>
      </c>
      <c r="H3691" s="36" t="s">
        <v>1655</v>
      </c>
      <c r="I3691" s="36" t="s">
        <v>1656</v>
      </c>
      <c r="J3691" s="36" t="s">
        <v>1656</v>
      </c>
      <c r="K3691" s="36" t="s">
        <v>1678</v>
      </c>
      <c r="L3691" s="36" t="s">
        <v>7942</v>
      </c>
      <c r="M3691" s="36" t="s">
        <v>7942</v>
      </c>
      <c r="N3691" s="36" t="s">
        <v>32</v>
      </c>
    </row>
    <row r="3692">
      <c r="A3692" s="36" t="s">
        <v>7953</v>
      </c>
      <c r="B3692" s="154" t="s">
        <v>7954</v>
      </c>
      <c r="C3692" s="36" t="s">
        <v>1666</v>
      </c>
      <c r="D3692" s="36" t="s">
        <v>78</v>
      </c>
      <c r="E3692" s="36" t="s">
        <v>78</v>
      </c>
      <c r="F3692" s="154" t="s">
        <v>1950</v>
      </c>
      <c r="G3692" s="36" t="s">
        <v>28</v>
      </c>
      <c r="H3692" s="36" t="s">
        <v>1655</v>
      </c>
      <c r="I3692" s="36" t="s">
        <v>1656</v>
      </c>
      <c r="J3692" s="36" t="s">
        <v>1656</v>
      </c>
      <c r="K3692" s="36" t="s">
        <v>4248</v>
      </c>
      <c r="L3692" s="36" t="s">
        <v>7942</v>
      </c>
      <c r="M3692" s="36" t="s">
        <v>7942</v>
      </c>
      <c r="N3692" s="36" t="s">
        <v>32</v>
      </c>
    </row>
    <row r="3693">
      <c r="A3693" s="36" t="s">
        <v>7955</v>
      </c>
      <c r="B3693" s="154" t="s">
        <v>7954</v>
      </c>
      <c r="C3693" s="36" t="s">
        <v>1666</v>
      </c>
      <c r="D3693" s="36" t="s">
        <v>219</v>
      </c>
      <c r="E3693" s="36" t="s">
        <v>219</v>
      </c>
      <c r="F3693" s="154" t="s">
        <v>7956</v>
      </c>
      <c r="G3693" s="36" t="s">
        <v>32</v>
      </c>
      <c r="H3693" s="36" t="s">
        <v>1655</v>
      </c>
      <c r="I3693" s="36" t="s">
        <v>1656</v>
      </c>
      <c r="J3693" s="36" t="s">
        <v>1656</v>
      </c>
      <c r="K3693" s="36" t="s">
        <v>1681</v>
      </c>
      <c r="L3693" s="36" t="s">
        <v>7942</v>
      </c>
      <c r="M3693" s="36" t="s">
        <v>7942</v>
      </c>
      <c r="N3693" s="36" t="s">
        <v>32</v>
      </c>
    </row>
    <row r="3694">
      <c r="A3694" s="36" t="s">
        <v>7957</v>
      </c>
      <c r="B3694" s="154" t="s">
        <v>7954</v>
      </c>
      <c r="C3694" s="36" t="s">
        <v>1666</v>
      </c>
      <c r="D3694" s="36" t="s">
        <v>225</v>
      </c>
      <c r="E3694" s="36" t="s">
        <v>225</v>
      </c>
      <c r="F3694" s="154" t="s">
        <v>7958</v>
      </c>
      <c r="G3694" s="36" t="s">
        <v>32</v>
      </c>
      <c r="H3694" s="36" t="s">
        <v>1655</v>
      </c>
      <c r="I3694" s="36" t="s">
        <v>1656</v>
      </c>
      <c r="J3694" s="36" t="s">
        <v>1656</v>
      </c>
      <c r="K3694" s="36" t="s">
        <v>1684</v>
      </c>
      <c r="L3694" s="36" t="s">
        <v>7942</v>
      </c>
      <c r="M3694" s="36" t="s">
        <v>7942</v>
      </c>
      <c r="N3694" s="36" t="s">
        <v>32</v>
      </c>
    </row>
    <row r="3695">
      <c r="A3695" s="36" t="s">
        <v>7959</v>
      </c>
      <c r="B3695" s="154" t="s">
        <v>7954</v>
      </c>
      <c r="C3695" s="36" t="s">
        <v>1666</v>
      </c>
      <c r="D3695" s="36" t="s">
        <v>233</v>
      </c>
      <c r="E3695" s="36" t="s">
        <v>233</v>
      </c>
      <c r="F3695" s="154" t="s">
        <v>2911</v>
      </c>
      <c r="G3695" s="36" t="s">
        <v>28</v>
      </c>
      <c r="H3695" s="36" t="s">
        <v>1655</v>
      </c>
      <c r="I3695" s="36" t="s">
        <v>1656</v>
      </c>
      <c r="J3695" s="36" t="s">
        <v>1656</v>
      </c>
      <c r="K3695" s="36" t="s">
        <v>1691</v>
      </c>
      <c r="L3695" s="36" t="s">
        <v>7942</v>
      </c>
      <c r="M3695" s="36" t="s">
        <v>7942</v>
      </c>
      <c r="N3695" s="36" t="s">
        <v>34</v>
      </c>
    </row>
    <row r="3696">
      <c r="A3696" s="36" t="s">
        <v>7960</v>
      </c>
      <c r="B3696" s="154" t="s">
        <v>7961</v>
      </c>
      <c r="C3696" s="36" t="s">
        <v>1666</v>
      </c>
      <c r="D3696" s="36" t="s">
        <v>63</v>
      </c>
      <c r="E3696" s="36" t="s">
        <v>63</v>
      </c>
      <c r="F3696" s="154" t="s">
        <v>7962</v>
      </c>
      <c r="G3696" s="36" t="s">
        <v>32</v>
      </c>
      <c r="H3696" s="36" t="s">
        <v>1655</v>
      </c>
      <c r="I3696" s="36" t="s">
        <v>1656</v>
      </c>
      <c r="J3696" s="36" t="s">
        <v>1656</v>
      </c>
      <c r="K3696" s="36" t="s">
        <v>4196</v>
      </c>
      <c r="L3696" s="36" t="s">
        <v>7942</v>
      </c>
      <c r="M3696" s="36" t="s">
        <v>7942</v>
      </c>
      <c r="N3696" s="36" t="s">
        <v>34</v>
      </c>
    </row>
    <row r="3697">
      <c r="A3697" s="36" t="s">
        <v>7963</v>
      </c>
      <c r="B3697" s="154" t="s">
        <v>7964</v>
      </c>
      <c r="C3697" s="36" t="s">
        <v>1666</v>
      </c>
      <c r="D3697" s="36" t="s">
        <v>64</v>
      </c>
      <c r="E3697" s="36" t="s">
        <v>64</v>
      </c>
      <c r="F3697" s="154" t="s">
        <v>7648</v>
      </c>
      <c r="G3697" s="36" t="s">
        <v>28</v>
      </c>
      <c r="H3697" s="36" t="s">
        <v>1655</v>
      </c>
      <c r="I3697" s="36" t="s">
        <v>1656</v>
      </c>
      <c r="J3697" s="36" t="s">
        <v>1656</v>
      </c>
      <c r="K3697" s="36" t="s">
        <v>1708</v>
      </c>
      <c r="L3697" s="36" t="s">
        <v>7942</v>
      </c>
      <c r="M3697" s="36" t="s">
        <v>7942</v>
      </c>
      <c r="N3697" s="36" t="s">
        <v>32</v>
      </c>
    </row>
    <row r="3698">
      <c r="A3698" s="36" t="s">
        <v>7965</v>
      </c>
      <c r="B3698" s="154" t="s">
        <v>7964</v>
      </c>
      <c r="C3698" s="36" t="s">
        <v>1666</v>
      </c>
      <c r="D3698" s="36" t="s">
        <v>240</v>
      </c>
      <c r="E3698" s="36" t="s">
        <v>240</v>
      </c>
      <c r="F3698" s="154" t="s">
        <v>2325</v>
      </c>
      <c r="G3698" s="36" t="s">
        <v>28</v>
      </c>
      <c r="H3698" s="36" t="s">
        <v>1655</v>
      </c>
      <c r="I3698" s="36" t="s">
        <v>1656</v>
      </c>
      <c r="J3698" s="36" t="s">
        <v>1656</v>
      </c>
      <c r="K3698" s="36" t="s">
        <v>1695</v>
      </c>
      <c r="L3698" s="36" t="s">
        <v>7942</v>
      </c>
      <c r="M3698" s="36" t="s">
        <v>7942</v>
      </c>
      <c r="N3698" s="36" t="s">
        <v>34</v>
      </c>
    </row>
    <row r="3699">
      <c r="A3699" s="36" t="s">
        <v>7966</v>
      </c>
      <c r="B3699" s="154" t="s">
        <v>7967</v>
      </c>
      <c r="C3699" s="36" t="s">
        <v>1666</v>
      </c>
      <c r="D3699" s="36" t="s">
        <v>95</v>
      </c>
      <c r="E3699" s="36" t="s">
        <v>95</v>
      </c>
      <c r="F3699" s="154" t="s">
        <v>7968</v>
      </c>
      <c r="G3699" s="36" t="s">
        <v>32</v>
      </c>
      <c r="H3699" s="36" t="s">
        <v>1655</v>
      </c>
      <c r="I3699" s="36" t="s">
        <v>1656</v>
      </c>
      <c r="J3699" s="36" t="s">
        <v>1656</v>
      </c>
      <c r="K3699" s="36" t="s">
        <v>1698</v>
      </c>
      <c r="L3699" s="36" t="s">
        <v>7942</v>
      </c>
      <c r="M3699" s="36" t="s">
        <v>7942</v>
      </c>
      <c r="N3699" s="36" t="s">
        <v>32</v>
      </c>
    </row>
    <row r="3700">
      <c r="A3700" s="36" t="s">
        <v>7969</v>
      </c>
      <c r="B3700" s="154" t="s">
        <v>7970</v>
      </c>
      <c r="C3700" s="36" t="s">
        <v>1666</v>
      </c>
      <c r="D3700" s="36" t="s">
        <v>66</v>
      </c>
      <c r="E3700" s="36" t="s">
        <v>66</v>
      </c>
      <c r="F3700" s="154" t="s">
        <v>7971</v>
      </c>
      <c r="G3700" s="36" t="s">
        <v>28</v>
      </c>
      <c r="H3700" s="36" t="s">
        <v>1655</v>
      </c>
      <c r="I3700" s="36" t="s">
        <v>1656</v>
      </c>
      <c r="J3700" s="36" t="s">
        <v>1656</v>
      </c>
      <c r="K3700" s="36" t="s">
        <v>1721</v>
      </c>
      <c r="L3700" s="36" t="s">
        <v>7942</v>
      </c>
      <c r="M3700" s="36" t="s">
        <v>7942</v>
      </c>
      <c r="N3700" s="36" t="s">
        <v>32</v>
      </c>
    </row>
    <row r="3701">
      <c r="A3701" s="36" t="s">
        <v>7972</v>
      </c>
      <c r="B3701" s="154" t="s">
        <v>7970</v>
      </c>
      <c r="C3701" s="36" t="s">
        <v>1666</v>
      </c>
      <c r="D3701" s="36" t="s">
        <v>251</v>
      </c>
      <c r="E3701" s="36" t="s">
        <v>251</v>
      </c>
      <c r="F3701" s="154" t="s">
        <v>7973</v>
      </c>
      <c r="G3701" s="36" t="s">
        <v>32</v>
      </c>
      <c r="H3701" s="36" t="s">
        <v>1655</v>
      </c>
      <c r="I3701" s="36" t="s">
        <v>1656</v>
      </c>
      <c r="J3701" s="36" t="s">
        <v>1656</v>
      </c>
      <c r="K3701" s="36" t="s">
        <v>1701</v>
      </c>
      <c r="L3701" s="36" t="s">
        <v>7942</v>
      </c>
      <c r="M3701" s="36" t="s">
        <v>7942</v>
      </c>
      <c r="N3701" s="36" t="s">
        <v>32</v>
      </c>
    </row>
    <row r="3702">
      <c r="A3702" s="36" t="s">
        <v>7974</v>
      </c>
      <c r="B3702" s="154" t="s">
        <v>7975</v>
      </c>
      <c r="C3702" s="36" t="s">
        <v>1666</v>
      </c>
      <c r="D3702" s="36" t="s">
        <v>257</v>
      </c>
      <c r="E3702" s="36" t="s">
        <v>257</v>
      </c>
      <c r="F3702" s="154" t="s">
        <v>7976</v>
      </c>
      <c r="G3702" s="36" t="s">
        <v>32</v>
      </c>
      <c r="H3702" s="36" t="s">
        <v>1655</v>
      </c>
      <c r="I3702" s="36" t="s">
        <v>1656</v>
      </c>
      <c r="J3702" s="36" t="s">
        <v>1656</v>
      </c>
      <c r="K3702" s="36" t="s">
        <v>1704</v>
      </c>
      <c r="L3702" s="36" t="s">
        <v>7942</v>
      </c>
      <c r="M3702" s="36" t="s">
        <v>7942</v>
      </c>
      <c r="N3702" s="36" t="s">
        <v>32</v>
      </c>
    </row>
    <row r="3703">
      <c r="A3703" s="36" t="s">
        <v>7977</v>
      </c>
      <c r="B3703" s="154" t="s">
        <v>7975</v>
      </c>
      <c r="C3703" s="36" t="s">
        <v>1666</v>
      </c>
      <c r="D3703" s="36" t="s">
        <v>109</v>
      </c>
      <c r="E3703" s="36" t="s">
        <v>109</v>
      </c>
      <c r="F3703" s="154" t="s">
        <v>5958</v>
      </c>
      <c r="G3703" s="36" t="s">
        <v>28</v>
      </c>
      <c r="H3703" s="36" t="s">
        <v>1655</v>
      </c>
      <c r="I3703" s="36" t="s">
        <v>1656</v>
      </c>
      <c r="J3703" s="36" t="s">
        <v>1656</v>
      </c>
      <c r="K3703" s="36" t="s">
        <v>1711</v>
      </c>
      <c r="L3703" s="36" t="s">
        <v>7942</v>
      </c>
      <c r="M3703" s="36" t="s">
        <v>7942</v>
      </c>
      <c r="N3703" s="36" t="s">
        <v>32</v>
      </c>
    </row>
    <row r="3704">
      <c r="A3704" s="36" t="s">
        <v>7978</v>
      </c>
      <c r="B3704" s="154" t="s">
        <v>7979</v>
      </c>
      <c r="C3704" s="36" t="s">
        <v>1653</v>
      </c>
      <c r="D3704" s="36" t="s">
        <v>55</v>
      </c>
      <c r="E3704" s="36" t="s">
        <v>39</v>
      </c>
      <c r="F3704" s="154" t="s">
        <v>7980</v>
      </c>
      <c r="G3704" s="36" t="s">
        <v>32</v>
      </c>
      <c r="H3704" s="36" t="s">
        <v>1655</v>
      </c>
      <c r="I3704" s="36" t="s">
        <v>1656</v>
      </c>
      <c r="J3704" s="36" t="s">
        <v>1656</v>
      </c>
      <c r="K3704" s="36" t="s">
        <v>1749</v>
      </c>
      <c r="L3704" s="36" t="s">
        <v>7934</v>
      </c>
      <c r="M3704" s="36" t="s">
        <v>7934</v>
      </c>
      <c r="N3704" s="36" t="s">
        <v>32</v>
      </c>
    </row>
    <row r="3705">
      <c r="A3705" s="36" t="s">
        <v>7981</v>
      </c>
      <c r="B3705" s="154" t="s">
        <v>7979</v>
      </c>
      <c r="C3705" s="36" t="s">
        <v>1666</v>
      </c>
      <c r="D3705" s="36" t="s">
        <v>76</v>
      </c>
      <c r="E3705" s="36" t="s">
        <v>76</v>
      </c>
      <c r="F3705" s="154" t="s">
        <v>7982</v>
      </c>
      <c r="G3705" s="36" t="s">
        <v>28</v>
      </c>
      <c r="H3705" s="36" t="s">
        <v>1655</v>
      </c>
      <c r="I3705" s="36" t="s">
        <v>1656</v>
      </c>
      <c r="J3705" s="36" t="s">
        <v>1656</v>
      </c>
      <c r="K3705" s="36" t="s">
        <v>1763</v>
      </c>
      <c r="L3705" s="36" t="s">
        <v>7942</v>
      </c>
      <c r="M3705" s="36" t="s">
        <v>7942</v>
      </c>
      <c r="N3705" s="36" t="s">
        <v>32</v>
      </c>
    </row>
    <row r="3706">
      <c r="A3706" s="36" t="s">
        <v>7983</v>
      </c>
      <c r="B3706" s="154" t="s">
        <v>7979</v>
      </c>
      <c r="C3706" s="36" t="s">
        <v>1666</v>
      </c>
      <c r="D3706" s="36" t="s">
        <v>77</v>
      </c>
      <c r="E3706" s="36" t="s">
        <v>77</v>
      </c>
      <c r="F3706" s="154" t="s">
        <v>1768</v>
      </c>
      <c r="G3706" s="36" t="s">
        <v>34</v>
      </c>
      <c r="H3706" s="36" t="s">
        <v>1655</v>
      </c>
      <c r="I3706" s="36" t="s">
        <v>1656</v>
      </c>
      <c r="J3706" s="36" t="s">
        <v>1656</v>
      </c>
      <c r="K3706" s="36" t="s">
        <v>1766</v>
      </c>
      <c r="L3706" s="36" t="s">
        <v>7942</v>
      </c>
      <c r="M3706" s="36" t="s">
        <v>7942</v>
      </c>
      <c r="N3706" s="36" t="s">
        <v>32</v>
      </c>
    </row>
    <row r="3707">
      <c r="A3707" s="36" t="s">
        <v>7984</v>
      </c>
      <c r="B3707" s="154" t="s">
        <v>7979</v>
      </c>
      <c r="C3707" s="36" t="s">
        <v>1666</v>
      </c>
      <c r="D3707" s="36" t="s">
        <v>267</v>
      </c>
      <c r="E3707" s="36" t="s">
        <v>267</v>
      </c>
      <c r="F3707" s="154" t="s">
        <v>7985</v>
      </c>
      <c r="G3707" s="36" t="s">
        <v>28</v>
      </c>
      <c r="H3707" s="36" t="s">
        <v>1655</v>
      </c>
      <c r="I3707" s="36" t="s">
        <v>1656</v>
      </c>
      <c r="J3707" s="36" t="s">
        <v>1656</v>
      </c>
      <c r="K3707" s="36" t="s">
        <v>1715</v>
      </c>
      <c r="L3707" s="36" t="s">
        <v>7942</v>
      </c>
      <c r="M3707" s="36" t="s">
        <v>7942</v>
      </c>
      <c r="N3707" s="36" t="s">
        <v>32</v>
      </c>
    </row>
    <row r="3708">
      <c r="A3708" s="36" t="s">
        <v>7986</v>
      </c>
      <c r="B3708" s="154" t="s">
        <v>7979</v>
      </c>
      <c r="C3708" s="36" t="s">
        <v>1666</v>
      </c>
      <c r="D3708" s="36" t="s">
        <v>226</v>
      </c>
      <c r="E3708" s="36" t="s">
        <v>226</v>
      </c>
      <c r="F3708" s="154" t="s">
        <v>7987</v>
      </c>
      <c r="G3708" s="36" t="s">
        <v>32</v>
      </c>
      <c r="H3708" s="36" t="s">
        <v>1655</v>
      </c>
      <c r="I3708" s="36" t="s">
        <v>1656</v>
      </c>
      <c r="J3708" s="36" t="s">
        <v>1656</v>
      </c>
      <c r="K3708" s="36" t="s">
        <v>1717</v>
      </c>
      <c r="L3708" s="36" t="s">
        <v>7942</v>
      </c>
      <c r="M3708" s="36" t="s">
        <v>7942</v>
      </c>
      <c r="N3708" s="36" t="s">
        <v>32</v>
      </c>
    </row>
    <row r="3709">
      <c r="A3709" s="36" t="s">
        <v>7988</v>
      </c>
      <c r="B3709" s="154" t="s">
        <v>7979</v>
      </c>
      <c r="C3709" s="36" t="s">
        <v>1666</v>
      </c>
      <c r="D3709" s="36" t="s">
        <v>93</v>
      </c>
      <c r="E3709" s="36" t="s">
        <v>93</v>
      </c>
      <c r="F3709" s="154" t="s">
        <v>7989</v>
      </c>
      <c r="G3709" s="36" t="s">
        <v>28</v>
      </c>
      <c r="H3709" s="36" t="s">
        <v>1655</v>
      </c>
      <c r="I3709" s="36" t="s">
        <v>1656</v>
      </c>
      <c r="J3709" s="36" t="s">
        <v>1656</v>
      </c>
      <c r="K3709" s="36" t="s">
        <v>1724</v>
      </c>
      <c r="L3709" s="36" t="s">
        <v>7942</v>
      </c>
      <c r="M3709" s="36" t="s">
        <v>7942</v>
      </c>
      <c r="N3709" s="36" t="s">
        <v>32</v>
      </c>
    </row>
    <row r="3710">
      <c r="A3710" s="36" t="s">
        <v>7990</v>
      </c>
      <c r="B3710" s="154" t="s">
        <v>7979</v>
      </c>
      <c r="C3710" s="36" t="s">
        <v>1666</v>
      </c>
      <c r="D3710" s="36" t="s">
        <v>115</v>
      </c>
      <c r="E3710" s="36" t="s">
        <v>115</v>
      </c>
      <c r="F3710" s="154" t="s">
        <v>1683</v>
      </c>
      <c r="G3710" s="36" t="s">
        <v>32</v>
      </c>
      <c r="H3710" s="36" t="s">
        <v>1655</v>
      </c>
      <c r="I3710" s="36" t="s">
        <v>1656</v>
      </c>
      <c r="J3710" s="36" t="s">
        <v>1656</v>
      </c>
      <c r="K3710" s="36" t="s">
        <v>1727</v>
      </c>
      <c r="L3710" s="36" t="s">
        <v>7942</v>
      </c>
      <c r="M3710" s="36" t="s">
        <v>7942</v>
      </c>
      <c r="N3710" s="36" t="s">
        <v>32</v>
      </c>
    </row>
    <row r="3711">
      <c r="A3711" s="36" t="s">
        <v>7991</v>
      </c>
      <c r="B3711" s="154" t="s">
        <v>7979</v>
      </c>
      <c r="C3711" s="36" t="s">
        <v>1666</v>
      </c>
      <c r="D3711" s="36" t="s">
        <v>114</v>
      </c>
      <c r="E3711" s="36" t="s">
        <v>114</v>
      </c>
      <c r="F3711" s="154" t="s">
        <v>7992</v>
      </c>
      <c r="G3711" s="36" t="s">
        <v>32</v>
      </c>
      <c r="H3711" s="36" t="s">
        <v>1655</v>
      </c>
      <c r="I3711" s="36" t="s">
        <v>1656</v>
      </c>
      <c r="J3711" s="36" t="s">
        <v>1656</v>
      </c>
      <c r="K3711" s="36" t="s">
        <v>1730</v>
      </c>
      <c r="L3711" s="36" t="s">
        <v>7942</v>
      </c>
      <c r="M3711" s="36" t="s">
        <v>7942</v>
      </c>
      <c r="N3711" s="36" t="s">
        <v>32</v>
      </c>
    </row>
    <row r="3712">
      <c r="A3712" s="36" t="s">
        <v>7993</v>
      </c>
      <c r="B3712" s="154" t="s">
        <v>7979</v>
      </c>
      <c r="C3712" s="36" t="s">
        <v>1666</v>
      </c>
      <c r="D3712" s="36" t="s">
        <v>220</v>
      </c>
      <c r="E3712" s="36" t="s">
        <v>220</v>
      </c>
      <c r="F3712" s="154" t="s">
        <v>7994</v>
      </c>
      <c r="G3712" s="36" t="s">
        <v>28</v>
      </c>
      <c r="H3712" s="36" t="s">
        <v>1655</v>
      </c>
      <c r="I3712" s="36" t="s">
        <v>1656</v>
      </c>
      <c r="J3712" s="36" t="s">
        <v>1656</v>
      </c>
      <c r="K3712" s="36" t="s">
        <v>1732</v>
      </c>
      <c r="L3712" s="36" t="s">
        <v>7942</v>
      </c>
      <c r="M3712" s="36" t="s">
        <v>7942</v>
      </c>
      <c r="N3712" s="36" t="s">
        <v>32</v>
      </c>
    </row>
    <row r="3713">
      <c r="A3713" s="36" t="s">
        <v>7995</v>
      </c>
      <c r="B3713" s="154" t="s">
        <v>7996</v>
      </c>
      <c r="C3713" s="36" t="s">
        <v>1666</v>
      </c>
      <c r="D3713" s="36" t="s">
        <v>290</v>
      </c>
      <c r="E3713" s="36" t="s">
        <v>290</v>
      </c>
      <c r="F3713" s="154" t="s">
        <v>1959</v>
      </c>
      <c r="G3713" s="36" t="s">
        <v>32</v>
      </c>
      <c r="H3713" s="36" t="s">
        <v>1655</v>
      </c>
      <c r="I3713" s="36" t="s">
        <v>1656</v>
      </c>
      <c r="J3713" s="36" t="s">
        <v>1656</v>
      </c>
      <c r="K3713" s="36" t="s">
        <v>1736</v>
      </c>
      <c r="L3713" s="36" t="s">
        <v>7942</v>
      </c>
      <c r="M3713" s="36" t="s">
        <v>7942</v>
      </c>
      <c r="N3713" s="36" t="s">
        <v>32</v>
      </c>
    </row>
    <row r="3714">
      <c r="A3714" s="36" t="s">
        <v>7997</v>
      </c>
      <c r="B3714" s="154" t="s">
        <v>7996</v>
      </c>
      <c r="C3714" s="36" t="s">
        <v>1666</v>
      </c>
      <c r="D3714" s="36" t="s">
        <v>295</v>
      </c>
      <c r="E3714" s="36" t="s">
        <v>295</v>
      </c>
      <c r="F3714" s="154" t="s">
        <v>7998</v>
      </c>
      <c r="G3714" s="36" t="s">
        <v>32</v>
      </c>
      <c r="H3714" s="36" t="s">
        <v>1655</v>
      </c>
      <c r="I3714" s="36" t="s">
        <v>1656</v>
      </c>
      <c r="J3714" s="36" t="s">
        <v>1656</v>
      </c>
      <c r="K3714" s="36" t="s">
        <v>1739</v>
      </c>
      <c r="L3714" s="36" t="s">
        <v>7942</v>
      </c>
      <c r="M3714" s="36" t="s">
        <v>7942</v>
      </c>
      <c r="N3714" s="36" t="s">
        <v>32</v>
      </c>
    </row>
    <row r="3715">
      <c r="A3715" s="36" t="s">
        <v>7999</v>
      </c>
      <c r="B3715" s="154" t="s">
        <v>7996</v>
      </c>
      <c r="C3715" s="36" t="s">
        <v>1666</v>
      </c>
      <c r="D3715" s="36" t="s">
        <v>191</v>
      </c>
      <c r="E3715" s="36" t="s">
        <v>191</v>
      </c>
      <c r="F3715" s="154" t="s">
        <v>1816</v>
      </c>
      <c r="G3715" s="36" t="s">
        <v>28</v>
      </c>
      <c r="H3715" s="36" t="s">
        <v>1655</v>
      </c>
      <c r="I3715" s="36" t="s">
        <v>1656</v>
      </c>
      <c r="J3715" s="36" t="s">
        <v>1656</v>
      </c>
      <c r="K3715" s="36" t="s">
        <v>1742</v>
      </c>
      <c r="L3715" s="36" t="s">
        <v>7942</v>
      </c>
      <c r="M3715" s="36" t="s">
        <v>7942</v>
      </c>
      <c r="N3715" s="36" t="s">
        <v>32</v>
      </c>
    </row>
    <row r="3716">
      <c r="A3716" s="36" t="s">
        <v>8000</v>
      </c>
      <c r="B3716" s="154" t="s">
        <v>7996</v>
      </c>
      <c r="C3716" s="36" t="s">
        <v>1666</v>
      </c>
      <c r="D3716" s="36" t="s">
        <v>305</v>
      </c>
      <c r="E3716" s="36" t="s">
        <v>305</v>
      </c>
      <c r="F3716" s="154" t="s">
        <v>1816</v>
      </c>
      <c r="G3716" s="36" t="s">
        <v>32</v>
      </c>
      <c r="H3716" s="36" t="s">
        <v>1655</v>
      </c>
      <c r="I3716" s="36" t="s">
        <v>1656</v>
      </c>
      <c r="J3716" s="36" t="s">
        <v>1656</v>
      </c>
      <c r="K3716" s="36" t="s">
        <v>1745</v>
      </c>
      <c r="L3716" s="36" t="s">
        <v>7942</v>
      </c>
      <c r="M3716" s="36" t="s">
        <v>7942</v>
      </c>
      <c r="N3716" s="36" t="s">
        <v>32</v>
      </c>
    </row>
    <row r="3717">
      <c r="A3717" s="36" t="s">
        <v>8001</v>
      </c>
      <c r="B3717" s="154" t="s">
        <v>7996</v>
      </c>
      <c r="C3717" s="36" t="s">
        <v>1666</v>
      </c>
      <c r="D3717" s="36" t="s">
        <v>102</v>
      </c>
      <c r="E3717" s="36" t="s">
        <v>102</v>
      </c>
      <c r="F3717" s="154" t="s">
        <v>1686</v>
      </c>
      <c r="G3717" s="36" t="s">
        <v>34</v>
      </c>
      <c r="H3717" s="36" t="s">
        <v>1655</v>
      </c>
      <c r="I3717" s="36" t="s">
        <v>1656</v>
      </c>
      <c r="J3717" s="36" t="s">
        <v>1656</v>
      </c>
      <c r="K3717" s="36" t="s">
        <v>1773</v>
      </c>
      <c r="L3717" s="36" t="s">
        <v>7942</v>
      </c>
      <c r="M3717" s="36" t="s">
        <v>7942</v>
      </c>
      <c r="N3717" s="36" t="s">
        <v>32</v>
      </c>
    </row>
    <row r="3718">
      <c r="A3718" s="36" t="s">
        <v>8002</v>
      </c>
      <c r="B3718" s="154" t="s">
        <v>7996</v>
      </c>
      <c r="C3718" s="36" t="s">
        <v>1666</v>
      </c>
      <c r="D3718" s="36" t="s">
        <v>104</v>
      </c>
      <c r="E3718" s="36" t="s">
        <v>104</v>
      </c>
      <c r="F3718" s="154" t="s">
        <v>1686</v>
      </c>
      <c r="G3718" s="36" t="s">
        <v>32</v>
      </c>
      <c r="H3718" s="36" t="s">
        <v>1655</v>
      </c>
      <c r="I3718" s="36" t="s">
        <v>1656</v>
      </c>
      <c r="J3718" s="36" t="s">
        <v>1656</v>
      </c>
      <c r="K3718" s="36" t="s">
        <v>1776</v>
      </c>
      <c r="L3718" s="36" t="s">
        <v>7942</v>
      </c>
      <c r="M3718" s="36" t="s">
        <v>7942</v>
      </c>
      <c r="N3718" s="36" t="s">
        <v>32</v>
      </c>
    </row>
    <row r="3719">
      <c r="A3719" s="36" t="s">
        <v>8003</v>
      </c>
      <c r="B3719" s="154" t="s">
        <v>7996</v>
      </c>
      <c r="C3719" s="36" t="s">
        <v>1666</v>
      </c>
      <c r="D3719" s="36" t="s">
        <v>110</v>
      </c>
      <c r="E3719" s="36" t="s">
        <v>110</v>
      </c>
      <c r="F3719" s="154" t="s">
        <v>1686</v>
      </c>
      <c r="G3719" s="36" t="s">
        <v>28</v>
      </c>
      <c r="H3719" s="36" t="s">
        <v>1655</v>
      </c>
      <c r="I3719" s="36" t="s">
        <v>1656</v>
      </c>
      <c r="J3719" s="36" t="s">
        <v>1656</v>
      </c>
      <c r="K3719" s="36" t="s">
        <v>1779</v>
      </c>
      <c r="L3719" s="36" t="s">
        <v>7942</v>
      </c>
      <c r="M3719" s="36" t="s">
        <v>7942</v>
      </c>
      <c r="N3719" s="36" t="s">
        <v>32</v>
      </c>
    </row>
    <row r="3720">
      <c r="A3720" s="36" t="s">
        <v>8004</v>
      </c>
      <c r="B3720" s="154" t="s">
        <v>7996</v>
      </c>
      <c r="C3720" s="36" t="s">
        <v>1666</v>
      </c>
      <c r="D3720" s="36" t="s">
        <v>324</v>
      </c>
      <c r="E3720" s="36" t="s">
        <v>324</v>
      </c>
      <c r="F3720" s="154" t="s">
        <v>1832</v>
      </c>
      <c r="G3720" s="36" t="s">
        <v>32</v>
      </c>
      <c r="H3720" s="36" t="s">
        <v>1655</v>
      </c>
      <c r="I3720" s="36" t="s">
        <v>1656</v>
      </c>
      <c r="J3720" s="36" t="s">
        <v>1656</v>
      </c>
      <c r="K3720" s="36" t="s">
        <v>1782</v>
      </c>
      <c r="L3720" s="36" t="s">
        <v>7942</v>
      </c>
      <c r="M3720" s="36" t="s">
        <v>7942</v>
      </c>
      <c r="N3720" s="36" t="s">
        <v>32</v>
      </c>
    </row>
    <row r="3721">
      <c r="A3721" s="36" t="s">
        <v>8005</v>
      </c>
      <c r="B3721" s="154" t="s">
        <v>7996</v>
      </c>
      <c r="C3721" s="36" t="s">
        <v>1666</v>
      </c>
      <c r="D3721" s="36" t="s">
        <v>327</v>
      </c>
      <c r="E3721" s="36" t="s">
        <v>327</v>
      </c>
      <c r="F3721" s="154" t="s">
        <v>1806</v>
      </c>
      <c r="G3721" s="36" t="s">
        <v>32</v>
      </c>
      <c r="H3721" s="36" t="s">
        <v>1655</v>
      </c>
      <c r="I3721" s="36" t="s">
        <v>1656</v>
      </c>
      <c r="J3721" s="36" t="s">
        <v>1656</v>
      </c>
      <c r="K3721" s="36" t="s">
        <v>1784</v>
      </c>
      <c r="L3721" s="36" t="s">
        <v>7942</v>
      </c>
      <c r="M3721" s="36" t="s">
        <v>7942</v>
      </c>
      <c r="N3721" s="36" t="s">
        <v>32</v>
      </c>
    </row>
    <row r="3722">
      <c r="A3722" s="36" t="s">
        <v>8006</v>
      </c>
      <c r="B3722" s="154" t="s">
        <v>7996</v>
      </c>
      <c r="C3722" s="36" t="s">
        <v>1666</v>
      </c>
      <c r="D3722" s="36" t="s">
        <v>328</v>
      </c>
      <c r="E3722" s="36" t="s">
        <v>328</v>
      </c>
      <c r="F3722" s="154" t="s">
        <v>8007</v>
      </c>
      <c r="G3722" s="36" t="s">
        <v>32</v>
      </c>
      <c r="H3722" s="36" t="s">
        <v>1655</v>
      </c>
      <c r="I3722" s="36" t="s">
        <v>1656</v>
      </c>
      <c r="J3722" s="36" t="s">
        <v>1656</v>
      </c>
      <c r="K3722" s="36" t="s">
        <v>1787</v>
      </c>
      <c r="L3722" s="36" t="s">
        <v>7942</v>
      </c>
      <c r="M3722" s="36" t="s">
        <v>7942</v>
      </c>
      <c r="N3722" s="36" t="s">
        <v>32</v>
      </c>
    </row>
    <row r="3723">
      <c r="A3723" s="36" t="s">
        <v>8008</v>
      </c>
      <c r="B3723" s="154" t="s">
        <v>7996</v>
      </c>
      <c r="C3723" s="36" t="s">
        <v>1666</v>
      </c>
      <c r="D3723" s="36" t="s">
        <v>295</v>
      </c>
      <c r="E3723" s="36" t="s">
        <v>295</v>
      </c>
      <c r="F3723" s="154" t="s">
        <v>2085</v>
      </c>
      <c r="G3723" s="36" t="s">
        <v>32</v>
      </c>
      <c r="H3723" s="36" t="s">
        <v>1655</v>
      </c>
      <c r="I3723" s="36" t="s">
        <v>1656</v>
      </c>
      <c r="J3723" s="36" t="s">
        <v>1656</v>
      </c>
      <c r="K3723" s="36" t="s">
        <v>1790</v>
      </c>
      <c r="L3723" s="36" t="s">
        <v>7942</v>
      </c>
      <c r="M3723" s="36" t="s">
        <v>7942</v>
      </c>
      <c r="N3723" s="36" t="s">
        <v>32</v>
      </c>
    </row>
    <row r="3724">
      <c r="A3724" s="36" t="s">
        <v>8009</v>
      </c>
      <c r="B3724" s="154" t="s">
        <v>8010</v>
      </c>
      <c r="C3724" s="36" t="s">
        <v>1666</v>
      </c>
      <c r="D3724" s="36" t="s">
        <v>336</v>
      </c>
      <c r="E3724" s="36" t="s">
        <v>336</v>
      </c>
      <c r="F3724" s="154" t="s">
        <v>7976</v>
      </c>
      <c r="G3724" s="36" t="s">
        <v>32</v>
      </c>
      <c r="H3724" s="36" t="s">
        <v>1655</v>
      </c>
      <c r="I3724" s="36" t="s">
        <v>1656</v>
      </c>
      <c r="J3724" s="36" t="s">
        <v>1656</v>
      </c>
      <c r="K3724" s="36" t="s">
        <v>1793</v>
      </c>
      <c r="L3724" s="36" t="s">
        <v>7942</v>
      </c>
      <c r="M3724" s="36" t="s">
        <v>7942</v>
      </c>
      <c r="N3724" s="36" t="s">
        <v>32</v>
      </c>
    </row>
    <row r="3725">
      <c r="A3725" s="36" t="s">
        <v>8011</v>
      </c>
      <c r="B3725" s="154" t="s">
        <v>8010</v>
      </c>
      <c r="C3725" s="36" t="s">
        <v>1666</v>
      </c>
      <c r="D3725" s="36" t="s">
        <v>121</v>
      </c>
      <c r="E3725" s="36" t="s">
        <v>121</v>
      </c>
      <c r="F3725" s="154" t="s">
        <v>6635</v>
      </c>
      <c r="G3725" s="36" t="s">
        <v>28</v>
      </c>
      <c r="H3725" s="36" t="s">
        <v>1655</v>
      </c>
      <c r="I3725" s="36" t="s">
        <v>1656</v>
      </c>
      <c r="J3725" s="36" t="s">
        <v>1656</v>
      </c>
      <c r="K3725" s="36" t="s">
        <v>1796</v>
      </c>
      <c r="L3725" s="36" t="s">
        <v>7942</v>
      </c>
      <c r="M3725" s="36" t="s">
        <v>7942</v>
      </c>
      <c r="N3725" s="36" t="s">
        <v>32</v>
      </c>
    </row>
    <row r="3726">
      <c r="A3726" s="36" t="s">
        <v>8012</v>
      </c>
      <c r="B3726" s="154" t="s">
        <v>8010</v>
      </c>
      <c r="C3726" s="36" t="s">
        <v>1666</v>
      </c>
      <c r="D3726" s="36" t="s">
        <v>346</v>
      </c>
      <c r="E3726" s="36" t="s">
        <v>346</v>
      </c>
      <c r="F3726" s="154" t="s">
        <v>6637</v>
      </c>
      <c r="G3726" s="36" t="s">
        <v>32</v>
      </c>
      <c r="H3726" s="36" t="s">
        <v>1655</v>
      </c>
      <c r="I3726" s="36" t="s">
        <v>1656</v>
      </c>
      <c r="J3726" s="36" t="s">
        <v>1656</v>
      </c>
      <c r="K3726" s="36" t="s">
        <v>1800</v>
      </c>
      <c r="L3726" s="36" t="s">
        <v>7942</v>
      </c>
      <c r="M3726" s="36" t="s">
        <v>7942</v>
      </c>
      <c r="N3726" s="36" t="s">
        <v>32</v>
      </c>
    </row>
    <row r="3727">
      <c r="A3727" s="36" t="s">
        <v>8013</v>
      </c>
      <c r="B3727" s="154" t="s">
        <v>8014</v>
      </c>
      <c r="C3727" s="36" t="s">
        <v>1666</v>
      </c>
      <c r="D3727" s="36" t="s">
        <v>352</v>
      </c>
      <c r="E3727" s="36" t="s">
        <v>352</v>
      </c>
      <c r="F3727" s="154" t="s">
        <v>8015</v>
      </c>
      <c r="G3727" s="36" t="s">
        <v>32</v>
      </c>
      <c r="H3727" s="36" t="s">
        <v>1655</v>
      </c>
      <c r="I3727" s="36" t="s">
        <v>1656</v>
      </c>
      <c r="J3727" s="36" t="s">
        <v>1656</v>
      </c>
      <c r="K3727" s="36" t="s">
        <v>1803</v>
      </c>
      <c r="L3727" s="36" t="s">
        <v>7942</v>
      </c>
      <c r="M3727" s="36" t="s">
        <v>7942</v>
      </c>
      <c r="N3727" s="36" t="s">
        <v>32</v>
      </c>
    </row>
    <row r="3728">
      <c r="A3728" s="36" t="s">
        <v>8016</v>
      </c>
      <c r="B3728" s="154" t="s">
        <v>8014</v>
      </c>
      <c r="C3728" s="36" t="s">
        <v>1666</v>
      </c>
      <c r="D3728" s="36" t="s">
        <v>355</v>
      </c>
      <c r="E3728" s="36" t="s">
        <v>355</v>
      </c>
      <c r="F3728" s="154" t="s">
        <v>1686</v>
      </c>
      <c r="G3728" s="36" t="s">
        <v>32</v>
      </c>
      <c r="H3728" s="36" t="s">
        <v>1655</v>
      </c>
      <c r="I3728" s="36" t="s">
        <v>1656</v>
      </c>
      <c r="J3728" s="36" t="s">
        <v>1656</v>
      </c>
      <c r="K3728" s="36" t="s">
        <v>1807</v>
      </c>
      <c r="L3728" s="36" t="s">
        <v>7942</v>
      </c>
      <c r="M3728" s="36" t="s">
        <v>7942</v>
      </c>
      <c r="N3728" s="36" t="s">
        <v>32</v>
      </c>
    </row>
    <row r="3729">
      <c r="A3729" s="36" t="s">
        <v>8017</v>
      </c>
      <c r="B3729" s="154" t="s">
        <v>8018</v>
      </c>
      <c r="C3729" s="36" t="s">
        <v>1666</v>
      </c>
      <c r="D3729" s="36" t="s">
        <v>361</v>
      </c>
      <c r="E3729" s="36" t="s">
        <v>361</v>
      </c>
      <c r="F3729" s="154" t="s">
        <v>8019</v>
      </c>
      <c r="G3729" s="36" t="s">
        <v>32</v>
      </c>
      <c r="H3729" s="36" t="s">
        <v>1655</v>
      </c>
      <c r="I3729" s="36" t="s">
        <v>1656</v>
      </c>
      <c r="J3729" s="36" t="s">
        <v>1656</v>
      </c>
      <c r="K3729" s="36" t="s">
        <v>1814</v>
      </c>
      <c r="L3729" s="36" t="s">
        <v>7942</v>
      </c>
      <c r="M3729" s="36" t="s">
        <v>7942</v>
      </c>
      <c r="N3729" s="36" t="s">
        <v>32</v>
      </c>
    </row>
    <row r="3730">
      <c r="A3730" s="36" t="s">
        <v>8020</v>
      </c>
      <c r="B3730" s="154" t="s">
        <v>8021</v>
      </c>
      <c r="C3730" s="36" t="s">
        <v>1666</v>
      </c>
      <c r="D3730" s="36" t="s">
        <v>210</v>
      </c>
      <c r="E3730" s="36" t="s">
        <v>210</v>
      </c>
      <c r="F3730" s="154" t="s">
        <v>1859</v>
      </c>
      <c r="G3730" s="36" t="s">
        <v>28</v>
      </c>
      <c r="H3730" s="36" t="s">
        <v>1655</v>
      </c>
      <c r="I3730" s="36" t="s">
        <v>1656</v>
      </c>
      <c r="J3730" s="36" t="s">
        <v>1656</v>
      </c>
      <c r="K3730" s="36" t="s">
        <v>1817</v>
      </c>
      <c r="L3730" s="36" t="s">
        <v>7942</v>
      </c>
      <c r="M3730" s="36" t="s">
        <v>7942</v>
      </c>
      <c r="N3730" s="36" t="s">
        <v>34</v>
      </c>
    </row>
    <row r="3731">
      <c r="A3731" s="36" t="s">
        <v>8022</v>
      </c>
      <c r="B3731" s="154" t="s">
        <v>8023</v>
      </c>
      <c r="C3731" s="36" t="s">
        <v>1666</v>
      </c>
      <c r="D3731" s="36" t="s">
        <v>92</v>
      </c>
      <c r="E3731" s="36" t="s">
        <v>92</v>
      </c>
      <c r="F3731" s="154" t="s">
        <v>1768</v>
      </c>
      <c r="G3731" s="36" t="s">
        <v>32</v>
      </c>
      <c r="H3731" s="36" t="s">
        <v>1655</v>
      </c>
      <c r="I3731" s="36" t="s">
        <v>1656</v>
      </c>
      <c r="J3731" s="36" t="s">
        <v>1656</v>
      </c>
      <c r="K3731" s="36" t="s">
        <v>1820</v>
      </c>
      <c r="L3731" s="36" t="s">
        <v>7942</v>
      </c>
      <c r="M3731" s="36" t="s">
        <v>7942</v>
      </c>
      <c r="N3731" s="36" t="s">
        <v>32</v>
      </c>
    </row>
    <row r="3732">
      <c r="A3732" s="36" t="s">
        <v>8024</v>
      </c>
      <c r="B3732" s="154" t="s">
        <v>8023</v>
      </c>
      <c r="C3732" s="36" t="s">
        <v>1666</v>
      </c>
      <c r="D3732" s="36" t="s">
        <v>372</v>
      </c>
      <c r="E3732" s="36" t="s">
        <v>372</v>
      </c>
      <c r="F3732" s="154" t="s">
        <v>2039</v>
      </c>
      <c r="G3732" s="36" t="s">
        <v>28</v>
      </c>
      <c r="H3732" s="36" t="s">
        <v>1655</v>
      </c>
      <c r="I3732" s="36" t="s">
        <v>1656</v>
      </c>
      <c r="J3732" s="36" t="s">
        <v>1656</v>
      </c>
      <c r="K3732" s="36" t="s">
        <v>1823</v>
      </c>
      <c r="L3732" s="36" t="s">
        <v>7942</v>
      </c>
      <c r="M3732" s="36" t="s">
        <v>7942</v>
      </c>
      <c r="N3732" s="36" t="s">
        <v>32</v>
      </c>
    </row>
    <row r="3733">
      <c r="A3733" s="36" t="s">
        <v>8025</v>
      </c>
      <c r="B3733" s="154" t="s">
        <v>8026</v>
      </c>
      <c r="C3733" s="36" t="s">
        <v>1666</v>
      </c>
      <c r="D3733" s="36" t="s">
        <v>374</v>
      </c>
      <c r="E3733" s="36" t="s">
        <v>374</v>
      </c>
      <c r="F3733" s="154" t="s">
        <v>1768</v>
      </c>
      <c r="G3733" s="36" t="s">
        <v>28</v>
      </c>
      <c r="H3733" s="36" t="s">
        <v>1655</v>
      </c>
      <c r="I3733" s="36" t="s">
        <v>1656</v>
      </c>
      <c r="J3733" s="36" t="s">
        <v>1656</v>
      </c>
      <c r="K3733" s="36" t="s">
        <v>1826</v>
      </c>
      <c r="L3733" s="36" t="s">
        <v>7942</v>
      </c>
      <c r="M3733" s="36" t="s">
        <v>7942</v>
      </c>
      <c r="N3733" s="36" t="s">
        <v>34</v>
      </c>
    </row>
    <row r="3734">
      <c r="A3734" s="36" t="s">
        <v>8027</v>
      </c>
      <c r="B3734" s="154" t="s">
        <v>8026</v>
      </c>
      <c r="C3734" s="36" t="s">
        <v>1666</v>
      </c>
      <c r="D3734" s="36" t="s">
        <v>110</v>
      </c>
      <c r="E3734" s="36" t="s">
        <v>110</v>
      </c>
      <c r="F3734" s="154" t="s">
        <v>2156</v>
      </c>
      <c r="G3734" s="36" t="s">
        <v>28</v>
      </c>
      <c r="H3734" s="36" t="s">
        <v>1655</v>
      </c>
      <c r="I3734" s="36" t="s">
        <v>1656</v>
      </c>
      <c r="J3734" s="36" t="s">
        <v>1656</v>
      </c>
      <c r="K3734" s="36" t="s">
        <v>1830</v>
      </c>
      <c r="L3734" s="36" t="s">
        <v>7942</v>
      </c>
      <c r="M3734" s="36" t="s">
        <v>7942</v>
      </c>
      <c r="N3734" s="36" t="s">
        <v>34</v>
      </c>
    </row>
    <row r="3735">
      <c r="A3735" s="36" t="s">
        <v>8028</v>
      </c>
      <c r="B3735" s="154" t="s">
        <v>8029</v>
      </c>
      <c r="C3735" s="36" t="s">
        <v>1666</v>
      </c>
      <c r="D3735" s="36" t="s">
        <v>80</v>
      </c>
      <c r="E3735" s="36" t="s">
        <v>80</v>
      </c>
      <c r="F3735" s="154" t="s">
        <v>6912</v>
      </c>
      <c r="G3735" s="36" t="s">
        <v>32</v>
      </c>
      <c r="H3735" s="36" t="s">
        <v>1655</v>
      </c>
      <c r="I3735" s="36" t="s">
        <v>1656</v>
      </c>
      <c r="J3735" s="36" t="s">
        <v>1656</v>
      </c>
      <c r="K3735" s="36" t="s">
        <v>1769</v>
      </c>
      <c r="L3735" s="36" t="s">
        <v>7942</v>
      </c>
      <c r="M3735" s="36" t="s">
        <v>7942</v>
      </c>
      <c r="N3735" s="36" t="s">
        <v>32</v>
      </c>
    </row>
    <row r="3736">
      <c r="A3736" s="36" t="s">
        <v>8030</v>
      </c>
      <c r="B3736" s="154" t="s">
        <v>8029</v>
      </c>
      <c r="C3736" s="36" t="s">
        <v>1666</v>
      </c>
      <c r="D3736" s="36" t="s">
        <v>210</v>
      </c>
      <c r="E3736" s="36" t="s">
        <v>210</v>
      </c>
      <c r="F3736" s="154" t="s">
        <v>8031</v>
      </c>
      <c r="G3736" s="36" t="s">
        <v>28</v>
      </c>
      <c r="H3736" s="36" t="s">
        <v>1655</v>
      </c>
      <c r="I3736" s="36" t="s">
        <v>1656</v>
      </c>
      <c r="J3736" s="36" t="s">
        <v>1656</v>
      </c>
      <c r="K3736" s="36" t="s">
        <v>1833</v>
      </c>
      <c r="L3736" s="36" t="s">
        <v>7942</v>
      </c>
      <c r="M3736" s="36" t="s">
        <v>7942</v>
      </c>
      <c r="N3736" s="36" t="s">
        <v>34</v>
      </c>
    </row>
    <row r="3737">
      <c r="A3737" s="36" t="s">
        <v>8032</v>
      </c>
      <c r="B3737" s="154" t="s">
        <v>8033</v>
      </c>
      <c r="C3737" s="36" t="s">
        <v>1666</v>
      </c>
      <c r="D3737" s="36" t="s">
        <v>381</v>
      </c>
      <c r="E3737" s="36" t="s">
        <v>381</v>
      </c>
      <c r="F3737" s="154" t="s">
        <v>8034</v>
      </c>
      <c r="G3737" s="36" t="s">
        <v>28</v>
      </c>
      <c r="H3737" s="36" t="s">
        <v>1655</v>
      </c>
      <c r="I3737" s="36" t="s">
        <v>1656</v>
      </c>
      <c r="J3737" s="36" t="s">
        <v>1656</v>
      </c>
      <c r="K3737" s="36" t="s">
        <v>1836</v>
      </c>
      <c r="L3737" s="36" t="s">
        <v>7942</v>
      </c>
      <c r="M3737" s="36" t="s">
        <v>7942</v>
      </c>
      <c r="N3737" s="36" t="s">
        <v>32</v>
      </c>
    </row>
    <row r="3738">
      <c r="A3738" s="36" t="s">
        <v>8035</v>
      </c>
      <c r="B3738" s="154" t="s">
        <v>8033</v>
      </c>
      <c r="C3738" s="36" t="s">
        <v>1666</v>
      </c>
      <c r="D3738" s="36" t="s">
        <v>383</v>
      </c>
      <c r="E3738" s="36" t="s">
        <v>383</v>
      </c>
      <c r="F3738" s="154" t="s">
        <v>2391</v>
      </c>
      <c r="G3738" s="36" t="s">
        <v>28</v>
      </c>
      <c r="H3738" s="36" t="s">
        <v>1655</v>
      </c>
      <c r="I3738" s="36" t="s">
        <v>1656</v>
      </c>
      <c r="J3738" s="36" t="s">
        <v>1656</v>
      </c>
      <c r="K3738" s="36" t="s">
        <v>1839</v>
      </c>
      <c r="L3738" s="36" t="s">
        <v>7942</v>
      </c>
      <c r="M3738" s="36" t="s">
        <v>7942</v>
      </c>
      <c r="N3738" s="36" t="s">
        <v>32</v>
      </c>
    </row>
    <row r="3739">
      <c r="A3739" s="36" t="s">
        <v>8036</v>
      </c>
      <c r="B3739" s="154" t="s">
        <v>8033</v>
      </c>
      <c r="C3739" s="36" t="s">
        <v>1666</v>
      </c>
      <c r="D3739" s="36" t="s">
        <v>372</v>
      </c>
      <c r="E3739" s="36" t="s">
        <v>372</v>
      </c>
      <c r="F3739" s="154" t="s">
        <v>1686</v>
      </c>
      <c r="G3739" s="36" t="s">
        <v>28</v>
      </c>
      <c r="H3739" s="36" t="s">
        <v>1655</v>
      </c>
      <c r="I3739" s="36" t="s">
        <v>1656</v>
      </c>
      <c r="J3739" s="36" t="s">
        <v>1656</v>
      </c>
      <c r="K3739" s="36" t="s">
        <v>1842</v>
      </c>
      <c r="L3739" s="36" t="s">
        <v>7942</v>
      </c>
      <c r="M3739" s="36" t="s">
        <v>7942</v>
      </c>
      <c r="N3739" s="36" t="s">
        <v>32</v>
      </c>
    </row>
    <row r="3740">
      <c r="A3740" s="36" t="s">
        <v>8037</v>
      </c>
      <c r="B3740" s="154" t="s">
        <v>8033</v>
      </c>
      <c r="C3740" s="36" t="s">
        <v>1666</v>
      </c>
      <c r="D3740" s="36" t="s">
        <v>210</v>
      </c>
      <c r="E3740" s="36" t="s">
        <v>210</v>
      </c>
      <c r="F3740" s="154" t="s">
        <v>2156</v>
      </c>
      <c r="G3740" s="36" t="s">
        <v>28</v>
      </c>
      <c r="H3740" s="36" t="s">
        <v>1655</v>
      </c>
      <c r="I3740" s="36" t="s">
        <v>1656</v>
      </c>
      <c r="J3740" s="36" t="s">
        <v>1656</v>
      </c>
      <c r="K3740" s="36" t="s">
        <v>1845</v>
      </c>
      <c r="L3740" s="36" t="s">
        <v>7942</v>
      </c>
      <c r="M3740" s="36" t="s">
        <v>7942</v>
      </c>
      <c r="N3740" s="36" t="s">
        <v>32</v>
      </c>
    </row>
    <row r="3741">
      <c r="A3741" s="36" t="s">
        <v>8038</v>
      </c>
      <c r="B3741" s="154" t="s">
        <v>8033</v>
      </c>
      <c r="C3741" s="36" t="s">
        <v>1666</v>
      </c>
      <c r="D3741" s="36" t="s">
        <v>389</v>
      </c>
      <c r="E3741" s="36" t="s">
        <v>389</v>
      </c>
      <c r="F3741" s="154" t="s">
        <v>4338</v>
      </c>
      <c r="G3741" s="36" t="s">
        <v>28</v>
      </c>
      <c r="H3741" s="36" t="s">
        <v>1655</v>
      </c>
      <c r="I3741" s="36" t="s">
        <v>1656</v>
      </c>
      <c r="J3741" s="36" t="s">
        <v>1656</v>
      </c>
      <c r="K3741" s="36" t="s">
        <v>1848</v>
      </c>
      <c r="L3741" s="36" t="s">
        <v>7942</v>
      </c>
      <c r="M3741" s="36" t="s">
        <v>7942</v>
      </c>
      <c r="N3741" s="36" t="s">
        <v>32</v>
      </c>
    </row>
    <row r="3742">
      <c r="A3742" s="36" t="s">
        <v>8039</v>
      </c>
      <c r="B3742" s="154" t="s">
        <v>8033</v>
      </c>
      <c r="C3742" s="36" t="s">
        <v>1666</v>
      </c>
      <c r="D3742" s="36" t="s">
        <v>100</v>
      </c>
      <c r="E3742" s="36" t="s">
        <v>100</v>
      </c>
      <c r="F3742" s="154" t="s">
        <v>1810</v>
      </c>
      <c r="G3742" s="36" t="s">
        <v>32</v>
      </c>
      <c r="H3742" s="36" t="s">
        <v>1655</v>
      </c>
      <c r="I3742" s="36" t="s">
        <v>1656</v>
      </c>
      <c r="J3742" s="36" t="s">
        <v>1656</v>
      </c>
      <c r="K3742" s="36" t="s">
        <v>1851</v>
      </c>
      <c r="L3742" s="36" t="s">
        <v>7942</v>
      </c>
      <c r="M3742" s="36" t="s">
        <v>7942</v>
      </c>
      <c r="N3742" s="36" t="s">
        <v>32</v>
      </c>
    </row>
    <row r="3743">
      <c r="A3743" s="36" t="s">
        <v>8040</v>
      </c>
      <c r="B3743" s="154" t="s">
        <v>8033</v>
      </c>
      <c r="C3743" s="36" t="s">
        <v>1666</v>
      </c>
      <c r="D3743" s="36" t="s">
        <v>90</v>
      </c>
      <c r="E3743" s="36" t="s">
        <v>90</v>
      </c>
      <c r="F3743" s="154" t="s">
        <v>1686</v>
      </c>
      <c r="G3743" s="36" t="s">
        <v>28</v>
      </c>
      <c r="H3743" s="36" t="s">
        <v>1655</v>
      </c>
      <c r="I3743" s="36" t="s">
        <v>1656</v>
      </c>
      <c r="J3743" s="36" t="s">
        <v>1656</v>
      </c>
      <c r="K3743" s="36" t="s">
        <v>1854</v>
      </c>
      <c r="L3743" s="36" t="s">
        <v>7942</v>
      </c>
      <c r="M3743" s="36" t="s">
        <v>7942</v>
      </c>
      <c r="N3743" s="36" t="s">
        <v>32</v>
      </c>
    </row>
    <row r="3744">
      <c r="A3744" s="36" t="s">
        <v>8041</v>
      </c>
      <c r="B3744" s="154" t="s">
        <v>8033</v>
      </c>
      <c r="C3744" s="36" t="s">
        <v>1666</v>
      </c>
      <c r="D3744" s="36" t="s">
        <v>311</v>
      </c>
      <c r="E3744" s="36" t="s">
        <v>311</v>
      </c>
      <c r="F3744" s="154" t="s">
        <v>1768</v>
      </c>
      <c r="G3744" s="36" t="s">
        <v>32</v>
      </c>
      <c r="H3744" s="36" t="s">
        <v>1655</v>
      </c>
      <c r="I3744" s="36" t="s">
        <v>1656</v>
      </c>
      <c r="J3744" s="36" t="s">
        <v>1656</v>
      </c>
      <c r="K3744" s="36" t="s">
        <v>1857</v>
      </c>
      <c r="L3744" s="36" t="s">
        <v>7942</v>
      </c>
      <c r="M3744" s="36" t="s">
        <v>7942</v>
      </c>
      <c r="N3744" s="36" t="s">
        <v>32</v>
      </c>
    </row>
    <row r="3745">
      <c r="A3745" s="36" t="s">
        <v>8042</v>
      </c>
      <c r="B3745" s="154" t="s">
        <v>8033</v>
      </c>
      <c r="C3745" s="36" t="s">
        <v>1666</v>
      </c>
      <c r="D3745" s="36" t="s">
        <v>401</v>
      </c>
      <c r="E3745" s="36" t="s">
        <v>401</v>
      </c>
      <c r="F3745" s="154" t="s">
        <v>2325</v>
      </c>
      <c r="G3745" s="36" t="s">
        <v>28</v>
      </c>
      <c r="H3745" s="36" t="s">
        <v>1655</v>
      </c>
      <c r="I3745" s="36" t="s">
        <v>1656</v>
      </c>
      <c r="J3745" s="36" t="s">
        <v>1656</v>
      </c>
      <c r="K3745" s="36" t="s">
        <v>1860</v>
      </c>
      <c r="L3745" s="36" t="s">
        <v>7942</v>
      </c>
      <c r="M3745" s="36" t="s">
        <v>7942</v>
      </c>
      <c r="N3745" s="36" t="s">
        <v>32</v>
      </c>
    </row>
    <row r="3746">
      <c r="A3746" s="36" t="s">
        <v>8043</v>
      </c>
      <c r="B3746" s="154" t="s">
        <v>8033</v>
      </c>
      <c r="C3746" s="36" t="s">
        <v>1666</v>
      </c>
      <c r="D3746" s="36" t="s">
        <v>402</v>
      </c>
      <c r="E3746" s="36" t="s">
        <v>402</v>
      </c>
      <c r="F3746" s="154" t="s">
        <v>8044</v>
      </c>
      <c r="G3746" s="36" t="s">
        <v>34</v>
      </c>
      <c r="H3746" s="36" t="s">
        <v>1655</v>
      </c>
      <c r="I3746" s="36" t="s">
        <v>1656</v>
      </c>
      <c r="J3746" s="36" t="s">
        <v>1656</v>
      </c>
      <c r="K3746" s="36" t="s">
        <v>1863</v>
      </c>
      <c r="L3746" s="36" t="s">
        <v>7942</v>
      </c>
      <c r="M3746" s="36" t="s">
        <v>7942</v>
      </c>
      <c r="N3746" s="36" t="s">
        <v>32</v>
      </c>
    </row>
    <row r="3747">
      <c r="A3747" s="36" t="s">
        <v>8045</v>
      </c>
      <c r="B3747" s="154" t="s">
        <v>8046</v>
      </c>
      <c r="C3747" s="36" t="s">
        <v>1666</v>
      </c>
      <c r="D3747" s="36" t="s">
        <v>130</v>
      </c>
      <c r="E3747" s="36" t="s">
        <v>130</v>
      </c>
      <c r="F3747" s="154" t="s">
        <v>1810</v>
      </c>
      <c r="G3747" s="36" t="s">
        <v>32</v>
      </c>
      <c r="H3747" s="36" t="s">
        <v>1655</v>
      </c>
      <c r="I3747" s="36" t="s">
        <v>1656</v>
      </c>
      <c r="J3747" s="36" t="s">
        <v>1656</v>
      </c>
      <c r="K3747" s="36" t="s">
        <v>1866</v>
      </c>
      <c r="L3747" s="36" t="s">
        <v>7942</v>
      </c>
      <c r="M3747" s="36" t="s">
        <v>7942</v>
      </c>
      <c r="N3747" s="36" t="s">
        <v>32</v>
      </c>
    </row>
    <row r="3748">
      <c r="A3748" s="36" t="s">
        <v>8047</v>
      </c>
      <c r="B3748" s="154" t="s">
        <v>8048</v>
      </c>
      <c r="C3748" s="36" t="s">
        <v>1666</v>
      </c>
      <c r="D3748" s="36" t="s">
        <v>90</v>
      </c>
      <c r="E3748" s="36" t="s">
        <v>90</v>
      </c>
      <c r="F3748" s="154" t="s">
        <v>2025</v>
      </c>
      <c r="G3748" s="36" t="s">
        <v>28</v>
      </c>
      <c r="H3748" s="36" t="s">
        <v>1655</v>
      </c>
      <c r="I3748" s="36" t="s">
        <v>1656</v>
      </c>
      <c r="J3748" s="36" t="s">
        <v>1656</v>
      </c>
      <c r="K3748" s="36" t="s">
        <v>1869</v>
      </c>
      <c r="L3748" s="36" t="s">
        <v>7942</v>
      </c>
      <c r="M3748" s="36" t="s">
        <v>7942</v>
      </c>
      <c r="N3748" s="36" t="s">
        <v>32</v>
      </c>
    </row>
    <row r="3749">
      <c r="A3749" s="36" t="s">
        <v>8049</v>
      </c>
      <c r="B3749" s="154" t="s">
        <v>8048</v>
      </c>
      <c r="C3749" s="36" t="s">
        <v>1666</v>
      </c>
      <c r="D3749" s="36" t="s">
        <v>406</v>
      </c>
      <c r="E3749" s="36" t="s">
        <v>406</v>
      </c>
      <c r="F3749" s="154" t="s">
        <v>2027</v>
      </c>
      <c r="G3749" s="36" t="s">
        <v>28</v>
      </c>
      <c r="H3749" s="36" t="s">
        <v>1655</v>
      </c>
      <c r="I3749" s="36" t="s">
        <v>1656</v>
      </c>
      <c r="J3749" s="36" t="s">
        <v>1656</v>
      </c>
      <c r="K3749" s="36" t="s">
        <v>1872</v>
      </c>
      <c r="L3749" s="36" t="s">
        <v>7942</v>
      </c>
      <c r="M3749" s="36" t="s">
        <v>7942</v>
      </c>
      <c r="N3749" s="36" t="s">
        <v>32</v>
      </c>
    </row>
    <row r="3750">
      <c r="A3750" s="36" t="s">
        <v>8050</v>
      </c>
      <c r="B3750" s="154" t="s">
        <v>8051</v>
      </c>
      <c r="C3750" s="36" t="s">
        <v>1666</v>
      </c>
      <c r="D3750" s="36" t="s">
        <v>81</v>
      </c>
      <c r="E3750" s="36" t="s">
        <v>81</v>
      </c>
      <c r="F3750" s="154" t="s">
        <v>8052</v>
      </c>
      <c r="G3750" s="36" t="s">
        <v>28</v>
      </c>
      <c r="H3750" s="36" t="s">
        <v>1655</v>
      </c>
      <c r="I3750" s="36" t="s">
        <v>1656</v>
      </c>
      <c r="J3750" s="36" t="s">
        <v>1656</v>
      </c>
      <c r="K3750" s="36" t="s">
        <v>1811</v>
      </c>
      <c r="L3750" s="36" t="s">
        <v>7942</v>
      </c>
      <c r="M3750" s="36" t="s">
        <v>7942</v>
      </c>
      <c r="N3750" s="36" t="s">
        <v>32</v>
      </c>
    </row>
    <row r="3751">
      <c r="A3751" s="36" t="s">
        <v>8053</v>
      </c>
      <c r="B3751" s="154" t="s">
        <v>8051</v>
      </c>
      <c r="C3751" s="36" t="s">
        <v>1666</v>
      </c>
      <c r="D3751" s="36" t="s">
        <v>83</v>
      </c>
      <c r="E3751" s="36" t="s">
        <v>83</v>
      </c>
      <c r="F3751" s="154" t="s">
        <v>8054</v>
      </c>
      <c r="G3751" s="36" t="s">
        <v>28</v>
      </c>
      <c r="H3751" s="36" t="s">
        <v>1655</v>
      </c>
      <c r="I3751" s="36" t="s">
        <v>1656</v>
      </c>
      <c r="J3751" s="36" t="s">
        <v>1656</v>
      </c>
      <c r="K3751" s="36" t="s">
        <v>1891</v>
      </c>
      <c r="L3751" s="36" t="s">
        <v>7942</v>
      </c>
      <c r="M3751" s="36" t="s">
        <v>7942</v>
      </c>
      <c r="N3751" s="36" t="s">
        <v>32</v>
      </c>
    </row>
    <row r="3752">
      <c r="A3752" s="36" t="s">
        <v>8055</v>
      </c>
      <c r="B3752" s="154" t="s">
        <v>8051</v>
      </c>
      <c r="C3752" s="36" t="s">
        <v>1666</v>
      </c>
      <c r="D3752" s="36" t="s">
        <v>84</v>
      </c>
      <c r="E3752" s="36" t="s">
        <v>84</v>
      </c>
      <c r="F3752" s="154" t="s">
        <v>8056</v>
      </c>
      <c r="G3752" s="36" t="s">
        <v>32</v>
      </c>
      <c r="H3752" s="36" t="s">
        <v>1655</v>
      </c>
      <c r="I3752" s="36" t="s">
        <v>1656</v>
      </c>
      <c r="J3752" s="36" t="s">
        <v>1656</v>
      </c>
      <c r="K3752" s="36" t="s">
        <v>1921</v>
      </c>
      <c r="L3752" s="36" t="s">
        <v>7942</v>
      </c>
      <c r="M3752" s="36" t="s">
        <v>7942</v>
      </c>
      <c r="N3752" s="36" t="s">
        <v>32</v>
      </c>
    </row>
    <row r="3753">
      <c r="A3753" s="36" t="s">
        <v>8057</v>
      </c>
      <c r="B3753" s="154" t="s">
        <v>8051</v>
      </c>
      <c r="C3753" s="36" t="s">
        <v>1666</v>
      </c>
      <c r="D3753" s="36" t="s">
        <v>133</v>
      </c>
      <c r="E3753" s="36" t="s">
        <v>133</v>
      </c>
      <c r="F3753" s="154" t="s">
        <v>8058</v>
      </c>
      <c r="G3753" s="36" t="s">
        <v>32</v>
      </c>
      <c r="H3753" s="36" t="s">
        <v>1655</v>
      </c>
      <c r="I3753" s="36" t="s">
        <v>1656</v>
      </c>
      <c r="J3753" s="36" t="s">
        <v>1656</v>
      </c>
      <c r="K3753" s="36" t="s">
        <v>1875</v>
      </c>
      <c r="L3753" s="36" t="s">
        <v>7942</v>
      </c>
      <c r="M3753" s="36" t="s">
        <v>7942</v>
      </c>
      <c r="N3753" s="36" t="s">
        <v>32</v>
      </c>
    </row>
    <row r="3754">
      <c r="A3754" s="36" t="s">
        <v>8059</v>
      </c>
      <c r="B3754" s="154" t="s">
        <v>8060</v>
      </c>
      <c r="C3754" s="36" t="s">
        <v>1653</v>
      </c>
      <c r="D3754" s="36" t="s">
        <v>43</v>
      </c>
      <c r="E3754" s="36" t="s">
        <v>39</v>
      </c>
      <c r="F3754" s="154" t="s">
        <v>8061</v>
      </c>
      <c r="G3754" s="36" t="s">
        <v>32</v>
      </c>
      <c r="H3754" s="36" t="s">
        <v>1655</v>
      </c>
      <c r="I3754" s="36" t="s">
        <v>1656</v>
      </c>
      <c r="J3754" s="36" t="s">
        <v>1656</v>
      </c>
      <c r="K3754" s="36" t="s">
        <v>1657</v>
      </c>
      <c r="L3754" s="36" t="s">
        <v>7934</v>
      </c>
      <c r="M3754" s="36" t="s">
        <v>7934</v>
      </c>
      <c r="N3754" s="36" t="s">
        <v>32</v>
      </c>
    </row>
    <row r="3755">
      <c r="A3755" s="36" t="s">
        <v>8062</v>
      </c>
      <c r="B3755" s="154" t="s">
        <v>8060</v>
      </c>
      <c r="C3755" s="36" t="s">
        <v>1653</v>
      </c>
      <c r="D3755" s="36" t="s">
        <v>161</v>
      </c>
      <c r="E3755" s="36" t="s">
        <v>39</v>
      </c>
      <c r="F3755" s="154" t="s">
        <v>8063</v>
      </c>
      <c r="G3755" s="36" t="s">
        <v>32</v>
      </c>
      <c r="H3755" s="36" t="s">
        <v>1655</v>
      </c>
      <c r="I3755" s="36" t="s">
        <v>1656</v>
      </c>
      <c r="J3755" s="36" t="s">
        <v>1656</v>
      </c>
      <c r="K3755" s="36" t="s">
        <v>1978</v>
      </c>
      <c r="L3755" s="36" t="s">
        <v>7934</v>
      </c>
      <c r="M3755" s="36" t="s">
        <v>7934</v>
      </c>
      <c r="N3755" s="36" t="s">
        <v>32</v>
      </c>
    </row>
    <row r="3756">
      <c r="A3756" s="36" t="s">
        <v>8064</v>
      </c>
      <c r="B3756" s="154" t="s">
        <v>8060</v>
      </c>
      <c r="C3756" s="36" t="s">
        <v>1666</v>
      </c>
      <c r="D3756" s="36" t="s">
        <v>85</v>
      </c>
      <c r="E3756" s="36" t="s">
        <v>85</v>
      </c>
      <c r="F3756" s="154" t="s">
        <v>7406</v>
      </c>
      <c r="G3756" s="36" t="s">
        <v>28</v>
      </c>
      <c r="H3756" s="36" t="s">
        <v>1655</v>
      </c>
      <c r="I3756" s="36" t="s">
        <v>1656</v>
      </c>
      <c r="J3756" s="36" t="s">
        <v>1656</v>
      </c>
      <c r="K3756" s="36" t="s">
        <v>3035</v>
      </c>
      <c r="L3756" s="36" t="s">
        <v>7942</v>
      </c>
      <c r="M3756" s="36" t="s">
        <v>7942</v>
      </c>
      <c r="N3756" s="36" t="s">
        <v>32</v>
      </c>
    </row>
    <row r="3757">
      <c r="A3757" s="36" t="s">
        <v>8065</v>
      </c>
      <c r="B3757" s="154" t="s">
        <v>8066</v>
      </c>
      <c r="C3757" s="36" t="s">
        <v>1666</v>
      </c>
      <c r="D3757" s="36" t="s">
        <v>78</v>
      </c>
      <c r="E3757" s="36" t="s">
        <v>78</v>
      </c>
      <c r="F3757" s="154" t="s">
        <v>2027</v>
      </c>
      <c r="G3757" s="36" t="s">
        <v>28</v>
      </c>
      <c r="H3757" s="36" t="s">
        <v>1655</v>
      </c>
      <c r="I3757" s="36" t="s">
        <v>1656</v>
      </c>
      <c r="J3757" s="36" t="s">
        <v>1656</v>
      </c>
      <c r="K3757" s="36" t="s">
        <v>4248</v>
      </c>
      <c r="L3757" s="36" t="s">
        <v>7942</v>
      </c>
      <c r="M3757" s="36" t="s">
        <v>7942</v>
      </c>
      <c r="N3757" s="36" t="s">
        <v>32</v>
      </c>
    </row>
    <row r="3758">
      <c r="A3758" s="36" t="s">
        <v>8067</v>
      </c>
      <c r="B3758" s="154" t="s">
        <v>8066</v>
      </c>
      <c r="C3758" s="36" t="s">
        <v>1666</v>
      </c>
      <c r="D3758" s="36" t="s">
        <v>109</v>
      </c>
      <c r="E3758" s="36" t="s">
        <v>109</v>
      </c>
      <c r="F3758" s="154" t="s">
        <v>3972</v>
      </c>
      <c r="G3758" s="36" t="s">
        <v>28</v>
      </c>
      <c r="H3758" s="36" t="s">
        <v>1655</v>
      </c>
      <c r="I3758" s="36" t="s">
        <v>1656</v>
      </c>
      <c r="J3758" s="36" t="s">
        <v>1656</v>
      </c>
      <c r="K3758" s="36" t="s">
        <v>1924</v>
      </c>
      <c r="L3758" s="36" t="s">
        <v>7942</v>
      </c>
      <c r="M3758" s="36" t="s">
        <v>7942</v>
      </c>
      <c r="N3758" s="36" t="s">
        <v>32</v>
      </c>
    </row>
    <row r="3759">
      <c r="A3759" s="36" t="s">
        <v>8068</v>
      </c>
      <c r="B3759" s="154" t="s">
        <v>8066</v>
      </c>
      <c r="C3759" s="36" t="s">
        <v>1666</v>
      </c>
      <c r="D3759" s="36" t="s">
        <v>93</v>
      </c>
      <c r="E3759" s="36" t="s">
        <v>93</v>
      </c>
      <c r="F3759" s="154" t="s">
        <v>1899</v>
      </c>
      <c r="G3759" s="36" t="s">
        <v>28</v>
      </c>
      <c r="H3759" s="36" t="s">
        <v>1655</v>
      </c>
      <c r="I3759" s="36" t="s">
        <v>1656</v>
      </c>
      <c r="J3759" s="36" t="s">
        <v>1656</v>
      </c>
      <c r="K3759" s="36" t="s">
        <v>1668</v>
      </c>
      <c r="L3759" s="36" t="s">
        <v>7942</v>
      </c>
      <c r="M3759" s="36" t="s">
        <v>7942</v>
      </c>
      <c r="N3759" s="36" t="s">
        <v>32</v>
      </c>
    </row>
    <row r="3760">
      <c r="A3760" s="36" t="s">
        <v>8069</v>
      </c>
      <c r="B3760" s="154" t="s">
        <v>8066</v>
      </c>
      <c r="C3760" s="36" t="s">
        <v>1666</v>
      </c>
      <c r="D3760" s="36" t="s">
        <v>91</v>
      </c>
      <c r="E3760" s="36" t="s">
        <v>91</v>
      </c>
      <c r="F3760" s="154" t="s">
        <v>1768</v>
      </c>
      <c r="G3760" s="36" t="s">
        <v>28</v>
      </c>
      <c r="H3760" s="36" t="s">
        <v>1655</v>
      </c>
      <c r="I3760" s="36" t="s">
        <v>1656</v>
      </c>
      <c r="J3760" s="36" t="s">
        <v>1656</v>
      </c>
      <c r="K3760" s="36" t="s">
        <v>1672</v>
      </c>
      <c r="L3760" s="36" t="s">
        <v>7942</v>
      </c>
      <c r="M3760" s="36" t="s">
        <v>7942</v>
      </c>
      <c r="N3760" s="36" t="s">
        <v>32</v>
      </c>
    </row>
    <row r="3761">
      <c r="A3761" s="36" t="s">
        <v>8070</v>
      </c>
      <c r="B3761" s="154" t="s">
        <v>8066</v>
      </c>
      <c r="C3761" s="36" t="s">
        <v>1666</v>
      </c>
      <c r="D3761" s="36" t="s">
        <v>90</v>
      </c>
      <c r="E3761" s="36" t="s">
        <v>90</v>
      </c>
      <c r="F3761" s="154" t="s">
        <v>3838</v>
      </c>
      <c r="G3761" s="36" t="s">
        <v>28</v>
      </c>
      <c r="H3761" s="36" t="s">
        <v>1655</v>
      </c>
      <c r="I3761" s="36" t="s">
        <v>1656</v>
      </c>
      <c r="J3761" s="36" t="s">
        <v>1656</v>
      </c>
      <c r="K3761" s="36" t="s">
        <v>1675</v>
      </c>
      <c r="L3761" s="36" t="s">
        <v>7942</v>
      </c>
      <c r="M3761" s="36" t="s">
        <v>7942</v>
      </c>
      <c r="N3761" s="36" t="s">
        <v>32</v>
      </c>
    </row>
    <row r="3762">
      <c r="A3762" s="36" t="s">
        <v>8071</v>
      </c>
      <c r="B3762" s="154" t="s">
        <v>8072</v>
      </c>
      <c r="C3762" s="36" t="s">
        <v>1666</v>
      </c>
      <c r="D3762" s="36" t="s">
        <v>63</v>
      </c>
      <c r="E3762" s="36" t="s">
        <v>63</v>
      </c>
      <c r="F3762" s="154" t="s">
        <v>8073</v>
      </c>
      <c r="G3762" s="36" t="s">
        <v>28</v>
      </c>
      <c r="H3762" s="36" t="s">
        <v>1655</v>
      </c>
      <c r="I3762" s="36" t="s">
        <v>1656</v>
      </c>
      <c r="J3762" s="36" t="s">
        <v>1656</v>
      </c>
      <c r="K3762" s="36" t="s">
        <v>4196</v>
      </c>
      <c r="L3762" s="36" t="s">
        <v>7942</v>
      </c>
      <c r="M3762" s="36" t="s">
        <v>7942</v>
      </c>
      <c r="N3762" s="36" t="s">
        <v>34</v>
      </c>
    </row>
    <row r="3763">
      <c r="A3763" s="36" t="s">
        <v>8074</v>
      </c>
      <c r="B3763" s="154" t="s">
        <v>8072</v>
      </c>
      <c r="C3763" s="36" t="s">
        <v>1666</v>
      </c>
      <c r="D3763" s="36" t="s">
        <v>212</v>
      </c>
      <c r="E3763" s="36" t="s">
        <v>212</v>
      </c>
      <c r="F3763" s="154" t="s">
        <v>2883</v>
      </c>
      <c r="G3763" s="36" t="s">
        <v>32</v>
      </c>
      <c r="H3763" s="36" t="s">
        <v>1655</v>
      </c>
      <c r="I3763" s="36" t="s">
        <v>1656</v>
      </c>
      <c r="J3763" s="36" t="s">
        <v>1656</v>
      </c>
      <c r="K3763" s="36" t="s">
        <v>1678</v>
      </c>
      <c r="L3763" s="36" t="s">
        <v>7942</v>
      </c>
      <c r="M3763" s="36" t="s">
        <v>7942</v>
      </c>
      <c r="N3763" s="36" t="s">
        <v>32</v>
      </c>
    </row>
    <row r="3764">
      <c r="A3764" s="36" t="s">
        <v>8075</v>
      </c>
      <c r="B3764" s="154" t="s">
        <v>8076</v>
      </c>
      <c r="C3764" s="36" t="s">
        <v>1666</v>
      </c>
      <c r="D3764" s="36" t="s">
        <v>64</v>
      </c>
      <c r="E3764" s="36" t="s">
        <v>64</v>
      </c>
      <c r="F3764" s="154" t="s">
        <v>7648</v>
      </c>
      <c r="G3764" s="36" t="s">
        <v>28</v>
      </c>
      <c r="H3764" s="36" t="s">
        <v>1655</v>
      </c>
      <c r="I3764" s="36" t="s">
        <v>1656</v>
      </c>
      <c r="J3764" s="36" t="s">
        <v>1656</v>
      </c>
      <c r="K3764" s="36" t="s">
        <v>1708</v>
      </c>
      <c r="L3764" s="36" t="s">
        <v>7942</v>
      </c>
      <c r="M3764" s="36" t="s">
        <v>7942</v>
      </c>
      <c r="N3764" s="36" t="s">
        <v>32</v>
      </c>
    </row>
    <row r="3765">
      <c r="A3765" s="36" t="s">
        <v>8077</v>
      </c>
      <c r="B3765" s="154" t="s">
        <v>8078</v>
      </c>
      <c r="C3765" s="36" t="s">
        <v>1666</v>
      </c>
      <c r="D3765" s="36" t="s">
        <v>220</v>
      </c>
      <c r="E3765" s="36" t="s">
        <v>220</v>
      </c>
      <c r="F3765" s="154" t="s">
        <v>8079</v>
      </c>
      <c r="G3765" s="36" t="s">
        <v>28</v>
      </c>
      <c r="H3765" s="36" t="s">
        <v>1655</v>
      </c>
      <c r="I3765" s="36" t="s">
        <v>1656</v>
      </c>
      <c r="J3765" s="36" t="s">
        <v>1656</v>
      </c>
      <c r="K3765" s="36" t="s">
        <v>1681</v>
      </c>
      <c r="L3765" s="36" t="s">
        <v>7942</v>
      </c>
      <c r="M3765" s="36" t="s">
        <v>7942</v>
      </c>
      <c r="N3765" s="36" t="s">
        <v>32</v>
      </c>
    </row>
    <row r="3766">
      <c r="A3766" s="36" t="s">
        <v>8080</v>
      </c>
      <c r="B3766" s="154" t="s">
        <v>8078</v>
      </c>
      <c r="C3766" s="36" t="s">
        <v>1666</v>
      </c>
      <c r="D3766" s="36" t="s">
        <v>226</v>
      </c>
      <c r="E3766" s="36" t="s">
        <v>226</v>
      </c>
      <c r="F3766" s="154" t="s">
        <v>8081</v>
      </c>
      <c r="G3766" s="36" t="s">
        <v>32</v>
      </c>
      <c r="H3766" s="36" t="s">
        <v>1655</v>
      </c>
      <c r="I3766" s="36" t="s">
        <v>1656</v>
      </c>
      <c r="J3766" s="36" t="s">
        <v>1656</v>
      </c>
      <c r="K3766" s="36" t="s">
        <v>1684</v>
      </c>
      <c r="L3766" s="36" t="s">
        <v>7942</v>
      </c>
      <c r="M3766" s="36" t="s">
        <v>7942</v>
      </c>
      <c r="N3766" s="36" t="s">
        <v>32</v>
      </c>
    </row>
    <row r="3767">
      <c r="A3767" s="36" t="s">
        <v>8082</v>
      </c>
      <c r="B3767" s="154" t="s">
        <v>8078</v>
      </c>
      <c r="C3767" s="36" t="s">
        <v>1666</v>
      </c>
      <c r="D3767" s="36" t="s">
        <v>234</v>
      </c>
      <c r="E3767" s="36" t="s">
        <v>234</v>
      </c>
      <c r="F3767" s="154" t="s">
        <v>2006</v>
      </c>
      <c r="G3767" s="36" t="s">
        <v>32</v>
      </c>
      <c r="H3767" s="36" t="s">
        <v>1655</v>
      </c>
      <c r="I3767" s="36" t="s">
        <v>1656</v>
      </c>
      <c r="J3767" s="36" t="s">
        <v>1656</v>
      </c>
      <c r="K3767" s="36" t="s">
        <v>1691</v>
      </c>
      <c r="L3767" s="36" t="s">
        <v>7942</v>
      </c>
      <c r="M3767" s="36" t="s">
        <v>7942</v>
      </c>
      <c r="N3767" s="36" t="s">
        <v>32</v>
      </c>
    </row>
    <row r="3768">
      <c r="A3768" s="36" t="s">
        <v>8083</v>
      </c>
      <c r="B3768" s="154" t="s">
        <v>8084</v>
      </c>
      <c r="C3768" s="36" t="s">
        <v>1666</v>
      </c>
      <c r="D3768" s="36" t="s">
        <v>66</v>
      </c>
      <c r="E3768" s="36" t="s">
        <v>66</v>
      </c>
      <c r="F3768" s="154" t="s">
        <v>8085</v>
      </c>
      <c r="G3768" s="36" t="s">
        <v>28</v>
      </c>
      <c r="H3768" s="36" t="s">
        <v>1655</v>
      </c>
      <c r="I3768" s="36" t="s">
        <v>1656</v>
      </c>
      <c r="J3768" s="36" t="s">
        <v>1656</v>
      </c>
      <c r="K3768" s="36" t="s">
        <v>1721</v>
      </c>
      <c r="L3768" s="36" t="s">
        <v>7942</v>
      </c>
      <c r="M3768" s="36" t="s">
        <v>7942</v>
      </c>
      <c r="N3768" s="36" t="s">
        <v>32</v>
      </c>
    </row>
    <row r="3769">
      <c r="A3769" s="36" t="s">
        <v>8086</v>
      </c>
      <c r="B3769" s="154" t="s">
        <v>8084</v>
      </c>
      <c r="C3769" s="36" t="s">
        <v>1666</v>
      </c>
      <c r="D3769" s="36" t="s">
        <v>92</v>
      </c>
      <c r="E3769" s="36" t="s">
        <v>92</v>
      </c>
      <c r="F3769" s="154" t="s">
        <v>2049</v>
      </c>
      <c r="G3769" s="36" t="s">
        <v>32</v>
      </c>
      <c r="H3769" s="36" t="s">
        <v>1655</v>
      </c>
      <c r="I3769" s="36" t="s">
        <v>1656</v>
      </c>
      <c r="J3769" s="36" t="s">
        <v>1656</v>
      </c>
      <c r="K3769" s="36" t="s">
        <v>1823</v>
      </c>
      <c r="L3769" s="36" t="s">
        <v>7942</v>
      </c>
      <c r="M3769" s="36" t="s">
        <v>7942</v>
      </c>
      <c r="N3769" s="36" t="s">
        <v>34</v>
      </c>
    </row>
    <row r="3770">
      <c r="A3770" s="36" t="s">
        <v>8087</v>
      </c>
      <c r="B3770" s="154" t="s">
        <v>8088</v>
      </c>
      <c r="C3770" s="36" t="s">
        <v>1653</v>
      </c>
      <c r="D3770" s="36" t="s">
        <v>55</v>
      </c>
      <c r="E3770" s="36" t="s">
        <v>39</v>
      </c>
      <c r="F3770" s="154" t="s">
        <v>8089</v>
      </c>
      <c r="G3770" s="36" t="s">
        <v>32</v>
      </c>
      <c r="H3770" s="36" t="s">
        <v>1655</v>
      </c>
      <c r="I3770" s="36" t="s">
        <v>1656</v>
      </c>
      <c r="J3770" s="36" t="s">
        <v>1656</v>
      </c>
      <c r="K3770" s="36" t="s">
        <v>1989</v>
      </c>
      <c r="L3770" s="36" t="s">
        <v>7934</v>
      </c>
      <c r="M3770" s="36" t="s">
        <v>7934</v>
      </c>
      <c r="N3770" s="36" t="s">
        <v>32</v>
      </c>
    </row>
    <row r="3771">
      <c r="A3771" s="36" t="s">
        <v>8090</v>
      </c>
      <c r="B3771" s="154" t="s">
        <v>8088</v>
      </c>
      <c r="C3771" s="36" t="s">
        <v>1666</v>
      </c>
      <c r="D3771" s="36" t="s">
        <v>71</v>
      </c>
      <c r="E3771" s="36" t="s">
        <v>71</v>
      </c>
      <c r="F3771" s="154" t="s">
        <v>8091</v>
      </c>
      <c r="G3771" s="36" t="s">
        <v>32</v>
      </c>
      <c r="H3771" s="36" t="s">
        <v>1655</v>
      </c>
      <c r="I3771" s="36" t="s">
        <v>1656</v>
      </c>
      <c r="J3771" s="36" t="s">
        <v>1656</v>
      </c>
      <c r="K3771" s="36" t="s">
        <v>1752</v>
      </c>
      <c r="L3771" s="36" t="s">
        <v>7942</v>
      </c>
      <c r="M3771" s="36" t="s">
        <v>7942</v>
      </c>
      <c r="N3771" s="36" t="s">
        <v>32</v>
      </c>
    </row>
    <row r="3772">
      <c r="A3772" s="36" t="s">
        <v>8092</v>
      </c>
      <c r="B3772" s="154" t="s">
        <v>8088</v>
      </c>
      <c r="C3772" s="36" t="s">
        <v>1666</v>
      </c>
      <c r="D3772" s="36" t="s">
        <v>73</v>
      </c>
      <c r="E3772" s="36" t="s">
        <v>73</v>
      </c>
      <c r="F3772" s="154" t="s">
        <v>8093</v>
      </c>
      <c r="G3772" s="36" t="s">
        <v>28</v>
      </c>
      <c r="H3772" s="36" t="s">
        <v>1655</v>
      </c>
      <c r="I3772" s="36" t="s">
        <v>1656</v>
      </c>
      <c r="J3772" s="36" t="s">
        <v>1656</v>
      </c>
      <c r="K3772" s="36" t="s">
        <v>1755</v>
      </c>
      <c r="L3772" s="36" t="s">
        <v>7942</v>
      </c>
      <c r="M3772" s="36" t="s">
        <v>7942</v>
      </c>
      <c r="N3772" s="36" t="s">
        <v>32</v>
      </c>
    </row>
    <row r="3773">
      <c r="A3773" s="36" t="s">
        <v>8094</v>
      </c>
      <c r="B3773" s="154" t="s">
        <v>8088</v>
      </c>
      <c r="C3773" s="36" t="s">
        <v>1666</v>
      </c>
      <c r="D3773" s="36" t="s">
        <v>74</v>
      </c>
      <c r="E3773" s="36" t="s">
        <v>74</v>
      </c>
      <c r="F3773" s="154" t="s">
        <v>8095</v>
      </c>
      <c r="G3773" s="36" t="s">
        <v>32</v>
      </c>
      <c r="H3773" s="36" t="s">
        <v>1655</v>
      </c>
      <c r="I3773" s="36" t="s">
        <v>1656</v>
      </c>
      <c r="J3773" s="36" t="s">
        <v>1656</v>
      </c>
      <c r="K3773" s="36" t="s">
        <v>1757</v>
      </c>
      <c r="L3773" s="36" t="s">
        <v>7942</v>
      </c>
      <c r="M3773" s="36" t="s">
        <v>7942</v>
      </c>
      <c r="N3773" s="36" t="s">
        <v>32</v>
      </c>
    </row>
    <row r="3774">
      <c r="A3774" s="36" t="s">
        <v>8096</v>
      </c>
      <c r="B3774" s="154" t="s">
        <v>8088</v>
      </c>
      <c r="C3774" s="36" t="s">
        <v>1666</v>
      </c>
      <c r="D3774" s="36" t="s">
        <v>75</v>
      </c>
      <c r="E3774" s="36" t="s">
        <v>75</v>
      </c>
      <c r="F3774" s="154" t="s">
        <v>8097</v>
      </c>
      <c r="G3774" s="36" t="s">
        <v>28</v>
      </c>
      <c r="H3774" s="36" t="s">
        <v>1655</v>
      </c>
      <c r="I3774" s="36" t="s">
        <v>1656</v>
      </c>
      <c r="J3774" s="36" t="s">
        <v>1656</v>
      </c>
      <c r="K3774" s="36" t="s">
        <v>1760</v>
      </c>
      <c r="L3774" s="36" t="s">
        <v>7942</v>
      </c>
      <c r="M3774" s="36" t="s">
        <v>7942</v>
      </c>
      <c r="N3774" s="36" t="s">
        <v>32</v>
      </c>
    </row>
    <row r="3775">
      <c r="A3775" s="36" t="s">
        <v>8098</v>
      </c>
      <c r="B3775" s="154" t="s">
        <v>8088</v>
      </c>
      <c r="C3775" s="36" t="s">
        <v>1666</v>
      </c>
      <c r="D3775" s="36" t="s">
        <v>76</v>
      </c>
      <c r="E3775" s="36" t="s">
        <v>76</v>
      </c>
      <c r="F3775" s="154" t="s">
        <v>8099</v>
      </c>
      <c r="G3775" s="36" t="s">
        <v>28</v>
      </c>
      <c r="H3775" s="36" t="s">
        <v>1655</v>
      </c>
      <c r="I3775" s="36" t="s">
        <v>1656</v>
      </c>
      <c r="J3775" s="36" t="s">
        <v>1656</v>
      </c>
      <c r="K3775" s="36" t="s">
        <v>1763</v>
      </c>
      <c r="L3775" s="36" t="s">
        <v>7942</v>
      </c>
      <c r="M3775" s="36" t="s">
        <v>7942</v>
      </c>
      <c r="N3775" s="36" t="s">
        <v>32</v>
      </c>
    </row>
    <row r="3776">
      <c r="A3776" s="36" t="s">
        <v>8100</v>
      </c>
      <c r="B3776" s="154" t="s">
        <v>8088</v>
      </c>
      <c r="C3776" s="36" t="s">
        <v>1666</v>
      </c>
      <c r="D3776" s="36" t="s">
        <v>77</v>
      </c>
      <c r="E3776" s="36" t="s">
        <v>77</v>
      </c>
      <c r="F3776" s="154" t="s">
        <v>1768</v>
      </c>
      <c r="G3776" s="36" t="s">
        <v>34</v>
      </c>
      <c r="H3776" s="36" t="s">
        <v>1655</v>
      </c>
      <c r="I3776" s="36" t="s">
        <v>1656</v>
      </c>
      <c r="J3776" s="36" t="s">
        <v>1656</v>
      </c>
      <c r="K3776" s="36" t="s">
        <v>1766</v>
      </c>
      <c r="L3776" s="36" t="s">
        <v>7942</v>
      </c>
      <c r="M3776" s="36" t="s">
        <v>7942</v>
      </c>
      <c r="N3776" s="36" t="s">
        <v>32</v>
      </c>
    </row>
    <row r="3777">
      <c r="A3777" s="36" t="s">
        <v>8101</v>
      </c>
      <c r="B3777" s="154" t="s">
        <v>8088</v>
      </c>
      <c r="C3777" s="36" t="s">
        <v>1666</v>
      </c>
      <c r="D3777" s="36" t="s">
        <v>90</v>
      </c>
      <c r="E3777" s="36" t="s">
        <v>90</v>
      </c>
      <c r="F3777" s="154" t="s">
        <v>2156</v>
      </c>
      <c r="G3777" s="36" t="s">
        <v>28</v>
      </c>
      <c r="H3777" s="36" t="s">
        <v>1655</v>
      </c>
      <c r="I3777" s="36" t="s">
        <v>1656</v>
      </c>
      <c r="J3777" s="36" t="s">
        <v>1656</v>
      </c>
      <c r="K3777" s="36" t="s">
        <v>1695</v>
      </c>
      <c r="L3777" s="36" t="s">
        <v>7942</v>
      </c>
      <c r="M3777" s="36" t="s">
        <v>7942</v>
      </c>
      <c r="N3777" s="36" t="s">
        <v>32</v>
      </c>
    </row>
    <row r="3778">
      <c r="A3778" s="36" t="s">
        <v>8102</v>
      </c>
      <c r="B3778" s="154" t="s">
        <v>8088</v>
      </c>
      <c r="C3778" s="36" t="s">
        <v>1666</v>
      </c>
      <c r="D3778" s="36" t="s">
        <v>115</v>
      </c>
      <c r="E3778" s="36" t="s">
        <v>115</v>
      </c>
      <c r="F3778" s="154" t="s">
        <v>1683</v>
      </c>
      <c r="G3778" s="36" t="s">
        <v>32</v>
      </c>
      <c r="H3778" s="36" t="s">
        <v>1655</v>
      </c>
      <c r="I3778" s="36" t="s">
        <v>1656</v>
      </c>
      <c r="J3778" s="36" t="s">
        <v>1656</v>
      </c>
      <c r="K3778" s="36" t="s">
        <v>1698</v>
      </c>
      <c r="L3778" s="36" t="s">
        <v>7942</v>
      </c>
      <c r="M3778" s="36" t="s">
        <v>7942</v>
      </c>
      <c r="N3778" s="36" t="s">
        <v>32</v>
      </c>
    </row>
    <row r="3779">
      <c r="A3779" s="36" t="s">
        <v>8103</v>
      </c>
      <c r="B3779" s="154" t="s">
        <v>8088</v>
      </c>
      <c r="C3779" s="36" t="s">
        <v>1666</v>
      </c>
      <c r="D3779" s="36" t="s">
        <v>114</v>
      </c>
      <c r="E3779" s="36" t="s">
        <v>114</v>
      </c>
      <c r="F3779" s="154" t="s">
        <v>1683</v>
      </c>
      <c r="G3779" s="36" t="s">
        <v>32</v>
      </c>
      <c r="H3779" s="36" t="s">
        <v>1655</v>
      </c>
      <c r="I3779" s="36" t="s">
        <v>1656</v>
      </c>
      <c r="J3779" s="36" t="s">
        <v>1656</v>
      </c>
      <c r="K3779" s="36" t="s">
        <v>1701</v>
      </c>
      <c r="L3779" s="36" t="s">
        <v>7942</v>
      </c>
      <c r="M3779" s="36" t="s">
        <v>7942</v>
      </c>
      <c r="N3779" s="36" t="s">
        <v>32</v>
      </c>
    </row>
    <row r="3780">
      <c r="A3780" s="36" t="s">
        <v>8104</v>
      </c>
      <c r="B3780" s="154" t="s">
        <v>8105</v>
      </c>
      <c r="C3780" s="36" t="s">
        <v>1666</v>
      </c>
      <c r="D3780" s="36" t="s">
        <v>191</v>
      </c>
      <c r="E3780" s="36" t="s">
        <v>191</v>
      </c>
      <c r="F3780" s="154" t="s">
        <v>1816</v>
      </c>
      <c r="G3780" s="36" t="s">
        <v>28</v>
      </c>
      <c r="H3780" s="36" t="s">
        <v>1655</v>
      </c>
      <c r="I3780" s="36" t="s">
        <v>1656</v>
      </c>
      <c r="J3780" s="36" t="s">
        <v>1656</v>
      </c>
      <c r="K3780" s="36" t="s">
        <v>1704</v>
      </c>
      <c r="L3780" s="36" t="s">
        <v>7942</v>
      </c>
      <c r="M3780" s="36" t="s">
        <v>7942</v>
      </c>
      <c r="N3780" s="36" t="s">
        <v>32</v>
      </c>
    </row>
    <row r="3781">
      <c r="A3781" s="36" t="s">
        <v>8106</v>
      </c>
      <c r="B3781" s="154" t="s">
        <v>8105</v>
      </c>
      <c r="C3781" s="36" t="s">
        <v>1666</v>
      </c>
      <c r="D3781" s="36" t="s">
        <v>234</v>
      </c>
      <c r="E3781" s="36" t="s">
        <v>234</v>
      </c>
      <c r="F3781" s="154" t="s">
        <v>2555</v>
      </c>
      <c r="G3781" s="36" t="s">
        <v>32</v>
      </c>
      <c r="H3781" s="36" t="s">
        <v>1655</v>
      </c>
      <c r="I3781" s="36" t="s">
        <v>1656</v>
      </c>
      <c r="J3781" s="36" t="s">
        <v>1656</v>
      </c>
      <c r="K3781" s="36" t="s">
        <v>1711</v>
      </c>
      <c r="L3781" s="36" t="s">
        <v>7942</v>
      </c>
      <c r="M3781" s="36" t="s">
        <v>7942</v>
      </c>
      <c r="N3781" s="36" t="s">
        <v>32</v>
      </c>
    </row>
    <row r="3782">
      <c r="A3782" s="36" t="s">
        <v>8107</v>
      </c>
      <c r="B3782" s="154" t="s">
        <v>8108</v>
      </c>
      <c r="C3782" s="36" t="s">
        <v>1666</v>
      </c>
      <c r="D3782" s="36" t="s">
        <v>210</v>
      </c>
      <c r="E3782" s="36" t="s">
        <v>210</v>
      </c>
      <c r="F3782" s="154" t="s">
        <v>1768</v>
      </c>
      <c r="G3782" s="36" t="s">
        <v>28</v>
      </c>
      <c r="H3782" s="36" t="s">
        <v>1655</v>
      </c>
      <c r="I3782" s="36" t="s">
        <v>1656</v>
      </c>
      <c r="J3782" s="36" t="s">
        <v>1656</v>
      </c>
      <c r="K3782" s="36" t="s">
        <v>1715</v>
      </c>
      <c r="L3782" s="36" t="s">
        <v>7942</v>
      </c>
      <c r="M3782" s="36" t="s">
        <v>7942</v>
      </c>
      <c r="N3782" s="36" t="s">
        <v>32</v>
      </c>
    </row>
    <row r="3783">
      <c r="A3783" s="36" t="s">
        <v>8109</v>
      </c>
      <c r="B3783" s="154" t="s">
        <v>8108</v>
      </c>
      <c r="C3783" s="36" t="s">
        <v>1666</v>
      </c>
      <c r="D3783" s="36" t="s">
        <v>271</v>
      </c>
      <c r="E3783" s="36" t="s">
        <v>271</v>
      </c>
      <c r="F3783" s="154" t="s">
        <v>2867</v>
      </c>
      <c r="G3783" s="36" t="s">
        <v>28</v>
      </c>
      <c r="H3783" s="36" t="s">
        <v>1655</v>
      </c>
      <c r="I3783" s="36" t="s">
        <v>1656</v>
      </c>
      <c r="J3783" s="36" t="s">
        <v>1656</v>
      </c>
      <c r="K3783" s="36" t="s">
        <v>1717</v>
      </c>
      <c r="L3783" s="36" t="s">
        <v>7942</v>
      </c>
      <c r="M3783" s="36" t="s">
        <v>7942</v>
      </c>
      <c r="N3783" s="36" t="s">
        <v>32</v>
      </c>
    </row>
    <row r="3784">
      <c r="A3784" s="36" t="s">
        <v>8110</v>
      </c>
      <c r="B3784" s="154" t="s">
        <v>8111</v>
      </c>
      <c r="C3784" s="36" t="s">
        <v>1666</v>
      </c>
      <c r="D3784" s="36" t="s">
        <v>275</v>
      </c>
      <c r="E3784" s="36" t="s">
        <v>275</v>
      </c>
      <c r="F3784" s="154" t="s">
        <v>8112</v>
      </c>
      <c r="G3784" s="36" t="s">
        <v>32</v>
      </c>
      <c r="H3784" s="36" t="s">
        <v>1655</v>
      </c>
      <c r="I3784" s="36" t="s">
        <v>1656</v>
      </c>
      <c r="J3784" s="36" t="s">
        <v>1656</v>
      </c>
      <c r="K3784" s="36" t="s">
        <v>1724</v>
      </c>
      <c r="L3784" s="36" t="s">
        <v>7942</v>
      </c>
      <c r="M3784" s="36" t="s">
        <v>7942</v>
      </c>
      <c r="N3784" s="36" t="s">
        <v>32</v>
      </c>
    </row>
    <row r="3785">
      <c r="A3785" s="36" t="s">
        <v>8113</v>
      </c>
      <c r="B3785" s="154" t="s">
        <v>8111</v>
      </c>
      <c r="C3785" s="36" t="s">
        <v>1666</v>
      </c>
      <c r="D3785" s="36" t="s">
        <v>279</v>
      </c>
      <c r="E3785" s="36" t="s">
        <v>279</v>
      </c>
      <c r="F3785" s="154" t="s">
        <v>8114</v>
      </c>
      <c r="G3785" s="36" t="s">
        <v>32</v>
      </c>
      <c r="H3785" s="36" t="s">
        <v>1655</v>
      </c>
      <c r="I3785" s="36" t="s">
        <v>1656</v>
      </c>
      <c r="J3785" s="36" t="s">
        <v>1656</v>
      </c>
      <c r="K3785" s="36" t="s">
        <v>1727</v>
      </c>
      <c r="L3785" s="36" t="s">
        <v>7942</v>
      </c>
      <c r="M3785" s="36" t="s">
        <v>7942</v>
      </c>
      <c r="N3785" s="36" t="s">
        <v>32</v>
      </c>
    </row>
    <row r="3786">
      <c r="A3786" s="36" t="s">
        <v>8115</v>
      </c>
      <c r="B3786" s="154" t="s">
        <v>8111</v>
      </c>
      <c r="C3786" s="36" t="s">
        <v>1666</v>
      </c>
      <c r="D3786" s="36" t="s">
        <v>92</v>
      </c>
      <c r="E3786" s="36" t="s">
        <v>92</v>
      </c>
      <c r="F3786" s="154" t="s">
        <v>1810</v>
      </c>
      <c r="G3786" s="36" t="s">
        <v>28</v>
      </c>
      <c r="H3786" s="36" t="s">
        <v>1655</v>
      </c>
      <c r="I3786" s="36" t="s">
        <v>1656</v>
      </c>
      <c r="J3786" s="36" t="s">
        <v>1656</v>
      </c>
      <c r="K3786" s="36" t="s">
        <v>1730</v>
      </c>
      <c r="L3786" s="36" t="s">
        <v>7942</v>
      </c>
      <c r="M3786" s="36" t="s">
        <v>7942</v>
      </c>
      <c r="N3786" s="36" t="s">
        <v>32</v>
      </c>
    </row>
    <row r="3787">
      <c r="A3787" s="36" t="s">
        <v>8116</v>
      </c>
      <c r="B3787" s="154" t="s">
        <v>8111</v>
      </c>
      <c r="C3787" s="36" t="s">
        <v>1666</v>
      </c>
      <c r="D3787" s="36" t="s">
        <v>92</v>
      </c>
      <c r="E3787" s="36" t="s">
        <v>92</v>
      </c>
      <c r="F3787" s="154" t="s">
        <v>2325</v>
      </c>
      <c r="G3787" s="36" t="s">
        <v>32</v>
      </c>
      <c r="H3787" s="36" t="s">
        <v>1655</v>
      </c>
      <c r="I3787" s="36" t="s">
        <v>1656</v>
      </c>
      <c r="J3787" s="36" t="s">
        <v>1656</v>
      </c>
      <c r="K3787" s="36" t="s">
        <v>1732</v>
      </c>
      <c r="L3787" s="36" t="s">
        <v>7942</v>
      </c>
      <c r="M3787" s="36" t="s">
        <v>7942</v>
      </c>
      <c r="N3787" s="36" t="s">
        <v>32</v>
      </c>
    </row>
    <row r="3788">
      <c r="A3788" s="36" t="s">
        <v>8117</v>
      </c>
      <c r="B3788" s="154" t="s">
        <v>8118</v>
      </c>
      <c r="C3788" s="36" t="s">
        <v>1653</v>
      </c>
      <c r="D3788" s="36" t="s">
        <v>160</v>
      </c>
      <c r="E3788" s="36" t="s">
        <v>39</v>
      </c>
      <c r="F3788" s="154" t="s">
        <v>8119</v>
      </c>
      <c r="G3788" s="36" t="s">
        <v>32</v>
      </c>
      <c r="H3788" s="36" t="s">
        <v>1655</v>
      </c>
      <c r="I3788" s="36" t="s">
        <v>1656</v>
      </c>
      <c r="J3788" s="36" t="s">
        <v>1656</v>
      </c>
      <c r="K3788" s="36" t="s">
        <v>1749</v>
      </c>
      <c r="L3788" s="36" t="s">
        <v>7934</v>
      </c>
      <c r="M3788" s="36" t="s">
        <v>7934</v>
      </c>
      <c r="N3788" s="36" t="s">
        <v>32</v>
      </c>
    </row>
    <row r="3789">
      <c r="A3789" s="36" t="s">
        <v>8120</v>
      </c>
      <c r="B3789" s="154" t="s">
        <v>8118</v>
      </c>
      <c r="C3789" s="36" t="s">
        <v>1666</v>
      </c>
      <c r="D3789" s="36" t="s">
        <v>291</v>
      </c>
      <c r="E3789" s="36" t="s">
        <v>291</v>
      </c>
      <c r="F3789" s="154" t="s">
        <v>8121</v>
      </c>
      <c r="G3789" s="36" t="s">
        <v>32</v>
      </c>
      <c r="H3789" s="36" t="s">
        <v>1655</v>
      </c>
      <c r="I3789" s="36" t="s">
        <v>1656</v>
      </c>
      <c r="J3789" s="36" t="s">
        <v>1656</v>
      </c>
      <c r="K3789" s="36" t="s">
        <v>1736</v>
      </c>
      <c r="L3789" s="36" t="s">
        <v>7942</v>
      </c>
      <c r="M3789" s="36" t="s">
        <v>7942</v>
      </c>
      <c r="N3789" s="36" t="s">
        <v>34</v>
      </c>
    </row>
    <row r="3790">
      <c r="A3790" s="36" t="s">
        <v>8122</v>
      </c>
      <c r="B3790" s="154" t="s">
        <v>8118</v>
      </c>
      <c r="C3790" s="36" t="s">
        <v>1666</v>
      </c>
      <c r="D3790" s="36" t="s">
        <v>90</v>
      </c>
      <c r="E3790" s="36" t="s">
        <v>90</v>
      </c>
      <c r="F3790" s="154" t="s">
        <v>2220</v>
      </c>
      <c r="G3790" s="36" t="s">
        <v>28</v>
      </c>
      <c r="H3790" s="36" t="s">
        <v>1655</v>
      </c>
      <c r="I3790" s="36" t="s">
        <v>1656</v>
      </c>
      <c r="J3790" s="36" t="s">
        <v>1656</v>
      </c>
      <c r="K3790" s="36" t="s">
        <v>1739</v>
      </c>
      <c r="L3790" s="36" t="s">
        <v>7942</v>
      </c>
      <c r="M3790" s="36" t="s">
        <v>7942</v>
      </c>
      <c r="N3790" s="36" t="s">
        <v>32</v>
      </c>
    </row>
    <row r="3791">
      <c r="A3791" s="36" t="s">
        <v>8123</v>
      </c>
      <c r="B3791" s="154" t="s">
        <v>8124</v>
      </c>
      <c r="C3791" s="36" t="s">
        <v>1666</v>
      </c>
      <c r="D3791" s="36" t="s">
        <v>92</v>
      </c>
      <c r="E3791" s="36" t="s">
        <v>92</v>
      </c>
      <c r="F3791" s="154" t="s">
        <v>1874</v>
      </c>
      <c r="G3791" s="36" t="s">
        <v>32</v>
      </c>
      <c r="H3791" s="36" t="s">
        <v>1655</v>
      </c>
      <c r="I3791" s="36" t="s">
        <v>1656</v>
      </c>
      <c r="J3791" s="36" t="s">
        <v>1656</v>
      </c>
      <c r="K3791" s="36" t="s">
        <v>1742</v>
      </c>
      <c r="L3791" s="36" t="s">
        <v>7942</v>
      </c>
      <c r="M3791" s="36" t="s">
        <v>7942</v>
      </c>
      <c r="N3791" s="36" t="s">
        <v>32</v>
      </c>
    </row>
    <row r="3792">
      <c r="A3792" s="36" t="s">
        <v>8125</v>
      </c>
      <c r="B3792" s="154" t="s">
        <v>8126</v>
      </c>
      <c r="C3792" s="36" t="s">
        <v>1666</v>
      </c>
      <c r="D3792" s="36" t="s">
        <v>92</v>
      </c>
      <c r="E3792" s="36" t="s">
        <v>92</v>
      </c>
      <c r="F3792" s="154" t="s">
        <v>1729</v>
      </c>
      <c r="G3792" s="36" t="s">
        <v>32</v>
      </c>
      <c r="H3792" s="36" t="s">
        <v>1655</v>
      </c>
      <c r="I3792" s="36" t="s">
        <v>1656</v>
      </c>
      <c r="J3792" s="36" t="s">
        <v>1656</v>
      </c>
      <c r="K3792" s="36" t="s">
        <v>1745</v>
      </c>
      <c r="L3792" s="36" t="s">
        <v>7942</v>
      </c>
      <c r="M3792" s="36" t="s">
        <v>7942</v>
      </c>
      <c r="N3792" s="36" t="s">
        <v>32</v>
      </c>
    </row>
    <row r="3793">
      <c r="A3793" s="36" t="s">
        <v>8127</v>
      </c>
      <c r="B3793" s="154" t="s">
        <v>8126</v>
      </c>
      <c r="C3793" s="36" t="s">
        <v>1666</v>
      </c>
      <c r="D3793" s="36" t="s">
        <v>92</v>
      </c>
      <c r="E3793" s="36" t="s">
        <v>92</v>
      </c>
      <c r="F3793" s="154" t="s">
        <v>2025</v>
      </c>
      <c r="G3793" s="36" t="s">
        <v>32</v>
      </c>
      <c r="H3793" s="36" t="s">
        <v>1655</v>
      </c>
      <c r="I3793" s="36" t="s">
        <v>1656</v>
      </c>
      <c r="J3793" s="36" t="s">
        <v>1656</v>
      </c>
      <c r="K3793" s="36" t="s">
        <v>1773</v>
      </c>
      <c r="L3793" s="36" t="s">
        <v>7942</v>
      </c>
      <c r="M3793" s="36" t="s">
        <v>7942</v>
      </c>
      <c r="N3793" s="36" t="s">
        <v>32</v>
      </c>
    </row>
    <row r="3794">
      <c r="A3794" s="36" t="s">
        <v>8128</v>
      </c>
      <c r="B3794" s="154" t="s">
        <v>8129</v>
      </c>
      <c r="C3794" s="36" t="s">
        <v>1666</v>
      </c>
      <c r="D3794" s="36" t="s">
        <v>80</v>
      </c>
      <c r="E3794" s="36" t="s">
        <v>80</v>
      </c>
      <c r="F3794" s="154" t="s">
        <v>6912</v>
      </c>
      <c r="G3794" s="36" t="s">
        <v>32</v>
      </c>
      <c r="H3794" s="36" t="s">
        <v>1655</v>
      </c>
      <c r="I3794" s="36" t="s">
        <v>1656</v>
      </c>
      <c r="J3794" s="36" t="s">
        <v>1656</v>
      </c>
      <c r="K3794" s="36" t="s">
        <v>1769</v>
      </c>
      <c r="L3794" s="36" t="s">
        <v>7942</v>
      </c>
      <c r="M3794" s="36" t="s">
        <v>7942</v>
      </c>
      <c r="N3794" s="36" t="s">
        <v>32</v>
      </c>
    </row>
    <row r="3795">
      <c r="A3795" s="36" t="s">
        <v>8130</v>
      </c>
      <c r="B3795" s="154" t="s">
        <v>8129</v>
      </c>
      <c r="C3795" s="36" t="s">
        <v>1666</v>
      </c>
      <c r="D3795" s="36" t="s">
        <v>316</v>
      </c>
      <c r="E3795" s="36" t="s">
        <v>316</v>
      </c>
      <c r="F3795" s="154" t="s">
        <v>1810</v>
      </c>
      <c r="G3795" s="36" t="s">
        <v>32</v>
      </c>
      <c r="H3795" s="36" t="s">
        <v>1655</v>
      </c>
      <c r="I3795" s="36" t="s">
        <v>1656</v>
      </c>
      <c r="J3795" s="36" t="s">
        <v>1656</v>
      </c>
      <c r="K3795" s="36" t="s">
        <v>1776</v>
      </c>
      <c r="L3795" s="36" t="s">
        <v>7942</v>
      </c>
      <c r="M3795" s="36" t="s">
        <v>7942</v>
      </c>
      <c r="N3795" s="36" t="s">
        <v>32</v>
      </c>
    </row>
    <row r="3796">
      <c r="A3796" s="36" t="s">
        <v>8131</v>
      </c>
      <c r="B3796" s="154" t="s">
        <v>8129</v>
      </c>
      <c r="C3796" s="36" t="s">
        <v>1666</v>
      </c>
      <c r="D3796" s="36" t="s">
        <v>218</v>
      </c>
      <c r="E3796" s="36" t="s">
        <v>218</v>
      </c>
      <c r="F3796" s="154" t="s">
        <v>2039</v>
      </c>
      <c r="G3796" s="36" t="s">
        <v>32</v>
      </c>
      <c r="H3796" s="36" t="s">
        <v>1655</v>
      </c>
      <c r="I3796" s="36" t="s">
        <v>1656</v>
      </c>
      <c r="J3796" s="36" t="s">
        <v>1656</v>
      </c>
      <c r="K3796" s="36" t="s">
        <v>1779</v>
      </c>
      <c r="L3796" s="36" t="s">
        <v>7942</v>
      </c>
      <c r="M3796" s="36" t="s">
        <v>7942</v>
      </c>
      <c r="N3796" s="36" t="s">
        <v>32</v>
      </c>
    </row>
    <row r="3797">
      <c r="A3797" s="36" t="s">
        <v>8132</v>
      </c>
      <c r="B3797" s="154" t="s">
        <v>8129</v>
      </c>
      <c r="C3797" s="36" t="s">
        <v>1666</v>
      </c>
      <c r="D3797" s="36" t="s">
        <v>90</v>
      </c>
      <c r="E3797" s="36" t="s">
        <v>90</v>
      </c>
      <c r="F3797" s="154" t="s">
        <v>1966</v>
      </c>
      <c r="G3797" s="36" t="s">
        <v>28</v>
      </c>
      <c r="H3797" s="36" t="s">
        <v>1655</v>
      </c>
      <c r="I3797" s="36" t="s">
        <v>1656</v>
      </c>
      <c r="J3797" s="36" t="s">
        <v>1656</v>
      </c>
      <c r="K3797" s="36" t="s">
        <v>1782</v>
      </c>
      <c r="L3797" s="36" t="s">
        <v>7942</v>
      </c>
      <c r="M3797" s="36" t="s">
        <v>7942</v>
      </c>
      <c r="N3797" s="36" t="s">
        <v>32</v>
      </c>
    </row>
    <row r="3798">
      <c r="A3798" s="36" t="s">
        <v>8133</v>
      </c>
      <c r="B3798" s="154" t="s">
        <v>8134</v>
      </c>
      <c r="C3798" s="36" t="s">
        <v>1666</v>
      </c>
      <c r="D3798" s="36" t="s">
        <v>90</v>
      </c>
      <c r="E3798" s="36" t="s">
        <v>90</v>
      </c>
      <c r="F3798" s="154" t="s">
        <v>1799</v>
      </c>
      <c r="G3798" s="36" t="s">
        <v>28</v>
      </c>
      <c r="H3798" s="36" t="s">
        <v>1655</v>
      </c>
      <c r="I3798" s="36" t="s">
        <v>1656</v>
      </c>
      <c r="J3798" s="36" t="s">
        <v>1656</v>
      </c>
      <c r="K3798" s="36" t="s">
        <v>1784</v>
      </c>
      <c r="L3798" s="36" t="s">
        <v>7942</v>
      </c>
      <c r="M3798" s="36" t="s">
        <v>7942</v>
      </c>
      <c r="N3798" s="36" t="s">
        <v>32</v>
      </c>
    </row>
    <row r="3799">
      <c r="A3799" s="36" t="s">
        <v>8135</v>
      </c>
      <c r="B3799" s="154" t="s">
        <v>8134</v>
      </c>
      <c r="C3799" s="36" t="s">
        <v>1666</v>
      </c>
      <c r="D3799" s="36" t="s">
        <v>100</v>
      </c>
      <c r="E3799" s="36" t="s">
        <v>100</v>
      </c>
      <c r="F3799" s="154" t="s">
        <v>1768</v>
      </c>
      <c r="G3799" s="36" t="s">
        <v>32</v>
      </c>
      <c r="H3799" s="36" t="s">
        <v>1655</v>
      </c>
      <c r="I3799" s="36" t="s">
        <v>1656</v>
      </c>
      <c r="J3799" s="36" t="s">
        <v>1656</v>
      </c>
      <c r="K3799" s="36" t="s">
        <v>1787</v>
      </c>
      <c r="L3799" s="36" t="s">
        <v>7942</v>
      </c>
      <c r="M3799" s="36" t="s">
        <v>7942</v>
      </c>
      <c r="N3799" s="36" t="s">
        <v>32</v>
      </c>
    </row>
    <row r="3800">
      <c r="A3800" s="36" t="s">
        <v>8136</v>
      </c>
      <c r="B3800" s="154" t="s">
        <v>8137</v>
      </c>
      <c r="C3800" s="36" t="s">
        <v>1666</v>
      </c>
      <c r="D3800" s="36" t="s">
        <v>191</v>
      </c>
      <c r="E3800" s="36" t="s">
        <v>191</v>
      </c>
      <c r="F3800" s="154" t="s">
        <v>1816</v>
      </c>
      <c r="G3800" s="36" t="s">
        <v>28</v>
      </c>
      <c r="H3800" s="36" t="s">
        <v>1655</v>
      </c>
      <c r="I3800" s="36" t="s">
        <v>1656</v>
      </c>
      <c r="J3800" s="36" t="s">
        <v>1656</v>
      </c>
      <c r="K3800" s="36" t="s">
        <v>1790</v>
      </c>
      <c r="L3800" s="36" t="s">
        <v>7942</v>
      </c>
      <c r="M3800" s="36" t="s">
        <v>7942</v>
      </c>
      <c r="N3800" s="36" t="s">
        <v>32</v>
      </c>
    </row>
    <row r="3801">
      <c r="A3801" s="36" t="s">
        <v>8138</v>
      </c>
      <c r="B3801" s="154" t="s">
        <v>8137</v>
      </c>
      <c r="C3801" s="36" t="s">
        <v>1666</v>
      </c>
      <c r="D3801" s="36" t="s">
        <v>92</v>
      </c>
      <c r="E3801" s="36" t="s">
        <v>92</v>
      </c>
      <c r="F3801" s="154" t="s">
        <v>8139</v>
      </c>
      <c r="G3801" s="36" t="s">
        <v>32</v>
      </c>
      <c r="H3801" s="36" t="s">
        <v>1655</v>
      </c>
      <c r="I3801" s="36" t="s">
        <v>1656</v>
      </c>
      <c r="J3801" s="36" t="s">
        <v>1656</v>
      </c>
      <c r="K3801" s="36" t="s">
        <v>1793</v>
      </c>
      <c r="L3801" s="36" t="s">
        <v>7942</v>
      </c>
      <c r="M3801" s="36" t="s">
        <v>7942</v>
      </c>
      <c r="N3801" s="36" t="s">
        <v>32</v>
      </c>
    </row>
    <row r="3802">
      <c r="A3802" s="36" t="s">
        <v>8140</v>
      </c>
      <c r="B3802" s="154" t="s">
        <v>8137</v>
      </c>
      <c r="C3802" s="36" t="s">
        <v>1666</v>
      </c>
      <c r="D3802" s="36" t="s">
        <v>210</v>
      </c>
      <c r="E3802" s="36" t="s">
        <v>210</v>
      </c>
      <c r="F3802" s="154" t="s">
        <v>2911</v>
      </c>
      <c r="G3802" s="36" t="s">
        <v>28</v>
      </c>
      <c r="H3802" s="36" t="s">
        <v>1655</v>
      </c>
      <c r="I3802" s="36" t="s">
        <v>1656</v>
      </c>
      <c r="J3802" s="36" t="s">
        <v>1656</v>
      </c>
      <c r="K3802" s="36" t="s">
        <v>1796</v>
      </c>
      <c r="L3802" s="36" t="s">
        <v>7942</v>
      </c>
      <c r="M3802" s="36" t="s">
        <v>7942</v>
      </c>
      <c r="N3802" s="36" t="s">
        <v>32</v>
      </c>
    </row>
    <row r="3803">
      <c r="A3803" s="36" t="s">
        <v>8141</v>
      </c>
      <c r="B3803" s="154" t="s">
        <v>8137</v>
      </c>
      <c r="C3803" s="36" t="s">
        <v>1666</v>
      </c>
      <c r="D3803" s="36" t="s">
        <v>90</v>
      </c>
      <c r="E3803" s="36" t="s">
        <v>90</v>
      </c>
      <c r="F3803" s="154" t="s">
        <v>1778</v>
      </c>
      <c r="G3803" s="36" t="s">
        <v>28</v>
      </c>
      <c r="H3803" s="36" t="s">
        <v>1655</v>
      </c>
      <c r="I3803" s="36" t="s">
        <v>1656</v>
      </c>
      <c r="J3803" s="36" t="s">
        <v>1656</v>
      </c>
      <c r="K3803" s="36" t="s">
        <v>1800</v>
      </c>
      <c r="L3803" s="36" t="s">
        <v>7942</v>
      </c>
      <c r="M3803" s="36" t="s">
        <v>7942</v>
      </c>
      <c r="N3803" s="36" t="s">
        <v>32</v>
      </c>
    </row>
    <row r="3804">
      <c r="A3804" s="36" t="s">
        <v>8142</v>
      </c>
      <c r="B3804" s="154" t="s">
        <v>8143</v>
      </c>
      <c r="C3804" s="36" t="s">
        <v>1666</v>
      </c>
      <c r="D3804" s="36" t="s">
        <v>81</v>
      </c>
      <c r="E3804" s="36" t="s">
        <v>81</v>
      </c>
      <c r="F3804" s="154" t="s">
        <v>8052</v>
      </c>
      <c r="G3804" s="36" t="s">
        <v>28</v>
      </c>
      <c r="H3804" s="36" t="s">
        <v>1655</v>
      </c>
      <c r="I3804" s="36" t="s">
        <v>1656</v>
      </c>
      <c r="J3804" s="36" t="s">
        <v>1656</v>
      </c>
      <c r="K3804" s="36" t="s">
        <v>6793</v>
      </c>
      <c r="L3804" s="36" t="s">
        <v>7942</v>
      </c>
      <c r="M3804" s="36" t="s">
        <v>7942</v>
      </c>
      <c r="N3804" s="36" t="s">
        <v>32</v>
      </c>
    </row>
    <row r="3805">
      <c r="A3805" s="36" t="s">
        <v>8144</v>
      </c>
      <c r="B3805" s="154" t="s">
        <v>8143</v>
      </c>
      <c r="C3805" s="36" t="s">
        <v>1666</v>
      </c>
      <c r="D3805" s="36" t="s">
        <v>83</v>
      </c>
      <c r="E3805" s="36" t="s">
        <v>83</v>
      </c>
      <c r="F3805" s="154" t="s">
        <v>8145</v>
      </c>
      <c r="G3805" s="36" t="s">
        <v>28</v>
      </c>
      <c r="H3805" s="36" t="s">
        <v>1655</v>
      </c>
      <c r="I3805" s="36" t="s">
        <v>1656</v>
      </c>
      <c r="J3805" s="36" t="s">
        <v>1656</v>
      </c>
      <c r="K3805" s="36" t="s">
        <v>4408</v>
      </c>
      <c r="L3805" s="36" t="s">
        <v>7942</v>
      </c>
      <c r="M3805" s="36" t="s">
        <v>7942</v>
      </c>
      <c r="N3805" s="36" t="s">
        <v>32</v>
      </c>
    </row>
    <row r="3806">
      <c r="A3806" s="36" t="s">
        <v>8146</v>
      </c>
      <c r="B3806" s="154" t="s">
        <v>8143</v>
      </c>
      <c r="C3806" s="36" t="s">
        <v>1666</v>
      </c>
      <c r="D3806" s="36" t="s">
        <v>84</v>
      </c>
      <c r="E3806" s="36" t="s">
        <v>84</v>
      </c>
      <c r="F3806" s="154" t="s">
        <v>8147</v>
      </c>
      <c r="G3806" s="36" t="s">
        <v>32</v>
      </c>
      <c r="H3806" s="36" t="s">
        <v>1655</v>
      </c>
      <c r="I3806" s="36" t="s">
        <v>1656</v>
      </c>
      <c r="J3806" s="36" t="s">
        <v>1656</v>
      </c>
      <c r="K3806" s="36" t="s">
        <v>3032</v>
      </c>
      <c r="L3806" s="36" t="s">
        <v>7942</v>
      </c>
      <c r="M3806" s="36" t="s">
        <v>7942</v>
      </c>
      <c r="N3806" s="36" t="s">
        <v>32</v>
      </c>
    </row>
    <row r="3807">
      <c r="A3807" s="36" t="s">
        <v>8148</v>
      </c>
      <c r="B3807" s="154" t="s">
        <v>8143</v>
      </c>
      <c r="C3807" s="36" t="s">
        <v>1666</v>
      </c>
      <c r="D3807" s="36" t="s">
        <v>126</v>
      </c>
      <c r="E3807" s="36" t="s">
        <v>126</v>
      </c>
      <c r="F3807" s="154" t="s">
        <v>1768</v>
      </c>
      <c r="G3807" s="36" t="s">
        <v>32</v>
      </c>
      <c r="H3807" s="36" t="s">
        <v>1655</v>
      </c>
      <c r="I3807" s="36" t="s">
        <v>1656</v>
      </c>
      <c r="J3807" s="36" t="s">
        <v>1656</v>
      </c>
      <c r="K3807" s="36" t="s">
        <v>1803</v>
      </c>
      <c r="L3807" s="36" t="s">
        <v>7942</v>
      </c>
      <c r="M3807" s="36" t="s">
        <v>7942</v>
      </c>
      <c r="N3807" s="36" t="s">
        <v>32</v>
      </c>
    </row>
    <row r="3808">
      <c r="A3808" s="36" t="s">
        <v>8149</v>
      </c>
      <c r="B3808" s="154" t="s">
        <v>8143</v>
      </c>
      <c r="C3808" s="36" t="s">
        <v>1666</v>
      </c>
      <c r="D3808" s="36" t="s">
        <v>109</v>
      </c>
      <c r="E3808" s="36" t="s">
        <v>109</v>
      </c>
      <c r="F3808" s="154" t="s">
        <v>2006</v>
      </c>
      <c r="G3808" s="36" t="s">
        <v>28</v>
      </c>
      <c r="H3808" s="36" t="s">
        <v>1655</v>
      </c>
      <c r="I3808" s="36" t="s">
        <v>1656</v>
      </c>
      <c r="J3808" s="36" t="s">
        <v>1656</v>
      </c>
      <c r="K3808" s="36" t="s">
        <v>1807</v>
      </c>
      <c r="L3808" s="36" t="s">
        <v>7942</v>
      </c>
      <c r="M3808" s="36" t="s">
        <v>7942</v>
      </c>
      <c r="N3808" s="36" t="s">
        <v>32</v>
      </c>
    </row>
    <row r="3809">
      <c r="A3809" s="36" t="s">
        <v>8150</v>
      </c>
      <c r="B3809" s="154" t="s">
        <v>8143</v>
      </c>
      <c r="C3809" s="36" t="s">
        <v>1666</v>
      </c>
      <c r="D3809" s="36" t="s">
        <v>130</v>
      </c>
      <c r="E3809" s="36" t="s">
        <v>130</v>
      </c>
      <c r="F3809" s="154" t="s">
        <v>1810</v>
      </c>
      <c r="G3809" s="36" t="s">
        <v>32</v>
      </c>
      <c r="H3809" s="36" t="s">
        <v>1655</v>
      </c>
      <c r="I3809" s="36" t="s">
        <v>1656</v>
      </c>
      <c r="J3809" s="36" t="s">
        <v>1656</v>
      </c>
      <c r="K3809" s="36" t="s">
        <v>1814</v>
      </c>
      <c r="L3809" s="36" t="s">
        <v>7942</v>
      </c>
      <c r="M3809" s="36" t="s">
        <v>7942</v>
      </c>
      <c r="N3809" s="36" t="s">
        <v>32</v>
      </c>
    </row>
    <row r="3810">
      <c r="A3810" s="36" t="s">
        <v>8151</v>
      </c>
      <c r="B3810" s="154" t="s">
        <v>8143</v>
      </c>
      <c r="C3810" s="36" t="s">
        <v>1666</v>
      </c>
      <c r="D3810" s="36" t="s">
        <v>100</v>
      </c>
      <c r="E3810" s="36" t="s">
        <v>100</v>
      </c>
      <c r="F3810" s="154" t="s">
        <v>2325</v>
      </c>
      <c r="G3810" s="36" t="s">
        <v>32</v>
      </c>
      <c r="H3810" s="36" t="s">
        <v>1655</v>
      </c>
      <c r="I3810" s="36" t="s">
        <v>1656</v>
      </c>
      <c r="J3810" s="36" t="s">
        <v>1656</v>
      </c>
      <c r="K3810" s="36" t="s">
        <v>1817</v>
      </c>
      <c r="L3810" s="36" t="s">
        <v>7942</v>
      </c>
      <c r="M3810" s="36" t="s">
        <v>7942</v>
      </c>
      <c r="N3810" s="36" t="s">
        <v>32</v>
      </c>
    </row>
    <row r="3811">
      <c r="A3811" s="36" t="s">
        <v>8152</v>
      </c>
      <c r="B3811" s="154" t="s">
        <v>8143</v>
      </c>
      <c r="C3811" s="36" t="s">
        <v>1666</v>
      </c>
      <c r="D3811" s="36" t="s">
        <v>124</v>
      </c>
      <c r="E3811" s="36" t="s">
        <v>124</v>
      </c>
      <c r="F3811" s="154" t="s">
        <v>8153</v>
      </c>
      <c r="G3811" s="36" t="s">
        <v>32</v>
      </c>
      <c r="H3811" s="36" t="s">
        <v>1655</v>
      </c>
      <c r="I3811" s="36" t="s">
        <v>1656</v>
      </c>
      <c r="J3811" s="36" t="s">
        <v>1656</v>
      </c>
      <c r="K3811" s="36" t="s">
        <v>1820</v>
      </c>
      <c r="L3811" s="36" t="s">
        <v>7942</v>
      </c>
      <c r="M3811" s="36" t="s">
        <v>7942</v>
      </c>
      <c r="N3811" s="36" t="s">
        <v>32</v>
      </c>
    </row>
    <row r="3812">
      <c r="A3812" s="36" t="s">
        <v>8154</v>
      </c>
      <c r="B3812" s="154" t="s">
        <v>8143</v>
      </c>
      <c r="C3812" s="36" t="s">
        <v>1666</v>
      </c>
      <c r="D3812" s="36" t="s">
        <v>90</v>
      </c>
      <c r="E3812" s="36" t="s">
        <v>90</v>
      </c>
      <c r="F3812" s="154" t="s">
        <v>1723</v>
      </c>
      <c r="G3812" s="36" t="s">
        <v>28</v>
      </c>
      <c r="H3812" s="36" t="s">
        <v>1655</v>
      </c>
      <c r="I3812" s="36" t="s">
        <v>1656</v>
      </c>
      <c r="J3812" s="36" t="s">
        <v>1656</v>
      </c>
      <c r="K3812" s="36" t="s">
        <v>1826</v>
      </c>
      <c r="L3812" s="36" t="s">
        <v>7942</v>
      </c>
      <c r="M3812" s="36" t="s">
        <v>7942</v>
      </c>
      <c r="N3812" s="36" t="s">
        <v>34</v>
      </c>
    </row>
    <row r="3813">
      <c r="A3813" s="36" t="s">
        <v>8155</v>
      </c>
      <c r="B3813" s="154" t="s">
        <v>8143</v>
      </c>
      <c r="C3813" s="36" t="s">
        <v>1666</v>
      </c>
      <c r="D3813" s="36" t="s">
        <v>377</v>
      </c>
      <c r="E3813" s="36" t="s">
        <v>377</v>
      </c>
      <c r="F3813" s="154" t="s">
        <v>1832</v>
      </c>
      <c r="G3813" s="36" t="s">
        <v>28</v>
      </c>
      <c r="H3813" s="36" t="s">
        <v>1655</v>
      </c>
      <c r="I3813" s="36" t="s">
        <v>1656</v>
      </c>
      <c r="J3813" s="36" t="s">
        <v>1656</v>
      </c>
      <c r="K3813" s="36" t="s">
        <v>1830</v>
      </c>
      <c r="L3813" s="36" t="s">
        <v>7942</v>
      </c>
      <c r="M3813" s="36" t="s">
        <v>7942</v>
      </c>
      <c r="N3813" s="36" t="s">
        <v>34</v>
      </c>
    </row>
    <row r="3814">
      <c r="A3814" s="36" t="s">
        <v>8156</v>
      </c>
      <c r="B3814" s="154" t="s">
        <v>8143</v>
      </c>
      <c r="C3814" s="36" t="s">
        <v>1666</v>
      </c>
      <c r="D3814" s="36" t="s">
        <v>356</v>
      </c>
      <c r="E3814" s="36" t="s">
        <v>356</v>
      </c>
      <c r="F3814" s="154" t="s">
        <v>8157</v>
      </c>
      <c r="G3814" s="36" t="s">
        <v>32</v>
      </c>
      <c r="H3814" s="36" t="s">
        <v>1655</v>
      </c>
      <c r="I3814" s="36" t="s">
        <v>1656</v>
      </c>
      <c r="J3814" s="36" t="s">
        <v>1656</v>
      </c>
      <c r="K3814" s="36" t="s">
        <v>1833</v>
      </c>
      <c r="L3814" s="36" t="s">
        <v>7942</v>
      </c>
      <c r="M3814" s="36" t="s">
        <v>7942</v>
      </c>
      <c r="N3814" s="36" t="s">
        <v>32</v>
      </c>
    </row>
    <row r="3815">
      <c r="A3815" s="36" t="s">
        <v>8158</v>
      </c>
      <c r="B3815" s="154" t="s">
        <v>8159</v>
      </c>
      <c r="C3815" s="36" t="s">
        <v>1653</v>
      </c>
      <c r="D3815" s="36" t="s">
        <v>43</v>
      </c>
      <c r="E3815" s="36" t="s">
        <v>39</v>
      </c>
      <c r="F3815" s="154" t="s">
        <v>8160</v>
      </c>
      <c r="G3815" s="36" t="s">
        <v>32</v>
      </c>
      <c r="H3815" s="36" t="s">
        <v>1655</v>
      </c>
      <c r="I3815" s="36" t="s">
        <v>1656</v>
      </c>
      <c r="J3815" s="36" t="s">
        <v>1656</v>
      </c>
      <c r="K3815" s="36" t="s">
        <v>1657</v>
      </c>
      <c r="L3815" s="36" t="s">
        <v>7934</v>
      </c>
      <c r="M3815" s="36" t="s">
        <v>7934</v>
      </c>
      <c r="N3815" s="36" t="s">
        <v>32</v>
      </c>
    </row>
    <row r="3816">
      <c r="A3816" s="36" t="s">
        <v>8161</v>
      </c>
      <c r="B3816" s="154" t="s">
        <v>8159</v>
      </c>
      <c r="C3816" s="36" t="s">
        <v>1666</v>
      </c>
      <c r="D3816" s="36" t="s">
        <v>85</v>
      </c>
      <c r="E3816" s="36" t="s">
        <v>85</v>
      </c>
      <c r="F3816" s="154" t="s">
        <v>8162</v>
      </c>
      <c r="G3816" s="36" t="s">
        <v>28</v>
      </c>
      <c r="H3816" s="36" t="s">
        <v>1655</v>
      </c>
      <c r="I3816" s="36" t="s">
        <v>1656</v>
      </c>
      <c r="J3816" s="36" t="s">
        <v>1656</v>
      </c>
      <c r="K3816" s="36" t="s">
        <v>3035</v>
      </c>
      <c r="L3816" s="36" t="s">
        <v>7942</v>
      </c>
      <c r="M3816" s="36" t="s">
        <v>7942</v>
      </c>
      <c r="N3816" s="36" t="s">
        <v>32</v>
      </c>
    </row>
    <row r="3817">
      <c r="A3817" s="36" t="s">
        <v>8163</v>
      </c>
      <c r="B3817" s="154" t="s">
        <v>8164</v>
      </c>
      <c r="C3817" s="36" t="s">
        <v>1666</v>
      </c>
      <c r="D3817" s="36" t="s">
        <v>78</v>
      </c>
      <c r="E3817" s="36" t="s">
        <v>78</v>
      </c>
      <c r="F3817" s="154" t="s">
        <v>1899</v>
      </c>
      <c r="G3817" s="36" t="s">
        <v>28</v>
      </c>
      <c r="H3817" s="36" t="s">
        <v>1655</v>
      </c>
      <c r="I3817" s="36" t="s">
        <v>1656</v>
      </c>
      <c r="J3817" s="36" t="s">
        <v>1656</v>
      </c>
      <c r="K3817" s="36" t="s">
        <v>4248</v>
      </c>
      <c r="L3817" s="36" t="s">
        <v>7942</v>
      </c>
      <c r="M3817" s="36" t="s">
        <v>7942</v>
      </c>
      <c r="N3817" s="36" t="s">
        <v>32</v>
      </c>
    </row>
    <row r="3818">
      <c r="A3818" s="36" t="s">
        <v>8165</v>
      </c>
      <c r="B3818" s="154" t="s">
        <v>8166</v>
      </c>
      <c r="C3818" s="36" t="s">
        <v>1666</v>
      </c>
      <c r="D3818" s="36" t="s">
        <v>63</v>
      </c>
      <c r="E3818" s="36" t="s">
        <v>63</v>
      </c>
      <c r="F3818" s="154" t="s">
        <v>8167</v>
      </c>
      <c r="G3818" s="36" t="s">
        <v>32</v>
      </c>
      <c r="H3818" s="36" t="s">
        <v>1655</v>
      </c>
      <c r="I3818" s="36" t="s">
        <v>1656</v>
      </c>
      <c r="J3818" s="36" t="s">
        <v>1656</v>
      </c>
      <c r="K3818" s="36" t="s">
        <v>4196</v>
      </c>
      <c r="L3818" s="36" t="s">
        <v>7942</v>
      </c>
      <c r="M3818" s="36" t="s">
        <v>7942</v>
      </c>
      <c r="N3818" s="36" t="s">
        <v>34</v>
      </c>
    </row>
    <row r="3819">
      <c r="A3819" s="36" t="s">
        <v>8168</v>
      </c>
      <c r="B3819" s="154" t="s">
        <v>8169</v>
      </c>
      <c r="C3819" s="36" t="s">
        <v>1666</v>
      </c>
      <c r="D3819" s="36" t="s">
        <v>64</v>
      </c>
      <c r="E3819" s="36" t="s">
        <v>64</v>
      </c>
      <c r="F3819" s="154" t="s">
        <v>7648</v>
      </c>
      <c r="G3819" s="36" t="s">
        <v>28</v>
      </c>
      <c r="H3819" s="36" t="s">
        <v>1655</v>
      </c>
      <c r="I3819" s="36" t="s">
        <v>1656</v>
      </c>
      <c r="J3819" s="36" t="s">
        <v>1656</v>
      </c>
      <c r="K3819" s="36" t="s">
        <v>1708</v>
      </c>
      <c r="L3819" s="36" t="s">
        <v>7942</v>
      </c>
      <c r="M3819" s="36" t="s">
        <v>7942</v>
      </c>
      <c r="N3819" s="36" t="s">
        <v>32</v>
      </c>
    </row>
    <row r="3820">
      <c r="A3820" s="36" t="s">
        <v>8170</v>
      </c>
      <c r="B3820" s="154" t="s">
        <v>8169</v>
      </c>
      <c r="C3820" s="36" t="s">
        <v>1666</v>
      </c>
      <c r="D3820" s="36" t="s">
        <v>191</v>
      </c>
      <c r="E3820" s="36" t="s">
        <v>191</v>
      </c>
      <c r="F3820" s="154" t="s">
        <v>1816</v>
      </c>
      <c r="G3820" s="36" t="s">
        <v>28</v>
      </c>
      <c r="H3820" s="36" t="s">
        <v>1655</v>
      </c>
      <c r="I3820" s="36" t="s">
        <v>1656</v>
      </c>
      <c r="J3820" s="36" t="s">
        <v>1656</v>
      </c>
      <c r="K3820" s="36" t="s">
        <v>1924</v>
      </c>
      <c r="L3820" s="36" t="s">
        <v>7942</v>
      </c>
      <c r="M3820" s="36" t="s">
        <v>7942</v>
      </c>
      <c r="N3820" s="36" t="s">
        <v>32</v>
      </c>
    </row>
    <row r="3821">
      <c r="A3821" s="36" t="s">
        <v>8171</v>
      </c>
      <c r="B3821" s="154" t="s">
        <v>8169</v>
      </c>
      <c r="C3821" s="36" t="s">
        <v>1666</v>
      </c>
      <c r="D3821" s="36" t="s">
        <v>195</v>
      </c>
      <c r="E3821" s="36" t="s">
        <v>195</v>
      </c>
      <c r="F3821" s="154" t="s">
        <v>2391</v>
      </c>
      <c r="G3821" s="36" t="s">
        <v>32</v>
      </c>
      <c r="H3821" s="36" t="s">
        <v>1655</v>
      </c>
      <c r="I3821" s="36" t="s">
        <v>1656</v>
      </c>
      <c r="J3821" s="36" t="s">
        <v>1656</v>
      </c>
      <c r="K3821" s="36" t="s">
        <v>1668</v>
      </c>
      <c r="L3821" s="36" t="s">
        <v>7942</v>
      </c>
      <c r="M3821" s="36" t="s">
        <v>7942</v>
      </c>
      <c r="N3821" s="36" t="s">
        <v>32</v>
      </c>
    </row>
    <row r="3822">
      <c r="A3822" s="36" t="s">
        <v>8172</v>
      </c>
      <c r="B3822" s="154" t="s">
        <v>8169</v>
      </c>
      <c r="C3822" s="36" t="s">
        <v>1666</v>
      </c>
      <c r="D3822" s="36" t="s">
        <v>90</v>
      </c>
      <c r="E3822" s="36" t="s">
        <v>90</v>
      </c>
      <c r="F3822" s="154" t="s">
        <v>1768</v>
      </c>
      <c r="G3822" s="36" t="s">
        <v>28</v>
      </c>
      <c r="H3822" s="36" t="s">
        <v>1655</v>
      </c>
      <c r="I3822" s="36" t="s">
        <v>1656</v>
      </c>
      <c r="J3822" s="36" t="s">
        <v>1656</v>
      </c>
      <c r="K3822" s="36" t="s">
        <v>1672</v>
      </c>
      <c r="L3822" s="36" t="s">
        <v>7942</v>
      </c>
      <c r="M3822" s="36" t="s">
        <v>7942</v>
      </c>
      <c r="N3822" s="36" t="s">
        <v>32</v>
      </c>
    </row>
    <row r="3823">
      <c r="A3823" s="36" t="s">
        <v>8173</v>
      </c>
      <c r="B3823" s="154" t="s">
        <v>8169</v>
      </c>
      <c r="C3823" s="36" t="s">
        <v>1666</v>
      </c>
      <c r="D3823" s="36" t="s">
        <v>90</v>
      </c>
      <c r="E3823" s="36" t="s">
        <v>90</v>
      </c>
      <c r="F3823" s="154" t="s">
        <v>2035</v>
      </c>
      <c r="G3823" s="36" t="s">
        <v>28</v>
      </c>
      <c r="H3823" s="36" t="s">
        <v>1655</v>
      </c>
      <c r="I3823" s="36" t="s">
        <v>1656</v>
      </c>
      <c r="J3823" s="36" t="s">
        <v>1656</v>
      </c>
      <c r="K3823" s="36" t="s">
        <v>1675</v>
      </c>
      <c r="L3823" s="36" t="s">
        <v>7942</v>
      </c>
      <c r="M3823" s="36" t="s">
        <v>7942</v>
      </c>
      <c r="N3823" s="36" t="s">
        <v>32</v>
      </c>
    </row>
    <row r="3824">
      <c r="A3824" s="36" t="s">
        <v>8174</v>
      </c>
      <c r="B3824" s="154" t="s">
        <v>8169</v>
      </c>
      <c r="C3824" s="36" t="s">
        <v>1666</v>
      </c>
      <c r="D3824" s="36" t="s">
        <v>91</v>
      </c>
      <c r="E3824" s="36" t="s">
        <v>91</v>
      </c>
      <c r="F3824" s="154" t="s">
        <v>1768</v>
      </c>
      <c r="G3824" s="36" t="s">
        <v>28</v>
      </c>
      <c r="H3824" s="36" t="s">
        <v>1655</v>
      </c>
      <c r="I3824" s="36" t="s">
        <v>1656</v>
      </c>
      <c r="J3824" s="36" t="s">
        <v>1656</v>
      </c>
      <c r="K3824" s="36" t="s">
        <v>1678</v>
      </c>
      <c r="L3824" s="36" t="s">
        <v>7942</v>
      </c>
      <c r="M3824" s="36" t="s">
        <v>7942</v>
      </c>
      <c r="N3824" s="36" t="s">
        <v>32</v>
      </c>
    </row>
    <row r="3825">
      <c r="A3825" s="36" t="s">
        <v>8175</v>
      </c>
      <c r="B3825" s="154" t="s">
        <v>8169</v>
      </c>
      <c r="C3825" s="36" t="s">
        <v>1666</v>
      </c>
      <c r="D3825" s="36" t="s">
        <v>93</v>
      </c>
      <c r="E3825" s="36" t="s">
        <v>93</v>
      </c>
      <c r="F3825" s="154" t="s">
        <v>1899</v>
      </c>
      <c r="G3825" s="36" t="s">
        <v>28</v>
      </c>
      <c r="H3825" s="36" t="s">
        <v>1655</v>
      </c>
      <c r="I3825" s="36" t="s">
        <v>1656</v>
      </c>
      <c r="J3825" s="36" t="s">
        <v>1656</v>
      </c>
      <c r="K3825" s="36" t="s">
        <v>1681</v>
      </c>
      <c r="L3825" s="36" t="s">
        <v>7942</v>
      </c>
      <c r="M3825" s="36" t="s">
        <v>7942</v>
      </c>
      <c r="N3825" s="36" t="s">
        <v>32</v>
      </c>
    </row>
    <row r="3826">
      <c r="A3826" s="36" t="s">
        <v>8176</v>
      </c>
      <c r="B3826" s="154" t="s">
        <v>8177</v>
      </c>
      <c r="C3826" s="36" t="s">
        <v>1666</v>
      </c>
      <c r="D3826" s="36" t="s">
        <v>227</v>
      </c>
      <c r="E3826" s="36" t="s">
        <v>227</v>
      </c>
      <c r="F3826" s="154" t="s">
        <v>2156</v>
      </c>
      <c r="G3826" s="36" t="s">
        <v>28</v>
      </c>
      <c r="H3826" s="36" t="s">
        <v>1655</v>
      </c>
      <c r="I3826" s="36" t="s">
        <v>1656</v>
      </c>
      <c r="J3826" s="36" t="s">
        <v>1656</v>
      </c>
      <c r="K3826" s="36" t="s">
        <v>1684</v>
      </c>
      <c r="L3826" s="36" t="s">
        <v>7942</v>
      </c>
      <c r="M3826" s="36" t="s">
        <v>7942</v>
      </c>
      <c r="N3826" s="36" t="s">
        <v>34</v>
      </c>
    </row>
    <row r="3827">
      <c r="A3827" s="36" t="s">
        <v>8178</v>
      </c>
      <c r="B3827" s="154" t="s">
        <v>8179</v>
      </c>
      <c r="C3827" s="36" t="s">
        <v>1666</v>
      </c>
      <c r="D3827" s="36" t="s">
        <v>230</v>
      </c>
      <c r="E3827" s="36" t="s">
        <v>230</v>
      </c>
      <c r="F3827" s="154" t="s">
        <v>1810</v>
      </c>
      <c r="G3827" s="36" t="s">
        <v>28</v>
      </c>
      <c r="H3827" s="36" t="s">
        <v>1655</v>
      </c>
      <c r="I3827" s="36" t="s">
        <v>1656</v>
      </c>
      <c r="J3827" s="36" t="s">
        <v>1656</v>
      </c>
      <c r="K3827" s="36" t="s">
        <v>1691</v>
      </c>
      <c r="L3827" s="36" t="s">
        <v>7942</v>
      </c>
      <c r="M3827" s="36" t="s">
        <v>7942</v>
      </c>
      <c r="N3827" s="36" t="s">
        <v>34</v>
      </c>
    </row>
    <row r="3828">
      <c r="A3828" s="36" t="s">
        <v>8180</v>
      </c>
      <c r="B3828" s="154" t="s">
        <v>8179</v>
      </c>
      <c r="C3828" s="36" t="s">
        <v>1666</v>
      </c>
      <c r="D3828" s="36" t="s">
        <v>241</v>
      </c>
      <c r="E3828" s="36" t="s">
        <v>241</v>
      </c>
      <c r="F3828" s="154" t="s">
        <v>8181</v>
      </c>
      <c r="G3828" s="36" t="s">
        <v>28</v>
      </c>
      <c r="H3828" s="36" t="s">
        <v>1655</v>
      </c>
      <c r="I3828" s="36" t="s">
        <v>1656</v>
      </c>
      <c r="J3828" s="36" t="s">
        <v>1656</v>
      </c>
      <c r="K3828" s="36" t="s">
        <v>1695</v>
      </c>
      <c r="L3828" s="36" t="s">
        <v>7942</v>
      </c>
      <c r="M3828" s="36" t="s">
        <v>7942</v>
      </c>
      <c r="N3828" s="36" t="s">
        <v>34</v>
      </c>
    </row>
    <row r="3829">
      <c r="A3829" s="36" t="s">
        <v>8182</v>
      </c>
      <c r="B3829" s="154" t="s">
        <v>8179</v>
      </c>
      <c r="C3829" s="36" t="s">
        <v>1666</v>
      </c>
      <c r="D3829" s="36" t="s">
        <v>246</v>
      </c>
      <c r="E3829" s="36" t="s">
        <v>246</v>
      </c>
      <c r="F3829" s="154" t="s">
        <v>2555</v>
      </c>
      <c r="G3829" s="36" t="s">
        <v>28</v>
      </c>
      <c r="H3829" s="36" t="s">
        <v>1655</v>
      </c>
      <c r="I3829" s="36" t="s">
        <v>1656</v>
      </c>
      <c r="J3829" s="36" t="s">
        <v>1656</v>
      </c>
      <c r="K3829" s="36" t="s">
        <v>1698</v>
      </c>
      <c r="L3829" s="36" t="s">
        <v>7942</v>
      </c>
      <c r="M3829" s="36" t="s">
        <v>7942</v>
      </c>
      <c r="N3829" s="36" t="s">
        <v>34</v>
      </c>
    </row>
    <row r="3830">
      <c r="A3830" s="36" t="s">
        <v>8183</v>
      </c>
      <c r="B3830" s="154" t="s">
        <v>8184</v>
      </c>
      <c r="C3830" s="36" t="s">
        <v>1666</v>
      </c>
      <c r="D3830" s="36" t="s">
        <v>66</v>
      </c>
      <c r="E3830" s="36" t="s">
        <v>66</v>
      </c>
      <c r="F3830" s="154" t="s">
        <v>8185</v>
      </c>
      <c r="G3830" s="36" t="s">
        <v>28</v>
      </c>
      <c r="H3830" s="36" t="s">
        <v>1655</v>
      </c>
      <c r="I3830" s="36" t="s">
        <v>1656</v>
      </c>
      <c r="J3830" s="36" t="s">
        <v>1656</v>
      </c>
      <c r="K3830" s="36" t="s">
        <v>1721</v>
      </c>
      <c r="L3830" s="36" t="s">
        <v>7942</v>
      </c>
      <c r="M3830" s="36" t="s">
        <v>7942</v>
      </c>
      <c r="N3830" s="36" t="s">
        <v>32</v>
      </c>
    </row>
    <row r="3831">
      <c r="A3831" s="36" t="s">
        <v>8186</v>
      </c>
      <c r="B3831" s="154" t="s">
        <v>8187</v>
      </c>
      <c r="C3831" s="36" t="s">
        <v>1666</v>
      </c>
      <c r="D3831" s="36" t="s">
        <v>71</v>
      </c>
      <c r="E3831" s="36" t="s">
        <v>71</v>
      </c>
      <c r="F3831" s="154" t="s">
        <v>8091</v>
      </c>
      <c r="G3831" s="36" t="s">
        <v>32</v>
      </c>
      <c r="H3831" s="36" t="s">
        <v>1655</v>
      </c>
      <c r="I3831" s="36" t="s">
        <v>1656</v>
      </c>
      <c r="J3831" s="36" t="s">
        <v>1656</v>
      </c>
      <c r="K3831" s="36" t="s">
        <v>1752</v>
      </c>
      <c r="L3831" s="36" t="s">
        <v>7942</v>
      </c>
      <c r="M3831" s="36" t="s">
        <v>7942</v>
      </c>
      <c r="N3831" s="36" t="s">
        <v>32</v>
      </c>
    </row>
    <row r="3832">
      <c r="A3832" s="36" t="s">
        <v>8188</v>
      </c>
      <c r="B3832" s="154" t="s">
        <v>8187</v>
      </c>
      <c r="C3832" s="36" t="s">
        <v>1666</v>
      </c>
      <c r="D3832" s="36" t="s">
        <v>73</v>
      </c>
      <c r="E3832" s="36" t="s">
        <v>73</v>
      </c>
      <c r="F3832" s="154" t="s">
        <v>8093</v>
      </c>
      <c r="G3832" s="36" t="s">
        <v>28</v>
      </c>
      <c r="H3832" s="36" t="s">
        <v>1655</v>
      </c>
      <c r="I3832" s="36" t="s">
        <v>1656</v>
      </c>
      <c r="J3832" s="36" t="s">
        <v>1656</v>
      </c>
      <c r="K3832" s="36" t="s">
        <v>1755</v>
      </c>
      <c r="L3832" s="36" t="s">
        <v>7942</v>
      </c>
      <c r="M3832" s="36" t="s">
        <v>7942</v>
      </c>
      <c r="N3832" s="36" t="s">
        <v>32</v>
      </c>
    </row>
    <row r="3833">
      <c r="A3833" s="36" t="s">
        <v>8189</v>
      </c>
      <c r="B3833" s="154" t="s">
        <v>8187</v>
      </c>
      <c r="C3833" s="36" t="s">
        <v>1666</v>
      </c>
      <c r="D3833" s="36" t="s">
        <v>74</v>
      </c>
      <c r="E3833" s="36" t="s">
        <v>74</v>
      </c>
      <c r="F3833" s="154" t="s">
        <v>8095</v>
      </c>
      <c r="G3833" s="36" t="s">
        <v>32</v>
      </c>
      <c r="H3833" s="36" t="s">
        <v>1655</v>
      </c>
      <c r="I3833" s="36" t="s">
        <v>1656</v>
      </c>
      <c r="J3833" s="36" t="s">
        <v>1656</v>
      </c>
      <c r="K3833" s="36" t="s">
        <v>1757</v>
      </c>
      <c r="L3833" s="36" t="s">
        <v>7942</v>
      </c>
      <c r="M3833" s="36" t="s">
        <v>7942</v>
      </c>
      <c r="N3833" s="36" t="s">
        <v>32</v>
      </c>
    </row>
    <row r="3834">
      <c r="A3834" s="36" t="s">
        <v>8190</v>
      </c>
      <c r="B3834" s="154" t="s">
        <v>8187</v>
      </c>
      <c r="C3834" s="36" t="s">
        <v>1666</v>
      </c>
      <c r="D3834" s="36" t="s">
        <v>75</v>
      </c>
      <c r="E3834" s="36" t="s">
        <v>75</v>
      </c>
      <c r="F3834" s="154" t="s">
        <v>8097</v>
      </c>
      <c r="G3834" s="36" t="s">
        <v>28</v>
      </c>
      <c r="H3834" s="36" t="s">
        <v>1655</v>
      </c>
      <c r="I3834" s="36" t="s">
        <v>1656</v>
      </c>
      <c r="J3834" s="36" t="s">
        <v>1656</v>
      </c>
      <c r="K3834" s="36" t="s">
        <v>1760</v>
      </c>
      <c r="L3834" s="36" t="s">
        <v>7942</v>
      </c>
      <c r="M3834" s="36" t="s">
        <v>7942</v>
      </c>
      <c r="N3834" s="36" t="s">
        <v>32</v>
      </c>
    </row>
    <row r="3835">
      <c r="A3835" s="36" t="s">
        <v>8191</v>
      </c>
      <c r="B3835" s="154" t="s">
        <v>8187</v>
      </c>
      <c r="C3835" s="36" t="s">
        <v>1666</v>
      </c>
      <c r="D3835" s="36" t="s">
        <v>76</v>
      </c>
      <c r="E3835" s="36" t="s">
        <v>76</v>
      </c>
      <c r="F3835" s="154" t="s">
        <v>8192</v>
      </c>
      <c r="G3835" s="36" t="s">
        <v>28</v>
      </c>
      <c r="H3835" s="36" t="s">
        <v>1655</v>
      </c>
      <c r="I3835" s="36" t="s">
        <v>1656</v>
      </c>
      <c r="J3835" s="36" t="s">
        <v>1656</v>
      </c>
      <c r="K3835" s="36" t="s">
        <v>1763</v>
      </c>
      <c r="L3835" s="36" t="s">
        <v>7942</v>
      </c>
      <c r="M3835" s="36" t="s">
        <v>7942</v>
      </c>
      <c r="N3835" s="36" t="s">
        <v>32</v>
      </c>
    </row>
    <row r="3836">
      <c r="A3836" s="36" t="s">
        <v>8193</v>
      </c>
      <c r="B3836" s="154" t="s">
        <v>8187</v>
      </c>
      <c r="C3836" s="36" t="s">
        <v>1666</v>
      </c>
      <c r="D3836" s="36" t="s">
        <v>109</v>
      </c>
      <c r="E3836" s="36" t="s">
        <v>109</v>
      </c>
      <c r="F3836" s="154" t="s">
        <v>8194</v>
      </c>
      <c r="G3836" s="36" t="s">
        <v>28</v>
      </c>
      <c r="H3836" s="36" t="s">
        <v>1655</v>
      </c>
      <c r="I3836" s="36" t="s">
        <v>1656</v>
      </c>
      <c r="J3836" s="36" t="s">
        <v>1656</v>
      </c>
      <c r="K3836" s="36" t="s">
        <v>1701</v>
      </c>
      <c r="L3836" s="36" t="s">
        <v>7942</v>
      </c>
      <c r="M3836" s="36" t="s">
        <v>7942</v>
      </c>
      <c r="N3836" s="36" t="s">
        <v>32</v>
      </c>
    </row>
    <row r="3837">
      <c r="A3837" s="36" t="s">
        <v>8195</v>
      </c>
      <c r="B3837" s="154" t="s">
        <v>8187</v>
      </c>
      <c r="C3837" s="36" t="s">
        <v>1666</v>
      </c>
      <c r="D3837" s="36" t="s">
        <v>258</v>
      </c>
      <c r="E3837" s="36" t="s">
        <v>258</v>
      </c>
      <c r="F3837" s="154" t="s">
        <v>1810</v>
      </c>
      <c r="G3837" s="36" t="s">
        <v>28</v>
      </c>
      <c r="H3837" s="36" t="s">
        <v>1655</v>
      </c>
      <c r="I3837" s="36" t="s">
        <v>1656</v>
      </c>
      <c r="J3837" s="36" t="s">
        <v>1656</v>
      </c>
      <c r="K3837" s="36" t="s">
        <v>1704</v>
      </c>
      <c r="L3837" s="36" t="s">
        <v>7942</v>
      </c>
      <c r="M3837" s="36" t="s">
        <v>7942</v>
      </c>
      <c r="N3837" s="36" t="s">
        <v>32</v>
      </c>
    </row>
    <row r="3838">
      <c r="A3838" s="36" t="s">
        <v>8196</v>
      </c>
      <c r="B3838" s="154" t="s">
        <v>8187</v>
      </c>
      <c r="C3838" s="36" t="s">
        <v>1666</v>
      </c>
      <c r="D3838" s="36" t="s">
        <v>115</v>
      </c>
      <c r="E3838" s="36" t="s">
        <v>115</v>
      </c>
      <c r="F3838" s="154" t="s">
        <v>1683</v>
      </c>
      <c r="G3838" s="36" t="s">
        <v>32</v>
      </c>
      <c r="H3838" s="36" t="s">
        <v>1655</v>
      </c>
      <c r="I3838" s="36" t="s">
        <v>1656</v>
      </c>
      <c r="J3838" s="36" t="s">
        <v>1656</v>
      </c>
      <c r="K3838" s="36" t="s">
        <v>1711</v>
      </c>
      <c r="L3838" s="36" t="s">
        <v>7942</v>
      </c>
      <c r="M3838" s="36" t="s">
        <v>7942</v>
      </c>
      <c r="N3838" s="36" t="s">
        <v>32</v>
      </c>
    </row>
    <row r="3839">
      <c r="A3839" s="36" t="s">
        <v>8197</v>
      </c>
      <c r="B3839" s="154" t="s">
        <v>8187</v>
      </c>
      <c r="C3839" s="36" t="s">
        <v>1666</v>
      </c>
      <c r="D3839" s="36" t="s">
        <v>114</v>
      </c>
      <c r="E3839" s="36" t="s">
        <v>114</v>
      </c>
      <c r="F3839" s="154" t="s">
        <v>1683</v>
      </c>
      <c r="G3839" s="36" t="s">
        <v>32</v>
      </c>
      <c r="H3839" s="36" t="s">
        <v>1655</v>
      </c>
      <c r="I3839" s="36" t="s">
        <v>1656</v>
      </c>
      <c r="J3839" s="36" t="s">
        <v>1656</v>
      </c>
      <c r="K3839" s="36" t="s">
        <v>1715</v>
      </c>
      <c r="L3839" s="36" t="s">
        <v>7942</v>
      </c>
      <c r="M3839" s="36" t="s">
        <v>7942</v>
      </c>
      <c r="N3839" s="36" t="s">
        <v>32</v>
      </c>
    </row>
    <row r="3840">
      <c r="A3840" s="36" t="s">
        <v>8198</v>
      </c>
      <c r="B3840" s="154" t="s">
        <v>8187</v>
      </c>
      <c r="C3840" s="36" t="s">
        <v>1666</v>
      </c>
      <c r="D3840" s="36" t="s">
        <v>220</v>
      </c>
      <c r="E3840" s="36" t="s">
        <v>220</v>
      </c>
      <c r="F3840" s="154" t="s">
        <v>8199</v>
      </c>
      <c r="G3840" s="36" t="s">
        <v>28</v>
      </c>
      <c r="H3840" s="36" t="s">
        <v>1655</v>
      </c>
      <c r="I3840" s="36" t="s">
        <v>1656</v>
      </c>
      <c r="J3840" s="36" t="s">
        <v>1656</v>
      </c>
      <c r="K3840" s="36" t="s">
        <v>1717</v>
      </c>
      <c r="L3840" s="36" t="s">
        <v>7942</v>
      </c>
      <c r="M3840" s="36" t="s">
        <v>7942</v>
      </c>
      <c r="N3840" s="36" t="s">
        <v>32</v>
      </c>
    </row>
    <row r="3841">
      <c r="A3841" s="36" t="s">
        <v>8200</v>
      </c>
      <c r="B3841" s="154" t="s">
        <v>8187</v>
      </c>
      <c r="C3841" s="36" t="s">
        <v>1666</v>
      </c>
      <c r="D3841" s="36" t="s">
        <v>226</v>
      </c>
      <c r="E3841" s="36" t="s">
        <v>226</v>
      </c>
      <c r="F3841" s="154" t="s">
        <v>8201</v>
      </c>
      <c r="G3841" s="36" t="s">
        <v>32</v>
      </c>
      <c r="H3841" s="36" t="s">
        <v>1655</v>
      </c>
      <c r="I3841" s="36" t="s">
        <v>1656</v>
      </c>
      <c r="J3841" s="36" t="s">
        <v>1656</v>
      </c>
      <c r="K3841" s="36" t="s">
        <v>1724</v>
      </c>
      <c r="L3841" s="36" t="s">
        <v>7942</v>
      </c>
      <c r="M3841" s="36" t="s">
        <v>7942</v>
      </c>
      <c r="N3841" s="36" t="s">
        <v>32</v>
      </c>
    </row>
    <row r="3842">
      <c r="A3842" s="36" t="s">
        <v>8202</v>
      </c>
      <c r="B3842" s="154" t="s">
        <v>8203</v>
      </c>
      <c r="C3842" s="36" t="s">
        <v>1653</v>
      </c>
      <c r="D3842" s="36" t="s">
        <v>55</v>
      </c>
      <c r="E3842" s="36" t="s">
        <v>39</v>
      </c>
      <c r="F3842" s="154" t="s">
        <v>8204</v>
      </c>
      <c r="G3842" s="36" t="s">
        <v>32</v>
      </c>
      <c r="H3842" s="36" t="s">
        <v>1655</v>
      </c>
      <c r="I3842" s="36" t="s">
        <v>1656</v>
      </c>
      <c r="J3842" s="36" t="s">
        <v>1656</v>
      </c>
      <c r="K3842" s="36" t="s">
        <v>1989</v>
      </c>
      <c r="L3842" s="36" t="s">
        <v>7934</v>
      </c>
      <c r="M3842" s="36" t="s">
        <v>7934</v>
      </c>
      <c r="N3842" s="36" t="s">
        <v>32</v>
      </c>
    </row>
    <row r="3843">
      <c r="A3843" s="36" t="s">
        <v>8205</v>
      </c>
      <c r="B3843" s="154" t="s">
        <v>8203</v>
      </c>
      <c r="C3843" s="36" t="s">
        <v>1653</v>
      </c>
      <c r="D3843" s="36" t="s">
        <v>161</v>
      </c>
      <c r="E3843" s="36" t="s">
        <v>39</v>
      </c>
      <c r="F3843" s="154" t="s">
        <v>7177</v>
      </c>
      <c r="G3843" s="36" t="s">
        <v>32</v>
      </c>
      <c r="H3843" s="36" t="s">
        <v>1655</v>
      </c>
      <c r="I3843" s="36" t="s">
        <v>1656</v>
      </c>
      <c r="J3843" s="36" t="s">
        <v>1656</v>
      </c>
      <c r="K3843" s="36" t="s">
        <v>1749</v>
      </c>
      <c r="L3843" s="36" t="s">
        <v>7934</v>
      </c>
      <c r="M3843" s="36" t="s">
        <v>7934</v>
      </c>
      <c r="N3843" s="36" t="s">
        <v>32</v>
      </c>
    </row>
    <row r="3844">
      <c r="A3844" s="36" t="s">
        <v>8206</v>
      </c>
      <c r="B3844" s="154" t="s">
        <v>8203</v>
      </c>
      <c r="C3844" s="36" t="s">
        <v>1666</v>
      </c>
      <c r="D3844" s="36" t="s">
        <v>191</v>
      </c>
      <c r="E3844" s="36" t="s">
        <v>191</v>
      </c>
      <c r="F3844" s="154" t="s">
        <v>1816</v>
      </c>
      <c r="G3844" s="36" t="s">
        <v>28</v>
      </c>
      <c r="H3844" s="36" t="s">
        <v>1655</v>
      </c>
      <c r="I3844" s="36" t="s">
        <v>1656</v>
      </c>
      <c r="J3844" s="36" t="s">
        <v>1656</v>
      </c>
      <c r="K3844" s="36" t="s">
        <v>1727</v>
      </c>
      <c r="L3844" s="36" t="s">
        <v>7942</v>
      </c>
      <c r="M3844" s="36" t="s">
        <v>7942</v>
      </c>
      <c r="N3844" s="36" t="s">
        <v>32</v>
      </c>
    </row>
    <row r="3845">
      <c r="A3845" s="36" t="s">
        <v>8207</v>
      </c>
      <c r="B3845" s="154" t="s">
        <v>8203</v>
      </c>
      <c r="C3845" s="36" t="s">
        <v>1666</v>
      </c>
      <c r="D3845" s="36" t="s">
        <v>283</v>
      </c>
      <c r="E3845" s="36" t="s">
        <v>283</v>
      </c>
      <c r="F3845" s="154" t="s">
        <v>1697</v>
      </c>
      <c r="G3845" s="36" t="s">
        <v>28</v>
      </c>
      <c r="H3845" s="36" t="s">
        <v>1655</v>
      </c>
      <c r="I3845" s="36" t="s">
        <v>1656</v>
      </c>
      <c r="J3845" s="36" t="s">
        <v>1656</v>
      </c>
      <c r="K3845" s="36" t="s">
        <v>1730</v>
      </c>
      <c r="L3845" s="36" t="s">
        <v>7942</v>
      </c>
      <c r="M3845" s="36" t="s">
        <v>7942</v>
      </c>
      <c r="N3845" s="36" t="s">
        <v>34</v>
      </c>
    </row>
    <row r="3846">
      <c r="A3846" s="36" t="s">
        <v>8208</v>
      </c>
      <c r="B3846" s="154" t="s">
        <v>8209</v>
      </c>
      <c r="C3846" s="36" t="s">
        <v>1666</v>
      </c>
      <c r="D3846" s="36" t="s">
        <v>287</v>
      </c>
      <c r="E3846" s="36" t="s">
        <v>287</v>
      </c>
      <c r="F3846" s="154" t="s">
        <v>8210</v>
      </c>
      <c r="G3846" s="36" t="s">
        <v>28</v>
      </c>
      <c r="H3846" s="36" t="s">
        <v>1655</v>
      </c>
      <c r="I3846" s="36" t="s">
        <v>1656</v>
      </c>
      <c r="J3846" s="36" t="s">
        <v>1656</v>
      </c>
      <c r="K3846" s="36" t="s">
        <v>1732</v>
      </c>
      <c r="L3846" s="36" t="s">
        <v>7942</v>
      </c>
      <c r="M3846" s="36" t="s">
        <v>7942</v>
      </c>
      <c r="N3846" s="36" t="s">
        <v>32</v>
      </c>
    </row>
    <row r="3847">
      <c r="A3847" s="36" t="s">
        <v>8211</v>
      </c>
      <c r="B3847" s="154" t="s">
        <v>8209</v>
      </c>
      <c r="C3847" s="36" t="s">
        <v>1666</v>
      </c>
      <c r="D3847" s="36" t="s">
        <v>210</v>
      </c>
      <c r="E3847" s="36" t="s">
        <v>210</v>
      </c>
      <c r="F3847" s="154" t="s">
        <v>2728</v>
      </c>
      <c r="G3847" s="36" t="s">
        <v>32</v>
      </c>
      <c r="H3847" s="36" t="s">
        <v>1655</v>
      </c>
      <c r="I3847" s="36" t="s">
        <v>1656</v>
      </c>
      <c r="J3847" s="36" t="s">
        <v>1656</v>
      </c>
      <c r="K3847" s="36" t="s">
        <v>1736</v>
      </c>
      <c r="L3847" s="36" t="s">
        <v>7942</v>
      </c>
      <c r="M3847" s="36" t="s">
        <v>7942</v>
      </c>
      <c r="N3847" s="36" t="s">
        <v>32</v>
      </c>
    </row>
    <row r="3848">
      <c r="A3848" s="36" t="s">
        <v>8212</v>
      </c>
      <c r="B3848" s="154" t="s">
        <v>8213</v>
      </c>
      <c r="C3848" s="36" t="s">
        <v>1666</v>
      </c>
      <c r="D3848" s="36" t="s">
        <v>296</v>
      </c>
      <c r="E3848" s="36" t="s">
        <v>296</v>
      </c>
      <c r="F3848" s="154" t="s">
        <v>8214</v>
      </c>
      <c r="G3848" s="36" t="s">
        <v>32</v>
      </c>
      <c r="H3848" s="36" t="s">
        <v>1655</v>
      </c>
      <c r="I3848" s="36" t="s">
        <v>1656</v>
      </c>
      <c r="J3848" s="36" t="s">
        <v>1656</v>
      </c>
      <c r="K3848" s="36" t="s">
        <v>1739</v>
      </c>
      <c r="L3848" s="36" t="s">
        <v>7942</v>
      </c>
      <c r="M3848" s="36" t="s">
        <v>7942</v>
      </c>
      <c r="N3848" s="36" t="s">
        <v>32</v>
      </c>
    </row>
    <row r="3849">
      <c r="A3849" s="36" t="s">
        <v>8215</v>
      </c>
      <c r="B3849" s="154" t="s">
        <v>8216</v>
      </c>
      <c r="C3849" s="36" t="s">
        <v>1666</v>
      </c>
      <c r="D3849" s="36" t="s">
        <v>288</v>
      </c>
      <c r="E3849" s="36" t="s">
        <v>288</v>
      </c>
      <c r="F3849" s="154" t="s">
        <v>1810</v>
      </c>
      <c r="G3849" s="36" t="s">
        <v>32</v>
      </c>
      <c r="H3849" s="36" t="s">
        <v>1655</v>
      </c>
      <c r="I3849" s="36" t="s">
        <v>1656</v>
      </c>
      <c r="J3849" s="36" t="s">
        <v>1656</v>
      </c>
      <c r="K3849" s="36" t="s">
        <v>1742</v>
      </c>
      <c r="L3849" s="36" t="s">
        <v>7942</v>
      </c>
      <c r="M3849" s="36" t="s">
        <v>7942</v>
      </c>
      <c r="N3849" s="36" t="s">
        <v>32</v>
      </c>
    </row>
    <row r="3850">
      <c r="A3850" s="36" t="s">
        <v>8217</v>
      </c>
      <c r="B3850" s="154" t="s">
        <v>8216</v>
      </c>
      <c r="C3850" s="36" t="s">
        <v>1666</v>
      </c>
      <c r="D3850" s="36" t="s">
        <v>306</v>
      </c>
      <c r="E3850" s="36" t="s">
        <v>306</v>
      </c>
      <c r="F3850" s="154" t="s">
        <v>1768</v>
      </c>
      <c r="G3850" s="36" t="s">
        <v>28</v>
      </c>
      <c r="H3850" s="36" t="s">
        <v>1655</v>
      </c>
      <c r="I3850" s="36" t="s">
        <v>1656</v>
      </c>
      <c r="J3850" s="36" t="s">
        <v>1656</v>
      </c>
      <c r="K3850" s="36" t="s">
        <v>1745</v>
      </c>
      <c r="L3850" s="36" t="s">
        <v>7942</v>
      </c>
      <c r="M3850" s="36" t="s">
        <v>7942</v>
      </c>
      <c r="N3850" s="36" t="s">
        <v>34</v>
      </c>
    </row>
    <row r="3851">
      <c r="A3851" s="36" t="s">
        <v>8218</v>
      </c>
      <c r="B3851" s="154" t="s">
        <v>8216</v>
      </c>
      <c r="C3851" s="36" t="s">
        <v>1666</v>
      </c>
      <c r="D3851" s="36" t="s">
        <v>214</v>
      </c>
      <c r="E3851" s="36" t="s">
        <v>214</v>
      </c>
      <c r="F3851" s="154" t="s">
        <v>1810</v>
      </c>
      <c r="G3851" s="36" t="s">
        <v>28</v>
      </c>
      <c r="H3851" s="36" t="s">
        <v>1655</v>
      </c>
      <c r="I3851" s="36" t="s">
        <v>1656</v>
      </c>
      <c r="J3851" s="36" t="s">
        <v>1656</v>
      </c>
      <c r="K3851" s="36" t="s">
        <v>1773</v>
      </c>
      <c r="L3851" s="36" t="s">
        <v>7942</v>
      </c>
      <c r="M3851" s="36" t="s">
        <v>7942</v>
      </c>
      <c r="N3851" s="36" t="s">
        <v>34</v>
      </c>
    </row>
    <row r="3852">
      <c r="A3852" s="36" t="s">
        <v>8219</v>
      </c>
      <c r="B3852" s="154" t="s">
        <v>8220</v>
      </c>
      <c r="C3852" s="36" t="s">
        <v>1653</v>
      </c>
      <c r="D3852" s="36" t="s">
        <v>168</v>
      </c>
      <c r="E3852" s="36" t="s">
        <v>39</v>
      </c>
      <c r="F3852" s="154" t="s">
        <v>8221</v>
      </c>
      <c r="G3852" s="36" t="s">
        <v>32</v>
      </c>
      <c r="H3852" s="36" t="s">
        <v>1655</v>
      </c>
      <c r="I3852" s="36" t="s">
        <v>1656</v>
      </c>
      <c r="J3852" s="36" t="s">
        <v>1656</v>
      </c>
      <c r="K3852" s="36" t="s">
        <v>1978</v>
      </c>
      <c r="L3852" s="36" t="s">
        <v>7934</v>
      </c>
      <c r="M3852" s="36" t="s">
        <v>7934</v>
      </c>
      <c r="N3852" s="36" t="s">
        <v>32</v>
      </c>
    </row>
    <row r="3853">
      <c r="A3853" s="36" t="s">
        <v>8222</v>
      </c>
      <c r="B3853" s="154" t="s">
        <v>8220</v>
      </c>
      <c r="C3853" s="36" t="s">
        <v>1666</v>
      </c>
      <c r="D3853" s="36" t="s">
        <v>317</v>
      </c>
      <c r="E3853" s="36" t="s">
        <v>317</v>
      </c>
      <c r="F3853" s="154" t="s">
        <v>1768</v>
      </c>
      <c r="G3853" s="36" t="s">
        <v>28</v>
      </c>
      <c r="H3853" s="36" t="s">
        <v>1655</v>
      </c>
      <c r="I3853" s="36" t="s">
        <v>1656</v>
      </c>
      <c r="J3853" s="36" t="s">
        <v>1656</v>
      </c>
      <c r="K3853" s="36" t="s">
        <v>1776</v>
      </c>
      <c r="L3853" s="36" t="s">
        <v>7942</v>
      </c>
      <c r="M3853" s="36" t="s">
        <v>7942</v>
      </c>
      <c r="N3853" s="36" t="s">
        <v>34</v>
      </c>
    </row>
    <row r="3854">
      <c r="A3854" s="36" t="s">
        <v>8223</v>
      </c>
      <c r="B3854" s="154" t="s">
        <v>8224</v>
      </c>
      <c r="C3854" s="36" t="s">
        <v>1666</v>
      </c>
      <c r="D3854" s="36" t="s">
        <v>320</v>
      </c>
      <c r="E3854" s="36" t="s">
        <v>320</v>
      </c>
      <c r="F3854" s="154" t="s">
        <v>2006</v>
      </c>
      <c r="G3854" s="36" t="s">
        <v>32</v>
      </c>
      <c r="H3854" s="36" t="s">
        <v>1655</v>
      </c>
      <c r="I3854" s="36" t="s">
        <v>1656</v>
      </c>
      <c r="J3854" s="36" t="s">
        <v>1656</v>
      </c>
      <c r="K3854" s="36" t="s">
        <v>1779</v>
      </c>
      <c r="L3854" s="36" t="s">
        <v>7942</v>
      </c>
      <c r="M3854" s="36" t="s">
        <v>7942</v>
      </c>
      <c r="N3854" s="36" t="s">
        <v>32</v>
      </c>
    </row>
    <row r="3855">
      <c r="A3855" s="36" t="s">
        <v>8225</v>
      </c>
      <c r="B3855" s="154" t="s">
        <v>8226</v>
      </c>
      <c r="C3855" s="36" t="s">
        <v>1666</v>
      </c>
      <c r="D3855" s="36" t="s">
        <v>188</v>
      </c>
      <c r="E3855" s="36" t="s">
        <v>188</v>
      </c>
      <c r="F3855" s="154" t="s">
        <v>8227</v>
      </c>
      <c r="G3855" s="36" t="s">
        <v>32</v>
      </c>
      <c r="H3855" s="36" t="s">
        <v>1655</v>
      </c>
      <c r="I3855" s="36" t="s">
        <v>1656</v>
      </c>
      <c r="J3855" s="36" t="s">
        <v>1656</v>
      </c>
      <c r="K3855" s="36" t="s">
        <v>1782</v>
      </c>
      <c r="L3855" s="36" t="s">
        <v>7942</v>
      </c>
      <c r="M3855" s="36" t="s">
        <v>7942</v>
      </c>
      <c r="N3855" s="36" t="s">
        <v>32</v>
      </c>
    </row>
    <row r="3856">
      <c r="A3856" s="36" t="s">
        <v>8228</v>
      </c>
      <c r="B3856" s="154" t="s">
        <v>8229</v>
      </c>
      <c r="C3856" s="36" t="s">
        <v>1666</v>
      </c>
      <c r="D3856" s="36" t="s">
        <v>246</v>
      </c>
      <c r="E3856" s="36" t="s">
        <v>246</v>
      </c>
      <c r="F3856" s="154" t="s">
        <v>2555</v>
      </c>
      <c r="G3856" s="36" t="s">
        <v>28</v>
      </c>
      <c r="H3856" s="36" t="s">
        <v>1655</v>
      </c>
      <c r="I3856" s="36" t="s">
        <v>1656</v>
      </c>
      <c r="J3856" s="36" t="s">
        <v>1656</v>
      </c>
      <c r="K3856" s="36" t="s">
        <v>1784</v>
      </c>
      <c r="L3856" s="36" t="s">
        <v>7942</v>
      </c>
      <c r="M3856" s="36" t="s">
        <v>7942</v>
      </c>
      <c r="N3856" s="36" t="s">
        <v>34</v>
      </c>
    </row>
    <row r="3857">
      <c r="A3857" s="36" t="s">
        <v>8230</v>
      </c>
      <c r="B3857" s="154" t="s">
        <v>8231</v>
      </c>
      <c r="C3857" s="36" t="s">
        <v>1666</v>
      </c>
      <c r="D3857" s="36" t="s">
        <v>235</v>
      </c>
      <c r="E3857" s="36" t="s">
        <v>235</v>
      </c>
      <c r="F3857" s="154" t="s">
        <v>2156</v>
      </c>
      <c r="G3857" s="36" t="s">
        <v>28</v>
      </c>
      <c r="H3857" s="36" t="s">
        <v>1655</v>
      </c>
      <c r="I3857" s="36" t="s">
        <v>1656</v>
      </c>
      <c r="J3857" s="36" t="s">
        <v>1656</v>
      </c>
      <c r="K3857" s="36" t="s">
        <v>1787</v>
      </c>
      <c r="L3857" s="36" t="s">
        <v>7942</v>
      </c>
      <c r="M3857" s="36" t="s">
        <v>7942</v>
      </c>
      <c r="N3857" s="36" t="s">
        <v>34</v>
      </c>
    </row>
    <row r="3858">
      <c r="A3858" s="36" t="s">
        <v>8232</v>
      </c>
      <c r="B3858" s="154" t="s">
        <v>8233</v>
      </c>
      <c r="C3858" s="36" t="s">
        <v>1666</v>
      </c>
      <c r="D3858" s="36" t="s">
        <v>191</v>
      </c>
      <c r="E3858" s="36" t="s">
        <v>191</v>
      </c>
      <c r="F3858" s="154" t="s">
        <v>1816</v>
      </c>
      <c r="G3858" s="36" t="s">
        <v>28</v>
      </c>
      <c r="H3858" s="36" t="s">
        <v>1655</v>
      </c>
      <c r="I3858" s="36" t="s">
        <v>1656</v>
      </c>
      <c r="J3858" s="36" t="s">
        <v>1656</v>
      </c>
      <c r="K3858" s="36" t="s">
        <v>1790</v>
      </c>
      <c r="L3858" s="36" t="s">
        <v>7942</v>
      </c>
      <c r="M3858" s="36" t="s">
        <v>7942</v>
      </c>
      <c r="N3858" s="36" t="s">
        <v>32</v>
      </c>
    </row>
    <row r="3859">
      <c r="A3859" s="36" t="s">
        <v>8234</v>
      </c>
      <c r="B3859" s="154" t="s">
        <v>8235</v>
      </c>
      <c r="C3859" s="36" t="s">
        <v>1666</v>
      </c>
      <c r="D3859" s="36" t="s">
        <v>202</v>
      </c>
      <c r="E3859" s="36" t="s">
        <v>202</v>
      </c>
      <c r="F3859" s="154" t="s">
        <v>8236</v>
      </c>
      <c r="G3859" s="36" t="s">
        <v>32</v>
      </c>
      <c r="H3859" s="36" t="s">
        <v>1655</v>
      </c>
      <c r="I3859" s="36" t="s">
        <v>1656</v>
      </c>
      <c r="J3859" s="36" t="s">
        <v>1656</v>
      </c>
      <c r="K3859" s="36" t="s">
        <v>1793</v>
      </c>
      <c r="L3859" s="36" t="s">
        <v>7942</v>
      </c>
      <c r="M3859" s="36" t="s">
        <v>7942</v>
      </c>
      <c r="N3859" s="36" t="s">
        <v>32</v>
      </c>
    </row>
    <row r="3860">
      <c r="A3860" s="36" t="s">
        <v>8237</v>
      </c>
      <c r="B3860" s="154" t="s">
        <v>8235</v>
      </c>
      <c r="C3860" s="36" t="s">
        <v>1666</v>
      </c>
      <c r="D3860" s="36" t="s">
        <v>295</v>
      </c>
      <c r="E3860" s="36" t="s">
        <v>295</v>
      </c>
      <c r="F3860" s="154" t="s">
        <v>1853</v>
      </c>
      <c r="G3860" s="36" t="s">
        <v>32</v>
      </c>
      <c r="H3860" s="36" t="s">
        <v>1655</v>
      </c>
      <c r="I3860" s="36" t="s">
        <v>1656</v>
      </c>
      <c r="J3860" s="36" t="s">
        <v>1656</v>
      </c>
      <c r="K3860" s="36" t="s">
        <v>1796</v>
      </c>
      <c r="L3860" s="36" t="s">
        <v>7942</v>
      </c>
      <c r="M3860" s="36" t="s">
        <v>7942</v>
      </c>
      <c r="N3860" s="36" t="s">
        <v>32</v>
      </c>
    </row>
    <row r="3861">
      <c r="A3861" s="36" t="s">
        <v>8238</v>
      </c>
      <c r="B3861" s="154" t="s">
        <v>8239</v>
      </c>
      <c r="C3861" s="36" t="s">
        <v>1666</v>
      </c>
      <c r="D3861" s="36" t="s">
        <v>238</v>
      </c>
      <c r="E3861" s="36" t="s">
        <v>238</v>
      </c>
      <c r="F3861" s="154" t="s">
        <v>2039</v>
      </c>
      <c r="G3861" s="36" t="s">
        <v>32</v>
      </c>
      <c r="H3861" s="36" t="s">
        <v>1655</v>
      </c>
      <c r="I3861" s="36" t="s">
        <v>1656</v>
      </c>
      <c r="J3861" s="36" t="s">
        <v>1656</v>
      </c>
      <c r="K3861" s="36" t="s">
        <v>1800</v>
      </c>
      <c r="L3861" s="36" t="s">
        <v>7942</v>
      </c>
      <c r="M3861" s="36" t="s">
        <v>7942</v>
      </c>
      <c r="N3861" s="36" t="s">
        <v>32</v>
      </c>
    </row>
    <row r="3862">
      <c r="A3862" s="36" t="s">
        <v>8240</v>
      </c>
      <c r="B3862" s="154" t="s">
        <v>8241</v>
      </c>
      <c r="C3862" s="36" t="s">
        <v>1666</v>
      </c>
      <c r="D3862" s="36" t="s">
        <v>353</v>
      </c>
      <c r="E3862" s="36" t="s">
        <v>353</v>
      </c>
      <c r="F3862" s="154" t="s">
        <v>2006</v>
      </c>
      <c r="G3862" s="36" t="s">
        <v>28</v>
      </c>
      <c r="H3862" s="36" t="s">
        <v>1655</v>
      </c>
      <c r="I3862" s="36" t="s">
        <v>1656</v>
      </c>
      <c r="J3862" s="36" t="s">
        <v>1656</v>
      </c>
      <c r="K3862" s="36" t="s">
        <v>1803</v>
      </c>
      <c r="L3862" s="36" t="s">
        <v>7942</v>
      </c>
      <c r="M3862" s="36" t="s">
        <v>7942</v>
      </c>
      <c r="N3862" s="36" t="s">
        <v>32</v>
      </c>
    </row>
    <row r="3863">
      <c r="A3863" s="36" t="s">
        <v>8242</v>
      </c>
      <c r="B3863" s="154" t="s">
        <v>8241</v>
      </c>
      <c r="C3863" s="36" t="s">
        <v>1666</v>
      </c>
      <c r="D3863" s="36" t="s">
        <v>191</v>
      </c>
      <c r="E3863" s="36" t="s">
        <v>191</v>
      </c>
      <c r="F3863" s="154" t="s">
        <v>1816</v>
      </c>
      <c r="G3863" s="36" t="s">
        <v>28</v>
      </c>
      <c r="H3863" s="36" t="s">
        <v>1655</v>
      </c>
      <c r="I3863" s="36" t="s">
        <v>1656</v>
      </c>
      <c r="J3863" s="36" t="s">
        <v>1656</v>
      </c>
      <c r="K3863" s="36" t="s">
        <v>1807</v>
      </c>
      <c r="L3863" s="36" t="s">
        <v>7942</v>
      </c>
      <c r="M3863" s="36" t="s">
        <v>7942</v>
      </c>
      <c r="N3863" s="36" t="s">
        <v>32</v>
      </c>
    </row>
    <row r="3864">
      <c r="A3864" s="36" t="s">
        <v>8243</v>
      </c>
      <c r="B3864" s="154" t="s">
        <v>8244</v>
      </c>
      <c r="C3864" s="36" t="s">
        <v>1666</v>
      </c>
      <c r="D3864" s="36" t="s">
        <v>130</v>
      </c>
      <c r="E3864" s="36" t="s">
        <v>130</v>
      </c>
      <c r="F3864" s="154" t="s">
        <v>1810</v>
      </c>
      <c r="G3864" s="36" t="s">
        <v>32</v>
      </c>
      <c r="H3864" s="36" t="s">
        <v>1655</v>
      </c>
      <c r="I3864" s="36" t="s">
        <v>1656</v>
      </c>
      <c r="J3864" s="36" t="s">
        <v>1656</v>
      </c>
      <c r="K3864" s="36" t="s">
        <v>1814</v>
      </c>
      <c r="L3864" s="36" t="s">
        <v>7942</v>
      </c>
      <c r="M3864" s="36" t="s">
        <v>7942</v>
      </c>
      <c r="N3864" s="36" t="s">
        <v>32</v>
      </c>
    </row>
    <row r="3865">
      <c r="A3865" s="36" t="s">
        <v>8245</v>
      </c>
      <c r="B3865" s="154" t="s">
        <v>8246</v>
      </c>
      <c r="C3865" s="36" t="s">
        <v>1666</v>
      </c>
      <c r="D3865" s="36" t="s">
        <v>79</v>
      </c>
      <c r="E3865" s="36" t="s">
        <v>79</v>
      </c>
      <c r="F3865" s="154" t="s">
        <v>8247</v>
      </c>
      <c r="G3865" s="36" t="s">
        <v>32</v>
      </c>
      <c r="H3865" s="36" t="s">
        <v>1655</v>
      </c>
      <c r="I3865" s="36" t="s">
        <v>1656</v>
      </c>
      <c r="J3865" s="36" t="s">
        <v>1656</v>
      </c>
      <c r="K3865" s="36" t="s">
        <v>1769</v>
      </c>
      <c r="L3865" s="36" t="s">
        <v>7942</v>
      </c>
      <c r="M3865" s="36" t="s">
        <v>7942</v>
      </c>
      <c r="N3865" s="36" t="s">
        <v>32</v>
      </c>
    </row>
    <row r="3866">
      <c r="A3866" s="36" t="s">
        <v>8248</v>
      </c>
      <c r="B3866" s="154" t="s">
        <v>8246</v>
      </c>
      <c r="C3866" s="36" t="s">
        <v>1666</v>
      </c>
      <c r="D3866" s="36" t="s">
        <v>81</v>
      </c>
      <c r="E3866" s="36" t="s">
        <v>81</v>
      </c>
      <c r="F3866" s="154" t="s">
        <v>8052</v>
      </c>
      <c r="G3866" s="36" t="s">
        <v>28</v>
      </c>
      <c r="H3866" s="36" t="s">
        <v>1655</v>
      </c>
      <c r="I3866" s="36" t="s">
        <v>1656</v>
      </c>
      <c r="J3866" s="36" t="s">
        <v>1656</v>
      </c>
      <c r="K3866" s="36" t="s">
        <v>1811</v>
      </c>
      <c r="L3866" s="36" t="s">
        <v>7942</v>
      </c>
      <c r="M3866" s="36" t="s">
        <v>7942</v>
      </c>
      <c r="N3866" s="36" t="s">
        <v>32</v>
      </c>
    </row>
    <row r="3867">
      <c r="A3867" s="36" t="s">
        <v>8249</v>
      </c>
      <c r="B3867" s="154" t="s">
        <v>8246</v>
      </c>
      <c r="C3867" s="36" t="s">
        <v>1666</v>
      </c>
      <c r="D3867" s="36" t="s">
        <v>83</v>
      </c>
      <c r="E3867" s="36" t="s">
        <v>83</v>
      </c>
      <c r="F3867" s="154" t="s">
        <v>8250</v>
      </c>
      <c r="G3867" s="36" t="s">
        <v>28</v>
      </c>
      <c r="H3867" s="36" t="s">
        <v>1655</v>
      </c>
      <c r="I3867" s="36" t="s">
        <v>1656</v>
      </c>
      <c r="J3867" s="36" t="s">
        <v>1656</v>
      </c>
      <c r="K3867" s="36" t="s">
        <v>1891</v>
      </c>
      <c r="L3867" s="36" t="s">
        <v>7942</v>
      </c>
      <c r="M3867" s="36" t="s">
        <v>7942</v>
      </c>
      <c r="N3867" s="36" t="s">
        <v>32</v>
      </c>
    </row>
    <row r="3868">
      <c r="A3868" s="36" t="s">
        <v>8251</v>
      </c>
      <c r="B3868" s="154" t="s">
        <v>8246</v>
      </c>
      <c r="C3868" s="36" t="s">
        <v>1666</v>
      </c>
      <c r="D3868" s="36" t="s">
        <v>84</v>
      </c>
      <c r="E3868" s="36" t="s">
        <v>84</v>
      </c>
      <c r="F3868" s="154" t="s">
        <v>8252</v>
      </c>
      <c r="G3868" s="36" t="s">
        <v>32</v>
      </c>
      <c r="H3868" s="36" t="s">
        <v>1655</v>
      </c>
      <c r="I3868" s="36" t="s">
        <v>1656</v>
      </c>
      <c r="J3868" s="36" t="s">
        <v>1656</v>
      </c>
      <c r="K3868" s="36" t="s">
        <v>1921</v>
      </c>
      <c r="L3868" s="36" t="s">
        <v>7942</v>
      </c>
      <c r="M3868" s="36" t="s">
        <v>7942</v>
      </c>
      <c r="N3868" s="36" t="s">
        <v>32</v>
      </c>
    </row>
    <row r="3869">
      <c r="A3869" s="36" t="s">
        <v>8253</v>
      </c>
      <c r="B3869" s="154" t="s">
        <v>8254</v>
      </c>
      <c r="C3869" s="36" t="s">
        <v>1666</v>
      </c>
      <c r="D3869" s="36" t="s">
        <v>235</v>
      </c>
      <c r="E3869" s="36" t="s">
        <v>235</v>
      </c>
      <c r="F3869" s="154" t="s">
        <v>2049</v>
      </c>
      <c r="G3869" s="36" t="s">
        <v>28</v>
      </c>
      <c r="H3869" s="36" t="s">
        <v>1655</v>
      </c>
      <c r="I3869" s="36" t="s">
        <v>1656</v>
      </c>
      <c r="J3869" s="36" t="s">
        <v>1656</v>
      </c>
      <c r="K3869" s="36" t="s">
        <v>1817</v>
      </c>
      <c r="L3869" s="36" t="s">
        <v>7942</v>
      </c>
      <c r="M3869" s="36" t="s">
        <v>7942</v>
      </c>
      <c r="N3869" s="36" t="s">
        <v>32</v>
      </c>
    </row>
    <row r="3870">
      <c r="A3870" s="36" t="s">
        <v>8255</v>
      </c>
      <c r="B3870" s="154" t="s">
        <v>8254</v>
      </c>
      <c r="C3870" s="36" t="s">
        <v>1666</v>
      </c>
      <c r="D3870" s="36" t="s">
        <v>100</v>
      </c>
      <c r="E3870" s="36" t="s">
        <v>100</v>
      </c>
      <c r="F3870" s="154" t="s">
        <v>1810</v>
      </c>
      <c r="G3870" s="36" t="s">
        <v>32</v>
      </c>
      <c r="H3870" s="36" t="s">
        <v>1655</v>
      </c>
      <c r="I3870" s="36" t="s">
        <v>1656</v>
      </c>
      <c r="J3870" s="36" t="s">
        <v>1656</v>
      </c>
      <c r="K3870" s="36" t="s">
        <v>1820</v>
      </c>
      <c r="L3870" s="36" t="s">
        <v>7942</v>
      </c>
      <c r="M3870" s="36" t="s">
        <v>7942</v>
      </c>
      <c r="N3870" s="36" t="s">
        <v>32</v>
      </c>
    </row>
    <row r="3871">
      <c r="A3871" s="36" t="s">
        <v>8256</v>
      </c>
      <c r="B3871" s="154" t="s">
        <v>8254</v>
      </c>
      <c r="C3871" s="36" t="s">
        <v>1666</v>
      </c>
      <c r="D3871" s="36" t="s">
        <v>90</v>
      </c>
      <c r="E3871" s="36" t="s">
        <v>90</v>
      </c>
      <c r="F3871" s="154" t="s">
        <v>1768</v>
      </c>
      <c r="G3871" s="36" t="s">
        <v>28</v>
      </c>
      <c r="H3871" s="36" t="s">
        <v>1655</v>
      </c>
      <c r="I3871" s="36" t="s">
        <v>1656</v>
      </c>
      <c r="J3871" s="36" t="s">
        <v>1656</v>
      </c>
      <c r="K3871" s="36" t="s">
        <v>1823</v>
      </c>
      <c r="L3871" s="36" t="s">
        <v>7942</v>
      </c>
      <c r="M3871" s="36" t="s">
        <v>7942</v>
      </c>
      <c r="N3871" s="36" t="s">
        <v>32</v>
      </c>
    </row>
    <row r="3872">
      <c r="A3872" s="36" t="s">
        <v>8257</v>
      </c>
      <c r="B3872" s="154" t="s">
        <v>8254</v>
      </c>
      <c r="C3872" s="36" t="s">
        <v>1666</v>
      </c>
      <c r="D3872" s="36" t="s">
        <v>109</v>
      </c>
      <c r="E3872" s="36" t="s">
        <v>109</v>
      </c>
      <c r="F3872" s="154" t="s">
        <v>3972</v>
      </c>
      <c r="G3872" s="36" t="s">
        <v>28</v>
      </c>
      <c r="H3872" s="36" t="s">
        <v>1655</v>
      </c>
      <c r="I3872" s="36" t="s">
        <v>1656</v>
      </c>
      <c r="J3872" s="36" t="s">
        <v>1656</v>
      </c>
      <c r="K3872" s="36" t="s">
        <v>1826</v>
      </c>
      <c r="L3872" s="36" t="s">
        <v>7942</v>
      </c>
      <c r="M3872" s="36" t="s">
        <v>7942</v>
      </c>
      <c r="N3872" s="36" t="s">
        <v>34</v>
      </c>
    </row>
    <row r="3873">
      <c r="A3873" s="36" t="s">
        <v>8258</v>
      </c>
      <c r="B3873" s="154" t="s">
        <v>8254</v>
      </c>
      <c r="C3873" s="36" t="s">
        <v>1666</v>
      </c>
      <c r="D3873" s="36" t="s">
        <v>356</v>
      </c>
      <c r="E3873" s="36" t="s">
        <v>356</v>
      </c>
      <c r="F3873" s="154" t="s">
        <v>8259</v>
      </c>
      <c r="G3873" s="36" t="s">
        <v>32</v>
      </c>
      <c r="H3873" s="36" t="s">
        <v>1655</v>
      </c>
      <c r="I3873" s="36" t="s">
        <v>1656</v>
      </c>
      <c r="J3873" s="36" t="s">
        <v>1656</v>
      </c>
      <c r="K3873" s="36" t="s">
        <v>1830</v>
      </c>
      <c r="L3873" s="36" t="s">
        <v>7942</v>
      </c>
      <c r="M3873" s="36" t="s">
        <v>7942</v>
      </c>
      <c r="N3873" s="36" t="s">
        <v>32</v>
      </c>
    </row>
    <row r="3874">
      <c r="A3874" s="36" t="s">
        <v>8260</v>
      </c>
      <c r="B3874" s="154" t="s">
        <v>8254</v>
      </c>
      <c r="C3874" s="36" t="s">
        <v>1666</v>
      </c>
      <c r="D3874" s="36" t="s">
        <v>124</v>
      </c>
      <c r="E3874" s="36" t="s">
        <v>124</v>
      </c>
      <c r="F3874" s="154" t="s">
        <v>8261</v>
      </c>
      <c r="G3874" s="36" t="s">
        <v>32</v>
      </c>
      <c r="H3874" s="36" t="s">
        <v>1655</v>
      </c>
      <c r="I3874" s="36" t="s">
        <v>1656</v>
      </c>
      <c r="J3874" s="36" t="s">
        <v>1656</v>
      </c>
      <c r="K3874" s="36" t="s">
        <v>1833</v>
      </c>
      <c r="L3874" s="36" t="s">
        <v>7942</v>
      </c>
      <c r="M3874" s="36" t="s">
        <v>7942</v>
      </c>
      <c r="N3874" s="36" t="s">
        <v>32</v>
      </c>
    </row>
    <row r="3875">
      <c r="A3875" s="36" t="s">
        <v>8262</v>
      </c>
      <c r="B3875" s="154" t="s">
        <v>8263</v>
      </c>
      <c r="C3875" s="36" t="s">
        <v>1653</v>
      </c>
      <c r="D3875" s="36" t="s">
        <v>149</v>
      </c>
      <c r="E3875" s="36" t="s">
        <v>39</v>
      </c>
      <c r="F3875" s="154" t="s">
        <v>8264</v>
      </c>
      <c r="G3875" s="36" t="s">
        <v>32</v>
      </c>
      <c r="H3875" s="36" t="s">
        <v>1655</v>
      </c>
      <c r="I3875" s="36" t="s">
        <v>1656</v>
      </c>
      <c r="J3875" s="36" t="s">
        <v>1656</v>
      </c>
      <c r="K3875" s="36" t="s">
        <v>1657</v>
      </c>
      <c r="L3875" s="36" t="s">
        <v>7934</v>
      </c>
      <c r="M3875" s="36" t="s">
        <v>7934</v>
      </c>
      <c r="N3875" s="36" t="s">
        <v>32</v>
      </c>
    </row>
    <row r="3876">
      <c r="A3876" s="36" t="s">
        <v>8265</v>
      </c>
      <c r="B3876" s="154" t="s">
        <v>8263</v>
      </c>
      <c r="C3876" s="36" t="s">
        <v>1653</v>
      </c>
      <c r="D3876" s="36" t="s">
        <v>158</v>
      </c>
      <c r="E3876" s="36" t="s">
        <v>39</v>
      </c>
      <c r="F3876" s="154" t="s">
        <v>8266</v>
      </c>
      <c r="G3876" s="36" t="s">
        <v>32</v>
      </c>
      <c r="H3876" s="36" t="s">
        <v>1655</v>
      </c>
      <c r="I3876" s="36" t="s">
        <v>1656</v>
      </c>
      <c r="J3876" s="36" t="s">
        <v>1656</v>
      </c>
      <c r="K3876" s="36" t="s">
        <v>1661</v>
      </c>
      <c r="L3876" s="36" t="s">
        <v>7934</v>
      </c>
      <c r="M3876" s="36" t="s">
        <v>7934</v>
      </c>
      <c r="N3876" s="36" t="s">
        <v>32</v>
      </c>
    </row>
    <row r="3877">
      <c r="A3877" s="36" t="s">
        <v>8267</v>
      </c>
      <c r="B3877" s="154" t="s">
        <v>8263</v>
      </c>
      <c r="C3877" s="36" t="s">
        <v>1653</v>
      </c>
      <c r="D3877" s="36" t="s">
        <v>162</v>
      </c>
      <c r="E3877" s="36" t="s">
        <v>39</v>
      </c>
      <c r="F3877" s="154" t="s">
        <v>8268</v>
      </c>
      <c r="G3877" s="36" t="s">
        <v>32</v>
      </c>
      <c r="H3877" s="36" t="s">
        <v>1655</v>
      </c>
      <c r="I3877" s="36" t="s">
        <v>1656</v>
      </c>
      <c r="J3877" s="36" t="s">
        <v>1656</v>
      </c>
      <c r="K3877" s="36" t="s">
        <v>4092</v>
      </c>
      <c r="L3877" s="36" t="s">
        <v>7934</v>
      </c>
      <c r="M3877" s="36" t="s">
        <v>7934</v>
      </c>
      <c r="N3877" s="36" t="s">
        <v>32</v>
      </c>
    </row>
    <row r="3878">
      <c r="A3878" s="36" t="s">
        <v>8269</v>
      </c>
      <c r="B3878" s="154" t="s">
        <v>8263</v>
      </c>
      <c r="C3878" s="36" t="s">
        <v>1653</v>
      </c>
      <c r="D3878" s="36" t="s">
        <v>170</v>
      </c>
      <c r="E3878" s="36" t="s">
        <v>39</v>
      </c>
      <c r="F3878" s="154" t="s">
        <v>8270</v>
      </c>
      <c r="G3878" s="36" t="s">
        <v>32</v>
      </c>
      <c r="H3878" s="36" t="s">
        <v>1655</v>
      </c>
      <c r="I3878" s="36" t="s">
        <v>1656</v>
      </c>
      <c r="J3878" s="36" t="s">
        <v>1656</v>
      </c>
      <c r="K3878" s="36" t="s">
        <v>2265</v>
      </c>
      <c r="L3878" s="36" t="s">
        <v>7934</v>
      </c>
      <c r="M3878" s="36" t="s">
        <v>7934</v>
      </c>
      <c r="N3878" s="36" t="s">
        <v>32</v>
      </c>
    </row>
    <row r="3879">
      <c r="A3879" s="36" t="s">
        <v>8271</v>
      </c>
      <c r="B3879" s="154" t="s">
        <v>8263</v>
      </c>
      <c r="C3879" s="36" t="s">
        <v>1666</v>
      </c>
      <c r="D3879" s="36" t="s">
        <v>85</v>
      </c>
      <c r="E3879" s="36" t="s">
        <v>85</v>
      </c>
      <c r="F3879" s="154" t="s">
        <v>8272</v>
      </c>
      <c r="G3879" s="36" t="s">
        <v>28</v>
      </c>
      <c r="H3879" s="36" t="s">
        <v>1655</v>
      </c>
      <c r="I3879" s="36" t="s">
        <v>1656</v>
      </c>
      <c r="J3879" s="36" t="s">
        <v>1656</v>
      </c>
      <c r="K3879" s="36" t="s">
        <v>3035</v>
      </c>
      <c r="L3879" s="36" t="s">
        <v>7942</v>
      </c>
      <c r="M3879" s="36" t="s">
        <v>7942</v>
      </c>
      <c r="N3879" s="36" t="s">
        <v>32</v>
      </c>
    </row>
    <row r="3880">
      <c r="A3880" s="36" t="s">
        <v>8273</v>
      </c>
      <c r="B3880" s="154" t="s">
        <v>8274</v>
      </c>
      <c r="C3880" s="36" t="s">
        <v>1666</v>
      </c>
      <c r="D3880" s="36" t="s">
        <v>191</v>
      </c>
      <c r="E3880" s="36" t="s">
        <v>191</v>
      </c>
      <c r="F3880" s="154" t="s">
        <v>1816</v>
      </c>
      <c r="G3880" s="36" t="s">
        <v>28</v>
      </c>
      <c r="H3880" s="36" t="s">
        <v>1655</v>
      </c>
      <c r="I3880" s="36" t="s">
        <v>1656</v>
      </c>
      <c r="J3880" s="36" t="s">
        <v>1656</v>
      </c>
      <c r="K3880" s="36" t="s">
        <v>1924</v>
      </c>
      <c r="L3880" s="36" t="s">
        <v>7942</v>
      </c>
      <c r="M3880" s="36" t="s">
        <v>7942</v>
      </c>
      <c r="N3880" s="36" t="s">
        <v>32</v>
      </c>
    </row>
    <row r="3881">
      <c r="A3881" s="36" t="s">
        <v>8275</v>
      </c>
      <c r="B3881" s="154" t="s">
        <v>8274</v>
      </c>
      <c r="C3881" s="36" t="s">
        <v>1666</v>
      </c>
      <c r="D3881" s="36" t="s">
        <v>196</v>
      </c>
      <c r="E3881" s="36" t="s">
        <v>196</v>
      </c>
      <c r="F3881" s="154" t="s">
        <v>1816</v>
      </c>
      <c r="G3881" s="36" t="s">
        <v>32</v>
      </c>
      <c r="H3881" s="36" t="s">
        <v>1655</v>
      </c>
      <c r="I3881" s="36" t="s">
        <v>1656</v>
      </c>
      <c r="J3881" s="36" t="s">
        <v>1656</v>
      </c>
      <c r="K3881" s="36" t="s">
        <v>1668</v>
      </c>
      <c r="L3881" s="36" t="s">
        <v>7942</v>
      </c>
      <c r="M3881" s="36" t="s">
        <v>7942</v>
      </c>
      <c r="N3881" s="36" t="s">
        <v>32</v>
      </c>
    </row>
    <row r="3882">
      <c r="A3882" s="36" t="s">
        <v>8276</v>
      </c>
      <c r="B3882" s="154" t="s">
        <v>8277</v>
      </c>
      <c r="C3882" s="36" t="s">
        <v>1666</v>
      </c>
      <c r="D3882" s="36" t="s">
        <v>78</v>
      </c>
      <c r="E3882" s="36" t="s">
        <v>78</v>
      </c>
      <c r="F3882" s="154" t="s">
        <v>1899</v>
      </c>
      <c r="G3882" s="36" t="s">
        <v>28</v>
      </c>
      <c r="H3882" s="36" t="s">
        <v>1655</v>
      </c>
      <c r="I3882" s="36" t="s">
        <v>1656</v>
      </c>
      <c r="J3882" s="36" t="s">
        <v>1656</v>
      </c>
      <c r="K3882" s="36" t="s">
        <v>4248</v>
      </c>
      <c r="L3882" s="36" t="s">
        <v>7942</v>
      </c>
      <c r="M3882" s="36" t="s">
        <v>7942</v>
      </c>
      <c r="N3882" s="36" t="s">
        <v>32</v>
      </c>
    </row>
    <row r="3883">
      <c r="A3883" s="36" t="s">
        <v>8278</v>
      </c>
      <c r="B3883" s="154" t="s">
        <v>8279</v>
      </c>
      <c r="C3883" s="36" t="s">
        <v>1666</v>
      </c>
      <c r="D3883" s="36" t="s">
        <v>63</v>
      </c>
      <c r="E3883" s="36" t="s">
        <v>63</v>
      </c>
      <c r="F3883" s="154" t="s">
        <v>8280</v>
      </c>
      <c r="G3883" s="36" t="s">
        <v>32</v>
      </c>
      <c r="H3883" s="36" t="s">
        <v>1655</v>
      </c>
      <c r="I3883" s="36" t="s">
        <v>1656</v>
      </c>
      <c r="J3883" s="36" t="s">
        <v>1656</v>
      </c>
      <c r="K3883" s="36" t="s">
        <v>4196</v>
      </c>
      <c r="L3883" s="36" t="s">
        <v>7942</v>
      </c>
      <c r="M3883" s="36" t="s">
        <v>7942</v>
      </c>
      <c r="N3883" s="36" t="s">
        <v>34</v>
      </c>
    </row>
    <row r="3884">
      <c r="A3884" s="36" t="s">
        <v>8281</v>
      </c>
      <c r="B3884" s="154" t="s">
        <v>8279</v>
      </c>
      <c r="C3884" s="36" t="s">
        <v>1666</v>
      </c>
      <c r="D3884" s="36" t="s">
        <v>200</v>
      </c>
      <c r="E3884" s="36" t="s">
        <v>200</v>
      </c>
      <c r="F3884" s="154" t="s">
        <v>7322</v>
      </c>
      <c r="G3884" s="36" t="s">
        <v>28</v>
      </c>
      <c r="H3884" s="36" t="s">
        <v>1655</v>
      </c>
      <c r="I3884" s="36" t="s">
        <v>1656</v>
      </c>
      <c r="J3884" s="36" t="s">
        <v>1656</v>
      </c>
      <c r="K3884" s="36" t="s">
        <v>1672</v>
      </c>
      <c r="L3884" s="36" t="s">
        <v>7942</v>
      </c>
      <c r="M3884" s="36" t="s">
        <v>7942</v>
      </c>
      <c r="N3884" s="36" t="s">
        <v>32</v>
      </c>
    </row>
    <row r="3885">
      <c r="A3885" s="36" t="s">
        <v>8282</v>
      </c>
      <c r="B3885" s="154" t="s">
        <v>8279</v>
      </c>
      <c r="C3885" s="36" t="s">
        <v>1666</v>
      </c>
      <c r="D3885" s="36" t="s">
        <v>207</v>
      </c>
      <c r="E3885" s="36" t="s">
        <v>207</v>
      </c>
      <c r="F3885" s="154" t="s">
        <v>2555</v>
      </c>
      <c r="G3885" s="36" t="s">
        <v>28</v>
      </c>
      <c r="H3885" s="36" t="s">
        <v>1655</v>
      </c>
      <c r="I3885" s="36" t="s">
        <v>1656</v>
      </c>
      <c r="J3885" s="36" t="s">
        <v>1656</v>
      </c>
      <c r="K3885" s="36" t="s">
        <v>1675</v>
      </c>
      <c r="L3885" s="36" t="s">
        <v>7942</v>
      </c>
      <c r="M3885" s="36" t="s">
        <v>7942</v>
      </c>
      <c r="N3885" s="36" t="s">
        <v>34</v>
      </c>
    </row>
    <row r="3886">
      <c r="A3886" s="36" t="s">
        <v>8283</v>
      </c>
      <c r="B3886" s="154" t="s">
        <v>8279</v>
      </c>
      <c r="C3886" s="36" t="s">
        <v>1666</v>
      </c>
      <c r="D3886" s="36" t="s">
        <v>213</v>
      </c>
      <c r="E3886" s="36" t="s">
        <v>213</v>
      </c>
      <c r="F3886" s="154" t="s">
        <v>2354</v>
      </c>
      <c r="G3886" s="36" t="s">
        <v>28</v>
      </c>
      <c r="H3886" s="36" t="s">
        <v>1655</v>
      </c>
      <c r="I3886" s="36" t="s">
        <v>1656</v>
      </c>
      <c r="J3886" s="36" t="s">
        <v>1656</v>
      </c>
      <c r="K3886" s="36" t="s">
        <v>1678</v>
      </c>
      <c r="L3886" s="36" t="s">
        <v>7942</v>
      </c>
      <c r="M3886" s="36" t="s">
        <v>7942</v>
      </c>
      <c r="N3886" s="36" t="s">
        <v>34</v>
      </c>
    </row>
    <row r="3887">
      <c r="A3887" s="36" t="s">
        <v>8284</v>
      </c>
      <c r="B3887" s="154" t="s">
        <v>8279</v>
      </c>
      <c r="C3887" s="36" t="s">
        <v>1666</v>
      </c>
      <c r="D3887" s="36" t="s">
        <v>221</v>
      </c>
      <c r="E3887" s="36" t="s">
        <v>221</v>
      </c>
      <c r="F3887" s="154" t="s">
        <v>8285</v>
      </c>
      <c r="G3887" s="36" t="s">
        <v>28</v>
      </c>
      <c r="H3887" s="36" t="s">
        <v>1655</v>
      </c>
      <c r="I3887" s="36" t="s">
        <v>1656</v>
      </c>
      <c r="J3887" s="36" t="s">
        <v>1656</v>
      </c>
      <c r="K3887" s="36" t="s">
        <v>1681</v>
      </c>
      <c r="L3887" s="36" t="s">
        <v>7942</v>
      </c>
      <c r="M3887" s="36" t="s">
        <v>7942</v>
      </c>
      <c r="N3887" s="36" t="s">
        <v>34</v>
      </c>
    </row>
    <row r="3888">
      <c r="A3888" s="36" t="s">
        <v>8286</v>
      </c>
      <c r="B3888" s="154" t="s">
        <v>8279</v>
      </c>
      <c r="C3888" s="36" t="s">
        <v>1666</v>
      </c>
      <c r="D3888" s="36" t="s">
        <v>228</v>
      </c>
      <c r="E3888" s="36" t="s">
        <v>228</v>
      </c>
      <c r="F3888" s="154" t="s">
        <v>1697</v>
      </c>
      <c r="G3888" s="36" t="s">
        <v>28</v>
      </c>
      <c r="H3888" s="36" t="s">
        <v>1655</v>
      </c>
      <c r="I3888" s="36" t="s">
        <v>1656</v>
      </c>
      <c r="J3888" s="36" t="s">
        <v>1656</v>
      </c>
      <c r="K3888" s="36" t="s">
        <v>1684</v>
      </c>
      <c r="L3888" s="36" t="s">
        <v>7942</v>
      </c>
      <c r="M3888" s="36" t="s">
        <v>7942</v>
      </c>
      <c r="N3888" s="36" t="s">
        <v>34</v>
      </c>
    </row>
    <row r="3889">
      <c r="A3889" s="36" t="s">
        <v>8287</v>
      </c>
      <c r="B3889" s="154" t="s">
        <v>8288</v>
      </c>
      <c r="C3889" s="36" t="s">
        <v>1666</v>
      </c>
      <c r="D3889" s="36" t="s">
        <v>64</v>
      </c>
      <c r="E3889" s="36" t="s">
        <v>64</v>
      </c>
      <c r="F3889" s="154" t="s">
        <v>7648</v>
      </c>
      <c r="G3889" s="36" t="s">
        <v>28</v>
      </c>
      <c r="H3889" s="36" t="s">
        <v>1655</v>
      </c>
      <c r="I3889" s="36" t="s">
        <v>1656</v>
      </c>
      <c r="J3889" s="36" t="s">
        <v>1656</v>
      </c>
      <c r="K3889" s="36" t="s">
        <v>1708</v>
      </c>
      <c r="L3889" s="36" t="s">
        <v>7942</v>
      </c>
      <c r="M3889" s="36" t="s">
        <v>7942</v>
      </c>
      <c r="N3889" s="36" t="s">
        <v>32</v>
      </c>
    </row>
    <row r="3890">
      <c r="A3890" s="36" t="s">
        <v>8289</v>
      </c>
      <c r="B3890" s="154" t="s">
        <v>8290</v>
      </c>
      <c r="C3890" s="36" t="s">
        <v>1666</v>
      </c>
      <c r="D3890" s="36" t="s">
        <v>235</v>
      </c>
      <c r="E3890" s="36" t="s">
        <v>235</v>
      </c>
      <c r="F3890" s="154" t="s">
        <v>2049</v>
      </c>
      <c r="G3890" s="36" t="s">
        <v>28</v>
      </c>
      <c r="H3890" s="36" t="s">
        <v>1655</v>
      </c>
      <c r="I3890" s="36" t="s">
        <v>1656</v>
      </c>
      <c r="J3890" s="36" t="s">
        <v>1656</v>
      </c>
      <c r="K3890" s="36" t="s">
        <v>1691</v>
      </c>
      <c r="L3890" s="36" t="s">
        <v>7942</v>
      </c>
      <c r="M3890" s="36" t="s">
        <v>7942</v>
      </c>
      <c r="N3890" s="36" t="s">
        <v>32</v>
      </c>
    </row>
    <row r="3891">
      <c r="A3891" s="36" t="s">
        <v>8291</v>
      </c>
      <c r="B3891" s="154" t="s">
        <v>8290</v>
      </c>
      <c r="C3891" s="36" t="s">
        <v>1666</v>
      </c>
      <c r="D3891" s="36" t="s">
        <v>93</v>
      </c>
      <c r="E3891" s="36" t="s">
        <v>93</v>
      </c>
      <c r="F3891" s="154" t="s">
        <v>1899</v>
      </c>
      <c r="G3891" s="36" t="s">
        <v>28</v>
      </c>
      <c r="H3891" s="36" t="s">
        <v>1655</v>
      </c>
      <c r="I3891" s="36" t="s">
        <v>1656</v>
      </c>
      <c r="J3891" s="36" t="s">
        <v>1656</v>
      </c>
      <c r="K3891" s="36" t="s">
        <v>1695</v>
      </c>
      <c r="L3891" s="36" t="s">
        <v>7942</v>
      </c>
      <c r="M3891" s="36" t="s">
        <v>7942</v>
      </c>
      <c r="N3891" s="36" t="s">
        <v>32</v>
      </c>
    </row>
    <row r="3892">
      <c r="A3892" s="36" t="s">
        <v>8292</v>
      </c>
      <c r="B3892" s="154" t="s">
        <v>8290</v>
      </c>
      <c r="C3892" s="36" t="s">
        <v>1666</v>
      </c>
      <c r="D3892" s="36" t="s">
        <v>247</v>
      </c>
      <c r="E3892" s="36" t="s">
        <v>247</v>
      </c>
      <c r="F3892" s="154" t="s">
        <v>2163</v>
      </c>
      <c r="G3892" s="36" t="s">
        <v>32</v>
      </c>
      <c r="H3892" s="36" t="s">
        <v>1655</v>
      </c>
      <c r="I3892" s="36" t="s">
        <v>1656</v>
      </c>
      <c r="J3892" s="36" t="s">
        <v>1656</v>
      </c>
      <c r="K3892" s="36" t="s">
        <v>1698</v>
      </c>
      <c r="L3892" s="36" t="s">
        <v>7942</v>
      </c>
      <c r="M3892" s="36" t="s">
        <v>7942</v>
      </c>
      <c r="N3892" s="36" t="s">
        <v>32</v>
      </c>
    </row>
    <row r="3893">
      <c r="A3893" s="36" t="s">
        <v>8293</v>
      </c>
      <c r="B3893" s="154" t="s">
        <v>8290</v>
      </c>
      <c r="C3893" s="36" t="s">
        <v>1666</v>
      </c>
      <c r="D3893" s="36" t="s">
        <v>252</v>
      </c>
      <c r="E3893" s="36" t="s">
        <v>252</v>
      </c>
      <c r="F3893" s="154" t="s">
        <v>8294</v>
      </c>
      <c r="G3893" s="36" t="s">
        <v>32</v>
      </c>
      <c r="H3893" s="36" t="s">
        <v>1655</v>
      </c>
      <c r="I3893" s="36" t="s">
        <v>1656</v>
      </c>
      <c r="J3893" s="36" t="s">
        <v>1656</v>
      </c>
      <c r="K3893" s="36" t="s">
        <v>1701</v>
      </c>
      <c r="L3893" s="36" t="s">
        <v>7942</v>
      </c>
      <c r="M3893" s="36" t="s">
        <v>7942</v>
      </c>
      <c r="N3893" s="36" t="s">
        <v>32</v>
      </c>
    </row>
    <row r="3894">
      <c r="A3894" s="36" t="s">
        <v>8295</v>
      </c>
      <c r="B3894" s="154" t="s">
        <v>8290</v>
      </c>
      <c r="C3894" s="36" t="s">
        <v>1666</v>
      </c>
      <c r="D3894" s="36" t="s">
        <v>259</v>
      </c>
      <c r="E3894" s="36" t="s">
        <v>259</v>
      </c>
      <c r="F3894" s="154" t="s">
        <v>2325</v>
      </c>
      <c r="G3894" s="36" t="s">
        <v>32</v>
      </c>
      <c r="H3894" s="36" t="s">
        <v>1655</v>
      </c>
      <c r="I3894" s="36" t="s">
        <v>1656</v>
      </c>
      <c r="J3894" s="36" t="s">
        <v>1656</v>
      </c>
      <c r="K3894" s="36" t="s">
        <v>1704</v>
      </c>
      <c r="L3894" s="36" t="s">
        <v>7942</v>
      </c>
      <c r="M3894" s="36" t="s">
        <v>7942</v>
      </c>
      <c r="N3894" s="36" t="s">
        <v>32</v>
      </c>
    </row>
    <row r="3895">
      <c r="A3895" s="36" t="s">
        <v>8296</v>
      </c>
      <c r="B3895" s="154" t="s">
        <v>8297</v>
      </c>
      <c r="C3895" s="36" t="s">
        <v>1666</v>
      </c>
      <c r="D3895" s="36" t="s">
        <v>66</v>
      </c>
      <c r="E3895" s="36" t="s">
        <v>66</v>
      </c>
      <c r="F3895" s="154" t="s">
        <v>8298</v>
      </c>
      <c r="G3895" s="36" t="s">
        <v>28</v>
      </c>
      <c r="H3895" s="36" t="s">
        <v>1655</v>
      </c>
      <c r="I3895" s="36" t="s">
        <v>1656</v>
      </c>
      <c r="J3895" s="36" t="s">
        <v>1656</v>
      </c>
      <c r="K3895" s="36" t="s">
        <v>1721</v>
      </c>
      <c r="L3895" s="36" t="s">
        <v>7942</v>
      </c>
      <c r="M3895" s="36" t="s">
        <v>7942</v>
      </c>
      <c r="N3895" s="36" t="s">
        <v>32</v>
      </c>
    </row>
    <row r="3896">
      <c r="A3896" s="36" t="s">
        <v>8299</v>
      </c>
      <c r="B3896" s="154" t="s">
        <v>8300</v>
      </c>
      <c r="C3896" s="36" t="s">
        <v>1666</v>
      </c>
      <c r="D3896" s="36" t="s">
        <v>220</v>
      </c>
      <c r="E3896" s="36" t="s">
        <v>220</v>
      </c>
      <c r="F3896" s="154" t="s">
        <v>8301</v>
      </c>
      <c r="G3896" s="36" t="s">
        <v>28</v>
      </c>
      <c r="H3896" s="36" t="s">
        <v>1655</v>
      </c>
      <c r="I3896" s="36" t="s">
        <v>1656</v>
      </c>
      <c r="J3896" s="36" t="s">
        <v>1656</v>
      </c>
      <c r="K3896" s="36" t="s">
        <v>1711</v>
      </c>
      <c r="L3896" s="36" t="s">
        <v>7942</v>
      </c>
      <c r="M3896" s="36" t="s">
        <v>7942</v>
      </c>
      <c r="N3896" s="36" t="s">
        <v>32</v>
      </c>
    </row>
    <row r="3897">
      <c r="A3897" s="36" t="s">
        <v>8302</v>
      </c>
      <c r="B3897" s="154" t="s">
        <v>8300</v>
      </c>
      <c r="C3897" s="36" t="s">
        <v>1666</v>
      </c>
      <c r="D3897" s="36" t="s">
        <v>226</v>
      </c>
      <c r="E3897" s="36" t="s">
        <v>226</v>
      </c>
      <c r="F3897" s="154" t="s">
        <v>8303</v>
      </c>
      <c r="G3897" s="36" t="s">
        <v>32</v>
      </c>
      <c r="H3897" s="36" t="s">
        <v>1655</v>
      </c>
      <c r="I3897" s="36" t="s">
        <v>1656</v>
      </c>
      <c r="J3897" s="36" t="s">
        <v>1656</v>
      </c>
      <c r="K3897" s="36" t="s">
        <v>1715</v>
      </c>
      <c r="L3897" s="36" t="s">
        <v>7942</v>
      </c>
      <c r="M3897" s="36" t="s">
        <v>7942</v>
      </c>
      <c r="N3897" s="36" t="s">
        <v>32</v>
      </c>
    </row>
    <row r="3898">
      <c r="A3898" s="36" t="s">
        <v>8304</v>
      </c>
      <c r="B3898" s="154" t="s">
        <v>8305</v>
      </c>
      <c r="C3898" s="36" t="s">
        <v>1666</v>
      </c>
      <c r="D3898" s="36" t="s">
        <v>71</v>
      </c>
      <c r="E3898" s="36" t="s">
        <v>71</v>
      </c>
      <c r="F3898" s="154" t="s">
        <v>8091</v>
      </c>
      <c r="G3898" s="36" t="s">
        <v>32</v>
      </c>
      <c r="H3898" s="36" t="s">
        <v>1655</v>
      </c>
      <c r="I3898" s="36" t="s">
        <v>1656</v>
      </c>
      <c r="J3898" s="36" t="s">
        <v>1656</v>
      </c>
      <c r="K3898" s="36" t="s">
        <v>1752</v>
      </c>
      <c r="L3898" s="36" t="s">
        <v>7942</v>
      </c>
      <c r="M3898" s="36" t="s">
        <v>7942</v>
      </c>
      <c r="N3898" s="36" t="s">
        <v>32</v>
      </c>
    </row>
    <row r="3899">
      <c r="A3899" s="36" t="s">
        <v>8306</v>
      </c>
      <c r="B3899" s="154" t="s">
        <v>8305</v>
      </c>
      <c r="C3899" s="36" t="s">
        <v>1666</v>
      </c>
      <c r="D3899" s="36" t="s">
        <v>73</v>
      </c>
      <c r="E3899" s="36" t="s">
        <v>73</v>
      </c>
      <c r="F3899" s="154" t="s">
        <v>8093</v>
      </c>
      <c r="G3899" s="36" t="s">
        <v>28</v>
      </c>
      <c r="H3899" s="36" t="s">
        <v>1655</v>
      </c>
      <c r="I3899" s="36" t="s">
        <v>1656</v>
      </c>
      <c r="J3899" s="36" t="s">
        <v>1656</v>
      </c>
      <c r="K3899" s="36" t="s">
        <v>1755</v>
      </c>
      <c r="L3899" s="36" t="s">
        <v>7942</v>
      </c>
      <c r="M3899" s="36" t="s">
        <v>7942</v>
      </c>
      <c r="N3899" s="36" t="s">
        <v>32</v>
      </c>
    </row>
    <row r="3900">
      <c r="A3900" s="36" t="s">
        <v>8307</v>
      </c>
      <c r="B3900" s="154" t="s">
        <v>8305</v>
      </c>
      <c r="C3900" s="36" t="s">
        <v>1666</v>
      </c>
      <c r="D3900" s="36" t="s">
        <v>74</v>
      </c>
      <c r="E3900" s="36" t="s">
        <v>74</v>
      </c>
      <c r="F3900" s="154" t="s">
        <v>8095</v>
      </c>
      <c r="G3900" s="36" t="s">
        <v>32</v>
      </c>
      <c r="H3900" s="36" t="s">
        <v>1655</v>
      </c>
      <c r="I3900" s="36" t="s">
        <v>1656</v>
      </c>
      <c r="J3900" s="36" t="s">
        <v>1656</v>
      </c>
      <c r="K3900" s="36" t="s">
        <v>1757</v>
      </c>
      <c r="L3900" s="36" t="s">
        <v>7942</v>
      </c>
      <c r="M3900" s="36" t="s">
        <v>7942</v>
      </c>
      <c r="N3900" s="36" t="s">
        <v>32</v>
      </c>
    </row>
    <row r="3901">
      <c r="A3901" s="36" t="s">
        <v>8308</v>
      </c>
      <c r="B3901" s="154" t="s">
        <v>8305</v>
      </c>
      <c r="C3901" s="36" t="s">
        <v>1666</v>
      </c>
      <c r="D3901" s="36" t="s">
        <v>75</v>
      </c>
      <c r="E3901" s="36" t="s">
        <v>75</v>
      </c>
      <c r="F3901" s="154" t="s">
        <v>8097</v>
      </c>
      <c r="G3901" s="36" t="s">
        <v>28</v>
      </c>
      <c r="H3901" s="36" t="s">
        <v>1655</v>
      </c>
      <c r="I3901" s="36" t="s">
        <v>1656</v>
      </c>
      <c r="J3901" s="36" t="s">
        <v>1656</v>
      </c>
      <c r="K3901" s="36" t="s">
        <v>1760</v>
      </c>
      <c r="L3901" s="36" t="s">
        <v>7942</v>
      </c>
      <c r="M3901" s="36" t="s">
        <v>7942</v>
      </c>
      <c r="N3901" s="36" t="s">
        <v>32</v>
      </c>
    </row>
    <row r="3902">
      <c r="A3902" s="36" t="s">
        <v>8309</v>
      </c>
      <c r="B3902" s="154" t="s">
        <v>8305</v>
      </c>
      <c r="C3902" s="36" t="s">
        <v>1666</v>
      </c>
      <c r="D3902" s="36" t="s">
        <v>76</v>
      </c>
      <c r="E3902" s="36" t="s">
        <v>76</v>
      </c>
      <c r="F3902" s="154" t="s">
        <v>8310</v>
      </c>
      <c r="G3902" s="36" t="s">
        <v>28</v>
      </c>
      <c r="H3902" s="36" t="s">
        <v>1655</v>
      </c>
      <c r="I3902" s="36" t="s">
        <v>1656</v>
      </c>
      <c r="J3902" s="36" t="s">
        <v>1656</v>
      </c>
      <c r="K3902" s="36" t="s">
        <v>1763</v>
      </c>
      <c r="L3902" s="36" t="s">
        <v>7942</v>
      </c>
      <c r="M3902" s="36" t="s">
        <v>7942</v>
      </c>
      <c r="N3902" s="36" t="s">
        <v>32</v>
      </c>
    </row>
    <row r="3903">
      <c r="A3903" s="36" t="s">
        <v>8311</v>
      </c>
      <c r="B3903" s="154" t="s">
        <v>8305</v>
      </c>
      <c r="C3903" s="36" t="s">
        <v>1666</v>
      </c>
      <c r="D3903" s="36" t="s">
        <v>77</v>
      </c>
      <c r="E3903" s="36" t="s">
        <v>77</v>
      </c>
      <c r="F3903" s="154" t="s">
        <v>1810</v>
      </c>
      <c r="G3903" s="36" t="s">
        <v>34</v>
      </c>
      <c r="H3903" s="36" t="s">
        <v>1655</v>
      </c>
      <c r="I3903" s="36" t="s">
        <v>1656</v>
      </c>
      <c r="J3903" s="36" t="s">
        <v>1656</v>
      </c>
      <c r="K3903" s="36" t="s">
        <v>1766</v>
      </c>
      <c r="L3903" s="36" t="s">
        <v>7942</v>
      </c>
      <c r="M3903" s="36" t="s">
        <v>7942</v>
      </c>
      <c r="N3903" s="36" t="s">
        <v>32</v>
      </c>
    </row>
    <row r="3904">
      <c r="A3904" s="36" t="s">
        <v>8312</v>
      </c>
      <c r="B3904" s="154" t="s">
        <v>8305</v>
      </c>
      <c r="C3904" s="36" t="s">
        <v>1666</v>
      </c>
      <c r="D3904" s="36" t="s">
        <v>115</v>
      </c>
      <c r="E3904" s="36" t="s">
        <v>115</v>
      </c>
      <c r="F3904" s="154" t="s">
        <v>1683</v>
      </c>
      <c r="G3904" s="36" t="s">
        <v>32</v>
      </c>
      <c r="H3904" s="36" t="s">
        <v>1655</v>
      </c>
      <c r="I3904" s="36" t="s">
        <v>1656</v>
      </c>
      <c r="J3904" s="36" t="s">
        <v>1656</v>
      </c>
      <c r="K3904" s="36" t="s">
        <v>1717</v>
      </c>
      <c r="L3904" s="36" t="s">
        <v>7942</v>
      </c>
      <c r="M3904" s="36" t="s">
        <v>7942</v>
      </c>
      <c r="N3904" s="36" t="s">
        <v>32</v>
      </c>
    </row>
    <row r="3905">
      <c r="A3905" s="36" t="s">
        <v>8313</v>
      </c>
      <c r="B3905" s="154" t="s">
        <v>8305</v>
      </c>
      <c r="C3905" s="36" t="s">
        <v>1666</v>
      </c>
      <c r="D3905" s="36" t="s">
        <v>114</v>
      </c>
      <c r="E3905" s="36" t="s">
        <v>114</v>
      </c>
      <c r="F3905" s="154" t="s">
        <v>1683</v>
      </c>
      <c r="G3905" s="36" t="s">
        <v>32</v>
      </c>
      <c r="H3905" s="36" t="s">
        <v>1655</v>
      </c>
      <c r="I3905" s="36" t="s">
        <v>1656</v>
      </c>
      <c r="J3905" s="36" t="s">
        <v>1656</v>
      </c>
      <c r="K3905" s="36" t="s">
        <v>1724</v>
      </c>
      <c r="L3905" s="36" t="s">
        <v>7942</v>
      </c>
      <c r="M3905" s="36" t="s">
        <v>7942</v>
      </c>
      <c r="N3905" s="36" t="s">
        <v>32</v>
      </c>
    </row>
    <row r="3906">
      <c r="A3906" s="36" t="s">
        <v>8314</v>
      </c>
      <c r="B3906" s="154" t="s">
        <v>8315</v>
      </c>
      <c r="C3906" s="36" t="s">
        <v>1666</v>
      </c>
      <c r="D3906" s="36" t="s">
        <v>191</v>
      </c>
      <c r="E3906" s="36" t="s">
        <v>191</v>
      </c>
      <c r="F3906" s="154" t="s">
        <v>1816</v>
      </c>
      <c r="G3906" s="36" t="s">
        <v>28</v>
      </c>
      <c r="H3906" s="36" t="s">
        <v>1655</v>
      </c>
      <c r="I3906" s="36" t="s">
        <v>1656</v>
      </c>
      <c r="J3906" s="36" t="s">
        <v>1656</v>
      </c>
      <c r="K3906" s="36" t="s">
        <v>1727</v>
      </c>
      <c r="L3906" s="36" t="s">
        <v>7942</v>
      </c>
      <c r="M3906" s="36" t="s">
        <v>7942</v>
      </c>
      <c r="N3906" s="36" t="s">
        <v>32</v>
      </c>
    </row>
    <row r="3907">
      <c r="A3907" s="36" t="s">
        <v>8316</v>
      </c>
      <c r="B3907" s="154" t="s">
        <v>8317</v>
      </c>
      <c r="C3907" s="36" t="s">
        <v>1666</v>
      </c>
      <c r="D3907" s="36" t="s">
        <v>235</v>
      </c>
      <c r="E3907" s="36" t="s">
        <v>235</v>
      </c>
      <c r="F3907" s="154" t="s">
        <v>2156</v>
      </c>
      <c r="G3907" s="36" t="s">
        <v>28</v>
      </c>
      <c r="H3907" s="36" t="s">
        <v>1655</v>
      </c>
      <c r="I3907" s="36" t="s">
        <v>1656</v>
      </c>
      <c r="J3907" s="36" t="s">
        <v>1656</v>
      </c>
      <c r="K3907" s="36" t="s">
        <v>1730</v>
      </c>
      <c r="L3907" s="36" t="s">
        <v>7942</v>
      </c>
      <c r="M3907" s="36" t="s">
        <v>7942</v>
      </c>
      <c r="N3907" s="36" t="s">
        <v>34</v>
      </c>
    </row>
    <row r="3908">
      <c r="A3908" s="36" t="s">
        <v>8318</v>
      </c>
      <c r="B3908" s="154" t="s">
        <v>8317</v>
      </c>
      <c r="C3908" s="36" t="s">
        <v>1666</v>
      </c>
      <c r="D3908" s="36" t="s">
        <v>210</v>
      </c>
      <c r="E3908" s="36" t="s">
        <v>210</v>
      </c>
      <c r="F3908" s="154" t="s">
        <v>2249</v>
      </c>
      <c r="G3908" s="36" t="s">
        <v>28</v>
      </c>
      <c r="H3908" s="36" t="s">
        <v>1655</v>
      </c>
      <c r="I3908" s="36" t="s">
        <v>1656</v>
      </c>
      <c r="J3908" s="36" t="s">
        <v>1656</v>
      </c>
      <c r="K3908" s="36" t="s">
        <v>1732</v>
      </c>
      <c r="L3908" s="36" t="s">
        <v>7942</v>
      </c>
      <c r="M3908" s="36" t="s">
        <v>7942</v>
      </c>
      <c r="N3908" s="36" t="s">
        <v>34</v>
      </c>
    </row>
    <row r="3909">
      <c r="A3909" s="36" t="s">
        <v>8319</v>
      </c>
      <c r="B3909" s="154" t="s">
        <v>8320</v>
      </c>
      <c r="C3909" s="36" t="s">
        <v>1666</v>
      </c>
      <c r="D3909" s="36" t="s">
        <v>292</v>
      </c>
      <c r="E3909" s="36" t="s">
        <v>292</v>
      </c>
      <c r="F3909" s="154" t="s">
        <v>8321</v>
      </c>
      <c r="G3909" s="36" t="s">
        <v>28</v>
      </c>
      <c r="H3909" s="36" t="s">
        <v>1655</v>
      </c>
      <c r="I3909" s="36" t="s">
        <v>1656</v>
      </c>
      <c r="J3909" s="36" t="s">
        <v>1656</v>
      </c>
      <c r="K3909" s="36" t="s">
        <v>1736</v>
      </c>
      <c r="L3909" s="36" t="s">
        <v>7942</v>
      </c>
      <c r="M3909" s="36" t="s">
        <v>7942</v>
      </c>
      <c r="N3909" s="36" t="s">
        <v>32</v>
      </c>
    </row>
    <row r="3910">
      <c r="A3910" s="36" t="s">
        <v>8322</v>
      </c>
      <c r="B3910" s="154" t="s">
        <v>8323</v>
      </c>
      <c r="C3910" s="36" t="s">
        <v>1666</v>
      </c>
      <c r="D3910" s="36" t="s">
        <v>297</v>
      </c>
      <c r="E3910" s="36" t="s">
        <v>297</v>
      </c>
      <c r="F3910" s="154" t="s">
        <v>2027</v>
      </c>
      <c r="G3910" s="36" t="s">
        <v>32</v>
      </c>
      <c r="H3910" s="36" t="s">
        <v>1655</v>
      </c>
      <c r="I3910" s="36" t="s">
        <v>1656</v>
      </c>
      <c r="J3910" s="36" t="s">
        <v>1656</v>
      </c>
      <c r="K3910" s="36" t="s">
        <v>1739</v>
      </c>
      <c r="L3910" s="36" t="s">
        <v>7942</v>
      </c>
      <c r="M3910" s="36" t="s">
        <v>7942</v>
      </c>
      <c r="N3910" s="36" t="s">
        <v>32</v>
      </c>
    </row>
    <row r="3911">
      <c r="A3911" s="36" t="s">
        <v>8324</v>
      </c>
      <c r="B3911" s="154" t="s">
        <v>8323</v>
      </c>
      <c r="C3911" s="36" t="s">
        <v>1666</v>
      </c>
      <c r="D3911" s="36" t="s">
        <v>207</v>
      </c>
      <c r="E3911" s="36" t="s">
        <v>207</v>
      </c>
      <c r="F3911" s="154" t="s">
        <v>2555</v>
      </c>
      <c r="G3911" s="36" t="s">
        <v>28</v>
      </c>
      <c r="H3911" s="36" t="s">
        <v>1655</v>
      </c>
      <c r="I3911" s="36" t="s">
        <v>1656</v>
      </c>
      <c r="J3911" s="36" t="s">
        <v>1656</v>
      </c>
      <c r="K3911" s="36" t="s">
        <v>1742</v>
      </c>
      <c r="L3911" s="36" t="s">
        <v>7942</v>
      </c>
      <c r="M3911" s="36" t="s">
        <v>7942</v>
      </c>
      <c r="N3911" s="36" t="s">
        <v>34</v>
      </c>
    </row>
    <row r="3912">
      <c r="A3912" s="36" t="s">
        <v>8325</v>
      </c>
      <c r="B3912" s="154" t="s">
        <v>8326</v>
      </c>
      <c r="C3912" s="36" t="s">
        <v>1666</v>
      </c>
      <c r="D3912" s="36" t="s">
        <v>307</v>
      </c>
      <c r="E3912" s="36" t="s">
        <v>307</v>
      </c>
      <c r="F3912" s="154" t="s">
        <v>1810</v>
      </c>
      <c r="G3912" s="36" t="s">
        <v>28</v>
      </c>
      <c r="H3912" s="36" t="s">
        <v>1655</v>
      </c>
      <c r="I3912" s="36" t="s">
        <v>1656</v>
      </c>
      <c r="J3912" s="36" t="s">
        <v>1656</v>
      </c>
      <c r="K3912" s="36" t="s">
        <v>1745</v>
      </c>
      <c r="L3912" s="36" t="s">
        <v>7942</v>
      </c>
      <c r="M3912" s="36" t="s">
        <v>7942</v>
      </c>
      <c r="N3912" s="36" t="s">
        <v>34</v>
      </c>
    </row>
    <row r="3913">
      <c r="A3913" s="36" t="s">
        <v>8327</v>
      </c>
      <c r="B3913" s="154" t="s">
        <v>8328</v>
      </c>
      <c r="C3913" s="36" t="s">
        <v>1666</v>
      </c>
      <c r="D3913" s="36" t="s">
        <v>310</v>
      </c>
      <c r="E3913" s="36" t="s">
        <v>310</v>
      </c>
      <c r="F3913" s="154" t="s">
        <v>1697</v>
      </c>
      <c r="G3913" s="36" t="s">
        <v>28</v>
      </c>
      <c r="H3913" s="36" t="s">
        <v>1655</v>
      </c>
      <c r="I3913" s="36" t="s">
        <v>1656</v>
      </c>
      <c r="J3913" s="36" t="s">
        <v>1656</v>
      </c>
      <c r="K3913" s="36" t="s">
        <v>1773</v>
      </c>
      <c r="L3913" s="36" t="s">
        <v>7942</v>
      </c>
      <c r="M3913" s="36" t="s">
        <v>7942</v>
      </c>
      <c r="N3913" s="36" t="s">
        <v>34</v>
      </c>
    </row>
    <row r="3914">
      <c r="A3914" s="36" t="s">
        <v>8329</v>
      </c>
      <c r="B3914" s="154" t="s">
        <v>8330</v>
      </c>
      <c r="C3914" s="36" t="s">
        <v>1666</v>
      </c>
      <c r="D3914" s="36" t="s">
        <v>161</v>
      </c>
      <c r="E3914" s="36" t="s">
        <v>161</v>
      </c>
      <c r="F3914" s="154" t="s">
        <v>8331</v>
      </c>
      <c r="G3914" s="36" t="s">
        <v>32</v>
      </c>
      <c r="H3914" s="36" t="s">
        <v>1655</v>
      </c>
      <c r="I3914" s="36" t="s">
        <v>1656</v>
      </c>
      <c r="J3914" s="36" t="s">
        <v>1656</v>
      </c>
      <c r="K3914" s="36" t="s">
        <v>1776</v>
      </c>
      <c r="L3914" s="36" t="s">
        <v>7942</v>
      </c>
      <c r="M3914" s="36" t="s">
        <v>7942</v>
      </c>
      <c r="N3914" s="36" t="s">
        <v>32</v>
      </c>
    </row>
    <row r="3915">
      <c r="A3915" s="36" t="s">
        <v>8332</v>
      </c>
      <c r="B3915" s="154" t="s">
        <v>8330</v>
      </c>
      <c r="C3915" s="36" t="s">
        <v>1666</v>
      </c>
      <c r="D3915" s="36" t="s">
        <v>92</v>
      </c>
      <c r="E3915" s="36" t="s">
        <v>92</v>
      </c>
      <c r="F3915" s="154" t="s">
        <v>1816</v>
      </c>
      <c r="G3915" s="36" t="s">
        <v>32</v>
      </c>
      <c r="H3915" s="36" t="s">
        <v>1655</v>
      </c>
      <c r="I3915" s="36" t="s">
        <v>1656</v>
      </c>
      <c r="J3915" s="36" t="s">
        <v>1656</v>
      </c>
      <c r="K3915" s="36" t="s">
        <v>1779</v>
      </c>
      <c r="L3915" s="36" t="s">
        <v>7942</v>
      </c>
      <c r="M3915" s="36" t="s">
        <v>7942</v>
      </c>
      <c r="N3915" s="36" t="s">
        <v>32</v>
      </c>
    </row>
    <row r="3916">
      <c r="A3916" s="36" t="s">
        <v>8333</v>
      </c>
      <c r="B3916" s="154" t="s">
        <v>8330</v>
      </c>
      <c r="C3916" s="36" t="s">
        <v>1666</v>
      </c>
      <c r="D3916" s="36" t="s">
        <v>218</v>
      </c>
      <c r="E3916" s="36" t="s">
        <v>218</v>
      </c>
      <c r="F3916" s="154" t="s">
        <v>2039</v>
      </c>
      <c r="G3916" s="36" t="s">
        <v>32</v>
      </c>
      <c r="H3916" s="36" t="s">
        <v>1655</v>
      </c>
      <c r="I3916" s="36" t="s">
        <v>1656</v>
      </c>
      <c r="J3916" s="36" t="s">
        <v>1656</v>
      </c>
      <c r="K3916" s="36" t="s">
        <v>1782</v>
      </c>
      <c r="L3916" s="36" t="s">
        <v>7942</v>
      </c>
      <c r="M3916" s="36" t="s">
        <v>7942</v>
      </c>
      <c r="N3916" s="36" t="s">
        <v>32</v>
      </c>
    </row>
    <row r="3917">
      <c r="A3917" s="36" t="s">
        <v>8334</v>
      </c>
      <c r="B3917" s="154" t="s">
        <v>8330</v>
      </c>
      <c r="C3917" s="36" t="s">
        <v>1666</v>
      </c>
      <c r="D3917" s="36" t="s">
        <v>191</v>
      </c>
      <c r="E3917" s="36" t="s">
        <v>191</v>
      </c>
      <c r="F3917" s="154" t="s">
        <v>1816</v>
      </c>
      <c r="G3917" s="36" t="s">
        <v>28</v>
      </c>
      <c r="H3917" s="36" t="s">
        <v>1655</v>
      </c>
      <c r="I3917" s="36" t="s">
        <v>1656</v>
      </c>
      <c r="J3917" s="36" t="s">
        <v>1656</v>
      </c>
      <c r="K3917" s="36" t="s">
        <v>1784</v>
      </c>
      <c r="L3917" s="36" t="s">
        <v>7942</v>
      </c>
      <c r="M3917" s="36" t="s">
        <v>7942</v>
      </c>
      <c r="N3917" s="36" t="s">
        <v>32</v>
      </c>
    </row>
    <row r="3918">
      <c r="A3918" s="36" t="s">
        <v>8335</v>
      </c>
      <c r="B3918" s="154" t="s">
        <v>8336</v>
      </c>
      <c r="C3918" s="36" t="s">
        <v>1666</v>
      </c>
      <c r="D3918" s="36" t="s">
        <v>329</v>
      </c>
      <c r="E3918" s="36" t="s">
        <v>329</v>
      </c>
      <c r="F3918" s="154" t="s">
        <v>8337</v>
      </c>
      <c r="G3918" s="36" t="s">
        <v>28</v>
      </c>
      <c r="H3918" s="36" t="s">
        <v>1655</v>
      </c>
      <c r="I3918" s="36" t="s">
        <v>1656</v>
      </c>
      <c r="J3918" s="36" t="s">
        <v>1656</v>
      </c>
      <c r="K3918" s="36" t="s">
        <v>1787</v>
      </c>
      <c r="L3918" s="36" t="s">
        <v>7942</v>
      </c>
      <c r="M3918" s="36" t="s">
        <v>7942</v>
      </c>
      <c r="N3918" s="36" t="s">
        <v>32</v>
      </c>
    </row>
    <row r="3919">
      <c r="A3919" s="36" t="s">
        <v>8338</v>
      </c>
      <c r="B3919" s="154" t="s">
        <v>8339</v>
      </c>
      <c r="C3919" s="36" t="s">
        <v>1666</v>
      </c>
      <c r="D3919" s="36" t="s">
        <v>197</v>
      </c>
      <c r="E3919" s="36" t="s">
        <v>197</v>
      </c>
      <c r="F3919" s="154" t="s">
        <v>8236</v>
      </c>
      <c r="G3919" s="36" t="s">
        <v>32</v>
      </c>
      <c r="H3919" s="36" t="s">
        <v>1655</v>
      </c>
      <c r="I3919" s="36" t="s">
        <v>1656</v>
      </c>
      <c r="J3919" s="36" t="s">
        <v>1656</v>
      </c>
      <c r="K3919" s="36" t="s">
        <v>1790</v>
      </c>
      <c r="L3919" s="36" t="s">
        <v>7942</v>
      </c>
      <c r="M3919" s="36" t="s">
        <v>7942</v>
      </c>
      <c r="N3919" s="36" t="s">
        <v>32</v>
      </c>
    </row>
    <row r="3920">
      <c r="A3920" s="36" t="s">
        <v>8340</v>
      </c>
      <c r="B3920" s="154" t="s">
        <v>8339</v>
      </c>
      <c r="C3920" s="36" t="s">
        <v>1666</v>
      </c>
      <c r="D3920" s="36" t="s">
        <v>100</v>
      </c>
      <c r="E3920" s="36" t="s">
        <v>100</v>
      </c>
      <c r="F3920" s="154" t="s">
        <v>1768</v>
      </c>
      <c r="G3920" s="36" t="s">
        <v>32</v>
      </c>
      <c r="H3920" s="36" t="s">
        <v>1655</v>
      </c>
      <c r="I3920" s="36" t="s">
        <v>1656</v>
      </c>
      <c r="J3920" s="36" t="s">
        <v>1656</v>
      </c>
      <c r="K3920" s="36" t="s">
        <v>1793</v>
      </c>
      <c r="L3920" s="36" t="s">
        <v>7942</v>
      </c>
      <c r="M3920" s="36" t="s">
        <v>7942</v>
      </c>
      <c r="N3920" s="36" t="s">
        <v>32</v>
      </c>
    </row>
    <row r="3921">
      <c r="A3921" s="36" t="s">
        <v>8341</v>
      </c>
      <c r="B3921" s="154" t="s">
        <v>8339</v>
      </c>
      <c r="C3921" s="36" t="s">
        <v>1666</v>
      </c>
      <c r="D3921" s="36" t="s">
        <v>341</v>
      </c>
      <c r="E3921" s="36" t="s">
        <v>341</v>
      </c>
      <c r="F3921" s="154" t="s">
        <v>1829</v>
      </c>
      <c r="G3921" s="36" t="s">
        <v>28</v>
      </c>
      <c r="H3921" s="36" t="s">
        <v>1655</v>
      </c>
      <c r="I3921" s="36" t="s">
        <v>1656</v>
      </c>
      <c r="J3921" s="36" t="s">
        <v>1656</v>
      </c>
      <c r="K3921" s="36" t="s">
        <v>1796</v>
      </c>
      <c r="L3921" s="36" t="s">
        <v>7942</v>
      </c>
      <c r="M3921" s="36" t="s">
        <v>7942</v>
      </c>
      <c r="N3921" s="36" t="s">
        <v>34</v>
      </c>
    </row>
    <row r="3922">
      <c r="A3922" s="36" t="s">
        <v>8342</v>
      </c>
      <c r="B3922" s="154" t="s">
        <v>8343</v>
      </c>
      <c r="C3922" s="36" t="s">
        <v>1666</v>
      </c>
      <c r="D3922" s="36" t="s">
        <v>347</v>
      </c>
      <c r="E3922" s="36" t="s">
        <v>347</v>
      </c>
      <c r="F3922" s="154" t="s">
        <v>1853</v>
      </c>
      <c r="G3922" s="36" t="s">
        <v>32</v>
      </c>
      <c r="H3922" s="36" t="s">
        <v>1655</v>
      </c>
      <c r="I3922" s="36" t="s">
        <v>1656</v>
      </c>
      <c r="J3922" s="36" t="s">
        <v>1656</v>
      </c>
      <c r="K3922" s="36" t="s">
        <v>1800</v>
      </c>
      <c r="L3922" s="36" t="s">
        <v>7942</v>
      </c>
      <c r="M3922" s="36" t="s">
        <v>7942</v>
      </c>
      <c r="N3922" s="36" t="s">
        <v>32</v>
      </c>
    </row>
    <row r="3923">
      <c r="A3923" s="36" t="s">
        <v>8344</v>
      </c>
      <c r="B3923" s="154" t="s">
        <v>8343</v>
      </c>
      <c r="C3923" s="36" t="s">
        <v>1666</v>
      </c>
      <c r="D3923" s="36" t="s">
        <v>130</v>
      </c>
      <c r="E3923" s="36" t="s">
        <v>130</v>
      </c>
      <c r="F3923" s="154" t="s">
        <v>1810</v>
      </c>
      <c r="G3923" s="36" t="s">
        <v>32</v>
      </c>
      <c r="H3923" s="36" t="s">
        <v>1655</v>
      </c>
      <c r="I3923" s="36" t="s">
        <v>1656</v>
      </c>
      <c r="J3923" s="36" t="s">
        <v>1656</v>
      </c>
      <c r="K3923" s="36" t="s">
        <v>1803</v>
      </c>
      <c r="L3923" s="36" t="s">
        <v>7942</v>
      </c>
      <c r="M3923" s="36" t="s">
        <v>7942</v>
      </c>
      <c r="N3923" s="36" t="s">
        <v>32</v>
      </c>
    </row>
    <row r="3924">
      <c r="A3924" s="36" t="s">
        <v>8345</v>
      </c>
      <c r="B3924" s="154" t="s">
        <v>8343</v>
      </c>
      <c r="C3924" s="36" t="s">
        <v>1666</v>
      </c>
      <c r="D3924" s="36" t="s">
        <v>235</v>
      </c>
      <c r="E3924" s="36" t="s">
        <v>235</v>
      </c>
      <c r="F3924" s="154" t="s">
        <v>1686</v>
      </c>
      <c r="G3924" s="36" t="s">
        <v>28</v>
      </c>
      <c r="H3924" s="36" t="s">
        <v>1655</v>
      </c>
      <c r="I3924" s="36" t="s">
        <v>1656</v>
      </c>
      <c r="J3924" s="36" t="s">
        <v>1656</v>
      </c>
      <c r="K3924" s="36" t="s">
        <v>1807</v>
      </c>
      <c r="L3924" s="36" t="s">
        <v>7942</v>
      </c>
      <c r="M3924" s="36" t="s">
        <v>7942</v>
      </c>
      <c r="N3924" s="36" t="s">
        <v>32</v>
      </c>
    </row>
    <row r="3925">
      <c r="A3925" s="36" t="s">
        <v>8346</v>
      </c>
      <c r="B3925" s="154" t="s">
        <v>8343</v>
      </c>
      <c r="C3925" s="36" t="s">
        <v>1666</v>
      </c>
      <c r="D3925" s="36" t="s">
        <v>362</v>
      </c>
      <c r="E3925" s="36" t="s">
        <v>362</v>
      </c>
      <c r="F3925" s="154" t="s">
        <v>2029</v>
      </c>
      <c r="G3925" s="36" t="s">
        <v>32</v>
      </c>
      <c r="H3925" s="36" t="s">
        <v>1655</v>
      </c>
      <c r="I3925" s="36" t="s">
        <v>1656</v>
      </c>
      <c r="J3925" s="36" t="s">
        <v>1656</v>
      </c>
      <c r="K3925" s="36" t="s">
        <v>1814</v>
      </c>
      <c r="L3925" s="36" t="s">
        <v>7942</v>
      </c>
      <c r="M3925" s="36" t="s">
        <v>7942</v>
      </c>
      <c r="N3925" s="36" t="s">
        <v>32</v>
      </c>
    </row>
    <row r="3926">
      <c r="A3926" s="36" t="s">
        <v>8347</v>
      </c>
      <c r="B3926" s="154" t="s">
        <v>8348</v>
      </c>
      <c r="C3926" s="36" t="s">
        <v>1666</v>
      </c>
      <c r="D3926" s="36" t="s">
        <v>92</v>
      </c>
      <c r="E3926" s="36" t="s">
        <v>92</v>
      </c>
      <c r="F3926" s="154" t="s">
        <v>1810</v>
      </c>
      <c r="G3926" s="36" t="s">
        <v>32</v>
      </c>
      <c r="H3926" s="36" t="s">
        <v>1655</v>
      </c>
      <c r="I3926" s="36" t="s">
        <v>1656</v>
      </c>
      <c r="J3926" s="36" t="s">
        <v>1656</v>
      </c>
      <c r="K3926" s="36" t="s">
        <v>1817</v>
      </c>
      <c r="L3926" s="36" t="s">
        <v>7942</v>
      </c>
      <c r="M3926" s="36" t="s">
        <v>7942</v>
      </c>
      <c r="N3926" s="36" t="s">
        <v>32</v>
      </c>
    </row>
    <row r="3927">
      <c r="A3927" s="36" t="s">
        <v>8349</v>
      </c>
      <c r="B3927" s="154" t="s">
        <v>8350</v>
      </c>
      <c r="C3927" s="36" t="s">
        <v>1666</v>
      </c>
      <c r="D3927" s="36" t="s">
        <v>79</v>
      </c>
      <c r="E3927" s="36" t="s">
        <v>79</v>
      </c>
      <c r="F3927" s="154" t="s">
        <v>8247</v>
      </c>
      <c r="G3927" s="36" t="s">
        <v>32</v>
      </c>
      <c r="H3927" s="36" t="s">
        <v>1655</v>
      </c>
      <c r="I3927" s="36" t="s">
        <v>1656</v>
      </c>
      <c r="J3927" s="36" t="s">
        <v>1656</v>
      </c>
      <c r="K3927" s="36" t="s">
        <v>1769</v>
      </c>
      <c r="L3927" s="36" t="s">
        <v>7942</v>
      </c>
      <c r="M3927" s="36" t="s">
        <v>7942</v>
      </c>
      <c r="N3927" s="36" t="s">
        <v>32</v>
      </c>
    </row>
    <row r="3928">
      <c r="A3928" s="36" t="s">
        <v>8351</v>
      </c>
      <c r="B3928" s="154" t="s">
        <v>8350</v>
      </c>
      <c r="C3928" s="36" t="s">
        <v>1666</v>
      </c>
      <c r="D3928" s="36" t="s">
        <v>81</v>
      </c>
      <c r="E3928" s="36" t="s">
        <v>81</v>
      </c>
      <c r="F3928" s="154" t="s">
        <v>8052</v>
      </c>
      <c r="G3928" s="36" t="s">
        <v>28</v>
      </c>
      <c r="H3928" s="36" t="s">
        <v>1655</v>
      </c>
      <c r="I3928" s="36" t="s">
        <v>1656</v>
      </c>
      <c r="J3928" s="36" t="s">
        <v>1656</v>
      </c>
      <c r="K3928" s="36" t="s">
        <v>1811</v>
      </c>
      <c r="L3928" s="36" t="s">
        <v>7942</v>
      </c>
      <c r="M3928" s="36" t="s">
        <v>7942</v>
      </c>
      <c r="N3928" s="36" t="s">
        <v>32</v>
      </c>
    </row>
    <row r="3929">
      <c r="A3929" s="36" t="s">
        <v>8352</v>
      </c>
      <c r="B3929" s="154" t="s">
        <v>8350</v>
      </c>
      <c r="C3929" s="36" t="s">
        <v>1666</v>
      </c>
      <c r="D3929" s="36" t="s">
        <v>83</v>
      </c>
      <c r="E3929" s="36" t="s">
        <v>83</v>
      </c>
      <c r="F3929" s="154" t="s">
        <v>8250</v>
      </c>
      <c r="G3929" s="36" t="s">
        <v>28</v>
      </c>
      <c r="H3929" s="36" t="s">
        <v>1655</v>
      </c>
      <c r="I3929" s="36" t="s">
        <v>1656</v>
      </c>
      <c r="J3929" s="36" t="s">
        <v>1656</v>
      </c>
      <c r="K3929" s="36" t="s">
        <v>1891</v>
      </c>
      <c r="L3929" s="36" t="s">
        <v>7942</v>
      </c>
      <c r="M3929" s="36" t="s">
        <v>7942</v>
      </c>
      <c r="N3929" s="36" t="s">
        <v>32</v>
      </c>
    </row>
    <row r="3930">
      <c r="A3930" s="36" t="s">
        <v>8353</v>
      </c>
      <c r="B3930" s="154" t="s">
        <v>8350</v>
      </c>
      <c r="C3930" s="36" t="s">
        <v>1666</v>
      </c>
      <c r="D3930" s="36" t="s">
        <v>84</v>
      </c>
      <c r="E3930" s="36" t="s">
        <v>84</v>
      </c>
      <c r="F3930" s="154" t="s">
        <v>8354</v>
      </c>
      <c r="G3930" s="36" t="s">
        <v>32</v>
      </c>
      <c r="H3930" s="36" t="s">
        <v>1655</v>
      </c>
      <c r="I3930" s="36" t="s">
        <v>1656</v>
      </c>
      <c r="J3930" s="36" t="s">
        <v>1656</v>
      </c>
      <c r="K3930" s="36" t="s">
        <v>1921</v>
      </c>
      <c r="L3930" s="36" t="s">
        <v>7942</v>
      </c>
      <c r="M3930" s="36" t="s">
        <v>7942</v>
      </c>
      <c r="N3930" s="36" t="s">
        <v>32</v>
      </c>
    </row>
    <row r="3931">
      <c r="A3931" s="36" t="s">
        <v>8355</v>
      </c>
      <c r="B3931" s="154" t="s">
        <v>8350</v>
      </c>
      <c r="C3931" s="36" t="s">
        <v>1666</v>
      </c>
      <c r="D3931" s="36" t="s">
        <v>133</v>
      </c>
      <c r="E3931" s="36" t="s">
        <v>133</v>
      </c>
      <c r="F3931" s="154" t="s">
        <v>8270</v>
      </c>
      <c r="G3931" s="36" t="s">
        <v>32</v>
      </c>
      <c r="H3931" s="36" t="s">
        <v>1655</v>
      </c>
      <c r="I3931" s="36" t="s">
        <v>1656</v>
      </c>
      <c r="J3931" s="36" t="s">
        <v>1656</v>
      </c>
      <c r="K3931" s="36" t="s">
        <v>1820</v>
      </c>
      <c r="L3931" s="36" t="s">
        <v>7942</v>
      </c>
      <c r="M3931" s="36" t="s">
        <v>7942</v>
      </c>
      <c r="N3931" s="36" t="s">
        <v>32</v>
      </c>
    </row>
    <row r="3932">
      <c r="A3932" s="36" t="s">
        <v>8356</v>
      </c>
      <c r="B3932" s="154" t="s">
        <v>8357</v>
      </c>
      <c r="C3932" s="36" t="s">
        <v>1653</v>
      </c>
      <c r="D3932" s="36" t="s">
        <v>43</v>
      </c>
      <c r="E3932" s="36" t="s">
        <v>39</v>
      </c>
      <c r="F3932" s="154" t="s">
        <v>8358</v>
      </c>
      <c r="G3932" s="36" t="s">
        <v>32</v>
      </c>
      <c r="H3932" s="36" t="s">
        <v>1655</v>
      </c>
      <c r="I3932" s="36" t="s">
        <v>1656</v>
      </c>
      <c r="J3932" s="36" t="s">
        <v>1656</v>
      </c>
      <c r="K3932" s="36" t="s">
        <v>1657</v>
      </c>
      <c r="L3932" s="36" t="s">
        <v>7934</v>
      </c>
      <c r="M3932" s="36" t="s">
        <v>7934</v>
      </c>
      <c r="N3932" s="36" t="s">
        <v>32</v>
      </c>
    </row>
    <row r="3933">
      <c r="A3933" s="36" t="s">
        <v>8359</v>
      </c>
      <c r="B3933" s="154" t="s">
        <v>8357</v>
      </c>
      <c r="C3933" s="36" t="s">
        <v>1653</v>
      </c>
      <c r="D3933" s="36" t="s">
        <v>163</v>
      </c>
      <c r="E3933" s="36" t="s">
        <v>39</v>
      </c>
      <c r="F3933" s="154" t="s">
        <v>8360</v>
      </c>
      <c r="G3933" s="36" t="s">
        <v>32</v>
      </c>
      <c r="H3933" s="36" t="s">
        <v>1655</v>
      </c>
      <c r="I3933" s="36" t="s">
        <v>1656</v>
      </c>
      <c r="J3933" s="36" t="s">
        <v>1656</v>
      </c>
      <c r="K3933" s="36" t="s">
        <v>1749</v>
      </c>
      <c r="L3933" s="36" t="s">
        <v>7934</v>
      </c>
      <c r="M3933" s="36" t="s">
        <v>7934</v>
      </c>
      <c r="N3933" s="36" t="s">
        <v>32</v>
      </c>
    </row>
    <row r="3934">
      <c r="A3934" s="36" t="s">
        <v>8361</v>
      </c>
      <c r="B3934" s="154" t="s">
        <v>8357</v>
      </c>
      <c r="C3934" s="36" t="s">
        <v>1666</v>
      </c>
      <c r="D3934" s="36" t="s">
        <v>85</v>
      </c>
      <c r="E3934" s="36" t="s">
        <v>85</v>
      </c>
      <c r="F3934" s="154" t="s">
        <v>8362</v>
      </c>
      <c r="G3934" s="36" t="s">
        <v>32</v>
      </c>
      <c r="H3934" s="36" t="s">
        <v>1655</v>
      </c>
      <c r="I3934" s="36" t="s">
        <v>1656</v>
      </c>
      <c r="J3934" s="36" t="s">
        <v>1656</v>
      </c>
      <c r="K3934" s="36" t="s">
        <v>3035</v>
      </c>
      <c r="L3934" s="36" t="s">
        <v>8363</v>
      </c>
      <c r="M3934" s="36" t="s">
        <v>8363</v>
      </c>
      <c r="N3934" s="36" t="s">
        <v>32</v>
      </c>
    </row>
    <row r="3935">
      <c r="A3935" s="36" t="s">
        <v>8364</v>
      </c>
      <c r="B3935" s="154" t="s">
        <v>8365</v>
      </c>
      <c r="C3935" s="36" t="s">
        <v>1666</v>
      </c>
      <c r="D3935" s="36" t="s">
        <v>93</v>
      </c>
      <c r="E3935" s="36" t="s">
        <v>93</v>
      </c>
      <c r="F3935" s="154" t="s">
        <v>1899</v>
      </c>
      <c r="G3935" s="36" t="s">
        <v>28</v>
      </c>
      <c r="H3935" s="36" t="s">
        <v>1655</v>
      </c>
      <c r="I3935" s="36" t="s">
        <v>1656</v>
      </c>
      <c r="J3935" s="36" t="s">
        <v>1656</v>
      </c>
      <c r="K3935" s="36" t="s">
        <v>1924</v>
      </c>
      <c r="L3935" s="36" t="s">
        <v>8363</v>
      </c>
      <c r="M3935" s="36" t="s">
        <v>8363</v>
      </c>
      <c r="N3935" s="36" t="s">
        <v>32</v>
      </c>
    </row>
    <row r="3936">
      <c r="A3936" s="36" t="s">
        <v>8366</v>
      </c>
      <c r="B3936" s="154" t="s">
        <v>8365</v>
      </c>
      <c r="C3936" s="36" t="s">
        <v>1666</v>
      </c>
      <c r="D3936" s="36" t="s">
        <v>197</v>
      </c>
      <c r="E3936" s="36" t="s">
        <v>197</v>
      </c>
      <c r="F3936" s="154" t="s">
        <v>8236</v>
      </c>
      <c r="G3936" s="36" t="s">
        <v>32</v>
      </c>
      <c r="H3936" s="36" t="s">
        <v>1655</v>
      </c>
      <c r="I3936" s="36" t="s">
        <v>1656</v>
      </c>
      <c r="J3936" s="36" t="s">
        <v>1656</v>
      </c>
      <c r="K3936" s="36" t="s">
        <v>1668</v>
      </c>
      <c r="L3936" s="36" t="s">
        <v>8363</v>
      </c>
      <c r="M3936" s="36" t="s">
        <v>8363</v>
      </c>
      <c r="N3936" s="36" t="s">
        <v>32</v>
      </c>
    </row>
    <row r="3937">
      <c r="A3937" s="36" t="s">
        <v>8367</v>
      </c>
      <c r="B3937" s="154" t="s">
        <v>8365</v>
      </c>
      <c r="C3937" s="36" t="s">
        <v>1666</v>
      </c>
      <c r="D3937" s="36" t="s">
        <v>201</v>
      </c>
      <c r="E3937" s="36" t="s">
        <v>201</v>
      </c>
      <c r="F3937" s="154" t="s">
        <v>8368</v>
      </c>
      <c r="G3937" s="36" t="s">
        <v>28</v>
      </c>
      <c r="H3937" s="36" t="s">
        <v>1655</v>
      </c>
      <c r="I3937" s="36" t="s">
        <v>1656</v>
      </c>
      <c r="J3937" s="36" t="s">
        <v>1656</v>
      </c>
      <c r="K3937" s="36" t="s">
        <v>1672</v>
      </c>
      <c r="L3937" s="36" t="s">
        <v>8363</v>
      </c>
      <c r="M3937" s="36" t="s">
        <v>8363</v>
      </c>
      <c r="N3937" s="36" t="s">
        <v>32</v>
      </c>
    </row>
    <row r="3938">
      <c r="A3938" s="36" t="s">
        <v>8369</v>
      </c>
      <c r="B3938" s="154" t="s">
        <v>8365</v>
      </c>
      <c r="C3938" s="36" t="s">
        <v>1666</v>
      </c>
      <c r="D3938" s="36" t="s">
        <v>208</v>
      </c>
      <c r="E3938" s="36" t="s">
        <v>208</v>
      </c>
      <c r="F3938" s="154" t="s">
        <v>1810</v>
      </c>
      <c r="G3938" s="36" t="s">
        <v>28</v>
      </c>
      <c r="H3938" s="36" t="s">
        <v>1655</v>
      </c>
      <c r="I3938" s="36" t="s">
        <v>1656</v>
      </c>
      <c r="J3938" s="36" t="s">
        <v>1656</v>
      </c>
      <c r="K3938" s="36" t="s">
        <v>1675</v>
      </c>
      <c r="L3938" s="36" t="s">
        <v>8363</v>
      </c>
      <c r="M3938" s="36" t="s">
        <v>8363</v>
      </c>
      <c r="N3938" s="36" t="s">
        <v>34</v>
      </c>
    </row>
    <row r="3939">
      <c r="A3939" s="36" t="s">
        <v>8370</v>
      </c>
      <c r="B3939" s="154" t="s">
        <v>8365</v>
      </c>
      <c r="C3939" s="36" t="s">
        <v>1666</v>
      </c>
      <c r="D3939" s="36" t="s">
        <v>207</v>
      </c>
      <c r="E3939" s="36" t="s">
        <v>207</v>
      </c>
      <c r="F3939" s="154" t="s">
        <v>2555</v>
      </c>
      <c r="G3939" s="36" t="s">
        <v>28</v>
      </c>
      <c r="H3939" s="36" t="s">
        <v>1655</v>
      </c>
      <c r="I3939" s="36" t="s">
        <v>1656</v>
      </c>
      <c r="J3939" s="36" t="s">
        <v>1656</v>
      </c>
      <c r="K3939" s="36" t="s">
        <v>1678</v>
      </c>
      <c r="L3939" s="36" t="s">
        <v>8363</v>
      </c>
      <c r="M3939" s="36" t="s">
        <v>8363</v>
      </c>
      <c r="N3939" s="36" t="s">
        <v>34</v>
      </c>
    </row>
    <row r="3940">
      <c r="A3940" s="36" t="s">
        <v>8371</v>
      </c>
      <c r="B3940" s="154" t="s">
        <v>8372</v>
      </c>
      <c r="C3940" s="36" t="s">
        <v>1666</v>
      </c>
      <c r="D3940" s="36" t="s">
        <v>78</v>
      </c>
      <c r="E3940" s="36" t="s">
        <v>78</v>
      </c>
      <c r="F3940" s="154" t="s">
        <v>1899</v>
      </c>
      <c r="G3940" s="36" t="s">
        <v>28</v>
      </c>
      <c r="H3940" s="36" t="s">
        <v>1655</v>
      </c>
      <c r="I3940" s="36" t="s">
        <v>1656</v>
      </c>
      <c r="J3940" s="36" t="s">
        <v>1656</v>
      </c>
      <c r="K3940" s="36" t="s">
        <v>4248</v>
      </c>
      <c r="L3940" s="36" t="s">
        <v>8363</v>
      </c>
      <c r="M3940" s="36" t="s">
        <v>8363</v>
      </c>
      <c r="N3940" s="36" t="s">
        <v>32</v>
      </c>
    </row>
    <row r="3941">
      <c r="A3941" s="36" t="s">
        <v>8373</v>
      </c>
      <c r="B3941" s="154" t="s">
        <v>8374</v>
      </c>
      <c r="C3941" s="36" t="s">
        <v>1666</v>
      </c>
      <c r="D3941" s="36" t="s">
        <v>63</v>
      </c>
      <c r="E3941" s="36" t="s">
        <v>63</v>
      </c>
      <c r="F3941" s="154" t="s">
        <v>8375</v>
      </c>
      <c r="G3941" s="36" t="s">
        <v>32</v>
      </c>
      <c r="H3941" s="36" t="s">
        <v>1655</v>
      </c>
      <c r="I3941" s="36" t="s">
        <v>1656</v>
      </c>
      <c r="J3941" s="36" t="s">
        <v>1656</v>
      </c>
      <c r="K3941" s="36" t="s">
        <v>4196</v>
      </c>
      <c r="L3941" s="36" t="s">
        <v>8363</v>
      </c>
      <c r="M3941" s="36" t="s">
        <v>8363</v>
      </c>
      <c r="N3941" s="36" t="s">
        <v>34</v>
      </c>
    </row>
    <row r="3942">
      <c r="A3942" s="36" t="s">
        <v>8376</v>
      </c>
      <c r="B3942" s="154" t="s">
        <v>8374</v>
      </c>
      <c r="C3942" s="36" t="s">
        <v>1666</v>
      </c>
      <c r="D3942" s="36" t="s">
        <v>109</v>
      </c>
      <c r="E3942" s="36" t="s">
        <v>109</v>
      </c>
      <c r="F3942" s="154" t="s">
        <v>5958</v>
      </c>
      <c r="G3942" s="36" t="s">
        <v>28</v>
      </c>
      <c r="H3942" s="36" t="s">
        <v>1655</v>
      </c>
      <c r="I3942" s="36" t="s">
        <v>1656</v>
      </c>
      <c r="J3942" s="36" t="s">
        <v>1656</v>
      </c>
      <c r="K3942" s="36" t="s">
        <v>1681</v>
      </c>
      <c r="L3942" s="36" t="s">
        <v>8363</v>
      </c>
      <c r="M3942" s="36" t="s">
        <v>8363</v>
      </c>
      <c r="N3942" s="36" t="s">
        <v>34</v>
      </c>
    </row>
    <row r="3943">
      <c r="A3943" s="36" t="s">
        <v>8377</v>
      </c>
      <c r="B3943" s="154" t="s">
        <v>8378</v>
      </c>
      <c r="C3943" s="36" t="s">
        <v>1666</v>
      </c>
      <c r="D3943" s="36" t="s">
        <v>64</v>
      </c>
      <c r="E3943" s="36" t="s">
        <v>64</v>
      </c>
      <c r="F3943" s="154" t="s">
        <v>7958</v>
      </c>
      <c r="G3943" s="36" t="s">
        <v>28</v>
      </c>
      <c r="H3943" s="36" t="s">
        <v>1655</v>
      </c>
      <c r="I3943" s="36" t="s">
        <v>1656</v>
      </c>
      <c r="J3943" s="36" t="s">
        <v>1656</v>
      </c>
      <c r="K3943" s="36" t="s">
        <v>1708</v>
      </c>
      <c r="L3943" s="36" t="s">
        <v>8363</v>
      </c>
      <c r="M3943" s="36" t="s">
        <v>8363</v>
      </c>
      <c r="N3943" s="36" t="s">
        <v>32</v>
      </c>
    </row>
    <row r="3944">
      <c r="A3944" s="36" t="s">
        <v>8379</v>
      </c>
      <c r="B3944" s="154" t="s">
        <v>8378</v>
      </c>
      <c r="C3944" s="36" t="s">
        <v>1666</v>
      </c>
      <c r="D3944" s="36" t="s">
        <v>191</v>
      </c>
      <c r="E3944" s="36" t="s">
        <v>191</v>
      </c>
      <c r="F3944" s="154" t="s">
        <v>1816</v>
      </c>
      <c r="G3944" s="36" t="s">
        <v>28</v>
      </c>
      <c r="H3944" s="36" t="s">
        <v>1655</v>
      </c>
      <c r="I3944" s="36" t="s">
        <v>1656</v>
      </c>
      <c r="J3944" s="36" t="s">
        <v>1656</v>
      </c>
      <c r="K3944" s="36" t="s">
        <v>1684</v>
      </c>
      <c r="L3944" s="36" t="s">
        <v>8363</v>
      </c>
      <c r="M3944" s="36" t="s">
        <v>8363</v>
      </c>
      <c r="N3944" s="36" t="s">
        <v>32</v>
      </c>
    </row>
    <row r="3945">
      <c r="A3945" s="36" t="s">
        <v>8380</v>
      </c>
      <c r="B3945" s="154" t="s">
        <v>8381</v>
      </c>
      <c r="C3945" s="36" t="s">
        <v>1653</v>
      </c>
      <c r="D3945" s="36" t="s">
        <v>172</v>
      </c>
      <c r="E3945" s="36" t="s">
        <v>39</v>
      </c>
      <c r="F3945" s="154" t="s">
        <v>8382</v>
      </c>
      <c r="G3945" s="36" t="s">
        <v>32</v>
      </c>
      <c r="H3945" s="36" t="s">
        <v>1655</v>
      </c>
      <c r="I3945" s="36" t="s">
        <v>1656</v>
      </c>
      <c r="J3945" s="36" t="s">
        <v>1656</v>
      </c>
      <c r="K3945" s="36" t="s">
        <v>1978</v>
      </c>
      <c r="L3945" s="36" t="s">
        <v>7934</v>
      </c>
      <c r="M3945" s="36" t="s">
        <v>7934</v>
      </c>
      <c r="N3945" s="36" t="s">
        <v>32</v>
      </c>
    </row>
    <row r="3946">
      <c r="A3946" s="36" t="s">
        <v>8383</v>
      </c>
      <c r="B3946" s="154" t="s">
        <v>8381</v>
      </c>
      <c r="C3946" s="36" t="s">
        <v>1666</v>
      </c>
      <c r="D3946" s="36" t="s">
        <v>204</v>
      </c>
      <c r="E3946" s="36" t="s">
        <v>204</v>
      </c>
      <c r="F3946" s="154" t="s">
        <v>4338</v>
      </c>
      <c r="G3946" s="36" t="s">
        <v>32</v>
      </c>
      <c r="H3946" s="36" t="s">
        <v>1655</v>
      </c>
      <c r="I3946" s="36" t="s">
        <v>1656</v>
      </c>
      <c r="J3946" s="36" t="s">
        <v>1656</v>
      </c>
      <c r="K3946" s="36" t="s">
        <v>1691</v>
      </c>
      <c r="L3946" s="36" t="s">
        <v>8363</v>
      </c>
      <c r="M3946" s="36" t="s">
        <v>8363</v>
      </c>
      <c r="N3946" s="36" t="s">
        <v>32</v>
      </c>
    </row>
    <row r="3947">
      <c r="A3947" s="36" t="s">
        <v>8384</v>
      </c>
      <c r="B3947" s="154" t="s">
        <v>8381</v>
      </c>
      <c r="C3947" s="36" t="s">
        <v>1666</v>
      </c>
      <c r="D3947" s="36" t="s">
        <v>242</v>
      </c>
      <c r="E3947" s="36" t="s">
        <v>242</v>
      </c>
      <c r="F3947" s="154" t="s">
        <v>7888</v>
      </c>
      <c r="G3947" s="36" t="s">
        <v>32</v>
      </c>
      <c r="H3947" s="36" t="s">
        <v>1655</v>
      </c>
      <c r="I3947" s="36" t="s">
        <v>1656</v>
      </c>
      <c r="J3947" s="36" t="s">
        <v>1656</v>
      </c>
      <c r="K3947" s="36" t="s">
        <v>1695</v>
      </c>
      <c r="L3947" s="36" t="s">
        <v>8363</v>
      </c>
      <c r="M3947" s="36" t="s">
        <v>8363</v>
      </c>
      <c r="N3947" s="36" t="s">
        <v>32</v>
      </c>
    </row>
    <row r="3948">
      <c r="A3948" s="36" t="s">
        <v>8385</v>
      </c>
      <c r="B3948" s="154" t="s">
        <v>8386</v>
      </c>
      <c r="C3948" s="36" t="s">
        <v>1666</v>
      </c>
      <c r="D3948" s="36" t="s">
        <v>66</v>
      </c>
      <c r="E3948" s="36" t="s">
        <v>66</v>
      </c>
      <c r="F3948" s="154" t="s">
        <v>6842</v>
      </c>
      <c r="G3948" s="36" t="s">
        <v>28</v>
      </c>
      <c r="H3948" s="36" t="s">
        <v>1655</v>
      </c>
      <c r="I3948" s="36" t="s">
        <v>1656</v>
      </c>
      <c r="J3948" s="36" t="s">
        <v>1656</v>
      </c>
      <c r="K3948" s="36" t="s">
        <v>1721</v>
      </c>
      <c r="L3948" s="36" t="s">
        <v>8363</v>
      </c>
      <c r="M3948" s="36" t="s">
        <v>8363</v>
      </c>
      <c r="N3948" s="36" t="s">
        <v>32</v>
      </c>
    </row>
    <row r="3949">
      <c r="A3949" s="36" t="s">
        <v>8387</v>
      </c>
      <c r="B3949" s="154" t="s">
        <v>8386</v>
      </c>
      <c r="C3949" s="36" t="s">
        <v>1666</v>
      </c>
      <c r="D3949" s="36" t="s">
        <v>90</v>
      </c>
      <c r="E3949" s="36" t="s">
        <v>90</v>
      </c>
      <c r="F3949" s="154" t="s">
        <v>1810</v>
      </c>
      <c r="G3949" s="36" t="s">
        <v>28</v>
      </c>
      <c r="H3949" s="36" t="s">
        <v>1655</v>
      </c>
      <c r="I3949" s="36" t="s">
        <v>1656</v>
      </c>
      <c r="J3949" s="36" t="s">
        <v>1656</v>
      </c>
      <c r="K3949" s="36" t="s">
        <v>1698</v>
      </c>
      <c r="L3949" s="36" t="s">
        <v>8363</v>
      </c>
      <c r="M3949" s="36" t="s">
        <v>8363</v>
      </c>
      <c r="N3949" s="36" t="s">
        <v>34</v>
      </c>
    </row>
    <row r="3950">
      <c r="A3950" s="36" t="s">
        <v>8388</v>
      </c>
      <c r="B3950" s="154" t="s">
        <v>8389</v>
      </c>
      <c r="C3950" s="36" t="s">
        <v>1666</v>
      </c>
      <c r="D3950" s="36" t="s">
        <v>253</v>
      </c>
      <c r="E3950" s="36" t="s">
        <v>253</v>
      </c>
      <c r="F3950" s="154" t="s">
        <v>1966</v>
      </c>
      <c r="G3950" s="36" t="s">
        <v>32</v>
      </c>
      <c r="H3950" s="36" t="s">
        <v>1655</v>
      </c>
      <c r="I3950" s="36" t="s">
        <v>1656</v>
      </c>
      <c r="J3950" s="36" t="s">
        <v>1656</v>
      </c>
      <c r="K3950" s="36" t="s">
        <v>1701</v>
      </c>
      <c r="L3950" s="36" t="s">
        <v>8363</v>
      </c>
      <c r="M3950" s="36" t="s">
        <v>8363</v>
      </c>
      <c r="N3950" s="36" t="s">
        <v>32</v>
      </c>
    </row>
    <row r="3951">
      <c r="A3951" s="36" t="s">
        <v>8390</v>
      </c>
      <c r="B3951" s="154" t="s">
        <v>8391</v>
      </c>
      <c r="C3951" s="36" t="s">
        <v>1653</v>
      </c>
      <c r="D3951" s="36" t="s">
        <v>55</v>
      </c>
      <c r="E3951" s="36" t="s">
        <v>39</v>
      </c>
      <c r="F3951" s="154" t="s">
        <v>8392</v>
      </c>
      <c r="G3951" s="36" t="s">
        <v>32</v>
      </c>
      <c r="H3951" s="36" t="s">
        <v>1655</v>
      </c>
      <c r="I3951" s="36" t="s">
        <v>1656</v>
      </c>
      <c r="J3951" s="36" t="s">
        <v>1656</v>
      </c>
      <c r="K3951" s="36" t="s">
        <v>1989</v>
      </c>
      <c r="L3951" s="36" t="s">
        <v>7934</v>
      </c>
      <c r="M3951" s="36" t="s">
        <v>7934</v>
      </c>
      <c r="N3951" s="36" t="s">
        <v>32</v>
      </c>
    </row>
    <row r="3952">
      <c r="A3952" s="36" t="s">
        <v>8393</v>
      </c>
      <c r="B3952" s="154" t="s">
        <v>8391</v>
      </c>
      <c r="C3952" s="36" t="s">
        <v>1666</v>
      </c>
      <c r="D3952" s="36" t="s">
        <v>71</v>
      </c>
      <c r="E3952" s="36" t="s">
        <v>71</v>
      </c>
      <c r="F3952" s="154" t="s">
        <v>8091</v>
      </c>
      <c r="G3952" s="36" t="s">
        <v>32</v>
      </c>
      <c r="H3952" s="36" t="s">
        <v>1655</v>
      </c>
      <c r="I3952" s="36" t="s">
        <v>1656</v>
      </c>
      <c r="J3952" s="36" t="s">
        <v>1656</v>
      </c>
      <c r="K3952" s="36" t="s">
        <v>1752</v>
      </c>
      <c r="L3952" s="36" t="s">
        <v>8363</v>
      </c>
      <c r="M3952" s="36" t="s">
        <v>8363</v>
      </c>
      <c r="N3952" s="36" t="s">
        <v>32</v>
      </c>
    </row>
    <row r="3953">
      <c r="A3953" s="36" t="s">
        <v>8394</v>
      </c>
      <c r="B3953" s="154" t="s">
        <v>8391</v>
      </c>
      <c r="C3953" s="36" t="s">
        <v>1666</v>
      </c>
      <c r="D3953" s="36" t="s">
        <v>73</v>
      </c>
      <c r="E3953" s="36" t="s">
        <v>73</v>
      </c>
      <c r="F3953" s="154" t="s">
        <v>8093</v>
      </c>
      <c r="G3953" s="36" t="s">
        <v>28</v>
      </c>
      <c r="H3953" s="36" t="s">
        <v>1655</v>
      </c>
      <c r="I3953" s="36" t="s">
        <v>1656</v>
      </c>
      <c r="J3953" s="36" t="s">
        <v>1656</v>
      </c>
      <c r="K3953" s="36" t="s">
        <v>1755</v>
      </c>
      <c r="L3953" s="36" t="s">
        <v>8363</v>
      </c>
      <c r="M3953" s="36" t="s">
        <v>8363</v>
      </c>
      <c r="N3953" s="36" t="s">
        <v>32</v>
      </c>
    </row>
    <row r="3954">
      <c r="A3954" s="36" t="s">
        <v>8395</v>
      </c>
      <c r="B3954" s="154" t="s">
        <v>8391</v>
      </c>
      <c r="C3954" s="36" t="s">
        <v>1666</v>
      </c>
      <c r="D3954" s="36" t="s">
        <v>74</v>
      </c>
      <c r="E3954" s="36" t="s">
        <v>74</v>
      </c>
      <c r="F3954" s="154" t="s">
        <v>8095</v>
      </c>
      <c r="G3954" s="36" t="s">
        <v>32</v>
      </c>
      <c r="H3954" s="36" t="s">
        <v>1655</v>
      </c>
      <c r="I3954" s="36" t="s">
        <v>1656</v>
      </c>
      <c r="J3954" s="36" t="s">
        <v>1656</v>
      </c>
      <c r="K3954" s="36" t="s">
        <v>1757</v>
      </c>
      <c r="L3954" s="36" t="s">
        <v>8363</v>
      </c>
      <c r="M3954" s="36" t="s">
        <v>8363</v>
      </c>
      <c r="N3954" s="36" t="s">
        <v>32</v>
      </c>
    </row>
    <row r="3955">
      <c r="A3955" s="36" t="s">
        <v>8396</v>
      </c>
      <c r="B3955" s="154" t="s">
        <v>8391</v>
      </c>
      <c r="C3955" s="36" t="s">
        <v>1666</v>
      </c>
      <c r="D3955" s="36" t="s">
        <v>75</v>
      </c>
      <c r="E3955" s="36" t="s">
        <v>75</v>
      </c>
      <c r="F3955" s="154" t="s">
        <v>8097</v>
      </c>
      <c r="G3955" s="36" t="s">
        <v>28</v>
      </c>
      <c r="H3955" s="36" t="s">
        <v>1655</v>
      </c>
      <c r="I3955" s="36" t="s">
        <v>1656</v>
      </c>
      <c r="J3955" s="36" t="s">
        <v>1656</v>
      </c>
      <c r="K3955" s="36" t="s">
        <v>1760</v>
      </c>
      <c r="L3955" s="36" t="s">
        <v>8363</v>
      </c>
      <c r="M3955" s="36" t="s">
        <v>8363</v>
      </c>
      <c r="N3955" s="36" t="s">
        <v>32</v>
      </c>
    </row>
    <row r="3956">
      <c r="A3956" s="36" t="s">
        <v>8397</v>
      </c>
      <c r="B3956" s="154" t="s">
        <v>8391</v>
      </c>
      <c r="C3956" s="36" t="s">
        <v>1666</v>
      </c>
      <c r="D3956" s="36" t="s">
        <v>76</v>
      </c>
      <c r="E3956" s="36" t="s">
        <v>76</v>
      </c>
      <c r="F3956" s="154" t="s">
        <v>8398</v>
      </c>
      <c r="G3956" s="36" t="s">
        <v>28</v>
      </c>
      <c r="H3956" s="36" t="s">
        <v>1655</v>
      </c>
      <c r="I3956" s="36" t="s">
        <v>1656</v>
      </c>
      <c r="J3956" s="36" t="s">
        <v>1656</v>
      </c>
      <c r="K3956" s="36" t="s">
        <v>1763</v>
      </c>
      <c r="L3956" s="36" t="s">
        <v>8363</v>
      </c>
      <c r="M3956" s="36" t="s">
        <v>8363</v>
      </c>
      <c r="N3956" s="36" t="s">
        <v>32</v>
      </c>
    </row>
    <row r="3957">
      <c r="A3957" s="36" t="s">
        <v>8399</v>
      </c>
      <c r="B3957" s="154" t="s">
        <v>8400</v>
      </c>
      <c r="C3957" s="36" t="s">
        <v>1666</v>
      </c>
      <c r="D3957" s="36" t="s">
        <v>100</v>
      </c>
      <c r="E3957" s="36" t="s">
        <v>100</v>
      </c>
      <c r="F3957" s="154" t="s">
        <v>1816</v>
      </c>
      <c r="G3957" s="36" t="s">
        <v>32</v>
      </c>
      <c r="H3957" s="36" t="s">
        <v>1655</v>
      </c>
      <c r="I3957" s="36" t="s">
        <v>1656</v>
      </c>
      <c r="J3957" s="36" t="s">
        <v>1656</v>
      </c>
      <c r="K3957" s="36" t="s">
        <v>1704</v>
      </c>
      <c r="L3957" s="36" t="s">
        <v>8363</v>
      </c>
      <c r="M3957" s="36" t="s">
        <v>8363</v>
      </c>
      <c r="N3957" s="36" t="s">
        <v>32</v>
      </c>
    </row>
    <row r="3958">
      <c r="A3958" s="36" t="s">
        <v>8401</v>
      </c>
      <c r="B3958" s="154" t="s">
        <v>8402</v>
      </c>
      <c r="C3958" s="36" t="s">
        <v>1666</v>
      </c>
      <c r="D3958" s="36" t="s">
        <v>235</v>
      </c>
      <c r="E3958" s="36" t="s">
        <v>235</v>
      </c>
      <c r="F3958" s="154" t="s">
        <v>2049</v>
      </c>
      <c r="G3958" s="36" t="s">
        <v>28</v>
      </c>
      <c r="H3958" s="36" t="s">
        <v>1655</v>
      </c>
      <c r="I3958" s="36" t="s">
        <v>1656</v>
      </c>
      <c r="J3958" s="36" t="s">
        <v>1656</v>
      </c>
      <c r="K3958" s="36" t="s">
        <v>1711</v>
      </c>
      <c r="L3958" s="36" t="s">
        <v>8363</v>
      </c>
      <c r="M3958" s="36" t="s">
        <v>8363</v>
      </c>
      <c r="N3958" s="36" t="s">
        <v>32</v>
      </c>
    </row>
    <row r="3959">
      <c r="A3959" s="36" t="s">
        <v>8403</v>
      </c>
      <c r="B3959" s="154" t="s">
        <v>8402</v>
      </c>
      <c r="C3959" s="36" t="s">
        <v>1666</v>
      </c>
      <c r="D3959" s="36" t="s">
        <v>220</v>
      </c>
      <c r="E3959" s="36" t="s">
        <v>220</v>
      </c>
      <c r="F3959" s="154" t="s">
        <v>8404</v>
      </c>
      <c r="G3959" s="36" t="s">
        <v>28</v>
      </c>
      <c r="H3959" s="36" t="s">
        <v>1655</v>
      </c>
      <c r="I3959" s="36" t="s">
        <v>1656</v>
      </c>
      <c r="J3959" s="36" t="s">
        <v>1656</v>
      </c>
      <c r="K3959" s="36" t="s">
        <v>1715</v>
      </c>
      <c r="L3959" s="36" t="s">
        <v>8363</v>
      </c>
      <c r="M3959" s="36" t="s">
        <v>8363</v>
      </c>
      <c r="N3959" s="36" t="s">
        <v>32</v>
      </c>
    </row>
    <row r="3960">
      <c r="A3960" s="36" t="s">
        <v>8405</v>
      </c>
      <c r="B3960" s="154" t="s">
        <v>8402</v>
      </c>
      <c r="C3960" s="36" t="s">
        <v>1666</v>
      </c>
      <c r="D3960" s="36" t="s">
        <v>272</v>
      </c>
      <c r="E3960" s="36" t="s">
        <v>272</v>
      </c>
      <c r="F3960" s="154" t="s">
        <v>8321</v>
      </c>
      <c r="G3960" s="36" t="s">
        <v>28</v>
      </c>
      <c r="H3960" s="36" t="s">
        <v>1655</v>
      </c>
      <c r="I3960" s="36" t="s">
        <v>1656</v>
      </c>
      <c r="J3960" s="36" t="s">
        <v>1656</v>
      </c>
      <c r="K3960" s="36" t="s">
        <v>1717</v>
      </c>
      <c r="L3960" s="36" t="s">
        <v>8363</v>
      </c>
      <c r="M3960" s="36" t="s">
        <v>8363</v>
      </c>
      <c r="N3960" s="36" t="s">
        <v>32</v>
      </c>
    </row>
    <row r="3961">
      <c r="A3961" s="36" t="s">
        <v>8406</v>
      </c>
      <c r="B3961" s="154" t="s">
        <v>8402</v>
      </c>
      <c r="C3961" s="36" t="s">
        <v>1666</v>
      </c>
      <c r="D3961" s="36" t="s">
        <v>115</v>
      </c>
      <c r="E3961" s="36" t="s">
        <v>115</v>
      </c>
      <c r="F3961" s="154" t="s">
        <v>1683</v>
      </c>
      <c r="G3961" s="36" t="s">
        <v>32</v>
      </c>
      <c r="H3961" s="36" t="s">
        <v>1655</v>
      </c>
      <c r="I3961" s="36" t="s">
        <v>1656</v>
      </c>
      <c r="J3961" s="36" t="s">
        <v>1656</v>
      </c>
      <c r="K3961" s="36" t="s">
        <v>1724</v>
      </c>
      <c r="L3961" s="36" t="s">
        <v>8363</v>
      </c>
      <c r="M3961" s="36" t="s">
        <v>8363</v>
      </c>
      <c r="N3961" s="36" t="s">
        <v>32</v>
      </c>
    </row>
    <row r="3962">
      <c r="A3962" s="36" t="s">
        <v>8407</v>
      </c>
      <c r="B3962" s="154" t="s">
        <v>8402</v>
      </c>
      <c r="C3962" s="36" t="s">
        <v>1666</v>
      </c>
      <c r="D3962" s="36" t="s">
        <v>114</v>
      </c>
      <c r="E3962" s="36" t="s">
        <v>114</v>
      </c>
      <c r="F3962" s="154" t="s">
        <v>1683</v>
      </c>
      <c r="G3962" s="36" t="s">
        <v>32</v>
      </c>
      <c r="H3962" s="36" t="s">
        <v>1655</v>
      </c>
      <c r="I3962" s="36" t="s">
        <v>1656</v>
      </c>
      <c r="J3962" s="36" t="s">
        <v>1656</v>
      </c>
      <c r="K3962" s="36" t="s">
        <v>1727</v>
      </c>
      <c r="L3962" s="36" t="s">
        <v>8363</v>
      </c>
      <c r="M3962" s="36" t="s">
        <v>8363</v>
      </c>
      <c r="N3962" s="36" t="s">
        <v>32</v>
      </c>
    </row>
    <row r="3963">
      <c r="A3963" s="36" t="s">
        <v>8408</v>
      </c>
      <c r="B3963" s="154" t="s">
        <v>8402</v>
      </c>
      <c r="C3963" s="36" t="s">
        <v>1666</v>
      </c>
      <c r="D3963" s="36" t="s">
        <v>226</v>
      </c>
      <c r="E3963" s="36" t="s">
        <v>226</v>
      </c>
      <c r="F3963" s="154" t="s">
        <v>8409</v>
      </c>
      <c r="G3963" s="36" t="s">
        <v>32</v>
      </c>
      <c r="H3963" s="36" t="s">
        <v>1655</v>
      </c>
      <c r="I3963" s="36" t="s">
        <v>1656</v>
      </c>
      <c r="J3963" s="36" t="s">
        <v>1656</v>
      </c>
      <c r="K3963" s="36" t="s">
        <v>1730</v>
      </c>
      <c r="L3963" s="36" t="s">
        <v>8363</v>
      </c>
      <c r="M3963" s="36" t="s">
        <v>8363</v>
      </c>
      <c r="N3963" s="36" t="s">
        <v>32</v>
      </c>
    </row>
    <row r="3964">
      <c r="A3964" s="36" t="s">
        <v>8410</v>
      </c>
      <c r="B3964" s="154" t="s">
        <v>8411</v>
      </c>
      <c r="C3964" s="36" t="s">
        <v>1666</v>
      </c>
      <c r="D3964" s="36" t="s">
        <v>235</v>
      </c>
      <c r="E3964" s="36" t="s">
        <v>235</v>
      </c>
      <c r="F3964" s="154" t="s">
        <v>2156</v>
      </c>
      <c r="G3964" s="36" t="s">
        <v>28</v>
      </c>
      <c r="H3964" s="36" t="s">
        <v>1655</v>
      </c>
      <c r="I3964" s="36" t="s">
        <v>1656</v>
      </c>
      <c r="J3964" s="36" t="s">
        <v>1656</v>
      </c>
      <c r="K3964" s="36" t="s">
        <v>1732</v>
      </c>
      <c r="L3964" s="36" t="s">
        <v>8363</v>
      </c>
      <c r="M3964" s="36" t="s">
        <v>8363</v>
      </c>
      <c r="N3964" s="36" t="s">
        <v>32</v>
      </c>
    </row>
    <row r="3965">
      <c r="A3965" s="36" t="s">
        <v>8412</v>
      </c>
      <c r="B3965" s="154" t="s">
        <v>8413</v>
      </c>
      <c r="C3965" s="36" t="s">
        <v>1666</v>
      </c>
      <c r="D3965" s="36" t="s">
        <v>293</v>
      </c>
      <c r="E3965" s="36" t="s">
        <v>293</v>
      </c>
      <c r="F3965" s="154" t="s">
        <v>7657</v>
      </c>
      <c r="G3965" s="36" t="s">
        <v>28</v>
      </c>
      <c r="H3965" s="36" t="s">
        <v>1655</v>
      </c>
      <c r="I3965" s="36" t="s">
        <v>1656</v>
      </c>
      <c r="J3965" s="36" t="s">
        <v>1656</v>
      </c>
      <c r="K3965" s="36" t="s">
        <v>1736</v>
      </c>
      <c r="L3965" s="36" t="s">
        <v>8363</v>
      </c>
      <c r="M3965" s="36" t="s">
        <v>8363</v>
      </c>
      <c r="N3965" s="36" t="s">
        <v>32</v>
      </c>
    </row>
    <row r="3966">
      <c r="A3966" s="36" t="s">
        <v>8414</v>
      </c>
      <c r="B3966" s="154" t="s">
        <v>8415</v>
      </c>
      <c r="C3966" s="36" t="s">
        <v>1666</v>
      </c>
      <c r="D3966" s="36" t="s">
        <v>124</v>
      </c>
      <c r="E3966" s="36" t="s">
        <v>124</v>
      </c>
      <c r="F3966" s="154" t="s">
        <v>8416</v>
      </c>
      <c r="G3966" s="36" t="s">
        <v>32</v>
      </c>
      <c r="H3966" s="36" t="s">
        <v>1655</v>
      </c>
      <c r="I3966" s="36" t="s">
        <v>1656</v>
      </c>
      <c r="J3966" s="36" t="s">
        <v>1656</v>
      </c>
      <c r="K3966" s="36" t="s">
        <v>1739</v>
      </c>
      <c r="L3966" s="36" t="s">
        <v>8363</v>
      </c>
      <c r="M3966" s="36" t="s">
        <v>8363</v>
      </c>
      <c r="N3966" s="36" t="s">
        <v>32</v>
      </c>
    </row>
    <row r="3967">
      <c r="A3967" s="36" t="s">
        <v>8417</v>
      </c>
      <c r="B3967" s="154" t="s">
        <v>8418</v>
      </c>
      <c r="C3967" s="36" t="s">
        <v>1666</v>
      </c>
      <c r="D3967" s="36" t="s">
        <v>218</v>
      </c>
      <c r="E3967" s="36" t="s">
        <v>218</v>
      </c>
      <c r="F3967" s="154" t="s">
        <v>2039</v>
      </c>
      <c r="G3967" s="36" t="s">
        <v>32</v>
      </c>
      <c r="H3967" s="36" t="s">
        <v>1655</v>
      </c>
      <c r="I3967" s="36" t="s">
        <v>1656</v>
      </c>
      <c r="J3967" s="36" t="s">
        <v>1656</v>
      </c>
      <c r="K3967" s="36" t="s">
        <v>1742</v>
      </c>
      <c r="L3967" s="36" t="s">
        <v>8363</v>
      </c>
      <c r="M3967" s="36" t="s">
        <v>8363</v>
      </c>
      <c r="N3967" s="36" t="s">
        <v>32</v>
      </c>
    </row>
    <row r="3968">
      <c r="A3968" s="36" t="s">
        <v>8419</v>
      </c>
      <c r="B3968" s="154" t="s">
        <v>8418</v>
      </c>
      <c r="C3968" s="36" t="s">
        <v>1666</v>
      </c>
      <c r="D3968" s="36" t="s">
        <v>92</v>
      </c>
      <c r="E3968" s="36" t="s">
        <v>92</v>
      </c>
      <c r="F3968" s="154" t="s">
        <v>1810</v>
      </c>
      <c r="G3968" s="36" t="s">
        <v>28</v>
      </c>
      <c r="H3968" s="36" t="s">
        <v>1655</v>
      </c>
      <c r="I3968" s="36" t="s">
        <v>1656</v>
      </c>
      <c r="J3968" s="36" t="s">
        <v>1656</v>
      </c>
      <c r="K3968" s="36" t="s">
        <v>1745</v>
      </c>
      <c r="L3968" s="36" t="s">
        <v>8363</v>
      </c>
      <c r="M3968" s="36" t="s">
        <v>8363</v>
      </c>
      <c r="N3968" s="36" t="s">
        <v>32</v>
      </c>
    </row>
    <row r="3969">
      <c r="A3969" s="36" t="s">
        <v>8420</v>
      </c>
      <c r="B3969" s="154" t="s">
        <v>8421</v>
      </c>
      <c r="C3969" s="36" t="s">
        <v>1666</v>
      </c>
      <c r="D3969" s="36" t="s">
        <v>311</v>
      </c>
      <c r="E3969" s="36" t="s">
        <v>311</v>
      </c>
      <c r="F3969" s="154" t="s">
        <v>1810</v>
      </c>
      <c r="G3969" s="36" t="s">
        <v>32</v>
      </c>
      <c r="H3969" s="36" t="s">
        <v>1655</v>
      </c>
      <c r="I3969" s="36" t="s">
        <v>1656</v>
      </c>
      <c r="J3969" s="36" t="s">
        <v>1656</v>
      </c>
      <c r="K3969" s="36" t="s">
        <v>1773</v>
      </c>
      <c r="L3969" s="36" t="s">
        <v>8363</v>
      </c>
      <c r="M3969" s="36" t="s">
        <v>8363</v>
      </c>
      <c r="N3969" s="36" t="s">
        <v>32</v>
      </c>
    </row>
    <row r="3970">
      <c r="A3970" s="36" t="s">
        <v>8422</v>
      </c>
      <c r="B3970" s="154" t="s">
        <v>8423</v>
      </c>
      <c r="C3970" s="36" t="s">
        <v>1666</v>
      </c>
      <c r="D3970" s="36" t="s">
        <v>318</v>
      </c>
      <c r="E3970" s="36" t="s">
        <v>318</v>
      </c>
      <c r="F3970" s="154" t="s">
        <v>1806</v>
      </c>
      <c r="G3970" s="36" t="s">
        <v>32</v>
      </c>
      <c r="H3970" s="36" t="s">
        <v>1655</v>
      </c>
      <c r="I3970" s="36" t="s">
        <v>1656</v>
      </c>
      <c r="J3970" s="36" t="s">
        <v>1656</v>
      </c>
      <c r="K3970" s="36" t="s">
        <v>1776</v>
      </c>
      <c r="L3970" s="36" t="s">
        <v>8363</v>
      </c>
      <c r="M3970" s="36" t="s">
        <v>8363</v>
      </c>
      <c r="N3970" s="36" t="s">
        <v>32</v>
      </c>
    </row>
    <row r="3971">
      <c r="A3971" s="36" t="s">
        <v>8424</v>
      </c>
      <c r="B3971" s="154" t="s">
        <v>8425</v>
      </c>
      <c r="C3971" s="36" t="s">
        <v>1666</v>
      </c>
      <c r="D3971" s="36" t="s">
        <v>110</v>
      </c>
      <c r="E3971" s="36" t="s">
        <v>110</v>
      </c>
      <c r="F3971" s="154" t="s">
        <v>1723</v>
      </c>
      <c r="G3971" s="36" t="s">
        <v>28</v>
      </c>
      <c r="H3971" s="36" t="s">
        <v>1655</v>
      </c>
      <c r="I3971" s="36" t="s">
        <v>1656</v>
      </c>
      <c r="J3971" s="36" t="s">
        <v>1656</v>
      </c>
      <c r="K3971" s="36" t="s">
        <v>1779</v>
      </c>
      <c r="L3971" s="36" t="s">
        <v>8363</v>
      </c>
      <c r="M3971" s="36" t="s">
        <v>8363</v>
      </c>
      <c r="N3971" s="36" t="s">
        <v>34</v>
      </c>
    </row>
    <row r="3972">
      <c r="A3972" s="36" t="s">
        <v>8426</v>
      </c>
      <c r="B3972" s="154" t="s">
        <v>8425</v>
      </c>
      <c r="C3972" s="36" t="s">
        <v>1666</v>
      </c>
      <c r="D3972" s="36" t="s">
        <v>207</v>
      </c>
      <c r="E3972" s="36" t="s">
        <v>207</v>
      </c>
      <c r="F3972" s="154" t="s">
        <v>2555</v>
      </c>
      <c r="G3972" s="36" t="s">
        <v>28</v>
      </c>
      <c r="H3972" s="36" t="s">
        <v>1655</v>
      </c>
      <c r="I3972" s="36" t="s">
        <v>1656</v>
      </c>
      <c r="J3972" s="36" t="s">
        <v>1656</v>
      </c>
      <c r="K3972" s="36" t="s">
        <v>1782</v>
      </c>
      <c r="L3972" s="36" t="s">
        <v>8363</v>
      </c>
      <c r="M3972" s="36" t="s">
        <v>8363</v>
      </c>
      <c r="N3972" s="36" t="s">
        <v>34</v>
      </c>
    </row>
    <row r="3973">
      <c r="A3973" s="36" t="s">
        <v>8427</v>
      </c>
      <c r="B3973" s="154" t="s">
        <v>8428</v>
      </c>
      <c r="C3973" s="36" t="s">
        <v>1653</v>
      </c>
      <c r="D3973" s="36" t="s">
        <v>181</v>
      </c>
      <c r="E3973" s="36" t="s">
        <v>39</v>
      </c>
      <c r="F3973" s="154" t="s">
        <v>3062</v>
      </c>
      <c r="G3973" s="36" t="s">
        <v>32</v>
      </c>
      <c r="H3973" s="36" t="s">
        <v>1655</v>
      </c>
      <c r="I3973" s="36" t="s">
        <v>1656</v>
      </c>
      <c r="J3973" s="36" t="s">
        <v>1656</v>
      </c>
      <c r="K3973" s="36" t="s">
        <v>2848</v>
      </c>
      <c r="L3973" s="36" t="s">
        <v>7934</v>
      </c>
      <c r="M3973" s="36" t="s">
        <v>7934</v>
      </c>
      <c r="N3973" s="36" t="s">
        <v>32</v>
      </c>
    </row>
    <row r="3974">
      <c r="A3974" s="36" t="s">
        <v>8429</v>
      </c>
      <c r="B3974" s="154" t="s">
        <v>8430</v>
      </c>
      <c r="C3974" s="36" t="s">
        <v>1666</v>
      </c>
      <c r="D3974" s="36" t="s">
        <v>92</v>
      </c>
      <c r="E3974" s="36" t="s">
        <v>92</v>
      </c>
      <c r="F3974" s="154" t="s">
        <v>1810</v>
      </c>
      <c r="G3974" s="36" t="s">
        <v>28</v>
      </c>
      <c r="H3974" s="36" t="s">
        <v>1655</v>
      </c>
      <c r="I3974" s="36" t="s">
        <v>1656</v>
      </c>
      <c r="J3974" s="36" t="s">
        <v>1656</v>
      </c>
      <c r="K3974" s="36" t="s">
        <v>1784</v>
      </c>
      <c r="L3974" s="36" t="s">
        <v>8363</v>
      </c>
      <c r="M3974" s="36" t="s">
        <v>8363</v>
      </c>
      <c r="N3974" s="36" t="s">
        <v>34</v>
      </c>
    </row>
    <row r="3975">
      <c r="A3975" s="36" t="s">
        <v>8431</v>
      </c>
      <c r="B3975" s="154" t="s">
        <v>8432</v>
      </c>
      <c r="C3975" s="36" t="s">
        <v>1666</v>
      </c>
      <c r="D3975" s="36" t="s">
        <v>330</v>
      </c>
      <c r="E3975" s="36" t="s">
        <v>330</v>
      </c>
      <c r="F3975" s="154" t="s">
        <v>1810</v>
      </c>
      <c r="G3975" s="36" t="s">
        <v>28</v>
      </c>
      <c r="H3975" s="36" t="s">
        <v>1655</v>
      </c>
      <c r="I3975" s="36" t="s">
        <v>1656</v>
      </c>
      <c r="J3975" s="36" t="s">
        <v>1656</v>
      </c>
      <c r="K3975" s="36" t="s">
        <v>1787</v>
      </c>
      <c r="L3975" s="36" t="s">
        <v>8363</v>
      </c>
      <c r="M3975" s="36" t="s">
        <v>8363</v>
      </c>
      <c r="N3975" s="36" t="s">
        <v>34</v>
      </c>
    </row>
    <row r="3976">
      <c r="A3976" s="36" t="s">
        <v>8433</v>
      </c>
      <c r="B3976" s="154" t="s">
        <v>8434</v>
      </c>
      <c r="C3976" s="36" t="s">
        <v>1666</v>
      </c>
      <c r="D3976" s="36" t="s">
        <v>210</v>
      </c>
      <c r="E3976" s="36" t="s">
        <v>210</v>
      </c>
      <c r="F3976" s="154" t="s">
        <v>5005</v>
      </c>
      <c r="G3976" s="36" t="s">
        <v>28</v>
      </c>
      <c r="H3976" s="36" t="s">
        <v>1655</v>
      </c>
      <c r="I3976" s="36" t="s">
        <v>1656</v>
      </c>
      <c r="J3976" s="36" t="s">
        <v>1656</v>
      </c>
      <c r="K3976" s="36" t="s">
        <v>1790</v>
      </c>
      <c r="L3976" s="36" t="s">
        <v>8363</v>
      </c>
      <c r="M3976" s="36" t="s">
        <v>8363</v>
      </c>
      <c r="N3976" s="36" t="s">
        <v>32</v>
      </c>
    </row>
    <row r="3977">
      <c r="A3977" s="36" t="s">
        <v>8435</v>
      </c>
      <c r="B3977" s="154" t="s">
        <v>8436</v>
      </c>
      <c r="C3977" s="36" t="s">
        <v>1666</v>
      </c>
      <c r="D3977" s="36" t="s">
        <v>130</v>
      </c>
      <c r="E3977" s="36" t="s">
        <v>130</v>
      </c>
      <c r="F3977" s="154" t="s">
        <v>1810</v>
      </c>
      <c r="G3977" s="36" t="s">
        <v>32</v>
      </c>
      <c r="H3977" s="36" t="s">
        <v>1655</v>
      </c>
      <c r="I3977" s="36" t="s">
        <v>1656</v>
      </c>
      <c r="J3977" s="36" t="s">
        <v>1656</v>
      </c>
      <c r="K3977" s="36" t="s">
        <v>1793</v>
      </c>
      <c r="L3977" s="36" t="s">
        <v>8363</v>
      </c>
      <c r="M3977" s="36" t="s">
        <v>8363</v>
      </c>
      <c r="N3977" s="36" t="s">
        <v>32</v>
      </c>
    </row>
    <row r="3978">
      <c r="A3978" s="36" t="s">
        <v>8437</v>
      </c>
      <c r="B3978" s="154" t="s">
        <v>8436</v>
      </c>
      <c r="C3978" s="36" t="s">
        <v>1666</v>
      </c>
      <c r="D3978" s="36" t="s">
        <v>90</v>
      </c>
      <c r="E3978" s="36" t="s">
        <v>90</v>
      </c>
      <c r="F3978" s="154" t="s">
        <v>1810</v>
      </c>
      <c r="G3978" s="36" t="s">
        <v>32</v>
      </c>
      <c r="H3978" s="36" t="s">
        <v>1655</v>
      </c>
      <c r="I3978" s="36" t="s">
        <v>1656</v>
      </c>
      <c r="J3978" s="36" t="s">
        <v>1656</v>
      </c>
      <c r="K3978" s="36" t="s">
        <v>1796</v>
      </c>
      <c r="L3978" s="36" t="s">
        <v>8363</v>
      </c>
      <c r="M3978" s="36" t="s">
        <v>8363</v>
      </c>
      <c r="N3978" s="36" t="s">
        <v>32</v>
      </c>
    </row>
    <row r="3979">
      <c r="A3979" s="36" t="s">
        <v>8438</v>
      </c>
      <c r="B3979" s="154" t="s">
        <v>8439</v>
      </c>
      <c r="C3979" s="36" t="s">
        <v>1666</v>
      </c>
      <c r="D3979" s="36" t="s">
        <v>348</v>
      </c>
      <c r="E3979" s="36" t="s">
        <v>348</v>
      </c>
      <c r="F3979" s="154" t="s">
        <v>8440</v>
      </c>
      <c r="G3979" s="36" t="s">
        <v>32</v>
      </c>
      <c r="H3979" s="36" t="s">
        <v>1655</v>
      </c>
      <c r="I3979" s="36" t="s">
        <v>1656</v>
      </c>
      <c r="J3979" s="36" t="s">
        <v>1656</v>
      </c>
      <c r="K3979" s="36" t="s">
        <v>1800</v>
      </c>
      <c r="L3979" s="36" t="s">
        <v>8363</v>
      </c>
      <c r="M3979" s="36" t="s">
        <v>8363</v>
      </c>
      <c r="N3979" s="36" t="s">
        <v>32</v>
      </c>
    </row>
    <row r="3980">
      <c r="A3980" s="36" t="s">
        <v>8441</v>
      </c>
      <c r="B3980" s="154" t="s">
        <v>8442</v>
      </c>
      <c r="C3980" s="36" t="s">
        <v>1666</v>
      </c>
      <c r="D3980" s="36" t="s">
        <v>79</v>
      </c>
      <c r="E3980" s="36" t="s">
        <v>79</v>
      </c>
      <c r="F3980" s="154" t="s">
        <v>8247</v>
      </c>
      <c r="G3980" s="36" t="s">
        <v>32</v>
      </c>
      <c r="H3980" s="36" t="s">
        <v>1655</v>
      </c>
      <c r="I3980" s="36" t="s">
        <v>1656</v>
      </c>
      <c r="J3980" s="36" t="s">
        <v>1656</v>
      </c>
      <c r="K3980" s="36" t="s">
        <v>1769</v>
      </c>
      <c r="L3980" s="36" t="s">
        <v>8363</v>
      </c>
      <c r="M3980" s="36" t="s">
        <v>8363</v>
      </c>
      <c r="N3980" s="36" t="s">
        <v>32</v>
      </c>
    </row>
    <row r="3981">
      <c r="A3981" s="36" t="s">
        <v>8443</v>
      </c>
      <c r="B3981" s="154" t="s">
        <v>8442</v>
      </c>
      <c r="C3981" s="36" t="s">
        <v>1666</v>
      </c>
      <c r="D3981" s="36" t="s">
        <v>81</v>
      </c>
      <c r="E3981" s="36" t="s">
        <v>81</v>
      </c>
      <c r="F3981" s="154" t="s">
        <v>8052</v>
      </c>
      <c r="G3981" s="36" t="s">
        <v>28</v>
      </c>
      <c r="H3981" s="36" t="s">
        <v>1655</v>
      </c>
      <c r="I3981" s="36" t="s">
        <v>1656</v>
      </c>
      <c r="J3981" s="36" t="s">
        <v>1656</v>
      </c>
      <c r="K3981" s="36" t="s">
        <v>1811</v>
      </c>
      <c r="L3981" s="36" t="s">
        <v>8363</v>
      </c>
      <c r="M3981" s="36" t="s">
        <v>8363</v>
      </c>
      <c r="N3981" s="36" t="s">
        <v>32</v>
      </c>
    </row>
    <row r="3982">
      <c r="A3982" s="36" t="s">
        <v>8444</v>
      </c>
      <c r="B3982" s="154" t="s">
        <v>8442</v>
      </c>
      <c r="C3982" s="36" t="s">
        <v>1666</v>
      </c>
      <c r="D3982" s="36" t="s">
        <v>83</v>
      </c>
      <c r="E3982" s="36" t="s">
        <v>83</v>
      </c>
      <c r="F3982" s="154" t="s">
        <v>8250</v>
      </c>
      <c r="G3982" s="36" t="s">
        <v>28</v>
      </c>
      <c r="H3982" s="36" t="s">
        <v>1655</v>
      </c>
      <c r="I3982" s="36" t="s">
        <v>1656</v>
      </c>
      <c r="J3982" s="36" t="s">
        <v>1656</v>
      </c>
      <c r="K3982" s="36" t="s">
        <v>1891</v>
      </c>
      <c r="L3982" s="36" t="s">
        <v>8363</v>
      </c>
      <c r="M3982" s="36" t="s">
        <v>8363</v>
      </c>
      <c r="N3982" s="36" t="s">
        <v>32</v>
      </c>
    </row>
    <row r="3983">
      <c r="A3983" s="36" t="s">
        <v>8445</v>
      </c>
      <c r="B3983" s="154" t="s">
        <v>8442</v>
      </c>
      <c r="C3983" s="36" t="s">
        <v>1666</v>
      </c>
      <c r="D3983" s="36" t="s">
        <v>84</v>
      </c>
      <c r="E3983" s="36" t="s">
        <v>84</v>
      </c>
      <c r="F3983" s="154" t="s">
        <v>8446</v>
      </c>
      <c r="G3983" s="36" t="s">
        <v>32</v>
      </c>
      <c r="H3983" s="36" t="s">
        <v>1655</v>
      </c>
      <c r="I3983" s="36" t="s">
        <v>1656</v>
      </c>
      <c r="J3983" s="36" t="s">
        <v>1656</v>
      </c>
      <c r="K3983" s="36" t="s">
        <v>1921</v>
      </c>
      <c r="L3983" s="36" t="s">
        <v>8363</v>
      </c>
      <c r="M3983" s="36" t="s">
        <v>8363</v>
      </c>
      <c r="N3983" s="36" t="s">
        <v>32</v>
      </c>
    </row>
    <row r="3984">
      <c r="A3984" s="36" t="s">
        <v>8447</v>
      </c>
      <c r="B3984" s="154" t="s">
        <v>8448</v>
      </c>
      <c r="C3984" s="36" t="s">
        <v>1666</v>
      </c>
      <c r="D3984" s="36" t="s">
        <v>109</v>
      </c>
      <c r="E3984" s="36" t="s">
        <v>109</v>
      </c>
      <c r="F3984" s="154" t="s">
        <v>8194</v>
      </c>
      <c r="G3984" s="36" t="s">
        <v>28</v>
      </c>
      <c r="H3984" s="36" t="s">
        <v>1655</v>
      </c>
      <c r="I3984" s="36" t="s">
        <v>1656</v>
      </c>
      <c r="J3984" s="36" t="s">
        <v>1656</v>
      </c>
      <c r="K3984" s="36" t="s">
        <v>1803</v>
      </c>
      <c r="L3984" s="36" t="s">
        <v>8363</v>
      </c>
      <c r="M3984" s="36" t="s">
        <v>8363</v>
      </c>
      <c r="N3984" s="36" t="s">
        <v>34</v>
      </c>
    </row>
    <row r="3985">
      <c r="A3985" s="36" t="s">
        <v>8449</v>
      </c>
      <c r="B3985" s="154" t="s">
        <v>8448</v>
      </c>
      <c r="C3985" s="36" t="s">
        <v>1666</v>
      </c>
      <c r="D3985" s="36" t="s">
        <v>356</v>
      </c>
      <c r="E3985" s="36" t="s">
        <v>356</v>
      </c>
      <c r="F3985" s="154" t="s">
        <v>8450</v>
      </c>
      <c r="G3985" s="36" t="s">
        <v>32</v>
      </c>
      <c r="H3985" s="36" t="s">
        <v>1655</v>
      </c>
      <c r="I3985" s="36" t="s">
        <v>1656</v>
      </c>
      <c r="J3985" s="36" t="s">
        <v>1656</v>
      </c>
      <c r="K3985" s="36" t="s">
        <v>1807</v>
      </c>
      <c r="L3985" s="36" t="s">
        <v>8363</v>
      </c>
      <c r="M3985" s="36" t="s">
        <v>8363</v>
      </c>
      <c r="N3985" s="36" t="s">
        <v>32</v>
      </c>
    </row>
    <row r="3986">
      <c r="A3986" s="36" t="s">
        <v>8451</v>
      </c>
      <c r="B3986" s="154" t="s">
        <v>8452</v>
      </c>
      <c r="C3986" s="36" t="s">
        <v>1653</v>
      </c>
      <c r="D3986" s="36" t="s">
        <v>43</v>
      </c>
      <c r="E3986" s="36" t="s">
        <v>39</v>
      </c>
      <c r="F3986" s="154" t="s">
        <v>8453</v>
      </c>
      <c r="G3986" s="36" t="s">
        <v>32</v>
      </c>
      <c r="H3986" s="36" t="s">
        <v>1655</v>
      </c>
      <c r="I3986" s="36" t="s">
        <v>1656</v>
      </c>
      <c r="J3986" s="36" t="s">
        <v>1656</v>
      </c>
      <c r="K3986" s="36" t="s">
        <v>1657</v>
      </c>
      <c r="L3986" s="36" t="s">
        <v>8454</v>
      </c>
      <c r="M3986" s="36" t="s">
        <v>8454</v>
      </c>
      <c r="N3986" s="36" t="s">
        <v>32</v>
      </c>
    </row>
    <row r="3987">
      <c r="A3987" s="36" t="s">
        <v>8455</v>
      </c>
      <c r="B3987" s="154" t="s">
        <v>8452</v>
      </c>
      <c r="C3987" s="36" t="s">
        <v>1653</v>
      </c>
      <c r="D3987" s="36" t="s">
        <v>164</v>
      </c>
      <c r="E3987" s="36" t="s">
        <v>39</v>
      </c>
      <c r="F3987" s="154" t="s">
        <v>8456</v>
      </c>
      <c r="G3987" s="36" t="s">
        <v>32</v>
      </c>
      <c r="H3987" s="36" t="s">
        <v>1655</v>
      </c>
      <c r="I3987" s="36" t="s">
        <v>1656</v>
      </c>
      <c r="J3987" s="36" t="s">
        <v>1656</v>
      </c>
      <c r="K3987" s="36" t="s">
        <v>4092</v>
      </c>
      <c r="L3987" s="36" t="s">
        <v>8454</v>
      </c>
      <c r="M3987" s="36" t="s">
        <v>8454</v>
      </c>
      <c r="N3987" s="36" t="s">
        <v>32</v>
      </c>
    </row>
    <row r="3988">
      <c r="A3988" s="36" t="s">
        <v>8457</v>
      </c>
      <c r="B3988" s="154" t="s">
        <v>8452</v>
      </c>
      <c r="C3988" s="36" t="s">
        <v>1653</v>
      </c>
      <c r="D3988" s="36" t="s">
        <v>182</v>
      </c>
      <c r="E3988" s="36" t="s">
        <v>39</v>
      </c>
      <c r="F3988" s="154" t="s">
        <v>8458</v>
      </c>
      <c r="G3988" s="36" t="s">
        <v>32</v>
      </c>
      <c r="H3988" s="36" t="s">
        <v>1655</v>
      </c>
      <c r="I3988" s="36" t="s">
        <v>1656</v>
      </c>
      <c r="J3988" s="36" t="s">
        <v>1656</v>
      </c>
      <c r="K3988" s="36" t="s">
        <v>2848</v>
      </c>
      <c r="L3988" s="36" t="s">
        <v>8454</v>
      </c>
      <c r="M3988" s="36" t="s">
        <v>8454</v>
      </c>
      <c r="N3988" s="36" t="s">
        <v>32</v>
      </c>
    </row>
    <row r="3989">
      <c r="A3989" s="36" t="s">
        <v>8459</v>
      </c>
      <c r="B3989" s="154" t="s">
        <v>8452</v>
      </c>
      <c r="C3989" s="36" t="s">
        <v>1666</v>
      </c>
      <c r="D3989" s="36" t="s">
        <v>188</v>
      </c>
      <c r="E3989" s="36" t="s">
        <v>188</v>
      </c>
      <c r="F3989" s="154" t="s">
        <v>8331</v>
      </c>
      <c r="G3989" s="36" t="s">
        <v>32</v>
      </c>
      <c r="H3989" s="36" t="s">
        <v>1655</v>
      </c>
      <c r="I3989" s="36" t="s">
        <v>1656</v>
      </c>
      <c r="J3989" s="36" t="s">
        <v>1656</v>
      </c>
      <c r="K3989" s="36" t="s">
        <v>3035</v>
      </c>
      <c r="L3989" s="36" t="s">
        <v>8363</v>
      </c>
      <c r="M3989" s="36" t="s">
        <v>8363</v>
      </c>
      <c r="N3989" s="36" t="s">
        <v>32</v>
      </c>
    </row>
    <row r="3990">
      <c r="A3990" s="36" t="s">
        <v>8460</v>
      </c>
      <c r="B3990" s="154" t="s">
        <v>8452</v>
      </c>
      <c r="C3990" s="36" t="s">
        <v>1666</v>
      </c>
      <c r="D3990" s="36" t="s">
        <v>85</v>
      </c>
      <c r="E3990" s="36" t="s">
        <v>85</v>
      </c>
      <c r="F3990" s="154" t="s">
        <v>8461</v>
      </c>
      <c r="G3990" s="36" t="s">
        <v>28</v>
      </c>
      <c r="H3990" s="36" t="s">
        <v>1655</v>
      </c>
      <c r="I3990" s="36" t="s">
        <v>1656</v>
      </c>
      <c r="J3990" s="36" t="s">
        <v>1656</v>
      </c>
      <c r="K3990" s="36" t="s">
        <v>3038</v>
      </c>
      <c r="L3990" s="36" t="s">
        <v>8363</v>
      </c>
      <c r="M3990" s="36" t="s">
        <v>8363</v>
      </c>
      <c r="N3990" s="36" t="s">
        <v>32</v>
      </c>
    </row>
    <row r="3991">
      <c r="A3991" s="36" t="s">
        <v>8462</v>
      </c>
      <c r="B3991" s="154" t="s">
        <v>8463</v>
      </c>
      <c r="C3991" s="36" t="s">
        <v>1666</v>
      </c>
      <c r="D3991" s="36" t="s">
        <v>191</v>
      </c>
      <c r="E3991" s="36" t="s">
        <v>191</v>
      </c>
      <c r="F3991" s="154" t="s">
        <v>1816</v>
      </c>
      <c r="G3991" s="36" t="s">
        <v>28</v>
      </c>
      <c r="H3991" s="36" t="s">
        <v>1655</v>
      </c>
      <c r="I3991" s="36" t="s">
        <v>1656</v>
      </c>
      <c r="J3991" s="36" t="s">
        <v>1656</v>
      </c>
      <c r="K3991" s="36" t="s">
        <v>1668</v>
      </c>
      <c r="L3991" s="36" t="s">
        <v>8363</v>
      </c>
      <c r="M3991" s="36" t="s">
        <v>8363</v>
      </c>
      <c r="N3991" s="36" t="s">
        <v>32</v>
      </c>
    </row>
    <row r="3992">
      <c r="A3992" s="36" t="s">
        <v>8464</v>
      </c>
      <c r="B3992" s="154" t="s">
        <v>8463</v>
      </c>
      <c r="C3992" s="36" t="s">
        <v>1666</v>
      </c>
      <c r="D3992" s="36" t="s">
        <v>188</v>
      </c>
      <c r="E3992" s="36" t="s">
        <v>188</v>
      </c>
      <c r="F3992" s="154" t="s">
        <v>3972</v>
      </c>
      <c r="G3992" s="36" t="s">
        <v>32</v>
      </c>
      <c r="H3992" s="36" t="s">
        <v>1655</v>
      </c>
      <c r="I3992" s="36" t="s">
        <v>1656</v>
      </c>
      <c r="J3992" s="36" t="s">
        <v>1656</v>
      </c>
      <c r="K3992" s="36" t="s">
        <v>1672</v>
      </c>
      <c r="L3992" s="36" t="s">
        <v>8363</v>
      </c>
      <c r="M3992" s="36" t="s">
        <v>8363</v>
      </c>
      <c r="N3992" s="36" t="s">
        <v>32</v>
      </c>
    </row>
    <row r="3993">
      <c r="A3993" s="36" t="s">
        <v>8465</v>
      </c>
      <c r="B3993" s="154" t="s">
        <v>8463</v>
      </c>
      <c r="C3993" s="36" t="s">
        <v>1666</v>
      </c>
      <c r="D3993" s="36" t="s">
        <v>202</v>
      </c>
      <c r="E3993" s="36" t="s">
        <v>202</v>
      </c>
      <c r="F3993" s="154" t="s">
        <v>8236</v>
      </c>
      <c r="G3993" s="36" t="s">
        <v>32</v>
      </c>
      <c r="H3993" s="36" t="s">
        <v>1655</v>
      </c>
      <c r="I3993" s="36" t="s">
        <v>1656</v>
      </c>
      <c r="J3993" s="36" t="s">
        <v>1656</v>
      </c>
      <c r="K3993" s="36" t="s">
        <v>1675</v>
      </c>
      <c r="L3993" s="36" t="s">
        <v>8363</v>
      </c>
      <c r="M3993" s="36" t="s">
        <v>8363</v>
      </c>
      <c r="N3993" s="36" t="s">
        <v>32</v>
      </c>
    </row>
    <row r="3994">
      <c r="A3994" s="36" t="s">
        <v>8466</v>
      </c>
      <c r="B3994" s="154" t="s">
        <v>8463</v>
      </c>
      <c r="C3994" s="36" t="s">
        <v>1666</v>
      </c>
      <c r="D3994" s="36" t="s">
        <v>89</v>
      </c>
      <c r="E3994" s="36" t="s">
        <v>89</v>
      </c>
      <c r="F3994" s="154" t="s">
        <v>1810</v>
      </c>
      <c r="G3994" s="36" t="s">
        <v>28</v>
      </c>
      <c r="H3994" s="36" t="s">
        <v>1655</v>
      </c>
      <c r="I3994" s="36" t="s">
        <v>1656</v>
      </c>
      <c r="J3994" s="36" t="s">
        <v>1656</v>
      </c>
      <c r="K3994" s="36" t="s">
        <v>1678</v>
      </c>
      <c r="L3994" s="36" t="s">
        <v>8363</v>
      </c>
      <c r="M3994" s="36" t="s">
        <v>8363</v>
      </c>
      <c r="N3994" s="36" t="s">
        <v>34</v>
      </c>
    </row>
    <row r="3995">
      <c r="A3995" s="36" t="s">
        <v>8467</v>
      </c>
      <c r="B3995" s="154" t="s">
        <v>8463</v>
      </c>
      <c r="C3995" s="36" t="s">
        <v>1666</v>
      </c>
      <c r="D3995" s="36" t="s">
        <v>90</v>
      </c>
      <c r="E3995" s="36" t="s">
        <v>90</v>
      </c>
      <c r="F3995" s="154" t="s">
        <v>3756</v>
      </c>
      <c r="G3995" s="36" t="s">
        <v>28</v>
      </c>
      <c r="H3995" s="36" t="s">
        <v>1655</v>
      </c>
      <c r="I3995" s="36" t="s">
        <v>1656</v>
      </c>
      <c r="J3995" s="36" t="s">
        <v>1656</v>
      </c>
      <c r="K3995" s="36" t="s">
        <v>1681</v>
      </c>
      <c r="L3995" s="36" t="s">
        <v>8363</v>
      </c>
      <c r="M3995" s="36" t="s">
        <v>8363</v>
      </c>
      <c r="N3995" s="36" t="s">
        <v>34</v>
      </c>
    </row>
    <row r="3996">
      <c r="A3996" s="36" t="s">
        <v>8468</v>
      </c>
      <c r="B3996" s="154" t="s">
        <v>8469</v>
      </c>
      <c r="C3996" s="36" t="s">
        <v>1666</v>
      </c>
      <c r="D3996" s="36" t="s">
        <v>78</v>
      </c>
      <c r="E3996" s="36" t="s">
        <v>78</v>
      </c>
      <c r="F3996" s="154" t="s">
        <v>1899</v>
      </c>
      <c r="G3996" s="36" t="s">
        <v>32</v>
      </c>
      <c r="H3996" s="36" t="s">
        <v>1655</v>
      </c>
      <c r="I3996" s="36" t="s">
        <v>1656</v>
      </c>
      <c r="J3996" s="36" t="s">
        <v>1656</v>
      </c>
      <c r="K3996" s="36" t="s">
        <v>4248</v>
      </c>
      <c r="L3996" s="36" t="s">
        <v>8363</v>
      </c>
      <c r="M3996" s="36" t="s">
        <v>8363</v>
      </c>
      <c r="N3996" s="36" t="s">
        <v>32</v>
      </c>
    </row>
    <row r="3997">
      <c r="A3997" s="36" t="s">
        <v>8470</v>
      </c>
      <c r="B3997" s="154" t="s">
        <v>8469</v>
      </c>
      <c r="C3997" s="36" t="s">
        <v>1666</v>
      </c>
      <c r="D3997" s="36" t="s">
        <v>207</v>
      </c>
      <c r="E3997" s="36" t="s">
        <v>207</v>
      </c>
      <c r="F3997" s="154" t="s">
        <v>2555</v>
      </c>
      <c r="G3997" s="36" t="s">
        <v>28</v>
      </c>
      <c r="H3997" s="36" t="s">
        <v>1655</v>
      </c>
      <c r="I3997" s="36" t="s">
        <v>1656</v>
      </c>
      <c r="J3997" s="36" t="s">
        <v>1656</v>
      </c>
      <c r="K3997" s="36" t="s">
        <v>1684</v>
      </c>
      <c r="L3997" s="36" t="s">
        <v>8363</v>
      </c>
      <c r="M3997" s="36" t="s">
        <v>8363</v>
      </c>
      <c r="N3997" s="36" t="s">
        <v>32</v>
      </c>
    </row>
    <row r="3998">
      <c r="A3998" s="36" t="s">
        <v>8471</v>
      </c>
      <c r="B3998" s="154" t="s">
        <v>8469</v>
      </c>
      <c r="C3998" s="36" t="s">
        <v>1666</v>
      </c>
      <c r="D3998" s="36" t="s">
        <v>210</v>
      </c>
      <c r="E3998" s="36" t="s">
        <v>210</v>
      </c>
      <c r="F3998" s="154" t="s">
        <v>1810</v>
      </c>
      <c r="G3998" s="36" t="s">
        <v>28</v>
      </c>
      <c r="H3998" s="36" t="s">
        <v>1655</v>
      </c>
      <c r="I3998" s="36" t="s">
        <v>1656</v>
      </c>
      <c r="J3998" s="36" t="s">
        <v>1656</v>
      </c>
      <c r="K3998" s="36" t="s">
        <v>1691</v>
      </c>
      <c r="L3998" s="36" t="s">
        <v>8363</v>
      </c>
      <c r="M3998" s="36" t="s">
        <v>8363</v>
      </c>
      <c r="N3998" s="36" t="s">
        <v>32</v>
      </c>
    </row>
    <row r="3999">
      <c r="A3999" s="36" t="s">
        <v>8472</v>
      </c>
      <c r="B3999" s="154" t="s">
        <v>8473</v>
      </c>
      <c r="C3999" s="36" t="s">
        <v>1666</v>
      </c>
      <c r="D3999" s="36" t="s">
        <v>63</v>
      </c>
      <c r="E3999" s="36" t="s">
        <v>63</v>
      </c>
      <c r="F3999" s="154" t="s">
        <v>8474</v>
      </c>
      <c r="G3999" s="36" t="s">
        <v>32</v>
      </c>
      <c r="H3999" s="36" t="s">
        <v>1655</v>
      </c>
      <c r="I3999" s="36" t="s">
        <v>1656</v>
      </c>
      <c r="J3999" s="36" t="s">
        <v>1656</v>
      </c>
      <c r="K3999" s="36" t="s">
        <v>4196</v>
      </c>
      <c r="L3999" s="36" t="s">
        <v>8363</v>
      </c>
      <c r="M3999" s="36" t="s">
        <v>8363</v>
      </c>
      <c r="N3999" s="36" t="s">
        <v>34</v>
      </c>
    </row>
    <row r="4000">
      <c r="A4000" s="36" t="s">
        <v>8475</v>
      </c>
      <c r="B4000" s="154" t="s">
        <v>8473</v>
      </c>
      <c r="C4000" s="36" t="s">
        <v>1666</v>
      </c>
      <c r="D4000" s="36" t="s">
        <v>243</v>
      </c>
      <c r="E4000" s="36" t="s">
        <v>243</v>
      </c>
      <c r="F4000" s="154" t="s">
        <v>8476</v>
      </c>
      <c r="G4000" s="36" t="s">
        <v>28</v>
      </c>
      <c r="H4000" s="36" t="s">
        <v>1655</v>
      </c>
      <c r="I4000" s="36" t="s">
        <v>1656</v>
      </c>
      <c r="J4000" s="36" t="s">
        <v>1656</v>
      </c>
      <c r="K4000" s="36" t="s">
        <v>1695</v>
      </c>
      <c r="L4000" s="36" t="s">
        <v>8363</v>
      </c>
      <c r="M4000" s="36" t="s">
        <v>8363</v>
      </c>
      <c r="N4000" s="36" t="s">
        <v>34</v>
      </c>
    </row>
    <row r="4001">
      <c r="A4001" s="36" t="s">
        <v>8477</v>
      </c>
      <c r="B4001" s="154" t="s">
        <v>8478</v>
      </c>
      <c r="C4001" s="36" t="s">
        <v>1666</v>
      </c>
      <c r="D4001" s="36" t="s">
        <v>64</v>
      </c>
      <c r="E4001" s="36" t="s">
        <v>64</v>
      </c>
      <c r="F4001" s="154" t="s">
        <v>7648</v>
      </c>
      <c r="G4001" s="36" t="s">
        <v>28</v>
      </c>
      <c r="H4001" s="36" t="s">
        <v>1655</v>
      </c>
      <c r="I4001" s="36" t="s">
        <v>1656</v>
      </c>
      <c r="J4001" s="36" t="s">
        <v>1656</v>
      </c>
      <c r="K4001" s="36" t="s">
        <v>1708</v>
      </c>
      <c r="L4001" s="36" t="s">
        <v>8363</v>
      </c>
      <c r="M4001" s="36" t="s">
        <v>8363</v>
      </c>
      <c r="N4001" s="36" t="s">
        <v>32</v>
      </c>
    </row>
    <row r="4002">
      <c r="A4002" s="36" t="s">
        <v>8479</v>
      </c>
      <c r="B4002" s="154" t="s">
        <v>8480</v>
      </c>
      <c r="C4002" s="36" t="s">
        <v>1666</v>
      </c>
      <c r="D4002" s="36" t="s">
        <v>93</v>
      </c>
      <c r="E4002" s="36" t="s">
        <v>93</v>
      </c>
      <c r="F4002" s="154" t="s">
        <v>1899</v>
      </c>
      <c r="G4002" s="36" t="s">
        <v>28</v>
      </c>
      <c r="H4002" s="36" t="s">
        <v>1655</v>
      </c>
      <c r="I4002" s="36" t="s">
        <v>1656</v>
      </c>
      <c r="J4002" s="36" t="s">
        <v>1656</v>
      </c>
      <c r="K4002" s="36" t="s">
        <v>1698</v>
      </c>
      <c r="L4002" s="36" t="s">
        <v>8363</v>
      </c>
      <c r="M4002" s="36" t="s">
        <v>8363</v>
      </c>
      <c r="N4002" s="36" t="s">
        <v>32</v>
      </c>
    </row>
    <row r="4003">
      <c r="A4003" s="36" t="s">
        <v>8481</v>
      </c>
      <c r="B4003" s="154" t="s">
        <v>8480</v>
      </c>
      <c r="C4003" s="36" t="s">
        <v>1666</v>
      </c>
      <c r="D4003" s="36" t="s">
        <v>91</v>
      </c>
      <c r="E4003" s="36" t="s">
        <v>91</v>
      </c>
      <c r="F4003" s="154" t="s">
        <v>1810</v>
      </c>
      <c r="G4003" s="36" t="s">
        <v>28</v>
      </c>
      <c r="H4003" s="36" t="s">
        <v>1655</v>
      </c>
      <c r="I4003" s="36" t="s">
        <v>1656</v>
      </c>
      <c r="J4003" s="36" t="s">
        <v>1656</v>
      </c>
      <c r="K4003" s="36" t="s">
        <v>1701</v>
      </c>
      <c r="L4003" s="36" t="s">
        <v>8363</v>
      </c>
      <c r="M4003" s="36" t="s">
        <v>8363</v>
      </c>
      <c r="N4003" s="36" t="s">
        <v>32</v>
      </c>
    </row>
    <row r="4004">
      <c r="A4004" s="36" t="s">
        <v>8482</v>
      </c>
      <c r="B4004" s="154" t="s">
        <v>8483</v>
      </c>
      <c r="C4004" s="36" t="s">
        <v>1666</v>
      </c>
      <c r="D4004" s="36" t="s">
        <v>66</v>
      </c>
      <c r="E4004" s="36" t="s">
        <v>66</v>
      </c>
      <c r="F4004" s="154" t="s">
        <v>8484</v>
      </c>
      <c r="G4004" s="36" t="s">
        <v>28</v>
      </c>
      <c r="H4004" s="36" t="s">
        <v>1655</v>
      </c>
      <c r="I4004" s="36" t="s">
        <v>1656</v>
      </c>
      <c r="J4004" s="36" t="s">
        <v>1656</v>
      </c>
      <c r="K4004" s="36" t="s">
        <v>1721</v>
      </c>
      <c r="L4004" s="36" t="s">
        <v>8363</v>
      </c>
      <c r="M4004" s="36" t="s">
        <v>8363</v>
      </c>
      <c r="N4004" s="36" t="s">
        <v>32</v>
      </c>
    </row>
    <row r="4005">
      <c r="A4005" s="36" t="s">
        <v>8485</v>
      </c>
      <c r="B4005" s="154" t="s">
        <v>8486</v>
      </c>
      <c r="C4005" s="36" t="s">
        <v>1666</v>
      </c>
      <c r="D4005" s="36" t="s">
        <v>260</v>
      </c>
      <c r="E4005" s="36" t="s">
        <v>260</v>
      </c>
      <c r="F4005" s="154" t="s">
        <v>3823</v>
      </c>
      <c r="G4005" s="36" t="s">
        <v>28</v>
      </c>
      <c r="H4005" s="36" t="s">
        <v>1655</v>
      </c>
      <c r="I4005" s="36" t="s">
        <v>1656</v>
      </c>
      <c r="J4005" s="36" t="s">
        <v>1656</v>
      </c>
      <c r="K4005" s="36" t="s">
        <v>1704</v>
      </c>
      <c r="L4005" s="36" t="s">
        <v>8363</v>
      </c>
      <c r="M4005" s="36" t="s">
        <v>8363</v>
      </c>
      <c r="N4005" s="36" t="s">
        <v>32</v>
      </c>
    </row>
    <row r="4006">
      <c r="A4006" s="36" t="s">
        <v>8487</v>
      </c>
      <c r="B4006" s="154" t="s">
        <v>8486</v>
      </c>
      <c r="C4006" s="36" t="s">
        <v>1666</v>
      </c>
      <c r="D4006" s="36" t="s">
        <v>235</v>
      </c>
      <c r="E4006" s="36" t="s">
        <v>235</v>
      </c>
      <c r="F4006" s="154" t="s">
        <v>3279</v>
      </c>
      <c r="G4006" s="36" t="s">
        <v>28</v>
      </c>
      <c r="H4006" s="36" t="s">
        <v>1655</v>
      </c>
      <c r="I4006" s="36" t="s">
        <v>1656</v>
      </c>
      <c r="J4006" s="36" t="s">
        <v>1656</v>
      </c>
      <c r="K4006" s="36" t="s">
        <v>1711</v>
      </c>
      <c r="L4006" s="36" t="s">
        <v>8363</v>
      </c>
      <c r="M4006" s="36" t="s">
        <v>8363</v>
      </c>
      <c r="N4006" s="36" t="s">
        <v>32</v>
      </c>
    </row>
    <row r="4007">
      <c r="A4007" s="36" t="s">
        <v>8488</v>
      </c>
      <c r="B4007" s="154" t="s">
        <v>8486</v>
      </c>
      <c r="C4007" s="36" t="s">
        <v>1666</v>
      </c>
      <c r="D4007" s="36" t="s">
        <v>237</v>
      </c>
      <c r="E4007" s="36" t="s">
        <v>237</v>
      </c>
      <c r="F4007" s="154" t="s">
        <v>8489</v>
      </c>
      <c r="G4007" s="36" t="s">
        <v>32</v>
      </c>
      <c r="H4007" s="36" t="s">
        <v>1655</v>
      </c>
      <c r="I4007" s="36" t="s">
        <v>1656</v>
      </c>
      <c r="J4007" s="36" t="s">
        <v>1656</v>
      </c>
      <c r="K4007" s="36" t="s">
        <v>1715</v>
      </c>
      <c r="L4007" s="36" t="s">
        <v>8363</v>
      </c>
      <c r="M4007" s="36" t="s">
        <v>8363</v>
      </c>
      <c r="N4007" s="36" t="s">
        <v>32</v>
      </c>
    </row>
    <row r="4008">
      <c r="A4008" s="36" t="s">
        <v>8490</v>
      </c>
      <c r="B4008" s="154" t="s">
        <v>8486</v>
      </c>
      <c r="C4008" s="36" t="s">
        <v>1666</v>
      </c>
      <c r="D4008" s="36" t="s">
        <v>90</v>
      </c>
      <c r="E4008" s="36" t="s">
        <v>90</v>
      </c>
      <c r="F4008" s="154" t="s">
        <v>2920</v>
      </c>
      <c r="G4008" s="36" t="s">
        <v>28</v>
      </c>
      <c r="H4008" s="36" t="s">
        <v>1655</v>
      </c>
      <c r="I4008" s="36" t="s">
        <v>1656</v>
      </c>
      <c r="J4008" s="36" t="s">
        <v>1656</v>
      </c>
      <c r="K4008" s="36" t="s">
        <v>1717</v>
      </c>
      <c r="L4008" s="36" t="s">
        <v>8363</v>
      </c>
      <c r="M4008" s="36" t="s">
        <v>8363</v>
      </c>
      <c r="N4008" s="36" t="s">
        <v>32</v>
      </c>
    </row>
    <row r="4009">
      <c r="A4009" s="36" t="s">
        <v>8491</v>
      </c>
      <c r="B4009" s="154" t="s">
        <v>8492</v>
      </c>
      <c r="C4009" s="36" t="s">
        <v>1653</v>
      </c>
      <c r="D4009" s="36" t="s">
        <v>55</v>
      </c>
      <c r="E4009" s="36" t="s">
        <v>39</v>
      </c>
      <c r="F4009" s="154" t="s">
        <v>8493</v>
      </c>
      <c r="G4009" s="36" t="s">
        <v>32</v>
      </c>
      <c r="H4009" s="36" t="s">
        <v>1655</v>
      </c>
      <c r="I4009" s="36" t="s">
        <v>1656</v>
      </c>
      <c r="J4009" s="36" t="s">
        <v>1656</v>
      </c>
      <c r="K4009" s="36" t="s">
        <v>1989</v>
      </c>
      <c r="L4009" s="36" t="s">
        <v>8454</v>
      </c>
      <c r="M4009" s="36" t="s">
        <v>8454</v>
      </c>
      <c r="N4009" s="36" t="s">
        <v>32</v>
      </c>
    </row>
    <row r="4010">
      <c r="A4010" s="36" t="s">
        <v>8494</v>
      </c>
      <c r="B4010" s="154" t="s">
        <v>8492</v>
      </c>
      <c r="C4010" s="36" t="s">
        <v>1653</v>
      </c>
      <c r="D4010" s="36" t="s">
        <v>173</v>
      </c>
      <c r="E4010" s="36" t="s">
        <v>39</v>
      </c>
      <c r="F4010" s="154" t="s">
        <v>8495</v>
      </c>
      <c r="G4010" s="36" t="s">
        <v>32</v>
      </c>
      <c r="H4010" s="36" t="s">
        <v>1655</v>
      </c>
      <c r="I4010" s="36" t="s">
        <v>1656</v>
      </c>
      <c r="J4010" s="36" t="s">
        <v>1656</v>
      </c>
      <c r="K4010" s="36" t="s">
        <v>1978</v>
      </c>
      <c r="L4010" s="36" t="s">
        <v>8454</v>
      </c>
      <c r="M4010" s="36" t="s">
        <v>8454</v>
      </c>
      <c r="N4010" s="36" t="s">
        <v>32</v>
      </c>
    </row>
    <row r="4011">
      <c r="A4011" s="36" t="s">
        <v>8496</v>
      </c>
      <c r="B4011" s="154" t="s">
        <v>8492</v>
      </c>
      <c r="C4011" s="36" t="s">
        <v>1666</v>
      </c>
      <c r="D4011" s="36" t="s">
        <v>71</v>
      </c>
      <c r="E4011" s="36" t="s">
        <v>71</v>
      </c>
      <c r="F4011" s="154" t="s">
        <v>8091</v>
      </c>
      <c r="G4011" s="36" t="s">
        <v>32</v>
      </c>
      <c r="H4011" s="36" t="s">
        <v>1655</v>
      </c>
      <c r="I4011" s="36" t="s">
        <v>1656</v>
      </c>
      <c r="J4011" s="36" t="s">
        <v>1656</v>
      </c>
      <c r="K4011" s="36" t="s">
        <v>1752</v>
      </c>
      <c r="L4011" s="36" t="s">
        <v>8363</v>
      </c>
      <c r="M4011" s="36" t="s">
        <v>8363</v>
      </c>
      <c r="N4011" s="36" t="s">
        <v>32</v>
      </c>
    </row>
    <row r="4012">
      <c r="A4012" s="36" t="s">
        <v>8497</v>
      </c>
      <c r="B4012" s="154" t="s">
        <v>8492</v>
      </c>
      <c r="C4012" s="36" t="s">
        <v>1666</v>
      </c>
      <c r="D4012" s="36" t="s">
        <v>73</v>
      </c>
      <c r="E4012" s="36" t="s">
        <v>73</v>
      </c>
      <c r="F4012" s="154" t="s">
        <v>8093</v>
      </c>
      <c r="G4012" s="36" t="s">
        <v>28</v>
      </c>
      <c r="H4012" s="36" t="s">
        <v>1655</v>
      </c>
      <c r="I4012" s="36" t="s">
        <v>1656</v>
      </c>
      <c r="J4012" s="36" t="s">
        <v>1656</v>
      </c>
      <c r="K4012" s="36" t="s">
        <v>1755</v>
      </c>
      <c r="L4012" s="36" t="s">
        <v>8363</v>
      </c>
      <c r="M4012" s="36" t="s">
        <v>8363</v>
      </c>
      <c r="N4012" s="36" t="s">
        <v>32</v>
      </c>
    </row>
    <row r="4013">
      <c r="A4013" s="36" t="s">
        <v>8498</v>
      </c>
      <c r="B4013" s="154" t="s">
        <v>8492</v>
      </c>
      <c r="C4013" s="36" t="s">
        <v>1666</v>
      </c>
      <c r="D4013" s="36" t="s">
        <v>74</v>
      </c>
      <c r="E4013" s="36" t="s">
        <v>74</v>
      </c>
      <c r="F4013" s="154" t="s">
        <v>8095</v>
      </c>
      <c r="G4013" s="36" t="s">
        <v>32</v>
      </c>
      <c r="H4013" s="36" t="s">
        <v>1655</v>
      </c>
      <c r="I4013" s="36" t="s">
        <v>1656</v>
      </c>
      <c r="J4013" s="36" t="s">
        <v>1656</v>
      </c>
      <c r="K4013" s="36" t="s">
        <v>1757</v>
      </c>
      <c r="L4013" s="36" t="s">
        <v>8363</v>
      </c>
      <c r="M4013" s="36" t="s">
        <v>8363</v>
      </c>
      <c r="N4013" s="36" t="s">
        <v>32</v>
      </c>
    </row>
    <row r="4014">
      <c r="A4014" s="36" t="s">
        <v>8499</v>
      </c>
      <c r="B4014" s="154" t="s">
        <v>8492</v>
      </c>
      <c r="C4014" s="36" t="s">
        <v>1666</v>
      </c>
      <c r="D4014" s="36" t="s">
        <v>75</v>
      </c>
      <c r="E4014" s="36" t="s">
        <v>75</v>
      </c>
      <c r="F4014" s="154" t="s">
        <v>8097</v>
      </c>
      <c r="G4014" s="36" t="s">
        <v>28</v>
      </c>
      <c r="H4014" s="36" t="s">
        <v>1655</v>
      </c>
      <c r="I4014" s="36" t="s">
        <v>1656</v>
      </c>
      <c r="J4014" s="36" t="s">
        <v>1656</v>
      </c>
      <c r="K4014" s="36" t="s">
        <v>1760</v>
      </c>
      <c r="L4014" s="36" t="s">
        <v>8363</v>
      </c>
      <c r="M4014" s="36" t="s">
        <v>8363</v>
      </c>
      <c r="N4014" s="36" t="s">
        <v>32</v>
      </c>
    </row>
    <row r="4015">
      <c r="A4015" s="36" t="s">
        <v>8500</v>
      </c>
      <c r="B4015" s="154" t="s">
        <v>8492</v>
      </c>
      <c r="C4015" s="36" t="s">
        <v>1666</v>
      </c>
      <c r="D4015" s="36" t="s">
        <v>76</v>
      </c>
      <c r="E4015" s="36" t="s">
        <v>76</v>
      </c>
      <c r="F4015" s="154" t="s">
        <v>8501</v>
      </c>
      <c r="G4015" s="36" t="s">
        <v>28</v>
      </c>
      <c r="H4015" s="36" t="s">
        <v>1655</v>
      </c>
      <c r="I4015" s="36" t="s">
        <v>1656</v>
      </c>
      <c r="J4015" s="36" t="s">
        <v>1656</v>
      </c>
      <c r="K4015" s="36" t="s">
        <v>1763</v>
      </c>
      <c r="L4015" s="36" t="s">
        <v>8363</v>
      </c>
      <c r="M4015" s="36" t="s">
        <v>8363</v>
      </c>
      <c r="N4015" s="36" t="s">
        <v>32</v>
      </c>
    </row>
    <row r="4016">
      <c r="A4016" s="36" t="s">
        <v>8502</v>
      </c>
      <c r="B4016" s="154" t="s">
        <v>8492</v>
      </c>
      <c r="C4016" s="36" t="s">
        <v>1666</v>
      </c>
      <c r="D4016" s="36" t="s">
        <v>210</v>
      </c>
      <c r="E4016" s="36" t="s">
        <v>210</v>
      </c>
      <c r="F4016" s="154" t="s">
        <v>2027</v>
      </c>
      <c r="G4016" s="36" t="s">
        <v>28</v>
      </c>
      <c r="H4016" s="36" t="s">
        <v>1655</v>
      </c>
      <c r="I4016" s="36" t="s">
        <v>1656</v>
      </c>
      <c r="J4016" s="36" t="s">
        <v>1656</v>
      </c>
      <c r="K4016" s="36" t="s">
        <v>1724</v>
      </c>
      <c r="L4016" s="36" t="s">
        <v>8363</v>
      </c>
      <c r="M4016" s="36" t="s">
        <v>8363</v>
      </c>
      <c r="N4016" s="36" t="s">
        <v>32</v>
      </c>
    </row>
    <row r="4017">
      <c r="A4017" s="36" t="s">
        <v>8503</v>
      </c>
      <c r="B4017" s="154" t="s">
        <v>8492</v>
      </c>
      <c r="C4017" s="36" t="s">
        <v>1666</v>
      </c>
      <c r="D4017" s="36" t="s">
        <v>92</v>
      </c>
      <c r="E4017" s="36" t="s">
        <v>92</v>
      </c>
      <c r="F4017" s="154" t="s">
        <v>8504</v>
      </c>
      <c r="G4017" s="36" t="s">
        <v>32</v>
      </c>
      <c r="H4017" s="36" t="s">
        <v>1655</v>
      </c>
      <c r="I4017" s="36" t="s">
        <v>1656</v>
      </c>
      <c r="J4017" s="36" t="s">
        <v>1656</v>
      </c>
      <c r="K4017" s="36" t="s">
        <v>1727</v>
      </c>
      <c r="L4017" s="36" t="s">
        <v>8363</v>
      </c>
      <c r="M4017" s="36" t="s">
        <v>8363</v>
      </c>
      <c r="N4017" s="36" t="s">
        <v>32</v>
      </c>
    </row>
    <row r="4018">
      <c r="A4018" s="36" t="s">
        <v>8505</v>
      </c>
      <c r="B4018" s="154" t="s">
        <v>8492</v>
      </c>
      <c r="C4018" s="36" t="s">
        <v>1666</v>
      </c>
      <c r="D4018" s="36" t="s">
        <v>220</v>
      </c>
      <c r="E4018" s="36" t="s">
        <v>220</v>
      </c>
      <c r="F4018" s="154" t="s">
        <v>8506</v>
      </c>
      <c r="G4018" s="36" t="s">
        <v>28</v>
      </c>
      <c r="H4018" s="36" t="s">
        <v>1655</v>
      </c>
      <c r="I4018" s="36" t="s">
        <v>1656</v>
      </c>
      <c r="J4018" s="36" t="s">
        <v>1656</v>
      </c>
      <c r="K4018" s="36" t="s">
        <v>1730</v>
      </c>
      <c r="L4018" s="36" t="s">
        <v>8363</v>
      </c>
      <c r="M4018" s="36" t="s">
        <v>8363</v>
      </c>
      <c r="N4018" s="36" t="s">
        <v>32</v>
      </c>
    </row>
    <row r="4019">
      <c r="A4019" s="36" t="s">
        <v>8507</v>
      </c>
      <c r="B4019" s="154" t="s">
        <v>8492</v>
      </c>
      <c r="C4019" s="36" t="s">
        <v>1666</v>
      </c>
      <c r="D4019" s="36" t="s">
        <v>115</v>
      </c>
      <c r="E4019" s="36" t="s">
        <v>115</v>
      </c>
      <c r="F4019" s="154" t="s">
        <v>1683</v>
      </c>
      <c r="G4019" s="36" t="s">
        <v>32</v>
      </c>
      <c r="H4019" s="36" t="s">
        <v>1655</v>
      </c>
      <c r="I4019" s="36" t="s">
        <v>1656</v>
      </c>
      <c r="J4019" s="36" t="s">
        <v>1656</v>
      </c>
      <c r="K4019" s="36" t="s">
        <v>1732</v>
      </c>
      <c r="L4019" s="36" t="s">
        <v>8363</v>
      </c>
      <c r="M4019" s="36" t="s">
        <v>8363</v>
      </c>
      <c r="N4019" s="36" t="s">
        <v>32</v>
      </c>
    </row>
    <row r="4020">
      <c r="A4020" s="36" t="s">
        <v>8508</v>
      </c>
      <c r="B4020" s="154" t="s">
        <v>8492</v>
      </c>
      <c r="C4020" s="36" t="s">
        <v>1666</v>
      </c>
      <c r="D4020" s="36" t="s">
        <v>114</v>
      </c>
      <c r="E4020" s="36" t="s">
        <v>114</v>
      </c>
      <c r="F4020" s="154" t="s">
        <v>1683</v>
      </c>
      <c r="G4020" s="36" t="s">
        <v>32</v>
      </c>
      <c r="H4020" s="36" t="s">
        <v>1655</v>
      </c>
      <c r="I4020" s="36" t="s">
        <v>1656</v>
      </c>
      <c r="J4020" s="36" t="s">
        <v>1656</v>
      </c>
      <c r="K4020" s="36" t="s">
        <v>1736</v>
      </c>
      <c r="L4020" s="36" t="s">
        <v>8363</v>
      </c>
      <c r="M4020" s="36" t="s">
        <v>8363</v>
      </c>
      <c r="N4020" s="36" t="s">
        <v>32</v>
      </c>
    </row>
    <row r="4021">
      <c r="A4021" s="36" t="s">
        <v>8509</v>
      </c>
      <c r="B4021" s="154" t="s">
        <v>8492</v>
      </c>
      <c r="C4021" s="36" t="s">
        <v>1666</v>
      </c>
      <c r="D4021" s="36" t="s">
        <v>226</v>
      </c>
      <c r="E4021" s="36" t="s">
        <v>226</v>
      </c>
      <c r="F4021" s="154" t="s">
        <v>8510</v>
      </c>
      <c r="G4021" s="36" t="s">
        <v>32</v>
      </c>
      <c r="H4021" s="36" t="s">
        <v>1655</v>
      </c>
      <c r="I4021" s="36" t="s">
        <v>1656</v>
      </c>
      <c r="J4021" s="36" t="s">
        <v>1656</v>
      </c>
      <c r="K4021" s="36" t="s">
        <v>1739</v>
      </c>
      <c r="L4021" s="36" t="s">
        <v>8363</v>
      </c>
      <c r="M4021" s="36" t="s">
        <v>8363</v>
      </c>
      <c r="N4021" s="36" t="s">
        <v>32</v>
      </c>
    </row>
    <row r="4022">
      <c r="A4022" s="36" t="s">
        <v>8511</v>
      </c>
      <c r="B4022" s="154" t="s">
        <v>8492</v>
      </c>
      <c r="C4022" s="36" t="s">
        <v>1666</v>
      </c>
      <c r="D4022" s="36" t="s">
        <v>301</v>
      </c>
      <c r="E4022" s="36" t="s">
        <v>301</v>
      </c>
      <c r="F4022" s="154" t="s">
        <v>2156</v>
      </c>
      <c r="G4022" s="36" t="s">
        <v>28</v>
      </c>
      <c r="H4022" s="36" t="s">
        <v>1655</v>
      </c>
      <c r="I4022" s="36" t="s">
        <v>1656</v>
      </c>
      <c r="J4022" s="36" t="s">
        <v>1656</v>
      </c>
      <c r="K4022" s="36" t="s">
        <v>1742</v>
      </c>
      <c r="L4022" s="36" t="s">
        <v>8363</v>
      </c>
      <c r="M4022" s="36" t="s">
        <v>8363</v>
      </c>
      <c r="N4022" s="36" t="s">
        <v>34</v>
      </c>
    </row>
    <row r="4023">
      <c r="A4023" s="36" t="s">
        <v>8512</v>
      </c>
      <c r="B4023" s="154" t="s">
        <v>8513</v>
      </c>
      <c r="C4023" s="36" t="s">
        <v>1666</v>
      </c>
      <c r="D4023" s="36" t="s">
        <v>288</v>
      </c>
      <c r="E4023" s="36" t="s">
        <v>288</v>
      </c>
      <c r="F4023" s="154" t="s">
        <v>2325</v>
      </c>
      <c r="G4023" s="36" t="s">
        <v>32</v>
      </c>
      <c r="H4023" s="36" t="s">
        <v>1655</v>
      </c>
      <c r="I4023" s="36" t="s">
        <v>1656</v>
      </c>
      <c r="J4023" s="36" t="s">
        <v>1656</v>
      </c>
      <c r="K4023" s="36" t="s">
        <v>1745</v>
      </c>
      <c r="L4023" s="36" t="s">
        <v>8363</v>
      </c>
      <c r="M4023" s="36" t="s">
        <v>8363</v>
      </c>
      <c r="N4023" s="36" t="s">
        <v>32</v>
      </c>
    </row>
    <row r="4024">
      <c r="A4024" s="36" t="s">
        <v>8514</v>
      </c>
      <c r="B4024" s="154" t="s">
        <v>8513</v>
      </c>
      <c r="C4024" s="36" t="s">
        <v>1666</v>
      </c>
      <c r="D4024" s="36" t="s">
        <v>312</v>
      </c>
      <c r="E4024" s="36" t="s">
        <v>312</v>
      </c>
      <c r="F4024" s="154" t="s">
        <v>8515</v>
      </c>
      <c r="G4024" s="36" t="s">
        <v>28</v>
      </c>
      <c r="H4024" s="36" t="s">
        <v>1655</v>
      </c>
      <c r="I4024" s="36" t="s">
        <v>1656</v>
      </c>
      <c r="J4024" s="36" t="s">
        <v>1656</v>
      </c>
      <c r="K4024" s="36" t="s">
        <v>1773</v>
      </c>
      <c r="L4024" s="36" t="s">
        <v>8363</v>
      </c>
      <c r="M4024" s="36" t="s">
        <v>8363</v>
      </c>
      <c r="N4024" s="36" t="s">
        <v>32</v>
      </c>
    </row>
    <row r="4025">
      <c r="A4025" s="36" t="s">
        <v>8516</v>
      </c>
      <c r="B4025" s="154" t="s">
        <v>8513</v>
      </c>
      <c r="C4025" s="36" t="s">
        <v>1666</v>
      </c>
      <c r="D4025" s="36" t="s">
        <v>90</v>
      </c>
      <c r="E4025" s="36" t="s">
        <v>90</v>
      </c>
      <c r="F4025" s="154" t="s">
        <v>2920</v>
      </c>
      <c r="G4025" s="36" t="s">
        <v>28</v>
      </c>
      <c r="H4025" s="36" t="s">
        <v>1655</v>
      </c>
      <c r="I4025" s="36" t="s">
        <v>1656</v>
      </c>
      <c r="J4025" s="36" t="s">
        <v>1656</v>
      </c>
      <c r="K4025" s="36" t="s">
        <v>1776</v>
      </c>
      <c r="L4025" s="36" t="s">
        <v>8363</v>
      </c>
      <c r="M4025" s="36" t="s">
        <v>8363</v>
      </c>
      <c r="N4025" s="36" t="s">
        <v>32</v>
      </c>
    </row>
    <row r="4026">
      <c r="A4026" s="36" t="s">
        <v>8517</v>
      </c>
      <c r="B4026" s="154" t="s">
        <v>8513</v>
      </c>
      <c r="C4026" s="36" t="s">
        <v>1666</v>
      </c>
      <c r="D4026" s="36" t="s">
        <v>279</v>
      </c>
      <c r="E4026" s="36" t="s">
        <v>279</v>
      </c>
      <c r="F4026" s="154" t="s">
        <v>8368</v>
      </c>
      <c r="G4026" s="36" t="s">
        <v>32</v>
      </c>
      <c r="H4026" s="36" t="s">
        <v>1655</v>
      </c>
      <c r="I4026" s="36" t="s">
        <v>1656</v>
      </c>
      <c r="J4026" s="36" t="s">
        <v>1656</v>
      </c>
      <c r="K4026" s="36" t="s">
        <v>1779</v>
      </c>
      <c r="L4026" s="36" t="s">
        <v>8363</v>
      </c>
      <c r="M4026" s="36" t="s">
        <v>8363</v>
      </c>
      <c r="N4026" s="36" t="s">
        <v>32</v>
      </c>
    </row>
    <row r="4027">
      <c r="A4027" s="36" t="s">
        <v>8518</v>
      </c>
      <c r="B4027" s="154" t="s">
        <v>8513</v>
      </c>
      <c r="C4027" s="36" t="s">
        <v>1666</v>
      </c>
      <c r="D4027" s="36" t="s">
        <v>325</v>
      </c>
      <c r="E4027" s="36" t="s">
        <v>325</v>
      </c>
      <c r="F4027" s="154" t="s">
        <v>1806</v>
      </c>
      <c r="G4027" s="36" t="s">
        <v>32</v>
      </c>
      <c r="H4027" s="36" t="s">
        <v>1655</v>
      </c>
      <c r="I4027" s="36" t="s">
        <v>1656</v>
      </c>
      <c r="J4027" s="36" t="s">
        <v>1656</v>
      </c>
      <c r="K4027" s="36" t="s">
        <v>1782</v>
      </c>
      <c r="L4027" s="36" t="s">
        <v>8363</v>
      </c>
      <c r="M4027" s="36" t="s">
        <v>8363</v>
      </c>
      <c r="N4027" s="36" t="s">
        <v>32</v>
      </c>
    </row>
    <row r="4028">
      <c r="A4028" s="36" t="s">
        <v>8519</v>
      </c>
      <c r="B4028" s="154" t="s">
        <v>8520</v>
      </c>
      <c r="C4028" s="36" t="s">
        <v>1666</v>
      </c>
      <c r="D4028" s="36" t="s">
        <v>218</v>
      </c>
      <c r="E4028" s="36" t="s">
        <v>218</v>
      </c>
      <c r="F4028" s="154" t="s">
        <v>2039</v>
      </c>
      <c r="G4028" s="36" t="s">
        <v>32</v>
      </c>
      <c r="H4028" s="36" t="s">
        <v>1655</v>
      </c>
      <c r="I4028" s="36" t="s">
        <v>1656</v>
      </c>
      <c r="J4028" s="36" t="s">
        <v>1656</v>
      </c>
      <c r="K4028" s="36" t="s">
        <v>1784</v>
      </c>
      <c r="L4028" s="36" t="s">
        <v>8363</v>
      </c>
      <c r="M4028" s="36" t="s">
        <v>8363</v>
      </c>
      <c r="N4028" s="36" t="s">
        <v>32</v>
      </c>
    </row>
    <row r="4029">
      <c r="A4029" s="36" t="s">
        <v>8521</v>
      </c>
      <c r="B4029" s="154" t="s">
        <v>8522</v>
      </c>
      <c r="C4029" s="36" t="s">
        <v>1666</v>
      </c>
      <c r="D4029" s="36" t="s">
        <v>299</v>
      </c>
      <c r="E4029" s="36" t="s">
        <v>299</v>
      </c>
      <c r="F4029" s="154" t="s">
        <v>5980</v>
      </c>
      <c r="G4029" s="36" t="s">
        <v>28</v>
      </c>
      <c r="H4029" s="36" t="s">
        <v>1655</v>
      </c>
      <c r="I4029" s="36" t="s">
        <v>1656</v>
      </c>
      <c r="J4029" s="36" t="s">
        <v>1656</v>
      </c>
      <c r="K4029" s="36" t="s">
        <v>1787</v>
      </c>
      <c r="L4029" s="36" t="s">
        <v>8363</v>
      </c>
      <c r="M4029" s="36" t="s">
        <v>8363</v>
      </c>
      <c r="N4029" s="36" t="s">
        <v>34</v>
      </c>
    </row>
    <row r="4030">
      <c r="A4030" s="36" t="s">
        <v>8523</v>
      </c>
      <c r="B4030" s="154" t="s">
        <v>8524</v>
      </c>
      <c r="C4030" s="36" t="s">
        <v>1666</v>
      </c>
      <c r="D4030" s="36" t="s">
        <v>332</v>
      </c>
      <c r="E4030" s="36" t="s">
        <v>332</v>
      </c>
      <c r="F4030" s="154" t="s">
        <v>2690</v>
      </c>
      <c r="G4030" s="36" t="s">
        <v>28</v>
      </c>
      <c r="H4030" s="36" t="s">
        <v>1655</v>
      </c>
      <c r="I4030" s="36" t="s">
        <v>1656</v>
      </c>
      <c r="J4030" s="36" t="s">
        <v>1656</v>
      </c>
      <c r="K4030" s="36" t="s">
        <v>1790</v>
      </c>
      <c r="L4030" s="36" t="s">
        <v>8363</v>
      </c>
      <c r="M4030" s="36" t="s">
        <v>8363</v>
      </c>
      <c r="N4030" s="36" t="s">
        <v>34</v>
      </c>
    </row>
    <row r="4031">
      <c r="A4031" s="36" t="s">
        <v>8525</v>
      </c>
      <c r="B4031" s="154" t="s">
        <v>8524</v>
      </c>
      <c r="C4031" s="36" t="s">
        <v>1666</v>
      </c>
      <c r="D4031" s="36" t="s">
        <v>337</v>
      </c>
      <c r="E4031" s="36" t="s">
        <v>337</v>
      </c>
      <c r="F4031" s="154" t="s">
        <v>3279</v>
      </c>
      <c r="G4031" s="36" t="s">
        <v>28</v>
      </c>
      <c r="H4031" s="36" t="s">
        <v>1655</v>
      </c>
      <c r="I4031" s="36" t="s">
        <v>1656</v>
      </c>
      <c r="J4031" s="36" t="s">
        <v>1656</v>
      </c>
      <c r="K4031" s="36" t="s">
        <v>1793</v>
      </c>
      <c r="L4031" s="36" t="s">
        <v>8363</v>
      </c>
      <c r="M4031" s="36" t="s">
        <v>8363</v>
      </c>
      <c r="N4031" s="36" t="s">
        <v>34</v>
      </c>
    </row>
    <row r="4032">
      <c r="A4032" s="36" t="s">
        <v>8526</v>
      </c>
      <c r="B4032" s="154" t="s">
        <v>8527</v>
      </c>
      <c r="C4032" s="36" t="s">
        <v>1666</v>
      </c>
      <c r="D4032" s="36" t="s">
        <v>342</v>
      </c>
      <c r="E4032" s="36" t="s">
        <v>342</v>
      </c>
      <c r="F4032" s="154" t="s">
        <v>8528</v>
      </c>
      <c r="G4032" s="36" t="s">
        <v>32</v>
      </c>
      <c r="H4032" s="36" t="s">
        <v>1655</v>
      </c>
      <c r="I4032" s="36" t="s">
        <v>1656</v>
      </c>
      <c r="J4032" s="36" t="s">
        <v>1656</v>
      </c>
      <c r="K4032" s="36" t="s">
        <v>1796</v>
      </c>
      <c r="L4032" s="36" t="s">
        <v>8363</v>
      </c>
      <c r="M4032" s="36" t="s">
        <v>8363</v>
      </c>
      <c r="N4032" s="36" t="s">
        <v>32</v>
      </c>
    </row>
    <row r="4033">
      <c r="A4033" s="36" t="s">
        <v>8529</v>
      </c>
      <c r="B4033" s="154" t="s">
        <v>8530</v>
      </c>
      <c r="C4033" s="36" t="s">
        <v>1666</v>
      </c>
      <c r="D4033" s="36" t="s">
        <v>349</v>
      </c>
      <c r="E4033" s="36" t="s">
        <v>349</v>
      </c>
      <c r="F4033" s="154" t="s">
        <v>1810</v>
      </c>
      <c r="G4033" s="36" t="s">
        <v>32</v>
      </c>
      <c r="H4033" s="36" t="s">
        <v>1655</v>
      </c>
      <c r="I4033" s="36" t="s">
        <v>1656</v>
      </c>
      <c r="J4033" s="36" t="s">
        <v>1656</v>
      </c>
      <c r="K4033" s="36" t="s">
        <v>1800</v>
      </c>
      <c r="L4033" s="36" t="s">
        <v>8363</v>
      </c>
      <c r="M4033" s="36" t="s">
        <v>8363</v>
      </c>
      <c r="N4033" s="36" t="s">
        <v>32</v>
      </c>
    </row>
    <row r="4034">
      <c r="A4034" s="36" t="s">
        <v>8531</v>
      </c>
      <c r="B4034" s="154" t="s">
        <v>8532</v>
      </c>
      <c r="C4034" s="36" t="s">
        <v>1666</v>
      </c>
      <c r="D4034" s="36" t="s">
        <v>124</v>
      </c>
      <c r="E4034" s="36" t="s">
        <v>124</v>
      </c>
      <c r="F4034" s="154" t="s">
        <v>3622</v>
      </c>
      <c r="G4034" s="36" t="s">
        <v>28</v>
      </c>
      <c r="H4034" s="36" t="s">
        <v>1655</v>
      </c>
      <c r="I4034" s="36" t="s">
        <v>1656</v>
      </c>
      <c r="J4034" s="36" t="s">
        <v>1656</v>
      </c>
      <c r="K4034" s="36" t="s">
        <v>1803</v>
      </c>
      <c r="L4034" s="36" t="s">
        <v>8363</v>
      </c>
      <c r="M4034" s="36" t="s">
        <v>8363</v>
      </c>
      <c r="N4034" s="36" t="s">
        <v>32</v>
      </c>
    </row>
    <row r="4035">
      <c r="A4035" s="36" t="s">
        <v>8533</v>
      </c>
      <c r="B4035" s="154" t="s">
        <v>8532</v>
      </c>
      <c r="C4035" s="36" t="s">
        <v>1666</v>
      </c>
      <c r="D4035" s="36" t="s">
        <v>310</v>
      </c>
      <c r="E4035" s="36" t="s">
        <v>310</v>
      </c>
      <c r="F4035" s="154" t="s">
        <v>1686</v>
      </c>
      <c r="G4035" s="36" t="s">
        <v>28</v>
      </c>
      <c r="H4035" s="36" t="s">
        <v>1655</v>
      </c>
      <c r="I4035" s="36" t="s">
        <v>1656</v>
      </c>
      <c r="J4035" s="36" t="s">
        <v>1656</v>
      </c>
      <c r="K4035" s="36" t="s">
        <v>1807</v>
      </c>
      <c r="L4035" s="36" t="s">
        <v>8363</v>
      </c>
      <c r="M4035" s="36" t="s">
        <v>8363</v>
      </c>
      <c r="N4035" s="36" t="s">
        <v>34</v>
      </c>
    </row>
    <row r="4036">
      <c r="A4036" s="36" t="s">
        <v>8534</v>
      </c>
      <c r="B4036" s="154" t="s">
        <v>8532</v>
      </c>
      <c r="C4036" s="36" t="s">
        <v>1666</v>
      </c>
      <c r="D4036" s="36" t="s">
        <v>337</v>
      </c>
      <c r="E4036" s="36" t="s">
        <v>337</v>
      </c>
      <c r="F4036" s="154" t="s">
        <v>2156</v>
      </c>
      <c r="G4036" s="36" t="s">
        <v>28</v>
      </c>
      <c r="H4036" s="36" t="s">
        <v>1655</v>
      </c>
      <c r="I4036" s="36" t="s">
        <v>1656</v>
      </c>
      <c r="J4036" s="36" t="s">
        <v>1656</v>
      </c>
      <c r="K4036" s="36" t="s">
        <v>1814</v>
      </c>
      <c r="L4036" s="36" t="s">
        <v>8363</v>
      </c>
      <c r="M4036" s="36" t="s">
        <v>8363</v>
      </c>
      <c r="N4036" s="36" t="s">
        <v>34</v>
      </c>
    </row>
    <row r="4037">
      <c r="A4037" s="36" t="s">
        <v>8535</v>
      </c>
      <c r="B4037" s="154" t="s">
        <v>8536</v>
      </c>
      <c r="C4037" s="36" t="s">
        <v>1666</v>
      </c>
      <c r="D4037" s="36" t="s">
        <v>367</v>
      </c>
      <c r="E4037" s="36" t="s">
        <v>367</v>
      </c>
      <c r="F4037" s="154" t="s">
        <v>1829</v>
      </c>
      <c r="G4037" s="36" t="s">
        <v>28</v>
      </c>
      <c r="H4037" s="36" t="s">
        <v>1655</v>
      </c>
      <c r="I4037" s="36" t="s">
        <v>1656</v>
      </c>
      <c r="J4037" s="36" t="s">
        <v>1656</v>
      </c>
      <c r="K4037" s="36" t="s">
        <v>1817</v>
      </c>
      <c r="L4037" s="36" t="s">
        <v>8363</v>
      </c>
      <c r="M4037" s="36" t="s">
        <v>8363</v>
      </c>
      <c r="N4037" s="36" t="s">
        <v>34</v>
      </c>
    </row>
    <row r="4038">
      <c r="A4038" s="36" t="s">
        <v>8537</v>
      </c>
      <c r="B4038" s="154" t="s">
        <v>8538</v>
      </c>
      <c r="C4038" s="36" t="s">
        <v>1666</v>
      </c>
      <c r="D4038" s="36" t="s">
        <v>102</v>
      </c>
      <c r="E4038" s="36" t="s">
        <v>102</v>
      </c>
      <c r="F4038" s="154" t="s">
        <v>2039</v>
      </c>
      <c r="G4038" s="36" t="s">
        <v>34</v>
      </c>
      <c r="H4038" s="36" t="s">
        <v>1655</v>
      </c>
      <c r="I4038" s="36" t="s">
        <v>1656</v>
      </c>
      <c r="J4038" s="36" t="s">
        <v>1656</v>
      </c>
      <c r="K4038" s="36" t="s">
        <v>1820</v>
      </c>
      <c r="L4038" s="36" t="s">
        <v>8363</v>
      </c>
      <c r="M4038" s="36" t="s">
        <v>8363</v>
      </c>
      <c r="N4038" s="36" t="s">
        <v>32</v>
      </c>
    </row>
    <row r="4039">
      <c r="A4039" s="36" t="s">
        <v>8539</v>
      </c>
      <c r="B4039" s="154" t="s">
        <v>8540</v>
      </c>
      <c r="C4039" s="36" t="s">
        <v>1666</v>
      </c>
      <c r="D4039" s="36" t="s">
        <v>100</v>
      </c>
      <c r="E4039" s="36" t="s">
        <v>100</v>
      </c>
      <c r="F4039" s="154" t="s">
        <v>1810</v>
      </c>
      <c r="G4039" s="36" t="s">
        <v>32</v>
      </c>
      <c r="H4039" s="36" t="s">
        <v>1655</v>
      </c>
      <c r="I4039" s="36" t="s">
        <v>1656</v>
      </c>
      <c r="J4039" s="36" t="s">
        <v>1656</v>
      </c>
      <c r="K4039" s="36" t="s">
        <v>1823</v>
      </c>
      <c r="L4039" s="36" t="s">
        <v>8363</v>
      </c>
      <c r="M4039" s="36" t="s">
        <v>8363</v>
      </c>
      <c r="N4039" s="36" t="s">
        <v>32</v>
      </c>
    </row>
    <row r="4040">
      <c r="A4040" s="36" t="s">
        <v>8541</v>
      </c>
      <c r="B4040" s="154" t="s">
        <v>8540</v>
      </c>
      <c r="C4040" s="36" t="s">
        <v>1666</v>
      </c>
      <c r="D4040" s="36" t="s">
        <v>375</v>
      </c>
      <c r="E4040" s="36" t="s">
        <v>375</v>
      </c>
      <c r="F4040" s="154" t="s">
        <v>1810</v>
      </c>
      <c r="G4040" s="36" t="s">
        <v>32</v>
      </c>
      <c r="H4040" s="36" t="s">
        <v>1655</v>
      </c>
      <c r="I4040" s="36" t="s">
        <v>1656</v>
      </c>
      <c r="J4040" s="36" t="s">
        <v>1656</v>
      </c>
      <c r="K4040" s="36" t="s">
        <v>1826</v>
      </c>
      <c r="L4040" s="36" t="s">
        <v>8363</v>
      </c>
      <c r="M4040" s="36" t="s">
        <v>8363</v>
      </c>
      <c r="N4040" s="36" t="s">
        <v>32</v>
      </c>
    </row>
    <row r="4041">
      <c r="A4041" s="36" t="s">
        <v>8542</v>
      </c>
      <c r="B4041" s="154" t="s">
        <v>8543</v>
      </c>
      <c r="C4041" s="36" t="s">
        <v>1666</v>
      </c>
      <c r="D4041" s="36" t="s">
        <v>79</v>
      </c>
      <c r="E4041" s="36" t="s">
        <v>79</v>
      </c>
      <c r="F4041" s="154" t="s">
        <v>8247</v>
      </c>
      <c r="G4041" s="36" t="s">
        <v>32</v>
      </c>
      <c r="H4041" s="36" t="s">
        <v>1655</v>
      </c>
      <c r="I4041" s="36" t="s">
        <v>1656</v>
      </c>
      <c r="J4041" s="36" t="s">
        <v>1656</v>
      </c>
      <c r="K4041" s="36" t="s">
        <v>1769</v>
      </c>
      <c r="L4041" s="36" t="s">
        <v>8363</v>
      </c>
      <c r="M4041" s="36" t="s">
        <v>8363</v>
      </c>
      <c r="N4041" s="36" t="s">
        <v>32</v>
      </c>
    </row>
    <row r="4042">
      <c r="A4042" s="36" t="s">
        <v>8544</v>
      </c>
      <c r="B4042" s="154" t="s">
        <v>8545</v>
      </c>
      <c r="C4042" s="36" t="s">
        <v>1666</v>
      </c>
      <c r="D4042" s="36" t="s">
        <v>378</v>
      </c>
      <c r="E4042" s="36" t="s">
        <v>378</v>
      </c>
      <c r="F4042" s="154" t="s">
        <v>8546</v>
      </c>
      <c r="G4042" s="36" t="s">
        <v>32</v>
      </c>
      <c r="H4042" s="36" t="s">
        <v>1655</v>
      </c>
      <c r="I4042" s="36" t="s">
        <v>1656</v>
      </c>
      <c r="J4042" s="36" t="s">
        <v>1656</v>
      </c>
      <c r="K4042" s="36" t="s">
        <v>1830</v>
      </c>
      <c r="L4042" s="36" t="s">
        <v>8363</v>
      </c>
      <c r="M4042" s="36" t="s">
        <v>8363</v>
      </c>
      <c r="N4042" s="36" t="s">
        <v>32</v>
      </c>
    </row>
    <row r="4043">
      <c r="A4043" s="36" t="s">
        <v>8547</v>
      </c>
      <c r="B4043" s="154" t="s">
        <v>8545</v>
      </c>
      <c r="C4043" s="36" t="s">
        <v>1666</v>
      </c>
      <c r="D4043" s="36" t="s">
        <v>379</v>
      </c>
      <c r="E4043" s="36" t="s">
        <v>379</v>
      </c>
      <c r="F4043" s="154" t="s">
        <v>1899</v>
      </c>
      <c r="G4043" s="36" t="s">
        <v>32</v>
      </c>
      <c r="H4043" s="36" t="s">
        <v>1655</v>
      </c>
      <c r="I4043" s="36" t="s">
        <v>1656</v>
      </c>
      <c r="J4043" s="36" t="s">
        <v>1656</v>
      </c>
      <c r="K4043" s="36" t="s">
        <v>1833</v>
      </c>
      <c r="L4043" s="36" t="s">
        <v>8363</v>
      </c>
      <c r="M4043" s="36" t="s">
        <v>8363</v>
      </c>
      <c r="N4043" s="36" t="s">
        <v>32</v>
      </c>
    </row>
    <row r="4044">
      <c r="A4044" s="36" t="s">
        <v>8548</v>
      </c>
      <c r="B4044" s="154" t="s">
        <v>8545</v>
      </c>
      <c r="C4044" s="36" t="s">
        <v>1666</v>
      </c>
      <c r="D4044" s="36" t="s">
        <v>100</v>
      </c>
      <c r="E4044" s="36" t="s">
        <v>100</v>
      </c>
      <c r="F4044" s="154" t="s">
        <v>1816</v>
      </c>
      <c r="G4044" s="36" t="s">
        <v>32</v>
      </c>
      <c r="H4044" s="36" t="s">
        <v>1655</v>
      </c>
      <c r="I4044" s="36" t="s">
        <v>1656</v>
      </c>
      <c r="J4044" s="36" t="s">
        <v>1656</v>
      </c>
      <c r="K4044" s="36" t="s">
        <v>1836</v>
      </c>
      <c r="L4044" s="36" t="s">
        <v>8363</v>
      </c>
      <c r="M4044" s="36" t="s">
        <v>8363</v>
      </c>
      <c r="N4044" s="36" t="s">
        <v>32</v>
      </c>
    </row>
    <row r="4045">
      <c r="A4045" s="36" t="s">
        <v>8549</v>
      </c>
      <c r="B4045" s="154" t="s">
        <v>8545</v>
      </c>
      <c r="C4045" s="36" t="s">
        <v>1666</v>
      </c>
      <c r="D4045" s="36" t="s">
        <v>384</v>
      </c>
      <c r="E4045" s="36" t="s">
        <v>384</v>
      </c>
      <c r="F4045" s="154" t="s">
        <v>2325</v>
      </c>
      <c r="G4045" s="36" t="s">
        <v>28</v>
      </c>
      <c r="H4045" s="36" t="s">
        <v>1655</v>
      </c>
      <c r="I4045" s="36" t="s">
        <v>1656</v>
      </c>
      <c r="J4045" s="36" t="s">
        <v>1656</v>
      </c>
      <c r="K4045" s="36" t="s">
        <v>1839</v>
      </c>
      <c r="L4045" s="36" t="s">
        <v>8363</v>
      </c>
      <c r="M4045" s="36" t="s">
        <v>8363</v>
      </c>
      <c r="N4045" s="36" t="s">
        <v>32</v>
      </c>
    </row>
    <row r="4046">
      <c r="A4046" s="36" t="s">
        <v>8550</v>
      </c>
      <c r="B4046" s="154" t="s">
        <v>8551</v>
      </c>
      <c r="C4046" s="36" t="s">
        <v>1666</v>
      </c>
      <c r="D4046" s="36" t="s">
        <v>100</v>
      </c>
      <c r="E4046" s="36" t="s">
        <v>100</v>
      </c>
      <c r="F4046" s="154" t="s">
        <v>1816</v>
      </c>
      <c r="G4046" s="36" t="s">
        <v>32</v>
      </c>
      <c r="H4046" s="36" t="s">
        <v>1655</v>
      </c>
      <c r="I4046" s="36" t="s">
        <v>1656</v>
      </c>
      <c r="J4046" s="36" t="s">
        <v>1656</v>
      </c>
      <c r="K4046" s="36" t="s">
        <v>1842</v>
      </c>
      <c r="L4046" s="36" t="s">
        <v>8363</v>
      </c>
      <c r="M4046" s="36" t="s">
        <v>8363</v>
      </c>
      <c r="N4046" s="36" t="s">
        <v>32</v>
      </c>
    </row>
    <row r="4047">
      <c r="A4047" s="36" t="s">
        <v>8552</v>
      </c>
      <c r="B4047" s="154" t="s">
        <v>8553</v>
      </c>
      <c r="C4047" s="36" t="s">
        <v>1666</v>
      </c>
      <c r="D4047" s="36" t="s">
        <v>133</v>
      </c>
      <c r="E4047" s="36" t="s">
        <v>133</v>
      </c>
      <c r="F4047" s="154" t="s">
        <v>8554</v>
      </c>
      <c r="G4047" s="36" t="s">
        <v>32</v>
      </c>
      <c r="H4047" s="36" t="s">
        <v>1655</v>
      </c>
      <c r="I4047" s="36" t="s">
        <v>1656</v>
      </c>
      <c r="J4047" s="36" t="s">
        <v>1656</v>
      </c>
      <c r="K4047" s="36" t="s">
        <v>1860</v>
      </c>
      <c r="L4047" s="36" t="s">
        <v>8363</v>
      </c>
      <c r="M4047" s="36" t="s">
        <v>8363</v>
      </c>
      <c r="N4047" s="36" t="s">
        <v>32</v>
      </c>
    </row>
    <row r="4048">
      <c r="A4048" s="36" t="s">
        <v>8555</v>
      </c>
      <c r="B4048" s="154" t="s">
        <v>8556</v>
      </c>
      <c r="C4048" s="36" t="s">
        <v>1666</v>
      </c>
      <c r="D4048" s="36" t="s">
        <v>399</v>
      </c>
      <c r="E4048" s="36" t="s">
        <v>399</v>
      </c>
      <c r="F4048" s="154" t="s">
        <v>1806</v>
      </c>
      <c r="G4048" s="36" t="s">
        <v>28</v>
      </c>
      <c r="H4048" s="36" t="s">
        <v>1655</v>
      </c>
      <c r="I4048" s="36" t="s">
        <v>1656</v>
      </c>
      <c r="J4048" s="36" t="s">
        <v>1656</v>
      </c>
      <c r="K4048" s="36" t="s">
        <v>1857</v>
      </c>
      <c r="L4048" s="36" t="s">
        <v>8363</v>
      </c>
      <c r="M4048" s="36" t="s">
        <v>8363</v>
      </c>
      <c r="N4048" s="36" t="s">
        <v>32</v>
      </c>
    </row>
    <row r="4049">
      <c r="A4049" s="36" t="s">
        <v>8557</v>
      </c>
      <c r="B4049" s="154" t="s">
        <v>8558</v>
      </c>
      <c r="C4049" s="36" t="s">
        <v>1666</v>
      </c>
      <c r="D4049" s="36" t="s">
        <v>81</v>
      </c>
      <c r="E4049" s="36" t="s">
        <v>81</v>
      </c>
      <c r="F4049" s="154" t="s">
        <v>8052</v>
      </c>
      <c r="G4049" s="36" t="s">
        <v>28</v>
      </c>
      <c r="H4049" s="36" t="s">
        <v>1655</v>
      </c>
      <c r="I4049" s="36" t="s">
        <v>1656</v>
      </c>
      <c r="J4049" s="36" t="s">
        <v>1656</v>
      </c>
      <c r="K4049" s="36" t="s">
        <v>1811</v>
      </c>
      <c r="L4049" s="36" t="s">
        <v>8363</v>
      </c>
      <c r="M4049" s="36" t="s">
        <v>8363</v>
      </c>
      <c r="N4049" s="36" t="s">
        <v>32</v>
      </c>
    </row>
    <row r="4050">
      <c r="A4050" s="36" t="s">
        <v>8559</v>
      </c>
      <c r="B4050" s="154" t="s">
        <v>8558</v>
      </c>
      <c r="C4050" s="36" t="s">
        <v>1666</v>
      </c>
      <c r="D4050" s="36" t="s">
        <v>83</v>
      </c>
      <c r="E4050" s="36" t="s">
        <v>83</v>
      </c>
      <c r="F4050" s="154" t="s">
        <v>8250</v>
      </c>
      <c r="G4050" s="36" t="s">
        <v>28</v>
      </c>
      <c r="H4050" s="36" t="s">
        <v>1655</v>
      </c>
      <c r="I4050" s="36" t="s">
        <v>1656</v>
      </c>
      <c r="J4050" s="36" t="s">
        <v>1656</v>
      </c>
      <c r="K4050" s="36" t="s">
        <v>1891</v>
      </c>
      <c r="L4050" s="36" t="s">
        <v>8363</v>
      </c>
      <c r="M4050" s="36" t="s">
        <v>8363</v>
      </c>
      <c r="N4050" s="36" t="s">
        <v>32</v>
      </c>
    </row>
    <row r="4051">
      <c r="A4051" s="36" t="s">
        <v>8560</v>
      </c>
      <c r="B4051" s="154" t="s">
        <v>8558</v>
      </c>
      <c r="C4051" s="36" t="s">
        <v>1666</v>
      </c>
      <c r="D4051" s="36" t="s">
        <v>84</v>
      </c>
      <c r="E4051" s="36" t="s">
        <v>84</v>
      </c>
      <c r="F4051" s="154" t="s">
        <v>8561</v>
      </c>
      <c r="G4051" s="36" t="s">
        <v>32</v>
      </c>
      <c r="H4051" s="36" t="s">
        <v>1655</v>
      </c>
      <c r="I4051" s="36" t="s">
        <v>1656</v>
      </c>
      <c r="J4051" s="36" t="s">
        <v>1656</v>
      </c>
      <c r="K4051" s="36" t="s">
        <v>1921</v>
      </c>
      <c r="L4051" s="36" t="s">
        <v>8363</v>
      </c>
      <c r="M4051" s="36" t="s">
        <v>8363</v>
      </c>
      <c r="N4051" s="36" t="s">
        <v>32</v>
      </c>
    </row>
    <row r="4052">
      <c r="A4052" s="36" t="s">
        <v>8562</v>
      </c>
      <c r="B4052" s="154" t="s">
        <v>8558</v>
      </c>
      <c r="C4052" s="36" t="s">
        <v>1666</v>
      </c>
      <c r="D4052" s="36" t="s">
        <v>130</v>
      </c>
      <c r="E4052" s="36" t="s">
        <v>130</v>
      </c>
      <c r="F4052" s="154" t="s">
        <v>1810</v>
      </c>
      <c r="G4052" s="36" t="s">
        <v>32</v>
      </c>
      <c r="H4052" s="36" t="s">
        <v>1655</v>
      </c>
      <c r="I4052" s="36" t="s">
        <v>1656</v>
      </c>
      <c r="J4052" s="36" t="s">
        <v>1656</v>
      </c>
      <c r="K4052" s="36" t="s">
        <v>1845</v>
      </c>
      <c r="L4052" s="36" t="s">
        <v>8363</v>
      </c>
      <c r="M4052" s="36" t="s">
        <v>8363</v>
      </c>
      <c r="N4052" s="36" t="s">
        <v>32</v>
      </c>
    </row>
    <row r="4053">
      <c r="A4053" s="36" t="s">
        <v>8563</v>
      </c>
      <c r="B4053" s="154" t="s">
        <v>8558</v>
      </c>
      <c r="C4053" s="36" t="s">
        <v>1666</v>
      </c>
      <c r="D4053" s="36" t="s">
        <v>390</v>
      </c>
      <c r="E4053" s="36" t="s">
        <v>390</v>
      </c>
      <c r="F4053" s="154" t="s">
        <v>7264</v>
      </c>
      <c r="G4053" s="36" t="s">
        <v>32</v>
      </c>
      <c r="H4053" s="36" t="s">
        <v>1655</v>
      </c>
      <c r="I4053" s="36" t="s">
        <v>1656</v>
      </c>
      <c r="J4053" s="36" t="s">
        <v>1656</v>
      </c>
      <c r="K4053" s="36" t="s">
        <v>1848</v>
      </c>
      <c r="L4053" s="36" t="s">
        <v>8363</v>
      </c>
      <c r="M4053" s="36" t="s">
        <v>8363</v>
      </c>
      <c r="N4053" s="36" t="s">
        <v>32</v>
      </c>
    </row>
    <row r="4054">
      <c r="A4054" s="36" t="s">
        <v>8564</v>
      </c>
      <c r="B4054" s="154" t="s">
        <v>8558</v>
      </c>
      <c r="C4054" s="36" t="s">
        <v>1666</v>
      </c>
      <c r="D4054" s="36" t="s">
        <v>204</v>
      </c>
      <c r="E4054" s="36" t="s">
        <v>204</v>
      </c>
      <c r="F4054" s="154" t="s">
        <v>8565</v>
      </c>
      <c r="G4054" s="36" t="s">
        <v>32</v>
      </c>
      <c r="H4054" s="36" t="s">
        <v>1655</v>
      </c>
      <c r="I4054" s="36" t="s">
        <v>1656</v>
      </c>
      <c r="J4054" s="36" t="s">
        <v>1656</v>
      </c>
      <c r="K4054" s="36" t="s">
        <v>1851</v>
      </c>
      <c r="L4054" s="36" t="s">
        <v>8363</v>
      </c>
      <c r="M4054" s="36" t="s">
        <v>8363</v>
      </c>
      <c r="N4054" s="36" t="s">
        <v>32</v>
      </c>
    </row>
    <row r="4055">
      <c r="A4055" s="36" t="s">
        <v>8566</v>
      </c>
      <c r="B4055" s="154" t="s">
        <v>8558</v>
      </c>
      <c r="C4055" s="36" t="s">
        <v>1666</v>
      </c>
      <c r="D4055" s="36" t="s">
        <v>235</v>
      </c>
      <c r="E4055" s="36" t="s">
        <v>235</v>
      </c>
      <c r="F4055" s="154" t="s">
        <v>2156</v>
      </c>
      <c r="G4055" s="36" t="s">
        <v>28</v>
      </c>
      <c r="H4055" s="36" t="s">
        <v>1655</v>
      </c>
      <c r="I4055" s="36" t="s">
        <v>1656</v>
      </c>
      <c r="J4055" s="36" t="s">
        <v>1656</v>
      </c>
      <c r="K4055" s="36" t="s">
        <v>1854</v>
      </c>
      <c r="L4055" s="36" t="s">
        <v>8363</v>
      </c>
      <c r="M4055" s="36" t="s">
        <v>8363</v>
      </c>
      <c r="N4055" s="36" t="s">
        <v>32</v>
      </c>
    </row>
    <row r="4056">
      <c r="A4056" s="36" t="s">
        <v>8567</v>
      </c>
      <c r="B4056" s="154" t="s">
        <v>8558</v>
      </c>
      <c r="C4056" s="36" t="s">
        <v>1666</v>
      </c>
      <c r="D4056" s="36" t="s">
        <v>403</v>
      </c>
      <c r="E4056" s="36" t="s">
        <v>403</v>
      </c>
      <c r="F4056" s="154" t="s">
        <v>2325</v>
      </c>
      <c r="G4056" s="36" t="s">
        <v>28</v>
      </c>
      <c r="H4056" s="36" t="s">
        <v>1655</v>
      </c>
      <c r="I4056" s="36" t="s">
        <v>1656</v>
      </c>
      <c r="J4056" s="36" t="s">
        <v>1656</v>
      </c>
      <c r="K4056" s="36" t="s">
        <v>1863</v>
      </c>
      <c r="L4056" s="36" t="s">
        <v>8363</v>
      </c>
      <c r="M4056" s="36" t="s">
        <v>8363</v>
      </c>
      <c r="N4056" s="36" t="s">
        <v>32</v>
      </c>
    </row>
    <row r="4057">
      <c r="A4057" s="36" t="s">
        <v>8568</v>
      </c>
      <c r="B4057" s="154" t="s">
        <v>8558</v>
      </c>
      <c r="C4057" s="36" t="s">
        <v>1666</v>
      </c>
      <c r="D4057" s="36" t="s">
        <v>404</v>
      </c>
      <c r="E4057" s="36" t="s">
        <v>404</v>
      </c>
      <c r="F4057" s="154" t="s">
        <v>8569</v>
      </c>
      <c r="G4057" s="36" t="s">
        <v>32</v>
      </c>
      <c r="H4057" s="36" t="s">
        <v>1655</v>
      </c>
      <c r="I4057" s="36" t="s">
        <v>1656</v>
      </c>
      <c r="J4057" s="36" t="s">
        <v>1656</v>
      </c>
      <c r="K4057" s="36" t="s">
        <v>8570</v>
      </c>
      <c r="L4057" s="36" t="s">
        <v>8363</v>
      </c>
      <c r="M4057" s="36" t="s">
        <v>8363</v>
      </c>
      <c r="N4057" s="36" t="s">
        <v>32</v>
      </c>
    </row>
    <row r="4058">
      <c r="A4058" s="36" t="s">
        <v>8571</v>
      </c>
      <c r="B4058" s="154" t="s">
        <v>8572</v>
      </c>
      <c r="C4058" s="36" t="s">
        <v>1653</v>
      </c>
      <c r="D4058" s="36" t="s">
        <v>43</v>
      </c>
      <c r="E4058" s="36" t="s">
        <v>39</v>
      </c>
      <c r="F4058" s="154" t="s">
        <v>8573</v>
      </c>
      <c r="G4058" s="36" t="s">
        <v>32</v>
      </c>
      <c r="H4058" s="36" t="s">
        <v>1655</v>
      </c>
      <c r="I4058" s="36" t="s">
        <v>1656</v>
      </c>
      <c r="J4058" s="36" t="s">
        <v>1656</v>
      </c>
      <c r="K4058" s="36" t="s">
        <v>1657</v>
      </c>
      <c r="L4058" s="36" t="s">
        <v>8454</v>
      </c>
      <c r="M4058" s="36" t="s">
        <v>8454</v>
      </c>
      <c r="N4058" s="36" t="s">
        <v>32</v>
      </c>
    </row>
    <row r="4059">
      <c r="A4059" s="36" t="s">
        <v>8574</v>
      </c>
      <c r="B4059" s="154" t="s">
        <v>8572</v>
      </c>
      <c r="C4059" s="36" t="s">
        <v>1653</v>
      </c>
      <c r="D4059" s="36" t="s">
        <v>165</v>
      </c>
      <c r="E4059" s="36" t="s">
        <v>39</v>
      </c>
      <c r="F4059" s="154" t="s">
        <v>8575</v>
      </c>
      <c r="G4059" s="36" t="s">
        <v>32</v>
      </c>
      <c r="H4059" s="36" t="s">
        <v>1655</v>
      </c>
      <c r="I4059" s="36" t="s">
        <v>1656</v>
      </c>
      <c r="J4059" s="36" t="s">
        <v>1656</v>
      </c>
      <c r="K4059" s="36" t="s">
        <v>4092</v>
      </c>
      <c r="L4059" s="36" t="s">
        <v>8454</v>
      </c>
      <c r="M4059" s="36" t="s">
        <v>8454</v>
      </c>
      <c r="N4059" s="36" t="s">
        <v>32</v>
      </c>
    </row>
    <row r="4060">
      <c r="A4060" s="36" t="s">
        <v>8576</v>
      </c>
      <c r="B4060" s="154" t="s">
        <v>8572</v>
      </c>
      <c r="C4060" s="36" t="s">
        <v>1653</v>
      </c>
      <c r="D4060" s="36" t="s">
        <v>174</v>
      </c>
      <c r="E4060" s="36" t="s">
        <v>39</v>
      </c>
      <c r="F4060" s="154" t="s">
        <v>8577</v>
      </c>
      <c r="G4060" s="36" t="s">
        <v>32</v>
      </c>
      <c r="H4060" s="36" t="s">
        <v>1655</v>
      </c>
      <c r="I4060" s="36" t="s">
        <v>1656</v>
      </c>
      <c r="J4060" s="36" t="s">
        <v>1656</v>
      </c>
      <c r="K4060" s="36" t="s">
        <v>1978</v>
      </c>
      <c r="L4060" s="36" t="s">
        <v>8454</v>
      </c>
      <c r="M4060" s="36" t="s">
        <v>8454</v>
      </c>
      <c r="N4060" s="36" t="s">
        <v>32</v>
      </c>
    </row>
    <row r="4061">
      <c r="A4061" s="36" t="s">
        <v>8578</v>
      </c>
      <c r="B4061" s="154" t="s">
        <v>8572</v>
      </c>
      <c r="C4061" s="36" t="s">
        <v>1653</v>
      </c>
      <c r="D4061" s="36" t="s">
        <v>161</v>
      </c>
      <c r="E4061" s="36" t="s">
        <v>39</v>
      </c>
      <c r="F4061" s="154" t="s">
        <v>8579</v>
      </c>
      <c r="G4061" s="36" t="s">
        <v>32</v>
      </c>
      <c r="H4061" s="36" t="s">
        <v>1655</v>
      </c>
      <c r="I4061" s="36" t="s">
        <v>1656</v>
      </c>
      <c r="J4061" s="36" t="s">
        <v>1656</v>
      </c>
      <c r="K4061" s="36" t="s">
        <v>1664</v>
      </c>
      <c r="L4061" s="36" t="s">
        <v>8454</v>
      </c>
      <c r="M4061" s="36" t="s">
        <v>8454</v>
      </c>
      <c r="N4061" s="36" t="s">
        <v>32</v>
      </c>
    </row>
    <row r="4062">
      <c r="A4062" s="36" t="s">
        <v>8580</v>
      </c>
      <c r="B4062" s="154" t="s">
        <v>8572</v>
      </c>
      <c r="C4062" s="36" t="s">
        <v>1666</v>
      </c>
      <c r="D4062" s="36" t="s">
        <v>189</v>
      </c>
      <c r="E4062" s="36" t="s">
        <v>189</v>
      </c>
      <c r="F4062" s="154" t="s">
        <v>5149</v>
      </c>
      <c r="G4062" s="36" t="s">
        <v>32</v>
      </c>
      <c r="H4062" s="36" t="s">
        <v>1655</v>
      </c>
      <c r="I4062" s="36" t="s">
        <v>1656</v>
      </c>
      <c r="J4062" s="36" t="s">
        <v>1656</v>
      </c>
      <c r="K4062" s="36" t="s">
        <v>3035</v>
      </c>
      <c r="L4062" s="36" t="s">
        <v>8363</v>
      </c>
      <c r="M4062" s="36" t="s">
        <v>8363</v>
      </c>
      <c r="N4062" s="36" t="s">
        <v>32</v>
      </c>
    </row>
    <row r="4063">
      <c r="A4063" s="36" t="s">
        <v>8581</v>
      </c>
      <c r="B4063" s="154" t="s">
        <v>8572</v>
      </c>
      <c r="C4063" s="36" t="s">
        <v>1666</v>
      </c>
      <c r="D4063" s="36" t="s">
        <v>85</v>
      </c>
      <c r="E4063" s="36" t="s">
        <v>85</v>
      </c>
      <c r="F4063" s="154" t="s">
        <v>8461</v>
      </c>
      <c r="G4063" s="36" t="s">
        <v>28</v>
      </c>
      <c r="H4063" s="36" t="s">
        <v>1655</v>
      </c>
      <c r="I4063" s="36" t="s">
        <v>1656</v>
      </c>
      <c r="J4063" s="36" t="s">
        <v>1656</v>
      </c>
      <c r="K4063" s="36" t="s">
        <v>3038</v>
      </c>
      <c r="L4063" s="36" t="s">
        <v>8363</v>
      </c>
      <c r="M4063" s="36" t="s">
        <v>8363</v>
      </c>
      <c r="N4063" s="36" t="s">
        <v>32</v>
      </c>
    </row>
    <row r="4064">
      <c r="A4064" s="36" t="s">
        <v>8582</v>
      </c>
      <c r="B4064" s="154" t="s">
        <v>8572</v>
      </c>
      <c r="C4064" s="36" t="s">
        <v>1666</v>
      </c>
      <c r="D4064" s="36" t="s">
        <v>189</v>
      </c>
      <c r="E4064" s="36" t="s">
        <v>189</v>
      </c>
      <c r="F4064" s="154" t="s">
        <v>2292</v>
      </c>
      <c r="G4064" s="36" t="s">
        <v>32</v>
      </c>
      <c r="H4064" s="36" t="s">
        <v>1655</v>
      </c>
      <c r="I4064" s="36" t="s">
        <v>1656</v>
      </c>
      <c r="J4064" s="36" t="s">
        <v>1656</v>
      </c>
      <c r="K4064" s="36" t="s">
        <v>1668</v>
      </c>
      <c r="L4064" s="36" t="s">
        <v>8363</v>
      </c>
      <c r="M4064" s="36" t="s">
        <v>8363</v>
      </c>
      <c r="N4064" s="36" t="s">
        <v>32</v>
      </c>
    </row>
    <row r="4065">
      <c r="A4065" s="36" t="s">
        <v>8583</v>
      </c>
      <c r="B4065" s="154" t="s">
        <v>8584</v>
      </c>
      <c r="C4065" s="36" t="s">
        <v>1666</v>
      </c>
      <c r="D4065" s="36" t="s">
        <v>202</v>
      </c>
      <c r="E4065" s="36" t="s">
        <v>202</v>
      </c>
      <c r="F4065" s="154" t="s">
        <v>8236</v>
      </c>
      <c r="G4065" s="36" t="s">
        <v>32</v>
      </c>
      <c r="H4065" s="36" t="s">
        <v>1655</v>
      </c>
      <c r="I4065" s="36" t="s">
        <v>1656</v>
      </c>
      <c r="J4065" s="36" t="s">
        <v>1656</v>
      </c>
      <c r="K4065" s="36" t="s">
        <v>1672</v>
      </c>
      <c r="L4065" s="36" t="s">
        <v>8363</v>
      </c>
      <c r="M4065" s="36" t="s">
        <v>8363</v>
      </c>
      <c r="N4065" s="36" t="s">
        <v>32</v>
      </c>
    </row>
    <row r="4066">
      <c r="A4066" s="36" t="s">
        <v>8585</v>
      </c>
      <c r="B4066" s="154" t="s">
        <v>8584</v>
      </c>
      <c r="C4066" s="36" t="s">
        <v>1666</v>
      </c>
      <c r="D4066" s="36" t="s">
        <v>209</v>
      </c>
      <c r="E4066" s="36" t="s">
        <v>209</v>
      </c>
      <c r="F4066" s="154" t="s">
        <v>2930</v>
      </c>
      <c r="G4066" s="36" t="s">
        <v>28</v>
      </c>
      <c r="H4066" s="36" t="s">
        <v>1655</v>
      </c>
      <c r="I4066" s="36" t="s">
        <v>1656</v>
      </c>
      <c r="J4066" s="36" t="s">
        <v>1656</v>
      </c>
      <c r="K4066" s="36" t="s">
        <v>1675</v>
      </c>
      <c r="L4066" s="36" t="s">
        <v>8363</v>
      </c>
      <c r="M4066" s="36" t="s">
        <v>8363</v>
      </c>
      <c r="N4066" s="36" t="s">
        <v>34</v>
      </c>
    </row>
    <row r="4067">
      <c r="A4067" s="36" t="s">
        <v>8586</v>
      </c>
      <c r="B4067" s="154" t="s">
        <v>8584</v>
      </c>
      <c r="C4067" s="36" t="s">
        <v>1666</v>
      </c>
      <c r="D4067" s="36" t="s">
        <v>214</v>
      </c>
      <c r="E4067" s="36" t="s">
        <v>214</v>
      </c>
      <c r="F4067" s="154" t="s">
        <v>1710</v>
      </c>
      <c r="G4067" s="36" t="s">
        <v>28</v>
      </c>
      <c r="H4067" s="36" t="s">
        <v>1655</v>
      </c>
      <c r="I4067" s="36" t="s">
        <v>1656</v>
      </c>
      <c r="J4067" s="36" t="s">
        <v>1656</v>
      </c>
      <c r="K4067" s="36" t="s">
        <v>1678</v>
      </c>
      <c r="L4067" s="36" t="s">
        <v>8363</v>
      </c>
      <c r="M4067" s="36" t="s">
        <v>8363</v>
      </c>
      <c r="N4067" s="36" t="s">
        <v>34</v>
      </c>
    </row>
    <row r="4068">
      <c r="A4068" s="36" t="s">
        <v>8587</v>
      </c>
      <c r="B4068" s="154" t="s">
        <v>8588</v>
      </c>
      <c r="C4068" s="36" t="s">
        <v>1666</v>
      </c>
      <c r="D4068" s="36" t="s">
        <v>78</v>
      </c>
      <c r="E4068" s="36" t="s">
        <v>78</v>
      </c>
      <c r="F4068" s="154" t="s">
        <v>1899</v>
      </c>
      <c r="G4068" s="36" t="s">
        <v>28</v>
      </c>
      <c r="H4068" s="36" t="s">
        <v>1655</v>
      </c>
      <c r="I4068" s="36" t="s">
        <v>1656</v>
      </c>
      <c r="J4068" s="36" t="s">
        <v>1656</v>
      </c>
      <c r="K4068" s="36" t="s">
        <v>4248</v>
      </c>
      <c r="L4068" s="36" t="s">
        <v>8363</v>
      </c>
      <c r="M4068" s="36" t="s">
        <v>8363</v>
      </c>
      <c r="N4068" s="36" t="s">
        <v>32</v>
      </c>
    </row>
    <row r="4069">
      <c r="A4069" s="36" t="s">
        <v>8589</v>
      </c>
      <c r="B4069" s="154" t="s">
        <v>8588</v>
      </c>
      <c r="C4069" s="36" t="s">
        <v>1666</v>
      </c>
      <c r="D4069" s="36" t="s">
        <v>210</v>
      </c>
      <c r="E4069" s="36" t="s">
        <v>210</v>
      </c>
      <c r="F4069" s="154" t="s">
        <v>1899</v>
      </c>
      <c r="G4069" s="36" t="s">
        <v>28</v>
      </c>
      <c r="H4069" s="36" t="s">
        <v>1655</v>
      </c>
      <c r="I4069" s="36" t="s">
        <v>1656</v>
      </c>
      <c r="J4069" s="36" t="s">
        <v>1656</v>
      </c>
      <c r="K4069" s="36" t="s">
        <v>1681</v>
      </c>
      <c r="L4069" s="36" t="s">
        <v>8363</v>
      </c>
      <c r="M4069" s="36" t="s">
        <v>8363</v>
      </c>
      <c r="N4069" s="36" t="s">
        <v>32</v>
      </c>
    </row>
    <row r="4070">
      <c r="A4070" s="36" t="s">
        <v>8590</v>
      </c>
      <c r="B4070" s="154" t="s">
        <v>8588</v>
      </c>
      <c r="C4070" s="36" t="s">
        <v>1666</v>
      </c>
      <c r="D4070" s="36" t="s">
        <v>229</v>
      </c>
      <c r="E4070" s="36" t="s">
        <v>229</v>
      </c>
      <c r="F4070" s="154" t="s">
        <v>2346</v>
      </c>
      <c r="G4070" s="36" t="s">
        <v>28</v>
      </c>
      <c r="H4070" s="36" t="s">
        <v>1655</v>
      </c>
      <c r="I4070" s="36" t="s">
        <v>1656</v>
      </c>
      <c r="J4070" s="36" t="s">
        <v>1656</v>
      </c>
      <c r="K4070" s="36" t="s">
        <v>1684</v>
      </c>
      <c r="L4070" s="36" t="s">
        <v>8363</v>
      </c>
      <c r="M4070" s="36" t="s">
        <v>8363</v>
      </c>
      <c r="N4070" s="36" t="s">
        <v>32</v>
      </c>
    </row>
    <row r="4071">
      <c r="A4071" s="36" t="s">
        <v>8591</v>
      </c>
      <c r="B4071" s="154" t="s">
        <v>8588</v>
      </c>
      <c r="C4071" s="36" t="s">
        <v>1666</v>
      </c>
      <c r="D4071" s="36" t="s">
        <v>90</v>
      </c>
      <c r="E4071" s="36" t="s">
        <v>90</v>
      </c>
      <c r="F4071" s="154" t="s">
        <v>1832</v>
      </c>
      <c r="G4071" s="36" t="s">
        <v>28</v>
      </c>
      <c r="H4071" s="36" t="s">
        <v>1655</v>
      </c>
      <c r="I4071" s="36" t="s">
        <v>1656</v>
      </c>
      <c r="J4071" s="36" t="s">
        <v>1656</v>
      </c>
      <c r="K4071" s="36" t="s">
        <v>1691</v>
      </c>
      <c r="L4071" s="36" t="s">
        <v>8363</v>
      </c>
      <c r="M4071" s="36" t="s">
        <v>8363</v>
      </c>
      <c r="N4071" s="36" t="s">
        <v>32</v>
      </c>
    </row>
    <row r="4072">
      <c r="A4072" s="36" t="s">
        <v>8592</v>
      </c>
      <c r="B4072" s="154" t="s">
        <v>8593</v>
      </c>
      <c r="C4072" s="36" t="s">
        <v>1666</v>
      </c>
      <c r="D4072" s="36" t="s">
        <v>63</v>
      </c>
      <c r="E4072" s="36" t="s">
        <v>63</v>
      </c>
      <c r="F4072" s="154" t="s">
        <v>8594</v>
      </c>
      <c r="G4072" s="36" t="s">
        <v>32</v>
      </c>
      <c r="H4072" s="36" t="s">
        <v>1655</v>
      </c>
      <c r="I4072" s="36" t="s">
        <v>1656</v>
      </c>
      <c r="J4072" s="36" t="s">
        <v>1656</v>
      </c>
      <c r="K4072" s="36" t="s">
        <v>4196</v>
      </c>
      <c r="L4072" s="36" t="s">
        <v>8363</v>
      </c>
      <c r="M4072" s="36" t="s">
        <v>8363</v>
      </c>
      <c r="N4072" s="36" t="s">
        <v>34</v>
      </c>
    </row>
    <row r="4073">
      <c r="A4073" s="36" t="s">
        <v>8595</v>
      </c>
      <c r="B4073" s="154" t="s">
        <v>8593</v>
      </c>
      <c r="C4073" s="36" t="s">
        <v>1666</v>
      </c>
      <c r="D4073" s="36" t="s">
        <v>244</v>
      </c>
      <c r="E4073" s="36" t="s">
        <v>244</v>
      </c>
      <c r="F4073" s="154" t="s">
        <v>8596</v>
      </c>
      <c r="G4073" s="36" t="s">
        <v>32</v>
      </c>
      <c r="H4073" s="36" t="s">
        <v>1655</v>
      </c>
      <c r="I4073" s="36" t="s">
        <v>1656</v>
      </c>
      <c r="J4073" s="36" t="s">
        <v>1656</v>
      </c>
      <c r="K4073" s="36" t="s">
        <v>1695</v>
      </c>
      <c r="L4073" s="36" t="s">
        <v>8363</v>
      </c>
      <c r="M4073" s="36" t="s">
        <v>8363</v>
      </c>
      <c r="N4073" s="36" t="s">
        <v>32</v>
      </c>
    </row>
    <row r="4074">
      <c r="A4074" s="36" t="s">
        <v>8597</v>
      </c>
      <c r="B4074" s="154" t="s">
        <v>8598</v>
      </c>
      <c r="C4074" s="36" t="s">
        <v>1666</v>
      </c>
      <c r="D4074" s="36" t="s">
        <v>64</v>
      </c>
      <c r="E4074" s="36" t="s">
        <v>64</v>
      </c>
      <c r="F4074" s="154" t="s">
        <v>8599</v>
      </c>
      <c r="G4074" s="36" t="s">
        <v>28</v>
      </c>
      <c r="H4074" s="36" t="s">
        <v>1655</v>
      </c>
      <c r="I4074" s="36" t="s">
        <v>1656</v>
      </c>
      <c r="J4074" s="36" t="s">
        <v>1656</v>
      </c>
      <c r="K4074" s="36" t="s">
        <v>1708</v>
      </c>
      <c r="L4074" s="36" t="s">
        <v>8363</v>
      </c>
      <c r="M4074" s="36" t="s">
        <v>8363</v>
      </c>
      <c r="N4074" s="36" t="s">
        <v>32</v>
      </c>
    </row>
    <row r="4075">
      <c r="A4075" s="36" t="s">
        <v>8600</v>
      </c>
      <c r="B4075" s="154" t="s">
        <v>8598</v>
      </c>
      <c r="C4075" s="36" t="s">
        <v>1666</v>
      </c>
      <c r="D4075" s="36" t="s">
        <v>248</v>
      </c>
      <c r="E4075" s="36" t="s">
        <v>248</v>
      </c>
      <c r="F4075" s="154" t="s">
        <v>8601</v>
      </c>
      <c r="G4075" s="36" t="s">
        <v>28</v>
      </c>
      <c r="H4075" s="36" t="s">
        <v>1655</v>
      </c>
      <c r="I4075" s="36" t="s">
        <v>1656</v>
      </c>
      <c r="J4075" s="36" t="s">
        <v>1656</v>
      </c>
      <c r="K4075" s="36" t="s">
        <v>1698</v>
      </c>
      <c r="L4075" s="36" t="s">
        <v>8363</v>
      </c>
      <c r="M4075" s="36" t="s">
        <v>8363</v>
      </c>
      <c r="N4075" s="36" t="s">
        <v>34</v>
      </c>
    </row>
    <row r="4076">
      <c r="A4076" s="36" t="s">
        <v>8602</v>
      </c>
      <c r="B4076" s="154" t="s">
        <v>8598</v>
      </c>
      <c r="C4076" s="36" t="s">
        <v>1666</v>
      </c>
      <c r="D4076" s="36" t="s">
        <v>254</v>
      </c>
      <c r="E4076" s="36" t="s">
        <v>254</v>
      </c>
      <c r="F4076" s="154" t="s">
        <v>7106</v>
      </c>
      <c r="G4076" s="36" t="s">
        <v>28</v>
      </c>
      <c r="H4076" s="36" t="s">
        <v>1655</v>
      </c>
      <c r="I4076" s="36" t="s">
        <v>1656</v>
      </c>
      <c r="J4076" s="36" t="s">
        <v>1656</v>
      </c>
      <c r="K4076" s="36" t="s">
        <v>1701</v>
      </c>
      <c r="L4076" s="36" t="s">
        <v>8363</v>
      </c>
      <c r="M4076" s="36" t="s">
        <v>8363</v>
      </c>
      <c r="N4076" s="36" t="s">
        <v>34</v>
      </c>
    </row>
    <row r="4077">
      <c r="A4077" s="36" t="s">
        <v>8603</v>
      </c>
      <c r="B4077" s="154" t="s">
        <v>8604</v>
      </c>
      <c r="C4077" s="36" t="s">
        <v>1666</v>
      </c>
      <c r="D4077" s="36" t="s">
        <v>234</v>
      </c>
      <c r="E4077" s="36" t="s">
        <v>234</v>
      </c>
      <c r="F4077" s="154" t="s">
        <v>1868</v>
      </c>
      <c r="G4077" s="36" t="s">
        <v>28</v>
      </c>
      <c r="H4077" s="36" t="s">
        <v>1655</v>
      </c>
      <c r="I4077" s="36" t="s">
        <v>1656</v>
      </c>
      <c r="J4077" s="36" t="s">
        <v>1656</v>
      </c>
      <c r="K4077" s="36" t="s">
        <v>1704</v>
      </c>
      <c r="L4077" s="36" t="s">
        <v>8363</v>
      </c>
      <c r="M4077" s="36" t="s">
        <v>8363</v>
      </c>
      <c r="N4077" s="36" t="s">
        <v>34</v>
      </c>
    </row>
    <row r="4078">
      <c r="A4078" s="36" t="s">
        <v>8605</v>
      </c>
      <c r="B4078" s="154" t="s">
        <v>8606</v>
      </c>
      <c r="C4078" s="36" t="s">
        <v>1666</v>
      </c>
      <c r="D4078" s="36" t="s">
        <v>264</v>
      </c>
      <c r="E4078" s="36" t="s">
        <v>264</v>
      </c>
      <c r="F4078" s="154" t="s">
        <v>8607</v>
      </c>
      <c r="G4078" s="36" t="s">
        <v>32</v>
      </c>
      <c r="H4078" s="36" t="s">
        <v>1655</v>
      </c>
      <c r="I4078" s="36" t="s">
        <v>1656</v>
      </c>
      <c r="J4078" s="36" t="s">
        <v>1656</v>
      </c>
      <c r="K4078" s="36" t="s">
        <v>1711</v>
      </c>
      <c r="L4078" s="36" t="s">
        <v>8363</v>
      </c>
      <c r="M4078" s="36" t="s">
        <v>8363</v>
      </c>
      <c r="N4078" s="36" t="s">
        <v>32</v>
      </c>
    </row>
    <row r="4079">
      <c r="A4079" s="36" t="s">
        <v>8608</v>
      </c>
      <c r="B4079" s="154" t="s">
        <v>8606</v>
      </c>
      <c r="C4079" s="36" t="s">
        <v>1666</v>
      </c>
      <c r="D4079" s="36" t="s">
        <v>210</v>
      </c>
      <c r="E4079" s="36" t="s">
        <v>210</v>
      </c>
      <c r="F4079" s="154" t="s">
        <v>8609</v>
      </c>
      <c r="G4079" s="36" t="s">
        <v>28</v>
      </c>
      <c r="H4079" s="36" t="s">
        <v>1655</v>
      </c>
      <c r="I4079" s="36" t="s">
        <v>1656</v>
      </c>
      <c r="J4079" s="36" t="s">
        <v>1656</v>
      </c>
      <c r="K4079" s="36" t="s">
        <v>1715</v>
      </c>
      <c r="L4079" s="36" t="s">
        <v>8363</v>
      </c>
      <c r="M4079" s="36" t="s">
        <v>8363</v>
      </c>
      <c r="N4079" s="36" t="s">
        <v>32</v>
      </c>
    </row>
    <row r="4080">
      <c r="A4080" s="36" t="s">
        <v>8610</v>
      </c>
      <c r="B4080" s="154" t="s">
        <v>8606</v>
      </c>
      <c r="C4080" s="36" t="s">
        <v>1666</v>
      </c>
      <c r="D4080" s="36" t="s">
        <v>273</v>
      </c>
      <c r="E4080" s="36" t="s">
        <v>273</v>
      </c>
      <c r="F4080" s="154" t="s">
        <v>3049</v>
      </c>
      <c r="G4080" s="36" t="s">
        <v>28</v>
      </c>
      <c r="H4080" s="36" t="s">
        <v>1655</v>
      </c>
      <c r="I4080" s="36" t="s">
        <v>1656</v>
      </c>
      <c r="J4080" s="36" t="s">
        <v>1656</v>
      </c>
      <c r="K4080" s="36" t="s">
        <v>1717</v>
      </c>
      <c r="L4080" s="36" t="s">
        <v>8363</v>
      </c>
      <c r="M4080" s="36" t="s">
        <v>8363</v>
      </c>
      <c r="N4080" s="36" t="s">
        <v>34</v>
      </c>
    </row>
    <row r="4081">
      <c r="A4081" s="36" t="s">
        <v>8611</v>
      </c>
      <c r="B4081" s="154" t="s">
        <v>8606</v>
      </c>
      <c r="C4081" s="36" t="s">
        <v>1666</v>
      </c>
      <c r="D4081" s="36" t="s">
        <v>276</v>
      </c>
      <c r="E4081" s="36" t="s">
        <v>276</v>
      </c>
      <c r="F4081" s="154" t="s">
        <v>2035</v>
      </c>
      <c r="G4081" s="36" t="s">
        <v>28</v>
      </c>
      <c r="H4081" s="36" t="s">
        <v>1655</v>
      </c>
      <c r="I4081" s="36" t="s">
        <v>1656</v>
      </c>
      <c r="J4081" s="36" t="s">
        <v>1656</v>
      </c>
      <c r="K4081" s="36" t="s">
        <v>1724</v>
      </c>
      <c r="L4081" s="36" t="s">
        <v>8363</v>
      </c>
      <c r="M4081" s="36" t="s">
        <v>8363</v>
      </c>
      <c r="N4081" s="36" t="s">
        <v>34</v>
      </c>
    </row>
    <row r="4082">
      <c r="A4082" s="36" t="s">
        <v>8612</v>
      </c>
      <c r="B4082" s="154" t="s">
        <v>8613</v>
      </c>
      <c r="C4082" s="36" t="s">
        <v>1666</v>
      </c>
      <c r="D4082" s="36" t="s">
        <v>67</v>
      </c>
      <c r="E4082" s="36" t="s">
        <v>67</v>
      </c>
      <c r="F4082" s="154" t="s">
        <v>8614</v>
      </c>
      <c r="G4082" s="36" t="s">
        <v>28</v>
      </c>
      <c r="H4082" s="36" t="s">
        <v>1655</v>
      </c>
      <c r="I4082" s="36" t="s">
        <v>1656</v>
      </c>
      <c r="J4082" s="36" t="s">
        <v>1656</v>
      </c>
      <c r="K4082" s="36" t="s">
        <v>1721</v>
      </c>
      <c r="L4082" s="36" t="s">
        <v>8363</v>
      </c>
      <c r="M4082" s="36" t="s">
        <v>8363</v>
      </c>
      <c r="N4082" s="36" t="s">
        <v>32</v>
      </c>
    </row>
    <row r="4083">
      <c r="A4083" s="36" t="s">
        <v>8615</v>
      </c>
      <c r="B4083" s="154" t="s">
        <v>8613</v>
      </c>
      <c r="C4083" s="36" t="s">
        <v>1666</v>
      </c>
      <c r="D4083" s="36" t="s">
        <v>280</v>
      </c>
      <c r="E4083" s="36" t="s">
        <v>280</v>
      </c>
      <c r="F4083" s="154" t="s">
        <v>7728</v>
      </c>
      <c r="G4083" s="36" t="s">
        <v>32</v>
      </c>
      <c r="H4083" s="36" t="s">
        <v>1655</v>
      </c>
      <c r="I4083" s="36" t="s">
        <v>1656</v>
      </c>
      <c r="J4083" s="36" t="s">
        <v>1656</v>
      </c>
      <c r="K4083" s="36" t="s">
        <v>1727</v>
      </c>
      <c r="L4083" s="36" t="s">
        <v>8363</v>
      </c>
      <c r="M4083" s="36" t="s">
        <v>8363</v>
      </c>
      <c r="N4083" s="36" t="s">
        <v>32</v>
      </c>
    </row>
    <row r="4084">
      <c r="A4084" s="36" t="s">
        <v>8616</v>
      </c>
      <c r="B4084" s="154" t="s">
        <v>8613</v>
      </c>
      <c r="C4084" s="36" t="s">
        <v>1666</v>
      </c>
      <c r="D4084" s="36" t="s">
        <v>284</v>
      </c>
      <c r="E4084" s="36" t="s">
        <v>284</v>
      </c>
      <c r="F4084" s="154" t="s">
        <v>7888</v>
      </c>
      <c r="G4084" s="36" t="s">
        <v>28</v>
      </c>
      <c r="H4084" s="36" t="s">
        <v>1655</v>
      </c>
      <c r="I4084" s="36" t="s">
        <v>1656</v>
      </c>
      <c r="J4084" s="36" t="s">
        <v>1656</v>
      </c>
      <c r="K4084" s="36" t="s">
        <v>1730</v>
      </c>
      <c r="L4084" s="36" t="s">
        <v>8363</v>
      </c>
      <c r="M4084" s="36" t="s">
        <v>8363</v>
      </c>
      <c r="N4084" s="36" t="s">
        <v>34</v>
      </c>
    </row>
    <row r="4085">
      <c r="A4085" s="36" t="s">
        <v>8617</v>
      </c>
      <c r="B4085" s="154" t="s">
        <v>8618</v>
      </c>
      <c r="C4085" s="36" t="s">
        <v>1666</v>
      </c>
      <c r="D4085" s="36" t="s">
        <v>90</v>
      </c>
      <c r="E4085" s="36" t="s">
        <v>90</v>
      </c>
      <c r="F4085" s="154" t="s">
        <v>1686</v>
      </c>
      <c r="G4085" s="36" t="s">
        <v>28</v>
      </c>
      <c r="H4085" s="36" t="s">
        <v>1655</v>
      </c>
      <c r="I4085" s="36" t="s">
        <v>1656</v>
      </c>
      <c r="J4085" s="36" t="s">
        <v>1656</v>
      </c>
      <c r="K4085" s="36" t="s">
        <v>1732</v>
      </c>
      <c r="L4085" s="36" t="s">
        <v>8363</v>
      </c>
      <c r="M4085" s="36" t="s">
        <v>8363</v>
      </c>
      <c r="N4085" s="36" t="s">
        <v>32</v>
      </c>
    </row>
    <row r="4086">
      <c r="A4086" s="36" t="s">
        <v>8619</v>
      </c>
      <c r="B4086" s="154" t="s">
        <v>8620</v>
      </c>
      <c r="C4086" s="36" t="s">
        <v>1653</v>
      </c>
      <c r="D4086" s="36" t="s">
        <v>55</v>
      </c>
      <c r="E4086" s="36" t="s">
        <v>39</v>
      </c>
      <c r="F4086" s="154" t="s">
        <v>8621</v>
      </c>
      <c r="G4086" s="36" t="s">
        <v>32</v>
      </c>
      <c r="H4086" s="36" t="s">
        <v>1655</v>
      </c>
      <c r="I4086" s="36" t="s">
        <v>1656</v>
      </c>
      <c r="J4086" s="36" t="s">
        <v>1656</v>
      </c>
      <c r="K4086" s="36" t="s">
        <v>1989</v>
      </c>
      <c r="L4086" s="36" t="s">
        <v>8454</v>
      </c>
      <c r="M4086" s="36" t="s">
        <v>8454</v>
      </c>
      <c r="N4086" s="36" t="s">
        <v>32</v>
      </c>
    </row>
    <row r="4087">
      <c r="A4087" s="36" t="s">
        <v>8622</v>
      </c>
      <c r="B4087" s="154" t="s">
        <v>8620</v>
      </c>
      <c r="C4087" s="36" t="s">
        <v>1666</v>
      </c>
      <c r="D4087" s="36" t="s">
        <v>71</v>
      </c>
      <c r="E4087" s="36" t="s">
        <v>71</v>
      </c>
      <c r="F4087" s="154" t="s">
        <v>8091</v>
      </c>
      <c r="G4087" s="36" t="s">
        <v>32</v>
      </c>
      <c r="H4087" s="36" t="s">
        <v>1655</v>
      </c>
      <c r="I4087" s="36" t="s">
        <v>1656</v>
      </c>
      <c r="J4087" s="36" t="s">
        <v>1656</v>
      </c>
      <c r="K4087" s="36" t="s">
        <v>1752</v>
      </c>
      <c r="L4087" s="36" t="s">
        <v>8363</v>
      </c>
      <c r="M4087" s="36" t="s">
        <v>8363</v>
      </c>
      <c r="N4087" s="36" t="s">
        <v>32</v>
      </c>
    </row>
    <row r="4088">
      <c r="A4088" s="36" t="s">
        <v>8623</v>
      </c>
      <c r="B4088" s="154" t="s">
        <v>8620</v>
      </c>
      <c r="C4088" s="36" t="s">
        <v>1666</v>
      </c>
      <c r="D4088" s="36" t="s">
        <v>73</v>
      </c>
      <c r="E4088" s="36" t="s">
        <v>73</v>
      </c>
      <c r="F4088" s="154" t="s">
        <v>8093</v>
      </c>
      <c r="G4088" s="36" t="s">
        <v>28</v>
      </c>
      <c r="H4088" s="36" t="s">
        <v>1655</v>
      </c>
      <c r="I4088" s="36" t="s">
        <v>1656</v>
      </c>
      <c r="J4088" s="36" t="s">
        <v>1656</v>
      </c>
      <c r="K4088" s="36" t="s">
        <v>1755</v>
      </c>
      <c r="L4088" s="36" t="s">
        <v>8363</v>
      </c>
      <c r="M4088" s="36" t="s">
        <v>8363</v>
      </c>
      <c r="N4088" s="36" t="s">
        <v>32</v>
      </c>
    </row>
    <row r="4089">
      <c r="A4089" s="36" t="s">
        <v>8624</v>
      </c>
      <c r="B4089" s="154" t="s">
        <v>8620</v>
      </c>
      <c r="C4089" s="36" t="s">
        <v>1666</v>
      </c>
      <c r="D4089" s="36" t="s">
        <v>74</v>
      </c>
      <c r="E4089" s="36" t="s">
        <v>74</v>
      </c>
      <c r="F4089" s="154" t="s">
        <v>8095</v>
      </c>
      <c r="G4089" s="36" t="s">
        <v>32</v>
      </c>
      <c r="H4089" s="36" t="s">
        <v>1655</v>
      </c>
      <c r="I4089" s="36" t="s">
        <v>1656</v>
      </c>
      <c r="J4089" s="36" t="s">
        <v>1656</v>
      </c>
      <c r="K4089" s="36" t="s">
        <v>1757</v>
      </c>
      <c r="L4089" s="36" t="s">
        <v>8363</v>
      </c>
      <c r="M4089" s="36" t="s">
        <v>8363</v>
      </c>
      <c r="N4089" s="36" t="s">
        <v>32</v>
      </c>
    </row>
    <row r="4090">
      <c r="A4090" s="36" t="s">
        <v>8625</v>
      </c>
      <c r="B4090" s="154" t="s">
        <v>8620</v>
      </c>
      <c r="C4090" s="36" t="s">
        <v>1666</v>
      </c>
      <c r="D4090" s="36" t="s">
        <v>75</v>
      </c>
      <c r="E4090" s="36" t="s">
        <v>75</v>
      </c>
      <c r="F4090" s="154" t="s">
        <v>8097</v>
      </c>
      <c r="G4090" s="36" t="s">
        <v>28</v>
      </c>
      <c r="H4090" s="36" t="s">
        <v>1655</v>
      </c>
      <c r="I4090" s="36" t="s">
        <v>1656</v>
      </c>
      <c r="J4090" s="36" t="s">
        <v>1656</v>
      </c>
      <c r="K4090" s="36" t="s">
        <v>1760</v>
      </c>
      <c r="L4090" s="36" t="s">
        <v>8363</v>
      </c>
      <c r="M4090" s="36" t="s">
        <v>8363</v>
      </c>
      <c r="N4090" s="36" t="s">
        <v>32</v>
      </c>
    </row>
    <row r="4091">
      <c r="A4091" s="36" t="s">
        <v>8626</v>
      </c>
      <c r="B4091" s="154" t="s">
        <v>8620</v>
      </c>
      <c r="C4091" s="36" t="s">
        <v>1666</v>
      </c>
      <c r="D4091" s="36" t="s">
        <v>76</v>
      </c>
      <c r="E4091" s="36" t="s">
        <v>76</v>
      </c>
      <c r="F4091" s="154" t="s">
        <v>8627</v>
      </c>
      <c r="G4091" s="36" t="s">
        <v>28</v>
      </c>
      <c r="H4091" s="36" t="s">
        <v>1655</v>
      </c>
      <c r="I4091" s="36" t="s">
        <v>1656</v>
      </c>
      <c r="J4091" s="36" t="s">
        <v>1656</v>
      </c>
      <c r="K4091" s="36" t="s">
        <v>1763</v>
      </c>
      <c r="L4091" s="36" t="s">
        <v>8363</v>
      </c>
      <c r="M4091" s="36" t="s">
        <v>8363</v>
      </c>
      <c r="N4091" s="36" t="s">
        <v>32</v>
      </c>
    </row>
    <row r="4092">
      <c r="A4092" s="36" t="s">
        <v>8628</v>
      </c>
      <c r="B4092" s="154" t="s">
        <v>8620</v>
      </c>
      <c r="C4092" s="36" t="s">
        <v>1666</v>
      </c>
      <c r="D4092" s="36" t="s">
        <v>100</v>
      </c>
      <c r="E4092" s="36" t="s">
        <v>100</v>
      </c>
      <c r="F4092" s="154" t="s">
        <v>1832</v>
      </c>
      <c r="G4092" s="36" t="s">
        <v>32</v>
      </c>
      <c r="H4092" s="36" t="s">
        <v>1655</v>
      </c>
      <c r="I4092" s="36" t="s">
        <v>1656</v>
      </c>
      <c r="J4092" s="36" t="s">
        <v>1656</v>
      </c>
      <c r="K4092" s="36" t="s">
        <v>1736</v>
      </c>
      <c r="L4092" s="36" t="s">
        <v>8363</v>
      </c>
      <c r="M4092" s="36" t="s">
        <v>8363</v>
      </c>
      <c r="N4092" s="36" t="s">
        <v>32</v>
      </c>
    </row>
    <row r="4093">
      <c r="A4093" s="36" t="s">
        <v>8629</v>
      </c>
      <c r="B4093" s="154" t="s">
        <v>8620</v>
      </c>
      <c r="C4093" s="36" t="s">
        <v>1666</v>
      </c>
      <c r="D4093" s="36" t="s">
        <v>115</v>
      </c>
      <c r="E4093" s="36" t="s">
        <v>115</v>
      </c>
      <c r="F4093" s="154" t="s">
        <v>1683</v>
      </c>
      <c r="G4093" s="36" t="s">
        <v>32</v>
      </c>
      <c r="H4093" s="36" t="s">
        <v>1655</v>
      </c>
      <c r="I4093" s="36" t="s">
        <v>1656</v>
      </c>
      <c r="J4093" s="36" t="s">
        <v>1656</v>
      </c>
      <c r="K4093" s="36" t="s">
        <v>1739</v>
      </c>
      <c r="L4093" s="36" t="s">
        <v>8363</v>
      </c>
      <c r="M4093" s="36" t="s">
        <v>8363</v>
      </c>
      <c r="N4093" s="36" t="s">
        <v>32</v>
      </c>
    </row>
    <row r="4094">
      <c r="A4094" s="36" t="s">
        <v>8630</v>
      </c>
      <c r="B4094" s="154" t="s">
        <v>8620</v>
      </c>
      <c r="C4094" s="36" t="s">
        <v>1666</v>
      </c>
      <c r="D4094" s="36" t="s">
        <v>114</v>
      </c>
      <c r="E4094" s="36" t="s">
        <v>114</v>
      </c>
      <c r="F4094" s="154" t="s">
        <v>1683</v>
      </c>
      <c r="G4094" s="36" t="s">
        <v>32</v>
      </c>
      <c r="H4094" s="36" t="s">
        <v>1655</v>
      </c>
      <c r="I4094" s="36" t="s">
        <v>1656</v>
      </c>
      <c r="J4094" s="36" t="s">
        <v>1656</v>
      </c>
      <c r="K4094" s="36" t="s">
        <v>1742</v>
      </c>
      <c r="L4094" s="36" t="s">
        <v>8363</v>
      </c>
      <c r="M4094" s="36" t="s">
        <v>8363</v>
      </c>
      <c r="N4094" s="36" t="s">
        <v>32</v>
      </c>
    </row>
    <row r="4095">
      <c r="A4095" s="36" t="s">
        <v>8631</v>
      </c>
      <c r="B4095" s="154" t="s">
        <v>8620</v>
      </c>
      <c r="C4095" s="36" t="s">
        <v>1666</v>
      </c>
      <c r="D4095" s="36" t="s">
        <v>226</v>
      </c>
      <c r="E4095" s="36" t="s">
        <v>226</v>
      </c>
      <c r="F4095" s="154" t="s">
        <v>8632</v>
      </c>
      <c r="G4095" s="36" t="s">
        <v>32</v>
      </c>
      <c r="H4095" s="36" t="s">
        <v>1655</v>
      </c>
      <c r="I4095" s="36" t="s">
        <v>1656</v>
      </c>
      <c r="J4095" s="36" t="s">
        <v>1656</v>
      </c>
      <c r="K4095" s="36" t="s">
        <v>1745</v>
      </c>
      <c r="L4095" s="36" t="s">
        <v>8363</v>
      </c>
      <c r="M4095" s="36" t="s">
        <v>8363</v>
      </c>
      <c r="N4095" s="36" t="s">
        <v>32</v>
      </c>
    </row>
    <row r="4096">
      <c r="A4096" s="36" t="s">
        <v>8633</v>
      </c>
      <c r="B4096" s="154" t="s">
        <v>8620</v>
      </c>
      <c r="C4096" s="36" t="s">
        <v>1666</v>
      </c>
      <c r="D4096" s="36" t="s">
        <v>220</v>
      </c>
      <c r="E4096" s="36" t="s">
        <v>220</v>
      </c>
      <c r="F4096" s="154" t="s">
        <v>8634</v>
      </c>
      <c r="G4096" s="36" t="s">
        <v>28</v>
      </c>
      <c r="H4096" s="36" t="s">
        <v>1655</v>
      </c>
      <c r="I4096" s="36" t="s">
        <v>1656</v>
      </c>
      <c r="J4096" s="36" t="s">
        <v>1656</v>
      </c>
      <c r="K4096" s="36" t="s">
        <v>1773</v>
      </c>
      <c r="L4096" s="36" t="s">
        <v>8363</v>
      </c>
      <c r="M4096" s="36" t="s">
        <v>8363</v>
      </c>
      <c r="N4096" s="36" t="s">
        <v>32</v>
      </c>
    </row>
    <row r="4097">
      <c r="A4097" s="36" t="s">
        <v>8635</v>
      </c>
      <c r="B4097" s="154" t="s">
        <v>8636</v>
      </c>
      <c r="C4097" s="36" t="s">
        <v>1666</v>
      </c>
      <c r="D4097" s="36" t="s">
        <v>207</v>
      </c>
      <c r="E4097" s="36" t="s">
        <v>207</v>
      </c>
      <c r="F4097" s="154" t="s">
        <v>2555</v>
      </c>
      <c r="G4097" s="36" t="s">
        <v>28</v>
      </c>
      <c r="H4097" s="36" t="s">
        <v>1655</v>
      </c>
      <c r="I4097" s="36" t="s">
        <v>1656</v>
      </c>
      <c r="J4097" s="36" t="s">
        <v>1656</v>
      </c>
      <c r="K4097" s="36" t="s">
        <v>1776</v>
      </c>
      <c r="L4097" s="36" t="s">
        <v>8363</v>
      </c>
      <c r="M4097" s="36" t="s">
        <v>8363</v>
      </c>
      <c r="N4097" s="36" t="s">
        <v>32</v>
      </c>
    </row>
    <row r="4098">
      <c r="A4098" s="36" t="s">
        <v>8637</v>
      </c>
      <c r="B4098" s="154" t="s">
        <v>8636</v>
      </c>
      <c r="C4098" s="36" t="s">
        <v>1666</v>
      </c>
      <c r="D4098" s="36" t="s">
        <v>321</v>
      </c>
      <c r="E4098" s="36" t="s">
        <v>321</v>
      </c>
      <c r="F4098" s="154" t="s">
        <v>1816</v>
      </c>
      <c r="G4098" s="36" t="s">
        <v>32</v>
      </c>
      <c r="H4098" s="36" t="s">
        <v>1655</v>
      </c>
      <c r="I4098" s="36" t="s">
        <v>1656</v>
      </c>
      <c r="J4098" s="36" t="s">
        <v>1656</v>
      </c>
      <c r="K4098" s="36" t="s">
        <v>1779</v>
      </c>
      <c r="L4098" s="36" t="s">
        <v>8363</v>
      </c>
      <c r="M4098" s="36" t="s">
        <v>8363</v>
      </c>
      <c r="N4098" s="36" t="s">
        <v>32</v>
      </c>
    </row>
    <row r="4099">
      <c r="A4099" s="36" t="s">
        <v>8638</v>
      </c>
      <c r="B4099" s="154" t="s">
        <v>8636</v>
      </c>
      <c r="C4099" s="36" t="s">
        <v>1666</v>
      </c>
      <c r="D4099" s="36" t="s">
        <v>326</v>
      </c>
      <c r="E4099" s="36" t="s">
        <v>326</v>
      </c>
      <c r="F4099" s="154" t="s">
        <v>1832</v>
      </c>
      <c r="G4099" s="36" t="s">
        <v>32</v>
      </c>
      <c r="H4099" s="36" t="s">
        <v>1655</v>
      </c>
      <c r="I4099" s="36" t="s">
        <v>1656</v>
      </c>
      <c r="J4099" s="36" t="s">
        <v>1656</v>
      </c>
      <c r="K4099" s="36" t="s">
        <v>1782</v>
      </c>
      <c r="L4099" s="36" t="s">
        <v>8363</v>
      </c>
      <c r="M4099" s="36" t="s">
        <v>8363</v>
      </c>
      <c r="N4099" s="36" t="s">
        <v>32</v>
      </c>
    </row>
    <row r="4100">
      <c r="A4100" s="36" t="s">
        <v>8639</v>
      </c>
      <c r="B4100" s="154" t="s">
        <v>8636</v>
      </c>
      <c r="C4100" s="36" t="s">
        <v>1666</v>
      </c>
      <c r="D4100" s="36" t="s">
        <v>234</v>
      </c>
      <c r="E4100" s="36" t="s">
        <v>234</v>
      </c>
      <c r="F4100" s="154" t="s">
        <v>1810</v>
      </c>
      <c r="G4100" s="36" t="s">
        <v>28</v>
      </c>
      <c r="H4100" s="36" t="s">
        <v>1655</v>
      </c>
      <c r="I4100" s="36" t="s">
        <v>1656</v>
      </c>
      <c r="J4100" s="36" t="s">
        <v>1656</v>
      </c>
      <c r="K4100" s="36" t="s">
        <v>1784</v>
      </c>
      <c r="L4100" s="36" t="s">
        <v>8363</v>
      </c>
      <c r="M4100" s="36" t="s">
        <v>8363</v>
      </c>
      <c r="N4100" s="36" t="s">
        <v>34</v>
      </c>
    </row>
    <row r="4101">
      <c r="A4101" s="36" t="s">
        <v>8640</v>
      </c>
      <c r="B4101" s="154" t="s">
        <v>8641</v>
      </c>
      <c r="C4101" s="36" t="s">
        <v>1666</v>
      </c>
      <c r="D4101" s="36" t="s">
        <v>313</v>
      </c>
      <c r="E4101" s="36" t="s">
        <v>313</v>
      </c>
      <c r="F4101" s="154" t="s">
        <v>1810</v>
      </c>
      <c r="G4101" s="36" t="s">
        <v>32</v>
      </c>
      <c r="H4101" s="36" t="s">
        <v>1655</v>
      </c>
      <c r="I4101" s="36" t="s">
        <v>1656</v>
      </c>
      <c r="J4101" s="36" t="s">
        <v>1656</v>
      </c>
      <c r="K4101" s="36" t="s">
        <v>1787</v>
      </c>
      <c r="L4101" s="36" t="s">
        <v>8363</v>
      </c>
      <c r="M4101" s="36" t="s">
        <v>8363</v>
      </c>
      <c r="N4101" s="36" t="s">
        <v>32</v>
      </c>
    </row>
    <row r="4102">
      <c r="A4102" s="36" t="s">
        <v>8642</v>
      </c>
      <c r="B4102" s="154" t="s">
        <v>8643</v>
      </c>
      <c r="C4102" s="36" t="s">
        <v>1666</v>
      </c>
      <c r="D4102" s="36" t="s">
        <v>333</v>
      </c>
      <c r="E4102" s="36" t="s">
        <v>333</v>
      </c>
      <c r="F4102" s="154" t="s">
        <v>1686</v>
      </c>
      <c r="G4102" s="36" t="s">
        <v>28</v>
      </c>
      <c r="H4102" s="36" t="s">
        <v>1655</v>
      </c>
      <c r="I4102" s="36" t="s">
        <v>1656</v>
      </c>
      <c r="J4102" s="36" t="s">
        <v>1656</v>
      </c>
      <c r="K4102" s="36" t="s">
        <v>1790</v>
      </c>
      <c r="L4102" s="36" t="s">
        <v>8363</v>
      </c>
      <c r="M4102" s="36" t="s">
        <v>8363</v>
      </c>
      <c r="N4102" s="36" t="s">
        <v>32</v>
      </c>
    </row>
    <row r="4103">
      <c r="A4103" s="36" t="s">
        <v>8644</v>
      </c>
      <c r="B4103" s="154" t="s">
        <v>8643</v>
      </c>
      <c r="C4103" s="36" t="s">
        <v>1666</v>
      </c>
      <c r="D4103" s="36" t="s">
        <v>338</v>
      </c>
      <c r="E4103" s="36" t="s">
        <v>338</v>
      </c>
      <c r="F4103" s="154" t="s">
        <v>2006</v>
      </c>
      <c r="G4103" s="36" t="s">
        <v>28</v>
      </c>
      <c r="H4103" s="36" t="s">
        <v>1655</v>
      </c>
      <c r="I4103" s="36" t="s">
        <v>1656</v>
      </c>
      <c r="J4103" s="36" t="s">
        <v>1656</v>
      </c>
      <c r="K4103" s="36" t="s">
        <v>1793</v>
      </c>
      <c r="L4103" s="36" t="s">
        <v>8363</v>
      </c>
      <c r="M4103" s="36" t="s">
        <v>8363</v>
      </c>
      <c r="N4103" s="36" t="s">
        <v>34</v>
      </c>
    </row>
    <row r="4104">
      <c r="A4104" s="36" t="s">
        <v>8645</v>
      </c>
      <c r="B4104" s="154" t="s">
        <v>8646</v>
      </c>
      <c r="C4104" s="36" t="s">
        <v>1666</v>
      </c>
      <c r="D4104" s="36" t="s">
        <v>235</v>
      </c>
      <c r="E4104" s="36" t="s">
        <v>235</v>
      </c>
      <c r="F4104" s="154" t="s">
        <v>1686</v>
      </c>
      <c r="G4104" s="36" t="s">
        <v>28</v>
      </c>
      <c r="H4104" s="36" t="s">
        <v>1655</v>
      </c>
      <c r="I4104" s="36" t="s">
        <v>1656</v>
      </c>
      <c r="J4104" s="36" t="s">
        <v>1656</v>
      </c>
      <c r="K4104" s="36" t="s">
        <v>1796</v>
      </c>
      <c r="L4104" s="36" t="s">
        <v>8363</v>
      </c>
      <c r="M4104" s="36" t="s">
        <v>8363</v>
      </c>
      <c r="N4104" s="36" t="s">
        <v>32</v>
      </c>
    </row>
    <row r="4105">
      <c r="A4105" s="36" t="s">
        <v>8647</v>
      </c>
      <c r="B4105" s="154" t="s">
        <v>8646</v>
      </c>
      <c r="C4105" s="36" t="s">
        <v>1666</v>
      </c>
      <c r="D4105" s="36" t="s">
        <v>350</v>
      </c>
      <c r="E4105" s="36" t="s">
        <v>350</v>
      </c>
      <c r="F4105" s="154" t="s">
        <v>2508</v>
      </c>
      <c r="G4105" s="36" t="s">
        <v>32</v>
      </c>
      <c r="H4105" s="36" t="s">
        <v>1655</v>
      </c>
      <c r="I4105" s="36" t="s">
        <v>1656</v>
      </c>
      <c r="J4105" s="36" t="s">
        <v>1656</v>
      </c>
      <c r="K4105" s="36" t="s">
        <v>1800</v>
      </c>
      <c r="L4105" s="36" t="s">
        <v>8363</v>
      </c>
      <c r="M4105" s="36" t="s">
        <v>8363</v>
      </c>
      <c r="N4105" s="36" t="s">
        <v>32</v>
      </c>
    </row>
    <row r="4106">
      <c r="A4106" s="36" t="s">
        <v>8648</v>
      </c>
      <c r="B4106" s="154" t="s">
        <v>8646</v>
      </c>
      <c r="C4106" s="36" t="s">
        <v>1666</v>
      </c>
      <c r="D4106" s="36" t="s">
        <v>100</v>
      </c>
      <c r="E4106" s="36" t="s">
        <v>100</v>
      </c>
      <c r="F4106" s="154" t="s">
        <v>1832</v>
      </c>
      <c r="G4106" s="36" t="s">
        <v>32</v>
      </c>
      <c r="H4106" s="36" t="s">
        <v>1655</v>
      </c>
      <c r="I4106" s="36" t="s">
        <v>1656</v>
      </c>
      <c r="J4106" s="36" t="s">
        <v>1656</v>
      </c>
      <c r="K4106" s="36" t="s">
        <v>1803</v>
      </c>
      <c r="L4106" s="36" t="s">
        <v>8363</v>
      </c>
      <c r="M4106" s="36" t="s">
        <v>8363</v>
      </c>
      <c r="N4106" s="36" t="s">
        <v>32</v>
      </c>
    </row>
    <row r="4107">
      <c r="A4107" s="36" t="s">
        <v>8649</v>
      </c>
      <c r="B4107" s="154" t="s">
        <v>8646</v>
      </c>
      <c r="C4107" s="36" t="s">
        <v>1666</v>
      </c>
      <c r="D4107" s="36" t="s">
        <v>295</v>
      </c>
      <c r="E4107" s="36" t="s">
        <v>295</v>
      </c>
      <c r="F4107" s="154" t="s">
        <v>2763</v>
      </c>
      <c r="G4107" s="36" t="s">
        <v>28</v>
      </c>
      <c r="H4107" s="36" t="s">
        <v>1655</v>
      </c>
      <c r="I4107" s="36" t="s">
        <v>1656</v>
      </c>
      <c r="J4107" s="36" t="s">
        <v>1656</v>
      </c>
      <c r="K4107" s="36" t="s">
        <v>1807</v>
      </c>
      <c r="L4107" s="36" t="s">
        <v>8363</v>
      </c>
      <c r="M4107" s="36" t="s">
        <v>8363</v>
      </c>
      <c r="N4107" s="36" t="s">
        <v>32</v>
      </c>
    </row>
    <row r="4108">
      <c r="A4108" s="36" t="s">
        <v>8650</v>
      </c>
      <c r="B4108" s="154" t="s">
        <v>8646</v>
      </c>
      <c r="C4108" s="36" t="s">
        <v>1666</v>
      </c>
      <c r="D4108" s="36" t="s">
        <v>363</v>
      </c>
      <c r="E4108" s="36" t="s">
        <v>363</v>
      </c>
      <c r="F4108" s="154" t="s">
        <v>1806</v>
      </c>
      <c r="G4108" s="36" t="s">
        <v>28</v>
      </c>
      <c r="H4108" s="36" t="s">
        <v>1655</v>
      </c>
      <c r="I4108" s="36" t="s">
        <v>1656</v>
      </c>
      <c r="J4108" s="36" t="s">
        <v>1656</v>
      </c>
      <c r="K4108" s="36" t="s">
        <v>1814</v>
      </c>
      <c r="L4108" s="36" t="s">
        <v>8363</v>
      </c>
      <c r="M4108" s="36" t="s">
        <v>8363</v>
      </c>
      <c r="N4108" s="36" t="s">
        <v>32</v>
      </c>
    </row>
    <row r="4109">
      <c r="A4109" s="36" t="s">
        <v>8651</v>
      </c>
      <c r="B4109" s="154" t="s">
        <v>8646</v>
      </c>
      <c r="C4109" s="36" t="s">
        <v>1666</v>
      </c>
      <c r="D4109" s="36" t="s">
        <v>368</v>
      </c>
      <c r="E4109" s="36" t="s">
        <v>368</v>
      </c>
      <c r="F4109" s="154" t="s">
        <v>1926</v>
      </c>
      <c r="G4109" s="36" t="s">
        <v>28</v>
      </c>
      <c r="H4109" s="36" t="s">
        <v>1655</v>
      </c>
      <c r="I4109" s="36" t="s">
        <v>1656</v>
      </c>
      <c r="J4109" s="36" t="s">
        <v>1656</v>
      </c>
      <c r="K4109" s="36" t="s">
        <v>1817</v>
      </c>
      <c r="L4109" s="36" t="s">
        <v>8363</v>
      </c>
      <c r="M4109" s="36" t="s">
        <v>8363</v>
      </c>
      <c r="N4109" s="36" t="s">
        <v>32</v>
      </c>
    </row>
    <row r="4110">
      <c r="A4110" s="36" t="s">
        <v>8652</v>
      </c>
      <c r="B4110" s="154" t="s">
        <v>8653</v>
      </c>
      <c r="C4110" s="36" t="s">
        <v>1666</v>
      </c>
      <c r="D4110" s="36" t="s">
        <v>90</v>
      </c>
      <c r="E4110" s="36" t="s">
        <v>90</v>
      </c>
      <c r="F4110" s="154" t="s">
        <v>1781</v>
      </c>
      <c r="G4110" s="36" t="s">
        <v>28</v>
      </c>
      <c r="H4110" s="36" t="s">
        <v>1655</v>
      </c>
      <c r="I4110" s="36" t="s">
        <v>1656</v>
      </c>
      <c r="J4110" s="36" t="s">
        <v>1656</v>
      </c>
      <c r="K4110" s="36" t="s">
        <v>1820</v>
      </c>
      <c r="L4110" s="36" t="s">
        <v>8363</v>
      </c>
      <c r="M4110" s="36" t="s">
        <v>8363</v>
      </c>
      <c r="N4110" s="36" t="s">
        <v>32</v>
      </c>
    </row>
    <row r="4111">
      <c r="A4111" s="36" t="s">
        <v>8654</v>
      </c>
      <c r="B4111" s="154" t="s">
        <v>8655</v>
      </c>
      <c r="C4111" s="36" t="s">
        <v>1666</v>
      </c>
      <c r="D4111" s="36" t="s">
        <v>373</v>
      </c>
      <c r="E4111" s="36" t="s">
        <v>373</v>
      </c>
      <c r="F4111" s="154" t="s">
        <v>8656</v>
      </c>
      <c r="G4111" s="36" t="s">
        <v>32</v>
      </c>
      <c r="H4111" s="36" t="s">
        <v>1655</v>
      </c>
      <c r="I4111" s="36" t="s">
        <v>1656</v>
      </c>
      <c r="J4111" s="36" t="s">
        <v>1656</v>
      </c>
      <c r="K4111" s="36" t="s">
        <v>1823</v>
      </c>
      <c r="L4111" s="36" t="s">
        <v>8363</v>
      </c>
      <c r="M4111" s="36" t="s">
        <v>8363</v>
      </c>
      <c r="N4111" s="36" t="s">
        <v>32</v>
      </c>
    </row>
    <row r="4112">
      <c r="A4112" s="36" t="s">
        <v>8657</v>
      </c>
      <c r="B4112" s="154" t="s">
        <v>8655</v>
      </c>
      <c r="C4112" s="36" t="s">
        <v>1666</v>
      </c>
      <c r="D4112" s="36" t="s">
        <v>376</v>
      </c>
      <c r="E4112" s="36" t="s">
        <v>376</v>
      </c>
      <c r="F4112" s="154" t="s">
        <v>3972</v>
      </c>
      <c r="G4112" s="36" t="s">
        <v>28</v>
      </c>
      <c r="H4112" s="36" t="s">
        <v>1655</v>
      </c>
      <c r="I4112" s="36" t="s">
        <v>1656</v>
      </c>
      <c r="J4112" s="36" t="s">
        <v>1656</v>
      </c>
      <c r="K4112" s="36" t="s">
        <v>1826</v>
      </c>
      <c r="L4112" s="36" t="s">
        <v>8363</v>
      </c>
      <c r="M4112" s="36" t="s">
        <v>8363</v>
      </c>
      <c r="N4112" s="36" t="s">
        <v>32</v>
      </c>
    </row>
    <row r="4113">
      <c r="A4113" s="36" t="s">
        <v>8658</v>
      </c>
      <c r="B4113" s="154" t="s">
        <v>8655</v>
      </c>
      <c r="C4113" s="36" t="s">
        <v>1666</v>
      </c>
      <c r="D4113" s="36" t="s">
        <v>295</v>
      </c>
      <c r="E4113" s="36" t="s">
        <v>295</v>
      </c>
      <c r="F4113" s="154" t="s">
        <v>2763</v>
      </c>
      <c r="G4113" s="36" t="s">
        <v>28</v>
      </c>
      <c r="H4113" s="36" t="s">
        <v>1655</v>
      </c>
      <c r="I4113" s="36" t="s">
        <v>1656</v>
      </c>
      <c r="J4113" s="36" t="s">
        <v>1656</v>
      </c>
      <c r="K4113" s="36" t="s">
        <v>1830</v>
      </c>
      <c r="L4113" s="36" t="s">
        <v>8363</v>
      </c>
      <c r="M4113" s="36" t="s">
        <v>8363</v>
      </c>
      <c r="N4113" s="36" t="s">
        <v>32</v>
      </c>
    </row>
    <row r="4114">
      <c r="A4114" s="36" t="s">
        <v>8659</v>
      </c>
      <c r="B4114" s="154" t="s">
        <v>8660</v>
      </c>
      <c r="C4114" s="36" t="s">
        <v>1666</v>
      </c>
      <c r="D4114" s="36" t="s">
        <v>235</v>
      </c>
      <c r="E4114" s="36" t="s">
        <v>235</v>
      </c>
      <c r="F4114" s="154" t="s">
        <v>2156</v>
      </c>
      <c r="G4114" s="36" t="s">
        <v>28</v>
      </c>
      <c r="H4114" s="36" t="s">
        <v>1655</v>
      </c>
      <c r="I4114" s="36" t="s">
        <v>1656</v>
      </c>
      <c r="J4114" s="36" t="s">
        <v>1656</v>
      </c>
      <c r="K4114" s="36" t="s">
        <v>1833</v>
      </c>
      <c r="L4114" s="36" t="s">
        <v>8363</v>
      </c>
      <c r="M4114" s="36" t="s">
        <v>8363</v>
      </c>
      <c r="N4114" s="36" t="s">
        <v>32</v>
      </c>
    </row>
    <row r="4115">
      <c r="A4115" s="36" t="s">
        <v>8661</v>
      </c>
      <c r="B4115" s="154" t="s">
        <v>8660</v>
      </c>
      <c r="C4115" s="36" t="s">
        <v>1666</v>
      </c>
      <c r="D4115" s="36" t="s">
        <v>238</v>
      </c>
      <c r="E4115" s="36" t="s">
        <v>238</v>
      </c>
      <c r="F4115" s="154" t="s">
        <v>2039</v>
      </c>
      <c r="G4115" s="36" t="s">
        <v>32</v>
      </c>
      <c r="H4115" s="36" t="s">
        <v>1655</v>
      </c>
      <c r="I4115" s="36" t="s">
        <v>1656</v>
      </c>
      <c r="J4115" s="36" t="s">
        <v>1656</v>
      </c>
      <c r="K4115" s="36" t="s">
        <v>1836</v>
      </c>
      <c r="L4115" s="36" t="s">
        <v>8363</v>
      </c>
      <c r="M4115" s="36" t="s">
        <v>8363</v>
      </c>
      <c r="N4115" s="36" t="s">
        <v>32</v>
      </c>
    </row>
    <row r="4116">
      <c r="A4116" s="36" t="s">
        <v>8662</v>
      </c>
      <c r="B4116" s="154" t="s">
        <v>8660</v>
      </c>
      <c r="C4116" s="36" t="s">
        <v>1666</v>
      </c>
      <c r="D4116" s="36" t="s">
        <v>313</v>
      </c>
      <c r="E4116" s="36" t="s">
        <v>313</v>
      </c>
      <c r="F4116" s="154" t="s">
        <v>1735</v>
      </c>
      <c r="G4116" s="36" t="s">
        <v>32</v>
      </c>
      <c r="H4116" s="36" t="s">
        <v>1655</v>
      </c>
      <c r="I4116" s="36" t="s">
        <v>1656</v>
      </c>
      <c r="J4116" s="36" t="s">
        <v>1656</v>
      </c>
      <c r="K4116" s="36" t="s">
        <v>1839</v>
      </c>
      <c r="L4116" s="36" t="s">
        <v>8363</v>
      </c>
      <c r="M4116" s="36" t="s">
        <v>8363</v>
      </c>
      <c r="N4116" s="36" t="s">
        <v>32</v>
      </c>
    </row>
    <row r="4117">
      <c r="A4117" s="36" t="s">
        <v>8663</v>
      </c>
      <c r="B4117" s="154" t="s">
        <v>8660</v>
      </c>
      <c r="C4117" s="36" t="s">
        <v>1666</v>
      </c>
      <c r="D4117" s="36" t="s">
        <v>386</v>
      </c>
      <c r="E4117" s="36" t="s">
        <v>386</v>
      </c>
      <c r="F4117" s="154" t="s">
        <v>1694</v>
      </c>
      <c r="G4117" s="36" t="s">
        <v>28</v>
      </c>
      <c r="H4117" s="36" t="s">
        <v>1655</v>
      </c>
      <c r="I4117" s="36" t="s">
        <v>1656</v>
      </c>
      <c r="J4117" s="36" t="s">
        <v>1656</v>
      </c>
      <c r="K4117" s="36" t="s">
        <v>1842</v>
      </c>
      <c r="L4117" s="36" t="s">
        <v>8363</v>
      </c>
      <c r="M4117" s="36" t="s">
        <v>8363</v>
      </c>
      <c r="N4117" s="36" t="s">
        <v>32</v>
      </c>
    </row>
    <row r="4118">
      <c r="A4118" s="36" t="s">
        <v>8664</v>
      </c>
      <c r="B4118" s="154" t="s">
        <v>8660</v>
      </c>
      <c r="C4118" s="36" t="s">
        <v>1666</v>
      </c>
      <c r="D4118" s="36" t="s">
        <v>124</v>
      </c>
      <c r="E4118" s="36" t="s">
        <v>124</v>
      </c>
      <c r="F4118" s="154" t="s">
        <v>8665</v>
      </c>
      <c r="G4118" s="36" t="s">
        <v>32</v>
      </c>
      <c r="H4118" s="36" t="s">
        <v>1655</v>
      </c>
      <c r="I4118" s="36" t="s">
        <v>1656</v>
      </c>
      <c r="J4118" s="36" t="s">
        <v>1656</v>
      </c>
      <c r="K4118" s="36" t="s">
        <v>1845</v>
      </c>
      <c r="L4118" s="36" t="s">
        <v>8363</v>
      </c>
      <c r="M4118" s="36" t="s">
        <v>8363</v>
      </c>
      <c r="N4118" s="36" t="s">
        <v>32</v>
      </c>
    </row>
    <row r="4119">
      <c r="A4119" s="36" t="s">
        <v>8666</v>
      </c>
      <c r="B4119" s="154" t="s">
        <v>8660</v>
      </c>
      <c r="C4119" s="36" t="s">
        <v>1666</v>
      </c>
      <c r="D4119" s="36" t="s">
        <v>391</v>
      </c>
      <c r="E4119" s="36" t="s">
        <v>391</v>
      </c>
      <c r="F4119" s="154" t="s">
        <v>4791</v>
      </c>
      <c r="G4119" s="36" t="s">
        <v>28</v>
      </c>
      <c r="H4119" s="36" t="s">
        <v>1655</v>
      </c>
      <c r="I4119" s="36" t="s">
        <v>1656</v>
      </c>
      <c r="J4119" s="36" t="s">
        <v>1656</v>
      </c>
      <c r="K4119" s="36" t="s">
        <v>1848</v>
      </c>
      <c r="L4119" s="36" t="s">
        <v>8363</v>
      </c>
      <c r="M4119" s="36" t="s">
        <v>8363</v>
      </c>
      <c r="N4119" s="36" t="s">
        <v>32</v>
      </c>
    </row>
    <row r="4120">
      <c r="A4120" s="36" t="s">
        <v>8667</v>
      </c>
      <c r="B4120" s="154" t="s">
        <v>8660</v>
      </c>
      <c r="C4120" s="36" t="s">
        <v>1666</v>
      </c>
      <c r="D4120" s="36" t="s">
        <v>394</v>
      </c>
      <c r="E4120" s="36" t="s">
        <v>394</v>
      </c>
      <c r="F4120" s="154" t="s">
        <v>1883</v>
      </c>
      <c r="G4120" s="36" t="s">
        <v>28</v>
      </c>
      <c r="H4120" s="36" t="s">
        <v>1655</v>
      </c>
      <c r="I4120" s="36" t="s">
        <v>1656</v>
      </c>
      <c r="J4120" s="36" t="s">
        <v>1656</v>
      </c>
      <c r="K4120" s="36" t="s">
        <v>1851</v>
      </c>
      <c r="L4120" s="36" t="s">
        <v>8363</v>
      </c>
      <c r="M4120" s="36" t="s">
        <v>8363</v>
      </c>
      <c r="N4120" s="36" t="s">
        <v>32</v>
      </c>
    </row>
    <row r="4121">
      <c r="A4121" s="36" t="s">
        <v>8668</v>
      </c>
      <c r="B4121" s="154" t="s">
        <v>8669</v>
      </c>
      <c r="C4121" s="36" t="s">
        <v>1666</v>
      </c>
      <c r="D4121" s="36" t="s">
        <v>397</v>
      </c>
      <c r="E4121" s="36" t="s">
        <v>397</v>
      </c>
      <c r="F4121" s="154" t="s">
        <v>1832</v>
      </c>
      <c r="G4121" s="36" t="s">
        <v>32</v>
      </c>
      <c r="H4121" s="36" t="s">
        <v>1655</v>
      </c>
      <c r="I4121" s="36" t="s">
        <v>1656</v>
      </c>
      <c r="J4121" s="36" t="s">
        <v>1656</v>
      </c>
      <c r="K4121" s="36" t="s">
        <v>1854</v>
      </c>
      <c r="L4121" s="36" t="s">
        <v>8363</v>
      </c>
      <c r="M4121" s="36" t="s">
        <v>8363</v>
      </c>
      <c r="N4121" s="36" t="s">
        <v>32</v>
      </c>
    </row>
    <row r="4122">
      <c r="A4122" s="36" t="s">
        <v>8670</v>
      </c>
      <c r="B4122" s="154" t="s">
        <v>8671</v>
      </c>
      <c r="C4122" s="36" t="s">
        <v>1666</v>
      </c>
      <c r="D4122" s="36" t="s">
        <v>400</v>
      </c>
      <c r="E4122" s="36" t="s">
        <v>400</v>
      </c>
      <c r="F4122" s="154" t="s">
        <v>8672</v>
      </c>
      <c r="G4122" s="36" t="s">
        <v>28</v>
      </c>
      <c r="H4122" s="36" t="s">
        <v>1655</v>
      </c>
      <c r="I4122" s="36" t="s">
        <v>1656</v>
      </c>
      <c r="J4122" s="36" t="s">
        <v>1656</v>
      </c>
      <c r="K4122" s="36" t="s">
        <v>1857</v>
      </c>
      <c r="L4122" s="36" t="s">
        <v>8363</v>
      </c>
      <c r="M4122" s="36" t="s">
        <v>8363</v>
      </c>
      <c r="N4122" s="36" t="s">
        <v>34</v>
      </c>
    </row>
    <row r="4123">
      <c r="A4123" s="36" t="s">
        <v>8673</v>
      </c>
      <c r="B4123" s="154" t="s">
        <v>8674</v>
      </c>
      <c r="C4123" s="36" t="s">
        <v>1666</v>
      </c>
      <c r="D4123" s="36" t="s">
        <v>100</v>
      </c>
      <c r="E4123" s="36" t="s">
        <v>100</v>
      </c>
      <c r="F4123" s="154" t="s">
        <v>1810</v>
      </c>
      <c r="G4123" s="36" t="s">
        <v>32</v>
      </c>
      <c r="H4123" s="36" t="s">
        <v>1655</v>
      </c>
      <c r="I4123" s="36" t="s">
        <v>1656</v>
      </c>
      <c r="J4123" s="36" t="s">
        <v>1656</v>
      </c>
      <c r="K4123" s="36" t="s">
        <v>1860</v>
      </c>
      <c r="L4123" s="36" t="s">
        <v>8363</v>
      </c>
      <c r="M4123" s="36" t="s">
        <v>8363</v>
      </c>
      <c r="N4123" s="36" t="s">
        <v>32</v>
      </c>
    </row>
    <row r="4124">
      <c r="A4124" s="36" t="s">
        <v>8675</v>
      </c>
      <c r="B4124" s="154" t="s">
        <v>8676</v>
      </c>
      <c r="C4124" s="36" t="s">
        <v>1666</v>
      </c>
      <c r="D4124" s="36" t="s">
        <v>110</v>
      </c>
      <c r="E4124" s="36" t="s">
        <v>110</v>
      </c>
      <c r="F4124" s="154" t="s">
        <v>2039</v>
      </c>
      <c r="G4124" s="36" t="s">
        <v>28</v>
      </c>
      <c r="H4124" s="36" t="s">
        <v>1655</v>
      </c>
      <c r="I4124" s="36" t="s">
        <v>1656</v>
      </c>
      <c r="J4124" s="36" t="s">
        <v>1656</v>
      </c>
      <c r="K4124" s="36" t="s">
        <v>1863</v>
      </c>
      <c r="L4124" s="36" t="s">
        <v>8363</v>
      </c>
      <c r="M4124" s="36" t="s">
        <v>8363</v>
      </c>
      <c r="N4124" s="36" t="s">
        <v>32</v>
      </c>
    </row>
    <row r="4125">
      <c r="A4125" s="36" t="s">
        <v>8677</v>
      </c>
      <c r="B4125" s="154" t="s">
        <v>8678</v>
      </c>
      <c r="C4125" s="36" t="s">
        <v>1666</v>
      </c>
      <c r="D4125" s="36" t="s">
        <v>100</v>
      </c>
      <c r="E4125" s="36" t="s">
        <v>100</v>
      </c>
      <c r="F4125" s="154" t="s">
        <v>1832</v>
      </c>
      <c r="G4125" s="36" t="s">
        <v>32</v>
      </c>
      <c r="H4125" s="36" t="s">
        <v>1655</v>
      </c>
      <c r="I4125" s="36" t="s">
        <v>1656</v>
      </c>
      <c r="J4125" s="36" t="s">
        <v>1656</v>
      </c>
      <c r="K4125" s="36" t="s">
        <v>1866</v>
      </c>
      <c r="L4125" s="36" t="s">
        <v>8363</v>
      </c>
      <c r="M4125" s="36" t="s">
        <v>8363</v>
      </c>
      <c r="N4125" s="36" t="s">
        <v>32</v>
      </c>
    </row>
    <row r="4126">
      <c r="A4126" s="36" t="s">
        <v>8679</v>
      </c>
      <c r="B4126" s="154" t="s">
        <v>8678</v>
      </c>
      <c r="C4126" s="36" t="s">
        <v>1666</v>
      </c>
      <c r="D4126" s="36" t="s">
        <v>405</v>
      </c>
      <c r="E4126" s="36" t="s">
        <v>405</v>
      </c>
      <c r="F4126" s="154" t="s">
        <v>1959</v>
      </c>
      <c r="G4126" s="36" t="s">
        <v>28</v>
      </c>
      <c r="H4126" s="36" t="s">
        <v>1655</v>
      </c>
      <c r="I4126" s="36" t="s">
        <v>1656</v>
      </c>
      <c r="J4126" s="36" t="s">
        <v>1656</v>
      </c>
      <c r="K4126" s="36" t="s">
        <v>1869</v>
      </c>
      <c r="L4126" s="36" t="s">
        <v>8363</v>
      </c>
      <c r="M4126" s="36" t="s">
        <v>8363</v>
      </c>
      <c r="N4126" s="36" t="s">
        <v>34</v>
      </c>
    </row>
    <row r="4127">
      <c r="A4127" s="36" t="s">
        <v>8680</v>
      </c>
      <c r="B4127" s="154" t="s">
        <v>8681</v>
      </c>
      <c r="C4127" s="36" t="s">
        <v>1666</v>
      </c>
      <c r="D4127" s="36" t="s">
        <v>191</v>
      </c>
      <c r="E4127" s="36" t="s">
        <v>191</v>
      </c>
      <c r="F4127" s="154" t="s">
        <v>1816</v>
      </c>
      <c r="G4127" s="36" t="s">
        <v>28</v>
      </c>
      <c r="H4127" s="36" t="s">
        <v>1655</v>
      </c>
      <c r="I4127" s="36" t="s">
        <v>1656</v>
      </c>
      <c r="J4127" s="36" t="s">
        <v>1656</v>
      </c>
      <c r="K4127" s="36" t="s">
        <v>1872</v>
      </c>
      <c r="L4127" s="36" t="s">
        <v>8363</v>
      </c>
      <c r="M4127" s="36" t="s">
        <v>8363</v>
      </c>
      <c r="N4127" s="36" t="s">
        <v>32</v>
      </c>
    </row>
    <row r="4128">
      <c r="A4128" s="36" t="s">
        <v>8682</v>
      </c>
      <c r="B4128" s="154" t="s">
        <v>8681</v>
      </c>
      <c r="C4128" s="36" t="s">
        <v>1666</v>
      </c>
      <c r="D4128" s="36" t="s">
        <v>313</v>
      </c>
      <c r="E4128" s="36" t="s">
        <v>313</v>
      </c>
      <c r="F4128" s="154" t="s">
        <v>1929</v>
      </c>
      <c r="G4128" s="36" t="s">
        <v>32</v>
      </c>
      <c r="H4128" s="36" t="s">
        <v>1655</v>
      </c>
      <c r="I4128" s="36" t="s">
        <v>1656</v>
      </c>
      <c r="J4128" s="36" t="s">
        <v>1656</v>
      </c>
      <c r="K4128" s="36" t="s">
        <v>1875</v>
      </c>
      <c r="L4128" s="36" t="s">
        <v>8363</v>
      </c>
      <c r="M4128" s="36" t="s">
        <v>8363</v>
      </c>
      <c r="N4128" s="36" t="s">
        <v>32</v>
      </c>
    </row>
    <row r="4129">
      <c r="A4129" s="36" t="s">
        <v>8683</v>
      </c>
      <c r="B4129" s="154" t="s">
        <v>8681</v>
      </c>
      <c r="C4129" s="36" t="s">
        <v>1666</v>
      </c>
      <c r="D4129" s="36" t="s">
        <v>100</v>
      </c>
      <c r="E4129" s="36" t="s">
        <v>100</v>
      </c>
      <c r="F4129" s="154" t="s">
        <v>1816</v>
      </c>
      <c r="G4129" s="36" t="s">
        <v>32</v>
      </c>
      <c r="H4129" s="36" t="s">
        <v>1655</v>
      </c>
      <c r="I4129" s="36" t="s">
        <v>1656</v>
      </c>
      <c r="J4129" s="36" t="s">
        <v>1656</v>
      </c>
      <c r="K4129" s="36" t="s">
        <v>1878</v>
      </c>
      <c r="L4129" s="36" t="s">
        <v>8363</v>
      </c>
      <c r="M4129" s="36" t="s">
        <v>8363</v>
      </c>
      <c r="N4129" s="36" t="s">
        <v>32</v>
      </c>
    </row>
    <row r="4130">
      <c r="A4130" s="36" t="s">
        <v>8684</v>
      </c>
      <c r="B4130" s="154" t="s">
        <v>8685</v>
      </c>
      <c r="C4130" s="36" t="s">
        <v>1666</v>
      </c>
      <c r="D4130" s="36" t="s">
        <v>207</v>
      </c>
      <c r="E4130" s="36" t="s">
        <v>207</v>
      </c>
      <c r="F4130" s="154" t="s">
        <v>2555</v>
      </c>
      <c r="G4130" s="36" t="s">
        <v>28</v>
      </c>
      <c r="H4130" s="36" t="s">
        <v>1655</v>
      </c>
      <c r="I4130" s="36" t="s">
        <v>1656</v>
      </c>
      <c r="J4130" s="36" t="s">
        <v>1656</v>
      </c>
      <c r="K4130" s="36" t="s">
        <v>1881</v>
      </c>
      <c r="L4130" s="36" t="s">
        <v>8363</v>
      </c>
      <c r="M4130" s="36" t="s">
        <v>8363</v>
      </c>
      <c r="N4130" s="36" t="s">
        <v>34</v>
      </c>
    </row>
    <row r="4131">
      <c r="A4131" s="36" t="s">
        <v>8686</v>
      </c>
      <c r="B4131" s="154" t="s">
        <v>8685</v>
      </c>
      <c r="C4131" s="36" t="s">
        <v>1666</v>
      </c>
      <c r="D4131" s="36" t="s">
        <v>407</v>
      </c>
      <c r="E4131" s="36" t="s">
        <v>407</v>
      </c>
      <c r="F4131" s="154" t="s">
        <v>1822</v>
      </c>
      <c r="G4131" s="36" t="s">
        <v>28</v>
      </c>
      <c r="H4131" s="36" t="s">
        <v>1655</v>
      </c>
      <c r="I4131" s="36" t="s">
        <v>1656</v>
      </c>
      <c r="J4131" s="36" t="s">
        <v>1656</v>
      </c>
      <c r="K4131" s="36" t="s">
        <v>1884</v>
      </c>
      <c r="L4131" s="36" t="s">
        <v>8363</v>
      </c>
      <c r="M4131" s="36" t="s">
        <v>8363</v>
      </c>
      <c r="N4131" s="36" t="s">
        <v>34</v>
      </c>
    </row>
    <row r="4132">
      <c r="A4132" s="36" t="s">
        <v>8687</v>
      </c>
      <c r="B4132" s="154" t="s">
        <v>8685</v>
      </c>
      <c r="C4132" s="36" t="s">
        <v>1666</v>
      </c>
      <c r="D4132" s="36" t="s">
        <v>408</v>
      </c>
      <c r="E4132" s="36" t="s">
        <v>408</v>
      </c>
      <c r="F4132" s="154" t="s">
        <v>1810</v>
      </c>
      <c r="G4132" s="36" t="s">
        <v>28</v>
      </c>
      <c r="H4132" s="36" t="s">
        <v>1655</v>
      </c>
      <c r="I4132" s="36" t="s">
        <v>1656</v>
      </c>
      <c r="J4132" s="36" t="s">
        <v>1656</v>
      </c>
      <c r="K4132" s="36" t="s">
        <v>1887</v>
      </c>
      <c r="L4132" s="36" t="s">
        <v>8363</v>
      </c>
      <c r="M4132" s="36" t="s">
        <v>8363</v>
      </c>
      <c r="N4132" s="36" t="s">
        <v>34</v>
      </c>
    </row>
    <row r="4133">
      <c r="A4133" s="36" t="s">
        <v>8688</v>
      </c>
      <c r="B4133" s="154" t="s">
        <v>8689</v>
      </c>
      <c r="C4133" s="36" t="s">
        <v>1666</v>
      </c>
      <c r="D4133" s="36" t="s">
        <v>409</v>
      </c>
      <c r="E4133" s="36" t="s">
        <v>409</v>
      </c>
      <c r="F4133" s="154" t="s">
        <v>1868</v>
      </c>
      <c r="G4133" s="36" t="s">
        <v>28</v>
      </c>
      <c r="H4133" s="36" t="s">
        <v>1655</v>
      </c>
      <c r="I4133" s="36" t="s">
        <v>1656</v>
      </c>
      <c r="J4133" s="36" t="s">
        <v>1656</v>
      </c>
      <c r="K4133" s="36" t="s">
        <v>1894</v>
      </c>
      <c r="L4133" s="36" t="s">
        <v>8363</v>
      </c>
      <c r="M4133" s="36" t="s">
        <v>8363</v>
      </c>
      <c r="N4133" s="36" t="s">
        <v>34</v>
      </c>
    </row>
    <row r="4134">
      <c r="A4134" s="36" t="s">
        <v>8690</v>
      </c>
      <c r="B4134" s="154" t="s">
        <v>8689</v>
      </c>
      <c r="C4134" s="36" t="s">
        <v>1666</v>
      </c>
      <c r="D4134" s="36" t="s">
        <v>410</v>
      </c>
      <c r="E4134" s="36" t="s">
        <v>410</v>
      </c>
      <c r="F4134" s="154" t="s">
        <v>2163</v>
      </c>
      <c r="G4134" s="36" t="s">
        <v>28</v>
      </c>
      <c r="H4134" s="36" t="s">
        <v>1655</v>
      </c>
      <c r="I4134" s="36" t="s">
        <v>1656</v>
      </c>
      <c r="J4134" s="36" t="s">
        <v>1656</v>
      </c>
      <c r="K4134" s="36" t="s">
        <v>1897</v>
      </c>
      <c r="L4134" s="36" t="s">
        <v>8363</v>
      </c>
      <c r="M4134" s="36" t="s">
        <v>8363</v>
      </c>
      <c r="N4134" s="36" t="s">
        <v>34</v>
      </c>
    </row>
    <row r="4135">
      <c r="A4135" s="36" t="s">
        <v>8691</v>
      </c>
      <c r="B4135" s="154" t="s">
        <v>8692</v>
      </c>
      <c r="C4135" s="36" t="s">
        <v>1666</v>
      </c>
      <c r="D4135" s="36" t="s">
        <v>130</v>
      </c>
      <c r="E4135" s="36" t="s">
        <v>130</v>
      </c>
      <c r="F4135" s="154" t="s">
        <v>1810</v>
      </c>
      <c r="G4135" s="36" t="s">
        <v>32</v>
      </c>
      <c r="H4135" s="36" t="s">
        <v>1655</v>
      </c>
      <c r="I4135" s="36" t="s">
        <v>1656</v>
      </c>
      <c r="J4135" s="36" t="s">
        <v>1656</v>
      </c>
      <c r="K4135" s="36" t="s">
        <v>1900</v>
      </c>
      <c r="L4135" s="36" t="s">
        <v>8363</v>
      </c>
      <c r="M4135" s="36" t="s">
        <v>8363</v>
      </c>
      <c r="N4135" s="36" t="s">
        <v>32</v>
      </c>
    </row>
    <row r="4136">
      <c r="A4136" s="36" t="s">
        <v>8693</v>
      </c>
      <c r="B4136" s="154" t="s">
        <v>8692</v>
      </c>
      <c r="C4136" s="36" t="s">
        <v>1666</v>
      </c>
      <c r="D4136" s="36" t="s">
        <v>204</v>
      </c>
      <c r="E4136" s="36" t="s">
        <v>204</v>
      </c>
      <c r="F4136" s="154" t="s">
        <v>8565</v>
      </c>
      <c r="G4136" s="36" t="s">
        <v>32</v>
      </c>
      <c r="H4136" s="36" t="s">
        <v>1655</v>
      </c>
      <c r="I4136" s="36" t="s">
        <v>1656</v>
      </c>
      <c r="J4136" s="36" t="s">
        <v>1656</v>
      </c>
      <c r="K4136" s="36" t="s">
        <v>1903</v>
      </c>
      <c r="L4136" s="36" t="s">
        <v>8363</v>
      </c>
      <c r="M4136" s="36" t="s">
        <v>8363</v>
      </c>
      <c r="N4136" s="36" t="s">
        <v>32</v>
      </c>
    </row>
    <row r="4137">
      <c r="A4137" s="36" t="s">
        <v>8694</v>
      </c>
      <c r="B4137" s="154" t="s">
        <v>8695</v>
      </c>
      <c r="C4137" s="36" t="s">
        <v>1666</v>
      </c>
      <c r="D4137" s="36" t="s">
        <v>191</v>
      </c>
      <c r="E4137" s="36" t="s">
        <v>191</v>
      </c>
      <c r="F4137" s="154" t="s">
        <v>1816</v>
      </c>
      <c r="G4137" s="36" t="s">
        <v>32</v>
      </c>
      <c r="H4137" s="36" t="s">
        <v>1655</v>
      </c>
      <c r="I4137" s="36" t="s">
        <v>1656</v>
      </c>
      <c r="J4137" s="36" t="s">
        <v>1656</v>
      </c>
      <c r="K4137" s="36" t="s">
        <v>1906</v>
      </c>
      <c r="L4137" s="36" t="s">
        <v>8363</v>
      </c>
      <c r="M4137" s="36" t="s">
        <v>8363</v>
      </c>
      <c r="N4137" s="36" t="s">
        <v>32</v>
      </c>
    </row>
    <row r="4138">
      <c r="A4138" s="36" t="s">
        <v>8696</v>
      </c>
      <c r="B4138" s="154" t="s">
        <v>8697</v>
      </c>
      <c r="C4138" s="36" t="s">
        <v>1666</v>
      </c>
      <c r="D4138" s="36" t="s">
        <v>79</v>
      </c>
      <c r="E4138" s="36" t="s">
        <v>79</v>
      </c>
      <c r="F4138" s="154" t="s">
        <v>8247</v>
      </c>
      <c r="G4138" s="36" t="s">
        <v>32</v>
      </c>
      <c r="H4138" s="36" t="s">
        <v>1655</v>
      </c>
      <c r="I4138" s="36" t="s">
        <v>1656</v>
      </c>
      <c r="J4138" s="36" t="s">
        <v>1656</v>
      </c>
      <c r="K4138" s="36" t="s">
        <v>1769</v>
      </c>
      <c r="L4138" s="36" t="s">
        <v>8363</v>
      </c>
      <c r="M4138" s="36" t="s">
        <v>8363</v>
      </c>
      <c r="N4138" s="36" t="s">
        <v>32</v>
      </c>
    </row>
    <row r="4139">
      <c r="A4139" s="36" t="s">
        <v>8698</v>
      </c>
      <c r="B4139" s="154" t="s">
        <v>8697</v>
      </c>
      <c r="C4139" s="36" t="s">
        <v>1666</v>
      </c>
      <c r="D4139" s="36" t="s">
        <v>81</v>
      </c>
      <c r="E4139" s="36" t="s">
        <v>81</v>
      </c>
      <c r="F4139" s="154" t="s">
        <v>8052</v>
      </c>
      <c r="G4139" s="36" t="s">
        <v>28</v>
      </c>
      <c r="H4139" s="36" t="s">
        <v>1655</v>
      </c>
      <c r="I4139" s="36" t="s">
        <v>1656</v>
      </c>
      <c r="J4139" s="36" t="s">
        <v>1656</v>
      </c>
      <c r="K4139" s="36" t="s">
        <v>1811</v>
      </c>
      <c r="L4139" s="36" t="s">
        <v>8363</v>
      </c>
      <c r="M4139" s="36" t="s">
        <v>8363</v>
      </c>
      <c r="N4139" s="36" t="s">
        <v>32</v>
      </c>
    </row>
    <row r="4140">
      <c r="A4140" s="36" t="s">
        <v>8699</v>
      </c>
      <c r="B4140" s="154" t="s">
        <v>8697</v>
      </c>
      <c r="C4140" s="36" t="s">
        <v>1666</v>
      </c>
      <c r="D4140" s="36" t="s">
        <v>83</v>
      </c>
      <c r="E4140" s="36" t="s">
        <v>83</v>
      </c>
      <c r="F4140" s="154" t="s">
        <v>8250</v>
      </c>
      <c r="G4140" s="36" t="s">
        <v>28</v>
      </c>
      <c r="H4140" s="36" t="s">
        <v>1655</v>
      </c>
      <c r="I4140" s="36" t="s">
        <v>1656</v>
      </c>
      <c r="J4140" s="36" t="s">
        <v>1656</v>
      </c>
      <c r="K4140" s="36" t="s">
        <v>1891</v>
      </c>
      <c r="L4140" s="36" t="s">
        <v>8363</v>
      </c>
      <c r="M4140" s="36" t="s">
        <v>8363</v>
      </c>
      <c r="N4140" s="36" t="s">
        <v>32</v>
      </c>
    </row>
    <row r="4141">
      <c r="A4141" s="36" t="s">
        <v>8700</v>
      </c>
      <c r="B4141" s="154" t="s">
        <v>8697</v>
      </c>
      <c r="C4141" s="36" t="s">
        <v>1666</v>
      </c>
      <c r="D4141" s="36" t="s">
        <v>84</v>
      </c>
      <c r="E4141" s="36" t="s">
        <v>84</v>
      </c>
      <c r="F4141" s="154" t="s">
        <v>8701</v>
      </c>
      <c r="G4141" s="36" t="s">
        <v>32</v>
      </c>
      <c r="H4141" s="36" t="s">
        <v>1655</v>
      </c>
      <c r="I4141" s="36" t="s">
        <v>1656</v>
      </c>
      <c r="J4141" s="36" t="s">
        <v>1656</v>
      </c>
      <c r="K4141" s="36" t="s">
        <v>1921</v>
      </c>
      <c r="L4141" s="36" t="s">
        <v>8363</v>
      </c>
      <c r="M4141" s="36" t="s">
        <v>8363</v>
      </c>
      <c r="N4141" s="36" t="s">
        <v>32</v>
      </c>
    </row>
    <row r="4142">
      <c r="A4142" s="36" t="s">
        <v>8702</v>
      </c>
      <c r="B4142" s="154" t="s">
        <v>8703</v>
      </c>
      <c r="C4142" s="36" t="s">
        <v>1666</v>
      </c>
      <c r="D4142" s="36" t="s">
        <v>124</v>
      </c>
      <c r="E4142" s="36" t="s">
        <v>124</v>
      </c>
      <c r="F4142" s="154" t="s">
        <v>5874</v>
      </c>
      <c r="G4142" s="36" t="s">
        <v>28</v>
      </c>
      <c r="H4142" s="36" t="s">
        <v>1655</v>
      </c>
      <c r="I4142" s="36" t="s">
        <v>1656</v>
      </c>
      <c r="J4142" s="36" t="s">
        <v>1656</v>
      </c>
      <c r="K4142" s="36" t="s">
        <v>1909</v>
      </c>
      <c r="L4142" s="36" t="s">
        <v>8363</v>
      </c>
      <c r="M4142" s="36" t="s">
        <v>8363</v>
      </c>
      <c r="N4142" s="36" t="s">
        <v>32</v>
      </c>
    </row>
    <row r="4143">
      <c r="A4143" s="36" t="s">
        <v>8704</v>
      </c>
      <c r="B4143" s="154" t="s">
        <v>8703</v>
      </c>
      <c r="C4143" s="36" t="s">
        <v>1666</v>
      </c>
      <c r="D4143" s="36" t="s">
        <v>356</v>
      </c>
      <c r="E4143" s="36" t="s">
        <v>356</v>
      </c>
      <c r="F4143" s="154" t="s">
        <v>8705</v>
      </c>
      <c r="G4143" s="36" t="s">
        <v>32</v>
      </c>
      <c r="H4143" s="36" t="s">
        <v>1655</v>
      </c>
      <c r="I4143" s="36" t="s">
        <v>1656</v>
      </c>
      <c r="J4143" s="36" t="s">
        <v>1656</v>
      </c>
      <c r="K4143" s="36" t="s">
        <v>1912</v>
      </c>
      <c r="L4143" s="36" t="s">
        <v>8363</v>
      </c>
      <c r="M4143" s="36" t="s">
        <v>8363</v>
      </c>
      <c r="N4143" s="36" t="s">
        <v>32</v>
      </c>
    </row>
    <row r="4144">
      <c r="A4144" s="36" t="s">
        <v>8706</v>
      </c>
      <c r="B4144" s="154" t="s">
        <v>8707</v>
      </c>
      <c r="C4144" s="36" t="s">
        <v>1653</v>
      </c>
      <c r="D4144" s="36" t="s">
        <v>43</v>
      </c>
      <c r="E4144" s="36" t="s">
        <v>39</v>
      </c>
      <c r="F4144" s="154" t="s">
        <v>8708</v>
      </c>
      <c r="G4144" s="36" t="s">
        <v>32</v>
      </c>
      <c r="H4144" s="36" t="s">
        <v>1655</v>
      </c>
      <c r="I4144" s="36" t="s">
        <v>1656</v>
      </c>
      <c r="J4144" s="36" t="s">
        <v>1656</v>
      </c>
      <c r="K4144" s="36" t="s">
        <v>1657</v>
      </c>
      <c r="L4144" s="36" t="s">
        <v>8454</v>
      </c>
      <c r="M4144" s="36" t="s">
        <v>8454</v>
      </c>
      <c r="N4144" s="36" t="s">
        <v>32</v>
      </c>
    </row>
    <row r="4145">
      <c r="A4145" s="36" t="s">
        <v>8709</v>
      </c>
      <c r="B4145" s="154" t="s">
        <v>8707</v>
      </c>
      <c r="C4145" s="36" t="s">
        <v>1653</v>
      </c>
      <c r="D4145" s="36" t="s">
        <v>166</v>
      </c>
      <c r="E4145" s="36" t="s">
        <v>39</v>
      </c>
      <c r="F4145" s="154" t="s">
        <v>8710</v>
      </c>
      <c r="G4145" s="36" t="s">
        <v>32</v>
      </c>
      <c r="H4145" s="36" t="s">
        <v>1655</v>
      </c>
      <c r="I4145" s="36" t="s">
        <v>1656</v>
      </c>
      <c r="J4145" s="36" t="s">
        <v>1656</v>
      </c>
      <c r="K4145" s="36" t="s">
        <v>4092</v>
      </c>
      <c r="L4145" s="36" t="s">
        <v>8454</v>
      </c>
      <c r="M4145" s="36" t="s">
        <v>8454</v>
      </c>
      <c r="N4145" s="36" t="s">
        <v>32</v>
      </c>
    </row>
    <row r="4146">
      <c r="A4146" s="36" t="s">
        <v>8711</v>
      </c>
      <c r="B4146" s="154" t="s">
        <v>8707</v>
      </c>
      <c r="C4146" s="36" t="s">
        <v>1653</v>
      </c>
      <c r="D4146" s="36" t="s">
        <v>183</v>
      </c>
      <c r="E4146" s="36" t="s">
        <v>39</v>
      </c>
      <c r="F4146" s="154" t="s">
        <v>8712</v>
      </c>
      <c r="G4146" s="36" t="s">
        <v>32</v>
      </c>
      <c r="H4146" s="36" t="s">
        <v>1655</v>
      </c>
      <c r="I4146" s="36" t="s">
        <v>1656</v>
      </c>
      <c r="J4146" s="36" t="s">
        <v>1656</v>
      </c>
      <c r="K4146" s="36" t="s">
        <v>1664</v>
      </c>
      <c r="L4146" s="36" t="s">
        <v>8454</v>
      </c>
      <c r="M4146" s="36" t="s">
        <v>8454</v>
      </c>
      <c r="N4146" s="36" t="s">
        <v>32</v>
      </c>
    </row>
    <row r="4147">
      <c r="A4147" s="36" t="s">
        <v>8713</v>
      </c>
      <c r="B4147" s="154" t="s">
        <v>8707</v>
      </c>
      <c r="C4147" s="36" t="s">
        <v>1666</v>
      </c>
      <c r="D4147" s="36" t="s">
        <v>92</v>
      </c>
      <c r="E4147" s="36" t="s">
        <v>92</v>
      </c>
      <c r="F4147" s="154" t="s">
        <v>8569</v>
      </c>
      <c r="G4147" s="36" t="s">
        <v>32</v>
      </c>
      <c r="H4147" s="36" t="s">
        <v>1655</v>
      </c>
      <c r="I4147" s="36" t="s">
        <v>1656</v>
      </c>
      <c r="J4147" s="36" t="s">
        <v>1656</v>
      </c>
      <c r="K4147" s="36" t="s">
        <v>3035</v>
      </c>
      <c r="L4147" s="36" t="s">
        <v>8363</v>
      </c>
      <c r="M4147" s="36" t="s">
        <v>8363</v>
      </c>
      <c r="N4147" s="36" t="s">
        <v>32</v>
      </c>
    </row>
    <row r="4148">
      <c r="A4148" s="36" t="s">
        <v>8714</v>
      </c>
      <c r="B4148" s="154" t="s">
        <v>8707</v>
      </c>
      <c r="C4148" s="36" t="s">
        <v>1666</v>
      </c>
      <c r="D4148" s="36" t="s">
        <v>192</v>
      </c>
      <c r="E4148" s="36" t="s">
        <v>192</v>
      </c>
      <c r="F4148" s="154" t="s">
        <v>8715</v>
      </c>
      <c r="G4148" s="36" t="s">
        <v>28</v>
      </c>
      <c r="H4148" s="36" t="s">
        <v>1655</v>
      </c>
      <c r="I4148" s="36" t="s">
        <v>1656</v>
      </c>
      <c r="J4148" s="36" t="s">
        <v>1656</v>
      </c>
      <c r="K4148" s="36" t="s">
        <v>3038</v>
      </c>
      <c r="L4148" s="36" t="s">
        <v>8363</v>
      </c>
      <c r="M4148" s="36" t="s">
        <v>8363</v>
      </c>
      <c r="N4148" s="36" t="s">
        <v>32</v>
      </c>
    </row>
    <row r="4149">
      <c r="A4149" s="36" t="s">
        <v>8716</v>
      </c>
      <c r="B4149" s="154" t="s">
        <v>8707</v>
      </c>
      <c r="C4149" s="36" t="s">
        <v>1666</v>
      </c>
      <c r="D4149" s="36" t="s">
        <v>85</v>
      </c>
      <c r="E4149" s="36" t="s">
        <v>85</v>
      </c>
      <c r="F4149" s="154" t="s">
        <v>8461</v>
      </c>
      <c r="G4149" s="36" t="s">
        <v>28</v>
      </c>
      <c r="H4149" s="36" t="s">
        <v>1655</v>
      </c>
      <c r="I4149" s="36" t="s">
        <v>1656</v>
      </c>
      <c r="J4149" s="36" t="s">
        <v>1656</v>
      </c>
      <c r="K4149" s="36" t="s">
        <v>2775</v>
      </c>
      <c r="L4149" s="36" t="s">
        <v>8363</v>
      </c>
      <c r="M4149" s="36" t="s">
        <v>8363</v>
      </c>
      <c r="N4149" s="36" t="s">
        <v>32</v>
      </c>
    </row>
    <row r="4150">
      <c r="A4150" s="36" t="s">
        <v>8717</v>
      </c>
      <c r="B4150" s="154" t="s">
        <v>8707</v>
      </c>
      <c r="C4150" s="36" t="s">
        <v>1666</v>
      </c>
      <c r="D4150" s="36" t="s">
        <v>203</v>
      </c>
      <c r="E4150" s="36" t="s">
        <v>203</v>
      </c>
      <c r="F4150" s="154" t="s">
        <v>8718</v>
      </c>
      <c r="G4150" s="36" t="s">
        <v>32</v>
      </c>
      <c r="H4150" s="36" t="s">
        <v>1655</v>
      </c>
      <c r="I4150" s="36" t="s">
        <v>1656</v>
      </c>
      <c r="J4150" s="36" t="s">
        <v>1656</v>
      </c>
      <c r="K4150" s="36" t="s">
        <v>1672</v>
      </c>
      <c r="L4150" s="36" t="s">
        <v>8363</v>
      </c>
      <c r="M4150" s="36" t="s">
        <v>8363</v>
      </c>
      <c r="N4150" s="36" t="s">
        <v>32</v>
      </c>
    </row>
    <row r="4151">
      <c r="A4151" s="36" t="s">
        <v>8719</v>
      </c>
      <c r="B4151" s="154" t="s">
        <v>8707</v>
      </c>
      <c r="C4151" s="36" t="s">
        <v>1666</v>
      </c>
      <c r="D4151" s="36" t="s">
        <v>109</v>
      </c>
      <c r="E4151" s="36" t="s">
        <v>109</v>
      </c>
      <c r="F4151" s="154" t="s">
        <v>5958</v>
      </c>
      <c r="G4151" s="36" t="s">
        <v>28</v>
      </c>
      <c r="H4151" s="36" t="s">
        <v>1655</v>
      </c>
      <c r="I4151" s="36" t="s">
        <v>1656</v>
      </c>
      <c r="J4151" s="36" t="s">
        <v>1656</v>
      </c>
      <c r="K4151" s="36" t="s">
        <v>1675</v>
      </c>
      <c r="L4151" s="36" t="s">
        <v>8363</v>
      </c>
      <c r="M4151" s="36" t="s">
        <v>8363</v>
      </c>
      <c r="N4151" s="36" t="s">
        <v>34</v>
      </c>
    </row>
    <row r="4152">
      <c r="A4152" s="36" t="s">
        <v>8720</v>
      </c>
      <c r="B4152" s="154" t="s">
        <v>8707</v>
      </c>
      <c r="C4152" s="36" t="s">
        <v>1666</v>
      </c>
      <c r="D4152" s="36" t="s">
        <v>215</v>
      </c>
      <c r="E4152" s="36" t="s">
        <v>215</v>
      </c>
      <c r="F4152" s="154" t="s">
        <v>1686</v>
      </c>
      <c r="G4152" s="36" t="s">
        <v>28</v>
      </c>
      <c r="H4152" s="36" t="s">
        <v>1655</v>
      </c>
      <c r="I4152" s="36" t="s">
        <v>1656</v>
      </c>
      <c r="J4152" s="36" t="s">
        <v>1656</v>
      </c>
      <c r="K4152" s="36" t="s">
        <v>1678</v>
      </c>
      <c r="L4152" s="36" t="s">
        <v>8363</v>
      </c>
      <c r="M4152" s="36" t="s">
        <v>8363</v>
      </c>
      <c r="N4152" s="36" t="s">
        <v>34</v>
      </c>
    </row>
    <row r="4153">
      <c r="A4153" s="36" t="s">
        <v>8721</v>
      </c>
      <c r="B4153" s="154" t="s">
        <v>8722</v>
      </c>
      <c r="C4153" s="36" t="s">
        <v>1666</v>
      </c>
      <c r="D4153" s="36" t="s">
        <v>222</v>
      </c>
      <c r="E4153" s="36" t="s">
        <v>222</v>
      </c>
      <c r="F4153" s="154" t="s">
        <v>2220</v>
      </c>
      <c r="G4153" s="36" t="s">
        <v>28</v>
      </c>
      <c r="H4153" s="36" t="s">
        <v>1655</v>
      </c>
      <c r="I4153" s="36" t="s">
        <v>1656</v>
      </c>
      <c r="J4153" s="36" t="s">
        <v>1656</v>
      </c>
      <c r="K4153" s="36" t="s">
        <v>1681</v>
      </c>
      <c r="L4153" s="36" t="s">
        <v>8363</v>
      </c>
      <c r="M4153" s="36" t="s">
        <v>8363</v>
      </c>
      <c r="N4153" s="36" t="s">
        <v>34</v>
      </c>
    </row>
    <row r="4154">
      <c r="A4154" s="36" t="s">
        <v>8723</v>
      </c>
      <c r="B4154" s="154" t="s">
        <v>8724</v>
      </c>
      <c r="C4154" s="36" t="s">
        <v>1666</v>
      </c>
      <c r="D4154" s="36" t="s">
        <v>78</v>
      </c>
      <c r="E4154" s="36" t="s">
        <v>78</v>
      </c>
      <c r="F4154" s="154" t="s">
        <v>1899</v>
      </c>
      <c r="G4154" s="36" t="s">
        <v>28</v>
      </c>
      <c r="H4154" s="36" t="s">
        <v>1655</v>
      </c>
      <c r="I4154" s="36" t="s">
        <v>1656</v>
      </c>
      <c r="J4154" s="36" t="s">
        <v>1656</v>
      </c>
      <c r="K4154" s="36" t="s">
        <v>4248</v>
      </c>
      <c r="L4154" s="36" t="s">
        <v>8363</v>
      </c>
      <c r="M4154" s="36" t="s">
        <v>8363</v>
      </c>
      <c r="N4154" s="36" t="s">
        <v>32</v>
      </c>
    </row>
    <row r="4155">
      <c r="A4155" s="36" t="s">
        <v>8725</v>
      </c>
      <c r="B4155" s="154" t="s">
        <v>8724</v>
      </c>
      <c r="C4155" s="36" t="s">
        <v>1666</v>
      </c>
      <c r="D4155" s="36" t="s">
        <v>230</v>
      </c>
      <c r="E4155" s="36" t="s">
        <v>230</v>
      </c>
      <c r="F4155" s="154" t="s">
        <v>1859</v>
      </c>
      <c r="G4155" s="36" t="s">
        <v>28</v>
      </c>
      <c r="H4155" s="36" t="s">
        <v>1655</v>
      </c>
      <c r="I4155" s="36" t="s">
        <v>1656</v>
      </c>
      <c r="J4155" s="36" t="s">
        <v>1656</v>
      </c>
      <c r="K4155" s="36" t="s">
        <v>1684</v>
      </c>
      <c r="L4155" s="36" t="s">
        <v>8363</v>
      </c>
      <c r="M4155" s="36" t="s">
        <v>8363</v>
      </c>
      <c r="N4155" s="36" t="s">
        <v>34</v>
      </c>
    </row>
    <row r="4156">
      <c r="A4156" s="36" t="s">
        <v>8726</v>
      </c>
      <c r="B4156" s="154" t="s">
        <v>8727</v>
      </c>
      <c r="C4156" s="36" t="s">
        <v>1666</v>
      </c>
      <c r="D4156" s="36" t="s">
        <v>63</v>
      </c>
      <c r="E4156" s="36" t="s">
        <v>63</v>
      </c>
      <c r="F4156" s="154" t="s">
        <v>8728</v>
      </c>
      <c r="G4156" s="36" t="s">
        <v>32</v>
      </c>
      <c r="H4156" s="36" t="s">
        <v>1655</v>
      </c>
      <c r="I4156" s="36" t="s">
        <v>1656</v>
      </c>
      <c r="J4156" s="36" t="s">
        <v>1656</v>
      </c>
      <c r="K4156" s="36" t="s">
        <v>4196</v>
      </c>
      <c r="L4156" s="36" t="s">
        <v>8363</v>
      </c>
      <c r="M4156" s="36" t="s">
        <v>8363</v>
      </c>
      <c r="N4156" s="36" t="s">
        <v>34</v>
      </c>
    </row>
    <row r="4157">
      <c r="A4157" s="36" t="s">
        <v>8729</v>
      </c>
      <c r="B4157" s="154" t="s">
        <v>8727</v>
      </c>
      <c r="C4157" s="36" t="s">
        <v>1666</v>
      </c>
      <c r="D4157" s="36" t="s">
        <v>210</v>
      </c>
      <c r="E4157" s="36" t="s">
        <v>210</v>
      </c>
      <c r="F4157" s="154" t="s">
        <v>1899</v>
      </c>
      <c r="G4157" s="36" t="s">
        <v>28</v>
      </c>
      <c r="H4157" s="36" t="s">
        <v>1655</v>
      </c>
      <c r="I4157" s="36" t="s">
        <v>1656</v>
      </c>
      <c r="J4157" s="36" t="s">
        <v>1656</v>
      </c>
      <c r="K4157" s="36" t="s">
        <v>1691</v>
      </c>
      <c r="L4157" s="36" t="s">
        <v>8363</v>
      </c>
      <c r="M4157" s="36" t="s">
        <v>8363</v>
      </c>
      <c r="N4157" s="36" t="s">
        <v>32</v>
      </c>
    </row>
    <row r="4158">
      <c r="A4158" s="36" t="s">
        <v>8730</v>
      </c>
      <c r="B4158" s="154" t="s">
        <v>8731</v>
      </c>
      <c r="C4158" s="36" t="s">
        <v>1666</v>
      </c>
      <c r="D4158" s="36" t="s">
        <v>64</v>
      </c>
      <c r="E4158" s="36" t="s">
        <v>64</v>
      </c>
      <c r="F4158" s="154" t="s">
        <v>8732</v>
      </c>
      <c r="G4158" s="36" t="s">
        <v>28</v>
      </c>
      <c r="H4158" s="36" t="s">
        <v>1655</v>
      </c>
      <c r="I4158" s="36" t="s">
        <v>1656</v>
      </c>
      <c r="J4158" s="36" t="s">
        <v>1656</v>
      </c>
      <c r="K4158" s="36" t="s">
        <v>1708</v>
      </c>
      <c r="L4158" s="36" t="s">
        <v>8363</v>
      </c>
      <c r="M4158" s="36" t="s">
        <v>8363</v>
      </c>
      <c r="N4158" s="36" t="s">
        <v>32</v>
      </c>
    </row>
    <row r="4159">
      <c r="A4159" s="36" t="s">
        <v>8733</v>
      </c>
      <c r="B4159" s="154" t="s">
        <v>8731</v>
      </c>
      <c r="C4159" s="36" t="s">
        <v>1666</v>
      </c>
      <c r="D4159" s="36" t="s">
        <v>210</v>
      </c>
      <c r="E4159" s="36" t="s">
        <v>210</v>
      </c>
      <c r="F4159" s="154" t="s">
        <v>2027</v>
      </c>
      <c r="G4159" s="36" t="s">
        <v>28</v>
      </c>
      <c r="H4159" s="36" t="s">
        <v>1655</v>
      </c>
      <c r="I4159" s="36" t="s">
        <v>1656</v>
      </c>
      <c r="J4159" s="36" t="s">
        <v>1656</v>
      </c>
      <c r="K4159" s="36" t="s">
        <v>1695</v>
      </c>
      <c r="L4159" s="36" t="s">
        <v>8363</v>
      </c>
      <c r="M4159" s="36" t="s">
        <v>8363</v>
      </c>
      <c r="N4159" s="36" t="s">
        <v>32</v>
      </c>
    </row>
    <row r="4160">
      <c r="A4160" s="36" t="s">
        <v>8734</v>
      </c>
      <c r="B4160" s="154" t="s">
        <v>8735</v>
      </c>
      <c r="C4160" s="36" t="s">
        <v>1666</v>
      </c>
      <c r="D4160" s="36" t="s">
        <v>90</v>
      </c>
      <c r="E4160" s="36" t="s">
        <v>90</v>
      </c>
      <c r="F4160" s="154" t="s">
        <v>1806</v>
      </c>
      <c r="G4160" s="36" t="s">
        <v>28</v>
      </c>
      <c r="H4160" s="36" t="s">
        <v>1655</v>
      </c>
      <c r="I4160" s="36" t="s">
        <v>1656</v>
      </c>
      <c r="J4160" s="36" t="s">
        <v>1656</v>
      </c>
      <c r="K4160" s="36" t="s">
        <v>1698</v>
      </c>
      <c r="L4160" s="36" t="s">
        <v>8363</v>
      </c>
      <c r="M4160" s="36" t="s">
        <v>8363</v>
      </c>
      <c r="N4160" s="36" t="s">
        <v>32</v>
      </c>
    </row>
    <row r="4161">
      <c r="A4161" s="36" t="s">
        <v>8736</v>
      </c>
      <c r="B4161" s="154" t="s">
        <v>8737</v>
      </c>
      <c r="C4161" s="36" t="s">
        <v>1666</v>
      </c>
      <c r="D4161" s="36" t="s">
        <v>67</v>
      </c>
      <c r="E4161" s="36" t="s">
        <v>67</v>
      </c>
      <c r="F4161" s="154" t="s">
        <v>8738</v>
      </c>
      <c r="G4161" s="36" t="s">
        <v>28</v>
      </c>
      <c r="H4161" s="36" t="s">
        <v>1655</v>
      </c>
      <c r="I4161" s="36" t="s">
        <v>1656</v>
      </c>
      <c r="J4161" s="36" t="s">
        <v>1656</v>
      </c>
      <c r="K4161" s="36" t="s">
        <v>1721</v>
      </c>
      <c r="L4161" s="36" t="s">
        <v>8363</v>
      </c>
      <c r="M4161" s="36" t="s">
        <v>8363</v>
      </c>
      <c r="N4161" s="36" t="s">
        <v>32</v>
      </c>
    </row>
    <row r="4162">
      <c r="A4162" s="36" t="s">
        <v>8739</v>
      </c>
      <c r="B4162" s="154" t="s">
        <v>8737</v>
      </c>
      <c r="C4162" s="36" t="s">
        <v>1666</v>
      </c>
      <c r="D4162" s="36" t="s">
        <v>191</v>
      </c>
      <c r="E4162" s="36" t="s">
        <v>191</v>
      </c>
      <c r="F4162" s="154" t="s">
        <v>1816</v>
      </c>
      <c r="G4162" s="36" t="s">
        <v>28</v>
      </c>
      <c r="H4162" s="36" t="s">
        <v>1655</v>
      </c>
      <c r="I4162" s="36" t="s">
        <v>1656</v>
      </c>
      <c r="J4162" s="36" t="s">
        <v>1656</v>
      </c>
      <c r="K4162" s="36" t="s">
        <v>1701</v>
      </c>
      <c r="L4162" s="36" t="s">
        <v>8363</v>
      </c>
      <c r="M4162" s="36" t="s">
        <v>8363</v>
      </c>
      <c r="N4162" s="36" t="s">
        <v>32</v>
      </c>
    </row>
    <row r="4163">
      <c r="A4163" s="36" t="s">
        <v>8740</v>
      </c>
      <c r="B4163" s="154" t="s">
        <v>8737</v>
      </c>
      <c r="C4163" s="36" t="s">
        <v>1666</v>
      </c>
      <c r="D4163" s="36" t="s">
        <v>261</v>
      </c>
      <c r="E4163" s="36" t="s">
        <v>261</v>
      </c>
      <c r="F4163" s="154" t="s">
        <v>6974</v>
      </c>
      <c r="G4163" s="36" t="s">
        <v>32</v>
      </c>
      <c r="H4163" s="36" t="s">
        <v>1655</v>
      </c>
      <c r="I4163" s="36" t="s">
        <v>1656</v>
      </c>
      <c r="J4163" s="36" t="s">
        <v>1656</v>
      </c>
      <c r="K4163" s="36" t="s">
        <v>1704</v>
      </c>
      <c r="L4163" s="36" t="s">
        <v>8363</v>
      </c>
      <c r="M4163" s="36" t="s">
        <v>8363</v>
      </c>
      <c r="N4163" s="36" t="s">
        <v>32</v>
      </c>
    </row>
    <row r="4164">
      <c r="A4164" s="36" t="s">
        <v>8741</v>
      </c>
      <c r="B4164" s="154" t="s">
        <v>8737</v>
      </c>
      <c r="C4164" s="36" t="s">
        <v>1666</v>
      </c>
      <c r="D4164" s="36" t="s">
        <v>265</v>
      </c>
      <c r="E4164" s="36" t="s">
        <v>265</v>
      </c>
      <c r="F4164" s="154" t="s">
        <v>2163</v>
      </c>
      <c r="G4164" s="36" t="s">
        <v>28</v>
      </c>
      <c r="H4164" s="36" t="s">
        <v>1655</v>
      </c>
      <c r="I4164" s="36" t="s">
        <v>1656</v>
      </c>
      <c r="J4164" s="36" t="s">
        <v>1656</v>
      </c>
      <c r="K4164" s="36" t="s">
        <v>1711</v>
      </c>
      <c r="L4164" s="36" t="s">
        <v>8363</v>
      </c>
      <c r="M4164" s="36" t="s">
        <v>8363</v>
      </c>
      <c r="N4164" s="36" t="s">
        <v>34</v>
      </c>
    </row>
    <row r="4165">
      <c r="A4165" s="36" t="s">
        <v>8742</v>
      </c>
      <c r="B4165" s="154" t="s">
        <v>8737</v>
      </c>
      <c r="C4165" s="36" t="s">
        <v>1666</v>
      </c>
      <c r="D4165" s="36" t="s">
        <v>207</v>
      </c>
      <c r="E4165" s="36" t="s">
        <v>207</v>
      </c>
      <c r="F4165" s="154" t="s">
        <v>2555</v>
      </c>
      <c r="G4165" s="36" t="s">
        <v>28</v>
      </c>
      <c r="H4165" s="36" t="s">
        <v>1655</v>
      </c>
      <c r="I4165" s="36" t="s">
        <v>1656</v>
      </c>
      <c r="J4165" s="36" t="s">
        <v>1656</v>
      </c>
      <c r="K4165" s="36" t="s">
        <v>1715</v>
      </c>
      <c r="L4165" s="36" t="s">
        <v>8363</v>
      </c>
      <c r="M4165" s="36" t="s">
        <v>8363</v>
      </c>
      <c r="N4165" s="36" t="s">
        <v>34</v>
      </c>
    </row>
    <row r="4166">
      <c r="A4166" s="36" t="s">
        <v>8743</v>
      </c>
      <c r="B4166" s="154" t="s">
        <v>8744</v>
      </c>
      <c r="C4166" s="36" t="s">
        <v>1666</v>
      </c>
      <c r="D4166" s="36" t="s">
        <v>222</v>
      </c>
      <c r="E4166" s="36" t="s">
        <v>222</v>
      </c>
      <c r="F4166" s="154" t="s">
        <v>2220</v>
      </c>
      <c r="G4166" s="36" t="s">
        <v>28</v>
      </c>
      <c r="H4166" s="36" t="s">
        <v>1655</v>
      </c>
      <c r="I4166" s="36" t="s">
        <v>1656</v>
      </c>
      <c r="J4166" s="36" t="s">
        <v>1656</v>
      </c>
      <c r="K4166" s="36" t="s">
        <v>1717</v>
      </c>
      <c r="L4166" s="36" t="s">
        <v>8363</v>
      </c>
      <c r="M4166" s="36" t="s">
        <v>8363</v>
      </c>
      <c r="N4166" s="36" t="s">
        <v>34</v>
      </c>
    </row>
    <row r="4167">
      <c r="A4167" s="36" t="s">
        <v>8745</v>
      </c>
      <c r="B4167" s="154" t="s">
        <v>8746</v>
      </c>
      <c r="C4167" s="36" t="s">
        <v>1653</v>
      </c>
      <c r="D4167" s="36" t="s">
        <v>55</v>
      </c>
      <c r="E4167" s="36" t="s">
        <v>39</v>
      </c>
      <c r="F4167" s="154" t="s">
        <v>8747</v>
      </c>
      <c r="G4167" s="36" t="s">
        <v>32</v>
      </c>
      <c r="H4167" s="36" t="s">
        <v>1655</v>
      </c>
      <c r="I4167" s="36" t="s">
        <v>1656</v>
      </c>
      <c r="J4167" s="36" t="s">
        <v>1656</v>
      </c>
      <c r="K4167" s="36" t="s">
        <v>1989</v>
      </c>
      <c r="L4167" s="36" t="s">
        <v>8454</v>
      </c>
      <c r="M4167" s="36" t="s">
        <v>8454</v>
      </c>
      <c r="N4167" s="36" t="s">
        <v>32</v>
      </c>
    </row>
    <row r="4168">
      <c r="A4168" s="36" t="s">
        <v>8748</v>
      </c>
      <c r="B4168" s="154" t="s">
        <v>8746</v>
      </c>
      <c r="C4168" s="36" t="s">
        <v>1666</v>
      </c>
      <c r="D4168" s="36" t="s">
        <v>71</v>
      </c>
      <c r="E4168" s="36" t="s">
        <v>71</v>
      </c>
      <c r="F4168" s="154" t="s">
        <v>8091</v>
      </c>
      <c r="G4168" s="36" t="s">
        <v>32</v>
      </c>
      <c r="H4168" s="36" t="s">
        <v>1655</v>
      </c>
      <c r="I4168" s="36" t="s">
        <v>1656</v>
      </c>
      <c r="J4168" s="36" t="s">
        <v>1656</v>
      </c>
      <c r="K4168" s="36" t="s">
        <v>1752</v>
      </c>
      <c r="L4168" s="36" t="s">
        <v>8363</v>
      </c>
      <c r="M4168" s="36" t="s">
        <v>8363</v>
      </c>
      <c r="N4168" s="36" t="s">
        <v>32</v>
      </c>
    </row>
    <row r="4169">
      <c r="A4169" s="36" t="s">
        <v>8749</v>
      </c>
      <c r="B4169" s="154" t="s">
        <v>8746</v>
      </c>
      <c r="C4169" s="36" t="s">
        <v>1666</v>
      </c>
      <c r="D4169" s="36" t="s">
        <v>73</v>
      </c>
      <c r="E4169" s="36" t="s">
        <v>73</v>
      </c>
      <c r="F4169" s="154" t="s">
        <v>8093</v>
      </c>
      <c r="G4169" s="36" t="s">
        <v>28</v>
      </c>
      <c r="H4169" s="36" t="s">
        <v>1655</v>
      </c>
      <c r="I4169" s="36" t="s">
        <v>1656</v>
      </c>
      <c r="J4169" s="36" t="s">
        <v>1656</v>
      </c>
      <c r="K4169" s="36" t="s">
        <v>1755</v>
      </c>
      <c r="L4169" s="36" t="s">
        <v>8363</v>
      </c>
      <c r="M4169" s="36" t="s">
        <v>8363</v>
      </c>
      <c r="N4169" s="36" t="s">
        <v>32</v>
      </c>
    </row>
    <row r="4170">
      <c r="A4170" s="36" t="s">
        <v>8750</v>
      </c>
      <c r="B4170" s="154" t="s">
        <v>8746</v>
      </c>
      <c r="C4170" s="36" t="s">
        <v>1666</v>
      </c>
      <c r="D4170" s="36" t="s">
        <v>74</v>
      </c>
      <c r="E4170" s="36" t="s">
        <v>74</v>
      </c>
      <c r="F4170" s="154" t="s">
        <v>8095</v>
      </c>
      <c r="G4170" s="36" t="s">
        <v>32</v>
      </c>
      <c r="H4170" s="36" t="s">
        <v>1655</v>
      </c>
      <c r="I4170" s="36" t="s">
        <v>1656</v>
      </c>
      <c r="J4170" s="36" t="s">
        <v>1656</v>
      </c>
      <c r="K4170" s="36" t="s">
        <v>1757</v>
      </c>
      <c r="L4170" s="36" t="s">
        <v>8363</v>
      </c>
      <c r="M4170" s="36" t="s">
        <v>8363</v>
      </c>
      <c r="N4170" s="36" t="s">
        <v>32</v>
      </c>
    </row>
    <row r="4171">
      <c r="A4171" s="36" t="s">
        <v>8751</v>
      </c>
      <c r="B4171" s="154" t="s">
        <v>8746</v>
      </c>
      <c r="C4171" s="36" t="s">
        <v>1666</v>
      </c>
      <c r="D4171" s="36" t="s">
        <v>75</v>
      </c>
      <c r="E4171" s="36" t="s">
        <v>75</v>
      </c>
      <c r="F4171" s="154" t="s">
        <v>8097</v>
      </c>
      <c r="G4171" s="36" t="s">
        <v>28</v>
      </c>
      <c r="H4171" s="36" t="s">
        <v>1655</v>
      </c>
      <c r="I4171" s="36" t="s">
        <v>1656</v>
      </c>
      <c r="J4171" s="36" t="s">
        <v>1656</v>
      </c>
      <c r="K4171" s="36" t="s">
        <v>1760</v>
      </c>
      <c r="L4171" s="36" t="s">
        <v>8363</v>
      </c>
      <c r="M4171" s="36" t="s">
        <v>8363</v>
      </c>
      <c r="N4171" s="36" t="s">
        <v>32</v>
      </c>
    </row>
    <row r="4172">
      <c r="A4172" s="36" t="s">
        <v>8752</v>
      </c>
      <c r="B4172" s="154" t="s">
        <v>8746</v>
      </c>
      <c r="C4172" s="36" t="s">
        <v>1666</v>
      </c>
      <c r="D4172" s="36" t="s">
        <v>76</v>
      </c>
      <c r="E4172" s="36" t="s">
        <v>76</v>
      </c>
      <c r="F4172" s="154" t="s">
        <v>8753</v>
      </c>
      <c r="G4172" s="36" t="s">
        <v>28</v>
      </c>
      <c r="H4172" s="36" t="s">
        <v>1655</v>
      </c>
      <c r="I4172" s="36" t="s">
        <v>1656</v>
      </c>
      <c r="J4172" s="36" t="s">
        <v>1656</v>
      </c>
      <c r="K4172" s="36" t="s">
        <v>1763</v>
      </c>
      <c r="L4172" s="36" t="s">
        <v>8363</v>
      </c>
      <c r="M4172" s="36" t="s">
        <v>8363</v>
      </c>
      <c r="N4172" s="36" t="s">
        <v>32</v>
      </c>
    </row>
    <row r="4173">
      <c r="A4173" s="36" t="s">
        <v>8754</v>
      </c>
      <c r="B4173" s="154" t="s">
        <v>8746</v>
      </c>
      <c r="C4173" s="36" t="s">
        <v>1666</v>
      </c>
      <c r="D4173" s="36" t="s">
        <v>220</v>
      </c>
      <c r="E4173" s="36" t="s">
        <v>220</v>
      </c>
      <c r="F4173" s="154" t="s">
        <v>8755</v>
      </c>
      <c r="G4173" s="36" t="s">
        <v>28</v>
      </c>
      <c r="H4173" s="36" t="s">
        <v>1655</v>
      </c>
      <c r="I4173" s="36" t="s">
        <v>1656</v>
      </c>
      <c r="J4173" s="36" t="s">
        <v>1656</v>
      </c>
      <c r="K4173" s="36" t="s">
        <v>1724</v>
      </c>
      <c r="L4173" s="36" t="s">
        <v>8363</v>
      </c>
      <c r="M4173" s="36" t="s">
        <v>8363</v>
      </c>
      <c r="N4173" s="36" t="s">
        <v>32</v>
      </c>
    </row>
    <row r="4174">
      <c r="A4174" s="36" t="s">
        <v>8756</v>
      </c>
      <c r="B4174" s="154" t="s">
        <v>8746</v>
      </c>
      <c r="C4174" s="36" t="s">
        <v>1666</v>
      </c>
      <c r="D4174" s="36" t="s">
        <v>226</v>
      </c>
      <c r="E4174" s="36" t="s">
        <v>226</v>
      </c>
      <c r="F4174" s="154" t="s">
        <v>8757</v>
      </c>
      <c r="G4174" s="36" t="s">
        <v>32</v>
      </c>
      <c r="H4174" s="36" t="s">
        <v>1655</v>
      </c>
      <c r="I4174" s="36" t="s">
        <v>1656</v>
      </c>
      <c r="J4174" s="36" t="s">
        <v>1656</v>
      </c>
      <c r="K4174" s="36" t="s">
        <v>1727</v>
      </c>
      <c r="L4174" s="36" t="s">
        <v>8363</v>
      </c>
      <c r="M4174" s="36" t="s">
        <v>8363</v>
      </c>
      <c r="N4174" s="36" t="s">
        <v>32</v>
      </c>
    </row>
    <row r="4175">
      <c r="A4175" s="36" t="s">
        <v>8758</v>
      </c>
      <c r="B4175" s="154" t="s">
        <v>8759</v>
      </c>
      <c r="C4175" s="36" t="s">
        <v>1653</v>
      </c>
      <c r="D4175" s="36" t="s">
        <v>175</v>
      </c>
      <c r="E4175" s="36" t="s">
        <v>39</v>
      </c>
      <c r="F4175" s="154" t="s">
        <v>8760</v>
      </c>
      <c r="G4175" s="36" t="s">
        <v>32</v>
      </c>
      <c r="H4175" s="36" t="s">
        <v>1655</v>
      </c>
      <c r="I4175" s="36" t="s">
        <v>1656</v>
      </c>
      <c r="J4175" s="36" t="s">
        <v>1656</v>
      </c>
      <c r="K4175" s="36" t="s">
        <v>1978</v>
      </c>
      <c r="L4175" s="36" t="s">
        <v>8454</v>
      </c>
      <c r="M4175" s="36" t="s">
        <v>8454</v>
      </c>
      <c r="N4175" s="36" t="s">
        <v>32</v>
      </c>
    </row>
    <row r="4176">
      <c r="A4176" s="36" t="s">
        <v>8761</v>
      </c>
      <c r="B4176" s="154" t="s">
        <v>8759</v>
      </c>
      <c r="C4176" s="36" t="s">
        <v>1666</v>
      </c>
      <c r="D4176" s="36" t="s">
        <v>90</v>
      </c>
      <c r="E4176" s="36" t="s">
        <v>90</v>
      </c>
      <c r="F4176" s="154" t="s">
        <v>1768</v>
      </c>
      <c r="G4176" s="36" t="s">
        <v>28</v>
      </c>
      <c r="H4176" s="36" t="s">
        <v>1655</v>
      </c>
      <c r="I4176" s="36" t="s">
        <v>1656</v>
      </c>
      <c r="J4176" s="36" t="s">
        <v>1656</v>
      </c>
      <c r="K4176" s="36" t="s">
        <v>1730</v>
      </c>
      <c r="L4176" s="36" t="s">
        <v>8363</v>
      </c>
      <c r="M4176" s="36" t="s">
        <v>8363</v>
      </c>
      <c r="N4176" s="36" t="s">
        <v>32</v>
      </c>
    </row>
    <row r="4177">
      <c r="A4177" s="36" t="s">
        <v>8762</v>
      </c>
      <c r="B4177" s="154" t="s">
        <v>8759</v>
      </c>
      <c r="C4177" s="36" t="s">
        <v>1666</v>
      </c>
      <c r="D4177" s="36" t="s">
        <v>115</v>
      </c>
      <c r="E4177" s="36" t="s">
        <v>115</v>
      </c>
      <c r="F4177" s="154" t="s">
        <v>1683</v>
      </c>
      <c r="G4177" s="36" t="s">
        <v>32</v>
      </c>
      <c r="H4177" s="36" t="s">
        <v>1655</v>
      </c>
      <c r="I4177" s="36" t="s">
        <v>1656</v>
      </c>
      <c r="J4177" s="36" t="s">
        <v>1656</v>
      </c>
      <c r="K4177" s="36" t="s">
        <v>1732</v>
      </c>
      <c r="L4177" s="36" t="s">
        <v>8363</v>
      </c>
      <c r="M4177" s="36" t="s">
        <v>8363</v>
      </c>
      <c r="N4177" s="36" t="s">
        <v>32</v>
      </c>
    </row>
    <row r="4178">
      <c r="A4178" s="36" t="s">
        <v>8763</v>
      </c>
      <c r="B4178" s="154" t="s">
        <v>8759</v>
      </c>
      <c r="C4178" s="36" t="s">
        <v>1666</v>
      </c>
      <c r="D4178" s="36" t="s">
        <v>114</v>
      </c>
      <c r="E4178" s="36" t="s">
        <v>114</v>
      </c>
      <c r="F4178" s="154" t="s">
        <v>8764</v>
      </c>
      <c r="G4178" s="36" t="s">
        <v>32</v>
      </c>
      <c r="H4178" s="36" t="s">
        <v>1655</v>
      </c>
      <c r="I4178" s="36" t="s">
        <v>1656</v>
      </c>
      <c r="J4178" s="36" t="s">
        <v>1656</v>
      </c>
      <c r="K4178" s="36" t="s">
        <v>1736</v>
      </c>
      <c r="L4178" s="36" t="s">
        <v>8363</v>
      </c>
      <c r="M4178" s="36" t="s">
        <v>8363</v>
      </c>
      <c r="N4178" s="36" t="s">
        <v>32</v>
      </c>
    </row>
    <row r="4179">
      <c r="A4179" s="36" t="s">
        <v>8765</v>
      </c>
      <c r="B4179" s="154" t="s">
        <v>8759</v>
      </c>
      <c r="C4179" s="36" t="s">
        <v>1666</v>
      </c>
      <c r="D4179" s="36" t="s">
        <v>110</v>
      </c>
      <c r="E4179" s="36" t="s">
        <v>110</v>
      </c>
      <c r="F4179" s="154" t="s">
        <v>2039</v>
      </c>
      <c r="G4179" s="36" t="s">
        <v>28</v>
      </c>
      <c r="H4179" s="36" t="s">
        <v>1655</v>
      </c>
      <c r="I4179" s="36" t="s">
        <v>1656</v>
      </c>
      <c r="J4179" s="36" t="s">
        <v>1656</v>
      </c>
      <c r="K4179" s="36" t="s">
        <v>1739</v>
      </c>
      <c r="L4179" s="36" t="s">
        <v>8363</v>
      </c>
      <c r="M4179" s="36" t="s">
        <v>8363</v>
      </c>
      <c r="N4179" s="36" t="s">
        <v>34</v>
      </c>
    </row>
    <row r="4180">
      <c r="A4180" s="36" t="s">
        <v>8766</v>
      </c>
      <c r="B4180" s="154" t="s">
        <v>8767</v>
      </c>
      <c r="C4180" s="36" t="s">
        <v>1666</v>
      </c>
      <c r="D4180" s="36" t="s">
        <v>302</v>
      </c>
      <c r="E4180" s="36" t="s">
        <v>302</v>
      </c>
      <c r="F4180" s="154" t="s">
        <v>8321</v>
      </c>
      <c r="G4180" s="36" t="s">
        <v>28</v>
      </c>
      <c r="H4180" s="36" t="s">
        <v>1655</v>
      </c>
      <c r="I4180" s="36" t="s">
        <v>1656</v>
      </c>
      <c r="J4180" s="36" t="s">
        <v>1656</v>
      </c>
      <c r="K4180" s="36" t="s">
        <v>1742</v>
      </c>
      <c r="L4180" s="36" t="s">
        <v>8363</v>
      </c>
      <c r="M4180" s="36" t="s">
        <v>8363</v>
      </c>
      <c r="N4180" s="36" t="s">
        <v>32</v>
      </c>
    </row>
    <row r="4181">
      <c r="A4181" s="36" t="s">
        <v>8768</v>
      </c>
      <c r="B4181" s="154" t="s">
        <v>8767</v>
      </c>
      <c r="C4181" s="36" t="s">
        <v>1666</v>
      </c>
      <c r="D4181" s="36" t="s">
        <v>124</v>
      </c>
      <c r="E4181" s="36" t="s">
        <v>124</v>
      </c>
      <c r="F4181" s="154" t="s">
        <v>7851</v>
      </c>
      <c r="G4181" s="36" t="s">
        <v>32</v>
      </c>
      <c r="H4181" s="36" t="s">
        <v>1655</v>
      </c>
      <c r="I4181" s="36" t="s">
        <v>1656</v>
      </c>
      <c r="J4181" s="36" t="s">
        <v>1656</v>
      </c>
      <c r="K4181" s="36" t="s">
        <v>1745</v>
      </c>
      <c r="L4181" s="36" t="s">
        <v>8363</v>
      </c>
      <c r="M4181" s="36" t="s">
        <v>8363</v>
      </c>
      <c r="N4181" s="36" t="s">
        <v>32</v>
      </c>
    </row>
    <row r="4182">
      <c r="A4182" s="36" t="s">
        <v>8769</v>
      </c>
      <c r="B4182" s="154" t="s">
        <v>8770</v>
      </c>
      <c r="C4182" s="36" t="s">
        <v>1666</v>
      </c>
      <c r="D4182" s="36" t="s">
        <v>313</v>
      </c>
      <c r="E4182" s="36" t="s">
        <v>313</v>
      </c>
      <c r="F4182" s="154" t="s">
        <v>2025</v>
      </c>
      <c r="G4182" s="36" t="s">
        <v>32</v>
      </c>
      <c r="H4182" s="36" t="s">
        <v>1655</v>
      </c>
      <c r="I4182" s="36" t="s">
        <v>1656</v>
      </c>
      <c r="J4182" s="36" t="s">
        <v>1656</v>
      </c>
      <c r="K4182" s="36" t="s">
        <v>1773</v>
      </c>
      <c r="L4182" s="36" t="s">
        <v>8363</v>
      </c>
      <c r="M4182" s="36" t="s">
        <v>8363</v>
      </c>
      <c r="N4182" s="36" t="s">
        <v>32</v>
      </c>
    </row>
    <row r="4183">
      <c r="A4183" s="36" t="s">
        <v>8771</v>
      </c>
      <c r="B4183" s="154" t="s">
        <v>8770</v>
      </c>
      <c r="C4183" s="36" t="s">
        <v>1666</v>
      </c>
      <c r="D4183" s="36" t="s">
        <v>295</v>
      </c>
      <c r="E4183" s="36" t="s">
        <v>295</v>
      </c>
      <c r="F4183" s="154" t="s">
        <v>1874</v>
      </c>
      <c r="G4183" s="36" t="s">
        <v>32</v>
      </c>
      <c r="H4183" s="36" t="s">
        <v>1655</v>
      </c>
      <c r="I4183" s="36" t="s">
        <v>1656</v>
      </c>
      <c r="J4183" s="36" t="s">
        <v>1656</v>
      </c>
      <c r="K4183" s="36" t="s">
        <v>1776</v>
      </c>
      <c r="L4183" s="36" t="s">
        <v>8363</v>
      </c>
      <c r="M4183" s="36" t="s">
        <v>8363</v>
      </c>
      <c r="N4183" s="36" t="s">
        <v>32</v>
      </c>
    </row>
    <row r="4184">
      <c r="A4184" s="36" t="s">
        <v>8772</v>
      </c>
      <c r="B4184" s="154" t="s">
        <v>8773</v>
      </c>
      <c r="C4184" s="36" t="s">
        <v>1666</v>
      </c>
      <c r="D4184" s="36" t="s">
        <v>110</v>
      </c>
      <c r="E4184" s="36" t="s">
        <v>110</v>
      </c>
      <c r="F4184" s="154" t="s">
        <v>2044</v>
      </c>
      <c r="G4184" s="36" t="s">
        <v>28</v>
      </c>
      <c r="H4184" s="36" t="s">
        <v>1655</v>
      </c>
      <c r="I4184" s="36" t="s">
        <v>1656</v>
      </c>
      <c r="J4184" s="36" t="s">
        <v>1656</v>
      </c>
      <c r="K4184" s="36" t="s">
        <v>1779</v>
      </c>
      <c r="L4184" s="36" t="s">
        <v>8363</v>
      </c>
      <c r="M4184" s="36" t="s">
        <v>8363</v>
      </c>
      <c r="N4184" s="36" t="s">
        <v>34</v>
      </c>
    </row>
    <row r="4185">
      <c r="A4185" s="36" t="s">
        <v>8774</v>
      </c>
      <c r="B4185" s="154" t="s">
        <v>8775</v>
      </c>
      <c r="C4185" s="36" t="s">
        <v>1666</v>
      </c>
      <c r="D4185" s="36" t="s">
        <v>100</v>
      </c>
      <c r="E4185" s="36" t="s">
        <v>100</v>
      </c>
      <c r="F4185" s="154" t="s">
        <v>2249</v>
      </c>
      <c r="G4185" s="36" t="s">
        <v>32</v>
      </c>
      <c r="H4185" s="36" t="s">
        <v>1655</v>
      </c>
      <c r="I4185" s="36" t="s">
        <v>1656</v>
      </c>
      <c r="J4185" s="36" t="s">
        <v>1656</v>
      </c>
      <c r="K4185" s="36" t="s">
        <v>1782</v>
      </c>
      <c r="L4185" s="36" t="s">
        <v>8363</v>
      </c>
      <c r="M4185" s="36" t="s">
        <v>8363</v>
      </c>
      <c r="N4185" s="36" t="s">
        <v>32</v>
      </c>
    </row>
    <row r="4186">
      <c r="A4186" s="36" t="s">
        <v>8776</v>
      </c>
      <c r="B4186" s="154" t="s">
        <v>8777</v>
      </c>
      <c r="C4186" s="36" t="s">
        <v>1666</v>
      </c>
      <c r="D4186" s="36" t="s">
        <v>100</v>
      </c>
      <c r="E4186" s="36" t="s">
        <v>100</v>
      </c>
      <c r="F4186" s="154" t="s">
        <v>1810</v>
      </c>
      <c r="G4186" s="36" t="s">
        <v>32</v>
      </c>
      <c r="H4186" s="36" t="s">
        <v>1655</v>
      </c>
      <c r="I4186" s="36" t="s">
        <v>1656</v>
      </c>
      <c r="J4186" s="36" t="s">
        <v>1656</v>
      </c>
      <c r="K4186" s="36" t="s">
        <v>1784</v>
      </c>
      <c r="L4186" s="36" t="s">
        <v>8363</v>
      </c>
      <c r="M4186" s="36" t="s">
        <v>8363</v>
      </c>
      <c r="N4186" s="36" t="s">
        <v>32</v>
      </c>
    </row>
    <row r="4187">
      <c r="A4187" s="36" t="s">
        <v>8778</v>
      </c>
      <c r="B4187" s="154" t="s">
        <v>8777</v>
      </c>
      <c r="C4187" s="36" t="s">
        <v>1666</v>
      </c>
      <c r="D4187" s="36" t="s">
        <v>235</v>
      </c>
      <c r="E4187" s="36" t="s">
        <v>235</v>
      </c>
      <c r="F4187" s="154" t="s">
        <v>2217</v>
      </c>
      <c r="G4187" s="36" t="s">
        <v>28</v>
      </c>
      <c r="H4187" s="36" t="s">
        <v>1655</v>
      </c>
      <c r="I4187" s="36" t="s">
        <v>1656</v>
      </c>
      <c r="J4187" s="36" t="s">
        <v>1656</v>
      </c>
      <c r="K4187" s="36" t="s">
        <v>1787</v>
      </c>
      <c r="L4187" s="36" t="s">
        <v>8363</v>
      </c>
      <c r="M4187" s="36" t="s">
        <v>8363</v>
      </c>
      <c r="N4187" s="36" t="s">
        <v>34</v>
      </c>
    </row>
    <row r="4188">
      <c r="A4188" s="36" t="s">
        <v>8779</v>
      </c>
      <c r="B4188" s="154" t="s">
        <v>8777</v>
      </c>
      <c r="C4188" s="36" t="s">
        <v>1666</v>
      </c>
      <c r="D4188" s="36" t="s">
        <v>334</v>
      </c>
      <c r="E4188" s="36" t="s">
        <v>334</v>
      </c>
      <c r="F4188" s="154" t="s">
        <v>2156</v>
      </c>
      <c r="G4188" s="36" t="s">
        <v>28</v>
      </c>
      <c r="H4188" s="36" t="s">
        <v>1655</v>
      </c>
      <c r="I4188" s="36" t="s">
        <v>1656</v>
      </c>
      <c r="J4188" s="36" t="s">
        <v>1656</v>
      </c>
      <c r="K4188" s="36" t="s">
        <v>1790</v>
      </c>
      <c r="L4188" s="36" t="s">
        <v>8363</v>
      </c>
      <c r="M4188" s="36" t="s">
        <v>8363</v>
      </c>
      <c r="N4188" s="36" t="s">
        <v>34</v>
      </c>
    </row>
    <row r="4189">
      <c r="A4189" s="36" t="s">
        <v>8780</v>
      </c>
      <c r="B4189" s="154" t="s">
        <v>8781</v>
      </c>
      <c r="C4189" s="36" t="s">
        <v>1666</v>
      </c>
      <c r="D4189" s="36" t="s">
        <v>191</v>
      </c>
      <c r="E4189" s="36" t="s">
        <v>191</v>
      </c>
      <c r="F4189" s="154" t="s">
        <v>1816</v>
      </c>
      <c r="G4189" s="36" t="s">
        <v>28</v>
      </c>
      <c r="H4189" s="36" t="s">
        <v>1655</v>
      </c>
      <c r="I4189" s="36" t="s">
        <v>1656</v>
      </c>
      <c r="J4189" s="36" t="s">
        <v>1656</v>
      </c>
      <c r="K4189" s="36" t="s">
        <v>1793</v>
      </c>
      <c r="L4189" s="36" t="s">
        <v>8363</v>
      </c>
      <c r="M4189" s="36" t="s">
        <v>8363</v>
      </c>
      <c r="N4189" s="36" t="s">
        <v>32</v>
      </c>
    </row>
    <row r="4190">
      <c r="A4190" s="36" t="s">
        <v>8782</v>
      </c>
      <c r="B4190" s="154" t="s">
        <v>8781</v>
      </c>
      <c r="C4190" s="36" t="s">
        <v>1666</v>
      </c>
      <c r="D4190" s="36" t="s">
        <v>343</v>
      </c>
      <c r="E4190" s="36" t="s">
        <v>343</v>
      </c>
      <c r="F4190" s="154" t="s">
        <v>2039</v>
      </c>
      <c r="G4190" s="36" t="s">
        <v>28</v>
      </c>
      <c r="H4190" s="36" t="s">
        <v>1655</v>
      </c>
      <c r="I4190" s="36" t="s">
        <v>1656</v>
      </c>
      <c r="J4190" s="36" t="s">
        <v>1656</v>
      </c>
      <c r="K4190" s="36" t="s">
        <v>1796</v>
      </c>
      <c r="L4190" s="36" t="s">
        <v>8363</v>
      </c>
      <c r="M4190" s="36" t="s">
        <v>8363</v>
      </c>
      <c r="N4190" s="36" t="s">
        <v>32</v>
      </c>
    </row>
    <row r="4191">
      <c r="A4191" s="36" t="s">
        <v>8783</v>
      </c>
      <c r="B4191" s="154" t="s">
        <v>8781</v>
      </c>
      <c r="C4191" s="36" t="s">
        <v>1666</v>
      </c>
      <c r="D4191" s="36" t="s">
        <v>351</v>
      </c>
      <c r="E4191" s="36" t="s">
        <v>351</v>
      </c>
      <c r="F4191" s="154" t="s">
        <v>8784</v>
      </c>
      <c r="G4191" s="36" t="s">
        <v>32</v>
      </c>
      <c r="H4191" s="36" t="s">
        <v>1655</v>
      </c>
      <c r="I4191" s="36" t="s">
        <v>1656</v>
      </c>
      <c r="J4191" s="36" t="s">
        <v>1656</v>
      </c>
      <c r="K4191" s="36" t="s">
        <v>1800</v>
      </c>
      <c r="L4191" s="36" t="s">
        <v>8363</v>
      </c>
      <c r="M4191" s="36" t="s">
        <v>8363</v>
      </c>
      <c r="N4191" s="36" t="s">
        <v>32</v>
      </c>
    </row>
    <row r="4192">
      <c r="A4192" s="36" t="s">
        <v>8785</v>
      </c>
      <c r="B4192" s="154" t="s">
        <v>8781</v>
      </c>
      <c r="C4192" s="36" t="s">
        <v>1666</v>
      </c>
      <c r="D4192" s="36" t="s">
        <v>351</v>
      </c>
      <c r="E4192" s="36" t="s">
        <v>351</v>
      </c>
      <c r="F4192" s="154" t="s">
        <v>2388</v>
      </c>
      <c r="G4192" s="36" t="s">
        <v>32</v>
      </c>
      <c r="H4192" s="36" t="s">
        <v>1655</v>
      </c>
      <c r="I4192" s="36" t="s">
        <v>1656</v>
      </c>
      <c r="J4192" s="36" t="s">
        <v>1656</v>
      </c>
      <c r="K4192" s="36" t="s">
        <v>1803</v>
      </c>
      <c r="L4192" s="36" t="s">
        <v>8363</v>
      </c>
      <c r="M4192" s="36" t="s">
        <v>8363</v>
      </c>
      <c r="N4192" s="36" t="s">
        <v>32</v>
      </c>
    </row>
    <row r="4193">
      <c r="A4193" s="36" t="s">
        <v>8786</v>
      </c>
      <c r="B4193" s="154" t="s">
        <v>8781</v>
      </c>
      <c r="C4193" s="36" t="s">
        <v>1666</v>
      </c>
      <c r="D4193" s="36" t="s">
        <v>357</v>
      </c>
      <c r="E4193" s="36" t="s">
        <v>357</v>
      </c>
      <c r="F4193" s="154" t="s">
        <v>1816</v>
      </c>
      <c r="G4193" s="36" t="s">
        <v>28</v>
      </c>
      <c r="H4193" s="36" t="s">
        <v>1655</v>
      </c>
      <c r="I4193" s="36" t="s">
        <v>1656</v>
      </c>
      <c r="J4193" s="36" t="s">
        <v>1656</v>
      </c>
      <c r="K4193" s="36" t="s">
        <v>1807</v>
      </c>
      <c r="L4193" s="36" t="s">
        <v>8363</v>
      </c>
      <c r="M4193" s="36" t="s">
        <v>8363</v>
      </c>
      <c r="N4193" s="36" t="s">
        <v>32</v>
      </c>
    </row>
    <row r="4194">
      <c r="A4194" s="36" t="s">
        <v>8787</v>
      </c>
      <c r="B4194" s="154" t="s">
        <v>8788</v>
      </c>
      <c r="C4194" s="36" t="s">
        <v>1666</v>
      </c>
      <c r="D4194" s="36" t="s">
        <v>364</v>
      </c>
      <c r="E4194" s="36" t="s">
        <v>364</v>
      </c>
      <c r="F4194" s="154" t="s">
        <v>2378</v>
      </c>
      <c r="G4194" s="36" t="s">
        <v>32</v>
      </c>
      <c r="H4194" s="36" t="s">
        <v>1655</v>
      </c>
      <c r="I4194" s="36" t="s">
        <v>1656</v>
      </c>
      <c r="J4194" s="36" t="s">
        <v>1656</v>
      </c>
      <c r="K4194" s="36" t="s">
        <v>1814</v>
      </c>
      <c r="L4194" s="36" t="s">
        <v>8363</v>
      </c>
      <c r="M4194" s="36" t="s">
        <v>8363</v>
      </c>
      <c r="N4194" s="36" t="s">
        <v>32</v>
      </c>
    </row>
    <row r="4195">
      <c r="A4195" s="36" t="s">
        <v>8789</v>
      </c>
      <c r="B4195" s="154" t="s">
        <v>8788</v>
      </c>
      <c r="C4195" s="36" t="s">
        <v>1666</v>
      </c>
      <c r="D4195" s="36" t="s">
        <v>235</v>
      </c>
      <c r="E4195" s="36" t="s">
        <v>235</v>
      </c>
      <c r="F4195" s="154" t="s">
        <v>2220</v>
      </c>
      <c r="G4195" s="36" t="s">
        <v>28</v>
      </c>
      <c r="H4195" s="36" t="s">
        <v>1655</v>
      </c>
      <c r="I4195" s="36" t="s">
        <v>1656</v>
      </c>
      <c r="J4195" s="36" t="s">
        <v>1656</v>
      </c>
      <c r="K4195" s="36" t="s">
        <v>1817</v>
      </c>
      <c r="L4195" s="36" t="s">
        <v>8363</v>
      </c>
      <c r="M4195" s="36" t="s">
        <v>8363</v>
      </c>
      <c r="N4195" s="36" t="s">
        <v>34</v>
      </c>
    </row>
    <row r="4196">
      <c r="A4196" s="36" t="s">
        <v>8790</v>
      </c>
      <c r="B4196" s="154" t="s">
        <v>8788</v>
      </c>
      <c r="C4196" s="36" t="s">
        <v>1666</v>
      </c>
      <c r="D4196" s="36" t="s">
        <v>207</v>
      </c>
      <c r="E4196" s="36" t="s">
        <v>207</v>
      </c>
      <c r="F4196" s="154" t="s">
        <v>2555</v>
      </c>
      <c r="G4196" s="36" t="s">
        <v>28</v>
      </c>
      <c r="H4196" s="36" t="s">
        <v>1655</v>
      </c>
      <c r="I4196" s="36" t="s">
        <v>1656</v>
      </c>
      <c r="J4196" s="36" t="s">
        <v>1656</v>
      </c>
      <c r="K4196" s="36" t="s">
        <v>1820</v>
      </c>
      <c r="L4196" s="36" t="s">
        <v>8363</v>
      </c>
      <c r="M4196" s="36" t="s">
        <v>8363</v>
      </c>
      <c r="N4196" s="36" t="s">
        <v>34</v>
      </c>
    </row>
    <row r="4197">
      <c r="A4197" s="36" t="s">
        <v>8791</v>
      </c>
      <c r="B4197" s="154" t="s">
        <v>8792</v>
      </c>
      <c r="C4197" s="36" t="s">
        <v>1666</v>
      </c>
      <c r="D4197" s="36" t="s">
        <v>100</v>
      </c>
      <c r="E4197" s="36" t="s">
        <v>100</v>
      </c>
      <c r="F4197" s="154" t="s">
        <v>1816</v>
      </c>
      <c r="G4197" s="36" t="s">
        <v>32</v>
      </c>
      <c r="H4197" s="36" t="s">
        <v>1655</v>
      </c>
      <c r="I4197" s="36" t="s">
        <v>1656</v>
      </c>
      <c r="J4197" s="36" t="s">
        <v>1656</v>
      </c>
      <c r="K4197" s="36" t="s">
        <v>1823</v>
      </c>
      <c r="L4197" s="36" t="s">
        <v>8363</v>
      </c>
      <c r="M4197" s="36" t="s">
        <v>8363</v>
      </c>
      <c r="N4197" s="36" t="s">
        <v>32</v>
      </c>
    </row>
    <row r="4198">
      <c r="A4198" s="36" t="s">
        <v>8793</v>
      </c>
      <c r="B4198" s="154" t="s">
        <v>8794</v>
      </c>
      <c r="C4198" s="36" t="s">
        <v>1666</v>
      </c>
      <c r="D4198" s="36" t="s">
        <v>100</v>
      </c>
      <c r="E4198" s="36" t="s">
        <v>100</v>
      </c>
      <c r="F4198" s="154" t="s">
        <v>1806</v>
      </c>
      <c r="G4198" s="36" t="s">
        <v>32</v>
      </c>
      <c r="H4198" s="36" t="s">
        <v>1655</v>
      </c>
      <c r="I4198" s="36" t="s">
        <v>1656</v>
      </c>
      <c r="J4198" s="36" t="s">
        <v>1656</v>
      </c>
      <c r="K4198" s="36" t="s">
        <v>1826</v>
      </c>
      <c r="L4198" s="36" t="s">
        <v>8363</v>
      </c>
      <c r="M4198" s="36" t="s">
        <v>8363</v>
      </c>
      <c r="N4198" s="36" t="s">
        <v>32</v>
      </c>
    </row>
    <row r="4199">
      <c r="A4199" s="36" t="s">
        <v>8795</v>
      </c>
      <c r="B4199" s="154" t="s">
        <v>8796</v>
      </c>
      <c r="C4199" s="36" t="s">
        <v>1666</v>
      </c>
      <c r="D4199" s="36" t="s">
        <v>79</v>
      </c>
      <c r="E4199" s="36" t="s">
        <v>79</v>
      </c>
      <c r="F4199" s="154" t="s">
        <v>8247</v>
      </c>
      <c r="G4199" s="36" t="s">
        <v>32</v>
      </c>
      <c r="H4199" s="36" t="s">
        <v>1655</v>
      </c>
      <c r="I4199" s="36" t="s">
        <v>1656</v>
      </c>
      <c r="J4199" s="36" t="s">
        <v>1656</v>
      </c>
      <c r="K4199" s="36" t="s">
        <v>1769</v>
      </c>
      <c r="L4199" s="36" t="s">
        <v>8363</v>
      </c>
      <c r="M4199" s="36" t="s">
        <v>8363</v>
      </c>
      <c r="N4199" s="36" t="s">
        <v>32</v>
      </c>
    </row>
    <row r="4200">
      <c r="A4200" s="36" t="s">
        <v>8797</v>
      </c>
      <c r="B4200" s="154" t="s">
        <v>8796</v>
      </c>
      <c r="C4200" s="36" t="s">
        <v>1666</v>
      </c>
      <c r="D4200" s="36" t="s">
        <v>90</v>
      </c>
      <c r="E4200" s="36" t="s">
        <v>90</v>
      </c>
      <c r="F4200" s="154" t="s">
        <v>2249</v>
      </c>
      <c r="G4200" s="36" t="s">
        <v>28</v>
      </c>
      <c r="H4200" s="36" t="s">
        <v>1655</v>
      </c>
      <c r="I4200" s="36" t="s">
        <v>1656</v>
      </c>
      <c r="J4200" s="36" t="s">
        <v>1656</v>
      </c>
      <c r="K4200" s="36" t="s">
        <v>1830</v>
      </c>
      <c r="L4200" s="36" t="s">
        <v>8363</v>
      </c>
      <c r="M4200" s="36" t="s">
        <v>8363</v>
      </c>
      <c r="N4200" s="36" t="s">
        <v>32</v>
      </c>
    </row>
    <row r="4201">
      <c r="A4201" s="36" t="s">
        <v>8798</v>
      </c>
      <c r="B4201" s="154" t="s">
        <v>8799</v>
      </c>
      <c r="C4201" s="36" t="s">
        <v>1666</v>
      </c>
      <c r="D4201" s="36" t="s">
        <v>218</v>
      </c>
      <c r="E4201" s="36" t="s">
        <v>218</v>
      </c>
      <c r="F4201" s="154" t="s">
        <v>2039</v>
      </c>
      <c r="G4201" s="36" t="s">
        <v>32</v>
      </c>
      <c r="H4201" s="36" t="s">
        <v>1655</v>
      </c>
      <c r="I4201" s="36" t="s">
        <v>1656</v>
      </c>
      <c r="J4201" s="36" t="s">
        <v>1656</v>
      </c>
      <c r="K4201" s="36" t="s">
        <v>1833</v>
      </c>
      <c r="L4201" s="36" t="s">
        <v>8363</v>
      </c>
      <c r="M4201" s="36" t="s">
        <v>8363</v>
      </c>
      <c r="N4201" s="36" t="s">
        <v>32</v>
      </c>
    </row>
    <row r="4202">
      <c r="A4202" s="36" t="s">
        <v>8800</v>
      </c>
      <c r="B4202" s="154" t="s">
        <v>8799</v>
      </c>
      <c r="C4202" s="36" t="s">
        <v>1666</v>
      </c>
      <c r="D4202" s="36" t="s">
        <v>205</v>
      </c>
      <c r="E4202" s="36" t="s">
        <v>205</v>
      </c>
      <c r="F4202" s="154" t="s">
        <v>8801</v>
      </c>
      <c r="G4202" s="36" t="s">
        <v>32</v>
      </c>
      <c r="H4202" s="36" t="s">
        <v>1655</v>
      </c>
      <c r="I4202" s="36" t="s">
        <v>1656</v>
      </c>
      <c r="J4202" s="36" t="s">
        <v>1656</v>
      </c>
      <c r="K4202" s="36" t="s">
        <v>1836</v>
      </c>
      <c r="L4202" s="36" t="s">
        <v>8363</v>
      </c>
      <c r="M4202" s="36" t="s">
        <v>8363</v>
      </c>
      <c r="N4202" s="36" t="s">
        <v>32</v>
      </c>
    </row>
    <row r="4203">
      <c r="A4203" s="36" t="s">
        <v>8802</v>
      </c>
      <c r="B4203" s="154" t="s">
        <v>8799</v>
      </c>
      <c r="C4203" s="36" t="s">
        <v>1666</v>
      </c>
      <c r="D4203" s="36" t="s">
        <v>90</v>
      </c>
      <c r="E4203" s="36" t="s">
        <v>90</v>
      </c>
      <c r="F4203" s="154" t="s">
        <v>1806</v>
      </c>
      <c r="G4203" s="36" t="s">
        <v>28</v>
      </c>
      <c r="H4203" s="36" t="s">
        <v>1655</v>
      </c>
      <c r="I4203" s="36" t="s">
        <v>1656</v>
      </c>
      <c r="J4203" s="36" t="s">
        <v>1656</v>
      </c>
      <c r="K4203" s="36" t="s">
        <v>1839</v>
      </c>
      <c r="L4203" s="36" t="s">
        <v>8363</v>
      </c>
      <c r="M4203" s="36" t="s">
        <v>8363</v>
      </c>
      <c r="N4203" s="36" t="s">
        <v>32</v>
      </c>
    </row>
    <row r="4204">
      <c r="A4204" s="36" t="s">
        <v>8803</v>
      </c>
      <c r="B4204" s="154" t="s">
        <v>8799</v>
      </c>
      <c r="C4204" s="36" t="s">
        <v>1666</v>
      </c>
      <c r="D4204" s="36" t="s">
        <v>92</v>
      </c>
      <c r="E4204" s="36" t="s">
        <v>92</v>
      </c>
      <c r="F4204" s="154" t="s">
        <v>1768</v>
      </c>
      <c r="G4204" s="36" t="s">
        <v>32</v>
      </c>
      <c r="H4204" s="36" t="s">
        <v>1655</v>
      </c>
      <c r="I4204" s="36" t="s">
        <v>1656</v>
      </c>
      <c r="J4204" s="36" t="s">
        <v>1656</v>
      </c>
      <c r="K4204" s="36" t="s">
        <v>1842</v>
      </c>
      <c r="L4204" s="36" t="s">
        <v>8363</v>
      </c>
      <c r="M4204" s="36" t="s">
        <v>8363</v>
      </c>
      <c r="N4204" s="36" t="s">
        <v>32</v>
      </c>
    </row>
    <row r="4205">
      <c r="A4205" s="36" t="s">
        <v>8804</v>
      </c>
      <c r="B4205" s="154" t="s">
        <v>8805</v>
      </c>
      <c r="C4205" s="36" t="s">
        <v>1666</v>
      </c>
      <c r="D4205" s="36" t="s">
        <v>130</v>
      </c>
      <c r="E4205" s="36" t="s">
        <v>130</v>
      </c>
      <c r="F4205" s="154" t="s">
        <v>1810</v>
      </c>
      <c r="G4205" s="36" t="s">
        <v>32</v>
      </c>
      <c r="H4205" s="36" t="s">
        <v>1655</v>
      </c>
      <c r="I4205" s="36" t="s">
        <v>1656</v>
      </c>
      <c r="J4205" s="36" t="s">
        <v>1656</v>
      </c>
      <c r="K4205" s="36" t="s">
        <v>1845</v>
      </c>
      <c r="L4205" s="36" t="s">
        <v>8363</v>
      </c>
      <c r="M4205" s="36" t="s">
        <v>8363</v>
      </c>
      <c r="N4205" s="36" t="s">
        <v>32</v>
      </c>
    </row>
    <row r="4206">
      <c r="A4206" s="36" t="s">
        <v>8806</v>
      </c>
      <c r="B4206" s="154" t="s">
        <v>8807</v>
      </c>
      <c r="C4206" s="36" t="s">
        <v>1666</v>
      </c>
      <c r="D4206" s="36" t="s">
        <v>392</v>
      </c>
      <c r="E4206" s="36" t="s">
        <v>392</v>
      </c>
      <c r="F4206" s="154" t="s">
        <v>2292</v>
      </c>
      <c r="G4206" s="36" t="s">
        <v>32</v>
      </c>
      <c r="H4206" s="36" t="s">
        <v>1655</v>
      </c>
      <c r="I4206" s="36" t="s">
        <v>1656</v>
      </c>
      <c r="J4206" s="36" t="s">
        <v>1656</v>
      </c>
      <c r="K4206" s="36" t="s">
        <v>1848</v>
      </c>
      <c r="L4206" s="36" t="s">
        <v>8363</v>
      </c>
      <c r="M4206" s="36" t="s">
        <v>8363</v>
      </c>
      <c r="N4206" s="36" t="s">
        <v>32</v>
      </c>
    </row>
    <row r="4207">
      <c r="A4207" s="36" t="s">
        <v>8808</v>
      </c>
      <c r="B4207" s="154" t="s">
        <v>8809</v>
      </c>
      <c r="C4207" s="36" t="s">
        <v>1666</v>
      </c>
      <c r="D4207" s="36" t="s">
        <v>81</v>
      </c>
      <c r="E4207" s="36" t="s">
        <v>81</v>
      </c>
      <c r="F4207" s="154" t="s">
        <v>8052</v>
      </c>
      <c r="G4207" s="36" t="s">
        <v>28</v>
      </c>
      <c r="H4207" s="36" t="s">
        <v>1655</v>
      </c>
      <c r="I4207" s="36" t="s">
        <v>1656</v>
      </c>
      <c r="J4207" s="36" t="s">
        <v>1656</v>
      </c>
      <c r="K4207" s="36" t="s">
        <v>1811</v>
      </c>
      <c r="L4207" s="36" t="s">
        <v>8363</v>
      </c>
      <c r="M4207" s="36" t="s">
        <v>8363</v>
      </c>
      <c r="N4207" s="36" t="s">
        <v>32</v>
      </c>
    </row>
    <row r="4208">
      <c r="A4208" s="36" t="s">
        <v>8810</v>
      </c>
      <c r="B4208" s="154" t="s">
        <v>8809</v>
      </c>
      <c r="C4208" s="36" t="s">
        <v>1666</v>
      </c>
      <c r="D4208" s="36" t="s">
        <v>83</v>
      </c>
      <c r="E4208" s="36" t="s">
        <v>83</v>
      </c>
      <c r="F4208" s="154" t="s">
        <v>8811</v>
      </c>
      <c r="G4208" s="36" t="s">
        <v>28</v>
      </c>
      <c r="H4208" s="36" t="s">
        <v>1655</v>
      </c>
      <c r="I4208" s="36" t="s">
        <v>1656</v>
      </c>
      <c r="J4208" s="36" t="s">
        <v>1656</v>
      </c>
      <c r="K4208" s="36" t="s">
        <v>1891</v>
      </c>
      <c r="L4208" s="36" t="s">
        <v>8363</v>
      </c>
      <c r="M4208" s="36" t="s">
        <v>8363</v>
      </c>
      <c r="N4208" s="36" t="s">
        <v>32</v>
      </c>
    </row>
    <row r="4209">
      <c r="A4209" s="36" t="s">
        <v>8812</v>
      </c>
      <c r="B4209" s="154" t="s">
        <v>8809</v>
      </c>
      <c r="C4209" s="36" t="s">
        <v>1666</v>
      </c>
      <c r="D4209" s="36" t="s">
        <v>84</v>
      </c>
      <c r="E4209" s="36" t="s">
        <v>84</v>
      </c>
      <c r="F4209" s="154" t="s">
        <v>8561</v>
      </c>
      <c r="G4209" s="36" t="s">
        <v>32</v>
      </c>
      <c r="H4209" s="36" t="s">
        <v>1655</v>
      </c>
      <c r="I4209" s="36" t="s">
        <v>1656</v>
      </c>
      <c r="J4209" s="36" t="s">
        <v>1656</v>
      </c>
      <c r="K4209" s="36" t="s">
        <v>1921</v>
      </c>
      <c r="L4209" s="36" t="s">
        <v>8363</v>
      </c>
      <c r="M4209" s="36" t="s">
        <v>8363</v>
      </c>
      <c r="N4209" s="36" t="s">
        <v>32</v>
      </c>
    </row>
    <row r="4210">
      <c r="A4210" s="36" t="s">
        <v>8813</v>
      </c>
      <c r="B4210" s="154" t="s">
        <v>8809</v>
      </c>
      <c r="C4210" s="36" t="s">
        <v>1666</v>
      </c>
      <c r="D4210" s="36" t="s">
        <v>109</v>
      </c>
      <c r="E4210" s="36" t="s">
        <v>109</v>
      </c>
      <c r="F4210" s="154" t="s">
        <v>5536</v>
      </c>
      <c r="G4210" s="36" t="s">
        <v>28</v>
      </c>
      <c r="H4210" s="36" t="s">
        <v>1655</v>
      </c>
      <c r="I4210" s="36" t="s">
        <v>1656</v>
      </c>
      <c r="J4210" s="36" t="s">
        <v>1656</v>
      </c>
      <c r="K4210" s="36" t="s">
        <v>1851</v>
      </c>
      <c r="L4210" s="36" t="s">
        <v>8363</v>
      </c>
      <c r="M4210" s="36" t="s">
        <v>8363</v>
      </c>
      <c r="N4210" s="36" t="s">
        <v>34</v>
      </c>
    </row>
    <row r="4211">
      <c r="A4211" s="36" t="s">
        <v>8814</v>
      </c>
      <c r="B4211" s="154" t="s">
        <v>8809</v>
      </c>
      <c r="C4211" s="36" t="s">
        <v>1666</v>
      </c>
      <c r="D4211" s="36" t="s">
        <v>398</v>
      </c>
      <c r="E4211" s="36" t="s">
        <v>398</v>
      </c>
      <c r="F4211" s="154" t="s">
        <v>8815</v>
      </c>
      <c r="G4211" s="36" t="s">
        <v>28</v>
      </c>
      <c r="H4211" s="36" t="s">
        <v>1655</v>
      </c>
      <c r="I4211" s="36" t="s">
        <v>1656</v>
      </c>
      <c r="J4211" s="36" t="s">
        <v>1656</v>
      </c>
      <c r="K4211" s="36" t="s">
        <v>1854</v>
      </c>
      <c r="L4211" s="36" t="s">
        <v>8363</v>
      </c>
      <c r="M4211" s="36" t="s">
        <v>8363</v>
      </c>
      <c r="N4211" s="36" t="s">
        <v>34</v>
      </c>
    </row>
    <row r="4212">
      <c r="A4212" s="36" t="s">
        <v>8816</v>
      </c>
      <c r="B4212" s="154" t="s">
        <v>8817</v>
      </c>
      <c r="C4212" s="36" t="s">
        <v>1666</v>
      </c>
      <c r="D4212" s="36" t="s">
        <v>124</v>
      </c>
      <c r="E4212" s="36" t="s">
        <v>124</v>
      </c>
      <c r="F4212" s="154" t="s">
        <v>2522</v>
      </c>
      <c r="G4212" s="36" t="s">
        <v>32</v>
      </c>
      <c r="H4212" s="36" t="s">
        <v>1655</v>
      </c>
      <c r="I4212" s="36" t="s">
        <v>1656</v>
      </c>
      <c r="J4212" s="36" t="s">
        <v>1656</v>
      </c>
      <c r="K4212" s="36" t="s">
        <v>1857</v>
      </c>
      <c r="L4212" s="36" t="s">
        <v>8363</v>
      </c>
      <c r="M4212" s="36" t="s">
        <v>8363</v>
      </c>
      <c r="N4212" s="36" t="s">
        <v>32</v>
      </c>
    </row>
    <row r="4213">
      <c r="A4213" s="36" t="s">
        <v>8818</v>
      </c>
      <c r="B4213" s="154" t="s">
        <v>8817</v>
      </c>
      <c r="C4213" s="36" t="s">
        <v>1666</v>
      </c>
      <c r="D4213" s="36" t="s">
        <v>381</v>
      </c>
      <c r="E4213" s="36" t="s">
        <v>381</v>
      </c>
      <c r="F4213" s="154" t="s">
        <v>2217</v>
      </c>
      <c r="G4213" s="36" t="s">
        <v>28</v>
      </c>
      <c r="H4213" s="36" t="s">
        <v>1655</v>
      </c>
      <c r="I4213" s="36" t="s">
        <v>1656</v>
      </c>
      <c r="J4213" s="36" t="s">
        <v>1656</v>
      </c>
      <c r="K4213" s="36" t="s">
        <v>1860</v>
      </c>
      <c r="L4213" s="36" t="s">
        <v>8363</v>
      </c>
      <c r="M4213" s="36" t="s">
        <v>8363</v>
      </c>
      <c r="N4213" s="36" t="s">
        <v>34</v>
      </c>
    </row>
    <row r="4214">
      <c r="A4214" s="36" t="s">
        <v>8819</v>
      </c>
      <c r="B4214" s="154" t="s">
        <v>8817</v>
      </c>
      <c r="C4214" s="36" t="s">
        <v>1666</v>
      </c>
      <c r="D4214" s="36" t="s">
        <v>133</v>
      </c>
      <c r="E4214" s="36" t="s">
        <v>133</v>
      </c>
      <c r="F4214" s="154" t="s">
        <v>4013</v>
      </c>
      <c r="G4214" s="36" t="s">
        <v>32</v>
      </c>
      <c r="H4214" s="36" t="s">
        <v>1655</v>
      </c>
      <c r="I4214" s="36" t="s">
        <v>1656</v>
      </c>
      <c r="J4214" s="36" t="s">
        <v>1656</v>
      </c>
      <c r="K4214" s="36" t="s">
        <v>1863</v>
      </c>
      <c r="L4214" s="36" t="s">
        <v>8363</v>
      </c>
      <c r="M4214" s="36" t="s">
        <v>8363</v>
      </c>
      <c r="N4214" s="36" t="s">
        <v>32</v>
      </c>
    </row>
    <row r="4215">
      <c r="A4215" s="36" t="s">
        <v>8820</v>
      </c>
      <c r="B4215" s="154" t="s">
        <v>8821</v>
      </c>
      <c r="C4215" s="36" t="s">
        <v>1653</v>
      </c>
      <c r="D4215" s="36" t="s">
        <v>43</v>
      </c>
      <c r="E4215" s="36" t="s">
        <v>39</v>
      </c>
      <c r="F4215" s="154" t="s">
        <v>8822</v>
      </c>
      <c r="G4215" s="36" t="s">
        <v>32</v>
      </c>
      <c r="H4215" s="36" t="s">
        <v>1655</v>
      </c>
      <c r="I4215" s="36" t="s">
        <v>1656</v>
      </c>
      <c r="J4215" s="36" t="s">
        <v>1656</v>
      </c>
      <c r="K4215" s="36" t="s">
        <v>1657</v>
      </c>
      <c r="L4215" s="36" t="s">
        <v>8454</v>
      </c>
      <c r="M4215" s="36" t="s">
        <v>8454</v>
      </c>
      <c r="N4215" s="36" t="s">
        <v>32</v>
      </c>
    </row>
    <row r="4216">
      <c r="A4216" s="36" t="s">
        <v>8823</v>
      </c>
      <c r="B4216" s="154" t="s">
        <v>8821</v>
      </c>
      <c r="C4216" s="36" t="s">
        <v>1653</v>
      </c>
      <c r="D4216" s="36" t="s">
        <v>167</v>
      </c>
      <c r="E4216" s="36" t="s">
        <v>39</v>
      </c>
      <c r="F4216" s="154" t="s">
        <v>8824</v>
      </c>
      <c r="G4216" s="36" t="s">
        <v>32</v>
      </c>
      <c r="H4216" s="36" t="s">
        <v>1655</v>
      </c>
      <c r="I4216" s="36" t="s">
        <v>1656</v>
      </c>
      <c r="J4216" s="36" t="s">
        <v>1656</v>
      </c>
      <c r="K4216" s="36" t="s">
        <v>4092</v>
      </c>
      <c r="L4216" s="36" t="s">
        <v>8454</v>
      </c>
      <c r="M4216" s="36" t="s">
        <v>8454</v>
      </c>
      <c r="N4216" s="36" t="s">
        <v>32</v>
      </c>
    </row>
    <row r="4217">
      <c r="A4217" s="36" t="s">
        <v>8825</v>
      </c>
      <c r="B4217" s="154" t="s">
        <v>8821</v>
      </c>
      <c r="C4217" s="36" t="s">
        <v>1653</v>
      </c>
      <c r="D4217" s="36" t="s">
        <v>176</v>
      </c>
      <c r="E4217" s="36" t="s">
        <v>39</v>
      </c>
      <c r="F4217" s="154" t="s">
        <v>8826</v>
      </c>
      <c r="G4217" s="36" t="s">
        <v>32</v>
      </c>
      <c r="H4217" s="36" t="s">
        <v>1655</v>
      </c>
      <c r="I4217" s="36" t="s">
        <v>1656</v>
      </c>
      <c r="J4217" s="36" t="s">
        <v>1656</v>
      </c>
      <c r="K4217" s="36" t="s">
        <v>2265</v>
      </c>
      <c r="L4217" s="36" t="s">
        <v>8454</v>
      </c>
      <c r="M4217" s="36" t="s">
        <v>8454</v>
      </c>
      <c r="N4217" s="36" t="s">
        <v>32</v>
      </c>
    </row>
    <row r="4218">
      <c r="A4218" s="36" t="s">
        <v>8827</v>
      </c>
      <c r="B4218" s="154" t="s">
        <v>8821</v>
      </c>
      <c r="C4218" s="36" t="s">
        <v>1653</v>
      </c>
      <c r="D4218" s="36" t="s">
        <v>184</v>
      </c>
      <c r="E4218" s="36" t="s">
        <v>39</v>
      </c>
      <c r="F4218" s="154" t="s">
        <v>8828</v>
      </c>
      <c r="G4218" s="36" t="s">
        <v>32</v>
      </c>
      <c r="H4218" s="36" t="s">
        <v>1655</v>
      </c>
      <c r="I4218" s="36" t="s">
        <v>1656</v>
      </c>
      <c r="J4218" s="36" t="s">
        <v>1656</v>
      </c>
      <c r="K4218" s="36" t="s">
        <v>1664</v>
      </c>
      <c r="L4218" s="36" t="s">
        <v>8454</v>
      </c>
      <c r="M4218" s="36" t="s">
        <v>8454</v>
      </c>
      <c r="N4218" s="36" t="s">
        <v>32</v>
      </c>
    </row>
    <row r="4219">
      <c r="A4219" s="36" t="s">
        <v>8829</v>
      </c>
      <c r="B4219" s="154" t="s">
        <v>8821</v>
      </c>
      <c r="C4219" s="36" t="s">
        <v>1666</v>
      </c>
      <c r="D4219" s="36" t="s">
        <v>85</v>
      </c>
      <c r="E4219" s="36" t="s">
        <v>85</v>
      </c>
      <c r="F4219" s="154" t="s">
        <v>8461</v>
      </c>
      <c r="G4219" s="36" t="s">
        <v>28</v>
      </c>
      <c r="H4219" s="36" t="s">
        <v>1655</v>
      </c>
      <c r="I4219" s="36" t="s">
        <v>1656</v>
      </c>
      <c r="J4219" s="36" t="s">
        <v>1656</v>
      </c>
      <c r="K4219" s="36" t="s">
        <v>3035</v>
      </c>
      <c r="L4219" s="36" t="s">
        <v>8363</v>
      </c>
      <c r="M4219" s="36" t="s">
        <v>8363</v>
      </c>
      <c r="N4219" s="36" t="s">
        <v>32</v>
      </c>
    </row>
    <row r="4220">
      <c r="A4220" s="36" t="s">
        <v>8830</v>
      </c>
      <c r="B4220" s="154" t="s">
        <v>8821</v>
      </c>
      <c r="C4220" s="36" t="s">
        <v>1666</v>
      </c>
      <c r="D4220" s="36" t="s">
        <v>193</v>
      </c>
      <c r="E4220" s="36" t="s">
        <v>193</v>
      </c>
      <c r="F4220" s="154" t="s">
        <v>8831</v>
      </c>
      <c r="G4220" s="36" t="s">
        <v>28</v>
      </c>
      <c r="H4220" s="36" t="s">
        <v>1655</v>
      </c>
      <c r="I4220" s="36" t="s">
        <v>1656</v>
      </c>
      <c r="J4220" s="36" t="s">
        <v>1656</v>
      </c>
      <c r="K4220" s="36" t="s">
        <v>3038</v>
      </c>
      <c r="L4220" s="36" t="s">
        <v>8363</v>
      </c>
      <c r="M4220" s="36" t="s">
        <v>8363</v>
      </c>
      <c r="N4220" s="36" t="s">
        <v>32</v>
      </c>
    </row>
    <row r="4221">
      <c r="A4221" s="36" t="s">
        <v>8832</v>
      </c>
      <c r="B4221" s="154" t="s">
        <v>8821</v>
      </c>
      <c r="C4221" s="36" t="s">
        <v>1666</v>
      </c>
      <c r="D4221" s="36" t="s">
        <v>90</v>
      </c>
      <c r="E4221" s="36" t="s">
        <v>90</v>
      </c>
      <c r="F4221" s="154" t="s">
        <v>2249</v>
      </c>
      <c r="G4221" s="36" t="s">
        <v>28</v>
      </c>
      <c r="H4221" s="36" t="s">
        <v>1655</v>
      </c>
      <c r="I4221" s="36" t="s">
        <v>1656</v>
      </c>
      <c r="J4221" s="36" t="s">
        <v>1656</v>
      </c>
      <c r="K4221" s="36" t="s">
        <v>1668</v>
      </c>
      <c r="L4221" s="36" t="s">
        <v>8363</v>
      </c>
      <c r="M4221" s="36" t="s">
        <v>8363</v>
      </c>
      <c r="N4221" s="36" t="s">
        <v>32</v>
      </c>
    </row>
    <row r="4222">
      <c r="A4222" s="36" t="s">
        <v>8833</v>
      </c>
      <c r="B4222" s="154" t="s">
        <v>8834</v>
      </c>
      <c r="C4222" s="36" t="s">
        <v>1666</v>
      </c>
      <c r="D4222" s="36" t="s">
        <v>191</v>
      </c>
      <c r="E4222" s="36" t="s">
        <v>191</v>
      </c>
      <c r="F4222" s="154" t="s">
        <v>1686</v>
      </c>
      <c r="G4222" s="36" t="s">
        <v>28</v>
      </c>
      <c r="H4222" s="36" t="s">
        <v>1655</v>
      </c>
      <c r="I4222" s="36" t="s">
        <v>1656</v>
      </c>
      <c r="J4222" s="36" t="s">
        <v>1656</v>
      </c>
      <c r="K4222" s="36" t="s">
        <v>1672</v>
      </c>
      <c r="L4222" s="36" t="s">
        <v>8363</v>
      </c>
      <c r="M4222" s="36" t="s">
        <v>8363</v>
      </c>
      <c r="N4222" s="36" t="s">
        <v>32</v>
      </c>
    </row>
    <row r="4223">
      <c r="A4223" s="36" t="s">
        <v>8835</v>
      </c>
      <c r="B4223" s="154" t="s">
        <v>8836</v>
      </c>
      <c r="C4223" s="36" t="s">
        <v>1666</v>
      </c>
      <c r="D4223" s="36" t="s">
        <v>78</v>
      </c>
      <c r="E4223" s="36" t="s">
        <v>78</v>
      </c>
      <c r="F4223" s="154" t="s">
        <v>1899</v>
      </c>
      <c r="G4223" s="36" t="s">
        <v>28</v>
      </c>
      <c r="H4223" s="36" t="s">
        <v>1655</v>
      </c>
      <c r="I4223" s="36" t="s">
        <v>1656</v>
      </c>
      <c r="J4223" s="36" t="s">
        <v>1656</v>
      </c>
      <c r="K4223" s="36" t="s">
        <v>4248</v>
      </c>
      <c r="L4223" s="36" t="s">
        <v>8363</v>
      </c>
      <c r="M4223" s="36" t="s">
        <v>8363</v>
      </c>
      <c r="N4223" s="36" t="s">
        <v>32</v>
      </c>
    </row>
    <row r="4224">
      <c r="A4224" s="36" t="s">
        <v>8837</v>
      </c>
      <c r="B4224" s="154" t="s">
        <v>8838</v>
      </c>
      <c r="C4224" s="36" t="s">
        <v>1666</v>
      </c>
      <c r="D4224" s="36" t="s">
        <v>63</v>
      </c>
      <c r="E4224" s="36" t="s">
        <v>63</v>
      </c>
      <c r="F4224" s="154" t="s">
        <v>8839</v>
      </c>
      <c r="G4224" s="36" t="s">
        <v>32</v>
      </c>
      <c r="H4224" s="36" t="s">
        <v>1655</v>
      </c>
      <c r="I4224" s="36" t="s">
        <v>1656</v>
      </c>
      <c r="J4224" s="36" t="s">
        <v>1656</v>
      </c>
      <c r="K4224" s="36" t="s">
        <v>4196</v>
      </c>
      <c r="L4224" s="36" t="s">
        <v>8363</v>
      </c>
      <c r="M4224" s="36" t="s">
        <v>8363</v>
      </c>
      <c r="N4224" s="36" t="s">
        <v>34</v>
      </c>
    </row>
    <row r="4225">
      <c r="A4225" s="36" t="s">
        <v>8840</v>
      </c>
      <c r="B4225" s="154" t="s">
        <v>8841</v>
      </c>
      <c r="C4225" s="36" t="s">
        <v>1666</v>
      </c>
      <c r="D4225" s="36" t="s">
        <v>64</v>
      </c>
      <c r="E4225" s="36" t="s">
        <v>64</v>
      </c>
      <c r="F4225" s="154" t="s">
        <v>8842</v>
      </c>
      <c r="G4225" s="36" t="s">
        <v>28</v>
      </c>
      <c r="H4225" s="36" t="s">
        <v>1655</v>
      </c>
      <c r="I4225" s="36" t="s">
        <v>1656</v>
      </c>
      <c r="J4225" s="36" t="s">
        <v>1656</v>
      </c>
      <c r="K4225" s="36" t="s">
        <v>1708</v>
      </c>
      <c r="L4225" s="36" t="s">
        <v>8363</v>
      </c>
      <c r="M4225" s="36" t="s">
        <v>8363</v>
      </c>
      <c r="N4225" s="36" t="s">
        <v>32</v>
      </c>
    </row>
    <row r="4226">
      <c r="A4226" s="36" t="s">
        <v>8843</v>
      </c>
      <c r="B4226" s="154" t="s">
        <v>8841</v>
      </c>
      <c r="C4226" s="36" t="s">
        <v>1666</v>
      </c>
      <c r="D4226" s="36" t="s">
        <v>207</v>
      </c>
      <c r="E4226" s="36" t="s">
        <v>207</v>
      </c>
      <c r="F4226" s="154" t="s">
        <v>4015</v>
      </c>
      <c r="G4226" s="36" t="s">
        <v>28</v>
      </c>
      <c r="H4226" s="36" t="s">
        <v>1655</v>
      </c>
      <c r="I4226" s="36" t="s">
        <v>1656</v>
      </c>
      <c r="J4226" s="36" t="s">
        <v>1656</v>
      </c>
      <c r="K4226" s="36" t="s">
        <v>1675</v>
      </c>
      <c r="L4226" s="36" t="s">
        <v>8363</v>
      </c>
      <c r="M4226" s="36" t="s">
        <v>8363</v>
      </c>
      <c r="N4226" s="36" t="s">
        <v>32</v>
      </c>
    </row>
    <row r="4227">
      <c r="A4227" s="36" t="s">
        <v>8844</v>
      </c>
      <c r="B4227" s="154" t="s">
        <v>8841</v>
      </c>
      <c r="C4227" s="36" t="s">
        <v>1666</v>
      </c>
      <c r="D4227" s="36" t="s">
        <v>216</v>
      </c>
      <c r="E4227" s="36" t="s">
        <v>216</v>
      </c>
      <c r="F4227" s="154" t="s">
        <v>2325</v>
      </c>
      <c r="G4227" s="36" t="s">
        <v>28</v>
      </c>
      <c r="H4227" s="36" t="s">
        <v>1655</v>
      </c>
      <c r="I4227" s="36" t="s">
        <v>1656</v>
      </c>
      <c r="J4227" s="36" t="s">
        <v>1656</v>
      </c>
      <c r="K4227" s="36" t="s">
        <v>1678</v>
      </c>
      <c r="L4227" s="36" t="s">
        <v>8363</v>
      </c>
      <c r="M4227" s="36" t="s">
        <v>8363</v>
      </c>
      <c r="N4227" s="36" t="s">
        <v>34</v>
      </c>
    </row>
    <row r="4228">
      <c r="A4228" s="36" t="s">
        <v>8845</v>
      </c>
      <c r="B4228" s="154" t="s">
        <v>8846</v>
      </c>
      <c r="C4228" s="36" t="s">
        <v>1666</v>
      </c>
      <c r="D4228" s="36" t="s">
        <v>223</v>
      </c>
      <c r="E4228" s="36" t="s">
        <v>223</v>
      </c>
      <c r="F4228" s="154" t="s">
        <v>2006</v>
      </c>
      <c r="G4228" s="36" t="s">
        <v>28</v>
      </c>
      <c r="H4228" s="36" t="s">
        <v>1655</v>
      </c>
      <c r="I4228" s="36" t="s">
        <v>1656</v>
      </c>
      <c r="J4228" s="36" t="s">
        <v>1656</v>
      </c>
      <c r="K4228" s="36" t="s">
        <v>1681</v>
      </c>
      <c r="L4228" s="36" t="s">
        <v>8363</v>
      </c>
      <c r="M4228" s="36" t="s">
        <v>8363</v>
      </c>
      <c r="N4228" s="36" t="s">
        <v>34</v>
      </c>
    </row>
    <row r="4229">
      <c r="A4229" s="36" t="s">
        <v>8847</v>
      </c>
      <c r="B4229" s="154" t="s">
        <v>8848</v>
      </c>
      <c r="C4229" s="36" t="s">
        <v>1666</v>
      </c>
      <c r="D4229" s="36" t="s">
        <v>67</v>
      </c>
      <c r="E4229" s="36" t="s">
        <v>67</v>
      </c>
      <c r="F4229" s="154" t="s">
        <v>8849</v>
      </c>
      <c r="G4229" s="36" t="s">
        <v>28</v>
      </c>
      <c r="H4229" s="36" t="s">
        <v>1655</v>
      </c>
      <c r="I4229" s="36" t="s">
        <v>1656</v>
      </c>
      <c r="J4229" s="36" t="s">
        <v>1656</v>
      </c>
      <c r="K4229" s="36" t="s">
        <v>1721</v>
      </c>
      <c r="L4229" s="36" t="s">
        <v>8363</v>
      </c>
      <c r="M4229" s="36" t="s">
        <v>8363</v>
      </c>
      <c r="N4229" s="36" t="s">
        <v>32</v>
      </c>
    </row>
    <row r="4230">
      <c r="A4230" s="36" t="s">
        <v>8850</v>
      </c>
      <c r="B4230" s="154" t="s">
        <v>8848</v>
      </c>
      <c r="C4230" s="36" t="s">
        <v>1666</v>
      </c>
      <c r="D4230" s="36" t="s">
        <v>231</v>
      </c>
      <c r="E4230" s="36" t="s">
        <v>231</v>
      </c>
      <c r="F4230" s="154" t="s">
        <v>1899</v>
      </c>
      <c r="G4230" s="36" t="s">
        <v>32</v>
      </c>
      <c r="H4230" s="36" t="s">
        <v>1655</v>
      </c>
      <c r="I4230" s="36" t="s">
        <v>1656</v>
      </c>
      <c r="J4230" s="36" t="s">
        <v>1656</v>
      </c>
      <c r="K4230" s="36" t="s">
        <v>1684</v>
      </c>
      <c r="L4230" s="36" t="s">
        <v>8363</v>
      </c>
      <c r="M4230" s="36" t="s">
        <v>8363</v>
      </c>
      <c r="N4230" s="36" t="s">
        <v>32</v>
      </c>
    </row>
    <row r="4231">
      <c r="A4231" s="36" t="s">
        <v>8851</v>
      </c>
      <c r="B4231" s="154" t="s">
        <v>8848</v>
      </c>
      <c r="C4231" s="36" t="s">
        <v>1666</v>
      </c>
      <c r="D4231" s="36" t="s">
        <v>237</v>
      </c>
      <c r="E4231" s="36" t="s">
        <v>237</v>
      </c>
      <c r="F4231" s="154" t="s">
        <v>8852</v>
      </c>
      <c r="G4231" s="36" t="s">
        <v>32</v>
      </c>
      <c r="H4231" s="36" t="s">
        <v>1655</v>
      </c>
      <c r="I4231" s="36" t="s">
        <v>1656</v>
      </c>
      <c r="J4231" s="36" t="s">
        <v>1656</v>
      </c>
      <c r="K4231" s="36" t="s">
        <v>1691</v>
      </c>
      <c r="L4231" s="36" t="s">
        <v>8363</v>
      </c>
      <c r="M4231" s="36" t="s">
        <v>8363</v>
      </c>
      <c r="N4231" s="36" t="s">
        <v>32</v>
      </c>
    </row>
    <row r="4232">
      <c r="A4232" s="36" t="s">
        <v>8853</v>
      </c>
      <c r="B4232" s="154" t="s">
        <v>8848</v>
      </c>
      <c r="C4232" s="36" t="s">
        <v>1666</v>
      </c>
      <c r="D4232" s="36" t="s">
        <v>237</v>
      </c>
      <c r="E4232" s="36" t="s">
        <v>237</v>
      </c>
      <c r="F4232" s="154" t="s">
        <v>8854</v>
      </c>
      <c r="G4232" s="36" t="s">
        <v>32</v>
      </c>
      <c r="H4232" s="36" t="s">
        <v>1655</v>
      </c>
      <c r="I4232" s="36" t="s">
        <v>1656</v>
      </c>
      <c r="J4232" s="36" t="s">
        <v>1656</v>
      </c>
      <c r="K4232" s="36" t="s">
        <v>1695</v>
      </c>
      <c r="L4232" s="36" t="s">
        <v>8363</v>
      </c>
      <c r="M4232" s="36" t="s">
        <v>8363</v>
      </c>
      <c r="N4232" s="36" t="s">
        <v>32</v>
      </c>
    </row>
    <row r="4233">
      <c r="A4233" s="36" t="s">
        <v>8855</v>
      </c>
      <c r="B4233" s="154" t="s">
        <v>8848</v>
      </c>
      <c r="C4233" s="36" t="s">
        <v>1666</v>
      </c>
      <c r="D4233" s="36" t="s">
        <v>90</v>
      </c>
      <c r="E4233" s="36" t="s">
        <v>90</v>
      </c>
      <c r="F4233" s="154" t="s">
        <v>2249</v>
      </c>
      <c r="G4233" s="36" t="s">
        <v>32</v>
      </c>
      <c r="H4233" s="36" t="s">
        <v>1655</v>
      </c>
      <c r="I4233" s="36" t="s">
        <v>1656</v>
      </c>
      <c r="J4233" s="36" t="s">
        <v>1656</v>
      </c>
      <c r="K4233" s="36" t="s">
        <v>1698</v>
      </c>
      <c r="L4233" s="36" t="s">
        <v>8363</v>
      </c>
      <c r="M4233" s="36" t="s">
        <v>8363</v>
      </c>
      <c r="N4233" s="36" t="s">
        <v>32</v>
      </c>
    </row>
    <row r="4234">
      <c r="A4234" s="36" t="s">
        <v>8856</v>
      </c>
      <c r="B4234" s="154" t="s">
        <v>8848</v>
      </c>
      <c r="C4234" s="36" t="s">
        <v>1666</v>
      </c>
      <c r="D4234" s="36" t="s">
        <v>210</v>
      </c>
      <c r="E4234" s="36" t="s">
        <v>210</v>
      </c>
      <c r="F4234" s="154" t="s">
        <v>8857</v>
      </c>
      <c r="G4234" s="36" t="s">
        <v>28</v>
      </c>
      <c r="H4234" s="36" t="s">
        <v>1655</v>
      </c>
      <c r="I4234" s="36" t="s">
        <v>1656</v>
      </c>
      <c r="J4234" s="36" t="s">
        <v>1656</v>
      </c>
      <c r="K4234" s="36" t="s">
        <v>1701</v>
      </c>
      <c r="L4234" s="36" t="s">
        <v>8363</v>
      </c>
      <c r="M4234" s="36" t="s">
        <v>8363</v>
      </c>
      <c r="N4234" s="36" t="s">
        <v>32</v>
      </c>
    </row>
    <row r="4235">
      <c r="A4235" s="36" t="s">
        <v>8858</v>
      </c>
      <c r="B4235" s="154" t="s">
        <v>8859</v>
      </c>
      <c r="C4235" s="36" t="s">
        <v>1666</v>
      </c>
      <c r="D4235" s="36" t="s">
        <v>262</v>
      </c>
      <c r="E4235" s="36" t="s">
        <v>262</v>
      </c>
      <c r="F4235" s="154" t="s">
        <v>8860</v>
      </c>
      <c r="G4235" s="36" t="s">
        <v>28</v>
      </c>
      <c r="H4235" s="36" t="s">
        <v>1655</v>
      </c>
      <c r="I4235" s="36" t="s">
        <v>1656</v>
      </c>
      <c r="J4235" s="36" t="s">
        <v>1656</v>
      </c>
      <c r="K4235" s="36" t="s">
        <v>1704</v>
      </c>
      <c r="L4235" s="36" t="s">
        <v>8363</v>
      </c>
      <c r="M4235" s="36" t="s">
        <v>8363</v>
      </c>
      <c r="N4235" s="36" t="s">
        <v>32</v>
      </c>
    </row>
    <row r="4236">
      <c r="A4236" s="36" t="s">
        <v>8861</v>
      </c>
      <c r="B4236" s="154" t="s">
        <v>8862</v>
      </c>
      <c r="C4236" s="36" t="s">
        <v>1653</v>
      </c>
      <c r="D4236" s="36" t="s">
        <v>55</v>
      </c>
      <c r="E4236" s="36" t="s">
        <v>39</v>
      </c>
      <c r="F4236" s="154" t="s">
        <v>8863</v>
      </c>
      <c r="G4236" s="36" t="s">
        <v>32</v>
      </c>
      <c r="H4236" s="36" t="s">
        <v>1655</v>
      </c>
      <c r="I4236" s="36" t="s">
        <v>1656</v>
      </c>
      <c r="J4236" s="36" t="s">
        <v>1656</v>
      </c>
      <c r="K4236" s="36" t="s">
        <v>1989</v>
      </c>
      <c r="L4236" s="36" t="s">
        <v>8454</v>
      </c>
      <c r="M4236" s="36" t="s">
        <v>8454</v>
      </c>
      <c r="N4236" s="36" t="s">
        <v>32</v>
      </c>
    </row>
    <row r="4237">
      <c r="A4237" s="36" t="s">
        <v>8864</v>
      </c>
      <c r="B4237" s="154" t="s">
        <v>8862</v>
      </c>
      <c r="C4237" s="36" t="s">
        <v>1666</v>
      </c>
      <c r="D4237" s="36" t="s">
        <v>71</v>
      </c>
      <c r="E4237" s="36" t="s">
        <v>71</v>
      </c>
      <c r="F4237" s="154" t="s">
        <v>8091</v>
      </c>
      <c r="G4237" s="36" t="s">
        <v>32</v>
      </c>
      <c r="H4237" s="36" t="s">
        <v>1655</v>
      </c>
      <c r="I4237" s="36" t="s">
        <v>1656</v>
      </c>
      <c r="J4237" s="36" t="s">
        <v>1656</v>
      </c>
      <c r="K4237" s="36" t="s">
        <v>1752</v>
      </c>
      <c r="L4237" s="36" t="s">
        <v>8363</v>
      </c>
      <c r="M4237" s="36" t="s">
        <v>8363</v>
      </c>
      <c r="N4237" s="36" t="s">
        <v>32</v>
      </c>
    </row>
    <row r="4238">
      <c r="A4238" s="36" t="s">
        <v>8865</v>
      </c>
      <c r="B4238" s="154" t="s">
        <v>8862</v>
      </c>
      <c r="C4238" s="36" t="s">
        <v>1666</v>
      </c>
      <c r="D4238" s="36" t="s">
        <v>73</v>
      </c>
      <c r="E4238" s="36" t="s">
        <v>73</v>
      </c>
      <c r="F4238" s="154" t="s">
        <v>8093</v>
      </c>
      <c r="G4238" s="36" t="s">
        <v>28</v>
      </c>
      <c r="H4238" s="36" t="s">
        <v>1655</v>
      </c>
      <c r="I4238" s="36" t="s">
        <v>1656</v>
      </c>
      <c r="J4238" s="36" t="s">
        <v>1656</v>
      </c>
      <c r="K4238" s="36" t="s">
        <v>1755</v>
      </c>
      <c r="L4238" s="36" t="s">
        <v>8363</v>
      </c>
      <c r="M4238" s="36" t="s">
        <v>8363</v>
      </c>
      <c r="N4238" s="36" t="s">
        <v>32</v>
      </c>
    </row>
    <row r="4239">
      <c r="A4239" s="36" t="s">
        <v>8866</v>
      </c>
      <c r="B4239" s="154" t="s">
        <v>8862</v>
      </c>
      <c r="C4239" s="36" t="s">
        <v>1666</v>
      </c>
      <c r="D4239" s="36" t="s">
        <v>74</v>
      </c>
      <c r="E4239" s="36" t="s">
        <v>74</v>
      </c>
      <c r="F4239" s="154" t="s">
        <v>8095</v>
      </c>
      <c r="G4239" s="36" t="s">
        <v>32</v>
      </c>
      <c r="H4239" s="36" t="s">
        <v>1655</v>
      </c>
      <c r="I4239" s="36" t="s">
        <v>1656</v>
      </c>
      <c r="J4239" s="36" t="s">
        <v>1656</v>
      </c>
      <c r="K4239" s="36" t="s">
        <v>1757</v>
      </c>
      <c r="L4239" s="36" t="s">
        <v>8363</v>
      </c>
      <c r="M4239" s="36" t="s">
        <v>8363</v>
      </c>
      <c r="N4239" s="36" t="s">
        <v>32</v>
      </c>
    </row>
    <row r="4240">
      <c r="A4240" s="36" t="s">
        <v>8867</v>
      </c>
      <c r="B4240" s="154" t="s">
        <v>8862</v>
      </c>
      <c r="C4240" s="36" t="s">
        <v>1666</v>
      </c>
      <c r="D4240" s="36" t="s">
        <v>75</v>
      </c>
      <c r="E4240" s="36" t="s">
        <v>75</v>
      </c>
      <c r="F4240" s="154" t="s">
        <v>8097</v>
      </c>
      <c r="G4240" s="36" t="s">
        <v>28</v>
      </c>
      <c r="H4240" s="36" t="s">
        <v>1655</v>
      </c>
      <c r="I4240" s="36" t="s">
        <v>1656</v>
      </c>
      <c r="J4240" s="36" t="s">
        <v>1656</v>
      </c>
      <c r="K4240" s="36" t="s">
        <v>1760</v>
      </c>
      <c r="L4240" s="36" t="s">
        <v>8363</v>
      </c>
      <c r="M4240" s="36" t="s">
        <v>8363</v>
      </c>
      <c r="N4240" s="36" t="s">
        <v>32</v>
      </c>
    </row>
    <row r="4241">
      <c r="A4241" s="36" t="s">
        <v>8868</v>
      </c>
      <c r="B4241" s="154" t="s">
        <v>8862</v>
      </c>
      <c r="C4241" s="36" t="s">
        <v>1666</v>
      </c>
      <c r="D4241" s="36" t="s">
        <v>76</v>
      </c>
      <c r="E4241" s="36" t="s">
        <v>76</v>
      </c>
      <c r="F4241" s="154" t="s">
        <v>8869</v>
      </c>
      <c r="G4241" s="36" t="s">
        <v>28</v>
      </c>
      <c r="H4241" s="36" t="s">
        <v>1655</v>
      </c>
      <c r="I4241" s="36" t="s">
        <v>1656</v>
      </c>
      <c r="J4241" s="36" t="s">
        <v>1656</v>
      </c>
      <c r="K4241" s="36" t="s">
        <v>1763</v>
      </c>
      <c r="L4241" s="36" t="s">
        <v>8363</v>
      </c>
      <c r="M4241" s="36" t="s">
        <v>8363</v>
      </c>
      <c r="N4241" s="36" t="s">
        <v>32</v>
      </c>
    </row>
    <row r="4242">
      <c r="A4242" s="36" t="s">
        <v>8870</v>
      </c>
      <c r="B4242" s="154" t="s">
        <v>8862</v>
      </c>
      <c r="C4242" s="36" t="s">
        <v>1666</v>
      </c>
      <c r="D4242" s="36" t="s">
        <v>92</v>
      </c>
      <c r="E4242" s="36" t="s">
        <v>92</v>
      </c>
      <c r="F4242" s="154" t="s">
        <v>1832</v>
      </c>
      <c r="G4242" s="36" t="s">
        <v>32</v>
      </c>
      <c r="H4242" s="36" t="s">
        <v>1655</v>
      </c>
      <c r="I4242" s="36" t="s">
        <v>1656</v>
      </c>
      <c r="J4242" s="36" t="s">
        <v>1656</v>
      </c>
      <c r="K4242" s="36" t="s">
        <v>1711</v>
      </c>
      <c r="L4242" s="36" t="s">
        <v>8363</v>
      </c>
      <c r="M4242" s="36" t="s">
        <v>8363</v>
      </c>
      <c r="N4242" s="36" t="s">
        <v>32</v>
      </c>
    </row>
    <row r="4243">
      <c r="A4243" s="36" t="s">
        <v>8871</v>
      </c>
      <c r="B4243" s="154" t="s">
        <v>8862</v>
      </c>
      <c r="C4243" s="36" t="s">
        <v>1666</v>
      </c>
      <c r="D4243" s="36" t="s">
        <v>268</v>
      </c>
      <c r="E4243" s="36" t="s">
        <v>268</v>
      </c>
      <c r="F4243" s="154" t="s">
        <v>8872</v>
      </c>
      <c r="G4243" s="36" t="s">
        <v>32</v>
      </c>
      <c r="H4243" s="36" t="s">
        <v>1655</v>
      </c>
      <c r="I4243" s="36" t="s">
        <v>1656</v>
      </c>
      <c r="J4243" s="36" t="s">
        <v>1656</v>
      </c>
      <c r="K4243" s="36" t="s">
        <v>1715</v>
      </c>
      <c r="L4243" s="36" t="s">
        <v>8363</v>
      </c>
      <c r="M4243" s="36" t="s">
        <v>8363</v>
      </c>
      <c r="N4243" s="36" t="s">
        <v>32</v>
      </c>
    </row>
    <row r="4244">
      <c r="A4244" s="36" t="s">
        <v>8873</v>
      </c>
      <c r="B4244" s="154" t="s">
        <v>8862</v>
      </c>
      <c r="C4244" s="36" t="s">
        <v>1666</v>
      </c>
      <c r="D4244" s="36" t="s">
        <v>115</v>
      </c>
      <c r="E4244" s="36" t="s">
        <v>115</v>
      </c>
      <c r="F4244" s="154" t="s">
        <v>1683</v>
      </c>
      <c r="G4244" s="36" t="s">
        <v>32</v>
      </c>
      <c r="H4244" s="36" t="s">
        <v>1655</v>
      </c>
      <c r="I4244" s="36" t="s">
        <v>1656</v>
      </c>
      <c r="J4244" s="36" t="s">
        <v>1656</v>
      </c>
      <c r="K4244" s="36" t="s">
        <v>1717</v>
      </c>
      <c r="L4244" s="36" t="s">
        <v>8363</v>
      </c>
      <c r="M4244" s="36" t="s">
        <v>8363</v>
      </c>
      <c r="N4244" s="36" t="s">
        <v>32</v>
      </c>
    </row>
    <row r="4245">
      <c r="A4245" s="36" t="s">
        <v>8874</v>
      </c>
      <c r="B4245" s="154" t="s">
        <v>8862</v>
      </c>
      <c r="C4245" s="36" t="s">
        <v>1666</v>
      </c>
      <c r="D4245" s="36" t="s">
        <v>114</v>
      </c>
      <c r="E4245" s="36" t="s">
        <v>114</v>
      </c>
      <c r="F4245" s="154" t="s">
        <v>1683</v>
      </c>
      <c r="G4245" s="36" t="s">
        <v>32</v>
      </c>
      <c r="H4245" s="36" t="s">
        <v>1655</v>
      </c>
      <c r="I4245" s="36" t="s">
        <v>1656</v>
      </c>
      <c r="J4245" s="36" t="s">
        <v>1656</v>
      </c>
      <c r="K4245" s="36" t="s">
        <v>1724</v>
      </c>
      <c r="L4245" s="36" t="s">
        <v>8363</v>
      </c>
      <c r="M4245" s="36" t="s">
        <v>8363</v>
      </c>
      <c r="N4245" s="36" t="s">
        <v>32</v>
      </c>
    </row>
    <row r="4246">
      <c r="A4246" s="36" t="s">
        <v>8875</v>
      </c>
      <c r="B4246" s="154" t="s">
        <v>8862</v>
      </c>
      <c r="C4246" s="36" t="s">
        <v>1666</v>
      </c>
      <c r="D4246" s="36" t="s">
        <v>220</v>
      </c>
      <c r="E4246" s="36" t="s">
        <v>220</v>
      </c>
      <c r="F4246" s="154" t="s">
        <v>8876</v>
      </c>
      <c r="G4246" s="36" t="s">
        <v>28</v>
      </c>
      <c r="H4246" s="36" t="s">
        <v>1655</v>
      </c>
      <c r="I4246" s="36" t="s">
        <v>1656</v>
      </c>
      <c r="J4246" s="36" t="s">
        <v>1656</v>
      </c>
      <c r="K4246" s="36" t="s">
        <v>1727</v>
      </c>
      <c r="L4246" s="36" t="s">
        <v>8363</v>
      </c>
      <c r="M4246" s="36" t="s">
        <v>8363</v>
      </c>
      <c r="N4246" s="36" t="s">
        <v>32</v>
      </c>
    </row>
    <row r="4247">
      <c r="A4247" s="36" t="s">
        <v>8877</v>
      </c>
      <c r="B4247" s="154" t="s">
        <v>8862</v>
      </c>
      <c r="C4247" s="36" t="s">
        <v>1666</v>
      </c>
      <c r="D4247" s="36" t="s">
        <v>226</v>
      </c>
      <c r="E4247" s="36" t="s">
        <v>226</v>
      </c>
      <c r="F4247" s="154" t="s">
        <v>8878</v>
      </c>
      <c r="G4247" s="36" t="s">
        <v>32</v>
      </c>
      <c r="H4247" s="36" t="s">
        <v>1655</v>
      </c>
      <c r="I4247" s="36" t="s">
        <v>1656</v>
      </c>
      <c r="J4247" s="36" t="s">
        <v>1656</v>
      </c>
      <c r="K4247" s="36" t="s">
        <v>1730</v>
      </c>
      <c r="L4247" s="36" t="s">
        <v>8363</v>
      </c>
      <c r="M4247" s="36" t="s">
        <v>8363</v>
      </c>
      <c r="N4247" s="36" t="s">
        <v>32</v>
      </c>
    </row>
    <row r="4248">
      <c r="A4248" s="36" t="s">
        <v>8879</v>
      </c>
      <c r="B4248" s="154" t="s">
        <v>8862</v>
      </c>
      <c r="C4248" s="36" t="s">
        <v>1666</v>
      </c>
      <c r="D4248" s="36" t="s">
        <v>281</v>
      </c>
      <c r="E4248" s="36" t="s">
        <v>281</v>
      </c>
      <c r="F4248" s="154" t="s">
        <v>8880</v>
      </c>
      <c r="G4248" s="36" t="s">
        <v>32</v>
      </c>
      <c r="H4248" s="36" t="s">
        <v>1655</v>
      </c>
      <c r="I4248" s="36" t="s">
        <v>1656</v>
      </c>
      <c r="J4248" s="36" t="s">
        <v>1656</v>
      </c>
      <c r="K4248" s="36" t="s">
        <v>1732</v>
      </c>
      <c r="L4248" s="36" t="s">
        <v>8363</v>
      </c>
      <c r="M4248" s="36" t="s">
        <v>8363</v>
      </c>
      <c r="N4248" s="36" t="s">
        <v>32</v>
      </c>
    </row>
    <row r="4249">
      <c r="A4249" s="36" t="s">
        <v>8881</v>
      </c>
      <c r="B4249" s="154" t="s">
        <v>8882</v>
      </c>
      <c r="C4249" s="36" t="s">
        <v>1666</v>
      </c>
      <c r="D4249" s="36" t="s">
        <v>90</v>
      </c>
      <c r="E4249" s="36" t="s">
        <v>90</v>
      </c>
      <c r="F4249" s="154" t="s">
        <v>1768</v>
      </c>
      <c r="G4249" s="36" t="s">
        <v>28</v>
      </c>
      <c r="H4249" s="36" t="s">
        <v>1655</v>
      </c>
      <c r="I4249" s="36" t="s">
        <v>1656</v>
      </c>
      <c r="J4249" s="36" t="s">
        <v>1656</v>
      </c>
      <c r="K4249" s="36" t="s">
        <v>1736</v>
      </c>
      <c r="L4249" s="36" t="s">
        <v>8363</v>
      </c>
      <c r="M4249" s="36" t="s">
        <v>8363</v>
      </c>
      <c r="N4249" s="36" t="s">
        <v>32</v>
      </c>
    </row>
    <row r="4250">
      <c r="A4250" s="36" t="s">
        <v>8883</v>
      </c>
      <c r="B4250" s="154" t="s">
        <v>8884</v>
      </c>
      <c r="C4250" s="36" t="s">
        <v>1666</v>
      </c>
      <c r="D4250" s="36" t="s">
        <v>298</v>
      </c>
      <c r="E4250" s="36" t="s">
        <v>298</v>
      </c>
      <c r="F4250" s="154" t="s">
        <v>2325</v>
      </c>
      <c r="G4250" s="36" t="s">
        <v>28</v>
      </c>
      <c r="H4250" s="36" t="s">
        <v>1655</v>
      </c>
      <c r="I4250" s="36" t="s">
        <v>1656</v>
      </c>
      <c r="J4250" s="36" t="s">
        <v>1656</v>
      </c>
      <c r="K4250" s="36" t="s">
        <v>1739</v>
      </c>
      <c r="L4250" s="36" t="s">
        <v>8363</v>
      </c>
      <c r="M4250" s="36" t="s">
        <v>8363</v>
      </c>
      <c r="N4250" s="36" t="s">
        <v>34</v>
      </c>
    </row>
    <row r="4251">
      <c r="A4251" s="36" t="s">
        <v>8885</v>
      </c>
      <c r="B4251" s="154" t="s">
        <v>8886</v>
      </c>
      <c r="C4251" s="36" t="s">
        <v>1666</v>
      </c>
      <c r="D4251" s="36" t="s">
        <v>92</v>
      </c>
      <c r="E4251" s="36" t="s">
        <v>92</v>
      </c>
      <c r="F4251" s="154" t="s">
        <v>3352</v>
      </c>
      <c r="G4251" s="36" t="s">
        <v>32</v>
      </c>
      <c r="H4251" s="36" t="s">
        <v>1655</v>
      </c>
      <c r="I4251" s="36" t="s">
        <v>1656</v>
      </c>
      <c r="J4251" s="36" t="s">
        <v>1656</v>
      </c>
      <c r="K4251" s="36" t="s">
        <v>1742</v>
      </c>
      <c r="L4251" s="36" t="s">
        <v>8363</v>
      </c>
      <c r="M4251" s="36" t="s">
        <v>8363</v>
      </c>
      <c r="N4251" s="36" t="s">
        <v>32</v>
      </c>
    </row>
    <row r="4252">
      <c r="A4252" s="36" t="s">
        <v>8887</v>
      </c>
      <c r="B4252" s="154" t="s">
        <v>8886</v>
      </c>
      <c r="C4252" s="36" t="s">
        <v>1666</v>
      </c>
      <c r="D4252" s="36" t="s">
        <v>90</v>
      </c>
      <c r="E4252" s="36" t="s">
        <v>90</v>
      </c>
      <c r="F4252" s="154" t="s">
        <v>1714</v>
      </c>
      <c r="G4252" s="36" t="s">
        <v>28</v>
      </c>
      <c r="H4252" s="36" t="s">
        <v>1655</v>
      </c>
      <c r="I4252" s="36" t="s">
        <v>1656</v>
      </c>
      <c r="J4252" s="36" t="s">
        <v>1656</v>
      </c>
      <c r="K4252" s="36" t="s">
        <v>1745</v>
      </c>
      <c r="L4252" s="36" t="s">
        <v>8363</v>
      </c>
      <c r="M4252" s="36" t="s">
        <v>8363</v>
      </c>
      <c r="N4252" s="36" t="s">
        <v>32</v>
      </c>
    </row>
    <row r="4253">
      <c r="A4253" s="36" t="s">
        <v>8888</v>
      </c>
      <c r="B4253" s="154" t="s">
        <v>8889</v>
      </c>
      <c r="C4253" s="36" t="s">
        <v>1666</v>
      </c>
      <c r="D4253" s="36" t="s">
        <v>191</v>
      </c>
      <c r="E4253" s="36" t="s">
        <v>191</v>
      </c>
      <c r="F4253" s="154" t="s">
        <v>1686</v>
      </c>
      <c r="G4253" s="36" t="s">
        <v>28</v>
      </c>
      <c r="H4253" s="36" t="s">
        <v>1655</v>
      </c>
      <c r="I4253" s="36" t="s">
        <v>1656</v>
      </c>
      <c r="J4253" s="36" t="s">
        <v>1656</v>
      </c>
      <c r="K4253" s="36" t="s">
        <v>1773</v>
      </c>
      <c r="L4253" s="36" t="s">
        <v>8363</v>
      </c>
      <c r="M4253" s="36" t="s">
        <v>8363</v>
      </c>
      <c r="N4253" s="36" t="s">
        <v>32</v>
      </c>
    </row>
    <row r="4254">
      <c r="A4254" s="36" t="s">
        <v>8890</v>
      </c>
      <c r="B4254" s="154" t="s">
        <v>8889</v>
      </c>
      <c r="C4254" s="36" t="s">
        <v>1666</v>
      </c>
      <c r="D4254" s="36" t="s">
        <v>235</v>
      </c>
      <c r="E4254" s="36" t="s">
        <v>235</v>
      </c>
      <c r="F4254" s="154" t="s">
        <v>2217</v>
      </c>
      <c r="G4254" s="36" t="s">
        <v>28</v>
      </c>
      <c r="H4254" s="36" t="s">
        <v>1655</v>
      </c>
      <c r="I4254" s="36" t="s">
        <v>1656</v>
      </c>
      <c r="J4254" s="36" t="s">
        <v>1656</v>
      </c>
      <c r="K4254" s="36" t="s">
        <v>1776</v>
      </c>
      <c r="L4254" s="36" t="s">
        <v>8363</v>
      </c>
      <c r="M4254" s="36" t="s">
        <v>8363</v>
      </c>
      <c r="N4254" s="36" t="s">
        <v>32</v>
      </c>
    </row>
    <row r="4255">
      <c r="A4255" s="36" t="s">
        <v>8891</v>
      </c>
      <c r="B4255" s="154" t="s">
        <v>8889</v>
      </c>
      <c r="C4255" s="36" t="s">
        <v>1666</v>
      </c>
      <c r="D4255" s="36" t="s">
        <v>210</v>
      </c>
      <c r="E4255" s="36" t="s">
        <v>210</v>
      </c>
      <c r="F4255" s="154" t="s">
        <v>1810</v>
      </c>
      <c r="G4255" s="36" t="s">
        <v>28</v>
      </c>
      <c r="H4255" s="36" t="s">
        <v>1655</v>
      </c>
      <c r="I4255" s="36" t="s">
        <v>1656</v>
      </c>
      <c r="J4255" s="36" t="s">
        <v>1656</v>
      </c>
      <c r="K4255" s="36" t="s">
        <v>1779</v>
      </c>
      <c r="L4255" s="36" t="s">
        <v>8363</v>
      </c>
      <c r="M4255" s="36" t="s">
        <v>8363</v>
      </c>
      <c r="N4255" s="36" t="s">
        <v>32</v>
      </c>
    </row>
    <row r="4256">
      <c r="A4256" s="36" t="s">
        <v>8892</v>
      </c>
      <c r="B4256" s="154" t="s">
        <v>8889</v>
      </c>
      <c r="C4256" s="36" t="s">
        <v>1666</v>
      </c>
      <c r="D4256" s="36" t="s">
        <v>90</v>
      </c>
      <c r="E4256" s="36" t="s">
        <v>90</v>
      </c>
      <c r="F4256" s="154" t="s">
        <v>1829</v>
      </c>
      <c r="G4256" s="36" t="s">
        <v>28</v>
      </c>
      <c r="H4256" s="36" t="s">
        <v>1655</v>
      </c>
      <c r="I4256" s="36" t="s">
        <v>1656</v>
      </c>
      <c r="J4256" s="36" t="s">
        <v>1656</v>
      </c>
      <c r="K4256" s="36" t="s">
        <v>1782</v>
      </c>
      <c r="L4256" s="36" t="s">
        <v>8363</v>
      </c>
      <c r="M4256" s="36" t="s">
        <v>8363</v>
      </c>
      <c r="N4256" s="36" t="s">
        <v>32</v>
      </c>
    </row>
    <row r="4257">
      <c r="A4257" s="36" t="s">
        <v>8893</v>
      </c>
      <c r="B4257" s="154" t="s">
        <v>8889</v>
      </c>
      <c r="C4257" s="36" t="s">
        <v>1666</v>
      </c>
      <c r="D4257" s="36" t="s">
        <v>92</v>
      </c>
      <c r="E4257" s="36" t="s">
        <v>92</v>
      </c>
      <c r="F4257" s="154" t="s">
        <v>2035</v>
      </c>
      <c r="G4257" s="36" t="s">
        <v>32</v>
      </c>
      <c r="H4257" s="36" t="s">
        <v>1655</v>
      </c>
      <c r="I4257" s="36" t="s">
        <v>1656</v>
      </c>
      <c r="J4257" s="36" t="s">
        <v>1656</v>
      </c>
      <c r="K4257" s="36" t="s">
        <v>1784</v>
      </c>
      <c r="L4257" s="36" t="s">
        <v>8363</v>
      </c>
      <c r="M4257" s="36" t="s">
        <v>8363</v>
      </c>
      <c r="N4257" s="36" t="s">
        <v>32</v>
      </c>
    </row>
    <row r="4258">
      <c r="A4258" s="36" t="s">
        <v>8894</v>
      </c>
      <c r="B4258" s="154" t="s">
        <v>8889</v>
      </c>
      <c r="C4258" s="36" t="s">
        <v>1666</v>
      </c>
      <c r="D4258" s="36" t="s">
        <v>92</v>
      </c>
      <c r="E4258" s="36" t="s">
        <v>92</v>
      </c>
      <c r="F4258" s="154" t="s">
        <v>8895</v>
      </c>
      <c r="G4258" s="36" t="s">
        <v>32</v>
      </c>
      <c r="H4258" s="36" t="s">
        <v>1655</v>
      </c>
      <c r="I4258" s="36" t="s">
        <v>1656</v>
      </c>
      <c r="J4258" s="36" t="s">
        <v>1656</v>
      </c>
      <c r="K4258" s="36" t="s">
        <v>1787</v>
      </c>
      <c r="L4258" s="36" t="s">
        <v>8363</v>
      </c>
      <c r="M4258" s="36" t="s">
        <v>8363</v>
      </c>
      <c r="N4258" s="36" t="s">
        <v>32</v>
      </c>
    </row>
    <row r="4259">
      <c r="A4259" s="36" t="s">
        <v>8896</v>
      </c>
      <c r="B4259" s="154" t="s">
        <v>8897</v>
      </c>
      <c r="C4259" s="36" t="s">
        <v>1666</v>
      </c>
      <c r="D4259" s="36" t="s">
        <v>218</v>
      </c>
      <c r="E4259" s="36" t="s">
        <v>218</v>
      </c>
      <c r="F4259" s="154" t="s">
        <v>2039</v>
      </c>
      <c r="G4259" s="36" t="s">
        <v>32</v>
      </c>
      <c r="H4259" s="36" t="s">
        <v>1655</v>
      </c>
      <c r="I4259" s="36" t="s">
        <v>1656</v>
      </c>
      <c r="J4259" s="36" t="s">
        <v>1656</v>
      </c>
      <c r="K4259" s="36" t="s">
        <v>1790</v>
      </c>
      <c r="L4259" s="36" t="s">
        <v>8363</v>
      </c>
      <c r="M4259" s="36" t="s">
        <v>8363</v>
      </c>
      <c r="N4259" s="36" t="s">
        <v>32</v>
      </c>
    </row>
    <row r="4260">
      <c r="A4260" s="36" t="s">
        <v>8898</v>
      </c>
      <c r="B4260" s="154" t="s">
        <v>8899</v>
      </c>
      <c r="C4260" s="36" t="s">
        <v>1666</v>
      </c>
      <c r="D4260" s="36" t="s">
        <v>130</v>
      </c>
      <c r="E4260" s="36" t="s">
        <v>130</v>
      </c>
      <c r="F4260" s="154" t="s">
        <v>1810</v>
      </c>
      <c r="G4260" s="36" t="s">
        <v>32</v>
      </c>
      <c r="H4260" s="36" t="s">
        <v>1655</v>
      </c>
      <c r="I4260" s="36" t="s">
        <v>1656</v>
      </c>
      <c r="J4260" s="36" t="s">
        <v>1656</v>
      </c>
      <c r="K4260" s="36" t="s">
        <v>1793</v>
      </c>
      <c r="L4260" s="36" t="s">
        <v>8363</v>
      </c>
      <c r="M4260" s="36" t="s">
        <v>8363</v>
      </c>
      <c r="N4260" s="36" t="s">
        <v>32</v>
      </c>
    </row>
    <row r="4261">
      <c r="A4261" s="36" t="s">
        <v>8900</v>
      </c>
      <c r="B4261" s="154" t="s">
        <v>8899</v>
      </c>
      <c r="C4261" s="36" t="s">
        <v>1666</v>
      </c>
      <c r="D4261" s="36" t="s">
        <v>90</v>
      </c>
      <c r="E4261" s="36" t="s">
        <v>90</v>
      </c>
      <c r="F4261" s="154" t="s">
        <v>1829</v>
      </c>
      <c r="G4261" s="36" t="s">
        <v>32</v>
      </c>
      <c r="H4261" s="36" t="s">
        <v>1655</v>
      </c>
      <c r="I4261" s="36" t="s">
        <v>1656</v>
      </c>
      <c r="J4261" s="36" t="s">
        <v>1656</v>
      </c>
      <c r="K4261" s="36" t="s">
        <v>1796</v>
      </c>
      <c r="L4261" s="36" t="s">
        <v>8363</v>
      </c>
      <c r="M4261" s="36" t="s">
        <v>8363</v>
      </c>
      <c r="N4261" s="36" t="s">
        <v>32</v>
      </c>
    </row>
    <row r="4262">
      <c r="A4262" s="36" t="s">
        <v>8901</v>
      </c>
      <c r="B4262" s="154" t="s">
        <v>8899</v>
      </c>
      <c r="C4262" s="36" t="s">
        <v>1666</v>
      </c>
      <c r="D4262" s="36" t="s">
        <v>124</v>
      </c>
      <c r="E4262" s="36" t="s">
        <v>124</v>
      </c>
      <c r="F4262" s="154" t="s">
        <v>8902</v>
      </c>
      <c r="G4262" s="36" t="s">
        <v>32</v>
      </c>
      <c r="H4262" s="36" t="s">
        <v>1655</v>
      </c>
      <c r="I4262" s="36" t="s">
        <v>1656</v>
      </c>
      <c r="J4262" s="36" t="s">
        <v>1656</v>
      </c>
      <c r="K4262" s="36" t="s">
        <v>1800</v>
      </c>
      <c r="L4262" s="36" t="s">
        <v>8363</v>
      </c>
      <c r="M4262" s="36" t="s">
        <v>8363</v>
      </c>
      <c r="N4262" s="36" t="s">
        <v>32</v>
      </c>
    </row>
    <row r="4263">
      <c r="A4263" s="36" t="s">
        <v>8903</v>
      </c>
      <c r="B4263" s="154" t="s">
        <v>8899</v>
      </c>
      <c r="C4263" s="36" t="s">
        <v>1666</v>
      </c>
      <c r="D4263" s="36" t="s">
        <v>210</v>
      </c>
      <c r="E4263" s="36" t="s">
        <v>210</v>
      </c>
      <c r="F4263" s="154" t="s">
        <v>1768</v>
      </c>
      <c r="G4263" s="36" t="s">
        <v>28</v>
      </c>
      <c r="H4263" s="36" t="s">
        <v>1655</v>
      </c>
      <c r="I4263" s="36" t="s">
        <v>1656</v>
      </c>
      <c r="J4263" s="36" t="s">
        <v>1656</v>
      </c>
      <c r="K4263" s="36" t="s">
        <v>1803</v>
      </c>
      <c r="L4263" s="36" t="s">
        <v>8363</v>
      </c>
      <c r="M4263" s="36" t="s">
        <v>8363</v>
      </c>
      <c r="N4263" s="36" t="s">
        <v>34</v>
      </c>
    </row>
    <row r="4264">
      <c r="A4264" s="36" t="s">
        <v>8904</v>
      </c>
      <c r="B4264" s="154" t="s">
        <v>8899</v>
      </c>
      <c r="C4264" s="36" t="s">
        <v>1666</v>
      </c>
      <c r="D4264" s="36" t="s">
        <v>370</v>
      </c>
      <c r="E4264" s="36" t="s">
        <v>370</v>
      </c>
      <c r="F4264" s="154" t="s">
        <v>8905</v>
      </c>
      <c r="G4264" s="36" t="s">
        <v>32</v>
      </c>
      <c r="H4264" s="36" t="s">
        <v>1655</v>
      </c>
      <c r="I4264" s="36" t="s">
        <v>1656</v>
      </c>
      <c r="J4264" s="36" t="s">
        <v>1656</v>
      </c>
      <c r="K4264" s="36" t="s">
        <v>1820</v>
      </c>
      <c r="L4264" s="36" t="s">
        <v>8363</v>
      </c>
      <c r="M4264" s="36" t="s">
        <v>8363</v>
      </c>
      <c r="N4264" s="36" t="s">
        <v>32</v>
      </c>
    </row>
    <row r="4265">
      <c r="A4265" s="36" t="s">
        <v>8906</v>
      </c>
      <c r="B4265" s="154" t="s">
        <v>8907</v>
      </c>
      <c r="C4265" s="36" t="s">
        <v>1666</v>
      </c>
      <c r="D4265" s="36" t="s">
        <v>79</v>
      </c>
      <c r="E4265" s="36" t="s">
        <v>79</v>
      </c>
      <c r="F4265" s="154" t="s">
        <v>8908</v>
      </c>
      <c r="G4265" s="36" t="s">
        <v>32</v>
      </c>
      <c r="H4265" s="36" t="s">
        <v>1655</v>
      </c>
      <c r="I4265" s="36" t="s">
        <v>1656</v>
      </c>
      <c r="J4265" s="36" t="s">
        <v>1656</v>
      </c>
      <c r="K4265" s="36" t="s">
        <v>1769</v>
      </c>
      <c r="L4265" s="36" t="s">
        <v>8363</v>
      </c>
      <c r="M4265" s="36" t="s">
        <v>8363</v>
      </c>
      <c r="N4265" s="36" t="s">
        <v>32</v>
      </c>
    </row>
    <row r="4266">
      <c r="A4266" s="36" t="s">
        <v>8909</v>
      </c>
      <c r="B4266" s="154" t="s">
        <v>8907</v>
      </c>
      <c r="C4266" s="36" t="s">
        <v>1666</v>
      </c>
      <c r="D4266" s="36" t="s">
        <v>81</v>
      </c>
      <c r="E4266" s="36" t="s">
        <v>81</v>
      </c>
      <c r="F4266" s="154" t="s">
        <v>8910</v>
      </c>
      <c r="G4266" s="36" t="s">
        <v>28</v>
      </c>
      <c r="H4266" s="36" t="s">
        <v>1655</v>
      </c>
      <c r="I4266" s="36" t="s">
        <v>1656</v>
      </c>
      <c r="J4266" s="36" t="s">
        <v>1656</v>
      </c>
      <c r="K4266" s="36" t="s">
        <v>1811</v>
      </c>
      <c r="L4266" s="36" t="s">
        <v>8363</v>
      </c>
      <c r="M4266" s="36" t="s">
        <v>8363</v>
      </c>
      <c r="N4266" s="36" t="s">
        <v>32</v>
      </c>
    </row>
    <row r="4267">
      <c r="A4267" s="36" t="s">
        <v>8911</v>
      </c>
      <c r="B4267" s="154" t="s">
        <v>8907</v>
      </c>
      <c r="C4267" s="36" t="s">
        <v>1666</v>
      </c>
      <c r="D4267" s="36" t="s">
        <v>83</v>
      </c>
      <c r="E4267" s="36" t="s">
        <v>83</v>
      </c>
      <c r="F4267" s="154" t="s">
        <v>8250</v>
      </c>
      <c r="G4267" s="36" t="s">
        <v>28</v>
      </c>
      <c r="H4267" s="36" t="s">
        <v>1655</v>
      </c>
      <c r="I4267" s="36" t="s">
        <v>1656</v>
      </c>
      <c r="J4267" s="36" t="s">
        <v>1656</v>
      </c>
      <c r="K4267" s="36" t="s">
        <v>1891</v>
      </c>
      <c r="L4267" s="36" t="s">
        <v>8363</v>
      </c>
      <c r="M4267" s="36" t="s">
        <v>8363</v>
      </c>
      <c r="N4267" s="36" t="s">
        <v>32</v>
      </c>
    </row>
    <row r="4268">
      <c r="A4268" s="36" t="s">
        <v>8912</v>
      </c>
      <c r="B4268" s="154" t="s">
        <v>8907</v>
      </c>
      <c r="C4268" s="36" t="s">
        <v>1666</v>
      </c>
      <c r="D4268" s="36" t="s">
        <v>84</v>
      </c>
      <c r="E4268" s="36" t="s">
        <v>84</v>
      </c>
      <c r="F4268" s="154" t="s">
        <v>8561</v>
      </c>
      <c r="G4268" s="36" t="s">
        <v>32</v>
      </c>
      <c r="H4268" s="36" t="s">
        <v>1655</v>
      </c>
      <c r="I4268" s="36" t="s">
        <v>1656</v>
      </c>
      <c r="J4268" s="36" t="s">
        <v>1656</v>
      </c>
      <c r="K4268" s="36" t="s">
        <v>1921</v>
      </c>
      <c r="L4268" s="36" t="s">
        <v>8363</v>
      </c>
      <c r="M4268" s="36" t="s">
        <v>8363</v>
      </c>
      <c r="N4268" s="36" t="s">
        <v>32</v>
      </c>
    </row>
    <row r="4269">
      <c r="A4269" s="36" t="s">
        <v>8913</v>
      </c>
      <c r="B4269" s="154" t="s">
        <v>8907</v>
      </c>
      <c r="C4269" s="36" t="s">
        <v>1666</v>
      </c>
      <c r="D4269" s="36" t="s">
        <v>358</v>
      </c>
      <c r="E4269" s="36" t="s">
        <v>358</v>
      </c>
      <c r="F4269" s="154" t="s">
        <v>6041</v>
      </c>
      <c r="G4269" s="36" t="s">
        <v>28</v>
      </c>
      <c r="H4269" s="36" t="s">
        <v>1655</v>
      </c>
      <c r="I4269" s="36" t="s">
        <v>1656</v>
      </c>
      <c r="J4269" s="36" t="s">
        <v>1656</v>
      </c>
      <c r="K4269" s="36" t="s">
        <v>1807</v>
      </c>
      <c r="L4269" s="36" t="s">
        <v>8363</v>
      </c>
      <c r="M4269" s="36" t="s">
        <v>8363</v>
      </c>
      <c r="N4269" s="36" t="s">
        <v>34</v>
      </c>
    </row>
    <row r="4270">
      <c r="A4270" s="36" t="s">
        <v>8914</v>
      </c>
      <c r="B4270" s="154" t="s">
        <v>8907</v>
      </c>
      <c r="C4270" s="36" t="s">
        <v>1666</v>
      </c>
      <c r="D4270" s="36" t="s">
        <v>133</v>
      </c>
      <c r="E4270" s="36" t="s">
        <v>133</v>
      </c>
      <c r="F4270" s="154" t="s">
        <v>8915</v>
      </c>
      <c r="G4270" s="36" t="s">
        <v>32</v>
      </c>
      <c r="H4270" s="36" t="s">
        <v>1655</v>
      </c>
      <c r="I4270" s="36" t="s">
        <v>1656</v>
      </c>
      <c r="J4270" s="36" t="s">
        <v>1656</v>
      </c>
      <c r="K4270" s="36" t="s">
        <v>1814</v>
      </c>
      <c r="L4270" s="36" t="s">
        <v>8363</v>
      </c>
      <c r="M4270" s="36" t="s">
        <v>8363</v>
      </c>
      <c r="N4270" s="36" t="s">
        <v>32</v>
      </c>
    </row>
    <row r="4271">
      <c r="A4271" s="36" t="s">
        <v>8916</v>
      </c>
      <c r="B4271" s="154" t="s">
        <v>8907</v>
      </c>
      <c r="C4271" s="36" t="s">
        <v>1666</v>
      </c>
      <c r="D4271" s="36" t="s">
        <v>92</v>
      </c>
      <c r="E4271" s="36" t="s">
        <v>92</v>
      </c>
      <c r="F4271" s="154" t="s">
        <v>1806</v>
      </c>
      <c r="G4271" s="36" t="s">
        <v>32</v>
      </c>
      <c r="H4271" s="36" t="s">
        <v>1655</v>
      </c>
      <c r="I4271" s="36" t="s">
        <v>1656</v>
      </c>
      <c r="J4271" s="36" t="s">
        <v>1656</v>
      </c>
      <c r="K4271" s="36" t="s">
        <v>1817</v>
      </c>
      <c r="L4271" s="36" t="s">
        <v>8363</v>
      </c>
      <c r="M4271" s="36" t="s">
        <v>8363</v>
      </c>
      <c r="N4271" s="36" t="s">
        <v>32</v>
      </c>
    </row>
    <row r="4272">
      <c r="A4272" s="36" t="s">
        <v>8917</v>
      </c>
      <c r="B4272" s="154" t="s">
        <v>8918</v>
      </c>
      <c r="C4272" s="36" t="s">
        <v>1653</v>
      </c>
      <c r="D4272" s="36" t="s">
        <v>43</v>
      </c>
      <c r="E4272" s="36" t="s">
        <v>39</v>
      </c>
      <c r="F4272" s="154" t="s">
        <v>8919</v>
      </c>
      <c r="G4272" s="36" t="s">
        <v>32</v>
      </c>
      <c r="H4272" s="36" t="s">
        <v>1655</v>
      </c>
      <c r="I4272" s="36" t="s">
        <v>1656</v>
      </c>
      <c r="J4272" s="36" t="s">
        <v>1656</v>
      </c>
      <c r="K4272" s="36" t="s">
        <v>1657</v>
      </c>
      <c r="L4272" s="36" t="s">
        <v>8454</v>
      </c>
      <c r="M4272" s="36" t="s">
        <v>8454</v>
      </c>
      <c r="N4272" s="36" t="s">
        <v>32</v>
      </c>
    </row>
    <row r="4273">
      <c r="A4273" s="36" t="s">
        <v>8920</v>
      </c>
      <c r="B4273" s="154" t="s">
        <v>8918</v>
      </c>
      <c r="C4273" s="36" t="s">
        <v>1653</v>
      </c>
      <c r="D4273" s="36" t="s">
        <v>168</v>
      </c>
      <c r="E4273" s="36" t="s">
        <v>39</v>
      </c>
      <c r="F4273" s="154" t="s">
        <v>8921</v>
      </c>
      <c r="G4273" s="36" t="s">
        <v>32</v>
      </c>
      <c r="H4273" s="36" t="s">
        <v>1655</v>
      </c>
      <c r="I4273" s="36" t="s">
        <v>1656</v>
      </c>
      <c r="J4273" s="36" t="s">
        <v>1656</v>
      </c>
      <c r="K4273" s="36" t="s">
        <v>1749</v>
      </c>
      <c r="L4273" s="36" t="s">
        <v>8454</v>
      </c>
      <c r="M4273" s="36" t="s">
        <v>8454</v>
      </c>
      <c r="N4273" s="36" t="s">
        <v>32</v>
      </c>
    </row>
    <row r="4274">
      <c r="A4274" s="36" t="s">
        <v>8922</v>
      </c>
      <c r="B4274" s="154" t="s">
        <v>8918</v>
      </c>
      <c r="C4274" s="36" t="s">
        <v>1653</v>
      </c>
      <c r="D4274" s="36" t="s">
        <v>8923</v>
      </c>
      <c r="E4274" s="36" t="s">
        <v>39</v>
      </c>
      <c r="F4274" s="154" t="s">
        <v>8924</v>
      </c>
      <c r="G4274" s="36" t="s">
        <v>32</v>
      </c>
      <c r="H4274" s="36" t="s">
        <v>1655</v>
      </c>
      <c r="I4274" s="36" t="s">
        <v>1656</v>
      </c>
      <c r="J4274" s="36" t="s">
        <v>1656</v>
      </c>
      <c r="K4274" s="36" t="s">
        <v>1978</v>
      </c>
      <c r="L4274" s="36" t="s">
        <v>8454</v>
      </c>
      <c r="M4274" s="36" t="s">
        <v>8454</v>
      </c>
      <c r="N4274" s="36" t="s">
        <v>32</v>
      </c>
    </row>
    <row r="4275">
      <c r="A4275" s="36" t="s">
        <v>8925</v>
      </c>
      <c r="B4275" s="154" t="s">
        <v>8918</v>
      </c>
      <c r="C4275" s="36" t="s">
        <v>1653</v>
      </c>
      <c r="D4275" s="36" t="s">
        <v>185</v>
      </c>
      <c r="E4275" s="36" t="s">
        <v>39</v>
      </c>
      <c r="F4275" s="154" t="s">
        <v>8926</v>
      </c>
      <c r="G4275" s="36" t="s">
        <v>32</v>
      </c>
      <c r="H4275" s="36" t="s">
        <v>1655</v>
      </c>
      <c r="I4275" s="36" t="s">
        <v>1656</v>
      </c>
      <c r="J4275" s="36" t="s">
        <v>1656</v>
      </c>
      <c r="K4275" s="36" t="s">
        <v>2848</v>
      </c>
      <c r="L4275" s="36" t="s">
        <v>8454</v>
      </c>
      <c r="M4275" s="36" t="s">
        <v>8454</v>
      </c>
      <c r="N4275" s="36" t="s">
        <v>32</v>
      </c>
    </row>
    <row r="4276">
      <c r="A4276" s="36" t="s">
        <v>8927</v>
      </c>
      <c r="B4276" s="154" t="s">
        <v>8918</v>
      </c>
      <c r="C4276" s="36" t="s">
        <v>1666</v>
      </c>
      <c r="D4276" s="36" t="s">
        <v>85</v>
      </c>
      <c r="E4276" s="36" t="s">
        <v>85</v>
      </c>
      <c r="F4276" s="154" t="s">
        <v>8461</v>
      </c>
      <c r="G4276" s="36" t="s">
        <v>28</v>
      </c>
      <c r="H4276" s="36" t="s">
        <v>1655</v>
      </c>
      <c r="I4276" s="36" t="s">
        <v>1656</v>
      </c>
      <c r="J4276" s="36" t="s">
        <v>1656</v>
      </c>
      <c r="K4276" s="36" t="s">
        <v>3035</v>
      </c>
      <c r="L4276" s="36" t="s">
        <v>8363</v>
      </c>
      <c r="M4276" s="36" t="s">
        <v>8363</v>
      </c>
      <c r="N4276" s="36" t="s">
        <v>32</v>
      </c>
    </row>
    <row r="4277">
      <c r="A4277" s="36" t="s">
        <v>8928</v>
      </c>
      <c r="B4277" s="154" t="s">
        <v>8918</v>
      </c>
      <c r="C4277" s="36" t="s">
        <v>1666</v>
      </c>
      <c r="D4277" s="36" t="s">
        <v>191</v>
      </c>
      <c r="E4277" s="36" t="s">
        <v>191</v>
      </c>
      <c r="F4277" s="154" t="s">
        <v>1686</v>
      </c>
      <c r="G4277" s="36" t="s">
        <v>28</v>
      </c>
      <c r="H4277" s="36" t="s">
        <v>1655</v>
      </c>
      <c r="I4277" s="36" t="s">
        <v>1656</v>
      </c>
      <c r="J4277" s="36" t="s">
        <v>1656</v>
      </c>
      <c r="K4277" s="36" t="s">
        <v>1924</v>
      </c>
      <c r="L4277" s="36" t="s">
        <v>8363</v>
      </c>
      <c r="M4277" s="36" t="s">
        <v>8363</v>
      </c>
      <c r="N4277" s="36" t="s">
        <v>32</v>
      </c>
    </row>
    <row r="4278">
      <c r="A4278" s="36" t="s">
        <v>8929</v>
      </c>
      <c r="B4278" s="154" t="s">
        <v>8918</v>
      </c>
      <c r="C4278" s="36" t="s">
        <v>1666</v>
      </c>
      <c r="D4278" s="36" t="s">
        <v>198</v>
      </c>
      <c r="E4278" s="36" t="s">
        <v>198</v>
      </c>
      <c r="F4278" s="154" t="s">
        <v>2027</v>
      </c>
      <c r="G4278" s="36" t="s">
        <v>32</v>
      </c>
      <c r="H4278" s="36" t="s">
        <v>1655</v>
      </c>
      <c r="I4278" s="36" t="s">
        <v>1656</v>
      </c>
      <c r="J4278" s="36" t="s">
        <v>1656</v>
      </c>
      <c r="K4278" s="36" t="s">
        <v>1668</v>
      </c>
      <c r="L4278" s="36" t="s">
        <v>8363</v>
      </c>
      <c r="M4278" s="36" t="s">
        <v>8363</v>
      </c>
      <c r="N4278" s="36" t="s">
        <v>32</v>
      </c>
    </row>
    <row r="4279">
      <c r="A4279" s="36" t="s">
        <v>8930</v>
      </c>
      <c r="B4279" s="154" t="s">
        <v>8918</v>
      </c>
      <c r="C4279" s="36" t="s">
        <v>1666</v>
      </c>
      <c r="D4279" s="36" t="s">
        <v>204</v>
      </c>
      <c r="E4279" s="36" t="s">
        <v>204</v>
      </c>
      <c r="F4279" s="154" t="s">
        <v>8931</v>
      </c>
      <c r="G4279" s="36" t="s">
        <v>32</v>
      </c>
      <c r="H4279" s="36" t="s">
        <v>1655</v>
      </c>
      <c r="I4279" s="36" t="s">
        <v>1656</v>
      </c>
      <c r="J4279" s="36" t="s">
        <v>1656</v>
      </c>
      <c r="K4279" s="36" t="s">
        <v>1672</v>
      </c>
      <c r="L4279" s="36" t="s">
        <v>8363</v>
      </c>
      <c r="M4279" s="36" t="s">
        <v>8363</v>
      </c>
      <c r="N4279" s="36" t="s">
        <v>32</v>
      </c>
    </row>
    <row r="4280">
      <c r="A4280" s="36" t="s">
        <v>8932</v>
      </c>
      <c r="B4280" s="154" t="s">
        <v>8918</v>
      </c>
      <c r="C4280" s="36" t="s">
        <v>1666</v>
      </c>
      <c r="D4280" s="36" t="s">
        <v>91</v>
      </c>
      <c r="E4280" s="36" t="s">
        <v>91</v>
      </c>
      <c r="F4280" s="154" t="s">
        <v>1768</v>
      </c>
      <c r="G4280" s="36" t="s">
        <v>28</v>
      </c>
      <c r="H4280" s="36" t="s">
        <v>1655</v>
      </c>
      <c r="I4280" s="36" t="s">
        <v>1656</v>
      </c>
      <c r="J4280" s="36" t="s">
        <v>1656</v>
      </c>
      <c r="K4280" s="36" t="s">
        <v>1675</v>
      </c>
      <c r="L4280" s="36" t="s">
        <v>8363</v>
      </c>
      <c r="M4280" s="36" t="s">
        <v>8363</v>
      </c>
      <c r="N4280" s="36" t="s">
        <v>32</v>
      </c>
    </row>
    <row r="4281">
      <c r="A4281" s="36" t="s">
        <v>8933</v>
      </c>
      <c r="B4281" s="154" t="s">
        <v>8934</v>
      </c>
      <c r="C4281" s="36" t="s">
        <v>1666</v>
      </c>
      <c r="D4281" s="36" t="s">
        <v>217</v>
      </c>
      <c r="E4281" s="36" t="s">
        <v>217</v>
      </c>
      <c r="F4281" s="154" t="s">
        <v>8935</v>
      </c>
      <c r="G4281" s="36" t="s">
        <v>32</v>
      </c>
      <c r="H4281" s="36" t="s">
        <v>1655</v>
      </c>
      <c r="I4281" s="36" t="s">
        <v>1656</v>
      </c>
      <c r="J4281" s="36" t="s">
        <v>1656</v>
      </c>
      <c r="K4281" s="36" t="s">
        <v>1678</v>
      </c>
      <c r="L4281" s="36" t="s">
        <v>8363</v>
      </c>
      <c r="M4281" s="36" t="s">
        <v>8363</v>
      </c>
      <c r="N4281" s="36" t="s">
        <v>32</v>
      </c>
    </row>
    <row r="4282">
      <c r="A4282" s="36" t="s">
        <v>8936</v>
      </c>
      <c r="B4282" s="154" t="s">
        <v>8934</v>
      </c>
      <c r="C4282" s="36" t="s">
        <v>1666</v>
      </c>
      <c r="D4282" s="36" t="s">
        <v>93</v>
      </c>
      <c r="E4282" s="36" t="s">
        <v>93</v>
      </c>
      <c r="F4282" s="154" t="s">
        <v>1899</v>
      </c>
      <c r="G4282" s="36" t="s">
        <v>28</v>
      </c>
      <c r="H4282" s="36" t="s">
        <v>1655</v>
      </c>
      <c r="I4282" s="36" t="s">
        <v>1656</v>
      </c>
      <c r="J4282" s="36" t="s">
        <v>1656</v>
      </c>
      <c r="K4282" s="36" t="s">
        <v>1681</v>
      </c>
      <c r="L4282" s="36" t="s">
        <v>8363</v>
      </c>
      <c r="M4282" s="36" t="s">
        <v>8363</v>
      </c>
      <c r="N4282" s="36" t="s">
        <v>32</v>
      </c>
    </row>
    <row r="4283">
      <c r="A4283" s="36" t="s">
        <v>8937</v>
      </c>
      <c r="B4283" s="154" t="s">
        <v>8938</v>
      </c>
      <c r="C4283" s="36" t="s">
        <v>1666</v>
      </c>
      <c r="D4283" s="36" t="s">
        <v>78</v>
      </c>
      <c r="E4283" s="36" t="s">
        <v>78</v>
      </c>
      <c r="F4283" s="154" t="s">
        <v>1899</v>
      </c>
      <c r="G4283" s="36" t="s">
        <v>28</v>
      </c>
      <c r="H4283" s="36" t="s">
        <v>1655</v>
      </c>
      <c r="I4283" s="36" t="s">
        <v>1656</v>
      </c>
      <c r="J4283" s="36" t="s">
        <v>1656</v>
      </c>
      <c r="K4283" s="36" t="s">
        <v>4248</v>
      </c>
      <c r="L4283" s="36" t="s">
        <v>8363</v>
      </c>
      <c r="M4283" s="36" t="s">
        <v>8363</v>
      </c>
      <c r="N4283" s="36" t="s">
        <v>32</v>
      </c>
    </row>
    <row r="4284">
      <c r="A4284" s="36" t="s">
        <v>8939</v>
      </c>
      <c r="B4284" s="154" t="s">
        <v>8938</v>
      </c>
      <c r="C4284" s="36" t="s">
        <v>1666</v>
      </c>
      <c r="D4284" s="36" t="s">
        <v>90</v>
      </c>
      <c r="E4284" s="36" t="s">
        <v>90</v>
      </c>
      <c r="F4284" s="154" t="s">
        <v>8940</v>
      </c>
      <c r="G4284" s="36" t="s">
        <v>28</v>
      </c>
      <c r="H4284" s="36" t="s">
        <v>1655</v>
      </c>
      <c r="I4284" s="36" t="s">
        <v>1656</v>
      </c>
      <c r="J4284" s="36" t="s">
        <v>1656</v>
      </c>
      <c r="K4284" s="36" t="s">
        <v>1684</v>
      </c>
      <c r="L4284" s="36" t="s">
        <v>8363</v>
      </c>
      <c r="M4284" s="36" t="s">
        <v>8363</v>
      </c>
      <c r="N4284" s="36" t="s">
        <v>34</v>
      </c>
    </row>
    <row r="4285">
      <c r="A4285" s="36" t="s">
        <v>8941</v>
      </c>
      <c r="B4285" s="154" t="s">
        <v>8942</v>
      </c>
      <c r="C4285" s="36" t="s">
        <v>1666</v>
      </c>
      <c r="D4285" s="36" t="s">
        <v>63</v>
      </c>
      <c r="E4285" s="36" t="s">
        <v>63</v>
      </c>
      <c r="F4285" s="154" t="s">
        <v>8943</v>
      </c>
      <c r="G4285" s="36" t="s">
        <v>32</v>
      </c>
      <c r="H4285" s="36" t="s">
        <v>1655</v>
      </c>
      <c r="I4285" s="36" t="s">
        <v>1656</v>
      </c>
      <c r="J4285" s="36" t="s">
        <v>1656</v>
      </c>
      <c r="K4285" s="36" t="s">
        <v>4196</v>
      </c>
      <c r="L4285" s="36" t="s">
        <v>8363</v>
      </c>
      <c r="M4285" s="36" t="s">
        <v>8363</v>
      </c>
      <c r="N4285" s="36" t="s">
        <v>34</v>
      </c>
    </row>
    <row r="4286">
      <c r="A4286" s="36" t="s">
        <v>8944</v>
      </c>
      <c r="B4286" s="154" t="s">
        <v>8945</v>
      </c>
      <c r="C4286" s="36" t="s">
        <v>1666</v>
      </c>
      <c r="D4286" s="36" t="s">
        <v>64</v>
      </c>
      <c r="E4286" s="36" t="s">
        <v>64</v>
      </c>
      <c r="F4286" s="154" t="s">
        <v>8599</v>
      </c>
      <c r="G4286" s="36" t="s">
        <v>28</v>
      </c>
      <c r="H4286" s="36" t="s">
        <v>1655</v>
      </c>
      <c r="I4286" s="36" t="s">
        <v>1656</v>
      </c>
      <c r="J4286" s="36" t="s">
        <v>1656</v>
      </c>
      <c r="K4286" s="36" t="s">
        <v>1708</v>
      </c>
      <c r="L4286" s="36" t="s">
        <v>8363</v>
      </c>
      <c r="M4286" s="36" t="s">
        <v>8363</v>
      </c>
      <c r="N4286" s="36" t="s">
        <v>32</v>
      </c>
    </row>
    <row r="4287">
      <c r="A4287" s="36" t="s">
        <v>8946</v>
      </c>
      <c r="B4287" s="154" t="s">
        <v>8947</v>
      </c>
      <c r="C4287" s="36" t="s">
        <v>1666</v>
      </c>
      <c r="D4287" s="36" t="s">
        <v>90</v>
      </c>
      <c r="E4287" s="36" t="s">
        <v>90</v>
      </c>
      <c r="F4287" s="154" t="s">
        <v>1868</v>
      </c>
      <c r="G4287" s="36" t="s">
        <v>28</v>
      </c>
      <c r="H4287" s="36" t="s">
        <v>1655</v>
      </c>
      <c r="I4287" s="36" t="s">
        <v>1656</v>
      </c>
      <c r="J4287" s="36" t="s">
        <v>1656</v>
      </c>
      <c r="K4287" s="36" t="s">
        <v>1691</v>
      </c>
      <c r="L4287" s="36" t="s">
        <v>8363</v>
      </c>
      <c r="M4287" s="36" t="s">
        <v>8363</v>
      </c>
      <c r="N4287" s="36" t="s">
        <v>34</v>
      </c>
    </row>
    <row r="4288">
      <c r="A4288" s="36" t="s">
        <v>8948</v>
      </c>
      <c r="B4288" s="154" t="s">
        <v>8949</v>
      </c>
      <c r="C4288" s="36" t="s">
        <v>1666</v>
      </c>
      <c r="D4288" s="36" t="s">
        <v>67</v>
      </c>
      <c r="E4288" s="36" t="s">
        <v>67</v>
      </c>
      <c r="F4288" s="154" t="s">
        <v>8849</v>
      </c>
      <c r="G4288" s="36" t="s">
        <v>28</v>
      </c>
      <c r="H4288" s="36" t="s">
        <v>1655</v>
      </c>
      <c r="I4288" s="36" t="s">
        <v>1656</v>
      </c>
      <c r="J4288" s="36" t="s">
        <v>1656</v>
      </c>
      <c r="K4288" s="36" t="s">
        <v>1721</v>
      </c>
      <c r="L4288" s="36" t="s">
        <v>8363</v>
      </c>
      <c r="M4288" s="36" t="s">
        <v>8363</v>
      </c>
      <c r="N4288" s="36" t="s">
        <v>32</v>
      </c>
    </row>
    <row r="4289">
      <c r="A4289" s="36" t="s">
        <v>8950</v>
      </c>
      <c r="B4289" s="154" t="s">
        <v>8949</v>
      </c>
      <c r="C4289" s="36" t="s">
        <v>1666</v>
      </c>
      <c r="D4289" s="36" t="s">
        <v>210</v>
      </c>
      <c r="E4289" s="36" t="s">
        <v>210</v>
      </c>
      <c r="F4289" s="154" t="s">
        <v>3064</v>
      </c>
      <c r="G4289" s="36" t="s">
        <v>28</v>
      </c>
      <c r="H4289" s="36" t="s">
        <v>1655</v>
      </c>
      <c r="I4289" s="36" t="s">
        <v>1656</v>
      </c>
      <c r="J4289" s="36" t="s">
        <v>1656</v>
      </c>
      <c r="K4289" s="36" t="s">
        <v>1695</v>
      </c>
      <c r="L4289" s="36" t="s">
        <v>8363</v>
      </c>
      <c r="M4289" s="36" t="s">
        <v>8363</v>
      </c>
      <c r="N4289" s="36" t="s">
        <v>32</v>
      </c>
    </row>
    <row r="4290">
      <c r="A4290" s="36" t="s">
        <v>8951</v>
      </c>
      <c r="B4290" s="154" t="s">
        <v>8952</v>
      </c>
      <c r="C4290" s="36" t="s">
        <v>1653</v>
      </c>
      <c r="D4290" s="36" t="s">
        <v>55</v>
      </c>
      <c r="E4290" s="36" t="s">
        <v>39</v>
      </c>
      <c r="F4290" s="154" t="s">
        <v>8953</v>
      </c>
      <c r="G4290" s="36" t="s">
        <v>32</v>
      </c>
      <c r="H4290" s="36" t="s">
        <v>1655</v>
      </c>
      <c r="I4290" s="36" t="s">
        <v>1656</v>
      </c>
      <c r="J4290" s="36" t="s">
        <v>1656</v>
      </c>
      <c r="K4290" s="36" t="s">
        <v>1989</v>
      </c>
      <c r="L4290" s="36" t="s">
        <v>8454</v>
      </c>
      <c r="M4290" s="36" t="s">
        <v>8454</v>
      </c>
      <c r="N4290" s="36" t="s">
        <v>32</v>
      </c>
    </row>
    <row r="4291">
      <c r="A4291" s="36" t="s">
        <v>8954</v>
      </c>
      <c r="B4291" s="154" t="s">
        <v>8952</v>
      </c>
      <c r="C4291" s="36" t="s">
        <v>1666</v>
      </c>
      <c r="D4291" s="36" t="s">
        <v>71</v>
      </c>
      <c r="E4291" s="36" t="s">
        <v>71</v>
      </c>
      <c r="F4291" s="154" t="s">
        <v>8091</v>
      </c>
      <c r="G4291" s="36" t="s">
        <v>32</v>
      </c>
      <c r="H4291" s="36" t="s">
        <v>1655</v>
      </c>
      <c r="I4291" s="36" t="s">
        <v>1656</v>
      </c>
      <c r="J4291" s="36" t="s">
        <v>1656</v>
      </c>
      <c r="K4291" s="36" t="s">
        <v>1752</v>
      </c>
      <c r="L4291" s="36" t="s">
        <v>8363</v>
      </c>
      <c r="M4291" s="36" t="s">
        <v>8363</v>
      </c>
      <c r="N4291" s="36" t="s">
        <v>32</v>
      </c>
    </row>
    <row r="4292">
      <c r="A4292" s="36" t="s">
        <v>8955</v>
      </c>
      <c r="B4292" s="154" t="s">
        <v>8952</v>
      </c>
      <c r="C4292" s="36" t="s">
        <v>1666</v>
      </c>
      <c r="D4292" s="36" t="s">
        <v>73</v>
      </c>
      <c r="E4292" s="36" t="s">
        <v>73</v>
      </c>
      <c r="F4292" s="154" t="s">
        <v>8093</v>
      </c>
      <c r="G4292" s="36" t="s">
        <v>28</v>
      </c>
      <c r="H4292" s="36" t="s">
        <v>1655</v>
      </c>
      <c r="I4292" s="36" t="s">
        <v>1656</v>
      </c>
      <c r="J4292" s="36" t="s">
        <v>1656</v>
      </c>
      <c r="K4292" s="36" t="s">
        <v>1755</v>
      </c>
      <c r="L4292" s="36" t="s">
        <v>8363</v>
      </c>
      <c r="M4292" s="36" t="s">
        <v>8363</v>
      </c>
      <c r="N4292" s="36" t="s">
        <v>32</v>
      </c>
    </row>
    <row r="4293">
      <c r="A4293" s="36" t="s">
        <v>8956</v>
      </c>
      <c r="B4293" s="154" t="s">
        <v>8952</v>
      </c>
      <c r="C4293" s="36" t="s">
        <v>1666</v>
      </c>
      <c r="D4293" s="36" t="s">
        <v>74</v>
      </c>
      <c r="E4293" s="36" t="s">
        <v>74</v>
      </c>
      <c r="F4293" s="154" t="s">
        <v>8095</v>
      </c>
      <c r="G4293" s="36" t="s">
        <v>32</v>
      </c>
      <c r="H4293" s="36" t="s">
        <v>1655</v>
      </c>
      <c r="I4293" s="36" t="s">
        <v>1656</v>
      </c>
      <c r="J4293" s="36" t="s">
        <v>1656</v>
      </c>
      <c r="K4293" s="36" t="s">
        <v>1757</v>
      </c>
      <c r="L4293" s="36" t="s">
        <v>8363</v>
      </c>
      <c r="M4293" s="36" t="s">
        <v>8363</v>
      </c>
      <c r="N4293" s="36" t="s">
        <v>32</v>
      </c>
    </row>
    <row r="4294">
      <c r="A4294" s="36" t="s">
        <v>8957</v>
      </c>
      <c r="B4294" s="154" t="s">
        <v>8952</v>
      </c>
      <c r="C4294" s="36" t="s">
        <v>1666</v>
      </c>
      <c r="D4294" s="36" t="s">
        <v>75</v>
      </c>
      <c r="E4294" s="36" t="s">
        <v>75</v>
      </c>
      <c r="F4294" s="154" t="s">
        <v>8097</v>
      </c>
      <c r="G4294" s="36" t="s">
        <v>28</v>
      </c>
      <c r="H4294" s="36" t="s">
        <v>1655</v>
      </c>
      <c r="I4294" s="36" t="s">
        <v>1656</v>
      </c>
      <c r="J4294" s="36" t="s">
        <v>1656</v>
      </c>
      <c r="K4294" s="36" t="s">
        <v>1760</v>
      </c>
      <c r="L4294" s="36" t="s">
        <v>8363</v>
      </c>
      <c r="M4294" s="36" t="s">
        <v>8363</v>
      </c>
      <c r="N4294" s="36" t="s">
        <v>32</v>
      </c>
    </row>
    <row r="4295">
      <c r="A4295" s="36" t="s">
        <v>8958</v>
      </c>
      <c r="B4295" s="154" t="s">
        <v>8952</v>
      </c>
      <c r="C4295" s="36" t="s">
        <v>1666</v>
      </c>
      <c r="D4295" s="36" t="s">
        <v>76</v>
      </c>
      <c r="E4295" s="36" t="s">
        <v>76</v>
      </c>
      <c r="F4295" s="154" t="s">
        <v>8959</v>
      </c>
      <c r="G4295" s="36" t="s">
        <v>28</v>
      </c>
      <c r="H4295" s="36" t="s">
        <v>1655</v>
      </c>
      <c r="I4295" s="36" t="s">
        <v>1656</v>
      </c>
      <c r="J4295" s="36" t="s">
        <v>1656</v>
      </c>
      <c r="K4295" s="36" t="s">
        <v>1763</v>
      </c>
      <c r="L4295" s="36" t="s">
        <v>8363</v>
      </c>
      <c r="M4295" s="36" t="s">
        <v>8363</v>
      </c>
      <c r="N4295" s="36" t="s">
        <v>32</v>
      </c>
    </row>
    <row r="4296">
      <c r="A4296" s="36" t="s">
        <v>8960</v>
      </c>
      <c r="B4296" s="154" t="s">
        <v>8952</v>
      </c>
      <c r="C4296" s="36" t="s">
        <v>1666</v>
      </c>
      <c r="D4296" s="36" t="s">
        <v>249</v>
      </c>
      <c r="E4296" s="36" t="s">
        <v>249</v>
      </c>
      <c r="F4296" s="154" t="s">
        <v>1810</v>
      </c>
      <c r="G4296" s="36" t="s">
        <v>32</v>
      </c>
      <c r="H4296" s="36" t="s">
        <v>1655</v>
      </c>
      <c r="I4296" s="36" t="s">
        <v>1656</v>
      </c>
      <c r="J4296" s="36" t="s">
        <v>1656</v>
      </c>
      <c r="K4296" s="36" t="s">
        <v>1698</v>
      </c>
      <c r="L4296" s="36" t="s">
        <v>8363</v>
      </c>
      <c r="M4296" s="36" t="s">
        <v>8363</v>
      </c>
      <c r="N4296" s="36" t="s">
        <v>32</v>
      </c>
    </row>
    <row r="4297">
      <c r="A4297" s="36" t="s">
        <v>8961</v>
      </c>
      <c r="B4297" s="154" t="s">
        <v>8952</v>
      </c>
      <c r="C4297" s="36" t="s">
        <v>1666</v>
      </c>
      <c r="D4297" s="36" t="s">
        <v>115</v>
      </c>
      <c r="E4297" s="36" t="s">
        <v>115</v>
      </c>
      <c r="F4297" s="154" t="s">
        <v>1683</v>
      </c>
      <c r="G4297" s="36" t="s">
        <v>32</v>
      </c>
      <c r="H4297" s="36" t="s">
        <v>1655</v>
      </c>
      <c r="I4297" s="36" t="s">
        <v>1656</v>
      </c>
      <c r="J4297" s="36" t="s">
        <v>1656</v>
      </c>
      <c r="K4297" s="36" t="s">
        <v>1701</v>
      </c>
      <c r="L4297" s="36" t="s">
        <v>8363</v>
      </c>
      <c r="M4297" s="36" t="s">
        <v>8363</v>
      </c>
      <c r="N4297" s="36" t="s">
        <v>32</v>
      </c>
    </row>
    <row r="4298">
      <c r="A4298" s="36" t="s">
        <v>8962</v>
      </c>
      <c r="B4298" s="154" t="s">
        <v>8952</v>
      </c>
      <c r="C4298" s="36" t="s">
        <v>1666</v>
      </c>
      <c r="D4298" s="36" t="s">
        <v>114</v>
      </c>
      <c r="E4298" s="36" t="s">
        <v>114</v>
      </c>
      <c r="F4298" s="154" t="s">
        <v>1683</v>
      </c>
      <c r="G4298" s="36" t="s">
        <v>32</v>
      </c>
      <c r="H4298" s="36" t="s">
        <v>1655</v>
      </c>
      <c r="I4298" s="36" t="s">
        <v>1656</v>
      </c>
      <c r="J4298" s="36" t="s">
        <v>1656</v>
      </c>
      <c r="K4298" s="36" t="s">
        <v>1704</v>
      </c>
      <c r="L4298" s="36" t="s">
        <v>8363</v>
      </c>
      <c r="M4298" s="36" t="s">
        <v>8363</v>
      </c>
      <c r="N4298" s="36" t="s">
        <v>32</v>
      </c>
    </row>
    <row r="4299">
      <c r="A4299" s="36" t="s">
        <v>8963</v>
      </c>
      <c r="B4299" s="154" t="s">
        <v>8952</v>
      </c>
      <c r="C4299" s="36" t="s">
        <v>1666</v>
      </c>
      <c r="D4299" s="36" t="s">
        <v>220</v>
      </c>
      <c r="E4299" s="36" t="s">
        <v>220</v>
      </c>
      <c r="F4299" s="154" t="s">
        <v>8964</v>
      </c>
      <c r="G4299" s="36" t="s">
        <v>28</v>
      </c>
      <c r="H4299" s="36" t="s">
        <v>1655</v>
      </c>
      <c r="I4299" s="36" t="s">
        <v>1656</v>
      </c>
      <c r="J4299" s="36" t="s">
        <v>1656</v>
      </c>
      <c r="K4299" s="36" t="s">
        <v>1711</v>
      </c>
      <c r="L4299" s="36" t="s">
        <v>8363</v>
      </c>
      <c r="M4299" s="36" t="s">
        <v>8363</v>
      </c>
      <c r="N4299" s="36" t="s">
        <v>32</v>
      </c>
    </row>
    <row r="4300">
      <c r="A4300" s="36" t="s">
        <v>8965</v>
      </c>
      <c r="B4300" s="154" t="s">
        <v>8952</v>
      </c>
      <c r="C4300" s="36" t="s">
        <v>1666</v>
      </c>
      <c r="D4300" s="36" t="s">
        <v>226</v>
      </c>
      <c r="E4300" s="36" t="s">
        <v>226</v>
      </c>
      <c r="F4300" s="154" t="s">
        <v>8966</v>
      </c>
      <c r="G4300" s="36" t="s">
        <v>32</v>
      </c>
      <c r="H4300" s="36" t="s">
        <v>1655</v>
      </c>
      <c r="I4300" s="36" t="s">
        <v>1656</v>
      </c>
      <c r="J4300" s="36" t="s">
        <v>1656</v>
      </c>
      <c r="K4300" s="36" t="s">
        <v>1715</v>
      </c>
      <c r="L4300" s="36" t="s">
        <v>8363</v>
      </c>
      <c r="M4300" s="36" t="s">
        <v>8363</v>
      </c>
      <c r="N4300" s="36" t="s">
        <v>32</v>
      </c>
    </row>
    <row r="4301">
      <c r="A4301" s="36" t="s">
        <v>8967</v>
      </c>
      <c r="B4301" s="154" t="s">
        <v>8968</v>
      </c>
      <c r="C4301" s="36" t="s">
        <v>1666</v>
      </c>
      <c r="D4301" s="36" t="s">
        <v>90</v>
      </c>
      <c r="E4301" s="36" t="s">
        <v>90</v>
      </c>
      <c r="F4301" s="154" t="s">
        <v>2163</v>
      </c>
      <c r="G4301" s="36" t="s">
        <v>28</v>
      </c>
      <c r="H4301" s="36" t="s">
        <v>1655</v>
      </c>
      <c r="I4301" s="36" t="s">
        <v>1656</v>
      </c>
      <c r="J4301" s="36" t="s">
        <v>1656</v>
      </c>
      <c r="K4301" s="36" t="s">
        <v>1717</v>
      </c>
      <c r="L4301" s="36" t="s">
        <v>8363</v>
      </c>
      <c r="M4301" s="36" t="s">
        <v>8363</v>
      </c>
      <c r="N4301" s="36" t="s">
        <v>34</v>
      </c>
    </row>
    <row r="4302">
      <c r="A4302" s="36" t="s">
        <v>8969</v>
      </c>
      <c r="B4302" s="154" t="s">
        <v>8970</v>
      </c>
      <c r="C4302" s="36" t="s">
        <v>1666</v>
      </c>
      <c r="D4302" s="36" t="s">
        <v>277</v>
      </c>
      <c r="E4302" s="36" t="s">
        <v>277</v>
      </c>
      <c r="F4302" s="154" t="s">
        <v>2039</v>
      </c>
      <c r="G4302" s="36" t="s">
        <v>32</v>
      </c>
      <c r="H4302" s="36" t="s">
        <v>1655</v>
      </c>
      <c r="I4302" s="36" t="s">
        <v>1656</v>
      </c>
      <c r="J4302" s="36" t="s">
        <v>1656</v>
      </c>
      <c r="K4302" s="36" t="s">
        <v>1724</v>
      </c>
      <c r="L4302" s="36" t="s">
        <v>8363</v>
      </c>
      <c r="M4302" s="36" t="s">
        <v>8363</v>
      </c>
      <c r="N4302" s="36" t="s">
        <v>32</v>
      </c>
    </row>
    <row r="4303">
      <c r="A4303" s="36" t="s">
        <v>8971</v>
      </c>
      <c r="B4303" s="154" t="s">
        <v>8972</v>
      </c>
      <c r="C4303" s="36" t="s">
        <v>1666</v>
      </c>
      <c r="D4303" s="36" t="s">
        <v>191</v>
      </c>
      <c r="E4303" s="36" t="s">
        <v>191</v>
      </c>
      <c r="F4303" s="154" t="s">
        <v>1816</v>
      </c>
      <c r="G4303" s="36" t="s">
        <v>32</v>
      </c>
      <c r="H4303" s="36" t="s">
        <v>1655</v>
      </c>
      <c r="I4303" s="36" t="s">
        <v>1656</v>
      </c>
      <c r="J4303" s="36" t="s">
        <v>1656</v>
      </c>
      <c r="K4303" s="36" t="s">
        <v>1727</v>
      </c>
      <c r="L4303" s="36" t="s">
        <v>8363</v>
      </c>
      <c r="M4303" s="36" t="s">
        <v>8363</v>
      </c>
      <c r="N4303" s="36" t="s">
        <v>32</v>
      </c>
    </row>
    <row r="4304">
      <c r="A4304" s="36" t="s">
        <v>8973</v>
      </c>
      <c r="B4304" s="154" t="s">
        <v>8972</v>
      </c>
      <c r="C4304" s="36" t="s">
        <v>1666</v>
      </c>
      <c r="D4304" s="36" t="s">
        <v>235</v>
      </c>
      <c r="E4304" s="36" t="s">
        <v>235</v>
      </c>
      <c r="F4304" s="154" t="s">
        <v>2220</v>
      </c>
      <c r="G4304" s="36" t="s">
        <v>28</v>
      </c>
      <c r="H4304" s="36" t="s">
        <v>1655</v>
      </c>
      <c r="I4304" s="36" t="s">
        <v>1656</v>
      </c>
      <c r="J4304" s="36" t="s">
        <v>1656</v>
      </c>
      <c r="K4304" s="36" t="s">
        <v>1730</v>
      </c>
      <c r="L4304" s="36" t="s">
        <v>8363</v>
      </c>
      <c r="M4304" s="36" t="s">
        <v>8363</v>
      </c>
      <c r="N4304" s="36" t="s">
        <v>32</v>
      </c>
    </row>
    <row r="4305">
      <c r="A4305" s="36" t="s">
        <v>8974</v>
      </c>
      <c r="B4305" s="154" t="s">
        <v>8975</v>
      </c>
      <c r="C4305" s="36" t="s">
        <v>1666</v>
      </c>
      <c r="D4305" s="36" t="s">
        <v>207</v>
      </c>
      <c r="E4305" s="36" t="s">
        <v>207</v>
      </c>
      <c r="F4305" s="154" t="s">
        <v>2555</v>
      </c>
      <c r="G4305" s="36" t="s">
        <v>28</v>
      </c>
      <c r="H4305" s="36" t="s">
        <v>1655</v>
      </c>
      <c r="I4305" s="36" t="s">
        <v>1656</v>
      </c>
      <c r="J4305" s="36" t="s">
        <v>1656</v>
      </c>
      <c r="K4305" s="36" t="s">
        <v>1732</v>
      </c>
      <c r="L4305" s="36" t="s">
        <v>8363</v>
      </c>
      <c r="M4305" s="36" t="s">
        <v>8363</v>
      </c>
      <c r="N4305" s="36" t="s">
        <v>32</v>
      </c>
    </row>
    <row r="4306">
      <c r="A4306" s="36" t="s">
        <v>8976</v>
      </c>
      <c r="B4306" s="154" t="s">
        <v>8977</v>
      </c>
      <c r="C4306" s="36" t="s">
        <v>1666</v>
      </c>
      <c r="D4306" s="36" t="s">
        <v>100</v>
      </c>
      <c r="E4306" s="36" t="s">
        <v>100</v>
      </c>
      <c r="F4306" s="154" t="s">
        <v>1810</v>
      </c>
      <c r="G4306" s="36" t="s">
        <v>32</v>
      </c>
      <c r="H4306" s="36" t="s">
        <v>1655</v>
      </c>
      <c r="I4306" s="36" t="s">
        <v>1656</v>
      </c>
      <c r="J4306" s="36" t="s">
        <v>1656</v>
      </c>
      <c r="K4306" s="36" t="s">
        <v>1736</v>
      </c>
      <c r="L4306" s="36" t="s">
        <v>8363</v>
      </c>
      <c r="M4306" s="36" t="s">
        <v>8363</v>
      </c>
      <c r="N4306" s="36" t="s">
        <v>32</v>
      </c>
    </row>
    <row r="4307">
      <c r="A4307" s="36" t="s">
        <v>8978</v>
      </c>
      <c r="B4307" s="154" t="s">
        <v>8979</v>
      </c>
      <c r="C4307" s="36" t="s">
        <v>1666</v>
      </c>
      <c r="D4307" s="36" t="s">
        <v>90</v>
      </c>
      <c r="E4307" s="36" t="s">
        <v>90</v>
      </c>
      <c r="F4307" s="154" t="s">
        <v>1859</v>
      </c>
      <c r="G4307" s="36" t="s">
        <v>28</v>
      </c>
      <c r="H4307" s="36" t="s">
        <v>1655</v>
      </c>
      <c r="I4307" s="36" t="s">
        <v>1656</v>
      </c>
      <c r="J4307" s="36" t="s">
        <v>1656</v>
      </c>
      <c r="K4307" s="36" t="s">
        <v>1739</v>
      </c>
      <c r="L4307" s="36" t="s">
        <v>8363</v>
      </c>
      <c r="M4307" s="36" t="s">
        <v>8363</v>
      </c>
      <c r="N4307" s="36" t="s">
        <v>32</v>
      </c>
    </row>
    <row r="4308">
      <c r="A4308" s="36" t="s">
        <v>8980</v>
      </c>
      <c r="B4308" s="154" t="s">
        <v>8981</v>
      </c>
      <c r="C4308" s="36" t="s">
        <v>1666</v>
      </c>
      <c r="D4308" s="36" t="s">
        <v>92</v>
      </c>
      <c r="E4308" s="36" t="s">
        <v>92</v>
      </c>
      <c r="F4308" s="154" t="s">
        <v>1959</v>
      </c>
      <c r="G4308" s="36" t="s">
        <v>32</v>
      </c>
      <c r="H4308" s="36" t="s">
        <v>1655</v>
      </c>
      <c r="I4308" s="36" t="s">
        <v>1656</v>
      </c>
      <c r="J4308" s="36" t="s">
        <v>1656</v>
      </c>
      <c r="K4308" s="36" t="s">
        <v>1742</v>
      </c>
      <c r="L4308" s="36" t="s">
        <v>8363</v>
      </c>
      <c r="M4308" s="36" t="s">
        <v>8363</v>
      </c>
      <c r="N4308" s="36" t="s">
        <v>32</v>
      </c>
    </row>
    <row r="4309">
      <c r="A4309" s="36" t="s">
        <v>8982</v>
      </c>
      <c r="B4309" s="154" t="s">
        <v>8983</v>
      </c>
      <c r="C4309" s="36" t="s">
        <v>1666</v>
      </c>
      <c r="D4309" s="36" t="s">
        <v>288</v>
      </c>
      <c r="E4309" s="36" t="s">
        <v>288</v>
      </c>
      <c r="F4309" s="154" t="s">
        <v>1768</v>
      </c>
      <c r="G4309" s="36" t="s">
        <v>32</v>
      </c>
      <c r="H4309" s="36" t="s">
        <v>1655</v>
      </c>
      <c r="I4309" s="36" t="s">
        <v>1656</v>
      </c>
      <c r="J4309" s="36" t="s">
        <v>1656</v>
      </c>
      <c r="K4309" s="36" t="s">
        <v>1745</v>
      </c>
      <c r="L4309" s="36" t="s">
        <v>8363</v>
      </c>
      <c r="M4309" s="36" t="s">
        <v>8363</v>
      </c>
      <c r="N4309" s="36" t="s">
        <v>32</v>
      </c>
    </row>
    <row r="4310">
      <c r="A4310" s="36" t="s">
        <v>8984</v>
      </c>
      <c r="B4310" s="154" t="s">
        <v>8983</v>
      </c>
      <c r="C4310" s="36" t="s">
        <v>1666</v>
      </c>
      <c r="D4310" s="36" t="s">
        <v>277</v>
      </c>
      <c r="E4310" s="36" t="s">
        <v>277</v>
      </c>
      <c r="F4310" s="154" t="s">
        <v>2039</v>
      </c>
      <c r="G4310" s="36" t="s">
        <v>34</v>
      </c>
      <c r="H4310" s="36" t="s">
        <v>1655</v>
      </c>
      <c r="I4310" s="36" t="s">
        <v>1656</v>
      </c>
      <c r="J4310" s="36" t="s">
        <v>1656</v>
      </c>
      <c r="K4310" s="36" t="s">
        <v>1773</v>
      </c>
      <c r="L4310" s="36" t="s">
        <v>8363</v>
      </c>
      <c r="M4310" s="36" t="s">
        <v>8363</v>
      </c>
      <c r="N4310" s="36" t="s">
        <v>32</v>
      </c>
    </row>
    <row r="4311">
      <c r="A4311" s="36" t="s">
        <v>8985</v>
      </c>
      <c r="B4311" s="154" t="s">
        <v>8983</v>
      </c>
      <c r="C4311" s="36" t="s">
        <v>1666</v>
      </c>
      <c r="D4311" s="36" t="s">
        <v>210</v>
      </c>
      <c r="E4311" s="36" t="s">
        <v>210</v>
      </c>
      <c r="F4311" s="154" t="s">
        <v>1694</v>
      </c>
      <c r="G4311" s="36" t="s">
        <v>28</v>
      </c>
      <c r="H4311" s="36" t="s">
        <v>1655</v>
      </c>
      <c r="I4311" s="36" t="s">
        <v>1656</v>
      </c>
      <c r="J4311" s="36" t="s">
        <v>1656</v>
      </c>
      <c r="K4311" s="36" t="s">
        <v>1776</v>
      </c>
      <c r="L4311" s="36" t="s">
        <v>8363</v>
      </c>
      <c r="M4311" s="36" t="s">
        <v>8363</v>
      </c>
      <c r="N4311" s="36" t="s">
        <v>32</v>
      </c>
    </row>
    <row r="4312">
      <c r="A4312" s="36" t="s">
        <v>8986</v>
      </c>
      <c r="B4312" s="154" t="s">
        <v>8987</v>
      </c>
      <c r="C4312" s="36" t="s">
        <v>1666</v>
      </c>
      <c r="D4312" s="36" t="s">
        <v>79</v>
      </c>
      <c r="E4312" s="36" t="s">
        <v>79</v>
      </c>
      <c r="F4312" s="154" t="s">
        <v>8988</v>
      </c>
      <c r="G4312" s="36" t="s">
        <v>32</v>
      </c>
      <c r="H4312" s="36" t="s">
        <v>1655</v>
      </c>
      <c r="I4312" s="36" t="s">
        <v>1656</v>
      </c>
      <c r="J4312" s="36" t="s">
        <v>1656</v>
      </c>
      <c r="K4312" s="36" t="s">
        <v>1769</v>
      </c>
      <c r="L4312" s="36" t="s">
        <v>8363</v>
      </c>
      <c r="M4312" s="36" t="s">
        <v>8363</v>
      </c>
      <c r="N4312" s="36" t="s">
        <v>32</v>
      </c>
    </row>
    <row r="4313">
      <c r="A4313" s="36" t="s">
        <v>8989</v>
      </c>
      <c r="B4313" s="154" t="s">
        <v>8990</v>
      </c>
      <c r="C4313" s="36" t="s">
        <v>1666</v>
      </c>
      <c r="D4313" s="36" t="s">
        <v>322</v>
      </c>
      <c r="E4313" s="36" t="s">
        <v>322</v>
      </c>
      <c r="F4313" s="154" t="s">
        <v>7696</v>
      </c>
      <c r="G4313" s="36" t="s">
        <v>28</v>
      </c>
      <c r="H4313" s="36" t="s">
        <v>1655</v>
      </c>
      <c r="I4313" s="36" t="s">
        <v>1656</v>
      </c>
      <c r="J4313" s="36" t="s">
        <v>1656</v>
      </c>
      <c r="K4313" s="36" t="s">
        <v>1779</v>
      </c>
      <c r="L4313" s="36" t="s">
        <v>8363</v>
      </c>
      <c r="M4313" s="36" t="s">
        <v>8363</v>
      </c>
      <c r="N4313" s="36" t="s">
        <v>32</v>
      </c>
    </row>
    <row r="4314">
      <c r="A4314" s="36" t="s">
        <v>8991</v>
      </c>
      <c r="B4314" s="154" t="s">
        <v>8992</v>
      </c>
      <c r="C4314" s="36" t="s">
        <v>1666</v>
      </c>
      <c r="D4314" s="36" t="s">
        <v>92</v>
      </c>
      <c r="E4314" s="36" t="s">
        <v>92</v>
      </c>
      <c r="F4314" s="154" t="s">
        <v>8993</v>
      </c>
      <c r="G4314" s="36" t="s">
        <v>32</v>
      </c>
      <c r="H4314" s="36" t="s">
        <v>1655</v>
      </c>
      <c r="I4314" s="36" t="s">
        <v>1656</v>
      </c>
      <c r="J4314" s="36" t="s">
        <v>1656</v>
      </c>
      <c r="K4314" s="36" t="s">
        <v>1782</v>
      </c>
      <c r="L4314" s="36" t="s">
        <v>8363</v>
      </c>
      <c r="M4314" s="36" t="s">
        <v>8363</v>
      </c>
      <c r="N4314" s="36" t="s">
        <v>32</v>
      </c>
    </row>
    <row r="4315">
      <c r="A4315" s="36" t="s">
        <v>8994</v>
      </c>
      <c r="B4315" s="154" t="s">
        <v>8992</v>
      </c>
      <c r="C4315" s="36" t="s">
        <v>1666</v>
      </c>
      <c r="D4315" s="36" t="s">
        <v>90</v>
      </c>
      <c r="E4315" s="36" t="s">
        <v>90</v>
      </c>
      <c r="F4315" s="154" t="s">
        <v>8995</v>
      </c>
      <c r="G4315" s="36" t="s">
        <v>28</v>
      </c>
      <c r="H4315" s="36" t="s">
        <v>1655</v>
      </c>
      <c r="I4315" s="36" t="s">
        <v>1656</v>
      </c>
      <c r="J4315" s="36" t="s">
        <v>1656</v>
      </c>
      <c r="K4315" s="36" t="s">
        <v>1784</v>
      </c>
      <c r="L4315" s="36" t="s">
        <v>8363</v>
      </c>
      <c r="M4315" s="36" t="s">
        <v>8363</v>
      </c>
      <c r="N4315" s="36" t="s">
        <v>32</v>
      </c>
    </row>
    <row r="4316">
      <c r="A4316" s="36" t="s">
        <v>8996</v>
      </c>
      <c r="B4316" s="154" t="s">
        <v>8992</v>
      </c>
      <c r="C4316" s="36" t="s">
        <v>1666</v>
      </c>
      <c r="D4316" s="36" t="s">
        <v>313</v>
      </c>
      <c r="E4316" s="36" t="s">
        <v>313</v>
      </c>
      <c r="F4316" s="154" t="s">
        <v>1806</v>
      </c>
      <c r="G4316" s="36" t="s">
        <v>32</v>
      </c>
      <c r="H4316" s="36" t="s">
        <v>1655</v>
      </c>
      <c r="I4316" s="36" t="s">
        <v>1656</v>
      </c>
      <c r="J4316" s="36" t="s">
        <v>1656</v>
      </c>
      <c r="K4316" s="36" t="s">
        <v>1787</v>
      </c>
      <c r="L4316" s="36" t="s">
        <v>8363</v>
      </c>
      <c r="M4316" s="36" t="s">
        <v>8363</v>
      </c>
      <c r="N4316" s="36" t="s">
        <v>32</v>
      </c>
    </row>
    <row r="4317">
      <c r="A4317" s="36" t="s">
        <v>8997</v>
      </c>
      <c r="B4317" s="154" t="s">
        <v>8992</v>
      </c>
      <c r="C4317" s="36" t="s">
        <v>1666</v>
      </c>
      <c r="D4317" s="36" t="s">
        <v>88</v>
      </c>
      <c r="E4317" s="36" t="s">
        <v>88</v>
      </c>
      <c r="F4317" s="154" t="s">
        <v>1816</v>
      </c>
      <c r="G4317" s="36" t="s">
        <v>32</v>
      </c>
      <c r="H4317" s="36" t="s">
        <v>1655</v>
      </c>
      <c r="I4317" s="36" t="s">
        <v>1656</v>
      </c>
      <c r="J4317" s="36" t="s">
        <v>1656</v>
      </c>
      <c r="K4317" s="36" t="s">
        <v>1790</v>
      </c>
      <c r="L4317" s="36" t="s">
        <v>8363</v>
      </c>
      <c r="M4317" s="36" t="s">
        <v>8363</v>
      </c>
      <c r="N4317" s="36" t="s">
        <v>32</v>
      </c>
    </row>
    <row r="4318">
      <c r="A4318" s="36" t="s">
        <v>8998</v>
      </c>
      <c r="B4318" s="154" t="s">
        <v>8992</v>
      </c>
      <c r="C4318" s="36" t="s">
        <v>1666</v>
      </c>
      <c r="D4318" s="36" t="s">
        <v>130</v>
      </c>
      <c r="E4318" s="36" t="s">
        <v>130</v>
      </c>
      <c r="F4318" s="154" t="s">
        <v>1810</v>
      </c>
      <c r="G4318" s="36" t="s">
        <v>32</v>
      </c>
      <c r="H4318" s="36" t="s">
        <v>1655</v>
      </c>
      <c r="I4318" s="36" t="s">
        <v>1656</v>
      </c>
      <c r="J4318" s="36" t="s">
        <v>1656</v>
      </c>
      <c r="K4318" s="36" t="s">
        <v>1793</v>
      </c>
      <c r="L4318" s="36" t="s">
        <v>8363</v>
      </c>
      <c r="M4318" s="36" t="s">
        <v>8363</v>
      </c>
      <c r="N4318" s="36" t="s">
        <v>32</v>
      </c>
    </row>
    <row r="4319">
      <c r="A4319" s="36" t="s">
        <v>8999</v>
      </c>
      <c r="B4319" s="154" t="s">
        <v>9000</v>
      </c>
      <c r="C4319" s="36" t="s">
        <v>1666</v>
      </c>
      <c r="D4319" s="36" t="s">
        <v>344</v>
      </c>
      <c r="E4319" s="36" t="s">
        <v>344</v>
      </c>
      <c r="F4319" s="154" t="s">
        <v>1806</v>
      </c>
      <c r="G4319" s="36" t="s">
        <v>32</v>
      </c>
      <c r="H4319" s="36" t="s">
        <v>1655</v>
      </c>
      <c r="I4319" s="36" t="s">
        <v>1656</v>
      </c>
      <c r="J4319" s="36" t="s">
        <v>1656</v>
      </c>
      <c r="K4319" s="36" t="s">
        <v>1796</v>
      </c>
      <c r="L4319" s="36" t="s">
        <v>8363</v>
      </c>
      <c r="M4319" s="36" t="s">
        <v>8363</v>
      </c>
      <c r="N4319" s="36" t="s">
        <v>32</v>
      </c>
    </row>
    <row r="4320">
      <c r="A4320" s="36" t="s">
        <v>9001</v>
      </c>
      <c r="B4320" s="154" t="s">
        <v>9000</v>
      </c>
      <c r="C4320" s="36" t="s">
        <v>1666</v>
      </c>
      <c r="D4320" s="36" t="s">
        <v>90</v>
      </c>
      <c r="E4320" s="36" t="s">
        <v>90</v>
      </c>
      <c r="F4320" s="154" t="s">
        <v>1729</v>
      </c>
      <c r="G4320" s="36" t="s">
        <v>28</v>
      </c>
      <c r="H4320" s="36" t="s">
        <v>1655</v>
      </c>
      <c r="I4320" s="36" t="s">
        <v>1656</v>
      </c>
      <c r="J4320" s="36" t="s">
        <v>1656</v>
      </c>
      <c r="K4320" s="36" t="s">
        <v>1800</v>
      </c>
      <c r="L4320" s="36" t="s">
        <v>8363</v>
      </c>
      <c r="M4320" s="36" t="s">
        <v>8363</v>
      </c>
      <c r="N4320" s="36" t="s">
        <v>32</v>
      </c>
    </row>
    <row r="4321">
      <c r="A4321" s="36" t="s">
        <v>9002</v>
      </c>
      <c r="B4321" s="154" t="s">
        <v>9000</v>
      </c>
      <c r="C4321" s="36" t="s">
        <v>1666</v>
      </c>
      <c r="D4321" s="36" t="s">
        <v>210</v>
      </c>
      <c r="E4321" s="36" t="s">
        <v>210</v>
      </c>
      <c r="F4321" s="154" t="s">
        <v>1806</v>
      </c>
      <c r="G4321" s="36" t="s">
        <v>28</v>
      </c>
      <c r="H4321" s="36" t="s">
        <v>1655</v>
      </c>
      <c r="I4321" s="36" t="s">
        <v>1656</v>
      </c>
      <c r="J4321" s="36" t="s">
        <v>1656</v>
      </c>
      <c r="K4321" s="36" t="s">
        <v>1803</v>
      </c>
      <c r="L4321" s="36" t="s">
        <v>8363</v>
      </c>
      <c r="M4321" s="36" t="s">
        <v>8363</v>
      </c>
      <c r="N4321" s="36" t="s">
        <v>32</v>
      </c>
    </row>
    <row r="4322">
      <c r="A4322" s="36" t="s">
        <v>9003</v>
      </c>
      <c r="B4322" s="154" t="s">
        <v>9004</v>
      </c>
      <c r="C4322" s="36" t="s">
        <v>1666</v>
      </c>
      <c r="D4322" s="36" t="s">
        <v>81</v>
      </c>
      <c r="E4322" s="36" t="s">
        <v>81</v>
      </c>
      <c r="F4322" s="154" t="s">
        <v>8052</v>
      </c>
      <c r="G4322" s="36" t="s">
        <v>28</v>
      </c>
      <c r="H4322" s="36" t="s">
        <v>1655</v>
      </c>
      <c r="I4322" s="36" t="s">
        <v>1656</v>
      </c>
      <c r="J4322" s="36" t="s">
        <v>1656</v>
      </c>
      <c r="K4322" s="36" t="s">
        <v>1811</v>
      </c>
      <c r="L4322" s="36" t="s">
        <v>8363</v>
      </c>
      <c r="M4322" s="36" t="s">
        <v>8363</v>
      </c>
      <c r="N4322" s="36" t="s">
        <v>32</v>
      </c>
    </row>
    <row r="4323">
      <c r="A4323" s="36" t="s">
        <v>9005</v>
      </c>
      <c r="B4323" s="154" t="s">
        <v>9004</v>
      </c>
      <c r="C4323" s="36" t="s">
        <v>1666</v>
      </c>
      <c r="D4323" s="36" t="s">
        <v>83</v>
      </c>
      <c r="E4323" s="36" t="s">
        <v>83</v>
      </c>
      <c r="F4323" s="154" t="s">
        <v>8250</v>
      </c>
      <c r="G4323" s="36" t="s">
        <v>28</v>
      </c>
      <c r="H4323" s="36" t="s">
        <v>1655</v>
      </c>
      <c r="I4323" s="36" t="s">
        <v>1656</v>
      </c>
      <c r="J4323" s="36" t="s">
        <v>1656</v>
      </c>
      <c r="K4323" s="36" t="s">
        <v>1891</v>
      </c>
      <c r="L4323" s="36" t="s">
        <v>8363</v>
      </c>
      <c r="M4323" s="36" t="s">
        <v>8363</v>
      </c>
      <c r="N4323" s="36" t="s">
        <v>32</v>
      </c>
    </row>
    <row r="4324">
      <c r="A4324" s="36" t="s">
        <v>9006</v>
      </c>
      <c r="B4324" s="154" t="s">
        <v>9004</v>
      </c>
      <c r="C4324" s="36" t="s">
        <v>1666</v>
      </c>
      <c r="D4324" s="36" t="s">
        <v>84</v>
      </c>
      <c r="E4324" s="36" t="s">
        <v>84</v>
      </c>
      <c r="F4324" s="154" t="s">
        <v>9007</v>
      </c>
      <c r="G4324" s="36" t="s">
        <v>32</v>
      </c>
      <c r="H4324" s="36" t="s">
        <v>1655</v>
      </c>
      <c r="I4324" s="36" t="s">
        <v>1656</v>
      </c>
      <c r="J4324" s="36" t="s">
        <v>1656</v>
      </c>
      <c r="K4324" s="36" t="s">
        <v>1921</v>
      </c>
      <c r="L4324" s="36" t="s">
        <v>8363</v>
      </c>
      <c r="M4324" s="36" t="s">
        <v>8363</v>
      </c>
      <c r="N4324" s="36" t="s">
        <v>32</v>
      </c>
    </row>
    <row r="4325">
      <c r="A4325" s="36" t="s">
        <v>9008</v>
      </c>
      <c r="B4325" s="154" t="s">
        <v>9009</v>
      </c>
      <c r="C4325" s="36" t="s">
        <v>1666</v>
      </c>
      <c r="D4325" s="36" t="s">
        <v>207</v>
      </c>
      <c r="E4325" s="36" t="s">
        <v>207</v>
      </c>
      <c r="F4325" s="154" t="s">
        <v>2555</v>
      </c>
      <c r="G4325" s="36" t="s">
        <v>28</v>
      </c>
      <c r="H4325" s="36" t="s">
        <v>1655</v>
      </c>
      <c r="I4325" s="36" t="s">
        <v>1656</v>
      </c>
      <c r="J4325" s="36" t="s">
        <v>1656</v>
      </c>
      <c r="K4325" s="36" t="s">
        <v>1807</v>
      </c>
      <c r="L4325" s="36" t="s">
        <v>8363</v>
      </c>
      <c r="M4325" s="36" t="s">
        <v>8363</v>
      </c>
      <c r="N4325" s="36" t="s">
        <v>32</v>
      </c>
    </row>
    <row r="4326">
      <c r="A4326" s="36" t="s">
        <v>9010</v>
      </c>
      <c r="B4326" s="154" t="s">
        <v>9009</v>
      </c>
      <c r="C4326" s="36" t="s">
        <v>1666</v>
      </c>
      <c r="D4326" s="36" t="s">
        <v>224</v>
      </c>
      <c r="E4326" s="36" t="s">
        <v>224</v>
      </c>
      <c r="F4326" s="154" t="s">
        <v>2325</v>
      </c>
      <c r="G4326" s="36" t="s">
        <v>28</v>
      </c>
      <c r="H4326" s="36" t="s">
        <v>1655</v>
      </c>
      <c r="I4326" s="36" t="s">
        <v>1656</v>
      </c>
      <c r="J4326" s="36" t="s">
        <v>1656</v>
      </c>
      <c r="K4326" s="36" t="s">
        <v>1814</v>
      </c>
      <c r="L4326" s="36" t="s">
        <v>8363</v>
      </c>
      <c r="M4326" s="36" t="s">
        <v>8363</v>
      </c>
      <c r="N4326" s="36" t="s">
        <v>32</v>
      </c>
    </row>
    <row r="4327">
      <c r="A4327" s="36" t="s">
        <v>9011</v>
      </c>
      <c r="B4327" s="154" t="s">
        <v>9009</v>
      </c>
      <c r="C4327" s="36" t="s">
        <v>1666</v>
      </c>
      <c r="D4327" s="36" t="s">
        <v>255</v>
      </c>
      <c r="E4327" s="36" t="s">
        <v>255</v>
      </c>
      <c r="F4327" s="154" t="s">
        <v>9012</v>
      </c>
      <c r="G4327" s="36" t="s">
        <v>28</v>
      </c>
      <c r="H4327" s="36" t="s">
        <v>1655</v>
      </c>
      <c r="I4327" s="36" t="s">
        <v>1656</v>
      </c>
      <c r="J4327" s="36" t="s">
        <v>1656</v>
      </c>
      <c r="K4327" s="36" t="s">
        <v>1817</v>
      </c>
      <c r="L4327" s="36" t="s">
        <v>8363</v>
      </c>
      <c r="M4327" s="36" t="s">
        <v>8363</v>
      </c>
      <c r="N4327" s="36" t="s">
        <v>32</v>
      </c>
    </row>
    <row r="4328">
      <c r="A4328" s="36" t="s">
        <v>9013</v>
      </c>
      <c r="B4328" s="154" t="s">
        <v>9009</v>
      </c>
      <c r="C4328" s="36" t="s">
        <v>1666</v>
      </c>
      <c r="D4328" s="36" t="s">
        <v>371</v>
      </c>
      <c r="E4328" s="36" t="s">
        <v>371</v>
      </c>
      <c r="F4328" s="154" t="s">
        <v>1899</v>
      </c>
      <c r="G4328" s="36" t="s">
        <v>32</v>
      </c>
      <c r="H4328" s="36" t="s">
        <v>1655</v>
      </c>
      <c r="I4328" s="36" t="s">
        <v>1656</v>
      </c>
      <c r="J4328" s="36" t="s">
        <v>1656</v>
      </c>
      <c r="K4328" s="36" t="s">
        <v>1820</v>
      </c>
      <c r="L4328" s="36" t="s">
        <v>8363</v>
      </c>
      <c r="M4328" s="36" t="s">
        <v>8363</v>
      </c>
      <c r="N4328" s="36" t="s">
        <v>32</v>
      </c>
    </row>
    <row r="4329">
      <c r="A4329" s="36" t="s">
        <v>9014</v>
      </c>
      <c r="B4329" s="154" t="s">
        <v>9009</v>
      </c>
      <c r="C4329" s="36" t="s">
        <v>1666</v>
      </c>
      <c r="D4329" s="36" t="s">
        <v>133</v>
      </c>
      <c r="E4329" s="36" t="s">
        <v>133</v>
      </c>
      <c r="F4329" s="154" t="s">
        <v>9015</v>
      </c>
      <c r="G4329" s="36" t="s">
        <v>32</v>
      </c>
      <c r="H4329" s="36" t="s">
        <v>1655</v>
      </c>
      <c r="I4329" s="36" t="s">
        <v>1656</v>
      </c>
      <c r="J4329" s="36" t="s">
        <v>1656</v>
      </c>
      <c r="K4329" s="36" t="s">
        <v>1823</v>
      </c>
      <c r="L4329" s="36" t="s">
        <v>8363</v>
      </c>
      <c r="M4329" s="36" t="s">
        <v>8363</v>
      </c>
      <c r="N4329" s="36" t="s">
        <v>32</v>
      </c>
    </row>
    <row r="4330">
      <c r="A4330" s="36" t="s">
        <v>9016</v>
      </c>
      <c r="B4330" s="154" t="s">
        <v>9017</v>
      </c>
      <c r="C4330" s="36" t="s">
        <v>1653</v>
      </c>
      <c r="D4330" s="36" t="s">
        <v>43</v>
      </c>
      <c r="E4330" s="36" t="s">
        <v>39</v>
      </c>
      <c r="F4330" s="154" t="s">
        <v>9018</v>
      </c>
      <c r="G4330" s="36" t="s">
        <v>32</v>
      </c>
      <c r="H4330" s="36" t="s">
        <v>1655</v>
      </c>
      <c r="I4330" s="36" t="s">
        <v>1656</v>
      </c>
      <c r="J4330" s="36" t="s">
        <v>1656</v>
      </c>
      <c r="K4330" s="36" t="s">
        <v>1657</v>
      </c>
      <c r="L4330" s="36" t="s">
        <v>8454</v>
      </c>
      <c r="M4330" s="36" t="s">
        <v>8454</v>
      </c>
      <c r="N4330" s="36" t="s">
        <v>32</v>
      </c>
    </row>
    <row r="4331">
      <c r="A4331" s="36" t="s">
        <v>9019</v>
      </c>
      <c r="B4331" s="154" t="s">
        <v>9017</v>
      </c>
      <c r="C4331" s="36" t="s">
        <v>1653</v>
      </c>
      <c r="D4331" s="36" t="s">
        <v>168</v>
      </c>
      <c r="E4331" s="36" t="s">
        <v>39</v>
      </c>
      <c r="F4331" s="154" t="s">
        <v>9020</v>
      </c>
      <c r="G4331" s="36" t="s">
        <v>32</v>
      </c>
      <c r="H4331" s="36" t="s">
        <v>1655</v>
      </c>
      <c r="I4331" s="36" t="s">
        <v>1656</v>
      </c>
      <c r="J4331" s="36" t="s">
        <v>1656</v>
      </c>
      <c r="K4331" s="36" t="s">
        <v>1749</v>
      </c>
      <c r="L4331" s="36" t="s">
        <v>8454</v>
      </c>
      <c r="M4331" s="36" t="s">
        <v>8454</v>
      </c>
      <c r="N4331" s="36" t="s">
        <v>32</v>
      </c>
    </row>
    <row r="4332">
      <c r="A4332" s="36" t="s">
        <v>9021</v>
      </c>
      <c r="B4332" s="154" t="s">
        <v>9017</v>
      </c>
      <c r="C4332" s="36" t="s">
        <v>1666</v>
      </c>
      <c r="D4332" s="36" t="s">
        <v>85</v>
      </c>
      <c r="E4332" s="36" t="s">
        <v>85</v>
      </c>
      <c r="F4332" s="154" t="s">
        <v>8461</v>
      </c>
      <c r="G4332" s="36" t="s">
        <v>28</v>
      </c>
      <c r="H4332" s="36" t="s">
        <v>1655</v>
      </c>
      <c r="I4332" s="36" t="s">
        <v>1656</v>
      </c>
      <c r="J4332" s="36" t="s">
        <v>1656</v>
      </c>
      <c r="K4332" s="36" t="s">
        <v>3035</v>
      </c>
      <c r="L4332" s="36" t="s">
        <v>8363</v>
      </c>
      <c r="M4332" s="36" t="s">
        <v>8363</v>
      </c>
      <c r="N4332" s="36" t="s">
        <v>32</v>
      </c>
    </row>
    <row r="4333">
      <c r="A4333" s="36" t="s">
        <v>9022</v>
      </c>
      <c r="B4333" s="154" t="s">
        <v>9017</v>
      </c>
      <c r="C4333" s="36" t="s">
        <v>1666</v>
      </c>
      <c r="D4333" s="36" t="s">
        <v>193</v>
      </c>
      <c r="E4333" s="36" t="s">
        <v>193</v>
      </c>
      <c r="F4333" s="154" t="s">
        <v>9023</v>
      </c>
      <c r="G4333" s="36" t="s">
        <v>28</v>
      </c>
      <c r="H4333" s="36" t="s">
        <v>1655</v>
      </c>
      <c r="I4333" s="36" t="s">
        <v>1656</v>
      </c>
      <c r="J4333" s="36" t="s">
        <v>1656</v>
      </c>
      <c r="K4333" s="36" t="s">
        <v>3038</v>
      </c>
      <c r="L4333" s="36" t="s">
        <v>8363</v>
      </c>
      <c r="M4333" s="36" t="s">
        <v>8363</v>
      </c>
      <c r="N4333" s="36" t="s">
        <v>32</v>
      </c>
    </row>
    <row r="4334">
      <c r="A4334" s="36" t="s">
        <v>9024</v>
      </c>
      <c r="B4334" s="154" t="s">
        <v>9025</v>
      </c>
      <c r="C4334" s="36" t="s">
        <v>1653</v>
      </c>
      <c r="D4334" s="36" t="s">
        <v>178</v>
      </c>
      <c r="E4334" s="36" t="s">
        <v>39</v>
      </c>
      <c r="F4334" s="154" t="s">
        <v>9026</v>
      </c>
      <c r="G4334" s="36" t="s">
        <v>32</v>
      </c>
      <c r="H4334" s="36" t="s">
        <v>1655</v>
      </c>
      <c r="I4334" s="36" t="s">
        <v>1656</v>
      </c>
      <c r="J4334" s="36" t="s">
        <v>1656</v>
      </c>
      <c r="K4334" s="36" t="s">
        <v>1978</v>
      </c>
      <c r="L4334" s="36" t="s">
        <v>8454</v>
      </c>
      <c r="M4334" s="36" t="s">
        <v>8454</v>
      </c>
      <c r="N4334" s="36" t="s">
        <v>32</v>
      </c>
    </row>
    <row r="4335">
      <c r="A4335" s="36" t="s">
        <v>9027</v>
      </c>
      <c r="B4335" s="154" t="s">
        <v>9025</v>
      </c>
      <c r="C4335" s="36" t="s">
        <v>1666</v>
      </c>
      <c r="D4335" s="36" t="s">
        <v>78</v>
      </c>
      <c r="E4335" s="36" t="s">
        <v>78</v>
      </c>
      <c r="F4335" s="154" t="s">
        <v>1899</v>
      </c>
      <c r="G4335" s="36" t="s">
        <v>28</v>
      </c>
      <c r="H4335" s="36" t="s">
        <v>1655</v>
      </c>
      <c r="I4335" s="36" t="s">
        <v>1656</v>
      </c>
      <c r="J4335" s="36" t="s">
        <v>1656</v>
      </c>
      <c r="K4335" s="36" t="s">
        <v>4248</v>
      </c>
      <c r="L4335" s="36" t="s">
        <v>8363</v>
      </c>
      <c r="M4335" s="36" t="s">
        <v>8363</v>
      </c>
      <c r="N4335" s="36" t="s">
        <v>32</v>
      </c>
    </row>
    <row r="4336">
      <c r="A4336" s="36" t="s">
        <v>9028</v>
      </c>
      <c r="B4336" s="154" t="s">
        <v>9025</v>
      </c>
      <c r="C4336" s="36" t="s">
        <v>1666</v>
      </c>
      <c r="D4336" s="36" t="s">
        <v>191</v>
      </c>
      <c r="E4336" s="36" t="s">
        <v>191</v>
      </c>
      <c r="F4336" s="154" t="s">
        <v>1816</v>
      </c>
      <c r="G4336" s="36" t="s">
        <v>28</v>
      </c>
      <c r="H4336" s="36" t="s">
        <v>1655</v>
      </c>
      <c r="I4336" s="36" t="s">
        <v>1656</v>
      </c>
      <c r="J4336" s="36" t="s">
        <v>1656</v>
      </c>
      <c r="K4336" s="36" t="s">
        <v>1668</v>
      </c>
      <c r="L4336" s="36" t="s">
        <v>8363</v>
      </c>
      <c r="M4336" s="36" t="s">
        <v>8363</v>
      </c>
      <c r="N4336" s="36" t="s">
        <v>32</v>
      </c>
    </row>
    <row r="4337">
      <c r="A4337" s="36" t="s">
        <v>9029</v>
      </c>
      <c r="B4337" s="154" t="s">
        <v>9025</v>
      </c>
      <c r="C4337" s="36" t="s">
        <v>1666</v>
      </c>
      <c r="D4337" s="36" t="s">
        <v>205</v>
      </c>
      <c r="E4337" s="36" t="s">
        <v>205</v>
      </c>
      <c r="F4337" s="154" t="s">
        <v>8565</v>
      </c>
      <c r="G4337" s="36" t="s">
        <v>32</v>
      </c>
      <c r="H4337" s="36" t="s">
        <v>1655</v>
      </c>
      <c r="I4337" s="36" t="s">
        <v>1656</v>
      </c>
      <c r="J4337" s="36" t="s">
        <v>1656</v>
      </c>
      <c r="K4337" s="36" t="s">
        <v>1672</v>
      </c>
      <c r="L4337" s="36" t="s">
        <v>8363</v>
      </c>
      <c r="M4337" s="36" t="s">
        <v>8363</v>
      </c>
      <c r="N4337" s="36" t="s">
        <v>32</v>
      </c>
    </row>
    <row r="4338">
      <c r="A4338" s="36" t="s">
        <v>9030</v>
      </c>
      <c r="B4338" s="154" t="s">
        <v>9025</v>
      </c>
      <c r="C4338" s="36" t="s">
        <v>1666</v>
      </c>
      <c r="D4338" s="36" t="s">
        <v>88</v>
      </c>
      <c r="E4338" s="36" t="s">
        <v>88</v>
      </c>
      <c r="F4338" s="154" t="s">
        <v>1686</v>
      </c>
      <c r="G4338" s="36" t="s">
        <v>32</v>
      </c>
      <c r="H4338" s="36" t="s">
        <v>1655</v>
      </c>
      <c r="I4338" s="36" t="s">
        <v>1656</v>
      </c>
      <c r="J4338" s="36" t="s">
        <v>1656</v>
      </c>
      <c r="K4338" s="36" t="s">
        <v>1675</v>
      </c>
      <c r="L4338" s="36" t="s">
        <v>8363</v>
      </c>
      <c r="M4338" s="36" t="s">
        <v>8363</v>
      </c>
      <c r="N4338" s="36" t="s">
        <v>32</v>
      </c>
    </row>
    <row r="4339">
      <c r="A4339" s="36" t="s">
        <v>9031</v>
      </c>
      <c r="B4339" s="154" t="s">
        <v>9025</v>
      </c>
      <c r="C4339" s="36" t="s">
        <v>1666</v>
      </c>
      <c r="D4339" s="36" t="s">
        <v>90</v>
      </c>
      <c r="E4339" s="36" t="s">
        <v>90</v>
      </c>
      <c r="F4339" s="154" t="s">
        <v>2079</v>
      </c>
      <c r="G4339" s="36" t="s">
        <v>28</v>
      </c>
      <c r="H4339" s="36" t="s">
        <v>1655</v>
      </c>
      <c r="I4339" s="36" t="s">
        <v>1656</v>
      </c>
      <c r="J4339" s="36" t="s">
        <v>1656</v>
      </c>
      <c r="K4339" s="36" t="s">
        <v>1678</v>
      </c>
      <c r="L4339" s="36" t="s">
        <v>8363</v>
      </c>
      <c r="M4339" s="36" t="s">
        <v>8363</v>
      </c>
      <c r="N4339" s="36" t="s">
        <v>32</v>
      </c>
    </row>
    <row r="4340">
      <c r="A4340" s="36" t="s">
        <v>9032</v>
      </c>
      <c r="B4340" s="154" t="s">
        <v>9025</v>
      </c>
      <c r="C4340" s="36" t="s">
        <v>1666</v>
      </c>
      <c r="D4340" s="36" t="s">
        <v>93</v>
      </c>
      <c r="E4340" s="36" t="s">
        <v>93</v>
      </c>
      <c r="F4340" s="154" t="s">
        <v>1899</v>
      </c>
      <c r="G4340" s="36" t="s">
        <v>28</v>
      </c>
      <c r="H4340" s="36" t="s">
        <v>1655</v>
      </c>
      <c r="I4340" s="36" t="s">
        <v>1656</v>
      </c>
      <c r="J4340" s="36" t="s">
        <v>1656</v>
      </c>
      <c r="K4340" s="36" t="s">
        <v>1681</v>
      </c>
      <c r="L4340" s="36" t="s">
        <v>8363</v>
      </c>
      <c r="M4340" s="36" t="s">
        <v>8363</v>
      </c>
      <c r="N4340" s="36" t="s">
        <v>32</v>
      </c>
    </row>
    <row r="4341">
      <c r="A4341" s="36" t="s">
        <v>9033</v>
      </c>
      <c r="B4341" s="154" t="s">
        <v>9025</v>
      </c>
      <c r="C4341" s="36" t="s">
        <v>1666</v>
      </c>
      <c r="D4341" s="36" t="s">
        <v>109</v>
      </c>
      <c r="E4341" s="36" t="s">
        <v>109</v>
      </c>
      <c r="F4341" s="154" t="s">
        <v>8194</v>
      </c>
      <c r="G4341" s="36" t="s">
        <v>28</v>
      </c>
      <c r="H4341" s="36" t="s">
        <v>1655</v>
      </c>
      <c r="I4341" s="36" t="s">
        <v>1656</v>
      </c>
      <c r="J4341" s="36" t="s">
        <v>1656</v>
      </c>
      <c r="K4341" s="36" t="s">
        <v>1684</v>
      </c>
      <c r="L4341" s="36" t="s">
        <v>8363</v>
      </c>
      <c r="M4341" s="36" t="s">
        <v>8363</v>
      </c>
      <c r="N4341" s="36" t="s">
        <v>34</v>
      </c>
    </row>
    <row r="4342">
      <c r="A4342" s="36" t="s">
        <v>9034</v>
      </c>
      <c r="B4342" s="154" t="s">
        <v>9035</v>
      </c>
      <c r="C4342" s="36" t="s">
        <v>1666</v>
      </c>
      <c r="D4342" s="36" t="s">
        <v>63</v>
      </c>
      <c r="E4342" s="36" t="s">
        <v>63</v>
      </c>
      <c r="F4342" s="154" t="s">
        <v>9036</v>
      </c>
      <c r="G4342" s="36" t="s">
        <v>32</v>
      </c>
      <c r="H4342" s="36" t="s">
        <v>1655</v>
      </c>
      <c r="I4342" s="36" t="s">
        <v>1656</v>
      </c>
      <c r="J4342" s="36" t="s">
        <v>1656</v>
      </c>
      <c r="K4342" s="36" t="s">
        <v>4196</v>
      </c>
      <c r="L4342" s="36" t="s">
        <v>8363</v>
      </c>
      <c r="M4342" s="36" t="s">
        <v>8363</v>
      </c>
      <c r="N4342" s="36" t="s">
        <v>34</v>
      </c>
    </row>
    <row r="4343">
      <c r="A4343" s="36" t="s">
        <v>9037</v>
      </c>
      <c r="B4343" s="154" t="s">
        <v>9035</v>
      </c>
      <c r="C4343" s="36" t="s">
        <v>1666</v>
      </c>
      <c r="D4343" s="36" t="s">
        <v>238</v>
      </c>
      <c r="E4343" s="36" t="s">
        <v>238</v>
      </c>
      <c r="F4343" s="154" t="s">
        <v>2039</v>
      </c>
      <c r="G4343" s="36" t="s">
        <v>32</v>
      </c>
      <c r="H4343" s="36" t="s">
        <v>1655</v>
      </c>
      <c r="I4343" s="36" t="s">
        <v>1656</v>
      </c>
      <c r="J4343" s="36" t="s">
        <v>1656</v>
      </c>
      <c r="K4343" s="36" t="s">
        <v>1691</v>
      </c>
      <c r="L4343" s="36" t="s">
        <v>8363</v>
      </c>
      <c r="M4343" s="36" t="s">
        <v>8363</v>
      </c>
      <c r="N4343" s="36" t="s">
        <v>32</v>
      </c>
    </row>
    <row r="4344">
      <c r="A4344" s="36" t="s">
        <v>9038</v>
      </c>
      <c r="B4344" s="154" t="s">
        <v>9035</v>
      </c>
      <c r="C4344" s="36" t="s">
        <v>1666</v>
      </c>
      <c r="D4344" s="36" t="s">
        <v>245</v>
      </c>
      <c r="E4344" s="36" t="s">
        <v>245</v>
      </c>
      <c r="F4344" s="154" t="s">
        <v>5005</v>
      </c>
      <c r="G4344" s="36" t="s">
        <v>28</v>
      </c>
      <c r="H4344" s="36" t="s">
        <v>1655</v>
      </c>
      <c r="I4344" s="36" t="s">
        <v>1656</v>
      </c>
      <c r="J4344" s="36" t="s">
        <v>1656</v>
      </c>
      <c r="K4344" s="36" t="s">
        <v>1695</v>
      </c>
      <c r="L4344" s="36" t="s">
        <v>8363</v>
      </c>
      <c r="M4344" s="36" t="s">
        <v>8363</v>
      </c>
      <c r="N4344" s="36" t="s">
        <v>32</v>
      </c>
    </row>
    <row r="4345">
      <c r="A4345" s="36" t="s">
        <v>9039</v>
      </c>
      <c r="B4345" s="154" t="s">
        <v>9040</v>
      </c>
      <c r="C4345" s="36" t="s">
        <v>1653</v>
      </c>
      <c r="D4345" s="36" t="s">
        <v>186</v>
      </c>
      <c r="E4345" s="36" t="s">
        <v>39</v>
      </c>
      <c r="F4345" s="154" t="s">
        <v>9041</v>
      </c>
      <c r="G4345" s="36" t="s">
        <v>32</v>
      </c>
      <c r="H4345" s="36" t="s">
        <v>1655</v>
      </c>
      <c r="I4345" s="36" t="s">
        <v>1656</v>
      </c>
      <c r="J4345" s="36" t="s">
        <v>1656</v>
      </c>
      <c r="K4345" s="36" t="s">
        <v>2848</v>
      </c>
      <c r="L4345" s="36" t="s">
        <v>8454</v>
      </c>
      <c r="M4345" s="36" t="s">
        <v>8454</v>
      </c>
      <c r="N4345" s="36" t="s">
        <v>32</v>
      </c>
    </row>
    <row r="4346">
      <c r="A4346" s="36" t="s">
        <v>9042</v>
      </c>
      <c r="B4346" s="154" t="s">
        <v>9040</v>
      </c>
      <c r="C4346" s="36" t="s">
        <v>1666</v>
      </c>
      <c r="D4346" s="36" t="s">
        <v>64</v>
      </c>
      <c r="E4346" s="36" t="s">
        <v>64</v>
      </c>
      <c r="F4346" s="154" t="s">
        <v>9043</v>
      </c>
      <c r="G4346" s="36" t="s">
        <v>28</v>
      </c>
      <c r="H4346" s="36" t="s">
        <v>1655</v>
      </c>
      <c r="I4346" s="36" t="s">
        <v>1656</v>
      </c>
      <c r="J4346" s="36" t="s">
        <v>1656</v>
      </c>
      <c r="K4346" s="36" t="s">
        <v>1708</v>
      </c>
      <c r="L4346" s="36" t="s">
        <v>8363</v>
      </c>
      <c r="M4346" s="36" t="s">
        <v>8363</v>
      </c>
      <c r="N4346" s="36" t="s">
        <v>32</v>
      </c>
    </row>
    <row r="4347">
      <c r="A4347" s="36" t="s">
        <v>9044</v>
      </c>
      <c r="B4347" s="154" t="s">
        <v>9040</v>
      </c>
      <c r="C4347" s="36" t="s">
        <v>1666</v>
      </c>
      <c r="D4347" s="36" t="s">
        <v>250</v>
      </c>
      <c r="E4347" s="36" t="s">
        <v>250</v>
      </c>
      <c r="F4347" s="154" t="s">
        <v>9045</v>
      </c>
      <c r="G4347" s="36" t="s">
        <v>28</v>
      </c>
      <c r="H4347" s="36" t="s">
        <v>1655</v>
      </c>
      <c r="I4347" s="36" t="s">
        <v>1656</v>
      </c>
      <c r="J4347" s="36" t="s">
        <v>1656</v>
      </c>
      <c r="K4347" s="36" t="s">
        <v>1698</v>
      </c>
      <c r="L4347" s="36" t="s">
        <v>8363</v>
      </c>
      <c r="M4347" s="36" t="s">
        <v>8363</v>
      </c>
      <c r="N4347" s="36" t="s">
        <v>32</v>
      </c>
    </row>
    <row r="4348">
      <c r="A4348" s="36" t="s">
        <v>9046</v>
      </c>
      <c r="B4348" s="154" t="s">
        <v>9040</v>
      </c>
      <c r="C4348" s="36" t="s">
        <v>1666</v>
      </c>
      <c r="D4348" s="36" t="s">
        <v>255</v>
      </c>
      <c r="E4348" s="36" t="s">
        <v>255</v>
      </c>
      <c r="F4348" s="154" t="s">
        <v>5702</v>
      </c>
      <c r="G4348" s="36" t="s">
        <v>28</v>
      </c>
      <c r="H4348" s="36" t="s">
        <v>1655</v>
      </c>
      <c r="I4348" s="36" t="s">
        <v>1656</v>
      </c>
      <c r="J4348" s="36" t="s">
        <v>1656</v>
      </c>
      <c r="K4348" s="36" t="s">
        <v>1701</v>
      </c>
      <c r="L4348" s="36" t="s">
        <v>8363</v>
      </c>
      <c r="M4348" s="36" t="s">
        <v>8363</v>
      </c>
      <c r="N4348" s="36" t="s">
        <v>32</v>
      </c>
    </row>
    <row r="4349">
      <c r="A4349" s="36" t="s">
        <v>9047</v>
      </c>
      <c r="B4349" s="154" t="s">
        <v>9048</v>
      </c>
      <c r="C4349" s="36" t="s">
        <v>1666</v>
      </c>
      <c r="D4349" s="36" t="s">
        <v>870</v>
      </c>
      <c r="E4349" s="36" t="s">
        <v>870</v>
      </c>
      <c r="F4349" s="154" t="s">
        <v>2930</v>
      </c>
      <c r="G4349" s="36" t="s">
        <v>28</v>
      </c>
      <c r="H4349" s="36" t="s">
        <v>1655</v>
      </c>
      <c r="I4349" s="36" t="s">
        <v>1656</v>
      </c>
      <c r="J4349" s="36" t="s">
        <v>1656</v>
      </c>
      <c r="K4349" s="36" t="s">
        <v>1704</v>
      </c>
      <c r="L4349" s="36" t="s">
        <v>8363</v>
      </c>
      <c r="M4349" s="36" t="s">
        <v>8363</v>
      </c>
      <c r="N4349" s="36" t="s">
        <v>34</v>
      </c>
    </row>
    <row r="4350">
      <c r="A4350" s="36" t="s">
        <v>9049</v>
      </c>
      <c r="B4350" s="154" t="s">
        <v>9050</v>
      </c>
      <c r="C4350" s="36" t="s">
        <v>1666</v>
      </c>
      <c r="D4350" s="36" t="s">
        <v>67</v>
      </c>
      <c r="E4350" s="36" t="s">
        <v>67</v>
      </c>
      <c r="F4350" s="154" t="s">
        <v>9051</v>
      </c>
      <c r="G4350" s="36" t="s">
        <v>28</v>
      </c>
      <c r="H4350" s="36" t="s">
        <v>1655</v>
      </c>
      <c r="I4350" s="36" t="s">
        <v>1656</v>
      </c>
      <c r="J4350" s="36" t="s">
        <v>1656</v>
      </c>
      <c r="K4350" s="36" t="s">
        <v>1721</v>
      </c>
      <c r="L4350" s="36" t="s">
        <v>8363</v>
      </c>
      <c r="M4350" s="36" t="s">
        <v>8363</v>
      </c>
      <c r="N4350" s="36" t="s">
        <v>32</v>
      </c>
    </row>
    <row r="4351">
      <c r="A4351" s="36" t="s">
        <v>9052</v>
      </c>
      <c r="B4351" s="154" t="s">
        <v>9053</v>
      </c>
      <c r="C4351" s="36" t="s">
        <v>1653</v>
      </c>
      <c r="D4351" s="36" t="s">
        <v>55</v>
      </c>
      <c r="E4351" s="36" t="s">
        <v>39</v>
      </c>
      <c r="F4351" s="154" t="s">
        <v>9054</v>
      </c>
      <c r="G4351" s="36" t="s">
        <v>32</v>
      </c>
      <c r="H4351" s="36" t="s">
        <v>1655</v>
      </c>
      <c r="I4351" s="36" t="s">
        <v>1656</v>
      </c>
      <c r="J4351" s="36" t="s">
        <v>1656</v>
      </c>
      <c r="K4351" s="36" t="s">
        <v>1989</v>
      </c>
      <c r="L4351" s="36" t="s">
        <v>8454</v>
      </c>
      <c r="M4351" s="36" t="s">
        <v>8454</v>
      </c>
      <c r="N4351" s="36" t="s">
        <v>32</v>
      </c>
    </row>
    <row r="4352">
      <c r="A4352" s="36" t="s">
        <v>9055</v>
      </c>
      <c r="B4352" s="154" t="s">
        <v>9053</v>
      </c>
      <c r="C4352" s="36" t="s">
        <v>1666</v>
      </c>
      <c r="D4352" s="36" t="s">
        <v>71</v>
      </c>
      <c r="E4352" s="36" t="s">
        <v>71</v>
      </c>
      <c r="F4352" s="154" t="s">
        <v>8091</v>
      </c>
      <c r="G4352" s="36" t="s">
        <v>32</v>
      </c>
      <c r="H4352" s="36" t="s">
        <v>1655</v>
      </c>
      <c r="I4352" s="36" t="s">
        <v>1656</v>
      </c>
      <c r="J4352" s="36" t="s">
        <v>1656</v>
      </c>
      <c r="K4352" s="36" t="s">
        <v>1752</v>
      </c>
      <c r="L4352" s="36" t="s">
        <v>8363</v>
      </c>
      <c r="M4352" s="36" t="s">
        <v>8363</v>
      </c>
      <c r="N4352" s="36" t="s">
        <v>32</v>
      </c>
    </row>
    <row r="4353">
      <c r="A4353" s="36" t="s">
        <v>9056</v>
      </c>
      <c r="B4353" s="154" t="s">
        <v>9053</v>
      </c>
      <c r="C4353" s="36" t="s">
        <v>1666</v>
      </c>
      <c r="D4353" s="36" t="s">
        <v>73</v>
      </c>
      <c r="E4353" s="36" t="s">
        <v>73</v>
      </c>
      <c r="F4353" s="154" t="s">
        <v>8093</v>
      </c>
      <c r="G4353" s="36" t="s">
        <v>28</v>
      </c>
      <c r="H4353" s="36" t="s">
        <v>1655</v>
      </c>
      <c r="I4353" s="36" t="s">
        <v>1656</v>
      </c>
      <c r="J4353" s="36" t="s">
        <v>1656</v>
      </c>
      <c r="K4353" s="36" t="s">
        <v>1755</v>
      </c>
      <c r="L4353" s="36" t="s">
        <v>8363</v>
      </c>
      <c r="M4353" s="36" t="s">
        <v>8363</v>
      </c>
      <c r="N4353" s="36" t="s">
        <v>32</v>
      </c>
    </row>
    <row r="4354">
      <c r="A4354" s="36" t="s">
        <v>9057</v>
      </c>
      <c r="B4354" s="154" t="s">
        <v>9053</v>
      </c>
      <c r="C4354" s="36" t="s">
        <v>1666</v>
      </c>
      <c r="D4354" s="36" t="s">
        <v>74</v>
      </c>
      <c r="E4354" s="36" t="s">
        <v>74</v>
      </c>
      <c r="F4354" s="154" t="s">
        <v>8095</v>
      </c>
      <c r="G4354" s="36" t="s">
        <v>32</v>
      </c>
      <c r="H4354" s="36" t="s">
        <v>1655</v>
      </c>
      <c r="I4354" s="36" t="s">
        <v>1656</v>
      </c>
      <c r="J4354" s="36" t="s">
        <v>1656</v>
      </c>
      <c r="K4354" s="36" t="s">
        <v>1757</v>
      </c>
      <c r="L4354" s="36" t="s">
        <v>8363</v>
      </c>
      <c r="M4354" s="36" t="s">
        <v>8363</v>
      </c>
      <c r="N4354" s="36" t="s">
        <v>32</v>
      </c>
    </row>
    <row r="4355">
      <c r="A4355" s="36" t="s">
        <v>9058</v>
      </c>
      <c r="B4355" s="154" t="s">
        <v>9053</v>
      </c>
      <c r="C4355" s="36" t="s">
        <v>1666</v>
      </c>
      <c r="D4355" s="36" t="s">
        <v>75</v>
      </c>
      <c r="E4355" s="36" t="s">
        <v>75</v>
      </c>
      <c r="F4355" s="154" t="s">
        <v>8097</v>
      </c>
      <c r="G4355" s="36" t="s">
        <v>28</v>
      </c>
      <c r="H4355" s="36" t="s">
        <v>1655</v>
      </c>
      <c r="I4355" s="36" t="s">
        <v>1656</v>
      </c>
      <c r="J4355" s="36" t="s">
        <v>1656</v>
      </c>
      <c r="K4355" s="36" t="s">
        <v>1760</v>
      </c>
      <c r="L4355" s="36" t="s">
        <v>8363</v>
      </c>
      <c r="M4355" s="36" t="s">
        <v>8363</v>
      </c>
      <c r="N4355" s="36" t="s">
        <v>32</v>
      </c>
    </row>
    <row r="4356">
      <c r="A4356" s="36" t="s">
        <v>9059</v>
      </c>
      <c r="B4356" s="154" t="s">
        <v>9053</v>
      </c>
      <c r="C4356" s="36" t="s">
        <v>1666</v>
      </c>
      <c r="D4356" s="36" t="s">
        <v>76</v>
      </c>
      <c r="E4356" s="36" t="s">
        <v>76</v>
      </c>
      <c r="F4356" s="154" t="s">
        <v>9060</v>
      </c>
      <c r="G4356" s="36" t="s">
        <v>28</v>
      </c>
      <c r="H4356" s="36" t="s">
        <v>1655</v>
      </c>
      <c r="I4356" s="36" t="s">
        <v>1656</v>
      </c>
      <c r="J4356" s="36" t="s">
        <v>1656</v>
      </c>
      <c r="K4356" s="36" t="s">
        <v>1763</v>
      </c>
      <c r="L4356" s="36" t="s">
        <v>8363</v>
      </c>
      <c r="M4356" s="36" t="s">
        <v>8363</v>
      </c>
      <c r="N4356" s="36" t="s">
        <v>32</v>
      </c>
    </row>
    <row r="4357">
      <c r="A4357" s="36" t="s">
        <v>9061</v>
      </c>
      <c r="B4357" s="154" t="s">
        <v>9053</v>
      </c>
      <c r="C4357" s="36" t="s">
        <v>1666</v>
      </c>
      <c r="D4357" s="36" t="s">
        <v>77</v>
      </c>
      <c r="E4357" s="36" t="s">
        <v>77</v>
      </c>
      <c r="F4357" s="154" t="s">
        <v>1810</v>
      </c>
      <c r="G4357" s="36" t="s">
        <v>34</v>
      </c>
      <c r="H4357" s="36" t="s">
        <v>1655</v>
      </c>
      <c r="I4357" s="36" t="s">
        <v>1656</v>
      </c>
      <c r="J4357" s="36" t="s">
        <v>1656</v>
      </c>
      <c r="K4357" s="36" t="s">
        <v>1766</v>
      </c>
      <c r="L4357" s="36" t="s">
        <v>8363</v>
      </c>
      <c r="M4357" s="36" t="s">
        <v>8363</v>
      </c>
      <c r="N4357" s="36" t="s">
        <v>32</v>
      </c>
    </row>
    <row r="4358">
      <c r="A4358" s="36" t="s">
        <v>9062</v>
      </c>
      <c r="B4358" s="154" t="s">
        <v>9053</v>
      </c>
      <c r="C4358" s="36" t="s">
        <v>1666</v>
      </c>
      <c r="D4358" s="36" t="s">
        <v>266</v>
      </c>
      <c r="E4358" s="36" t="s">
        <v>266</v>
      </c>
      <c r="F4358" s="154" t="s">
        <v>2027</v>
      </c>
      <c r="G4358" s="36" t="s">
        <v>28</v>
      </c>
      <c r="H4358" s="36" t="s">
        <v>1655</v>
      </c>
      <c r="I4358" s="36" t="s">
        <v>1656</v>
      </c>
      <c r="J4358" s="36" t="s">
        <v>1656</v>
      </c>
      <c r="K4358" s="36" t="s">
        <v>1711</v>
      </c>
      <c r="L4358" s="36" t="s">
        <v>8363</v>
      </c>
      <c r="M4358" s="36" t="s">
        <v>8363</v>
      </c>
      <c r="N4358" s="36" t="s">
        <v>32</v>
      </c>
    </row>
    <row r="4359">
      <c r="A4359" s="36" t="s">
        <v>9063</v>
      </c>
      <c r="B4359" s="154" t="s">
        <v>9053</v>
      </c>
      <c r="C4359" s="36" t="s">
        <v>1666</v>
      </c>
      <c r="D4359" s="36" t="s">
        <v>269</v>
      </c>
      <c r="E4359" s="36" t="s">
        <v>269</v>
      </c>
      <c r="F4359" s="154" t="s">
        <v>1683</v>
      </c>
      <c r="G4359" s="36" t="s">
        <v>32</v>
      </c>
      <c r="H4359" s="36" t="s">
        <v>1655</v>
      </c>
      <c r="I4359" s="36" t="s">
        <v>1656</v>
      </c>
      <c r="J4359" s="36" t="s">
        <v>1656</v>
      </c>
      <c r="K4359" s="36" t="s">
        <v>1715</v>
      </c>
      <c r="L4359" s="36" t="s">
        <v>8363</v>
      </c>
      <c r="M4359" s="36" t="s">
        <v>8363</v>
      </c>
      <c r="N4359" s="36" t="s">
        <v>32</v>
      </c>
    </row>
    <row r="4360">
      <c r="A4360" s="36" t="s">
        <v>9064</v>
      </c>
      <c r="B4360" s="154" t="s">
        <v>9053</v>
      </c>
      <c r="C4360" s="36" t="s">
        <v>1666</v>
      </c>
      <c r="D4360" s="36" t="s">
        <v>114</v>
      </c>
      <c r="E4360" s="36" t="s">
        <v>114</v>
      </c>
      <c r="F4360" s="154" t="s">
        <v>1683</v>
      </c>
      <c r="G4360" s="36" t="s">
        <v>32</v>
      </c>
      <c r="H4360" s="36" t="s">
        <v>1655</v>
      </c>
      <c r="I4360" s="36" t="s">
        <v>1656</v>
      </c>
      <c r="J4360" s="36" t="s">
        <v>1656</v>
      </c>
      <c r="K4360" s="36" t="s">
        <v>1717</v>
      </c>
      <c r="L4360" s="36" t="s">
        <v>8363</v>
      </c>
      <c r="M4360" s="36" t="s">
        <v>8363</v>
      </c>
      <c r="N4360" s="36" t="s">
        <v>32</v>
      </c>
    </row>
    <row r="4361">
      <c r="A4361" s="36" t="s">
        <v>9065</v>
      </c>
      <c r="B4361" s="154" t="s">
        <v>9053</v>
      </c>
      <c r="C4361" s="36" t="s">
        <v>1666</v>
      </c>
      <c r="D4361" s="36" t="s">
        <v>226</v>
      </c>
      <c r="E4361" s="36" t="s">
        <v>226</v>
      </c>
      <c r="F4361" s="154" t="s">
        <v>9066</v>
      </c>
      <c r="G4361" s="36" t="s">
        <v>32</v>
      </c>
      <c r="H4361" s="36" t="s">
        <v>1655</v>
      </c>
      <c r="I4361" s="36" t="s">
        <v>1656</v>
      </c>
      <c r="J4361" s="36" t="s">
        <v>1656</v>
      </c>
      <c r="K4361" s="36" t="s">
        <v>1724</v>
      </c>
      <c r="L4361" s="36" t="s">
        <v>8363</v>
      </c>
      <c r="M4361" s="36" t="s">
        <v>8363</v>
      </c>
      <c r="N4361" s="36" t="s">
        <v>32</v>
      </c>
    </row>
    <row r="4362">
      <c r="A4362" s="36" t="s">
        <v>9067</v>
      </c>
      <c r="B4362" s="154" t="s">
        <v>9053</v>
      </c>
      <c r="C4362" s="36" t="s">
        <v>1666</v>
      </c>
      <c r="D4362" s="36" t="s">
        <v>281</v>
      </c>
      <c r="E4362" s="36" t="s">
        <v>281</v>
      </c>
      <c r="F4362" s="154" t="s">
        <v>9068</v>
      </c>
      <c r="G4362" s="36" t="s">
        <v>34</v>
      </c>
      <c r="H4362" s="36" t="s">
        <v>1655</v>
      </c>
      <c r="I4362" s="36" t="s">
        <v>1656</v>
      </c>
      <c r="J4362" s="36" t="s">
        <v>1656</v>
      </c>
      <c r="K4362" s="36" t="s">
        <v>1727</v>
      </c>
      <c r="L4362" s="36" t="s">
        <v>8363</v>
      </c>
      <c r="M4362" s="36" t="s">
        <v>8363</v>
      </c>
      <c r="N4362" s="36" t="s">
        <v>32</v>
      </c>
    </row>
    <row r="4363">
      <c r="A4363" s="36" t="s">
        <v>9069</v>
      </c>
      <c r="B4363" s="154" t="s">
        <v>9053</v>
      </c>
      <c r="C4363" s="36" t="s">
        <v>1666</v>
      </c>
      <c r="D4363" s="36" t="s">
        <v>220</v>
      </c>
      <c r="E4363" s="36" t="s">
        <v>220</v>
      </c>
      <c r="F4363" s="154" t="s">
        <v>9070</v>
      </c>
      <c r="G4363" s="36" t="s">
        <v>28</v>
      </c>
      <c r="H4363" s="36" t="s">
        <v>1655</v>
      </c>
      <c r="I4363" s="36" t="s">
        <v>1656</v>
      </c>
      <c r="J4363" s="36" t="s">
        <v>1656</v>
      </c>
      <c r="K4363" s="36" t="s">
        <v>1730</v>
      </c>
      <c r="L4363" s="36" t="s">
        <v>8363</v>
      </c>
      <c r="M4363" s="36" t="s">
        <v>8363</v>
      </c>
      <c r="N4363" s="36" t="s">
        <v>32</v>
      </c>
    </row>
    <row r="4364">
      <c r="A4364" s="36" t="s">
        <v>9071</v>
      </c>
      <c r="B4364" s="154" t="s">
        <v>9072</v>
      </c>
      <c r="C4364" s="36" t="s">
        <v>1666</v>
      </c>
      <c r="D4364" s="36" t="s">
        <v>288</v>
      </c>
      <c r="E4364" s="36" t="s">
        <v>288</v>
      </c>
      <c r="F4364" s="154" t="s">
        <v>1768</v>
      </c>
      <c r="G4364" s="36" t="s">
        <v>32</v>
      </c>
      <c r="H4364" s="36" t="s">
        <v>1655</v>
      </c>
      <c r="I4364" s="36" t="s">
        <v>1656</v>
      </c>
      <c r="J4364" s="36" t="s">
        <v>1656</v>
      </c>
      <c r="K4364" s="36" t="s">
        <v>1732</v>
      </c>
      <c r="L4364" s="36" t="s">
        <v>8363</v>
      </c>
      <c r="M4364" s="36" t="s">
        <v>8363</v>
      </c>
      <c r="N4364" s="36" t="s">
        <v>32</v>
      </c>
    </row>
    <row r="4365">
      <c r="A4365" s="36" t="s">
        <v>9073</v>
      </c>
      <c r="B4365" s="154" t="s">
        <v>9074</v>
      </c>
      <c r="C4365" s="36" t="s">
        <v>1666</v>
      </c>
      <c r="D4365" s="36" t="s">
        <v>207</v>
      </c>
      <c r="E4365" s="36" t="s">
        <v>207</v>
      </c>
      <c r="F4365" s="154" t="s">
        <v>2555</v>
      </c>
      <c r="G4365" s="36" t="s">
        <v>28</v>
      </c>
      <c r="H4365" s="36" t="s">
        <v>1655</v>
      </c>
      <c r="I4365" s="36" t="s">
        <v>1656</v>
      </c>
      <c r="J4365" s="36" t="s">
        <v>1656</v>
      </c>
      <c r="K4365" s="36" t="s">
        <v>1736</v>
      </c>
      <c r="L4365" s="36" t="s">
        <v>8363</v>
      </c>
      <c r="M4365" s="36" t="s">
        <v>8363</v>
      </c>
      <c r="N4365" s="36" t="s">
        <v>34</v>
      </c>
    </row>
    <row r="4366">
      <c r="A4366" s="36" t="s">
        <v>9075</v>
      </c>
      <c r="B4366" s="154" t="s">
        <v>9074</v>
      </c>
      <c r="C4366" s="36" t="s">
        <v>1666</v>
      </c>
      <c r="D4366" s="36" t="s">
        <v>299</v>
      </c>
      <c r="E4366" s="36" t="s">
        <v>299</v>
      </c>
      <c r="F4366" s="154" t="s">
        <v>1799</v>
      </c>
      <c r="G4366" s="36" t="s">
        <v>28</v>
      </c>
      <c r="H4366" s="36" t="s">
        <v>1655</v>
      </c>
      <c r="I4366" s="36" t="s">
        <v>1656</v>
      </c>
      <c r="J4366" s="36" t="s">
        <v>1656</v>
      </c>
      <c r="K4366" s="36" t="s">
        <v>1739</v>
      </c>
      <c r="L4366" s="36" t="s">
        <v>8363</v>
      </c>
      <c r="M4366" s="36" t="s">
        <v>8363</v>
      </c>
      <c r="N4366" s="36" t="s">
        <v>34</v>
      </c>
    </row>
    <row r="4367">
      <c r="A4367" s="36" t="s">
        <v>9076</v>
      </c>
      <c r="B4367" s="154" t="s">
        <v>9074</v>
      </c>
      <c r="C4367" s="36" t="s">
        <v>1666</v>
      </c>
      <c r="D4367" s="36" t="s">
        <v>303</v>
      </c>
      <c r="E4367" s="36" t="s">
        <v>303</v>
      </c>
      <c r="F4367" s="154" t="s">
        <v>1768</v>
      </c>
      <c r="G4367" s="36" t="s">
        <v>28</v>
      </c>
      <c r="H4367" s="36" t="s">
        <v>1655</v>
      </c>
      <c r="I4367" s="36" t="s">
        <v>1656</v>
      </c>
      <c r="J4367" s="36" t="s">
        <v>1656</v>
      </c>
      <c r="K4367" s="36" t="s">
        <v>1742</v>
      </c>
      <c r="L4367" s="36" t="s">
        <v>8363</v>
      </c>
      <c r="M4367" s="36" t="s">
        <v>8363</v>
      </c>
      <c r="N4367" s="36" t="s">
        <v>34</v>
      </c>
    </row>
    <row r="4368">
      <c r="A4368" s="36" t="s">
        <v>9077</v>
      </c>
      <c r="B4368" s="154" t="s">
        <v>9078</v>
      </c>
      <c r="C4368" s="36" t="s">
        <v>1666</v>
      </c>
      <c r="D4368" s="36" t="s">
        <v>308</v>
      </c>
      <c r="E4368" s="36" t="s">
        <v>308</v>
      </c>
      <c r="F4368" s="154" t="s">
        <v>1768</v>
      </c>
      <c r="G4368" s="36" t="s">
        <v>28</v>
      </c>
      <c r="H4368" s="36" t="s">
        <v>1655</v>
      </c>
      <c r="I4368" s="36" t="s">
        <v>1656</v>
      </c>
      <c r="J4368" s="36" t="s">
        <v>1656</v>
      </c>
      <c r="K4368" s="36" t="s">
        <v>1745</v>
      </c>
      <c r="L4368" s="36" t="s">
        <v>8363</v>
      </c>
      <c r="M4368" s="36" t="s">
        <v>8363</v>
      </c>
      <c r="N4368" s="36" t="s">
        <v>34</v>
      </c>
    </row>
    <row r="4369">
      <c r="A4369" s="36" t="s">
        <v>9079</v>
      </c>
      <c r="B4369" s="154" t="s">
        <v>9078</v>
      </c>
      <c r="C4369" s="36" t="s">
        <v>1666</v>
      </c>
      <c r="D4369" s="36" t="s">
        <v>314</v>
      </c>
      <c r="E4369" s="36" t="s">
        <v>314</v>
      </c>
      <c r="F4369" s="154" t="s">
        <v>2930</v>
      </c>
      <c r="G4369" s="36" t="s">
        <v>28</v>
      </c>
      <c r="H4369" s="36" t="s">
        <v>1655</v>
      </c>
      <c r="I4369" s="36" t="s">
        <v>1656</v>
      </c>
      <c r="J4369" s="36" t="s">
        <v>1656</v>
      </c>
      <c r="K4369" s="36" t="s">
        <v>1773</v>
      </c>
      <c r="L4369" s="36" t="s">
        <v>8363</v>
      </c>
      <c r="M4369" s="36" t="s">
        <v>8363</v>
      </c>
      <c r="N4369" s="36" t="s">
        <v>34</v>
      </c>
    </row>
    <row r="4370">
      <c r="A4370" s="36" t="s">
        <v>9080</v>
      </c>
      <c r="B4370" s="154" t="s">
        <v>9081</v>
      </c>
      <c r="C4370" s="36" t="s">
        <v>1666</v>
      </c>
      <c r="D4370" s="36" t="s">
        <v>224</v>
      </c>
      <c r="E4370" s="36" t="s">
        <v>224</v>
      </c>
      <c r="F4370" s="154" t="s">
        <v>9082</v>
      </c>
      <c r="G4370" s="36" t="s">
        <v>28</v>
      </c>
      <c r="H4370" s="36" t="s">
        <v>1655</v>
      </c>
      <c r="I4370" s="36" t="s">
        <v>1656</v>
      </c>
      <c r="J4370" s="36" t="s">
        <v>1656</v>
      </c>
      <c r="K4370" s="36" t="s">
        <v>1776</v>
      </c>
      <c r="L4370" s="36" t="s">
        <v>8363</v>
      </c>
      <c r="M4370" s="36" t="s">
        <v>8363</v>
      </c>
      <c r="N4370" s="36" t="s">
        <v>34</v>
      </c>
    </row>
    <row r="4371">
      <c r="A4371" s="36" t="s">
        <v>9083</v>
      </c>
      <c r="B4371" s="154" t="s">
        <v>9084</v>
      </c>
      <c r="C4371" s="36" t="s">
        <v>1666</v>
      </c>
      <c r="D4371" s="36" t="s">
        <v>191</v>
      </c>
      <c r="E4371" s="36" t="s">
        <v>191</v>
      </c>
      <c r="F4371" s="154" t="s">
        <v>1816</v>
      </c>
      <c r="G4371" s="36" t="s">
        <v>32</v>
      </c>
      <c r="H4371" s="36" t="s">
        <v>1655</v>
      </c>
      <c r="I4371" s="36" t="s">
        <v>1656</v>
      </c>
      <c r="J4371" s="36" t="s">
        <v>1656</v>
      </c>
      <c r="K4371" s="36" t="s">
        <v>1779</v>
      </c>
      <c r="L4371" s="36" t="s">
        <v>8363</v>
      </c>
      <c r="M4371" s="36" t="s">
        <v>8363</v>
      </c>
      <c r="N4371" s="36" t="s">
        <v>32</v>
      </c>
    </row>
    <row r="4372">
      <c r="A4372" s="36" t="s">
        <v>9085</v>
      </c>
      <c r="B4372" s="154" t="s">
        <v>9084</v>
      </c>
      <c r="C4372" s="36" t="s">
        <v>1666</v>
      </c>
      <c r="D4372" s="36" t="s">
        <v>250</v>
      </c>
      <c r="E4372" s="36" t="s">
        <v>250</v>
      </c>
      <c r="F4372" s="154" t="s">
        <v>9086</v>
      </c>
      <c r="G4372" s="36" t="s">
        <v>30</v>
      </c>
      <c r="H4372" s="36" t="s">
        <v>1655</v>
      </c>
      <c r="I4372" s="36" t="s">
        <v>1656</v>
      </c>
      <c r="J4372" s="36" t="s">
        <v>1656</v>
      </c>
      <c r="K4372" s="36" t="s">
        <v>1782</v>
      </c>
      <c r="L4372" s="36" t="s">
        <v>8363</v>
      </c>
      <c r="M4372" s="36" t="s">
        <v>8363</v>
      </c>
      <c r="N4372" s="36" t="s">
        <v>32</v>
      </c>
    </row>
    <row r="4373">
      <c r="A4373" s="36" t="s">
        <v>9087</v>
      </c>
      <c r="B4373" s="154" t="s">
        <v>9084</v>
      </c>
      <c r="C4373" s="36" t="s">
        <v>1666</v>
      </c>
      <c r="D4373" s="36" t="s">
        <v>250</v>
      </c>
      <c r="E4373" s="36" t="s">
        <v>250</v>
      </c>
      <c r="F4373" s="154" t="s">
        <v>9045</v>
      </c>
      <c r="G4373" s="36" t="s">
        <v>30</v>
      </c>
      <c r="H4373" s="36" t="s">
        <v>1655</v>
      </c>
      <c r="I4373" s="36" t="s">
        <v>1656</v>
      </c>
      <c r="J4373" s="36" t="s">
        <v>1656</v>
      </c>
      <c r="K4373" s="36" t="s">
        <v>1784</v>
      </c>
      <c r="L4373" s="36" t="s">
        <v>8363</v>
      </c>
      <c r="M4373" s="36" t="s">
        <v>8363</v>
      </c>
      <c r="N4373" s="36" t="s">
        <v>32</v>
      </c>
    </row>
    <row r="4374">
      <c r="A4374" s="36" t="s">
        <v>9088</v>
      </c>
      <c r="B4374" s="154" t="s">
        <v>9084</v>
      </c>
      <c r="C4374" s="36" t="s">
        <v>1666</v>
      </c>
      <c r="D4374" s="36" t="s">
        <v>331</v>
      </c>
      <c r="E4374" s="36" t="s">
        <v>331</v>
      </c>
      <c r="F4374" s="154" t="s">
        <v>5109</v>
      </c>
      <c r="G4374" s="36" t="s">
        <v>28</v>
      </c>
      <c r="H4374" s="36" t="s">
        <v>1655</v>
      </c>
      <c r="I4374" s="36" t="s">
        <v>1656</v>
      </c>
      <c r="J4374" s="36" t="s">
        <v>1656</v>
      </c>
      <c r="K4374" s="36" t="s">
        <v>1787</v>
      </c>
      <c r="L4374" s="36" t="s">
        <v>8363</v>
      </c>
      <c r="M4374" s="36" t="s">
        <v>8363</v>
      </c>
      <c r="N4374" s="36" t="s">
        <v>34</v>
      </c>
    </row>
    <row r="4375">
      <c r="A4375" s="36" t="s">
        <v>9089</v>
      </c>
      <c r="B4375" s="154" t="s">
        <v>9090</v>
      </c>
      <c r="C4375" s="36" t="s">
        <v>1666</v>
      </c>
      <c r="D4375" s="36" t="s">
        <v>335</v>
      </c>
      <c r="E4375" s="36" t="s">
        <v>335</v>
      </c>
      <c r="F4375" s="154" t="s">
        <v>9091</v>
      </c>
      <c r="G4375" s="36" t="s">
        <v>30</v>
      </c>
      <c r="H4375" s="36" t="s">
        <v>1655</v>
      </c>
      <c r="I4375" s="36" t="s">
        <v>1656</v>
      </c>
      <c r="J4375" s="36" t="s">
        <v>1656</v>
      </c>
      <c r="K4375" s="36" t="s">
        <v>1790</v>
      </c>
      <c r="L4375" s="36" t="s">
        <v>8363</v>
      </c>
      <c r="M4375" s="36" t="s">
        <v>8363</v>
      </c>
      <c r="N4375" s="36" t="s">
        <v>34</v>
      </c>
    </row>
    <row r="4376">
      <c r="A4376" s="36" t="s">
        <v>9092</v>
      </c>
      <c r="B4376" s="154" t="s">
        <v>9093</v>
      </c>
      <c r="C4376" s="36" t="s">
        <v>1666</v>
      </c>
      <c r="D4376" s="36" t="s">
        <v>339</v>
      </c>
      <c r="E4376" s="36" t="s">
        <v>339</v>
      </c>
      <c r="F4376" s="154" t="s">
        <v>1959</v>
      </c>
      <c r="G4376" s="36" t="s">
        <v>28</v>
      </c>
      <c r="H4376" s="36" t="s">
        <v>1655</v>
      </c>
      <c r="I4376" s="36" t="s">
        <v>1656</v>
      </c>
      <c r="J4376" s="36" t="s">
        <v>1656</v>
      </c>
      <c r="K4376" s="36" t="s">
        <v>1793</v>
      </c>
      <c r="L4376" s="36" t="s">
        <v>8363</v>
      </c>
      <c r="M4376" s="36" t="s">
        <v>8363</v>
      </c>
      <c r="N4376" s="36" t="s">
        <v>34</v>
      </c>
    </row>
    <row r="4377">
      <c r="A4377" s="36" t="s">
        <v>9094</v>
      </c>
      <c r="B4377" s="154" t="s">
        <v>9095</v>
      </c>
      <c r="C4377" s="36" t="s">
        <v>1666</v>
      </c>
      <c r="D4377" s="36" t="s">
        <v>345</v>
      </c>
      <c r="E4377" s="36" t="s">
        <v>345</v>
      </c>
      <c r="F4377" s="154" t="s">
        <v>1768</v>
      </c>
      <c r="G4377" s="36" t="s">
        <v>32</v>
      </c>
      <c r="H4377" s="36" t="s">
        <v>1655</v>
      </c>
      <c r="I4377" s="36" t="s">
        <v>1656</v>
      </c>
      <c r="J4377" s="36" t="s">
        <v>1656</v>
      </c>
      <c r="K4377" s="36" t="s">
        <v>1796</v>
      </c>
      <c r="L4377" s="36" t="s">
        <v>8363</v>
      </c>
      <c r="M4377" s="36" t="s">
        <v>8363</v>
      </c>
      <c r="N4377" s="36" t="s">
        <v>32</v>
      </c>
    </row>
    <row r="4378">
      <c r="A4378" s="36" t="s">
        <v>9096</v>
      </c>
      <c r="B4378" s="154" t="s">
        <v>9095</v>
      </c>
      <c r="C4378" s="36" t="s">
        <v>1666</v>
      </c>
      <c r="D4378" s="36" t="s">
        <v>100</v>
      </c>
      <c r="E4378" s="36" t="s">
        <v>100</v>
      </c>
      <c r="F4378" s="154" t="s">
        <v>1768</v>
      </c>
      <c r="G4378" s="36" t="s">
        <v>32</v>
      </c>
      <c r="H4378" s="36" t="s">
        <v>1655</v>
      </c>
      <c r="I4378" s="36" t="s">
        <v>1656</v>
      </c>
      <c r="J4378" s="36" t="s">
        <v>1656</v>
      </c>
      <c r="K4378" s="36" t="s">
        <v>1800</v>
      </c>
      <c r="L4378" s="36" t="s">
        <v>8363</v>
      </c>
      <c r="M4378" s="36" t="s">
        <v>8363</v>
      </c>
      <c r="N4378" s="36" t="s">
        <v>32</v>
      </c>
    </row>
    <row r="4379">
      <c r="A4379" s="36" t="s">
        <v>9097</v>
      </c>
      <c r="B4379" s="154" t="s">
        <v>9095</v>
      </c>
      <c r="C4379" s="36" t="s">
        <v>1666</v>
      </c>
      <c r="D4379" s="36" t="s">
        <v>354</v>
      </c>
      <c r="E4379" s="36" t="s">
        <v>354</v>
      </c>
      <c r="F4379" s="154" t="s">
        <v>9098</v>
      </c>
      <c r="G4379" s="36" t="s">
        <v>28</v>
      </c>
      <c r="H4379" s="36" t="s">
        <v>1655</v>
      </c>
      <c r="I4379" s="36" t="s">
        <v>1656</v>
      </c>
      <c r="J4379" s="36" t="s">
        <v>1656</v>
      </c>
      <c r="K4379" s="36" t="s">
        <v>1803</v>
      </c>
      <c r="L4379" s="36" t="s">
        <v>8363</v>
      </c>
      <c r="M4379" s="36" t="s">
        <v>8363</v>
      </c>
      <c r="N4379" s="36" t="s">
        <v>34</v>
      </c>
    </row>
    <row r="4380">
      <c r="A4380" s="36" t="s">
        <v>9099</v>
      </c>
      <c r="B4380" s="154" t="s">
        <v>9095</v>
      </c>
      <c r="C4380" s="36" t="s">
        <v>1666</v>
      </c>
      <c r="D4380" s="36" t="s">
        <v>359</v>
      </c>
      <c r="E4380" s="36" t="s">
        <v>359</v>
      </c>
      <c r="F4380" s="154" t="s">
        <v>1868</v>
      </c>
      <c r="G4380" s="36" t="s">
        <v>28</v>
      </c>
      <c r="H4380" s="36" t="s">
        <v>1655</v>
      </c>
      <c r="I4380" s="36" t="s">
        <v>1656</v>
      </c>
      <c r="J4380" s="36" t="s">
        <v>1656</v>
      </c>
      <c r="K4380" s="36" t="s">
        <v>1807</v>
      </c>
      <c r="L4380" s="36" t="s">
        <v>8363</v>
      </c>
      <c r="M4380" s="36" t="s">
        <v>8363</v>
      </c>
      <c r="N4380" s="36" t="s">
        <v>34</v>
      </c>
    </row>
    <row r="4381">
      <c r="A4381" s="36" t="s">
        <v>9100</v>
      </c>
      <c r="B4381" s="154" t="s">
        <v>9095</v>
      </c>
      <c r="C4381" s="36" t="s">
        <v>1666</v>
      </c>
      <c r="D4381" s="36" t="s">
        <v>224</v>
      </c>
      <c r="E4381" s="36" t="s">
        <v>224</v>
      </c>
      <c r="F4381" s="154" t="s">
        <v>2325</v>
      </c>
      <c r="G4381" s="36" t="s">
        <v>28</v>
      </c>
      <c r="H4381" s="36" t="s">
        <v>1655</v>
      </c>
      <c r="I4381" s="36" t="s">
        <v>1656</v>
      </c>
      <c r="J4381" s="36" t="s">
        <v>1656</v>
      </c>
      <c r="K4381" s="36" t="s">
        <v>1833</v>
      </c>
      <c r="L4381" s="36" t="s">
        <v>8363</v>
      </c>
      <c r="M4381" s="36" t="s">
        <v>8363</v>
      </c>
      <c r="N4381" s="36" t="s">
        <v>32</v>
      </c>
    </row>
    <row r="4382">
      <c r="A4382" s="36" t="s">
        <v>9101</v>
      </c>
      <c r="B4382" s="154" t="s">
        <v>9102</v>
      </c>
      <c r="C4382" s="36" t="s">
        <v>1666</v>
      </c>
      <c r="D4382" s="36" t="s">
        <v>365</v>
      </c>
      <c r="E4382" s="36" t="s">
        <v>365</v>
      </c>
      <c r="F4382" s="154" t="s">
        <v>1768</v>
      </c>
      <c r="G4382" s="36" t="s">
        <v>28</v>
      </c>
      <c r="H4382" s="36" t="s">
        <v>1655</v>
      </c>
      <c r="I4382" s="36" t="s">
        <v>1656</v>
      </c>
      <c r="J4382" s="36" t="s">
        <v>1656</v>
      </c>
      <c r="K4382" s="36" t="s">
        <v>1814</v>
      </c>
      <c r="L4382" s="36" t="s">
        <v>8363</v>
      </c>
      <c r="M4382" s="36" t="s">
        <v>8363</v>
      </c>
      <c r="N4382" s="36" t="s">
        <v>32</v>
      </c>
    </row>
    <row r="4383">
      <c r="A4383" s="36" t="s">
        <v>9103</v>
      </c>
      <c r="B4383" s="154" t="s">
        <v>9102</v>
      </c>
      <c r="C4383" s="36" t="s">
        <v>1666</v>
      </c>
      <c r="D4383" s="155" t="s">
        <v>369</v>
      </c>
      <c r="E4383" s="155" t="s">
        <v>369</v>
      </c>
      <c r="F4383" s="154" t="s">
        <v>9104</v>
      </c>
      <c r="G4383" s="36" t="s">
        <v>32</v>
      </c>
      <c r="H4383" s="36" t="s">
        <v>1655</v>
      </c>
      <c r="I4383" s="36" t="s">
        <v>1656</v>
      </c>
      <c r="J4383" s="36" t="s">
        <v>1656</v>
      </c>
      <c r="K4383" s="36" t="s">
        <v>1817</v>
      </c>
      <c r="L4383" s="36" t="s">
        <v>8363</v>
      </c>
      <c r="M4383" s="36" t="s">
        <v>8363</v>
      </c>
      <c r="N4383" s="36" t="s">
        <v>32</v>
      </c>
    </row>
    <row r="4384">
      <c r="A4384" s="36" t="s">
        <v>9105</v>
      </c>
      <c r="B4384" s="154" t="s">
        <v>9102</v>
      </c>
      <c r="C4384" s="36" t="s">
        <v>1666</v>
      </c>
      <c r="D4384" s="36" t="s">
        <v>234</v>
      </c>
      <c r="E4384" s="36" t="s">
        <v>234</v>
      </c>
      <c r="F4384" s="154" t="s">
        <v>1810</v>
      </c>
      <c r="G4384" s="36" t="s">
        <v>32</v>
      </c>
      <c r="H4384" s="36" t="s">
        <v>1655</v>
      </c>
      <c r="I4384" s="36" t="s">
        <v>1656</v>
      </c>
      <c r="J4384" s="36" t="s">
        <v>1656</v>
      </c>
      <c r="K4384" s="36" t="s">
        <v>1820</v>
      </c>
      <c r="L4384" s="36" t="s">
        <v>8363</v>
      </c>
      <c r="M4384" s="36" t="s">
        <v>8363</v>
      </c>
      <c r="N4384" s="36" t="s">
        <v>32</v>
      </c>
    </row>
    <row r="4385">
      <c r="A4385" s="36" t="s">
        <v>9106</v>
      </c>
      <c r="B4385" s="154" t="s">
        <v>9107</v>
      </c>
      <c r="C4385" s="36" t="s">
        <v>1666</v>
      </c>
      <c r="D4385" s="36" t="s">
        <v>204</v>
      </c>
      <c r="E4385" s="36" t="s">
        <v>204</v>
      </c>
      <c r="F4385" s="154" t="s">
        <v>8565</v>
      </c>
      <c r="G4385" s="36" t="s">
        <v>32</v>
      </c>
      <c r="H4385" s="36" t="s">
        <v>1655</v>
      </c>
      <c r="I4385" s="36" t="s">
        <v>1656</v>
      </c>
      <c r="J4385" s="36" t="s">
        <v>1656</v>
      </c>
      <c r="K4385" s="36" t="s">
        <v>1823</v>
      </c>
      <c r="L4385" s="36" t="s">
        <v>8363</v>
      </c>
      <c r="M4385" s="36" t="s">
        <v>8363</v>
      </c>
      <c r="N4385" s="36" t="s">
        <v>32</v>
      </c>
    </row>
    <row r="4386">
      <c r="A4386" s="36" t="s">
        <v>9108</v>
      </c>
      <c r="B4386" s="154" t="s">
        <v>9109</v>
      </c>
      <c r="C4386" s="36" t="s">
        <v>1666</v>
      </c>
      <c r="D4386" s="36" t="s">
        <v>130</v>
      </c>
      <c r="E4386" s="36" t="s">
        <v>130</v>
      </c>
      <c r="F4386" s="154" t="s">
        <v>1810</v>
      </c>
      <c r="G4386" s="36" t="s">
        <v>32</v>
      </c>
      <c r="H4386" s="36" t="s">
        <v>1655</v>
      </c>
      <c r="I4386" s="36" t="s">
        <v>1656</v>
      </c>
      <c r="J4386" s="36" t="s">
        <v>1656</v>
      </c>
      <c r="K4386" s="36" t="s">
        <v>1826</v>
      </c>
      <c r="L4386" s="36" t="s">
        <v>8363</v>
      </c>
      <c r="M4386" s="36" t="s">
        <v>8363</v>
      </c>
      <c r="N4386" s="36" t="s">
        <v>32</v>
      </c>
    </row>
    <row r="4387">
      <c r="A4387" s="36" t="s">
        <v>9110</v>
      </c>
      <c r="B4387" s="154" t="s">
        <v>9109</v>
      </c>
      <c r="C4387" s="36" t="s">
        <v>1666</v>
      </c>
      <c r="D4387" s="36" t="s">
        <v>207</v>
      </c>
      <c r="E4387" s="36" t="s">
        <v>207</v>
      </c>
      <c r="F4387" s="154" t="s">
        <v>2555</v>
      </c>
      <c r="G4387" s="36" t="s">
        <v>28</v>
      </c>
      <c r="H4387" s="36" t="s">
        <v>1655</v>
      </c>
      <c r="I4387" s="36" t="s">
        <v>1656</v>
      </c>
      <c r="J4387" s="36" t="s">
        <v>1656</v>
      </c>
      <c r="K4387" s="36" t="s">
        <v>1830</v>
      </c>
      <c r="L4387" s="36" t="s">
        <v>8363</v>
      </c>
      <c r="M4387" s="36" t="s">
        <v>8363</v>
      </c>
      <c r="N4387" s="36" t="s">
        <v>32</v>
      </c>
    </row>
    <row r="4388">
      <c r="A4388" s="36" t="s">
        <v>9111</v>
      </c>
      <c r="B4388" s="154" t="s">
        <v>9112</v>
      </c>
      <c r="C4388" s="36" t="s">
        <v>1666</v>
      </c>
      <c r="D4388" s="36" t="s">
        <v>79</v>
      </c>
      <c r="E4388" s="36" t="s">
        <v>79</v>
      </c>
      <c r="F4388" s="154" t="s">
        <v>9113</v>
      </c>
      <c r="G4388" s="36" t="s">
        <v>32</v>
      </c>
      <c r="H4388" s="36" t="s">
        <v>1655</v>
      </c>
      <c r="I4388" s="36" t="s">
        <v>1656</v>
      </c>
      <c r="J4388" s="36" t="s">
        <v>1656</v>
      </c>
      <c r="K4388" s="36" t="s">
        <v>1769</v>
      </c>
      <c r="L4388" s="36" t="s">
        <v>8363</v>
      </c>
      <c r="M4388" s="36" t="s">
        <v>8363</v>
      </c>
      <c r="N4388" s="36" t="s">
        <v>32</v>
      </c>
    </row>
    <row r="4389">
      <c r="A4389" s="36" t="s">
        <v>9114</v>
      </c>
      <c r="B4389" s="154" t="s">
        <v>9112</v>
      </c>
      <c r="C4389" s="36" t="s">
        <v>1666</v>
      </c>
      <c r="D4389" s="36" t="s">
        <v>82</v>
      </c>
      <c r="E4389" s="36" t="s">
        <v>82</v>
      </c>
      <c r="F4389" s="154" t="s">
        <v>9115</v>
      </c>
      <c r="G4389" s="36" t="s">
        <v>28</v>
      </c>
      <c r="H4389" s="36" t="s">
        <v>1655</v>
      </c>
      <c r="I4389" s="36" t="s">
        <v>1656</v>
      </c>
      <c r="J4389" s="36" t="s">
        <v>1656</v>
      </c>
      <c r="K4389" s="36" t="s">
        <v>1811</v>
      </c>
      <c r="L4389" s="36" t="s">
        <v>8363</v>
      </c>
      <c r="M4389" s="36" t="s">
        <v>8363</v>
      </c>
      <c r="N4389" s="36" t="s">
        <v>32</v>
      </c>
    </row>
    <row r="4390">
      <c r="A4390" s="36" t="s">
        <v>9116</v>
      </c>
      <c r="B4390" s="154" t="s">
        <v>9112</v>
      </c>
      <c r="C4390" s="36" t="s">
        <v>1666</v>
      </c>
      <c r="D4390" s="36" t="s">
        <v>83</v>
      </c>
      <c r="E4390" s="36" t="s">
        <v>83</v>
      </c>
      <c r="F4390" s="154" t="s">
        <v>9117</v>
      </c>
      <c r="G4390" s="36" t="s">
        <v>28</v>
      </c>
      <c r="H4390" s="36" t="s">
        <v>1655</v>
      </c>
      <c r="I4390" s="36" t="s">
        <v>1656</v>
      </c>
      <c r="J4390" s="36" t="s">
        <v>1656</v>
      </c>
      <c r="K4390" s="36" t="s">
        <v>1891</v>
      </c>
      <c r="L4390" s="36" t="s">
        <v>8363</v>
      </c>
      <c r="M4390" s="36" t="s">
        <v>8363</v>
      </c>
      <c r="N4390" s="36" t="s">
        <v>32</v>
      </c>
    </row>
    <row r="4391">
      <c r="A4391" s="36" t="s">
        <v>9118</v>
      </c>
      <c r="B4391" s="154" t="s">
        <v>9112</v>
      </c>
      <c r="C4391" s="36" t="s">
        <v>1666</v>
      </c>
      <c r="D4391" s="36" t="s">
        <v>84</v>
      </c>
      <c r="E4391" s="36" t="s">
        <v>84</v>
      </c>
      <c r="F4391" s="154" t="s">
        <v>8354</v>
      </c>
      <c r="G4391" s="36" t="s">
        <v>32</v>
      </c>
      <c r="H4391" s="36" t="s">
        <v>1655</v>
      </c>
      <c r="I4391" s="36" t="s">
        <v>1656</v>
      </c>
      <c r="J4391" s="36" t="s">
        <v>1656</v>
      </c>
      <c r="K4391" s="36" t="s">
        <v>1921</v>
      </c>
      <c r="L4391" s="36" t="s">
        <v>8363</v>
      </c>
      <c r="M4391" s="36" t="s">
        <v>8363</v>
      </c>
      <c r="N4391" s="36" t="s">
        <v>32</v>
      </c>
    </row>
    <row r="4392">
      <c r="A4392" s="36" t="s">
        <v>9119</v>
      </c>
      <c r="B4392" s="154" t="s">
        <v>9112</v>
      </c>
      <c r="C4392" s="36" t="s">
        <v>1666</v>
      </c>
      <c r="D4392" s="36" t="s">
        <v>124</v>
      </c>
      <c r="E4392" s="36" t="s">
        <v>124</v>
      </c>
      <c r="F4392" s="154" t="s">
        <v>9120</v>
      </c>
      <c r="G4392" s="36" t="s">
        <v>32</v>
      </c>
      <c r="H4392" s="36" t="s">
        <v>1655</v>
      </c>
      <c r="I4392" s="36" t="s">
        <v>1656</v>
      </c>
      <c r="J4392" s="36" t="s">
        <v>1656</v>
      </c>
      <c r="K4392" s="36" t="s">
        <v>1836</v>
      </c>
      <c r="L4392" s="36" t="s">
        <v>8363</v>
      </c>
      <c r="M4392" s="36" t="s">
        <v>8363</v>
      </c>
      <c r="N4392" s="36" t="s">
        <v>32</v>
      </c>
    </row>
    <row r="4393">
      <c r="A4393" s="36" t="s">
        <v>9121</v>
      </c>
      <c r="B4393" s="154" t="s">
        <v>9112</v>
      </c>
      <c r="C4393" s="36" t="s">
        <v>1666</v>
      </c>
      <c r="D4393" s="36" t="s">
        <v>133</v>
      </c>
      <c r="E4393" s="36" t="s">
        <v>133</v>
      </c>
      <c r="F4393" s="154" t="s">
        <v>9122</v>
      </c>
      <c r="G4393" s="36" t="s">
        <v>32</v>
      </c>
      <c r="H4393" s="36" t="s">
        <v>1655</v>
      </c>
      <c r="I4393" s="36" t="s">
        <v>1656</v>
      </c>
      <c r="J4393" s="36" t="s">
        <v>1656</v>
      </c>
      <c r="K4393" s="36" t="s">
        <v>1839</v>
      </c>
      <c r="L4393" s="36" t="s">
        <v>8363</v>
      </c>
      <c r="M4393" s="36" t="s">
        <v>8363</v>
      </c>
      <c r="N4393" s="36" t="s">
        <v>32</v>
      </c>
    </row>
    <row r="4394">
      <c r="A4394" s="36" t="s">
        <v>9123</v>
      </c>
      <c r="B4394" s="154" t="s">
        <v>9124</v>
      </c>
      <c r="C4394" s="36" t="s">
        <v>1653</v>
      </c>
      <c r="D4394" s="36" t="s">
        <v>158</v>
      </c>
      <c r="E4394" s="36" t="s">
        <v>39</v>
      </c>
      <c r="F4394" s="154" t="s">
        <v>9125</v>
      </c>
      <c r="G4394" s="36" t="s">
        <v>32</v>
      </c>
      <c r="H4394" s="36" t="s">
        <v>1655</v>
      </c>
      <c r="I4394" s="36" t="s">
        <v>1656</v>
      </c>
      <c r="J4394" s="36" t="s">
        <v>1656</v>
      </c>
      <c r="K4394" s="36" t="s">
        <v>5599</v>
      </c>
      <c r="L4394" s="36" t="s">
        <v>8454</v>
      </c>
      <c r="M4394" s="36" t="s">
        <v>8454</v>
      </c>
      <c r="N4394" s="36" t="s">
        <v>32</v>
      </c>
    </row>
    <row r="4395">
      <c r="A4395" s="36" t="s">
        <v>9126</v>
      </c>
      <c r="B4395" s="154" t="s">
        <v>9124</v>
      </c>
      <c r="C4395" s="36" t="s">
        <v>1653</v>
      </c>
      <c r="D4395" s="36" t="s">
        <v>43</v>
      </c>
      <c r="E4395" s="36" t="s">
        <v>39</v>
      </c>
      <c r="F4395" s="154" t="s">
        <v>9127</v>
      </c>
      <c r="G4395" s="36" t="s">
        <v>32</v>
      </c>
      <c r="H4395" s="36" t="s">
        <v>1655</v>
      </c>
      <c r="I4395" s="36" t="s">
        <v>1656</v>
      </c>
      <c r="J4395" s="36" t="s">
        <v>1656</v>
      </c>
      <c r="K4395" s="36" t="s">
        <v>1661</v>
      </c>
      <c r="L4395" s="36" t="s">
        <v>8454</v>
      </c>
      <c r="M4395" s="36" t="s">
        <v>8454</v>
      </c>
      <c r="N4395" s="36" t="s">
        <v>32</v>
      </c>
    </row>
    <row r="4396">
      <c r="A4396" s="36" t="s">
        <v>9128</v>
      </c>
      <c r="B4396" s="154" t="s">
        <v>9124</v>
      </c>
      <c r="C4396" s="36" t="s">
        <v>1653</v>
      </c>
      <c r="D4396" s="36" t="s">
        <v>179</v>
      </c>
      <c r="E4396" s="36" t="s">
        <v>39</v>
      </c>
      <c r="F4396" s="154" t="s">
        <v>9129</v>
      </c>
      <c r="G4396" s="36" t="s">
        <v>32</v>
      </c>
      <c r="H4396" s="36" t="s">
        <v>1655</v>
      </c>
      <c r="I4396" s="36" t="s">
        <v>1656</v>
      </c>
      <c r="J4396" s="36" t="s">
        <v>1656</v>
      </c>
      <c r="K4396" s="36" t="s">
        <v>2265</v>
      </c>
      <c r="L4396" s="36" t="s">
        <v>8454</v>
      </c>
      <c r="M4396" s="36" t="s">
        <v>8454</v>
      </c>
      <c r="N4396" s="36" t="s">
        <v>32</v>
      </c>
    </row>
    <row r="4397">
      <c r="A4397" s="36" t="s">
        <v>9130</v>
      </c>
      <c r="B4397" s="154" t="s">
        <v>9124</v>
      </c>
      <c r="C4397" s="36" t="s">
        <v>1666</v>
      </c>
      <c r="D4397" s="36" t="s">
        <v>85</v>
      </c>
      <c r="E4397" s="36" t="s">
        <v>85</v>
      </c>
      <c r="F4397" s="154" t="s">
        <v>8461</v>
      </c>
      <c r="G4397" s="36" t="s">
        <v>28</v>
      </c>
      <c r="H4397" s="36" t="s">
        <v>1655</v>
      </c>
      <c r="I4397" s="36" t="s">
        <v>1656</v>
      </c>
      <c r="J4397" s="36" t="s">
        <v>1656</v>
      </c>
      <c r="K4397" s="36" t="s">
        <v>3035</v>
      </c>
      <c r="L4397" s="36" t="s">
        <v>8363</v>
      </c>
      <c r="M4397" s="36" t="s">
        <v>8363</v>
      </c>
      <c r="N4397" s="36" t="s">
        <v>32</v>
      </c>
    </row>
    <row r="4398">
      <c r="A4398" s="36" t="s">
        <v>9131</v>
      </c>
      <c r="B4398" s="154" t="s">
        <v>9124</v>
      </c>
      <c r="C4398" s="36" t="s">
        <v>1666</v>
      </c>
      <c r="D4398" s="36" t="s">
        <v>191</v>
      </c>
      <c r="E4398" s="36" t="s">
        <v>191</v>
      </c>
      <c r="F4398" s="154" t="s">
        <v>1686</v>
      </c>
      <c r="G4398" s="36" t="s">
        <v>28</v>
      </c>
      <c r="H4398" s="36" t="s">
        <v>1655</v>
      </c>
      <c r="I4398" s="36" t="s">
        <v>1656</v>
      </c>
      <c r="J4398" s="36" t="s">
        <v>1656</v>
      </c>
      <c r="K4398" s="36" t="s">
        <v>1924</v>
      </c>
      <c r="L4398" s="36" t="s">
        <v>8363</v>
      </c>
      <c r="M4398" s="36" t="s">
        <v>8363</v>
      </c>
      <c r="N4398" s="36" t="s">
        <v>32</v>
      </c>
    </row>
    <row r="4399">
      <c r="A4399" s="36" t="s">
        <v>9132</v>
      </c>
      <c r="B4399" s="154" t="s">
        <v>9124</v>
      </c>
      <c r="C4399" s="36" t="s">
        <v>1666</v>
      </c>
      <c r="D4399" s="36" t="s">
        <v>92</v>
      </c>
      <c r="E4399" s="36" t="s">
        <v>92</v>
      </c>
      <c r="F4399" s="154" t="s">
        <v>9133</v>
      </c>
      <c r="G4399" s="36" t="s">
        <v>28</v>
      </c>
      <c r="H4399" s="36" t="s">
        <v>1655</v>
      </c>
      <c r="I4399" s="36" t="s">
        <v>1656</v>
      </c>
      <c r="J4399" s="36" t="s">
        <v>1656</v>
      </c>
      <c r="K4399" s="36" t="s">
        <v>1668</v>
      </c>
      <c r="L4399" s="36" t="s">
        <v>8363</v>
      </c>
      <c r="M4399" s="36" t="s">
        <v>8363</v>
      </c>
      <c r="N4399" s="36" t="s">
        <v>32</v>
      </c>
    </row>
    <row r="4400">
      <c r="A4400" s="36" t="s">
        <v>9134</v>
      </c>
      <c r="B4400" s="154" t="s">
        <v>9135</v>
      </c>
      <c r="C4400" s="36" t="s">
        <v>1666</v>
      </c>
      <c r="D4400" s="36" t="s">
        <v>90</v>
      </c>
      <c r="E4400" s="36" t="s">
        <v>90</v>
      </c>
      <c r="F4400" s="154" t="s">
        <v>1768</v>
      </c>
      <c r="G4400" s="36" t="s">
        <v>28</v>
      </c>
      <c r="H4400" s="36" t="s">
        <v>1655</v>
      </c>
      <c r="I4400" s="36" t="s">
        <v>1656</v>
      </c>
      <c r="J4400" s="36" t="s">
        <v>1656</v>
      </c>
      <c r="K4400" s="36" t="s">
        <v>1672</v>
      </c>
      <c r="L4400" s="36" t="s">
        <v>8363</v>
      </c>
      <c r="M4400" s="36" t="s">
        <v>8363</v>
      </c>
      <c r="N4400" s="36" t="s">
        <v>32</v>
      </c>
    </row>
    <row r="4401">
      <c r="A4401" s="36" t="s">
        <v>9136</v>
      </c>
      <c r="B4401" s="154" t="s">
        <v>9135</v>
      </c>
      <c r="C4401" s="36" t="s">
        <v>1666</v>
      </c>
      <c r="D4401" s="36" t="s">
        <v>210</v>
      </c>
      <c r="E4401" s="36" t="s">
        <v>210</v>
      </c>
      <c r="F4401" s="154" t="s">
        <v>1899</v>
      </c>
      <c r="G4401" s="36" t="s">
        <v>28</v>
      </c>
      <c r="H4401" s="36" t="s">
        <v>1655</v>
      </c>
      <c r="I4401" s="36" t="s">
        <v>1656</v>
      </c>
      <c r="J4401" s="36" t="s">
        <v>1656</v>
      </c>
      <c r="K4401" s="36" t="s">
        <v>1675</v>
      </c>
      <c r="L4401" s="36" t="s">
        <v>8363</v>
      </c>
      <c r="M4401" s="36" t="s">
        <v>8363</v>
      </c>
      <c r="N4401" s="36" t="s">
        <v>32</v>
      </c>
    </row>
    <row r="4402">
      <c r="A4402" s="36" t="s">
        <v>9137</v>
      </c>
      <c r="B4402" s="154" t="s">
        <v>9135</v>
      </c>
      <c r="C4402" s="36" t="s">
        <v>1666</v>
      </c>
      <c r="D4402" s="36" t="s">
        <v>218</v>
      </c>
      <c r="E4402" s="36" t="s">
        <v>218</v>
      </c>
      <c r="F4402" s="154" t="s">
        <v>2039</v>
      </c>
      <c r="G4402" s="36" t="s">
        <v>32</v>
      </c>
      <c r="H4402" s="36" t="s">
        <v>1655</v>
      </c>
      <c r="I4402" s="36" t="s">
        <v>1656</v>
      </c>
      <c r="J4402" s="36" t="s">
        <v>1656</v>
      </c>
      <c r="K4402" s="36" t="s">
        <v>1678</v>
      </c>
      <c r="L4402" s="36" t="s">
        <v>8363</v>
      </c>
      <c r="M4402" s="36" t="s">
        <v>8363</v>
      </c>
      <c r="N4402" s="36" t="s">
        <v>32</v>
      </c>
    </row>
    <row r="4403">
      <c r="A4403" s="36" t="s">
        <v>9138</v>
      </c>
      <c r="B4403" s="154" t="s">
        <v>9139</v>
      </c>
      <c r="C4403" s="36" t="s">
        <v>1666</v>
      </c>
      <c r="D4403" s="36" t="s">
        <v>78</v>
      </c>
      <c r="E4403" s="36" t="s">
        <v>78</v>
      </c>
      <c r="F4403" s="154" t="s">
        <v>1899</v>
      </c>
      <c r="G4403" s="36" t="s">
        <v>28</v>
      </c>
      <c r="H4403" s="36" t="s">
        <v>1655</v>
      </c>
      <c r="I4403" s="36" t="s">
        <v>1656</v>
      </c>
      <c r="J4403" s="36" t="s">
        <v>1656</v>
      </c>
      <c r="K4403" s="36" t="s">
        <v>4248</v>
      </c>
      <c r="L4403" s="36" t="s">
        <v>8363</v>
      </c>
      <c r="M4403" s="36" t="s">
        <v>8363</v>
      </c>
      <c r="N4403" s="36" t="s">
        <v>32</v>
      </c>
    </row>
    <row r="4404">
      <c r="A4404" s="36" t="s">
        <v>9140</v>
      </c>
      <c r="B4404" s="154" t="s">
        <v>9141</v>
      </c>
      <c r="C4404" s="36" t="s">
        <v>1666</v>
      </c>
      <c r="D4404" s="36" t="s">
        <v>63</v>
      </c>
      <c r="E4404" s="36" t="s">
        <v>63</v>
      </c>
      <c r="F4404" s="154" t="s">
        <v>9142</v>
      </c>
      <c r="G4404" s="36" t="s">
        <v>32</v>
      </c>
      <c r="H4404" s="36" t="s">
        <v>1655</v>
      </c>
      <c r="I4404" s="36" t="s">
        <v>1656</v>
      </c>
      <c r="J4404" s="36" t="s">
        <v>1656</v>
      </c>
      <c r="K4404" s="36" t="s">
        <v>4196</v>
      </c>
      <c r="L4404" s="36" t="s">
        <v>8363</v>
      </c>
      <c r="M4404" s="36" t="s">
        <v>8363</v>
      </c>
      <c r="N4404" s="36" t="s">
        <v>34</v>
      </c>
    </row>
    <row r="4405">
      <c r="A4405" s="36" t="s">
        <v>9143</v>
      </c>
      <c r="B4405" s="154" t="s">
        <v>9144</v>
      </c>
      <c r="C4405" s="36" t="s">
        <v>1666</v>
      </c>
      <c r="D4405" s="36" t="s">
        <v>64</v>
      </c>
      <c r="E4405" s="36" t="s">
        <v>64</v>
      </c>
      <c r="F4405" s="154" t="s">
        <v>9043</v>
      </c>
      <c r="G4405" s="36" t="s">
        <v>28</v>
      </c>
      <c r="H4405" s="36" t="s">
        <v>1655</v>
      </c>
      <c r="I4405" s="36" t="s">
        <v>1656</v>
      </c>
      <c r="J4405" s="36" t="s">
        <v>1656</v>
      </c>
      <c r="K4405" s="36" t="s">
        <v>1708</v>
      </c>
      <c r="L4405" s="36" t="s">
        <v>8363</v>
      </c>
      <c r="M4405" s="36" t="s">
        <v>8363</v>
      </c>
      <c r="N4405" s="36" t="s">
        <v>32</v>
      </c>
    </row>
    <row r="4406">
      <c r="A4406" s="36" t="s">
        <v>9145</v>
      </c>
      <c r="B4406" s="154" t="s">
        <v>9144</v>
      </c>
      <c r="C4406" s="36" t="s">
        <v>1666</v>
      </c>
      <c r="D4406" s="36" t="s">
        <v>224</v>
      </c>
      <c r="E4406" s="36" t="s">
        <v>224</v>
      </c>
      <c r="F4406" s="154" t="s">
        <v>2325</v>
      </c>
      <c r="G4406" s="36" t="s">
        <v>28</v>
      </c>
      <c r="H4406" s="36" t="s">
        <v>1655</v>
      </c>
      <c r="I4406" s="36" t="s">
        <v>1656</v>
      </c>
      <c r="J4406" s="36" t="s">
        <v>1656</v>
      </c>
      <c r="K4406" s="36" t="s">
        <v>1681</v>
      </c>
      <c r="L4406" s="36" t="s">
        <v>8363</v>
      </c>
      <c r="M4406" s="36" t="s">
        <v>8363</v>
      </c>
      <c r="N4406" s="36" t="s">
        <v>32</v>
      </c>
    </row>
    <row r="4407">
      <c r="A4407" s="36" t="s">
        <v>9146</v>
      </c>
      <c r="B4407" s="154" t="s">
        <v>9144</v>
      </c>
      <c r="C4407" s="36" t="s">
        <v>1666</v>
      </c>
      <c r="D4407" s="36" t="s">
        <v>232</v>
      </c>
      <c r="E4407" s="36" t="s">
        <v>232</v>
      </c>
      <c r="F4407" s="154" t="s">
        <v>1871</v>
      </c>
      <c r="G4407" s="36" t="s">
        <v>28</v>
      </c>
      <c r="H4407" s="36" t="s">
        <v>1655</v>
      </c>
      <c r="I4407" s="36" t="s">
        <v>1656</v>
      </c>
      <c r="J4407" s="36" t="s">
        <v>1656</v>
      </c>
      <c r="K4407" s="36" t="s">
        <v>1684</v>
      </c>
      <c r="L4407" s="36" t="s">
        <v>8363</v>
      </c>
      <c r="M4407" s="36" t="s">
        <v>8363</v>
      </c>
      <c r="N4407" s="36" t="s">
        <v>34</v>
      </c>
    </row>
    <row r="4408">
      <c r="A4408" s="36" t="s">
        <v>9147</v>
      </c>
      <c r="B4408" s="154" t="s">
        <v>9144</v>
      </c>
      <c r="C4408" s="36" t="s">
        <v>1666</v>
      </c>
      <c r="D4408" s="36" t="s">
        <v>239</v>
      </c>
      <c r="E4408" s="36" t="s">
        <v>239</v>
      </c>
      <c r="F4408" s="154" t="s">
        <v>3820</v>
      </c>
      <c r="G4408" s="36" t="s">
        <v>28</v>
      </c>
      <c r="H4408" s="36" t="s">
        <v>1655</v>
      </c>
      <c r="I4408" s="36" t="s">
        <v>1656</v>
      </c>
      <c r="J4408" s="36" t="s">
        <v>1656</v>
      </c>
      <c r="K4408" s="36" t="s">
        <v>1691</v>
      </c>
      <c r="L4408" s="36" t="s">
        <v>8363</v>
      </c>
      <c r="M4408" s="36" t="s">
        <v>8363</v>
      </c>
      <c r="N4408" s="36" t="s">
        <v>34</v>
      </c>
    </row>
    <row r="4409">
      <c r="A4409" s="36" t="s">
        <v>9148</v>
      </c>
      <c r="B4409" s="154" t="s">
        <v>9149</v>
      </c>
      <c r="C4409" s="36" t="s">
        <v>1666</v>
      </c>
      <c r="D4409" s="36" t="s">
        <v>66</v>
      </c>
      <c r="E4409" s="36" t="s">
        <v>66</v>
      </c>
      <c r="F4409" s="154" t="s">
        <v>9150</v>
      </c>
      <c r="G4409" s="36" t="s">
        <v>28</v>
      </c>
      <c r="H4409" s="36" t="s">
        <v>1655</v>
      </c>
      <c r="I4409" s="36" t="s">
        <v>1656</v>
      </c>
      <c r="J4409" s="36" t="s">
        <v>1656</v>
      </c>
      <c r="K4409" s="36" t="s">
        <v>1721</v>
      </c>
      <c r="L4409" s="36" t="s">
        <v>8363</v>
      </c>
      <c r="M4409" s="36" t="s">
        <v>8363</v>
      </c>
      <c r="N4409" s="36" t="s">
        <v>32</v>
      </c>
    </row>
    <row r="4410">
      <c r="A4410" s="36" t="s">
        <v>9151</v>
      </c>
      <c r="B4410" s="154" t="s">
        <v>9149</v>
      </c>
      <c r="C4410" s="36" t="s">
        <v>1666</v>
      </c>
      <c r="D4410" s="36" t="s">
        <v>100</v>
      </c>
      <c r="E4410" s="36" t="s">
        <v>100</v>
      </c>
      <c r="F4410" s="154" t="s">
        <v>1686</v>
      </c>
      <c r="G4410" s="36" t="s">
        <v>32</v>
      </c>
      <c r="H4410" s="36" t="s">
        <v>1655</v>
      </c>
      <c r="I4410" s="36" t="s">
        <v>1656</v>
      </c>
      <c r="J4410" s="36" t="s">
        <v>1656</v>
      </c>
      <c r="K4410" s="36" t="s">
        <v>1695</v>
      </c>
      <c r="L4410" s="36" t="s">
        <v>8363</v>
      </c>
      <c r="M4410" s="36" t="s">
        <v>8363</v>
      </c>
      <c r="N4410" s="36" t="s">
        <v>32</v>
      </c>
    </row>
    <row r="4411">
      <c r="A4411" s="36" t="s">
        <v>9152</v>
      </c>
      <c r="B4411" s="154" t="s">
        <v>9153</v>
      </c>
      <c r="C4411" s="36" t="s">
        <v>1653</v>
      </c>
      <c r="D4411" s="36" t="s">
        <v>55</v>
      </c>
      <c r="E4411" s="36" t="s">
        <v>39</v>
      </c>
      <c r="F4411" s="154" t="s">
        <v>9154</v>
      </c>
      <c r="G4411" s="36" t="s">
        <v>32</v>
      </c>
      <c r="H4411" s="36" t="s">
        <v>1655</v>
      </c>
      <c r="I4411" s="36" t="s">
        <v>1656</v>
      </c>
      <c r="J4411" s="36" t="s">
        <v>1656</v>
      </c>
      <c r="K4411" s="36" t="s">
        <v>1749</v>
      </c>
      <c r="L4411" s="36" t="s">
        <v>8454</v>
      </c>
      <c r="M4411" s="36" t="s">
        <v>8454</v>
      </c>
      <c r="N4411" s="36" t="s">
        <v>32</v>
      </c>
    </row>
    <row r="4412">
      <c r="A4412" s="36" t="s">
        <v>9155</v>
      </c>
      <c r="B4412" s="154" t="s">
        <v>9153</v>
      </c>
      <c r="C4412" s="36" t="s">
        <v>1666</v>
      </c>
      <c r="D4412" s="36" t="s">
        <v>71</v>
      </c>
      <c r="E4412" s="36" t="s">
        <v>71</v>
      </c>
      <c r="F4412" s="154" t="s">
        <v>8091</v>
      </c>
      <c r="G4412" s="36" t="s">
        <v>32</v>
      </c>
      <c r="H4412" s="36" t="s">
        <v>1655</v>
      </c>
      <c r="I4412" s="36" t="s">
        <v>1656</v>
      </c>
      <c r="J4412" s="36" t="s">
        <v>1656</v>
      </c>
      <c r="K4412" s="36" t="s">
        <v>1752</v>
      </c>
      <c r="L4412" s="36" t="s">
        <v>8363</v>
      </c>
      <c r="M4412" s="36" t="s">
        <v>8363</v>
      </c>
      <c r="N4412" s="36" t="s">
        <v>32</v>
      </c>
    </row>
    <row r="4413">
      <c r="A4413" s="36" t="s">
        <v>9156</v>
      </c>
      <c r="B4413" s="154" t="s">
        <v>9153</v>
      </c>
      <c r="C4413" s="36" t="s">
        <v>1666</v>
      </c>
      <c r="D4413" s="36" t="s">
        <v>73</v>
      </c>
      <c r="E4413" s="36" t="s">
        <v>73</v>
      </c>
      <c r="F4413" s="154" t="s">
        <v>8093</v>
      </c>
      <c r="G4413" s="36" t="s">
        <v>28</v>
      </c>
      <c r="H4413" s="36" t="s">
        <v>1655</v>
      </c>
      <c r="I4413" s="36" t="s">
        <v>1656</v>
      </c>
      <c r="J4413" s="36" t="s">
        <v>1656</v>
      </c>
      <c r="K4413" s="36" t="s">
        <v>1755</v>
      </c>
      <c r="L4413" s="36" t="s">
        <v>8363</v>
      </c>
      <c r="M4413" s="36" t="s">
        <v>8363</v>
      </c>
      <c r="N4413" s="36" t="s">
        <v>32</v>
      </c>
    </row>
    <row r="4414">
      <c r="A4414" s="36" t="s">
        <v>9157</v>
      </c>
      <c r="B4414" s="154" t="s">
        <v>9153</v>
      </c>
      <c r="C4414" s="36" t="s">
        <v>1666</v>
      </c>
      <c r="D4414" s="36" t="s">
        <v>74</v>
      </c>
      <c r="E4414" s="36" t="s">
        <v>74</v>
      </c>
      <c r="F4414" s="154" t="s">
        <v>8095</v>
      </c>
      <c r="G4414" s="36" t="s">
        <v>32</v>
      </c>
      <c r="H4414" s="36" t="s">
        <v>1655</v>
      </c>
      <c r="I4414" s="36" t="s">
        <v>1656</v>
      </c>
      <c r="J4414" s="36" t="s">
        <v>1656</v>
      </c>
      <c r="K4414" s="36" t="s">
        <v>1757</v>
      </c>
      <c r="L4414" s="36" t="s">
        <v>8363</v>
      </c>
      <c r="M4414" s="36" t="s">
        <v>8363</v>
      </c>
      <c r="N4414" s="36" t="s">
        <v>32</v>
      </c>
    </row>
    <row r="4415">
      <c r="A4415" s="36" t="s">
        <v>9158</v>
      </c>
      <c r="B4415" s="154" t="s">
        <v>9153</v>
      </c>
      <c r="C4415" s="36" t="s">
        <v>1666</v>
      </c>
      <c r="D4415" s="36" t="s">
        <v>75</v>
      </c>
      <c r="E4415" s="36" t="s">
        <v>75</v>
      </c>
      <c r="F4415" s="154" t="s">
        <v>8097</v>
      </c>
      <c r="G4415" s="36" t="s">
        <v>28</v>
      </c>
      <c r="H4415" s="36" t="s">
        <v>1655</v>
      </c>
      <c r="I4415" s="36" t="s">
        <v>1656</v>
      </c>
      <c r="J4415" s="36" t="s">
        <v>1656</v>
      </c>
      <c r="K4415" s="36" t="s">
        <v>1760</v>
      </c>
      <c r="L4415" s="36" t="s">
        <v>8363</v>
      </c>
      <c r="M4415" s="36" t="s">
        <v>8363</v>
      </c>
      <c r="N4415" s="36" t="s">
        <v>32</v>
      </c>
    </row>
    <row r="4416">
      <c r="A4416" s="36" t="s">
        <v>9159</v>
      </c>
      <c r="B4416" s="154" t="s">
        <v>9153</v>
      </c>
      <c r="C4416" s="36" t="s">
        <v>1666</v>
      </c>
      <c r="D4416" s="36" t="s">
        <v>76</v>
      </c>
      <c r="E4416" s="36" t="s">
        <v>76</v>
      </c>
      <c r="F4416" s="154" t="s">
        <v>9160</v>
      </c>
      <c r="G4416" s="36" t="s">
        <v>28</v>
      </c>
      <c r="H4416" s="36" t="s">
        <v>1655</v>
      </c>
      <c r="I4416" s="36" t="s">
        <v>1656</v>
      </c>
      <c r="J4416" s="36" t="s">
        <v>1656</v>
      </c>
      <c r="K4416" s="36" t="s">
        <v>1763</v>
      </c>
      <c r="L4416" s="36" t="s">
        <v>8363</v>
      </c>
      <c r="M4416" s="36" t="s">
        <v>8363</v>
      </c>
      <c r="N4416" s="36" t="s">
        <v>32</v>
      </c>
    </row>
    <row r="4417">
      <c r="A4417" s="36" t="s">
        <v>9161</v>
      </c>
      <c r="B4417" s="154" t="s">
        <v>9153</v>
      </c>
      <c r="C4417" s="36" t="s">
        <v>1666</v>
      </c>
      <c r="D4417" s="36" t="s">
        <v>220</v>
      </c>
      <c r="E4417" s="36" t="s">
        <v>220</v>
      </c>
      <c r="F4417" s="154" t="s">
        <v>9162</v>
      </c>
      <c r="G4417" s="36" t="s">
        <v>28</v>
      </c>
      <c r="H4417" s="36" t="s">
        <v>1655</v>
      </c>
      <c r="I4417" s="36" t="s">
        <v>1656</v>
      </c>
      <c r="J4417" s="36" t="s">
        <v>1656</v>
      </c>
      <c r="K4417" s="36" t="s">
        <v>1698</v>
      </c>
      <c r="L4417" s="36" t="s">
        <v>8363</v>
      </c>
      <c r="M4417" s="36" t="s">
        <v>8363</v>
      </c>
      <c r="N4417" s="36" t="s">
        <v>32</v>
      </c>
    </row>
    <row r="4418">
      <c r="A4418" s="36" t="s">
        <v>9163</v>
      </c>
      <c r="B4418" s="154" t="s">
        <v>9153</v>
      </c>
      <c r="C4418" s="36" t="s">
        <v>1666</v>
      </c>
      <c r="D4418" s="36" t="s">
        <v>256</v>
      </c>
      <c r="E4418" s="36" t="s">
        <v>256</v>
      </c>
      <c r="F4418" s="154" t="s">
        <v>9164</v>
      </c>
      <c r="G4418" s="36" t="s">
        <v>32</v>
      </c>
      <c r="H4418" s="36" t="s">
        <v>1655</v>
      </c>
      <c r="I4418" s="36" t="s">
        <v>1656</v>
      </c>
      <c r="J4418" s="36" t="s">
        <v>1656</v>
      </c>
      <c r="K4418" s="36" t="s">
        <v>1701</v>
      </c>
      <c r="L4418" s="36" t="s">
        <v>8363</v>
      </c>
      <c r="M4418" s="36" t="s">
        <v>8363</v>
      </c>
      <c r="N4418" s="36" t="s">
        <v>32</v>
      </c>
    </row>
    <row r="4419">
      <c r="A4419" s="36" t="s">
        <v>9165</v>
      </c>
      <c r="B4419" s="154" t="s">
        <v>9153</v>
      </c>
      <c r="C4419" s="36" t="s">
        <v>1666</v>
      </c>
      <c r="D4419" s="36" t="s">
        <v>115</v>
      </c>
      <c r="E4419" s="36" t="s">
        <v>115</v>
      </c>
      <c r="F4419" s="154" t="s">
        <v>1683</v>
      </c>
      <c r="G4419" s="36" t="s">
        <v>32</v>
      </c>
      <c r="H4419" s="36" t="s">
        <v>1655</v>
      </c>
      <c r="I4419" s="36" t="s">
        <v>1656</v>
      </c>
      <c r="J4419" s="36" t="s">
        <v>1656</v>
      </c>
      <c r="K4419" s="36" t="s">
        <v>1704</v>
      </c>
      <c r="L4419" s="36" t="s">
        <v>8363</v>
      </c>
      <c r="M4419" s="36" t="s">
        <v>8363</v>
      </c>
      <c r="N4419" s="36" t="s">
        <v>32</v>
      </c>
    </row>
    <row r="4420">
      <c r="A4420" s="36" t="s">
        <v>9166</v>
      </c>
      <c r="B4420" s="154" t="s">
        <v>9153</v>
      </c>
      <c r="C4420" s="36" t="s">
        <v>1666</v>
      </c>
      <c r="D4420" s="36" t="s">
        <v>114</v>
      </c>
      <c r="E4420" s="36" t="s">
        <v>114</v>
      </c>
      <c r="F4420" s="154" t="s">
        <v>1683</v>
      </c>
      <c r="G4420" s="36" t="s">
        <v>32</v>
      </c>
      <c r="H4420" s="36" t="s">
        <v>1655</v>
      </c>
      <c r="I4420" s="36" t="s">
        <v>1656</v>
      </c>
      <c r="J4420" s="36" t="s">
        <v>1656</v>
      </c>
      <c r="K4420" s="36" t="s">
        <v>1711</v>
      </c>
      <c r="L4420" s="36" t="s">
        <v>8363</v>
      </c>
      <c r="M4420" s="36" t="s">
        <v>8363</v>
      </c>
      <c r="N4420" s="36" t="s">
        <v>32</v>
      </c>
    </row>
    <row r="4421">
      <c r="A4421" s="36" t="s">
        <v>9167</v>
      </c>
      <c r="B4421" s="154" t="s">
        <v>9153</v>
      </c>
      <c r="C4421" s="36" t="s">
        <v>1666</v>
      </c>
      <c r="D4421" s="36" t="s">
        <v>270</v>
      </c>
      <c r="E4421" s="36" t="s">
        <v>270</v>
      </c>
      <c r="F4421" s="154" t="s">
        <v>9168</v>
      </c>
      <c r="G4421" s="36" t="s">
        <v>32</v>
      </c>
      <c r="H4421" s="36" t="s">
        <v>1655</v>
      </c>
      <c r="I4421" s="36" t="s">
        <v>1656</v>
      </c>
      <c r="J4421" s="36" t="s">
        <v>1656</v>
      </c>
      <c r="K4421" s="36" t="s">
        <v>1715</v>
      </c>
      <c r="L4421" s="36" t="s">
        <v>8363</v>
      </c>
      <c r="M4421" s="36" t="s">
        <v>8363</v>
      </c>
      <c r="N4421" s="36" t="s">
        <v>32</v>
      </c>
    </row>
    <row r="4422">
      <c r="A4422" s="36" t="s">
        <v>9169</v>
      </c>
      <c r="B4422" s="154" t="s">
        <v>9170</v>
      </c>
      <c r="C4422" s="36" t="s">
        <v>1666</v>
      </c>
      <c r="D4422" s="36" t="s">
        <v>274</v>
      </c>
      <c r="E4422" s="36" t="s">
        <v>274</v>
      </c>
      <c r="F4422" s="154" t="s">
        <v>9171</v>
      </c>
      <c r="G4422" s="36" t="s">
        <v>28</v>
      </c>
      <c r="H4422" s="36" t="s">
        <v>1655</v>
      </c>
      <c r="I4422" s="36" t="s">
        <v>1656</v>
      </c>
      <c r="J4422" s="36" t="s">
        <v>1656</v>
      </c>
      <c r="K4422" s="36" t="s">
        <v>1717</v>
      </c>
      <c r="L4422" s="36" t="s">
        <v>8363</v>
      </c>
      <c r="M4422" s="36" t="s">
        <v>8363</v>
      </c>
      <c r="N4422" s="36" t="s">
        <v>34</v>
      </c>
    </row>
    <row r="4423">
      <c r="A4423" s="36" t="s">
        <v>9172</v>
      </c>
      <c r="B4423" s="154" t="s">
        <v>9170</v>
      </c>
      <c r="C4423" s="36" t="s">
        <v>1666</v>
      </c>
      <c r="D4423" s="36" t="s">
        <v>278</v>
      </c>
      <c r="E4423" s="36" t="s">
        <v>278</v>
      </c>
      <c r="F4423" s="154" t="s">
        <v>3838</v>
      </c>
      <c r="G4423" s="36" t="s">
        <v>28</v>
      </c>
      <c r="H4423" s="36" t="s">
        <v>1655</v>
      </c>
      <c r="I4423" s="36" t="s">
        <v>1656</v>
      </c>
      <c r="J4423" s="36" t="s">
        <v>1656</v>
      </c>
      <c r="K4423" s="36" t="s">
        <v>1724</v>
      </c>
      <c r="L4423" s="36" t="s">
        <v>8363</v>
      </c>
      <c r="M4423" s="36" t="s">
        <v>8363</v>
      </c>
      <c r="N4423" s="36" t="s">
        <v>34</v>
      </c>
    </row>
    <row r="4424">
      <c r="A4424" s="36" t="s">
        <v>9173</v>
      </c>
      <c r="B4424" s="154" t="s">
        <v>9170</v>
      </c>
      <c r="C4424" s="36" t="s">
        <v>1666</v>
      </c>
      <c r="D4424" s="36" t="s">
        <v>282</v>
      </c>
      <c r="E4424" s="36" t="s">
        <v>282</v>
      </c>
      <c r="F4424" s="154" t="s">
        <v>7893</v>
      </c>
      <c r="G4424" s="36" t="s">
        <v>28</v>
      </c>
      <c r="H4424" s="36" t="s">
        <v>1655</v>
      </c>
      <c r="I4424" s="36" t="s">
        <v>1656</v>
      </c>
      <c r="J4424" s="36" t="s">
        <v>1656</v>
      </c>
      <c r="K4424" s="36" t="s">
        <v>1727</v>
      </c>
      <c r="L4424" s="36" t="s">
        <v>8363</v>
      </c>
      <c r="M4424" s="36" t="s">
        <v>8363</v>
      </c>
      <c r="N4424" s="36" t="s">
        <v>34</v>
      </c>
    </row>
    <row r="4425">
      <c r="A4425" s="36" t="s">
        <v>9174</v>
      </c>
      <c r="B4425" s="154" t="s">
        <v>9170</v>
      </c>
      <c r="C4425" s="36" t="s">
        <v>1666</v>
      </c>
      <c r="D4425" s="36" t="s">
        <v>285</v>
      </c>
      <c r="E4425" s="36" t="s">
        <v>285</v>
      </c>
      <c r="F4425" s="154" t="s">
        <v>1768</v>
      </c>
      <c r="G4425" s="36" t="s">
        <v>28</v>
      </c>
      <c r="H4425" s="36" t="s">
        <v>1655</v>
      </c>
      <c r="I4425" s="36" t="s">
        <v>1656</v>
      </c>
      <c r="J4425" s="36" t="s">
        <v>1656</v>
      </c>
      <c r="K4425" s="36" t="s">
        <v>1730</v>
      </c>
      <c r="L4425" s="36" t="s">
        <v>8363</v>
      </c>
      <c r="M4425" s="36" t="s">
        <v>8363</v>
      </c>
      <c r="N4425" s="36" t="s">
        <v>34</v>
      </c>
    </row>
    <row r="4426">
      <c r="A4426" s="36" t="s">
        <v>9175</v>
      </c>
      <c r="B4426" s="154" t="s">
        <v>9170</v>
      </c>
      <c r="C4426" s="36" t="s">
        <v>1666</v>
      </c>
      <c r="D4426" s="36" t="s">
        <v>289</v>
      </c>
      <c r="E4426" s="36" t="s">
        <v>289</v>
      </c>
      <c r="F4426" s="154" t="s">
        <v>1686</v>
      </c>
      <c r="G4426" s="36" t="s">
        <v>28</v>
      </c>
      <c r="H4426" s="36" t="s">
        <v>1655</v>
      </c>
      <c r="I4426" s="36" t="s">
        <v>1656</v>
      </c>
      <c r="J4426" s="36" t="s">
        <v>1656</v>
      </c>
      <c r="K4426" s="36" t="s">
        <v>1732</v>
      </c>
      <c r="L4426" s="36" t="s">
        <v>8363</v>
      </c>
      <c r="M4426" s="36" t="s">
        <v>8363</v>
      </c>
      <c r="N4426" s="36" t="s">
        <v>34</v>
      </c>
    </row>
    <row r="4427">
      <c r="A4427" s="36" t="s">
        <v>9176</v>
      </c>
      <c r="B4427" s="154" t="s">
        <v>9177</v>
      </c>
      <c r="C4427" s="36" t="s">
        <v>1666</v>
      </c>
      <c r="D4427" s="36" t="s">
        <v>294</v>
      </c>
      <c r="E4427" s="36" t="s">
        <v>294</v>
      </c>
      <c r="F4427" s="154" t="s">
        <v>2835</v>
      </c>
      <c r="G4427" s="36" t="s">
        <v>28</v>
      </c>
      <c r="H4427" s="36" t="s">
        <v>1655</v>
      </c>
      <c r="I4427" s="36" t="s">
        <v>1656</v>
      </c>
      <c r="J4427" s="36" t="s">
        <v>1656</v>
      </c>
      <c r="K4427" s="36" t="s">
        <v>1736</v>
      </c>
      <c r="L4427" s="36" t="s">
        <v>8363</v>
      </c>
      <c r="M4427" s="36" t="s">
        <v>8363</v>
      </c>
      <c r="N4427" s="36" t="s">
        <v>34</v>
      </c>
    </row>
    <row r="4428">
      <c r="A4428" s="36" t="s">
        <v>9178</v>
      </c>
      <c r="B4428" s="154" t="s">
        <v>9177</v>
      </c>
      <c r="C4428" s="36" t="s">
        <v>1666</v>
      </c>
      <c r="D4428" s="36" t="s">
        <v>300</v>
      </c>
      <c r="E4428" s="36" t="s">
        <v>300</v>
      </c>
      <c r="F4428" s="154" t="s">
        <v>1966</v>
      </c>
      <c r="G4428" s="36" t="s">
        <v>28</v>
      </c>
      <c r="H4428" s="36" t="s">
        <v>1655</v>
      </c>
      <c r="I4428" s="36" t="s">
        <v>1656</v>
      </c>
      <c r="J4428" s="36" t="s">
        <v>1656</v>
      </c>
      <c r="K4428" s="36" t="s">
        <v>1739</v>
      </c>
      <c r="L4428" s="36" t="s">
        <v>8363</v>
      </c>
      <c r="M4428" s="36" t="s">
        <v>8363</v>
      </c>
      <c r="N4428" s="36" t="s">
        <v>34</v>
      </c>
    </row>
    <row r="4429">
      <c r="A4429" s="36" t="s">
        <v>9179</v>
      </c>
      <c r="B4429" s="154" t="s">
        <v>9177</v>
      </c>
      <c r="C4429" s="36" t="s">
        <v>1666</v>
      </c>
      <c r="D4429" s="36" t="s">
        <v>304</v>
      </c>
      <c r="E4429" s="36" t="s">
        <v>304</v>
      </c>
      <c r="F4429" s="154" t="s">
        <v>2156</v>
      </c>
      <c r="G4429" s="36" t="s">
        <v>28</v>
      </c>
      <c r="H4429" s="36" t="s">
        <v>1655</v>
      </c>
      <c r="I4429" s="36" t="s">
        <v>1656</v>
      </c>
      <c r="J4429" s="36" t="s">
        <v>1656</v>
      </c>
      <c r="K4429" s="36" t="s">
        <v>1742</v>
      </c>
      <c r="L4429" s="36" t="s">
        <v>8363</v>
      </c>
      <c r="M4429" s="36" t="s">
        <v>8363</v>
      </c>
      <c r="N4429" s="36" t="s">
        <v>34</v>
      </c>
    </row>
    <row r="4430">
      <c r="A4430" s="36" t="s">
        <v>9180</v>
      </c>
      <c r="B4430" s="154" t="s">
        <v>9181</v>
      </c>
      <c r="C4430" s="36" t="s">
        <v>1666</v>
      </c>
      <c r="D4430" s="36" t="s">
        <v>309</v>
      </c>
      <c r="E4430" s="36" t="s">
        <v>309</v>
      </c>
      <c r="F4430" s="154" t="s">
        <v>3838</v>
      </c>
      <c r="G4430" s="36" t="s">
        <v>28</v>
      </c>
      <c r="H4430" s="36" t="s">
        <v>1655</v>
      </c>
      <c r="I4430" s="36" t="s">
        <v>1656</v>
      </c>
      <c r="J4430" s="36" t="s">
        <v>1656</v>
      </c>
      <c r="K4430" s="36" t="s">
        <v>1745</v>
      </c>
      <c r="L4430" s="36" t="s">
        <v>8363</v>
      </c>
      <c r="M4430" s="36" t="s">
        <v>8363</v>
      </c>
      <c r="N4430" s="36" t="s">
        <v>34</v>
      </c>
    </row>
    <row r="4431">
      <c r="A4431" s="36" t="s">
        <v>9182</v>
      </c>
      <c r="B4431" s="154" t="s">
        <v>9181</v>
      </c>
      <c r="C4431" s="36" t="s">
        <v>1666</v>
      </c>
      <c r="D4431" s="36" t="s">
        <v>315</v>
      </c>
      <c r="E4431" s="36" t="s">
        <v>315</v>
      </c>
      <c r="F4431" s="154" t="s">
        <v>2027</v>
      </c>
      <c r="G4431" s="36" t="s">
        <v>28</v>
      </c>
      <c r="H4431" s="36" t="s">
        <v>1655</v>
      </c>
      <c r="I4431" s="36" t="s">
        <v>1656</v>
      </c>
      <c r="J4431" s="36" t="s">
        <v>1656</v>
      </c>
      <c r="K4431" s="36" t="s">
        <v>1773</v>
      </c>
      <c r="L4431" s="36" t="s">
        <v>8363</v>
      </c>
      <c r="M4431" s="36" t="s">
        <v>8363</v>
      </c>
      <c r="N4431" s="36" t="s">
        <v>34</v>
      </c>
    </row>
    <row r="4432">
      <c r="A4432" s="36" t="s">
        <v>9183</v>
      </c>
      <c r="B4432" s="154" t="s">
        <v>9184</v>
      </c>
      <c r="C4432" s="36" t="s">
        <v>1666</v>
      </c>
      <c r="D4432" s="36" t="s">
        <v>319</v>
      </c>
      <c r="E4432" s="36" t="s">
        <v>319</v>
      </c>
      <c r="F4432" s="154" t="s">
        <v>1899</v>
      </c>
      <c r="G4432" s="36" t="s">
        <v>28</v>
      </c>
      <c r="H4432" s="36" t="s">
        <v>1655</v>
      </c>
      <c r="I4432" s="36" t="s">
        <v>1656</v>
      </c>
      <c r="J4432" s="36" t="s">
        <v>1656</v>
      </c>
      <c r="K4432" s="36" t="s">
        <v>1776</v>
      </c>
      <c r="L4432" s="36" t="s">
        <v>8363</v>
      </c>
      <c r="M4432" s="36" t="s">
        <v>8363</v>
      </c>
      <c r="N4432" s="36" t="s">
        <v>34</v>
      </c>
    </row>
    <row r="4433">
      <c r="A4433" s="36" t="s">
        <v>9185</v>
      </c>
      <c r="B4433" s="154" t="s">
        <v>9186</v>
      </c>
      <c r="C4433" s="36" t="s">
        <v>1666</v>
      </c>
      <c r="D4433" s="36" t="s">
        <v>323</v>
      </c>
      <c r="E4433" s="36" t="s">
        <v>323</v>
      </c>
      <c r="F4433" s="154" t="s">
        <v>9187</v>
      </c>
      <c r="G4433" s="36" t="s">
        <v>28</v>
      </c>
      <c r="H4433" s="36" t="s">
        <v>1655</v>
      </c>
      <c r="I4433" s="36" t="s">
        <v>1656</v>
      </c>
      <c r="J4433" s="36" t="s">
        <v>1656</v>
      </c>
      <c r="K4433" s="36" t="s">
        <v>1779</v>
      </c>
      <c r="L4433" s="36" t="s">
        <v>8363</v>
      </c>
      <c r="M4433" s="36" t="s">
        <v>8363</v>
      </c>
      <c r="N4433" s="36" t="s">
        <v>34</v>
      </c>
    </row>
    <row r="4434">
      <c r="A4434" s="36" t="s">
        <v>9188</v>
      </c>
      <c r="B4434" s="154" t="s">
        <v>9186</v>
      </c>
      <c r="C4434" s="36" t="s">
        <v>1666</v>
      </c>
      <c r="D4434" s="36" t="s">
        <v>210</v>
      </c>
      <c r="E4434" s="36" t="s">
        <v>210</v>
      </c>
      <c r="F4434" s="154" t="s">
        <v>1959</v>
      </c>
      <c r="G4434" s="36" t="s">
        <v>28</v>
      </c>
      <c r="H4434" s="36" t="s">
        <v>1655</v>
      </c>
      <c r="I4434" s="36" t="s">
        <v>1656</v>
      </c>
      <c r="J4434" s="36" t="s">
        <v>1656</v>
      </c>
      <c r="K4434" s="36" t="s">
        <v>1782</v>
      </c>
      <c r="L4434" s="36" t="s">
        <v>8363</v>
      </c>
      <c r="M4434" s="36" t="s">
        <v>8363</v>
      </c>
      <c r="N4434" s="36" t="s">
        <v>34</v>
      </c>
    </row>
    <row r="4435">
      <c r="A4435" s="36" t="s">
        <v>9189</v>
      </c>
      <c r="B4435" s="154" t="s">
        <v>9190</v>
      </c>
      <c r="C4435" s="36" t="s">
        <v>1666</v>
      </c>
      <c r="D4435" s="36" t="s">
        <v>92</v>
      </c>
      <c r="E4435" s="36" t="s">
        <v>92</v>
      </c>
      <c r="F4435" s="154" t="s">
        <v>1806</v>
      </c>
      <c r="G4435" s="36" t="s">
        <v>32</v>
      </c>
      <c r="H4435" s="36" t="s">
        <v>1655</v>
      </c>
      <c r="I4435" s="36" t="s">
        <v>1656</v>
      </c>
      <c r="J4435" s="36" t="s">
        <v>1656</v>
      </c>
      <c r="K4435" s="36" t="s">
        <v>1784</v>
      </c>
      <c r="L4435" s="36" t="s">
        <v>8363</v>
      </c>
      <c r="M4435" s="36" t="s">
        <v>8363</v>
      </c>
      <c r="N4435" s="36" t="s">
        <v>32</v>
      </c>
    </row>
    <row r="4436">
      <c r="A4436" s="36" t="s">
        <v>9191</v>
      </c>
      <c r="B4436" s="154" t="s">
        <v>9192</v>
      </c>
      <c r="C4436" s="36" t="s">
        <v>1666</v>
      </c>
      <c r="D4436" s="36" t="s">
        <v>218</v>
      </c>
      <c r="E4436" s="36" t="s">
        <v>218</v>
      </c>
      <c r="F4436" s="154" t="s">
        <v>2039</v>
      </c>
      <c r="G4436" s="36" t="s">
        <v>32</v>
      </c>
      <c r="H4436" s="36" t="s">
        <v>1655</v>
      </c>
      <c r="I4436" s="36" t="s">
        <v>1656</v>
      </c>
      <c r="J4436" s="36" t="s">
        <v>1656</v>
      </c>
      <c r="K4436" s="36" t="s">
        <v>1787</v>
      </c>
      <c r="L4436" s="36" t="s">
        <v>8363</v>
      </c>
      <c r="M4436" s="36" t="s">
        <v>8363</v>
      </c>
      <c r="N4436" s="36" t="s">
        <v>32</v>
      </c>
    </row>
    <row r="4437">
      <c r="A4437" s="36" t="s">
        <v>9193</v>
      </c>
      <c r="B4437" s="154" t="s">
        <v>9192</v>
      </c>
      <c r="C4437" s="36" t="s">
        <v>1666</v>
      </c>
      <c r="D4437" s="36" t="s">
        <v>288</v>
      </c>
      <c r="E4437" s="36" t="s">
        <v>288</v>
      </c>
      <c r="F4437" s="154" t="s">
        <v>2006</v>
      </c>
      <c r="G4437" s="36" t="s">
        <v>32</v>
      </c>
      <c r="H4437" s="36" t="s">
        <v>1655</v>
      </c>
      <c r="I4437" s="36" t="s">
        <v>1656</v>
      </c>
      <c r="J4437" s="36" t="s">
        <v>1656</v>
      </c>
      <c r="K4437" s="36" t="s">
        <v>1790</v>
      </c>
      <c r="L4437" s="36" t="s">
        <v>8363</v>
      </c>
      <c r="M4437" s="36" t="s">
        <v>8363</v>
      </c>
      <c r="N4437" s="36" t="s">
        <v>32</v>
      </c>
    </row>
    <row r="4438">
      <c r="A4438" s="36" t="s">
        <v>9194</v>
      </c>
      <c r="B4438" s="154" t="s">
        <v>9195</v>
      </c>
      <c r="C4438" s="36" t="s">
        <v>1666</v>
      </c>
      <c r="D4438" s="36" t="s">
        <v>313</v>
      </c>
      <c r="E4438" s="36" t="s">
        <v>313</v>
      </c>
      <c r="F4438" s="154" t="s">
        <v>5407</v>
      </c>
      <c r="G4438" s="36" t="s">
        <v>32</v>
      </c>
      <c r="H4438" s="36" t="s">
        <v>1655</v>
      </c>
      <c r="I4438" s="36" t="s">
        <v>1656</v>
      </c>
      <c r="J4438" s="36" t="s">
        <v>1656</v>
      </c>
      <c r="K4438" s="36" t="s">
        <v>1796</v>
      </c>
      <c r="L4438" s="36" t="s">
        <v>8363</v>
      </c>
      <c r="M4438" s="36" t="s">
        <v>8363</v>
      </c>
      <c r="N4438" s="36" t="s">
        <v>32</v>
      </c>
    </row>
    <row r="4439">
      <c r="A4439" s="36" t="s">
        <v>9196</v>
      </c>
      <c r="B4439" s="154" t="s">
        <v>9197</v>
      </c>
      <c r="C4439" s="36" t="s">
        <v>1666</v>
      </c>
      <c r="D4439" s="36" t="s">
        <v>79</v>
      </c>
      <c r="E4439" s="36" t="s">
        <v>79</v>
      </c>
      <c r="F4439" s="154" t="s">
        <v>9026</v>
      </c>
      <c r="G4439" s="36" t="s">
        <v>32</v>
      </c>
      <c r="H4439" s="36" t="s">
        <v>1655</v>
      </c>
      <c r="I4439" s="36" t="s">
        <v>1656</v>
      </c>
      <c r="J4439" s="36" t="s">
        <v>1656</v>
      </c>
      <c r="K4439" s="36" t="s">
        <v>1769</v>
      </c>
      <c r="L4439" s="36" t="s">
        <v>8363</v>
      </c>
      <c r="M4439" s="36" t="s">
        <v>8363</v>
      </c>
      <c r="N4439" s="36" t="s">
        <v>32</v>
      </c>
    </row>
    <row r="4440">
      <c r="A4440" s="36" t="s">
        <v>9198</v>
      </c>
      <c r="B4440" s="154" t="s">
        <v>9197</v>
      </c>
      <c r="C4440" s="36" t="s">
        <v>1666</v>
      </c>
      <c r="D4440" s="36" t="s">
        <v>100</v>
      </c>
      <c r="E4440" s="36" t="s">
        <v>100</v>
      </c>
      <c r="F4440" s="154" t="s">
        <v>3017</v>
      </c>
      <c r="G4440" s="36" t="s">
        <v>32</v>
      </c>
      <c r="H4440" s="36" t="s">
        <v>1655</v>
      </c>
      <c r="I4440" s="36" t="s">
        <v>1656</v>
      </c>
      <c r="J4440" s="36" t="s">
        <v>1656</v>
      </c>
      <c r="K4440" s="36" t="s">
        <v>1800</v>
      </c>
      <c r="L4440" s="36" t="s">
        <v>8363</v>
      </c>
      <c r="M4440" s="36" t="s">
        <v>8363</v>
      </c>
      <c r="N4440" s="36" t="s">
        <v>32</v>
      </c>
    </row>
    <row r="4441">
      <c r="A4441" s="36" t="s">
        <v>9199</v>
      </c>
      <c r="B4441" s="154" t="s">
        <v>9197</v>
      </c>
      <c r="C4441" s="36" t="s">
        <v>1666</v>
      </c>
      <c r="D4441" s="36" t="s">
        <v>204</v>
      </c>
      <c r="E4441" s="36" t="s">
        <v>204</v>
      </c>
      <c r="F4441" s="154" t="s">
        <v>9200</v>
      </c>
      <c r="G4441" s="36" t="s">
        <v>32</v>
      </c>
      <c r="H4441" s="36" t="s">
        <v>1655</v>
      </c>
      <c r="I4441" s="36" t="s">
        <v>1656</v>
      </c>
      <c r="J4441" s="36" t="s">
        <v>1656</v>
      </c>
      <c r="K4441" s="36" t="s">
        <v>1803</v>
      </c>
      <c r="L4441" s="36" t="s">
        <v>8363</v>
      </c>
      <c r="M4441" s="36" t="s">
        <v>8363</v>
      </c>
      <c r="N4441" s="36" t="s">
        <v>32</v>
      </c>
    </row>
    <row r="4442">
      <c r="A4442" s="36" t="s">
        <v>9201</v>
      </c>
      <c r="B4442" s="154" t="s">
        <v>9202</v>
      </c>
      <c r="C4442" s="36" t="s">
        <v>1666</v>
      </c>
      <c r="D4442" s="36" t="s">
        <v>360</v>
      </c>
      <c r="E4442" s="36" t="s">
        <v>360</v>
      </c>
      <c r="F4442" s="154" t="s">
        <v>9203</v>
      </c>
      <c r="G4442" s="36" t="s">
        <v>34</v>
      </c>
      <c r="H4442" s="36" t="s">
        <v>1655</v>
      </c>
      <c r="I4442" s="36" t="s">
        <v>1656</v>
      </c>
      <c r="J4442" s="36" t="s">
        <v>1656</v>
      </c>
      <c r="K4442" s="36" t="s">
        <v>1807</v>
      </c>
      <c r="L4442" s="36" t="s">
        <v>8363</v>
      </c>
      <c r="M4442" s="36" t="s">
        <v>8363</v>
      </c>
      <c r="N4442" s="36" t="s">
        <v>32</v>
      </c>
    </row>
    <row r="4443">
      <c r="A4443" s="36" t="s">
        <v>9204</v>
      </c>
      <c r="B4443" s="154" t="s">
        <v>9202</v>
      </c>
      <c r="C4443" s="36" t="s">
        <v>1666</v>
      </c>
      <c r="D4443" s="36" t="s">
        <v>366</v>
      </c>
      <c r="E4443" s="36" t="s">
        <v>366</v>
      </c>
      <c r="F4443" s="154" t="s">
        <v>1768</v>
      </c>
      <c r="G4443" s="36" t="s">
        <v>30</v>
      </c>
      <c r="H4443" s="36" t="s">
        <v>1655</v>
      </c>
      <c r="I4443" s="36" t="s">
        <v>1656</v>
      </c>
      <c r="J4443" s="36" t="s">
        <v>1656</v>
      </c>
      <c r="K4443" s="36" t="s">
        <v>1814</v>
      </c>
      <c r="L4443" s="36" t="s">
        <v>8363</v>
      </c>
      <c r="M4443" s="36" t="s">
        <v>8363</v>
      </c>
      <c r="N4443" s="36" t="s">
        <v>32</v>
      </c>
    </row>
    <row r="4444">
      <c r="A4444" s="36" t="s">
        <v>9205</v>
      </c>
      <c r="B4444" s="154" t="s">
        <v>9206</v>
      </c>
      <c r="C4444" s="36" t="s">
        <v>1666</v>
      </c>
      <c r="D4444" s="36" t="s">
        <v>380</v>
      </c>
      <c r="E4444" s="36" t="s">
        <v>380</v>
      </c>
      <c r="F4444" s="154" t="s">
        <v>2006</v>
      </c>
      <c r="G4444" s="36" t="s">
        <v>30</v>
      </c>
      <c r="H4444" s="36" t="s">
        <v>1655</v>
      </c>
      <c r="I4444" s="36" t="s">
        <v>1656</v>
      </c>
      <c r="J4444" s="36" t="s">
        <v>1656</v>
      </c>
      <c r="K4444" s="36" t="s">
        <v>1833</v>
      </c>
      <c r="L4444" s="36" t="s">
        <v>8363</v>
      </c>
      <c r="M4444" s="36" t="s">
        <v>8363</v>
      </c>
      <c r="N4444" s="36" t="s">
        <v>34</v>
      </c>
    </row>
    <row r="4445">
      <c r="A4445" s="36" t="s">
        <v>9207</v>
      </c>
      <c r="B4445" s="154" t="s">
        <v>9208</v>
      </c>
      <c r="C4445" s="36" t="s">
        <v>1666</v>
      </c>
      <c r="D4445" s="36" t="s">
        <v>130</v>
      </c>
      <c r="E4445" s="36" t="s">
        <v>130</v>
      </c>
      <c r="F4445" s="154" t="s">
        <v>1810</v>
      </c>
      <c r="G4445" s="36" t="s">
        <v>32</v>
      </c>
      <c r="H4445" s="36" t="s">
        <v>1655</v>
      </c>
      <c r="I4445" s="36" t="s">
        <v>1656</v>
      </c>
      <c r="J4445" s="36" t="s">
        <v>1656</v>
      </c>
      <c r="K4445" s="36" t="s">
        <v>1817</v>
      </c>
      <c r="L4445" s="36" t="s">
        <v>8363</v>
      </c>
      <c r="M4445" s="36" t="s">
        <v>8363</v>
      </c>
      <c r="N4445" s="36" t="s">
        <v>32</v>
      </c>
    </row>
    <row r="4446">
      <c r="A4446" s="36" t="s">
        <v>9209</v>
      </c>
      <c r="B4446" s="154" t="s">
        <v>9208</v>
      </c>
      <c r="C4446" s="36" t="s">
        <v>1666</v>
      </c>
      <c r="D4446" s="36" t="s">
        <v>100</v>
      </c>
      <c r="E4446" s="36" t="s">
        <v>100</v>
      </c>
      <c r="F4446" s="154" t="s">
        <v>1686</v>
      </c>
      <c r="G4446" s="36" t="s">
        <v>32</v>
      </c>
      <c r="H4446" s="36" t="s">
        <v>1655</v>
      </c>
      <c r="I4446" s="36" t="s">
        <v>1656</v>
      </c>
      <c r="J4446" s="36" t="s">
        <v>1656</v>
      </c>
      <c r="K4446" s="36" t="s">
        <v>1820</v>
      </c>
      <c r="L4446" s="36" t="s">
        <v>8363</v>
      </c>
      <c r="M4446" s="36" t="s">
        <v>8363</v>
      </c>
      <c r="N4446" s="36" t="s">
        <v>32</v>
      </c>
    </row>
    <row r="4447">
      <c r="A4447" s="36" t="s">
        <v>9210</v>
      </c>
      <c r="B4447" s="154" t="s">
        <v>9208</v>
      </c>
      <c r="C4447" s="36" t="s">
        <v>1666</v>
      </c>
      <c r="D4447" s="36" t="s">
        <v>95</v>
      </c>
      <c r="E4447" s="36" t="s">
        <v>95</v>
      </c>
      <c r="F4447" s="154" t="s">
        <v>2325</v>
      </c>
      <c r="G4447" s="36" t="s">
        <v>28</v>
      </c>
      <c r="H4447" s="36" t="s">
        <v>1655</v>
      </c>
      <c r="I4447" s="36" t="s">
        <v>1656</v>
      </c>
      <c r="J4447" s="36" t="s">
        <v>1656</v>
      </c>
      <c r="K4447" s="36" t="s">
        <v>1823</v>
      </c>
      <c r="L4447" s="36" t="s">
        <v>8363</v>
      </c>
      <c r="M4447" s="36" t="s">
        <v>8363</v>
      </c>
      <c r="N4447" s="36" t="s">
        <v>32</v>
      </c>
    </row>
    <row r="4448">
      <c r="A4448" s="36" t="s">
        <v>9211</v>
      </c>
      <c r="B4448" s="154" t="s">
        <v>9208</v>
      </c>
      <c r="C4448" s="36" t="s">
        <v>1666</v>
      </c>
      <c r="D4448" s="36" t="s">
        <v>95</v>
      </c>
      <c r="E4448" s="36" t="s">
        <v>95</v>
      </c>
      <c r="F4448" s="154" t="s">
        <v>1686</v>
      </c>
      <c r="G4448" s="36" t="s">
        <v>28</v>
      </c>
      <c r="H4448" s="36" t="s">
        <v>1655</v>
      </c>
      <c r="I4448" s="36" t="s">
        <v>1656</v>
      </c>
      <c r="J4448" s="36" t="s">
        <v>1656</v>
      </c>
      <c r="K4448" s="36" t="s">
        <v>1826</v>
      </c>
      <c r="L4448" s="36" t="s">
        <v>8363</v>
      </c>
      <c r="M4448" s="36" t="s">
        <v>8363</v>
      </c>
      <c r="N4448" s="36" t="s">
        <v>32</v>
      </c>
    </row>
    <row r="4449">
      <c r="A4449" s="36" t="s">
        <v>9212</v>
      </c>
      <c r="B4449" s="154" t="s">
        <v>9208</v>
      </c>
      <c r="C4449" s="36" t="s">
        <v>1666</v>
      </c>
      <c r="D4449" s="36" t="s">
        <v>382</v>
      </c>
      <c r="E4449" s="36" t="s">
        <v>382</v>
      </c>
      <c r="F4449" s="154" t="s">
        <v>2325</v>
      </c>
      <c r="G4449" s="36" t="s">
        <v>28</v>
      </c>
      <c r="H4449" s="36" t="s">
        <v>1655</v>
      </c>
      <c r="I4449" s="36" t="s">
        <v>1656</v>
      </c>
      <c r="J4449" s="36" t="s">
        <v>1656</v>
      </c>
      <c r="K4449" s="36" t="s">
        <v>1836</v>
      </c>
      <c r="L4449" s="36" t="s">
        <v>8363</v>
      </c>
      <c r="M4449" s="36" t="s">
        <v>8363</v>
      </c>
      <c r="N4449" s="36" t="s">
        <v>34</v>
      </c>
    </row>
    <row r="4450">
      <c r="A4450" s="36" t="s">
        <v>9213</v>
      </c>
      <c r="B4450" s="154" t="s">
        <v>9208</v>
      </c>
      <c r="C4450" s="36" t="s">
        <v>1666</v>
      </c>
      <c r="D4450" s="36" t="s">
        <v>385</v>
      </c>
      <c r="E4450" s="36" t="s">
        <v>385</v>
      </c>
      <c r="F4450" s="154" t="s">
        <v>1859</v>
      </c>
      <c r="G4450" s="36" t="s">
        <v>32</v>
      </c>
      <c r="H4450" s="36" t="s">
        <v>1655</v>
      </c>
      <c r="I4450" s="36" t="s">
        <v>1656</v>
      </c>
      <c r="J4450" s="36" t="s">
        <v>1656</v>
      </c>
      <c r="K4450" s="36" t="s">
        <v>1839</v>
      </c>
      <c r="L4450" s="36" t="s">
        <v>8363</v>
      </c>
      <c r="M4450" s="36" t="s">
        <v>8363</v>
      </c>
      <c r="N4450" s="36" t="s">
        <v>34</v>
      </c>
    </row>
    <row r="4451">
      <c r="A4451" s="36" t="s">
        <v>9214</v>
      </c>
      <c r="B4451" s="154" t="s">
        <v>9208</v>
      </c>
      <c r="C4451" s="36" t="s">
        <v>1666</v>
      </c>
      <c r="D4451" s="36" t="s">
        <v>387</v>
      </c>
      <c r="E4451" s="36" t="s">
        <v>387</v>
      </c>
      <c r="F4451" s="154" t="s">
        <v>1810</v>
      </c>
      <c r="G4451" s="36" t="s">
        <v>28</v>
      </c>
      <c r="H4451" s="36" t="s">
        <v>1655</v>
      </c>
      <c r="I4451" s="36" t="s">
        <v>1656</v>
      </c>
      <c r="J4451" s="36" t="s">
        <v>1656</v>
      </c>
      <c r="K4451" s="36" t="s">
        <v>1842</v>
      </c>
      <c r="L4451" s="36" t="s">
        <v>8363</v>
      </c>
      <c r="M4451" s="36" t="s">
        <v>8363</v>
      </c>
      <c r="N4451" s="36" t="s">
        <v>34</v>
      </c>
    </row>
    <row r="4452">
      <c r="A4452" s="36" t="s">
        <v>9215</v>
      </c>
      <c r="B4452" s="154" t="s">
        <v>9216</v>
      </c>
      <c r="C4452" s="36" t="s">
        <v>1666</v>
      </c>
      <c r="D4452" s="36" t="s">
        <v>83</v>
      </c>
      <c r="E4452" s="36" t="s">
        <v>83</v>
      </c>
      <c r="F4452" s="154" t="s">
        <v>9217</v>
      </c>
      <c r="G4452" s="36" t="s">
        <v>28</v>
      </c>
      <c r="H4452" s="36" t="s">
        <v>1655</v>
      </c>
      <c r="I4452" s="36" t="s">
        <v>1656</v>
      </c>
      <c r="J4452" s="36" t="s">
        <v>1656</v>
      </c>
      <c r="K4452" s="36" t="s">
        <v>1891</v>
      </c>
      <c r="L4452" s="36" t="s">
        <v>8363</v>
      </c>
      <c r="M4452" s="36" t="s">
        <v>8363</v>
      </c>
      <c r="N4452" s="36" t="s">
        <v>32</v>
      </c>
    </row>
    <row r="4453">
      <c r="A4453" s="36" t="s">
        <v>9218</v>
      </c>
      <c r="B4453" s="154" t="s">
        <v>9216</v>
      </c>
      <c r="C4453" s="36" t="s">
        <v>1666</v>
      </c>
      <c r="D4453" s="36" t="s">
        <v>84</v>
      </c>
      <c r="E4453" s="36" t="s">
        <v>84</v>
      </c>
      <c r="F4453" s="154" t="s">
        <v>9219</v>
      </c>
      <c r="G4453" s="36" t="s">
        <v>32</v>
      </c>
      <c r="H4453" s="36" t="s">
        <v>1655</v>
      </c>
      <c r="I4453" s="36" t="s">
        <v>1656</v>
      </c>
      <c r="J4453" s="36" t="s">
        <v>1656</v>
      </c>
      <c r="K4453" s="36" t="s">
        <v>1921</v>
      </c>
      <c r="L4453" s="36" t="s">
        <v>8363</v>
      </c>
      <c r="M4453" s="36" t="s">
        <v>8363</v>
      </c>
      <c r="N4453" s="36" t="s">
        <v>32</v>
      </c>
    </row>
    <row r="4454">
      <c r="A4454" s="36" t="s">
        <v>9220</v>
      </c>
      <c r="B4454" s="154" t="s">
        <v>9216</v>
      </c>
      <c r="C4454" s="36" t="s">
        <v>1666</v>
      </c>
      <c r="D4454" s="36" t="s">
        <v>388</v>
      </c>
      <c r="E4454" s="36" t="s">
        <v>388</v>
      </c>
      <c r="F4454" s="154" t="s">
        <v>3838</v>
      </c>
      <c r="G4454" s="36" t="s">
        <v>28</v>
      </c>
      <c r="H4454" s="36" t="s">
        <v>1655</v>
      </c>
      <c r="I4454" s="36" t="s">
        <v>1656</v>
      </c>
      <c r="J4454" s="36" t="s">
        <v>1656</v>
      </c>
      <c r="K4454" s="36" t="s">
        <v>1845</v>
      </c>
      <c r="L4454" s="36" t="s">
        <v>8363</v>
      </c>
      <c r="M4454" s="36" t="s">
        <v>8363</v>
      </c>
      <c r="N4454" s="36" t="s">
        <v>34</v>
      </c>
    </row>
    <row r="4455">
      <c r="A4455" s="36" t="s">
        <v>9221</v>
      </c>
      <c r="B4455" s="154" t="s">
        <v>9222</v>
      </c>
      <c r="C4455" s="36" t="s">
        <v>1666</v>
      </c>
      <c r="D4455" s="36" t="s">
        <v>133</v>
      </c>
      <c r="E4455" s="36" t="s">
        <v>133</v>
      </c>
      <c r="F4455" s="154" t="s">
        <v>9223</v>
      </c>
      <c r="G4455" s="36" t="s">
        <v>32</v>
      </c>
      <c r="H4455" s="36" t="s">
        <v>1655</v>
      </c>
      <c r="I4455" s="36" t="s">
        <v>1656</v>
      </c>
      <c r="J4455" s="36" t="s">
        <v>1656</v>
      </c>
      <c r="K4455" s="36" t="s">
        <v>1830</v>
      </c>
      <c r="L4455" s="36" t="s">
        <v>8363</v>
      </c>
      <c r="M4455" s="36" t="s">
        <v>8363</v>
      </c>
      <c r="N4455" s="36" t="s">
        <v>32</v>
      </c>
    </row>
    <row r="4456">
      <c r="A4456" s="36" t="s">
        <v>9224</v>
      </c>
      <c r="B4456" s="154" t="s">
        <v>9222</v>
      </c>
      <c r="C4456" s="36" t="s">
        <v>1666</v>
      </c>
      <c r="D4456" s="36" t="s">
        <v>393</v>
      </c>
      <c r="E4456" s="36" t="s">
        <v>393</v>
      </c>
      <c r="F4456" s="154" t="s">
        <v>2006</v>
      </c>
      <c r="G4456" s="36" t="s">
        <v>28</v>
      </c>
      <c r="H4456" s="36" t="s">
        <v>1655</v>
      </c>
      <c r="I4456" s="36" t="s">
        <v>1656</v>
      </c>
      <c r="J4456" s="36" t="s">
        <v>1656</v>
      </c>
      <c r="K4456" s="36" t="s">
        <v>1848</v>
      </c>
      <c r="L4456" s="36" t="s">
        <v>8363</v>
      </c>
      <c r="M4456" s="36" t="s">
        <v>8363</v>
      </c>
      <c r="N4456" s="36" t="s">
        <v>34</v>
      </c>
    </row>
    <row r="4457">
      <c r="A4457" s="36" t="s">
        <v>9225</v>
      </c>
      <c r="B4457" s="154" t="s">
        <v>9222</v>
      </c>
      <c r="C4457" s="36" t="s">
        <v>1666</v>
      </c>
      <c r="D4457" s="36" t="s">
        <v>395</v>
      </c>
      <c r="E4457" s="36" t="s">
        <v>395</v>
      </c>
      <c r="F4457" s="154" t="s">
        <v>2049</v>
      </c>
      <c r="G4457" s="36" t="s">
        <v>28</v>
      </c>
      <c r="H4457" s="36" t="s">
        <v>1655</v>
      </c>
      <c r="I4457" s="36" t="s">
        <v>1656</v>
      </c>
      <c r="J4457" s="36" t="s">
        <v>1656</v>
      </c>
      <c r="K4457" s="36" t="s">
        <v>1851</v>
      </c>
      <c r="L4457" s="36" t="s">
        <v>8363</v>
      </c>
      <c r="M4457" s="36" t="s">
        <v>8363</v>
      </c>
      <c r="N4457" s="36" t="s">
        <v>34</v>
      </c>
    </row>
    <row r="4458">
      <c r="A4458" s="36" t="s">
        <v>9226</v>
      </c>
      <c r="B4458" s="154" t="s">
        <v>9227</v>
      </c>
      <c r="C4458" s="36" t="s">
        <v>1653</v>
      </c>
      <c r="D4458" s="36" t="s">
        <v>41</v>
      </c>
      <c r="E4458" s="36" t="s">
        <v>39</v>
      </c>
      <c r="F4458" s="154" t="s">
        <v>9228</v>
      </c>
      <c r="G4458" s="36" t="s">
        <v>32</v>
      </c>
      <c r="H4458" s="36" t="s">
        <v>1655</v>
      </c>
      <c r="I4458" s="36" t="s">
        <v>1656</v>
      </c>
      <c r="J4458" s="36" t="s">
        <v>1656</v>
      </c>
      <c r="K4458" s="36" t="s">
        <v>1657</v>
      </c>
      <c r="L4458" s="36" t="s">
        <v>9229</v>
      </c>
      <c r="M4458" s="36" t="s">
        <v>9229</v>
      </c>
      <c r="N4458" s="36" t="s">
        <v>32</v>
      </c>
    </row>
    <row r="4459">
      <c r="A4459" s="36" t="s">
        <v>9230</v>
      </c>
      <c r="B4459" s="154" t="s">
        <v>9227</v>
      </c>
      <c r="C4459" s="36" t="s">
        <v>1653</v>
      </c>
      <c r="D4459" s="36" t="s">
        <v>60</v>
      </c>
      <c r="E4459" s="36" t="s">
        <v>39</v>
      </c>
      <c r="F4459" s="154" t="s">
        <v>9231</v>
      </c>
      <c r="G4459" s="36" t="s">
        <v>32</v>
      </c>
      <c r="H4459" s="36" t="s">
        <v>1655</v>
      </c>
      <c r="I4459" s="36" t="s">
        <v>1656</v>
      </c>
      <c r="J4459" s="36" t="s">
        <v>1656</v>
      </c>
      <c r="K4459" s="36" t="s">
        <v>2848</v>
      </c>
      <c r="L4459" s="36" t="s">
        <v>9229</v>
      </c>
      <c r="M4459" s="36" t="s">
        <v>9229</v>
      </c>
      <c r="N4459" s="36" t="s">
        <v>32</v>
      </c>
    </row>
    <row r="4460">
      <c r="A4460" s="36" t="s">
        <v>9232</v>
      </c>
      <c r="B4460" s="154" t="s">
        <v>9227</v>
      </c>
      <c r="C4460" s="36" t="s">
        <v>1666</v>
      </c>
      <c r="D4460" s="36" t="s">
        <v>85</v>
      </c>
      <c r="E4460" s="36" t="s">
        <v>85</v>
      </c>
      <c r="F4460" s="154" t="s">
        <v>8461</v>
      </c>
      <c r="G4460" s="36" t="s">
        <v>28</v>
      </c>
      <c r="H4460" s="36" t="s">
        <v>1655</v>
      </c>
      <c r="I4460" s="36" t="s">
        <v>1656</v>
      </c>
      <c r="J4460" s="36" t="s">
        <v>1656</v>
      </c>
      <c r="K4460" s="36" t="s">
        <v>3035</v>
      </c>
      <c r="L4460" s="36" t="s">
        <v>9233</v>
      </c>
      <c r="M4460" s="36" t="s">
        <v>9233</v>
      </c>
      <c r="N4460" s="36" t="s">
        <v>32</v>
      </c>
    </row>
    <row r="4461">
      <c r="A4461" s="36" t="s">
        <v>9234</v>
      </c>
      <c r="B4461" s="154" t="s">
        <v>9227</v>
      </c>
      <c r="C4461" s="36" t="s">
        <v>1666</v>
      </c>
      <c r="D4461" s="36" t="s">
        <v>87</v>
      </c>
      <c r="E4461" s="36" t="s">
        <v>87</v>
      </c>
      <c r="F4461" s="154" t="s">
        <v>9235</v>
      </c>
      <c r="G4461" s="36" t="s">
        <v>28</v>
      </c>
      <c r="H4461" s="36" t="s">
        <v>1655</v>
      </c>
      <c r="I4461" s="36" t="s">
        <v>1656</v>
      </c>
      <c r="J4461" s="36" t="s">
        <v>1656</v>
      </c>
      <c r="K4461" s="36" t="s">
        <v>3038</v>
      </c>
      <c r="L4461" s="36" t="s">
        <v>9233</v>
      </c>
      <c r="M4461" s="36" t="s">
        <v>9233</v>
      </c>
      <c r="N4461" s="36" t="s">
        <v>32</v>
      </c>
    </row>
    <row r="4462">
      <c r="A4462" s="36" t="s">
        <v>9236</v>
      </c>
      <c r="B4462" s="154" t="s">
        <v>9227</v>
      </c>
      <c r="C4462" s="36" t="s">
        <v>1666</v>
      </c>
      <c r="D4462" s="36" t="s">
        <v>89</v>
      </c>
      <c r="E4462" s="36" t="s">
        <v>89</v>
      </c>
      <c r="F4462" s="154" t="s">
        <v>1810</v>
      </c>
      <c r="G4462" s="36" t="s">
        <v>28</v>
      </c>
      <c r="H4462" s="36" t="s">
        <v>1655</v>
      </c>
      <c r="I4462" s="36" t="s">
        <v>1656</v>
      </c>
      <c r="J4462" s="36" t="s">
        <v>1656</v>
      </c>
      <c r="K4462" s="36" t="s">
        <v>1668</v>
      </c>
      <c r="L4462" s="36" t="s">
        <v>9233</v>
      </c>
      <c r="M4462" s="36" t="s">
        <v>9233</v>
      </c>
      <c r="N4462" s="36" t="s">
        <v>34</v>
      </c>
    </row>
    <row r="4463">
      <c r="A4463" s="36" t="s">
        <v>9237</v>
      </c>
      <c r="B4463" s="154" t="s">
        <v>9238</v>
      </c>
      <c r="C4463" s="36" t="s">
        <v>1666</v>
      </c>
      <c r="D4463" s="36" t="s">
        <v>91</v>
      </c>
      <c r="E4463" s="36" t="s">
        <v>91</v>
      </c>
      <c r="F4463" s="154" t="s">
        <v>1768</v>
      </c>
      <c r="G4463" s="36" t="s">
        <v>28</v>
      </c>
      <c r="H4463" s="36" t="s">
        <v>1655</v>
      </c>
      <c r="I4463" s="36" t="s">
        <v>1656</v>
      </c>
      <c r="J4463" s="36" t="s">
        <v>1656</v>
      </c>
      <c r="K4463" s="36" t="s">
        <v>1672</v>
      </c>
      <c r="L4463" s="36" t="s">
        <v>9233</v>
      </c>
      <c r="M4463" s="36" t="s">
        <v>9233</v>
      </c>
      <c r="N4463" s="36" t="s">
        <v>32</v>
      </c>
    </row>
    <row r="4464">
      <c r="A4464" s="36" t="s">
        <v>9239</v>
      </c>
      <c r="B4464" s="154" t="s">
        <v>9238</v>
      </c>
      <c r="C4464" s="36" t="s">
        <v>1666</v>
      </c>
      <c r="D4464" s="36" t="s">
        <v>93</v>
      </c>
      <c r="E4464" s="36" t="s">
        <v>93</v>
      </c>
      <c r="F4464" s="154" t="s">
        <v>1899</v>
      </c>
      <c r="G4464" s="36" t="s">
        <v>28</v>
      </c>
      <c r="H4464" s="36" t="s">
        <v>1655</v>
      </c>
      <c r="I4464" s="36" t="s">
        <v>1656</v>
      </c>
      <c r="J4464" s="36" t="s">
        <v>1656</v>
      </c>
      <c r="K4464" s="36" t="s">
        <v>1675</v>
      </c>
      <c r="L4464" s="36" t="s">
        <v>9233</v>
      </c>
      <c r="M4464" s="36" t="s">
        <v>9233</v>
      </c>
      <c r="N4464" s="36" t="s">
        <v>32</v>
      </c>
    </row>
    <row r="4465">
      <c r="A4465" s="36" t="s">
        <v>9240</v>
      </c>
      <c r="B4465" s="154" t="s">
        <v>9238</v>
      </c>
      <c r="C4465" s="36" t="s">
        <v>1666</v>
      </c>
      <c r="D4465" s="36" t="s">
        <v>95</v>
      </c>
      <c r="E4465" s="36" t="s">
        <v>95</v>
      </c>
      <c r="F4465" s="154" t="s">
        <v>1768</v>
      </c>
      <c r="G4465" s="36" t="s">
        <v>28</v>
      </c>
      <c r="H4465" s="36" t="s">
        <v>1655</v>
      </c>
      <c r="I4465" s="36" t="s">
        <v>1656</v>
      </c>
      <c r="J4465" s="36" t="s">
        <v>1656</v>
      </c>
      <c r="K4465" s="36" t="s">
        <v>1678</v>
      </c>
      <c r="L4465" s="36" t="s">
        <v>9233</v>
      </c>
      <c r="M4465" s="36" t="s">
        <v>9233</v>
      </c>
      <c r="N4465" s="36" t="s">
        <v>32</v>
      </c>
    </row>
    <row r="4466">
      <c r="A4466" s="36" t="s">
        <v>9241</v>
      </c>
      <c r="B4466" s="154" t="s">
        <v>9242</v>
      </c>
      <c r="C4466" s="36" t="s">
        <v>1666</v>
      </c>
      <c r="D4466" s="36" t="s">
        <v>78</v>
      </c>
      <c r="E4466" s="36" t="s">
        <v>78</v>
      </c>
      <c r="F4466" s="154" t="s">
        <v>1899</v>
      </c>
      <c r="G4466" s="36" t="s">
        <v>28</v>
      </c>
      <c r="H4466" s="36" t="s">
        <v>1655</v>
      </c>
      <c r="I4466" s="36" t="s">
        <v>1656</v>
      </c>
      <c r="J4466" s="36" t="s">
        <v>1656</v>
      </c>
      <c r="K4466" s="36" t="s">
        <v>4248</v>
      </c>
      <c r="L4466" s="36" t="s">
        <v>9233</v>
      </c>
      <c r="M4466" s="36" t="s">
        <v>9233</v>
      </c>
      <c r="N4466" s="36" t="s">
        <v>32</v>
      </c>
    </row>
    <row r="4467">
      <c r="A4467" s="36" t="s">
        <v>9243</v>
      </c>
      <c r="B4467" s="154" t="s">
        <v>9244</v>
      </c>
      <c r="C4467" s="36" t="s">
        <v>1666</v>
      </c>
      <c r="D4467" s="36" t="s">
        <v>63</v>
      </c>
      <c r="E4467" s="36" t="s">
        <v>63</v>
      </c>
      <c r="F4467" s="154" t="s">
        <v>9245</v>
      </c>
      <c r="G4467" s="36" t="s">
        <v>32</v>
      </c>
      <c r="H4467" s="36" t="s">
        <v>1655</v>
      </c>
      <c r="I4467" s="36" t="s">
        <v>1656</v>
      </c>
      <c r="J4467" s="36" t="s">
        <v>1656</v>
      </c>
      <c r="K4467" s="36" t="s">
        <v>4196</v>
      </c>
      <c r="L4467" s="36" t="s">
        <v>9233</v>
      </c>
      <c r="M4467" s="36" t="s">
        <v>9233</v>
      </c>
      <c r="N4467" s="36" t="s">
        <v>34</v>
      </c>
    </row>
    <row r="4468">
      <c r="A4468" s="36" t="s">
        <v>9246</v>
      </c>
      <c r="B4468" s="154" t="s">
        <v>9247</v>
      </c>
      <c r="C4468" s="36" t="s">
        <v>1666</v>
      </c>
      <c r="D4468" s="36" t="s">
        <v>64</v>
      </c>
      <c r="E4468" s="36" t="s">
        <v>64</v>
      </c>
      <c r="F4468" s="154" t="s">
        <v>9043</v>
      </c>
      <c r="G4468" s="36" t="s">
        <v>28</v>
      </c>
      <c r="H4468" s="36" t="s">
        <v>1655</v>
      </c>
      <c r="I4468" s="36" t="s">
        <v>1656</v>
      </c>
      <c r="J4468" s="36" t="s">
        <v>1656</v>
      </c>
      <c r="K4468" s="36" t="s">
        <v>1708</v>
      </c>
      <c r="L4468" s="36" t="s">
        <v>9233</v>
      </c>
      <c r="M4468" s="36" t="s">
        <v>9233</v>
      </c>
      <c r="N4468" s="36" t="s">
        <v>32</v>
      </c>
    </row>
    <row r="4469">
      <c r="A4469" s="36" t="s">
        <v>9248</v>
      </c>
      <c r="B4469" s="154" t="s">
        <v>9247</v>
      </c>
      <c r="C4469" s="36" t="s">
        <v>1666</v>
      </c>
      <c r="D4469" s="36" t="s">
        <v>92</v>
      </c>
      <c r="E4469" s="36" t="s">
        <v>92</v>
      </c>
      <c r="F4469" s="154" t="s">
        <v>1729</v>
      </c>
      <c r="G4469" s="36" t="s">
        <v>32</v>
      </c>
      <c r="H4469" s="36" t="s">
        <v>1655</v>
      </c>
      <c r="I4469" s="36" t="s">
        <v>1656</v>
      </c>
      <c r="J4469" s="36" t="s">
        <v>1656</v>
      </c>
      <c r="K4469" s="36" t="s">
        <v>1681</v>
      </c>
      <c r="L4469" s="36" t="s">
        <v>9233</v>
      </c>
      <c r="M4469" s="36" t="s">
        <v>9233</v>
      </c>
      <c r="N4469" s="36" t="s">
        <v>32</v>
      </c>
    </row>
    <row r="4470">
      <c r="A4470" s="36" t="s">
        <v>9249</v>
      </c>
      <c r="B4470" s="154" t="s">
        <v>9247</v>
      </c>
      <c r="C4470" s="36" t="s">
        <v>1666</v>
      </c>
      <c r="D4470" s="36" t="s">
        <v>98</v>
      </c>
      <c r="E4470" s="36" t="s">
        <v>98</v>
      </c>
      <c r="F4470" s="154" t="s">
        <v>1899</v>
      </c>
      <c r="G4470" s="36" t="s">
        <v>32</v>
      </c>
      <c r="H4470" s="36" t="s">
        <v>1655</v>
      </c>
      <c r="I4470" s="36" t="s">
        <v>1656</v>
      </c>
      <c r="J4470" s="36" t="s">
        <v>1656</v>
      </c>
      <c r="K4470" s="36" t="s">
        <v>1684</v>
      </c>
      <c r="L4470" s="36" t="s">
        <v>9233</v>
      </c>
      <c r="M4470" s="36" t="s">
        <v>9233</v>
      </c>
      <c r="N4470" s="36" t="s">
        <v>32</v>
      </c>
    </row>
    <row r="4471">
      <c r="A4471" s="36" t="s">
        <v>9250</v>
      </c>
      <c r="B4471" s="154" t="s">
        <v>9247</v>
      </c>
      <c r="C4471" s="36" t="s">
        <v>1666</v>
      </c>
      <c r="D4471" s="36" t="s">
        <v>100</v>
      </c>
      <c r="E4471" s="36" t="s">
        <v>100</v>
      </c>
      <c r="F4471" s="154" t="s">
        <v>1686</v>
      </c>
      <c r="G4471" s="36" t="s">
        <v>32</v>
      </c>
      <c r="H4471" s="36" t="s">
        <v>1655</v>
      </c>
      <c r="I4471" s="36" t="s">
        <v>1656</v>
      </c>
      <c r="J4471" s="36" t="s">
        <v>1656</v>
      </c>
      <c r="K4471" s="36" t="s">
        <v>1691</v>
      </c>
      <c r="L4471" s="36" t="s">
        <v>9233</v>
      </c>
      <c r="M4471" s="36" t="s">
        <v>9233</v>
      </c>
      <c r="N4471" s="36" t="s">
        <v>32</v>
      </c>
    </row>
    <row r="4472">
      <c r="A4472" s="36" t="s">
        <v>9251</v>
      </c>
      <c r="B4472" s="154" t="s">
        <v>9252</v>
      </c>
      <c r="C4472" s="36" t="s">
        <v>1666</v>
      </c>
      <c r="D4472" s="36" t="s">
        <v>102</v>
      </c>
      <c r="E4472" s="36" t="s">
        <v>102</v>
      </c>
      <c r="F4472" s="154" t="s">
        <v>2039</v>
      </c>
      <c r="G4472" s="36" t="s">
        <v>34</v>
      </c>
      <c r="H4472" s="36" t="s">
        <v>1655</v>
      </c>
      <c r="I4472" s="36" t="s">
        <v>1656</v>
      </c>
      <c r="J4472" s="36" t="s">
        <v>1656</v>
      </c>
      <c r="K4472" s="36" t="s">
        <v>1695</v>
      </c>
      <c r="L4472" s="36" t="s">
        <v>9233</v>
      </c>
      <c r="M4472" s="36" t="s">
        <v>9233</v>
      </c>
      <c r="N4472" s="36" t="s">
        <v>32</v>
      </c>
    </row>
    <row r="4473">
      <c r="A4473" s="36" t="s">
        <v>9253</v>
      </c>
      <c r="B4473" s="154" t="s">
        <v>9252</v>
      </c>
      <c r="C4473" s="36" t="s">
        <v>1666</v>
      </c>
      <c r="D4473" s="36" t="s">
        <v>104</v>
      </c>
      <c r="E4473" s="36" t="s">
        <v>104</v>
      </c>
      <c r="F4473" s="154" t="s">
        <v>2039</v>
      </c>
      <c r="G4473" s="36" t="s">
        <v>32</v>
      </c>
      <c r="H4473" s="36" t="s">
        <v>1655</v>
      </c>
      <c r="I4473" s="36" t="s">
        <v>1656</v>
      </c>
      <c r="J4473" s="36" t="s">
        <v>1656</v>
      </c>
      <c r="K4473" s="36" t="s">
        <v>1698</v>
      </c>
      <c r="L4473" s="36" t="s">
        <v>9233</v>
      </c>
      <c r="M4473" s="36" t="s">
        <v>9233</v>
      </c>
      <c r="N4473" s="36" t="s">
        <v>32</v>
      </c>
    </row>
    <row r="4474">
      <c r="A4474" s="36" t="s">
        <v>9254</v>
      </c>
      <c r="B4474" s="154" t="s">
        <v>9255</v>
      </c>
      <c r="C4474" s="36" t="s">
        <v>1666</v>
      </c>
      <c r="D4474" s="36" t="s">
        <v>92</v>
      </c>
      <c r="E4474" s="36" t="s">
        <v>92</v>
      </c>
      <c r="F4474" s="154" t="s">
        <v>9256</v>
      </c>
      <c r="G4474" s="36" t="s">
        <v>32</v>
      </c>
      <c r="H4474" s="36" t="s">
        <v>1655</v>
      </c>
      <c r="I4474" s="36" t="s">
        <v>1656</v>
      </c>
      <c r="J4474" s="36" t="s">
        <v>1656</v>
      </c>
      <c r="K4474" s="36" t="s">
        <v>1701</v>
      </c>
      <c r="L4474" s="36" t="s">
        <v>9233</v>
      </c>
      <c r="M4474" s="36" t="s">
        <v>9233</v>
      </c>
      <c r="N4474" s="36" t="s">
        <v>32</v>
      </c>
    </row>
    <row r="4475">
      <c r="A4475" s="36" t="s">
        <v>9257</v>
      </c>
      <c r="B4475" s="154" t="s">
        <v>9255</v>
      </c>
      <c r="C4475" s="36" t="s">
        <v>1666</v>
      </c>
      <c r="D4475" s="36" t="s">
        <v>106</v>
      </c>
      <c r="E4475" s="36" t="s">
        <v>106</v>
      </c>
      <c r="F4475" s="154" t="s">
        <v>9258</v>
      </c>
      <c r="G4475" s="36" t="s">
        <v>32</v>
      </c>
      <c r="H4475" s="36" t="s">
        <v>1655</v>
      </c>
      <c r="I4475" s="36" t="s">
        <v>1656</v>
      </c>
      <c r="J4475" s="36" t="s">
        <v>1656</v>
      </c>
      <c r="K4475" s="36" t="s">
        <v>1704</v>
      </c>
      <c r="L4475" s="36" t="s">
        <v>9233</v>
      </c>
      <c r="M4475" s="36" t="s">
        <v>9233</v>
      </c>
      <c r="N4475" s="36" t="s">
        <v>32</v>
      </c>
    </row>
    <row r="4476">
      <c r="A4476" s="36" t="s">
        <v>9259</v>
      </c>
      <c r="B4476" s="154" t="s">
        <v>9255</v>
      </c>
      <c r="C4476" s="36" t="s">
        <v>1666</v>
      </c>
      <c r="D4476" s="36" t="s">
        <v>108</v>
      </c>
      <c r="E4476" s="36" t="s">
        <v>108</v>
      </c>
      <c r="F4476" s="154" t="s">
        <v>1932</v>
      </c>
      <c r="G4476" s="36" t="s">
        <v>28</v>
      </c>
      <c r="H4476" s="36" t="s">
        <v>1655</v>
      </c>
      <c r="I4476" s="36" t="s">
        <v>1656</v>
      </c>
      <c r="J4476" s="36" t="s">
        <v>1656</v>
      </c>
      <c r="K4476" s="36" t="s">
        <v>1711</v>
      </c>
      <c r="L4476" s="36" t="s">
        <v>9233</v>
      </c>
      <c r="M4476" s="36" t="s">
        <v>9233</v>
      </c>
      <c r="N4476" s="36" t="s">
        <v>32</v>
      </c>
    </row>
    <row r="4477">
      <c r="A4477" s="36" t="s">
        <v>9260</v>
      </c>
      <c r="B4477" s="154" t="s">
        <v>9255</v>
      </c>
      <c r="C4477" s="36" t="s">
        <v>1666</v>
      </c>
      <c r="D4477" s="36" t="s">
        <v>109</v>
      </c>
      <c r="E4477" s="36" t="s">
        <v>109</v>
      </c>
      <c r="F4477" s="154" t="s">
        <v>5958</v>
      </c>
      <c r="G4477" s="36" t="s">
        <v>28</v>
      </c>
      <c r="H4477" s="36" t="s">
        <v>1655</v>
      </c>
      <c r="I4477" s="36" t="s">
        <v>1656</v>
      </c>
      <c r="J4477" s="36" t="s">
        <v>1656</v>
      </c>
      <c r="K4477" s="36" t="s">
        <v>1715</v>
      </c>
      <c r="L4477" s="36" t="s">
        <v>9233</v>
      </c>
      <c r="M4477" s="36" t="s">
        <v>9233</v>
      </c>
      <c r="N4477" s="36" t="s">
        <v>34</v>
      </c>
    </row>
    <row r="4478">
      <c r="A4478" s="36" t="s">
        <v>9261</v>
      </c>
      <c r="B4478" s="154" t="s">
        <v>9255</v>
      </c>
      <c r="C4478" s="36" t="s">
        <v>1666</v>
      </c>
      <c r="D4478" s="36" t="s">
        <v>110</v>
      </c>
      <c r="E4478" s="36" t="s">
        <v>110</v>
      </c>
      <c r="F4478" s="154" t="s">
        <v>2617</v>
      </c>
      <c r="G4478" s="36" t="s">
        <v>28</v>
      </c>
      <c r="H4478" s="36" t="s">
        <v>1655</v>
      </c>
      <c r="I4478" s="36" t="s">
        <v>1656</v>
      </c>
      <c r="J4478" s="36" t="s">
        <v>1656</v>
      </c>
      <c r="K4478" s="36" t="s">
        <v>1717</v>
      </c>
      <c r="L4478" s="36" t="s">
        <v>9233</v>
      </c>
      <c r="M4478" s="36" t="s">
        <v>9233</v>
      </c>
      <c r="N4478" s="36" t="s">
        <v>34</v>
      </c>
    </row>
    <row r="4479">
      <c r="A4479" s="36" t="s">
        <v>9262</v>
      </c>
      <c r="B4479" s="154" t="s">
        <v>9263</v>
      </c>
      <c r="C4479" s="36" t="s">
        <v>1666</v>
      </c>
      <c r="D4479" s="36" t="s">
        <v>65</v>
      </c>
      <c r="E4479" s="36" t="s">
        <v>65</v>
      </c>
      <c r="F4479" s="154" t="s">
        <v>9264</v>
      </c>
      <c r="G4479" s="36" t="s">
        <v>28</v>
      </c>
      <c r="H4479" s="36" t="s">
        <v>1655</v>
      </c>
      <c r="I4479" s="36" t="s">
        <v>1656</v>
      </c>
      <c r="J4479" s="36" t="s">
        <v>1656</v>
      </c>
      <c r="K4479" s="36" t="s">
        <v>1721</v>
      </c>
      <c r="L4479" s="36" t="s">
        <v>9233</v>
      </c>
      <c r="M4479" s="36" t="s">
        <v>9233</v>
      </c>
      <c r="N4479" s="36" t="s">
        <v>32</v>
      </c>
    </row>
    <row r="4480">
      <c r="A4480" s="36" t="s">
        <v>9265</v>
      </c>
      <c r="B4480" s="154" t="s">
        <v>9263</v>
      </c>
      <c r="C4480" s="36" t="s">
        <v>1666</v>
      </c>
      <c r="D4480" s="36" t="s">
        <v>111</v>
      </c>
      <c r="E4480" s="36" t="s">
        <v>111</v>
      </c>
      <c r="F4480" s="154" t="s">
        <v>9266</v>
      </c>
      <c r="G4480" s="36" t="s">
        <v>28</v>
      </c>
      <c r="H4480" s="36" t="s">
        <v>1655</v>
      </c>
      <c r="I4480" s="36" t="s">
        <v>1656</v>
      </c>
      <c r="J4480" s="36" t="s">
        <v>1656</v>
      </c>
      <c r="K4480" s="36" t="s">
        <v>1724</v>
      </c>
      <c r="L4480" s="36" t="s">
        <v>9233</v>
      </c>
      <c r="M4480" s="36" t="s">
        <v>9233</v>
      </c>
      <c r="N4480" s="36" t="s">
        <v>32</v>
      </c>
    </row>
    <row r="4481">
      <c r="A4481" s="36" t="s">
        <v>9267</v>
      </c>
      <c r="B4481" s="154" t="s">
        <v>9263</v>
      </c>
      <c r="C4481" s="36" t="s">
        <v>1666</v>
      </c>
      <c r="D4481" s="36" t="s">
        <v>112</v>
      </c>
      <c r="E4481" s="36" t="s">
        <v>112</v>
      </c>
      <c r="F4481" s="154" t="s">
        <v>1899</v>
      </c>
      <c r="G4481" s="36" t="s">
        <v>32</v>
      </c>
      <c r="H4481" s="36" t="s">
        <v>1655</v>
      </c>
      <c r="I4481" s="36" t="s">
        <v>1656</v>
      </c>
      <c r="J4481" s="36" t="s">
        <v>1656</v>
      </c>
      <c r="K4481" s="36" t="s">
        <v>1727</v>
      </c>
      <c r="L4481" s="36" t="s">
        <v>9233</v>
      </c>
      <c r="M4481" s="36" t="s">
        <v>9233</v>
      </c>
      <c r="N4481" s="36" t="s">
        <v>32</v>
      </c>
    </row>
    <row r="4482">
      <c r="A4482" s="36" t="s">
        <v>9268</v>
      </c>
      <c r="B4482" s="154" t="s">
        <v>9263</v>
      </c>
      <c r="C4482" s="36" t="s">
        <v>1666</v>
      </c>
      <c r="D4482" s="36" t="s">
        <v>113</v>
      </c>
      <c r="E4482" s="36" t="s">
        <v>113</v>
      </c>
      <c r="F4482" s="154" t="s">
        <v>9269</v>
      </c>
      <c r="G4482" s="36" t="s">
        <v>32</v>
      </c>
      <c r="H4482" s="36" t="s">
        <v>1655</v>
      </c>
      <c r="I4482" s="36" t="s">
        <v>1656</v>
      </c>
      <c r="J4482" s="36" t="s">
        <v>1656</v>
      </c>
      <c r="K4482" s="36" t="s">
        <v>1730</v>
      </c>
      <c r="L4482" s="36" t="s">
        <v>9233</v>
      </c>
      <c r="M4482" s="36" t="s">
        <v>9233</v>
      </c>
      <c r="N4482" s="36" t="s">
        <v>32</v>
      </c>
    </row>
    <row r="4483">
      <c r="A4483" s="36" t="s">
        <v>9270</v>
      </c>
      <c r="B4483" s="154" t="s">
        <v>9271</v>
      </c>
      <c r="C4483" s="36" t="s">
        <v>1666</v>
      </c>
      <c r="D4483" s="36" t="s">
        <v>89</v>
      </c>
      <c r="E4483" s="36" t="s">
        <v>89</v>
      </c>
      <c r="F4483" s="154" t="s">
        <v>1899</v>
      </c>
      <c r="G4483" s="36" t="s">
        <v>28</v>
      </c>
      <c r="H4483" s="36" t="s">
        <v>1655</v>
      </c>
      <c r="I4483" s="36" t="s">
        <v>1656</v>
      </c>
      <c r="J4483" s="36" t="s">
        <v>1656</v>
      </c>
      <c r="K4483" s="36" t="s">
        <v>1732</v>
      </c>
      <c r="L4483" s="36" t="s">
        <v>9233</v>
      </c>
      <c r="M4483" s="36" t="s">
        <v>9233</v>
      </c>
      <c r="N4483" s="36" t="s">
        <v>32</v>
      </c>
    </row>
    <row r="4484">
      <c r="A4484" s="36" t="s">
        <v>9272</v>
      </c>
      <c r="B4484" s="154" t="s">
        <v>9271</v>
      </c>
      <c r="C4484" s="36" t="s">
        <v>1666</v>
      </c>
      <c r="D4484" s="36" t="s">
        <v>92</v>
      </c>
      <c r="E4484" s="36" t="s">
        <v>92</v>
      </c>
      <c r="F4484" s="154" t="s">
        <v>1806</v>
      </c>
      <c r="G4484" s="36" t="s">
        <v>32</v>
      </c>
      <c r="H4484" s="36" t="s">
        <v>1655</v>
      </c>
      <c r="I4484" s="36" t="s">
        <v>1656</v>
      </c>
      <c r="J4484" s="36" t="s">
        <v>1656</v>
      </c>
      <c r="K4484" s="36" t="s">
        <v>1736</v>
      </c>
      <c r="L4484" s="36" t="s">
        <v>9233</v>
      </c>
      <c r="M4484" s="36" t="s">
        <v>9233</v>
      </c>
      <c r="N4484" s="36" t="s">
        <v>32</v>
      </c>
    </row>
    <row r="4485">
      <c r="A4485" s="36" t="s">
        <v>9273</v>
      </c>
      <c r="B4485" s="154" t="s">
        <v>9274</v>
      </c>
      <c r="C4485" s="36" t="s">
        <v>1653</v>
      </c>
      <c r="D4485" s="36" t="s">
        <v>55</v>
      </c>
      <c r="E4485" s="36" t="s">
        <v>39</v>
      </c>
      <c r="F4485" s="154" t="s">
        <v>9275</v>
      </c>
      <c r="G4485" s="36" t="s">
        <v>32</v>
      </c>
      <c r="H4485" s="36" t="s">
        <v>1655</v>
      </c>
      <c r="I4485" s="36" t="s">
        <v>1656</v>
      </c>
      <c r="J4485" s="36" t="s">
        <v>1656</v>
      </c>
      <c r="K4485" s="36" t="s">
        <v>1989</v>
      </c>
      <c r="L4485" s="36" t="s">
        <v>9229</v>
      </c>
      <c r="M4485" s="36" t="s">
        <v>9229</v>
      </c>
      <c r="N4485" s="36" t="s">
        <v>32</v>
      </c>
    </row>
    <row r="4486">
      <c r="A4486" s="36" t="s">
        <v>9276</v>
      </c>
      <c r="B4486" s="154" t="s">
        <v>9274</v>
      </c>
      <c r="C4486" s="36" t="s">
        <v>1666</v>
      </c>
      <c r="D4486" s="36" t="s">
        <v>76</v>
      </c>
      <c r="E4486" s="36" t="s">
        <v>76</v>
      </c>
      <c r="F4486" s="154" t="s">
        <v>9277</v>
      </c>
      <c r="G4486" s="36" t="s">
        <v>28</v>
      </c>
      <c r="H4486" s="36" t="s">
        <v>1655</v>
      </c>
      <c r="I4486" s="36" t="s">
        <v>1656</v>
      </c>
      <c r="J4486" s="36" t="s">
        <v>1656</v>
      </c>
      <c r="K4486" s="36" t="s">
        <v>1763</v>
      </c>
      <c r="L4486" s="36" t="s">
        <v>9233</v>
      </c>
      <c r="M4486" s="36" t="s">
        <v>9233</v>
      </c>
      <c r="N4486" s="36" t="s">
        <v>32</v>
      </c>
    </row>
    <row r="4487">
      <c r="A4487" s="36" t="s">
        <v>9278</v>
      </c>
      <c r="B4487" s="154" t="s">
        <v>9274</v>
      </c>
      <c r="C4487" s="36" t="s">
        <v>1666</v>
      </c>
      <c r="D4487" s="36" t="s">
        <v>114</v>
      </c>
      <c r="E4487" s="36" t="s">
        <v>114</v>
      </c>
      <c r="F4487" s="154" t="s">
        <v>9279</v>
      </c>
      <c r="G4487" s="36" t="s">
        <v>32</v>
      </c>
      <c r="H4487" s="36" t="s">
        <v>1655</v>
      </c>
      <c r="I4487" s="36" t="s">
        <v>1656</v>
      </c>
      <c r="J4487" s="36" t="s">
        <v>1656</v>
      </c>
      <c r="K4487" s="36" t="s">
        <v>1739</v>
      </c>
      <c r="L4487" s="36" t="s">
        <v>9233</v>
      </c>
      <c r="M4487" s="36" t="s">
        <v>9233</v>
      </c>
      <c r="N4487" s="36" t="s">
        <v>32</v>
      </c>
    </row>
    <row r="4488">
      <c r="A4488" s="36" t="s">
        <v>9280</v>
      </c>
      <c r="B4488" s="154" t="s">
        <v>9274</v>
      </c>
      <c r="C4488" s="36" t="s">
        <v>1666</v>
      </c>
      <c r="D4488" s="36" t="s">
        <v>115</v>
      </c>
      <c r="E4488" s="36" t="s">
        <v>115</v>
      </c>
      <c r="F4488" s="154" t="s">
        <v>1683</v>
      </c>
      <c r="G4488" s="36" t="s">
        <v>32</v>
      </c>
      <c r="H4488" s="36" t="s">
        <v>1655</v>
      </c>
      <c r="I4488" s="36" t="s">
        <v>1656</v>
      </c>
      <c r="J4488" s="36" t="s">
        <v>1656</v>
      </c>
      <c r="K4488" s="36" t="s">
        <v>1742</v>
      </c>
      <c r="L4488" s="36" t="s">
        <v>9233</v>
      </c>
      <c r="M4488" s="36" t="s">
        <v>9233</v>
      </c>
      <c r="N4488" s="36" t="s">
        <v>32</v>
      </c>
    </row>
    <row r="4489">
      <c r="A4489" s="36" t="s">
        <v>9281</v>
      </c>
      <c r="B4489" s="154" t="s">
        <v>9274</v>
      </c>
      <c r="C4489" s="36" t="s">
        <v>1666</v>
      </c>
      <c r="D4489" s="36" t="s">
        <v>99</v>
      </c>
      <c r="E4489" s="36" t="s">
        <v>99</v>
      </c>
      <c r="F4489" s="154" t="s">
        <v>9282</v>
      </c>
      <c r="G4489" s="36" t="s">
        <v>32</v>
      </c>
      <c r="H4489" s="36" t="s">
        <v>1655</v>
      </c>
      <c r="I4489" s="36" t="s">
        <v>1656</v>
      </c>
      <c r="J4489" s="36" t="s">
        <v>1656</v>
      </c>
      <c r="K4489" s="36" t="s">
        <v>1745</v>
      </c>
      <c r="L4489" s="36" t="s">
        <v>9233</v>
      </c>
      <c r="M4489" s="36" t="s">
        <v>9233</v>
      </c>
      <c r="N4489" s="36" t="s">
        <v>32</v>
      </c>
    </row>
    <row r="4490">
      <c r="A4490" s="36" t="s">
        <v>9283</v>
      </c>
      <c r="B4490" s="154" t="s">
        <v>9284</v>
      </c>
      <c r="C4490" s="36" t="s">
        <v>1666</v>
      </c>
      <c r="D4490" s="36" t="s">
        <v>116</v>
      </c>
      <c r="E4490" s="36" t="s">
        <v>116</v>
      </c>
      <c r="F4490" s="154" t="s">
        <v>2039</v>
      </c>
      <c r="G4490" s="36" t="s">
        <v>28</v>
      </c>
      <c r="H4490" s="36" t="s">
        <v>1655</v>
      </c>
      <c r="I4490" s="36" t="s">
        <v>1656</v>
      </c>
      <c r="J4490" s="36" t="s">
        <v>1656</v>
      </c>
      <c r="K4490" s="36" t="s">
        <v>1773</v>
      </c>
      <c r="L4490" s="36" t="s">
        <v>9233</v>
      </c>
      <c r="M4490" s="36" t="s">
        <v>9233</v>
      </c>
      <c r="N4490" s="36" t="s">
        <v>32</v>
      </c>
    </row>
    <row r="4491">
      <c r="A4491" s="36" t="s">
        <v>9285</v>
      </c>
      <c r="B4491" s="154" t="s">
        <v>9284</v>
      </c>
      <c r="C4491" s="36" t="s">
        <v>1666</v>
      </c>
      <c r="D4491" s="36" t="s">
        <v>92</v>
      </c>
      <c r="E4491" s="36" t="s">
        <v>92</v>
      </c>
      <c r="F4491" s="154" t="s">
        <v>1816</v>
      </c>
      <c r="G4491" s="36" t="s">
        <v>32</v>
      </c>
      <c r="H4491" s="36" t="s">
        <v>1655</v>
      </c>
      <c r="I4491" s="36" t="s">
        <v>1656</v>
      </c>
      <c r="J4491" s="36" t="s">
        <v>1656</v>
      </c>
      <c r="K4491" s="36" t="s">
        <v>1776</v>
      </c>
      <c r="L4491" s="36" t="s">
        <v>9233</v>
      </c>
      <c r="M4491" s="36" t="s">
        <v>9233</v>
      </c>
      <c r="N4491" s="36" t="s">
        <v>32</v>
      </c>
    </row>
    <row r="4492">
      <c r="A4492" s="36" t="s">
        <v>9286</v>
      </c>
      <c r="B4492" s="154" t="s">
        <v>9284</v>
      </c>
      <c r="C4492" s="36" t="s">
        <v>1666</v>
      </c>
      <c r="D4492" s="36" t="s">
        <v>100</v>
      </c>
      <c r="E4492" s="36" t="s">
        <v>100</v>
      </c>
      <c r="F4492" s="154" t="s">
        <v>1686</v>
      </c>
      <c r="G4492" s="36" t="s">
        <v>32</v>
      </c>
      <c r="H4492" s="36" t="s">
        <v>1655</v>
      </c>
      <c r="I4492" s="36" t="s">
        <v>1656</v>
      </c>
      <c r="J4492" s="36" t="s">
        <v>1656</v>
      </c>
      <c r="K4492" s="36" t="s">
        <v>1779</v>
      </c>
      <c r="L4492" s="36" t="s">
        <v>9233</v>
      </c>
      <c r="M4492" s="36" t="s">
        <v>9233</v>
      </c>
      <c r="N4492" s="36" t="s">
        <v>32</v>
      </c>
    </row>
    <row r="4493">
      <c r="A4493" s="36" t="s">
        <v>9287</v>
      </c>
      <c r="B4493" s="154" t="s">
        <v>9284</v>
      </c>
      <c r="C4493" s="36" t="s">
        <v>1666</v>
      </c>
      <c r="D4493" s="36" t="s">
        <v>101</v>
      </c>
      <c r="E4493" s="36" t="s">
        <v>101</v>
      </c>
      <c r="F4493" s="154" t="s">
        <v>9288</v>
      </c>
      <c r="G4493" s="36" t="s">
        <v>28</v>
      </c>
      <c r="H4493" s="36" t="s">
        <v>1655</v>
      </c>
      <c r="I4493" s="36" t="s">
        <v>1656</v>
      </c>
      <c r="J4493" s="36" t="s">
        <v>1656</v>
      </c>
      <c r="K4493" s="36" t="s">
        <v>1782</v>
      </c>
      <c r="L4493" s="36" t="s">
        <v>9233</v>
      </c>
      <c r="M4493" s="36" t="s">
        <v>9233</v>
      </c>
      <c r="N4493" s="36" t="s">
        <v>32</v>
      </c>
    </row>
    <row r="4494">
      <c r="A4494" s="36" t="s">
        <v>9289</v>
      </c>
      <c r="B4494" s="154" t="s">
        <v>9290</v>
      </c>
      <c r="C4494" s="36" t="s">
        <v>1653</v>
      </c>
      <c r="D4494" s="36" t="s">
        <v>57</v>
      </c>
      <c r="E4494" s="36" t="s">
        <v>39</v>
      </c>
      <c r="F4494" s="154" t="s">
        <v>9291</v>
      </c>
      <c r="G4494" s="36" t="s">
        <v>32</v>
      </c>
      <c r="H4494" s="36" t="s">
        <v>1655</v>
      </c>
      <c r="I4494" s="36" t="s">
        <v>1656</v>
      </c>
      <c r="J4494" s="36" t="s">
        <v>1656</v>
      </c>
      <c r="K4494" s="36" t="s">
        <v>1749</v>
      </c>
      <c r="L4494" s="36" t="s">
        <v>9229</v>
      </c>
      <c r="M4494" s="36" t="s">
        <v>9229</v>
      </c>
      <c r="N4494" s="36" t="s">
        <v>32</v>
      </c>
    </row>
    <row r="4495">
      <c r="A4495" s="36" t="s">
        <v>9292</v>
      </c>
      <c r="B4495" s="154" t="s">
        <v>9290</v>
      </c>
      <c r="C4495" s="36" t="s">
        <v>1653</v>
      </c>
      <c r="D4495" s="36" t="s">
        <v>58</v>
      </c>
      <c r="E4495" s="36" t="s">
        <v>39</v>
      </c>
      <c r="F4495" s="154" t="s">
        <v>9293</v>
      </c>
      <c r="G4495" s="36" t="s">
        <v>32</v>
      </c>
      <c r="H4495" s="36" t="s">
        <v>1655</v>
      </c>
      <c r="I4495" s="36" t="s">
        <v>1656</v>
      </c>
      <c r="J4495" s="36" t="s">
        <v>1656</v>
      </c>
      <c r="K4495" s="36" t="s">
        <v>1978</v>
      </c>
      <c r="L4495" s="36" t="s">
        <v>9229</v>
      </c>
      <c r="M4495" s="36" t="s">
        <v>9229</v>
      </c>
      <c r="N4495" s="36" t="s">
        <v>32</v>
      </c>
    </row>
    <row r="4496">
      <c r="A4496" s="36" t="s">
        <v>9294</v>
      </c>
      <c r="B4496" s="154" t="s">
        <v>9290</v>
      </c>
      <c r="C4496" s="36" t="s">
        <v>1666</v>
      </c>
      <c r="D4496" s="36" t="s">
        <v>117</v>
      </c>
      <c r="E4496" s="36" t="s">
        <v>117</v>
      </c>
      <c r="F4496" s="154" t="s">
        <v>3279</v>
      </c>
      <c r="G4496" s="36" t="s">
        <v>28</v>
      </c>
      <c r="H4496" s="36" t="s">
        <v>1655</v>
      </c>
      <c r="I4496" s="36" t="s">
        <v>1656</v>
      </c>
      <c r="J4496" s="36" t="s">
        <v>1656</v>
      </c>
      <c r="K4496" s="36" t="s">
        <v>1784</v>
      </c>
      <c r="L4496" s="36" t="s">
        <v>9233</v>
      </c>
      <c r="M4496" s="36" t="s">
        <v>9233</v>
      </c>
      <c r="N4496" s="36" t="s">
        <v>32</v>
      </c>
    </row>
    <row r="4497">
      <c r="A4497" s="36" t="s">
        <v>9295</v>
      </c>
      <c r="B4497" s="154" t="s">
        <v>9290</v>
      </c>
      <c r="C4497" s="36" t="s">
        <v>1666</v>
      </c>
      <c r="D4497" s="36" t="s">
        <v>118</v>
      </c>
      <c r="E4497" s="36" t="s">
        <v>118</v>
      </c>
      <c r="F4497" s="154" t="s">
        <v>1768</v>
      </c>
      <c r="G4497" s="36" t="s">
        <v>32</v>
      </c>
      <c r="H4497" s="36" t="s">
        <v>1655</v>
      </c>
      <c r="I4497" s="36" t="s">
        <v>1656</v>
      </c>
      <c r="J4497" s="36" t="s">
        <v>1656</v>
      </c>
      <c r="K4497" s="36" t="s">
        <v>1787</v>
      </c>
      <c r="L4497" s="36" t="s">
        <v>9233</v>
      </c>
      <c r="M4497" s="36" t="s">
        <v>9233</v>
      </c>
      <c r="N4497" s="36" t="s">
        <v>32</v>
      </c>
    </row>
    <row r="4498">
      <c r="A4498" s="36" t="s">
        <v>9296</v>
      </c>
      <c r="B4498" s="154" t="s">
        <v>9290</v>
      </c>
      <c r="C4498" s="36" t="s">
        <v>1666</v>
      </c>
      <c r="D4498" s="36" t="s">
        <v>119</v>
      </c>
      <c r="E4498" s="36" t="s">
        <v>119</v>
      </c>
      <c r="F4498" s="154" t="s">
        <v>1686</v>
      </c>
      <c r="G4498" s="36" t="s">
        <v>28</v>
      </c>
      <c r="H4498" s="36" t="s">
        <v>1655</v>
      </c>
      <c r="I4498" s="36" t="s">
        <v>1656</v>
      </c>
      <c r="J4498" s="36" t="s">
        <v>1656</v>
      </c>
      <c r="K4498" s="36" t="s">
        <v>1790</v>
      </c>
      <c r="L4498" s="36" t="s">
        <v>9233</v>
      </c>
      <c r="M4498" s="36" t="s">
        <v>9233</v>
      </c>
      <c r="N4498" s="36" t="s">
        <v>32</v>
      </c>
    </row>
    <row r="4499">
      <c r="A4499" s="36" t="s">
        <v>9297</v>
      </c>
      <c r="B4499" s="154" t="s">
        <v>9290</v>
      </c>
      <c r="C4499" s="36" t="s">
        <v>1666</v>
      </c>
      <c r="D4499" s="36" t="s">
        <v>120</v>
      </c>
      <c r="E4499" s="36" t="s">
        <v>120</v>
      </c>
      <c r="F4499" s="154" t="s">
        <v>7062</v>
      </c>
      <c r="G4499" s="36" t="s">
        <v>32</v>
      </c>
      <c r="H4499" s="36" t="s">
        <v>1655</v>
      </c>
      <c r="I4499" s="36" t="s">
        <v>1656</v>
      </c>
      <c r="J4499" s="36" t="s">
        <v>1656</v>
      </c>
      <c r="K4499" s="36" t="s">
        <v>1793</v>
      </c>
      <c r="L4499" s="36" t="s">
        <v>9233</v>
      </c>
      <c r="M4499" s="36" t="s">
        <v>9233</v>
      </c>
      <c r="N4499" s="36" t="s">
        <v>32</v>
      </c>
    </row>
    <row r="4500">
      <c r="A4500" s="36" t="s">
        <v>9298</v>
      </c>
      <c r="B4500" s="154" t="s">
        <v>9299</v>
      </c>
      <c r="C4500" s="36" t="s">
        <v>1666</v>
      </c>
      <c r="D4500" s="36" t="s">
        <v>121</v>
      </c>
      <c r="E4500" s="36" t="s">
        <v>121</v>
      </c>
      <c r="F4500" s="154" t="s">
        <v>6637</v>
      </c>
      <c r="G4500" s="36" t="s">
        <v>28</v>
      </c>
      <c r="H4500" s="36" t="s">
        <v>1655</v>
      </c>
      <c r="I4500" s="36" t="s">
        <v>1656</v>
      </c>
      <c r="J4500" s="36" t="s">
        <v>1656</v>
      </c>
      <c r="K4500" s="36" t="s">
        <v>1796</v>
      </c>
      <c r="L4500" s="36" t="s">
        <v>9233</v>
      </c>
      <c r="M4500" s="36" t="s">
        <v>9233</v>
      </c>
      <c r="N4500" s="36" t="s">
        <v>32</v>
      </c>
    </row>
    <row r="4501">
      <c r="A4501" s="36" t="s">
        <v>9300</v>
      </c>
      <c r="B4501" s="154" t="s">
        <v>9299</v>
      </c>
      <c r="C4501" s="36" t="s">
        <v>1666</v>
      </c>
      <c r="D4501" s="36" t="s">
        <v>122</v>
      </c>
      <c r="E4501" s="36" t="s">
        <v>122</v>
      </c>
      <c r="F4501" s="154" t="s">
        <v>9301</v>
      </c>
      <c r="G4501" s="36" t="s">
        <v>32</v>
      </c>
      <c r="H4501" s="36" t="s">
        <v>1655</v>
      </c>
      <c r="I4501" s="36" t="s">
        <v>1656</v>
      </c>
      <c r="J4501" s="36" t="s">
        <v>1656</v>
      </c>
      <c r="K4501" s="36" t="s">
        <v>1800</v>
      </c>
      <c r="L4501" s="36" t="s">
        <v>9233</v>
      </c>
      <c r="M4501" s="36" t="s">
        <v>9233</v>
      </c>
      <c r="N4501" s="36" t="s">
        <v>32</v>
      </c>
    </row>
    <row r="4502">
      <c r="A4502" s="36" t="s">
        <v>9302</v>
      </c>
      <c r="B4502" s="154" t="s">
        <v>9299</v>
      </c>
      <c r="C4502" s="36" t="s">
        <v>1666</v>
      </c>
      <c r="D4502" s="36" t="s">
        <v>123</v>
      </c>
      <c r="E4502" s="36" t="s">
        <v>123</v>
      </c>
      <c r="F4502" s="154" t="s">
        <v>9303</v>
      </c>
      <c r="G4502" s="36" t="s">
        <v>32</v>
      </c>
      <c r="H4502" s="36" t="s">
        <v>1655</v>
      </c>
      <c r="I4502" s="36" t="s">
        <v>1656</v>
      </c>
      <c r="J4502" s="36" t="s">
        <v>1656</v>
      </c>
      <c r="K4502" s="36" t="s">
        <v>1803</v>
      </c>
      <c r="L4502" s="36" t="s">
        <v>9233</v>
      </c>
      <c r="M4502" s="36" t="s">
        <v>9233</v>
      </c>
      <c r="N4502" s="36" t="s">
        <v>32</v>
      </c>
    </row>
    <row r="4503">
      <c r="A4503" s="36" t="s">
        <v>9304</v>
      </c>
      <c r="B4503" s="154" t="s">
        <v>9299</v>
      </c>
      <c r="C4503" s="36" t="s">
        <v>1666</v>
      </c>
      <c r="D4503" s="36" t="s">
        <v>124</v>
      </c>
      <c r="E4503" s="36" t="s">
        <v>124</v>
      </c>
      <c r="F4503" s="154" t="s">
        <v>9305</v>
      </c>
      <c r="G4503" s="36" t="s">
        <v>32</v>
      </c>
      <c r="H4503" s="36" t="s">
        <v>1655</v>
      </c>
      <c r="I4503" s="36" t="s">
        <v>1656</v>
      </c>
      <c r="J4503" s="36" t="s">
        <v>1656</v>
      </c>
      <c r="K4503" s="36" t="s">
        <v>1807</v>
      </c>
      <c r="L4503" s="36" t="s">
        <v>9233</v>
      </c>
      <c r="M4503" s="36" t="s">
        <v>9233</v>
      </c>
      <c r="N4503" s="36" t="s">
        <v>32</v>
      </c>
    </row>
    <row r="4504">
      <c r="A4504" s="36" t="s">
        <v>9306</v>
      </c>
      <c r="B4504" s="154" t="s">
        <v>9307</v>
      </c>
      <c r="C4504" s="36" t="s">
        <v>1666</v>
      </c>
      <c r="D4504" s="36" t="s">
        <v>125</v>
      </c>
      <c r="E4504" s="36" t="s">
        <v>125</v>
      </c>
      <c r="F4504" s="154" t="s">
        <v>2728</v>
      </c>
      <c r="G4504" s="36" t="s">
        <v>28</v>
      </c>
      <c r="H4504" s="36" t="s">
        <v>1655</v>
      </c>
      <c r="I4504" s="36" t="s">
        <v>1656</v>
      </c>
      <c r="J4504" s="36" t="s">
        <v>1656</v>
      </c>
      <c r="K4504" s="36" t="s">
        <v>1814</v>
      </c>
      <c r="L4504" s="36" t="s">
        <v>9233</v>
      </c>
      <c r="M4504" s="36" t="s">
        <v>9233</v>
      </c>
      <c r="N4504" s="36" t="s">
        <v>32</v>
      </c>
    </row>
    <row r="4505">
      <c r="A4505" s="36" t="s">
        <v>9308</v>
      </c>
      <c r="B4505" s="154" t="s">
        <v>9307</v>
      </c>
      <c r="C4505" s="36" t="s">
        <v>1666</v>
      </c>
      <c r="D4505" s="36" t="s">
        <v>126</v>
      </c>
      <c r="E4505" s="36" t="s">
        <v>126</v>
      </c>
      <c r="F4505" s="154" t="s">
        <v>9309</v>
      </c>
      <c r="G4505" s="36" t="s">
        <v>32</v>
      </c>
      <c r="H4505" s="36" t="s">
        <v>1655</v>
      </c>
      <c r="I4505" s="36" t="s">
        <v>1656</v>
      </c>
      <c r="J4505" s="36" t="s">
        <v>1656</v>
      </c>
      <c r="K4505" s="36" t="s">
        <v>1817</v>
      </c>
      <c r="L4505" s="36" t="s">
        <v>9233</v>
      </c>
      <c r="M4505" s="36" t="s">
        <v>9233</v>
      </c>
      <c r="N4505" s="36" t="s">
        <v>32</v>
      </c>
    </row>
    <row r="4506">
      <c r="A4506" s="36" t="s">
        <v>9310</v>
      </c>
      <c r="B4506" s="154" t="s">
        <v>9307</v>
      </c>
      <c r="C4506" s="36" t="s">
        <v>1666</v>
      </c>
      <c r="D4506" s="36" t="s">
        <v>126</v>
      </c>
      <c r="E4506" s="36" t="s">
        <v>126</v>
      </c>
      <c r="F4506" s="154" t="s">
        <v>9311</v>
      </c>
      <c r="G4506" s="36" t="s">
        <v>32</v>
      </c>
      <c r="H4506" s="36" t="s">
        <v>1655</v>
      </c>
      <c r="I4506" s="36" t="s">
        <v>1656</v>
      </c>
      <c r="J4506" s="36" t="s">
        <v>1656</v>
      </c>
      <c r="K4506" s="36" t="s">
        <v>1820</v>
      </c>
      <c r="L4506" s="36" t="s">
        <v>9233</v>
      </c>
      <c r="M4506" s="36" t="s">
        <v>9233</v>
      </c>
      <c r="N4506" s="36" t="s">
        <v>32</v>
      </c>
    </row>
    <row r="4507">
      <c r="A4507" s="36" t="s">
        <v>9312</v>
      </c>
      <c r="B4507" s="154" t="s">
        <v>9313</v>
      </c>
      <c r="C4507" s="36" t="s">
        <v>1666</v>
      </c>
      <c r="D4507" s="36" t="s">
        <v>127</v>
      </c>
      <c r="E4507" s="36" t="s">
        <v>127</v>
      </c>
      <c r="F4507" s="154" t="s">
        <v>2728</v>
      </c>
      <c r="G4507" s="36" t="s">
        <v>28</v>
      </c>
      <c r="H4507" s="36" t="s">
        <v>1655</v>
      </c>
      <c r="I4507" s="36" t="s">
        <v>1656</v>
      </c>
      <c r="J4507" s="36" t="s">
        <v>1656</v>
      </c>
      <c r="K4507" s="36" t="s">
        <v>1823</v>
      </c>
      <c r="L4507" s="36" t="s">
        <v>9233</v>
      </c>
      <c r="M4507" s="36" t="s">
        <v>9233</v>
      </c>
      <c r="N4507" s="36" t="s">
        <v>34</v>
      </c>
    </row>
    <row r="4508">
      <c r="A4508" s="36" t="s">
        <v>9314</v>
      </c>
      <c r="B4508" s="154" t="s">
        <v>9315</v>
      </c>
      <c r="C4508" s="36" t="s">
        <v>1666</v>
      </c>
      <c r="D4508" s="36" t="s">
        <v>89</v>
      </c>
      <c r="E4508" s="36" t="s">
        <v>89</v>
      </c>
      <c r="F4508" s="154" t="s">
        <v>9316</v>
      </c>
      <c r="G4508" s="36" t="s">
        <v>28</v>
      </c>
      <c r="H4508" s="36" t="s">
        <v>1655</v>
      </c>
      <c r="I4508" s="36" t="s">
        <v>1656</v>
      </c>
      <c r="J4508" s="36" t="s">
        <v>1656</v>
      </c>
      <c r="K4508" s="36" t="s">
        <v>1826</v>
      </c>
      <c r="L4508" s="36" t="s">
        <v>9233</v>
      </c>
      <c r="M4508" s="36" t="s">
        <v>9233</v>
      </c>
      <c r="N4508" s="36" t="s">
        <v>34</v>
      </c>
    </row>
    <row r="4509">
      <c r="A4509" s="36" t="s">
        <v>9317</v>
      </c>
      <c r="B4509" s="154" t="s">
        <v>9318</v>
      </c>
      <c r="C4509" s="36" t="s">
        <v>1666</v>
      </c>
      <c r="D4509" s="36" t="s">
        <v>94</v>
      </c>
      <c r="E4509" s="36" t="s">
        <v>94</v>
      </c>
      <c r="F4509" s="154" t="s">
        <v>1686</v>
      </c>
      <c r="G4509" s="36" t="s">
        <v>28</v>
      </c>
      <c r="H4509" s="36" t="s">
        <v>1655</v>
      </c>
      <c r="I4509" s="36" t="s">
        <v>1656</v>
      </c>
      <c r="J4509" s="36" t="s">
        <v>1656</v>
      </c>
      <c r="K4509" s="36" t="s">
        <v>1830</v>
      </c>
      <c r="L4509" s="36" t="s">
        <v>9233</v>
      </c>
      <c r="M4509" s="36" t="s">
        <v>9233</v>
      </c>
      <c r="N4509" s="36" t="s">
        <v>32</v>
      </c>
    </row>
    <row r="4510">
      <c r="A4510" s="36" t="s">
        <v>9319</v>
      </c>
      <c r="B4510" s="154" t="s">
        <v>9318</v>
      </c>
      <c r="C4510" s="36" t="s">
        <v>1666</v>
      </c>
      <c r="D4510" s="36" t="s">
        <v>89</v>
      </c>
      <c r="E4510" s="36" t="s">
        <v>89</v>
      </c>
      <c r="F4510" s="154" t="s">
        <v>9320</v>
      </c>
      <c r="G4510" s="36" t="s">
        <v>28</v>
      </c>
      <c r="H4510" s="36" t="s">
        <v>1655</v>
      </c>
      <c r="I4510" s="36" t="s">
        <v>1656</v>
      </c>
      <c r="J4510" s="36" t="s">
        <v>1656</v>
      </c>
      <c r="K4510" s="36" t="s">
        <v>1833</v>
      </c>
      <c r="L4510" s="36" t="s">
        <v>9233</v>
      </c>
      <c r="M4510" s="36" t="s">
        <v>9233</v>
      </c>
      <c r="N4510" s="36" t="s">
        <v>32</v>
      </c>
    </row>
    <row r="4511">
      <c r="A4511" s="36" t="s">
        <v>9321</v>
      </c>
      <c r="B4511" s="154" t="s">
        <v>9322</v>
      </c>
      <c r="C4511" s="36" t="s">
        <v>1666</v>
      </c>
      <c r="D4511" s="36" t="s">
        <v>110</v>
      </c>
      <c r="E4511" s="36" t="s">
        <v>110</v>
      </c>
      <c r="F4511" s="154" t="s">
        <v>1768</v>
      </c>
      <c r="G4511" s="36" t="s">
        <v>28</v>
      </c>
      <c r="H4511" s="36" t="s">
        <v>1655</v>
      </c>
      <c r="I4511" s="36" t="s">
        <v>1656</v>
      </c>
      <c r="J4511" s="36" t="s">
        <v>1656</v>
      </c>
      <c r="K4511" s="36" t="s">
        <v>1836</v>
      </c>
      <c r="L4511" s="36" t="s">
        <v>9233</v>
      </c>
      <c r="M4511" s="36" t="s">
        <v>9233</v>
      </c>
      <c r="N4511" s="36" t="s">
        <v>34</v>
      </c>
    </row>
    <row r="4512">
      <c r="A4512" s="36" t="s">
        <v>9323</v>
      </c>
      <c r="B4512" s="154" t="s">
        <v>9324</v>
      </c>
      <c r="C4512" s="36" t="s">
        <v>1666</v>
      </c>
      <c r="D4512" s="36" t="s">
        <v>128</v>
      </c>
      <c r="E4512" s="36" t="s">
        <v>128</v>
      </c>
      <c r="F4512" s="154" t="s">
        <v>1916</v>
      </c>
      <c r="G4512" s="36" t="s">
        <v>32</v>
      </c>
      <c r="H4512" s="36" t="s">
        <v>1655</v>
      </c>
      <c r="I4512" s="36" t="s">
        <v>1656</v>
      </c>
      <c r="J4512" s="36" t="s">
        <v>1656</v>
      </c>
      <c r="K4512" s="36" t="s">
        <v>1839</v>
      </c>
      <c r="L4512" s="36" t="s">
        <v>9233</v>
      </c>
      <c r="M4512" s="36" t="s">
        <v>9233</v>
      </c>
      <c r="N4512" s="36" t="s">
        <v>34</v>
      </c>
    </row>
    <row r="4513">
      <c r="A4513" s="36" t="s">
        <v>9325</v>
      </c>
      <c r="B4513" s="154" t="s">
        <v>9326</v>
      </c>
      <c r="C4513" s="36" t="s">
        <v>1666</v>
      </c>
      <c r="D4513" s="36" t="s">
        <v>79</v>
      </c>
      <c r="E4513" s="36" t="s">
        <v>79</v>
      </c>
      <c r="F4513" s="154" t="s">
        <v>9327</v>
      </c>
      <c r="G4513" s="36" t="s">
        <v>32</v>
      </c>
      <c r="H4513" s="36" t="s">
        <v>1655</v>
      </c>
      <c r="I4513" s="36" t="s">
        <v>1656</v>
      </c>
      <c r="J4513" s="36" t="s">
        <v>1656</v>
      </c>
      <c r="K4513" s="36" t="s">
        <v>1769</v>
      </c>
      <c r="L4513" s="36" t="s">
        <v>9233</v>
      </c>
      <c r="M4513" s="36" t="s">
        <v>9233</v>
      </c>
      <c r="N4513" s="36" t="s">
        <v>32</v>
      </c>
    </row>
    <row r="4514">
      <c r="A4514" s="36" t="s">
        <v>9328</v>
      </c>
      <c r="B4514" s="154" t="s">
        <v>9326</v>
      </c>
      <c r="C4514" s="36" t="s">
        <v>1666</v>
      </c>
      <c r="D4514" s="36" t="s">
        <v>129</v>
      </c>
      <c r="E4514" s="36" t="s">
        <v>129</v>
      </c>
      <c r="F4514" s="154" t="s">
        <v>2325</v>
      </c>
      <c r="G4514" s="36" t="s">
        <v>28</v>
      </c>
      <c r="H4514" s="36" t="s">
        <v>1655</v>
      </c>
      <c r="I4514" s="36" t="s">
        <v>1656</v>
      </c>
      <c r="J4514" s="36" t="s">
        <v>1656</v>
      </c>
      <c r="K4514" s="36" t="s">
        <v>1842</v>
      </c>
      <c r="L4514" s="36" t="s">
        <v>9233</v>
      </c>
      <c r="M4514" s="36" t="s">
        <v>9233</v>
      </c>
      <c r="N4514" s="36" t="s">
        <v>34</v>
      </c>
    </row>
    <row r="4515">
      <c r="A4515" s="36" t="s">
        <v>9329</v>
      </c>
      <c r="B4515" s="154" t="s">
        <v>9330</v>
      </c>
      <c r="C4515" s="36" t="s">
        <v>1666</v>
      </c>
      <c r="D4515" s="36" t="s">
        <v>110</v>
      </c>
      <c r="E4515" s="36" t="s">
        <v>110</v>
      </c>
      <c r="F4515" s="154" t="s">
        <v>1959</v>
      </c>
      <c r="G4515" s="36" t="s">
        <v>28</v>
      </c>
      <c r="H4515" s="36" t="s">
        <v>1655</v>
      </c>
      <c r="I4515" s="36" t="s">
        <v>1656</v>
      </c>
      <c r="J4515" s="36" t="s">
        <v>1656</v>
      </c>
      <c r="K4515" s="36" t="s">
        <v>1845</v>
      </c>
      <c r="L4515" s="36" t="s">
        <v>9233</v>
      </c>
      <c r="M4515" s="36" t="s">
        <v>9233</v>
      </c>
      <c r="N4515" s="36" t="s">
        <v>34</v>
      </c>
    </row>
    <row r="4516">
      <c r="A4516" s="36" t="s">
        <v>9331</v>
      </c>
      <c r="B4516" s="154" t="s">
        <v>9330</v>
      </c>
      <c r="C4516" s="36" t="s">
        <v>1666</v>
      </c>
      <c r="D4516" s="36" t="s">
        <v>94</v>
      </c>
      <c r="E4516" s="36" t="s">
        <v>94</v>
      </c>
      <c r="F4516" s="154" t="s">
        <v>1686</v>
      </c>
      <c r="G4516" s="36" t="s">
        <v>28</v>
      </c>
      <c r="H4516" s="36" t="s">
        <v>1655</v>
      </c>
      <c r="I4516" s="36" t="s">
        <v>1656</v>
      </c>
      <c r="J4516" s="36" t="s">
        <v>1656</v>
      </c>
      <c r="K4516" s="36" t="s">
        <v>1848</v>
      </c>
      <c r="L4516" s="36" t="s">
        <v>9233</v>
      </c>
      <c r="M4516" s="36" t="s">
        <v>9233</v>
      </c>
      <c r="N4516" s="36" t="s">
        <v>32</v>
      </c>
    </row>
    <row r="4517">
      <c r="A4517" s="36" t="s">
        <v>9332</v>
      </c>
      <c r="B4517" s="154" t="s">
        <v>9330</v>
      </c>
      <c r="C4517" s="36" t="s">
        <v>1666</v>
      </c>
      <c r="D4517" s="36" t="s">
        <v>89</v>
      </c>
      <c r="E4517" s="36" t="s">
        <v>89</v>
      </c>
      <c r="F4517" s="154" t="s">
        <v>1816</v>
      </c>
      <c r="G4517" s="36" t="s">
        <v>28</v>
      </c>
      <c r="H4517" s="36" t="s">
        <v>1655</v>
      </c>
      <c r="I4517" s="36" t="s">
        <v>1656</v>
      </c>
      <c r="J4517" s="36" t="s">
        <v>1656</v>
      </c>
      <c r="K4517" s="36" t="s">
        <v>1851</v>
      </c>
      <c r="L4517" s="36" t="s">
        <v>9233</v>
      </c>
      <c r="M4517" s="36" t="s">
        <v>9233</v>
      </c>
      <c r="N4517" s="36" t="s">
        <v>32</v>
      </c>
    </row>
    <row r="4518">
      <c r="A4518" s="36" t="s">
        <v>9333</v>
      </c>
      <c r="B4518" s="154" t="s">
        <v>9334</v>
      </c>
      <c r="C4518" s="36" t="s">
        <v>1666</v>
      </c>
      <c r="D4518" s="36" t="s">
        <v>92</v>
      </c>
      <c r="E4518" s="36" t="s">
        <v>92</v>
      </c>
      <c r="F4518" s="154" t="s">
        <v>9335</v>
      </c>
      <c r="G4518" s="36" t="s">
        <v>32</v>
      </c>
      <c r="H4518" s="36" t="s">
        <v>1655</v>
      </c>
      <c r="I4518" s="36" t="s">
        <v>1656</v>
      </c>
      <c r="J4518" s="36" t="s">
        <v>1656</v>
      </c>
      <c r="K4518" s="36" t="s">
        <v>1854</v>
      </c>
      <c r="L4518" s="36" t="s">
        <v>9233</v>
      </c>
      <c r="M4518" s="36" t="s">
        <v>9233</v>
      </c>
      <c r="N4518" s="36" t="s">
        <v>32</v>
      </c>
    </row>
    <row r="4519">
      <c r="A4519" s="36" t="s">
        <v>9336</v>
      </c>
      <c r="B4519" s="154" t="s">
        <v>9337</v>
      </c>
      <c r="C4519" s="36" t="s">
        <v>1666</v>
      </c>
      <c r="D4519" s="36" t="s">
        <v>130</v>
      </c>
      <c r="E4519" s="36" t="s">
        <v>130</v>
      </c>
      <c r="F4519" s="154" t="s">
        <v>1810</v>
      </c>
      <c r="G4519" s="36" t="s">
        <v>32</v>
      </c>
      <c r="H4519" s="36" t="s">
        <v>1655</v>
      </c>
      <c r="I4519" s="36" t="s">
        <v>1656</v>
      </c>
      <c r="J4519" s="36" t="s">
        <v>1656</v>
      </c>
      <c r="K4519" s="36" t="s">
        <v>1857</v>
      </c>
      <c r="L4519" s="36" t="s">
        <v>9233</v>
      </c>
      <c r="M4519" s="36" t="s">
        <v>9233</v>
      </c>
      <c r="N4519" s="36" t="s">
        <v>32</v>
      </c>
    </row>
    <row r="4520">
      <c r="A4520" s="36" t="s">
        <v>9338</v>
      </c>
      <c r="B4520" s="154" t="s">
        <v>9337</v>
      </c>
      <c r="C4520" s="36" t="s">
        <v>1666</v>
      </c>
      <c r="D4520" s="36" t="s">
        <v>89</v>
      </c>
      <c r="E4520" s="36" t="s">
        <v>89</v>
      </c>
      <c r="F4520" s="154" t="s">
        <v>1899</v>
      </c>
      <c r="G4520" s="36" t="s">
        <v>28</v>
      </c>
      <c r="H4520" s="36" t="s">
        <v>1655</v>
      </c>
      <c r="I4520" s="36" t="s">
        <v>1656</v>
      </c>
      <c r="J4520" s="36" t="s">
        <v>1656</v>
      </c>
      <c r="K4520" s="36" t="s">
        <v>1860</v>
      </c>
      <c r="L4520" s="36" t="s">
        <v>9233</v>
      </c>
      <c r="M4520" s="36" t="s">
        <v>9233</v>
      </c>
      <c r="N4520" s="36" t="s">
        <v>32</v>
      </c>
    </row>
    <row r="4521">
      <c r="A4521" s="36" t="s">
        <v>9339</v>
      </c>
      <c r="B4521" s="154" t="s">
        <v>9340</v>
      </c>
      <c r="C4521" s="36" t="s">
        <v>1666</v>
      </c>
      <c r="D4521" s="36" t="s">
        <v>131</v>
      </c>
      <c r="E4521" s="36" t="s">
        <v>131</v>
      </c>
      <c r="F4521" s="154" t="s">
        <v>9341</v>
      </c>
      <c r="G4521" s="36" t="s">
        <v>32</v>
      </c>
      <c r="H4521" s="36" t="s">
        <v>1655</v>
      </c>
      <c r="I4521" s="36" t="s">
        <v>1656</v>
      </c>
      <c r="J4521" s="36" t="s">
        <v>1656</v>
      </c>
      <c r="K4521" s="36" t="s">
        <v>1863</v>
      </c>
      <c r="L4521" s="36" t="s">
        <v>9233</v>
      </c>
      <c r="M4521" s="36" t="s">
        <v>9233</v>
      </c>
      <c r="N4521" s="36" t="s">
        <v>32</v>
      </c>
    </row>
    <row r="4522">
      <c r="A4522" s="36" t="s">
        <v>9342</v>
      </c>
      <c r="B4522" s="154" t="s">
        <v>9340</v>
      </c>
      <c r="C4522" s="36" t="s">
        <v>1666</v>
      </c>
      <c r="D4522" s="36" t="s">
        <v>132</v>
      </c>
      <c r="E4522" s="36" t="s">
        <v>132</v>
      </c>
      <c r="F4522" s="154" t="s">
        <v>9343</v>
      </c>
      <c r="G4522" s="36" t="s">
        <v>32</v>
      </c>
      <c r="H4522" s="36" t="s">
        <v>1655</v>
      </c>
      <c r="I4522" s="36" t="s">
        <v>1656</v>
      </c>
      <c r="J4522" s="36" t="s">
        <v>1656</v>
      </c>
      <c r="K4522" s="36" t="s">
        <v>1866</v>
      </c>
      <c r="L4522" s="36" t="s">
        <v>9233</v>
      </c>
      <c r="M4522" s="36" t="s">
        <v>9233</v>
      </c>
      <c r="N4522" s="36" t="s">
        <v>32</v>
      </c>
    </row>
    <row r="4523">
      <c r="A4523" s="36" t="s">
        <v>9344</v>
      </c>
      <c r="B4523" s="154" t="s">
        <v>9345</v>
      </c>
      <c r="C4523" s="36" t="s">
        <v>1666</v>
      </c>
      <c r="D4523" s="36" t="s">
        <v>81</v>
      </c>
      <c r="E4523" s="36" t="s">
        <v>81</v>
      </c>
      <c r="F4523" s="154" t="s">
        <v>4013</v>
      </c>
      <c r="G4523" s="36" t="s">
        <v>28</v>
      </c>
      <c r="H4523" s="36" t="s">
        <v>1655</v>
      </c>
      <c r="I4523" s="36" t="s">
        <v>1656</v>
      </c>
      <c r="J4523" s="36" t="s">
        <v>1656</v>
      </c>
      <c r="K4523" s="36" t="s">
        <v>1811</v>
      </c>
      <c r="L4523" s="36" t="s">
        <v>9233</v>
      </c>
      <c r="M4523" s="36" t="s">
        <v>9233</v>
      </c>
      <c r="N4523" s="36" t="s">
        <v>32</v>
      </c>
    </row>
    <row r="4524">
      <c r="A4524" s="36" t="s">
        <v>9346</v>
      </c>
      <c r="B4524" s="154" t="s">
        <v>9345</v>
      </c>
      <c r="C4524" s="36" t="s">
        <v>1666</v>
      </c>
      <c r="D4524" s="36" t="s">
        <v>83</v>
      </c>
      <c r="E4524" s="36" t="s">
        <v>83</v>
      </c>
      <c r="F4524" s="154" t="s">
        <v>9347</v>
      </c>
      <c r="G4524" s="36" t="s">
        <v>28</v>
      </c>
      <c r="H4524" s="36" t="s">
        <v>1655</v>
      </c>
      <c r="I4524" s="36" t="s">
        <v>1656</v>
      </c>
      <c r="J4524" s="36" t="s">
        <v>1656</v>
      </c>
      <c r="K4524" s="36" t="s">
        <v>9348</v>
      </c>
      <c r="L4524" s="36" t="s">
        <v>1656</v>
      </c>
      <c r="M4524" s="36" t="s">
        <v>9349</v>
      </c>
      <c r="N4524" s="36" t="s">
        <v>32</v>
      </c>
    </row>
    <row r="4525">
      <c r="A4525" s="36" t="s">
        <v>9350</v>
      </c>
      <c r="B4525" s="154" t="s">
        <v>9345</v>
      </c>
      <c r="C4525" s="36" t="s">
        <v>1666</v>
      </c>
      <c r="D4525" s="36" t="s">
        <v>84</v>
      </c>
      <c r="E4525" s="36" t="s">
        <v>84</v>
      </c>
      <c r="F4525" s="154" t="s">
        <v>9351</v>
      </c>
      <c r="G4525" s="36" t="s">
        <v>32</v>
      </c>
      <c r="H4525" s="36" t="s">
        <v>1655</v>
      </c>
      <c r="I4525" s="36" t="s">
        <v>1656</v>
      </c>
      <c r="J4525" s="36" t="s">
        <v>1656</v>
      </c>
      <c r="K4525" s="36" t="s">
        <v>1921</v>
      </c>
      <c r="L4525" s="36" t="s">
        <v>9233</v>
      </c>
      <c r="M4525" s="36" t="s">
        <v>9233</v>
      </c>
      <c r="N4525" s="36" t="s">
        <v>32</v>
      </c>
    </row>
    <row r="4526">
      <c r="A4526" s="36" t="s">
        <v>9352</v>
      </c>
      <c r="B4526" s="154" t="s">
        <v>9353</v>
      </c>
      <c r="C4526" s="36" t="s">
        <v>1666</v>
      </c>
      <c r="D4526" s="36" t="s">
        <v>124</v>
      </c>
      <c r="E4526" s="36" t="s">
        <v>124</v>
      </c>
      <c r="F4526" s="154" t="s">
        <v>9354</v>
      </c>
      <c r="G4526" s="36" t="s">
        <v>32</v>
      </c>
      <c r="H4526" s="36" t="s">
        <v>1655</v>
      </c>
      <c r="I4526" s="36" t="s">
        <v>1656</v>
      </c>
      <c r="J4526" s="36" t="s">
        <v>1656</v>
      </c>
      <c r="K4526" s="36" t="s">
        <v>1869</v>
      </c>
      <c r="L4526" s="36" t="s">
        <v>9233</v>
      </c>
      <c r="M4526" s="36" t="s">
        <v>9233</v>
      </c>
      <c r="N4526" s="36" t="s">
        <v>32</v>
      </c>
    </row>
    <row r="4527">
      <c r="A4527" s="36" t="s">
        <v>9355</v>
      </c>
      <c r="B4527" s="154" t="s">
        <v>9353</v>
      </c>
      <c r="C4527" s="36" t="s">
        <v>1666</v>
      </c>
      <c r="D4527" s="36" t="s">
        <v>133</v>
      </c>
      <c r="E4527" s="36" t="s">
        <v>100</v>
      </c>
      <c r="F4527" s="154" t="s">
        <v>9356</v>
      </c>
      <c r="G4527" s="36" t="s">
        <v>32</v>
      </c>
      <c r="H4527" s="36" t="s">
        <v>9357</v>
      </c>
      <c r="I4527" s="36" t="s">
        <v>1656</v>
      </c>
      <c r="J4527" s="36" t="s">
        <v>1656</v>
      </c>
      <c r="K4527" s="36" t="s">
        <v>9358</v>
      </c>
      <c r="L4527" s="36" t="s">
        <v>9359</v>
      </c>
      <c r="M4527" s="36" t="s">
        <v>9360</v>
      </c>
      <c r="N4527" s="36" t="s">
        <v>32</v>
      </c>
    </row>
    <row r="4528">
      <c r="A4528" s="36" t="s">
        <v>9361</v>
      </c>
      <c r="B4528" s="154" t="s">
        <v>9362</v>
      </c>
      <c r="C4528" s="36" t="s">
        <v>1653</v>
      </c>
      <c r="D4528" s="36" t="s">
        <v>43</v>
      </c>
      <c r="E4528" s="36" t="s">
        <v>39</v>
      </c>
      <c r="F4528" s="154" t="s">
        <v>9363</v>
      </c>
      <c r="G4528" s="36" t="s">
        <v>32</v>
      </c>
      <c r="H4528" s="36" t="s">
        <v>9357</v>
      </c>
      <c r="I4528" s="36" t="s">
        <v>1656</v>
      </c>
      <c r="J4528" s="36" t="s">
        <v>1656</v>
      </c>
      <c r="K4528" s="36" t="s">
        <v>9364</v>
      </c>
      <c r="L4528" s="36" t="s">
        <v>9365</v>
      </c>
      <c r="M4528" s="36" t="s">
        <v>9366</v>
      </c>
      <c r="N4528" s="36" t="s">
        <v>32</v>
      </c>
    </row>
    <row r="4529">
      <c r="A4529" s="36" t="s">
        <v>9367</v>
      </c>
      <c r="B4529" s="154" t="s">
        <v>9368</v>
      </c>
      <c r="C4529" s="36" t="s">
        <v>1666</v>
      </c>
      <c r="D4529" s="36" t="s">
        <v>86</v>
      </c>
      <c r="E4529" s="36" t="s">
        <v>9369</v>
      </c>
      <c r="F4529" s="154" t="s">
        <v>7062</v>
      </c>
      <c r="G4529" s="36" t="s">
        <v>32</v>
      </c>
      <c r="H4529" s="36" t="s">
        <v>9357</v>
      </c>
      <c r="I4529" s="36" t="s">
        <v>1656</v>
      </c>
      <c r="J4529" s="36" t="s">
        <v>1656</v>
      </c>
      <c r="K4529" s="36" t="s">
        <v>9370</v>
      </c>
      <c r="L4529" s="36" t="s">
        <v>9371</v>
      </c>
      <c r="M4529" s="36" t="s">
        <v>9372</v>
      </c>
      <c r="N4529" s="36" t="s">
        <v>32</v>
      </c>
    </row>
    <row r="4530">
      <c r="A4530" s="36" t="s">
        <v>9373</v>
      </c>
      <c r="B4530" s="154" t="s">
        <v>9368</v>
      </c>
      <c r="C4530" s="36" t="s">
        <v>1666</v>
      </c>
      <c r="D4530" s="36" t="s">
        <v>88</v>
      </c>
      <c r="E4530" s="36" t="s">
        <v>100</v>
      </c>
      <c r="F4530" s="154" t="s">
        <v>1686</v>
      </c>
      <c r="G4530" s="36" t="s">
        <v>32</v>
      </c>
      <c r="H4530" s="36" t="s">
        <v>9357</v>
      </c>
      <c r="I4530" s="36" t="s">
        <v>1656</v>
      </c>
      <c r="J4530" s="36" t="s">
        <v>1656</v>
      </c>
      <c r="K4530" s="36" t="s">
        <v>9370</v>
      </c>
      <c r="L4530" s="36" t="s">
        <v>9374</v>
      </c>
      <c r="M4530" s="36" t="s">
        <v>9375</v>
      </c>
      <c r="N4530" s="36" t="s">
        <v>32</v>
      </c>
    </row>
    <row r="4531">
      <c r="A4531" s="36" t="s">
        <v>9376</v>
      </c>
      <c r="B4531" s="154" t="s">
        <v>9368</v>
      </c>
      <c r="C4531" s="36" t="s">
        <v>1666</v>
      </c>
      <c r="D4531" s="36" t="s">
        <v>90</v>
      </c>
      <c r="E4531" s="36" t="s">
        <v>9377</v>
      </c>
      <c r="F4531" s="154" t="s">
        <v>3017</v>
      </c>
      <c r="G4531" s="36" t="s">
        <v>28</v>
      </c>
      <c r="H4531" s="36" t="s">
        <v>9357</v>
      </c>
      <c r="I4531" s="36" t="s">
        <v>1656</v>
      </c>
      <c r="J4531" s="36" t="s">
        <v>1656</v>
      </c>
      <c r="K4531" s="36" t="s">
        <v>9378</v>
      </c>
      <c r="L4531" s="36" t="s">
        <v>9379</v>
      </c>
      <c r="M4531" s="36" t="s">
        <v>9380</v>
      </c>
      <c r="N4531" s="36" t="s">
        <v>32</v>
      </c>
    </row>
    <row r="4532">
      <c r="A4532" s="36" t="s">
        <v>9381</v>
      </c>
      <c r="B4532" s="154" t="s">
        <v>9368</v>
      </c>
      <c r="C4532" s="36" t="s">
        <v>1666</v>
      </c>
      <c r="D4532" s="36" t="s">
        <v>92</v>
      </c>
      <c r="E4532" s="36" t="s">
        <v>9382</v>
      </c>
      <c r="F4532" s="154" t="s">
        <v>6350</v>
      </c>
      <c r="G4532" s="36" t="s">
        <v>32</v>
      </c>
      <c r="H4532" s="36" t="s">
        <v>9357</v>
      </c>
      <c r="I4532" s="36" t="s">
        <v>1656</v>
      </c>
      <c r="J4532" s="36" t="s">
        <v>1656</v>
      </c>
      <c r="K4532" s="36" t="s">
        <v>9383</v>
      </c>
      <c r="L4532" s="36" t="s">
        <v>9384</v>
      </c>
      <c r="M4532" s="36" t="s">
        <v>9385</v>
      </c>
      <c r="N4532" s="36" t="s">
        <v>32</v>
      </c>
    </row>
    <row r="4533">
      <c r="A4533" s="36" t="s">
        <v>9386</v>
      </c>
      <c r="B4533" s="154" t="s">
        <v>9368</v>
      </c>
      <c r="C4533" s="36" t="s">
        <v>1653</v>
      </c>
      <c r="D4533" s="36" t="s">
        <v>56</v>
      </c>
      <c r="E4533" s="36" t="s">
        <v>39</v>
      </c>
      <c r="F4533" s="154" t="s">
        <v>9387</v>
      </c>
      <c r="G4533" s="36" t="s">
        <v>32</v>
      </c>
      <c r="H4533" s="36" t="s">
        <v>9357</v>
      </c>
      <c r="I4533" s="36" t="s">
        <v>1656</v>
      </c>
      <c r="J4533" s="36" t="s">
        <v>1656</v>
      </c>
      <c r="K4533" s="36" t="s">
        <v>9388</v>
      </c>
      <c r="L4533" s="36" t="s">
        <v>9389</v>
      </c>
      <c r="M4533" s="36" t="s">
        <v>9390</v>
      </c>
      <c r="N4533" s="36" t="s">
        <v>32</v>
      </c>
    </row>
    <row r="4534">
      <c r="A4534" s="36" t="s">
        <v>9391</v>
      </c>
      <c r="B4534" s="154" t="s">
        <v>9392</v>
      </c>
      <c r="C4534" s="36" t="s">
        <v>1666</v>
      </c>
      <c r="D4534" s="36" t="s">
        <v>70</v>
      </c>
      <c r="E4534" s="36" t="s">
        <v>9393</v>
      </c>
      <c r="F4534" s="154" t="s">
        <v>9394</v>
      </c>
      <c r="G4534" s="36" t="s">
        <v>32</v>
      </c>
      <c r="H4534" s="36" t="s">
        <v>9357</v>
      </c>
      <c r="I4534" s="36" t="s">
        <v>1656</v>
      </c>
      <c r="J4534" s="36" t="s">
        <v>1656</v>
      </c>
      <c r="K4534" s="36" t="s">
        <v>9395</v>
      </c>
      <c r="L4534" s="36" t="s">
        <v>9396</v>
      </c>
      <c r="M4534" s="36" t="s">
        <v>9397</v>
      </c>
      <c r="N4534" s="36" t="s">
        <v>32</v>
      </c>
    </row>
    <row r="4535">
      <c r="A4535" s="36" t="s">
        <v>9398</v>
      </c>
      <c r="B4535" s="154" t="s">
        <v>9399</v>
      </c>
      <c r="C4535" s="36" t="s">
        <v>1666</v>
      </c>
      <c r="D4535" s="36" t="s">
        <v>94</v>
      </c>
      <c r="E4535" s="36" t="s">
        <v>9377</v>
      </c>
      <c r="F4535" s="154" t="s">
        <v>1686</v>
      </c>
      <c r="G4535" s="36" t="s">
        <v>28</v>
      </c>
      <c r="H4535" s="36" t="s">
        <v>9357</v>
      </c>
      <c r="I4535" s="36" t="s">
        <v>1656</v>
      </c>
      <c r="J4535" s="36" t="s">
        <v>1656</v>
      </c>
      <c r="K4535" s="36" t="s">
        <v>9400</v>
      </c>
      <c r="L4535" s="36" t="s">
        <v>9401</v>
      </c>
      <c r="M4535" s="36" t="s">
        <v>9402</v>
      </c>
      <c r="N4535" s="36" t="s">
        <v>32</v>
      </c>
    </row>
    <row r="4536">
      <c r="A4536" s="36" t="s">
        <v>9403</v>
      </c>
      <c r="B4536" s="154" t="s">
        <v>9399</v>
      </c>
      <c r="C4536" s="36" t="s">
        <v>1666</v>
      </c>
      <c r="D4536" s="36" t="s">
        <v>64</v>
      </c>
      <c r="E4536" s="36" t="s">
        <v>9404</v>
      </c>
      <c r="F4536" s="154" t="s">
        <v>9043</v>
      </c>
      <c r="G4536" s="36" t="s">
        <v>28</v>
      </c>
      <c r="H4536" s="36" t="s">
        <v>1655</v>
      </c>
      <c r="I4536" s="36" t="s">
        <v>1656</v>
      </c>
      <c r="J4536" s="36" t="s">
        <v>1656</v>
      </c>
      <c r="K4536" s="36" t="s">
        <v>9405</v>
      </c>
      <c r="L4536" s="36" t="s">
        <v>9406</v>
      </c>
      <c r="M4536" s="36" t="s">
        <v>9407</v>
      </c>
      <c r="N4536" s="36" t="s">
        <v>32</v>
      </c>
    </row>
    <row r="4537">
      <c r="A4537" s="36" t="s">
        <v>9408</v>
      </c>
      <c r="B4537" s="154" t="s">
        <v>9409</v>
      </c>
      <c r="C4537" s="36" t="s">
        <v>1666</v>
      </c>
      <c r="D4537" s="36" t="s">
        <v>96</v>
      </c>
      <c r="E4537" s="36" t="s">
        <v>9377</v>
      </c>
      <c r="F4537" s="154" t="s">
        <v>2325</v>
      </c>
      <c r="G4537" s="36" t="s">
        <v>28</v>
      </c>
      <c r="H4537" s="36" t="s">
        <v>9357</v>
      </c>
      <c r="I4537" s="36" t="s">
        <v>1656</v>
      </c>
      <c r="J4537" s="36" t="s">
        <v>1656</v>
      </c>
      <c r="K4537" s="36" t="s">
        <v>9410</v>
      </c>
      <c r="L4537" s="36" t="s">
        <v>9411</v>
      </c>
      <c r="M4537" s="36" t="s">
        <v>9412</v>
      </c>
      <c r="N4537" s="36" t="s">
        <v>32</v>
      </c>
    </row>
    <row r="4538">
      <c r="A4538" s="36" t="s">
        <v>9413</v>
      </c>
      <c r="B4538" s="154" t="s">
        <v>9414</v>
      </c>
      <c r="C4538" s="36" t="s">
        <v>1666</v>
      </c>
      <c r="D4538" s="36" t="s">
        <v>63</v>
      </c>
      <c r="E4538" s="36" t="s">
        <v>9393</v>
      </c>
      <c r="F4538" s="154" t="s">
        <v>9415</v>
      </c>
      <c r="G4538" s="36" t="s">
        <v>32</v>
      </c>
      <c r="H4538" s="36" t="s">
        <v>1655</v>
      </c>
      <c r="I4538" s="36" t="s">
        <v>1656</v>
      </c>
      <c r="J4538" s="36" t="s">
        <v>1656</v>
      </c>
      <c r="K4538" s="36" t="s">
        <v>9416</v>
      </c>
      <c r="L4538" s="36" t="s">
        <v>1656</v>
      </c>
      <c r="M4538" s="36" t="s">
        <v>9417</v>
      </c>
      <c r="N4538" s="36" t="s">
        <v>34</v>
      </c>
    </row>
    <row r="4539">
      <c r="A4539" s="36" t="s">
        <v>9418</v>
      </c>
      <c r="B4539" s="154" t="s">
        <v>9419</v>
      </c>
      <c r="C4539" s="36" t="s">
        <v>1666</v>
      </c>
      <c r="D4539" s="36" t="s">
        <v>97</v>
      </c>
      <c r="E4539" s="36" t="s">
        <v>9377</v>
      </c>
      <c r="F4539" s="154" t="s">
        <v>9420</v>
      </c>
      <c r="G4539" s="36" t="s">
        <v>32</v>
      </c>
      <c r="H4539" s="36" t="s">
        <v>9357</v>
      </c>
      <c r="I4539" s="36" t="s">
        <v>1656</v>
      </c>
      <c r="J4539" s="36" t="s">
        <v>1656</v>
      </c>
      <c r="K4539" s="36" t="s">
        <v>9421</v>
      </c>
      <c r="L4539" s="36" t="s">
        <v>9422</v>
      </c>
      <c r="M4539" s="36" t="s">
        <v>9423</v>
      </c>
      <c r="N4539" s="36" t="s">
        <v>32</v>
      </c>
    </row>
    <row r="4540">
      <c r="A4540" s="36" t="s">
        <v>9424</v>
      </c>
      <c r="B4540" s="154" t="s">
        <v>9419</v>
      </c>
      <c r="C4540" s="36" t="s">
        <v>1666</v>
      </c>
      <c r="D4540" s="36" t="s">
        <v>88</v>
      </c>
      <c r="E4540" s="36" t="s">
        <v>100</v>
      </c>
      <c r="F4540" s="154" t="s">
        <v>1973</v>
      </c>
      <c r="G4540" s="36" t="s">
        <v>32</v>
      </c>
      <c r="H4540" s="36" t="s">
        <v>9357</v>
      </c>
      <c r="I4540" s="36" t="s">
        <v>1656</v>
      </c>
      <c r="J4540" s="36" t="s">
        <v>1656</v>
      </c>
      <c r="K4540" s="36" t="s">
        <v>9425</v>
      </c>
      <c r="L4540" s="36" t="s">
        <v>9426</v>
      </c>
      <c r="M4540" s="36" t="s">
        <v>9427</v>
      </c>
      <c r="N4540" s="36" t="s">
        <v>32</v>
      </c>
    </row>
    <row r="4541">
      <c r="A4541" s="36" t="s">
        <v>9428</v>
      </c>
      <c r="B4541" s="154" t="s">
        <v>9419</v>
      </c>
      <c r="C4541" s="36" t="s">
        <v>1666</v>
      </c>
      <c r="D4541" s="36" t="s">
        <v>105</v>
      </c>
      <c r="E4541" s="36" t="s">
        <v>9377</v>
      </c>
      <c r="F4541" s="154" t="s">
        <v>1959</v>
      </c>
      <c r="G4541" s="36" t="s">
        <v>28</v>
      </c>
      <c r="H4541" s="36" t="s">
        <v>9357</v>
      </c>
      <c r="I4541" s="36" t="s">
        <v>1656</v>
      </c>
      <c r="J4541" s="36" t="s">
        <v>1656</v>
      </c>
      <c r="K4541" s="36" t="s">
        <v>9429</v>
      </c>
      <c r="L4541" s="36" t="s">
        <v>9430</v>
      </c>
      <c r="M4541" s="36" t="s">
        <v>9431</v>
      </c>
      <c r="N4541" s="36" t="s">
        <v>32</v>
      </c>
    </row>
    <row r="4542">
      <c r="A4542" s="36" t="s">
        <v>9432</v>
      </c>
      <c r="B4542" s="154" t="s">
        <v>9433</v>
      </c>
      <c r="C4542" s="36" t="s">
        <v>1666</v>
      </c>
      <c r="D4542" s="36" t="s">
        <v>99</v>
      </c>
      <c r="E4542" s="36" t="s">
        <v>9434</v>
      </c>
      <c r="F4542" s="154" t="s">
        <v>9435</v>
      </c>
      <c r="G4542" s="36" t="s">
        <v>32</v>
      </c>
      <c r="H4542" s="36" t="s">
        <v>9436</v>
      </c>
      <c r="I4542" s="36" t="s">
        <v>1656</v>
      </c>
      <c r="J4542" s="36" t="s">
        <v>1656</v>
      </c>
      <c r="K4542" s="36" t="s">
        <v>9437</v>
      </c>
      <c r="L4542" s="36" t="s">
        <v>9438</v>
      </c>
      <c r="M4542" s="36" t="s">
        <v>9439</v>
      </c>
      <c r="N4542" s="36" t="s">
        <v>32</v>
      </c>
    </row>
    <row r="4543">
      <c r="A4543" s="36" t="s">
        <v>9440</v>
      </c>
      <c r="B4543" s="154" t="s">
        <v>9433</v>
      </c>
      <c r="C4543" s="36" t="s">
        <v>1666</v>
      </c>
      <c r="D4543" s="36" t="s">
        <v>101</v>
      </c>
      <c r="E4543" s="36" t="s">
        <v>9434</v>
      </c>
      <c r="F4543" s="154" t="s">
        <v>9441</v>
      </c>
      <c r="G4543" s="36" t="s">
        <v>28</v>
      </c>
      <c r="H4543" s="36" t="s">
        <v>9436</v>
      </c>
      <c r="I4543" s="36" t="s">
        <v>1656</v>
      </c>
      <c r="J4543" s="36" t="s">
        <v>1656</v>
      </c>
      <c r="K4543" s="36" t="s">
        <v>9442</v>
      </c>
      <c r="L4543" s="36" t="s">
        <v>9438</v>
      </c>
      <c r="M4543" s="36" t="s">
        <v>9443</v>
      </c>
      <c r="N4543" s="36" t="s">
        <v>32</v>
      </c>
    </row>
    <row r="4544">
      <c r="A4544" s="36" t="s">
        <v>9444</v>
      </c>
      <c r="B4544" s="154" t="s">
        <v>9433</v>
      </c>
      <c r="C4544" s="36" t="s">
        <v>1666</v>
      </c>
      <c r="D4544" s="36" t="s">
        <v>103</v>
      </c>
      <c r="E4544" s="36" t="s">
        <v>9434</v>
      </c>
      <c r="F4544" s="154" t="s">
        <v>9445</v>
      </c>
      <c r="G4544" s="36" t="s">
        <v>34</v>
      </c>
      <c r="H4544" s="36" t="s">
        <v>9436</v>
      </c>
      <c r="I4544" s="36" t="s">
        <v>1656</v>
      </c>
      <c r="J4544" s="36" t="s">
        <v>1656</v>
      </c>
      <c r="K4544" s="36" t="s">
        <v>9446</v>
      </c>
      <c r="L4544" s="36" t="s">
        <v>9438</v>
      </c>
      <c r="M4544" s="36" t="s">
        <v>9447</v>
      </c>
      <c r="N4544" s="36" t="s">
        <v>32</v>
      </c>
    </row>
    <row r="4545">
      <c r="A4545" s="36" t="s">
        <v>9448</v>
      </c>
      <c r="B4545" s="154" t="s">
        <v>9449</v>
      </c>
      <c r="C4545" s="36" t="s">
        <v>1666</v>
      </c>
      <c r="D4545" s="36" t="s">
        <v>107</v>
      </c>
      <c r="E4545" s="36" t="s">
        <v>9450</v>
      </c>
      <c r="F4545" s="154" t="s">
        <v>2156</v>
      </c>
      <c r="G4545" s="36" t="s">
        <v>32</v>
      </c>
      <c r="H4545" s="36" t="s">
        <v>9357</v>
      </c>
      <c r="I4545" s="36" t="s">
        <v>1656</v>
      </c>
      <c r="J4545" s="36" t="s">
        <v>1656</v>
      </c>
      <c r="K4545" s="36" t="s">
        <v>9451</v>
      </c>
      <c r="L4545" s="36" t="s">
        <v>9452</v>
      </c>
      <c r="M4545" s="36" t="s">
        <v>9453</v>
      </c>
      <c r="N4545" s="36" t="s">
        <v>32</v>
      </c>
    </row>
    <row r="4546">
      <c r="A4546" s="36" t="s">
        <v>9454</v>
      </c>
      <c r="B4546" s="154" t="s">
        <v>9433</v>
      </c>
      <c r="C4546" s="36" t="s">
        <v>1653</v>
      </c>
      <c r="D4546" s="36" t="s">
        <v>55</v>
      </c>
      <c r="E4546" s="36" t="s">
        <v>39</v>
      </c>
      <c r="F4546" s="154" t="s">
        <v>9455</v>
      </c>
      <c r="G4546" s="36" t="s">
        <v>32</v>
      </c>
      <c r="H4546" s="36" t="s">
        <v>9357</v>
      </c>
      <c r="I4546" s="36" t="s">
        <v>1656</v>
      </c>
      <c r="J4546" s="36" t="s">
        <v>1656</v>
      </c>
      <c r="K4546" s="36" t="s">
        <v>9456</v>
      </c>
      <c r="L4546" s="36" t="s">
        <v>9457</v>
      </c>
      <c r="M4546" s="36" t="s">
        <v>9458</v>
      </c>
      <c r="N4546" s="36" t="s">
        <v>32</v>
      </c>
    </row>
    <row r="4547">
      <c r="A4547" s="36" t="s">
        <v>9459</v>
      </c>
      <c r="B4547" s="154" t="s">
        <v>9433</v>
      </c>
      <c r="C4547" s="36" t="s">
        <v>1666</v>
      </c>
      <c r="D4547" s="36" t="s">
        <v>75</v>
      </c>
      <c r="E4547" s="36" t="s">
        <v>9377</v>
      </c>
      <c r="F4547" s="154" t="s">
        <v>9460</v>
      </c>
      <c r="G4547" s="36" t="s">
        <v>28</v>
      </c>
      <c r="H4547" s="36" t="s">
        <v>1655</v>
      </c>
      <c r="I4547" s="36" t="s">
        <v>1656</v>
      </c>
      <c r="J4547" s="36" t="s">
        <v>1656</v>
      </c>
      <c r="K4547" s="36" t="s">
        <v>9461</v>
      </c>
      <c r="L4547" s="36" t="s">
        <v>9462</v>
      </c>
      <c r="M4547" s="36" t="s">
        <v>9463</v>
      </c>
      <c r="N4547" s="36" t="s">
        <v>32</v>
      </c>
    </row>
    <row r="4548">
      <c r="A4548" s="36" t="s">
        <v>9464</v>
      </c>
      <c r="B4548" s="154" t="s">
        <v>9362</v>
      </c>
      <c r="C4548" s="36" t="s">
        <v>1653</v>
      </c>
      <c r="D4548" s="36" t="s">
        <v>59</v>
      </c>
      <c r="E4548" s="36" t="s">
        <v>39</v>
      </c>
      <c r="F4548" s="154" t="s">
        <v>9465</v>
      </c>
      <c r="G4548" s="36" t="s">
        <v>32</v>
      </c>
      <c r="H4548" s="36" t="s">
        <v>9357</v>
      </c>
      <c r="I4548" s="36" t="s">
        <v>1656</v>
      </c>
      <c r="J4548" s="36" t="s">
        <v>1656</v>
      </c>
      <c r="K4548" s="36" t="s">
        <v>9466</v>
      </c>
      <c r="L4548" s="36" t="s">
        <v>9467</v>
      </c>
      <c r="M4548" s="36" t="s">
        <v>9468</v>
      </c>
      <c r="N4548" s="36" t="s">
        <v>32</v>
      </c>
    </row>
    <row r="4549">
      <c r="A4549" s="36" t="s">
        <v>9469</v>
      </c>
      <c r="B4549" s="154" t="s">
        <v>9433</v>
      </c>
      <c r="C4549" s="36" t="s">
        <v>1666</v>
      </c>
      <c r="D4549" s="36" t="s">
        <v>76</v>
      </c>
      <c r="E4549" s="36" t="s">
        <v>9404</v>
      </c>
      <c r="F4549" s="154" t="s">
        <v>9470</v>
      </c>
      <c r="G4549" s="36" t="s">
        <v>28</v>
      </c>
      <c r="H4549" s="36" t="s">
        <v>1655</v>
      </c>
      <c r="I4549" s="36" t="s">
        <v>1656</v>
      </c>
      <c r="J4549" s="36" t="s">
        <v>1656</v>
      </c>
      <c r="K4549" s="36" t="s">
        <v>9471</v>
      </c>
      <c r="L4549" s="36" t="s">
        <v>9472</v>
      </c>
      <c r="M4549" s="36" t="s">
        <v>9473</v>
      </c>
      <c r="N4549" s="36" t="s">
        <v>32</v>
      </c>
    </row>
  </sheetData>
  <hyperlinks>
    <hyperlink r:id="rId1" ref="D4383"/>
    <hyperlink r:id="rId2" ref="E438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9474</v>
      </c>
      <c r="C1" s="36" t="s">
        <v>9475</v>
      </c>
      <c r="D1" s="36" t="s">
        <v>9476</v>
      </c>
      <c r="E1" s="36" t="s">
        <v>1643</v>
      </c>
      <c r="F1" s="36" t="s">
        <v>1641</v>
      </c>
      <c r="G1" s="36" t="s">
        <v>9477</v>
      </c>
      <c r="H1" s="36" t="s">
        <v>9478</v>
      </c>
    </row>
    <row r="2">
      <c r="A2" s="36" t="s">
        <v>9479</v>
      </c>
      <c r="B2" s="36" t="s">
        <v>63</v>
      </c>
      <c r="C2" s="154" t="s">
        <v>2021</v>
      </c>
      <c r="D2" s="154" t="s">
        <v>6219</v>
      </c>
      <c r="E2" s="36" t="s">
        <v>32</v>
      </c>
      <c r="F2" s="36" t="s">
        <v>9393</v>
      </c>
      <c r="G2" s="36" t="s">
        <v>9480</v>
      </c>
      <c r="H2" s="154" t="s">
        <v>9481</v>
      </c>
    </row>
    <row r="3">
      <c r="A3" s="36" t="s">
        <v>9482</v>
      </c>
      <c r="B3" s="36" t="s">
        <v>64</v>
      </c>
      <c r="C3" s="154" t="s">
        <v>2025</v>
      </c>
      <c r="D3" s="154" t="s">
        <v>9043</v>
      </c>
      <c r="E3" s="36" t="s">
        <v>28</v>
      </c>
      <c r="F3" s="36" t="s">
        <v>9404</v>
      </c>
      <c r="G3" s="36" t="s">
        <v>9480</v>
      </c>
      <c r="H3" s="154" t="s">
        <v>9481</v>
      </c>
    </row>
    <row r="4">
      <c r="A4" s="36" t="s">
        <v>9483</v>
      </c>
      <c r="B4" s="36" t="s">
        <v>65</v>
      </c>
      <c r="C4" s="154" t="s">
        <v>1778</v>
      </c>
      <c r="D4" s="154" t="s">
        <v>1899</v>
      </c>
      <c r="E4" s="36" t="s">
        <v>28</v>
      </c>
      <c r="F4" s="36" t="s">
        <v>9404</v>
      </c>
      <c r="G4" s="36" t="s">
        <v>9480</v>
      </c>
      <c r="H4" s="154" t="s">
        <v>9481</v>
      </c>
    </row>
    <row r="5">
      <c r="A5" s="36" t="s">
        <v>9484</v>
      </c>
      <c r="B5" s="36" t="s">
        <v>74</v>
      </c>
      <c r="C5" s="154" t="s">
        <v>1806</v>
      </c>
      <c r="D5" s="154" t="s">
        <v>8095</v>
      </c>
      <c r="E5" s="36" t="s">
        <v>32</v>
      </c>
      <c r="F5" s="36" t="s">
        <v>9377</v>
      </c>
      <c r="G5" s="36" t="s">
        <v>9480</v>
      </c>
      <c r="H5" s="154" t="s">
        <v>9481</v>
      </c>
    </row>
    <row r="6">
      <c r="A6" s="36" t="s">
        <v>9485</v>
      </c>
      <c r="B6" s="36" t="s">
        <v>75</v>
      </c>
      <c r="C6" s="154" t="s">
        <v>1806</v>
      </c>
      <c r="D6" s="154" t="s">
        <v>1902</v>
      </c>
      <c r="E6" s="36" t="s">
        <v>28</v>
      </c>
      <c r="F6" s="36" t="s">
        <v>9377</v>
      </c>
      <c r="G6" s="36" t="s">
        <v>9480</v>
      </c>
      <c r="H6" s="154" t="s">
        <v>9481</v>
      </c>
    </row>
    <row r="7">
      <c r="A7" s="36" t="s">
        <v>9486</v>
      </c>
      <c r="B7" s="36" t="s">
        <v>76</v>
      </c>
      <c r="C7" s="154" t="s">
        <v>1806</v>
      </c>
      <c r="D7" s="154" t="s">
        <v>2553</v>
      </c>
      <c r="E7" s="36" t="s">
        <v>28</v>
      </c>
      <c r="F7" s="36" t="s">
        <v>9404</v>
      </c>
      <c r="G7" s="36" t="s">
        <v>9480</v>
      </c>
      <c r="H7" s="154" t="s">
        <v>9481</v>
      </c>
    </row>
    <row r="8">
      <c r="A8" s="36" t="s">
        <v>9487</v>
      </c>
      <c r="B8" s="36" t="s">
        <v>77</v>
      </c>
      <c r="C8" s="154" t="s">
        <v>1806</v>
      </c>
      <c r="D8" s="154" t="s">
        <v>1768</v>
      </c>
      <c r="E8" s="36" t="s">
        <v>34</v>
      </c>
      <c r="F8" s="36" t="s">
        <v>9488</v>
      </c>
      <c r="G8" s="36" t="s">
        <v>9480</v>
      </c>
      <c r="H8" s="154" t="s">
        <v>9481</v>
      </c>
    </row>
    <row r="9">
      <c r="A9" s="36" t="s">
        <v>9489</v>
      </c>
      <c r="B9" s="36" t="s">
        <v>78</v>
      </c>
      <c r="C9" s="154" t="s">
        <v>1806</v>
      </c>
      <c r="D9" s="154" t="s">
        <v>1899</v>
      </c>
      <c r="E9" s="36" t="s">
        <v>28</v>
      </c>
      <c r="F9" s="36" t="s">
        <v>88</v>
      </c>
      <c r="G9" s="36" t="s">
        <v>9480</v>
      </c>
      <c r="H9" s="154" t="s">
        <v>9481</v>
      </c>
    </row>
    <row r="10">
      <c r="A10" s="36" t="s">
        <v>9490</v>
      </c>
      <c r="B10" s="36" t="s">
        <v>80</v>
      </c>
      <c r="C10" s="154" t="s">
        <v>1832</v>
      </c>
      <c r="D10" s="154" t="s">
        <v>9026</v>
      </c>
      <c r="E10" s="36" t="s">
        <v>32</v>
      </c>
      <c r="F10" s="36" t="s">
        <v>9393</v>
      </c>
      <c r="G10" s="36" t="s">
        <v>9480</v>
      </c>
      <c r="H10" s="154" t="s">
        <v>9481</v>
      </c>
    </row>
    <row r="11">
      <c r="A11" s="36" t="s">
        <v>9491</v>
      </c>
      <c r="B11" s="36" t="s">
        <v>81</v>
      </c>
      <c r="C11" s="154" t="s">
        <v>1686</v>
      </c>
      <c r="D11" s="154" t="s">
        <v>4013</v>
      </c>
      <c r="E11" s="36" t="s">
        <v>28</v>
      </c>
      <c r="F11" s="36" t="s">
        <v>9492</v>
      </c>
      <c r="G11" s="36" t="s">
        <v>9480</v>
      </c>
      <c r="H11" s="154" t="s">
        <v>9481</v>
      </c>
    </row>
    <row r="12">
      <c r="A12" s="36" t="s">
        <v>9493</v>
      </c>
      <c r="B12" s="36" t="s">
        <v>83</v>
      </c>
      <c r="C12" s="154" t="s">
        <v>1686</v>
      </c>
      <c r="D12" s="154" t="s">
        <v>2553</v>
      </c>
      <c r="E12" s="36" t="s">
        <v>28</v>
      </c>
      <c r="F12" s="36" t="s">
        <v>9492</v>
      </c>
      <c r="G12" s="36" t="s">
        <v>9480</v>
      </c>
      <c r="H12" s="154" t="s">
        <v>9481</v>
      </c>
    </row>
    <row r="13">
      <c r="A13" s="36" t="s">
        <v>9494</v>
      </c>
      <c r="B13" s="36" t="s">
        <v>70</v>
      </c>
      <c r="C13" s="154" t="s">
        <v>1929</v>
      </c>
      <c r="D13" s="154" t="s">
        <v>9394</v>
      </c>
      <c r="E13" s="36" t="s">
        <v>32</v>
      </c>
      <c r="F13" s="36" t="s">
        <v>9393</v>
      </c>
      <c r="G13" s="36" t="s">
        <v>9480</v>
      </c>
      <c r="H13" s="154" t="s">
        <v>9481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9495</v>
      </c>
      <c r="C1" s="36" t="s">
        <v>9496</v>
      </c>
      <c r="D1" s="36" t="s">
        <v>9497</v>
      </c>
      <c r="E1" s="36" t="s">
        <v>9477</v>
      </c>
      <c r="F1" s="36" t="s">
        <v>1643</v>
      </c>
      <c r="G1" s="36" t="s">
        <v>1641</v>
      </c>
      <c r="H1" s="36" t="s">
        <v>1647</v>
      </c>
      <c r="I1" s="36" t="s">
        <v>9498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9499</v>
      </c>
      <c r="B1" s="36" t="s">
        <v>1642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9474</v>
      </c>
      <c r="C1" s="36" t="s">
        <v>9500</v>
      </c>
      <c r="D1" s="36" t="s">
        <v>9501</v>
      </c>
      <c r="E1" s="36" t="s">
        <v>9502</v>
      </c>
      <c r="F1" s="36" t="s">
        <v>9503</v>
      </c>
      <c r="G1" s="36" t="s">
        <v>9478</v>
      </c>
      <c r="H1" s="36" t="s">
        <v>1648</v>
      </c>
      <c r="I1" s="36" t="s">
        <v>1649</v>
      </c>
    </row>
    <row r="2">
      <c r="A2" s="36" t="s">
        <v>9504</v>
      </c>
      <c r="B2" s="36" t="s">
        <v>9505</v>
      </c>
      <c r="C2" s="36" t="s">
        <v>9506</v>
      </c>
      <c r="D2" s="36" t="s">
        <v>32</v>
      </c>
      <c r="E2" s="154" t="s">
        <v>9507</v>
      </c>
      <c r="F2" s="36" t="s">
        <v>32</v>
      </c>
      <c r="G2" s="154" t="s">
        <v>9481</v>
      </c>
      <c r="H2" s="36" t="s">
        <v>9508</v>
      </c>
      <c r="I2" s="36" t="s">
        <v>9509</v>
      </c>
    </row>
    <row r="3">
      <c r="A3" s="36" t="s">
        <v>9510</v>
      </c>
      <c r="B3" s="36" t="s">
        <v>9511</v>
      </c>
      <c r="C3" s="36" t="s">
        <v>9506</v>
      </c>
      <c r="D3" s="36" t="s">
        <v>32</v>
      </c>
      <c r="E3" s="154" t="s">
        <v>9512</v>
      </c>
      <c r="F3" s="36" t="s">
        <v>28</v>
      </c>
      <c r="G3" s="154" t="s">
        <v>9481</v>
      </c>
      <c r="H3" s="36" t="s">
        <v>9513</v>
      </c>
      <c r="I3" s="36" t="s">
        <v>9514</v>
      </c>
    </row>
    <row r="4">
      <c r="A4" s="36" t="s">
        <v>9515</v>
      </c>
      <c r="B4" s="36" t="s">
        <v>9516</v>
      </c>
      <c r="C4" s="36" t="s">
        <v>9506</v>
      </c>
      <c r="D4" s="36" t="s">
        <v>34</v>
      </c>
      <c r="E4" s="154" t="s">
        <v>9517</v>
      </c>
      <c r="F4" s="36" t="s">
        <v>28</v>
      </c>
      <c r="G4" s="154" t="s">
        <v>9481</v>
      </c>
      <c r="H4" s="36" t="s">
        <v>9518</v>
      </c>
      <c r="I4" s="36" t="s">
        <v>9519</v>
      </c>
    </row>
    <row r="5">
      <c r="A5" s="36" t="s">
        <v>9520</v>
      </c>
      <c r="B5" s="36" t="s">
        <v>9521</v>
      </c>
      <c r="C5" s="36" t="s">
        <v>9506</v>
      </c>
      <c r="D5" s="36" t="s">
        <v>737</v>
      </c>
      <c r="E5" s="154" t="s">
        <v>9522</v>
      </c>
      <c r="F5" s="36" t="s">
        <v>28</v>
      </c>
      <c r="G5" s="154" t="s">
        <v>9481</v>
      </c>
      <c r="H5" s="36" t="s">
        <v>9523</v>
      </c>
      <c r="I5" s="36" t="s">
        <v>9524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9525</v>
      </c>
      <c r="C1" s="36" t="s">
        <v>1638</v>
      </c>
      <c r="D1" s="36" t="s">
        <v>1640</v>
      </c>
      <c r="E1" s="36" t="s">
        <v>1642</v>
      </c>
      <c r="F1" s="36" t="s">
        <v>1645</v>
      </c>
      <c r="G1" s="36" t="s">
        <v>1646</v>
      </c>
      <c r="H1" s="36" t="s">
        <v>9526</v>
      </c>
      <c r="I1" s="36" t="s">
        <v>9527</v>
      </c>
      <c r="J1" s="36" t="s">
        <v>9528</v>
      </c>
      <c r="K1" s="36" t="s">
        <v>9529</v>
      </c>
      <c r="L1" s="36" t="s">
        <v>1647</v>
      </c>
      <c r="M1" s="36" t="s">
        <v>1648</v>
      </c>
      <c r="N1" s="36" t="s">
        <v>1649</v>
      </c>
    </row>
    <row r="2">
      <c r="A2" s="36" t="s">
        <v>9530</v>
      </c>
      <c r="B2" s="36" t="s">
        <v>9515</v>
      </c>
      <c r="C2" s="154" t="s">
        <v>9238</v>
      </c>
      <c r="D2" s="36" t="s">
        <v>9531</v>
      </c>
      <c r="E2" s="154" t="s">
        <v>9532</v>
      </c>
      <c r="F2" s="36" t="s">
        <v>1656</v>
      </c>
      <c r="G2" s="36" t="s">
        <v>1656</v>
      </c>
      <c r="H2" s="36" t="s">
        <v>9533</v>
      </c>
      <c r="I2" s="36" t="s">
        <v>9534</v>
      </c>
      <c r="J2" s="36" t="s">
        <v>9535</v>
      </c>
      <c r="K2" s="154" t="s">
        <v>9536</v>
      </c>
      <c r="L2" s="36" t="s">
        <v>9537</v>
      </c>
      <c r="M2" s="36" t="s">
        <v>9538</v>
      </c>
      <c r="N2" s="36" t="s">
        <v>9539</v>
      </c>
    </row>
    <row r="3">
      <c r="A3" s="36" t="s">
        <v>9540</v>
      </c>
      <c r="B3" s="36" t="s">
        <v>9515</v>
      </c>
      <c r="C3" s="154" t="s">
        <v>9242</v>
      </c>
      <c r="D3" s="36" t="s">
        <v>9541</v>
      </c>
      <c r="E3" s="154" t="s">
        <v>9542</v>
      </c>
      <c r="F3" s="36" t="s">
        <v>1656</v>
      </c>
      <c r="G3" s="36" t="s">
        <v>1656</v>
      </c>
      <c r="H3" s="36" t="s">
        <v>9543</v>
      </c>
      <c r="I3" s="36" t="s">
        <v>9534</v>
      </c>
      <c r="J3" s="36" t="s">
        <v>9535</v>
      </c>
      <c r="K3" s="154" t="s">
        <v>9536</v>
      </c>
      <c r="L3" s="36" t="s">
        <v>9537</v>
      </c>
      <c r="M3" s="36" t="s">
        <v>9538</v>
      </c>
      <c r="N3" s="36" t="s">
        <v>9544</v>
      </c>
    </row>
    <row r="4">
      <c r="A4" s="36" t="s">
        <v>9545</v>
      </c>
      <c r="B4" s="36" t="s">
        <v>9515</v>
      </c>
      <c r="C4" s="154" t="s">
        <v>9255</v>
      </c>
      <c r="D4" s="36" t="s">
        <v>9546</v>
      </c>
      <c r="E4" s="154" t="s">
        <v>9547</v>
      </c>
      <c r="F4" s="36" t="s">
        <v>1656</v>
      </c>
      <c r="G4" s="36" t="s">
        <v>1656</v>
      </c>
      <c r="H4" s="36" t="s">
        <v>9548</v>
      </c>
      <c r="I4" s="36" t="s">
        <v>9534</v>
      </c>
      <c r="J4" s="36" t="s">
        <v>9535</v>
      </c>
      <c r="K4" s="154" t="s">
        <v>9536</v>
      </c>
      <c r="L4" s="36" t="s">
        <v>9537</v>
      </c>
      <c r="M4" s="36" t="s">
        <v>9538</v>
      </c>
      <c r="N4" s="36" t="s">
        <v>9549</v>
      </c>
    </row>
    <row r="5">
      <c r="A5" s="36" t="s">
        <v>9550</v>
      </c>
      <c r="B5" s="36" t="s">
        <v>9515</v>
      </c>
      <c r="C5" s="154" t="s">
        <v>9255</v>
      </c>
      <c r="D5" s="36" t="s">
        <v>9551</v>
      </c>
      <c r="E5" s="154" t="s">
        <v>9552</v>
      </c>
      <c r="F5" s="36" t="s">
        <v>1656</v>
      </c>
      <c r="G5" s="36" t="s">
        <v>1656</v>
      </c>
      <c r="H5" s="36" t="s">
        <v>9553</v>
      </c>
      <c r="I5" s="36" t="s">
        <v>9534</v>
      </c>
      <c r="J5" s="36" t="s">
        <v>9535</v>
      </c>
      <c r="K5" s="154" t="s">
        <v>9536</v>
      </c>
      <c r="L5" s="36" t="s">
        <v>9537</v>
      </c>
      <c r="M5" s="36" t="s">
        <v>9538</v>
      </c>
      <c r="N5" s="36" t="s">
        <v>9554</v>
      </c>
    </row>
    <row r="6">
      <c r="A6" s="36" t="s">
        <v>9555</v>
      </c>
      <c r="B6" s="36" t="s">
        <v>9515</v>
      </c>
      <c r="C6" s="154" t="s">
        <v>9255</v>
      </c>
      <c r="D6" s="36" t="s">
        <v>9556</v>
      </c>
      <c r="E6" s="154" t="s">
        <v>9557</v>
      </c>
      <c r="F6" s="36" t="s">
        <v>1656</v>
      </c>
      <c r="G6" s="36" t="s">
        <v>1656</v>
      </c>
      <c r="H6" s="36" t="s">
        <v>9558</v>
      </c>
      <c r="I6" s="36" t="s">
        <v>9534</v>
      </c>
      <c r="J6" s="36" t="s">
        <v>9535</v>
      </c>
      <c r="K6" s="154" t="s">
        <v>9536</v>
      </c>
      <c r="L6" s="36" t="s">
        <v>9537</v>
      </c>
      <c r="M6" s="36" t="s">
        <v>9538</v>
      </c>
      <c r="N6" s="36" t="s">
        <v>9559</v>
      </c>
    </row>
    <row r="7">
      <c r="A7" s="36" t="s">
        <v>9560</v>
      </c>
      <c r="B7" s="36" t="s">
        <v>9515</v>
      </c>
      <c r="C7" s="154" t="s">
        <v>9255</v>
      </c>
      <c r="D7" s="36" t="s">
        <v>9561</v>
      </c>
      <c r="E7" s="154" t="s">
        <v>9562</v>
      </c>
      <c r="F7" s="36" t="s">
        <v>1656</v>
      </c>
      <c r="G7" s="36" t="s">
        <v>1656</v>
      </c>
      <c r="H7" s="36" t="s">
        <v>9563</v>
      </c>
      <c r="I7" s="36" t="s">
        <v>9534</v>
      </c>
      <c r="J7" s="36" t="s">
        <v>9535</v>
      </c>
      <c r="K7" s="154" t="s">
        <v>9536</v>
      </c>
      <c r="L7" s="36" t="s">
        <v>9537</v>
      </c>
      <c r="M7" s="36" t="s">
        <v>9538</v>
      </c>
      <c r="N7" s="36" t="s">
        <v>9564</v>
      </c>
    </row>
    <row r="8">
      <c r="A8" s="36" t="s">
        <v>9565</v>
      </c>
      <c r="B8" s="36" t="s">
        <v>9515</v>
      </c>
      <c r="C8" s="154" t="s">
        <v>9255</v>
      </c>
      <c r="D8" s="36" t="s">
        <v>9566</v>
      </c>
      <c r="E8" s="154" t="s">
        <v>2025</v>
      </c>
      <c r="F8" s="36" t="s">
        <v>1656</v>
      </c>
      <c r="G8" s="36" t="s">
        <v>1656</v>
      </c>
      <c r="H8" s="36" t="s">
        <v>9567</v>
      </c>
      <c r="I8" s="36" t="s">
        <v>9534</v>
      </c>
      <c r="J8" s="36" t="s">
        <v>9535</v>
      </c>
      <c r="K8" s="154" t="s">
        <v>9536</v>
      </c>
      <c r="L8" s="36" t="s">
        <v>9537</v>
      </c>
      <c r="M8" s="36" t="s">
        <v>9538</v>
      </c>
      <c r="N8" s="36" t="s">
        <v>9568</v>
      </c>
    </row>
    <row r="9">
      <c r="A9" s="36" t="s">
        <v>9569</v>
      </c>
      <c r="B9" s="36" t="s">
        <v>9515</v>
      </c>
      <c r="C9" s="154" t="s">
        <v>9263</v>
      </c>
      <c r="D9" s="36" t="s">
        <v>9541</v>
      </c>
      <c r="E9" s="154" t="s">
        <v>9570</v>
      </c>
      <c r="F9" s="36" t="s">
        <v>1656</v>
      </c>
      <c r="G9" s="36" t="s">
        <v>1656</v>
      </c>
      <c r="H9" s="36" t="s">
        <v>9571</v>
      </c>
      <c r="I9" s="36" t="s">
        <v>9534</v>
      </c>
      <c r="J9" s="36" t="s">
        <v>9535</v>
      </c>
      <c r="K9" s="154" t="s">
        <v>9536</v>
      </c>
      <c r="L9" s="36" t="s">
        <v>9537</v>
      </c>
      <c r="M9" s="36" t="s">
        <v>9538</v>
      </c>
      <c r="N9" s="36" t="s">
        <v>9572</v>
      </c>
    </row>
    <row r="10">
      <c r="A10" s="36" t="s">
        <v>9573</v>
      </c>
      <c r="B10" s="36" t="s">
        <v>9515</v>
      </c>
      <c r="C10" s="154" t="s">
        <v>9263</v>
      </c>
      <c r="D10" s="36" t="s">
        <v>9574</v>
      </c>
      <c r="E10" s="154" t="s">
        <v>9575</v>
      </c>
      <c r="F10" s="36" t="s">
        <v>1656</v>
      </c>
      <c r="G10" s="36" t="s">
        <v>1656</v>
      </c>
      <c r="H10" s="36" t="s">
        <v>9576</v>
      </c>
      <c r="I10" s="36" t="s">
        <v>9534</v>
      </c>
      <c r="J10" s="36" t="s">
        <v>9535</v>
      </c>
      <c r="K10" s="154" t="s">
        <v>9536</v>
      </c>
      <c r="L10" s="36" t="s">
        <v>9537</v>
      </c>
      <c r="M10" s="36" t="s">
        <v>9538</v>
      </c>
      <c r="N10" s="36" t="s">
        <v>9577</v>
      </c>
    </row>
    <row r="11">
      <c r="A11" s="36" t="s">
        <v>9578</v>
      </c>
      <c r="B11" s="36" t="s">
        <v>9515</v>
      </c>
      <c r="C11" s="154" t="s">
        <v>9263</v>
      </c>
      <c r="D11" s="36" t="s">
        <v>9541</v>
      </c>
      <c r="E11" s="154" t="s">
        <v>9579</v>
      </c>
      <c r="F11" s="36" t="s">
        <v>1656</v>
      </c>
      <c r="G11" s="36" t="s">
        <v>1656</v>
      </c>
      <c r="H11" s="36" t="s">
        <v>9580</v>
      </c>
      <c r="I11" s="36" t="s">
        <v>9534</v>
      </c>
      <c r="J11" s="36" t="s">
        <v>9535</v>
      </c>
      <c r="K11" s="154" t="s">
        <v>9536</v>
      </c>
      <c r="L11" s="36" t="s">
        <v>9537</v>
      </c>
      <c r="M11" s="36" t="s">
        <v>9538</v>
      </c>
      <c r="N11" s="36" t="s">
        <v>9581</v>
      </c>
    </row>
    <row r="12">
      <c r="A12" s="36" t="s">
        <v>9582</v>
      </c>
      <c r="B12" s="36" t="s">
        <v>9515</v>
      </c>
      <c r="C12" s="154" t="s">
        <v>9271</v>
      </c>
      <c r="D12" s="36" t="s">
        <v>9541</v>
      </c>
      <c r="E12" s="154" t="s">
        <v>2110</v>
      </c>
      <c r="F12" s="36" t="s">
        <v>1656</v>
      </c>
      <c r="G12" s="36" t="s">
        <v>1656</v>
      </c>
      <c r="H12" s="36" t="s">
        <v>9583</v>
      </c>
      <c r="I12" s="36" t="s">
        <v>9534</v>
      </c>
      <c r="J12" s="36" t="s">
        <v>9535</v>
      </c>
      <c r="K12" s="154" t="s">
        <v>9536</v>
      </c>
      <c r="L12" s="36" t="s">
        <v>9537</v>
      </c>
      <c r="M12" s="36" t="s">
        <v>9538</v>
      </c>
      <c r="N12" s="36" t="s">
        <v>9584</v>
      </c>
    </row>
    <row r="13">
      <c r="A13" s="36" t="s">
        <v>9585</v>
      </c>
      <c r="B13" s="36" t="s">
        <v>9515</v>
      </c>
      <c r="C13" s="154" t="s">
        <v>9271</v>
      </c>
      <c r="D13" s="36" t="s">
        <v>9541</v>
      </c>
      <c r="E13" s="154" t="s">
        <v>9586</v>
      </c>
      <c r="F13" s="36" t="s">
        <v>1656</v>
      </c>
      <c r="G13" s="36" t="s">
        <v>1656</v>
      </c>
      <c r="H13" s="36" t="s">
        <v>9587</v>
      </c>
      <c r="I13" s="36" t="s">
        <v>9534</v>
      </c>
      <c r="J13" s="36" t="s">
        <v>9535</v>
      </c>
      <c r="K13" s="154" t="s">
        <v>9536</v>
      </c>
      <c r="L13" s="36" t="s">
        <v>9537</v>
      </c>
      <c r="M13" s="36" t="s">
        <v>9538</v>
      </c>
      <c r="N13" s="36" t="s">
        <v>9588</v>
      </c>
    </row>
    <row r="14">
      <c r="A14" s="36" t="s">
        <v>9589</v>
      </c>
      <c r="B14" s="36" t="s">
        <v>9515</v>
      </c>
      <c r="C14" s="154" t="s">
        <v>9271</v>
      </c>
      <c r="D14" s="36" t="s">
        <v>9590</v>
      </c>
      <c r="E14" s="154" t="s">
        <v>9591</v>
      </c>
      <c r="F14" s="36" t="s">
        <v>1656</v>
      </c>
      <c r="G14" s="36" t="s">
        <v>1656</v>
      </c>
      <c r="H14" s="36" t="s">
        <v>9592</v>
      </c>
      <c r="I14" s="36" t="s">
        <v>9534</v>
      </c>
      <c r="J14" s="36" t="s">
        <v>9535</v>
      </c>
      <c r="K14" s="154" t="s">
        <v>9536</v>
      </c>
      <c r="L14" s="36" t="s">
        <v>9537</v>
      </c>
      <c r="M14" s="36" t="s">
        <v>9538</v>
      </c>
      <c r="N14" s="36" t="s">
        <v>9593</v>
      </c>
    </row>
    <row r="15">
      <c r="A15" s="36" t="s">
        <v>9594</v>
      </c>
      <c r="B15" s="36" t="s">
        <v>9515</v>
      </c>
      <c r="C15" s="154" t="s">
        <v>9284</v>
      </c>
      <c r="D15" s="36" t="s">
        <v>9595</v>
      </c>
      <c r="E15" s="154" t="s">
        <v>3738</v>
      </c>
      <c r="F15" s="36" t="s">
        <v>1656</v>
      </c>
      <c r="G15" s="36" t="s">
        <v>1656</v>
      </c>
      <c r="H15" s="36" t="s">
        <v>9596</v>
      </c>
      <c r="I15" s="36" t="s">
        <v>9534</v>
      </c>
      <c r="J15" s="36" t="s">
        <v>9535</v>
      </c>
      <c r="K15" s="154" t="s">
        <v>9536</v>
      </c>
      <c r="L15" s="36" t="s">
        <v>9537</v>
      </c>
      <c r="M15" s="36" t="s">
        <v>9538</v>
      </c>
      <c r="N15" s="36" t="s">
        <v>9597</v>
      </c>
    </row>
    <row r="16">
      <c r="A16" s="36" t="s">
        <v>9598</v>
      </c>
      <c r="B16" s="36" t="s">
        <v>9515</v>
      </c>
      <c r="C16" s="154" t="s">
        <v>9284</v>
      </c>
      <c r="D16" s="36" t="s">
        <v>9595</v>
      </c>
      <c r="E16" s="154" t="s">
        <v>9599</v>
      </c>
      <c r="F16" s="36" t="s">
        <v>1656</v>
      </c>
      <c r="G16" s="36" t="s">
        <v>1656</v>
      </c>
      <c r="H16" s="36" t="s">
        <v>9600</v>
      </c>
      <c r="I16" s="36" t="s">
        <v>9534</v>
      </c>
      <c r="J16" s="36" t="s">
        <v>9535</v>
      </c>
      <c r="K16" s="154" t="s">
        <v>9536</v>
      </c>
      <c r="L16" s="36" t="s">
        <v>9537</v>
      </c>
      <c r="M16" s="36" t="s">
        <v>9538</v>
      </c>
      <c r="N16" s="36" t="s">
        <v>9601</v>
      </c>
    </row>
    <row r="17">
      <c r="A17" s="36" t="s">
        <v>9602</v>
      </c>
      <c r="B17" s="36" t="s">
        <v>9515</v>
      </c>
      <c r="C17" s="154" t="s">
        <v>9284</v>
      </c>
      <c r="D17" s="36" t="s">
        <v>9603</v>
      </c>
      <c r="E17" s="154" t="s">
        <v>9604</v>
      </c>
      <c r="F17" s="36" t="s">
        <v>1656</v>
      </c>
      <c r="G17" s="36" t="s">
        <v>1656</v>
      </c>
      <c r="H17" s="36" t="s">
        <v>9605</v>
      </c>
      <c r="I17" s="36" t="s">
        <v>9534</v>
      </c>
      <c r="J17" s="36" t="s">
        <v>9535</v>
      </c>
      <c r="K17" s="154" t="s">
        <v>9536</v>
      </c>
      <c r="L17" s="36" t="s">
        <v>9537</v>
      </c>
      <c r="M17" s="36" t="s">
        <v>9538</v>
      </c>
      <c r="N17" s="36" t="s">
        <v>9606</v>
      </c>
    </row>
    <row r="18">
      <c r="A18" s="36" t="s">
        <v>9607</v>
      </c>
      <c r="B18" s="36" t="s">
        <v>9515</v>
      </c>
      <c r="C18" s="154" t="s">
        <v>9284</v>
      </c>
      <c r="D18" s="36" t="s">
        <v>9603</v>
      </c>
      <c r="E18" s="154" t="s">
        <v>2531</v>
      </c>
      <c r="F18" s="36" t="s">
        <v>1656</v>
      </c>
      <c r="G18" s="36" t="s">
        <v>1656</v>
      </c>
      <c r="H18" s="36" t="s">
        <v>9608</v>
      </c>
      <c r="I18" s="36" t="s">
        <v>9534</v>
      </c>
      <c r="J18" s="36" t="s">
        <v>9535</v>
      </c>
      <c r="K18" s="154" t="s">
        <v>9536</v>
      </c>
      <c r="L18" s="36" t="s">
        <v>9537</v>
      </c>
      <c r="M18" s="36" t="s">
        <v>9538</v>
      </c>
      <c r="N18" s="36" t="s">
        <v>9609</v>
      </c>
    </row>
    <row r="19">
      <c r="A19" s="36" t="s">
        <v>9610</v>
      </c>
      <c r="B19" s="36" t="s">
        <v>9515</v>
      </c>
      <c r="C19" s="154" t="s">
        <v>9284</v>
      </c>
      <c r="D19" s="36" t="s">
        <v>9611</v>
      </c>
      <c r="E19" s="154" t="s">
        <v>1932</v>
      </c>
      <c r="F19" s="36" t="s">
        <v>1656</v>
      </c>
      <c r="G19" s="36" t="s">
        <v>1656</v>
      </c>
      <c r="H19" s="36" t="s">
        <v>9612</v>
      </c>
      <c r="I19" s="36" t="s">
        <v>9534</v>
      </c>
      <c r="J19" s="36" t="s">
        <v>9535</v>
      </c>
      <c r="K19" s="154" t="s">
        <v>9536</v>
      </c>
      <c r="L19" s="36" t="s">
        <v>9537</v>
      </c>
      <c r="M19" s="36" t="s">
        <v>9538</v>
      </c>
      <c r="N19" s="36" t="s">
        <v>9613</v>
      </c>
    </row>
    <row r="20">
      <c r="A20" s="36" t="s">
        <v>9614</v>
      </c>
      <c r="B20" s="36" t="s">
        <v>9515</v>
      </c>
      <c r="C20" s="154" t="s">
        <v>9307</v>
      </c>
      <c r="D20" s="36" t="s">
        <v>9541</v>
      </c>
      <c r="E20" s="154" t="s">
        <v>9615</v>
      </c>
      <c r="F20" s="36" t="s">
        <v>1656</v>
      </c>
      <c r="G20" s="36" t="s">
        <v>1656</v>
      </c>
      <c r="H20" s="36" t="s">
        <v>9616</v>
      </c>
      <c r="I20" s="36" t="s">
        <v>9534</v>
      </c>
      <c r="J20" s="36" t="s">
        <v>9535</v>
      </c>
      <c r="K20" s="154" t="s">
        <v>9536</v>
      </c>
      <c r="L20" s="36" t="s">
        <v>9537</v>
      </c>
      <c r="M20" s="36" t="s">
        <v>9538</v>
      </c>
      <c r="N20" s="36" t="s">
        <v>9617</v>
      </c>
    </row>
    <row r="21">
      <c r="A21" s="36" t="s">
        <v>9618</v>
      </c>
      <c r="B21" s="36" t="s">
        <v>9515</v>
      </c>
      <c r="C21" s="154" t="s">
        <v>9313</v>
      </c>
      <c r="D21" s="36" t="s">
        <v>9619</v>
      </c>
      <c r="E21" s="154" t="s">
        <v>9620</v>
      </c>
      <c r="F21" s="36" t="s">
        <v>1656</v>
      </c>
      <c r="G21" s="36" t="s">
        <v>1656</v>
      </c>
      <c r="H21" s="36" t="s">
        <v>9621</v>
      </c>
      <c r="I21" s="36" t="s">
        <v>9534</v>
      </c>
      <c r="J21" s="36" t="s">
        <v>9535</v>
      </c>
      <c r="K21" s="154" t="s">
        <v>9536</v>
      </c>
      <c r="L21" s="36" t="s">
        <v>9537</v>
      </c>
      <c r="M21" s="36" t="s">
        <v>9538</v>
      </c>
      <c r="N21" s="36" t="s">
        <v>9622</v>
      </c>
    </row>
    <row r="22">
      <c r="A22" s="36" t="s">
        <v>9623</v>
      </c>
      <c r="B22" s="36" t="s">
        <v>9515</v>
      </c>
      <c r="C22" s="154" t="s">
        <v>9315</v>
      </c>
      <c r="D22" s="36" t="s">
        <v>9624</v>
      </c>
      <c r="E22" s="154" t="s">
        <v>7229</v>
      </c>
      <c r="F22" s="36" t="s">
        <v>1656</v>
      </c>
      <c r="G22" s="36" t="s">
        <v>1656</v>
      </c>
      <c r="H22" s="36" t="s">
        <v>9625</v>
      </c>
      <c r="I22" s="36" t="s">
        <v>9534</v>
      </c>
      <c r="J22" s="36" t="s">
        <v>9535</v>
      </c>
      <c r="K22" s="154" t="s">
        <v>9536</v>
      </c>
      <c r="L22" s="36" t="s">
        <v>9537</v>
      </c>
      <c r="M22" s="36" t="s">
        <v>9538</v>
      </c>
      <c r="N22" s="36" t="s">
        <v>9626</v>
      </c>
    </row>
    <row r="23">
      <c r="A23" s="36" t="s">
        <v>9627</v>
      </c>
      <c r="B23" s="36" t="s">
        <v>9515</v>
      </c>
      <c r="C23" s="154" t="s">
        <v>9315</v>
      </c>
      <c r="D23" s="36" t="s">
        <v>9628</v>
      </c>
      <c r="E23" s="154" t="s">
        <v>9629</v>
      </c>
      <c r="F23" s="36" t="s">
        <v>1656</v>
      </c>
      <c r="G23" s="36" t="s">
        <v>1656</v>
      </c>
      <c r="H23" s="36" t="s">
        <v>9630</v>
      </c>
      <c r="I23" s="36" t="s">
        <v>9534</v>
      </c>
      <c r="J23" s="36" t="s">
        <v>9535</v>
      </c>
      <c r="K23" s="154" t="s">
        <v>9536</v>
      </c>
      <c r="L23" s="36" t="s">
        <v>9537</v>
      </c>
      <c r="M23" s="36" t="s">
        <v>9538</v>
      </c>
      <c r="N23" s="36" t="s">
        <v>9631</v>
      </c>
    </row>
    <row r="24">
      <c r="A24" s="36" t="s">
        <v>9632</v>
      </c>
      <c r="B24" s="36" t="s">
        <v>9515</v>
      </c>
      <c r="C24" s="154" t="s">
        <v>9318</v>
      </c>
      <c r="D24" s="36" t="s">
        <v>9633</v>
      </c>
      <c r="E24" s="154" t="s">
        <v>9634</v>
      </c>
      <c r="F24" s="36" t="s">
        <v>1656</v>
      </c>
      <c r="G24" s="36" t="s">
        <v>1656</v>
      </c>
      <c r="H24" s="36" t="s">
        <v>9635</v>
      </c>
      <c r="I24" s="36" t="s">
        <v>9534</v>
      </c>
      <c r="J24" s="36" t="s">
        <v>9535</v>
      </c>
      <c r="K24" s="154" t="s">
        <v>9536</v>
      </c>
      <c r="L24" s="36" t="s">
        <v>9537</v>
      </c>
      <c r="M24" s="36" t="s">
        <v>9538</v>
      </c>
      <c r="N24" s="36" t="s">
        <v>9636</v>
      </c>
    </row>
    <row r="25">
      <c r="A25" s="36" t="s">
        <v>9637</v>
      </c>
      <c r="B25" s="36" t="s">
        <v>9515</v>
      </c>
      <c r="C25" s="154" t="s">
        <v>9318</v>
      </c>
      <c r="D25" s="36" t="s">
        <v>9541</v>
      </c>
      <c r="E25" s="154" t="s">
        <v>9638</v>
      </c>
      <c r="F25" s="36" t="s">
        <v>1656</v>
      </c>
      <c r="G25" s="36" t="s">
        <v>1656</v>
      </c>
      <c r="H25" s="36" t="s">
        <v>9639</v>
      </c>
      <c r="I25" s="36" t="s">
        <v>9534</v>
      </c>
      <c r="J25" s="36" t="s">
        <v>9535</v>
      </c>
      <c r="K25" s="154" t="s">
        <v>9536</v>
      </c>
      <c r="L25" s="36" t="s">
        <v>9537</v>
      </c>
      <c r="M25" s="36" t="s">
        <v>9538</v>
      </c>
      <c r="N25" s="36" t="s">
        <v>9640</v>
      </c>
    </row>
    <row r="26">
      <c r="A26" s="36" t="s">
        <v>9641</v>
      </c>
      <c r="B26" s="36" t="s">
        <v>9515</v>
      </c>
      <c r="C26" s="154" t="s">
        <v>9318</v>
      </c>
      <c r="D26" s="36" t="s">
        <v>9642</v>
      </c>
      <c r="E26" s="154" t="s">
        <v>9445</v>
      </c>
      <c r="F26" s="154" t="s">
        <v>2085</v>
      </c>
      <c r="G26" s="154" t="s">
        <v>1735</v>
      </c>
      <c r="H26" s="36" t="s">
        <v>9643</v>
      </c>
      <c r="I26" s="36" t="s">
        <v>9534</v>
      </c>
      <c r="J26" s="36" t="s">
        <v>9535</v>
      </c>
      <c r="K26" s="154" t="s">
        <v>9536</v>
      </c>
      <c r="L26" s="36" t="s">
        <v>9537</v>
      </c>
      <c r="M26" s="36" t="s">
        <v>9538</v>
      </c>
      <c r="N26" s="36" t="s">
        <v>9644</v>
      </c>
    </row>
    <row r="27">
      <c r="A27" s="36" t="s">
        <v>9645</v>
      </c>
      <c r="B27" s="36" t="s">
        <v>9515</v>
      </c>
      <c r="C27" s="154" t="s">
        <v>9322</v>
      </c>
      <c r="D27" s="36" t="s">
        <v>9646</v>
      </c>
      <c r="E27" s="154" t="s">
        <v>2546</v>
      </c>
      <c r="F27" s="36" t="s">
        <v>1656</v>
      </c>
      <c r="G27" s="36" t="s">
        <v>1656</v>
      </c>
      <c r="H27" s="36" t="s">
        <v>9647</v>
      </c>
      <c r="I27" s="36" t="s">
        <v>9534</v>
      </c>
      <c r="J27" s="36" t="s">
        <v>9535</v>
      </c>
      <c r="K27" s="154" t="s">
        <v>9536</v>
      </c>
      <c r="L27" s="36" t="s">
        <v>9537</v>
      </c>
      <c r="M27" s="36" t="s">
        <v>9538</v>
      </c>
      <c r="N27" s="36" t="s">
        <v>9648</v>
      </c>
    </row>
    <row r="28">
      <c r="A28" s="36" t="s">
        <v>9649</v>
      </c>
      <c r="B28" s="36" t="s">
        <v>9515</v>
      </c>
      <c r="C28" s="154" t="s">
        <v>9322</v>
      </c>
      <c r="D28" s="36" t="s">
        <v>9650</v>
      </c>
      <c r="E28" s="154" t="s">
        <v>9651</v>
      </c>
      <c r="F28" s="36" t="s">
        <v>1656</v>
      </c>
      <c r="G28" s="36" t="s">
        <v>1656</v>
      </c>
      <c r="H28" s="36" t="s">
        <v>9652</v>
      </c>
      <c r="I28" s="36" t="s">
        <v>9534</v>
      </c>
      <c r="J28" s="36" t="s">
        <v>9535</v>
      </c>
      <c r="K28" s="154" t="s">
        <v>9536</v>
      </c>
      <c r="L28" s="36" t="s">
        <v>9537</v>
      </c>
      <c r="M28" s="36" t="s">
        <v>9538</v>
      </c>
      <c r="N28" s="36" t="s">
        <v>9653</v>
      </c>
    </row>
    <row r="29">
      <c r="A29" s="36" t="s">
        <v>9654</v>
      </c>
      <c r="B29" s="36" t="s">
        <v>9515</v>
      </c>
      <c r="C29" s="154" t="s">
        <v>9322</v>
      </c>
      <c r="D29" s="36" t="s">
        <v>9642</v>
      </c>
      <c r="E29" s="154" t="s">
        <v>9445</v>
      </c>
      <c r="F29" s="154" t="s">
        <v>2085</v>
      </c>
      <c r="G29" s="154" t="s">
        <v>1735</v>
      </c>
      <c r="H29" s="36" t="s">
        <v>9655</v>
      </c>
      <c r="I29" s="36" t="s">
        <v>9534</v>
      </c>
      <c r="J29" s="36" t="s">
        <v>9535</v>
      </c>
      <c r="K29" s="154" t="s">
        <v>9536</v>
      </c>
      <c r="L29" s="36" t="s">
        <v>9537</v>
      </c>
      <c r="M29" s="36" t="s">
        <v>9538</v>
      </c>
      <c r="N29" s="36" t="s">
        <v>9656</v>
      </c>
    </row>
    <row r="30">
      <c r="A30" s="36" t="s">
        <v>9657</v>
      </c>
      <c r="B30" s="36" t="s">
        <v>9515</v>
      </c>
      <c r="C30" s="154" t="s">
        <v>9324</v>
      </c>
      <c r="D30" s="36" t="s">
        <v>9541</v>
      </c>
      <c r="E30" s="154" t="s">
        <v>9658</v>
      </c>
      <c r="F30" s="36" t="s">
        <v>1656</v>
      </c>
      <c r="G30" s="36" t="s">
        <v>1656</v>
      </c>
      <c r="H30" s="36" t="s">
        <v>9659</v>
      </c>
      <c r="I30" s="36" t="s">
        <v>9534</v>
      </c>
      <c r="J30" s="36" t="s">
        <v>9535</v>
      </c>
      <c r="K30" s="154" t="s">
        <v>9536</v>
      </c>
      <c r="L30" s="36" t="s">
        <v>9537</v>
      </c>
      <c r="M30" s="36" t="s">
        <v>9538</v>
      </c>
      <c r="N30" s="36" t="s">
        <v>9660</v>
      </c>
    </row>
    <row r="31">
      <c r="A31" s="36" t="s">
        <v>9661</v>
      </c>
      <c r="B31" s="36" t="s">
        <v>9515</v>
      </c>
      <c r="C31" s="154" t="s">
        <v>9662</v>
      </c>
      <c r="D31" s="36" t="s">
        <v>9619</v>
      </c>
      <c r="E31" s="154" t="s">
        <v>9663</v>
      </c>
      <c r="F31" s="36" t="s">
        <v>1656</v>
      </c>
      <c r="G31" s="36" t="s">
        <v>1656</v>
      </c>
      <c r="H31" s="36" t="s">
        <v>9664</v>
      </c>
      <c r="I31" s="36" t="s">
        <v>9534</v>
      </c>
      <c r="J31" s="36" t="s">
        <v>9535</v>
      </c>
      <c r="K31" s="154" t="s">
        <v>9536</v>
      </c>
      <c r="L31" s="36" t="s">
        <v>9537</v>
      </c>
      <c r="M31" s="36" t="s">
        <v>9538</v>
      </c>
      <c r="N31" s="36" t="s">
        <v>9665</v>
      </c>
    </row>
    <row r="32">
      <c r="A32" s="36" t="s">
        <v>9666</v>
      </c>
      <c r="B32" s="36" t="s">
        <v>9515</v>
      </c>
      <c r="C32" s="154" t="s">
        <v>9667</v>
      </c>
      <c r="D32" s="36" t="s">
        <v>9541</v>
      </c>
      <c r="E32" s="154" t="s">
        <v>9668</v>
      </c>
      <c r="F32" s="36" t="s">
        <v>1656</v>
      </c>
      <c r="G32" s="36" t="s">
        <v>1656</v>
      </c>
      <c r="H32" s="36" t="s">
        <v>9669</v>
      </c>
      <c r="I32" s="36" t="s">
        <v>9534</v>
      </c>
      <c r="J32" s="36" t="s">
        <v>9535</v>
      </c>
      <c r="K32" s="154" t="s">
        <v>9536</v>
      </c>
      <c r="L32" s="36" t="s">
        <v>9537</v>
      </c>
      <c r="M32" s="36" t="s">
        <v>9538</v>
      </c>
      <c r="N32" s="36" t="s">
        <v>9670</v>
      </c>
    </row>
    <row r="33">
      <c r="A33" s="36" t="s">
        <v>9671</v>
      </c>
      <c r="B33" s="36" t="s">
        <v>9515</v>
      </c>
      <c r="C33" s="154" t="s">
        <v>9326</v>
      </c>
      <c r="D33" s="36" t="s">
        <v>9541</v>
      </c>
      <c r="E33" s="154" t="s">
        <v>1932</v>
      </c>
      <c r="F33" s="36" t="s">
        <v>1656</v>
      </c>
      <c r="G33" s="36" t="s">
        <v>1656</v>
      </c>
      <c r="H33" s="36" t="s">
        <v>9672</v>
      </c>
      <c r="I33" s="36" t="s">
        <v>9534</v>
      </c>
      <c r="J33" s="36" t="s">
        <v>9535</v>
      </c>
      <c r="K33" s="154" t="s">
        <v>9536</v>
      </c>
      <c r="L33" s="36" t="s">
        <v>9537</v>
      </c>
      <c r="M33" s="36" t="s">
        <v>9538</v>
      </c>
      <c r="N33" s="36" t="s">
        <v>9673</v>
      </c>
    </row>
    <row r="34">
      <c r="A34" s="36" t="s">
        <v>9674</v>
      </c>
      <c r="B34" s="36" t="s">
        <v>9515</v>
      </c>
      <c r="C34" s="154" t="s">
        <v>9330</v>
      </c>
      <c r="D34" s="36" t="s">
        <v>9633</v>
      </c>
      <c r="E34" s="154" t="s">
        <v>9675</v>
      </c>
      <c r="F34" s="36" t="s">
        <v>1656</v>
      </c>
      <c r="G34" s="36" t="s">
        <v>1656</v>
      </c>
      <c r="H34" s="36" t="s">
        <v>9676</v>
      </c>
      <c r="I34" s="36" t="s">
        <v>9534</v>
      </c>
      <c r="J34" s="36" t="s">
        <v>9535</v>
      </c>
      <c r="K34" s="154" t="s">
        <v>9536</v>
      </c>
      <c r="L34" s="36" t="s">
        <v>9537</v>
      </c>
      <c r="M34" s="36" t="s">
        <v>9538</v>
      </c>
      <c r="N34" s="36" t="s">
        <v>9677</v>
      </c>
    </row>
    <row r="35">
      <c r="A35" s="36" t="s">
        <v>9678</v>
      </c>
      <c r="B35" s="36" t="s">
        <v>9515</v>
      </c>
      <c r="C35" s="154" t="s">
        <v>9330</v>
      </c>
      <c r="D35" s="36" t="s">
        <v>9679</v>
      </c>
      <c r="E35" s="154" t="s">
        <v>2163</v>
      </c>
      <c r="F35" s="36" t="s">
        <v>1656</v>
      </c>
      <c r="G35" s="36" t="s">
        <v>1656</v>
      </c>
      <c r="H35" s="36" t="s">
        <v>9680</v>
      </c>
      <c r="I35" s="36" t="s">
        <v>9534</v>
      </c>
      <c r="J35" s="36" t="s">
        <v>9535</v>
      </c>
      <c r="K35" s="154" t="s">
        <v>9536</v>
      </c>
      <c r="L35" s="36" t="s">
        <v>9537</v>
      </c>
      <c r="M35" s="36" t="s">
        <v>9538</v>
      </c>
      <c r="N35" s="36" t="s">
        <v>9681</v>
      </c>
    </row>
    <row r="36">
      <c r="A36" s="36" t="s">
        <v>9682</v>
      </c>
      <c r="B36" s="36" t="s">
        <v>9515</v>
      </c>
      <c r="C36" s="154" t="s">
        <v>9330</v>
      </c>
      <c r="D36" s="36" t="s">
        <v>9541</v>
      </c>
      <c r="E36" s="154" t="s">
        <v>9683</v>
      </c>
      <c r="F36" s="36" t="s">
        <v>1656</v>
      </c>
      <c r="G36" s="36" t="s">
        <v>1656</v>
      </c>
      <c r="H36" s="36" t="s">
        <v>9684</v>
      </c>
      <c r="I36" s="36" t="s">
        <v>9534</v>
      </c>
      <c r="J36" s="36" t="s">
        <v>9535</v>
      </c>
      <c r="K36" s="154" t="s">
        <v>9536</v>
      </c>
      <c r="L36" s="36" t="s">
        <v>9537</v>
      </c>
      <c r="M36" s="36" t="s">
        <v>9538</v>
      </c>
      <c r="N36" s="36" t="s">
        <v>9685</v>
      </c>
    </row>
    <row r="37">
      <c r="A37" s="36" t="s">
        <v>9686</v>
      </c>
      <c r="B37" s="36" t="s">
        <v>9515</v>
      </c>
      <c r="C37" s="154" t="s">
        <v>9334</v>
      </c>
      <c r="D37" s="36" t="s">
        <v>9679</v>
      </c>
      <c r="E37" s="154" t="s">
        <v>1959</v>
      </c>
      <c r="F37" s="36" t="s">
        <v>1656</v>
      </c>
      <c r="G37" s="36" t="s">
        <v>1656</v>
      </c>
      <c r="H37" s="36" t="s">
        <v>9687</v>
      </c>
      <c r="I37" s="36" t="s">
        <v>9534</v>
      </c>
      <c r="J37" s="36" t="s">
        <v>9535</v>
      </c>
      <c r="K37" s="154" t="s">
        <v>9536</v>
      </c>
      <c r="L37" s="36" t="s">
        <v>9537</v>
      </c>
      <c r="M37" s="36" t="s">
        <v>9538</v>
      </c>
      <c r="N37" s="36" t="s">
        <v>9688</v>
      </c>
    </row>
    <row r="38">
      <c r="A38" s="36" t="s">
        <v>9689</v>
      </c>
      <c r="B38" s="36" t="s">
        <v>9515</v>
      </c>
      <c r="C38" s="154" t="s">
        <v>9337</v>
      </c>
      <c r="D38" s="36" t="s">
        <v>9679</v>
      </c>
      <c r="E38" s="154" t="s">
        <v>9690</v>
      </c>
      <c r="F38" s="36" t="s">
        <v>1656</v>
      </c>
      <c r="G38" s="36" t="s">
        <v>1656</v>
      </c>
      <c r="H38" s="36" t="s">
        <v>9691</v>
      </c>
      <c r="I38" s="36" t="s">
        <v>9534</v>
      </c>
      <c r="J38" s="36" t="s">
        <v>9535</v>
      </c>
      <c r="K38" s="154" t="s">
        <v>9536</v>
      </c>
      <c r="L38" s="36" t="s">
        <v>9537</v>
      </c>
      <c r="M38" s="36" t="s">
        <v>9538</v>
      </c>
      <c r="N38" s="36" t="s">
        <v>9692</v>
      </c>
    </row>
    <row r="39">
      <c r="A39" s="36" t="s">
        <v>9693</v>
      </c>
      <c r="B39" s="36" t="s">
        <v>9515</v>
      </c>
      <c r="C39" s="154" t="s">
        <v>9337</v>
      </c>
      <c r="D39" s="36" t="s">
        <v>9694</v>
      </c>
      <c r="E39" s="154" t="s">
        <v>1973</v>
      </c>
      <c r="F39" s="36" t="s">
        <v>1656</v>
      </c>
      <c r="G39" s="36" t="s">
        <v>1656</v>
      </c>
      <c r="H39" s="36" t="s">
        <v>9695</v>
      </c>
      <c r="I39" s="36" t="s">
        <v>9534</v>
      </c>
      <c r="J39" s="36" t="s">
        <v>9535</v>
      </c>
      <c r="K39" s="154" t="s">
        <v>9536</v>
      </c>
      <c r="L39" s="36" t="s">
        <v>9537</v>
      </c>
      <c r="M39" s="36" t="s">
        <v>9538</v>
      </c>
      <c r="N39" s="36" t="s">
        <v>9696</v>
      </c>
    </row>
    <row r="40">
      <c r="A40" s="36" t="s">
        <v>9697</v>
      </c>
      <c r="B40" s="36" t="s">
        <v>9515</v>
      </c>
      <c r="C40" s="154" t="s">
        <v>9337</v>
      </c>
      <c r="D40" s="36" t="s">
        <v>9698</v>
      </c>
      <c r="E40" s="154" t="s">
        <v>2522</v>
      </c>
      <c r="F40" s="36" t="s">
        <v>1656</v>
      </c>
      <c r="G40" s="36" t="s">
        <v>1656</v>
      </c>
      <c r="H40" s="36" t="s">
        <v>9699</v>
      </c>
      <c r="I40" s="36" t="s">
        <v>9534</v>
      </c>
      <c r="J40" s="36" t="s">
        <v>9535</v>
      </c>
      <c r="K40" s="154" t="s">
        <v>9536</v>
      </c>
      <c r="L40" s="36" t="s">
        <v>9537</v>
      </c>
      <c r="M40" s="36" t="s">
        <v>9538</v>
      </c>
      <c r="N40" s="36" t="s">
        <v>9700</v>
      </c>
    </row>
    <row r="41">
      <c r="A41" s="36" t="s">
        <v>9701</v>
      </c>
      <c r="B41" s="36" t="s">
        <v>9515</v>
      </c>
      <c r="C41" s="154" t="s">
        <v>9337</v>
      </c>
      <c r="D41" s="36" t="s">
        <v>9702</v>
      </c>
      <c r="E41" s="154" t="s">
        <v>9703</v>
      </c>
      <c r="F41" s="36" t="s">
        <v>1656</v>
      </c>
      <c r="G41" s="36" t="s">
        <v>1656</v>
      </c>
      <c r="H41" s="36" t="s">
        <v>9704</v>
      </c>
      <c r="I41" s="36" t="s">
        <v>9534</v>
      </c>
      <c r="J41" s="36" t="s">
        <v>9535</v>
      </c>
      <c r="K41" s="154" t="s">
        <v>9536</v>
      </c>
      <c r="L41" s="36" t="s">
        <v>9537</v>
      </c>
      <c r="M41" s="36" t="s">
        <v>9538</v>
      </c>
      <c r="N41" s="36" t="s">
        <v>9705</v>
      </c>
    </row>
    <row r="42">
      <c r="A42" s="36" t="s">
        <v>9706</v>
      </c>
      <c r="B42" s="36" t="s">
        <v>9515</v>
      </c>
      <c r="C42" s="154" t="s">
        <v>9337</v>
      </c>
      <c r="D42" s="36" t="s">
        <v>9707</v>
      </c>
      <c r="E42" s="154" t="s">
        <v>3738</v>
      </c>
      <c r="F42" s="36" t="s">
        <v>1656</v>
      </c>
      <c r="G42" s="36" t="s">
        <v>1656</v>
      </c>
      <c r="H42" s="36" t="s">
        <v>9708</v>
      </c>
      <c r="I42" s="36" t="s">
        <v>9534</v>
      </c>
      <c r="J42" s="36" t="s">
        <v>9535</v>
      </c>
      <c r="K42" s="154" t="s">
        <v>9536</v>
      </c>
      <c r="L42" s="36" t="s">
        <v>9537</v>
      </c>
      <c r="M42" s="36" t="s">
        <v>9538</v>
      </c>
      <c r="N42" s="36" t="s">
        <v>9709</v>
      </c>
    </row>
    <row r="43">
      <c r="A43" s="36" t="s">
        <v>9710</v>
      </c>
      <c r="B43" s="36" t="s">
        <v>9515</v>
      </c>
      <c r="C43" s="154" t="s">
        <v>9337</v>
      </c>
      <c r="D43" s="36" t="s">
        <v>9611</v>
      </c>
      <c r="E43" s="154" t="s">
        <v>1932</v>
      </c>
      <c r="F43" s="36" t="s">
        <v>1656</v>
      </c>
      <c r="G43" s="36" t="s">
        <v>1656</v>
      </c>
      <c r="H43" s="36" t="s">
        <v>9711</v>
      </c>
      <c r="I43" s="36" t="s">
        <v>9534</v>
      </c>
      <c r="J43" s="36" t="s">
        <v>9535</v>
      </c>
      <c r="K43" s="154" t="s">
        <v>9536</v>
      </c>
      <c r="L43" s="36" t="s">
        <v>9537</v>
      </c>
      <c r="M43" s="36" t="s">
        <v>9538</v>
      </c>
      <c r="N43" s="36" t="s">
        <v>9712</v>
      </c>
    </row>
    <row r="44">
      <c r="A44" s="36" t="s">
        <v>9713</v>
      </c>
      <c r="B44" s="36" t="s">
        <v>9515</v>
      </c>
      <c r="C44" s="154" t="s">
        <v>9340</v>
      </c>
      <c r="D44" s="36" t="s">
        <v>9679</v>
      </c>
      <c r="E44" s="154" t="s">
        <v>1959</v>
      </c>
      <c r="F44" s="36" t="s">
        <v>1656</v>
      </c>
      <c r="G44" s="36" t="s">
        <v>1656</v>
      </c>
      <c r="H44" s="36" t="s">
        <v>9714</v>
      </c>
      <c r="I44" s="36" t="s">
        <v>9534</v>
      </c>
      <c r="J44" s="36" t="s">
        <v>9535</v>
      </c>
      <c r="K44" s="154" t="s">
        <v>9536</v>
      </c>
      <c r="L44" s="36" t="s">
        <v>9537</v>
      </c>
      <c r="M44" s="36" t="s">
        <v>9538</v>
      </c>
      <c r="N44" s="36" t="s">
        <v>9715</v>
      </c>
    </row>
    <row r="45">
      <c r="A45" s="36" t="s">
        <v>9716</v>
      </c>
      <c r="B45" s="36" t="s">
        <v>9515</v>
      </c>
      <c r="C45" s="154" t="s">
        <v>9340</v>
      </c>
      <c r="D45" s="36" t="s">
        <v>9541</v>
      </c>
      <c r="E45" s="154" t="s">
        <v>9717</v>
      </c>
      <c r="F45" s="36" t="s">
        <v>1656</v>
      </c>
      <c r="G45" s="36" t="s">
        <v>1656</v>
      </c>
      <c r="H45" s="36" t="s">
        <v>9718</v>
      </c>
      <c r="I45" s="36" t="s">
        <v>9534</v>
      </c>
      <c r="J45" s="36" t="s">
        <v>9535</v>
      </c>
      <c r="K45" s="154" t="s">
        <v>9536</v>
      </c>
      <c r="L45" s="36" t="s">
        <v>9537</v>
      </c>
      <c r="M45" s="36" t="s">
        <v>9538</v>
      </c>
      <c r="N45" s="36" t="s">
        <v>9719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9720</v>
      </c>
      <c r="C1" s="36" t="s">
        <v>1643</v>
      </c>
      <c r="D1" s="36" t="s">
        <v>1642</v>
      </c>
      <c r="E1" s="36" t="s">
        <v>1648</v>
      </c>
      <c r="F1" s="36" t="s">
        <v>1649</v>
      </c>
    </row>
    <row r="2">
      <c r="A2" s="36" t="s">
        <v>9721</v>
      </c>
      <c r="B2" s="36" t="s">
        <v>9637</v>
      </c>
      <c r="C2" s="36" t="s">
        <v>28</v>
      </c>
      <c r="D2" s="154" t="s">
        <v>9638</v>
      </c>
      <c r="E2" s="36" t="s">
        <v>9640</v>
      </c>
      <c r="F2" s="36" t="s">
        <v>9640</v>
      </c>
    </row>
    <row r="3">
      <c r="A3" s="36" t="s">
        <v>9722</v>
      </c>
      <c r="B3" s="36" t="s">
        <v>9671</v>
      </c>
      <c r="C3" s="36" t="s">
        <v>28</v>
      </c>
      <c r="D3" s="154" t="s">
        <v>1932</v>
      </c>
      <c r="E3" s="36" t="s">
        <v>9673</v>
      </c>
      <c r="F3" s="36" t="s">
        <v>9673</v>
      </c>
    </row>
    <row r="4">
      <c r="A4" s="36" t="s">
        <v>9723</v>
      </c>
      <c r="B4" s="36" t="s">
        <v>9666</v>
      </c>
      <c r="C4" s="36" t="s">
        <v>28</v>
      </c>
      <c r="D4" s="154" t="s">
        <v>9668</v>
      </c>
      <c r="E4" s="36" t="s">
        <v>9670</v>
      </c>
      <c r="F4" s="36" t="s">
        <v>9670</v>
      </c>
    </row>
    <row r="5">
      <c r="A5" s="36" t="s">
        <v>9724</v>
      </c>
      <c r="B5" s="36" t="s">
        <v>9661</v>
      </c>
      <c r="C5" s="36" t="s">
        <v>28</v>
      </c>
      <c r="D5" s="154" t="s">
        <v>9663</v>
      </c>
      <c r="E5" s="36" t="s">
        <v>9665</v>
      </c>
      <c r="F5" s="36" t="s">
        <v>9665</v>
      </c>
    </row>
    <row r="6">
      <c r="A6" s="36" t="s">
        <v>9725</v>
      </c>
      <c r="B6" s="36" t="s">
        <v>9657</v>
      </c>
      <c r="C6" s="36" t="s">
        <v>28</v>
      </c>
      <c r="D6" s="154" t="s">
        <v>9658</v>
      </c>
      <c r="E6" s="36" t="s">
        <v>9660</v>
      </c>
      <c r="F6" s="36" t="s">
        <v>9660</v>
      </c>
    </row>
    <row r="7">
      <c r="A7" s="36" t="s">
        <v>9726</v>
      </c>
      <c r="B7" s="36" t="s">
        <v>9645</v>
      </c>
      <c r="C7" s="36" t="s">
        <v>28</v>
      </c>
      <c r="D7" s="154" t="s">
        <v>2546</v>
      </c>
      <c r="E7" s="36" t="s">
        <v>9648</v>
      </c>
      <c r="F7" s="36" t="s">
        <v>9648</v>
      </c>
    </row>
    <row r="8">
      <c r="A8" s="36" t="s">
        <v>9727</v>
      </c>
      <c r="B8" s="36" t="s">
        <v>9649</v>
      </c>
      <c r="C8" s="36" t="s">
        <v>28</v>
      </c>
      <c r="D8" s="154" t="s">
        <v>9651</v>
      </c>
      <c r="E8" s="36" t="s">
        <v>9653</v>
      </c>
      <c r="F8" s="36" t="s">
        <v>9653</v>
      </c>
    </row>
    <row r="9">
      <c r="A9" s="36" t="s">
        <v>9728</v>
      </c>
      <c r="B9" s="36" t="s">
        <v>9641</v>
      </c>
      <c r="C9" s="36" t="s">
        <v>34</v>
      </c>
      <c r="D9" s="154" t="s">
        <v>9445</v>
      </c>
      <c r="E9" s="36" t="s">
        <v>9644</v>
      </c>
      <c r="F9" s="36" t="s">
        <v>9644</v>
      </c>
    </row>
    <row r="10">
      <c r="A10" s="36" t="s">
        <v>9729</v>
      </c>
      <c r="B10" s="36" t="s">
        <v>9632</v>
      </c>
      <c r="C10" s="36" t="s">
        <v>28</v>
      </c>
      <c r="D10" s="154" t="s">
        <v>9634</v>
      </c>
      <c r="E10" s="36" t="s">
        <v>9636</v>
      </c>
      <c r="F10" s="36" t="s">
        <v>9636</v>
      </c>
    </row>
    <row r="11">
      <c r="A11" s="36" t="s">
        <v>9730</v>
      </c>
      <c r="B11" s="36" t="s">
        <v>9623</v>
      </c>
      <c r="C11" s="36" t="s">
        <v>28</v>
      </c>
      <c r="D11" s="154" t="s">
        <v>7229</v>
      </c>
      <c r="E11" s="36" t="s">
        <v>9626</v>
      </c>
      <c r="F11" s="36" t="s">
        <v>9626</v>
      </c>
    </row>
    <row r="12">
      <c r="A12" s="36" t="s">
        <v>9731</v>
      </c>
      <c r="B12" s="36" t="s">
        <v>9627</v>
      </c>
      <c r="C12" s="36" t="s">
        <v>28</v>
      </c>
      <c r="D12" s="154" t="s">
        <v>9629</v>
      </c>
      <c r="E12" s="36" t="s">
        <v>9631</v>
      </c>
      <c r="F12" s="36" t="s">
        <v>9631</v>
      </c>
    </row>
    <row r="13">
      <c r="A13" s="36" t="s">
        <v>9732</v>
      </c>
      <c r="B13" s="36" t="s">
        <v>9618</v>
      </c>
      <c r="C13" s="36" t="s">
        <v>28</v>
      </c>
      <c r="D13" s="154" t="s">
        <v>9620</v>
      </c>
      <c r="E13" s="36" t="s">
        <v>9622</v>
      </c>
      <c r="F13" s="36" t="s">
        <v>9622</v>
      </c>
    </row>
    <row r="14">
      <c r="A14" s="36" t="s">
        <v>9733</v>
      </c>
      <c r="B14" s="36" t="s">
        <v>9614</v>
      </c>
      <c r="C14" s="36" t="s">
        <v>28</v>
      </c>
      <c r="D14" s="154" t="s">
        <v>9615</v>
      </c>
      <c r="E14" s="36" t="s">
        <v>9617</v>
      </c>
      <c r="F14" s="36" t="s">
        <v>9617</v>
      </c>
    </row>
    <row r="15">
      <c r="A15" s="36" t="s">
        <v>9734</v>
      </c>
      <c r="B15" s="36" t="s">
        <v>9594</v>
      </c>
      <c r="C15" s="36" t="s">
        <v>28</v>
      </c>
      <c r="D15" s="154" t="s">
        <v>3738</v>
      </c>
      <c r="E15" s="36" t="s">
        <v>9597</v>
      </c>
      <c r="F15" s="36" t="s">
        <v>9597</v>
      </c>
    </row>
    <row r="16">
      <c r="A16" s="36" t="s">
        <v>9735</v>
      </c>
      <c r="B16" s="36" t="s">
        <v>9598</v>
      </c>
      <c r="C16" s="36" t="s">
        <v>28</v>
      </c>
      <c r="D16" s="154" t="s">
        <v>9599</v>
      </c>
      <c r="E16" s="36" t="s">
        <v>9601</v>
      </c>
      <c r="F16" s="36" t="s">
        <v>9601</v>
      </c>
    </row>
    <row r="17">
      <c r="A17" s="36" t="s">
        <v>9736</v>
      </c>
      <c r="B17" s="36" t="s">
        <v>9602</v>
      </c>
      <c r="C17" s="36" t="s">
        <v>28</v>
      </c>
      <c r="D17" s="154" t="s">
        <v>9604</v>
      </c>
      <c r="E17" s="36" t="s">
        <v>9606</v>
      </c>
      <c r="F17" s="36" t="s">
        <v>9606</v>
      </c>
    </row>
    <row r="18">
      <c r="A18" s="36" t="s">
        <v>9737</v>
      </c>
      <c r="B18" s="36" t="s">
        <v>9607</v>
      </c>
      <c r="C18" s="36" t="s">
        <v>28</v>
      </c>
      <c r="D18" s="154" t="s">
        <v>2531</v>
      </c>
      <c r="E18" s="36" t="s">
        <v>9609</v>
      </c>
      <c r="F18" s="36" t="s">
        <v>9609</v>
      </c>
    </row>
    <row r="19">
      <c r="A19" s="36" t="s">
        <v>9738</v>
      </c>
      <c r="B19" s="36" t="s">
        <v>9610</v>
      </c>
      <c r="C19" s="36" t="s">
        <v>28</v>
      </c>
      <c r="D19" s="154" t="s">
        <v>1932</v>
      </c>
      <c r="E19" s="36" t="s">
        <v>9613</v>
      </c>
      <c r="F19" s="36" t="s">
        <v>9613</v>
      </c>
    </row>
    <row r="20">
      <c r="A20" s="36" t="s">
        <v>9739</v>
      </c>
      <c r="B20" s="36" t="s">
        <v>9582</v>
      </c>
      <c r="C20" s="36" t="s">
        <v>28</v>
      </c>
      <c r="D20" s="154" t="s">
        <v>2110</v>
      </c>
      <c r="E20" s="36" t="s">
        <v>9584</v>
      </c>
      <c r="F20" s="36" t="s">
        <v>9584</v>
      </c>
    </row>
    <row r="21">
      <c r="A21" s="36" t="s">
        <v>9740</v>
      </c>
      <c r="B21" s="36" t="s">
        <v>9585</v>
      </c>
      <c r="C21" s="36" t="s">
        <v>28</v>
      </c>
      <c r="D21" s="154" t="s">
        <v>9586</v>
      </c>
      <c r="E21" s="36" t="s">
        <v>9588</v>
      </c>
      <c r="F21" s="36" t="s">
        <v>9588</v>
      </c>
    </row>
    <row r="22">
      <c r="A22" s="36" t="s">
        <v>9741</v>
      </c>
      <c r="B22" s="36" t="s">
        <v>9589</v>
      </c>
      <c r="C22" s="36" t="s">
        <v>28</v>
      </c>
      <c r="D22" s="154" t="s">
        <v>9591</v>
      </c>
      <c r="E22" s="36" t="s">
        <v>9593</v>
      </c>
      <c r="F22" s="36" t="s">
        <v>9593</v>
      </c>
    </row>
    <row r="23">
      <c r="A23" s="36" t="s">
        <v>9742</v>
      </c>
      <c r="B23" s="36" t="s">
        <v>9569</v>
      </c>
      <c r="C23" s="36" t="s">
        <v>28</v>
      </c>
      <c r="D23" s="154" t="s">
        <v>9570</v>
      </c>
      <c r="E23" s="36" t="s">
        <v>9572</v>
      </c>
      <c r="F23" s="36" t="s">
        <v>9572</v>
      </c>
    </row>
    <row r="24">
      <c r="A24" s="36" t="s">
        <v>9743</v>
      </c>
      <c r="B24" s="36" t="s">
        <v>9573</v>
      </c>
      <c r="C24" s="36" t="s">
        <v>28</v>
      </c>
      <c r="D24" s="154" t="s">
        <v>9575</v>
      </c>
      <c r="E24" s="36" t="s">
        <v>9577</v>
      </c>
      <c r="F24" s="36" t="s">
        <v>9577</v>
      </c>
    </row>
    <row r="25">
      <c r="A25" s="36" t="s">
        <v>9744</v>
      </c>
      <c r="B25" s="36" t="s">
        <v>9578</v>
      </c>
      <c r="C25" s="36" t="s">
        <v>28</v>
      </c>
      <c r="D25" s="154" t="s">
        <v>9579</v>
      </c>
      <c r="E25" s="36" t="s">
        <v>9581</v>
      </c>
      <c r="F25" s="36" t="s">
        <v>9581</v>
      </c>
    </row>
    <row r="26">
      <c r="A26" s="36" t="s">
        <v>9745</v>
      </c>
      <c r="B26" s="36" t="s">
        <v>9545</v>
      </c>
      <c r="C26" s="36" t="s">
        <v>28</v>
      </c>
      <c r="D26" s="154" t="s">
        <v>9547</v>
      </c>
      <c r="E26" s="36" t="s">
        <v>9549</v>
      </c>
      <c r="F26" s="36" t="s">
        <v>9549</v>
      </c>
    </row>
    <row r="27">
      <c r="A27" s="36" t="s">
        <v>9746</v>
      </c>
      <c r="B27" s="36" t="s">
        <v>9550</v>
      </c>
      <c r="C27" s="36" t="s">
        <v>28</v>
      </c>
      <c r="D27" s="154" t="s">
        <v>9552</v>
      </c>
      <c r="E27" s="36" t="s">
        <v>9554</v>
      </c>
      <c r="F27" s="36" t="s">
        <v>9554</v>
      </c>
    </row>
    <row r="28">
      <c r="A28" s="36" t="s">
        <v>9747</v>
      </c>
      <c r="B28" s="36" t="s">
        <v>9555</v>
      </c>
      <c r="C28" s="36" t="s">
        <v>28</v>
      </c>
      <c r="D28" s="154" t="s">
        <v>9557</v>
      </c>
      <c r="E28" s="36" t="s">
        <v>9559</v>
      </c>
      <c r="F28" s="36" t="s">
        <v>9559</v>
      </c>
    </row>
    <row r="29">
      <c r="A29" s="36" t="s">
        <v>9748</v>
      </c>
      <c r="B29" s="36" t="s">
        <v>9560</v>
      </c>
      <c r="C29" s="36" t="s">
        <v>28</v>
      </c>
      <c r="D29" s="154" t="s">
        <v>9562</v>
      </c>
      <c r="E29" s="36" t="s">
        <v>9564</v>
      </c>
      <c r="F29" s="36" t="s">
        <v>9564</v>
      </c>
    </row>
    <row r="30">
      <c r="A30" s="36" t="s">
        <v>9749</v>
      </c>
      <c r="B30" s="36" t="s">
        <v>9565</v>
      </c>
      <c r="C30" s="36" t="s">
        <v>28</v>
      </c>
      <c r="D30" s="154" t="s">
        <v>2025</v>
      </c>
      <c r="E30" s="36" t="s">
        <v>9568</v>
      </c>
      <c r="F30" s="36" t="s">
        <v>9568</v>
      </c>
    </row>
    <row r="31">
      <c r="A31" s="36" t="s">
        <v>9750</v>
      </c>
      <c r="B31" s="36" t="s">
        <v>9540</v>
      </c>
      <c r="C31" s="36" t="s">
        <v>28</v>
      </c>
      <c r="D31" s="154" t="s">
        <v>9542</v>
      </c>
      <c r="E31" s="36" t="s">
        <v>9544</v>
      </c>
      <c r="F31" s="36" t="s">
        <v>9544</v>
      </c>
    </row>
    <row r="32">
      <c r="A32" s="36" t="s">
        <v>9751</v>
      </c>
      <c r="B32" s="36" t="s">
        <v>9530</v>
      </c>
      <c r="C32" s="36" t="s">
        <v>28</v>
      </c>
      <c r="D32" s="154" t="s">
        <v>9532</v>
      </c>
      <c r="E32" s="36" t="s">
        <v>9539</v>
      </c>
      <c r="F32" s="36" t="s">
        <v>9539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1637</v>
      </c>
      <c r="B1" s="36" t="s">
        <v>9474</v>
      </c>
      <c r="C1" s="36" t="s">
        <v>9752</v>
      </c>
      <c r="D1" s="36" t="s">
        <v>9753</v>
      </c>
      <c r="E1" s="36" t="s">
        <v>9754</v>
      </c>
      <c r="F1" s="36" t="s">
        <v>9755</v>
      </c>
      <c r="G1" s="36" t="s">
        <v>1648</v>
      </c>
      <c r="H1" s="36" t="s">
        <v>1649</v>
      </c>
    </row>
    <row r="2">
      <c r="A2" s="36" t="s">
        <v>9756</v>
      </c>
      <c r="B2" s="36" t="s">
        <v>39</v>
      </c>
      <c r="C2" s="36" t="s">
        <v>39</v>
      </c>
      <c r="D2" s="154" t="s">
        <v>9757</v>
      </c>
      <c r="E2" s="36" t="s">
        <v>1656</v>
      </c>
      <c r="F2" s="36" t="s">
        <v>1656</v>
      </c>
      <c r="G2" s="36" t="s">
        <v>9758</v>
      </c>
      <c r="H2" s="36" t="s">
        <v>9759</v>
      </c>
    </row>
    <row r="3">
      <c r="A3" s="36" t="s">
        <v>9760</v>
      </c>
      <c r="B3" s="36" t="s">
        <v>64</v>
      </c>
      <c r="C3" s="36" t="s">
        <v>9761</v>
      </c>
      <c r="D3" s="154" t="s">
        <v>9757</v>
      </c>
      <c r="E3" s="36" t="s">
        <v>1656</v>
      </c>
      <c r="F3" s="36" t="s">
        <v>1656</v>
      </c>
      <c r="G3" s="36" t="s">
        <v>9758</v>
      </c>
      <c r="H3" s="36" t="s">
        <v>9759</v>
      </c>
    </row>
    <row r="4">
      <c r="A4" s="36" t="s">
        <v>9762</v>
      </c>
      <c r="B4" s="36" t="s">
        <v>66</v>
      </c>
      <c r="C4" s="36" t="s">
        <v>66</v>
      </c>
      <c r="D4" s="154" t="s">
        <v>9757</v>
      </c>
      <c r="E4" s="36" t="s">
        <v>1656</v>
      </c>
      <c r="F4" s="36" t="s">
        <v>1656</v>
      </c>
      <c r="G4" s="36" t="s">
        <v>9758</v>
      </c>
      <c r="H4" s="36" t="s">
        <v>9759</v>
      </c>
    </row>
    <row r="5">
      <c r="A5" s="36" t="s">
        <v>9763</v>
      </c>
      <c r="B5" s="36" t="s">
        <v>71</v>
      </c>
      <c r="C5" s="36" t="s">
        <v>71</v>
      </c>
      <c r="D5" s="154" t="s">
        <v>9757</v>
      </c>
      <c r="E5" s="36" t="s">
        <v>1656</v>
      </c>
      <c r="F5" s="36" t="s">
        <v>1656</v>
      </c>
      <c r="G5" s="36" t="s">
        <v>9758</v>
      </c>
      <c r="H5" s="36" t="s">
        <v>9759</v>
      </c>
    </row>
    <row r="6">
      <c r="A6" s="36" t="s">
        <v>9764</v>
      </c>
      <c r="B6" s="36" t="s">
        <v>73</v>
      </c>
      <c r="C6" s="36" t="s">
        <v>73</v>
      </c>
      <c r="D6" s="154" t="s">
        <v>9757</v>
      </c>
      <c r="E6" s="36" t="s">
        <v>1656</v>
      </c>
      <c r="F6" s="36" t="s">
        <v>1656</v>
      </c>
      <c r="G6" s="36" t="s">
        <v>9758</v>
      </c>
      <c r="H6" s="36" t="s">
        <v>9759</v>
      </c>
    </row>
    <row r="7">
      <c r="A7" s="36" t="s">
        <v>9765</v>
      </c>
      <c r="B7" s="36" t="s">
        <v>74</v>
      </c>
      <c r="C7" s="36" t="s">
        <v>74</v>
      </c>
      <c r="D7" s="154" t="s">
        <v>9757</v>
      </c>
      <c r="E7" s="36" t="s">
        <v>1656</v>
      </c>
      <c r="F7" s="36" t="s">
        <v>1656</v>
      </c>
      <c r="G7" s="36" t="s">
        <v>9758</v>
      </c>
      <c r="H7" s="36" t="s">
        <v>9759</v>
      </c>
    </row>
    <row r="8">
      <c r="A8" s="36" t="s">
        <v>9766</v>
      </c>
      <c r="B8" s="36" t="s">
        <v>75</v>
      </c>
      <c r="C8" s="36" t="s">
        <v>75</v>
      </c>
      <c r="D8" s="154" t="s">
        <v>9757</v>
      </c>
      <c r="E8" s="36" t="s">
        <v>1656</v>
      </c>
      <c r="F8" s="36" t="s">
        <v>1656</v>
      </c>
      <c r="G8" s="36" t="s">
        <v>9758</v>
      </c>
      <c r="H8" s="36" t="s">
        <v>9759</v>
      </c>
    </row>
    <row r="9">
      <c r="A9" s="36" t="s">
        <v>9767</v>
      </c>
      <c r="B9" s="36" t="s">
        <v>76</v>
      </c>
      <c r="C9" s="36" t="s">
        <v>76</v>
      </c>
      <c r="D9" s="154" t="s">
        <v>9757</v>
      </c>
      <c r="E9" s="36" t="s">
        <v>1656</v>
      </c>
      <c r="F9" s="36" t="s">
        <v>1656</v>
      </c>
      <c r="G9" s="36" t="s">
        <v>9758</v>
      </c>
      <c r="H9" s="36" t="s">
        <v>9759</v>
      </c>
    </row>
    <row r="10">
      <c r="A10" s="36" t="s">
        <v>9768</v>
      </c>
      <c r="B10" s="36" t="s">
        <v>919</v>
      </c>
      <c r="C10" s="36" t="s">
        <v>919</v>
      </c>
      <c r="D10" s="154" t="s">
        <v>9757</v>
      </c>
      <c r="E10" s="36" t="s">
        <v>1656</v>
      </c>
      <c r="F10" s="36" t="s">
        <v>1656</v>
      </c>
      <c r="G10" s="36" t="s">
        <v>9758</v>
      </c>
      <c r="H10" s="36" t="s">
        <v>9759</v>
      </c>
    </row>
    <row r="11">
      <c r="A11" s="36" t="s">
        <v>9769</v>
      </c>
      <c r="B11" s="36" t="s">
        <v>77</v>
      </c>
      <c r="C11" s="36" t="s">
        <v>77</v>
      </c>
      <c r="D11" s="154" t="s">
        <v>9757</v>
      </c>
      <c r="E11" s="36" t="s">
        <v>1656</v>
      </c>
      <c r="F11" s="36" t="s">
        <v>1656</v>
      </c>
      <c r="G11" s="36" t="s">
        <v>9758</v>
      </c>
      <c r="H11" s="36" t="s">
        <v>9759</v>
      </c>
    </row>
    <row r="12">
      <c r="A12" s="36" t="s">
        <v>9770</v>
      </c>
      <c r="B12" s="36" t="s">
        <v>78</v>
      </c>
      <c r="C12" s="36" t="s">
        <v>78</v>
      </c>
      <c r="D12" s="154" t="s">
        <v>9757</v>
      </c>
      <c r="E12" s="36" t="s">
        <v>1656</v>
      </c>
      <c r="F12" s="36" t="s">
        <v>1656</v>
      </c>
      <c r="G12" s="36" t="s">
        <v>9758</v>
      </c>
      <c r="H12" s="36" t="s">
        <v>9759</v>
      </c>
    </row>
    <row r="13">
      <c r="A13" s="36" t="s">
        <v>9771</v>
      </c>
      <c r="B13" s="36" t="s">
        <v>714</v>
      </c>
      <c r="C13" s="36" t="s">
        <v>714</v>
      </c>
      <c r="D13" s="154" t="s">
        <v>9757</v>
      </c>
      <c r="E13" s="36" t="s">
        <v>1656</v>
      </c>
      <c r="F13" s="36" t="s">
        <v>1656</v>
      </c>
      <c r="G13" s="36" t="s">
        <v>9758</v>
      </c>
      <c r="H13" s="36" t="s">
        <v>9759</v>
      </c>
    </row>
    <row r="14">
      <c r="A14" s="36" t="s">
        <v>9772</v>
      </c>
      <c r="B14" s="36" t="s">
        <v>81</v>
      </c>
      <c r="C14" s="36" t="s">
        <v>81</v>
      </c>
      <c r="D14" s="154" t="s">
        <v>9757</v>
      </c>
      <c r="E14" s="36" t="s">
        <v>1656</v>
      </c>
      <c r="F14" s="36" t="s">
        <v>1656</v>
      </c>
      <c r="G14" s="36" t="s">
        <v>9758</v>
      </c>
      <c r="H14" s="36" t="s">
        <v>9759</v>
      </c>
    </row>
    <row r="15">
      <c r="A15" s="36" t="s">
        <v>9773</v>
      </c>
      <c r="B15" s="36" t="s">
        <v>84</v>
      </c>
      <c r="C15" s="36" t="s">
        <v>9774</v>
      </c>
      <c r="D15" s="154" t="s">
        <v>9757</v>
      </c>
      <c r="E15" s="36" t="s">
        <v>1656</v>
      </c>
      <c r="F15" s="36" t="s">
        <v>1656</v>
      </c>
      <c r="G15" s="36" t="s">
        <v>9758</v>
      </c>
      <c r="H15" s="36" t="s">
        <v>9759</v>
      </c>
    </row>
    <row r="16">
      <c r="A16" s="36" t="s">
        <v>9775</v>
      </c>
      <c r="B16" s="36" t="s">
        <v>1116</v>
      </c>
      <c r="C16" s="36" t="s">
        <v>1116</v>
      </c>
      <c r="D16" s="154" t="s">
        <v>9757</v>
      </c>
      <c r="E16" s="36" t="s">
        <v>1656</v>
      </c>
      <c r="F16" s="36" t="s">
        <v>1656</v>
      </c>
      <c r="G16" s="36" t="s">
        <v>9758</v>
      </c>
      <c r="H16" s="36" t="s">
        <v>9759</v>
      </c>
    </row>
    <row r="17">
      <c r="A17" s="36" t="s">
        <v>9776</v>
      </c>
      <c r="B17" s="36" t="s">
        <v>1399</v>
      </c>
      <c r="C17" s="36" t="s">
        <v>1399</v>
      </c>
      <c r="D17" s="154" t="s">
        <v>9757</v>
      </c>
      <c r="E17" s="36" t="s">
        <v>1656</v>
      </c>
      <c r="F17" s="36" t="s">
        <v>1656</v>
      </c>
      <c r="G17" s="36" t="s">
        <v>9758</v>
      </c>
      <c r="H17" s="36" t="s">
        <v>9759</v>
      </c>
    </row>
    <row r="18">
      <c r="A18" s="36" t="s">
        <v>9777</v>
      </c>
      <c r="B18" s="36" t="s">
        <v>1401</v>
      </c>
      <c r="C18" s="36" t="s">
        <v>1401</v>
      </c>
      <c r="D18" s="154" t="s">
        <v>9757</v>
      </c>
      <c r="E18" s="36" t="s">
        <v>1656</v>
      </c>
      <c r="F18" s="36" t="s">
        <v>1656</v>
      </c>
      <c r="G18" s="36" t="s">
        <v>9758</v>
      </c>
      <c r="H18" s="36" t="s">
        <v>9759</v>
      </c>
    </row>
    <row r="19">
      <c r="A19" s="36" t="s">
        <v>9778</v>
      </c>
      <c r="B19" s="36" t="s">
        <v>1403</v>
      </c>
      <c r="C19" s="36" t="s">
        <v>1403</v>
      </c>
      <c r="D19" s="154" t="s">
        <v>9757</v>
      </c>
      <c r="E19" s="36" t="s">
        <v>1656</v>
      </c>
      <c r="F19" s="36" t="s">
        <v>1656</v>
      </c>
      <c r="G19" s="36" t="s">
        <v>9758</v>
      </c>
      <c r="H19" s="36" t="s">
        <v>9759</v>
      </c>
    </row>
    <row r="20">
      <c r="A20" s="36" t="s">
        <v>9779</v>
      </c>
      <c r="B20" s="36" t="s">
        <v>1405</v>
      </c>
      <c r="C20" s="36" t="s">
        <v>1405</v>
      </c>
      <c r="D20" s="154" t="s">
        <v>9757</v>
      </c>
      <c r="E20" s="36" t="s">
        <v>1656</v>
      </c>
      <c r="F20" s="36" t="s">
        <v>1656</v>
      </c>
      <c r="G20" s="36" t="s">
        <v>9758</v>
      </c>
      <c r="H20" s="36" t="s">
        <v>9759</v>
      </c>
    </row>
    <row r="21">
      <c r="A21" s="36" t="s">
        <v>9780</v>
      </c>
      <c r="B21" s="36" t="s">
        <v>1408</v>
      </c>
      <c r="C21" s="36" t="s">
        <v>1408</v>
      </c>
      <c r="D21" s="154" t="s">
        <v>9757</v>
      </c>
      <c r="E21" s="36" t="s">
        <v>1656</v>
      </c>
      <c r="F21" s="36" t="s">
        <v>1656</v>
      </c>
      <c r="G21" s="36" t="s">
        <v>9758</v>
      </c>
      <c r="H21" s="36" t="s">
        <v>9759</v>
      </c>
    </row>
    <row r="22">
      <c r="A22" s="36" t="s">
        <v>9781</v>
      </c>
      <c r="B22" s="36" t="s">
        <v>1410</v>
      </c>
      <c r="C22" s="36" t="s">
        <v>1410</v>
      </c>
      <c r="D22" s="154" t="s">
        <v>9757</v>
      </c>
      <c r="E22" s="36" t="s">
        <v>1656</v>
      </c>
      <c r="F22" s="36" t="s">
        <v>1656</v>
      </c>
      <c r="G22" s="36" t="s">
        <v>9758</v>
      </c>
      <c r="H22" s="36" t="s">
        <v>9759</v>
      </c>
    </row>
    <row r="23">
      <c r="A23" s="36" t="s">
        <v>9782</v>
      </c>
      <c r="B23" s="36" t="s">
        <v>235</v>
      </c>
      <c r="C23" s="36" t="s">
        <v>235</v>
      </c>
      <c r="D23" s="154" t="s">
        <v>9757</v>
      </c>
      <c r="E23" s="36" t="s">
        <v>1656</v>
      </c>
      <c r="F23" s="36" t="s">
        <v>1656</v>
      </c>
      <c r="G23" s="36" t="s">
        <v>9758</v>
      </c>
      <c r="H23" s="36" t="s">
        <v>9759</v>
      </c>
    </row>
    <row r="24">
      <c r="A24" s="36" t="s">
        <v>9783</v>
      </c>
      <c r="B24" s="36" t="s">
        <v>1413</v>
      </c>
      <c r="C24" s="36" t="s">
        <v>1413</v>
      </c>
      <c r="D24" s="154" t="s">
        <v>9757</v>
      </c>
      <c r="E24" s="36" t="s">
        <v>1656</v>
      </c>
      <c r="F24" s="36" t="s">
        <v>1656</v>
      </c>
      <c r="G24" s="36" t="s">
        <v>9758</v>
      </c>
      <c r="H24" s="36" t="s">
        <v>9759</v>
      </c>
    </row>
    <row r="25">
      <c r="A25" s="36" t="s">
        <v>9784</v>
      </c>
      <c r="B25" s="36" t="s">
        <v>368</v>
      </c>
      <c r="C25" s="36" t="s">
        <v>368</v>
      </c>
      <c r="D25" s="154" t="s">
        <v>9757</v>
      </c>
      <c r="E25" s="36" t="s">
        <v>1656</v>
      </c>
      <c r="F25" s="36" t="s">
        <v>1656</v>
      </c>
      <c r="G25" s="36" t="s">
        <v>9758</v>
      </c>
      <c r="H25" s="36" t="s">
        <v>9759</v>
      </c>
    </row>
    <row r="26">
      <c r="A26" s="36" t="s">
        <v>9785</v>
      </c>
      <c r="B26" s="36" t="s">
        <v>209</v>
      </c>
      <c r="C26" s="36" t="s">
        <v>209</v>
      </c>
      <c r="D26" s="154" t="s">
        <v>9757</v>
      </c>
      <c r="E26" s="36" t="s">
        <v>1656</v>
      </c>
      <c r="F26" s="36" t="s">
        <v>1656</v>
      </c>
      <c r="G26" s="36" t="s">
        <v>9758</v>
      </c>
      <c r="H26" s="36" t="s">
        <v>9759</v>
      </c>
    </row>
    <row r="27">
      <c r="A27" s="36" t="s">
        <v>9786</v>
      </c>
      <c r="B27" s="36" t="s">
        <v>299</v>
      </c>
      <c r="C27" s="36" t="s">
        <v>299</v>
      </c>
      <c r="D27" s="154" t="s">
        <v>9757</v>
      </c>
      <c r="E27" s="36" t="s">
        <v>1656</v>
      </c>
      <c r="F27" s="36" t="s">
        <v>1656</v>
      </c>
      <c r="G27" s="36" t="s">
        <v>9758</v>
      </c>
      <c r="H27" s="36" t="s">
        <v>9759</v>
      </c>
    </row>
    <row r="28">
      <c r="A28" s="36" t="s">
        <v>9787</v>
      </c>
      <c r="B28" s="36" t="s">
        <v>124</v>
      </c>
      <c r="C28" s="36" t="s">
        <v>124</v>
      </c>
      <c r="D28" s="154" t="s">
        <v>9757</v>
      </c>
      <c r="E28" s="36" t="s">
        <v>1656</v>
      </c>
      <c r="F28" s="36" t="s">
        <v>1656</v>
      </c>
      <c r="G28" s="36" t="s">
        <v>9758</v>
      </c>
      <c r="H28" s="36" t="s">
        <v>9759</v>
      </c>
    </row>
    <row r="29">
      <c r="A29" s="36" t="s">
        <v>9788</v>
      </c>
      <c r="B29" s="36" t="s">
        <v>1432</v>
      </c>
      <c r="C29" s="36" t="s">
        <v>1432</v>
      </c>
      <c r="D29" s="154" t="s">
        <v>9757</v>
      </c>
      <c r="E29" s="36" t="s">
        <v>1656</v>
      </c>
      <c r="F29" s="36" t="s">
        <v>1656</v>
      </c>
      <c r="G29" s="36" t="s">
        <v>9758</v>
      </c>
      <c r="H29" s="36" t="s">
        <v>9759</v>
      </c>
    </row>
    <row r="30">
      <c r="A30" s="36" t="s">
        <v>9789</v>
      </c>
      <c r="B30" s="36" t="s">
        <v>1434</v>
      </c>
      <c r="C30" s="36" t="s">
        <v>1434</v>
      </c>
      <c r="D30" s="154" t="s">
        <v>9757</v>
      </c>
      <c r="E30" s="36" t="s">
        <v>1656</v>
      </c>
      <c r="F30" s="36" t="s">
        <v>1656</v>
      </c>
      <c r="G30" s="36" t="s">
        <v>9758</v>
      </c>
      <c r="H30" s="36" t="s">
        <v>9759</v>
      </c>
    </row>
    <row r="31">
      <c r="A31" s="36" t="s">
        <v>9790</v>
      </c>
      <c r="B31" s="36" t="s">
        <v>1436</v>
      </c>
      <c r="C31" s="36" t="s">
        <v>1436</v>
      </c>
      <c r="D31" s="154" t="s">
        <v>9757</v>
      </c>
      <c r="E31" s="36" t="s">
        <v>1656</v>
      </c>
      <c r="F31" s="36" t="s">
        <v>1656</v>
      </c>
      <c r="G31" s="36" t="s">
        <v>9758</v>
      </c>
      <c r="H31" s="36" t="s">
        <v>9759</v>
      </c>
    </row>
    <row r="32">
      <c r="A32" s="36" t="s">
        <v>9791</v>
      </c>
      <c r="B32" s="36" t="s">
        <v>313</v>
      </c>
      <c r="C32" s="36" t="s">
        <v>313</v>
      </c>
      <c r="D32" s="154" t="s">
        <v>9757</v>
      </c>
      <c r="E32" s="36" t="s">
        <v>1656</v>
      </c>
      <c r="F32" s="36" t="s">
        <v>1656</v>
      </c>
      <c r="G32" s="36" t="s">
        <v>9758</v>
      </c>
      <c r="H32" s="36" t="s">
        <v>9759</v>
      </c>
    </row>
    <row r="33">
      <c r="A33" s="36" t="s">
        <v>9792</v>
      </c>
      <c r="B33" s="36" t="s">
        <v>832</v>
      </c>
      <c r="C33" s="36" t="s">
        <v>832</v>
      </c>
      <c r="D33" s="154" t="s">
        <v>9757</v>
      </c>
      <c r="E33" s="36" t="s">
        <v>1656</v>
      </c>
      <c r="F33" s="36" t="s">
        <v>1656</v>
      </c>
      <c r="G33" s="36" t="s">
        <v>9758</v>
      </c>
      <c r="H33" s="36" t="s">
        <v>9759</v>
      </c>
    </row>
    <row r="34">
      <c r="A34" s="36" t="s">
        <v>9793</v>
      </c>
      <c r="B34" s="36" t="s">
        <v>1444</v>
      </c>
      <c r="C34" s="36" t="s">
        <v>1444</v>
      </c>
      <c r="D34" s="154" t="s">
        <v>9757</v>
      </c>
      <c r="E34" s="36" t="s">
        <v>1656</v>
      </c>
      <c r="F34" s="36" t="s">
        <v>1656</v>
      </c>
      <c r="G34" s="36" t="s">
        <v>9758</v>
      </c>
      <c r="H34" s="36" t="s">
        <v>9759</v>
      </c>
    </row>
    <row r="35">
      <c r="A35" s="36" t="s">
        <v>9794</v>
      </c>
      <c r="B35" s="36" t="s">
        <v>512</v>
      </c>
      <c r="C35" s="36" t="s">
        <v>512</v>
      </c>
      <c r="D35" s="154" t="s">
        <v>9757</v>
      </c>
      <c r="E35" s="36" t="s">
        <v>1656</v>
      </c>
      <c r="F35" s="36" t="s">
        <v>1656</v>
      </c>
      <c r="G35" s="36" t="s">
        <v>9758</v>
      </c>
      <c r="H35" s="36" t="s">
        <v>9759</v>
      </c>
    </row>
    <row r="36">
      <c r="A36" s="36" t="s">
        <v>9795</v>
      </c>
      <c r="B36" s="36" t="s">
        <v>1448</v>
      </c>
      <c r="C36" s="36" t="s">
        <v>1448</v>
      </c>
      <c r="D36" s="154" t="s">
        <v>9757</v>
      </c>
      <c r="E36" s="36" t="s">
        <v>1656</v>
      </c>
      <c r="F36" s="36" t="s">
        <v>1656</v>
      </c>
      <c r="G36" s="36" t="s">
        <v>9758</v>
      </c>
      <c r="H36" s="36" t="s">
        <v>9759</v>
      </c>
    </row>
    <row r="37">
      <c r="A37" s="36" t="s">
        <v>9796</v>
      </c>
      <c r="B37" s="36" t="s">
        <v>978</v>
      </c>
      <c r="C37" s="36" t="s">
        <v>978</v>
      </c>
      <c r="D37" s="154" t="s">
        <v>9757</v>
      </c>
      <c r="E37" s="36" t="s">
        <v>1656</v>
      </c>
      <c r="F37" s="36" t="s">
        <v>1656</v>
      </c>
      <c r="G37" s="36" t="s">
        <v>9758</v>
      </c>
      <c r="H37" s="36" t="s">
        <v>9759</v>
      </c>
    </row>
    <row r="38">
      <c r="A38" s="36" t="s">
        <v>9797</v>
      </c>
      <c r="B38" s="36" t="s">
        <v>1451</v>
      </c>
      <c r="C38" s="36" t="s">
        <v>1451</v>
      </c>
      <c r="D38" s="154" t="s">
        <v>9757</v>
      </c>
      <c r="E38" s="36" t="s">
        <v>1656</v>
      </c>
      <c r="F38" s="36" t="s">
        <v>1656</v>
      </c>
      <c r="G38" s="36" t="s">
        <v>9758</v>
      </c>
      <c r="H38" s="36" t="s">
        <v>9759</v>
      </c>
    </row>
    <row r="39">
      <c r="A39" s="36" t="s">
        <v>9798</v>
      </c>
      <c r="B39" s="36" t="s">
        <v>1453</v>
      </c>
      <c r="C39" s="36" t="s">
        <v>1453</v>
      </c>
      <c r="D39" s="154" t="s">
        <v>9757</v>
      </c>
      <c r="E39" s="36" t="s">
        <v>1656</v>
      </c>
      <c r="F39" s="36" t="s">
        <v>1656</v>
      </c>
      <c r="G39" s="36" t="s">
        <v>9758</v>
      </c>
      <c r="H39" s="36" t="s">
        <v>9759</v>
      </c>
    </row>
    <row r="40">
      <c r="A40" s="36" t="s">
        <v>9799</v>
      </c>
      <c r="B40" s="36" t="s">
        <v>1455</v>
      </c>
      <c r="C40" s="36" t="s">
        <v>1455</v>
      </c>
      <c r="D40" s="154" t="s">
        <v>9757</v>
      </c>
      <c r="E40" s="36" t="s">
        <v>1656</v>
      </c>
      <c r="F40" s="36" t="s">
        <v>1656</v>
      </c>
      <c r="G40" s="36" t="s">
        <v>9758</v>
      </c>
      <c r="H40" s="36" t="s">
        <v>9759</v>
      </c>
    </row>
    <row r="41">
      <c r="A41" s="36" t="s">
        <v>9800</v>
      </c>
      <c r="B41" s="36" t="s">
        <v>1459</v>
      </c>
      <c r="C41" s="36" t="s">
        <v>1459</v>
      </c>
      <c r="D41" s="154" t="s">
        <v>9757</v>
      </c>
      <c r="E41" s="36" t="s">
        <v>1656</v>
      </c>
      <c r="F41" s="36" t="s">
        <v>1656</v>
      </c>
      <c r="G41" s="36" t="s">
        <v>9758</v>
      </c>
      <c r="H41" s="36" t="s">
        <v>9759</v>
      </c>
    </row>
    <row r="42">
      <c r="A42" s="36" t="s">
        <v>9801</v>
      </c>
      <c r="B42" s="36" t="s">
        <v>1461</v>
      </c>
      <c r="C42" s="36" t="s">
        <v>1461</v>
      </c>
      <c r="D42" s="154" t="s">
        <v>9757</v>
      </c>
      <c r="E42" s="36" t="s">
        <v>1656</v>
      </c>
      <c r="F42" s="36" t="s">
        <v>1656</v>
      </c>
      <c r="G42" s="36" t="s">
        <v>9758</v>
      </c>
      <c r="H42" s="36" t="s">
        <v>9759</v>
      </c>
    </row>
    <row r="43">
      <c r="A43" s="36" t="s">
        <v>9802</v>
      </c>
      <c r="B43" s="36" t="s">
        <v>737</v>
      </c>
      <c r="C43" s="36" t="s">
        <v>737</v>
      </c>
      <c r="D43" s="154" t="s">
        <v>9757</v>
      </c>
      <c r="E43" s="36" t="s">
        <v>1656</v>
      </c>
      <c r="F43" s="36" t="s">
        <v>1656</v>
      </c>
      <c r="G43" s="36" t="s">
        <v>9758</v>
      </c>
      <c r="H43" s="36" t="s">
        <v>9759</v>
      </c>
    </row>
    <row r="44">
      <c r="A44" s="36" t="s">
        <v>9803</v>
      </c>
      <c r="B44" s="36" t="s">
        <v>1468</v>
      </c>
      <c r="C44" s="36" t="s">
        <v>1468</v>
      </c>
      <c r="D44" s="154" t="s">
        <v>9757</v>
      </c>
      <c r="E44" s="36" t="s">
        <v>1656</v>
      </c>
      <c r="F44" s="36" t="s">
        <v>1656</v>
      </c>
      <c r="G44" s="36" t="s">
        <v>9758</v>
      </c>
      <c r="H44" s="36" t="s">
        <v>9759</v>
      </c>
    </row>
    <row r="45">
      <c r="A45" s="36" t="s">
        <v>9804</v>
      </c>
      <c r="B45" s="36" t="s">
        <v>1473</v>
      </c>
      <c r="C45" s="36" t="s">
        <v>1473</v>
      </c>
      <c r="D45" s="154" t="s">
        <v>9757</v>
      </c>
      <c r="E45" s="36" t="s">
        <v>1656</v>
      </c>
      <c r="F45" s="36" t="s">
        <v>1656</v>
      </c>
      <c r="G45" s="36" t="s">
        <v>9758</v>
      </c>
      <c r="H45" s="36" t="s">
        <v>9759</v>
      </c>
    </row>
    <row r="46">
      <c r="A46" s="36" t="s">
        <v>9805</v>
      </c>
      <c r="B46" s="36" t="s">
        <v>1476</v>
      </c>
      <c r="C46" s="36" t="s">
        <v>1476</v>
      </c>
      <c r="D46" s="154" t="s">
        <v>9757</v>
      </c>
      <c r="E46" s="36" t="s">
        <v>1656</v>
      </c>
      <c r="F46" s="36" t="s">
        <v>1656</v>
      </c>
      <c r="G46" s="36" t="s">
        <v>9758</v>
      </c>
      <c r="H46" s="36" t="s">
        <v>9759</v>
      </c>
    </row>
    <row r="47">
      <c r="A47" s="36" t="s">
        <v>9806</v>
      </c>
      <c r="B47" s="36" t="s">
        <v>1478</v>
      </c>
      <c r="C47" s="36" t="s">
        <v>1478</v>
      </c>
      <c r="D47" s="154" t="s">
        <v>9757</v>
      </c>
      <c r="E47" s="36" t="s">
        <v>1656</v>
      </c>
      <c r="F47" s="36" t="s">
        <v>1656</v>
      </c>
      <c r="G47" s="36" t="s">
        <v>9758</v>
      </c>
      <c r="H47" s="36" t="s">
        <v>9759</v>
      </c>
    </row>
    <row r="48">
      <c r="A48" s="36" t="s">
        <v>9807</v>
      </c>
      <c r="B48" s="36" t="s">
        <v>1482</v>
      </c>
      <c r="C48" s="36" t="s">
        <v>1482</v>
      </c>
      <c r="D48" s="154" t="s">
        <v>9757</v>
      </c>
      <c r="E48" s="36" t="s">
        <v>1656</v>
      </c>
      <c r="F48" s="36" t="s">
        <v>1656</v>
      </c>
      <c r="G48" s="36" t="s">
        <v>9758</v>
      </c>
      <c r="H48" s="36" t="s">
        <v>9759</v>
      </c>
    </row>
    <row r="49">
      <c r="A49" s="36" t="s">
        <v>9808</v>
      </c>
      <c r="B49" s="36" t="s">
        <v>1487</v>
      </c>
      <c r="C49" s="36" t="s">
        <v>1487</v>
      </c>
      <c r="D49" s="154" t="s">
        <v>9757</v>
      </c>
      <c r="E49" s="36" t="s">
        <v>1656</v>
      </c>
      <c r="F49" s="36" t="s">
        <v>1656</v>
      </c>
      <c r="G49" s="36" t="s">
        <v>9758</v>
      </c>
      <c r="H49" s="36" t="s">
        <v>9759</v>
      </c>
    </row>
    <row r="50">
      <c r="A50" s="36" t="s">
        <v>9809</v>
      </c>
      <c r="B50" s="36" t="s">
        <v>1490</v>
      </c>
      <c r="C50" s="36" t="s">
        <v>1490</v>
      </c>
      <c r="D50" s="154" t="s">
        <v>9757</v>
      </c>
      <c r="E50" s="36" t="s">
        <v>1656</v>
      </c>
      <c r="F50" s="36" t="s">
        <v>1656</v>
      </c>
      <c r="G50" s="36" t="s">
        <v>9758</v>
      </c>
      <c r="H50" s="36" t="s">
        <v>9759</v>
      </c>
    </row>
    <row r="51">
      <c r="A51" s="36" t="s">
        <v>9810</v>
      </c>
      <c r="B51" s="36" t="s">
        <v>1245</v>
      </c>
      <c r="C51" s="36" t="s">
        <v>1245</v>
      </c>
      <c r="D51" s="154" t="s">
        <v>9757</v>
      </c>
      <c r="E51" s="36" t="s">
        <v>1656</v>
      </c>
      <c r="F51" s="36" t="s">
        <v>1656</v>
      </c>
      <c r="G51" s="36" t="s">
        <v>9758</v>
      </c>
      <c r="H51" s="36" t="s">
        <v>9759</v>
      </c>
    </row>
    <row r="52">
      <c r="A52" s="36" t="s">
        <v>9811</v>
      </c>
      <c r="B52" s="36" t="s">
        <v>1493</v>
      </c>
      <c r="C52" s="36" t="s">
        <v>1493</v>
      </c>
      <c r="D52" s="154" t="s">
        <v>9757</v>
      </c>
      <c r="E52" s="36" t="s">
        <v>1656</v>
      </c>
      <c r="F52" s="36" t="s">
        <v>1656</v>
      </c>
      <c r="G52" s="36" t="s">
        <v>9758</v>
      </c>
      <c r="H52" s="36" t="s">
        <v>9759</v>
      </c>
    </row>
    <row r="53">
      <c r="A53" s="36" t="s">
        <v>9812</v>
      </c>
      <c r="B53" s="36" t="s">
        <v>1496</v>
      </c>
      <c r="C53" s="36" t="s">
        <v>1496</v>
      </c>
      <c r="D53" s="154" t="s">
        <v>9757</v>
      </c>
      <c r="E53" s="36" t="s">
        <v>1656</v>
      </c>
      <c r="F53" s="36" t="s">
        <v>1656</v>
      </c>
      <c r="G53" s="36" t="s">
        <v>9758</v>
      </c>
      <c r="H53" s="36" t="s">
        <v>9759</v>
      </c>
    </row>
    <row r="54">
      <c r="A54" s="36" t="s">
        <v>9813</v>
      </c>
      <c r="B54" s="36" t="s">
        <v>1500</v>
      </c>
      <c r="C54" s="36" t="s">
        <v>1500</v>
      </c>
      <c r="D54" s="154" t="s">
        <v>9757</v>
      </c>
      <c r="E54" s="36" t="s">
        <v>1656</v>
      </c>
      <c r="F54" s="36" t="s">
        <v>1656</v>
      </c>
      <c r="G54" s="36" t="s">
        <v>9758</v>
      </c>
      <c r="H54" s="36" t="s">
        <v>9759</v>
      </c>
    </row>
    <row r="55">
      <c r="A55" s="36" t="s">
        <v>9814</v>
      </c>
      <c r="B55" s="36" t="s">
        <v>1502</v>
      </c>
      <c r="C55" s="36" t="s">
        <v>1502</v>
      </c>
      <c r="D55" s="154" t="s">
        <v>9757</v>
      </c>
      <c r="E55" s="36" t="s">
        <v>1656</v>
      </c>
      <c r="F55" s="36" t="s">
        <v>1656</v>
      </c>
      <c r="G55" s="36" t="s">
        <v>9758</v>
      </c>
      <c r="H55" s="36" t="s">
        <v>9759</v>
      </c>
    </row>
    <row r="56">
      <c r="A56" s="36" t="s">
        <v>9815</v>
      </c>
      <c r="B56" s="36" t="s">
        <v>1282</v>
      </c>
      <c r="C56" s="36" t="s">
        <v>1282</v>
      </c>
      <c r="D56" s="154" t="s">
        <v>9757</v>
      </c>
      <c r="E56" s="36" t="s">
        <v>1656</v>
      </c>
      <c r="F56" s="36" t="s">
        <v>1656</v>
      </c>
      <c r="G56" s="36" t="s">
        <v>9758</v>
      </c>
      <c r="H56" s="36" t="s">
        <v>9759</v>
      </c>
    </row>
    <row r="57">
      <c r="A57" s="36" t="s">
        <v>9816</v>
      </c>
      <c r="B57" s="36" t="s">
        <v>1505</v>
      </c>
      <c r="C57" s="36" t="s">
        <v>1505</v>
      </c>
      <c r="D57" s="154" t="s">
        <v>9757</v>
      </c>
      <c r="E57" s="36" t="s">
        <v>1656</v>
      </c>
      <c r="F57" s="36" t="s">
        <v>1656</v>
      </c>
      <c r="G57" s="36" t="s">
        <v>9758</v>
      </c>
      <c r="H57" s="36" t="s">
        <v>9759</v>
      </c>
    </row>
    <row r="58">
      <c r="A58" s="36" t="s">
        <v>9817</v>
      </c>
      <c r="B58" s="36" t="s">
        <v>1510</v>
      </c>
      <c r="C58" s="36" t="s">
        <v>201</v>
      </c>
      <c r="D58" s="154" t="s">
        <v>9757</v>
      </c>
      <c r="E58" s="36" t="s">
        <v>1656</v>
      </c>
      <c r="F58" s="36" t="s">
        <v>1656</v>
      </c>
      <c r="G58" s="36" t="s">
        <v>9758</v>
      </c>
      <c r="H58" s="36" t="s">
        <v>9759</v>
      </c>
    </row>
    <row r="59">
      <c r="A59" s="36" t="s">
        <v>9818</v>
      </c>
      <c r="B59" s="36" t="s">
        <v>761</v>
      </c>
      <c r="C59" s="36" t="s">
        <v>761</v>
      </c>
      <c r="D59" s="154" t="s">
        <v>9757</v>
      </c>
      <c r="E59" s="36" t="s">
        <v>1656</v>
      </c>
      <c r="F59" s="36" t="s">
        <v>1656</v>
      </c>
      <c r="G59" s="36" t="s">
        <v>9758</v>
      </c>
      <c r="H59" s="36" t="s">
        <v>9759</v>
      </c>
    </row>
    <row r="60">
      <c r="A60" s="36" t="s">
        <v>9819</v>
      </c>
      <c r="B60" s="36" t="s">
        <v>1514</v>
      </c>
      <c r="C60" s="36" t="s">
        <v>1514</v>
      </c>
      <c r="D60" s="154" t="s">
        <v>9757</v>
      </c>
      <c r="E60" s="36" t="s">
        <v>1656</v>
      </c>
      <c r="F60" s="36" t="s">
        <v>1656</v>
      </c>
      <c r="G60" s="36" t="s">
        <v>9758</v>
      </c>
      <c r="H60" s="36" t="s">
        <v>9759</v>
      </c>
    </row>
    <row r="61">
      <c r="A61" s="36" t="s">
        <v>9820</v>
      </c>
      <c r="B61" s="36" t="s">
        <v>9377</v>
      </c>
      <c r="C61" s="36" t="s">
        <v>9377</v>
      </c>
      <c r="D61" s="154" t="s">
        <v>9481</v>
      </c>
      <c r="E61" s="36" t="s">
        <v>1656</v>
      </c>
      <c r="F61" s="36" t="s">
        <v>1656</v>
      </c>
      <c r="G61" s="36" t="s">
        <v>9821</v>
      </c>
      <c r="H61" s="36" t="s">
        <v>9821</v>
      </c>
    </row>
    <row r="62">
      <c r="A62" s="36" t="s">
        <v>9822</v>
      </c>
      <c r="B62" s="36" t="s">
        <v>9393</v>
      </c>
      <c r="C62" s="36" t="s">
        <v>9393</v>
      </c>
      <c r="D62" s="154" t="s">
        <v>9481</v>
      </c>
      <c r="E62" s="36" t="s">
        <v>1656</v>
      </c>
      <c r="F62" s="36" t="s">
        <v>1656</v>
      </c>
      <c r="G62" s="36" t="s">
        <v>9823</v>
      </c>
      <c r="H62" s="36" t="s">
        <v>9823</v>
      </c>
    </row>
    <row r="63">
      <c r="A63" s="36" t="s">
        <v>9824</v>
      </c>
      <c r="B63" s="36" t="s">
        <v>9434</v>
      </c>
      <c r="C63" s="36" t="s">
        <v>9434</v>
      </c>
      <c r="D63" s="154" t="s">
        <v>9481</v>
      </c>
      <c r="E63" s="36" t="s">
        <v>1656</v>
      </c>
      <c r="F63" s="36" t="s">
        <v>9825</v>
      </c>
      <c r="G63" s="36" t="s">
        <v>9826</v>
      </c>
      <c r="H63" s="36" t="s">
        <v>9827</v>
      </c>
    </row>
    <row r="64">
      <c r="A64" s="36" t="s">
        <v>9828</v>
      </c>
      <c r="B64" s="36" t="s">
        <v>9404</v>
      </c>
      <c r="C64" s="36" t="s">
        <v>9404</v>
      </c>
      <c r="D64" s="154" t="s">
        <v>9481</v>
      </c>
      <c r="E64" s="36" t="s">
        <v>1656</v>
      </c>
      <c r="F64" s="36" t="s">
        <v>1656</v>
      </c>
      <c r="G64" s="36" t="s">
        <v>9829</v>
      </c>
      <c r="H64" s="36" t="s">
        <v>9829</v>
      </c>
    </row>
    <row r="65">
      <c r="A65" s="36" t="s">
        <v>9830</v>
      </c>
      <c r="B65" s="36" t="s">
        <v>100</v>
      </c>
      <c r="C65" s="36" t="s">
        <v>100</v>
      </c>
      <c r="D65" s="154" t="s">
        <v>9481</v>
      </c>
      <c r="E65" s="36" t="s">
        <v>1656</v>
      </c>
      <c r="F65" s="36" t="s">
        <v>1656</v>
      </c>
      <c r="G65" s="36" t="s">
        <v>9831</v>
      </c>
      <c r="H65" s="36" t="s">
        <v>9831</v>
      </c>
    </row>
    <row r="66">
      <c r="A66" s="36" t="s">
        <v>9832</v>
      </c>
      <c r="B66" s="36" t="s">
        <v>9450</v>
      </c>
      <c r="C66" s="36" t="s">
        <v>9450</v>
      </c>
      <c r="D66" s="154" t="s">
        <v>9481</v>
      </c>
      <c r="E66" s="36" t="s">
        <v>1656</v>
      </c>
      <c r="F66" s="36" t="s">
        <v>1656</v>
      </c>
      <c r="G66" s="36" t="s">
        <v>9833</v>
      </c>
      <c r="H66" s="36" t="s">
        <v>9833</v>
      </c>
    </row>
  </sheetData>
  <drawing r:id="rId1"/>
</worksheet>
</file>